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Batch 1 (First 1,000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&amp; 5 (3,001 - 5,000)" sheetId="7" state="visible" r:id="rId7"/>
    <sheet xmlns:r="http://schemas.openxmlformats.org/officeDocument/2006/relationships" name="Provincial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00"/>
    <numFmt numFmtId="166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1B365D"/>
      <sz val="11"/>
    </font>
    <font>
      <name val="Calibri"/>
      <b val="1"/>
      <sz val="9.5"/>
    </font>
    <font>
      <name val="Calibri"/>
      <sz val="9.5"/>
    </font>
    <font>
      <name val="Calibri"/>
      <b val="1"/>
      <color rgb="00595959"/>
      <sz val="8.5"/>
    </font>
    <font>
      <name val="Calibri"/>
      <b val="1"/>
      <color rgb="001B365D"/>
      <sz val="1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i val="1"/>
      <color rgb="00595959"/>
      <sz val="9.5"/>
    </font>
  </fonts>
  <fills count="8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0077B6"/>
        <bgColor rgb="000077B6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</fills>
  <borders count="11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4" fillId="0" borderId="3" pivotButton="0" quotePrefix="0" xfId="0"/>
    <xf numFmtId="3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0" fontId="10" fillId="0" borderId="0" pivotButton="0" quotePrefix="0" xfId="0"/>
    <xf numFmtId="0" fontId="9" fillId="4" borderId="2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9" fillId="5" borderId="2" pivotButton="0" quotePrefix="0" xfId="0"/>
    <xf numFmtId="0" fontId="5" fillId="0" borderId="1" applyAlignment="1" pivotButton="0" quotePrefix="0" xfId="0">
      <alignment horizontal="center" vertical="center" wrapText="1"/>
    </xf>
    <xf numFmtId="165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3" fontId="5" fillId="6" borderId="1" pivotButton="0" quotePrefix="0" xfId="0"/>
    <xf numFmtId="164" fontId="5" fillId="0" borderId="1" pivotButton="0" quotePrefix="0" xfId="0"/>
    <xf numFmtId="3" fontId="4" fillId="0" borderId="3" pivotButton="0" quotePrefix="0" xfId="0"/>
    <xf numFmtId="2" fontId="4" fillId="0" borderId="3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7" borderId="2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7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55" customWidth="1" min="4" max="4"/>
  </cols>
  <sheetData>
    <row r="2">
      <c r="B2" s="1" t="inlineStr">
        <is>
          <t>PHILIPPINE 5G FIXED WIRELESS ACCESS (FWA) - COMBINED HYBRID MODEL</t>
        </is>
      </c>
    </row>
    <row r="3">
      <c r="B3" s="2" t="inlineStr">
        <is>
          <t>Commercial Viability &amp; DICT / UNDP GIDA Prioritization Synthesis (50/50 Dual Optimization)</t>
        </is>
      </c>
    </row>
    <row r="5">
      <c r="B5" s="3" t="inlineStr">
        <is>
          <t>SECTION 1: EXECUTIVE OVERVIEW &amp; PURPOSE</t>
        </is>
      </c>
    </row>
    <row r="6">
      <c r="B6" s="4" t="inlineStr">
        <is>
          <t>Project Objective</t>
        </is>
      </c>
      <c r="C6" s="5" t="inlineStr">
        <is>
          <t>5G FWA Barangay Siting &amp; Rollout Schedule (Combined Model)</t>
        </is>
      </c>
      <c r="D6" s="5" t="inlineStr">
        <is>
          <t>Synthesizes commercial viability with social impact by combining POPCEN 2024 economic metrics with the official DICT / UNDP GIDA Prioritization Tool.</t>
        </is>
      </c>
    </row>
    <row r="7">
      <c r="B7" s="4" t="inlineStr">
        <is>
          <t>Dual Optimization</t>
        </is>
      </c>
      <c r="C7" s="5" t="inlineStr">
        <is>
          <t>50% Commercial + 50% Social Impact Baseline</t>
        </is>
      </c>
      <c r="D7" s="5" t="inlineStr">
        <is>
          <t>Balances rapid revenue turn-up and low capex backhaul with universal service obligations and GIDA poverty alleviation.</t>
        </is>
      </c>
    </row>
    <row r="8">
      <c r="B8" s="4" t="inlineStr">
        <is>
          <t>Target Spectrum</t>
        </is>
      </c>
      <c r="C8" s="5" t="inlineStr">
        <is>
          <t>Band n50 (1427 - 1518 MHz, 100 MHz TDD)</t>
        </is>
      </c>
      <c r="D8" s="5" t="inlineStr">
        <is>
          <t>Single-carrier deployment optimized for high speed, long range, and robust penetration.</t>
        </is>
      </c>
    </row>
    <row r="9">
      <c r="B9" s="4" t="inlineStr">
        <is>
          <t>BTS Siting Standard</t>
        </is>
      </c>
      <c r="C9" s="5" t="inlineStr">
        <is>
          <t>1 BTS per Barangay (Day 1) -&gt; Dynamic Peak</t>
        </is>
      </c>
      <c r="D9" s="5" t="inlineStr">
        <is>
          <t>Dimensioned at 1,000 active subscribers per BTS (~333 per sector across 3 sectors).</t>
        </is>
      </c>
    </row>
    <row r="10">
      <c r="B10" s="4" t="inlineStr">
        <is>
          <t>Backhaul Resilience</t>
        </is>
      </c>
      <c r="C10" s="5" t="inlineStr">
        <is>
          <t>Hybrid Optical + Starlink LEO Satellite</t>
        </is>
      </c>
      <c r="D10" s="5" t="inlineStr">
        <is>
          <t>Direct Optical Drop (&lt;3km), Near Optical/Microwave (3-5km), and Starlink Business LEO Satellite (&gt;5km).</t>
        </is>
      </c>
    </row>
    <row r="12">
      <c r="B12" s="3" t="inlineStr">
        <is>
          <t>SECTION 2: MODEL ARCHITECTURE &amp; BLENDED SCORING MECHANISM</t>
        </is>
      </c>
    </row>
    <row r="13">
      <c r="B13" s="4" t="inlineStr">
        <is>
          <t>Commercial Pillar</t>
        </is>
      </c>
      <c r="C13" s="5" t="inlineStr">
        <is>
          <t>POPCEN 2024 Siting Engine (Weight: 50%)</t>
        </is>
      </c>
      <c r="D13" s="5" t="inlineStr">
        <is>
          <t>Evaluates Deployment Ease (35%), Commercial Viability (35%), and Broadband Necessity (30%).</t>
        </is>
      </c>
    </row>
    <row r="14">
      <c r="B14" s="4" t="inlineStr">
        <is>
          <t>GIDA Social Pillar</t>
        </is>
      </c>
      <c r="C14" s="5" t="inlineStr">
        <is>
          <t>DICT / UNDP Looker Studio Model (Weight: 50%)</t>
        </is>
      </c>
      <c r="D14" s="5" t="inlineStr">
        <is>
          <t>Evaluates 11 Looker Studio criteria: mobile speeds, road distance, nighttime lights, hazard, insurgency, poverty, POIs, towers.</t>
        </is>
      </c>
    </row>
    <row r="15">
      <c r="B15" s="4" t="inlineStr">
        <is>
          <t>Synthesis Formula</t>
        </is>
      </c>
      <c r="C15" s="5" t="inlineStr">
        <is>
          <t>Combined Score = (w_comm * S_comm) + (w_gida * S_gida)</t>
        </is>
      </c>
      <c r="D15" s="5" t="inlineStr">
        <is>
          <t>Standardized 0-100 score providing a balanced national priority queue.</t>
        </is>
      </c>
    </row>
    <row r="16">
      <c r="B16" s="4" t="inlineStr">
        <is>
          <t>Phased Allocation</t>
        </is>
      </c>
      <c r="C16" s="5" t="inlineStr">
        <is>
          <t>5 Batches x 1,000 Sites = 5,000 Sites</t>
        </is>
      </c>
      <c r="D16" s="5" t="inlineStr">
        <is>
          <t>Batch 1 delivers maximum strategic value: strong commercial viability combined with acute social impact.</t>
        </is>
      </c>
    </row>
    <row r="18">
      <c r="B18" s="3" t="inlineStr">
        <is>
          <t>SECTION 3: WORKBOOK NAVIGATION &amp; SHEET DIRECTORY</t>
        </is>
      </c>
    </row>
    <row r="19">
      <c r="B19" s="4" t="inlineStr">
        <is>
          <t>Read Me</t>
        </is>
      </c>
      <c r="C19" s="5" t="inlineStr">
        <is>
          <t>Methodological Documentation &amp; Data Dictionary</t>
        </is>
      </c>
      <c r="D19" s="5" t="inlineStr">
        <is>
          <t>Complete guide to hybrid scoring, data dictionary, and official sources.</t>
        </is>
      </c>
    </row>
    <row r="20">
      <c r="B20" s="4" t="inlineStr">
        <is>
          <t>Executive Summary</t>
        </is>
      </c>
      <c r="C20" s="5" t="inlineStr">
        <is>
          <t>KPI Dashboard &amp; Batch Comparison Table</t>
        </is>
      </c>
      <c r="D20" s="5" t="inlineStr">
        <is>
          <t>6 KPI cards, 13-column batch breakdown, and transmission splits.</t>
        </is>
      </c>
    </row>
    <row r="21">
      <c r="B21" s="4" t="inlineStr">
        <is>
          <t>Methodology &amp; Assumptions</t>
        </is>
      </c>
      <c r="C21" s="5" t="inlineStr">
        <is>
          <t>Parameter Inputs &amp; Blended Weights</t>
        </is>
      </c>
      <c r="D21" s="5" t="inlineStr">
        <is>
          <t>Exhaustive formulas, sensitivity weights, and technical dimensioning.</t>
        </is>
      </c>
    </row>
    <row r="22">
      <c r="B22" s="4" t="inlineStr">
        <is>
          <t>Batch 1 (First 1,000)</t>
        </is>
      </c>
      <c r="C22" s="5" t="inlineStr">
        <is>
          <t>Sites 1 - 1,000 (Top Hybrid Sites)</t>
        </is>
      </c>
      <c r="D22" s="5" t="inlineStr">
        <is>
          <t>The top 1,000 dual-optimized barangays nationwide for immediate deployment.</t>
        </is>
      </c>
    </row>
    <row r="23">
      <c r="B23" s="4" t="inlineStr">
        <is>
          <t>Batch 2 (1,001 - 2,000)</t>
        </is>
      </c>
      <c r="C23" s="5" t="inlineStr">
        <is>
          <t>Sites 1,001 - 2,000</t>
        </is>
      </c>
      <c r="D23" s="5" t="inlineStr">
        <is>
          <t>Second phase expansion balancing high commercial demand with remote coverage.</t>
        </is>
      </c>
    </row>
    <row r="24">
      <c r="B24" s="4" t="inlineStr">
        <is>
          <t>Batch 3 (2,001 - 3,000)</t>
        </is>
      </c>
      <c r="C24" s="5" t="inlineStr">
        <is>
          <t>Sites 2,001 - 3,000</t>
        </is>
      </c>
      <c r="D24" s="5" t="inlineStr">
        <is>
          <t>Third phase regional expansion across Visayas and Mindanao.</t>
        </is>
      </c>
    </row>
    <row r="25">
      <c r="B25" s="4" t="inlineStr">
        <is>
          <t>Batch 4 &amp; 5 (3,001 - 5,000)</t>
        </is>
      </c>
      <c r="C25" s="5" t="inlineStr">
        <is>
          <t>Sites 3,001 - 5,000</t>
        </is>
      </c>
      <c r="D25" s="5" t="inlineStr">
        <is>
          <t>Final phases completing national coverage across 5,000 sites.</t>
        </is>
      </c>
    </row>
    <row r="26">
      <c r="B26" s="4" t="inlineStr">
        <is>
          <t>Provincial Summary</t>
        </is>
      </c>
      <c r="C26" s="5" t="inlineStr">
        <is>
          <t>Provincial Aggregation &amp; Siting Analysis</t>
        </is>
      </c>
      <c r="D26" s="5" t="inlineStr">
        <is>
          <t>Detailed summary table by province showing site counts, population, and backhaul mix.</t>
        </is>
      </c>
    </row>
    <row r="28">
      <c r="B28" s="3" t="inlineStr">
        <is>
          <t>SECTION 4: DATA SOURCES &amp; OFFICIAL CITATIONS</t>
        </is>
      </c>
    </row>
    <row r="29">
      <c r="B29" s="4" t="inlineStr">
        <is>
          <t>UNDP / DICT GIDA Tool</t>
        </is>
      </c>
      <c r="C29" s="5" t="inlineStr">
        <is>
          <t>Looker Studio Decision Support Tool (2026)</t>
        </is>
      </c>
      <c r="D29" s="5" t="inlineStr">
        <is>
          <t>https://lookerstudio.google.com/u/0/reporting/7118ca47-1563-4f51-b0db-a19b8ea4f3c7/page/p_6h58g3u7ld</t>
        </is>
      </c>
    </row>
    <row r="30">
      <c r="B30" s="4" t="inlineStr">
        <is>
          <t>PSA 2024 POPCEN</t>
        </is>
      </c>
      <c r="C30" s="5" t="inlineStr">
        <is>
          <t>Proclamation No. 973 (Official National Total: 112,729,484)</t>
        </is>
      </c>
      <c r="D30" s="5" t="inlineStr">
        <is>
          <t>https://psa.gov.ph/content/2024-census-population-popcen-population-counts-declared-official-president</t>
        </is>
      </c>
    </row>
    <row r="31">
      <c r="B31" s="4" t="inlineStr">
        <is>
          <t>PSA FIES Poverty Data</t>
        </is>
      </c>
      <c r="C31" s="5" t="inlineStr">
        <is>
          <t>2024 Full Year Official Poverty Statistics</t>
        </is>
      </c>
      <c r="D31" s="5" t="inlineStr">
        <is>
          <t>https://psa.gov.ph/statistics/income-expenditure/fies/stat-tables/released/2026</t>
        </is>
      </c>
    </row>
    <row r="32">
      <c r="B32" s="4" t="inlineStr">
        <is>
          <t>Converge Backbone GIS</t>
        </is>
      </c>
      <c r="C32" s="5" t="inlineStr">
        <is>
          <t>National &amp; Regional Backbone KMZ (Nov 2024)</t>
        </is>
      </c>
      <c r="D32" s="5" t="inlineStr">
        <is>
          <t>2,405 verified terrestrial optical nodes and 334k line vertices.</t>
        </is>
      </c>
    </row>
    <row r="34">
      <c r="B34" s="3" t="inlineStr">
        <is>
          <t>SECTION 5: COMPLETE 26-COLUMN DATA DICTIONARY</t>
        </is>
      </c>
    </row>
    <row r="35">
      <c r="B35" s="4" t="inlineStr">
        <is>
          <t>Col A: Batch Number</t>
        </is>
      </c>
      <c r="C35" s="5" t="inlineStr">
        <is>
          <t>Rollout Phase Identifier</t>
        </is>
      </c>
      <c r="D35" s="5" t="inlineStr">
        <is>
          <t>Batch 1 to 5 corresponding to sequential 1,000-site rollout phases.</t>
        </is>
      </c>
    </row>
    <row r="36">
      <c r="B36" s="4" t="inlineStr">
        <is>
          <t>Col B: Batch Rank</t>
        </is>
      </c>
      <c r="C36" s="5" t="inlineStr">
        <is>
          <t>Relative Priority Within Batch</t>
        </is>
      </c>
      <c r="D36" s="5" t="inlineStr">
        <is>
          <t>Sequential priority index from 1 to 1,000 within each batch.</t>
        </is>
      </c>
    </row>
    <row r="37">
      <c r="B37" s="4" t="inlineStr">
        <is>
          <t>Col C: Overall Rank</t>
        </is>
      </c>
      <c r="C37" s="5" t="inlineStr">
        <is>
          <t>National Priority Ranking (1 to 5,000)</t>
        </is>
      </c>
      <c r="D37" s="5" t="inlineStr">
        <is>
          <t>Strict rank based on descending Combined Hybrid Score.</t>
        </is>
      </c>
    </row>
    <row r="38">
      <c r="B38" s="4" t="inlineStr">
        <is>
          <t>Col D: PSGC Code</t>
        </is>
      </c>
      <c r="C38" s="5" t="inlineStr">
        <is>
          <t>Philippine Standard Geographic Code</t>
        </is>
      </c>
      <c r="D38" s="5" t="inlineStr">
        <is>
          <t>Official administrative identifier.</t>
        </is>
      </c>
    </row>
    <row r="39">
      <c r="B39" s="4" t="inlineStr">
        <is>
          <t>Col E: Region</t>
        </is>
      </c>
      <c r="C39" s="5" t="inlineStr">
        <is>
          <t>Administrative Region Name</t>
        </is>
      </c>
      <c r="D39" s="5" t="inlineStr">
        <is>
          <t>Official Philippine administrative region.</t>
        </is>
      </c>
    </row>
    <row r="40">
      <c r="B40" s="4" t="inlineStr">
        <is>
          <t>Col F: Province</t>
        </is>
      </c>
      <c r="C40" s="5" t="inlineStr">
        <is>
          <t>Province Name</t>
        </is>
      </c>
      <c r="D40" s="5" t="inlineStr">
        <is>
          <t>Official province or highly urbanized city cluster.</t>
        </is>
      </c>
    </row>
    <row r="41">
      <c r="B41" s="4" t="inlineStr">
        <is>
          <t>Col G: Municipality</t>
        </is>
      </c>
      <c r="C41" s="5" t="inlineStr">
        <is>
          <t>Municipality / City Name</t>
        </is>
      </c>
      <c r="D41" s="5" t="inlineStr">
        <is>
          <t>Official local government unit (LGU) name.</t>
        </is>
      </c>
    </row>
    <row r="42">
      <c r="B42" s="4" t="inlineStr">
        <is>
          <t>Col H: Barangay</t>
        </is>
      </c>
      <c r="C42" s="5" t="inlineStr">
        <is>
          <t>Barangay Name</t>
        </is>
      </c>
      <c r="D42" s="5" t="inlineStr">
        <is>
          <t>Official barangay name.</t>
        </is>
      </c>
    </row>
    <row r="43">
      <c r="B43" s="4" t="inlineStr">
        <is>
          <t>Col I: Latitude</t>
        </is>
      </c>
      <c r="C43" s="5" t="inlineStr">
        <is>
          <t>WGS84 Latitude</t>
        </is>
      </c>
      <c r="D43" s="5" t="inlineStr">
        <is>
          <t>Decimal degrees coordinate.</t>
        </is>
      </c>
    </row>
    <row r="44">
      <c r="B44" s="4" t="inlineStr">
        <is>
          <t>Col J: Longitude</t>
        </is>
      </c>
      <c r="C44" s="5" t="inlineStr">
        <is>
          <t>WGS84 Longitude</t>
        </is>
      </c>
      <c r="D44" s="5" t="inlineStr">
        <is>
          <t>Decimal degrees coordinate.</t>
        </is>
      </c>
    </row>
    <row r="45">
      <c r="B45" s="4" t="inlineStr">
        <is>
          <t>Col K: Urban / Rural (U/R)</t>
        </is>
      </c>
      <c r="C45" s="5" t="inlineStr">
        <is>
          <t>PSA Urbanity Classification</t>
        </is>
      </c>
      <c r="D45" s="5" t="inlineStr">
        <is>
          <t>R = Rural, U = Urban per official PSA classification.</t>
        </is>
      </c>
    </row>
    <row r="46">
      <c r="B46" s="4" t="inlineStr">
        <is>
          <t>Col L: 2024 Population</t>
        </is>
      </c>
      <c r="C46" s="5" t="inlineStr">
        <is>
          <t>2024 POPCEN Scaled Population</t>
        </is>
      </c>
      <c r="D46" s="5" t="inlineStr">
        <is>
          <t>Scaled directly to official PSA 2024 Census of Population.</t>
        </is>
      </c>
    </row>
    <row r="47">
      <c r="B47" s="4" t="inlineStr">
        <is>
          <t>Col M: 2024 Avg HH Size</t>
        </is>
      </c>
      <c r="C47" s="5" t="inlineStr">
        <is>
          <t>Provincial Average Household Size</t>
        </is>
      </c>
      <c r="D47" s="5" t="inlineStr">
        <is>
          <t>Official 2024 PSA household size matrix (national average: 3.8).</t>
        </is>
      </c>
    </row>
    <row r="48">
      <c r="B48" s="4" t="inlineStr">
        <is>
          <t>Col N: 2024 Households</t>
        </is>
      </c>
      <c r="C48" s="5" t="inlineStr">
        <is>
          <t>Total Estimated Households</t>
        </is>
      </c>
      <c r="D48" s="5" t="inlineStr">
        <is>
          <t>Computed as Population / Avg Household Size.</t>
        </is>
      </c>
    </row>
    <row r="49">
      <c r="B49" s="4" t="inlineStr">
        <is>
          <t>Col O: Target Subscribers</t>
        </is>
      </c>
      <c r="C49" s="5" t="inlineStr">
        <is>
          <t>30% Commercial Penetration</t>
        </is>
      </c>
      <c r="D49" s="5" t="inlineStr">
        <is>
          <t>30% of total households representing commercial addressable demand.</t>
        </is>
      </c>
    </row>
    <row r="50">
      <c r="B50" s="4" t="inlineStr">
        <is>
          <t>Col P: Carrier Spectrum</t>
        </is>
      </c>
      <c r="C50" s="5" t="inlineStr">
        <is>
          <t>Band n50 (100MHz TDD)</t>
        </is>
      </c>
      <c r="D50" s="5" t="inlineStr">
        <is>
          <t>Single-carrier spectrum allocation (1427-1518 MHz).</t>
        </is>
      </c>
    </row>
    <row r="51">
      <c r="B51" s="4" t="inlineStr">
        <is>
          <t>Col Q: Peak BTS Required</t>
        </is>
      </c>
      <c r="C51" s="5" t="inlineStr">
        <is>
          <t>Full Capacity BTS Count</t>
        </is>
      </c>
      <c r="D51" s="5" t="inlineStr">
        <is>
          <t>Calculated as CEILING(Target Subscribers / 1,000).</t>
        </is>
      </c>
    </row>
    <row r="52">
      <c r="B52" s="4" t="inlineStr">
        <is>
          <t>Col R: Day 1 BTS Deployed</t>
        </is>
      </c>
      <c r="C52" s="5" t="inlineStr">
        <is>
          <t>Initial Phase 1 Deployment</t>
        </is>
      </c>
      <c r="D52" s="5" t="inlineStr">
        <is>
          <t>Standardized at 1 BTS per barangay for immediate service turn-up.</t>
        </is>
      </c>
    </row>
    <row r="53">
      <c r="B53" s="4" t="inlineStr">
        <is>
          <t>Col S: Dist to Converge Node</t>
        </is>
      </c>
      <c r="C53" s="5" t="inlineStr">
        <is>
          <t>Fiber Node Proximity (km)</t>
        </is>
      </c>
      <c r="D53" s="5" t="inlineStr">
        <is>
          <t>Haversine distance to nearest Converge optical backbone node.</t>
        </is>
      </c>
    </row>
    <row r="54">
      <c r="B54" s="4" t="inlineStr">
        <is>
          <t>Col T: Dist to Converge Line</t>
        </is>
      </c>
      <c r="C54" s="5" t="inlineStr">
        <is>
          <t>Fiber Route Proximity (km)</t>
        </is>
      </c>
      <c r="D54" s="5" t="inlineStr">
        <is>
          <t>Haversine distance to nearest Converge transmission line vertex.</t>
        </is>
      </c>
    </row>
    <row r="55">
      <c r="B55" s="4" t="inlineStr">
        <is>
          <t>Col U: Backhaul Architecture</t>
        </is>
      </c>
      <c r="C55" s="5" t="inlineStr">
        <is>
          <t>Transmission Siting Designation</t>
        </is>
      </c>
      <c r="D55" s="5" t="inlineStr">
        <is>
          <t>Direct Optical Drop (&lt;3km), Near Optical (3-5km), Starlink LEO Satellite (&gt;5km).</t>
        </is>
      </c>
    </row>
    <row r="56">
      <c r="B56" s="4" t="inlineStr">
        <is>
          <t>Col V: Commercial Score</t>
        </is>
      </c>
      <c r="C56" s="5" t="inlineStr">
        <is>
          <t>Commercial Viability Composite (0-100)</t>
        </is>
      </c>
      <c r="D56" s="5" t="inlineStr">
        <is>
          <t>Weighted sum of Deployment Ease (35%), Viability (35%), and Necessity (30%).</t>
        </is>
      </c>
    </row>
    <row r="57">
      <c r="B57" s="4" t="inlineStr">
        <is>
          <t>Col W: Normalized GIDA Score</t>
        </is>
      </c>
      <c r="C57" s="5" t="inlineStr">
        <is>
          <t>Standardized GIDA Score (0-100)</t>
        </is>
      </c>
      <c r="D57" s="5" t="inlineStr">
        <is>
          <t>Computed as MIN(100, ROUND((Official Looker Score / 69.91) * 100, 2)).</t>
        </is>
      </c>
    </row>
    <row r="58">
      <c r="B58" s="4" t="inlineStr">
        <is>
          <t>Col X: Combined Hybrid Score</t>
        </is>
      </c>
      <c r="C58" s="5" t="inlineStr">
        <is>
          <t>Dual Optimization Score (0-100)</t>
        </is>
      </c>
      <c r="D58" s="5" t="inlineStr">
        <is>
          <t>Computed as (w_comm * Commercial) + (w_gida * GIDA).</t>
        </is>
      </c>
    </row>
    <row r="59">
      <c r="B59" s="4" t="inlineStr">
        <is>
          <t>Col Y: Regional Poverty %</t>
        </is>
      </c>
      <c r="C59" s="5" t="inlineStr">
        <is>
          <t>PSA FIES Regional Poverty Rate</t>
        </is>
      </c>
      <c r="D59" s="5" t="inlineStr">
        <is>
          <t>Official 2024 regional poverty incidence percentage.</t>
        </is>
      </c>
    </row>
    <row r="60">
      <c r="B60" s="4" t="inlineStr">
        <is>
          <t>Col Z: Priority Classification</t>
        </is>
      </c>
      <c r="C60" s="5" t="inlineStr">
        <is>
          <t>Strategic Classification</t>
        </is>
      </c>
      <c r="D60" s="5" t="inlineStr">
        <is>
          <t>Priority Tier 1 (High Commercial &amp; Social), Tier 2 (Balanced), Tier 3 (Expansion).</t>
        </is>
      </c>
    </row>
    <row r="62">
      <c r="B62" s="3" t="inlineStr">
        <is>
          <t>SECTION 6: KEY ASSUMPTIONS &amp; TECHNICAL PARAMETERS</t>
        </is>
      </c>
    </row>
    <row r="63">
      <c r="B63" s="4" t="inlineStr">
        <is>
          <t>Commercial Weight (w_comm)</t>
        </is>
      </c>
      <c r="C63" s="5" t="inlineStr">
        <is>
          <t>50.0%</t>
        </is>
      </c>
      <c r="D63" s="5" t="inlineStr">
        <is>
          <t>Weight allocated to commercial ROI and rapid deployment feasibility.</t>
        </is>
      </c>
    </row>
    <row r="64">
      <c r="B64" s="4" t="inlineStr">
        <is>
          <t>GIDA Weight (w_gida)</t>
        </is>
      </c>
      <c r="C64" s="5" t="inlineStr">
        <is>
          <t>50.0%</t>
        </is>
      </c>
      <c r="D64" s="5" t="inlineStr">
        <is>
          <t>Weight allocated to DICT/UNDP social equity and digital divide closure.</t>
        </is>
      </c>
    </row>
    <row r="65">
      <c r="B65" s="4" t="inlineStr">
        <is>
          <t>Household Penetration</t>
        </is>
      </c>
      <c r="C65" s="5" t="inlineStr">
        <is>
          <t>30.0%</t>
        </is>
      </c>
      <c r="D65" s="5" t="inlineStr">
        <is>
          <t>Commercial take rate applied across total barangay households.</t>
        </is>
      </c>
    </row>
    <row r="66">
      <c r="B66" s="4" t="inlineStr">
        <is>
          <t>BTS Capacity Ceiling</t>
        </is>
      </c>
      <c r="C66" s="5" t="inlineStr">
        <is>
          <t>1,000 Subscribers per Node</t>
        </is>
      </c>
      <c r="D66" s="5" t="inlineStr">
        <is>
          <t>Dimensioned across 3 sectors (~333 subscribers per 120° sector).</t>
        </is>
      </c>
    </row>
    <row r="67">
      <c r="B67" s="4" t="inlineStr">
        <is>
          <t>Direct Optical Limit</t>
        </is>
      </c>
      <c r="C67" s="5" t="inlineStr">
        <is>
          <t>3.0 Kilometers</t>
        </is>
      </c>
      <c r="D67" s="5" t="inlineStr">
        <is>
          <t>Sites within 3.0km connect via direct fiber drop to Converge nodes.</t>
        </is>
      </c>
    </row>
    <row r="68">
      <c r="B68" s="4" t="inlineStr">
        <is>
          <t>Near Optical Limit</t>
        </is>
      </c>
      <c r="C68" s="5" t="inlineStr">
        <is>
          <t>5.0 Kilometers</t>
        </is>
      </c>
      <c r="D68" s="5" t="inlineStr">
        <is>
          <t>Sites between 3.0km and 5.0km connect via short-hop microwave or fiber corridor.</t>
        </is>
      </c>
    </row>
    <row r="69">
      <c r="B69" s="4" t="inlineStr">
        <is>
          <t>Starlink LEO Satellite</t>
        </is>
      </c>
      <c r="C69" s="5" t="inlineStr">
        <is>
          <t>&gt; 5.0 Kilometers</t>
        </is>
      </c>
      <c r="D69" s="5" t="inlineStr">
        <is>
          <t>Sites beyond 5.0km utilize Starlink Business LEO satellite terminals.</t>
        </is>
      </c>
    </row>
    <row r="71">
      <c r="B71" s="3" t="inlineStr">
        <is>
          <t>SECTION 7: VERSION CONTROL &amp; GOVERNANCE</t>
        </is>
      </c>
    </row>
    <row r="72">
      <c r="B72" s="4" t="inlineStr">
        <is>
          <t>Model Edition</t>
        </is>
      </c>
      <c r="C72" s="5" t="inlineStr">
        <is>
          <t>Model 3: Combined Hybrid Rollout Plan (50/50 Dual Optimization)</t>
        </is>
      </c>
      <c r="D72" s="5" t="inlineStr">
        <is>
          <t>Released September 2026 for Executive Investment Review.</t>
        </is>
      </c>
    </row>
    <row r="73">
      <c r="B73" s="4" t="inlineStr">
        <is>
          <t>Cross-Model Reconciliation</t>
        </is>
      </c>
      <c r="C73" s="5" t="inlineStr">
        <is>
          <t>Synthesizes Model 1 (POPCEN 2024) and Model 2 (UNDP GIDA)</t>
        </is>
      </c>
      <c r="D73" s="5" t="inlineStr">
        <is>
          <t>Reconciled with single-digit mathematical precision.</t>
        </is>
      </c>
    </row>
  </sheetData>
  <mergeCells count="7">
    <mergeCell ref="B28:D28"/>
    <mergeCell ref="B5:D5"/>
    <mergeCell ref="B71:D71"/>
    <mergeCell ref="B18:D18"/>
    <mergeCell ref="B62:D62"/>
    <mergeCell ref="B12:D12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Dynamic 5G FWA Barangay Siting &amp; Rollout Schedule (Combined Model - Live Formulas)</t>
        </is>
      </c>
    </row>
    <row r="2">
      <c r="A2" s="1" t="inlineStr">
        <is>
          <t>Automated sensitivity summary linked dynamically to 'Methodology &amp; Assumptions' and Batch sheets.</t>
        </is>
      </c>
    </row>
    <row r="3">
      <c r="A3" s="2" t="inlineStr">
        <is>
          <t>Executive Summary Dashboard | Model 3: Hybrid Combined Model (50% Commercial / 50% GIDA Social Impact)</t>
        </is>
      </c>
    </row>
    <row r="5">
      <c r="A5" s="6" t="inlineStr">
        <is>
          <t>TOTAL HYBRID SITES</t>
        </is>
      </c>
      <c r="B5" s="31" t="n"/>
      <c r="C5" s="6" t="inlineStr">
        <is>
          <t>BATCH 1 SUBSCRIBERS</t>
        </is>
      </c>
      <c r="D5" s="31" t="n"/>
      <c r="E5" s="6" t="inlineStr">
        <is>
          <t>TOTAL TARGET SUBS</t>
        </is>
      </c>
      <c r="F5" s="31" t="n"/>
      <c r="G5" s="6" t="inlineStr">
        <is>
          <t>PEAK BTS REQUIRED</t>
        </is>
      </c>
      <c r="H5" s="31" t="n"/>
      <c r="I5" s="6" t="inlineStr">
        <is>
          <t>FIBER PROXIMITY (&lt;5km)</t>
        </is>
      </c>
      <c r="J5" s="31" t="n"/>
      <c r="K5" s="6" t="inlineStr">
        <is>
          <t>STARLINK SATELLITE (&gt;5km)</t>
        </is>
      </c>
      <c r="L5" s="31" t="n"/>
    </row>
    <row r="6">
      <c r="A6" s="8">
        <f>F21</f>
        <v/>
      </c>
      <c r="B6" s="32" t="n"/>
      <c r="C6" s="8">
        <f>E16</f>
        <v/>
      </c>
      <c r="D6" s="32" t="n"/>
      <c r="E6" s="8">
        <f>E21</f>
        <v/>
      </c>
      <c r="F6" s="32" t="n"/>
      <c r="G6" s="8">
        <f>G21</f>
        <v/>
      </c>
      <c r="H6" s="32" t="n"/>
      <c r="I6" s="8">
        <f>K21+L21</f>
        <v/>
      </c>
      <c r="J6" s="32" t="n"/>
      <c r="K6" s="8">
        <f>M21</f>
        <v/>
      </c>
      <c r="L6" s="32" t="n"/>
    </row>
    <row r="7">
      <c r="A7" s="33" t="n"/>
      <c r="B7" s="34" t="n"/>
      <c r="C7" s="33" t="n"/>
      <c r="D7" s="34" t="n"/>
      <c r="E7" s="33" t="n"/>
      <c r="F7" s="34" t="n"/>
      <c r="G7" s="33" t="n"/>
      <c r="H7" s="34" t="n"/>
      <c r="I7" s="33" t="n"/>
      <c r="J7" s="34" t="n"/>
      <c r="K7" s="33" t="n"/>
      <c r="L7" s="34" t="n"/>
    </row>
    <row r="10">
      <c r="A10" s="9" t="inlineStr">
        <is>
          <t>Combined Hybrid Siting Phasing &amp; Score Breakdown (Batches 1 to 5)</t>
        </is>
      </c>
    </row>
    <row r="12">
      <c r="A12" s="10" t="inlineStr">
        <is>
          <t>Rollout Phase</t>
        </is>
      </c>
      <c r="B12" s="10" t="inlineStr">
        <is>
          <t>Sites</t>
        </is>
      </c>
      <c r="C12" s="10" t="inlineStr">
        <is>
          <t>2024 Population</t>
        </is>
      </c>
      <c r="D12" s="10" t="inlineStr">
        <is>
          <t>2024 Households</t>
        </is>
      </c>
      <c r="E12" s="10" t="inlineStr">
        <is>
          <t>Target Subs (30%)</t>
        </is>
      </c>
      <c r="F12" s="10" t="inlineStr">
        <is>
          <t>Day 1 BTS</t>
        </is>
      </c>
      <c r="G12" s="10" t="inlineStr">
        <is>
          <t>Peak BTS</t>
        </is>
      </c>
      <c r="H12" s="10" t="inlineStr">
        <is>
          <t>Combined Score</t>
        </is>
      </c>
      <c r="I12" s="10" t="inlineStr">
        <is>
          <t>Commercial Score</t>
        </is>
      </c>
      <c r="J12" s="10" t="inlineStr">
        <is>
          <t>GIDA Score</t>
        </is>
      </c>
      <c r="K12" s="10" t="inlineStr">
        <is>
          <t>Direct Fiber (&lt;3km)</t>
        </is>
      </c>
      <c r="L12" s="10" t="inlineStr">
        <is>
          <t>Near Fiber (3-5km)</t>
        </is>
      </c>
      <c r="M12" s="10" t="inlineStr">
        <is>
          <t>Starlink LEO (&gt;5km)</t>
        </is>
      </c>
    </row>
    <row r="13">
      <c r="A13" s="11" t="inlineStr">
        <is>
          <t>Batch 1 (First 1,000)</t>
        </is>
      </c>
      <c r="B13" s="12" t="n">
        <v>1000</v>
      </c>
      <c r="C13" s="12" t="n">
        <v>8500438</v>
      </c>
      <c r="D13" s="12" t="n">
        <v>2362172</v>
      </c>
      <c r="E13" s="12" t="n">
        <v>708642</v>
      </c>
      <c r="F13" s="12" t="n">
        <v>1000</v>
      </c>
      <c r="G13" s="12" t="n">
        <v>1371</v>
      </c>
      <c r="H13" s="13" t="n">
        <v>69.17</v>
      </c>
      <c r="I13" s="13" t="n">
        <v>69.44</v>
      </c>
      <c r="J13" s="13" t="n">
        <v>68.91</v>
      </c>
      <c r="K13" s="12" t="n">
        <v>822</v>
      </c>
      <c r="L13" s="12" t="n">
        <v>54</v>
      </c>
      <c r="M13" s="12" t="n">
        <v>124</v>
      </c>
    </row>
    <row r="14">
      <c r="A14" s="11" t="inlineStr">
        <is>
          <t>Batch 2 (1,001 - 2,000)</t>
        </is>
      </c>
      <c r="B14" s="12" t="n">
        <v>1000</v>
      </c>
      <c r="C14" s="12" t="n">
        <v>7001546</v>
      </c>
      <c r="D14" s="12" t="n">
        <v>1934369</v>
      </c>
      <c r="E14" s="12" t="n">
        <v>580319</v>
      </c>
      <c r="F14" s="12" t="n">
        <v>1000</v>
      </c>
      <c r="G14" s="12" t="n">
        <v>1306</v>
      </c>
      <c r="H14" s="13" t="n">
        <v>63.77</v>
      </c>
      <c r="I14" s="13" t="n">
        <v>64.91</v>
      </c>
      <c r="J14" s="13" t="n">
        <v>62.63</v>
      </c>
      <c r="K14" s="12" t="n">
        <v>741</v>
      </c>
      <c r="L14" s="12" t="n">
        <v>53</v>
      </c>
      <c r="M14" s="12" t="n">
        <v>206</v>
      </c>
    </row>
    <row r="15">
      <c r="A15" s="11" t="inlineStr">
        <is>
          <t>Batch 3 (2,001 - 3,000)</t>
        </is>
      </c>
      <c r="B15" s="12" t="n">
        <v>1000</v>
      </c>
      <c r="C15" s="12" t="n">
        <v>6027158</v>
      </c>
      <c r="D15" s="12" t="n">
        <v>1637128</v>
      </c>
      <c r="E15" s="12" t="n">
        <v>491143</v>
      </c>
      <c r="F15" s="12" t="n">
        <v>1000</v>
      </c>
      <c r="G15" s="12" t="n">
        <v>1246</v>
      </c>
      <c r="H15" s="13" t="n">
        <v>61.24</v>
      </c>
      <c r="I15" s="13" t="n">
        <v>65.56999999999999</v>
      </c>
      <c r="J15" s="13" t="n">
        <v>56.92</v>
      </c>
      <c r="K15" s="12" t="n">
        <v>775</v>
      </c>
      <c r="L15" s="12" t="n">
        <v>46</v>
      </c>
      <c r="M15" s="12" t="n">
        <v>179</v>
      </c>
    </row>
    <row r="16">
      <c r="A16" s="11" t="inlineStr">
        <is>
          <t>Batch 4 (3,001 - 4,000)</t>
        </is>
      </c>
      <c r="B16" s="12" t="n">
        <v>1000</v>
      </c>
      <c r="C16" s="12">
        <f>'Batch 1 (First 1,000)'!L1005</f>
        <v/>
      </c>
      <c r="D16" s="12">
        <f>'Batch 1 (First 1,000)'!N1005</f>
        <v/>
      </c>
      <c r="E16" s="12">
        <f>'Batch 1 (First 1,000)'!O1005</f>
        <v/>
      </c>
      <c r="F16" s="12">
        <f>'Batch 1 (First 1,000)'!R1005</f>
        <v/>
      </c>
      <c r="G16" s="12">
        <f>'Batch 1 (First 1,000)'!Q1005</f>
        <v/>
      </c>
      <c r="H16" s="13">
        <f>'Batch 1 (First 1,000)'!X1005</f>
        <v/>
      </c>
      <c r="I16" s="13">
        <f>'Batch 1 (First 1,000)'!V1005</f>
        <v/>
      </c>
      <c r="J16" s="13">
        <f>'Batch 1 (First 1,000)'!W1005</f>
        <v/>
      </c>
      <c r="K16" s="12">
        <f>COUNTIF('Batch 1 (First 1,000)'!$U$5:$U$1004, "Direct Optical*")</f>
        <v/>
      </c>
      <c r="L16" s="12">
        <f>COUNTIF('Batch 1 (First 1,000)'!$U$5:$U$1004, "Near Optical*")</f>
        <v/>
      </c>
      <c r="M16" s="12">
        <f>COUNTIF('Batch 1 (First 1,000)'!$U$5:$U$1004, "Starlink*")</f>
        <v/>
      </c>
    </row>
    <row r="17">
      <c r="A17" s="11" t="inlineStr">
        <is>
          <t>Batch 5 (4,001 - 5,000)</t>
        </is>
      </c>
      <c r="B17" s="12" t="n">
        <v>1000</v>
      </c>
      <c r="C17" s="12">
        <f>'Batch 2 (1,001 - 2,000)'!L1005</f>
        <v/>
      </c>
      <c r="D17" s="12">
        <f>'Batch 2 (1,001 - 2,000)'!N1005</f>
        <v/>
      </c>
      <c r="E17" s="12">
        <f>'Batch 2 (1,001 - 2,000)'!O1005</f>
        <v/>
      </c>
      <c r="F17" s="12">
        <f>'Batch 2 (1,001 - 2,000)'!R1005</f>
        <v/>
      </c>
      <c r="G17" s="12">
        <f>'Batch 2 (1,001 - 2,000)'!Q1005</f>
        <v/>
      </c>
      <c r="H17" s="13">
        <f>'Batch 2 (1,001 - 2,000)'!X1005</f>
        <v/>
      </c>
      <c r="I17" s="13">
        <f>'Batch 2 (1,001 - 2,000)'!V1005</f>
        <v/>
      </c>
      <c r="J17" s="13">
        <f>'Batch 2 (1,001 - 2,000)'!W1005</f>
        <v/>
      </c>
      <c r="K17" s="12">
        <f>COUNTIF('Batch 2 (1,001 - 2,000)'!$U$5:$U$1004, "Direct Optical*")</f>
        <v/>
      </c>
      <c r="L17" s="12">
        <f>COUNTIF('Batch 2 (1,001 - 2,000)'!$U$5:$U$1004, "Near Optical*")</f>
        <v/>
      </c>
      <c r="M17" s="12">
        <f>COUNTIF('Batch 2 (1,001 - 2,000)'!$U$5:$U$1004, "Starlink*")</f>
        <v/>
      </c>
    </row>
    <row r="18">
      <c r="A18" s="14" t="inlineStr">
        <is>
          <t>Total (5,000 Hybrid Sites)</t>
        </is>
      </c>
      <c r="B18" s="15" t="n">
        <v>5000</v>
      </c>
      <c r="C18" s="15">
        <f>'Batch 3 (2,001 - 3,000)'!L1005</f>
        <v/>
      </c>
      <c r="D18" s="15">
        <f>'Batch 3 (2,001 - 3,000)'!N1005</f>
        <v/>
      </c>
      <c r="E18" s="15">
        <f>'Batch 3 (2,001 - 3,000)'!O1005</f>
        <v/>
      </c>
      <c r="F18" s="15">
        <f>'Batch 3 (2,001 - 3,000)'!R1005</f>
        <v/>
      </c>
      <c r="G18" s="15">
        <f>'Batch 3 (2,001 - 3,000)'!Q1005</f>
        <v/>
      </c>
      <c r="H18" s="16">
        <f>'Batch 3 (2,001 - 3,000)'!X1005</f>
        <v/>
      </c>
      <c r="I18" s="16">
        <f>'Batch 3 (2,001 - 3,000)'!V1005</f>
        <v/>
      </c>
      <c r="J18" s="16">
        <f>'Batch 3 (2,001 - 3,000)'!W1005</f>
        <v/>
      </c>
      <c r="K18" s="15">
        <f>COUNTIF('Batch 3 (2,001 - 3,000)'!$U$5:$U$1004, "Direct Optical*")</f>
        <v/>
      </c>
      <c r="L18" s="15">
        <f>COUNTIF('Batch 3 (2,001 - 3,000)'!$U$5:$U$1004, "Near Optical*")</f>
        <v/>
      </c>
      <c r="M18" s="15">
        <f>COUNTIF('Batch 3 (2,001 - 3,000)'!$U$5:$U$1004, "Starlink*")</f>
        <v/>
      </c>
    </row>
    <row r="19">
      <c r="C19">
        <f>SUM('Batch 4 &amp; 5 (3,001 - 5,000)'!L5:L1004)</f>
        <v/>
      </c>
      <c r="D19">
        <f>SUM('Batch 4 &amp; 5 (3,001 - 5,000)'!N5:N1004)</f>
        <v/>
      </c>
      <c r="E19">
        <f>SUM('Batch 4 &amp; 5 (3,001 - 5,000)'!O5:O1004)</f>
        <v/>
      </c>
      <c r="F19">
        <f>COUNT('Batch 4 &amp; 5 (3,001 - 5,000)'!R5:R1004)</f>
        <v/>
      </c>
      <c r="G19">
        <f>SUM('Batch 4 &amp; 5 (3,001 - 5,000)'!Q5:Q1004)</f>
        <v/>
      </c>
      <c r="H19">
        <f>AVERAGE('Batch 4 &amp; 5 (3,001 - 5,000)'!X5:X1004)</f>
        <v/>
      </c>
      <c r="I19">
        <f>AVERAGE('Batch 4 &amp; 5 (3,001 - 5,000)'!V5:V1004)</f>
        <v/>
      </c>
      <c r="J19">
        <f>AVERAGE('Batch 4 &amp; 5 (3,001 - 5,000)'!W5:W1004)</f>
        <v/>
      </c>
      <c r="K19">
        <f>COUNTIF('Batch 4 &amp; 5 (3,001 - 5,000)'!$U$5:$U$1004, "Direct Optical*")</f>
        <v/>
      </c>
      <c r="L19">
        <f>COUNTIF('Batch 4 &amp; 5 (3,001 - 5,000)'!$U$5:$U$1004, "Near Optical*")</f>
        <v/>
      </c>
      <c r="M19">
        <f>COUNTIF('Batch 4 &amp; 5 (3,001 - 5,000)'!$U$5:$U$1004, "Starlink*")</f>
        <v/>
      </c>
    </row>
    <row r="20">
      <c r="C20">
        <f>SUM('Batch 4 &amp; 5 (3,001 - 5,000)'!L1005:L2004)</f>
        <v/>
      </c>
      <c r="D20">
        <f>SUM('Batch 4 &amp; 5 (3,001 - 5,000)'!N1005:N2004)</f>
        <v/>
      </c>
      <c r="E20">
        <f>SUM('Batch 4 &amp; 5 (3,001 - 5,000)'!O1005:O2004)</f>
        <v/>
      </c>
      <c r="F20">
        <f>COUNT('Batch 4 &amp; 5 (3,001 - 5,000)'!R1005:R2004)</f>
        <v/>
      </c>
      <c r="G20">
        <f>SUM('Batch 4 &amp; 5 (3,001 - 5,000)'!Q1005:Q2004)</f>
        <v/>
      </c>
      <c r="H20">
        <f>AVERAGE('Batch 4 &amp; 5 (3,001 - 5,000)'!X1005:X2004)</f>
        <v/>
      </c>
      <c r="I20">
        <f>AVERAGE('Batch 4 &amp; 5 (3,001 - 5,000)'!V1005:V2004)</f>
        <v/>
      </c>
      <c r="J20">
        <f>AVERAGE('Batch 4 &amp; 5 (3,001 - 5,000)'!W1005:W2004)</f>
        <v/>
      </c>
      <c r="K20">
        <f>COUNTIF('Batch 4 &amp; 5 (3,001 - 5,000)'!$U$1005:$U$2004, "Direct Optical*")</f>
        <v/>
      </c>
      <c r="L20">
        <f>COUNTIF('Batch 4 &amp; 5 (3,001 - 5,000)'!$U$1005:$U$2004, "Near Optical*")</f>
        <v/>
      </c>
      <c r="M20">
        <f>COUNTIF('Batch 4 &amp; 5 (3,001 - 5,000)'!$U$1005:$U$2004, "Starlink*")</f>
        <v/>
      </c>
    </row>
    <row r="21">
      <c r="A21" s="17" t="inlineStr">
        <is>
          <t>* Strategic Note: Model 3 combines Commercial Viability (50%) and DICT/UNDP GIDA Prioritization (50%) for dual optimization.</t>
        </is>
      </c>
      <c r="C21">
        <f>SUM(C16:C20)</f>
        <v/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AVERAGE(H16:H20)</f>
        <v/>
      </c>
      <c r="I21">
        <f>AVERAGE(I16:I20)</f>
        <v/>
      </c>
      <c r="J21">
        <f>AVERAGE(J16:J20)</f>
        <v/>
      </c>
      <c r="K21">
        <f>SUM(K16:K20)</f>
        <v/>
      </c>
      <c r="L21">
        <f>SUM(L16:L20)</f>
        <v/>
      </c>
      <c r="M21">
        <f>SUM(M16:M20)</f>
        <v/>
      </c>
    </row>
    <row r="22">
      <c r="A22" s="17" t="inlineStr">
        <is>
          <t>* Day 1 Siting: 1 BTS deployed per barangay; Peak BTS dimensioned @ 1,000 active subscribers per BTS node (~333/sector).</t>
        </is>
      </c>
    </row>
  </sheetData>
  <mergeCells count="12">
    <mergeCell ref="E6:F7"/>
    <mergeCell ref="C6:D7"/>
    <mergeCell ref="I6:J7"/>
    <mergeCell ref="G6:H7"/>
    <mergeCell ref="K6:L7"/>
    <mergeCell ref="C5:D5"/>
    <mergeCell ref="A5:B5"/>
    <mergeCell ref="A6:B7"/>
    <mergeCell ref="E5:F5"/>
    <mergeCell ref="G5:H5"/>
    <mergeCell ref="I5:J5"/>
    <mergeCell ref="K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50" customWidth="1" min="4" max="4"/>
  </cols>
  <sheetData>
    <row r="1">
      <c r="A1" t="inlineStr">
        <is>
          <t>Dynamic FWA Combined Siting Parameters &amp; Sensitivity Inputs (Editable)</t>
        </is>
      </c>
    </row>
    <row r="2">
      <c r="A2" s="1" t="inlineStr">
        <is>
          <t>Changes to yellow-highlighted parameters below immediately and dynamically recalculate all batch sheets and executive summary tables.</t>
        </is>
      </c>
    </row>
    <row r="3">
      <c r="A3" s="2" t="inlineStr">
        <is>
          <t>Synthesis of Commercial Viability Siting &amp; DICT / UNDP Multi-Criteria Decision Framework</t>
        </is>
      </c>
    </row>
    <row r="5">
      <c r="A5" s="18" t="inlineStr">
        <is>
          <t>Parameter Name</t>
        </is>
      </c>
      <c r="B5" s="35" t="n">
        <v>0.5</v>
      </c>
      <c r="C5" s="18" t="inlineStr">
        <is>
          <t>Unit</t>
        </is>
      </c>
      <c r="D5" s="18" t="inlineStr">
        <is>
          <t>Methodological Rationale &amp; Authority</t>
        </is>
      </c>
    </row>
    <row r="6">
      <c r="A6" s="4" t="inlineStr">
        <is>
          <t>Commercial Blend Weight (w_comm)</t>
        </is>
      </c>
      <c r="B6" s="36" t="n">
        <v>0.5</v>
      </c>
      <c r="C6" s="20" t="inlineStr">
        <is>
          <t>50.0%</t>
        </is>
      </c>
      <c r="D6" s="5" t="inlineStr">
        <is>
          <t>Weight allocated to commercial ROI and rapid deployment feasibility.</t>
        </is>
      </c>
    </row>
    <row r="7">
      <c r="A7" s="4" t="inlineStr">
        <is>
          <t>GIDA Blend Weight (w_gida)</t>
        </is>
      </c>
      <c r="B7" s="36" t="n">
        <v>0.3</v>
      </c>
      <c r="C7" s="20" t="inlineStr">
        <is>
          <t>50.0%</t>
        </is>
      </c>
      <c r="D7" s="5" t="inlineStr">
        <is>
          <t>Weight allocated to DICT/UNDP social equity and digital divide closure.</t>
        </is>
      </c>
    </row>
    <row r="8">
      <c r="A8" s="4" t="inlineStr">
        <is>
          <t>Penetration Rate</t>
        </is>
      </c>
      <c r="B8" s="37" t="n">
        <v>1000</v>
      </c>
      <c r="C8" s="20" t="inlineStr">
        <is>
          <t>30.0%</t>
        </is>
      </c>
      <c r="D8" s="5" t="inlineStr">
        <is>
          <t>Estimated commercial take-up rate across total barangay households.</t>
        </is>
      </c>
    </row>
    <row r="9">
      <c r="A9" s="4" t="inlineStr">
        <is>
          <t>Band n50 BTS Capacity</t>
        </is>
      </c>
      <c r="B9" s="38" t="n">
        <v>5</v>
      </c>
      <c r="C9" s="20" t="inlineStr">
        <is>
          <t>1,000 Subs</t>
        </is>
      </c>
      <c r="D9" s="5" t="inlineStr">
        <is>
          <t>Total active subscriber capacity across 3 sectors (~333 subs/sector).</t>
        </is>
      </c>
    </row>
    <row r="10">
      <c r="A10" s="4" t="inlineStr">
        <is>
          <t>Starlink LEO Distance Threshold</t>
        </is>
      </c>
      <c r="B10" s="38" t="n">
        <v>3</v>
      </c>
      <c r="C10" s="20" t="inlineStr">
        <is>
          <t>5.0 km</t>
        </is>
      </c>
      <c r="D10" s="5" t="inlineStr">
        <is>
          <t>Sites &gt; 5km from Converge fiber assigned Starlink Business LEO satellite backhaul.</t>
        </is>
      </c>
    </row>
    <row r="11">
      <c r="A11" s="4" t="inlineStr">
        <is>
          <t>Direct Optical Drop Threshold</t>
        </is>
      </c>
      <c r="B11" s="39" t="n">
        <v>3.8</v>
      </c>
      <c r="C11" s="20" t="inlineStr">
        <is>
          <t>3.0 km</t>
        </is>
      </c>
      <c r="D11" s="5" t="inlineStr">
        <is>
          <t>Sites within 3.0km of Converge optical backbone connect via direct fiber lateral.</t>
        </is>
      </c>
    </row>
    <row r="12">
      <c r="A12" s="4" t="inlineStr">
        <is>
          <t>Default 2024 HH Size</t>
        </is>
      </c>
      <c r="B12" s="21" t="n">
        <v>3.8</v>
      </c>
      <c r="C12" s="20" t="inlineStr">
        <is>
          <t>3.80 Persons</t>
        </is>
      </c>
      <c r="D12" s="5" t="inlineStr">
        <is>
          <t>Official PSA 2024 POPCEN national average household size.</t>
        </is>
      </c>
    </row>
    <row r="13">
      <c r="A13" s="4" t="inlineStr">
        <is>
          <t>Commercial: Ease of Deployment Weight</t>
        </is>
      </c>
      <c r="B13" s="19" t="n">
        <v>0.35</v>
      </c>
      <c r="C13" s="20" t="inlineStr">
        <is>
          <t>35.0%</t>
        </is>
      </c>
      <c r="D13" s="5" t="inlineStr">
        <is>
          <t>Pillar 1 weight: fiber proximity and corridor lateral bonus.</t>
        </is>
      </c>
    </row>
    <row r="14">
      <c r="A14" s="4" t="inlineStr">
        <is>
          <t>Commercial: Business Viability Weight</t>
        </is>
      </c>
      <c r="B14" s="19" t="n">
        <v>0.35</v>
      </c>
      <c r="C14" s="20" t="inlineStr">
        <is>
          <t>35.0%</t>
        </is>
      </c>
      <c r="D14" s="5" t="inlineStr">
        <is>
          <t>Pillar 2 weight: sweet-spot demand curve discounted by FIES poverty.</t>
        </is>
      </c>
    </row>
    <row r="15">
      <c r="A15" s="4" t="inlineStr">
        <is>
          <t>Commercial: Broadband Necessity Weight</t>
        </is>
      </c>
      <c r="B15" s="19" t="n">
        <v>0.3</v>
      </c>
      <c r="C15" s="20" t="inlineStr">
        <is>
          <t>30.0%</t>
        </is>
      </c>
      <c r="D15" s="5" t="inlineStr">
        <is>
          <t>Pillar 3 weight: rural status, LGU class 4-6, off-net distance, poverty.</t>
        </is>
      </c>
    </row>
    <row r="16">
      <c r="A16" s="4" t="inlineStr">
        <is>
          <t>Total Hybrid Sites Dimensioned</t>
        </is>
      </c>
      <c r="B16" s="21" t="n">
        <v>5000</v>
      </c>
      <c r="C16" s="20" t="inlineStr">
        <is>
          <t>5,000 Sites</t>
        </is>
      </c>
      <c r="D16" s="5" t="inlineStr">
        <is>
          <t>National priority program synthesizing commercial and social reach.</t>
        </is>
      </c>
    </row>
    <row r="19">
      <c r="A19" s="9" t="inlineStr">
        <is>
          <t>Hybrid Scoring Mathematical Architecture</t>
        </is>
      </c>
    </row>
    <row r="21">
      <c r="A21" s="22" t="inlineStr">
        <is>
          <t>Component</t>
        </is>
      </c>
      <c r="B21" s="22" t="inlineStr">
        <is>
          <t>Formula / Weight</t>
        </is>
      </c>
      <c r="C21" s="22" t="inlineStr">
        <is>
          <t>Scale</t>
        </is>
      </c>
      <c r="D21" s="22" t="inlineStr">
        <is>
          <t>Mathematical Definition</t>
        </is>
      </c>
    </row>
    <row r="22">
      <c r="A22" s="4" t="inlineStr">
        <is>
          <t>Combined Hybrid Score</t>
        </is>
      </c>
      <c r="B22" s="20" t="inlineStr">
        <is>
          <t>(w_comm * Commercial) + (w_gida * GIDA_Norm)</t>
        </is>
      </c>
      <c r="C22" s="20" t="inlineStr">
        <is>
          <t>0 - 100</t>
        </is>
      </c>
      <c r="D22" s="5" t="inlineStr">
        <is>
          <t>Dual-objective optimization synthesizing commercial viability with social impact.</t>
        </is>
      </c>
    </row>
    <row r="23">
      <c r="A23" s="4" t="inlineStr">
        <is>
          <t>Commercial Composite</t>
        </is>
      </c>
      <c r="B23" s="20" t="inlineStr">
        <is>
          <t>(0.35*Deploy) + (0.35*Viability) + (0.30*Necessity)</t>
        </is>
      </c>
      <c r="C23" s="20" t="inlineStr">
        <is>
          <t>0 - 100</t>
        </is>
      </c>
      <c r="D23" s="5" t="inlineStr">
        <is>
          <t>Three-pillar commercial suitability index anchored on Converge fiber network.</t>
        </is>
      </c>
    </row>
    <row r="24">
      <c r="A24" s="4" t="inlineStr">
        <is>
          <t>Normalized GIDA Score</t>
        </is>
      </c>
      <c r="B24" s="20" t="inlineStr">
        <is>
          <t>MIN(100, ROUND((Raw_GIDA_Score / 69.91) * 100, 2))</t>
        </is>
      </c>
      <c r="C24" s="20" t="inlineStr">
        <is>
          <t>0 - 100</t>
        </is>
      </c>
      <c r="D24" s="5" t="inlineStr">
        <is>
          <t>Official Looker Studio multi-criteria score standardized to 100-point scale.</t>
        </is>
      </c>
    </row>
    <row r="25">
      <c r="A25" s="4" t="inlineStr">
        <is>
          <t>Deployment Ease Score</t>
        </is>
      </c>
      <c r="B25" s="20" t="inlineStr">
        <is>
          <t>100 * EXP(-dist_node / 8.0) + Corridor_Bonus</t>
        </is>
      </c>
      <c r="C25" s="20" t="inlineStr">
        <is>
          <t>15 - 100</t>
        </is>
      </c>
      <c r="D25" s="5" t="inlineStr">
        <is>
          <t>Exponential decay based on optical fiber proximity.</t>
        </is>
      </c>
    </row>
    <row r="26">
      <c r="A26" s="4" t="inlineStr">
        <is>
          <t>Business Viability Score</t>
        </is>
      </c>
      <c r="B26" s="20" t="inlineStr">
        <is>
          <t>Sweet-spot curve on Viable_Subs [250 - 1,200]</t>
        </is>
      </c>
      <c r="C26" s="20" t="inlineStr">
        <is>
          <t>0 - 100</t>
        </is>
      </c>
      <c r="D26" s="5" t="inlineStr">
        <is>
          <t>Evaluates addressable subscriber volume adjusted for FIES poverty discount.</t>
        </is>
      </c>
    </row>
    <row r="27">
      <c r="A27" s="4" t="inlineStr">
        <is>
          <t>Broadband Necessity Score</t>
        </is>
      </c>
      <c r="B27" s="20" t="inlineStr">
        <is>
          <t>(0.40*Rural) + (0.25*Class) + (0.20*Offnet) + (0.15*Poverty)</t>
        </is>
      </c>
      <c r="C27" s="20" t="inlineStr">
        <is>
          <t>0 - 100</t>
        </is>
      </c>
      <c r="D27" s="5" t="inlineStr">
        <is>
          <t>Captures broadband deficit, unserved rural population, and lower-income LGUs.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1 (First 1,000)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1</v>
      </c>
      <c r="B5" s="23" t="n">
        <v>1</v>
      </c>
      <c r="C5" s="23" t="n">
        <v>1</v>
      </c>
      <c r="D5" s="23" t="inlineStr">
        <is>
          <t>0307702019</t>
        </is>
      </c>
      <c r="E5" s="11" t="inlineStr">
        <is>
          <t>Region III (Central Luzon)</t>
        </is>
      </c>
      <c r="F5" s="11" t="inlineStr">
        <is>
          <t>Aurora</t>
        </is>
      </c>
      <c r="G5" s="11" t="inlineStr">
        <is>
          <t>Casiguran</t>
        </is>
      </c>
      <c r="H5" s="11" t="inlineStr">
        <is>
          <t>Bianuan</t>
        </is>
      </c>
      <c r="I5" s="24" t="n">
        <v>16.23934</v>
      </c>
      <c r="J5" s="24" t="n">
        <v>122.018391</v>
      </c>
      <c r="K5" s="23" t="inlineStr">
        <is>
          <t>R</t>
        </is>
      </c>
      <c r="L5" s="25" t="n">
        <v>2790</v>
      </c>
      <c r="M5" s="26" t="n">
        <v>3.8</v>
      </c>
      <c r="N5" s="25">
        <f>ROUND(L5/M5, 0)</f>
        <v/>
      </c>
      <c r="O5" s="25">
        <f>ROUND(N5*'Methodology &amp; Assumptions'!$B$7, 0)</f>
        <v/>
      </c>
      <c r="P5" s="23" t="inlineStr">
        <is>
          <t>Single Carrier (Band n50, 100MHz TDD)</t>
        </is>
      </c>
      <c r="Q5" s="27">
        <f>ROUNDUP(O5/'Methodology &amp; Assumptions'!$B$8, 0)</f>
        <v/>
      </c>
      <c r="R5" s="27" t="n">
        <v>1</v>
      </c>
      <c r="S5" s="26" t="n">
        <v>4.34</v>
      </c>
      <c r="T5" s="26" t="n">
        <v>4.17</v>
      </c>
      <c r="U5" s="11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26" t="n">
        <v>69.06</v>
      </c>
      <c r="W5" s="26" t="n">
        <v>86.81999999999999</v>
      </c>
      <c r="X5" s="26">
        <f>ROUND(('Methodology &amp; Assumptions'!$B$5*V5) + ('Methodology &amp; Assumptions'!$B$6*W5), 2)</f>
        <v/>
      </c>
      <c r="Y5" s="28" t="n">
        <v>8.300000000000001</v>
      </c>
      <c r="Z5" s="11" t="inlineStr">
        <is>
          <t>Priority Tier 1 (High Commercial &amp; Social)</t>
        </is>
      </c>
    </row>
    <row r="6">
      <c r="A6" s="23" t="n">
        <v>1</v>
      </c>
      <c r="B6" s="23" t="n">
        <v>2</v>
      </c>
      <c r="C6" s="23" t="n">
        <v>2</v>
      </c>
      <c r="D6" s="23" t="inlineStr">
        <is>
          <t>0403403001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City of Biñan</t>
        </is>
      </c>
      <c r="H6" s="11" t="inlineStr">
        <is>
          <t>Biñan</t>
        </is>
      </c>
      <c r="I6" s="24" t="n">
        <v>14.33964</v>
      </c>
      <c r="J6" s="24" t="n">
        <v>121.084924</v>
      </c>
      <c r="K6" s="23" t="inlineStr">
        <is>
          <t>U</t>
        </is>
      </c>
      <c r="L6" s="25" t="n">
        <v>7786</v>
      </c>
      <c r="M6" s="26" t="n">
        <v>3.3</v>
      </c>
      <c r="N6" s="25">
        <f>ROUND(L6/M6, 0)</f>
        <v/>
      </c>
      <c r="O6" s="25">
        <f>ROUND(N6*'Methodology &amp; Assumptions'!$B$7, 0)</f>
        <v/>
      </c>
      <c r="P6" s="23" t="inlineStr">
        <is>
          <t>Single Carrier (Band n50, 100MHz TDD)</t>
        </is>
      </c>
      <c r="Q6" s="27">
        <f>ROUNDUP(O6/'Methodology &amp; Assumptions'!$B$8, 0)</f>
        <v/>
      </c>
      <c r="R6" s="27" t="n">
        <v>1</v>
      </c>
      <c r="S6" s="26" t="n">
        <v>0.99</v>
      </c>
      <c r="T6" s="26" t="n">
        <v>0.1</v>
      </c>
      <c r="U6" s="11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26" t="n">
        <v>77.67</v>
      </c>
      <c r="W6" s="26" t="n">
        <v>78.15000000000001</v>
      </c>
      <c r="X6" s="26">
        <f>ROUND(('Methodology &amp; Assumptions'!$B$5*V6) + ('Methodology &amp; Assumptions'!$B$6*W6), 2)</f>
        <v/>
      </c>
      <c r="Y6" s="28" t="n">
        <v>7.2</v>
      </c>
      <c r="Z6" s="11" t="inlineStr">
        <is>
          <t>Priority Tier 1 (High Commercial &amp; Social)</t>
        </is>
      </c>
    </row>
    <row r="7">
      <c r="A7" s="23" t="n">
        <v>1</v>
      </c>
      <c r="B7" s="23" t="n">
        <v>3</v>
      </c>
      <c r="C7" s="23" t="n">
        <v>3</v>
      </c>
      <c r="D7" s="23" t="inlineStr">
        <is>
          <t>0402106050</t>
        </is>
      </c>
      <c r="E7" s="11" t="inlineStr">
        <is>
          <t>Region IV-A (CALABARZON)</t>
        </is>
      </c>
      <c r="F7" s="11" t="inlineStr">
        <is>
          <t>Cavite</t>
        </is>
      </c>
      <c r="G7" s="11" t="inlineStr">
        <is>
          <t>City of Dasmariñas</t>
        </is>
      </c>
      <c r="H7" s="11" t="inlineStr">
        <is>
          <t>Emmanuel Bergado II</t>
        </is>
      </c>
      <c r="I7" s="24" t="n">
        <v>14.315161</v>
      </c>
      <c r="J7" s="24" t="n">
        <v>120.961201</v>
      </c>
      <c r="K7" s="23" t="inlineStr">
        <is>
          <t>R</t>
        </is>
      </c>
      <c r="L7" s="25" t="n">
        <v>2943</v>
      </c>
      <c r="M7" s="26" t="n">
        <v>3.4</v>
      </c>
      <c r="N7" s="25">
        <f>ROUND(L7/M7, 0)</f>
        <v/>
      </c>
      <c r="O7" s="25">
        <f>ROUND(N7*'Methodology &amp; Assumptions'!$B$7, 0)</f>
        <v/>
      </c>
      <c r="P7" s="23" t="inlineStr">
        <is>
          <t>Single Carrier (Band n50, 100MHz TDD)</t>
        </is>
      </c>
      <c r="Q7" s="27">
        <f>ROUNDUP(O7/'Methodology &amp; Assumptions'!$B$8, 0)</f>
        <v/>
      </c>
      <c r="R7" s="27" t="n">
        <v>1</v>
      </c>
      <c r="S7" s="26" t="n">
        <v>0.57</v>
      </c>
      <c r="T7" s="26" t="n">
        <v>1.7</v>
      </c>
      <c r="U7" s="11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26" t="n">
        <v>85.45999999999999</v>
      </c>
      <c r="W7" s="26" t="n">
        <v>70.23</v>
      </c>
      <c r="X7" s="26">
        <f>ROUND(('Methodology &amp; Assumptions'!$B$5*V7) + ('Methodology &amp; Assumptions'!$B$6*W7), 2)</f>
        <v/>
      </c>
      <c r="Y7" s="28" t="n">
        <v>7.2</v>
      </c>
      <c r="Z7" s="11" t="inlineStr">
        <is>
          <t>Priority Tier 1 (High Commercial &amp; Social)</t>
        </is>
      </c>
    </row>
    <row r="8">
      <c r="A8" s="23" t="n">
        <v>1</v>
      </c>
      <c r="B8" s="23" t="n">
        <v>4</v>
      </c>
      <c r="C8" s="23" t="n">
        <v>4</v>
      </c>
      <c r="D8" s="23" t="inlineStr">
        <is>
          <t>0402106068</t>
        </is>
      </c>
      <c r="E8" s="11" t="inlineStr">
        <is>
          <t>Region IV-A (CALABARZON)</t>
        </is>
      </c>
      <c r="F8" s="11" t="inlineStr">
        <is>
          <t>Cavite</t>
        </is>
      </c>
      <c r="G8" s="11" t="inlineStr">
        <is>
          <t>City of Dasmariñas</t>
        </is>
      </c>
      <c r="H8" s="11" t="inlineStr">
        <is>
          <t>San Antonio De Padua II</t>
        </is>
      </c>
      <c r="I8" s="24" t="n">
        <v>14.317398</v>
      </c>
      <c r="J8" s="24" t="n">
        <v>120.957879</v>
      </c>
      <c r="K8" s="23" t="inlineStr">
        <is>
          <t>R</t>
        </is>
      </c>
      <c r="L8" s="25" t="n">
        <v>3223</v>
      </c>
      <c r="M8" s="26" t="n">
        <v>3.4</v>
      </c>
      <c r="N8" s="25">
        <f>ROUND(L8/M8, 0)</f>
        <v/>
      </c>
      <c r="O8" s="25">
        <f>ROUND(N8*'Methodology &amp; Assumptions'!$B$7, 0)</f>
        <v/>
      </c>
      <c r="P8" s="23" t="inlineStr">
        <is>
          <t>Single Carrier (Band n50, 100MHz TDD)</t>
        </is>
      </c>
      <c r="Q8" s="27">
        <f>ROUNDUP(O8/'Methodology &amp; Assumptions'!$B$8, 0)</f>
        <v/>
      </c>
      <c r="R8" s="27" t="n">
        <v>1</v>
      </c>
      <c r="S8" s="26" t="n">
        <v>1.01</v>
      </c>
      <c r="T8" s="26" t="n">
        <v>1.81</v>
      </c>
      <c r="U8" s="11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26" t="n">
        <v>84.81999999999999</v>
      </c>
      <c r="W8" s="26" t="n">
        <v>70.69</v>
      </c>
      <c r="X8" s="26">
        <f>ROUND(('Methodology &amp; Assumptions'!$B$5*V8) + ('Methodology &amp; Assumptions'!$B$6*W8), 2)</f>
        <v/>
      </c>
      <c r="Y8" s="28" t="n">
        <v>7.2</v>
      </c>
      <c r="Z8" s="11" t="inlineStr">
        <is>
          <t>Priority Tier 1 (High Commercial &amp; Social)</t>
        </is>
      </c>
    </row>
    <row r="9">
      <c r="A9" s="23" t="n">
        <v>1</v>
      </c>
      <c r="B9" s="23" t="n">
        <v>5</v>
      </c>
      <c r="C9" s="23" t="n">
        <v>5</v>
      </c>
      <c r="D9" s="23" t="inlineStr">
        <is>
          <t>0403418006</t>
        </is>
      </c>
      <c r="E9" s="11" t="inlineStr">
        <is>
          <t>Region IV-A (CALABARZON)</t>
        </is>
      </c>
      <c r="F9" s="11" t="inlineStr">
        <is>
          <t>Laguna</t>
        </is>
      </c>
      <c r="G9" s="11" t="inlineStr">
        <is>
          <t>Paete</t>
        </is>
      </c>
      <c r="H9" s="11" t="inlineStr">
        <is>
          <t>Ilaya del Norte</t>
        </is>
      </c>
      <c r="I9" s="24" t="n">
        <v>14.402058</v>
      </c>
      <c r="J9" s="24" t="n">
        <v>121.574104</v>
      </c>
      <c r="K9" s="23" t="inlineStr">
        <is>
          <t>R</t>
        </is>
      </c>
      <c r="L9" s="25" t="n">
        <v>2622</v>
      </c>
      <c r="M9" s="26" t="n">
        <v>3.3</v>
      </c>
      <c r="N9" s="25">
        <f>ROUND(L9/M9, 0)</f>
        <v/>
      </c>
      <c r="O9" s="25">
        <f>ROUND(N9*'Methodology &amp; Assumptions'!$B$7, 0)</f>
        <v/>
      </c>
      <c r="P9" s="23" t="inlineStr">
        <is>
          <t>Single Carrier (Band n50, 100MHz TDD)</t>
        </is>
      </c>
      <c r="Q9" s="27">
        <f>ROUNDUP(O9/'Methodology &amp; Assumptions'!$B$8, 0)</f>
        <v/>
      </c>
      <c r="R9" s="27" t="n">
        <v>1</v>
      </c>
      <c r="S9" s="26" t="n">
        <v>8.84</v>
      </c>
      <c r="T9" s="26" t="n">
        <v>10.48</v>
      </c>
      <c r="U9" s="11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26" t="n">
        <v>67.72</v>
      </c>
      <c r="W9" s="26" t="n">
        <v>87.69</v>
      </c>
      <c r="X9" s="26">
        <f>ROUND(('Methodology &amp; Assumptions'!$B$5*V9) + ('Methodology &amp; Assumptions'!$B$6*W9), 2)</f>
        <v/>
      </c>
      <c r="Y9" s="28" t="n">
        <v>7.2</v>
      </c>
      <c r="Z9" s="11" t="inlineStr">
        <is>
          <t>Priority Tier 1 (High Commercial &amp; Social)</t>
        </is>
      </c>
    </row>
    <row r="10">
      <c r="A10" s="23" t="n">
        <v>1</v>
      </c>
      <c r="B10" s="23" t="n">
        <v>6</v>
      </c>
      <c r="C10" s="23" t="n">
        <v>6</v>
      </c>
      <c r="D10" s="23" t="inlineStr">
        <is>
          <t>0403403016</t>
        </is>
      </c>
      <c r="E10" s="11" t="inlineStr">
        <is>
          <t>Region IV-A (CALABARZON)</t>
        </is>
      </c>
      <c r="F10" s="11" t="inlineStr">
        <is>
          <t>Laguna</t>
        </is>
      </c>
      <c r="G10" s="11" t="inlineStr">
        <is>
          <t>City of Biñan</t>
        </is>
      </c>
      <c r="H10" s="11" t="inlineStr">
        <is>
          <t>Poblacion</t>
        </is>
      </c>
      <c r="I10" s="24" t="n">
        <v>14.339651</v>
      </c>
      <c r="J10" s="24" t="n">
        <v>121.084914</v>
      </c>
      <c r="K10" s="23" t="inlineStr">
        <is>
          <t>U</t>
        </is>
      </c>
      <c r="L10" s="25" t="n">
        <v>5494</v>
      </c>
      <c r="M10" s="26" t="n">
        <v>3.3</v>
      </c>
      <c r="N10" s="25">
        <f>ROUND(L10/M10, 0)</f>
        <v/>
      </c>
      <c r="O10" s="25">
        <f>ROUND(N10*'Methodology &amp; Assumptions'!$B$7, 0)</f>
        <v/>
      </c>
      <c r="P10" s="23" t="inlineStr">
        <is>
          <t>Single Carrier (Band n50, 100MHz TDD)</t>
        </is>
      </c>
      <c r="Q10" s="27">
        <f>ROUNDUP(O10/'Methodology &amp; Assumptions'!$B$8, 0)</f>
        <v/>
      </c>
      <c r="R10" s="27" t="n">
        <v>1</v>
      </c>
      <c r="S10" s="26" t="n">
        <v>0.99</v>
      </c>
      <c r="T10" s="26" t="n">
        <v>0.1</v>
      </c>
      <c r="U10" s="11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26" t="n">
        <v>77.68000000000001</v>
      </c>
      <c r="W10" s="26" t="n">
        <v>77.59</v>
      </c>
      <c r="X10" s="26">
        <f>ROUND(('Methodology &amp; Assumptions'!$B$5*V10) + ('Methodology &amp; Assumptions'!$B$6*W10), 2)</f>
        <v/>
      </c>
      <c r="Y10" s="28" t="n">
        <v>7.2</v>
      </c>
      <c r="Z10" s="11" t="inlineStr">
        <is>
          <t>Priority Tier 1 (High Commercial &amp; Social)</t>
        </is>
      </c>
    </row>
    <row r="11">
      <c r="A11" s="23" t="n">
        <v>1</v>
      </c>
      <c r="B11" s="23" t="n">
        <v>7</v>
      </c>
      <c r="C11" s="23" t="n">
        <v>7</v>
      </c>
      <c r="D11" s="23" t="inlineStr">
        <is>
          <t>0403403005</t>
        </is>
      </c>
      <c r="E11" s="11" t="inlineStr">
        <is>
          <t>Region IV-A (CALABARZON)</t>
        </is>
      </c>
      <c r="F11" s="11" t="inlineStr">
        <is>
          <t>Laguna</t>
        </is>
      </c>
      <c r="G11" s="11" t="inlineStr">
        <is>
          <t>City of Biñan</t>
        </is>
      </c>
      <c r="H11" s="11" t="inlineStr">
        <is>
          <t>Casile</t>
        </is>
      </c>
      <c r="I11" s="24" t="n">
        <v>14.344552</v>
      </c>
      <c r="J11" s="24" t="n">
        <v>121.087467</v>
      </c>
      <c r="K11" s="23" t="inlineStr">
        <is>
          <t>R</t>
        </is>
      </c>
      <c r="L11" s="25" t="n">
        <v>4648</v>
      </c>
      <c r="M11" s="26" t="n">
        <v>3.3</v>
      </c>
      <c r="N11" s="25">
        <f>ROUND(L11/M11, 0)</f>
        <v/>
      </c>
      <c r="O11" s="25">
        <f>ROUND(N11*'Methodology &amp; Assumptions'!$B$7, 0)</f>
        <v/>
      </c>
      <c r="P11" s="23" t="inlineStr">
        <is>
          <t>Single Carrier (Band n50, 100MHz TDD)</t>
        </is>
      </c>
      <c r="Q11" s="27">
        <f>ROUNDUP(O11/'Methodology &amp; Assumptions'!$B$8, 0)</f>
        <v/>
      </c>
      <c r="R11" s="27" t="n">
        <v>1</v>
      </c>
      <c r="S11" s="26" t="n">
        <v>1.42</v>
      </c>
      <c r="T11" s="26" t="n">
        <v>0.64</v>
      </c>
      <c r="U11" s="11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26" t="n">
        <v>83.26000000000001</v>
      </c>
      <c r="W11" s="26" t="n">
        <v>71.95</v>
      </c>
      <c r="X11" s="26">
        <f>ROUND(('Methodology &amp; Assumptions'!$B$5*V11) + ('Methodology &amp; Assumptions'!$B$6*W11), 2)</f>
        <v/>
      </c>
      <c r="Y11" s="28" t="n">
        <v>7.2</v>
      </c>
      <c r="Z11" s="11" t="inlineStr">
        <is>
          <t>Priority Tier 1 (High Commercial &amp; Social)</t>
        </is>
      </c>
    </row>
    <row r="12">
      <c r="A12" s="23" t="n">
        <v>1</v>
      </c>
      <c r="B12" s="23" t="n">
        <v>8</v>
      </c>
      <c r="C12" s="23" t="n">
        <v>8</v>
      </c>
      <c r="D12" s="23" t="inlineStr">
        <is>
          <t>0402104019</t>
        </is>
      </c>
      <c r="E12" s="11" t="inlineStr">
        <is>
          <t>Region IV-A (CALABARZON)</t>
        </is>
      </c>
      <c r="F12" s="11" t="inlineStr">
        <is>
          <t>Cavite</t>
        </is>
      </c>
      <c r="G12" s="11" t="inlineStr">
        <is>
          <t>Carmona</t>
        </is>
      </c>
      <c r="H12" s="11" t="inlineStr">
        <is>
          <t>Barangay 8</t>
        </is>
      </c>
      <c r="I12" s="24" t="n">
        <v>14.311477</v>
      </c>
      <c r="J12" s="24" t="n">
        <v>121.050767</v>
      </c>
      <c r="K12" s="23" t="inlineStr">
        <is>
          <t>R</t>
        </is>
      </c>
      <c r="L12" s="25" t="n">
        <v>3290</v>
      </c>
      <c r="M12" s="26" t="n">
        <v>3.4</v>
      </c>
      <c r="N12" s="25">
        <f>ROUND(L12/M12, 0)</f>
        <v/>
      </c>
      <c r="O12" s="25">
        <f>ROUND(N12*'Methodology &amp; Assumptions'!$B$7, 0)</f>
        <v/>
      </c>
      <c r="P12" s="23" t="inlineStr">
        <is>
          <t>Single Carrier (Band n50, 100MHz TDD)</t>
        </is>
      </c>
      <c r="Q12" s="27">
        <f>ROUNDUP(O12/'Methodology &amp; Assumptions'!$B$8, 0)</f>
        <v/>
      </c>
      <c r="R12" s="27" t="n">
        <v>1</v>
      </c>
      <c r="S12" s="26" t="n">
        <v>0.1</v>
      </c>
      <c r="T12" s="26" t="n">
        <v>0.1</v>
      </c>
      <c r="U12" s="11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26" t="n">
        <v>85.45999999999999</v>
      </c>
      <c r="W12" s="26" t="n">
        <v>69.42</v>
      </c>
      <c r="X12" s="26">
        <f>ROUND(('Methodology &amp; Assumptions'!$B$5*V12) + ('Methodology &amp; Assumptions'!$B$6*W12), 2)</f>
        <v/>
      </c>
      <c r="Y12" s="28" t="n">
        <v>7.2</v>
      </c>
      <c r="Z12" s="11" t="inlineStr">
        <is>
          <t>Priority Tier 1 (High Commercial &amp; Social)</t>
        </is>
      </c>
    </row>
    <row r="13">
      <c r="A13" s="23" t="n">
        <v>1</v>
      </c>
      <c r="B13" s="23" t="n">
        <v>9</v>
      </c>
      <c r="C13" s="23" t="n">
        <v>9</v>
      </c>
      <c r="D13" s="23" t="inlineStr">
        <is>
          <t>0403403020</t>
        </is>
      </c>
      <c r="E13" s="11" t="inlineStr">
        <is>
          <t>Region IV-A (CALABARZON)</t>
        </is>
      </c>
      <c r="F13" s="11" t="inlineStr">
        <is>
          <t>Laguna</t>
        </is>
      </c>
      <c r="G13" s="11" t="inlineStr">
        <is>
          <t>City of Biñan</t>
        </is>
      </c>
      <c r="H13" s="11" t="inlineStr">
        <is>
          <t>San Jose</t>
        </is>
      </c>
      <c r="I13" s="24" t="n">
        <v>14.344025</v>
      </c>
      <c r="J13" s="24" t="n">
        <v>121.082371</v>
      </c>
      <c r="K13" s="23" t="inlineStr">
        <is>
          <t>U</t>
        </is>
      </c>
      <c r="L13" s="25" t="n">
        <v>7234</v>
      </c>
      <c r="M13" s="26" t="n">
        <v>3.3</v>
      </c>
      <c r="N13" s="25">
        <f>ROUND(L13/M13, 0)</f>
        <v/>
      </c>
      <c r="O13" s="25">
        <f>ROUND(N13*'Methodology &amp; Assumptions'!$B$7, 0)</f>
        <v/>
      </c>
      <c r="P13" s="23" t="inlineStr">
        <is>
          <t>Single Carrier (Band n50, 100MHz TDD)</t>
        </is>
      </c>
      <c r="Q13" s="27">
        <f>ROUNDUP(O13/'Methodology &amp; Assumptions'!$B$8, 0)</f>
        <v/>
      </c>
      <c r="R13" s="27" t="n">
        <v>1</v>
      </c>
      <c r="S13" s="26" t="n">
        <v>0.93</v>
      </c>
      <c r="T13" s="26" t="n">
        <v>0.57</v>
      </c>
      <c r="U13" s="11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26" t="n">
        <v>77.91</v>
      </c>
      <c r="W13" s="26" t="n">
        <v>76.84</v>
      </c>
      <c r="X13" s="26">
        <f>ROUND(('Methodology &amp; Assumptions'!$B$5*V13) + ('Methodology &amp; Assumptions'!$B$6*W13), 2)</f>
        <v/>
      </c>
      <c r="Y13" s="28" t="n">
        <v>7.2</v>
      </c>
      <c r="Z13" s="11" t="inlineStr">
        <is>
          <t>Priority Tier 1 (High Commercial &amp; Social)</t>
        </is>
      </c>
    </row>
    <row r="14">
      <c r="A14" s="23" t="n">
        <v>1</v>
      </c>
      <c r="B14" s="23" t="n">
        <v>10</v>
      </c>
      <c r="C14" s="23" t="n">
        <v>10</v>
      </c>
      <c r="D14" s="23" t="inlineStr">
        <is>
          <t>0405805019</t>
        </is>
      </c>
      <c r="E14" s="11" t="inlineStr">
        <is>
          <t>Region IV-A (CALABARZON)</t>
        </is>
      </c>
      <c r="F14" s="11" t="inlineStr">
        <is>
          <t>Rizal</t>
        </is>
      </c>
      <c r="G14" s="11" t="inlineStr">
        <is>
          <t>Cainta</t>
        </is>
      </c>
      <c r="H14" s="11" t="inlineStr">
        <is>
          <t>Santo Niño</t>
        </is>
      </c>
      <c r="I14" s="24" t="n">
        <v>14.58193</v>
      </c>
      <c r="J14" s="24" t="n">
        <v>121.118</v>
      </c>
      <c r="K14" s="23" t="inlineStr">
        <is>
          <t>U</t>
        </is>
      </c>
      <c r="L14" s="25" t="n">
        <v>6105</v>
      </c>
      <c r="M14" s="26" t="n">
        <v>3.6</v>
      </c>
      <c r="N14" s="25">
        <f>ROUND(L14/M14, 0)</f>
        <v/>
      </c>
      <c r="O14" s="25">
        <f>ROUND(N14*'Methodology &amp; Assumptions'!$B$7, 0)</f>
        <v/>
      </c>
      <c r="P14" s="23" t="inlineStr">
        <is>
          <t>Single Carrier (Band n50, 100MHz TDD)</t>
        </is>
      </c>
      <c r="Q14" s="27">
        <f>ROUNDUP(O14/'Methodology &amp; Assumptions'!$B$8, 0)</f>
        <v/>
      </c>
      <c r="R14" s="27" t="n">
        <v>1</v>
      </c>
      <c r="S14" s="26" t="n">
        <v>0.62</v>
      </c>
      <c r="T14" s="26" t="n">
        <v>0.38</v>
      </c>
      <c r="U14" s="11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26" t="n">
        <v>78.26000000000001</v>
      </c>
      <c r="W14" s="26" t="n">
        <v>76.48999999999999</v>
      </c>
      <c r="X14" s="26">
        <f>ROUND(('Methodology &amp; Assumptions'!$B$5*V14) + ('Methodology &amp; Assumptions'!$B$6*W14), 2)</f>
        <v/>
      </c>
      <c r="Y14" s="28" t="n">
        <v>7.2</v>
      </c>
      <c r="Z14" s="11" t="inlineStr">
        <is>
          <t>Priority Tier 1 (High Commercial &amp; Social)</t>
        </is>
      </c>
    </row>
    <row r="15">
      <c r="A15" s="23" t="n">
        <v>1</v>
      </c>
      <c r="B15" s="23" t="n">
        <v>11</v>
      </c>
      <c r="C15" s="23" t="n">
        <v>11</v>
      </c>
      <c r="D15" s="23" t="inlineStr">
        <is>
          <t>0402106072</t>
        </is>
      </c>
      <c r="E15" s="11" t="inlineStr">
        <is>
          <t>Region IV-A (CALABARZON)</t>
        </is>
      </c>
      <c r="F15" s="11" t="inlineStr">
        <is>
          <t>Cavite</t>
        </is>
      </c>
      <c r="G15" s="11" t="inlineStr">
        <is>
          <t>City of Dasmariñas</t>
        </is>
      </c>
      <c r="H15" s="11" t="inlineStr">
        <is>
          <t>San Luis II</t>
        </is>
      </c>
      <c r="I15" s="24" t="n">
        <v>14.312847</v>
      </c>
      <c r="J15" s="24" t="n">
        <v>120.962602</v>
      </c>
      <c r="K15" s="23" t="inlineStr">
        <is>
          <t>R</t>
        </is>
      </c>
      <c r="L15" s="25" t="n">
        <v>4565</v>
      </c>
      <c r="M15" s="26" t="n">
        <v>3.4</v>
      </c>
      <c r="N15" s="25">
        <f>ROUND(L15/M15, 0)</f>
        <v/>
      </c>
      <c r="O15" s="25">
        <f>ROUND(N15*'Methodology &amp; Assumptions'!$B$7, 0)</f>
        <v/>
      </c>
      <c r="P15" s="23" t="inlineStr">
        <is>
          <t>Single Carrier (Band n50, 100MHz TDD)</t>
        </is>
      </c>
      <c r="Q15" s="27">
        <f>ROUNDUP(O15/'Methodology &amp; Assumptions'!$B$8, 0)</f>
        <v/>
      </c>
      <c r="R15" s="27" t="n">
        <v>1</v>
      </c>
      <c r="S15" s="26" t="n">
        <v>0.34</v>
      </c>
      <c r="T15" s="26" t="n">
        <v>1.54</v>
      </c>
      <c r="U15" s="11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26" t="n">
        <v>85.45999999999999</v>
      </c>
      <c r="W15" s="26" t="n">
        <v>69.18000000000001</v>
      </c>
      <c r="X15" s="26">
        <f>ROUND(('Methodology &amp; Assumptions'!$B$5*V15) + ('Methodology &amp; Assumptions'!$B$6*W15), 2)</f>
        <v/>
      </c>
      <c r="Y15" s="28" t="n">
        <v>7.2</v>
      </c>
      <c r="Z15" s="11" t="inlineStr">
        <is>
          <t>Priority Tier 1 (High Commercial &amp; Social)</t>
        </is>
      </c>
    </row>
    <row r="16">
      <c r="A16" s="23" t="n">
        <v>1</v>
      </c>
      <c r="B16" s="23" t="n">
        <v>12</v>
      </c>
      <c r="C16" s="23" t="n">
        <v>12</v>
      </c>
      <c r="D16" s="23" t="inlineStr">
        <is>
          <t>0102815010</t>
        </is>
      </c>
      <c r="E16" s="11" t="inlineStr">
        <is>
          <t>Region I (Ilocos Region)</t>
        </is>
      </c>
      <c r="F16" s="11" t="inlineStr">
        <is>
          <t>Ilocos Norte</t>
        </is>
      </c>
      <c r="G16" s="11" t="inlineStr">
        <is>
          <t>Pagudpud</t>
        </is>
      </c>
      <c r="H16" s="11" t="inlineStr">
        <is>
          <t>Pancian</t>
        </is>
      </c>
      <c r="I16" s="24" t="n">
        <v>18.518279</v>
      </c>
      <c r="J16" s="24" t="n">
        <v>120.884343</v>
      </c>
      <c r="K16" s="23" t="inlineStr">
        <is>
          <t>R</t>
        </is>
      </c>
      <c r="L16" s="25" t="n">
        <v>2434</v>
      </c>
      <c r="M16" s="26" t="n">
        <v>3.7</v>
      </c>
      <c r="N16" s="25">
        <f>ROUND(L16/M16, 0)</f>
        <v/>
      </c>
      <c r="O16" s="25">
        <f>ROUND(N16*'Methodology &amp; Assumptions'!$B$7, 0)</f>
        <v/>
      </c>
      <c r="P16" s="23" t="inlineStr">
        <is>
          <t>Single Carrier (Band n50, 100MHz TDD)</t>
        </is>
      </c>
      <c r="Q16" s="27">
        <f>ROUNDUP(O16/'Methodology &amp; Assumptions'!$B$8, 0)</f>
        <v/>
      </c>
      <c r="R16" s="27" t="n">
        <v>1</v>
      </c>
      <c r="S16" s="26" t="n">
        <v>5.73</v>
      </c>
      <c r="T16" s="26" t="n">
        <v>5.69</v>
      </c>
      <c r="U16" s="11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26" t="n">
        <v>64.22</v>
      </c>
      <c r="W16" s="26" t="n">
        <v>90.26000000000001</v>
      </c>
      <c r="X16" s="26">
        <f>ROUND(('Methodology &amp; Assumptions'!$B$5*V16) + ('Methodology &amp; Assumptions'!$B$6*W16), 2)</f>
        <v/>
      </c>
      <c r="Y16" s="28" t="n">
        <v>8.300000000000001</v>
      </c>
      <c r="Z16" s="11" t="inlineStr">
        <is>
          <t>Priority Tier 1 (High Commercial &amp; Social)</t>
        </is>
      </c>
    </row>
    <row r="17">
      <c r="A17" s="23" t="n">
        <v>1</v>
      </c>
      <c r="B17" s="23" t="n">
        <v>13</v>
      </c>
      <c r="C17" s="23" t="n">
        <v>13</v>
      </c>
      <c r="D17" s="23" t="inlineStr">
        <is>
          <t>1401105003</t>
        </is>
      </c>
      <c r="E17" s="11" t="inlineStr">
        <is>
          <t>Cordillera Administrative Region (CAR)</t>
        </is>
      </c>
      <c r="F17" s="11" t="inlineStr">
        <is>
          <t>Benguet</t>
        </is>
      </c>
      <c r="G17" s="11" t="inlineStr">
        <is>
          <t>Buguias</t>
        </is>
      </c>
      <c r="H17" s="11" t="inlineStr">
        <is>
          <t>Amlimay</t>
        </is>
      </c>
      <c r="I17" s="24" t="n">
        <v>16.69189</v>
      </c>
      <c r="J17" s="24" t="n">
        <v>120.8554</v>
      </c>
      <c r="K17" s="23" t="inlineStr">
        <is>
          <t>R</t>
        </is>
      </c>
      <c r="L17" s="25" t="n">
        <v>2411</v>
      </c>
      <c r="M17" s="26" t="n">
        <v>3.5</v>
      </c>
      <c r="N17" s="25">
        <f>ROUND(L17/M17, 0)</f>
        <v/>
      </c>
      <c r="O17" s="25">
        <f>ROUND(N17*'Methodology &amp; Assumptions'!$B$7, 0)</f>
        <v/>
      </c>
      <c r="P17" s="23" t="inlineStr">
        <is>
          <t>Single Carrier (Band n50, 100MHz TDD)</t>
        </is>
      </c>
      <c r="Q17" s="27">
        <f>ROUNDUP(O17/'Methodology &amp; Assumptions'!$B$8, 0)</f>
        <v/>
      </c>
      <c r="R17" s="27" t="n">
        <v>1</v>
      </c>
      <c r="S17" s="26" t="n">
        <v>4.31</v>
      </c>
      <c r="T17" s="26" t="n">
        <v>6.67</v>
      </c>
      <c r="U17" s="11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26" t="n">
        <v>66.48</v>
      </c>
      <c r="W17" s="26" t="n">
        <v>87.95</v>
      </c>
      <c r="X17" s="26">
        <f>ROUND(('Methodology &amp; Assumptions'!$B$5*V17) + ('Methodology &amp; Assumptions'!$B$6*W17), 2)</f>
        <v/>
      </c>
      <c r="Y17" s="28" t="n">
        <v>10.9</v>
      </c>
      <c r="Z17" s="11" t="inlineStr">
        <is>
          <t>Priority Tier 1 (High Commercial &amp; Social)</t>
        </is>
      </c>
    </row>
    <row r="18">
      <c r="A18" s="23" t="n">
        <v>1</v>
      </c>
      <c r="B18" s="23" t="n">
        <v>14</v>
      </c>
      <c r="C18" s="23" t="n">
        <v>14</v>
      </c>
      <c r="D18" s="23" t="inlineStr">
        <is>
          <t>0102815011</t>
        </is>
      </c>
      <c r="E18" s="11" t="inlineStr">
        <is>
          <t>Region I (Ilocos Region)</t>
        </is>
      </c>
      <c r="F18" s="11" t="inlineStr">
        <is>
          <t>Ilocos Norte</t>
        </is>
      </c>
      <c r="G18" s="11" t="inlineStr">
        <is>
          <t>Pagudpud</t>
        </is>
      </c>
      <c r="H18" s="11" t="inlineStr">
        <is>
          <t>Pasaleng</t>
        </is>
      </c>
      <c r="I18" s="24" t="n">
        <v>18.541912</v>
      </c>
      <c r="J18" s="24" t="n">
        <v>120.95895</v>
      </c>
      <c r="K18" s="23" t="inlineStr">
        <is>
          <t>R</t>
        </is>
      </c>
      <c r="L18" s="25" t="n">
        <v>1820</v>
      </c>
      <c r="M18" s="26" t="n">
        <v>3.7</v>
      </c>
      <c r="N18" s="25">
        <f>ROUND(L18/M18, 0)</f>
        <v/>
      </c>
      <c r="O18" s="25">
        <f>ROUND(N18*'Methodology &amp; Assumptions'!$B$7, 0)</f>
        <v/>
      </c>
      <c r="P18" s="23" t="inlineStr">
        <is>
          <t>Single Carrier (Band n50, 100MHz TDD)</t>
        </is>
      </c>
      <c r="Q18" s="27">
        <f>ROUNDUP(O18/'Methodology &amp; Assumptions'!$B$8, 0)</f>
        <v/>
      </c>
      <c r="R18" s="27" t="n">
        <v>1</v>
      </c>
      <c r="S18" s="26" t="n">
        <v>3.47</v>
      </c>
      <c r="T18" s="26" t="n">
        <v>1.49</v>
      </c>
      <c r="U18" s="11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26" t="n">
        <v>66.54000000000001</v>
      </c>
      <c r="W18" s="26" t="n">
        <v>87.34</v>
      </c>
      <c r="X18" s="26">
        <f>ROUND(('Methodology &amp; Assumptions'!$B$5*V18) + ('Methodology &amp; Assumptions'!$B$6*W18), 2)</f>
        <v/>
      </c>
      <c r="Y18" s="28" t="n">
        <v>8.300000000000001</v>
      </c>
      <c r="Z18" s="11" t="inlineStr">
        <is>
          <t>Priority Tier 1 (High Commercial &amp; Social)</t>
        </is>
      </c>
    </row>
    <row r="19">
      <c r="A19" s="23" t="n">
        <v>1</v>
      </c>
      <c r="B19" s="23" t="n">
        <v>15</v>
      </c>
      <c r="C19" s="23" t="n">
        <v>15</v>
      </c>
      <c r="D19" s="23" t="inlineStr">
        <is>
          <t>0402106023</t>
        </is>
      </c>
      <c r="E19" s="11" t="inlineStr">
        <is>
          <t>Region IV-A (CALABARZON)</t>
        </is>
      </c>
      <c r="F19" s="11" t="inlineStr">
        <is>
          <t>Cavite</t>
        </is>
      </c>
      <c r="G19" s="11" t="inlineStr">
        <is>
          <t>City of Dasmariñas</t>
        </is>
      </c>
      <c r="H19" s="11" t="inlineStr">
        <is>
          <t>Luzviminda I</t>
        </is>
      </c>
      <c r="I19" s="24" t="n">
        <v>14.315816</v>
      </c>
      <c r="J19" s="24" t="n">
        <v>120.966479</v>
      </c>
      <c r="K19" s="23" t="inlineStr">
        <is>
          <t>R</t>
        </is>
      </c>
      <c r="L19" s="25" t="n">
        <v>3753</v>
      </c>
      <c r="M19" s="26" t="n">
        <v>3.4</v>
      </c>
      <c r="N19" s="25">
        <f>ROUND(L19/M19, 0)</f>
        <v/>
      </c>
      <c r="O19" s="25">
        <f>ROUND(N19*'Methodology &amp; Assumptions'!$B$7, 0)</f>
        <v/>
      </c>
      <c r="P19" s="23" t="inlineStr">
        <is>
          <t>Single Carrier (Band n50, 100MHz TDD)</t>
        </is>
      </c>
      <c r="Q19" s="27">
        <f>ROUNDUP(O19/'Methodology &amp; Assumptions'!$B$8, 0)</f>
        <v/>
      </c>
      <c r="R19" s="27" t="n">
        <v>1</v>
      </c>
      <c r="S19" s="26" t="n">
        <v>0.38</v>
      </c>
      <c r="T19" s="26" t="n">
        <v>2.02</v>
      </c>
      <c r="U19" s="11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26" t="n">
        <v>83.81999999999999</v>
      </c>
      <c r="W19" s="26" t="n">
        <v>69.98</v>
      </c>
      <c r="X19" s="26">
        <f>ROUND(('Methodology &amp; Assumptions'!$B$5*V19) + ('Methodology &amp; Assumptions'!$B$6*W19), 2)</f>
        <v/>
      </c>
      <c r="Y19" s="28" t="n">
        <v>7.2</v>
      </c>
      <c r="Z19" s="11" t="inlineStr">
        <is>
          <t>Priority Tier 1 (High Commercial &amp; Social)</t>
        </is>
      </c>
    </row>
    <row r="20">
      <c r="A20" s="23" t="n">
        <v>1</v>
      </c>
      <c r="B20" s="23" t="n">
        <v>16</v>
      </c>
      <c r="C20" s="23" t="n">
        <v>16</v>
      </c>
      <c r="D20" s="23" t="inlineStr">
        <is>
          <t>0403403023</t>
        </is>
      </c>
      <c r="E20" s="11" t="inlineStr">
        <is>
          <t>Region IV-A (CALABARZON)</t>
        </is>
      </c>
      <c r="F20" s="11" t="inlineStr">
        <is>
          <t>Laguna</t>
        </is>
      </c>
      <c r="G20" s="11" t="inlineStr">
        <is>
          <t>City of Biñan</t>
        </is>
      </c>
      <c r="H20" s="11" t="inlineStr">
        <is>
          <t>Santo Domingo</t>
        </is>
      </c>
      <c r="I20" s="24" t="n">
        <v>14.337002</v>
      </c>
      <c r="J20" s="24" t="n">
        <v>121.082146</v>
      </c>
      <c r="K20" s="23" t="inlineStr">
        <is>
          <t>U</t>
        </is>
      </c>
      <c r="L20" s="25" t="n">
        <v>6751</v>
      </c>
      <c r="M20" s="26" t="n">
        <v>3.3</v>
      </c>
      <c r="N20" s="25">
        <f>ROUND(L20/M20, 0)</f>
        <v/>
      </c>
      <c r="O20" s="25">
        <f>ROUND(N20*'Methodology &amp; Assumptions'!$B$7, 0)</f>
        <v/>
      </c>
      <c r="P20" s="23" t="inlineStr">
        <is>
          <t>Single Carrier (Band n50, 100MHz TDD)</t>
        </is>
      </c>
      <c r="Q20" s="27">
        <f>ROUNDUP(O20/'Methodology &amp; Assumptions'!$B$8, 0)</f>
        <v/>
      </c>
      <c r="R20" s="27" t="n">
        <v>1</v>
      </c>
      <c r="S20" s="26" t="n">
        <v>0.71</v>
      </c>
      <c r="T20" s="26" t="n">
        <v>0.21</v>
      </c>
      <c r="U20" s="11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26" t="n">
        <v>78.26000000000001</v>
      </c>
      <c r="W20" s="26" t="n">
        <v>75.26000000000001</v>
      </c>
      <c r="X20" s="26">
        <f>ROUND(('Methodology &amp; Assumptions'!$B$5*V20) + ('Methodology &amp; Assumptions'!$B$6*W20), 2)</f>
        <v/>
      </c>
      <c r="Y20" s="28" t="n">
        <v>7.2</v>
      </c>
      <c r="Z20" s="11" t="inlineStr">
        <is>
          <t>Priority Tier 1 (High Commercial &amp; Social)</t>
        </is>
      </c>
    </row>
    <row r="21">
      <c r="A21" s="23" t="n">
        <v>1</v>
      </c>
      <c r="B21" s="23" t="n">
        <v>17</v>
      </c>
      <c r="C21" s="23" t="n">
        <v>17</v>
      </c>
      <c r="D21" s="23" t="inlineStr">
        <is>
          <t>0402106035</t>
        </is>
      </c>
      <c r="E21" s="11" t="inlineStr">
        <is>
          <t>Region IV-A (CALABARZON)</t>
        </is>
      </c>
      <c r="F21" s="11" t="inlineStr">
        <is>
          <t>Cavite</t>
        </is>
      </c>
      <c r="G21" s="11" t="inlineStr">
        <is>
          <t>City of Dasmariñas</t>
        </is>
      </c>
      <c r="H21" s="11" t="inlineStr">
        <is>
          <t>San Mateo</t>
        </is>
      </c>
      <c r="I21" s="24" t="n">
        <v>14.317065</v>
      </c>
      <c r="J21" s="24" t="n">
        <v>120.968965</v>
      </c>
      <c r="K21" s="23" t="inlineStr">
        <is>
          <t>R</t>
        </is>
      </c>
      <c r="L21" s="25" t="n">
        <v>5211</v>
      </c>
      <c r="M21" s="26" t="n">
        <v>3.4</v>
      </c>
      <c r="N21" s="25">
        <f>ROUND(L21/M21, 0)</f>
        <v/>
      </c>
      <c r="O21" s="25">
        <f>ROUND(N21*'Methodology &amp; Assumptions'!$B$7, 0)</f>
        <v/>
      </c>
      <c r="P21" s="23" t="inlineStr">
        <is>
          <t>Single Carrier (Band n50, 100MHz TDD)</t>
        </is>
      </c>
      <c r="Q21" s="27">
        <f>ROUNDUP(O21/'Methodology &amp; Assumptions'!$B$8, 0)</f>
        <v/>
      </c>
      <c r="R21" s="27" t="n">
        <v>1</v>
      </c>
      <c r="S21" s="26" t="n">
        <v>0.62</v>
      </c>
      <c r="T21" s="26" t="n">
        <v>2.27</v>
      </c>
      <c r="U21" s="11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26" t="n">
        <v>82.84</v>
      </c>
      <c r="W21" s="26" t="n">
        <v>70.67</v>
      </c>
      <c r="X21" s="26">
        <f>ROUND(('Methodology &amp; Assumptions'!$B$5*V21) + ('Methodology &amp; Assumptions'!$B$6*W21), 2)</f>
        <v/>
      </c>
      <c r="Y21" s="28" t="n">
        <v>7.2</v>
      </c>
      <c r="Z21" s="11" t="inlineStr">
        <is>
          <t>Priority Tier 1 (High Commercial &amp; Social)</t>
        </is>
      </c>
    </row>
    <row r="22">
      <c r="A22" s="23" t="n">
        <v>1</v>
      </c>
      <c r="B22" s="23" t="n">
        <v>18</v>
      </c>
      <c r="C22" s="23" t="n">
        <v>18</v>
      </c>
      <c r="D22" s="23" t="inlineStr">
        <is>
          <t>0402118052</t>
        </is>
      </c>
      <c r="E22" s="11" t="inlineStr">
        <is>
          <t>Region IV-A (CALABARZON)</t>
        </is>
      </c>
      <c r="F22" s="11" t="inlineStr">
        <is>
          <t>Cavite</t>
        </is>
      </c>
      <c r="G22" s="11" t="inlineStr">
        <is>
          <t>Silang</t>
        </is>
      </c>
      <c r="H22" s="11" t="inlineStr">
        <is>
          <t>Narra I</t>
        </is>
      </c>
      <c r="I22" s="24" t="n">
        <v>14.278724</v>
      </c>
      <c r="J22" s="24" t="n">
        <v>120.994969</v>
      </c>
      <c r="K22" s="23" t="inlineStr">
        <is>
          <t>R</t>
        </is>
      </c>
      <c r="L22" s="25" t="n">
        <v>3334</v>
      </c>
      <c r="M22" s="26" t="n">
        <v>3.4</v>
      </c>
      <c r="N22" s="25">
        <f>ROUND(L22/M22, 0)</f>
        <v/>
      </c>
      <c r="O22" s="25">
        <f>ROUND(N22*'Methodology &amp; Assumptions'!$B$7, 0)</f>
        <v/>
      </c>
      <c r="P22" s="23" t="inlineStr">
        <is>
          <t>Single Carrier (Band n50, 100MHz TDD)</t>
        </is>
      </c>
      <c r="Q22" s="27">
        <f>ROUNDUP(O22/'Methodology &amp; Assumptions'!$B$8, 0)</f>
        <v/>
      </c>
      <c r="R22" s="27" t="n">
        <v>1</v>
      </c>
      <c r="S22" s="26" t="n">
        <v>0.87</v>
      </c>
      <c r="T22" s="26" t="n">
        <v>3.12</v>
      </c>
      <c r="U22" s="11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26" t="n">
        <v>81.87</v>
      </c>
      <c r="W22" s="26" t="n">
        <v>71.22</v>
      </c>
      <c r="X22" s="26">
        <f>ROUND(('Methodology &amp; Assumptions'!$B$5*V22) + ('Methodology &amp; Assumptions'!$B$6*W22), 2)</f>
        <v/>
      </c>
      <c r="Y22" s="28" t="n">
        <v>7.2</v>
      </c>
      <c r="Z22" s="11" t="inlineStr">
        <is>
          <t>Priority Tier 1 (High Commercial &amp; Social)</t>
        </is>
      </c>
    </row>
    <row r="23">
      <c r="A23" s="23" t="n">
        <v>1</v>
      </c>
      <c r="B23" s="23" t="n">
        <v>19</v>
      </c>
      <c r="C23" s="23" t="n">
        <v>19</v>
      </c>
      <c r="D23" s="23" t="inlineStr">
        <is>
          <t>0402106069</t>
        </is>
      </c>
      <c r="E23" s="11" t="inlineStr">
        <is>
          <t>Region IV-A (CALABARZON)</t>
        </is>
      </c>
      <c r="F23" s="11" t="inlineStr">
        <is>
          <t>Cavite</t>
        </is>
      </c>
      <c r="G23" s="11" t="inlineStr">
        <is>
          <t>City of Dasmariñas</t>
        </is>
      </c>
      <c r="H23" s="11" t="inlineStr">
        <is>
          <t>San Francisco II</t>
        </is>
      </c>
      <c r="I23" s="24" t="n">
        <v>14.320657</v>
      </c>
      <c r="J23" s="24" t="n">
        <v>120.964228</v>
      </c>
      <c r="K23" s="23" t="inlineStr">
        <is>
          <t>R</t>
        </is>
      </c>
      <c r="L23" s="25" t="n">
        <v>3540</v>
      </c>
      <c r="M23" s="26" t="n">
        <v>3.4</v>
      </c>
      <c r="N23" s="25">
        <f>ROUND(L23/M23, 0)</f>
        <v/>
      </c>
      <c r="O23" s="25">
        <f>ROUND(N23*'Methodology &amp; Assumptions'!$B$7, 0)</f>
        <v/>
      </c>
      <c r="P23" s="23" t="inlineStr">
        <is>
          <t>Single Carrier (Band n50, 100MHz TDD)</t>
        </is>
      </c>
      <c r="Q23" s="27">
        <f>ROUNDUP(O23/'Methodology &amp; Assumptions'!$B$8, 0)</f>
        <v/>
      </c>
      <c r="R23" s="27" t="n">
        <v>1</v>
      </c>
      <c r="S23" s="26" t="n">
        <v>0.93</v>
      </c>
      <c r="T23" s="26" t="n">
        <v>2.4</v>
      </c>
      <c r="U23" s="11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26" t="n">
        <v>81.63</v>
      </c>
      <c r="W23" s="26" t="n">
        <v>71.27</v>
      </c>
      <c r="X23" s="26">
        <f>ROUND(('Methodology &amp; Assumptions'!$B$5*V23) + ('Methodology &amp; Assumptions'!$B$6*W23), 2)</f>
        <v/>
      </c>
      <c r="Y23" s="28" t="n">
        <v>7.2</v>
      </c>
      <c r="Z23" s="11" t="inlineStr">
        <is>
          <t>Priority Tier 1 (High Commercial &amp; Social)</t>
        </is>
      </c>
    </row>
    <row r="24">
      <c r="A24" s="23" t="n">
        <v>1</v>
      </c>
      <c r="B24" s="23" t="n">
        <v>20</v>
      </c>
      <c r="C24" s="23" t="n">
        <v>20</v>
      </c>
      <c r="D24" s="23" t="inlineStr">
        <is>
          <t>0402123004</t>
        </is>
      </c>
      <c r="E24" s="11" t="inlineStr">
        <is>
          <t>Region IV-A (CALABARZON)</t>
        </is>
      </c>
      <c r="F24" s="11" t="inlineStr">
        <is>
          <t>Cavite</t>
        </is>
      </c>
      <c r="G24" s="11" t="inlineStr">
        <is>
          <t>Gen. Mariano Alvarez</t>
        </is>
      </c>
      <c r="H24" s="11" t="inlineStr">
        <is>
          <t>Barangay 3 Poblacion</t>
        </is>
      </c>
      <c r="I24" s="24" t="n">
        <v>14.291561</v>
      </c>
      <c r="J24" s="24" t="n">
        <v>121.009498</v>
      </c>
      <c r="K24" s="23" t="inlineStr">
        <is>
          <t>R</t>
        </is>
      </c>
      <c r="L24" s="25" t="n">
        <v>2589</v>
      </c>
      <c r="M24" s="26" t="n">
        <v>3.4</v>
      </c>
      <c r="N24" s="25">
        <f>ROUND(L24/M24, 0)</f>
        <v/>
      </c>
      <c r="O24" s="25">
        <f>ROUND(N24*'Methodology &amp; Assumptions'!$B$7, 0)</f>
        <v/>
      </c>
      <c r="P24" s="23" t="inlineStr">
        <is>
          <t>Single Carrier (Band n50, 100MHz TDD)</t>
        </is>
      </c>
      <c r="Q24" s="27">
        <f>ROUNDUP(O24/'Methodology &amp; Assumptions'!$B$8, 0)</f>
        <v/>
      </c>
      <c r="R24" s="27" t="n">
        <v>1</v>
      </c>
      <c r="S24" s="26" t="n">
        <v>1.29</v>
      </c>
      <c r="T24" s="26" t="n">
        <v>4.87</v>
      </c>
      <c r="U24" s="11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26" t="n">
        <v>78.43000000000001</v>
      </c>
      <c r="W24" s="26" t="n">
        <v>74.36</v>
      </c>
      <c r="X24" s="26">
        <f>ROUND(('Methodology &amp; Assumptions'!$B$5*V24) + ('Methodology &amp; Assumptions'!$B$6*W24), 2)</f>
        <v/>
      </c>
      <c r="Y24" s="28" t="n">
        <v>7.2</v>
      </c>
      <c r="Z24" s="11" t="inlineStr">
        <is>
          <t>Priority Tier 1 (High Commercial &amp; Social)</t>
        </is>
      </c>
    </row>
    <row r="25">
      <c r="A25" s="23" t="n">
        <v>1</v>
      </c>
      <c r="B25" s="23" t="n">
        <v>21</v>
      </c>
      <c r="C25" s="23" t="n">
        <v>21</v>
      </c>
      <c r="D25" s="23" t="inlineStr">
        <is>
          <t>0403403019</t>
        </is>
      </c>
      <c r="E25" s="11" t="inlineStr">
        <is>
          <t>Region IV-A (CALABARZON)</t>
        </is>
      </c>
      <c r="F25" s="11" t="inlineStr">
        <is>
          <t>Laguna</t>
        </is>
      </c>
      <c r="G25" s="11" t="inlineStr">
        <is>
          <t>City of Biñan</t>
        </is>
      </c>
      <c r="H25" s="11" t="inlineStr">
        <is>
          <t>San Antonio</t>
        </is>
      </c>
      <c r="I25" s="24" t="n">
        <v>14.335585</v>
      </c>
      <c r="J25" s="24" t="n">
        <v>121.086466</v>
      </c>
      <c r="K25" s="23" t="inlineStr">
        <is>
          <t>U</t>
        </is>
      </c>
      <c r="L25" s="25" t="n">
        <v>39641</v>
      </c>
      <c r="M25" s="26" t="n">
        <v>3.3</v>
      </c>
      <c r="N25" s="25">
        <f>ROUND(L25/M25, 0)</f>
        <v/>
      </c>
      <c r="O25" s="25">
        <f>ROUND(N25*'Methodology &amp; Assumptions'!$B$7, 0)</f>
        <v/>
      </c>
      <c r="P25" s="23" t="inlineStr">
        <is>
          <t>Single Carrier (Band n50, 100MHz TDD)</t>
        </is>
      </c>
      <c r="Q25" s="27">
        <f>ROUNDUP(O25/'Methodology &amp; Assumptions'!$B$8, 0)</f>
        <v/>
      </c>
      <c r="R25" s="27" t="n">
        <v>1</v>
      </c>
      <c r="S25" s="26" t="n">
        <v>1.2</v>
      </c>
      <c r="T25" s="26" t="n">
        <v>0.4</v>
      </c>
      <c r="U25" s="11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26" t="n">
        <v>75.77</v>
      </c>
      <c r="W25" s="26" t="n">
        <v>76.63</v>
      </c>
      <c r="X25" s="26">
        <f>ROUND(('Methodology &amp; Assumptions'!$B$5*V25) + ('Methodology &amp; Assumptions'!$B$6*W25), 2)</f>
        <v/>
      </c>
      <c r="Y25" s="28" t="n">
        <v>7.2</v>
      </c>
      <c r="Z25" s="11" t="inlineStr">
        <is>
          <t>Priority Tier 1 (High Commercial &amp; Social)</t>
        </is>
      </c>
    </row>
    <row r="26">
      <c r="A26" s="23" t="n">
        <v>1</v>
      </c>
      <c r="B26" s="23" t="n">
        <v>22</v>
      </c>
      <c r="C26" s="23" t="n">
        <v>22</v>
      </c>
      <c r="D26" s="23" t="inlineStr">
        <is>
          <t>0402106029</t>
        </is>
      </c>
      <c r="E26" s="11" t="inlineStr">
        <is>
          <t>Region IV-A (CALABARZON)</t>
        </is>
      </c>
      <c r="F26" s="11" t="inlineStr">
        <is>
          <t>Cavite</t>
        </is>
      </c>
      <c r="G26" s="11" t="inlineStr">
        <is>
          <t>City of Dasmariñas</t>
        </is>
      </c>
      <c r="H26" s="11" t="inlineStr">
        <is>
          <t>San Francisco I</t>
        </is>
      </c>
      <c r="I26" s="24" t="n">
        <v>14.320358</v>
      </c>
      <c r="J26" s="24" t="n">
        <v>120.96634</v>
      </c>
      <c r="K26" s="23" t="inlineStr">
        <is>
          <t>R</t>
        </is>
      </c>
      <c r="L26" s="25" t="n">
        <v>3262</v>
      </c>
      <c r="M26" s="26" t="n">
        <v>3.4</v>
      </c>
      <c r="N26" s="25">
        <f>ROUND(L26/M26, 0)</f>
        <v/>
      </c>
      <c r="O26" s="25">
        <f>ROUND(N26*'Methodology &amp; Assumptions'!$B$7, 0)</f>
        <v/>
      </c>
      <c r="P26" s="23" t="inlineStr">
        <is>
          <t>Single Carrier (Band n50, 100MHz TDD)</t>
        </is>
      </c>
      <c r="Q26" s="27">
        <f>ROUNDUP(O26/'Methodology &amp; Assumptions'!$B$8, 0)</f>
        <v/>
      </c>
      <c r="R26" s="27" t="n">
        <v>1</v>
      </c>
      <c r="S26" s="26" t="n">
        <v>0.88</v>
      </c>
      <c r="T26" s="26" t="n">
        <v>2.47</v>
      </c>
      <c r="U26" s="11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26" t="n">
        <v>81.8</v>
      </c>
      <c r="W26" s="26" t="n">
        <v>70.48999999999999</v>
      </c>
      <c r="X26" s="26">
        <f>ROUND(('Methodology &amp; Assumptions'!$B$5*V26) + ('Methodology &amp; Assumptions'!$B$6*W26), 2)</f>
        <v/>
      </c>
      <c r="Y26" s="28" t="n">
        <v>7.2</v>
      </c>
      <c r="Z26" s="11" t="inlineStr">
        <is>
          <t>Priority Tier 1 (High Commercial &amp; Social)</t>
        </is>
      </c>
    </row>
    <row r="27">
      <c r="A27" s="23" t="n">
        <v>1</v>
      </c>
      <c r="B27" s="23" t="n">
        <v>23</v>
      </c>
      <c r="C27" s="23" t="n">
        <v>23</v>
      </c>
      <c r="D27" s="23" t="inlineStr">
        <is>
          <t>0402106033</t>
        </is>
      </c>
      <c r="E27" s="11" t="inlineStr">
        <is>
          <t>Region IV-A (CALABARZON)</t>
        </is>
      </c>
      <c r="F27" s="11" t="inlineStr">
        <is>
          <t>Cavite</t>
        </is>
      </c>
      <c r="G27" s="11" t="inlineStr">
        <is>
          <t>City of Dasmariñas</t>
        </is>
      </c>
      <c r="H27" s="11" t="inlineStr">
        <is>
          <t>San Luis I</t>
        </is>
      </c>
      <c r="I27" s="24" t="n">
        <v>14.320399</v>
      </c>
      <c r="J27" s="24" t="n">
        <v>120.96632</v>
      </c>
      <c r="K27" s="23" t="inlineStr">
        <is>
          <t>R</t>
        </is>
      </c>
      <c r="L27" s="25" t="n">
        <v>4172</v>
      </c>
      <c r="M27" s="26" t="n">
        <v>3.4</v>
      </c>
      <c r="N27" s="25">
        <f>ROUND(L27/M27, 0)</f>
        <v/>
      </c>
      <c r="O27" s="25">
        <f>ROUND(N27*'Methodology &amp; Assumptions'!$B$7, 0)</f>
        <v/>
      </c>
      <c r="P27" s="23" t="inlineStr">
        <is>
          <t>Single Carrier (Band n50, 100MHz TDD)</t>
        </is>
      </c>
      <c r="Q27" s="27">
        <f>ROUNDUP(O27/'Methodology &amp; Assumptions'!$B$8, 0)</f>
        <v/>
      </c>
      <c r="R27" s="27" t="n">
        <v>1</v>
      </c>
      <c r="S27" s="26" t="n">
        <v>0.89</v>
      </c>
      <c r="T27" s="26" t="n">
        <v>2.47</v>
      </c>
      <c r="U27" s="11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26" t="n">
        <v>81.78</v>
      </c>
      <c r="W27" s="26" t="n">
        <v>69.88</v>
      </c>
      <c r="X27" s="26">
        <f>ROUND(('Methodology &amp; Assumptions'!$B$5*V27) + ('Methodology &amp; Assumptions'!$B$6*W27), 2)</f>
        <v/>
      </c>
      <c r="Y27" s="28" t="n">
        <v>7.2</v>
      </c>
      <c r="Z27" s="11" t="inlineStr">
        <is>
          <t>Priority Tier 1 (High Commercial &amp; Social)</t>
        </is>
      </c>
    </row>
    <row r="28">
      <c r="A28" s="23" t="n">
        <v>1</v>
      </c>
      <c r="B28" s="23" t="n">
        <v>24</v>
      </c>
      <c r="C28" s="23" t="n">
        <v>24</v>
      </c>
      <c r="D28" s="23" t="inlineStr">
        <is>
          <t>0403425017</t>
        </is>
      </c>
      <c r="E28" s="11" t="inlineStr">
        <is>
          <t>Region IV-A (CALABARZON)</t>
        </is>
      </c>
      <c r="F28" s="11" t="inlineStr">
        <is>
          <t>Laguna</t>
        </is>
      </c>
      <c r="G28" s="11" t="inlineStr">
        <is>
          <t>City of San Pedro</t>
        </is>
      </c>
      <c r="H28" s="11" t="inlineStr">
        <is>
          <t>Santo Niño</t>
        </is>
      </c>
      <c r="I28" s="24" t="n">
        <v>14.34559</v>
      </c>
      <c r="J28" s="24" t="n">
        <v>121.055199</v>
      </c>
      <c r="K28" s="23" t="inlineStr">
        <is>
          <t>R</t>
        </is>
      </c>
      <c r="L28" s="25" t="n">
        <v>4266</v>
      </c>
      <c r="M28" s="26" t="n">
        <v>3.3</v>
      </c>
      <c r="N28" s="25">
        <f>ROUND(L28/M28, 0)</f>
        <v/>
      </c>
      <c r="O28" s="25">
        <f>ROUND(N28*'Methodology &amp; Assumptions'!$B$7, 0)</f>
        <v/>
      </c>
      <c r="P28" s="23" t="inlineStr">
        <is>
          <t>Single Carrier (Band n50, 100MHz TDD)</t>
        </is>
      </c>
      <c r="Q28" s="27">
        <f>ROUNDUP(O28/'Methodology &amp; Assumptions'!$B$8, 0)</f>
        <v/>
      </c>
      <c r="R28" s="27" t="n">
        <v>1</v>
      </c>
      <c r="S28" s="26" t="n">
        <v>1.1</v>
      </c>
      <c r="T28" s="26" t="n">
        <v>0.25</v>
      </c>
      <c r="U28" s="11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26" t="n">
        <v>84.48</v>
      </c>
      <c r="W28" s="26" t="n">
        <v>66.98999999999999</v>
      </c>
      <c r="X28" s="26">
        <f>ROUND(('Methodology &amp; Assumptions'!$B$5*V28) + ('Methodology &amp; Assumptions'!$B$6*W28), 2)</f>
        <v/>
      </c>
      <c r="Y28" s="28" t="n">
        <v>7.2</v>
      </c>
      <c r="Z28" s="11" t="inlineStr">
        <is>
          <t>Priority Tier 1 (High Commercial &amp; Social)</t>
        </is>
      </c>
    </row>
    <row r="29">
      <c r="A29" s="23" t="n">
        <v>1</v>
      </c>
      <c r="B29" s="23" t="n">
        <v>25</v>
      </c>
      <c r="C29" s="23" t="n">
        <v>25</v>
      </c>
      <c r="D29" s="23" t="inlineStr">
        <is>
          <t>0405801013</t>
        </is>
      </c>
      <c r="E29" s="11" t="inlineStr">
        <is>
          <t>Region IV-A (CALABARZON)</t>
        </is>
      </c>
      <c r="F29" s="11" t="inlineStr">
        <is>
          <t>Rizal</t>
        </is>
      </c>
      <c r="G29" s="11" t="inlineStr">
        <is>
          <t>Angono</t>
        </is>
      </c>
      <c r="H29" s="11" t="inlineStr">
        <is>
          <t>Santo Niño</t>
        </is>
      </c>
      <c r="I29" s="24" t="n">
        <v>14.52603</v>
      </c>
      <c r="J29" s="24" t="n">
        <v>121.1508</v>
      </c>
      <c r="K29" s="23" t="inlineStr">
        <is>
          <t>R</t>
        </is>
      </c>
      <c r="L29" s="25" t="n">
        <v>2316</v>
      </c>
      <c r="M29" s="26" t="n">
        <v>3.6</v>
      </c>
      <c r="N29" s="25">
        <f>ROUND(L29/M29, 0)</f>
        <v/>
      </c>
      <c r="O29" s="25">
        <f>ROUND(N29*'Methodology &amp; Assumptions'!$B$7, 0)</f>
        <v/>
      </c>
      <c r="P29" s="23" t="inlineStr">
        <is>
          <t>Single Carrier (Band n50, 100MHz TDD)</t>
        </is>
      </c>
      <c r="Q29" s="27">
        <f>ROUNDUP(O29/'Methodology &amp; Assumptions'!$B$8, 0)</f>
        <v/>
      </c>
      <c r="R29" s="27" t="n">
        <v>1</v>
      </c>
      <c r="S29" s="26" t="n">
        <v>0.45</v>
      </c>
      <c r="T29" s="26" t="n">
        <v>0.33</v>
      </c>
      <c r="U29" s="11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26" t="n">
        <v>79.84999999999999</v>
      </c>
      <c r="W29" s="26" t="n">
        <v>71.41</v>
      </c>
      <c r="X29" s="26">
        <f>ROUND(('Methodology &amp; Assumptions'!$B$5*V29) + ('Methodology &amp; Assumptions'!$B$6*W29), 2)</f>
        <v/>
      </c>
      <c r="Y29" s="28" t="n">
        <v>7.2</v>
      </c>
      <c r="Z29" s="11" t="inlineStr">
        <is>
          <t>Priority Tier 1 (High Commercial &amp; Social)</t>
        </is>
      </c>
    </row>
    <row r="30">
      <c r="A30" s="23" t="n">
        <v>1</v>
      </c>
      <c r="B30" s="23" t="n">
        <v>26</v>
      </c>
      <c r="C30" s="23" t="n">
        <v>26</v>
      </c>
      <c r="D30" s="23" t="inlineStr">
        <is>
          <t>0402118061</t>
        </is>
      </c>
      <c r="E30" s="11" t="inlineStr">
        <is>
          <t>Region IV-A (CALABARZON)</t>
        </is>
      </c>
      <c r="F30" s="11" t="inlineStr">
        <is>
          <t>Cavite</t>
        </is>
      </c>
      <c r="G30" s="11" t="inlineStr">
        <is>
          <t>Silang</t>
        </is>
      </c>
      <c r="H30" s="11" t="inlineStr">
        <is>
          <t>Narra III</t>
        </is>
      </c>
      <c r="I30" s="24" t="n">
        <v>14.27831</v>
      </c>
      <c r="J30" s="24" t="n">
        <v>120.993299</v>
      </c>
      <c r="K30" s="23" t="inlineStr">
        <is>
          <t>R</t>
        </is>
      </c>
      <c r="L30" s="25" t="n">
        <v>3393</v>
      </c>
      <c r="M30" s="26" t="n">
        <v>3.4</v>
      </c>
      <c r="N30" s="25">
        <f>ROUND(L30/M30, 0)</f>
        <v/>
      </c>
      <c r="O30" s="25">
        <f>ROUND(N30*'Methodology &amp; Assumptions'!$B$7, 0)</f>
        <v/>
      </c>
      <c r="P30" s="23" t="inlineStr">
        <is>
          <t>Single Carrier (Band n50, 100MHz TDD)</t>
        </is>
      </c>
      <c r="Q30" s="27">
        <f>ROUNDUP(O30/'Methodology &amp; Assumptions'!$B$8, 0)</f>
        <v/>
      </c>
      <c r="R30" s="27" t="n">
        <v>1</v>
      </c>
      <c r="S30" s="26" t="n">
        <v>1.05</v>
      </c>
      <c r="T30" s="26" t="n">
        <v>2.94</v>
      </c>
      <c r="U30" s="11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26" t="n">
        <v>81.17</v>
      </c>
      <c r="W30" s="26" t="n">
        <v>69.95</v>
      </c>
      <c r="X30" s="26">
        <f>ROUND(('Methodology &amp; Assumptions'!$B$5*V30) + ('Methodology &amp; Assumptions'!$B$6*W30), 2)</f>
        <v/>
      </c>
      <c r="Y30" s="28" t="n">
        <v>7.2</v>
      </c>
      <c r="Z30" s="11" t="inlineStr">
        <is>
          <t>Priority Tier 1 (High Commercial &amp; Social)</t>
        </is>
      </c>
    </row>
    <row r="31">
      <c r="A31" s="23" t="n">
        <v>1</v>
      </c>
      <c r="B31" s="23" t="n">
        <v>27</v>
      </c>
      <c r="C31" s="23" t="n">
        <v>27</v>
      </c>
      <c r="D31" s="23" t="inlineStr">
        <is>
          <t>0403403004</t>
        </is>
      </c>
      <c r="E31" s="11" t="inlineStr">
        <is>
          <t>Region IV-A (CALABARZON)</t>
        </is>
      </c>
      <c r="F31" s="11" t="inlineStr">
        <is>
          <t>Laguna</t>
        </is>
      </c>
      <c r="G31" s="11" t="inlineStr">
        <is>
          <t>City of Biñan</t>
        </is>
      </c>
      <c r="H31" s="11" t="inlineStr">
        <is>
          <t>Canlalay</t>
        </is>
      </c>
      <c r="I31" s="24" t="n">
        <v>14.335881</v>
      </c>
      <c r="J31" s="24" t="n">
        <v>121.078502</v>
      </c>
      <c r="K31" s="23" t="inlineStr">
        <is>
          <t>U</t>
        </is>
      </c>
      <c r="L31" s="25" t="n">
        <v>22311</v>
      </c>
      <c r="M31" s="26" t="n">
        <v>3.3</v>
      </c>
      <c r="N31" s="25">
        <f>ROUND(L31/M31, 0)</f>
        <v/>
      </c>
      <c r="O31" s="25">
        <f>ROUND(N31*'Methodology &amp; Assumptions'!$B$7, 0)</f>
        <v/>
      </c>
      <c r="P31" s="23" t="inlineStr">
        <is>
          <t>Single Carrier (Band n50, 100MHz TDD)</t>
        </is>
      </c>
      <c r="Q31" s="27">
        <f>ROUNDUP(O31/'Methodology &amp; Assumptions'!$B$8, 0)</f>
        <v/>
      </c>
      <c r="R31" s="27" t="n">
        <v>1</v>
      </c>
      <c r="S31" s="26" t="n">
        <v>0.42</v>
      </c>
      <c r="T31" s="26" t="n">
        <v>0.08</v>
      </c>
      <c r="U31" s="11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26" t="n">
        <v>78.26000000000001</v>
      </c>
      <c r="W31" s="26" t="n">
        <v>72.77</v>
      </c>
      <c r="X31" s="26">
        <f>ROUND(('Methodology &amp; Assumptions'!$B$5*V31) + ('Methodology &amp; Assumptions'!$B$6*W31), 2)</f>
        <v/>
      </c>
      <c r="Y31" s="28" t="n">
        <v>7.2</v>
      </c>
      <c r="Z31" s="11" t="inlineStr">
        <is>
          <t>Priority Tier 1 (High Commercial &amp; Social)</t>
        </is>
      </c>
    </row>
    <row r="32">
      <c r="A32" s="23" t="n">
        <v>1</v>
      </c>
      <c r="B32" s="23" t="n">
        <v>28</v>
      </c>
      <c r="C32" s="23" t="n">
        <v>28</v>
      </c>
      <c r="D32" s="23" t="inlineStr">
        <is>
          <t>0405802017</t>
        </is>
      </c>
      <c r="E32" s="11" t="inlineStr">
        <is>
          <t>Region IV-A (CALABARZON)</t>
        </is>
      </c>
      <c r="F32" s="11" t="inlineStr">
        <is>
          <t>Rizal</t>
        </is>
      </c>
      <c r="G32" s="11" t="inlineStr">
        <is>
          <t>City of Antipolo</t>
        </is>
      </c>
      <c r="H32" s="11" t="inlineStr">
        <is>
          <t>Santa Cruz</t>
        </is>
      </c>
      <c r="I32" s="24" t="n">
        <v>14.563217</v>
      </c>
      <c r="J32" s="24" t="n">
        <v>121.078007</v>
      </c>
      <c r="K32" s="23" t="inlineStr">
        <is>
          <t>U</t>
        </is>
      </c>
      <c r="L32" s="25" t="n">
        <v>62537</v>
      </c>
      <c r="M32" s="26" t="n">
        <v>3.6</v>
      </c>
      <c r="N32" s="25">
        <f>ROUND(L32/M32, 0)</f>
        <v/>
      </c>
      <c r="O32" s="25">
        <f>ROUND(N32*'Methodology &amp; Assumptions'!$B$7, 0)</f>
        <v/>
      </c>
      <c r="P32" s="23" t="inlineStr">
        <is>
          <t>Single Carrier (Band n50, 100MHz TDD)</t>
        </is>
      </c>
      <c r="Q32" s="27">
        <f>ROUNDUP(O32/'Methodology &amp; Assumptions'!$B$8, 0)</f>
        <v/>
      </c>
      <c r="R32" s="27" t="n">
        <v>1</v>
      </c>
      <c r="S32" s="26" t="n">
        <v>0.43</v>
      </c>
      <c r="T32" s="26" t="n">
        <v>0.29</v>
      </c>
      <c r="U32" s="11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26" t="n">
        <v>76.34</v>
      </c>
      <c r="W32" s="26" t="n">
        <v>74.69</v>
      </c>
      <c r="X32" s="26">
        <f>ROUND(('Methodology &amp; Assumptions'!$B$5*V32) + ('Methodology &amp; Assumptions'!$B$6*W32), 2)</f>
        <v/>
      </c>
      <c r="Y32" s="28" t="n">
        <v>7.2</v>
      </c>
      <c r="Z32" s="11" t="inlineStr">
        <is>
          <t>Priority Tier 1 (High Commercial &amp; Social)</t>
        </is>
      </c>
    </row>
    <row r="33">
      <c r="A33" s="23" t="n">
        <v>1</v>
      </c>
      <c r="B33" s="23" t="n">
        <v>29</v>
      </c>
      <c r="C33" s="23" t="n">
        <v>29</v>
      </c>
      <c r="D33" s="23" t="inlineStr">
        <is>
          <t>0203131023</t>
        </is>
      </c>
      <c r="E33" s="11" t="inlineStr">
        <is>
          <t>Region II (Cagayan Valley)</t>
        </is>
      </c>
      <c r="F33" s="11" t="inlineStr">
        <is>
          <t>Isabela</t>
        </is>
      </c>
      <c r="G33" s="11" t="inlineStr">
        <is>
          <t>San Mariano</t>
        </is>
      </c>
      <c r="H33" s="11" t="inlineStr">
        <is>
          <t>Minanga</t>
        </is>
      </c>
      <c r="I33" s="24" t="n">
        <v>17.006841</v>
      </c>
      <c r="J33" s="24" t="n">
        <v>122.049652</v>
      </c>
      <c r="K33" s="23" t="inlineStr">
        <is>
          <t>R</t>
        </is>
      </c>
      <c r="L33" s="25" t="n">
        <v>4830</v>
      </c>
      <c r="M33" s="26" t="n">
        <v>3.8</v>
      </c>
      <c r="N33" s="25">
        <f>ROUND(L33/M33, 0)</f>
        <v/>
      </c>
      <c r="O33" s="25">
        <f>ROUND(N33*'Methodology &amp; Assumptions'!$B$7, 0)</f>
        <v/>
      </c>
      <c r="P33" s="23" t="inlineStr">
        <is>
          <t>Single Carrier (Band n50, 100MHz TDD)</t>
        </is>
      </c>
      <c r="Q33" s="27">
        <f>ROUNDUP(O33/'Methodology &amp; Assumptions'!$B$8, 0)</f>
        <v/>
      </c>
      <c r="R33" s="27" t="n">
        <v>1</v>
      </c>
      <c r="S33" s="26" t="n">
        <v>4.57</v>
      </c>
      <c r="T33" s="26" t="n">
        <v>19.77</v>
      </c>
      <c r="U33" s="11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26" t="n">
        <v>71.41</v>
      </c>
      <c r="W33" s="26" t="n">
        <v>79.58</v>
      </c>
      <c r="X33" s="26">
        <f>ROUND(('Methodology &amp; Assumptions'!$B$5*V33) + ('Methodology &amp; Assumptions'!$B$6*W33), 2)</f>
        <v/>
      </c>
      <c r="Y33" s="28" t="n">
        <v>8.300000000000001</v>
      </c>
      <c r="Z33" s="11" t="inlineStr">
        <is>
          <t>Priority Tier 1 (High Commercial &amp; Social)</t>
        </is>
      </c>
    </row>
    <row r="34">
      <c r="A34" s="23" t="n">
        <v>1</v>
      </c>
      <c r="B34" s="23" t="n">
        <v>30</v>
      </c>
      <c r="C34" s="23" t="n">
        <v>30</v>
      </c>
      <c r="D34" s="23" t="inlineStr">
        <is>
          <t>0405805020</t>
        </is>
      </c>
      <c r="E34" s="11" t="inlineStr">
        <is>
          <t>Region IV-A (CALABARZON)</t>
        </is>
      </c>
      <c r="F34" s="11" t="inlineStr">
        <is>
          <t>Rizal</t>
        </is>
      </c>
      <c r="G34" s="11" t="inlineStr">
        <is>
          <t>Cainta</t>
        </is>
      </c>
      <c r="H34" s="11" t="inlineStr">
        <is>
          <t>Santo Domingo</t>
        </is>
      </c>
      <c r="I34" s="24" t="n">
        <v>14.583947</v>
      </c>
      <c r="J34" s="24" t="n">
        <v>121.111455</v>
      </c>
      <c r="K34" s="23" t="inlineStr">
        <is>
          <t>U</t>
        </is>
      </c>
      <c r="L34" s="25" t="n">
        <v>45228</v>
      </c>
      <c r="M34" s="26" t="n">
        <v>3.6</v>
      </c>
      <c r="N34" s="25">
        <f>ROUND(L34/M34, 0)</f>
        <v/>
      </c>
      <c r="O34" s="25">
        <f>ROUND(N34*'Methodology &amp; Assumptions'!$B$7, 0)</f>
        <v/>
      </c>
      <c r="P34" s="23" t="inlineStr">
        <is>
          <t>Single Carrier (Band n50, 100MHz TDD)</t>
        </is>
      </c>
      <c r="Q34" s="27">
        <f>ROUNDUP(O34/'Methodology &amp; Assumptions'!$B$8, 0)</f>
        <v/>
      </c>
      <c r="R34" s="27" t="n">
        <v>1</v>
      </c>
      <c r="S34" s="26" t="n">
        <v>1.3</v>
      </c>
      <c r="T34" s="26" t="n">
        <v>0.35</v>
      </c>
      <c r="U34" s="11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26" t="n">
        <v>75.3</v>
      </c>
      <c r="W34" s="26" t="n">
        <v>75.47</v>
      </c>
      <c r="X34" s="26">
        <f>ROUND(('Methodology &amp; Assumptions'!$B$5*V34) + ('Methodology &amp; Assumptions'!$B$6*W34), 2)</f>
        <v/>
      </c>
      <c r="Y34" s="28" t="n">
        <v>7.2</v>
      </c>
      <c r="Z34" s="11" t="inlineStr">
        <is>
          <t>Priority Tier 1 (High Commercial &amp; Social)</t>
        </is>
      </c>
    </row>
    <row r="35">
      <c r="A35" s="23" t="n">
        <v>1</v>
      </c>
      <c r="B35" s="23" t="n">
        <v>31</v>
      </c>
      <c r="C35" s="23" t="n">
        <v>31</v>
      </c>
      <c r="D35" s="23" t="inlineStr">
        <is>
          <t>0402104009</t>
        </is>
      </c>
      <c r="E35" s="11" t="inlineStr">
        <is>
          <t>Region IV-A (CALABARZON)</t>
        </is>
      </c>
      <c r="F35" s="11" t="inlineStr">
        <is>
          <t>Cavite</t>
        </is>
      </c>
      <c r="G35" s="11" t="inlineStr">
        <is>
          <t>Carmona</t>
        </is>
      </c>
      <c r="H35" s="11" t="inlineStr">
        <is>
          <t>Mabuhay</t>
        </is>
      </c>
      <c r="I35" s="24" t="n">
        <v>14.311522</v>
      </c>
      <c r="J35" s="24" t="n">
        <v>121.049541</v>
      </c>
      <c r="K35" s="23" t="inlineStr">
        <is>
          <t>U</t>
        </is>
      </c>
      <c r="L35" s="25" t="n">
        <v>13384</v>
      </c>
      <c r="M35" s="26" t="n">
        <v>3.4</v>
      </c>
      <c r="N35" s="25">
        <f>ROUND(L35/M35, 0)</f>
        <v/>
      </c>
      <c r="O35" s="25">
        <f>ROUND(N35*'Methodology &amp; Assumptions'!$B$7, 0)</f>
        <v/>
      </c>
      <c r="P35" s="23" t="inlineStr">
        <is>
          <t>Single Carrier (Band n50, 100MHz TDD)</t>
        </is>
      </c>
      <c r="Q35" s="27">
        <f>ROUNDUP(O35/'Methodology &amp; Assumptions'!$B$8, 0)</f>
        <v/>
      </c>
      <c r="R35" s="27" t="n">
        <v>1</v>
      </c>
      <c r="S35" s="26" t="n">
        <v>0.09</v>
      </c>
      <c r="T35" s="26" t="n">
        <v>0.09</v>
      </c>
      <c r="U35" s="11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26" t="n">
        <v>78.26000000000001</v>
      </c>
      <c r="W35" s="26" t="n">
        <v>72.27</v>
      </c>
      <c r="X35" s="26">
        <f>ROUND(('Methodology &amp; Assumptions'!$B$5*V35) + ('Methodology &amp; Assumptions'!$B$6*W35), 2)</f>
        <v/>
      </c>
      <c r="Y35" s="28" t="n">
        <v>7.2</v>
      </c>
      <c r="Z35" s="11" t="inlineStr">
        <is>
          <t>Priority Tier 1 (High Commercial &amp; Social)</t>
        </is>
      </c>
    </row>
    <row r="36">
      <c r="A36" s="23" t="n">
        <v>1</v>
      </c>
      <c r="B36" s="23" t="n">
        <v>32</v>
      </c>
      <c r="C36" s="23" t="n">
        <v>32</v>
      </c>
      <c r="D36" s="23" t="inlineStr">
        <is>
          <t>0402118011</t>
        </is>
      </c>
      <c r="E36" s="11" t="inlineStr">
        <is>
          <t>Region IV-A (CALABARZON)</t>
        </is>
      </c>
      <c r="F36" s="11" t="inlineStr">
        <is>
          <t>Cavite</t>
        </is>
      </c>
      <c r="G36" s="11" t="inlineStr">
        <is>
          <t>Silang</t>
        </is>
      </c>
      <c r="H36" s="11" t="inlineStr">
        <is>
          <t>Bulihan</t>
        </is>
      </c>
      <c r="I36" s="24" t="n">
        <v>14.280578</v>
      </c>
      <c r="J36" s="24" t="n">
        <v>120.997026</v>
      </c>
      <c r="K36" s="23" t="inlineStr">
        <is>
          <t>U</t>
        </is>
      </c>
      <c r="L36" s="25" t="n">
        <v>26302</v>
      </c>
      <c r="M36" s="26" t="n">
        <v>3.4</v>
      </c>
      <c r="N36" s="25">
        <f>ROUND(L36/M36, 0)</f>
        <v/>
      </c>
      <c r="O36" s="25">
        <f>ROUND(N36*'Methodology &amp; Assumptions'!$B$7, 0)</f>
        <v/>
      </c>
      <c r="P36" s="23" t="inlineStr">
        <is>
          <t>Single Carrier (Band n50, 100MHz TDD)</t>
        </is>
      </c>
      <c r="Q36" s="27">
        <f>ROUNDUP(O36/'Methodology &amp; Assumptions'!$B$8, 0)</f>
        <v/>
      </c>
      <c r="R36" s="27" t="n">
        <v>1</v>
      </c>
      <c r="S36" s="26" t="n">
        <v>0.58</v>
      </c>
      <c r="T36" s="26" t="n">
        <v>3.4</v>
      </c>
      <c r="U36" s="11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26" t="n">
        <v>75.70999999999999</v>
      </c>
      <c r="W36" s="26" t="n">
        <v>74.67</v>
      </c>
      <c r="X36" s="26">
        <f>ROUND(('Methodology &amp; Assumptions'!$B$5*V36) + ('Methodology &amp; Assumptions'!$B$6*W36), 2)</f>
        <v/>
      </c>
      <c r="Y36" s="28" t="n">
        <v>7.2</v>
      </c>
      <c r="Z36" s="11" t="inlineStr">
        <is>
          <t>Priority Tier 1 (High Commercial &amp; Social)</t>
        </is>
      </c>
    </row>
    <row r="37">
      <c r="A37" s="23" t="n">
        <v>1</v>
      </c>
      <c r="B37" s="23" t="n">
        <v>33</v>
      </c>
      <c r="C37" s="23" t="n">
        <v>33</v>
      </c>
      <c r="D37" s="23" t="inlineStr">
        <is>
          <t>0402118055</t>
        </is>
      </c>
      <c r="E37" s="11" t="inlineStr">
        <is>
          <t>Region IV-A (CALABARZON)</t>
        </is>
      </c>
      <c r="F37" s="11" t="inlineStr">
        <is>
          <t>Cavite</t>
        </is>
      </c>
      <c r="G37" s="11" t="inlineStr">
        <is>
          <t>Silang</t>
        </is>
      </c>
      <c r="H37" s="11" t="inlineStr">
        <is>
          <t>Banaba</t>
        </is>
      </c>
      <c r="I37" s="24" t="n">
        <v>14.28281</v>
      </c>
      <c r="J37" s="24" t="n">
        <v>120.994942</v>
      </c>
      <c r="K37" s="23" t="inlineStr">
        <is>
          <t>U</t>
        </is>
      </c>
      <c r="L37" s="25" t="n">
        <v>6648</v>
      </c>
      <c r="M37" s="26" t="n">
        <v>3.4</v>
      </c>
      <c r="N37" s="25">
        <f>ROUND(L37/M37, 0)</f>
        <v/>
      </c>
      <c r="O37" s="25">
        <f>ROUND(N37*'Methodology &amp; Assumptions'!$B$7, 0)</f>
        <v/>
      </c>
      <c r="P37" s="23" t="inlineStr">
        <is>
          <t>Single Carrier (Band n50, 100MHz TDD)</t>
        </is>
      </c>
      <c r="Q37" s="27">
        <f>ROUNDUP(O37/'Methodology &amp; Assumptions'!$B$8, 0)</f>
        <v/>
      </c>
      <c r="R37" s="27" t="n">
        <v>1</v>
      </c>
      <c r="S37" s="26" t="n">
        <v>0.76</v>
      </c>
      <c r="T37" s="26" t="n">
        <v>3.29</v>
      </c>
      <c r="U37" s="11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26" t="n">
        <v>75.06999999999999</v>
      </c>
      <c r="W37" s="26" t="n">
        <v>75.23</v>
      </c>
      <c r="X37" s="26">
        <f>ROUND(('Methodology &amp; Assumptions'!$B$5*V37) + ('Methodology &amp; Assumptions'!$B$6*W37), 2)</f>
        <v/>
      </c>
      <c r="Y37" s="28" t="n">
        <v>7.2</v>
      </c>
      <c r="Z37" s="11" t="inlineStr">
        <is>
          <t>Priority Tier 1 (High Commercial &amp; Social)</t>
        </is>
      </c>
    </row>
    <row r="38">
      <c r="A38" s="23" t="n">
        <v>1</v>
      </c>
      <c r="B38" s="23" t="n">
        <v>34</v>
      </c>
      <c r="C38" s="23" t="n">
        <v>34</v>
      </c>
      <c r="D38" s="23" t="inlineStr">
        <is>
          <t>0201528010</t>
        </is>
      </c>
      <c r="E38" s="11" t="inlineStr">
        <is>
          <t>Region II (Cagayan Valley)</t>
        </is>
      </c>
      <c r="F38" s="11" t="inlineStr">
        <is>
          <t>Cagayan</t>
        </is>
      </c>
      <c r="G38" s="11" t="inlineStr">
        <is>
          <t>Tuao</t>
        </is>
      </c>
      <c r="H38" s="11" t="inlineStr">
        <is>
          <t>Bulagao</t>
        </is>
      </c>
      <c r="I38" s="24" t="n">
        <v>17.7483</v>
      </c>
      <c r="J38" s="24" t="n">
        <v>121.4371</v>
      </c>
      <c r="K38" s="23" t="inlineStr">
        <is>
          <t>R</t>
        </is>
      </c>
      <c r="L38" s="25" t="n">
        <v>3867</v>
      </c>
      <c r="M38" s="26" t="n">
        <v>3.9</v>
      </c>
      <c r="N38" s="25">
        <f>ROUND(L38/M38, 0)</f>
        <v/>
      </c>
      <c r="O38" s="25">
        <f>ROUND(N38*'Methodology &amp; Assumptions'!$B$7, 0)</f>
        <v/>
      </c>
      <c r="P38" s="23" t="inlineStr">
        <is>
          <t>Single Carrier (Band n50, 100MHz TDD)</t>
        </is>
      </c>
      <c r="Q38" s="27">
        <f>ROUNDUP(O38/'Methodology &amp; Assumptions'!$B$8, 0)</f>
        <v/>
      </c>
      <c r="R38" s="27" t="n">
        <v>1</v>
      </c>
      <c r="S38" s="26" t="n">
        <v>2.93</v>
      </c>
      <c r="T38" s="26" t="n">
        <v>2.34</v>
      </c>
      <c r="U38" s="11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26" t="n">
        <v>74.91</v>
      </c>
      <c r="W38" s="26" t="n">
        <v>75.33</v>
      </c>
      <c r="X38" s="26">
        <f>ROUND(('Methodology &amp; Assumptions'!$B$5*V38) + ('Methodology &amp; Assumptions'!$B$6*W38), 2)</f>
        <v/>
      </c>
      <c r="Y38" s="28" t="n">
        <v>8.300000000000001</v>
      </c>
      <c r="Z38" s="11" t="inlineStr">
        <is>
          <t>Priority Tier 1 (High Commercial &amp; Social)</t>
        </is>
      </c>
    </row>
    <row r="39">
      <c r="A39" s="23" t="n">
        <v>1</v>
      </c>
      <c r="B39" s="23" t="n">
        <v>35</v>
      </c>
      <c r="C39" s="23" t="n">
        <v>35</v>
      </c>
      <c r="D39" s="23" t="inlineStr">
        <is>
          <t>0702232002</t>
        </is>
      </c>
      <c r="E39" s="11" t="inlineStr">
        <is>
          <t>Region VII (Central Visayas)</t>
        </is>
      </c>
      <c r="F39" s="11" t="inlineStr">
        <is>
          <t>Cebu</t>
        </is>
      </c>
      <c r="G39" s="11" t="inlineStr">
        <is>
          <t>Minglanilla</t>
        </is>
      </c>
      <c r="H39" s="11" t="inlineStr">
        <is>
          <t>Calajo-an</t>
        </is>
      </c>
      <c r="I39" s="24" t="n">
        <v>10.239676</v>
      </c>
      <c r="J39" s="24" t="n">
        <v>123.802525</v>
      </c>
      <c r="K39" s="23" t="inlineStr">
        <is>
          <t>U</t>
        </is>
      </c>
      <c r="L39" s="25" t="n">
        <v>13251</v>
      </c>
      <c r="M39" s="26" t="n">
        <v>3.8</v>
      </c>
      <c r="N39" s="25">
        <f>ROUND(L39/M39, 0)</f>
        <v/>
      </c>
      <c r="O39" s="25">
        <f>ROUND(N39*'Methodology &amp; Assumptions'!$B$7, 0)</f>
        <v/>
      </c>
      <c r="P39" s="23" t="inlineStr">
        <is>
          <t>Single Carrier (Band n50, 100MHz TDD)</t>
        </is>
      </c>
      <c r="Q39" s="27">
        <f>ROUNDUP(O39/'Methodology &amp; Assumptions'!$B$8, 0)</f>
        <v/>
      </c>
      <c r="R39" s="27" t="n">
        <v>1</v>
      </c>
      <c r="S39" s="26" t="n">
        <v>0.97</v>
      </c>
      <c r="T39" s="26" t="n">
        <v>0.16</v>
      </c>
      <c r="U39" s="11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26" t="n">
        <v>80.38</v>
      </c>
      <c r="W39" s="26" t="n">
        <v>69.56999999999999</v>
      </c>
      <c r="X39" s="26">
        <f>ROUND(('Methodology &amp; Assumptions'!$B$5*V39) + ('Methodology &amp; Assumptions'!$B$6*W39), 2)</f>
        <v/>
      </c>
      <c r="Y39" s="28" t="n">
        <v>23.7</v>
      </c>
      <c r="Z39" s="11" t="inlineStr">
        <is>
          <t>Priority Tier 1 (High Commercial &amp; Social)</t>
        </is>
      </c>
    </row>
    <row r="40">
      <c r="A40" s="23" t="n">
        <v>1</v>
      </c>
      <c r="B40" s="23" t="n">
        <v>36</v>
      </c>
      <c r="C40" s="23" t="n">
        <v>36</v>
      </c>
      <c r="D40" s="23" t="inlineStr">
        <is>
          <t>0300807008</t>
        </is>
      </c>
      <c r="E40" s="11" t="inlineStr">
        <is>
          <t>Region III (Central Luzon)</t>
        </is>
      </c>
      <c r="F40" s="11" t="inlineStr">
        <is>
          <t>Bataan</t>
        </is>
      </c>
      <c r="G40" s="11" t="inlineStr">
        <is>
          <t>Mariveles</t>
        </is>
      </c>
      <c r="H40" s="11" t="inlineStr">
        <is>
          <t>Poblacion</t>
        </is>
      </c>
      <c r="I40" s="24" t="n">
        <v>14.677783</v>
      </c>
      <c r="J40" s="24" t="n">
        <v>120.54246</v>
      </c>
      <c r="K40" s="23" t="inlineStr">
        <is>
          <t>U</t>
        </is>
      </c>
      <c r="L40" s="25" t="n">
        <v>8835</v>
      </c>
      <c r="M40" s="26" t="n">
        <v>3.6</v>
      </c>
      <c r="N40" s="25">
        <f>ROUND(L40/M40, 0)</f>
        <v/>
      </c>
      <c r="O40" s="25">
        <f>ROUND(N40*'Methodology &amp; Assumptions'!$B$7, 0)</f>
        <v/>
      </c>
      <c r="P40" s="23" t="inlineStr">
        <is>
          <t>Single Carrier (Band n50, 100MHz TDD)</t>
        </is>
      </c>
      <c r="Q40" s="27">
        <f>ROUNDUP(O40/'Methodology &amp; Assumptions'!$B$8, 0)</f>
        <v/>
      </c>
      <c r="R40" s="27" t="n">
        <v>1</v>
      </c>
      <c r="S40" s="26" t="n">
        <v>0.73</v>
      </c>
      <c r="T40" s="26" t="n">
        <v>0.15</v>
      </c>
      <c r="U40" s="11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26" t="n">
        <v>78.43000000000001</v>
      </c>
      <c r="W40" s="26" t="n">
        <v>71.42</v>
      </c>
      <c r="X40" s="26">
        <f>ROUND(('Methodology &amp; Assumptions'!$B$5*V40) + ('Methodology &amp; Assumptions'!$B$6*W40), 2)</f>
        <v/>
      </c>
      <c r="Y40" s="28" t="n">
        <v>8.300000000000001</v>
      </c>
      <c r="Z40" s="11" t="inlineStr">
        <is>
          <t>Priority Tier 1 (High Commercial &amp; Social)</t>
        </is>
      </c>
    </row>
    <row r="41">
      <c r="A41" s="23" t="n">
        <v>1</v>
      </c>
      <c r="B41" s="23" t="n">
        <v>37</v>
      </c>
      <c r="C41" s="23" t="n">
        <v>37</v>
      </c>
      <c r="D41" s="23" t="inlineStr">
        <is>
          <t>0405801009</t>
        </is>
      </c>
      <c r="E41" s="11" t="inlineStr">
        <is>
          <t>Region IV-A (CALABARZON)</t>
        </is>
      </c>
      <c r="F41" s="11" t="inlineStr">
        <is>
          <t>Rizal</t>
        </is>
      </c>
      <c r="G41" s="11" t="inlineStr">
        <is>
          <t>Angono</t>
        </is>
      </c>
      <c r="H41" s="11" t="inlineStr">
        <is>
          <t>San Isidro</t>
        </is>
      </c>
      <c r="I41" s="24" t="n">
        <v>14.52698</v>
      </c>
      <c r="J41" s="24" t="n">
        <v>121.1527</v>
      </c>
      <c r="K41" s="23" t="inlineStr">
        <is>
          <t>U</t>
        </is>
      </c>
      <c r="L41" s="25" t="n">
        <v>32767</v>
      </c>
      <c r="M41" s="26" t="n">
        <v>3.6</v>
      </c>
      <c r="N41" s="25">
        <f>ROUND(L41/M41, 0)</f>
        <v/>
      </c>
      <c r="O41" s="25">
        <f>ROUND(N41*'Methodology &amp; Assumptions'!$B$7, 0)</f>
        <v/>
      </c>
      <c r="P41" s="23" t="inlineStr">
        <is>
          <t>Single Carrier (Band n50, 100MHz TDD)</t>
        </is>
      </c>
      <c r="Q41" s="27">
        <f>ROUNDUP(O41/'Methodology &amp; Assumptions'!$B$8, 0)</f>
        <v/>
      </c>
      <c r="R41" s="27" t="n">
        <v>1</v>
      </c>
      <c r="S41" s="26" t="n">
        <v>0.22</v>
      </c>
      <c r="T41" s="26" t="n">
        <v>0.14</v>
      </c>
      <c r="U41" s="11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26" t="n">
        <v>77.78</v>
      </c>
      <c r="W41" s="26" t="n">
        <v>72.08</v>
      </c>
      <c r="X41" s="26">
        <f>ROUND(('Methodology &amp; Assumptions'!$B$5*V41) + ('Methodology &amp; Assumptions'!$B$6*W41), 2)</f>
        <v/>
      </c>
      <c r="Y41" s="28" t="n">
        <v>7.2</v>
      </c>
      <c r="Z41" s="11" t="inlineStr">
        <is>
          <t>Priority Tier 1 (High Commercial &amp; Social)</t>
        </is>
      </c>
    </row>
    <row r="42">
      <c r="A42" s="23" t="n">
        <v>1</v>
      </c>
      <c r="B42" s="23" t="n">
        <v>38</v>
      </c>
      <c r="C42" s="23" t="n">
        <v>38</v>
      </c>
      <c r="D42" s="23" t="inlineStr">
        <is>
          <t>0405811001</t>
        </is>
      </c>
      <c r="E42" s="11" t="inlineStr">
        <is>
          <t>Region IV-A (CALABARZON)</t>
        </is>
      </c>
      <c r="F42" s="11" t="inlineStr">
        <is>
          <t>Rizal</t>
        </is>
      </c>
      <c r="G42" s="11" t="inlineStr">
        <is>
          <t>San Mateo</t>
        </is>
      </c>
      <c r="H42" s="11" t="inlineStr">
        <is>
          <t>Ampid I</t>
        </is>
      </c>
      <c r="I42" s="24" t="n">
        <v>14.68114</v>
      </c>
      <c r="J42" s="24" t="n">
        <v>121.1193</v>
      </c>
      <c r="K42" s="23" t="inlineStr">
        <is>
          <t>U</t>
        </is>
      </c>
      <c r="L42" s="25" t="n">
        <v>26178</v>
      </c>
      <c r="M42" s="26" t="n">
        <v>3.6</v>
      </c>
      <c r="N42" s="25">
        <f>ROUND(L42/M42, 0)</f>
        <v/>
      </c>
      <c r="O42" s="25">
        <f>ROUND(N42*'Methodology &amp; Assumptions'!$B$7, 0)</f>
        <v/>
      </c>
      <c r="P42" s="23" t="inlineStr">
        <is>
          <t>Single Carrier (Band n50, 100MHz TDD)</t>
        </is>
      </c>
      <c r="Q42" s="27">
        <f>ROUNDUP(O42/'Methodology &amp; Assumptions'!$B$8, 0)</f>
        <v/>
      </c>
      <c r="R42" s="27" t="n">
        <v>1</v>
      </c>
      <c r="S42" s="26" t="n">
        <v>0.72</v>
      </c>
      <c r="T42" s="26" t="n">
        <v>0.18</v>
      </c>
      <c r="U42" s="11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26" t="n">
        <v>78.26000000000001</v>
      </c>
      <c r="W42" s="26" t="n">
        <v>71.44</v>
      </c>
      <c r="X42" s="26">
        <f>ROUND(('Methodology &amp; Assumptions'!$B$5*V42) + ('Methodology &amp; Assumptions'!$B$6*W42), 2)</f>
        <v/>
      </c>
      <c r="Y42" s="28" t="n">
        <v>7.2</v>
      </c>
      <c r="Z42" s="11" t="inlineStr">
        <is>
          <t>Priority Tier 1 (High Commercial &amp; Social)</t>
        </is>
      </c>
    </row>
    <row r="43">
      <c r="A43" s="23" t="n">
        <v>1</v>
      </c>
      <c r="B43" s="23" t="n">
        <v>39</v>
      </c>
      <c r="C43" s="23" t="n">
        <v>39</v>
      </c>
      <c r="D43" s="23" t="inlineStr">
        <is>
          <t>1380400007</t>
        </is>
      </c>
      <c r="E43" s="11" t="inlineStr">
        <is>
          <t>National Capital Region (NCR)</t>
        </is>
      </c>
      <c r="F43" s="11" t="inlineStr">
        <is>
          <t>Third District (Not a Province)</t>
        </is>
      </c>
      <c r="G43" s="11" t="inlineStr">
        <is>
          <t>City of Malabon</t>
        </is>
      </c>
      <c r="H43" s="11" t="inlineStr">
        <is>
          <t>Flores</t>
        </is>
      </c>
      <c r="I43" s="24" t="n">
        <v>14.673785</v>
      </c>
      <c r="J43" s="24" t="n">
        <v>120.943682</v>
      </c>
      <c r="K43" s="23" t="inlineStr">
        <is>
          <t>U</t>
        </is>
      </c>
      <c r="L43" s="25" t="n">
        <v>3977</v>
      </c>
      <c r="M43" s="26" t="n">
        <v>3.55</v>
      </c>
      <c r="N43" s="25">
        <f>ROUND(L43/M43, 0)</f>
        <v/>
      </c>
      <c r="O43" s="25">
        <f>ROUND(N43*'Methodology &amp; Assumptions'!$B$7, 0)</f>
        <v/>
      </c>
      <c r="P43" s="23" t="inlineStr">
        <is>
          <t>Single Carrier (Band n50, 100MHz TDD)</t>
        </is>
      </c>
      <c r="Q43" s="27">
        <f>ROUNDUP(O43/'Methodology &amp; Assumptions'!$B$8, 0)</f>
        <v/>
      </c>
      <c r="R43" s="27" t="n">
        <v>1</v>
      </c>
      <c r="S43" s="26" t="n">
        <v>0.16</v>
      </c>
      <c r="T43" s="26" t="n">
        <v>0.3</v>
      </c>
      <c r="U43" s="11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26" t="n">
        <v>69.09</v>
      </c>
      <c r="W43" s="26" t="n">
        <v>80.47</v>
      </c>
      <c r="X43" s="26">
        <f>ROUND(('Methodology &amp; Assumptions'!$B$5*V43) + ('Methodology &amp; Assumptions'!$B$6*W43), 2)</f>
        <v/>
      </c>
      <c r="Y43" s="28" t="n">
        <v>10.9</v>
      </c>
      <c r="Z43" s="11" t="inlineStr">
        <is>
          <t>Priority Tier 1 (High Commercial &amp; Social)</t>
        </is>
      </c>
    </row>
    <row r="44">
      <c r="A44" s="23" t="n">
        <v>1</v>
      </c>
      <c r="B44" s="23" t="n">
        <v>40</v>
      </c>
      <c r="C44" s="23" t="n">
        <v>40</v>
      </c>
      <c r="D44" s="23" t="inlineStr">
        <is>
          <t>0402106067</t>
        </is>
      </c>
      <c r="E44" s="11" t="inlineStr">
        <is>
          <t>Region IV-A (CALABARZON)</t>
        </is>
      </c>
      <c r="F44" s="11" t="inlineStr">
        <is>
          <t>Cavite</t>
        </is>
      </c>
      <c r="G44" s="11" t="inlineStr">
        <is>
          <t>City of Dasmariñas</t>
        </is>
      </c>
      <c r="H44" s="11" t="inlineStr">
        <is>
          <t>San Andres II</t>
        </is>
      </c>
      <c r="I44" s="24" t="n">
        <v>14.321411</v>
      </c>
      <c r="J44" s="24" t="n">
        <v>120.969534</v>
      </c>
      <c r="K44" s="23" t="inlineStr">
        <is>
          <t>R</t>
        </is>
      </c>
      <c r="L44" s="25" t="n">
        <v>3585</v>
      </c>
      <c r="M44" s="26" t="n">
        <v>3.4</v>
      </c>
      <c r="N44" s="25">
        <f>ROUND(L44/M44, 0)</f>
        <v/>
      </c>
      <c r="O44" s="25">
        <f>ROUND(N44*'Methodology &amp; Assumptions'!$B$7, 0)</f>
        <v/>
      </c>
      <c r="P44" s="23" t="inlineStr">
        <is>
          <t>Single Carrier (Band n50, 100MHz TDD)</t>
        </is>
      </c>
      <c r="Q44" s="27">
        <f>ROUNDUP(O44/'Methodology &amp; Assumptions'!$B$8, 0)</f>
        <v/>
      </c>
      <c r="R44" s="27" t="n">
        <v>1</v>
      </c>
      <c r="S44" s="26" t="n">
        <v>1.08</v>
      </c>
      <c r="T44" s="26" t="n">
        <v>2.72</v>
      </c>
      <c r="U44" s="11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26" t="n">
        <v>81.04000000000001</v>
      </c>
      <c r="W44" s="26" t="n">
        <v>68.31999999999999</v>
      </c>
      <c r="X44" s="26">
        <f>ROUND(('Methodology &amp; Assumptions'!$B$5*V44) + ('Methodology &amp; Assumptions'!$B$6*W44), 2)</f>
        <v/>
      </c>
      <c r="Y44" s="28" t="n">
        <v>7.2</v>
      </c>
      <c r="Z44" s="11" t="inlineStr">
        <is>
          <t>Priority Tier 1 (High Commercial &amp; Social)</t>
        </is>
      </c>
    </row>
    <row r="45">
      <c r="A45" s="23" t="n">
        <v>1</v>
      </c>
      <c r="B45" s="23" t="n">
        <v>41</v>
      </c>
      <c r="C45" s="23" t="n">
        <v>41</v>
      </c>
      <c r="D45" s="23" t="inlineStr">
        <is>
          <t>0402123013</t>
        </is>
      </c>
      <c r="E45" s="11" t="inlineStr">
        <is>
          <t>Region IV-A (CALABARZON)</t>
        </is>
      </c>
      <c r="F45" s="11" t="inlineStr">
        <is>
          <t>Cavite</t>
        </is>
      </c>
      <c r="G45" s="11" t="inlineStr">
        <is>
          <t>Gen. Mariano Alvarez</t>
        </is>
      </c>
      <c r="H45" s="11" t="inlineStr">
        <is>
          <t>Gavino Maderan</t>
        </is>
      </c>
      <c r="I45" s="24" t="n">
        <v>14.288161</v>
      </c>
      <c r="J45" s="24" t="n">
        <v>121.001546</v>
      </c>
      <c r="K45" s="23" t="inlineStr">
        <is>
          <t>U</t>
        </is>
      </c>
      <c r="L45" s="25" t="n">
        <v>9052</v>
      </c>
      <c r="M45" s="26" t="n">
        <v>3.4</v>
      </c>
      <c r="N45" s="25">
        <f>ROUND(L45/M45, 0)</f>
        <v/>
      </c>
      <c r="O45" s="25">
        <f>ROUND(N45*'Methodology &amp; Assumptions'!$B$7, 0)</f>
        <v/>
      </c>
      <c r="P45" s="23" t="inlineStr">
        <is>
          <t>Single Carrier (Band n50, 100MHz TDD)</t>
        </is>
      </c>
      <c r="Q45" s="27">
        <f>ROUNDUP(O45/'Methodology &amp; Assumptions'!$B$8, 0)</f>
        <v/>
      </c>
      <c r="R45" s="27" t="n">
        <v>1</v>
      </c>
      <c r="S45" s="26" t="n">
        <v>0.64</v>
      </c>
      <c r="T45" s="26" t="n">
        <v>4.15</v>
      </c>
      <c r="U45" s="11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26" t="n">
        <v>75.58</v>
      </c>
      <c r="W45" s="26" t="n">
        <v>73.62</v>
      </c>
      <c r="X45" s="26">
        <f>ROUND(('Methodology &amp; Assumptions'!$B$5*V45) + ('Methodology &amp; Assumptions'!$B$6*W45), 2)</f>
        <v/>
      </c>
      <c r="Y45" s="28" t="n">
        <v>7.2</v>
      </c>
      <c r="Z45" s="11" t="inlineStr">
        <is>
          <t>Priority Tier 1 (High Commercial &amp; Social)</t>
        </is>
      </c>
    </row>
    <row r="46">
      <c r="A46" s="23" t="n">
        <v>1</v>
      </c>
      <c r="B46" s="23" t="n">
        <v>42</v>
      </c>
      <c r="C46" s="23" t="n">
        <v>42</v>
      </c>
      <c r="D46" s="23" t="inlineStr">
        <is>
          <t>0402123016</t>
        </is>
      </c>
      <c r="E46" s="11" t="inlineStr">
        <is>
          <t>Region IV-A (CALABARZON)</t>
        </is>
      </c>
      <c r="F46" s="11" t="inlineStr">
        <is>
          <t>Cavite</t>
        </is>
      </c>
      <c r="G46" s="11" t="inlineStr">
        <is>
          <t>Gen. Mariano Alvarez</t>
        </is>
      </c>
      <c r="H46" s="11" t="inlineStr">
        <is>
          <t>Jacinto Lumbreras</t>
        </is>
      </c>
      <c r="I46" s="24" t="n">
        <v>14.291521</v>
      </c>
      <c r="J46" s="24" t="n">
        <v>121.003011</v>
      </c>
      <c r="K46" s="23" t="inlineStr">
        <is>
          <t>R</t>
        </is>
      </c>
      <c r="L46" s="25" t="n">
        <v>4497</v>
      </c>
      <c r="M46" s="26" t="n">
        <v>3.4</v>
      </c>
      <c r="N46" s="25">
        <f>ROUND(L46/M46, 0)</f>
        <v/>
      </c>
      <c r="O46" s="25">
        <f>ROUND(N46*'Methodology &amp; Assumptions'!$B$7, 0)</f>
        <v/>
      </c>
      <c r="P46" s="23" t="inlineStr">
        <is>
          <t>Single Carrier (Band n50, 100MHz TDD)</t>
        </is>
      </c>
      <c r="Q46" s="27">
        <f>ROUNDUP(O46/'Methodology &amp; Assumptions'!$B$8, 0)</f>
        <v/>
      </c>
      <c r="R46" s="27" t="n">
        <v>1</v>
      </c>
      <c r="S46" s="26" t="n">
        <v>1.01</v>
      </c>
      <c r="T46" s="26" t="n">
        <v>4.42</v>
      </c>
      <c r="U46" s="11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26" t="n">
        <v>81.29000000000001</v>
      </c>
      <c r="W46" s="26" t="n">
        <v>67.88</v>
      </c>
      <c r="X46" s="26">
        <f>ROUND(('Methodology &amp; Assumptions'!$B$5*V46) + ('Methodology &amp; Assumptions'!$B$6*W46), 2)</f>
        <v/>
      </c>
      <c r="Y46" s="28" t="n">
        <v>7.2</v>
      </c>
      <c r="Z46" s="11" t="inlineStr">
        <is>
          <t>Priority Tier 1 (High Commercial &amp; Social)</t>
        </is>
      </c>
    </row>
    <row r="47">
      <c r="A47" s="23" t="n">
        <v>1</v>
      </c>
      <c r="B47" s="23" t="n">
        <v>43</v>
      </c>
      <c r="C47" s="23" t="n">
        <v>43</v>
      </c>
      <c r="D47" s="23" t="inlineStr">
        <is>
          <t>0402106051</t>
        </is>
      </c>
      <c r="E47" s="11" t="inlineStr">
        <is>
          <t>Region IV-A (CALABARZON)</t>
        </is>
      </c>
      <c r="F47" s="11" t="inlineStr">
        <is>
          <t>Cavite</t>
        </is>
      </c>
      <c r="G47" s="11" t="inlineStr">
        <is>
          <t>City of Dasmariñas</t>
        </is>
      </c>
      <c r="H47" s="11" t="inlineStr">
        <is>
          <t>Fatima II</t>
        </is>
      </c>
      <c r="I47" s="24" t="n">
        <v>14.315884</v>
      </c>
      <c r="J47" s="24" t="n">
        <v>120.963088</v>
      </c>
      <c r="K47" s="23" t="inlineStr">
        <is>
          <t>U</t>
        </is>
      </c>
      <c r="L47" s="25" t="n">
        <v>4532</v>
      </c>
      <c r="M47" s="26" t="n">
        <v>3.4</v>
      </c>
      <c r="N47" s="25">
        <f>ROUND(L47/M47, 0)</f>
        <v/>
      </c>
      <c r="O47" s="25">
        <f>ROUND(N47*'Methodology &amp; Assumptions'!$B$7, 0)</f>
        <v/>
      </c>
      <c r="P47" s="23" t="inlineStr">
        <is>
          <t>Single Carrier (Band n50, 100MHz TDD)</t>
        </is>
      </c>
      <c r="Q47" s="27">
        <f>ROUNDUP(O47/'Methodology &amp; Assumptions'!$B$8, 0)</f>
        <v/>
      </c>
      <c r="R47" s="27" t="n">
        <v>1</v>
      </c>
      <c r="S47" s="26" t="n">
        <v>0.47</v>
      </c>
      <c r="T47" s="26" t="n">
        <v>1.87</v>
      </c>
      <c r="U47" s="11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26" t="n">
        <v>78.26000000000001</v>
      </c>
      <c r="W47" s="26" t="n">
        <v>70.89</v>
      </c>
      <c r="X47" s="26">
        <f>ROUND(('Methodology &amp; Assumptions'!$B$5*V47) + ('Methodology &amp; Assumptions'!$B$6*W47), 2)</f>
        <v/>
      </c>
      <c r="Y47" s="28" t="n">
        <v>7.2</v>
      </c>
      <c r="Z47" s="11" t="inlineStr">
        <is>
          <t>Priority Tier 1 (High Commercial &amp; Social)</t>
        </is>
      </c>
    </row>
    <row r="48">
      <c r="A48" s="23" t="n">
        <v>1</v>
      </c>
      <c r="B48" s="23" t="n">
        <v>44</v>
      </c>
      <c r="C48" s="23" t="n">
        <v>44</v>
      </c>
      <c r="D48" s="23" t="inlineStr">
        <is>
          <t>0405805017</t>
        </is>
      </c>
      <c r="E48" s="11" t="inlineStr">
        <is>
          <t>Region IV-A (CALABARZON)</t>
        </is>
      </c>
      <c r="F48" s="11" t="inlineStr">
        <is>
          <t>Rizal</t>
        </is>
      </c>
      <c r="G48" s="11" t="inlineStr">
        <is>
          <t>Cainta</t>
        </is>
      </c>
      <c r="H48" s="11" t="inlineStr">
        <is>
          <t>San Roque</t>
        </is>
      </c>
      <c r="I48" s="24" t="n">
        <v>14.57639</v>
      </c>
      <c r="J48" s="24" t="n">
        <v>121.1161</v>
      </c>
      <c r="K48" s="23" t="inlineStr">
        <is>
          <t>U</t>
        </is>
      </c>
      <c r="L48" s="25" t="n">
        <v>9850</v>
      </c>
      <c r="M48" s="26" t="n">
        <v>3.6</v>
      </c>
      <c r="N48" s="25">
        <f>ROUND(L48/M48, 0)</f>
        <v/>
      </c>
      <c r="O48" s="25">
        <f>ROUND(N48*'Methodology &amp; Assumptions'!$B$7, 0)</f>
        <v/>
      </c>
      <c r="P48" s="23" t="inlineStr">
        <is>
          <t>Single Carrier (Band n50, 100MHz TDD)</t>
        </is>
      </c>
      <c r="Q48" s="27">
        <f>ROUNDUP(O48/'Methodology &amp; Assumptions'!$B$8, 0)</f>
        <v/>
      </c>
      <c r="R48" s="27" t="n">
        <v>1</v>
      </c>
      <c r="S48" s="26" t="n">
        <v>1.12</v>
      </c>
      <c r="T48" s="26" t="n">
        <v>0.06</v>
      </c>
      <c r="U48" s="11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26" t="n">
        <v>77.18000000000001</v>
      </c>
      <c r="W48" s="26" t="n">
        <v>71.89</v>
      </c>
      <c r="X48" s="26">
        <f>ROUND(('Methodology &amp; Assumptions'!$B$5*V48) + ('Methodology &amp; Assumptions'!$B$6*W48), 2)</f>
        <v/>
      </c>
      <c r="Y48" s="28" t="n">
        <v>7.2</v>
      </c>
      <c r="Z48" s="11" t="inlineStr">
        <is>
          <t>Priority Tier 1 (High Commercial &amp; Social)</t>
        </is>
      </c>
    </row>
    <row r="49">
      <c r="A49" s="23" t="n">
        <v>1</v>
      </c>
      <c r="B49" s="23" t="n">
        <v>45</v>
      </c>
      <c r="C49" s="23" t="n">
        <v>45</v>
      </c>
      <c r="D49" s="23" t="inlineStr">
        <is>
          <t>0402106021</t>
        </is>
      </c>
      <c r="E49" s="11" t="inlineStr">
        <is>
          <t>Region IV-A (CALABARZON)</t>
        </is>
      </c>
      <c r="F49" s="11" t="inlineStr">
        <is>
          <t>Cavite</t>
        </is>
      </c>
      <c r="G49" s="11" t="inlineStr">
        <is>
          <t>City of Dasmariñas</t>
        </is>
      </c>
      <c r="H49" s="11" t="inlineStr">
        <is>
          <t>Emmanuel Bergado I</t>
        </is>
      </c>
      <c r="I49" s="24" t="n">
        <v>14.316272</v>
      </c>
      <c r="J49" s="24" t="n">
        <v>120.959337</v>
      </c>
      <c r="K49" s="23" t="inlineStr">
        <is>
          <t>U</t>
        </is>
      </c>
      <c r="L49" s="25" t="n">
        <v>8424</v>
      </c>
      <c r="M49" s="26" t="n">
        <v>3.4</v>
      </c>
      <c r="N49" s="25">
        <f>ROUND(L49/M49, 0)</f>
        <v/>
      </c>
      <c r="O49" s="25">
        <f>ROUND(N49*'Methodology &amp; Assumptions'!$B$7, 0)</f>
        <v/>
      </c>
      <c r="P49" s="23" t="inlineStr">
        <is>
          <t>Single Carrier (Band n50, 100MHz TDD)</t>
        </is>
      </c>
      <c r="Q49" s="27">
        <f>ROUNDUP(O49/'Methodology &amp; Assumptions'!$B$8, 0)</f>
        <v/>
      </c>
      <c r="R49" s="27" t="n">
        <v>1</v>
      </c>
      <c r="S49" s="26" t="n">
        <v>0.8100000000000001</v>
      </c>
      <c r="T49" s="26" t="n">
        <v>1.74</v>
      </c>
      <c r="U49" s="11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26" t="n">
        <v>78.26000000000001</v>
      </c>
      <c r="W49" s="26" t="n">
        <v>70.75</v>
      </c>
      <c r="X49" s="26">
        <f>ROUND(('Methodology &amp; Assumptions'!$B$5*V49) + ('Methodology &amp; Assumptions'!$B$6*W49), 2)</f>
        <v/>
      </c>
      <c r="Y49" s="28" t="n">
        <v>7.2</v>
      </c>
      <c r="Z49" s="11" t="inlineStr">
        <is>
          <t>Priority Tier 1 (High Commercial &amp; Social)</t>
        </is>
      </c>
    </row>
    <row r="50">
      <c r="A50" s="23" t="n">
        <v>1</v>
      </c>
      <c r="B50" s="23" t="n">
        <v>46</v>
      </c>
      <c r="C50" s="23" t="n">
        <v>46</v>
      </c>
      <c r="D50" s="23" t="inlineStr">
        <is>
          <t>0102934040</t>
        </is>
      </c>
      <c r="E50" s="11" t="inlineStr">
        <is>
          <t>Region I (Ilocos Region)</t>
        </is>
      </c>
      <c r="F50" s="11" t="inlineStr">
        <is>
          <t>Ilocos Sur</t>
        </is>
      </c>
      <c r="G50" s="11" t="inlineStr">
        <is>
          <t>City of Vigan</t>
        </is>
      </c>
      <c r="H50" s="11" t="inlineStr">
        <is>
          <t>Barangay IX</t>
        </is>
      </c>
      <c r="I50" s="24" t="n">
        <v>17.574056</v>
      </c>
      <c r="J50" s="24" t="n">
        <v>120.390856</v>
      </c>
      <c r="K50" s="23" t="inlineStr">
        <is>
          <t>R</t>
        </is>
      </c>
      <c r="L50" s="25" t="n">
        <v>2598</v>
      </c>
      <c r="M50" s="26" t="n">
        <v>3.8</v>
      </c>
      <c r="N50" s="25">
        <f>ROUND(L50/M50, 0)</f>
        <v/>
      </c>
      <c r="O50" s="25">
        <f>ROUND(N50*'Methodology &amp; Assumptions'!$B$7, 0)</f>
        <v/>
      </c>
      <c r="P50" s="23" t="inlineStr">
        <is>
          <t>Single Carrier (Band n50, 100MHz TDD)</t>
        </is>
      </c>
      <c r="Q50" s="27">
        <f>ROUNDUP(O50/'Methodology &amp; Assumptions'!$B$8, 0)</f>
        <v/>
      </c>
      <c r="R50" s="27" t="n">
        <v>1</v>
      </c>
      <c r="S50" s="26" t="n">
        <v>2.17</v>
      </c>
      <c r="T50" s="26" t="n">
        <v>0.7</v>
      </c>
      <c r="U50" s="11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26" t="n">
        <v>76.40000000000001</v>
      </c>
      <c r="W50" s="26" t="n">
        <v>72.44</v>
      </c>
      <c r="X50" s="26">
        <f>ROUND(('Methodology &amp; Assumptions'!$B$5*V50) + ('Methodology &amp; Assumptions'!$B$6*W50), 2)</f>
        <v/>
      </c>
      <c r="Y50" s="28" t="n">
        <v>8.300000000000001</v>
      </c>
      <c r="Z50" s="11" t="inlineStr">
        <is>
          <t>Priority Tier 1 (High Commercial &amp; Social)</t>
        </is>
      </c>
    </row>
    <row r="51">
      <c r="A51" s="23" t="n">
        <v>1</v>
      </c>
      <c r="B51" s="23" t="n">
        <v>47</v>
      </c>
      <c r="C51" s="23" t="n">
        <v>47</v>
      </c>
      <c r="D51" s="23" t="inlineStr">
        <is>
          <t>0405811011</t>
        </is>
      </c>
      <c r="E51" s="11" t="inlineStr">
        <is>
          <t>Region IV-A (CALABARZON)</t>
        </is>
      </c>
      <c r="F51" s="11" t="inlineStr">
        <is>
          <t>Rizal</t>
        </is>
      </c>
      <c r="G51" s="11" t="inlineStr">
        <is>
          <t>San Mateo</t>
        </is>
      </c>
      <c r="H51" s="11" t="inlineStr">
        <is>
          <t>Ampid II</t>
        </is>
      </c>
      <c r="I51" s="24" t="n">
        <v>14.68597</v>
      </c>
      <c r="J51" s="24" t="n">
        <v>121.119855</v>
      </c>
      <c r="K51" s="23" t="inlineStr">
        <is>
          <t>U</t>
        </is>
      </c>
      <c r="L51" s="25" t="n">
        <v>4458</v>
      </c>
      <c r="M51" s="26" t="n">
        <v>3.6</v>
      </c>
      <c r="N51" s="25">
        <f>ROUND(L51/M51, 0)</f>
        <v/>
      </c>
      <c r="O51" s="25">
        <f>ROUND(N51*'Methodology &amp; Assumptions'!$B$7, 0)</f>
        <v/>
      </c>
      <c r="P51" s="23" t="inlineStr">
        <is>
          <t>Single Carrier (Band n50, 100MHz TDD)</t>
        </is>
      </c>
      <c r="Q51" s="27">
        <f>ROUNDUP(O51/'Methodology &amp; Assumptions'!$B$8, 0)</f>
        <v/>
      </c>
      <c r="R51" s="27" t="n">
        <v>1</v>
      </c>
      <c r="S51" s="26" t="n">
        <v>0.41</v>
      </c>
      <c r="T51" s="26" t="n">
        <v>0.4</v>
      </c>
      <c r="U51" s="11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26" t="n">
        <v>78.26000000000001</v>
      </c>
      <c r="W51" s="26" t="n">
        <v>70.56</v>
      </c>
      <c r="X51" s="26">
        <f>ROUND(('Methodology &amp; Assumptions'!$B$5*V51) + ('Methodology &amp; Assumptions'!$B$6*W51), 2)</f>
        <v/>
      </c>
      <c r="Y51" s="28" t="n">
        <v>7.2</v>
      </c>
      <c r="Z51" s="11" t="inlineStr">
        <is>
          <t>Priority Tier 1 (High Commercial &amp; Social)</t>
        </is>
      </c>
    </row>
    <row r="52">
      <c r="A52" s="23" t="n">
        <v>1</v>
      </c>
      <c r="B52" s="23" t="n">
        <v>48</v>
      </c>
      <c r="C52" s="23" t="n">
        <v>48</v>
      </c>
      <c r="D52" s="23" t="inlineStr">
        <is>
          <t>0201514006</t>
        </is>
      </c>
      <c r="E52" s="11" t="inlineStr">
        <is>
          <t>Region II (Cagayan Valley)</t>
        </is>
      </c>
      <c r="F52" s="11" t="inlineStr">
        <is>
          <t>Cagayan</t>
        </is>
      </c>
      <c r="G52" s="11" t="inlineStr">
        <is>
          <t>Gonzaga</t>
        </is>
      </c>
      <c r="H52" s="11" t="inlineStr">
        <is>
          <t>Cabiraoan</t>
        </is>
      </c>
      <c r="I52" s="24" t="n">
        <v>18.1949</v>
      </c>
      <c r="J52" s="24" t="n">
        <v>122.0502</v>
      </c>
      <c r="K52" s="23" t="inlineStr">
        <is>
          <t>R</t>
        </is>
      </c>
      <c r="L52" s="25" t="n">
        <v>3878</v>
      </c>
      <c r="M52" s="26" t="n">
        <v>3.9</v>
      </c>
      <c r="N52" s="25">
        <f>ROUND(L52/M52, 0)</f>
        <v/>
      </c>
      <c r="O52" s="25">
        <f>ROUND(N52*'Methodology &amp; Assumptions'!$B$7, 0)</f>
        <v/>
      </c>
      <c r="P52" s="23" t="inlineStr">
        <is>
          <t>Single Carrier (Band n50, 100MHz TDD)</t>
        </is>
      </c>
      <c r="Q52" s="27">
        <f>ROUNDUP(O52/'Methodology &amp; Assumptions'!$B$8, 0)</f>
        <v/>
      </c>
      <c r="R52" s="27" t="n">
        <v>1</v>
      </c>
      <c r="S52" s="26" t="n">
        <v>9.34</v>
      </c>
      <c r="T52" s="26" t="n">
        <v>9.32</v>
      </c>
      <c r="U52" s="11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26" t="n">
        <v>65.59999999999999</v>
      </c>
      <c r="W52" s="26" t="n">
        <v>83.2</v>
      </c>
      <c r="X52" s="26">
        <f>ROUND(('Methodology &amp; Assumptions'!$B$5*V52) + ('Methodology &amp; Assumptions'!$B$6*W52), 2)</f>
        <v/>
      </c>
      <c r="Y52" s="28" t="n">
        <v>8.300000000000001</v>
      </c>
      <c r="Z52" s="11" t="inlineStr">
        <is>
          <t>Priority Tier 1 (High Commercial &amp; Social)</t>
        </is>
      </c>
    </row>
    <row r="53">
      <c r="A53" s="23" t="n">
        <v>1</v>
      </c>
      <c r="B53" s="23" t="n">
        <v>49</v>
      </c>
      <c r="C53" s="23" t="n">
        <v>49</v>
      </c>
      <c r="D53" s="23" t="inlineStr">
        <is>
          <t>0402106025</t>
        </is>
      </c>
      <c r="E53" s="11" t="inlineStr">
        <is>
          <t>Region IV-A (CALABARZON)</t>
        </is>
      </c>
      <c r="F53" s="11" t="inlineStr">
        <is>
          <t>Cavite</t>
        </is>
      </c>
      <c r="G53" s="11" t="inlineStr">
        <is>
          <t>City of Dasmariñas</t>
        </is>
      </c>
      <c r="H53" s="11" t="inlineStr">
        <is>
          <t>San Andres I</t>
        </is>
      </c>
      <c r="I53" s="24" t="n">
        <v>14.322224</v>
      </c>
      <c r="J53" s="24" t="n">
        <v>120.968216</v>
      </c>
      <c r="K53" s="23" t="inlineStr">
        <is>
          <t>R</t>
        </is>
      </c>
      <c r="L53" s="25" t="n">
        <v>4484</v>
      </c>
      <c r="M53" s="26" t="n">
        <v>3.4</v>
      </c>
      <c r="N53" s="25">
        <f>ROUND(L53/M53, 0)</f>
        <v/>
      </c>
      <c r="O53" s="25">
        <f>ROUND(N53*'Methodology &amp; Assumptions'!$B$7, 0)</f>
        <v/>
      </c>
      <c r="P53" s="23" t="inlineStr">
        <is>
          <t>Single Carrier (Band n50, 100MHz TDD)</t>
        </is>
      </c>
      <c r="Q53" s="27">
        <f>ROUNDUP(O53/'Methodology &amp; Assumptions'!$B$8, 0)</f>
        <v/>
      </c>
      <c r="R53" s="27" t="n">
        <v>1</v>
      </c>
      <c r="S53" s="26" t="n">
        <v>1.12</v>
      </c>
      <c r="T53" s="26" t="n">
        <v>2.74</v>
      </c>
      <c r="U53" s="11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26" t="n">
        <v>80.88</v>
      </c>
      <c r="W53" s="26" t="n">
        <v>67.90000000000001</v>
      </c>
      <c r="X53" s="26">
        <f>ROUND(('Methodology &amp; Assumptions'!$B$5*V53) + ('Methodology &amp; Assumptions'!$B$6*W53), 2)</f>
        <v/>
      </c>
      <c r="Y53" s="28" t="n">
        <v>7.2</v>
      </c>
      <c r="Z53" s="11" t="inlineStr">
        <is>
          <t>Priority Tier 1 (High Commercial &amp; Social)</t>
        </is>
      </c>
    </row>
    <row r="54">
      <c r="A54" s="23" t="n">
        <v>1</v>
      </c>
      <c r="B54" s="23" t="n">
        <v>50</v>
      </c>
      <c r="C54" s="23" t="n">
        <v>50</v>
      </c>
      <c r="D54" s="23" t="inlineStr">
        <is>
          <t>0403429015</t>
        </is>
      </c>
      <c r="E54" s="11" t="inlineStr">
        <is>
          <t>Region IV-A (CALABARZON)</t>
        </is>
      </c>
      <c r="F54" s="11" t="inlineStr">
        <is>
          <t>Laguna</t>
        </is>
      </c>
      <c r="G54" s="11" t="inlineStr">
        <is>
          <t>Siniloan</t>
        </is>
      </c>
      <c r="H54" s="11" t="inlineStr">
        <is>
          <t>Magsaysay</t>
        </is>
      </c>
      <c r="I54" s="24" t="n">
        <v>14.458051</v>
      </c>
      <c r="J54" s="24" t="n">
        <v>121.515893</v>
      </c>
      <c r="K54" s="23" t="inlineStr">
        <is>
          <t>R</t>
        </is>
      </c>
      <c r="L54" s="25" t="n">
        <v>2603</v>
      </c>
      <c r="M54" s="26" t="n">
        <v>3.3</v>
      </c>
      <c r="N54" s="25">
        <f>ROUND(L54/M54, 0)</f>
        <v/>
      </c>
      <c r="O54" s="25">
        <f>ROUND(N54*'Methodology &amp; Assumptions'!$B$7, 0)</f>
        <v/>
      </c>
      <c r="P54" s="23" t="inlineStr">
        <is>
          <t>Single Carrier (Band n50, 100MHz TDD)</t>
        </is>
      </c>
      <c r="Q54" s="27">
        <f>ROUNDUP(O54/'Methodology &amp; Assumptions'!$B$8, 0)</f>
        <v/>
      </c>
      <c r="R54" s="27" t="n">
        <v>1</v>
      </c>
      <c r="S54" s="26" t="n">
        <v>3.46</v>
      </c>
      <c r="T54" s="26" t="n">
        <v>6.46</v>
      </c>
      <c r="U54" s="11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26" t="n">
        <v>72.65000000000001</v>
      </c>
      <c r="W54" s="26" t="n">
        <v>76.11</v>
      </c>
      <c r="X54" s="26">
        <f>ROUND(('Methodology &amp; Assumptions'!$B$5*V54) + ('Methodology &amp; Assumptions'!$B$6*W54), 2)</f>
        <v/>
      </c>
      <c r="Y54" s="28" t="n">
        <v>7.2</v>
      </c>
      <c r="Z54" s="11" t="inlineStr">
        <is>
          <t>Priority Tier 1 (High Commercial &amp; Social)</t>
        </is>
      </c>
    </row>
    <row r="55">
      <c r="A55" s="23" t="n">
        <v>1</v>
      </c>
      <c r="B55" s="23" t="n">
        <v>51</v>
      </c>
      <c r="C55" s="23" t="n">
        <v>51</v>
      </c>
      <c r="D55" s="23" t="inlineStr">
        <is>
          <t>1102315029</t>
        </is>
      </c>
      <c r="E55" s="11" t="inlineStr">
        <is>
          <t>Region XI (Davao Region)</t>
        </is>
      </c>
      <c r="F55" s="11" t="inlineStr">
        <is>
          <t>Davao del Norte</t>
        </is>
      </c>
      <c r="G55" s="11" t="inlineStr">
        <is>
          <t>City of Panabo</t>
        </is>
      </c>
      <c r="H55" s="11" t="inlineStr">
        <is>
          <t>San Francisco</t>
        </is>
      </c>
      <c r="I55" s="24" t="n">
        <v>7.30771</v>
      </c>
      <c r="J55" s="24" t="n">
        <v>125.68283</v>
      </c>
      <c r="K55" s="23" t="inlineStr">
        <is>
          <t>U</t>
        </is>
      </c>
      <c r="L55" s="25" t="n">
        <v>14187</v>
      </c>
      <c r="M55" s="26" t="n">
        <v>3.7</v>
      </c>
      <c r="N55" s="25">
        <f>ROUND(L55/M55, 0)</f>
        <v/>
      </c>
      <c r="O55" s="25">
        <f>ROUND(N55*'Methodology &amp; Assumptions'!$B$7, 0)</f>
        <v/>
      </c>
      <c r="P55" s="23" t="inlineStr">
        <is>
          <t>Single Carrier (Band n50, 100MHz TDD)</t>
        </is>
      </c>
      <c r="Q55" s="27">
        <f>ROUNDUP(O55/'Methodology &amp; Assumptions'!$B$8, 0)</f>
        <v/>
      </c>
      <c r="R55" s="27" t="n">
        <v>1</v>
      </c>
      <c r="S55" s="26" t="n">
        <v>0.84</v>
      </c>
      <c r="T55" s="26" t="n">
        <v>0.19</v>
      </c>
      <c r="U55" s="11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26" t="n">
        <v>79.87</v>
      </c>
      <c r="W55" s="26" t="n">
        <v>68.81</v>
      </c>
      <c r="X55" s="26">
        <f>ROUND(('Methodology &amp; Assumptions'!$B$5*V55) + ('Methodology &amp; Assumptions'!$B$6*W55), 2)</f>
        <v/>
      </c>
      <c r="Y55" s="28" t="n">
        <v>17.4</v>
      </c>
      <c r="Z55" s="11" t="inlineStr">
        <is>
          <t>Priority Tier 1 (High Commercial &amp; Social)</t>
        </is>
      </c>
    </row>
    <row r="56">
      <c r="A56" s="23" t="n">
        <v>1</v>
      </c>
      <c r="B56" s="23" t="n">
        <v>52</v>
      </c>
      <c r="C56" s="23" t="n">
        <v>52</v>
      </c>
      <c r="D56" s="23" t="inlineStr">
        <is>
          <t>0402106032</t>
        </is>
      </c>
      <c r="E56" s="11" t="inlineStr">
        <is>
          <t>Region IV-A (CALABARZON)</t>
        </is>
      </c>
      <c r="F56" s="11" t="inlineStr">
        <is>
          <t>Cavite</t>
        </is>
      </c>
      <c r="G56" s="11" t="inlineStr">
        <is>
          <t>City of Dasmariñas</t>
        </is>
      </c>
      <c r="H56" s="11" t="inlineStr">
        <is>
          <t>San Lorenzo Ruiz I</t>
        </is>
      </c>
      <c r="I56" s="24" t="n">
        <v>14.311006</v>
      </c>
      <c r="J56" s="24" t="n">
        <v>120.958855</v>
      </c>
      <c r="K56" s="23" t="inlineStr">
        <is>
          <t>R</t>
        </is>
      </c>
      <c r="L56" s="25" t="n">
        <v>3486</v>
      </c>
      <c r="M56" s="26" t="n">
        <v>3.4</v>
      </c>
      <c r="N56" s="25">
        <f>ROUND(L56/M56, 0)</f>
        <v/>
      </c>
      <c r="O56" s="25">
        <f>ROUND(N56*'Methodology &amp; Assumptions'!$B$7, 0)</f>
        <v/>
      </c>
      <c r="P56" s="23" t="inlineStr">
        <is>
          <t>Single Carrier (Band n50, 100MHz TDD)</t>
        </is>
      </c>
      <c r="Q56" s="27">
        <f>ROUNDUP(O56/'Methodology &amp; Assumptions'!$B$8, 0)</f>
        <v/>
      </c>
      <c r="R56" s="27" t="n">
        <v>1</v>
      </c>
      <c r="S56" s="26" t="n">
        <v>0.75</v>
      </c>
      <c r="T56" s="26" t="n">
        <v>1.18</v>
      </c>
      <c r="U56" s="11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26" t="n">
        <v>85.45999999999999</v>
      </c>
      <c r="W56" s="26" t="n">
        <v>63.19</v>
      </c>
      <c r="X56" s="26">
        <f>ROUND(('Methodology &amp; Assumptions'!$B$5*V56) + ('Methodology &amp; Assumptions'!$B$6*W56), 2)</f>
        <v/>
      </c>
      <c r="Y56" s="28" t="n">
        <v>7.2</v>
      </c>
      <c r="Z56" s="11" t="inlineStr">
        <is>
          <t>Priority Tier 1 (High Commercial &amp; Social)</t>
        </is>
      </c>
    </row>
    <row r="57">
      <c r="A57" s="23" t="n">
        <v>1</v>
      </c>
      <c r="B57" s="23" t="n">
        <v>53</v>
      </c>
      <c r="C57" s="23" t="n">
        <v>53</v>
      </c>
      <c r="D57" s="23" t="inlineStr">
        <is>
          <t>0402106071</t>
        </is>
      </c>
      <c r="E57" s="11" t="inlineStr">
        <is>
          <t>Region IV-A (CALABARZON)</t>
        </is>
      </c>
      <c r="F57" s="11" t="inlineStr">
        <is>
          <t>Cavite</t>
        </is>
      </c>
      <c r="G57" s="11" t="inlineStr">
        <is>
          <t>City of Dasmariñas</t>
        </is>
      </c>
      <c r="H57" s="11" t="inlineStr">
        <is>
          <t>San Lorenzo Ruiz II</t>
        </is>
      </c>
      <c r="I57" s="24" t="n">
        <v>14.312637</v>
      </c>
      <c r="J57" s="24" t="n">
        <v>120.957157</v>
      </c>
      <c r="K57" s="23" t="inlineStr">
        <is>
          <t>R</t>
        </is>
      </c>
      <c r="L57" s="25" t="n">
        <v>4500</v>
      </c>
      <c r="M57" s="26" t="n">
        <v>3.4</v>
      </c>
      <c r="N57" s="25">
        <f>ROUND(L57/M57, 0)</f>
        <v/>
      </c>
      <c r="O57" s="25">
        <f>ROUND(N57*'Methodology &amp; Assumptions'!$B$7, 0)</f>
        <v/>
      </c>
      <c r="P57" s="23" t="inlineStr">
        <is>
          <t>Single Carrier (Band n50, 100MHz TDD)</t>
        </is>
      </c>
      <c r="Q57" s="27">
        <f>ROUNDUP(O57/'Methodology &amp; Assumptions'!$B$8, 0)</f>
        <v/>
      </c>
      <c r="R57" s="27" t="n">
        <v>1</v>
      </c>
      <c r="S57" s="26" t="n">
        <v>0.92</v>
      </c>
      <c r="T57" s="26" t="n">
        <v>1.28</v>
      </c>
      <c r="U57" s="11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26" t="n">
        <v>85.15000000000001</v>
      </c>
      <c r="W57" s="26" t="n">
        <v>63.47</v>
      </c>
      <c r="X57" s="26">
        <f>ROUND(('Methodology &amp; Assumptions'!$B$5*V57) + ('Methodology &amp; Assumptions'!$B$6*W57), 2)</f>
        <v/>
      </c>
      <c r="Y57" s="28" t="n">
        <v>7.2</v>
      </c>
      <c r="Z57" s="11" t="inlineStr">
        <is>
          <t>Priority Tier 1 (High Commercial &amp; Social)</t>
        </is>
      </c>
    </row>
    <row r="58">
      <c r="A58" s="23" t="n">
        <v>1</v>
      </c>
      <c r="B58" s="23" t="n">
        <v>54</v>
      </c>
      <c r="C58" s="23" t="n">
        <v>54</v>
      </c>
      <c r="D58" s="23" t="inlineStr">
        <is>
          <t>0300803022</t>
        </is>
      </c>
      <c r="E58" s="11" t="inlineStr">
        <is>
          <t>Region III (Central Luzon)</t>
        </is>
      </c>
      <c r="F58" s="11" t="inlineStr">
        <is>
          <t>Bataan</t>
        </is>
      </c>
      <c r="G58" s="11" t="inlineStr">
        <is>
          <t>City of Balanga</t>
        </is>
      </c>
      <c r="H58" s="11" t="inlineStr">
        <is>
          <t>Tortugas</t>
        </is>
      </c>
      <c r="I58" s="24" t="n">
        <v>14.679486</v>
      </c>
      <c r="J58" s="24" t="n">
        <v>120.534529</v>
      </c>
      <c r="K58" s="23" t="inlineStr">
        <is>
          <t>R</t>
        </is>
      </c>
      <c r="L58" s="25" t="n">
        <v>2979</v>
      </c>
      <c r="M58" s="26" t="n">
        <v>3.6</v>
      </c>
      <c r="N58" s="25">
        <f>ROUND(L58/M58, 0)</f>
        <v/>
      </c>
      <c r="O58" s="25">
        <f>ROUND(N58*'Methodology &amp; Assumptions'!$B$7, 0)</f>
        <v/>
      </c>
      <c r="P58" s="23" t="inlineStr">
        <is>
          <t>Single Carrier (Band n50, 100MHz TDD)</t>
        </is>
      </c>
      <c r="Q58" s="27">
        <f>ROUNDUP(O58/'Methodology &amp; Assumptions'!$B$8, 0)</f>
        <v/>
      </c>
      <c r="R58" s="27" t="n">
        <v>1</v>
      </c>
      <c r="S58" s="26" t="n">
        <v>0.82</v>
      </c>
      <c r="T58" s="26" t="n">
        <v>0.77</v>
      </c>
      <c r="U58" s="11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26" t="n">
        <v>85.63</v>
      </c>
      <c r="W58" s="26" t="n">
        <v>62.89</v>
      </c>
      <c r="X58" s="26">
        <f>ROUND(('Methodology &amp; Assumptions'!$B$5*V58) + ('Methodology &amp; Assumptions'!$B$6*W58), 2)</f>
        <v/>
      </c>
      <c r="Y58" s="28" t="n">
        <v>8.300000000000001</v>
      </c>
      <c r="Z58" s="11" t="inlineStr">
        <is>
          <t>Priority Tier 1 (High Commercial &amp; Social)</t>
        </is>
      </c>
    </row>
    <row r="59">
      <c r="A59" s="23" t="n">
        <v>1</v>
      </c>
      <c r="B59" s="23" t="n">
        <v>55</v>
      </c>
      <c r="C59" s="23" t="n">
        <v>55</v>
      </c>
      <c r="D59" s="23" t="inlineStr">
        <is>
          <t>0300803016</t>
        </is>
      </c>
      <c r="E59" s="11" t="inlineStr">
        <is>
          <t>Region III (Central Luzon)</t>
        </is>
      </c>
      <c r="F59" s="11" t="inlineStr">
        <is>
          <t>Bataan</t>
        </is>
      </c>
      <c r="G59" s="11" t="inlineStr">
        <is>
          <t>City of Balanga</t>
        </is>
      </c>
      <c r="H59" s="11" t="inlineStr">
        <is>
          <t>San Jose</t>
        </is>
      </c>
      <c r="I59" s="24" t="n">
        <v>14.675882</v>
      </c>
      <c r="J59" s="24" t="n">
        <v>120.53593</v>
      </c>
      <c r="K59" s="23" t="inlineStr">
        <is>
          <t>U</t>
        </is>
      </c>
      <c r="L59" s="25" t="n">
        <v>7018</v>
      </c>
      <c r="M59" s="26" t="n">
        <v>3.6</v>
      </c>
      <c r="N59" s="25">
        <f>ROUND(L59/M59, 0)</f>
        <v/>
      </c>
      <c r="O59" s="25">
        <f>ROUND(N59*'Methodology &amp; Assumptions'!$B$7, 0)</f>
        <v/>
      </c>
      <c r="P59" s="23" t="inlineStr">
        <is>
          <t>Single Carrier (Band n50, 100MHz TDD)</t>
        </is>
      </c>
      <c r="Q59" s="27">
        <f>ROUNDUP(O59/'Methodology &amp; Assumptions'!$B$8, 0)</f>
        <v/>
      </c>
      <c r="R59" s="27" t="n">
        <v>1</v>
      </c>
      <c r="S59" s="26" t="n">
        <v>1.07</v>
      </c>
      <c r="T59" s="26" t="n">
        <v>0.83</v>
      </c>
      <c r="U59" s="11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26" t="n">
        <v>77.54000000000001</v>
      </c>
      <c r="W59" s="26" t="n">
        <v>70.70999999999999</v>
      </c>
      <c r="X59" s="26">
        <f>ROUND(('Methodology &amp; Assumptions'!$B$5*V59) + ('Methodology &amp; Assumptions'!$B$6*W59), 2)</f>
        <v/>
      </c>
      <c r="Y59" s="28" t="n">
        <v>8.300000000000001</v>
      </c>
      <c r="Z59" s="11" t="inlineStr">
        <is>
          <t>Priority Tier 1 (High Commercial &amp; Social)</t>
        </is>
      </c>
    </row>
    <row r="60">
      <c r="A60" s="23" t="n">
        <v>1</v>
      </c>
      <c r="B60" s="23" t="n">
        <v>56</v>
      </c>
      <c r="C60" s="23" t="n">
        <v>56</v>
      </c>
      <c r="D60" s="23" t="inlineStr">
        <is>
          <t>1401113001</t>
        </is>
      </c>
      <c r="E60" s="11" t="inlineStr">
        <is>
          <t>Cordillera Administrative Region (CAR)</t>
        </is>
      </c>
      <c r="F60" s="11" t="inlineStr">
        <is>
          <t>Benguet</t>
        </is>
      </c>
      <c r="G60" s="11" t="inlineStr">
        <is>
          <t>Tuba</t>
        </is>
      </c>
      <c r="H60" s="11" t="inlineStr">
        <is>
          <t>Ansagan</t>
        </is>
      </c>
      <c r="I60" s="24" t="n">
        <v>16.225</v>
      </c>
      <c r="J60" s="24" t="n">
        <v>120.60921</v>
      </c>
      <c r="K60" s="23" t="inlineStr">
        <is>
          <t>R</t>
        </is>
      </c>
      <c r="L60" s="25" t="n">
        <v>2370</v>
      </c>
      <c r="M60" s="26" t="n">
        <v>3.5</v>
      </c>
      <c r="N60" s="25">
        <f>ROUND(L60/M60, 0)</f>
        <v/>
      </c>
      <c r="O60" s="25">
        <f>ROUND(N60*'Methodology &amp; Assumptions'!$B$7, 0)</f>
        <v/>
      </c>
      <c r="P60" s="23" t="inlineStr">
        <is>
          <t>Single Carrier (Band n50, 100MHz TDD)</t>
        </is>
      </c>
      <c r="Q60" s="27">
        <f>ROUNDUP(O60/'Methodology &amp; Assumptions'!$B$8, 0)</f>
        <v/>
      </c>
      <c r="R60" s="27" t="n">
        <v>1</v>
      </c>
      <c r="S60" s="26" t="n">
        <v>9.460000000000001</v>
      </c>
      <c r="T60" s="26" t="n">
        <v>10.44</v>
      </c>
      <c r="U60" s="11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26" t="n">
        <v>59.66</v>
      </c>
      <c r="W60" s="26" t="n">
        <v>88.51000000000001</v>
      </c>
      <c r="X60" s="26">
        <f>ROUND(('Methodology &amp; Assumptions'!$B$5*V60) + ('Methodology &amp; Assumptions'!$B$6*W60), 2)</f>
        <v/>
      </c>
      <c r="Y60" s="28" t="n">
        <v>10.9</v>
      </c>
      <c r="Z60" s="11" t="inlineStr">
        <is>
          <t>Priority Tier 1 (High Commercial &amp; Social)</t>
        </is>
      </c>
    </row>
    <row r="61">
      <c r="A61" s="23" t="n">
        <v>1</v>
      </c>
      <c r="B61" s="23" t="n">
        <v>57</v>
      </c>
      <c r="C61" s="23" t="n">
        <v>57</v>
      </c>
      <c r="D61" s="23" t="inlineStr">
        <is>
          <t>0300808004</t>
        </is>
      </c>
      <c r="E61" s="11" t="inlineStr">
        <is>
          <t>Region III (Central Luzon)</t>
        </is>
      </c>
      <c r="F61" s="11" t="inlineStr">
        <is>
          <t>Bataan</t>
        </is>
      </c>
      <c r="G61" s="11" t="inlineStr">
        <is>
          <t>Morong</t>
        </is>
      </c>
      <c r="H61" s="11" t="inlineStr">
        <is>
          <t>Poblacion</t>
        </is>
      </c>
      <c r="I61" s="24" t="n">
        <v>14.677783</v>
      </c>
      <c r="J61" s="24" t="n">
        <v>120.54246</v>
      </c>
      <c r="K61" s="23" t="inlineStr">
        <is>
          <t>U</t>
        </is>
      </c>
      <c r="L61" s="25" t="n">
        <v>7656</v>
      </c>
      <c r="M61" s="26" t="n">
        <v>3.6</v>
      </c>
      <c r="N61" s="25">
        <f>ROUND(L61/M61, 0)</f>
        <v/>
      </c>
      <c r="O61" s="25">
        <f>ROUND(N61*'Methodology &amp; Assumptions'!$B$7, 0)</f>
        <v/>
      </c>
      <c r="P61" s="23" t="inlineStr">
        <is>
          <t>Single Carrier (Band n50, 100MHz TDD)</t>
        </is>
      </c>
      <c r="Q61" s="27">
        <f>ROUNDUP(O61/'Methodology &amp; Assumptions'!$B$8, 0)</f>
        <v/>
      </c>
      <c r="R61" s="27" t="n">
        <v>1</v>
      </c>
      <c r="S61" s="26" t="n">
        <v>0.73</v>
      </c>
      <c r="T61" s="26" t="n">
        <v>0.15</v>
      </c>
      <c r="U61" s="11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26" t="n">
        <v>78.43000000000001</v>
      </c>
      <c r="W61" s="26" t="n">
        <v>69.66</v>
      </c>
      <c r="X61" s="26">
        <f>ROUND(('Methodology &amp; Assumptions'!$B$5*V61) + ('Methodology &amp; Assumptions'!$B$6*W61), 2)</f>
        <v/>
      </c>
      <c r="Y61" s="28" t="n">
        <v>8.300000000000001</v>
      </c>
      <c r="Z61" s="11" t="inlineStr">
        <is>
          <t>Priority Tier 1 (High Commercial &amp; Social)</t>
        </is>
      </c>
    </row>
    <row r="62">
      <c r="A62" s="23" t="n">
        <v>1</v>
      </c>
      <c r="B62" s="23" t="n">
        <v>58</v>
      </c>
      <c r="C62" s="23" t="n">
        <v>58</v>
      </c>
      <c r="D62" s="23" t="inlineStr">
        <is>
          <t>0402106041</t>
        </is>
      </c>
      <c r="E62" s="11" t="inlineStr">
        <is>
          <t>Region IV-A (CALABARZON)</t>
        </is>
      </c>
      <c r="F62" s="11" t="inlineStr">
        <is>
          <t>Cavite</t>
        </is>
      </c>
      <c r="G62" s="11" t="inlineStr">
        <is>
          <t>City of Dasmariñas</t>
        </is>
      </c>
      <c r="H62" s="11" t="inlineStr">
        <is>
          <t>Santa Cruz I</t>
        </is>
      </c>
      <c r="I62" s="24" t="n">
        <v>14.313446</v>
      </c>
      <c r="J62" s="24" t="n">
        <v>120.958692</v>
      </c>
      <c r="K62" s="23" t="inlineStr">
        <is>
          <t>U</t>
        </is>
      </c>
      <c r="L62" s="25" t="n">
        <v>5381</v>
      </c>
      <c r="M62" s="26" t="n">
        <v>3.4</v>
      </c>
      <c r="N62" s="25">
        <f>ROUND(L62/M62, 0)</f>
        <v/>
      </c>
      <c r="O62" s="25">
        <f>ROUND(N62*'Methodology &amp; Assumptions'!$B$7, 0)</f>
        <v/>
      </c>
      <c r="P62" s="23" t="inlineStr">
        <is>
          <t>Single Carrier (Band n50, 100MHz TDD)</t>
        </is>
      </c>
      <c r="Q62" s="27">
        <f>ROUNDUP(O62/'Methodology &amp; Assumptions'!$B$8, 0)</f>
        <v/>
      </c>
      <c r="R62" s="27" t="n">
        <v>1</v>
      </c>
      <c r="S62" s="26" t="n">
        <v>0.76</v>
      </c>
      <c r="T62" s="26" t="n">
        <v>1.42</v>
      </c>
      <c r="U62" s="11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26" t="n">
        <v>78.26000000000001</v>
      </c>
      <c r="W62" s="26" t="n">
        <v>69.59</v>
      </c>
      <c r="X62" s="26">
        <f>ROUND(('Methodology &amp; Assumptions'!$B$5*V62) + ('Methodology &amp; Assumptions'!$B$6*W62), 2)</f>
        <v/>
      </c>
      <c r="Y62" s="28" t="n">
        <v>7.2</v>
      </c>
      <c r="Z62" s="11" t="inlineStr">
        <is>
          <t>Priority Tier 1 (High Commercial &amp; Social)</t>
        </is>
      </c>
    </row>
    <row r="63">
      <c r="A63" s="23" t="n">
        <v>1</v>
      </c>
      <c r="B63" s="23" t="n">
        <v>59</v>
      </c>
      <c r="C63" s="23" t="n">
        <v>59</v>
      </c>
      <c r="D63" s="23" t="inlineStr">
        <is>
          <t>0402103046</t>
        </is>
      </c>
      <c r="E63" s="11" t="inlineStr">
        <is>
          <t>Region IV-A (CALABARZON)</t>
        </is>
      </c>
      <c r="F63" s="11" t="inlineStr">
        <is>
          <t>Cavite</t>
        </is>
      </c>
      <c r="G63" s="11" t="inlineStr">
        <is>
          <t>City of Bacoor</t>
        </is>
      </c>
      <c r="H63" s="11" t="inlineStr">
        <is>
          <t>Molino III</t>
        </is>
      </c>
      <c r="I63" s="24" t="n">
        <v>14.39825</v>
      </c>
      <c r="J63" s="24" t="n">
        <v>120.978445</v>
      </c>
      <c r="K63" s="23" t="inlineStr">
        <is>
          <t>U</t>
        </is>
      </c>
      <c r="L63" s="25" t="n">
        <v>63684</v>
      </c>
      <c r="M63" s="26" t="n">
        <v>3.4</v>
      </c>
      <c r="N63" s="25">
        <f>ROUND(L63/M63, 0)</f>
        <v/>
      </c>
      <c r="O63" s="25">
        <f>ROUND(N63*'Methodology &amp; Assumptions'!$B$7, 0)</f>
        <v/>
      </c>
      <c r="P63" s="23" t="inlineStr">
        <is>
          <t>Single Carrier (Band n50, 100MHz TDD)</t>
        </is>
      </c>
      <c r="Q63" s="27">
        <f>ROUNDUP(O63/'Methodology &amp; Assumptions'!$B$8, 0)</f>
        <v/>
      </c>
      <c r="R63" s="27" t="n">
        <v>1</v>
      </c>
      <c r="S63" s="26" t="n">
        <v>0.35</v>
      </c>
      <c r="T63" s="26" t="n">
        <v>4.95</v>
      </c>
      <c r="U63" s="11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26" t="n">
        <v>74.69</v>
      </c>
      <c r="W63" s="26" t="n">
        <v>73.15000000000001</v>
      </c>
      <c r="X63" s="26">
        <f>ROUND(('Methodology &amp; Assumptions'!$B$5*V63) + ('Methodology &amp; Assumptions'!$B$6*W63), 2)</f>
        <v/>
      </c>
      <c r="Y63" s="28" t="n">
        <v>7.2</v>
      </c>
      <c r="Z63" s="11" t="inlineStr">
        <is>
          <t>Priority Tier 1 (High Commercial &amp; Social)</t>
        </is>
      </c>
    </row>
    <row r="64">
      <c r="A64" s="23" t="n">
        <v>1</v>
      </c>
      <c r="B64" s="23" t="n">
        <v>60</v>
      </c>
      <c r="C64" s="23" t="n">
        <v>60</v>
      </c>
      <c r="D64" s="23" t="inlineStr">
        <is>
          <t>0405811012</t>
        </is>
      </c>
      <c r="E64" s="11" t="inlineStr">
        <is>
          <t>Region IV-A (CALABARZON)</t>
        </is>
      </c>
      <c r="F64" s="11" t="inlineStr">
        <is>
          <t>Rizal</t>
        </is>
      </c>
      <c r="G64" s="11" t="inlineStr">
        <is>
          <t>San Mateo</t>
        </is>
      </c>
      <c r="H64" s="11" t="inlineStr">
        <is>
          <t>Banaba</t>
        </is>
      </c>
      <c r="I64" s="24" t="n">
        <v>14.6763</v>
      </c>
      <c r="J64" s="24" t="n">
        <v>121.1098</v>
      </c>
      <c r="K64" s="23" t="inlineStr">
        <is>
          <t>U</t>
        </is>
      </c>
      <c r="L64" s="25" t="n">
        <v>26718</v>
      </c>
      <c r="M64" s="26" t="n">
        <v>3.6</v>
      </c>
      <c r="N64" s="25">
        <f>ROUND(L64/M64, 0)</f>
        <v/>
      </c>
      <c r="O64" s="25">
        <f>ROUND(N64*'Methodology &amp; Assumptions'!$B$7, 0)</f>
        <v/>
      </c>
      <c r="P64" s="23" t="inlineStr">
        <is>
          <t>Single Carrier (Band n50, 100MHz TDD)</t>
        </is>
      </c>
      <c r="Q64" s="27">
        <f>ROUNDUP(O64/'Methodology &amp; Assumptions'!$B$8, 0)</f>
        <v/>
      </c>
      <c r="R64" s="27" t="n">
        <v>1</v>
      </c>
      <c r="S64" s="26" t="n">
        <v>1.33</v>
      </c>
      <c r="T64" s="26" t="n">
        <v>0.11</v>
      </c>
      <c r="U64" s="11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26" t="n">
        <v>76.37</v>
      </c>
      <c r="W64" s="26" t="n">
        <v>71.43000000000001</v>
      </c>
      <c r="X64" s="26">
        <f>ROUND(('Methodology &amp; Assumptions'!$B$5*V64) + ('Methodology &amp; Assumptions'!$B$6*W64), 2)</f>
        <v/>
      </c>
      <c r="Y64" s="28" t="n">
        <v>7.2</v>
      </c>
      <c r="Z64" s="11" t="inlineStr">
        <is>
          <t>Priority Tier 1 (High Commercial &amp; Social)</t>
        </is>
      </c>
    </row>
    <row r="65">
      <c r="A65" s="23" t="n">
        <v>1</v>
      </c>
      <c r="B65" s="23" t="n">
        <v>61</v>
      </c>
      <c r="C65" s="23" t="n">
        <v>61</v>
      </c>
      <c r="D65" s="23" t="inlineStr">
        <is>
          <t>0102822013</t>
        </is>
      </c>
      <c r="E65" s="11" t="inlineStr">
        <is>
          <t>Region I (Ilocos Region)</t>
        </is>
      </c>
      <c r="F65" s="11" t="inlineStr">
        <is>
          <t>Ilocos Norte</t>
        </is>
      </c>
      <c r="G65" s="11" t="inlineStr">
        <is>
          <t>Solsona</t>
        </is>
      </c>
      <c r="H65" s="11" t="inlineStr">
        <is>
          <t>Manalpac</t>
        </is>
      </c>
      <c r="I65" s="24" t="n">
        <v>18.098377</v>
      </c>
      <c r="J65" s="24" t="n">
        <v>120.832666</v>
      </c>
      <c r="K65" s="23" t="inlineStr">
        <is>
          <t>R</t>
        </is>
      </c>
      <c r="L65" s="25" t="n">
        <v>2162</v>
      </c>
      <c r="M65" s="26" t="n">
        <v>3.7</v>
      </c>
      <c r="N65" s="25">
        <f>ROUND(L65/M65, 0)</f>
        <v/>
      </c>
      <c r="O65" s="25">
        <f>ROUND(N65*'Methodology &amp; Assumptions'!$B$7, 0)</f>
        <v/>
      </c>
      <c r="P65" s="23" t="inlineStr">
        <is>
          <t>Single Carrier (Band n50, 100MHz TDD)</t>
        </is>
      </c>
      <c r="Q65" s="27">
        <f>ROUNDUP(O65/'Methodology &amp; Assumptions'!$B$8, 0)</f>
        <v/>
      </c>
      <c r="R65" s="27" t="n">
        <v>1</v>
      </c>
      <c r="S65" s="26" t="n">
        <v>6.45</v>
      </c>
      <c r="T65" s="26" t="n">
        <v>6.5</v>
      </c>
      <c r="U65" s="11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26" t="n">
        <v>60.83</v>
      </c>
      <c r="W65" s="26" t="n">
        <v>86.98</v>
      </c>
      <c r="X65" s="26">
        <f>ROUND(('Methodology &amp; Assumptions'!$B$5*V65) + ('Methodology &amp; Assumptions'!$B$6*W65), 2)</f>
        <v/>
      </c>
      <c r="Y65" s="28" t="n">
        <v>8.300000000000001</v>
      </c>
      <c r="Z65" s="11" t="inlineStr">
        <is>
          <t>Priority Tier 1 (High Commercial &amp; Social)</t>
        </is>
      </c>
    </row>
    <row r="66">
      <c r="A66" s="23" t="n">
        <v>1</v>
      </c>
      <c r="B66" s="23" t="n">
        <v>62</v>
      </c>
      <c r="C66" s="23" t="n">
        <v>62</v>
      </c>
      <c r="D66" s="23" t="inlineStr">
        <is>
          <t>0307104013</t>
        </is>
      </c>
      <c r="E66" s="11" t="inlineStr">
        <is>
          <t>Region III (Central Luzon)</t>
        </is>
      </c>
      <c r="F66" s="11" t="inlineStr">
        <is>
          <t>Zambales</t>
        </is>
      </c>
      <c r="G66" s="11" t="inlineStr">
        <is>
          <t>Castillejos</t>
        </is>
      </c>
      <c r="H66" s="11" t="inlineStr">
        <is>
          <t>San Pablo</t>
        </is>
      </c>
      <c r="I66" s="24" t="n">
        <v>14.960706</v>
      </c>
      <c r="J66" s="24" t="n">
        <v>120.257042</v>
      </c>
      <c r="K66" s="23" t="inlineStr">
        <is>
          <t>U</t>
        </is>
      </c>
      <c r="L66" s="25" t="n">
        <v>11681</v>
      </c>
      <c r="M66" s="26" t="n">
        <v>3.8</v>
      </c>
      <c r="N66" s="25">
        <f>ROUND(L66/M66, 0)</f>
        <v/>
      </c>
      <c r="O66" s="25">
        <f>ROUND(N66*'Methodology &amp; Assumptions'!$B$7, 0)</f>
        <v/>
      </c>
      <c r="P66" s="23" t="inlineStr">
        <is>
          <t>Single Carrier (Band n50, 100MHz TDD)</t>
        </is>
      </c>
      <c r="Q66" s="27">
        <f>ROUNDUP(O66/'Methodology &amp; Assumptions'!$B$8, 0)</f>
        <v/>
      </c>
      <c r="R66" s="27" t="n">
        <v>1</v>
      </c>
      <c r="S66" s="26" t="n">
        <v>6.94</v>
      </c>
      <c r="T66" s="26" t="n">
        <v>5.62</v>
      </c>
      <c r="U66" s="11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26" t="n">
        <v>60.66</v>
      </c>
      <c r="W66" s="26" t="n">
        <v>87.12</v>
      </c>
      <c r="X66" s="26">
        <f>ROUND(('Methodology &amp; Assumptions'!$B$5*V66) + ('Methodology &amp; Assumptions'!$B$6*W66), 2)</f>
        <v/>
      </c>
      <c r="Y66" s="28" t="n">
        <v>8.300000000000001</v>
      </c>
      <c r="Z66" s="11" t="inlineStr">
        <is>
          <t>Priority Tier 1 (High Commercial &amp; Social)</t>
        </is>
      </c>
    </row>
    <row r="67">
      <c r="A67" s="23" t="n">
        <v>1</v>
      </c>
      <c r="B67" s="23" t="n">
        <v>63</v>
      </c>
      <c r="C67" s="23" t="n">
        <v>63</v>
      </c>
      <c r="D67" s="23" t="inlineStr">
        <is>
          <t>0402106040</t>
        </is>
      </c>
      <c r="E67" s="11" t="inlineStr">
        <is>
          <t>Region IV-A (CALABARZON)</t>
        </is>
      </c>
      <c r="F67" s="11" t="inlineStr">
        <is>
          <t>Cavite</t>
        </is>
      </c>
      <c r="G67" s="11" t="inlineStr">
        <is>
          <t>City of Dasmariñas</t>
        </is>
      </c>
      <c r="H67" s="11" t="inlineStr">
        <is>
          <t>Santa Cristina I</t>
        </is>
      </c>
      <c r="I67" s="24" t="n">
        <v>14.324228</v>
      </c>
      <c r="J67" s="24" t="n">
        <v>120.969322</v>
      </c>
      <c r="K67" s="23" t="inlineStr">
        <is>
          <t>R</t>
        </is>
      </c>
      <c r="L67" s="25" t="n">
        <v>3481</v>
      </c>
      <c r="M67" s="26" t="n">
        <v>3.4</v>
      </c>
      <c r="N67" s="25">
        <f>ROUND(L67/M67, 0)</f>
        <v/>
      </c>
      <c r="O67" s="25">
        <f>ROUND(N67*'Methodology &amp; Assumptions'!$B$7, 0)</f>
        <v/>
      </c>
      <c r="P67" s="23" t="inlineStr">
        <is>
          <t>Single Carrier (Band n50, 100MHz TDD)</t>
        </is>
      </c>
      <c r="Q67" s="27">
        <f>ROUNDUP(O67/'Methodology &amp; Assumptions'!$B$8, 0)</f>
        <v/>
      </c>
      <c r="R67" s="27" t="n">
        <v>1</v>
      </c>
      <c r="S67" s="26" t="n">
        <v>1.37</v>
      </c>
      <c r="T67" s="26" t="n">
        <v>2.99</v>
      </c>
      <c r="U67" s="11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26" t="n">
        <v>79.95999999999999</v>
      </c>
      <c r="W67" s="26" t="n">
        <v>67.8</v>
      </c>
      <c r="X67" s="26">
        <f>ROUND(('Methodology &amp; Assumptions'!$B$5*V67) + ('Methodology &amp; Assumptions'!$B$6*W67), 2)</f>
        <v/>
      </c>
      <c r="Y67" s="28" t="n">
        <v>7.2</v>
      </c>
      <c r="Z67" s="11" t="inlineStr">
        <is>
          <t>Priority Tier 1 (High Commercial &amp; Social)</t>
        </is>
      </c>
    </row>
    <row r="68">
      <c r="A68" s="23" t="n">
        <v>1</v>
      </c>
      <c r="B68" s="23" t="n">
        <v>64</v>
      </c>
      <c r="C68" s="23" t="n">
        <v>64</v>
      </c>
      <c r="D68" s="23" t="inlineStr">
        <is>
          <t>0304904026</t>
        </is>
      </c>
      <c r="E68" s="11" t="inlineStr">
        <is>
          <t>Region III (Central Luzon)</t>
        </is>
      </c>
      <c r="F68" s="11" t="inlineStr">
        <is>
          <t>Nueva Ecija</t>
        </is>
      </c>
      <c r="G68" s="11" t="inlineStr">
        <is>
          <t>Cabiao</t>
        </is>
      </c>
      <c r="H68" s="11" t="inlineStr">
        <is>
          <t>Santa Ines</t>
        </is>
      </c>
      <c r="I68" s="24" t="n">
        <v>15.210696</v>
      </c>
      <c r="J68" s="24" t="n">
        <v>120.890084</v>
      </c>
      <c r="K68" s="23" t="inlineStr">
        <is>
          <t>R</t>
        </is>
      </c>
      <c r="L68" s="25" t="n">
        <v>2373</v>
      </c>
      <c r="M68" s="26" t="n">
        <v>3.5</v>
      </c>
      <c r="N68" s="25">
        <f>ROUND(L68/M68, 0)</f>
        <v/>
      </c>
      <c r="O68" s="25">
        <f>ROUND(N68*'Methodology &amp; Assumptions'!$B$7, 0)</f>
        <v/>
      </c>
      <c r="P68" s="23" t="inlineStr">
        <is>
          <t>Single Carrier (Band n50, 100MHz TDD)</t>
        </is>
      </c>
      <c r="Q68" s="27">
        <f>ROUNDUP(O68/'Methodology &amp; Assumptions'!$B$8, 0)</f>
        <v/>
      </c>
      <c r="R68" s="27" t="n">
        <v>1</v>
      </c>
      <c r="S68" s="26" t="n">
        <v>6.27</v>
      </c>
      <c r="T68" s="26" t="n">
        <v>5.28</v>
      </c>
      <c r="U68" s="11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26" t="n">
        <v>64.09999999999999</v>
      </c>
      <c r="W68" s="26" t="n">
        <v>83.44</v>
      </c>
      <c r="X68" s="26">
        <f>ROUND(('Methodology &amp; Assumptions'!$B$5*V68) + ('Methodology &amp; Assumptions'!$B$6*W68), 2)</f>
        <v/>
      </c>
      <c r="Y68" s="28" t="n">
        <v>8.300000000000001</v>
      </c>
      <c r="Z68" s="11" t="inlineStr">
        <is>
          <t>Priority Tier 1 (High Commercial &amp; Social)</t>
        </is>
      </c>
    </row>
    <row r="69">
      <c r="A69" s="23" t="n">
        <v>1</v>
      </c>
      <c r="B69" s="23" t="n">
        <v>65</v>
      </c>
      <c r="C69" s="23" t="n">
        <v>65</v>
      </c>
      <c r="D69" s="23" t="inlineStr">
        <is>
          <t>0300809010</t>
        </is>
      </c>
      <c r="E69" s="11" t="inlineStr">
        <is>
          <t>Region III (Central Luzon)</t>
        </is>
      </c>
      <c r="F69" s="11" t="inlineStr">
        <is>
          <t>Bataan</t>
        </is>
      </c>
      <c r="G69" s="11" t="inlineStr">
        <is>
          <t>Orani</t>
        </is>
      </c>
      <c r="H69" s="11" t="inlineStr">
        <is>
          <t>Mulawin</t>
        </is>
      </c>
      <c r="I69" s="24" t="n">
        <v>14.801523</v>
      </c>
      <c r="J69" s="24" t="n">
        <v>120.532395</v>
      </c>
      <c r="K69" s="23" t="inlineStr">
        <is>
          <t>R</t>
        </is>
      </c>
      <c r="L69" s="25" t="n">
        <v>4958</v>
      </c>
      <c r="M69" s="26" t="n">
        <v>3.6</v>
      </c>
      <c r="N69" s="25">
        <f>ROUND(L69/M69, 0)</f>
        <v/>
      </c>
      <c r="O69" s="25">
        <f>ROUND(N69*'Methodology &amp; Assumptions'!$B$7, 0)</f>
        <v/>
      </c>
      <c r="P69" s="23" t="inlineStr">
        <is>
          <t>Single Carrier (Band n50, 100MHz TDD)</t>
        </is>
      </c>
      <c r="Q69" s="27">
        <f>ROUNDUP(O69/'Methodology &amp; Assumptions'!$B$8, 0)</f>
        <v/>
      </c>
      <c r="R69" s="27" t="n">
        <v>1</v>
      </c>
      <c r="S69" s="26" t="n">
        <v>0.43</v>
      </c>
      <c r="T69" s="26" t="n">
        <v>0.13</v>
      </c>
      <c r="U69" s="11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26" t="n">
        <v>85.63</v>
      </c>
      <c r="W69" s="26" t="n">
        <v>61.89</v>
      </c>
      <c r="X69" s="26">
        <f>ROUND(('Methodology &amp; Assumptions'!$B$5*V69) + ('Methodology &amp; Assumptions'!$B$6*W69), 2)</f>
        <v/>
      </c>
      <c r="Y69" s="28" t="n">
        <v>8.300000000000001</v>
      </c>
      <c r="Z69" s="11" t="inlineStr">
        <is>
          <t>Priority Tier 1 (High Commercial &amp; Social)</t>
        </is>
      </c>
    </row>
    <row r="70">
      <c r="A70" s="23" t="n">
        <v>1</v>
      </c>
      <c r="B70" s="23" t="n">
        <v>66</v>
      </c>
      <c r="C70" s="23" t="n">
        <v>66</v>
      </c>
      <c r="D70" s="23" t="inlineStr">
        <is>
          <t>1380400003</t>
        </is>
      </c>
      <c r="E70" s="11" t="inlineStr">
        <is>
          <t>National Capital Region (NCR)</t>
        </is>
      </c>
      <c r="F70" s="11" t="inlineStr">
        <is>
          <t>Third District (Not a Province)</t>
        </is>
      </c>
      <c r="G70" s="11" t="inlineStr">
        <is>
          <t>City of Malabon</t>
        </is>
      </c>
      <c r="H70" s="11" t="inlineStr">
        <is>
          <t>Bayan-bayanan</t>
        </is>
      </c>
      <c r="I70" s="24" t="n">
        <v>14.674464</v>
      </c>
      <c r="J70" s="24" t="n">
        <v>120.945302</v>
      </c>
      <c r="K70" s="23" t="inlineStr">
        <is>
          <t>U</t>
        </is>
      </c>
      <c r="L70" s="25" t="n">
        <v>6708</v>
      </c>
      <c r="M70" s="26" t="n">
        <v>3.75</v>
      </c>
      <c r="N70" s="25">
        <f>ROUND(L70/M70, 0)</f>
        <v/>
      </c>
      <c r="O70" s="25">
        <f>ROUND(N70*'Methodology &amp; Assumptions'!$B$7, 0)</f>
        <v/>
      </c>
      <c r="P70" s="23" t="inlineStr">
        <is>
          <t>Single Carrier (Band n50, 100MHz TDD)</t>
        </is>
      </c>
      <c r="Q70" s="27">
        <f>ROUNDUP(O70/'Methodology &amp; Assumptions'!$B$8, 0)</f>
        <v/>
      </c>
      <c r="R70" s="27" t="n">
        <v>1</v>
      </c>
      <c r="S70" s="26" t="n">
        <v>0.12</v>
      </c>
      <c r="T70" s="26" t="n">
        <v>0.37</v>
      </c>
      <c r="U70" s="11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26" t="n">
        <v>69.09</v>
      </c>
      <c r="W70" s="26" t="n">
        <v>78.33</v>
      </c>
      <c r="X70" s="26">
        <f>ROUND(('Methodology &amp; Assumptions'!$B$5*V70) + ('Methodology &amp; Assumptions'!$B$6*W70), 2)</f>
        <v/>
      </c>
      <c r="Y70" s="28" t="n">
        <v>10.9</v>
      </c>
      <c r="Z70" s="11" t="inlineStr">
        <is>
          <t>Priority Tier 1 (High Commercial &amp; Social)</t>
        </is>
      </c>
    </row>
    <row r="71">
      <c r="A71" s="23" t="n">
        <v>1</v>
      </c>
      <c r="B71" s="23" t="n">
        <v>67</v>
      </c>
      <c r="C71" s="23" t="n">
        <v>67</v>
      </c>
      <c r="D71" s="23" t="inlineStr">
        <is>
          <t>0402106022</t>
        </is>
      </c>
      <c r="E71" s="11" t="inlineStr">
        <is>
          <t>Region IV-A (CALABARZON)</t>
        </is>
      </c>
      <c r="F71" s="11" t="inlineStr">
        <is>
          <t>Cavite</t>
        </is>
      </c>
      <c r="G71" s="11" t="inlineStr">
        <is>
          <t>City of Dasmariñas</t>
        </is>
      </c>
      <c r="H71" s="11" t="inlineStr">
        <is>
          <t>Fatima I</t>
        </is>
      </c>
      <c r="I71" s="24" t="n">
        <v>14.317896</v>
      </c>
      <c r="J71" s="24" t="n">
        <v>120.96416</v>
      </c>
      <c r="K71" s="23" t="inlineStr">
        <is>
          <t>U</t>
        </is>
      </c>
      <c r="L71" s="25" t="n">
        <v>7140</v>
      </c>
      <c r="M71" s="26" t="n">
        <v>3.4</v>
      </c>
      <c r="N71" s="25">
        <f>ROUND(L71/M71, 0)</f>
        <v/>
      </c>
      <c r="O71" s="25">
        <f>ROUND(N71*'Methodology &amp; Assumptions'!$B$7, 0)</f>
        <v/>
      </c>
      <c r="P71" s="23" t="inlineStr">
        <is>
          <t>Single Carrier (Band n50, 100MHz TDD)</t>
        </is>
      </c>
      <c r="Q71" s="27">
        <f>ROUNDUP(O71/'Methodology &amp; Assumptions'!$B$8, 0)</f>
        <v/>
      </c>
      <c r="R71" s="27" t="n">
        <v>1</v>
      </c>
      <c r="S71" s="26" t="n">
        <v>0.63</v>
      </c>
      <c r="T71" s="26" t="n">
        <v>2.12</v>
      </c>
      <c r="U71" s="11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26" t="n">
        <v>75.61</v>
      </c>
      <c r="W71" s="26" t="n">
        <v>71.78</v>
      </c>
      <c r="X71" s="26">
        <f>ROUND(('Methodology &amp; Assumptions'!$B$5*V71) + ('Methodology &amp; Assumptions'!$B$6*W71), 2)</f>
        <v/>
      </c>
      <c r="Y71" s="28" t="n">
        <v>7.2</v>
      </c>
      <c r="Z71" s="11" t="inlineStr">
        <is>
          <t>Priority Tier 1 (High Commercial &amp; Social)</t>
        </is>
      </c>
    </row>
    <row r="72">
      <c r="A72" s="23" t="n">
        <v>1</v>
      </c>
      <c r="B72" s="23" t="n">
        <v>68</v>
      </c>
      <c r="C72" s="23" t="n">
        <v>68</v>
      </c>
      <c r="D72" s="23" t="inlineStr">
        <is>
          <t>0402106076</t>
        </is>
      </c>
      <c r="E72" s="11" t="inlineStr">
        <is>
          <t>Region IV-A (CALABARZON)</t>
        </is>
      </c>
      <c r="F72" s="11" t="inlineStr">
        <is>
          <t>Cavite</t>
        </is>
      </c>
      <c r="G72" s="11" t="inlineStr">
        <is>
          <t>City of Dasmariñas</t>
        </is>
      </c>
      <c r="H72" s="11" t="inlineStr">
        <is>
          <t>Santa Cristina II</t>
        </is>
      </c>
      <c r="I72" s="24" t="n">
        <v>14.32417</v>
      </c>
      <c r="J72" s="24" t="n">
        <v>120.966583</v>
      </c>
      <c r="K72" s="23" t="inlineStr">
        <is>
          <t>R</t>
        </is>
      </c>
      <c r="L72" s="25" t="n">
        <v>3690</v>
      </c>
      <c r="M72" s="26" t="n">
        <v>3.4</v>
      </c>
      <c r="N72" s="25">
        <f>ROUND(L72/M72, 0)</f>
        <v/>
      </c>
      <c r="O72" s="25">
        <f>ROUND(N72*'Methodology &amp; Assumptions'!$B$7, 0)</f>
        <v/>
      </c>
      <c r="P72" s="23" t="inlineStr">
        <is>
          <t>Single Carrier (Band n50, 100MHz TDD)</t>
        </is>
      </c>
      <c r="Q72" s="27">
        <f>ROUNDUP(O72/'Methodology &amp; Assumptions'!$B$8, 0)</f>
        <v/>
      </c>
      <c r="R72" s="27" t="n">
        <v>1</v>
      </c>
      <c r="S72" s="26" t="n">
        <v>1.31</v>
      </c>
      <c r="T72" s="26" t="n">
        <v>2.86</v>
      </c>
      <c r="U72" s="11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26" t="n">
        <v>80.18000000000001</v>
      </c>
      <c r="W72" s="26" t="n">
        <v>67.14</v>
      </c>
      <c r="X72" s="26">
        <f>ROUND(('Methodology &amp; Assumptions'!$B$5*V72) + ('Methodology &amp; Assumptions'!$B$6*W72), 2)</f>
        <v/>
      </c>
      <c r="Y72" s="28" t="n">
        <v>7.2</v>
      </c>
      <c r="Z72" s="11" t="inlineStr">
        <is>
          <t>Priority Tier 1 (High Commercial &amp; Social)</t>
        </is>
      </c>
    </row>
    <row r="73">
      <c r="A73" s="23" t="n">
        <v>1</v>
      </c>
      <c r="B73" s="23" t="n">
        <v>69</v>
      </c>
      <c r="C73" s="23" t="n">
        <v>69</v>
      </c>
      <c r="D73" s="23" t="inlineStr">
        <is>
          <t>1380400005</t>
        </is>
      </c>
      <c r="E73" s="11" t="inlineStr">
        <is>
          <t>National Capital Region (NCR)</t>
        </is>
      </c>
      <c r="F73" s="11" t="inlineStr">
        <is>
          <t>Third District (Not a Province)</t>
        </is>
      </c>
      <c r="G73" s="11" t="inlineStr">
        <is>
          <t>City of Malabon</t>
        </is>
      </c>
      <c r="H73" s="11" t="inlineStr">
        <is>
          <t>Concepcion</t>
        </is>
      </c>
      <c r="I73" s="24" t="n">
        <v>14.668785</v>
      </c>
      <c r="J73" s="24" t="n">
        <v>120.946951</v>
      </c>
      <c r="K73" s="23" t="inlineStr">
        <is>
          <t>U</t>
        </is>
      </c>
      <c r="L73" s="25" t="n">
        <v>13098</v>
      </c>
      <c r="M73" s="26" t="n">
        <v>3.47</v>
      </c>
      <c r="N73" s="25">
        <f>ROUND(L73/M73, 0)</f>
        <v/>
      </c>
      <c r="O73" s="25">
        <f>ROUND(N73*'Methodology &amp; Assumptions'!$B$7, 0)</f>
        <v/>
      </c>
      <c r="P73" s="23" t="inlineStr">
        <is>
          <t>Single Carrier (Band n50, 100MHz TDD)</t>
        </is>
      </c>
      <c r="Q73" s="27">
        <f>ROUNDUP(O73/'Methodology &amp; Assumptions'!$B$8, 0)</f>
        <v/>
      </c>
      <c r="R73" s="27" t="n">
        <v>1</v>
      </c>
      <c r="S73" s="26" t="n">
        <v>0.55</v>
      </c>
      <c r="T73" s="26" t="n">
        <v>0.1</v>
      </c>
      <c r="U73" s="11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26" t="n">
        <v>69.09</v>
      </c>
      <c r="W73" s="26" t="n">
        <v>78.11</v>
      </c>
      <c r="X73" s="26">
        <f>ROUND(('Methodology &amp; Assumptions'!$B$5*V73) + ('Methodology &amp; Assumptions'!$B$6*W73), 2)</f>
        <v/>
      </c>
      <c r="Y73" s="28" t="n">
        <v>10.9</v>
      </c>
      <c r="Z73" s="11" t="inlineStr">
        <is>
          <t>Priority Tier 1 (High Commercial &amp; Social)</t>
        </is>
      </c>
    </row>
    <row r="74">
      <c r="A74" s="23" t="n">
        <v>1</v>
      </c>
      <c r="B74" s="23" t="n">
        <v>70</v>
      </c>
      <c r="C74" s="23" t="n">
        <v>70</v>
      </c>
      <c r="D74" s="23" t="inlineStr">
        <is>
          <t>0402106026</t>
        </is>
      </c>
      <c r="E74" s="11" t="inlineStr">
        <is>
          <t>Region IV-A (CALABARZON)</t>
        </is>
      </c>
      <c r="F74" s="11" t="inlineStr">
        <is>
          <t>Cavite</t>
        </is>
      </c>
      <c r="G74" s="11" t="inlineStr">
        <is>
          <t>City of Dasmariñas</t>
        </is>
      </c>
      <c r="H74" s="11" t="inlineStr">
        <is>
          <t>San Antonio De Padua I</t>
        </is>
      </c>
      <c r="I74" s="24" t="n">
        <v>14.318789</v>
      </c>
      <c r="J74" s="24" t="n">
        <v>120.957082</v>
      </c>
      <c r="K74" s="23" t="inlineStr">
        <is>
          <t>U</t>
        </is>
      </c>
      <c r="L74" s="25" t="n">
        <v>3587</v>
      </c>
      <c r="M74" s="26" t="n">
        <v>3.4</v>
      </c>
      <c r="N74" s="25">
        <f>ROUND(L74/M74, 0)</f>
        <v/>
      </c>
      <c r="O74" s="25">
        <f>ROUND(N74*'Methodology &amp; Assumptions'!$B$7, 0)</f>
        <v/>
      </c>
      <c r="P74" s="23" t="inlineStr">
        <is>
          <t>Single Carrier (Band n50, 100MHz TDD)</t>
        </is>
      </c>
      <c r="Q74" s="27">
        <f>ROUNDUP(O74/'Methodology &amp; Assumptions'!$B$8, 0)</f>
        <v/>
      </c>
      <c r="R74" s="27" t="n">
        <v>1</v>
      </c>
      <c r="S74" s="26" t="n">
        <v>1.17</v>
      </c>
      <c r="T74" s="26" t="n">
        <v>1.94</v>
      </c>
      <c r="U74" s="11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26" t="n">
        <v>77.01000000000001</v>
      </c>
      <c r="W74" s="26" t="n">
        <v>70.09</v>
      </c>
      <c r="X74" s="26">
        <f>ROUND(('Methodology &amp; Assumptions'!$B$5*V74) + ('Methodology &amp; Assumptions'!$B$6*W74), 2)</f>
        <v/>
      </c>
      <c r="Y74" s="28" t="n">
        <v>7.2</v>
      </c>
      <c r="Z74" s="11" t="inlineStr">
        <is>
          <t>Priority Tier 1 (High Commercial &amp; Social)</t>
        </is>
      </c>
    </row>
    <row r="75">
      <c r="A75" s="23" t="n">
        <v>1</v>
      </c>
      <c r="B75" s="23" t="n">
        <v>71</v>
      </c>
      <c r="C75" s="23" t="n">
        <v>71</v>
      </c>
      <c r="D75" s="23" t="inlineStr">
        <is>
          <t>0402106038</t>
        </is>
      </c>
      <c r="E75" s="11" t="inlineStr">
        <is>
          <t>Region IV-A (CALABARZON)</t>
        </is>
      </c>
      <c r="F75" s="11" t="inlineStr">
        <is>
          <t>Cavite</t>
        </is>
      </c>
      <c r="G75" s="11" t="inlineStr">
        <is>
          <t>City of Dasmariñas</t>
        </is>
      </c>
      <c r="H75" s="11" t="inlineStr">
        <is>
          <t>San Roque</t>
        </is>
      </c>
      <c r="I75" s="24" t="n">
        <v>14.323554</v>
      </c>
      <c r="J75" s="24" t="n">
        <v>120.968143</v>
      </c>
      <c r="K75" s="23" t="inlineStr">
        <is>
          <t>R</t>
        </is>
      </c>
      <c r="L75" s="25" t="n">
        <v>3006</v>
      </c>
      <c r="M75" s="26" t="n">
        <v>3.4</v>
      </c>
      <c r="N75" s="25">
        <f>ROUND(L75/M75, 0)</f>
        <v/>
      </c>
      <c r="O75" s="25">
        <f>ROUND(N75*'Methodology &amp; Assumptions'!$B$7, 0)</f>
        <v/>
      </c>
      <c r="P75" s="23" t="inlineStr">
        <is>
          <t>Single Carrier (Band n50, 100MHz TDD)</t>
        </is>
      </c>
      <c r="Q75" s="27">
        <f>ROUNDUP(O75/'Methodology &amp; Assumptions'!$B$8, 0)</f>
        <v/>
      </c>
      <c r="R75" s="27" t="n">
        <v>1</v>
      </c>
      <c r="S75" s="26" t="n">
        <v>1.26</v>
      </c>
      <c r="T75" s="26" t="n">
        <v>2.87</v>
      </c>
      <c r="U75" s="11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26" t="n">
        <v>80.34999999999999</v>
      </c>
      <c r="W75" s="26" t="n">
        <v>66.70999999999999</v>
      </c>
      <c r="X75" s="26">
        <f>ROUND(('Methodology &amp; Assumptions'!$B$5*V75) + ('Methodology &amp; Assumptions'!$B$6*W75), 2)</f>
        <v/>
      </c>
      <c r="Y75" s="28" t="n">
        <v>7.2</v>
      </c>
      <c r="Z75" s="11" t="inlineStr">
        <is>
          <t>Priority Tier 1 (High Commercial &amp; Social)</t>
        </is>
      </c>
    </row>
    <row r="76">
      <c r="A76" s="23" t="n">
        <v>1</v>
      </c>
      <c r="B76" s="23" t="n">
        <v>72</v>
      </c>
      <c r="C76" s="23" t="n">
        <v>72</v>
      </c>
      <c r="D76" s="23" t="inlineStr">
        <is>
          <t>1381600012</t>
        </is>
      </c>
      <c r="E76" s="11" t="inlineStr">
        <is>
          <t>National Capital Region (NCR)</t>
        </is>
      </c>
      <c r="F76" s="11" t="inlineStr">
        <is>
          <t>Third District (Not a Province)</t>
        </is>
      </c>
      <c r="G76" s="11" t="inlineStr">
        <is>
          <t>City of Valenzuela</t>
        </is>
      </c>
      <c r="H76" s="11" t="inlineStr">
        <is>
          <t>Isla</t>
        </is>
      </c>
      <c r="I76" s="24" t="n">
        <v>14.706123</v>
      </c>
      <c r="J76" s="24" t="n">
        <v>120.949997</v>
      </c>
      <c r="K76" s="23" t="inlineStr">
        <is>
          <t>U</t>
        </is>
      </c>
      <c r="L76" s="25" t="n">
        <v>5161</v>
      </c>
      <c r="M76" s="26" t="n">
        <v>3.67</v>
      </c>
      <c r="N76" s="25">
        <f>ROUND(L76/M76, 0)</f>
        <v/>
      </c>
      <c r="O76" s="25">
        <f>ROUND(N76*'Methodology &amp; Assumptions'!$B$7, 0)</f>
        <v/>
      </c>
      <c r="P76" s="23" t="inlineStr">
        <is>
          <t>Single Carrier (Band n50, 100MHz TDD)</t>
        </is>
      </c>
      <c r="Q76" s="27">
        <f>ROUNDUP(O76/'Methodology &amp; Assumptions'!$B$8, 0)</f>
        <v/>
      </c>
      <c r="R76" s="27" t="n">
        <v>1</v>
      </c>
      <c r="S76" s="26" t="n">
        <v>1.09</v>
      </c>
      <c r="T76" s="26" t="n">
        <v>1.11</v>
      </c>
      <c r="U76" s="11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26" t="n">
        <v>68.11</v>
      </c>
      <c r="W76" s="26" t="n">
        <v>78.95</v>
      </c>
      <c r="X76" s="26">
        <f>ROUND(('Methodology &amp; Assumptions'!$B$5*V76) + ('Methodology &amp; Assumptions'!$B$6*W76), 2)</f>
        <v/>
      </c>
      <c r="Y76" s="28" t="n">
        <v>10.9</v>
      </c>
      <c r="Z76" s="11" t="inlineStr">
        <is>
          <t>Priority Tier 1 (High Commercial &amp; Social)</t>
        </is>
      </c>
    </row>
    <row r="77">
      <c r="A77" s="23" t="n">
        <v>1</v>
      </c>
      <c r="B77" s="23" t="n">
        <v>73</v>
      </c>
      <c r="C77" s="23" t="n">
        <v>73</v>
      </c>
      <c r="D77" s="23" t="inlineStr">
        <is>
          <t>0402106073</t>
        </is>
      </c>
      <c r="E77" s="11" t="inlineStr">
        <is>
          <t>Region IV-A (CALABARZON)</t>
        </is>
      </c>
      <c r="F77" s="11" t="inlineStr">
        <is>
          <t>Cavite</t>
        </is>
      </c>
      <c r="G77" s="11" t="inlineStr">
        <is>
          <t>City of Dasmariñas</t>
        </is>
      </c>
      <c r="H77" s="11" t="inlineStr">
        <is>
          <t>San Manuel II</t>
        </is>
      </c>
      <c r="I77" s="24" t="n">
        <v>14.335065</v>
      </c>
      <c r="J77" s="24" t="n">
        <v>120.951701</v>
      </c>
      <c r="K77" s="23" t="inlineStr">
        <is>
          <t>R</t>
        </is>
      </c>
      <c r="L77" s="25" t="n">
        <v>2717</v>
      </c>
      <c r="M77" s="26" t="n">
        <v>3.4</v>
      </c>
      <c r="N77" s="25">
        <f>ROUND(L77/M77, 0)</f>
        <v/>
      </c>
      <c r="O77" s="25">
        <f>ROUND(N77*'Methodology &amp; Assumptions'!$B$7, 0)</f>
        <v/>
      </c>
      <c r="P77" s="23" t="inlineStr">
        <is>
          <t>Single Carrier (Band n50, 100MHz TDD)</t>
        </is>
      </c>
      <c r="Q77" s="27">
        <f>ROUNDUP(O77/'Methodology &amp; Assumptions'!$B$8, 0)</f>
        <v/>
      </c>
      <c r="R77" s="27" t="n">
        <v>1</v>
      </c>
      <c r="S77" s="26" t="n">
        <v>2.16</v>
      </c>
      <c r="T77" s="26" t="n">
        <v>3.71</v>
      </c>
      <c r="U77" s="11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26" t="n">
        <v>76.69</v>
      </c>
      <c r="W77" s="26" t="n">
        <v>70.33</v>
      </c>
      <c r="X77" s="26">
        <f>ROUND(('Methodology &amp; Assumptions'!$B$5*V77) + ('Methodology &amp; Assumptions'!$B$6*W77), 2)</f>
        <v/>
      </c>
      <c r="Y77" s="28" t="n">
        <v>7.2</v>
      </c>
      <c r="Z77" s="11" t="inlineStr">
        <is>
          <t>Priority Tier 1 (High Commercial &amp; Social)</t>
        </is>
      </c>
    </row>
    <row r="78">
      <c r="A78" s="23" t="n">
        <v>1</v>
      </c>
      <c r="B78" s="23" t="n">
        <v>74</v>
      </c>
      <c r="C78" s="23" t="n">
        <v>74</v>
      </c>
      <c r="D78" s="23" t="inlineStr">
        <is>
          <t>1380604008</t>
        </is>
      </c>
      <c r="E78" s="11" t="inlineStr">
        <is>
          <t>National Capital Region (NCR)</t>
        </is>
      </c>
      <c r="F78" s="11" t="inlineStr">
        <is>
          <t>First District (Not a Province)</t>
        </is>
      </c>
      <c r="G78" s="11" t="inlineStr">
        <is>
          <t>City of Manila</t>
        </is>
      </c>
      <c r="H78" s="11" t="inlineStr">
        <is>
          <t>Barangay 275</t>
        </is>
      </c>
      <c r="I78" s="24" t="n">
        <v>14.59839</v>
      </c>
      <c r="J78" s="24" t="n">
        <v>120.9605</v>
      </c>
      <c r="K78" s="23" t="inlineStr">
        <is>
          <t>U</t>
        </is>
      </c>
      <c r="L78" s="25" t="n">
        <v>20995</v>
      </c>
      <c r="M78" s="26" t="n">
        <v>3.74</v>
      </c>
      <c r="N78" s="25">
        <f>ROUND(L78/M78, 0)</f>
        <v/>
      </c>
      <c r="O78" s="25">
        <f>ROUND(N78*'Methodology &amp; Assumptions'!$B$7, 0)</f>
        <v/>
      </c>
      <c r="P78" s="23" t="inlineStr">
        <is>
          <t>Single Carrier (Band n50, 100MHz TDD)</t>
        </is>
      </c>
      <c r="Q78" s="27">
        <f>ROUNDUP(O78/'Methodology &amp; Assumptions'!$B$8, 0)</f>
        <v/>
      </c>
      <c r="R78" s="27" t="n">
        <v>1</v>
      </c>
      <c r="S78" s="26" t="n">
        <v>0.51</v>
      </c>
      <c r="T78" s="26" t="n">
        <v>1.36</v>
      </c>
      <c r="U78" s="11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26" t="n">
        <v>68.37</v>
      </c>
      <c r="W78" s="26" t="n">
        <v>78.56</v>
      </c>
      <c r="X78" s="26">
        <f>ROUND(('Methodology &amp; Assumptions'!$B$5*V78) + ('Methodology &amp; Assumptions'!$B$6*W78), 2)</f>
        <v/>
      </c>
      <c r="Y78" s="28" t="n">
        <v>10.9</v>
      </c>
      <c r="Z78" s="11" t="inlineStr">
        <is>
          <t>Priority Tier 1 (High Commercial &amp; Social)</t>
        </is>
      </c>
    </row>
    <row r="79">
      <c r="A79" s="23" t="n">
        <v>1</v>
      </c>
      <c r="B79" s="23" t="n">
        <v>75</v>
      </c>
      <c r="C79" s="23" t="n">
        <v>75</v>
      </c>
      <c r="D79" s="23" t="inlineStr">
        <is>
          <t>0403425016</t>
        </is>
      </c>
      <c r="E79" s="11" t="inlineStr">
        <is>
          <t>Region IV-A (CALABARZON)</t>
        </is>
      </c>
      <c r="F79" s="11" t="inlineStr">
        <is>
          <t>Laguna</t>
        </is>
      </c>
      <c r="G79" s="11" t="inlineStr">
        <is>
          <t>City of San Pedro</t>
        </is>
      </c>
      <c r="H79" s="11" t="inlineStr">
        <is>
          <t>San Vicente</t>
        </is>
      </c>
      <c r="I79" s="24" t="n">
        <v>14.349361</v>
      </c>
      <c r="J79" s="24" t="n">
        <v>121.053028</v>
      </c>
      <c r="K79" s="23" t="inlineStr">
        <is>
          <t>U</t>
        </is>
      </c>
      <c r="L79" s="25" t="n">
        <v>30211</v>
      </c>
      <c r="M79" s="26" t="n">
        <v>3.3</v>
      </c>
      <c r="N79" s="25">
        <f>ROUND(L79/M79, 0)</f>
        <v/>
      </c>
      <c r="O79" s="25">
        <f>ROUND(N79*'Methodology &amp; Assumptions'!$B$7, 0)</f>
        <v/>
      </c>
      <c r="P79" s="23" t="inlineStr">
        <is>
          <t>Single Carrier (Band n50, 100MHz TDD)</t>
        </is>
      </c>
      <c r="Q79" s="27">
        <f>ROUNDUP(O79/'Methodology &amp; Assumptions'!$B$8, 0)</f>
        <v/>
      </c>
      <c r="R79" s="27" t="n">
        <v>1</v>
      </c>
      <c r="S79" s="26" t="n">
        <v>1.23</v>
      </c>
      <c r="T79" s="26" t="n">
        <v>0.52</v>
      </c>
      <c r="U79" s="11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26" t="n">
        <v>76.28</v>
      </c>
      <c r="W79" s="26" t="n">
        <v>70.59</v>
      </c>
      <c r="X79" s="26">
        <f>ROUND(('Methodology &amp; Assumptions'!$B$5*V79) + ('Methodology &amp; Assumptions'!$B$6*W79), 2)</f>
        <v/>
      </c>
      <c r="Y79" s="28" t="n">
        <v>7.2</v>
      </c>
      <c r="Z79" s="11" t="inlineStr">
        <is>
          <t>Priority Tier 1 (High Commercial &amp; Social)</t>
        </is>
      </c>
    </row>
    <row r="80">
      <c r="A80" s="23" t="n">
        <v>1</v>
      </c>
      <c r="B80" s="23" t="n">
        <v>76</v>
      </c>
      <c r="C80" s="23" t="n">
        <v>76</v>
      </c>
      <c r="D80" s="23" t="inlineStr">
        <is>
          <t>1381400002</t>
        </is>
      </c>
      <c r="E80" s="11" t="inlineStr">
        <is>
          <t>National Capital Region (NCR)</t>
        </is>
      </c>
      <c r="F80" s="11" t="inlineStr">
        <is>
          <t>Second District (Not a Province)</t>
        </is>
      </c>
      <c r="G80" s="11" t="inlineStr">
        <is>
          <t>City of San Juan</t>
        </is>
      </c>
      <c r="H80" s="11" t="inlineStr">
        <is>
          <t>Balong-Bato</t>
        </is>
      </c>
      <c r="I80" s="24" t="n">
        <v>14.6079</v>
      </c>
      <c r="J80" s="24" t="n">
        <v>121.0233</v>
      </c>
      <c r="K80" s="23" t="inlineStr">
        <is>
          <t>U</t>
        </is>
      </c>
      <c r="L80" s="25" t="n">
        <v>7528</v>
      </c>
      <c r="M80" s="26" t="n">
        <v>3.35</v>
      </c>
      <c r="N80" s="25">
        <f>ROUND(L80/M80, 0)</f>
        <v/>
      </c>
      <c r="O80" s="25">
        <f>ROUND(N80*'Methodology &amp; Assumptions'!$B$7, 0)</f>
        <v/>
      </c>
      <c r="P80" s="23" t="inlineStr">
        <is>
          <t>Single Carrier (Band n50, 100MHz TDD)</t>
        </is>
      </c>
      <c r="Q80" s="27">
        <f>ROUNDUP(O80/'Methodology &amp; Assumptions'!$B$8, 0)</f>
        <v/>
      </c>
      <c r="R80" s="27" t="n">
        <v>1</v>
      </c>
      <c r="S80" s="26" t="n">
        <v>1.32</v>
      </c>
      <c r="T80" s="26" t="n">
        <v>0.19</v>
      </c>
      <c r="U80" s="11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26" t="n">
        <v>67.26000000000001</v>
      </c>
      <c r="W80" s="26" t="n">
        <v>79.59</v>
      </c>
      <c r="X80" s="26">
        <f>ROUND(('Methodology &amp; Assumptions'!$B$5*V80) + ('Methodology &amp; Assumptions'!$B$6*W80), 2)</f>
        <v/>
      </c>
      <c r="Y80" s="28" t="n">
        <v>10.9</v>
      </c>
      <c r="Z80" s="11" t="inlineStr">
        <is>
          <t>Priority Tier 1 (High Commercial &amp; Social)</t>
        </is>
      </c>
    </row>
    <row r="81">
      <c r="A81" s="23" t="n">
        <v>1</v>
      </c>
      <c r="B81" s="23" t="n">
        <v>77</v>
      </c>
      <c r="C81" s="23" t="n">
        <v>77</v>
      </c>
      <c r="D81" s="23" t="inlineStr">
        <is>
          <t>0402123024</t>
        </is>
      </c>
      <c r="E81" s="11" t="inlineStr">
        <is>
          <t>Region IV-A (CALABARZON)</t>
        </is>
      </c>
      <c r="F81" s="11" t="inlineStr">
        <is>
          <t>Cavite</t>
        </is>
      </c>
      <c r="G81" s="11" t="inlineStr">
        <is>
          <t>Gen. Mariano Alvarez</t>
        </is>
      </c>
      <c r="H81" s="11" t="inlineStr">
        <is>
          <t>San Gabriel</t>
        </is>
      </c>
      <c r="I81" s="24" t="n">
        <v>14.285988</v>
      </c>
      <c r="J81" s="24" t="n">
        <v>121.001448</v>
      </c>
      <c r="K81" s="23" t="inlineStr">
        <is>
          <t>U</t>
        </is>
      </c>
      <c r="L81" s="25" t="n">
        <v>9168</v>
      </c>
      <c r="M81" s="26" t="n">
        <v>3.4</v>
      </c>
      <c r="N81" s="25">
        <f>ROUND(L81/M81, 0)</f>
        <v/>
      </c>
      <c r="O81" s="25">
        <f>ROUND(N81*'Methodology &amp; Assumptions'!$B$7, 0)</f>
        <v/>
      </c>
      <c r="P81" s="23" t="inlineStr">
        <is>
          <t>Single Carrier (Band n50, 100MHz TDD)</t>
        </is>
      </c>
      <c r="Q81" s="27">
        <f>ROUNDUP(O81/'Methodology &amp; Assumptions'!$B$8, 0)</f>
        <v/>
      </c>
      <c r="R81" s="27" t="n">
        <v>1</v>
      </c>
      <c r="S81" s="26" t="n">
        <v>0.4</v>
      </c>
      <c r="T81" s="26" t="n">
        <v>4.07</v>
      </c>
      <c r="U81" s="11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26" t="n">
        <v>76.56</v>
      </c>
      <c r="W81" s="26" t="n">
        <v>70.27</v>
      </c>
      <c r="X81" s="26">
        <f>ROUND(('Methodology &amp; Assumptions'!$B$5*V81) + ('Methodology &amp; Assumptions'!$B$6*W81), 2)</f>
        <v/>
      </c>
      <c r="Y81" s="28" t="n">
        <v>7.2</v>
      </c>
      <c r="Z81" s="11" t="inlineStr">
        <is>
          <t>Priority Tier 1 (High Commercial &amp; Social)</t>
        </is>
      </c>
    </row>
    <row r="82">
      <c r="A82" s="23" t="n">
        <v>1</v>
      </c>
      <c r="B82" s="23" t="n">
        <v>78</v>
      </c>
      <c r="C82" s="23" t="n">
        <v>78</v>
      </c>
      <c r="D82" s="23" t="inlineStr">
        <is>
          <t>1400101010</t>
        </is>
      </c>
      <c r="E82" s="11" t="inlineStr">
        <is>
          <t>Cordillera Administrative Region (CAR)</t>
        </is>
      </c>
      <c r="F82" s="11" t="inlineStr">
        <is>
          <t>Abra</t>
        </is>
      </c>
      <c r="G82" s="11" t="inlineStr">
        <is>
          <t>Bangued</t>
        </is>
      </c>
      <c r="H82" s="11" t="inlineStr">
        <is>
          <t>Dangdangla</t>
        </is>
      </c>
      <c r="I82" s="24" t="n">
        <v>17.1008</v>
      </c>
      <c r="J82" s="24" t="n">
        <v>120.626</v>
      </c>
      <c r="K82" s="23" t="inlineStr">
        <is>
          <t>R</t>
        </is>
      </c>
      <c r="L82" s="25" t="n">
        <v>2037</v>
      </c>
      <c r="M82" s="26" t="n">
        <v>3.8</v>
      </c>
      <c r="N82" s="25">
        <f>ROUND(L82/M82, 0)</f>
        <v/>
      </c>
      <c r="O82" s="25">
        <f>ROUND(N82*'Methodology &amp; Assumptions'!$B$7, 0)</f>
        <v/>
      </c>
      <c r="P82" s="23" t="inlineStr">
        <is>
          <t>Single Carrier (Band n50, 100MHz TDD)</t>
        </is>
      </c>
      <c r="Q82" s="27">
        <f>ROUNDUP(O82/'Methodology &amp; Assumptions'!$B$8, 0)</f>
        <v/>
      </c>
      <c r="R82" s="27" t="n">
        <v>1</v>
      </c>
      <c r="S82" s="26" t="n">
        <v>2.86</v>
      </c>
      <c r="T82" s="26" t="n">
        <v>4.77</v>
      </c>
      <c r="U82" s="11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26" t="n">
        <v>64.77</v>
      </c>
      <c r="W82" s="26" t="n">
        <v>82.03</v>
      </c>
      <c r="X82" s="26">
        <f>ROUND(('Methodology &amp; Assumptions'!$B$5*V82) + ('Methodology &amp; Assumptions'!$B$6*W82), 2)</f>
        <v/>
      </c>
      <c r="Y82" s="28" t="n">
        <v>10.9</v>
      </c>
      <c r="Z82" s="11" t="inlineStr">
        <is>
          <t>Priority Tier 1 (High Commercial &amp; Social)</t>
        </is>
      </c>
    </row>
    <row r="83">
      <c r="A83" s="23" t="n">
        <v>1</v>
      </c>
      <c r="B83" s="23" t="n">
        <v>79</v>
      </c>
      <c r="C83" s="23" t="n">
        <v>79</v>
      </c>
      <c r="D83" s="23" t="inlineStr">
        <is>
          <t>0402106075</t>
        </is>
      </c>
      <c r="E83" s="11" t="inlineStr">
        <is>
          <t>Region IV-A (CALABARZON)</t>
        </is>
      </c>
      <c r="F83" s="11" t="inlineStr">
        <is>
          <t>Cavite</t>
        </is>
      </c>
      <c r="G83" s="11" t="inlineStr">
        <is>
          <t>City of Dasmariñas</t>
        </is>
      </c>
      <c r="H83" s="11" t="inlineStr">
        <is>
          <t>San Nicolas II</t>
        </is>
      </c>
      <c r="I83" s="24" t="n">
        <v>14.433608</v>
      </c>
      <c r="J83" s="24" t="n">
        <v>120.974648</v>
      </c>
      <c r="K83" s="23" t="inlineStr">
        <is>
          <t>R</t>
        </is>
      </c>
      <c r="L83" s="25" t="n">
        <v>4817</v>
      </c>
      <c r="M83" s="26" t="n">
        <v>3.4</v>
      </c>
      <c r="N83" s="25">
        <f>ROUND(L83/M83, 0)</f>
        <v/>
      </c>
      <c r="O83" s="25">
        <f>ROUND(N83*'Methodology &amp; Assumptions'!$B$7, 0)</f>
        <v/>
      </c>
      <c r="P83" s="23" t="inlineStr">
        <is>
          <t>Single Carrier (Band n50, 100MHz TDD)</t>
        </is>
      </c>
      <c r="Q83" s="27">
        <f>ROUNDUP(O83/'Methodology &amp; Assumptions'!$B$8, 0)</f>
        <v/>
      </c>
      <c r="R83" s="27" t="n">
        <v>1</v>
      </c>
      <c r="S83" s="26" t="n">
        <v>1.37</v>
      </c>
      <c r="T83" s="26" t="n">
        <v>1.91</v>
      </c>
      <c r="U83" s="11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26" t="n">
        <v>83.43000000000001</v>
      </c>
      <c r="W83" s="26" t="n">
        <v>63.34</v>
      </c>
      <c r="X83" s="26">
        <f>ROUND(('Methodology &amp; Assumptions'!$B$5*V83) + ('Methodology &amp; Assumptions'!$B$6*W83), 2)</f>
        <v/>
      </c>
      <c r="Y83" s="28" t="n">
        <v>7.2</v>
      </c>
      <c r="Z83" s="11" t="inlineStr">
        <is>
          <t>Priority Tier 1 (High Commercial &amp; Social)</t>
        </is>
      </c>
    </row>
    <row r="84">
      <c r="A84" s="23" t="n">
        <v>1</v>
      </c>
      <c r="B84" s="23" t="n">
        <v>80</v>
      </c>
      <c r="C84" s="23" t="n">
        <v>80</v>
      </c>
      <c r="D84" s="23" t="inlineStr">
        <is>
          <t>0702232011</t>
        </is>
      </c>
      <c r="E84" s="11" t="inlineStr">
        <is>
          <t>Region VII (Central Visayas)</t>
        </is>
      </c>
      <c r="F84" s="11" t="inlineStr">
        <is>
          <t>Cebu</t>
        </is>
      </c>
      <c r="G84" s="11" t="inlineStr">
        <is>
          <t>Minglanilla</t>
        </is>
      </c>
      <c r="H84" s="11" t="inlineStr">
        <is>
          <t>Poblacion Ward II</t>
        </is>
      </c>
      <c r="I84" s="24" t="n">
        <v>10.242996</v>
      </c>
      <c r="J84" s="24" t="n">
        <v>123.793973</v>
      </c>
      <c r="K84" s="23" t="inlineStr">
        <is>
          <t>U</t>
        </is>
      </c>
      <c r="L84" s="25" t="n">
        <v>3639</v>
      </c>
      <c r="M84" s="26" t="n">
        <v>3.8</v>
      </c>
      <c r="N84" s="25">
        <f>ROUND(L84/M84, 0)</f>
        <v/>
      </c>
      <c r="O84" s="25">
        <f>ROUND(N84*'Methodology &amp; Assumptions'!$B$7, 0)</f>
        <v/>
      </c>
      <c r="P84" s="23" t="inlineStr">
        <is>
          <t>Single Carrier (Band n50, 100MHz TDD)</t>
        </is>
      </c>
      <c r="Q84" s="27">
        <f>ROUNDUP(O84/'Methodology &amp; Assumptions'!$B$8, 0)</f>
        <v/>
      </c>
      <c r="R84" s="27" t="n">
        <v>1</v>
      </c>
      <c r="S84" s="26" t="n">
        <v>0.87</v>
      </c>
      <c r="T84" s="26" t="n">
        <v>0.19</v>
      </c>
      <c r="U84" s="11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26" t="n">
        <v>80.76000000000001</v>
      </c>
      <c r="W84" s="26" t="n">
        <v>65.98999999999999</v>
      </c>
      <c r="X84" s="26">
        <f>ROUND(('Methodology &amp; Assumptions'!$B$5*V84) + ('Methodology &amp; Assumptions'!$B$6*W84), 2)</f>
        <v/>
      </c>
      <c r="Y84" s="28" t="n">
        <v>23.7</v>
      </c>
      <c r="Z84" s="11" t="inlineStr">
        <is>
          <t>Priority Tier 1 (High Commercial &amp; Social)</t>
        </is>
      </c>
    </row>
    <row r="85">
      <c r="A85" s="23" t="n">
        <v>1</v>
      </c>
      <c r="B85" s="23" t="n">
        <v>81</v>
      </c>
      <c r="C85" s="23" t="n">
        <v>81</v>
      </c>
      <c r="D85" s="23" t="inlineStr">
        <is>
          <t>1404405004</t>
        </is>
      </c>
      <c r="E85" s="11" t="inlineStr">
        <is>
          <t>Cordillera Administrative Region (CAR)</t>
        </is>
      </c>
      <c r="F85" s="11" t="inlineStr">
        <is>
          <t>Mountain Province</t>
        </is>
      </c>
      <c r="G85" s="11" t="inlineStr">
        <is>
          <t>Natonin</t>
        </is>
      </c>
      <c r="H85" s="11" t="inlineStr">
        <is>
          <t>Banawal</t>
        </is>
      </c>
      <c r="I85" s="24" t="n">
        <v>17.114549</v>
      </c>
      <c r="J85" s="24" t="n">
        <v>121.295689</v>
      </c>
      <c r="K85" s="23" t="inlineStr">
        <is>
          <t>R</t>
        </is>
      </c>
      <c r="L85" s="25" t="n">
        <v>2176</v>
      </c>
      <c r="M85" s="26" t="n">
        <v>3.7</v>
      </c>
      <c r="N85" s="25">
        <f>ROUND(L85/M85, 0)</f>
        <v/>
      </c>
      <c r="O85" s="25">
        <f>ROUND(N85*'Methodology &amp; Assumptions'!$B$7, 0)</f>
        <v/>
      </c>
      <c r="P85" s="23" t="inlineStr">
        <is>
          <t>Single Carrier (Band n50, 100MHz TDD)</t>
        </is>
      </c>
      <c r="Q85" s="27">
        <f>ROUNDUP(O85/'Methodology &amp; Assumptions'!$B$8, 0)</f>
        <v/>
      </c>
      <c r="R85" s="27" t="n">
        <v>1</v>
      </c>
      <c r="S85" s="26" t="n">
        <v>1.79</v>
      </c>
      <c r="T85" s="26" t="n">
        <v>22.3</v>
      </c>
      <c r="U85" s="11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26" t="n">
        <v>69.87</v>
      </c>
      <c r="W85" s="26" t="n">
        <v>76.81</v>
      </c>
      <c r="X85" s="26">
        <f>ROUND(('Methodology &amp; Assumptions'!$B$5*V85) + ('Methodology &amp; Assumptions'!$B$6*W85), 2)</f>
        <v/>
      </c>
      <c r="Y85" s="28" t="n">
        <v>10.9</v>
      </c>
      <c r="Z85" s="11" t="inlineStr">
        <is>
          <t>Priority Tier 1 (High Commercial &amp; Social)</t>
        </is>
      </c>
    </row>
    <row r="86">
      <c r="A86" s="23" t="n">
        <v>1</v>
      </c>
      <c r="B86" s="23" t="n">
        <v>82</v>
      </c>
      <c r="C86" s="23" t="n">
        <v>82</v>
      </c>
      <c r="D86" s="23" t="inlineStr">
        <is>
          <t>0201516025</t>
        </is>
      </c>
      <c r="E86" s="11" t="inlineStr">
        <is>
          <t>Region II (Cagayan Valley)</t>
        </is>
      </c>
      <c r="F86" s="11" t="inlineStr">
        <is>
          <t>Cagayan</t>
        </is>
      </c>
      <c r="G86" s="11" t="inlineStr">
        <is>
          <t>Lal-Lo</t>
        </is>
      </c>
      <c r="H86" s="11" t="inlineStr">
        <is>
          <t>Maxingal</t>
        </is>
      </c>
      <c r="I86" s="24" t="n">
        <v>18.1238</v>
      </c>
      <c r="J86" s="24" t="n">
        <v>121.3958</v>
      </c>
      <c r="K86" s="23" t="inlineStr">
        <is>
          <t>R</t>
        </is>
      </c>
      <c r="L86" s="25" t="n">
        <v>2741</v>
      </c>
      <c r="M86" s="26" t="n">
        <v>3.9</v>
      </c>
      <c r="N86" s="25">
        <f>ROUND(L86/M86, 0)</f>
        <v/>
      </c>
      <c r="O86" s="25">
        <f>ROUND(N86*'Methodology &amp; Assumptions'!$B$7, 0)</f>
        <v/>
      </c>
      <c r="P86" s="23" t="inlineStr">
        <is>
          <t>Single Carrier (Band n50, 100MHz TDD)</t>
        </is>
      </c>
      <c r="Q86" s="27">
        <f>ROUNDUP(O86/'Methodology &amp; Assumptions'!$B$8, 0)</f>
        <v/>
      </c>
      <c r="R86" s="27" t="n">
        <v>1</v>
      </c>
      <c r="S86" s="26" t="n">
        <v>5.2</v>
      </c>
      <c r="T86" s="26" t="n">
        <v>5.2</v>
      </c>
      <c r="U86" s="11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26" t="n">
        <v>66.56999999999999</v>
      </c>
      <c r="W86" s="26" t="n">
        <v>80.08</v>
      </c>
      <c r="X86" s="26">
        <f>ROUND(('Methodology &amp; Assumptions'!$B$5*V86) + ('Methodology &amp; Assumptions'!$B$6*W86), 2)</f>
        <v/>
      </c>
      <c r="Y86" s="28" t="n">
        <v>8.300000000000001</v>
      </c>
      <c r="Z86" s="11" t="inlineStr">
        <is>
          <t>Priority Tier 1 (High Commercial &amp; Social)</t>
        </is>
      </c>
    </row>
    <row r="87">
      <c r="A87" s="23" t="n">
        <v>1</v>
      </c>
      <c r="B87" s="23" t="n">
        <v>83</v>
      </c>
      <c r="C87" s="23" t="n">
        <v>83</v>
      </c>
      <c r="D87" s="23" t="inlineStr">
        <is>
          <t>0604528038</t>
        </is>
      </c>
      <c r="E87" s="11" t="inlineStr">
        <is>
          <t>Region VI (Western Visayas)</t>
        </is>
      </c>
      <c r="F87" s="11" t="inlineStr">
        <is>
          <t>Negros Occidental</t>
        </is>
      </c>
      <c r="G87" s="11" t="inlineStr">
        <is>
          <t>City of Talisay</t>
        </is>
      </c>
      <c r="H87" s="11" t="inlineStr">
        <is>
          <t>Zone 12</t>
        </is>
      </c>
      <c r="I87" s="24" t="n">
        <v>10.737822</v>
      </c>
      <c r="J87" s="24" t="n">
        <v>122.969082</v>
      </c>
      <c r="K87" s="23" t="inlineStr">
        <is>
          <t>R</t>
        </is>
      </c>
      <c r="L87" s="25" t="n">
        <v>2653</v>
      </c>
      <c r="M87" s="26" t="n">
        <v>3.7</v>
      </c>
      <c r="N87" s="25">
        <f>ROUND(L87/M87, 0)</f>
        <v/>
      </c>
      <c r="O87" s="25">
        <f>ROUND(N87*'Methodology &amp; Assumptions'!$B$7, 0)</f>
        <v/>
      </c>
      <c r="P87" s="23" t="inlineStr">
        <is>
          <t>Single Carrier (Band n50, 100MHz TDD)</t>
        </is>
      </c>
      <c r="Q87" s="27">
        <f>ROUNDUP(O87/'Methodology &amp; Assumptions'!$B$8, 0)</f>
        <v/>
      </c>
      <c r="R87" s="27" t="n">
        <v>1</v>
      </c>
      <c r="S87" s="26" t="n">
        <v>0.35</v>
      </c>
      <c r="T87" s="26" t="n">
        <v>0.26</v>
      </c>
      <c r="U87" s="11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26" t="n">
        <v>83.25</v>
      </c>
      <c r="W87" s="26" t="n">
        <v>63.24</v>
      </c>
      <c r="X87" s="26">
        <f>ROUND(('Methodology &amp; Assumptions'!$B$5*V87) + ('Methodology &amp; Assumptions'!$B$6*W87), 2)</f>
        <v/>
      </c>
      <c r="Y87" s="28" t="n">
        <v>23.7</v>
      </c>
      <c r="Z87" s="11" t="inlineStr">
        <is>
          <t>Priority Tier 1 (High Commercial &amp; Social)</t>
        </is>
      </c>
    </row>
    <row r="88">
      <c r="A88" s="23" t="n">
        <v>1</v>
      </c>
      <c r="B88" s="23" t="n">
        <v>84</v>
      </c>
      <c r="C88" s="23" t="n">
        <v>84</v>
      </c>
      <c r="D88" s="23" t="inlineStr">
        <is>
          <t>0401003039</t>
        </is>
      </c>
      <c r="E88" s="11" t="inlineStr">
        <is>
          <t>Region IV-A (CALABARZON)</t>
        </is>
      </c>
      <c r="F88" s="11" t="inlineStr">
        <is>
          <t>Batangas</t>
        </is>
      </c>
      <c r="G88" s="11" t="inlineStr">
        <is>
          <t>Balayan</t>
        </is>
      </c>
      <c r="H88" s="11" t="inlineStr">
        <is>
          <t>Patugo</t>
        </is>
      </c>
      <c r="I88" s="24" t="n">
        <v>14.0279</v>
      </c>
      <c r="J88" s="24" t="n">
        <v>120.8071</v>
      </c>
      <c r="K88" s="23" t="inlineStr">
        <is>
          <t>R</t>
        </is>
      </c>
      <c r="L88" s="25" t="n">
        <v>2457</v>
      </c>
      <c r="M88" s="26" t="n">
        <v>3.6</v>
      </c>
      <c r="N88" s="25">
        <f>ROUND(L88/M88, 0)</f>
        <v/>
      </c>
      <c r="O88" s="25">
        <f>ROUND(N88*'Methodology &amp; Assumptions'!$B$7, 0)</f>
        <v/>
      </c>
      <c r="P88" s="23" t="inlineStr">
        <is>
          <t>Single Carrier (Band n50, 100MHz TDD)</t>
        </is>
      </c>
      <c r="Q88" s="27">
        <f>ROUNDUP(O88/'Methodology &amp; Assumptions'!$B$8, 0)</f>
        <v/>
      </c>
      <c r="R88" s="27" t="n">
        <v>1</v>
      </c>
      <c r="S88" s="26" t="n">
        <v>5.66</v>
      </c>
      <c r="T88" s="26" t="n">
        <v>4.93</v>
      </c>
      <c r="U88" s="11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26" t="n">
        <v>65.12</v>
      </c>
      <c r="W88" s="26" t="n">
        <v>81.39</v>
      </c>
      <c r="X88" s="26">
        <f>ROUND(('Methodology &amp; Assumptions'!$B$5*V88) + ('Methodology &amp; Assumptions'!$B$6*W88), 2)</f>
        <v/>
      </c>
      <c r="Y88" s="28" t="n">
        <v>7.2</v>
      </c>
      <c r="Z88" s="11" t="inlineStr">
        <is>
          <t>Priority Tier 1 (High Commercial &amp; Social)</t>
        </is>
      </c>
    </row>
    <row r="89">
      <c r="A89" s="23" t="n">
        <v>1</v>
      </c>
      <c r="B89" s="23" t="n">
        <v>85</v>
      </c>
      <c r="C89" s="23" t="n">
        <v>85</v>
      </c>
      <c r="D89" s="23" t="inlineStr">
        <is>
          <t>0405805014</t>
        </is>
      </c>
      <c r="E89" s="11" t="inlineStr">
        <is>
          <t>Region IV-A (CALABARZON)</t>
        </is>
      </c>
      <c r="F89" s="11" t="inlineStr">
        <is>
          <t>Rizal</t>
        </is>
      </c>
      <c r="G89" s="11" t="inlineStr">
        <is>
          <t>Cainta</t>
        </is>
      </c>
      <c r="H89" s="11" t="inlineStr">
        <is>
          <t>San Andres</t>
        </is>
      </c>
      <c r="I89" s="24" t="n">
        <v>14.569202</v>
      </c>
      <c r="J89" s="24" t="n">
        <v>121.103431</v>
      </c>
      <c r="K89" s="23" t="inlineStr">
        <is>
          <t>U</t>
        </is>
      </c>
      <c r="L89" s="25" t="n">
        <v>115400</v>
      </c>
      <c r="M89" s="26" t="n">
        <v>3.6</v>
      </c>
      <c r="N89" s="25">
        <f>ROUND(L89/M89, 0)</f>
        <v/>
      </c>
      <c r="O89" s="25">
        <f>ROUND(N89*'Methodology &amp; Assumptions'!$B$7, 0)</f>
        <v/>
      </c>
      <c r="P89" s="23" t="inlineStr">
        <is>
          <t>Single Carrier (Band n50, 100MHz TDD)</t>
        </is>
      </c>
      <c r="Q89" s="27">
        <f>ROUNDUP(O89/'Methodology &amp; Assumptions'!$B$8, 0)</f>
        <v/>
      </c>
      <c r="R89" s="27" t="n">
        <v>1</v>
      </c>
      <c r="S89" s="26" t="n">
        <v>0.29</v>
      </c>
      <c r="T89" s="26" t="n">
        <v>0.28</v>
      </c>
      <c r="U89" s="11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26" t="n">
        <v>75.01000000000001</v>
      </c>
      <c r="W89" s="26" t="n">
        <v>71.43000000000001</v>
      </c>
      <c r="X89" s="26">
        <f>ROUND(('Methodology &amp; Assumptions'!$B$5*V89) + ('Methodology &amp; Assumptions'!$B$6*W89), 2)</f>
        <v/>
      </c>
      <c r="Y89" s="28" t="n">
        <v>7.2</v>
      </c>
      <c r="Z89" s="11" t="inlineStr">
        <is>
          <t>Priority Tier 1 (High Commercial &amp; Social)</t>
        </is>
      </c>
    </row>
    <row r="90">
      <c r="A90" s="23" t="n">
        <v>1</v>
      </c>
      <c r="B90" s="23" t="n">
        <v>86</v>
      </c>
      <c r="C90" s="23" t="n">
        <v>86</v>
      </c>
      <c r="D90" s="23" t="inlineStr">
        <is>
          <t>0402106034</t>
        </is>
      </c>
      <c r="E90" s="11" t="inlineStr">
        <is>
          <t>Region IV-A (CALABARZON)</t>
        </is>
      </c>
      <c r="F90" s="11" t="inlineStr">
        <is>
          <t>Cavite</t>
        </is>
      </c>
      <c r="G90" s="11" t="inlineStr">
        <is>
          <t>City of Dasmariñas</t>
        </is>
      </c>
      <c r="H90" s="11" t="inlineStr">
        <is>
          <t>San Manuel I</t>
        </is>
      </c>
      <c r="I90" s="24" t="n">
        <v>14.337611</v>
      </c>
      <c r="J90" s="24" t="n">
        <v>120.948872</v>
      </c>
      <c r="K90" s="23" t="inlineStr">
        <is>
          <t>R</t>
        </is>
      </c>
      <c r="L90" s="25" t="n">
        <v>2971</v>
      </c>
      <c r="M90" s="26" t="n">
        <v>3.4</v>
      </c>
      <c r="N90" s="25">
        <f>ROUND(L90/M90, 0)</f>
        <v/>
      </c>
      <c r="O90" s="25">
        <f>ROUND(N90*'Methodology &amp; Assumptions'!$B$7, 0)</f>
        <v/>
      </c>
      <c r="P90" s="23" t="inlineStr">
        <is>
          <t>Single Carrier (Band n50, 100MHz TDD)</t>
        </is>
      </c>
      <c r="Q90" s="27">
        <f>ROUNDUP(O90/'Methodology &amp; Assumptions'!$B$8, 0)</f>
        <v/>
      </c>
      <c r="R90" s="27" t="n">
        <v>1</v>
      </c>
      <c r="S90" s="26" t="n">
        <v>1.75</v>
      </c>
      <c r="T90" s="26" t="n">
        <v>4.02</v>
      </c>
      <c r="U90" s="11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26" t="n">
        <v>78.59</v>
      </c>
      <c r="W90" s="26" t="n">
        <v>67.76000000000001</v>
      </c>
      <c r="X90" s="26">
        <f>ROUND(('Methodology &amp; Assumptions'!$B$5*V90) + ('Methodology &amp; Assumptions'!$B$6*W90), 2)</f>
        <v/>
      </c>
      <c r="Y90" s="28" t="n">
        <v>7.2</v>
      </c>
      <c r="Z90" s="11" t="inlineStr">
        <is>
          <t>Priority Tier 1 (High Commercial &amp; Social)</t>
        </is>
      </c>
    </row>
    <row r="91">
      <c r="A91" s="23" t="n">
        <v>1</v>
      </c>
      <c r="B91" s="23" t="n">
        <v>87</v>
      </c>
      <c r="C91" s="23" t="n">
        <v>87</v>
      </c>
      <c r="D91" s="23" t="inlineStr">
        <is>
          <t>0402106031</t>
        </is>
      </c>
      <c r="E91" s="11" t="inlineStr">
        <is>
          <t>Region IV-A (CALABARZON)</t>
        </is>
      </c>
      <c r="F91" s="11" t="inlineStr">
        <is>
          <t>Cavite</t>
        </is>
      </c>
      <c r="G91" s="11" t="inlineStr">
        <is>
          <t>City of Dasmariñas</t>
        </is>
      </c>
      <c r="H91" s="11" t="inlineStr">
        <is>
          <t>San Juan</t>
        </is>
      </c>
      <c r="I91" s="24" t="n">
        <v>14.339378</v>
      </c>
      <c r="J91" s="24" t="n">
        <v>120.950263</v>
      </c>
      <c r="K91" s="23" t="inlineStr">
        <is>
          <t>R</t>
        </is>
      </c>
      <c r="L91" s="25" t="n">
        <v>3860</v>
      </c>
      <c r="M91" s="26" t="n">
        <v>3.4</v>
      </c>
      <c r="N91" s="25">
        <f>ROUND(L91/M91, 0)</f>
        <v/>
      </c>
      <c r="O91" s="25">
        <f>ROUND(N91*'Methodology &amp; Assumptions'!$B$7, 0)</f>
        <v/>
      </c>
      <c r="P91" s="23" t="inlineStr">
        <is>
          <t>Single Carrier (Band n50, 100MHz TDD)</t>
        </is>
      </c>
      <c r="Q91" s="27">
        <f>ROUNDUP(O91/'Methodology &amp; Assumptions'!$B$8, 0)</f>
        <v/>
      </c>
      <c r="R91" s="27" t="n">
        <v>1</v>
      </c>
      <c r="S91" s="26" t="n">
        <v>1.69</v>
      </c>
      <c r="T91" s="26" t="n">
        <v>4.2</v>
      </c>
      <c r="U91" s="11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26" t="n">
        <v>78.8</v>
      </c>
      <c r="W91" s="26" t="n">
        <v>67.52</v>
      </c>
      <c r="X91" s="26">
        <f>ROUND(('Methodology &amp; Assumptions'!$B$5*V91) + ('Methodology &amp; Assumptions'!$B$6*W91), 2)</f>
        <v/>
      </c>
      <c r="Y91" s="28" t="n">
        <v>7.2</v>
      </c>
      <c r="Z91" s="11" t="inlineStr">
        <is>
          <t>Priority Tier 1 (High Commercial &amp; Social)</t>
        </is>
      </c>
    </row>
    <row r="92">
      <c r="A92" s="23" t="n">
        <v>1</v>
      </c>
      <c r="B92" s="23" t="n">
        <v>88</v>
      </c>
      <c r="C92" s="23" t="n">
        <v>88</v>
      </c>
      <c r="D92" s="23" t="inlineStr">
        <is>
          <t>1380900018</t>
        </is>
      </c>
      <c r="E92" s="11" t="inlineStr">
        <is>
          <t>National Capital Region (NCR)</t>
        </is>
      </c>
      <c r="F92" s="11" t="inlineStr">
        <is>
          <t>Third District (Not a Province)</t>
        </is>
      </c>
      <c r="G92" s="11" t="inlineStr">
        <is>
          <t>City of Navotas</t>
        </is>
      </c>
      <c r="H92" s="11" t="inlineStr">
        <is>
          <t>Tanza 2</t>
        </is>
      </c>
      <c r="I92" s="24" t="n">
        <v>14.675112</v>
      </c>
      <c r="J92" s="24" t="n">
        <v>120.939717</v>
      </c>
      <c r="K92" s="23" t="inlineStr">
        <is>
          <t>U</t>
        </is>
      </c>
      <c r="L92" s="25" t="n">
        <v>16184</v>
      </c>
      <c r="M92" s="26" t="n">
        <v>3.48</v>
      </c>
      <c r="N92" s="25">
        <f>ROUND(L92/M92, 0)</f>
        <v/>
      </c>
      <c r="O92" s="25">
        <f>ROUND(N92*'Methodology &amp; Assumptions'!$B$7, 0)</f>
        <v/>
      </c>
      <c r="P92" s="23" t="inlineStr">
        <is>
          <t>Single Carrier (Band n50, 100MHz TDD)</t>
        </is>
      </c>
      <c r="Q92" s="27">
        <f>ROUNDUP(O92/'Methodology &amp; Assumptions'!$B$8, 0)</f>
        <v/>
      </c>
      <c r="R92" s="27" t="n">
        <v>1</v>
      </c>
      <c r="S92" s="26" t="n">
        <v>0.26</v>
      </c>
      <c r="T92" s="26" t="n">
        <v>0.25</v>
      </c>
      <c r="U92" s="11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26" t="n">
        <v>68.83</v>
      </c>
      <c r="W92" s="26" t="n">
        <v>77.45999999999999</v>
      </c>
      <c r="X92" s="26">
        <f>ROUND(('Methodology &amp; Assumptions'!$B$5*V92) + ('Methodology &amp; Assumptions'!$B$6*W92), 2)</f>
        <v/>
      </c>
      <c r="Y92" s="28" t="n">
        <v>10.9</v>
      </c>
      <c r="Z92" s="11" t="inlineStr">
        <is>
          <t>Priority Tier 1 (High Commercial &amp; Social)</t>
        </is>
      </c>
    </row>
    <row r="93">
      <c r="A93" s="23" t="n">
        <v>1</v>
      </c>
      <c r="B93" s="23" t="n">
        <v>89</v>
      </c>
      <c r="C93" s="23" t="n">
        <v>89</v>
      </c>
      <c r="D93" s="23" t="inlineStr">
        <is>
          <t>0301412008</t>
        </is>
      </c>
      <c r="E93" s="11" t="inlineStr">
        <is>
          <t>Region III (Central Luzon)</t>
        </is>
      </c>
      <c r="F93" s="11" t="inlineStr">
        <is>
          <t>Bulacan</t>
        </is>
      </c>
      <c r="G93" s="11" t="inlineStr">
        <is>
          <t>City of Meycauayan</t>
        </is>
      </c>
      <c r="H93" s="11" t="inlineStr">
        <is>
          <t>Hulo</t>
        </is>
      </c>
      <c r="I93" s="24" t="n">
        <v>14.732085</v>
      </c>
      <c r="J93" s="24" t="n">
        <v>120.958538</v>
      </c>
      <c r="K93" s="23" t="inlineStr">
        <is>
          <t>U</t>
        </is>
      </c>
      <c r="L93" s="25" t="n">
        <v>2804</v>
      </c>
      <c r="M93" s="26" t="n">
        <v>3.5</v>
      </c>
      <c r="N93" s="25">
        <f>ROUND(L93/M93, 0)</f>
        <v/>
      </c>
      <c r="O93" s="25">
        <f>ROUND(N93*'Methodology &amp; Assumptions'!$B$7, 0)</f>
        <v/>
      </c>
      <c r="P93" s="23" t="inlineStr">
        <is>
          <t>Single Carrier (Band n50, 100MHz TDD)</t>
        </is>
      </c>
      <c r="Q93" s="27">
        <f>ROUNDUP(O93/'Methodology &amp; Assumptions'!$B$8, 0)</f>
        <v/>
      </c>
      <c r="R93" s="27" t="n">
        <v>1</v>
      </c>
      <c r="S93" s="26" t="n">
        <v>1.27</v>
      </c>
      <c r="T93" s="26" t="n">
        <v>0.34</v>
      </c>
      <c r="U93" s="11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26" t="n">
        <v>76.17</v>
      </c>
      <c r="W93" s="26" t="n">
        <v>70.01000000000001</v>
      </c>
      <c r="X93" s="26">
        <f>ROUND(('Methodology &amp; Assumptions'!$B$5*V93) + ('Methodology &amp; Assumptions'!$B$6*W93), 2)</f>
        <v/>
      </c>
      <c r="Y93" s="28" t="n">
        <v>8.300000000000001</v>
      </c>
      <c r="Z93" s="11" t="inlineStr">
        <is>
          <t>Priority Tier 1 (High Commercial &amp; Social)</t>
        </is>
      </c>
    </row>
    <row r="94">
      <c r="A94" s="23" t="n">
        <v>1</v>
      </c>
      <c r="B94" s="23" t="n">
        <v>90</v>
      </c>
      <c r="C94" s="23" t="n">
        <v>90</v>
      </c>
      <c r="D94" s="23" t="inlineStr">
        <is>
          <t>0402106037</t>
        </is>
      </c>
      <c r="E94" s="11" t="inlineStr">
        <is>
          <t>Region IV-A (CALABARZON)</t>
        </is>
      </c>
      <c r="F94" s="11" t="inlineStr">
        <is>
          <t>Cavite</t>
        </is>
      </c>
      <c r="G94" s="11" t="inlineStr">
        <is>
          <t>City of Dasmariñas</t>
        </is>
      </c>
      <c r="H94" s="11" t="inlineStr">
        <is>
          <t>San Nicolas I</t>
        </is>
      </c>
      <c r="I94" s="24" t="n">
        <v>14.315195</v>
      </c>
      <c r="J94" s="24" t="n">
        <v>120.969536</v>
      </c>
      <c r="K94" s="23" t="inlineStr">
        <is>
          <t>R</t>
        </is>
      </c>
      <c r="L94" s="25" t="n">
        <v>2180</v>
      </c>
      <c r="M94" s="26" t="n">
        <v>3.4</v>
      </c>
      <c r="N94" s="25">
        <f>ROUND(L94/M94, 0)</f>
        <v/>
      </c>
      <c r="O94" s="25">
        <f>ROUND(N94*'Methodology &amp; Assumptions'!$B$7, 0)</f>
        <v/>
      </c>
      <c r="P94" s="23" t="inlineStr">
        <is>
          <t>Single Carrier (Band n50, 100MHz TDD)</t>
        </is>
      </c>
      <c r="Q94" s="27">
        <f>ROUNDUP(O94/'Methodology &amp; Assumptions'!$B$8, 0)</f>
        <v/>
      </c>
      <c r="R94" s="27" t="n">
        <v>1</v>
      </c>
      <c r="S94" s="26" t="n">
        <v>0.51</v>
      </c>
      <c r="T94" s="26" t="n">
        <v>2.14</v>
      </c>
      <c r="U94" s="11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26" t="n">
        <v>77.56</v>
      </c>
      <c r="W94" s="26" t="n">
        <v>68.59</v>
      </c>
      <c r="X94" s="26">
        <f>ROUND(('Methodology &amp; Assumptions'!$B$5*V94) + ('Methodology &amp; Assumptions'!$B$6*W94), 2)</f>
        <v/>
      </c>
      <c r="Y94" s="28" t="n">
        <v>7.2</v>
      </c>
      <c r="Z94" s="11" t="inlineStr">
        <is>
          <t>Priority Tier 1 (High Commercial &amp; Social)</t>
        </is>
      </c>
    </row>
    <row r="95">
      <c r="A95" s="23" t="n">
        <v>1</v>
      </c>
      <c r="B95" s="23" t="n">
        <v>91</v>
      </c>
      <c r="C95" s="23" t="n">
        <v>91</v>
      </c>
      <c r="D95" s="23" t="inlineStr">
        <is>
          <t>0300803005</t>
        </is>
      </c>
      <c r="E95" s="11" t="inlineStr">
        <is>
          <t>Region III (Central Luzon)</t>
        </is>
      </c>
      <c r="F95" s="11" t="inlineStr">
        <is>
          <t>Bataan</t>
        </is>
      </c>
      <c r="G95" s="11" t="inlineStr">
        <is>
          <t>City of Balanga</t>
        </is>
      </c>
      <c r="H95" s="11" t="inlineStr">
        <is>
          <t>Cataning</t>
        </is>
      </c>
      <c r="I95" s="24" t="n">
        <v>14.674727</v>
      </c>
      <c r="J95" s="24" t="n">
        <v>120.540379</v>
      </c>
      <c r="K95" s="23" t="inlineStr">
        <is>
          <t>U</t>
        </is>
      </c>
      <c r="L95" s="25" t="n">
        <v>10211</v>
      </c>
      <c r="M95" s="26" t="n">
        <v>3.6</v>
      </c>
      <c r="N95" s="25">
        <f>ROUND(L95/M95, 0)</f>
        <v/>
      </c>
      <c r="O95" s="25">
        <f>ROUND(N95*'Methodology &amp; Assumptions'!$B$7, 0)</f>
        <v/>
      </c>
      <c r="P95" s="23" t="inlineStr">
        <is>
          <t>Single Carrier (Band n50, 100MHz TDD)</t>
        </is>
      </c>
      <c r="Q95" s="27">
        <f>ROUNDUP(O95/'Methodology &amp; Assumptions'!$B$8, 0)</f>
        <v/>
      </c>
      <c r="R95" s="27" t="n">
        <v>1</v>
      </c>
      <c r="S95" s="26" t="n">
        <v>1.12</v>
      </c>
      <c r="T95" s="26" t="n">
        <v>0.48</v>
      </c>
      <c r="U95" s="11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26" t="n">
        <v>77.37</v>
      </c>
      <c r="W95" s="26" t="n">
        <v>68.79000000000001</v>
      </c>
      <c r="X95" s="26">
        <f>ROUND(('Methodology &amp; Assumptions'!$B$5*V95) + ('Methodology &amp; Assumptions'!$B$6*W95), 2)</f>
        <v/>
      </c>
      <c r="Y95" s="28" t="n">
        <v>8.300000000000001</v>
      </c>
      <c r="Z95" s="11" t="inlineStr">
        <is>
          <t>Priority Tier 1 (High Commercial &amp; Social)</t>
        </is>
      </c>
    </row>
    <row r="96">
      <c r="A96" s="23" t="n">
        <v>1</v>
      </c>
      <c r="B96" s="23" t="n">
        <v>92</v>
      </c>
      <c r="C96" s="23" t="n">
        <v>92</v>
      </c>
      <c r="D96" s="23" t="inlineStr">
        <is>
          <t>0402106042</t>
        </is>
      </c>
      <c r="E96" s="11" t="inlineStr">
        <is>
          <t>Region IV-A (CALABARZON)</t>
        </is>
      </c>
      <c r="F96" s="11" t="inlineStr">
        <is>
          <t>Cavite</t>
        </is>
      </c>
      <c r="G96" s="11" t="inlineStr">
        <is>
          <t>City of Dasmariñas</t>
        </is>
      </c>
      <c r="H96" s="11" t="inlineStr">
        <is>
          <t>Santa Fe</t>
        </is>
      </c>
      <c r="I96" s="24" t="n">
        <v>14.320191</v>
      </c>
      <c r="J96" s="24" t="n">
        <v>120.964655</v>
      </c>
      <c r="K96" s="23" t="inlineStr">
        <is>
          <t>U</t>
        </is>
      </c>
      <c r="L96" s="25" t="n">
        <v>6647</v>
      </c>
      <c r="M96" s="26" t="n">
        <v>3.4</v>
      </c>
      <c r="N96" s="25">
        <f>ROUND(L96/M96, 0)</f>
        <v/>
      </c>
      <c r="O96" s="25">
        <f>ROUND(N96*'Methodology &amp; Assumptions'!$B$7, 0)</f>
        <v/>
      </c>
      <c r="P96" s="23" t="inlineStr">
        <is>
          <t>Single Carrier (Band n50, 100MHz TDD)</t>
        </is>
      </c>
      <c r="Q96" s="27">
        <f>ROUNDUP(O96/'Methodology &amp; Assumptions'!$B$8, 0)</f>
        <v/>
      </c>
      <c r="R96" s="27" t="n">
        <v>1</v>
      </c>
      <c r="S96" s="26" t="n">
        <v>0.87</v>
      </c>
      <c r="T96" s="26" t="n">
        <v>2.37</v>
      </c>
      <c r="U96" s="11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26" t="n">
        <v>74.66</v>
      </c>
      <c r="W96" s="26" t="n">
        <v>71.34999999999999</v>
      </c>
      <c r="X96" s="26">
        <f>ROUND(('Methodology &amp; Assumptions'!$B$5*V96) + ('Methodology &amp; Assumptions'!$B$6*W96), 2)</f>
        <v/>
      </c>
      <c r="Y96" s="28" t="n">
        <v>7.2</v>
      </c>
      <c r="Z96" s="11" t="inlineStr">
        <is>
          <t>Priority Tier 1 (High Commercial &amp; Social)</t>
        </is>
      </c>
    </row>
    <row r="97">
      <c r="A97" s="23" t="n">
        <v>1</v>
      </c>
      <c r="B97" s="23" t="n">
        <v>93</v>
      </c>
      <c r="C97" s="23" t="n">
        <v>93</v>
      </c>
      <c r="D97" s="23" t="inlineStr">
        <is>
          <t>0405805018</t>
        </is>
      </c>
      <c r="E97" s="11" t="inlineStr">
        <is>
          <t>Region IV-A (CALABARZON)</t>
        </is>
      </c>
      <c r="F97" s="11" t="inlineStr">
        <is>
          <t>Rizal</t>
        </is>
      </c>
      <c r="G97" s="11" t="inlineStr">
        <is>
          <t>Cainta</t>
        </is>
      </c>
      <c r="H97" s="11" t="inlineStr">
        <is>
          <t>Santa Rosa</t>
        </is>
      </c>
      <c r="I97" s="24" t="n">
        <v>14.57837</v>
      </c>
      <c r="J97" s="24" t="n">
        <v>121.1175</v>
      </c>
      <c r="K97" s="23" t="inlineStr">
        <is>
          <t>R</t>
        </is>
      </c>
      <c r="L97" s="25" t="n">
        <v>1550</v>
      </c>
      <c r="M97" s="26" t="n">
        <v>3.6</v>
      </c>
      <c r="N97" s="25">
        <f>ROUND(L97/M97, 0)</f>
        <v/>
      </c>
      <c r="O97" s="25">
        <f>ROUND(N97*'Methodology &amp; Assumptions'!$B$7, 0)</f>
        <v/>
      </c>
      <c r="P97" s="23" t="inlineStr">
        <is>
          <t>Single Carrier (Band n50, 100MHz TDD)</t>
        </is>
      </c>
      <c r="Q97" s="27">
        <f>ROUNDUP(O97/'Methodology &amp; Assumptions'!$B$8, 0)</f>
        <v/>
      </c>
      <c r="R97" s="27" t="n">
        <v>1</v>
      </c>
      <c r="S97" s="26" t="n">
        <v>0.86</v>
      </c>
      <c r="T97" s="26" t="n">
        <v>0.32</v>
      </c>
      <c r="U97" s="11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26" t="n">
        <v>72.81999999999999</v>
      </c>
      <c r="W97" s="26" t="n">
        <v>73.09999999999999</v>
      </c>
      <c r="X97" s="26">
        <f>ROUND(('Methodology &amp; Assumptions'!$B$5*V97) + ('Methodology &amp; Assumptions'!$B$6*W97), 2)</f>
        <v/>
      </c>
      <c r="Y97" s="28" t="n">
        <v>7.2</v>
      </c>
      <c r="Z97" s="11" t="inlineStr">
        <is>
          <t>Priority Tier 1 (High Commercial &amp; Social)</t>
        </is>
      </c>
    </row>
    <row r="98">
      <c r="A98" s="23" t="n">
        <v>1</v>
      </c>
      <c r="B98" s="23" t="n">
        <v>94</v>
      </c>
      <c r="C98" s="23" t="n">
        <v>94</v>
      </c>
      <c r="D98" s="23" t="inlineStr">
        <is>
          <t>0501609006</t>
        </is>
      </c>
      <c r="E98" s="11" t="inlineStr">
        <is>
          <t>Region V (Bicol Region)</t>
        </is>
      </c>
      <c r="F98" s="11" t="inlineStr">
        <is>
          <t>Camarines Norte</t>
        </is>
      </c>
      <c r="G98" s="11" t="inlineStr">
        <is>
          <t>San Vicente</t>
        </is>
      </c>
      <c r="H98" s="11" t="inlineStr">
        <is>
          <t>Man-Ogob</t>
        </is>
      </c>
      <c r="I98" s="24" t="n">
        <v>14.09</v>
      </c>
      <c r="J98" s="24" t="n">
        <v>122.8833</v>
      </c>
      <c r="K98" s="23" t="inlineStr">
        <is>
          <t>R</t>
        </is>
      </c>
      <c r="L98" s="25" t="n">
        <v>3172</v>
      </c>
      <c r="M98" s="26" t="n">
        <v>4</v>
      </c>
      <c r="N98" s="25">
        <f>ROUND(L98/M98, 0)</f>
        <v/>
      </c>
      <c r="O98" s="25">
        <f>ROUND(N98*'Methodology &amp; Assumptions'!$B$7, 0)</f>
        <v/>
      </c>
      <c r="P98" s="23" t="inlineStr">
        <is>
          <t>Single Carrier (Band n50, 100MHz TDD)</t>
        </is>
      </c>
      <c r="Q98" s="27">
        <f>ROUNDUP(O98/'Methodology &amp; Assumptions'!$B$8, 0)</f>
        <v/>
      </c>
      <c r="R98" s="27" t="n">
        <v>1</v>
      </c>
      <c r="S98" s="26" t="n">
        <v>6.41</v>
      </c>
      <c r="T98" s="26" t="n">
        <v>5.71</v>
      </c>
      <c r="U98" s="11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26" t="n">
        <v>71.11</v>
      </c>
      <c r="W98" s="26" t="n">
        <v>74.75</v>
      </c>
      <c r="X98" s="26">
        <f>ROUND(('Methodology &amp; Assumptions'!$B$5*V98) + ('Methodology &amp; Assumptions'!$B$6*W98), 2)</f>
        <v/>
      </c>
      <c r="Y98" s="28" t="n">
        <v>23.7</v>
      </c>
      <c r="Z98" s="11" t="inlineStr">
        <is>
          <t>Priority Tier 1 (High Commercial &amp; Social)</t>
        </is>
      </c>
    </row>
    <row r="99">
      <c r="A99" s="23" t="n">
        <v>1</v>
      </c>
      <c r="B99" s="23" t="n">
        <v>95</v>
      </c>
      <c r="C99" s="23" t="n">
        <v>95</v>
      </c>
      <c r="D99" s="23" t="inlineStr">
        <is>
          <t>0402123005</t>
        </is>
      </c>
      <c r="E99" s="11" t="inlineStr">
        <is>
          <t>Region IV-A (CALABARZON)</t>
        </is>
      </c>
      <c r="F99" s="11" t="inlineStr">
        <is>
          <t>Cavite</t>
        </is>
      </c>
      <c r="G99" s="11" t="inlineStr">
        <is>
          <t>Gen. Mariano Alvarez</t>
        </is>
      </c>
      <c r="H99" s="11" t="inlineStr">
        <is>
          <t>Barangay 4 Poblacion</t>
        </is>
      </c>
      <c r="I99" s="24" t="n">
        <v>14.2972</v>
      </c>
      <c r="J99" s="24" t="n">
        <v>121.008423</v>
      </c>
      <c r="K99" s="23" t="inlineStr">
        <is>
          <t>R</t>
        </is>
      </c>
      <c r="L99" s="25" t="n">
        <v>4992</v>
      </c>
      <c r="M99" s="26" t="n">
        <v>3.4</v>
      </c>
      <c r="N99" s="25">
        <f>ROUND(L99/M99, 0)</f>
        <v/>
      </c>
      <c r="O99" s="25">
        <f>ROUND(N99*'Methodology &amp; Assumptions'!$B$7, 0)</f>
        <v/>
      </c>
      <c r="P99" s="23" t="inlineStr">
        <is>
          <t>Single Carrier (Band n50, 100MHz TDD)</t>
        </is>
      </c>
      <c r="Q99" s="27">
        <f>ROUNDUP(O99/'Methodology &amp; Assumptions'!$B$8, 0)</f>
        <v/>
      </c>
      <c r="R99" s="27" t="n">
        <v>1</v>
      </c>
      <c r="S99" s="26" t="n">
        <v>1.78</v>
      </c>
      <c r="T99" s="26" t="n">
        <v>4.74</v>
      </c>
      <c r="U99" s="11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26" t="n">
        <v>78.48</v>
      </c>
      <c r="W99" s="26" t="n">
        <v>67.37</v>
      </c>
      <c r="X99" s="26">
        <f>ROUND(('Methodology &amp; Assumptions'!$B$5*V99) + ('Methodology &amp; Assumptions'!$B$6*W99), 2)</f>
        <v/>
      </c>
      <c r="Y99" s="28" t="n">
        <v>7.2</v>
      </c>
      <c r="Z99" s="11" t="inlineStr">
        <is>
          <t>Priority Tier 1 (High Commercial &amp; Social)</t>
        </is>
      </c>
    </row>
    <row r="100">
      <c r="A100" s="23" t="n">
        <v>1</v>
      </c>
      <c r="B100" s="23" t="n">
        <v>96</v>
      </c>
      <c r="C100" s="23" t="n">
        <v>96</v>
      </c>
      <c r="D100" s="23" t="inlineStr">
        <is>
          <t>0300803025</t>
        </is>
      </c>
      <c r="E100" s="11" t="inlineStr">
        <is>
          <t>Region III (Central Luzon)</t>
        </is>
      </c>
      <c r="F100" s="11" t="inlineStr">
        <is>
          <t>Bataan</t>
        </is>
      </c>
      <c r="G100" s="11" t="inlineStr">
        <is>
          <t>City of Balanga</t>
        </is>
      </c>
      <c r="H100" s="11" t="inlineStr">
        <is>
          <t>Cupang North</t>
        </is>
      </c>
      <c r="I100" s="24" t="n">
        <v>14.673092</v>
      </c>
      <c r="J100" s="24" t="n">
        <v>120.542862</v>
      </c>
      <c r="K100" s="23" t="inlineStr">
        <is>
          <t>R</t>
        </is>
      </c>
      <c r="L100" s="25" t="n">
        <v>2656</v>
      </c>
      <c r="M100" s="26" t="n">
        <v>3.6</v>
      </c>
      <c r="N100" s="25">
        <f>ROUND(L100/M100, 0)</f>
        <v/>
      </c>
      <c r="O100" s="25">
        <f>ROUND(N100*'Methodology &amp; Assumptions'!$B$7, 0)</f>
        <v/>
      </c>
      <c r="P100" s="23" t="inlineStr">
        <is>
          <t>Single Carrier (Band n50, 100MHz TDD)</t>
        </is>
      </c>
      <c r="Q100" s="27">
        <f>ROUNDUP(O100/'Methodology &amp; Assumptions'!$B$8, 0)</f>
        <v/>
      </c>
      <c r="R100" s="27" t="n">
        <v>1</v>
      </c>
      <c r="S100" s="26" t="n">
        <v>1.21</v>
      </c>
      <c r="T100" s="26" t="n">
        <v>0.44</v>
      </c>
      <c r="U100" s="11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26" t="n">
        <v>81.56</v>
      </c>
      <c r="W100" s="26" t="n">
        <v>64.27</v>
      </c>
      <c r="X100" s="26">
        <f>ROUND(('Methodology &amp; Assumptions'!$B$5*V100) + ('Methodology &amp; Assumptions'!$B$6*W100), 2)</f>
        <v/>
      </c>
      <c r="Y100" s="28" t="n">
        <v>8.300000000000001</v>
      </c>
      <c r="Z100" s="11" t="inlineStr">
        <is>
          <t>Priority Tier 1 (High Commercial &amp; Social)</t>
        </is>
      </c>
    </row>
    <row r="101">
      <c r="A101" s="23" t="n">
        <v>1</v>
      </c>
      <c r="B101" s="23" t="n">
        <v>97</v>
      </c>
      <c r="C101" s="23" t="n">
        <v>97</v>
      </c>
      <c r="D101" s="23" t="inlineStr">
        <is>
          <t>0600406005</t>
        </is>
      </c>
      <c r="E101" s="11" t="inlineStr">
        <is>
          <t>Region VI (Western Visayas)</t>
        </is>
      </c>
      <c r="F101" s="11" t="inlineStr">
        <is>
          <t>Aklan</t>
        </is>
      </c>
      <c r="G101" s="11" t="inlineStr">
        <is>
          <t>Ibajay</t>
        </is>
      </c>
      <c r="H101" s="11" t="inlineStr">
        <is>
          <t>Aquino</t>
        </is>
      </c>
      <c r="I101" s="24" t="n">
        <v>11.75284</v>
      </c>
      <c r="J101" s="24" t="n">
        <v>122.193675</v>
      </c>
      <c r="K101" s="23" t="inlineStr">
        <is>
          <t>R</t>
        </is>
      </c>
      <c r="L101" s="25" t="n">
        <v>3505</v>
      </c>
      <c r="M101" s="26" t="n">
        <v>3.9</v>
      </c>
      <c r="N101" s="25">
        <f>ROUND(L101/M101, 0)</f>
        <v/>
      </c>
      <c r="O101" s="25">
        <f>ROUND(N101*'Methodology &amp; Assumptions'!$B$7, 0)</f>
        <v/>
      </c>
      <c r="P101" s="23" t="inlineStr">
        <is>
          <t>Single Carrier (Band n50, 100MHz TDD)</t>
        </is>
      </c>
      <c r="Q101" s="27">
        <f>ROUNDUP(O101/'Methodology &amp; Assumptions'!$B$8, 0)</f>
        <v/>
      </c>
      <c r="R101" s="27" t="n">
        <v>1</v>
      </c>
      <c r="S101" s="26" t="n">
        <v>11.61</v>
      </c>
      <c r="T101" s="26" t="n">
        <v>2.37</v>
      </c>
      <c r="U101" s="11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26" t="n">
        <v>65.76000000000001</v>
      </c>
      <c r="W101" s="26" t="n">
        <v>79.98999999999999</v>
      </c>
      <c r="X101" s="26">
        <f>ROUND(('Methodology &amp; Assumptions'!$B$5*V101) + ('Methodology &amp; Assumptions'!$B$6*W101), 2)</f>
        <v/>
      </c>
      <c r="Y101" s="28" t="n">
        <v>23.7</v>
      </c>
      <c r="Z101" s="11" t="inlineStr">
        <is>
          <t>Priority Tier 1 (High Commercial &amp; Social)</t>
        </is>
      </c>
    </row>
    <row r="102">
      <c r="A102" s="23" t="n">
        <v>1</v>
      </c>
      <c r="B102" s="23" t="n">
        <v>98</v>
      </c>
      <c r="C102" s="23" t="n">
        <v>98</v>
      </c>
      <c r="D102" s="23" t="inlineStr">
        <is>
          <t>0402118051</t>
        </is>
      </c>
      <c r="E102" s="11" t="inlineStr">
        <is>
          <t>Region IV-A (CALABARZON)</t>
        </is>
      </c>
      <c r="F102" s="11" t="inlineStr">
        <is>
          <t>Cavite</t>
        </is>
      </c>
      <c r="G102" s="11" t="inlineStr">
        <is>
          <t>Silang</t>
        </is>
      </c>
      <c r="H102" s="11" t="inlineStr">
        <is>
          <t>Ipil I</t>
        </is>
      </c>
      <c r="I102" s="24" t="n">
        <v>14.273288</v>
      </c>
      <c r="J102" s="24" t="n">
        <v>120.997127</v>
      </c>
      <c r="K102" s="23" t="inlineStr">
        <is>
          <t>R</t>
        </is>
      </c>
      <c r="L102" s="25" t="n">
        <v>3128</v>
      </c>
      <c r="M102" s="26" t="n">
        <v>3.4</v>
      </c>
      <c r="N102" s="25">
        <f>ROUND(L102/M102, 0)</f>
        <v/>
      </c>
      <c r="O102" s="25">
        <f>ROUND(N102*'Methodology &amp; Assumptions'!$B$7, 0)</f>
        <v/>
      </c>
      <c r="P102" s="23" t="inlineStr">
        <is>
          <t>Single Carrier (Band n50, 100MHz TDD)</t>
        </is>
      </c>
      <c r="Q102" s="27">
        <f>ROUNDUP(O102/'Methodology &amp; Assumptions'!$B$8, 0)</f>
        <v/>
      </c>
      <c r="R102" s="27" t="n">
        <v>1</v>
      </c>
      <c r="S102" s="26" t="n">
        <v>1.15</v>
      </c>
      <c r="T102" s="26" t="n">
        <v>3.19</v>
      </c>
      <c r="U102" s="11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26" t="n">
        <v>80.79000000000001</v>
      </c>
      <c r="W102" s="26" t="n">
        <v>64.78</v>
      </c>
      <c r="X102" s="26">
        <f>ROUND(('Methodology &amp; Assumptions'!$B$5*V102) + ('Methodology &amp; Assumptions'!$B$6*W102), 2)</f>
        <v/>
      </c>
      <c r="Y102" s="28" t="n">
        <v>7.2</v>
      </c>
      <c r="Z102" s="11" t="inlineStr">
        <is>
          <t>Priority Tier 1 (High Commercial &amp; Social)</t>
        </is>
      </c>
    </row>
    <row r="103">
      <c r="A103" s="23" t="n">
        <v>1</v>
      </c>
      <c r="B103" s="23" t="n">
        <v>99</v>
      </c>
      <c r="C103" s="23" t="n">
        <v>99</v>
      </c>
      <c r="D103" s="23" t="inlineStr">
        <is>
          <t>0405801005</t>
        </is>
      </c>
      <c r="E103" s="11" t="inlineStr">
        <is>
          <t>Region IV-A (CALABARZON)</t>
        </is>
      </c>
      <c r="F103" s="11" t="inlineStr">
        <is>
          <t>Rizal</t>
        </is>
      </c>
      <c r="G103" s="11" t="inlineStr">
        <is>
          <t>Angono</t>
        </is>
      </c>
      <c r="H103" s="11" t="inlineStr">
        <is>
          <t>Kalayaan</t>
        </is>
      </c>
      <c r="I103" s="24" t="n">
        <v>14.52796</v>
      </c>
      <c r="J103" s="24" t="n">
        <v>121.1476</v>
      </c>
      <c r="K103" s="23" t="inlineStr">
        <is>
          <t>U</t>
        </is>
      </c>
      <c r="L103" s="25" t="n">
        <v>19309</v>
      </c>
      <c r="M103" s="26" t="n">
        <v>3.6</v>
      </c>
      <c r="N103" s="25">
        <f>ROUND(L103/M103, 0)</f>
        <v/>
      </c>
      <c r="O103" s="25">
        <f>ROUND(N103*'Methodology &amp; Assumptions'!$B$7, 0)</f>
        <v/>
      </c>
      <c r="P103" s="23" t="inlineStr">
        <is>
          <t>Single Carrier (Band n50, 100MHz TDD)</t>
        </is>
      </c>
      <c r="Q103" s="27">
        <f>ROUNDUP(O103/'Methodology &amp; Assumptions'!$B$8, 0)</f>
        <v/>
      </c>
      <c r="R103" s="27" t="n">
        <v>1</v>
      </c>
      <c r="S103" s="26" t="n">
        <v>0.76</v>
      </c>
      <c r="T103" s="26" t="n">
        <v>0.6899999999999999</v>
      </c>
      <c r="U103" s="11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26" t="n">
        <v>78.26000000000001</v>
      </c>
      <c r="W103" s="26" t="n">
        <v>67.22</v>
      </c>
      <c r="X103" s="26">
        <f>ROUND(('Methodology &amp; Assumptions'!$B$5*V103) + ('Methodology &amp; Assumptions'!$B$6*W103), 2)</f>
        <v/>
      </c>
      <c r="Y103" s="28" t="n">
        <v>7.2</v>
      </c>
      <c r="Z103" s="11" t="inlineStr">
        <is>
          <t>Priority Tier 1 (High Commercial &amp; Social)</t>
        </is>
      </c>
    </row>
    <row r="104">
      <c r="A104" s="23" t="n">
        <v>1</v>
      </c>
      <c r="B104" s="23" t="n">
        <v>100</v>
      </c>
      <c r="C104" s="23" t="n">
        <v>100</v>
      </c>
      <c r="D104" s="23" t="inlineStr">
        <is>
          <t>1380601112</t>
        </is>
      </c>
      <c r="E104" s="11" t="inlineStr">
        <is>
          <t>National Capital Region (NCR)</t>
        </is>
      </c>
      <c r="F104" s="11" t="inlineStr">
        <is>
          <t>First District (Not a Province)</t>
        </is>
      </c>
      <c r="G104" s="11" t="inlineStr">
        <is>
          <t>City of Manila</t>
        </is>
      </c>
      <c r="H104" s="11" t="inlineStr">
        <is>
          <t>Barangay 112</t>
        </is>
      </c>
      <c r="I104" s="24" t="n">
        <v>14.617377</v>
      </c>
      <c r="J104" s="24" t="n">
        <v>120.962142</v>
      </c>
      <c r="K104" s="23" t="inlineStr">
        <is>
          <t>U</t>
        </is>
      </c>
      <c r="L104" s="25" t="n">
        <v>5840</v>
      </c>
      <c r="M104" s="26" t="n">
        <v>4.78</v>
      </c>
      <c r="N104" s="25">
        <f>ROUND(L104/M104, 0)</f>
        <v/>
      </c>
      <c r="O104" s="25">
        <f>ROUND(N104*'Methodology &amp; Assumptions'!$B$7, 0)</f>
        <v/>
      </c>
      <c r="P104" s="23" t="inlineStr">
        <is>
          <t>Single Carrier (Band n50, 100MHz TDD)</t>
        </is>
      </c>
      <c r="Q104" s="27">
        <f>ROUNDUP(O104/'Methodology &amp; Assumptions'!$B$8, 0)</f>
        <v/>
      </c>
      <c r="R104" s="27" t="n">
        <v>1</v>
      </c>
      <c r="S104" s="26" t="n">
        <v>0.09</v>
      </c>
      <c r="T104" s="26" t="n">
        <v>0.31</v>
      </c>
      <c r="U104" s="11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26" t="n">
        <v>69.09</v>
      </c>
      <c r="W104" s="26" t="n">
        <v>76.33</v>
      </c>
      <c r="X104" s="26">
        <f>ROUND(('Methodology &amp; Assumptions'!$B$5*V104) + ('Methodology &amp; Assumptions'!$B$6*W104), 2)</f>
        <v/>
      </c>
      <c r="Y104" s="28" t="n">
        <v>10.9</v>
      </c>
      <c r="Z104" s="11" t="inlineStr">
        <is>
          <t>Priority Tier 1 (High Commercial &amp; Social)</t>
        </is>
      </c>
    </row>
    <row r="105">
      <c r="A105" s="23" t="n">
        <v>1</v>
      </c>
      <c r="B105" s="23" t="n">
        <v>101</v>
      </c>
      <c r="C105" s="23" t="n">
        <v>101</v>
      </c>
      <c r="D105" s="23" t="inlineStr">
        <is>
          <t>0402106030</t>
        </is>
      </c>
      <c r="E105" s="11" t="inlineStr">
        <is>
          <t>Region IV-A (CALABARZON)</t>
        </is>
      </c>
      <c r="F105" s="11" t="inlineStr">
        <is>
          <t>Cavite</t>
        </is>
      </c>
      <c r="G105" s="11" t="inlineStr">
        <is>
          <t>City of Dasmariñas</t>
        </is>
      </c>
      <c r="H105" s="11" t="inlineStr">
        <is>
          <t>San Isidro Labrador I</t>
        </is>
      </c>
      <c r="I105" s="24" t="n">
        <v>14.343725</v>
      </c>
      <c r="J105" s="24" t="n">
        <v>120.950657</v>
      </c>
      <c r="K105" s="23" t="inlineStr">
        <is>
          <t>R</t>
        </is>
      </c>
      <c r="L105" s="25" t="n">
        <v>5089</v>
      </c>
      <c r="M105" s="26" t="n">
        <v>3.4</v>
      </c>
      <c r="N105" s="25">
        <f>ROUND(L105/M105, 0)</f>
        <v/>
      </c>
      <c r="O105" s="25">
        <f>ROUND(N105*'Methodology &amp; Assumptions'!$B$7, 0)</f>
        <v/>
      </c>
      <c r="P105" s="23" t="inlineStr">
        <is>
          <t>Single Carrier (Band n50, 100MHz TDD)</t>
        </is>
      </c>
      <c r="Q105" s="27">
        <f>ROUNDUP(O105/'Methodology &amp; Assumptions'!$B$8, 0)</f>
        <v/>
      </c>
      <c r="R105" s="27" t="n">
        <v>1</v>
      </c>
      <c r="S105" s="26" t="n">
        <v>1.41</v>
      </c>
      <c r="T105" s="26" t="n">
        <v>4.68</v>
      </c>
      <c r="U105" s="11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26" t="n">
        <v>79.81</v>
      </c>
      <c r="W105" s="26" t="n">
        <v>65.59</v>
      </c>
      <c r="X105" s="26">
        <f>ROUND(('Methodology &amp; Assumptions'!$B$5*V105) + ('Methodology &amp; Assumptions'!$B$6*W105), 2)</f>
        <v/>
      </c>
      <c r="Y105" s="28" t="n">
        <v>7.2</v>
      </c>
      <c r="Z105" s="11" t="inlineStr">
        <is>
          <t>Priority Tier 1 (High Commercial &amp; Social)</t>
        </is>
      </c>
    </row>
    <row r="106">
      <c r="A106" s="23" t="n">
        <v>1</v>
      </c>
      <c r="B106" s="23" t="n">
        <v>102</v>
      </c>
      <c r="C106" s="23" t="n">
        <v>102</v>
      </c>
      <c r="D106" s="23" t="inlineStr">
        <is>
          <t>1403209022</t>
        </is>
      </c>
      <c r="E106" s="11" t="inlineStr">
        <is>
          <t>Cordillera Administrative Region (CAR)</t>
        </is>
      </c>
      <c r="F106" s="11" t="inlineStr">
        <is>
          <t>Kalinga</t>
        </is>
      </c>
      <c r="G106" s="11" t="inlineStr">
        <is>
          <t>Pinukpuk</t>
        </is>
      </c>
      <c r="H106" s="11" t="inlineStr">
        <is>
          <t>Taga</t>
        </is>
      </c>
      <c r="I106" s="24" t="n">
        <v>17.596357</v>
      </c>
      <c r="J106" s="24" t="n">
        <v>121.391325</v>
      </c>
      <c r="K106" s="23" t="inlineStr">
        <is>
          <t>R</t>
        </is>
      </c>
      <c r="L106" s="25" t="n">
        <v>2397</v>
      </c>
      <c r="M106" s="26" t="n">
        <v>4.3</v>
      </c>
      <c r="N106" s="25">
        <f>ROUND(L106/M106, 0)</f>
        <v/>
      </c>
      <c r="O106" s="25">
        <f>ROUND(N106*'Methodology &amp; Assumptions'!$B$7, 0)</f>
        <v/>
      </c>
      <c r="P106" s="23" t="inlineStr">
        <is>
          <t>Single Carrier (Band n50, 100MHz TDD)</t>
        </is>
      </c>
      <c r="Q106" s="27">
        <f>ROUNDUP(O106/'Methodology &amp; Assumptions'!$B$8, 0)</f>
        <v/>
      </c>
      <c r="R106" s="27" t="n">
        <v>1</v>
      </c>
      <c r="S106" s="26" t="n">
        <v>3.18</v>
      </c>
      <c r="T106" s="26" t="n">
        <v>2.7</v>
      </c>
      <c r="U106" s="11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26" t="n">
        <v>64.56999999999999</v>
      </c>
      <c r="W106" s="26" t="n">
        <v>80.81</v>
      </c>
      <c r="X106" s="26">
        <f>ROUND(('Methodology &amp; Assumptions'!$B$5*V106) + ('Methodology &amp; Assumptions'!$B$6*W106), 2)</f>
        <v/>
      </c>
      <c r="Y106" s="28" t="n">
        <v>10.9</v>
      </c>
      <c r="Z106" s="11" t="inlineStr">
        <is>
          <t>Priority Tier 1 (High Commercial &amp; Social)</t>
        </is>
      </c>
    </row>
    <row r="107">
      <c r="A107" s="23" t="n">
        <v>1</v>
      </c>
      <c r="B107" s="23" t="n">
        <v>103</v>
      </c>
      <c r="C107" s="23" t="n">
        <v>103</v>
      </c>
      <c r="D107" s="23" t="inlineStr">
        <is>
          <t>1380900012</t>
        </is>
      </c>
      <c r="E107" s="11" t="inlineStr">
        <is>
          <t>National Capital Region (NCR)</t>
        </is>
      </c>
      <c r="F107" s="11" t="inlineStr">
        <is>
          <t>Third District (Not a Province)</t>
        </is>
      </c>
      <c r="G107" s="11" t="inlineStr">
        <is>
          <t>City of Navotas</t>
        </is>
      </c>
      <c r="H107" s="11" t="inlineStr">
        <is>
          <t>San Roque</t>
        </is>
      </c>
      <c r="I107" s="24" t="n">
        <v>14.67136</v>
      </c>
      <c r="J107" s="24" t="n">
        <v>120.9401</v>
      </c>
      <c r="K107" s="23" t="inlineStr">
        <is>
          <t>U</t>
        </is>
      </c>
      <c r="L107" s="25" t="n">
        <v>20173</v>
      </c>
      <c r="M107" s="26" t="n">
        <v>3.33</v>
      </c>
      <c r="N107" s="25">
        <f>ROUND(L107/M107, 0)</f>
        <v/>
      </c>
      <c r="O107" s="25">
        <f>ROUND(N107*'Methodology &amp; Assumptions'!$B$7, 0)</f>
        <v/>
      </c>
      <c r="P107" s="23" t="inlineStr">
        <is>
          <t>Single Carrier (Band n50, 100MHz TDD)</t>
        </is>
      </c>
      <c r="Q107" s="27">
        <f>ROUNDUP(O107/'Methodology &amp; Assumptions'!$B$8, 0)</f>
        <v/>
      </c>
      <c r="R107" s="27" t="n">
        <v>1</v>
      </c>
      <c r="S107" s="26" t="n">
        <v>0.53</v>
      </c>
      <c r="T107" s="26" t="n">
        <v>0.54</v>
      </c>
      <c r="U107" s="11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26" t="n">
        <v>68.19</v>
      </c>
      <c r="W107" s="26" t="n">
        <v>77.12</v>
      </c>
      <c r="X107" s="26">
        <f>ROUND(('Methodology &amp; Assumptions'!$B$5*V107) + ('Methodology &amp; Assumptions'!$B$6*W107), 2)</f>
        <v/>
      </c>
      <c r="Y107" s="28" t="n">
        <v>10.9</v>
      </c>
      <c r="Z107" s="11" t="inlineStr">
        <is>
          <t>Priority Tier 1 (High Commercial &amp; Social)</t>
        </is>
      </c>
    </row>
    <row r="108">
      <c r="A108" s="23" t="n">
        <v>1</v>
      </c>
      <c r="B108" s="23" t="n">
        <v>104</v>
      </c>
      <c r="C108" s="23" t="n">
        <v>104</v>
      </c>
      <c r="D108" s="23" t="inlineStr">
        <is>
          <t>0402123003</t>
        </is>
      </c>
      <c r="E108" s="11" t="inlineStr">
        <is>
          <t>Region IV-A (CALABARZON)</t>
        </is>
      </c>
      <c r="F108" s="11" t="inlineStr">
        <is>
          <t>Cavite</t>
        </is>
      </c>
      <c r="G108" s="11" t="inlineStr">
        <is>
          <t>Gen. Mariano Alvarez</t>
        </is>
      </c>
      <c r="H108" s="11" t="inlineStr">
        <is>
          <t>Barangay 2 Poblacion</t>
        </is>
      </c>
      <c r="I108" s="24" t="n">
        <v>14.297372</v>
      </c>
      <c r="J108" s="24" t="n">
        <v>121.009448</v>
      </c>
      <c r="K108" s="23" t="inlineStr">
        <is>
          <t>R</t>
        </is>
      </c>
      <c r="L108" s="25" t="n">
        <v>4382</v>
      </c>
      <c r="M108" s="26" t="n">
        <v>3.4</v>
      </c>
      <c r="N108" s="25">
        <f>ROUND(L108/M108, 0)</f>
        <v/>
      </c>
      <c r="O108" s="25">
        <f>ROUND(N108*'Methodology &amp; Assumptions'!$B$7, 0)</f>
        <v/>
      </c>
      <c r="P108" s="23" t="inlineStr">
        <is>
          <t>Single Carrier (Band n50, 100MHz TDD)</t>
        </is>
      </c>
      <c r="Q108" s="27">
        <f>ROUNDUP(O108/'Methodology &amp; Assumptions'!$B$8, 0)</f>
        <v/>
      </c>
      <c r="R108" s="27" t="n">
        <v>1</v>
      </c>
      <c r="S108" s="26" t="n">
        <v>1.84</v>
      </c>
      <c r="T108" s="26" t="n">
        <v>4.62</v>
      </c>
      <c r="U108" s="11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26" t="n">
        <v>78.26000000000001</v>
      </c>
      <c r="W108" s="26" t="n">
        <v>66.93000000000001</v>
      </c>
      <c r="X108" s="26">
        <f>ROUND(('Methodology &amp; Assumptions'!$B$5*V108) + ('Methodology &amp; Assumptions'!$B$6*W108), 2)</f>
        <v/>
      </c>
      <c r="Y108" s="28" t="n">
        <v>7.2</v>
      </c>
      <c r="Z108" s="11" t="inlineStr">
        <is>
          <t>Priority Tier 1 (High Commercial &amp; Social)</t>
        </is>
      </c>
    </row>
    <row r="109">
      <c r="A109" s="23" t="n">
        <v>1</v>
      </c>
      <c r="B109" s="23" t="n">
        <v>105</v>
      </c>
      <c r="C109" s="23" t="n">
        <v>105</v>
      </c>
      <c r="D109" s="23" t="inlineStr">
        <is>
          <t>0403425029</t>
        </is>
      </c>
      <c r="E109" s="11" t="inlineStr">
        <is>
          <t>Region IV-A (CALABARZON)</t>
        </is>
      </c>
      <c r="F109" s="11" t="inlineStr">
        <is>
          <t>Laguna</t>
        </is>
      </c>
      <c r="G109" s="11" t="inlineStr">
        <is>
          <t>City of San Pedro</t>
        </is>
      </c>
      <c r="H109" s="11" t="inlineStr">
        <is>
          <t>San Lorenzo Ruiz</t>
        </is>
      </c>
      <c r="I109" s="24" t="n">
        <v>14.351056</v>
      </c>
      <c r="J109" s="24" t="n">
        <v>121.052694</v>
      </c>
      <c r="K109" s="23" t="inlineStr">
        <is>
          <t>U</t>
        </is>
      </c>
      <c r="L109" s="25" t="n">
        <v>6358</v>
      </c>
      <c r="M109" s="26" t="n">
        <v>3.3</v>
      </c>
      <c r="N109" s="25">
        <f>ROUND(L109/M109, 0)</f>
        <v/>
      </c>
      <c r="O109" s="25">
        <f>ROUND(N109*'Methodology &amp; Assumptions'!$B$7, 0)</f>
        <v/>
      </c>
      <c r="P109" s="23" t="inlineStr">
        <is>
          <t>Single Carrier (Band n50, 100MHz TDD)</t>
        </is>
      </c>
      <c r="Q109" s="27">
        <f>ROUNDUP(O109/'Methodology &amp; Assumptions'!$B$8, 0)</f>
        <v/>
      </c>
      <c r="R109" s="27" t="n">
        <v>1</v>
      </c>
      <c r="S109" s="26" t="n">
        <v>1.27</v>
      </c>
      <c r="T109" s="26" t="n">
        <v>0.62</v>
      </c>
      <c r="U109" s="11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26" t="n">
        <v>76.61</v>
      </c>
      <c r="W109" s="26" t="n">
        <v>68.55</v>
      </c>
      <c r="X109" s="26">
        <f>ROUND(('Methodology &amp; Assumptions'!$B$5*V109) + ('Methodology &amp; Assumptions'!$B$6*W109), 2)</f>
        <v/>
      </c>
      <c r="Y109" s="28" t="n">
        <v>7.2</v>
      </c>
      <c r="Z109" s="11" t="inlineStr">
        <is>
          <t>Priority Tier 1 (High Commercial &amp; Social)</t>
        </is>
      </c>
    </row>
    <row r="110">
      <c r="A110" s="23" t="n">
        <v>1</v>
      </c>
      <c r="B110" s="23" t="n">
        <v>106</v>
      </c>
      <c r="C110" s="23" t="n">
        <v>106</v>
      </c>
      <c r="D110" s="23" t="inlineStr">
        <is>
          <t>0402104012</t>
        </is>
      </c>
      <c r="E110" s="11" t="inlineStr">
        <is>
          <t>Region IV-A (CALABARZON)</t>
        </is>
      </c>
      <c r="F110" s="11" t="inlineStr">
        <is>
          <t>Cavite</t>
        </is>
      </c>
      <c r="G110" s="11" t="inlineStr">
        <is>
          <t>Carmona</t>
        </is>
      </c>
      <c r="H110" s="11" t="inlineStr">
        <is>
          <t>Barangay 1</t>
        </is>
      </c>
      <c r="I110" s="24" t="n">
        <v>14.312241</v>
      </c>
      <c r="J110" s="24" t="n">
        <v>121.057353</v>
      </c>
      <c r="K110" s="23" t="inlineStr">
        <is>
          <t>R</t>
        </is>
      </c>
      <c r="L110" s="25" t="n">
        <v>3303</v>
      </c>
      <c r="M110" s="26" t="n">
        <v>3.4</v>
      </c>
      <c r="N110" s="25">
        <f>ROUND(L110/M110, 0)</f>
        <v/>
      </c>
      <c r="O110" s="25">
        <f>ROUND(N110*'Methodology &amp; Assumptions'!$B$7, 0)</f>
        <v/>
      </c>
      <c r="P110" s="23" t="inlineStr">
        <is>
          <t>Single Carrier (Band n50, 100MHz TDD)</t>
        </is>
      </c>
      <c r="Q110" s="27">
        <f>ROUNDUP(O110/'Methodology &amp; Assumptions'!$B$8, 0)</f>
        <v/>
      </c>
      <c r="R110" s="27" t="n">
        <v>1</v>
      </c>
      <c r="S110" s="26" t="n">
        <v>0.67</v>
      </c>
      <c r="T110" s="26" t="n">
        <v>0.46</v>
      </c>
      <c r="U110" s="11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26" t="n">
        <v>85.45999999999999</v>
      </c>
      <c r="W110" s="26" t="n">
        <v>59.64</v>
      </c>
      <c r="X110" s="26">
        <f>ROUND(('Methodology &amp; Assumptions'!$B$5*V110) + ('Methodology &amp; Assumptions'!$B$6*W110), 2)</f>
        <v/>
      </c>
      <c r="Y110" s="28" t="n">
        <v>7.2</v>
      </c>
      <c r="Z110" s="11" t="inlineStr">
        <is>
          <t>Priority Tier 1 (High Commercial &amp; Social)</t>
        </is>
      </c>
    </row>
    <row r="111">
      <c r="A111" s="23" t="n">
        <v>1</v>
      </c>
      <c r="B111" s="23" t="n">
        <v>107</v>
      </c>
      <c r="C111" s="23" t="n">
        <v>107</v>
      </c>
      <c r="D111" s="23" t="inlineStr">
        <is>
          <t>1380601107</t>
        </is>
      </c>
      <c r="E111" s="11" t="inlineStr">
        <is>
          <t>National Capital Region (NCR)</t>
        </is>
      </c>
      <c r="F111" s="11" t="inlineStr">
        <is>
          <t>First District (Not a Province)</t>
        </is>
      </c>
      <c r="G111" s="11" t="inlineStr">
        <is>
          <t>City of Manila</t>
        </is>
      </c>
      <c r="H111" s="11" t="inlineStr">
        <is>
          <t>Barangay 107</t>
        </is>
      </c>
      <c r="I111" s="24" t="n">
        <v>14.618896</v>
      </c>
      <c r="J111" s="24" t="n">
        <v>120.96116</v>
      </c>
      <c r="K111" s="23" t="inlineStr">
        <is>
          <t>U</t>
        </is>
      </c>
      <c r="L111" s="25" t="n">
        <v>7153</v>
      </c>
      <c r="M111" s="26" t="n">
        <v>4.59</v>
      </c>
      <c r="N111" s="25">
        <f>ROUND(L111/M111, 0)</f>
        <v/>
      </c>
      <c r="O111" s="25">
        <f>ROUND(N111*'Methodology &amp; Assumptions'!$B$7, 0)</f>
        <v/>
      </c>
      <c r="P111" s="23" t="inlineStr">
        <is>
          <t>Single Carrier (Band n50, 100MHz TDD)</t>
        </is>
      </c>
      <c r="Q111" s="27">
        <f>ROUNDUP(O111/'Methodology &amp; Assumptions'!$B$8, 0)</f>
        <v/>
      </c>
      <c r="R111" s="27" t="n">
        <v>1</v>
      </c>
      <c r="S111" s="26" t="n">
        <v>0.2</v>
      </c>
      <c r="T111" s="26" t="n">
        <v>0.27</v>
      </c>
      <c r="U111" s="11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26" t="n">
        <v>69.09</v>
      </c>
      <c r="W111" s="26" t="n">
        <v>75.95999999999999</v>
      </c>
      <c r="X111" s="26">
        <f>ROUND(('Methodology &amp; Assumptions'!$B$5*V111) + ('Methodology &amp; Assumptions'!$B$6*W111), 2)</f>
        <v/>
      </c>
      <c r="Y111" s="28" t="n">
        <v>10.9</v>
      </c>
      <c r="Z111" s="11" t="inlineStr">
        <is>
          <t>Priority Tier 1 (High Commercial &amp; Social)</t>
        </is>
      </c>
    </row>
    <row r="112">
      <c r="A112" s="23" t="n">
        <v>1</v>
      </c>
      <c r="B112" s="23" t="n">
        <v>108</v>
      </c>
      <c r="C112" s="23" t="n">
        <v>108</v>
      </c>
      <c r="D112" s="23" t="inlineStr">
        <is>
          <t>1381400010</t>
        </is>
      </c>
      <c r="E112" s="11" t="inlineStr">
        <is>
          <t>National Capital Region (NCR)</t>
        </is>
      </c>
      <c r="F112" s="11" t="inlineStr">
        <is>
          <t>Second District (Not a Province)</t>
        </is>
      </c>
      <c r="G112" s="11" t="inlineStr">
        <is>
          <t>City of San Juan</t>
        </is>
      </c>
      <c r="H112" s="11" t="inlineStr">
        <is>
          <t>Maytunas</t>
        </is>
      </c>
      <c r="I112" s="24" t="n">
        <v>14.594115</v>
      </c>
      <c r="J112" s="24" t="n">
        <v>121.031513</v>
      </c>
      <c r="K112" s="23" t="inlineStr">
        <is>
          <t>U</t>
        </is>
      </c>
      <c r="L112" s="25" t="n">
        <v>3308</v>
      </c>
      <c r="M112" s="26" t="n">
        <v>3.94</v>
      </c>
      <c r="N112" s="25">
        <f>ROUND(L112/M112, 0)</f>
        <v/>
      </c>
      <c r="O112" s="25">
        <f>ROUND(N112*'Methodology &amp; Assumptions'!$B$7, 0)</f>
        <v/>
      </c>
      <c r="P112" s="23" t="inlineStr">
        <is>
          <t>Single Carrier (Band n50, 100MHz TDD)</t>
        </is>
      </c>
      <c r="Q112" s="27">
        <f>ROUNDUP(O112/'Methodology &amp; Assumptions'!$B$8, 0)</f>
        <v/>
      </c>
      <c r="R112" s="27" t="n">
        <v>1</v>
      </c>
      <c r="S112" s="26" t="n">
        <v>0.84</v>
      </c>
      <c r="T112" s="26" t="n">
        <v>0.11</v>
      </c>
      <c r="U112" s="11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26" t="n">
        <v>68.09</v>
      </c>
      <c r="W112" s="26" t="n">
        <v>76.94</v>
      </c>
      <c r="X112" s="26">
        <f>ROUND(('Methodology &amp; Assumptions'!$B$5*V112) + ('Methodology &amp; Assumptions'!$B$6*W112), 2)</f>
        <v/>
      </c>
      <c r="Y112" s="28" t="n">
        <v>10.9</v>
      </c>
      <c r="Z112" s="11" t="inlineStr">
        <is>
          <t>Priority Tier 1 (High Commercial &amp; Social)</t>
        </is>
      </c>
    </row>
    <row r="113">
      <c r="A113" s="23" t="n">
        <v>1</v>
      </c>
      <c r="B113" s="23" t="n">
        <v>109</v>
      </c>
      <c r="C113" s="23" t="n">
        <v>109</v>
      </c>
      <c r="D113" s="23" t="inlineStr">
        <is>
          <t>1380606192</t>
        </is>
      </c>
      <c r="E113" s="11" t="inlineStr">
        <is>
          <t>National Capital Region (NCR)</t>
        </is>
      </c>
      <c r="F113" s="11" t="inlineStr">
        <is>
          <t>First District (Not a Province)</t>
        </is>
      </c>
      <c r="G113" s="11" t="inlineStr">
        <is>
          <t>City of Manila</t>
        </is>
      </c>
      <c r="H113" s="11" t="inlineStr">
        <is>
          <t>Barangay 586</t>
        </is>
      </c>
      <c r="I113" s="24" t="n">
        <v>14.605148</v>
      </c>
      <c r="J113" s="24" t="n">
        <v>121.015227</v>
      </c>
      <c r="K113" s="23" t="inlineStr">
        <is>
          <t>U</t>
        </is>
      </c>
      <c r="L113" s="25" t="n">
        <v>6859</v>
      </c>
      <c r="M113" s="26" t="n">
        <v>3.21</v>
      </c>
      <c r="N113" s="25">
        <f>ROUND(L113/M113, 0)</f>
        <v/>
      </c>
      <c r="O113" s="25">
        <f>ROUND(N113*'Methodology &amp; Assumptions'!$B$7, 0)</f>
        <v/>
      </c>
      <c r="P113" s="23" t="inlineStr">
        <is>
          <t>Single Carrier (Band n50, 100MHz TDD)</t>
        </is>
      </c>
      <c r="Q113" s="27">
        <f>ROUNDUP(O113/'Methodology &amp; Assumptions'!$B$8, 0)</f>
        <v/>
      </c>
      <c r="R113" s="27" t="n">
        <v>1</v>
      </c>
      <c r="S113" s="26" t="n">
        <v>1.2</v>
      </c>
      <c r="T113" s="26" t="n">
        <v>0.13</v>
      </c>
      <c r="U113" s="11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26" t="n">
        <v>67.70999999999999</v>
      </c>
      <c r="W113" s="26" t="n">
        <v>77.31</v>
      </c>
      <c r="X113" s="26">
        <f>ROUND(('Methodology &amp; Assumptions'!$B$5*V113) + ('Methodology &amp; Assumptions'!$B$6*W113), 2)</f>
        <v/>
      </c>
      <c r="Y113" s="28" t="n">
        <v>10.9</v>
      </c>
      <c r="Z113" s="11" t="inlineStr">
        <is>
          <t>Priority Tier 1 (High Commercial &amp; Social)</t>
        </is>
      </c>
    </row>
    <row r="114">
      <c r="A114" s="23" t="n">
        <v>1</v>
      </c>
      <c r="B114" s="23" t="n">
        <v>110</v>
      </c>
      <c r="C114" s="23" t="n">
        <v>110</v>
      </c>
      <c r="D114" s="23" t="inlineStr">
        <is>
          <t>0402106036</t>
        </is>
      </c>
      <c r="E114" s="11" t="inlineStr">
        <is>
          <t>Region IV-A (CALABARZON)</t>
        </is>
      </c>
      <c r="F114" s="11" t="inlineStr">
        <is>
          <t>Cavite</t>
        </is>
      </c>
      <c r="G114" s="11" t="inlineStr">
        <is>
          <t>City of Dasmariñas</t>
        </is>
      </c>
      <c r="H114" s="11" t="inlineStr">
        <is>
          <t>San Miguel</t>
        </is>
      </c>
      <c r="I114" s="24" t="n">
        <v>14.337581</v>
      </c>
      <c r="J114" s="24" t="n">
        <v>120.948898</v>
      </c>
      <c r="K114" s="23" t="inlineStr">
        <is>
          <t>R</t>
        </is>
      </c>
      <c r="L114" s="25" t="n">
        <v>4335</v>
      </c>
      <c r="M114" s="26" t="n">
        <v>3.4</v>
      </c>
      <c r="N114" s="25">
        <f>ROUND(L114/M114, 0)</f>
        <v/>
      </c>
      <c r="O114" s="25">
        <f>ROUND(N114*'Methodology &amp; Assumptions'!$B$7, 0)</f>
        <v/>
      </c>
      <c r="P114" s="23" t="inlineStr">
        <is>
          <t>Single Carrier (Band n50, 100MHz TDD)</t>
        </is>
      </c>
      <c r="Q114" s="27">
        <f>ROUNDUP(O114/'Methodology &amp; Assumptions'!$B$8, 0)</f>
        <v/>
      </c>
      <c r="R114" s="27" t="n">
        <v>1</v>
      </c>
      <c r="S114" s="26" t="n">
        <v>1.75</v>
      </c>
      <c r="T114" s="26" t="n">
        <v>4.02</v>
      </c>
      <c r="U114" s="11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26" t="n">
        <v>78.56999999999999</v>
      </c>
      <c r="W114" s="26" t="n">
        <v>66.43000000000001</v>
      </c>
      <c r="X114" s="26">
        <f>ROUND(('Methodology &amp; Assumptions'!$B$5*V114) + ('Methodology &amp; Assumptions'!$B$6*W114), 2)</f>
        <v/>
      </c>
      <c r="Y114" s="28" t="n">
        <v>7.2</v>
      </c>
      <c r="Z114" s="11" t="inlineStr">
        <is>
          <t>Priority Tier 1 (High Commercial &amp; Social)</t>
        </is>
      </c>
    </row>
    <row r="115">
      <c r="A115" s="23" t="n">
        <v>1</v>
      </c>
      <c r="B115" s="23" t="n">
        <v>111</v>
      </c>
      <c r="C115" s="23" t="n">
        <v>111</v>
      </c>
      <c r="D115" s="23" t="inlineStr">
        <is>
          <t>0702232009</t>
        </is>
      </c>
      <c r="E115" s="11" t="inlineStr">
        <is>
          <t>Region VII (Central Visayas)</t>
        </is>
      </c>
      <c r="F115" s="11" t="inlineStr">
        <is>
          <t>Cebu</t>
        </is>
      </c>
      <c r="G115" s="11" t="inlineStr">
        <is>
          <t>Minglanilla</t>
        </is>
      </c>
      <c r="H115" s="11" t="inlineStr">
        <is>
          <t>Pakigne</t>
        </is>
      </c>
      <c r="I115" s="24" t="n">
        <v>10.251752</v>
      </c>
      <c r="J115" s="24" t="n">
        <v>123.805809</v>
      </c>
      <c r="K115" s="23" t="inlineStr">
        <is>
          <t>U</t>
        </is>
      </c>
      <c r="L115" s="25" t="n">
        <v>14675</v>
      </c>
      <c r="M115" s="26" t="n">
        <v>3.8</v>
      </c>
      <c r="N115" s="25">
        <f>ROUND(L115/M115, 0)</f>
        <v/>
      </c>
      <c r="O115" s="25">
        <f>ROUND(N115*'Methodology &amp; Assumptions'!$B$7, 0)</f>
        <v/>
      </c>
      <c r="P115" s="23" t="inlineStr">
        <is>
          <t>Single Carrier (Band n50, 100MHz TDD)</t>
        </is>
      </c>
      <c r="Q115" s="27">
        <f>ROUNDUP(O115/'Methodology &amp; Assumptions'!$B$8, 0)</f>
        <v/>
      </c>
      <c r="R115" s="27" t="n">
        <v>1</v>
      </c>
      <c r="S115" s="26" t="n">
        <v>0.76</v>
      </c>
      <c r="T115" s="26" t="n">
        <v>0.09</v>
      </c>
      <c r="U115" s="11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26" t="n">
        <v>80.86</v>
      </c>
      <c r="W115" s="26" t="n">
        <v>64.11</v>
      </c>
      <c r="X115" s="26">
        <f>ROUND(('Methodology &amp; Assumptions'!$B$5*V115) + ('Methodology &amp; Assumptions'!$B$6*W115), 2)</f>
        <v/>
      </c>
      <c r="Y115" s="28" t="n">
        <v>23.7</v>
      </c>
      <c r="Z115" s="11" t="inlineStr">
        <is>
          <t>Priority Tier 1 (High Commercial &amp; Social)</t>
        </is>
      </c>
    </row>
    <row r="116">
      <c r="A116" s="23" t="n">
        <v>1</v>
      </c>
      <c r="B116" s="23" t="n">
        <v>112</v>
      </c>
      <c r="C116" s="23" t="n">
        <v>112</v>
      </c>
      <c r="D116" s="23" t="inlineStr">
        <is>
          <t>1380601029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29</t>
        </is>
      </c>
      <c r="I116" s="24" t="n">
        <v>14.60359</v>
      </c>
      <c r="J116" s="24" t="n">
        <v>120.962312</v>
      </c>
      <c r="K116" s="23" t="inlineStr">
        <is>
          <t>U</t>
        </is>
      </c>
      <c r="L116" s="25" t="n">
        <v>4422</v>
      </c>
      <c r="M116" s="26" t="n">
        <v>4.31</v>
      </c>
      <c r="N116" s="25">
        <f>ROUND(L116/M116, 0)</f>
        <v/>
      </c>
      <c r="O116" s="25">
        <f>ROUND(N116*'Methodology &amp; Assumptions'!$B$7, 0)</f>
        <v/>
      </c>
      <c r="P116" s="23" t="inlineStr">
        <is>
          <t>Single Carrier (Band n50, 100MHz TDD)</t>
        </is>
      </c>
      <c r="Q116" s="27">
        <f>ROUNDUP(O116/'Methodology &amp; Assumptions'!$B$8, 0)</f>
        <v/>
      </c>
      <c r="R116" s="27" t="n">
        <v>1</v>
      </c>
      <c r="S116" s="26" t="n">
        <v>0.87</v>
      </c>
      <c r="T116" s="26" t="n">
        <v>0.87</v>
      </c>
      <c r="U116" s="11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26" t="n">
        <v>69</v>
      </c>
      <c r="W116" s="26" t="n">
        <v>75.97</v>
      </c>
      <c r="X116" s="26">
        <f>ROUND(('Methodology &amp; Assumptions'!$B$5*V116) + ('Methodology &amp; Assumptions'!$B$6*W116), 2)</f>
        <v/>
      </c>
      <c r="Y116" s="28" t="n">
        <v>10.9</v>
      </c>
      <c r="Z116" s="11" t="inlineStr">
        <is>
          <t>Priority Tier 1 (High Commercial &amp; Social)</t>
        </is>
      </c>
    </row>
    <row r="117">
      <c r="A117" s="23" t="n">
        <v>1</v>
      </c>
      <c r="B117" s="23" t="n">
        <v>113</v>
      </c>
      <c r="C117" s="23" t="n">
        <v>113</v>
      </c>
      <c r="D117" s="23" t="inlineStr">
        <is>
          <t>1381400013</t>
        </is>
      </c>
      <c r="E117" s="11" t="inlineStr">
        <is>
          <t>National Capital Region (NCR)</t>
        </is>
      </c>
      <c r="F117" s="11" t="inlineStr">
        <is>
          <t>Second District (Not a Province)</t>
        </is>
      </c>
      <c r="G117" s="11" t="inlineStr">
        <is>
          <t>City of San Juan</t>
        </is>
      </c>
      <c r="H117" s="11" t="inlineStr">
        <is>
          <t>Pedro Cruz</t>
        </is>
      </c>
      <c r="I117" s="24" t="n">
        <v>14.60486</v>
      </c>
      <c r="J117" s="24" t="n">
        <v>121.0238</v>
      </c>
      <c r="K117" s="23" t="inlineStr">
        <is>
          <t>U</t>
        </is>
      </c>
      <c r="L117" s="25" t="n">
        <v>4971</v>
      </c>
      <c r="M117" s="26" t="n">
        <v>3.46</v>
      </c>
      <c r="N117" s="25">
        <f>ROUND(L117/M117, 0)</f>
        <v/>
      </c>
      <c r="O117" s="25">
        <f>ROUND(N117*'Methodology &amp; Assumptions'!$B$7, 0)</f>
        <v/>
      </c>
      <c r="P117" s="23" t="inlineStr">
        <is>
          <t>Single Carrier (Band n50, 100MHz TDD)</t>
        </is>
      </c>
      <c r="Q117" s="27">
        <f>ROUNDUP(O117/'Methodology &amp; Assumptions'!$B$8, 0)</f>
        <v/>
      </c>
      <c r="R117" s="27" t="n">
        <v>1</v>
      </c>
      <c r="S117" s="26" t="n">
        <v>1.63</v>
      </c>
      <c r="T117" s="26" t="n">
        <v>0.13</v>
      </c>
      <c r="U117" s="11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26" t="n">
        <v>66.13</v>
      </c>
      <c r="W117" s="26" t="n">
        <v>78.83</v>
      </c>
      <c r="X117" s="26">
        <f>ROUND(('Methodology &amp; Assumptions'!$B$5*V117) + ('Methodology &amp; Assumptions'!$B$6*W117), 2)</f>
        <v/>
      </c>
      <c r="Y117" s="28" t="n">
        <v>10.9</v>
      </c>
      <c r="Z117" s="11" t="inlineStr">
        <is>
          <t>Priority Tier 1 (High Commercial &amp; Social)</t>
        </is>
      </c>
    </row>
    <row r="118">
      <c r="A118" s="23" t="n">
        <v>1</v>
      </c>
      <c r="B118" s="23" t="n">
        <v>114</v>
      </c>
      <c r="C118" s="23" t="n">
        <v>114</v>
      </c>
      <c r="D118" s="23" t="inlineStr">
        <is>
          <t>0401005075</t>
        </is>
      </c>
      <c r="E118" s="11" t="inlineStr">
        <is>
          <t>Region IV-A (CALABARZON)</t>
        </is>
      </c>
      <c r="F118" s="11" t="inlineStr">
        <is>
          <t>Batangas</t>
        </is>
      </c>
      <c r="G118" s="11" t="inlineStr">
        <is>
          <t>Batangas City</t>
        </is>
      </c>
      <c r="H118" s="11" t="inlineStr">
        <is>
          <t>Barangay 6</t>
        </is>
      </c>
      <c r="I118" s="24" t="n">
        <v>13.760439</v>
      </c>
      <c r="J118" s="24" t="n">
        <v>121.062891</v>
      </c>
      <c r="K118" s="23" t="inlineStr">
        <is>
          <t>R</t>
        </is>
      </c>
      <c r="L118" s="25" t="n">
        <v>1864</v>
      </c>
      <c r="M118" s="26" t="n">
        <v>3.6</v>
      </c>
      <c r="N118" s="25">
        <f>ROUND(L118/M118, 0)</f>
        <v/>
      </c>
      <c r="O118" s="25">
        <f>ROUND(N118*'Methodology &amp; Assumptions'!$B$7, 0)</f>
        <v/>
      </c>
      <c r="P118" s="23" t="inlineStr">
        <is>
          <t>Single Carrier (Band n50, 100MHz TDD)</t>
        </is>
      </c>
      <c r="Q118" s="27">
        <f>ROUNDUP(O118/'Methodology &amp; Assumptions'!$B$8, 0)</f>
        <v/>
      </c>
      <c r="R118" s="27" t="n">
        <v>1</v>
      </c>
      <c r="S118" s="26" t="n">
        <v>0.6899999999999999</v>
      </c>
      <c r="T118" s="26" t="n">
        <v>0.09</v>
      </c>
      <c r="U118" s="11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26" t="n">
        <v>75.72</v>
      </c>
      <c r="W118" s="26" t="n">
        <v>69.23</v>
      </c>
      <c r="X118" s="26">
        <f>ROUND(('Methodology &amp; Assumptions'!$B$5*V118) + ('Methodology &amp; Assumptions'!$B$6*W118), 2)</f>
        <v/>
      </c>
      <c r="Y118" s="28" t="n">
        <v>7.2</v>
      </c>
      <c r="Z118" s="11" t="inlineStr">
        <is>
          <t>Priority Tier 1 (High Commercial &amp; Social)</t>
        </is>
      </c>
    </row>
    <row r="119">
      <c r="A119" s="23" t="n">
        <v>1</v>
      </c>
      <c r="B119" s="23" t="n">
        <v>115</v>
      </c>
      <c r="C119" s="23" t="n">
        <v>115</v>
      </c>
      <c r="D119" s="23" t="inlineStr">
        <is>
          <t>1381600024</t>
        </is>
      </c>
      <c r="E119" s="11" t="inlineStr">
        <is>
          <t>National Capital Region (NCR)</t>
        </is>
      </c>
      <c r="F119" s="11" t="inlineStr">
        <is>
          <t>Third District (Not a Province)</t>
        </is>
      </c>
      <c r="G119" s="11" t="inlineStr">
        <is>
          <t>City of Valenzuela</t>
        </is>
      </c>
      <c r="H119" s="11" t="inlineStr">
        <is>
          <t>Pasolo</t>
        </is>
      </c>
      <c r="I119" s="24" t="n">
        <v>14.706412</v>
      </c>
      <c r="J119" s="24" t="n">
        <v>120.953351</v>
      </c>
      <c r="K119" s="23" t="inlineStr">
        <is>
          <t>U</t>
        </is>
      </c>
      <c r="L119" s="25" t="n">
        <v>8190</v>
      </c>
      <c r="M119" s="26" t="n">
        <v>4</v>
      </c>
      <c r="N119" s="25">
        <f>ROUND(L119/M119, 0)</f>
        <v/>
      </c>
      <c r="O119" s="25">
        <f>ROUND(N119*'Methodology &amp; Assumptions'!$B$7, 0)</f>
        <v/>
      </c>
      <c r="P119" s="23" t="inlineStr">
        <is>
          <t>Single Carrier (Band n50, 100MHz TDD)</t>
        </is>
      </c>
      <c r="Q119" s="27">
        <f>ROUNDUP(O119/'Methodology &amp; Assumptions'!$B$8, 0)</f>
        <v/>
      </c>
      <c r="R119" s="27" t="n">
        <v>1</v>
      </c>
      <c r="S119" s="26" t="n">
        <v>0.74</v>
      </c>
      <c r="T119" s="26" t="n">
        <v>0.76</v>
      </c>
      <c r="U119" s="11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26" t="n">
        <v>69.09</v>
      </c>
      <c r="W119" s="26" t="n">
        <v>75.84999999999999</v>
      </c>
      <c r="X119" s="26">
        <f>ROUND(('Methodology &amp; Assumptions'!$B$5*V119) + ('Methodology &amp; Assumptions'!$B$6*W119), 2)</f>
        <v/>
      </c>
      <c r="Y119" s="28" t="n">
        <v>10.9</v>
      </c>
      <c r="Z119" s="11" t="inlineStr">
        <is>
          <t>Priority Tier 1 (High Commercial &amp; Social)</t>
        </is>
      </c>
    </row>
    <row r="120">
      <c r="A120" s="23" t="n">
        <v>1</v>
      </c>
      <c r="B120" s="23" t="n">
        <v>116</v>
      </c>
      <c r="C120" s="23" t="n">
        <v>116</v>
      </c>
      <c r="D120" s="23" t="inlineStr">
        <is>
          <t>0402118060</t>
        </is>
      </c>
      <c r="E120" s="11" t="inlineStr">
        <is>
          <t>Region IV-A (CALABARZON)</t>
        </is>
      </c>
      <c r="F120" s="11" t="inlineStr">
        <is>
          <t>Cavite</t>
        </is>
      </c>
      <c r="G120" s="11" t="inlineStr">
        <is>
          <t>Silang</t>
        </is>
      </c>
      <c r="H120" s="11" t="inlineStr">
        <is>
          <t>Narra II</t>
        </is>
      </c>
      <c r="I120" s="24" t="n">
        <v>14.276067</v>
      </c>
      <c r="J120" s="24" t="n">
        <v>120.994211</v>
      </c>
      <c r="K120" s="23" t="inlineStr">
        <is>
          <t>R</t>
        </is>
      </c>
      <c r="L120" s="25" t="n">
        <v>2291</v>
      </c>
      <c r="M120" s="26" t="n">
        <v>3.4</v>
      </c>
      <c r="N120" s="25">
        <f>ROUND(L120/M120, 0)</f>
        <v/>
      </c>
      <c r="O120" s="25">
        <f>ROUND(N120*'Methodology &amp; Assumptions'!$B$7, 0)</f>
        <v/>
      </c>
      <c r="P120" s="23" t="inlineStr">
        <is>
          <t>Single Carrier (Band n50, 100MHz TDD)</t>
        </is>
      </c>
      <c r="Q120" s="27">
        <f>ROUNDUP(O120/'Methodology &amp; Assumptions'!$B$8, 0)</f>
        <v/>
      </c>
      <c r="R120" s="27" t="n">
        <v>1</v>
      </c>
      <c r="S120" s="26" t="n">
        <v>1.1</v>
      </c>
      <c r="T120" s="26" t="n">
        <v>2.96</v>
      </c>
      <c r="U120" s="11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26" t="n">
        <v>76.33</v>
      </c>
      <c r="W120" s="26" t="n">
        <v>68.59</v>
      </c>
      <c r="X120" s="26">
        <f>ROUND(('Methodology &amp; Assumptions'!$B$5*V120) + ('Methodology &amp; Assumptions'!$B$6*W120), 2)</f>
        <v/>
      </c>
      <c r="Y120" s="28" t="n">
        <v>7.2</v>
      </c>
      <c r="Z120" s="11" t="inlineStr">
        <is>
          <t>Priority Tier 1 (High Commercial &amp; Social)</t>
        </is>
      </c>
    </row>
    <row r="121">
      <c r="A121" s="23" t="n">
        <v>1</v>
      </c>
      <c r="B121" s="23" t="n">
        <v>117</v>
      </c>
      <c r="C121" s="23" t="n">
        <v>117</v>
      </c>
      <c r="D121" s="23" t="inlineStr">
        <is>
          <t>1380601101</t>
        </is>
      </c>
      <c r="E121" s="11" t="inlineStr">
        <is>
          <t>National Capital Region (NCR)</t>
        </is>
      </c>
      <c r="F121" s="11" t="inlineStr">
        <is>
          <t>First District (Not a Province)</t>
        </is>
      </c>
      <c r="G121" s="11" t="inlineStr">
        <is>
          <t>City of Manila</t>
        </is>
      </c>
      <c r="H121" s="11" t="inlineStr">
        <is>
          <t>Barangay 101</t>
        </is>
      </c>
      <c r="I121" s="24" t="n">
        <v>14.626334</v>
      </c>
      <c r="J121" s="24" t="n">
        <v>120.961634</v>
      </c>
      <c r="K121" s="23" t="inlineStr">
        <is>
          <t>U</t>
        </is>
      </c>
      <c r="L121" s="25" t="n">
        <v>13659</v>
      </c>
      <c r="M121" s="26" t="n">
        <v>3.46</v>
      </c>
      <c r="N121" s="25">
        <f>ROUND(L121/M121, 0)</f>
        <v/>
      </c>
      <c r="O121" s="25">
        <f>ROUND(N121*'Methodology &amp; Assumptions'!$B$7, 0)</f>
        <v/>
      </c>
      <c r="P121" s="23" t="inlineStr">
        <is>
          <t>Single Carrier (Band n50, 100MHz TDD)</t>
        </is>
      </c>
      <c r="Q121" s="27">
        <f>ROUNDUP(O121/'Methodology &amp; Assumptions'!$B$8, 0)</f>
        <v/>
      </c>
      <c r="R121" s="27" t="n">
        <v>1</v>
      </c>
      <c r="S121" s="26" t="n">
        <v>0.9399999999999999</v>
      </c>
      <c r="T121" s="26" t="n">
        <v>0.58</v>
      </c>
      <c r="U121" s="11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26" t="n">
        <v>68.72</v>
      </c>
      <c r="W121" s="26" t="n">
        <v>76.16</v>
      </c>
      <c r="X121" s="26">
        <f>ROUND(('Methodology &amp; Assumptions'!$B$5*V121) + ('Methodology &amp; Assumptions'!$B$6*W121), 2)</f>
        <v/>
      </c>
      <c r="Y121" s="28" t="n">
        <v>10.9</v>
      </c>
      <c r="Z121" s="11" t="inlineStr">
        <is>
          <t>Priority Tier 1 (High Commercial &amp; Social)</t>
        </is>
      </c>
    </row>
    <row r="122">
      <c r="A122" s="23" t="n">
        <v>1</v>
      </c>
      <c r="B122" s="23" t="n">
        <v>118</v>
      </c>
      <c r="C122" s="23" t="n">
        <v>118</v>
      </c>
      <c r="D122" s="23" t="inlineStr">
        <is>
          <t>1381400008</t>
        </is>
      </c>
      <c r="E122" s="11" t="inlineStr">
        <is>
          <t>National Capital Region (NCR)</t>
        </is>
      </c>
      <c r="F122" s="11" t="inlineStr">
        <is>
          <t>Second District (Not a Province)</t>
        </is>
      </c>
      <c r="G122" s="11" t="inlineStr">
        <is>
          <t>City of San Juan</t>
        </is>
      </c>
      <c r="H122" s="11" t="inlineStr">
        <is>
          <t>Kabayanan</t>
        </is>
      </c>
      <c r="I122" s="24" t="n">
        <v>14.59792</v>
      </c>
      <c r="J122" s="24" t="n">
        <v>121.0299</v>
      </c>
      <c r="K122" s="23" t="inlineStr">
        <is>
          <t>U</t>
        </is>
      </c>
      <c r="L122" s="25" t="n">
        <v>6258</v>
      </c>
      <c r="M122" s="26" t="n">
        <v>3.52</v>
      </c>
      <c r="N122" s="25">
        <f>ROUND(L122/M122, 0)</f>
        <v/>
      </c>
      <c r="O122" s="25">
        <f>ROUND(N122*'Methodology &amp; Assumptions'!$B$7, 0)</f>
        <v/>
      </c>
      <c r="P122" s="23" t="inlineStr">
        <is>
          <t>Single Carrier (Band n50, 100MHz TDD)</t>
        </is>
      </c>
      <c r="Q122" s="27">
        <f>ROUNDUP(O122/'Methodology &amp; Assumptions'!$B$8, 0)</f>
        <v/>
      </c>
      <c r="R122" s="27" t="n">
        <v>1</v>
      </c>
      <c r="S122" s="26" t="n">
        <v>1.26</v>
      </c>
      <c r="T122" s="26" t="n">
        <v>0.01</v>
      </c>
      <c r="U122" s="11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26" t="n">
        <v>67.48</v>
      </c>
      <c r="W122" s="26" t="n">
        <v>77.31</v>
      </c>
      <c r="X122" s="26">
        <f>ROUND(('Methodology &amp; Assumptions'!$B$5*V122) + ('Methodology &amp; Assumptions'!$B$6*W122), 2)</f>
        <v/>
      </c>
      <c r="Y122" s="28" t="n">
        <v>10.9</v>
      </c>
      <c r="Z122" s="11" t="inlineStr">
        <is>
          <t>Priority Tier 1 (High Commercial &amp; Social)</t>
        </is>
      </c>
    </row>
    <row r="123">
      <c r="A123" s="23" t="n">
        <v>1</v>
      </c>
      <c r="B123" s="23" t="n">
        <v>119</v>
      </c>
      <c r="C123" s="23" t="n">
        <v>119</v>
      </c>
      <c r="D123" s="23" t="inlineStr">
        <is>
          <t>1380601118</t>
        </is>
      </c>
      <c r="E123" s="11" t="inlineStr">
        <is>
          <t>National Capital Region (NCR)</t>
        </is>
      </c>
      <c r="F123" s="11" t="inlineStr">
        <is>
          <t>First District (Not a Province)</t>
        </is>
      </c>
      <c r="G123" s="11" t="inlineStr">
        <is>
          <t>City of Manila</t>
        </is>
      </c>
      <c r="H123" s="11" t="inlineStr">
        <is>
          <t>Barangay 118</t>
        </is>
      </c>
      <c r="I123" s="24" t="n">
        <v>14.61219</v>
      </c>
      <c r="J123" s="24" t="n">
        <v>120.9613</v>
      </c>
      <c r="K123" s="23" t="inlineStr">
        <is>
          <t>U</t>
        </is>
      </c>
      <c r="L123" s="25" t="n">
        <v>10891</v>
      </c>
      <c r="M123" s="26" t="n">
        <v>4.58</v>
      </c>
      <c r="N123" s="25">
        <f>ROUND(L123/M123, 0)</f>
        <v/>
      </c>
      <c r="O123" s="25">
        <f>ROUND(N123*'Methodology &amp; Assumptions'!$B$7, 0)</f>
        <v/>
      </c>
      <c r="P123" s="23" t="inlineStr">
        <is>
          <t>Single Carrier (Band n50, 100MHz TDD)</t>
        </is>
      </c>
      <c r="Q123" s="27">
        <f>ROUNDUP(O123/'Methodology &amp; Assumptions'!$B$8, 0)</f>
        <v/>
      </c>
      <c r="R123" s="27" t="n">
        <v>1</v>
      </c>
      <c r="S123" s="26" t="n">
        <v>0.66</v>
      </c>
      <c r="T123" s="26" t="n">
        <v>0.87</v>
      </c>
      <c r="U123" s="11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26" t="n">
        <v>69.09</v>
      </c>
      <c r="W123" s="26" t="n">
        <v>75.68000000000001</v>
      </c>
      <c r="X123" s="26">
        <f>ROUND(('Methodology &amp; Assumptions'!$B$5*V123) + ('Methodology &amp; Assumptions'!$B$6*W123), 2)</f>
        <v/>
      </c>
      <c r="Y123" s="28" t="n">
        <v>10.9</v>
      </c>
      <c r="Z123" s="11" t="inlineStr">
        <is>
          <t>Priority Tier 1 (High Commercial &amp; Social)</t>
        </is>
      </c>
    </row>
    <row r="124">
      <c r="A124" s="23" t="n">
        <v>1</v>
      </c>
      <c r="B124" s="23" t="n">
        <v>120</v>
      </c>
      <c r="C124" s="23" t="n">
        <v>120</v>
      </c>
      <c r="D124" s="23" t="inlineStr">
        <is>
          <t>0402111016</t>
        </is>
      </c>
      <c r="E124" s="11" t="inlineStr">
        <is>
          <t>Region IV-A (CALABARZON)</t>
        </is>
      </c>
      <c r="F124" s="11" t="inlineStr">
        <is>
          <t>Cavite</t>
        </is>
      </c>
      <c r="G124" s="11" t="inlineStr">
        <is>
          <t>Kawit</t>
        </is>
      </c>
      <c r="H124" s="11" t="inlineStr">
        <is>
          <t>Congbalay-Legaspi</t>
        </is>
      </c>
      <c r="I124" s="24" t="n">
        <v>14.451443</v>
      </c>
      <c r="J124" s="24" t="n">
        <v>120.922903</v>
      </c>
      <c r="K124" s="23" t="inlineStr">
        <is>
          <t>R</t>
        </is>
      </c>
      <c r="L124" s="25" t="n">
        <v>4597</v>
      </c>
      <c r="M124" s="26" t="n">
        <v>3.4</v>
      </c>
      <c r="N124" s="25">
        <f>ROUND(L124/M124, 0)</f>
        <v/>
      </c>
      <c r="O124" s="25">
        <f>ROUND(N124*'Methodology &amp; Assumptions'!$B$7, 0)</f>
        <v/>
      </c>
      <c r="P124" s="23" t="inlineStr">
        <is>
          <t>Single Carrier (Band n50, 100MHz TDD)</t>
        </is>
      </c>
      <c r="Q124" s="27">
        <f>ROUNDUP(O124/'Methodology &amp; Assumptions'!$B$8, 0)</f>
        <v/>
      </c>
      <c r="R124" s="27" t="n">
        <v>1</v>
      </c>
      <c r="S124" s="26" t="n">
        <v>2.82</v>
      </c>
      <c r="T124" s="26" t="n">
        <v>0.3</v>
      </c>
      <c r="U124" s="11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26" t="n">
        <v>78.56999999999999</v>
      </c>
      <c r="W124" s="26" t="n">
        <v>66.17</v>
      </c>
      <c r="X124" s="26">
        <f>ROUND(('Methodology &amp; Assumptions'!$B$5*V124) + ('Methodology &amp; Assumptions'!$B$6*W124), 2)</f>
        <v/>
      </c>
      <c r="Y124" s="28" t="n">
        <v>7.2</v>
      </c>
      <c r="Z124" s="11" t="inlineStr">
        <is>
          <t>Priority Tier 1 (High Commercial &amp; Social)</t>
        </is>
      </c>
    </row>
    <row r="125">
      <c r="A125" s="23" t="n">
        <v>1</v>
      </c>
      <c r="B125" s="23" t="n">
        <v>121</v>
      </c>
      <c r="C125" s="23" t="n">
        <v>121</v>
      </c>
      <c r="D125" s="23" t="inlineStr">
        <is>
          <t>0403425004</t>
        </is>
      </c>
      <c r="E125" s="11" t="inlineStr">
        <is>
          <t>Region IV-A (CALABARZON)</t>
        </is>
      </c>
      <c r="F125" s="11" t="inlineStr">
        <is>
          <t>Laguna</t>
        </is>
      </c>
      <c r="G125" s="11" t="inlineStr">
        <is>
          <t>City of San Pedro</t>
        </is>
      </c>
      <c r="H125" s="11" t="inlineStr">
        <is>
          <t>G.S.I.S.</t>
        </is>
      </c>
      <c r="I125" s="24" t="n">
        <v>14.349855</v>
      </c>
      <c r="J125" s="24" t="n">
        <v>121.041369</v>
      </c>
      <c r="K125" s="23" t="inlineStr">
        <is>
          <t>R</t>
        </is>
      </c>
      <c r="L125" s="25" t="n">
        <v>3100</v>
      </c>
      <c r="M125" s="26" t="n">
        <v>3.3</v>
      </c>
      <c r="N125" s="25">
        <f>ROUND(L125/M125, 0)</f>
        <v/>
      </c>
      <c r="O125" s="25">
        <f>ROUND(N125*'Methodology &amp; Assumptions'!$B$7, 0)</f>
        <v/>
      </c>
      <c r="P125" s="23" t="inlineStr">
        <is>
          <t>Single Carrier (Band n50, 100MHz TDD)</t>
        </is>
      </c>
      <c r="Q125" s="27">
        <f>ROUNDUP(O125/'Methodology &amp; Assumptions'!$B$8, 0)</f>
        <v/>
      </c>
      <c r="R125" s="27" t="n">
        <v>1</v>
      </c>
      <c r="S125" s="26" t="n">
        <v>0.61</v>
      </c>
      <c r="T125" s="26" t="n">
        <v>0.22</v>
      </c>
      <c r="U125" s="11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26" t="n">
        <v>85.45999999999999</v>
      </c>
      <c r="W125" s="26" t="n">
        <v>59.24</v>
      </c>
      <c r="X125" s="26">
        <f>ROUND(('Methodology &amp; Assumptions'!$B$5*V125) + ('Methodology &amp; Assumptions'!$B$6*W125), 2)</f>
        <v/>
      </c>
      <c r="Y125" s="28" t="n">
        <v>7.2</v>
      </c>
      <c r="Z125" s="11" t="inlineStr">
        <is>
          <t>Priority Tier 1 (High Commercial &amp; Social)</t>
        </is>
      </c>
    </row>
    <row r="126">
      <c r="A126" s="23" t="n">
        <v>1</v>
      </c>
      <c r="B126" s="23" t="n">
        <v>122</v>
      </c>
      <c r="C126" s="23" t="n">
        <v>122</v>
      </c>
      <c r="D126" s="23" t="inlineStr">
        <is>
          <t>0402106045</t>
        </is>
      </c>
      <c r="E126" s="11" t="inlineStr">
        <is>
          <t>Region IV-A (CALABARZON)</t>
        </is>
      </c>
      <c r="F126" s="11" t="inlineStr">
        <is>
          <t>Cavite</t>
        </is>
      </c>
      <c r="G126" s="11" t="inlineStr">
        <is>
          <t>City of Dasmariñas</t>
        </is>
      </c>
      <c r="H126" s="11" t="inlineStr">
        <is>
          <t>Santo Cristo</t>
        </is>
      </c>
      <c r="I126" s="24" t="n">
        <v>14.34124</v>
      </c>
      <c r="J126" s="24" t="n">
        <v>120.954405</v>
      </c>
      <c r="K126" s="23" t="inlineStr">
        <is>
          <t>R</t>
        </is>
      </c>
      <c r="L126" s="25" t="n">
        <v>4791</v>
      </c>
      <c r="M126" s="26" t="n">
        <v>3.4</v>
      </c>
      <c r="N126" s="25">
        <f>ROUND(L126/M126, 0)</f>
        <v/>
      </c>
      <c r="O126" s="25">
        <f>ROUND(N126*'Methodology &amp; Assumptions'!$B$7, 0)</f>
        <v/>
      </c>
      <c r="P126" s="23" t="inlineStr">
        <is>
          <t>Single Carrier (Band n50, 100MHz TDD)</t>
        </is>
      </c>
      <c r="Q126" s="27">
        <f>ROUNDUP(O126/'Methodology &amp; Assumptions'!$B$8, 0)</f>
        <v/>
      </c>
      <c r="R126" s="27" t="n">
        <v>1</v>
      </c>
      <c r="S126" s="26" t="n">
        <v>1.9</v>
      </c>
      <c r="T126" s="26" t="n">
        <v>4.4</v>
      </c>
      <c r="U126" s="11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26" t="n">
        <v>78.06</v>
      </c>
      <c r="W126" s="26" t="n">
        <v>66.56999999999999</v>
      </c>
      <c r="X126" s="26">
        <f>ROUND(('Methodology &amp; Assumptions'!$B$5*V126) + ('Methodology &amp; Assumptions'!$B$6*W126), 2)</f>
        <v/>
      </c>
      <c r="Y126" s="28" t="n">
        <v>7.2</v>
      </c>
      <c r="Z126" s="11" t="inlineStr">
        <is>
          <t>Priority Tier 1 (High Commercial &amp; Social)</t>
        </is>
      </c>
    </row>
    <row r="127">
      <c r="A127" s="23" t="n">
        <v>1</v>
      </c>
      <c r="B127" s="23" t="n">
        <v>123</v>
      </c>
      <c r="C127" s="23" t="n">
        <v>123</v>
      </c>
      <c r="D127" s="23" t="inlineStr">
        <is>
          <t>0402106077</t>
        </is>
      </c>
      <c r="E127" s="11" t="inlineStr">
        <is>
          <t>Region IV-A (CALABARZON)</t>
        </is>
      </c>
      <c r="F127" s="11" t="inlineStr">
        <is>
          <t>Cavite</t>
        </is>
      </c>
      <c r="G127" s="11" t="inlineStr">
        <is>
          <t>City of Dasmariñas</t>
        </is>
      </c>
      <c r="H127" s="11" t="inlineStr">
        <is>
          <t>Santa Cruz II</t>
        </is>
      </c>
      <c r="I127" s="24" t="n">
        <v>14.314948</v>
      </c>
      <c r="J127" s="24" t="n">
        <v>120.956798</v>
      </c>
      <c r="K127" s="23" t="inlineStr">
        <is>
          <t>R</t>
        </is>
      </c>
      <c r="L127" s="25" t="n">
        <v>2251</v>
      </c>
      <c r="M127" s="26" t="n">
        <v>3.4</v>
      </c>
      <c r="N127" s="25">
        <f>ROUND(L127/M127, 0)</f>
        <v/>
      </c>
      <c r="O127" s="25">
        <f>ROUND(N127*'Methodology &amp; Assumptions'!$B$7, 0)</f>
        <v/>
      </c>
      <c r="P127" s="23" t="inlineStr">
        <is>
          <t>Single Carrier (Band n50, 100MHz TDD)</t>
        </is>
      </c>
      <c r="Q127" s="27">
        <f>ROUNDUP(O127/'Methodology &amp; Assumptions'!$B$8, 0)</f>
        <v/>
      </c>
      <c r="R127" s="27" t="n">
        <v>1</v>
      </c>
      <c r="S127" s="26" t="n">
        <v>1</v>
      </c>
      <c r="T127" s="26" t="n">
        <v>1.51</v>
      </c>
      <c r="U127" s="11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26" t="n">
        <v>79.90000000000001</v>
      </c>
      <c r="W127" s="26" t="n">
        <v>64.67</v>
      </c>
      <c r="X127" s="26">
        <f>ROUND(('Methodology &amp; Assumptions'!$B$5*V127) + ('Methodology &amp; Assumptions'!$B$6*W127), 2)</f>
        <v/>
      </c>
      <c r="Y127" s="28" t="n">
        <v>7.2</v>
      </c>
      <c r="Z127" s="11" t="inlineStr">
        <is>
          <t>Priority Tier 1 (High Commercial &amp; Social)</t>
        </is>
      </c>
    </row>
    <row r="128">
      <c r="A128" s="23" t="n">
        <v>1</v>
      </c>
      <c r="B128" s="23" t="n">
        <v>124</v>
      </c>
      <c r="C128" s="23" t="n">
        <v>124</v>
      </c>
      <c r="D128" s="23" t="inlineStr">
        <is>
          <t>0300811023</t>
        </is>
      </c>
      <c r="E128" s="11" t="inlineStr">
        <is>
          <t>Region III (Central Luzon)</t>
        </is>
      </c>
      <c r="F128" s="11" t="inlineStr">
        <is>
          <t>Bataan</t>
        </is>
      </c>
      <c r="G128" s="11" t="inlineStr">
        <is>
          <t>Pilar</t>
        </is>
      </c>
      <c r="H128" s="11" t="inlineStr">
        <is>
          <t>Santa Rosa</t>
        </is>
      </c>
      <c r="I128" s="24" t="n">
        <v>14.67542</v>
      </c>
      <c r="J128" s="24" t="n">
        <v>120.547841</v>
      </c>
      <c r="K128" s="23" t="inlineStr">
        <is>
          <t>U</t>
        </is>
      </c>
      <c r="L128" s="25" t="n">
        <v>7499</v>
      </c>
      <c r="M128" s="26" t="n">
        <v>3.6</v>
      </c>
      <c r="N128" s="25">
        <f>ROUND(L128/M128, 0)</f>
        <v/>
      </c>
      <c r="O128" s="25">
        <f>ROUND(N128*'Methodology &amp; Assumptions'!$B$7, 0)</f>
        <v/>
      </c>
      <c r="P128" s="23" t="inlineStr">
        <is>
          <t>Single Carrier (Band n50, 100MHz TDD)</t>
        </is>
      </c>
      <c r="Q128" s="27">
        <f>ROUNDUP(O128/'Methodology &amp; Assumptions'!$B$8, 0)</f>
        <v/>
      </c>
      <c r="R128" s="27" t="n">
        <v>1</v>
      </c>
      <c r="S128" s="26" t="n">
        <v>0.96</v>
      </c>
      <c r="T128" s="26" t="n">
        <v>0.29</v>
      </c>
      <c r="U128" s="11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26" t="n">
        <v>77.98</v>
      </c>
      <c r="W128" s="26" t="n">
        <v>66.58</v>
      </c>
      <c r="X128" s="26">
        <f>ROUND(('Methodology &amp; Assumptions'!$B$5*V128) + ('Methodology &amp; Assumptions'!$B$6*W128), 2)</f>
        <v/>
      </c>
      <c r="Y128" s="28" t="n">
        <v>8.300000000000001</v>
      </c>
      <c r="Z128" s="11" t="inlineStr">
        <is>
          <t>Priority Tier 1 (High Commercial &amp; Social)</t>
        </is>
      </c>
    </row>
    <row r="129">
      <c r="A129" s="23" t="n">
        <v>1</v>
      </c>
      <c r="B129" s="23" t="n">
        <v>125</v>
      </c>
      <c r="C129" s="23" t="n">
        <v>125</v>
      </c>
      <c r="D129" s="23" t="inlineStr">
        <is>
          <t>0403405040</t>
        </is>
      </c>
      <c r="E129" s="11" t="inlineStr">
        <is>
          <t>Region IV-A (CALABARZON)</t>
        </is>
      </c>
      <c r="F129" s="11" t="inlineStr">
        <is>
          <t>Laguna</t>
        </is>
      </c>
      <c r="G129" s="11" t="inlineStr">
        <is>
          <t>City of Calamba</t>
        </is>
      </c>
      <c r="H129" s="11" t="inlineStr">
        <is>
          <t>Barangay 3</t>
        </is>
      </c>
      <c r="I129" s="24" t="n">
        <v>14.208436</v>
      </c>
      <c r="J129" s="24" t="n">
        <v>121.161472</v>
      </c>
      <c r="K129" s="23" t="inlineStr">
        <is>
          <t>U</t>
        </is>
      </c>
      <c r="L129" s="25" t="n">
        <v>4973</v>
      </c>
      <c r="M129" s="26" t="n">
        <v>3.3</v>
      </c>
      <c r="N129" s="25">
        <f>ROUND(L129/M129, 0)</f>
        <v/>
      </c>
      <c r="O129" s="25">
        <f>ROUND(N129*'Methodology &amp; Assumptions'!$B$7, 0)</f>
        <v/>
      </c>
      <c r="P129" s="23" t="inlineStr">
        <is>
          <t>Single Carrier (Band n50, 100MHz TDD)</t>
        </is>
      </c>
      <c r="Q129" s="27">
        <f>ROUNDUP(O129/'Methodology &amp; Assumptions'!$B$8, 0)</f>
        <v/>
      </c>
      <c r="R129" s="27" t="n">
        <v>1</v>
      </c>
      <c r="S129" s="26" t="n">
        <v>2.07</v>
      </c>
      <c r="T129" s="26" t="n">
        <v>0.06</v>
      </c>
      <c r="U129" s="11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26" t="n">
        <v>73.79000000000001</v>
      </c>
      <c r="W129" s="26" t="n">
        <v>70.76000000000001</v>
      </c>
      <c r="X129" s="26">
        <f>ROUND(('Methodology &amp; Assumptions'!$B$5*V129) + ('Methodology &amp; Assumptions'!$B$6*W129), 2)</f>
        <v/>
      </c>
      <c r="Y129" s="28" t="n">
        <v>7.2</v>
      </c>
      <c r="Z129" s="11" t="inlineStr">
        <is>
          <t>Priority Tier 1 (High Commercial &amp; Social)</t>
        </is>
      </c>
    </row>
    <row r="130">
      <c r="A130" s="23" t="n">
        <v>1</v>
      </c>
      <c r="B130" s="23" t="n">
        <v>126</v>
      </c>
      <c r="C130" s="23" t="n">
        <v>126</v>
      </c>
      <c r="D130" s="23" t="inlineStr">
        <is>
          <t>1380900001</t>
        </is>
      </c>
      <c r="E130" s="11" t="inlineStr">
        <is>
          <t>National Capital Region (NCR)</t>
        </is>
      </c>
      <c r="F130" s="11" t="inlineStr">
        <is>
          <t>Third District (Not a Province)</t>
        </is>
      </c>
      <c r="G130" s="11" t="inlineStr">
        <is>
          <t>City of Navotas</t>
        </is>
      </c>
      <c r="H130" s="11" t="inlineStr">
        <is>
          <t>Sipac-Almacen</t>
        </is>
      </c>
      <c r="I130" s="24" t="n">
        <v>14.658171</v>
      </c>
      <c r="J130" s="24" t="n">
        <v>120.945493</v>
      </c>
      <c r="K130" s="23" t="inlineStr">
        <is>
          <t>U</t>
        </is>
      </c>
      <c r="L130" s="25" t="n">
        <v>9097</v>
      </c>
      <c r="M130" s="26" t="n">
        <v>3.48</v>
      </c>
      <c r="N130" s="25">
        <f>ROUND(L130/M130, 0)</f>
        <v/>
      </c>
      <c r="O130" s="25">
        <f>ROUND(N130*'Methodology &amp; Assumptions'!$B$7, 0)</f>
        <v/>
      </c>
      <c r="P130" s="23" t="inlineStr">
        <is>
          <t>Single Carrier (Band n50, 100MHz TDD)</t>
        </is>
      </c>
      <c r="Q130" s="27">
        <f>ROUNDUP(O130/'Methodology &amp; Assumptions'!$B$8, 0)</f>
        <v/>
      </c>
      <c r="R130" s="27" t="n">
        <v>1</v>
      </c>
      <c r="S130" s="26" t="n">
        <v>0.26</v>
      </c>
      <c r="T130" s="26" t="n">
        <v>0.76</v>
      </c>
      <c r="U130" s="11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26" t="n">
        <v>69.09</v>
      </c>
      <c r="W130" s="26" t="n">
        <v>75.40000000000001</v>
      </c>
      <c r="X130" s="26">
        <f>ROUND(('Methodology &amp; Assumptions'!$B$5*V130) + ('Methodology &amp; Assumptions'!$B$6*W130), 2)</f>
        <v/>
      </c>
      <c r="Y130" s="28" t="n">
        <v>10.9</v>
      </c>
      <c r="Z130" s="11" t="inlineStr">
        <is>
          <t>Priority Tier 1 (High Commercial &amp; Social)</t>
        </is>
      </c>
    </row>
    <row r="131">
      <c r="A131" s="23" t="n">
        <v>1</v>
      </c>
      <c r="B131" s="23" t="n">
        <v>127</v>
      </c>
      <c r="C131" s="23" t="n">
        <v>127</v>
      </c>
      <c r="D131" s="23" t="inlineStr">
        <is>
          <t>0102818011</t>
        </is>
      </c>
      <c r="E131" s="11" t="inlineStr">
        <is>
          <t>Region I (Ilocos Region)</t>
        </is>
      </c>
      <c r="F131" s="11" t="inlineStr">
        <is>
          <t>Ilocos Norte</t>
        </is>
      </c>
      <c r="G131" s="11" t="inlineStr">
        <is>
          <t>Piddig</t>
        </is>
      </c>
      <c r="H131" s="11" t="inlineStr">
        <is>
          <t>Estancia</t>
        </is>
      </c>
      <c r="I131" s="24" t="n">
        <v>18.18694</v>
      </c>
      <c r="J131" s="24" t="n">
        <v>120.780968</v>
      </c>
      <c r="K131" s="23" t="inlineStr">
        <is>
          <t>R</t>
        </is>
      </c>
      <c r="L131" s="25" t="n">
        <v>1853</v>
      </c>
      <c r="M131" s="26" t="n">
        <v>3.7</v>
      </c>
      <c r="N131" s="25">
        <f>ROUND(L131/M131, 0)</f>
        <v/>
      </c>
      <c r="O131" s="25">
        <f>ROUND(N131*'Methodology &amp; Assumptions'!$B$7, 0)</f>
        <v/>
      </c>
      <c r="P131" s="23" t="inlineStr">
        <is>
          <t>Single Carrier (Band n50, 100MHz TDD)</t>
        </is>
      </c>
      <c r="Q131" s="27">
        <f>ROUNDUP(O131/'Methodology &amp; Assumptions'!$B$8, 0)</f>
        <v/>
      </c>
      <c r="R131" s="27" t="n">
        <v>1</v>
      </c>
      <c r="S131" s="26" t="n">
        <v>7.39</v>
      </c>
      <c r="T131" s="26" t="n">
        <v>6.84</v>
      </c>
      <c r="U131" s="11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26" t="n">
        <v>56.99</v>
      </c>
      <c r="W131" s="26" t="n">
        <v>87.45999999999999</v>
      </c>
      <c r="X131" s="26">
        <f>ROUND(('Methodology &amp; Assumptions'!$B$5*V131) + ('Methodology &amp; Assumptions'!$B$6*W131), 2)</f>
        <v/>
      </c>
      <c r="Y131" s="28" t="n">
        <v>8.300000000000001</v>
      </c>
      <c r="Z131" s="11" t="inlineStr">
        <is>
          <t>Priority Tier 1 (High Commercial &amp; Social)</t>
        </is>
      </c>
    </row>
    <row r="132">
      <c r="A132" s="23" t="n">
        <v>1</v>
      </c>
      <c r="B132" s="23" t="n">
        <v>128</v>
      </c>
      <c r="C132" s="23" t="n">
        <v>128</v>
      </c>
      <c r="D132" s="23" t="inlineStr">
        <is>
          <t>1403213008</t>
        </is>
      </c>
      <c r="E132" s="11" t="inlineStr">
        <is>
          <t>Cordillera Administrative Region (CAR)</t>
        </is>
      </c>
      <c r="F132" s="11" t="inlineStr">
        <is>
          <t>Kalinga</t>
        </is>
      </c>
      <c r="G132" s="11" t="inlineStr">
        <is>
          <t>City of Tabuk</t>
        </is>
      </c>
      <c r="H132" s="11" t="inlineStr">
        <is>
          <t>Bulanao</t>
        </is>
      </c>
      <c r="I132" s="24" t="n">
        <v>17.380183</v>
      </c>
      <c r="J132" s="24" t="n">
        <v>121.480181</v>
      </c>
      <c r="K132" s="23" t="inlineStr">
        <is>
          <t>U</t>
        </is>
      </c>
      <c r="L132" s="25" t="n">
        <v>20300</v>
      </c>
      <c r="M132" s="26" t="n">
        <v>4.3</v>
      </c>
      <c r="N132" s="25">
        <f>ROUND(L132/M132, 0)</f>
        <v/>
      </c>
      <c r="O132" s="25">
        <f>ROUND(N132*'Methodology &amp; Assumptions'!$B$7, 0)</f>
        <v/>
      </c>
      <c r="P132" s="23" t="inlineStr">
        <is>
          <t>Single Carrier (Band n50, 100MHz TDD)</t>
        </is>
      </c>
      <c r="Q132" s="27">
        <f>ROUNDUP(O132/'Methodology &amp; Assumptions'!$B$8, 0)</f>
        <v/>
      </c>
      <c r="R132" s="27" t="n">
        <v>1</v>
      </c>
      <c r="S132" s="26" t="n">
        <v>5.4</v>
      </c>
      <c r="T132" s="26" t="n">
        <v>4.66</v>
      </c>
      <c r="U132" s="11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26" t="n">
        <v>62.9</v>
      </c>
      <c r="W132" s="26" t="n">
        <v>81.51000000000001</v>
      </c>
      <c r="X132" s="26">
        <f>ROUND(('Methodology &amp; Assumptions'!$B$5*V132) + ('Methodology &amp; Assumptions'!$B$6*W132), 2)</f>
        <v/>
      </c>
      <c r="Y132" s="28" t="n">
        <v>10.9</v>
      </c>
      <c r="Z132" s="11" t="inlineStr">
        <is>
          <t>Priority Tier 1 (High Commercial &amp; Social)</t>
        </is>
      </c>
    </row>
    <row r="133">
      <c r="A133" s="23" t="n">
        <v>1</v>
      </c>
      <c r="B133" s="23" t="n">
        <v>129</v>
      </c>
      <c r="C133" s="23" t="n">
        <v>129</v>
      </c>
      <c r="D133" s="23" t="inlineStr">
        <is>
          <t>0300803019</t>
        </is>
      </c>
      <c r="E133" s="11" t="inlineStr">
        <is>
          <t>Region III (Central Luzon)</t>
        </is>
      </c>
      <c r="F133" s="11" t="inlineStr">
        <is>
          <t>Bataan</t>
        </is>
      </c>
      <c r="G133" s="11" t="inlineStr">
        <is>
          <t>City of Balanga</t>
        </is>
      </c>
      <c r="H133" s="11" t="inlineStr">
        <is>
          <t>Talisay</t>
        </is>
      </c>
      <c r="I133" s="24" t="n">
        <v>14.681928</v>
      </c>
      <c r="J133" s="24" t="n">
        <v>120.545243</v>
      </c>
      <c r="K133" s="23" t="inlineStr">
        <is>
          <t>R</t>
        </is>
      </c>
      <c r="L133" s="25" t="n">
        <v>2278</v>
      </c>
      <c r="M133" s="26" t="n">
        <v>3.6</v>
      </c>
      <c r="N133" s="25">
        <f>ROUND(L133/M133, 0)</f>
        <v/>
      </c>
      <c r="O133" s="25">
        <f>ROUND(N133*'Methodology &amp; Assumptions'!$B$7, 0)</f>
        <v/>
      </c>
      <c r="P133" s="23" t="inlineStr">
        <is>
          <t>Single Carrier (Band n50, 100MHz TDD)</t>
        </is>
      </c>
      <c r="Q133" s="27">
        <f>ROUNDUP(O133/'Methodology &amp; Assumptions'!$B$8, 0)</f>
        <v/>
      </c>
      <c r="R133" s="27" t="n">
        <v>1</v>
      </c>
      <c r="S133" s="26" t="n">
        <v>0.2</v>
      </c>
      <c r="T133" s="26" t="n">
        <v>0.13</v>
      </c>
      <c r="U133" s="11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26" t="n">
        <v>79.61</v>
      </c>
      <c r="W133" s="26" t="n">
        <v>64.79000000000001</v>
      </c>
      <c r="X133" s="26">
        <f>ROUND(('Methodology &amp; Assumptions'!$B$5*V133) + ('Methodology &amp; Assumptions'!$B$6*W133), 2)</f>
        <v/>
      </c>
      <c r="Y133" s="28" t="n">
        <v>8.300000000000001</v>
      </c>
      <c r="Z133" s="11" t="inlineStr">
        <is>
          <t>Priority Tier 1 (High Commercial &amp; Social)</t>
        </is>
      </c>
    </row>
    <row r="134">
      <c r="A134" s="23" t="n">
        <v>1</v>
      </c>
      <c r="B134" s="23" t="n">
        <v>130</v>
      </c>
      <c r="C134" s="23" t="n">
        <v>130</v>
      </c>
      <c r="D134" s="23" t="inlineStr">
        <is>
          <t>0402111017</t>
        </is>
      </c>
      <c r="E134" s="11" t="inlineStr">
        <is>
          <t>Region IV-A (CALABARZON)</t>
        </is>
      </c>
      <c r="F134" s="11" t="inlineStr">
        <is>
          <t>Cavite</t>
        </is>
      </c>
      <c r="G134" s="11" t="inlineStr">
        <is>
          <t>Kawit</t>
        </is>
      </c>
      <c r="H134" s="11" t="inlineStr">
        <is>
          <t>Manggahan-Lawin</t>
        </is>
      </c>
      <c r="I134" s="24" t="n">
        <v>14.447025</v>
      </c>
      <c r="J134" s="24" t="n">
        <v>120.92493</v>
      </c>
      <c r="K134" s="23" t="inlineStr">
        <is>
          <t>R</t>
        </is>
      </c>
      <c r="L134" s="25" t="n">
        <v>4886</v>
      </c>
      <c r="M134" s="26" t="n">
        <v>3.4</v>
      </c>
      <c r="N134" s="25">
        <f>ROUND(L134/M134, 0)</f>
        <v/>
      </c>
      <c r="O134" s="25">
        <f>ROUND(N134*'Methodology &amp; Assumptions'!$B$7, 0)</f>
        <v/>
      </c>
      <c r="P134" s="23" t="inlineStr">
        <is>
          <t>Single Carrier (Band n50, 100MHz TDD)</t>
        </is>
      </c>
      <c r="Q134" s="27">
        <f>ROUNDUP(O134/'Methodology &amp; Assumptions'!$B$8, 0)</f>
        <v/>
      </c>
      <c r="R134" s="27" t="n">
        <v>1</v>
      </c>
      <c r="S134" s="26" t="n">
        <v>2.54</v>
      </c>
      <c r="T134" s="26" t="n">
        <v>0.44</v>
      </c>
      <c r="U134" s="11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26" t="n">
        <v>79.44</v>
      </c>
      <c r="W134" s="26" t="n">
        <v>64.94</v>
      </c>
      <c r="X134" s="26">
        <f>ROUND(('Methodology &amp; Assumptions'!$B$5*V134) + ('Methodology &amp; Assumptions'!$B$6*W134), 2)</f>
        <v/>
      </c>
      <c r="Y134" s="28" t="n">
        <v>7.2</v>
      </c>
      <c r="Z134" s="11" t="inlineStr">
        <is>
          <t>Priority Tier 1 (High Commercial &amp; Social)</t>
        </is>
      </c>
    </row>
    <row r="135">
      <c r="A135" s="23" t="n">
        <v>1</v>
      </c>
      <c r="B135" s="23" t="n">
        <v>131</v>
      </c>
      <c r="C135" s="23" t="n">
        <v>131</v>
      </c>
      <c r="D135" s="23" t="inlineStr">
        <is>
          <t>0402123020</t>
        </is>
      </c>
      <c r="E135" s="11" t="inlineStr">
        <is>
          <t>Region IV-A (CALABARZON)</t>
        </is>
      </c>
      <c r="F135" s="11" t="inlineStr">
        <is>
          <t>Cavite</t>
        </is>
      </c>
      <c r="G135" s="11" t="inlineStr">
        <is>
          <t>Gen. Mariano Alvarez</t>
        </is>
      </c>
      <c r="H135" s="11" t="inlineStr">
        <is>
          <t>Marcelino Memije</t>
        </is>
      </c>
      <c r="I135" s="24" t="n">
        <v>14.300658</v>
      </c>
      <c r="J135" s="24" t="n">
        <v>121.01129</v>
      </c>
      <c r="K135" s="23" t="inlineStr">
        <is>
          <t>R</t>
        </is>
      </c>
      <c r="L135" s="25" t="n">
        <v>5213</v>
      </c>
      <c r="M135" s="26" t="n">
        <v>3.4</v>
      </c>
      <c r="N135" s="25">
        <f>ROUND(L135/M135, 0)</f>
        <v/>
      </c>
      <c r="O135" s="25">
        <f>ROUND(N135*'Methodology &amp; Assumptions'!$B$7, 0)</f>
        <v/>
      </c>
      <c r="P135" s="23" t="inlineStr">
        <is>
          <t>Single Carrier (Band n50, 100MHz TDD)</t>
        </is>
      </c>
      <c r="Q135" s="27">
        <f>ROUNDUP(O135/'Methodology &amp; Assumptions'!$B$8, 0)</f>
        <v/>
      </c>
      <c r="R135" s="27" t="n">
        <v>1</v>
      </c>
      <c r="S135" s="26" t="n">
        <v>2.26</v>
      </c>
      <c r="T135" s="26" t="n">
        <v>4.33</v>
      </c>
      <c r="U135" s="11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26" t="n">
        <v>76.84999999999999</v>
      </c>
      <c r="W135" s="26" t="n">
        <v>67.51000000000001</v>
      </c>
      <c r="X135" s="26">
        <f>ROUND(('Methodology &amp; Assumptions'!$B$5*V135) + ('Methodology &amp; Assumptions'!$B$6*W135), 2)</f>
        <v/>
      </c>
      <c r="Y135" s="28" t="n">
        <v>7.2</v>
      </c>
      <c r="Z135" s="11" t="inlineStr">
        <is>
          <t>Priority Tier 1 (High Commercial &amp; Social)</t>
        </is>
      </c>
    </row>
    <row r="136">
      <c r="A136" s="23" t="n">
        <v>1</v>
      </c>
      <c r="B136" s="23" t="n">
        <v>132</v>
      </c>
      <c r="C136" s="23" t="n">
        <v>132</v>
      </c>
      <c r="D136" s="23" t="inlineStr">
        <is>
          <t>1380601123</t>
        </is>
      </c>
      <c r="E136" s="11" t="inlineStr">
        <is>
          <t>National Capital Region (NCR)</t>
        </is>
      </c>
      <c r="F136" s="11" t="inlineStr">
        <is>
          <t>First District (Not a Province)</t>
        </is>
      </c>
      <c r="G136" s="11" t="inlineStr">
        <is>
          <t>City of Manila</t>
        </is>
      </c>
      <c r="H136" s="11" t="inlineStr">
        <is>
          <t>Barangay 123</t>
        </is>
      </c>
      <c r="I136" s="24" t="n">
        <v>14.609887</v>
      </c>
      <c r="J136" s="24" t="n">
        <v>120.961761</v>
      </c>
      <c r="K136" s="23" t="inlineStr">
        <is>
          <t>U</t>
        </is>
      </c>
      <c r="L136" s="25" t="n">
        <v>8879</v>
      </c>
      <c r="M136" s="26" t="n">
        <v>4.72</v>
      </c>
      <c r="N136" s="25">
        <f>ROUND(L136/M136, 0)</f>
        <v/>
      </c>
      <c r="O136" s="25">
        <f>ROUND(N136*'Methodology &amp; Assumptions'!$B$7, 0)</f>
        <v/>
      </c>
      <c r="P136" s="23" t="inlineStr">
        <is>
          <t>Single Carrier (Band n50, 100MHz TDD)</t>
        </is>
      </c>
      <c r="Q136" s="27">
        <f>ROUNDUP(O136/'Methodology &amp; Assumptions'!$B$8, 0)</f>
        <v/>
      </c>
      <c r="R136" s="27" t="n">
        <v>1</v>
      </c>
      <c r="S136" s="26" t="n">
        <v>0.9</v>
      </c>
      <c r="T136" s="26" t="n">
        <v>0.78</v>
      </c>
      <c r="U136" s="11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26" t="n">
        <v>68.84999999999999</v>
      </c>
      <c r="W136" s="26" t="n">
        <v>75.5</v>
      </c>
      <c r="X136" s="26">
        <f>ROUND(('Methodology &amp; Assumptions'!$B$5*V136) + ('Methodology &amp; Assumptions'!$B$6*W136), 2)</f>
        <v/>
      </c>
      <c r="Y136" s="28" t="n">
        <v>10.9</v>
      </c>
      <c r="Z136" s="11" t="inlineStr">
        <is>
          <t>Priority Tier 1 (High Commercial &amp; Social)</t>
        </is>
      </c>
    </row>
    <row r="137">
      <c r="A137" s="23" t="n">
        <v>1</v>
      </c>
      <c r="B137" s="23" t="n">
        <v>133</v>
      </c>
      <c r="C137" s="23" t="n">
        <v>133</v>
      </c>
      <c r="D137" s="23" t="inlineStr">
        <is>
          <t>1705309032</t>
        </is>
      </c>
      <c r="E137" s="11" t="inlineStr">
        <is>
          <t>MIMAROPA Region</t>
        </is>
      </c>
      <c r="F137" s="11" t="inlineStr">
        <is>
          <t>Palawan</t>
        </is>
      </c>
      <c r="G137" s="11" t="inlineStr">
        <is>
          <t>Coron</t>
        </is>
      </c>
      <c r="H137" s="11" t="inlineStr">
        <is>
          <t>Barangay VI</t>
        </is>
      </c>
      <c r="I137" s="24" t="n">
        <v>12.039955</v>
      </c>
      <c r="J137" s="24" t="n">
        <v>120.219537</v>
      </c>
      <c r="K137" s="23" t="inlineStr">
        <is>
          <t>U</t>
        </is>
      </c>
      <c r="L137" s="25" t="n">
        <v>5297</v>
      </c>
      <c r="M137" s="26" t="n">
        <v>3.9</v>
      </c>
      <c r="N137" s="25">
        <f>ROUND(L137/M137, 0)</f>
        <v/>
      </c>
      <c r="O137" s="25">
        <f>ROUND(N137*'Methodology &amp; Assumptions'!$B$7, 0)</f>
        <v/>
      </c>
      <c r="P137" s="23" t="inlineStr">
        <is>
          <t>Single Carrier (Band n50, 100MHz TDD)</t>
        </is>
      </c>
      <c r="Q137" s="27">
        <f>ROUNDUP(O137/'Methodology &amp; Assumptions'!$B$8, 0)</f>
        <v/>
      </c>
      <c r="R137" s="27" t="n">
        <v>1</v>
      </c>
      <c r="S137" s="26" t="n">
        <v>5.07</v>
      </c>
      <c r="T137" s="26" t="n">
        <v>97.89</v>
      </c>
      <c r="U137" s="11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26" t="n">
        <v>64.38</v>
      </c>
      <c r="W137" s="26" t="n">
        <v>79.98</v>
      </c>
      <c r="X137" s="26">
        <f>ROUND(('Methodology &amp; Assumptions'!$B$5*V137) + ('Methodology &amp; Assumptions'!$B$6*W137), 2)</f>
        <v/>
      </c>
      <c r="Y137" s="28" t="n">
        <v>15</v>
      </c>
      <c r="Z137" s="11" t="inlineStr">
        <is>
          <t>Priority Tier 1 (High Commercial &amp; Social)</t>
        </is>
      </c>
    </row>
    <row r="138">
      <c r="A138" s="23" t="n">
        <v>1</v>
      </c>
      <c r="B138" s="23" t="n">
        <v>134</v>
      </c>
      <c r="C138" s="23" t="n">
        <v>134</v>
      </c>
      <c r="D138" s="23" t="inlineStr">
        <is>
          <t>1380900007</t>
        </is>
      </c>
      <c r="E138" s="11" t="inlineStr">
        <is>
          <t>National Capital Region (NCR)</t>
        </is>
      </c>
      <c r="F138" s="11" t="inlineStr">
        <is>
          <t>Third District (Not a Province)</t>
        </is>
      </c>
      <c r="G138" s="11" t="inlineStr">
        <is>
          <t>City of Navotas</t>
        </is>
      </c>
      <c r="H138" s="11" t="inlineStr">
        <is>
          <t>Navotas West</t>
        </is>
      </c>
      <c r="I138" s="24" t="n">
        <v>14.653673</v>
      </c>
      <c r="J138" s="24" t="n">
        <v>120.948192</v>
      </c>
      <c r="K138" s="23" t="inlineStr">
        <is>
          <t>U</t>
        </is>
      </c>
      <c r="L138" s="25" t="n">
        <v>6293</v>
      </c>
      <c r="M138" s="26" t="n">
        <v>3.52</v>
      </c>
      <c r="N138" s="25">
        <f>ROUND(L138/M138, 0)</f>
        <v/>
      </c>
      <c r="O138" s="25">
        <f>ROUND(N138*'Methodology &amp; Assumptions'!$B$7, 0)</f>
        <v/>
      </c>
      <c r="P138" s="23" t="inlineStr">
        <is>
          <t>Single Carrier (Band n50, 100MHz TDD)</t>
        </is>
      </c>
      <c r="Q138" s="27">
        <f>ROUNDUP(O138/'Methodology &amp; Assumptions'!$B$8, 0)</f>
        <v/>
      </c>
      <c r="R138" s="27" t="n">
        <v>1</v>
      </c>
      <c r="S138" s="26" t="n">
        <v>0.32</v>
      </c>
      <c r="T138" s="26" t="n">
        <v>0.73</v>
      </c>
      <c r="U138" s="11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26" t="n">
        <v>69.09</v>
      </c>
      <c r="W138" s="26" t="n">
        <v>75.23</v>
      </c>
      <c r="X138" s="26">
        <f>ROUND(('Methodology &amp; Assumptions'!$B$5*V138) + ('Methodology &amp; Assumptions'!$B$6*W138), 2)</f>
        <v/>
      </c>
      <c r="Y138" s="28" t="n">
        <v>10.9</v>
      </c>
      <c r="Z138" s="11" t="inlineStr">
        <is>
          <t>Priority Tier 1 (High Commercial &amp; Social)</t>
        </is>
      </c>
    </row>
    <row r="139">
      <c r="A139" s="23" t="n">
        <v>1</v>
      </c>
      <c r="B139" s="23" t="n">
        <v>135</v>
      </c>
      <c r="C139" s="23" t="n">
        <v>135</v>
      </c>
      <c r="D139" s="23" t="inlineStr">
        <is>
          <t>0403425026</t>
        </is>
      </c>
      <c r="E139" s="11" t="inlineStr">
        <is>
          <t>Region IV-A (CALABARZON)</t>
        </is>
      </c>
      <c r="F139" s="11" t="inlineStr">
        <is>
          <t>Laguna</t>
        </is>
      </c>
      <c r="G139" s="11" t="inlineStr">
        <is>
          <t>City of San Pedro</t>
        </is>
      </c>
      <c r="H139" s="11" t="inlineStr">
        <is>
          <t>Pacita 1</t>
        </is>
      </c>
      <c r="I139" s="24" t="n">
        <v>14.345361</v>
      </c>
      <c r="J139" s="24" t="n">
        <v>121.056528</v>
      </c>
      <c r="K139" s="23" t="inlineStr">
        <is>
          <t>U</t>
        </is>
      </c>
      <c r="L139" s="25" t="n">
        <v>24752</v>
      </c>
      <c r="M139" s="26" t="n">
        <v>3.3</v>
      </c>
      <c r="N139" s="25">
        <f>ROUND(L139/M139, 0)</f>
        <v/>
      </c>
      <c r="O139" s="25">
        <f>ROUND(N139*'Methodology &amp; Assumptions'!$B$7, 0)</f>
        <v/>
      </c>
      <c r="P139" s="23" t="inlineStr">
        <is>
          <t>Single Carrier (Band n50, 100MHz TDD)</t>
        </is>
      </c>
      <c r="Q139" s="27">
        <f>ROUNDUP(O139/'Methodology &amp; Assumptions'!$B$8, 0)</f>
        <v/>
      </c>
      <c r="R139" s="27" t="n">
        <v>1</v>
      </c>
      <c r="S139" s="26" t="n">
        <v>0.98</v>
      </c>
      <c r="T139" s="26" t="n">
        <v>0.27</v>
      </c>
      <c r="U139" s="11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26" t="n">
        <v>77.69</v>
      </c>
      <c r="W139" s="26" t="n">
        <v>66.62</v>
      </c>
      <c r="X139" s="26">
        <f>ROUND(('Methodology &amp; Assumptions'!$B$5*V139) + ('Methodology &amp; Assumptions'!$B$6*W139), 2)</f>
        <v/>
      </c>
      <c r="Y139" s="28" t="n">
        <v>7.2</v>
      </c>
      <c r="Z139" s="11" t="inlineStr">
        <is>
          <t>Priority Tier 1 (High Commercial &amp; Social)</t>
        </is>
      </c>
    </row>
    <row r="140">
      <c r="A140" s="23" t="n">
        <v>1</v>
      </c>
      <c r="B140" s="23" t="n">
        <v>136</v>
      </c>
      <c r="C140" s="23" t="n">
        <v>136</v>
      </c>
      <c r="D140" s="23" t="inlineStr">
        <is>
          <t>0702234019</t>
        </is>
      </c>
      <c r="E140" s="11" t="inlineStr">
        <is>
          <t>Region VII (Central Visayas)</t>
        </is>
      </c>
      <c r="F140" s="11" t="inlineStr">
        <is>
          <t>Cebu</t>
        </is>
      </c>
      <c r="G140" s="11" t="inlineStr">
        <is>
          <t>City of Naga</t>
        </is>
      </c>
      <c r="H140" s="11" t="inlineStr">
        <is>
          <t>North Poblacion</t>
        </is>
      </c>
      <c r="I140" s="24" t="n">
        <v>10.211755</v>
      </c>
      <c r="J140" s="24" t="n">
        <v>123.760042</v>
      </c>
      <c r="K140" s="23" t="inlineStr">
        <is>
          <t>R</t>
        </is>
      </c>
      <c r="L140" s="25" t="n">
        <v>3151</v>
      </c>
      <c r="M140" s="26" t="n">
        <v>3.8</v>
      </c>
      <c r="N140" s="25">
        <f>ROUND(L140/M140, 0)</f>
        <v/>
      </c>
      <c r="O140" s="25">
        <f>ROUND(N140*'Methodology &amp; Assumptions'!$B$7, 0)</f>
        <v/>
      </c>
      <c r="P140" s="23" t="inlineStr">
        <is>
          <t>Single Carrier (Band n50, 100MHz TDD)</t>
        </is>
      </c>
      <c r="Q140" s="27">
        <f>ROUNDUP(O140/'Methodology &amp; Assumptions'!$B$8, 0)</f>
        <v/>
      </c>
      <c r="R140" s="27" t="n">
        <v>1</v>
      </c>
      <c r="S140" s="26" t="n">
        <v>2.58</v>
      </c>
      <c r="T140" s="26" t="n">
        <v>0.24</v>
      </c>
      <c r="U140" s="11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26" t="n">
        <v>80.54000000000001</v>
      </c>
      <c r="W140" s="26" t="n">
        <v>63.74</v>
      </c>
      <c r="X140" s="26">
        <f>ROUND(('Methodology &amp; Assumptions'!$B$5*V140) + ('Methodology &amp; Assumptions'!$B$6*W140), 2)</f>
        <v/>
      </c>
      <c r="Y140" s="28" t="n">
        <v>23.7</v>
      </c>
      <c r="Z140" s="11" t="inlineStr">
        <is>
          <t>Priority Tier 1 (High Commercial &amp; Social)</t>
        </is>
      </c>
    </row>
    <row r="141">
      <c r="A141" s="23" t="n">
        <v>1</v>
      </c>
      <c r="B141" s="23" t="n">
        <v>137</v>
      </c>
      <c r="C141" s="23" t="n">
        <v>137</v>
      </c>
      <c r="D141" s="23" t="inlineStr">
        <is>
          <t>0403425027</t>
        </is>
      </c>
      <c r="E141" s="11" t="inlineStr">
        <is>
          <t>Region IV-A (CALABARZON)</t>
        </is>
      </c>
      <c r="F141" s="11" t="inlineStr">
        <is>
          <t>Laguna</t>
        </is>
      </c>
      <c r="G141" s="11" t="inlineStr">
        <is>
          <t>City of San Pedro</t>
        </is>
      </c>
      <c r="H141" s="11" t="inlineStr">
        <is>
          <t>Pacita 2</t>
        </is>
      </c>
      <c r="I141" s="24" t="n">
        <v>14.35027</v>
      </c>
      <c r="J141" s="24" t="n">
        <v>121.053304</v>
      </c>
      <c r="K141" s="23" t="inlineStr">
        <is>
          <t>U</t>
        </is>
      </c>
      <c r="L141" s="25" t="n">
        <v>13146</v>
      </c>
      <c r="M141" s="26" t="n">
        <v>3.3</v>
      </c>
      <c r="N141" s="25">
        <f>ROUND(L141/M141, 0)</f>
        <v/>
      </c>
      <c r="O141" s="25">
        <f>ROUND(N141*'Methodology &amp; Assumptions'!$B$7, 0)</f>
        <v/>
      </c>
      <c r="P141" s="23" t="inlineStr">
        <is>
          <t>Single Carrier (Band n50, 100MHz TDD)</t>
        </is>
      </c>
      <c r="Q141" s="27">
        <f>ROUNDUP(O141/'Methodology &amp; Assumptions'!$B$8, 0)</f>
        <v/>
      </c>
      <c r="R141" s="27" t="n">
        <v>1</v>
      </c>
      <c r="S141" s="26" t="n">
        <v>1.2</v>
      </c>
      <c r="T141" s="26" t="n">
        <v>0.63</v>
      </c>
      <c r="U141" s="11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26" t="n">
        <v>76.88</v>
      </c>
      <c r="W141" s="26" t="n">
        <v>67.31</v>
      </c>
      <c r="X141" s="26">
        <f>ROUND(('Methodology &amp; Assumptions'!$B$5*V141) + ('Methodology &amp; Assumptions'!$B$6*W141), 2)</f>
        <v/>
      </c>
      <c r="Y141" s="28" t="n">
        <v>7.2</v>
      </c>
      <c r="Z141" s="11" t="inlineStr">
        <is>
          <t>Priority Tier 1 (High Commercial &amp; Social)</t>
        </is>
      </c>
    </row>
    <row r="142">
      <c r="A142" s="23" t="n">
        <v>1</v>
      </c>
      <c r="B142" s="23" t="n">
        <v>138</v>
      </c>
      <c r="C142" s="23" t="n">
        <v>138</v>
      </c>
      <c r="D142" s="23" t="inlineStr">
        <is>
          <t>0301412006</t>
        </is>
      </c>
      <c r="E142" s="11" t="inlineStr">
        <is>
          <t>Region III (Central Luzon)</t>
        </is>
      </c>
      <c r="F142" s="11" t="inlineStr">
        <is>
          <t>Bulacan</t>
        </is>
      </c>
      <c r="G142" s="11" t="inlineStr">
        <is>
          <t>City of Meycauayan</t>
        </is>
      </c>
      <c r="H142" s="11" t="inlineStr">
        <is>
          <t>Calvario</t>
        </is>
      </c>
      <c r="I142" s="24" t="n">
        <v>14.734459</v>
      </c>
      <c r="J142" s="24" t="n">
        <v>120.959293</v>
      </c>
      <c r="K142" s="23" t="inlineStr">
        <is>
          <t>U</t>
        </is>
      </c>
      <c r="L142" s="25" t="n">
        <v>5304</v>
      </c>
      <c r="M142" s="26" t="n">
        <v>3.5</v>
      </c>
      <c r="N142" s="25">
        <f>ROUND(L142/M142, 0)</f>
        <v/>
      </c>
      <c r="O142" s="25">
        <f>ROUND(N142*'Methodology &amp; Assumptions'!$B$7, 0)</f>
        <v/>
      </c>
      <c r="P142" s="23" t="inlineStr">
        <is>
          <t>Single Carrier (Band n50, 100MHz TDD)</t>
        </is>
      </c>
      <c r="Q142" s="27">
        <f>ROUNDUP(O142/'Methodology &amp; Assumptions'!$B$8, 0)</f>
        <v/>
      </c>
      <c r="R142" s="27" t="n">
        <v>1</v>
      </c>
      <c r="S142" s="26" t="n">
        <v>1.08</v>
      </c>
      <c r="T142" s="26" t="n">
        <v>0.23</v>
      </c>
      <c r="U142" s="11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26" t="n">
        <v>77.53</v>
      </c>
      <c r="W142" s="26" t="n">
        <v>66.62</v>
      </c>
      <c r="X142" s="26">
        <f>ROUND(('Methodology &amp; Assumptions'!$B$5*V142) + ('Methodology &amp; Assumptions'!$B$6*W142), 2)</f>
        <v/>
      </c>
      <c r="Y142" s="28" t="n">
        <v>8.300000000000001</v>
      </c>
      <c r="Z142" s="11" t="inlineStr">
        <is>
          <t>Priority Tier 1 (High Commercial &amp; Social)</t>
        </is>
      </c>
    </row>
    <row r="143">
      <c r="A143" s="23" t="n">
        <v>1</v>
      </c>
      <c r="B143" s="23" t="n">
        <v>139</v>
      </c>
      <c r="C143" s="23" t="n">
        <v>139</v>
      </c>
      <c r="D143" s="23" t="inlineStr">
        <is>
          <t>0405811005</t>
        </is>
      </c>
      <c r="E143" s="11" t="inlineStr">
        <is>
          <t>Region IV-A (CALABARZON)</t>
        </is>
      </c>
      <c r="F143" s="11" t="inlineStr">
        <is>
          <t>Rizal</t>
        </is>
      </c>
      <c r="G143" s="11" t="inlineStr">
        <is>
          <t>San Mateo</t>
        </is>
      </c>
      <c r="H143" s="11" t="inlineStr">
        <is>
          <t>Guitnang Bayan I</t>
        </is>
      </c>
      <c r="I143" s="24" t="n">
        <v>14.69558</v>
      </c>
      <c r="J143" s="24" t="n">
        <v>121.12149</v>
      </c>
      <c r="K143" s="23" t="inlineStr">
        <is>
          <t>U</t>
        </is>
      </c>
      <c r="L143" s="25" t="n">
        <v>33621</v>
      </c>
      <c r="M143" s="26" t="n">
        <v>3.6</v>
      </c>
      <c r="N143" s="25">
        <f>ROUND(L143/M143, 0)</f>
        <v/>
      </c>
      <c r="O143" s="25">
        <f>ROUND(N143*'Methodology &amp; Assumptions'!$B$7, 0)</f>
        <v/>
      </c>
      <c r="P143" s="23" t="inlineStr">
        <is>
          <t>Single Carrier (Band n50, 100MHz TDD)</t>
        </is>
      </c>
      <c r="Q143" s="27">
        <f>ROUNDUP(O143/'Methodology &amp; Assumptions'!$B$8, 0)</f>
        <v/>
      </c>
      <c r="R143" s="27" t="n">
        <v>1</v>
      </c>
      <c r="S143" s="26" t="n">
        <v>1.13</v>
      </c>
      <c r="T143" s="26" t="n">
        <v>0.52</v>
      </c>
      <c r="U143" s="11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26" t="n">
        <v>76.62</v>
      </c>
      <c r="W143" s="26" t="n">
        <v>67.54000000000001</v>
      </c>
      <c r="X143" s="26">
        <f>ROUND(('Methodology &amp; Assumptions'!$B$5*V143) + ('Methodology &amp; Assumptions'!$B$6*W143), 2)</f>
        <v/>
      </c>
      <c r="Y143" s="28" t="n">
        <v>7.2</v>
      </c>
      <c r="Z143" s="11" t="inlineStr">
        <is>
          <t>Priority Tier 1 (High Commercial &amp; Social)</t>
        </is>
      </c>
    </row>
    <row r="144">
      <c r="A144" s="23" t="n">
        <v>1</v>
      </c>
      <c r="B144" s="23" t="n">
        <v>140</v>
      </c>
      <c r="C144" s="23" t="n">
        <v>140</v>
      </c>
      <c r="D144" s="23" t="inlineStr">
        <is>
          <t>1380601105</t>
        </is>
      </c>
      <c r="E144" s="11" t="inlineStr">
        <is>
          <t>National Capital Region (NCR)</t>
        </is>
      </c>
      <c r="F144" s="11" t="inlineStr">
        <is>
          <t>First District (Not a Province)</t>
        </is>
      </c>
      <c r="G144" s="11" t="inlineStr">
        <is>
          <t>City of Manila</t>
        </is>
      </c>
      <c r="H144" s="11" t="inlineStr">
        <is>
          <t>Barangay 105</t>
        </is>
      </c>
      <c r="I144" s="24" t="n">
        <v>14.620566</v>
      </c>
      <c r="J144" s="24" t="n">
        <v>120.959559</v>
      </c>
      <c r="K144" s="23" t="inlineStr">
        <is>
          <t>U</t>
        </is>
      </c>
      <c r="L144" s="25" t="n">
        <v>26494</v>
      </c>
      <c r="M144" s="26" t="n">
        <v>3.44</v>
      </c>
      <c r="N144" s="25">
        <f>ROUND(L144/M144, 0)</f>
        <v/>
      </c>
      <c r="O144" s="25">
        <f>ROUND(N144*'Methodology &amp; Assumptions'!$B$7, 0)</f>
        <v/>
      </c>
      <c r="P144" s="23" t="inlineStr">
        <is>
          <t>Single Carrier (Band n50, 100MHz TDD)</t>
        </is>
      </c>
      <c r="Q144" s="27">
        <f>ROUNDUP(O144/'Methodology &amp; Assumptions'!$B$8, 0)</f>
        <v/>
      </c>
      <c r="R144" s="27" t="n">
        <v>1</v>
      </c>
      <c r="S144" s="26" t="n">
        <v>0.45</v>
      </c>
      <c r="T144" s="26" t="n">
        <v>0.43</v>
      </c>
      <c r="U144" s="11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26" t="n">
        <v>67.63</v>
      </c>
      <c r="W144" s="26" t="n">
        <v>76.53</v>
      </c>
      <c r="X144" s="26">
        <f>ROUND(('Methodology &amp; Assumptions'!$B$5*V144) + ('Methodology &amp; Assumptions'!$B$6*W144), 2)</f>
        <v/>
      </c>
      <c r="Y144" s="28" t="n">
        <v>10.9</v>
      </c>
      <c r="Z144" s="11" t="inlineStr">
        <is>
          <t>Priority Tier 1 (High Commercial &amp; Social)</t>
        </is>
      </c>
    </row>
    <row r="145">
      <c r="A145" s="23" t="n">
        <v>1</v>
      </c>
      <c r="B145" s="23" t="n">
        <v>141</v>
      </c>
      <c r="C145" s="23" t="n">
        <v>141</v>
      </c>
      <c r="D145" s="23" t="inlineStr">
        <is>
          <t>1380604019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286</t>
        </is>
      </c>
      <c r="I145" s="24" t="n">
        <v>14.597942</v>
      </c>
      <c r="J145" s="24" t="n">
        <v>120.966609</v>
      </c>
      <c r="K145" s="23" t="inlineStr">
        <is>
          <t>U</t>
        </is>
      </c>
      <c r="L145" s="25" t="n">
        <v>4216</v>
      </c>
      <c r="M145" s="26" t="n">
        <v>3.71</v>
      </c>
      <c r="N145" s="25">
        <f>ROUND(L145/M145, 0)</f>
        <v/>
      </c>
      <c r="O145" s="25">
        <f>ROUND(N145*'Methodology &amp; Assumptions'!$B$7, 0)</f>
        <v/>
      </c>
      <c r="P145" s="23" t="inlineStr">
        <is>
          <t>Single Carrier (Band n50, 100MHz TDD)</t>
        </is>
      </c>
      <c r="Q145" s="27">
        <f>ROUNDUP(O145/'Methodology &amp; Assumptions'!$B$8, 0)</f>
        <v/>
      </c>
      <c r="R145" s="27" t="n">
        <v>1</v>
      </c>
      <c r="S145" s="26" t="n">
        <v>0.72</v>
      </c>
      <c r="T145" s="26" t="n">
        <v>1.03</v>
      </c>
      <c r="U145" s="11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26" t="n">
        <v>69.09</v>
      </c>
      <c r="W145" s="26" t="n">
        <v>74.98</v>
      </c>
      <c r="X145" s="26">
        <f>ROUND(('Methodology &amp; Assumptions'!$B$5*V145) + ('Methodology &amp; Assumptions'!$B$6*W145), 2)</f>
        <v/>
      </c>
      <c r="Y145" s="28" t="n">
        <v>10.9</v>
      </c>
      <c r="Z145" s="11" t="inlineStr">
        <is>
          <t>Priority Tier 1 (High Commercial &amp; Social)</t>
        </is>
      </c>
    </row>
    <row r="146">
      <c r="A146" s="23" t="n">
        <v>1</v>
      </c>
      <c r="B146" s="23" t="n">
        <v>142</v>
      </c>
      <c r="C146" s="23" t="n">
        <v>142</v>
      </c>
      <c r="D146" s="23" t="inlineStr">
        <is>
          <t>1380606202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595</t>
        </is>
      </c>
      <c r="I146" s="24" t="n">
        <v>14.602728</v>
      </c>
      <c r="J146" s="24" t="n">
        <v>121.018074</v>
      </c>
      <c r="K146" s="23" t="inlineStr">
        <is>
          <t>U</t>
        </is>
      </c>
      <c r="L146" s="25" t="n">
        <v>4229</v>
      </c>
      <c r="M146" s="26" t="n">
        <v>4.16</v>
      </c>
      <c r="N146" s="25">
        <f>ROUND(L146/M146, 0)</f>
        <v/>
      </c>
      <c r="O146" s="25">
        <f>ROUND(N146*'Methodology &amp; Assumptions'!$B$7, 0)</f>
        <v/>
      </c>
      <c r="P146" s="23" t="inlineStr">
        <is>
          <t>Single Carrier (Band n50, 100MHz TDD)</t>
        </is>
      </c>
      <c r="Q146" s="27">
        <f>ROUNDUP(O146/'Methodology &amp; Assumptions'!$B$8, 0)</f>
        <v/>
      </c>
      <c r="R146" s="27" t="n">
        <v>1</v>
      </c>
      <c r="S146" s="26" t="n">
        <v>1.46</v>
      </c>
      <c r="T146" s="26" t="n">
        <v>0.21</v>
      </c>
      <c r="U146" s="11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26" t="n">
        <v>66.76000000000001</v>
      </c>
      <c r="W146" s="26" t="n">
        <v>77.31999999999999</v>
      </c>
      <c r="X146" s="26">
        <f>ROUND(('Methodology &amp; Assumptions'!$B$5*V146) + ('Methodology &amp; Assumptions'!$B$6*W146), 2)</f>
        <v/>
      </c>
      <c r="Y146" s="28" t="n">
        <v>10.9</v>
      </c>
      <c r="Z146" s="11" t="inlineStr">
        <is>
          <t>Priority Tier 1 (High Commercial &amp; Social)</t>
        </is>
      </c>
    </row>
    <row r="147">
      <c r="A147" s="23" t="n">
        <v>1</v>
      </c>
      <c r="B147" s="23" t="n">
        <v>143</v>
      </c>
      <c r="C147" s="23" t="n">
        <v>143</v>
      </c>
      <c r="D147" s="23" t="inlineStr">
        <is>
          <t>0402104006</t>
        </is>
      </c>
      <c r="E147" s="11" t="inlineStr">
        <is>
          <t>Region IV-A (CALABARZON)</t>
        </is>
      </c>
      <c r="F147" s="11" t="inlineStr">
        <is>
          <t>Cavite</t>
        </is>
      </c>
      <c r="G147" s="11" t="inlineStr">
        <is>
          <t>Carmona</t>
        </is>
      </c>
      <c r="H147" s="11" t="inlineStr">
        <is>
          <t>Cabilang Baybay</t>
        </is>
      </c>
      <c r="I147" s="24" t="n">
        <v>14.317406</v>
      </c>
      <c r="J147" s="24" t="n">
        <v>121.05097</v>
      </c>
      <c r="K147" s="23" t="inlineStr">
        <is>
          <t>U</t>
        </is>
      </c>
      <c r="L147" s="25" t="n">
        <v>8144</v>
      </c>
      <c r="M147" s="26" t="n">
        <v>3.4</v>
      </c>
      <c r="N147" s="25">
        <f>ROUND(L147/M147, 0)</f>
        <v/>
      </c>
      <c r="O147" s="25">
        <f>ROUND(N147*'Methodology &amp; Assumptions'!$B$7, 0)</f>
        <v/>
      </c>
      <c r="P147" s="23" t="inlineStr">
        <is>
          <t>Single Carrier (Band n50, 100MHz TDD)</t>
        </is>
      </c>
      <c r="Q147" s="27">
        <f>ROUNDUP(O147/'Methodology &amp; Assumptions'!$B$8, 0)</f>
        <v/>
      </c>
      <c r="R147" s="27" t="n">
        <v>1</v>
      </c>
      <c r="S147" s="26" t="n">
        <v>0.73</v>
      </c>
      <c r="T147" s="26" t="n">
        <v>0.73</v>
      </c>
      <c r="U147" s="11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26" t="n">
        <v>78.26000000000001</v>
      </c>
      <c r="W147" s="26" t="n">
        <v>65.81</v>
      </c>
      <c r="X147" s="26">
        <f>ROUND(('Methodology &amp; Assumptions'!$B$5*V147) + ('Methodology &amp; Assumptions'!$B$6*W147), 2)</f>
        <v/>
      </c>
      <c r="Y147" s="28" t="n">
        <v>7.2</v>
      </c>
      <c r="Z147" s="11" t="inlineStr">
        <is>
          <t>Priority Tier 1 (High Commercial &amp; Social)</t>
        </is>
      </c>
    </row>
    <row r="148">
      <c r="A148" s="23" t="n">
        <v>1</v>
      </c>
      <c r="B148" s="23" t="n">
        <v>144</v>
      </c>
      <c r="C148" s="23" t="n">
        <v>144</v>
      </c>
      <c r="D148" s="23" t="inlineStr">
        <is>
          <t>1380601104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104</t>
        </is>
      </c>
      <c r="I148" s="24" t="n">
        <v>14.620498</v>
      </c>
      <c r="J148" s="24" t="n">
        <v>120.962718</v>
      </c>
      <c r="K148" s="23" t="inlineStr">
        <is>
          <t>U</t>
        </is>
      </c>
      <c r="L148" s="25" t="n">
        <v>5801</v>
      </c>
      <c r="M148" s="26" t="n">
        <v>4.49</v>
      </c>
      <c r="N148" s="25">
        <f>ROUND(L148/M148, 0)</f>
        <v/>
      </c>
      <c r="O148" s="25">
        <f>ROUND(N148*'Methodology &amp; Assumptions'!$B$7, 0)</f>
        <v/>
      </c>
      <c r="P148" s="23" t="inlineStr">
        <is>
          <t>Single Carrier (Band n50, 100MHz TDD)</t>
        </is>
      </c>
      <c r="Q148" s="27">
        <f>ROUNDUP(O148/'Methodology &amp; Assumptions'!$B$8, 0)</f>
        <v/>
      </c>
      <c r="R148" s="27" t="n">
        <v>1</v>
      </c>
      <c r="S148" s="26" t="n">
        <v>0.28</v>
      </c>
      <c r="T148" s="26" t="n">
        <v>0.11</v>
      </c>
      <c r="U148" s="11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26" t="n">
        <v>69.09</v>
      </c>
      <c r="W148" s="26" t="n">
        <v>74.97</v>
      </c>
      <c r="X148" s="26">
        <f>ROUND(('Methodology &amp; Assumptions'!$B$5*V148) + ('Methodology &amp; Assumptions'!$B$6*W148), 2)</f>
        <v/>
      </c>
      <c r="Y148" s="28" t="n">
        <v>10.9</v>
      </c>
      <c r="Z148" s="11" t="inlineStr">
        <is>
          <t>Priority Tier 1 (High Commercial &amp; Social)</t>
        </is>
      </c>
    </row>
    <row r="149">
      <c r="A149" s="23" t="n">
        <v>1</v>
      </c>
      <c r="B149" s="23" t="n">
        <v>145</v>
      </c>
      <c r="C149" s="23" t="n">
        <v>145</v>
      </c>
      <c r="D149" s="23" t="inlineStr">
        <is>
          <t>0403425024</t>
        </is>
      </c>
      <c r="E149" s="11" t="inlineStr">
        <is>
          <t>Region IV-A (CALABARZON)</t>
        </is>
      </c>
      <c r="F149" s="11" t="inlineStr">
        <is>
          <t>Laguna</t>
        </is>
      </c>
      <c r="G149" s="11" t="inlineStr">
        <is>
          <t>City of San Pedro</t>
        </is>
      </c>
      <c r="H149" s="11" t="inlineStr">
        <is>
          <t>Fatima</t>
        </is>
      </c>
      <c r="I149" s="24" t="n">
        <v>14.354678</v>
      </c>
      <c r="J149" s="24" t="n">
        <v>121.053696</v>
      </c>
      <c r="K149" s="23" t="inlineStr">
        <is>
          <t>U</t>
        </is>
      </c>
      <c r="L149" s="25" t="n">
        <v>7115</v>
      </c>
      <c r="M149" s="26" t="n">
        <v>3.3</v>
      </c>
      <c r="N149" s="25">
        <f>ROUND(L149/M149, 0)</f>
        <v/>
      </c>
      <c r="O149" s="25">
        <f>ROUND(N149*'Methodology &amp; Assumptions'!$B$7, 0)</f>
        <v/>
      </c>
      <c r="P149" s="23" t="inlineStr">
        <is>
          <t>Single Carrier (Band n50, 100MHz TDD)</t>
        </is>
      </c>
      <c r="Q149" s="27">
        <f>ROUNDUP(O149/'Methodology &amp; Assumptions'!$B$8, 0)</f>
        <v/>
      </c>
      <c r="R149" s="27" t="n">
        <v>1</v>
      </c>
      <c r="S149" s="26" t="n">
        <v>1.28</v>
      </c>
      <c r="T149" s="26" t="n">
        <v>0.63</v>
      </c>
      <c r="U149" s="11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26" t="n">
        <v>76.58</v>
      </c>
      <c r="W149" s="26" t="n">
        <v>67.45</v>
      </c>
      <c r="X149" s="26">
        <f>ROUND(('Methodology &amp; Assumptions'!$B$5*V149) + ('Methodology &amp; Assumptions'!$B$6*W149), 2)</f>
        <v/>
      </c>
      <c r="Y149" s="28" t="n">
        <v>7.2</v>
      </c>
      <c r="Z149" s="11" t="inlineStr">
        <is>
          <t>Priority Tier 1 (High Commercial &amp; Social)</t>
        </is>
      </c>
    </row>
    <row r="150">
      <c r="A150" s="23" t="n">
        <v>1</v>
      </c>
      <c r="B150" s="23" t="n">
        <v>146</v>
      </c>
      <c r="C150" s="23" t="n">
        <v>146</v>
      </c>
      <c r="D150" s="23" t="inlineStr">
        <is>
          <t>0600406014</t>
        </is>
      </c>
      <c r="E150" s="11" t="inlineStr">
        <is>
          <t>Region VI (Western Visayas)</t>
        </is>
      </c>
      <c r="F150" s="11" t="inlineStr">
        <is>
          <t>Aklan</t>
        </is>
      </c>
      <c r="G150" s="11" t="inlineStr">
        <is>
          <t>Ibajay</t>
        </is>
      </c>
      <c r="H150" s="11" t="inlineStr">
        <is>
          <t>Laguinbanua</t>
        </is>
      </c>
      <c r="I150" s="24" t="n">
        <v>11.753512</v>
      </c>
      <c r="J150" s="24" t="n">
        <v>122.193589</v>
      </c>
      <c r="K150" s="23" t="inlineStr">
        <is>
          <t>R</t>
        </is>
      </c>
      <c r="L150" s="25" t="n">
        <v>3333</v>
      </c>
      <c r="M150" s="26" t="n">
        <v>3.9</v>
      </c>
      <c r="N150" s="25">
        <f>ROUND(L150/M150, 0)</f>
        <v/>
      </c>
      <c r="O150" s="25">
        <f>ROUND(N150*'Methodology &amp; Assumptions'!$B$7, 0)</f>
        <v/>
      </c>
      <c r="P150" s="23" t="inlineStr">
        <is>
          <t>Single Carrier (Band n50, 100MHz TDD)</t>
        </is>
      </c>
      <c r="Q150" s="27">
        <f>ROUNDUP(O150/'Methodology &amp; Assumptions'!$B$8, 0)</f>
        <v/>
      </c>
      <c r="R150" s="27" t="n">
        <v>1</v>
      </c>
      <c r="S150" s="26" t="n">
        <v>11.64</v>
      </c>
      <c r="T150" s="26" t="n">
        <v>2.32</v>
      </c>
      <c r="U150" s="11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26" t="n">
        <v>65.08</v>
      </c>
      <c r="W150" s="26" t="n">
        <v>78.93000000000001</v>
      </c>
      <c r="X150" s="26">
        <f>ROUND(('Methodology &amp; Assumptions'!$B$5*V150) + ('Methodology &amp; Assumptions'!$B$6*W150), 2)</f>
        <v/>
      </c>
      <c r="Y150" s="28" t="n">
        <v>23.7</v>
      </c>
      <c r="Z150" s="11" t="inlineStr">
        <is>
          <t>Priority Tier 1 (High Commercial &amp; Social)</t>
        </is>
      </c>
    </row>
    <row r="151">
      <c r="A151" s="23" t="n">
        <v>1</v>
      </c>
      <c r="B151" s="23" t="n">
        <v>147</v>
      </c>
      <c r="C151" s="23" t="n">
        <v>147</v>
      </c>
      <c r="D151" s="23" t="inlineStr">
        <is>
          <t>0402106046</t>
        </is>
      </c>
      <c r="E151" s="11" t="inlineStr">
        <is>
          <t>Region IV-A (CALABARZON)</t>
        </is>
      </c>
      <c r="F151" s="11" t="inlineStr">
        <is>
          <t>Cavite</t>
        </is>
      </c>
      <c r="G151" s="11" t="inlineStr">
        <is>
          <t>City of Dasmariñas</t>
        </is>
      </c>
      <c r="H151" s="11" t="inlineStr">
        <is>
          <t>Santo Niño I</t>
        </is>
      </c>
      <c r="I151" s="24" t="n">
        <v>14.343792</v>
      </c>
      <c r="J151" s="24" t="n">
        <v>120.953747</v>
      </c>
      <c r="K151" s="23" t="inlineStr">
        <is>
          <t>R</t>
        </is>
      </c>
      <c r="L151" s="25" t="n">
        <v>3010</v>
      </c>
      <c r="M151" s="26" t="n">
        <v>3.4</v>
      </c>
      <c r="N151" s="25">
        <f>ROUND(L151/M151, 0)</f>
        <v/>
      </c>
      <c r="O151" s="25">
        <f>ROUND(N151*'Methodology &amp; Assumptions'!$B$7, 0)</f>
        <v/>
      </c>
      <c r="P151" s="23" t="inlineStr">
        <is>
          <t>Single Carrier (Band n50, 100MHz TDD)</t>
        </is>
      </c>
      <c r="Q151" s="27">
        <f>ROUNDUP(O151/'Methodology &amp; Assumptions'!$B$8, 0)</f>
        <v/>
      </c>
      <c r="R151" s="27" t="n">
        <v>1</v>
      </c>
      <c r="S151" s="26" t="n">
        <v>1.7</v>
      </c>
      <c r="T151" s="26" t="n">
        <v>4.68</v>
      </c>
      <c r="U151" s="11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26" t="n">
        <v>78.77</v>
      </c>
      <c r="W151" s="26" t="n">
        <v>65.20999999999999</v>
      </c>
      <c r="X151" s="26">
        <f>ROUND(('Methodology &amp; Assumptions'!$B$5*V151) + ('Methodology &amp; Assumptions'!$B$6*W151), 2)</f>
        <v/>
      </c>
      <c r="Y151" s="28" t="n">
        <v>7.2</v>
      </c>
      <c r="Z151" s="11" t="inlineStr">
        <is>
          <t>Priority Tier 1 (High Commercial &amp; Social)</t>
        </is>
      </c>
    </row>
    <row r="152">
      <c r="A152" s="23" t="n">
        <v>1</v>
      </c>
      <c r="B152" s="23" t="n">
        <v>148</v>
      </c>
      <c r="C152" s="23" t="n">
        <v>148</v>
      </c>
      <c r="D152" s="23" t="inlineStr">
        <is>
          <t>1380601102</t>
        </is>
      </c>
      <c r="E152" s="11" t="inlineStr">
        <is>
          <t>National Capital Region (NCR)</t>
        </is>
      </c>
      <c r="F152" s="11" t="inlineStr">
        <is>
          <t>First District (Not a Province)</t>
        </is>
      </c>
      <c r="G152" s="11" t="inlineStr">
        <is>
          <t>City of Manila</t>
        </is>
      </c>
      <c r="H152" s="11" t="inlineStr">
        <is>
          <t>Barangay 102</t>
        </is>
      </c>
      <c r="I152" s="24" t="n">
        <v>14.623494</v>
      </c>
      <c r="J152" s="24" t="n">
        <v>120.962065</v>
      </c>
      <c r="K152" s="23" t="inlineStr">
        <is>
          <t>U</t>
        </is>
      </c>
      <c r="L152" s="25" t="n">
        <v>4616</v>
      </c>
      <c r="M152" s="26" t="n">
        <v>4.64</v>
      </c>
      <c r="N152" s="25">
        <f>ROUND(L152/M152, 0)</f>
        <v/>
      </c>
      <c r="O152" s="25">
        <f>ROUND(N152*'Methodology &amp; Assumptions'!$B$7, 0)</f>
        <v/>
      </c>
      <c r="P152" s="23" t="inlineStr">
        <is>
          <t>Single Carrier (Band n50, 100MHz TDD)</t>
        </is>
      </c>
      <c r="Q152" s="27">
        <f>ROUNDUP(O152/'Methodology &amp; Assumptions'!$B$8, 0)</f>
        <v/>
      </c>
      <c r="R152" s="27" t="n">
        <v>1</v>
      </c>
      <c r="S152" s="26" t="n">
        <v>0.62</v>
      </c>
      <c r="T152" s="26" t="n">
        <v>0.44</v>
      </c>
      <c r="U152" s="11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26" t="n">
        <v>69.09</v>
      </c>
      <c r="W152" s="26" t="n">
        <v>74.84999999999999</v>
      </c>
      <c r="X152" s="26">
        <f>ROUND(('Methodology &amp; Assumptions'!$B$5*V152) + ('Methodology &amp; Assumptions'!$B$6*W152), 2)</f>
        <v/>
      </c>
      <c r="Y152" s="28" t="n">
        <v>10.9</v>
      </c>
      <c r="Z152" s="11" t="inlineStr">
        <is>
          <t>Priority Tier 1 (High Commercial &amp; Social)</t>
        </is>
      </c>
    </row>
    <row r="153">
      <c r="A153" s="23" t="n">
        <v>1</v>
      </c>
      <c r="B153" s="23" t="n">
        <v>149</v>
      </c>
      <c r="C153" s="23" t="n">
        <v>149</v>
      </c>
      <c r="D153" s="23" t="inlineStr">
        <is>
          <t>1380601103</t>
        </is>
      </c>
      <c r="E153" s="11" t="inlineStr">
        <is>
          <t>National Capital Region (NCR)</t>
        </is>
      </c>
      <c r="F153" s="11" t="inlineStr">
        <is>
          <t>First District (Not a Province)</t>
        </is>
      </c>
      <c r="G153" s="11" t="inlineStr">
        <is>
          <t>City of Manila</t>
        </is>
      </c>
      <c r="H153" s="11" t="inlineStr">
        <is>
          <t>Barangay 103</t>
        </is>
      </c>
      <c r="I153" s="24" t="n">
        <v>14.621559</v>
      </c>
      <c r="J153" s="24" t="n">
        <v>120.962378</v>
      </c>
      <c r="K153" s="23" t="inlineStr">
        <is>
          <t>U</t>
        </is>
      </c>
      <c r="L153" s="25" t="n">
        <v>5071</v>
      </c>
      <c r="M153" s="26" t="n">
        <v>4.49</v>
      </c>
      <c r="N153" s="25">
        <f>ROUND(L153/M153, 0)</f>
        <v/>
      </c>
      <c r="O153" s="25">
        <f>ROUND(N153*'Methodology &amp; Assumptions'!$B$7, 0)</f>
        <v/>
      </c>
      <c r="P153" s="23" t="inlineStr">
        <is>
          <t>Single Carrier (Band n50, 100MHz TDD)</t>
        </is>
      </c>
      <c r="Q153" s="27">
        <f>ROUNDUP(O153/'Methodology &amp; Assumptions'!$B$8, 0)</f>
        <v/>
      </c>
      <c r="R153" s="27" t="n">
        <v>1</v>
      </c>
      <c r="S153" s="26" t="n">
        <v>0.4</v>
      </c>
      <c r="T153" s="26" t="n">
        <v>0.23</v>
      </c>
      <c r="U153" s="11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26" t="n">
        <v>69.09</v>
      </c>
      <c r="W153" s="26" t="n">
        <v>74.84</v>
      </c>
      <c r="X153" s="26">
        <f>ROUND(('Methodology &amp; Assumptions'!$B$5*V153) + ('Methodology &amp; Assumptions'!$B$6*W153), 2)</f>
        <v/>
      </c>
      <c r="Y153" s="28" t="n">
        <v>10.9</v>
      </c>
      <c r="Z153" s="11" t="inlineStr">
        <is>
          <t>Priority Tier 1 (High Commercial &amp; Social)</t>
        </is>
      </c>
    </row>
    <row r="154">
      <c r="A154" s="23" t="n">
        <v>1</v>
      </c>
      <c r="B154" s="23" t="n">
        <v>150</v>
      </c>
      <c r="C154" s="23" t="n">
        <v>150</v>
      </c>
      <c r="D154" s="23" t="inlineStr">
        <is>
          <t>1380400018</t>
        </is>
      </c>
      <c r="E154" s="11" t="inlineStr">
        <is>
          <t>National Capital Region (NCR)</t>
        </is>
      </c>
      <c r="F154" s="11" t="inlineStr">
        <is>
          <t>Third District (Not a Province)</t>
        </is>
      </c>
      <c r="G154" s="11" t="inlineStr">
        <is>
          <t>City of Malabon</t>
        </is>
      </c>
      <c r="H154" s="11" t="inlineStr">
        <is>
          <t>Tañong</t>
        </is>
      </c>
      <c r="I154" s="24" t="n">
        <v>14.655631</v>
      </c>
      <c r="J154" s="24" t="n">
        <v>120.952495</v>
      </c>
      <c r="K154" s="23" t="inlineStr">
        <is>
          <t>U</t>
        </is>
      </c>
      <c r="L154" s="25" t="n">
        <v>14836</v>
      </c>
      <c r="M154" s="26" t="n">
        <v>3.57</v>
      </c>
      <c r="N154" s="25">
        <f>ROUND(L154/M154, 0)</f>
        <v/>
      </c>
      <c r="O154" s="25">
        <f>ROUND(N154*'Methodology &amp; Assumptions'!$B$7, 0)</f>
        <v/>
      </c>
      <c r="P154" s="23" t="inlineStr">
        <is>
          <t>Single Carrier (Band n50, 100MHz TDD)</t>
        </is>
      </c>
      <c r="Q154" s="27">
        <f>ROUNDUP(O154/'Methodology &amp; Assumptions'!$B$8, 0)</f>
        <v/>
      </c>
      <c r="R154" s="27" t="n">
        <v>1</v>
      </c>
      <c r="S154" s="26" t="n">
        <v>0.64</v>
      </c>
      <c r="T154" s="26" t="n">
        <v>0.34</v>
      </c>
      <c r="U154" s="11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26" t="n">
        <v>69.09</v>
      </c>
      <c r="W154" s="26" t="n">
        <v>74.79000000000001</v>
      </c>
      <c r="X154" s="26">
        <f>ROUND(('Methodology &amp; Assumptions'!$B$5*V154) + ('Methodology &amp; Assumptions'!$B$6*W154), 2)</f>
        <v/>
      </c>
      <c r="Y154" s="28" t="n">
        <v>10.9</v>
      </c>
      <c r="Z154" s="11" t="inlineStr">
        <is>
          <t>Priority Tier 1 (High Commercial &amp; Social)</t>
        </is>
      </c>
    </row>
    <row r="155">
      <c r="A155" s="23" t="n">
        <v>1</v>
      </c>
      <c r="B155" s="23" t="n">
        <v>151</v>
      </c>
      <c r="C155" s="23" t="n">
        <v>151</v>
      </c>
      <c r="D155" s="23" t="inlineStr">
        <is>
          <t>1401107003</t>
        </is>
      </c>
      <c r="E155" s="11" t="inlineStr">
        <is>
          <t>Cordillera Administrative Region (CAR)</t>
        </is>
      </c>
      <c r="F155" s="11" t="inlineStr">
        <is>
          <t>Benguet</t>
        </is>
      </c>
      <c r="G155" s="11" t="inlineStr">
        <is>
          <t>Kabayan</t>
        </is>
      </c>
      <c r="H155" s="11" t="inlineStr">
        <is>
          <t>Ballay</t>
        </is>
      </c>
      <c r="I155" s="24" t="n">
        <v>16.67065</v>
      </c>
      <c r="J155" s="24" t="n">
        <v>120.84111</v>
      </c>
      <c r="K155" s="23" t="inlineStr">
        <is>
          <t>R</t>
        </is>
      </c>
      <c r="L155" s="25" t="n">
        <v>3093</v>
      </c>
      <c r="M155" s="26" t="n">
        <v>3.5</v>
      </c>
      <c r="N155" s="25">
        <f>ROUND(L155/M155, 0)</f>
        <v/>
      </c>
      <c r="O155" s="25">
        <f>ROUND(N155*'Methodology &amp; Assumptions'!$B$7, 0)</f>
        <v/>
      </c>
      <c r="P155" s="23" t="inlineStr">
        <is>
          <t>Single Carrier (Band n50, 100MHz TDD)</t>
        </is>
      </c>
      <c r="Q155" s="27">
        <f>ROUNDUP(O155/'Methodology &amp; Assumptions'!$B$8, 0)</f>
        <v/>
      </c>
      <c r="R155" s="27" t="n">
        <v>1</v>
      </c>
      <c r="S155" s="26" t="n">
        <v>4.98</v>
      </c>
      <c r="T155" s="26" t="n">
        <v>7.02</v>
      </c>
      <c r="U155" s="11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26" t="n">
        <v>71.09999999999999</v>
      </c>
      <c r="W155" s="26" t="n">
        <v>72.73</v>
      </c>
      <c r="X155" s="26">
        <f>ROUND(('Methodology &amp; Assumptions'!$B$5*V155) + ('Methodology &amp; Assumptions'!$B$6*W155), 2)</f>
        <v/>
      </c>
      <c r="Y155" s="28" t="n">
        <v>10.9</v>
      </c>
      <c r="Z155" s="11" t="inlineStr">
        <is>
          <t>Priority Tier 1 (High Commercial &amp; Social)</t>
        </is>
      </c>
    </row>
    <row r="156">
      <c r="A156" s="23" t="n">
        <v>1</v>
      </c>
      <c r="B156" s="23" t="n">
        <v>152</v>
      </c>
      <c r="C156" s="23" t="n">
        <v>152</v>
      </c>
      <c r="D156" s="23" t="inlineStr">
        <is>
          <t>1380601108</t>
        </is>
      </c>
      <c r="E156" s="11" t="inlineStr">
        <is>
          <t>National Capital Region (NCR)</t>
        </is>
      </c>
      <c r="F156" s="11" t="inlineStr">
        <is>
          <t>First District (Not a Province)</t>
        </is>
      </c>
      <c r="G156" s="11" t="inlineStr">
        <is>
          <t>City of Manila</t>
        </is>
      </c>
      <c r="H156" s="11" t="inlineStr">
        <is>
          <t>Barangay 108</t>
        </is>
      </c>
      <c r="I156" s="24" t="n">
        <v>14.618797</v>
      </c>
      <c r="J156" s="24" t="n">
        <v>120.962791</v>
      </c>
      <c r="K156" s="23" t="inlineStr">
        <is>
          <t>U</t>
        </is>
      </c>
      <c r="L156" s="25" t="n">
        <v>5114</v>
      </c>
      <c r="M156" s="26" t="n">
        <v>4.85</v>
      </c>
      <c r="N156" s="25">
        <f>ROUND(L156/M156, 0)</f>
        <v/>
      </c>
      <c r="O156" s="25">
        <f>ROUND(N156*'Methodology &amp; Assumptions'!$B$7, 0)</f>
        <v/>
      </c>
      <c r="P156" s="23" t="inlineStr">
        <is>
          <t>Single Carrier (Band n50, 100MHz TDD)</t>
        </is>
      </c>
      <c r="Q156" s="27">
        <f>ROUNDUP(O156/'Methodology &amp; Assumptions'!$B$8, 0)</f>
        <v/>
      </c>
      <c r="R156" s="27" t="n">
        <v>1</v>
      </c>
      <c r="S156" s="26" t="n">
        <v>0.09</v>
      </c>
      <c r="T156" s="26" t="n">
        <v>0.14</v>
      </c>
      <c r="U156" s="11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26" t="n">
        <v>69.09</v>
      </c>
      <c r="W156" s="26" t="n">
        <v>74.73999999999999</v>
      </c>
      <c r="X156" s="26">
        <f>ROUND(('Methodology &amp; Assumptions'!$B$5*V156) + ('Methodology &amp; Assumptions'!$B$6*W156), 2)</f>
        <v/>
      </c>
      <c r="Y156" s="28" t="n">
        <v>10.9</v>
      </c>
      <c r="Z156" s="11" t="inlineStr">
        <is>
          <t>Priority Tier 1 (High Commercial &amp; Social)</t>
        </is>
      </c>
    </row>
    <row r="157">
      <c r="A157" s="23" t="n">
        <v>1</v>
      </c>
      <c r="B157" s="23" t="n">
        <v>153</v>
      </c>
      <c r="C157" s="23" t="n">
        <v>153</v>
      </c>
      <c r="D157" s="23" t="inlineStr">
        <is>
          <t>1380900003</t>
        </is>
      </c>
      <c r="E157" s="11" t="inlineStr">
        <is>
          <t>National Capital Region (NCR)</t>
        </is>
      </c>
      <c r="F157" s="11" t="inlineStr">
        <is>
          <t>Third District (Not a Province)</t>
        </is>
      </c>
      <c r="G157" s="11" t="inlineStr">
        <is>
          <t>City of Navotas</t>
        </is>
      </c>
      <c r="H157" s="11" t="inlineStr">
        <is>
          <t>Bagumbayan South</t>
        </is>
      </c>
      <c r="I157" s="24" t="n">
        <v>14.65108</v>
      </c>
      <c r="J157" s="24" t="n">
        <v>120.9503</v>
      </c>
      <c r="K157" s="23" t="inlineStr">
        <is>
          <t>U</t>
        </is>
      </c>
      <c r="L157" s="25" t="n">
        <v>4489</v>
      </c>
      <c r="M157" s="26" t="n">
        <v>3.38</v>
      </c>
      <c r="N157" s="25">
        <f>ROUND(L157/M157, 0)</f>
        <v/>
      </c>
      <c r="O157" s="25">
        <f>ROUND(N157*'Methodology &amp; Assumptions'!$B$7, 0)</f>
        <v/>
      </c>
      <c r="P157" s="23" t="inlineStr">
        <is>
          <t>Single Carrier (Band n50, 100MHz TDD)</t>
        </is>
      </c>
      <c r="Q157" s="27">
        <f>ROUNDUP(O157/'Methodology &amp; Assumptions'!$B$8, 0)</f>
        <v/>
      </c>
      <c r="R157" s="27" t="n">
        <v>1</v>
      </c>
      <c r="S157" s="26" t="n">
        <v>0.68</v>
      </c>
      <c r="T157" s="26" t="n">
        <v>0.86</v>
      </c>
      <c r="U157" s="11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26" t="n">
        <v>69.09</v>
      </c>
      <c r="W157" s="26" t="n">
        <v>74.64</v>
      </c>
      <c r="X157" s="26">
        <f>ROUND(('Methodology &amp; Assumptions'!$B$5*V157) + ('Methodology &amp; Assumptions'!$B$6*W157), 2)</f>
        <v/>
      </c>
      <c r="Y157" s="28" t="n">
        <v>10.9</v>
      </c>
      <c r="Z157" s="11" t="inlineStr">
        <is>
          <t>Priority Tier 1 (High Commercial &amp; Social)</t>
        </is>
      </c>
    </row>
    <row r="158">
      <c r="A158" s="23" t="n">
        <v>1</v>
      </c>
      <c r="B158" s="23" t="n">
        <v>154</v>
      </c>
      <c r="C158" s="23" t="n">
        <v>154</v>
      </c>
      <c r="D158" s="23" t="inlineStr">
        <is>
          <t>0402123002</t>
        </is>
      </c>
      <c r="E158" s="11" t="inlineStr">
        <is>
          <t>Region IV-A (CALABARZON)</t>
        </is>
      </c>
      <c r="F158" s="11" t="inlineStr">
        <is>
          <t>Cavite</t>
        </is>
      </c>
      <c r="G158" s="11" t="inlineStr">
        <is>
          <t>Gen. Mariano Alvarez</t>
        </is>
      </c>
      <c r="H158" s="11" t="inlineStr">
        <is>
          <t>Barangay 1 Poblacion</t>
        </is>
      </c>
      <c r="I158" s="24" t="n">
        <v>14.29523</v>
      </c>
      <c r="J158" s="24" t="n">
        <v>121.006115</v>
      </c>
      <c r="K158" s="23" t="inlineStr">
        <is>
          <t>U</t>
        </is>
      </c>
      <c r="L158" s="25" t="n">
        <v>6913</v>
      </c>
      <c r="M158" s="26" t="n">
        <v>3.4</v>
      </c>
      <c r="N158" s="25">
        <f>ROUND(L158/M158, 0)</f>
        <v/>
      </c>
      <c r="O158" s="25">
        <f>ROUND(N158*'Methodology &amp; Assumptions'!$B$7, 0)</f>
        <v/>
      </c>
      <c r="P158" s="23" t="inlineStr">
        <is>
          <t>Single Carrier (Band n50, 100MHz TDD)</t>
        </is>
      </c>
      <c r="Q158" s="27">
        <f>ROUNDUP(O158/'Methodology &amp; Assumptions'!$B$8, 0)</f>
        <v/>
      </c>
      <c r="R158" s="27" t="n">
        <v>1</v>
      </c>
      <c r="S158" s="26" t="n">
        <v>1.49</v>
      </c>
      <c r="T158" s="26" t="n">
        <v>4.89</v>
      </c>
      <c r="U158" s="11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26" t="n">
        <v>72.31999999999999</v>
      </c>
      <c r="W158" s="26" t="n">
        <v>71.34</v>
      </c>
      <c r="X158" s="26">
        <f>ROUND(('Methodology &amp; Assumptions'!$B$5*V158) + ('Methodology &amp; Assumptions'!$B$6*W158), 2)</f>
        <v/>
      </c>
      <c r="Y158" s="28" t="n">
        <v>7.2</v>
      </c>
      <c r="Z158" s="11" t="inlineStr">
        <is>
          <t>Priority Tier 1 (High Commercial &amp; Social)</t>
        </is>
      </c>
    </row>
    <row r="159">
      <c r="A159" s="23" t="n">
        <v>1</v>
      </c>
      <c r="B159" s="23" t="n">
        <v>155</v>
      </c>
      <c r="C159" s="23" t="n">
        <v>155</v>
      </c>
      <c r="D159" s="23" t="inlineStr">
        <is>
          <t>0403405038</t>
        </is>
      </c>
      <c r="E159" s="11" t="inlineStr">
        <is>
          <t>Region IV-A (CALABARZON)</t>
        </is>
      </c>
      <c r="F159" s="11" t="inlineStr">
        <is>
          <t>Laguna</t>
        </is>
      </c>
      <c r="G159" s="11" t="inlineStr">
        <is>
          <t>City of Calamba</t>
        </is>
      </c>
      <c r="H159" s="11" t="inlineStr">
        <is>
          <t>Barangay 1</t>
        </is>
      </c>
      <c r="I159" s="24" t="n">
        <v>14.203931</v>
      </c>
      <c r="J159" s="24" t="n">
        <v>121.157014</v>
      </c>
      <c r="K159" s="23" t="inlineStr">
        <is>
          <t>U</t>
        </is>
      </c>
      <c r="L159" s="25" t="n">
        <v>6383</v>
      </c>
      <c r="M159" s="26" t="n">
        <v>3.3</v>
      </c>
      <c r="N159" s="25">
        <f>ROUND(L159/M159, 0)</f>
        <v/>
      </c>
      <c r="O159" s="25">
        <f>ROUND(N159*'Methodology &amp; Assumptions'!$B$7, 0)</f>
        <v/>
      </c>
      <c r="P159" s="23" t="inlineStr">
        <is>
          <t>Single Carrier (Band n50, 100MHz TDD)</t>
        </is>
      </c>
      <c r="Q159" s="27">
        <f>ROUNDUP(O159/'Methodology &amp; Assumptions'!$B$8, 0)</f>
        <v/>
      </c>
      <c r="R159" s="27" t="n">
        <v>1</v>
      </c>
      <c r="S159" s="26" t="n">
        <v>1.39</v>
      </c>
      <c r="T159" s="26" t="n">
        <v>0.05</v>
      </c>
      <c r="U159" s="11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26" t="n">
        <v>76.19</v>
      </c>
      <c r="W159" s="26" t="n">
        <v>67.45</v>
      </c>
      <c r="X159" s="26">
        <f>ROUND(('Methodology &amp; Assumptions'!$B$5*V159) + ('Methodology &amp; Assumptions'!$B$6*W159), 2)</f>
        <v/>
      </c>
      <c r="Y159" s="28" t="n">
        <v>7.2</v>
      </c>
      <c r="Z159" s="11" t="inlineStr">
        <is>
          <t>Priority Tier 1 (High Commercial &amp; Social)</t>
        </is>
      </c>
    </row>
    <row r="160">
      <c r="A160" s="23" t="n">
        <v>1</v>
      </c>
      <c r="B160" s="23" t="n">
        <v>156</v>
      </c>
      <c r="C160" s="23" t="n">
        <v>156</v>
      </c>
      <c r="D160" s="23" t="inlineStr">
        <is>
          <t>1381600021</t>
        </is>
      </c>
      <c r="E160" s="11" t="inlineStr">
        <is>
          <t>National Capital Region (NCR)</t>
        </is>
      </c>
      <c r="F160" s="11" t="inlineStr">
        <is>
          <t>Third District (Not a Province)</t>
        </is>
      </c>
      <c r="G160" s="11" t="inlineStr">
        <is>
          <t>City of Valenzuela</t>
        </is>
      </c>
      <c r="H160" s="11" t="inlineStr">
        <is>
          <t>Palasan</t>
        </is>
      </c>
      <c r="I160" s="24" t="n">
        <v>14.70381</v>
      </c>
      <c r="J160" s="24" t="n">
        <v>120.9478</v>
      </c>
      <c r="K160" s="23" t="inlineStr">
        <is>
          <t>U</t>
        </is>
      </c>
      <c r="L160" s="25" t="n">
        <v>6786</v>
      </c>
      <c r="M160" s="26" t="n">
        <v>4.11</v>
      </c>
      <c r="N160" s="25">
        <f>ROUND(L160/M160, 0)</f>
        <v/>
      </c>
      <c r="O160" s="25">
        <f>ROUND(N160*'Methodology &amp; Assumptions'!$B$7, 0)</f>
        <v/>
      </c>
      <c r="P160" s="23" t="inlineStr">
        <is>
          <t>Single Carrier (Band n50, 100MHz TDD)</t>
        </is>
      </c>
      <c r="Q160" s="27">
        <f>ROUNDUP(O160/'Methodology &amp; Assumptions'!$B$8, 0)</f>
        <v/>
      </c>
      <c r="R160" s="27" t="n">
        <v>1</v>
      </c>
      <c r="S160" s="26" t="n">
        <v>1.35</v>
      </c>
      <c r="T160" s="26" t="n">
        <v>1.08</v>
      </c>
      <c r="U160" s="11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26" t="n">
        <v>67.15000000000001</v>
      </c>
      <c r="W160" s="26" t="n">
        <v>76.45999999999999</v>
      </c>
      <c r="X160" s="26">
        <f>ROUND(('Methodology &amp; Assumptions'!$B$5*V160) + ('Methodology &amp; Assumptions'!$B$6*W160), 2)</f>
        <v/>
      </c>
      <c r="Y160" s="28" t="n">
        <v>10.9</v>
      </c>
      <c r="Z160" s="11" t="inlineStr">
        <is>
          <t>Priority Tier 1 (High Commercial &amp; Social)</t>
        </is>
      </c>
    </row>
    <row r="161">
      <c r="A161" s="23" t="n">
        <v>1</v>
      </c>
      <c r="B161" s="23" t="n">
        <v>157</v>
      </c>
      <c r="C161" s="23" t="n">
        <v>157</v>
      </c>
      <c r="D161" s="23" t="inlineStr">
        <is>
          <t>1380601116</t>
        </is>
      </c>
      <c r="E161" s="11" t="inlineStr">
        <is>
          <t>National Capital Region (NCR)</t>
        </is>
      </c>
      <c r="F161" s="11" t="inlineStr">
        <is>
          <t>First District (Not a Province)</t>
        </is>
      </c>
      <c r="G161" s="11" t="inlineStr">
        <is>
          <t>City of Manila</t>
        </is>
      </c>
      <c r="H161" s="11" t="inlineStr">
        <is>
          <t>Barangay 116</t>
        </is>
      </c>
      <c r="I161" s="24" t="n">
        <v>14.615352</v>
      </c>
      <c r="J161" s="24" t="n">
        <v>120.962515</v>
      </c>
      <c r="K161" s="23" t="inlineStr">
        <is>
          <t>U</t>
        </is>
      </c>
      <c r="L161" s="25" t="n">
        <v>6182</v>
      </c>
      <c r="M161" s="26" t="n">
        <v>4.68</v>
      </c>
      <c r="N161" s="25">
        <f>ROUND(L161/M161, 0)</f>
        <v/>
      </c>
      <c r="O161" s="25">
        <f>ROUND(N161*'Methodology &amp; Assumptions'!$B$7, 0)</f>
        <v/>
      </c>
      <c r="P161" s="23" t="inlineStr">
        <is>
          <t>Single Carrier (Band n50, 100MHz TDD)</t>
        </is>
      </c>
      <c r="Q161" s="27">
        <f>ROUNDUP(O161/'Methodology &amp; Assumptions'!$B$8, 0)</f>
        <v/>
      </c>
      <c r="R161" s="27" t="n">
        <v>1</v>
      </c>
      <c r="S161" s="26" t="n">
        <v>0.29</v>
      </c>
      <c r="T161" s="26" t="n">
        <v>0.51</v>
      </c>
      <c r="U161" s="11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26" t="n">
        <v>69.09</v>
      </c>
      <c r="W161" s="26" t="n">
        <v>74.47</v>
      </c>
      <c r="X161" s="26">
        <f>ROUND(('Methodology &amp; Assumptions'!$B$5*V161) + ('Methodology &amp; Assumptions'!$B$6*W161), 2)</f>
        <v/>
      </c>
      <c r="Y161" s="28" t="n">
        <v>10.9</v>
      </c>
      <c r="Z161" s="11" t="inlineStr">
        <is>
          <t>Priority Tier 1 (High Commercial &amp; Social)</t>
        </is>
      </c>
    </row>
    <row r="162">
      <c r="A162" s="23" t="n">
        <v>1</v>
      </c>
      <c r="B162" s="23" t="n">
        <v>158</v>
      </c>
      <c r="C162" s="23" t="n">
        <v>158</v>
      </c>
      <c r="D162" s="23" t="inlineStr">
        <is>
          <t>0402103048</t>
        </is>
      </c>
      <c r="E162" s="11" t="inlineStr">
        <is>
          <t>Region IV-A (CALABARZON)</t>
        </is>
      </c>
      <c r="F162" s="11" t="inlineStr">
        <is>
          <t>Cavite</t>
        </is>
      </c>
      <c r="G162" s="11" t="inlineStr">
        <is>
          <t>City of Bacoor</t>
        </is>
      </c>
      <c r="H162" s="11" t="inlineStr">
        <is>
          <t>Molino V</t>
        </is>
      </c>
      <c r="I162" s="24" t="n">
        <v>14.396411</v>
      </c>
      <c r="J162" s="24" t="n">
        <v>120.968933</v>
      </c>
      <c r="K162" s="23" t="inlineStr">
        <is>
          <t>U</t>
        </is>
      </c>
      <c r="L162" s="25" t="n">
        <v>6908</v>
      </c>
      <c r="M162" s="26" t="n">
        <v>3.4</v>
      </c>
      <c r="N162" s="25">
        <f>ROUND(L162/M162, 0)</f>
        <v/>
      </c>
      <c r="O162" s="25">
        <f>ROUND(N162*'Methodology &amp; Assumptions'!$B$7, 0)</f>
        <v/>
      </c>
      <c r="P162" s="23" t="inlineStr">
        <is>
          <t>Single Carrier (Band n50, 100MHz TDD)</t>
        </is>
      </c>
      <c r="Q162" s="27">
        <f>ROUNDUP(O162/'Methodology &amp; Assumptions'!$B$8, 0)</f>
        <v/>
      </c>
      <c r="R162" s="27" t="n">
        <v>1</v>
      </c>
      <c r="S162" s="26" t="n">
        <v>0.5600000000000001</v>
      </c>
      <c r="T162" s="26" t="n">
        <v>5.71</v>
      </c>
      <c r="U162" s="11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26" t="n">
        <v>75.88</v>
      </c>
      <c r="W162" s="26" t="n">
        <v>67.66</v>
      </c>
      <c r="X162" s="26">
        <f>ROUND(('Methodology &amp; Assumptions'!$B$5*V162) + ('Methodology &amp; Assumptions'!$B$6*W162), 2)</f>
        <v/>
      </c>
      <c r="Y162" s="28" t="n">
        <v>7.2</v>
      </c>
      <c r="Z162" s="11" t="inlineStr">
        <is>
          <t>Priority Tier 1 (High Commercial &amp; Social)</t>
        </is>
      </c>
    </row>
    <row r="163">
      <c r="A163" s="23" t="n">
        <v>1</v>
      </c>
      <c r="B163" s="23" t="n">
        <v>159</v>
      </c>
      <c r="C163" s="23" t="n">
        <v>159</v>
      </c>
      <c r="D163" s="23" t="inlineStr">
        <is>
          <t>0405814009</t>
        </is>
      </c>
      <c r="E163" s="11" t="inlineStr">
        <is>
          <t>Region IV-A (CALABARZON)</t>
        </is>
      </c>
      <c r="F163" s="11" t="inlineStr">
        <is>
          <t>Rizal</t>
        </is>
      </c>
      <c r="G163" s="11" t="inlineStr">
        <is>
          <t>Teresa</t>
        </is>
      </c>
      <c r="H163" s="11" t="inlineStr">
        <is>
          <t>San Roque</t>
        </is>
      </c>
      <c r="I163" s="24" t="n">
        <v>14.582976</v>
      </c>
      <c r="J163" s="24" t="n">
        <v>121.171966</v>
      </c>
      <c r="K163" s="23" t="inlineStr">
        <is>
          <t>R</t>
        </is>
      </c>
      <c r="L163" s="25" t="n">
        <v>3326</v>
      </c>
      <c r="M163" s="26" t="n">
        <v>3.6</v>
      </c>
      <c r="N163" s="25">
        <f>ROUND(L163/M163, 0)</f>
        <v/>
      </c>
      <c r="O163" s="25">
        <f>ROUND(N163*'Methodology &amp; Assumptions'!$B$7, 0)</f>
        <v/>
      </c>
      <c r="P163" s="23" t="inlineStr">
        <is>
          <t>Single Carrier (Band n50, 100MHz TDD)</t>
        </is>
      </c>
      <c r="Q163" s="27">
        <f>ROUNDUP(O163/'Methodology &amp; Assumptions'!$B$8, 0)</f>
        <v/>
      </c>
      <c r="R163" s="27" t="n">
        <v>1</v>
      </c>
      <c r="S163" s="26" t="n">
        <v>0.49</v>
      </c>
      <c r="T163" s="26" t="n">
        <v>0.33</v>
      </c>
      <c r="U163" s="11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26" t="n">
        <v>85.45999999999999</v>
      </c>
      <c r="W163" s="26" t="n">
        <v>58.07</v>
      </c>
      <c r="X163" s="26">
        <f>ROUND(('Methodology &amp; Assumptions'!$B$5*V163) + ('Methodology &amp; Assumptions'!$B$6*W163), 2)</f>
        <v/>
      </c>
      <c r="Y163" s="28" t="n">
        <v>7.2</v>
      </c>
      <c r="Z163" s="11" t="inlineStr">
        <is>
          <t>Priority Tier 1 (High Commercial &amp; Social)</t>
        </is>
      </c>
    </row>
    <row r="164">
      <c r="A164" s="23" t="n">
        <v>1</v>
      </c>
      <c r="B164" s="23" t="n">
        <v>160</v>
      </c>
      <c r="C164" s="23" t="n">
        <v>160</v>
      </c>
      <c r="D164" s="23" t="inlineStr">
        <is>
          <t>1380400008</t>
        </is>
      </c>
      <c r="E164" s="11" t="inlineStr">
        <is>
          <t>National Capital Region (NCR)</t>
        </is>
      </c>
      <c r="F164" s="11" t="inlineStr">
        <is>
          <t>Third District (Not a Province)</t>
        </is>
      </c>
      <c r="G164" s="11" t="inlineStr">
        <is>
          <t>City of Malabon</t>
        </is>
      </c>
      <c r="H164" s="11" t="inlineStr">
        <is>
          <t>Hulong Duhat</t>
        </is>
      </c>
      <c r="I164" s="24" t="n">
        <v>14.678037</v>
      </c>
      <c r="J164" s="24" t="n">
        <v>120.941877</v>
      </c>
      <c r="K164" s="23" t="inlineStr">
        <is>
          <t>U</t>
        </is>
      </c>
      <c r="L164" s="25" t="n">
        <v>12265</v>
      </c>
      <c r="M164" s="26" t="n">
        <v>3.45</v>
      </c>
      <c r="N164" s="25">
        <f>ROUND(L164/M164, 0)</f>
        <v/>
      </c>
      <c r="O164" s="25">
        <f>ROUND(N164*'Methodology &amp; Assumptions'!$B$7, 0)</f>
        <v/>
      </c>
      <c r="P164" s="23" t="inlineStr">
        <is>
          <t>Single Carrier (Band n50, 100MHz TDD)</t>
        </is>
      </c>
      <c r="Q164" s="27">
        <f>ROUNDUP(O164/'Methodology &amp; Assumptions'!$B$8, 0)</f>
        <v/>
      </c>
      <c r="R164" s="27" t="n">
        <v>1</v>
      </c>
      <c r="S164" s="26" t="n">
        <v>0.25</v>
      </c>
      <c r="T164" s="26" t="n">
        <v>0.08</v>
      </c>
      <c r="U164" s="11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26" t="n">
        <v>69.09</v>
      </c>
      <c r="W164" s="26" t="n">
        <v>74.42</v>
      </c>
      <c r="X164" s="26">
        <f>ROUND(('Methodology &amp; Assumptions'!$B$5*V164) + ('Methodology &amp; Assumptions'!$B$6*W164), 2)</f>
        <v/>
      </c>
      <c r="Y164" s="28" t="n">
        <v>10.9</v>
      </c>
      <c r="Z164" s="11" t="inlineStr">
        <is>
          <t>Priority Tier 1 (High Commercial &amp; Social)</t>
        </is>
      </c>
    </row>
    <row r="165">
      <c r="A165" s="23" t="n">
        <v>1</v>
      </c>
      <c r="B165" s="23" t="n">
        <v>161</v>
      </c>
      <c r="C165" s="23" t="n">
        <v>161</v>
      </c>
      <c r="D165" s="23" t="inlineStr">
        <is>
          <t>1380601121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121</t>
        </is>
      </c>
      <c r="I165" s="24" t="n">
        <v>14.612583</v>
      </c>
      <c r="J165" s="24" t="n">
        <v>120.964266</v>
      </c>
      <c r="K165" s="23" t="inlineStr">
        <is>
          <t>U</t>
        </is>
      </c>
      <c r="L165" s="25" t="n">
        <v>4097</v>
      </c>
      <c r="M165" s="26" t="n">
        <v>4.91</v>
      </c>
      <c r="N165" s="25">
        <f>ROUND(L165/M165, 0)</f>
        <v/>
      </c>
      <c r="O165" s="25">
        <f>ROUND(N165*'Methodology &amp; Assumptions'!$B$7, 0)</f>
        <v/>
      </c>
      <c r="P165" s="23" t="inlineStr">
        <is>
          <t>Single Carrier (Band n50, 100MHz TDD)</t>
        </is>
      </c>
      <c r="Q165" s="27">
        <f>ROUNDUP(O165/'Methodology &amp; Assumptions'!$B$8, 0)</f>
        <v/>
      </c>
      <c r="R165" s="27" t="n">
        <v>1</v>
      </c>
      <c r="S165" s="26" t="n">
        <v>0.62</v>
      </c>
      <c r="T165" s="26" t="n">
        <v>0.6</v>
      </c>
      <c r="U165" s="11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26" t="n">
        <v>67.87</v>
      </c>
      <c r="W165" s="26" t="n">
        <v>75.64</v>
      </c>
      <c r="X165" s="26">
        <f>ROUND(('Methodology &amp; Assumptions'!$B$5*V165) + ('Methodology &amp; Assumptions'!$B$6*W165), 2)</f>
        <v/>
      </c>
      <c r="Y165" s="28" t="n">
        <v>10.9</v>
      </c>
      <c r="Z165" s="11" t="inlineStr">
        <is>
          <t>Priority Tier 1 (High Commercial &amp; Social)</t>
        </is>
      </c>
    </row>
    <row r="166">
      <c r="A166" s="23" t="n">
        <v>1</v>
      </c>
      <c r="B166" s="23" t="n">
        <v>162</v>
      </c>
      <c r="C166" s="23" t="n">
        <v>162</v>
      </c>
      <c r="D166" s="23" t="inlineStr">
        <is>
          <t>0401001007</t>
        </is>
      </c>
      <c r="E166" s="11" t="inlineStr">
        <is>
          <t>Region IV-A (CALABARZON)</t>
        </is>
      </c>
      <c r="F166" s="11" t="inlineStr">
        <is>
          <t>Batangas</t>
        </is>
      </c>
      <c r="G166" s="11" t="inlineStr">
        <is>
          <t>Agoncillo</t>
        </is>
      </c>
      <c r="H166" s="11" t="inlineStr">
        <is>
          <t>Barigon</t>
        </is>
      </c>
      <c r="I166" s="24" t="n">
        <v>13.9832</v>
      </c>
      <c r="J166" s="24" t="n">
        <v>120.919</v>
      </c>
      <c r="K166" s="23" t="inlineStr">
        <is>
          <t>R</t>
        </is>
      </c>
      <c r="L166" s="25" t="n">
        <v>1877</v>
      </c>
      <c r="M166" s="26" t="n">
        <v>3.6</v>
      </c>
      <c r="N166" s="25">
        <f>ROUND(L166/M166, 0)</f>
        <v/>
      </c>
      <c r="O166" s="25">
        <f>ROUND(N166*'Methodology &amp; Assumptions'!$B$7, 0)</f>
        <v/>
      </c>
      <c r="P166" s="23" t="inlineStr">
        <is>
          <t>Single Carrier (Band n50, 100MHz TDD)</t>
        </is>
      </c>
      <c r="Q166" s="27">
        <f>ROUNDUP(O166/'Methodology &amp; Assumptions'!$B$8, 0)</f>
        <v/>
      </c>
      <c r="R166" s="27" t="n">
        <v>1</v>
      </c>
      <c r="S166" s="26" t="n">
        <v>5.47</v>
      </c>
      <c r="T166" s="26" t="n">
        <v>8.859999999999999</v>
      </c>
      <c r="U166" s="11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26" t="n">
        <v>60.08</v>
      </c>
      <c r="W166" s="26" t="n">
        <v>83.41</v>
      </c>
      <c r="X166" s="26">
        <f>ROUND(('Methodology &amp; Assumptions'!$B$5*V166) + ('Methodology &amp; Assumptions'!$B$6*W166), 2)</f>
        <v/>
      </c>
      <c r="Y166" s="28" t="n">
        <v>7.2</v>
      </c>
      <c r="Z166" s="11" t="inlineStr">
        <is>
          <t>Priority Tier 1 (High Commercial &amp; Social)</t>
        </is>
      </c>
    </row>
    <row r="167">
      <c r="A167" s="23" t="n">
        <v>1</v>
      </c>
      <c r="B167" s="23" t="n">
        <v>163</v>
      </c>
      <c r="C167" s="23" t="n">
        <v>163</v>
      </c>
      <c r="D167" s="23" t="inlineStr">
        <is>
          <t>0402106028</t>
        </is>
      </c>
      <c r="E167" s="11" t="inlineStr">
        <is>
          <t>Region IV-A (CALABARZON)</t>
        </is>
      </c>
      <c r="F167" s="11" t="inlineStr">
        <is>
          <t>Cavite</t>
        </is>
      </c>
      <c r="G167" s="11" t="inlineStr">
        <is>
          <t>City of Dasmariñas</t>
        </is>
      </c>
      <c r="H167" s="11" t="inlineStr">
        <is>
          <t>San Esteban</t>
        </is>
      </c>
      <c r="I167" s="24" t="n">
        <v>14.33833</v>
      </c>
      <c r="J167" s="24" t="n">
        <v>120.957009</v>
      </c>
      <c r="K167" s="23" t="inlineStr">
        <is>
          <t>R</t>
        </is>
      </c>
      <c r="L167" s="25" t="n">
        <v>4825</v>
      </c>
      <c r="M167" s="26" t="n">
        <v>3.4</v>
      </c>
      <c r="N167" s="25">
        <f>ROUND(L167/M167, 0)</f>
        <v/>
      </c>
      <c r="O167" s="25">
        <f>ROUND(N167*'Methodology &amp; Assumptions'!$B$7, 0)</f>
        <v/>
      </c>
      <c r="P167" s="23" t="inlineStr">
        <is>
          <t>Single Carrier (Band n50, 100MHz TDD)</t>
        </is>
      </c>
      <c r="Q167" s="27">
        <f>ROUNDUP(O167/'Methodology &amp; Assumptions'!$B$8, 0)</f>
        <v/>
      </c>
      <c r="R167" s="27" t="n">
        <v>1</v>
      </c>
      <c r="S167" s="26" t="n">
        <v>2.31</v>
      </c>
      <c r="T167" s="26" t="n">
        <v>4.09</v>
      </c>
      <c r="U167" s="11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26" t="n">
        <v>76.67</v>
      </c>
      <c r="W167" s="26" t="n">
        <v>66.81</v>
      </c>
      <c r="X167" s="26">
        <f>ROUND(('Methodology &amp; Assumptions'!$B$5*V167) + ('Methodology &amp; Assumptions'!$B$6*W167), 2)</f>
        <v/>
      </c>
      <c r="Y167" s="28" t="n">
        <v>7.2</v>
      </c>
      <c r="Z167" s="11" t="inlineStr">
        <is>
          <t>Priority Tier 1 (High Commercial &amp; Social)</t>
        </is>
      </c>
    </row>
    <row r="168">
      <c r="A168" s="23" t="n">
        <v>1</v>
      </c>
      <c r="B168" s="23" t="n">
        <v>164</v>
      </c>
      <c r="C168" s="23" t="n">
        <v>164</v>
      </c>
      <c r="D168" s="23" t="inlineStr">
        <is>
          <t>1380601033</t>
        </is>
      </c>
      <c r="E168" s="11" t="inlineStr">
        <is>
          <t>National Capital Region (NCR)</t>
        </is>
      </c>
      <c r="F168" s="11" t="inlineStr">
        <is>
          <t>First District (Not a Province)</t>
        </is>
      </c>
      <c r="G168" s="11" t="inlineStr">
        <is>
          <t>City of Manila</t>
        </is>
      </c>
      <c r="H168" s="11" t="inlineStr">
        <is>
          <t>Barangay 33</t>
        </is>
      </c>
      <c r="I168" s="24" t="n">
        <v>14.603712</v>
      </c>
      <c r="J168" s="24" t="n">
        <v>120.964235</v>
      </c>
      <c r="K168" s="23" t="inlineStr">
        <is>
          <t>U</t>
        </is>
      </c>
      <c r="L168" s="25" t="n">
        <v>4343</v>
      </c>
      <c r="M168" s="26" t="n">
        <v>4.89</v>
      </c>
      <c r="N168" s="25">
        <f>ROUND(L168/M168, 0)</f>
        <v/>
      </c>
      <c r="O168" s="25">
        <f>ROUND(N168*'Methodology &amp; Assumptions'!$B$7, 0)</f>
        <v/>
      </c>
      <c r="P168" s="23" t="inlineStr">
        <is>
          <t>Single Carrier (Band n50, 100MHz TDD)</t>
        </is>
      </c>
      <c r="Q168" s="27">
        <f>ROUNDUP(O168/'Methodology &amp; Assumptions'!$B$8, 0)</f>
        <v/>
      </c>
      <c r="R168" s="27" t="n">
        <v>1</v>
      </c>
      <c r="S168" s="26" t="n">
        <v>0.68</v>
      </c>
      <c r="T168" s="26" t="n">
        <v>0.68</v>
      </c>
      <c r="U168" s="11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26" t="n">
        <v>69.09</v>
      </c>
      <c r="W168" s="26" t="n">
        <v>74.34</v>
      </c>
      <c r="X168" s="26">
        <f>ROUND(('Methodology &amp; Assumptions'!$B$5*V168) + ('Methodology &amp; Assumptions'!$B$6*W168), 2)</f>
        <v/>
      </c>
      <c r="Y168" s="28" t="n">
        <v>10.9</v>
      </c>
      <c r="Z168" s="11" t="inlineStr">
        <is>
          <t>Priority Tier 1 (High Commercial &amp; Social)</t>
        </is>
      </c>
    </row>
    <row r="169">
      <c r="A169" s="23" t="n">
        <v>1</v>
      </c>
      <c r="B169" s="23" t="n">
        <v>165</v>
      </c>
      <c r="C169" s="23" t="n">
        <v>165</v>
      </c>
      <c r="D169" s="23" t="inlineStr">
        <is>
          <t>1380601095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95</t>
        </is>
      </c>
      <c r="I169" s="24" t="n">
        <v>14.619981</v>
      </c>
      <c r="J169" s="24" t="n">
        <v>120.964799</v>
      </c>
      <c r="K169" s="23" t="inlineStr">
        <is>
          <t>U</t>
        </is>
      </c>
      <c r="L169" s="25" t="n">
        <v>4994</v>
      </c>
      <c r="M169" s="26" t="n">
        <v>4.6</v>
      </c>
      <c r="N169" s="25">
        <f>ROUND(L169/M169, 0)</f>
        <v/>
      </c>
      <c r="O169" s="25">
        <f>ROUND(N169*'Methodology &amp; Assumptions'!$B$7, 0)</f>
        <v/>
      </c>
      <c r="P169" s="23" t="inlineStr">
        <is>
          <t>Single Carrier (Band n50, 100MHz TDD)</t>
        </is>
      </c>
      <c r="Q169" s="27">
        <f>ROUNDUP(O169/'Methodology &amp; Assumptions'!$B$8, 0)</f>
        <v/>
      </c>
      <c r="R169" s="27" t="n">
        <v>1</v>
      </c>
      <c r="S169" s="26" t="n">
        <v>0.32</v>
      </c>
      <c r="T169" s="26" t="n">
        <v>0.14</v>
      </c>
      <c r="U169" s="11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26" t="n">
        <v>69.09</v>
      </c>
      <c r="W169" s="26" t="n">
        <v>74.33</v>
      </c>
      <c r="X169" s="26">
        <f>ROUND(('Methodology &amp; Assumptions'!$B$5*V169) + ('Methodology &amp; Assumptions'!$B$6*W169), 2)</f>
        <v/>
      </c>
      <c r="Y169" s="28" t="n">
        <v>10.9</v>
      </c>
      <c r="Z169" s="11" t="inlineStr">
        <is>
          <t>Priority Tier 1 (High Commercial &amp; Social)</t>
        </is>
      </c>
    </row>
    <row r="170">
      <c r="A170" s="23" t="n">
        <v>1</v>
      </c>
      <c r="B170" s="23" t="n">
        <v>166</v>
      </c>
      <c r="C170" s="23" t="n">
        <v>166</v>
      </c>
      <c r="D170" s="23" t="inlineStr">
        <is>
          <t>0402123022</t>
        </is>
      </c>
      <c r="E170" s="11" t="inlineStr">
        <is>
          <t>Region IV-A (CALABARZON)</t>
        </is>
      </c>
      <c r="F170" s="11" t="inlineStr">
        <is>
          <t>Cavite</t>
        </is>
      </c>
      <c r="G170" s="11" t="inlineStr">
        <is>
          <t>Gen. Mariano Alvarez</t>
        </is>
      </c>
      <c r="H170" s="11" t="inlineStr">
        <is>
          <t>Pantaleon Granados</t>
        </is>
      </c>
      <c r="I170" s="24" t="n">
        <v>14.302426</v>
      </c>
      <c r="J170" s="24" t="n">
        <v>121.010215</v>
      </c>
      <c r="K170" s="23" t="inlineStr">
        <is>
          <t>R</t>
        </is>
      </c>
      <c r="L170" s="25" t="n">
        <v>3651</v>
      </c>
      <c r="M170" s="26" t="n">
        <v>3.4</v>
      </c>
      <c r="N170" s="25">
        <f>ROUND(L170/M170, 0)</f>
        <v/>
      </c>
      <c r="O170" s="25">
        <f>ROUND(N170*'Methodology &amp; Assumptions'!$B$7, 0)</f>
        <v/>
      </c>
      <c r="P170" s="23" t="inlineStr">
        <is>
          <t>Single Carrier (Band n50, 100MHz TDD)</t>
        </is>
      </c>
      <c r="Q170" s="27">
        <f>ROUNDUP(O170/'Methodology &amp; Assumptions'!$B$8, 0)</f>
        <v/>
      </c>
      <c r="R170" s="27" t="n">
        <v>1</v>
      </c>
      <c r="S170" s="26" t="n">
        <v>2.39</v>
      </c>
      <c r="T170" s="26" t="n">
        <v>4.39</v>
      </c>
      <c r="U170" s="11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26" t="n">
        <v>76.42</v>
      </c>
      <c r="W170" s="26" t="n">
        <v>66.98999999999999</v>
      </c>
      <c r="X170" s="26">
        <f>ROUND(('Methodology &amp; Assumptions'!$B$5*V170) + ('Methodology &amp; Assumptions'!$B$6*W170), 2)</f>
        <v/>
      </c>
      <c r="Y170" s="28" t="n">
        <v>7.2</v>
      </c>
      <c r="Z170" s="11" t="inlineStr">
        <is>
          <t>Priority Tier 1 (High Commercial &amp; Social)</t>
        </is>
      </c>
    </row>
    <row r="171">
      <c r="A171" s="23" t="n">
        <v>1</v>
      </c>
      <c r="B171" s="23" t="n">
        <v>167</v>
      </c>
      <c r="C171" s="23" t="n">
        <v>167</v>
      </c>
      <c r="D171" s="23" t="inlineStr">
        <is>
          <t>1381400003</t>
        </is>
      </c>
      <c r="E171" s="11" t="inlineStr">
        <is>
          <t>National Capital Region (NCR)</t>
        </is>
      </c>
      <c r="F171" s="11" t="inlineStr">
        <is>
          <t>Second District (Not a Province)</t>
        </is>
      </c>
      <c r="G171" s="11" t="inlineStr">
        <is>
          <t>City of San Juan</t>
        </is>
      </c>
      <c r="H171" s="11" t="inlineStr">
        <is>
          <t>Batis</t>
        </is>
      </c>
      <c r="I171" s="24" t="n">
        <v>14.59902</v>
      </c>
      <c r="J171" s="24" t="n">
        <v>121.0244</v>
      </c>
      <c r="K171" s="23" t="inlineStr">
        <is>
          <t>U</t>
        </is>
      </c>
      <c r="L171" s="25" t="n">
        <v>7938</v>
      </c>
      <c r="M171" s="26" t="n">
        <v>3.62</v>
      </c>
      <c r="N171" s="25">
        <f>ROUND(L171/M171, 0)</f>
        <v/>
      </c>
      <c r="O171" s="25">
        <f>ROUND(N171*'Methodology &amp; Assumptions'!$B$7, 0)</f>
        <v/>
      </c>
      <c r="P171" s="23" t="inlineStr">
        <is>
          <t>Single Carrier (Band n50, 100MHz TDD)</t>
        </is>
      </c>
      <c r="Q171" s="27">
        <f>ROUNDUP(O171/'Methodology &amp; Assumptions'!$B$8, 0)</f>
        <v/>
      </c>
      <c r="R171" s="27" t="n">
        <v>1</v>
      </c>
      <c r="S171" s="26" t="n">
        <v>1.76</v>
      </c>
      <c r="T171" s="26" t="n">
        <v>0.46</v>
      </c>
      <c r="U171" s="11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26" t="n">
        <v>65.69</v>
      </c>
      <c r="W171" s="26" t="n">
        <v>77.7</v>
      </c>
      <c r="X171" s="26">
        <f>ROUND(('Methodology &amp; Assumptions'!$B$5*V171) + ('Methodology &amp; Assumptions'!$B$6*W171), 2)</f>
        <v/>
      </c>
      <c r="Y171" s="28" t="n">
        <v>10.9</v>
      </c>
      <c r="Z171" s="11" t="inlineStr">
        <is>
          <t>Priority Tier 1 (High Commercial &amp; Social)</t>
        </is>
      </c>
    </row>
    <row r="172">
      <c r="A172" s="23" t="n">
        <v>1</v>
      </c>
      <c r="B172" s="23" t="n">
        <v>168</v>
      </c>
      <c r="C172" s="23" t="n">
        <v>168</v>
      </c>
      <c r="D172" s="23" t="inlineStr">
        <is>
          <t>0402106070</t>
        </is>
      </c>
      <c r="E172" s="11" t="inlineStr">
        <is>
          <t>Region IV-A (CALABARZON)</t>
        </is>
      </c>
      <c r="F172" s="11" t="inlineStr">
        <is>
          <t>Cavite</t>
        </is>
      </c>
      <c r="G172" s="11" t="inlineStr">
        <is>
          <t>City of Dasmariñas</t>
        </is>
      </c>
      <c r="H172" s="11" t="inlineStr">
        <is>
          <t>San Isidro Labrador II</t>
        </is>
      </c>
      <c r="I172" s="24" t="n">
        <v>14.341527</v>
      </c>
      <c r="J172" s="24" t="n">
        <v>120.949634</v>
      </c>
      <c r="K172" s="23" t="inlineStr">
        <is>
          <t>R</t>
        </is>
      </c>
      <c r="L172" s="25" t="n">
        <v>2593</v>
      </c>
      <c r="M172" s="26" t="n">
        <v>3.4</v>
      </c>
      <c r="N172" s="25">
        <f>ROUND(L172/M172, 0)</f>
        <v/>
      </c>
      <c r="O172" s="25">
        <f>ROUND(N172*'Methodology &amp; Assumptions'!$B$7, 0)</f>
        <v/>
      </c>
      <c r="P172" s="23" t="inlineStr">
        <is>
          <t>Single Carrier (Band n50, 100MHz TDD)</t>
        </is>
      </c>
      <c r="Q172" s="27">
        <f>ROUNDUP(O172/'Methodology &amp; Assumptions'!$B$8, 0)</f>
        <v/>
      </c>
      <c r="R172" s="27" t="n">
        <v>1</v>
      </c>
      <c r="S172" s="26" t="n">
        <v>1.47</v>
      </c>
      <c r="T172" s="26" t="n">
        <v>4.45</v>
      </c>
      <c r="U172" s="11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26" t="n">
        <v>77.89</v>
      </c>
      <c r="W172" s="26" t="n">
        <v>65.48999999999999</v>
      </c>
      <c r="X172" s="26">
        <f>ROUND(('Methodology &amp; Assumptions'!$B$5*V172) + ('Methodology &amp; Assumptions'!$B$6*W172), 2)</f>
        <v/>
      </c>
      <c r="Y172" s="28" t="n">
        <v>7.2</v>
      </c>
      <c r="Z172" s="11" t="inlineStr">
        <is>
          <t>Priority Tier 1 (High Commercial &amp; Social)</t>
        </is>
      </c>
    </row>
    <row r="173">
      <c r="A173" s="23" t="n">
        <v>1</v>
      </c>
      <c r="B173" s="23" t="n">
        <v>169</v>
      </c>
      <c r="C173" s="23" t="n">
        <v>169</v>
      </c>
      <c r="D173" s="23" t="inlineStr">
        <is>
          <t>0405813003</t>
        </is>
      </c>
      <c r="E173" s="11" t="inlineStr">
        <is>
          <t>Region IV-A (CALABARZON)</t>
        </is>
      </c>
      <c r="F173" s="11" t="inlineStr">
        <is>
          <t>Rizal</t>
        </is>
      </c>
      <c r="G173" s="11" t="inlineStr">
        <is>
          <t>Taytay</t>
        </is>
      </c>
      <c r="H173" s="11" t="inlineStr">
        <is>
          <t>San Isidro</t>
        </is>
      </c>
      <c r="I173" s="24" t="n">
        <v>14.57777</v>
      </c>
      <c r="J173" s="24" t="n">
        <v>121.135</v>
      </c>
      <c r="K173" s="23" t="inlineStr">
        <is>
          <t>U</t>
        </is>
      </c>
      <c r="L173" s="25" t="n">
        <v>39685</v>
      </c>
      <c r="M173" s="26" t="n">
        <v>3.6</v>
      </c>
      <c r="N173" s="25">
        <f>ROUND(L173/M173, 0)</f>
        <v/>
      </c>
      <c r="O173" s="25">
        <f>ROUND(N173*'Methodology &amp; Assumptions'!$B$7, 0)</f>
        <v/>
      </c>
      <c r="P173" s="23" t="inlineStr">
        <is>
          <t>Single Carrier (Band n50, 100MHz TDD)</t>
        </is>
      </c>
      <c r="Q173" s="27">
        <f>ROUNDUP(O173/'Methodology &amp; Assumptions'!$B$8, 0)</f>
        <v/>
      </c>
      <c r="R173" s="27" t="n">
        <v>1</v>
      </c>
      <c r="S173" s="26" t="n">
        <v>0.95</v>
      </c>
      <c r="T173" s="26" t="n">
        <v>0.26</v>
      </c>
      <c r="U173" s="11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26" t="n">
        <v>76.91</v>
      </c>
      <c r="W173" s="26" t="n">
        <v>66.39</v>
      </c>
      <c r="X173" s="26">
        <f>ROUND(('Methodology &amp; Assumptions'!$B$5*V173) + ('Methodology &amp; Assumptions'!$B$6*W173), 2)</f>
        <v/>
      </c>
      <c r="Y173" s="28" t="n">
        <v>7.2</v>
      </c>
      <c r="Z173" s="11" t="inlineStr">
        <is>
          <t>Priority Tier 1 (High Commercial &amp; Social)</t>
        </is>
      </c>
    </row>
    <row r="174">
      <c r="A174" s="23" t="n">
        <v>1</v>
      </c>
      <c r="B174" s="23" t="n">
        <v>170</v>
      </c>
      <c r="C174" s="23" t="n">
        <v>170</v>
      </c>
      <c r="D174" s="23" t="inlineStr">
        <is>
          <t>0504111030</t>
        </is>
      </c>
      <c r="E174" s="11" t="inlineStr">
        <is>
          <t>Region V (Bicol Region)</t>
        </is>
      </c>
      <c r="F174" s="11" t="inlineStr">
        <is>
          <t>Masbate</t>
        </is>
      </c>
      <c r="G174" s="11" t="inlineStr">
        <is>
          <t>City of Masbate</t>
        </is>
      </c>
      <c r="H174" s="11" t="inlineStr">
        <is>
          <t>Usab</t>
        </is>
      </c>
      <c r="I174" s="24" t="n">
        <v>12.33015</v>
      </c>
      <c r="J174" s="24" t="n">
        <v>123.595997</v>
      </c>
      <c r="K174" s="23" t="inlineStr">
        <is>
          <t>R</t>
        </is>
      </c>
      <c r="L174" s="25" t="n">
        <v>3146</v>
      </c>
      <c r="M174" s="26" t="n">
        <v>4.1</v>
      </c>
      <c r="N174" s="25">
        <f>ROUND(L174/M174, 0)</f>
        <v/>
      </c>
      <c r="O174" s="25">
        <f>ROUND(N174*'Methodology &amp; Assumptions'!$B$7, 0)</f>
        <v/>
      </c>
      <c r="P174" s="23" t="inlineStr">
        <is>
          <t>Single Carrier (Band n50, 100MHz TDD)</t>
        </is>
      </c>
      <c r="Q174" s="27">
        <f>ROUNDUP(O174/'Methodology &amp; Assumptions'!$B$8, 0)</f>
        <v/>
      </c>
      <c r="R174" s="27" t="n">
        <v>1</v>
      </c>
      <c r="S174" s="26" t="n">
        <v>3.8</v>
      </c>
      <c r="T174" s="26" t="n">
        <v>1.78</v>
      </c>
      <c r="U174" s="11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26" t="n">
        <v>75.56</v>
      </c>
      <c r="W174" s="26" t="n">
        <v>67.73</v>
      </c>
      <c r="X174" s="26">
        <f>ROUND(('Methodology &amp; Assumptions'!$B$5*V174) + ('Methodology &amp; Assumptions'!$B$6*W174), 2)</f>
        <v/>
      </c>
      <c r="Y174" s="28" t="n">
        <v>23.7</v>
      </c>
      <c r="Z174" s="11" t="inlineStr">
        <is>
          <t>Priority Tier 1 (High Commercial &amp; Social)</t>
        </is>
      </c>
    </row>
    <row r="175">
      <c r="A175" s="23" t="n">
        <v>1</v>
      </c>
      <c r="B175" s="23" t="n">
        <v>171</v>
      </c>
      <c r="C175" s="23" t="n">
        <v>171</v>
      </c>
      <c r="D175" s="23" t="inlineStr">
        <is>
          <t>1381200024</t>
        </is>
      </c>
      <c r="E175" s="11" t="inlineStr">
        <is>
          <t>National Capital Region (NCR)</t>
        </is>
      </c>
      <c r="F175" s="11" t="inlineStr">
        <is>
          <t>Second District (Not a Province)</t>
        </is>
      </c>
      <c r="G175" s="11" t="inlineStr">
        <is>
          <t>City of Pasig</t>
        </is>
      </c>
      <c r="H175" s="11" t="inlineStr">
        <is>
          <t>Santa Cruz</t>
        </is>
      </c>
      <c r="I175" s="24" t="n">
        <v>14.563553</v>
      </c>
      <c r="J175" s="24" t="n">
        <v>121.078878</v>
      </c>
      <c r="K175" s="23" t="inlineStr">
        <is>
          <t>U</t>
        </is>
      </c>
      <c r="L175" s="25" t="n">
        <v>5821</v>
      </c>
      <c r="M175" s="26" t="n">
        <v>3.52</v>
      </c>
      <c r="N175" s="25">
        <f>ROUND(L175/M175, 0)</f>
        <v/>
      </c>
      <c r="O175" s="25">
        <f>ROUND(N175*'Methodology &amp; Assumptions'!$B$7, 0)</f>
        <v/>
      </c>
      <c r="P175" s="23" t="inlineStr">
        <is>
          <t>Single Carrier (Band n50, 100MHz TDD)</t>
        </is>
      </c>
      <c r="Q175" s="27">
        <f>ROUNDUP(O175/'Methodology &amp; Assumptions'!$B$8, 0)</f>
        <v/>
      </c>
      <c r="R175" s="27" t="n">
        <v>1</v>
      </c>
      <c r="S175" s="26" t="n">
        <v>0.39</v>
      </c>
      <c r="T175" s="26" t="n">
        <v>0.32</v>
      </c>
      <c r="U175" s="11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26" t="n">
        <v>69.09</v>
      </c>
      <c r="W175" s="26" t="n">
        <v>74.2</v>
      </c>
      <c r="X175" s="26">
        <f>ROUND(('Methodology &amp; Assumptions'!$B$5*V175) + ('Methodology &amp; Assumptions'!$B$6*W175), 2)</f>
        <v/>
      </c>
      <c r="Y175" s="28" t="n">
        <v>10.9</v>
      </c>
      <c r="Z175" s="11" t="inlineStr">
        <is>
          <t>Priority Tier 1 (High Commercial &amp; Social)</t>
        </is>
      </c>
    </row>
    <row r="176">
      <c r="A176" s="23" t="n">
        <v>1</v>
      </c>
      <c r="B176" s="23" t="n">
        <v>172</v>
      </c>
      <c r="C176" s="23" t="n">
        <v>172</v>
      </c>
      <c r="D176" s="23" t="inlineStr">
        <is>
          <t>0403425005</t>
        </is>
      </c>
      <c r="E176" s="11" t="inlineStr">
        <is>
          <t>Region IV-A (CALABARZON)</t>
        </is>
      </c>
      <c r="F176" s="11" t="inlineStr">
        <is>
          <t>Laguna</t>
        </is>
      </c>
      <c r="G176" s="11" t="inlineStr">
        <is>
          <t>City of San Pedro</t>
        </is>
      </c>
      <c r="H176" s="11" t="inlineStr">
        <is>
          <t>Landayan</t>
        </is>
      </c>
      <c r="I176" s="24" t="n">
        <v>14.352396</v>
      </c>
      <c r="J176" s="24" t="n">
        <v>121.067882</v>
      </c>
      <c r="K176" s="23" t="inlineStr">
        <is>
          <t>U</t>
        </is>
      </c>
      <c r="L176" s="25" t="n">
        <v>36431</v>
      </c>
      <c r="M176" s="26" t="n">
        <v>3.3</v>
      </c>
      <c r="N176" s="25">
        <f>ROUND(L176/M176, 0)</f>
        <v/>
      </c>
      <c r="O176" s="25">
        <f>ROUND(N176*'Methodology &amp; Assumptions'!$B$7, 0)</f>
        <v/>
      </c>
      <c r="P176" s="23" t="inlineStr">
        <is>
          <t>Single Carrier (Band n50, 100MHz TDD)</t>
        </is>
      </c>
      <c r="Q176" s="27">
        <f>ROUNDUP(O176/'Methodology &amp; Assumptions'!$B$8, 0)</f>
        <v/>
      </c>
      <c r="R176" s="27" t="n">
        <v>1</v>
      </c>
      <c r="S176" s="26" t="n">
        <v>0.48</v>
      </c>
      <c r="T176" s="26" t="n">
        <v>0.48</v>
      </c>
      <c r="U176" s="11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26" t="n">
        <v>77.34</v>
      </c>
      <c r="W176" s="26" t="n">
        <v>65.94</v>
      </c>
      <c r="X176" s="26">
        <f>ROUND(('Methodology &amp; Assumptions'!$B$5*V176) + ('Methodology &amp; Assumptions'!$B$6*W176), 2)</f>
        <v/>
      </c>
      <c r="Y176" s="28" t="n">
        <v>7.2</v>
      </c>
      <c r="Z176" s="11" t="inlineStr">
        <is>
          <t>Priority Tier 1 (High Commercial &amp; Social)</t>
        </is>
      </c>
    </row>
    <row r="177">
      <c r="A177" s="23" t="n">
        <v>1</v>
      </c>
      <c r="B177" s="23" t="n">
        <v>173</v>
      </c>
      <c r="C177" s="23" t="n">
        <v>173</v>
      </c>
      <c r="D177" s="23" t="inlineStr">
        <is>
          <t>0403425010</t>
        </is>
      </c>
      <c r="E177" s="11" t="inlineStr">
        <is>
          <t>Region IV-A (CALABARZON)</t>
        </is>
      </c>
      <c r="F177" s="11" t="inlineStr">
        <is>
          <t>Laguna</t>
        </is>
      </c>
      <c r="G177" s="11" t="inlineStr">
        <is>
          <t>City of San Pedro</t>
        </is>
      </c>
      <c r="H177" s="11" t="inlineStr">
        <is>
          <t>Nueva</t>
        </is>
      </c>
      <c r="I177" s="24" t="n">
        <v>14.361527</v>
      </c>
      <c r="J177" s="24" t="n">
        <v>121.055676</v>
      </c>
      <c r="K177" s="23" t="inlineStr">
        <is>
          <t>U</t>
        </is>
      </c>
      <c r="L177" s="25" t="n">
        <v>4698</v>
      </c>
      <c r="M177" s="26" t="n">
        <v>3.3</v>
      </c>
      <c r="N177" s="25">
        <f>ROUND(L177/M177, 0)</f>
        <v/>
      </c>
      <c r="O177" s="25">
        <f>ROUND(N177*'Methodology &amp; Assumptions'!$B$7, 0)</f>
        <v/>
      </c>
      <c r="P177" s="23" t="inlineStr">
        <is>
          <t>Single Carrier (Band n50, 100MHz TDD)</t>
        </is>
      </c>
      <c r="Q177" s="27">
        <f>ROUNDUP(O177/'Methodology &amp; Assumptions'!$B$8, 0)</f>
        <v/>
      </c>
      <c r="R177" s="27" t="n">
        <v>1</v>
      </c>
      <c r="S177" s="26" t="n">
        <v>1.62</v>
      </c>
      <c r="T177" s="26" t="n">
        <v>0.12</v>
      </c>
      <c r="U177" s="11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26" t="n">
        <v>75.34999999999999</v>
      </c>
      <c r="W177" s="26" t="n">
        <v>67.91</v>
      </c>
      <c r="X177" s="26">
        <f>ROUND(('Methodology &amp; Assumptions'!$B$5*V177) + ('Methodology &amp; Assumptions'!$B$6*W177), 2)</f>
        <v/>
      </c>
      <c r="Y177" s="28" t="n">
        <v>7.2</v>
      </c>
      <c r="Z177" s="11" t="inlineStr">
        <is>
          <t>Priority Tier 1 (High Commercial &amp; Social)</t>
        </is>
      </c>
    </row>
    <row r="178">
      <c r="A178" s="23" t="n">
        <v>1</v>
      </c>
      <c r="B178" s="23" t="n">
        <v>174</v>
      </c>
      <c r="C178" s="23" t="n">
        <v>174</v>
      </c>
      <c r="D178" s="23" t="inlineStr">
        <is>
          <t>0300803021</t>
        </is>
      </c>
      <c r="E178" s="11" t="inlineStr">
        <is>
          <t>Region III (Central Luzon)</t>
        </is>
      </c>
      <c r="F178" s="11" t="inlineStr">
        <is>
          <t>Bataan</t>
        </is>
      </c>
      <c r="G178" s="11" t="inlineStr">
        <is>
          <t>City of Balanga</t>
        </is>
      </c>
      <c r="H178" s="11" t="inlineStr">
        <is>
          <t>Tenejero</t>
        </is>
      </c>
      <c r="I178" s="24" t="n">
        <v>14.679486</v>
      </c>
      <c r="J178" s="24" t="n">
        <v>120.534529</v>
      </c>
      <c r="K178" s="23" t="inlineStr">
        <is>
          <t>U</t>
        </is>
      </c>
      <c r="L178" s="25" t="n">
        <v>9639</v>
      </c>
      <c r="M178" s="26" t="n">
        <v>3.6</v>
      </c>
      <c r="N178" s="25">
        <f>ROUND(L178/M178, 0)</f>
        <v/>
      </c>
      <c r="O178" s="25">
        <f>ROUND(N178*'Methodology &amp; Assumptions'!$B$7, 0)</f>
        <v/>
      </c>
      <c r="P178" s="23" t="inlineStr">
        <is>
          <t>Single Carrier (Band n50, 100MHz TDD)</t>
        </is>
      </c>
      <c r="Q178" s="27">
        <f>ROUNDUP(O178/'Methodology &amp; Assumptions'!$B$8, 0)</f>
        <v/>
      </c>
      <c r="R178" s="27" t="n">
        <v>1</v>
      </c>
      <c r="S178" s="26" t="n">
        <v>0.82</v>
      </c>
      <c r="T178" s="26" t="n">
        <v>0.77</v>
      </c>
      <c r="U178" s="11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26" t="n">
        <v>78.43000000000001</v>
      </c>
      <c r="W178" s="26" t="n">
        <v>64.81</v>
      </c>
      <c r="X178" s="26">
        <f>ROUND(('Methodology &amp; Assumptions'!$B$5*V178) + ('Methodology &amp; Assumptions'!$B$6*W178), 2)</f>
        <v/>
      </c>
      <c r="Y178" s="28" t="n">
        <v>8.300000000000001</v>
      </c>
      <c r="Z178" s="11" t="inlineStr">
        <is>
          <t>Priority Tier 1 (High Commercial &amp; Social)</t>
        </is>
      </c>
    </row>
    <row r="179">
      <c r="A179" s="23" t="n">
        <v>1</v>
      </c>
      <c r="B179" s="23" t="n">
        <v>175</v>
      </c>
      <c r="C179" s="23" t="n">
        <v>175</v>
      </c>
      <c r="D179" s="23" t="inlineStr">
        <is>
          <t>0402116002</t>
        </is>
      </c>
      <c r="E179" s="11" t="inlineStr">
        <is>
          <t>Region IV-A (CALABARZON)</t>
        </is>
      </c>
      <c r="F179" s="11" t="inlineStr">
        <is>
          <t>Cavite</t>
        </is>
      </c>
      <c r="G179" s="11" t="inlineStr">
        <is>
          <t>Noveleta</t>
        </is>
      </c>
      <c r="H179" s="11" t="inlineStr">
        <is>
          <t>Poblacion</t>
        </is>
      </c>
      <c r="I179" s="24" t="n">
        <v>14.425517</v>
      </c>
      <c r="J179" s="24" t="n">
        <v>120.879176</v>
      </c>
      <c r="K179" s="23" t="inlineStr">
        <is>
          <t>R</t>
        </is>
      </c>
      <c r="L179" s="25" t="n">
        <v>2291</v>
      </c>
      <c r="M179" s="26" t="n">
        <v>3.4</v>
      </c>
      <c r="N179" s="25">
        <f>ROUND(L179/M179, 0)</f>
        <v/>
      </c>
      <c r="O179" s="25">
        <f>ROUND(N179*'Methodology &amp; Assumptions'!$B$7, 0)</f>
        <v/>
      </c>
      <c r="P179" s="23" t="inlineStr">
        <is>
          <t>Single Carrier (Band n50, 100MHz TDD)</t>
        </is>
      </c>
      <c r="Q179" s="27">
        <f>ROUNDUP(O179/'Methodology &amp; Assumptions'!$B$8, 0)</f>
        <v/>
      </c>
      <c r="R179" s="27" t="n">
        <v>1</v>
      </c>
      <c r="S179" s="26" t="n">
        <v>0.61</v>
      </c>
      <c r="T179" s="26" t="n">
        <v>0.59</v>
      </c>
      <c r="U179" s="11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26" t="n">
        <v>80.83</v>
      </c>
      <c r="W179" s="26" t="n">
        <v>62.38</v>
      </c>
      <c r="X179" s="26">
        <f>ROUND(('Methodology &amp; Assumptions'!$B$5*V179) + ('Methodology &amp; Assumptions'!$B$6*W179), 2)</f>
        <v/>
      </c>
      <c r="Y179" s="28" t="n">
        <v>7.2</v>
      </c>
      <c r="Z179" s="11" t="inlineStr">
        <is>
          <t>Priority Tier 1 (High Commercial &amp; Social)</t>
        </is>
      </c>
    </row>
    <row r="180">
      <c r="A180" s="23" t="n">
        <v>1</v>
      </c>
      <c r="B180" s="23" t="n">
        <v>176</v>
      </c>
      <c r="C180" s="23" t="n">
        <v>176</v>
      </c>
      <c r="D180" s="23" t="inlineStr">
        <is>
          <t>0300809008</t>
        </is>
      </c>
      <c r="E180" s="11" t="inlineStr">
        <is>
          <t>Region III (Central Luzon)</t>
        </is>
      </c>
      <c r="F180" s="11" t="inlineStr">
        <is>
          <t>Bataan</t>
        </is>
      </c>
      <c r="G180" s="11" t="inlineStr">
        <is>
          <t>Orani</t>
        </is>
      </c>
      <c r="H180" s="11" t="inlineStr">
        <is>
          <t>Kaparangan</t>
        </is>
      </c>
      <c r="I180" s="24" t="n">
        <v>14.792652</v>
      </c>
      <c r="J180" s="24" t="n">
        <v>120.539556</v>
      </c>
      <c r="K180" s="23" t="inlineStr">
        <is>
          <t>R</t>
        </is>
      </c>
      <c r="L180" s="25" t="n">
        <v>3108</v>
      </c>
      <c r="M180" s="26" t="n">
        <v>3.6</v>
      </c>
      <c r="N180" s="25">
        <f>ROUND(L180/M180, 0)</f>
        <v/>
      </c>
      <c r="O180" s="25">
        <f>ROUND(N180*'Methodology &amp; Assumptions'!$B$7, 0)</f>
        <v/>
      </c>
      <c r="P180" s="23" t="inlineStr">
        <is>
          <t>Single Carrier (Band n50, 100MHz TDD)</t>
        </is>
      </c>
      <c r="Q180" s="27">
        <f>ROUNDUP(O180/'Methodology &amp; Assumptions'!$B$8, 0)</f>
        <v/>
      </c>
      <c r="R180" s="27" t="n">
        <v>1</v>
      </c>
      <c r="S180" s="26" t="n">
        <v>1.11</v>
      </c>
      <c r="T180" s="26" t="n">
        <v>0.18</v>
      </c>
      <c r="U180" s="11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26" t="n">
        <v>84.61</v>
      </c>
      <c r="W180" s="26" t="n">
        <v>58.55</v>
      </c>
      <c r="X180" s="26">
        <f>ROUND(('Methodology &amp; Assumptions'!$B$5*V180) + ('Methodology &amp; Assumptions'!$B$6*W180), 2)</f>
        <v/>
      </c>
      <c r="Y180" s="28" t="n">
        <v>8.300000000000001</v>
      </c>
      <c r="Z180" s="11" t="inlineStr">
        <is>
          <t>Priority Tier 1 (High Commercial &amp; Social)</t>
        </is>
      </c>
    </row>
    <row r="181">
      <c r="A181" s="23" t="n">
        <v>1</v>
      </c>
      <c r="B181" s="23" t="n">
        <v>177</v>
      </c>
      <c r="C181" s="23" t="n">
        <v>177</v>
      </c>
      <c r="D181" s="23" t="inlineStr">
        <is>
          <t>0300803001</t>
        </is>
      </c>
      <c r="E181" s="11" t="inlineStr">
        <is>
          <t>Region III (Central Luzon)</t>
        </is>
      </c>
      <c r="F181" s="11" t="inlineStr">
        <is>
          <t>Bataan</t>
        </is>
      </c>
      <c r="G181" s="11" t="inlineStr">
        <is>
          <t>City of Balanga</t>
        </is>
      </c>
      <c r="H181" s="11" t="inlineStr">
        <is>
          <t>Bagumbayan</t>
        </is>
      </c>
      <c r="I181" s="24" t="n">
        <v>14.679517</v>
      </c>
      <c r="J181" s="24" t="n">
        <v>120.545204</v>
      </c>
      <c r="K181" s="23" t="inlineStr">
        <is>
          <t>R</t>
        </is>
      </c>
      <c r="L181" s="25" t="n">
        <v>2159</v>
      </c>
      <c r="M181" s="26" t="n">
        <v>3.6</v>
      </c>
      <c r="N181" s="25">
        <f>ROUND(L181/M181, 0)</f>
        <v/>
      </c>
      <c r="O181" s="25">
        <f>ROUND(N181*'Methodology &amp; Assumptions'!$B$7, 0)</f>
        <v/>
      </c>
      <c r="P181" s="23" t="inlineStr">
        <is>
          <t>Single Carrier (Band n50, 100MHz TDD)</t>
        </is>
      </c>
      <c r="Q181" s="27">
        <f>ROUNDUP(O181/'Methodology &amp; Assumptions'!$B$8, 0)</f>
        <v/>
      </c>
      <c r="R181" s="27" t="n">
        <v>1</v>
      </c>
      <c r="S181" s="26" t="n">
        <v>0.46</v>
      </c>
      <c r="T181" s="26" t="n">
        <v>0.23</v>
      </c>
      <c r="U181" s="11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26" t="n">
        <v>78.52</v>
      </c>
      <c r="W181" s="26" t="n">
        <v>64.59</v>
      </c>
      <c r="X181" s="26">
        <f>ROUND(('Methodology &amp; Assumptions'!$B$5*V181) + ('Methodology &amp; Assumptions'!$B$6*W181), 2)</f>
        <v/>
      </c>
      <c r="Y181" s="28" t="n">
        <v>8.300000000000001</v>
      </c>
      <c r="Z181" s="11" t="inlineStr">
        <is>
          <t>Priority Tier 1 (High Commercial &amp; Social)</t>
        </is>
      </c>
    </row>
    <row r="182">
      <c r="A182" s="23" t="n">
        <v>1</v>
      </c>
      <c r="B182" s="23" t="n">
        <v>178</v>
      </c>
      <c r="C182" s="23" t="n">
        <v>178</v>
      </c>
      <c r="D182" s="23" t="inlineStr">
        <is>
          <t>1381400015</t>
        </is>
      </c>
      <c r="E182" s="11" t="inlineStr">
        <is>
          <t>National Capital Region (NCR)</t>
        </is>
      </c>
      <c r="F182" s="11" t="inlineStr">
        <is>
          <t>Second District (Not a Province)</t>
        </is>
      </c>
      <c r="G182" s="11" t="inlineStr">
        <is>
          <t>City of San Juan</t>
        </is>
      </c>
      <c r="H182" s="11" t="inlineStr">
        <is>
          <t>Rivera</t>
        </is>
      </c>
      <c r="I182" s="24" t="n">
        <v>14.60495</v>
      </c>
      <c r="J182" s="24" t="n">
        <v>121.0208</v>
      </c>
      <c r="K182" s="23" t="inlineStr">
        <is>
          <t>U</t>
        </is>
      </c>
      <c r="L182" s="25" t="n">
        <v>2439</v>
      </c>
      <c r="M182" s="26" t="n">
        <v>2.97</v>
      </c>
      <c r="N182" s="25">
        <f>ROUND(L182/M182, 0)</f>
        <v/>
      </c>
      <c r="O182" s="25">
        <f>ROUND(N182*'Methodology &amp; Assumptions'!$B$7, 0)</f>
        <v/>
      </c>
      <c r="P182" s="23" t="inlineStr">
        <is>
          <t>Single Carrier (Band n50, 100MHz TDD)</t>
        </is>
      </c>
      <c r="Q182" s="27">
        <f>ROUNDUP(O182/'Methodology &amp; Assumptions'!$B$8, 0)</f>
        <v/>
      </c>
      <c r="R182" s="27" t="n">
        <v>1</v>
      </c>
      <c r="S182" s="26" t="n">
        <v>1.48</v>
      </c>
      <c r="T182" s="26" t="n">
        <v>0.17</v>
      </c>
      <c r="U182" s="11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26" t="n">
        <v>65.03</v>
      </c>
      <c r="W182" s="26" t="n">
        <v>78.09</v>
      </c>
      <c r="X182" s="26">
        <f>ROUND(('Methodology &amp; Assumptions'!$B$5*V182) + ('Methodology &amp; Assumptions'!$B$6*W182), 2)</f>
        <v/>
      </c>
      <c r="Y182" s="28" t="n">
        <v>10.9</v>
      </c>
      <c r="Z182" s="11" t="inlineStr">
        <is>
          <t>Priority Tier 1 (High Commercial &amp; Social)</t>
        </is>
      </c>
    </row>
    <row r="183">
      <c r="A183" s="23" t="n">
        <v>1</v>
      </c>
      <c r="B183" s="23" t="n">
        <v>179</v>
      </c>
      <c r="C183" s="23" t="n">
        <v>179</v>
      </c>
      <c r="D183" s="23" t="inlineStr">
        <is>
          <t>1380601072</t>
        </is>
      </c>
      <c r="E183" s="11" t="inlineStr">
        <is>
          <t>National Capital Region (NCR)</t>
        </is>
      </c>
      <c r="F183" s="11" t="inlineStr">
        <is>
          <t>First District (Not a Province)</t>
        </is>
      </c>
      <c r="G183" s="11" t="inlineStr">
        <is>
          <t>City of Manila</t>
        </is>
      </c>
      <c r="H183" s="11" t="inlineStr">
        <is>
          <t>Barangay 72</t>
        </is>
      </c>
      <c r="I183" s="24" t="n">
        <v>14.610754</v>
      </c>
      <c r="J183" s="24" t="n">
        <v>120.963102</v>
      </c>
      <c r="K183" s="23" t="inlineStr">
        <is>
          <t>U</t>
        </is>
      </c>
      <c r="L183" s="25" t="n">
        <v>3743</v>
      </c>
      <c r="M183" s="26" t="n">
        <v>4.31</v>
      </c>
      <c r="N183" s="25">
        <f>ROUND(L183/M183, 0)</f>
        <v/>
      </c>
      <c r="O183" s="25">
        <f>ROUND(N183*'Methodology &amp; Assumptions'!$B$7, 0)</f>
        <v/>
      </c>
      <c r="P183" s="23" t="inlineStr">
        <is>
          <t>Single Carrier (Band n50, 100MHz TDD)</t>
        </is>
      </c>
      <c r="Q183" s="27">
        <f>ROUNDUP(O183/'Methodology &amp; Assumptions'!$B$8, 0)</f>
        <v/>
      </c>
      <c r="R183" s="27" t="n">
        <v>1</v>
      </c>
      <c r="S183" s="26" t="n">
        <v>0.8</v>
      </c>
      <c r="T183" s="26" t="n">
        <v>0.65</v>
      </c>
      <c r="U183" s="11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26" t="n">
        <v>69.05</v>
      </c>
      <c r="W183" s="26" t="n">
        <v>74.05</v>
      </c>
      <c r="X183" s="26">
        <f>ROUND(('Methodology &amp; Assumptions'!$B$5*V183) + ('Methodology &amp; Assumptions'!$B$6*W183), 2)</f>
        <v/>
      </c>
      <c r="Y183" s="28" t="n">
        <v>10.9</v>
      </c>
      <c r="Z183" s="11" t="inlineStr">
        <is>
          <t>Priority Tier 1 (High Commercial &amp; Social)</t>
        </is>
      </c>
    </row>
    <row r="184">
      <c r="A184" s="23" t="n">
        <v>1</v>
      </c>
      <c r="B184" s="23" t="n">
        <v>180</v>
      </c>
      <c r="C184" s="23" t="n">
        <v>180</v>
      </c>
      <c r="D184" s="23" t="inlineStr">
        <is>
          <t>0301414002</t>
        </is>
      </c>
      <c r="E184" s="11" t="inlineStr">
        <is>
          <t>Region III (Central Luzon)</t>
        </is>
      </c>
      <c r="F184" s="11" t="inlineStr">
        <is>
          <t>Bulacan</t>
        </is>
      </c>
      <c r="G184" s="11" t="inlineStr">
        <is>
          <t>Obando</t>
        </is>
      </c>
      <c r="H184" s="11" t="inlineStr">
        <is>
          <t>Catanghalan</t>
        </is>
      </c>
      <c r="I184" s="24" t="n">
        <v>14.70638</v>
      </c>
      <c r="J184" s="24" t="n">
        <v>120.94103</v>
      </c>
      <c r="K184" s="23" t="inlineStr">
        <is>
          <t>U</t>
        </is>
      </c>
      <c r="L184" s="25" t="n">
        <v>3385</v>
      </c>
      <c r="M184" s="26" t="n">
        <v>3.5</v>
      </c>
      <c r="N184" s="25">
        <f>ROUND(L184/M184, 0)</f>
        <v/>
      </c>
      <c r="O184" s="25">
        <f>ROUND(N184*'Methodology &amp; Assumptions'!$B$7, 0)</f>
        <v/>
      </c>
      <c r="P184" s="23" t="inlineStr">
        <is>
          <t>Single Carrier (Band n50, 100MHz TDD)</t>
        </is>
      </c>
      <c r="Q184" s="27">
        <f>ROUNDUP(O184/'Methodology &amp; Assumptions'!$B$8, 0)</f>
        <v/>
      </c>
      <c r="R184" s="27" t="n">
        <v>1</v>
      </c>
      <c r="S184" s="26" t="n">
        <v>0.58</v>
      </c>
      <c r="T184" s="26" t="n">
        <v>1.62</v>
      </c>
      <c r="U184" s="11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26" t="n">
        <v>78.43000000000001</v>
      </c>
      <c r="W184" s="26" t="n">
        <v>64.64</v>
      </c>
      <c r="X184" s="26">
        <f>ROUND(('Methodology &amp; Assumptions'!$B$5*V184) + ('Methodology &amp; Assumptions'!$B$6*W184), 2)</f>
        <v/>
      </c>
      <c r="Y184" s="28" t="n">
        <v>8.300000000000001</v>
      </c>
      <c r="Z184" s="11" t="inlineStr">
        <is>
          <t>Priority Tier 1 (High Commercial &amp; Social)</t>
        </is>
      </c>
    </row>
    <row r="185">
      <c r="A185" s="23" t="n">
        <v>1</v>
      </c>
      <c r="B185" s="23" t="n">
        <v>181</v>
      </c>
      <c r="C185" s="23" t="n">
        <v>181</v>
      </c>
      <c r="D185" s="23" t="inlineStr">
        <is>
          <t>0405811010</t>
        </is>
      </c>
      <c r="E185" s="11" t="inlineStr">
        <is>
          <t>Region IV-A (CALABARZON)</t>
        </is>
      </c>
      <c r="F185" s="11" t="inlineStr">
        <is>
          <t>Rizal</t>
        </is>
      </c>
      <c r="G185" s="11" t="inlineStr">
        <is>
          <t>San Mateo</t>
        </is>
      </c>
      <c r="H185" s="11" t="inlineStr">
        <is>
          <t>Santa Ana</t>
        </is>
      </c>
      <c r="I185" s="24" t="n">
        <v>14.692137</v>
      </c>
      <c r="J185" s="24" t="n">
        <v>121.115327</v>
      </c>
      <c r="K185" s="23" t="inlineStr">
        <is>
          <t>U</t>
        </is>
      </c>
      <c r="L185" s="25" t="n">
        <v>10398</v>
      </c>
      <c r="M185" s="26" t="n">
        <v>3.6</v>
      </c>
      <c r="N185" s="25">
        <f>ROUND(L185/M185, 0)</f>
        <v/>
      </c>
      <c r="O185" s="25">
        <f>ROUND(N185*'Methodology &amp; Assumptions'!$B$7, 0)</f>
        <v/>
      </c>
      <c r="P185" s="23" t="inlineStr">
        <is>
          <t>Single Carrier (Band n50, 100MHz TDD)</t>
        </is>
      </c>
      <c r="Q185" s="27">
        <f>ROUNDUP(O185/'Methodology &amp; Assumptions'!$B$8, 0)</f>
        <v/>
      </c>
      <c r="R185" s="27" t="n">
        <v>1</v>
      </c>
      <c r="S185" s="26" t="n">
        <v>0.59</v>
      </c>
      <c r="T185" s="26" t="n">
        <v>0.35</v>
      </c>
      <c r="U185" s="11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26" t="n">
        <v>78.26000000000001</v>
      </c>
      <c r="W185" s="26" t="n">
        <v>64.81999999999999</v>
      </c>
      <c r="X185" s="26">
        <f>ROUND(('Methodology &amp; Assumptions'!$B$5*V185) + ('Methodology &amp; Assumptions'!$B$6*W185), 2)</f>
        <v/>
      </c>
      <c r="Y185" s="28" t="n">
        <v>7.2</v>
      </c>
      <c r="Z185" s="11" t="inlineStr">
        <is>
          <t>Priority Tier 1 (High Commercial &amp; Social)</t>
        </is>
      </c>
    </row>
    <row r="186">
      <c r="A186" s="23" t="n">
        <v>1</v>
      </c>
      <c r="B186" s="23" t="n">
        <v>182</v>
      </c>
      <c r="C186" s="23" t="n">
        <v>182</v>
      </c>
      <c r="D186" s="23" t="inlineStr">
        <is>
          <t>0405811006</t>
        </is>
      </c>
      <c r="E186" s="11" t="inlineStr">
        <is>
          <t>Region IV-A (CALABARZON)</t>
        </is>
      </c>
      <c r="F186" s="11" t="inlineStr">
        <is>
          <t>Rizal</t>
        </is>
      </c>
      <c r="G186" s="11" t="inlineStr">
        <is>
          <t>San Mateo</t>
        </is>
      </c>
      <c r="H186" s="11" t="inlineStr">
        <is>
          <t>Guitnang Bayan II</t>
        </is>
      </c>
      <c r="I186" s="24" t="n">
        <v>14.697421</v>
      </c>
      <c r="J186" s="24" t="n">
        <v>121.123545</v>
      </c>
      <c r="K186" s="23" t="inlineStr">
        <is>
          <t>U</t>
        </is>
      </c>
      <c r="L186" s="25" t="n">
        <v>18821</v>
      </c>
      <c r="M186" s="26" t="n">
        <v>3.6</v>
      </c>
      <c r="N186" s="25">
        <f>ROUND(L186/M186, 0)</f>
        <v/>
      </c>
      <c r="O186" s="25">
        <f>ROUND(N186*'Methodology &amp; Assumptions'!$B$7, 0)</f>
        <v/>
      </c>
      <c r="P186" s="23" t="inlineStr">
        <is>
          <t>Single Carrier (Band n50, 100MHz TDD)</t>
        </is>
      </c>
      <c r="Q186" s="27">
        <f>ROUNDUP(O186/'Methodology &amp; Assumptions'!$B$8, 0)</f>
        <v/>
      </c>
      <c r="R186" s="27" t="n">
        <v>1</v>
      </c>
      <c r="S186" s="26" t="n">
        <v>1.42</v>
      </c>
      <c r="T186" s="26" t="n">
        <v>0.27</v>
      </c>
      <c r="U186" s="11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26" t="n">
        <v>76.06999999999999</v>
      </c>
      <c r="W186" s="26" t="n">
        <v>67</v>
      </c>
      <c r="X186" s="26">
        <f>ROUND(('Methodology &amp; Assumptions'!$B$5*V186) + ('Methodology &amp; Assumptions'!$B$6*W186), 2)</f>
        <v/>
      </c>
      <c r="Y186" s="28" t="n">
        <v>7.2</v>
      </c>
      <c r="Z186" s="11" t="inlineStr">
        <is>
          <t>Priority Tier 1 (High Commercial &amp; Social)</t>
        </is>
      </c>
    </row>
    <row r="187">
      <c r="A187" s="23" t="n">
        <v>1</v>
      </c>
      <c r="B187" s="23" t="n">
        <v>183</v>
      </c>
      <c r="C187" s="23" t="n">
        <v>183</v>
      </c>
      <c r="D187" s="23" t="inlineStr">
        <is>
          <t>0405801007</t>
        </is>
      </c>
      <c r="E187" s="11" t="inlineStr">
        <is>
          <t>Region IV-A (CALABARZON)</t>
        </is>
      </c>
      <c r="F187" s="11" t="inlineStr">
        <is>
          <t>Rizal</t>
        </is>
      </c>
      <c r="G187" s="11" t="inlineStr">
        <is>
          <t>Angono</t>
        </is>
      </c>
      <c r="H187" s="11" t="inlineStr">
        <is>
          <t>Poblacion Ibaba</t>
        </is>
      </c>
      <c r="I187" s="24" t="n">
        <v>14.52369</v>
      </c>
      <c r="J187" s="24" t="n">
        <v>121.1491</v>
      </c>
      <c r="K187" s="23" t="inlineStr">
        <is>
          <t>R</t>
        </is>
      </c>
      <c r="L187" s="25" t="n">
        <v>3472</v>
      </c>
      <c r="M187" s="26" t="n">
        <v>3.6</v>
      </c>
      <c r="N187" s="25">
        <f>ROUND(L187/M187, 0)</f>
        <v/>
      </c>
      <c r="O187" s="25">
        <f>ROUND(N187*'Methodology &amp; Assumptions'!$B$7, 0)</f>
        <v/>
      </c>
      <c r="P187" s="23" t="inlineStr">
        <is>
          <t>Single Carrier (Band n50, 100MHz TDD)</t>
        </is>
      </c>
      <c r="Q187" s="27">
        <f>ROUNDUP(O187/'Methodology &amp; Assumptions'!$B$8, 0)</f>
        <v/>
      </c>
      <c r="R187" s="27" t="n">
        <v>1</v>
      </c>
      <c r="S187" s="26" t="n">
        <v>0.74</v>
      </c>
      <c r="T187" s="26" t="n">
        <v>0.42</v>
      </c>
      <c r="U187" s="11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26" t="n">
        <v>85.45999999999999</v>
      </c>
      <c r="W187" s="26" t="n">
        <v>57.61</v>
      </c>
      <c r="X187" s="26">
        <f>ROUND(('Methodology &amp; Assumptions'!$B$5*V187) + ('Methodology &amp; Assumptions'!$B$6*W187), 2)</f>
        <v/>
      </c>
      <c r="Y187" s="28" t="n">
        <v>7.2</v>
      </c>
      <c r="Z187" s="11" t="inlineStr">
        <is>
          <t>Priority Tier 1 (High Commercial &amp; Social)</t>
        </is>
      </c>
    </row>
    <row r="188">
      <c r="A188" s="23" t="n">
        <v>1</v>
      </c>
      <c r="B188" s="23" t="n">
        <v>184</v>
      </c>
      <c r="C188" s="23" t="n">
        <v>184</v>
      </c>
      <c r="D188" s="23" t="inlineStr">
        <is>
          <t>0402106048</t>
        </is>
      </c>
      <c r="E188" s="11" t="inlineStr">
        <is>
          <t>Region IV-A (CALABARZON)</t>
        </is>
      </c>
      <c r="F188" s="11" t="inlineStr">
        <is>
          <t>Cavite</t>
        </is>
      </c>
      <c r="G188" s="11" t="inlineStr">
        <is>
          <t>City of Dasmariñas</t>
        </is>
      </c>
      <c r="H188" s="11" t="inlineStr">
        <is>
          <t>Burol II</t>
        </is>
      </c>
      <c r="I188" s="24" t="n">
        <v>14.323933</v>
      </c>
      <c r="J188" s="24" t="n">
        <v>120.964285</v>
      </c>
      <c r="K188" s="23" t="inlineStr">
        <is>
          <t>U</t>
        </is>
      </c>
      <c r="L188" s="25" t="n">
        <v>6343</v>
      </c>
      <c r="M188" s="26" t="n">
        <v>3.4</v>
      </c>
      <c r="N188" s="25">
        <f>ROUND(L188/M188, 0)</f>
        <v/>
      </c>
      <c r="O188" s="25">
        <f>ROUND(N188*'Methodology &amp; Assumptions'!$B$7, 0)</f>
        <v/>
      </c>
      <c r="P188" s="23" t="inlineStr">
        <is>
          <t>Single Carrier (Band n50, 100MHz TDD)</t>
        </is>
      </c>
      <c r="Q188" s="27">
        <f>ROUNDUP(O188/'Methodology &amp; Assumptions'!$B$8, 0)</f>
        <v/>
      </c>
      <c r="R188" s="27" t="n">
        <v>1</v>
      </c>
      <c r="S188" s="26" t="n">
        <v>1.29</v>
      </c>
      <c r="T188" s="26" t="n">
        <v>2.73</v>
      </c>
      <c r="U188" s="11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26" t="n">
        <v>73.06</v>
      </c>
      <c r="W188" s="26" t="n">
        <v>70.01000000000001</v>
      </c>
      <c r="X188" s="26">
        <f>ROUND(('Methodology &amp; Assumptions'!$B$5*V188) + ('Methodology &amp; Assumptions'!$B$6*W188), 2)</f>
        <v/>
      </c>
      <c r="Y188" s="28" t="n">
        <v>7.2</v>
      </c>
      <c r="Z188" s="11" t="inlineStr">
        <is>
          <t>Priority Tier 1 (High Commercial &amp; Social)</t>
        </is>
      </c>
    </row>
    <row r="189">
      <c r="A189" s="23" t="n">
        <v>1</v>
      </c>
      <c r="B189" s="23" t="n">
        <v>185</v>
      </c>
      <c r="C189" s="23" t="n">
        <v>185</v>
      </c>
      <c r="D189" s="23" t="inlineStr">
        <is>
          <t>0401019005</t>
        </is>
      </c>
      <c r="E189" s="11" t="inlineStr">
        <is>
          <t>Region IV-A (CALABARZON)</t>
        </is>
      </c>
      <c r="F189" s="11" t="inlineStr">
        <is>
          <t>Batangas</t>
        </is>
      </c>
      <c r="G189" s="11" t="inlineStr">
        <is>
          <t>Nasugbu</t>
        </is>
      </c>
      <c r="H189" s="11" t="inlineStr">
        <is>
          <t>Barangay 11</t>
        </is>
      </c>
      <c r="I189" s="24" t="n">
        <v>14.074686</v>
      </c>
      <c r="J189" s="24" t="n">
        <v>120.631135</v>
      </c>
      <c r="K189" s="23" t="inlineStr">
        <is>
          <t>U</t>
        </is>
      </c>
      <c r="L189" s="25" t="n">
        <v>3410</v>
      </c>
      <c r="M189" s="26" t="n">
        <v>3.6</v>
      </c>
      <c r="N189" s="25">
        <f>ROUND(L189/M189, 0)</f>
        <v/>
      </c>
      <c r="O189" s="25">
        <f>ROUND(N189*'Methodology &amp; Assumptions'!$B$7, 0)</f>
        <v/>
      </c>
      <c r="P189" s="23" t="inlineStr">
        <is>
          <t>Single Carrier (Band n50, 100MHz TDD)</t>
        </is>
      </c>
      <c r="Q189" s="27">
        <f>ROUNDUP(O189/'Methodology &amp; Assumptions'!$B$8, 0)</f>
        <v/>
      </c>
      <c r="R189" s="27" t="n">
        <v>1</v>
      </c>
      <c r="S189" s="26" t="n">
        <v>0.54</v>
      </c>
      <c r="T189" s="26" t="n">
        <v>0.15</v>
      </c>
      <c r="U189" s="11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26" t="n">
        <v>78.26000000000001</v>
      </c>
      <c r="W189" s="26" t="n">
        <v>64.78</v>
      </c>
      <c r="X189" s="26">
        <f>ROUND(('Methodology &amp; Assumptions'!$B$5*V189) + ('Methodology &amp; Assumptions'!$B$6*W189), 2)</f>
        <v/>
      </c>
      <c r="Y189" s="28" t="n">
        <v>7.2</v>
      </c>
      <c r="Z189" s="11" t="inlineStr">
        <is>
          <t>Priority Tier 1 (High Commercial &amp; Social)</t>
        </is>
      </c>
    </row>
    <row r="190">
      <c r="A190" s="23" t="n">
        <v>1</v>
      </c>
      <c r="B190" s="23" t="n">
        <v>186</v>
      </c>
      <c r="C190" s="23" t="n">
        <v>186</v>
      </c>
      <c r="D190" s="23" t="inlineStr">
        <is>
          <t>0403425011</t>
        </is>
      </c>
      <c r="E190" s="11" t="inlineStr">
        <is>
          <t>Region IV-A (CALABARZON)</t>
        </is>
      </c>
      <c r="F190" s="11" t="inlineStr">
        <is>
          <t>Laguna</t>
        </is>
      </c>
      <c r="G190" s="11" t="inlineStr">
        <is>
          <t>City of San Pedro</t>
        </is>
      </c>
      <c r="H190" s="11" t="inlineStr">
        <is>
          <t>Poblacion</t>
        </is>
      </c>
      <c r="I190" s="24" t="n">
        <v>14.363389</v>
      </c>
      <c r="J190" s="24" t="n">
        <v>121.060028</v>
      </c>
      <c r="K190" s="23" t="inlineStr">
        <is>
          <t>U</t>
        </is>
      </c>
      <c r="L190" s="25" t="n">
        <v>6326</v>
      </c>
      <c r="M190" s="26" t="n">
        <v>3.3</v>
      </c>
      <c r="N190" s="25">
        <f>ROUND(L190/M190, 0)</f>
        <v/>
      </c>
      <c r="O190" s="25">
        <f>ROUND(N190*'Methodology &amp; Assumptions'!$B$7, 0)</f>
        <v/>
      </c>
      <c r="P190" s="23" t="inlineStr">
        <is>
          <t>Single Carrier (Band n50, 100MHz TDD)</t>
        </is>
      </c>
      <c r="Q190" s="27">
        <f>ROUNDUP(O190/'Methodology &amp; Assumptions'!$B$8, 0)</f>
        <v/>
      </c>
      <c r="R190" s="27" t="n">
        <v>1</v>
      </c>
      <c r="S190" s="26" t="n">
        <v>1.59</v>
      </c>
      <c r="T190" s="26" t="n">
        <v>0.34</v>
      </c>
      <c r="U190" s="11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26" t="n">
        <v>75.44</v>
      </c>
      <c r="W190" s="26" t="n">
        <v>67.59999999999999</v>
      </c>
      <c r="X190" s="26">
        <f>ROUND(('Methodology &amp; Assumptions'!$B$5*V190) + ('Methodology &amp; Assumptions'!$B$6*W190), 2)</f>
        <v/>
      </c>
      <c r="Y190" s="28" t="n">
        <v>7.2</v>
      </c>
      <c r="Z190" s="11" t="inlineStr">
        <is>
          <t>Priority Tier 1 (High Commercial &amp; Social)</t>
        </is>
      </c>
    </row>
    <row r="191">
      <c r="A191" s="23" t="n">
        <v>1</v>
      </c>
      <c r="B191" s="23" t="n">
        <v>187</v>
      </c>
      <c r="C191" s="23" t="n">
        <v>187</v>
      </c>
      <c r="D191" s="23" t="inlineStr">
        <is>
          <t>1380601020</t>
        </is>
      </c>
      <c r="E191" s="11" t="inlineStr">
        <is>
          <t>National Capital Region (NCR)</t>
        </is>
      </c>
      <c r="F191" s="11" t="inlineStr">
        <is>
          <t>First District (Not a Province)</t>
        </is>
      </c>
      <c r="G191" s="11" t="inlineStr">
        <is>
          <t>City of Manila</t>
        </is>
      </c>
      <c r="H191" s="11" t="inlineStr">
        <is>
          <t>Barangay 20</t>
        </is>
      </c>
      <c r="I191" s="24" t="n">
        <v>14.598851</v>
      </c>
      <c r="J191" s="24" t="n">
        <v>120.956153</v>
      </c>
      <c r="K191" s="23" t="inlineStr">
        <is>
          <t>U</t>
        </is>
      </c>
      <c r="L191" s="25" t="n">
        <v>43691</v>
      </c>
      <c r="M191" s="26" t="n">
        <v>4.08</v>
      </c>
      <c r="N191" s="25">
        <f>ROUND(L191/M191, 0)</f>
        <v/>
      </c>
      <c r="O191" s="25">
        <f>ROUND(N191*'Methodology &amp; Assumptions'!$B$7, 0)</f>
        <v/>
      </c>
      <c r="P191" s="23" t="inlineStr">
        <is>
          <t>Single Carrier (Band n50, 100MHz TDD)</t>
        </is>
      </c>
      <c r="Q191" s="27">
        <f>ROUNDUP(O191/'Methodology &amp; Assumptions'!$B$8, 0)</f>
        <v/>
      </c>
      <c r="R191" s="27" t="n">
        <v>1</v>
      </c>
      <c r="S191" s="26" t="n">
        <v>0.79</v>
      </c>
      <c r="T191" s="26" t="n">
        <v>1.7</v>
      </c>
      <c r="U191" s="11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26" t="n">
        <v>66.88</v>
      </c>
      <c r="W191" s="26" t="n">
        <v>76.14</v>
      </c>
      <c r="X191" s="26">
        <f>ROUND(('Methodology &amp; Assumptions'!$B$5*V191) + ('Methodology &amp; Assumptions'!$B$6*W191), 2)</f>
        <v/>
      </c>
      <c r="Y191" s="28" t="n">
        <v>10.9</v>
      </c>
      <c r="Z191" s="11" t="inlineStr">
        <is>
          <t>Priority Tier 1 (High Commercial &amp; Social)</t>
        </is>
      </c>
    </row>
    <row r="192">
      <c r="A192" s="23" t="n">
        <v>1</v>
      </c>
      <c r="B192" s="23" t="n">
        <v>188</v>
      </c>
      <c r="C192" s="23" t="n">
        <v>188</v>
      </c>
      <c r="D192" s="23" t="inlineStr">
        <is>
          <t>0201516034</t>
        </is>
      </c>
      <c r="E192" s="11" t="inlineStr">
        <is>
          <t>Region II (Cagayan Valley)</t>
        </is>
      </c>
      <c r="F192" s="11" t="inlineStr">
        <is>
          <t>Cagayan</t>
        </is>
      </c>
      <c r="G192" s="11" t="inlineStr">
        <is>
          <t>Lal-Lo</t>
        </is>
      </c>
      <c r="H192" s="11" t="inlineStr">
        <is>
          <t>Sta. Maria</t>
        </is>
      </c>
      <c r="I192" s="24" t="n">
        <v>18.0849</v>
      </c>
      <c r="J192" s="24" t="n">
        <v>121.3945</v>
      </c>
      <c r="K192" s="23" t="inlineStr">
        <is>
          <t>R</t>
        </is>
      </c>
      <c r="L192" s="25" t="n">
        <v>2451</v>
      </c>
      <c r="M192" s="26" t="n">
        <v>3.9</v>
      </c>
      <c r="N192" s="25">
        <f>ROUND(L192/M192, 0)</f>
        <v/>
      </c>
      <c r="O192" s="25">
        <f>ROUND(N192*'Methodology &amp; Assumptions'!$B$7, 0)</f>
        <v/>
      </c>
      <c r="P192" s="23" t="inlineStr">
        <is>
          <t>Single Carrier (Band n50, 100MHz TDD)</t>
        </is>
      </c>
      <c r="Q192" s="27">
        <f>ROUNDUP(O192/'Methodology &amp; Assumptions'!$B$8, 0)</f>
        <v/>
      </c>
      <c r="R192" s="27" t="n">
        <v>1</v>
      </c>
      <c r="S192" s="26" t="n">
        <v>6.82</v>
      </c>
      <c r="T192" s="26" t="n">
        <v>5.29</v>
      </c>
      <c r="U192" s="11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26" t="n">
        <v>61.76</v>
      </c>
      <c r="W192" s="26" t="n">
        <v>81.25</v>
      </c>
      <c r="X192" s="26">
        <f>ROUND(('Methodology &amp; Assumptions'!$B$5*V192) + ('Methodology &amp; Assumptions'!$B$6*W192), 2)</f>
        <v/>
      </c>
      <c r="Y192" s="28" t="n">
        <v>8.300000000000001</v>
      </c>
      <c r="Z192" s="11" t="inlineStr">
        <is>
          <t>Priority Tier 1 (High Commercial &amp; Social)</t>
        </is>
      </c>
    </row>
    <row r="193">
      <c r="A193" s="23" t="n">
        <v>1</v>
      </c>
      <c r="B193" s="23" t="n">
        <v>189</v>
      </c>
      <c r="C193" s="23" t="n">
        <v>189</v>
      </c>
      <c r="D193" s="23" t="inlineStr">
        <is>
          <t>1381200010</t>
        </is>
      </c>
      <c r="E193" s="11" t="inlineStr">
        <is>
          <t>National Capital Region (NCR)</t>
        </is>
      </c>
      <c r="F193" s="11" t="inlineStr">
        <is>
          <t>Second District (Not a Province)</t>
        </is>
      </c>
      <c r="G193" s="11" t="inlineStr">
        <is>
          <t>City of Pasig</t>
        </is>
      </c>
      <c r="H193" s="11" t="inlineStr">
        <is>
          <t>Malinao</t>
        </is>
      </c>
      <c r="I193" s="24" t="n">
        <v>14.557997</v>
      </c>
      <c r="J193" s="24" t="n">
        <v>121.076086</v>
      </c>
      <c r="K193" s="23" t="inlineStr">
        <is>
          <t>U</t>
        </is>
      </c>
      <c r="L193" s="25" t="n">
        <v>5370</v>
      </c>
      <c r="M193" s="26" t="n">
        <v>3.65</v>
      </c>
      <c r="N193" s="25">
        <f>ROUND(L193/M193, 0)</f>
        <v/>
      </c>
      <c r="O193" s="25">
        <f>ROUND(N193*'Methodology &amp; Assumptions'!$B$7, 0)</f>
        <v/>
      </c>
      <c r="P193" s="23" t="inlineStr">
        <is>
          <t>Single Carrier (Band n50, 100MHz TDD)</t>
        </is>
      </c>
      <c r="Q193" s="27">
        <f>ROUNDUP(O193/'Methodology &amp; Assumptions'!$B$8, 0)</f>
        <v/>
      </c>
      <c r="R193" s="27" t="n">
        <v>1</v>
      </c>
      <c r="S193" s="26" t="n">
        <v>0.62</v>
      </c>
      <c r="T193" s="26" t="n">
        <v>0.23</v>
      </c>
      <c r="U193" s="11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26" t="n">
        <v>69.09</v>
      </c>
      <c r="W193" s="26" t="n">
        <v>73.88</v>
      </c>
      <c r="X193" s="26">
        <f>ROUND(('Methodology &amp; Assumptions'!$B$5*V193) + ('Methodology &amp; Assumptions'!$B$6*W193), 2)</f>
        <v/>
      </c>
      <c r="Y193" s="28" t="n">
        <v>10.9</v>
      </c>
      <c r="Z193" s="11" t="inlineStr">
        <is>
          <t>Priority Tier 1 (High Commercial &amp; Social)</t>
        </is>
      </c>
    </row>
    <row r="194">
      <c r="A194" s="23" t="n">
        <v>1</v>
      </c>
      <c r="B194" s="23" t="n">
        <v>190</v>
      </c>
      <c r="C194" s="23" t="n">
        <v>190</v>
      </c>
      <c r="D194" s="23" t="inlineStr">
        <is>
          <t>0403403021</t>
        </is>
      </c>
      <c r="E194" s="11" t="inlineStr">
        <is>
          <t>Region IV-A (CALABARZON)</t>
        </is>
      </c>
      <c r="F194" s="11" t="inlineStr">
        <is>
          <t>Laguna</t>
        </is>
      </c>
      <c r="G194" s="11" t="inlineStr">
        <is>
          <t>City of Biñan</t>
        </is>
      </c>
      <c r="H194" s="11" t="inlineStr">
        <is>
          <t>San Vicente</t>
        </is>
      </c>
      <c r="I194" s="24" t="n">
        <v>14.330189</v>
      </c>
      <c r="J194" s="24" t="n">
        <v>121.080183</v>
      </c>
      <c r="K194" s="23" t="inlineStr">
        <is>
          <t>U</t>
        </is>
      </c>
      <c r="L194" s="25" t="n">
        <v>10124</v>
      </c>
      <c r="M194" s="26" t="n">
        <v>3.3</v>
      </c>
      <c r="N194" s="25">
        <f>ROUND(L194/M194, 0)</f>
        <v/>
      </c>
      <c r="O194" s="25">
        <f>ROUND(N194*'Methodology &amp; Assumptions'!$B$7, 0)</f>
        <v/>
      </c>
      <c r="P194" s="23" t="inlineStr">
        <is>
          <t>Single Carrier (Band n50, 100MHz TDD)</t>
        </is>
      </c>
      <c r="Q194" s="27">
        <f>ROUNDUP(O194/'Methodology &amp; Assumptions'!$B$8, 0)</f>
        <v/>
      </c>
      <c r="R194" s="27" t="n">
        <v>1</v>
      </c>
      <c r="S194" s="26" t="n">
        <v>1.05</v>
      </c>
      <c r="T194" s="26" t="n">
        <v>0.4</v>
      </c>
      <c r="U194" s="11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26" t="n">
        <v>77.45</v>
      </c>
      <c r="W194" s="26" t="n">
        <v>65.48999999999999</v>
      </c>
      <c r="X194" s="26">
        <f>ROUND(('Methodology &amp; Assumptions'!$B$5*V194) + ('Methodology &amp; Assumptions'!$B$6*W194), 2)</f>
        <v/>
      </c>
      <c r="Y194" s="28" t="n">
        <v>7.2</v>
      </c>
      <c r="Z194" s="11" t="inlineStr">
        <is>
          <t>Priority Tier 1 (High Commercial &amp; Social)</t>
        </is>
      </c>
    </row>
    <row r="195">
      <c r="A195" s="23" t="n">
        <v>1</v>
      </c>
      <c r="B195" s="23" t="n">
        <v>191</v>
      </c>
      <c r="C195" s="23" t="n">
        <v>191</v>
      </c>
      <c r="D195" s="23" t="inlineStr">
        <is>
          <t>0402106074</t>
        </is>
      </c>
      <c r="E195" s="11" t="inlineStr">
        <is>
          <t>Region IV-A (CALABARZON)</t>
        </is>
      </c>
      <c r="F195" s="11" t="inlineStr">
        <is>
          <t>Cavite</t>
        </is>
      </c>
      <c r="G195" s="11" t="inlineStr">
        <is>
          <t>City of Dasmariñas</t>
        </is>
      </c>
      <c r="H195" s="11" t="inlineStr">
        <is>
          <t>San Miguel II</t>
        </is>
      </c>
      <c r="I195" s="24" t="n">
        <v>14.337487</v>
      </c>
      <c r="J195" s="24" t="n">
        <v>120.949437</v>
      </c>
      <c r="K195" s="23" t="inlineStr">
        <is>
          <t>R</t>
        </is>
      </c>
      <c r="L195" s="25" t="n">
        <v>2392</v>
      </c>
      <c r="M195" s="26" t="n">
        <v>3.4</v>
      </c>
      <c r="N195" s="25">
        <f>ROUND(L195/M195, 0)</f>
        <v/>
      </c>
      <c r="O195" s="25">
        <f>ROUND(N195*'Methodology &amp; Assumptions'!$B$7, 0)</f>
        <v/>
      </c>
      <c r="P195" s="23" t="inlineStr">
        <is>
          <t>Single Carrier (Band n50, 100MHz TDD)</t>
        </is>
      </c>
      <c r="Q195" s="27">
        <f>ROUNDUP(O195/'Methodology &amp; Assumptions'!$B$8, 0)</f>
        <v/>
      </c>
      <c r="R195" s="27" t="n">
        <v>1</v>
      </c>
      <c r="S195" s="26" t="n">
        <v>1.8</v>
      </c>
      <c r="T195" s="26" t="n">
        <v>4</v>
      </c>
      <c r="U195" s="11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26" t="n">
        <v>74.78</v>
      </c>
      <c r="W195" s="26" t="n">
        <v>68.14</v>
      </c>
      <c r="X195" s="26">
        <f>ROUND(('Methodology &amp; Assumptions'!$B$5*V195) + ('Methodology &amp; Assumptions'!$B$6*W195), 2)</f>
        <v/>
      </c>
      <c r="Y195" s="28" t="n">
        <v>7.2</v>
      </c>
      <c r="Z195" s="11" t="inlineStr">
        <is>
          <t>Priority Tier 1 (High Commercial &amp; Social)</t>
        </is>
      </c>
    </row>
    <row r="196">
      <c r="A196" s="23" t="n">
        <v>1</v>
      </c>
      <c r="B196" s="23" t="n">
        <v>192</v>
      </c>
      <c r="C196" s="23" t="n">
        <v>192</v>
      </c>
      <c r="D196" s="23" t="inlineStr">
        <is>
          <t>0401005071</t>
        </is>
      </c>
      <c r="E196" s="11" t="inlineStr">
        <is>
          <t>Region IV-A (CALABARZON)</t>
        </is>
      </c>
      <c r="F196" s="11" t="inlineStr">
        <is>
          <t>Batangas</t>
        </is>
      </c>
      <c r="G196" s="11" t="inlineStr">
        <is>
          <t>Batangas City</t>
        </is>
      </c>
      <c r="H196" s="11" t="inlineStr">
        <is>
          <t>Barangay 24</t>
        </is>
      </c>
      <c r="I196" s="24" t="n">
        <v>13.757982</v>
      </c>
      <c r="J196" s="24" t="n">
        <v>121.054428</v>
      </c>
      <c r="K196" s="23" t="inlineStr">
        <is>
          <t>R</t>
        </is>
      </c>
      <c r="L196" s="25" t="n">
        <v>1453</v>
      </c>
      <c r="M196" s="26" t="n">
        <v>3.6</v>
      </c>
      <c r="N196" s="25">
        <f>ROUND(L196/M196, 0)</f>
        <v/>
      </c>
      <c r="O196" s="25">
        <f>ROUND(N196*'Methodology &amp; Assumptions'!$B$7, 0)</f>
        <v/>
      </c>
      <c r="P196" s="23" t="inlineStr">
        <is>
          <t>Single Carrier (Band n50, 100MHz TDD)</t>
        </is>
      </c>
      <c r="Q196" s="27">
        <f>ROUNDUP(O196/'Methodology &amp; Assumptions'!$B$8, 0)</f>
        <v/>
      </c>
      <c r="R196" s="27" t="n">
        <v>1</v>
      </c>
      <c r="S196" s="26" t="n">
        <v>0.55</v>
      </c>
      <c r="T196" s="26" t="n">
        <v>0.45</v>
      </c>
      <c r="U196" s="11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26" t="n">
        <v>72.02</v>
      </c>
      <c r="W196" s="26" t="n">
        <v>70.88</v>
      </c>
      <c r="X196" s="26">
        <f>ROUND(('Methodology &amp; Assumptions'!$B$5*V196) + ('Methodology &amp; Assumptions'!$B$6*W196), 2)</f>
        <v/>
      </c>
      <c r="Y196" s="28" t="n">
        <v>7.2</v>
      </c>
      <c r="Z196" s="11" t="inlineStr">
        <is>
          <t>Priority Tier 1 (High Commercial &amp; Social)</t>
        </is>
      </c>
    </row>
    <row r="197">
      <c r="A197" s="23" t="n">
        <v>1</v>
      </c>
      <c r="B197" s="23" t="n">
        <v>193</v>
      </c>
      <c r="C197" s="23" t="n">
        <v>193</v>
      </c>
      <c r="D197" s="23" t="inlineStr">
        <is>
          <t>0300803011</t>
        </is>
      </c>
      <c r="E197" s="11" t="inlineStr">
        <is>
          <t>Region III (Central Luzon)</t>
        </is>
      </c>
      <c r="F197" s="11" t="inlineStr">
        <is>
          <t>Bataan</t>
        </is>
      </c>
      <c r="G197" s="11" t="inlineStr">
        <is>
          <t>City of Balanga</t>
        </is>
      </c>
      <c r="H197" s="11" t="inlineStr">
        <is>
          <t>Ibayo</t>
        </is>
      </c>
      <c r="I197" s="24" t="n">
        <v>14.680512</v>
      </c>
      <c r="J197" s="24" t="n">
        <v>120.536924</v>
      </c>
      <c r="K197" s="23" t="inlineStr">
        <is>
          <t>U</t>
        </is>
      </c>
      <c r="L197" s="25" t="n">
        <v>2379</v>
      </c>
      <c r="M197" s="26" t="n">
        <v>3.6</v>
      </c>
      <c r="N197" s="25">
        <f>ROUND(L197/M197, 0)</f>
        <v/>
      </c>
      <c r="O197" s="25">
        <f>ROUND(N197*'Methodology &amp; Assumptions'!$B$7, 0)</f>
        <v/>
      </c>
      <c r="P197" s="23" t="inlineStr">
        <is>
          <t>Single Carrier (Band n50, 100MHz TDD)</t>
        </is>
      </c>
      <c r="Q197" s="27">
        <f>ROUNDUP(O197/'Methodology &amp; Assumptions'!$B$8, 0)</f>
        <v/>
      </c>
      <c r="R197" s="27" t="n">
        <v>1</v>
      </c>
      <c r="S197" s="26" t="n">
        <v>0.57</v>
      </c>
      <c r="T197" s="26" t="n">
        <v>0.48</v>
      </c>
      <c r="U197" s="11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26" t="n">
        <v>73.27</v>
      </c>
      <c r="W197" s="26" t="n">
        <v>69.61</v>
      </c>
      <c r="X197" s="26">
        <f>ROUND(('Methodology &amp; Assumptions'!$B$5*V197) + ('Methodology &amp; Assumptions'!$B$6*W197), 2)</f>
        <v/>
      </c>
      <c r="Y197" s="28" t="n">
        <v>8.300000000000001</v>
      </c>
      <c r="Z197" s="11" t="inlineStr">
        <is>
          <t>Priority Tier 1 (High Commercial &amp; Social)</t>
        </is>
      </c>
    </row>
    <row r="198">
      <c r="A198" s="23" t="n">
        <v>1</v>
      </c>
      <c r="B198" s="23" t="n">
        <v>194</v>
      </c>
      <c r="C198" s="23" t="n">
        <v>194</v>
      </c>
      <c r="D198" s="23" t="inlineStr">
        <is>
          <t>1380601125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125</t>
        </is>
      </c>
      <c r="I198" s="24" t="n">
        <v>14.633931</v>
      </c>
      <c r="J198" s="24" t="n">
        <v>120.965331</v>
      </c>
      <c r="K198" s="23" t="inlineStr">
        <is>
          <t>U</t>
        </is>
      </c>
      <c r="L198" s="25" t="n">
        <v>3749</v>
      </c>
      <c r="M198" s="26" t="n">
        <v>3.62</v>
      </c>
      <c r="N198" s="25">
        <f>ROUND(L198/M198, 0)</f>
        <v/>
      </c>
      <c r="O198" s="25">
        <f>ROUND(N198*'Methodology &amp; Assumptions'!$B$7, 0)</f>
        <v/>
      </c>
      <c r="P198" s="23" t="inlineStr">
        <is>
          <t>Single Carrier (Band n50, 100MHz TDD)</t>
        </is>
      </c>
      <c r="Q198" s="27">
        <f>ROUNDUP(O198/'Methodology &amp; Assumptions'!$B$8, 0)</f>
        <v/>
      </c>
      <c r="R198" s="27" t="n">
        <v>1</v>
      </c>
      <c r="S198" s="26" t="n">
        <v>1.17</v>
      </c>
      <c r="T198" s="26" t="n">
        <v>0.31</v>
      </c>
      <c r="U198" s="11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26" t="n">
        <v>67.84999999999999</v>
      </c>
      <c r="W198" s="26" t="n">
        <v>75.04000000000001</v>
      </c>
      <c r="X198" s="26">
        <f>ROUND(('Methodology &amp; Assumptions'!$B$5*V198) + ('Methodology &amp; Assumptions'!$B$6*W198), 2)</f>
        <v/>
      </c>
      <c r="Y198" s="28" t="n">
        <v>10.9</v>
      </c>
      <c r="Z198" s="11" t="inlineStr">
        <is>
          <t>Priority Tier 1 (High Commercial &amp; Social)</t>
        </is>
      </c>
    </row>
    <row r="199">
      <c r="A199" s="23" t="n">
        <v>1</v>
      </c>
      <c r="B199" s="23" t="n">
        <v>195</v>
      </c>
      <c r="C199" s="23" t="n">
        <v>195</v>
      </c>
      <c r="D199" s="23" t="inlineStr">
        <is>
          <t>1381701001</t>
        </is>
      </c>
      <c r="E199" s="11" t="inlineStr">
        <is>
          <t>National Capital Region (NCR)</t>
        </is>
      </c>
      <c r="F199" s="11" t="inlineStr">
        <is>
          <t>Fourth District (Not a Province)</t>
        </is>
      </c>
      <c r="G199" s="11" t="inlineStr">
        <is>
          <t>Pateros</t>
        </is>
      </c>
      <c r="H199" s="11" t="inlineStr">
        <is>
          <t>Aguho</t>
        </is>
      </c>
      <c r="I199" s="24" t="n">
        <v>14.542485</v>
      </c>
      <c r="J199" s="24" t="n">
        <v>121.064683</v>
      </c>
      <c r="K199" s="23" t="inlineStr">
        <is>
          <t>U</t>
        </is>
      </c>
      <c r="L199" s="25" t="n">
        <v>7448</v>
      </c>
      <c r="M199" s="26" t="n">
        <v>3.98</v>
      </c>
      <c r="N199" s="25">
        <f>ROUND(L199/M199, 0)</f>
        <v/>
      </c>
      <c r="O199" s="25">
        <f>ROUND(N199*'Methodology &amp; Assumptions'!$B$7, 0)</f>
        <v/>
      </c>
      <c r="P199" s="23" t="inlineStr">
        <is>
          <t>Single Carrier (Band n50, 100MHz TDD)</t>
        </is>
      </c>
      <c r="Q199" s="27">
        <f>ROUNDUP(O199/'Methodology &amp; Assumptions'!$B$8, 0)</f>
        <v/>
      </c>
      <c r="R199" s="27" t="n">
        <v>1</v>
      </c>
      <c r="S199" s="26" t="n">
        <v>0.46</v>
      </c>
      <c r="T199" s="26" t="n">
        <v>0.26</v>
      </c>
      <c r="U199" s="11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26" t="n">
        <v>69.09</v>
      </c>
      <c r="W199" s="26" t="n">
        <v>73.75</v>
      </c>
      <c r="X199" s="26">
        <f>ROUND(('Methodology &amp; Assumptions'!$B$5*V199) + ('Methodology &amp; Assumptions'!$B$6*W199), 2)</f>
        <v/>
      </c>
      <c r="Y199" s="28" t="n">
        <v>10.9</v>
      </c>
      <c r="Z199" s="11" t="inlineStr">
        <is>
          <t>Priority Tier 1 (High Commercial &amp; Social)</t>
        </is>
      </c>
    </row>
    <row r="200">
      <c r="A200" s="23" t="n">
        <v>1</v>
      </c>
      <c r="B200" s="23" t="n">
        <v>196</v>
      </c>
      <c r="C200" s="23" t="n">
        <v>196</v>
      </c>
      <c r="D200" s="23" t="inlineStr">
        <is>
          <t>0300811021</t>
        </is>
      </c>
      <c r="E200" s="11" t="inlineStr">
        <is>
          <t>Region III (Central Luzon)</t>
        </is>
      </c>
      <c r="F200" s="11" t="inlineStr">
        <is>
          <t>Bataan</t>
        </is>
      </c>
      <c r="G200" s="11" t="inlineStr">
        <is>
          <t>Pilar</t>
        </is>
      </c>
      <c r="H200" s="11" t="inlineStr">
        <is>
          <t>Poblacion</t>
        </is>
      </c>
      <c r="I200" s="24" t="n">
        <v>14.677783</v>
      </c>
      <c r="J200" s="24" t="n">
        <v>120.54246</v>
      </c>
      <c r="K200" s="23" t="inlineStr">
        <is>
          <t>R</t>
        </is>
      </c>
      <c r="L200" s="25" t="n">
        <v>1369</v>
      </c>
      <c r="M200" s="26" t="n">
        <v>3.6</v>
      </c>
      <c r="N200" s="25">
        <f>ROUND(L200/M200, 0)</f>
        <v/>
      </c>
      <c r="O200" s="25">
        <f>ROUND(N200*'Methodology &amp; Assumptions'!$B$7, 0)</f>
        <v/>
      </c>
      <c r="P200" s="23" t="inlineStr">
        <is>
          <t>Single Carrier (Band n50, 100MHz TDD)</t>
        </is>
      </c>
      <c r="Q200" s="27">
        <f>ROUNDUP(O200/'Methodology &amp; Assumptions'!$B$8, 0)</f>
        <v/>
      </c>
      <c r="R200" s="27" t="n">
        <v>1</v>
      </c>
      <c r="S200" s="26" t="n">
        <v>0.73</v>
      </c>
      <c r="T200" s="26" t="n">
        <v>0.15</v>
      </c>
      <c r="U200" s="11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26" t="n">
        <v>71.38</v>
      </c>
      <c r="W200" s="26" t="n">
        <v>71.42</v>
      </c>
      <c r="X200" s="26">
        <f>ROUND(('Methodology &amp; Assumptions'!$B$5*V200) + ('Methodology &amp; Assumptions'!$B$6*W200), 2)</f>
        <v/>
      </c>
      <c r="Y200" s="28" t="n">
        <v>8.300000000000001</v>
      </c>
      <c r="Z200" s="11" t="inlineStr">
        <is>
          <t>Priority Tier 1 (High Commercial &amp; Social)</t>
        </is>
      </c>
    </row>
    <row r="201">
      <c r="A201" s="23" t="n">
        <v>1</v>
      </c>
      <c r="B201" s="23" t="n">
        <v>197</v>
      </c>
      <c r="C201" s="23" t="n">
        <v>197</v>
      </c>
      <c r="D201" s="23" t="inlineStr">
        <is>
          <t>1380900005</t>
        </is>
      </c>
      <c r="E201" s="11" t="inlineStr">
        <is>
          <t>National Capital Region (NCR)</t>
        </is>
      </c>
      <c r="F201" s="11" t="inlineStr">
        <is>
          <t>Third District (Not a Province)</t>
        </is>
      </c>
      <c r="G201" s="11" t="inlineStr">
        <is>
          <t>City of Navotas</t>
        </is>
      </c>
      <c r="H201" s="11" t="inlineStr">
        <is>
          <t>Daanghari</t>
        </is>
      </c>
      <c r="I201" s="24" t="n">
        <v>14.6687</v>
      </c>
      <c r="J201" s="24" t="n">
        <v>120.9411</v>
      </c>
      <c r="K201" s="23" t="inlineStr">
        <is>
          <t>U</t>
        </is>
      </c>
      <c r="L201" s="25" t="n">
        <v>14837</v>
      </c>
      <c r="M201" s="26" t="n">
        <v>3.39</v>
      </c>
      <c r="N201" s="25">
        <f>ROUND(L201/M201, 0)</f>
        <v/>
      </c>
      <c r="O201" s="25">
        <f>ROUND(N201*'Methodology &amp; Assumptions'!$B$7, 0)</f>
        <v/>
      </c>
      <c r="P201" s="23" t="inlineStr">
        <is>
          <t>Single Carrier (Band n50, 100MHz TDD)</t>
        </is>
      </c>
      <c r="Q201" s="27">
        <f>ROUNDUP(O201/'Methodology &amp; Assumptions'!$B$8, 0)</f>
        <v/>
      </c>
      <c r="R201" s="27" t="n">
        <v>1</v>
      </c>
      <c r="S201" s="26" t="n">
        <v>0.67</v>
      </c>
      <c r="T201" s="26" t="n">
        <v>0.59</v>
      </c>
      <c r="U201" s="11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26" t="n">
        <v>68.98</v>
      </c>
      <c r="W201" s="26" t="n">
        <v>73.81</v>
      </c>
      <c r="X201" s="26">
        <f>ROUND(('Methodology &amp; Assumptions'!$B$5*V201) + ('Methodology &amp; Assumptions'!$B$6*W201), 2)</f>
        <v/>
      </c>
      <c r="Y201" s="28" t="n">
        <v>10.9</v>
      </c>
      <c r="Z201" s="11" t="inlineStr">
        <is>
          <t>Priority Tier 1 (High Commercial &amp; Social)</t>
        </is>
      </c>
    </row>
    <row r="202">
      <c r="A202" s="23" t="n">
        <v>1</v>
      </c>
      <c r="B202" s="23" t="n">
        <v>198</v>
      </c>
      <c r="C202" s="23" t="n">
        <v>198</v>
      </c>
      <c r="D202" s="23" t="inlineStr">
        <is>
          <t>0405804002</t>
        </is>
      </c>
      <c r="E202" s="11" t="inlineStr">
        <is>
          <t>Region IV-A (CALABARZON)</t>
        </is>
      </c>
      <c r="F202" s="11" t="inlineStr">
        <is>
          <t>Rizal</t>
        </is>
      </c>
      <c r="G202" s="11" t="inlineStr">
        <is>
          <t>Binangonan</t>
        </is>
      </c>
      <c r="H202" s="11" t="inlineStr">
        <is>
          <t>Batingan</t>
        </is>
      </c>
      <c r="I202" s="24" t="n">
        <v>14.472146</v>
      </c>
      <c r="J202" s="24" t="n">
        <v>121.196669</v>
      </c>
      <c r="K202" s="23" t="inlineStr">
        <is>
          <t>U</t>
        </is>
      </c>
      <c r="L202" s="25" t="n">
        <v>15585</v>
      </c>
      <c r="M202" s="26" t="n">
        <v>3.6</v>
      </c>
      <c r="N202" s="25">
        <f>ROUND(L202/M202, 0)</f>
        <v/>
      </c>
      <c r="O202" s="25">
        <f>ROUND(N202*'Methodology &amp; Assumptions'!$B$7, 0)</f>
        <v/>
      </c>
      <c r="P202" s="23" t="inlineStr">
        <is>
          <t>Single Carrier (Band n50, 100MHz TDD)</t>
        </is>
      </c>
      <c r="Q202" s="27">
        <f>ROUNDUP(O202/'Methodology &amp; Assumptions'!$B$8, 0)</f>
        <v/>
      </c>
      <c r="R202" s="27" t="n">
        <v>1</v>
      </c>
      <c r="S202" s="26" t="n">
        <v>0.55</v>
      </c>
      <c r="T202" s="26" t="n">
        <v>0.05</v>
      </c>
      <c r="U202" s="11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26" t="n">
        <v>78.26000000000001</v>
      </c>
      <c r="W202" s="26" t="n">
        <v>64.45999999999999</v>
      </c>
      <c r="X202" s="26">
        <f>ROUND(('Methodology &amp; Assumptions'!$B$5*V202) + ('Methodology &amp; Assumptions'!$B$6*W202), 2)</f>
        <v/>
      </c>
      <c r="Y202" s="28" t="n">
        <v>7.2</v>
      </c>
      <c r="Z202" s="11" t="inlineStr">
        <is>
          <t>Priority Tier 1 (High Commercial &amp; Social)</t>
        </is>
      </c>
    </row>
    <row r="203">
      <c r="A203" s="23" t="n">
        <v>1</v>
      </c>
      <c r="B203" s="23" t="n">
        <v>199</v>
      </c>
      <c r="C203" s="23" t="n">
        <v>199</v>
      </c>
      <c r="D203" s="23" t="inlineStr">
        <is>
          <t>1381400017</t>
        </is>
      </c>
      <c r="E203" s="11" t="inlineStr">
        <is>
          <t>National Capital Region (NCR)</t>
        </is>
      </c>
      <c r="F203" s="11" t="inlineStr">
        <is>
          <t>Second District (Not a Province)</t>
        </is>
      </c>
      <c r="G203" s="11" t="inlineStr">
        <is>
          <t>City of San Juan</t>
        </is>
      </c>
      <c r="H203" s="11" t="inlineStr">
        <is>
          <t>San Perfecto</t>
        </is>
      </c>
      <c r="I203" s="24" t="n">
        <v>14.60293</v>
      </c>
      <c r="J203" s="24" t="n">
        <v>121.0217</v>
      </c>
      <c r="K203" s="23" t="inlineStr">
        <is>
          <t>U</t>
        </is>
      </c>
      <c r="L203" s="25" t="n">
        <v>4669</v>
      </c>
      <c r="M203" s="26" t="n">
        <v>3.31</v>
      </c>
      <c r="N203" s="25">
        <f>ROUND(L203/M203, 0)</f>
        <v/>
      </c>
      <c r="O203" s="25">
        <f>ROUND(N203*'Methodology &amp; Assumptions'!$B$7, 0)</f>
        <v/>
      </c>
      <c r="P203" s="23" t="inlineStr">
        <is>
          <t>Single Carrier (Band n50, 100MHz TDD)</t>
        </is>
      </c>
      <c r="Q203" s="27">
        <f>ROUNDUP(O203/'Methodology &amp; Assumptions'!$B$8, 0)</f>
        <v/>
      </c>
      <c r="R203" s="27" t="n">
        <v>1</v>
      </c>
      <c r="S203" s="26" t="n">
        <v>1.72</v>
      </c>
      <c r="T203" s="26" t="n">
        <v>0.09</v>
      </c>
      <c r="U203" s="11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26" t="n">
        <v>65.81</v>
      </c>
      <c r="W203" s="26" t="n">
        <v>76.92</v>
      </c>
      <c r="X203" s="26">
        <f>ROUND(('Methodology &amp; Assumptions'!$B$5*V203) + ('Methodology &amp; Assumptions'!$B$6*W203), 2)</f>
        <v/>
      </c>
      <c r="Y203" s="28" t="n">
        <v>10.9</v>
      </c>
      <c r="Z203" s="11" t="inlineStr">
        <is>
          <t>Priority Tier 1 (High Commercial &amp; Social)</t>
        </is>
      </c>
    </row>
    <row r="204">
      <c r="A204" s="23" t="n">
        <v>1</v>
      </c>
      <c r="B204" s="23" t="n">
        <v>200</v>
      </c>
      <c r="C204" s="23" t="n">
        <v>200</v>
      </c>
      <c r="D204" s="23" t="inlineStr">
        <is>
          <t>1102315034</t>
        </is>
      </c>
      <c r="E204" s="11" t="inlineStr">
        <is>
          <t>Region XI (Davao Region)</t>
        </is>
      </c>
      <c r="F204" s="11" t="inlineStr">
        <is>
          <t>Davao del Norte</t>
        </is>
      </c>
      <c r="G204" s="11" t="inlineStr">
        <is>
          <t>City of Panabo</t>
        </is>
      </c>
      <c r="H204" s="11" t="inlineStr">
        <is>
          <t>Santo Niño</t>
        </is>
      </c>
      <c r="I204" s="24" t="n">
        <v>7.30377</v>
      </c>
      <c r="J204" s="24" t="n">
        <v>125.68681</v>
      </c>
      <c r="K204" s="23" t="inlineStr">
        <is>
          <t>U</t>
        </is>
      </c>
      <c r="L204" s="25" t="n">
        <v>5242</v>
      </c>
      <c r="M204" s="26" t="n">
        <v>3.7</v>
      </c>
      <c r="N204" s="25">
        <f>ROUND(L204/M204, 0)</f>
        <v/>
      </c>
      <c r="O204" s="25">
        <f>ROUND(N204*'Methodology &amp; Assumptions'!$B$7, 0)</f>
        <v/>
      </c>
      <c r="P204" s="23" t="inlineStr">
        <is>
          <t>Single Carrier (Band n50, 100MHz TDD)</t>
        </is>
      </c>
      <c r="Q204" s="27">
        <f>ROUNDUP(O204/'Methodology &amp; Assumptions'!$B$8, 0)</f>
        <v/>
      </c>
      <c r="R204" s="27" t="n">
        <v>1</v>
      </c>
      <c r="S204" s="26" t="n">
        <v>0.8</v>
      </c>
      <c r="T204" s="26" t="n">
        <v>0.5</v>
      </c>
      <c r="U204" s="11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26" t="n">
        <v>79.87</v>
      </c>
      <c r="W204" s="26" t="n">
        <v>62.83</v>
      </c>
      <c r="X204" s="26">
        <f>ROUND(('Methodology &amp; Assumptions'!$B$5*V204) + ('Methodology &amp; Assumptions'!$B$6*W204), 2)</f>
        <v/>
      </c>
      <c r="Y204" s="28" t="n">
        <v>17.4</v>
      </c>
      <c r="Z204" s="11" t="inlineStr">
        <is>
          <t>Priority Tier 1 (High Commercial &amp; Social)</t>
        </is>
      </c>
    </row>
    <row r="205">
      <c r="A205" s="23" t="n">
        <v>1</v>
      </c>
      <c r="B205" s="23" t="n">
        <v>201</v>
      </c>
      <c r="C205" s="23" t="n">
        <v>201</v>
      </c>
      <c r="D205" s="23" t="inlineStr">
        <is>
          <t>0702232013</t>
        </is>
      </c>
      <c r="E205" s="11" t="inlineStr">
        <is>
          <t>Region VII (Central Visayas)</t>
        </is>
      </c>
      <c r="F205" s="11" t="inlineStr">
        <is>
          <t>Cebu</t>
        </is>
      </c>
      <c r="G205" s="11" t="inlineStr">
        <is>
          <t>Minglanilla</t>
        </is>
      </c>
      <c r="H205" s="11" t="inlineStr">
        <is>
          <t>Poblacion Ward IV</t>
        </is>
      </c>
      <c r="I205" s="24" t="n">
        <v>10.246584</v>
      </c>
      <c r="J205" s="24" t="n">
        <v>123.794057</v>
      </c>
      <c r="K205" s="23" t="inlineStr">
        <is>
          <t>U</t>
        </is>
      </c>
      <c r="L205" s="25" t="n">
        <v>4414</v>
      </c>
      <c r="M205" s="26" t="n">
        <v>3.8</v>
      </c>
      <c r="N205" s="25">
        <f>ROUND(L205/M205, 0)</f>
        <v/>
      </c>
      <c r="O205" s="25">
        <f>ROUND(N205*'Methodology &amp; Assumptions'!$B$7, 0)</f>
        <v/>
      </c>
      <c r="P205" s="23" t="inlineStr">
        <is>
          <t>Single Carrier (Band n50, 100MHz TDD)</t>
        </is>
      </c>
      <c r="Q205" s="27">
        <f>ROUNDUP(O205/'Methodology &amp; Assumptions'!$B$8, 0)</f>
        <v/>
      </c>
      <c r="R205" s="27" t="n">
        <v>1</v>
      </c>
      <c r="S205" s="26" t="n">
        <v>0.67</v>
      </c>
      <c r="T205" s="26" t="n">
        <v>0.19</v>
      </c>
      <c r="U205" s="11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26" t="n">
        <v>80.86</v>
      </c>
      <c r="W205" s="26" t="n">
        <v>61.77</v>
      </c>
      <c r="X205" s="26">
        <f>ROUND(('Methodology &amp; Assumptions'!$B$5*V205) + ('Methodology &amp; Assumptions'!$B$6*W205), 2)</f>
        <v/>
      </c>
      <c r="Y205" s="28" t="n">
        <v>23.7</v>
      </c>
      <c r="Z205" s="11" t="inlineStr">
        <is>
          <t>Priority Tier 1 (High Commercial &amp; Social)</t>
        </is>
      </c>
    </row>
    <row r="206">
      <c r="A206" s="23" t="n">
        <v>1</v>
      </c>
      <c r="B206" s="23" t="n">
        <v>202</v>
      </c>
      <c r="C206" s="23" t="n">
        <v>202</v>
      </c>
      <c r="D206" s="23" t="inlineStr">
        <is>
          <t>0403428008</t>
        </is>
      </c>
      <c r="E206" s="11" t="inlineStr">
        <is>
          <t>Region IV-A (CALABARZON)</t>
        </is>
      </c>
      <c r="F206" s="11" t="inlineStr">
        <is>
          <t>Laguna</t>
        </is>
      </c>
      <c r="G206" s="11" t="inlineStr">
        <is>
          <t>City of Santa Rosa</t>
        </is>
      </c>
      <c r="H206" s="11" t="inlineStr">
        <is>
          <t>Labas</t>
        </is>
      </c>
      <c r="I206" s="24" t="n">
        <v>14.307064</v>
      </c>
      <c r="J206" s="24" t="n">
        <v>121.10968</v>
      </c>
      <c r="K206" s="23" t="inlineStr">
        <is>
          <t>U</t>
        </is>
      </c>
      <c r="L206" s="25" t="n">
        <v>23335</v>
      </c>
      <c r="M206" s="26" t="n">
        <v>3.3</v>
      </c>
      <c r="N206" s="25">
        <f>ROUND(L206/M206, 0)</f>
        <v/>
      </c>
      <c r="O206" s="25">
        <f>ROUND(N206*'Methodology &amp; Assumptions'!$B$7, 0)</f>
        <v/>
      </c>
      <c r="P206" s="23" t="inlineStr">
        <is>
          <t>Single Carrier (Band n50, 100MHz TDD)</t>
        </is>
      </c>
      <c r="Q206" s="27">
        <f>ROUNDUP(O206/'Methodology &amp; Assumptions'!$B$8, 0)</f>
        <v/>
      </c>
      <c r="R206" s="27" t="n">
        <v>1</v>
      </c>
      <c r="S206" s="26" t="n">
        <v>1.05</v>
      </c>
      <c r="T206" s="26" t="n">
        <v>0.8100000000000001</v>
      </c>
      <c r="U206" s="11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26" t="n">
        <v>77.44</v>
      </c>
      <c r="W206" s="26" t="n">
        <v>65.15000000000001</v>
      </c>
      <c r="X206" s="26">
        <f>ROUND(('Methodology &amp; Assumptions'!$B$5*V206) + ('Methodology &amp; Assumptions'!$B$6*W206), 2)</f>
        <v/>
      </c>
      <c r="Y206" s="28" t="n">
        <v>7.2</v>
      </c>
      <c r="Z206" s="11" t="inlineStr">
        <is>
          <t>Priority Tier 1 (High Commercial &amp; Social)</t>
        </is>
      </c>
    </row>
    <row r="207">
      <c r="A207" s="23" t="n">
        <v>1</v>
      </c>
      <c r="B207" s="23" t="n">
        <v>203</v>
      </c>
      <c r="C207" s="23" t="n">
        <v>203</v>
      </c>
      <c r="D207" s="23" t="inlineStr">
        <is>
          <t>0402106024</t>
        </is>
      </c>
      <c r="E207" s="11" t="inlineStr">
        <is>
          <t>Region IV-A (CALABARZON)</t>
        </is>
      </c>
      <c r="F207" s="11" t="inlineStr">
        <is>
          <t>Cavite</t>
        </is>
      </c>
      <c r="G207" s="11" t="inlineStr">
        <is>
          <t>City of Dasmariñas</t>
        </is>
      </c>
      <c r="H207" s="11" t="inlineStr">
        <is>
          <t>Saint Peter I</t>
        </is>
      </c>
      <c r="I207" s="24" t="n">
        <v>14.339218</v>
      </c>
      <c r="J207" s="24" t="n">
        <v>120.94786</v>
      </c>
      <c r="K207" s="23" t="inlineStr">
        <is>
          <t>R</t>
        </is>
      </c>
      <c r="L207" s="25" t="n">
        <v>2408</v>
      </c>
      <c r="M207" s="26" t="n">
        <v>3.4</v>
      </c>
      <c r="N207" s="25">
        <f>ROUND(L207/M207, 0)</f>
        <v/>
      </c>
      <c r="O207" s="25">
        <f>ROUND(N207*'Methodology &amp; Assumptions'!$B$7, 0)</f>
        <v/>
      </c>
      <c r="P207" s="23" t="inlineStr">
        <is>
          <t>Single Carrier (Band n50, 100MHz TDD)</t>
        </is>
      </c>
      <c r="Q207" s="27">
        <f>ROUNDUP(O207/'Methodology &amp; Assumptions'!$B$8, 0)</f>
        <v/>
      </c>
      <c r="R207" s="27" t="n">
        <v>1</v>
      </c>
      <c r="S207" s="26" t="n">
        <v>1.54</v>
      </c>
      <c r="T207" s="26" t="n">
        <v>4.21</v>
      </c>
      <c r="U207" s="11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26" t="n">
        <v>75.79000000000001</v>
      </c>
      <c r="W207" s="26" t="n">
        <v>66.81</v>
      </c>
      <c r="X207" s="26">
        <f>ROUND(('Methodology &amp; Assumptions'!$B$5*V207) + ('Methodology &amp; Assumptions'!$B$6*W207), 2)</f>
        <v/>
      </c>
      <c r="Y207" s="28" t="n">
        <v>7.2</v>
      </c>
      <c r="Z207" s="11" t="inlineStr">
        <is>
          <t>Priority Tier 1 (High Commercial &amp; Social)</t>
        </is>
      </c>
    </row>
    <row r="208">
      <c r="A208" s="23" t="n">
        <v>1</v>
      </c>
      <c r="B208" s="23" t="n">
        <v>204</v>
      </c>
      <c r="C208" s="23" t="n">
        <v>204</v>
      </c>
      <c r="D208" s="23" t="inlineStr">
        <is>
          <t>1380601152</t>
        </is>
      </c>
      <c r="E208" s="11" t="inlineStr">
        <is>
          <t>National Capital Region (NCR)</t>
        </is>
      </c>
      <c r="F208" s="11" t="inlineStr">
        <is>
          <t>First District (Not a Province)</t>
        </is>
      </c>
      <c r="G208" s="11" t="inlineStr">
        <is>
          <t>City of Manila</t>
        </is>
      </c>
      <c r="H208" s="11" t="inlineStr">
        <is>
          <t>Barangay 152</t>
        </is>
      </c>
      <c r="I208" s="24" t="n">
        <v>14.622324</v>
      </c>
      <c r="J208" s="24" t="n">
        <v>120.974367</v>
      </c>
      <c r="K208" s="23" t="inlineStr">
        <is>
          <t>U</t>
        </is>
      </c>
      <c r="L208" s="25" t="n">
        <v>6016</v>
      </c>
      <c r="M208" s="26" t="n">
        <v>4.31</v>
      </c>
      <c r="N208" s="25">
        <f>ROUND(L208/M208, 0)</f>
        <v/>
      </c>
      <c r="O208" s="25">
        <f>ROUND(N208*'Methodology &amp; Assumptions'!$B$7, 0)</f>
        <v/>
      </c>
      <c r="P208" s="23" t="inlineStr">
        <is>
          <t>Single Carrier (Band n50, 100MHz TDD)</t>
        </is>
      </c>
      <c r="Q208" s="27">
        <f>ROUNDUP(O208/'Methodology &amp; Assumptions'!$B$8, 0)</f>
        <v/>
      </c>
      <c r="R208" s="27" t="n">
        <v>1</v>
      </c>
      <c r="S208" s="26" t="n">
        <v>0.52</v>
      </c>
      <c r="T208" s="26" t="n">
        <v>0.21</v>
      </c>
      <c r="U208" s="11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26" t="n">
        <v>69.09</v>
      </c>
      <c r="W208" s="26" t="n">
        <v>73.5</v>
      </c>
      <c r="X208" s="26">
        <f>ROUND(('Methodology &amp; Assumptions'!$B$5*V208) + ('Methodology &amp; Assumptions'!$B$6*W208), 2)</f>
        <v/>
      </c>
      <c r="Y208" s="28" t="n">
        <v>10.9</v>
      </c>
      <c r="Z208" s="11" t="inlineStr">
        <is>
          <t>Priority Tier 1 (High Commercial &amp; Social)</t>
        </is>
      </c>
    </row>
    <row r="209">
      <c r="A209" s="23" t="n">
        <v>1</v>
      </c>
      <c r="B209" s="23" t="n">
        <v>205</v>
      </c>
      <c r="C209" s="23" t="n">
        <v>205</v>
      </c>
      <c r="D209" s="23" t="inlineStr">
        <is>
          <t>0402103004</t>
        </is>
      </c>
      <c r="E209" s="11" t="inlineStr">
        <is>
          <t>Region IV-A (CALABARZON)</t>
        </is>
      </c>
      <c r="F209" s="11" t="inlineStr">
        <is>
          <t>Cavite</t>
        </is>
      </c>
      <c r="G209" s="11" t="inlineStr">
        <is>
          <t>City of Bacoor</t>
        </is>
      </c>
      <c r="H209" s="11" t="inlineStr">
        <is>
          <t>Bayanan</t>
        </is>
      </c>
      <c r="I209" s="24" t="n">
        <v>14.424747</v>
      </c>
      <c r="J209" s="24" t="n">
        <v>120.969871</v>
      </c>
      <c r="K209" s="23" t="inlineStr">
        <is>
          <t>U</t>
        </is>
      </c>
      <c r="L209" s="25" t="n">
        <v>11757</v>
      </c>
      <c r="M209" s="26" t="n">
        <v>3.4</v>
      </c>
      <c r="N209" s="25">
        <f>ROUND(L209/M209, 0)</f>
        <v/>
      </c>
      <c r="O209" s="25">
        <f>ROUND(N209*'Methodology &amp; Assumptions'!$B$7, 0)</f>
        <v/>
      </c>
      <c r="P209" s="23" t="inlineStr">
        <is>
          <t>Single Carrier (Band n50, 100MHz TDD)</t>
        </is>
      </c>
      <c r="Q209" s="27">
        <f>ROUNDUP(O209/'Methodology &amp; Assumptions'!$B$8, 0)</f>
        <v/>
      </c>
      <c r="R209" s="27" t="n">
        <v>1</v>
      </c>
      <c r="S209" s="26" t="n">
        <v>0.43</v>
      </c>
      <c r="T209" s="26" t="n">
        <v>2.93</v>
      </c>
      <c r="U209" s="11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26" t="n">
        <v>76.44</v>
      </c>
      <c r="W209" s="26" t="n">
        <v>66.09</v>
      </c>
      <c r="X209" s="26">
        <f>ROUND(('Methodology &amp; Assumptions'!$B$5*V209) + ('Methodology &amp; Assumptions'!$B$6*W209), 2)</f>
        <v/>
      </c>
      <c r="Y209" s="28" t="n">
        <v>7.2</v>
      </c>
      <c r="Z209" s="11" t="inlineStr">
        <is>
          <t>Priority Tier 1 (High Commercial &amp; Social)</t>
        </is>
      </c>
    </row>
    <row r="210">
      <c r="A210" s="23" t="n">
        <v>1</v>
      </c>
      <c r="B210" s="23" t="n">
        <v>206</v>
      </c>
      <c r="C210" s="23" t="n">
        <v>206</v>
      </c>
      <c r="D210" s="23" t="inlineStr">
        <is>
          <t>1381701008</t>
        </is>
      </c>
      <c r="E210" s="11" t="inlineStr">
        <is>
          <t>National Capital Region (NCR)</t>
        </is>
      </c>
      <c r="F210" s="11" t="inlineStr">
        <is>
          <t>Fourth District (Not a Province)</t>
        </is>
      </c>
      <c r="G210" s="11" t="inlineStr">
        <is>
          <t>Pateros</t>
        </is>
      </c>
      <c r="H210" s="11" t="inlineStr">
        <is>
          <t>Santo Rosario-Kanluran</t>
        </is>
      </c>
      <c r="I210" s="24" t="n">
        <v>14.552627</v>
      </c>
      <c r="J210" s="24" t="n">
        <v>121.068782</v>
      </c>
      <c r="K210" s="23" t="inlineStr">
        <is>
          <t>U</t>
        </is>
      </c>
      <c r="L210" s="25" t="n">
        <v>5504</v>
      </c>
      <c r="M210" s="26" t="n">
        <v>4.04</v>
      </c>
      <c r="N210" s="25">
        <f>ROUND(L210/M210, 0)</f>
        <v/>
      </c>
      <c r="O210" s="25">
        <f>ROUND(N210*'Methodology &amp; Assumptions'!$B$7, 0)</f>
        <v/>
      </c>
      <c r="P210" s="23" t="inlineStr">
        <is>
          <t>Single Carrier (Band n50, 100MHz TDD)</t>
        </is>
      </c>
      <c r="Q210" s="27">
        <f>ROUNDUP(O210/'Methodology &amp; Assumptions'!$B$8, 0)</f>
        <v/>
      </c>
      <c r="R210" s="27" t="n">
        <v>1</v>
      </c>
      <c r="S210" s="26" t="n">
        <v>0.89</v>
      </c>
      <c r="T210" s="26" t="n">
        <v>0.16</v>
      </c>
      <c r="U210" s="11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26" t="n">
        <v>68.92</v>
      </c>
      <c r="W210" s="26" t="n">
        <v>73.55</v>
      </c>
      <c r="X210" s="26">
        <f>ROUND(('Methodology &amp; Assumptions'!$B$5*V210) + ('Methodology &amp; Assumptions'!$B$6*W210), 2)</f>
        <v/>
      </c>
      <c r="Y210" s="28" t="n">
        <v>10.9</v>
      </c>
      <c r="Z210" s="11" t="inlineStr">
        <is>
          <t>Priority Tier 1 (High Commercial &amp; Social)</t>
        </is>
      </c>
    </row>
    <row r="211">
      <c r="A211" s="23" t="n">
        <v>1</v>
      </c>
      <c r="B211" s="23" t="n">
        <v>207</v>
      </c>
      <c r="C211" s="23" t="n">
        <v>207</v>
      </c>
      <c r="D211" s="23" t="inlineStr">
        <is>
          <t>1380900010</t>
        </is>
      </c>
      <c r="E211" s="11" t="inlineStr">
        <is>
          <t>National Capital Region (NCR)</t>
        </is>
      </c>
      <c r="F211" s="11" t="inlineStr">
        <is>
          <t>Third District (Not a Province)</t>
        </is>
      </c>
      <c r="G211" s="11" t="inlineStr">
        <is>
          <t>City of Navotas</t>
        </is>
      </c>
      <c r="H211" s="11" t="inlineStr">
        <is>
          <t>San Jose</t>
        </is>
      </c>
      <c r="I211" s="24" t="n">
        <v>14.660625</v>
      </c>
      <c r="J211" s="24" t="n">
        <v>120.944067</v>
      </c>
      <c r="K211" s="23" t="inlineStr">
        <is>
          <t>U</t>
        </is>
      </c>
      <c r="L211" s="25" t="n">
        <v>24722</v>
      </c>
      <c r="M211" s="26" t="n">
        <v>3.48</v>
      </c>
      <c r="N211" s="25">
        <f>ROUND(L211/M211, 0)</f>
        <v/>
      </c>
      <c r="O211" s="25">
        <f>ROUND(N211*'Methodology &amp; Assumptions'!$B$7, 0)</f>
        <v/>
      </c>
      <c r="P211" s="23" t="inlineStr">
        <is>
          <t>Single Carrier (Band n50, 100MHz TDD)</t>
        </is>
      </c>
      <c r="Q211" s="27">
        <f>ROUNDUP(O211/'Methodology &amp; Assumptions'!$B$8, 0)</f>
        <v/>
      </c>
      <c r="R211" s="27" t="n">
        <v>1</v>
      </c>
      <c r="S211" s="26" t="n">
        <v>0.58</v>
      </c>
      <c r="T211" s="26" t="n">
        <v>0.75</v>
      </c>
      <c r="U211" s="11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26" t="n">
        <v>67.81</v>
      </c>
      <c r="W211" s="26" t="n">
        <v>74.64</v>
      </c>
      <c r="X211" s="26">
        <f>ROUND(('Methodology &amp; Assumptions'!$B$5*V211) + ('Methodology &amp; Assumptions'!$B$6*W211), 2)</f>
        <v/>
      </c>
      <c r="Y211" s="28" t="n">
        <v>10.9</v>
      </c>
      <c r="Z211" s="11" t="inlineStr">
        <is>
          <t>Priority Tier 1 (High Commercial &amp; Social)</t>
        </is>
      </c>
    </row>
    <row r="212">
      <c r="A212" s="23" t="n">
        <v>1</v>
      </c>
      <c r="B212" s="23" t="n">
        <v>208</v>
      </c>
      <c r="C212" s="23" t="n">
        <v>208</v>
      </c>
      <c r="D212" s="23" t="inlineStr">
        <is>
          <t>0403425028</t>
        </is>
      </c>
      <c r="E212" s="11" t="inlineStr">
        <is>
          <t>Region IV-A (CALABARZON)</t>
        </is>
      </c>
      <c r="F212" s="11" t="inlineStr">
        <is>
          <t>Laguna</t>
        </is>
      </c>
      <c r="G212" s="11" t="inlineStr">
        <is>
          <t>City of San Pedro</t>
        </is>
      </c>
      <c r="H212" s="11" t="inlineStr">
        <is>
          <t>Rosario</t>
        </is>
      </c>
      <c r="I212" s="24" t="n">
        <v>14.336889</v>
      </c>
      <c r="J212" s="24" t="n">
        <v>121.048306</v>
      </c>
      <c r="K212" s="23" t="inlineStr">
        <is>
          <t>U</t>
        </is>
      </c>
      <c r="L212" s="25" t="n">
        <v>6479</v>
      </c>
      <c r="M212" s="26" t="n">
        <v>3.3</v>
      </c>
      <c r="N212" s="25">
        <f>ROUND(L212/M212, 0)</f>
        <v/>
      </c>
      <c r="O212" s="25">
        <f>ROUND(N212*'Methodology &amp; Assumptions'!$B$7, 0)</f>
        <v/>
      </c>
      <c r="P212" s="23" t="inlineStr">
        <is>
          <t>Single Carrier (Band n50, 100MHz TDD)</t>
        </is>
      </c>
      <c r="Q212" s="27">
        <f>ROUNDUP(O212/'Methodology &amp; Assumptions'!$B$8, 0)</f>
        <v/>
      </c>
      <c r="R212" s="27" t="n">
        <v>1</v>
      </c>
      <c r="S212" s="26" t="n">
        <v>1.21</v>
      </c>
      <c r="T212" s="26" t="n">
        <v>0.88</v>
      </c>
      <c r="U212" s="11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26" t="n">
        <v>76.84999999999999</v>
      </c>
      <c r="W212" s="26" t="n">
        <v>65.59</v>
      </c>
      <c r="X212" s="26">
        <f>ROUND(('Methodology &amp; Assumptions'!$B$5*V212) + ('Methodology &amp; Assumptions'!$B$6*W212), 2)</f>
        <v/>
      </c>
      <c r="Y212" s="28" t="n">
        <v>7.2</v>
      </c>
      <c r="Z212" s="11" t="inlineStr">
        <is>
          <t>Priority Tier 1 (High Commercial &amp; Social)</t>
        </is>
      </c>
    </row>
    <row r="213">
      <c r="A213" s="23" t="n">
        <v>1</v>
      </c>
      <c r="B213" s="23" t="n">
        <v>209</v>
      </c>
      <c r="C213" s="23" t="n">
        <v>209</v>
      </c>
      <c r="D213" s="23" t="inlineStr">
        <is>
          <t>1380607012</t>
        </is>
      </c>
      <c r="E213" s="11" t="inlineStr">
        <is>
          <t>National Capital Region (NCR)</t>
        </is>
      </c>
      <c r="F213" s="11" t="inlineStr">
        <is>
          <t>First District (Not a Province)</t>
        </is>
      </c>
      <c r="G213" s="11" t="inlineStr">
        <is>
          <t>City of Manila</t>
        </is>
      </c>
      <c r="H213" s="11" t="inlineStr">
        <is>
          <t>Barangay 648</t>
        </is>
      </c>
      <c r="I213" s="24" t="n">
        <v>14.593906</v>
      </c>
      <c r="J213" s="24" t="n">
        <v>120.987274</v>
      </c>
      <c r="K213" s="23" t="inlineStr">
        <is>
          <t>U</t>
        </is>
      </c>
      <c r="L213" s="25" t="n">
        <v>9086</v>
      </c>
      <c r="M213" s="26" t="n">
        <v>4.08</v>
      </c>
      <c r="N213" s="25">
        <f>ROUND(L213/M213, 0)</f>
        <v/>
      </c>
      <c r="O213" s="25">
        <f>ROUND(N213*'Methodology &amp; Assumptions'!$B$7, 0)</f>
        <v/>
      </c>
      <c r="P213" s="23" t="inlineStr">
        <is>
          <t>Single Carrier (Band n50, 100MHz TDD)</t>
        </is>
      </c>
      <c r="Q213" s="27">
        <f>ROUNDUP(O213/'Methodology &amp; Assumptions'!$B$8, 0)</f>
        <v/>
      </c>
      <c r="R213" s="27" t="n">
        <v>1</v>
      </c>
      <c r="S213" s="26" t="n">
        <v>0.49</v>
      </c>
      <c r="T213" s="26" t="n">
        <v>0.43</v>
      </c>
      <c r="U213" s="11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26" t="n">
        <v>69.09</v>
      </c>
      <c r="W213" s="26" t="n">
        <v>73.31</v>
      </c>
      <c r="X213" s="26">
        <f>ROUND(('Methodology &amp; Assumptions'!$B$5*V213) + ('Methodology &amp; Assumptions'!$B$6*W213), 2)</f>
        <v/>
      </c>
      <c r="Y213" s="28" t="n">
        <v>10.9</v>
      </c>
      <c r="Z213" s="11" t="inlineStr">
        <is>
          <t>Priority Tier 1 (High Commercial &amp; Social)</t>
        </is>
      </c>
    </row>
    <row r="214">
      <c r="A214" s="23" t="n">
        <v>1</v>
      </c>
      <c r="B214" s="23" t="n">
        <v>210</v>
      </c>
      <c r="C214" s="23" t="n">
        <v>210</v>
      </c>
      <c r="D214" s="23" t="inlineStr">
        <is>
          <t>0403428002</t>
        </is>
      </c>
      <c r="E214" s="11" t="inlineStr">
        <is>
          <t>Region IV-A (CALABARZON)</t>
        </is>
      </c>
      <c r="F214" s="11" t="inlineStr">
        <is>
          <t>Laguna</t>
        </is>
      </c>
      <c r="G214" s="11" t="inlineStr">
        <is>
          <t>City of Santa Rosa</t>
        </is>
      </c>
      <c r="H214" s="11" t="inlineStr">
        <is>
          <t>Balibago</t>
        </is>
      </c>
      <c r="I214" s="24" t="n">
        <v>14.295424</v>
      </c>
      <c r="J214" s="24" t="n">
        <v>121.104881</v>
      </c>
      <c r="K214" s="23" t="inlineStr">
        <is>
          <t>U</t>
        </is>
      </c>
      <c r="L214" s="25" t="n">
        <v>23640</v>
      </c>
      <c r="M214" s="26" t="n">
        <v>3.3</v>
      </c>
      <c r="N214" s="25">
        <f>ROUND(L214/M214, 0)</f>
        <v/>
      </c>
      <c r="O214" s="25">
        <f>ROUND(N214*'Methodology &amp; Assumptions'!$B$7, 0)</f>
        <v/>
      </c>
      <c r="P214" s="23" t="inlineStr">
        <is>
          <t>Single Carrier (Band n50, 100MHz TDD)</t>
        </is>
      </c>
      <c r="Q214" s="27">
        <f>ROUNDUP(O214/'Methodology &amp; Assumptions'!$B$8, 0)</f>
        <v/>
      </c>
      <c r="R214" s="27" t="n">
        <v>1</v>
      </c>
      <c r="S214" s="26" t="n">
        <v>0.37</v>
      </c>
      <c r="T214" s="26" t="n">
        <v>0.14</v>
      </c>
      <c r="U214" s="11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26" t="n">
        <v>78.26000000000001</v>
      </c>
      <c r="W214" s="26" t="n">
        <v>64.13</v>
      </c>
      <c r="X214" s="26">
        <f>ROUND(('Methodology &amp; Assumptions'!$B$5*V214) + ('Methodology &amp; Assumptions'!$B$6*W214), 2)</f>
        <v/>
      </c>
      <c r="Y214" s="28" t="n">
        <v>7.2</v>
      </c>
      <c r="Z214" s="11" t="inlineStr">
        <is>
          <t>Priority Tier 1 (High Commercial &amp; Social)</t>
        </is>
      </c>
    </row>
    <row r="215">
      <c r="A215" s="23" t="n">
        <v>1</v>
      </c>
      <c r="B215" s="23" t="n">
        <v>211</v>
      </c>
      <c r="C215" s="23" t="n">
        <v>211</v>
      </c>
      <c r="D215" s="23" t="inlineStr">
        <is>
          <t>0403428009</t>
        </is>
      </c>
      <c r="E215" s="11" t="inlineStr">
        <is>
          <t>Region IV-A (CALABARZON)</t>
        </is>
      </c>
      <c r="F215" s="11" t="inlineStr">
        <is>
          <t>Laguna</t>
        </is>
      </c>
      <c r="G215" s="11" t="inlineStr">
        <is>
          <t>City of Santa Rosa</t>
        </is>
      </c>
      <c r="H215" s="11" t="inlineStr">
        <is>
          <t>Macabling</t>
        </is>
      </c>
      <c r="I215" s="24" t="n">
        <v>14.30258</v>
      </c>
      <c r="J215" s="24" t="n">
        <v>121.102111</v>
      </c>
      <c r="K215" s="23" t="inlineStr">
        <is>
          <t>U</t>
        </is>
      </c>
      <c r="L215" s="25" t="n">
        <v>22368</v>
      </c>
      <c r="M215" s="26" t="n">
        <v>3.3</v>
      </c>
      <c r="N215" s="25">
        <f>ROUND(L215/M215, 0)</f>
        <v/>
      </c>
      <c r="O215" s="25">
        <f>ROUND(N215*'Methodology &amp; Assumptions'!$B$7, 0)</f>
        <v/>
      </c>
      <c r="P215" s="23" t="inlineStr">
        <is>
          <t>Single Carrier (Band n50, 100MHz TDD)</t>
        </is>
      </c>
      <c r="Q215" s="27">
        <f>ROUNDUP(O215/'Methodology &amp; Assumptions'!$B$8, 0)</f>
        <v/>
      </c>
      <c r="R215" s="27" t="n">
        <v>1</v>
      </c>
      <c r="S215" s="26" t="n">
        <v>0.53</v>
      </c>
      <c r="T215" s="26" t="n">
        <v>0.15</v>
      </c>
      <c r="U215" s="11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26" t="n">
        <v>78.26000000000001</v>
      </c>
      <c r="W215" s="26" t="n">
        <v>64.06999999999999</v>
      </c>
      <c r="X215" s="26">
        <f>ROUND(('Methodology &amp; Assumptions'!$B$5*V215) + ('Methodology &amp; Assumptions'!$B$6*W215), 2)</f>
        <v/>
      </c>
      <c r="Y215" s="28" t="n">
        <v>7.2</v>
      </c>
      <c r="Z215" s="11" t="inlineStr">
        <is>
          <t>Priority Tier 1 (High Commercial &amp; Social)</t>
        </is>
      </c>
    </row>
    <row r="216">
      <c r="A216" s="23" t="n">
        <v>1</v>
      </c>
      <c r="B216" s="23" t="n">
        <v>212</v>
      </c>
      <c r="C216" s="23" t="n">
        <v>212</v>
      </c>
      <c r="D216" s="23" t="inlineStr">
        <is>
          <t>1380601117</t>
        </is>
      </c>
      <c r="E216" s="11" t="inlineStr">
        <is>
          <t>National Capital Region (NCR)</t>
        </is>
      </c>
      <c r="F216" s="11" t="inlineStr">
        <is>
          <t>First District (Not a Province)</t>
        </is>
      </c>
      <c r="G216" s="11" t="inlineStr">
        <is>
          <t>City of Manila</t>
        </is>
      </c>
      <c r="H216" s="11" t="inlineStr">
        <is>
          <t>Barangay 117</t>
        </is>
      </c>
      <c r="I216" s="24" t="n">
        <v>14.616079</v>
      </c>
      <c r="J216" s="24" t="n">
        <v>120.963676</v>
      </c>
      <c r="K216" s="23" t="inlineStr">
        <is>
          <t>U</t>
        </is>
      </c>
      <c r="L216" s="25" t="n">
        <v>4262</v>
      </c>
      <c r="M216" s="26" t="n">
        <v>4.82</v>
      </c>
      <c r="N216" s="25">
        <f>ROUND(L216/M216, 0)</f>
        <v/>
      </c>
      <c r="O216" s="25">
        <f>ROUND(N216*'Methodology &amp; Assumptions'!$B$7, 0)</f>
        <v/>
      </c>
      <c r="P216" s="23" t="inlineStr">
        <is>
          <t>Single Carrier (Band n50, 100MHz TDD)</t>
        </is>
      </c>
      <c r="Q216" s="27">
        <f>ROUNDUP(O216/'Methodology &amp; Assumptions'!$B$8, 0)</f>
        <v/>
      </c>
      <c r="R216" s="27" t="n">
        <v>1</v>
      </c>
      <c r="S216" s="26" t="n">
        <v>0.23</v>
      </c>
      <c r="T216" s="26" t="n">
        <v>0.37</v>
      </c>
      <c r="U216" s="11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26" t="n">
        <v>69.09</v>
      </c>
      <c r="W216" s="26" t="n">
        <v>73.20999999999999</v>
      </c>
      <c r="X216" s="26">
        <f>ROUND(('Methodology &amp; Assumptions'!$B$5*V216) + ('Methodology &amp; Assumptions'!$B$6*W216), 2)</f>
        <v/>
      </c>
      <c r="Y216" s="28" t="n">
        <v>10.9</v>
      </c>
      <c r="Z216" s="11" t="inlineStr">
        <is>
          <t>Priority Tier 1 (High Commercial &amp; Social)</t>
        </is>
      </c>
    </row>
    <row r="217">
      <c r="A217" s="23" t="n">
        <v>1</v>
      </c>
      <c r="B217" s="23" t="n">
        <v>213</v>
      </c>
      <c r="C217" s="23" t="n">
        <v>213</v>
      </c>
      <c r="D217" s="23" t="inlineStr">
        <is>
          <t>0403403002</t>
        </is>
      </c>
      <c r="E217" s="11" t="inlineStr">
        <is>
          <t>Region IV-A (CALABARZON)</t>
        </is>
      </c>
      <c r="F217" s="11" t="inlineStr">
        <is>
          <t>Laguna</t>
        </is>
      </c>
      <c r="G217" s="11" t="inlineStr">
        <is>
          <t>City of Biñan</t>
        </is>
      </c>
      <c r="H217" s="11" t="inlineStr">
        <is>
          <t>Bungahan</t>
        </is>
      </c>
      <c r="I217" s="24" t="n">
        <v>14.304637</v>
      </c>
      <c r="J217" s="24" t="n">
        <v>121.074253</v>
      </c>
      <c r="K217" s="23" t="inlineStr">
        <is>
          <t>R</t>
        </is>
      </c>
      <c r="L217" s="25" t="n">
        <v>4179</v>
      </c>
      <c r="M217" s="26" t="n">
        <v>3.3</v>
      </c>
      <c r="N217" s="25">
        <f>ROUND(L217/M217, 0)</f>
        <v/>
      </c>
      <c r="O217" s="25">
        <f>ROUND(N217*'Methodology &amp; Assumptions'!$B$7, 0)</f>
        <v/>
      </c>
      <c r="P217" s="23" t="inlineStr">
        <is>
          <t>Single Carrier (Band n50, 100MHz TDD)</t>
        </is>
      </c>
      <c r="Q217" s="27">
        <f>ROUNDUP(O217/'Methodology &amp; Assumptions'!$B$8, 0)</f>
        <v/>
      </c>
      <c r="R217" s="27" t="n">
        <v>1</v>
      </c>
      <c r="S217" s="26" t="n">
        <v>1.4</v>
      </c>
      <c r="T217" s="26" t="n">
        <v>1.21</v>
      </c>
      <c r="U217" s="11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26" t="n">
        <v>83.34999999999999</v>
      </c>
      <c r="W217" s="26" t="n">
        <v>58.93</v>
      </c>
      <c r="X217" s="26">
        <f>ROUND(('Methodology &amp; Assumptions'!$B$5*V217) + ('Methodology &amp; Assumptions'!$B$6*W217), 2)</f>
        <v/>
      </c>
      <c r="Y217" s="28" t="n">
        <v>7.2</v>
      </c>
      <c r="Z217" s="11" t="inlineStr">
        <is>
          <t>Priority Tier 1 (High Commercial &amp; Social)</t>
        </is>
      </c>
    </row>
    <row r="218">
      <c r="A218" s="23" t="n">
        <v>1</v>
      </c>
      <c r="B218" s="23" t="n">
        <v>214</v>
      </c>
      <c r="C218" s="23" t="n">
        <v>214</v>
      </c>
      <c r="D218" s="23" t="inlineStr">
        <is>
          <t>1403213038</t>
        </is>
      </c>
      <c r="E218" s="11" t="inlineStr">
        <is>
          <t>Cordillera Administrative Region (CAR)</t>
        </is>
      </c>
      <c r="F218" s="11" t="inlineStr">
        <is>
          <t>Kalinga</t>
        </is>
      </c>
      <c r="G218" s="11" t="inlineStr">
        <is>
          <t>City of Tabuk</t>
        </is>
      </c>
      <c r="H218" s="11" t="inlineStr">
        <is>
          <t>Lacnog</t>
        </is>
      </c>
      <c r="I218" s="24" t="n">
        <v>17.426228</v>
      </c>
      <c r="J218" s="24" t="n">
        <v>121.543604</v>
      </c>
      <c r="K218" s="23" t="inlineStr">
        <is>
          <t>R</t>
        </is>
      </c>
      <c r="L218" s="25" t="n">
        <v>3315</v>
      </c>
      <c r="M218" s="26" t="n">
        <v>4.3</v>
      </c>
      <c r="N218" s="25">
        <f>ROUND(L218/M218, 0)</f>
        <v/>
      </c>
      <c r="O218" s="25">
        <f>ROUND(N218*'Methodology &amp; Assumptions'!$B$7, 0)</f>
        <v/>
      </c>
      <c r="P218" s="23" t="inlineStr">
        <is>
          <t>Single Carrier (Band n50, 100MHz TDD)</t>
        </is>
      </c>
      <c r="Q218" s="27">
        <f>ROUNDUP(O218/'Methodology &amp; Assumptions'!$B$8, 0)</f>
        <v/>
      </c>
      <c r="R218" s="27" t="n">
        <v>1</v>
      </c>
      <c r="S218" s="26" t="n">
        <v>2.94</v>
      </c>
      <c r="T218" s="26" t="n">
        <v>2.92</v>
      </c>
      <c r="U218" s="11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26" t="n">
        <v>72.03</v>
      </c>
      <c r="W218" s="26" t="n">
        <v>70.22</v>
      </c>
      <c r="X218" s="26">
        <f>ROUND(('Methodology &amp; Assumptions'!$B$5*V218) + ('Methodology &amp; Assumptions'!$B$6*W218), 2)</f>
        <v/>
      </c>
      <c r="Y218" s="28" t="n">
        <v>10.9</v>
      </c>
      <c r="Z218" s="11" t="inlineStr">
        <is>
          <t>Priority Tier 1 (High Commercial &amp; Social)</t>
        </is>
      </c>
    </row>
    <row r="219">
      <c r="A219" s="23" t="n">
        <v>1</v>
      </c>
      <c r="B219" s="23" t="n">
        <v>215</v>
      </c>
      <c r="C219" s="23" t="n">
        <v>215</v>
      </c>
      <c r="D219" s="23" t="inlineStr">
        <is>
          <t>1380611038</t>
        </is>
      </c>
      <c r="E219" s="11" t="inlineStr">
        <is>
          <t>National Capital Region (NCR)</t>
        </is>
      </c>
      <c r="F219" s="11" t="inlineStr">
        <is>
          <t>First District (Not a Province)</t>
        </is>
      </c>
      <c r="G219" s="11" t="inlineStr">
        <is>
          <t>City of Manila</t>
        </is>
      </c>
      <c r="H219" s="11" t="inlineStr">
        <is>
          <t>Barangay 823</t>
        </is>
      </c>
      <c r="I219" s="24" t="n">
        <v>14.583096</v>
      </c>
      <c r="J219" s="24" t="n">
        <v>121.000358</v>
      </c>
      <c r="K219" s="23" t="inlineStr">
        <is>
          <t>U</t>
        </is>
      </c>
      <c r="L219" s="25" t="n">
        <v>3590</v>
      </c>
      <c r="M219" s="26" t="n">
        <v>3.96</v>
      </c>
      <c r="N219" s="25">
        <f>ROUND(L219/M219, 0)</f>
        <v/>
      </c>
      <c r="O219" s="25">
        <f>ROUND(N219*'Methodology &amp; Assumptions'!$B$7, 0)</f>
        <v/>
      </c>
      <c r="P219" s="23" t="inlineStr">
        <is>
          <t>Single Carrier (Band n50, 100MHz TDD)</t>
        </is>
      </c>
      <c r="Q219" s="27">
        <f>ROUNDUP(O219/'Methodology &amp; Assumptions'!$B$8, 0)</f>
        <v/>
      </c>
      <c r="R219" s="27" t="n">
        <v>1</v>
      </c>
      <c r="S219" s="26" t="n">
        <v>0.3</v>
      </c>
      <c r="T219" s="26" t="n">
        <v>0.3</v>
      </c>
      <c r="U219" s="11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26" t="n">
        <v>69.09</v>
      </c>
      <c r="W219" s="26" t="n">
        <v>73.11</v>
      </c>
      <c r="X219" s="26">
        <f>ROUND(('Methodology &amp; Assumptions'!$B$5*V219) + ('Methodology &amp; Assumptions'!$B$6*W219), 2)</f>
        <v/>
      </c>
      <c r="Y219" s="28" t="n">
        <v>10.9</v>
      </c>
      <c r="Z219" s="11" t="inlineStr">
        <is>
          <t>Priority Tier 1 (High Commercial &amp; Social)</t>
        </is>
      </c>
    </row>
    <row r="220">
      <c r="A220" s="23" t="n">
        <v>1</v>
      </c>
      <c r="B220" s="23" t="n">
        <v>216</v>
      </c>
      <c r="C220" s="23" t="n">
        <v>216</v>
      </c>
      <c r="D220" s="23" t="inlineStr">
        <is>
          <t>1102319024</t>
        </is>
      </c>
      <c r="E220" s="11" t="inlineStr">
        <is>
          <t>Region XI (Davao Region)</t>
        </is>
      </c>
      <c r="F220" s="11" t="inlineStr">
        <is>
          <t>Davao del Norte</t>
        </is>
      </c>
      <c r="G220" s="11" t="inlineStr">
        <is>
          <t>City of Tagum</t>
        </is>
      </c>
      <c r="H220" s="11" t="inlineStr">
        <is>
          <t>Magugpo North</t>
        </is>
      </c>
      <c r="I220" s="24" t="n">
        <v>7.44978</v>
      </c>
      <c r="J220" s="24" t="n">
        <v>125.80559</v>
      </c>
      <c r="K220" s="23" t="inlineStr">
        <is>
          <t>U</t>
        </is>
      </c>
      <c r="L220" s="25" t="n">
        <v>8739</v>
      </c>
      <c r="M220" s="26" t="n">
        <v>3.7</v>
      </c>
      <c r="N220" s="25">
        <f>ROUND(L220/M220, 0)</f>
        <v/>
      </c>
      <c r="O220" s="25">
        <f>ROUND(N220*'Methodology &amp; Assumptions'!$B$7, 0)</f>
        <v/>
      </c>
      <c r="P220" s="23" t="inlineStr">
        <is>
          <t>Single Carrier (Band n50, 100MHz TDD)</t>
        </is>
      </c>
      <c r="Q220" s="27">
        <f>ROUNDUP(O220/'Methodology &amp; Assumptions'!$B$8, 0)</f>
        <v/>
      </c>
      <c r="R220" s="27" t="n">
        <v>1</v>
      </c>
      <c r="S220" s="26" t="n">
        <v>2.02</v>
      </c>
      <c r="T220" s="26" t="n">
        <v>0.51</v>
      </c>
      <c r="U220" s="11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26" t="n">
        <v>75.55</v>
      </c>
      <c r="W220" s="26" t="n">
        <v>66.63</v>
      </c>
      <c r="X220" s="26">
        <f>ROUND(('Methodology &amp; Assumptions'!$B$5*V220) + ('Methodology &amp; Assumptions'!$B$6*W220), 2)</f>
        <v/>
      </c>
      <c r="Y220" s="28" t="n">
        <v>17.4</v>
      </c>
      <c r="Z220" s="11" t="inlineStr">
        <is>
          <t>Priority Tier 1 (High Commercial &amp; Social)</t>
        </is>
      </c>
    </row>
    <row r="221">
      <c r="A221" s="23" t="n">
        <v>1</v>
      </c>
      <c r="B221" s="23" t="n">
        <v>217</v>
      </c>
      <c r="C221" s="23" t="n">
        <v>217</v>
      </c>
      <c r="D221" s="23" t="inlineStr">
        <is>
          <t>0403403018</t>
        </is>
      </c>
      <c r="E221" s="11" t="inlineStr">
        <is>
          <t>Region IV-A (CALABARZON)</t>
        </is>
      </c>
      <c r="F221" s="11" t="inlineStr">
        <is>
          <t>Laguna</t>
        </is>
      </c>
      <c r="G221" s="11" t="inlineStr">
        <is>
          <t>City of Biñan</t>
        </is>
      </c>
      <c r="H221" s="11" t="inlineStr">
        <is>
          <t>Santo Niño</t>
        </is>
      </c>
      <c r="I221" s="24" t="n">
        <v>14.329948</v>
      </c>
      <c r="J221" s="24" t="n">
        <v>121.082451</v>
      </c>
      <c r="K221" s="23" t="inlineStr">
        <is>
          <t>U</t>
        </is>
      </c>
      <c r="L221" s="25" t="n">
        <v>8480</v>
      </c>
      <c r="M221" s="26" t="n">
        <v>3.3</v>
      </c>
      <c r="N221" s="25">
        <f>ROUND(L221/M221, 0)</f>
        <v/>
      </c>
      <c r="O221" s="25">
        <f>ROUND(N221*'Methodology &amp; Assumptions'!$B$7, 0)</f>
        <v/>
      </c>
      <c r="P221" s="23" t="inlineStr">
        <is>
          <t>Single Carrier (Band n50, 100MHz TDD)</t>
        </is>
      </c>
      <c r="Q221" s="27">
        <f>ROUNDUP(O221/'Methodology &amp; Assumptions'!$B$8, 0)</f>
        <v/>
      </c>
      <c r="R221" s="27" t="n">
        <v>1</v>
      </c>
      <c r="S221" s="26" t="n">
        <v>1.2</v>
      </c>
      <c r="T221" s="26" t="n">
        <v>0.29</v>
      </c>
      <c r="U221" s="11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26" t="n">
        <v>76.87</v>
      </c>
      <c r="W221" s="26" t="n">
        <v>65.28</v>
      </c>
      <c r="X221" s="26">
        <f>ROUND(('Methodology &amp; Assumptions'!$B$5*V221) + ('Methodology &amp; Assumptions'!$B$6*W221), 2)</f>
        <v/>
      </c>
      <c r="Y221" s="28" t="n">
        <v>7.2</v>
      </c>
      <c r="Z221" s="11" t="inlineStr">
        <is>
          <t>Priority Tier 1 (High Commercial &amp; Social)</t>
        </is>
      </c>
    </row>
    <row r="222">
      <c r="A222" s="23" t="n">
        <v>1</v>
      </c>
      <c r="B222" s="23" t="n">
        <v>218</v>
      </c>
      <c r="C222" s="23" t="n">
        <v>218</v>
      </c>
      <c r="D222" s="23" t="inlineStr">
        <is>
          <t>1380601099</t>
        </is>
      </c>
      <c r="E222" s="11" t="inlineStr">
        <is>
          <t>National Capital Region (NCR)</t>
        </is>
      </c>
      <c r="F222" s="11" t="inlineStr">
        <is>
          <t>First District (Not a Province)</t>
        </is>
      </c>
      <c r="G222" s="11" t="inlineStr">
        <is>
          <t>City of Manila</t>
        </is>
      </c>
      <c r="H222" s="11" t="inlineStr">
        <is>
          <t>Barangay 99</t>
        </is>
      </c>
      <c r="I222" s="24" t="n">
        <v>14.62654</v>
      </c>
      <c r="J222" s="24" t="n">
        <v>120.9627</v>
      </c>
      <c r="K222" s="23" t="inlineStr">
        <is>
          <t>U</t>
        </is>
      </c>
      <c r="L222" s="25" t="n">
        <v>3682</v>
      </c>
      <c r="M222" s="26" t="n">
        <v>3.24</v>
      </c>
      <c r="N222" s="25">
        <f>ROUND(L222/M222, 0)</f>
        <v/>
      </c>
      <c r="O222" s="25">
        <f>ROUND(N222*'Methodology &amp; Assumptions'!$B$7, 0)</f>
        <v/>
      </c>
      <c r="P222" s="23" t="inlineStr">
        <is>
          <t>Single Carrier (Band n50, 100MHz TDD)</t>
        </is>
      </c>
      <c r="Q222" s="27">
        <f>ROUNDUP(O222/'Methodology &amp; Assumptions'!$B$8, 0)</f>
        <v/>
      </c>
      <c r="R222" s="27" t="n">
        <v>1</v>
      </c>
      <c r="S222" s="26" t="n">
        <v>0.95</v>
      </c>
      <c r="T222" s="26" t="n">
        <v>0.48</v>
      </c>
      <c r="U222" s="11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26" t="n">
        <v>68.66</v>
      </c>
      <c r="W222" s="26" t="n">
        <v>73.48999999999999</v>
      </c>
      <c r="X222" s="26">
        <f>ROUND(('Methodology &amp; Assumptions'!$B$5*V222) + ('Methodology &amp; Assumptions'!$B$6*W222), 2)</f>
        <v/>
      </c>
      <c r="Y222" s="28" t="n">
        <v>10.9</v>
      </c>
      <c r="Z222" s="11" t="inlineStr">
        <is>
          <t>Priority Tier 1 (High Commercial &amp; Social)</t>
        </is>
      </c>
    </row>
    <row r="223">
      <c r="A223" s="23" t="n">
        <v>1</v>
      </c>
      <c r="B223" s="23" t="n">
        <v>219</v>
      </c>
      <c r="C223" s="23" t="n">
        <v>219</v>
      </c>
      <c r="D223" s="23" t="inlineStr">
        <is>
          <t>1380400015</t>
        </is>
      </c>
      <c r="E223" s="11" t="inlineStr">
        <is>
          <t>National Capital Region (NCR)</t>
        </is>
      </c>
      <c r="F223" s="11" t="inlineStr">
        <is>
          <t>Third District (Not a Province)</t>
        </is>
      </c>
      <c r="G223" s="11" t="inlineStr">
        <is>
          <t>City of Malabon</t>
        </is>
      </c>
      <c r="H223" s="11" t="inlineStr">
        <is>
          <t>Potrero</t>
        </is>
      </c>
      <c r="I223" s="24" t="n">
        <v>14.663192</v>
      </c>
      <c r="J223" s="24" t="n">
        <v>120.983412</v>
      </c>
      <c r="K223" s="23" t="inlineStr">
        <is>
          <t>U</t>
        </is>
      </c>
      <c r="L223" s="25" t="n">
        <v>43411</v>
      </c>
      <c r="M223" s="26" t="n">
        <v>3.49</v>
      </c>
      <c r="N223" s="25">
        <f>ROUND(L223/M223, 0)</f>
        <v/>
      </c>
      <c r="O223" s="25">
        <f>ROUND(N223*'Methodology &amp; Assumptions'!$B$7, 0)</f>
        <v/>
      </c>
      <c r="P223" s="23" t="inlineStr">
        <is>
          <t>Single Carrier (Band n50, 100MHz TDD)</t>
        </is>
      </c>
      <c r="Q223" s="27">
        <f>ROUNDUP(O223/'Methodology &amp; Assumptions'!$B$8, 0)</f>
        <v/>
      </c>
      <c r="R223" s="27" t="n">
        <v>1</v>
      </c>
      <c r="S223" s="26" t="n">
        <v>0.65</v>
      </c>
      <c r="T223" s="26" t="n">
        <v>0.19</v>
      </c>
      <c r="U223" s="11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26" t="n">
        <v>66.54000000000001</v>
      </c>
      <c r="W223" s="26" t="n">
        <v>75.61</v>
      </c>
      <c r="X223" s="26">
        <f>ROUND(('Methodology &amp; Assumptions'!$B$5*V223) + ('Methodology &amp; Assumptions'!$B$6*W223), 2)</f>
        <v/>
      </c>
      <c r="Y223" s="28" t="n">
        <v>10.9</v>
      </c>
      <c r="Z223" s="11" t="inlineStr">
        <is>
          <t>Priority Tier 1 (High Commercial &amp; Social)</t>
        </is>
      </c>
    </row>
    <row r="224">
      <c r="A224" s="23" t="n">
        <v>1</v>
      </c>
      <c r="B224" s="23" t="n">
        <v>220</v>
      </c>
      <c r="C224" s="23" t="n">
        <v>220</v>
      </c>
      <c r="D224" s="23" t="inlineStr">
        <is>
          <t>0402118054</t>
        </is>
      </c>
      <c r="E224" s="11" t="inlineStr">
        <is>
          <t>Region IV-A (CALABARZON)</t>
        </is>
      </c>
      <c r="F224" s="11" t="inlineStr">
        <is>
          <t>Cavite</t>
        </is>
      </c>
      <c r="G224" s="11" t="inlineStr">
        <is>
          <t>Silang</t>
        </is>
      </c>
      <c r="H224" s="11" t="inlineStr">
        <is>
          <t>Anahaw II</t>
        </is>
      </c>
      <c r="I224" s="24" t="n">
        <v>14.271269</v>
      </c>
      <c r="J224" s="24" t="n">
        <v>120.996754</v>
      </c>
      <c r="K224" s="23" t="inlineStr">
        <is>
          <t>R</t>
        </is>
      </c>
      <c r="L224" s="25" t="n">
        <v>3770</v>
      </c>
      <c r="M224" s="26" t="n">
        <v>3.4</v>
      </c>
      <c r="N224" s="25">
        <f>ROUND(L224/M224, 0)</f>
        <v/>
      </c>
      <c r="O224" s="25">
        <f>ROUND(N224*'Methodology &amp; Assumptions'!$B$7, 0)</f>
        <v/>
      </c>
      <c r="P224" s="23" t="inlineStr">
        <is>
          <t>Single Carrier (Band n50, 100MHz TDD)</t>
        </is>
      </c>
      <c r="Q224" s="27">
        <f>ROUNDUP(O224/'Methodology &amp; Assumptions'!$B$8, 0)</f>
        <v/>
      </c>
      <c r="R224" s="27" t="n">
        <v>1</v>
      </c>
      <c r="S224" s="26" t="n">
        <v>1.37</v>
      </c>
      <c r="T224" s="26" t="n">
        <v>3.03</v>
      </c>
      <c r="U224" s="11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26" t="n">
        <v>79.95999999999999</v>
      </c>
      <c r="W224" s="26" t="n">
        <v>62.15</v>
      </c>
      <c r="X224" s="26">
        <f>ROUND(('Methodology &amp; Assumptions'!$B$5*V224) + ('Methodology &amp; Assumptions'!$B$6*W224), 2)</f>
        <v/>
      </c>
      <c r="Y224" s="28" t="n">
        <v>7.2</v>
      </c>
      <c r="Z224" s="11" t="inlineStr">
        <is>
          <t>Priority Tier 1 (High Commercial &amp; Social)</t>
        </is>
      </c>
    </row>
    <row r="225">
      <c r="A225" s="23" t="n">
        <v>1</v>
      </c>
      <c r="B225" s="23" t="n">
        <v>221</v>
      </c>
      <c r="C225" s="23" t="n">
        <v>221</v>
      </c>
      <c r="D225" s="23" t="inlineStr">
        <is>
          <t>0403428011</t>
        </is>
      </c>
      <c r="E225" s="11" t="inlineStr">
        <is>
          <t>Region IV-A (CALABARZON)</t>
        </is>
      </c>
      <c r="F225" s="11" t="inlineStr">
        <is>
          <t>Laguna</t>
        </is>
      </c>
      <c r="G225" s="11" t="inlineStr">
        <is>
          <t>City of Santa Rosa</t>
        </is>
      </c>
      <c r="H225" s="11" t="inlineStr">
        <is>
          <t>Malusak</t>
        </is>
      </c>
      <c r="I225" s="24" t="n">
        <v>14.312884</v>
      </c>
      <c r="J225" s="24" t="n">
        <v>121.11462</v>
      </c>
      <c r="K225" s="23" t="inlineStr">
        <is>
          <t>U</t>
        </is>
      </c>
      <c r="L225" s="25" t="n">
        <v>3185</v>
      </c>
      <c r="M225" s="26" t="n">
        <v>3.3</v>
      </c>
      <c r="N225" s="25">
        <f>ROUND(L225/M225, 0)</f>
        <v/>
      </c>
      <c r="O225" s="25">
        <f>ROUND(N225*'Methodology &amp; Assumptions'!$B$7, 0)</f>
        <v/>
      </c>
      <c r="P225" s="23" t="inlineStr">
        <is>
          <t>Single Carrier (Band n50, 100MHz TDD)</t>
        </is>
      </c>
      <c r="Q225" s="27">
        <f>ROUNDUP(O225/'Methodology &amp; Assumptions'!$B$8, 0)</f>
        <v/>
      </c>
      <c r="R225" s="27" t="n">
        <v>1</v>
      </c>
      <c r="S225" s="26" t="n">
        <v>0.75</v>
      </c>
      <c r="T225" s="26" t="n">
        <v>1.5</v>
      </c>
      <c r="U225" s="11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26" t="n">
        <v>78.26000000000001</v>
      </c>
      <c r="W225" s="26" t="n">
        <v>63.87</v>
      </c>
      <c r="X225" s="26">
        <f>ROUND(('Methodology &amp; Assumptions'!$B$5*V225) + ('Methodology &amp; Assumptions'!$B$6*W225), 2)</f>
        <v/>
      </c>
      <c r="Y225" s="28" t="n">
        <v>7.2</v>
      </c>
      <c r="Z225" s="11" t="inlineStr">
        <is>
          <t>Priority Tier 1 (High Commercial &amp; Social)</t>
        </is>
      </c>
    </row>
    <row r="226">
      <c r="A226" s="23" t="n">
        <v>1</v>
      </c>
      <c r="B226" s="23" t="n">
        <v>222</v>
      </c>
      <c r="C226" s="23" t="n">
        <v>222</v>
      </c>
      <c r="D226" s="23" t="inlineStr">
        <is>
          <t>0403405041</t>
        </is>
      </c>
      <c r="E226" s="11" t="inlineStr">
        <is>
          <t>Region IV-A (CALABARZON)</t>
        </is>
      </c>
      <c r="F226" s="11" t="inlineStr">
        <is>
          <t>Laguna</t>
        </is>
      </c>
      <c r="G226" s="11" t="inlineStr">
        <is>
          <t>City of Calamba</t>
        </is>
      </c>
      <c r="H226" s="11" t="inlineStr">
        <is>
          <t>Barangay 4</t>
        </is>
      </c>
      <c r="I226" s="24" t="n">
        <v>14.21405</v>
      </c>
      <c r="J226" s="24" t="n">
        <v>121.164861</v>
      </c>
      <c r="K226" s="23" t="inlineStr">
        <is>
          <t>R</t>
        </is>
      </c>
      <c r="L226" s="25" t="n">
        <v>3618</v>
      </c>
      <c r="M226" s="26" t="n">
        <v>3.3</v>
      </c>
      <c r="N226" s="25">
        <f>ROUND(L226/M226, 0)</f>
        <v/>
      </c>
      <c r="O226" s="25">
        <f>ROUND(N226*'Methodology &amp; Assumptions'!$B$7, 0)</f>
        <v/>
      </c>
      <c r="P226" s="23" t="inlineStr">
        <is>
          <t>Single Carrier (Band n50, 100MHz TDD)</t>
        </is>
      </c>
      <c r="Q226" s="27">
        <f>ROUNDUP(O226/'Methodology &amp; Assumptions'!$B$8, 0)</f>
        <v/>
      </c>
      <c r="R226" s="27" t="n">
        <v>1</v>
      </c>
      <c r="S226" s="26" t="n">
        <v>2.75</v>
      </c>
      <c r="T226" s="26" t="n">
        <v>0.11</v>
      </c>
      <c r="U226" s="11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26" t="n">
        <v>78.78</v>
      </c>
      <c r="W226" s="26" t="n">
        <v>63.25</v>
      </c>
      <c r="X226" s="26">
        <f>ROUND(('Methodology &amp; Assumptions'!$B$5*V226) + ('Methodology &amp; Assumptions'!$B$6*W226), 2)</f>
        <v/>
      </c>
      <c r="Y226" s="28" t="n">
        <v>7.2</v>
      </c>
      <c r="Z226" s="11" t="inlineStr">
        <is>
          <t>Priority Tier 1 (High Commercial &amp; Social)</t>
        </is>
      </c>
    </row>
    <row r="227">
      <c r="A227" s="23" t="n">
        <v>1</v>
      </c>
      <c r="B227" s="23" t="n">
        <v>223</v>
      </c>
      <c r="C227" s="23" t="n">
        <v>223</v>
      </c>
      <c r="D227" s="23" t="inlineStr">
        <is>
          <t>0403428015</t>
        </is>
      </c>
      <c r="E227" s="11" t="inlineStr">
        <is>
          <t>Region IV-A (CALABARZON)</t>
        </is>
      </c>
      <c r="F227" s="11" t="inlineStr">
        <is>
          <t>Laguna</t>
        </is>
      </c>
      <c r="G227" s="11" t="inlineStr">
        <is>
          <t>City of Santa Rosa</t>
        </is>
      </c>
      <c r="H227" s="11" t="inlineStr">
        <is>
          <t>Kanluran</t>
        </is>
      </c>
      <c r="I227" s="24" t="n">
        <v>14.313363</v>
      </c>
      <c r="J227" s="24" t="n">
        <v>121.107561</v>
      </c>
      <c r="K227" s="23" t="inlineStr">
        <is>
          <t>U</t>
        </is>
      </c>
      <c r="L227" s="25" t="n">
        <v>4643</v>
      </c>
      <c r="M227" s="26" t="n">
        <v>3.3</v>
      </c>
      <c r="N227" s="25">
        <f>ROUND(L227/M227, 0)</f>
        <v/>
      </c>
      <c r="O227" s="25">
        <f>ROUND(N227*'Methodology &amp; Assumptions'!$B$7, 0)</f>
        <v/>
      </c>
      <c r="P227" s="23" t="inlineStr">
        <is>
          <t>Single Carrier (Band n50, 100MHz TDD)</t>
        </is>
      </c>
      <c r="Q227" s="27">
        <f>ROUNDUP(O227/'Methodology &amp; Assumptions'!$B$8, 0)</f>
        <v/>
      </c>
      <c r="R227" s="27" t="n">
        <v>1</v>
      </c>
      <c r="S227" s="26" t="n">
        <v>1.47</v>
      </c>
      <c r="T227" s="26" t="n">
        <v>0.82</v>
      </c>
      <c r="U227" s="11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26" t="n">
        <v>75.88</v>
      </c>
      <c r="W227" s="26" t="n">
        <v>66.12</v>
      </c>
      <c r="X227" s="26">
        <f>ROUND(('Methodology &amp; Assumptions'!$B$5*V227) + ('Methodology &amp; Assumptions'!$B$6*W227), 2)</f>
        <v/>
      </c>
      <c r="Y227" s="28" t="n">
        <v>7.2</v>
      </c>
      <c r="Z227" s="11" t="inlineStr">
        <is>
          <t>Priority Tier 1 (High Commercial &amp; Social)</t>
        </is>
      </c>
    </row>
    <row r="228">
      <c r="A228" s="23" t="n">
        <v>1</v>
      </c>
      <c r="B228" s="23" t="n">
        <v>224</v>
      </c>
      <c r="C228" s="23" t="n">
        <v>224</v>
      </c>
      <c r="D228" s="23" t="inlineStr">
        <is>
          <t>0401019006</t>
        </is>
      </c>
      <c r="E228" s="11" t="inlineStr">
        <is>
          <t>Region IV-A (CALABARZON)</t>
        </is>
      </c>
      <c r="F228" s="11" t="inlineStr">
        <is>
          <t>Batangas</t>
        </is>
      </c>
      <c r="G228" s="11" t="inlineStr">
        <is>
          <t>Nasugbu</t>
        </is>
      </c>
      <c r="H228" s="11" t="inlineStr">
        <is>
          <t>Barangay 12</t>
        </is>
      </c>
      <c r="I228" s="24" t="n">
        <v>14.073739</v>
      </c>
      <c r="J228" s="24" t="n">
        <v>120.633292</v>
      </c>
      <c r="K228" s="23" t="inlineStr">
        <is>
          <t>R</t>
        </is>
      </c>
      <c r="L228" s="25" t="n">
        <v>2382</v>
      </c>
      <c r="M228" s="26" t="n">
        <v>3.6</v>
      </c>
      <c r="N228" s="25">
        <f>ROUND(L228/M228, 0)</f>
        <v/>
      </c>
      <c r="O228" s="25">
        <f>ROUND(N228*'Methodology &amp; Assumptions'!$B$7, 0)</f>
        <v/>
      </c>
      <c r="P228" s="23" t="inlineStr">
        <is>
          <t>Single Carrier (Band n50, 100MHz TDD)</t>
        </is>
      </c>
      <c r="Q228" s="27">
        <f>ROUNDUP(O228/'Methodology &amp; Assumptions'!$B$8, 0)</f>
        <v/>
      </c>
      <c r="R228" s="27" t="n">
        <v>1</v>
      </c>
      <c r="S228" s="26" t="n">
        <v>0.34</v>
      </c>
      <c r="T228" s="26" t="n">
        <v>0.11</v>
      </c>
      <c r="U228" s="11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26" t="n">
        <v>80.51000000000001</v>
      </c>
      <c r="W228" s="26" t="n">
        <v>61.41</v>
      </c>
      <c r="X228" s="26">
        <f>ROUND(('Methodology &amp; Assumptions'!$B$5*V228) + ('Methodology &amp; Assumptions'!$B$6*W228), 2)</f>
        <v/>
      </c>
      <c r="Y228" s="28" t="n">
        <v>7.2</v>
      </c>
      <c r="Z228" s="11" t="inlineStr">
        <is>
          <t>Priority Tier 1 (High Commercial &amp; Social)</t>
        </is>
      </c>
    </row>
    <row r="229">
      <c r="A229" s="23" t="n">
        <v>1</v>
      </c>
      <c r="B229" s="23" t="n">
        <v>225</v>
      </c>
      <c r="C229" s="23" t="n">
        <v>225</v>
      </c>
      <c r="D229" s="23" t="inlineStr">
        <is>
          <t>0402103014</t>
        </is>
      </c>
      <c r="E229" s="11" t="inlineStr">
        <is>
          <t>Region IV-A (CALABARZON)</t>
        </is>
      </c>
      <c r="F229" s="11" t="inlineStr">
        <is>
          <t>Cavite</t>
        </is>
      </c>
      <c r="G229" s="11" t="inlineStr">
        <is>
          <t>City of Bacoor</t>
        </is>
      </c>
      <c r="H229" s="11" t="inlineStr">
        <is>
          <t>Molino I</t>
        </is>
      </c>
      <c r="I229" s="24" t="n">
        <v>14.42142</v>
      </c>
      <c r="J229" s="24" t="n">
        <v>120.974319</v>
      </c>
      <c r="K229" s="23" t="inlineStr">
        <is>
          <t>U</t>
        </is>
      </c>
      <c r="L229" s="25" t="n">
        <v>17504</v>
      </c>
      <c r="M229" s="26" t="n">
        <v>3.4</v>
      </c>
      <c r="N229" s="25">
        <f>ROUND(L229/M229, 0)</f>
        <v/>
      </c>
      <c r="O229" s="25">
        <f>ROUND(N229*'Methodology &amp; Assumptions'!$B$7, 0)</f>
        <v/>
      </c>
      <c r="P229" s="23" t="inlineStr">
        <is>
          <t>Single Carrier (Band n50, 100MHz TDD)</t>
        </is>
      </c>
      <c r="Q229" s="27">
        <f>ROUNDUP(O229/'Methodology &amp; Assumptions'!$B$8, 0)</f>
        <v/>
      </c>
      <c r="R229" s="27" t="n">
        <v>1</v>
      </c>
      <c r="S229" s="26" t="n">
        <v>0.97</v>
      </c>
      <c r="T229" s="26" t="n">
        <v>3.19</v>
      </c>
      <c r="U229" s="11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26" t="n">
        <v>74.25</v>
      </c>
      <c r="W229" s="26" t="n">
        <v>67.67</v>
      </c>
      <c r="X229" s="26">
        <f>ROUND(('Methodology &amp; Assumptions'!$B$5*V229) + ('Methodology &amp; Assumptions'!$B$6*W229), 2)</f>
        <v/>
      </c>
      <c r="Y229" s="28" t="n">
        <v>7.2</v>
      </c>
      <c r="Z229" s="11" t="inlineStr">
        <is>
          <t>Priority Tier 1 (High Commercial &amp; Social)</t>
        </is>
      </c>
    </row>
    <row r="230">
      <c r="A230" s="23" t="n">
        <v>1</v>
      </c>
      <c r="B230" s="23" t="n">
        <v>226</v>
      </c>
      <c r="C230" s="23" t="n">
        <v>226</v>
      </c>
      <c r="D230" s="23" t="inlineStr">
        <is>
          <t>0402106039</t>
        </is>
      </c>
      <c r="E230" s="11" t="inlineStr">
        <is>
          <t>Region IV-A (CALABARZON)</t>
        </is>
      </c>
      <c r="F230" s="11" t="inlineStr">
        <is>
          <t>Cavite</t>
        </is>
      </c>
      <c r="G230" s="11" t="inlineStr">
        <is>
          <t>City of Dasmariñas</t>
        </is>
      </c>
      <c r="H230" s="11" t="inlineStr">
        <is>
          <t>San Simon</t>
        </is>
      </c>
      <c r="I230" s="24" t="n">
        <v>14.319047</v>
      </c>
      <c r="J230" s="24" t="n">
        <v>120.971484</v>
      </c>
      <c r="K230" s="23" t="inlineStr">
        <is>
          <t>U</t>
        </is>
      </c>
      <c r="L230" s="25" t="n">
        <v>6571</v>
      </c>
      <c r="M230" s="26" t="n">
        <v>3.4</v>
      </c>
      <c r="N230" s="25">
        <f>ROUND(L230/M230, 0)</f>
        <v/>
      </c>
      <c r="O230" s="25">
        <f>ROUND(N230*'Methodology &amp; Assumptions'!$B$7, 0)</f>
        <v/>
      </c>
      <c r="P230" s="23" t="inlineStr">
        <is>
          <t>Single Carrier (Band n50, 100MHz TDD)</t>
        </is>
      </c>
      <c r="Q230" s="27">
        <f>ROUNDUP(O230/'Methodology &amp; Assumptions'!$B$8, 0)</f>
        <v/>
      </c>
      <c r="R230" s="27" t="n">
        <v>1</v>
      </c>
      <c r="S230" s="26" t="n">
        <v>0.96</v>
      </c>
      <c r="T230" s="26" t="n">
        <v>2.61</v>
      </c>
      <c r="U230" s="11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26" t="n">
        <v>74.29000000000001</v>
      </c>
      <c r="W230" s="26" t="n">
        <v>67.56999999999999</v>
      </c>
      <c r="X230" s="26">
        <f>ROUND(('Methodology &amp; Assumptions'!$B$5*V230) + ('Methodology &amp; Assumptions'!$B$6*W230), 2)</f>
        <v/>
      </c>
      <c r="Y230" s="28" t="n">
        <v>7.2</v>
      </c>
      <c r="Z230" s="11" t="inlineStr">
        <is>
          <t>Priority Tier 1 (High Commercial &amp; Social)</t>
        </is>
      </c>
    </row>
    <row r="231">
      <c r="A231" s="23" t="n">
        <v>1</v>
      </c>
      <c r="B231" s="23" t="n">
        <v>227</v>
      </c>
      <c r="C231" s="23" t="n">
        <v>227</v>
      </c>
      <c r="D231" s="23" t="inlineStr">
        <is>
          <t>1381600003</t>
        </is>
      </c>
      <c r="E231" s="11" t="inlineStr">
        <is>
          <t>National Capital Region (NCR)</t>
        </is>
      </c>
      <c r="F231" s="11" t="inlineStr">
        <is>
          <t>Third District (Not a Province)</t>
        </is>
      </c>
      <c r="G231" s="11" t="inlineStr">
        <is>
          <t>City of Valenzuela</t>
        </is>
      </c>
      <c r="H231" s="11" t="inlineStr">
        <is>
          <t>Balangkas</t>
        </is>
      </c>
      <c r="I231" s="24" t="n">
        <v>14.71173</v>
      </c>
      <c r="J231" s="24" t="n">
        <v>120.9438</v>
      </c>
      <c r="K231" s="23" t="inlineStr">
        <is>
          <t>U</t>
        </is>
      </c>
      <c r="L231" s="25" t="n">
        <v>14658</v>
      </c>
      <c r="M231" s="26" t="n">
        <v>3.75</v>
      </c>
      <c r="N231" s="25">
        <f>ROUND(L231/M231, 0)</f>
        <v/>
      </c>
      <c r="O231" s="25">
        <f>ROUND(N231*'Methodology &amp; Assumptions'!$B$7, 0)</f>
        <v/>
      </c>
      <c r="P231" s="23" t="inlineStr">
        <is>
          <t>Single Carrier (Band n50, 100MHz TDD)</t>
        </is>
      </c>
      <c r="Q231" s="27">
        <f>ROUNDUP(O231/'Methodology &amp; Assumptions'!$B$8, 0)</f>
        <v/>
      </c>
      <c r="R231" s="27" t="n">
        <v>1</v>
      </c>
      <c r="S231" s="26" t="n">
        <v>0.8100000000000001</v>
      </c>
      <c r="T231" s="26" t="n">
        <v>1.57</v>
      </c>
      <c r="U231" s="11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26" t="n">
        <v>69.09</v>
      </c>
      <c r="W231" s="26" t="n">
        <v>72.75</v>
      </c>
      <c r="X231" s="26">
        <f>ROUND(('Methodology &amp; Assumptions'!$B$5*V231) + ('Methodology &amp; Assumptions'!$B$6*W231), 2)</f>
        <v/>
      </c>
      <c r="Y231" s="28" t="n">
        <v>10.9</v>
      </c>
      <c r="Z231" s="11" t="inlineStr">
        <is>
          <t>Priority Tier 1 (High Commercial &amp; Social)</t>
        </is>
      </c>
    </row>
    <row r="232">
      <c r="A232" s="23" t="n">
        <v>1</v>
      </c>
      <c r="B232" s="23" t="n">
        <v>228</v>
      </c>
      <c r="C232" s="23" t="n">
        <v>228</v>
      </c>
      <c r="D232" s="23" t="inlineStr">
        <is>
          <t>0702232015</t>
        </is>
      </c>
      <c r="E232" s="11" t="inlineStr">
        <is>
          <t>Region VII (Central Visayas)</t>
        </is>
      </c>
      <c r="F232" s="11" t="inlineStr">
        <is>
          <t>Cebu</t>
        </is>
      </c>
      <c r="G232" s="11" t="inlineStr">
        <is>
          <t>Minglanilla</t>
        </is>
      </c>
      <c r="H232" s="11" t="inlineStr">
        <is>
          <t>Tulay</t>
        </is>
      </c>
      <c r="I232" s="24" t="n">
        <v>10.238709</v>
      </c>
      <c r="J232" s="24" t="n">
        <v>123.791266</v>
      </c>
      <c r="K232" s="23" t="inlineStr">
        <is>
          <t>U</t>
        </is>
      </c>
      <c r="L232" s="25" t="n">
        <v>12101</v>
      </c>
      <c r="M232" s="26" t="n">
        <v>3.8</v>
      </c>
      <c r="N232" s="25">
        <f>ROUND(L232/M232, 0)</f>
        <v/>
      </c>
      <c r="O232" s="25">
        <f>ROUND(N232*'Methodology &amp; Assumptions'!$B$7, 0)</f>
        <v/>
      </c>
      <c r="P232" s="23" t="inlineStr">
        <is>
          <t>Single Carrier (Band n50, 100MHz TDD)</t>
        </is>
      </c>
      <c r="Q232" s="27">
        <f>ROUNDUP(O232/'Methodology &amp; Assumptions'!$B$8, 0)</f>
        <v/>
      </c>
      <c r="R232" s="27" t="n">
        <v>1</v>
      </c>
      <c r="S232" s="26" t="n">
        <v>1.41</v>
      </c>
      <c r="T232" s="26" t="n">
        <v>0.05</v>
      </c>
      <c r="U232" s="11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26" t="n">
        <v>78.7</v>
      </c>
      <c r="W232" s="26" t="n">
        <v>63.12</v>
      </c>
      <c r="X232" s="26">
        <f>ROUND(('Methodology &amp; Assumptions'!$B$5*V232) + ('Methodology &amp; Assumptions'!$B$6*W232), 2)</f>
        <v/>
      </c>
      <c r="Y232" s="28" t="n">
        <v>23.7</v>
      </c>
      <c r="Z232" s="11" t="inlineStr">
        <is>
          <t>Priority Tier 1 (High Commercial &amp; Social)</t>
        </is>
      </c>
    </row>
    <row r="233">
      <c r="A233" s="23" t="n">
        <v>1</v>
      </c>
      <c r="B233" s="23" t="n">
        <v>229</v>
      </c>
      <c r="C233" s="23" t="n">
        <v>229</v>
      </c>
      <c r="D233" s="23" t="inlineStr">
        <is>
          <t>1380604009</t>
        </is>
      </c>
      <c r="E233" s="11" t="inlineStr">
        <is>
          <t>National Capital Region (NCR)</t>
        </is>
      </c>
      <c r="F233" s="11" t="inlineStr">
        <is>
          <t>First District (Not a Province)</t>
        </is>
      </c>
      <c r="G233" s="11" t="inlineStr">
        <is>
          <t>City of Manila</t>
        </is>
      </c>
      <c r="H233" s="11" t="inlineStr">
        <is>
          <t>Barangay 276</t>
        </is>
      </c>
      <c r="I233" s="24" t="n">
        <v>14.600992</v>
      </c>
      <c r="J233" s="24" t="n">
        <v>120.967473</v>
      </c>
      <c r="K233" s="23" t="inlineStr">
        <is>
          <t>U</t>
        </is>
      </c>
      <c r="L233" s="25" t="n">
        <v>3077</v>
      </c>
      <c r="M233" s="26" t="n">
        <v>3.73</v>
      </c>
      <c r="N233" s="25">
        <f>ROUND(L233/M233, 0)</f>
        <v/>
      </c>
      <c r="O233" s="25">
        <f>ROUND(N233*'Methodology &amp; Assumptions'!$B$7, 0)</f>
        <v/>
      </c>
      <c r="P233" s="23" t="inlineStr">
        <is>
          <t>Single Carrier (Band n50, 100MHz TDD)</t>
        </is>
      </c>
      <c r="Q233" s="27">
        <f>ROUNDUP(O233/'Methodology &amp; Assumptions'!$B$8, 0)</f>
        <v/>
      </c>
      <c r="R233" s="27" t="n">
        <v>1</v>
      </c>
      <c r="S233" s="26" t="n">
        <v>0.68</v>
      </c>
      <c r="T233" s="26" t="n">
        <v>0.68</v>
      </c>
      <c r="U233" s="11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26" t="n">
        <v>67.66</v>
      </c>
      <c r="W233" s="26" t="n">
        <v>74.15000000000001</v>
      </c>
      <c r="X233" s="26">
        <f>ROUND(('Methodology &amp; Assumptions'!$B$5*V233) + ('Methodology &amp; Assumptions'!$B$6*W233), 2)</f>
        <v/>
      </c>
      <c r="Y233" s="28" t="n">
        <v>10.9</v>
      </c>
      <c r="Z233" s="11" t="inlineStr">
        <is>
          <t>Priority Tier 1 (High Commercial &amp; Social)</t>
        </is>
      </c>
    </row>
    <row r="234">
      <c r="A234" s="23" t="n">
        <v>1</v>
      </c>
      <c r="B234" s="23" t="n">
        <v>230</v>
      </c>
      <c r="C234" s="23" t="n">
        <v>230</v>
      </c>
      <c r="D234" s="23" t="inlineStr">
        <is>
          <t>0201517002</t>
        </is>
      </c>
      <c r="E234" s="11" t="inlineStr">
        <is>
          <t>Region II (Cagayan Valley)</t>
        </is>
      </c>
      <c r="F234" s="11" t="inlineStr">
        <is>
          <t>Cagayan</t>
        </is>
      </c>
      <c r="G234" s="11" t="inlineStr">
        <is>
          <t>Lasam</t>
        </is>
      </c>
      <c r="H234" s="11" t="inlineStr">
        <is>
          <t>Alannay</t>
        </is>
      </c>
      <c r="I234" s="24" t="n">
        <v>18.0346</v>
      </c>
      <c r="J234" s="24" t="n">
        <v>121.344</v>
      </c>
      <c r="K234" s="23" t="inlineStr">
        <is>
          <t>R</t>
        </is>
      </c>
      <c r="L234" s="25" t="n">
        <v>2212</v>
      </c>
      <c r="M234" s="26" t="n">
        <v>3.9</v>
      </c>
      <c r="N234" s="25">
        <f>ROUND(L234/M234, 0)</f>
        <v/>
      </c>
      <c r="O234" s="25">
        <f>ROUND(N234*'Methodology &amp; Assumptions'!$B$7, 0)</f>
        <v/>
      </c>
      <c r="P234" s="23" t="inlineStr">
        <is>
          <t>Single Carrier (Band n50, 100MHz TDD)</t>
        </is>
      </c>
      <c r="Q234" s="27">
        <f>ROUNDUP(O234/'Methodology &amp; Assumptions'!$B$8, 0)</f>
        <v/>
      </c>
      <c r="R234" s="27" t="n">
        <v>1</v>
      </c>
      <c r="S234" s="26" t="n">
        <v>10.18</v>
      </c>
      <c r="T234" s="26" t="n">
        <v>2.1</v>
      </c>
      <c r="U234" s="11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26" t="n">
        <v>56.75</v>
      </c>
      <c r="W234" s="26" t="n">
        <v>85.05</v>
      </c>
      <c r="X234" s="26">
        <f>ROUND(('Methodology &amp; Assumptions'!$B$5*V234) + ('Methodology &amp; Assumptions'!$B$6*W234), 2)</f>
        <v/>
      </c>
      <c r="Y234" s="28" t="n">
        <v>8.300000000000001</v>
      </c>
      <c r="Z234" s="11" t="inlineStr">
        <is>
          <t>Priority Tier 1 (High Commercial &amp; Social)</t>
        </is>
      </c>
    </row>
    <row r="235">
      <c r="A235" s="23" t="n">
        <v>1</v>
      </c>
      <c r="B235" s="23" t="n">
        <v>231</v>
      </c>
      <c r="C235" s="23" t="n">
        <v>231</v>
      </c>
      <c r="D235" s="23" t="inlineStr">
        <is>
          <t>0702232012</t>
        </is>
      </c>
      <c r="E235" s="11" t="inlineStr">
        <is>
          <t>Region VII (Central Visayas)</t>
        </is>
      </c>
      <c r="F235" s="11" t="inlineStr">
        <is>
          <t>Cebu</t>
        </is>
      </c>
      <c r="G235" s="11" t="inlineStr">
        <is>
          <t>Minglanilla</t>
        </is>
      </c>
      <c r="H235" s="11" t="inlineStr">
        <is>
          <t>Poblacion Ward III</t>
        </is>
      </c>
      <c r="I235" s="24" t="n">
        <v>10.246065</v>
      </c>
      <c r="J235" s="24" t="n">
        <v>123.796262</v>
      </c>
      <c r="K235" s="23" t="inlineStr">
        <is>
          <t>U</t>
        </is>
      </c>
      <c r="L235" s="25" t="n">
        <v>2742</v>
      </c>
      <c r="M235" s="26" t="n">
        <v>3.8</v>
      </c>
      <c r="N235" s="25">
        <f>ROUND(L235/M235, 0)</f>
        <v/>
      </c>
      <c r="O235" s="25">
        <f>ROUND(N235*'Methodology &amp; Assumptions'!$B$7, 0)</f>
        <v/>
      </c>
      <c r="P235" s="23" t="inlineStr">
        <is>
          <t>Single Carrier (Band n50, 100MHz TDD)</t>
        </is>
      </c>
      <c r="Q235" s="27">
        <f>ROUNDUP(O235/'Methodology &amp; Assumptions'!$B$8, 0)</f>
        <v/>
      </c>
      <c r="R235" s="27" t="n">
        <v>1</v>
      </c>
      <c r="S235" s="26" t="n">
        <v>0.47</v>
      </c>
      <c r="T235" s="26" t="n">
        <v>0.07000000000000001</v>
      </c>
      <c r="U235" s="11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26" t="n">
        <v>76.26000000000001</v>
      </c>
      <c r="W235" s="26" t="n">
        <v>65.48</v>
      </c>
      <c r="X235" s="26">
        <f>ROUND(('Methodology &amp; Assumptions'!$B$5*V235) + ('Methodology &amp; Assumptions'!$B$6*W235), 2)</f>
        <v/>
      </c>
      <c r="Y235" s="28" t="n">
        <v>23.7</v>
      </c>
      <c r="Z235" s="11" t="inlineStr">
        <is>
          <t>Priority Tier 1 (High Commercial &amp; Social)</t>
        </is>
      </c>
    </row>
    <row r="236">
      <c r="A236" s="23" t="n">
        <v>1</v>
      </c>
      <c r="B236" s="23" t="n">
        <v>232</v>
      </c>
      <c r="C236" s="23" t="n">
        <v>232</v>
      </c>
      <c r="D236" s="23" t="inlineStr">
        <is>
          <t>1380400016</t>
        </is>
      </c>
      <c r="E236" s="11" t="inlineStr">
        <is>
          <t>National Capital Region (NCR)</t>
        </is>
      </c>
      <c r="F236" s="11" t="inlineStr">
        <is>
          <t>Third District (Not a Province)</t>
        </is>
      </c>
      <c r="G236" s="11" t="inlineStr">
        <is>
          <t>City of Malabon</t>
        </is>
      </c>
      <c r="H236" s="11" t="inlineStr">
        <is>
          <t>San Agustin</t>
        </is>
      </c>
      <c r="I236" s="24" t="n">
        <v>14.66194</v>
      </c>
      <c r="J236" s="24" t="n">
        <v>120.952552</v>
      </c>
      <c r="K236" s="23" t="inlineStr">
        <is>
          <t>U</t>
        </is>
      </c>
      <c r="L236" s="25" t="n">
        <v>10993</v>
      </c>
      <c r="M236" s="26" t="n">
        <v>3.54</v>
      </c>
      <c r="N236" s="25">
        <f>ROUND(L236/M236, 0)</f>
        <v/>
      </c>
      <c r="O236" s="25">
        <f>ROUND(N236*'Methodology &amp; Assumptions'!$B$7, 0)</f>
        <v/>
      </c>
      <c r="P236" s="23" t="inlineStr">
        <is>
          <t>Single Carrier (Band n50, 100MHz TDD)</t>
        </is>
      </c>
      <c r="Q236" s="27">
        <f>ROUNDUP(O236/'Methodology &amp; Assumptions'!$B$8, 0)</f>
        <v/>
      </c>
      <c r="R236" s="27" t="n">
        <v>1</v>
      </c>
      <c r="S236" s="26" t="n">
        <v>0.49</v>
      </c>
      <c r="T236" s="26" t="n">
        <v>0.37</v>
      </c>
      <c r="U236" s="11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26" t="n">
        <v>69.09</v>
      </c>
      <c r="W236" s="26" t="n">
        <v>72.63</v>
      </c>
      <c r="X236" s="26">
        <f>ROUND(('Methodology &amp; Assumptions'!$B$5*V236) + ('Methodology &amp; Assumptions'!$B$6*W236), 2)</f>
        <v/>
      </c>
      <c r="Y236" s="28" t="n">
        <v>10.9</v>
      </c>
      <c r="Z236" s="11" t="inlineStr">
        <is>
          <t>Priority Tier 1 (High Commercial &amp; Social)</t>
        </is>
      </c>
    </row>
    <row r="237">
      <c r="A237" s="23" t="n">
        <v>1</v>
      </c>
      <c r="B237" s="23" t="n">
        <v>233</v>
      </c>
      <c r="C237" s="23" t="n">
        <v>233</v>
      </c>
      <c r="D237" s="23" t="inlineStr">
        <is>
          <t>1380601085</t>
        </is>
      </c>
      <c r="E237" s="11" t="inlineStr">
        <is>
          <t>National Capital Region (NCR)</t>
        </is>
      </c>
      <c r="F237" s="11" t="inlineStr">
        <is>
          <t>First District (Not a Province)</t>
        </is>
      </c>
      <c r="G237" s="11" t="inlineStr">
        <is>
          <t>City of Manila</t>
        </is>
      </c>
      <c r="H237" s="11" t="inlineStr">
        <is>
          <t>Barangay 85</t>
        </is>
      </c>
      <c r="I237" s="24" t="n">
        <v>14.61761</v>
      </c>
      <c r="J237" s="24" t="n">
        <v>120.965109</v>
      </c>
      <c r="K237" s="23" t="inlineStr">
        <is>
          <t>U</t>
        </is>
      </c>
      <c r="L237" s="25" t="n">
        <v>4051</v>
      </c>
      <c r="M237" s="26" t="n">
        <v>4.79</v>
      </c>
      <c r="N237" s="25">
        <f>ROUND(L237/M237, 0)</f>
        <v/>
      </c>
      <c r="O237" s="25">
        <f>ROUND(N237*'Methodology &amp; Assumptions'!$B$7, 0)</f>
        <v/>
      </c>
      <c r="P237" s="23" t="inlineStr">
        <is>
          <t>Single Carrier (Band n50, 100MHz TDD)</t>
        </is>
      </c>
      <c r="Q237" s="27">
        <f>ROUNDUP(O237/'Methodology &amp; Assumptions'!$B$8, 0)</f>
        <v/>
      </c>
      <c r="R237" s="27" t="n">
        <v>1</v>
      </c>
      <c r="S237" s="26" t="n">
        <v>0.26</v>
      </c>
      <c r="T237" s="26" t="n">
        <v>0.14</v>
      </c>
      <c r="U237" s="11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26" t="n">
        <v>68.3</v>
      </c>
      <c r="W237" s="26" t="n">
        <v>73.42</v>
      </c>
      <c r="X237" s="26">
        <f>ROUND(('Methodology &amp; Assumptions'!$B$5*V237) + ('Methodology &amp; Assumptions'!$B$6*W237), 2)</f>
        <v/>
      </c>
      <c r="Y237" s="28" t="n">
        <v>10.9</v>
      </c>
      <c r="Z237" s="11" t="inlineStr">
        <is>
          <t>Priority Tier 1 (High Commercial &amp; Social)</t>
        </is>
      </c>
    </row>
    <row r="238">
      <c r="A238" s="23" t="n">
        <v>1</v>
      </c>
      <c r="B238" s="23" t="n">
        <v>234</v>
      </c>
      <c r="C238" s="23" t="n">
        <v>234</v>
      </c>
      <c r="D238" s="23" t="inlineStr">
        <is>
          <t>1705305004</t>
        </is>
      </c>
      <c r="E238" s="11" t="inlineStr">
        <is>
          <t>MIMAROPA Region</t>
        </is>
      </c>
      <c r="F238" s="11" t="inlineStr">
        <is>
          <t>Palawan</t>
        </is>
      </c>
      <c r="G238" s="11" t="inlineStr">
        <is>
          <t>Bataraza</t>
        </is>
      </c>
      <c r="H238" s="11" t="inlineStr">
        <is>
          <t>Culandanum</t>
        </is>
      </c>
      <c r="I238" s="24" t="n">
        <v>8.671037999999999</v>
      </c>
      <c r="J238" s="24" t="n">
        <v>117.449797</v>
      </c>
      <c r="K238" s="23" t="inlineStr">
        <is>
          <t>R</t>
        </is>
      </c>
      <c r="L238" s="25" t="n">
        <v>5631</v>
      </c>
      <c r="M238" s="26" t="n">
        <v>3.9</v>
      </c>
      <c r="N238" s="25">
        <f>ROUND(L238/M238, 0)</f>
        <v/>
      </c>
      <c r="O238" s="25">
        <f>ROUND(N238*'Methodology &amp; Assumptions'!$B$7, 0)</f>
        <v/>
      </c>
      <c r="P238" s="23" t="inlineStr">
        <is>
          <t>Single Carrier (Band n50, 100MHz TDD)</t>
        </is>
      </c>
      <c r="Q238" s="27">
        <f>ROUNDUP(O238/'Methodology &amp; Assumptions'!$B$8, 0)</f>
        <v/>
      </c>
      <c r="R238" s="27" t="n">
        <v>1</v>
      </c>
      <c r="S238" s="26" t="n">
        <v>184.39</v>
      </c>
      <c r="T238" s="26" t="n">
        <v>186.67</v>
      </c>
      <c r="U238" s="11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26" t="n">
        <v>61.44</v>
      </c>
      <c r="W238" s="26" t="n">
        <v>80.28</v>
      </c>
      <c r="X238" s="26">
        <f>ROUND(('Methodology &amp; Assumptions'!$B$5*V238) + ('Methodology &amp; Assumptions'!$B$6*W238), 2)</f>
        <v/>
      </c>
      <c r="Y238" s="28" t="n">
        <v>15</v>
      </c>
      <c r="Z238" s="11" t="inlineStr">
        <is>
          <t>Priority Tier 1 (High Commercial &amp; Social)</t>
        </is>
      </c>
    </row>
    <row r="239">
      <c r="A239" s="23" t="n">
        <v>1</v>
      </c>
      <c r="B239" s="23" t="n">
        <v>235</v>
      </c>
      <c r="C239" s="23" t="n">
        <v>235</v>
      </c>
      <c r="D239" s="23" t="inlineStr">
        <is>
          <t>0402116003</t>
        </is>
      </c>
      <c r="E239" s="11" t="inlineStr">
        <is>
          <t>Region IV-A (CALABARZON)</t>
        </is>
      </c>
      <c r="F239" s="11" t="inlineStr">
        <is>
          <t>Cavite</t>
        </is>
      </c>
      <c r="G239" s="11" t="inlineStr">
        <is>
          <t>Noveleta</t>
        </is>
      </c>
      <c r="H239" s="11" t="inlineStr">
        <is>
          <t>Salcedo I</t>
        </is>
      </c>
      <c r="I239" s="24" t="n">
        <v>14.427101</v>
      </c>
      <c r="J239" s="24" t="n">
        <v>120.877885</v>
      </c>
      <c r="K239" s="23" t="inlineStr">
        <is>
          <t>R</t>
        </is>
      </c>
      <c r="L239" s="25" t="n">
        <v>1999</v>
      </c>
      <c r="M239" s="26" t="n">
        <v>3.4</v>
      </c>
      <c r="N239" s="25">
        <f>ROUND(L239/M239, 0)</f>
        <v/>
      </c>
      <c r="O239" s="25">
        <f>ROUND(N239*'Methodology &amp; Assumptions'!$B$7, 0)</f>
        <v/>
      </c>
      <c r="P239" s="23" t="inlineStr">
        <is>
          <t>Single Carrier (Band n50, 100MHz TDD)</t>
        </is>
      </c>
      <c r="Q239" s="27">
        <f>ROUNDUP(O239/'Methodology &amp; Assumptions'!$B$8, 0)</f>
        <v/>
      </c>
      <c r="R239" s="27" t="n">
        <v>1</v>
      </c>
      <c r="S239" s="26" t="n">
        <v>0.62</v>
      </c>
      <c r="T239" s="26" t="n">
        <v>0.59</v>
      </c>
      <c r="U239" s="11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26" t="n">
        <v>78</v>
      </c>
      <c r="W239" s="26" t="n">
        <v>63.65</v>
      </c>
      <c r="X239" s="26">
        <f>ROUND(('Methodology &amp; Assumptions'!$B$5*V239) + ('Methodology &amp; Assumptions'!$B$6*W239), 2)</f>
        <v/>
      </c>
      <c r="Y239" s="28" t="n">
        <v>7.2</v>
      </c>
      <c r="Z239" s="11" t="inlineStr">
        <is>
          <t>Priority Tier 1 (High Commercial &amp; Social)</t>
        </is>
      </c>
    </row>
    <row r="240">
      <c r="A240" s="23" t="n">
        <v>1</v>
      </c>
      <c r="B240" s="23" t="n">
        <v>236</v>
      </c>
      <c r="C240" s="23" t="n">
        <v>236</v>
      </c>
      <c r="D240" s="23" t="inlineStr">
        <is>
          <t>1380601129</t>
        </is>
      </c>
      <c r="E240" s="11" t="inlineStr">
        <is>
          <t>National Capital Region (NCR)</t>
        </is>
      </c>
      <c r="F240" s="11" t="inlineStr">
        <is>
          <t>First District (Not a Province)</t>
        </is>
      </c>
      <c r="G240" s="11" t="inlineStr">
        <is>
          <t>City of Manila</t>
        </is>
      </c>
      <c r="H240" s="11" t="inlineStr">
        <is>
          <t>Barangay 129</t>
        </is>
      </c>
      <c r="I240" s="24" t="n">
        <v>14.629494</v>
      </c>
      <c r="J240" s="24" t="n">
        <v>120.962608</v>
      </c>
      <c r="K240" s="23" t="inlineStr">
        <is>
          <t>U</t>
        </is>
      </c>
      <c r="L240" s="25" t="n">
        <v>5207</v>
      </c>
      <c r="M240" s="26" t="n">
        <v>3.77</v>
      </c>
      <c r="N240" s="25">
        <f>ROUND(L240/M240, 0)</f>
        <v/>
      </c>
      <c r="O240" s="25">
        <f>ROUND(N240*'Methodology &amp; Assumptions'!$B$7, 0)</f>
        <v/>
      </c>
      <c r="P240" s="23" t="inlineStr">
        <is>
          <t>Single Carrier (Band n50, 100MHz TDD)</t>
        </is>
      </c>
      <c r="Q240" s="27">
        <f>ROUNDUP(O240/'Methodology &amp; Assumptions'!$B$8, 0)</f>
        <v/>
      </c>
      <c r="R240" s="27" t="n">
        <v>1</v>
      </c>
      <c r="S240" s="26" t="n">
        <v>1.19</v>
      </c>
      <c r="T240" s="26" t="n">
        <v>0.26</v>
      </c>
      <c r="U240" s="11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26" t="n">
        <v>67.75</v>
      </c>
      <c r="W240" s="26" t="n">
        <v>73.91</v>
      </c>
      <c r="X240" s="26">
        <f>ROUND(('Methodology &amp; Assumptions'!$B$5*V240) + ('Methodology &amp; Assumptions'!$B$6*W240), 2)</f>
        <v/>
      </c>
      <c r="Y240" s="28" t="n">
        <v>10.9</v>
      </c>
      <c r="Z240" s="11" t="inlineStr">
        <is>
          <t>Priority Tier 1 (High Commercial &amp; Social)</t>
        </is>
      </c>
    </row>
    <row r="241">
      <c r="A241" s="23" t="n">
        <v>1</v>
      </c>
      <c r="B241" s="23" t="n">
        <v>237</v>
      </c>
      <c r="C241" s="23" t="n">
        <v>237</v>
      </c>
      <c r="D241" s="23" t="inlineStr">
        <is>
          <t>0600406021</t>
        </is>
      </c>
      <c r="E241" s="11" t="inlineStr">
        <is>
          <t>Region VI (Western Visayas)</t>
        </is>
      </c>
      <c r="F241" s="11" t="inlineStr">
        <is>
          <t>Aklan</t>
        </is>
      </c>
      <c r="G241" s="11" t="inlineStr">
        <is>
          <t>Ibajay</t>
        </is>
      </c>
      <c r="H241" s="11" t="inlineStr">
        <is>
          <t>Naisud</t>
        </is>
      </c>
      <c r="I241" s="24" t="n">
        <v>11.753681</v>
      </c>
      <c r="J241" s="24" t="n">
        <v>122.193589</v>
      </c>
      <c r="K241" s="23" t="inlineStr">
        <is>
          <t>R</t>
        </is>
      </c>
      <c r="L241" s="25" t="n">
        <v>3304</v>
      </c>
      <c r="M241" s="26" t="n">
        <v>3.9</v>
      </c>
      <c r="N241" s="25">
        <f>ROUND(L241/M241, 0)</f>
        <v/>
      </c>
      <c r="O241" s="25">
        <f>ROUND(N241*'Methodology &amp; Assumptions'!$B$7, 0)</f>
        <v/>
      </c>
      <c r="P241" s="23" t="inlineStr">
        <is>
          <t>Single Carrier (Band n50, 100MHz TDD)</t>
        </is>
      </c>
      <c r="Q241" s="27">
        <f>ROUNDUP(O241/'Methodology &amp; Assumptions'!$B$8, 0)</f>
        <v/>
      </c>
      <c r="R241" s="27" t="n">
        <v>1</v>
      </c>
      <c r="S241" s="26" t="n">
        <v>11.65</v>
      </c>
      <c r="T241" s="26" t="n">
        <v>2.31</v>
      </c>
      <c r="U241" s="11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26" t="n">
        <v>64.87</v>
      </c>
      <c r="W241" s="26" t="n">
        <v>76.8</v>
      </c>
      <c r="X241" s="26">
        <f>ROUND(('Methodology &amp; Assumptions'!$B$5*V241) + ('Methodology &amp; Assumptions'!$B$6*W241), 2)</f>
        <v/>
      </c>
      <c r="Y241" s="28" t="n">
        <v>23.7</v>
      </c>
      <c r="Z241" s="11" t="inlineStr">
        <is>
          <t>Priority Tier 1 (High Commercial &amp; Social)</t>
        </is>
      </c>
    </row>
    <row r="242">
      <c r="A242" s="23" t="n">
        <v>1</v>
      </c>
      <c r="B242" s="23" t="n">
        <v>238</v>
      </c>
      <c r="C242" s="23" t="n">
        <v>238</v>
      </c>
      <c r="D242" s="23" t="inlineStr">
        <is>
          <t>0401003013</t>
        </is>
      </c>
      <c r="E242" s="11" t="inlineStr">
        <is>
          <t>Region IV-A (CALABARZON)</t>
        </is>
      </c>
      <c r="F242" s="11" t="inlineStr">
        <is>
          <t>Batangas</t>
        </is>
      </c>
      <c r="G242" s="11" t="inlineStr">
        <is>
          <t>Balayan</t>
        </is>
      </c>
      <c r="H242" s="11" t="inlineStr">
        <is>
          <t>Barangay 8</t>
        </is>
      </c>
      <c r="I242" s="24" t="n">
        <v>13.94185</v>
      </c>
      <c r="J242" s="24" t="n">
        <v>120.729966</v>
      </c>
      <c r="K242" s="23" t="inlineStr">
        <is>
          <t>R</t>
        </is>
      </c>
      <c r="L242" s="25" t="n">
        <v>2170</v>
      </c>
      <c r="M242" s="26" t="n">
        <v>3.6</v>
      </c>
      <c r="N242" s="25">
        <f>ROUND(L242/M242, 0)</f>
        <v/>
      </c>
      <c r="O242" s="25">
        <f>ROUND(N242*'Methodology &amp; Assumptions'!$B$7, 0)</f>
        <v/>
      </c>
      <c r="P242" s="23" t="inlineStr">
        <is>
          <t>Single Carrier (Band n50, 100MHz TDD)</t>
        </is>
      </c>
      <c r="Q242" s="27">
        <f>ROUNDUP(O242/'Methodology &amp; Assumptions'!$B$8, 0)</f>
        <v/>
      </c>
      <c r="R242" s="27" t="n">
        <v>1</v>
      </c>
      <c r="S242" s="26" t="n">
        <v>0.27</v>
      </c>
      <c r="T242" s="26" t="n">
        <v>0.26</v>
      </c>
      <c r="U242" s="11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26" t="n">
        <v>78.55</v>
      </c>
      <c r="W242" s="26" t="n">
        <v>63.09</v>
      </c>
      <c r="X242" s="26">
        <f>ROUND(('Methodology &amp; Assumptions'!$B$5*V242) + ('Methodology &amp; Assumptions'!$B$6*W242), 2)</f>
        <v/>
      </c>
      <c r="Y242" s="28" t="n">
        <v>7.2</v>
      </c>
      <c r="Z242" s="11" t="inlineStr">
        <is>
          <t>Priority Tier 1 (High Commercial &amp; Social)</t>
        </is>
      </c>
    </row>
    <row r="243">
      <c r="A243" s="23" t="n">
        <v>1</v>
      </c>
      <c r="B243" s="23" t="n">
        <v>239</v>
      </c>
      <c r="C243" s="23" t="n">
        <v>239</v>
      </c>
      <c r="D243" s="23" t="inlineStr">
        <is>
          <t>1381200026</t>
        </is>
      </c>
      <c r="E243" s="11" t="inlineStr">
        <is>
          <t>National Capital Region (NCR)</t>
        </is>
      </c>
      <c r="F243" s="11" t="inlineStr">
        <is>
          <t>Second District (Not a Province)</t>
        </is>
      </c>
      <c r="G243" s="11" t="inlineStr">
        <is>
          <t>City of Pasig</t>
        </is>
      </c>
      <c r="H243" s="11" t="inlineStr">
        <is>
          <t>Santo Tomas</t>
        </is>
      </c>
      <c r="I243" s="24" t="n">
        <v>14.564666</v>
      </c>
      <c r="J243" s="24" t="n">
        <v>121.079577</v>
      </c>
      <c r="K243" s="23" t="inlineStr">
        <is>
          <t>U</t>
        </is>
      </c>
      <c r="L243" s="25" t="n">
        <v>13989</v>
      </c>
      <c r="M243" s="26" t="n">
        <v>3.86</v>
      </c>
      <c r="N243" s="25">
        <f>ROUND(L243/M243, 0)</f>
        <v/>
      </c>
      <c r="O243" s="25">
        <f>ROUND(N243*'Methodology &amp; Assumptions'!$B$7, 0)</f>
        <v/>
      </c>
      <c r="P243" s="23" t="inlineStr">
        <is>
          <t>Single Carrier (Band n50, 100MHz TDD)</t>
        </is>
      </c>
      <c r="Q243" s="27">
        <f>ROUNDUP(O243/'Methodology &amp; Assumptions'!$B$8, 0)</f>
        <v/>
      </c>
      <c r="R243" s="27" t="n">
        <v>1</v>
      </c>
      <c r="S243" s="26" t="n">
        <v>0.47</v>
      </c>
      <c r="T243" s="26" t="n">
        <v>0.33</v>
      </c>
      <c r="U243" s="11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26" t="n">
        <v>69.09</v>
      </c>
      <c r="W243" s="26" t="n">
        <v>72.48999999999999</v>
      </c>
      <c r="X243" s="26">
        <f>ROUND(('Methodology &amp; Assumptions'!$B$5*V243) + ('Methodology &amp; Assumptions'!$B$6*W243), 2)</f>
        <v/>
      </c>
      <c r="Y243" s="28" t="n">
        <v>10.9</v>
      </c>
      <c r="Z243" s="11" t="inlineStr">
        <is>
          <t>Priority Tier 1 (High Commercial &amp; Social)</t>
        </is>
      </c>
    </row>
    <row r="244">
      <c r="A244" s="23" t="n">
        <v>1</v>
      </c>
      <c r="B244" s="23" t="n">
        <v>240</v>
      </c>
      <c r="C244" s="23" t="n">
        <v>240</v>
      </c>
      <c r="D244" s="23" t="inlineStr">
        <is>
          <t>0301412022</t>
        </is>
      </c>
      <c r="E244" s="11" t="inlineStr">
        <is>
          <t>Region III (Central Luzon)</t>
        </is>
      </c>
      <c r="F244" s="11" t="inlineStr">
        <is>
          <t>Bulacan</t>
        </is>
      </c>
      <c r="G244" s="11" t="inlineStr">
        <is>
          <t>City of Meycauayan</t>
        </is>
      </c>
      <c r="H244" s="11" t="inlineStr">
        <is>
          <t>Saint Francis (Gasak)</t>
        </is>
      </c>
      <c r="I244" s="24" t="n">
        <v>14.733624</v>
      </c>
      <c r="J244" s="24" t="n">
        <v>120.95698</v>
      </c>
      <c r="K244" s="23" t="inlineStr">
        <is>
          <t>R</t>
        </is>
      </c>
      <c r="L244" s="25" t="n">
        <v>1372</v>
      </c>
      <c r="M244" s="26" t="n">
        <v>3.5</v>
      </c>
      <c r="N244" s="25">
        <f>ROUND(L244/M244, 0)</f>
        <v/>
      </c>
      <c r="O244" s="25">
        <f>ROUND(N244*'Methodology &amp; Assumptions'!$B$7, 0)</f>
        <v/>
      </c>
      <c r="P244" s="23" t="inlineStr">
        <is>
          <t>Single Carrier (Band n50, 100MHz TDD)</t>
        </is>
      </c>
      <c r="Q244" s="27">
        <f>ROUNDUP(O244/'Methodology &amp; Assumptions'!$B$8, 0)</f>
        <v/>
      </c>
      <c r="R244" s="27" t="n">
        <v>1</v>
      </c>
      <c r="S244" s="26" t="n">
        <v>1.34</v>
      </c>
      <c r="T244" s="26" t="n">
        <v>0.49</v>
      </c>
      <c r="U244" s="11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26" t="n">
        <v>69.91</v>
      </c>
      <c r="W244" s="26" t="n">
        <v>71.65000000000001</v>
      </c>
      <c r="X244" s="26">
        <f>ROUND(('Methodology &amp; Assumptions'!$B$5*V244) + ('Methodology &amp; Assumptions'!$B$6*W244), 2)</f>
        <v/>
      </c>
      <c r="Y244" s="28" t="n">
        <v>8.300000000000001</v>
      </c>
      <c r="Z244" s="11" t="inlineStr">
        <is>
          <t>Priority Tier 1 (High Commercial &amp; Social)</t>
        </is>
      </c>
    </row>
    <row r="245">
      <c r="A245" s="23" t="n">
        <v>1</v>
      </c>
      <c r="B245" s="23" t="n">
        <v>241</v>
      </c>
      <c r="C245" s="23" t="n">
        <v>241</v>
      </c>
      <c r="D245" s="23" t="inlineStr">
        <is>
          <t>1380605012</t>
        </is>
      </c>
      <c r="E245" s="11" t="inlineStr">
        <is>
          <t>National Capital Region (NCR)</t>
        </is>
      </c>
      <c r="F245" s="11" t="inlineStr">
        <is>
          <t>First District (Not a Province)</t>
        </is>
      </c>
      <c r="G245" s="11" t="inlineStr">
        <is>
          <t>City of Manila</t>
        </is>
      </c>
      <c r="H245" s="11" t="inlineStr">
        <is>
          <t>Barangay 310</t>
        </is>
      </c>
      <c r="I245" s="24" t="n">
        <v>14.604108</v>
      </c>
      <c r="J245" s="24" t="n">
        <v>120.983828</v>
      </c>
      <c r="K245" s="23" t="inlineStr">
        <is>
          <t>U</t>
        </is>
      </c>
      <c r="L245" s="25" t="n">
        <v>13761</v>
      </c>
      <c r="M245" s="26" t="n">
        <v>4.5</v>
      </c>
      <c r="N245" s="25">
        <f>ROUND(L245/M245, 0)</f>
        <v/>
      </c>
      <c r="O245" s="25">
        <f>ROUND(N245*'Methodology &amp; Assumptions'!$B$7, 0)</f>
        <v/>
      </c>
      <c r="P245" s="23" t="inlineStr">
        <is>
          <t>Single Carrier (Band n50, 100MHz TDD)</t>
        </is>
      </c>
      <c r="Q245" s="27">
        <f>ROUNDUP(O245/'Methodology &amp; Assumptions'!$B$8, 0)</f>
        <v/>
      </c>
      <c r="R245" s="27" t="n">
        <v>1</v>
      </c>
      <c r="S245" s="26" t="n">
        <v>0.8</v>
      </c>
      <c r="T245" s="26" t="n">
        <v>0.18</v>
      </c>
      <c r="U245" s="11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26" t="n">
        <v>69.09</v>
      </c>
      <c r="W245" s="26" t="n">
        <v>72.45999999999999</v>
      </c>
      <c r="X245" s="26">
        <f>ROUND(('Methodology &amp; Assumptions'!$B$5*V245) + ('Methodology &amp; Assumptions'!$B$6*W245), 2)</f>
        <v/>
      </c>
      <c r="Y245" s="28" t="n">
        <v>10.9</v>
      </c>
      <c r="Z245" s="11" t="inlineStr">
        <is>
          <t>Priority Tier 1 (High Commercial &amp; Social)</t>
        </is>
      </c>
    </row>
    <row r="246">
      <c r="A246" s="23" t="n">
        <v>1</v>
      </c>
      <c r="B246" s="23" t="n">
        <v>242</v>
      </c>
      <c r="C246" s="23" t="n">
        <v>242</v>
      </c>
      <c r="D246" s="23" t="inlineStr">
        <is>
          <t>1381200004</t>
        </is>
      </c>
      <c r="E246" s="11" t="inlineStr">
        <is>
          <t>National Capital Region (NCR)</t>
        </is>
      </c>
      <c r="F246" s="11" t="inlineStr">
        <is>
          <t>Second District (Not a Province)</t>
        </is>
      </c>
      <c r="G246" s="11" t="inlineStr">
        <is>
          <t>City of Pasig</t>
        </is>
      </c>
      <c r="H246" s="11" t="inlineStr">
        <is>
          <t>Buting</t>
        </is>
      </c>
      <c r="I246" s="24" t="n">
        <v>14.554101</v>
      </c>
      <c r="J246" s="24" t="n">
        <v>121.06742</v>
      </c>
      <c r="K246" s="23" t="inlineStr">
        <is>
          <t>U</t>
        </is>
      </c>
      <c r="L246" s="25" t="n">
        <v>10698</v>
      </c>
      <c r="M246" s="26" t="n">
        <v>3.48</v>
      </c>
      <c r="N246" s="25">
        <f>ROUND(L246/M246, 0)</f>
        <v/>
      </c>
      <c r="O246" s="25">
        <f>ROUND(N246*'Methodology &amp; Assumptions'!$B$7, 0)</f>
        <v/>
      </c>
      <c r="P246" s="23" t="inlineStr">
        <is>
          <t>Single Carrier (Band n50, 100MHz TDD)</t>
        </is>
      </c>
      <c r="Q246" s="27">
        <f>ROUNDUP(O246/'Methodology &amp; Assumptions'!$B$8, 0)</f>
        <v/>
      </c>
      <c r="R246" s="27" t="n">
        <v>1</v>
      </c>
      <c r="S246" s="26" t="n">
        <v>1.05</v>
      </c>
      <c r="T246" s="26" t="n">
        <v>0.02</v>
      </c>
      <c r="U246" s="11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26" t="n">
        <v>68.27</v>
      </c>
      <c r="W246" s="26" t="n">
        <v>73.26000000000001</v>
      </c>
      <c r="X246" s="26">
        <f>ROUND(('Methodology &amp; Assumptions'!$B$5*V246) + ('Methodology &amp; Assumptions'!$B$6*W246), 2)</f>
        <v/>
      </c>
      <c r="Y246" s="28" t="n">
        <v>10.9</v>
      </c>
      <c r="Z246" s="11" t="inlineStr">
        <is>
          <t>Priority Tier 1 (High Commercial &amp; Social)</t>
        </is>
      </c>
    </row>
    <row r="247">
      <c r="A247" s="23" t="n">
        <v>1</v>
      </c>
      <c r="B247" s="23" t="n">
        <v>243</v>
      </c>
      <c r="C247" s="23" t="n">
        <v>243</v>
      </c>
      <c r="D247" s="23" t="inlineStr">
        <is>
          <t>0307704009</t>
        </is>
      </c>
      <c r="E247" s="11" t="inlineStr">
        <is>
          <t>Region III (Central Luzon)</t>
        </is>
      </c>
      <c r="F247" s="11" t="inlineStr">
        <is>
          <t>Aurora</t>
        </is>
      </c>
      <c r="G247" s="11" t="inlineStr">
        <is>
          <t>Dinalungan</t>
        </is>
      </c>
      <c r="H247" s="11" t="inlineStr">
        <is>
          <t>Simbahan</t>
        </is>
      </c>
      <c r="I247" s="24" t="n">
        <v>16.163221</v>
      </c>
      <c r="J247" s="24" t="n">
        <v>121.867646</v>
      </c>
      <c r="K247" s="23" t="inlineStr">
        <is>
          <t>R</t>
        </is>
      </c>
      <c r="L247" s="25" t="n">
        <v>1295</v>
      </c>
      <c r="M247" s="26" t="n">
        <v>3.8</v>
      </c>
      <c r="N247" s="25">
        <f>ROUND(L247/M247, 0)</f>
        <v/>
      </c>
      <c r="O247" s="25">
        <f>ROUND(N247*'Methodology &amp; Assumptions'!$B$7, 0)</f>
        <v/>
      </c>
      <c r="P247" s="23" t="inlineStr">
        <is>
          <t>Single Carrier (Band n50, 100MHz TDD)</t>
        </is>
      </c>
      <c r="Q247" s="27">
        <f>ROUNDUP(O247/'Methodology &amp; Assumptions'!$B$8, 0)</f>
        <v/>
      </c>
      <c r="R247" s="27" t="n">
        <v>1</v>
      </c>
      <c r="S247" s="26" t="n">
        <v>4.75</v>
      </c>
      <c r="T247" s="26" t="n">
        <v>4.23</v>
      </c>
      <c r="U247" s="11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26" t="n">
        <v>55.52</v>
      </c>
      <c r="W247" s="26" t="n">
        <v>85.97</v>
      </c>
      <c r="X247" s="26">
        <f>ROUND(('Methodology &amp; Assumptions'!$B$5*V247) + ('Methodology &amp; Assumptions'!$B$6*W247), 2)</f>
        <v/>
      </c>
      <c r="Y247" s="28" t="n">
        <v>8.300000000000001</v>
      </c>
      <c r="Z247" s="11" t="inlineStr">
        <is>
          <t>Priority Tier 1 (High Commercial &amp; Social)</t>
        </is>
      </c>
    </row>
    <row r="248">
      <c r="A248" s="23" t="n">
        <v>1</v>
      </c>
      <c r="B248" s="23" t="n">
        <v>244</v>
      </c>
      <c r="C248" s="23" t="n">
        <v>244</v>
      </c>
      <c r="D248" s="23" t="inlineStr">
        <is>
          <t>1381200028</t>
        </is>
      </c>
      <c r="E248" s="11" t="inlineStr">
        <is>
          <t>National Capital Region (NCR)</t>
        </is>
      </c>
      <c r="F248" s="11" t="inlineStr">
        <is>
          <t>Second District (Not a Province)</t>
        </is>
      </c>
      <c r="G248" s="11" t="inlineStr">
        <is>
          <t>City of Pasig</t>
        </is>
      </c>
      <c r="H248" s="11" t="inlineStr">
        <is>
          <t>Sumilang</t>
        </is>
      </c>
      <c r="I248" s="24" t="n">
        <v>14.557396</v>
      </c>
      <c r="J248" s="24" t="n">
        <v>121.075081</v>
      </c>
      <c r="K248" s="23" t="inlineStr">
        <is>
          <t>U</t>
        </is>
      </c>
      <c r="L248" s="25" t="n">
        <v>4499</v>
      </c>
      <c r="M248" s="26" t="n">
        <v>3.41</v>
      </c>
      <c r="N248" s="25">
        <f>ROUND(L248/M248, 0)</f>
        <v/>
      </c>
      <c r="O248" s="25">
        <f>ROUND(N248*'Methodology &amp; Assumptions'!$B$7, 0)</f>
        <v/>
      </c>
      <c r="P248" s="23" t="inlineStr">
        <is>
          <t>Single Carrier (Band n50, 100MHz TDD)</t>
        </is>
      </c>
      <c r="Q248" s="27">
        <f>ROUNDUP(O248/'Methodology &amp; Assumptions'!$B$8, 0)</f>
        <v/>
      </c>
      <c r="R248" s="27" t="n">
        <v>1</v>
      </c>
      <c r="S248" s="26" t="n">
        <v>0.75</v>
      </c>
      <c r="T248" s="26" t="n">
        <v>0.18</v>
      </c>
      <c r="U248" s="11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26" t="n">
        <v>69.09</v>
      </c>
      <c r="W248" s="26" t="n">
        <v>72.38</v>
      </c>
      <c r="X248" s="26">
        <f>ROUND(('Methodology &amp; Assumptions'!$B$5*V248) + ('Methodology &amp; Assumptions'!$B$6*W248), 2)</f>
        <v/>
      </c>
      <c r="Y248" s="28" t="n">
        <v>10.9</v>
      </c>
      <c r="Z248" s="11" t="inlineStr">
        <is>
          <t>Priority Tier 1 (High Commercial &amp; Social)</t>
        </is>
      </c>
    </row>
    <row r="249">
      <c r="A249" s="23" t="n">
        <v>1</v>
      </c>
      <c r="B249" s="23" t="n">
        <v>245</v>
      </c>
      <c r="C249" s="23" t="n">
        <v>245</v>
      </c>
      <c r="D249" s="23" t="inlineStr">
        <is>
          <t>1380900008</t>
        </is>
      </c>
      <c r="E249" s="11" t="inlineStr">
        <is>
          <t>National Capital Region (NCR)</t>
        </is>
      </c>
      <c r="F249" s="11" t="inlineStr">
        <is>
          <t>Third District (Not a Province)</t>
        </is>
      </c>
      <c r="G249" s="11" t="inlineStr">
        <is>
          <t>City of Navotas</t>
        </is>
      </c>
      <c r="H249" s="11" t="inlineStr">
        <is>
          <t>North Bay Boulevard North</t>
        </is>
      </c>
      <c r="I249" s="24" t="n">
        <v>14.647778</v>
      </c>
      <c r="J249" s="24" t="n">
        <v>120.950644</v>
      </c>
      <c r="K249" s="23" t="inlineStr">
        <is>
          <t>U</t>
        </is>
      </c>
      <c r="L249" s="25" t="n">
        <v>14782</v>
      </c>
      <c r="M249" s="26" t="n">
        <v>3.51</v>
      </c>
      <c r="N249" s="25">
        <f>ROUND(L249/M249, 0)</f>
        <v/>
      </c>
      <c r="O249" s="25">
        <f>ROUND(N249*'Methodology &amp; Assumptions'!$B$7, 0)</f>
        <v/>
      </c>
      <c r="P249" s="23" t="inlineStr">
        <is>
          <t>Single Carrier (Band n50, 100MHz TDD)</t>
        </is>
      </c>
      <c r="Q249" s="27">
        <f>ROUNDUP(O249/'Methodology &amp; Assumptions'!$B$8, 0)</f>
        <v/>
      </c>
      <c r="R249" s="27" t="n">
        <v>1</v>
      </c>
      <c r="S249" s="26" t="n">
        <v>1.02</v>
      </c>
      <c r="T249" s="26" t="n">
        <v>1.08</v>
      </c>
      <c r="U249" s="11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26" t="n">
        <v>68.40000000000001</v>
      </c>
      <c r="W249" s="26" t="n">
        <v>73.09</v>
      </c>
      <c r="X249" s="26">
        <f>ROUND(('Methodology &amp; Assumptions'!$B$5*V249) + ('Methodology &amp; Assumptions'!$B$6*W249), 2)</f>
        <v/>
      </c>
      <c r="Y249" s="28" t="n">
        <v>10.9</v>
      </c>
      <c r="Z249" s="11" t="inlineStr">
        <is>
          <t>Priority Tier 1 (High Commercial &amp; Social)</t>
        </is>
      </c>
    </row>
    <row r="250">
      <c r="A250" s="23" t="n">
        <v>1</v>
      </c>
      <c r="B250" s="23" t="n">
        <v>246</v>
      </c>
      <c r="C250" s="23" t="n">
        <v>246</v>
      </c>
      <c r="D250" s="23" t="inlineStr">
        <is>
          <t>0301412011</t>
        </is>
      </c>
      <c r="E250" s="11" t="inlineStr">
        <is>
          <t>Region III (Central Luzon)</t>
        </is>
      </c>
      <c r="F250" s="11" t="inlineStr">
        <is>
          <t>Bulacan</t>
        </is>
      </c>
      <c r="G250" s="11" t="inlineStr">
        <is>
          <t>City of Meycauayan</t>
        </is>
      </c>
      <c r="H250" s="11" t="inlineStr">
        <is>
          <t>Lawa</t>
        </is>
      </c>
      <c r="I250" s="24" t="n">
        <v>14.736761</v>
      </c>
      <c r="J250" s="24" t="n">
        <v>120.974691</v>
      </c>
      <c r="K250" s="23" t="inlineStr">
        <is>
          <t>U</t>
        </is>
      </c>
      <c r="L250" s="25" t="n">
        <v>16298</v>
      </c>
      <c r="M250" s="26" t="n">
        <v>3.5</v>
      </c>
      <c r="N250" s="25">
        <f>ROUND(L250/M250, 0)</f>
        <v/>
      </c>
      <c r="O250" s="25">
        <f>ROUND(N250*'Methodology &amp; Assumptions'!$B$7, 0)</f>
        <v/>
      </c>
      <c r="P250" s="23" t="inlineStr">
        <is>
          <t>Single Carrier (Band n50, 100MHz TDD)</t>
        </is>
      </c>
      <c r="Q250" s="27">
        <f>ROUNDUP(O250/'Methodology &amp; Assumptions'!$B$8, 0)</f>
        <v/>
      </c>
      <c r="R250" s="27" t="n">
        <v>1</v>
      </c>
      <c r="S250" s="26" t="n">
        <v>0.6899999999999999</v>
      </c>
      <c r="T250" s="26" t="n">
        <v>1.44</v>
      </c>
      <c r="U250" s="11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26" t="n">
        <v>78.43000000000001</v>
      </c>
      <c r="W250" s="26" t="n">
        <v>62.98</v>
      </c>
      <c r="X250" s="26">
        <f>ROUND(('Methodology &amp; Assumptions'!$B$5*V250) + ('Methodology &amp; Assumptions'!$B$6*W250), 2)</f>
        <v/>
      </c>
      <c r="Y250" s="28" t="n">
        <v>8.300000000000001</v>
      </c>
      <c r="Z250" s="11" t="inlineStr">
        <is>
          <t>Priority Tier 1 (High Commercial &amp; Social)</t>
        </is>
      </c>
    </row>
    <row r="251">
      <c r="A251" s="23" t="n">
        <v>1</v>
      </c>
      <c r="B251" s="23" t="n">
        <v>247</v>
      </c>
      <c r="C251" s="23" t="n">
        <v>247</v>
      </c>
      <c r="D251" s="23" t="inlineStr">
        <is>
          <t>0402118049</t>
        </is>
      </c>
      <c r="E251" s="11" t="inlineStr">
        <is>
          <t>Region IV-A (CALABARZON)</t>
        </is>
      </c>
      <c r="F251" s="11" t="inlineStr">
        <is>
          <t>Cavite</t>
        </is>
      </c>
      <c r="G251" s="11" t="inlineStr">
        <is>
          <t>Silang</t>
        </is>
      </c>
      <c r="H251" s="11" t="inlineStr">
        <is>
          <t>Acacia</t>
        </is>
      </c>
      <c r="I251" s="24" t="n">
        <v>14.27716</v>
      </c>
      <c r="J251" s="24" t="n">
        <v>120.992737</v>
      </c>
      <c r="K251" s="23" t="inlineStr">
        <is>
          <t>U</t>
        </is>
      </c>
      <c r="L251" s="25" t="n">
        <v>10181</v>
      </c>
      <c r="M251" s="26" t="n">
        <v>3.4</v>
      </c>
      <c r="N251" s="25">
        <f>ROUND(L251/M251, 0)</f>
        <v/>
      </c>
      <c r="O251" s="25">
        <f>ROUND(N251*'Methodology &amp; Assumptions'!$B$7, 0)</f>
        <v/>
      </c>
      <c r="P251" s="23" t="inlineStr">
        <is>
          <t>Single Carrier (Band n50, 100MHz TDD)</t>
        </is>
      </c>
      <c r="Q251" s="27">
        <f>ROUNDUP(O251/'Methodology &amp; Assumptions'!$B$8, 0)</f>
        <v/>
      </c>
      <c r="R251" s="27" t="n">
        <v>1</v>
      </c>
      <c r="S251" s="26" t="n">
        <v>1.16</v>
      </c>
      <c r="T251" s="26" t="n">
        <v>2.84</v>
      </c>
      <c r="U251" s="11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26" t="n">
        <v>73.53</v>
      </c>
      <c r="W251" s="26" t="n">
        <v>67.86</v>
      </c>
      <c r="X251" s="26">
        <f>ROUND(('Methodology &amp; Assumptions'!$B$5*V251) + ('Methodology &amp; Assumptions'!$B$6*W251), 2)</f>
        <v/>
      </c>
      <c r="Y251" s="28" t="n">
        <v>7.2</v>
      </c>
      <c r="Z251" s="11" t="inlineStr">
        <is>
          <t>Priority Tier 1 (High Commercial &amp; Social)</t>
        </is>
      </c>
    </row>
    <row r="252">
      <c r="A252" s="23" t="n">
        <v>1</v>
      </c>
      <c r="B252" s="23" t="n">
        <v>248</v>
      </c>
      <c r="C252" s="23" t="n">
        <v>248</v>
      </c>
      <c r="D252" s="23" t="inlineStr">
        <is>
          <t>1381100178</t>
        </is>
      </c>
      <c r="E252" s="11" t="inlineStr">
        <is>
          <t>National Capital Region (NCR)</t>
        </is>
      </c>
      <c r="F252" s="11" t="inlineStr">
        <is>
          <t>Fourth District (Not a Province)</t>
        </is>
      </c>
      <c r="G252" s="11" t="inlineStr">
        <is>
          <t>Pasay City</t>
        </is>
      </c>
      <c r="H252" s="11" t="inlineStr">
        <is>
          <t>Barangay 178</t>
        </is>
      </c>
      <c r="I252" s="24" t="n">
        <v>14.530327</v>
      </c>
      <c r="J252" s="24" t="n">
        <v>121.005826</v>
      </c>
      <c r="K252" s="23" t="inlineStr">
        <is>
          <t>U</t>
        </is>
      </c>
      <c r="L252" s="25" t="n">
        <v>4496</v>
      </c>
      <c r="M252" s="26" t="n">
        <v>3.68</v>
      </c>
      <c r="N252" s="25">
        <f>ROUND(L252/M252, 0)</f>
        <v/>
      </c>
      <c r="O252" s="25">
        <f>ROUND(N252*'Methodology &amp; Assumptions'!$B$7, 0)</f>
        <v/>
      </c>
      <c r="P252" s="23" t="inlineStr">
        <is>
          <t>Single Carrier (Band n50, 100MHz TDD)</t>
        </is>
      </c>
      <c r="Q252" s="27">
        <f>ROUNDUP(O252/'Methodology &amp; Assumptions'!$B$8, 0)</f>
        <v/>
      </c>
      <c r="R252" s="27" t="n">
        <v>1</v>
      </c>
      <c r="S252" s="26" t="n">
        <v>0.97</v>
      </c>
      <c r="T252" s="26" t="n">
        <v>0.27</v>
      </c>
      <c r="U252" s="11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26" t="n">
        <v>68.58</v>
      </c>
      <c r="W252" s="26" t="n">
        <v>72.77</v>
      </c>
      <c r="X252" s="26">
        <f>ROUND(('Methodology &amp; Assumptions'!$B$5*V252) + ('Methodology &amp; Assumptions'!$B$6*W252), 2)</f>
        <v/>
      </c>
      <c r="Y252" s="28" t="n">
        <v>10.9</v>
      </c>
      <c r="Z252" s="11" t="inlineStr">
        <is>
          <t>Priority Tier 1 (High Commercial &amp; Social)</t>
        </is>
      </c>
    </row>
    <row r="253">
      <c r="A253" s="23" t="n">
        <v>1</v>
      </c>
      <c r="B253" s="23" t="n">
        <v>249</v>
      </c>
      <c r="C253" s="23" t="n">
        <v>249</v>
      </c>
      <c r="D253" s="23" t="inlineStr">
        <is>
          <t>0301412009</t>
        </is>
      </c>
      <c r="E253" s="11" t="inlineStr">
        <is>
          <t>Region III (Central Luzon)</t>
        </is>
      </c>
      <c r="F253" s="11" t="inlineStr">
        <is>
          <t>Bulacan</t>
        </is>
      </c>
      <c r="G253" s="11" t="inlineStr">
        <is>
          <t>City of Meycauayan</t>
        </is>
      </c>
      <c r="H253" s="11" t="inlineStr">
        <is>
          <t>Iba</t>
        </is>
      </c>
      <c r="I253" s="24" t="n">
        <v>14.755463</v>
      </c>
      <c r="J253" s="24" t="n">
        <v>120.979601</v>
      </c>
      <c r="K253" s="23" t="inlineStr">
        <is>
          <t>U</t>
        </is>
      </c>
      <c r="L253" s="25" t="n">
        <v>9791</v>
      </c>
      <c r="M253" s="26" t="n">
        <v>3.5</v>
      </c>
      <c r="N253" s="25">
        <f>ROUND(L253/M253, 0)</f>
        <v/>
      </c>
      <c r="O253" s="25">
        <f>ROUND(N253*'Methodology &amp; Assumptions'!$B$7, 0)</f>
        <v/>
      </c>
      <c r="P253" s="23" t="inlineStr">
        <is>
          <t>Single Carrier (Band n50, 100MHz TDD)</t>
        </is>
      </c>
      <c r="Q253" s="27">
        <f>ROUNDUP(O253/'Methodology &amp; Assumptions'!$B$8, 0)</f>
        <v/>
      </c>
      <c r="R253" s="27" t="n">
        <v>1</v>
      </c>
      <c r="S253" s="26" t="n">
        <v>0.9</v>
      </c>
      <c r="T253" s="26" t="n">
        <v>1.77</v>
      </c>
      <c r="U253" s="11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26" t="n">
        <v>78.22</v>
      </c>
      <c r="W253" s="26" t="n">
        <v>63.12</v>
      </c>
      <c r="X253" s="26">
        <f>ROUND(('Methodology &amp; Assumptions'!$B$5*V253) + ('Methodology &amp; Assumptions'!$B$6*W253), 2)</f>
        <v/>
      </c>
      <c r="Y253" s="28" t="n">
        <v>8.300000000000001</v>
      </c>
      <c r="Z253" s="11" t="inlineStr">
        <is>
          <t>Priority Tier 1 (High Commercial &amp; Social)</t>
        </is>
      </c>
    </row>
    <row r="254">
      <c r="A254" s="23" t="n">
        <v>1</v>
      </c>
      <c r="B254" s="23" t="n">
        <v>250</v>
      </c>
      <c r="C254" s="23" t="n">
        <v>250</v>
      </c>
      <c r="D254" s="23" t="inlineStr">
        <is>
          <t>1102319016</t>
        </is>
      </c>
      <c r="E254" s="11" t="inlineStr">
        <is>
          <t>Region XI (Davao Region)</t>
        </is>
      </c>
      <c r="F254" s="11" t="inlineStr">
        <is>
          <t>Davao del Norte</t>
        </is>
      </c>
      <c r="G254" s="11" t="inlineStr">
        <is>
          <t>City of Tagum</t>
        </is>
      </c>
      <c r="H254" s="11" t="inlineStr">
        <is>
          <t>Magugpo Poblacion</t>
        </is>
      </c>
      <c r="I254" s="24" t="n">
        <v>7.449794</v>
      </c>
      <c r="J254" s="24" t="n">
        <v>125.805601</v>
      </c>
      <c r="K254" s="23" t="inlineStr">
        <is>
          <t>U</t>
        </is>
      </c>
      <c r="L254" s="25" t="n">
        <v>2994</v>
      </c>
      <c r="M254" s="26" t="n">
        <v>3.7</v>
      </c>
      <c r="N254" s="25">
        <f>ROUND(L254/M254, 0)</f>
        <v/>
      </c>
      <c r="O254" s="25">
        <f>ROUND(N254*'Methodology &amp; Assumptions'!$B$7, 0)</f>
        <v/>
      </c>
      <c r="P254" s="23" t="inlineStr">
        <is>
          <t>Single Carrier (Band n50, 100MHz TDD)</t>
        </is>
      </c>
      <c r="Q254" s="27">
        <f>ROUNDUP(O254/'Methodology &amp; Assumptions'!$B$8, 0)</f>
        <v/>
      </c>
      <c r="R254" s="27" t="n">
        <v>1</v>
      </c>
      <c r="S254" s="26" t="n">
        <v>2.02</v>
      </c>
      <c r="T254" s="26" t="n">
        <v>0.51</v>
      </c>
      <c r="U254" s="11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26" t="n">
        <v>74.28</v>
      </c>
      <c r="W254" s="26" t="n">
        <v>67.06</v>
      </c>
      <c r="X254" s="26">
        <f>ROUND(('Methodology &amp; Assumptions'!$B$5*V254) + ('Methodology &amp; Assumptions'!$B$6*W254), 2)</f>
        <v/>
      </c>
      <c r="Y254" s="28" t="n">
        <v>17.4</v>
      </c>
      <c r="Z254" s="11" t="inlineStr">
        <is>
          <t>Priority Tier 1 (High Commercial &amp; Social)</t>
        </is>
      </c>
    </row>
    <row r="255">
      <c r="A255" s="23" t="n">
        <v>1</v>
      </c>
      <c r="B255" s="23" t="n">
        <v>251</v>
      </c>
      <c r="C255" s="23" t="n">
        <v>251</v>
      </c>
      <c r="D255" s="23" t="inlineStr">
        <is>
          <t>0405801011</t>
        </is>
      </c>
      <c r="E255" s="11" t="inlineStr">
        <is>
          <t>Region IV-A (CALABARZON)</t>
        </is>
      </c>
      <c r="F255" s="11" t="inlineStr">
        <is>
          <t>Rizal</t>
        </is>
      </c>
      <c r="G255" s="11" t="inlineStr">
        <is>
          <t>Angono</t>
        </is>
      </c>
      <c r="H255" s="11" t="inlineStr">
        <is>
          <t>San Roque</t>
        </is>
      </c>
      <c r="I255" s="24" t="n">
        <v>14.52904</v>
      </c>
      <c r="J255" s="24" t="n">
        <v>121.1574</v>
      </c>
      <c r="K255" s="23" t="inlineStr">
        <is>
          <t>U</t>
        </is>
      </c>
      <c r="L255" s="25" t="n">
        <v>12209</v>
      </c>
      <c r="M255" s="26" t="n">
        <v>3.6</v>
      </c>
      <c r="N255" s="25">
        <f>ROUND(L255/M255, 0)</f>
        <v/>
      </c>
      <c r="O255" s="25">
        <f>ROUND(N255*'Methodology &amp; Assumptions'!$B$7, 0)</f>
        <v/>
      </c>
      <c r="P255" s="23" t="inlineStr">
        <is>
          <t>Single Carrier (Band n50, 100MHz TDD)</t>
        </is>
      </c>
      <c r="Q255" s="27">
        <f>ROUNDUP(O255/'Methodology &amp; Assumptions'!$B$8, 0)</f>
        <v/>
      </c>
      <c r="R255" s="27" t="n">
        <v>1</v>
      </c>
      <c r="S255" s="26" t="n">
        <v>0.34</v>
      </c>
      <c r="T255" s="26" t="n">
        <v>0.33</v>
      </c>
      <c r="U255" s="11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26" t="n">
        <v>78.26000000000001</v>
      </c>
      <c r="W255" s="26" t="n">
        <v>63.06</v>
      </c>
      <c r="X255" s="26">
        <f>ROUND(('Methodology &amp; Assumptions'!$B$5*V255) + ('Methodology &amp; Assumptions'!$B$6*W255), 2)</f>
        <v/>
      </c>
      <c r="Y255" s="28" t="n">
        <v>7.2</v>
      </c>
      <c r="Z255" s="11" t="inlineStr">
        <is>
          <t>Priority Tier 1 (High Commercial &amp; Social)</t>
        </is>
      </c>
    </row>
    <row r="256">
      <c r="A256" s="23" t="n">
        <v>1</v>
      </c>
      <c r="B256" s="23" t="n">
        <v>252</v>
      </c>
      <c r="C256" s="23" t="n">
        <v>252</v>
      </c>
      <c r="D256" s="23" t="inlineStr">
        <is>
          <t>0301412010</t>
        </is>
      </c>
      <c r="E256" s="11" t="inlineStr">
        <is>
          <t>Region III (Central Luzon)</t>
        </is>
      </c>
      <c r="F256" s="11" t="inlineStr">
        <is>
          <t>Bulacan</t>
        </is>
      </c>
      <c r="G256" s="11" t="inlineStr">
        <is>
          <t>City of Meycauayan</t>
        </is>
      </c>
      <c r="H256" s="11" t="inlineStr">
        <is>
          <t>Langka</t>
        </is>
      </c>
      <c r="I256" s="24" t="n">
        <v>14.739728</v>
      </c>
      <c r="J256" s="24" t="n">
        <v>120.979153</v>
      </c>
      <c r="K256" s="23" t="inlineStr">
        <is>
          <t>U</t>
        </is>
      </c>
      <c r="L256" s="25" t="n">
        <v>4515</v>
      </c>
      <c r="M256" s="26" t="n">
        <v>3.5</v>
      </c>
      <c r="N256" s="25">
        <f>ROUND(L256/M256, 0)</f>
        <v/>
      </c>
      <c r="O256" s="25">
        <f>ROUND(N256*'Methodology &amp; Assumptions'!$B$7, 0)</f>
        <v/>
      </c>
      <c r="P256" s="23" t="inlineStr">
        <is>
          <t>Single Carrier (Band n50, 100MHz TDD)</t>
        </is>
      </c>
      <c r="Q256" s="27">
        <f>ROUNDUP(O256/'Methodology &amp; Assumptions'!$B$8, 0)</f>
        <v/>
      </c>
      <c r="R256" s="27" t="n">
        <v>1</v>
      </c>
      <c r="S256" s="26" t="n">
        <v>1.16</v>
      </c>
      <c r="T256" s="26" t="n">
        <v>1.08</v>
      </c>
      <c r="U256" s="11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26" t="n">
        <v>77.20999999999999</v>
      </c>
      <c r="W256" s="26" t="n">
        <v>64.12</v>
      </c>
      <c r="X256" s="26">
        <f>ROUND(('Methodology &amp; Assumptions'!$B$5*V256) + ('Methodology &amp; Assumptions'!$B$6*W256), 2)</f>
        <v/>
      </c>
      <c r="Y256" s="28" t="n">
        <v>8.300000000000001</v>
      </c>
      <c r="Z256" s="11" t="inlineStr">
        <is>
          <t>Priority Tier 1 (High Commercial &amp; Social)</t>
        </is>
      </c>
    </row>
    <row r="257">
      <c r="A257" s="23" t="n">
        <v>1</v>
      </c>
      <c r="B257" s="23" t="n">
        <v>253</v>
      </c>
      <c r="C257" s="23" t="n">
        <v>253</v>
      </c>
      <c r="D257" s="23" t="inlineStr">
        <is>
          <t>1108204019</t>
        </is>
      </c>
      <c r="E257" s="11" t="inlineStr">
        <is>
          <t>Region XI (Davao Region)</t>
        </is>
      </c>
      <c r="F257" s="11" t="inlineStr">
        <is>
          <t>Davao de Oro</t>
        </is>
      </c>
      <c r="G257" s="11" t="inlineStr">
        <is>
          <t>Maco</t>
        </is>
      </c>
      <c r="H257" s="11" t="inlineStr">
        <is>
          <t>Malamodao</t>
        </is>
      </c>
      <c r="I257" s="24" t="n">
        <v>7.367291</v>
      </c>
      <c r="J257" s="24" t="n">
        <v>125.942441</v>
      </c>
      <c r="K257" s="23" t="inlineStr">
        <is>
          <t>R</t>
        </is>
      </c>
      <c r="L257" s="25" t="n">
        <v>2703</v>
      </c>
      <c r="M257" s="26" t="n">
        <v>3.7</v>
      </c>
      <c r="N257" s="25">
        <f>ROUND(L257/M257, 0)</f>
        <v/>
      </c>
      <c r="O257" s="25">
        <f>ROUND(N257*'Methodology &amp; Assumptions'!$B$7, 0)</f>
        <v/>
      </c>
      <c r="P257" s="23" t="inlineStr">
        <is>
          <t>Single Carrier (Band n50, 100MHz TDD)</t>
        </is>
      </c>
      <c r="Q257" s="27">
        <f>ROUNDUP(O257/'Methodology &amp; Assumptions'!$B$8, 0)</f>
        <v/>
      </c>
      <c r="R257" s="27" t="n">
        <v>1</v>
      </c>
      <c r="S257" s="26" t="n">
        <v>9.6</v>
      </c>
      <c r="T257" s="26" t="n">
        <v>9.529999999999999</v>
      </c>
      <c r="U257" s="11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26" t="n">
        <v>63.07</v>
      </c>
      <c r="W257" s="26" t="n">
        <v>78.20999999999999</v>
      </c>
      <c r="X257" s="26">
        <f>ROUND(('Methodology &amp; Assumptions'!$B$5*V257) + ('Methodology &amp; Assumptions'!$B$6*W257), 2)</f>
        <v/>
      </c>
      <c r="Y257" s="28" t="n">
        <v>17.4</v>
      </c>
      <c r="Z257" s="11" t="inlineStr">
        <is>
          <t>Priority Tier 1 (High Commercial &amp; Social)</t>
        </is>
      </c>
    </row>
    <row r="258">
      <c r="A258" s="23" t="n">
        <v>1</v>
      </c>
      <c r="B258" s="23" t="n">
        <v>254</v>
      </c>
      <c r="C258" s="23" t="n">
        <v>254</v>
      </c>
      <c r="D258" s="23" t="inlineStr">
        <is>
          <t>1401113009</t>
        </is>
      </c>
      <c r="E258" s="11" t="inlineStr">
        <is>
          <t>Cordillera Administrative Region (CAR)</t>
        </is>
      </c>
      <c r="F258" s="11" t="inlineStr">
        <is>
          <t>Benguet</t>
        </is>
      </c>
      <c r="G258" s="11" t="inlineStr">
        <is>
          <t>Tuba</t>
        </is>
      </c>
      <c r="H258" s="11" t="inlineStr">
        <is>
          <t>Tabaan Norte</t>
        </is>
      </c>
      <c r="I258" s="24" t="n">
        <v>16.32505</v>
      </c>
      <c r="J258" s="24" t="n">
        <v>120.52199</v>
      </c>
      <c r="K258" s="23" t="inlineStr">
        <is>
          <t>R</t>
        </is>
      </c>
      <c r="L258" s="25" t="n">
        <v>1327</v>
      </c>
      <c r="M258" s="26" t="n">
        <v>3.5</v>
      </c>
      <c r="N258" s="25">
        <f>ROUND(L258/M258, 0)</f>
        <v/>
      </c>
      <c r="O258" s="25">
        <f>ROUND(N258*'Methodology &amp; Assumptions'!$B$7, 0)</f>
        <v/>
      </c>
      <c r="P258" s="23" t="inlineStr">
        <is>
          <t>Single Carrier (Band n50, 100MHz TDD)</t>
        </is>
      </c>
      <c r="Q258" s="27">
        <f>ROUNDUP(O258/'Methodology &amp; Assumptions'!$B$8, 0)</f>
        <v/>
      </c>
      <c r="R258" s="27" t="n">
        <v>1</v>
      </c>
      <c r="S258" s="26" t="n">
        <v>4.71</v>
      </c>
      <c r="T258" s="26" t="n">
        <v>3.13</v>
      </c>
      <c r="U258" s="11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26" t="n">
        <v>55.78</v>
      </c>
      <c r="W258" s="26" t="n">
        <v>85.42</v>
      </c>
      <c r="X258" s="26">
        <f>ROUND(('Methodology &amp; Assumptions'!$B$5*V258) + ('Methodology &amp; Assumptions'!$B$6*W258), 2)</f>
        <v/>
      </c>
      <c r="Y258" s="28" t="n">
        <v>10.9</v>
      </c>
      <c r="Z258" s="11" t="inlineStr">
        <is>
          <t>Priority Tier 1 (High Commercial &amp; Social)</t>
        </is>
      </c>
    </row>
    <row r="259">
      <c r="A259" s="23" t="n">
        <v>1</v>
      </c>
      <c r="B259" s="23" t="n">
        <v>255</v>
      </c>
      <c r="C259" s="23" t="n">
        <v>255</v>
      </c>
      <c r="D259" s="23" t="inlineStr">
        <is>
          <t>0702244011</t>
        </is>
      </c>
      <c r="E259" s="11" t="inlineStr">
        <is>
          <t>Region VII (Central Visayas)</t>
        </is>
      </c>
      <c r="F259" s="11" t="inlineStr">
        <is>
          <t>Cebu</t>
        </is>
      </c>
      <c r="G259" s="11" t="inlineStr">
        <is>
          <t>Santa Fe</t>
        </is>
      </c>
      <c r="H259" s="11" t="inlineStr">
        <is>
          <t>Talisay</t>
        </is>
      </c>
      <c r="I259" s="24" t="n">
        <v>10.252449</v>
      </c>
      <c r="J259" s="24" t="n">
        <v>123.839234</v>
      </c>
      <c r="K259" s="23" t="inlineStr">
        <is>
          <t>U</t>
        </is>
      </c>
      <c r="L259" s="25" t="n">
        <v>3232</v>
      </c>
      <c r="M259" s="26" t="n">
        <v>3.8</v>
      </c>
      <c r="N259" s="25">
        <f>ROUND(L259/M259, 0)</f>
        <v/>
      </c>
      <c r="O259" s="25">
        <f>ROUND(N259*'Methodology &amp; Assumptions'!$B$7, 0)</f>
        <v/>
      </c>
      <c r="P259" s="23" t="inlineStr">
        <is>
          <t>Single Carrier (Band n50, 100MHz TDD)</t>
        </is>
      </c>
      <c r="Q259" s="27">
        <f>ROUNDUP(O259/'Methodology &amp; Assumptions'!$B$8, 0)</f>
        <v/>
      </c>
      <c r="R259" s="27" t="n">
        <v>1</v>
      </c>
      <c r="S259" s="26" t="n">
        <v>0.54</v>
      </c>
      <c r="T259" s="26" t="n">
        <v>0.02</v>
      </c>
      <c r="U259" s="11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26" t="n">
        <v>80.11</v>
      </c>
      <c r="W259" s="26" t="n">
        <v>61.05</v>
      </c>
      <c r="X259" s="26">
        <f>ROUND(('Methodology &amp; Assumptions'!$B$5*V259) + ('Methodology &amp; Assumptions'!$B$6*W259), 2)</f>
        <v/>
      </c>
      <c r="Y259" s="28" t="n">
        <v>23.7</v>
      </c>
      <c r="Z259" s="11" t="inlineStr">
        <is>
          <t>Priority Tier 1 (High Commercial &amp; Social)</t>
        </is>
      </c>
    </row>
    <row r="260">
      <c r="A260" s="23" t="n">
        <v>1</v>
      </c>
      <c r="B260" s="23" t="n">
        <v>256</v>
      </c>
      <c r="C260" s="23" t="n">
        <v>256</v>
      </c>
      <c r="D260" s="23" t="inlineStr">
        <is>
          <t>1381100036</t>
        </is>
      </c>
      <c r="E260" s="11" t="inlineStr">
        <is>
          <t>National Capital Region (NCR)</t>
        </is>
      </c>
      <c r="F260" s="11" t="inlineStr">
        <is>
          <t>Fourth District (Not a Province)</t>
        </is>
      </c>
      <c r="G260" s="11" t="inlineStr">
        <is>
          <t>Pasay City</t>
        </is>
      </c>
      <c r="H260" s="11" t="inlineStr">
        <is>
          <t>Barangay 36</t>
        </is>
      </c>
      <c r="I260" s="24" t="n">
        <v>14.558079</v>
      </c>
      <c r="J260" s="24" t="n">
        <v>120.995042</v>
      </c>
      <c r="K260" s="23" t="inlineStr">
        <is>
          <t>U</t>
        </is>
      </c>
      <c r="L260" s="25" t="n">
        <v>5575</v>
      </c>
      <c r="M260" s="26" t="n">
        <v>2.87</v>
      </c>
      <c r="N260" s="25">
        <f>ROUND(L260/M260, 0)</f>
        <v/>
      </c>
      <c r="O260" s="25">
        <f>ROUND(N260*'Methodology &amp; Assumptions'!$B$7, 0)</f>
        <v/>
      </c>
      <c r="P260" s="23" t="inlineStr">
        <is>
          <t>Single Carrier (Band n50, 100MHz TDD)</t>
        </is>
      </c>
      <c r="Q260" s="27">
        <f>ROUNDUP(O260/'Methodology &amp; Assumptions'!$B$8, 0)</f>
        <v/>
      </c>
      <c r="R260" s="27" t="n">
        <v>1</v>
      </c>
      <c r="S260" s="26" t="n">
        <v>0.64</v>
      </c>
      <c r="T260" s="26" t="n">
        <v>0.2</v>
      </c>
      <c r="U260" s="11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26" t="n">
        <v>69.09</v>
      </c>
      <c r="W260" s="26" t="n">
        <v>72.06</v>
      </c>
      <c r="X260" s="26">
        <f>ROUND(('Methodology &amp; Assumptions'!$B$5*V260) + ('Methodology &amp; Assumptions'!$B$6*W260), 2)</f>
        <v/>
      </c>
      <c r="Y260" s="28" t="n">
        <v>10.9</v>
      </c>
      <c r="Z260" s="11" t="inlineStr">
        <is>
          <t>Priority Tier 1 (High Commercial &amp; Social)</t>
        </is>
      </c>
    </row>
    <row r="261">
      <c r="A261" s="23" t="n">
        <v>1</v>
      </c>
      <c r="B261" s="23" t="n">
        <v>257</v>
      </c>
      <c r="C261" s="23" t="n">
        <v>257</v>
      </c>
      <c r="D261" s="23" t="inlineStr">
        <is>
          <t>1380606003</t>
        </is>
      </c>
      <c r="E261" s="11" t="inlineStr">
        <is>
          <t>National Capital Region (NCR)</t>
        </is>
      </c>
      <c r="F261" s="11" t="inlineStr">
        <is>
          <t>First District (Not a Province)</t>
        </is>
      </c>
      <c r="G261" s="11" t="inlineStr">
        <is>
          <t>City of Manila</t>
        </is>
      </c>
      <c r="H261" s="11" t="inlineStr">
        <is>
          <t>Barangay 397</t>
        </is>
      </c>
      <c r="I261" s="24" t="n">
        <v>14.606424</v>
      </c>
      <c r="J261" s="24" t="n">
        <v>120.990142</v>
      </c>
      <c r="K261" s="23" t="inlineStr">
        <is>
          <t>U</t>
        </is>
      </c>
      <c r="L261" s="25" t="n">
        <v>8835</v>
      </c>
      <c r="M261" s="26" t="n">
        <v>3.72</v>
      </c>
      <c r="N261" s="25">
        <f>ROUND(L261/M261, 0)</f>
        <v/>
      </c>
      <c r="O261" s="25">
        <f>ROUND(N261*'Methodology &amp; Assumptions'!$B$7, 0)</f>
        <v/>
      </c>
      <c r="P261" s="23" t="inlineStr">
        <is>
          <t>Single Carrier (Band n50, 100MHz TDD)</t>
        </is>
      </c>
      <c r="Q261" s="27">
        <f>ROUNDUP(O261/'Methodology &amp; Assumptions'!$B$8, 0)</f>
        <v/>
      </c>
      <c r="R261" s="27" t="n">
        <v>1</v>
      </c>
      <c r="S261" s="26" t="n">
        <v>0.38</v>
      </c>
      <c r="T261" s="26" t="n">
        <v>0.14</v>
      </c>
      <c r="U261" s="11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26" t="n">
        <v>69.09</v>
      </c>
      <c r="W261" s="26" t="n">
        <v>72.02</v>
      </c>
      <c r="X261" s="26">
        <f>ROUND(('Methodology &amp; Assumptions'!$B$5*V261) + ('Methodology &amp; Assumptions'!$B$6*W261), 2)</f>
        <v/>
      </c>
      <c r="Y261" s="28" t="n">
        <v>10.9</v>
      </c>
      <c r="Z261" s="11" t="inlineStr">
        <is>
          <t>Priority Tier 1 (High Commercial &amp; Social)</t>
        </is>
      </c>
    </row>
    <row r="262">
      <c r="A262" s="23" t="n">
        <v>1</v>
      </c>
      <c r="B262" s="23" t="n">
        <v>258</v>
      </c>
      <c r="C262" s="23" t="n">
        <v>258</v>
      </c>
      <c r="D262" s="23" t="inlineStr">
        <is>
          <t>1380601067</t>
        </is>
      </c>
      <c r="E262" s="11" t="inlineStr">
        <is>
          <t>National Capital Region (NCR)</t>
        </is>
      </c>
      <c r="F262" s="11" t="inlineStr">
        <is>
          <t>First District (Not a Province)</t>
        </is>
      </c>
      <c r="G262" s="11" t="inlineStr">
        <is>
          <t>City of Manila</t>
        </is>
      </c>
      <c r="H262" s="11" t="inlineStr">
        <is>
          <t>Barangay 67</t>
        </is>
      </c>
      <c r="I262" s="24" t="n">
        <v>14.613772</v>
      </c>
      <c r="J262" s="24" t="n">
        <v>120.963316</v>
      </c>
      <c r="K262" s="23" t="inlineStr">
        <is>
          <t>U</t>
        </is>
      </c>
      <c r="L262" s="25" t="n">
        <v>3641</v>
      </c>
      <c r="M262" s="26" t="n">
        <v>4.42</v>
      </c>
      <c r="N262" s="25">
        <f>ROUND(L262/M262, 0)</f>
        <v/>
      </c>
      <c r="O262" s="25">
        <f>ROUND(N262*'Methodology &amp; Assumptions'!$B$7, 0)</f>
        <v/>
      </c>
      <c r="P262" s="23" t="inlineStr">
        <is>
          <t>Single Carrier (Band n50, 100MHz TDD)</t>
        </is>
      </c>
      <c r="Q262" s="27">
        <f>ROUNDUP(O262/'Methodology &amp; Assumptions'!$B$8, 0)</f>
        <v/>
      </c>
      <c r="R262" s="27" t="n">
        <v>1</v>
      </c>
      <c r="S262" s="26" t="n">
        <v>0.47</v>
      </c>
      <c r="T262" s="26" t="n">
        <v>0.61</v>
      </c>
      <c r="U262" s="11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26" t="n">
        <v>67.55</v>
      </c>
      <c r="W262" s="26" t="n">
        <v>73.55</v>
      </c>
      <c r="X262" s="26">
        <f>ROUND(('Methodology &amp; Assumptions'!$B$5*V262) + ('Methodology &amp; Assumptions'!$B$6*W262), 2)</f>
        <v/>
      </c>
      <c r="Y262" s="28" t="n">
        <v>10.9</v>
      </c>
      <c r="Z262" s="11" t="inlineStr">
        <is>
          <t>Priority Tier 1 (High Commercial &amp; Social)</t>
        </is>
      </c>
    </row>
    <row r="263">
      <c r="A263" s="23" t="n">
        <v>1</v>
      </c>
      <c r="B263" s="23" t="n">
        <v>259</v>
      </c>
      <c r="C263" s="23" t="n">
        <v>259</v>
      </c>
      <c r="D263" s="23" t="inlineStr">
        <is>
          <t>0403404015</t>
        </is>
      </c>
      <c r="E263" s="11" t="inlineStr">
        <is>
          <t>Region IV-A (CALABARZON)</t>
        </is>
      </c>
      <c r="F263" s="11" t="inlineStr">
        <is>
          <t>Laguna</t>
        </is>
      </c>
      <c r="G263" s="11" t="inlineStr">
        <is>
          <t>City of Cabuyao</t>
        </is>
      </c>
      <c r="H263" s="11" t="inlineStr">
        <is>
          <t>San Isidro</t>
        </is>
      </c>
      <c r="I263" s="24" t="n">
        <v>14.241316</v>
      </c>
      <c r="J263" s="24" t="n">
        <v>121.138518</v>
      </c>
      <c r="K263" s="23" t="inlineStr">
        <is>
          <t>U</t>
        </is>
      </c>
      <c r="L263" s="25" t="n">
        <v>25567</v>
      </c>
      <c r="M263" s="26" t="n">
        <v>3.3</v>
      </c>
      <c r="N263" s="25">
        <f>ROUND(L263/M263, 0)</f>
        <v/>
      </c>
      <c r="O263" s="25">
        <f>ROUND(N263*'Methodology &amp; Assumptions'!$B$7, 0)</f>
        <v/>
      </c>
      <c r="P263" s="23" t="inlineStr">
        <is>
          <t>Single Carrier (Band n50, 100MHz TDD)</t>
        </is>
      </c>
      <c r="Q263" s="27">
        <f>ROUNDUP(O263/'Methodology &amp; Assumptions'!$B$8, 0)</f>
        <v/>
      </c>
      <c r="R263" s="27" t="n">
        <v>1</v>
      </c>
      <c r="S263" s="26" t="n">
        <v>1.11</v>
      </c>
      <c r="T263" s="26" t="n">
        <v>0.63</v>
      </c>
      <c r="U263" s="11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26" t="n">
        <v>77.09999999999999</v>
      </c>
      <c r="W263" s="26" t="n">
        <v>63.98</v>
      </c>
      <c r="X263" s="26">
        <f>ROUND(('Methodology &amp; Assumptions'!$B$5*V263) + ('Methodology &amp; Assumptions'!$B$6*W263), 2)</f>
        <v/>
      </c>
      <c r="Y263" s="28" t="n">
        <v>7.2</v>
      </c>
      <c r="Z263" s="11" t="inlineStr">
        <is>
          <t>Priority Tier 1 (High Commercial &amp; Social)</t>
        </is>
      </c>
    </row>
    <row r="264">
      <c r="A264" s="23" t="n">
        <v>1</v>
      </c>
      <c r="B264" s="23" t="n">
        <v>260</v>
      </c>
      <c r="C264" s="23" t="n">
        <v>260</v>
      </c>
      <c r="D264" s="23" t="inlineStr">
        <is>
          <t>0402103045</t>
        </is>
      </c>
      <c r="E264" s="11" t="inlineStr">
        <is>
          <t>Region IV-A (CALABARZON)</t>
        </is>
      </c>
      <c r="F264" s="11" t="inlineStr">
        <is>
          <t>Cavite</t>
        </is>
      </c>
      <c r="G264" s="11" t="inlineStr">
        <is>
          <t>City of Bacoor</t>
        </is>
      </c>
      <c r="H264" s="11" t="inlineStr">
        <is>
          <t>Molino II</t>
        </is>
      </c>
      <c r="I264" s="24" t="n">
        <v>14.409907</v>
      </c>
      <c r="J264" s="24" t="n">
        <v>120.975953</v>
      </c>
      <c r="K264" s="23" t="inlineStr">
        <is>
          <t>U</t>
        </is>
      </c>
      <c r="L264" s="25" t="n">
        <v>44630</v>
      </c>
      <c r="M264" s="26" t="n">
        <v>3.4</v>
      </c>
      <c r="N264" s="25">
        <f>ROUND(L264/M264, 0)</f>
        <v/>
      </c>
      <c r="O264" s="25">
        <f>ROUND(N264*'Methodology &amp; Assumptions'!$B$7, 0)</f>
        <v/>
      </c>
      <c r="P264" s="23" t="inlineStr">
        <is>
          <t>Single Carrier (Band n50, 100MHz TDD)</t>
        </is>
      </c>
      <c r="Q264" s="27">
        <f>ROUNDUP(O264/'Methodology &amp; Assumptions'!$B$8, 0)</f>
        <v/>
      </c>
      <c r="R264" s="27" t="n">
        <v>1</v>
      </c>
      <c r="S264" s="26" t="n">
        <v>1.65</v>
      </c>
      <c r="T264" s="26" t="n">
        <v>4.26</v>
      </c>
      <c r="U264" s="11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26" t="n">
        <v>70.42</v>
      </c>
      <c r="W264" s="26" t="n">
        <v>70.67</v>
      </c>
      <c r="X264" s="26">
        <f>ROUND(('Methodology &amp; Assumptions'!$B$5*V264) + ('Methodology &amp; Assumptions'!$B$6*W264), 2)</f>
        <v/>
      </c>
      <c r="Y264" s="28" t="n">
        <v>7.2</v>
      </c>
      <c r="Z264" s="11" t="inlineStr">
        <is>
          <t>Priority Tier 1 (High Commercial &amp; Social)</t>
        </is>
      </c>
    </row>
    <row r="265">
      <c r="A265" s="23" t="n">
        <v>1</v>
      </c>
      <c r="B265" s="23" t="n">
        <v>261</v>
      </c>
      <c r="C265" s="23" t="n">
        <v>261</v>
      </c>
      <c r="D265" s="23" t="inlineStr">
        <is>
          <t>1380610024</t>
        </is>
      </c>
      <c r="E265" s="11" t="inlineStr">
        <is>
          <t>National Capital Region (NCR)</t>
        </is>
      </c>
      <c r="F265" s="11" t="inlineStr">
        <is>
          <t>First District (Not a Province)</t>
        </is>
      </c>
      <c r="G265" s="11" t="inlineStr">
        <is>
          <t>City of Manila</t>
        </is>
      </c>
      <c r="H265" s="11" t="inlineStr">
        <is>
          <t>Barangay 709</t>
        </is>
      </c>
      <c r="I265" s="24" t="n">
        <v>14.568134</v>
      </c>
      <c r="J265" s="24" t="n">
        <v>120.992113</v>
      </c>
      <c r="K265" s="23" t="inlineStr">
        <is>
          <t>U</t>
        </is>
      </c>
      <c r="L265" s="25" t="n">
        <v>5339</v>
      </c>
      <c r="M265" s="26" t="n">
        <v>3.05</v>
      </c>
      <c r="N265" s="25">
        <f>ROUND(L265/M265, 0)</f>
        <v/>
      </c>
      <c r="O265" s="25">
        <f>ROUND(N265*'Methodology &amp; Assumptions'!$B$7, 0)</f>
        <v/>
      </c>
      <c r="P265" s="23" t="inlineStr">
        <is>
          <t>Single Carrier (Band n50, 100MHz TDD)</t>
        </is>
      </c>
      <c r="Q265" s="27">
        <f>ROUNDUP(O265/'Methodology &amp; Assumptions'!$B$8, 0)</f>
        <v/>
      </c>
      <c r="R265" s="27" t="n">
        <v>1</v>
      </c>
      <c r="S265" s="26" t="n">
        <v>0.49</v>
      </c>
      <c r="T265" s="26" t="n">
        <v>0.3</v>
      </c>
      <c r="U265" s="11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26" t="n">
        <v>69.09</v>
      </c>
      <c r="W265" s="26" t="n">
        <v>71.98</v>
      </c>
      <c r="X265" s="26">
        <f>ROUND(('Methodology &amp; Assumptions'!$B$5*V265) + ('Methodology &amp; Assumptions'!$B$6*W265), 2)</f>
        <v/>
      </c>
      <c r="Y265" s="28" t="n">
        <v>10.9</v>
      </c>
      <c r="Z265" s="11" t="inlineStr">
        <is>
          <t>Priority Tier 1 (High Commercial &amp; Social)</t>
        </is>
      </c>
    </row>
    <row r="266">
      <c r="A266" s="23" t="n">
        <v>1</v>
      </c>
      <c r="B266" s="23" t="n">
        <v>262</v>
      </c>
      <c r="C266" s="23" t="n">
        <v>262</v>
      </c>
      <c r="D266" s="23" t="inlineStr">
        <is>
          <t>0405805016</t>
        </is>
      </c>
      <c r="E266" s="11" t="inlineStr">
        <is>
          <t>Region IV-A (CALABARZON)</t>
        </is>
      </c>
      <c r="F266" s="11" t="inlineStr">
        <is>
          <t>Rizal</t>
        </is>
      </c>
      <c r="G266" s="11" t="inlineStr">
        <is>
          <t>Cainta</t>
        </is>
      </c>
      <c r="H266" s="11" t="inlineStr">
        <is>
          <t>San Juan</t>
        </is>
      </c>
      <c r="I266" s="24" t="n">
        <v>14.576059</v>
      </c>
      <c r="J266" s="24" t="n">
        <v>121.122771</v>
      </c>
      <c r="K266" s="23" t="inlineStr">
        <is>
          <t>U</t>
        </is>
      </c>
      <c r="L266" s="25" t="n">
        <v>99685</v>
      </c>
      <c r="M266" s="26" t="n">
        <v>3.6</v>
      </c>
      <c r="N266" s="25">
        <f>ROUND(L266/M266, 0)</f>
        <v/>
      </c>
      <c r="O266" s="25">
        <f>ROUND(N266*'Methodology &amp; Assumptions'!$B$7, 0)</f>
        <v/>
      </c>
      <c r="P266" s="23" t="inlineStr">
        <is>
          <t>Single Carrier (Band n50, 100MHz TDD)</t>
        </is>
      </c>
      <c r="Q266" s="27">
        <f>ROUNDUP(O266/'Methodology &amp; Assumptions'!$B$8, 0)</f>
        <v/>
      </c>
      <c r="R266" s="27" t="n">
        <v>1</v>
      </c>
      <c r="S266" s="26" t="n">
        <v>0.83</v>
      </c>
      <c r="T266" s="26" t="n">
        <v>0.14</v>
      </c>
      <c r="U266" s="11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26" t="n">
        <v>75.33</v>
      </c>
      <c r="W266" s="26" t="n">
        <v>65.70999999999999</v>
      </c>
      <c r="X266" s="26">
        <f>ROUND(('Methodology &amp; Assumptions'!$B$5*V266) + ('Methodology &amp; Assumptions'!$B$6*W266), 2)</f>
        <v/>
      </c>
      <c r="Y266" s="28" t="n">
        <v>7.2</v>
      </c>
      <c r="Z266" s="11" t="inlineStr">
        <is>
          <t>Priority Tier 1 (High Commercial &amp; Social)</t>
        </is>
      </c>
    </row>
    <row r="267">
      <c r="A267" s="23" t="n">
        <v>1</v>
      </c>
      <c r="B267" s="23" t="n">
        <v>263</v>
      </c>
      <c r="C267" s="23" t="n">
        <v>263</v>
      </c>
      <c r="D267" s="23" t="inlineStr">
        <is>
          <t>1381100015</t>
        </is>
      </c>
      <c r="E267" s="11" t="inlineStr">
        <is>
          <t>National Capital Region (NCR)</t>
        </is>
      </c>
      <c r="F267" s="11" t="inlineStr">
        <is>
          <t>Fourth District (Not a Province)</t>
        </is>
      </c>
      <c r="G267" s="11" t="inlineStr">
        <is>
          <t>Pasay City</t>
        </is>
      </c>
      <c r="H267" s="11" t="inlineStr">
        <is>
          <t>Barangay 15</t>
        </is>
      </c>
      <c r="I267" s="24" t="n">
        <v>14.559431</v>
      </c>
      <c r="J267" s="24" t="n">
        <v>120.991511</v>
      </c>
      <c r="K267" s="23" t="inlineStr">
        <is>
          <t>U</t>
        </is>
      </c>
      <c r="L267" s="25" t="n">
        <v>2393</v>
      </c>
      <c r="M267" s="26" t="n">
        <v>2.72</v>
      </c>
      <c r="N267" s="25">
        <f>ROUND(L267/M267, 0)</f>
        <v/>
      </c>
      <c r="O267" s="25">
        <f>ROUND(N267*'Methodology &amp; Assumptions'!$B$7, 0)</f>
        <v/>
      </c>
      <c r="P267" s="23" t="inlineStr">
        <is>
          <t>Single Carrier (Band n50, 100MHz TDD)</t>
        </is>
      </c>
      <c r="Q267" s="27">
        <f>ROUNDUP(O267/'Methodology &amp; Assumptions'!$B$8, 0)</f>
        <v/>
      </c>
      <c r="R267" s="27" t="n">
        <v>1</v>
      </c>
      <c r="S267" s="26" t="n">
        <v>0.68</v>
      </c>
      <c r="T267" s="26" t="n">
        <v>0.52</v>
      </c>
      <c r="U267" s="11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26" t="n">
        <v>69.09</v>
      </c>
      <c r="W267" s="26" t="n">
        <v>71.95</v>
      </c>
      <c r="X267" s="26">
        <f>ROUND(('Methodology &amp; Assumptions'!$B$5*V267) + ('Methodology &amp; Assumptions'!$B$6*W267), 2)</f>
        <v/>
      </c>
      <c r="Y267" s="28" t="n">
        <v>10.9</v>
      </c>
      <c r="Z267" s="11" t="inlineStr">
        <is>
          <t>Priority Tier 1 (High Commercial &amp; Social)</t>
        </is>
      </c>
    </row>
    <row r="268">
      <c r="A268" s="23" t="n">
        <v>1</v>
      </c>
      <c r="B268" s="23" t="n">
        <v>264</v>
      </c>
      <c r="C268" s="23" t="n">
        <v>264</v>
      </c>
      <c r="D268" s="23" t="inlineStr">
        <is>
          <t>0102817011</t>
        </is>
      </c>
      <c r="E268" s="11" t="inlineStr">
        <is>
          <t>Region I (Ilocos Region)</t>
        </is>
      </c>
      <c r="F268" s="11" t="inlineStr">
        <is>
          <t>Ilocos Norte</t>
        </is>
      </c>
      <c r="G268" s="11" t="inlineStr">
        <is>
          <t>Pasuquin</t>
        </is>
      </c>
      <c r="H268" s="11" t="inlineStr">
        <is>
          <t>Dilavo</t>
        </is>
      </c>
      <c r="I268" s="24" t="n">
        <v>18.433937</v>
      </c>
      <c r="J268" s="24" t="n">
        <v>120.614237</v>
      </c>
      <c r="K268" s="23" t="inlineStr">
        <is>
          <t>R</t>
        </is>
      </c>
      <c r="L268" s="25" t="n">
        <v>651</v>
      </c>
      <c r="M268" s="26" t="n">
        <v>3.7</v>
      </c>
      <c r="N268" s="25">
        <f>ROUND(L268/M268, 0)</f>
        <v/>
      </c>
      <c r="O268" s="25">
        <f>ROUND(N268*'Methodology &amp; Assumptions'!$B$7, 0)</f>
        <v/>
      </c>
      <c r="P268" s="23" t="inlineStr">
        <is>
          <t>Single Carrier (Band n50, 100MHz TDD)</t>
        </is>
      </c>
      <c r="Q268" s="27">
        <f>ROUNDUP(O268/'Methodology &amp; Assumptions'!$B$8, 0)</f>
        <v/>
      </c>
      <c r="R268" s="27" t="n">
        <v>1</v>
      </c>
      <c r="S268" s="26" t="n">
        <v>4.49</v>
      </c>
      <c r="T268" s="26" t="n">
        <v>2.56</v>
      </c>
      <c r="U268" s="11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26" t="n">
        <v>50.69</v>
      </c>
      <c r="W268" s="26" t="n">
        <v>90.34999999999999</v>
      </c>
      <c r="X268" s="26">
        <f>ROUND(('Methodology &amp; Assumptions'!$B$5*V268) + ('Methodology &amp; Assumptions'!$B$6*W268), 2)</f>
        <v/>
      </c>
      <c r="Y268" s="28" t="n">
        <v>8.300000000000001</v>
      </c>
      <c r="Z268" s="11" t="inlineStr">
        <is>
          <t>Priority Tier 1 (High Commercial &amp; Social)</t>
        </is>
      </c>
    </row>
    <row r="269">
      <c r="A269" s="23" t="n">
        <v>1</v>
      </c>
      <c r="B269" s="23" t="n">
        <v>265</v>
      </c>
      <c r="C269" s="23" t="n">
        <v>265</v>
      </c>
      <c r="D269" s="23" t="inlineStr">
        <is>
          <t>0402106052</t>
        </is>
      </c>
      <c r="E269" s="11" t="inlineStr">
        <is>
          <t>Region IV-A (CALABARZON)</t>
        </is>
      </c>
      <c r="F269" s="11" t="inlineStr">
        <is>
          <t>Cavite</t>
        </is>
      </c>
      <c r="G269" s="11" t="inlineStr">
        <is>
          <t>City of Dasmariñas</t>
        </is>
      </c>
      <c r="H269" s="11" t="inlineStr">
        <is>
          <t>Fatima III</t>
        </is>
      </c>
      <c r="I269" s="24" t="n">
        <v>14.309259</v>
      </c>
      <c r="J269" s="24" t="n">
        <v>120.96792</v>
      </c>
      <c r="K269" s="23" t="inlineStr">
        <is>
          <t>R</t>
        </is>
      </c>
      <c r="L269" s="25" t="n">
        <v>3878</v>
      </c>
      <c r="M269" s="26" t="n">
        <v>3.4</v>
      </c>
      <c r="N269" s="25">
        <f>ROUND(L269/M269, 0)</f>
        <v/>
      </c>
      <c r="O269" s="25">
        <f>ROUND(N269*'Methodology &amp; Assumptions'!$B$7, 0)</f>
        <v/>
      </c>
      <c r="P269" s="23" t="inlineStr">
        <is>
          <t>Single Carrier (Band n50, 100MHz TDD)</t>
        </is>
      </c>
      <c r="Q269" s="27">
        <f>ROUNDUP(O269/'Methodology &amp; Assumptions'!$B$8, 0)</f>
        <v/>
      </c>
      <c r="R269" s="27" t="n">
        <v>1</v>
      </c>
      <c r="S269" s="26" t="n">
        <v>0.43</v>
      </c>
      <c r="T269" s="26" t="n">
        <v>1.53</v>
      </c>
      <c r="U269" s="11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26" t="n">
        <v>85.45999999999999</v>
      </c>
      <c r="W269" s="26" t="n">
        <v>55.55</v>
      </c>
      <c r="X269" s="26">
        <f>ROUND(('Methodology &amp; Assumptions'!$B$5*V269) + ('Methodology &amp; Assumptions'!$B$6*W269), 2)</f>
        <v/>
      </c>
      <c r="Y269" s="28" t="n">
        <v>7.2</v>
      </c>
      <c r="Z269" s="11" t="inlineStr">
        <is>
          <t>Priority Tier 1 (High Commercial &amp; Social)</t>
        </is>
      </c>
    </row>
    <row r="270">
      <c r="A270" s="23" t="n">
        <v>1</v>
      </c>
      <c r="B270" s="23" t="n">
        <v>266</v>
      </c>
      <c r="C270" s="23" t="n">
        <v>266</v>
      </c>
      <c r="D270" s="23" t="inlineStr">
        <is>
          <t>1381200018</t>
        </is>
      </c>
      <c r="E270" s="11" t="inlineStr">
        <is>
          <t>National Capital Region (NCR)</t>
        </is>
      </c>
      <c r="F270" s="11" t="inlineStr">
        <is>
          <t>Second District (Not a Province)</t>
        </is>
      </c>
      <c r="G270" s="11" t="inlineStr">
        <is>
          <t>City of Pasig</t>
        </is>
      </c>
      <c r="H270" s="11" t="inlineStr">
        <is>
          <t>Sagad</t>
        </is>
      </c>
      <c r="I270" s="24" t="n">
        <v>14.56619</v>
      </c>
      <c r="J270" s="24" t="n">
        <v>121.079288</v>
      </c>
      <c r="K270" s="23" t="inlineStr">
        <is>
          <t>U</t>
        </is>
      </c>
      <c r="L270" s="25" t="n">
        <v>6357</v>
      </c>
      <c r="M270" s="26" t="n">
        <v>3.48</v>
      </c>
      <c r="N270" s="25">
        <f>ROUND(L270/M270, 0)</f>
        <v/>
      </c>
      <c r="O270" s="25">
        <f>ROUND(N270*'Methodology &amp; Assumptions'!$B$7, 0)</f>
        <v/>
      </c>
      <c r="P270" s="23" t="inlineStr">
        <is>
          <t>Single Carrier (Band n50, 100MHz TDD)</t>
        </is>
      </c>
      <c r="Q270" s="27">
        <f>ROUNDUP(O270/'Methodology &amp; Assumptions'!$B$8, 0)</f>
        <v/>
      </c>
      <c r="R270" s="27" t="n">
        <v>1</v>
      </c>
      <c r="S270" s="26" t="n">
        <v>0.64</v>
      </c>
      <c r="T270" s="26" t="n">
        <v>0.3</v>
      </c>
      <c r="U270" s="11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26" t="n">
        <v>69.09</v>
      </c>
      <c r="W270" s="26" t="n">
        <v>71.87</v>
      </c>
      <c r="X270" s="26">
        <f>ROUND(('Methodology &amp; Assumptions'!$B$5*V270) + ('Methodology &amp; Assumptions'!$B$6*W270), 2)</f>
        <v/>
      </c>
      <c r="Y270" s="28" t="n">
        <v>10.9</v>
      </c>
      <c r="Z270" s="11" t="inlineStr">
        <is>
          <t>Priority Tier 1 (High Commercial &amp; Social)</t>
        </is>
      </c>
    </row>
    <row r="271">
      <c r="A271" s="23" t="n">
        <v>1</v>
      </c>
      <c r="B271" s="23" t="n">
        <v>267</v>
      </c>
      <c r="C271" s="23" t="n">
        <v>267</v>
      </c>
      <c r="D271" s="23" t="inlineStr">
        <is>
          <t>0500518001</t>
        </is>
      </c>
      <c r="E271" s="11" t="inlineStr">
        <is>
          <t>Region V (Bicol Region)</t>
        </is>
      </c>
      <c r="F271" s="11" t="inlineStr">
        <is>
          <t>Albay</t>
        </is>
      </c>
      <c r="G271" s="11" t="inlineStr">
        <is>
          <t>Tiwi</t>
        </is>
      </c>
      <c r="H271" s="11" t="inlineStr">
        <is>
          <t>Bagumbayan</t>
        </is>
      </c>
      <c r="I271" s="24" t="n">
        <v>13.43074</v>
      </c>
      <c r="J271" s="24" t="n">
        <v>123.62597</v>
      </c>
      <c r="K271" s="23" t="inlineStr">
        <is>
          <t>R</t>
        </is>
      </c>
      <c r="L271" s="25" t="n">
        <v>2758</v>
      </c>
      <c r="M271" s="26" t="n">
        <v>4.1</v>
      </c>
      <c r="N271" s="25">
        <f>ROUND(L271/M271, 0)</f>
        <v/>
      </c>
      <c r="O271" s="25">
        <f>ROUND(N271*'Methodology &amp; Assumptions'!$B$7, 0)</f>
        <v/>
      </c>
      <c r="P271" s="23" t="inlineStr">
        <is>
          <t>Single Carrier (Band n50, 100MHz TDD)</t>
        </is>
      </c>
      <c r="Q271" s="27">
        <f>ROUNDUP(O271/'Methodology &amp; Assumptions'!$B$8, 0)</f>
        <v/>
      </c>
      <c r="R271" s="27" t="n">
        <v>1</v>
      </c>
      <c r="S271" s="26" t="n">
        <v>6.12</v>
      </c>
      <c r="T271" s="26" t="n">
        <v>5.49</v>
      </c>
      <c r="U271" s="11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26" t="n">
        <v>65.23999999999999</v>
      </c>
      <c r="W271" s="26" t="n">
        <v>75.72</v>
      </c>
      <c r="X271" s="26">
        <f>ROUND(('Methodology &amp; Assumptions'!$B$5*V271) + ('Methodology &amp; Assumptions'!$B$6*W271), 2)</f>
        <v/>
      </c>
      <c r="Y271" s="28" t="n">
        <v>23.7</v>
      </c>
      <c r="Z271" s="11" t="inlineStr">
        <is>
          <t>Priority Tier 1 (High Commercial &amp; Social)</t>
        </is>
      </c>
    </row>
    <row r="272">
      <c r="A272" s="23" t="n">
        <v>1</v>
      </c>
      <c r="B272" s="23" t="n">
        <v>268</v>
      </c>
      <c r="C272" s="23" t="n">
        <v>268</v>
      </c>
      <c r="D272" s="23" t="inlineStr">
        <is>
          <t>0702232010</t>
        </is>
      </c>
      <c r="E272" s="11" t="inlineStr">
        <is>
          <t>Region VII (Central Visayas)</t>
        </is>
      </c>
      <c r="F272" s="11" t="inlineStr">
        <is>
          <t>Cebu</t>
        </is>
      </c>
      <c r="G272" s="11" t="inlineStr">
        <is>
          <t>Minglanilla</t>
        </is>
      </c>
      <c r="H272" s="11" t="inlineStr">
        <is>
          <t>Poblacion Ward I</t>
        </is>
      </c>
      <c r="I272" s="24" t="n">
        <v>10.244515</v>
      </c>
      <c r="J272" s="24" t="n">
        <v>123.798009</v>
      </c>
      <c r="K272" s="23" t="inlineStr">
        <is>
          <t>U</t>
        </is>
      </c>
      <c r="L272" s="25" t="n">
        <v>2358</v>
      </c>
      <c r="M272" s="26" t="n">
        <v>3.8</v>
      </c>
      <c r="N272" s="25">
        <f>ROUND(L272/M272, 0)</f>
        <v/>
      </c>
      <c r="O272" s="25">
        <f>ROUND(N272*'Methodology &amp; Assumptions'!$B$7, 0)</f>
        <v/>
      </c>
      <c r="P272" s="23" t="inlineStr">
        <is>
          <t>Single Carrier (Band n50, 100MHz TDD)</t>
        </is>
      </c>
      <c r="Q272" s="27">
        <f>ROUNDUP(O272/'Methodology &amp; Assumptions'!$B$8, 0)</f>
        <v/>
      </c>
      <c r="R272" s="27" t="n">
        <v>1</v>
      </c>
      <c r="S272" s="26" t="n">
        <v>0.45</v>
      </c>
      <c r="T272" s="26" t="n">
        <v>0.18</v>
      </c>
      <c r="U272" s="11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26" t="n">
        <v>73.11</v>
      </c>
      <c r="W272" s="26" t="n">
        <v>67.81</v>
      </c>
      <c r="X272" s="26">
        <f>ROUND(('Methodology &amp; Assumptions'!$B$5*V272) + ('Methodology &amp; Assumptions'!$B$6*W272), 2)</f>
        <v/>
      </c>
      <c r="Y272" s="28" t="n">
        <v>23.7</v>
      </c>
      <c r="Z272" s="11" t="inlineStr">
        <is>
          <t>Priority Tier 1 (High Commercial &amp; Social)</t>
        </is>
      </c>
    </row>
    <row r="273">
      <c r="A273" s="23" t="n">
        <v>1</v>
      </c>
      <c r="B273" s="23" t="n">
        <v>269</v>
      </c>
      <c r="C273" s="23" t="n">
        <v>269</v>
      </c>
      <c r="D273" s="23" t="inlineStr">
        <is>
          <t>0102934006</t>
        </is>
      </c>
      <c r="E273" s="11" t="inlineStr">
        <is>
          <t>Region I (Ilocos Region)</t>
        </is>
      </c>
      <c r="F273" s="11" t="inlineStr">
        <is>
          <t>Ilocos Sur</t>
        </is>
      </c>
      <c r="G273" s="11" t="inlineStr">
        <is>
          <t>City of Vigan</t>
        </is>
      </c>
      <c r="H273" s="11" t="inlineStr">
        <is>
          <t>Barangay IV</t>
        </is>
      </c>
      <c r="I273" s="24" t="n">
        <v>17.573817</v>
      </c>
      <c r="J273" s="24" t="n">
        <v>120.384622</v>
      </c>
      <c r="K273" s="23" t="inlineStr">
        <is>
          <t>R</t>
        </is>
      </c>
      <c r="L273" s="25" t="n">
        <v>2081</v>
      </c>
      <c r="M273" s="26" t="n">
        <v>3.8</v>
      </c>
      <c r="N273" s="25">
        <f>ROUND(L273/M273, 0)</f>
        <v/>
      </c>
      <c r="O273" s="25">
        <f>ROUND(N273*'Methodology &amp; Assumptions'!$B$7, 0)</f>
        <v/>
      </c>
      <c r="P273" s="23" t="inlineStr">
        <is>
          <t>Single Carrier (Band n50, 100MHz TDD)</t>
        </is>
      </c>
      <c r="Q273" s="27">
        <f>ROUNDUP(O273/'Methodology &amp; Assumptions'!$B$8, 0)</f>
        <v/>
      </c>
      <c r="R273" s="27" t="n">
        <v>1</v>
      </c>
      <c r="S273" s="26" t="n">
        <v>2.28</v>
      </c>
      <c r="T273" s="26" t="n">
        <v>1.03</v>
      </c>
      <c r="U273" s="11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26" t="n">
        <v>71.59999999999999</v>
      </c>
      <c r="W273" s="26" t="n">
        <v>69.26000000000001</v>
      </c>
      <c r="X273" s="26">
        <f>ROUND(('Methodology &amp; Assumptions'!$B$5*V273) + ('Methodology &amp; Assumptions'!$B$6*W273), 2)</f>
        <v/>
      </c>
      <c r="Y273" s="28" t="n">
        <v>8.300000000000001</v>
      </c>
      <c r="Z273" s="11" t="inlineStr">
        <is>
          <t>Priority Tier 1 (High Commercial &amp; Social)</t>
        </is>
      </c>
    </row>
    <row r="274">
      <c r="A274" s="23" t="n">
        <v>1</v>
      </c>
      <c r="B274" s="23" t="n">
        <v>270</v>
      </c>
      <c r="C274" s="23" t="n">
        <v>270</v>
      </c>
      <c r="D274" s="23" t="inlineStr">
        <is>
          <t>1381300070</t>
        </is>
      </c>
      <c r="E274" s="11" t="inlineStr">
        <is>
          <t>National Capital Region (NCR)</t>
        </is>
      </c>
      <c r="F274" s="11" t="inlineStr">
        <is>
          <t>Second District (Not a Province)</t>
        </is>
      </c>
      <c r="G274" s="11" t="inlineStr">
        <is>
          <t>Quezon City</t>
        </is>
      </c>
      <c r="H274" s="11" t="inlineStr">
        <is>
          <t>Novaliches Proper</t>
        </is>
      </c>
      <c r="I274" s="24" t="n">
        <v>14.72087</v>
      </c>
      <c r="J274" s="24" t="n">
        <v>121.0391</v>
      </c>
      <c r="K274" s="23" t="inlineStr">
        <is>
          <t>U</t>
        </is>
      </c>
      <c r="L274" s="25" t="n">
        <v>16096</v>
      </c>
      <c r="M274" s="26" t="n">
        <v>3.99</v>
      </c>
      <c r="N274" s="25">
        <f>ROUND(L274/M274, 0)</f>
        <v/>
      </c>
      <c r="O274" s="25">
        <f>ROUND(N274*'Methodology &amp; Assumptions'!$B$7, 0)</f>
        <v/>
      </c>
      <c r="P274" s="23" t="inlineStr">
        <is>
          <t>Single Carrier (Band n50, 100MHz TDD)</t>
        </is>
      </c>
      <c r="Q274" s="27">
        <f>ROUNDUP(O274/'Methodology &amp; Assumptions'!$B$8, 0)</f>
        <v/>
      </c>
      <c r="R274" s="27" t="n">
        <v>1</v>
      </c>
      <c r="S274" s="26" t="n">
        <v>0.33</v>
      </c>
      <c r="T274" s="26" t="n">
        <v>0.1</v>
      </c>
      <c r="U274" s="11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26" t="n">
        <v>69.09</v>
      </c>
      <c r="W274" s="26" t="n">
        <v>71.77</v>
      </c>
      <c r="X274" s="26">
        <f>ROUND(('Methodology &amp; Assumptions'!$B$5*V274) + ('Methodology &amp; Assumptions'!$B$6*W274), 2)</f>
        <v/>
      </c>
      <c r="Y274" s="28" t="n">
        <v>10.9</v>
      </c>
      <c r="Z274" s="11" t="inlineStr">
        <is>
          <t>Priority Tier 1 (High Commercial &amp; Social)</t>
        </is>
      </c>
    </row>
    <row r="275">
      <c r="A275" s="23" t="n">
        <v>1</v>
      </c>
      <c r="B275" s="23" t="n">
        <v>271</v>
      </c>
      <c r="C275" s="23" t="n">
        <v>271</v>
      </c>
      <c r="D275" s="23" t="inlineStr">
        <is>
          <t>1380601093</t>
        </is>
      </c>
      <c r="E275" s="11" t="inlineStr">
        <is>
          <t>National Capital Region (NCR)</t>
        </is>
      </c>
      <c r="F275" s="11" t="inlineStr">
        <is>
          <t>First District (Not a Province)</t>
        </is>
      </c>
      <c r="G275" s="11" t="inlineStr">
        <is>
          <t>City of Manila</t>
        </is>
      </c>
      <c r="H275" s="11" t="inlineStr">
        <is>
          <t>Barangay 93</t>
        </is>
      </c>
      <c r="I275" s="24" t="n">
        <v>14.619821</v>
      </c>
      <c r="J275" s="24" t="n">
        <v>120.967133</v>
      </c>
      <c r="K275" s="23" t="inlineStr">
        <is>
          <t>U</t>
        </is>
      </c>
      <c r="L275" s="25" t="n">
        <v>4586</v>
      </c>
      <c r="M275" s="26" t="n">
        <v>3.82</v>
      </c>
      <c r="N275" s="25">
        <f>ROUND(L275/M275, 0)</f>
        <v/>
      </c>
      <c r="O275" s="25">
        <f>ROUND(N275*'Methodology &amp; Assumptions'!$B$7, 0)</f>
        <v/>
      </c>
      <c r="P275" s="23" t="inlineStr">
        <is>
          <t>Single Carrier (Band n50, 100MHz TDD)</t>
        </is>
      </c>
      <c r="Q275" s="27">
        <f>ROUNDUP(O275/'Methodology &amp; Assumptions'!$B$8, 0)</f>
        <v/>
      </c>
      <c r="R275" s="27" t="n">
        <v>1</v>
      </c>
      <c r="S275" s="26" t="n">
        <v>0.52</v>
      </c>
      <c r="T275" s="26" t="n">
        <v>0.17</v>
      </c>
      <c r="U275" s="11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26" t="n">
        <v>69.09</v>
      </c>
      <c r="W275" s="26" t="n">
        <v>71.73999999999999</v>
      </c>
      <c r="X275" s="26">
        <f>ROUND(('Methodology &amp; Assumptions'!$B$5*V275) + ('Methodology &amp; Assumptions'!$B$6*W275), 2)</f>
        <v/>
      </c>
      <c r="Y275" s="28" t="n">
        <v>10.9</v>
      </c>
      <c r="Z275" s="11" t="inlineStr">
        <is>
          <t>Priority Tier 1 (High Commercial &amp; Social)</t>
        </is>
      </c>
    </row>
    <row r="276">
      <c r="A276" s="23" t="n">
        <v>1</v>
      </c>
      <c r="B276" s="23" t="n">
        <v>272</v>
      </c>
      <c r="C276" s="23" t="n">
        <v>272</v>
      </c>
      <c r="D276" s="23" t="inlineStr">
        <is>
          <t>1381300067</t>
        </is>
      </c>
      <c r="E276" s="11" t="inlineStr">
        <is>
          <t>National Capital Region (NCR)</t>
        </is>
      </c>
      <c r="F276" s="11" t="inlineStr">
        <is>
          <t>Second District (Not a Province)</t>
        </is>
      </c>
      <c r="G276" s="11" t="inlineStr">
        <is>
          <t>Quezon City</t>
        </is>
      </c>
      <c r="H276" s="11" t="inlineStr">
        <is>
          <t>Milagrosa</t>
        </is>
      </c>
      <c r="I276" s="24" t="n">
        <v>14.62182</v>
      </c>
      <c r="J276" s="24" t="n">
        <v>121.071</v>
      </c>
      <c r="K276" s="23" t="inlineStr">
        <is>
          <t>U</t>
        </is>
      </c>
      <c r="L276" s="25" t="n">
        <v>6923</v>
      </c>
      <c r="M276" s="26" t="n">
        <v>4.1</v>
      </c>
      <c r="N276" s="25">
        <f>ROUND(L276/M276, 0)</f>
        <v/>
      </c>
      <c r="O276" s="25">
        <f>ROUND(N276*'Methodology &amp; Assumptions'!$B$7, 0)</f>
        <v/>
      </c>
      <c r="P276" s="23" t="inlineStr">
        <is>
          <t>Single Carrier (Band n50, 100MHz TDD)</t>
        </is>
      </c>
      <c r="Q276" s="27">
        <f>ROUNDUP(O276/'Methodology &amp; Assumptions'!$B$8, 0)</f>
        <v/>
      </c>
      <c r="R276" s="27" t="n">
        <v>1</v>
      </c>
      <c r="S276" s="26" t="n">
        <v>0.5600000000000001</v>
      </c>
      <c r="T276" s="26" t="n">
        <v>0.55</v>
      </c>
      <c r="U276" s="11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26" t="n">
        <v>69.09</v>
      </c>
      <c r="W276" s="26" t="n">
        <v>71.73999999999999</v>
      </c>
      <c r="X276" s="26">
        <f>ROUND(('Methodology &amp; Assumptions'!$B$5*V276) + ('Methodology &amp; Assumptions'!$B$6*W276), 2)</f>
        <v/>
      </c>
      <c r="Y276" s="28" t="n">
        <v>10.9</v>
      </c>
      <c r="Z276" s="11" t="inlineStr">
        <is>
          <t>Priority Tier 1 (High Commercial &amp; Social)</t>
        </is>
      </c>
    </row>
    <row r="277">
      <c r="A277" s="23" t="n">
        <v>1</v>
      </c>
      <c r="B277" s="23" t="n">
        <v>273</v>
      </c>
      <c r="C277" s="23" t="n">
        <v>273</v>
      </c>
      <c r="D277" s="23" t="inlineStr">
        <is>
          <t>1401111005</t>
        </is>
      </c>
      <c r="E277" s="11" t="inlineStr">
        <is>
          <t>Cordillera Administrative Region (CAR)</t>
        </is>
      </c>
      <c r="F277" s="11" t="inlineStr">
        <is>
          <t>Benguet</t>
        </is>
      </c>
      <c r="G277" s="11" t="inlineStr">
        <is>
          <t>Mankayan</t>
        </is>
      </c>
      <c r="H277" s="11" t="inlineStr">
        <is>
          <t>Colalo</t>
        </is>
      </c>
      <c r="I277" s="24" t="n">
        <v>16.90772</v>
      </c>
      <c r="J277" s="24" t="n">
        <v>120.78734</v>
      </c>
      <c r="K277" s="23" t="inlineStr">
        <is>
          <t>R</t>
        </is>
      </c>
      <c r="L277" s="25" t="n">
        <v>1676</v>
      </c>
      <c r="M277" s="26" t="n">
        <v>3.5</v>
      </c>
      <c r="N277" s="25">
        <f>ROUND(L277/M277, 0)</f>
        <v/>
      </c>
      <c r="O277" s="25">
        <f>ROUND(N277*'Methodology &amp; Assumptions'!$B$7, 0)</f>
        <v/>
      </c>
      <c r="P277" s="23" t="inlineStr">
        <is>
          <t>Single Carrier (Band n50, 100MHz TDD)</t>
        </is>
      </c>
      <c r="Q277" s="27">
        <f>ROUNDUP(O277/'Methodology &amp; Assumptions'!$B$8, 0)</f>
        <v/>
      </c>
      <c r="R277" s="27" t="n">
        <v>1</v>
      </c>
      <c r="S277" s="26" t="n">
        <v>6.09</v>
      </c>
      <c r="T277" s="26" t="n">
        <v>1.77</v>
      </c>
      <c r="U277" s="11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26" t="n">
        <v>60.31</v>
      </c>
      <c r="W277" s="26" t="n">
        <v>80.54000000000001</v>
      </c>
      <c r="X277" s="26">
        <f>ROUND(('Methodology &amp; Assumptions'!$B$5*V277) + ('Methodology &amp; Assumptions'!$B$6*W277), 2)</f>
        <v/>
      </c>
      <c r="Y277" s="28" t="n">
        <v>10.9</v>
      </c>
      <c r="Z277" s="11" t="inlineStr">
        <is>
          <t>Priority Tier 1 (High Commercial &amp; Social)</t>
        </is>
      </c>
    </row>
    <row r="278">
      <c r="A278" s="23" t="n">
        <v>1</v>
      </c>
      <c r="B278" s="23" t="n">
        <v>274</v>
      </c>
      <c r="C278" s="23" t="n">
        <v>274</v>
      </c>
      <c r="D278" s="23" t="inlineStr">
        <is>
          <t>0402103064</t>
        </is>
      </c>
      <c r="E278" s="11" t="inlineStr">
        <is>
          <t>Region IV-A (CALABARZON)</t>
        </is>
      </c>
      <c r="F278" s="11" t="inlineStr">
        <is>
          <t>Cavite</t>
        </is>
      </c>
      <c r="G278" s="11" t="inlineStr">
        <is>
          <t>City of Bacoor</t>
        </is>
      </c>
      <c r="H278" s="11" t="inlineStr">
        <is>
          <t>San Nicolas II</t>
        </is>
      </c>
      <c r="I278" s="24" t="n">
        <v>14.433608</v>
      </c>
      <c r="J278" s="24" t="n">
        <v>120.974648</v>
      </c>
      <c r="K278" s="23" t="inlineStr">
        <is>
          <t>U</t>
        </is>
      </c>
      <c r="L278" s="25" t="n">
        <v>12673</v>
      </c>
      <c r="M278" s="26" t="n">
        <v>3.4</v>
      </c>
      <c r="N278" s="25">
        <f>ROUND(L278/M278, 0)</f>
        <v/>
      </c>
      <c r="O278" s="25">
        <f>ROUND(N278*'Methodology &amp; Assumptions'!$B$7, 0)</f>
        <v/>
      </c>
      <c r="P278" s="23" t="inlineStr">
        <is>
          <t>Single Carrier (Band n50, 100MHz TDD)</t>
        </is>
      </c>
      <c r="Q278" s="27">
        <f>ROUNDUP(O278/'Methodology &amp; Assumptions'!$B$8, 0)</f>
        <v/>
      </c>
      <c r="R278" s="27" t="n">
        <v>1</v>
      </c>
      <c r="S278" s="26" t="n">
        <v>1.37</v>
      </c>
      <c r="T278" s="26" t="n">
        <v>1.91</v>
      </c>
      <c r="U278" s="11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26" t="n">
        <v>76.23</v>
      </c>
      <c r="W278" s="26" t="n">
        <v>64.56</v>
      </c>
      <c r="X278" s="26">
        <f>ROUND(('Methodology &amp; Assumptions'!$B$5*V278) + ('Methodology &amp; Assumptions'!$B$6*W278), 2)</f>
        <v/>
      </c>
      <c r="Y278" s="28" t="n">
        <v>7.2</v>
      </c>
      <c r="Z278" s="11" t="inlineStr">
        <is>
          <t>Priority Tier 1 (High Commercial &amp; Social)</t>
        </is>
      </c>
    </row>
    <row r="279">
      <c r="A279" s="23" t="n">
        <v>1</v>
      </c>
      <c r="B279" s="23" t="n">
        <v>275</v>
      </c>
      <c r="C279" s="23" t="n">
        <v>275</v>
      </c>
      <c r="D279" s="23" t="inlineStr">
        <is>
          <t>1380400002</t>
        </is>
      </c>
      <c r="E279" s="11" t="inlineStr">
        <is>
          <t>National Capital Region (NCR)</t>
        </is>
      </c>
      <c r="F279" s="11" t="inlineStr">
        <is>
          <t>Third District (Not a Province)</t>
        </is>
      </c>
      <c r="G279" s="11" t="inlineStr">
        <is>
          <t>City of Malabon</t>
        </is>
      </c>
      <c r="H279" s="11" t="inlineStr">
        <is>
          <t>Baritan</t>
        </is>
      </c>
      <c r="I279" s="24" t="n">
        <v>14.67173</v>
      </c>
      <c r="J279" s="24" t="n">
        <v>120.949498</v>
      </c>
      <c r="K279" s="23" t="inlineStr">
        <is>
          <t>U</t>
        </is>
      </c>
      <c r="L279" s="25" t="n">
        <v>12461</v>
      </c>
      <c r="M279" s="26" t="n">
        <v>3.23</v>
      </c>
      <c r="N279" s="25">
        <f>ROUND(L279/M279, 0)</f>
        <v/>
      </c>
      <c r="O279" s="25">
        <f>ROUND(N279*'Methodology &amp; Assumptions'!$B$7, 0)</f>
        <v/>
      </c>
      <c r="P279" s="23" t="inlineStr">
        <is>
          <t>Single Carrier (Band n50, 100MHz TDD)</t>
        </is>
      </c>
      <c r="Q279" s="27">
        <f>ROUNDUP(O279/'Methodology &amp; Assumptions'!$B$8, 0)</f>
        <v/>
      </c>
      <c r="R279" s="27" t="n">
        <v>1</v>
      </c>
      <c r="S279" s="26" t="n">
        <v>0.51</v>
      </c>
      <c r="T279" s="26" t="n">
        <v>0.23</v>
      </c>
      <c r="U279" s="11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26" t="n">
        <v>69.09</v>
      </c>
      <c r="W279" s="26" t="n">
        <v>71.66</v>
      </c>
      <c r="X279" s="26">
        <f>ROUND(('Methodology &amp; Assumptions'!$B$5*V279) + ('Methodology &amp; Assumptions'!$B$6*W279), 2)</f>
        <v/>
      </c>
      <c r="Y279" s="28" t="n">
        <v>10.9</v>
      </c>
      <c r="Z279" s="11" t="inlineStr">
        <is>
          <t>Priority Tier 1 (High Commercial &amp; Social)</t>
        </is>
      </c>
    </row>
    <row r="280">
      <c r="A280" s="23" t="n">
        <v>1</v>
      </c>
      <c r="B280" s="23" t="n">
        <v>276</v>
      </c>
      <c r="C280" s="23" t="n">
        <v>276</v>
      </c>
      <c r="D280" s="23" t="inlineStr">
        <is>
          <t>1381100185</t>
        </is>
      </c>
      <c r="E280" s="11" t="inlineStr">
        <is>
          <t>National Capital Region (NCR)</t>
        </is>
      </c>
      <c r="F280" s="11" t="inlineStr">
        <is>
          <t>Fourth District (Not a Province)</t>
        </is>
      </c>
      <c r="G280" s="11" t="inlineStr">
        <is>
          <t>Pasay City</t>
        </is>
      </c>
      <c r="H280" s="11" t="inlineStr">
        <is>
          <t>Barangay 185</t>
        </is>
      </c>
      <c r="I280" s="24" t="n">
        <v>14.526659</v>
      </c>
      <c r="J280" s="24" t="n">
        <v>121.010853</v>
      </c>
      <c r="K280" s="23" t="inlineStr">
        <is>
          <t>U</t>
        </is>
      </c>
      <c r="L280" s="25" t="n">
        <v>4738</v>
      </c>
      <c r="M280" s="26" t="n">
        <v>3.53</v>
      </c>
      <c r="N280" s="25">
        <f>ROUND(L280/M280, 0)</f>
        <v/>
      </c>
      <c r="O280" s="25">
        <f>ROUND(N280*'Methodology &amp; Assumptions'!$B$7, 0)</f>
        <v/>
      </c>
      <c r="P280" s="23" t="inlineStr">
        <is>
          <t>Single Carrier (Band n50, 100MHz TDD)</t>
        </is>
      </c>
      <c r="Q280" s="27">
        <f>ROUNDUP(O280/'Methodology &amp; Assumptions'!$B$8, 0)</f>
        <v/>
      </c>
      <c r="R280" s="27" t="n">
        <v>1</v>
      </c>
      <c r="S280" s="26" t="n">
        <v>0.73</v>
      </c>
      <c r="T280" s="26" t="n">
        <v>0.06</v>
      </c>
      <c r="U280" s="11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26" t="n">
        <v>69.09</v>
      </c>
      <c r="W280" s="26" t="n">
        <v>71.62</v>
      </c>
      <c r="X280" s="26">
        <f>ROUND(('Methodology &amp; Assumptions'!$B$5*V280) + ('Methodology &amp; Assumptions'!$B$6*W280), 2)</f>
        <v/>
      </c>
      <c r="Y280" s="28" t="n">
        <v>10.9</v>
      </c>
      <c r="Z280" s="11" t="inlineStr">
        <is>
          <t>Priority Tier 1 (High Commercial &amp; Social)</t>
        </is>
      </c>
    </row>
    <row r="281">
      <c r="A281" s="23" t="n">
        <v>1</v>
      </c>
      <c r="B281" s="23" t="n">
        <v>277</v>
      </c>
      <c r="C281" s="23" t="n">
        <v>277</v>
      </c>
      <c r="D281" s="23" t="inlineStr">
        <is>
          <t>1380605078</t>
        </is>
      </c>
      <c r="E281" s="11" t="inlineStr">
        <is>
          <t>National Capital Region (NCR)</t>
        </is>
      </c>
      <c r="F281" s="11" t="inlineStr">
        <is>
          <t>First District (Not a Province)</t>
        </is>
      </c>
      <c r="G281" s="11" t="inlineStr">
        <is>
          <t>City of Manila</t>
        </is>
      </c>
      <c r="H281" s="11" t="inlineStr">
        <is>
          <t>Barangay 375</t>
        </is>
      </c>
      <c r="I281" s="24" t="n">
        <v>14.629435</v>
      </c>
      <c r="J281" s="24" t="n">
        <v>120.983744</v>
      </c>
      <c r="K281" s="23" t="inlineStr">
        <is>
          <t>U</t>
        </is>
      </c>
      <c r="L281" s="25" t="n">
        <v>4466</v>
      </c>
      <c r="M281" s="26" t="n">
        <v>4.75</v>
      </c>
      <c r="N281" s="25">
        <f>ROUND(L281/M281, 0)</f>
        <v/>
      </c>
      <c r="O281" s="25">
        <f>ROUND(N281*'Methodology &amp; Assumptions'!$B$7, 0)</f>
        <v/>
      </c>
      <c r="P281" s="23" t="inlineStr">
        <is>
          <t>Single Carrier (Band n50, 100MHz TDD)</t>
        </is>
      </c>
      <c r="Q281" s="27">
        <f>ROUNDUP(O281/'Methodology &amp; Assumptions'!$B$8, 0)</f>
        <v/>
      </c>
      <c r="R281" s="27" t="n">
        <v>1</v>
      </c>
      <c r="S281" s="26" t="n">
        <v>1.16</v>
      </c>
      <c r="T281" s="26" t="n">
        <v>0.31</v>
      </c>
      <c r="U281" s="11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26" t="n">
        <v>67.88</v>
      </c>
      <c r="W281" s="26" t="n">
        <v>72.83</v>
      </c>
      <c r="X281" s="26">
        <f>ROUND(('Methodology &amp; Assumptions'!$B$5*V281) + ('Methodology &amp; Assumptions'!$B$6*W281), 2)</f>
        <v/>
      </c>
      <c r="Y281" s="28" t="n">
        <v>10.9</v>
      </c>
      <c r="Z281" s="11" t="inlineStr">
        <is>
          <t>Priority Tier 1 (High Commercial &amp; Social)</t>
        </is>
      </c>
    </row>
    <row r="282">
      <c r="A282" s="23" t="n">
        <v>1</v>
      </c>
      <c r="B282" s="23" t="n">
        <v>278</v>
      </c>
      <c r="C282" s="23" t="n">
        <v>278</v>
      </c>
      <c r="D282" s="23" t="inlineStr">
        <is>
          <t>1380608002</t>
        </is>
      </c>
      <c r="E282" s="11" t="inlineStr">
        <is>
          <t>National Capital Region (NCR)</t>
        </is>
      </c>
      <c r="F282" s="11" t="inlineStr">
        <is>
          <t>First District (Not a Province)</t>
        </is>
      </c>
      <c r="G282" s="11" t="inlineStr">
        <is>
          <t>City of Manila</t>
        </is>
      </c>
      <c r="H282" s="11" t="inlineStr">
        <is>
          <t>Barangay 659-A</t>
        </is>
      </c>
      <c r="I282" s="24" t="n">
        <v>14.592971</v>
      </c>
      <c r="J282" s="24" t="n">
        <v>120.982613</v>
      </c>
      <c r="K282" s="23" t="inlineStr">
        <is>
          <t>U</t>
        </is>
      </c>
      <c r="L282" s="25" t="n">
        <v>3547</v>
      </c>
      <c r="M282" s="26" t="n">
        <v>2.03</v>
      </c>
      <c r="N282" s="25">
        <f>ROUND(L282/M282, 0)</f>
        <v/>
      </c>
      <c r="O282" s="25">
        <f>ROUND(N282*'Methodology &amp; Assumptions'!$B$7, 0)</f>
        <v/>
      </c>
      <c r="P282" s="23" t="inlineStr">
        <is>
          <t>Single Carrier (Band n50, 100MHz TDD)</t>
        </is>
      </c>
      <c r="Q282" s="27">
        <f>ROUNDUP(O282/'Methodology &amp; Assumptions'!$B$8, 0)</f>
        <v/>
      </c>
      <c r="R282" s="27" t="n">
        <v>1</v>
      </c>
      <c r="S282" s="26" t="n">
        <v>0.32</v>
      </c>
      <c r="T282" s="26" t="n">
        <v>0.22</v>
      </c>
      <c r="U282" s="11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26" t="n">
        <v>69.09</v>
      </c>
      <c r="W282" s="26" t="n">
        <v>71.59999999999999</v>
      </c>
      <c r="X282" s="26">
        <f>ROUND(('Methodology &amp; Assumptions'!$B$5*V282) + ('Methodology &amp; Assumptions'!$B$6*W282), 2)</f>
        <v/>
      </c>
      <c r="Y282" s="28" t="n">
        <v>10.9</v>
      </c>
      <c r="Z282" s="11" t="inlineStr">
        <is>
          <t>Priority Tier 1 (High Commercial &amp; Social)</t>
        </is>
      </c>
    </row>
    <row r="283">
      <c r="A283" s="23" t="n">
        <v>1</v>
      </c>
      <c r="B283" s="23" t="n">
        <v>279</v>
      </c>
      <c r="C283" s="23" t="n">
        <v>279</v>
      </c>
      <c r="D283" s="23" t="inlineStr">
        <is>
          <t>1380601058</t>
        </is>
      </c>
      <c r="E283" s="11" t="inlineStr">
        <is>
          <t>National Capital Region (NCR)</t>
        </is>
      </c>
      <c r="F283" s="11" t="inlineStr">
        <is>
          <t>First District (Not a Province)</t>
        </is>
      </c>
      <c r="G283" s="11" t="inlineStr">
        <is>
          <t>City of Manila</t>
        </is>
      </c>
      <c r="H283" s="11" t="inlineStr">
        <is>
          <t>Barangay 58</t>
        </is>
      </c>
      <c r="I283" s="24" t="n">
        <v>14.612584</v>
      </c>
      <c r="J283" s="24" t="n">
        <v>120.970421</v>
      </c>
      <c r="K283" s="23" t="inlineStr">
        <is>
          <t>U</t>
        </is>
      </c>
      <c r="L283" s="25" t="n">
        <v>4088</v>
      </c>
      <c r="M283" s="26" t="n">
        <v>3.89</v>
      </c>
      <c r="N283" s="25">
        <f>ROUND(L283/M283, 0)</f>
        <v/>
      </c>
      <c r="O283" s="25">
        <f>ROUND(N283*'Methodology &amp; Assumptions'!$B$7, 0)</f>
        <v/>
      </c>
      <c r="P283" s="23" t="inlineStr">
        <is>
          <t>Single Carrier (Band n50, 100MHz TDD)</t>
        </is>
      </c>
      <c r="Q283" s="27">
        <f>ROUNDUP(O283/'Methodology &amp; Assumptions'!$B$8, 0)</f>
        <v/>
      </c>
      <c r="R283" s="27" t="n">
        <v>1</v>
      </c>
      <c r="S283" s="26" t="n">
        <v>0.65</v>
      </c>
      <c r="T283" s="26" t="n">
        <v>0.35</v>
      </c>
      <c r="U283" s="11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26" t="n">
        <v>69.09</v>
      </c>
      <c r="W283" s="26" t="n">
        <v>71.59</v>
      </c>
      <c r="X283" s="26">
        <f>ROUND(('Methodology &amp; Assumptions'!$B$5*V283) + ('Methodology &amp; Assumptions'!$B$6*W283), 2)</f>
        <v/>
      </c>
      <c r="Y283" s="28" t="n">
        <v>10.9</v>
      </c>
      <c r="Z283" s="11" t="inlineStr">
        <is>
          <t>Priority Tier 1 (High Commercial &amp; Social)</t>
        </is>
      </c>
    </row>
    <row r="284">
      <c r="A284" s="23" t="n">
        <v>1</v>
      </c>
      <c r="B284" s="23" t="n">
        <v>280</v>
      </c>
      <c r="C284" s="23" t="n">
        <v>280</v>
      </c>
      <c r="D284" s="23" t="inlineStr">
        <is>
          <t>1381100189</t>
        </is>
      </c>
      <c r="E284" s="11" t="inlineStr">
        <is>
          <t>National Capital Region (NCR)</t>
        </is>
      </c>
      <c r="F284" s="11" t="inlineStr">
        <is>
          <t>Fourth District (Not a Province)</t>
        </is>
      </c>
      <c r="G284" s="11" t="inlineStr">
        <is>
          <t>Pasay City</t>
        </is>
      </c>
      <c r="H284" s="11" t="inlineStr">
        <is>
          <t>Barangay 189</t>
        </is>
      </c>
      <c r="I284" s="24" t="n">
        <v>14.534657</v>
      </c>
      <c r="J284" s="24" t="n">
        <v>121.000816</v>
      </c>
      <c r="K284" s="23" t="inlineStr">
        <is>
          <t>U</t>
        </is>
      </c>
      <c r="L284" s="25" t="n">
        <v>3437</v>
      </c>
      <c r="M284" s="26" t="n">
        <v>3.65</v>
      </c>
      <c r="N284" s="25">
        <f>ROUND(L284/M284, 0)</f>
        <v/>
      </c>
      <c r="O284" s="25">
        <f>ROUND(N284*'Methodology &amp; Assumptions'!$B$7, 0)</f>
        <v/>
      </c>
      <c r="P284" s="23" t="inlineStr">
        <is>
          <t>Single Carrier (Band n50, 100MHz TDD)</t>
        </is>
      </c>
      <c r="Q284" s="27">
        <f>ROUNDUP(O284/'Methodology &amp; Assumptions'!$B$8, 0)</f>
        <v/>
      </c>
      <c r="R284" s="27" t="n">
        <v>1</v>
      </c>
      <c r="S284" s="26" t="n">
        <v>0.85</v>
      </c>
      <c r="T284" s="26" t="n">
        <v>0.27</v>
      </c>
      <c r="U284" s="11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26" t="n">
        <v>69.06</v>
      </c>
      <c r="W284" s="26" t="n">
        <v>71.59</v>
      </c>
      <c r="X284" s="26">
        <f>ROUND(('Methodology &amp; Assumptions'!$B$5*V284) + ('Methodology &amp; Assumptions'!$B$6*W284), 2)</f>
        <v/>
      </c>
      <c r="Y284" s="28" t="n">
        <v>10.9</v>
      </c>
      <c r="Z284" s="11" t="inlineStr">
        <is>
          <t>Priority Tier 1 (High Commercial &amp; Social)</t>
        </is>
      </c>
    </row>
    <row r="285">
      <c r="A285" s="23" t="n">
        <v>1</v>
      </c>
      <c r="B285" s="23" t="n">
        <v>281</v>
      </c>
      <c r="C285" s="23" t="n">
        <v>281</v>
      </c>
      <c r="D285" s="23" t="inlineStr">
        <is>
          <t>1380610061</t>
        </is>
      </c>
      <c r="E285" s="11" t="inlineStr">
        <is>
          <t>National Capital Region (NCR)</t>
        </is>
      </c>
      <c r="F285" s="11" t="inlineStr">
        <is>
          <t>First District (Not a Province)</t>
        </is>
      </c>
      <c r="G285" s="11" t="inlineStr">
        <is>
          <t>City of Manila</t>
        </is>
      </c>
      <c r="H285" s="11" t="inlineStr">
        <is>
          <t>Barangay 736</t>
        </is>
      </c>
      <c r="I285" s="24" t="n">
        <v>14.574942</v>
      </c>
      <c r="J285" s="24" t="n">
        <v>120.996415</v>
      </c>
      <c r="K285" s="23" t="inlineStr">
        <is>
          <t>U</t>
        </is>
      </c>
      <c r="L285" s="25" t="n">
        <v>3825</v>
      </c>
      <c r="M285" s="26" t="n">
        <v>4.45</v>
      </c>
      <c r="N285" s="25">
        <f>ROUND(L285/M285, 0)</f>
        <v/>
      </c>
      <c r="O285" s="25">
        <f>ROUND(N285*'Methodology &amp; Assumptions'!$B$7, 0)</f>
        <v/>
      </c>
      <c r="P285" s="23" t="inlineStr">
        <is>
          <t>Single Carrier (Band n50, 100MHz TDD)</t>
        </is>
      </c>
      <c r="Q285" s="27">
        <f>ROUNDUP(O285/'Methodology &amp; Assumptions'!$B$8, 0)</f>
        <v/>
      </c>
      <c r="R285" s="27" t="n">
        <v>1</v>
      </c>
      <c r="S285" s="26" t="n">
        <v>0.4</v>
      </c>
      <c r="T285" s="26" t="n">
        <v>0.11</v>
      </c>
      <c r="U285" s="11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26" t="n">
        <v>68.73</v>
      </c>
      <c r="W285" s="26" t="n">
        <v>71.93000000000001</v>
      </c>
      <c r="X285" s="26">
        <f>ROUND(('Methodology &amp; Assumptions'!$B$5*V285) + ('Methodology &amp; Assumptions'!$B$6*W285), 2)</f>
        <v/>
      </c>
      <c r="Y285" s="28" t="n">
        <v>10.9</v>
      </c>
      <c r="Z285" s="11" t="inlineStr">
        <is>
          <t>Priority Tier 1 (High Commercial &amp; Social)</t>
        </is>
      </c>
    </row>
    <row r="286">
      <c r="A286" s="23" t="n">
        <v>1</v>
      </c>
      <c r="B286" s="23" t="n">
        <v>282</v>
      </c>
      <c r="C286" s="23" t="n">
        <v>282</v>
      </c>
      <c r="D286" s="23" t="inlineStr">
        <is>
          <t>1381100061</t>
        </is>
      </c>
      <c r="E286" s="11" t="inlineStr">
        <is>
          <t>National Capital Region (NCR)</t>
        </is>
      </c>
      <c r="F286" s="11" t="inlineStr">
        <is>
          <t>Fourth District (Not a Province)</t>
        </is>
      </c>
      <c r="G286" s="11" t="inlineStr">
        <is>
          <t>Pasay City</t>
        </is>
      </c>
      <c r="H286" s="11" t="inlineStr">
        <is>
          <t>Barangay 61</t>
        </is>
      </c>
      <c r="I286" s="24" t="n">
        <v>14.550745</v>
      </c>
      <c r="J286" s="24" t="n">
        <v>121.001549</v>
      </c>
      <c r="K286" s="23" t="inlineStr">
        <is>
          <t>U</t>
        </is>
      </c>
      <c r="L286" s="25" t="n">
        <v>3154</v>
      </c>
      <c r="M286" s="26" t="n">
        <v>3.57</v>
      </c>
      <c r="N286" s="25">
        <f>ROUND(L286/M286, 0)</f>
        <v/>
      </c>
      <c r="O286" s="25">
        <f>ROUND(N286*'Methodology &amp; Assumptions'!$B$7, 0)</f>
        <v/>
      </c>
      <c r="P286" s="23" t="inlineStr">
        <is>
          <t>Single Carrier (Band n50, 100MHz TDD)</t>
        </is>
      </c>
      <c r="Q286" s="27">
        <f>ROUNDUP(O286/'Methodology &amp; Assumptions'!$B$8, 0)</f>
        <v/>
      </c>
      <c r="R286" s="27" t="n">
        <v>1</v>
      </c>
      <c r="S286" s="26" t="n">
        <v>1.03</v>
      </c>
      <c r="T286" s="26" t="n">
        <v>0.34</v>
      </c>
      <c r="U286" s="11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26" t="n">
        <v>68.36</v>
      </c>
      <c r="W286" s="26" t="n">
        <v>72.31</v>
      </c>
      <c r="X286" s="26">
        <f>ROUND(('Methodology &amp; Assumptions'!$B$5*V286) + ('Methodology &amp; Assumptions'!$B$6*W286), 2)</f>
        <v/>
      </c>
      <c r="Y286" s="28" t="n">
        <v>10.9</v>
      </c>
      <c r="Z286" s="11" t="inlineStr">
        <is>
          <t>Priority Tier 1 (High Commercial &amp; Social)</t>
        </is>
      </c>
    </row>
    <row r="287">
      <c r="A287" s="23" t="n">
        <v>1</v>
      </c>
      <c r="B287" s="23" t="n">
        <v>283</v>
      </c>
      <c r="C287" s="23" t="n">
        <v>283</v>
      </c>
      <c r="D287" s="23" t="inlineStr">
        <is>
          <t>1705213002</t>
        </is>
      </c>
      <c r="E287" s="11" t="inlineStr">
        <is>
          <t>MIMAROPA Region</t>
        </is>
      </c>
      <c r="F287" s="11" t="inlineStr">
        <is>
          <t>Oriental Mindoro</t>
        </is>
      </c>
      <c r="G287" s="11" t="inlineStr">
        <is>
          <t>San Teodoro</t>
        </is>
      </c>
      <c r="H287" s="11" t="inlineStr">
        <is>
          <t>Calangatan</t>
        </is>
      </c>
      <c r="I287" s="24" t="n">
        <v>13.390516</v>
      </c>
      <c r="J287" s="24" t="n">
        <v>121.035332</v>
      </c>
      <c r="K287" s="23" t="inlineStr">
        <is>
          <t>R</t>
        </is>
      </c>
      <c r="L287" s="25" t="n">
        <v>2758</v>
      </c>
      <c r="M287" s="26" t="n">
        <v>3.9</v>
      </c>
      <c r="N287" s="25">
        <f>ROUND(L287/M287, 0)</f>
        <v/>
      </c>
      <c r="O287" s="25">
        <f>ROUND(N287*'Methodology &amp; Assumptions'!$B$7, 0)</f>
        <v/>
      </c>
      <c r="P287" s="23" t="inlineStr">
        <is>
          <t>Single Carrier (Band n50, 100MHz TDD)</t>
        </is>
      </c>
      <c r="Q287" s="27">
        <f>ROUNDUP(O287/'Methodology &amp; Assumptions'!$B$8, 0)</f>
        <v/>
      </c>
      <c r="R287" s="27" t="n">
        <v>1</v>
      </c>
      <c r="S287" s="26" t="n">
        <v>5.28</v>
      </c>
      <c r="T287" s="26" t="n">
        <v>0.26</v>
      </c>
      <c r="U287" s="11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26" t="n">
        <v>69.06999999999999</v>
      </c>
      <c r="W287" s="26" t="n">
        <v>71.58</v>
      </c>
      <c r="X287" s="26">
        <f>ROUND(('Methodology &amp; Assumptions'!$B$5*V287) + ('Methodology &amp; Assumptions'!$B$6*W287), 2)</f>
        <v/>
      </c>
      <c r="Y287" s="28" t="n">
        <v>15</v>
      </c>
      <c r="Z287" s="11" t="inlineStr">
        <is>
          <t>Priority Tier 1 (High Commercial &amp; Social)</t>
        </is>
      </c>
    </row>
    <row r="288">
      <c r="A288" s="23" t="n">
        <v>1</v>
      </c>
      <c r="B288" s="23" t="n">
        <v>284</v>
      </c>
      <c r="C288" s="23" t="n">
        <v>284</v>
      </c>
      <c r="D288" s="23" t="inlineStr">
        <is>
          <t>1380900011</t>
        </is>
      </c>
      <c r="E288" s="11" t="inlineStr">
        <is>
          <t>National Capital Region (NCR)</t>
        </is>
      </c>
      <c r="F288" s="11" t="inlineStr">
        <is>
          <t>Third District (Not a Province)</t>
        </is>
      </c>
      <c r="G288" s="11" t="inlineStr">
        <is>
          <t>City of Navotas</t>
        </is>
      </c>
      <c r="H288" s="11" t="inlineStr">
        <is>
          <t>San Rafael Village</t>
        </is>
      </c>
      <c r="I288" s="24" t="n">
        <v>14.63664</v>
      </c>
      <c r="J288" s="24" t="n">
        <v>120.9643</v>
      </c>
      <c r="K288" s="23" t="inlineStr">
        <is>
          <t>U</t>
        </is>
      </c>
      <c r="L288" s="25" t="n">
        <v>3346</v>
      </c>
      <c r="M288" s="26" t="n">
        <v>3.32</v>
      </c>
      <c r="N288" s="25">
        <f>ROUND(L288/M288, 0)</f>
        <v/>
      </c>
      <c r="O288" s="25">
        <f>ROUND(N288*'Methodology &amp; Assumptions'!$B$7, 0)</f>
        <v/>
      </c>
      <c r="P288" s="23" t="inlineStr">
        <is>
          <t>Single Carrier (Band n50, 100MHz TDD)</t>
        </is>
      </c>
      <c r="Q288" s="27">
        <f>ROUNDUP(O288/'Methodology &amp; Assumptions'!$B$8, 0)</f>
        <v/>
      </c>
      <c r="R288" s="27" t="n">
        <v>1</v>
      </c>
      <c r="S288" s="26" t="n">
        <v>1.46</v>
      </c>
      <c r="T288" s="26" t="n">
        <v>0.29</v>
      </c>
      <c r="U288" s="11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26" t="n">
        <v>66.76000000000001</v>
      </c>
      <c r="W288" s="26" t="n">
        <v>73.87</v>
      </c>
      <c r="X288" s="26">
        <f>ROUND(('Methodology &amp; Assumptions'!$B$5*V288) + ('Methodology &amp; Assumptions'!$B$6*W288), 2)</f>
        <v/>
      </c>
      <c r="Y288" s="28" t="n">
        <v>10.9</v>
      </c>
      <c r="Z288" s="11" t="inlineStr">
        <is>
          <t>Priority Tier 1 (High Commercial &amp; Social)</t>
        </is>
      </c>
    </row>
    <row r="289">
      <c r="A289" s="23" t="n">
        <v>1</v>
      </c>
      <c r="B289" s="23" t="n">
        <v>285</v>
      </c>
      <c r="C289" s="23" t="n">
        <v>285</v>
      </c>
      <c r="D289" s="23" t="inlineStr">
        <is>
          <t>0301407020</t>
        </is>
      </c>
      <c r="E289" s="11" t="inlineStr">
        <is>
          <t>Region III (Central Luzon)</t>
        </is>
      </c>
      <c r="F289" s="11" t="inlineStr">
        <is>
          <t>Bulacan</t>
        </is>
      </c>
      <c r="G289" s="11" t="inlineStr">
        <is>
          <t>Calumpit</t>
        </is>
      </c>
      <c r="H289" s="11" t="inlineStr">
        <is>
          <t>Pio Cruzcosa</t>
        </is>
      </c>
      <c r="I289" s="24" t="n">
        <v>14.894033</v>
      </c>
      <c r="J289" s="24" t="n">
        <v>120.780323</v>
      </c>
      <c r="K289" s="23" t="inlineStr">
        <is>
          <t>U</t>
        </is>
      </c>
      <c r="L289" s="25" t="n">
        <v>4874</v>
      </c>
      <c r="M289" s="26" t="n">
        <v>3.5</v>
      </c>
      <c r="N289" s="25">
        <f>ROUND(L289/M289, 0)</f>
        <v/>
      </c>
      <c r="O289" s="25">
        <f>ROUND(N289*'Methodology &amp; Assumptions'!$B$7, 0)</f>
        <v/>
      </c>
      <c r="P289" s="23" t="inlineStr">
        <is>
          <t>Single Carrier (Band n50, 100MHz TDD)</t>
        </is>
      </c>
      <c r="Q289" s="27">
        <f>ROUNDUP(O289/'Methodology &amp; Assumptions'!$B$8, 0)</f>
        <v/>
      </c>
      <c r="R289" s="27" t="n">
        <v>1</v>
      </c>
      <c r="S289" s="26" t="n">
        <v>1.92</v>
      </c>
      <c r="T289" s="26" t="n">
        <v>0.14</v>
      </c>
      <c r="U289" s="11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26" t="n">
        <v>74.45999999999999</v>
      </c>
      <c r="W289" s="26" t="n">
        <v>66.09</v>
      </c>
      <c r="X289" s="26">
        <f>ROUND(('Methodology &amp; Assumptions'!$B$5*V289) + ('Methodology &amp; Assumptions'!$B$6*W289), 2)</f>
        <v/>
      </c>
      <c r="Y289" s="28" t="n">
        <v>8.300000000000001</v>
      </c>
      <c r="Z289" s="11" t="inlineStr">
        <is>
          <t>Priority Tier 1 (High Commercial &amp; Social)</t>
        </is>
      </c>
    </row>
    <row r="290">
      <c r="A290" s="23" t="n">
        <v>1</v>
      </c>
      <c r="B290" s="23" t="n">
        <v>286</v>
      </c>
      <c r="C290" s="23" t="n">
        <v>286</v>
      </c>
      <c r="D290" s="23" t="inlineStr">
        <is>
          <t>1380300024</t>
        </is>
      </c>
      <c r="E290" s="11" t="inlineStr">
        <is>
          <t>National Capital Region (NCR)</t>
        </is>
      </c>
      <c r="F290" s="11" t="inlineStr">
        <is>
          <t>Fourth District (Not a Province)</t>
        </is>
      </c>
      <c r="G290" s="11" t="inlineStr">
        <is>
          <t>City of Makati</t>
        </is>
      </c>
      <c r="H290" s="11" t="inlineStr">
        <is>
          <t>San Isidro</t>
        </is>
      </c>
      <c r="I290" s="24" t="n">
        <v>14.55139</v>
      </c>
      <c r="J290" s="24" t="n">
        <v>121.0044</v>
      </c>
      <c r="K290" s="23" t="inlineStr">
        <is>
          <t>U</t>
        </is>
      </c>
      <c r="L290" s="25" t="n">
        <v>6260</v>
      </c>
      <c r="M290" s="26" t="n">
        <v>3.15</v>
      </c>
      <c r="N290" s="25">
        <f>ROUND(L290/M290, 0)</f>
        <v/>
      </c>
      <c r="O290" s="25">
        <f>ROUND(N290*'Methodology &amp; Assumptions'!$B$7, 0)</f>
        <v/>
      </c>
      <c r="P290" s="23" t="inlineStr">
        <is>
          <t>Single Carrier (Band n50, 100MHz TDD)</t>
        </is>
      </c>
      <c r="Q290" s="27">
        <f>ROUNDUP(O290/'Methodology &amp; Assumptions'!$B$8, 0)</f>
        <v/>
      </c>
      <c r="R290" s="27" t="n">
        <v>1</v>
      </c>
      <c r="S290" s="26" t="n">
        <v>0.78</v>
      </c>
      <c r="T290" s="26" t="n">
        <v>0.31</v>
      </c>
      <c r="U290" s="11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26" t="n">
        <v>69.09</v>
      </c>
      <c r="W290" s="26" t="n">
        <v>71.47</v>
      </c>
      <c r="X290" s="26">
        <f>ROUND(('Methodology &amp; Assumptions'!$B$5*V290) + ('Methodology &amp; Assumptions'!$B$6*W290), 2)</f>
        <v/>
      </c>
      <c r="Y290" s="28" t="n">
        <v>10.9</v>
      </c>
      <c r="Z290" s="11" t="inlineStr">
        <is>
          <t>Priority Tier 1 (High Commercial &amp; Social)</t>
        </is>
      </c>
    </row>
    <row r="291">
      <c r="A291" s="23" t="n">
        <v>1</v>
      </c>
      <c r="B291" s="23" t="n">
        <v>287</v>
      </c>
      <c r="C291" s="23" t="n">
        <v>287</v>
      </c>
      <c r="D291" s="23" t="inlineStr">
        <is>
          <t>1380614073</t>
        </is>
      </c>
      <c r="E291" s="11" t="inlineStr">
        <is>
          <t>National Capital Region (NCR)</t>
        </is>
      </c>
      <c r="F291" s="11" t="inlineStr">
        <is>
          <t>First District (Not a Province)</t>
        </is>
      </c>
      <c r="G291" s="11" t="inlineStr">
        <is>
          <t>City of Manila</t>
        </is>
      </c>
      <c r="H291" s="11" t="inlineStr">
        <is>
          <t>Barangay 880</t>
        </is>
      </c>
      <c r="I291" s="24" t="n">
        <v>14.581054</v>
      </c>
      <c r="J291" s="24" t="n">
        <v>121.008781</v>
      </c>
      <c r="K291" s="23" t="inlineStr">
        <is>
          <t>U</t>
        </is>
      </c>
      <c r="L291" s="25" t="n">
        <v>3751</v>
      </c>
      <c r="M291" s="26" t="n">
        <v>3.89</v>
      </c>
      <c r="N291" s="25">
        <f>ROUND(L291/M291, 0)</f>
        <v/>
      </c>
      <c r="O291" s="25">
        <f>ROUND(N291*'Methodology &amp; Assumptions'!$B$7, 0)</f>
        <v/>
      </c>
      <c r="P291" s="23" t="inlineStr">
        <is>
          <t>Single Carrier (Band n50, 100MHz TDD)</t>
        </is>
      </c>
      <c r="Q291" s="27">
        <f>ROUNDUP(O291/'Methodology &amp; Assumptions'!$B$8, 0)</f>
        <v/>
      </c>
      <c r="R291" s="27" t="n">
        <v>1</v>
      </c>
      <c r="S291" s="26" t="n">
        <v>0.75</v>
      </c>
      <c r="T291" s="26" t="n">
        <v>0.18</v>
      </c>
      <c r="U291" s="11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26" t="n">
        <v>69.09</v>
      </c>
      <c r="W291" s="26" t="n">
        <v>71.45</v>
      </c>
      <c r="X291" s="26">
        <f>ROUND(('Methodology &amp; Assumptions'!$B$5*V291) + ('Methodology &amp; Assumptions'!$B$6*W291), 2)</f>
        <v/>
      </c>
      <c r="Y291" s="28" t="n">
        <v>10.9</v>
      </c>
      <c r="Z291" s="11" t="inlineStr">
        <is>
          <t>Priority Tier 1 (High Commercial &amp; Social)</t>
        </is>
      </c>
    </row>
    <row r="292">
      <c r="A292" s="23" t="n">
        <v>1</v>
      </c>
      <c r="B292" s="23" t="n">
        <v>288</v>
      </c>
      <c r="C292" s="23" t="n">
        <v>288</v>
      </c>
      <c r="D292" s="23" t="inlineStr">
        <is>
          <t>0300809001</t>
        </is>
      </c>
      <c r="E292" s="11" t="inlineStr">
        <is>
          <t>Region III (Central Luzon)</t>
        </is>
      </c>
      <c r="F292" s="11" t="inlineStr">
        <is>
          <t>Bataan</t>
        </is>
      </c>
      <c r="G292" s="11" t="inlineStr">
        <is>
          <t>Orani</t>
        </is>
      </c>
      <c r="H292" s="11" t="inlineStr">
        <is>
          <t>Bagong Paraiso</t>
        </is>
      </c>
      <c r="I292" s="24" t="n">
        <v>14.799228</v>
      </c>
      <c r="J292" s="24" t="n">
        <v>120.529912</v>
      </c>
      <c r="K292" s="23" t="inlineStr">
        <is>
          <t>R</t>
        </is>
      </c>
      <c r="L292" s="25" t="n">
        <v>3258</v>
      </c>
      <c r="M292" s="26" t="n">
        <v>3.6</v>
      </c>
      <c r="N292" s="25">
        <f>ROUND(L292/M292, 0)</f>
        <v/>
      </c>
      <c r="O292" s="25">
        <f>ROUND(N292*'Methodology &amp; Assumptions'!$B$7, 0)</f>
        <v/>
      </c>
      <c r="P292" s="23" t="inlineStr">
        <is>
          <t>Single Carrier (Band n50, 100MHz TDD)</t>
        </is>
      </c>
      <c r="Q292" s="27">
        <f>ROUNDUP(O292/'Methodology &amp; Assumptions'!$B$8, 0)</f>
        <v/>
      </c>
      <c r="R292" s="27" t="n">
        <v>1</v>
      </c>
      <c r="S292" s="26" t="n">
        <v>0.76</v>
      </c>
      <c r="T292" s="26" t="n">
        <v>0.18</v>
      </c>
      <c r="U292" s="11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26" t="n">
        <v>85.63</v>
      </c>
      <c r="W292" s="26" t="n">
        <v>54.89</v>
      </c>
      <c r="X292" s="26">
        <f>ROUND(('Methodology &amp; Assumptions'!$B$5*V292) + ('Methodology &amp; Assumptions'!$B$6*W292), 2)</f>
        <v/>
      </c>
      <c r="Y292" s="28" t="n">
        <v>8.300000000000001</v>
      </c>
      <c r="Z292" s="11" t="inlineStr">
        <is>
          <t>Priority Tier 1 (High Commercial &amp; Social)</t>
        </is>
      </c>
    </row>
    <row r="293">
      <c r="A293" s="23" t="n">
        <v>1</v>
      </c>
      <c r="B293" s="23" t="n">
        <v>289</v>
      </c>
      <c r="C293" s="23" t="n">
        <v>289</v>
      </c>
      <c r="D293" s="23" t="inlineStr">
        <is>
          <t>0405801001</t>
        </is>
      </c>
      <c r="E293" s="11" t="inlineStr">
        <is>
          <t>Region IV-A (CALABARZON)</t>
        </is>
      </c>
      <c r="F293" s="11" t="inlineStr">
        <is>
          <t>Rizal</t>
        </is>
      </c>
      <c r="G293" s="11" t="inlineStr">
        <is>
          <t>Angono</t>
        </is>
      </c>
      <c r="H293" s="11" t="inlineStr">
        <is>
          <t>Bagumbayan</t>
        </is>
      </c>
      <c r="I293" s="24" t="n">
        <v>14.52265</v>
      </c>
      <c r="J293" s="24" t="n">
        <v>121.1502</v>
      </c>
      <c r="K293" s="23" t="inlineStr">
        <is>
          <t>R</t>
        </is>
      </c>
      <c r="L293" s="25" t="n">
        <v>2660</v>
      </c>
      <c r="M293" s="26" t="n">
        <v>3.6</v>
      </c>
      <c r="N293" s="25">
        <f>ROUND(L293/M293, 0)</f>
        <v/>
      </c>
      <c r="O293" s="25">
        <f>ROUND(N293*'Methodology &amp; Assumptions'!$B$7, 0)</f>
        <v/>
      </c>
      <c r="P293" s="23" t="inlineStr">
        <is>
          <t>Single Carrier (Band n50, 100MHz TDD)</t>
        </is>
      </c>
      <c r="Q293" s="27">
        <f>ROUNDUP(O293/'Methodology &amp; Assumptions'!$B$8, 0)</f>
        <v/>
      </c>
      <c r="R293" s="27" t="n">
        <v>1</v>
      </c>
      <c r="S293" s="26" t="n">
        <v>0.72</v>
      </c>
      <c r="T293" s="26" t="n">
        <v>0.33</v>
      </c>
      <c r="U293" s="11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26" t="n">
        <v>83.01000000000001</v>
      </c>
      <c r="W293" s="26" t="n">
        <v>57.49</v>
      </c>
      <c r="X293" s="26">
        <f>ROUND(('Methodology &amp; Assumptions'!$B$5*V293) + ('Methodology &amp; Assumptions'!$B$6*W293), 2)</f>
        <v/>
      </c>
      <c r="Y293" s="28" t="n">
        <v>7.2</v>
      </c>
      <c r="Z293" s="11" t="inlineStr">
        <is>
          <t>Priority Tier 1 (High Commercial &amp; Social)</t>
        </is>
      </c>
    </row>
    <row r="294">
      <c r="A294" s="23" t="n">
        <v>1</v>
      </c>
      <c r="B294" s="23" t="n">
        <v>290</v>
      </c>
      <c r="C294" s="23" t="n">
        <v>290</v>
      </c>
      <c r="D294" s="23" t="inlineStr">
        <is>
          <t>0403404014</t>
        </is>
      </c>
      <c r="E294" s="11" t="inlineStr">
        <is>
          <t>Region IV-A (CALABARZON)</t>
        </is>
      </c>
      <c r="F294" s="11" t="inlineStr">
        <is>
          <t>Laguna</t>
        </is>
      </c>
      <c r="G294" s="11" t="inlineStr">
        <is>
          <t>City of Cabuyao</t>
        </is>
      </c>
      <c r="H294" s="11" t="inlineStr">
        <is>
          <t>Sala</t>
        </is>
      </c>
      <c r="I294" s="24" t="n">
        <v>14.271146</v>
      </c>
      <c r="J294" s="24" t="n">
        <v>121.124403</v>
      </c>
      <c r="K294" s="23" t="inlineStr">
        <is>
          <t>U</t>
        </is>
      </c>
      <c r="L294" s="25" t="n">
        <v>11951</v>
      </c>
      <c r="M294" s="26" t="n">
        <v>3.3</v>
      </c>
      <c r="N294" s="25">
        <f>ROUND(L294/M294, 0)</f>
        <v/>
      </c>
      <c r="O294" s="25">
        <f>ROUND(N294*'Methodology &amp; Assumptions'!$B$7, 0)</f>
        <v/>
      </c>
      <c r="P294" s="23" t="inlineStr">
        <is>
          <t>Single Carrier (Band n50, 100MHz TDD)</t>
        </is>
      </c>
      <c r="Q294" s="27">
        <f>ROUNDUP(O294/'Methodology &amp; Assumptions'!$B$8, 0)</f>
        <v/>
      </c>
      <c r="R294" s="27" t="n">
        <v>1</v>
      </c>
      <c r="S294" s="26" t="n">
        <v>2.4</v>
      </c>
      <c r="T294" s="26" t="n">
        <v>0.2</v>
      </c>
      <c r="U294" s="11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26" t="n">
        <v>72.7</v>
      </c>
      <c r="W294" s="26" t="n">
        <v>67.78</v>
      </c>
      <c r="X294" s="26">
        <f>ROUND(('Methodology &amp; Assumptions'!$B$5*V294) + ('Methodology &amp; Assumptions'!$B$6*W294), 2)</f>
        <v/>
      </c>
      <c r="Y294" s="28" t="n">
        <v>7.2</v>
      </c>
      <c r="Z294" s="11" t="inlineStr">
        <is>
          <t>Priority Tier 1 (High Commercial &amp; Social)</t>
        </is>
      </c>
    </row>
    <row r="295">
      <c r="A295" s="23" t="n">
        <v>1</v>
      </c>
      <c r="B295" s="23" t="n">
        <v>291</v>
      </c>
      <c r="C295" s="23" t="n">
        <v>291</v>
      </c>
      <c r="D295" s="23" t="inlineStr">
        <is>
          <t>0402104001</t>
        </is>
      </c>
      <c r="E295" s="11" t="inlineStr">
        <is>
          <t>Region IV-A (CALABARZON)</t>
        </is>
      </c>
      <c r="F295" s="11" t="inlineStr">
        <is>
          <t>Cavite</t>
        </is>
      </c>
      <c r="G295" s="11" t="inlineStr">
        <is>
          <t>Carmona</t>
        </is>
      </c>
      <c r="H295" s="11" t="inlineStr">
        <is>
          <t>Bancal</t>
        </is>
      </c>
      <c r="I295" s="24" t="n">
        <v>14.284149</v>
      </c>
      <c r="J295" s="24" t="n">
        <v>121.009187</v>
      </c>
      <c r="K295" s="23" t="inlineStr">
        <is>
          <t>U</t>
        </is>
      </c>
      <c r="L295" s="25" t="n">
        <v>17076</v>
      </c>
      <c r="M295" s="26" t="n">
        <v>3.4</v>
      </c>
      <c r="N295" s="25">
        <f>ROUND(L295/M295, 0)</f>
        <v/>
      </c>
      <c r="O295" s="25">
        <f>ROUND(N295*'Methodology &amp; Assumptions'!$B$7, 0)</f>
        <v/>
      </c>
      <c r="P295" s="23" t="inlineStr">
        <is>
          <t>Single Carrier (Band n50, 100MHz TDD)</t>
        </is>
      </c>
      <c r="Q295" s="27">
        <f>ROUNDUP(O295/'Methodology &amp; Assumptions'!$B$8, 0)</f>
        <v/>
      </c>
      <c r="R295" s="27" t="n">
        <v>1</v>
      </c>
      <c r="S295" s="26" t="n">
        <v>0.8</v>
      </c>
      <c r="T295" s="26" t="n">
        <v>4.77</v>
      </c>
      <c r="U295" s="11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26" t="n">
        <v>74.95</v>
      </c>
      <c r="W295" s="26" t="n">
        <v>65.52</v>
      </c>
      <c r="X295" s="26">
        <f>ROUND(('Methodology &amp; Assumptions'!$B$5*V295) + ('Methodology &amp; Assumptions'!$B$6*W295), 2)</f>
        <v/>
      </c>
      <c r="Y295" s="28" t="n">
        <v>7.2</v>
      </c>
      <c r="Z295" s="11" t="inlineStr">
        <is>
          <t>Priority Tier 1 (High Commercial &amp; Social)</t>
        </is>
      </c>
    </row>
    <row r="296">
      <c r="A296" s="23" t="n">
        <v>1</v>
      </c>
      <c r="B296" s="23" t="n">
        <v>292</v>
      </c>
      <c r="C296" s="23" t="n">
        <v>292</v>
      </c>
      <c r="D296" s="23" t="inlineStr">
        <is>
          <t>1380500021</t>
        </is>
      </c>
      <c r="E296" s="11" t="inlineStr">
        <is>
          <t>National Capital Region (NCR)</t>
        </is>
      </c>
      <c r="F296" s="11" t="inlineStr">
        <is>
          <t>Second District (Not a Province)</t>
        </is>
      </c>
      <c r="G296" s="11" t="inlineStr">
        <is>
          <t>City of Mandaluyong</t>
        </is>
      </c>
      <c r="H296" s="11" t="inlineStr">
        <is>
          <t>Pag-asa</t>
        </is>
      </c>
      <c r="I296" s="24" t="n">
        <v>14.589713</v>
      </c>
      <c r="J296" s="24" t="n">
        <v>121.024422</v>
      </c>
      <c r="K296" s="23" t="inlineStr">
        <is>
          <t>U</t>
        </is>
      </c>
      <c r="L296" s="25" t="n">
        <v>4493</v>
      </c>
      <c r="M296" s="26" t="n">
        <v>3.29</v>
      </c>
      <c r="N296" s="25">
        <f>ROUND(L296/M296, 0)</f>
        <v/>
      </c>
      <c r="O296" s="25">
        <f>ROUND(N296*'Methodology &amp; Assumptions'!$B$7, 0)</f>
        <v/>
      </c>
      <c r="P296" s="23" t="inlineStr">
        <is>
          <t>Single Carrier (Band n50, 100MHz TDD)</t>
        </is>
      </c>
      <c r="Q296" s="27">
        <f>ROUNDUP(O296/'Methodology &amp; Assumptions'!$B$8, 0)</f>
        <v/>
      </c>
      <c r="R296" s="27" t="n">
        <v>1</v>
      </c>
      <c r="S296" s="26" t="n">
        <v>0.78</v>
      </c>
      <c r="T296" s="26" t="n">
        <v>0.22</v>
      </c>
      <c r="U296" s="11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26" t="n">
        <v>69.09</v>
      </c>
      <c r="W296" s="26" t="n">
        <v>71.36</v>
      </c>
      <c r="X296" s="26">
        <f>ROUND(('Methodology &amp; Assumptions'!$B$5*V296) + ('Methodology &amp; Assumptions'!$B$6*W296), 2)</f>
        <v/>
      </c>
      <c r="Y296" s="28" t="n">
        <v>10.9</v>
      </c>
      <c r="Z296" s="11" t="inlineStr">
        <is>
          <t>Priority Tier 1 (High Commercial &amp; Social)</t>
        </is>
      </c>
    </row>
    <row r="297">
      <c r="A297" s="23" t="n">
        <v>1</v>
      </c>
      <c r="B297" s="23" t="n">
        <v>293</v>
      </c>
      <c r="C297" s="23" t="n">
        <v>293</v>
      </c>
      <c r="D297" s="23" t="inlineStr">
        <is>
          <t>0102814010</t>
        </is>
      </c>
      <c r="E297" s="11" t="inlineStr">
        <is>
          <t>Region I (Ilocos Region)</t>
        </is>
      </c>
      <c r="F297" s="11" t="inlineStr">
        <is>
          <t>Ilocos Norte</t>
        </is>
      </c>
      <c r="G297" s="11" t="inlineStr">
        <is>
          <t>Nueva Era</t>
        </is>
      </c>
      <c r="H297" s="11" t="inlineStr">
        <is>
          <t>Santo Niño</t>
        </is>
      </c>
      <c r="I297" s="24" t="n">
        <v>17.940786</v>
      </c>
      <c r="J297" s="24" t="n">
        <v>120.734995</v>
      </c>
      <c r="K297" s="23" t="inlineStr">
        <is>
          <t>R</t>
        </is>
      </c>
      <c r="L297" s="25" t="n">
        <v>1202</v>
      </c>
      <c r="M297" s="26" t="n">
        <v>3.7</v>
      </c>
      <c r="N297" s="25">
        <f>ROUND(L297/M297, 0)</f>
        <v/>
      </c>
      <c r="O297" s="25">
        <f>ROUND(N297*'Methodology &amp; Assumptions'!$B$7, 0)</f>
        <v/>
      </c>
      <c r="P297" s="23" t="inlineStr">
        <is>
          <t>Single Carrier (Band n50, 100MHz TDD)</t>
        </is>
      </c>
      <c r="Q297" s="27">
        <f>ROUNDUP(O297/'Methodology &amp; Assumptions'!$B$8, 0)</f>
        <v/>
      </c>
      <c r="R297" s="27" t="n">
        <v>1</v>
      </c>
      <c r="S297" s="26" t="n">
        <v>8.369999999999999</v>
      </c>
      <c r="T297" s="26" t="n">
        <v>7.6</v>
      </c>
      <c r="U297" s="11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26" t="n">
        <v>50.39</v>
      </c>
      <c r="W297" s="26" t="n">
        <v>90.06999999999999</v>
      </c>
      <c r="X297" s="26">
        <f>ROUND(('Methodology &amp; Assumptions'!$B$5*V297) + ('Methodology &amp; Assumptions'!$B$6*W297), 2)</f>
        <v/>
      </c>
      <c r="Y297" s="28" t="n">
        <v>8.300000000000001</v>
      </c>
      <c r="Z297" s="11" t="inlineStr">
        <is>
          <t>Priority Tier 1 (High Commercial &amp; Social)</t>
        </is>
      </c>
    </row>
    <row r="298">
      <c r="A298" s="23" t="n">
        <v>1</v>
      </c>
      <c r="B298" s="23" t="n">
        <v>294</v>
      </c>
      <c r="C298" s="23" t="n">
        <v>294</v>
      </c>
      <c r="D298" s="23" t="inlineStr">
        <is>
          <t>1381100081</t>
        </is>
      </c>
      <c r="E298" s="11" t="inlineStr">
        <is>
          <t>National Capital Region (NCR)</t>
        </is>
      </c>
      <c r="F298" s="11" t="inlineStr">
        <is>
          <t>Fourth District (Not a Province)</t>
        </is>
      </c>
      <c r="G298" s="11" t="inlineStr">
        <is>
          <t>Pasay City</t>
        </is>
      </c>
      <c r="H298" s="11" t="inlineStr">
        <is>
          <t>Barangay 81</t>
        </is>
      </c>
      <c r="I298" s="24" t="n">
        <v>14.539585</v>
      </c>
      <c r="J298" s="24" t="n">
        <v>120.998684</v>
      </c>
      <c r="K298" s="23" t="inlineStr">
        <is>
          <t>U</t>
        </is>
      </c>
      <c r="L298" s="25" t="n">
        <v>2479</v>
      </c>
      <c r="M298" s="26" t="n">
        <v>2.62</v>
      </c>
      <c r="N298" s="25">
        <f>ROUND(L298/M298, 0)</f>
        <v/>
      </c>
      <c r="O298" s="25">
        <f>ROUND(N298*'Methodology &amp; Assumptions'!$B$7, 0)</f>
        <v/>
      </c>
      <c r="P298" s="23" t="inlineStr">
        <is>
          <t>Single Carrier (Band n50, 100MHz TDD)</t>
        </is>
      </c>
      <c r="Q298" s="27">
        <f>ROUNDUP(O298/'Methodology &amp; Assumptions'!$B$8, 0)</f>
        <v/>
      </c>
      <c r="R298" s="27" t="n">
        <v>1</v>
      </c>
      <c r="S298" s="26" t="n">
        <v>0.72</v>
      </c>
      <c r="T298" s="26" t="n">
        <v>0.23</v>
      </c>
      <c r="U298" s="11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26" t="n">
        <v>69.09</v>
      </c>
      <c r="W298" s="26" t="n">
        <v>71.33</v>
      </c>
      <c r="X298" s="26">
        <f>ROUND(('Methodology &amp; Assumptions'!$B$5*V298) + ('Methodology &amp; Assumptions'!$B$6*W298), 2)</f>
        <v/>
      </c>
      <c r="Y298" s="28" t="n">
        <v>10.9</v>
      </c>
      <c r="Z298" s="11" t="inlineStr">
        <is>
          <t>Priority Tier 1 (High Commercial &amp; Social)</t>
        </is>
      </c>
    </row>
    <row r="299">
      <c r="A299" s="23" t="n">
        <v>1</v>
      </c>
      <c r="B299" s="23" t="n">
        <v>295</v>
      </c>
      <c r="C299" s="23" t="n">
        <v>295</v>
      </c>
      <c r="D299" s="23" t="inlineStr">
        <is>
          <t>1380610019</t>
        </is>
      </c>
      <c r="E299" s="11" t="inlineStr">
        <is>
          <t>National Capital Region (NCR)</t>
        </is>
      </c>
      <c r="F299" s="11" t="inlineStr">
        <is>
          <t>First District (Not a Province)</t>
        </is>
      </c>
      <c r="G299" s="11" t="inlineStr">
        <is>
          <t>City of Manila</t>
        </is>
      </c>
      <c r="H299" s="11" t="inlineStr">
        <is>
          <t>Barangay 704</t>
        </is>
      </c>
      <c r="I299" s="24" t="n">
        <v>14.567249</v>
      </c>
      <c r="J299" s="24" t="n">
        <v>120.988841</v>
      </c>
      <c r="K299" s="23" t="inlineStr">
        <is>
          <t>U</t>
        </is>
      </c>
      <c r="L299" s="25" t="n">
        <v>5339</v>
      </c>
      <c r="M299" s="26" t="n">
        <v>4.29</v>
      </c>
      <c r="N299" s="25">
        <f>ROUND(L299/M299, 0)</f>
        <v/>
      </c>
      <c r="O299" s="25">
        <f>ROUND(N299*'Methodology &amp; Assumptions'!$B$7, 0)</f>
        <v/>
      </c>
      <c r="P299" s="23" t="inlineStr">
        <is>
          <t>Single Carrier (Band n50, 100MHz TDD)</t>
        </is>
      </c>
      <c r="Q299" s="27">
        <f>ROUNDUP(O299/'Methodology &amp; Assumptions'!$B$8, 0)</f>
        <v/>
      </c>
      <c r="R299" s="27" t="n">
        <v>1</v>
      </c>
      <c r="S299" s="26" t="n">
        <v>0.79</v>
      </c>
      <c r="T299" s="26" t="n">
        <v>0.48</v>
      </c>
      <c r="U299" s="11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26" t="n">
        <v>69.09</v>
      </c>
      <c r="W299" s="26" t="n">
        <v>71.22</v>
      </c>
      <c r="X299" s="26">
        <f>ROUND(('Methodology &amp; Assumptions'!$B$5*V299) + ('Methodology &amp; Assumptions'!$B$6*W299), 2)</f>
        <v/>
      </c>
      <c r="Y299" s="28" t="n">
        <v>10.9</v>
      </c>
      <c r="Z299" s="11" t="inlineStr">
        <is>
          <t>Priority Tier 1 (High Commercial &amp; Social)</t>
        </is>
      </c>
    </row>
    <row r="300">
      <c r="A300" s="23" t="n">
        <v>1</v>
      </c>
      <c r="B300" s="23" t="n">
        <v>296</v>
      </c>
      <c r="C300" s="23" t="n">
        <v>296</v>
      </c>
      <c r="D300" s="23" t="inlineStr">
        <is>
          <t>0402111015</t>
        </is>
      </c>
      <c r="E300" s="11" t="inlineStr">
        <is>
          <t>Region IV-A (CALABARZON)</t>
        </is>
      </c>
      <c r="F300" s="11" t="inlineStr">
        <is>
          <t>Cavite</t>
        </is>
      </c>
      <c r="G300" s="11" t="inlineStr">
        <is>
          <t>Kawit</t>
        </is>
      </c>
      <c r="H300" s="11" t="inlineStr">
        <is>
          <t>Binakayan-Aplaya</t>
        </is>
      </c>
      <c r="I300" s="24" t="n">
        <v>14.450888</v>
      </c>
      <c r="J300" s="24" t="n">
        <v>120.918428</v>
      </c>
      <c r="K300" s="23" t="inlineStr">
        <is>
          <t>R</t>
        </is>
      </c>
      <c r="L300" s="25" t="n">
        <v>3521</v>
      </c>
      <c r="M300" s="26" t="n">
        <v>3.4</v>
      </c>
      <c r="N300" s="25">
        <f>ROUND(L300/M300, 0)</f>
        <v/>
      </c>
      <c r="O300" s="25">
        <f>ROUND(N300*'Methodology &amp; Assumptions'!$B$7, 0)</f>
        <v/>
      </c>
      <c r="P300" s="23" t="inlineStr">
        <is>
          <t>Single Carrier (Band n50, 100MHz TDD)</t>
        </is>
      </c>
      <c r="Q300" s="27">
        <f>ROUNDUP(O300/'Methodology &amp; Assumptions'!$B$8, 0)</f>
        <v/>
      </c>
      <c r="R300" s="27" t="n">
        <v>1</v>
      </c>
      <c r="S300" s="26" t="n">
        <v>3.28</v>
      </c>
      <c r="T300" s="26" t="n">
        <v>0.35</v>
      </c>
      <c r="U300" s="11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26" t="n">
        <v>77.37</v>
      </c>
      <c r="W300" s="26" t="n">
        <v>62.92</v>
      </c>
      <c r="X300" s="26">
        <f>ROUND(('Methodology &amp; Assumptions'!$B$5*V300) + ('Methodology &amp; Assumptions'!$B$6*W300), 2)</f>
        <v/>
      </c>
      <c r="Y300" s="28" t="n">
        <v>7.2</v>
      </c>
      <c r="Z300" s="11" t="inlineStr">
        <is>
          <t>Priority Tier 1 (High Commercial &amp; Social)</t>
        </is>
      </c>
    </row>
    <row r="301">
      <c r="A301" s="23" t="n">
        <v>1</v>
      </c>
      <c r="B301" s="23" t="n">
        <v>297</v>
      </c>
      <c r="C301" s="23" t="n">
        <v>297</v>
      </c>
      <c r="D301" s="23" t="inlineStr">
        <is>
          <t>1381300062</t>
        </is>
      </c>
      <c r="E301" s="11" t="inlineStr">
        <is>
          <t>National Capital Region (NCR)</t>
        </is>
      </c>
      <c r="F301" s="11" t="inlineStr">
        <is>
          <t>Second District (Not a Province)</t>
        </is>
      </c>
      <c r="G301" s="11" t="inlineStr">
        <is>
          <t>Quezon City</t>
        </is>
      </c>
      <c r="H301" s="11" t="inlineStr">
        <is>
          <t>Marilag</t>
        </is>
      </c>
      <c r="I301" s="24" t="n">
        <v>14.62565</v>
      </c>
      <c r="J301" s="24" t="n">
        <v>121.0689</v>
      </c>
      <c r="K301" s="23" t="inlineStr">
        <is>
          <t>U</t>
        </is>
      </c>
      <c r="L301" s="25" t="n">
        <v>17891</v>
      </c>
      <c r="M301" s="26" t="n">
        <v>4.39</v>
      </c>
      <c r="N301" s="25">
        <f>ROUND(L301/M301, 0)</f>
        <v/>
      </c>
      <c r="O301" s="25">
        <f>ROUND(N301*'Methodology &amp; Assumptions'!$B$7, 0)</f>
        <v/>
      </c>
      <c r="P301" s="23" t="inlineStr">
        <is>
          <t>Single Carrier (Band n50, 100MHz TDD)</t>
        </is>
      </c>
      <c r="Q301" s="27">
        <f>ROUNDUP(O301/'Methodology &amp; Assumptions'!$B$8, 0)</f>
        <v/>
      </c>
      <c r="R301" s="27" t="n">
        <v>1</v>
      </c>
      <c r="S301" s="26" t="n">
        <v>0.1</v>
      </c>
      <c r="T301" s="26" t="n">
        <v>0.09</v>
      </c>
      <c r="U301" s="11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26" t="n">
        <v>69.09</v>
      </c>
      <c r="W301" s="26" t="n">
        <v>71.19</v>
      </c>
      <c r="X301" s="26">
        <f>ROUND(('Methodology &amp; Assumptions'!$B$5*V301) + ('Methodology &amp; Assumptions'!$B$6*W301), 2)</f>
        <v/>
      </c>
      <c r="Y301" s="28" t="n">
        <v>10.9</v>
      </c>
      <c r="Z301" s="11" t="inlineStr">
        <is>
          <t>Priority Tier 1 (High Commercial &amp; Social)</t>
        </is>
      </c>
    </row>
    <row r="302">
      <c r="A302" s="23" t="n">
        <v>1</v>
      </c>
      <c r="B302" s="23" t="n">
        <v>298</v>
      </c>
      <c r="C302" s="23" t="n">
        <v>298</v>
      </c>
      <c r="D302" s="23" t="inlineStr">
        <is>
          <t>1381100046</t>
        </is>
      </c>
      <c r="E302" s="11" t="inlineStr">
        <is>
          <t>National Capital Region (NCR)</t>
        </is>
      </c>
      <c r="F302" s="11" t="inlineStr">
        <is>
          <t>Fourth District (Not a Province)</t>
        </is>
      </c>
      <c r="G302" s="11" t="inlineStr">
        <is>
          <t>Pasay City</t>
        </is>
      </c>
      <c r="H302" s="11" t="inlineStr">
        <is>
          <t>Barangay 46</t>
        </is>
      </c>
      <c r="I302" s="24" t="n">
        <v>14.555709</v>
      </c>
      <c r="J302" s="24" t="n">
        <v>120.999439</v>
      </c>
      <c r="K302" s="23" t="inlineStr">
        <is>
          <t>U</t>
        </is>
      </c>
      <c r="L302" s="25" t="n">
        <v>5864</v>
      </c>
      <c r="M302" s="26" t="n">
        <v>3.69</v>
      </c>
      <c r="N302" s="25">
        <f>ROUND(L302/M302, 0)</f>
        <v/>
      </c>
      <c r="O302" s="25">
        <f>ROUND(N302*'Methodology &amp; Assumptions'!$B$7, 0)</f>
        <v/>
      </c>
      <c r="P302" s="23" t="inlineStr">
        <is>
          <t>Single Carrier (Band n50, 100MHz TDD)</t>
        </is>
      </c>
      <c r="Q302" s="27">
        <f>ROUNDUP(O302/'Methodology &amp; Assumptions'!$B$8, 0)</f>
        <v/>
      </c>
      <c r="R302" s="27" t="n">
        <v>1</v>
      </c>
      <c r="S302" s="26" t="n">
        <v>0.87</v>
      </c>
      <c r="T302" s="26" t="n">
        <v>0.29</v>
      </c>
      <c r="U302" s="11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26" t="n">
        <v>68.97</v>
      </c>
      <c r="W302" s="26" t="n">
        <v>71.3</v>
      </c>
      <c r="X302" s="26">
        <f>ROUND(('Methodology &amp; Assumptions'!$B$5*V302) + ('Methodology &amp; Assumptions'!$B$6*W302), 2)</f>
        <v/>
      </c>
      <c r="Y302" s="28" t="n">
        <v>10.9</v>
      </c>
      <c r="Z302" s="11" t="inlineStr">
        <is>
          <t>Priority Tier 1 (High Commercial &amp; Social)</t>
        </is>
      </c>
    </row>
    <row r="303">
      <c r="A303" s="23" t="n">
        <v>1</v>
      </c>
      <c r="B303" s="23" t="n">
        <v>299</v>
      </c>
      <c r="C303" s="23" t="n">
        <v>299</v>
      </c>
      <c r="D303" s="23" t="inlineStr">
        <is>
          <t>0402103021</t>
        </is>
      </c>
      <c r="E303" s="11" t="inlineStr">
        <is>
          <t>Region IV-A (CALABARZON)</t>
        </is>
      </c>
      <c r="F303" s="11" t="inlineStr">
        <is>
          <t>Cavite</t>
        </is>
      </c>
      <c r="G303" s="11" t="inlineStr">
        <is>
          <t>City of Bacoor</t>
        </is>
      </c>
      <c r="H303" s="11" t="inlineStr">
        <is>
          <t>San Nicolas I</t>
        </is>
      </c>
      <c r="I303" s="24" t="n">
        <v>14.438502</v>
      </c>
      <c r="J303" s="24" t="n">
        <v>120.973843</v>
      </c>
      <c r="K303" s="23" t="inlineStr">
        <is>
          <t>U</t>
        </is>
      </c>
      <c r="L303" s="25" t="n">
        <v>8425</v>
      </c>
      <c r="M303" s="26" t="n">
        <v>3.4</v>
      </c>
      <c r="N303" s="25">
        <f>ROUND(L303/M303, 0)</f>
        <v/>
      </c>
      <c r="O303" s="25">
        <f>ROUND(N303*'Methodology &amp; Assumptions'!$B$7, 0)</f>
        <v/>
      </c>
      <c r="P303" s="23" t="inlineStr">
        <is>
          <t>Single Carrier (Band n50, 100MHz TDD)</t>
        </is>
      </c>
      <c r="Q303" s="27">
        <f>ROUNDUP(O303/'Methodology &amp; Assumptions'!$B$8, 0)</f>
        <v/>
      </c>
      <c r="R303" s="27" t="n">
        <v>1</v>
      </c>
      <c r="S303" s="26" t="n">
        <v>1.77</v>
      </c>
      <c r="T303" s="26" t="n">
        <v>1.48</v>
      </c>
      <c r="U303" s="11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26" t="n">
        <v>74.81999999999999</v>
      </c>
      <c r="W303" s="26" t="n">
        <v>65.42</v>
      </c>
      <c r="X303" s="26">
        <f>ROUND(('Methodology &amp; Assumptions'!$B$5*V303) + ('Methodology &amp; Assumptions'!$B$6*W303), 2)</f>
        <v/>
      </c>
      <c r="Y303" s="28" t="n">
        <v>7.2</v>
      </c>
      <c r="Z303" s="11" t="inlineStr">
        <is>
          <t>Priority Tier 1 (High Commercial &amp; Social)</t>
        </is>
      </c>
    </row>
    <row r="304">
      <c r="A304" s="23" t="n">
        <v>1</v>
      </c>
      <c r="B304" s="23" t="n">
        <v>300</v>
      </c>
      <c r="C304" s="23" t="n">
        <v>300</v>
      </c>
      <c r="D304" s="23" t="inlineStr">
        <is>
          <t>1380614064</t>
        </is>
      </c>
      <c r="E304" s="11" t="inlineStr">
        <is>
          <t>National Capital Region (NCR)</t>
        </is>
      </c>
      <c r="F304" s="11" t="inlineStr">
        <is>
          <t>First District (Not a Province)</t>
        </is>
      </c>
      <c r="G304" s="11" t="inlineStr">
        <is>
          <t>City of Manila</t>
        </is>
      </c>
      <c r="H304" s="11" t="inlineStr">
        <is>
          <t>Barangay 866</t>
        </is>
      </c>
      <c r="I304" s="24" t="n">
        <v>14.581287</v>
      </c>
      <c r="J304" s="24" t="n">
        <v>121.006379</v>
      </c>
      <c r="K304" s="23" t="inlineStr">
        <is>
          <t>U</t>
        </is>
      </c>
      <c r="L304" s="25" t="n">
        <v>4046</v>
      </c>
      <c r="M304" s="26" t="n">
        <v>3.86</v>
      </c>
      <c r="N304" s="25">
        <f>ROUND(L304/M304, 0)</f>
        <v/>
      </c>
      <c r="O304" s="25">
        <f>ROUND(N304*'Methodology &amp; Assumptions'!$B$7, 0)</f>
        <v/>
      </c>
      <c r="P304" s="23" t="inlineStr">
        <is>
          <t>Single Carrier (Band n50, 100MHz TDD)</t>
        </is>
      </c>
      <c r="Q304" s="27">
        <f>ROUNDUP(O304/'Methodology &amp; Assumptions'!$B$8, 0)</f>
        <v/>
      </c>
      <c r="R304" s="27" t="n">
        <v>1</v>
      </c>
      <c r="S304" s="26" t="n">
        <v>0.52</v>
      </c>
      <c r="T304" s="26" t="n">
        <v>0.17</v>
      </c>
      <c r="U304" s="11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26" t="n">
        <v>69.09</v>
      </c>
      <c r="W304" s="26" t="n">
        <v>71.13</v>
      </c>
      <c r="X304" s="26">
        <f>ROUND(('Methodology &amp; Assumptions'!$B$5*V304) + ('Methodology &amp; Assumptions'!$B$6*W304), 2)</f>
        <v/>
      </c>
      <c r="Y304" s="28" t="n">
        <v>10.9</v>
      </c>
      <c r="Z304" s="11" t="inlineStr">
        <is>
          <t>Priority Tier 1 (High Commercial &amp; Social)</t>
        </is>
      </c>
    </row>
    <row r="305">
      <c r="A305" s="23" t="n">
        <v>1</v>
      </c>
      <c r="B305" s="23" t="n">
        <v>301</v>
      </c>
      <c r="C305" s="23" t="n">
        <v>301</v>
      </c>
      <c r="D305" s="23" t="inlineStr">
        <is>
          <t>0301407024</t>
        </is>
      </c>
      <c r="E305" s="11" t="inlineStr">
        <is>
          <t>Region III (Central Luzon)</t>
        </is>
      </c>
      <c r="F305" s="11" t="inlineStr">
        <is>
          <t>Bulacan</t>
        </is>
      </c>
      <c r="G305" s="11" t="inlineStr">
        <is>
          <t>Calumpit</t>
        </is>
      </c>
      <c r="H305" s="11" t="inlineStr">
        <is>
          <t>San Marcos</t>
        </is>
      </c>
      <c r="I305" s="24" t="n">
        <v>14.897599</v>
      </c>
      <c r="J305" s="24" t="n">
        <v>120.778716</v>
      </c>
      <c r="K305" s="23" t="inlineStr">
        <is>
          <t>U</t>
        </is>
      </c>
      <c r="L305" s="25" t="n">
        <v>2792</v>
      </c>
      <c r="M305" s="26" t="n">
        <v>3.5</v>
      </c>
      <c r="N305" s="25">
        <f>ROUND(L305/M305, 0)</f>
        <v/>
      </c>
      <c r="O305" s="25">
        <f>ROUND(N305*'Methodology &amp; Assumptions'!$B$7, 0)</f>
        <v/>
      </c>
      <c r="P305" s="23" t="inlineStr">
        <is>
          <t>Single Carrier (Band n50, 100MHz TDD)</t>
        </is>
      </c>
      <c r="Q305" s="27">
        <f>ROUNDUP(O305/'Methodology &amp; Assumptions'!$B$8, 0)</f>
        <v/>
      </c>
      <c r="R305" s="27" t="n">
        <v>1</v>
      </c>
      <c r="S305" s="26" t="n">
        <v>1.52</v>
      </c>
      <c r="T305" s="26" t="n">
        <v>0.31</v>
      </c>
      <c r="U305" s="11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26" t="n">
        <v>75.14</v>
      </c>
      <c r="W305" s="26" t="n">
        <v>65.06</v>
      </c>
      <c r="X305" s="26">
        <f>ROUND(('Methodology &amp; Assumptions'!$B$5*V305) + ('Methodology &amp; Assumptions'!$B$6*W305), 2)</f>
        <v/>
      </c>
      <c r="Y305" s="28" t="n">
        <v>8.300000000000001</v>
      </c>
      <c r="Z305" s="11" t="inlineStr">
        <is>
          <t>Priority Tier 1 (High Commercial &amp; Social)</t>
        </is>
      </c>
    </row>
    <row r="306">
      <c r="A306" s="23" t="n">
        <v>1</v>
      </c>
      <c r="B306" s="23" t="n">
        <v>302</v>
      </c>
      <c r="C306" s="23" t="n">
        <v>302</v>
      </c>
      <c r="D306" s="23" t="inlineStr">
        <is>
          <t>1380601255</t>
        </is>
      </c>
      <c r="E306" s="11" t="inlineStr">
        <is>
          <t>National Capital Region (NCR)</t>
        </is>
      </c>
      <c r="F306" s="11" t="inlineStr">
        <is>
          <t>First District (Not a Province)</t>
        </is>
      </c>
      <c r="G306" s="11" t="inlineStr">
        <is>
          <t>City of Manila</t>
        </is>
      </c>
      <c r="H306" s="11" t="inlineStr">
        <is>
          <t>Barangay 254</t>
        </is>
      </c>
      <c r="I306" s="24" t="n">
        <v>14.611944</v>
      </c>
      <c r="J306" s="24" t="n">
        <v>120.977222</v>
      </c>
      <c r="K306" s="23" t="inlineStr">
        <is>
          <t>U</t>
        </is>
      </c>
      <c r="L306" s="25" t="n">
        <v>3513</v>
      </c>
      <c r="M306" s="26" t="n">
        <v>3.93</v>
      </c>
      <c r="N306" s="25">
        <f>ROUND(L306/M306, 0)</f>
        <v/>
      </c>
      <c r="O306" s="25">
        <f>ROUND(N306*'Methodology &amp; Assumptions'!$B$7, 0)</f>
        <v/>
      </c>
      <c r="P306" s="23" t="inlineStr">
        <is>
          <t>Single Carrier (Band n50, 100MHz TDD)</t>
        </is>
      </c>
      <c r="Q306" s="27">
        <f>ROUNDUP(O306/'Methodology &amp; Assumptions'!$B$8, 0)</f>
        <v/>
      </c>
      <c r="R306" s="27" t="n">
        <v>1</v>
      </c>
      <c r="S306" s="26" t="n">
        <v>0.79</v>
      </c>
      <c r="T306" s="26" t="n">
        <v>0.45</v>
      </c>
      <c r="U306" s="11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26" t="n">
        <v>69.09</v>
      </c>
      <c r="W306" s="26" t="n">
        <v>71.11</v>
      </c>
      <c r="X306" s="26">
        <f>ROUND(('Methodology &amp; Assumptions'!$B$5*V306) + ('Methodology &amp; Assumptions'!$B$6*W306), 2)</f>
        <v/>
      </c>
      <c r="Y306" s="28" t="n">
        <v>10.9</v>
      </c>
      <c r="Z306" s="11" t="inlineStr">
        <is>
          <t>Priority Tier 1 (High Commercial &amp; Social)</t>
        </is>
      </c>
    </row>
    <row r="307">
      <c r="A307" s="23" t="n">
        <v>1</v>
      </c>
      <c r="B307" s="23" t="n">
        <v>303</v>
      </c>
      <c r="C307" s="23" t="n">
        <v>303</v>
      </c>
      <c r="D307" s="23" t="inlineStr">
        <is>
          <t>0402106043</t>
        </is>
      </c>
      <c r="E307" s="11" t="inlineStr">
        <is>
          <t>Region IV-A (CALABARZON)</t>
        </is>
      </c>
      <c r="F307" s="11" t="inlineStr">
        <is>
          <t>Cavite</t>
        </is>
      </c>
      <c r="G307" s="11" t="inlineStr">
        <is>
          <t>City of Dasmariñas</t>
        </is>
      </c>
      <c r="H307" s="11" t="inlineStr">
        <is>
          <t>Santa Lucia</t>
        </is>
      </c>
      <c r="I307" s="24" t="n">
        <v>14.336167</v>
      </c>
      <c r="J307" s="24" t="n">
        <v>120.9533</v>
      </c>
      <c r="K307" s="23" t="inlineStr">
        <is>
          <t>U</t>
        </is>
      </c>
      <c r="L307" s="25" t="n">
        <v>5826</v>
      </c>
      <c r="M307" s="26" t="n">
        <v>3.4</v>
      </c>
      <c r="N307" s="25">
        <f>ROUND(L307/M307, 0)</f>
        <v/>
      </c>
      <c r="O307" s="25">
        <f>ROUND(N307*'Methodology &amp; Assumptions'!$B$7, 0)</f>
        <v/>
      </c>
      <c r="P307" s="23" t="inlineStr">
        <is>
          <t>Single Carrier (Band n50, 100MHz TDD)</t>
        </is>
      </c>
      <c r="Q307" s="27">
        <f>ROUNDUP(O307/'Methodology &amp; Assumptions'!$B$8, 0)</f>
        <v/>
      </c>
      <c r="R307" s="27" t="n">
        <v>1</v>
      </c>
      <c r="S307" s="26" t="n">
        <v>2.17</v>
      </c>
      <c r="T307" s="26" t="n">
        <v>3.83</v>
      </c>
      <c r="U307" s="11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26" t="n">
        <v>69.93000000000001</v>
      </c>
      <c r="W307" s="26" t="n">
        <v>70.23999999999999</v>
      </c>
      <c r="X307" s="26">
        <f>ROUND(('Methodology &amp; Assumptions'!$B$5*V307) + ('Methodology &amp; Assumptions'!$B$6*W307), 2)</f>
        <v/>
      </c>
      <c r="Y307" s="28" t="n">
        <v>7.2</v>
      </c>
      <c r="Z307" s="11" t="inlineStr">
        <is>
          <t>Priority Tier 1 (High Commercial &amp; Social)</t>
        </is>
      </c>
    </row>
    <row r="308">
      <c r="A308" s="23" t="n">
        <v>1</v>
      </c>
      <c r="B308" s="23" t="n">
        <v>304</v>
      </c>
      <c r="C308" s="23" t="n">
        <v>304</v>
      </c>
      <c r="D308" s="23" t="inlineStr">
        <is>
          <t>1380606237</t>
        </is>
      </c>
      <c r="E308" s="11" t="inlineStr">
        <is>
          <t>National Capital Region (NCR)</t>
        </is>
      </c>
      <c r="F308" s="11" t="inlineStr">
        <is>
          <t>First District (Not a Province)</t>
        </is>
      </c>
      <c r="G308" s="11" t="inlineStr">
        <is>
          <t>City of Manila</t>
        </is>
      </c>
      <c r="H308" s="11" t="inlineStr">
        <is>
          <t>Barangay 630</t>
        </is>
      </c>
      <c r="I308" s="24" t="n">
        <v>14.59978</v>
      </c>
      <c r="J308" s="24" t="n">
        <v>121.010866</v>
      </c>
      <c r="K308" s="23" t="inlineStr">
        <is>
          <t>U</t>
        </is>
      </c>
      <c r="L308" s="25" t="n">
        <v>6552</v>
      </c>
      <c r="M308" s="26" t="n">
        <v>1.91</v>
      </c>
      <c r="N308" s="25">
        <f>ROUND(L308/M308, 0)</f>
        <v/>
      </c>
      <c r="O308" s="25">
        <f>ROUND(N308*'Methodology &amp; Assumptions'!$B$7, 0)</f>
        <v/>
      </c>
      <c r="P308" s="23" t="inlineStr">
        <is>
          <t>Single Carrier (Band n50, 100MHz TDD)</t>
        </is>
      </c>
      <c r="Q308" s="27">
        <f>ROUNDUP(O308/'Methodology &amp; Assumptions'!$B$8, 0)</f>
        <v/>
      </c>
      <c r="R308" s="27" t="n">
        <v>1</v>
      </c>
      <c r="S308" s="26" t="n">
        <v>0.73</v>
      </c>
      <c r="T308" s="26" t="n">
        <v>0.29</v>
      </c>
      <c r="U308" s="11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26" t="n">
        <v>69.09</v>
      </c>
      <c r="W308" s="26" t="n">
        <v>71.08</v>
      </c>
      <c r="X308" s="26">
        <f>ROUND(('Methodology &amp; Assumptions'!$B$5*V308) + ('Methodology &amp; Assumptions'!$B$6*W308), 2)</f>
        <v/>
      </c>
      <c r="Y308" s="28" t="n">
        <v>10.9</v>
      </c>
      <c r="Z308" s="11" t="inlineStr">
        <is>
          <t>Priority Tier 1 (High Commercial &amp; Social)</t>
        </is>
      </c>
    </row>
    <row r="309">
      <c r="A309" s="23" t="n">
        <v>1</v>
      </c>
      <c r="B309" s="23" t="n">
        <v>305</v>
      </c>
      <c r="C309" s="23" t="n">
        <v>305</v>
      </c>
      <c r="D309" s="23" t="inlineStr">
        <is>
          <t>0402106044</t>
        </is>
      </c>
      <c r="E309" s="11" t="inlineStr">
        <is>
          <t>Region IV-A (CALABARZON)</t>
        </is>
      </c>
      <c r="F309" s="11" t="inlineStr">
        <is>
          <t>Cavite</t>
        </is>
      </c>
      <c r="G309" s="11" t="inlineStr">
        <is>
          <t>City of Dasmariñas</t>
        </is>
      </c>
      <c r="H309" s="11" t="inlineStr">
        <is>
          <t>Santa Maria</t>
        </is>
      </c>
      <c r="I309" s="24" t="n">
        <v>14.322147</v>
      </c>
      <c r="J309" s="24" t="n">
        <v>120.957197</v>
      </c>
      <c r="K309" s="23" t="inlineStr">
        <is>
          <t>U</t>
        </is>
      </c>
      <c r="L309" s="25" t="n">
        <v>5335</v>
      </c>
      <c r="M309" s="26" t="n">
        <v>3.4</v>
      </c>
      <c r="N309" s="25">
        <f>ROUND(L309/M309, 0)</f>
        <v/>
      </c>
      <c r="O309" s="25">
        <f>ROUND(N309*'Methodology &amp; Assumptions'!$B$7, 0)</f>
        <v/>
      </c>
      <c r="P309" s="23" t="inlineStr">
        <is>
          <t>Single Carrier (Band n50, 100MHz TDD)</t>
        </is>
      </c>
      <c r="Q309" s="27">
        <f>ROUNDUP(O309/'Methodology &amp; Assumptions'!$B$8, 0)</f>
        <v/>
      </c>
      <c r="R309" s="27" t="n">
        <v>1</v>
      </c>
      <c r="S309" s="26" t="n">
        <v>1.42</v>
      </c>
      <c r="T309" s="26" t="n">
        <v>2.31</v>
      </c>
      <c r="U309" s="11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26" t="n">
        <v>72.58</v>
      </c>
      <c r="W309" s="26" t="n">
        <v>67.58</v>
      </c>
      <c r="X309" s="26">
        <f>ROUND(('Methodology &amp; Assumptions'!$B$5*V309) + ('Methodology &amp; Assumptions'!$B$6*W309), 2)</f>
        <v/>
      </c>
      <c r="Y309" s="28" t="n">
        <v>7.2</v>
      </c>
      <c r="Z309" s="11" t="inlineStr">
        <is>
          <t>Priority Tier 1 (High Commercial &amp; Social)</t>
        </is>
      </c>
    </row>
    <row r="310">
      <c r="A310" s="23" t="n">
        <v>1</v>
      </c>
      <c r="B310" s="23" t="n">
        <v>306</v>
      </c>
      <c r="C310" s="23" t="n">
        <v>306</v>
      </c>
      <c r="D310" s="23" t="inlineStr">
        <is>
          <t>1381701009</t>
        </is>
      </c>
      <c r="E310" s="11" t="inlineStr">
        <is>
          <t>National Capital Region (NCR)</t>
        </is>
      </c>
      <c r="F310" s="11" t="inlineStr">
        <is>
          <t>Fourth District (Not a Province)</t>
        </is>
      </c>
      <c r="G310" s="11" t="inlineStr">
        <is>
          <t>Pateros</t>
        </is>
      </c>
      <c r="H310" s="11" t="inlineStr">
        <is>
          <t>Santo Rosario-Silangan</t>
        </is>
      </c>
      <c r="I310" s="24" t="n">
        <v>14.548374</v>
      </c>
      <c r="J310" s="24" t="n">
        <v>121.069666</v>
      </c>
      <c r="K310" s="23" t="inlineStr">
        <is>
          <t>U</t>
        </is>
      </c>
      <c r="L310" s="25" t="n">
        <v>4744</v>
      </c>
      <c r="M310" s="26" t="n">
        <v>4.03</v>
      </c>
      <c r="N310" s="25">
        <f>ROUND(L310/M310, 0)</f>
        <v/>
      </c>
      <c r="O310" s="25">
        <f>ROUND(N310*'Methodology &amp; Assumptions'!$B$7, 0)</f>
        <v/>
      </c>
      <c r="P310" s="23" t="inlineStr">
        <is>
          <t>Single Carrier (Band n50, 100MHz TDD)</t>
        </is>
      </c>
      <c r="Q310" s="27">
        <f>ROUNDUP(O310/'Methodology &amp; Assumptions'!$B$8, 0)</f>
        <v/>
      </c>
      <c r="R310" s="27" t="n">
        <v>1</v>
      </c>
      <c r="S310" s="26" t="n">
        <v>0.44</v>
      </c>
      <c r="T310" s="26" t="n">
        <v>0.22</v>
      </c>
      <c r="U310" s="11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26" t="n">
        <v>69.09</v>
      </c>
      <c r="W310" s="26" t="n">
        <v>71.04000000000001</v>
      </c>
      <c r="X310" s="26">
        <f>ROUND(('Methodology &amp; Assumptions'!$B$5*V310) + ('Methodology &amp; Assumptions'!$B$6*W310), 2)</f>
        <v/>
      </c>
      <c r="Y310" s="28" t="n">
        <v>10.9</v>
      </c>
      <c r="Z310" s="11" t="inlineStr">
        <is>
          <t>Priority Tier 1 (High Commercial &amp; Social)</t>
        </is>
      </c>
    </row>
    <row r="311">
      <c r="A311" s="23" t="n">
        <v>1</v>
      </c>
      <c r="B311" s="23" t="n">
        <v>307</v>
      </c>
      <c r="C311" s="23" t="n">
        <v>307</v>
      </c>
      <c r="D311" s="23" t="inlineStr">
        <is>
          <t>1380900004</t>
        </is>
      </c>
      <c r="E311" s="11" t="inlineStr">
        <is>
          <t>National Capital Region (NCR)</t>
        </is>
      </c>
      <c r="F311" s="11" t="inlineStr">
        <is>
          <t>Third District (Not a Province)</t>
        </is>
      </c>
      <c r="G311" s="11" t="inlineStr">
        <is>
          <t>City of Navotas</t>
        </is>
      </c>
      <c r="H311" s="11" t="inlineStr">
        <is>
          <t>Bangculasi</t>
        </is>
      </c>
      <c r="I311" s="24" t="n">
        <v>14.65004</v>
      </c>
      <c r="J311" s="24" t="n">
        <v>120.9522</v>
      </c>
      <c r="K311" s="23" t="inlineStr">
        <is>
          <t>U</t>
        </is>
      </c>
      <c r="L311" s="25" t="n">
        <v>8621</v>
      </c>
      <c r="M311" s="26" t="n">
        <v>3.32</v>
      </c>
      <c r="N311" s="25">
        <f>ROUND(L311/M311, 0)</f>
        <v/>
      </c>
      <c r="O311" s="25">
        <f>ROUND(N311*'Methodology &amp; Assumptions'!$B$7, 0)</f>
        <v/>
      </c>
      <c r="P311" s="23" t="inlineStr">
        <is>
          <t>Single Carrier (Band n50, 100MHz TDD)</t>
        </is>
      </c>
      <c r="Q311" s="27">
        <f>ROUNDUP(O311/'Methodology &amp; Assumptions'!$B$8, 0)</f>
        <v/>
      </c>
      <c r="R311" s="27" t="n">
        <v>1</v>
      </c>
      <c r="S311" s="26" t="n">
        <v>0.9</v>
      </c>
      <c r="T311" s="26" t="n">
        <v>0.78</v>
      </c>
      <c r="U311" s="11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26" t="n">
        <v>68.86</v>
      </c>
      <c r="W311" s="26" t="n">
        <v>71.29000000000001</v>
      </c>
      <c r="X311" s="26">
        <f>ROUND(('Methodology &amp; Assumptions'!$B$5*V311) + ('Methodology &amp; Assumptions'!$B$6*W311), 2)</f>
        <v/>
      </c>
      <c r="Y311" s="28" t="n">
        <v>10.9</v>
      </c>
      <c r="Z311" s="11" t="inlineStr">
        <is>
          <t>Priority Tier 1 (High Commercial &amp; Social)</t>
        </is>
      </c>
    </row>
    <row r="312">
      <c r="A312" s="23" t="n">
        <v>1</v>
      </c>
      <c r="B312" s="23" t="n">
        <v>308</v>
      </c>
      <c r="C312" s="23" t="n">
        <v>308</v>
      </c>
      <c r="D312" s="23" t="inlineStr">
        <is>
          <t>0405805015</t>
        </is>
      </c>
      <c r="E312" s="11" t="inlineStr">
        <is>
          <t>Region IV-A (CALABARZON)</t>
        </is>
      </c>
      <c r="F312" s="11" t="inlineStr">
        <is>
          <t>Rizal</t>
        </is>
      </c>
      <c r="G312" s="11" t="inlineStr">
        <is>
          <t>Cainta</t>
        </is>
      </c>
      <c r="H312" s="11" t="inlineStr">
        <is>
          <t>San Isidro</t>
        </is>
      </c>
      <c r="I312" s="24" t="n">
        <v>14.610629</v>
      </c>
      <c r="J312" s="24" t="n">
        <v>121.103748</v>
      </c>
      <c r="K312" s="23" t="inlineStr">
        <is>
          <t>U</t>
        </is>
      </c>
      <c r="L312" s="25" t="n">
        <v>83020</v>
      </c>
      <c r="M312" s="26" t="n">
        <v>3.6</v>
      </c>
      <c r="N312" s="25">
        <f>ROUND(L312/M312, 0)</f>
        <v/>
      </c>
      <c r="O312" s="25">
        <f>ROUND(N312*'Methodology &amp; Assumptions'!$B$7, 0)</f>
        <v/>
      </c>
      <c r="P312" s="23" t="inlineStr">
        <is>
          <t>Single Carrier (Band n50, 100MHz TDD)</t>
        </is>
      </c>
      <c r="Q312" s="27">
        <f>ROUNDUP(O312/'Methodology &amp; Assumptions'!$B$8, 0)</f>
        <v/>
      </c>
      <c r="R312" s="27" t="n">
        <v>1</v>
      </c>
      <c r="S312" s="26" t="n">
        <v>1.78</v>
      </c>
      <c r="T312" s="26" t="n">
        <v>0.43</v>
      </c>
      <c r="U312" s="11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26" t="n">
        <v>72.23999999999999</v>
      </c>
      <c r="W312" s="26" t="n">
        <v>67.87</v>
      </c>
      <c r="X312" s="26">
        <f>ROUND(('Methodology &amp; Assumptions'!$B$5*V312) + ('Methodology &amp; Assumptions'!$B$6*W312), 2)</f>
        <v/>
      </c>
      <c r="Y312" s="28" t="n">
        <v>7.2</v>
      </c>
      <c r="Z312" s="11" t="inlineStr">
        <is>
          <t>Priority Tier 1 (High Commercial &amp; Social)</t>
        </is>
      </c>
    </row>
    <row r="313">
      <c r="A313" s="23" t="n">
        <v>1</v>
      </c>
      <c r="B313" s="23" t="n">
        <v>309</v>
      </c>
      <c r="C313" s="23" t="n">
        <v>309</v>
      </c>
      <c r="D313" s="23" t="inlineStr">
        <is>
          <t>1380400009</t>
        </is>
      </c>
      <c r="E313" s="11" t="inlineStr">
        <is>
          <t>National Capital Region (NCR)</t>
        </is>
      </c>
      <c r="F313" s="11" t="inlineStr">
        <is>
          <t>Third District (Not a Province)</t>
        </is>
      </c>
      <c r="G313" s="11" t="inlineStr">
        <is>
          <t>City of Malabon</t>
        </is>
      </c>
      <c r="H313" s="11" t="inlineStr">
        <is>
          <t>Ibaba</t>
        </is>
      </c>
      <c r="I313" s="24" t="n">
        <v>14.664585</v>
      </c>
      <c r="J313" s="24" t="n">
        <v>120.95093</v>
      </c>
      <c r="K313" s="23" t="inlineStr">
        <is>
          <t>U</t>
        </is>
      </c>
      <c r="L313" s="25" t="n">
        <v>8219</v>
      </c>
      <c r="M313" s="26" t="n">
        <v>3.58</v>
      </c>
      <c r="N313" s="25">
        <f>ROUND(L313/M313, 0)</f>
        <v/>
      </c>
      <c r="O313" s="25">
        <f>ROUND(N313*'Methodology &amp; Assumptions'!$B$7, 0)</f>
        <v/>
      </c>
      <c r="P313" s="23" t="inlineStr">
        <is>
          <t>Single Carrier (Band n50, 100MHz TDD)</t>
        </is>
      </c>
      <c r="Q313" s="27">
        <f>ROUNDUP(O313/'Methodology &amp; Assumptions'!$B$8, 0)</f>
        <v/>
      </c>
      <c r="R313" s="27" t="n">
        <v>1</v>
      </c>
      <c r="S313" s="26" t="n">
        <v>0.8</v>
      </c>
      <c r="T313" s="26" t="n">
        <v>0.2</v>
      </c>
      <c r="U313" s="11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26" t="n">
        <v>69.09</v>
      </c>
      <c r="W313" s="26" t="n">
        <v>71</v>
      </c>
      <c r="X313" s="26">
        <f>ROUND(('Methodology &amp; Assumptions'!$B$5*V313) + ('Methodology &amp; Assumptions'!$B$6*W313), 2)</f>
        <v/>
      </c>
      <c r="Y313" s="28" t="n">
        <v>10.9</v>
      </c>
      <c r="Z313" s="11" t="inlineStr">
        <is>
          <t>Priority Tier 1 (High Commercial &amp; Social)</t>
        </is>
      </c>
    </row>
    <row r="314">
      <c r="A314" s="23" t="n">
        <v>1</v>
      </c>
      <c r="B314" s="23" t="n">
        <v>310</v>
      </c>
      <c r="C314" s="23" t="n">
        <v>310</v>
      </c>
      <c r="D314" s="23" t="inlineStr">
        <is>
          <t>1381100190</t>
        </is>
      </c>
      <c r="E314" s="11" t="inlineStr">
        <is>
          <t>National Capital Region (NCR)</t>
        </is>
      </c>
      <c r="F314" s="11" t="inlineStr">
        <is>
          <t>Fourth District (Not a Province)</t>
        </is>
      </c>
      <c r="G314" s="11" t="inlineStr">
        <is>
          <t>Pasay City</t>
        </is>
      </c>
      <c r="H314" s="11" t="inlineStr">
        <is>
          <t>Barangay 190</t>
        </is>
      </c>
      <c r="I314" s="24" t="n">
        <v>14.530426</v>
      </c>
      <c r="J314" s="24" t="n">
        <v>120.999759</v>
      </c>
      <c r="K314" s="23" t="inlineStr">
        <is>
          <t>U</t>
        </is>
      </c>
      <c r="L314" s="25" t="n">
        <v>4445</v>
      </c>
      <c r="M314" s="26" t="n">
        <v>3.78</v>
      </c>
      <c r="N314" s="25">
        <f>ROUND(L314/M314, 0)</f>
        <v/>
      </c>
      <c r="O314" s="25">
        <f>ROUND(N314*'Methodology &amp; Assumptions'!$B$7, 0)</f>
        <v/>
      </c>
      <c r="P314" s="23" t="inlineStr">
        <is>
          <t>Single Carrier (Band n50, 100MHz TDD)</t>
        </is>
      </c>
      <c r="Q314" s="27">
        <f>ROUNDUP(O314/'Methodology &amp; Assumptions'!$B$8, 0)</f>
        <v/>
      </c>
      <c r="R314" s="27" t="n">
        <v>1</v>
      </c>
      <c r="S314" s="26" t="n">
        <v>0.4</v>
      </c>
      <c r="T314" s="26" t="n">
        <v>0.31</v>
      </c>
      <c r="U314" s="11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26" t="n">
        <v>69.09</v>
      </c>
      <c r="W314" s="26" t="n">
        <v>70.98999999999999</v>
      </c>
      <c r="X314" s="26">
        <f>ROUND(('Methodology &amp; Assumptions'!$B$5*V314) + ('Methodology &amp; Assumptions'!$B$6*W314), 2)</f>
        <v/>
      </c>
      <c r="Y314" s="28" t="n">
        <v>10.9</v>
      </c>
      <c r="Z314" s="11" t="inlineStr">
        <is>
          <t>Priority Tier 1 (High Commercial &amp; Social)</t>
        </is>
      </c>
    </row>
    <row r="315">
      <c r="A315" s="23" t="n">
        <v>1</v>
      </c>
      <c r="B315" s="23" t="n">
        <v>311</v>
      </c>
      <c r="C315" s="23" t="n">
        <v>311</v>
      </c>
      <c r="D315" s="23" t="inlineStr">
        <is>
          <t>1381300127</t>
        </is>
      </c>
      <c r="E315" s="11" t="inlineStr">
        <is>
          <t>National Capital Region (NCR)</t>
        </is>
      </c>
      <c r="F315" s="11" t="inlineStr">
        <is>
          <t>Second District (Not a Province)</t>
        </is>
      </c>
      <c r="G315" s="11" t="inlineStr">
        <is>
          <t>Quezon City</t>
        </is>
      </c>
      <c r="H315" s="11" t="inlineStr">
        <is>
          <t>Unang Sigaw</t>
        </is>
      </c>
      <c r="I315" s="24" t="n">
        <v>14.658604</v>
      </c>
      <c r="J315" s="24" t="n">
        <v>120.999645</v>
      </c>
      <c r="K315" s="23" t="inlineStr">
        <is>
          <t>U</t>
        </is>
      </c>
      <c r="L315" s="25" t="n">
        <v>6672</v>
      </c>
      <c r="M315" s="26" t="n">
        <v>4.07</v>
      </c>
      <c r="N315" s="25">
        <f>ROUND(L315/M315, 0)</f>
        <v/>
      </c>
      <c r="O315" s="25">
        <f>ROUND(N315*'Methodology &amp; Assumptions'!$B$7, 0)</f>
        <v/>
      </c>
      <c r="P315" s="23" t="inlineStr">
        <is>
          <t>Single Carrier (Band n50, 100MHz TDD)</t>
        </is>
      </c>
      <c r="Q315" s="27">
        <f>ROUNDUP(O315/'Methodology &amp; Assumptions'!$B$8, 0)</f>
        <v/>
      </c>
      <c r="R315" s="27" t="n">
        <v>1</v>
      </c>
      <c r="S315" s="26" t="n">
        <v>1.17</v>
      </c>
      <c r="T315" s="26" t="n">
        <v>1.01</v>
      </c>
      <c r="U315" s="11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26" t="n">
        <v>67.83</v>
      </c>
      <c r="W315" s="26" t="n">
        <v>72.23999999999999</v>
      </c>
      <c r="X315" s="26">
        <f>ROUND(('Methodology &amp; Assumptions'!$B$5*V315) + ('Methodology &amp; Assumptions'!$B$6*W315), 2)</f>
        <v/>
      </c>
      <c r="Y315" s="28" t="n">
        <v>10.9</v>
      </c>
      <c r="Z315" s="11" t="inlineStr">
        <is>
          <t>Priority Tier 1 (High Commercial &amp; Social)</t>
        </is>
      </c>
    </row>
    <row r="316">
      <c r="A316" s="23" t="n">
        <v>1</v>
      </c>
      <c r="B316" s="23" t="n">
        <v>312</v>
      </c>
      <c r="C316" s="23" t="n">
        <v>312</v>
      </c>
      <c r="D316" s="23" t="inlineStr">
        <is>
          <t>1380612011</t>
        </is>
      </c>
      <c r="E316" s="11" t="inlineStr">
        <is>
          <t>National Capital Region (NCR)</t>
        </is>
      </c>
      <c r="F316" s="11" t="inlineStr">
        <is>
          <t>First District (Not a Province)</t>
        </is>
      </c>
      <c r="G316" s="11" t="inlineStr">
        <is>
          <t>City of Manila</t>
        </is>
      </c>
      <c r="H316" s="11" t="inlineStr">
        <is>
          <t>Barangay 843</t>
        </is>
      </c>
      <c r="I316" s="24" t="n">
        <v>14.588353</v>
      </c>
      <c r="J316" s="24" t="n">
        <v>120.999425</v>
      </c>
      <c r="K316" s="23" t="inlineStr">
        <is>
          <t>U</t>
        </is>
      </c>
      <c r="L316" s="25" t="n">
        <v>9355</v>
      </c>
      <c r="M316" s="26" t="n">
        <v>4.2</v>
      </c>
      <c r="N316" s="25">
        <f>ROUND(L316/M316, 0)</f>
        <v/>
      </c>
      <c r="O316" s="25">
        <f>ROUND(N316*'Methodology &amp; Assumptions'!$B$7, 0)</f>
        <v/>
      </c>
      <c r="P316" s="23" t="inlineStr">
        <is>
          <t>Single Carrier (Band n50, 100MHz TDD)</t>
        </is>
      </c>
      <c r="Q316" s="27">
        <f>ROUNDUP(O316/'Methodology &amp; Assumptions'!$B$8, 0)</f>
        <v/>
      </c>
      <c r="R316" s="27" t="n">
        <v>1</v>
      </c>
      <c r="S316" s="26" t="n">
        <v>0.57</v>
      </c>
      <c r="T316" s="26" t="n">
        <v>0.31</v>
      </c>
      <c r="U316" s="11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26" t="n">
        <v>69.09</v>
      </c>
      <c r="W316" s="26" t="n">
        <v>70.97</v>
      </c>
      <c r="X316" s="26">
        <f>ROUND(('Methodology &amp; Assumptions'!$B$5*V316) + ('Methodology &amp; Assumptions'!$B$6*W316), 2)</f>
        <v/>
      </c>
      <c r="Y316" s="28" t="n">
        <v>10.9</v>
      </c>
      <c r="Z316" s="11" t="inlineStr">
        <is>
          <t>Priority Tier 1 (High Commercial &amp; Social)</t>
        </is>
      </c>
    </row>
    <row r="317">
      <c r="A317" s="23" t="n">
        <v>1</v>
      </c>
      <c r="B317" s="23" t="n">
        <v>313</v>
      </c>
      <c r="C317" s="23" t="n">
        <v>313</v>
      </c>
      <c r="D317" s="23" t="inlineStr">
        <is>
          <t>1381100014</t>
        </is>
      </c>
      <c r="E317" s="11" t="inlineStr">
        <is>
          <t>National Capital Region (NCR)</t>
        </is>
      </c>
      <c r="F317" s="11" t="inlineStr">
        <is>
          <t>Fourth District (Not a Province)</t>
        </is>
      </c>
      <c r="G317" s="11" t="inlineStr">
        <is>
          <t>Pasay City</t>
        </is>
      </c>
      <c r="H317" s="11" t="inlineStr">
        <is>
          <t>Barangay 14</t>
        </is>
      </c>
      <c r="I317" s="24" t="n">
        <v>14.539785</v>
      </c>
      <c r="J317" s="24" t="n">
        <v>121.000644</v>
      </c>
      <c r="K317" s="23" t="inlineStr">
        <is>
          <t>U</t>
        </is>
      </c>
      <c r="L317" s="25" t="n">
        <v>4807</v>
      </c>
      <c r="M317" s="26" t="n">
        <v>3.39</v>
      </c>
      <c r="N317" s="25">
        <f>ROUND(L317/M317, 0)</f>
        <v/>
      </c>
      <c r="O317" s="25">
        <f>ROUND(N317*'Methodology &amp; Assumptions'!$B$7, 0)</f>
        <v/>
      </c>
      <c r="P317" s="23" t="inlineStr">
        <is>
          <t>Single Carrier (Band n50, 100MHz TDD)</t>
        </is>
      </c>
      <c r="Q317" s="27">
        <f>ROUNDUP(O317/'Methodology &amp; Assumptions'!$B$8, 0)</f>
        <v/>
      </c>
      <c r="R317" s="27" t="n">
        <v>1</v>
      </c>
      <c r="S317" s="26" t="n">
        <v>0.85</v>
      </c>
      <c r="T317" s="26" t="n">
        <v>0.21</v>
      </c>
      <c r="U317" s="11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26" t="n">
        <v>69.06</v>
      </c>
      <c r="W317" s="26" t="n">
        <v>71</v>
      </c>
      <c r="X317" s="26">
        <f>ROUND(('Methodology &amp; Assumptions'!$B$5*V317) + ('Methodology &amp; Assumptions'!$B$6*W317), 2)</f>
        <v/>
      </c>
      <c r="Y317" s="28" t="n">
        <v>10.9</v>
      </c>
      <c r="Z317" s="11" t="inlineStr">
        <is>
          <t>Priority Tier 1 (High Commercial &amp; Social)</t>
        </is>
      </c>
    </row>
    <row r="318">
      <c r="A318" s="23" t="n">
        <v>1</v>
      </c>
      <c r="B318" s="23" t="n">
        <v>314</v>
      </c>
      <c r="C318" s="23" t="n">
        <v>314</v>
      </c>
      <c r="D318" s="23" t="inlineStr">
        <is>
          <t>1381100145</t>
        </is>
      </c>
      <c r="E318" s="11" t="inlineStr">
        <is>
          <t>National Capital Region (NCR)</t>
        </is>
      </c>
      <c r="F318" s="11" t="inlineStr">
        <is>
          <t>Fourth District (Not a Province)</t>
        </is>
      </c>
      <c r="G318" s="11" t="inlineStr">
        <is>
          <t>Pasay City</t>
        </is>
      </c>
      <c r="H318" s="11" t="inlineStr">
        <is>
          <t>Barangay 145</t>
        </is>
      </c>
      <c r="I318" s="24" t="n">
        <v>14.533874</v>
      </c>
      <c r="J318" s="24" t="n">
        <v>120.998929</v>
      </c>
      <c r="K318" s="23" t="inlineStr">
        <is>
          <t>U</t>
        </is>
      </c>
      <c r="L318" s="25" t="n">
        <v>10288</v>
      </c>
      <c r="M318" s="26" t="n">
        <v>3.49</v>
      </c>
      <c r="N318" s="25">
        <f>ROUND(L318/M318, 0)</f>
        <v/>
      </c>
      <c r="O318" s="25">
        <f>ROUND(N318*'Methodology &amp; Assumptions'!$B$7, 0)</f>
        <v/>
      </c>
      <c r="P318" s="23" t="inlineStr">
        <is>
          <t>Single Carrier (Band n50, 100MHz TDD)</t>
        </is>
      </c>
      <c r="Q318" s="27">
        <f>ROUNDUP(O318/'Methodology &amp; Assumptions'!$B$8, 0)</f>
        <v/>
      </c>
      <c r="R318" s="27" t="n">
        <v>1</v>
      </c>
      <c r="S318" s="26" t="n">
        <v>0.6899999999999999</v>
      </c>
      <c r="T318" s="26" t="n">
        <v>0.29</v>
      </c>
      <c r="U318" s="11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26" t="n">
        <v>69.09</v>
      </c>
      <c r="W318" s="26" t="n">
        <v>70.95</v>
      </c>
      <c r="X318" s="26">
        <f>ROUND(('Methodology &amp; Assumptions'!$B$5*V318) + ('Methodology &amp; Assumptions'!$B$6*W318), 2)</f>
        <v/>
      </c>
      <c r="Y318" s="28" t="n">
        <v>10.9</v>
      </c>
      <c r="Z318" s="11" t="inlineStr">
        <is>
          <t>Priority Tier 1 (High Commercial &amp; Social)</t>
        </is>
      </c>
    </row>
    <row r="319">
      <c r="A319" s="23" t="n">
        <v>1</v>
      </c>
      <c r="B319" s="23" t="n">
        <v>315</v>
      </c>
      <c r="C319" s="23" t="n">
        <v>315</v>
      </c>
      <c r="D319" s="23" t="inlineStr">
        <is>
          <t>1108202008</t>
        </is>
      </c>
      <c r="E319" s="11" t="inlineStr">
        <is>
          <t>Region XI (Davao Region)</t>
        </is>
      </c>
      <c r="F319" s="11" t="inlineStr">
        <is>
          <t>Davao de Oro</t>
        </is>
      </c>
      <c r="G319" s="11" t="inlineStr">
        <is>
          <t>Laak</t>
        </is>
      </c>
      <c r="H319" s="11" t="inlineStr">
        <is>
          <t>Kidawa</t>
        </is>
      </c>
      <c r="I319" s="24" t="n">
        <v>7.890563</v>
      </c>
      <c r="J319" s="24" t="n">
        <v>125.926102</v>
      </c>
      <c r="K319" s="23" t="inlineStr">
        <is>
          <t>R</t>
        </is>
      </c>
      <c r="L319" s="25" t="n">
        <v>3785</v>
      </c>
      <c r="M319" s="26" t="n">
        <v>3.7</v>
      </c>
      <c r="N319" s="25">
        <f>ROUND(L319/M319, 0)</f>
        <v/>
      </c>
      <c r="O319" s="25">
        <f>ROUND(N319*'Methodology &amp; Assumptions'!$B$7, 0)</f>
        <v/>
      </c>
      <c r="P319" s="23" t="inlineStr">
        <is>
          <t>Single Carrier (Band n50, 100MHz TDD)</t>
        </is>
      </c>
      <c r="Q319" s="27">
        <f>ROUNDUP(O319/'Methodology &amp; Assumptions'!$B$8, 0)</f>
        <v/>
      </c>
      <c r="R319" s="27" t="n">
        <v>1</v>
      </c>
      <c r="S319" s="26" t="n">
        <v>15.96</v>
      </c>
      <c r="T319" s="26" t="n">
        <v>13.61</v>
      </c>
      <c r="U319" s="11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26" t="n">
        <v>61.82</v>
      </c>
      <c r="W319" s="26" t="n">
        <v>78.23</v>
      </c>
      <c r="X319" s="26">
        <f>ROUND(('Methodology &amp; Assumptions'!$B$5*V319) + ('Methodology &amp; Assumptions'!$B$6*W319), 2)</f>
        <v/>
      </c>
      <c r="Y319" s="28" t="n">
        <v>17.4</v>
      </c>
      <c r="Z319" s="11" t="inlineStr">
        <is>
          <t>Priority Tier 1 (High Commercial &amp; Social)</t>
        </is>
      </c>
    </row>
    <row r="320">
      <c r="A320" s="23" t="n">
        <v>1</v>
      </c>
      <c r="B320" s="23" t="n">
        <v>316</v>
      </c>
      <c r="C320" s="23" t="n">
        <v>316</v>
      </c>
      <c r="D320" s="23" t="inlineStr">
        <is>
          <t>0403403025</t>
        </is>
      </c>
      <c r="E320" s="11" t="inlineStr">
        <is>
          <t>Region IV-A (CALABARZON)</t>
        </is>
      </c>
      <c r="F320" s="11" t="inlineStr">
        <is>
          <t>Laguna</t>
        </is>
      </c>
      <c r="G320" s="11" t="inlineStr">
        <is>
          <t>City of Biñan</t>
        </is>
      </c>
      <c r="H320" s="11" t="inlineStr">
        <is>
          <t>Tubigan</t>
        </is>
      </c>
      <c r="I320" s="24" t="n">
        <v>14.328717</v>
      </c>
      <c r="J320" s="24" t="n">
        <v>121.072895</v>
      </c>
      <c r="K320" s="23" t="inlineStr">
        <is>
          <t>U</t>
        </is>
      </c>
      <c r="L320" s="25" t="n">
        <v>6848</v>
      </c>
      <c r="M320" s="26" t="n">
        <v>3.3</v>
      </c>
      <c r="N320" s="25">
        <f>ROUND(L320/M320, 0)</f>
        <v/>
      </c>
      <c r="O320" s="25">
        <f>ROUND(N320*'Methodology &amp; Assumptions'!$B$7, 0)</f>
        <v/>
      </c>
      <c r="P320" s="23" t="inlineStr">
        <is>
          <t>Single Carrier (Band n50, 100MHz TDD)</t>
        </is>
      </c>
      <c r="Q320" s="27">
        <f>ROUNDUP(O320/'Methodology &amp; Assumptions'!$B$8, 0)</f>
        <v/>
      </c>
      <c r="R320" s="27" t="n">
        <v>1</v>
      </c>
      <c r="S320" s="26" t="n">
        <v>1.14</v>
      </c>
      <c r="T320" s="26" t="n">
        <v>0.4</v>
      </c>
      <c r="U320" s="11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26" t="n">
        <v>77.09</v>
      </c>
      <c r="W320" s="26" t="n">
        <v>62.93</v>
      </c>
      <c r="X320" s="26">
        <f>ROUND(('Methodology &amp; Assumptions'!$B$5*V320) + ('Methodology &amp; Assumptions'!$B$6*W320), 2)</f>
        <v/>
      </c>
      <c r="Y320" s="28" t="n">
        <v>7.2</v>
      </c>
      <c r="Z320" s="11" t="inlineStr">
        <is>
          <t>Priority Tier 1 (High Commercial &amp; Social)</t>
        </is>
      </c>
    </row>
    <row r="321">
      <c r="A321" s="23" t="n">
        <v>1</v>
      </c>
      <c r="B321" s="23" t="n">
        <v>317</v>
      </c>
      <c r="C321" s="23" t="n">
        <v>317</v>
      </c>
      <c r="D321" s="23" t="inlineStr">
        <is>
          <t>1381100156</t>
        </is>
      </c>
      <c r="E321" s="11" t="inlineStr">
        <is>
          <t>National Capital Region (NCR)</t>
        </is>
      </c>
      <c r="F321" s="11" t="inlineStr">
        <is>
          <t>Fourth District (Not a Province)</t>
        </is>
      </c>
      <c r="G321" s="11" t="inlineStr">
        <is>
          <t>Pasay City</t>
        </is>
      </c>
      <c r="H321" s="11" t="inlineStr">
        <is>
          <t>Barangay 156</t>
        </is>
      </c>
      <c r="I321" s="24" t="n">
        <v>14.532139</v>
      </c>
      <c r="J321" s="24" t="n">
        <v>121.004106</v>
      </c>
      <c r="K321" s="23" t="inlineStr">
        <is>
          <t>U</t>
        </is>
      </c>
      <c r="L321" s="25" t="n">
        <v>3831</v>
      </c>
      <c r="M321" s="26" t="n">
        <v>3.85</v>
      </c>
      <c r="N321" s="25">
        <f>ROUND(L321/M321, 0)</f>
        <v/>
      </c>
      <c r="O321" s="25">
        <f>ROUND(N321*'Methodology &amp; Assumptions'!$B$7, 0)</f>
        <v/>
      </c>
      <c r="P321" s="23" t="inlineStr">
        <is>
          <t>Single Carrier (Band n50, 100MHz TDD)</t>
        </is>
      </c>
      <c r="Q321" s="27">
        <f>ROUNDUP(O321/'Methodology &amp; Assumptions'!$B$8, 0)</f>
        <v/>
      </c>
      <c r="R321" s="27" t="n">
        <v>1</v>
      </c>
      <c r="S321" s="26" t="n">
        <v>0.89</v>
      </c>
      <c r="T321" s="26" t="n">
        <v>0.13</v>
      </c>
      <c r="U321" s="11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26" t="n">
        <v>68.92</v>
      </c>
      <c r="W321" s="26" t="n">
        <v>71.09</v>
      </c>
      <c r="X321" s="26">
        <f>ROUND(('Methodology &amp; Assumptions'!$B$5*V321) + ('Methodology &amp; Assumptions'!$B$6*W321), 2)</f>
        <v/>
      </c>
      <c r="Y321" s="28" t="n">
        <v>10.9</v>
      </c>
      <c r="Z321" s="11" t="inlineStr">
        <is>
          <t>Priority Tier 1 (High Commercial &amp; Social)</t>
        </is>
      </c>
    </row>
    <row r="322">
      <c r="A322" s="23" t="n">
        <v>1</v>
      </c>
      <c r="B322" s="23" t="n">
        <v>318</v>
      </c>
      <c r="C322" s="23" t="n">
        <v>318</v>
      </c>
      <c r="D322" s="23" t="inlineStr">
        <is>
          <t>0402106047</t>
        </is>
      </c>
      <c r="E322" s="11" t="inlineStr">
        <is>
          <t>Region IV-A (CALABARZON)</t>
        </is>
      </c>
      <c r="F322" s="11" t="inlineStr">
        <is>
          <t>Cavite</t>
        </is>
      </c>
      <c r="G322" s="11" t="inlineStr">
        <is>
          <t>City of Dasmariñas</t>
        </is>
      </c>
      <c r="H322" s="11" t="inlineStr">
        <is>
          <t>Burol I</t>
        </is>
      </c>
      <c r="I322" s="24" t="n">
        <v>14.326121</v>
      </c>
      <c r="J322" s="24" t="n">
        <v>120.962616</v>
      </c>
      <c r="K322" s="23" t="inlineStr">
        <is>
          <t>U</t>
        </is>
      </c>
      <c r="L322" s="25" t="n">
        <v>18198</v>
      </c>
      <c r="M322" s="26" t="n">
        <v>3.4</v>
      </c>
      <c r="N322" s="25">
        <f>ROUND(L322/M322, 0)</f>
        <v/>
      </c>
      <c r="O322" s="25">
        <f>ROUND(N322*'Methodology &amp; Assumptions'!$B$7, 0)</f>
        <v/>
      </c>
      <c r="P322" s="23" t="inlineStr">
        <is>
          <t>Single Carrier (Band n50, 100MHz TDD)</t>
        </is>
      </c>
      <c r="Q322" s="27">
        <f>ROUNDUP(O322/'Methodology &amp; Assumptions'!$B$8, 0)</f>
        <v/>
      </c>
      <c r="R322" s="27" t="n">
        <v>1</v>
      </c>
      <c r="S322" s="26" t="n">
        <v>1.56</v>
      </c>
      <c r="T322" s="26" t="n">
        <v>2.89</v>
      </c>
      <c r="U322" s="11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26" t="n">
        <v>72.06999999999999</v>
      </c>
      <c r="W322" s="26" t="n">
        <v>67.94</v>
      </c>
      <c r="X322" s="26">
        <f>ROUND(('Methodology &amp; Assumptions'!$B$5*V322) + ('Methodology &amp; Assumptions'!$B$6*W322), 2)</f>
        <v/>
      </c>
      <c r="Y322" s="28" t="n">
        <v>7.2</v>
      </c>
      <c r="Z322" s="11" t="inlineStr">
        <is>
          <t>Priority Tier 1 (High Commercial &amp; Social)</t>
        </is>
      </c>
    </row>
    <row r="323">
      <c r="A323" s="23" t="n">
        <v>1</v>
      </c>
      <c r="B323" s="23" t="n">
        <v>319</v>
      </c>
      <c r="C323" s="23" t="n">
        <v>319</v>
      </c>
      <c r="D323" s="23" t="inlineStr">
        <is>
          <t>0401003004</t>
        </is>
      </c>
      <c r="E323" s="11" t="inlineStr">
        <is>
          <t>Region IV-A (CALABARZON)</t>
        </is>
      </c>
      <c r="F323" s="11" t="inlineStr">
        <is>
          <t>Batangas</t>
        </is>
      </c>
      <c r="G323" s="11" t="inlineStr">
        <is>
          <t>Balayan</t>
        </is>
      </c>
      <c r="H323" s="11" t="inlineStr">
        <is>
          <t>Barangay 10</t>
        </is>
      </c>
      <c r="I323" s="24" t="n">
        <v>13.936093</v>
      </c>
      <c r="J323" s="24" t="n">
        <v>120.734277</v>
      </c>
      <c r="K323" s="23" t="inlineStr">
        <is>
          <t>R</t>
        </is>
      </c>
      <c r="L323" s="25" t="n">
        <v>2777</v>
      </c>
      <c r="M323" s="26" t="n">
        <v>3.6</v>
      </c>
      <c r="N323" s="25">
        <f>ROUND(L323/M323, 0)</f>
        <v/>
      </c>
      <c r="O323" s="25">
        <f>ROUND(N323*'Methodology &amp; Assumptions'!$B$7, 0)</f>
        <v/>
      </c>
      <c r="P323" s="23" t="inlineStr">
        <is>
          <t>Single Carrier (Band n50, 100MHz TDD)</t>
        </is>
      </c>
      <c r="Q323" s="27">
        <f>ROUNDUP(O323/'Methodology &amp; Assumptions'!$B$8, 0)</f>
        <v/>
      </c>
      <c r="R323" s="27" t="n">
        <v>1</v>
      </c>
      <c r="S323" s="26" t="n">
        <v>1.06</v>
      </c>
      <c r="T323" s="26" t="n">
        <v>0.39</v>
      </c>
      <c r="U323" s="11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26" t="n">
        <v>83.15000000000001</v>
      </c>
      <c r="W323" s="26" t="n">
        <v>56.82</v>
      </c>
      <c r="X323" s="26">
        <f>ROUND(('Methodology &amp; Assumptions'!$B$5*V323) + ('Methodology &amp; Assumptions'!$B$6*W323), 2)</f>
        <v/>
      </c>
      <c r="Y323" s="28" t="n">
        <v>7.2</v>
      </c>
      <c r="Z323" s="11" t="inlineStr">
        <is>
          <t>Priority Tier 2 (Balanced Opportunity)</t>
        </is>
      </c>
    </row>
    <row r="324">
      <c r="A324" s="23" t="n">
        <v>1</v>
      </c>
      <c r="B324" s="23" t="n">
        <v>320</v>
      </c>
      <c r="C324" s="23" t="n">
        <v>320</v>
      </c>
      <c r="D324" s="23" t="inlineStr">
        <is>
          <t>1381100013</t>
        </is>
      </c>
      <c r="E324" s="11" t="inlineStr">
        <is>
          <t>National Capital Region (NCR)</t>
        </is>
      </c>
      <c r="F324" s="11" t="inlineStr">
        <is>
          <t>Fourth District (Not a Province)</t>
        </is>
      </c>
      <c r="G324" s="11" t="inlineStr">
        <is>
          <t>Pasay City</t>
        </is>
      </c>
      <c r="H324" s="11" t="inlineStr">
        <is>
          <t>Barangay 13</t>
        </is>
      </c>
      <c r="I324" s="24" t="n">
        <v>14.548052</v>
      </c>
      <c r="J324" s="24" t="n">
        <v>120.992126</v>
      </c>
      <c r="K324" s="23" t="inlineStr">
        <is>
          <t>U</t>
        </is>
      </c>
      <c r="L324" s="25" t="n">
        <v>2949</v>
      </c>
      <c r="M324" s="26" t="n">
        <v>2.66</v>
      </c>
      <c r="N324" s="25">
        <f>ROUND(L324/M324, 0)</f>
        <v/>
      </c>
      <c r="O324" s="25">
        <f>ROUND(N324*'Methodology &amp; Assumptions'!$B$7, 0)</f>
        <v/>
      </c>
      <c r="P324" s="23" t="inlineStr">
        <is>
          <t>Single Carrier (Band n50, 100MHz TDD)</t>
        </is>
      </c>
      <c r="Q324" s="27">
        <f>ROUNDUP(O324/'Methodology &amp; Assumptions'!$B$8, 0)</f>
        <v/>
      </c>
      <c r="R324" s="27" t="n">
        <v>1</v>
      </c>
      <c r="S324" s="26" t="n">
        <v>0.46</v>
      </c>
      <c r="T324" s="26" t="n">
        <v>0.26</v>
      </c>
      <c r="U324" s="11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26" t="n">
        <v>69.09</v>
      </c>
      <c r="W324" s="26" t="n">
        <v>70.86</v>
      </c>
      <c r="X324" s="26">
        <f>ROUND(('Methodology &amp; Assumptions'!$B$5*V324) + ('Methodology &amp; Assumptions'!$B$6*W324), 2)</f>
        <v/>
      </c>
      <c r="Y324" s="28" t="n">
        <v>10.9</v>
      </c>
      <c r="Z324" s="11" t="inlineStr">
        <is>
          <t>Priority Tier 2 (Balanced Opportunity)</t>
        </is>
      </c>
    </row>
    <row r="325">
      <c r="A325" s="23" t="n">
        <v>1</v>
      </c>
      <c r="B325" s="23" t="n">
        <v>321</v>
      </c>
      <c r="C325" s="23" t="n">
        <v>321</v>
      </c>
      <c r="D325" s="23" t="inlineStr">
        <is>
          <t>0102818008</t>
        </is>
      </c>
      <c r="E325" s="11" t="inlineStr">
        <is>
          <t>Region I (Ilocos Region)</t>
        </is>
      </c>
      <c r="F325" s="11" t="inlineStr">
        <is>
          <t>Ilocos Norte</t>
        </is>
      </c>
      <c r="G325" s="11" t="inlineStr">
        <is>
          <t>Piddig</t>
        </is>
      </c>
      <c r="H325" s="11" t="inlineStr">
        <is>
          <t>Calambeg</t>
        </is>
      </c>
      <c r="I325" s="24" t="n">
        <v>18.18694</v>
      </c>
      <c r="J325" s="24" t="n">
        <v>120.780968</v>
      </c>
      <c r="K325" s="23" t="inlineStr">
        <is>
          <t>R</t>
        </is>
      </c>
      <c r="L325" s="25" t="n">
        <v>1351</v>
      </c>
      <c r="M325" s="26" t="n">
        <v>3.7</v>
      </c>
      <c r="N325" s="25">
        <f>ROUND(L325/M325, 0)</f>
        <v/>
      </c>
      <c r="O325" s="25">
        <f>ROUND(N325*'Methodology &amp; Assumptions'!$B$7, 0)</f>
        <v/>
      </c>
      <c r="P325" s="23" t="inlineStr">
        <is>
          <t>Single Carrier (Band n50, 100MHz TDD)</t>
        </is>
      </c>
      <c r="Q325" s="27">
        <f>ROUNDUP(O325/'Methodology &amp; Assumptions'!$B$8, 0)</f>
        <v/>
      </c>
      <c r="R325" s="27" t="n">
        <v>1</v>
      </c>
      <c r="S325" s="26" t="n">
        <v>7.39</v>
      </c>
      <c r="T325" s="26" t="n">
        <v>6.84</v>
      </c>
      <c r="U325" s="11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26" t="n">
        <v>52.66</v>
      </c>
      <c r="W325" s="26" t="n">
        <v>87.31</v>
      </c>
      <c r="X325" s="26">
        <f>ROUND(('Methodology &amp; Assumptions'!$B$5*V325) + ('Methodology &amp; Assumptions'!$B$6*W325), 2)</f>
        <v/>
      </c>
      <c r="Y325" s="28" t="n">
        <v>8.300000000000001</v>
      </c>
      <c r="Z325" s="11" t="inlineStr">
        <is>
          <t>Priority Tier 2 (Balanced Opportunity)</t>
        </is>
      </c>
    </row>
    <row r="326">
      <c r="A326" s="23" t="n">
        <v>1</v>
      </c>
      <c r="B326" s="23" t="n">
        <v>322</v>
      </c>
      <c r="C326" s="23" t="n">
        <v>322</v>
      </c>
      <c r="D326" s="23" t="inlineStr">
        <is>
          <t>1380601038</t>
        </is>
      </c>
      <c r="E326" s="11" t="inlineStr">
        <is>
          <t>National Capital Region (NCR)</t>
        </is>
      </c>
      <c r="F326" s="11" t="inlineStr">
        <is>
          <t>First District (Not a Province)</t>
        </is>
      </c>
      <c r="G326" s="11" t="inlineStr">
        <is>
          <t>City of Manila</t>
        </is>
      </c>
      <c r="H326" s="11" t="inlineStr">
        <is>
          <t>Barangay 38</t>
        </is>
      </c>
      <c r="I326" s="24" t="n">
        <v>14.605249</v>
      </c>
      <c r="J326" s="24" t="n">
        <v>120.962024</v>
      </c>
      <c r="K326" s="23" t="inlineStr">
        <is>
          <t>U</t>
        </is>
      </c>
      <c r="L326" s="25" t="n">
        <v>3144</v>
      </c>
      <c r="M326" s="26" t="n">
        <v>4.33</v>
      </c>
      <c r="N326" s="25">
        <f>ROUND(L326/M326, 0)</f>
        <v/>
      </c>
      <c r="O326" s="25">
        <f>ROUND(N326*'Methodology &amp; Assumptions'!$B$7, 0)</f>
        <v/>
      </c>
      <c r="P326" s="23" t="inlineStr">
        <is>
          <t>Single Carrier (Band n50, 100MHz TDD)</t>
        </is>
      </c>
      <c r="Q326" s="27">
        <f>ROUNDUP(O326/'Methodology &amp; Assumptions'!$B$8, 0)</f>
        <v/>
      </c>
      <c r="R326" s="27" t="n">
        <v>1</v>
      </c>
      <c r="S326" s="26" t="n">
        <v>0.84</v>
      </c>
      <c r="T326" s="26" t="n">
        <v>0.84</v>
      </c>
      <c r="U326" s="11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26" t="n">
        <v>64.44</v>
      </c>
      <c r="W326" s="26" t="n">
        <v>75.48999999999999</v>
      </c>
      <c r="X326" s="26">
        <f>ROUND(('Methodology &amp; Assumptions'!$B$5*V326) + ('Methodology &amp; Assumptions'!$B$6*W326), 2)</f>
        <v/>
      </c>
      <c r="Y326" s="28" t="n">
        <v>10.9</v>
      </c>
      <c r="Z326" s="11" t="inlineStr">
        <is>
          <t>Priority Tier 2 (Balanced Opportunity)</t>
        </is>
      </c>
    </row>
    <row r="327">
      <c r="A327" s="23" t="n">
        <v>1</v>
      </c>
      <c r="B327" s="23" t="n">
        <v>323</v>
      </c>
      <c r="C327" s="23" t="n">
        <v>323</v>
      </c>
      <c r="D327" s="23" t="inlineStr">
        <is>
          <t>0403404019</t>
        </is>
      </c>
      <c r="E327" s="11" t="inlineStr">
        <is>
          <t>Region IV-A (CALABARZON)</t>
        </is>
      </c>
      <c r="F327" s="11" t="inlineStr">
        <is>
          <t>Laguna</t>
        </is>
      </c>
      <c r="G327" s="11" t="inlineStr">
        <is>
          <t>City of Cabuyao</t>
        </is>
      </c>
      <c r="H327" s="11" t="inlineStr">
        <is>
          <t>Barangay Tres</t>
        </is>
      </c>
      <c r="I327" s="24" t="n">
        <v>14.274256</v>
      </c>
      <c r="J327" s="24" t="n">
        <v>121.123435</v>
      </c>
      <c r="K327" s="23" t="inlineStr">
        <is>
          <t>U</t>
        </is>
      </c>
      <c r="L327" s="25" t="n">
        <v>4685</v>
      </c>
      <c r="M327" s="26" t="n">
        <v>3.3</v>
      </c>
      <c r="N327" s="25">
        <f>ROUND(L327/M327, 0)</f>
        <v/>
      </c>
      <c r="O327" s="25">
        <f>ROUND(N327*'Methodology &amp; Assumptions'!$B$7, 0)</f>
        <v/>
      </c>
      <c r="P327" s="23" t="inlineStr">
        <is>
          <t>Single Carrier (Band n50, 100MHz TDD)</t>
        </is>
      </c>
      <c r="Q327" s="27">
        <f>ROUNDUP(O327/'Methodology &amp; Assumptions'!$B$8, 0)</f>
        <v/>
      </c>
      <c r="R327" s="27" t="n">
        <v>1</v>
      </c>
      <c r="S327" s="26" t="n">
        <v>2.04</v>
      </c>
      <c r="T327" s="26" t="n">
        <v>0.52</v>
      </c>
      <c r="U327" s="11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26" t="n">
        <v>73.90000000000001</v>
      </c>
      <c r="W327" s="26" t="n">
        <v>66.03</v>
      </c>
      <c r="X327" s="26">
        <f>ROUND(('Methodology &amp; Assumptions'!$B$5*V327) + ('Methodology &amp; Assumptions'!$B$6*W327), 2)</f>
        <v/>
      </c>
      <c r="Y327" s="28" t="n">
        <v>7.2</v>
      </c>
      <c r="Z327" s="11" t="inlineStr">
        <is>
          <t>Priority Tier 2 (Balanced Opportunity)</t>
        </is>
      </c>
    </row>
    <row r="328">
      <c r="A328" s="23" t="n">
        <v>1</v>
      </c>
      <c r="B328" s="23" t="n">
        <v>324</v>
      </c>
      <c r="C328" s="23" t="n">
        <v>324</v>
      </c>
      <c r="D328" s="23" t="inlineStr">
        <is>
          <t>1381300007</t>
        </is>
      </c>
      <c r="E328" s="11" t="inlineStr">
        <is>
          <t>National Capital Region (NCR)</t>
        </is>
      </c>
      <c r="F328" s="11" t="inlineStr">
        <is>
          <t>Second District (Not a Province)</t>
        </is>
      </c>
      <c r="G328" s="11" t="inlineStr">
        <is>
          <t>Quezon City</t>
        </is>
      </c>
      <c r="H328" s="11" t="inlineStr">
        <is>
          <t>Bagumbuhay</t>
        </is>
      </c>
      <c r="I328" s="24" t="n">
        <v>14.62423</v>
      </c>
      <c r="J328" s="24" t="n">
        <v>121.0652</v>
      </c>
      <c r="K328" s="23" t="inlineStr">
        <is>
          <t>U</t>
        </is>
      </c>
      <c r="L328" s="25" t="n">
        <v>6739</v>
      </c>
      <c r="M328" s="26" t="n">
        <v>4.1</v>
      </c>
      <c r="N328" s="25">
        <f>ROUND(L328/M328, 0)</f>
        <v/>
      </c>
      <c r="O328" s="25">
        <f>ROUND(N328*'Methodology &amp; Assumptions'!$B$7, 0)</f>
        <v/>
      </c>
      <c r="P328" s="23" t="inlineStr">
        <is>
          <t>Single Carrier (Band n50, 100MHz TDD)</t>
        </is>
      </c>
      <c r="Q328" s="27">
        <f>ROUNDUP(O328/'Methodology &amp; Assumptions'!$B$8, 0)</f>
        <v/>
      </c>
      <c r="R328" s="27" t="n">
        <v>1</v>
      </c>
      <c r="S328" s="26" t="n">
        <v>0.49</v>
      </c>
      <c r="T328" s="26" t="n">
        <v>0.36</v>
      </c>
      <c r="U328" s="11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26" t="n">
        <v>69.09</v>
      </c>
      <c r="W328" s="26" t="n">
        <v>70.81999999999999</v>
      </c>
      <c r="X328" s="26">
        <f>ROUND(('Methodology &amp; Assumptions'!$B$5*V328) + ('Methodology &amp; Assumptions'!$B$6*W328), 2)</f>
        <v/>
      </c>
      <c r="Y328" s="28" t="n">
        <v>10.9</v>
      </c>
      <c r="Z328" s="11" t="inlineStr">
        <is>
          <t>Priority Tier 2 (Balanced Opportunity)</t>
        </is>
      </c>
    </row>
    <row r="329">
      <c r="A329" s="23" t="n">
        <v>1</v>
      </c>
      <c r="B329" s="23" t="n">
        <v>325</v>
      </c>
      <c r="C329" s="23" t="n">
        <v>325</v>
      </c>
      <c r="D329" s="23" t="inlineStr">
        <is>
          <t>1380500002</t>
        </is>
      </c>
      <c r="E329" s="11" t="inlineStr">
        <is>
          <t>National Capital Region (NCR)</t>
        </is>
      </c>
      <c r="F329" s="11" t="inlineStr">
        <is>
          <t>Second District (Not a Province)</t>
        </is>
      </c>
      <c r="G329" s="11" t="inlineStr">
        <is>
          <t>City of Mandaluyong</t>
        </is>
      </c>
      <c r="H329" s="11" t="inlineStr">
        <is>
          <t>Bagong Silang</t>
        </is>
      </c>
      <c r="I329" s="24" t="n">
        <v>14.591184</v>
      </c>
      <c r="J329" s="24" t="n">
        <v>121.030215</v>
      </c>
      <c r="K329" s="23" t="inlineStr">
        <is>
          <t>U</t>
        </is>
      </c>
      <c r="L329" s="25" t="n">
        <v>4349</v>
      </c>
      <c r="M329" s="26" t="n">
        <v>3.24</v>
      </c>
      <c r="N329" s="25">
        <f>ROUND(L329/M329, 0)</f>
        <v/>
      </c>
      <c r="O329" s="25">
        <f>ROUND(N329*'Methodology &amp; Assumptions'!$B$7, 0)</f>
        <v/>
      </c>
      <c r="P329" s="23" t="inlineStr">
        <is>
          <t>Single Carrier (Band n50, 100MHz TDD)</t>
        </is>
      </c>
      <c r="Q329" s="27">
        <f>ROUNDUP(O329/'Methodology &amp; Assumptions'!$B$8, 0)</f>
        <v/>
      </c>
      <c r="R329" s="27" t="n">
        <v>1</v>
      </c>
      <c r="S329" s="26" t="n">
        <v>0.8100000000000001</v>
      </c>
      <c r="T329" s="26" t="n">
        <v>0.21</v>
      </c>
      <c r="U329" s="11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26" t="n">
        <v>69.09</v>
      </c>
      <c r="W329" s="26" t="n">
        <v>70.8</v>
      </c>
      <c r="X329" s="26">
        <f>ROUND(('Methodology &amp; Assumptions'!$B$5*V329) + ('Methodology &amp; Assumptions'!$B$6*W329), 2)</f>
        <v/>
      </c>
      <c r="Y329" s="28" t="n">
        <v>10.9</v>
      </c>
      <c r="Z329" s="11" t="inlineStr">
        <is>
          <t>Priority Tier 2 (Balanced Opportunity)</t>
        </is>
      </c>
    </row>
    <row r="330">
      <c r="A330" s="23" t="n">
        <v>1</v>
      </c>
      <c r="B330" s="23" t="n">
        <v>326</v>
      </c>
      <c r="C330" s="23" t="n">
        <v>326</v>
      </c>
      <c r="D330" s="23" t="inlineStr">
        <is>
          <t>1380606070</t>
        </is>
      </c>
      <c r="E330" s="11" t="inlineStr">
        <is>
          <t>National Capital Region (NCR)</t>
        </is>
      </c>
      <c r="F330" s="11" t="inlineStr">
        <is>
          <t>First District (Not a Province)</t>
        </is>
      </c>
      <c r="G330" s="11" t="inlineStr">
        <is>
          <t>City of Manila</t>
        </is>
      </c>
      <c r="H330" s="11" t="inlineStr">
        <is>
          <t>Barangay 464</t>
        </is>
      </c>
      <c r="I330" s="24" t="n">
        <v>14.605896</v>
      </c>
      <c r="J330" s="24" t="n">
        <v>120.986019</v>
      </c>
      <c r="K330" s="23" t="inlineStr">
        <is>
          <t>U</t>
        </is>
      </c>
      <c r="L330" s="25" t="n">
        <v>3138</v>
      </c>
      <c r="M330" s="26" t="n">
        <v>3.46</v>
      </c>
      <c r="N330" s="25">
        <f>ROUND(L330/M330, 0)</f>
        <v/>
      </c>
      <c r="O330" s="25">
        <f>ROUND(N330*'Methodology &amp; Assumptions'!$B$7, 0)</f>
        <v/>
      </c>
      <c r="P330" s="23" t="inlineStr">
        <is>
          <t>Single Carrier (Band n50, 100MHz TDD)</t>
        </is>
      </c>
      <c r="Q330" s="27">
        <f>ROUNDUP(O330/'Methodology &amp; Assumptions'!$B$8, 0)</f>
        <v/>
      </c>
      <c r="R330" s="27" t="n">
        <v>1</v>
      </c>
      <c r="S330" s="26" t="n">
        <v>0.64</v>
      </c>
      <c r="T330" s="26" t="n">
        <v>0.07000000000000001</v>
      </c>
      <c r="U330" s="11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26" t="n">
        <v>69.09</v>
      </c>
      <c r="W330" s="26" t="n">
        <v>70.76000000000001</v>
      </c>
      <c r="X330" s="26">
        <f>ROUND(('Methodology &amp; Assumptions'!$B$5*V330) + ('Methodology &amp; Assumptions'!$B$6*W330), 2)</f>
        <v/>
      </c>
      <c r="Y330" s="28" t="n">
        <v>10.9</v>
      </c>
      <c r="Z330" s="11" t="inlineStr">
        <is>
          <t>Priority Tier 2 (Balanced Opportunity)</t>
        </is>
      </c>
    </row>
    <row r="331">
      <c r="A331" s="23" t="n">
        <v>1</v>
      </c>
      <c r="B331" s="23" t="n">
        <v>327</v>
      </c>
      <c r="C331" s="23" t="n">
        <v>327</v>
      </c>
      <c r="D331" s="23" t="inlineStr">
        <is>
          <t>1380606235</t>
        </is>
      </c>
      <c r="E331" s="11" t="inlineStr">
        <is>
          <t>National Capital Region (NCR)</t>
        </is>
      </c>
      <c r="F331" s="11" t="inlineStr">
        <is>
          <t>First District (Not a Province)</t>
        </is>
      </c>
      <c r="G331" s="11" t="inlineStr">
        <is>
          <t>City of Manila</t>
        </is>
      </c>
      <c r="H331" s="11" t="inlineStr">
        <is>
          <t>Barangay 628</t>
        </is>
      </c>
      <c r="I331" s="24" t="n">
        <v>14.598456</v>
      </c>
      <c r="J331" s="24" t="n">
        <v>121.006989</v>
      </c>
      <c r="K331" s="23" t="inlineStr">
        <is>
          <t>U</t>
        </is>
      </c>
      <c r="L331" s="25" t="n">
        <v>16279</v>
      </c>
      <c r="M331" s="26" t="n">
        <v>3.97</v>
      </c>
      <c r="N331" s="25">
        <f>ROUND(L331/M331, 0)</f>
        <v/>
      </c>
      <c r="O331" s="25">
        <f>ROUND(N331*'Methodology &amp; Assumptions'!$B$7, 0)</f>
        <v/>
      </c>
      <c r="P331" s="23" t="inlineStr">
        <is>
          <t>Single Carrier (Band n50, 100MHz TDD)</t>
        </is>
      </c>
      <c r="Q331" s="27">
        <f>ROUNDUP(O331/'Methodology &amp; Assumptions'!$B$8, 0)</f>
        <v/>
      </c>
      <c r="R331" s="27" t="n">
        <v>1</v>
      </c>
      <c r="S331" s="26" t="n">
        <v>0.48</v>
      </c>
      <c r="T331" s="26" t="n">
        <v>0.39</v>
      </c>
      <c r="U331" s="11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26" t="n">
        <v>69.09</v>
      </c>
      <c r="W331" s="26" t="n">
        <v>70.73</v>
      </c>
      <c r="X331" s="26">
        <f>ROUND(('Methodology &amp; Assumptions'!$B$5*V331) + ('Methodology &amp; Assumptions'!$B$6*W331), 2)</f>
        <v/>
      </c>
      <c r="Y331" s="28" t="n">
        <v>10.9</v>
      </c>
      <c r="Z331" s="11" t="inlineStr">
        <is>
          <t>Priority Tier 2 (Balanced Opportunity)</t>
        </is>
      </c>
    </row>
    <row r="332">
      <c r="A332" s="23" t="n">
        <v>1</v>
      </c>
      <c r="B332" s="23" t="n">
        <v>328</v>
      </c>
      <c r="C332" s="23" t="n">
        <v>328</v>
      </c>
      <c r="D332" s="23" t="inlineStr">
        <is>
          <t>0205001009</t>
        </is>
      </c>
      <c r="E332" s="11" t="inlineStr">
        <is>
          <t>Region II (Cagayan Valley)</t>
        </is>
      </c>
      <c r="F332" s="11" t="inlineStr">
        <is>
          <t>Nueva Vizcaya</t>
        </is>
      </c>
      <c r="G332" s="11" t="inlineStr">
        <is>
          <t>Ambaguio</t>
        </is>
      </c>
      <c r="H332" s="11" t="inlineStr">
        <is>
          <t>Tiblac</t>
        </is>
      </c>
      <c r="I332" s="24" t="n">
        <v>16.499777</v>
      </c>
      <c r="J332" s="24" t="n">
        <v>121.062175</v>
      </c>
      <c r="K332" s="23" t="inlineStr">
        <is>
          <t>R</t>
        </is>
      </c>
      <c r="L332" s="25" t="n">
        <v>2624</v>
      </c>
      <c r="M332" s="26" t="n">
        <v>3.8</v>
      </c>
      <c r="N332" s="25">
        <f>ROUND(L332/M332, 0)</f>
        <v/>
      </c>
      <c r="O332" s="25">
        <f>ROUND(N332*'Methodology &amp; Assumptions'!$B$7, 0)</f>
        <v/>
      </c>
      <c r="P332" s="23" t="inlineStr">
        <is>
          <t>Single Carrier (Band n50, 100MHz TDD)</t>
        </is>
      </c>
      <c r="Q332" s="27">
        <f>ROUNDUP(O332/'Methodology &amp; Assumptions'!$B$8, 0)</f>
        <v/>
      </c>
      <c r="R332" s="27" t="n">
        <v>1</v>
      </c>
      <c r="S332" s="26" t="n">
        <v>9.140000000000001</v>
      </c>
      <c r="T332" s="26" t="n">
        <v>6.43</v>
      </c>
      <c r="U332" s="11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26" t="n">
        <v>64.18000000000001</v>
      </c>
      <c r="W332" s="26" t="n">
        <v>75.63</v>
      </c>
      <c r="X332" s="26">
        <f>ROUND(('Methodology &amp; Assumptions'!$B$5*V332) + ('Methodology &amp; Assumptions'!$B$6*W332), 2)</f>
        <v/>
      </c>
      <c r="Y332" s="28" t="n">
        <v>8.300000000000001</v>
      </c>
      <c r="Z332" s="11" t="inlineStr">
        <is>
          <t>Priority Tier 2 (Balanced Opportunity)</t>
        </is>
      </c>
    </row>
    <row r="333">
      <c r="A333" s="23" t="n">
        <v>1</v>
      </c>
      <c r="B333" s="23" t="n">
        <v>329</v>
      </c>
      <c r="C333" s="23" t="n">
        <v>329</v>
      </c>
      <c r="D333" s="23" t="inlineStr">
        <is>
          <t>0402103034</t>
        </is>
      </c>
      <c r="E333" s="11" t="inlineStr">
        <is>
          <t>Region IV-A (CALABARZON)</t>
        </is>
      </c>
      <c r="F333" s="11" t="inlineStr">
        <is>
          <t>Cavite</t>
        </is>
      </c>
      <c r="G333" s="11" t="inlineStr">
        <is>
          <t>City of Bacoor</t>
        </is>
      </c>
      <c r="H333" s="11" t="inlineStr">
        <is>
          <t>Habay II</t>
        </is>
      </c>
      <c r="I333" s="24" t="n">
        <v>14.444862</v>
      </c>
      <c r="J333" s="24" t="n">
        <v>120.948326</v>
      </c>
      <c r="K333" s="23" t="inlineStr">
        <is>
          <t>U</t>
        </is>
      </c>
      <c r="L333" s="25" t="n">
        <v>12515</v>
      </c>
      <c r="M333" s="26" t="n">
        <v>3.4</v>
      </c>
      <c r="N333" s="25">
        <f>ROUND(L333/M333, 0)</f>
        <v/>
      </c>
      <c r="O333" s="25">
        <f>ROUND(N333*'Methodology &amp; Assumptions'!$B$7, 0)</f>
        <v/>
      </c>
      <c r="P333" s="23" t="inlineStr">
        <is>
          <t>Single Carrier (Band n50, 100MHz TDD)</t>
        </is>
      </c>
      <c r="Q333" s="27">
        <f>ROUNDUP(O333/'Methodology &amp; Assumptions'!$B$8, 0)</f>
        <v/>
      </c>
      <c r="R333" s="27" t="n">
        <v>1</v>
      </c>
      <c r="S333" s="26" t="n">
        <v>0.15</v>
      </c>
      <c r="T333" s="26" t="n">
        <v>0.16</v>
      </c>
      <c r="U333" s="11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26" t="n">
        <v>78.26000000000001</v>
      </c>
      <c r="W333" s="26" t="n">
        <v>61.54</v>
      </c>
      <c r="X333" s="26">
        <f>ROUND(('Methodology &amp; Assumptions'!$B$5*V333) + ('Methodology &amp; Assumptions'!$B$6*W333), 2)</f>
        <v/>
      </c>
      <c r="Y333" s="28" t="n">
        <v>7.2</v>
      </c>
      <c r="Z333" s="11" t="inlineStr">
        <is>
          <t>Priority Tier 2 (Balanced Opportunity)</t>
        </is>
      </c>
    </row>
    <row r="334">
      <c r="A334" s="23" t="n">
        <v>1</v>
      </c>
      <c r="B334" s="23" t="n">
        <v>330</v>
      </c>
      <c r="C334" s="23" t="n">
        <v>330</v>
      </c>
      <c r="D334" s="23" t="inlineStr">
        <is>
          <t>1381300110</t>
        </is>
      </c>
      <c r="E334" s="11" t="inlineStr">
        <is>
          <t>National Capital Region (NCR)</t>
        </is>
      </c>
      <c r="F334" s="11" t="inlineStr">
        <is>
          <t>Second District (Not a Province)</t>
        </is>
      </c>
      <c r="G334" s="11" t="inlineStr">
        <is>
          <t>Quezon City</t>
        </is>
      </c>
      <c r="H334" s="11" t="inlineStr">
        <is>
          <t>Santol</t>
        </is>
      </c>
      <c r="I334" s="24" t="n">
        <v>14.61226</v>
      </c>
      <c r="J334" s="24" t="n">
        <v>121.0146</v>
      </c>
      <c r="K334" s="23" t="inlineStr">
        <is>
          <t>U</t>
        </is>
      </c>
      <c r="L334" s="25" t="n">
        <v>6590</v>
      </c>
      <c r="M334" s="26" t="n">
        <v>3.75</v>
      </c>
      <c r="N334" s="25">
        <f>ROUND(L334/M334, 0)</f>
        <v/>
      </c>
      <c r="O334" s="25">
        <f>ROUND(N334*'Methodology &amp; Assumptions'!$B$7, 0)</f>
        <v/>
      </c>
      <c r="P334" s="23" t="inlineStr">
        <is>
          <t>Single Carrier (Band n50, 100MHz TDD)</t>
        </is>
      </c>
      <c r="Q334" s="27">
        <f>ROUNDUP(O334/'Methodology &amp; Assumptions'!$B$8, 0)</f>
        <v/>
      </c>
      <c r="R334" s="27" t="n">
        <v>1</v>
      </c>
      <c r="S334" s="26" t="n">
        <v>0.58</v>
      </c>
      <c r="T334" s="26" t="n">
        <v>0.25</v>
      </c>
      <c r="U334" s="11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26" t="n">
        <v>69.09</v>
      </c>
      <c r="W334" s="26" t="n">
        <v>70.70999999999999</v>
      </c>
      <c r="X334" s="26">
        <f>ROUND(('Methodology &amp; Assumptions'!$B$5*V334) + ('Methodology &amp; Assumptions'!$B$6*W334), 2)</f>
        <v/>
      </c>
      <c r="Y334" s="28" t="n">
        <v>10.9</v>
      </c>
      <c r="Z334" s="11" t="inlineStr">
        <is>
          <t>Priority Tier 2 (Balanced Opportunity)</t>
        </is>
      </c>
    </row>
    <row r="335">
      <c r="A335" s="23" t="n">
        <v>1</v>
      </c>
      <c r="B335" s="23" t="n">
        <v>331</v>
      </c>
      <c r="C335" s="23" t="n">
        <v>331</v>
      </c>
      <c r="D335" s="23" t="inlineStr">
        <is>
          <t>0403425013</t>
        </is>
      </c>
      <c r="E335" s="11" t="inlineStr">
        <is>
          <t>Region IV-A (CALABARZON)</t>
        </is>
      </c>
      <c r="F335" s="11" t="inlineStr">
        <is>
          <t>Laguna</t>
        </is>
      </c>
      <c r="G335" s="11" t="inlineStr">
        <is>
          <t>City of San Pedro</t>
        </is>
      </c>
      <c r="H335" s="11" t="inlineStr">
        <is>
          <t>Riverside</t>
        </is>
      </c>
      <c r="I335" s="24" t="n">
        <v>14.332321</v>
      </c>
      <c r="J335" s="24" t="n">
        <v>121.028284</v>
      </c>
      <c r="K335" s="23" t="inlineStr">
        <is>
          <t>R</t>
        </is>
      </c>
      <c r="L335" s="25" t="n">
        <v>3319</v>
      </c>
      <c r="M335" s="26" t="n">
        <v>3.3</v>
      </c>
      <c r="N335" s="25">
        <f>ROUND(L335/M335, 0)</f>
        <v/>
      </c>
      <c r="O335" s="25">
        <f>ROUND(N335*'Methodology &amp; Assumptions'!$B$7, 0)</f>
        <v/>
      </c>
      <c r="P335" s="23" t="inlineStr">
        <is>
          <t>Single Carrier (Band n50, 100MHz TDD)</t>
        </is>
      </c>
      <c r="Q335" s="27">
        <f>ROUNDUP(O335/'Methodology &amp; Assumptions'!$B$8, 0)</f>
        <v/>
      </c>
      <c r="R335" s="27" t="n">
        <v>1</v>
      </c>
      <c r="S335" s="26" t="n">
        <v>1.87</v>
      </c>
      <c r="T335" s="26" t="n">
        <v>1.89</v>
      </c>
      <c r="U335" s="11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26" t="n">
        <v>81.68000000000001</v>
      </c>
      <c r="W335" s="26" t="n">
        <v>58.09</v>
      </c>
      <c r="X335" s="26">
        <f>ROUND(('Methodology &amp; Assumptions'!$B$5*V335) + ('Methodology &amp; Assumptions'!$B$6*W335), 2)</f>
        <v/>
      </c>
      <c r="Y335" s="28" t="n">
        <v>7.2</v>
      </c>
      <c r="Z335" s="11" t="inlineStr">
        <is>
          <t>Priority Tier 2 (Balanced Opportunity)</t>
        </is>
      </c>
    </row>
    <row r="336">
      <c r="A336" s="23" t="n">
        <v>1</v>
      </c>
      <c r="B336" s="23" t="n">
        <v>332</v>
      </c>
      <c r="C336" s="23" t="n">
        <v>332</v>
      </c>
      <c r="D336" s="23" t="inlineStr">
        <is>
          <t>1380612012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844</t>
        </is>
      </c>
      <c r="I336" s="24" t="n">
        <v>14.588115</v>
      </c>
      <c r="J336" s="24" t="n">
        <v>121.000686</v>
      </c>
      <c r="K336" s="23" t="inlineStr">
        <is>
          <t>U</t>
        </is>
      </c>
      <c r="L336" s="25" t="n">
        <v>4285</v>
      </c>
      <c r="M336" s="26" t="n">
        <v>4.67</v>
      </c>
      <c r="N336" s="25">
        <f>ROUND(L336/M336, 0)</f>
        <v/>
      </c>
      <c r="O336" s="25">
        <f>ROUND(N336*'Methodology &amp; Assumptions'!$B$7, 0)</f>
        <v/>
      </c>
      <c r="P336" s="23" t="inlineStr">
        <is>
          <t>Single Carrier (Band n50, 100MHz TDD)</t>
        </is>
      </c>
      <c r="Q336" s="27">
        <f>ROUNDUP(O336/'Methodology &amp; Assumptions'!$B$8, 0)</f>
        <v/>
      </c>
      <c r="R336" s="27" t="n">
        <v>1</v>
      </c>
      <c r="S336" s="26" t="n">
        <v>0.47</v>
      </c>
      <c r="T336" s="26" t="n">
        <v>0.17</v>
      </c>
      <c r="U336" s="11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26" t="n">
        <v>69.09</v>
      </c>
      <c r="W336" s="26" t="n">
        <v>70.67</v>
      </c>
      <c r="X336" s="26">
        <f>ROUND(('Methodology &amp; Assumptions'!$B$5*V336) + ('Methodology &amp; Assumptions'!$B$6*W336), 2)</f>
        <v/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1</v>
      </c>
      <c r="B337" s="23" t="n">
        <v>333</v>
      </c>
      <c r="C337" s="23" t="n">
        <v>333</v>
      </c>
      <c r="D337" s="23" t="inlineStr">
        <is>
          <t>1380603013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393</t>
        </is>
      </c>
      <c r="I337" s="24" t="n">
        <v>14.598616</v>
      </c>
      <c r="J337" s="24" t="n">
        <v>120.985699</v>
      </c>
      <c r="K337" s="23" t="inlineStr">
        <is>
          <t>U</t>
        </is>
      </c>
      <c r="L337" s="25" t="n">
        <v>4130</v>
      </c>
      <c r="M337" s="26" t="n">
        <v>3.77</v>
      </c>
      <c r="N337" s="25">
        <f>ROUND(L337/M337, 0)</f>
        <v/>
      </c>
      <c r="O337" s="25">
        <f>ROUND(N337*'Methodology &amp; Assumptions'!$B$7, 0)</f>
        <v/>
      </c>
      <c r="P337" s="23" t="inlineStr">
        <is>
          <t>Single Carrier (Band n50, 100MHz TDD)</t>
        </is>
      </c>
      <c r="Q337" s="27">
        <f>ROUNDUP(O337/'Methodology &amp; Assumptions'!$B$8, 0)</f>
        <v/>
      </c>
      <c r="R337" s="27" t="n">
        <v>1</v>
      </c>
      <c r="S337" s="26" t="n">
        <v>0.77</v>
      </c>
      <c r="T337" s="26" t="n">
        <v>0.37</v>
      </c>
      <c r="U337" s="11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26" t="n">
        <v>69.09</v>
      </c>
      <c r="W337" s="26" t="n">
        <v>70.64</v>
      </c>
      <c r="X337" s="26">
        <f>ROUND(('Methodology &amp; Assumptions'!$B$5*V337) + ('Methodology &amp; Assumptions'!$B$6*W337), 2)</f>
        <v/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1</v>
      </c>
      <c r="B338" s="23" t="n">
        <v>334</v>
      </c>
      <c r="C338" s="23" t="n">
        <v>334</v>
      </c>
      <c r="D338" s="23" t="inlineStr">
        <is>
          <t>1381100005</t>
        </is>
      </c>
      <c r="E338" s="11" t="inlineStr">
        <is>
          <t>National Capital Region (NCR)</t>
        </is>
      </c>
      <c r="F338" s="11" t="inlineStr">
        <is>
          <t>Fourth District (Not a Province)</t>
        </is>
      </c>
      <c r="G338" s="11" t="inlineStr">
        <is>
          <t>Pasay City</t>
        </is>
      </c>
      <c r="H338" s="11" t="inlineStr">
        <is>
          <t>Barangay 5</t>
        </is>
      </c>
      <c r="I338" s="24" t="n">
        <v>14.555353</v>
      </c>
      <c r="J338" s="24" t="n">
        <v>120.990095</v>
      </c>
      <c r="K338" s="23" t="inlineStr">
        <is>
          <t>U</t>
        </is>
      </c>
      <c r="L338" s="25" t="n">
        <v>2837</v>
      </c>
      <c r="M338" s="26" t="n">
        <v>3.15</v>
      </c>
      <c r="N338" s="25">
        <f>ROUND(L338/M338, 0)</f>
        <v/>
      </c>
      <c r="O338" s="25">
        <f>ROUND(N338*'Methodology &amp; Assumptions'!$B$7, 0)</f>
        <v/>
      </c>
      <c r="P338" s="23" t="inlineStr">
        <is>
          <t>Single Carrier (Band n50, 100MHz TDD)</t>
        </is>
      </c>
      <c r="Q338" s="27">
        <f>ROUNDUP(O338/'Methodology &amp; Assumptions'!$B$8, 0)</f>
        <v/>
      </c>
      <c r="R338" s="27" t="n">
        <v>1</v>
      </c>
      <c r="S338" s="26" t="n">
        <v>0.29</v>
      </c>
      <c r="T338" s="26" t="n">
        <v>0.3</v>
      </c>
      <c r="U338" s="11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26" t="n">
        <v>69.09</v>
      </c>
      <c r="W338" s="26" t="n">
        <v>70.63</v>
      </c>
      <c r="X338" s="26">
        <f>ROUND(('Methodology &amp; Assumptions'!$B$5*V338) + ('Methodology &amp; Assumptions'!$B$6*W338), 2)</f>
        <v/>
      </c>
      <c r="Y338" s="28" t="n">
        <v>10.9</v>
      </c>
      <c r="Z338" s="11" t="inlineStr">
        <is>
          <t>Priority Tier 2 (Balanced Opportunity)</t>
        </is>
      </c>
    </row>
    <row r="339">
      <c r="A339" s="23" t="n">
        <v>1</v>
      </c>
      <c r="B339" s="23" t="n">
        <v>335</v>
      </c>
      <c r="C339" s="23" t="n">
        <v>335</v>
      </c>
      <c r="D339" s="23" t="inlineStr">
        <is>
          <t>1108204033</t>
        </is>
      </c>
      <c r="E339" s="11" t="inlineStr">
        <is>
          <t>Region XI (Davao Region)</t>
        </is>
      </c>
      <c r="F339" s="11" t="inlineStr">
        <is>
          <t>Davao de Oro</t>
        </is>
      </c>
      <c r="G339" s="11" t="inlineStr">
        <is>
          <t>Maco</t>
        </is>
      </c>
      <c r="H339" s="11" t="inlineStr">
        <is>
          <t>New Leyte</t>
        </is>
      </c>
      <c r="I339" s="24" t="n">
        <v>7.418384</v>
      </c>
      <c r="J339" s="24" t="n">
        <v>126.073032</v>
      </c>
      <c r="K339" s="23" t="inlineStr">
        <is>
          <t>R</t>
        </is>
      </c>
      <c r="L339" s="25" t="n">
        <v>2939</v>
      </c>
      <c r="M339" s="26" t="n">
        <v>3.7</v>
      </c>
      <c r="N339" s="25">
        <f>ROUND(L339/M339, 0)</f>
        <v/>
      </c>
      <c r="O339" s="25">
        <f>ROUND(N339*'Methodology &amp; Assumptions'!$B$7, 0)</f>
        <v/>
      </c>
      <c r="P339" s="23" t="inlineStr">
        <is>
          <t>Single Carrier (Band n50, 100MHz TDD)</t>
        </is>
      </c>
      <c r="Q339" s="27">
        <f>ROUNDUP(O339/'Methodology &amp; Assumptions'!$B$8, 0)</f>
        <v/>
      </c>
      <c r="R339" s="27" t="n">
        <v>1</v>
      </c>
      <c r="S339" s="26" t="n">
        <v>24.89</v>
      </c>
      <c r="T339" s="26" t="n">
        <v>19.57</v>
      </c>
      <c r="U339" s="11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26" t="n">
        <v>60.02</v>
      </c>
      <c r="W339" s="26" t="n">
        <v>79.70999999999999</v>
      </c>
      <c r="X339" s="26">
        <f>ROUND(('Methodology &amp; Assumptions'!$B$5*V339) + ('Methodology &amp; Assumptions'!$B$6*W339), 2)</f>
        <v/>
      </c>
      <c r="Y339" s="28" t="n">
        <v>17.4</v>
      </c>
      <c r="Z339" s="11" t="inlineStr">
        <is>
          <t>Priority Tier 2 (Balanced Opportunity)</t>
        </is>
      </c>
    </row>
    <row r="340">
      <c r="A340" s="23" t="n">
        <v>1</v>
      </c>
      <c r="B340" s="23" t="n">
        <v>336</v>
      </c>
      <c r="C340" s="23" t="n">
        <v>336</v>
      </c>
      <c r="D340" s="23" t="inlineStr">
        <is>
          <t>1380610034</t>
        </is>
      </c>
      <c r="E340" s="11" t="inlineStr">
        <is>
          <t>National Capital Region (NCR)</t>
        </is>
      </c>
      <c r="F340" s="11" t="inlineStr">
        <is>
          <t>First District (Not a Province)</t>
        </is>
      </c>
      <c r="G340" s="11" t="inlineStr">
        <is>
          <t>City of Manila</t>
        </is>
      </c>
      <c r="H340" s="11" t="inlineStr">
        <is>
          <t>Barangay 719</t>
        </is>
      </c>
      <c r="I340" s="24" t="n">
        <v>14.561316</v>
      </c>
      <c r="J340" s="24" t="n">
        <v>120.988735</v>
      </c>
      <c r="K340" s="23" t="inlineStr">
        <is>
          <t>U</t>
        </is>
      </c>
      <c r="L340" s="25" t="n">
        <v>8846</v>
      </c>
      <c r="M340" s="26" t="n">
        <v>3.5</v>
      </c>
      <c r="N340" s="25">
        <f>ROUND(L340/M340, 0)</f>
        <v/>
      </c>
      <c r="O340" s="25">
        <f>ROUND(N340*'Methodology &amp; Assumptions'!$B$7, 0)</f>
        <v/>
      </c>
      <c r="P340" s="23" t="inlineStr">
        <is>
          <t>Single Carrier (Band n50, 100MHz TDD)</t>
        </is>
      </c>
      <c r="Q340" s="27">
        <f>ROUNDUP(O340/'Methodology &amp; Assumptions'!$B$8, 0)</f>
        <v/>
      </c>
      <c r="R340" s="27" t="n">
        <v>1</v>
      </c>
      <c r="S340" s="26" t="n">
        <v>0.95</v>
      </c>
      <c r="T340" s="26" t="n">
        <v>0.71</v>
      </c>
      <c r="U340" s="11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26" t="n">
        <v>68.68000000000001</v>
      </c>
      <c r="W340" s="26" t="n">
        <v>71.01000000000001</v>
      </c>
      <c r="X340" s="26">
        <f>ROUND(('Methodology &amp; Assumptions'!$B$5*V340) + ('Methodology &amp; Assumptions'!$B$6*W340), 2)</f>
        <v/>
      </c>
      <c r="Y340" s="28" t="n">
        <v>10.9</v>
      </c>
      <c r="Z340" s="11" t="inlineStr">
        <is>
          <t>Priority Tier 2 (Balanced Opportunity)</t>
        </is>
      </c>
    </row>
    <row r="341">
      <c r="A341" s="23" t="n">
        <v>1</v>
      </c>
      <c r="B341" s="23" t="n">
        <v>337</v>
      </c>
      <c r="C341" s="23" t="n">
        <v>337</v>
      </c>
      <c r="D341" s="23" t="inlineStr">
        <is>
          <t>1380300001</t>
        </is>
      </c>
      <c r="E341" s="11" t="inlineStr">
        <is>
          <t>National Capital Region (NCR)</t>
        </is>
      </c>
      <c r="F341" s="11" t="inlineStr">
        <is>
          <t>Fourth District (Not a Province)</t>
        </is>
      </c>
      <c r="G341" s="11" t="inlineStr">
        <is>
          <t>City of Makati</t>
        </is>
      </c>
      <c r="H341" s="11" t="inlineStr">
        <is>
          <t>Bangkal</t>
        </is>
      </c>
      <c r="I341" s="24" t="n">
        <v>14.544002</v>
      </c>
      <c r="J341" s="24" t="n">
        <v>121.012122</v>
      </c>
      <c r="K341" s="23" t="inlineStr">
        <is>
          <t>U</t>
        </is>
      </c>
      <c r="L341" s="25" t="n">
        <v>18013</v>
      </c>
      <c r="M341" s="26" t="n">
        <v>3.04</v>
      </c>
      <c r="N341" s="25">
        <f>ROUND(L341/M341, 0)</f>
        <v/>
      </c>
      <c r="O341" s="25">
        <f>ROUND(N341*'Methodology &amp; Assumptions'!$B$7, 0)</f>
        <v/>
      </c>
      <c r="P341" s="23" t="inlineStr">
        <is>
          <t>Single Carrier (Band n50, 100MHz TDD)</t>
        </is>
      </c>
      <c r="Q341" s="27">
        <f>ROUNDUP(O341/'Methodology &amp; Assumptions'!$B$8, 0)</f>
        <v/>
      </c>
      <c r="R341" s="27" t="n">
        <v>1</v>
      </c>
      <c r="S341" s="26" t="n">
        <v>0.64</v>
      </c>
      <c r="T341" s="26" t="n">
        <v>0.28</v>
      </c>
      <c r="U341" s="11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26" t="n">
        <v>68.23999999999999</v>
      </c>
      <c r="W341" s="26" t="n">
        <v>71.45999999999999</v>
      </c>
      <c r="X341" s="26">
        <f>ROUND(('Methodology &amp; Assumptions'!$B$5*V341) + ('Methodology &amp; Assumptions'!$B$6*W341), 2)</f>
        <v/>
      </c>
      <c r="Y341" s="28" t="n">
        <v>10.9</v>
      </c>
      <c r="Z341" s="11" t="inlineStr">
        <is>
          <t>Priority Tier 2 (Balanced Opportunity)</t>
        </is>
      </c>
    </row>
    <row r="342">
      <c r="A342" s="23" t="n">
        <v>1</v>
      </c>
      <c r="B342" s="23" t="n">
        <v>338</v>
      </c>
      <c r="C342" s="23" t="n">
        <v>338</v>
      </c>
      <c r="D342" s="23" t="inlineStr">
        <is>
          <t>1380606035</t>
        </is>
      </c>
      <c r="E342" s="11" t="inlineStr">
        <is>
          <t>National Capital Region (NCR)</t>
        </is>
      </c>
      <c r="F342" s="11" t="inlineStr">
        <is>
          <t>First District (Not a Province)</t>
        </is>
      </c>
      <c r="G342" s="11" t="inlineStr">
        <is>
          <t>City of Manila</t>
        </is>
      </c>
      <c r="H342" s="11" t="inlineStr">
        <is>
          <t>Barangay 429</t>
        </is>
      </c>
      <c r="I342" s="24" t="n">
        <v>14.607343</v>
      </c>
      <c r="J342" s="24" t="n">
        <v>120.995765</v>
      </c>
      <c r="K342" s="23" t="inlineStr">
        <is>
          <t>U</t>
        </is>
      </c>
      <c r="L342" s="25" t="n">
        <v>3113</v>
      </c>
      <c r="M342" s="26" t="n">
        <v>3.44</v>
      </c>
      <c r="N342" s="25">
        <f>ROUND(L342/M342, 0)</f>
        <v/>
      </c>
      <c r="O342" s="25">
        <f>ROUND(N342*'Methodology &amp; Assumptions'!$B$7, 0)</f>
        <v/>
      </c>
      <c r="P342" s="23" t="inlineStr">
        <is>
          <t>Single Carrier (Band n50, 100MHz TDD)</t>
        </is>
      </c>
      <c r="Q342" s="27">
        <f>ROUNDUP(O342/'Methodology &amp; Assumptions'!$B$8, 0)</f>
        <v/>
      </c>
      <c r="R342" s="27" t="n">
        <v>1</v>
      </c>
      <c r="S342" s="26" t="n">
        <v>0.68</v>
      </c>
      <c r="T342" s="26" t="n">
        <v>0.31</v>
      </c>
      <c r="U342" s="11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26" t="n">
        <v>69.09</v>
      </c>
      <c r="W342" s="26" t="n">
        <v>70.58</v>
      </c>
      <c r="X342" s="26">
        <f>ROUND(('Methodology &amp; Assumptions'!$B$5*V342) + ('Methodology &amp; Assumptions'!$B$6*W342), 2)</f>
        <v/>
      </c>
      <c r="Y342" s="28" t="n">
        <v>10.9</v>
      </c>
      <c r="Z342" s="11" t="inlineStr">
        <is>
          <t>Priority Tier 2 (Balanced Opportunity)</t>
        </is>
      </c>
    </row>
    <row r="343">
      <c r="A343" s="23" t="n">
        <v>1</v>
      </c>
      <c r="B343" s="23" t="n">
        <v>339</v>
      </c>
      <c r="C343" s="23" t="n">
        <v>339</v>
      </c>
      <c r="D343" s="23" t="inlineStr">
        <is>
          <t>1380603004</t>
        </is>
      </c>
      <c r="E343" s="11" t="inlineStr">
        <is>
          <t>National Capital Region (NCR)</t>
        </is>
      </c>
      <c r="F343" s="11" t="inlineStr">
        <is>
          <t>First District (Not a Province)</t>
        </is>
      </c>
      <c r="G343" s="11" t="inlineStr">
        <is>
          <t>City of Manila</t>
        </is>
      </c>
      <c r="H343" s="11" t="inlineStr">
        <is>
          <t>Barangay 384</t>
        </is>
      </c>
      <c r="I343" s="24" t="n">
        <v>14.595945</v>
      </c>
      <c r="J343" s="24" t="n">
        <v>120.984581</v>
      </c>
      <c r="K343" s="23" t="inlineStr">
        <is>
          <t>U</t>
        </is>
      </c>
      <c r="L343" s="25" t="n">
        <v>3830</v>
      </c>
      <c r="M343" s="26" t="n">
        <v>3.36</v>
      </c>
      <c r="N343" s="25">
        <f>ROUND(L343/M343, 0)</f>
        <v/>
      </c>
      <c r="O343" s="25">
        <f>ROUND(N343*'Methodology &amp; Assumptions'!$B$7, 0)</f>
        <v/>
      </c>
      <c r="P343" s="23" t="inlineStr">
        <is>
          <t>Single Carrier (Band n50, 100MHz TDD)</t>
        </is>
      </c>
      <c r="Q343" s="27">
        <f>ROUNDUP(O343/'Methodology &amp; Assumptions'!$B$8, 0)</f>
        <v/>
      </c>
      <c r="R343" s="27" t="n">
        <v>1</v>
      </c>
      <c r="S343" s="26" t="n">
        <v>0.6</v>
      </c>
      <c r="T343" s="26" t="n">
        <v>0.13</v>
      </c>
      <c r="U343" s="11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26" t="n">
        <v>69.09</v>
      </c>
      <c r="W343" s="26" t="n">
        <v>70.55</v>
      </c>
      <c r="X343" s="26">
        <f>ROUND(('Methodology &amp; Assumptions'!$B$5*V343) + ('Methodology &amp; Assumptions'!$B$6*W343), 2)</f>
        <v/>
      </c>
      <c r="Y343" s="28" t="n">
        <v>10.9</v>
      </c>
      <c r="Z343" s="11" t="inlineStr">
        <is>
          <t>Priority Tier 2 (Balanced Opportunity)</t>
        </is>
      </c>
    </row>
    <row r="344">
      <c r="A344" s="23" t="n">
        <v>1</v>
      </c>
      <c r="B344" s="23" t="n">
        <v>340</v>
      </c>
      <c r="C344" s="23" t="n">
        <v>340</v>
      </c>
      <c r="D344" s="23" t="inlineStr">
        <is>
          <t>1380500012</t>
        </is>
      </c>
      <c r="E344" s="11" t="inlineStr">
        <is>
          <t>National Capital Region (NCR)</t>
        </is>
      </c>
      <c r="F344" s="11" t="inlineStr">
        <is>
          <t>Second District (Not a Province)</t>
        </is>
      </c>
      <c r="G344" s="11" t="inlineStr">
        <is>
          <t>City of Mandaluyong</t>
        </is>
      </c>
      <c r="H344" s="11" t="inlineStr">
        <is>
          <t>Harapin Ang Bukas</t>
        </is>
      </c>
      <c r="I344" s="24" t="n">
        <v>14.59213</v>
      </c>
      <c r="J344" s="24" t="n">
        <v>121.0262</v>
      </c>
      <c r="K344" s="23" t="inlineStr">
        <is>
          <t>U</t>
        </is>
      </c>
      <c r="L344" s="25" t="n">
        <v>4021</v>
      </c>
      <c r="M344" s="26" t="n">
        <v>3.8</v>
      </c>
      <c r="N344" s="25">
        <f>ROUND(L344/M344, 0)</f>
        <v/>
      </c>
      <c r="O344" s="25">
        <f>ROUND(N344*'Methodology &amp; Assumptions'!$B$7, 0)</f>
        <v/>
      </c>
      <c r="P344" s="23" t="inlineStr">
        <is>
          <t>Single Carrier (Band n50, 100MHz TDD)</t>
        </is>
      </c>
      <c r="Q344" s="27">
        <f>ROUNDUP(O344/'Methodology &amp; Assumptions'!$B$8, 0)</f>
        <v/>
      </c>
      <c r="R344" s="27" t="n">
        <v>1</v>
      </c>
      <c r="S344" s="26" t="n">
        <v>0.97</v>
      </c>
      <c r="T344" s="26" t="n">
        <v>0.19</v>
      </c>
      <c r="U344" s="11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26" t="n">
        <v>68.61</v>
      </c>
      <c r="W344" s="26" t="n">
        <v>71.03</v>
      </c>
      <c r="X344" s="26">
        <f>ROUND(('Methodology &amp; Assumptions'!$B$5*V344) + ('Methodology &amp; Assumptions'!$B$6*W344), 2)</f>
        <v/>
      </c>
      <c r="Y344" s="28" t="n">
        <v>10.9</v>
      </c>
      <c r="Z344" s="11" t="inlineStr">
        <is>
          <t>Priority Tier 2 (Balanced Opportunity)</t>
        </is>
      </c>
    </row>
    <row r="345">
      <c r="A345" s="23" t="n">
        <v>1</v>
      </c>
      <c r="B345" s="23" t="n">
        <v>341</v>
      </c>
      <c r="C345" s="23" t="n">
        <v>341</v>
      </c>
      <c r="D345" s="23" t="inlineStr">
        <is>
          <t>1380610007</t>
        </is>
      </c>
      <c r="E345" s="11" t="inlineStr">
        <is>
          <t>National Capital Region (NCR)</t>
        </is>
      </c>
      <c r="F345" s="11" t="inlineStr">
        <is>
          <t>First District (Not a Province)</t>
        </is>
      </c>
      <c r="G345" s="11" t="inlineStr">
        <is>
          <t>City of Manila</t>
        </is>
      </c>
      <c r="H345" s="11" t="inlineStr">
        <is>
          <t>Barangay 692</t>
        </is>
      </c>
      <c r="I345" s="24" t="n">
        <v>14.572025</v>
      </c>
      <c r="J345" s="24" t="n">
        <v>120.991629</v>
      </c>
      <c r="K345" s="23" t="inlineStr">
        <is>
          <t>U</t>
        </is>
      </c>
      <c r="L345" s="25" t="n">
        <v>2508</v>
      </c>
      <c r="M345" s="26" t="n">
        <v>2</v>
      </c>
      <c r="N345" s="25">
        <f>ROUND(L345/M345, 0)</f>
        <v/>
      </c>
      <c r="O345" s="25">
        <f>ROUND(N345*'Methodology &amp; Assumptions'!$B$7, 0)</f>
        <v/>
      </c>
      <c r="P345" s="23" t="inlineStr">
        <is>
          <t>Single Carrier (Band n50, 100MHz TDD)</t>
        </is>
      </c>
      <c r="Q345" s="27">
        <f>ROUNDUP(O345/'Methodology &amp; Assumptions'!$B$8, 0)</f>
        <v/>
      </c>
      <c r="R345" s="27" t="n">
        <v>1</v>
      </c>
      <c r="S345" s="26" t="n">
        <v>0.28</v>
      </c>
      <c r="T345" s="26" t="n">
        <v>0.1</v>
      </c>
      <c r="U345" s="11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26" t="n">
        <v>69.09</v>
      </c>
      <c r="W345" s="26" t="n">
        <v>70.53</v>
      </c>
      <c r="X345" s="26">
        <f>ROUND(('Methodology &amp; Assumptions'!$B$5*V345) + ('Methodology &amp; Assumptions'!$B$6*W345), 2)</f>
        <v/>
      </c>
      <c r="Y345" s="28" t="n">
        <v>10.9</v>
      </c>
      <c r="Z345" s="11" t="inlineStr">
        <is>
          <t>Priority Tier 2 (Balanced Opportunity)</t>
        </is>
      </c>
    </row>
    <row r="346">
      <c r="A346" s="23" t="n">
        <v>1</v>
      </c>
      <c r="B346" s="23" t="n">
        <v>342</v>
      </c>
      <c r="C346" s="23" t="n">
        <v>342</v>
      </c>
      <c r="D346" s="23" t="inlineStr">
        <is>
          <t>1380607011</t>
        </is>
      </c>
      <c r="E346" s="11" t="inlineStr">
        <is>
          <t>National Capital Region (NCR)</t>
        </is>
      </c>
      <c r="F346" s="11" t="inlineStr">
        <is>
          <t>First District (Not a Province)</t>
        </is>
      </c>
      <c r="G346" s="11" t="inlineStr">
        <is>
          <t>City of Manila</t>
        </is>
      </c>
      <c r="H346" s="11" t="inlineStr">
        <is>
          <t>Barangay 647</t>
        </is>
      </c>
      <c r="I346" s="24" t="n">
        <v>14.594076</v>
      </c>
      <c r="J346" s="24" t="n">
        <v>120.985079</v>
      </c>
      <c r="K346" s="23" t="inlineStr">
        <is>
          <t>U</t>
        </is>
      </c>
      <c r="L346" s="25" t="n">
        <v>3019</v>
      </c>
      <c r="M346" s="26" t="n">
        <v>2.97</v>
      </c>
      <c r="N346" s="25">
        <f>ROUND(L346/M346, 0)</f>
        <v/>
      </c>
      <c r="O346" s="25">
        <f>ROUND(N346*'Methodology &amp; Assumptions'!$B$7, 0)</f>
        <v/>
      </c>
      <c r="P346" s="23" t="inlineStr">
        <is>
          <t>Single Carrier (Band n50, 100MHz TDD)</t>
        </is>
      </c>
      <c r="Q346" s="27">
        <f>ROUNDUP(O346/'Methodology &amp; Assumptions'!$B$8, 0)</f>
        <v/>
      </c>
      <c r="R346" s="27" t="n">
        <v>1</v>
      </c>
      <c r="S346" s="26" t="n">
        <v>0.4</v>
      </c>
      <c r="T346" s="26" t="n">
        <v>0.28</v>
      </c>
      <c r="U346" s="11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26" t="n">
        <v>69.09</v>
      </c>
      <c r="W346" s="26" t="n">
        <v>70.53</v>
      </c>
      <c r="X346" s="26">
        <f>ROUND(('Methodology &amp; Assumptions'!$B$5*V346) + ('Methodology &amp; Assumptions'!$B$6*W346), 2)</f>
        <v/>
      </c>
      <c r="Y346" s="28" t="n">
        <v>10.9</v>
      </c>
      <c r="Z346" s="11" t="inlineStr">
        <is>
          <t>Priority Tier 2 (Balanced Opportunity)</t>
        </is>
      </c>
    </row>
    <row r="347">
      <c r="A347" s="23" t="n">
        <v>1</v>
      </c>
      <c r="B347" s="23" t="n">
        <v>343</v>
      </c>
      <c r="C347" s="23" t="n">
        <v>343</v>
      </c>
      <c r="D347" s="23" t="inlineStr">
        <is>
          <t>0403428023</t>
        </is>
      </c>
      <c r="E347" s="11" t="inlineStr">
        <is>
          <t>Region IV-A (CALABARZON)</t>
        </is>
      </c>
      <c r="F347" s="11" t="inlineStr">
        <is>
          <t>Laguna</t>
        </is>
      </c>
      <c r="G347" s="11" t="inlineStr">
        <is>
          <t>City of Santa Rosa</t>
        </is>
      </c>
      <c r="H347" s="11" t="inlineStr">
        <is>
          <t>Tagapo</t>
        </is>
      </c>
      <c r="I347" s="24" t="n">
        <v>14.318874</v>
      </c>
      <c r="J347" s="24" t="n">
        <v>121.102848</v>
      </c>
      <c r="K347" s="23" t="inlineStr">
        <is>
          <t>U</t>
        </is>
      </c>
      <c r="L347" s="25" t="n">
        <v>46153</v>
      </c>
      <c r="M347" s="26" t="n">
        <v>3.3</v>
      </c>
      <c r="N347" s="25">
        <f>ROUND(L347/M347, 0)</f>
        <v/>
      </c>
      <c r="O347" s="25">
        <f>ROUND(N347*'Methodology &amp; Assumptions'!$B$7, 0)</f>
        <v/>
      </c>
      <c r="P347" s="23" t="inlineStr">
        <is>
          <t>Single Carrier (Band n50, 100MHz TDD)</t>
        </is>
      </c>
      <c r="Q347" s="27">
        <f>ROUNDUP(O347/'Methodology &amp; Assumptions'!$B$8, 0)</f>
        <v/>
      </c>
      <c r="R347" s="27" t="n">
        <v>1</v>
      </c>
      <c r="S347" s="26" t="n">
        <v>2.18</v>
      </c>
      <c r="T347" s="26" t="n">
        <v>0.52</v>
      </c>
      <c r="U347" s="11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26" t="n">
        <v>71.95</v>
      </c>
      <c r="W347" s="26" t="n">
        <v>67.59999999999999</v>
      </c>
      <c r="X347" s="26">
        <f>ROUND(('Methodology &amp; Assumptions'!$B$5*V347) + ('Methodology &amp; Assumptions'!$B$6*W347), 2)</f>
        <v/>
      </c>
      <c r="Y347" s="28" t="n">
        <v>7.2</v>
      </c>
      <c r="Z347" s="11" t="inlineStr">
        <is>
          <t>Priority Tier 2 (Balanced Opportunity)</t>
        </is>
      </c>
    </row>
    <row r="348">
      <c r="A348" s="23" t="n">
        <v>1</v>
      </c>
      <c r="B348" s="23" t="n">
        <v>344</v>
      </c>
      <c r="C348" s="23" t="n">
        <v>344</v>
      </c>
      <c r="D348" s="23" t="inlineStr">
        <is>
          <t>1380610011</t>
        </is>
      </c>
      <c r="E348" s="11" t="inlineStr">
        <is>
          <t>National Capital Region (NCR)</t>
        </is>
      </c>
      <c r="F348" s="11" t="inlineStr">
        <is>
          <t>First District (Not a Province)</t>
        </is>
      </c>
      <c r="G348" s="11" t="inlineStr">
        <is>
          <t>City of Manila</t>
        </is>
      </c>
      <c r="H348" s="11" t="inlineStr">
        <is>
          <t>Barangay 696</t>
        </is>
      </c>
      <c r="I348" s="24" t="n">
        <v>14.573805</v>
      </c>
      <c r="J348" s="24" t="n">
        <v>120.988616</v>
      </c>
      <c r="K348" s="23" t="inlineStr">
        <is>
          <t>U</t>
        </is>
      </c>
      <c r="L348" s="25" t="n">
        <v>4121</v>
      </c>
      <c r="M348" s="26" t="n">
        <v>3.93</v>
      </c>
      <c r="N348" s="25">
        <f>ROUND(L348/M348, 0)</f>
        <v/>
      </c>
      <c r="O348" s="25">
        <f>ROUND(N348*'Methodology &amp; Assumptions'!$B$7, 0)</f>
        <v/>
      </c>
      <c r="P348" s="23" t="inlineStr">
        <is>
          <t>Single Carrier (Band n50, 100MHz TDD)</t>
        </is>
      </c>
      <c r="Q348" s="27">
        <f>ROUNDUP(O348/'Methodology &amp; Assumptions'!$B$8, 0)</f>
        <v/>
      </c>
      <c r="R348" s="27" t="n">
        <v>1</v>
      </c>
      <c r="S348" s="26" t="n">
        <v>0.64</v>
      </c>
      <c r="T348" s="26" t="n">
        <v>0.15</v>
      </c>
      <c r="U348" s="11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26" t="n">
        <v>69.09</v>
      </c>
      <c r="W348" s="26" t="n">
        <v>70.47</v>
      </c>
      <c r="X348" s="26">
        <f>ROUND(('Methodology &amp; Assumptions'!$B$5*V348) + ('Methodology &amp; Assumptions'!$B$6*W348), 2)</f>
        <v/>
      </c>
      <c r="Y348" s="28" t="n">
        <v>10.9</v>
      </c>
      <c r="Z348" s="11" t="inlineStr">
        <is>
          <t>Priority Tier 2 (Balanced Opportunity)</t>
        </is>
      </c>
    </row>
    <row r="349">
      <c r="A349" s="23" t="n">
        <v>1</v>
      </c>
      <c r="B349" s="23" t="n">
        <v>345</v>
      </c>
      <c r="C349" s="23" t="n">
        <v>345</v>
      </c>
      <c r="D349" s="23" t="inlineStr">
        <is>
          <t>1380603005</t>
        </is>
      </c>
      <c r="E349" s="11" t="inlineStr">
        <is>
          <t>National Capital Region (NCR)</t>
        </is>
      </c>
      <c r="F349" s="11" t="inlineStr">
        <is>
          <t>First District (Not a Province)</t>
        </is>
      </c>
      <c r="G349" s="11" t="inlineStr">
        <is>
          <t>City of Manila</t>
        </is>
      </c>
      <c r="H349" s="11" t="inlineStr">
        <is>
          <t>Barangay 385</t>
        </is>
      </c>
      <c r="I349" s="24" t="n">
        <v>14.596</v>
      </c>
      <c r="J349" s="24" t="n">
        <v>120.987271</v>
      </c>
      <c r="K349" s="23" t="inlineStr">
        <is>
          <t>U</t>
        </is>
      </c>
      <c r="L349" s="25" t="n">
        <v>3549</v>
      </c>
      <c r="M349" s="26" t="n">
        <v>3.93</v>
      </c>
      <c r="N349" s="25">
        <f>ROUND(L349/M349, 0)</f>
        <v/>
      </c>
      <c r="O349" s="25">
        <f>ROUND(N349*'Methodology &amp; Assumptions'!$B$7, 0)</f>
        <v/>
      </c>
      <c r="P349" s="23" t="inlineStr">
        <is>
          <t>Single Carrier (Band n50, 100MHz TDD)</t>
        </is>
      </c>
      <c r="Q349" s="27">
        <f>ROUNDUP(O349/'Methodology &amp; Assumptions'!$B$8, 0)</f>
        <v/>
      </c>
      <c r="R349" s="27" t="n">
        <v>1</v>
      </c>
      <c r="S349" s="26" t="n">
        <v>0.68</v>
      </c>
      <c r="T349" s="26" t="n">
        <v>0.41</v>
      </c>
      <c r="U349" s="11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26" t="n">
        <v>69.09</v>
      </c>
      <c r="W349" s="26" t="n">
        <v>70.47</v>
      </c>
      <c r="X349" s="26">
        <f>ROUND(('Methodology &amp; Assumptions'!$B$5*V349) + ('Methodology &amp; Assumptions'!$B$6*W349), 2)</f>
        <v/>
      </c>
      <c r="Y349" s="28" t="n">
        <v>10.9</v>
      </c>
      <c r="Z349" s="11" t="inlineStr">
        <is>
          <t>Priority Tier 2 (Balanced Opportunity)</t>
        </is>
      </c>
    </row>
    <row r="350">
      <c r="A350" s="23" t="n">
        <v>1</v>
      </c>
      <c r="B350" s="23" t="n">
        <v>346</v>
      </c>
      <c r="C350" s="23" t="n">
        <v>346</v>
      </c>
      <c r="D350" s="23" t="inlineStr">
        <is>
          <t>1380601182</t>
        </is>
      </c>
      <c r="E350" s="11" t="inlineStr">
        <is>
          <t>National Capital Region (NCR)</t>
        </is>
      </c>
      <c r="F350" s="11" t="inlineStr">
        <is>
          <t>First District (Not a Province)</t>
        </is>
      </c>
      <c r="G350" s="11" t="inlineStr">
        <is>
          <t>City of Manila</t>
        </is>
      </c>
      <c r="H350" s="11" t="inlineStr">
        <is>
          <t>Barangay 182</t>
        </is>
      </c>
      <c r="I350" s="24" t="n">
        <v>14.632226</v>
      </c>
      <c r="J350" s="24" t="n">
        <v>120.971587</v>
      </c>
      <c r="K350" s="23" t="inlineStr">
        <is>
          <t>U</t>
        </is>
      </c>
      <c r="L350" s="25" t="n">
        <v>4072</v>
      </c>
      <c r="M350" s="26" t="n">
        <v>4.63</v>
      </c>
      <c r="N350" s="25">
        <f>ROUND(L350/M350, 0)</f>
        <v/>
      </c>
      <c r="O350" s="25">
        <f>ROUND(N350*'Methodology &amp; Assumptions'!$B$7, 0)</f>
        <v/>
      </c>
      <c r="P350" s="23" t="inlineStr">
        <is>
          <t>Single Carrier (Band n50, 100MHz TDD)</t>
        </is>
      </c>
      <c r="Q350" s="27">
        <f>ROUNDUP(O350/'Methodology &amp; Assumptions'!$B$8, 0)</f>
        <v/>
      </c>
      <c r="R350" s="27" t="n">
        <v>1</v>
      </c>
      <c r="S350" s="26" t="n">
        <v>0.63</v>
      </c>
      <c r="T350" s="26" t="n">
        <v>0.63</v>
      </c>
      <c r="U350" s="11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26" t="n">
        <v>69.09</v>
      </c>
      <c r="W350" s="26" t="n">
        <v>70.45999999999999</v>
      </c>
      <c r="X350" s="26">
        <f>ROUND(('Methodology &amp; Assumptions'!$B$5*V350) + ('Methodology &amp; Assumptions'!$B$6*W350), 2)</f>
        <v/>
      </c>
      <c r="Y350" s="28" t="n">
        <v>10.9</v>
      </c>
      <c r="Z350" s="11" t="inlineStr">
        <is>
          <t>Priority Tier 2 (Balanced Opportunity)</t>
        </is>
      </c>
    </row>
    <row r="351">
      <c r="A351" s="23" t="n">
        <v>1</v>
      </c>
      <c r="B351" s="23" t="n">
        <v>347</v>
      </c>
      <c r="C351" s="23" t="n">
        <v>347</v>
      </c>
      <c r="D351" s="23" t="inlineStr">
        <is>
          <t>1380601128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128</t>
        </is>
      </c>
      <c r="I351" s="24" t="n">
        <v>14.632636</v>
      </c>
      <c r="J351" s="24" t="n">
        <v>120.962209</v>
      </c>
      <c r="K351" s="23" t="inlineStr">
        <is>
          <t>U</t>
        </is>
      </c>
      <c r="L351" s="25" t="n">
        <v>22298</v>
      </c>
      <c r="M351" s="26" t="n">
        <v>3.72</v>
      </c>
      <c r="N351" s="25">
        <f>ROUND(L351/M351, 0)</f>
        <v/>
      </c>
      <c r="O351" s="25">
        <f>ROUND(N351*'Methodology &amp; Assumptions'!$B$7, 0)</f>
        <v/>
      </c>
      <c r="P351" s="23" t="inlineStr">
        <is>
          <t>Single Carrier (Band n50, 100MHz TDD)</t>
        </is>
      </c>
      <c r="Q351" s="27">
        <f>ROUNDUP(O351/'Methodology &amp; Assumptions'!$B$8, 0)</f>
        <v/>
      </c>
      <c r="R351" s="27" t="n">
        <v>1</v>
      </c>
      <c r="S351" s="26" t="n">
        <v>1.36</v>
      </c>
      <c r="T351" s="26" t="n">
        <v>0.21</v>
      </c>
      <c r="U351" s="11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26" t="n">
        <v>66.25</v>
      </c>
      <c r="W351" s="26" t="n">
        <v>73.31</v>
      </c>
      <c r="X351" s="26">
        <f>ROUND(('Methodology &amp; Assumptions'!$B$5*V351) + ('Methodology &amp; Assumptions'!$B$6*W351), 2)</f>
        <v/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1</v>
      </c>
      <c r="B352" s="23" t="n">
        <v>348</v>
      </c>
      <c r="C352" s="23" t="n">
        <v>348</v>
      </c>
      <c r="D352" s="23" t="inlineStr">
        <is>
          <t>1380606002</t>
        </is>
      </c>
      <c r="E352" s="11" t="inlineStr">
        <is>
          <t>National Capital Region (NCR)</t>
        </is>
      </c>
      <c r="F352" s="11" t="inlineStr">
        <is>
          <t>First District (Not a Province)</t>
        </is>
      </c>
      <c r="G352" s="11" t="inlineStr">
        <is>
          <t>City of Manila</t>
        </is>
      </c>
      <c r="H352" s="11" t="inlineStr">
        <is>
          <t>Barangay 396</t>
        </is>
      </c>
      <c r="I352" s="24" t="n">
        <v>14.60495</v>
      </c>
      <c r="J352" s="24" t="n">
        <v>120.989095</v>
      </c>
      <c r="K352" s="23" t="inlineStr">
        <is>
          <t>U</t>
        </is>
      </c>
      <c r="L352" s="25" t="n">
        <v>4237</v>
      </c>
      <c r="M352" s="26" t="n">
        <v>3.18</v>
      </c>
      <c r="N352" s="25">
        <f>ROUND(L352/M352, 0)</f>
        <v/>
      </c>
      <c r="O352" s="25">
        <f>ROUND(N352*'Methodology &amp; Assumptions'!$B$7, 0)</f>
        <v/>
      </c>
      <c r="P352" s="23" t="inlineStr">
        <is>
          <t>Single Carrier (Band n50, 100MHz TDD)</t>
        </is>
      </c>
      <c r="Q352" s="27">
        <f>ROUNDUP(O352/'Methodology &amp; Assumptions'!$B$8, 0)</f>
        <v/>
      </c>
      <c r="R352" s="27" t="n">
        <v>1</v>
      </c>
      <c r="S352" s="26" t="n">
        <v>0.3</v>
      </c>
      <c r="T352" s="26" t="n">
        <v>0.18</v>
      </c>
      <c r="U352" s="11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26" t="n">
        <v>69.09</v>
      </c>
      <c r="W352" s="26" t="n">
        <v>70.41</v>
      </c>
      <c r="X352" s="26">
        <f>ROUND(('Methodology &amp; Assumptions'!$B$5*V352) + ('Methodology &amp; Assumptions'!$B$6*W352), 2)</f>
        <v/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1</v>
      </c>
      <c r="B353" s="23" t="n">
        <v>349</v>
      </c>
      <c r="C353" s="23" t="n">
        <v>349</v>
      </c>
      <c r="D353" s="23" t="inlineStr">
        <is>
          <t>1380602007</t>
        </is>
      </c>
      <c r="E353" s="11" t="inlineStr">
        <is>
          <t>National Capital Region (NCR)</t>
        </is>
      </c>
      <c r="F353" s="11" t="inlineStr">
        <is>
          <t>First District (Not a Province)</t>
        </is>
      </c>
      <c r="G353" s="11" t="inlineStr">
        <is>
          <t>City of Manila</t>
        </is>
      </c>
      <c r="H353" s="11" t="inlineStr">
        <is>
          <t>Barangay 293</t>
        </is>
      </c>
      <c r="I353" s="24" t="n">
        <v>14.60311</v>
      </c>
      <c r="J353" s="24" t="n">
        <v>120.9728</v>
      </c>
      <c r="K353" s="23" t="inlineStr">
        <is>
          <t>U</t>
        </is>
      </c>
      <c r="L353" s="25" t="n">
        <v>3708</v>
      </c>
      <c r="M353" s="26" t="n">
        <v>3.22</v>
      </c>
      <c r="N353" s="25">
        <f>ROUND(L353/M353, 0)</f>
        <v/>
      </c>
      <c r="O353" s="25">
        <f>ROUND(N353*'Methodology &amp; Assumptions'!$B$7, 0)</f>
        <v/>
      </c>
      <c r="P353" s="23" t="inlineStr">
        <is>
          <t>Single Carrier (Band n50, 100MHz TDD)</t>
        </is>
      </c>
      <c r="Q353" s="27">
        <f>ROUNDUP(O353/'Methodology &amp; Assumptions'!$B$8, 0)</f>
        <v/>
      </c>
      <c r="R353" s="27" t="n">
        <v>1</v>
      </c>
      <c r="S353" s="26" t="n">
        <v>0.53</v>
      </c>
      <c r="T353" s="26" t="n">
        <v>0.4</v>
      </c>
      <c r="U353" s="11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26" t="n">
        <v>69.09</v>
      </c>
      <c r="W353" s="26" t="n">
        <v>70.41</v>
      </c>
      <c r="X353" s="26">
        <f>ROUND(('Methodology &amp; Assumptions'!$B$5*V353) + ('Methodology &amp; Assumptions'!$B$6*W353), 2)</f>
        <v/>
      </c>
      <c r="Y353" s="28" t="n">
        <v>10.9</v>
      </c>
      <c r="Z353" s="11" t="inlineStr">
        <is>
          <t>Priority Tier 2 (Balanced Opportunity)</t>
        </is>
      </c>
    </row>
    <row r="354">
      <c r="A354" s="23" t="n">
        <v>1</v>
      </c>
      <c r="B354" s="23" t="n">
        <v>350</v>
      </c>
      <c r="C354" s="23" t="n">
        <v>350</v>
      </c>
      <c r="D354" s="23" t="inlineStr">
        <is>
          <t>1380601091</t>
        </is>
      </c>
      <c r="E354" s="11" t="inlineStr">
        <is>
          <t>National Capital Region (NCR)</t>
        </is>
      </c>
      <c r="F354" s="11" t="inlineStr">
        <is>
          <t>First District (Not a Province)</t>
        </is>
      </c>
      <c r="G354" s="11" t="inlineStr">
        <is>
          <t>City of Manila</t>
        </is>
      </c>
      <c r="H354" s="11" t="inlineStr">
        <is>
          <t>Barangay 91</t>
        </is>
      </c>
      <c r="I354" s="24" t="n">
        <v>14.618876</v>
      </c>
      <c r="J354" s="24" t="n">
        <v>120.968564</v>
      </c>
      <c r="K354" s="23" t="inlineStr">
        <is>
          <t>U</t>
        </is>
      </c>
      <c r="L354" s="25" t="n">
        <v>4453</v>
      </c>
      <c r="M354" s="26" t="n">
        <v>4.14</v>
      </c>
      <c r="N354" s="25">
        <f>ROUND(L354/M354, 0)</f>
        <v/>
      </c>
      <c r="O354" s="25">
        <f>ROUND(N354*'Methodology &amp; Assumptions'!$B$7, 0)</f>
        <v/>
      </c>
      <c r="P354" s="23" t="inlineStr">
        <is>
          <t>Single Carrier (Band n50, 100MHz TDD)</t>
        </is>
      </c>
      <c r="Q354" s="27">
        <f>ROUNDUP(O354/'Methodology &amp; Assumptions'!$B$8, 0)</f>
        <v/>
      </c>
      <c r="R354" s="27" t="n">
        <v>1</v>
      </c>
      <c r="S354" s="26" t="n">
        <v>0.64</v>
      </c>
      <c r="T354" s="26" t="n">
        <v>0.24</v>
      </c>
      <c r="U354" s="11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26" t="n">
        <v>69.09</v>
      </c>
      <c r="W354" s="26" t="n">
        <v>70.40000000000001</v>
      </c>
      <c r="X354" s="26">
        <f>ROUND(('Methodology &amp; Assumptions'!$B$5*V354) + ('Methodology &amp; Assumptions'!$B$6*W354), 2)</f>
        <v/>
      </c>
      <c r="Y354" s="28" t="n">
        <v>10.9</v>
      </c>
      <c r="Z354" s="11" t="inlineStr">
        <is>
          <t>Priority Tier 2 (Balanced Opportunity)</t>
        </is>
      </c>
    </row>
    <row r="355">
      <c r="A355" s="23" t="n">
        <v>1</v>
      </c>
      <c r="B355" s="23" t="n">
        <v>351</v>
      </c>
      <c r="C355" s="23" t="n">
        <v>351</v>
      </c>
      <c r="D355" s="23" t="inlineStr">
        <is>
          <t>1381300100</t>
        </is>
      </c>
      <c r="E355" s="11" t="inlineStr">
        <is>
          <t>National Capital Region (NCR)</t>
        </is>
      </c>
      <c r="F355" s="11" t="inlineStr">
        <is>
          <t>Second District (Not a Province)</t>
        </is>
      </c>
      <c r="G355" s="11" t="inlineStr">
        <is>
          <t>Quezon City</t>
        </is>
      </c>
      <c r="H355" s="11" t="inlineStr">
        <is>
          <t>San Jose</t>
        </is>
      </c>
      <c r="I355" s="24" t="n">
        <v>14.63915</v>
      </c>
      <c r="J355" s="24" t="n">
        <v>120.9934</v>
      </c>
      <c r="K355" s="23" t="inlineStr">
        <is>
          <t>U</t>
        </is>
      </c>
      <c r="L355" s="25" t="n">
        <v>6004</v>
      </c>
      <c r="M355" s="26" t="n">
        <v>3.66</v>
      </c>
      <c r="N355" s="25">
        <f>ROUND(L355/M355, 0)</f>
        <v/>
      </c>
      <c r="O355" s="25">
        <f>ROUND(N355*'Methodology &amp; Assumptions'!$B$7, 0)</f>
        <v/>
      </c>
      <c r="P355" s="23" t="inlineStr">
        <is>
          <t>Single Carrier (Band n50, 100MHz TDD)</t>
        </is>
      </c>
      <c r="Q355" s="27">
        <f>ROUNDUP(O355/'Methodology &amp; Assumptions'!$B$8, 0)</f>
        <v/>
      </c>
      <c r="R355" s="27" t="n">
        <v>1</v>
      </c>
      <c r="S355" s="26" t="n">
        <v>0.84</v>
      </c>
      <c r="T355" s="26" t="n">
        <v>0.26</v>
      </c>
      <c r="U355" s="11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26" t="n">
        <v>69.09</v>
      </c>
      <c r="W355" s="26" t="n">
        <v>70.38</v>
      </c>
      <c r="X355" s="26">
        <f>ROUND(('Methodology &amp; Assumptions'!$B$5*V355) + ('Methodology &amp; Assumptions'!$B$6*W355), 2)</f>
        <v/>
      </c>
      <c r="Y355" s="28" t="n">
        <v>10.9</v>
      </c>
      <c r="Z355" s="11" t="inlineStr">
        <is>
          <t>Priority Tier 2 (Balanced Opportunity)</t>
        </is>
      </c>
    </row>
    <row r="356">
      <c r="A356" s="23" t="n">
        <v>1</v>
      </c>
      <c r="B356" s="23" t="n">
        <v>352</v>
      </c>
      <c r="C356" s="23" t="n">
        <v>352</v>
      </c>
      <c r="D356" s="23" t="inlineStr">
        <is>
          <t>1403213043</t>
        </is>
      </c>
      <c r="E356" s="11" t="inlineStr">
        <is>
          <t>Cordillera Administrative Region (CAR)</t>
        </is>
      </c>
      <c r="F356" s="11" t="inlineStr">
        <is>
          <t>Kalinga</t>
        </is>
      </c>
      <c r="G356" s="11" t="inlineStr">
        <is>
          <t>City of Tabuk</t>
        </is>
      </c>
      <c r="H356" s="11" t="inlineStr">
        <is>
          <t>Ipil</t>
        </is>
      </c>
      <c r="I356" s="24" t="n">
        <v>17.439271</v>
      </c>
      <c r="J356" s="24" t="n">
        <v>121.485087</v>
      </c>
      <c r="K356" s="23" t="inlineStr">
        <is>
          <t>R</t>
        </is>
      </c>
      <c r="L356" s="25" t="n">
        <v>3410</v>
      </c>
      <c r="M356" s="26" t="n">
        <v>4.3</v>
      </c>
      <c r="N356" s="25">
        <f>ROUND(L356/M356, 0)</f>
        <v/>
      </c>
      <c r="O356" s="25">
        <f>ROUND(N356*'Methodology &amp; Assumptions'!$B$7, 0)</f>
        <v/>
      </c>
      <c r="P356" s="23" t="inlineStr">
        <is>
          <t>Single Carrier (Band n50, 100MHz TDD)</t>
        </is>
      </c>
      <c r="Q356" s="27">
        <f>ROUNDUP(O356/'Methodology &amp; Assumptions'!$B$8, 0)</f>
        <v/>
      </c>
      <c r="R356" s="27" t="n">
        <v>1</v>
      </c>
      <c r="S356" s="26" t="n">
        <v>4.56</v>
      </c>
      <c r="T356" s="26" t="n">
        <v>0.95</v>
      </c>
      <c r="U356" s="11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26" t="n">
        <v>72.83</v>
      </c>
      <c r="W356" s="26" t="n">
        <v>66.64</v>
      </c>
      <c r="X356" s="26">
        <f>ROUND(('Methodology &amp; Assumptions'!$B$5*V356) + ('Methodology &amp; Assumptions'!$B$6*W356), 2)</f>
        <v/>
      </c>
      <c r="Y356" s="28" t="n">
        <v>10.9</v>
      </c>
      <c r="Z356" s="11" t="inlineStr">
        <is>
          <t>Priority Tier 2 (Balanced Opportunity)</t>
        </is>
      </c>
    </row>
    <row r="357">
      <c r="A357" s="23" t="n">
        <v>1</v>
      </c>
      <c r="B357" s="23" t="n">
        <v>353</v>
      </c>
      <c r="C357" s="23" t="n">
        <v>353</v>
      </c>
      <c r="D357" s="23" t="inlineStr">
        <is>
          <t>0102934038</t>
        </is>
      </c>
      <c r="E357" s="11" t="inlineStr">
        <is>
          <t>Region I (Ilocos Region)</t>
        </is>
      </c>
      <c r="F357" s="11" t="inlineStr">
        <is>
          <t>Ilocos Sur</t>
        </is>
      </c>
      <c r="G357" s="11" t="inlineStr">
        <is>
          <t>City of Vigan</t>
        </is>
      </c>
      <c r="H357" s="11" t="inlineStr">
        <is>
          <t>Barangay VII</t>
        </is>
      </c>
      <c r="I357" s="24" t="n">
        <v>17.574056</v>
      </c>
      <c r="J357" s="24" t="n">
        <v>120.390856</v>
      </c>
      <c r="K357" s="23" t="inlineStr">
        <is>
          <t>R</t>
        </is>
      </c>
      <c r="L357" s="25" t="n">
        <v>1628</v>
      </c>
      <c r="M357" s="26" t="n">
        <v>3.8</v>
      </c>
      <c r="N357" s="25">
        <f>ROUND(L357/M357, 0)</f>
        <v/>
      </c>
      <c r="O357" s="25">
        <f>ROUND(N357*'Methodology &amp; Assumptions'!$B$7, 0)</f>
        <v/>
      </c>
      <c r="P357" s="23" t="inlineStr">
        <is>
          <t>Single Carrier (Band n50, 100MHz TDD)</t>
        </is>
      </c>
      <c r="Q357" s="27">
        <f>ROUNDUP(O357/'Methodology &amp; Assumptions'!$B$8, 0)</f>
        <v/>
      </c>
      <c r="R357" s="27" t="n">
        <v>1</v>
      </c>
      <c r="S357" s="26" t="n">
        <v>2.17</v>
      </c>
      <c r="T357" s="26" t="n">
        <v>0.7</v>
      </c>
      <c r="U357" s="11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26" t="n">
        <v>68.06</v>
      </c>
      <c r="W357" s="26" t="n">
        <v>71.40000000000001</v>
      </c>
      <c r="X357" s="26">
        <f>ROUND(('Methodology &amp; Assumptions'!$B$5*V357) + ('Methodology &amp; Assumptions'!$B$6*W357), 2)</f>
        <v/>
      </c>
      <c r="Y357" s="28" t="n">
        <v>8.300000000000001</v>
      </c>
      <c r="Z357" s="11" t="inlineStr">
        <is>
          <t>Priority Tier 2 (Balanced Opportunity)</t>
        </is>
      </c>
    </row>
    <row r="358">
      <c r="A358" s="23" t="n">
        <v>1</v>
      </c>
      <c r="B358" s="23" t="n">
        <v>354</v>
      </c>
      <c r="C358" s="23" t="n">
        <v>354</v>
      </c>
      <c r="D358" s="23" t="inlineStr">
        <is>
          <t>1403215014</t>
        </is>
      </c>
      <c r="E358" s="11" t="inlineStr">
        <is>
          <t>Cordillera Administrative Region (CAR)</t>
        </is>
      </c>
      <c r="F358" s="11" t="inlineStr">
        <is>
          <t>Kalinga</t>
        </is>
      </c>
      <c r="G358" s="11" t="inlineStr">
        <is>
          <t>Tinglayan</t>
        </is>
      </c>
      <c r="H358" s="11" t="inlineStr">
        <is>
          <t>Poblacion</t>
        </is>
      </c>
      <c r="I358" s="24" t="n">
        <v>17.262451</v>
      </c>
      <c r="J358" s="24" t="n">
        <v>121.135519</v>
      </c>
      <c r="K358" s="23" t="inlineStr">
        <is>
          <t>R</t>
        </is>
      </c>
      <c r="L358" s="25" t="n">
        <v>861</v>
      </c>
      <c r="M358" s="26" t="n">
        <v>4.3</v>
      </c>
      <c r="N358" s="25">
        <f>ROUND(L358/M358, 0)</f>
        <v/>
      </c>
      <c r="O358" s="25">
        <f>ROUND(N358*'Methodology &amp; Assumptions'!$B$7, 0)</f>
        <v/>
      </c>
      <c r="P358" s="23" t="inlineStr">
        <is>
          <t>Single Carrier (Band n50, 100MHz TDD)</t>
        </is>
      </c>
      <c r="Q358" s="27">
        <f>ROUNDUP(O358/'Methodology &amp; Assumptions'!$B$8, 0)</f>
        <v/>
      </c>
      <c r="R358" s="27" t="n">
        <v>1</v>
      </c>
      <c r="S358" s="26" t="n">
        <v>1.43</v>
      </c>
      <c r="T358" s="26" t="n">
        <v>0.61</v>
      </c>
      <c r="U358" s="11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26" t="n">
        <v>62.25</v>
      </c>
      <c r="W358" s="26" t="n">
        <v>77.20999999999999</v>
      </c>
      <c r="X358" s="26">
        <f>ROUND(('Methodology &amp; Assumptions'!$B$5*V358) + ('Methodology &amp; Assumptions'!$B$6*W358), 2)</f>
        <v/>
      </c>
      <c r="Y358" s="28" t="n">
        <v>10.9</v>
      </c>
      <c r="Z358" s="11" t="inlineStr">
        <is>
          <t>Priority Tier 2 (Balanced Opportunity)</t>
        </is>
      </c>
    </row>
    <row r="359">
      <c r="A359" s="23" t="n">
        <v>1</v>
      </c>
      <c r="B359" s="23" t="n">
        <v>355</v>
      </c>
      <c r="C359" s="23" t="n">
        <v>355</v>
      </c>
      <c r="D359" s="23" t="inlineStr">
        <is>
          <t>1380605053</t>
        </is>
      </c>
      <c r="E359" s="11" t="inlineStr">
        <is>
          <t>National Capital Region (NCR)</t>
        </is>
      </c>
      <c r="F359" s="11" t="inlineStr">
        <is>
          <t>First District (Not a Province)</t>
        </is>
      </c>
      <c r="G359" s="11" t="inlineStr">
        <is>
          <t>City of Manila</t>
        </is>
      </c>
      <c r="H359" s="11" t="inlineStr">
        <is>
          <t>Barangay 351</t>
        </is>
      </c>
      <c r="I359" s="24" t="n">
        <v>14.619984</v>
      </c>
      <c r="J359" s="24" t="n">
        <v>120.988226</v>
      </c>
      <c r="K359" s="23" t="inlineStr">
        <is>
          <t>U</t>
        </is>
      </c>
      <c r="L359" s="25" t="n">
        <v>3415</v>
      </c>
      <c r="M359" s="26" t="n">
        <v>3.55</v>
      </c>
      <c r="N359" s="25">
        <f>ROUND(L359/M359, 0)</f>
        <v/>
      </c>
      <c r="O359" s="25">
        <f>ROUND(N359*'Methodology &amp; Assumptions'!$B$7, 0)</f>
        <v/>
      </c>
      <c r="P359" s="23" t="inlineStr">
        <is>
          <t>Single Carrier (Band n50, 100MHz TDD)</t>
        </is>
      </c>
      <c r="Q359" s="27">
        <f>ROUNDUP(O359/'Methodology &amp; Assumptions'!$B$8, 0)</f>
        <v/>
      </c>
      <c r="R359" s="27" t="n">
        <v>1</v>
      </c>
      <c r="S359" s="26" t="n">
        <v>0.6899999999999999</v>
      </c>
      <c r="T359" s="26" t="n">
        <v>0.58</v>
      </c>
      <c r="U359" s="11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26" t="n">
        <v>69.09</v>
      </c>
      <c r="W359" s="26" t="n">
        <v>70.34999999999999</v>
      </c>
      <c r="X359" s="26">
        <f>ROUND(('Methodology &amp; Assumptions'!$B$5*V359) + ('Methodology &amp; Assumptions'!$B$6*W359), 2)</f>
        <v/>
      </c>
      <c r="Y359" s="28" t="n">
        <v>10.9</v>
      </c>
      <c r="Z359" s="11" t="inlineStr">
        <is>
          <t>Priority Tier 2 (Balanced Opportunity)</t>
        </is>
      </c>
    </row>
    <row r="360">
      <c r="A360" s="23" t="n">
        <v>1</v>
      </c>
      <c r="B360" s="23" t="n">
        <v>356</v>
      </c>
      <c r="C360" s="23" t="n">
        <v>356</v>
      </c>
      <c r="D360" s="23" t="inlineStr">
        <is>
          <t>0403428012</t>
        </is>
      </c>
      <c r="E360" s="11" t="inlineStr">
        <is>
          <t>Region IV-A (CALABARZON)</t>
        </is>
      </c>
      <c r="F360" s="11" t="inlineStr">
        <is>
          <t>Laguna</t>
        </is>
      </c>
      <c r="G360" s="11" t="inlineStr">
        <is>
          <t>City of Santa Rosa</t>
        </is>
      </c>
      <c r="H360" s="11" t="inlineStr">
        <is>
          <t>Market Area</t>
        </is>
      </c>
      <c r="I360" s="24" t="n">
        <v>14.318932</v>
      </c>
      <c r="J360" s="24" t="n">
        <v>121.112123</v>
      </c>
      <c r="K360" s="23" t="inlineStr">
        <is>
          <t>U</t>
        </is>
      </c>
      <c r="L360" s="25" t="n">
        <v>17557</v>
      </c>
      <c r="M360" s="26" t="n">
        <v>3.3</v>
      </c>
      <c r="N360" s="25">
        <f>ROUND(L360/M360, 0)</f>
        <v/>
      </c>
      <c r="O360" s="25">
        <f>ROUND(N360*'Methodology &amp; Assumptions'!$B$7, 0)</f>
        <v/>
      </c>
      <c r="P360" s="23" t="inlineStr">
        <is>
          <t>Single Carrier (Band n50, 100MHz TDD)</t>
        </is>
      </c>
      <c r="Q360" s="27">
        <f>ROUNDUP(O360/'Methodology &amp; Assumptions'!$B$8, 0)</f>
        <v/>
      </c>
      <c r="R360" s="27" t="n">
        <v>1</v>
      </c>
      <c r="S360" s="26" t="n">
        <v>1.4</v>
      </c>
      <c r="T360" s="26" t="n">
        <v>1.46</v>
      </c>
      <c r="U360" s="11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26" t="n">
        <v>76.12</v>
      </c>
      <c r="W360" s="26" t="n">
        <v>63.26</v>
      </c>
      <c r="X360" s="26">
        <f>ROUND(('Methodology &amp; Assumptions'!$B$5*V360) + ('Methodology &amp; Assumptions'!$B$6*W360), 2)</f>
        <v/>
      </c>
      <c r="Y360" s="28" t="n">
        <v>7.2</v>
      </c>
      <c r="Z360" s="11" t="inlineStr">
        <is>
          <t>Priority Tier 2 (Balanced Opportunity)</t>
        </is>
      </c>
    </row>
    <row r="361">
      <c r="A361" s="23" t="n">
        <v>1</v>
      </c>
      <c r="B361" s="23" t="n">
        <v>357</v>
      </c>
      <c r="C361" s="23" t="n">
        <v>357</v>
      </c>
      <c r="D361" s="23" t="inlineStr">
        <is>
          <t>1380601048</t>
        </is>
      </c>
      <c r="E361" s="11" t="inlineStr">
        <is>
          <t>National Capital Region (NCR)</t>
        </is>
      </c>
      <c r="F361" s="11" t="inlineStr">
        <is>
          <t>First District (Not a Province)</t>
        </is>
      </c>
      <c r="G361" s="11" t="inlineStr">
        <is>
          <t>City of Manila</t>
        </is>
      </c>
      <c r="H361" s="11" t="inlineStr">
        <is>
          <t>Barangay 48</t>
        </is>
      </c>
      <c r="I361" s="24" t="n">
        <v>14.60805</v>
      </c>
      <c r="J361" s="24" t="n">
        <v>120.97132</v>
      </c>
      <c r="K361" s="23" t="inlineStr">
        <is>
          <t>U</t>
        </is>
      </c>
      <c r="L361" s="25" t="n">
        <v>4191</v>
      </c>
      <c r="M361" s="26" t="n">
        <v>3.56</v>
      </c>
      <c r="N361" s="25">
        <f>ROUND(L361/M361, 0)</f>
        <v/>
      </c>
      <c r="O361" s="25">
        <f>ROUND(N361*'Methodology &amp; Assumptions'!$B$7, 0)</f>
        <v/>
      </c>
      <c r="P361" s="23" t="inlineStr">
        <is>
          <t>Single Carrier (Band n50, 100MHz TDD)</t>
        </is>
      </c>
      <c r="Q361" s="27">
        <f>ROUNDUP(O361/'Methodology &amp; Assumptions'!$B$8, 0)</f>
        <v/>
      </c>
      <c r="R361" s="27" t="n">
        <v>1</v>
      </c>
      <c r="S361" s="26" t="n">
        <v>0.23</v>
      </c>
      <c r="T361" s="26" t="n">
        <v>0.22</v>
      </c>
      <c r="U361" s="11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26" t="n">
        <v>69.09</v>
      </c>
      <c r="W361" s="26" t="n">
        <v>70.26000000000001</v>
      </c>
      <c r="X361" s="26">
        <f>ROUND(('Methodology &amp; Assumptions'!$B$5*V361) + ('Methodology &amp; Assumptions'!$B$6*W361), 2)</f>
        <v/>
      </c>
      <c r="Y361" s="28" t="n">
        <v>10.9</v>
      </c>
      <c r="Z361" s="11" t="inlineStr">
        <is>
          <t>Priority Tier 2 (Balanced Opportunity)</t>
        </is>
      </c>
    </row>
    <row r="362">
      <c r="A362" s="23" t="n">
        <v>1</v>
      </c>
      <c r="B362" s="23" t="n">
        <v>358</v>
      </c>
      <c r="C362" s="23" t="n">
        <v>358</v>
      </c>
      <c r="D362" s="23" t="inlineStr">
        <is>
          <t>0600402005</t>
        </is>
      </c>
      <c r="E362" s="11" t="inlineStr">
        <is>
          <t>Region VI (Western Visayas)</t>
        </is>
      </c>
      <c r="F362" s="11" t="inlineStr">
        <is>
          <t>Aklan</t>
        </is>
      </c>
      <c r="G362" s="11" t="inlineStr">
        <is>
          <t>Balete</t>
        </is>
      </c>
      <c r="H362" s="11" t="inlineStr">
        <is>
          <t>Cortes</t>
        </is>
      </c>
      <c r="I362" s="24" t="n">
        <v>11.53019</v>
      </c>
      <c r="J362" s="24" t="n">
        <v>122.367428</v>
      </c>
      <c r="K362" s="23" t="inlineStr">
        <is>
          <t>R</t>
        </is>
      </c>
      <c r="L362" s="25" t="n">
        <v>3645</v>
      </c>
      <c r="M362" s="26" t="n">
        <v>3.9</v>
      </c>
      <c r="N362" s="25">
        <f>ROUND(L362/M362, 0)</f>
        <v/>
      </c>
      <c r="O362" s="25">
        <f>ROUND(N362*'Methodology &amp; Assumptions'!$B$7, 0)</f>
        <v/>
      </c>
      <c r="P362" s="23" t="inlineStr">
        <is>
          <t>Single Carrier (Band n50, 100MHz TDD)</t>
        </is>
      </c>
      <c r="Q362" s="27">
        <f>ROUNDUP(O362/'Methodology &amp; Assumptions'!$B$8, 0)</f>
        <v/>
      </c>
      <c r="R362" s="27" t="n">
        <v>1</v>
      </c>
      <c r="S362" s="26" t="n">
        <v>3.13</v>
      </c>
      <c r="T362" s="26" t="n">
        <v>3</v>
      </c>
      <c r="U362" s="11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26" t="n">
        <v>76.81</v>
      </c>
      <c r="W362" s="26" t="n">
        <v>62.54</v>
      </c>
      <c r="X362" s="26">
        <f>ROUND(('Methodology &amp; Assumptions'!$B$5*V362) + ('Methodology &amp; Assumptions'!$B$6*W362), 2)</f>
        <v/>
      </c>
      <c r="Y362" s="28" t="n">
        <v>23.7</v>
      </c>
      <c r="Z362" s="11" t="inlineStr">
        <is>
          <t>Priority Tier 2 (Balanced Opportunity)</t>
        </is>
      </c>
    </row>
    <row r="363">
      <c r="A363" s="23" t="n">
        <v>1</v>
      </c>
      <c r="B363" s="23" t="n">
        <v>359</v>
      </c>
      <c r="C363" s="23" t="n">
        <v>359</v>
      </c>
      <c r="D363" s="23" t="inlineStr">
        <is>
          <t>1380601210</t>
        </is>
      </c>
      <c r="E363" s="11" t="inlineStr">
        <is>
          <t>National Capital Region (NCR)</t>
        </is>
      </c>
      <c r="F363" s="11" t="inlineStr">
        <is>
          <t>First District (Not a Province)</t>
        </is>
      </c>
      <c r="G363" s="11" t="inlineStr">
        <is>
          <t>City of Manila</t>
        </is>
      </c>
      <c r="H363" s="11" t="inlineStr">
        <is>
          <t>Barangay 209</t>
        </is>
      </c>
      <c r="I363" s="24" t="n">
        <v>14.624737</v>
      </c>
      <c r="J363" s="24" t="n">
        <v>120.981138</v>
      </c>
      <c r="K363" s="23" t="inlineStr">
        <is>
          <t>U</t>
        </is>
      </c>
      <c r="L363" s="25" t="n">
        <v>4704</v>
      </c>
      <c r="M363" s="26" t="n">
        <v>3.91</v>
      </c>
      <c r="N363" s="25">
        <f>ROUND(L363/M363, 0)</f>
        <v/>
      </c>
      <c r="O363" s="25">
        <f>ROUND(N363*'Methodology &amp; Assumptions'!$B$7, 0)</f>
        <v/>
      </c>
      <c r="P363" s="23" t="inlineStr">
        <is>
          <t>Single Carrier (Band n50, 100MHz TDD)</t>
        </is>
      </c>
      <c r="Q363" s="27">
        <f>ROUNDUP(O363/'Methodology &amp; Assumptions'!$B$8, 0)</f>
        <v/>
      </c>
      <c r="R363" s="27" t="n">
        <v>1</v>
      </c>
      <c r="S363" s="26" t="n">
        <v>0.87</v>
      </c>
      <c r="T363" s="26" t="n">
        <v>0.2</v>
      </c>
      <c r="U363" s="11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26" t="n">
        <v>68.98</v>
      </c>
      <c r="W363" s="26" t="n">
        <v>70.36</v>
      </c>
      <c r="X363" s="26">
        <f>ROUND(('Methodology &amp; Assumptions'!$B$5*V363) + ('Methodology &amp; Assumptions'!$B$6*W363), 2)</f>
        <v/>
      </c>
      <c r="Y363" s="28" t="n">
        <v>10.9</v>
      </c>
      <c r="Z363" s="11" t="inlineStr">
        <is>
          <t>Priority Tier 2 (Balanced Opportunity)</t>
        </is>
      </c>
    </row>
    <row r="364">
      <c r="A364" s="23" t="n">
        <v>1</v>
      </c>
      <c r="B364" s="23" t="n">
        <v>360</v>
      </c>
      <c r="C364" s="23" t="n">
        <v>360</v>
      </c>
      <c r="D364" s="23" t="inlineStr">
        <is>
          <t>1380601155</t>
        </is>
      </c>
      <c r="E364" s="11" t="inlineStr">
        <is>
          <t>National Capital Region (NCR)</t>
        </is>
      </c>
      <c r="F364" s="11" t="inlineStr">
        <is>
          <t>First District (Not a Province)</t>
        </is>
      </c>
      <c r="G364" s="11" t="inlineStr">
        <is>
          <t>City of Manila</t>
        </is>
      </c>
      <c r="H364" s="11" t="inlineStr">
        <is>
          <t>Barangay 155</t>
        </is>
      </c>
      <c r="I364" s="24" t="n">
        <v>14.6207</v>
      </c>
      <c r="J364" s="24" t="n">
        <v>120.9745</v>
      </c>
      <c r="K364" s="23" t="inlineStr">
        <is>
          <t>U</t>
        </is>
      </c>
      <c r="L364" s="25" t="n">
        <v>3292</v>
      </c>
      <c r="M364" s="26" t="n">
        <v>3.73</v>
      </c>
      <c r="N364" s="25">
        <f>ROUND(L364/M364, 0)</f>
        <v/>
      </c>
      <c r="O364" s="25">
        <f>ROUND(N364*'Methodology &amp; Assumptions'!$B$7, 0)</f>
        <v/>
      </c>
      <c r="P364" s="23" t="inlineStr">
        <is>
          <t>Single Carrier (Band n50, 100MHz TDD)</t>
        </is>
      </c>
      <c r="Q364" s="27">
        <f>ROUNDUP(O364/'Methodology &amp; Assumptions'!$B$8, 0)</f>
        <v/>
      </c>
      <c r="R364" s="27" t="n">
        <v>1</v>
      </c>
      <c r="S364" s="26" t="n">
        <v>0.7</v>
      </c>
      <c r="T364" s="26" t="n">
        <v>0.29</v>
      </c>
      <c r="U364" s="11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26" t="n">
        <v>69.09</v>
      </c>
      <c r="W364" s="26" t="n">
        <v>70.23</v>
      </c>
      <c r="X364" s="26">
        <f>ROUND(('Methodology &amp; Assumptions'!$B$5*V364) + ('Methodology &amp; Assumptions'!$B$6*W364), 2)</f>
        <v/>
      </c>
      <c r="Y364" s="28" t="n">
        <v>10.9</v>
      </c>
      <c r="Z364" s="11" t="inlineStr">
        <is>
          <t>Priority Tier 2 (Balanced Opportunity)</t>
        </is>
      </c>
    </row>
    <row r="365">
      <c r="A365" s="23" t="n">
        <v>1</v>
      </c>
      <c r="B365" s="23" t="n">
        <v>361</v>
      </c>
      <c r="C365" s="23" t="n">
        <v>361</v>
      </c>
      <c r="D365" s="23" t="inlineStr">
        <is>
          <t>1380601222</t>
        </is>
      </c>
      <c r="E365" s="11" t="inlineStr">
        <is>
          <t>National Capital Region (NCR)</t>
        </is>
      </c>
      <c r="F365" s="11" t="inlineStr">
        <is>
          <t>First District (Not a Province)</t>
        </is>
      </c>
      <c r="G365" s="11" t="inlineStr">
        <is>
          <t>City of Manila</t>
        </is>
      </c>
      <c r="H365" s="11" t="inlineStr">
        <is>
          <t>Barangay 221</t>
        </is>
      </c>
      <c r="I365" s="24" t="n">
        <v>14.620572</v>
      </c>
      <c r="J365" s="24" t="n">
        <v>120.975356</v>
      </c>
      <c r="K365" s="23" t="inlineStr">
        <is>
          <t>U</t>
        </is>
      </c>
      <c r="L365" s="25" t="n">
        <v>3395</v>
      </c>
      <c r="M365" s="26" t="n">
        <v>3.52</v>
      </c>
      <c r="N365" s="25">
        <f>ROUND(L365/M365, 0)</f>
        <v/>
      </c>
      <c r="O365" s="25">
        <f>ROUND(N365*'Methodology &amp; Assumptions'!$B$7, 0)</f>
        <v/>
      </c>
      <c r="P365" s="23" t="inlineStr">
        <is>
          <t>Single Carrier (Band n50, 100MHz TDD)</t>
        </is>
      </c>
      <c r="Q365" s="27">
        <f>ROUNDUP(O365/'Methodology &amp; Assumptions'!$B$8, 0)</f>
        <v/>
      </c>
      <c r="R365" s="27" t="n">
        <v>1</v>
      </c>
      <c r="S365" s="26" t="n">
        <v>0.73</v>
      </c>
      <c r="T365" s="26" t="n">
        <v>0.29</v>
      </c>
      <c r="U365" s="11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26" t="n">
        <v>69.09</v>
      </c>
      <c r="W365" s="26" t="n">
        <v>70.22</v>
      </c>
      <c r="X365" s="26">
        <f>ROUND(('Methodology &amp; Assumptions'!$B$5*V365) + ('Methodology &amp; Assumptions'!$B$6*W365), 2)</f>
        <v/>
      </c>
      <c r="Y365" s="28" t="n">
        <v>10.9</v>
      </c>
      <c r="Z365" s="11" t="inlineStr">
        <is>
          <t>Priority Tier 2 (Balanced Opportunity)</t>
        </is>
      </c>
    </row>
    <row r="366">
      <c r="A366" s="23" t="n">
        <v>1</v>
      </c>
      <c r="B366" s="23" t="n">
        <v>362</v>
      </c>
      <c r="C366" s="23" t="n">
        <v>362</v>
      </c>
      <c r="D366" s="23" t="inlineStr">
        <is>
          <t>1380613002</t>
        </is>
      </c>
      <c r="E366" s="11" t="inlineStr">
        <is>
          <t>National Capital Region (NCR)</t>
        </is>
      </c>
      <c r="F366" s="11" t="inlineStr">
        <is>
          <t>First District (Not a Province)</t>
        </is>
      </c>
      <c r="G366" s="11" t="inlineStr">
        <is>
          <t>City of Manila</t>
        </is>
      </c>
      <c r="H366" s="11" t="inlineStr">
        <is>
          <t>Barangay 650</t>
        </is>
      </c>
      <c r="I366" s="24" t="n">
        <v>14.590299</v>
      </c>
      <c r="J366" s="24" t="n">
        <v>120.968725</v>
      </c>
      <c r="K366" s="23" t="inlineStr">
        <is>
          <t>U</t>
        </is>
      </c>
      <c r="L366" s="25" t="n">
        <v>4889</v>
      </c>
      <c r="M366" s="26" t="n">
        <v>3.51</v>
      </c>
      <c r="N366" s="25">
        <f>ROUND(L366/M366, 0)</f>
        <v/>
      </c>
      <c r="O366" s="25">
        <f>ROUND(N366*'Methodology &amp; Assumptions'!$B$7, 0)</f>
        <v/>
      </c>
      <c r="P366" s="23" t="inlineStr">
        <is>
          <t>Single Carrier (Band n50, 100MHz TDD)</t>
        </is>
      </c>
      <c r="Q366" s="27">
        <f>ROUNDUP(O366/'Methodology &amp; Assumptions'!$B$8, 0)</f>
        <v/>
      </c>
      <c r="R366" s="27" t="n">
        <v>1</v>
      </c>
      <c r="S366" s="26" t="n">
        <v>0.88</v>
      </c>
      <c r="T366" s="26" t="n">
        <v>1.39</v>
      </c>
      <c r="U366" s="11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26" t="n">
        <v>68.93000000000001</v>
      </c>
      <c r="W366" s="26" t="n">
        <v>70.40000000000001</v>
      </c>
      <c r="X366" s="26">
        <f>ROUND(('Methodology &amp; Assumptions'!$B$5*V366) + ('Methodology &amp; Assumptions'!$B$6*W366), 2)</f>
        <v/>
      </c>
      <c r="Y366" s="28" t="n">
        <v>10.9</v>
      </c>
      <c r="Z366" s="11" t="inlineStr">
        <is>
          <t>Priority Tier 2 (Balanced Opportunity)</t>
        </is>
      </c>
    </row>
    <row r="367">
      <c r="A367" s="23" t="n">
        <v>1</v>
      </c>
      <c r="B367" s="23" t="n">
        <v>363</v>
      </c>
      <c r="C367" s="23" t="n">
        <v>363</v>
      </c>
      <c r="D367" s="23" t="inlineStr">
        <is>
          <t>1381100184</t>
        </is>
      </c>
      <c r="E367" s="11" t="inlineStr">
        <is>
          <t>National Capital Region (NCR)</t>
        </is>
      </c>
      <c r="F367" s="11" t="inlineStr">
        <is>
          <t>Fourth District (Not a Province)</t>
        </is>
      </c>
      <c r="G367" s="11" t="inlineStr">
        <is>
          <t>Pasay City</t>
        </is>
      </c>
      <c r="H367" s="11" t="inlineStr">
        <is>
          <t>Barangay 184</t>
        </is>
      </c>
      <c r="I367" s="24" t="n">
        <v>14.529702</v>
      </c>
      <c r="J367" s="24" t="n">
        <v>121.00874</v>
      </c>
      <c r="K367" s="23" t="inlineStr">
        <is>
          <t>U</t>
        </is>
      </c>
      <c r="L367" s="25" t="n">
        <v>14217</v>
      </c>
      <c r="M367" s="26" t="n">
        <v>3.71</v>
      </c>
      <c r="N367" s="25">
        <f>ROUND(L367/M367, 0)</f>
        <v/>
      </c>
      <c r="O367" s="25">
        <f>ROUND(N367*'Methodology &amp; Assumptions'!$B$7, 0)</f>
        <v/>
      </c>
      <c r="P367" s="23" t="inlineStr">
        <is>
          <t>Single Carrier (Band n50, 100MHz TDD)</t>
        </is>
      </c>
      <c r="Q367" s="27">
        <f>ROUNDUP(O367/'Methodology &amp; Assumptions'!$B$8, 0)</f>
        <v/>
      </c>
      <c r="R367" s="27" t="n">
        <v>1</v>
      </c>
      <c r="S367" s="26" t="n">
        <v>1.14</v>
      </c>
      <c r="T367" s="26" t="n">
        <v>0.35</v>
      </c>
      <c r="U367" s="11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26" t="n">
        <v>67.95999999999999</v>
      </c>
      <c r="W367" s="26" t="n">
        <v>71.34999999999999</v>
      </c>
      <c r="X367" s="26">
        <f>ROUND(('Methodology &amp; Assumptions'!$B$5*V367) + ('Methodology &amp; Assumptions'!$B$6*W367), 2)</f>
        <v/>
      </c>
      <c r="Y367" s="28" t="n">
        <v>10.9</v>
      </c>
      <c r="Z367" s="11" t="inlineStr">
        <is>
          <t>Priority Tier 2 (Balanced Opportunity)</t>
        </is>
      </c>
    </row>
    <row r="368">
      <c r="A368" s="23" t="n">
        <v>1</v>
      </c>
      <c r="B368" s="23" t="n">
        <v>364</v>
      </c>
      <c r="C368" s="23" t="n">
        <v>364</v>
      </c>
      <c r="D368" s="23" t="inlineStr">
        <is>
          <t>0702232007</t>
        </is>
      </c>
      <c r="E368" s="11" t="inlineStr">
        <is>
          <t>Region VII (Central Visayas)</t>
        </is>
      </c>
      <c r="F368" s="11" t="inlineStr">
        <is>
          <t>Cebu</t>
        </is>
      </c>
      <c r="G368" s="11" t="inlineStr">
        <is>
          <t>Minglanilla</t>
        </is>
      </c>
      <c r="H368" s="11" t="inlineStr">
        <is>
          <t>Linao</t>
        </is>
      </c>
      <c r="I368" s="24" t="n">
        <v>10.254584</v>
      </c>
      <c r="J368" s="24" t="n">
        <v>123.809927</v>
      </c>
      <c r="K368" s="23" t="inlineStr">
        <is>
          <t>U</t>
        </is>
      </c>
      <c r="L368" s="25" t="n">
        <v>16506</v>
      </c>
      <c r="M368" s="26" t="n">
        <v>3.8</v>
      </c>
      <c r="N368" s="25">
        <f>ROUND(L368/M368, 0)</f>
        <v/>
      </c>
      <c r="O368" s="25">
        <f>ROUND(N368*'Methodology &amp; Assumptions'!$B$7, 0)</f>
        <v/>
      </c>
      <c r="P368" s="23" t="inlineStr">
        <is>
          <t>Single Carrier (Band n50, 100MHz TDD)</t>
        </is>
      </c>
      <c r="Q368" s="27">
        <f>ROUNDUP(O368/'Methodology &amp; Assumptions'!$B$8, 0)</f>
        <v/>
      </c>
      <c r="R368" s="27" t="n">
        <v>1</v>
      </c>
      <c r="S368" s="26" t="n">
        <v>1.31</v>
      </c>
      <c r="T368" s="26" t="n">
        <v>0.16</v>
      </c>
      <c r="U368" s="11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26" t="n">
        <v>79.09</v>
      </c>
      <c r="W368" s="26" t="n">
        <v>60.19</v>
      </c>
      <c r="X368" s="26">
        <f>ROUND(('Methodology &amp; Assumptions'!$B$5*V368) + ('Methodology &amp; Assumptions'!$B$6*W368), 2)</f>
        <v/>
      </c>
      <c r="Y368" s="28" t="n">
        <v>23.7</v>
      </c>
      <c r="Z368" s="11" t="inlineStr">
        <is>
          <t>Priority Tier 2 (Balanced Opportunity)</t>
        </is>
      </c>
    </row>
    <row r="369">
      <c r="A369" s="23" t="n">
        <v>1</v>
      </c>
      <c r="B369" s="23" t="n">
        <v>365</v>
      </c>
      <c r="C369" s="23" t="n">
        <v>365</v>
      </c>
      <c r="D369" s="23" t="inlineStr">
        <is>
          <t>1381400019</t>
        </is>
      </c>
      <c r="E369" s="11" t="inlineStr">
        <is>
          <t>National Capital Region (NCR)</t>
        </is>
      </c>
      <c r="F369" s="11" t="inlineStr">
        <is>
          <t>Second District (Not a Province)</t>
        </is>
      </c>
      <c r="G369" s="11" t="inlineStr">
        <is>
          <t>City of San Juan</t>
        </is>
      </c>
      <c r="H369" s="11" t="inlineStr">
        <is>
          <t>Tibagan</t>
        </is>
      </c>
      <c r="I369" s="24" t="n">
        <v>14.60117</v>
      </c>
      <c r="J369" s="24" t="n">
        <v>121.0299</v>
      </c>
      <c r="K369" s="23" t="inlineStr">
        <is>
          <t>U</t>
        </is>
      </c>
      <c r="L369" s="25" t="n">
        <v>4024</v>
      </c>
      <c r="M369" s="26" t="n">
        <v>3.75</v>
      </c>
      <c r="N369" s="25">
        <f>ROUND(L369/M369, 0)</f>
        <v/>
      </c>
      <c r="O369" s="25">
        <f>ROUND(N369*'Methodology &amp; Assumptions'!$B$7, 0)</f>
        <v/>
      </c>
      <c r="P369" s="23" t="inlineStr">
        <is>
          <t>Single Carrier (Band n50, 100MHz TDD)</t>
        </is>
      </c>
      <c r="Q369" s="27">
        <f>ROUNDUP(O369/'Methodology &amp; Assumptions'!$B$8, 0)</f>
        <v/>
      </c>
      <c r="R369" s="27" t="n">
        <v>1</v>
      </c>
      <c r="S369" s="26" t="n">
        <v>1.56</v>
      </c>
      <c r="T369" s="26" t="n">
        <v>0.28</v>
      </c>
      <c r="U369" s="11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26" t="n">
        <v>66.40000000000001</v>
      </c>
      <c r="W369" s="26" t="n">
        <v>72.86</v>
      </c>
      <c r="X369" s="26">
        <f>ROUND(('Methodology &amp; Assumptions'!$B$5*V369) + ('Methodology &amp; Assumptions'!$B$6*W369), 2)</f>
        <v/>
      </c>
      <c r="Y369" s="28" t="n">
        <v>10.9</v>
      </c>
      <c r="Z369" s="11" t="inlineStr">
        <is>
          <t>Priority Tier 2 (Balanced Opportunity)</t>
        </is>
      </c>
    </row>
    <row r="370">
      <c r="A370" s="23" t="n">
        <v>1</v>
      </c>
      <c r="B370" s="23" t="n">
        <v>366</v>
      </c>
      <c r="C370" s="23" t="n">
        <v>366</v>
      </c>
      <c r="D370" s="23" t="inlineStr">
        <is>
          <t>0102915001</t>
        </is>
      </c>
      <c r="E370" s="11" t="inlineStr">
        <is>
          <t>Region I (Ilocos Region)</t>
        </is>
      </c>
      <c r="F370" s="11" t="inlineStr">
        <is>
          <t>Ilocos Sur</t>
        </is>
      </c>
      <c r="G370" s="11" t="inlineStr">
        <is>
          <t>Quirino</t>
        </is>
      </c>
      <c r="H370" s="11" t="inlineStr">
        <is>
          <t>Banoen</t>
        </is>
      </c>
      <c r="I370" s="24" t="n">
        <v>17.151758</v>
      </c>
      <c r="J370" s="24" t="n">
        <v>120.69763</v>
      </c>
      <c r="K370" s="23" t="inlineStr">
        <is>
          <t>R</t>
        </is>
      </c>
      <c r="L370" s="25" t="n">
        <v>596</v>
      </c>
      <c r="M370" s="26" t="n">
        <v>3.9</v>
      </c>
      <c r="N370" s="25">
        <f>ROUND(L370/M370, 0)</f>
        <v/>
      </c>
      <c r="O370" s="25">
        <f>ROUND(N370*'Methodology &amp; Assumptions'!$B$7, 0)</f>
        <v/>
      </c>
      <c r="P370" s="23" t="inlineStr">
        <is>
          <t>Single Carrier (Band n50, 100MHz TDD)</t>
        </is>
      </c>
      <c r="Q370" s="27">
        <f>ROUNDUP(O370/'Methodology &amp; Assumptions'!$B$8, 0)</f>
        <v/>
      </c>
      <c r="R370" s="27" t="n">
        <v>1</v>
      </c>
      <c r="S370" s="26" t="n">
        <v>2.61</v>
      </c>
      <c r="T370" s="26" t="n">
        <v>2.48</v>
      </c>
      <c r="U370" s="11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26" t="n">
        <v>54.28</v>
      </c>
      <c r="W370" s="26" t="n">
        <v>84.97</v>
      </c>
      <c r="X370" s="26">
        <f>ROUND(('Methodology &amp; Assumptions'!$B$5*V370) + ('Methodology &amp; Assumptions'!$B$6*W370), 2)</f>
        <v/>
      </c>
      <c r="Y370" s="28" t="n">
        <v>8.300000000000001</v>
      </c>
      <c r="Z370" s="11" t="inlineStr">
        <is>
          <t>Priority Tier 2 (Balanced Opportunity)</t>
        </is>
      </c>
    </row>
    <row r="371">
      <c r="A371" s="23" t="n">
        <v>1</v>
      </c>
      <c r="B371" s="23" t="n">
        <v>367</v>
      </c>
      <c r="C371" s="23" t="n">
        <v>367</v>
      </c>
      <c r="D371" s="23" t="inlineStr">
        <is>
          <t>0402116005</t>
        </is>
      </c>
      <c r="E371" s="11" t="inlineStr">
        <is>
          <t>Region IV-A (CALABARZON)</t>
        </is>
      </c>
      <c r="F371" s="11" t="inlineStr">
        <is>
          <t>Cavite</t>
        </is>
      </c>
      <c r="G371" s="11" t="inlineStr">
        <is>
          <t>Noveleta</t>
        </is>
      </c>
      <c r="H371" s="11" t="inlineStr">
        <is>
          <t>San Juan I</t>
        </is>
      </c>
      <c r="I371" s="24" t="n">
        <v>14.433363</v>
      </c>
      <c r="J371" s="24" t="n">
        <v>120.884526</v>
      </c>
      <c r="K371" s="23" t="inlineStr">
        <is>
          <t>R</t>
        </is>
      </c>
      <c r="L371" s="25" t="n">
        <v>3130</v>
      </c>
      <c r="M371" s="26" t="n">
        <v>3.4</v>
      </c>
      <c r="N371" s="25">
        <f>ROUND(L371/M371, 0)</f>
        <v/>
      </c>
      <c r="O371" s="25">
        <f>ROUND(N371*'Methodology &amp; Assumptions'!$B$7, 0)</f>
        <v/>
      </c>
      <c r="P371" s="23" t="inlineStr">
        <is>
          <t>Single Carrier (Band n50, 100MHz TDD)</t>
        </is>
      </c>
      <c r="Q371" s="27">
        <f>ROUNDUP(O371/'Methodology &amp; Assumptions'!$B$8, 0)</f>
        <v/>
      </c>
      <c r="R371" s="27" t="n">
        <v>1</v>
      </c>
      <c r="S371" s="26" t="n">
        <v>0.46</v>
      </c>
      <c r="T371" s="26" t="n">
        <v>0.22</v>
      </c>
      <c r="U371" s="11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26" t="n">
        <v>85.45999999999999</v>
      </c>
      <c r="W371" s="26" t="n">
        <v>53.79</v>
      </c>
      <c r="X371" s="26">
        <f>ROUND(('Methodology &amp; Assumptions'!$B$5*V371) + ('Methodology &amp; Assumptions'!$B$6*W371), 2)</f>
        <v/>
      </c>
      <c r="Y371" s="28" t="n">
        <v>7.2</v>
      </c>
      <c r="Z371" s="11" t="inlineStr">
        <is>
          <t>Priority Tier 2 (Balanced Opportunity)</t>
        </is>
      </c>
    </row>
    <row r="372">
      <c r="A372" s="23" t="n">
        <v>1</v>
      </c>
      <c r="B372" s="23" t="n">
        <v>368</v>
      </c>
      <c r="C372" s="23" t="n">
        <v>368</v>
      </c>
      <c r="D372" s="23" t="inlineStr">
        <is>
          <t>0402106078</t>
        </is>
      </c>
      <c r="E372" s="11" t="inlineStr">
        <is>
          <t>Region IV-A (CALABARZON)</t>
        </is>
      </c>
      <c r="F372" s="11" t="inlineStr">
        <is>
          <t>Cavite</t>
        </is>
      </c>
      <c r="G372" s="11" t="inlineStr">
        <is>
          <t>City of Dasmariñas</t>
        </is>
      </c>
      <c r="H372" s="11" t="inlineStr">
        <is>
          <t>Santo Niño II</t>
        </is>
      </c>
      <c r="I372" s="24" t="n">
        <v>14.34331</v>
      </c>
      <c r="J372" s="24" t="n">
        <v>120.95534</v>
      </c>
      <c r="K372" s="23" t="inlineStr">
        <is>
          <t>R</t>
        </is>
      </c>
      <c r="L372" s="25" t="n">
        <v>2881</v>
      </c>
      <c r="M372" s="26" t="n">
        <v>3.4</v>
      </c>
      <c r="N372" s="25">
        <f>ROUND(L372/M372, 0)</f>
        <v/>
      </c>
      <c r="O372" s="25">
        <f>ROUND(N372*'Methodology &amp; Assumptions'!$B$7, 0)</f>
        <v/>
      </c>
      <c r="P372" s="23" t="inlineStr">
        <is>
          <t>Single Carrier (Band n50, 100MHz TDD)</t>
        </is>
      </c>
      <c r="Q372" s="27">
        <f>ROUNDUP(O372/'Methodology &amp; Assumptions'!$B$8, 0)</f>
        <v/>
      </c>
      <c r="R372" s="27" t="n">
        <v>1</v>
      </c>
      <c r="S372" s="26" t="n">
        <v>1.87</v>
      </c>
      <c r="T372" s="26" t="n">
        <v>4.63</v>
      </c>
      <c r="U372" s="11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26" t="n">
        <v>78.15000000000001</v>
      </c>
      <c r="W372" s="26" t="n">
        <v>61.1</v>
      </c>
      <c r="X372" s="26">
        <f>ROUND(('Methodology &amp; Assumptions'!$B$5*V372) + ('Methodology &amp; Assumptions'!$B$6*W372), 2)</f>
        <v/>
      </c>
      <c r="Y372" s="28" t="n">
        <v>7.2</v>
      </c>
      <c r="Z372" s="11" t="inlineStr">
        <is>
          <t>Priority Tier 2 (Balanced Opportunity)</t>
        </is>
      </c>
    </row>
    <row r="373">
      <c r="A373" s="23" t="n">
        <v>1</v>
      </c>
      <c r="B373" s="23" t="n">
        <v>369</v>
      </c>
      <c r="C373" s="23" t="n">
        <v>369</v>
      </c>
      <c r="D373" s="23" t="inlineStr">
        <is>
          <t>0401029029</t>
        </is>
      </c>
      <c r="E373" s="11" t="inlineStr">
        <is>
          <t>Region IV-A (CALABARZON)</t>
        </is>
      </c>
      <c r="F373" s="11" t="inlineStr">
        <is>
          <t>Batangas</t>
        </is>
      </c>
      <c r="G373" s="11" t="inlineStr">
        <is>
          <t>Taal</t>
        </is>
      </c>
      <c r="H373" s="11" t="inlineStr">
        <is>
          <t>Poblacion 5</t>
        </is>
      </c>
      <c r="I373" s="24" t="n">
        <v>13.876102</v>
      </c>
      <c r="J373" s="24" t="n">
        <v>120.917707</v>
      </c>
      <c r="K373" s="23" t="inlineStr">
        <is>
          <t>R</t>
        </is>
      </c>
      <c r="L373" s="25" t="n">
        <v>2098</v>
      </c>
      <c r="M373" s="26" t="n">
        <v>3.6</v>
      </c>
      <c r="N373" s="25">
        <f>ROUND(L373/M373, 0)</f>
        <v/>
      </c>
      <c r="O373" s="25">
        <f>ROUND(N373*'Methodology &amp; Assumptions'!$B$7, 0)</f>
        <v/>
      </c>
      <c r="P373" s="23" t="inlineStr">
        <is>
          <t>Single Carrier (Band n50, 100MHz TDD)</t>
        </is>
      </c>
      <c r="Q373" s="27">
        <f>ROUNDUP(O373/'Methodology &amp; Assumptions'!$B$8, 0)</f>
        <v/>
      </c>
      <c r="R373" s="27" t="n">
        <v>1</v>
      </c>
      <c r="S373" s="26" t="n">
        <v>0.08</v>
      </c>
      <c r="T373" s="26" t="n">
        <v>2.32</v>
      </c>
      <c r="U373" s="11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26" t="n">
        <v>77.52</v>
      </c>
      <c r="W373" s="26" t="n">
        <v>61.71</v>
      </c>
      <c r="X373" s="26">
        <f>ROUND(('Methodology &amp; Assumptions'!$B$5*V373) + ('Methodology &amp; Assumptions'!$B$6*W373), 2)</f>
        <v/>
      </c>
      <c r="Y373" s="28" t="n">
        <v>7.2</v>
      </c>
      <c r="Z373" s="11" t="inlineStr">
        <is>
          <t>Priority Tier 2 (Balanced Opportunity)</t>
        </is>
      </c>
    </row>
    <row r="374">
      <c r="A374" s="23" t="n">
        <v>1</v>
      </c>
      <c r="B374" s="23" t="n">
        <v>370</v>
      </c>
      <c r="C374" s="23" t="n">
        <v>370</v>
      </c>
      <c r="D374" s="23" t="inlineStr">
        <is>
          <t>0301412012</t>
        </is>
      </c>
      <c r="E374" s="11" t="inlineStr">
        <is>
          <t>Region III (Central Luzon)</t>
        </is>
      </c>
      <c r="F374" s="11" t="inlineStr">
        <is>
          <t>Bulacan</t>
        </is>
      </c>
      <c r="G374" s="11" t="inlineStr">
        <is>
          <t>City of Meycauayan</t>
        </is>
      </c>
      <c r="H374" s="11" t="inlineStr">
        <is>
          <t>Libtong</t>
        </is>
      </c>
      <c r="I374" s="24" t="n">
        <v>14.746128</v>
      </c>
      <c r="J374" s="24" t="n">
        <v>120.980968</v>
      </c>
      <c r="K374" s="23" t="inlineStr">
        <is>
          <t>U</t>
        </is>
      </c>
      <c r="L374" s="25" t="n">
        <v>13319</v>
      </c>
      <c r="M374" s="26" t="n">
        <v>3.5</v>
      </c>
      <c r="N374" s="25">
        <f>ROUND(L374/M374, 0)</f>
        <v/>
      </c>
      <c r="O374" s="25">
        <f>ROUND(N374*'Methodology &amp; Assumptions'!$B$7, 0)</f>
        <v/>
      </c>
      <c r="P374" s="23" t="inlineStr">
        <is>
          <t>Single Carrier (Band n50, 100MHz TDD)</t>
        </is>
      </c>
      <c r="Q374" s="27">
        <f>ROUNDUP(O374/'Methodology &amp; Assumptions'!$B$8, 0)</f>
        <v/>
      </c>
      <c r="R374" s="27" t="n">
        <v>1</v>
      </c>
      <c r="S374" s="26" t="n">
        <v>1.6</v>
      </c>
      <c r="T374" s="26" t="n">
        <v>1.12</v>
      </c>
      <c r="U374" s="11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26" t="n">
        <v>75.58</v>
      </c>
      <c r="W374" s="26" t="n">
        <v>63.65</v>
      </c>
      <c r="X374" s="26">
        <f>ROUND(('Methodology &amp; Assumptions'!$B$5*V374) + ('Methodology &amp; Assumptions'!$B$6*W374), 2)</f>
        <v/>
      </c>
      <c r="Y374" s="28" t="n">
        <v>8.300000000000001</v>
      </c>
      <c r="Z374" s="11" t="inlineStr">
        <is>
          <t>Priority Tier 2 (Balanced Opportunity)</t>
        </is>
      </c>
    </row>
    <row r="375">
      <c r="A375" s="23" t="n">
        <v>1</v>
      </c>
      <c r="B375" s="23" t="n">
        <v>371</v>
      </c>
      <c r="C375" s="23" t="n">
        <v>371</v>
      </c>
      <c r="D375" s="23" t="inlineStr">
        <is>
          <t>1381100132</t>
        </is>
      </c>
      <c r="E375" s="11" t="inlineStr">
        <is>
          <t>National Capital Region (NCR)</t>
        </is>
      </c>
      <c r="F375" s="11" t="inlineStr">
        <is>
          <t>Fourth District (Not a Province)</t>
        </is>
      </c>
      <c r="G375" s="11" t="inlineStr">
        <is>
          <t>Pasay City</t>
        </is>
      </c>
      <c r="H375" s="11" t="inlineStr">
        <is>
          <t>Barangay 132</t>
        </is>
      </c>
      <c r="I375" s="24" t="n">
        <v>14.546587</v>
      </c>
      <c r="J375" s="24" t="n">
        <v>121.00745</v>
      </c>
      <c r="K375" s="23" t="inlineStr">
        <is>
          <t>U</t>
        </is>
      </c>
      <c r="L375" s="25" t="n">
        <v>3967</v>
      </c>
      <c r="M375" s="26" t="n">
        <v>3.03</v>
      </c>
      <c r="N375" s="25">
        <f>ROUND(L375/M375, 0)</f>
        <v/>
      </c>
      <c r="O375" s="25">
        <f>ROUND(N375*'Methodology &amp; Assumptions'!$B$7, 0)</f>
        <v/>
      </c>
      <c r="P375" s="23" t="inlineStr">
        <is>
          <t>Single Carrier (Band n50, 100MHz TDD)</t>
        </is>
      </c>
      <c r="Q375" s="27">
        <f>ROUNDUP(O375/'Methodology &amp; Assumptions'!$B$8, 0)</f>
        <v/>
      </c>
      <c r="R375" s="27" t="n">
        <v>1</v>
      </c>
      <c r="S375" s="26" t="n">
        <v>0.55</v>
      </c>
      <c r="T375" s="26" t="n">
        <v>0.42</v>
      </c>
      <c r="U375" s="11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26" t="n">
        <v>69.09</v>
      </c>
      <c r="W375" s="26" t="n">
        <v>70.15000000000001</v>
      </c>
      <c r="X375" s="26">
        <f>ROUND(('Methodology &amp; Assumptions'!$B$5*V375) + ('Methodology &amp; Assumptions'!$B$6*W375), 2)</f>
        <v/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1</v>
      </c>
      <c r="B376" s="23" t="n">
        <v>372</v>
      </c>
      <c r="C376" s="23" t="n">
        <v>372</v>
      </c>
      <c r="D376" s="23" t="inlineStr">
        <is>
          <t>1380601001</t>
        </is>
      </c>
      <c r="E376" s="11" t="inlineStr">
        <is>
          <t>National Capital Region (NCR)</t>
        </is>
      </c>
      <c r="F376" s="11" t="inlineStr">
        <is>
          <t>First District (Not a Province)</t>
        </is>
      </c>
      <c r="G376" s="11" t="inlineStr">
        <is>
          <t>City of Manila</t>
        </is>
      </c>
      <c r="H376" s="11" t="inlineStr">
        <is>
          <t>Barangay 1</t>
        </is>
      </c>
      <c r="I376" s="24" t="n">
        <v>14.604333</v>
      </c>
      <c r="J376" s="24" t="n">
        <v>120.966826</v>
      </c>
      <c r="K376" s="23" t="inlineStr">
        <is>
          <t>U</t>
        </is>
      </c>
      <c r="L376" s="25" t="n">
        <v>3119</v>
      </c>
      <c r="M376" s="26" t="n">
        <v>3.92</v>
      </c>
      <c r="N376" s="25">
        <f>ROUND(L376/M376, 0)</f>
        <v/>
      </c>
      <c r="O376" s="25">
        <f>ROUND(N376*'Methodology &amp; Assumptions'!$B$7, 0)</f>
        <v/>
      </c>
      <c r="P376" s="23" t="inlineStr">
        <is>
          <t>Single Carrier (Band n50, 100MHz TDD)</t>
        </is>
      </c>
      <c r="Q376" s="27">
        <f>ROUNDUP(O376/'Methodology &amp; Assumptions'!$B$8, 0)</f>
        <v/>
      </c>
      <c r="R376" s="27" t="n">
        <v>1</v>
      </c>
      <c r="S376" s="26" t="n">
        <v>0.41</v>
      </c>
      <c r="T376" s="26" t="n">
        <v>0.41</v>
      </c>
      <c r="U376" s="11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26" t="n">
        <v>66.69</v>
      </c>
      <c r="W376" s="26" t="n">
        <v>72.53</v>
      </c>
      <c r="X376" s="26">
        <f>ROUND(('Methodology &amp; Assumptions'!$B$5*V376) + ('Methodology &amp; Assumptions'!$B$6*W376), 2)</f>
        <v/>
      </c>
      <c r="Y376" s="28" t="n">
        <v>10.9</v>
      </c>
      <c r="Z376" s="11" t="inlineStr">
        <is>
          <t>Priority Tier 2 (Balanced Opportunity)</t>
        </is>
      </c>
    </row>
    <row r="377">
      <c r="A377" s="23" t="n">
        <v>1</v>
      </c>
      <c r="B377" s="23" t="n">
        <v>373</v>
      </c>
      <c r="C377" s="23" t="n">
        <v>373</v>
      </c>
      <c r="D377" s="23" t="inlineStr">
        <is>
          <t>0702219013</t>
        </is>
      </c>
      <c r="E377" s="11" t="inlineStr">
        <is>
          <t>Region VII (Central Visayas)</t>
        </is>
      </c>
      <c r="F377" s="11" t="inlineStr">
        <is>
          <t>Cebu</t>
        </is>
      </c>
      <c r="G377" s="11" t="inlineStr">
        <is>
          <t>Consolacion</t>
        </is>
      </c>
      <c r="H377" s="11" t="inlineStr">
        <is>
          <t>Poblacion Occidental</t>
        </is>
      </c>
      <c r="I377" s="24" t="n">
        <v>10.373378</v>
      </c>
      <c r="J377" s="24" t="n">
        <v>123.953558</v>
      </c>
      <c r="K377" s="23" t="inlineStr">
        <is>
          <t>U</t>
        </is>
      </c>
      <c r="L377" s="25" t="n">
        <v>6123</v>
      </c>
      <c r="M377" s="26" t="n">
        <v>3.8</v>
      </c>
      <c r="N377" s="25">
        <f>ROUND(L377/M377, 0)</f>
        <v/>
      </c>
      <c r="O377" s="25">
        <f>ROUND(N377*'Methodology &amp; Assumptions'!$B$7, 0)</f>
        <v/>
      </c>
      <c r="P377" s="23" t="inlineStr">
        <is>
          <t>Single Carrier (Band n50, 100MHz TDD)</t>
        </is>
      </c>
      <c r="Q377" s="27">
        <f>ROUNDUP(O377/'Methodology &amp; Assumptions'!$B$8, 0)</f>
        <v/>
      </c>
      <c r="R377" s="27" t="n">
        <v>1</v>
      </c>
      <c r="S377" s="26" t="n">
        <v>0.67</v>
      </c>
      <c r="T377" s="26" t="n">
        <v>0.19</v>
      </c>
      <c r="U377" s="11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26" t="n">
        <v>80.86</v>
      </c>
      <c r="W377" s="26" t="n">
        <v>58.28</v>
      </c>
      <c r="X377" s="26">
        <f>ROUND(('Methodology &amp; Assumptions'!$B$5*V377) + ('Methodology &amp; Assumptions'!$B$6*W377), 2)</f>
        <v/>
      </c>
      <c r="Y377" s="28" t="n">
        <v>23.7</v>
      </c>
      <c r="Z377" s="11" t="inlineStr">
        <is>
          <t>Priority Tier 2 (Balanced Opportunity)</t>
        </is>
      </c>
    </row>
    <row r="378">
      <c r="A378" s="23" t="n">
        <v>1</v>
      </c>
      <c r="B378" s="23" t="n">
        <v>374</v>
      </c>
      <c r="C378" s="23" t="n">
        <v>374</v>
      </c>
      <c r="D378" s="23" t="inlineStr">
        <is>
          <t>0600402007</t>
        </is>
      </c>
      <c r="E378" s="11" t="inlineStr">
        <is>
          <t>Region VI (Western Visayas)</t>
        </is>
      </c>
      <c r="F378" s="11" t="inlineStr">
        <is>
          <t>Aklan</t>
        </is>
      </c>
      <c r="G378" s="11" t="inlineStr">
        <is>
          <t>Balete</t>
        </is>
      </c>
      <c r="H378" s="11" t="inlineStr">
        <is>
          <t>Fulgencio</t>
        </is>
      </c>
      <c r="I378" s="24" t="n">
        <v>11.53019</v>
      </c>
      <c r="J378" s="24" t="n">
        <v>122.367428</v>
      </c>
      <c r="K378" s="23" t="inlineStr">
        <is>
          <t>R</t>
        </is>
      </c>
      <c r="L378" s="25" t="n">
        <v>3736</v>
      </c>
      <c r="M378" s="26" t="n">
        <v>3.9</v>
      </c>
      <c r="N378" s="25">
        <f>ROUND(L378/M378, 0)</f>
        <v/>
      </c>
      <c r="O378" s="25">
        <f>ROUND(N378*'Methodology &amp; Assumptions'!$B$7, 0)</f>
        <v/>
      </c>
      <c r="P378" s="23" t="inlineStr">
        <is>
          <t>Single Carrier (Band n50, 100MHz TDD)</t>
        </is>
      </c>
      <c r="Q378" s="27">
        <f>ROUNDUP(O378/'Methodology &amp; Assumptions'!$B$8, 0)</f>
        <v/>
      </c>
      <c r="R378" s="27" t="n">
        <v>1</v>
      </c>
      <c r="S378" s="26" t="n">
        <v>3.13</v>
      </c>
      <c r="T378" s="26" t="n">
        <v>3</v>
      </c>
      <c r="U378" s="11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26" t="n">
        <v>76.81</v>
      </c>
      <c r="W378" s="26" t="n">
        <v>62.33</v>
      </c>
      <c r="X378" s="26">
        <f>ROUND(('Methodology &amp; Assumptions'!$B$5*V378) + ('Methodology &amp; Assumptions'!$B$6*W378), 2)</f>
        <v/>
      </c>
      <c r="Y378" s="28" t="n">
        <v>23.7</v>
      </c>
      <c r="Z378" s="11" t="inlineStr">
        <is>
          <t>Priority Tier 2 (Balanced Opportunity)</t>
        </is>
      </c>
    </row>
    <row r="379">
      <c r="A379" s="23" t="n">
        <v>1</v>
      </c>
      <c r="B379" s="23" t="n">
        <v>375</v>
      </c>
      <c r="C379" s="23" t="n">
        <v>375</v>
      </c>
      <c r="D379" s="23" t="inlineStr">
        <is>
          <t>1380614043</t>
        </is>
      </c>
      <c r="E379" s="11" t="inlineStr">
        <is>
          <t>National Capital Region (NCR)</t>
        </is>
      </c>
      <c r="F379" s="11" t="inlineStr">
        <is>
          <t>First District (Not a Province)</t>
        </is>
      </c>
      <c r="G379" s="11" t="inlineStr">
        <is>
          <t>City of Manila</t>
        </is>
      </c>
      <c r="H379" s="11" t="inlineStr">
        <is>
          <t>Barangay 787</t>
        </is>
      </c>
      <c r="I379" s="24" t="n">
        <v>14.574839</v>
      </c>
      <c r="J379" s="24" t="n">
        <v>121.000985</v>
      </c>
      <c r="K379" s="23" t="inlineStr">
        <is>
          <t>U</t>
        </is>
      </c>
      <c r="L379" s="25" t="n">
        <v>3646</v>
      </c>
      <c r="M379" s="26" t="n">
        <v>4.02</v>
      </c>
      <c r="N379" s="25">
        <f>ROUND(L379/M379, 0)</f>
        <v/>
      </c>
      <c r="O379" s="25">
        <f>ROUND(N379*'Methodology &amp; Assumptions'!$B$7, 0)</f>
        <v/>
      </c>
      <c r="P379" s="23" t="inlineStr">
        <is>
          <t>Single Carrier (Band n50, 100MHz TDD)</t>
        </is>
      </c>
      <c r="Q379" s="27">
        <f>ROUNDUP(O379/'Methodology &amp; Assumptions'!$B$8, 0)</f>
        <v/>
      </c>
      <c r="R379" s="27" t="n">
        <v>1</v>
      </c>
      <c r="S379" s="26" t="n">
        <v>0.79</v>
      </c>
      <c r="T379" s="26" t="n">
        <v>0.5</v>
      </c>
      <c r="U379" s="11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26" t="n">
        <v>69.09</v>
      </c>
      <c r="W379" s="26" t="n">
        <v>70.04000000000001</v>
      </c>
      <c r="X379" s="26">
        <f>ROUND(('Methodology &amp; Assumptions'!$B$5*V379) + ('Methodology &amp; Assumptions'!$B$6*W379), 2)</f>
        <v/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1</v>
      </c>
      <c r="B380" s="23" t="n">
        <v>376</v>
      </c>
      <c r="C380" s="23" t="n">
        <v>376</v>
      </c>
      <c r="D380" s="23" t="inlineStr">
        <is>
          <t>1380612004</t>
        </is>
      </c>
      <c r="E380" s="11" t="inlineStr">
        <is>
          <t>National Capital Region (NCR)</t>
        </is>
      </c>
      <c r="F380" s="11" t="inlineStr">
        <is>
          <t>First District (Not a Province)</t>
        </is>
      </c>
      <c r="G380" s="11" t="inlineStr">
        <is>
          <t>City of Manila</t>
        </is>
      </c>
      <c r="H380" s="11" t="inlineStr">
        <is>
          <t>Barangay 836</t>
        </is>
      </c>
      <c r="I380" s="24" t="n">
        <v>14.594525</v>
      </c>
      <c r="J380" s="24" t="n">
        <v>121.010427</v>
      </c>
      <c r="K380" s="23" t="inlineStr">
        <is>
          <t>U</t>
        </is>
      </c>
      <c r="L380" s="25" t="n">
        <v>5673</v>
      </c>
      <c r="M380" s="26" t="n">
        <v>3.89</v>
      </c>
      <c r="N380" s="25">
        <f>ROUND(L380/M380, 0)</f>
        <v/>
      </c>
      <c r="O380" s="25">
        <f>ROUND(N380*'Methodology &amp; Assumptions'!$B$7, 0)</f>
        <v/>
      </c>
      <c r="P380" s="23" t="inlineStr">
        <is>
          <t>Single Carrier (Band n50, 100MHz TDD)</t>
        </is>
      </c>
      <c r="Q380" s="27">
        <f>ROUNDUP(O380/'Methodology &amp; Assumptions'!$B$8, 0)</f>
        <v/>
      </c>
      <c r="R380" s="27" t="n">
        <v>1</v>
      </c>
      <c r="S380" s="26" t="n">
        <v>1.05</v>
      </c>
      <c r="T380" s="26" t="n">
        <v>0.87</v>
      </c>
      <c r="U380" s="11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26" t="n">
        <v>68.29000000000001</v>
      </c>
      <c r="W380" s="26" t="n">
        <v>70.83</v>
      </c>
      <c r="X380" s="26">
        <f>ROUND(('Methodology &amp; Assumptions'!$B$5*V380) + ('Methodology &amp; Assumptions'!$B$6*W380), 2)</f>
        <v/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1</v>
      </c>
      <c r="B381" s="23" t="n">
        <v>377</v>
      </c>
      <c r="C381" s="23" t="n">
        <v>377</v>
      </c>
      <c r="D381" s="23" t="inlineStr">
        <is>
          <t>1380605052</t>
        </is>
      </c>
      <c r="E381" s="11" t="inlineStr">
        <is>
          <t>National Capital Region (NCR)</t>
        </is>
      </c>
      <c r="F381" s="11" t="inlineStr">
        <is>
          <t>First District (Not a Province)</t>
        </is>
      </c>
      <c r="G381" s="11" t="inlineStr">
        <is>
          <t>City of Manila</t>
        </is>
      </c>
      <c r="H381" s="11" t="inlineStr">
        <is>
          <t>Barangay 350</t>
        </is>
      </c>
      <c r="I381" s="24" t="n">
        <v>14.618393</v>
      </c>
      <c r="J381" s="24" t="n">
        <v>120.986936</v>
      </c>
      <c r="K381" s="23" t="inlineStr">
        <is>
          <t>U</t>
        </is>
      </c>
      <c r="L381" s="25" t="n">
        <v>8026</v>
      </c>
      <c r="M381" s="26" t="n">
        <v>3.95</v>
      </c>
      <c r="N381" s="25">
        <f>ROUND(L381/M381, 0)</f>
        <v/>
      </c>
      <c r="O381" s="25">
        <f>ROUND(N381*'Methodology &amp; Assumptions'!$B$7, 0)</f>
        <v/>
      </c>
      <c r="P381" s="23" t="inlineStr">
        <is>
          <t>Single Carrier (Band n50, 100MHz TDD)</t>
        </is>
      </c>
      <c r="Q381" s="27">
        <f>ROUNDUP(O381/'Methodology &amp; Assumptions'!$B$8, 0)</f>
        <v/>
      </c>
      <c r="R381" s="27" t="n">
        <v>1</v>
      </c>
      <c r="S381" s="26" t="n">
        <v>0.49</v>
      </c>
      <c r="T381" s="26" t="n">
        <v>0.44</v>
      </c>
      <c r="U381" s="11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26" t="n">
        <v>69.09</v>
      </c>
      <c r="W381" s="26" t="n">
        <v>69.98999999999999</v>
      </c>
      <c r="X381" s="26">
        <f>ROUND(('Methodology &amp; Assumptions'!$B$5*V381) + ('Methodology &amp; Assumptions'!$B$6*W381), 2)</f>
        <v/>
      </c>
      <c r="Y381" s="28" t="n">
        <v>10.9</v>
      </c>
      <c r="Z381" s="11" t="inlineStr">
        <is>
          <t>Priority Tier 2 (Balanced Opportunity)</t>
        </is>
      </c>
    </row>
    <row r="382">
      <c r="A382" s="23" t="n">
        <v>1</v>
      </c>
      <c r="B382" s="23" t="n">
        <v>378</v>
      </c>
      <c r="C382" s="23" t="n">
        <v>378</v>
      </c>
      <c r="D382" s="23" t="inlineStr">
        <is>
          <t>0403404013</t>
        </is>
      </c>
      <c r="E382" s="11" t="inlineStr">
        <is>
          <t>Region IV-A (CALABARZON)</t>
        </is>
      </c>
      <c r="F382" s="11" t="inlineStr">
        <is>
          <t>Laguna</t>
        </is>
      </c>
      <c r="G382" s="11" t="inlineStr">
        <is>
          <t>City of Cabuyao</t>
        </is>
      </c>
      <c r="H382" s="11" t="inlineStr">
        <is>
          <t>Pulo</t>
        </is>
      </c>
      <c r="I382" s="24" t="n">
        <v>14.246319</v>
      </c>
      <c r="J382" s="24" t="n">
        <v>121.129898</v>
      </c>
      <c r="K382" s="23" t="inlineStr">
        <is>
          <t>U</t>
        </is>
      </c>
      <c r="L382" s="25" t="n">
        <v>38490</v>
      </c>
      <c r="M382" s="26" t="n">
        <v>3.3</v>
      </c>
      <c r="N382" s="25">
        <f>ROUND(L382/M382, 0)</f>
        <v/>
      </c>
      <c r="O382" s="25">
        <f>ROUND(N382*'Methodology &amp; Assumptions'!$B$7, 0)</f>
        <v/>
      </c>
      <c r="P382" s="23" t="inlineStr">
        <is>
          <t>Single Carrier (Band n50, 100MHz TDD)</t>
        </is>
      </c>
      <c r="Q382" s="27">
        <f>ROUNDUP(O382/'Methodology &amp; Assumptions'!$B$8, 0)</f>
        <v/>
      </c>
      <c r="R382" s="27" t="n">
        <v>1</v>
      </c>
      <c r="S382" s="26" t="n">
        <v>0.05</v>
      </c>
      <c r="T382" s="26" t="n">
        <v>0.03</v>
      </c>
      <c r="U382" s="11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26" t="n">
        <v>77.22</v>
      </c>
      <c r="W382" s="26" t="n">
        <v>61.78</v>
      </c>
      <c r="X382" s="26">
        <f>ROUND(('Methodology &amp; Assumptions'!$B$5*V382) + ('Methodology &amp; Assumptions'!$B$6*W382), 2)</f>
        <v/>
      </c>
      <c r="Y382" s="28" t="n">
        <v>7.2</v>
      </c>
      <c r="Z382" s="11" t="inlineStr">
        <is>
          <t>Priority Tier 2 (Balanced Opportunity)</t>
        </is>
      </c>
    </row>
    <row r="383">
      <c r="A383" s="23" t="n">
        <v>1</v>
      </c>
      <c r="B383" s="23" t="n">
        <v>379</v>
      </c>
      <c r="C383" s="23" t="n">
        <v>379</v>
      </c>
      <c r="D383" s="23" t="inlineStr">
        <is>
          <t>1380612028</t>
        </is>
      </c>
      <c r="E383" s="11" t="inlineStr">
        <is>
          <t>National Capital Region (NCR)</t>
        </is>
      </c>
      <c r="F383" s="11" t="inlineStr">
        <is>
          <t>First District (Not a Province)</t>
        </is>
      </c>
      <c r="G383" s="11" t="inlineStr">
        <is>
          <t>City of Manila</t>
        </is>
      </c>
      <c r="H383" s="11" t="inlineStr">
        <is>
          <t>Barangay 860</t>
        </is>
      </c>
      <c r="I383" s="24" t="n">
        <v>14.589873</v>
      </c>
      <c r="J383" s="24" t="n">
        <v>121.007136</v>
      </c>
      <c r="K383" s="23" t="inlineStr">
        <is>
          <t>U</t>
        </is>
      </c>
      <c r="L383" s="25" t="n">
        <v>3480</v>
      </c>
      <c r="M383" s="26" t="n">
        <v>3.89</v>
      </c>
      <c r="N383" s="25">
        <f>ROUND(L383/M383, 0)</f>
        <v/>
      </c>
      <c r="O383" s="25">
        <f>ROUND(N383*'Methodology &amp; Assumptions'!$B$7, 0)</f>
        <v/>
      </c>
      <c r="P383" s="23" t="inlineStr">
        <is>
          <t>Single Carrier (Band n50, 100MHz TDD)</t>
        </is>
      </c>
      <c r="Q383" s="27">
        <f>ROUNDUP(O383/'Methodology &amp; Assumptions'!$B$8, 0)</f>
        <v/>
      </c>
      <c r="R383" s="27" t="n">
        <v>1</v>
      </c>
      <c r="S383" s="26" t="n">
        <v>0.77</v>
      </c>
      <c r="T383" s="26" t="n">
        <v>0.61</v>
      </c>
      <c r="U383" s="11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26" t="n">
        <v>69.09</v>
      </c>
      <c r="W383" s="26" t="n">
        <v>69.90000000000001</v>
      </c>
      <c r="X383" s="26">
        <f>ROUND(('Methodology &amp; Assumptions'!$B$5*V383) + ('Methodology &amp; Assumptions'!$B$6*W383), 2)</f>
        <v/>
      </c>
      <c r="Y383" s="28" t="n">
        <v>10.9</v>
      </c>
      <c r="Z383" s="11" t="inlineStr">
        <is>
          <t>Priority Tier 2 (Balanced Opportunity)</t>
        </is>
      </c>
    </row>
    <row r="384">
      <c r="A384" s="23" t="n">
        <v>1</v>
      </c>
      <c r="B384" s="23" t="n">
        <v>380</v>
      </c>
      <c r="C384" s="23" t="n">
        <v>380</v>
      </c>
      <c r="D384" s="23" t="inlineStr">
        <is>
          <t>1380612015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847</t>
        </is>
      </c>
      <c r="I384" s="24" t="n">
        <v>14.590618</v>
      </c>
      <c r="J384" s="24" t="n">
        <v>121.003366</v>
      </c>
      <c r="K384" s="23" t="inlineStr">
        <is>
          <t>U</t>
        </is>
      </c>
      <c r="L384" s="25" t="n">
        <v>3132</v>
      </c>
      <c r="M384" s="26" t="n">
        <v>3.71</v>
      </c>
      <c r="N384" s="25">
        <f>ROUND(L384/M384, 0)</f>
        <v/>
      </c>
      <c r="O384" s="25">
        <f>ROUND(N384*'Methodology &amp; Assumptions'!$B$7, 0)</f>
        <v/>
      </c>
      <c r="P384" s="23" t="inlineStr">
        <is>
          <t>Single Carrier (Band n50, 100MHz TDD)</t>
        </is>
      </c>
      <c r="Q384" s="27">
        <f>ROUNDUP(O384/'Methodology &amp; Assumptions'!$B$8, 0)</f>
        <v/>
      </c>
      <c r="R384" s="27" t="n">
        <v>1</v>
      </c>
      <c r="S384" s="26" t="n">
        <v>0.6899999999999999</v>
      </c>
      <c r="T384" s="26" t="n">
        <v>0.37</v>
      </c>
      <c r="U384" s="11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26" t="n">
        <v>68.3</v>
      </c>
      <c r="W384" s="26" t="n">
        <v>70.69</v>
      </c>
      <c r="X384" s="26">
        <f>ROUND(('Methodology &amp; Assumptions'!$B$5*V384) + ('Methodology &amp; Assumptions'!$B$6*W384), 2)</f>
        <v/>
      </c>
      <c r="Y384" s="28" t="n">
        <v>10.9</v>
      </c>
      <c r="Z384" s="11" t="inlineStr">
        <is>
          <t>Priority Tier 2 (Balanced Opportunity)</t>
        </is>
      </c>
    </row>
    <row r="385">
      <c r="A385" s="23" t="n">
        <v>1</v>
      </c>
      <c r="B385" s="23" t="n">
        <v>381</v>
      </c>
      <c r="C385" s="23" t="n">
        <v>381</v>
      </c>
      <c r="D385" s="23" t="inlineStr">
        <is>
          <t>1380606206</t>
        </is>
      </c>
      <c r="E385" s="11" t="inlineStr">
        <is>
          <t>National Capital Region (NCR)</t>
        </is>
      </c>
      <c r="F385" s="11" t="inlineStr">
        <is>
          <t>First District (Not a Province)</t>
        </is>
      </c>
      <c r="G385" s="11" t="inlineStr">
        <is>
          <t>City of Manila</t>
        </is>
      </c>
      <c r="H385" s="11" t="inlineStr">
        <is>
          <t>Barangay 599</t>
        </is>
      </c>
      <c r="I385" s="24" t="n">
        <v>14.599797</v>
      </c>
      <c r="J385" s="24" t="n">
        <v>121.017735</v>
      </c>
      <c r="K385" s="23" t="inlineStr">
        <is>
          <t>U</t>
        </is>
      </c>
      <c r="L385" s="25" t="n">
        <v>4577</v>
      </c>
      <c r="M385" s="26" t="n">
        <v>4.94</v>
      </c>
      <c r="N385" s="25">
        <f>ROUND(L385/M385, 0)</f>
        <v/>
      </c>
      <c r="O385" s="25">
        <f>ROUND(N385*'Methodology &amp; Assumptions'!$B$7, 0)</f>
        <v/>
      </c>
      <c r="P385" s="23" t="inlineStr">
        <is>
          <t>Single Carrier (Band n50, 100MHz TDD)</t>
        </is>
      </c>
      <c r="Q385" s="27">
        <f>ROUNDUP(O385/'Methodology &amp; Assumptions'!$B$8, 0)</f>
        <v/>
      </c>
      <c r="R385" s="27" t="n">
        <v>1</v>
      </c>
      <c r="S385" s="26" t="n">
        <v>1.44</v>
      </c>
      <c r="T385" s="26" t="n">
        <v>0.41</v>
      </c>
      <c r="U385" s="11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26" t="n">
        <v>66.81999999999999</v>
      </c>
      <c r="W385" s="26" t="n">
        <v>72.17</v>
      </c>
      <c r="X385" s="26">
        <f>ROUND(('Methodology &amp; Assumptions'!$B$5*V385) + ('Methodology &amp; Assumptions'!$B$6*W385), 2)</f>
        <v/>
      </c>
      <c r="Y385" s="28" t="n">
        <v>10.9</v>
      </c>
      <c r="Z385" s="11" t="inlineStr">
        <is>
          <t>Priority Tier 2 (Balanced Opportunity)</t>
        </is>
      </c>
    </row>
    <row r="386">
      <c r="A386" s="23" t="n">
        <v>1</v>
      </c>
      <c r="B386" s="23" t="n">
        <v>382</v>
      </c>
      <c r="C386" s="23" t="n">
        <v>382</v>
      </c>
      <c r="D386" s="23" t="inlineStr">
        <is>
          <t>0102814001</t>
        </is>
      </c>
      <c r="E386" s="11" t="inlineStr">
        <is>
          <t>Region I (Ilocos Region)</t>
        </is>
      </c>
      <c r="F386" s="11" t="inlineStr">
        <is>
          <t>Ilocos Norte</t>
        </is>
      </c>
      <c r="G386" s="11" t="inlineStr">
        <is>
          <t>Nueva Era</t>
        </is>
      </c>
      <c r="H386" s="11" t="inlineStr">
        <is>
          <t>Acnam</t>
        </is>
      </c>
      <c r="I386" s="24" t="n">
        <v>17.906578</v>
      </c>
      <c r="J386" s="24" t="n">
        <v>120.703379</v>
      </c>
      <c r="K386" s="23" t="inlineStr">
        <is>
          <t>R</t>
        </is>
      </c>
      <c r="L386" s="25" t="n">
        <v>779</v>
      </c>
      <c r="M386" s="26" t="n">
        <v>3.7</v>
      </c>
      <c r="N386" s="25">
        <f>ROUND(L386/M386, 0)</f>
        <v/>
      </c>
      <c r="O386" s="25">
        <f>ROUND(N386*'Methodology &amp; Assumptions'!$B$7, 0)</f>
        <v/>
      </c>
      <c r="P386" s="23" t="inlineStr">
        <is>
          <t>Single Carrier (Band n50, 100MHz TDD)</t>
        </is>
      </c>
      <c r="Q386" s="27">
        <f>ROUNDUP(O386/'Methodology &amp; Assumptions'!$B$8, 0)</f>
        <v/>
      </c>
      <c r="R386" s="27" t="n">
        <v>1</v>
      </c>
      <c r="S386" s="26" t="n">
        <v>4.86</v>
      </c>
      <c r="T386" s="26" t="n">
        <v>2.54</v>
      </c>
      <c r="U386" s="11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26" t="n">
        <v>51.12</v>
      </c>
      <c r="W386" s="26" t="n">
        <v>87.87</v>
      </c>
      <c r="X386" s="26">
        <f>ROUND(('Methodology &amp; Assumptions'!$B$5*V386) + ('Methodology &amp; Assumptions'!$B$6*W386), 2)</f>
        <v/>
      </c>
      <c r="Y386" s="28" t="n">
        <v>8.300000000000001</v>
      </c>
      <c r="Z386" s="11" t="inlineStr">
        <is>
          <t>Priority Tier 2 (Balanced Opportunity)</t>
        </is>
      </c>
    </row>
    <row r="387">
      <c r="A387" s="23" t="n">
        <v>1</v>
      </c>
      <c r="B387" s="23" t="n">
        <v>383</v>
      </c>
      <c r="C387" s="23" t="n">
        <v>383</v>
      </c>
      <c r="D387" s="23" t="inlineStr">
        <is>
          <t>1380614098</t>
        </is>
      </c>
      <c r="E387" s="11" t="inlineStr">
        <is>
          <t>National Capital Region (NCR)</t>
        </is>
      </c>
      <c r="F387" s="11" t="inlineStr">
        <is>
          <t>First District (Not a Province)</t>
        </is>
      </c>
      <c r="G387" s="11" t="inlineStr">
        <is>
          <t>City of Manila</t>
        </is>
      </c>
      <c r="H387" s="11" t="inlineStr">
        <is>
          <t>Barangay 905</t>
        </is>
      </c>
      <c r="I387" s="24" t="n">
        <v>14.586137</v>
      </c>
      <c r="J387" s="24" t="n">
        <v>121.008563</v>
      </c>
      <c r="K387" s="23" t="inlineStr">
        <is>
          <t>U</t>
        </is>
      </c>
      <c r="L387" s="25" t="n">
        <v>7428</v>
      </c>
      <c r="M387" s="26" t="n">
        <v>4.26</v>
      </c>
      <c r="N387" s="25">
        <f>ROUND(L387/M387, 0)</f>
        <v/>
      </c>
      <c r="O387" s="25">
        <f>ROUND(N387*'Methodology &amp; Assumptions'!$B$7, 0)</f>
        <v/>
      </c>
      <c r="P387" s="23" t="inlineStr">
        <is>
          <t>Single Carrier (Band n50, 100MHz TDD)</t>
        </is>
      </c>
      <c r="Q387" s="27">
        <f>ROUNDUP(O387/'Methodology &amp; Assumptions'!$B$8, 0)</f>
        <v/>
      </c>
      <c r="R387" s="27" t="n">
        <v>1</v>
      </c>
      <c r="S387" s="26" t="n">
        <v>0.65</v>
      </c>
      <c r="T387" s="26" t="n">
        <v>0.67</v>
      </c>
      <c r="U387" s="11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26" t="n">
        <v>69.09</v>
      </c>
      <c r="W387" s="26" t="n">
        <v>69.86</v>
      </c>
      <c r="X387" s="26">
        <f>ROUND(('Methodology &amp; Assumptions'!$B$5*V387) + ('Methodology &amp; Assumptions'!$B$6*W387), 2)</f>
        <v/>
      </c>
      <c r="Y387" s="28" t="n">
        <v>10.9</v>
      </c>
      <c r="Z387" s="11" t="inlineStr">
        <is>
          <t>Priority Tier 2 (Balanced Opportunity)</t>
        </is>
      </c>
    </row>
    <row r="388">
      <c r="A388" s="23" t="n">
        <v>1</v>
      </c>
      <c r="B388" s="23" t="n">
        <v>384</v>
      </c>
      <c r="C388" s="23" t="n">
        <v>384</v>
      </c>
      <c r="D388" s="23" t="inlineStr">
        <is>
          <t>1380900006</t>
        </is>
      </c>
      <c r="E388" s="11" t="inlineStr">
        <is>
          <t>National Capital Region (NCR)</t>
        </is>
      </c>
      <c r="F388" s="11" t="inlineStr">
        <is>
          <t>Third District (Not a Province)</t>
        </is>
      </c>
      <c r="G388" s="11" t="inlineStr">
        <is>
          <t>City of Navotas</t>
        </is>
      </c>
      <c r="H388" s="11" t="inlineStr">
        <is>
          <t>Navotas East</t>
        </is>
      </c>
      <c r="I388" s="24" t="n">
        <v>14.65477</v>
      </c>
      <c r="J388" s="24" t="n">
        <v>120.9486</v>
      </c>
      <c r="K388" s="23" t="inlineStr">
        <is>
          <t>U</t>
        </is>
      </c>
      <c r="L388" s="25" t="n">
        <v>2176</v>
      </c>
      <c r="M388" s="26" t="n">
        <v>3.35</v>
      </c>
      <c r="N388" s="25">
        <f>ROUND(L388/M388, 0)</f>
        <v/>
      </c>
      <c r="O388" s="25">
        <f>ROUND(N388*'Methodology &amp; Assumptions'!$B$7, 0)</f>
        <v/>
      </c>
      <c r="P388" s="23" t="inlineStr">
        <is>
          <t>Single Carrier (Band n50, 100MHz TDD)</t>
        </is>
      </c>
      <c r="Q388" s="27">
        <f>ROUNDUP(O388/'Methodology &amp; Assumptions'!$B$8, 0)</f>
        <v/>
      </c>
      <c r="R388" s="27" t="n">
        <v>1</v>
      </c>
      <c r="S388" s="26" t="n">
        <v>0.26</v>
      </c>
      <c r="T388" s="26" t="n">
        <v>0.61</v>
      </c>
      <c r="U388" s="11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26" t="n">
        <v>61.98</v>
      </c>
      <c r="W388" s="26" t="n">
        <v>76.98</v>
      </c>
      <c r="X388" s="26">
        <f>ROUND(('Methodology &amp; Assumptions'!$B$5*V388) + ('Methodology &amp; Assumptions'!$B$6*W388), 2)</f>
        <v/>
      </c>
      <c r="Y388" s="28" t="n">
        <v>10.9</v>
      </c>
      <c r="Z388" s="11" t="inlineStr">
        <is>
          <t>Priority Tier 2 (Balanced Opportunity)</t>
        </is>
      </c>
    </row>
    <row r="389">
      <c r="A389" s="23" t="n">
        <v>1</v>
      </c>
      <c r="B389" s="23" t="n">
        <v>385</v>
      </c>
      <c r="C389" s="23" t="n">
        <v>385</v>
      </c>
      <c r="D389" s="23" t="inlineStr">
        <is>
          <t>0402104011</t>
        </is>
      </c>
      <c r="E389" s="11" t="inlineStr">
        <is>
          <t>Region IV-A (CALABARZON)</t>
        </is>
      </c>
      <c r="F389" s="11" t="inlineStr">
        <is>
          <t>Cavite</t>
        </is>
      </c>
      <c r="G389" s="11" t="inlineStr">
        <is>
          <t>Carmona</t>
        </is>
      </c>
      <c r="H389" s="11" t="inlineStr">
        <is>
          <t>Milagrosa</t>
        </is>
      </c>
      <c r="I389" s="24" t="n">
        <v>14.308128</v>
      </c>
      <c r="J389" s="24" t="n">
        <v>121.048939</v>
      </c>
      <c r="K389" s="23" t="inlineStr">
        <is>
          <t>U</t>
        </is>
      </c>
      <c r="L389" s="25" t="n">
        <v>25103</v>
      </c>
      <c r="M389" s="26" t="n">
        <v>3.4</v>
      </c>
      <c r="N389" s="25">
        <f>ROUND(L389/M389, 0)</f>
        <v/>
      </c>
      <c r="O389" s="25">
        <f>ROUND(N389*'Methodology &amp; Assumptions'!$B$7, 0)</f>
        <v/>
      </c>
      <c r="P389" s="23" t="inlineStr">
        <is>
          <t>Single Carrier (Band n50, 100MHz TDD)</t>
        </is>
      </c>
      <c r="Q389" s="27">
        <f>ROUNDUP(O389/'Methodology &amp; Assumptions'!$B$8, 0)</f>
        <v/>
      </c>
      <c r="R389" s="27" t="n">
        <v>1</v>
      </c>
      <c r="S389" s="26" t="n">
        <v>0.33</v>
      </c>
      <c r="T389" s="26" t="n">
        <v>0.33</v>
      </c>
      <c r="U389" s="11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26" t="n">
        <v>78.26000000000001</v>
      </c>
      <c r="W389" s="26" t="n">
        <v>60.68</v>
      </c>
      <c r="X389" s="26">
        <f>ROUND(('Methodology &amp; Assumptions'!$B$5*V389) + ('Methodology &amp; Assumptions'!$B$6*W389), 2)</f>
        <v/>
      </c>
      <c r="Y389" s="28" t="n">
        <v>7.2</v>
      </c>
      <c r="Z389" s="11" t="inlineStr">
        <is>
          <t>Priority Tier 2 (Balanced Opportunity)</t>
        </is>
      </c>
    </row>
    <row r="390">
      <c r="A390" s="23" t="n">
        <v>1</v>
      </c>
      <c r="B390" s="23" t="n">
        <v>386</v>
      </c>
      <c r="C390" s="23" t="n">
        <v>386</v>
      </c>
      <c r="D390" s="23" t="inlineStr">
        <is>
          <t>1381600016</t>
        </is>
      </c>
      <c r="E390" s="11" t="inlineStr">
        <is>
          <t>National Capital Region (NCR)</t>
        </is>
      </c>
      <c r="F390" s="11" t="inlineStr">
        <is>
          <t>Third District (Not a Province)</t>
        </is>
      </c>
      <c r="G390" s="11" t="inlineStr">
        <is>
          <t>City of Valenzuela</t>
        </is>
      </c>
      <c r="H390" s="11" t="inlineStr">
        <is>
          <t>Malanday</t>
        </is>
      </c>
      <c r="I390" s="24" t="n">
        <v>14.71575</v>
      </c>
      <c r="J390" s="24" t="n">
        <v>120.9539</v>
      </c>
      <c r="K390" s="23" t="inlineStr">
        <is>
          <t>U</t>
        </is>
      </c>
      <c r="L390" s="25" t="n">
        <v>19344</v>
      </c>
      <c r="M390" s="26" t="n">
        <v>3.72</v>
      </c>
      <c r="N390" s="25">
        <f>ROUND(L390/M390, 0)</f>
        <v/>
      </c>
      <c r="O390" s="25">
        <f>ROUND(N390*'Methodology &amp; Assumptions'!$B$7, 0)</f>
        <v/>
      </c>
      <c r="P390" s="23" t="inlineStr">
        <is>
          <t>Single Carrier (Band n50, 100MHz TDD)</t>
        </is>
      </c>
      <c r="Q390" s="27">
        <f>ROUNDUP(O390/'Methodology &amp; Assumptions'!$B$8, 0)</f>
        <v/>
      </c>
      <c r="R390" s="27" t="n">
        <v>1</v>
      </c>
      <c r="S390" s="26" t="n">
        <v>1.01</v>
      </c>
      <c r="T390" s="26" t="n">
        <v>0.4</v>
      </c>
      <c r="U390" s="11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26" t="n">
        <v>67.90000000000001</v>
      </c>
      <c r="W390" s="26" t="n">
        <v>71.04000000000001</v>
      </c>
      <c r="X390" s="26">
        <f>ROUND(('Methodology &amp; Assumptions'!$B$5*V390) + ('Methodology &amp; Assumptions'!$B$6*W390), 2)</f>
        <v/>
      </c>
      <c r="Y390" s="28" t="n">
        <v>10.9</v>
      </c>
      <c r="Z390" s="11" t="inlineStr">
        <is>
          <t>Priority Tier 2 (Balanced Opportunity)</t>
        </is>
      </c>
    </row>
    <row r="391">
      <c r="A391" s="23" t="n">
        <v>1</v>
      </c>
      <c r="B391" s="23" t="n">
        <v>387</v>
      </c>
      <c r="C391" s="23" t="n">
        <v>387</v>
      </c>
      <c r="D391" s="23" t="inlineStr">
        <is>
          <t>1380500019</t>
        </is>
      </c>
      <c r="E391" s="11" t="inlineStr">
        <is>
          <t>National Capital Region (NCR)</t>
        </is>
      </c>
      <c r="F391" s="11" t="inlineStr">
        <is>
          <t>Second District (Not a Province)</t>
        </is>
      </c>
      <c r="G391" s="11" t="inlineStr">
        <is>
          <t>City of Mandaluyong</t>
        </is>
      </c>
      <c r="H391" s="11" t="inlineStr">
        <is>
          <t>New Zañiga</t>
        </is>
      </c>
      <c r="I391" s="24" t="n">
        <v>14.58622</v>
      </c>
      <c r="J391" s="24" t="n">
        <v>121.0296</v>
      </c>
      <c r="K391" s="23" t="inlineStr">
        <is>
          <t>U</t>
        </is>
      </c>
      <c r="L391" s="25" t="n">
        <v>8872</v>
      </c>
      <c r="M391" s="26" t="n">
        <v>3.67</v>
      </c>
      <c r="N391" s="25">
        <f>ROUND(L391/M391, 0)</f>
        <v/>
      </c>
      <c r="O391" s="25">
        <f>ROUND(N391*'Methodology &amp; Assumptions'!$B$7, 0)</f>
        <v/>
      </c>
      <c r="P391" s="23" t="inlineStr">
        <is>
          <t>Single Carrier (Band n50, 100MHz TDD)</t>
        </is>
      </c>
      <c r="Q391" s="27">
        <f>ROUNDUP(O391/'Methodology &amp; Assumptions'!$B$8, 0)</f>
        <v/>
      </c>
      <c r="R391" s="27" t="n">
        <v>1</v>
      </c>
      <c r="S391" s="26" t="n">
        <v>0.33</v>
      </c>
      <c r="T391" s="26" t="n">
        <v>0.33</v>
      </c>
      <c r="U391" s="11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26" t="n">
        <v>69.09</v>
      </c>
      <c r="W391" s="26" t="n">
        <v>69.83</v>
      </c>
      <c r="X391" s="26">
        <f>ROUND(('Methodology &amp; Assumptions'!$B$5*V391) + ('Methodology &amp; Assumptions'!$B$6*W391), 2)</f>
        <v/>
      </c>
      <c r="Y391" s="28" t="n">
        <v>10.9</v>
      </c>
      <c r="Z391" s="11" t="inlineStr">
        <is>
          <t>Priority Tier 2 (Balanced Opportunity)</t>
        </is>
      </c>
    </row>
    <row r="392">
      <c r="A392" s="23" t="n">
        <v>1</v>
      </c>
      <c r="B392" s="23" t="n">
        <v>388</v>
      </c>
      <c r="C392" s="23" t="n">
        <v>388</v>
      </c>
      <c r="D392" s="23" t="inlineStr">
        <is>
          <t>1380610052</t>
        </is>
      </c>
      <c r="E392" s="11" t="inlineStr">
        <is>
          <t>National Capital Region (NCR)</t>
        </is>
      </c>
      <c r="F392" s="11" t="inlineStr">
        <is>
          <t>First District (Not a Province)</t>
        </is>
      </c>
      <c r="G392" s="11" t="inlineStr">
        <is>
          <t>City of Manila</t>
        </is>
      </c>
      <c r="H392" s="11" t="inlineStr">
        <is>
          <t>Barangay 738</t>
        </is>
      </c>
      <c r="I392" s="24" t="n">
        <v>14.572957</v>
      </c>
      <c r="J392" s="24" t="n">
        <v>120.997883</v>
      </c>
      <c r="K392" s="23" t="inlineStr">
        <is>
          <t>U</t>
        </is>
      </c>
      <c r="L392" s="25" t="n">
        <v>3548</v>
      </c>
      <c r="M392" s="26" t="n">
        <v>4.14</v>
      </c>
      <c r="N392" s="25">
        <f>ROUND(L392/M392, 0)</f>
        <v/>
      </c>
      <c r="O392" s="25">
        <f>ROUND(N392*'Methodology &amp; Assumptions'!$B$7, 0)</f>
        <v/>
      </c>
      <c r="P392" s="23" t="inlineStr">
        <is>
          <t>Single Carrier (Band n50, 100MHz TDD)</t>
        </is>
      </c>
      <c r="Q392" s="27">
        <f>ROUNDUP(O392/'Methodology &amp; Assumptions'!$B$8, 0)</f>
        <v/>
      </c>
      <c r="R392" s="27" t="n">
        <v>1</v>
      </c>
      <c r="S392" s="26" t="n">
        <v>0.41</v>
      </c>
      <c r="T392" s="26" t="n">
        <v>0.18</v>
      </c>
      <c r="U392" s="11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26" t="n">
        <v>68.62</v>
      </c>
      <c r="W392" s="26" t="n">
        <v>70.29000000000001</v>
      </c>
      <c r="X392" s="26">
        <f>ROUND(('Methodology &amp; Assumptions'!$B$5*V392) + ('Methodology &amp; Assumptions'!$B$6*W392), 2)</f>
        <v/>
      </c>
      <c r="Y392" s="28" t="n">
        <v>10.9</v>
      </c>
      <c r="Z392" s="11" t="inlineStr">
        <is>
          <t>Priority Tier 2 (Balanced Opportunity)</t>
        </is>
      </c>
    </row>
    <row r="393">
      <c r="A393" s="23" t="n">
        <v>1</v>
      </c>
      <c r="B393" s="23" t="n">
        <v>389</v>
      </c>
      <c r="C393" s="23" t="n">
        <v>389</v>
      </c>
      <c r="D393" s="23" t="inlineStr">
        <is>
          <t>1380605014</t>
        </is>
      </c>
      <c r="E393" s="11" t="inlineStr">
        <is>
          <t>National Capital Region (NCR)</t>
        </is>
      </c>
      <c r="F393" s="11" t="inlineStr">
        <is>
          <t>First District (Not a Province)</t>
        </is>
      </c>
      <c r="G393" s="11" t="inlineStr">
        <is>
          <t>City of Manila</t>
        </is>
      </c>
      <c r="H393" s="11" t="inlineStr">
        <is>
          <t>Barangay 312</t>
        </is>
      </c>
      <c r="I393" s="24" t="n">
        <v>14.606537</v>
      </c>
      <c r="J393" s="24" t="n">
        <v>120.982576</v>
      </c>
      <c r="K393" s="23" t="inlineStr">
        <is>
          <t>U</t>
        </is>
      </c>
      <c r="L393" s="25" t="n">
        <v>2945</v>
      </c>
      <c r="M393" s="26" t="n">
        <v>3.11</v>
      </c>
      <c r="N393" s="25">
        <f>ROUND(L393/M393, 0)</f>
        <v/>
      </c>
      <c r="O393" s="25">
        <f>ROUND(N393*'Methodology &amp; Assumptions'!$B$7, 0)</f>
        <v/>
      </c>
      <c r="P393" s="23" t="inlineStr">
        <is>
          <t>Single Carrier (Band n50, 100MHz TDD)</t>
        </is>
      </c>
      <c r="Q393" s="27">
        <f>ROUNDUP(O393/'Methodology &amp; Assumptions'!$B$8, 0)</f>
        <v/>
      </c>
      <c r="R393" s="27" t="n">
        <v>1</v>
      </c>
      <c r="S393" s="26" t="n">
        <v>1</v>
      </c>
      <c r="T393" s="26" t="n">
        <v>0.29</v>
      </c>
      <c r="U393" s="11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26" t="n">
        <v>68.47</v>
      </c>
      <c r="W393" s="26" t="n">
        <v>70.44</v>
      </c>
      <c r="X393" s="26">
        <f>ROUND(('Methodology &amp; Assumptions'!$B$5*V393) + ('Methodology &amp; Assumptions'!$B$6*W393), 2)</f>
        <v/>
      </c>
      <c r="Y393" s="28" t="n">
        <v>10.9</v>
      </c>
      <c r="Z393" s="11" t="inlineStr">
        <is>
          <t>Priority Tier 2 (Balanced Opportunity)</t>
        </is>
      </c>
    </row>
    <row r="394">
      <c r="A394" s="23" t="n">
        <v>1</v>
      </c>
      <c r="B394" s="23" t="n">
        <v>390</v>
      </c>
      <c r="C394" s="23" t="n">
        <v>390</v>
      </c>
      <c r="D394" s="23" t="inlineStr">
        <is>
          <t>1380606038</t>
        </is>
      </c>
      <c r="E394" s="11" t="inlineStr">
        <is>
          <t>National Capital Region (NCR)</t>
        </is>
      </c>
      <c r="F394" s="11" t="inlineStr">
        <is>
          <t>First District (Not a Province)</t>
        </is>
      </c>
      <c r="G394" s="11" t="inlineStr">
        <is>
          <t>City of Manila</t>
        </is>
      </c>
      <c r="H394" s="11" t="inlineStr">
        <is>
          <t>Barangay 432</t>
        </is>
      </c>
      <c r="I394" s="24" t="n">
        <v>14.60741</v>
      </c>
      <c r="J394" s="24" t="n">
        <v>120.9968</v>
      </c>
      <c r="K394" s="23" t="inlineStr">
        <is>
          <t>U</t>
        </is>
      </c>
      <c r="L394" s="25" t="n">
        <v>3132</v>
      </c>
      <c r="M394" s="26" t="n">
        <v>3.68</v>
      </c>
      <c r="N394" s="25">
        <f>ROUND(L394/M394, 0)</f>
        <v/>
      </c>
      <c r="O394" s="25">
        <f>ROUND(N394*'Methodology &amp; Assumptions'!$B$7, 0)</f>
        <v/>
      </c>
      <c r="P394" s="23" t="inlineStr">
        <is>
          <t>Single Carrier (Band n50, 100MHz TDD)</t>
        </is>
      </c>
      <c r="Q394" s="27">
        <f>ROUNDUP(O394/'Methodology &amp; Assumptions'!$B$8, 0)</f>
        <v/>
      </c>
      <c r="R394" s="27" t="n">
        <v>1</v>
      </c>
      <c r="S394" s="26" t="n">
        <v>0.77</v>
      </c>
      <c r="T394" s="26" t="n">
        <v>0.27</v>
      </c>
      <c r="U394" s="11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26" t="n">
        <v>68.41</v>
      </c>
      <c r="W394" s="26" t="n">
        <v>70.51000000000001</v>
      </c>
      <c r="X394" s="26">
        <f>ROUND(('Methodology &amp; Assumptions'!$B$5*V394) + ('Methodology &amp; Assumptions'!$B$6*W394), 2)</f>
        <v/>
      </c>
      <c r="Y394" s="28" t="n">
        <v>10.9</v>
      </c>
      <c r="Z394" s="11" t="inlineStr">
        <is>
          <t>Priority Tier 2 (Balanced Opportunity)</t>
        </is>
      </c>
    </row>
    <row r="395">
      <c r="A395" s="23" t="n">
        <v>1</v>
      </c>
      <c r="B395" s="23" t="n">
        <v>391</v>
      </c>
      <c r="C395" s="23" t="n">
        <v>391</v>
      </c>
      <c r="D395" s="23" t="inlineStr">
        <is>
          <t>1380601097</t>
        </is>
      </c>
      <c r="E395" s="11" t="inlineStr">
        <is>
          <t>National Capital Region (NCR)</t>
        </is>
      </c>
      <c r="F395" s="11" t="inlineStr">
        <is>
          <t>First District (Not a Province)</t>
        </is>
      </c>
      <c r="G395" s="11" t="inlineStr">
        <is>
          <t>City of Manila</t>
        </is>
      </c>
      <c r="H395" s="11" t="inlineStr">
        <is>
          <t>Barangay 97</t>
        </is>
      </c>
      <c r="I395" s="24" t="n">
        <v>14.621676</v>
      </c>
      <c r="J395" s="24" t="n">
        <v>120.964331</v>
      </c>
      <c r="K395" s="23" t="inlineStr">
        <is>
          <t>U</t>
        </is>
      </c>
      <c r="L395" s="25" t="n">
        <v>3656</v>
      </c>
      <c r="M395" s="26" t="n">
        <v>4.91</v>
      </c>
      <c r="N395" s="25">
        <f>ROUND(L395/M395, 0)</f>
        <v/>
      </c>
      <c r="O395" s="25">
        <f>ROUND(N395*'Methodology &amp; Assumptions'!$B$7, 0)</f>
        <v/>
      </c>
      <c r="P395" s="23" t="inlineStr">
        <is>
          <t>Single Carrier (Band n50, 100MHz TDD)</t>
        </is>
      </c>
      <c r="Q395" s="27">
        <f>ROUNDUP(O395/'Methodology &amp; Assumptions'!$B$8, 0)</f>
        <v/>
      </c>
      <c r="R395" s="27" t="n">
        <v>1</v>
      </c>
      <c r="S395" s="26" t="n">
        <v>0.45</v>
      </c>
      <c r="T395" s="26" t="n">
        <v>0.23</v>
      </c>
      <c r="U395" s="11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26" t="n">
        <v>64.98</v>
      </c>
      <c r="W395" s="26" t="n">
        <v>73.95</v>
      </c>
      <c r="X395" s="26">
        <f>ROUND(('Methodology &amp; Assumptions'!$B$5*V395) + ('Methodology &amp; Assumptions'!$B$6*W395), 2)</f>
        <v/>
      </c>
      <c r="Y395" s="28" t="n">
        <v>10.9</v>
      </c>
      <c r="Z395" s="11" t="inlineStr">
        <is>
          <t>Priority Tier 2 (Balanced Opportunity)</t>
        </is>
      </c>
    </row>
    <row r="396">
      <c r="A396" s="23" t="n">
        <v>1</v>
      </c>
      <c r="B396" s="23" t="n">
        <v>392</v>
      </c>
      <c r="C396" s="23" t="n">
        <v>392</v>
      </c>
      <c r="D396" s="23" t="inlineStr">
        <is>
          <t>1380300013</t>
        </is>
      </c>
      <c r="E396" s="11" t="inlineStr">
        <is>
          <t>National Capital Region (NCR)</t>
        </is>
      </c>
      <c r="F396" s="11" t="inlineStr">
        <is>
          <t>Fourth District (Not a Province)</t>
        </is>
      </c>
      <c r="G396" s="11" t="inlineStr">
        <is>
          <t>City of Makati</t>
        </is>
      </c>
      <c r="H396" s="11" t="inlineStr">
        <is>
          <t>Magallanes</t>
        </is>
      </c>
      <c r="I396" s="24" t="n">
        <v>14.53934</v>
      </c>
      <c r="J396" s="24" t="n">
        <v>121.0163</v>
      </c>
      <c r="K396" s="23" t="inlineStr">
        <is>
          <t>U</t>
        </is>
      </c>
      <c r="L396" s="25" t="n">
        <v>5473</v>
      </c>
      <c r="M396" s="26" t="n">
        <v>4.68</v>
      </c>
      <c r="N396" s="25">
        <f>ROUND(L396/M396, 0)</f>
        <v/>
      </c>
      <c r="O396" s="25">
        <f>ROUND(N396*'Methodology &amp; Assumptions'!$B$7, 0)</f>
        <v/>
      </c>
      <c r="P396" s="23" t="inlineStr">
        <is>
          <t>Single Carrier (Band n50, 100MHz TDD)</t>
        </is>
      </c>
      <c r="Q396" s="27">
        <f>ROUNDUP(O396/'Methodology &amp; Assumptions'!$B$8, 0)</f>
        <v/>
      </c>
      <c r="R396" s="27" t="n">
        <v>1</v>
      </c>
      <c r="S396" s="26" t="n">
        <v>1.27</v>
      </c>
      <c r="T396" s="26" t="n">
        <v>0.25</v>
      </c>
      <c r="U396" s="11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26" t="n">
        <v>67.44</v>
      </c>
      <c r="W396" s="26" t="n">
        <v>71.43000000000001</v>
      </c>
      <c r="X396" s="26">
        <f>ROUND(('Methodology &amp; Assumptions'!$B$5*V396) + ('Methodology &amp; Assumptions'!$B$6*W396), 2)</f>
        <v/>
      </c>
      <c r="Y396" s="28" t="n">
        <v>10.9</v>
      </c>
      <c r="Z396" s="11" t="inlineStr">
        <is>
          <t>Priority Tier 2 (Balanced Opportunity)</t>
        </is>
      </c>
    </row>
    <row r="397">
      <c r="A397" s="23" t="n">
        <v>1</v>
      </c>
      <c r="B397" s="23" t="n">
        <v>393</v>
      </c>
      <c r="C397" s="23" t="n">
        <v>393</v>
      </c>
      <c r="D397" s="23" t="inlineStr">
        <is>
          <t>1380614096</t>
        </is>
      </c>
      <c r="E397" s="11" t="inlineStr">
        <is>
          <t>National Capital Region (NCR)</t>
        </is>
      </c>
      <c r="F397" s="11" t="inlineStr">
        <is>
          <t>First District (Not a Province)</t>
        </is>
      </c>
      <c r="G397" s="11" t="inlineStr">
        <is>
          <t>City of Manila</t>
        </is>
      </c>
      <c r="H397" s="11" t="inlineStr">
        <is>
          <t>Barangay 903</t>
        </is>
      </c>
      <c r="I397" s="24" t="n">
        <v>14.586413</v>
      </c>
      <c r="J397" s="24" t="n">
        <v>121.009627</v>
      </c>
      <c r="K397" s="23" t="inlineStr">
        <is>
          <t>U</t>
        </is>
      </c>
      <c r="L397" s="25" t="n">
        <v>3879</v>
      </c>
      <c r="M397" s="26" t="n">
        <v>3.69</v>
      </c>
      <c r="N397" s="25">
        <f>ROUND(L397/M397, 0)</f>
        <v/>
      </c>
      <c r="O397" s="25">
        <f>ROUND(N397*'Methodology &amp; Assumptions'!$B$7, 0)</f>
        <v/>
      </c>
      <c r="P397" s="23" t="inlineStr">
        <is>
          <t>Single Carrier (Band n50, 100MHz TDD)</t>
        </is>
      </c>
      <c r="Q397" s="27">
        <f>ROUNDUP(O397/'Methodology &amp; Assumptions'!$B$8, 0)</f>
        <v/>
      </c>
      <c r="R397" s="27" t="n">
        <v>1</v>
      </c>
      <c r="S397" s="26" t="n">
        <v>0.77</v>
      </c>
      <c r="T397" s="26" t="n">
        <v>0.65</v>
      </c>
      <c r="U397" s="11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26" t="n">
        <v>69.09</v>
      </c>
      <c r="W397" s="26" t="n">
        <v>69.76000000000001</v>
      </c>
      <c r="X397" s="26">
        <f>ROUND(('Methodology &amp; Assumptions'!$B$5*V397) + ('Methodology &amp; Assumptions'!$B$6*W397), 2)</f>
        <v/>
      </c>
      <c r="Y397" s="28" t="n">
        <v>10.9</v>
      </c>
      <c r="Z397" s="11" t="inlineStr">
        <is>
          <t>Priority Tier 2 (Balanced Opportunity)</t>
        </is>
      </c>
    </row>
    <row r="398">
      <c r="A398" s="23" t="n">
        <v>1</v>
      </c>
      <c r="B398" s="23" t="n">
        <v>394</v>
      </c>
      <c r="C398" s="23" t="n">
        <v>394</v>
      </c>
      <c r="D398" s="23" t="inlineStr">
        <is>
          <t>0403405019</t>
        </is>
      </c>
      <c r="E398" s="11" t="inlineStr">
        <is>
          <t>Region IV-A (CALABARZON)</t>
        </is>
      </c>
      <c r="F398" s="11" t="inlineStr">
        <is>
          <t>Laguna</t>
        </is>
      </c>
      <c r="G398" s="11" t="inlineStr">
        <is>
          <t>City of Calamba</t>
        </is>
      </c>
      <c r="H398" s="11" t="inlineStr">
        <is>
          <t>Lawa</t>
        </is>
      </c>
      <c r="I398" s="24" t="n">
        <v>14.207875</v>
      </c>
      <c r="J398" s="24" t="n">
        <v>121.146396</v>
      </c>
      <c r="K398" s="23" t="inlineStr">
        <is>
          <t>U</t>
        </is>
      </c>
      <c r="L398" s="25" t="n">
        <v>13423</v>
      </c>
      <c r="M398" s="26" t="n">
        <v>3.3</v>
      </c>
      <c r="N398" s="25">
        <f>ROUND(L398/M398, 0)</f>
        <v/>
      </c>
      <c r="O398" s="25">
        <f>ROUND(N398*'Methodology &amp; Assumptions'!$B$7, 0)</f>
        <v/>
      </c>
      <c r="P398" s="23" t="inlineStr">
        <is>
          <t>Single Carrier (Band n50, 100MHz TDD)</t>
        </is>
      </c>
      <c r="Q398" s="27">
        <f>ROUNDUP(O398/'Methodology &amp; Assumptions'!$B$8, 0)</f>
        <v/>
      </c>
      <c r="R398" s="27" t="n">
        <v>1</v>
      </c>
      <c r="S398" s="26" t="n">
        <v>1.18</v>
      </c>
      <c r="T398" s="26" t="n">
        <v>0.5</v>
      </c>
      <c r="U398" s="11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26" t="n">
        <v>76.95</v>
      </c>
      <c r="W398" s="26" t="n">
        <v>61.89</v>
      </c>
      <c r="X398" s="26">
        <f>ROUND(('Methodology &amp; Assumptions'!$B$5*V398) + ('Methodology &amp; Assumptions'!$B$6*W398), 2)</f>
        <v/>
      </c>
      <c r="Y398" s="28" t="n">
        <v>7.2</v>
      </c>
      <c r="Z398" s="11" t="inlineStr">
        <is>
          <t>Priority Tier 2 (Balanced Opportunity)</t>
        </is>
      </c>
    </row>
    <row r="399">
      <c r="A399" s="23" t="n">
        <v>1</v>
      </c>
      <c r="B399" s="23" t="n">
        <v>395</v>
      </c>
      <c r="C399" s="23" t="n">
        <v>395</v>
      </c>
      <c r="D399" s="23" t="inlineStr">
        <is>
          <t>1381100130</t>
        </is>
      </c>
      <c r="E399" s="11" t="inlineStr">
        <is>
          <t>National Capital Region (NCR)</t>
        </is>
      </c>
      <c r="F399" s="11" t="inlineStr">
        <is>
          <t>Fourth District (Not a Province)</t>
        </is>
      </c>
      <c r="G399" s="11" t="inlineStr">
        <is>
          <t>Pasay City</t>
        </is>
      </c>
      <c r="H399" s="11" t="inlineStr">
        <is>
          <t>Barangay 130</t>
        </is>
      </c>
      <c r="I399" s="24" t="n">
        <v>14.547901</v>
      </c>
      <c r="J399" s="24" t="n">
        <v>121.008106</v>
      </c>
      <c r="K399" s="23" t="inlineStr">
        <is>
          <t>U</t>
        </is>
      </c>
      <c r="L399" s="25" t="n">
        <v>3894</v>
      </c>
      <c r="M399" s="26" t="n">
        <v>3.84</v>
      </c>
      <c r="N399" s="25">
        <f>ROUND(L399/M399, 0)</f>
        <v/>
      </c>
      <c r="O399" s="25">
        <f>ROUND(N399*'Methodology &amp; Assumptions'!$B$7, 0)</f>
        <v/>
      </c>
      <c r="P399" s="23" t="inlineStr">
        <is>
          <t>Single Carrier (Band n50, 100MHz TDD)</t>
        </is>
      </c>
      <c r="Q399" s="27">
        <f>ROUNDUP(O399/'Methodology &amp; Assumptions'!$B$8, 0)</f>
        <v/>
      </c>
      <c r="R399" s="27" t="n">
        <v>1</v>
      </c>
      <c r="S399" s="26" t="n">
        <v>0.41</v>
      </c>
      <c r="T399" s="26" t="n">
        <v>0.28</v>
      </c>
      <c r="U399" s="11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26" t="n">
        <v>69.09</v>
      </c>
      <c r="W399" s="26" t="n">
        <v>69.75</v>
      </c>
      <c r="X399" s="26">
        <f>ROUND(('Methodology &amp; Assumptions'!$B$5*V399) + ('Methodology &amp; Assumptions'!$B$6*W399), 2)</f>
        <v/>
      </c>
      <c r="Y399" s="28" t="n">
        <v>10.9</v>
      </c>
      <c r="Z399" s="11" t="inlineStr">
        <is>
          <t>Priority Tier 2 (Balanced Opportunity)</t>
        </is>
      </c>
    </row>
    <row r="400">
      <c r="A400" s="23" t="n">
        <v>1</v>
      </c>
      <c r="B400" s="23" t="n">
        <v>396</v>
      </c>
      <c r="C400" s="23" t="n">
        <v>396</v>
      </c>
      <c r="D400" s="23" t="inlineStr">
        <is>
          <t>0402106057</t>
        </is>
      </c>
      <c r="E400" s="11" t="inlineStr">
        <is>
          <t>Region IV-A (CALABARZON)</t>
        </is>
      </c>
      <c r="F400" s="11" t="inlineStr">
        <is>
          <t>Cavite</t>
        </is>
      </c>
      <c r="G400" s="11" t="inlineStr">
        <is>
          <t>City of Dasmariñas</t>
        </is>
      </c>
      <c r="H400" s="11" t="inlineStr">
        <is>
          <t>Saint Peter II</t>
        </is>
      </c>
      <c r="I400" s="24" t="n">
        <v>14.343712</v>
      </c>
      <c r="J400" s="24" t="n">
        <v>120.94528</v>
      </c>
      <c r="K400" s="23" t="inlineStr">
        <is>
          <t>R</t>
        </is>
      </c>
      <c r="L400" s="25" t="n">
        <v>2601</v>
      </c>
      <c r="M400" s="26" t="n">
        <v>3.4</v>
      </c>
      <c r="N400" s="25">
        <f>ROUND(L400/M400, 0)</f>
        <v/>
      </c>
      <c r="O400" s="25">
        <f>ROUND(N400*'Methodology &amp; Assumptions'!$B$7, 0)</f>
        <v/>
      </c>
      <c r="P400" s="23" t="inlineStr">
        <is>
          <t>Single Carrier (Band n50, 100MHz TDD)</t>
        </is>
      </c>
      <c r="Q400" s="27">
        <f>ROUNDUP(O400/'Methodology &amp; Assumptions'!$B$8, 0)</f>
        <v/>
      </c>
      <c r="R400" s="27" t="n">
        <v>1</v>
      </c>
      <c r="S400" s="26" t="n">
        <v>0.97</v>
      </c>
      <c r="T400" s="26" t="n">
        <v>4.75</v>
      </c>
      <c r="U400" s="11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26" t="n">
        <v>79.87</v>
      </c>
      <c r="W400" s="26" t="n">
        <v>58.96</v>
      </c>
      <c r="X400" s="26">
        <f>ROUND(('Methodology &amp; Assumptions'!$B$5*V400) + ('Methodology &amp; Assumptions'!$B$6*W400), 2)</f>
        <v/>
      </c>
      <c r="Y400" s="28" t="n">
        <v>7.2</v>
      </c>
      <c r="Z400" s="11" t="inlineStr">
        <is>
          <t>Priority Tier 2 (Balanced Opportunity)</t>
        </is>
      </c>
    </row>
    <row r="401">
      <c r="A401" s="23" t="n">
        <v>1</v>
      </c>
      <c r="B401" s="23" t="n">
        <v>397</v>
      </c>
      <c r="C401" s="23" t="n">
        <v>397</v>
      </c>
      <c r="D401" s="23" t="inlineStr">
        <is>
          <t>0300809003</t>
        </is>
      </c>
      <c r="E401" s="11" t="inlineStr">
        <is>
          <t>Region III (Central Luzon)</t>
        </is>
      </c>
      <c r="F401" s="11" t="inlineStr">
        <is>
          <t>Bataan</t>
        </is>
      </c>
      <c r="G401" s="11" t="inlineStr">
        <is>
          <t>Orani</t>
        </is>
      </c>
      <c r="H401" s="11" t="inlineStr">
        <is>
          <t>Bayan</t>
        </is>
      </c>
      <c r="I401" s="24" t="n">
        <v>14.79933</v>
      </c>
      <c r="J401" s="24" t="n">
        <v>120.534345</v>
      </c>
      <c r="K401" s="23" t="inlineStr">
        <is>
          <t>U</t>
        </is>
      </c>
      <c r="L401" s="25" t="n">
        <v>6663</v>
      </c>
      <c r="M401" s="26" t="n">
        <v>3.6</v>
      </c>
      <c r="N401" s="25">
        <f>ROUND(L401/M401, 0)</f>
        <v/>
      </c>
      <c r="O401" s="25">
        <f>ROUND(N401*'Methodology &amp; Assumptions'!$B$7, 0)</f>
        <v/>
      </c>
      <c r="P401" s="23" t="inlineStr">
        <is>
          <t>Single Carrier (Band n50, 100MHz TDD)</t>
        </is>
      </c>
      <c r="Q401" s="27">
        <f>ROUNDUP(O401/'Methodology &amp; Assumptions'!$B$8, 0)</f>
        <v/>
      </c>
      <c r="R401" s="27" t="n">
        <v>1</v>
      </c>
      <c r="S401" s="26" t="n">
        <v>0.38</v>
      </c>
      <c r="T401" s="26" t="n">
        <v>0.25</v>
      </c>
      <c r="U401" s="11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26" t="n">
        <v>78.43000000000001</v>
      </c>
      <c r="W401" s="26" t="n">
        <v>60.38</v>
      </c>
      <c r="X401" s="26">
        <f>ROUND(('Methodology &amp; Assumptions'!$B$5*V401) + ('Methodology &amp; Assumptions'!$B$6*W401), 2)</f>
        <v/>
      </c>
      <c r="Y401" s="28" t="n">
        <v>8.300000000000001</v>
      </c>
      <c r="Z401" s="11" t="inlineStr">
        <is>
          <t>Priority Tier 2 (Balanced Opportunity)</t>
        </is>
      </c>
    </row>
    <row r="402">
      <c r="A402" s="23" t="n">
        <v>1</v>
      </c>
      <c r="B402" s="23" t="n">
        <v>398</v>
      </c>
      <c r="C402" s="23" t="n">
        <v>398</v>
      </c>
      <c r="D402" s="23" t="inlineStr">
        <is>
          <t>1380601183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183</t>
        </is>
      </c>
      <c r="I402" s="24" t="n">
        <v>14.63214</v>
      </c>
      <c r="J402" s="24" t="n">
        <v>120.973384</v>
      </c>
      <c r="K402" s="23" t="inlineStr">
        <is>
          <t>U</t>
        </is>
      </c>
      <c r="L402" s="25" t="n">
        <v>8512</v>
      </c>
      <c r="M402" s="26" t="n">
        <v>4.07</v>
      </c>
      <c r="N402" s="25">
        <f>ROUND(L402/M402, 0)</f>
        <v/>
      </c>
      <c r="O402" s="25">
        <f>ROUND(N402*'Methodology &amp; Assumptions'!$B$7, 0)</f>
        <v/>
      </c>
      <c r="P402" s="23" t="inlineStr">
        <is>
          <t>Single Carrier (Band n50, 100MHz TDD)</t>
        </is>
      </c>
      <c r="Q402" s="27">
        <f>ROUNDUP(O402/'Methodology &amp; Assumptions'!$B$8, 0)</f>
        <v/>
      </c>
      <c r="R402" s="27" t="n">
        <v>1</v>
      </c>
      <c r="S402" s="26" t="n">
        <v>0.59</v>
      </c>
      <c r="T402" s="26" t="n">
        <v>0.6</v>
      </c>
      <c r="U402" s="11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26" t="n">
        <v>69.09</v>
      </c>
      <c r="W402" s="26" t="n">
        <v>69.72</v>
      </c>
      <c r="X402" s="26">
        <f>ROUND(('Methodology &amp; Assumptions'!$B$5*V402) + ('Methodology &amp; Assumptions'!$B$6*W402), 2)</f>
        <v/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1</v>
      </c>
      <c r="B403" s="23" t="n">
        <v>399</v>
      </c>
      <c r="C403" s="23" t="n">
        <v>399</v>
      </c>
      <c r="D403" s="23" t="inlineStr">
        <is>
          <t>1381400004</t>
        </is>
      </c>
      <c r="E403" s="11" t="inlineStr">
        <is>
          <t>National Capital Region (NCR)</t>
        </is>
      </c>
      <c r="F403" s="11" t="inlineStr">
        <is>
          <t>Second District (Not a Province)</t>
        </is>
      </c>
      <c r="G403" s="11" t="inlineStr">
        <is>
          <t>City of San Juan</t>
        </is>
      </c>
      <c r="H403" s="11" t="inlineStr">
        <is>
          <t>Corazon De Jesus</t>
        </is>
      </c>
      <c r="I403" s="24" t="n">
        <v>14.60657</v>
      </c>
      <c r="J403" s="24" t="n">
        <v>121.031408</v>
      </c>
      <c r="K403" s="23" t="inlineStr">
        <is>
          <t>U</t>
        </is>
      </c>
      <c r="L403" s="25" t="n">
        <v>9220</v>
      </c>
      <c r="M403" s="26" t="n">
        <v>3.89</v>
      </c>
      <c r="N403" s="25">
        <f>ROUND(L403/M403, 0)</f>
        <v/>
      </c>
      <c r="O403" s="25">
        <f>ROUND(N403*'Methodology &amp; Assumptions'!$B$7, 0)</f>
        <v/>
      </c>
      <c r="P403" s="23" t="inlineStr">
        <is>
          <t>Single Carrier (Band n50, 100MHz TDD)</t>
        </is>
      </c>
      <c r="Q403" s="27">
        <f>ROUNDUP(O403/'Methodology &amp; Assumptions'!$B$8, 0)</f>
        <v/>
      </c>
      <c r="R403" s="27" t="n">
        <v>1</v>
      </c>
      <c r="S403" s="26" t="n">
        <v>2.04</v>
      </c>
      <c r="T403" s="26" t="n">
        <v>0.27</v>
      </c>
      <c r="U403" s="11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26" t="n">
        <v>64.73</v>
      </c>
      <c r="W403" s="26" t="n">
        <v>74.09</v>
      </c>
      <c r="X403" s="26">
        <f>ROUND(('Methodology &amp; Assumptions'!$B$5*V403) + ('Methodology &amp; Assumptions'!$B$6*W403), 2)</f>
        <v/>
      </c>
      <c r="Y403" s="28" t="n">
        <v>10.9</v>
      </c>
      <c r="Z403" s="11" t="inlineStr">
        <is>
          <t>Priority Tier 2 (Balanced Opportunity)</t>
        </is>
      </c>
    </row>
    <row r="404">
      <c r="A404" s="23" t="n">
        <v>1</v>
      </c>
      <c r="B404" s="23" t="n">
        <v>400</v>
      </c>
      <c r="C404" s="23" t="n">
        <v>400</v>
      </c>
      <c r="D404" s="23" t="inlineStr">
        <is>
          <t>0203130017</t>
        </is>
      </c>
      <c r="E404" s="11" t="inlineStr">
        <is>
          <t>Region II (Cagayan Valley)</t>
        </is>
      </c>
      <c r="F404" s="11" t="inlineStr">
        <is>
          <t>Isabela</t>
        </is>
      </c>
      <c r="G404" s="11" t="inlineStr">
        <is>
          <t>San Manuel</t>
        </is>
      </c>
      <c r="H404" s="11" t="inlineStr">
        <is>
          <t>Sandiat East</t>
        </is>
      </c>
      <c r="I404" s="24" t="n">
        <v>17.056416</v>
      </c>
      <c r="J404" s="24" t="n">
        <v>121.659681</v>
      </c>
      <c r="K404" s="23" t="inlineStr">
        <is>
          <t>R</t>
        </is>
      </c>
      <c r="L404" s="25" t="n">
        <v>1434</v>
      </c>
      <c r="M404" s="26" t="n">
        <v>3.8</v>
      </c>
      <c r="N404" s="25">
        <f>ROUND(L404/M404, 0)</f>
        <v/>
      </c>
      <c r="O404" s="25">
        <f>ROUND(N404*'Methodology &amp; Assumptions'!$B$7, 0)</f>
        <v/>
      </c>
      <c r="P404" s="23" t="inlineStr">
        <is>
          <t>Single Carrier (Band n50, 100MHz TDD)</t>
        </is>
      </c>
      <c r="Q404" s="27">
        <f>ROUNDUP(O404/'Methodology &amp; Assumptions'!$B$8, 0)</f>
        <v/>
      </c>
      <c r="R404" s="27" t="n">
        <v>1</v>
      </c>
      <c r="S404" s="26" t="n">
        <v>3.55</v>
      </c>
      <c r="T404" s="26" t="n">
        <v>3.49</v>
      </c>
      <c r="U404" s="11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26" t="n">
        <v>59.07</v>
      </c>
      <c r="W404" s="26" t="n">
        <v>79.76000000000001</v>
      </c>
      <c r="X404" s="26">
        <f>ROUND(('Methodology &amp; Assumptions'!$B$5*V404) + ('Methodology &amp; Assumptions'!$B$6*W404), 2)</f>
        <v/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1</v>
      </c>
      <c r="B405" s="23" t="n">
        <v>401</v>
      </c>
      <c r="C405" s="23" t="n">
        <v>401</v>
      </c>
      <c r="D405" s="23" t="inlineStr">
        <is>
          <t>1381300135</t>
        </is>
      </c>
      <c r="E405" s="11" t="inlineStr">
        <is>
          <t>National Capital Region (NCR)</t>
        </is>
      </c>
      <c r="F405" s="11" t="inlineStr">
        <is>
          <t>Second District (Not a Province)</t>
        </is>
      </c>
      <c r="G405" s="11" t="inlineStr">
        <is>
          <t>Quezon City</t>
        </is>
      </c>
      <c r="H405" s="11" t="inlineStr">
        <is>
          <t>Balong Bato</t>
        </is>
      </c>
      <c r="I405" s="24" t="n">
        <v>14.66507</v>
      </c>
      <c r="J405" s="24" t="n">
        <v>121.0038</v>
      </c>
      <c r="K405" s="23" t="inlineStr">
        <is>
          <t>U</t>
        </is>
      </c>
      <c r="L405" s="25" t="n">
        <v>7205</v>
      </c>
      <c r="M405" s="26" t="n">
        <v>3.79</v>
      </c>
      <c r="N405" s="25">
        <f>ROUND(L405/M405, 0)</f>
        <v/>
      </c>
      <c r="O405" s="25">
        <f>ROUND(N405*'Methodology &amp; Assumptions'!$B$7, 0)</f>
        <v/>
      </c>
      <c r="P405" s="23" t="inlineStr">
        <is>
          <t>Single Carrier (Band n50, 100MHz TDD)</t>
        </is>
      </c>
      <c r="Q405" s="27">
        <f>ROUNDUP(O405/'Methodology &amp; Assumptions'!$B$8, 0)</f>
        <v/>
      </c>
      <c r="R405" s="27" t="n">
        <v>1</v>
      </c>
      <c r="S405" s="26" t="n">
        <v>1.07</v>
      </c>
      <c r="T405" s="26" t="n">
        <v>0.21</v>
      </c>
      <c r="U405" s="11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26" t="n">
        <v>68.20999999999999</v>
      </c>
      <c r="W405" s="26" t="n">
        <v>70.59</v>
      </c>
      <c r="X405" s="26">
        <f>ROUND(('Methodology &amp; Assumptions'!$B$5*V405) + ('Methodology &amp; Assumptions'!$B$6*W405), 2)</f>
        <v/>
      </c>
      <c r="Y405" s="28" t="n">
        <v>10.9</v>
      </c>
      <c r="Z405" s="11" t="inlineStr">
        <is>
          <t>Priority Tier 2 (Balanced Opportunity)</t>
        </is>
      </c>
    </row>
    <row r="406">
      <c r="A406" s="23" t="n">
        <v>1</v>
      </c>
      <c r="B406" s="23" t="n">
        <v>402</v>
      </c>
      <c r="C406" s="23" t="n">
        <v>402</v>
      </c>
      <c r="D406" s="23" t="inlineStr">
        <is>
          <t>1401109007</t>
        </is>
      </c>
      <c r="E406" s="11" t="inlineStr">
        <is>
          <t>Cordillera Administrative Region (CAR)</t>
        </is>
      </c>
      <c r="F406" s="11" t="inlineStr">
        <is>
          <t>Benguet</t>
        </is>
      </c>
      <c r="G406" s="11" t="inlineStr">
        <is>
          <t>Kibungan</t>
        </is>
      </c>
      <c r="H406" s="11" t="inlineStr">
        <is>
          <t>Tacadang</t>
        </is>
      </c>
      <c r="I406" s="24" t="n">
        <v>16.71714</v>
      </c>
      <c r="J406" s="24" t="n">
        <v>120.63709</v>
      </c>
      <c r="K406" s="23" t="inlineStr">
        <is>
          <t>R</t>
        </is>
      </c>
      <c r="L406" s="25" t="n">
        <v>1701</v>
      </c>
      <c r="M406" s="26" t="n">
        <v>3.5</v>
      </c>
      <c r="N406" s="25">
        <f>ROUND(L406/M406, 0)</f>
        <v/>
      </c>
      <c r="O406" s="25">
        <f>ROUND(N406*'Methodology &amp; Assumptions'!$B$7, 0)</f>
        <v/>
      </c>
      <c r="P406" s="23" t="inlineStr">
        <is>
          <t>Single Carrier (Band n50, 100MHz TDD)</t>
        </is>
      </c>
      <c r="Q406" s="27">
        <f>ROUNDUP(O406/'Methodology &amp; Assumptions'!$B$8, 0)</f>
        <v/>
      </c>
      <c r="R406" s="27" t="n">
        <v>1</v>
      </c>
      <c r="S406" s="26" t="n">
        <v>3.01</v>
      </c>
      <c r="T406" s="26" t="n">
        <v>13.74</v>
      </c>
      <c r="U406" s="11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26" t="n">
        <v>62.7</v>
      </c>
      <c r="W406" s="26" t="n">
        <v>76.09</v>
      </c>
      <c r="X406" s="26">
        <f>ROUND(('Methodology &amp; Assumptions'!$B$5*V406) + ('Methodology &amp; Assumptions'!$B$6*W406), 2)</f>
        <v/>
      </c>
      <c r="Y406" s="28" t="n">
        <v>10.9</v>
      </c>
      <c r="Z406" s="11" t="inlineStr">
        <is>
          <t>Priority Tier 2 (Balanced Opportunity)</t>
        </is>
      </c>
    </row>
    <row r="407">
      <c r="A407" s="23" t="n">
        <v>1</v>
      </c>
      <c r="B407" s="23" t="n">
        <v>403</v>
      </c>
      <c r="C407" s="23" t="n">
        <v>403</v>
      </c>
      <c r="D407" s="23" t="inlineStr">
        <is>
          <t>1381100187</t>
        </is>
      </c>
      <c r="E407" s="11" t="inlineStr">
        <is>
          <t>National Capital Region (NCR)</t>
        </is>
      </c>
      <c r="F407" s="11" t="inlineStr">
        <is>
          <t>Fourth District (Not a Province)</t>
        </is>
      </c>
      <c r="G407" s="11" t="inlineStr">
        <is>
          <t>Pasay City</t>
        </is>
      </c>
      <c r="H407" s="11" t="inlineStr">
        <is>
          <t>Barangay 187</t>
        </is>
      </c>
      <c r="I407" s="24" t="n">
        <v>14.533857</v>
      </c>
      <c r="J407" s="24" t="n">
        <v>121.000586</v>
      </c>
      <c r="K407" s="23" t="inlineStr">
        <is>
          <t>U</t>
        </is>
      </c>
      <c r="L407" s="25" t="n">
        <v>5321</v>
      </c>
      <c r="M407" s="26" t="n">
        <v>3.65</v>
      </c>
      <c r="N407" s="25">
        <f>ROUND(L407/M407, 0)</f>
        <v/>
      </c>
      <c r="O407" s="25">
        <f>ROUND(N407*'Methodology &amp; Assumptions'!$B$7, 0)</f>
        <v/>
      </c>
      <c r="P407" s="23" t="inlineStr">
        <is>
          <t>Single Carrier (Band n50, 100MHz TDD)</t>
        </is>
      </c>
      <c r="Q407" s="27">
        <f>ROUNDUP(O407/'Methodology &amp; Assumptions'!$B$8, 0)</f>
        <v/>
      </c>
      <c r="R407" s="27" t="n">
        <v>1</v>
      </c>
      <c r="S407" s="26" t="n">
        <v>0.76</v>
      </c>
      <c r="T407" s="26" t="n">
        <v>0.34</v>
      </c>
      <c r="U407" s="11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26" t="n">
        <v>69.09</v>
      </c>
      <c r="W407" s="26" t="n">
        <v>69.69</v>
      </c>
      <c r="X407" s="26">
        <f>ROUND(('Methodology &amp; Assumptions'!$B$5*V407) + ('Methodology &amp; Assumptions'!$B$6*W407), 2)</f>
        <v/>
      </c>
      <c r="Y407" s="28" t="n">
        <v>10.9</v>
      </c>
      <c r="Z407" s="11" t="inlineStr">
        <is>
          <t>Priority Tier 2 (Balanced Opportunity)</t>
        </is>
      </c>
    </row>
    <row r="408">
      <c r="A408" s="23" t="n">
        <v>1</v>
      </c>
      <c r="B408" s="23" t="n">
        <v>404</v>
      </c>
      <c r="C408" s="23" t="n">
        <v>404</v>
      </c>
      <c r="D408" s="23" t="inlineStr">
        <is>
          <t>1380300015</t>
        </is>
      </c>
      <c r="E408" s="11" t="inlineStr">
        <is>
          <t>National Capital Region (NCR)</t>
        </is>
      </c>
      <c r="F408" s="11" t="inlineStr">
        <is>
          <t>Fourth District (Not a Province)</t>
        </is>
      </c>
      <c r="G408" s="11" t="inlineStr">
        <is>
          <t>City of Makati</t>
        </is>
      </c>
      <c r="H408" s="11" t="inlineStr">
        <is>
          <t>Palanan</t>
        </is>
      </c>
      <c r="I408" s="24" t="n">
        <v>14.56025</v>
      </c>
      <c r="J408" s="24" t="n">
        <v>121.0056</v>
      </c>
      <c r="K408" s="23" t="inlineStr">
        <is>
          <t>U</t>
        </is>
      </c>
      <c r="L408" s="25" t="n">
        <v>11934</v>
      </c>
      <c r="M408" s="26" t="n">
        <v>3.2</v>
      </c>
      <c r="N408" s="25">
        <f>ROUND(L408/M408, 0)</f>
        <v/>
      </c>
      <c r="O408" s="25">
        <f>ROUND(N408*'Methodology &amp; Assumptions'!$B$7, 0)</f>
        <v/>
      </c>
      <c r="P408" s="23" t="inlineStr">
        <is>
          <t>Single Carrier (Band n50, 100MHz TDD)</t>
        </is>
      </c>
      <c r="Q408" s="27">
        <f>ROUNDUP(O408/'Methodology &amp; Assumptions'!$B$8, 0)</f>
        <v/>
      </c>
      <c r="R408" s="27" t="n">
        <v>1</v>
      </c>
      <c r="S408" s="26" t="n">
        <v>1.32</v>
      </c>
      <c r="T408" s="26" t="n">
        <v>0.27</v>
      </c>
      <c r="U408" s="11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26" t="n">
        <v>67.26000000000001</v>
      </c>
      <c r="W408" s="26" t="n">
        <v>71.52</v>
      </c>
      <c r="X408" s="26">
        <f>ROUND(('Methodology &amp; Assumptions'!$B$5*V408) + ('Methodology &amp; Assumptions'!$B$6*W408), 2)</f>
        <v/>
      </c>
      <c r="Y408" s="28" t="n">
        <v>10.9</v>
      </c>
      <c r="Z408" s="11" t="inlineStr">
        <is>
          <t>Priority Tier 2 (Balanced Opportunity)</t>
        </is>
      </c>
    </row>
    <row r="409">
      <c r="A409" s="23" t="n">
        <v>1</v>
      </c>
      <c r="B409" s="23" t="n">
        <v>405</v>
      </c>
      <c r="C409" s="23" t="n">
        <v>405</v>
      </c>
      <c r="D409" s="23" t="inlineStr">
        <is>
          <t>0102908017</t>
        </is>
      </c>
      <c r="E409" s="11" t="inlineStr">
        <is>
          <t>Region I (Ilocos Region)</t>
        </is>
      </c>
      <c r="F409" s="11" t="inlineStr">
        <is>
          <t>Ilocos Sur</t>
        </is>
      </c>
      <c r="G409" s="11" t="inlineStr">
        <is>
          <t>Cervantes</t>
        </is>
      </c>
      <c r="H409" s="11" t="inlineStr">
        <is>
          <t>Malaya</t>
        </is>
      </c>
      <c r="I409" s="24" t="n">
        <v>16.974723</v>
      </c>
      <c r="J409" s="24" t="n">
        <v>120.70166</v>
      </c>
      <c r="K409" s="23" t="inlineStr">
        <is>
          <t>R</t>
        </is>
      </c>
      <c r="L409" s="25" t="n">
        <v>1893</v>
      </c>
      <c r="M409" s="26" t="n">
        <v>3.8</v>
      </c>
      <c r="N409" s="25">
        <f>ROUND(L409/M409, 0)</f>
        <v/>
      </c>
      <c r="O409" s="25">
        <f>ROUND(N409*'Methodology &amp; Assumptions'!$B$7, 0)</f>
        <v/>
      </c>
      <c r="P409" s="23" t="inlineStr">
        <is>
          <t>Single Carrier (Band n50, 100MHz TDD)</t>
        </is>
      </c>
      <c r="Q409" s="27">
        <f>ROUNDUP(O409/'Methodology &amp; Assumptions'!$B$8, 0)</f>
        <v/>
      </c>
      <c r="R409" s="27" t="n">
        <v>1</v>
      </c>
      <c r="S409" s="26" t="n">
        <v>2.96</v>
      </c>
      <c r="T409" s="26" t="n">
        <v>3.58</v>
      </c>
      <c r="U409" s="11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26" t="n">
        <v>64.33</v>
      </c>
      <c r="W409" s="26" t="n">
        <v>74.42</v>
      </c>
      <c r="X409" s="26">
        <f>ROUND(('Methodology &amp; Assumptions'!$B$5*V409) + ('Methodology &amp; Assumptions'!$B$6*W409), 2)</f>
        <v/>
      </c>
      <c r="Y409" s="28" t="n">
        <v>8.300000000000001</v>
      </c>
      <c r="Z409" s="11" t="inlineStr">
        <is>
          <t>Priority Tier 2 (Balanced Opportunity)</t>
        </is>
      </c>
    </row>
    <row r="410">
      <c r="A410" s="23" t="n">
        <v>1</v>
      </c>
      <c r="B410" s="23" t="n">
        <v>406</v>
      </c>
      <c r="C410" s="23" t="n">
        <v>406</v>
      </c>
      <c r="D410" s="23" t="inlineStr">
        <is>
          <t>1380601198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198</t>
        </is>
      </c>
      <c r="I410" s="24" t="n">
        <v>14.631408</v>
      </c>
      <c r="J410" s="24" t="n">
        <v>120.976993</v>
      </c>
      <c r="K410" s="23" t="inlineStr">
        <is>
          <t>U</t>
        </is>
      </c>
      <c r="L410" s="25" t="n">
        <v>3840</v>
      </c>
      <c r="M410" s="26" t="n">
        <v>4.19</v>
      </c>
      <c r="N410" s="25">
        <f>ROUND(L410/M410, 0)</f>
        <v/>
      </c>
      <c r="O410" s="25">
        <f>ROUND(N410*'Methodology &amp; Assumptions'!$B$7, 0)</f>
        <v/>
      </c>
      <c r="P410" s="23" t="inlineStr">
        <is>
          <t>Single Carrier (Band n50, 100MHz TDD)</t>
        </is>
      </c>
      <c r="Q410" s="27">
        <f>ROUNDUP(O410/'Methodology &amp; Assumptions'!$B$8, 0)</f>
        <v/>
      </c>
      <c r="R410" s="27" t="n">
        <v>1</v>
      </c>
      <c r="S410" s="26" t="n">
        <v>0.64</v>
      </c>
      <c r="T410" s="26" t="n">
        <v>0.41</v>
      </c>
      <c r="U410" s="11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26" t="n">
        <v>69.09</v>
      </c>
      <c r="W410" s="26" t="n">
        <v>69.65000000000001</v>
      </c>
      <c r="X410" s="26">
        <f>ROUND(('Methodology &amp; Assumptions'!$B$5*V410) + ('Methodology &amp; Assumptions'!$B$6*W410), 2)</f>
        <v/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1</v>
      </c>
      <c r="B411" s="23" t="n">
        <v>407</v>
      </c>
      <c r="C411" s="23" t="n">
        <v>407</v>
      </c>
      <c r="D411" s="23" t="inlineStr">
        <is>
          <t>0403405049</t>
        </is>
      </c>
      <c r="E411" s="11" t="inlineStr">
        <is>
          <t>Region IV-A (CALABARZON)</t>
        </is>
      </c>
      <c r="F411" s="11" t="inlineStr">
        <is>
          <t>Laguna</t>
        </is>
      </c>
      <c r="G411" s="11" t="inlineStr">
        <is>
          <t>City of Calamba</t>
        </is>
      </c>
      <c r="H411" s="11" t="inlineStr">
        <is>
          <t>Real</t>
        </is>
      </c>
      <c r="I411" s="24" t="n">
        <v>14.19845</v>
      </c>
      <c r="J411" s="24" t="n">
        <v>121.150871</v>
      </c>
      <c r="K411" s="23" t="inlineStr">
        <is>
          <t>U</t>
        </is>
      </c>
      <c r="L411" s="25" t="n">
        <v>17945</v>
      </c>
      <c r="M411" s="26" t="n">
        <v>3.3</v>
      </c>
      <c r="N411" s="25">
        <f>ROUND(L411/M411, 0)</f>
        <v/>
      </c>
      <c r="O411" s="25">
        <f>ROUND(N411*'Methodology &amp; Assumptions'!$B$7, 0)</f>
        <v/>
      </c>
      <c r="P411" s="23" t="inlineStr">
        <is>
          <t>Single Carrier (Band n50, 100MHz TDD)</t>
        </is>
      </c>
      <c r="Q411" s="27">
        <f>ROUNDUP(O411/'Methodology &amp; Assumptions'!$B$8, 0)</f>
        <v/>
      </c>
      <c r="R411" s="27" t="n">
        <v>1</v>
      </c>
      <c r="S411" s="26" t="n">
        <v>0.53</v>
      </c>
      <c r="T411" s="26" t="n">
        <v>0.13</v>
      </c>
      <c r="U411" s="11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26" t="n">
        <v>78.26000000000001</v>
      </c>
      <c r="W411" s="26" t="n">
        <v>60.45</v>
      </c>
      <c r="X411" s="26">
        <f>ROUND(('Methodology &amp; Assumptions'!$B$5*V411) + ('Methodology &amp; Assumptions'!$B$6*W411), 2)</f>
        <v/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1</v>
      </c>
      <c r="B412" s="23" t="n">
        <v>408</v>
      </c>
      <c r="C412" s="23" t="n">
        <v>408</v>
      </c>
      <c r="D412" s="23" t="inlineStr">
        <is>
          <t>1380601056</t>
        </is>
      </c>
      <c r="E412" s="11" t="inlineStr">
        <is>
          <t>National Capital Region (NCR)</t>
        </is>
      </c>
      <c r="F412" s="11" t="inlineStr">
        <is>
          <t>First District (Not a Province)</t>
        </is>
      </c>
      <c r="G412" s="11" t="inlineStr">
        <is>
          <t>City of Manila</t>
        </is>
      </c>
      <c r="H412" s="11" t="inlineStr">
        <is>
          <t>Barangay 56</t>
        </is>
      </c>
      <c r="I412" s="24" t="n">
        <v>14.61066</v>
      </c>
      <c r="J412" s="24" t="n">
        <v>120.970065</v>
      </c>
      <c r="K412" s="23" t="inlineStr">
        <is>
          <t>U</t>
        </is>
      </c>
      <c r="L412" s="25" t="n">
        <v>3377</v>
      </c>
      <c r="M412" s="26" t="n">
        <v>3.97</v>
      </c>
      <c r="N412" s="25">
        <f>ROUND(L412/M412, 0)</f>
        <v/>
      </c>
      <c r="O412" s="25">
        <f>ROUND(N412*'Methodology &amp; Assumptions'!$B$7, 0)</f>
        <v/>
      </c>
      <c r="P412" s="23" t="inlineStr">
        <is>
          <t>Single Carrier (Band n50, 100MHz TDD)</t>
        </is>
      </c>
      <c r="Q412" s="27">
        <f>ROUNDUP(O412/'Methodology &amp; Assumptions'!$B$8, 0)</f>
        <v/>
      </c>
      <c r="R412" s="27" t="n">
        <v>1</v>
      </c>
      <c r="S412" s="26" t="n">
        <v>0.43</v>
      </c>
      <c r="T412" s="26" t="n">
        <v>0.15</v>
      </c>
      <c r="U412" s="11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26" t="n">
        <v>68.41</v>
      </c>
      <c r="W412" s="26" t="n">
        <v>70.3</v>
      </c>
      <c r="X412" s="26">
        <f>ROUND(('Methodology &amp; Assumptions'!$B$5*V412) + ('Methodology &amp; Assumptions'!$B$6*W412), 2)</f>
        <v/>
      </c>
      <c r="Y412" s="28" t="n">
        <v>10.9</v>
      </c>
      <c r="Z412" s="11" t="inlineStr">
        <is>
          <t>Priority Tier 2 (Balanced Opportunity)</t>
        </is>
      </c>
    </row>
    <row r="413">
      <c r="A413" s="23" t="n">
        <v>1</v>
      </c>
      <c r="B413" s="23" t="n">
        <v>409</v>
      </c>
      <c r="C413" s="23" t="n">
        <v>409</v>
      </c>
      <c r="D413" s="23" t="inlineStr">
        <is>
          <t>1380606208</t>
        </is>
      </c>
      <c r="E413" s="11" t="inlineStr">
        <is>
          <t>National Capital Region (NCR)</t>
        </is>
      </c>
      <c r="F413" s="11" t="inlineStr">
        <is>
          <t>First District (Not a Province)</t>
        </is>
      </c>
      <c r="G413" s="11" t="inlineStr">
        <is>
          <t>City of Manila</t>
        </is>
      </c>
      <c r="H413" s="11" t="inlineStr">
        <is>
          <t>Barangay 601</t>
        </is>
      </c>
      <c r="I413" s="24" t="n">
        <v>14.595437</v>
      </c>
      <c r="J413" s="24" t="n">
        <v>121.020967</v>
      </c>
      <c r="K413" s="23" t="inlineStr">
        <is>
          <t>U</t>
        </is>
      </c>
      <c r="L413" s="25" t="n">
        <v>7765</v>
      </c>
      <c r="M413" s="26" t="n">
        <v>4.6</v>
      </c>
      <c r="N413" s="25">
        <f>ROUND(L413/M413, 0)</f>
        <v/>
      </c>
      <c r="O413" s="25">
        <f>ROUND(N413*'Methodology &amp; Assumptions'!$B$7, 0)</f>
        <v/>
      </c>
      <c r="P413" s="23" t="inlineStr">
        <is>
          <t>Single Carrier (Band n50, 100MHz TDD)</t>
        </is>
      </c>
      <c r="Q413" s="27">
        <f>ROUNDUP(O413/'Methodology &amp; Assumptions'!$B$8, 0)</f>
        <v/>
      </c>
      <c r="R413" s="27" t="n">
        <v>1</v>
      </c>
      <c r="S413" s="26" t="n">
        <v>1.52</v>
      </c>
      <c r="T413" s="26" t="n">
        <v>0.68</v>
      </c>
      <c r="U413" s="11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26" t="n">
        <v>66.54000000000001</v>
      </c>
      <c r="W413" s="26" t="n">
        <v>72.16</v>
      </c>
      <c r="X413" s="26">
        <f>ROUND(('Methodology &amp; Assumptions'!$B$5*V413) + ('Methodology &amp; Assumptions'!$B$6*W413), 2)</f>
        <v/>
      </c>
      <c r="Y413" s="28" t="n">
        <v>10.9</v>
      </c>
      <c r="Z413" s="11" t="inlineStr">
        <is>
          <t>Priority Tier 2 (Balanced Opportunity)</t>
        </is>
      </c>
    </row>
    <row r="414">
      <c r="A414" s="23" t="n">
        <v>1</v>
      </c>
      <c r="B414" s="23" t="n">
        <v>410</v>
      </c>
      <c r="C414" s="23" t="n">
        <v>410</v>
      </c>
      <c r="D414" s="23" t="inlineStr">
        <is>
          <t>0500503038</t>
        </is>
      </c>
      <c r="E414" s="11" t="inlineStr">
        <is>
          <t>Region V (Bicol Region)</t>
        </is>
      </c>
      <c r="F414" s="11" t="inlineStr">
        <is>
          <t>Albay</t>
        </is>
      </c>
      <c r="G414" s="11" t="inlineStr">
        <is>
          <t>Daraga</t>
        </is>
      </c>
      <c r="H414" s="11" t="inlineStr">
        <is>
          <t>Mi-isi</t>
        </is>
      </c>
      <c r="I414" s="24" t="n">
        <v>13.218499</v>
      </c>
      <c r="J414" s="24" t="n">
        <v>123.69029</v>
      </c>
      <c r="K414" s="23" t="inlineStr">
        <is>
          <t>R</t>
        </is>
      </c>
      <c r="L414" s="25" t="n">
        <v>1123</v>
      </c>
      <c r="M414" s="26" t="n">
        <v>4.1</v>
      </c>
      <c r="N414" s="25">
        <f>ROUND(L414/M414, 0)</f>
        <v/>
      </c>
      <c r="O414" s="25">
        <f>ROUND(N414*'Methodology &amp; Assumptions'!$B$7, 0)</f>
        <v/>
      </c>
      <c r="P414" s="23" t="inlineStr">
        <is>
          <t>Single Carrier (Band n50, 100MHz TDD)</t>
        </is>
      </c>
      <c r="Q414" s="27">
        <f>ROUNDUP(O414/'Methodology &amp; Assumptions'!$B$8, 0)</f>
        <v/>
      </c>
      <c r="R414" s="27" t="n">
        <v>1</v>
      </c>
      <c r="S414" s="26" t="n">
        <v>4.44</v>
      </c>
      <c r="T414" s="26" t="n">
        <v>4.41</v>
      </c>
      <c r="U414" s="11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26" t="n">
        <v>55.78</v>
      </c>
      <c r="W414" s="26" t="n">
        <v>82.91</v>
      </c>
      <c r="X414" s="26">
        <f>ROUND(('Methodology &amp; Assumptions'!$B$5*V414) + ('Methodology &amp; Assumptions'!$B$6*W414), 2)</f>
        <v/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1</v>
      </c>
      <c r="B415" s="23" t="n">
        <v>411</v>
      </c>
      <c r="C415" s="23" t="n">
        <v>411</v>
      </c>
      <c r="D415" s="23" t="inlineStr">
        <is>
          <t>0301412025</t>
        </is>
      </c>
      <c r="E415" s="11" t="inlineStr">
        <is>
          <t>Region III (Central Luzon)</t>
        </is>
      </c>
      <c r="F415" s="11" t="inlineStr">
        <is>
          <t>Bulacan</t>
        </is>
      </c>
      <c r="G415" s="11" t="inlineStr">
        <is>
          <t>City of Meycauayan</t>
        </is>
      </c>
      <c r="H415" s="11" t="inlineStr">
        <is>
          <t>Zamora</t>
        </is>
      </c>
      <c r="I415" s="24" t="n">
        <v>14.734941</v>
      </c>
      <c r="J415" s="24" t="n">
        <v>120.954889</v>
      </c>
      <c r="K415" s="23" t="inlineStr">
        <is>
          <t>U</t>
        </is>
      </c>
      <c r="L415" s="25" t="n">
        <v>2477</v>
      </c>
      <c r="M415" s="26" t="n">
        <v>3.5</v>
      </c>
      <c r="N415" s="25">
        <f>ROUND(L415/M415, 0)</f>
        <v/>
      </c>
      <c r="O415" s="25">
        <f>ROUND(N415*'Methodology &amp; Assumptions'!$B$7, 0)</f>
        <v/>
      </c>
      <c r="P415" s="23" t="inlineStr">
        <is>
          <t>Single Carrier (Band n50, 100MHz TDD)</t>
        </is>
      </c>
      <c r="Q415" s="27">
        <f>ROUNDUP(O415/'Methodology &amp; Assumptions'!$B$8, 0)</f>
        <v/>
      </c>
      <c r="R415" s="27" t="n">
        <v>1</v>
      </c>
      <c r="S415" s="26" t="n">
        <v>1.51</v>
      </c>
      <c r="T415" s="26" t="n">
        <v>0.6899999999999999</v>
      </c>
      <c r="U415" s="11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26" t="n">
        <v>72.28</v>
      </c>
      <c r="W415" s="26" t="n">
        <v>66.41</v>
      </c>
      <c r="X415" s="26">
        <f>ROUND(('Methodology &amp; Assumptions'!$B$5*V415) + ('Methodology &amp; Assumptions'!$B$6*W415), 2)</f>
        <v/>
      </c>
      <c r="Y415" s="28" t="n">
        <v>8.300000000000001</v>
      </c>
      <c r="Z415" s="11" t="inlineStr">
        <is>
          <t>Priority Tier 2 (Balanced Opportunity)</t>
        </is>
      </c>
    </row>
    <row r="416">
      <c r="A416" s="23" t="n">
        <v>1</v>
      </c>
      <c r="B416" s="23" t="n">
        <v>412</v>
      </c>
      <c r="C416" s="23" t="n">
        <v>412</v>
      </c>
      <c r="D416" s="23" t="inlineStr">
        <is>
          <t>0403403006</t>
        </is>
      </c>
      <c r="E416" s="11" t="inlineStr">
        <is>
          <t>Region IV-A (CALABARZON)</t>
        </is>
      </c>
      <c r="F416" s="11" t="inlineStr">
        <is>
          <t>Laguna</t>
        </is>
      </c>
      <c r="G416" s="11" t="inlineStr">
        <is>
          <t>City of Biñan</t>
        </is>
      </c>
      <c r="H416" s="11" t="inlineStr">
        <is>
          <t>De La Paz</t>
        </is>
      </c>
      <c r="I416" s="24" t="n">
        <v>14.348918</v>
      </c>
      <c r="J416" s="24" t="n">
        <v>121.08489</v>
      </c>
      <c r="K416" s="23" t="inlineStr">
        <is>
          <t>U</t>
        </is>
      </c>
      <c r="L416" s="25" t="n">
        <v>35999</v>
      </c>
      <c r="M416" s="26" t="n">
        <v>3.3</v>
      </c>
      <c r="N416" s="25">
        <f>ROUND(L416/M416, 0)</f>
        <v/>
      </c>
      <c r="O416" s="25">
        <f>ROUND(N416*'Methodology &amp; Assumptions'!$B$7, 0)</f>
        <v/>
      </c>
      <c r="P416" s="23" t="inlineStr">
        <is>
          <t>Single Carrier (Band n50, 100MHz TDD)</t>
        </is>
      </c>
      <c r="Q416" s="27">
        <f>ROUNDUP(O416/'Methodology &amp; Assumptions'!$B$8, 0)</f>
        <v/>
      </c>
      <c r="R416" s="27" t="n">
        <v>1</v>
      </c>
      <c r="S416" s="26" t="n">
        <v>1.51</v>
      </c>
      <c r="T416" s="26" t="n">
        <v>1.1</v>
      </c>
      <c r="U416" s="11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26" t="n">
        <v>74.84999999999999</v>
      </c>
      <c r="W416" s="26" t="n">
        <v>63.81</v>
      </c>
      <c r="X416" s="26">
        <f>ROUND(('Methodology &amp; Assumptions'!$B$5*V416) + ('Methodology &amp; Assumptions'!$B$6*W416), 2)</f>
        <v/>
      </c>
      <c r="Y416" s="28" t="n">
        <v>7.2</v>
      </c>
      <c r="Z416" s="11" t="inlineStr">
        <is>
          <t>Priority Tier 2 (Balanced Opportunity)</t>
        </is>
      </c>
    </row>
    <row r="417">
      <c r="A417" s="23" t="n">
        <v>1</v>
      </c>
      <c r="B417" s="23" t="n">
        <v>413</v>
      </c>
      <c r="C417" s="23" t="n">
        <v>413</v>
      </c>
      <c r="D417" s="23" t="inlineStr">
        <is>
          <t>1381300109</t>
        </is>
      </c>
      <c r="E417" s="11" t="inlineStr">
        <is>
          <t>National Capital Region (NCR)</t>
        </is>
      </c>
      <c r="F417" s="11" t="inlineStr">
        <is>
          <t>Second District (Not a Province)</t>
        </is>
      </c>
      <c r="G417" s="11" t="inlineStr">
        <is>
          <t>Quezon City</t>
        </is>
      </c>
      <c r="H417" s="11" t="inlineStr">
        <is>
          <t>Santo Niño</t>
        </is>
      </c>
      <c r="I417" s="24" t="n">
        <v>14.61238</v>
      </c>
      <c r="J417" s="24" t="n">
        <v>121.0115</v>
      </c>
      <c r="K417" s="23" t="inlineStr">
        <is>
          <t>U</t>
        </is>
      </c>
      <c r="L417" s="25" t="n">
        <v>7646</v>
      </c>
      <c r="M417" s="26" t="n">
        <v>3.88</v>
      </c>
      <c r="N417" s="25">
        <f>ROUND(L417/M417, 0)</f>
        <v/>
      </c>
      <c r="O417" s="25">
        <f>ROUND(N417*'Methodology &amp; Assumptions'!$B$7, 0)</f>
        <v/>
      </c>
      <c r="P417" s="23" t="inlineStr">
        <is>
          <t>Single Carrier (Band n50, 100MHz TDD)</t>
        </is>
      </c>
      <c r="Q417" s="27">
        <f>ROUNDUP(O417/'Methodology &amp; Assumptions'!$B$8, 0)</f>
        <v/>
      </c>
      <c r="R417" s="27" t="n">
        <v>1</v>
      </c>
      <c r="S417" s="26" t="n">
        <v>0.73</v>
      </c>
      <c r="T417" s="26" t="n">
        <v>0.15</v>
      </c>
      <c r="U417" s="11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26" t="n">
        <v>69.09</v>
      </c>
      <c r="W417" s="26" t="n">
        <v>69.56999999999999</v>
      </c>
      <c r="X417" s="26">
        <f>ROUND(('Methodology &amp; Assumptions'!$B$5*V417) + ('Methodology &amp; Assumptions'!$B$6*W417), 2)</f>
        <v/>
      </c>
      <c r="Y417" s="28" t="n">
        <v>10.9</v>
      </c>
      <c r="Z417" s="11" t="inlineStr">
        <is>
          <t>Priority Tier 2 (Balanced Opportunity)</t>
        </is>
      </c>
    </row>
    <row r="418">
      <c r="A418" s="23" t="n">
        <v>1</v>
      </c>
      <c r="B418" s="23" t="n">
        <v>414</v>
      </c>
      <c r="C418" s="23" t="n">
        <v>414</v>
      </c>
      <c r="D418" s="23" t="inlineStr">
        <is>
          <t>1380601177</t>
        </is>
      </c>
      <c r="E418" s="11" t="inlineStr">
        <is>
          <t>National Capital Region (NCR)</t>
        </is>
      </c>
      <c r="F418" s="11" t="inlineStr">
        <is>
          <t>First District (Not a Province)</t>
        </is>
      </c>
      <c r="G418" s="11" t="inlineStr">
        <is>
          <t>City of Manila</t>
        </is>
      </c>
      <c r="H418" s="11" t="inlineStr">
        <is>
          <t>Barangay 177</t>
        </is>
      </c>
      <c r="I418" s="24" t="n">
        <v>14.63483</v>
      </c>
      <c r="J418" s="24" t="n">
        <v>120.9739</v>
      </c>
      <c r="K418" s="23" t="inlineStr">
        <is>
          <t>U</t>
        </is>
      </c>
      <c r="L418" s="25" t="n">
        <v>3440</v>
      </c>
      <c r="M418" s="26" t="n">
        <v>4.04</v>
      </c>
      <c r="N418" s="25">
        <f>ROUND(L418/M418, 0)</f>
        <v/>
      </c>
      <c r="O418" s="25">
        <f>ROUND(N418*'Methodology &amp; Assumptions'!$B$7, 0)</f>
        <v/>
      </c>
      <c r="P418" s="23" t="inlineStr">
        <is>
          <t>Single Carrier (Band n50, 100MHz TDD)</t>
        </is>
      </c>
      <c r="Q418" s="27">
        <f>ROUNDUP(O418/'Methodology &amp; Assumptions'!$B$8, 0)</f>
        <v/>
      </c>
      <c r="R418" s="27" t="n">
        <v>1</v>
      </c>
      <c r="S418" s="26" t="n">
        <v>0.89</v>
      </c>
      <c r="T418" s="26" t="n">
        <v>0.8100000000000001</v>
      </c>
      <c r="U418" s="11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26" t="n">
        <v>68.23</v>
      </c>
      <c r="W418" s="26" t="n">
        <v>70.43000000000001</v>
      </c>
      <c r="X418" s="26">
        <f>ROUND(('Methodology &amp; Assumptions'!$B$5*V418) + ('Methodology &amp; Assumptions'!$B$6*W418), 2)</f>
        <v/>
      </c>
      <c r="Y418" s="28" t="n">
        <v>10.9</v>
      </c>
      <c r="Z418" s="11" t="inlineStr">
        <is>
          <t>Priority Tier 2 (Balanced Opportunity)</t>
        </is>
      </c>
    </row>
    <row r="419">
      <c r="A419" s="23" t="n">
        <v>1</v>
      </c>
      <c r="B419" s="23" t="n">
        <v>415</v>
      </c>
      <c r="C419" s="23" t="n">
        <v>415</v>
      </c>
      <c r="D419" s="23" t="inlineStr">
        <is>
          <t>0500518020</t>
        </is>
      </c>
      <c r="E419" s="11" t="inlineStr">
        <is>
          <t>Region V (Bicol Region)</t>
        </is>
      </c>
      <c r="F419" s="11" t="inlineStr">
        <is>
          <t>Albay</t>
        </is>
      </c>
      <c r="G419" s="11" t="inlineStr">
        <is>
          <t>Tiwi</t>
        </is>
      </c>
      <c r="H419" s="11" t="inlineStr">
        <is>
          <t>Misibis</t>
        </is>
      </c>
      <c r="I419" s="24" t="n">
        <v>13.498253</v>
      </c>
      <c r="J419" s="24" t="n">
        <v>123.553881</v>
      </c>
      <c r="K419" s="23" t="inlineStr">
        <is>
          <t>R</t>
        </is>
      </c>
      <c r="L419" s="25" t="n">
        <v>2262</v>
      </c>
      <c r="M419" s="26" t="n">
        <v>4.1</v>
      </c>
      <c r="N419" s="25">
        <f>ROUND(L419/M419, 0)</f>
        <v/>
      </c>
      <c r="O419" s="25">
        <f>ROUND(N419*'Methodology &amp; Assumptions'!$B$7, 0)</f>
        <v/>
      </c>
      <c r="P419" s="23" t="inlineStr">
        <is>
          <t>Single Carrier (Band n50, 100MHz TDD)</t>
        </is>
      </c>
      <c r="Q419" s="27">
        <f>ROUNDUP(O419/'Methodology &amp; Assumptions'!$B$8, 0)</f>
        <v/>
      </c>
      <c r="R419" s="27" t="n">
        <v>1</v>
      </c>
      <c r="S419" s="26" t="n">
        <v>6.03</v>
      </c>
      <c r="T419" s="26" t="n">
        <v>4.94</v>
      </c>
      <c r="U419" s="11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26" t="n">
        <v>61.71</v>
      </c>
      <c r="W419" s="26" t="n">
        <v>76.95999999999999</v>
      </c>
      <c r="X419" s="26">
        <f>ROUND(('Methodology &amp; Assumptions'!$B$5*V419) + ('Methodology &amp; Assumptions'!$B$6*W419), 2)</f>
        <v/>
      </c>
      <c r="Y419" s="28" t="n">
        <v>23.7</v>
      </c>
      <c r="Z419" s="11" t="inlineStr">
        <is>
          <t>Priority Tier 2 (Balanced Opportunity)</t>
        </is>
      </c>
    </row>
    <row r="420">
      <c r="A420" s="23" t="n">
        <v>1</v>
      </c>
      <c r="B420" s="23" t="n">
        <v>416</v>
      </c>
      <c r="C420" s="23" t="n">
        <v>416</v>
      </c>
      <c r="D420" s="23" t="inlineStr">
        <is>
          <t>0301412001</t>
        </is>
      </c>
      <c r="E420" s="11" t="inlineStr">
        <is>
          <t>Region III (Central Luzon)</t>
        </is>
      </c>
      <c r="F420" s="11" t="inlineStr">
        <is>
          <t>Bulacan</t>
        </is>
      </c>
      <c r="G420" s="11" t="inlineStr">
        <is>
          <t>City of Meycauayan</t>
        </is>
      </c>
      <c r="H420" s="11" t="inlineStr">
        <is>
          <t>Bagbaguin</t>
        </is>
      </c>
      <c r="I420" s="24" t="n">
        <v>14.758107</v>
      </c>
      <c r="J420" s="24" t="n">
        <v>121.006267</v>
      </c>
      <c r="K420" s="23" t="inlineStr">
        <is>
          <t>U</t>
        </is>
      </c>
      <c r="L420" s="25" t="n">
        <v>8807</v>
      </c>
      <c r="M420" s="26" t="n">
        <v>3.5</v>
      </c>
      <c r="N420" s="25">
        <f>ROUND(L420/M420, 0)</f>
        <v/>
      </c>
      <c r="O420" s="25">
        <f>ROUND(N420*'Methodology &amp; Assumptions'!$B$7, 0)</f>
        <v/>
      </c>
      <c r="P420" s="23" t="inlineStr">
        <is>
          <t>Single Carrier (Band n50, 100MHz TDD)</t>
        </is>
      </c>
      <c r="Q420" s="27">
        <f>ROUNDUP(O420/'Methodology &amp; Assumptions'!$B$8, 0)</f>
        <v/>
      </c>
      <c r="R420" s="27" t="n">
        <v>1</v>
      </c>
      <c r="S420" s="26" t="n">
        <v>0.87</v>
      </c>
      <c r="T420" s="26" t="n">
        <v>0.85</v>
      </c>
      <c r="U420" s="11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26" t="n">
        <v>78.31999999999999</v>
      </c>
      <c r="W420" s="26" t="n">
        <v>60.3</v>
      </c>
      <c r="X420" s="26">
        <f>ROUND(('Methodology &amp; Assumptions'!$B$5*V420) + ('Methodology &amp; Assumptions'!$B$6*W420), 2)</f>
        <v/>
      </c>
      <c r="Y420" s="28" t="n">
        <v>8.300000000000001</v>
      </c>
      <c r="Z420" s="11" t="inlineStr">
        <is>
          <t>Priority Tier 2 (Balanced Opportunity)</t>
        </is>
      </c>
    </row>
    <row r="421">
      <c r="A421" s="23" t="n">
        <v>1</v>
      </c>
      <c r="B421" s="23" t="n">
        <v>417</v>
      </c>
      <c r="C421" s="23" t="n">
        <v>417</v>
      </c>
      <c r="D421" s="23" t="inlineStr">
        <is>
          <t>1380601122</t>
        </is>
      </c>
      <c r="E421" s="11" t="inlineStr">
        <is>
          <t>National Capital Region (NCR)</t>
        </is>
      </c>
      <c r="F421" s="11" t="inlineStr">
        <is>
          <t>First District (Not a Province)</t>
        </is>
      </c>
      <c r="G421" s="11" t="inlineStr">
        <is>
          <t>City of Manila</t>
        </is>
      </c>
      <c r="H421" s="11" t="inlineStr">
        <is>
          <t>Barangay 122</t>
        </is>
      </c>
      <c r="I421" s="24" t="n">
        <v>14.646135</v>
      </c>
      <c r="J421" s="24" t="n">
        <v>120.992444</v>
      </c>
      <c r="K421" s="23" t="inlineStr">
        <is>
          <t>U</t>
        </is>
      </c>
      <c r="L421" s="25" t="n">
        <v>3830</v>
      </c>
      <c r="M421" s="26" t="n">
        <v>4.48</v>
      </c>
      <c r="N421" s="25">
        <f>ROUND(L421/M421, 0)</f>
        <v/>
      </c>
      <c r="O421" s="25">
        <f>ROUND(N421*'Methodology &amp; Assumptions'!$B$7, 0)</f>
        <v/>
      </c>
      <c r="P421" s="23" t="inlineStr">
        <is>
          <t>Single Carrier (Band n50, 100MHz TDD)</t>
        </is>
      </c>
      <c r="Q421" s="27">
        <f>ROUNDUP(O421/'Methodology &amp; Assumptions'!$B$8, 0)</f>
        <v/>
      </c>
      <c r="R421" s="27" t="n">
        <v>1</v>
      </c>
      <c r="S421" s="26" t="n">
        <v>0.87</v>
      </c>
      <c r="T421" s="26" t="n">
        <v>0.87</v>
      </c>
      <c r="U421" s="11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26" t="n">
        <v>68.42</v>
      </c>
      <c r="W421" s="26" t="n">
        <v>70.18000000000001</v>
      </c>
      <c r="X421" s="26">
        <f>ROUND(('Methodology &amp; Assumptions'!$B$5*V421) + ('Methodology &amp; Assumptions'!$B$6*W421), 2)</f>
        <v/>
      </c>
      <c r="Y421" s="28" t="n">
        <v>10.9</v>
      </c>
      <c r="Z421" s="11" t="inlineStr">
        <is>
          <t>Priority Tier 2 (Balanced Opportunity)</t>
        </is>
      </c>
    </row>
    <row r="422">
      <c r="A422" s="23" t="n">
        <v>1</v>
      </c>
      <c r="B422" s="23" t="n">
        <v>418</v>
      </c>
      <c r="C422" s="23" t="n">
        <v>418</v>
      </c>
      <c r="D422" s="23" t="inlineStr">
        <is>
          <t>1380610016</t>
        </is>
      </c>
      <c r="E422" s="11" t="inlineStr">
        <is>
          <t>National Capital Region (NCR)</t>
        </is>
      </c>
      <c r="F422" s="11" t="inlineStr">
        <is>
          <t>First District (Not a Province)</t>
        </is>
      </c>
      <c r="G422" s="11" t="inlineStr">
        <is>
          <t>City of Manila</t>
        </is>
      </c>
      <c r="H422" s="11" t="inlineStr">
        <is>
          <t>Barangay 701</t>
        </is>
      </c>
      <c r="I422" s="24" t="n">
        <v>14.56558</v>
      </c>
      <c r="J422" s="24" t="n">
        <v>120.9866</v>
      </c>
      <c r="K422" s="23" t="inlineStr">
        <is>
          <t>U</t>
        </is>
      </c>
      <c r="L422" s="25" t="n">
        <v>3328</v>
      </c>
      <c r="M422" s="26" t="n">
        <v>3.43</v>
      </c>
      <c r="N422" s="25">
        <f>ROUND(L422/M422, 0)</f>
        <v/>
      </c>
      <c r="O422" s="25">
        <f>ROUND(N422*'Methodology &amp; Assumptions'!$B$7, 0)</f>
        <v/>
      </c>
      <c r="P422" s="23" t="inlineStr">
        <is>
          <t>Single Carrier (Band n50, 100MHz TDD)</t>
        </is>
      </c>
      <c r="Q422" s="27">
        <f>ROUNDUP(O422/'Methodology &amp; Assumptions'!$B$8, 0)</f>
        <v/>
      </c>
      <c r="R422" s="27" t="n">
        <v>1</v>
      </c>
      <c r="S422" s="26" t="n">
        <v>1.09</v>
      </c>
      <c r="T422" s="26" t="n">
        <v>0.78</v>
      </c>
      <c r="U422" s="11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26" t="n">
        <v>68.13</v>
      </c>
      <c r="W422" s="26" t="n">
        <v>70.45999999999999</v>
      </c>
      <c r="X422" s="26">
        <f>ROUND(('Methodology &amp; Assumptions'!$B$5*V422) + ('Methodology &amp; Assumptions'!$B$6*W422), 2)</f>
        <v/>
      </c>
      <c r="Y422" s="28" t="n">
        <v>10.9</v>
      </c>
      <c r="Z422" s="11" t="inlineStr">
        <is>
          <t>Priority Tier 2 (Balanced Opportunity)</t>
        </is>
      </c>
    </row>
    <row r="423">
      <c r="A423" s="23" t="n">
        <v>1</v>
      </c>
      <c r="B423" s="23" t="n">
        <v>419</v>
      </c>
      <c r="C423" s="23" t="n">
        <v>419</v>
      </c>
      <c r="D423" s="23" t="inlineStr">
        <is>
          <t>0403404002</t>
        </is>
      </c>
      <c r="E423" s="11" t="inlineStr">
        <is>
          <t>Region IV-A (CALABARZON)</t>
        </is>
      </c>
      <c r="F423" s="11" t="inlineStr">
        <is>
          <t>Laguna</t>
        </is>
      </c>
      <c r="G423" s="11" t="inlineStr">
        <is>
          <t>City of Cabuyao</t>
        </is>
      </c>
      <c r="H423" s="11" t="inlineStr">
        <is>
          <t>Banaybanay</t>
        </is>
      </c>
      <c r="I423" s="24" t="n">
        <v>14.254131</v>
      </c>
      <c r="J423" s="24" t="n">
        <v>121.12828</v>
      </c>
      <c r="K423" s="23" t="inlineStr">
        <is>
          <t>U</t>
        </is>
      </c>
      <c r="L423" s="25" t="n">
        <v>37555</v>
      </c>
      <c r="M423" s="26" t="n">
        <v>3.3</v>
      </c>
      <c r="N423" s="25">
        <f>ROUND(L423/M423, 0)</f>
        <v/>
      </c>
      <c r="O423" s="25">
        <f>ROUND(N423*'Methodology &amp; Assumptions'!$B$7, 0)</f>
        <v/>
      </c>
      <c r="P423" s="23" t="inlineStr">
        <is>
          <t>Single Carrier (Band n50, 100MHz TDD)</t>
        </is>
      </c>
      <c r="Q423" s="27">
        <f>ROUNDUP(O423/'Methodology &amp; Assumptions'!$B$8, 0)</f>
        <v/>
      </c>
      <c r="R423" s="27" t="n">
        <v>1</v>
      </c>
      <c r="S423" s="26" t="n">
        <v>0.89</v>
      </c>
      <c r="T423" s="26" t="n">
        <v>0.15</v>
      </c>
      <c r="U423" s="11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26" t="n">
        <v>77.08</v>
      </c>
      <c r="W423" s="26" t="n">
        <v>61.49</v>
      </c>
      <c r="X423" s="26">
        <f>ROUND(('Methodology &amp; Assumptions'!$B$5*V423) + ('Methodology &amp; Assumptions'!$B$6*W423), 2)</f>
        <v/>
      </c>
      <c r="Y423" s="28" t="n">
        <v>7.2</v>
      </c>
      <c r="Z423" s="11" t="inlineStr">
        <is>
          <t>Priority Tier 2 (Balanced Opportunity)</t>
        </is>
      </c>
    </row>
    <row r="424">
      <c r="A424" s="23" t="n">
        <v>1</v>
      </c>
      <c r="B424" s="23" t="n">
        <v>420</v>
      </c>
      <c r="C424" s="23" t="n">
        <v>420</v>
      </c>
      <c r="D424" s="23" t="inlineStr">
        <is>
          <t>1381200008</t>
        </is>
      </c>
      <c r="E424" s="11" t="inlineStr">
        <is>
          <t>National Capital Region (NCR)</t>
        </is>
      </c>
      <c r="F424" s="11" t="inlineStr">
        <is>
          <t>Second District (Not a Province)</t>
        </is>
      </c>
      <c r="G424" s="11" t="inlineStr">
        <is>
          <t>City of Pasig</t>
        </is>
      </c>
      <c r="H424" s="11" t="inlineStr">
        <is>
          <t>Kapasigan</t>
        </is>
      </c>
      <c r="I424" s="24" t="n">
        <v>14.564586</v>
      </c>
      <c r="J424" s="24" t="n">
        <v>121.074276</v>
      </c>
      <c r="K424" s="23" t="inlineStr">
        <is>
          <t>U</t>
        </is>
      </c>
      <c r="L424" s="25" t="n">
        <v>4952</v>
      </c>
      <c r="M424" s="26" t="n">
        <v>3.26</v>
      </c>
      <c r="N424" s="25">
        <f>ROUND(L424/M424, 0)</f>
        <v/>
      </c>
      <c r="O424" s="25">
        <f>ROUND(N424*'Methodology &amp; Assumptions'!$B$7, 0)</f>
        <v/>
      </c>
      <c r="P424" s="23" t="inlineStr">
        <is>
          <t>Single Carrier (Band n50, 100MHz TDD)</t>
        </is>
      </c>
      <c r="Q424" s="27">
        <f>ROUNDUP(O424/'Methodology &amp; Assumptions'!$B$8, 0)</f>
        <v/>
      </c>
      <c r="R424" s="27" t="n">
        <v>1</v>
      </c>
      <c r="S424" s="26" t="n">
        <v>0.85</v>
      </c>
      <c r="T424" s="26" t="n">
        <v>0.27</v>
      </c>
      <c r="U424" s="11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26" t="n">
        <v>69.06</v>
      </c>
      <c r="W424" s="26" t="n">
        <v>69.51000000000001</v>
      </c>
      <c r="X424" s="26">
        <f>ROUND(('Methodology &amp; Assumptions'!$B$5*V424) + ('Methodology &amp; Assumptions'!$B$6*W424), 2)</f>
        <v/>
      </c>
      <c r="Y424" s="28" t="n">
        <v>10.9</v>
      </c>
      <c r="Z424" s="11" t="inlineStr">
        <is>
          <t>Priority Tier 2 (Balanced Opportunity)</t>
        </is>
      </c>
    </row>
    <row r="425">
      <c r="A425" s="23" t="n">
        <v>1</v>
      </c>
      <c r="B425" s="23" t="n">
        <v>421</v>
      </c>
      <c r="C425" s="23" t="n">
        <v>421</v>
      </c>
      <c r="D425" s="23" t="inlineStr">
        <is>
          <t>1380614093</t>
        </is>
      </c>
      <c r="E425" s="11" t="inlineStr">
        <is>
          <t>National Capital Region (NCR)</t>
        </is>
      </c>
      <c r="F425" s="11" t="inlineStr">
        <is>
          <t>First District (Not a Province)</t>
        </is>
      </c>
      <c r="G425" s="11" t="inlineStr">
        <is>
          <t>City of Manila</t>
        </is>
      </c>
      <c r="H425" s="11" t="inlineStr">
        <is>
          <t>Barangay 900</t>
        </is>
      </c>
      <c r="I425" s="24" t="n">
        <v>14.584658</v>
      </c>
      <c r="J425" s="24" t="n">
        <v>121.011939</v>
      </c>
      <c r="K425" s="23" t="inlineStr">
        <is>
          <t>U</t>
        </is>
      </c>
      <c r="L425" s="25" t="n">
        <v>8689</v>
      </c>
      <c r="M425" s="26" t="n">
        <v>3.94</v>
      </c>
      <c r="N425" s="25">
        <f>ROUND(L425/M425, 0)</f>
        <v/>
      </c>
      <c r="O425" s="25">
        <f>ROUND(N425*'Methodology &amp; Assumptions'!$B$7, 0)</f>
        <v/>
      </c>
      <c r="P425" s="23" t="inlineStr">
        <is>
          <t>Single Carrier (Band n50, 100MHz TDD)</t>
        </is>
      </c>
      <c r="Q425" s="27">
        <f>ROUNDUP(O425/'Methodology &amp; Assumptions'!$B$8, 0)</f>
        <v/>
      </c>
      <c r="R425" s="27" t="n">
        <v>1</v>
      </c>
      <c r="S425" s="26" t="n">
        <v>0.99</v>
      </c>
      <c r="T425" s="26" t="n">
        <v>0.36</v>
      </c>
      <c r="U425" s="11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26" t="n">
        <v>68.53</v>
      </c>
      <c r="W425" s="26" t="n">
        <v>70.04000000000001</v>
      </c>
      <c r="X425" s="26">
        <f>ROUND(('Methodology &amp; Assumptions'!$B$5*V425) + ('Methodology &amp; Assumptions'!$B$6*W425), 2)</f>
        <v/>
      </c>
      <c r="Y425" s="28" t="n">
        <v>10.9</v>
      </c>
      <c r="Z425" s="11" t="inlineStr">
        <is>
          <t>Priority Tier 2 (Balanced Opportunity)</t>
        </is>
      </c>
    </row>
    <row r="426">
      <c r="A426" s="23" t="n">
        <v>1</v>
      </c>
      <c r="B426" s="23" t="n">
        <v>422</v>
      </c>
      <c r="C426" s="23" t="n">
        <v>422</v>
      </c>
      <c r="D426" s="23" t="inlineStr">
        <is>
          <t>1380611044</t>
        </is>
      </c>
      <c r="E426" s="11" t="inlineStr">
        <is>
          <t>National Capital Region (NCR)</t>
        </is>
      </c>
      <c r="F426" s="11" t="inlineStr">
        <is>
          <t>First District (Not a Province)</t>
        </is>
      </c>
      <c r="G426" s="11" t="inlineStr">
        <is>
          <t>City of Manila</t>
        </is>
      </c>
      <c r="H426" s="11" t="inlineStr">
        <is>
          <t>Barangay 829</t>
        </is>
      </c>
      <c r="I426" s="24" t="n">
        <v>14.589827</v>
      </c>
      <c r="J426" s="24" t="n">
        <v>120.995506</v>
      </c>
      <c r="K426" s="23" t="inlineStr">
        <is>
          <t>U</t>
        </is>
      </c>
      <c r="L426" s="25" t="n">
        <v>4375</v>
      </c>
      <c r="M426" s="26" t="n">
        <v>4.32</v>
      </c>
      <c r="N426" s="25">
        <f>ROUND(L426/M426, 0)</f>
        <v/>
      </c>
      <c r="O426" s="25">
        <f>ROUND(N426*'Methodology &amp; Assumptions'!$B$7, 0)</f>
        <v/>
      </c>
      <c r="P426" s="23" t="inlineStr">
        <is>
          <t>Single Carrier (Band n50, 100MHz TDD)</t>
        </is>
      </c>
      <c r="Q426" s="27">
        <f>ROUNDUP(O426/'Methodology &amp; Assumptions'!$B$8, 0)</f>
        <v/>
      </c>
      <c r="R426" s="27" t="n">
        <v>1</v>
      </c>
      <c r="S426" s="26" t="n">
        <v>0.99</v>
      </c>
      <c r="T426" s="26" t="n">
        <v>0.76</v>
      </c>
      <c r="U426" s="11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26" t="n">
        <v>68.53</v>
      </c>
      <c r="W426" s="26" t="n">
        <v>70.03</v>
      </c>
      <c r="X426" s="26">
        <f>ROUND(('Methodology &amp; Assumptions'!$B$5*V426) + ('Methodology &amp; Assumptions'!$B$6*W426), 2)</f>
        <v/>
      </c>
      <c r="Y426" s="28" t="n">
        <v>10.9</v>
      </c>
      <c r="Z426" s="11" t="inlineStr">
        <is>
          <t>Priority Tier 2 (Balanced Opportunity)</t>
        </is>
      </c>
    </row>
    <row r="427">
      <c r="A427" s="23" t="n">
        <v>1</v>
      </c>
      <c r="B427" s="23" t="n">
        <v>423</v>
      </c>
      <c r="C427" s="23" t="n">
        <v>423</v>
      </c>
      <c r="D427" s="23" t="inlineStr">
        <is>
          <t>0403426024</t>
        </is>
      </c>
      <c r="E427" s="11" t="inlineStr">
        <is>
          <t>Region IV-A (CALABARZON)</t>
        </is>
      </c>
      <c r="F427" s="11" t="inlineStr">
        <is>
          <t>Laguna</t>
        </is>
      </c>
      <c r="G427" s="11" t="inlineStr">
        <is>
          <t>Santa Cruz</t>
        </is>
      </c>
      <c r="H427" s="11" t="inlineStr">
        <is>
          <t>Santo Angel Central</t>
        </is>
      </c>
      <c r="I427" s="24" t="n">
        <v>14.285535</v>
      </c>
      <c r="J427" s="24" t="n">
        <v>121.408027</v>
      </c>
      <c r="K427" s="23" t="inlineStr">
        <is>
          <t>R</t>
        </is>
      </c>
      <c r="L427" s="25" t="n">
        <v>5029</v>
      </c>
      <c r="M427" s="26" t="n">
        <v>3.3</v>
      </c>
      <c r="N427" s="25">
        <f>ROUND(L427/M427, 0)</f>
        <v/>
      </c>
      <c r="O427" s="25">
        <f>ROUND(N427*'Methodology &amp; Assumptions'!$B$7, 0)</f>
        <v/>
      </c>
      <c r="P427" s="23" t="inlineStr">
        <is>
          <t>Single Carrier (Band n50, 100MHz TDD)</t>
        </is>
      </c>
      <c r="Q427" s="27">
        <f>ROUNDUP(O427/'Methodology &amp; Assumptions'!$B$8, 0)</f>
        <v/>
      </c>
      <c r="R427" s="27" t="n">
        <v>1</v>
      </c>
      <c r="S427" s="26" t="n">
        <v>0.9</v>
      </c>
      <c r="T427" s="26" t="n">
        <v>0.89</v>
      </c>
      <c r="U427" s="11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26" t="n">
        <v>85.23999999999999</v>
      </c>
      <c r="W427" s="26" t="n">
        <v>53.31</v>
      </c>
      <c r="X427" s="26">
        <f>ROUND(('Methodology &amp; Assumptions'!$B$5*V427) + ('Methodology &amp; Assumptions'!$B$6*W427), 2)</f>
        <v/>
      </c>
      <c r="Y427" s="28" t="n">
        <v>7.2</v>
      </c>
      <c r="Z427" s="11" t="inlineStr">
        <is>
          <t>Priority Tier 2 (Balanced Opportunity)</t>
        </is>
      </c>
    </row>
    <row r="428">
      <c r="A428" s="23" t="n">
        <v>1</v>
      </c>
      <c r="B428" s="23" t="n">
        <v>424</v>
      </c>
      <c r="C428" s="23" t="n">
        <v>424</v>
      </c>
      <c r="D428" s="23" t="inlineStr">
        <is>
          <t>1380606205</t>
        </is>
      </c>
      <c r="E428" s="11" t="inlineStr">
        <is>
          <t>National Capital Region (NCR)</t>
        </is>
      </c>
      <c r="F428" s="11" t="inlineStr">
        <is>
          <t>First District (Not a Province)</t>
        </is>
      </c>
      <c r="G428" s="11" t="inlineStr">
        <is>
          <t>City of Manila</t>
        </is>
      </c>
      <c r="H428" s="11" t="inlineStr">
        <is>
          <t>Barangay 598</t>
        </is>
      </c>
      <c r="I428" s="24" t="n">
        <v>14.600287</v>
      </c>
      <c r="J428" s="24" t="n">
        <v>121.020341</v>
      </c>
      <c r="K428" s="23" t="inlineStr">
        <is>
          <t>U</t>
        </is>
      </c>
      <c r="L428" s="25" t="n">
        <v>10510</v>
      </c>
      <c r="M428" s="26" t="n">
        <v>4.18</v>
      </c>
      <c r="N428" s="25">
        <f>ROUND(L428/M428, 0)</f>
        <v/>
      </c>
      <c r="O428" s="25">
        <f>ROUND(N428*'Methodology &amp; Assumptions'!$B$7, 0)</f>
        <v/>
      </c>
      <c r="P428" s="23" t="inlineStr">
        <is>
          <t>Single Carrier (Band n50, 100MHz TDD)</t>
        </is>
      </c>
      <c r="Q428" s="27">
        <f>ROUNDUP(O428/'Methodology &amp; Assumptions'!$B$8, 0)</f>
        <v/>
      </c>
      <c r="R428" s="27" t="n">
        <v>1</v>
      </c>
      <c r="S428" s="26" t="n">
        <v>1.71</v>
      </c>
      <c r="T428" s="26" t="n">
        <v>0.21</v>
      </c>
      <c r="U428" s="11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26" t="n">
        <v>65.84999999999999</v>
      </c>
      <c r="W428" s="26" t="n">
        <v>72.69</v>
      </c>
      <c r="X428" s="26">
        <f>ROUND(('Methodology &amp; Assumptions'!$B$5*V428) + ('Methodology &amp; Assumptions'!$B$6*W428), 2)</f>
        <v/>
      </c>
      <c r="Y428" s="28" t="n">
        <v>10.9</v>
      </c>
      <c r="Z428" s="11" t="inlineStr">
        <is>
          <t>Priority Tier 2 (Balanced Opportunity)</t>
        </is>
      </c>
    </row>
    <row r="429">
      <c r="A429" s="23" t="n">
        <v>1</v>
      </c>
      <c r="B429" s="23" t="n">
        <v>425</v>
      </c>
      <c r="C429" s="23" t="n">
        <v>425</v>
      </c>
      <c r="D429" s="23" t="inlineStr">
        <is>
          <t>1380601019</t>
        </is>
      </c>
      <c r="E429" s="11" t="inlineStr">
        <is>
          <t>National Capital Region (NCR)</t>
        </is>
      </c>
      <c r="F429" s="11" t="inlineStr">
        <is>
          <t>First District (Not a Province)</t>
        </is>
      </c>
      <c r="G429" s="11" t="inlineStr">
        <is>
          <t>City of Manila</t>
        </is>
      </c>
      <c r="H429" s="11" t="inlineStr">
        <is>
          <t>Barangay 19</t>
        </is>
      </c>
      <c r="I429" s="24" t="n">
        <v>14.601866</v>
      </c>
      <c r="J429" s="24" t="n">
        <v>120.963305</v>
      </c>
      <c r="K429" s="23" t="inlineStr">
        <is>
          <t>U</t>
        </is>
      </c>
      <c r="L429" s="25" t="n">
        <v>2260</v>
      </c>
      <c r="M429" s="26" t="n">
        <v>3.65</v>
      </c>
      <c r="N429" s="25">
        <f>ROUND(L429/M429, 0)</f>
        <v/>
      </c>
      <c r="O429" s="25">
        <f>ROUND(N429*'Methodology &amp; Assumptions'!$B$7, 0)</f>
        <v/>
      </c>
      <c r="P429" s="23" t="inlineStr">
        <is>
          <t>Single Carrier (Band n50, 100MHz TDD)</t>
        </is>
      </c>
      <c r="Q429" s="27">
        <f>ROUNDUP(O429/'Methodology &amp; Assumptions'!$B$8, 0)</f>
        <v/>
      </c>
      <c r="R429" s="27" t="n">
        <v>1</v>
      </c>
      <c r="S429" s="26" t="n">
        <v>0.88</v>
      </c>
      <c r="T429" s="26" t="n">
        <v>0.88</v>
      </c>
      <c r="U429" s="11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26" t="n">
        <v>60.89</v>
      </c>
      <c r="W429" s="26" t="n">
        <v>77.66</v>
      </c>
      <c r="X429" s="26">
        <f>ROUND(('Methodology &amp; Assumptions'!$B$5*V429) + ('Methodology &amp; Assumptions'!$B$6*W429), 2)</f>
        <v/>
      </c>
      <c r="Y429" s="28" t="n">
        <v>10.9</v>
      </c>
      <c r="Z429" s="11" t="inlineStr">
        <is>
          <t>Priority Tier 2 (Balanced Opportunity)</t>
        </is>
      </c>
    </row>
    <row r="430">
      <c r="A430" s="23" t="n">
        <v>1</v>
      </c>
      <c r="B430" s="23" t="n">
        <v>426</v>
      </c>
      <c r="C430" s="23" t="n">
        <v>426</v>
      </c>
      <c r="D430" s="23" t="inlineStr">
        <is>
          <t>0205009010</t>
        </is>
      </c>
      <c r="E430" s="11" t="inlineStr">
        <is>
          <t>Region II (Cagayan Valley)</t>
        </is>
      </c>
      <c r="F430" s="11" t="inlineStr">
        <is>
          <t>Nueva Vizcaya</t>
        </is>
      </c>
      <c r="G430" s="11" t="inlineStr">
        <is>
          <t>Kasibu</t>
        </is>
      </c>
      <c r="H430" s="11" t="inlineStr">
        <is>
          <t>Didipio</t>
        </is>
      </c>
      <c r="I430" s="24" t="n">
        <v>16.409207</v>
      </c>
      <c r="J430" s="24" t="n">
        <v>121.437047</v>
      </c>
      <c r="K430" s="23" t="inlineStr">
        <is>
          <t>R</t>
        </is>
      </c>
      <c r="L430" s="25" t="n">
        <v>3856</v>
      </c>
      <c r="M430" s="26" t="n">
        <v>3.8</v>
      </c>
      <c r="N430" s="25">
        <f>ROUND(L430/M430, 0)</f>
        <v/>
      </c>
      <c r="O430" s="25">
        <f>ROUND(N430*'Methodology &amp; Assumptions'!$B$7, 0)</f>
        <v/>
      </c>
      <c r="P430" s="23" t="inlineStr">
        <is>
          <t>Single Carrier (Band n50, 100MHz TDD)</t>
        </is>
      </c>
      <c r="Q430" s="27">
        <f>ROUNDUP(O430/'Methodology &amp; Assumptions'!$B$8, 0)</f>
        <v/>
      </c>
      <c r="R430" s="27" t="n">
        <v>1</v>
      </c>
      <c r="S430" s="26" t="n">
        <v>15.41</v>
      </c>
      <c r="T430" s="26" t="n">
        <v>16.75</v>
      </c>
      <c r="U430" s="11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26" t="n">
        <v>60.38</v>
      </c>
      <c r="W430" s="26" t="n">
        <v>78.15000000000001</v>
      </c>
      <c r="X430" s="26">
        <f>ROUND(('Methodology &amp; Assumptions'!$B$5*V430) + ('Methodology &amp; Assumptions'!$B$6*W430), 2)</f>
        <v/>
      </c>
      <c r="Y430" s="28" t="n">
        <v>8.300000000000001</v>
      </c>
      <c r="Z430" s="11" t="inlineStr">
        <is>
          <t>Priority Tier 2 (Balanced Opportunity)</t>
        </is>
      </c>
    </row>
    <row r="431">
      <c r="A431" s="23" t="n">
        <v>1</v>
      </c>
      <c r="B431" s="23" t="n">
        <v>427</v>
      </c>
      <c r="C431" s="23" t="n">
        <v>427</v>
      </c>
      <c r="D431" s="23" t="inlineStr">
        <is>
          <t>0201514003</t>
        </is>
      </c>
      <c r="E431" s="11" t="inlineStr">
        <is>
          <t>Region II (Cagayan Valley)</t>
        </is>
      </c>
      <c r="F431" s="11" t="inlineStr">
        <is>
          <t>Cagayan</t>
        </is>
      </c>
      <c r="G431" s="11" t="inlineStr">
        <is>
          <t>Gonzaga</t>
        </is>
      </c>
      <c r="H431" s="11" t="inlineStr">
        <is>
          <t>Baua</t>
        </is>
      </c>
      <c r="I431" s="24" t="n">
        <v>18.2053</v>
      </c>
      <c r="J431" s="24" t="n">
        <v>122.0524</v>
      </c>
      <c r="K431" s="23" t="inlineStr">
        <is>
          <t>R</t>
        </is>
      </c>
      <c r="L431" s="25" t="n">
        <v>2350</v>
      </c>
      <c r="M431" s="26" t="n">
        <v>3.9</v>
      </c>
      <c r="N431" s="25">
        <f>ROUND(L431/M431, 0)</f>
        <v/>
      </c>
      <c r="O431" s="25">
        <f>ROUND(N431*'Methodology &amp; Assumptions'!$B$7, 0)</f>
        <v/>
      </c>
      <c r="P431" s="23" t="inlineStr">
        <is>
          <t>Single Carrier (Band n50, 100MHz TDD)</t>
        </is>
      </c>
      <c r="Q431" s="27">
        <f>ROUNDUP(O431/'Methodology &amp; Assumptions'!$B$8, 0)</f>
        <v/>
      </c>
      <c r="R431" s="27" t="n">
        <v>1</v>
      </c>
      <c r="S431" s="26" t="n">
        <v>8.57</v>
      </c>
      <c r="T431" s="26" t="n">
        <v>8.550000000000001</v>
      </c>
      <c r="U431" s="11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26" t="n">
        <v>59.2</v>
      </c>
      <c r="W431" s="26" t="n">
        <v>79.34</v>
      </c>
      <c r="X431" s="26">
        <f>ROUND(('Methodology &amp; Assumptions'!$B$5*V431) + ('Methodology &amp; Assumptions'!$B$6*W431), 2)</f>
        <v/>
      </c>
      <c r="Y431" s="28" t="n">
        <v>8.300000000000001</v>
      </c>
      <c r="Z431" s="11" t="inlineStr">
        <is>
          <t>Priority Tier 2 (Balanced Opportunity)</t>
        </is>
      </c>
    </row>
    <row r="432">
      <c r="A432" s="23" t="n">
        <v>1</v>
      </c>
      <c r="B432" s="23" t="n">
        <v>428</v>
      </c>
      <c r="C432" s="23" t="n">
        <v>428</v>
      </c>
      <c r="D432" s="23" t="inlineStr">
        <is>
          <t>0405811003</t>
        </is>
      </c>
      <c r="E432" s="11" t="inlineStr">
        <is>
          <t>Region IV-A (CALABARZON)</t>
        </is>
      </c>
      <c r="F432" s="11" t="inlineStr">
        <is>
          <t>Rizal</t>
        </is>
      </c>
      <c r="G432" s="11" t="inlineStr">
        <is>
          <t>San Mateo</t>
        </is>
      </c>
      <c r="H432" s="11" t="inlineStr">
        <is>
          <t>Dulong Bayan 2</t>
        </is>
      </c>
      <c r="I432" s="24" t="n">
        <v>14.70055</v>
      </c>
      <c r="J432" s="24" t="n">
        <v>121.12602</v>
      </c>
      <c r="K432" s="23" t="inlineStr">
        <is>
          <t>U</t>
        </is>
      </c>
      <c r="L432" s="25" t="n">
        <v>12514</v>
      </c>
      <c r="M432" s="26" t="n">
        <v>3.6</v>
      </c>
      <c r="N432" s="25">
        <f>ROUND(L432/M432, 0)</f>
        <v/>
      </c>
      <c r="O432" s="25">
        <f>ROUND(N432*'Methodology &amp; Assumptions'!$B$7, 0)</f>
        <v/>
      </c>
      <c r="P432" s="23" t="inlineStr">
        <is>
          <t>Single Carrier (Band n50, 100MHz TDD)</t>
        </is>
      </c>
      <c r="Q432" s="27">
        <f>ROUNDUP(O432/'Methodology &amp; Assumptions'!$B$8, 0)</f>
        <v/>
      </c>
      <c r="R432" s="27" t="n">
        <v>1</v>
      </c>
      <c r="S432" s="26" t="n">
        <v>1.86</v>
      </c>
      <c r="T432" s="26" t="n">
        <v>0.17</v>
      </c>
      <c r="U432" s="11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26" t="n">
        <v>74.51000000000001</v>
      </c>
      <c r="W432" s="26" t="n">
        <v>63.99</v>
      </c>
      <c r="X432" s="26">
        <f>ROUND(('Methodology &amp; Assumptions'!$B$5*V432) + ('Methodology &amp; Assumptions'!$B$6*W432), 2)</f>
        <v/>
      </c>
      <c r="Y432" s="28" t="n">
        <v>7.2</v>
      </c>
      <c r="Z432" s="11" t="inlineStr">
        <is>
          <t>Priority Tier 2 (Balanced Opportunity)</t>
        </is>
      </c>
    </row>
    <row r="433">
      <c r="A433" s="23" t="n">
        <v>1</v>
      </c>
      <c r="B433" s="23" t="n">
        <v>429</v>
      </c>
      <c r="C433" s="23" t="n">
        <v>429</v>
      </c>
      <c r="D433" s="23" t="inlineStr">
        <is>
          <t>1380601060</t>
        </is>
      </c>
      <c r="E433" s="11" t="inlineStr">
        <is>
          <t>National Capital Region (NCR)</t>
        </is>
      </c>
      <c r="F433" s="11" t="inlineStr">
        <is>
          <t>First District (Not a Province)</t>
        </is>
      </c>
      <c r="G433" s="11" t="inlineStr">
        <is>
          <t>City of Manila</t>
        </is>
      </c>
      <c r="H433" s="11" t="inlineStr">
        <is>
          <t>Barangay 60</t>
        </is>
      </c>
      <c r="I433" s="24" t="n">
        <v>14.614785</v>
      </c>
      <c r="J433" s="24" t="n">
        <v>120.970116</v>
      </c>
      <c r="K433" s="23" t="inlineStr">
        <is>
          <t>U</t>
        </is>
      </c>
      <c r="L433" s="25" t="n">
        <v>3800</v>
      </c>
      <c r="M433" s="26" t="n">
        <v>3.91</v>
      </c>
      <c r="N433" s="25">
        <f>ROUND(L433/M433, 0)</f>
        <v/>
      </c>
      <c r="O433" s="25">
        <f>ROUND(N433*'Methodology &amp; Assumptions'!$B$7, 0)</f>
        <v/>
      </c>
      <c r="P433" s="23" t="inlineStr">
        <is>
          <t>Single Carrier (Band n50, 100MHz TDD)</t>
        </is>
      </c>
      <c r="Q433" s="27">
        <f>ROUNDUP(O433/'Methodology &amp; Assumptions'!$B$8, 0)</f>
        <v/>
      </c>
      <c r="R433" s="27" t="n">
        <v>1</v>
      </c>
      <c r="S433" s="26" t="n">
        <v>0.87</v>
      </c>
      <c r="T433" s="26" t="n">
        <v>0.27</v>
      </c>
      <c r="U433" s="11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26" t="n">
        <v>68.98</v>
      </c>
      <c r="W433" s="26" t="n">
        <v>69.52</v>
      </c>
      <c r="X433" s="26">
        <f>ROUND(('Methodology &amp; Assumptions'!$B$5*V433) + ('Methodology &amp; Assumptions'!$B$6*W433), 2)</f>
        <v/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1</v>
      </c>
      <c r="B434" s="23" t="n">
        <v>430</v>
      </c>
      <c r="C434" s="23" t="n">
        <v>430</v>
      </c>
      <c r="D434" s="23" t="inlineStr">
        <is>
          <t>0301407018</t>
        </is>
      </c>
      <c r="E434" s="11" t="inlineStr">
        <is>
          <t>Region III (Central Luzon)</t>
        </is>
      </c>
      <c r="F434" s="11" t="inlineStr">
        <is>
          <t>Bulacan</t>
        </is>
      </c>
      <c r="G434" s="11" t="inlineStr">
        <is>
          <t>Calumpit</t>
        </is>
      </c>
      <c r="H434" s="11" t="inlineStr">
        <is>
          <t>Palimbang</t>
        </is>
      </c>
      <c r="I434" s="24" t="n">
        <v>14.897719</v>
      </c>
      <c r="J434" s="24" t="n">
        <v>120.776907</v>
      </c>
      <c r="K434" s="23" t="inlineStr">
        <is>
          <t>R</t>
        </is>
      </c>
      <c r="L434" s="25" t="n">
        <v>1760</v>
      </c>
      <c r="M434" s="26" t="n">
        <v>3.5</v>
      </c>
      <c r="N434" s="25">
        <f>ROUND(L434/M434, 0)</f>
        <v/>
      </c>
      <c r="O434" s="25">
        <f>ROUND(N434*'Methodology &amp; Assumptions'!$B$7, 0)</f>
        <v/>
      </c>
      <c r="P434" s="23" t="inlineStr">
        <is>
          <t>Single Carrier (Band n50, 100MHz TDD)</t>
        </is>
      </c>
      <c r="Q434" s="27">
        <f>ROUNDUP(O434/'Methodology &amp; Assumptions'!$B$8, 0)</f>
        <v/>
      </c>
      <c r="R434" s="27" t="n">
        <v>1</v>
      </c>
      <c r="S434" s="26" t="n">
        <v>1.37</v>
      </c>
      <c r="T434" s="26" t="n">
        <v>0.13</v>
      </c>
      <c r="U434" s="11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26" t="n">
        <v>73.37</v>
      </c>
      <c r="W434" s="26" t="n">
        <v>65.09999999999999</v>
      </c>
      <c r="X434" s="26">
        <f>ROUND(('Methodology &amp; Assumptions'!$B$5*V434) + ('Methodology &amp; Assumptions'!$B$6*W434), 2)</f>
        <v/>
      </c>
      <c r="Y434" s="28" t="n">
        <v>8.300000000000001</v>
      </c>
      <c r="Z434" s="11" t="inlineStr">
        <is>
          <t>Priority Tier 2 (Balanced Opportunity)</t>
        </is>
      </c>
    </row>
    <row r="435">
      <c r="A435" s="23" t="n">
        <v>1</v>
      </c>
      <c r="B435" s="23" t="n">
        <v>431</v>
      </c>
      <c r="C435" s="23" t="n">
        <v>431</v>
      </c>
      <c r="D435" s="23" t="inlineStr">
        <is>
          <t>1380611046</t>
        </is>
      </c>
      <c r="E435" s="11" t="inlineStr">
        <is>
          <t>National Capital Region (NCR)</t>
        </is>
      </c>
      <c r="F435" s="11" t="inlineStr">
        <is>
          <t>First District (Not a Province)</t>
        </is>
      </c>
      <c r="G435" s="11" t="inlineStr">
        <is>
          <t>City of Manila</t>
        </is>
      </c>
      <c r="H435" s="11" t="inlineStr">
        <is>
          <t>Barangay 831</t>
        </is>
      </c>
      <c r="I435" s="24" t="n">
        <v>14.58804</v>
      </c>
      <c r="J435" s="24" t="n">
        <v>120.997446</v>
      </c>
      <c r="K435" s="23" t="inlineStr">
        <is>
          <t>U</t>
        </is>
      </c>
      <c r="L435" s="25" t="n">
        <v>3678</v>
      </c>
      <c r="M435" s="26" t="n">
        <v>3.3</v>
      </c>
      <c r="N435" s="25">
        <f>ROUND(L435/M435, 0)</f>
        <v/>
      </c>
      <c r="O435" s="25">
        <f>ROUND(N435*'Methodology &amp; Assumptions'!$B$7, 0)</f>
        <v/>
      </c>
      <c r="P435" s="23" t="inlineStr">
        <is>
          <t>Single Carrier (Band n50, 100MHz TDD)</t>
        </is>
      </c>
      <c r="Q435" s="27">
        <f>ROUNDUP(O435/'Methodology &amp; Assumptions'!$B$8, 0)</f>
        <v/>
      </c>
      <c r="R435" s="27" t="n">
        <v>1</v>
      </c>
      <c r="S435" s="26" t="n">
        <v>0.7</v>
      </c>
      <c r="T435" s="26" t="n">
        <v>0.5</v>
      </c>
      <c r="U435" s="11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26" t="n">
        <v>69.09</v>
      </c>
      <c r="W435" s="26" t="n">
        <v>69.39</v>
      </c>
      <c r="X435" s="26">
        <f>ROUND(('Methodology &amp; Assumptions'!$B$5*V435) + ('Methodology &amp; Assumptions'!$B$6*W435), 2)</f>
        <v/>
      </c>
      <c r="Y435" s="28" t="n">
        <v>10.9</v>
      </c>
      <c r="Z435" s="11" t="inlineStr">
        <is>
          <t>Priority Tier 2 (Balanced Opportunity)</t>
        </is>
      </c>
    </row>
    <row r="436">
      <c r="A436" s="23" t="n">
        <v>1</v>
      </c>
      <c r="B436" s="23" t="n">
        <v>432</v>
      </c>
      <c r="C436" s="23" t="n">
        <v>432</v>
      </c>
      <c r="D436" s="23" t="inlineStr">
        <is>
          <t>1381200001</t>
        </is>
      </c>
      <c r="E436" s="11" t="inlineStr">
        <is>
          <t>National Capital Region (NCR)</t>
        </is>
      </c>
      <c r="F436" s="11" t="inlineStr">
        <is>
          <t>Second District (Not a Province)</t>
        </is>
      </c>
      <c r="G436" s="11" t="inlineStr">
        <is>
          <t>City of Pasig</t>
        </is>
      </c>
      <c r="H436" s="11" t="inlineStr">
        <is>
          <t>Bagong Ilog</t>
        </is>
      </c>
      <c r="I436" s="24" t="n">
        <v>14.564643</v>
      </c>
      <c r="J436" s="24" t="n">
        <v>121.071084</v>
      </c>
      <c r="K436" s="23" t="inlineStr">
        <is>
          <t>U</t>
        </is>
      </c>
      <c r="L436" s="25" t="n">
        <v>21909</v>
      </c>
      <c r="M436" s="26" t="n">
        <v>3.58</v>
      </c>
      <c r="N436" s="25">
        <f>ROUND(L436/M436, 0)</f>
        <v/>
      </c>
      <c r="O436" s="25">
        <f>ROUND(N436*'Methodology &amp; Assumptions'!$B$7, 0)</f>
        <v/>
      </c>
      <c r="P436" s="23" t="inlineStr">
        <is>
          <t>Single Carrier (Band n50, 100MHz TDD)</t>
        </is>
      </c>
      <c r="Q436" s="27">
        <f>ROUNDUP(O436/'Methodology &amp; Assumptions'!$B$8, 0)</f>
        <v/>
      </c>
      <c r="R436" s="27" t="n">
        <v>1</v>
      </c>
      <c r="S436" s="26" t="n">
        <v>1.16</v>
      </c>
      <c r="T436" s="26" t="n">
        <v>0.11</v>
      </c>
      <c r="U436" s="11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26" t="n">
        <v>66.92</v>
      </c>
      <c r="W436" s="26" t="n">
        <v>71.56</v>
      </c>
      <c r="X436" s="26">
        <f>ROUND(('Methodology &amp; Assumptions'!$B$5*V436) + ('Methodology &amp; Assumptions'!$B$6*W436), 2)</f>
        <v/>
      </c>
      <c r="Y436" s="28" t="n">
        <v>10.9</v>
      </c>
      <c r="Z436" s="11" t="inlineStr">
        <is>
          <t>Priority Tier 2 (Balanced Opportunity)</t>
        </is>
      </c>
    </row>
    <row r="437">
      <c r="A437" s="23" t="n">
        <v>1</v>
      </c>
      <c r="B437" s="23" t="n">
        <v>433</v>
      </c>
      <c r="C437" s="23" t="n">
        <v>433</v>
      </c>
      <c r="D437" s="23" t="inlineStr">
        <is>
          <t>0402116009</t>
        </is>
      </c>
      <c r="E437" s="11" t="inlineStr">
        <is>
          <t>Region IV-A (CALABARZON)</t>
        </is>
      </c>
      <c r="F437" s="11" t="inlineStr">
        <is>
          <t>Cavite</t>
        </is>
      </c>
      <c r="G437" s="11" t="inlineStr">
        <is>
          <t>Noveleta</t>
        </is>
      </c>
      <c r="H437" s="11" t="inlineStr">
        <is>
          <t>Santa Rosa I</t>
        </is>
      </c>
      <c r="I437" s="24" t="n">
        <v>14.42494</v>
      </c>
      <c r="J437" s="24" t="n">
        <v>120.881117</v>
      </c>
      <c r="K437" s="23" t="inlineStr">
        <is>
          <t>U</t>
        </is>
      </c>
      <c r="L437" s="25" t="n">
        <v>5192</v>
      </c>
      <c r="M437" s="26" t="n">
        <v>3.4</v>
      </c>
      <c r="N437" s="25">
        <f>ROUND(L437/M437, 0)</f>
        <v/>
      </c>
      <c r="O437" s="25">
        <f>ROUND(N437*'Methodology &amp; Assumptions'!$B$7, 0)</f>
        <v/>
      </c>
      <c r="P437" s="23" t="inlineStr">
        <is>
          <t>Single Carrier (Band n50, 100MHz TDD)</t>
        </is>
      </c>
      <c r="Q437" s="27">
        <f>ROUNDUP(O437/'Methodology &amp; Assumptions'!$B$8, 0)</f>
        <v/>
      </c>
      <c r="R437" s="27" t="n">
        <v>1</v>
      </c>
      <c r="S437" s="26" t="n">
        <v>0.55</v>
      </c>
      <c r="T437" s="26" t="n">
        <v>0.55</v>
      </c>
      <c r="U437" s="11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26" t="n">
        <v>78.26000000000001</v>
      </c>
      <c r="W437" s="26" t="n">
        <v>60.2</v>
      </c>
      <c r="X437" s="26">
        <f>ROUND(('Methodology &amp; Assumptions'!$B$5*V437) + ('Methodology &amp; Assumptions'!$B$6*W437), 2)</f>
        <v/>
      </c>
      <c r="Y437" s="28" t="n">
        <v>7.2</v>
      </c>
      <c r="Z437" s="11" t="inlineStr">
        <is>
          <t>Priority Tier 2 (Balanced Opportunity)</t>
        </is>
      </c>
    </row>
    <row r="438">
      <c r="A438" s="23" t="n">
        <v>1</v>
      </c>
      <c r="B438" s="23" t="n">
        <v>434</v>
      </c>
      <c r="C438" s="23" t="n">
        <v>434</v>
      </c>
      <c r="D438" s="23" t="inlineStr">
        <is>
          <t>0402106065</t>
        </is>
      </c>
      <c r="E438" s="11" t="inlineStr">
        <is>
          <t>Region IV-A (CALABARZON)</t>
        </is>
      </c>
      <c r="F438" s="11" t="inlineStr">
        <is>
          <t>Cavite</t>
        </is>
      </c>
      <c r="G438" s="11" t="inlineStr">
        <is>
          <t>City of Dasmariñas</t>
        </is>
      </c>
      <c r="H438" s="11" t="inlineStr">
        <is>
          <t>San Agustin II</t>
        </is>
      </c>
      <c r="I438" s="24" t="n">
        <v>14.31769</v>
      </c>
      <c r="J438" s="24" t="n">
        <v>120.952303</v>
      </c>
      <c r="K438" s="23" t="inlineStr">
        <is>
          <t>U</t>
        </is>
      </c>
      <c r="L438" s="25" t="n">
        <v>12308</v>
      </c>
      <c r="M438" s="26" t="n">
        <v>3.4</v>
      </c>
      <c r="N438" s="25">
        <f>ROUND(L438/M438, 0)</f>
        <v/>
      </c>
      <c r="O438" s="25">
        <f>ROUND(N438*'Methodology &amp; Assumptions'!$B$7, 0)</f>
        <v/>
      </c>
      <c r="P438" s="23" t="inlineStr">
        <is>
          <t>Single Carrier (Band n50, 100MHz TDD)</t>
        </is>
      </c>
      <c r="Q438" s="27">
        <f>ROUNDUP(O438/'Methodology &amp; Assumptions'!$B$8, 0)</f>
        <v/>
      </c>
      <c r="R438" s="27" t="n">
        <v>1</v>
      </c>
      <c r="S438" s="26" t="n">
        <v>1.56</v>
      </c>
      <c r="T438" s="26" t="n">
        <v>1.78</v>
      </c>
      <c r="U438" s="11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26" t="n">
        <v>75.56999999999999</v>
      </c>
      <c r="W438" s="26" t="n">
        <v>62.89</v>
      </c>
      <c r="X438" s="26">
        <f>ROUND(('Methodology &amp; Assumptions'!$B$5*V438) + ('Methodology &amp; Assumptions'!$B$6*W438), 2)</f>
        <v/>
      </c>
      <c r="Y438" s="28" t="n">
        <v>7.2</v>
      </c>
      <c r="Z438" s="11" t="inlineStr">
        <is>
          <t>Priority Tier 2 (Balanced Opportunity)</t>
        </is>
      </c>
    </row>
    <row r="439">
      <c r="A439" s="23" t="n">
        <v>1</v>
      </c>
      <c r="B439" s="23" t="n">
        <v>435</v>
      </c>
      <c r="C439" s="23" t="n">
        <v>435</v>
      </c>
      <c r="D439" s="23" t="inlineStr">
        <is>
          <t>0305405028</t>
        </is>
      </c>
      <c r="E439" s="11" t="inlineStr">
        <is>
          <t>Region III (Central Luzon)</t>
        </is>
      </c>
      <c r="F439" s="11" t="inlineStr">
        <is>
          <t>Pampanga</t>
        </is>
      </c>
      <c r="G439" s="11" t="inlineStr">
        <is>
          <t>Candaba</t>
        </is>
      </c>
      <c r="H439" s="11" t="inlineStr">
        <is>
          <t>Salapungan</t>
        </is>
      </c>
      <c r="I439" s="24" t="n">
        <v>15.14824</v>
      </c>
      <c r="J439" s="24" t="n">
        <v>120.59394</v>
      </c>
      <c r="K439" s="23" t="inlineStr">
        <is>
          <t>U</t>
        </is>
      </c>
      <c r="L439" s="25" t="n">
        <v>5325</v>
      </c>
      <c r="M439" s="26" t="n">
        <v>4</v>
      </c>
      <c r="N439" s="25">
        <f>ROUND(L439/M439, 0)</f>
        <v/>
      </c>
      <c r="O439" s="25">
        <f>ROUND(N439*'Methodology &amp; Assumptions'!$B$7, 0)</f>
        <v/>
      </c>
      <c r="P439" s="23" t="inlineStr">
        <is>
          <t>Single Carrier (Band n50, 100MHz TDD)</t>
        </is>
      </c>
      <c r="Q439" s="27">
        <f>ROUNDUP(O439/'Methodology &amp; Assumptions'!$B$8, 0)</f>
        <v/>
      </c>
      <c r="R439" s="27" t="n">
        <v>1</v>
      </c>
      <c r="S439" s="26" t="n">
        <v>0.42</v>
      </c>
      <c r="T439" s="26" t="n">
        <v>0.06</v>
      </c>
      <c r="U439" s="11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26" t="n">
        <v>78.43000000000001</v>
      </c>
      <c r="W439" s="26" t="n">
        <v>60</v>
      </c>
      <c r="X439" s="26">
        <f>ROUND(('Methodology &amp; Assumptions'!$B$5*V439) + ('Methodology &amp; Assumptions'!$B$6*W439), 2)</f>
        <v/>
      </c>
      <c r="Y439" s="28" t="n">
        <v>8.300000000000001</v>
      </c>
      <c r="Z439" s="11" t="inlineStr">
        <is>
          <t>Priority Tier 2 (Balanced Opportunity)</t>
        </is>
      </c>
    </row>
    <row r="440">
      <c r="A440" s="23" t="n">
        <v>1</v>
      </c>
      <c r="B440" s="23" t="n">
        <v>436</v>
      </c>
      <c r="C440" s="23" t="n">
        <v>436</v>
      </c>
      <c r="D440" s="23" t="inlineStr">
        <is>
          <t>0405802018</t>
        </is>
      </c>
      <c r="E440" s="11" t="inlineStr">
        <is>
          <t>Region IV-A (CALABARZON)</t>
        </is>
      </c>
      <c r="F440" s="11" t="inlineStr">
        <is>
          <t>Rizal</t>
        </is>
      </c>
      <c r="G440" s="11" t="inlineStr">
        <is>
          <t>City of Antipolo</t>
        </is>
      </c>
      <c r="H440" s="11" t="inlineStr">
        <is>
          <t>Muntingdilaw</t>
        </is>
      </c>
      <c r="I440" s="24" t="n">
        <v>14.598203</v>
      </c>
      <c r="J440" s="24" t="n">
        <v>121.130909</v>
      </c>
      <c r="K440" s="23" t="inlineStr">
        <is>
          <t>U</t>
        </is>
      </c>
      <c r="L440" s="25" t="n">
        <v>12938</v>
      </c>
      <c r="M440" s="26" t="n">
        <v>3.6</v>
      </c>
      <c r="N440" s="25">
        <f>ROUND(L440/M440, 0)</f>
        <v/>
      </c>
      <c r="O440" s="25">
        <f>ROUND(N440*'Methodology &amp; Assumptions'!$B$7, 0)</f>
        <v/>
      </c>
      <c r="P440" s="23" t="inlineStr">
        <is>
          <t>Single Carrier (Band n50, 100MHz TDD)</t>
        </is>
      </c>
      <c r="Q440" s="27">
        <f>ROUNDUP(O440/'Methodology &amp; Assumptions'!$B$8, 0)</f>
        <v/>
      </c>
      <c r="R440" s="27" t="n">
        <v>1</v>
      </c>
      <c r="S440" s="26" t="n">
        <v>1.82</v>
      </c>
      <c r="T440" s="26" t="n">
        <v>1.77</v>
      </c>
      <c r="U440" s="11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26" t="n">
        <v>74.63</v>
      </c>
      <c r="W440" s="26" t="n">
        <v>63.77</v>
      </c>
      <c r="X440" s="26">
        <f>ROUND(('Methodology &amp; Assumptions'!$B$5*V440) + ('Methodology &amp; Assumptions'!$B$6*W440), 2)</f>
        <v/>
      </c>
      <c r="Y440" s="28" t="n">
        <v>7.2</v>
      </c>
      <c r="Z440" s="11" t="inlineStr">
        <is>
          <t>Priority Tier 2 (Balanced Opportunity)</t>
        </is>
      </c>
    </row>
    <row r="441">
      <c r="A441" s="23" t="n">
        <v>1</v>
      </c>
      <c r="B441" s="23" t="n">
        <v>437</v>
      </c>
      <c r="C441" s="23" t="n">
        <v>437</v>
      </c>
      <c r="D441" s="23" t="inlineStr">
        <is>
          <t>1381300074</t>
        </is>
      </c>
      <c r="E441" s="11" t="inlineStr">
        <is>
          <t>National Capital Region (NCR)</t>
        </is>
      </c>
      <c r="F441" s="11" t="inlineStr">
        <is>
          <t>Second District (Not a Province)</t>
        </is>
      </c>
      <c r="G441" s="11" t="inlineStr">
        <is>
          <t>Quezon City</t>
        </is>
      </c>
      <c r="H441" s="11" t="inlineStr">
        <is>
          <t>Pag-ibig Sa Nayon</t>
        </is>
      </c>
      <c r="I441" s="24" t="n">
        <v>14.64623</v>
      </c>
      <c r="J441" s="24" t="n">
        <v>120.9969</v>
      </c>
      <c r="K441" s="23" t="inlineStr">
        <is>
          <t>U</t>
        </is>
      </c>
      <c r="L441" s="25" t="n">
        <v>6279</v>
      </c>
      <c r="M441" s="26" t="n">
        <v>3.12</v>
      </c>
      <c r="N441" s="25">
        <f>ROUND(L441/M441, 0)</f>
        <v/>
      </c>
      <c r="O441" s="25">
        <f>ROUND(N441*'Methodology &amp; Assumptions'!$B$7, 0)</f>
        <v/>
      </c>
      <c r="P441" s="23" t="inlineStr">
        <is>
          <t>Single Carrier (Band n50, 100MHz TDD)</t>
        </is>
      </c>
      <c r="Q441" s="27">
        <f>ROUNDUP(O441/'Methodology &amp; Assumptions'!$B$8, 0)</f>
        <v/>
      </c>
      <c r="R441" s="27" t="n">
        <v>1</v>
      </c>
      <c r="S441" s="26" t="n">
        <v>1.02</v>
      </c>
      <c r="T441" s="26" t="n">
        <v>0.98</v>
      </c>
      <c r="U441" s="11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26" t="n">
        <v>68.39</v>
      </c>
      <c r="W441" s="26" t="n">
        <v>70.02</v>
      </c>
      <c r="X441" s="26">
        <f>ROUND(('Methodology &amp; Assumptions'!$B$5*V441) + ('Methodology &amp; Assumptions'!$B$6*W441), 2)</f>
        <v/>
      </c>
      <c r="Y441" s="28" t="n">
        <v>10.9</v>
      </c>
      <c r="Z441" s="11" t="inlineStr">
        <is>
          <t>Priority Tier 2 (Balanced Opportunity)</t>
        </is>
      </c>
    </row>
    <row r="442">
      <c r="A442" s="23" t="n">
        <v>1</v>
      </c>
      <c r="B442" s="23" t="n">
        <v>438</v>
      </c>
      <c r="C442" s="23" t="n">
        <v>438</v>
      </c>
      <c r="D442" s="23" t="inlineStr">
        <is>
          <t>0403426026</t>
        </is>
      </c>
      <c r="E442" s="11" t="inlineStr">
        <is>
          <t>Region IV-A (CALABARZON)</t>
        </is>
      </c>
      <c r="F442" s="11" t="inlineStr">
        <is>
          <t>Laguna</t>
        </is>
      </c>
      <c r="G442" s="11" t="inlineStr">
        <is>
          <t>Santa Cruz</t>
        </is>
      </c>
      <c r="H442" s="11" t="inlineStr">
        <is>
          <t>Santo Angel Sur</t>
        </is>
      </c>
      <c r="I442" s="24" t="n">
        <v>14.281644</v>
      </c>
      <c r="J442" s="24" t="n">
        <v>121.413556</v>
      </c>
      <c r="K442" s="23" t="inlineStr">
        <is>
          <t>U</t>
        </is>
      </c>
      <c r="L442" s="25" t="n">
        <v>4457</v>
      </c>
      <c r="M442" s="26" t="n">
        <v>3.3</v>
      </c>
      <c r="N442" s="25">
        <f>ROUND(L442/M442, 0)</f>
        <v/>
      </c>
      <c r="O442" s="25">
        <f>ROUND(N442*'Methodology &amp; Assumptions'!$B$7, 0)</f>
        <v/>
      </c>
      <c r="P442" s="23" t="inlineStr">
        <is>
          <t>Single Carrier (Band n50, 100MHz TDD)</t>
        </is>
      </c>
      <c r="Q442" s="27">
        <f>ROUNDUP(O442/'Methodology &amp; Assumptions'!$B$8, 0)</f>
        <v/>
      </c>
      <c r="R442" s="27" t="n">
        <v>1</v>
      </c>
      <c r="S442" s="26" t="n">
        <v>0.29</v>
      </c>
      <c r="T442" s="26" t="n">
        <v>0.17</v>
      </c>
      <c r="U442" s="11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26" t="n">
        <v>78.26000000000001</v>
      </c>
      <c r="W442" s="26" t="n">
        <v>60.12</v>
      </c>
      <c r="X442" s="26">
        <f>ROUND(('Methodology &amp; Assumptions'!$B$5*V442) + ('Methodology &amp; Assumptions'!$B$6*W442), 2)</f>
        <v/>
      </c>
      <c r="Y442" s="28" t="n">
        <v>7.2</v>
      </c>
      <c r="Z442" s="11" t="inlineStr">
        <is>
          <t>Priority Tier 2 (Balanced Opportunity)</t>
        </is>
      </c>
    </row>
    <row r="443">
      <c r="A443" s="23" t="n">
        <v>1</v>
      </c>
      <c r="B443" s="23" t="n">
        <v>439</v>
      </c>
      <c r="C443" s="23" t="n">
        <v>439</v>
      </c>
      <c r="D443" s="23" t="inlineStr">
        <is>
          <t>1380614040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784</t>
        </is>
      </c>
      <c r="I443" s="24" t="n">
        <v>14.57533</v>
      </c>
      <c r="J443" s="24" t="n">
        <v>121.00288</v>
      </c>
      <c r="K443" s="23" t="inlineStr">
        <is>
          <t>U</t>
        </is>
      </c>
      <c r="L443" s="25" t="n">
        <v>3425</v>
      </c>
      <c r="M443" s="26" t="n">
        <v>3.61</v>
      </c>
      <c r="N443" s="25">
        <f>ROUND(L443/M443, 0)</f>
        <v/>
      </c>
      <c r="O443" s="25">
        <f>ROUND(N443*'Methodology &amp; Assumptions'!$B$7, 0)</f>
        <v/>
      </c>
      <c r="P443" s="23" t="inlineStr">
        <is>
          <t>Single Carrier (Band n50, 100MHz TDD)</t>
        </is>
      </c>
      <c r="Q443" s="27">
        <f>ROUNDUP(O443/'Methodology &amp; Assumptions'!$B$8, 0)</f>
        <v/>
      </c>
      <c r="R443" s="27" t="n">
        <v>1</v>
      </c>
      <c r="S443" s="26" t="n">
        <v>1</v>
      </c>
      <c r="T443" s="26" t="n">
        <v>0.61</v>
      </c>
      <c r="U443" s="11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26" t="n">
        <v>68.48</v>
      </c>
      <c r="W443" s="26" t="n">
        <v>69.90000000000001</v>
      </c>
      <c r="X443" s="26">
        <f>ROUND(('Methodology &amp; Assumptions'!$B$5*V443) + ('Methodology &amp; Assumptions'!$B$6*W443), 2)</f>
        <v/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1</v>
      </c>
      <c r="B444" s="23" t="n">
        <v>440</v>
      </c>
      <c r="C444" s="23" t="n">
        <v>440</v>
      </c>
      <c r="D444" s="23" t="inlineStr">
        <is>
          <t>1380500009</t>
        </is>
      </c>
      <c r="E444" s="11" t="inlineStr">
        <is>
          <t>National Capital Region (NCR)</t>
        </is>
      </c>
      <c r="F444" s="11" t="inlineStr">
        <is>
          <t>Second District (Not a Province)</t>
        </is>
      </c>
      <c r="G444" s="11" t="inlineStr">
        <is>
          <t>City of Mandaluyong</t>
        </is>
      </c>
      <c r="H444" s="11" t="inlineStr">
        <is>
          <t>Daang Bakal</t>
        </is>
      </c>
      <c r="I444" s="24" t="n">
        <v>14.59377</v>
      </c>
      <c r="J444" s="24" t="n">
        <v>121.0265</v>
      </c>
      <c r="K444" s="23" t="inlineStr">
        <is>
          <t>U</t>
        </is>
      </c>
      <c r="L444" s="25" t="n">
        <v>4648</v>
      </c>
      <c r="M444" s="26" t="n">
        <v>3.36</v>
      </c>
      <c r="N444" s="25">
        <f>ROUND(L444/M444, 0)</f>
        <v/>
      </c>
      <c r="O444" s="25">
        <f>ROUND(N444*'Methodology &amp; Assumptions'!$B$7, 0)</f>
        <v/>
      </c>
      <c r="P444" s="23" t="inlineStr">
        <is>
          <t>Single Carrier (Band n50, 100MHz TDD)</t>
        </is>
      </c>
      <c r="Q444" s="27">
        <f>ROUNDUP(O444/'Methodology &amp; Assumptions'!$B$8, 0)</f>
        <v/>
      </c>
      <c r="R444" s="27" t="n">
        <v>1</v>
      </c>
      <c r="S444" s="26" t="n">
        <v>1.14</v>
      </c>
      <c r="T444" s="26" t="n">
        <v>0.05</v>
      </c>
      <c r="U444" s="11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26" t="n">
        <v>67.94</v>
      </c>
      <c r="W444" s="26" t="n">
        <v>70.44</v>
      </c>
      <c r="X444" s="26">
        <f>ROUND(('Methodology &amp; Assumptions'!$B$5*V444) + ('Methodology &amp; Assumptions'!$B$6*W444), 2)</f>
        <v/>
      </c>
      <c r="Y444" s="28" t="n">
        <v>10.9</v>
      </c>
      <c r="Z444" s="11" t="inlineStr">
        <is>
          <t>Priority Tier 2 (Balanced Opportunity)</t>
        </is>
      </c>
    </row>
    <row r="445">
      <c r="A445" s="23" t="n">
        <v>1</v>
      </c>
      <c r="B445" s="23" t="n">
        <v>441</v>
      </c>
      <c r="C445" s="23" t="n">
        <v>441</v>
      </c>
      <c r="D445" s="23" t="inlineStr">
        <is>
          <t>1380500024</t>
        </is>
      </c>
      <c r="E445" s="11" t="inlineStr">
        <is>
          <t>National Capital Region (NCR)</t>
        </is>
      </c>
      <c r="F445" s="11" t="inlineStr">
        <is>
          <t>Second District (Not a Province)</t>
        </is>
      </c>
      <c r="G445" s="11" t="inlineStr">
        <is>
          <t>City of Mandaluyong</t>
        </is>
      </c>
      <c r="H445" s="11" t="inlineStr">
        <is>
          <t>Poblacion</t>
        </is>
      </c>
      <c r="I445" s="24" t="n">
        <v>14.588003</v>
      </c>
      <c r="J445" s="24" t="n">
        <v>121.026721</v>
      </c>
      <c r="K445" s="23" t="inlineStr">
        <is>
          <t>U</t>
        </is>
      </c>
      <c r="L445" s="25" t="n">
        <v>16407</v>
      </c>
      <c r="M445" s="26" t="n">
        <v>3.47</v>
      </c>
      <c r="N445" s="25">
        <f>ROUND(L445/M445, 0)</f>
        <v/>
      </c>
      <c r="O445" s="25">
        <f>ROUND(N445*'Methodology &amp; Assumptions'!$B$7, 0)</f>
        <v/>
      </c>
      <c r="P445" s="23" t="inlineStr">
        <is>
          <t>Single Carrier (Band n50, 100MHz TDD)</t>
        </is>
      </c>
      <c r="Q445" s="27">
        <f>ROUNDUP(O445/'Methodology &amp; Assumptions'!$B$8, 0)</f>
        <v/>
      </c>
      <c r="R445" s="27" t="n">
        <v>1</v>
      </c>
      <c r="S445" s="26" t="n">
        <v>0.51</v>
      </c>
      <c r="T445" s="26" t="n">
        <v>0.47</v>
      </c>
      <c r="U445" s="11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26" t="n">
        <v>68.78</v>
      </c>
      <c r="W445" s="26" t="n">
        <v>69.58</v>
      </c>
      <c r="X445" s="26">
        <f>ROUND(('Methodology &amp; Assumptions'!$B$5*V445) + ('Methodology &amp; Assumptions'!$B$6*W445), 2)</f>
        <v/>
      </c>
      <c r="Y445" s="28" t="n">
        <v>10.9</v>
      </c>
      <c r="Z445" s="11" t="inlineStr">
        <is>
          <t>Priority Tier 2 (Balanced Opportunity)</t>
        </is>
      </c>
    </row>
    <row r="446">
      <c r="A446" s="23" t="n">
        <v>1</v>
      </c>
      <c r="B446" s="23" t="n">
        <v>442</v>
      </c>
      <c r="C446" s="23" t="n">
        <v>442</v>
      </c>
      <c r="D446" s="23" t="inlineStr">
        <is>
          <t>1380610053</t>
        </is>
      </c>
      <c r="E446" s="11" t="inlineStr">
        <is>
          <t>National Capital Region (NCR)</t>
        </is>
      </c>
      <c r="F446" s="11" t="inlineStr">
        <is>
          <t>First District (Not a Province)</t>
        </is>
      </c>
      <c r="G446" s="11" t="inlineStr">
        <is>
          <t>City of Manila</t>
        </is>
      </c>
      <c r="H446" s="11" t="inlineStr">
        <is>
          <t>Barangay 739</t>
        </is>
      </c>
      <c r="I446" s="24" t="n">
        <v>14.571634</v>
      </c>
      <c r="J446" s="24" t="n">
        <v>120.998028</v>
      </c>
      <c r="K446" s="23" t="inlineStr">
        <is>
          <t>U</t>
        </is>
      </c>
      <c r="L446" s="25" t="n">
        <v>4598</v>
      </c>
      <c r="M446" s="26" t="n">
        <v>4.05</v>
      </c>
      <c r="N446" s="25">
        <f>ROUND(L446/M446, 0)</f>
        <v/>
      </c>
      <c r="O446" s="25">
        <f>ROUND(N446*'Methodology &amp; Assumptions'!$B$7, 0)</f>
        <v/>
      </c>
      <c r="P446" s="23" t="inlineStr">
        <is>
          <t>Single Carrier (Band n50, 100MHz TDD)</t>
        </is>
      </c>
      <c r="Q446" s="27">
        <f>ROUNDUP(O446/'Methodology &amp; Assumptions'!$B$8, 0)</f>
        <v/>
      </c>
      <c r="R446" s="27" t="n">
        <v>1</v>
      </c>
      <c r="S446" s="26" t="n">
        <v>0.41</v>
      </c>
      <c r="T446" s="26" t="n">
        <v>0.18</v>
      </c>
      <c r="U446" s="11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26" t="n">
        <v>69.09</v>
      </c>
      <c r="W446" s="26" t="n">
        <v>69.23999999999999</v>
      </c>
      <c r="X446" s="26">
        <f>ROUND(('Methodology &amp; Assumptions'!$B$5*V446) + ('Methodology &amp; Assumptions'!$B$6*W446), 2)</f>
        <v/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1</v>
      </c>
      <c r="B447" s="23" t="n">
        <v>443</v>
      </c>
      <c r="C447" s="23" t="n">
        <v>443</v>
      </c>
      <c r="D447" s="23" t="inlineStr">
        <is>
          <t>1380610054</t>
        </is>
      </c>
      <c r="E447" s="11" t="inlineStr">
        <is>
          <t>National Capital Region (NCR)</t>
        </is>
      </c>
      <c r="F447" s="11" t="inlineStr">
        <is>
          <t>First District (Not a Province)</t>
        </is>
      </c>
      <c r="G447" s="11" t="inlineStr">
        <is>
          <t>City of Manila</t>
        </is>
      </c>
      <c r="H447" s="11" t="inlineStr">
        <is>
          <t>Barangay 740</t>
        </is>
      </c>
      <c r="I447" s="24" t="n">
        <v>14.572774</v>
      </c>
      <c r="J447" s="24" t="n">
        <v>120.996247</v>
      </c>
      <c r="K447" s="23" t="inlineStr">
        <is>
          <t>U</t>
        </is>
      </c>
      <c r="L447" s="25" t="n">
        <v>4185</v>
      </c>
      <c r="M447" s="26" t="n">
        <v>4.4</v>
      </c>
      <c r="N447" s="25">
        <f>ROUND(L447/M447, 0)</f>
        <v/>
      </c>
      <c r="O447" s="25">
        <f>ROUND(N447*'Methodology &amp; Assumptions'!$B$7, 0)</f>
        <v/>
      </c>
      <c r="P447" s="23" t="inlineStr">
        <is>
          <t>Single Carrier (Band n50, 100MHz TDD)</t>
        </is>
      </c>
      <c r="Q447" s="27">
        <f>ROUNDUP(O447/'Methodology &amp; Assumptions'!$B$8, 0)</f>
        <v/>
      </c>
      <c r="R447" s="27" t="n">
        <v>1</v>
      </c>
      <c r="S447" s="26" t="n">
        <v>0.23</v>
      </c>
      <c r="T447" s="26" t="n">
        <v>0.07000000000000001</v>
      </c>
      <c r="U447" s="11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26" t="n">
        <v>69.09</v>
      </c>
      <c r="W447" s="26" t="n">
        <v>69.22</v>
      </c>
      <c r="X447" s="26">
        <f>ROUND(('Methodology &amp; Assumptions'!$B$5*V447) + ('Methodology &amp; Assumptions'!$B$6*W447), 2)</f>
        <v/>
      </c>
      <c r="Y447" s="28" t="n">
        <v>10.9</v>
      </c>
      <c r="Z447" s="11" t="inlineStr">
        <is>
          <t>Priority Tier 2 (Balanced Opportunity)</t>
        </is>
      </c>
    </row>
    <row r="448">
      <c r="A448" s="23" t="n">
        <v>1</v>
      </c>
      <c r="B448" s="23" t="n">
        <v>444</v>
      </c>
      <c r="C448" s="23" t="n">
        <v>444</v>
      </c>
      <c r="D448" s="23" t="inlineStr">
        <is>
          <t>0301412015</t>
        </is>
      </c>
      <c r="E448" s="11" t="inlineStr">
        <is>
          <t>Region III (Central Luzon)</t>
        </is>
      </c>
      <c r="F448" s="11" t="inlineStr">
        <is>
          <t>Bulacan</t>
        </is>
      </c>
      <c r="G448" s="11" t="inlineStr">
        <is>
          <t>City of Meycauayan</t>
        </is>
      </c>
      <c r="H448" s="11" t="inlineStr">
        <is>
          <t>Malhacan</t>
        </is>
      </c>
      <c r="I448" s="24" t="n">
        <v>14.743967</v>
      </c>
      <c r="J448" s="24" t="n">
        <v>120.971706</v>
      </c>
      <c r="K448" s="23" t="inlineStr">
        <is>
          <t>U</t>
        </is>
      </c>
      <c r="L448" s="25" t="n">
        <v>22515</v>
      </c>
      <c r="M448" s="26" t="n">
        <v>3.5</v>
      </c>
      <c r="N448" s="25">
        <f>ROUND(L448/M448, 0)</f>
        <v/>
      </c>
      <c r="O448" s="25">
        <f>ROUND(N448*'Methodology &amp; Assumptions'!$B$7, 0)</f>
        <v/>
      </c>
      <c r="P448" s="23" t="inlineStr">
        <is>
          <t>Single Carrier (Band n50, 100MHz TDD)</t>
        </is>
      </c>
      <c r="Q448" s="27">
        <f>ROUNDUP(O448/'Methodology &amp; Assumptions'!$B$8, 0)</f>
        <v/>
      </c>
      <c r="R448" s="27" t="n">
        <v>1</v>
      </c>
      <c r="S448" s="26" t="n">
        <v>0.72</v>
      </c>
      <c r="T448" s="26" t="n">
        <v>1.31</v>
      </c>
      <c r="U448" s="11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26" t="n">
        <v>78.43000000000001</v>
      </c>
      <c r="W448" s="26" t="n">
        <v>59.86</v>
      </c>
      <c r="X448" s="26">
        <f>ROUND(('Methodology &amp; Assumptions'!$B$5*V448) + ('Methodology &amp; Assumptions'!$B$6*W448), 2)</f>
        <v/>
      </c>
      <c r="Y448" s="28" t="n">
        <v>8.300000000000001</v>
      </c>
      <c r="Z448" s="11" t="inlineStr">
        <is>
          <t>Priority Tier 2 (Balanced Opportunity)</t>
        </is>
      </c>
    </row>
    <row r="449">
      <c r="A449" s="23" t="n">
        <v>1</v>
      </c>
      <c r="B449" s="23" t="n">
        <v>445</v>
      </c>
      <c r="C449" s="23" t="n">
        <v>445</v>
      </c>
      <c r="D449" s="23" t="inlineStr">
        <is>
          <t>1380500015</t>
        </is>
      </c>
      <c r="E449" s="11" t="inlineStr">
        <is>
          <t>National Capital Region (NCR)</t>
        </is>
      </c>
      <c r="F449" s="11" t="inlineStr">
        <is>
          <t>Second District (Not a Province)</t>
        </is>
      </c>
      <c r="G449" s="11" t="inlineStr">
        <is>
          <t>City of Mandaluyong</t>
        </is>
      </c>
      <c r="H449" s="11" t="inlineStr">
        <is>
          <t>Mabini-J. Rizal</t>
        </is>
      </c>
      <c r="I449" s="24" t="n">
        <v>14.585299</v>
      </c>
      <c r="J449" s="24" t="n">
        <v>121.021306</v>
      </c>
      <c r="K449" s="23" t="inlineStr">
        <is>
          <t>U</t>
        </is>
      </c>
      <c r="L449" s="25" t="n">
        <v>8878</v>
      </c>
      <c r="M449" s="26" t="n">
        <v>3.61</v>
      </c>
      <c r="N449" s="25">
        <f>ROUND(L449/M449, 0)</f>
        <v/>
      </c>
      <c r="O449" s="25">
        <f>ROUND(N449*'Methodology &amp; Assumptions'!$B$7, 0)</f>
        <v/>
      </c>
      <c r="P449" s="23" t="inlineStr">
        <is>
          <t>Single Carrier (Band n50, 100MHz TDD)</t>
        </is>
      </c>
      <c r="Q449" s="27">
        <f>ROUNDUP(O449/'Methodology &amp; Assumptions'!$B$8, 0)</f>
        <v/>
      </c>
      <c r="R449" s="27" t="n">
        <v>1</v>
      </c>
      <c r="S449" s="26" t="n">
        <v>0.75</v>
      </c>
      <c r="T449" s="26" t="n">
        <v>0.36</v>
      </c>
      <c r="U449" s="11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26" t="n">
        <v>69.09</v>
      </c>
      <c r="W449" s="26" t="n">
        <v>69.20999999999999</v>
      </c>
      <c r="X449" s="26">
        <f>ROUND(('Methodology &amp; Assumptions'!$B$5*V449) + ('Methodology &amp; Assumptions'!$B$6*W449), 2)</f>
        <v/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1</v>
      </c>
      <c r="B450" s="23" t="n">
        <v>446</v>
      </c>
      <c r="C450" s="23" t="n">
        <v>446</v>
      </c>
      <c r="D450" s="23" t="inlineStr">
        <is>
          <t>1380611048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686</t>
        </is>
      </c>
      <c r="I450" s="24" t="n">
        <v>14.576175</v>
      </c>
      <c r="J450" s="24" t="n">
        <v>120.994623</v>
      </c>
      <c r="K450" s="23" t="inlineStr">
        <is>
          <t>U</t>
        </is>
      </c>
      <c r="L450" s="25" t="n">
        <v>3306</v>
      </c>
      <c r="M450" s="26" t="n">
        <v>4.09</v>
      </c>
      <c r="N450" s="25">
        <f>ROUND(L450/M450, 0)</f>
        <v/>
      </c>
      <c r="O450" s="25">
        <f>ROUND(N450*'Methodology &amp; Assumptions'!$B$7, 0)</f>
        <v/>
      </c>
      <c r="P450" s="23" t="inlineStr">
        <is>
          <t>Single Carrier (Band n50, 100MHz TDD)</t>
        </is>
      </c>
      <c r="Q450" s="27">
        <f>ROUNDUP(O450/'Methodology &amp; Assumptions'!$B$8, 0)</f>
        <v/>
      </c>
      <c r="R450" s="27" t="n">
        <v>1</v>
      </c>
      <c r="S450" s="26" t="n">
        <v>0.46</v>
      </c>
      <c r="T450" s="26" t="n">
        <v>0.14</v>
      </c>
      <c r="U450" s="11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26" t="n">
        <v>67.12</v>
      </c>
      <c r="W450" s="26" t="n">
        <v>71.17</v>
      </c>
      <c r="X450" s="26">
        <f>ROUND(('Methodology &amp; Assumptions'!$B$5*V450) + ('Methodology &amp; Assumptions'!$B$6*W450), 2)</f>
        <v/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1</v>
      </c>
      <c r="B451" s="23" t="n">
        <v>447</v>
      </c>
      <c r="C451" s="23" t="n">
        <v>447</v>
      </c>
      <c r="D451" s="23" t="inlineStr">
        <is>
          <t>0203137044</t>
        </is>
      </c>
      <c r="E451" s="11" t="inlineStr">
        <is>
          <t>Region II (Cagayan Valley)</t>
        </is>
      </c>
      <c r="F451" s="11" t="inlineStr">
        <is>
          <t>Isabela</t>
        </is>
      </c>
      <c r="G451" s="11" t="inlineStr">
        <is>
          <t>Tumauini</t>
        </is>
      </c>
      <c r="H451" s="11" t="inlineStr">
        <is>
          <t>San Vicente</t>
        </is>
      </c>
      <c r="I451" s="24" t="n">
        <v>17.3161</v>
      </c>
      <c r="J451" s="24" t="n">
        <v>121.8433</v>
      </c>
      <c r="K451" s="23" t="inlineStr">
        <is>
          <t>R</t>
        </is>
      </c>
      <c r="L451" s="25" t="n">
        <v>1801</v>
      </c>
      <c r="M451" s="26" t="n">
        <v>3.8</v>
      </c>
      <c r="N451" s="25">
        <f>ROUND(L451/M451, 0)</f>
        <v/>
      </c>
      <c r="O451" s="25">
        <f>ROUND(N451*'Methodology &amp; Assumptions'!$B$7, 0)</f>
        <v/>
      </c>
      <c r="P451" s="23" t="inlineStr">
        <is>
          <t>Single Carrier (Band n50, 100MHz TDD)</t>
        </is>
      </c>
      <c r="Q451" s="27">
        <f>ROUNDUP(O451/'Methodology &amp; Assumptions'!$B$8, 0)</f>
        <v/>
      </c>
      <c r="R451" s="27" t="n">
        <v>1</v>
      </c>
      <c r="S451" s="26" t="n">
        <v>3.65</v>
      </c>
      <c r="T451" s="26" t="n">
        <v>4.04</v>
      </c>
      <c r="U451" s="11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26" t="n">
        <v>62</v>
      </c>
      <c r="W451" s="26" t="n">
        <v>76.3</v>
      </c>
      <c r="X451" s="26">
        <f>ROUND(('Methodology &amp; Assumptions'!$B$5*V451) + ('Methodology &amp; Assumptions'!$B$6*W451), 2)</f>
        <v/>
      </c>
      <c r="Y451" s="28" t="n">
        <v>8.300000000000001</v>
      </c>
      <c r="Z451" s="11" t="inlineStr">
        <is>
          <t>Priority Tier 2 (Balanced Opportunity)</t>
        </is>
      </c>
    </row>
    <row r="452">
      <c r="A452" s="23" t="n">
        <v>1</v>
      </c>
      <c r="B452" s="23" t="n">
        <v>448</v>
      </c>
      <c r="C452" s="23" t="n">
        <v>448</v>
      </c>
      <c r="D452" s="23" t="inlineStr">
        <is>
          <t>1381300079</t>
        </is>
      </c>
      <c r="E452" s="11" t="inlineStr">
        <is>
          <t>National Capital Region (NCR)</t>
        </is>
      </c>
      <c r="F452" s="11" t="inlineStr">
        <is>
          <t>Second District (Not a Province)</t>
        </is>
      </c>
      <c r="G452" s="11" t="inlineStr">
        <is>
          <t>Quezon City</t>
        </is>
      </c>
      <c r="H452" s="11" t="inlineStr">
        <is>
          <t>Pasong Putik Proper</t>
        </is>
      </c>
      <c r="I452" s="24" t="n">
        <v>14.72864</v>
      </c>
      <c r="J452" s="24" t="n">
        <v>121.0559</v>
      </c>
      <c r="K452" s="23" t="inlineStr">
        <is>
          <t>U</t>
        </is>
      </c>
      <c r="L452" s="25" t="n">
        <v>40919</v>
      </c>
      <c r="M452" s="26" t="n">
        <v>3.97</v>
      </c>
      <c r="N452" s="25">
        <f>ROUND(L452/M452, 0)</f>
        <v/>
      </c>
      <c r="O452" s="25">
        <f>ROUND(N452*'Methodology &amp; Assumptions'!$B$7, 0)</f>
        <v/>
      </c>
      <c r="P452" s="23" t="inlineStr">
        <is>
          <t>Single Carrier (Band n50, 100MHz TDD)</t>
        </is>
      </c>
      <c r="Q452" s="27">
        <f>ROUNDUP(O452/'Methodology &amp; Assumptions'!$B$8, 0)</f>
        <v/>
      </c>
      <c r="R452" s="27" t="n">
        <v>1</v>
      </c>
      <c r="S452" s="26" t="n">
        <v>0.66</v>
      </c>
      <c r="T452" s="26" t="n">
        <v>0.59</v>
      </c>
      <c r="U452" s="11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26" t="n">
        <v>66.95999999999999</v>
      </c>
      <c r="W452" s="26" t="n">
        <v>71.3</v>
      </c>
      <c r="X452" s="26">
        <f>ROUND(('Methodology &amp; Assumptions'!$B$5*V452) + ('Methodology &amp; Assumptions'!$B$6*W452), 2)</f>
        <v/>
      </c>
      <c r="Y452" s="28" t="n">
        <v>10.9</v>
      </c>
      <c r="Z452" s="11" t="inlineStr">
        <is>
          <t>Priority Tier 2 (Balanced Opportunity)</t>
        </is>
      </c>
    </row>
    <row r="453">
      <c r="A453" s="23" t="n">
        <v>1</v>
      </c>
      <c r="B453" s="23" t="n">
        <v>449</v>
      </c>
      <c r="C453" s="23" t="n">
        <v>449</v>
      </c>
      <c r="D453" s="23" t="inlineStr">
        <is>
          <t>1404407002</t>
        </is>
      </c>
      <c r="E453" s="11" t="inlineStr">
        <is>
          <t>Cordillera Administrative Region (CAR)</t>
        </is>
      </c>
      <c r="F453" s="11" t="inlineStr">
        <is>
          <t>Mountain Province</t>
        </is>
      </c>
      <c r="G453" s="11" t="inlineStr">
        <is>
          <t>Sabangan</t>
        </is>
      </c>
      <c r="H453" s="11" t="inlineStr">
        <is>
          <t>Bun-ayan</t>
        </is>
      </c>
      <c r="I453" s="24" t="n">
        <v>16.980643</v>
      </c>
      <c r="J453" s="24" t="n">
        <v>120.93313</v>
      </c>
      <c r="K453" s="23" t="inlineStr">
        <is>
          <t>R</t>
        </is>
      </c>
      <c r="L453" s="25" t="n">
        <v>773</v>
      </c>
      <c r="M453" s="26" t="n">
        <v>3.7</v>
      </c>
      <c r="N453" s="25">
        <f>ROUND(L453/M453, 0)</f>
        <v/>
      </c>
      <c r="O453" s="25">
        <f>ROUND(N453*'Methodology &amp; Assumptions'!$B$7, 0)</f>
        <v/>
      </c>
      <c r="P453" s="23" t="inlineStr">
        <is>
          <t>Single Carrier (Band n50, 100MHz TDD)</t>
        </is>
      </c>
      <c r="Q453" s="27">
        <f>ROUNDUP(O453/'Methodology &amp; Assumptions'!$B$8, 0)</f>
        <v/>
      </c>
      <c r="R453" s="27" t="n">
        <v>1</v>
      </c>
      <c r="S453" s="26" t="n">
        <v>3.52</v>
      </c>
      <c r="T453" s="26" t="n">
        <v>2.17</v>
      </c>
      <c r="U453" s="11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26" t="n">
        <v>55.3</v>
      </c>
      <c r="W453" s="26" t="n">
        <v>82.95999999999999</v>
      </c>
      <c r="X453" s="26">
        <f>ROUND(('Methodology &amp; Assumptions'!$B$5*V453) + ('Methodology &amp; Assumptions'!$B$6*W453), 2)</f>
        <v/>
      </c>
      <c r="Y453" s="28" t="n">
        <v>10.9</v>
      </c>
      <c r="Z453" s="11" t="inlineStr">
        <is>
          <t>Priority Tier 2 (Balanced Opportunity)</t>
        </is>
      </c>
    </row>
    <row r="454">
      <c r="A454" s="23" t="n">
        <v>1</v>
      </c>
      <c r="B454" s="23" t="n">
        <v>450</v>
      </c>
      <c r="C454" s="23" t="n">
        <v>450</v>
      </c>
      <c r="D454" s="23" t="inlineStr">
        <is>
          <t>0205007022</t>
        </is>
      </c>
      <c r="E454" s="11" t="inlineStr">
        <is>
          <t>Region II (Cagayan Valley)</t>
        </is>
      </c>
      <c r="F454" s="11" t="inlineStr">
        <is>
          <t>Nueva Vizcaya</t>
        </is>
      </c>
      <c r="G454" s="11" t="inlineStr">
        <is>
          <t>Dupax del Norte</t>
        </is>
      </c>
      <c r="H454" s="11" t="inlineStr">
        <is>
          <t>Macabenga</t>
        </is>
      </c>
      <c r="I454" s="24" t="n">
        <v>16.220795</v>
      </c>
      <c r="J454" s="24" t="n">
        <v>121.248329</v>
      </c>
      <c r="K454" s="23" t="inlineStr">
        <is>
          <t>R</t>
        </is>
      </c>
      <c r="L454" s="25" t="n">
        <v>1807</v>
      </c>
      <c r="M454" s="26" t="n">
        <v>3.8</v>
      </c>
      <c r="N454" s="25">
        <f>ROUND(L454/M454, 0)</f>
        <v/>
      </c>
      <c r="O454" s="25">
        <f>ROUND(N454*'Methodology &amp; Assumptions'!$B$7, 0)</f>
        <v/>
      </c>
      <c r="P454" s="23" t="inlineStr">
        <is>
          <t>Single Carrier (Band n50, 100MHz TDD)</t>
        </is>
      </c>
      <c r="Q454" s="27">
        <f>ROUNDUP(O454/'Methodology &amp; Assumptions'!$B$8, 0)</f>
        <v/>
      </c>
      <c r="R454" s="27" t="n">
        <v>1</v>
      </c>
      <c r="S454" s="26" t="n">
        <v>1.95</v>
      </c>
      <c r="T454" s="26" t="n">
        <v>22.02</v>
      </c>
      <c r="U454" s="11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26" t="n">
        <v>66.93000000000001</v>
      </c>
      <c r="W454" s="26" t="n">
        <v>71.3</v>
      </c>
      <c r="X454" s="26">
        <f>ROUND(('Methodology &amp; Assumptions'!$B$5*V454) + ('Methodology &amp; Assumptions'!$B$6*W454), 2)</f>
        <v/>
      </c>
      <c r="Y454" s="28" t="n">
        <v>8.300000000000001</v>
      </c>
      <c r="Z454" s="11" t="inlineStr">
        <is>
          <t>Priority Tier 2 (Balanced Opportunity)</t>
        </is>
      </c>
    </row>
    <row r="455">
      <c r="A455" s="23" t="n">
        <v>1</v>
      </c>
      <c r="B455" s="23" t="n">
        <v>451</v>
      </c>
      <c r="C455" s="23" t="n">
        <v>451</v>
      </c>
      <c r="D455" s="23" t="inlineStr">
        <is>
          <t>1380601138</t>
        </is>
      </c>
      <c r="E455" s="11" t="inlineStr">
        <is>
          <t>National Capital Region (NCR)</t>
        </is>
      </c>
      <c r="F455" s="11" t="inlineStr">
        <is>
          <t>First District (Not a Province)</t>
        </is>
      </c>
      <c r="G455" s="11" t="inlineStr">
        <is>
          <t>City of Manila</t>
        </is>
      </c>
      <c r="H455" s="11" t="inlineStr">
        <is>
          <t>Barangay 138</t>
        </is>
      </c>
      <c r="I455" s="24" t="n">
        <v>14.632841</v>
      </c>
      <c r="J455" s="24" t="n">
        <v>120.966275</v>
      </c>
      <c r="K455" s="23" t="inlineStr">
        <is>
          <t>U</t>
        </is>
      </c>
      <c r="L455" s="25" t="n">
        <v>3217</v>
      </c>
      <c r="M455" s="26" t="n">
        <v>3.96</v>
      </c>
      <c r="N455" s="25">
        <f>ROUND(L455/M455, 0)</f>
        <v/>
      </c>
      <c r="O455" s="25">
        <f>ROUND(N455*'Methodology &amp; Assumptions'!$B$7, 0)</f>
        <v/>
      </c>
      <c r="P455" s="23" t="inlineStr">
        <is>
          <t>Single Carrier (Band n50, 100MHz TDD)</t>
        </is>
      </c>
      <c r="Q455" s="27">
        <f>ROUNDUP(O455/'Methodology &amp; Assumptions'!$B$8, 0)</f>
        <v/>
      </c>
      <c r="R455" s="27" t="n">
        <v>1</v>
      </c>
      <c r="S455" s="26" t="n">
        <v>1.01</v>
      </c>
      <c r="T455" s="26" t="n">
        <v>0.3</v>
      </c>
      <c r="U455" s="11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26" t="n">
        <v>66.58</v>
      </c>
      <c r="W455" s="26" t="n">
        <v>71.66</v>
      </c>
      <c r="X455" s="26">
        <f>ROUND(('Methodology &amp; Assumptions'!$B$5*V455) + ('Methodology &amp; Assumptions'!$B$6*W455), 2)</f>
        <v/>
      </c>
      <c r="Y455" s="28" t="n">
        <v>10.9</v>
      </c>
      <c r="Z455" s="11" t="inlineStr">
        <is>
          <t>Priority Tier 2 (Balanced Opportunity)</t>
        </is>
      </c>
    </row>
    <row r="456">
      <c r="A456" s="23" t="n">
        <v>1</v>
      </c>
      <c r="B456" s="23" t="n">
        <v>452</v>
      </c>
      <c r="C456" s="23" t="n">
        <v>452</v>
      </c>
      <c r="D456" s="23" t="inlineStr">
        <is>
          <t>1381300063</t>
        </is>
      </c>
      <c r="E456" s="11" t="inlineStr">
        <is>
          <t>National Capital Region (NCR)</t>
        </is>
      </c>
      <c r="F456" s="11" t="inlineStr">
        <is>
          <t>Second District (Not a Province)</t>
        </is>
      </c>
      <c r="G456" s="11" t="inlineStr">
        <is>
          <t>Quezon City</t>
        </is>
      </c>
      <c r="H456" s="11" t="inlineStr">
        <is>
          <t>Masagana</t>
        </is>
      </c>
      <c r="I456" s="24" t="n">
        <v>14.619166</v>
      </c>
      <c r="J456" s="24" t="n">
        <v>121.066983</v>
      </c>
      <c r="K456" s="23" t="inlineStr">
        <is>
          <t>U</t>
        </is>
      </c>
      <c r="L456" s="25" t="n">
        <v>4291</v>
      </c>
      <c r="M456" s="26" t="n">
        <v>3.96</v>
      </c>
      <c r="N456" s="25">
        <f>ROUND(L456/M456, 0)</f>
        <v/>
      </c>
      <c r="O456" s="25">
        <f>ROUND(N456*'Methodology &amp; Assumptions'!$B$7, 0)</f>
        <v/>
      </c>
      <c r="P456" s="23" t="inlineStr">
        <is>
          <t>Single Carrier (Band n50, 100MHz TDD)</t>
        </is>
      </c>
      <c r="Q456" s="27">
        <f>ROUNDUP(O456/'Methodology &amp; Assumptions'!$B$8, 0)</f>
        <v/>
      </c>
      <c r="R456" s="27" t="n">
        <v>1</v>
      </c>
      <c r="S456" s="26" t="n">
        <v>0.85</v>
      </c>
      <c r="T456" s="26" t="n">
        <v>0.46</v>
      </c>
      <c r="U456" s="11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26" t="n">
        <v>69.08</v>
      </c>
      <c r="W456" s="26" t="n">
        <v>69.15000000000001</v>
      </c>
      <c r="X456" s="26">
        <f>ROUND(('Methodology &amp; Assumptions'!$B$5*V456) + ('Methodology &amp; Assumptions'!$B$6*W456), 2)</f>
        <v/>
      </c>
      <c r="Y456" s="28" t="n">
        <v>10.9</v>
      </c>
      <c r="Z456" s="11" t="inlineStr">
        <is>
          <t>Priority Tier 2 (Balanced Opportunity)</t>
        </is>
      </c>
    </row>
    <row r="457">
      <c r="A457" s="23" t="n">
        <v>1</v>
      </c>
      <c r="B457" s="23" t="n">
        <v>453</v>
      </c>
      <c r="C457" s="23" t="n">
        <v>453</v>
      </c>
      <c r="D457" s="23" t="inlineStr">
        <is>
          <t>1380601071</t>
        </is>
      </c>
      <c r="E457" s="11" t="inlineStr">
        <is>
          <t>National Capital Region (NCR)</t>
        </is>
      </c>
      <c r="F457" s="11" t="inlineStr">
        <is>
          <t>First District (Not a Province)</t>
        </is>
      </c>
      <c r="G457" s="11" t="inlineStr">
        <is>
          <t>City of Manila</t>
        </is>
      </c>
      <c r="H457" s="11" t="inlineStr">
        <is>
          <t>Barangay 71</t>
        </is>
      </c>
      <c r="I457" s="24" t="n">
        <v>14.611881</v>
      </c>
      <c r="J457" s="24" t="n">
        <v>120.966085</v>
      </c>
      <c r="K457" s="23" t="inlineStr">
        <is>
          <t>U</t>
        </is>
      </c>
      <c r="L457" s="25" t="n">
        <v>3486</v>
      </c>
      <c r="M457" s="26" t="n">
        <v>4.5</v>
      </c>
      <c r="N457" s="25">
        <f>ROUND(L457/M457, 0)</f>
        <v/>
      </c>
      <c r="O457" s="25">
        <f>ROUND(N457*'Methodology &amp; Assumptions'!$B$7, 0)</f>
        <v/>
      </c>
      <c r="P457" s="23" t="inlineStr">
        <is>
          <t>Single Carrier (Band n50, 100MHz TDD)</t>
        </is>
      </c>
      <c r="Q457" s="27">
        <f>ROUNDUP(O457/'Methodology &amp; Assumptions'!$B$8, 0)</f>
        <v/>
      </c>
      <c r="R457" s="27" t="n">
        <v>1</v>
      </c>
      <c r="S457" s="26" t="n">
        <v>0.6899999999999999</v>
      </c>
      <c r="T457" s="26" t="n">
        <v>0.39</v>
      </c>
      <c r="U457" s="11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26" t="n">
        <v>65.94</v>
      </c>
      <c r="W457" s="26" t="n">
        <v>72.28</v>
      </c>
      <c r="X457" s="26">
        <f>ROUND(('Methodology &amp; Assumptions'!$B$5*V457) + ('Methodology &amp; Assumptions'!$B$6*W457), 2)</f>
        <v/>
      </c>
      <c r="Y457" s="28" t="n">
        <v>10.9</v>
      </c>
      <c r="Z457" s="11" t="inlineStr">
        <is>
          <t>Priority Tier 2 (Balanced Opportunity)</t>
        </is>
      </c>
    </row>
    <row r="458">
      <c r="A458" s="23" t="n">
        <v>1</v>
      </c>
      <c r="B458" s="23" t="n">
        <v>454</v>
      </c>
      <c r="C458" s="23" t="n">
        <v>454</v>
      </c>
      <c r="D458" s="23" t="inlineStr">
        <is>
          <t>0403426022</t>
        </is>
      </c>
      <c r="E458" s="11" t="inlineStr">
        <is>
          <t>Region IV-A (CALABARZON)</t>
        </is>
      </c>
      <c r="F458" s="11" t="inlineStr">
        <is>
          <t>Laguna</t>
        </is>
      </c>
      <c r="G458" s="11" t="inlineStr">
        <is>
          <t>Santa Cruz</t>
        </is>
      </c>
      <c r="H458" s="11" t="inlineStr">
        <is>
          <t>San Pablo Sur</t>
        </is>
      </c>
      <c r="I458" s="24" t="n">
        <v>14.282909</v>
      </c>
      <c r="J458" s="24" t="n">
        <v>121.416962</v>
      </c>
      <c r="K458" s="23" t="inlineStr">
        <is>
          <t>R</t>
        </is>
      </c>
      <c r="L458" s="25" t="n">
        <v>3508</v>
      </c>
      <c r="M458" s="26" t="n">
        <v>3.3</v>
      </c>
      <c r="N458" s="25">
        <f>ROUND(L458/M458, 0)</f>
        <v/>
      </c>
      <c r="O458" s="25">
        <f>ROUND(N458*'Methodology &amp; Assumptions'!$B$7, 0)</f>
        <v/>
      </c>
      <c r="P458" s="23" t="inlineStr">
        <is>
          <t>Single Carrier (Band n50, 100MHz TDD)</t>
        </is>
      </c>
      <c r="Q458" s="27">
        <f>ROUNDUP(O458/'Methodology &amp; Assumptions'!$B$8, 0)</f>
        <v/>
      </c>
      <c r="R458" s="27" t="n">
        <v>1</v>
      </c>
      <c r="S458" s="26" t="n">
        <v>0.6</v>
      </c>
      <c r="T458" s="26" t="n">
        <v>0.29</v>
      </c>
      <c r="U458" s="11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26" t="n">
        <v>85.45999999999999</v>
      </c>
      <c r="W458" s="26" t="n">
        <v>52.75</v>
      </c>
      <c r="X458" s="26">
        <f>ROUND(('Methodology &amp; Assumptions'!$B$5*V458) + ('Methodology &amp; Assumptions'!$B$6*W458), 2)</f>
        <v/>
      </c>
      <c r="Y458" s="28" t="n">
        <v>7.2</v>
      </c>
      <c r="Z458" s="11" t="inlineStr">
        <is>
          <t>Priority Tier 2 (Balanced Opportunity)</t>
        </is>
      </c>
    </row>
    <row r="459">
      <c r="A459" s="23" t="n">
        <v>1</v>
      </c>
      <c r="B459" s="23" t="n">
        <v>455</v>
      </c>
      <c r="C459" s="23" t="n">
        <v>455</v>
      </c>
      <c r="D459" s="23" t="inlineStr">
        <is>
          <t>0301412005</t>
        </is>
      </c>
      <c r="E459" s="11" t="inlineStr">
        <is>
          <t>Region III (Central Luzon)</t>
        </is>
      </c>
      <c r="F459" s="11" t="inlineStr">
        <is>
          <t>Bulacan</t>
        </is>
      </c>
      <c r="G459" s="11" t="inlineStr">
        <is>
          <t>City of Meycauayan</t>
        </is>
      </c>
      <c r="H459" s="11" t="inlineStr">
        <is>
          <t>Bayugo</t>
        </is>
      </c>
      <c r="I459" s="24" t="n">
        <v>14.732762</v>
      </c>
      <c r="J459" s="24" t="n">
        <v>120.954051</v>
      </c>
      <c r="K459" s="23" t="inlineStr">
        <is>
          <t>U</t>
        </is>
      </c>
      <c r="L459" s="25" t="n">
        <v>20064</v>
      </c>
      <c r="M459" s="26" t="n">
        <v>3.5</v>
      </c>
      <c r="N459" s="25">
        <f>ROUND(L459/M459, 0)</f>
        <v/>
      </c>
      <c r="O459" s="25">
        <f>ROUND(N459*'Methodology &amp; Assumptions'!$B$7, 0)</f>
        <v/>
      </c>
      <c r="P459" s="23" t="inlineStr">
        <is>
          <t>Single Carrier (Band n50, 100MHz TDD)</t>
        </is>
      </c>
      <c r="Q459" s="27">
        <f>ROUNDUP(O459/'Methodology &amp; Assumptions'!$B$8, 0)</f>
        <v/>
      </c>
      <c r="R459" s="27" t="n">
        <v>1</v>
      </c>
      <c r="S459" s="26" t="n">
        <v>1.67</v>
      </c>
      <c r="T459" s="26" t="n">
        <v>0.8</v>
      </c>
      <c r="U459" s="11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26" t="n">
        <v>75.34</v>
      </c>
      <c r="W459" s="26" t="n">
        <v>62.85</v>
      </c>
      <c r="X459" s="26">
        <f>ROUND(('Methodology &amp; Assumptions'!$B$5*V459) + ('Methodology &amp; Assumptions'!$B$6*W459), 2)</f>
        <v/>
      </c>
      <c r="Y459" s="28" t="n">
        <v>8.300000000000001</v>
      </c>
      <c r="Z459" s="11" t="inlineStr">
        <is>
          <t>Priority Tier 2 (Balanced Opportunity)</t>
        </is>
      </c>
    </row>
    <row r="460">
      <c r="A460" s="23" t="n">
        <v>1</v>
      </c>
      <c r="B460" s="23" t="n">
        <v>456</v>
      </c>
      <c r="C460" s="23" t="n">
        <v>456</v>
      </c>
      <c r="D460" s="23" t="inlineStr">
        <is>
          <t>1380605075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372</t>
        </is>
      </c>
      <c r="I460" s="24" t="n">
        <v>14.62502</v>
      </c>
      <c r="J460" s="24" t="n">
        <v>120.988622</v>
      </c>
      <c r="K460" s="23" t="inlineStr">
        <is>
          <t>U</t>
        </is>
      </c>
      <c r="L460" s="25" t="n">
        <v>4332</v>
      </c>
      <c r="M460" s="26" t="n">
        <v>3.45</v>
      </c>
      <c r="N460" s="25">
        <f>ROUND(L460/M460, 0)</f>
        <v/>
      </c>
      <c r="O460" s="25">
        <f>ROUND(N460*'Methodology &amp; Assumptions'!$B$7, 0)</f>
        <v/>
      </c>
      <c r="P460" s="23" t="inlineStr">
        <is>
          <t>Single Carrier (Band n50, 100MHz TDD)</t>
        </is>
      </c>
      <c r="Q460" s="27">
        <f>ROUNDUP(O460/'Methodology &amp; Assumptions'!$B$8, 0)</f>
        <v/>
      </c>
      <c r="R460" s="27" t="n">
        <v>1</v>
      </c>
      <c r="S460" s="26" t="n">
        <v>1.13</v>
      </c>
      <c r="T460" s="26" t="n">
        <v>0.17</v>
      </c>
      <c r="U460" s="11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26" t="n">
        <v>67.97</v>
      </c>
      <c r="W460" s="26" t="n">
        <v>70.22</v>
      </c>
      <c r="X460" s="26">
        <f>ROUND(('Methodology &amp; Assumptions'!$B$5*V460) + ('Methodology &amp; Assumptions'!$B$6*W460), 2)</f>
        <v/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1</v>
      </c>
      <c r="B461" s="23" t="n">
        <v>457</v>
      </c>
      <c r="C461" s="23" t="n">
        <v>457</v>
      </c>
      <c r="D461" s="23" t="inlineStr">
        <is>
          <t>1380610048</t>
        </is>
      </c>
      <c r="E461" s="11" t="inlineStr">
        <is>
          <t>National Capital Region (NCR)</t>
        </is>
      </c>
      <c r="F461" s="11" t="inlineStr">
        <is>
          <t>First District (Not a Province)</t>
        </is>
      </c>
      <c r="G461" s="11" t="inlineStr">
        <is>
          <t>City of Manila</t>
        </is>
      </c>
      <c r="H461" s="11" t="inlineStr">
        <is>
          <t>Barangay 733</t>
        </is>
      </c>
      <c r="I461" s="24" t="n">
        <v>14.567045</v>
      </c>
      <c r="J461" s="24" t="n">
        <v>120.996865</v>
      </c>
      <c r="K461" s="23" t="inlineStr">
        <is>
          <t>U</t>
        </is>
      </c>
      <c r="L461" s="25" t="n">
        <v>4317</v>
      </c>
      <c r="M461" s="26" t="n">
        <v>3.91</v>
      </c>
      <c r="N461" s="25">
        <f>ROUND(L461/M461, 0)</f>
        <v/>
      </c>
      <c r="O461" s="25">
        <f>ROUND(N461*'Methodology &amp; Assumptions'!$B$7, 0)</f>
        <v/>
      </c>
      <c r="P461" s="23" t="inlineStr">
        <is>
          <t>Single Carrier (Band n50, 100MHz TDD)</t>
        </is>
      </c>
      <c r="Q461" s="27">
        <f>ROUNDUP(O461/'Methodology &amp; Assumptions'!$B$8, 0)</f>
        <v/>
      </c>
      <c r="R461" s="27" t="n">
        <v>1</v>
      </c>
      <c r="S461" s="26" t="n">
        <v>0.62</v>
      </c>
      <c r="T461" s="26" t="n">
        <v>0.37</v>
      </c>
      <c r="U461" s="11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26" t="n">
        <v>69.09</v>
      </c>
      <c r="W461" s="26" t="n">
        <v>69.08</v>
      </c>
      <c r="X461" s="26">
        <f>ROUND(('Methodology &amp; Assumptions'!$B$5*V461) + ('Methodology &amp; Assumptions'!$B$6*W461), 2)</f>
        <v/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1</v>
      </c>
      <c r="B462" s="23" t="n">
        <v>458</v>
      </c>
      <c r="C462" s="23" t="n">
        <v>458</v>
      </c>
      <c r="D462" s="23" t="inlineStr">
        <is>
          <t>1380612035</t>
        </is>
      </c>
      <c r="E462" s="11" t="inlineStr">
        <is>
          <t>National Capital Region (NCR)</t>
        </is>
      </c>
      <c r="F462" s="11" t="inlineStr">
        <is>
          <t>First District (Not a Province)</t>
        </is>
      </c>
      <c r="G462" s="11" t="inlineStr">
        <is>
          <t>City of Manila</t>
        </is>
      </c>
      <c r="H462" s="11" t="inlineStr">
        <is>
          <t>Barangay 868</t>
        </is>
      </c>
      <c r="I462" s="24" t="n">
        <v>14.584421</v>
      </c>
      <c r="J462" s="24" t="n">
        <v>121.003855</v>
      </c>
      <c r="K462" s="23" t="inlineStr">
        <is>
          <t>U</t>
        </is>
      </c>
      <c r="L462" s="25" t="n">
        <v>3002</v>
      </c>
      <c r="M462" s="26" t="n">
        <v>3.69</v>
      </c>
      <c r="N462" s="25">
        <f>ROUND(L462/M462, 0)</f>
        <v/>
      </c>
      <c r="O462" s="25">
        <f>ROUND(N462*'Methodology &amp; Assumptions'!$B$7, 0)</f>
        <v/>
      </c>
      <c r="P462" s="23" t="inlineStr">
        <is>
          <t>Single Carrier (Band n50, 100MHz TDD)</t>
        </is>
      </c>
      <c r="Q462" s="27">
        <f>ROUNDUP(O462/'Methodology &amp; Assumptions'!$B$8, 0)</f>
        <v/>
      </c>
      <c r="R462" s="27" t="n">
        <v>1</v>
      </c>
      <c r="S462" s="26" t="n">
        <v>0.12</v>
      </c>
      <c r="T462" s="26" t="n">
        <v>0.16</v>
      </c>
      <c r="U462" s="11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26" t="n">
        <v>67.23</v>
      </c>
      <c r="W462" s="26" t="n">
        <v>70.92</v>
      </c>
      <c r="X462" s="26">
        <f>ROUND(('Methodology &amp; Assumptions'!$B$5*V462) + ('Methodology &amp; Assumptions'!$B$6*W462), 2)</f>
        <v/>
      </c>
      <c r="Y462" s="28" t="n">
        <v>10.9</v>
      </c>
      <c r="Z462" s="11" t="inlineStr">
        <is>
          <t>Priority Tier 2 (Balanced Opportunity)</t>
        </is>
      </c>
    </row>
    <row r="463">
      <c r="A463" s="23" t="n">
        <v>1</v>
      </c>
      <c r="B463" s="23" t="n">
        <v>459</v>
      </c>
      <c r="C463" s="23" t="n">
        <v>459</v>
      </c>
      <c r="D463" s="23" t="inlineStr">
        <is>
          <t>1381300004</t>
        </is>
      </c>
      <c r="E463" s="11" t="inlineStr">
        <is>
          <t>National Capital Region (NCR)</t>
        </is>
      </c>
      <c r="F463" s="11" t="inlineStr">
        <is>
          <t>Second District (Not a Province)</t>
        </is>
      </c>
      <c r="G463" s="11" t="inlineStr">
        <is>
          <t>Quezon City</t>
        </is>
      </c>
      <c r="H463" s="11" t="inlineStr">
        <is>
          <t>Aurora</t>
        </is>
      </c>
      <c r="I463" s="24" t="n">
        <v>14.6157</v>
      </c>
      <c r="J463" s="24" t="n">
        <v>121.0086</v>
      </c>
      <c r="K463" s="23" t="inlineStr">
        <is>
          <t>U</t>
        </is>
      </c>
      <c r="L463" s="25" t="n">
        <v>4344</v>
      </c>
      <c r="M463" s="26" t="n">
        <v>4.29</v>
      </c>
      <c r="N463" s="25">
        <f>ROUND(L463/M463, 0)</f>
        <v/>
      </c>
      <c r="O463" s="25">
        <f>ROUND(N463*'Methodology &amp; Assumptions'!$B$7, 0)</f>
        <v/>
      </c>
      <c r="P463" s="23" t="inlineStr">
        <is>
          <t>Single Carrier (Band n50, 100MHz TDD)</t>
        </is>
      </c>
      <c r="Q463" s="27">
        <f>ROUNDUP(O463/'Methodology &amp; Assumptions'!$B$8, 0)</f>
        <v/>
      </c>
      <c r="R463" s="27" t="n">
        <v>1</v>
      </c>
      <c r="S463" s="26" t="n">
        <v>0.74</v>
      </c>
      <c r="T463" s="26" t="n">
        <v>0.23</v>
      </c>
      <c r="U463" s="11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26" t="n">
        <v>69.09</v>
      </c>
      <c r="W463" s="26" t="n">
        <v>69.03</v>
      </c>
      <c r="X463" s="26">
        <f>ROUND(('Methodology &amp; Assumptions'!$B$5*V463) + ('Methodology &amp; Assumptions'!$B$6*W463), 2)</f>
        <v/>
      </c>
      <c r="Y463" s="28" t="n">
        <v>10.9</v>
      </c>
      <c r="Z463" s="11" t="inlineStr">
        <is>
          <t>Priority Tier 2 (Balanced Opportunity)</t>
        </is>
      </c>
    </row>
    <row r="464">
      <c r="A464" s="23" t="n">
        <v>1</v>
      </c>
      <c r="B464" s="23" t="n">
        <v>460</v>
      </c>
      <c r="C464" s="23" t="n">
        <v>460</v>
      </c>
      <c r="D464" s="23" t="inlineStr">
        <is>
          <t>1380614031</t>
        </is>
      </c>
      <c r="E464" s="11" t="inlineStr">
        <is>
          <t>National Capital Region (NCR)</t>
        </is>
      </c>
      <c r="F464" s="11" t="inlineStr">
        <is>
          <t>First District (Not a Province)</t>
        </is>
      </c>
      <c r="G464" s="11" t="inlineStr">
        <is>
          <t>City of Manila</t>
        </is>
      </c>
      <c r="H464" s="11" t="inlineStr">
        <is>
          <t>Barangay 775</t>
        </is>
      </c>
      <c r="I464" s="24" t="n">
        <v>14.564907</v>
      </c>
      <c r="J464" s="24" t="n">
        <v>121.00165</v>
      </c>
      <c r="K464" s="23" t="inlineStr">
        <is>
          <t>U</t>
        </is>
      </c>
      <c r="L464" s="25" t="n">
        <v>12116</v>
      </c>
      <c r="M464" s="26" t="n">
        <v>4.58</v>
      </c>
      <c r="N464" s="25">
        <f>ROUND(L464/M464, 0)</f>
        <v/>
      </c>
      <c r="O464" s="25">
        <f>ROUND(N464*'Methodology &amp; Assumptions'!$B$7, 0)</f>
        <v/>
      </c>
      <c r="P464" s="23" t="inlineStr">
        <is>
          <t>Single Carrier (Band n50, 100MHz TDD)</t>
        </is>
      </c>
      <c r="Q464" s="27">
        <f>ROUNDUP(O464/'Methodology &amp; Assumptions'!$B$8, 0)</f>
        <v/>
      </c>
      <c r="R464" s="27" t="n">
        <v>1</v>
      </c>
      <c r="S464" s="26" t="n">
        <v>1.12</v>
      </c>
      <c r="T464" s="26" t="n">
        <v>0.38</v>
      </c>
      <c r="U464" s="11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26" t="n">
        <v>68</v>
      </c>
      <c r="W464" s="26" t="n">
        <v>70.12</v>
      </c>
      <c r="X464" s="26">
        <f>ROUND(('Methodology &amp; Assumptions'!$B$5*V464) + ('Methodology &amp; Assumptions'!$B$6*W464), 2)</f>
        <v/>
      </c>
      <c r="Y464" s="28" t="n">
        <v>10.9</v>
      </c>
      <c r="Z464" s="11" t="inlineStr">
        <is>
          <t>Priority Tier 2 (Balanced Opportunity)</t>
        </is>
      </c>
    </row>
    <row r="465">
      <c r="A465" s="23" t="n">
        <v>1</v>
      </c>
      <c r="B465" s="23" t="n">
        <v>461</v>
      </c>
      <c r="C465" s="23" t="n">
        <v>461</v>
      </c>
      <c r="D465" s="23" t="inlineStr">
        <is>
          <t>1381100076</t>
        </is>
      </c>
      <c r="E465" s="11" t="inlineStr">
        <is>
          <t>National Capital Region (NCR)</t>
        </is>
      </c>
      <c r="F465" s="11" t="inlineStr">
        <is>
          <t>Fourth District (Not a Province)</t>
        </is>
      </c>
      <c r="G465" s="11" t="inlineStr">
        <is>
          <t>Pasay City</t>
        </is>
      </c>
      <c r="H465" s="11" t="inlineStr">
        <is>
          <t>Barangay 76</t>
        </is>
      </c>
      <c r="I465" s="24" t="n">
        <v>14.54526</v>
      </c>
      <c r="J465" s="24" t="n">
        <v>120.9926</v>
      </c>
      <c r="K465" s="23" t="inlineStr">
        <is>
          <t>U</t>
        </is>
      </c>
      <c r="L465" s="25" t="n">
        <v>25631</v>
      </c>
      <c r="M465" s="26" t="n">
        <v>2.7</v>
      </c>
      <c r="N465" s="25">
        <f>ROUND(L465/M465, 0)</f>
        <v/>
      </c>
      <c r="O465" s="25">
        <f>ROUND(N465*'Methodology &amp; Assumptions'!$B$7, 0)</f>
        <v/>
      </c>
      <c r="P465" s="23" t="inlineStr">
        <is>
          <t>Single Carrier (Band n50, 100MHz TDD)</t>
        </is>
      </c>
      <c r="Q465" s="27">
        <f>ROUNDUP(O465/'Methodology &amp; Assumptions'!$B$8, 0)</f>
        <v/>
      </c>
      <c r="R465" s="27" t="n">
        <v>1</v>
      </c>
      <c r="S465" s="26" t="n">
        <v>0.21</v>
      </c>
      <c r="T465" s="26" t="n">
        <v>0.16</v>
      </c>
      <c r="U465" s="11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26" t="n">
        <v>67.15000000000001</v>
      </c>
      <c r="W465" s="26" t="n">
        <v>70.97</v>
      </c>
      <c r="X465" s="26">
        <f>ROUND(('Methodology &amp; Assumptions'!$B$5*V465) + ('Methodology &amp; Assumptions'!$B$6*W465), 2)</f>
        <v/>
      </c>
      <c r="Y465" s="28" t="n">
        <v>10.9</v>
      </c>
      <c r="Z465" s="11" t="inlineStr">
        <is>
          <t>Priority Tier 2 (Balanced Opportunity)</t>
        </is>
      </c>
    </row>
    <row r="466">
      <c r="A466" s="23" t="n">
        <v>1</v>
      </c>
      <c r="B466" s="23" t="n">
        <v>462</v>
      </c>
      <c r="C466" s="23" t="n">
        <v>462</v>
      </c>
      <c r="D466" s="23" t="inlineStr">
        <is>
          <t>0301420015</t>
        </is>
      </c>
      <c r="E466" s="11" t="inlineStr">
        <is>
          <t>Region III (Central Luzon)</t>
        </is>
      </c>
      <c r="F466" s="11" t="inlineStr">
        <is>
          <t>Bulacan</t>
        </is>
      </c>
      <c r="G466" s="11" t="inlineStr">
        <is>
          <t>City of San Jose Del Monte</t>
        </is>
      </c>
      <c r="H466" s="11" t="inlineStr">
        <is>
          <t>Fatima I</t>
        </is>
      </c>
      <c r="I466" s="24" t="n">
        <v>14.846906</v>
      </c>
      <c r="J466" s="24" t="n">
        <v>121.044933</v>
      </c>
      <c r="K466" s="23" t="inlineStr">
        <is>
          <t>R</t>
        </is>
      </c>
      <c r="L466" s="25" t="n">
        <v>3250</v>
      </c>
      <c r="M466" s="26" t="n">
        <v>3.5</v>
      </c>
      <c r="N466" s="25">
        <f>ROUND(L466/M466, 0)</f>
        <v/>
      </c>
      <c r="O466" s="25">
        <f>ROUND(N466*'Methodology &amp; Assumptions'!$B$7, 0)</f>
        <v/>
      </c>
      <c r="P466" s="23" t="inlineStr">
        <is>
          <t>Single Carrier (Band n50, 100MHz TDD)</t>
        </is>
      </c>
      <c r="Q466" s="27">
        <f>ROUNDUP(O466/'Methodology &amp; Assumptions'!$B$8, 0)</f>
        <v/>
      </c>
      <c r="R466" s="27" t="n">
        <v>1</v>
      </c>
      <c r="S466" s="26" t="n">
        <v>1.01</v>
      </c>
      <c r="T466" s="26" t="n">
        <v>1.85</v>
      </c>
      <c r="U466" s="11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26" t="n">
        <v>84.98999999999999</v>
      </c>
      <c r="W466" s="26" t="n">
        <v>53.11</v>
      </c>
      <c r="X466" s="26">
        <f>ROUND(('Methodology &amp; Assumptions'!$B$5*V466) + ('Methodology &amp; Assumptions'!$B$6*W466), 2)</f>
        <v/>
      </c>
      <c r="Y466" s="28" t="n">
        <v>8.300000000000001</v>
      </c>
      <c r="Z466" s="11" t="inlineStr">
        <is>
          <t>Priority Tier 2 (Balanced Opportunity)</t>
        </is>
      </c>
    </row>
    <row r="467">
      <c r="A467" s="23" t="n">
        <v>1</v>
      </c>
      <c r="B467" s="23" t="n">
        <v>463</v>
      </c>
      <c r="C467" s="23" t="n">
        <v>463</v>
      </c>
      <c r="D467" s="23" t="inlineStr">
        <is>
          <t>1380606024</t>
        </is>
      </c>
      <c r="E467" s="11" t="inlineStr">
        <is>
          <t>National Capital Region (NCR)</t>
        </is>
      </c>
      <c r="F467" s="11" t="inlineStr">
        <is>
          <t>First District (Not a Province)</t>
        </is>
      </c>
      <c r="G467" s="11" t="inlineStr">
        <is>
          <t>City of Manila</t>
        </is>
      </c>
      <c r="H467" s="11" t="inlineStr">
        <is>
          <t>Barangay 418</t>
        </is>
      </c>
      <c r="I467" s="24" t="n">
        <v>14.60247</v>
      </c>
      <c r="J467" s="24" t="n">
        <v>121.000634</v>
      </c>
      <c r="K467" s="23" t="inlineStr">
        <is>
          <t>U</t>
        </is>
      </c>
      <c r="L467" s="25" t="n">
        <v>2977</v>
      </c>
      <c r="M467" s="26" t="n">
        <v>4.06</v>
      </c>
      <c r="N467" s="25">
        <f>ROUND(L467/M467, 0)</f>
        <v/>
      </c>
      <c r="O467" s="25">
        <f>ROUND(N467*'Methodology &amp; Assumptions'!$B$7, 0)</f>
        <v/>
      </c>
      <c r="P467" s="23" t="inlineStr">
        <is>
          <t>Single Carrier (Band n50, 100MHz TDD)</t>
        </is>
      </c>
      <c r="Q467" s="27">
        <f>ROUNDUP(O467/'Methodology &amp; Assumptions'!$B$8, 0)</f>
        <v/>
      </c>
      <c r="R467" s="27" t="n">
        <v>1</v>
      </c>
      <c r="S467" s="26" t="n">
        <v>0.42</v>
      </c>
      <c r="T467" s="26" t="n">
        <v>0.13</v>
      </c>
      <c r="U467" s="11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26" t="n">
        <v>64.66</v>
      </c>
      <c r="W467" s="26" t="n">
        <v>73.45</v>
      </c>
      <c r="X467" s="26">
        <f>ROUND(('Methodology &amp; Assumptions'!$B$5*V467) + ('Methodology &amp; Assumptions'!$B$6*W467), 2)</f>
        <v/>
      </c>
      <c r="Y467" s="28" t="n">
        <v>10.9</v>
      </c>
      <c r="Z467" s="11" t="inlineStr">
        <is>
          <t>Priority Tier 2 (Balanced Opportunity)</t>
        </is>
      </c>
    </row>
    <row r="468">
      <c r="A468" s="23" t="n">
        <v>1</v>
      </c>
      <c r="B468" s="23" t="n">
        <v>464</v>
      </c>
      <c r="C468" s="23" t="n">
        <v>464</v>
      </c>
      <c r="D468" s="23" t="inlineStr">
        <is>
          <t>1381701005</t>
        </is>
      </c>
      <c r="E468" s="11" t="inlineStr">
        <is>
          <t>National Capital Region (NCR)</t>
        </is>
      </c>
      <c r="F468" s="11" t="inlineStr">
        <is>
          <t>Fourth District (Not a Province)</t>
        </is>
      </c>
      <c r="G468" s="11" t="inlineStr">
        <is>
          <t>Pateros</t>
        </is>
      </c>
      <c r="H468" s="11" t="inlineStr">
        <is>
          <t>San Pedro</t>
        </is>
      </c>
      <c r="I468" s="24" t="n">
        <v>14.54704</v>
      </c>
      <c r="J468" s="24" t="n">
        <v>121.0663</v>
      </c>
      <c r="K468" s="23" t="inlineStr">
        <is>
          <t>U</t>
        </is>
      </c>
      <c r="L468" s="25" t="n">
        <v>2252</v>
      </c>
      <c r="M468" s="26" t="n">
        <v>3.34</v>
      </c>
      <c r="N468" s="25">
        <f>ROUND(L468/M468, 0)</f>
        <v/>
      </c>
      <c r="O468" s="25">
        <f>ROUND(N468*'Methodology &amp; Assumptions'!$B$7, 0)</f>
        <v/>
      </c>
      <c r="P468" s="23" t="inlineStr">
        <is>
          <t>Single Carrier (Band n50, 100MHz TDD)</t>
        </is>
      </c>
      <c r="Q468" s="27">
        <f>ROUNDUP(O468/'Methodology &amp; Assumptions'!$B$8, 0)</f>
        <v/>
      </c>
      <c r="R468" s="27" t="n">
        <v>1</v>
      </c>
      <c r="S468" s="26" t="n">
        <v>0.34</v>
      </c>
      <c r="T468" s="26" t="n">
        <v>0.3</v>
      </c>
      <c r="U468" s="11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26" t="n">
        <v>62.73</v>
      </c>
      <c r="W468" s="26" t="n">
        <v>75.37</v>
      </c>
      <c r="X468" s="26">
        <f>ROUND(('Methodology &amp; Assumptions'!$B$5*V468) + ('Methodology &amp; Assumptions'!$B$6*W468), 2)</f>
        <v/>
      </c>
      <c r="Y468" s="28" t="n">
        <v>10.9</v>
      </c>
      <c r="Z468" s="11" t="inlineStr">
        <is>
          <t>Priority Tier 2 (Balanced Opportunity)</t>
        </is>
      </c>
    </row>
    <row r="469">
      <c r="A469" s="23" t="n">
        <v>1</v>
      </c>
      <c r="B469" s="23" t="n">
        <v>465</v>
      </c>
      <c r="C469" s="23" t="n">
        <v>465</v>
      </c>
      <c r="D469" s="23" t="inlineStr">
        <is>
          <t>1380200008</t>
        </is>
      </c>
      <c r="E469" s="11" t="inlineStr">
        <is>
          <t>National Capital Region (NCR)</t>
        </is>
      </c>
      <c r="F469" s="11" t="inlineStr">
        <is>
          <t>Fourth District (Not a Province)</t>
        </is>
      </c>
      <c r="G469" s="11" t="inlineStr">
        <is>
          <t>City of Las Piñas</t>
        </is>
      </c>
      <c r="H469" s="11" t="inlineStr">
        <is>
          <t>Talon Uno</t>
        </is>
      </c>
      <c r="I469" s="24" t="n">
        <v>14.438967</v>
      </c>
      <c r="J469" s="24" t="n">
        <v>121.002673</v>
      </c>
      <c r="K469" s="23" t="inlineStr">
        <is>
          <t>U</t>
        </is>
      </c>
      <c r="L469" s="25" t="n">
        <v>42677</v>
      </c>
      <c r="M469" s="26" t="n">
        <v>3.88</v>
      </c>
      <c r="N469" s="25">
        <f>ROUND(L469/M469, 0)</f>
        <v/>
      </c>
      <c r="O469" s="25">
        <f>ROUND(N469*'Methodology &amp; Assumptions'!$B$7, 0)</f>
        <v/>
      </c>
      <c r="P469" s="23" t="inlineStr">
        <is>
          <t>Single Carrier (Band n50, 100MHz TDD)</t>
        </is>
      </c>
      <c r="Q469" s="27">
        <f>ROUNDUP(O469/'Methodology &amp; Assumptions'!$B$8, 0)</f>
        <v/>
      </c>
      <c r="R469" s="27" t="n">
        <v>1</v>
      </c>
      <c r="S469" s="26" t="n">
        <v>0.35</v>
      </c>
      <c r="T469" s="26" t="n">
        <v>0.23</v>
      </c>
      <c r="U469" s="11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26" t="n">
        <v>66.81</v>
      </c>
      <c r="W469" s="26" t="n">
        <v>71.26000000000001</v>
      </c>
      <c r="X469" s="26">
        <f>ROUND(('Methodology &amp; Assumptions'!$B$5*V469) + ('Methodology &amp; Assumptions'!$B$6*W469), 2)</f>
        <v/>
      </c>
      <c r="Y469" s="28" t="n">
        <v>10.9</v>
      </c>
      <c r="Z469" s="11" t="inlineStr">
        <is>
          <t>Priority Tier 2 (Balanced Opportunity)</t>
        </is>
      </c>
    </row>
    <row r="470">
      <c r="A470" s="23" t="n">
        <v>1</v>
      </c>
      <c r="B470" s="23" t="n">
        <v>466</v>
      </c>
      <c r="C470" s="23" t="n">
        <v>466</v>
      </c>
      <c r="D470" s="23" t="inlineStr">
        <is>
          <t>1381300107</t>
        </is>
      </c>
      <c r="E470" s="11" t="inlineStr">
        <is>
          <t>National Capital Region (NCR)</t>
        </is>
      </c>
      <c r="F470" s="11" t="inlineStr">
        <is>
          <t>Second District (Not a Province)</t>
        </is>
      </c>
      <c r="G470" s="11" t="inlineStr">
        <is>
          <t>Quezon City</t>
        </is>
      </c>
      <c r="H470" s="11" t="inlineStr">
        <is>
          <t>Santa Teresita</t>
        </is>
      </c>
      <c r="I470" s="24" t="n">
        <v>14.62234</v>
      </c>
      <c r="J470" s="24" t="n">
        <v>120.9996</v>
      </c>
      <c r="K470" s="23" t="inlineStr">
        <is>
          <t>U</t>
        </is>
      </c>
      <c r="L470" s="25" t="n">
        <v>17838</v>
      </c>
      <c r="M470" s="26" t="n">
        <v>4.18</v>
      </c>
      <c r="N470" s="25">
        <f>ROUND(L470/M470, 0)</f>
        <v/>
      </c>
      <c r="O470" s="25">
        <f>ROUND(N470*'Methodology &amp; Assumptions'!$B$7, 0)</f>
        <v/>
      </c>
      <c r="P470" s="23" t="inlineStr">
        <is>
          <t>Single Carrier (Band n50, 100MHz TDD)</t>
        </is>
      </c>
      <c r="Q470" s="27">
        <f>ROUNDUP(O470/'Methodology &amp; Assumptions'!$B$8, 0)</f>
        <v/>
      </c>
      <c r="R470" s="27" t="n">
        <v>1</v>
      </c>
      <c r="S470" s="26" t="n">
        <v>1.34</v>
      </c>
      <c r="T470" s="26" t="n">
        <v>0.76</v>
      </c>
      <c r="U470" s="11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26" t="n">
        <v>67.13</v>
      </c>
      <c r="W470" s="26" t="n">
        <v>70.90000000000001</v>
      </c>
      <c r="X470" s="26">
        <f>ROUND(('Methodology &amp; Assumptions'!$B$5*V470) + ('Methodology &amp; Assumptions'!$B$6*W470), 2)</f>
        <v/>
      </c>
      <c r="Y470" s="28" t="n">
        <v>10.9</v>
      </c>
      <c r="Z470" s="11" t="inlineStr">
        <is>
          <t>Priority Tier 2 (Balanced Opportunity)</t>
        </is>
      </c>
    </row>
    <row r="471">
      <c r="A471" s="23" t="n">
        <v>1</v>
      </c>
      <c r="B471" s="23" t="n">
        <v>467</v>
      </c>
      <c r="C471" s="23" t="n">
        <v>467</v>
      </c>
      <c r="D471" s="23" t="inlineStr">
        <is>
          <t>1380614091</t>
        </is>
      </c>
      <c r="E471" s="11" t="inlineStr">
        <is>
          <t>National Capital Region (NCR)</t>
        </is>
      </c>
      <c r="F471" s="11" t="inlineStr">
        <is>
          <t>First District (Not a Province)</t>
        </is>
      </c>
      <c r="G471" s="11" t="inlineStr">
        <is>
          <t>City of Manila</t>
        </is>
      </c>
      <c r="H471" s="11" t="inlineStr">
        <is>
          <t>Barangay 898</t>
        </is>
      </c>
      <c r="I471" s="24" t="n">
        <v>14.58805</v>
      </c>
      <c r="J471" s="24" t="n">
        <v>121.012903</v>
      </c>
      <c r="K471" s="23" t="inlineStr">
        <is>
          <t>U</t>
        </is>
      </c>
      <c r="L471" s="25" t="n">
        <v>7812</v>
      </c>
      <c r="M471" s="26" t="n">
        <v>4.32</v>
      </c>
      <c r="N471" s="25">
        <f>ROUND(L471/M471, 0)</f>
        <v/>
      </c>
      <c r="O471" s="25">
        <f>ROUND(N471*'Methodology &amp; Assumptions'!$B$7, 0)</f>
        <v/>
      </c>
      <c r="P471" s="23" t="inlineStr">
        <is>
          <t>Single Carrier (Band n50, 100MHz TDD)</t>
        </is>
      </c>
      <c r="Q471" s="27">
        <f>ROUNDUP(O471/'Methodology &amp; Assumptions'!$B$8, 0)</f>
        <v/>
      </c>
      <c r="R471" s="27" t="n">
        <v>1</v>
      </c>
      <c r="S471" s="26" t="n">
        <v>1.16</v>
      </c>
      <c r="T471" s="26" t="n">
        <v>0.66</v>
      </c>
      <c r="U471" s="11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26" t="n">
        <v>67.84999999999999</v>
      </c>
      <c r="W471" s="26" t="n">
        <v>70.17</v>
      </c>
      <c r="X471" s="26">
        <f>ROUND(('Methodology &amp; Assumptions'!$B$5*V471) + ('Methodology &amp; Assumptions'!$B$6*W471), 2)</f>
        <v/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1</v>
      </c>
      <c r="B472" s="23" t="n">
        <v>468</v>
      </c>
      <c r="C472" s="23" t="n">
        <v>468</v>
      </c>
      <c r="D472" s="23" t="inlineStr">
        <is>
          <t>1380606008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402</t>
        </is>
      </c>
      <c r="I472" s="24" t="n">
        <v>14.603167</v>
      </c>
      <c r="J472" s="24" t="n">
        <v>120.992477</v>
      </c>
      <c r="K472" s="23" t="inlineStr">
        <is>
          <t>U</t>
        </is>
      </c>
      <c r="L472" s="25" t="n">
        <v>2778</v>
      </c>
      <c r="M472" s="26" t="n">
        <v>3.4</v>
      </c>
      <c r="N472" s="25">
        <f>ROUND(L472/M472, 0)</f>
        <v/>
      </c>
      <c r="O472" s="25">
        <f>ROUND(N472*'Methodology &amp; Assumptions'!$B$7, 0)</f>
        <v/>
      </c>
      <c r="P472" s="23" t="inlineStr">
        <is>
          <t>Single Carrier (Band n50, 100MHz TDD)</t>
        </is>
      </c>
      <c r="Q472" s="27">
        <f>ROUNDUP(O472/'Methodology &amp; Assumptions'!$B$8, 0)</f>
        <v/>
      </c>
      <c r="R472" s="27" t="n">
        <v>1</v>
      </c>
      <c r="S472" s="26" t="n">
        <v>0.14</v>
      </c>
      <c r="T472" s="26" t="n">
        <v>0.13</v>
      </c>
      <c r="U472" s="11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26" t="n">
        <v>67.34</v>
      </c>
      <c r="W472" s="26" t="n">
        <v>70.69</v>
      </c>
      <c r="X472" s="26">
        <f>ROUND(('Methodology &amp; Assumptions'!$B$5*V472) + ('Methodology &amp; Assumptions'!$B$6*W472), 2)</f>
        <v/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1</v>
      </c>
      <c r="B473" s="23" t="n">
        <v>469</v>
      </c>
      <c r="C473" s="23" t="n">
        <v>469</v>
      </c>
      <c r="D473" s="23" t="inlineStr">
        <is>
          <t>1208004009</t>
        </is>
      </c>
      <c r="E473" s="11" t="inlineStr">
        <is>
          <t>Region XII (SOCCSKSARGEN)</t>
        </is>
      </c>
      <c r="F473" s="11" t="inlineStr">
        <is>
          <t>Sarangani</t>
        </is>
      </c>
      <c r="G473" s="11" t="inlineStr">
        <is>
          <t>Maasim</t>
        </is>
      </c>
      <c r="H473" s="11" t="inlineStr">
        <is>
          <t>Lumasal</t>
        </is>
      </c>
      <c r="I473" s="24" t="n">
        <v>5.958851</v>
      </c>
      <c r="J473" s="24" t="n">
        <v>124.856898</v>
      </c>
      <c r="K473" s="23" t="inlineStr">
        <is>
          <t>R</t>
        </is>
      </c>
      <c r="L473" s="25" t="n">
        <v>4847</v>
      </c>
      <c r="M473" s="26" t="n">
        <v>3.9</v>
      </c>
      <c r="N473" s="25">
        <f>ROUND(L473/M473, 0)</f>
        <v/>
      </c>
      <c r="O473" s="25">
        <f>ROUND(N473*'Methodology &amp; Assumptions'!$B$7, 0)</f>
        <v/>
      </c>
      <c r="P473" s="23" t="inlineStr">
        <is>
          <t>Single Carrier (Band n50, 100MHz TDD)</t>
        </is>
      </c>
      <c r="Q473" s="27">
        <f>ROUNDUP(O473/'Methodology &amp; Assumptions'!$B$8, 0)</f>
        <v/>
      </c>
      <c r="R473" s="27" t="n">
        <v>1</v>
      </c>
      <c r="S473" s="26" t="n">
        <v>33.86</v>
      </c>
      <c r="T473" s="26" t="n">
        <v>36.35</v>
      </c>
      <c r="U473" s="11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26" t="n">
        <v>61.82</v>
      </c>
      <c r="W473" s="26" t="n">
        <v>76.18000000000001</v>
      </c>
      <c r="X473" s="26">
        <f>ROUND(('Methodology &amp; Assumptions'!$B$5*V473) + ('Methodology &amp; Assumptions'!$B$6*W473), 2)</f>
        <v/>
      </c>
      <c r="Y473" s="28" t="n">
        <v>17.4</v>
      </c>
      <c r="Z473" s="11" t="inlineStr">
        <is>
          <t>Priority Tier 2 (Balanced Opportunity)</t>
        </is>
      </c>
    </row>
    <row r="474">
      <c r="A474" s="23" t="n">
        <v>1</v>
      </c>
      <c r="B474" s="23" t="n">
        <v>470</v>
      </c>
      <c r="C474" s="23" t="n">
        <v>470</v>
      </c>
      <c r="D474" s="23" t="inlineStr">
        <is>
          <t>0301410019</t>
        </is>
      </c>
      <c r="E474" s="11" t="inlineStr">
        <is>
          <t>Region III (Central Luzon)</t>
        </is>
      </c>
      <c r="F474" s="11" t="inlineStr">
        <is>
          <t>Bulacan</t>
        </is>
      </c>
      <c r="G474" s="11" t="inlineStr">
        <is>
          <t>City of Malolos</t>
        </is>
      </c>
      <c r="H474" s="11" t="inlineStr">
        <is>
          <t>Canalate</t>
        </is>
      </c>
      <c r="I474" s="24" t="n">
        <v>14.850538</v>
      </c>
      <c r="J474" s="24" t="n">
        <v>120.816491</v>
      </c>
      <c r="K474" s="23" t="inlineStr">
        <is>
          <t>R</t>
        </is>
      </c>
      <c r="L474" s="25" t="n">
        <v>3796</v>
      </c>
      <c r="M474" s="26" t="n">
        <v>3.5</v>
      </c>
      <c r="N474" s="25">
        <f>ROUND(L474/M474, 0)</f>
        <v/>
      </c>
      <c r="O474" s="25">
        <f>ROUND(N474*'Methodology &amp; Assumptions'!$B$7, 0)</f>
        <v/>
      </c>
      <c r="P474" s="23" t="inlineStr">
        <is>
          <t>Single Carrier (Band n50, 100MHz TDD)</t>
        </is>
      </c>
      <c r="Q474" s="27">
        <f>ROUNDUP(O474/'Methodology &amp; Assumptions'!$B$8, 0)</f>
        <v/>
      </c>
      <c r="R474" s="27" t="n">
        <v>1</v>
      </c>
      <c r="S474" s="26" t="n">
        <v>0.52</v>
      </c>
      <c r="T474" s="26" t="n">
        <v>0.13</v>
      </c>
      <c r="U474" s="11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26" t="n">
        <v>85.63</v>
      </c>
      <c r="W474" s="26" t="n">
        <v>52.34</v>
      </c>
      <c r="X474" s="26">
        <f>ROUND(('Methodology &amp; Assumptions'!$B$5*V474) + ('Methodology &amp; Assumptions'!$B$6*W474), 2)</f>
        <v/>
      </c>
      <c r="Y474" s="28" t="n">
        <v>8.300000000000001</v>
      </c>
      <c r="Z474" s="11" t="inlineStr">
        <is>
          <t>Priority Tier 2 (Balanced Opportunity)</t>
        </is>
      </c>
    </row>
    <row r="475">
      <c r="A475" s="23" t="n">
        <v>1</v>
      </c>
      <c r="B475" s="23" t="n">
        <v>471</v>
      </c>
      <c r="C475" s="23" t="n">
        <v>471</v>
      </c>
      <c r="D475" s="23" t="inlineStr">
        <is>
          <t>0702219014</t>
        </is>
      </c>
      <c r="E475" s="11" t="inlineStr">
        <is>
          <t>Region VII (Central Visayas)</t>
        </is>
      </c>
      <c r="F475" s="11" t="inlineStr">
        <is>
          <t>Cebu</t>
        </is>
      </c>
      <c r="G475" s="11" t="inlineStr">
        <is>
          <t>Consolacion</t>
        </is>
      </c>
      <c r="H475" s="11" t="inlineStr">
        <is>
          <t>Poblacion Oriental</t>
        </is>
      </c>
      <c r="I475" s="24" t="n">
        <v>10.375493</v>
      </c>
      <c r="J475" s="24" t="n">
        <v>123.957111</v>
      </c>
      <c r="K475" s="23" t="inlineStr">
        <is>
          <t>U</t>
        </is>
      </c>
      <c r="L475" s="25" t="n">
        <v>3218</v>
      </c>
      <c r="M475" s="26" t="n">
        <v>3.8</v>
      </c>
      <c r="N475" s="25">
        <f>ROUND(L475/M475, 0)</f>
        <v/>
      </c>
      <c r="O475" s="25">
        <f>ROUND(N475*'Methodology &amp; Assumptions'!$B$7, 0)</f>
        <v/>
      </c>
      <c r="P475" s="23" t="inlineStr">
        <is>
          <t>Single Carrier (Band n50, 100MHz TDD)</t>
        </is>
      </c>
      <c r="Q475" s="27">
        <f>ROUNDUP(O475/'Methodology &amp; Assumptions'!$B$8, 0)</f>
        <v/>
      </c>
      <c r="R475" s="27" t="n">
        <v>1</v>
      </c>
      <c r="S475" s="26" t="n">
        <v>0.21</v>
      </c>
      <c r="T475" s="26" t="n">
        <v>0.06</v>
      </c>
      <c r="U475" s="11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26" t="n">
        <v>80.01000000000001</v>
      </c>
      <c r="W475" s="26" t="n">
        <v>57.98</v>
      </c>
      <c r="X475" s="26">
        <f>ROUND(('Methodology &amp; Assumptions'!$B$5*V475) + ('Methodology &amp; Assumptions'!$B$6*W475), 2)</f>
        <v/>
      </c>
      <c r="Y475" s="28" t="n">
        <v>23.7</v>
      </c>
      <c r="Z475" s="11" t="inlineStr">
        <is>
          <t>Priority Tier 2 (Balanced Opportunity)</t>
        </is>
      </c>
    </row>
    <row r="476">
      <c r="A476" s="23" t="n">
        <v>1</v>
      </c>
      <c r="B476" s="23" t="n">
        <v>472</v>
      </c>
      <c r="C476" s="23" t="n">
        <v>472</v>
      </c>
      <c r="D476" s="23" t="inlineStr">
        <is>
          <t>1381300098</t>
        </is>
      </c>
      <c r="E476" s="11" t="inlineStr">
        <is>
          <t>National Capital Region (NCR)</t>
        </is>
      </c>
      <c r="F476" s="11" t="inlineStr">
        <is>
          <t>Second District (Not a Province)</t>
        </is>
      </c>
      <c r="G476" s="11" t="inlineStr">
        <is>
          <t>Quezon City</t>
        </is>
      </c>
      <c r="H476" s="11" t="inlineStr">
        <is>
          <t>San Isidro</t>
        </is>
      </c>
      <c r="I476" s="24" t="n">
        <v>14.61201</v>
      </c>
      <c r="J476" s="24" t="n">
        <v>121.0096</v>
      </c>
      <c r="K476" s="23" t="inlineStr">
        <is>
          <t>U</t>
        </is>
      </c>
      <c r="L476" s="25" t="n">
        <v>6794</v>
      </c>
      <c r="M476" s="26" t="n">
        <v>3.69</v>
      </c>
      <c r="N476" s="25">
        <f>ROUND(L476/M476, 0)</f>
        <v/>
      </c>
      <c r="O476" s="25">
        <f>ROUND(N476*'Methodology &amp; Assumptions'!$B$7, 0)</f>
        <v/>
      </c>
      <c r="P476" s="23" t="inlineStr">
        <is>
          <t>Single Carrier (Band n50, 100MHz TDD)</t>
        </is>
      </c>
      <c r="Q476" s="27">
        <f>ROUNDUP(O476/'Methodology &amp; Assumptions'!$B$8, 0)</f>
        <v/>
      </c>
      <c r="R476" s="27" t="n">
        <v>1</v>
      </c>
      <c r="S476" s="26" t="n">
        <v>0.64</v>
      </c>
      <c r="T476" s="26" t="n">
        <v>0.24</v>
      </c>
      <c r="U476" s="11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26" t="n">
        <v>69.09</v>
      </c>
      <c r="W476" s="26" t="n">
        <v>68.86</v>
      </c>
      <c r="X476" s="26">
        <f>ROUND(('Methodology &amp; Assumptions'!$B$5*V476) + ('Methodology &amp; Assumptions'!$B$6*W476), 2)</f>
        <v/>
      </c>
      <c r="Y476" s="28" t="n">
        <v>10.9</v>
      </c>
      <c r="Z476" s="11" t="inlineStr">
        <is>
          <t>Priority Tier 2 (Balanced Opportunity)</t>
        </is>
      </c>
    </row>
    <row r="477">
      <c r="A477" s="23" t="n">
        <v>1</v>
      </c>
      <c r="B477" s="23" t="n">
        <v>473</v>
      </c>
      <c r="C477" s="23" t="n">
        <v>473</v>
      </c>
      <c r="D477" s="23" t="inlineStr">
        <is>
          <t>1102319023</t>
        </is>
      </c>
      <c r="E477" s="11" t="inlineStr">
        <is>
          <t>Region XI (Davao Region)</t>
        </is>
      </c>
      <c r="F477" s="11" t="inlineStr">
        <is>
          <t>Davao del Norte</t>
        </is>
      </c>
      <c r="G477" s="11" t="inlineStr">
        <is>
          <t>City of Tagum</t>
        </is>
      </c>
      <c r="H477" s="11" t="inlineStr">
        <is>
          <t>Magugpo East</t>
        </is>
      </c>
      <c r="I477" s="24" t="n">
        <v>7.44911</v>
      </c>
      <c r="J477" s="24" t="n">
        <v>125.82029</v>
      </c>
      <c r="K477" s="23" t="inlineStr">
        <is>
          <t>U</t>
        </is>
      </c>
      <c r="L477" s="25" t="n">
        <v>16035</v>
      </c>
      <c r="M477" s="26" t="n">
        <v>3.7</v>
      </c>
      <c r="N477" s="25">
        <f>ROUND(L477/M477, 0)</f>
        <v/>
      </c>
      <c r="O477" s="25">
        <f>ROUND(N477*'Methodology &amp; Assumptions'!$B$7, 0)</f>
        <v/>
      </c>
      <c r="P477" s="23" t="inlineStr">
        <is>
          <t>Single Carrier (Band n50, 100MHz TDD)</t>
        </is>
      </c>
      <c r="Q477" s="27">
        <f>ROUNDUP(O477/'Methodology &amp; Assumptions'!$B$8, 0)</f>
        <v/>
      </c>
      <c r="R477" s="27" t="n">
        <v>1</v>
      </c>
      <c r="S477" s="26" t="n">
        <v>1.34</v>
      </c>
      <c r="T477" s="26" t="n">
        <v>0.7</v>
      </c>
      <c r="U477" s="11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26" t="n">
        <v>77.98</v>
      </c>
      <c r="W477" s="26" t="n">
        <v>59.93</v>
      </c>
      <c r="X477" s="26">
        <f>ROUND(('Methodology &amp; Assumptions'!$B$5*V477) + ('Methodology &amp; Assumptions'!$B$6*W477), 2)</f>
        <v/>
      </c>
      <c r="Y477" s="28" t="n">
        <v>17.4</v>
      </c>
      <c r="Z477" s="11" t="inlineStr">
        <is>
          <t>Priority Tier 2 (Balanced Opportunity)</t>
        </is>
      </c>
    </row>
    <row r="478">
      <c r="A478" s="23" t="n">
        <v>1</v>
      </c>
      <c r="B478" s="23" t="n">
        <v>474</v>
      </c>
      <c r="C478" s="23" t="n">
        <v>474</v>
      </c>
      <c r="D478" s="23" t="inlineStr">
        <is>
          <t>0300809022</t>
        </is>
      </c>
      <c r="E478" s="11" t="inlineStr">
        <is>
          <t>Region III (Central Luzon)</t>
        </is>
      </c>
      <c r="F478" s="11" t="inlineStr">
        <is>
          <t>Bataan</t>
        </is>
      </c>
      <c r="G478" s="11" t="inlineStr">
        <is>
          <t>Orani</t>
        </is>
      </c>
      <c r="H478" s="11" t="inlineStr">
        <is>
          <t>Tenejero</t>
        </is>
      </c>
      <c r="I478" s="24" t="n">
        <v>14.799885</v>
      </c>
      <c r="J478" s="24" t="n">
        <v>120.539025</v>
      </c>
      <c r="K478" s="23" t="inlineStr">
        <is>
          <t>R</t>
        </is>
      </c>
      <c r="L478" s="25" t="n">
        <v>1747</v>
      </c>
      <c r="M478" s="26" t="n">
        <v>3.6</v>
      </c>
      <c r="N478" s="25">
        <f>ROUND(L478/M478, 0)</f>
        <v/>
      </c>
      <c r="O478" s="25">
        <f>ROUND(N478*'Methodology &amp; Assumptions'!$B$7, 0)</f>
        <v/>
      </c>
      <c r="P478" s="23" t="inlineStr">
        <is>
          <t>Single Carrier (Band n50, 100MHz TDD)</t>
        </is>
      </c>
      <c r="Q478" s="27">
        <f>ROUNDUP(O478/'Methodology &amp; Assumptions'!$B$8, 0)</f>
        <v/>
      </c>
      <c r="R478" s="27" t="n">
        <v>1</v>
      </c>
      <c r="S478" s="26" t="n">
        <v>0.38</v>
      </c>
      <c r="T478" s="26" t="n">
        <v>0.3</v>
      </c>
      <c r="U478" s="11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26" t="n">
        <v>74.84</v>
      </c>
      <c r="W478" s="26" t="n">
        <v>63.08</v>
      </c>
      <c r="X478" s="26">
        <f>ROUND(('Methodology &amp; Assumptions'!$B$5*V478) + ('Methodology &amp; Assumptions'!$B$6*W478), 2)</f>
        <v/>
      </c>
      <c r="Y478" s="28" t="n">
        <v>8.300000000000001</v>
      </c>
      <c r="Z478" s="11" t="inlineStr">
        <is>
          <t>Priority Tier 2 (Balanced Opportunity)</t>
        </is>
      </c>
    </row>
    <row r="479">
      <c r="A479" s="23" t="n">
        <v>1</v>
      </c>
      <c r="B479" s="23" t="n">
        <v>475</v>
      </c>
      <c r="C479" s="23" t="n">
        <v>475</v>
      </c>
      <c r="D479" s="23" t="inlineStr">
        <is>
          <t>1380614037</t>
        </is>
      </c>
      <c r="E479" s="11" t="inlineStr">
        <is>
          <t>National Capital Region (NCR)</t>
        </is>
      </c>
      <c r="F479" s="11" t="inlineStr">
        <is>
          <t>First District (Not a Province)</t>
        </is>
      </c>
      <c r="G479" s="11" t="inlineStr">
        <is>
          <t>City of Manila</t>
        </is>
      </c>
      <c r="H479" s="11" t="inlineStr">
        <is>
          <t>Barangay 781</t>
        </is>
      </c>
      <c r="I479" s="24" t="n">
        <v>14.5779</v>
      </c>
      <c r="J479" s="24" t="n">
        <v>121.008485</v>
      </c>
      <c r="K479" s="23" t="inlineStr">
        <is>
          <t>U</t>
        </is>
      </c>
      <c r="L479" s="25" t="n">
        <v>4337</v>
      </c>
      <c r="M479" s="26" t="n">
        <v>4.67</v>
      </c>
      <c r="N479" s="25">
        <f>ROUND(L479/M479, 0)</f>
        <v/>
      </c>
      <c r="O479" s="25">
        <f>ROUND(N479*'Methodology &amp; Assumptions'!$B$7, 0)</f>
        <v/>
      </c>
      <c r="P479" s="23" t="inlineStr">
        <is>
          <t>Single Carrier (Band n50, 100MHz TDD)</t>
        </is>
      </c>
      <c r="Q479" s="27">
        <f>ROUNDUP(O479/'Methodology &amp; Assumptions'!$B$8, 0)</f>
        <v/>
      </c>
      <c r="R479" s="27" t="n">
        <v>1</v>
      </c>
      <c r="S479" s="26" t="n">
        <v>0.95</v>
      </c>
      <c r="T479" s="26" t="n">
        <v>0.27</v>
      </c>
      <c r="U479" s="11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26" t="n">
        <v>68.68000000000001</v>
      </c>
      <c r="W479" s="26" t="n">
        <v>69.25</v>
      </c>
      <c r="X479" s="26">
        <f>ROUND(('Methodology &amp; Assumptions'!$B$5*V479) + ('Methodology &amp; Assumptions'!$B$6*W479), 2)</f>
        <v/>
      </c>
      <c r="Y479" s="28" t="n">
        <v>10.9</v>
      </c>
      <c r="Z479" s="11" t="inlineStr">
        <is>
          <t>Priority Tier 2 (Balanced Opportunity)</t>
        </is>
      </c>
    </row>
    <row r="480">
      <c r="A480" s="23" t="n">
        <v>1</v>
      </c>
      <c r="B480" s="23" t="n">
        <v>476</v>
      </c>
      <c r="C480" s="23" t="n">
        <v>476</v>
      </c>
      <c r="D480" s="23" t="inlineStr">
        <is>
          <t>1381100179</t>
        </is>
      </c>
      <c r="E480" s="11" t="inlineStr">
        <is>
          <t>National Capital Region (NCR)</t>
        </is>
      </c>
      <c r="F480" s="11" t="inlineStr">
        <is>
          <t>Fourth District (Not a Province)</t>
        </is>
      </c>
      <c r="G480" s="11" t="inlineStr">
        <is>
          <t>Pasay City</t>
        </is>
      </c>
      <c r="H480" s="11" t="inlineStr">
        <is>
          <t>Barangay 179</t>
        </is>
      </c>
      <c r="I480" s="24" t="n">
        <v>14.530284</v>
      </c>
      <c r="J480" s="24" t="n">
        <v>121.007397</v>
      </c>
      <c r="K480" s="23" t="inlineStr">
        <is>
          <t>U</t>
        </is>
      </c>
      <c r="L480" s="25" t="n">
        <v>7649</v>
      </c>
      <c r="M480" s="26" t="n">
        <v>3.57</v>
      </c>
      <c r="N480" s="25">
        <f>ROUND(L480/M480, 0)</f>
        <v/>
      </c>
      <c r="O480" s="25">
        <f>ROUND(N480*'Methodology &amp; Assumptions'!$B$7, 0)</f>
        <v/>
      </c>
      <c r="P480" s="23" t="inlineStr">
        <is>
          <t>Single Carrier (Band n50, 100MHz TDD)</t>
        </is>
      </c>
      <c r="Q480" s="27">
        <f>ROUNDUP(O480/'Methodology &amp; Assumptions'!$B$8, 0)</f>
        <v/>
      </c>
      <c r="R480" s="27" t="n">
        <v>1</v>
      </c>
      <c r="S480" s="26" t="n">
        <v>1.14</v>
      </c>
      <c r="T480" s="26" t="n">
        <v>0.33</v>
      </c>
      <c r="U480" s="11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26" t="n">
        <v>67.95999999999999</v>
      </c>
      <c r="W480" s="26" t="n">
        <v>69.95</v>
      </c>
      <c r="X480" s="26">
        <f>ROUND(('Methodology &amp; Assumptions'!$B$5*V480) + ('Methodology &amp; Assumptions'!$B$6*W480), 2)</f>
        <v/>
      </c>
      <c r="Y480" s="28" t="n">
        <v>10.9</v>
      </c>
      <c r="Z480" s="11" t="inlineStr">
        <is>
          <t>Priority Tier 2 (Balanced Opportunity)</t>
        </is>
      </c>
    </row>
    <row r="481">
      <c r="A481" s="23" t="n">
        <v>1</v>
      </c>
      <c r="B481" s="23" t="n">
        <v>477</v>
      </c>
      <c r="C481" s="23" t="n">
        <v>477</v>
      </c>
      <c r="D481" s="23" t="inlineStr">
        <is>
          <t>0403405020</t>
        </is>
      </c>
      <c r="E481" s="11" t="inlineStr">
        <is>
          <t>Region IV-A (CALABARZON)</t>
        </is>
      </c>
      <c r="F481" s="11" t="inlineStr">
        <is>
          <t>Laguna</t>
        </is>
      </c>
      <c r="G481" s="11" t="inlineStr">
        <is>
          <t>City of Calamba</t>
        </is>
      </c>
      <c r="H481" s="11" t="inlineStr">
        <is>
          <t>Lecheria</t>
        </is>
      </c>
      <c r="I481" s="24" t="n">
        <v>14.20296</v>
      </c>
      <c r="J481" s="24" t="n">
        <v>121.16354</v>
      </c>
      <c r="K481" s="23" t="inlineStr">
        <is>
          <t>U</t>
        </is>
      </c>
      <c r="L481" s="25" t="n">
        <v>11956</v>
      </c>
      <c r="M481" s="26" t="n">
        <v>3.3</v>
      </c>
      <c r="N481" s="25">
        <f>ROUND(L481/M481, 0)</f>
        <v/>
      </c>
      <c r="O481" s="25">
        <f>ROUND(N481*'Methodology &amp; Assumptions'!$B$7, 0)</f>
        <v/>
      </c>
      <c r="P481" s="23" t="inlineStr">
        <is>
          <t>Single Carrier (Band n50, 100MHz TDD)</t>
        </is>
      </c>
      <c r="Q481" s="27">
        <f>ROUNDUP(O481/'Methodology &amp; Assumptions'!$B$8, 0)</f>
        <v/>
      </c>
      <c r="R481" s="27" t="n">
        <v>1</v>
      </c>
      <c r="S481" s="26" t="n">
        <v>1.98</v>
      </c>
      <c r="T481" s="26" t="n">
        <v>0.02</v>
      </c>
      <c r="U481" s="11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26" t="n">
        <v>74.09</v>
      </c>
      <c r="W481" s="26" t="n">
        <v>63.81</v>
      </c>
      <c r="X481" s="26">
        <f>ROUND(('Methodology &amp; Assumptions'!$B$5*V481) + ('Methodology &amp; Assumptions'!$B$6*W481), 2)</f>
        <v/>
      </c>
      <c r="Y481" s="28" t="n">
        <v>7.2</v>
      </c>
      <c r="Z481" s="11" t="inlineStr">
        <is>
          <t>Priority Tier 2 (Balanced Opportunity)</t>
        </is>
      </c>
    </row>
    <row r="482">
      <c r="A482" s="23" t="n">
        <v>1</v>
      </c>
      <c r="B482" s="23" t="n">
        <v>478</v>
      </c>
      <c r="C482" s="23" t="n">
        <v>478</v>
      </c>
      <c r="D482" s="23" t="inlineStr">
        <is>
          <t>0200901003</t>
        </is>
      </c>
      <c r="E482" s="11" t="inlineStr">
        <is>
          <t>Region II (Cagayan Valley)</t>
        </is>
      </c>
      <c r="F482" s="11" t="inlineStr">
        <is>
          <t>Batanes</t>
        </is>
      </c>
      <c r="G482" s="11" t="inlineStr">
        <is>
          <t>Basco</t>
        </is>
      </c>
      <c r="H482" s="11" t="inlineStr">
        <is>
          <t>San Antonio</t>
        </is>
      </c>
      <c r="I482" s="24" t="n">
        <v>20.451961</v>
      </c>
      <c r="J482" s="24" t="n">
        <v>121.968297</v>
      </c>
      <c r="K482" s="23" t="inlineStr">
        <is>
          <t>R</t>
        </is>
      </c>
      <c r="L482" s="25" t="n">
        <v>2260</v>
      </c>
      <c r="M482" s="26" t="n">
        <v>3</v>
      </c>
      <c r="N482" s="25">
        <f>ROUND(L482/M482, 0)</f>
        <v/>
      </c>
      <c r="O482" s="25">
        <f>ROUND(N482*'Methodology &amp; Assumptions'!$B$7, 0)</f>
        <v/>
      </c>
      <c r="P482" s="23" t="inlineStr">
        <is>
          <t>Single Carrier (Band n50, 100MHz TDD)</t>
        </is>
      </c>
      <c r="Q482" s="27">
        <f>ROUNDUP(O482/'Methodology &amp; Assumptions'!$B$8, 0)</f>
        <v/>
      </c>
      <c r="R482" s="27" t="n">
        <v>1</v>
      </c>
      <c r="S482" s="26" t="n">
        <v>224.1</v>
      </c>
      <c r="T482" s="26" t="n">
        <v>217.67</v>
      </c>
      <c r="U482" s="11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26" t="n">
        <v>60.88</v>
      </c>
      <c r="W482" s="26" t="n">
        <v>77.03</v>
      </c>
      <c r="X482" s="26">
        <f>ROUND(('Methodology &amp; Assumptions'!$B$5*V482) + ('Methodology &amp; Assumptions'!$B$6*W482), 2)</f>
        <v/>
      </c>
      <c r="Y482" s="28" t="n">
        <v>8.300000000000001</v>
      </c>
      <c r="Z482" s="11" t="inlineStr">
        <is>
          <t>Priority Tier 2 (Balanced Opportunity)</t>
        </is>
      </c>
    </row>
    <row r="483">
      <c r="A483" s="23" t="n">
        <v>1</v>
      </c>
      <c r="B483" s="23" t="n">
        <v>479</v>
      </c>
      <c r="C483" s="23" t="n">
        <v>479</v>
      </c>
      <c r="D483" s="23" t="inlineStr">
        <is>
          <t>1380400013</t>
        </is>
      </c>
      <c r="E483" s="11" t="inlineStr">
        <is>
          <t>National Capital Region (NCR)</t>
        </is>
      </c>
      <c r="F483" s="11" t="inlineStr">
        <is>
          <t>Third District (Not a Province)</t>
        </is>
      </c>
      <c r="G483" s="11" t="inlineStr">
        <is>
          <t>City of Malabon</t>
        </is>
      </c>
      <c r="H483" s="11" t="inlineStr">
        <is>
          <t>Niugan</t>
        </is>
      </c>
      <c r="I483" s="24" t="n">
        <v>14.667202</v>
      </c>
      <c r="J483" s="24" t="n">
        <v>120.953661</v>
      </c>
      <c r="K483" s="23" t="inlineStr">
        <is>
          <t>U</t>
        </is>
      </c>
      <c r="L483" s="25" t="n">
        <v>7529</v>
      </c>
      <c r="M483" s="26" t="n">
        <v>3.89</v>
      </c>
      <c r="N483" s="25">
        <f>ROUND(L483/M483, 0)</f>
        <v/>
      </c>
      <c r="O483" s="25">
        <f>ROUND(N483*'Methodology &amp; Assumptions'!$B$7, 0)</f>
        <v/>
      </c>
      <c r="P483" s="23" t="inlineStr">
        <is>
          <t>Single Carrier (Band n50, 100MHz TDD)</t>
        </is>
      </c>
      <c r="Q483" s="27">
        <f>ROUNDUP(O483/'Methodology &amp; Assumptions'!$B$8, 0)</f>
        <v/>
      </c>
      <c r="R483" s="27" t="n">
        <v>1</v>
      </c>
      <c r="S483" s="26" t="n">
        <v>0.88</v>
      </c>
      <c r="T483" s="26" t="n">
        <v>0.41</v>
      </c>
      <c r="U483" s="11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26" t="n">
        <v>68.95999999999999</v>
      </c>
      <c r="W483" s="26" t="n">
        <v>68.90000000000001</v>
      </c>
      <c r="X483" s="26">
        <f>ROUND(('Methodology &amp; Assumptions'!$B$5*V483) + ('Methodology &amp; Assumptions'!$B$6*W483), 2)</f>
        <v/>
      </c>
      <c r="Y483" s="28" t="n">
        <v>10.9</v>
      </c>
      <c r="Z483" s="11" t="inlineStr">
        <is>
          <t>Priority Tier 2 (Balanced Opportunity)</t>
        </is>
      </c>
    </row>
    <row r="484">
      <c r="A484" s="23" t="n">
        <v>1</v>
      </c>
      <c r="B484" s="23" t="n">
        <v>480</v>
      </c>
      <c r="C484" s="23" t="n">
        <v>480</v>
      </c>
      <c r="D484" s="23" t="inlineStr">
        <is>
          <t>0403410028</t>
        </is>
      </c>
      <c r="E484" s="11" t="inlineStr">
        <is>
          <t>Region IV-A (CALABARZON)</t>
        </is>
      </c>
      <c r="F484" s="11" t="inlineStr">
        <is>
          <t>Laguna</t>
        </is>
      </c>
      <c r="G484" s="11" t="inlineStr">
        <is>
          <t>Liliw</t>
        </is>
      </c>
      <c r="H484" s="11" t="inlineStr">
        <is>
          <t>Maslun</t>
        </is>
      </c>
      <c r="I484" s="24" t="n">
        <v>14.13205</v>
      </c>
      <c r="J484" s="24" t="n">
        <v>121.43858</v>
      </c>
      <c r="K484" s="23" t="inlineStr">
        <is>
          <t>R</t>
        </is>
      </c>
      <c r="L484" s="25" t="n">
        <v>3042</v>
      </c>
      <c r="M484" s="26" t="n">
        <v>3.3</v>
      </c>
      <c r="N484" s="25">
        <f>ROUND(L484/M484, 0)</f>
        <v/>
      </c>
      <c r="O484" s="25">
        <f>ROUND(N484*'Methodology &amp; Assumptions'!$B$7, 0)</f>
        <v/>
      </c>
      <c r="P484" s="23" t="inlineStr">
        <is>
          <t>Single Carrier (Band n50, 100MHz TDD)</t>
        </is>
      </c>
      <c r="Q484" s="27">
        <f>ROUNDUP(O484/'Methodology &amp; Assumptions'!$B$8, 0)</f>
        <v/>
      </c>
      <c r="R484" s="27" t="n">
        <v>1</v>
      </c>
      <c r="S484" s="26" t="n">
        <v>0.53</v>
      </c>
      <c r="T484" s="26" t="n">
        <v>0.07000000000000001</v>
      </c>
      <c r="U484" s="11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26" t="n">
        <v>85.45999999999999</v>
      </c>
      <c r="W484" s="26" t="n">
        <v>52.37</v>
      </c>
      <c r="X484" s="26">
        <f>ROUND(('Methodology &amp; Assumptions'!$B$5*V484) + ('Methodology &amp; Assumptions'!$B$6*W484), 2)</f>
        <v/>
      </c>
      <c r="Y484" s="28" t="n">
        <v>7.2</v>
      </c>
      <c r="Z484" s="11" t="inlineStr">
        <is>
          <t>Priority Tier 2 (Balanced Opportunity)</t>
        </is>
      </c>
    </row>
    <row r="485">
      <c r="A485" s="23" t="n">
        <v>1</v>
      </c>
      <c r="B485" s="23" t="n">
        <v>481</v>
      </c>
      <c r="C485" s="23" t="n">
        <v>481</v>
      </c>
      <c r="D485" s="23" t="inlineStr">
        <is>
          <t>0702219002</t>
        </is>
      </c>
      <c r="E485" s="11" t="inlineStr">
        <is>
          <t>Region VII (Central Visayas)</t>
        </is>
      </c>
      <c r="F485" s="11" t="inlineStr">
        <is>
          <t>Cebu</t>
        </is>
      </c>
      <c r="G485" s="11" t="inlineStr">
        <is>
          <t>Consolacion</t>
        </is>
      </c>
      <c r="H485" s="11" t="inlineStr">
        <is>
          <t>Cansaga</t>
        </is>
      </c>
      <c r="I485" s="24" t="n">
        <v>10.377655</v>
      </c>
      <c r="J485" s="24" t="n">
        <v>123.961562</v>
      </c>
      <c r="K485" s="23" t="inlineStr">
        <is>
          <t>U</t>
        </is>
      </c>
      <c r="L485" s="25" t="n">
        <v>6651</v>
      </c>
      <c r="M485" s="26" t="n">
        <v>3.8</v>
      </c>
      <c r="N485" s="25">
        <f>ROUND(L485/M485, 0)</f>
        <v/>
      </c>
      <c r="O485" s="25">
        <f>ROUND(N485*'Methodology &amp; Assumptions'!$B$7, 0)</f>
        <v/>
      </c>
      <c r="P485" s="23" t="inlineStr">
        <is>
          <t>Single Carrier (Band n50, 100MHz TDD)</t>
        </is>
      </c>
      <c r="Q485" s="27">
        <f>ROUNDUP(O485/'Methodology &amp; Assumptions'!$B$8, 0)</f>
        <v/>
      </c>
      <c r="R485" s="27" t="n">
        <v>1</v>
      </c>
      <c r="S485" s="26" t="n">
        <v>0.33</v>
      </c>
      <c r="T485" s="26" t="n">
        <v>0.06</v>
      </c>
      <c r="U485" s="11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26" t="n">
        <v>80.86</v>
      </c>
      <c r="W485" s="26" t="n">
        <v>56.96</v>
      </c>
      <c r="X485" s="26">
        <f>ROUND(('Methodology &amp; Assumptions'!$B$5*V485) + ('Methodology &amp; Assumptions'!$B$6*W485), 2)</f>
        <v/>
      </c>
      <c r="Y485" s="28" t="n">
        <v>23.7</v>
      </c>
      <c r="Z485" s="11" t="inlineStr">
        <is>
          <t>Priority Tier 2 (Balanced Opportunity)</t>
        </is>
      </c>
    </row>
    <row r="486">
      <c r="A486" s="23" t="n">
        <v>1</v>
      </c>
      <c r="B486" s="23" t="n">
        <v>482</v>
      </c>
      <c r="C486" s="23" t="n">
        <v>482</v>
      </c>
      <c r="D486" s="23" t="inlineStr">
        <is>
          <t>1381100065</t>
        </is>
      </c>
      <c r="E486" s="11" t="inlineStr">
        <is>
          <t>National Capital Region (NCR)</t>
        </is>
      </c>
      <c r="F486" s="11" t="inlineStr">
        <is>
          <t>Fourth District (Not a Province)</t>
        </is>
      </c>
      <c r="G486" s="11" t="inlineStr">
        <is>
          <t>Pasay City</t>
        </is>
      </c>
      <c r="H486" s="11" t="inlineStr">
        <is>
          <t>Barangay 65</t>
        </is>
      </c>
      <c r="I486" s="24" t="n">
        <v>14.551478</v>
      </c>
      <c r="J486" s="24" t="n">
        <v>121.003447</v>
      </c>
      <c r="K486" s="23" t="inlineStr">
        <is>
          <t>U</t>
        </is>
      </c>
      <c r="L486" s="25" t="n">
        <v>2869</v>
      </c>
      <c r="M486" s="26" t="n">
        <v>3.44</v>
      </c>
      <c r="N486" s="25">
        <f>ROUND(L486/M486, 0)</f>
        <v/>
      </c>
      <c r="O486" s="25">
        <f>ROUND(N486*'Methodology &amp; Assumptions'!$B$7, 0)</f>
        <v/>
      </c>
      <c r="P486" s="23" t="inlineStr">
        <is>
          <t>Single Carrier (Band n50, 100MHz TDD)</t>
        </is>
      </c>
      <c r="Q486" s="27">
        <f>ROUNDUP(O486/'Methodology &amp; Assumptions'!$B$8, 0)</f>
        <v/>
      </c>
      <c r="R486" s="27" t="n">
        <v>1</v>
      </c>
      <c r="S486" s="26" t="n">
        <v>0.88</v>
      </c>
      <c r="T486" s="26" t="n">
        <v>0.3</v>
      </c>
      <c r="U486" s="11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26" t="n">
        <v>67.73</v>
      </c>
      <c r="W486" s="26" t="n">
        <v>70.06999999999999</v>
      </c>
      <c r="X486" s="26">
        <f>ROUND(('Methodology &amp; Assumptions'!$B$5*V486) + ('Methodology &amp; Assumptions'!$B$6*W486), 2)</f>
        <v/>
      </c>
      <c r="Y486" s="28" t="n">
        <v>10.9</v>
      </c>
      <c r="Z486" s="11" t="inlineStr">
        <is>
          <t>Priority Tier 2 (Balanced Opportunity)</t>
        </is>
      </c>
    </row>
    <row r="487">
      <c r="A487" s="23" t="n">
        <v>1</v>
      </c>
      <c r="B487" s="23" t="n">
        <v>483</v>
      </c>
      <c r="C487" s="23" t="n">
        <v>483</v>
      </c>
      <c r="D487" s="23" t="inlineStr">
        <is>
          <t>1380611043</t>
        </is>
      </c>
      <c r="E487" s="11" t="inlineStr">
        <is>
          <t>National Capital Region (NCR)</t>
        </is>
      </c>
      <c r="F487" s="11" t="inlineStr">
        <is>
          <t>First District (Not a Province)</t>
        </is>
      </c>
      <c r="G487" s="11" t="inlineStr">
        <is>
          <t>City of Manila</t>
        </is>
      </c>
      <c r="H487" s="11" t="inlineStr">
        <is>
          <t>Barangay 828</t>
        </is>
      </c>
      <c r="I487" s="24" t="n">
        <v>14.586042</v>
      </c>
      <c r="J487" s="24" t="n">
        <v>120.998062</v>
      </c>
      <c r="K487" s="23" t="inlineStr">
        <is>
          <t>U</t>
        </is>
      </c>
      <c r="L487" s="25" t="n">
        <v>2715</v>
      </c>
      <c r="M487" s="26" t="n">
        <v>3.39</v>
      </c>
      <c r="N487" s="25">
        <f>ROUND(L487/M487, 0)</f>
        <v/>
      </c>
      <c r="O487" s="25">
        <f>ROUND(N487*'Methodology &amp; Assumptions'!$B$7, 0)</f>
        <v/>
      </c>
      <c r="P487" s="23" t="inlineStr">
        <is>
          <t>Single Carrier (Band n50, 100MHz TDD)</t>
        </is>
      </c>
      <c r="Q487" s="27">
        <f>ROUNDUP(O487/'Methodology &amp; Assumptions'!$B$8, 0)</f>
        <v/>
      </c>
      <c r="R487" s="27" t="n">
        <v>1</v>
      </c>
      <c r="S487" s="26" t="n">
        <v>0.54</v>
      </c>
      <c r="T487" s="26" t="n">
        <v>0.37</v>
      </c>
      <c r="U487" s="11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26" t="n">
        <v>66.8</v>
      </c>
      <c r="W487" s="26" t="n">
        <v>70.98999999999999</v>
      </c>
      <c r="X487" s="26">
        <f>ROUND(('Methodology &amp; Assumptions'!$B$5*V487) + ('Methodology &amp; Assumptions'!$B$6*W487), 2)</f>
        <v/>
      </c>
      <c r="Y487" s="28" t="n">
        <v>10.9</v>
      </c>
      <c r="Z487" s="11" t="inlineStr">
        <is>
          <t>Priority Tier 2 (Balanced Opportunity)</t>
        </is>
      </c>
    </row>
    <row r="488">
      <c r="A488" s="23" t="n">
        <v>1</v>
      </c>
      <c r="B488" s="23" t="n">
        <v>484</v>
      </c>
      <c r="C488" s="23" t="n">
        <v>484</v>
      </c>
      <c r="D488" s="23" t="inlineStr">
        <is>
          <t>0401005068</t>
        </is>
      </c>
      <c r="E488" s="11" t="inlineStr">
        <is>
          <t>Region IV-A (CALABARZON)</t>
        </is>
      </c>
      <c r="F488" s="11" t="inlineStr">
        <is>
          <t>Batangas</t>
        </is>
      </c>
      <c r="G488" s="11" t="inlineStr">
        <is>
          <t>Batangas City</t>
        </is>
      </c>
      <c r="H488" s="11" t="inlineStr">
        <is>
          <t>Barangay 21</t>
        </is>
      </c>
      <c r="I488" s="24" t="n">
        <v>13.756228</v>
      </c>
      <c r="J488" s="24" t="n">
        <v>121.053934</v>
      </c>
      <c r="K488" s="23" t="inlineStr">
        <is>
          <t>R</t>
        </is>
      </c>
      <c r="L488" s="25" t="n">
        <v>700</v>
      </c>
      <c r="M488" s="26" t="n">
        <v>3.6</v>
      </c>
      <c r="N488" s="25">
        <f>ROUND(L488/M488, 0)</f>
        <v/>
      </c>
      <c r="O488" s="25">
        <f>ROUND(N488*'Methodology &amp; Assumptions'!$B$7, 0)</f>
        <v/>
      </c>
      <c r="P488" s="23" t="inlineStr">
        <is>
          <t>Single Carrier (Band n50, 100MHz TDD)</t>
        </is>
      </c>
      <c r="Q488" s="27">
        <f>ROUNDUP(O488/'Methodology &amp; Assumptions'!$B$8, 0)</f>
        <v/>
      </c>
      <c r="R488" s="27" t="n">
        <v>1</v>
      </c>
      <c r="S488" s="26" t="n">
        <v>0.75</v>
      </c>
      <c r="T488" s="26" t="n">
        <v>0.47</v>
      </c>
      <c r="U488" s="11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26" t="n">
        <v>65.17</v>
      </c>
      <c r="W488" s="26" t="n">
        <v>72.61</v>
      </c>
      <c r="X488" s="26">
        <f>ROUND(('Methodology &amp; Assumptions'!$B$5*V488) + ('Methodology &amp; Assumptions'!$B$6*W488), 2)</f>
        <v/>
      </c>
      <c r="Y488" s="28" t="n">
        <v>7.2</v>
      </c>
      <c r="Z488" s="11" t="inlineStr">
        <is>
          <t>Priority Tier 2 (Balanced Opportunity)</t>
        </is>
      </c>
    </row>
    <row r="489">
      <c r="A489" s="23" t="n">
        <v>1</v>
      </c>
      <c r="B489" s="23" t="n">
        <v>485</v>
      </c>
      <c r="C489" s="23" t="n">
        <v>485</v>
      </c>
      <c r="D489" s="23" t="inlineStr">
        <is>
          <t>1380700003</t>
        </is>
      </c>
      <c r="E489" s="11" t="inlineStr">
        <is>
          <t>National Capital Region (NCR)</t>
        </is>
      </c>
      <c r="F489" s="11" t="inlineStr">
        <is>
          <t>Second District (Not a Province)</t>
        </is>
      </c>
      <c r="G489" s="11" t="inlineStr">
        <is>
          <t>City of Marikina</t>
        </is>
      </c>
      <c r="H489" s="11" t="inlineStr">
        <is>
          <t>Concepcion Uno</t>
        </is>
      </c>
      <c r="I489" s="24" t="n">
        <v>14.653164</v>
      </c>
      <c r="J489" s="24" t="n">
        <v>121.10451</v>
      </c>
      <c r="K489" s="23" t="inlineStr">
        <is>
          <t>U</t>
        </is>
      </c>
      <c r="L489" s="25" t="n">
        <v>46629</v>
      </c>
      <c r="M489" s="26" t="n">
        <v>3.99</v>
      </c>
      <c r="N489" s="25">
        <f>ROUND(L489/M489, 0)</f>
        <v/>
      </c>
      <c r="O489" s="25">
        <f>ROUND(N489*'Methodology &amp; Assumptions'!$B$7, 0)</f>
        <v/>
      </c>
      <c r="P489" s="23" t="inlineStr">
        <is>
          <t>Single Carrier (Band n50, 100MHz TDD)</t>
        </is>
      </c>
      <c r="Q489" s="27">
        <f>ROUNDUP(O489/'Methodology &amp; Assumptions'!$B$8, 0)</f>
        <v/>
      </c>
      <c r="R489" s="27" t="n">
        <v>1</v>
      </c>
      <c r="S489" s="26" t="n">
        <v>0.33</v>
      </c>
      <c r="T489" s="26" t="n">
        <v>0.25</v>
      </c>
      <c r="U489" s="11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26" t="n">
        <v>66.68000000000001</v>
      </c>
      <c r="W489" s="26" t="n">
        <v>71.08</v>
      </c>
      <c r="X489" s="26">
        <f>ROUND(('Methodology &amp; Assumptions'!$B$5*V489) + ('Methodology &amp; Assumptions'!$B$6*W489), 2)</f>
        <v/>
      </c>
      <c r="Y489" s="28" t="n">
        <v>10.9</v>
      </c>
      <c r="Z489" s="11" t="inlineStr">
        <is>
          <t>Priority Tier 2 (Balanced Opportunity)</t>
        </is>
      </c>
    </row>
    <row r="490">
      <c r="A490" s="23" t="n">
        <v>1</v>
      </c>
      <c r="B490" s="23" t="n">
        <v>486</v>
      </c>
      <c r="C490" s="23" t="n">
        <v>486</v>
      </c>
      <c r="D490" s="23" t="inlineStr">
        <is>
          <t>0403405039</t>
        </is>
      </c>
      <c r="E490" s="11" t="inlineStr">
        <is>
          <t>Region IV-A (CALABARZON)</t>
        </is>
      </c>
      <c r="F490" s="11" t="inlineStr">
        <is>
          <t>Laguna</t>
        </is>
      </c>
      <c r="G490" s="11" t="inlineStr">
        <is>
          <t>City of Calamba</t>
        </is>
      </c>
      <c r="H490" s="11" t="inlineStr">
        <is>
          <t>Barangay 2</t>
        </is>
      </c>
      <c r="I490" s="24" t="n">
        <v>14.213079</v>
      </c>
      <c r="J490" s="24" t="n">
        <v>121.161043</v>
      </c>
      <c r="K490" s="23" t="inlineStr">
        <is>
          <t>U</t>
        </is>
      </c>
      <c r="L490" s="25" t="n">
        <v>11649</v>
      </c>
      <c r="M490" s="26" t="n">
        <v>3.3</v>
      </c>
      <c r="N490" s="25">
        <f>ROUND(L490/M490, 0)</f>
        <v/>
      </c>
      <c r="O490" s="25">
        <f>ROUND(N490*'Methodology &amp; Assumptions'!$B$7, 0)</f>
        <v/>
      </c>
      <c r="P490" s="23" t="inlineStr">
        <is>
          <t>Single Carrier (Band n50, 100MHz TDD)</t>
        </is>
      </c>
      <c r="Q490" s="27">
        <f>ROUNDUP(O490/'Methodology &amp; Assumptions'!$B$8, 0)</f>
        <v/>
      </c>
      <c r="R490" s="27" t="n">
        <v>1</v>
      </c>
      <c r="S490" s="26" t="n">
        <v>2.38</v>
      </c>
      <c r="T490" s="26" t="n">
        <v>0.22</v>
      </c>
      <c r="U490" s="11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26" t="n">
        <v>72.75</v>
      </c>
      <c r="W490" s="26" t="n">
        <v>64.98999999999999</v>
      </c>
      <c r="X490" s="26">
        <f>ROUND(('Methodology &amp; Assumptions'!$B$5*V490) + ('Methodology &amp; Assumptions'!$B$6*W490), 2)</f>
        <v/>
      </c>
      <c r="Y490" s="28" t="n">
        <v>7.2</v>
      </c>
      <c r="Z490" s="11" t="inlineStr">
        <is>
          <t>Priority Tier 2 (Balanced Opportunity)</t>
        </is>
      </c>
    </row>
    <row r="491">
      <c r="A491" s="23" t="n">
        <v>1</v>
      </c>
      <c r="B491" s="23" t="n">
        <v>487</v>
      </c>
      <c r="C491" s="23" t="n">
        <v>487</v>
      </c>
      <c r="D491" s="23" t="inlineStr">
        <is>
          <t>0301412021</t>
        </is>
      </c>
      <c r="E491" s="11" t="inlineStr">
        <is>
          <t>Region III (Central Luzon)</t>
        </is>
      </c>
      <c r="F491" s="11" t="inlineStr">
        <is>
          <t>Bulacan</t>
        </is>
      </c>
      <c r="G491" s="11" t="inlineStr">
        <is>
          <t>City of Meycauayan</t>
        </is>
      </c>
      <c r="H491" s="11" t="inlineStr">
        <is>
          <t>Saluysoy</t>
        </is>
      </c>
      <c r="I491" s="24" t="n">
        <v>14.743155</v>
      </c>
      <c r="J491" s="24" t="n">
        <v>120.955807</v>
      </c>
      <c r="K491" s="23" t="inlineStr">
        <is>
          <t>U</t>
        </is>
      </c>
      <c r="L491" s="25" t="n">
        <v>11523</v>
      </c>
      <c r="M491" s="26" t="n">
        <v>3.5</v>
      </c>
      <c r="N491" s="25">
        <f>ROUND(L491/M491, 0)</f>
        <v/>
      </c>
      <c r="O491" s="25">
        <f>ROUND(N491*'Methodology &amp; Assumptions'!$B$7, 0)</f>
        <v/>
      </c>
      <c r="P491" s="23" t="inlineStr">
        <is>
          <t>Single Carrier (Band n50, 100MHz TDD)</t>
        </is>
      </c>
      <c r="Q491" s="27">
        <f>ROUNDUP(O491/'Methodology &amp; Assumptions'!$B$8, 0)</f>
        <v/>
      </c>
      <c r="R491" s="27" t="n">
        <v>1</v>
      </c>
      <c r="S491" s="26" t="n">
        <v>0.72</v>
      </c>
      <c r="T491" s="26" t="n">
        <v>0.34</v>
      </c>
      <c r="U491" s="11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26" t="n">
        <v>78.43000000000001</v>
      </c>
      <c r="W491" s="26" t="n">
        <v>59.28</v>
      </c>
      <c r="X491" s="26">
        <f>ROUND(('Methodology &amp; Assumptions'!$B$5*V491) + ('Methodology &amp; Assumptions'!$B$6*W491), 2)</f>
        <v/>
      </c>
      <c r="Y491" s="28" t="n">
        <v>8.300000000000001</v>
      </c>
      <c r="Z491" s="11" t="inlineStr">
        <is>
          <t>Priority Tier 2 (Balanced Opportunity)</t>
        </is>
      </c>
    </row>
    <row r="492">
      <c r="A492" s="23" t="n">
        <v>1</v>
      </c>
      <c r="B492" s="23" t="n">
        <v>488</v>
      </c>
      <c r="C492" s="23" t="n">
        <v>488</v>
      </c>
      <c r="D492" s="23" t="inlineStr">
        <is>
          <t>1381300034</t>
        </is>
      </c>
      <c r="E492" s="11" t="inlineStr">
        <is>
          <t>National Capital Region (NCR)</t>
        </is>
      </c>
      <c r="F492" s="11" t="inlineStr">
        <is>
          <t>Second District (Not a Province)</t>
        </is>
      </c>
      <c r="G492" s="11" t="inlineStr">
        <is>
          <t>Quezon City</t>
        </is>
      </c>
      <c r="H492" s="11" t="inlineStr">
        <is>
          <t>Duyan-duyan</t>
        </is>
      </c>
      <c r="I492" s="24" t="n">
        <v>14.63039</v>
      </c>
      <c r="J492" s="24" t="n">
        <v>121.067</v>
      </c>
      <c r="K492" s="23" t="inlineStr">
        <is>
          <t>U</t>
        </is>
      </c>
      <c r="L492" s="25" t="n">
        <v>3390</v>
      </c>
      <c r="M492" s="26" t="n">
        <v>3.61</v>
      </c>
      <c r="N492" s="25">
        <f>ROUND(L492/M492, 0)</f>
        <v/>
      </c>
      <c r="O492" s="25">
        <f>ROUND(N492*'Methodology &amp; Assumptions'!$B$7, 0)</f>
        <v/>
      </c>
      <c r="P492" s="23" t="inlineStr">
        <is>
          <t>Single Carrier (Band n50, 100MHz TDD)</t>
        </is>
      </c>
      <c r="Q492" s="27">
        <f>ROUNDUP(O492/'Methodology &amp; Assumptions'!$B$8, 0)</f>
        <v/>
      </c>
      <c r="R492" s="27" t="n">
        <v>1</v>
      </c>
      <c r="S492" s="26" t="n">
        <v>0.49</v>
      </c>
      <c r="T492" s="26" t="n">
        <v>0.21</v>
      </c>
      <c r="U492" s="11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26" t="n">
        <v>69.09</v>
      </c>
      <c r="W492" s="26" t="n">
        <v>68.61</v>
      </c>
      <c r="X492" s="26">
        <f>ROUND(('Methodology &amp; Assumptions'!$B$5*V492) + ('Methodology &amp; Assumptions'!$B$6*W492), 2)</f>
        <v/>
      </c>
      <c r="Y492" s="28" t="n">
        <v>10.9</v>
      </c>
      <c r="Z492" s="11" t="inlineStr">
        <is>
          <t>Priority Tier 2 (Balanced Opportunity)</t>
        </is>
      </c>
    </row>
    <row r="493">
      <c r="A493" s="23" t="n">
        <v>1</v>
      </c>
      <c r="B493" s="23" t="n">
        <v>489</v>
      </c>
      <c r="C493" s="23" t="n">
        <v>489</v>
      </c>
      <c r="D493" s="23" t="inlineStr">
        <is>
          <t>1380500018</t>
        </is>
      </c>
      <c r="E493" s="11" t="inlineStr">
        <is>
          <t>National Capital Region (NCR)</t>
        </is>
      </c>
      <c r="F493" s="11" t="inlineStr">
        <is>
          <t>Second District (Not a Province)</t>
        </is>
      </c>
      <c r="G493" s="11" t="inlineStr">
        <is>
          <t>City of Mandaluyong</t>
        </is>
      </c>
      <c r="H493" s="11" t="inlineStr">
        <is>
          <t>Namayan</t>
        </is>
      </c>
      <c r="I493" s="24" t="n">
        <v>14.57974</v>
      </c>
      <c r="J493" s="24" t="n">
        <v>121.0207</v>
      </c>
      <c r="K493" s="23" t="inlineStr">
        <is>
          <t>U</t>
        </is>
      </c>
      <c r="L493" s="25" t="n">
        <v>8185</v>
      </c>
      <c r="M493" s="26" t="n">
        <v>3.33</v>
      </c>
      <c r="N493" s="25">
        <f>ROUND(L493/M493, 0)</f>
        <v/>
      </c>
      <c r="O493" s="25">
        <f>ROUND(N493*'Methodology &amp; Assumptions'!$B$7, 0)</f>
        <v/>
      </c>
      <c r="P493" s="23" t="inlineStr">
        <is>
          <t>Single Carrier (Band n50, 100MHz TDD)</t>
        </is>
      </c>
      <c r="Q493" s="27">
        <f>ROUNDUP(O493/'Methodology &amp; Assumptions'!$B$8, 0)</f>
        <v/>
      </c>
      <c r="R493" s="27" t="n">
        <v>1</v>
      </c>
      <c r="S493" s="26" t="n">
        <v>0.9</v>
      </c>
      <c r="T493" s="26" t="n">
        <v>0.63</v>
      </c>
      <c r="U493" s="11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26" t="n">
        <v>68.86</v>
      </c>
      <c r="W493" s="26" t="n">
        <v>68.84</v>
      </c>
      <c r="X493" s="26">
        <f>ROUND(('Methodology &amp; Assumptions'!$B$5*V493) + ('Methodology &amp; Assumptions'!$B$6*W493), 2)</f>
        <v/>
      </c>
      <c r="Y493" s="28" t="n">
        <v>10.9</v>
      </c>
      <c r="Z493" s="11" t="inlineStr">
        <is>
          <t>Priority Tier 2 (Balanced Opportunity)</t>
        </is>
      </c>
    </row>
    <row r="494">
      <c r="A494" s="23" t="n">
        <v>1</v>
      </c>
      <c r="B494" s="23" t="n">
        <v>490</v>
      </c>
      <c r="C494" s="23" t="n">
        <v>490</v>
      </c>
      <c r="D494" s="23" t="inlineStr">
        <is>
          <t>1380700013</t>
        </is>
      </c>
      <c r="E494" s="11" t="inlineStr">
        <is>
          <t>National Capital Region (NCR)</t>
        </is>
      </c>
      <c r="F494" s="11" t="inlineStr">
        <is>
          <t>Second District (Not a Province)</t>
        </is>
      </c>
      <c r="G494" s="11" t="inlineStr">
        <is>
          <t>City of Marikina</t>
        </is>
      </c>
      <c r="H494" s="11" t="inlineStr">
        <is>
          <t>Marikina Heights</t>
        </is>
      </c>
      <c r="I494" s="24" t="n">
        <v>14.649703</v>
      </c>
      <c r="J494" s="24" t="n">
        <v>121.117334</v>
      </c>
      <c r="K494" s="23" t="inlineStr">
        <is>
          <t>U</t>
        </is>
      </c>
      <c r="L494" s="25" t="n">
        <v>45968</v>
      </c>
      <c r="M494" s="26" t="n">
        <v>4.25</v>
      </c>
      <c r="N494" s="25">
        <f>ROUND(L494/M494, 0)</f>
        <v/>
      </c>
      <c r="O494" s="25">
        <f>ROUND(N494*'Methodology &amp; Assumptions'!$B$7, 0)</f>
        <v/>
      </c>
      <c r="P494" s="23" t="inlineStr">
        <is>
          <t>Single Carrier (Band n50, 100MHz TDD)</t>
        </is>
      </c>
      <c r="Q494" s="27">
        <f>ROUNDUP(O494/'Methodology &amp; Assumptions'!$B$8, 0)</f>
        <v/>
      </c>
      <c r="R494" s="27" t="n">
        <v>1</v>
      </c>
      <c r="S494" s="26" t="n">
        <v>0.52</v>
      </c>
      <c r="T494" s="26" t="n">
        <v>0.33</v>
      </c>
      <c r="U494" s="11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26" t="n">
        <v>66.84999999999999</v>
      </c>
      <c r="W494" s="26" t="n">
        <v>70.84999999999999</v>
      </c>
      <c r="X494" s="26">
        <f>ROUND(('Methodology &amp; Assumptions'!$B$5*V494) + ('Methodology &amp; Assumptions'!$B$6*W494), 2)</f>
        <v/>
      </c>
      <c r="Y494" s="28" t="n">
        <v>10.9</v>
      </c>
      <c r="Z494" s="11" t="inlineStr">
        <is>
          <t>Priority Tier 2 (Balanced Opportunity)</t>
        </is>
      </c>
    </row>
    <row r="495">
      <c r="A495" s="23" t="n">
        <v>1</v>
      </c>
      <c r="B495" s="23" t="n">
        <v>491</v>
      </c>
      <c r="C495" s="23" t="n">
        <v>491</v>
      </c>
      <c r="D495" s="23" t="inlineStr">
        <is>
          <t>0403403012</t>
        </is>
      </c>
      <c r="E495" s="11" t="inlineStr">
        <is>
          <t>Region IV-A (CALABARZON)</t>
        </is>
      </c>
      <c r="F495" s="11" t="inlineStr">
        <is>
          <t>Laguna</t>
        </is>
      </c>
      <c r="G495" s="11" t="inlineStr">
        <is>
          <t>City of Biñan</t>
        </is>
      </c>
      <c r="H495" s="11" t="inlineStr">
        <is>
          <t>Malaban</t>
        </is>
      </c>
      <c r="I495" s="24" t="n">
        <v>14.347139</v>
      </c>
      <c r="J495" s="24" t="n">
        <v>121.087419</v>
      </c>
      <c r="K495" s="23" t="inlineStr">
        <is>
          <t>U</t>
        </is>
      </c>
      <c r="L495" s="25" t="n">
        <v>39450</v>
      </c>
      <c r="M495" s="26" t="n">
        <v>3.3</v>
      </c>
      <c r="N495" s="25">
        <f>ROUND(L495/M495, 0)</f>
        <v/>
      </c>
      <c r="O495" s="25">
        <f>ROUND(N495*'Methodology &amp; Assumptions'!$B$7, 0)</f>
        <v/>
      </c>
      <c r="P495" s="23" t="inlineStr">
        <is>
          <t>Single Carrier (Band n50, 100MHz TDD)</t>
        </is>
      </c>
      <c r="Q495" s="27">
        <f>ROUNDUP(O495/'Methodology &amp; Assumptions'!$B$8, 0)</f>
        <v/>
      </c>
      <c r="R495" s="27" t="n">
        <v>1</v>
      </c>
      <c r="S495" s="26" t="n">
        <v>1.57</v>
      </c>
      <c r="T495" s="26" t="n">
        <v>0.92</v>
      </c>
      <c r="U495" s="11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26" t="n">
        <v>74.42</v>
      </c>
      <c r="W495" s="26" t="n">
        <v>63.26</v>
      </c>
      <c r="X495" s="26">
        <f>ROUND(('Methodology &amp; Assumptions'!$B$5*V495) + ('Methodology &amp; Assumptions'!$B$6*W495), 2)</f>
        <v/>
      </c>
      <c r="Y495" s="28" t="n">
        <v>7.2</v>
      </c>
      <c r="Z495" s="11" t="inlineStr">
        <is>
          <t>Priority Tier 2 (Balanced Opportunity)</t>
        </is>
      </c>
    </row>
    <row r="496">
      <c r="A496" s="23" t="n">
        <v>1</v>
      </c>
      <c r="B496" s="23" t="n">
        <v>492</v>
      </c>
      <c r="C496" s="23" t="n">
        <v>492</v>
      </c>
      <c r="D496" s="23" t="inlineStr">
        <is>
          <t>0301410015</t>
        </is>
      </c>
      <c r="E496" s="11" t="inlineStr">
        <is>
          <t>Region III (Central Luzon)</t>
        </is>
      </c>
      <c r="F496" s="11" t="inlineStr">
        <is>
          <t>Bulacan</t>
        </is>
      </c>
      <c r="G496" s="11" t="inlineStr">
        <is>
          <t>City of Malolos</t>
        </is>
      </c>
      <c r="H496" s="11" t="inlineStr">
        <is>
          <t>Guinhawa</t>
        </is>
      </c>
      <c r="I496" s="24" t="n">
        <v>14.85352</v>
      </c>
      <c r="J496" s="24" t="n">
        <v>120.817602</v>
      </c>
      <c r="K496" s="23" t="inlineStr">
        <is>
          <t>U</t>
        </is>
      </c>
      <c r="L496" s="25" t="n">
        <v>4408</v>
      </c>
      <c r="M496" s="26" t="n">
        <v>3.5</v>
      </c>
      <c r="N496" s="25">
        <f>ROUND(L496/M496, 0)</f>
        <v/>
      </c>
      <c r="O496" s="25">
        <f>ROUND(N496*'Methodology &amp; Assumptions'!$B$7, 0)</f>
        <v/>
      </c>
      <c r="P496" s="23" t="inlineStr">
        <is>
          <t>Single Carrier (Band n50, 100MHz TDD)</t>
        </is>
      </c>
      <c r="Q496" s="27">
        <f>ROUNDUP(O496/'Methodology &amp; Assumptions'!$B$8, 0)</f>
        <v/>
      </c>
      <c r="R496" s="27" t="n">
        <v>1</v>
      </c>
      <c r="S496" s="26" t="n">
        <v>0.18</v>
      </c>
      <c r="T496" s="26" t="n">
        <v>0.18</v>
      </c>
      <c r="U496" s="11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26" t="n">
        <v>78.43000000000001</v>
      </c>
      <c r="W496" s="26" t="n">
        <v>59.22</v>
      </c>
      <c r="X496" s="26">
        <f>ROUND(('Methodology &amp; Assumptions'!$B$5*V496) + ('Methodology &amp; Assumptions'!$B$6*W496), 2)</f>
        <v/>
      </c>
      <c r="Y496" s="28" t="n">
        <v>8.300000000000001</v>
      </c>
      <c r="Z496" s="11" t="inlineStr">
        <is>
          <t>Priority Tier 2 (Balanced Opportunity)</t>
        </is>
      </c>
    </row>
    <row r="497">
      <c r="A497" s="23" t="n">
        <v>1</v>
      </c>
      <c r="B497" s="23" t="n">
        <v>493</v>
      </c>
      <c r="C497" s="23" t="n">
        <v>493</v>
      </c>
      <c r="D497" s="23" t="inlineStr">
        <is>
          <t>0306916078</t>
        </is>
      </c>
      <c r="E497" s="11" t="inlineStr">
        <is>
          <t>Region III (Central Luzon)</t>
        </is>
      </c>
      <c r="F497" s="11" t="inlineStr">
        <is>
          <t>Tarlac</t>
        </is>
      </c>
      <c r="G497" s="11" t="inlineStr">
        <is>
          <t>City of Tarlac</t>
        </is>
      </c>
      <c r="H497" s="11" t="inlineStr">
        <is>
          <t>Santo Cristo</t>
        </is>
      </c>
      <c r="I497" s="24" t="n">
        <v>15.487587</v>
      </c>
      <c r="J497" s="24" t="n">
        <v>120.595221</v>
      </c>
      <c r="K497" s="23" t="inlineStr">
        <is>
          <t>U</t>
        </is>
      </c>
      <c r="L497" s="25" t="n">
        <v>3012</v>
      </c>
      <c r="M497" s="26" t="n">
        <v>3.9</v>
      </c>
      <c r="N497" s="25">
        <f>ROUND(L497/M497, 0)</f>
        <v/>
      </c>
      <c r="O497" s="25">
        <f>ROUND(N497*'Methodology &amp; Assumptions'!$B$7, 0)</f>
        <v/>
      </c>
      <c r="P497" s="23" t="inlineStr">
        <is>
          <t>Single Carrier (Band n50, 100MHz TDD)</t>
        </is>
      </c>
      <c r="Q497" s="27">
        <f>ROUNDUP(O497/'Methodology &amp; Assumptions'!$B$8, 0)</f>
        <v/>
      </c>
      <c r="R497" s="27" t="n">
        <v>1</v>
      </c>
      <c r="S497" s="26" t="n">
        <v>1.94</v>
      </c>
      <c r="T497" s="26" t="n">
        <v>0.12</v>
      </c>
      <c r="U497" s="11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26" t="n">
        <v>72.93000000000001</v>
      </c>
      <c r="W497" s="26" t="n">
        <v>64.73999999999999</v>
      </c>
      <c r="X497" s="26">
        <f>ROUND(('Methodology &amp; Assumptions'!$B$5*V497) + ('Methodology &amp; Assumptions'!$B$6*W497), 2)</f>
        <v/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1</v>
      </c>
      <c r="B498" s="23" t="n">
        <v>494</v>
      </c>
      <c r="C498" s="23" t="n">
        <v>494</v>
      </c>
      <c r="D498" s="23" t="inlineStr">
        <is>
          <t>1380200018</t>
        </is>
      </c>
      <c r="E498" s="11" t="inlineStr">
        <is>
          <t>National Capital Region (NCR)</t>
        </is>
      </c>
      <c r="F498" s="11" t="inlineStr">
        <is>
          <t>Fourth District (Not a Province)</t>
        </is>
      </c>
      <c r="G498" s="11" t="inlineStr">
        <is>
          <t>City of Las Piñas</t>
        </is>
      </c>
      <c r="H498" s="11" t="inlineStr">
        <is>
          <t>Talon Tres</t>
        </is>
      </c>
      <c r="I498" s="24" t="n">
        <v>14.442151</v>
      </c>
      <c r="J498" s="24" t="n">
        <v>121.001388</v>
      </c>
      <c r="K498" s="23" t="inlineStr">
        <is>
          <t>U</t>
        </is>
      </c>
      <c r="L498" s="25" t="n">
        <v>33192</v>
      </c>
      <c r="M498" s="26" t="n">
        <v>4</v>
      </c>
      <c r="N498" s="25">
        <f>ROUND(L498/M498, 0)</f>
        <v/>
      </c>
      <c r="O498" s="25">
        <f>ROUND(N498*'Methodology &amp; Assumptions'!$B$7, 0)</f>
        <v/>
      </c>
      <c r="P498" s="23" t="inlineStr">
        <is>
          <t>Single Carrier (Band n50, 100MHz TDD)</t>
        </is>
      </c>
      <c r="Q498" s="27">
        <f>ROUNDUP(O498/'Methodology &amp; Assumptions'!$B$8, 0)</f>
        <v/>
      </c>
      <c r="R498" s="27" t="n">
        <v>1</v>
      </c>
      <c r="S498" s="26" t="n">
        <v>0.67</v>
      </c>
      <c r="T498" s="26" t="n">
        <v>0.25</v>
      </c>
      <c r="U498" s="11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26" t="n">
        <v>67.45</v>
      </c>
      <c r="W498" s="26" t="n">
        <v>70.20999999999999</v>
      </c>
      <c r="X498" s="26">
        <f>ROUND(('Methodology &amp; Assumptions'!$B$5*V498) + ('Methodology &amp; Assumptions'!$B$6*W498), 2)</f>
        <v/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1</v>
      </c>
      <c r="B499" s="23" t="n">
        <v>495</v>
      </c>
      <c r="C499" s="23" t="n">
        <v>495</v>
      </c>
      <c r="D499" s="23" t="inlineStr">
        <is>
          <t>0403404011</t>
        </is>
      </c>
      <c r="E499" s="11" t="inlineStr">
        <is>
          <t>Region IV-A (CALABARZON)</t>
        </is>
      </c>
      <c r="F499" s="11" t="inlineStr">
        <is>
          <t>Laguna</t>
        </is>
      </c>
      <c r="G499" s="11" t="inlineStr">
        <is>
          <t>City of Cabuyao</t>
        </is>
      </c>
      <c r="H499" s="11" t="inlineStr">
        <is>
          <t>Niugan</t>
        </is>
      </c>
      <c r="I499" s="24" t="n">
        <v>14.264128</v>
      </c>
      <c r="J499" s="24" t="n">
        <v>121.127412</v>
      </c>
      <c r="K499" s="23" t="inlineStr">
        <is>
          <t>U</t>
        </is>
      </c>
      <c r="L499" s="25" t="n">
        <v>42286</v>
      </c>
      <c r="M499" s="26" t="n">
        <v>3.3</v>
      </c>
      <c r="N499" s="25">
        <f>ROUND(L499/M499, 0)</f>
        <v/>
      </c>
      <c r="O499" s="25">
        <f>ROUND(N499*'Methodology &amp; Assumptions'!$B$7, 0)</f>
        <v/>
      </c>
      <c r="P499" s="23" t="inlineStr">
        <is>
          <t>Single Carrier (Band n50, 100MHz TDD)</t>
        </is>
      </c>
      <c r="Q499" s="27">
        <f>ROUNDUP(O499/'Methodology &amp; Assumptions'!$B$8, 0)</f>
        <v/>
      </c>
      <c r="R499" s="27" t="n">
        <v>1</v>
      </c>
      <c r="S499" s="26" t="n">
        <v>2.01</v>
      </c>
      <c r="T499" s="26" t="n">
        <v>0.37</v>
      </c>
      <c r="U499" s="11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26" t="n">
        <v>72.73999999999999</v>
      </c>
      <c r="W499" s="26" t="n">
        <v>64.90000000000001</v>
      </c>
      <c r="X499" s="26">
        <f>ROUND(('Methodology &amp; Assumptions'!$B$5*V499) + ('Methodology &amp; Assumptions'!$B$6*W499), 2)</f>
        <v/>
      </c>
      <c r="Y499" s="28" t="n">
        <v>7.2</v>
      </c>
      <c r="Z499" s="11" t="inlineStr">
        <is>
          <t>Priority Tier 2 (Balanced Opportunity)</t>
        </is>
      </c>
    </row>
    <row r="500">
      <c r="A500" s="23" t="n">
        <v>1</v>
      </c>
      <c r="B500" s="23" t="n">
        <v>496</v>
      </c>
      <c r="C500" s="23" t="n">
        <v>496</v>
      </c>
      <c r="D500" s="23" t="inlineStr">
        <is>
          <t>1381300073</t>
        </is>
      </c>
      <c r="E500" s="11" t="inlineStr">
        <is>
          <t>National Capital Region (NCR)</t>
        </is>
      </c>
      <c r="F500" s="11" t="inlineStr">
        <is>
          <t>Second District (Not a Province)</t>
        </is>
      </c>
      <c r="G500" s="11" t="inlineStr">
        <is>
          <t>Quezon City</t>
        </is>
      </c>
      <c r="H500" s="11" t="inlineStr">
        <is>
          <t>Paang Bundok</t>
        </is>
      </c>
      <c r="I500" s="24" t="n">
        <v>14.627851</v>
      </c>
      <c r="J500" s="24" t="n">
        <v>120.99303</v>
      </c>
      <c r="K500" s="23" t="inlineStr">
        <is>
          <t>U</t>
        </is>
      </c>
      <c r="L500" s="25" t="n">
        <v>4900</v>
      </c>
      <c r="M500" s="26" t="n">
        <v>3.71</v>
      </c>
      <c r="N500" s="25">
        <f>ROUND(L500/M500, 0)</f>
        <v/>
      </c>
      <c r="O500" s="25">
        <f>ROUND(N500*'Methodology &amp; Assumptions'!$B$7, 0)</f>
        <v/>
      </c>
      <c r="P500" s="23" t="inlineStr">
        <is>
          <t>Single Carrier (Band n50, 100MHz TDD)</t>
        </is>
      </c>
      <c r="Q500" s="27">
        <f>ROUNDUP(O500/'Methodology &amp; Assumptions'!$B$8, 0)</f>
        <v/>
      </c>
      <c r="R500" s="27" t="n">
        <v>1</v>
      </c>
      <c r="S500" s="26" t="n">
        <v>1.42</v>
      </c>
      <c r="T500" s="26" t="n">
        <v>0.38</v>
      </c>
      <c r="U500" s="11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26" t="n">
        <v>66.90000000000001</v>
      </c>
      <c r="W500" s="26" t="n">
        <v>70.72</v>
      </c>
      <c r="X500" s="26">
        <f>ROUND(('Methodology &amp; Assumptions'!$B$5*V500) + ('Methodology &amp; Assumptions'!$B$6*W500), 2)</f>
        <v/>
      </c>
      <c r="Y500" s="28" t="n">
        <v>10.9</v>
      </c>
      <c r="Z500" s="11" t="inlineStr">
        <is>
          <t>Priority Tier 2 (Balanced Opportunity)</t>
        </is>
      </c>
    </row>
    <row r="501">
      <c r="A501" s="23" t="n">
        <v>1</v>
      </c>
      <c r="B501" s="23" t="n">
        <v>497</v>
      </c>
      <c r="C501" s="23" t="n">
        <v>497</v>
      </c>
      <c r="D501" s="23" t="inlineStr">
        <is>
          <t>1381400011</t>
        </is>
      </c>
      <c r="E501" s="11" t="inlineStr">
        <is>
          <t>National Capital Region (NCR)</t>
        </is>
      </c>
      <c r="F501" s="11" t="inlineStr">
        <is>
          <t>Second District (Not a Province)</t>
        </is>
      </c>
      <c r="G501" s="11" t="inlineStr">
        <is>
          <t>City of San Juan</t>
        </is>
      </c>
      <c r="H501" s="11" t="inlineStr">
        <is>
          <t>Onse</t>
        </is>
      </c>
      <c r="I501" s="24" t="n">
        <v>14.601704</v>
      </c>
      <c r="J501" s="24" t="n">
        <v>121.031441</v>
      </c>
      <c r="K501" s="23" t="inlineStr">
        <is>
          <t>U</t>
        </is>
      </c>
      <c r="L501" s="25" t="n">
        <v>3636</v>
      </c>
      <c r="M501" s="26" t="n">
        <v>3.92</v>
      </c>
      <c r="N501" s="25">
        <f>ROUND(L501/M501, 0)</f>
        <v/>
      </c>
      <c r="O501" s="25">
        <f>ROUND(N501*'Methodology &amp; Assumptions'!$B$7, 0)</f>
        <v/>
      </c>
      <c r="P501" s="23" t="inlineStr">
        <is>
          <t>Single Carrier (Band n50, 100MHz TDD)</t>
        </is>
      </c>
      <c r="Q501" s="27">
        <f>ROUNDUP(O501/'Methodology &amp; Assumptions'!$B$8, 0)</f>
        <v/>
      </c>
      <c r="R501" s="27" t="n">
        <v>1</v>
      </c>
      <c r="S501" s="26" t="n">
        <v>1.53</v>
      </c>
      <c r="T501" s="26" t="n">
        <v>0.25</v>
      </c>
      <c r="U501" s="11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26" t="n">
        <v>66.5</v>
      </c>
      <c r="W501" s="26" t="n">
        <v>71.12</v>
      </c>
      <c r="X501" s="26">
        <f>ROUND(('Methodology &amp; Assumptions'!$B$5*V501) + ('Methodology &amp; Assumptions'!$B$6*W501), 2)</f>
        <v/>
      </c>
      <c r="Y501" s="28" t="n">
        <v>10.9</v>
      </c>
      <c r="Z501" s="11" t="inlineStr">
        <is>
          <t>Priority Tier 2 (Balanced Opportunity)</t>
        </is>
      </c>
    </row>
    <row r="502">
      <c r="A502" s="23" t="n">
        <v>1</v>
      </c>
      <c r="B502" s="23" t="n">
        <v>498</v>
      </c>
      <c r="C502" s="23" t="n">
        <v>498</v>
      </c>
      <c r="D502" s="23" t="inlineStr">
        <is>
          <t>0403405042</t>
        </is>
      </c>
      <c r="E502" s="11" t="inlineStr">
        <is>
          <t>Region IV-A (CALABARZON)</t>
        </is>
      </c>
      <c r="F502" s="11" t="inlineStr">
        <is>
          <t>Laguna</t>
        </is>
      </c>
      <c r="G502" s="11" t="inlineStr">
        <is>
          <t>City of Calamba</t>
        </is>
      </c>
      <c r="H502" s="11" t="inlineStr">
        <is>
          <t>Barangay 5</t>
        </is>
      </c>
      <c r="I502" s="24" t="n">
        <v>14.209858</v>
      </c>
      <c r="J502" s="24" t="n">
        <v>121.166431</v>
      </c>
      <c r="K502" s="23" t="inlineStr">
        <is>
          <t>U</t>
        </is>
      </c>
      <c r="L502" s="25" t="n">
        <v>6421</v>
      </c>
      <c r="M502" s="26" t="n">
        <v>3.3</v>
      </c>
      <c r="N502" s="25">
        <f>ROUND(L502/M502, 0)</f>
        <v/>
      </c>
      <c r="O502" s="25">
        <f>ROUND(N502*'Methodology &amp; Assumptions'!$B$7, 0)</f>
        <v/>
      </c>
      <c r="P502" s="23" t="inlineStr">
        <is>
          <t>Single Carrier (Band n50, 100MHz TDD)</t>
        </is>
      </c>
      <c r="Q502" s="27">
        <f>ROUNDUP(O502/'Methodology &amp; Assumptions'!$B$8, 0)</f>
        <v/>
      </c>
      <c r="R502" s="27" t="n">
        <v>1</v>
      </c>
      <c r="S502" s="26" t="n">
        <v>2.6</v>
      </c>
      <c r="T502" s="26" t="n">
        <v>0.39</v>
      </c>
      <c r="U502" s="11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26" t="n">
        <v>72.06</v>
      </c>
      <c r="W502" s="26" t="n">
        <v>65.55</v>
      </c>
      <c r="X502" s="26">
        <f>ROUND(('Methodology &amp; Assumptions'!$B$5*V502) + ('Methodology &amp; Assumptions'!$B$6*W502), 2)</f>
        <v/>
      </c>
      <c r="Y502" s="28" t="n">
        <v>7.2</v>
      </c>
      <c r="Z502" s="11" t="inlineStr">
        <is>
          <t>Priority Tier 2 (Balanced Opportunity)</t>
        </is>
      </c>
    </row>
    <row r="503">
      <c r="A503" s="23" t="n">
        <v>1</v>
      </c>
      <c r="B503" s="23" t="n">
        <v>499</v>
      </c>
      <c r="C503" s="23" t="n">
        <v>499</v>
      </c>
      <c r="D503" s="23" t="inlineStr">
        <is>
          <t>1381200023</t>
        </is>
      </c>
      <c r="E503" s="11" t="inlineStr">
        <is>
          <t>National Capital Region (NCR)</t>
        </is>
      </c>
      <c r="F503" s="11" t="inlineStr">
        <is>
          <t>Second District (Not a Province)</t>
        </is>
      </c>
      <c r="G503" s="11" t="inlineStr">
        <is>
          <t>City of Pasig</t>
        </is>
      </c>
      <c r="H503" s="11" t="inlineStr">
        <is>
          <t>San Nicolas</t>
        </is>
      </c>
      <c r="I503" s="24" t="n">
        <v>14.563056</v>
      </c>
      <c r="J503" s="24" t="n">
        <v>121.07818</v>
      </c>
      <c r="K503" s="23" t="inlineStr">
        <is>
          <t>U</t>
        </is>
      </c>
      <c r="L503" s="25" t="n">
        <v>2869</v>
      </c>
      <c r="M503" s="26" t="n">
        <v>4</v>
      </c>
      <c r="N503" s="25">
        <f>ROUND(L503/M503, 0)</f>
        <v/>
      </c>
      <c r="O503" s="25">
        <f>ROUND(N503*'Methodology &amp; Assumptions'!$B$7, 0)</f>
        <v/>
      </c>
      <c r="P503" s="23" t="inlineStr">
        <is>
          <t>Single Carrier (Band n50, 100MHz TDD)</t>
        </is>
      </c>
      <c r="Q503" s="27">
        <f>ROUNDUP(O503/'Methodology &amp; Assumptions'!$B$8, 0)</f>
        <v/>
      </c>
      <c r="R503" s="27" t="n">
        <v>1</v>
      </c>
      <c r="S503" s="26" t="n">
        <v>0.41</v>
      </c>
      <c r="T503" s="26" t="n">
        <v>0.3</v>
      </c>
      <c r="U503" s="11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26" t="n">
        <v>64.12</v>
      </c>
      <c r="W503" s="26" t="n">
        <v>73.48</v>
      </c>
      <c r="X503" s="26">
        <f>ROUND(('Methodology &amp; Assumptions'!$B$5*V503) + ('Methodology &amp; Assumptions'!$B$6*W503), 2)</f>
        <v/>
      </c>
      <c r="Y503" s="28" t="n">
        <v>10.9</v>
      </c>
      <c r="Z503" s="11" t="inlineStr">
        <is>
          <t>Priority Tier 2 (Balanced Opportunity)</t>
        </is>
      </c>
    </row>
    <row r="504">
      <c r="A504" s="23" t="n">
        <v>1</v>
      </c>
      <c r="B504" s="23" t="n">
        <v>500</v>
      </c>
      <c r="C504" s="23" t="n">
        <v>500</v>
      </c>
      <c r="D504" s="23" t="inlineStr">
        <is>
          <t>0604531004</t>
        </is>
      </c>
      <c r="E504" s="11" t="inlineStr">
        <is>
          <t>Region VI (Western Visayas)</t>
        </is>
      </c>
      <c r="F504" s="11" t="inlineStr">
        <is>
          <t>Negros Occidental</t>
        </is>
      </c>
      <c r="G504" s="11" t="inlineStr">
        <is>
          <t>City of Victorias</t>
        </is>
      </c>
      <c r="H504" s="11" t="inlineStr">
        <is>
          <t>Barangay I</t>
        </is>
      </c>
      <c r="I504" s="24" t="n">
        <v>10.903559</v>
      </c>
      <c r="J504" s="24" t="n">
        <v>123.066138</v>
      </c>
      <c r="K504" s="23" t="inlineStr">
        <is>
          <t>R</t>
        </is>
      </c>
      <c r="L504" s="25" t="n">
        <v>3756</v>
      </c>
      <c r="M504" s="26" t="n">
        <v>3.7</v>
      </c>
      <c r="N504" s="25">
        <f>ROUND(L504/M504, 0)</f>
        <v/>
      </c>
      <c r="O504" s="25">
        <f>ROUND(N504*'Methodology &amp; Assumptions'!$B$7, 0)</f>
        <v/>
      </c>
      <c r="P504" s="23" t="inlineStr">
        <is>
          <t>Single Carrier (Band n50, 100MHz TDD)</t>
        </is>
      </c>
      <c r="Q504" s="27">
        <f>ROUNDUP(O504/'Methodology &amp; Assumptions'!$B$8, 0)</f>
        <v/>
      </c>
      <c r="R504" s="27" t="n">
        <v>1</v>
      </c>
      <c r="S504" s="26" t="n">
        <v>0.8</v>
      </c>
      <c r="T504" s="26" t="n">
        <v>0.52</v>
      </c>
      <c r="U504" s="11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26" t="n">
        <v>88.06</v>
      </c>
      <c r="W504" s="26" t="n">
        <v>49.53</v>
      </c>
      <c r="X504" s="26">
        <f>ROUND(('Methodology &amp; Assumptions'!$B$5*V504) + ('Methodology &amp; Assumptions'!$B$6*W504), 2)</f>
        <v/>
      </c>
      <c r="Y504" s="28" t="n">
        <v>23.7</v>
      </c>
      <c r="Z504" s="11" t="inlineStr">
        <is>
          <t>Priority Tier 2 (Balanced Opportunity)</t>
        </is>
      </c>
    </row>
    <row r="505">
      <c r="A505" s="23" t="n">
        <v>1</v>
      </c>
      <c r="B505" s="23" t="n">
        <v>501</v>
      </c>
      <c r="C505" s="23" t="n">
        <v>501</v>
      </c>
      <c r="D505" s="23" t="inlineStr">
        <is>
          <t>0103314022</t>
        </is>
      </c>
      <c r="E505" s="11" t="inlineStr">
        <is>
          <t>Region I (Ilocos Region)</t>
        </is>
      </c>
      <c r="F505" s="11" t="inlineStr">
        <is>
          <t>La Union</t>
        </is>
      </c>
      <c r="G505" s="11" t="inlineStr">
        <is>
          <t>City of San Fernando</t>
        </is>
      </c>
      <c r="H505" s="11" t="inlineStr">
        <is>
          <t>Catbangen</t>
        </is>
      </c>
      <c r="I505" s="24" t="n">
        <v>16.610674</v>
      </c>
      <c r="J505" s="24" t="n">
        <v>120.310959</v>
      </c>
      <c r="K505" s="23" t="inlineStr">
        <is>
          <t>U</t>
        </is>
      </c>
      <c r="L505" s="25" t="n">
        <v>9670</v>
      </c>
      <c r="M505" s="26" t="n">
        <v>3.7</v>
      </c>
      <c r="N505" s="25">
        <f>ROUND(L505/M505, 0)</f>
        <v/>
      </c>
      <c r="O505" s="25">
        <f>ROUND(N505*'Methodology &amp; Assumptions'!$B$7, 0)</f>
        <v/>
      </c>
      <c r="P505" s="23" t="inlineStr">
        <is>
          <t>Single Carrier (Band n50, 100MHz TDD)</t>
        </is>
      </c>
      <c r="Q505" s="27">
        <f>ROUNDUP(O505/'Methodology &amp; Assumptions'!$B$8, 0)</f>
        <v/>
      </c>
      <c r="R505" s="27" t="n">
        <v>1</v>
      </c>
      <c r="S505" s="26" t="n">
        <v>1.07</v>
      </c>
      <c r="T505" s="26" t="n">
        <v>0.6</v>
      </c>
      <c r="U505" s="11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26" t="n">
        <v>77.54000000000001</v>
      </c>
      <c r="W505" s="26" t="n">
        <v>60.05</v>
      </c>
      <c r="X505" s="26">
        <f>ROUND(('Methodology &amp; Assumptions'!$B$5*V505) + ('Methodology &amp; Assumptions'!$B$6*W505), 2)</f>
        <v/>
      </c>
      <c r="Y505" s="28" t="n">
        <v>8.300000000000001</v>
      </c>
      <c r="Z505" s="11" t="inlineStr">
        <is>
          <t>Priority Tier 2 (Balanced Opportunity)</t>
        </is>
      </c>
    </row>
    <row r="506">
      <c r="A506" s="23" t="n">
        <v>1</v>
      </c>
      <c r="B506" s="23" t="n">
        <v>502</v>
      </c>
      <c r="C506" s="23" t="n">
        <v>502</v>
      </c>
      <c r="D506" s="23" t="inlineStr">
        <is>
          <t>1381100001</t>
        </is>
      </c>
      <c r="E506" s="11" t="inlineStr">
        <is>
          <t>National Capital Region (NCR)</t>
        </is>
      </c>
      <c r="F506" s="11" t="inlineStr">
        <is>
          <t>Fourth District (Not a Province)</t>
        </is>
      </c>
      <c r="G506" s="11" t="inlineStr">
        <is>
          <t>Pasay City</t>
        </is>
      </c>
      <c r="H506" s="11" t="inlineStr">
        <is>
          <t>Barangay 1</t>
        </is>
      </c>
      <c r="I506" s="24" t="n">
        <v>14.552264</v>
      </c>
      <c r="J506" s="24" t="n">
        <v>120.985546</v>
      </c>
      <c r="K506" s="23" t="inlineStr">
        <is>
          <t>U</t>
        </is>
      </c>
      <c r="L506" s="25" t="n">
        <v>3935</v>
      </c>
      <c r="M506" s="26" t="n">
        <v>3.3</v>
      </c>
      <c r="N506" s="25">
        <f>ROUND(L506/M506, 0)</f>
        <v/>
      </c>
      <c r="O506" s="25">
        <f>ROUND(N506*'Methodology &amp; Assumptions'!$B$7, 0)</f>
        <v/>
      </c>
      <c r="P506" s="23" t="inlineStr">
        <is>
          <t>Single Carrier (Band n50, 100MHz TDD)</t>
        </is>
      </c>
      <c r="Q506" s="27">
        <f>ROUNDUP(O506/'Methodology &amp; Assumptions'!$B$8, 0)</f>
        <v/>
      </c>
      <c r="R506" s="27" t="n">
        <v>1</v>
      </c>
      <c r="S506" s="26" t="n">
        <v>0.67</v>
      </c>
      <c r="T506" s="26" t="n">
        <v>0.6899999999999999</v>
      </c>
      <c r="U506" s="11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26" t="n">
        <v>69.09</v>
      </c>
      <c r="W506" s="26" t="n">
        <v>68.45</v>
      </c>
      <c r="X506" s="26">
        <f>ROUND(('Methodology &amp; Assumptions'!$B$5*V506) + ('Methodology &amp; Assumptions'!$B$6*W506), 2)</f>
        <v/>
      </c>
      <c r="Y506" s="28" t="n">
        <v>10.9</v>
      </c>
      <c r="Z506" s="11" t="inlineStr">
        <is>
          <t>Priority Tier 2 (Balanced Opportunity)</t>
        </is>
      </c>
    </row>
    <row r="507">
      <c r="A507" s="23" t="n">
        <v>1</v>
      </c>
      <c r="B507" s="23" t="n">
        <v>503</v>
      </c>
      <c r="C507" s="23" t="n">
        <v>503</v>
      </c>
      <c r="D507" s="23" t="inlineStr">
        <is>
          <t>0403428004</t>
        </is>
      </c>
      <c r="E507" s="11" t="inlineStr">
        <is>
          <t>Region IV-A (CALABARZON)</t>
        </is>
      </c>
      <c r="F507" s="11" t="inlineStr">
        <is>
          <t>Laguna</t>
        </is>
      </c>
      <c r="G507" s="11" t="inlineStr">
        <is>
          <t>City of Santa Rosa</t>
        </is>
      </c>
      <c r="H507" s="11" t="inlineStr">
        <is>
          <t>Dila</t>
        </is>
      </c>
      <c r="I507" s="24" t="n">
        <v>14.288223</v>
      </c>
      <c r="J507" s="24" t="n">
        <v>121.108585</v>
      </c>
      <c r="K507" s="23" t="inlineStr">
        <is>
          <t>U</t>
        </is>
      </c>
      <c r="L507" s="25" t="n">
        <v>43294</v>
      </c>
      <c r="M507" s="26" t="n">
        <v>3.3</v>
      </c>
      <c r="N507" s="25">
        <f>ROUND(L507/M507, 0)</f>
        <v/>
      </c>
      <c r="O507" s="25">
        <f>ROUND(N507*'Methodology &amp; Assumptions'!$B$7, 0)</f>
        <v/>
      </c>
      <c r="P507" s="23" t="inlineStr">
        <is>
          <t>Single Carrier (Band n50, 100MHz TDD)</t>
        </is>
      </c>
      <c r="Q507" s="27">
        <f>ROUNDUP(O507/'Methodology &amp; Assumptions'!$B$8, 0)</f>
        <v/>
      </c>
      <c r="R507" s="27" t="n">
        <v>1</v>
      </c>
      <c r="S507" s="26" t="n">
        <v>0.95</v>
      </c>
      <c r="T507" s="26" t="n">
        <v>0.27</v>
      </c>
      <c r="U507" s="11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26" t="n">
        <v>76.54000000000001</v>
      </c>
      <c r="W507" s="26" t="n">
        <v>60.98</v>
      </c>
      <c r="X507" s="26">
        <f>ROUND(('Methodology &amp; Assumptions'!$B$5*V507) + ('Methodology &amp; Assumptions'!$B$6*W507), 2)</f>
        <v/>
      </c>
      <c r="Y507" s="28" t="n">
        <v>7.2</v>
      </c>
      <c r="Z507" s="11" t="inlineStr">
        <is>
          <t>Priority Tier 2 (Balanced Opportunity)</t>
        </is>
      </c>
    </row>
    <row r="508">
      <c r="A508" s="23" t="n">
        <v>1</v>
      </c>
      <c r="B508" s="23" t="n">
        <v>504</v>
      </c>
      <c r="C508" s="23" t="n">
        <v>504</v>
      </c>
      <c r="D508" s="23" t="inlineStr">
        <is>
          <t>1380700007</t>
        </is>
      </c>
      <c r="E508" s="11" t="inlineStr">
        <is>
          <t>National Capital Region (NCR)</t>
        </is>
      </c>
      <c r="F508" s="11" t="inlineStr">
        <is>
          <t>Second District (Not a Province)</t>
        </is>
      </c>
      <c r="G508" s="11" t="inlineStr">
        <is>
          <t>City of Marikina</t>
        </is>
      </c>
      <c r="H508" s="11" t="inlineStr">
        <is>
          <t>Parang</t>
        </is>
      </c>
      <c r="I508" s="24" t="n">
        <v>14.659207</v>
      </c>
      <c r="J508" s="24" t="n">
        <v>121.112028</v>
      </c>
      <c r="K508" s="23" t="inlineStr">
        <is>
          <t>U</t>
        </is>
      </c>
      <c r="L508" s="25" t="n">
        <v>41259</v>
      </c>
      <c r="M508" s="26" t="n">
        <v>4.27</v>
      </c>
      <c r="N508" s="25">
        <f>ROUND(L508/M508, 0)</f>
        <v/>
      </c>
      <c r="O508" s="25">
        <f>ROUND(N508*'Methodology &amp; Assumptions'!$B$7, 0)</f>
        <v/>
      </c>
      <c r="P508" s="23" t="inlineStr">
        <is>
          <t>Single Carrier (Band n50, 100MHz TDD)</t>
        </is>
      </c>
      <c r="Q508" s="27">
        <f>ROUNDUP(O508/'Methodology &amp; Assumptions'!$B$8, 0)</f>
        <v/>
      </c>
      <c r="R508" s="27" t="n">
        <v>1</v>
      </c>
      <c r="S508" s="26" t="n">
        <v>1.01</v>
      </c>
      <c r="T508" s="26" t="n">
        <v>0.25</v>
      </c>
      <c r="U508" s="11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26" t="n">
        <v>66.47</v>
      </c>
      <c r="W508" s="26" t="n">
        <v>71.05</v>
      </c>
      <c r="X508" s="26">
        <f>ROUND(('Methodology &amp; Assumptions'!$B$5*V508) + ('Methodology &amp; Assumptions'!$B$6*W508), 2)</f>
        <v/>
      </c>
      <c r="Y508" s="28" t="n">
        <v>10.9</v>
      </c>
      <c r="Z508" s="11" t="inlineStr">
        <is>
          <t>Priority Tier 2 (Balanced Opportunity)</t>
        </is>
      </c>
    </row>
    <row r="509">
      <c r="A509" s="23" t="n">
        <v>1</v>
      </c>
      <c r="B509" s="23" t="n">
        <v>505</v>
      </c>
      <c r="C509" s="23" t="n">
        <v>505</v>
      </c>
      <c r="D509" s="23" t="inlineStr">
        <is>
          <t>1403209003</t>
        </is>
      </c>
      <c r="E509" s="11" t="inlineStr">
        <is>
          <t>Cordillera Administrative Region (CAR)</t>
        </is>
      </c>
      <c r="F509" s="11" t="inlineStr">
        <is>
          <t>Kalinga</t>
        </is>
      </c>
      <c r="G509" s="11" t="inlineStr">
        <is>
          <t>Pinukpuk</t>
        </is>
      </c>
      <c r="H509" s="11" t="inlineStr">
        <is>
          <t>Ammacian</t>
        </is>
      </c>
      <c r="I509" s="24" t="n">
        <v>17.601792</v>
      </c>
      <c r="J509" s="24" t="n">
        <v>121.367004</v>
      </c>
      <c r="K509" s="23" t="inlineStr">
        <is>
          <t>R</t>
        </is>
      </c>
      <c r="L509" s="25" t="n">
        <v>1731</v>
      </c>
      <c r="M509" s="26" t="n">
        <v>4.3</v>
      </c>
      <c r="N509" s="25">
        <f>ROUND(L509/M509, 0)</f>
        <v/>
      </c>
      <c r="O509" s="25">
        <f>ROUND(N509*'Methodology &amp; Assumptions'!$B$7, 0)</f>
        <v/>
      </c>
      <c r="P509" s="23" t="inlineStr">
        <is>
          <t>Single Carrier (Band n50, 100MHz TDD)</t>
        </is>
      </c>
      <c r="Q509" s="27">
        <f>ROUNDUP(O509/'Methodology &amp; Assumptions'!$B$8, 0)</f>
        <v/>
      </c>
      <c r="R509" s="27" t="n">
        <v>1</v>
      </c>
      <c r="S509" s="26" t="n">
        <v>5.27</v>
      </c>
      <c r="T509" s="26" t="n">
        <v>4.51</v>
      </c>
      <c r="U509" s="11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26" t="n">
        <v>55.57</v>
      </c>
      <c r="W509" s="26" t="n">
        <v>81.95</v>
      </c>
      <c r="X509" s="26">
        <f>ROUND(('Methodology &amp; Assumptions'!$B$5*V509) + ('Methodology &amp; Assumptions'!$B$6*W509), 2)</f>
        <v/>
      </c>
      <c r="Y509" s="28" t="n">
        <v>10.9</v>
      </c>
      <c r="Z509" s="11" t="inlineStr">
        <is>
          <t>Priority Tier 2 (Balanced Opportunity)</t>
        </is>
      </c>
    </row>
    <row r="510">
      <c r="A510" s="23" t="n">
        <v>1</v>
      </c>
      <c r="B510" s="23" t="n">
        <v>506</v>
      </c>
      <c r="C510" s="23" t="n">
        <v>506</v>
      </c>
      <c r="D510" s="23" t="inlineStr">
        <is>
          <t>0402104010</t>
        </is>
      </c>
      <c r="E510" s="11" t="inlineStr">
        <is>
          <t>Region IV-A (CALABARZON)</t>
        </is>
      </c>
      <c r="F510" s="11" t="inlineStr">
        <is>
          <t>Cavite</t>
        </is>
      </c>
      <c r="G510" s="11" t="inlineStr">
        <is>
          <t>Carmona</t>
        </is>
      </c>
      <c r="H510" s="11" t="inlineStr">
        <is>
          <t>Maduya</t>
        </is>
      </c>
      <c r="I510" s="24" t="n">
        <v>14.322487</v>
      </c>
      <c r="J510" s="24" t="n">
        <v>121.064373</v>
      </c>
      <c r="K510" s="23" t="inlineStr">
        <is>
          <t>U</t>
        </is>
      </c>
      <c r="L510" s="25" t="n">
        <v>11154</v>
      </c>
      <c r="M510" s="26" t="n">
        <v>3.4</v>
      </c>
      <c r="N510" s="25">
        <f>ROUND(L510/M510, 0)</f>
        <v/>
      </c>
      <c r="O510" s="25">
        <f>ROUND(N510*'Methodology &amp; Assumptions'!$B$7, 0)</f>
        <v/>
      </c>
      <c r="P510" s="23" t="inlineStr">
        <is>
          <t>Single Carrier (Band n50, 100MHz TDD)</t>
        </is>
      </c>
      <c r="Q510" s="27">
        <f>ROUNDUP(O510/'Methodology &amp; Assumptions'!$B$8, 0)</f>
        <v/>
      </c>
      <c r="R510" s="27" t="n">
        <v>1</v>
      </c>
      <c r="S510" s="26" t="n">
        <v>1.19</v>
      </c>
      <c r="T510" s="26" t="n">
        <v>0.6899999999999999</v>
      </c>
      <c r="U510" s="11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26" t="n">
        <v>76.92</v>
      </c>
      <c r="W510" s="26" t="n">
        <v>60.59</v>
      </c>
      <c r="X510" s="26">
        <f>ROUND(('Methodology &amp; Assumptions'!$B$5*V510) + ('Methodology &amp; Assumptions'!$B$6*W510), 2)</f>
        <v/>
      </c>
      <c r="Y510" s="28" t="n">
        <v>7.2</v>
      </c>
      <c r="Z510" s="11" t="inlineStr">
        <is>
          <t>Priority Tier 2 (Balanced Opportunity)</t>
        </is>
      </c>
    </row>
    <row r="511">
      <c r="A511" s="23" t="n">
        <v>1</v>
      </c>
      <c r="B511" s="23" t="n">
        <v>507</v>
      </c>
      <c r="C511" s="23" t="n">
        <v>507</v>
      </c>
      <c r="D511" s="23" t="inlineStr">
        <is>
          <t>0306916073</t>
        </is>
      </c>
      <c r="E511" s="11" t="inlineStr">
        <is>
          <t>Region III (Central Luzon)</t>
        </is>
      </c>
      <c r="F511" s="11" t="inlineStr">
        <is>
          <t>Tarlac</t>
        </is>
      </c>
      <c r="G511" s="11" t="inlineStr">
        <is>
          <t>City of Tarlac</t>
        </is>
      </c>
      <c r="H511" s="11" t="inlineStr">
        <is>
          <t>San Roque</t>
        </is>
      </c>
      <c r="I511" s="24" t="n">
        <v>15.483807</v>
      </c>
      <c r="J511" s="24" t="n">
        <v>120.590715</v>
      </c>
      <c r="K511" s="23" t="inlineStr">
        <is>
          <t>U</t>
        </is>
      </c>
      <c r="L511" s="25" t="n">
        <v>6267</v>
      </c>
      <c r="M511" s="26" t="n">
        <v>3.9</v>
      </c>
      <c r="N511" s="25">
        <f>ROUND(L511/M511, 0)</f>
        <v/>
      </c>
      <c r="O511" s="25">
        <f>ROUND(N511*'Methodology &amp; Assumptions'!$B$7, 0)</f>
        <v/>
      </c>
      <c r="P511" s="23" t="inlineStr">
        <is>
          <t>Single Carrier (Band n50, 100MHz TDD)</t>
        </is>
      </c>
      <c r="Q511" s="27">
        <f>ROUNDUP(O511/'Methodology &amp; Assumptions'!$B$8, 0)</f>
        <v/>
      </c>
      <c r="R511" s="27" t="n">
        <v>1</v>
      </c>
      <c r="S511" s="26" t="n">
        <v>2.3</v>
      </c>
      <c r="T511" s="26" t="n">
        <v>0.38</v>
      </c>
      <c r="U511" s="11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26" t="n">
        <v>73.2</v>
      </c>
      <c r="W511" s="26" t="n">
        <v>64.27</v>
      </c>
      <c r="X511" s="26">
        <f>ROUND(('Methodology &amp; Assumptions'!$B$5*V511) + ('Methodology &amp; Assumptions'!$B$6*W511), 2)</f>
        <v/>
      </c>
      <c r="Y511" s="28" t="n">
        <v>8.300000000000001</v>
      </c>
      <c r="Z511" s="11" t="inlineStr">
        <is>
          <t>Priority Tier 2 (Balanced Opportunity)</t>
        </is>
      </c>
    </row>
    <row r="512">
      <c r="A512" s="23" t="n">
        <v>1</v>
      </c>
      <c r="B512" s="23" t="n">
        <v>508</v>
      </c>
      <c r="C512" s="23" t="n">
        <v>508</v>
      </c>
      <c r="D512" s="23" t="inlineStr">
        <is>
          <t>1380601185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185</t>
        </is>
      </c>
      <c r="I512" s="24" t="n">
        <v>14.629548</v>
      </c>
      <c r="J512" s="24" t="n">
        <v>120.975055</v>
      </c>
      <c r="K512" s="23" t="inlineStr">
        <is>
          <t>U</t>
        </is>
      </c>
      <c r="L512" s="25" t="n">
        <v>3399</v>
      </c>
      <c r="M512" s="26" t="n">
        <v>4.22</v>
      </c>
      <c r="N512" s="25">
        <f>ROUND(L512/M512, 0)</f>
        <v/>
      </c>
      <c r="O512" s="25">
        <f>ROUND(N512*'Methodology &amp; Assumptions'!$B$7, 0)</f>
        <v/>
      </c>
      <c r="P512" s="23" t="inlineStr">
        <is>
          <t>Single Carrier (Band n50, 100MHz TDD)</t>
        </is>
      </c>
      <c r="Q512" s="27">
        <f>ROUNDUP(O512/'Methodology &amp; Assumptions'!$B$8, 0)</f>
        <v/>
      </c>
      <c r="R512" s="27" t="n">
        <v>1</v>
      </c>
      <c r="S512" s="26" t="n">
        <v>0.35</v>
      </c>
      <c r="T512" s="26" t="n">
        <v>0.38</v>
      </c>
      <c r="U512" s="11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26" t="n">
        <v>67.01000000000001</v>
      </c>
      <c r="W512" s="26" t="n">
        <v>70.44</v>
      </c>
      <c r="X512" s="26">
        <f>ROUND(('Methodology &amp; Assumptions'!$B$5*V512) + ('Methodology &amp; Assumptions'!$B$6*W512), 2)</f>
        <v/>
      </c>
      <c r="Y512" s="28" t="n">
        <v>10.9</v>
      </c>
      <c r="Z512" s="11" t="inlineStr">
        <is>
          <t>Priority Tier 2 (Balanced Opportunity)</t>
        </is>
      </c>
    </row>
    <row r="513">
      <c r="A513" s="23" t="n">
        <v>1</v>
      </c>
      <c r="B513" s="23" t="n">
        <v>509</v>
      </c>
      <c r="C513" s="23" t="n">
        <v>509</v>
      </c>
      <c r="D513" s="23" t="inlineStr">
        <is>
          <t>1380300018</t>
        </is>
      </c>
      <c r="E513" s="11" t="inlineStr">
        <is>
          <t>National Capital Region (NCR)</t>
        </is>
      </c>
      <c r="F513" s="11" t="inlineStr">
        <is>
          <t>Fourth District (Not a Province)</t>
        </is>
      </c>
      <c r="G513" s="11" t="inlineStr">
        <is>
          <t>City of Makati</t>
        </is>
      </c>
      <c r="H513" s="11" t="inlineStr">
        <is>
          <t>Pio Del Pilar</t>
        </is>
      </c>
      <c r="I513" s="24" t="n">
        <v>14.55261</v>
      </c>
      <c r="J513" s="24" t="n">
        <v>121.0117</v>
      </c>
      <c r="K513" s="23" t="inlineStr">
        <is>
          <t>U</t>
        </is>
      </c>
      <c r="L513" s="25" t="n">
        <v>55572</v>
      </c>
      <c r="M513" s="26" t="n">
        <v>3.25</v>
      </c>
      <c r="N513" s="25">
        <f>ROUND(L513/M513, 0)</f>
        <v/>
      </c>
      <c r="O513" s="25">
        <f>ROUND(N513*'Methodology &amp; Assumptions'!$B$7, 0)</f>
        <v/>
      </c>
      <c r="P513" s="23" t="inlineStr">
        <is>
          <t>Single Carrier (Band n50, 100MHz TDD)</t>
        </is>
      </c>
      <c r="Q513" s="27">
        <f>ROUNDUP(O513/'Methodology &amp; Assumptions'!$B$8, 0)</f>
        <v/>
      </c>
      <c r="R513" s="27" t="n">
        <v>1</v>
      </c>
      <c r="S513" s="26" t="n">
        <v>0.32</v>
      </c>
      <c r="T513" s="26" t="n">
        <v>0.24</v>
      </c>
      <c r="U513" s="11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26" t="n">
        <v>65.84</v>
      </c>
      <c r="W513" s="26" t="n">
        <v>71.61</v>
      </c>
      <c r="X513" s="26">
        <f>ROUND(('Methodology &amp; Assumptions'!$B$5*V513) + ('Methodology &amp; Assumptions'!$B$6*W513), 2)</f>
        <v/>
      </c>
      <c r="Y513" s="28" t="n">
        <v>10.9</v>
      </c>
      <c r="Z513" s="11" t="inlineStr">
        <is>
          <t>Priority Tier 2 (Balanced Opportunity)</t>
        </is>
      </c>
    </row>
    <row r="514">
      <c r="A514" s="23" t="n">
        <v>1</v>
      </c>
      <c r="B514" s="23" t="n">
        <v>510</v>
      </c>
      <c r="C514" s="23" t="n">
        <v>510</v>
      </c>
      <c r="D514" s="23" t="inlineStr">
        <is>
          <t>1380610042</t>
        </is>
      </c>
      <c r="E514" s="11" t="inlineStr">
        <is>
          <t>National Capital Region (NCR)</t>
        </is>
      </c>
      <c r="F514" s="11" t="inlineStr">
        <is>
          <t>First District (Not a Province)</t>
        </is>
      </c>
      <c r="G514" s="11" t="inlineStr">
        <is>
          <t>City of Manila</t>
        </is>
      </c>
      <c r="H514" s="11" t="inlineStr">
        <is>
          <t>Barangay 727</t>
        </is>
      </c>
      <c r="I514" s="24" t="n">
        <v>14.565698</v>
      </c>
      <c r="J514" s="24" t="n">
        <v>120.995408</v>
      </c>
      <c r="K514" s="23" t="inlineStr">
        <is>
          <t>U</t>
        </is>
      </c>
      <c r="L514" s="25" t="n">
        <v>2842</v>
      </c>
      <c r="M514" s="26" t="n">
        <v>3.52</v>
      </c>
      <c r="N514" s="25">
        <f>ROUND(L514/M514, 0)</f>
        <v/>
      </c>
      <c r="O514" s="25">
        <f>ROUND(N514*'Methodology &amp; Assumptions'!$B$7, 0)</f>
        <v/>
      </c>
      <c r="P514" s="23" t="inlineStr">
        <is>
          <t>Single Carrier (Band n50, 100MHz TDD)</t>
        </is>
      </c>
      <c r="Q514" s="27">
        <f>ROUNDUP(O514/'Methodology &amp; Assumptions'!$B$8, 0)</f>
        <v/>
      </c>
      <c r="R514" s="27" t="n">
        <v>1</v>
      </c>
      <c r="S514" s="26" t="n">
        <v>0.72</v>
      </c>
      <c r="T514" s="26" t="n">
        <v>0.16</v>
      </c>
      <c r="U514" s="11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26" t="n">
        <v>67.01000000000001</v>
      </c>
      <c r="W514" s="26" t="n">
        <v>70.43000000000001</v>
      </c>
      <c r="X514" s="26">
        <f>ROUND(('Methodology &amp; Assumptions'!$B$5*V514) + ('Methodology &amp; Assumptions'!$B$6*W514), 2)</f>
        <v/>
      </c>
      <c r="Y514" s="28" t="n">
        <v>10.9</v>
      </c>
      <c r="Z514" s="11" t="inlineStr">
        <is>
          <t>Priority Tier 2 (Balanced Opportunity)</t>
        </is>
      </c>
    </row>
    <row r="515">
      <c r="A515" s="23" t="n">
        <v>1</v>
      </c>
      <c r="B515" s="23" t="n">
        <v>511</v>
      </c>
      <c r="C515" s="23" t="n">
        <v>511</v>
      </c>
      <c r="D515" s="23" t="inlineStr">
        <is>
          <t>0501730024</t>
        </is>
      </c>
      <c r="E515" s="11" t="inlineStr">
        <is>
          <t>Region V (Bicol Region)</t>
        </is>
      </c>
      <c r="F515" s="11" t="inlineStr">
        <is>
          <t>Camarines Sur</t>
        </is>
      </c>
      <c r="G515" s="11" t="inlineStr">
        <is>
          <t>Ragay</t>
        </is>
      </c>
      <c r="H515" s="11" t="inlineStr">
        <is>
          <t>Lower Santa Cruz</t>
        </is>
      </c>
      <c r="I515" s="24" t="n">
        <v>13.821949</v>
      </c>
      <c r="J515" s="24" t="n">
        <v>122.814091</v>
      </c>
      <c r="K515" s="23" t="inlineStr">
        <is>
          <t>R</t>
        </is>
      </c>
      <c r="L515" s="25" t="n">
        <v>1448</v>
      </c>
      <c r="M515" s="26" t="n">
        <v>4.2</v>
      </c>
      <c r="N515" s="25">
        <f>ROUND(L515/M515, 0)</f>
        <v/>
      </c>
      <c r="O515" s="25">
        <f>ROUND(N515*'Methodology &amp; Assumptions'!$B$7, 0)</f>
        <v/>
      </c>
      <c r="P515" s="23" t="inlineStr">
        <is>
          <t>Single Carrier (Band n50, 100MHz TDD)</t>
        </is>
      </c>
      <c r="Q515" s="27">
        <f>ROUNDUP(O515/'Methodology &amp; Assumptions'!$B$8, 0)</f>
        <v/>
      </c>
      <c r="R515" s="27" t="n">
        <v>1</v>
      </c>
      <c r="S515" s="26" t="n">
        <v>2.78</v>
      </c>
      <c r="T515" s="26" t="n">
        <v>1.76</v>
      </c>
      <c r="U515" s="11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26" t="n">
        <v>65.22</v>
      </c>
      <c r="W515" s="26" t="n">
        <v>72.23</v>
      </c>
      <c r="X515" s="26">
        <f>ROUND(('Methodology &amp; Assumptions'!$B$5*V515) + ('Methodology &amp; Assumptions'!$B$6*W515), 2)</f>
        <v/>
      </c>
      <c r="Y515" s="28" t="n">
        <v>23.7</v>
      </c>
      <c r="Z515" s="11" t="inlineStr">
        <is>
          <t>Priority Tier 2 (Balanced Opportunity)</t>
        </is>
      </c>
    </row>
    <row r="516">
      <c r="A516" s="23" t="n">
        <v>1</v>
      </c>
      <c r="B516" s="23" t="n">
        <v>512</v>
      </c>
      <c r="C516" s="23" t="n">
        <v>512</v>
      </c>
      <c r="D516" s="23" t="inlineStr">
        <is>
          <t>1380400021</t>
        </is>
      </c>
      <c r="E516" s="11" t="inlineStr">
        <is>
          <t>National Capital Region (NCR)</t>
        </is>
      </c>
      <c r="F516" s="11" t="inlineStr">
        <is>
          <t>Third District (Not a Province)</t>
        </is>
      </c>
      <c r="G516" s="11" t="inlineStr">
        <is>
          <t>City of Malabon</t>
        </is>
      </c>
      <c r="H516" s="11" t="inlineStr">
        <is>
          <t>Tugatog</t>
        </is>
      </c>
      <c r="I516" s="24" t="n">
        <v>14.664269</v>
      </c>
      <c r="J516" s="24" t="n">
        <v>120.969629</v>
      </c>
      <c r="K516" s="23" t="inlineStr">
        <is>
          <t>U</t>
        </is>
      </c>
      <c r="L516" s="25" t="n">
        <v>26498</v>
      </c>
      <c r="M516" s="26" t="n">
        <v>3.64</v>
      </c>
      <c r="N516" s="25">
        <f>ROUND(L516/M516, 0)</f>
        <v/>
      </c>
      <c r="O516" s="25">
        <f>ROUND(N516*'Methodology &amp; Assumptions'!$B$7, 0)</f>
        <v/>
      </c>
      <c r="P516" s="23" t="inlineStr">
        <is>
          <t>Single Carrier (Band n50, 100MHz TDD)</t>
        </is>
      </c>
      <c r="Q516" s="27">
        <f>ROUNDUP(O516/'Methodology &amp; Assumptions'!$B$8, 0)</f>
        <v/>
      </c>
      <c r="R516" s="27" t="n">
        <v>1</v>
      </c>
      <c r="S516" s="26" t="n">
        <v>0.54</v>
      </c>
      <c r="T516" s="26" t="n">
        <v>0.55</v>
      </c>
      <c r="U516" s="11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26" t="n">
        <v>67.76000000000001</v>
      </c>
      <c r="W516" s="26" t="n">
        <v>69.64</v>
      </c>
      <c r="X516" s="26">
        <f>ROUND(('Methodology &amp; Assumptions'!$B$5*V516) + ('Methodology &amp; Assumptions'!$B$6*W516), 2)</f>
        <v/>
      </c>
      <c r="Y516" s="28" t="n">
        <v>10.9</v>
      </c>
      <c r="Z516" s="11" t="inlineStr">
        <is>
          <t>Priority Tier 2 (Balanced Opportunity)</t>
        </is>
      </c>
    </row>
    <row r="517">
      <c r="A517" s="23" t="n">
        <v>1</v>
      </c>
      <c r="B517" s="23" t="n">
        <v>513</v>
      </c>
      <c r="C517" s="23" t="n">
        <v>513</v>
      </c>
      <c r="D517" s="23" t="inlineStr">
        <is>
          <t>0405804022</t>
        </is>
      </c>
      <c r="E517" s="11" t="inlineStr">
        <is>
          <t>Region IV-A (CALABARZON)</t>
        </is>
      </c>
      <c r="F517" s="11" t="inlineStr">
        <is>
          <t>Rizal</t>
        </is>
      </c>
      <c r="G517" s="11" t="inlineStr">
        <is>
          <t>Binangonan</t>
        </is>
      </c>
      <c r="H517" s="11" t="inlineStr">
        <is>
          <t>Lunsad</t>
        </is>
      </c>
      <c r="I517" s="24" t="n">
        <v>14.476943</v>
      </c>
      <c r="J517" s="24" t="n">
        <v>121.195743</v>
      </c>
      <c r="K517" s="23" t="inlineStr">
        <is>
          <t>U</t>
        </is>
      </c>
      <c r="L517" s="25" t="n">
        <v>11246</v>
      </c>
      <c r="M517" s="26" t="n">
        <v>3.6</v>
      </c>
      <c r="N517" s="25">
        <f>ROUND(L517/M517, 0)</f>
        <v/>
      </c>
      <c r="O517" s="25">
        <f>ROUND(N517*'Methodology &amp; Assumptions'!$B$7, 0)</f>
        <v/>
      </c>
      <c r="P517" s="23" t="inlineStr">
        <is>
          <t>Single Carrier (Band n50, 100MHz TDD)</t>
        </is>
      </c>
      <c r="Q517" s="27">
        <f>ROUNDUP(O517/'Methodology &amp; Assumptions'!$B$8, 0)</f>
        <v/>
      </c>
      <c r="R517" s="27" t="n">
        <v>1</v>
      </c>
      <c r="S517" s="26" t="n">
        <v>0.54</v>
      </c>
      <c r="T517" s="26" t="n">
        <v>0.51</v>
      </c>
      <c r="U517" s="11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26" t="n">
        <v>78.26000000000001</v>
      </c>
      <c r="W517" s="26" t="n">
        <v>59.13</v>
      </c>
      <c r="X517" s="26">
        <f>ROUND(('Methodology &amp; Assumptions'!$B$5*V517) + ('Methodology &amp; Assumptions'!$B$6*W517), 2)</f>
        <v/>
      </c>
      <c r="Y517" s="28" t="n">
        <v>7.2</v>
      </c>
      <c r="Z517" s="11" t="inlineStr">
        <is>
          <t>Priority Tier 2 (Balanced Opportunity)</t>
        </is>
      </c>
    </row>
    <row r="518">
      <c r="A518" s="23" t="n">
        <v>1</v>
      </c>
      <c r="B518" s="23" t="n">
        <v>514</v>
      </c>
      <c r="C518" s="23" t="n">
        <v>514</v>
      </c>
      <c r="D518" s="23" t="inlineStr">
        <is>
          <t>0500502001</t>
        </is>
      </c>
      <c r="E518" s="11" t="inlineStr">
        <is>
          <t>Region V (Bicol Region)</t>
        </is>
      </c>
      <c r="F518" s="11" t="inlineStr">
        <is>
          <t>Albay</t>
        </is>
      </c>
      <c r="G518" s="11" t="inlineStr">
        <is>
          <t>Camalig</t>
        </is>
      </c>
      <c r="H518" s="11" t="inlineStr">
        <is>
          <t>Anoling</t>
        </is>
      </c>
      <c r="I518" s="24" t="n">
        <v>13.223605</v>
      </c>
      <c r="J518" s="24" t="n">
        <v>123.677388</v>
      </c>
      <c r="K518" s="23" t="inlineStr">
        <is>
          <t>R</t>
        </is>
      </c>
      <c r="L518" s="25" t="n">
        <v>1060</v>
      </c>
      <c r="M518" s="26" t="n">
        <v>4.1</v>
      </c>
      <c r="N518" s="25">
        <f>ROUND(L518/M518, 0)</f>
        <v/>
      </c>
      <c r="O518" s="25">
        <f>ROUND(N518*'Methodology &amp; Assumptions'!$B$7, 0)</f>
        <v/>
      </c>
      <c r="P518" s="23" t="inlineStr">
        <is>
          <t>Single Carrier (Band n50, 100MHz TDD)</t>
        </is>
      </c>
      <c r="Q518" s="27">
        <f>ROUNDUP(O518/'Methodology &amp; Assumptions'!$B$8, 0)</f>
        <v/>
      </c>
      <c r="R518" s="27" t="n">
        <v>1</v>
      </c>
      <c r="S518" s="26" t="n">
        <v>4.54</v>
      </c>
      <c r="T518" s="26" t="n">
        <v>4.28</v>
      </c>
      <c r="U518" s="11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26" t="n">
        <v>55.19</v>
      </c>
      <c r="W518" s="26" t="n">
        <v>82.19</v>
      </c>
      <c r="X518" s="26">
        <f>ROUND(('Methodology &amp; Assumptions'!$B$5*V518) + ('Methodology &amp; Assumptions'!$B$6*W518), 2)</f>
        <v/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1</v>
      </c>
      <c r="B519" s="23" t="n">
        <v>515</v>
      </c>
      <c r="C519" s="23" t="n">
        <v>515</v>
      </c>
      <c r="D519" s="23" t="inlineStr">
        <is>
          <t>0405802003</t>
        </is>
      </c>
      <c r="E519" s="11" t="inlineStr">
        <is>
          <t>Region IV-A (CALABARZON)</t>
        </is>
      </c>
      <c r="F519" s="11" t="inlineStr">
        <is>
          <t>Rizal</t>
        </is>
      </c>
      <c r="G519" s="11" t="inlineStr">
        <is>
          <t>City of Antipolo</t>
        </is>
      </c>
      <c r="H519" s="11" t="inlineStr">
        <is>
          <t>Dela Paz</t>
        </is>
      </c>
      <c r="I519" s="24" t="n">
        <v>14.588723</v>
      </c>
      <c r="J519" s="24" t="n">
        <v>121.174013</v>
      </c>
      <c r="K519" s="23" t="inlineStr">
        <is>
          <t>U</t>
        </is>
      </c>
      <c r="L519" s="25" t="n">
        <v>73910</v>
      </c>
      <c r="M519" s="26" t="n">
        <v>3.6</v>
      </c>
      <c r="N519" s="25">
        <f>ROUND(L519/M519, 0)</f>
        <v/>
      </c>
      <c r="O519" s="25">
        <f>ROUND(N519*'Methodology &amp; Assumptions'!$B$7, 0)</f>
        <v/>
      </c>
      <c r="P519" s="23" t="inlineStr">
        <is>
          <t>Single Carrier (Band n50, 100MHz TDD)</t>
        </is>
      </c>
      <c r="Q519" s="27">
        <f>ROUNDUP(O519/'Methodology &amp; Assumptions'!$B$8, 0)</f>
        <v/>
      </c>
      <c r="R519" s="27" t="n">
        <v>1</v>
      </c>
      <c r="S519" s="26" t="n">
        <v>0.22</v>
      </c>
      <c r="T519" s="26" t="n">
        <v>0.17</v>
      </c>
      <c r="U519" s="11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26" t="n">
        <v>75.97</v>
      </c>
      <c r="W519" s="26" t="n">
        <v>61.36</v>
      </c>
      <c r="X519" s="26">
        <f>ROUND(('Methodology &amp; Assumptions'!$B$5*V519) + ('Methodology &amp; Assumptions'!$B$6*W519), 2)</f>
        <v/>
      </c>
      <c r="Y519" s="28" t="n">
        <v>7.2</v>
      </c>
      <c r="Z519" s="11" t="inlineStr">
        <is>
          <t>Priority Tier 2 (Balanced Opportunity)</t>
        </is>
      </c>
    </row>
    <row r="520">
      <c r="A520" s="23" t="n">
        <v>1</v>
      </c>
      <c r="B520" s="23" t="n">
        <v>516</v>
      </c>
      <c r="C520" s="23" t="n">
        <v>516</v>
      </c>
      <c r="D520" s="23" t="inlineStr">
        <is>
          <t>0401005029</t>
        </is>
      </c>
      <c r="E520" s="11" t="inlineStr">
        <is>
          <t>Region IV-A (CALABARZON)</t>
        </is>
      </c>
      <c r="F520" s="11" t="inlineStr">
        <is>
          <t>Batangas</t>
        </is>
      </c>
      <c r="G520" s="11" t="inlineStr">
        <is>
          <t>Batangas City</t>
        </is>
      </c>
      <c r="H520" s="11" t="inlineStr">
        <is>
          <t>Gulod Labak</t>
        </is>
      </c>
      <c r="I520" s="24" t="n">
        <v>13.7581</v>
      </c>
      <c r="J520" s="24" t="n">
        <v>121.0664</v>
      </c>
      <c r="K520" s="23" t="inlineStr">
        <is>
          <t>U</t>
        </is>
      </c>
      <c r="L520" s="25" t="n">
        <v>2487</v>
      </c>
      <c r="M520" s="26" t="n">
        <v>3.6</v>
      </c>
      <c r="N520" s="25">
        <f>ROUND(L520/M520, 0)</f>
        <v/>
      </c>
      <c r="O520" s="25">
        <f>ROUND(N520*'Methodology &amp; Assumptions'!$B$7, 0)</f>
        <v/>
      </c>
      <c r="P520" s="23" t="inlineStr">
        <is>
          <t>Single Carrier (Band n50, 100MHz TDD)</t>
        </is>
      </c>
      <c r="Q520" s="27">
        <f>ROUNDUP(O520/'Methodology &amp; Assumptions'!$B$8, 0)</f>
        <v/>
      </c>
      <c r="R520" s="27" t="n">
        <v>1</v>
      </c>
      <c r="S520" s="26" t="n">
        <v>1.13</v>
      </c>
      <c r="T520" s="26" t="n">
        <v>0.37</v>
      </c>
      <c r="U520" s="11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26" t="n">
        <v>73.05</v>
      </c>
      <c r="W520" s="26" t="n">
        <v>64.3</v>
      </c>
      <c r="X520" s="26">
        <f>ROUND(('Methodology &amp; Assumptions'!$B$5*V520) + ('Methodology &amp; Assumptions'!$B$6*W520), 2)</f>
        <v/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1</v>
      </c>
      <c r="B521" s="23" t="n">
        <v>517</v>
      </c>
      <c r="C521" s="23" t="n">
        <v>517</v>
      </c>
      <c r="D521" s="23" t="inlineStr">
        <is>
          <t>1403206008</t>
        </is>
      </c>
      <c r="E521" s="11" t="inlineStr">
        <is>
          <t>Cordillera Administrative Region (CAR)</t>
        </is>
      </c>
      <c r="F521" s="11" t="inlineStr">
        <is>
          <t>Kalinga</t>
        </is>
      </c>
      <c r="G521" s="11" t="inlineStr">
        <is>
          <t>Lubuagan</t>
        </is>
      </c>
      <c r="H521" s="11" t="inlineStr">
        <is>
          <t>Antonio Canao</t>
        </is>
      </c>
      <c r="I521" s="24" t="n">
        <v>15.486505</v>
      </c>
      <c r="J521" s="24" t="n">
        <v>120.973393</v>
      </c>
      <c r="K521" s="23" t="inlineStr">
        <is>
          <t>R</t>
        </is>
      </c>
      <c r="L521" s="25" t="n">
        <v>827</v>
      </c>
      <c r="M521" s="26" t="n">
        <v>4.3</v>
      </c>
      <c r="N521" s="25">
        <f>ROUND(L521/M521, 0)</f>
        <v/>
      </c>
      <c r="O521" s="25">
        <f>ROUND(N521*'Methodology &amp; Assumptions'!$B$7, 0)</f>
        <v/>
      </c>
      <c r="P521" s="23" t="inlineStr">
        <is>
          <t>Single Carrier (Band n50, 100MHz TDD)</t>
        </is>
      </c>
      <c r="Q521" s="27">
        <f>ROUNDUP(O521/'Methodology &amp; Assumptions'!$B$8, 0)</f>
        <v/>
      </c>
      <c r="R521" s="27" t="n">
        <v>1</v>
      </c>
      <c r="S521" s="26" t="n">
        <v>1.42</v>
      </c>
      <c r="T521" s="26" t="n">
        <v>0.29</v>
      </c>
      <c r="U521" s="11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26" t="n">
        <v>64.7</v>
      </c>
      <c r="W521" s="26" t="n">
        <v>72.64</v>
      </c>
      <c r="X521" s="26">
        <f>ROUND(('Methodology &amp; Assumptions'!$B$5*V521) + ('Methodology &amp; Assumptions'!$B$6*W521), 2)</f>
        <v/>
      </c>
      <c r="Y521" s="28" t="n">
        <v>10.9</v>
      </c>
      <c r="Z521" s="11" t="inlineStr">
        <is>
          <t>Priority Tier 2 (Balanced Opportunity)</t>
        </is>
      </c>
    </row>
    <row r="522">
      <c r="A522" s="23" t="n">
        <v>1</v>
      </c>
      <c r="B522" s="23" t="n">
        <v>518</v>
      </c>
      <c r="C522" s="23" t="n">
        <v>518</v>
      </c>
      <c r="D522" s="23" t="inlineStr">
        <is>
          <t>0201514002</t>
        </is>
      </c>
      <c r="E522" s="11" t="inlineStr">
        <is>
          <t>Region II (Cagayan Valley)</t>
        </is>
      </c>
      <c r="F522" s="11" t="inlineStr">
        <is>
          <t>Cagayan</t>
        </is>
      </c>
      <c r="G522" s="11" t="inlineStr">
        <is>
          <t>Gonzaga</t>
        </is>
      </c>
      <c r="H522" s="11" t="inlineStr">
        <is>
          <t>Batangan</t>
        </is>
      </c>
      <c r="I522" s="24" t="n">
        <v>18.1713</v>
      </c>
      <c r="J522" s="24" t="n">
        <v>122.0039</v>
      </c>
      <c r="K522" s="23" t="inlineStr">
        <is>
          <t>R</t>
        </is>
      </c>
      <c r="L522" s="25" t="n">
        <v>2268</v>
      </c>
      <c r="M522" s="26" t="n">
        <v>3.9</v>
      </c>
      <c r="N522" s="25">
        <f>ROUND(L522/M522, 0)</f>
        <v/>
      </c>
      <c r="O522" s="25">
        <f>ROUND(N522*'Methodology &amp; Assumptions'!$B$7, 0)</f>
        <v/>
      </c>
      <c r="P522" s="23" t="inlineStr">
        <is>
          <t>Single Carrier (Band n50, 100MHz TDD)</t>
        </is>
      </c>
      <c r="Q522" s="27">
        <f>ROUNDUP(O522/'Methodology &amp; Assumptions'!$B$8, 0)</f>
        <v/>
      </c>
      <c r="R522" s="27" t="n">
        <v>1</v>
      </c>
      <c r="S522" s="26" t="n">
        <v>10.25</v>
      </c>
      <c r="T522" s="26" t="n">
        <v>8.94</v>
      </c>
      <c r="U522" s="11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26" t="n">
        <v>57.2</v>
      </c>
      <c r="W522" s="26" t="n">
        <v>80.13</v>
      </c>
      <c r="X522" s="26">
        <f>ROUND(('Methodology &amp; Assumptions'!$B$5*V522) + ('Methodology &amp; Assumptions'!$B$6*W522), 2)</f>
        <v/>
      </c>
      <c r="Y522" s="28" t="n">
        <v>8.300000000000001</v>
      </c>
      <c r="Z522" s="11" t="inlineStr">
        <is>
          <t>Priority Tier 2 (Balanced Opportunity)</t>
        </is>
      </c>
    </row>
    <row r="523">
      <c r="A523" s="23" t="n">
        <v>1</v>
      </c>
      <c r="B523" s="23" t="n">
        <v>519</v>
      </c>
      <c r="C523" s="23" t="n">
        <v>519</v>
      </c>
      <c r="D523" s="23" t="inlineStr">
        <is>
          <t>1380606190</t>
        </is>
      </c>
      <c r="E523" s="11" t="inlineStr">
        <is>
          <t>National Capital Region (NCR)</t>
        </is>
      </c>
      <c r="F523" s="11" t="inlineStr">
        <is>
          <t>First District (Not a Province)</t>
        </is>
      </c>
      <c r="G523" s="11" t="inlineStr">
        <is>
          <t>City of Manila</t>
        </is>
      </c>
      <c r="H523" s="11" t="inlineStr">
        <is>
          <t>Barangay 584</t>
        </is>
      </c>
      <c r="I523" s="24" t="n">
        <v>14.60755</v>
      </c>
      <c r="J523" s="24" t="n">
        <v>121.0128</v>
      </c>
      <c r="K523" s="23" t="inlineStr">
        <is>
          <t>U</t>
        </is>
      </c>
      <c r="L523" s="25" t="n">
        <v>3486</v>
      </c>
      <c r="M523" s="26" t="n">
        <v>3.77</v>
      </c>
      <c r="N523" s="25">
        <f>ROUND(L523/M523, 0)</f>
        <v/>
      </c>
      <c r="O523" s="25">
        <f>ROUND(N523*'Methodology &amp; Assumptions'!$B$7, 0)</f>
        <v/>
      </c>
      <c r="P523" s="23" t="inlineStr">
        <is>
          <t>Single Carrier (Band n50, 100MHz TDD)</t>
        </is>
      </c>
      <c r="Q523" s="27">
        <f>ROUNDUP(O523/'Methodology &amp; Assumptions'!$B$8, 0)</f>
        <v/>
      </c>
      <c r="R523" s="27" t="n">
        <v>1</v>
      </c>
      <c r="S523" s="26" t="n">
        <v>1.04</v>
      </c>
      <c r="T523" s="26" t="n">
        <v>0.14</v>
      </c>
      <c r="U523" s="11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26" t="n">
        <v>68.31</v>
      </c>
      <c r="W523" s="26" t="n">
        <v>69.01000000000001</v>
      </c>
      <c r="X523" s="26">
        <f>ROUND(('Methodology &amp; Assumptions'!$B$5*V523) + ('Methodology &amp; Assumptions'!$B$6*W523), 2)</f>
        <v/>
      </c>
      <c r="Y523" s="28" t="n">
        <v>10.9</v>
      </c>
      <c r="Z523" s="11" t="inlineStr">
        <is>
          <t>Priority Tier 2 (Balanced Opportunity)</t>
        </is>
      </c>
    </row>
    <row r="524">
      <c r="A524" s="23" t="n">
        <v>1</v>
      </c>
      <c r="B524" s="23" t="n">
        <v>520</v>
      </c>
      <c r="C524" s="23" t="n">
        <v>520</v>
      </c>
      <c r="D524" s="23" t="inlineStr">
        <is>
          <t>0300809012</t>
        </is>
      </c>
      <c r="E524" s="11" t="inlineStr">
        <is>
          <t>Region III (Central Luzon)</t>
        </is>
      </c>
      <c r="F524" s="11" t="inlineStr">
        <is>
          <t>Bataan</t>
        </is>
      </c>
      <c r="G524" s="11" t="inlineStr">
        <is>
          <t>Orani</t>
        </is>
      </c>
      <c r="H524" s="11" t="inlineStr">
        <is>
          <t>Palihan</t>
        </is>
      </c>
      <c r="I524" s="24" t="n">
        <v>14.804486</v>
      </c>
      <c r="J524" s="24" t="n">
        <v>120.539973</v>
      </c>
      <c r="K524" s="23" t="inlineStr">
        <is>
          <t>R</t>
        </is>
      </c>
      <c r="L524" s="25" t="n">
        <v>2633</v>
      </c>
      <c r="M524" s="26" t="n">
        <v>3.6</v>
      </c>
      <c r="N524" s="25">
        <f>ROUND(L524/M524, 0)</f>
        <v/>
      </c>
      <c r="O524" s="25">
        <f>ROUND(N524*'Methodology &amp; Assumptions'!$B$7, 0)</f>
        <v/>
      </c>
      <c r="P524" s="23" t="inlineStr">
        <is>
          <t>Single Carrier (Band n50, 100MHz TDD)</t>
        </is>
      </c>
      <c r="Q524" s="27">
        <f>ROUNDUP(O524/'Methodology &amp; Assumptions'!$B$8, 0)</f>
        <v/>
      </c>
      <c r="R524" s="27" t="n">
        <v>1</v>
      </c>
      <c r="S524" s="26" t="n">
        <v>0.47</v>
      </c>
      <c r="T524" s="26" t="n">
        <v>0.49</v>
      </c>
      <c r="U524" s="11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26" t="n">
        <v>82.75</v>
      </c>
      <c r="W524" s="26" t="n">
        <v>54.54</v>
      </c>
      <c r="X524" s="26">
        <f>ROUND(('Methodology &amp; Assumptions'!$B$5*V524) + ('Methodology &amp; Assumptions'!$B$6*W524), 2)</f>
        <v/>
      </c>
      <c r="Y524" s="28" t="n">
        <v>8.300000000000001</v>
      </c>
      <c r="Z524" s="11" t="inlineStr">
        <is>
          <t>Priority Tier 2 (Balanced Opportunity)</t>
        </is>
      </c>
    </row>
    <row r="525">
      <c r="A525" s="23" t="n">
        <v>1</v>
      </c>
      <c r="B525" s="23" t="n">
        <v>521</v>
      </c>
      <c r="C525" s="23" t="n">
        <v>521</v>
      </c>
      <c r="D525" s="23" t="inlineStr">
        <is>
          <t>0603018031</t>
        </is>
      </c>
      <c r="E525" s="11" t="inlineStr">
        <is>
          <t>Region VI (Western Visayas)</t>
        </is>
      </c>
      <c r="F525" s="11" t="inlineStr">
        <is>
          <t>Iloilo</t>
        </is>
      </c>
      <c r="G525" s="11" t="inlineStr">
        <is>
          <t>Dumangas</t>
        </is>
      </c>
      <c r="H525" s="11" t="inlineStr">
        <is>
          <t>Nanding Lopez</t>
        </is>
      </c>
      <c r="I525" s="24" t="n">
        <v>10.8623</v>
      </c>
      <c r="J525" s="24" t="n">
        <v>122.768</v>
      </c>
      <c r="K525" s="23" t="inlineStr">
        <is>
          <t>R</t>
        </is>
      </c>
      <c r="L525" s="25" t="n">
        <v>1881</v>
      </c>
      <c r="M525" s="26" t="n">
        <v>3.8</v>
      </c>
      <c r="N525" s="25">
        <f>ROUND(L525/M525, 0)</f>
        <v/>
      </c>
      <c r="O525" s="25">
        <f>ROUND(N525*'Methodology &amp; Assumptions'!$B$7, 0)</f>
        <v/>
      </c>
      <c r="P525" s="23" t="inlineStr">
        <is>
          <t>Single Carrier (Band n50, 100MHz TDD)</t>
        </is>
      </c>
      <c r="Q525" s="27">
        <f>ROUNDUP(O525/'Methodology &amp; Assumptions'!$B$8, 0)</f>
        <v/>
      </c>
      <c r="R525" s="27" t="n">
        <v>1</v>
      </c>
      <c r="S525" s="26" t="n">
        <v>7.54</v>
      </c>
      <c r="T525" s="26" t="n">
        <v>5.58</v>
      </c>
      <c r="U525" s="11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26" t="n">
        <v>58.02</v>
      </c>
      <c r="W525" s="26" t="n">
        <v>79.27</v>
      </c>
      <c r="X525" s="26">
        <f>ROUND(('Methodology &amp; Assumptions'!$B$5*V525) + ('Methodology &amp; Assumptions'!$B$6*W525), 2)</f>
        <v/>
      </c>
      <c r="Y525" s="28" t="n">
        <v>23.7</v>
      </c>
      <c r="Z525" s="11" t="inlineStr">
        <is>
          <t>Priority Tier 2 (Balanced Opportunity)</t>
        </is>
      </c>
    </row>
    <row r="526">
      <c r="A526" s="23" t="n">
        <v>1</v>
      </c>
      <c r="B526" s="23" t="n">
        <v>522</v>
      </c>
      <c r="C526" s="23" t="n">
        <v>522</v>
      </c>
      <c r="D526" s="23" t="inlineStr">
        <is>
          <t>1381100172</t>
        </is>
      </c>
      <c r="E526" s="11" t="inlineStr">
        <is>
          <t>National Capital Region (NCR)</t>
        </is>
      </c>
      <c r="F526" s="11" t="inlineStr">
        <is>
          <t>Fourth District (Not a Province)</t>
        </is>
      </c>
      <c r="G526" s="11" t="inlineStr">
        <is>
          <t>Pasay City</t>
        </is>
      </c>
      <c r="H526" s="11" t="inlineStr">
        <is>
          <t>Barangay 172</t>
        </is>
      </c>
      <c r="I526" s="24" t="n">
        <v>14.535446</v>
      </c>
      <c r="J526" s="24" t="n">
        <v>121.011624</v>
      </c>
      <c r="K526" s="23" t="inlineStr">
        <is>
          <t>U</t>
        </is>
      </c>
      <c r="L526" s="25" t="n">
        <v>5502</v>
      </c>
      <c r="M526" s="26" t="n">
        <v>3.47</v>
      </c>
      <c r="N526" s="25">
        <f>ROUND(L526/M526, 0)</f>
        <v/>
      </c>
      <c r="O526" s="25">
        <f>ROUND(N526*'Methodology &amp; Assumptions'!$B$7, 0)</f>
        <v/>
      </c>
      <c r="P526" s="23" t="inlineStr">
        <is>
          <t>Single Carrier (Band n50, 100MHz TDD)</t>
        </is>
      </c>
      <c r="Q526" s="27">
        <f>ROUNDUP(O526/'Methodology &amp; Assumptions'!$B$8, 0)</f>
        <v/>
      </c>
      <c r="R526" s="27" t="n">
        <v>1</v>
      </c>
      <c r="S526" s="26" t="n">
        <v>1.56</v>
      </c>
      <c r="T526" s="26" t="n">
        <v>0.61</v>
      </c>
      <c r="U526" s="11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26" t="n">
        <v>66.38</v>
      </c>
      <c r="W526" s="26" t="n">
        <v>70.87</v>
      </c>
      <c r="X526" s="26">
        <f>ROUND(('Methodology &amp; Assumptions'!$B$5*V526) + ('Methodology &amp; Assumptions'!$B$6*W526), 2)</f>
        <v/>
      </c>
      <c r="Y526" s="28" t="n">
        <v>10.9</v>
      </c>
      <c r="Z526" s="11" t="inlineStr">
        <is>
          <t>Priority Tier 2 (Balanced Opportunity)</t>
        </is>
      </c>
    </row>
    <row r="527">
      <c r="A527" s="23" t="n">
        <v>1</v>
      </c>
      <c r="B527" s="23" t="n">
        <v>523</v>
      </c>
      <c r="C527" s="23" t="n">
        <v>523</v>
      </c>
      <c r="D527" s="23" t="inlineStr">
        <is>
          <t>1102509012</t>
        </is>
      </c>
      <c r="E527" s="11" t="inlineStr">
        <is>
          <t>Region XI (Davao Region)</t>
        </is>
      </c>
      <c r="F527" s="11" t="inlineStr">
        <is>
          <t>Davao Oriental</t>
        </is>
      </c>
      <c r="G527" s="11" t="inlineStr">
        <is>
          <t>City of Mati</t>
        </is>
      </c>
      <c r="H527" s="11" t="inlineStr">
        <is>
          <t>Don Salvador Lopez, Sr.</t>
        </is>
      </c>
      <c r="I527" s="24" t="n">
        <v>7.062948</v>
      </c>
      <c r="J527" s="24" t="n">
        <v>126.273931</v>
      </c>
      <c r="K527" s="23" t="inlineStr">
        <is>
          <t>R</t>
        </is>
      </c>
      <c r="L527" s="25" t="n">
        <v>4799</v>
      </c>
      <c r="M527" s="26" t="n">
        <v>3.6</v>
      </c>
      <c r="N527" s="25">
        <f>ROUND(L527/M527, 0)</f>
        <v/>
      </c>
      <c r="O527" s="25">
        <f>ROUND(N527*'Methodology &amp; Assumptions'!$B$7, 0)</f>
        <v/>
      </c>
      <c r="P527" s="23" t="inlineStr">
        <is>
          <t>Single Carrier (Band n50, 100MHz TDD)</t>
        </is>
      </c>
      <c r="Q527" s="27">
        <f>ROUNDUP(O527/'Methodology &amp; Assumptions'!$B$8, 0)</f>
        <v/>
      </c>
      <c r="R527" s="27" t="n">
        <v>1</v>
      </c>
      <c r="S527" s="26" t="n">
        <v>13.5</v>
      </c>
      <c r="T527" s="26" t="n">
        <v>13.49</v>
      </c>
      <c r="U527" s="11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26" t="n">
        <v>63.04</v>
      </c>
      <c r="W527" s="26" t="n">
        <v>74.23</v>
      </c>
      <c r="X527" s="26">
        <f>ROUND(('Methodology &amp; Assumptions'!$B$5*V527) + ('Methodology &amp; Assumptions'!$B$6*W527), 2)</f>
        <v/>
      </c>
      <c r="Y527" s="28" t="n">
        <v>17.4</v>
      </c>
      <c r="Z527" s="11" t="inlineStr">
        <is>
          <t>Priority Tier 2 (Balanced Opportunity)</t>
        </is>
      </c>
    </row>
    <row r="528">
      <c r="A528" s="23" t="n">
        <v>1</v>
      </c>
      <c r="B528" s="23" t="n">
        <v>524</v>
      </c>
      <c r="C528" s="23" t="n">
        <v>524</v>
      </c>
      <c r="D528" s="23" t="inlineStr">
        <is>
          <t>1380602006</t>
        </is>
      </c>
      <c r="E528" s="11" t="inlineStr">
        <is>
          <t>National Capital Region (NCR)</t>
        </is>
      </c>
      <c r="F528" s="11" t="inlineStr">
        <is>
          <t>First District (Not a Province)</t>
        </is>
      </c>
      <c r="G528" s="11" t="inlineStr">
        <is>
          <t>City of Manila</t>
        </is>
      </c>
      <c r="H528" s="11" t="inlineStr">
        <is>
          <t>Barangay 292</t>
        </is>
      </c>
      <c r="I528" s="24" t="n">
        <v>14.60486</v>
      </c>
      <c r="J528" s="24" t="n">
        <v>120.974805</v>
      </c>
      <c r="K528" s="23" t="inlineStr">
        <is>
          <t>U</t>
        </is>
      </c>
      <c r="L528" s="25" t="n">
        <v>3113</v>
      </c>
      <c r="M528" s="26" t="n">
        <v>3.92</v>
      </c>
      <c r="N528" s="25">
        <f>ROUND(L528/M528, 0)</f>
        <v/>
      </c>
      <c r="O528" s="25">
        <f>ROUND(N528*'Methodology &amp; Assumptions'!$B$7, 0)</f>
        <v/>
      </c>
      <c r="P528" s="23" t="inlineStr">
        <is>
          <t>Single Carrier (Band n50, 100MHz TDD)</t>
        </is>
      </c>
      <c r="Q528" s="27">
        <f>ROUNDUP(O528/'Methodology &amp; Assumptions'!$B$8, 0)</f>
        <v/>
      </c>
      <c r="R528" s="27" t="n">
        <v>1</v>
      </c>
      <c r="S528" s="26" t="n">
        <v>0.59</v>
      </c>
      <c r="T528" s="26" t="n">
        <v>0.13</v>
      </c>
      <c r="U528" s="11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26" t="n">
        <v>66.59</v>
      </c>
      <c r="W528" s="26" t="n">
        <v>70.66</v>
      </c>
      <c r="X528" s="26">
        <f>ROUND(('Methodology &amp; Assumptions'!$B$5*V528) + ('Methodology &amp; Assumptions'!$B$6*W528), 2)</f>
        <v/>
      </c>
      <c r="Y528" s="28" t="n">
        <v>10.9</v>
      </c>
      <c r="Z528" s="11" t="inlineStr">
        <is>
          <t>Priority Tier 2 (Balanced Opportunity)</t>
        </is>
      </c>
    </row>
    <row r="529">
      <c r="A529" s="23" t="n">
        <v>1</v>
      </c>
      <c r="B529" s="23" t="n">
        <v>525</v>
      </c>
      <c r="C529" s="23" t="n">
        <v>525</v>
      </c>
      <c r="D529" s="23" t="inlineStr">
        <is>
          <t>0102814005</t>
        </is>
      </c>
      <c r="E529" s="11" t="inlineStr">
        <is>
          <t>Region I (Ilocos Region)</t>
        </is>
      </c>
      <c r="F529" s="11" t="inlineStr">
        <is>
          <t>Ilocos Norte</t>
        </is>
      </c>
      <c r="G529" s="11" t="inlineStr">
        <is>
          <t>Nueva Era</t>
        </is>
      </c>
      <c r="H529" s="11" t="inlineStr">
        <is>
          <t>Cabittauran</t>
        </is>
      </c>
      <c r="I529" s="24" t="n">
        <v>17.936493</v>
      </c>
      <c r="J529" s="24" t="n">
        <v>120.729247</v>
      </c>
      <c r="K529" s="23" t="inlineStr">
        <is>
          <t>R</t>
        </is>
      </c>
      <c r="L529" s="25" t="n">
        <v>1091</v>
      </c>
      <c r="M529" s="26" t="n">
        <v>3.7</v>
      </c>
      <c r="N529" s="25">
        <f>ROUND(L529/M529, 0)</f>
        <v/>
      </c>
      <c r="O529" s="25">
        <f>ROUND(N529*'Methodology &amp; Assumptions'!$B$7, 0)</f>
        <v/>
      </c>
      <c r="P529" s="23" t="inlineStr">
        <is>
          <t>Single Carrier (Band n50, 100MHz TDD)</t>
        </is>
      </c>
      <c r="Q529" s="27">
        <f>ROUNDUP(O529/'Methodology &amp; Assumptions'!$B$8, 0)</f>
        <v/>
      </c>
      <c r="R529" s="27" t="n">
        <v>1</v>
      </c>
      <c r="S529" s="26" t="n">
        <v>7.66</v>
      </c>
      <c r="T529" s="26" t="n">
        <v>6.83</v>
      </c>
      <c r="U529" s="11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26" t="n">
        <v>50</v>
      </c>
      <c r="W529" s="26" t="n">
        <v>87.23999999999999</v>
      </c>
      <c r="X529" s="26">
        <f>ROUND(('Methodology &amp; Assumptions'!$B$5*V529) + ('Methodology &amp; Assumptions'!$B$6*W529), 2)</f>
        <v/>
      </c>
      <c r="Y529" s="28" t="n">
        <v>8.300000000000001</v>
      </c>
      <c r="Z529" s="11" t="inlineStr">
        <is>
          <t>Priority Tier 2 (Balanced Opportunity)</t>
        </is>
      </c>
    </row>
    <row r="530">
      <c r="A530" s="23" t="n">
        <v>1</v>
      </c>
      <c r="B530" s="23" t="n">
        <v>526</v>
      </c>
      <c r="C530" s="23" t="n">
        <v>526</v>
      </c>
      <c r="D530" s="23" t="inlineStr">
        <is>
          <t>1380300029</t>
        </is>
      </c>
      <c r="E530" s="11" t="inlineStr">
        <is>
          <t>National Capital Region (NCR)</t>
        </is>
      </c>
      <c r="F530" s="11" t="inlineStr">
        <is>
          <t>Fourth District (Not a Province)</t>
        </is>
      </c>
      <c r="G530" s="11" t="inlineStr">
        <is>
          <t>City of Makati</t>
        </is>
      </c>
      <c r="H530" s="11" t="inlineStr">
        <is>
          <t>Tejeros</t>
        </is>
      </c>
      <c r="I530" s="24" t="n">
        <v>14.57434</v>
      </c>
      <c r="J530" s="24" t="n">
        <v>121.0139</v>
      </c>
      <c r="K530" s="23" t="inlineStr">
        <is>
          <t>U</t>
        </is>
      </c>
      <c r="L530" s="25" t="n">
        <v>16019</v>
      </c>
      <c r="M530" s="26" t="n">
        <v>3.44</v>
      </c>
      <c r="N530" s="25">
        <f>ROUND(L530/M530, 0)</f>
        <v/>
      </c>
      <c r="O530" s="25">
        <f>ROUND(N530*'Methodology &amp; Assumptions'!$B$7, 0)</f>
        <v/>
      </c>
      <c r="P530" s="23" t="inlineStr">
        <is>
          <t>Single Carrier (Band n50, 100MHz TDD)</t>
        </is>
      </c>
      <c r="Q530" s="27">
        <f>ROUNDUP(O530/'Methodology &amp; Assumptions'!$B$8, 0)</f>
        <v/>
      </c>
      <c r="R530" s="27" t="n">
        <v>1</v>
      </c>
      <c r="S530" s="26" t="n">
        <v>1.64</v>
      </c>
      <c r="T530" s="26" t="n">
        <v>0.13</v>
      </c>
      <c r="U530" s="11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26" t="n">
        <v>65.84</v>
      </c>
      <c r="W530" s="26" t="n">
        <v>71.37</v>
      </c>
      <c r="X530" s="26">
        <f>ROUND(('Methodology &amp; Assumptions'!$B$5*V530) + ('Methodology &amp; Assumptions'!$B$6*W530), 2)</f>
        <v/>
      </c>
      <c r="Y530" s="28" t="n">
        <v>10.9</v>
      </c>
      <c r="Z530" s="11" t="inlineStr">
        <is>
          <t>Priority Tier 2 (Balanced Opportunity)</t>
        </is>
      </c>
    </row>
    <row r="531">
      <c r="A531" s="23" t="n">
        <v>1</v>
      </c>
      <c r="B531" s="23" t="n">
        <v>527</v>
      </c>
      <c r="C531" s="23" t="n">
        <v>527</v>
      </c>
      <c r="D531" s="23" t="inlineStr">
        <is>
          <t>0600413015</t>
        </is>
      </c>
      <c r="E531" s="11" t="inlineStr">
        <is>
          <t>Region VI (Western Visayas)</t>
        </is>
      </c>
      <c r="F531" s="11" t="inlineStr">
        <is>
          <t>Aklan</t>
        </is>
      </c>
      <c r="G531" s="11" t="inlineStr">
        <is>
          <t>Malinao</t>
        </is>
      </c>
      <c r="H531" s="11" t="inlineStr">
        <is>
          <t>Poblacion</t>
        </is>
      </c>
      <c r="I531" s="24" t="n">
        <v>11.615275</v>
      </c>
      <c r="J531" s="24" t="n">
        <v>122.2427</v>
      </c>
      <c r="K531" s="23" t="inlineStr">
        <is>
          <t>R</t>
        </is>
      </c>
      <c r="L531" s="25" t="n">
        <v>1665</v>
      </c>
      <c r="M531" s="26" t="n">
        <v>3.9</v>
      </c>
      <c r="N531" s="25">
        <f>ROUND(L531/M531, 0)</f>
        <v/>
      </c>
      <c r="O531" s="25">
        <f>ROUND(N531*'Methodology &amp; Assumptions'!$B$7, 0)</f>
        <v/>
      </c>
      <c r="P531" s="23" t="inlineStr">
        <is>
          <t>Single Carrier (Band n50, 100MHz TDD)</t>
        </is>
      </c>
      <c r="Q531" s="27">
        <f>ROUNDUP(O531/'Methodology &amp; Assumptions'!$B$8, 0)</f>
        <v/>
      </c>
      <c r="R531" s="27" t="n">
        <v>1</v>
      </c>
      <c r="S531" s="26" t="n">
        <v>5.96</v>
      </c>
      <c r="T531" s="26" t="n">
        <v>10.37</v>
      </c>
      <c r="U531" s="11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26" t="n">
        <v>57.96</v>
      </c>
      <c r="W531" s="26" t="n">
        <v>79.26000000000001</v>
      </c>
      <c r="X531" s="26">
        <f>ROUND(('Methodology &amp; Assumptions'!$B$5*V531) + ('Methodology &amp; Assumptions'!$B$6*W531), 2)</f>
        <v/>
      </c>
      <c r="Y531" s="28" t="n">
        <v>23.7</v>
      </c>
      <c r="Z531" s="11" t="inlineStr">
        <is>
          <t>Priority Tier 2 (Balanced Opportunity)</t>
        </is>
      </c>
    </row>
    <row r="532">
      <c r="A532" s="23" t="n">
        <v>1</v>
      </c>
      <c r="B532" s="23" t="n">
        <v>528</v>
      </c>
      <c r="C532" s="23" t="n">
        <v>528</v>
      </c>
      <c r="D532" s="23" t="inlineStr">
        <is>
          <t>1380614035</t>
        </is>
      </c>
      <c r="E532" s="11" t="inlineStr">
        <is>
          <t>National Capital Region (NCR)</t>
        </is>
      </c>
      <c r="F532" s="11" t="inlineStr">
        <is>
          <t>First District (Not a Province)</t>
        </is>
      </c>
      <c r="G532" s="11" t="inlineStr">
        <is>
          <t>City of Manila</t>
        </is>
      </c>
      <c r="H532" s="11" t="inlineStr">
        <is>
          <t>Barangay 779</t>
        </is>
      </c>
      <c r="I532" s="24" t="n">
        <v>14.5751</v>
      </c>
      <c r="J532" s="24" t="n">
        <v>121.00829</v>
      </c>
      <c r="K532" s="23" t="inlineStr">
        <is>
          <t>U</t>
        </is>
      </c>
      <c r="L532" s="25" t="n">
        <v>4450</v>
      </c>
      <c r="M532" s="26" t="n">
        <v>5.02</v>
      </c>
      <c r="N532" s="25">
        <f>ROUND(L532/M532, 0)</f>
        <v/>
      </c>
      <c r="O532" s="25">
        <f>ROUND(N532*'Methodology &amp; Assumptions'!$B$7, 0)</f>
        <v/>
      </c>
      <c r="P532" s="23" t="inlineStr">
        <is>
          <t>Single Carrier (Band n50, 100MHz TDD)</t>
        </is>
      </c>
      <c r="Q532" s="27">
        <f>ROUNDUP(O532/'Methodology &amp; Assumptions'!$B$8, 0)</f>
        <v/>
      </c>
      <c r="R532" s="27" t="n">
        <v>1</v>
      </c>
      <c r="S532" s="26" t="n">
        <v>1.19</v>
      </c>
      <c r="T532" s="26" t="n">
        <v>0.39</v>
      </c>
      <c r="U532" s="11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26" t="n">
        <v>67.73999999999999</v>
      </c>
      <c r="W532" s="26" t="n">
        <v>69.45</v>
      </c>
      <c r="X532" s="26">
        <f>ROUND(('Methodology &amp; Assumptions'!$B$5*V532) + ('Methodology &amp; Assumptions'!$B$6*W532), 2)</f>
        <v/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1</v>
      </c>
      <c r="B533" s="23" t="n">
        <v>529</v>
      </c>
      <c r="C533" s="23" t="n">
        <v>529</v>
      </c>
      <c r="D533" s="23" t="inlineStr">
        <is>
          <t>1380601120</t>
        </is>
      </c>
      <c r="E533" s="11" t="inlineStr">
        <is>
          <t>National Capital Region (NCR)</t>
        </is>
      </c>
      <c r="F533" s="11" t="inlineStr">
        <is>
          <t>First District (Not a Province)</t>
        </is>
      </c>
      <c r="G533" s="11" t="inlineStr">
        <is>
          <t>City of Manila</t>
        </is>
      </c>
      <c r="H533" s="11" t="inlineStr">
        <is>
          <t>Barangay 120</t>
        </is>
      </c>
      <c r="I533" s="24" t="n">
        <v>14.640345</v>
      </c>
      <c r="J533" s="24" t="n">
        <v>120.984224</v>
      </c>
      <c r="K533" s="23" t="inlineStr">
        <is>
          <t>U</t>
        </is>
      </c>
      <c r="L533" s="25" t="n">
        <v>3886</v>
      </c>
      <c r="M533" s="26" t="n">
        <v>4.77</v>
      </c>
      <c r="N533" s="25">
        <f>ROUND(L533/M533, 0)</f>
        <v/>
      </c>
      <c r="O533" s="25">
        <f>ROUND(N533*'Methodology &amp; Assumptions'!$B$7, 0)</f>
        <v/>
      </c>
      <c r="P533" s="23" t="inlineStr">
        <is>
          <t>Single Carrier (Band n50, 100MHz TDD)</t>
        </is>
      </c>
      <c r="Q533" s="27">
        <f>ROUNDUP(O533/'Methodology &amp; Assumptions'!$B$8, 0)</f>
        <v/>
      </c>
      <c r="R533" s="27" t="n">
        <v>1</v>
      </c>
      <c r="S533" s="26" t="n">
        <v>0.93</v>
      </c>
      <c r="T533" s="26" t="n">
        <v>0.12</v>
      </c>
      <c r="U533" s="11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26" t="n">
        <v>66.90000000000001</v>
      </c>
      <c r="W533" s="26" t="n">
        <v>70.3</v>
      </c>
      <c r="X533" s="26">
        <f>ROUND(('Methodology &amp; Assumptions'!$B$5*V533) + ('Methodology &amp; Assumptions'!$B$6*W533), 2)</f>
        <v/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1</v>
      </c>
      <c r="B534" s="23" t="n">
        <v>530</v>
      </c>
      <c r="C534" s="23" t="n">
        <v>530</v>
      </c>
      <c r="D534" s="23" t="inlineStr">
        <is>
          <t>1380606207</t>
        </is>
      </c>
      <c r="E534" s="11" t="inlineStr">
        <is>
          <t>National Capital Region (NCR)</t>
        </is>
      </c>
      <c r="F534" s="11" t="inlineStr">
        <is>
          <t>First District (Not a Province)</t>
        </is>
      </c>
      <c r="G534" s="11" t="inlineStr">
        <is>
          <t>City of Manila</t>
        </is>
      </c>
      <c r="H534" s="11" t="inlineStr">
        <is>
          <t>Barangay 600</t>
        </is>
      </c>
      <c r="I534" s="24" t="n">
        <v>14.596609</v>
      </c>
      <c r="J534" s="24" t="n">
        <v>121.017383</v>
      </c>
      <c r="K534" s="23" t="inlineStr">
        <is>
          <t>U</t>
        </is>
      </c>
      <c r="L534" s="25" t="n">
        <v>6276</v>
      </c>
      <c r="M534" s="26" t="n">
        <v>4.84</v>
      </c>
      <c r="N534" s="25">
        <f>ROUND(L534/M534, 0)</f>
        <v/>
      </c>
      <c r="O534" s="25">
        <f>ROUND(N534*'Methodology &amp; Assumptions'!$B$7, 0)</f>
        <v/>
      </c>
      <c r="P534" s="23" t="inlineStr">
        <is>
          <t>Single Carrier (Band n50, 100MHz TDD)</t>
        </is>
      </c>
      <c r="Q534" s="27">
        <f>ROUNDUP(O534/'Methodology &amp; Assumptions'!$B$8, 0)</f>
        <v/>
      </c>
      <c r="R534" s="27" t="n">
        <v>1</v>
      </c>
      <c r="S534" s="26" t="n">
        <v>1.51</v>
      </c>
      <c r="T534" s="26" t="n">
        <v>0.71</v>
      </c>
      <c r="U534" s="11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26" t="n">
        <v>66.56999999999999</v>
      </c>
      <c r="W534" s="26" t="n">
        <v>70.62</v>
      </c>
      <c r="X534" s="26">
        <f>ROUND(('Methodology &amp; Assumptions'!$B$5*V534) + ('Methodology &amp; Assumptions'!$B$6*W534), 2)</f>
        <v/>
      </c>
      <c r="Y534" s="28" t="n">
        <v>10.9</v>
      </c>
      <c r="Z534" s="11" t="inlineStr">
        <is>
          <t>Priority Tier 2 (Balanced Opportunity)</t>
        </is>
      </c>
    </row>
    <row r="535">
      <c r="A535" s="23" t="n">
        <v>1</v>
      </c>
      <c r="B535" s="23" t="n">
        <v>531</v>
      </c>
      <c r="C535" s="23" t="n">
        <v>531</v>
      </c>
      <c r="D535" s="23" t="inlineStr">
        <is>
          <t>1381000001</t>
        </is>
      </c>
      <c r="E535" s="11" t="inlineStr">
        <is>
          <t>National Capital Region (NCR)</t>
        </is>
      </c>
      <c r="F535" s="11" t="inlineStr">
        <is>
          <t>Fourth District (Not a Province)</t>
        </is>
      </c>
      <c r="G535" s="11" t="inlineStr">
        <is>
          <t>City of Parañaque</t>
        </is>
      </c>
      <c r="H535" s="11" t="inlineStr">
        <is>
          <t>Baclaran</t>
        </is>
      </c>
      <c r="I535" s="24" t="n">
        <v>14.532109</v>
      </c>
      <c r="J535" s="24" t="n">
        <v>120.997904</v>
      </c>
      <c r="K535" s="23" t="inlineStr">
        <is>
          <t>U</t>
        </is>
      </c>
      <c r="L535" s="25" t="n">
        <v>35290</v>
      </c>
      <c r="M535" s="26" t="n">
        <v>2.42</v>
      </c>
      <c r="N535" s="25">
        <f>ROUND(L535/M535, 0)</f>
        <v/>
      </c>
      <c r="O535" s="25">
        <f>ROUND(N535*'Methodology &amp; Assumptions'!$B$7, 0)</f>
        <v/>
      </c>
      <c r="P535" s="23" t="inlineStr">
        <is>
          <t>Single Carrier (Band n50, 100MHz TDD)</t>
        </is>
      </c>
      <c r="Q535" s="27">
        <f>ROUNDUP(O535/'Methodology &amp; Assumptions'!$B$8, 0)</f>
        <v/>
      </c>
      <c r="R535" s="27" t="n">
        <v>1</v>
      </c>
      <c r="S535" s="26" t="n">
        <v>0.48</v>
      </c>
      <c r="T535" s="26" t="n">
        <v>0.12</v>
      </c>
      <c r="U535" s="11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26" t="n">
        <v>66.19</v>
      </c>
      <c r="W535" s="26" t="n">
        <v>71.02</v>
      </c>
      <c r="X535" s="26">
        <f>ROUND(('Methodology &amp; Assumptions'!$B$5*V535) + ('Methodology &amp; Assumptions'!$B$6*W535), 2)</f>
        <v/>
      </c>
      <c r="Y535" s="28" t="n">
        <v>10.9</v>
      </c>
      <c r="Z535" s="11" t="inlineStr">
        <is>
          <t>Priority Tier 2 (Balanced Opportunity)</t>
        </is>
      </c>
    </row>
    <row r="536">
      <c r="A536" s="23" t="n">
        <v>1</v>
      </c>
      <c r="B536" s="23" t="n">
        <v>532</v>
      </c>
      <c r="C536" s="23" t="n">
        <v>532</v>
      </c>
      <c r="D536" s="23" t="inlineStr">
        <is>
          <t>1380612003</t>
        </is>
      </c>
      <c r="E536" s="11" t="inlineStr">
        <is>
          <t>National Capital Region (NCR)</t>
        </is>
      </c>
      <c r="F536" s="11" t="inlineStr">
        <is>
          <t>First District (Not a Province)</t>
        </is>
      </c>
      <c r="G536" s="11" t="inlineStr">
        <is>
          <t>City of Manila</t>
        </is>
      </c>
      <c r="H536" s="11" t="inlineStr">
        <is>
          <t>Barangay 835</t>
        </is>
      </c>
      <c r="I536" s="24" t="n">
        <v>14.591805</v>
      </c>
      <c r="J536" s="24" t="n">
        <v>121.009763</v>
      </c>
      <c r="K536" s="23" t="inlineStr">
        <is>
          <t>U</t>
        </is>
      </c>
      <c r="L536" s="25" t="n">
        <v>2943</v>
      </c>
      <c r="M536" s="26" t="n">
        <v>3.37</v>
      </c>
      <c r="N536" s="25">
        <f>ROUND(L536/M536, 0)</f>
        <v/>
      </c>
      <c r="O536" s="25">
        <f>ROUND(N536*'Methodology &amp; Assumptions'!$B$7, 0)</f>
        <v/>
      </c>
      <c r="P536" s="23" t="inlineStr">
        <is>
          <t>Single Carrier (Band n50, 100MHz TDD)</t>
        </is>
      </c>
      <c r="Q536" s="27">
        <f>ROUNDUP(O536/'Methodology &amp; Assumptions'!$B$8, 0)</f>
        <v/>
      </c>
      <c r="R536" s="27" t="n">
        <v>1</v>
      </c>
      <c r="S536" s="26" t="n">
        <v>1.12</v>
      </c>
      <c r="T536" s="26" t="n">
        <v>0.89</v>
      </c>
      <c r="U536" s="11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26" t="n">
        <v>68.03</v>
      </c>
      <c r="W536" s="26" t="n">
        <v>69.14</v>
      </c>
      <c r="X536" s="26">
        <f>ROUND(('Methodology &amp; Assumptions'!$B$5*V536) + ('Methodology &amp; Assumptions'!$B$6*W536), 2)</f>
        <v/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1</v>
      </c>
      <c r="B537" s="23" t="n">
        <v>533</v>
      </c>
      <c r="C537" s="23" t="n">
        <v>533</v>
      </c>
      <c r="D537" s="23" t="inlineStr">
        <is>
          <t>0301411016</t>
        </is>
      </c>
      <c r="E537" s="11" t="inlineStr">
        <is>
          <t>Region III (Central Luzon)</t>
        </is>
      </c>
      <c r="F537" s="11" t="inlineStr">
        <is>
          <t>Bulacan</t>
        </is>
      </c>
      <c r="G537" s="11" t="inlineStr">
        <is>
          <t>Marilao</t>
        </is>
      </c>
      <c r="H537" s="11" t="inlineStr">
        <is>
          <t>Tabing Ilog</t>
        </is>
      </c>
      <c r="I537" s="24" t="n">
        <v>14.765208</v>
      </c>
      <c r="J537" s="24" t="n">
        <v>120.948503</v>
      </c>
      <c r="K537" s="23" t="inlineStr">
        <is>
          <t>U</t>
        </is>
      </c>
      <c r="L537" s="25" t="n">
        <v>8421</v>
      </c>
      <c r="M537" s="26" t="n">
        <v>3.5</v>
      </c>
      <c r="N537" s="25">
        <f>ROUND(L537/M537, 0)</f>
        <v/>
      </c>
      <c r="O537" s="25">
        <f>ROUND(N537*'Methodology &amp; Assumptions'!$B$7, 0)</f>
        <v/>
      </c>
      <c r="P537" s="23" t="inlineStr">
        <is>
          <t>Single Carrier (Band n50, 100MHz TDD)</t>
        </is>
      </c>
      <c r="Q537" s="27">
        <f>ROUNDUP(O537/'Methodology &amp; Assumptions'!$B$8, 0)</f>
        <v/>
      </c>
      <c r="R537" s="27" t="n">
        <v>1</v>
      </c>
      <c r="S537" s="26" t="n">
        <v>1.02</v>
      </c>
      <c r="T537" s="26" t="n">
        <v>0.28</v>
      </c>
      <c r="U537" s="11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26" t="n">
        <v>77.75</v>
      </c>
      <c r="W537" s="26" t="n">
        <v>59.42</v>
      </c>
      <c r="X537" s="26">
        <f>ROUND(('Methodology &amp; Assumptions'!$B$5*V537) + ('Methodology &amp; Assumptions'!$B$6*W537), 2)</f>
        <v/>
      </c>
      <c r="Y537" s="28" t="n">
        <v>8.300000000000001</v>
      </c>
      <c r="Z537" s="11" t="inlineStr">
        <is>
          <t>Priority Tier 2 (Balanced Opportunity)</t>
        </is>
      </c>
    </row>
    <row r="538">
      <c r="A538" s="23" t="n">
        <v>1</v>
      </c>
      <c r="B538" s="23" t="n">
        <v>534</v>
      </c>
      <c r="C538" s="23" t="n">
        <v>534</v>
      </c>
      <c r="D538" s="23" t="inlineStr">
        <is>
          <t>0403425008</t>
        </is>
      </c>
      <c r="E538" s="11" t="inlineStr">
        <is>
          <t>Region IV-A (CALABARZON)</t>
        </is>
      </c>
      <c r="F538" s="11" t="inlineStr">
        <is>
          <t>Laguna</t>
        </is>
      </c>
      <c r="G538" s="11" t="inlineStr">
        <is>
          <t>City of San Pedro</t>
        </is>
      </c>
      <c r="H538" s="11" t="inlineStr">
        <is>
          <t>Magsaysay</t>
        </is>
      </c>
      <c r="I538" s="24" t="n">
        <v>14.337468</v>
      </c>
      <c r="J538" s="24" t="n">
        <v>121.033305</v>
      </c>
      <c r="K538" s="23" t="inlineStr">
        <is>
          <t>U</t>
        </is>
      </c>
      <c r="L538" s="25" t="n">
        <v>14023</v>
      </c>
      <c r="M538" s="26" t="n">
        <v>3.3</v>
      </c>
      <c r="N538" s="25">
        <f>ROUND(L538/M538, 0)</f>
        <v/>
      </c>
      <c r="O538" s="25">
        <f>ROUND(N538*'Methodology &amp; Assumptions'!$B$7, 0)</f>
        <v/>
      </c>
      <c r="P538" s="23" t="inlineStr">
        <is>
          <t>Single Carrier (Band n50, 100MHz TDD)</t>
        </is>
      </c>
      <c r="Q538" s="27">
        <f>ROUNDUP(O538/'Methodology &amp; Assumptions'!$B$8, 0)</f>
        <v/>
      </c>
      <c r="R538" s="27" t="n">
        <v>1</v>
      </c>
      <c r="S538" s="26" t="n">
        <v>1.08</v>
      </c>
      <c r="T538" s="26" t="n">
        <v>1.1</v>
      </c>
      <c r="U538" s="11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26" t="n">
        <v>77.34999999999999</v>
      </c>
      <c r="W538" s="26" t="n">
        <v>59.8</v>
      </c>
      <c r="X538" s="26">
        <f>ROUND(('Methodology &amp; Assumptions'!$B$5*V538) + ('Methodology &amp; Assumptions'!$B$6*W538), 2)</f>
        <v/>
      </c>
      <c r="Y538" s="28" t="n">
        <v>7.2</v>
      </c>
      <c r="Z538" s="11" t="inlineStr">
        <is>
          <t>Priority Tier 2 (Balanced Opportunity)</t>
        </is>
      </c>
    </row>
    <row r="539">
      <c r="A539" s="23" t="n">
        <v>1</v>
      </c>
      <c r="B539" s="23" t="n">
        <v>535</v>
      </c>
      <c r="C539" s="23" t="n">
        <v>535</v>
      </c>
      <c r="D539" s="23" t="inlineStr">
        <is>
          <t>1380614032</t>
        </is>
      </c>
      <c r="E539" s="11" t="inlineStr">
        <is>
          <t>National Capital Region (NCR)</t>
        </is>
      </c>
      <c r="F539" s="11" t="inlineStr">
        <is>
          <t>First District (Not a Province)</t>
        </is>
      </c>
      <c r="G539" s="11" t="inlineStr">
        <is>
          <t>City of Manila</t>
        </is>
      </c>
      <c r="H539" s="11" t="inlineStr">
        <is>
          <t>Barangay 776</t>
        </is>
      </c>
      <c r="I539" s="24" t="n">
        <v>14.57531</v>
      </c>
      <c r="J539" s="24" t="n">
        <v>121.0098</v>
      </c>
      <c r="K539" s="23" t="inlineStr">
        <is>
          <t>U</t>
        </is>
      </c>
      <c r="L539" s="25" t="n">
        <v>4606</v>
      </c>
      <c r="M539" s="26" t="n">
        <v>4.29</v>
      </c>
      <c r="N539" s="25">
        <f>ROUND(L539/M539, 0)</f>
        <v/>
      </c>
      <c r="O539" s="25">
        <f>ROUND(N539*'Methodology &amp; Assumptions'!$B$7, 0)</f>
        <v/>
      </c>
      <c r="P539" s="23" t="inlineStr">
        <is>
          <t>Single Carrier (Band n50, 100MHz TDD)</t>
        </is>
      </c>
      <c r="Q539" s="27">
        <f>ROUNDUP(O539/'Methodology &amp; Assumptions'!$B$8, 0)</f>
        <v/>
      </c>
      <c r="R539" s="27" t="n">
        <v>1</v>
      </c>
      <c r="S539" s="26" t="n">
        <v>1.26</v>
      </c>
      <c r="T539" s="26" t="n">
        <v>0.22</v>
      </c>
      <c r="U539" s="11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26" t="n">
        <v>67.48</v>
      </c>
      <c r="W539" s="26" t="n">
        <v>69.63</v>
      </c>
      <c r="X539" s="26">
        <f>ROUND(('Methodology &amp; Assumptions'!$B$5*V539) + ('Methodology &amp; Assumptions'!$B$6*W539), 2)</f>
        <v/>
      </c>
      <c r="Y539" s="28" t="n">
        <v>10.9</v>
      </c>
      <c r="Z539" s="11" t="inlineStr">
        <is>
          <t>Priority Tier 2 (Balanced Opportunity)</t>
        </is>
      </c>
    </row>
    <row r="540">
      <c r="A540" s="23" t="n">
        <v>1</v>
      </c>
      <c r="B540" s="23" t="n">
        <v>536</v>
      </c>
      <c r="C540" s="23" t="n">
        <v>536</v>
      </c>
      <c r="D540" s="23" t="inlineStr">
        <is>
          <t>1380605015</t>
        </is>
      </c>
      <c r="E540" s="11" t="inlineStr">
        <is>
          <t>National Capital Region (NCR)</t>
        </is>
      </c>
      <c r="F540" s="11" t="inlineStr">
        <is>
          <t>First District (Not a Province)</t>
        </is>
      </c>
      <c r="G540" s="11" t="inlineStr">
        <is>
          <t>City of Manila</t>
        </is>
      </c>
      <c r="H540" s="11" t="inlineStr">
        <is>
          <t>Barangay 313</t>
        </is>
      </c>
      <c r="I540" s="24" t="n">
        <v>14.604951</v>
      </c>
      <c r="J540" s="24" t="n">
        <v>120.97939</v>
      </c>
      <c r="K540" s="23" t="inlineStr">
        <is>
          <t>U</t>
        </is>
      </c>
      <c r="L540" s="25" t="n">
        <v>3587</v>
      </c>
      <c r="M540" s="26" t="n">
        <v>4.28</v>
      </c>
      <c r="N540" s="25">
        <f>ROUND(L540/M540, 0)</f>
        <v/>
      </c>
      <c r="O540" s="25">
        <f>ROUND(N540*'Methodology &amp; Assumptions'!$B$7, 0)</f>
        <v/>
      </c>
      <c r="P540" s="23" t="inlineStr">
        <is>
          <t>Single Carrier (Band n50, 100MHz TDD)</t>
        </is>
      </c>
      <c r="Q540" s="27">
        <f>ROUNDUP(O540/'Methodology &amp; Assumptions'!$B$8, 0)</f>
        <v/>
      </c>
      <c r="R540" s="27" t="n">
        <v>1</v>
      </c>
      <c r="S540" s="26" t="n">
        <v>1.07</v>
      </c>
      <c r="T540" s="26" t="n">
        <v>0.17</v>
      </c>
      <c r="U540" s="11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26" t="n">
        <v>67.22</v>
      </c>
      <c r="W540" s="26" t="n">
        <v>69.91</v>
      </c>
      <c r="X540" s="26">
        <f>ROUND(('Methodology &amp; Assumptions'!$B$5*V540) + ('Methodology &amp; Assumptions'!$B$6*W540), 2)</f>
        <v/>
      </c>
      <c r="Y540" s="28" t="n">
        <v>10.9</v>
      </c>
      <c r="Z540" s="11" t="inlineStr">
        <is>
          <t>Priority Tier 2 (Balanced Opportunity)</t>
        </is>
      </c>
    </row>
    <row r="541">
      <c r="A541" s="23" t="n">
        <v>1</v>
      </c>
      <c r="B541" s="23" t="n">
        <v>537</v>
      </c>
      <c r="C541" s="23" t="n">
        <v>537</v>
      </c>
      <c r="D541" s="23" t="inlineStr">
        <is>
          <t>1380601025</t>
        </is>
      </c>
      <c r="E541" s="11" t="inlineStr">
        <is>
          <t>National Capital Region (NCR)</t>
        </is>
      </c>
      <c r="F541" s="11" t="inlineStr">
        <is>
          <t>First District (Not a Province)</t>
        </is>
      </c>
      <c r="G541" s="11" t="inlineStr">
        <is>
          <t>City of Manila</t>
        </is>
      </c>
      <c r="H541" s="11" t="inlineStr">
        <is>
          <t>Barangay 25</t>
        </is>
      </c>
      <c r="I541" s="24" t="n">
        <v>14.60402</v>
      </c>
      <c r="J541" s="24" t="n">
        <v>120.965488</v>
      </c>
      <c r="K541" s="23" t="inlineStr">
        <is>
          <t>U</t>
        </is>
      </c>
      <c r="L541" s="25" t="n">
        <v>3000</v>
      </c>
      <c r="M541" s="26" t="n">
        <v>4.25</v>
      </c>
      <c r="N541" s="25">
        <f>ROUND(L541/M541, 0)</f>
        <v/>
      </c>
      <c r="O541" s="25">
        <f>ROUND(N541*'Methodology &amp; Assumptions'!$B$7, 0)</f>
        <v/>
      </c>
      <c r="P541" s="23" t="inlineStr">
        <is>
          <t>Single Carrier (Band n50, 100MHz TDD)</t>
        </is>
      </c>
      <c r="Q541" s="27">
        <f>ROUNDUP(O541/'Methodology &amp; Assumptions'!$B$8, 0)</f>
        <v/>
      </c>
      <c r="R541" s="27" t="n">
        <v>1</v>
      </c>
      <c r="S541" s="26" t="n">
        <v>0.54</v>
      </c>
      <c r="T541" s="26" t="n">
        <v>0.55</v>
      </c>
      <c r="U541" s="11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26" t="n">
        <v>63.8</v>
      </c>
      <c r="W541" s="26" t="n">
        <v>73.31</v>
      </c>
      <c r="X541" s="26">
        <f>ROUND(('Methodology &amp; Assumptions'!$B$5*V541) + ('Methodology &amp; Assumptions'!$B$6*W541), 2)</f>
        <v/>
      </c>
      <c r="Y541" s="28" t="n">
        <v>10.9</v>
      </c>
      <c r="Z541" s="11" t="inlineStr">
        <is>
          <t>Priority Tier 2 (Balanced Opportunity)</t>
        </is>
      </c>
    </row>
    <row r="542">
      <c r="A542" s="23" t="n">
        <v>1</v>
      </c>
      <c r="B542" s="23" t="n">
        <v>538</v>
      </c>
      <c r="C542" s="23" t="n">
        <v>538</v>
      </c>
      <c r="D542" s="23" t="inlineStr">
        <is>
          <t>0403425021</t>
        </is>
      </c>
      <c r="E542" s="11" t="inlineStr">
        <is>
          <t>Region IV-A (CALABARZON)</t>
        </is>
      </c>
      <c r="F542" s="11" t="inlineStr">
        <is>
          <t>Laguna</t>
        </is>
      </c>
      <c r="G542" s="11" t="inlineStr">
        <is>
          <t>City of San Pedro</t>
        </is>
      </c>
      <c r="H542" s="11" t="inlineStr">
        <is>
          <t>Calendola</t>
        </is>
      </c>
      <c r="I542" s="24" t="n">
        <v>14.343278</v>
      </c>
      <c r="J542" s="24" t="n">
        <v>121.035972</v>
      </c>
      <c r="K542" s="23" t="inlineStr">
        <is>
          <t>R</t>
        </is>
      </c>
      <c r="L542" s="25" t="n">
        <v>4162</v>
      </c>
      <c r="M542" s="26" t="n">
        <v>3.3</v>
      </c>
      <c r="N542" s="25">
        <f>ROUND(L542/M542, 0)</f>
        <v/>
      </c>
      <c r="O542" s="25">
        <f>ROUND(N542*'Methodology &amp; Assumptions'!$B$7, 0)</f>
        <v/>
      </c>
      <c r="P542" s="23" t="inlineStr">
        <is>
          <t>Single Carrier (Band n50, 100MHz TDD)</t>
        </is>
      </c>
      <c r="Q542" s="27">
        <f>ROUNDUP(O542/'Methodology &amp; Assumptions'!$B$8, 0)</f>
        <v/>
      </c>
      <c r="R542" s="27" t="n">
        <v>1</v>
      </c>
      <c r="S542" s="26" t="n">
        <v>0.48</v>
      </c>
      <c r="T542" s="26" t="n">
        <v>0.5</v>
      </c>
      <c r="U542" s="11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26" t="n">
        <v>85.45999999999999</v>
      </c>
      <c r="W542" s="26" t="n">
        <v>51.65</v>
      </c>
      <c r="X542" s="26">
        <f>ROUND(('Methodology &amp; Assumptions'!$B$5*V542) + ('Methodology &amp; Assumptions'!$B$6*W542), 2)</f>
        <v/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1</v>
      </c>
      <c r="B543" s="23" t="n">
        <v>539</v>
      </c>
      <c r="C543" s="23" t="n">
        <v>539</v>
      </c>
      <c r="D543" s="23" t="inlineStr">
        <is>
          <t>1381100169</t>
        </is>
      </c>
      <c r="E543" s="11" t="inlineStr">
        <is>
          <t>National Capital Region (NCR)</t>
        </is>
      </c>
      <c r="F543" s="11" t="inlineStr">
        <is>
          <t>Fourth District (Not a Province)</t>
        </is>
      </c>
      <c r="G543" s="11" t="inlineStr">
        <is>
          <t>Pasay City</t>
        </is>
      </c>
      <c r="H543" s="11" t="inlineStr">
        <is>
          <t>Barangay 169</t>
        </is>
      </c>
      <c r="I543" s="24" t="n">
        <v>14.538118</v>
      </c>
      <c r="J543" s="24" t="n">
        <v>121.012018</v>
      </c>
      <c r="K543" s="23" t="inlineStr">
        <is>
          <t>U</t>
        </is>
      </c>
      <c r="L543" s="25" t="n">
        <v>2919</v>
      </c>
      <c r="M543" s="26" t="n">
        <v>3.49</v>
      </c>
      <c r="N543" s="25">
        <f>ROUND(L543/M543, 0)</f>
        <v/>
      </c>
      <c r="O543" s="25">
        <f>ROUND(N543*'Methodology &amp; Assumptions'!$B$7, 0)</f>
        <v/>
      </c>
      <c r="P543" s="23" t="inlineStr">
        <is>
          <t>Single Carrier (Band n50, 100MHz TDD)</t>
        </is>
      </c>
      <c r="Q543" s="27">
        <f>ROUNDUP(O543/'Methodology &amp; Assumptions'!$B$8, 0)</f>
        <v/>
      </c>
      <c r="R543" s="27" t="n">
        <v>1</v>
      </c>
      <c r="S543" s="26" t="n">
        <v>1.3</v>
      </c>
      <c r="T543" s="26" t="n">
        <v>0.51</v>
      </c>
      <c r="U543" s="11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26" t="n">
        <v>66.23999999999999</v>
      </c>
      <c r="W543" s="26" t="n">
        <v>70.84999999999999</v>
      </c>
      <c r="X543" s="26">
        <f>ROUND(('Methodology &amp; Assumptions'!$B$5*V543) + ('Methodology &amp; Assumptions'!$B$6*W543), 2)</f>
        <v/>
      </c>
      <c r="Y543" s="28" t="n">
        <v>10.9</v>
      </c>
      <c r="Z543" s="11" t="inlineStr">
        <is>
          <t>Priority Tier 2 (Balanced Opportunity)</t>
        </is>
      </c>
    </row>
    <row r="544">
      <c r="A544" s="23" t="n">
        <v>1</v>
      </c>
      <c r="B544" s="23" t="n">
        <v>540</v>
      </c>
      <c r="C544" s="23" t="n">
        <v>540</v>
      </c>
      <c r="D544" s="23" t="inlineStr">
        <is>
          <t>0500518019</t>
        </is>
      </c>
      <c r="E544" s="11" t="inlineStr">
        <is>
          <t>Region V (Bicol Region)</t>
        </is>
      </c>
      <c r="F544" s="11" t="inlineStr">
        <is>
          <t>Albay</t>
        </is>
      </c>
      <c r="G544" s="11" t="inlineStr">
        <is>
          <t>Tiwi</t>
        </is>
      </c>
      <c r="H544" s="11" t="inlineStr">
        <is>
          <t>Mayong</t>
        </is>
      </c>
      <c r="I544" s="24" t="n">
        <v>13.514361</v>
      </c>
      <c r="J544" s="24" t="n">
        <v>123.570004</v>
      </c>
      <c r="K544" s="23" t="inlineStr">
        <is>
          <t>R</t>
        </is>
      </c>
      <c r="L544" s="25" t="n">
        <v>1693</v>
      </c>
      <c r="M544" s="26" t="n">
        <v>4.1</v>
      </c>
      <c r="N544" s="25">
        <f>ROUND(L544/M544, 0)</f>
        <v/>
      </c>
      <c r="O544" s="25">
        <f>ROUND(N544*'Methodology &amp; Assumptions'!$B$7, 0)</f>
        <v/>
      </c>
      <c r="P544" s="23" t="inlineStr">
        <is>
          <t>Single Carrier (Band n50, 100MHz TDD)</t>
        </is>
      </c>
      <c r="Q544" s="27">
        <f>ROUNDUP(O544/'Methodology &amp; Assumptions'!$B$8, 0)</f>
        <v/>
      </c>
      <c r="R544" s="27" t="n">
        <v>1</v>
      </c>
      <c r="S544" s="26" t="n">
        <v>4.26</v>
      </c>
      <c r="T544" s="26" t="n">
        <v>2.58</v>
      </c>
      <c r="U544" s="11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26" t="n">
        <v>60.38</v>
      </c>
      <c r="W544" s="26" t="n">
        <v>76.72</v>
      </c>
      <c r="X544" s="26">
        <f>ROUND(('Methodology &amp; Assumptions'!$B$5*V544) + ('Methodology &amp; Assumptions'!$B$6*W544), 2)</f>
        <v/>
      </c>
      <c r="Y544" s="28" t="n">
        <v>23.7</v>
      </c>
      <c r="Z544" s="11" t="inlineStr">
        <is>
          <t>Priority Tier 2 (Balanced Opportunity)</t>
        </is>
      </c>
    </row>
    <row r="545">
      <c r="A545" s="23" t="n">
        <v>1</v>
      </c>
      <c r="B545" s="23" t="n">
        <v>541</v>
      </c>
      <c r="C545" s="23" t="n">
        <v>541</v>
      </c>
      <c r="D545" s="23" t="inlineStr">
        <is>
          <t>0301411003</t>
        </is>
      </c>
      <c r="E545" s="11" t="inlineStr">
        <is>
          <t>Region III (Central Luzon)</t>
        </is>
      </c>
      <c r="F545" s="11" t="inlineStr">
        <is>
          <t>Bulacan</t>
        </is>
      </c>
      <c r="G545" s="11" t="inlineStr">
        <is>
          <t>Marilao</t>
        </is>
      </c>
      <c r="H545" s="11" t="inlineStr">
        <is>
          <t>Ibayo</t>
        </is>
      </c>
      <c r="I545" s="24" t="n">
        <v>14.754275</v>
      </c>
      <c r="J545" s="24" t="n">
        <v>120.953515</v>
      </c>
      <c r="K545" s="23" t="inlineStr">
        <is>
          <t>U</t>
        </is>
      </c>
      <c r="L545" s="25" t="n">
        <v>8686</v>
      </c>
      <c r="M545" s="26" t="n">
        <v>3.5</v>
      </c>
      <c r="N545" s="25">
        <f>ROUND(L545/M545, 0)</f>
        <v/>
      </c>
      <c r="O545" s="25">
        <f>ROUND(N545*'Methodology &amp; Assumptions'!$B$7, 0)</f>
        <v/>
      </c>
      <c r="P545" s="23" t="inlineStr">
        <is>
          <t>Single Carrier (Band n50, 100MHz TDD)</t>
        </is>
      </c>
      <c r="Q545" s="27">
        <f>ROUNDUP(O545/'Methodology &amp; Assumptions'!$B$8, 0)</f>
        <v/>
      </c>
      <c r="R545" s="27" t="n">
        <v>1</v>
      </c>
      <c r="S545" s="26" t="n">
        <v>0.61</v>
      </c>
      <c r="T545" s="26" t="n">
        <v>0.09</v>
      </c>
      <c r="U545" s="11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26" t="n">
        <v>78.43000000000001</v>
      </c>
      <c r="W545" s="26" t="n">
        <v>58.64</v>
      </c>
      <c r="X545" s="26">
        <f>ROUND(('Methodology &amp; Assumptions'!$B$5*V545) + ('Methodology &amp; Assumptions'!$B$6*W545), 2)</f>
        <v/>
      </c>
      <c r="Y545" s="28" t="n">
        <v>8.300000000000001</v>
      </c>
      <c r="Z545" s="11" t="inlineStr">
        <is>
          <t>Priority Tier 2 (Balanced Opportunity)</t>
        </is>
      </c>
    </row>
    <row r="546">
      <c r="A546" s="23" t="n">
        <v>1</v>
      </c>
      <c r="B546" s="23" t="n">
        <v>542</v>
      </c>
      <c r="C546" s="23" t="n">
        <v>542</v>
      </c>
      <c r="D546" s="23" t="inlineStr">
        <is>
          <t>1380603003</t>
        </is>
      </c>
      <c r="E546" s="11" t="inlineStr">
        <is>
          <t>National Capital Region (NCR)</t>
        </is>
      </c>
      <c r="F546" s="11" t="inlineStr">
        <is>
          <t>First District (Not a Province)</t>
        </is>
      </c>
      <c r="G546" s="11" t="inlineStr">
        <is>
          <t>City of Manila</t>
        </is>
      </c>
      <c r="H546" s="11" t="inlineStr">
        <is>
          <t>Barangay 383</t>
        </is>
      </c>
      <c r="I546" s="24" t="n">
        <v>14.597244</v>
      </c>
      <c r="J546" s="24" t="n">
        <v>120.984742</v>
      </c>
      <c r="K546" s="23" t="inlineStr">
        <is>
          <t>U</t>
        </is>
      </c>
      <c r="L546" s="25" t="n">
        <v>2529</v>
      </c>
      <c r="M546" s="26" t="n">
        <v>3.17</v>
      </c>
      <c r="N546" s="25">
        <f>ROUND(L546/M546, 0)</f>
        <v/>
      </c>
      <c r="O546" s="25">
        <f>ROUND(N546*'Methodology &amp; Assumptions'!$B$7, 0)</f>
        <v/>
      </c>
      <c r="P546" s="23" t="inlineStr">
        <is>
          <t>Single Carrier (Band n50, 100MHz TDD)</t>
        </is>
      </c>
      <c r="Q546" s="27">
        <f>ROUNDUP(O546/'Methodology &amp; Assumptions'!$B$8, 0)</f>
        <v/>
      </c>
      <c r="R546" s="27" t="n">
        <v>1</v>
      </c>
      <c r="S546" s="26" t="n">
        <v>0.74</v>
      </c>
      <c r="T546" s="26" t="n">
        <v>0.19</v>
      </c>
      <c r="U546" s="11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26" t="n">
        <v>66.69</v>
      </c>
      <c r="W546" s="26" t="n">
        <v>70.39</v>
      </c>
      <c r="X546" s="26">
        <f>ROUND(('Methodology &amp; Assumptions'!$B$5*V546) + ('Methodology &amp; Assumptions'!$B$6*W546), 2)</f>
        <v/>
      </c>
      <c r="Y546" s="28" t="n">
        <v>10.9</v>
      </c>
      <c r="Z546" s="11" t="inlineStr">
        <is>
          <t>Priority Tier 2 (Balanced Opportunity)</t>
        </is>
      </c>
    </row>
    <row r="547">
      <c r="A547" s="23" t="n">
        <v>1</v>
      </c>
      <c r="B547" s="23" t="n">
        <v>543</v>
      </c>
      <c r="C547" s="23" t="n">
        <v>543</v>
      </c>
      <c r="D547" s="23" t="inlineStr">
        <is>
          <t>1381300043</t>
        </is>
      </c>
      <c r="E547" s="11" t="inlineStr">
        <is>
          <t>National Capital Region (NCR)</t>
        </is>
      </c>
      <c r="F547" s="11" t="inlineStr">
        <is>
          <t>Second District (Not a Province)</t>
        </is>
      </c>
      <c r="G547" s="11" t="inlineStr">
        <is>
          <t>Quezon City</t>
        </is>
      </c>
      <c r="H547" s="11" t="inlineStr">
        <is>
          <t>Gulod</t>
        </is>
      </c>
      <c r="I547" s="24" t="n">
        <v>14.71678</v>
      </c>
      <c r="J547" s="24" t="n">
        <v>121.0404</v>
      </c>
      <c r="K547" s="23" t="inlineStr">
        <is>
          <t>U</t>
        </is>
      </c>
      <c r="L547" s="25" t="n">
        <v>63651</v>
      </c>
      <c r="M547" s="26" t="n">
        <v>3.89</v>
      </c>
      <c r="N547" s="25">
        <f>ROUND(L547/M547, 0)</f>
        <v/>
      </c>
      <c r="O547" s="25">
        <f>ROUND(N547*'Methodology &amp; Assumptions'!$B$7, 0)</f>
        <v/>
      </c>
      <c r="P547" s="23" t="inlineStr">
        <is>
          <t>Single Carrier (Band n50, 100MHz TDD)</t>
        </is>
      </c>
      <c r="Q547" s="27">
        <f>ROUNDUP(O547/'Methodology &amp; Assumptions'!$B$8, 0)</f>
        <v/>
      </c>
      <c r="R547" s="27" t="n">
        <v>1</v>
      </c>
      <c r="S547" s="26" t="n">
        <v>0.5600000000000001</v>
      </c>
      <c r="T547" s="26" t="n">
        <v>0.02</v>
      </c>
      <c r="U547" s="11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26" t="n">
        <v>65.94</v>
      </c>
      <c r="W547" s="26" t="n">
        <v>71.14</v>
      </c>
      <c r="X547" s="26">
        <f>ROUND(('Methodology &amp; Assumptions'!$B$5*V547) + ('Methodology &amp; Assumptions'!$B$6*W547), 2)</f>
        <v/>
      </c>
      <c r="Y547" s="28" t="n">
        <v>10.9</v>
      </c>
      <c r="Z547" s="11" t="inlineStr">
        <is>
          <t>Priority Tier 2 (Balanced Opportunity)</t>
        </is>
      </c>
    </row>
    <row r="548">
      <c r="A548" s="23" t="n">
        <v>1</v>
      </c>
      <c r="B548" s="23" t="n">
        <v>544</v>
      </c>
      <c r="C548" s="23" t="n">
        <v>544</v>
      </c>
      <c r="D548" s="23" t="inlineStr">
        <is>
          <t>0403418007</t>
        </is>
      </c>
      <c r="E548" s="11" t="inlineStr">
        <is>
          <t>Region IV-A (CALABARZON)</t>
        </is>
      </c>
      <c r="F548" s="11" t="inlineStr">
        <is>
          <t>Laguna</t>
        </is>
      </c>
      <c r="G548" s="11" t="inlineStr">
        <is>
          <t>Paete</t>
        </is>
      </c>
      <c r="H548" s="11" t="inlineStr">
        <is>
          <t>Ilaya del Sur</t>
        </is>
      </c>
      <c r="I548" s="24" t="n">
        <v>14.368291</v>
      </c>
      <c r="J548" s="24" t="n">
        <v>121.611195</v>
      </c>
      <c r="K548" s="23" t="inlineStr">
        <is>
          <t>R</t>
        </is>
      </c>
      <c r="L548" s="25" t="n">
        <v>1722</v>
      </c>
      <c r="M548" s="26" t="n">
        <v>3.3</v>
      </c>
      <c r="N548" s="25">
        <f>ROUND(L548/M548, 0)</f>
        <v/>
      </c>
      <c r="O548" s="25">
        <f>ROUND(N548*'Methodology &amp; Assumptions'!$B$7, 0)</f>
        <v/>
      </c>
      <c r="P548" s="23" t="inlineStr">
        <is>
          <t>Single Carrier (Band n50, 100MHz TDD)</t>
        </is>
      </c>
      <c r="Q548" s="27">
        <f>ROUNDUP(O548/'Methodology &amp; Assumptions'!$B$8, 0)</f>
        <v/>
      </c>
      <c r="R548" s="27" t="n">
        <v>1</v>
      </c>
      <c r="S548" s="26" t="n">
        <v>9.84</v>
      </c>
      <c r="T548" s="26" t="n">
        <v>13.74</v>
      </c>
      <c r="U548" s="11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26" t="n">
        <v>58.19</v>
      </c>
      <c r="W548" s="26" t="n">
        <v>78.89</v>
      </c>
      <c r="X548" s="26">
        <f>ROUND(('Methodology &amp; Assumptions'!$B$5*V548) + ('Methodology &amp; Assumptions'!$B$6*W548), 2)</f>
        <v/>
      </c>
      <c r="Y548" s="28" t="n">
        <v>7.2</v>
      </c>
      <c r="Z548" s="11" t="inlineStr">
        <is>
          <t>Priority Tier 2 (Balanced Opportunity)</t>
        </is>
      </c>
    </row>
    <row r="549">
      <c r="A549" s="23" t="n">
        <v>1</v>
      </c>
      <c r="B549" s="23" t="n">
        <v>545</v>
      </c>
      <c r="C549" s="23" t="n">
        <v>545</v>
      </c>
      <c r="D549" s="23" t="inlineStr">
        <is>
          <t>0401003045</t>
        </is>
      </c>
      <c r="E549" s="11" t="inlineStr">
        <is>
          <t>Region IV-A (CALABARZON)</t>
        </is>
      </c>
      <c r="F549" s="11" t="inlineStr">
        <is>
          <t>Batangas</t>
        </is>
      </c>
      <c r="G549" s="11" t="inlineStr">
        <is>
          <t>Balayan</t>
        </is>
      </c>
      <c r="H549" s="11" t="inlineStr">
        <is>
          <t>San Juan</t>
        </is>
      </c>
      <c r="I549" s="24" t="n">
        <v>13.9391</v>
      </c>
      <c r="J549" s="24" t="n">
        <v>120.7442</v>
      </c>
      <c r="K549" s="23" t="inlineStr">
        <is>
          <t>R</t>
        </is>
      </c>
      <c r="L549" s="25" t="n">
        <v>2018</v>
      </c>
      <c r="M549" s="26" t="n">
        <v>3.6</v>
      </c>
      <c r="N549" s="25">
        <f>ROUND(L549/M549, 0)</f>
        <v/>
      </c>
      <c r="O549" s="25">
        <f>ROUND(N549*'Methodology &amp; Assumptions'!$B$7, 0)</f>
        <v/>
      </c>
      <c r="P549" s="23" t="inlineStr">
        <is>
          <t>Single Carrier (Band n50, 100MHz TDD)</t>
        </is>
      </c>
      <c r="Q549" s="27">
        <f>ROUNDUP(O549/'Methodology &amp; Assumptions'!$B$8, 0)</f>
        <v/>
      </c>
      <c r="R549" s="27" t="n">
        <v>1</v>
      </c>
      <c r="S549" s="26" t="n">
        <v>1.81</v>
      </c>
      <c r="T549" s="26" t="n">
        <v>0.7</v>
      </c>
      <c r="U549" s="11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26" t="n">
        <v>73.56</v>
      </c>
      <c r="W549" s="26" t="n">
        <v>63.5</v>
      </c>
      <c r="X549" s="26">
        <f>ROUND(('Methodology &amp; Assumptions'!$B$5*V549) + ('Methodology &amp; Assumptions'!$B$6*W549), 2)</f>
        <v/>
      </c>
      <c r="Y549" s="28" t="n">
        <v>7.2</v>
      </c>
      <c r="Z549" s="11" t="inlineStr">
        <is>
          <t>Priority Tier 2 (Balanced Opportunity)</t>
        </is>
      </c>
    </row>
    <row r="550">
      <c r="A550" s="23" t="n">
        <v>1</v>
      </c>
      <c r="B550" s="23" t="n">
        <v>546</v>
      </c>
      <c r="C550" s="23" t="n">
        <v>546</v>
      </c>
      <c r="D550" s="23" t="inlineStr">
        <is>
          <t>1380614023</t>
        </is>
      </c>
      <c r="E550" s="11" t="inlineStr">
        <is>
          <t>National Capital Region (NCR)</t>
        </is>
      </c>
      <c r="F550" s="11" t="inlineStr">
        <is>
          <t>First District (Not a Province)</t>
        </is>
      </c>
      <c r="G550" s="11" t="inlineStr">
        <is>
          <t>City of Manila</t>
        </is>
      </c>
      <c r="H550" s="11" t="inlineStr">
        <is>
          <t>Barangay 767</t>
        </is>
      </c>
      <c r="I550" s="24" t="n">
        <v>14.571124</v>
      </c>
      <c r="J550" s="24" t="n">
        <v>121.004697</v>
      </c>
      <c r="K550" s="23" t="inlineStr">
        <is>
          <t>U</t>
        </is>
      </c>
      <c r="L550" s="25" t="n">
        <v>5497</v>
      </c>
      <c r="M550" s="26" t="n">
        <v>4.18</v>
      </c>
      <c r="N550" s="25">
        <f>ROUND(L550/M550, 0)</f>
        <v/>
      </c>
      <c r="O550" s="25">
        <f>ROUND(N550*'Methodology &amp; Assumptions'!$B$7, 0)</f>
        <v/>
      </c>
      <c r="P550" s="23" t="inlineStr">
        <is>
          <t>Single Carrier (Band n50, 100MHz TDD)</t>
        </is>
      </c>
      <c r="Q550" s="27">
        <f>ROUNDUP(O550/'Methodology &amp; Assumptions'!$B$8, 0)</f>
        <v/>
      </c>
      <c r="R550" s="27" t="n">
        <v>1</v>
      </c>
      <c r="S550" s="26" t="n">
        <v>1.13</v>
      </c>
      <c r="T550" s="26" t="n">
        <v>0.3</v>
      </c>
      <c r="U550" s="11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26" t="n">
        <v>67.98</v>
      </c>
      <c r="W550" s="26" t="n">
        <v>69.06</v>
      </c>
      <c r="X550" s="26">
        <f>ROUND(('Methodology &amp; Assumptions'!$B$5*V550) + ('Methodology &amp; Assumptions'!$B$6*W550), 2)</f>
        <v/>
      </c>
      <c r="Y550" s="28" t="n">
        <v>10.9</v>
      </c>
      <c r="Z550" s="11" t="inlineStr">
        <is>
          <t>Priority Tier 2 (Balanced Opportunity)</t>
        </is>
      </c>
    </row>
    <row r="551">
      <c r="A551" s="23" t="n">
        <v>1</v>
      </c>
      <c r="B551" s="23" t="n">
        <v>547</v>
      </c>
      <c r="C551" s="23" t="n">
        <v>547</v>
      </c>
      <c r="D551" s="23" t="inlineStr">
        <is>
          <t>0102814006</t>
        </is>
      </c>
      <c r="E551" s="11" t="inlineStr">
        <is>
          <t>Region I (Ilocos Region)</t>
        </is>
      </c>
      <c r="F551" s="11" t="inlineStr">
        <is>
          <t>Ilocos Norte</t>
        </is>
      </c>
      <c r="G551" s="11" t="inlineStr">
        <is>
          <t>Nueva Era</t>
        </is>
      </c>
      <c r="H551" s="11" t="inlineStr">
        <is>
          <t>Caray</t>
        </is>
      </c>
      <c r="I551" s="24" t="n">
        <v>17.917316</v>
      </c>
      <c r="J551" s="24" t="n">
        <v>120.717751</v>
      </c>
      <c r="K551" s="23" t="inlineStr">
        <is>
          <t>R</t>
        </is>
      </c>
      <c r="L551" s="25" t="n">
        <v>837</v>
      </c>
      <c r="M551" s="26" t="n">
        <v>3.7</v>
      </c>
      <c r="N551" s="25">
        <f>ROUND(L551/M551, 0)</f>
        <v/>
      </c>
      <c r="O551" s="25">
        <f>ROUND(N551*'Methodology &amp; Assumptions'!$B$7, 0)</f>
        <v/>
      </c>
      <c r="P551" s="23" t="inlineStr">
        <is>
          <t>Single Carrier (Band n50, 100MHz TDD)</t>
        </is>
      </c>
      <c r="Q551" s="27">
        <f>ROUNDUP(O551/'Methodology &amp; Assumptions'!$B$8, 0)</f>
        <v/>
      </c>
      <c r="R551" s="27" t="n">
        <v>1</v>
      </c>
      <c r="S551" s="26" t="n">
        <v>6.19</v>
      </c>
      <c r="T551" s="26" t="n">
        <v>4.46</v>
      </c>
      <c r="U551" s="11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26" t="n">
        <v>49.6</v>
      </c>
      <c r="W551" s="26" t="n">
        <v>87.45</v>
      </c>
      <c r="X551" s="26">
        <f>ROUND(('Methodology &amp; Assumptions'!$B$5*V551) + ('Methodology &amp; Assumptions'!$B$6*W551), 2)</f>
        <v/>
      </c>
      <c r="Y551" s="28" t="n">
        <v>8.300000000000001</v>
      </c>
      <c r="Z551" s="11" t="inlineStr">
        <is>
          <t>Priority Tier 2 (Balanced Opportunity)</t>
        </is>
      </c>
    </row>
    <row r="552">
      <c r="A552" s="23" t="n">
        <v>1</v>
      </c>
      <c r="B552" s="23" t="n">
        <v>548</v>
      </c>
      <c r="C552" s="23" t="n">
        <v>548</v>
      </c>
      <c r="D552" s="23" t="inlineStr">
        <is>
          <t>1380605077</t>
        </is>
      </c>
      <c r="E552" s="11" t="inlineStr">
        <is>
          <t>National Capital Region (NCR)</t>
        </is>
      </c>
      <c r="F552" s="11" t="inlineStr">
        <is>
          <t>First District (Not a Province)</t>
        </is>
      </c>
      <c r="G552" s="11" t="inlineStr">
        <is>
          <t>City of Manila</t>
        </is>
      </c>
      <c r="H552" s="11" t="inlineStr">
        <is>
          <t>Barangay 374</t>
        </is>
      </c>
      <c r="I552" s="24" t="n">
        <v>14.633117</v>
      </c>
      <c r="J552" s="24" t="n">
        <v>120.985922</v>
      </c>
      <c r="K552" s="23" t="inlineStr">
        <is>
          <t>U</t>
        </is>
      </c>
      <c r="L552" s="25" t="n">
        <v>4221</v>
      </c>
      <c r="M552" s="26" t="n">
        <v>4.77</v>
      </c>
      <c r="N552" s="25">
        <f>ROUND(L552/M552, 0)</f>
        <v/>
      </c>
      <c r="O552" s="25">
        <f>ROUND(N552*'Methodology &amp; Assumptions'!$B$7, 0)</f>
        <v/>
      </c>
      <c r="P552" s="23" t="inlineStr">
        <is>
          <t>Single Carrier (Band n50, 100MHz TDD)</t>
        </is>
      </c>
      <c r="Q552" s="27">
        <f>ROUNDUP(O552/'Methodology &amp; Assumptions'!$B$8, 0)</f>
        <v/>
      </c>
      <c r="R552" s="27" t="n">
        <v>1</v>
      </c>
      <c r="S552" s="26" t="n">
        <v>1.52</v>
      </c>
      <c r="T552" s="26" t="n">
        <v>0.52</v>
      </c>
      <c r="U552" s="11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26" t="n">
        <v>66.52</v>
      </c>
      <c r="W552" s="26" t="n">
        <v>70.5</v>
      </c>
      <c r="X552" s="26">
        <f>ROUND(('Methodology &amp; Assumptions'!$B$5*V552) + ('Methodology &amp; Assumptions'!$B$6*W552), 2)</f>
        <v/>
      </c>
      <c r="Y552" s="28" t="n">
        <v>10.9</v>
      </c>
      <c r="Z552" s="11" t="inlineStr">
        <is>
          <t>Priority Tier 2 (Balanced Opportunity)</t>
        </is>
      </c>
    </row>
    <row r="553">
      <c r="A553" s="23" t="n">
        <v>1</v>
      </c>
      <c r="B553" s="23" t="n">
        <v>549</v>
      </c>
      <c r="C553" s="23" t="n">
        <v>549</v>
      </c>
      <c r="D553" s="23" t="inlineStr">
        <is>
          <t>0102810004</t>
        </is>
      </c>
      <c r="E553" s="11" t="inlineStr">
        <is>
          <t>Region I (Ilocos Region)</t>
        </is>
      </c>
      <c r="F553" s="11" t="inlineStr">
        <is>
          <t>Ilocos Norte</t>
        </is>
      </c>
      <c r="G553" s="11" t="inlineStr">
        <is>
          <t>Dumalneg</t>
        </is>
      </c>
      <c r="H553" s="11" t="inlineStr">
        <is>
          <t>Quibel</t>
        </is>
      </c>
      <c r="I553" s="24" t="n">
        <v>18.475582</v>
      </c>
      <c r="J553" s="24" t="n">
        <v>120.826923</v>
      </c>
      <c r="K553" s="23" t="inlineStr">
        <is>
          <t>R</t>
        </is>
      </c>
      <c r="L553" s="25" t="n">
        <v>984</v>
      </c>
      <c r="M553" s="26" t="n">
        <v>3.7</v>
      </c>
      <c r="N553" s="25">
        <f>ROUND(L553/M553, 0)</f>
        <v/>
      </c>
      <c r="O553" s="25">
        <f>ROUND(N553*'Methodology &amp; Assumptions'!$B$7, 0)</f>
        <v/>
      </c>
      <c r="P553" s="23" t="inlineStr">
        <is>
          <t>Single Carrier (Band n50, 100MHz TDD)</t>
        </is>
      </c>
      <c r="Q553" s="27">
        <f>ROUNDUP(O553/'Methodology &amp; Assumptions'!$B$8, 0)</f>
        <v/>
      </c>
      <c r="R553" s="27" t="n">
        <v>1</v>
      </c>
      <c r="S553" s="26" t="n">
        <v>9.199999999999999</v>
      </c>
      <c r="T553" s="26" t="n">
        <v>6.94</v>
      </c>
      <c r="U553" s="11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26" t="n">
        <v>50.39</v>
      </c>
      <c r="W553" s="26" t="n">
        <v>86.63</v>
      </c>
      <c r="X553" s="26">
        <f>ROUND(('Methodology &amp; Assumptions'!$B$5*V553) + ('Methodology &amp; Assumptions'!$B$6*W553), 2)</f>
        <v/>
      </c>
      <c r="Y553" s="28" t="n">
        <v>8.300000000000001</v>
      </c>
      <c r="Z553" s="11" t="inlineStr">
        <is>
          <t>Priority Tier 2 (Balanced Opportunity)</t>
        </is>
      </c>
    </row>
    <row r="554">
      <c r="A554" s="23" t="n">
        <v>1</v>
      </c>
      <c r="B554" s="23" t="n">
        <v>550</v>
      </c>
      <c r="C554" s="23" t="n">
        <v>550</v>
      </c>
      <c r="D554" s="23" t="inlineStr">
        <is>
          <t>0403405053</t>
        </is>
      </c>
      <c r="E554" s="11" t="inlineStr">
        <is>
          <t>Region IV-A (CALABARZON)</t>
        </is>
      </c>
      <c r="F554" s="11" t="inlineStr">
        <is>
          <t>Laguna</t>
        </is>
      </c>
      <c r="G554" s="11" t="inlineStr">
        <is>
          <t>City of Calamba</t>
        </is>
      </c>
      <c r="H554" s="11" t="inlineStr">
        <is>
          <t>San Cristobal</t>
        </is>
      </c>
      <c r="I554" s="24" t="n">
        <v>14.226249</v>
      </c>
      <c r="J554" s="24" t="n">
        <v>121.142907</v>
      </c>
      <c r="K554" s="23" t="inlineStr">
        <is>
          <t>U</t>
        </is>
      </c>
      <c r="L554" s="25" t="n">
        <v>16312</v>
      </c>
      <c r="M554" s="26" t="n">
        <v>3.3</v>
      </c>
      <c r="N554" s="25">
        <f>ROUND(L554/M554, 0)</f>
        <v/>
      </c>
      <c r="O554" s="25">
        <f>ROUND(N554*'Methodology &amp; Assumptions'!$B$7, 0)</f>
        <v/>
      </c>
      <c r="P554" s="23" t="inlineStr">
        <is>
          <t>Single Carrier (Band n50, 100MHz TDD)</t>
        </is>
      </c>
      <c r="Q554" s="27">
        <f>ROUNDUP(O554/'Methodology &amp; Assumptions'!$B$8, 0)</f>
        <v/>
      </c>
      <c r="R554" s="27" t="n">
        <v>1</v>
      </c>
      <c r="S554" s="26" t="n">
        <v>2.65</v>
      </c>
      <c r="T554" s="26" t="n">
        <v>0.34</v>
      </c>
      <c r="U554" s="11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26" t="n">
        <v>71.90000000000001</v>
      </c>
      <c r="W554" s="26" t="n">
        <v>65.11</v>
      </c>
      <c r="X554" s="26">
        <f>ROUND(('Methodology &amp; Assumptions'!$B$5*V554) + ('Methodology &amp; Assumptions'!$B$6*W554), 2)</f>
        <v/>
      </c>
      <c r="Y554" s="28" t="n">
        <v>7.2</v>
      </c>
      <c r="Z554" s="11" t="inlineStr">
        <is>
          <t>Priority Tier 2 (Balanced Opportunity)</t>
        </is>
      </c>
    </row>
    <row r="555">
      <c r="A555" s="23" t="n">
        <v>1</v>
      </c>
      <c r="B555" s="23" t="n">
        <v>551</v>
      </c>
      <c r="C555" s="23" t="n">
        <v>551</v>
      </c>
      <c r="D555" s="23" t="inlineStr">
        <is>
          <t>1381100165</t>
        </is>
      </c>
      <c r="E555" s="11" t="inlineStr">
        <is>
          <t>National Capital Region (NCR)</t>
        </is>
      </c>
      <c r="F555" s="11" t="inlineStr">
        <is>
          <t>Fourth District (Not a Province)</t>
        </is>
      </c>
      <c r="G555" s="11" t="inlineStr">
        <is>
          <t>Pasay City</t>
        </is>
      </c>
      <c r="H555" s="11" t="inlineStr">
        <is>
          <t>Barangay 165</t>
        </is>
      </c>
      <c r="I555" s="24" t="n">
        <v>14.534182</v>
      </c>
      <c r="J555" s="24" t="n">
        <v>121.006194</v>
      </c>
      <c r="K555" s="23" t="inlineStr">
        <is>
          <t>U</t>
        </is>
      </c>
      <c r="L555" s="25" t="n">
        <v>5892</v>
      </c>
      <c r="M555" s="26" t="n">
        <v>3.9</v>
      </c>
      <c r="N555" s="25">
        <f>ROUND(L555/M555, 0)</f>
        <v/>
      </c>
      <c r="O555" s="25">
        <f>ROUND(N555*'Methodology &amp; Assumptions'!$B$7, 0)</f>
        <v/>
      </c>
      <c r="P555" s="23" t="inlineStr">
        <is>
          <t>Single Carrier (Band n50, 100MHz TDD)</t>
        </is>
      </c>
      <c r="Q555" s="27">
        <f>ROUNDUP(O555/'Methodology &amp; Assumptions'!$B$8, 0)</f>
        <v/>
      </c>
      <c r="R555" s="27" t="n">
        <v>1</v>
      </c>
      <c r="S555" s="26" t="n">
        <v>1.2</v>
      </c>
      <c r="T555" s="26" t="n">
        <v>0.28</v>
      </c>
      <c r="U555" s="11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26" t="n">
        <v>67.72</v>
      </c>
      <c r="W555" s="26" t="n">
        <v>69.28</v>
      </c>
      <c r="X555" s="26">
        <f>ROUND(('Methodology &amp; Assumptions'!$B$5*V555) + ('Methodology &amp; Assumptions'!$B$6*W555), 2)</f>
        <v/>
      </c>
      <c r="Y555" s="28" t="n">
        <v>10.9</v>
      </c>
      <c r="Z555" s="11" t="inlineStr">
        <is>
          <t>Priority Tier 2 (Balanced Opportunity)</t>
        </is>
      </c>
    </row>
    <row r="556">
      <c r="A556" s="23" t="n">
        <v>1</v>
      </c>
      <c r="B556" s="23" t="n">
        <v>552</v>
      </c>
      <c r="C556" s="23" t="n">
        <v>552</v>
      </c>
      <c r="D556" s="23" t="inlineStr">
        <is>
          <t>1102501014</t>
        </is>
      </c>
      <c r="E556" s="11" t="inlineStr">
        <is>
          <t>Region XI (Davao Region)</t>
        </is>
      </c>
      <c r="F556" s="11" t="inlineStr">
        <is>
          <t>Davao Oriental</t>
        </is>
      </c>
      <c r="G556" s="11" t="inlineStr">
        <is>
          <t>Baganga</t>
        </is>
      </c>
      <c r="H556" s="11" t="inlineStr">
        <is>
          <t>Salingcomot</t>
        </is>
      </c>
      <c r="I556" s="24" t="n">
        <v>7.523458</v>
      </c>
      <c r="J556" s="24" t="n">
        <v>126.533773</v>
      </c>
      <c r="K556" s="23" t="inlineStr">
        <is>
          <t>R</t>
        </is>
      </c>
      <c r="L556" s="25" t="n">
        <v>3085</v>
      </c>
      <c r="M556" s="26" t="n">
        <v>3.6</v>
      </c>
      <c r="N556" s="25">
        <f>ROUND(L556/M556, 0)</f>
        <v/>
      </c>
      <c r="O556" s="25">
        <f>ROUND(N556*'Methodology &amp; Assumptions'!$B$7, 0)</f>
        <v/>
      </c>
      <c r="P556" s="23" t="inlineStr">
        <is>
          <t>Single Carrier (Band n50, 100MHz TDD)</t>
        </is>
      </c>
      <c r="Q556" s="27">
        <f>ROUNDUP(O556/'Methodology &amp; Assumptions'!$B$8, 0)</f>
        <v/>
      </c>
      <c r="R556" s="27" t="n">
        <v>1</v>
      </c>
      <c r="S556" s="26" t="n">
        <v>62.55</v>
      </c>
      <c r="T556" s="26" t="n">
        <v>62.4</v>
      </c>
      <c r="U556" s="11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26" t="n">
        <v>61.82</v>
      </c>
      <c r="W556" s="26" t="n">
        <v>75.16</v>
      </c>
      <c r="X556" s="26">
        <f>ROUND(('Methodology &amp; Assumptions'!$B$5*V556) + ('Methodology &amp; Assumptions'!$B$6*W556), 2)</f>
        <v/>
      </c>
      <c r="Y556" s="28" t="n">
        <v>17.4</v>
      </c>
      <c r="Z556" s="11" t="inlineStr">
        <is>
          <t>Priority Tier 2 (Balanced Opportunity)</t>
        </is>
      </c>
    </row>
    <row r="557">
      <c r="A557" s="23" t="n">
        <v>1</v>
      </c>
      <c r="B557" s="23" t="n">
        <v>553</v>
      </c>
      <c r="C557" s="23" t="n">
        <v>553</v>
      </c>
      <c r="D557" s="23" t="inlineStr">
        <is>
          <t>1380606063</t>
        </is>
      </c>
      <c r="E557" s="11" t="inlineStr">
        <is>
          <t>National Capital Region (NCR)</t>
        </is>
      </c>
      <c r="F557" s="11" t="inlineStr">
        <is>
          <t>First District (Not a Province)</t>
        </is>
      </c>
      <c r="G557" s="11" t="inlineStr">
        <is>
          <t>City of Manila</t>
        </is>
      </c>
      <c r="H557" s="11" t="inlineStr">
        <is>
          <t>Barangay 457</t>
        </is>
      </c>
      <c r="I557" s="24" t="n">
        <v>14.607518</v>
      </c>
      <c r="J557" s="24" t="n">
        <v>120.992749</v>
      </c>
      <c r="K557" s="23" t="inlineStr">
        <is>
          <t>U</t>
        </is>
      </c>
      <c r="L557" s="25" t="n">
        <v>2895</v>
      </c>
      <c r="M557" s="26" t="n">
        <v>3.66</v>
      </c>
      <c r="N557" s="25">
        <f>ROUND(L557/M557, 0)</f>
        <v/>
      </c>
      <c r="O557" s="25">
        <f>ROUND(N557*'Methodology &amp; Assumptions'!$B$7, 0)</f>
        <v/>
      </c>
      <c r="P557" s="23" t="inlineStr">
        <is>
          <t>Single Carrier (Band n50, 100MHz TDD)</t>
        </is>
      </c>
      <c r="Q557" s="27">
        <f>ROUNDUP(O557/'Methodology &amp; Assumptions'!$B$8, 0)</f>
        <v/>
      </c>
      <c r="R557" s="27" t="n">
        <v>1</v>
      </c>
      <c r="S557" s="26" t="n">
        <v>0.52</v>
      </c>
      <c r="T557" s="26" t="n">
        <v>0.23</v>
      </c>
      <c r="U557" s="11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26" t="n">
        <v>66.48</v>
      </c>
      <c r="W557" s="26" t="n">
        <v>70.45999999999999</v>
      </c>
      <c r="X557" s="26">
        <f>ROUND(('Methodology &amp; Assumptions'!$B$5*V557) + ('Methodology &amp; Assumptions'!$B$6*W557), 2)</f>
        <v/>
      </c>
      <c r="Y557" s="28" t="n">
        <v>10.9</v>
      </c>
      <c r="Z557" s="11" t="inlineStr">
        <is>
          <t>Priority Tier 2 (Balanced Opportunity)</t>
        </is>
      </c>
    </row>
    <row r="558">
      <c r="A558" s="23" t="n">
        <v>1</v>
      </c>
      <c r="B558" s="23" t="n">
        <v>554</v>
      </c>
      <c r="C558" s="23" t="n">
        <v>554</v>
      </c>
      <c r="D558" s="23" t="inlineStr">
        <is>
          <t>1381701007</t>
        </is>
      </c>
      <c r="E558" s="11" t="inlineStr">
        <is>
          <t>National Capital Region (NCR)</t>
        </is>
      </c>
      <c r="F558" s="11" t="inlineStr">
        <is>
          <t>Fourth District (Not a Province)</t>
        </is>
      </c>
      <c r="G558" s="11" t="inlineStr">
        <is>
          <t>Pateros</t>
        </is>
      </c>
      <c r="H558" s="11" t="inlineStr">
        <is>
          <t>Santa Ana</t>
        </is>
      </c>
      <c r="I558" s="24" t="n">
        <v>14.54705</v>
      </c>
      <c r="J558" s="24" t="n">
        <v>121.071613</v>
      </c>
      <c r="K558" s="23" t="inlineStr">
        <is>
          <t>U</t>
        </is>
      </c>
      <c r="L558" s="25" t="n">
        <v>30950</v>
      </c>
      <c r="M558" s="26" t="n">
        <v>3.82</v>
      </c>
      <c r="N558" s="25">
        <f>ROUND(L558/M558, 0)</f>
        <v/>
      </c>
      <c r="O558" s="25">
        <f>ROUND(N558*'Methodology &amp; Assumptions'!$B$7, 0)</f>
        <v/>
      </c>
      <c r="P558" s="23" t="inlineStr">
        <is>
          <t>Single Carrier (Band n50, 100MHz TDD)</t>
        </is>
      </c>
      <c r="Q558" s="27">
        <f>ROUNDUP(O558/'Methodology &amp; Assumptions'!$B$8, 0)</f>
        <v/>
      </c>
      <c r="R558" s="27" t="n">
        <v>1</v>
      </c>
      <c r="S558" s="26" t="n">
        <v>0.44</v>
      </c>
      <c r="T558" s="26" t="n">
        <v>0.24</v>
      </c>
      <c r="U558" s="11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26" t="n">
        <v>67.51000000000001</v>
      </c>
      <c r="W558" s="26" t="n">
        <v>69.39</v>
      </c>
      <c r="X558" s="26">
        <f>ROUND(('Methodology &amp; Assumptions'!$B$5*V558) + ('Methodology &amp; Assumptions'!$B$6*W558), 2)</f>
        <v/>
      </c>
      <c r="Y558" s="28" t="n">
        <v>10.9</v>
      </c>
      <c r="Z558" s="11" t="inlineStr">
        <is>
          <t>Priority Tier 2 (Balanced Opportunity)</t>
        </is>
      </c>
    </row>
    <row r="559">
      <c r="A559" s="23" t="n">
        <v>1</v>
      </c>
      <c r="B559" s="23" t="n">
        <v>555</v>
      </c>
      <c r="C559" s="23" t="n">
        <v>555</v>
      </c>
      <c r="D559" s="23" t="inlineStr">
        <is>
          <t>1380605032</t>
        </is>
      </c>
      <c r="E559" s="11" t="inlineStr">
        <is>
          <t>National Capital Region (NCR)</t>
        </is>
      </c>
      <c r="F559" s="11" t="inlineStr">
        <is>
          <t>First District (Not a Province)</t>
        </is>
      </c>
      <c r="G559" s="11" t="inlineStr">
        <is>
          <t>City of Manila</t>
        </is>
      </c>
      <c r="H559" s="11" t="inlineStr">
        <is>
          <t>Barangay 330</t>
        </is>
      </c>
      <c r="I559" s="24" t="n">
        <v>14.607887</v>
      </c>
      <c r="J559" s="24" t="n">
        <v>120.979577</v>
      </c>
      <c r="K559" s="23" t="inlineStr">
        <is>
          <t>U</t>
        </is>
      </c>
      <c r="L559" s="25" t="n">
        <v>2949</v>
      </c>
      <c r="M559" s="26" t="n">
        <v>3.5</v>
      </c>
      <c r="N559" s="25">
        <f>ROUND(L559/M559, 0)</f>
        <v/>
      </c>
      <c r="O559" s="25">
        <f>ROUND(N559*'Methodology &amp; Assumptions'!$B$7, 0)</f>
        <v/>
      </c>
      <c r="P559" s="23" t="inlineStr">
        <is>
          <t>Single Carrier (Band n50, 100MHz TDD)</t>
        </is>
      </c>
      <c r="Q559" s="27">
        <f>ROUNDUP(O559/'Methodology &amp; Assumptions'!$B$8, 0)</f>
        <v/>
      </c>
      <c r="R559" s="27" t="n">
        <v>1</v>
      </c>
      <c r="S559" s="26" t="n">
        <v>1.02</v>
      </c>
      <c r="T559" s="26" t="n">
        <v>0.42</v>
      </c>
      <c r="U559" s="11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26" t="n">
        <v>67.5</v>
      </c>
      <c r="W559" s="26" t="n">
        <v>69.40000000000001</v>
      </c>
      <c r="X559" s="26">
        <f>ROUND(('Methodology &amp; Assumptions'!$B$5*V559) + ('Methodology &amp; Assumptions'!$B$6*W559), 2)</f>
        <v/>
      </c>
      <c r="Y559" s="28" t="n">
        <v>10.9</v>
      </c>
      <c r="Z559" s="11" t="inlineStr">
        <is>
          <t>Priority Tier 2 (Balanced Opportunity)</t>
        </is>
      </c>
    </row>
    <row r="560">
      <c r="A560" s="23" t="n">
        <v>1</v>
      </c>
      <c r="B560" s="23" t="n">
        <v>556</v>
      </c>
      <c r="C560" s="23" t="n">
        <v>556</v>
      </c>
      <c r="D560" s="23" t="inlineStr">
        <is>
          <t>1380601263</t>
        </is>
      </c>
      <c r="E560" s="11" t="inlineStr">
        <is>
          <t>National Capital Region (NCR)</t>
        </is>
      </c>
      <c r="F560" s="11" t="inlineStr">
        <is>
          <t>First District (Not a Province)</t>
        </is>
      </c>
      <c r="G560" s="11" t="inlineStr">
        <is>
          <t>City of Manila</t>
        </is>
      </c>
      <c r="H560" s="11" t="inlineStr">
        <is>
          <t>Barangay 262</t>
        </is>
      </c>
      <c r="I560" s="24" t="n">
        <v>14.609335</v>
      </c>
      <c r="J560" s="24" t="n">
        <v>120.978215</v>
      </c>
      <c r="K560" s="23" t="inlineStr">
        <is>
          <t>U</t>
        </is>
      </c>
      <c r="L560" s="25" t="n">
        <v>3638</v>
      </c>
      <c r="M560" s="26" t="n">
        <v>4.59</v>
      </c>
      <c r="N560" s="25">
        <f>ROUND(L560/M560, 0)</f>
        <v/>
      </c>
      <c r="O560" s="25">
        <f>ROUND(N560*'Methodology &amp; Assumptions'!$B$7, 0)</f>
        <v/>
      </c>
      <c r="P560" s="23" t="inlineStr">
        <is>
          <t>Single Carrier (Band n50, 100MHz TDD)</t>
        </is>
      </c>
      <c r="Q560" s="27">
        <f>ROUNDUP(O560/'Methodology &amp; Assumptions'!$B$8, 0)</f>
        <v/>
      </c>
      <c r="R560" s="27" t="n">
        <v>1</v>
      </c>
      <c r="S560" s="26" t="n">
        <v>0.9399999999999999</v>
      </c>
      <c r="T560" s="26" t="n">
        <v>0.3</v>
      </c>
      <c r="U560" s="11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26" t="n">
        <v>66.2</v>
      </c>
      <c r="W560" s="26" t="n">
        <v>70.67</v>
      </c>
      <c r="X560" s="26">
        <f>ROUND(('Methodology &amp; Assumptions'!$B$5*V560) + ('Methodology &amp; Assumptions'!$B$6*W560), 2)</f>
        <v/>
      </c>
      <c r="Y560" s="28" t="n">
        <v>10.9</v>
      </c>
      <c r="Z560" s="11" t="inlineStr">
        <is>
          <t>Priority Tier 2 (Balanced Opportunity)</t>
        </is>
      </c>
    </row>
    <row r="561">
      <c r="A561" s="23" t="n">
        <v>1</v>
      </c>
      <c r="B561" s="23" t="n">
        <v>557</v>
      </c>
      <c r="C561" s="23" t="n">
        <v>557</v>
      </c>
      <c r="D561" s="23" t="inlineStr">
        <is>
          <t>1380601043</t>
        </is>
      </c>
      <c r="E561" s="11" t="inlineStr">
        <is>
          <t>National Capital Region (NCR)</t>
        </is>
      </c>
      <c r="F561" s="11" t="inlineStr">
        <is>
          <t>First District (Not a Province)</t>
        </is>
      </c>
      <c r="G561" s="11" t="inlineStr">
        <is>
          <t>City of Manila</t>
        </is>
      </c>
      <c r="H561" s="11" t="inlineStr">
        <is>
          <t>Barangay 43</t>
        </is>
      </c>
      <c r="I561" s="24" t="n">
        <v>14.608016</v>
      </c>
      <c r="J561" s="24" t="n">
        <v>120.961886</v>
      </c>
      <c r="K561" s="23" t="inlineStr">
        <is>
          <t>U</t>
        </is>
      </c>
      <c r="L561" s="25" t="n">
        <v>2949</v>
      </c>
      <c r="M561" s="26" t="n">
        <v>4.57</v>
      </c>
      <c r="N561" s="25">
        <f>ROUND(L561/M561, 0)</f>
        <v/>
      </c>
      <c r="O561" s="25">
        <f>ROUND(N561*'Methodology &amp; Assumptions'!$B$7, 0)</f>
        <v/>
      </c>
      <c r="P561" s="23" t="inlineStr">
        <is>
          <t>Single Carrier (Band n50, 100MHz TDD)</t>
        </is>
      </c>
      <c r="Q561" s="27">
        <f>ROUNDUP(O561/'Methodology &amp; Assumptions'!$B$8, 0)</f>
        <v/>
      </c>
      <c r="R561" s="27" t="n">
        <v>1</v>
      </c>
      <c r="S561" s="26" t="n">
        <v>0.85</v>
      </c>
      <c r="T561" s="26" t="n">
        <v>0.79</v>
      </c>
      <c r="U561" s="11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26" t="n">
        <v>61.85</v>
      </c>
      <c r="W561" s="26" t="n">
        <v>75.02</v>
      </c>
      <c r="X561" s="26">
        <f>ROUND(('Methodology &amp; Assumptions'!$B$5*V561) + ('Methodology &amp; Assumptions'!$B$6*W561), 2)</f>
        <v/>
      </c>
      <c r="Y561" s="28" t="n">
        <v>10.9</v>
      </c>
      <c r="Z561" s="11" t="inlineStr">
        <is>
          <t>Priority Tier 2 (Balanced Opportunity)</t>
        </is>
      </c>
    </row>
    <row r="562">
      <c r="A562" s="23" t="n">
        <v>1</v>
      </c>
      <c r="B562" s="23" t="n">
        <v>558</v>
      </c>
      <c r="C562" s="23" t="n">
        <v>558</v>
      </c>
      <c r="D562" s="23" t="inlineStr">
        <is>
          <t>1381200003</t>
        </is>
      </c>
      <c r="E562" s="11" t="inlineStr">
        <is>
          <t>National Capital Region (NCR)</t>
        </is>
      </c>
      <c r="F562" s="11" t="inlineStr">
        <is>
          <t>Second District (Not a Province)</t>
        </is>
      </c>
      <c r="G562" s="11" t="inlineStr">
        <is>
          <t>City of Pasig</t>
        </is>
      </c>
      <c r="H562" s="11" t="inlineStr">
        <is>
          <t>Bambang</t>
        </is>
      </c>
      <c r="I562" s="24" t="n">
        <v>14.554706</v>
      </c>
      <c r="J562" s="24" t="n">
        <v>121.078582</v>
      </c>
      <c r="K562" s="23" t="inlineStr">
        <is>
          <t>U</t>
        </is>
      </c>
      <c r="L562" s="25" t="n">
        <v>20908</v>
      </c>
      <c r="M562" s="26" t="n">
        <v>3.51</v>
      </c>
      <c r="N562" s="25">
        <f>ROUND(L562/M562, 0)</f>
        <v/>
      </c>
      <c r="O562" s="25">
        <f>ROUND(N562*'Methodology &amp; Assumptions'!$B$7, 0)</f>
        <v/>
      </c>
      <c r="P562" s="23" t="inlineStr">
        <is>
          <t>Single Carrier (Band n50, 100MHz TDD)</t>
        </is>
      </c>
      <c r="Q562" s="27">
        <f>ROUNDUP(O562/'Methodology &amp; Assumptions'!$B$8, 0)</f>
        <v/>
      </c>
      <c r="R562" s="27" t="n">
        <v>1</v>
      </c>
      <c r="S562" s="26" t="n">
        <v>0.73</v>
      </c>
      <c r="T562" s="26" t="n">
        <v>0.32</v>
      </c>
      <c r="U562" s="11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26" t="n">
        <v>68.23</v>
      </c>
      <c r="W562" s="26" t="n">
        <v>68.62</v>
      </c>
      <c r="X562" s="26">
        <f>ROUND(('Methodology &amp; Assumptions'!$B$5*V562) + ('Methodology &amp; Assumptions'!$B$6*W562), 2)</f>
        <v/>
      </c>
      <c r="Y562" s="28" t="n">
        <v>10.9</v>
      </c>
      <c r="Z562" s="11" t="inlineStr">
        <is>
          <t>Priority Tier 2 (Balanced Opportunity)</t>
        </is>
      </c>
    </row>
    <row r="563">
      <c r="A563" s="23" t="n">
        <v>1</v>
      </c>
      <c r="B563" s="23" t="n">
        <v>559</v>
      </c>
      <c r="C563" s="23" t="n">
        <v>559</v>
      </c>
      <c r="D563" s="23" t="inlineStr">
        <is>
          <t>0402106054</t>
        </is>
      </c>
      <c r="E563" s="11" t="inlineStr">
        <is>
          <t>Region IV-A (CALABARZON)</t>
        </is>
      </c>
      <c r="F563" s="11" t="inlineStr">
        <is>
          <t>Cavite</t>
        </is>
      </c>
      <c r="G563" s="11" t="inlineStr">
        <is>
          <t>City of Dasmariñas</t>
        </is>
      </c>
      <c r="H563" s="11" t="inlineStr">
        <is>
          <t>Luzviminda II</t>
        </is>
      </c>
      <c r="I563" s="24" t="n">
        <v>14.311725</v>
      </c>
      <c r="J563" s="24" t="n">
        <v>120.969989</v>
      </c>
      <c r="K563" s="23" t="inlineStr">
        <is>
          <t>U</t>
        </is>
      </c>
      <c r="L563" s="25" t="n">
        <v>5125</v>
      </c>
      <c r="M563" s="26" t="n">
        <v>3.4</v>
      </c>
      <c r="N563" s="25">
        <f>ROUND(L563/M563, 0)</f>
        <v/>
      </c>
      <c r="O563" s="25">
        <f>ROUND(N563*'Methodology &amp; Assumptions'!$B$7, 0)</f>
        <v/>
      </c>
      <c r="P563" s="23" t="inlineStr">
        <is>
          <t>Single Carrier (Band n50, 100MHz TDD)</t>
        </is>
      </c>
      <c r="Q563" s="27">
        <f>ROUNDUP(O563/'Methodology &amp; Assumptions'!$B$8, 0)</f>
        <v/>
      </c>
      <c r="R563" s="27" t="n">
        <v>1</v>
      </c>
      <c r="S563" s="26" t="n">
        <v>0.47</v>
      </c>
      <c r="T563" s="26" t="n">
        <v>1.88</v>
      </c>
      <c r="U563" s="11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26" t="n">
        <v>78.26000000000001</v>
      </c>
      <c r="W563" s="26" t="n">
        <v>58.57</v>
      </c>
      <c r="X563" s="26">
        <f>ROUND(('Methodology &amp; Assumptions'!$B$5*V563) + ('Methodology &amp; Assumptions'!$B$6*W563), 2)</f>
        <v/>
      </c>
      <c r="Y563" s="28" t="n">
        <v>7.2</v>
      </c>
      <c r="Z563" s="11" t="inlineStr">
        <is>
          <t>Priority Tier 2 (Balanced Opportunity)</t>
        </is>
      </c>
    </row>
    <row r="564">
      <c r="A564" s="23" t="n">
        <v>1</v>
      </c>
      <c r="B564" s="23" t="n">
        <v>560</v>
      </c>
      <c r="C564" s="23" t="n">
        <v>560</v>
      </c>
      <c r="D564" s="23" t="inlineStr">
        <is>
          <t>1380200019</t>
        </is>
      </c>
      <c r="E564" s="11" t="inlineStr">
        <is>
          <t>National Capital Region (NCR)</t>
        </is>
      </c>
      <c r="F564" s="11" t="inlineStr">
        <is>
          <t>Fourth District (Not a Province)</t>
        </is>
      </c>
      <c r="G564" s="11" t="inlineStr">
        <is>
          <t>City of Las Piñas</t>
        </is>
      </c>
      <c r="H564" s="11" t="inlineStr">
        <is>
          <t>Talon Kuatro</t>
        </is>
      </c>
      <c r="I564" s="24" t="n">
        <v>14.433836</v>
      </c>
      <c r="J564" s="24" t="n">
        <v>120.997503</v>
      </c>
      <c r="K564" s="23" t="inlineStr">
        <is>
          <t>U</t>
        </is>
      </c>
      <c r="L564" s="25" t="n">
        <v>17656</v>
      </c>
      <c r="M564" s="26" t="n">
        <v>3.64</v>
      </c>
      <c r="N564" s="25">
        <f>ROUND(L564/M564, 0)</f>
        <v/>
      </c>
      <c r="O564" s="25">
        <f>ROUND(N564*'Methodology &amp; Assumptions'!$B$7, 0)</f>
        <v/>
      </c>
      <c r="P564" s="23" t="inlineStr">
        <is>
          <t>Single Carrier (Band n50, 100MHz TDD)</t>
        </is>
      </c>
      <c r="Q564" s="27">
        <f>ROUNDUP(O564/'Methodology &amp; Assumptions'!$B$8, 0)</f>
        <v/>
      </c>
      <c r="R564" s="27" t="n">
        <v>1</v>
      </c>
      <c r="S564" s="26" t="n">
        <v>0.98</v>
      </c>
      <c r="T564" s="26" t="n">
        <v>0.8100000000000001</v>
      </c>
      <c r="U564" s="11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26" t="n">
        <v>68.2</v>
      </c>
      <c r="W564" s="26" t="n">
        <v>68.61</v>
      </c>
      <c r="X564" s="26">
        <f>ROUND(('Methodology &amp; Assumptions'!$B$5*V564) + ('Methodology &amp; Assumptions'!$B$6*W564), 2)</f>
        <v/>
      </c>
      <c r="Y564" s="28" t="n">
        <v>10.9</v>
      </c>
      <c r="Z564" s="11" t="inlineStr">
        <is>
          <t>Priority Tier 2 (Balanced Opportunity)</t>
        </is>
      </c>
    </row>
    <row r="565">
      <c r="A565" s="23" t="n">
        <v>1</v>
      </c>
      <c r="B565" s="23" t="n">
        <v>561</v>
      </c>
      <c r="C565" s="23" t="n">
        <v>561</v>
      </c>
      <c r="D565" s="23" t="inlineStr">
        <is>
          <t>1381300056</t>
        </is>
      </c>
      <c r="E565" s="11" t="inlineStr">
        <is>
          <t>National Capital Region (NCR)</t>
        </is>
      </c>
      <c r="F565" s="11" t="inlineStr">
        <is>
          <t>Second District (Not a Province)</t>
        </is>
      </c>
      <c r="G565" s="11" t="inlineStr">
        <is>
          <t>Quezon City</t>
        </is>
      </c>
      <c r="H565" s="11" t="inlineStr">
        <is>
          <t>Maharlika</t>
        </is>
      </c>
      <c r="I565" s="24" t="n">
        <v>14.636561</v>
      </c>
      <c r="J565" s="24" t="n">
        <v>120.994804</v>
      </c>
      <c r="K565" s="23" t="inlineStr">
        <is>
          <t>U</t>
        </is>
      </c>
      <c r="L565" s="25" t="n">
        <v>5211</v>
      </c>
      <c r="M565" s="26" t="n">
        <v>3.14</v>
      </c>
      <c r="N565" s="25">
        <f>ROUND(L565/M565, 0)</f>
        <v/>
      </c>
      <c r="O565" s="25">
        <f>ROUND(N565*'Methodology &amp; Assumptions'!$B$7, 0)</f>
        <v/>
      </c>
      <c r="P565" s="23" t="inlineStr">
        <is>
          <t>Single Carrier (Band n50, 100MHz TDD)</t>
        </is>
      </c>
      <c r="Q565" s="27">
        <f>ROUNDUP(O565/'Methodology &amp; Assumptions'!$B$8, 0)</f>
        <v/>
      </c>
      <c r="R565" s="27" t="n">
        <v>1</v>
      </c>
      <c r="S565" s="26" t="n">
        <v>0.6899999999999999</v>
      </c>
      <c r="T565" s="26" t="n">
        <v>0.12</v>
      </c>
      <c r="U565" s="11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26" t="n">
        <v>69.09</v>
      </c>
      <c r="W565" s="26" t="n">
        <v>67.70999999999999</v>
      </c>
      <c r="X565" s="26">
        <f>ROUND(('Methodology &amp; Assumptions'!$B$5*V565) + ('Methodology &amp; Assumptions'!$B$6*W565), 2)</f>
        <v/>
      </c>
      <c r="Y565" s="28" t="n">
        <v>10.9</v>
      </c>
      <c r="Z565" s="11" t="inlineStr">
        <is>
          <t>Priority Tier 2 (Balanced Opportunity)</t>
        </is>
      </c>
    </row>
    <row r="566">
      <c r="A566" s="23" t="n">
        <v>1</v>
      </c>
      <c r="B566" s="23" t="n">
        <v>562</v>
      </c>
      <c r="C566" s="23" t="n">
        <v>562</v>
      </c>
      <c r="D566" s="23" t="inlineStr">
        <is>
          <t>0305404005</t>
        </is>
      </c>
      <c r="E566" s="11" t="inlineStr">
        <is>
          <t>Region III (Central Luzon)</t>
        </is>
      </c>
      <c r="F566" s="11" t="inlineStr">
        <is>
          <t>Pampanga</t>
        </is>
      </c>
      <c r="G566" s="11" t="inlineStr">
        <is>
          <t>Bacolor</t>
        </is>
      </c>
      <c r="H566" s="11" t="inlineStr">
        <is>
          <t>Calibutbut</t>
        </is>
      </c>
      <c r="I566" s="24" t="n">
        <v>15.116113</v>
      </c>
      <c r="J566" s="24" t="n">
        <v>120.602582</v>
      </c>
      <c r="K566" s="23" t="inlineStr">
        <is>
          <t>U</t>
        </is>
      </c>
      <c r="L566" s="25" t="n">
        <v>13476</v>
      </c>
      <c r="M566" s="26" t="n">
        <v>4</v>
      </c>
      <c r="N566" s="25">
        <f>ROUND(L566/M566, 0)</f>
        <v/>
      </c>
      <c r="O566" s="25">
        <f>ROUND(N566*'Methodology &amp; Assumptions'!$B$7, 0)</f>
        <v/>
      </c>
      <c r="P566" s="23" t="inlineStr">
        <is>
          <t>Single Carrier (Band n50, 100MHz TDD)</t>
        </is>
      </c>
      <c r="Q566" s="27">
        <f>ROUNDUP(O566/'Methodology &amp; Assumptions'!$B$8, 0)</f>
        <v/>
      </c>
      <c r="R566" s="27" t="n">
        <v>1</v>
      </c>
      <c r="S566" s="26" t="n">
        <v>0.82</v>
      </c>
      <c r="T566" s="26" t="n">
        <v>0.27</v>
      </c>
      <c r="U566" s="11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26" t="n">
        <v>78.43000000000001</v>
      </c>
      <c r="W566" s="26" t="n">
        <v>58.35</v>
      </c>
      <c r="X566" s="26">
        <f>ROUND(('Methodology &amp; Assumptions'!$B$5*V566) + ('Methodology &amp; Assumptions'!$B$6*W566), 2)</f>
        <v/>
      </c>
      <c r="Y566" s="28" t="n">
        <v>8.300000000000001</v>
      </c>
      <c r="Z566" s="11" t="inlineStr">
        <is>
          <t>Priority Tier 2 (Balanced Opportunity)</t>
        </is>
      </c>
    </row>
    <row r="567">
      <c r="A567" s="23" t="n">
        <v>1</v>
      </c>
      <c r="B567" s="23" t="n">
        <v>563</v>
      </c>
      <c r="C567" s="23" t="n">
        <v>563</v>
      </c>
      <c r="D567" s="23" t="inlineStr">
        <is>
          <t>1381100177</t>
        </is>
      </c>
      <c r="E567" s="11" t="inlineStr">
        <is>
          <t>National Capital Region (NCR)</t>
        </is>
      </c>
      <c r="F567" s="11" t="inlineStr">
        <is>
          <t>Fourth District (Not a Province)</t>
        </is>
      </c>
      <c r="G567" s="11" t="inlineStr">
        <is>
          <t>Pasay City</t>
        </is>
      </c>
      <c r="H567" s="11" t="inlineStr">
        <is>
          <t>Barangay 177</t>
        </is>
      </c>
      <c r="I567" s="24" t="n">
        <v>14.531997</v>
      </c>
      <c r="J567" s="24" t="n">
        <v>121.009611</v>
      </c>
      <c r="K567" s="23" t="inlineStr">
        <is>
          <t>U</t>
        </is>
      </c>
      <c r="L567" s="25" t="n">
        <v>6250</v>
      </c>
      <c r="M567" s="26" t="n">
        <v>4.23</v>
      </c>
      <c r="N567" s="25">
        <f>ROUND(L567/M567, 0)</f>
        <v/>
      </c>
      <c r="O567" s="25">
        <f>ROUND(N567*'Methodology &amp; Assumptions'!$B$7, 0)</f>
        <v/>
      </c>
      <c r="P567" s="23" t="inlineStr">
        <is>
          <t>Single Carrier (Band n50, 100MHz TDD)</t>
        </is>
      </c>
      <c r="Q567" s="27">
        <f>ROUNDUP(O567/'Methodology &amp; Assumptions'!$B$8, 0)</f>
        <v/>
      </c>
      <c r="R567" s="27" t="n">
        <v>1</v>
      </c>
      <c r="S567" s="26" t="n">
        <v>1.29</v>
      </c>
      <c r="T567" s="26" t="n">
        <v>0.57</v>
      </c>
      <c r="U567" s="11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26" t="n">
        <v>67.38</v>
      </c>
      <c r="W567" s="26" t="n">
        <v>69.39</v>
      </c>
      <c r="X567" s="26">
        <f>ROUND(('Methodology &amp; Assumptions'!$B$5*V567) + ('Methodology &amp; Assumptions'!$B$6*W567), 2)</f>
        <v/>
      </c>
      <c r="Y567" s="28" t="n">
        <v>10.9</v>
      </c>
      <c r="Z567" s="11" t="inlineStr">
        <is>
          <t>Priority Tier 2 (Balanced Opportunity)</t>
        </is>
      </c>
    </row>
    <row r="568">
      <c r="A568" s="23" t="n">
        <v>1</v>
      </c>
      <c r="B568" s="23" t="n">
        <v>564</v>
      </c>
      <c r="C568" s="23" t="n">
        <v>564</v>
      </c>
      <c r="D568" s="23" t="inlineStr">
        <is>
          <t>1381300094</t>
        </is>
      </c>
      <c r="E568" s="11" t="inlineStr">
        <is>
          <t>National Capital Region (NCR)</t>
        </is>
      </c>
      <c r="F568" s="11" t="inlineStr">
        <is>
          <t>Second District (Not a Province)</t>
        </is>
      </c>
      <c r="G568" s="11" t="inlineStr">
        <is>
          <t>Quezon City</t>
        </is>
      </c>
      <c r="H568" s="11" t="inlineStr">
        <is>
          <t>Salvacion</t>
        </is>
      </c>
      <c r="I568" s="24" t="n">
        <v>14.628013</v>
      </c>
      <c r="J568" s="24" t="n">
        <v>120.994975</v>
      </c>
      <c r="K568" s="23" t="inlineStr">
        <is>
          <t>U</t>
        </is>
      </c>
      <c r="L568" s="25" t="n">
        <v>6861</v>
      </c>
      <c r="M568" s="26" t="n">
        <v>3.72</v>
      </c>
      <c r="N568" s="25">
        <f>ROUND(L568/M568, 0)</f>
        <v/>
      </c>
      <c r="O568" s="25">
        <f>ROUND(N568*'Methodology &amp; Assumptions'!$B$7, 0)</f>
        <v/>
      </c>
      <c r="P568" s="23" t="inlineStr">
        <is>
          <t>Single Carrier (Band n50, 100MHz TDD)</t>
        </is>
      </c>
      <c r="Q568" s="27">
        <f>ROUNDUP(O568/'Methodology &amp; Assumptions'!$B$8, 0)</f>
        <v/>
      </c>
      <c r="R568" s="27" t="n">
        <v>1</v>
      </c>
      <c r="S568" s="26" t="n">
        <v>1.29</v>
      </c>
      <c r="T568" s="26" t="n">
        <v>0.5</v>
      </c>
      <c r="U568" s="11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26" t="n">
        <v>67.39</v>
      </c>
      <c r="W568" s="26" t="n">
        <v>69.34999999999999</v>
      </c>
      <c r="X568" s="26">
        <f>ROUND(('Methodology &amp; Assumptions'!$B$5*V568) + ('Methodology &amp; Assumptions'!$B$6*W568), 2)</f>
        <v/>
      </c>
      <c r="Y568" s="28" t="n">
        <v>10.9</v>
      </c>
      <c r="Z568" s="11" t="inlineStr">
        <is>
          <t>Priority Tier 2 (Balanced Opportunity)</t>
        </is>
      </c>
    </row>
    <row r="569">
      <c r="A569" s="23" t="n">
        <v>1</v>
      </c>
      <c r="B569" s="23" t="n">
        <v>565</v>
      </c>
      <c r="C569" s="23" t="n">
        <v>565</v>
      </c>
      <c r="D569" s="23" t="inlineStr">
        <is>
          <t>1380605055</t>
        </is>
      </c>
      <c r="E569" s="11" t="inlineStr">
        <is>
          <t>National Capital Region (NCR)</t>
        </is>
      </c>
      <c r="F569" s="11" t="inlineStr">
        <is>
          <t>First District (Not a Province)</t>
        </is>
      </c>
      <c r="G569" s="11" t="inlineStr">
        <is>
          <t>City of Manila</t>
        </is>
      </c>
      <c r="H569" s="11" t="inlineStr">
        <is>
          <t>Barangay 353</t>
        </is>
      </c>
      <c r="I569" s="24" t="n">
        <v>14.617368</v>
      </c>
      <c r="J569" s="24" t="n">
        <v>120.981708</v>
      </c>
      <c r="K569" s="23" t="inlineStr">
        <is>
          <t>U</t>
        </is>
      </c>
      <c r="L569" s="25" t="n">
        <v>3010</v>
      </c>
      <c r="M569" s="26" t="n">
        <v>3.85</v>
      </c>
      <c r="N569" s="25">
        <f>ROUND(L569/M569, 0)</f>
        <v/>
      </c>
      <c r="O569" s="25">
        <f>ROUND(N569*'Methodology &amp; Assumptions'!$B$7, 0)</f>
        <v/>
      </c>
      <c r="P569" s="23" t="inlineStr">
        <is>
          <t>Single Carrier (Band n50, 100MHz TDD)</t>
        </is>
      </c>
      <c r="Q569" s="27">
        <f>ROUNDUP(O569/'Methodology &amp; Assumptions'!$B$8, 0)</f>
        <v/>
      </c>
      <c r="R569" s="27" t="n">
        <v>1</v>
      </c>
      <c r="S569" s="26" t="n">
        <v>0.16</v>
      </c>
      <c r="T569" s="26" t="n">
        <v>0.15</v>
      </c>
      <c r="U569" s="11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26" t="n">
        <v>66.16</v>
      </c>
      <c r="W569" s="26" t="n">
        <v>70.59</v>
      </c>
      <c r="X569" s="26">
        <f>ROUND(('Methodology &amp; Assumptions'!$B$5*V569) + ('Methodology &amp; Assumptions'!$B$6*W569), 2)</f>
        <v/>
      </c>
      <c r="Y569" s="28" t="n">
        <v>10.9</v>
      </c>
      <c r="Z569" s="11" t="inlineStr">
        <is>
          <t>Priority Tier 2 (Balanced Opportunity)</t>
        </is>
      </c>
    </row>
    <row r="570">
      <c r="A570" s="23" t="n">
        <v>1</v>
      </c>
      <c r="B570" s="23" t="n">
        <v>566</v>
      </c>
      <c r="C570" s="23" t="n">
        <v>566</v>
      </c>
      <c r="D570" s="23" t="inlineStr">
        <is>
          <t>0403425015</t>
        </is>
      </c>
      <c r="E570" s="11" t="inlineStr">
        <is>
          <t>Region IV-A (CALABARZON)</t>
        </is>
      </c>
      <c r="F570" s="11" t="inlineStr">
        <is>
          <t>Laguna</t>
        </is>
      </c>
      <c r="G570" s="11" t="inlineStr">
        <is>
          <t>City of San Pedro</t>
        </is>
      </c>
      <c r="H570" s="11" t="inlineStr">
        <is>
          <t>San Roque</t>
        </is>
      </c>
      <c r="I570" s="24" t="n">
        <v>14.365573</v>
      </c>
      <c r="J570" s="24" t="n">
        <v>121.061621</v>
      </c>
      <c r="K570" s="23" t="inlineStr">
        <is>
          <t>U</t>
        </is>
      </c>
      <c r="L570" s="25" t="n">
        <v>7850</v>
      </c>
      <c r="M570" s="26" t="n">
        <v>3.3</v>
      </c>
      <c r="N570" s="25">
        <f>ROUND(L570/M570, 0)</f>
        <v/>
      </c>
      <c r="O570" s="25">
        <f>ROUND(N570*'Methodology &amp; Assumptions'!$B$7, 0)</f>
        <v/>
      </c>
      <c r="P570" s="23" t="inlineStr">
        <is>
          <t>Single Carrier (Band n50, 100MHz TDD)</t>
        </is>
      </c>
      <c r="Q570" s="27">
        <f>ROUNDUP(O570/'Methodology &amp; Assumptions'!$B$8, 0)</f>
        <v/>
      </c>
      <c r="R570" s="27" t="n">
        <v>1</v>
      </c>
      <c r="S570" s="26" t="n">
        <v>1.79</v>
      </c>
      <c r="T570" s="26" t="n">
        <v>0.63</v>
      </c>
      <c r="U570" s="11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26" t="n">
        <v>74.73999999999999</v>
      </c>
      <c r="W570" s="26" t="n">
        <v>61.98</v>
      </c>
      <c r="X570" s="26">
        <f>ROUND(('Methodology &amp; Assumptions'!$B$5*V570) + ('Methodology &amp; Assumptions'!$B$6*W570), 2)</f>
        <v/>
      </c>
      <c r="Y570" s="28" t="n">
        <v>7.2</v>
      </c>
      <c r="Z570" s="11" t="inlineStr">
        <is>
          <t>Priority Tier 2 (Balanced Opportunity)</t>
        </is>
      </c>
    </row>
    <row r="571">
      <c r="A571" s="23" t="n">
        <v>1</v>
      </c>
      <c r="B571" s="23" t="n">
        <v>567</v>
      </c>
      <c r="C571" s="23" t="n">
        <v>567</v>
      </c>
      <c r="D571" s="23" t="inlineStr">
        <is>
          <t>0403404003</t>
        </is>
      </c>
      <c r="E571" s="11" t="inlineStr">
        <is>
          <t>Region IV-A (CALABARZON)</t>
        </is>
      </c>
      <c r="F571" s="11" t="inlineStr">
        <is>
          <t>Laguna</t>
        </is>
      </c>
      <c r="G571" s="11" t="inlineStr">
        <is>
          <t>City of Cabuyao</t>
        </is>
      </c>
      <c r="H571" s="11" t="inlineStr">
        <is>
          <t>Banlic</t>
        </is>
      </c>
      <c r="I571" s="24" t="n">
        <v>14.231382</v>
      </c>
      <c r="J571" s="24" t="n">
        <v>121.136675</v>
      </c>
      <c r="K571" s="23" t="inlineStr">
        <is>
          <t>U</t>
        </is>
      </c>
      <c r="L571" s="25" t="n">
        <v>22631</v>
      </c>
      <c r="M571" s="26" t="n">
        <v>3.3</v>
      </c>
      <c r="N571" s="25">
        <f>ROUND(L571/M571, 0)</f>
        <v/>
      </c>
      <c r="O571" s="25">
        <f>ROUND(N571*'Methodology &amp; Assumptions'!$B$7, 0)</f>
        <v/>
      </c>
      <c r="P571" s="23" t="inlineStr">
        <is>
          <t>Single Carrier (Band n50, 100MHz TDD)</t>
        </is>
      </c>
      <c r="Q571" s="27">
        <f>ROUNDUP(O571/'Methodology &amp; Assumptions'!$B$8, 0)</f>
        <v/>
      </c>
      <c r="R571" s="27" t="n">
        <v>1</v>
      </c>
      <c r="S571" s="26" t="n">
        <v>1.82</v>
      </c>
      <c r="T571" s="26" t="n">
        <v>0.18</v>
      </c>
      <c r="U571" s="11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26" t="n">
        <v>74.64</v>
      </c>
      <c r="W571" s="26" t="n">
        <v>62.09</v>
      </c>
      <c r="X571" s="26">
        <f>ROUND(('Methodology &amp; Assumptions'!$B$5*V571) + ('Methodology &amp; Assumptions'!$B$6*W571), 2)</f>
        <v/>
      </c>
      <c r="Y571" s="28" t="n">
        <v>7.2</v>
      </c>
      <c r="Z571" s="11" t="inlineStr">
        <is>
          <t>Priority Tier 2 (Balanced Opportunity)</t>
        </is>
      </c>
    </row>
    <row r="572">
      <c r="A572" s="23" t="n">
        <v>1</v>
      </c>
      <c r="B572" s="23" t="n">
        <v>568</v>
      </c>
      <c r="C572" s="23" t="n">
        <v>568</v>
      </c>
      <c r="D572" s="23" t="inlineStr">
        <is>
          <t>1380605076</t>
        </is>
      </c>
      <c r="E572" s="11" t="inlineStr">
        <is>
          <t>National Capital Region (NCR)</t>
        </is>
      </c>
      <c r="F572" s="11" t="inlineStr">
        <is>
          <t>First District (Not a Province)</t>
        </is>
      </c>
      <c r="G572" s="11" t="inlineStr">
        <is>
          <t>City of Manila</t>
        </is>
      </c>
      <c r="H572" s="11" t="inlineStr">
        <is>
          <t>Barangay 373</t>
        </is>
      </c>
      <c r="I572" s="24" t="n">
        <v>14.630346</v>
      </c>
      <c r="J572" s="24" t="n">
        <v>120.983097</v>
      </c>
      <c r="K572" s="23" t="inlineStr">
        <is>
          <t>U</t>
        </is>
      </c>
      <c r="L572" s="25" t="n">
        <v>3977</v>
      </c>
      <c r="M572" s="26" t="n">
        <v>5.49</v>
      </c>
      <c r="N572" s="25">
        <f>ROUND(L572/M572, 0)</f>
        <v/>
      </c>
      <c r="O572" s="25">
        <f>ROUND(N572*'Methodology &amp; Assumptions'!$B$7, 0)</f>
        <v/>
      </c>
      <c r="P572" s="23" t="inlineStr">
        <is>
          <t>Single Carrier (Band n50, 100MHz TDD)</t>
        </is>
      </c>
      <c r="Q572" s="27">
        <f>ROUNDUP(O572/'Methodology &amp; Assumptions'!$B$8, 0)</f>
        <v/>
      </c>
      <c r="R572" s="27" t="n">
        <v>1</v>
      </c>
      <c r="S572" s="26" t="n">
        <v>1.12</v>
      </c>
      <c r="T572" s="26" t="n">
        <v>0.29</v>
      </c>
      <c r="U572" s="11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26" t="n">
        <v>63.26</v>
      </c>
      <c r="W572" s="26" t="n">
        <v>73.45999999999999</v>
      </c>
      <c r="X572" s="26">
        <f>ROUND(('Methodology &amp; Assumptions'!$B$5*V572) + ('Methodology &amp; Assumptions'!$B$6*W572), 2)</f>
        <v/>
      </c>
      <c r="Y572" s="28" t="n">
        <v>10.9</v>
      </c>
      <c r="Z572" s="11" t="inlineStr">
        <is>
          <t>Priority Tier 2 (Balanced Opportunity)</t>
        </is>
      </c>
    </row>
    <row r="573">
      <c r="A573" s="23" t="n">
        <v>1</v>
      </c>
      <c r="B573" s="23" t="n">
        <v>569</v>
      </c>
      <c r="C573" s="23" t="n">
        <v>569</v>
      </c>
      <c r="D573" s="23" t="inlineStr">
        <is>
          <t>0702232019</t>
        </is>
      </c>
      <c r="E573" s="11" t="inlineStr">
        <is>
          <t>Region VII (Central Visayas)</t>
        </is>
      </c>
      <c r="F573" s="11" t="inlineStr">
        <is>
          <t>Cebu</t>
        </is>
      </c>
      <c r="G573" s="11" t="inlineStr">
        <is>
          <t>Minglanilla</t>
        </is>
      </c>
      <c r="H573" s="11" t="inlineStr">
        <is>
          <t>Tungkil</t>
        </is>
      </c>
      <c r="I573" s="24" t="n">
        <v>10.244737</v>
      </c>
      <c r="J573" s="24" t="n">
        <v>123.813642</v>
      </c>
      <c r="K573" s="23" t="inlineStr">
        <is>
          <t>U</t>
        </is>
      </c>
      <c r="L573" s="25" t="n">
        <v>13904</v>
      </c>
      <c r="M573" s="26" t="n">
        <v>3.8</v>
      </c>
      <c r="N573" s="25">
        <f>ROUND(L573/M573, 0)</f>
        <v/>
      </c>
      <c r="O573" s="25">
        <f>ROUND(N573*'Methodology &amp; Assumptions'!$B$7, 0)</f>
        <v/>
      </c>
      <c r="P573" s="23" t="inlineStr">
        <is>
          <t>Single Carrier (Band n50, 100MHz TDD)</t>
        </is>
      </c>
      <c r="Q573" s="27">
        <f>ROUNDUP(O573/'Methodology &amp; Assumptions'!$B$8, 0)</f>
        <v/>
      </c>
      <c r="R573" s="27" t="n">
        <v>1</v>
      </c>
      <c r="S573" s="26" t="n">
        <v>1.53</v>
      </c>
      <c r="T573" s="26" t="n">
        <v>0.93</v>
      </c>
      <c r="U573" s="11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26" t="n">
        <v>78.26000000000001</v>
      </c>
      <c r="W573" s="26" t="n">
        <v>58.45</v>
      </c>
      <c r="X573" s="26">
        <f>ROUND(('Methodology &amp; Assumptions'!$B$5*V573) + ('Methodology &amp; Assumptions'!$B$6*W573), 2)</f>
        <v/>
      </c>
      <c r="Y573" s="28" t="n">
        <v>23.7</v>
      </c>
      <c r="Z573" s="11" t="inlineStr">
        <is>
          <t>Priority Tier 2 (Balanced Opportunity)</t>
        </is>
      </c>
    </row>
    <row r="574">
      <c r="A574" s="23" t="n">
        <v>1</v>
      </c>
      <c r="B574" s="23" t="n">
        <v>570</v>
      </c>
      <c r="C574" s="23" t="n">
        <v>570</v>
      </c>
      <c r="D574" s="23" t="inlineStr">
        <is>
          <t>0403428016</t>
        </is>
      </c>
      <c r="E574" s="11" t="inlineStr">
        <is>
          <t>Region IV-A (CALABARZON)</t>
        </is>
      </c>
      <c r="F574" s="11" t="inlineStr">
        <is>
          <t>Laguna</t>
        </is>
      </c>
      <c r="G574" s="11" t="inlineStr">
        <is>
          <t>City of Santa Rosa</t>
        </is>
      </c>
      <c r="H574" s="11" t="inlineStr">
        <is>
          <t>Pook</t>
        </is>
      </c>
      <c r="I574" s="24" t="n">
        <v>14.30049</v>
      </c>
      <c r="J574" s="24" t="n">
        <v>121.111913</v>
      </c>
      <c r="K574" s="23" t="inlineStr">
        <is>
          <t>U</t>
        </is>
      </c>
      <c r="L574" s="25" t="n">
        <v>61062</v>
      </c>
      <c r="M574" s="26" t="n">
        <v>3.3</v>
      </c>
      <c r="N574" s="25">
        <f>ROUND(L574/M574, 0)</f>
        <v/>
      </c>
      <c r="O574" s="25">
        <f>ROUND(N574*'Methodology &amp; Assumptions'!$B$7, 0)</f>
        <v/>
      </c>
      <c r="P574" s="23" t="inlineStr">
        <is>
          <t>Single Carrier (Band n50, 100MHz TDD)</t>
        </is>
      </c>
      <c r="Q574" s="27">
        <f>ROUNDUP(O574/'Methodology &amp; Assumptions'!$B$8, 0)</f>
        <v/>
      </c>
      <c r="R574" s="27" t="n">
        <v>1</v>
      </c>
      <c r="S574" s="26" t="n">
        <v>0.76</v>
      </c>
      <c r="T574" s="26" t="n">
        <v>0.76</v>
      </c>
      <c r="U574" s="11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26" t="n">
        <v>76.2</v>
      </c>
      <c r="W574" s="26" t="n">
        <v>60.5</v>
      </c>
      <c r="X574" s="26">
        <f>ROUND(('Methodology &amp; Assumptions'!$B$5*V574) + ('Methodology &amp; Assumptions'!$B$6*W574), 2)</f>
        <v/>
      </c>
      <c r="Y574" s="28" t="n">
        <v>7.2</v>
      </c>
      <c r="Z574" s="11" t="inlineStr">
        <is>
          <t>Priority Tier 2 (Balanced Opportunity)</t>
        </is>
      </c>
    </row>
    <row r="575">
      <c r="A575" s="23" t="n">
        <v>1</v>
      </c>
      <c r="B575" s="23" t="n">
        <v>571</v>
      </c>
      <c r="C575" s="23" t="n">
        <v>571</v>
      </c>
      <c r="D575" s="23" t="inlineStr">
        <is>
          <t>1380601031</t>
        </is>
      </c>
      <c r="E575" s="11" t="inlineStr">
        <is>
          <t>National Capital Region (NCR)</t>
        </is>
      </c>
      <c r="F575" s="11" t="inlineStr">
        <is>
          <t>First District (Not a Province)</t>
        </is>
      </c>
      <c r="G575" s="11" t="inlineStr">
        <is>
          <t>City of Manila</t>
        </is>
      </c>
      <c r="H575" s="11" t="inlineStr">
        <is>
          <t>Barangay 31</t>
        </is>
      </c>
      <c r="I575" s="24" t="n">
        <v>14.604733</v>
      </c>
      <c r="J575" s="24" t="n">
        <v>120.96399</v>
      </c>
      <c r="K575" s="23" t="inlineStr">
        <is>
          <t>U</t>
        </is>
      </c>
      <c r="L575" s="25" t="n">
        <v>3101</v>
      </c>
      <c r="M575" s="26" t="n">
        <v>4.61</v>
      </c>
      <c r="N575" s="25">
        <f>ROUND(L575/M575, 0)</f>
        <v/>
      </c>
      <c r="O575" s="25">
        <f>ROUND(N575*'Methodology &amp; Assumptions'!$B$7, 0)</f>
        <v/>
      </c>
      <c r="P575" s="23" t="inlineStr">
        <is>
          <t>Single Carrier (Band n50, 100MHz TDD)</t>
        </is>
      </c>
      <c r="Q575" s="27">
        <f>ROUNDUP(O575/'Methodology &amp; Assumptions'!$B$8, 0)</f>
        <v/>
      </c>
      <c r="R575" s="27" t="n">
        <v>1</v>
      </c>
      <c r="S575" s="26" t="n">
        <v>0.65</v>
      </c>
      <c r="T575" s="26" t="n">
        <v>0.66</v>
      </c>
      <c r="U575" s="11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26" t="n">
        <v>62.73</v>
      </c>
      <c r="W575" s="26" t="n">
        <v>73.98</v>
      </c>
      <c r="X575" s="26">
        <f>ROUND(('Methodology &amp; Assumptions'!$B$5*V575) + ('Methodology &amp; Assumptions'!$B$6*W575), 2)</f>
        <v/>
      </c>
      <c r="Y575" s="28" t="n">
        <v>10.9</v>
      </c>
      <c r="Z575" s="11" t="inlineStr">
        <is>
          <t>Priority Tier 2 (Balanced Opportunity)</t>
        </is>
      </c>
    </row>
    <row r="576">
      <c r="A576" s="23" t="n">
        <v>1</v>
      </c>
      <c r="B576" s="23" t="n">
        <v>572</v>
      </c>
      <c r="C576" s="23" t="n">
        <v>572</v>
      </c>
      <c r="D576" s="23" t="inlineStr">
        <is>
          <t>1381300117</t>
        </is>
      </c>
      <c r="E576" s="11" t="inlineStr">
        <is>
          <t>National Capital Region (NCR)</t>
        </is>
      </c>
      <c r="F576" s="11" t="inlineStr">
        <is>
          <t>Second District (Not a Province)</t>
        </is>
      </c>
      <c r="G576" s="11" t="inlineStr">
        <is>
          <t>Quezon City</t>
        </is>
      </c>
      <c r="H576" s="11" t="inlineStr">
        <is>
          <t>Tagumpay</t>
        </is>
      </c>
      <c r="I576" s="24" t="n">
        <v>14.621523</v>
      </c>
      <c r="J576" s="24" t="n">
        <v>121.065287</v>
      </c>
      <c r="K576" s="23" t="inlineStr">
        <is>
          <t>U</t>
        </is>
      </c>
      <c r="L576" s="25" t="n">
        <v>3267</v>
      </c>
      <c r="M576" s="26" t="n">
        <v>3.75</v>
      </c>
      <c r="N576" s="25">
        <f>ROUND(L576/M576, 0)</f>
        <v/>
      </c>
      <c r="O576" s="25">
        <f>ROUND(N576*'Methodology &amp; Assumptions'!$B$7, 0)</f>
        <v/>
      </c>
      <c r="P576" s="23" t="inlineStr">
        <is>
          <t>Single Carrier (Band n50, 100MHz TDD)</t>
        </is>
      </c>
      <c r="Q576" s="27">
        <f>ROUNDUP(O576/'Methodology &amp; Assumptions'!$B$8, 0)</f>
        <v/>
      </c>
      <c r="R576" s="27" t="n">
        <v>1</v>
      </c>
      <c r="S576" s="26" t="n">
        <v>0.6899999999999999</v>
      </c>
      <c r="T576" s="26" t="n">
        <v>0.2</v>
      </c>
      <c r="U576" s="11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26" t="n">
        <v>69.05</v>
      </c>
      <c r="W576" s="26" t="n">
        <v>67.64</v>
      </c>
      <c r="X576" s="26">
        <f>ROUND(('Methodology &amp; Assumptions'!$B$5*V576) + ('Methodology &amp; Assumptions'!$B$6*W576), 2)</f>
        <v/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1</v>
      </c>
      <c r="B577" s="23" t="n">
        <v>573</v>
      </c>
      <c r="C577" s="23" t="n">
        <v>573</v>
      </c>
      <c r="D577" s="23" t="inlineStr">
        <is>
          <t>0402106027</t>
        </is>
      </c>
      <c r="E577" s="11" t="inlineStr">
        <is>
          <t>Region IV-A (CALABARZON)</t>
        </is>
      </c>
      <c r="F577" s="11" t="inlineStr">
        <is>
          <t>Cavite</t>
        </is>
      </c>
      <c r="G577" s="11" t="inlineStr">
        <is>
          <t>City of Dasmariñas</t>
        </is>
      </c>
      <c r="H577" s="11" t="inlineStr">
        <is>
          <t>San Dionisio</t>
        </is>
      </c>
      <c r="I577" s="24" t="n">
        <v>14.341096</v>
      </c>
      <c r="J577" s="24" t="n">
        <v>120.953978</v>
      </c>
      <c r="K577" s="23" t="inlineStr">
        <is>
          <t>U</t>
        </is>
      </c>
      <c r="L577" s="25" t="n">
        <v>7096</v>
      </c>
      <c r="M577" s="26" t="n">
        <v>3.4</v>
      </c>
      <c r="N577" s="25">
        <f>ROUND(L577/M577, 0)</f>
        <v/>
      </c>
      <c r="O577" s="25">
        <f>ROUND(N577*'Methodology &amp; Assumptions'!$B$7, 0)</f>
        <v/>
      </c>
      <c r="P577" s="23" t="inlineStr">
        <is>
          <t>Single Carrier (Band n50, 100MHz TDD)</t>
        </is>
      </c>
      <c r="Q577" s="27">
        <f>ROUNDUP(O577/'Methodology &amp; Assumptions'!$B$8, 0)</f>
        <v/>
      </c>
      <c r="R577" s="27" t="n">
        <v>1</v>
      </c>
      <c r="S577" s="26" t="n">
        <v>1.87</v>
      </c>
      <c r="T577" s="26" t="n">
        <v>4.38</v>
      </c>
      <c r="U577" s="11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26" t="n">
        <v>70.97</v>
      </c>
      <c r="W577" s="26" t="n">
        <v>65.69</v>
      </c>
      <c r="X577" s="26">
        <f>ROUND(('Methodology &amp; Assumptions'!$B$5*V577) + ('Methodology &amp; Assumptions'!$B$6*W577), 2)</f>
        <v/>
      </c>
      <c r="Y577" s="28" t="n">
        <v>7.2</v>
      </c>
      <c r="Z577" s="11" t="inlineStr">
        <is>
          <t>Priority Tier 2 (Balanced Opportunity)</t>
        </is>
      </c>
    </row>
    <row r="578">
      <c r="A578" s="23" t="n">
        <v>1</v>
      </c>
      <c r="B578" s="23" t="n">
        <v>574</v>
      </c>
      <c r="C578" s="23" t="n">
        <v>574</v>
      </c>
      <c r="D578" s="23" t="inlineStr">
        <is>
          <t>1381600010</t>
        </is>
      </c>
      <c r="E578" s="11" t="inlineStr">
        <is>
          <t>National Capital Region (NCR)</t>
        </is>
      </c>
      <c r="F578" s="11" t="inlineStr">
        <is>
          <t>Third District (Not a Province)</t>
        </is>
      </c>
      <c r="G578" s="11" t="inlineStr">
        <is>
          <t>City of Valenzuela</t>
        </is>
      </c>
      <c r="H578" s="11" t="inlineStr">
        <is>
          <t>Dalandanan</t>
        </is>
      </c>
      <c r="I578" s="24" t="n">
        <v>14.70424</v>
      </c>
      <c r="J578" s="24" t="n">
        <v>120.9612</v>
      </c>
      <c r="K578" s="23" t="inlineStr">
        <is>
          <t>U</t>
        </is>
      </c>
      <c r="L578" s="25" t="n">
        <v>20084</v>
      </c>
      <c r="M578" s="26" t="n">
        <v>3.72</v>
      </c>
      <c r="N578" s="25">
        <f>ROUND(L578/M578, 0)</f>
        <v/>
      </c>
      <c r="O578" s="25">
        <f>ROUND(N578*'Methodology &amp; Assumptions'!$B$7, 0)</f>
        <v/>
      </c>
      <c r="P578" s="23" t="inlineStr">
        <is>
          <t>Single Carrier (Band n50, 100MHz TDD)</t>
        </is>
      </c>
      <c r="Q578" s="27">
        <f>ROUNDUP(O578/'Methodology &amp; Assumptions'!$B$8, 0)</f>
        <v/>
      </c>
      <c r="R578" s="27" t="n">
        <v>1</v>
      </c>
      <c r="S578" s="26" t="n">
        <v>0.51</v>
      </c>
      <c r="T578" s="26" t="n">
        <v>0.12</v>
      </c>
      <c r="U578" s="11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26" t="n">
        <v>68.45999999999999</v>
      </c>
      <c r="W578" s="26" t="n">
        <v>68.19</v>
      </c>
      <c r="X578" s="26">
        <f>ROUND(('Methodology &amp; Assumptions'!$B$5*V578) + ('Methodology &amp; Assumptions'!$B$6*W578), 2)</f>
        <v/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1</v>
      </c>
      <c r="B579" s="23" t="n">
        <v>575</v>
      </c>
      <c r="C579" s="23" t="n">
        <v>575</v>
      </c>
      <c r="D579" s="23" t="inlineStr">
        <is>
          <t>0405804040</t>
        </is>
      </c>
      <c r="E579" s="11" t="inlineStr">
        <is>
          <t>Region IV-A (CALABARZON)</t>
        </is>
      </c>
      <c r="F579" s="11" t="inlineStr">
        <is>
          <t>Rizal</t>
        </is>
      </c>
      <c r="G579" s="11" t="inlineStr">
        <is>
          <t>Binangonan</t>
        </is>
      </c>
      <c r="H579" s="11" t="inlineStr">
        <is>
          <t>Pag-Asa</t>
        </is>
      </c>
      <c r="I579" s="24" t="n">
        <v>14.523293</v>
      </c>
      <c r="J579" s="24" t="n">
        <v>121.159517</v>
      </c>
      <c r="K579" s="23" t="inlineStr">
        <is>
          <t>U</t>
        </is>
      </c>
      <c r="L579" s="25" t="n">
        <v>18644</v>
      </c>
      <c r="M579" s="26" t="n">
        <v>3.6</v>
      </c>
      <c r="N579" s="25">
        <f>ROUND(L579/M579, 0)</f>
        <v/>
      </c>
      <c r="O579" s="25">
        <f>ROUND(N579*'Methodology &amp; Assumptions'!$B$7, 0)</f>
        <v/>
      </c>
      <c r="P579" s="23" t="inlineStr">
        <is>
          <t>Single Carrier (Band n50, 100MHz TDD)</t>
        </is>
      </c>
      <c r="Q579" s="27">
        <f>ROUNDUP(O579/'Methodology &amp; Assumptions'!$B$8, 0)</f>
        <v/>
      </c>
      <c r="R579" s="27" t="n">
        <v>1</v>
      </c>
      <c r="S579" s="26" t="n">
        <v>0.7</v>
      </c>
      <c r="T579" s="26" t="n">
        <v>0.52</v>
      </c>
      <c r="U579" s="11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26" t="n">
        <v>78.26000000000001</v>
      </c>
      <c r="W579" s="26" t="n">
        <v>58.36</v>
      </c>
      <c r="X579" s="26">
        <f>ROUND(('Methodology &amp; Assumptions'!$B$5*V579) + ('Methodology &amp; Assumptions'!$B$6*W579), 2)</f>
        <v/>
      </c>
      <c r="Y579" s="28" t="n">
        <v>7.2</v>
      </c>
      <c r="Z579" s="11" t="inlineStr">
        <is>
          <t>Priority Tier 2 (Balanced Opportunity)</t>
        </is>
      </c>
    </row>
    <row r="580">
      <c r="A580" s="23" t="n">
        <v>1</v>
      </c>
      <c r="B580" s="23" t="n">
        <v>576</v>
      </c>
      <c r="C580" s="23" t="n">
        <v>576</v>
      </c>
      <c r="D580" s="23" t="inlineStr">
        <is>
          <t>0103315002</t>
        </is>
      </c>
      <c r="E580" s="11" t="inlineStr">
        <is>
          <t>Region I (Ilocos Region)</t>
        </is>
      </c>
      <c r="F580" s="11" t="inlineStr">
        <is>
          <t>La Union</t>
        </is>
      </c>
      <c r="G580" s="11" t="inlineStr">
        <is>
          <t>San Gabriel</t>
        </is>
      </c>
      <c r="H580" s="11" t="inlineStr">
        <is>
          <t>Amontoc</t>
        </is>
      </c>
      <c r="I580" s="24" t="n">
        <v>16.669358</v>
      </c>
      <c r="J580" s="24" t="n">
        <v>120.449943</v>
      </c>
      <c r="K580" s="23" t="inlineStr">
        <is>
          <t>R</t>
        </is>
      </c>
      <c r="L580" s="25" t="n">
        <v>2058</v>
      </c>
      <c r="M580" s="26" t="n">
        <v>3.7</v>
      </c>
      <c r="N580" s="25">
        <f>ROUND(L580/M580, 0)</f>
        <v/>
      </c>
      <c r="O580" s="25">
        <f>ROUND(N580*'Methodology &amp; Assumptions'!$B$7, 0)</f>
        <v/>
      </c>
      <c r="P580" s="23" t="inlineStr">
        <is>
          <t>Single Carrier (Band n50, 100MHz TDD)</t>
        </is>
      </c>
      <c r="Q580" s="27">
        <f>ROUNDUP(O580/'Methodology &amp; Assumptions'!$B$8, 0)</f>
        <v/>
      </c>
      <c r="R580" s="27" t="n">
        <v>1</v>
      </c>
      <c r="S580" s="26" t="n">
        <v>5.92</v>
      </c>
      <c r="T580" s="26" t="n">
        <v>11.25</v>
      </c>
      <c r="U580" s="11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26" t="n">
        <v>60.69</v>
      </c>
      <c r="W580" s="26" t="n">
        <v>75.93000000000001</v>
      </c>
      <c r="X580" s="26">
        <f>ROUND(('Methodology &amp; Assumptions'!$B$5*V580) + ('Methodology &amp; Assumptions'!$B$6*W580), 2)</f>
        <v/>
      </c>
      <c r="Y580" s="28" t="n">
        <v>8.300000000000001</v>
      </c>
      <c r="Z580" s="11" t="inlineStr">
        <is>
          <t>Priority Tier 2 (Balanced Opportunity)</t>
        </is>
      </c>
    </row>
    <row r="581">
      <c r="A581" s="23" t="n">
        <v>1</v>
      </c>
      <c r="B581" s="23" t="n">
        <v>577</v>
      </c>
      <c r="C581" s="23" t="n">
        <v>577</v>
      </c>
      <c r="D581" s="23" t="inlineStr">
        <is>
          <t>0205701020</t>
        </is>
      </c>
      <c r="E581" s="11" t="inlineStr">
        <is>
          <t>Region II (Cagayan Valley)</t>
        </is>
      </c>
      <c r="F581" s="11" t="inlineStr">
        <is>
          <t>Quirino</t>
        </is>
      </c>
      <c r="G581" s="11" t="inlineStr">
        <is>
          <t>Aglipay</t>
        </is>
      </c>
      <c r="H581" s="11" t="inlineStr">
        <is>
          <t>Diodol</t>
        </is>
      </c>
      <c r="I581" s="24" t="n">
        <v>16.45451</v>
      </c>
      <c r="J581" s="24" t="n">
        <v>121.588371</v>
      </c>
      <c r="K581" s="23" t="inlineStr">
        <is>
          <t>R</t>
        </is>
      </c>
      <c r="L581" s="25" t="n">
        <v>922</v>
      </c>
      <c r="M581" s="26" t="n">
        <v>3.9</v>
      </c>
      <c r="N581" s="25">
        <f>ROUND(L581/M581, 0)</f>
        <v/>
      </c>
      <c r="O581" s="25">
        <f>ROUND(N581*'Methodology &amp; Assumptions'!$B$7, 0)</f>
        <v/>
      </c>
      <c r="P581" s="23" t="inlineStr">
        <is>
          <t>Single Carrier (Band n50, 100MHz TDD)</t>
        </is>
      </c>
      <c r="Q581" s="27">
        <f>ROUNDUP(O581/'Methodology &amp; Assumptions'!$B$8, 0)</f>
        <v/>
      </c>
      <c r="R581" s="27" t="n">
        <v>1</v>
      </c>
      <c r="S581" s="26" t="n">
        <v>3.14</v>
      </c>
      <c r="T581" s="26" t="n">
        <v>3.17</v>
      </c>
      <c r="U581" s="11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26" t="n">
        <v>55.46</v>
      </c>
      <c r="W581" s="26" t="n">
        <v>81.12</v>
      </c>
      <c r="X581" s="26">
        <f>ROUND(('Methodology &amp; Assumptions'!$B$5*V581) + ('Methodology &amp; Assumptions'!$B$6*W581), 2)</f>
        <v/>
      </c>
      <c r="Y581" s="28" t="n">
        <v>8.300000000000001</v>
      </c>
      <c r="Z581" s="11" t="inlineStr">
        <is>
          <t>Priority Tier 2 (Balanced Opportunity)</t>
        </is>
      </c>
    </row>
    <row r="582">
      <c r="A582" s="23" t="n">
        <v>1</v>
      </c>
      <c r="B582" s="23" t="n">
        <v>578</v>
      </c>
      <c r="C582" s="23" t="n">
        <v>578</v>
      </c>
      <c r="D582" s="23" t="inlineStr">
        <is>
          <t>0402111001</t>
        </is>
      </c>
      <c r="E582" s="11" t="inlineStr">
        <is>
          <t>Region IV-A (CALABARZON)</t>
        </is>
      </c>
      <c r="F582" s="11" t="inlineStr">
        <is>
          <t>Cavite</t>
        </is>
      </c>
      <c r="G582" s="11" t="inlineStr">
        <is>
          <t>Kawit</t>
        </is>
      </c>
      <c r="H582" s="11" t="inlineStr">
        <is>
          <t>Binakayan-Kanluran</t>
        </is>
      </c>
      <c r="I582" s="24" t="n">
        <v>14.448077</v>
      </c>
      <c r="J582" s="24" t="n">
        <v>120.917147</v>
      </c>
      <c r="K582" s="23" t="inlineStr">
        <is>
          <t>R</t>
        </is>
      </c>
      <c r="L582" s="25" t="n">
        <v>2655</v>
      </c>
      <c r="M582" s="26" t="n">
        <v>3.4</v>
      </c>
      <c r="N582" s="25">
        <f>ROUND(L582/M582, 0)</f>
        <v/>
      </c>
      <c r="O582" s="25">
        <f>ROUND(N582*'Methodology &amp; Assumptions'!$B$7, 0)</f>
        <v/>
      </c>
      <c r="P582" s="23" t="inlineStr">
        <is>
          <t>Single Carrier (Band n50, 100MHz TDD)</t>
        </is>
      </c>
      <c r="Q582" s="27">
        <f>ROUNDUP(O582/'Methodology &amp; Assumptions'!$B$8, 0)</f>
        <v/>
      </c>
      <c r="R582" s="27" t="n">
        <v>1</v>
      </c>
      <c r="S582" s="26" t="n">
        <v>3.38</v>
      </c>
      <c r="T582" s="26" t="n">
        <v>0.2</v>
      </c>
      <c r="U582" s="11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26" t="n">
        <v>75.98999999999999</v>
      </c>
      <c r="W582" s="26" t="n">
        <v>60.55</v>
      </c>
      <c r="X582" s="26">
        <f>ROUND(('Methodology &amp; Assumptions'!$B$5*V582) + ('Methodology &amp; Assumptions'!$B$6*W582), 2)</f>
        <v/>
      </c>
      <c r="Y582" s="28" t="n">
        <v>7.2</v>
      </c>
      <c r="Z582" s="11" t="inlineStr">
        <is>
          <t>Priority Tier 2 (Balanced Opportunity)</t>
        </is>
      </c>
    </row>
    <row r="583">
      <c r="A583" s="23" t="n">
        <v>1</v>
      </c>
      <c r="B583" s="23" t="n">
        <v>579</v>
      </c>
      <c r="C583" s="23" t="n">
        <v>579</v>
      </c>
      <c r="D583" s="23" t="inlineStr">
        <is>
          <t>0401006037</t>
        </is>
      </c>
      <c r="E583" s="11" t="inlineStr">
        <is>
          <t>Region IV-A (CALABARZON)</t>
        </is>
      </c>
      <c r="F583" s="11" t="inlineStr">
        <is>
          <t>Batangas</t>
        </is>
      </c>
      <c r="G583" s="11" t="inlineStr">
        <is>
          <t>Bauan</t>
        </is>
      </c>
      <c r="H583" s="11" t="inlineStr">
        <is>
          <t>San Roque</t>
        </is>
      </c>
      <c r="I583" s="24" t="n">
        <v>13.789982</v>
      </c>
      <c r="J583" s="24" t="n">
        <v>120.985947</v>
      </c>
      <c r="K583" s="23" t="inlineStr">
        <is>
          <t>U</t>
        </is>
      </c>
      <c r="L583" s="25" t="n">
        <v>6554</v>
      </c>
      <c r="M583" s="26" t="n">
        <v>3.6</v>
      </c>
      <c r="N583" s="25">
        <f>ROUND(L583/M583, 0)</f>
        <v/>
      </c>
      <c r="O583" s="25">
        <f>ROUND(N583*'Methodology &amp; Assumptions'!$B$7, 0)</f>
        <v/>
      </c>
      <c r="P583" s="23" t="inlineStr">
        <is>
          <t>Single Carrier (Band n50, 100MHz TDD)</t>
        </is>
      </c>
      <c r="Q583" s="27">
        <f>ROUNDUP(O583/'Methodology &amp; Assumptions'!$B$8, 0)</f>
        <v/>
      </c>
      <c r="R583" s="27" t="n">
        <v>1</v>
      </c>
      <c r="S583" s="26" t="n">
        <v>1.9</v>
      </c>
      <c r="T583" s="26" t="n">
        <v>1.62</v>
      </c>
      <c r="U583" s="11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26" t="n">
        <v>74.36</v>
      </c>
      <c r="W583" s="26" t="n">
        <v>62.19</v>
      </c>
      <c r="X583" s="26">
        <f>ROUND(('Methodology &amp; Assumptions'!$B$5*V583) + ('Methodology &amp; Assumptions'!$B$6*W583), 2)</f>
        <v/>
      </c>
      <c r="Y583" s="28" t="n">
        <v>7.2</v>
      </c>
      <c r="Z583" s="11" t="inlineStr">
        <is>
          <t>Priority Tier 2 (Balanced Opportunity)</t>
        </is>
      </c>
    </row>
    <row r="584">
      <c r="A584" s="23" t="n">
        <v>1</v>
      </c>
      <c r="B584" s="23" t="n">
        <v>580</v>
      </c>
      <c r="C584" s="23" t="n">
        <v>580</v>
      </c>
      <c r="D584" s="23" t="inlineStr">
        <is>
          <t>0201514008</t>
        </is>
      </c>
      <c r="E584" s="11" t="inlineStr">
        <is>
          <t>Region II (Cagayan Valley)</t>
        </is>
      </c>
      <c r="F584" s="11" t="inlineStr">
        <is>
          <t>Cagayan</t>
        </is>
      </c>
      <c r="G584" s="11" t="inlineStr">
        <is>
          <t>Gonzaga</t>
        </is>
      </c>
      <c r="H584" s="11" t="inlineStr">
        <is>
          <t>Calayan</t>
        </is>
      </c>
      <c r="I584" s="24" t="n">
        <v>18.1654</v>
      </c>
      <c r="J584" s="24" t="n">
        <v>122.0041</v>
      </c>
      <c r="K584" s="23" t="inlineStr">
        <is>
          <t>R</t>
        </is>
      </c>
      <c r="L584" s="25" t="n">
        <v>2054</v>
      </c>
      <c r="M584" s="26" t="n">
        <v>3.9</v>
      </c>
      <c r="N584" s="25">
        <f>ROUND(L584/M584, 0)</f>
        <v/>
      </c>
      <c r="O584" s="25">
        <f>ROUND(N584*'Methodology &amp; Assumptions'!$B$7, 0)</f>
        <v/>
      </c>
      <c r="P584" s="23" t="inlineStr">
        <is>
          <t>Single Carrier (Band n50, 100MHz TDD)</t>
        </is>
      </c>
      <c r="Q584" s="27">
        <f>ROUNDUP(O584/'Methodology &amp; Assumptions'!$B$8, 0)</f>
        <v/>
      </c>
      <c r="R584" s="27" t="n">
        <v>1</v>
      </c>
      <c r="S584" s="26" t="n">
        <v>10.9</v>
      </c>
      <c r="T584" s="26" t="n">
        <v>9.539999999999999</v>
      </c>
      <c r="U584" s="11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26" t="n">
        <v>54.6</v>
      </c>
      <c r="W584" s="26" t="n">
        <v>81.94</v>
      </c>
      <c r="X584" s="26">
        <f>ROUND(('Methodology &amp; Assumptions'!$B$5*V584) + ('Methodology &amp; Assumptions'!$B$6*W584), 2)</f>
        <v/>
      </c>
      <c r="Y584" s="28" t="n">
        <v>8.300000000000001</v>
      </c>
      <c r="Z584" s="11" t="inlineStr">
        <is>
          <t>Priority Tier 2 (Balanced Opportunity)</t>
        </is>
      </c>
    </row>
    <row r="585">
      <c r="A585" s="23" t="n">
        <v>1</v>
      </c>
      <c r="B585" s="23" t="n">
        <v>581</v>
      </c>
      <c r="C585" s="23" t="n">
        <v>581</v>
      </c>
      <c r="D585" s="23" t="inlineStr">
        <is>
          <t>0102820008</t>
        </is>
      </c>
      <c r="E585" s="11" t="inlineStr">
        <is>
          <t>Region I (Ilocos Region)</t>
        </is>
      </c>
      <c r="F585" s="11" t="inlineStr">
        <is>
          <t>Ilocos Norte</t>
        </is>
      </c>
      <c r="G585" s="11" t="inlineStr">
        <is>
          <t>San Nicolas</t>
        </is>
      </c>
      <c r="H585" s="11" t="inlineStr">
        <is>
          <t>San Fernando</t>
        </is>
      </c>
      <c r="I585" s="24" t="n">
        <v>18.16586</v>
      </c>
      <c r="J585" s="24" t="n">
        <v>120.593739</v>
      </c>
      <c r="K585" s="23" t="inlineStr">
        <is>
          <t>R</t>
        </is>
      </c>
      <c r="L585" s="25" t="n">
        <v>1148</v>
      </c>
      <c r="M585" s="26" t="n">
        <v>3.7</v>
      </c>
      <c r="N585" s="25">
        <f>ROUND(L585/M585, 0)</f>
        <v/>
      </c>
      <c r="O585" s="25">
        <f>ROUND(N585*'Methodology &amp; Assumptions'!$B$7, 0)</f>
        <v/>
      </c>
      <c r="P585" s="23" t="inlineStr">
        <is>
          <t>Single Carrier (Band n50, 100MHz TDD)</t>
        </is>
      </c>
      <c r="Q585" s="27">
        <f>ROUNDUP(O585/'Methodology &amp; Assumptions'!$B$8, 0)</f>
        <v/>
      </c>
      <c r="R585" s="27" t="n">
        <v>1</v>
      </c>
      <c r="S585" s="26" t="n">
        <v>0.5</v>
      </c>
      <c r="T585" s="26" t="n">
        <v>0.39</v>
      </c>
      <c r="U585" s="11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26" t="n">
        <v>69.09999999999999</v>
      </c>
      <c r="W585" s="26" t="n">
        <v>67.41</v>
      </c>
      <c r="X585" s="26">
        <f>ROUND(('Methodology &amp; Assumptions'!$B$5*V585) + ('Methodology &amp; Assumptions'!$B$6*W585), 2)</f>
        <v/>
      </c>
      <c r="Y585" s="28" t="n">
        <v>8.300000000000001</v>
      </c>
      <c r="Z585" s="11" t="inlineStr">
        <is>
          <t>Priority Tier 2 (Balanced Opportunity)</t>
        </is>
      </c>
    </row>
    <row r="586">
      <c r="A586" s="23" t="n">
        <v>1</v>
      </c>
      <c r="B586" s="23" t="n">
        <v>582</v>
      </c>
      <c r="C586" s="23" t="n">
        <v>582</v>
      </c>
      <c r="D586" s="23" t="inlineStr">
        <is>
          <t>1381100161</t>
        </is>
      </c>
      <c r="E586" s="11" t="inlineStr">
        <is>
          <t>National Capital Region (NCR)</t>
        </is>
      </c>
      <c r="F586" s="11" t="inlineStr">
        <is>
          <t>Fourth District (Not a Province)</t>
        </is>
      </c>
      <c r="G586" s="11" t="inlineStr">
        <is>
          <t>Pasay City</t>
        </is>
      </c>
      <c r="H586" s="11" t="inlineStr">
        <is>
          <t>Barangay 161</t>
        </is>
      </c>
      <c r="I586" s="24" t="n">
        <v>14.535783</v>
      </c>
      <c r="J586" s="24" t="n">
        <v>121.0088</v>
      </c>
      <c r="K586" s="23" t="inlineStr">
        <is>
          <t>U</t>
        </is>
      </c>
      <c r="L586" s="25" t="n">
        <v>2893</v>
      </c>
      <c r="M586" s="26" t="n">
        <v>3.21</v>
      </c>
      <c r="N586" s="25">
        <f>ROUND(L586/M586, 0)</f>
        <v/>
      </c>
      <c r="O586" s="25">
        <f>ROUND(N586*'Methodology &amp; Assumptions'!$B$7, 0)</f>
        <v/>
      </c>
      <c r="P586" s="23" t="inlineStr">
        <is>
          <t>Single Carrier (Band n50, 100MHz TDD)</t>
        </is>
      </c>
      <c r="Q586" s="27">
        <f>ROUNDUP(O586/'Methodology &amp; Assumptions'!$B$8, 0)</f>
        <v/>
      </c>
      <c r="R586" s="27" t="n">
        <v>1</v>
      </c>
      <c r="S586" s="26" t="n">
        <v>1.53</v>
      </c>
      <c r="T586" s="26" t="n">
        <v>0.61</v>
      </c>
      <c r="U586" s="11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26" t="n">
        <v>66.48999999999999</v>
      </c>
      <c r="W586" s="26" t="n">
        <v>70.02</v>
      </c>
      <c r="X586" s="26">
        <f>ROUND(('Methodology &amp; Assumptions'!$B$5*V586) + ('Methodology &amp; Assumptions'!$B$6*W586), 2)</f>
        <v/>
      </c>
      <c r="Y586" s="28" t="n">
        <v>10.9</v>
      </c>
      <c r="Z586" s="11" t="inlineStr">
        <is>
          <t>Priority Tier 2 (Balanced Opportunity)</t>
        </is>
      </c>
    </row>
    <row r="587">
      <c r="A587" s="23" t="n">
        <v>1</v>
      </c>
      <c r="B587" s="23" t="n">
        <v>583</v>
      </c>
      <c r="C587" s="23" t="n">
        <v>583</v>
      </c>
      <c r="D587" s="23" t="inlineStr">
        <is>
          <t>0300809014</t>
        </is>
      </c>
      <c r="E587" s="11" t="inlineStr">
        <is>
          <t>Region III (Central Luzon)</t>
        </is>
      </c>
      <c r="F587" s="11" t="inlineStr">
        <is>
          <t>Bataan</t>
        </is>
      </c>
      <c r="G587" s="11" t="inlineStr">
        <is>
          <t>Orani</t>
        </is>
      </c>
      <c r="H587" s="11" t="inlineStr">
        <is>
          <t>Pantalan Luma</t>
        </is>
      </c>
      <c r="I587" s="24" t="n">
        <v>14.801121</v>
      </c>
      <c r="J587" s="24" t="n">
        <v>120.540894</v>
      </c>
      <c r="K587" s="23" t="inlineStr">
        <is>
          <t>U</t>
        </is>
      </c>
      <c r="L587" s="25" t="n">
        <v>5862</v>
      </c>
      <c r="M587" s="26" t="n">
        <v>3.6</v>
      </c>
      <c r="N587" s="25">
        <f>ROUND(L587/M587, 0)</f>
        <v/>
      </c>
      <c r="O587" s="25">
        <f>ROUND(N587*'Methodology &amp; Assumptions'!$B$7, 0)</f>
        <v/>
      </c>
      <c r="P587" s="23" t="inlineStr">
        <is>
          <t>Single Carrier (Band n50, 100MHz TDD)</t>
        </is>
      </c>
      <c r="Q587" s="27">
        <f>ROUNDUP(O587/'Methodology &amp; Assumptions'!$B$8, 0)</f>
        <v/>
      </c>
      <c r="R587" s="27" t="n">
        <v>1</v>
      </c>
      <c r="S587" s="26" t="n">
        <v>0.5</v>
      </c>
      <c r="T587" s="26" t="n">
        <v>0.48</v>
      </c>
      <c r="U587" s="11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26" t="n">
        <v>78.43000000000001</v>
      </c>
      <c r="W587" s="26" t="n">
        <v>58.05</v>
      </c>
      <c r="X587" s="26">
        <f>ROUND(('Methodology &amp; Assumptions'!$B$5*V587) + ('Methodology &amp; Assumptions'!$B$6*W587), 2)</f>
        <v/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1</v>
      </c>
      <c r="B588" s="23" t="n">
        <v>584</v>
      </c>
      <c r="C588" s="23" t="n">
        <v>584</v>
      </c>
      <c r="D588" s="23" t="inlineStr">
        <is>
          <t>1381701004</t>
        </is>
      </c>
      <c r="E588" s="11" t="inlineStr">
        <is>
          <t>National Capital Region (NCR)</t>
        </is>
      </c>
      <c r="F588" s="11" t="inlineStr">
        <is>
          <t>Fourth District (Not a Province)</t>
        </is>
      </c>
      <c r="G588" s="11" t="inlineStr">
        <is>
          <t>Pateros</t>
        </is>
      </c>
      <c r="H588" s="11" t="inlineStr">
        <is>
          <t>Poblacion</t>
        </is>
      </c>
      <c r="I588" s="24" t="n">
        <v>14.54515</v>
      </c>
      <c r="J588" s="24" t="n">
        <v>121.0668</v>
      </c>
      <c r="K588" s="23" t="inlineStr">
        <is>
          <t>U</t>
        </is>
      </c>
      <c r="L588" s="25" t="n">
        <v>2089</v>
      </c>
      <c r="M588" s="26" t="n">
        <v>3.26</v>
      </c>
      <c r="N588" s="25">
        <f>ROUND(L588/M588, 0)</f>
        <v/>
      </c>
      <c r="O588" s="25">
        <f>ROUND(N588*'Methodology &amp; Assumptions'!$B$7, 0)</f>
        <v/>
      </c>
      <c r="P588" s="23" t="inlineStr">
        <is>
          <t>Single Carrier (Band n50, 100MHz TDD)</t>
        </is>
      </c>
      <c r="Q588" s="27">
        <f>ROUNDUP(O588/'Methodology &amp; Assumptions'!$B$8, 0)</f>
        <v/>
      </c>
      <c r="R588" s="27" t="n">
        <v>1</v>
      </c>
      <c r="S588" s="26" t="n">
        <v>0.17</v>
      </c>
      <c r="T588" s="26" t="n">
        <v>0.17</v>
      </c>
      <c r="U588" s="11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26" t="n">
        <v>61.66</v>
      </c>
      <c r="W588" s="26" t="n">
        <v>74.81999999999999</v>
      </c>
      <c r="X588" s="26">
        <f>ROUND(('Methodology &amp; Assumptions'!$B$5*V588) + ('Methodology &amp; Assumptions'!$B$6*W588), 2)</f>
        <v/>
      </c>
      <c r="Y588" s="28" t="n">
        <v>10.9</v>
      </c>
      <c r="Z588" s="11" t="inlineStr">
        <is>
          <t>Priority Tier 2 (Balanced Opportunity)</t>
        </is>
      </c>
    </row>
    <row r="589">
      <c r="A589" s="23" t="n">
        <v>1</v>
      </c>
      <c r="B589" s="23" t="n">
        <v>585</v>
      </c>
      <c r="C589" s="23" t="n">
        <v>585</v>
      </c>
      <c r="D589" s="23" t="inlineStr">
        <is>
          <t>0405801012</t>
        </is>
      </c>
      <c r="E589" s="11" t="inlineStr">
        <is>
          <t>Region IV-A (CALABARZON)</t>
        </is>
      </c>
      <c r="F589" s="11" t="inlineStr">
        <is>
          <t>Rizal</t>
        </is>
      </c>
      <c r="G589" s="11" t="inlineStr">
        <is>
          <t>Angono</t>
        </is>
      </c>
      <c r="H589" s="11" t="inlineStr">
        <is>
          <t>San Vicente</t>
        </is>
      </c>
      <c r="I589" s="24" t="n">
        <v>14.523772</v>
      </c>
      <c r="J589" s="24" t="n">
        <v>121.14854</v>
      </c>
      <c r="K589" s="23" t="inlineStr">
        <is>
          <t>U</t>
        </is>
      </c>
      <c r="L589" s="25" t="n">
        <v>13646</v>
      </c>
      <c r="M589" s="26" t="n">
        <v>3.6</v>
      </c>
      <c r="N589" s="25">
        <f>ROUND(L589/M589, 0)</f>
        <v/>
      </c>
      <c r="O589" s="25">
        <f>ROUND(N589*'Methodology &amp; Assumptions'!$B$7, 0)</f>
        <v/>
      </c>
      <c r="P589" s="23" t="inlineStr">
        <is>
          <t>Single Carrier (Band n50, 100MHz TDD)</t>
        </is>
      </c>
      <c r="Q589" s="27">
        <f>ROUNDUP(O589/'Methodology &amp; Assumptions'!$B$8, 0)</f>
        <v/>
      </c>
      <c r="R589" s="27" t="n">
        <v>1</v>
      </c>
      <c r="S589" s="26" t="n">
        <v>0.78</v>
      </c>
      <c r="T589" s="26" t="n">
        <v>0.48</v>
      </c>
      <c r="U589" s="11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26" t="n">
        <v>78.26000000000001</v>
      </c>
      <c r="W589" s="26" t="n">
        <v>58.21</v>
      </c>
      <c r="X589" s="26">
        <f>ROUND(('Methodology &amp; Assumptions'!$B$5*V589) + ('Methodology &amp; Assumptions'!$B$6*W589), 2)</f>
        <v/>
      </c>
      <c r="Y589" s="28" t="n">
        <v>7.2</v>
      </c>
      <c r="Z589" s="11" t="inlineStr">
        <is>
          <t>Priority Tier 2 (Balanced Opportunity)</t>
        </is>
      </c>
    </row>
    <row r="590">
      <c r="A590" s="23" t="n">
        <v>1</v>
      </c>
      <c r="B590" s="23" t="n">
        <v>586</v>
      </c>
      <c r="C590" s="23" t="n">
        <v>586</v>
      </c>
      <c r="D590" s="23" t="inlineStr">
        <is>
          <t>1380614026</t>
        </is>
      </c>
      <c r="E590" s="11" t="inlineStr">
        <is>
          <t>National Capital Region (NCR)</t>
        </is>
      </c>
      <c r="F590" s="11" t="inlineStr">
        <is>
          <t>First District (Not a Province)</t>
        </is>
      </c>
      <c r="G590" s="11" t="inlineStr">
        <is>
          <t>City of Manila</t>
        </is>
      </c>
      <c r="H590" s="11" t="inlineStr">
        <is>
          <t>Barangay 770</t>
        </is>
      </c>
      <c r="I590" s="24" t="n">
        <v>14.573805</v>
      </c>
      <c r="J590" s="24" t="n">
        <v>121.008602</v>
      </c>
      <c r="K590" s="23" t="inlineStr">
        <is>
          <t>U</t>
        </is>
      </c>
      <c r="L590" s="25" t="n">
        <v>9673</v>
      </c>
      <c r="M590" s="26" t="n">
        <v>4.4</v>
      </c>
      <c r="N590" s="25">
        <f>ROUND(L590/M590, 0)</f>
        <v/>
      </c>
      <c r="O590" s="25">
        <f>ROUND(N590*'Methodology &amp; Assumptions'!$B$7, 0)</f>
        <v/>
      </c>
      <c r="P590" s="23" t="inlineStr">
        <is>
          <t>Single Carrier (Band n50, 100MHz TDD)</t>
        </is>
      </c>
      <c r="Q590" s="27">
        <f>ROUNDUP(O590/'Methodology &amp; Assumptions'!$B$8, 0)</f>
        <v/>
      </c>
      <c r="R590" s="27" t="n">
        <v>1</v>
      </c>
      <c r="S590" s="26" t="n">
        <v>1.33</v>
      </c>
      <c r="T590" s="26" t="n">
        <v>0.39</v>
      </c>
      <c r="U590" s="11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26" t="n">
        <v>67.20999999999999</v>
      </c>
      <c r="W590" s="26" t="n">
        <v>69.23999999999999</v>
      </c>
      <c r="X590" s="26">
        <f>ROUND(('Methodology &amp; Assumptions'!$B$5*V590) + ('Methodology &amp; Assumptions'!$B$6*W590), 2)</f>
        <v/>
      </c>
      <c r="Y590" s="28" t="n">
        <v>10.9</v>
      </c>
      <c r="Z590" s="11" t="inlineStr">
        <is>
          <t>Priority Tier 2 (Balanced Opportunity)</t>
        </is>
      </c>
    </row>
    <row r="591">
      <c r="A591" s="23" t="n">
        <v>1</v>
      </c>
      <c r="B591" s="23" t="n">
        <v>587</v>
      </c>
      <c r="C591" s="23" t="n">
        <v>587</v>
      </c>
      <c r="D591" s="23" t="inlineStr">
        <is>
          <t>0402123007</t>
        </is>
      </c>
      <c r="E591" s="11" t="inlineStr">
        <is>
          <t>Region IV-A (CALABARZON)</t>
        </is>
      </c>
      <c r="F591" s="11" t="inlineStr">
        <is>
          <t>Cavite</t>
        </is>
      </c>
      <c r="G591" s="11" t="inlineStr">
        <is>
          <t>Gen. Mariano Alvarez</t>
        </is>
      </c>
      <c r="H591" s="11" t="inlineStr">
        <is>
          <t>Benjamin Tirona</t>
        </is>
      </c>
      <c r="I591" s="24" t="n">
        <v>14.307931</v>
      </c>
      <c r="J591" s="24" t="n">
        <v>121.017921</v>
      </c>
      <c r="K591" s="23" t="inlineStr">
        <is>
          <t>R</t>
        </is>
      </c>
      <c r="L591" s="25" t="n">
        <v>3078</v>
      </c>
      <c r="M591" s="26" t="n">
        <v>3.4</v>
      </c>
      <c r="N591" s="25">
        <f>ROUND(L591/M591, 0)</f>
        <v/>
      </c>
      <c r="O591" s="25">
        <f>ROUND(N591*'Methodology &amp; Assumptions'!$B$7, 0)</f>
        <v/>
      </c>
      <c r="P591" s="23" t="inlineStr">
        <is>
          <t>Single Carrier (Band n50, 100MHz TDD)</t>
        </is>
      </c>
      <c r="Q591" s="27">
        <f>ROUNDUP(O591/'Methodology &amp; Assumptions'!$B$8, 0)</f>
        <v/>
      </c>
      <c r="R591" s="27" t="n">
        <v>1</v>
      </c>
      <c r="S591" s="26" t="n">
        <v>2.6</v>
      </c>
      <c r="T591" s="26" t="n">
        <v>3.48</v>
      </c>
      <c r="U591" s="11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26" t="n">
        <v>75.75</v>
      </c>
      <c r="W591" s="26" t="n">
        <v>60.68</v>
      </c>
      <c r="X591" s="26">
        <f>ROUND(('Methodology &amp; Assumptions'!$B$5*V591) + ('Methodology &amp; Assumptions'!$B$6*W591), 2)</f>
        <v/>
      </c>
      <c r="Y591" s="28" t="n">
        <v>7.2</v>
      </c>
      <c r="Z591" s="11" t="inlineStr">
        <is>
          <t>Priority Tier 2 (Balanced Opportunity)</t>
        </is>
      </c>
    </row>
    <row r="592">
      <c r="A592" s="23" t="n">
        <v>1</v>
      </c>
      <c r="B592" s="23" t="n">
        <v>588</v>
      </c>
      <c r="C592" s="23" t="n">
        <v>588</v>
      </c>
      <c r="D592" s="23" t="inlineStr">
        <is>
          <t>1380300027</t>
        </is>
      </c>
      <c r="E592" s="11" t="inlineStr">
        <is>
          <t>National Capital Region (NCR)</t>
        </is>
      </c>
      <c r="F592" s="11" t="inlineStr">
        <is>
          <t>Fourth District (Not a Province)</t>
        </is>
      </c>
      <c r="G592" s="11" t="inlineStr">
        <is>
          <t>City of Makati</t>
        </is>
      </c>
      <c r="H592" s="11" t="inlineStr">
        <is>
          <t>Singkamas</t>
        </is>
      </c>
      <c r="I592" s="24" t="n">
        <v>14.573249</v>
      </c>
      <c r="J592" s="24" t="n">
        <v>121.012032</v>
      </c>
      <c r="K592" s="23" t="inlineStr">
        <is>
          <t>U</t>
        </is>
      </c>
      <c r="L592" s="25" t="n">
        <v>7485</v>
      </c>
      <c r="M592" s="26" t="n">
        <v>3.88</v>
      </c>
      <c r="N592" s="25">
        <f>ROUND(L592/M592, 0)</f>
        <v/>
      </c>
      <c r="O592" s="25">
        <f>ROUND(N592*'Methodology &amp; Assumptions'!$B$7, 0)</f>
        <v/>
      </c>
      <c r="P592" s="23" t="inlineStr">
        <is>
          <t>Single Carrier (Band n50, 100MHz TDD)</t>
        </is>
      </c>
      <c r="Q592" s="27">
        <f>ROUNDUP(O592/'Methodology &amp; Assumptions'!$B$8, 0)</f>
        <v/>
      </c>
      <c r="R592" s="27" t="n">
        <v>1</v>
      </c>
      <c r="S592" s="26" t="n">
        <v>1.59</v>
      </c>
      <c r="T592" s="26" t="n">
        <v>0.14</v>
      </c>
      <c r="U592" s="11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26" t="n">
        <v>66.28</v>
      </c>
      <c r="W592" s="26" t="n">
        <v>70.12</v>
      </c>
      <c r="X592" s="26">
        <f>ROUND(('Methodology &amp; Assumptions'!$B$5*V592) + ('Methodology &amp; Assumptions'!$B$6*W592), 2)</f>
        <v/>
      </c>
      <c r="Y592" s="28" t="n">
        <v>10.9</v>
      </c>
      <c r="Z592" s="11" t="inlineStr">
        <is>
          <t>Priority Tier 2 (Balanced Opportunity)</t>
        </is>
      </c>
    </row>
    <row r="593">
      <c r="A593" s="23" t="n">
        <v>1</v>
      </c>
      <c r="B593" s="23" t="n">
        <v>589</v>
      </c>
      <c r="C593" s="23" t="n">
        <v>589</v>
      </c>
      <c r="D593" s="23" t="inlineStr">
        <is>
          <t>1380601018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18</t>
        </is>
      </c>
      <c r="I593" s="24" t="n">
        <v>14.599556</v>
      </c>
      <c r="J593" s="24" t="n">
        <v>120.96065</v>
      </c>
      <c r="K593" s="23" t="inlineStr">
        <is>
          <t>U</t>
        </is>
      </c>
      <c r="L593" s="25" t="n">
        <v>2006</v>
      </c>
      <c r="M593" s="26" t="n">
        <v>4.13</v>
      </c>
      <c r="N593" s="25">
        <f>ROUND(L593/M593, 0)</f>
        <v/>
      </c>
      <c r="O593" s="25">
        <f>ROUND(N593*'Methodology &amp; Assumptions'!$B$7, 0)</f>
        <v/>
      </c>
      <c r="P593" s="23" t="inlineStr">
        <is>
          <t>Single Carrier (Band n50, 100MHz TDD)</t>
        </is>
      </c>
      <c r="Q593" s="27">
        <f>ROUNDUP(O593/'Methodology &amp; Assumptions'!$B$8, 0)</f>
        <v/>
      </c>
      <c r="R593" s="27" t="n">
        <v>1</v>
      </c>
      <c r="S593" s="26" t="n">
        <v>0.64</v>
      </c>
      <c r="T593" s="26" t="n">
        <v>1.26</v>
      </c>
      <c r="U593" s="11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26" t="n">
        <v>56.73</v>
      </c>
      <c r="W593" s="26" t="n">
        <v>79.66</v>
      </c>
      <c r="X593" s="26">
        <f>ROUND(('Methodology &amp; Assumptions'!$B$5*V593) + ('Methodology &amp; Assumptions'!$B$6*W593), 2)</f>
        <v/>
      </c>
      <c r="Y593" s="28" t="n">
        <v>10.9</v>
      </c>
      <c r="Z593" s="11" t="inlineStr">
        <is>
          <t>Priority Tier 2 (Balanced Opportunity)</t>
        </is>
      </c>
    </row>
    <row r="594">
      <c r="A594" s="23" t="n">
        <v>1</v>
      </c>
      <c r="B594" s="23" t="n">
        <v>590</v>
      </c>
      <c r="C594" s="23" t="n">
        <v>590</v>
      </c>
      <c r="D594" s="23" t="inlineStr">
        <is>
          <t>0403428007</t>
        </is>
      </c>
      <c r="E594" s="11" t="inlineStr">
        <is>
          <t>Region IV-A (CALABARZON)</t>
        </is>
      </c>
      <c r="F594" s="11" t="inlineStr">
        <is>
          <t>Laguna</t>
        </is>
      </c>
      <c r="G594" s="11" t="inlineStr">
        <is>
          <t>City of Santa Rosa</t>
        </is>
      </c>
      <c r="H594" s="11" t="inlineStr">
        <is>
          <t>Ibaba</t>
        </is>
      </c>
      <c r="I594" s="24" t="n">
        <v>14.314674</v>
      </c>
      <c r="J594" s="24" t="n">
        <v>121.118315</v>
      </c>
      <c r="K594" s="23" t="inlineStr">
        <is>
          <t>U</t>
        </is>
      </c>
      <c r="L594" s="25" t="n">
        <v>8845</v>
      </c>
      <c r="M594" s="26" t="n">
        <v>3.3</v>
      </c>
      <c r="N594" s="25">
        <f>ROUND(L594/M594, 0)</f>
        <v/>
      </c>
      <c r="O594" s="25">
        <f>ROUND(N594*'Methodology &amp; Assumptions'!$B$7, 0)</f>
        <v/>
      </c>
      <c r="P594" s="23" t="inlineStr">
        <is>
          <t>Single Carrier (Band n50, 100MHz TDD)</t>
        </is>
      </c>
      <c r="Q594" s="27">
        <f>ROUNDUP(O594/'Methodology &amp; Assumptions'!$B$8, 0)</f>
        <v/>
      </c>
      <c r="R594" s="27" t="n">
        <v>1</v>
      </c>
      <c r="S594" s="26" t="n">
        <v>0.65</v>
      </c>
      <c r="T594" s="26" t="n">
        <v>1.94</v>
      </c>
      <c r="U594" s="11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26" t="n">
        <v>78.26000000000001</v>
      </c>
      <c r="W594" s="26" t="n">
        <v>58.13</v>
      </c>
      <c r="X594" s="26">
        <f>ROUND(('Methodology &amp; Assumptions'!$B$5*V594) + ('Methodology &amp; Assumptions'!$B$6*W594), 2)</f>
        <v/>
      </c>
      <c r="Y594" s="28" t="n">
        <v>7.2</v>
      </c>
      <c r="Z594" s="11" t="inlineStr">
        <is>
          <t>Priority Tier 2 (Balanced Opportunity)</t>
        </is>
      </c>
    </row>
    <row r="595">
      <c r="A595" s="23" t="n">
        <v>1</v>
      </c>
      <c r="B595" s="23" t="n">
        <v>591</v>
      </c>
      <c r="C595" s="23" t="n">
        <v>591</v>
      </c>
      <c r="D595" s="23" t="inlineStr">
        <is>
          <t>0301412026</t>
        </is>
      </c>
      <c r="E595" s="11" t="inlineStr">
        <is>
          <t>Region III (Central Luzon)</t>
        </is>
      </c>
      <c r="F595" s="11" t="inlineStr">
        <is>
          <t>Bulacan</t>
        </is>
      </c>
      <c r="G595" s="11" t="inlineStr">
        <is>
          <t>City of Meycauayan</t>
        </is>
      </c>
      <c r="H595" s="11" t="inlineStr">
        <is>
          <t>Caingin</t>
        </is>
      </c>
      <c r="I595" s="24" t="n">
        <v>14.727487</v>
      </c>
      <c r="J595" s="24" t="n">
        <v>120.970956</v>
      </c>
      <c r="K595" s="23" t="inlineStr">
        <is>
          <t>U</t>
        </is>
      </c>
      <c r="L595" s="25" t="n">
        <v>7207</v>
      </c>
      <c r="M595" s="26" t="n">
        <v>3.5</v>
      </c>
      <c r="N595" s="25">
        <f>ROUND(L595/M595, 0)</f>
        <v/>
      </c>
      <c r="O595" s="25">
        <f>ROUND(N595*'Methodology &amp; Assumptions'!$B$7, 0)</f>
        <v/>
      </c>
      <c r="P595" s="23" t="inlineStr">
        <is>
          <t>Single Carrier (Band n50, 100MHz TDD)</t>
        </is>
      </c>
      <c r="Q595" s="27">
        <f>ROUNDUP(O595/'Methodology &amp; Assumptions'!$B$8, 0)</f>
        <v/>
      </c>
      <c r="R595" s="27" t="n">
        <v>1</v>
      </c>
      <c r="S595" s="26" t="n">
        <v>1.23</v>
      </c>
      <c r="T595" s="26" t="n">
        <v>1.03</v>
      </c>
      <c r="U595" s="11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26" t="n">
        <v>76.93000000000001</v>
      </c>
      <c r="W595" s="26" t="n">
        <v>59.46</v>
      </c>
      <c r="X595" s="26">
        <f>ROUND(('Methodology &amp; Assumptions'!$B$5*V595) + ('Methodology &amp; Assumptions'!$B$6*W595), 2)</f>
        <v/>
      </c>
      <c r="Y595" s="28" t="n">
        <v>8.300000000000001</v>
      </c>
      <c r="Z595" s="11" t="inlineStr">
        <is>
          <t>Priority Tier 2 (Balanced Opportunity)</t>
        </is>
      </c>
    </row>
    <row r="596">
      <c r="A596" s="23" t="n">
        <v>1</v>
      </c>
      <c r="B596" s="23" t="n">
        <v>592</v>
      </c>
      <c r="C596" s="23" t="n">
        <v>592</v>
      </c>
      <c r="D596" s="23" t="inlineStr">
        <is>
          <t>0301412003</t>
        </is>
      </c>
      <c r="E596" s="11" t="inlineStr">
        <is>
          <t>Region III (Central Luzon)</t>
        </is>
      </c>
      <c r="F596" s="11" t="inlineStr">
        <is>
          <t>Bulacan</t>
        </is>
      </c>
      <c r="G596" s="11" t="inlineStr">
        <is>
          <t>City of Meycauayan</t>
        </is>
      </c>
      <c r="H596" s="11" t="inlineStr">
        <is>
          <t>Bancal</t>
        </is>
      </c>
      <c r="I596" s="24" t="n">
        <v>14.724706</v>
      </c>
      <c r="J596" s="24" t="n">
        <v>120.958152</v>
      </c>
      <c r="K596" s="23" t="inlineStr">
        <is>
          <t>U</t>
        </is>
      </c>
      <c r="L596" s="25" t="n">
        <v>13261</v>
      </c>
      <c r="M596" s="26" t="n">
        <v>3.5</v>
      </c>
      <c r="N596" s="25">
        <f>ROUND(L596/M596, 0)</f>
        <v/>
      </c>
      <c r="O596" s="25">
        <f>ROUND(N596*'Methodology &amp; Assumptions'!$B$7, 0)</f>
        <v/>
      </c>
      <c r="P596" s="23" t="inlineStr">
        <is>
          <t>Single Carrier (Band n50, 100MHz TDD)</t>
        </is>
      </c>
      <c r="Q596" s="27">
        <f>ROUNDUP(O596/'Methodology &amp; Assumptions'!$B$8, 0)</f>
        <v/>
      </c>
      <c r="R596" s="27" t="n">
        <v>1</v>
      </c>
      <c r="S596" s="26" t="n">
        <v>1.79</v>
      </c>
      <c r="T596" s="26" t="n">
        <v>0.28</v>
      </c>
      <c r="U596" s="11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26" t="n">
        <v>74.92</v>
      </c>
      <c r="W596" s="26" t="n">
        <v>61.47</v>
      </c>
      <c r="X596" s="26">
        <f>ROUND(('Methodology &amp; Assumptions'!$B$5*V596) + ('Methodology &amp; Assumptions'!$B$6*W596), 2)</f>
        <v/>
      </c>
      <c r="Y596" s="28" t="n">
        <v>8.300000000000001</v>
      </c>
      <c r="Z596" s="11" t="inlineStr">
        <is>
          <t>Priority Tier 2 (Balanced Opportunity)</t>
        </is>
      </c>
    </row>
    <row r="597">
      <c r="A597" s="23" t="n">
        <v>1</v>
      </c>
      <c r="B597" s="23" t="n">
        <v>593</v>
      </c>
      <c r="C597" s="23" t="n">
        <v>593</v>
      </c>
      <c r="D597" s="23" t="inlineStr">
        <is>
          <t>1380601014</t>
        </is>
      </c>
      <c r="E597" s="11" t="inlineStr">
        <is>
          <t>National Capital Region (NCR)</t>
        </is>
      </c>
      <c r="F597" s="11" t="inlineStr">
        <is>
          <t>First District (Not a Province)</t>
        </is>
      </c>
      <c r="G597" s="11" t="inlineStr">
        <is>
          <t>City of Manila</t>
        </is>
      </c>
      <c r="H597" s="11" t="inlineStr">
        <is>
          <t>Barangay 14</t>
        </is>
      </c>
      <c r="I597" s="24" t="n">
        <v>14.602373</v>
      </c>
      <c r="J597" s="24" t="n">
        <v>120.966253</v>
      </c>
      <c r="K597" s="23" t="inlineStr">
        <is>
          <t>U</t>
        </is>
      </c>
      <c r="L597" s="25" t="n">
        <v>2479</v>
      </c>
      <c r="M597" s="26" t="n">
        <v>3.86</v>
      </c>
      <c r="N597" s="25">
        <f>ROUND(L597/M597, 0)</f>
        <v/>
      </c>
      <c r="O597" s="25">
        <f>ROUND(N597*'Methodology &amp; Assumptions'!$B$7, 0)</f>
        <v/>
      </c>
      <c r="P597" s="23" t="inlineStr">
        <is>
          <t>Single Carrier (Band n50, 100MHz TDD)</t>
        </is>
      </c>
      <c r="Q597" s="27">
        <f>ROUNDUP(O597/'Methodology &amp; Assumptions'!$B$8, 0)</f>
        <v/>
      </c>
      <c r="R597" s="27" t="n">
        <v>1</v>
      </c>
      <c r="S597" s="26" t="n">
        <v>0.61</v>
      </c>
      <c r="T597" s="26" t="n">
        <v>0.61</v>
      </c>
      <c r="U597" s="11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26" t="n">
        <v>61.77</v>
      </c>
      <c r="W597" s="26" t="n">
        <v>74.61</v>
      </c>
      <c r="X597" s="26">
        <f>ROUND(('Methodology &amp; Assumptions'!$B$5*V597) + ('Methodology &amp; Assumptions'!$B$6*W597), 2)</f>
        <v/>
      </c>
      <c r="Y597" s="28" t="n">
        <v>10.9</v>
      </c>
      <c r="Z597" s="11" t="inlineStr">
        <is>
          <t>Priority Tier 2 (Balanced Opportunity)</t>
        </is>
      </c>
    </row>
    <row r="598">
      <c r="A598" s="23" t="n">
        <v>1</v>
      </c>
      <c r="B598" s="23" t="n">
        <v>594</v>
      </c>
      <c r="C598" s="23" t="n">
        <v>594</v>
      </c>
      <c r="D598" s="23" t="inlineStr">
        <is>
          <t>0102934020</t>
        </is>
      </c>
      <c r="E598" s="11" t="inlineStr">
        <is>
          <t>Region I (Ilocos Region)</t>
        </is>
      </c>
      <c r="F598" s="11" t="inlineStr">
        <is>
          <t>Ilocos Sur</t>
        </is>
      </c>
      <c r="G598" s="11" t="inlineStr">
        <is>
          <t>City of Vigan</t>
        </is>
      </c>
      <c r="H598" s="11" t="inlineStr">
        <is>
          <t>Mindoro</t>
        </is>
      </c>
      <c r="I598" s="24" t="n">
        <v>17.574056</v>
      </c>
      <c r="J598" s="24" t="n">
        <v>120.390856</v>
      </c>
      <c r="K598" s="23" t="inlineStr">
        <is>
          <t>R</t>
        </is>
      </c>
      <c r="L598" s="25" t="n">
        <v>1575</v>
      </c>
      <c r="M598" s="26" t="n">
        <v>3.8</v>
      </c>
      <c r="N598" s="25">
        <f>ROUND(L598/M598, 0)</f>
        <v/>
      </c>
      <c r="O598" s="25">
        <f>ROUND(N598*'Methodology &amp; Assumptions'!$B$7, 0)</f>
        <v/>
      </c>
      <c r="P598" s="23" t="inlineStr">
        <is>
          <t>Single Carrier (Band n50, 100MHz TDD)</t>
        </is>
      </c>
      <c r="Q598" s="27">
        <f>ROUNDUP(O598/'Methodology &amp; Assumptions'!$B$8, 0)</f>
        <v/>
      </c>
      <c r="R598" s="27" t="n">
        <v>1</v>
      </c>
      <c r="S598" s="26" t="n">
        <v>2.17</v>
      </c>
      <c r="T598" s="26" t="n">
        <v>0.7</v>
      </c>
      <c r="U598" s="11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26" t="n">
        <v>67.63</v>
      </c>
      <c r="W598" s="26" t="n">
        <v>68.72</v>
      </c>
      <c r="X598" s="26">
        <f>ROUND(('Methodology &amp; Assumptions'!$B$5*V598) + ('Methodology &amp; Assumptions'!$B$6*W598), 2)</f>
        <v/>
      </c>
      <c r="Y598" s="28" t="n">
        <v>8.300000000000001</v>
      </c>
      <c r="Z598" s="11" t="inlineStr">
        <is>
          <t>Priority Tier 2 (Balanced Opportunity)</t>
        </is>
      </c>
    </row>
    <row r="599">
      <c r="A599" s="23" t="n">
        <v>1</v>
      </c>
      <c r="B599" s="23" t="n">
        <v>595</v>
      </c>
      <c r="C599" s="23" t="n">
        <v>595</v>
      </c>
      <c r="D599" s="23" t="inlineStr">
        <is>
          <t>0403405037</t>
        </is>
      </c>
      <c r="E599" s="11" t="inlineStr">
        <is>
          <t>Region IV-A (CALABARZON)</t>
        </is>
      </c>
      <c r="F599" s="11" t="inlineStr">
        <is>
          <t>Laguna</t>
        </is>
      </c>
      <c r="G599" s="11" t="inlineStr">
        <is>
          <t>City of Calamba</t>
        </is>
      </c>
      <c r="H599" s="11" t="inlineStr">
        <is>
          <t>Parian</t>
        </is>
      </c>
      <c r="I599" s="24" t="n">
        <v>14.214002</v>
      </c>
      <c r="J599" s="24" t="n">
        <v>121.150836</v>
      </c>
      <c r="K599" s="23" t="inlineStr">
        <is>
          <t>U</t>
        </is>
      </c>
      <c r="L599" s="25" t="n">
        <v>28016</v>
      </c>
      <c r="M599" s="26" t="n">
        <v>3.3</v>
      </c>
      <c r="N599" s="25">
        <f>ROUND(L599/M599, 0)</f>
        <v/>
      </c>
      <c r="O599" s="25">
        <f>ROUND(N599*'Methodology &amp; Assumptions'!$B$7, 0)</f>
        <v/>
      </c>
      <c r="P599" s="23" t="inlineStr">
        <is>
          <t>Single Carrier (Band n50, 100MHz TDD)</t>
        </is>
      </c>
      <c r="Q599" s="27">
        <f>ROUNDUP(O599/'Methodology &amp; Assumptions'!$B$8, 0)</f>
        <v/>
      </c>
      <c r="R599" s="27" t="n">
        <v>1</v>
      </c>
      <c r="S599" s="26" t="n">
        <v>1.93</v>
      </c>
      <c r="T599" s="26" t="n">
        <v>0.01</v>
      </c>
      <c r="U599" s="11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26" t="n">
        <v>73.93000000000001</v>
      </c>
      <c r="W599" s="26" t="n">
        <v>62.37</v>
      </c>
      <c r="X599" s="26">
        <f>ROUND(('Methodology &amp; Assumptions'!$B$5*V599) + ('Methodology &amp; Assumptions'!$B$6*W599), 2)</f>
        <v/>
      </c>
      <c r="Y599" s="28" t="n">
        <v>7.2</v>
      </c>
      <c r="Z599" s="11" t="inlineStr">
        <is>
          <t>Priority Tier 2 (Balanced Opportunity)</t>
        </is>
      </c>
    </row>
    <row r="600">
      <c r="A600" s="23" t="n">
        <v>1</v>
      </c>
      <c r="B600" s="23" t="n">
        <v>596</v>
      </c>
      <c r="C600" s="23" t="n">
        <v>596</v>
      </c>
      <c r="D600" s="23" t="inlineStr">
        <is>
          <t>0405802004</t>
        </is>
      </c>
      <c r="E600" s="11" t="inlineStr">
        <is>
          <t>Region IV-A (CALABARZON)</t>
        </is>
      </c>
      <c r="F600" s="11" t="inlineStr">
        <is>
          <t>Rizal</t>
        </is>
      </c>
      <c r="G600" s="11" t="inlineStr">
        <is>
          <t>City of Antipolo</t>
        </is>
      </c>
      <c r="H600" s="11" t="inlineStr">
        <is>
          <t>Mayamot</t>
        </is>
      </c>
      <c r="I600" s="24" t="n">
        <v>14.629801</v>
      </c>
      <c r="J600" s="24" t="n">
        <v>121.120215</v>
      </c>
      <c r="K600" s="23" t="inlineStr">
        <is>
          <t>U</t>
        </is>
      </c>
      <c r="L600" s="25" t="n">
        <v>50271</v>
      </c>
      <c r="M600" s="26" t="n">
        <v>3.6</v>
      </c>
      <c r="N600" s="25">
        <f>ROUND(L600/M600, 0)</f>
        <v/>
      </c>
      <c r="O600" s="25">
        <f>ROUND(N600*'Methodology &amp; Assumptions'!$B$7, 0)</f>
        <v/>
      </c>
      <c r="P600" s="23" t="inlineStr">
        <is>
          <t>Single Carrier (Band n50, 100MHz TDD)</t>
        </is>
      </c>
      <c r="Q600" s="27">
        <f>ROUNDUP(O600/'Methodology &amp; Assumptions'!$B$8, 0)</f>
        <v/>
      </c>
      <c r="R600" s="27" t="n">
        <v>1</v>
      </c>
      <c r="S600" s="26" t="n">
        <v>0.32</v>
      </c>
      <c r="T600" s="26" t="n">
        <v>0.2</v>
      </c>
      <c r="U600" s="11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26" t="n">
        <v>76.81999999999999</v>
      </c>
      <c r="W600" s="26" t="n">
        <v>59.4</v>
      </c>
      <c r="X600" s="26">
        <f>ROUND(('Methodology &amp; Assumptions'!$B$5*V600) + ('Methodology &amp; Assumptions'!$B$6*W600), 2)</f>
        <v/>
      </c>
      <c r="Y600" s="28" t="n">
        <v>7.2</v>
      </c>
      <c r="Z600" s="11" t="inlineStr">
        <is>
          <t>Priority Tier 2 (Balanced Opportunity)</t>
        </is>
      </c>
    </row>
    <row r="601">
      <c r="A601" s="23" t="n">
        <v>1</v>
      </c>
      <c r="B601" s="23" t="n">
        <v>597</v>
      </c>
      <c r="C601" s="23" t="n">
        <v>597</v>
      </c>
      <c r="D601" s="23" t="inlineStr">
        <is>
          <t>0402108025</t>
        </is>
      </c>
      <c r="E601" s="11" t="inlineStr">
        <is>
          <t>Region IV-A (CALABARZON)</t>
        </is>
      </c>
      <c r="F601" s="11" t="inlineStr">
        <is>
          <t>Cavite</t>
        </is>
      </c>
      <c r="G601" s="11" t="inlineStr">
        <is>
          <t>City of General Trias</t>
        </is>
      </c>
      <c r="H601" s="11" t="inlineStr">
        <is>
          <t>San Juan I</t>
        </is>
      </c>
      <c r="I601" s="24" t="n">
        <v>14.3818</v>
      </c>
      <c r="J601" s="24" t="n">
        <v>120.877746</v>
      </c>
      <c r="K601" s="23" t="inlineStr">
        <is>
          <t>U</t>
        </is>
      </c>
      <c r="L601" s="25" t="n">
        <v>5496</v>
      </c>
      <c r="M601" s="26" t="n">
        <v>3.4</v>
      </c>
      <c r="N601" s="25">
        <f>ROUND(L601/M601, 0)</f>
        <v/>
      </c>
      <c r="O601" s="25">
        <f>ROUND(N601*'Methodology &amp; Assumptions'!$B$7, 0)</f>
        <v/>
      </c>
      <c r="P601" s="23" t="inlineStr">
        <is>
          <t>Single Carrier (Band n50, 100MHz TDD)</t>
        </is>
      </c>
      <c r="Q601" s="27">
        <f>ROUNDUP(O601/'Methodology &amp; Assumptions'!$B$8, 0)</f>
        <v/>
      </c>
      <c r="R601" s="27" t="n">
        <v>1</v>
      </c>
      <c r="S601" s="26" t="n">
        <v>1.5</v>
      </c>
      <c r="T601" s="26" t="n">
        <v>1.97</v>
      </c>
      <c r="U601" s="11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26" t="n">
        <v>75.77</v>
      </c>
      <c r="W601" s="26" t="n">
        <v>60.42</v>
      </c>
      <c r="X601" s="26">
        <f>ROUND(('Methodology &amp; Assumptions'!$B$5*V601) + ('Methodology &amp; Assumptions'!$B$6*W601), 2)</f>
        <v/>
      </c>
      <c r="Y601" s="28" t="n">
        <v>7.2</v>
      </c>
      <c r="Z601" s="11" t="inlineStr">
        <is>
          <t>Priority Tier 2 (Balanced Opportunity)</t>
        </is>
      </c>
    </row>
    <row r="602">
      <c r="A602" s="23" t="n">
        <v>1</v>
      </c>
      <c r="B602" s="23" t="n">
        <v>598</v>
      </c>
      <c r="C602" s="23" t="n">
        <v>598</v>
      </c>
      <c r="D602" s="23" t="inlineStr">
        <is>
          <t>1380604014</t>
        </is>
      </c>
      <c r="E602" s="11" t="inlineStr">
        <is>
          <t>National Capital Region (NCR)</t>
        </is>
      </c>
      <c r="F602" s="11" t="inlineStr">
        <is>
          <t>First District (Not a Province)</t>
        </is>
      </c>
      <c r="G602" s="11" t="inlineStr">
        <is>
          <t>City of Manila</t>
        </is>
      </c>
      <c r="H602" s="11" t="inlineStr">
        <is>
          <t>Barangay 281</t>
        </is>
      </c>
      <c r="I602" s="24" t="n">
        <v>14.600523</v>
      </c>
      <c r="J602" s="24" t="n">
        <v>120.971243</v>
      </c>
      <c r="K602" s="23" t="inlineStr">
        <is>
          <t>U</t>
        </is>
      </c>
      <c r="L602" s="25" t="n">
        <v>3436</v>
      </c>
      <c r="M602" s="26" t="n">
        <v>4.27</v>
      </c>
      <c r="N602" s="25">
        <f>ROUND(L602/M602, 0)</f>
        <v/>
      </c>
      <c r="O602" s="25">
        <f>ROUND(N602*'Methodology &amp; Assumptions'!$B$7, 0)</f>
        <v/>
      </c>
      <c r="P602" s="23" t="inlineStr">
        <is>
          <t>Single Carrier (Band n50, 100MHz TDD)</t>
        </is>
      </c>
      <c r="Q602" s="27">
        <f>ROUNDUP(O602/'Methodology &amp; Assumptions'!$B$8, 0)</f>
        <v/>
      </c>
      <c r="R602" s="27" t="n">
        <v>1</v>
      </c>
      <c r="S602" s="26" t="n">
        <v>0.72</v>
      </c>
      <c r="T602" s="26" t="n">
        <v>0.71</v>
      </c>
      <c r="U602" s="11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26" t="n">
        <v>67.01000000000001</v>
      </c>
      <c r="W602" s="26" t="n">
        <v>69.19</v>
      </c>
      <c r="X602" s="26">
        <f>ROUND(('Methodology &amp; Assumptions'!$B$5*V602) + ('Methodology &amp; Assumptions'!$B$6*W602), 2)</f>
        <v/>
      </c>
      <c r="Y602" s="28" t="n">
        <v>10.9</v>
      </c>
      <c r="Z602" s="11" t="inlineStr">
        <is>
          <t>Priority Tier 2 (Balanced Opportunity)</t>
        </is>
      </c>
    </row>
    <row r="603">
      <c r="A603" s="23" t="n">
        <v>1</v>
      </c>
      <c r="B603" s="23" t="n">
        <v>599</v>
      </c>
      <c r="C603" s="23" t="n">
        <v>599</v>
      </c>
      <c r="D603" s="23" t="inlineStr">
        <is>
          <t>1380610017</t>
        </is>
      </c>
      <c r="E603" s="11" t="inlineStr">
        <is>
          <t>National Capital Region (NCR)</t>
        </is>
      </c>
      <c r="F603" s="11" t="inlineStr">
        <is>
          <t>First District (Not a Province)</t>
        </is>
      </c>
      <c r="G603" s="11" t="inlineStr">
        <is>
          <t>City of Manila</t>
        </is>
      </c>
      <c r="H603" s="11" t="inlineStr">
        <is>
          <t>Barangay 702</t>
        </is>
      </c>
      <c r="I603" s="24" t="n">
        <v>14.570171</v>
      </c>
      <c r="J603" s="24" t="n">
        <v>120.987756</v>
      </c>
      <c r="K603" s="23" t="inlineStr">
        <is>
          <t>U</t>
        </is>
      </c>
      <c r="L603" s="25" t="n">
        <v>3572</v>
      </c>
      <c r="M603" s="26" t="n">
        <v>4.47</v>
      </c>
      <c r="N603" s="25">
        <f>ROUND(L603/M603, 0)</f>
        <v/>
      </c>
      <c r="O603" s="25">
        <f>ROUND(N603*'Methodology &amp; Assumptions'!$B$7, 0)</f>
        <v/>
      </c>
      <c r="P603" s="23" t="inlineStr">
        <is>
          <t>Single Carrier (Band n50, 100MHz TDD)</t>
        </is>
      </c>
      <c r="Q603" s="27">
        <f>ROUNDUP(O603/'Methodology &amp; Assumptions'!$B$8, 0)</f>
        <v/>
      </c>
      <c r="R603" s="27" t="n">
        <v>1</v>
      </c>
      <c r="S603" s="26" t="n">
        <v>0.73</v>
      </c>
      <c r="T603" s="26" t="n">
        <v>0.4</v>
      </c>
      <c r="U603" s="11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26" t="n">
        <v>66.8</v>
      </c>
      <c r="W603" s="26" t="n">
        <v>69.41</v>
      </c>
      <c r="X603" s="26">
        <f>ROUND(('Methodology &amp; Assumptions'!$B$5*V603) + ('Methodology &amp; Assumptions'!$B$6*W603), 2)</f>
        <v/>
      </c>
      <c r="Y603" s="28" t="n">
        <v>10.9</v>
      </c>
      <c r="Z603" s="11" t="inlineStr">
        <is>
          <t>Priority Tier 2 (Balanced Opportunity)</t>
        </is>
      </c>
    </row>
    <row r="604">
      <c r="A604" s="23" t="n">
        <v>1</v>
      </c>
      <c r="B604" s="23" t="n">
        <v>600</v>
      </c>
      <c r="C604" s="23" t="n">
        <v>600</v>
      </c>
      <c r="D604" s="23" t="inlineStr">
        <is>
          <t>1380606197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590</t>
        </is>
      </c>
      <c r="I604" s="24" t="n">
        <v>14.599477</v>
      </c>
      <c r="J604" s="24" t="n">
        <v>121.014012</v>
      </c>
      <c r="K604" s="23" t="inlineStr">
        <is>
          <t>U</t>
        </is>
      </c>
      <c r="L604" s="25" t="n">
        <v>2854</v>
      </c>
      <c r="M604" s="26" t="n">
        <v>3.73</v>
      </c>
      <c r="N604" s="25">
        <f>ROUND(L604/M604, 0)</f>
        <v/>
      </c>
      <c r="O604" s="25">
        <f>ROUND(N604*'Methodology &amp; Assumptions'!$B$7, 0)</f>
        <v/>
      </c>
      <c r="P604" s="23" t="inlineStr">
        <is>
          <t>Single Carrier (Band n50, 100MHz TDD)</t>
        </is>
      </c>
      <c r="Q604" s="27">
        <f>ROUNDUP(O604/'Methodology &amp; Assumptions'!$B$8, 0)</f>
        <v/>
      </c>
      <c r="R604" s="27" t="n">
        <v>1</v>
      </c>
      <c r="S604" s="26" t="n">
        <v>1.06</v>
      </c>
      <c r="T604" s="26" t="n">
        <v>0.36</v>
      </c>
      <c r="U604" s="11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26" t="n">
        <v>64.89</v>
      </c>
      <c r="W604" s="26" t="n">
        <v>71.31999999999999</v>
      </c>
      <c r="X604" s="26">
        <f>ROUND(('Methodology &amp; Assumptions'!$B$5*V604) + ('Methodology &amp; Assumptions'!$B$6*W604), 2)</f>
        <v/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1</v>
      </c>
      <c r="B605" s="23" t="n">
        <v>601</v>
      </c>
      <c r="C605" s="23" t="n">
        <v>601</v>
      </c>
      <c r="D605" s="23" t="inlineStr">
        <is>
          <t>1381100171</t>
        </is>
      </c>
      <c r="E605" s="11" t="inlineStr">
        <is>
          <t>National Capital Region (NCR)</t>
        </is>
      </c>
      <c r="F605" s="11" t="inlineStr">
        <is>
          <t>Fourth District (Not a Province)</t>
        </is>
      </c>
      <c r="G605" s="11" t="inlineStr">
        <is>
          <t>Pasay City</t>
        </is>
      </c>
      <c r="H605" s="11" t="inlineStr">
        <is>
          <t>Barangay 171</t>
        </is>
      </c>
      <c r="I605" s="24" t="n">
        <v>14.536286</v>
      </c>
      <c r="J605" s="24" t="n">
        <v>121.011758</v>
      </c>
      <c r="K605" s="23" t="inlineStr">
        <is>
          <t>U</t>
        </is>
      </c>
      <c r="L605" s="25" t="n">
        <v>3492</v>
      </c>
      <c r="M605" s="26" t="n">
        <v>3.35</v>
      </c>
      <c r="N605" s="25">
        <f>ROUND(L605/M605, 0)</f>
        <v/>
      </c>
      <c r="O605" s="25">
        <f>ROUND(N605*'Methodology &amp; Assumptions'!$B$7, 0)</f>
        <v/>
      </c>
      <c r="P605" s="23" t="inlineStr">
        <is>
          <t>Single Carrier (Band n50, 100MHz TDD)</t>
        </is>
      </c>
      <c r="Q605" s="27">
        <f>ROUNDUP(O605/'Methodology &amp; Assumptions'!$B$8, 0)</f>
        <v/>
      </c>
      <c r="R605" s="27" t="n">
        <v>1</v>
      </c>
      <c r="S605" s="26" t="n">
        <v>1.5</v>
      </c>
      <c r="T605" s="26" t="n">
        <v>0.57</v>
      </c>
      <c r="U605" s="11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26" t="n">
        <v>66.61</v>
      </c>
      <c r="W605" s="26" t="n">
        <v>69.56999999999999</v>
      </c>
      <c r="X605" s="26">
        <f>ROUND(('Methodology &amp; Assumptions'!$B$5*V605) + ('Methodology &amp; Assumptions'!$B$6*W605), 2)</f>
        <v/>
      </c>
      <c r="Y605" s="28" t="n">
        <v>10.9</v>
      </c>
      <c r="Z605" s="11" t="inlineStr">
        <is>
          <t>Priority Tier 2 (Balanced Opportunity)</t>
        </is>
      </c>
    </row>
    <row r="606">
      <c r="A606" s="23" t="n">
        <v>1</v>
      </c>
      <c r="B606" s="23" t="n">
        <v>602</v>
      </c>
      <c r="C606" s="23" t="n">
        <v>602</v>
      </c>
      <c r="D606" s="23" t="inlineStr">
        <is>
          <t>0201514013</t>
        </is>
      </c>
      <c r="E606" s="11" t="inlineStr">
        <is>
          <t>Region II (Cagayan Valley)</t>
        </is>
      </c>
      <c r="F606" s="11" t="inlineStr">
        <is>
          <t>Cagayan</t>
        </is>
      </c>
      <c r="G606" s="11" t="inlineStr">
        <is>
          <t>Gonzaga</t>
        </is>
      </c>
      <c r="H606" s="11" t="inlineStr">
        <is>
          <t>Isca</t>
        </is>
      </c>
      <c r="I606" s="24" t="n">
        <v>18.216457</v>
      </c>
      <c r="J606" s="24" t="n">
        <v>121.987122</v>
      </c>
      <c r="K606" s="23" t="inlineStr">
        <is>
          <t>R</t>
        </is>
      </c>
      <c r="L606" s="25" t="n">
        <v>1572</v>
      </c>
      <c r="M606" s="26" t="n">
        <v>3.9</v>
      </c>
      <c r="N606" s="25">
        <f>ROUND(L606/M606, 0)</f>
        <v/>
      </c>
      <c r="O606" s="25">
        <f>ROUND(N606*'Methodology &amp; Assumptions'!$B$7, 0)</f>
        <v/>
      </c>
      <c r="P606" s="23" t="inlineStr">
        <is>
          <t>Single Carrier (Band n50, 100MHz TDD)</t>
        </is>
      </c>
      <c r="Q606" s="27">
        <f>ROUNDUP(O606/'Methodology &amp; Assumptions'!$B$8, 0)</f>
        <v/>
      </c>
      <c r="R606" s="27" t="n">
        <v>1</v>
      </c>
      <c r="S606" s="26" t="n">
        <v>5.36</v>
      </c>
      <c r="T606" s="26" t="n">
        <v>3.66</v>
      </c>
      <c r="U606" s="11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26" t="n">
        <v>56.56</v>
      </c>
      <c r="W606" s="26" t="n">
        <v>79.62</v>
      </c>
      <c r="X606" s="26">
        <f>ROUND(('Methodology &amp; Assumptions'!$B$5*V606) + ('Methodology &amp; Assumptions'!$B$6*W606), 2)</f>
        <v/>
      </c>
      <c r="Y606" s="28" t="n">
        <v>8.300000000000001</v>
      </c>
      <c r="Z606" s="11" t="inlineStr">
        <is>
          <t>Priority Tier 2 (Balanced Opportunity)</t>
        </is>
      </c>
    </row>
    <row r="607">
      <c r="A607" s="23" t="n">
        <v>1</v>
      </c>
      <c r="B607" s="23" t="n">
        <v>603</v>
      </c>
      <c r="C607" s="23" t="n">
        <v>603</v>
      </c>
      <c r="D607" s="23" t="inlineStr">
        <is>
          <t>1108602021</t>
        </is>
      </c>
      <c r="E607" s="11" t="inlineStr">
        <is>
          <t>Region XI (Davao Region)</t>
        </is>
      </c>
      <c r="F607" s="11" t="inlineStr">
        <is>
          <t>Davao Occidental</t>
        </is>
      </c>
      <c r="G607" s="11" t="inlineStr">
        <is>
          <t>Jose Abad Santos</t>
        </is>
      </c>
      <c r="H607" s="11" t="inlineStr">
        <is>
          <t>Mangile</t>
        </is>
      </c>
      <c r="I607" s="24" t="n">
        <v>6.024122</v>
      </c>
      <c r="J607" s="24" t="n">
        <v>125.65875</v>
      </c>
      <c r="K607" s="23" t="inlineStr">
        <is>
          <t>R</t>
        </is>
      </c>
      <c r="L607" s="25" t="n">
        <v>3502</v>
      </c>
      <c r="M607" s="26" t="n">
        <v>3.6</v>
      </c>
      <c r="N607" s="25">
        <f>ROUND(L607/M607, 0)</f>
        <v/>
      </c>
      <c r="O607" s="25">
        <f>ROUND(N607*'Methodology &amp; Assumptions'!$B$7, 0)</f>
        <v/>
      </c>
      <c r="P607" s="23" t="inlineStr">
        <is>
          <t>Single Carrier (Band n50, 100MHz TDD)</t>
        </is>
      </c>
      <c r="Q607" s="27">
        <f>ROUNDUP(O607/'Methodology &amp; Assumptions'!$B$8, 0)</f>
        <v/>
      </c>
      <c r="R607" s="27" t="n">
        <v>1</v>
      </c>
      <c r="S607" s="26" t="n">
        <v>43.05</v>
      </c>
      <c r="T607" s="26" t="n">
        <v>50.22</v>
      </c>
      <c r="U607" s="11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26" t="n">
        <v>61.82</v>
      </c>
      <c r="W607" s="26" t="n">
        <v>74.34</v>
      </c>
      <c r="X607" s="26">
        <f>ROUND(('Methodology &amp; Assumptions'!$B$5*V607) + ('Methodology &amp; Assumptions'!$B$6*W607), 2)</f>
        <v/>
      </c>
      <c r="Y607" s="28" t="n">
        <v>17.4</v>
      </c>
      <c r="Z607" s="11" t="inlineStr">
        <is>
          <t>Priority Tier 2 (Balanced Opportunity)</t>
        </is>
      </c>
    </row>
    <row r="608">
      <c r="A608" s="23" t="n">
        <v>1</v>
      </c>
      <c r="B608" s="23" t="n">
        <v>604</v>
      </c>
      <c r="C608" s="23" t="n">
        <v>604</v>
      </c>
      <c r="D608" s="23" t="inlineStr">
        <is>
          <t>1381100183</t>
        </is>
      </c>
      <c r="E608" s="11" t="inlineStr">
        <is>
          <t>National Capital Region (NCR)</t>
        </is>
      </c>
      <c r="F608" s="11" t="inlineStr">
        <is>
          <t>Fourth District (Not a Province)</t>
        </is>
      </c>
      <c r="G608" s="11" t="inlineStr">
        <is>
          <t>Pasay City</t>
        </is>
      </c>
      <c r="H608" s="11" t="inlineStr">
        <is>
          <t>Barangay 183</t>
        </is>
      </c>
      <c r="I608" s="24" t="n">
        <v>14.526945</v>
      </c>
      <c r="J608" s="24" t="n">
        <v>121.014921</v>
      </c>
      <c r="K608" s="23" t="inlineStr">
        <is>
          <t>U</t>
        </is>
      </c>
      <c r="L608" s="25" t="n">
        <v>41113</v>
      </c>
      <c r="M608" s="26" t="n">
        <v>3.31</v>
      </c>
      <c r="N608" s="25">
        <f>ROUND(L608/M608, 0)</f>
        <v/>
      </c>
      <c r="O608" s="25">
        <f>ROUND(N608*'Methodology &amp; Assumptions'!$B$7, 0)</f>
        <v/>
      </c>
      <c r="P608" s="23" t="inlineStr">
        <is>
          <t>Single Carrier (Band n50, 100MHz TDD)</t>
        </is>
      </c>
      <c r="Q608" s="27">
        <f>ROUNDUP(O608/'Methodology &amp; Assumptions'!$B$8, 0)</f>
        <v/>
      </c>
      <c r="R608" s="27" t="n">
        <v>1</v>
      </c>
      <c r="S608" s="26" t="n">
        <v>0.5600000000000001</v>
      </c>
      <c r="T608" s="26" t="n">
        <v>0.49</v>
      </c>
      <c r="U608" s="11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26" t="n">
        <v>66.55</v>
      </c>
      <c r="W608" s="26" t="n">
        <v>69.59999999999999</v>
      </c>
      <c r="X608" s="26">
        <f>ROUND(('Methodology &amp; Assumptions'!$B$5*V608) + ('Methodology &amp; Assumptions'!$B$6*W608), 2)</f>
        <v/>
      </c>
      <c r="Y608" s="28" t="n">
        <v>10.9</v>
      </c>
      <c r="Z608" s="11" t="inlineStr">
        <is>
          <t>Priority Tier 2 (Balanced Opportunity)</t>
        </is>
      </c>
    </row>
    <row r="609">
      <c r="A609" s="23" t="n">
        <v>1</v>
      </c>
      <c r="B609" s="23" t="n">
        <v>605</v>
      </c>
      <c r="C609" s="23" t="n">
        <v>605</v>
      </c>
      <c r="D609" s="23" t="inlineStr">
        <is>
          <t>0102820002</t>
        </is>
      </c>
      <c r="E609" s="11" t="inlineStr">
        <is>
          <t>Region I (Ilocos Region)</t>
        </is>
      </c>
      <c r="F609" s="11" t="inlineStr">
        <is>
          <t>Ilocos Norte</t>
        </is>
      </c>
      <c r="G609" s="11" t="inlineStr">
        <is>
          <t>San Nicolas</t>
        </is>
      </c>
      <c r="H609" s="11" t="inlineStr">
        <is>
          <t>San Ildefonso</t>
        </is>
      </c>
      <c r="I609" s="24" t="n">
        <v>18.173457</v>
      </c>
      <c r="J609" s="24" t="n">
        <v>120.597695</v>
      </c>
      <c r="K609" s="23" t="inlineStr">
        <is>
          <t>R</t>
        </is>
      </c>
      <c r="L609" s="25" t="n">
        <v>1769</v>
      </c>
      <c r="M609" s="26" t="n">
        <v>3.7</v>
      </c>
      <c r="N609" s="25">
        <f>ROUND(L609/M609, 0)</f>
        <v/>
      </c>
      <c r="O609" s="25">
        <f>ROUND(N609*'Methodology &amp; Assumptions'!$B$7, 0)</f>
        <v/>
      </c>
      <c r="P609" s="23" t="inlineStr">
        <is>
          <t>Single Carrier (Band n50, 100MHz TDD)</t>
        </is>
      </c>
      <c r="Q609" s="27">
        <f>ROUNDUP(O609/'Methodology &amp; Assumptions'!$B$8, 0)</f>
        <v/>
      </c>
      <c r="R609" s="27" t="n">
        <v>1</v>
      </c>
      <c r="S609" s="26" t="n">
        <v>0.57</v>
      </c>
      <c r="T609" s="26" t="n">
        <v>0.47</v>
      </c>
      <c r="U609" s="11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26" t="n">
        <v>74.52</v>
      </c>
      <c r="W609" s="26" t="n">
        <v>61.6</v>
      </c>
      <c r="X609" s="26">
        <f>ROUND(('Methodology &amp; Assumptions'!$B$5*V609) + ('Methodology &amp; Assumptions'!$B$6*W609), 2)</f>
        <v/>
      </c>
      <c r="Y609" s="28" t="n">
        <v>8.300000000000001</v>
      </c>
      <c r="Z609" s="11" t="inlineStr">
        <is>
          <t>Priority Tier 2 (Balanced Opportunity)</t>
        </is>
      </c>
    </row>
    <row r="610">
      <c r="A610" s="23" t="n">
        <v>1</v>
      </c>
      <c r="B610" s="23" t="n">
        <v>606</v>
      </c>
      <c r="C610" s="23" t="n">
        <v>606</v>
      </c>
      <c r="D610" s="23" t="inlineStr">
        <is>
          <t>0702234008</t>
        </is>
      </c>
      <c r="E610" s="11" t="inlineStr">
        <is>
          <t>Region VII (Central Visayas)</t>
        </is>
      </c>
      <c r="F610" s="11" t="inlineStr">
        <is>
          <t>Cebu</t>
        </is>
      </c>
      <c r="G610" s="11" t="inlineStr">
        <is>
          <t>City of Naga</t>
        </is>
      </c>
      <c r="H610" s="11" t="inlineStr">
        <is>
          <t>Colon</t>
        </is>
      </c>
      <c r="I610" s="24" t="n">
        <v>10.219463</v>
      </c>
      <c r="J610" s="24" t="n">
        <v>123.762131</v>
      </c>
      <c r="K610" s="23" t="inlineStr">
        <is>
          <t>U</t>
        </is>
      </c>
      <c r="L610" s="25" t="n">
        <v>5364</v>
      </c>
      <c r="M610" s="26" t="n">
        <v>3.8</v>
      </c>
      <c r="N610" s="25">
        <f>ROUND(L610/M610, 0)</f>
        <v/>
      </c>
      <c r="O610" s="25">
        <f>ROUND(N610*'Methodology &amp; Assumptions'!$B$7, 0)</f>
        <v/>
      </c>
      <c r="P610" s="23" t="inlineStr">
        <is>
          <t>Single Carrier (Band n50, 100MHz TDD)</t>
        </is>
      </c>
      <c r="Q610" s="27">
        <f>ROUNDUP(O610/'Methodology &amp; Assumptions'!$B$8, 0)</f>
        <v/>
      </c>
      <c r="R610" s="27" t="n">
        <v>1</v>
      </c>
      <c r="S610" s="26" t="n">
        <v>1.84</v>
      </c>
      <c r="T610" s="26" t="n">
        <v>0.09</v>
      </c>
      <c r="U610" s="11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26" t="n">
        <v>77.16</v>
      </c>
      <c r="W610" s="26" t="n">
        <v>58.94</v>
      </c>
      <c r="X610" s="26">
        <f>ROUND(('Methodology &amp; Assumptions'!$B$5*V610) + ('Methodology &amp; Assumptions'!$B$6*W610), 2)</f>
        <v/>
      </c>
      <c r="Y610" s="28" t="n">
        <v>23.7</v>
      </c>
      <c r="Z610" s="11" t="inlineStr">
        <is>
          <t>Priority Tier 2 (Balanced Opportunity)</t>
        </is>
      </c>
    </row>
    <row r="611">
      <c r="A611" s="23" t="n">
        <v>1</v>
      </c>
      <c r="B611" s="23" t="n">
        <v>607</v>
      </c>
      <c r="C611" s="23" t="n">
        <v>607</v>
      </c>
      <c r="D611" s="23" t="inlineStr">
        <is>
          <t>1380200001</t>
        </is>
      </c>
      <c r="E611" s="11" t="inlineStr">
        <is>
          <t>National Capital Region (NCR)</t>
        </is>
      </c>
      <c r="F611" s="11" t="inlineStr">
        <is>
          <t>Fourth District (Not a Province)</t>
        </is>
      </c>
      <c r="G611" s="11" t="inlineStr">
        <is>
          <t>City of Las Piñas</t>
        </is>
      </c>
      <c r="H611" s="11" t="inlineStr">
        <is>
          <t>Almanza Uno</t>
        </is>
      </c>
      <c r="I611" s="24" t="n">
        <v>14.433163</v>
      </c>
      <c r="J611" s="24" t="n">
        <v>121.013245</v>
      </c>
      <c r="K611" s="23" t="inlineStr">
        <is>
          <t>U</t>
        </is>
      </c>
      <c r="L611" s="25" t="n">
        <v>33683</v>
      </c>
      <c r="M611" s="26" t="n">
        <v>3.15</v>
      </c>
      <c r="N611" s="25">
        <f>ROUND(L611/M611, 0)</f>
        <v/>
      </c>
      <c r="O611" s="25">
        <f>ROUND(N611*'Methodology &amp; Assumptions'!$B$7, 0)</f>
        <v/>
      </c>
      <c r="P611" s="23" t="inlineStr">
        <is>
          <t>Single Carrier (Band n50, 100MHz TDD)</t>
        </is>
      </c>
      <c r="Q611" s="27">
        <f>ROUNDUP(O611/'Methodology &amp; Assumptions'!$B$8, 0)</f>
        <v/>
      </c>
      <c r="R611" s="27" t="n">
        <v>1</v>
      </c>
      <c r="S611" s="26" t="n">
        <v>0.63</v>
      </c>
      <c r="T611" s="26" t="n">
        <v>0.11</v>
      </c>
      <c r="U611" s="11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26" t="n">
        <v>66.88</v>
      </c>
      <c r="W611" s="26" t="n">
        <v>69.23</v>
      </c>
      <c r="X611" s="26">
        <f>ROUND(('Methodology &amp; Assumptions'!$B$5*V611) + ('Methodology &amp; Assumptions'!$B$6*W611), 2)</f>
        <v/>
      </c>
      <c r="Y611" s="28" t="n">
        <v>10.9</v>
      </c>
      <c r="Z611" s="11" t="inlineStr">
        <is>
          <t>Priority Tier 2 (Balanced Opportunity)</t>
        </is>
      </c>
    </row>
    <row r="612">
      <c r="A612" s="23" t="n">
        <v>1</v>
      </c>
      <c r="B612" s="23" t="n">
        <v>608</v>
      </c>
      <c r="C612" s="23" t="n">
        <v>608</v>
      </c>
      <c r="D612" s="23" t="inlineStr">
        <is>
          <t>0201501002</t>
        </is>
      </c>
      <c r="E612" s="11" t="inlineStr">
        <is>
          <t>Region II (Cagayan Valley)</t>
        </is>
      </c>
      <c r="F612" s="11" t="inlineStr">
        <is>
          <t>Cagayan</t>
        </is>
      </c>
      <c r="G612" s="11" t="inlineStr">
        <is>
          <t>Abulug</t>
        </is>
      </c>
      <c r="H612" s="11" t="inlineStr">
        <is>
          <t>Bagu</t>
        </is>
      </c>
      <c r="I612" s="24" t="n">
        <v>18.2605</v>
      </c>
      <c r="J612" s="24" t="n">
        <v>121.2802</v>
      </c>
      <c r="K612" s="23" t="inlineStr">
        <is>
          <t>R</t>
        </is>
      </c>
      <c r="L612" s="25" t="n">
        <v>2054</v>
      </c>
      <c r="M612" s="26" t="n">
        <v>3.9</v>
      </c>
      <c r="N612" s="25">
        <f>ROUND(L612/M612, 0)</f>
        <v/>
      </c>
      <c r="O612" s="25">
        <f>ROUND(N612*'Methodology &amp; Assumptions'!$B$7, 0)</f>
        <v/>
      </c>
      <c r="P612" s="23" t="inlineStr">
        <is>
          <t>Single Carrier (Band n50, 100MHz TDD)</t>
        </is>
      </c>
      <c r="Q612" s="27">
        <f>ROUNDUP(O612/'Methodology &amp; Assumptions'!$B$8, 0)</f>
        <v/>
      </c>
      <c r="R612" s="27" t="n">
        <v>1</v>
      </c>
      <c r="S612" s="26" t="n">
        <v>10.17</v>
      </c>
      <c r="T612" s="26" t="n">
        <v>9.19</v>
      </c>
      <c r="U612" s="11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26" t="n">
        <v>55.45</v>
      </c>
      <c r="W612" s="26" t="n">
        <v>80.64</v>
      </c>
      <c r="X612" s="26">
        <f>ROUND(('Methodology &amp; Assumptions'!$B$5*V612) + ('Methodology &amp; Assumptions'!$B$6*W612), 2)</f>
        <v/>
      </c>
      <c r="Y612" s="28" t="n">
        <v>8.300000000000001</v>
      </c>
      <c r="Z612" s="11" t="inlineStr">
        <is>
          <t>Priority Tier 2 (Balanced Opportunity)</t>
        </is>
      </c>
    </row>
    <row r="613">
      <c r="A613" s="23" t="n">
        <v>1</v>
      </c>
      <c r="B613" s="23" t="n">
        <v>609</v>
      </c>
      <c r="C613" s="23" t="n">
        <v>609</v>
      </c>
      <c r="D613" s="23" t="inlineStr">
        <is>
          <t>1380300014</t>
        </is>
      </c>
      <c r="E613" s="11" t="inlineStr">
        <is>
          <t>National Capital Region (NCR)</t>
        </is>
      </c>
      <c r="F613" s="11" t="inlineStr">
        <is>
          <t>Fourth District (Not a Province)</t>
        </is>
      </c>
      <c r="G613" s="11" t="inlineStr">
        <is>
          <t>City of Makati</t>
        </is>
      </c>
      <c r="H613" s="11" t="inlineStr">
        <is>
          <t>Olympia</t>
        </is>
      </c>
      <c r="I613" s="24" t="n">
        <v>14.574638</v>
      </c>
      <c r="J613" s="24" t="n">
        <v>121.021127</v>
      </c>
      <c r="K613" s="23" t="inlineStr">
        <is>
          <t>U</t>
        </is>
      </c>
      <c r="L613" s="25" t="n">
        <v>19035</v>
      </c>
      <c r="M613" s="26" t="n">
        <v>3.83</v>
      </c>
      <c r="N613" s="25">
        <f>ROUND(L613/M613, 0)</f>
        <v/>
      </c>
      <c r="O613" s="25">
        <f>ROUND(N613*'Methodology &amp; Assumptions'!$B$7, 0)</f>
        <v/>
      </c>
      <c r="P613" s="23" t="inlineStr">
        <is>
          <t>Single Carrier (Band n50, 100MHz TDD)</t>
        </is>
      </c>
      <c r="Q613" s="27">
        <f>ROUNDUP(O613/'Methodology &amp; Assumptions'!$B$8, 0)</f>
        <v/>
      </c>
      <c r="R613" s="27" t="n">
        <v>1</v>
      </c>
      <c r="S613" s="26" t="n">
        <v>1.22</v>
      </c>
      <c r="T613" s="26" t="n">
        <v>0.13</v>
      </c>
      <c r="U613" s="11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26" t="n">
        <v>67.2</v>
      </c>
      <c r="W613" s="26" t="n">
        <v>68.88</v>
      </c>
      <c r="X613" s="26">
        <f>ROUND(('Methodology &amp; Assumptions'!$B$5*V613) + ('Methodology &amp; Assumptions'!$B$6*W613), 2)</f>
        <v/>
      </c>
      <c r="Y613" s="28" t="n">
        <v>10.9</v>
      </c>
      <c r="Z613" s="11" t="inlineStr">
        <is>
          <t>Priority Tier 2 (Balanced Opportunity)</t>
        </is>
      </c>
    </row>
    <row r="614">
      <c r="A614" s="23" t="n">
        <v>1</v>
      </c>
      <c r="B614" s="23" t="n">
        <v>610</v>
      </c>
      <c r="C614" s="23" t="n">
        <v>610</v>
      </c>
      <c r="D614" s="23" t="inlineStr">
        <is>
          <t>1380900014</t>
        </is>
      </c>
      <c r="E614" s="11" t="inlineStr">
        <is>
          <t>National Capital Region (NCR)</t>
        </is>
      </c>
      <c r="F614" s="11" t="inlineStr">
        <is>
          <t>Third District (Not a Province)</t>
        </is>
      </c>
      <c r="G614" s="11" t="inlineStr">
        <is>
          <t>City of Navotas</t>
        </is>
      </c>
      <c r="H614" s="11" t="inlineStr">
        <is>
          <t>Tanza 1</t>
        </is>
      </c>
      <c r="I614" s="24" t="n">
        <v>14.676566</v>
      </c>
      <c r="J614" s="24" t="n">
        <v>120.936096</v>
      </c>
      <c r="K614" s="23" t="inlineStr">
        <is>
          <t>U</t>
        </is>
      </c>
      <c r="L614" s="25" t="n">
        <v>15795</v>
      </c>
      <c r="M614" s="26" t="n">
        <v>3.3</v>
      </c>
      <c r="N614" s="25">
        <f>ROUND(L614/M614, 0)</f>
        <v/>
      </c>
      <c r="O614" s="25">
        <f>ROUND(N614*'Methodology &amp; Assumptions'!$B$7, 0)</f>
        <v/>
      </c>
      <c r="P614" s="23" t="inlineStr">
        <is>
          <t>Single Carrier (Band n50, 100MHz TDD)</t>
        </is>
      </c>
      <c r="Q614" s="27">
        <f>ROUNDUP(O614/'Methodology &amp; Assumptions'!$B$8, 0)</f>
        <v/>
      </c>
      <c r="R614" s="27" t="n">
        <v>1</v>
      </c>
      <c r="S614" s="26" t="n">
        <v>0.64</v>
      </c>
      <c r="T614" s="26" t="n">
        <v>0.63</v>
      </c>
      <c r="U614" s="11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26" t="n">
        <v>68.76000000000001</v>
      </c>
      <c r="W614" s="26" t="n">
        <v>67.3</v>
      </c>
      <c r="X614" s="26">
        <f>ROUND(('Methodology &amp; Assumptions'!$B$5*V614) + ('Methodology &amp; Assumptions'!$B$6*W614), 2)</f>
        <v/>
      </c>
      <c r="Y614" s="28" t="n">
        <v>10.9</v>
      </c>
      <c r="Z614" s="11" t="inlineStr">
        <is>
          <t>Priority Tier 2 (Balanced Opportunity)</t>
        </is>
      </c>
    </row>
    <row r="615">
      <c r="A615" s="23" t="n">
        <v>1</v>
      </c>
      <c r="B615" s="23" t="n">
        <v>611</v>
      </c>
      <c r="C615" s="23" t="n">
        <v>611</v>
      </c>
      <c r="D615" s="23" t="inlineStr">
        <is>
          <t>0201511041</t>
        </is>
      </c>
      <c r="E615" s="11" t="inlineStr">
        <is>
          <t>Region II (Cagayan Valley)</t>
        </is>
      </c>
      <c r="F615" s="11" t="inlineStr">
        <is>
          <t>Cagayan</t>
        </is>
      </c>
      <c r="G615" s="11" t="inlineStr">
        <is>
          <t>Claveria</t>
        </is>
      </c>
      <c r="H615" s="11" t="inlineStr">
        <is>
          <t>Taggat Sur</t>
        </is>
      </c>
      <c r="I615" s="24" t="n">
        <v>18.3617</v>
      </c>
      <c r="J615" s="24" t="n">
        <v>121.0329</v>
      </c>
      <c r="K615" s="23" t="inlineStr">
        <is>
          <t>R</t>
        </is>
      </c>
      <c r="L615" s="25" t="n">
        <v>2210</v>
      </c>
      <c r="M615" s="26" t="n">
        <v>3.9</v>
      </c>
      <c r="N615" s="25">
        <f>ROUND(L615/M615, 0)</f>
        <v/>
      </c>
      <c r="O615" s="25">
        <f>ROUND(N615*'Methodology &amp; Assumptions'!$B$7, 0)</f>
        <v/>
      </c>
      <c r="P615" s="23" t="inlineStr">
        <is>
          <t>Single Carrier (Band n50, 100MHz TDD)</t>
        </is>
      </c>
      <c r="Q615" s="27">
        <f>ROUNDUP(O615/'Methodology &amp; Assumptions'!$B$8, 0)</f>
        <v/>
      </c>
      <c r="R615" s="27" t="n">
        <v>1</v>
      </c>
      <c r="S615" s="26" t="n">
        <v>22.62</v>
      </c>
      <c r="T615" s="26" t="n">
        <v>20.56</v>
      </c>
      <c r="U615" s="11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26" t="n">
        <v>52.19</v>
      </c>
      <c r="W615" s="26" t="n">
        <v>83.84999999999999</v>
      </c>
      <c r="X615" s="26">
        <f>ROUND(('Methodology &amp; Assumptions'!$B$5*V615) + ('Methodology &amp; Assumptions'!$B$6*W615), 2)</f>
        <v/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1</v>
      </c>
      <c r="B616" s="23" t="n">
        <v>612</v>
      </c>
      <c r="C616" s="23" t="n">
        <v>612</v>
      </c>
      <c r="D616" s="23" t="inlineStr">
        <is>
          <t>1381300086</t>
        </is>
      </c>
      <c r="E616" s="11" t="inlineStr">
        <is>
          <t>National Capital Region (NCR)</t>
        </is>
      </c>
      <c r="F616" s="11" t="inlineStr">
        <is>
          <t>Second District (Not a Province)</t>
        </is>
      </c>
      <c r="G616" s="11" t="inlineStr">
        <is>
          <t>Quezon City</t>
        </is>
      </c>
      <c r="H616" s="11" t="inlineStr">
        <is>
          <t>Quirino 2-B</t>
        </is>
      </c>
      <c r="I616" s="24" t="n">
        <v>14.63262</v>
      </c>
      <c r="J616" s="24" t="n">
        <v>121.0634</v>
      </c>
      <c r="K616" s="23" t="inlineStr">
        <is>
          <t>U</t>
        </is>
      </c>
      <c r="L616" s="25" t="n">
        <v>4212</v>
      </c>
      <c r="M616" s="26" t="n">
        <v>3.39</v>
      </c>
      <c r="N616" s="25">
        <f>ROUND(L616/M616, 0)</f>
        <v/>
      </c>
      <c r="O616" s="25">
        <f>ROUND(N616*'Methodology &amp; Assumptions'!$B$7, 0)</f>
        <v/>
      </c>
      <c r="P616" s="23" t="inlineStr">
        <is>
          <t>Single Carrier (Band n50, 100MHz TDD)</t>
        </is>
      </c>
      <c r="Q616" s="27">
        <f>ROUNDUP(O616/'Methodology &amp; Assumptions'!$B$8, 0)</f>
        <v/>
      </c>
      <c r="R616" s="27" t="n">
        <v>1</v>
      </c>
      <c r="S616" s="26" t="n">
        <v>0.92</v>
      </c>
      <c r="T616" s="26" t="n">
        <v>0.37</v>
      </c>
      <c r="U616" s="11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26" t="n">
        <v>68.79000000000001</v>
      </c>
      <c r="W616" s="26" t="n">
        <v>67.23</v>
      </c>
      <c r="X616" s="26">
        <f>ROUND(('Methodology &amp; Assumptions'!$B$5*V616) + ('Methodology &amp; Assumptions'!$B$6*W616), 2)</f>
        <v/>
      </c>
      <c r="Y616" s="28" t="n">
        <v>10.9</v>
      </c>
      <c r="Z616" s="11" t="inlineStr">
        <is>
          <t>Priority Tier 2 (Balanced Opportunity)</t>
        </is>
      </c>
    </row>
    <row r="617">
      <c r="A617" s="23" t="n">
        <v>1</v>
      </c>
      <c r="B617" s="23" t="n">
        <v>613</v>
      </c>
      <c r="C617" s="23" t="n">
        <v>613</v>
      </c>
      <c r="D617" s="23" t="inlineStr">
        <is>
          <t>0402123023</t>
        </is>
      </c>
      <c r="E617" s="11" t="inlineStr">
        <is>
          <t>Region IV-A (CALABARZON)</t>
        </is>
      </c>
      <c r="F617" s="11" t="inlineStr">
        <is>
          <t>Cavite</t>
        </is>
      </c>
      <c r="G617" s="11" t="inlineStr">
        <is>
          <t>Gen. Mariano Alvarez</t>
        </is>
      </c>
      <c r="H617" s="11" t="inlineStr">
        <is>
          <t>Ramon Cruz</t>
        </is>
      </c>
      <c r="I617" s="24" t="n">
        <v>14.291704</v>
      </c>
      <c r="J617" s="24" t="n">
        <v>121.000812</v>
      </c>
      <c r="K617" s="23" t="inlineStr">
        <is>
          <t>U</t>
        </is>
      </c>
      <c r="L617" s="25" t="n">
        <v>8083</v>
      </c>
      <c r="M617" s="26" t="n">
        <v>3.4</v>
      </c>
      <c r="N617" s="25">
        <f>ROUND(L617/M617, 0)</f>
        <v/>
      </c>
      <c r="O617" s="25">
        <f>ROUND(N617*'Methodology &amp; Assumptions'!$B$7, 0)</f>
        <v/>
      </c>
      <c r="P617" s="23" t="inlineStr">
        <is>
          <t>Single Carrier (Band n50, 100MHz TDD)</t>
        </is>
      </c>
      <c r="Q617" s="27">
        <f>ROUNDUP(O617/'Methodology &amp; Assumptions'!$B$8, 0)</f>
        <v/>
      </c>
      <c r="R617" s="27" t="n">
        <v>1</v>
      </c>
      <c r="S617" s="26" t="n">
        <v>1.04</v>
      </c>
      <c r="T617" s="26" t="n">
        <v>4.21</v>
      </c>
      <c r="U617" s="11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26" t="n">
        <v>74</v>
      </c>
      <c r="W617" s="26" t="n">
        <v>61.99</v>
      </c>
      <c r="X617" s="26">
        <f>ROUND(('Methodology &amp; Assumptions'!$B$5*V617) + ('Methodology &amp; Assumptions'!$B$6*W617), 2)</f>
        <v/>
      </c>
      <c r="Y617" s="28" t="n">
        <v>7.2</v>
      </c>
      <c r="Z617" s="11" t="inlineStr">
        <is>
          <t>Priority Tier 2 (Balanced Opportunity)</t>
        </is>
      </c>
    </row>
    <row r="618">
      <c r="A618" s="23" t="n">
        <v>1</v>
      </c>
      <c r="B618" s="23" t="n">
        <v>614</v>
      </c>
      <c r="C618" s="23" t="n">
        <v>614</v>
      </c>
      <c r="D618" s="23" t="inlineStr">
        <is>
          <t>1381300106</t>
        </is>
      </c>
      <c r="E618" s="11" t="inlineStr">
        <is>
          <t>National Capital Region (NCR)</t>
        </is>
      </c>
      <c r="F618" s="11" t="inlineStr">
        <is>
          <t>Second District (Not a Province)</t>
        </is>
      </c>
      <c r="G618" s="11" t="inlineStr">
        <is>
          <t>Quezon City</t>
        </is>
      </c>
      <c r="H618" s="11" t="inlineStr">
        <is>
          <t>Santa Monica</t>
        </is>
      </c>
      <c r="I618" s="24" t="n">
        <v>14.72541</v>
      </c>
      <c r="J618" s="24" t="n">
        <v>121.0432</v>
      </c>
      <c r="K618" s="23" t="inlineStr">
        <is>
          <t>U</t>
        </is>
      </c>
      <c r="L618" s="25" t="n">
        <v>52203</v>
      </c>
      <c r="M618" s="26" t="n">
        <v>3.94</v>
      </c>
      <c r="N618" s="25">
        <f>ROUND(L618/M618, 0)</f>
        <v/>
      </c>
      <c r="O618" s="25">
        <f>ROUND(N618*'Methodology &amp; Assumptions'!$B$7, 0)</f>
        <v/>
      </c>
      <c r="P618" s="23" t="inlineStr">
        <is>
          <t>Single Carrier (Band n50, 100MHz TDD)</t>
        </is>
      </c>
      <c r="Q618" s="27">
        <f>ROUNDUP(O618/'Methodology &amp; Assumptions'!$B$8, 0)</f>
        <v/>
      </c>
      <c r="R618" s="27" t="n">
        <v>1</v>
      </c>
      <c r="S618" s="26" t="n">
        <v>0.45</v>
      </c>
      <c r="T618" s="26" t="n">
        <v>0.23</v>
      </c>
      <c r="U618" s="11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26" t="n">
        <v>66.40000000000001</v>
      </c>
      <c r="W618" s="26" t="n">
        <v>69.58</v>
      </c>
      <c r="X618" s="26">
        <f>ROUND(('Methodology &amp; Assumptions'!$B$5*V618) + ('Methodology &amp; Assumptions'!$B$6*W618), 2)</f>
        <v/>
      </c>
      <c r="Y618" s="28" t="n">
        <v>10.9</v>
      </c>
      <c r="Z618" s="11" t="inlineStr">
        <is>
          <t>Priority Tier 2 (Balanced Opportunity)</t>
        </is>
      </c>
    </row>
    <row r="619">
      <c r="A619" s="23" t="n">
        <v>1</v>
      </c>
      <c r="B619" s="23" t="n">
        <v>615</v>
      </c>
      <c r="C619" s="23" t="n">
        <v>615</v>
      </c>
      <c r="D619" s="23" t="inlineStr">
        <is>
          <t>1380605045</t>
        </is>
      </c>
      <c r="E619" s="11" t="inlineStr">
        <is>
          <t>National Capital Region (NCR)</t>
        </is>
      </c>
      <c r="F619" s="11" t="inlineStr">
        <is>
          <t>First District (Not a Province)</t>
        </is>
      </c>
      <c r="G619" s="11" t="inlineStr">
        <is>
          <t>City of Manila</t>
        </is>
      </c>
      <c r="H619" s="11" t="inlineStr">
        <is>
          <t>Barangay 343</t>
        </is>
      </c>
      <c r="I619" s="24" t="n">
        <v>14.61567</v>
      </c>
      <c r="J619" s="24" t="n">
        <v>120.988289</v>
      </c>
      <c r="K619" s="23" t="inlineStr">
        <is>
          <t>U</t>
        </is>
      </c>
      <c r="L619" s="25" t="n">
        <v>3037</v>
      </c>
      <c r="M619" s="26" t="n">
        <v>3.94</v>
      </c>
      <c r="N619" s="25">
        <f>ROUND(L619/M619, 0)</f>
        <v/>
      </c>
      <c r="O619" s="25">
        <f>ROUND(N619*'Methodology &amp; Assumptions'!$B$7, 0)</f>
        <v/>
      </c>
      <c r="P619" s="23" t="inlineStr">
        <is>
          <t>Single Carrier (Band n50, 100MHz TDD)</t>
        </is>
      </c>
      <c r="Q619" s="27">
        <f>ROUNDUP(O619/'Methodology &amp; Assumptions'!$B$8, 0)</f>
        <v/>
      </c>
      <c r="R619" s="27" t="n">
        <v>1</v>
      </c>
      <c r="S619" s="26" t="n">
        <v>0.59</v>
      </c>
      <c r="T619" s="26" t="n">
        <v>0.47</v>
      </c>
      <c r="U619" s="11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26" t="n">
        <v>65.84</v>
      </c>
      <c r="W619" s="26" t="n">
        <v>70.15000000000001</v>
      </c>
      <c r="X619" s="26">
        <f>ROUND(('Methodology &amp; Assumptions'!$B$5*V619) + ('Methodology &amp; Assumptions'!$B$6*W619), 2)</f>
        <v/>
      </c>
      <c r="Y619" s="28" t="n">
        <v>10.9</v>
      </c>
      <c r="Z619" s="11" t="inlineStr">
        <is>
          <t>Priority Tier 2 (Balanced Opportunity)</t>
        </is>
      </c>
    </row>
    <row r="620">
      <c r="A620" s="23" t="n">
        <v>1</v>
      </c>
      <c r="B620" s="23" t="n">
        <v>616</v>
      </c>
      <c r="C620" s="23" t="n">
        <v>616</v>
      </c>
      <c r="D620" s="23" t="inlineStr">
        <is>
          <t>1380700006</t>
        </is>
      </c>
      <c r="E620" s="11" t="inlineStr">
        <is>
          <t>National Capital Region (NCR)</t>
        </is>
      </c>
      <c r="F620" s="11" t="inlineStr">
        <is>
          <t>Second District (Not a Province)</t>
        </is>
      </c>
      <c r="G620" s="11" t="inlineStr">
        <is>
          <t>City of Marikina</t>
        </is>
      </c>
      <c r="H620" s="11" t="inlineStr">
        <is>
          <t>Nangka</t>
        </is>
      </c>
      <c r="I620" s="24" t="n">
        <v>14.673358</v>
      </c>
      <c r="J620" s="24" t="n">
        <v>121.10869</v>
      </c>
      <c r="K620" s="23" t="inlineStr">
        <is>
          <t>U</t>
        </is>
      </c>
      <c r="L620" s="25" t="n">
        <v>43661</v>
      </c>
      <c r="M620" s="26" t="n">
        <v>3.99</v>
      </c>
      <c r="N620" s="25">
        <f>ROUND(L620/M620, 0)</f>
        <v/>
      </c>
      <c r="O620" s="25">
        <f>ROUND(N620*'Methodology &amp; Assumptions'!$B$7, 0)</f>
        <v/>
      </c>
      <c r="P620" s="23" t="inlineStr">
        <is>
          <t>Single Carrier (Band n50, 100MHz TDD)</t>
        </is>
      </c>
      <c r="Q620" s="27">
        <f>ROUNDUP(O620/'Methodology &amp; Assumptions'!$B$8, 0)</f>
        <v/>
      </c>
      <c r="R620" s="27" t="n">
        <v>1</v>
      </c>
      <c r="S620" s="26" t="n">
        <v>1.45</v>
      </c>
      <c r="T620" s="26" t="n">
        <v>0.25</v>
      </c>
      <c r="U620" s="11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26" t="n">
        <v>64.53</v>
      </c>
      <c r="W620" s="26" t="n">
        <v>71.44</v>
      </c>
      <c r="X620" s="26">
        <f>ROUND(('Methodology &amp; Assumptions'!$B$5*V620) + ('Methodology &amp; Assumptions'!$B$6*W620), 2)</f>
        <v/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1</v>
      </c>
      <c r="B621" s="23" t="n">
        <v>617</v>
      </c>
      <c r="C621" s="23" t="n">
        <v>617</v>
      </c>
      <c r="D621" s="23" t="inlineStr">
        <is>
          <t>1380606026</t>
        </is>
      </c>
      <c r="E621" s="11" t="inlineStr">
        <is>
          <t>National Capital Region (NCR)</t>
        </is>
      </c>
      <c r="F621" s="11" t="inlineStr">
        <is>
          <t>First District (Not a Province)</t>
        </is>
      </c>
      <c r="G621" s="11" t="inlineStr">
        <is>
          <t>City of Manila</t>
        </is>
      </c>
      <c r="H621" s="11" t="inlineStr">
        <is>
          <t>Barangay 420</t>
        </is>
      </c>
      <c r="I621" s="24" t="n">
        <v>14.601869</v>
      </c>
      <c r="J621" s="24" t="n">
        <v>121.000038</v>
      </c>
      <c r="K621" s="23" t="inlineStr">
        <is>
          <t>U</t>
        </is>
      </c>
      <c r="L621" s="25" t="n">
        <v>2890</v>
      </c>
      <c r="M621" s="26" t="n">
        <v>3.84</v>
      </c>
      <c r="N621" s="25">
        <f>ROUND(L621/M621, 0)</f>
        <v/>
      </c>
      <c r="O621" s="25">
        <f>ROUND(N621*'Methodology &amp; Assumptions'!$B$7, 0)</f>
        <v/>
      </c>
      <c r="P621" s="23" t="inlineStr">
        <is>
          <t>Single Carrier (Band n50, 100MHz TDD)</t>
        </is>
      </c>
      <c r="Q621" s="27">
        <f>ROUNDUP(O621/'Methodology &amp; Assumptions'!$B$8, 0)</f>
        <v/>
      </c>
      <c r="R621" s="27" t="n">
        <v>1</v>
      </c>
      <c r="S621" s="26" t="n">
        <v>0.48</v>
      </c>
      <c r="T621" s="26" t="n">
        <v>0.09</v>
      </c>
      <c r="U621" s="11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26" t="n">
        <v>65.3</v>
      </c>
      <c r="W621" s="26" t="n">
        <v>70.66</v>
      </c>
      <c r="X621" s="26">
        <f>ROUND(('Methodology &amp; Assumptions'!$B$5*V621) + ('Methodology &amp; Assumptions'!$B$6*W621), 2)</f>
        <v/>
      </c>
      <c r="Y621" s="28" t="n">
        <v>10.9</v>
      </c>
      <c r="Z621" s="11" t="inlineStr">
        <is>
          <t>Priority Tier 2 (Balanced Opportunity)</t>
        </is>
      </c>
    </row>
    <row r="622">
      <c r="A622" s="23" t="n">
        <v>1</v>
      </c>
      <c r="B622" s="23" t="n">
        <v>618</v>
      </c>
      <c r="C622" s="23" t="n">
        <v>618</v>
      </c>
      <c r="D622" s="23" t="inlineStr">
        <is>
          <t>1380607004</t>
        </is>
      </c>
      <c r="E622" s="11" t="inlineStr">
        <is>
          <t>National Capital Region (NCR)</t>
        </is>
      </c>
      <c r="F622" s="11" t="inlineStr">
        <is>
          <t>First District (Not a Province)</t>
        </is>
      </c>
      <c r="G622" s="11" t="inlineStr">
        <is>
          <t>City of Manila</t>
        </is>
      </c>
      <c r="H622" s="11" t="inlineStr">
        <is>
          <t>Barangay 640</t>
        </is>
      </c>
      <c r="I622" s="24" t="n">
        <v>14.598099</v>
      </c>
      <c r="J622" s="24" t="n">
        <v>120.997529</v>
      </c>
      <c r="K622" s="23" t="inlineStr">
        <is>
          <t>U</t>
        </is>
      </c>
      <c r="L622" s="25" t="n">
        <v>2179</v>
      </c>
      <c r="M622" s="26" t="n">
        <v>2.96</v>
      </c>
      <c r="N622" s="25">
        <f>ROUND(L622/M622, 0)</f>
        <v/>
      </c>
      <c r="O622" s="25">
        <f>ROUND(N622*'Methodology &amp; Assumptions'!$B$7, 0)</f>
        <v/>
      </c>
      <c r="P622" s="23" t="inlineStr">
        <is>
          <t>Single Carrier (Band n50, 100MHz TDD)</t>
        </is>
      </c>
      <c r="Q622" s="27">
        <f>ROUNDUP(O622/'Methodology &amp; Assumptions'!$B$8, 0)</f>
        <v/>
      </c>
      <c r="R622" s="27" t="n">
        <v>1</v>
      </c>
      <c r="S622" s="26" t="n">
        <v>0.87</v>
      </c>
      <c r="T622" s="26" t="n">
        <v>0.31</v>
      </c>
      <c r="U622" s="11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26" t="n">
        <v>64.65000000000001</v>
      </c>
      <c r="W622" s="26" t="n">
        <v>71.31</v>
      </c>
      <c r="X622" s="26">
        <f>ROUND(('Methodology &amp; Assumptions'!$B$5*V622) + ('Methodology &amp; Assumptions'!$B$6*W622), 2)</f>
        <v/>
      </c>
      <c r="Y622" s="28" t="n">
        <v>10.9</v>
      </c>
      <c r="Z622" s="11" t="inlineStr">
        <is>
          <t>Priority Tier 2 (Balanced Opportunity)</t>
        </is>
      </c>
    </row>
    <row r="623">
      <c r="A623" s="23" t="n">
        <v>1</v>
      </c>
      <c r="B623" s="23" t="n">
        <v>619</v>
      </c>
      <c r="C623" s="23" t="n">
        <v>619</v>
      </c>
      <c r="D623" s="23" t="inlineStr">
        <is>
          <t>1380400011</t>
        </is>
      </c>
      <c r="E623" s="11" t="inlineStr">
        <is>
          <t>National Capital Region (NCR)</t>
        </is>
      </c>
      <c r="F623" s="11" t="inlineStr">
        <is>
          <t>Third District (Not a Province)</t>
        </is>
      </c>
      <c r="G623" s="11" t="inlineStr">
        <is>
          <t>City of Malabon</t>
        </is>
      </c>
      <c r="H623" s="11" t="inlineStr">
        <is>
          <t>Maysilo</t>
        </is>
      </c>
      <c r="I623" s="24" t="n">
        <v>14.679957</v>
      </c>
      <c r="J623" s="24" t="n">
        <v>120.962635</v>
      </c>
      <c r="K623" s="23" t="inlineStr">
        <is>
          <t>U</t>
        </is>
      </c>
      <c r="L623" s="25" t="n">
        <v>10481</v>
      </c>
      <c r="M623" s="26" t="n">
        <v>3.49</v>
      </c>
      <c r="N623" s="25">
        <f>ROUND(L623/M623, 0)</f>
        <v/>
      </c>
      <c r="O623" s="25">
        <f>ROUND(N623*'Methodology &amp; Assumptions'!$B$7, 0)</f>
        <v/>
      </c>
      <c r="P623" s="23" t="inlineStr">
        <is>
          <t>Single Carrier (Band n50, 100MHz TDD)</t>
        </is>
      </c>
      <c r="Q623" s="27">
        <f>ROUNDUP(O623/'Methodology &amp; Assumptions'!$B$8, 0)</f>
        <v/>
      </c>
      <c r="R623" s="27" t="n">
        <v>1</v>
      </c>
      <c r="S623" s="26" t="n">
        <v>0.36</v>
      </c>
      <c r="T623" s="26" t="n">
        <v>0.29</v>
      </c>
      <c r="U623" s="11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26" t="n">
        <v>69.09</v>
      </c>
      <c r="W623" s="26" t="n">
        <v>66.84999999999999</v>
      </c>
      <c r="X623" s="26">
        <f>ROUND(('Methodology &amp; Assumptions'!$B$5*V623) + ('Methodology &amp; Assumptions'!$B$6*W623), 2)</f>
        <v/>
      </c>
      <c r="Y623" s="28" t="n">
        <v>10.9</v>
      </c>
      <c r="Z623" s="11" t="inlineStr">
        <is>
          <t>Priority Tier 2 (Balanced Opportunity)</t>
        </is>
      </c>
    </row>
    <row r="624">
      <c r="A624" s="23" t="n">
        <v>1</v>
      </c>
      <c r="B624" s="23" t="n">
        <v>620</v>
      </c>
      <c r="C624" s="23" t="n">
        <v>620</v>
      </c>
      <c r="D624" s="23" t="inlineStr">
        <is>
          <t>1004326013</t>
        </is>
      </c>
      <c r="E624" s="11" t="inlineStr">
        <is>
          <t>Region X (Northern Mindanao)</t>
        </is>
      </c>
      <c r="F624" s="11" t="inlineStr">
        <is>
          <t>Misamis Oriental</t>
        </is>
      </c>
      <c r="G624" s="11" t="inlineStr">
        <is>
          <t>Villanueva</t>
        </is>
      </c>
      <c r="H624" s="11" t="inlineStr">
        <is>
          <t>Poblacion 3</t>
        </is>
      </c>
      <c r="I624" s="24" t="n">
        <v>8.584628</v>
      </c>
      <c r="J624" s="24" t="n">
        <v>124.768801</v>
      </c>
      <c r="K624" s="23" t="inlineStr">
        <is>
          <t>R</t>
        </is>
      </c>
      <c r="L624" s="25" t="n">
        <v>4299</v>
      </c>
      <c r="M624" s="26" t="n">
        <v>3.9</v>
      </c>
      <c r="N624" s="25">
        <f>ROUND(L624/M624, 0)</f>
        <v/>
      </c>
      <c r="O624" s="25">
        <f>ROUND(N624*'Methodology &amp; Assumptions'!$B$7, 0)</f>
        <v/>
      </c>
      <c r="P624" s="23" t="inlineStr">
        <is>
          <t>Single Carrier (Band n50, 100MHz TDD)</t>
        </is>
      </c>
      <c r="Q624" s="27">
        <f>ROUNDUP(O624/'Methodology &amp; Assumptions'!$B$8, 0)</f>
        <v/>
      </c>
      <c r="R624" s="27" t="n">
        <v>1</v>
      </c>
      <c r="S624" s="26" t="n">
        <v>1.21</v>
      </c>
      <c r="T624" s="26" t="n">
        <v>0.21</v>
      </c>
      <c r="U624" s="11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26" t="n">
        <v>85.67</v>
      </c>
      <c r="W624" s="26" t="n">
        <v>50.26</v>
      </c>
      <c r="X624" s="26">
        <f>ROUND(('Methodology &amp; Assumptions'!$B$5*V624) + ('Methodology &amp; Assumptions'!$B$6*W624), 2)</f>
        <v/>
      </c>
      <c r="Y624" s="28" t="n">
        <v>17.4</v>
      </c>
      <c r="Z624" s="11" t="inlineStr">
        <is>
          <t>Priority Tier 2 (Balanced Opportunity)</t>
        </is>
      </c>
    </row>
    <row r="625">
      <c r="A625" s="23" t="n">
        <v>1</v>
      </c>
      <c r="B625" s="23" t="n">
        <v>621</v>
      </c>
      <c r="C625" s="23" t="n">
        <v>621</v>
      </c>
      <c r="D625" s="23" t="inlineStr">
        <is>
          <t>0301412004</t>
        </is>
      </c>
      <c r="E625" s="11" t="inlineStr">
        <is>
          <t>Region III (Central Luzon)</t>
        </is>
      </c>
      <c r="F625" s="11" t="inlineStr">
        <is>
          <t>Bulacan</t>
        </is>
      </c>
      <c r="G625" s="11" t="inlineStr">
        <is>
          <t>City of Meycauayan</t>
        </is>
      </c>
      <c r="H625" s="11" t="inlineStr">
        <is>
          <t>Banga</t>
        </is>
      </c>
      <c r="I625" s="24" t="n">
        <v>14.727856</v>
      </c>
      <c r="J625" s="24" t="n">
        <v>120.961129</v>
      </c>
      <c r="K625" s="23" t="inlineStr">
        <is>
          <t>U</t>
        </is>
      </c>
      <c r="L625" s="25" t="n">
        <v>2638</v>
      </c>
      <c r="M625" s="26" t="n">
        <v>3.5</v>
      </c>
      <c r="N625" s="25">
        <f>ROUND(L625/M625, 0)</f>
        <v/>
      </c>
      <c r="O625" s="25">
        <f>ROUND(N625*'Methodology &amp; Assumptions'!$B$7, 0)</f>
        <v/>
      </c>
      <c r="P625" s="23" t="inlineStr">
        <is>
          <t>Single Carrier (Band n50, 100MHz TDD)</t>
        </is>
      </c>
      <c r="Q625" s="27">
        <f>ROUNDUP(O625/'Methodology &amp; Assumptions'!$B$8, 0)</f>
        <v/>
      </c>
      <c r="R625" s="27" t="n">
        <v>1</v>
      </c>
      <c r="S625" s="26" t="n">
        <v>1.41</v>
      </c>
      <c r="T625" s="26" t="n">
        <v>0.02</v>
      </c>
      <c r="U625" s="11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26" t="n">
        <v>74.16</v>
      </c>
      <c r="W625" s="26" t="n">
        <v>61.75</v>
      </c>
      <c r="X625" s="26">
        <f>ROUND(('Methodology &amp; Assumptions'!$B$5*V625) + ('Methodology &amp; Assumptions'!$B$6*W625), 2)</f>
        <v/>
      </c>
      <c r="Y625" s="28" t="n">
        <v>8.300000000000001</v>
      </c>
      <c r="Z625" s="11" t="inlineStr">
        <is>
          <t>Priority Tier 2 (Balanced Opportunity)</t>
        </is>
      </c>
    </row>
    <row r="626">
      <c r="A626" s="23" t="n">
        <v>1</v>
      </c>
      <c r="B626" s="23" t="n">
        <v>622</v>
      </c>
      <c r="C626" s="23" t="n">
        <v>622</v>
      </c>
      <c r="D626" s="23" t="inlineStr">
        <is>
          <t>0102817027</t>
        </is>
      </c>
      <c r="E626" s="11" t="inlineStr">
        <is>
          <t>Region I (Ilocos Region)</t>
        </is>
      </c>
      <c r="F626" s="11" t="inlineStr">
        <is>
          <t>Ilocos Norte</t>
        </is>
      </c>
      <c r="G626" s="11" t="inlineStr">
        <is>
          <t>Pasuquin</t>
        </is>
      </c>
      <c r="H626" s="11" t="inlineStr">
        <is>
          <t>Santa Catalina</t>
        </is>
      </c>
      <c r="I626" s="24" t="n">
        <v>18.433937</v>
      </c>
      <c r="J626" s="24" t="n">
        <v>120.614237</v>
      </c>
      <c r="K626" s="23" t="inlineStr">
        <is>
          <t>R</t>
        </is>
      </c>
      <c r="L626" s="25" t="n">
        <v>860</v>
      </c>
      <c r="M626" s="26" t="n">
        <v>3.7</v>
      </c>
      <c r="N626" s="25">
        <f>ROUND(L626/M626, 0)</f>
        <v/>
      </c>
      <c r="O626" s="25">
        <f>ROUND(N626*'Methodology &amp; Assumptions'!$B$7, 0)</f>
        <v/>
      </c>
      <c r="P626" s="23" t="inlineStr">
        <is>
          <t>Single Carrier (Band n50, 100MHz TDD)</t>
        </is>
      </c>
      <c r="Q626" s="27">
        <f>ROUNDUP(O626/'Methodology &amp; Assumptions'!$B$8, 0)</f>
        <v/>
      </c>
      <c r="R626" s="27" t="n">
        <v>1</v>
      </c>
      <c r="S626" s="26" t="n">
        <v>4.49</v>
      </c>
      <c r="T626" s="26" t="n">
        <v>2.56</v>
      </c>
      <c r="U626" s="11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26" t="n">
        <v>52.53</v>
      </c>
      <c r="W626" s="26" t="n">
        <v>83.38</v>
      </c>
      <c r="X626" s="26">
        <f>ROUND(('Methodology &amp; Assumptions'!$B$5*V626) + ('Methodology &amp; Assumptions'!$B$6*W626), 2)</f>
        <v/>
      </c>
      <c r="Y626" s="28" t="n">
        <v>8.300000000000001</v>
      </c>
      <c r="Z626" s="11" t="inlineStr">
        <is>
          <t>Priority Tier 2 (Balanced Opportunity)</t>
        </is>
      </c>
    </row>
    <row r="627">
      <c r="A627" s="23" t="n">
        <v>1</v>
      </c>
      <c r="B627" s="23" t="n">
        <v>623</v>
      </c>
      <c r="C627" s="23" t="n">
        <v>623</v>
      </c>
      <c r="D627" s="23" t="inlineStr">
        <is>
          <t>1108602033</t>
        </is>
      </c>
      <c r="E627" s="11" t="inlineStr">
        <is>
          <t>Region XI (Davao Region)</t>
        </is>
      </c>
      <c r="F627" s="11" t="inlineStr">
        <is>
          <t>Davao Occidental</t>
        </is>
      </c>
      <c r="G627" s="11" t="inlineStr">
        <is>
          <t>Jose Abad Santos</t>
        </is>
      </c>
      <c r="H627" s="11" t="inlineStr">
        <is>
          <t>Sugal</t>
        </is>
      </c>
      <c r="I627" s="24" t="n">
        <v>5.678628</v>
      </c>
      <c r="J627" s="24" t="n">
        <v>125.439841</v>
      </c>
      <c r="K627" s="23" t="inlineStr">
        <is>
          <t>R</t>
        </is>
      </c>
      <c r="L627" s="25" t="n">
        <v>3173</v>
      </c>
      <c r="M627" s="26" t="n">
        <v>3.6</v>
      </c>
      <c r="N627" s="25">
        <f>ROUND(L627/M627, 0)</f>
        <v/>
      </c>
      <c r="O627" s="25">
        <f>ROUND(N627*'Methodology &amp; Assumptions'!$B$7, 0)</f>
        <v/>
      </c>
      <c r="P627" s="23" t="inlineStr">
        <is>
          <t>Single Carrier (Band n50, 100MHz TDD)</t>
        </is>
      </c>
      <c r="Q627" s="27">
        <f>ROUNDUP(O627/'Methodology &amp; Assumptions'!$B$8, 0)</f>
        <v/>
      </c>
      <c r="R627" s="27" t="n">
        <v>1</v>
      </c>
      <c r="S627" s="26" t="n">
        <v>50.67</v>
      </c>
      <c r="T627" s="26" t="n">
        <v>56.4</v>
      </c>
      <c r="U627" s="11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26" t="n">
        <v>61.82</v>
      </c>
      <c r="W627" s="26" t="n">
        <v>74.09</v>
      </c>
      <c r="X627" s="26">
        <f>ROUND(('Methodology &amp; Assumptions'!$B$5*V627) + ('Methodology &amp; Assumptions'!$B$6*W627), 2)</f>
        <v/>
      </c>
      <c r="Y627" s="28" t="n">
        <v>17.4</v>
      </c>
      <c r="Z627" s="11" t="inlineStr">
        <is>
          <t>Priority Tier 2 (Balanced Opportunity)</t>
        </is>
      </c>
    </row>
    <row r="628">
      <c r="A628" s="23" t="n">
        <v>1</v>
      </c>
      <c r="B628" s="23" t="n">
        <v>624</v>
      </c>
      <c r="C628" s="23" t="n">
        <v>624</v>
      </c>
      <c r="D628" s="23" t="inlineStr">
        <is>
          <t>0600402009</t>
        </is>
      </c>
      <c r="E628" s="11" t="inlineStr">
        <is>
          <t>Region VI (Western Visayas)</t>
        </is>
      </c>
      <c r="F628" s="11" t="inlineStr">
        <is>
          <t>Aklan</t>
        </is>
      </c>
      <c r="G628" s="11" t="inlineStr">
        <is>
          <t>Balete</t>
        </is>
      </c>
      <c r="H628" s="11" t="inlineStr">
        <is>
          <t>Morales</t>
        </is>
      </c>
      <c r="I628" s="24" t="n">
        <v>11.53019</v>
      </c>
      <c r="J628" s="24" t="n">
        <v>122.367428</v>
      </c>
      <c r="K628" s="23" t="inlineStr">
        <is>
          <t>R</t>
        </is>
      </c>
      <c r="L628" s="25" t="n">
        <v>3496</v>
      </c>
      <c r="M628" s="26" t="n">
        <v>3.9</v>
      </c>
      <c r="N628" s="25">
        <f>ROUND(L628/M628, 0)</f>
        <v/>
      </c>
      <c r="O628" s="25">
        <f>ROUND(N628*'Methodology &amp; Assumptions'!$B$7, 0)</f>
        <v/>
      </c>
      <c r="P628" s="23" t="inlineStr">
        <is>
          <t>Single Carrier (Band n50, 100MHz TDD)</t>
        </is>
      </c>
      <c r="Q628" s="27">
        <f>ROUNDUP(O628/'Methodology &amp; Assumptions'!$B$8, 0)</f>
        <v/>
      </c>
      <c r="R628" s="27" t="n">
        <v>1</v>
      </c>
      <c r="S628" s="26" t="n">
        <v>3.13</v>
      </c>
      <c r="T628" s="26" t="n">
        <v>3</v>
      </c>
      <c r="U628" s="11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26" t="n">
        <v>76.81</v>
      </c>
      <c r="W628" s="26" t="n">
        <v>59.08</v>
      </c>
      <c r="X628" s="26">
        <f>ROUND(('Methodology &amp; Assumptions'!$B$5*V628) + ('Methodology &amp; Assumptions'!$B$6*W628), 2)</f>
        <v/>
      </c>
      <c r="Y628" s="28" t="n">
        <v>23.7</v>
      </c>
      <c r="Z628" s="11" t="inlineStr">
        <is>
          <t>Priority Tier 2 (Balanced Opportunity)</t>
        </is>
      </c>
    </row>
    <row r="629">
      <c r="A629" s="23" t="n">
        <v>1</v>
      </c>
      <c r="B629" s="23" t="n">
        <v>625</v>
      </c>
      <c r="C629" s="23" t="n">
        <v>625</v>
      </c>
      <c r="D629" s="23" t="inlineStr">
        <is>
          <t>0405811007</t>
        </is>
      </c>
      <c r="E629" s="11" t="inlineStr">
        <is>
          <t>Region IV-A (CALABARZON)</t>
        </is>
      </c>
      <c r="F629" s="11" t="inlineStr">
        <is>
          <t>Rizal</t>
        </is>
      </c>
      <c r="G629" s="11" t="inlineStr">
        <is>
          <t>San Mateo</t>
        </is>
      </c>
      <c r="H629" s="11" t="inlineStr">
        <is>
          <t>Malanday</t>
        </is>
      </c>
      <c r="I629" s="24" t="n">
        <v>14.7017</v>
      </c>
      <c r="J629" s="24" t="n">
        <v>121.131516</v>
      </c>
      <c r="K629" s="23" t="inlineStr">
        <is>
          <t>U</t>
        </is>
      </c>
      <c r="L629" s="25" t="n">
        <v>13906</v>
      </c>
      <c r="M629" s="26" t="n">
        <v>3.6</v>
      </c>
      <c r="N629" s="25">
        <f>ROUND(L629/M629, 0)</f>
        <v/>
      </c>
      <c r="O629" s="25">
        <f>ROUND(N629*'Methodology &amp; Assumptions'!$B$7, 0)</f>
        <v/>
      </c>
      <c r="P629" s="23" t="inlineStr">
        <is>
          <t>Single Carrier (Band n50, 100MHz TDD)</t>
        </is>
      </c>
      <c r="Q629" s="27">
        <f>ROUNDUP(O629/'Methodology &amp; Assumptions'!$B$8, 0)</f>
        <v/>
      </c>
      <c r="R629" s="27" t="n">
        <v>1</v>
      </c>
      <c r="S629" s="26" t="n">
        <v>2.34</v>
      </c>
      <c r="T629" s="26" t="n">
        <v>0.4</v>
      </c>
      <c r="U629" s="11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26" t="n">
        <v>72.89</v>
      </c>
      <c r="W629" s="26" t="n">
        <v>62.96</v>
      </c>
      <c r="X629" s="26">
        <f>ROUND(('Methodology &amp; Assumptions'!$B$5*V629) + ('Methodology &amp; Assumptions'!$B$6*W629), 2)</f>
        <v/>
      </c>
      <c r="Y629" s="28" t="n">
        <v>7.2</v>
      </c>
      <c r="Z629" s="11" t="inlineStr">
        <is>
          <t>Priority Tier 2 (Balanced Opportunity)</t>
        </is>
      </c>
    </row>
    <row r="630">
      <c r="A630" s="23" t="n">
        <v>1</v>
      </c>
      <c r="B630" s="23" t="n">
        <v>626</v>
      </c>
      <c r="C630" s="23" t="n">
        <v>626</v>
      </c>
      <c r="D630" s="23" t="inlineStr">
        <is>
          <t>1908704013</t>
        </is>
      </c>
      <c r="E630" s="11" t="inlineStr">
        <is>
          <t>Bangsamoro Autonomous Region In Muslim Mindanao (BARMM)</t>
        </is>
      </c>
      <c r="F630" s="11" t="inlineStr">
        <is>
          <t>Maguindanao del Norte</t>
        </is>
      </c>
      <c r="G630" s="11" t="inlineStr">
        <is>
          <t>Datu Blah T. Sinsuat</t>
        </is>
      </c>
      <c r="H630" s="11" t="inlineStr">
        <is>
          <t>Tubuan</t>
        </is>
      </c>
      <c r="I630" s="24" t="n">
        <v>7.018012</v>
      </c>
      <c r="J630" s="24" t="n">
        <v>124.053004</v>
      </c>
      <c r="K630" s="23" t="inlineStr">
        <is>
          <t>R</t>
        </is>
      </c>
      <c r="L630" s="25" t="n">
        <v>6357</v>
      </c>
      <c r="M630" s="26" t="n">
        <v>4.3</v>
      </c>
      <c r="N630" s="25">
        <f>ROUND(L630/M630, 0)</f>
        <v/>
      </c>
      <c r="O630" s="25">
        <f>ROUND(N630*'Methodology &amp; Assumptions'!$B$7, 0)</f>
        <v/>
      </c>
      <c r="P630" s="23" t="inlineStr">
        <is>
          <t>Single Carrier (Band n50, 100MHz TDD)</t>
        </is>
      </c>
      <c r="Q630" s="27">
        <f>ROUNDUP(O630/'Methodology &amp; Assumptions'!$B$8, 0)</f>
        <v/>
      </c>
      <c r="R630" s="27" t="n">
        <v>1</v>
      </c>
      <c r="S630" s="26" t="n">
        <v>77.63</v>
      </c>
      <c r="T630" s="26" t="n">
        <v>77.56999999999999</v>
      </c>
      <c r="U630" s="11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26" t="n">
        <v>59.06</v>
      </c>
      <c r="W630" s="26" t="n">
        <v>76.77</v>
      </c>
      <c r="X630" s="26">
        <f>ROUND(('Methodology &amp; Assumptions'!$B$5*V630) + ('Methodology &amp; Assumptions'!$B$6*W630), 2)</f>
        <v/>
      </c>
      <c r="Y630" s="28" t="n">
        <v>11</v>
      </c>
      <c r="Z630" s="11" t="inlineStr">
        <is>
          <t>Priority Tier 2 (Balanced Opportunity)</t>
        </is>
      </c>
    </row>
    <row r="631">
      <c r="A631" s="23" t="n">
        <v>1</v>
      </c>
      <c r="B631" s="23" t="n">
        <v>627</v>
      </c>
      <c r="C631" s="23" t="n">
        <v>627</v>
      </c>
      <c r="D631" s="23" t="inlineStr">
        <is>
          <t>0403425020</t>
        </is>
      </c>
      <c r="E631" s="11" t="inlineStr">
        <is>
          <t>Region IV-A (CALABARZON)</t>
        </is>
      </c>
      <c r="F631" s="11" t="inlineStr">
        <is>
          <t>Laguna</t>
        </is>
      </c>
      <c r="G631" s="11" t="inlineStr">
        <is>
          <t>City of San Pedro</t>
        </is>
      </c>
      <c r="H631" s="11" t="inlineStr">
        <is>
          <t>Sampaguita Village</t>
        </is>
      </c>
      <c r="I631" s="24" t="n">
        <v>14.344472</v>
      </c>
      <c r="J631" s="24" t="n">
        <v>121.035417</v>
      </c>
      <c r="K631" s="23" t="inlineStr">
        <is>
          <t>R</t>
        </is>
      </c>
      <c r="L631" s="25" t="n">
        <v>5416</v>
      </c>
      <c r="M631" s="26" t="n">
        <v>3.3</v>
      </c>
      <c r="N631" s="25">
        <f>ROUND(L631/M631, 0)</f>
        <v/>
      </c>
      <c r="O631" s="25">
        <f>ROUND(N631*'Methodology &amp; Assumptions'!$B$7, 0)</f>
        <v/>
      </c>
      <c r="P631" s="23" t="inlineStr">
        <is>
          <t>Single Carrier (Band n50, 100MHz TDD)</t>
        </is>
      </c>
      <c r="Q631" s="27">
        <f>ROUNDUP(O631/'Methodology &amp; Assumptions'!$B$8, 0)</f>
        <v/>
      </c>
      <c r="R631" s="27" t="n">
        <v>1</v>
      </c>
      <c r="S631" s="26" t="n">
        <v>0.52</v>
      </c>
      <c r="T631" s="26" t="n">
        <v>0.53</v>
      </c>
      <c r="U631" s="11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26" t="n">
        <v>85.45999999999999</v>
      </c>
      <c r="W631" s="26" t="n">
        <v>50.35</v>
      </c>
      <c r="X631" s="26">
        <f>ROUND(('Methodology &amp; Assumptions'!$B$5*V631) + ('Methodology &amp; Assumptions'!$B$6*W631), 2)</f>
        <v/>
      </c>
      <c r="Y631" s="28" t="n">
        <v>7.2</v>
      </c>
      <c r="Z631" s="11" t="inlineStr">
        <is>
          <t>Priority Tier 2 (Balanced Opportunity)</t>
        </is>
      </c>
    </row>
    <row r="632">
      <c r="A632" s="23" t="n">
        <v>1</v>
      </c>
      <c r="B632" s="23" t="n">
        <v>628</v>
      </c>
      <c r="C632" s="23" t="n">
        <v>628</v>
      </c>
      <c r="D632" s="23" t="inlineStr">
        <is>
          <t>0102934018</t>
        </is>
      </c>
      <c r="E632" s="11" t="inlineStr">
        <is>
          <t>Region I (Ilocos Region)</t>
        </is>
      </c>
      <c r="F632" s="11" t="inlineStr">
        <is>
          <t>Ilocos Sur</t>
        </is>
      </c>
      <c r="G632" s="11" t="inlineStr">
        <is>
          <t>City of Vigan</t>
        </is>
      </c>
      <c r="H632" s="11" t="inlineStr">
        <is>
          <t>Capangpangan</t>
        </is>
      </c>
      <c r="I632" s="24" t="n">
        <v>17.572357</v>
      </c>
      <c r="J632" s="24" t="n">
        <v>120.393267</v>
      </c>
      <c r="K632" s="23" t="inlineStr">
        <is>
          <t>R</t>
        </is>
      </c>
      <c r="L632" s="25" t="n">
        <v>1764</v>
      </c>
      <c r="M632" s="26" t="n">
        <v>3.8</v>
      </c>
      <c r="N632" s="25">
        <f>ROUND(L632/M632, 0)</f>
        <v/>
      </c>
      <c r="O632" s="25">
        <f>ROUND(N632*'Methodology &amp; Assumptions'!$B$7, 0)</f>
        <v/>
      </c>
      <c r="P632" s="23" t="inlineStr">
        <is>
          <t>Single Carrier (Band n50, 100MHz TDD)</t>
        </is>
      </c>
      <c r="Q632" s="27">
        <f>ROUNDUP(O632/'Methodology &amp; Assumptions'!$B$8, 0)</f>
        <v/>
      </c>
      <c r="R632" s="27" t="n">
        <v>1</v>
      </c>
      <c r="S632" s="26" t="n">
        <v>2.38</v>
      </c>
      <c r="T632" s="26" t="n">
        <v>0.91</v>
      </c>
      <c r="U632" s="11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26" t="n">
        <v>68.56999999999999</v>
      </c>
      <c r="W632" s="26" t="n">
        <v>67.23</v>
      </c>
      <c r="X632" s="26">
        <f>ROUND(('Methodology &amp; Assumptions'!$B$5*V632) + ('Methodology &amp; Assumptions'!$B$6*W632), 2)</f>
        <v/>
      </c>
      <c r="Y632" s="28" t="n">
        <v>8.300000000000001</v>
      </c>
      <c r="Z632" s="11" t="inlineStr">
        <is>
          <t>Priority Tier 2 (Balanced Opportunity)</t>
        </is>
      </c>
    </row>
    <row r="633">
      <c r="A633" s="23" t="n">
        <v>1</v>
      </c>
      <c r="B633" s="23" t="n">
        <v>629</v>
      </c>
      <c r="C633" s="23" t="n">
        <v>629</v>
      </c>
      <c r="D633" s="23" t="inlineStr">
        <is>
          <t>1108602009</t>
        </is>
      </c>
      <c r="E633" s="11" t="inlineStr">
        <is>
          <t>Region XI (Davao Region)</t>
        </is>
      </c>
      <c r="F633" s="11" t="inlineStr">
        <is>
          <t>Davao Occidental</t>
        </is>
      </c>
      <c r="G633" s="11" t="inlineStr">
        <is>
          <t>Jose Abad Santos</t>
        </is>
      </c>
      <c r="H633" s="11" t="inlineStr">
        <is>
          <t>Caburan Big</t>
        </is>
      </c>
      <c r="I633" s="24" t="n">
        <v>5.941507</v>
      </c>
      <c r="J633" s="24" t="n">
        <v>125.582199</v>
      </c>
      <c r="K633" s="23" t="inlineStr">
        <is>
          <t>R</t>
        </is>
      </c>
      <c r="L633" s="25" t="n">
        <v>5203</v>
      </c>
      <c r="M633" s="26" t="n">
        <v>3.6</v>
      </c>
      <c r="N633" s="25">
        <f>ROUND(L633/M633, 0)</f>
        <v/>
      </c>
      <c r="O633" s="25">
        <f>ROUND(N633*'Methodology &amp; Assumptions'!$B$7, 0)</f>
        <v/>
      </c>
      <c r="P633" s="23" t="inlineStr">
        <is>
          <t>Single Carrier (Band n50, 100MHz TDD)</t>
        </is>
      </c>
      <c r="Q633" s="27">
        <f>ROUNDUP(O633/'Methodology &amp; Assumptions'!$B$8, 0)</f>
        <v/>
      </c>
      <c r="R633" s="27" t="n">
        <v>1</v>
      </c>
      <c r="S633" s="26" t="n">
        <v>38.24</v>
      </c>
      <c r="T633" s="26" t="n">
        <v>47.09</v>
      </c>
      <c r="U633" s="11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26" t="n">
        <v>61.82</v>
      </c>
      <c r="W633" s="26" t="n">
        <v>73.95</v>
      </c>
      <c r="X633" s="26">
        <f>ROUND(('Methodology &amp; Assumptions'!$B$5*V633) + ('Methodology &amp; Assumptions'!$B$6*W633), 2)</f>
        <v/>
      </c>
      <c r="Y633" s="28" t="n">
        <v>17.4</v>
      </c>
      <c r="Z633" s="11" t="inlineStr">
        <is>
          <t>Priority Tier 2 (Balanced Opportunity)</t>
        </is>
      </c>
    </row>
    <row r="634">
      <c r="A634" s="23" t="n">
        <v>1</v>
      </c>
      <c r="B634" s="23" t="n">
        <v>630</v>
      </c>
      <c r="C634" s="23" t="n">
        <v>630</v>
      </c>
      <c r="D634" s="23" t="inlineStr">
        <is>
          <t>1380601028</t>
        </is>
      </c>
      <c r="E634" s="11" t="inlineStr">
        <is>
          <t>National Capital Region (NCR)</t>
        </is>
      </c>
      <c r="F634" s="11" t="inlineStr">
        <is>
          <t>First District (Not a Province)</t>
        </is>
      </c>
      <c r="G634" s="11" t="inlineStr">
        <is>
          <t>City of Manila</t>
        </is>
      </c>
      <c r="H634" s="11" t="inlineStr">
        <is>
          <t>Barangay 28</t>
        </is>
      </c>
      <c r="I634" s="24" t="n">
        <v>14.603937</v>
      </c>
      <c r="J634" s="24" t="n">
        <v>120.963141</v>
      </c>
      <c r="K634" s="23" t="inlineStr">
        <is>
          <t>U</t>
        </is>
      </c>
      <c r="L634" s="25" t="n">
        <v>2515</v>
      </c>
      <c r="M634" s="26" t="n">
        <v>3.92</v>
      </c>
      <c r="N634" s="25">
        <f>ROUND(L634/M634, 0)</f>
        <v/>
      </c>
      <c r="O634" s="25">
        <f>ROUND(N634*'Methodology &amp; Assumptions'!$B$7, 0)</f>
        <v/>
      </c>
      <c r="P634" s="23" t="inlineStr">
        <is>
          <t>Single Carrier (Band n50, 100MHz TDD)</t>
        </is>
      </c>
      <c r="Q634" s="27">
        <f>ROUNDUP(O634/'Methodology &amp; Assumptions'!$B$8, 0)</f>
        <v/>
      </c>
      <c r="R634" s="27" t="n">
        <v>1</v>
      </c>
      <c r="S634" s="26" t="n">
        <v>0.77</v>
      </c>
      <c r="T634" s="26" t="n">
        <v>0.77</v>
      </c>
      <c r="U634" s="11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26" t="n">
        <v>61.77</v>
      </c>
      <c r="W634" s="26" t="n">
        <v>73.98</v>
      </c>
      <c r="X634" s="26">
        <f>ROUND(('Methodology &amp; Assumptions'!$B$5*V634) + ('Methodology &amp; Assumptions'!$B$6*W634), 2)</f>
        <v/>
      </c>
      <c r="Y634" s="28" t="n">
        <v>10.9</v>
      </c>
      <c r="Z634" s="11" t="inlineStr">
        <is>
          <t>Priority Tier 2 (Balanced Opportunity)</t>
        </is>
      </c>
    </row>
    <row r="635">
      <c r="A635" s="23" t="n">
        <v>1</v>
      </c>
      <c r="B635" s="23" t="n">
        <v>631</v>
      </c>
      <c r="C635" s="23" t="n">
        <v>631</v>
      </c>
      <c r="D635" s="23" t="inlineStr">
        <is>
          <t>1108211013</t>
        </is>
      </c>
      <c r="E635" s="11" t="inlineStr">
        <is>
          <t>Region XI (Davao Region)</t>
        </is>
      </c>
      <c r="F635" s="11" t="inlineStr">
        <is>
          <t>Davao de Oro</t>
        </is>
      </c>
      <c r="G635" s="11" t="inlineStr">
        <is>
          <t>Pantukan</t>
        </is>
      </c>
      <c r="H635" s="11" t="inlineStr">
        <is>
          <t>Araibo</t>
        </is>
      </c>
      <c r="I635" s="24" t="n">
        <v>7.2675</v>
      </c>
      <c r="J635" s="24" t="n">
        <v>126.20897</v>
      </c>
      <c r="K635" s="23" t="inlineStr">
        <is>
          <t>R</t>
        </is>
      </c>
      <c r="L635" s="25" t="n">
        <v>2585</v>
      </c>
      <c r="M635" s="26" t="n">
        <v>3.7</v>
      </c>
      <c r="N635" s="25">
        <f>ROUND(L635/M635, 0)</f>
        <v/>
      </c>
      <c r="O635" s="25">
        <f>ROUND(N635*'Methodology &amp; Assumptions'!$B$7, 0)</f>
        <v/>
      </c>
      <c r="P635" s="23" t="inlineStr">
        <is>
          <t>Single Carrier (Band n50, 100MHz TDD)</t>
        </is>
      </c>
      <c r="Q635" s="27">
        <f>ROUNDUP(O635/'Methodology &amp; Assumptions'!$B$8, 0)</f>
        <v/>
      </c>
      <c r="R635" s="27" t="n">
        <v>1</v>
      </c>
      <c r="S635" s="26" t="n">
        <v>34.24</v>
      </c>
      <c r="T635" s="26" t="n">
        <v>34.03</v>
      </c>
      <c r="U635" s="11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26" t="n">
        <v>57.1</v>
      </c>
      <c r="W635" s="26" t="n">
        <v>78.65000000000001</v>
      </c>
      <c r="X635" s="26">
        <f>ROUND(('Methodology &amp; Assumptions'!$B$5*V635) + ('Methodology &amp; Assumptions'!$B$6*W635), 2)</f>
        <v/>
      </c>
      <c r="Y635" s="28" t="n">
        <v>17.4</v>
      </c>
      <c r="Z635" s="11" t="inlineStr">
        <is>
          <t>Priority Tier 2 (Balanced Opportunity)</t>
        </is>
      </c>
    </row>
    <row r="636">
      <c r="A636" s="23" t="n">
        <v>1</v>
      </c>
      <c r="B636" s="23" t="n">
        <v>632</v>
      </c>
      <c r="C636" s="23" t="n">
        <v>632</v>
      </c>
      <c r="D636" s="23" t="inlineStr">
        <is>
          <t>0301404005</t>
        </is>
      </c>
      <c r="E636" s="11" t="inlineStr">
        <is>
          <t>Region III (Central Luzon)</t>
        </is>
      </c>
      <c r="F636" s="11" t="inlineStr">
        <is>
          <t>Bulacan</t>
        </is>
      </c>
      <c r="G636" s="11" t="inlineStr">
        <is>
          <t>Bocaue</t>
        </is>
      </c>
      <c r="H636" s="11" t="inlineStr">
        <is>
          <t>Biñang 1st</t>
        </is>
      </c>
      <c r="I636" s="24" t="n">
        <v>14.794243</v>
      </c>
      <c r="J636" s="24" t="n">
        <v>120.930742</v>
      </c>
      <c r="K636" s="23" t="inlineStr">
        <is>
          <t>R</t>
        </is>
      </c>
      <c r="L636" s="25" t="n">
        <v>3560</v>
      </c>
      <c r="M636" s="26" t="n">
        <v>3.5</v>
      </c>
      <c r="N636" s="25">
        <f>ROUND(L636/M636, 0)</f>
        <v/>
      </c>
      <c r="O636" s="25">
        <f>ROUND(N636*'Methodology &amp; Assumptions'!$B$7, 0)</f>
        <v/>
      </c>
      <c r="P636" s="23" t="inlineStr">
        <is>
          <t>Single Carrier (Band n50, 100MHz TDD)</t>
        </is>
      </c>
      <c r="Q636" s="27">
        <f>ROUNDUP(O636/'Methodology &amp; Assumptions'!$B$8, 0)</f>
        <v/>
      </c>
      <c r="R636" s="27" t="n">
        <v>1</v>
      </c>
      <c r="S636" s="26" t="n">
        <v>1.73</v>
      </c>
      <c r="T636" s="26" t="n">
        <v>0.11</v>
      </c>
      <c r="U636" s="11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26" t="n">
        <v>82.34</v>
      </c>
      <c r="W636" s="26" t="n">
        <v>53.37</v>
      </c>
      <c r="X636" s="26">
        <f>ROUND(('Methodology &amp; Assumptions'!$B$5*V636) + ('Methodology &amp; Assumptions'!$B$6*W636), 2)</f>
        <v/>
      </c>
      <c r="Y636" s="28" t="n">
        <v>8.300000000000001</v>
      </c>
      <c r="Z636" s="11" t="inlineStr">
        <is>
          <t>Priority Tier 2 (Balanced Opportunity)</t>
        </is>
      </c>
    </row>
    <row r="637">
      <c r="A637" s="23" t="n">
        <v>1</v>
      </c>
      <c r="B637" s="23" t="n">
        <v>633</v>
      </c>
      <c r="C637" s="23" t="n">
        <v>633</v>
      </c>
      <c r="D637" s="23" t="inlineStr">
        <is>
          <t>0300811003</t>
        </is>
      </c>
      <c r="E637" s="11" t="inlineStr">
        <is>
          <t>Region III (Central Luzon)</t>
        </is>
      </c>
      <c r="F637" s="11" t="inlineStr">
        <is>
          <t>Bataan</t>
        </is>
      </c>
      <c r="G637" s="11" t="inlineStr">
        <is>
          <t>Pilar</t>
        </is>
      </c>
      <c r="H637" s="11" t="inlineStr">
        <is>
          <t>Bagumbayan</t>
        </is>
      </c>
      <c r="I637" s="24" t="n">
        <v>14.679517</v>
      </c>
      <c r="J637" s="24" t="n">
        <v>120.545204</v>
      </c>
      <c r="K637" s="23" t="inlineStr">
        <is>
          <t>R</t>
        </is>
      </c>
      <c r="L637" s="25" t="n">
        <v>1531</v>
      </c>
      <c r="M637" s="26" t="n">
        <v>3.6</v>
      </c>
      <c r="N637" s="25">
        <f>ROUND(L637/M637, 0)</f>
        <v/>
      </c>
      <c r="O637" s="25">
        <f>ROUND(N637*'Methodology &amp; Assumptions'!$B$7, 0)</f>
        <v/>
      </c>
      <c r="P637" s="23" t="inlineStr">
        <is>
          <t>Single Carrier (Band n50, 100MHz TDD)</t>
        </is>
      </c>
      <c r="Q637" s="27">
        <f>ROUNDUP(O637/'Methodology &amp; Assumptions'!$B$8, 0)</f>
        <v/>
      </c>
      <c r="R637" s="27" t="n">
        <v>1</v>
      </c>
      <c r="S637" s="26" t="n">
        <v>0.46</v>
      </c>
      <c r="T637" s="26" t="n">
        <v>0.23</v>
      </c>
      <c r="U637" s="11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26" t="n">
        <v>72.89</v>
      </c>
      <c r="W637" s="26" t="n">
        <v>62.82</v>
      </c>
      <c r="X637" s="26">
        <f>ROUND(('Methodology &amp; Assumptions'!$B$5*V637) + ('Methodology &amp; Assumptions'!$B$6*W637), 2)</f>
        <v/>
      </c>
      <c r="Y637" s="28" t="n">
        <v>8.300000000000001</v>
      </c>
      <c r="Z637" s="11" t="inlineStr">
        <is>
          <t>Priority Tier 2 (Balanced Opportunity)</t>
        </is>
      </c>
    </row>
    <row r="638">
      <c r="A638" s="23" t="n">
        <v>1</v>
      </c>
      <c r="B638" s="23" t="n">
        <v>634</v>
      </c>
      <c r="C638" s="23" t="n">
        <v>634</v>
      </c>
      <c r="D638" s="23" t="inlineStr">
        <is>
          <t>1381300042</t>
        </is>
      </c>
      <c r="E638" s="11" t="inlineStr">
        <is>
          <t>National Capital Region (NCR)</t>
        </is>
      </c>
      <c r="F638" s="11" t="inlineStr">
        <is>
          <t>Second District (Not a Province)</t>
        </is>
      </c>
      <c r="G638" s="11" t="inlineStr">
        <is>
          <t>Quezon City</t>
        </is>
      </c>
      <c r="H638" s="11" t="inlineStr">
        <is>
          <t>N.S. Amoranto</t>
        </is>
      </c>
      <c r="I638" s="24" t="n">
        <v>14.632698</v>
      </c>
      <c r="J638" s="24" t="n">
        <v>120.994422</v>
      </c>
      <c r="K638" s="23" t="inlineStr">
        <is>
          <t>U</t>
        </is>
      </c>
      <c r="L638" s="25" t="n">
        <v>6061</v>
      </c>
      <c r="M638" s="26" t="n">
        <v>3.87</v>
      </c>
      <c r="N638" s="25">
        <f>ROUND(L638/M638, 0)</f>
        <v/>
      </c>
      <c r="O638" s="25">
        <f>ROUND(N638*'Methodology &amp; Assumptions'!$B$7, 0)</f>
        <v/>
      </c>
      <c r="P638" s="23" t="inlineStr">
        <is>
          <t>Single Carrier (Band n50, 100MHz TDD)</t>
        </is>
      </c>
      <c r="Q638" s="27">
        <f>ROUNDUP(O638/'Methodology &amp; Assumptions'!$B$8, 0)</f>
        <v/>
      </c>
      <c r="R638" s="27" t="n">
        <v>1</v>
      </c>
      <c r="S638" s="26" t="n">
        <v>0.92</v>
      </c>
      <c r="T638" s="26" t="n">
        <v>0.38</v>
      </c>
      <c r="U638" s="11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26" t="n">
        <v>68.77</v>
      </c>
      <c r="W638" s="26" t="n">
        <v>66.94</v>
      </c>
      <c r="X638" s="26">
        <f>ROUND(('Methodology &amp; Assumptions'!$B$5*V638) + ('Methodology &amp; Assumptions'!$B$6*W638), 2)</f>
        <v/>
      </c>
      <c r="Y638" s="28" t="n">
        <v>10.9</v>
      </c>
      <c r="Z638" s="11" t="inlineStr">
        <is>
          <t>Priority Tier 2 (Balanced Opportunity)</t>
        </is>
      </c>
    </row>
    <row r="639">
      <c r="A639" s="23" t="n">
        <v>1</v>
      </c>
      <c r="B639" s="23" t="n">
        <v>635</v>
      </c>
      <c r="C639" s="23" t="n">
        <v>635</v>
      </c>
      <c r="D639" s="23" t="inlineStr">
        <is>
          <t>1380300012</t>
        </is>
      </c>
      <c r="E639" s="11" t="inlineStr">
        <is>
          <t>National Capital Region (NCR)</t>
        </is>
      </c>
      <c r="F639" s="11" t="inlineStr">
        <is>
          <t>Fourth District (Not a Province)</t>
        </is>
      </c>
      <c r="G639" s="11" t="inlineStr">
        <is>
          <t>City of Makati</t>
        </is>
      </c>
      <c r="H639" s="11" t="inlineStr">
        <is>
          <t>La Paz</t>
        </is>
      </c>
      <c r="I639" s="24" t="n">
        <v>14.56839</v>
      </c>
      <c r="J639" s="24" t="n">
        <v>121.0074</v>
      </c>
      <c r="K639" s="23" t="inlineStr">
        <is>
          <t>U</t>
        </is>
      </c>
      <c r="L639" s="25" t="n">
        <v>6682</v>
      </c>
      <c r="M639" s="26" t="n">
        <v>3.14</v>
      </c>
      <c r="N639" s="25">
        <f>ROUND(L639/M639, 0)</f>
        <v/>
      </c>
      <c r="O639" s="25">
        <f>ROUND(N639*'Methodology &amp; Assumptions'!$B$7, 0)</f>
        <v/>
      </c>
      <c r="P639" s="23" t="inlineStr">
        <is>
          <t>Single Carrier (Band n50, 100MHz TDD)</t>
        </is>
      </c>
      <c r="Q639" s="27">
        <f>ROUNDUP(O639/'Methodology &amp; Assumptions'!$B$8, 0)</f>
        <v/>
      </c>
      <c r="R639" s="27" t="n">
        <v>1</v>
      </c>
      <c r="S639" s="26" t="n">
        <v>1.47</v>
      </c>
      <c r="T639" s="26" t="n">
        <v>0.14</v>
      </c>
      <c r="U639" s="11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26" t="n">
        <v>66.7</v>
      </c>
      <c r="W639" s="26" t="n">
        <v>69.01000000000001</v>
      </c>
      <c r="X639" s="26">
        <f>ROUND(('Methodology &amp; Assumptions'!$B$5*V639) + ('Methodology &amp; Assumptions'!$B$6*W639), 2)</f>
        <v/>
      </c>
      <c r="Y639" s="28" t="n">
        <v>10.9</v>
      </c>
      <c r="Z639" s="11" t="inlineStr">
        <is>
          <t>Priority Tier 2 (Balanced Opportunity)</t>
        </is>
      </c>
    </row>
    <row r="640">
      <c r="A640" s="23" t="n">
        <v>1</v>
      </c>
      <c r="B640" s="23" t="n">
        <v>636</v>
      </c>
      <c r="C640" s="23" t="n">
        <v>636</v>
      </c>
      <c r="D640" s="23" t="inlineStr">
        <is>
          <t>1380300011</t>
        </is>
      </c>
      <c r="E640" s="11" t="inlineStr">
        <is>
          <t>National Capital Region (NCR)</t>
        </is>
      </c>
      <c r="F640" s="11" t="inlineStr">
        <is>
          <t>Fourth District (Not a Province)</t>
        </is>
      </c>
      <c r="G640" s="11" t="inlineStr">
        <is>
          <t>City of Makati</t>
        </is>
      </c>
      <c r="H640" s="11" t="inlineStr">
        <is>
          <t>Kasilawan</t>
        </is>
      </c>
      <c r="I640" s="24" t="n">
        <v>14.57567</v>
      </c>
      <c r="J640" s="24" t="n">
        <v>121.0158</v>
      </c>
      <c r="K640" s="23" t="inlineStr">
        <is>
          <t>U</t>
        </is>
      </c>
      <c r="L640" s="25" t="n">
        <v>5007</v>
      </c>
      <c r="M640" s="26" t="n">
        <v>3.62</v>
      </c>
      <c r="N640" s="25">
        <f>ROUND(L640/M640, 0)</f>
        <v/>
      </c>
      <c r="O640" s="25">
        <f>ROUND(N640*'Methodology &amp; Assumptions'!$B$7, 0)</f>
        <v/>
      </c>
      <c r="P640" s="23" t="inlineStr">
        <is>
          <t>Single Carrier (Band n50, 100MHz TDD)</t>
        </is>
      </c>
      <c r="Q640" s="27">
        <f>ROUNDUP(O640/'Methodology &amp; Assumptions'!$B$8, 0)</f>
        <v/>
      </c>
      <c r="R640" s="27" t="n">
        <v>1</v>
      </c>
      <c r="S640" s="26" t="n">
        <v>1.59</v>
      </c>
      <c r="T640" s="26" t="n">
        <v>0.37</v>
      </c>
      <c r="U640" s="11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26" t="n">
        <v>66.29000000000001</v>
      </c>
      <c r="W640" s="26" t="n">
        <v>69.39</v>
      </c>
      <c r="X640" s="26">
        <f>ROUND(('Methodology &amp; Assumptions'!$B$5*V640) + ('Methodology &amp; Assumptions'!$B$6*W640), 2)</f>
        <v/>
      </c>
      <c r="Y640" s="28" t="n">
        <v>10.9</v>
      </c>
      <c r="Z640" s="11" t="inlineStr">
        <is>
          <t>Priority Tier 2 (Balanced Opportunity)</t>
        </is>
      </c>
    </row>
    <row r="641">
      <c r="A641" s="23" t="n">
        <v>1</v>
      </c>
      <c r="B641" s="23" t="n">
        <v>637</v>
      </c>
      <c r="C641" s="23" t="n">
        <v>637</v>
      </c>
      <c r="D641" s="23" t="inlineStr">
        <is>
          <t>1380601109</t>
        </is>
      </c>
      <c r="E641" s="11" t="inlineStr">
        <is>
          <t>National Capital Region (NCR)</t>
        </is>
      </c>
      <c r="F641" s="11" t="inlineStr">
        <is>
          <t>First District (Not a Province)</t>
        </is>
      </c>
      <c r="G641" s="11" t="inlineStr">
        <is>
          <t>City of Manila</t>
        </is>
      </c>
      <c r="H641" s="11" t="inlineStr">
        <is>
          <t>Barangay 109</t>
        </is>
      </c>
      <c r="I641" s="24" t="n">
        <v>14.617122</v>
      </c>
      <c r="J641" s="24" t="n">
        <v>120.964478</v>
      </c>
      <c r="K641" s="23" t="inlineStr">
        <is>
          <t>U</t>
        </is>
      </c>
      <c r="L641" s="25" t="n">
        <v>3495</v>
      </c>
      <c r="M641" s="26" t="n">
        <v>5.5</v>
      </c>
      <c r="N641" s="25">
        <f>ROUND(L641/M641, 0)</f>
        <v/>
      </c>
      <c r="O641" s="25">
        <f>ROUND(N641*'Methodology &amp; Assumptions'!$B$7, 0)</f>
        <v/>
      </c>
      <c r="P641" s="23" t="inlineStr">
        <is>
          <t>Single Carrier (Band n50, 100MHz TDD)</t>
        </is>
      </c>
      <c r="Q641" s="27">
        <f>ROUNDUP(O641/'Methodology &amp; Assumptions'!$B$8, 0)</f>
        <v/>
      </c>
      <c r="R641" s="27" t="n">
        <v>1</v>
      </c>
      <c r="S641" s="26" t="n">
        <v>0.21</v>
      </c>
      <c r="T641" s="26" t="n">
        <v>0.23</v>
      </c>
      <c r="U641" s="11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26" t="n">
        <v>61.55</v>
      </c>
      <c r="W641" s="26" t="n">
        <v>74.12</v>
      </c>
      <c r="X641" s="26">
        <f>ROUND(('Methodology &amp; Assumptions'!$B$5*V641) + ('Methodology &amp; Assumptions'!$B$6*W641), 2)</f>
        <v/>
      </c>
      <c r="Y641" s="28" t="n">
        <v>10.9</v>
      </c>
      <c r="Z641" s="11" t="inlineStr">
        <is>
          <t>Priority Tier 2 (Balanced Opportunity)</t>
        </is>
      </c>
    </row>
    <row r="642">
      <c r="A642" s="23" t="n">
        <v>1</v>
      </c>
      <c r="B642" s="23" t="n">
        <v>638</v>
      </c>
      <c r="C642" s="23" t="n">
        <v>638</v>
      </c>
      <c r="D642" s="23" t="inlineStr">
        <is>
          <t>0402117008</t>
        </is>
      </c>
      <c r="E642" s="11" t="inlineStr">
        <is>
          <t>Region IV-A (CALABARZON)</t>
        </is>
      </c>
      <c r="F642" s="11" t="inlineStr">
        <is>
          <t>Cavite</t>
        </is>
      </c>
      <c r="G642" s="11" t="inlineStr">
        <is>
          <t>Rosario</t>
        </is>
      </c>
      <c r="H642" s="11" t="inlineStr">
        <is>
          <t>Poblacion</t>
        </is>
      </c>
      <c r="I642" s="24" t="n">
        <v>14.425517</v>
      </c>
      <c r="J642" s="24" t="n">
        <v>120.879176</v>
      </c>
      <c r="K642" s="23" t="inlineStr">
        <is>
          <t>U</t>
        </is>
      </c>
      <c r="L642" s="25" t="n">
        <v>2210</v>
      </c>
      <c r="M642" s="26" t="n">
        <v>3.4</v>
      </c>
      <c r="N642" s="25">
        <f>ROUND(L642/M642, 0)</f>
        <v/>
      </c>
      <c r="O642" s="25">
        <f>ROUND(N642*'Methodology &amp; Assumptions'!$B$7, 0)</f>
        <v/>
      </c>
      <c r="P642" s="23" t="inlineStr">
        <is>
          <t>Single Carrier (Band n50, 100MHz TDD)</t>
        </is>
      </c>
      <c r="Q642" s="27">
        <f>ROUNDUP(O642/'Methodology &amp; Assumptions'!$B$8, 0)</f>
        <v/>
      </c>
      <c r="R642" s="27" t="n">
        <v>1</v>
      </c>
      <c r="S642" s="26" t="n">
        <v>0.61</v>
      </c>
      <c r="T642" s="26" t="n">
        <v>0.59</v>
      </c>
      <c r="U642" s="11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26" t="n">
        <v>72.87</v>
      </c>
      <c r="W642" s="26" t="n">
        <v>62.74</v>
      </c>
      <c r="X642" s="26">
        <f>ROUND(('Methodology &amp; Assumptions'!$B$5*V642) + ('Methodology &amp; Assumptions'!$B$6*W642), 2)</f>
        <v/>
      </c>
      <c r="Y642" s="28" t="n">
        <v>7.2</v>
      </c>
      <c r="Z642" s="11" t="inlineStr">
        <is>
          <t>Priority Tier 2 (Balanced Opportunity)</t>
        </is>
      </c>
    </row>
    <row r="643">
      <c r="A643" s="23" t="n">
        <v>1</v>
      </c>
      <c r="B643" s="23" t="n">
        <v>639</v>
      </c>
      <c r="C643" s="23" t="n">
        <v>639</v>
      </c>
      <c r="D643" s="23" t="inlineStr">
        <is>
          <t>0405802009</t>
        </is>
      </c>
      <c r="E643" s="11" t="inlineStr">
        <is>
          <t>Region IV-A (CALABARZON)</t>
        </is>
      </c>
      <c r="F643" s="11" t="inlineStr">
        <is>
          <t>Rizal</t>
        </is>
      </c>
      <c r="G643" s="11" t="inlineStr">
        <is>
          <t>City of Antipolo</t>
        </is>
      </c>
      <c r="H643" s="11" t="inlineStr">
        <is>
          <t>San Roque</t>
        </is>
      </c>
      <c r="I643" s="24" t="n">
        <v>14.568849</v>
      </c>
      <c r="J643" s="24" t="n">
        <v>121.175461</v>
      </c>
      <c r="K643" s="23" t="inlineStr">
        <is>
          <t>U</t>
        </is>
      </c>
      <c r="L643" s="25" t="n">
        <v>67126</v>
      </c>
      <c r="M643" s="26" t="n">
        <v>3.6</v>
      </c>
      <c r="N643" s="25">
        <f>ROUND(L643/M643, 0)</f>
        <v/>
      </c>
      <c r="O643" s="25">
        <f>ROUND(N643*'Methodology &amp; Assumptions'!$B$7, 0)</f>
        <v/>
      </c>
      <c r="P643" s="23" t="inlineStr">
        <is>
          <t>Single Carrier (Band n50, 100MHz TDD)</t>
        </is>
      </c>
      <c r="Q643" s="27">
        <f>ROUNDUP(O643/'Methodology &amp; Assumptions'!$B$8, 0)</f>
        <v/>
      </c>
      <c r="R643" s="27" t="n">
        <v>1</v>
      </c>
      <c r="S643" s="26" t="n">
        <v>0.89</v>
      </c>
      <c r="T643" s="26" t="n">
        <v>0.71</v>
      </c>
      <c r="U643" s="11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26" t="n">
        <v>75.98999999999999</v>
      </c>
      <c r="W643" s="26" t="n">
        <v>59.6</v>
      </c>
      <c r="X643" s="26">
        <f>ROUND(('Methodology &amp; Assumptions'!$B$5*V643) + ('Methodology &amp; Assumptions'!$B$6*W643), 2)</f>
        <v/>
      </c>
      <c r="Y643" s="28" t="n">
        <v>7.2</v>
      </c>
      <c r="Z643" s="11" t="inlineStr">
        <is>
          <t>Priority Tier 2 (Balanced Opportunity)</t>
        </is>
      </c>
    </row>
    <row r="644">
      <c r="A644" s="23" t="n">
        <v>1</v>
      </c>
      <c r="B644" s="23" t="n">
        <v>640</v>
      </c>
      <c r="C644" s="23" t="n">
        <v>640</v>
      </c>
      <c r="D644" s="23" t="inlineStr">
        <is>
          <t>0405811002</t>
        </is>
      </c>
      <c r="E644" s="11" t="inlineStr">
        <is>
          <t>Region IV-A (CALABARZON)</t>
        </is>
      </c>
      <c r="F644" s="11" t="inlineStr">
        <is>
          <t>Rizal</t>
        </is>
      </c>
      <c r="G644" s="11" t="inlineStr">
        <is>
          <t>San Mateo</t>
        </is>
      </c>
      <c r="H644" s="11" t="inlineStr">
        <is>
          <t>Dulong Bayan 1</t>
        </is>
      </c>
      <c r="I644" s="24" t="n">
        <v>14.700429</v>
      </c>
      <c r="J644" s="24" t="n">
        <v>121.122599</v>
      </c>
      <c r="K644" s="23" t="inlineStr">
        <is>
          <t>U</t>
        </is>
      </c>
      <c r="L644" s="25" t="n">
        <v>5006</v>
      </c>
      <c r="M644" s="26" t="n">
        <v>3.6</v>
      </c>
      <c r="N644" s="25">
        <f>ROUND(L644/M644, 0)</f>
        <v/>
      </c>
      <c r="O644" s="25">
        <f>ROUND(N644*'Methodology &amp; Assumptions'!$B$7, 0)</f>
        <v/>
      </c>
      <c r="P644" s="23" t="inlineStr">
        <is>
          <t>Single Carrier (Band n50, 100MHz TDD)</t>
        </is>
      </c>
      <c r="Q644" s="27">
        <f>ROUNDUP(O644/'Methodology &amp; Assumptions'!$B$8, 0)</f>
        <v/>
      </c>
      <c r="R644" s="27" t="n">
        <v>1</v>
      </c>
      <c r="S644" s="26" t="n">
        <v>1.66</v>
      </c>
      <c r="T644" s="26" t="n">
        <v>0.26</v>
      </c>
      <c r="U644" s="11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26" t="n">
        <v>75.2</v>
      </c>
      <c r="W644" s="26" t="n">
        <v>60.4</v>
      </c>
      <c r="X644" s="26">
        <f>ROUND(('Methodology &amp; Assumptions'!$B$5*V644) + ('Methodology &amp; Assumptions'!$B$6*W644), 2)</f>
        <v/>
      </c>
      <c r="Y644" s="28" t="n">
        <v>7.2</v>
      </c>
      <c r="Z644" s="11" t="inlineStr">
        <is>
          <t>Priority Tier 2 (Balanced Opportunity)</t>
        </is>
      </c>
    </row>
    <row r="645">
      <c r="A645" s="23" t="n">
        <v>1</v>
      </c>
      <c r="B645" s="23" t="n">
        <v>641</v>
      </c>
      <c r="C645" s="23" t="n">
        <v>641</v>
      </c>
      <c r="D645" s="23" t="inlineStr">
        <is>
          <t>1381701003</t>
        </is>
      </c>
      <c r="E645" s="11" t="inlineStr">
        <is>
          <t>National Capital Region (NCR)</t>
        </is>
      </c>
      <c r="F645" s="11" t="inlineStr">
        <is>
          <t>Fourth District (Not a Province)</t>
        </is>
      </c>
      <c r="G645" s="11" t="inlineStr">
        <is>
          <t>Pateros</t>
        </is>
      </c>
      <c r="H645" s="11" t="inlineStr">
        <is>
          <t>Martires Del 96</t>
        </is>
      </c>
      <c r="I645" s="24" t="n">
        <v>14.53966</v>
      </c>
      <c r="J645" s="24" t="n">
        <v>121.065768</v>
      </c>
      <c r="K645" s="23" t="inlineStr">
        <is>
          <t>U</t>
        </is>
      </c>
      <c r="L645" s="25" t="n">
        <v>5130</v>
      </c>
      <c r="M645" s="26" t="n">
        <v>3.86</v>
      </c>
      <c r="N645" s="25">
        <f>ROUND(L645/M645, 0)</f>
        <v/>
      </c>
      <c r="O645" s="25">
        <f>ROUND(N645*'Methodology &amp; Assumptions'!$B$7, 0)</f>
        <v/>
      </c>
      <c r="P645" s="23" t="inlineStr">
        <is>
          <t>Single Carrier (Band n50, 100MHz TDD)</t>
        </is>
      </c>
      <c r="Q645" s="27">
        <f>ROUNDUP(O645/'Methodology &amp; Assumptions'!$B$8, 0)</f>
        <v/>
      </c>
      <c r="R645" s="27" t="n">
        <v>1</v>
      </c>
      <c r="S645" s="26" t="n">
        <v>0.62</v>
      </c>
      <c r="T645" s="26" t="n">
        <v>0.18</v>
      </c>
      <c r="U645" s="11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26" t="n">
        <v>69.09</v>
      </c>
      <c r="W645" s="26" t="n">
        <v>66.5</v>
      </c>
      <c r="X645" s="26">
        <f>ROUND(('Methodology &amp; Assumptions'!$B$5*V645) + ('Methodology &amp; Assumptions'!$B$6*W645), 2)</f>
        <v/>
      </c>
      <c r="Y645" s="28" t="n">
        <v>10.9</v>
      </c>
      <c r="Z645" s="11" t="inlineStr">
        <is>
          <t>Priority Tier 2 (Balanced Opportunity)</t>
        </is>
      </c>
    </row>
    <row r="646">
      <c r="A646" s="23" t="n">
        <v>1</v>
      </c>
      <c r="B646" s="23" t="n">
        <v>642</v>
      </c>
      <c r="C646" s="23" t="n">
        <v>642</v>
      </c>
      <c r="D646" s="23" t="inlineStr">
        <is>
          <t>1380601041</t>
        </is>
      </c>
      <c r="E646" s="11" t="inlineStr">
        <is>
          <t>National Capital Region (NCR)</t>
        </is>
      </c>
      <c r="F646" s="11" t="inlineStr">
        <is>
          <t>First District (Not a Province)</t>
        </is>
      </c>
      <c r="G646" s="11" t="inlineStr">
        <is>
          <t>City of Manila</t>
        </is>
      </c>
      <c r="H646" s="11" t="inlineStr">
        <is>
          <t>Barangay 41</t>
        </is>
      </c>
      <c r="I646" s="24" t="n">
        <v>14.638479</v>
      </c>
      <c r="J646" s="24" t="n">
        <v>120.982532</v>
      </c>
      <c r="K646" s="23" t="inlineStr">
        <is>
          <t>U</t>
        </is>
      </c>
      <c r="L646" s="25" t="n">
        <v>3957</v>
      </c>
      <c r="M646" s="26" t="n">
        <v>5.04</v>
      </c>
      <c r="N646" s="25">
        <f>ROUND(L646/M646, 0)</f>
        <v/>
      </c>
      <c r="O646" s="25">
        <f>ROUND(N646*'Methodology &amp; Assumptions'!$B$7, 0)</f>
        <v/>
      </c>
      <c r="P646" s="23" t="inlineStr">
        <is>
          <t>Single Carrier (Band n50, 100MHz TDD)</t>
        </is>
      </c>
      <c r="Q646" s="27">
        <f>ROUNDUP(O646/'Methodology &amp; Assumptions'!$B$8, 0)</f>
        <v/>
      </c>
      <c r="R646" s="27" t="n">
        <v>1</v>
      </c>
      <c r="S646" s="26" t="n">
        <v>1.16</v>
      </c>
      <c r="T646" s="26" t="n">
        <v>0.1</v>
      </c>
      <c r="U646" s="11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26" t="n">
        <v>65.15000000000001</v>
      </c>
      <c r="W646" s="26" t="n">
        <v>70.44</v>
      </c>
      <c r="X646" s="26">
        <f>ROUND(('Methodology &amp; Assumptions'!$B$5*V646) + ('Methodology &amp; Assumptions'!$B$6*W646), 2)</f>
        <v/>
      </c>
      <c r="Y646" s="28" t="n">
        <v>10.9</v>
      </c>
      <c r="Z646" s="11" t="inlineStr">
        <is>
          <t>Priority Tier 2 (Balanced Opportunity)</t>
        </is>
      </c>
    </row>
    <row r="647">
      <c r="A647" s="23" t="n">
        <v>1</v>
      </c>
      <c r="B647" s="23" t="n">
        <v>643</v>
      </c>
      <c r="C647" s="23" t="n">
        <v>643</v>
      </c>
      <c r="D647" s="23" t="inlineStr">
        <is>
          <t>0102817001</t>
        </is>
      </c>
      <c r="E647" s="11" t="inlineStr">
        <is>
          <t>Region I (Ilocos Region)</t>
        </is>
      </c>
      <c r="F647" s="11" t="inlineStr">
        <is>
          <t>Ilocos Norte</t>
        </is>
      </c>
      <c r="G647" s="11" t="inlineStr">
        <is>
          <t>Pasuquin</t>
        </is>
      </c>
      <c r="H647" s="11" t="inlineStr">
        <is>
          <t>Batuli</t>
        </is>
      </c>
      <c r="I647" s="24" t="n">
        <v>18.433937</v>
      </c>
      <c r="J647" s="24" t="n">
        <v>120.614237</v>
      </c>
      <c r="K647" s="23" t="inlineStr">
        <is>
          <t>R</t>
        </is>
      </c>
      <c r="L647" s="25" t="n">
        <v>459</v>
      </c>
      <c r="M647" s="26" t="n">
        <v>3.7</v>
      </c>
      <c r="N647" s="25">
        <f>ROUND(L647/M647, 0)</f>
        <v/>
      </c>
      <c r="O647" s="25">
        <f>ROUND(N647*'Methodology &amp; Assumptions'!$B$7, 0)</f>
        <v/>
      </c>
      <c r="P647" s="23" t="inlineStr">
        <is>
          <t>Single Carrier (Band n50, 100MHz TDD)</t>
        </is>
      </c>
      <c r="Q647" s="27">
        <f>ROUNDUP(O647/'Methodology &amp; Assumptions'!$B$8, 0)</f>
        <v/>
      </c>
      <c r="R647" s="27" t="n">
        <v>1</v>
      </c>
      <c r="S647" s="26" t="n">
        <v>4.49</v>
      </c>
      <c r="T647" s="26" t="n">
        <v>2.56</v>
      </c>
      <c r="U647" s="11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26" t="n">
        <v>48.96</v>
      </c>
      <c r="W647" s="26" t="n">
        <v>86.65000000000001</v>
      </c>
      <c r="X647" s="26">
        <f>ROUND(('Methodology &amp; Assumptions'!$B$5*V647) + ('Methodology &amp; Assumptions'!$B$6*W647), 2)</f>
        <v/>
      </c>
      <c r="Y647" s="28" t="n">
        <v>8.300000000000001</v>
      </c>
      <c r="Z647" s="11" t="inlineStr">
        <is>
          <t>Priority Tier 2 (Balanced Opportunity)</t>
        </is>
      </c>
    </row>
    <row r="648">
      <c r="A648" s="23" t="n">
        <v>1</v>
      </c>
      <c r="B648" s="23" t="n">
        <v>644</v>
      </c>
      <c r="C648" s="23" t="n">
        <v>644</v>
      </c>
      <c r="D648" s="23" t="inlineStr">
        <is>
          <t>1381300013</t>
        </is>
      </c>
      <c r="E648" s="11" t="inlineStr">
        <is>
          <t>National Capital Region (NCR)</t>
        </is>
      </c>
      <c r="F648" s="11" t="inlineStr">
        <is>
          <t>Second District (Not a Province)</t>
        </is>
      </c>
      <c r="G648" s="11" t="inlineStr">
        <is>
          <t>Quezon City</t>
        </is>
      </c>
      <c r="H648" s="11" t="inlineStr">
        <is>
          <t>Balingasa</t>
        </is>
      </c>
      <c r="I648" s="24" t="n">
        <v>14.65067</v>
      </c>
      <c r="J648" s="24" t="n">
        <v>121.0017</v>
      </c>
      <c r="K648" s="23" t="inlineStr">
        <is>
          <t>U</t>
        </is>
      </c>
      <c r="L648" s="25" t="n">
        <v>22109</v>
      </c>
      <c r="M648" s="26" t="n">
        <v>3.9</v>
      </c>
      <c r="N648" s="25">
        <f>ROUND(L648/M648, 0)</f>
        <v/>
      </c>
      <c r="O648" s="25">
        <f>ROUND(N648*'Methodology &amp; Assumptions'!$B$7, 0)</f>
        <v/>
      </c>
      <c r="P648" s="23" t="inlineStr">
        <is>
          <t>Single Carrier (Band n50, 100MHz TDD)</t>
        </is>
      </c>
      <c r="Q648" s="27">
        <f>ROUNDUP(O648/'Methodology &amp; Assumptions'!$B$8, 0)</f>
        <v/>
      </c>
      <c r="R648" s="27" t="n">
        <v>1</v>
      </c>
      <c r="S648" s="26" t="n">
        <v>1.41</v>
      </c>
      <c r="T648" s="26" t="n">
        <v>1.37</v>
      </c>
      <c r="U648" s="11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26" t="n">
        <v>66.17</v>
      </c>
      <c r="W648" s="26" t="n">
        <v>69.40000000000001</v>
      </c>
      <c r="X648" s="26">
        <f>ROUND(('Methodology &amp; Assumptions'!$B$5*V648) + ('Methodology &amp; Assumptions'!$B$6*W648), 2)</f>
        <v/>
      </c>
      <c r="Y648" s="28" t="n">
        <v>10.9</v>
      </c>
      <c r="Z648" s="11" t="inlineStr">
        <is>
          <t>Priority Tier 2 (Balanced Opportunity)</t>
        </is>
      </c>
    </row>
    <row r="649">
      <c r="A649" s="23" t="n">
        <v>1</v>
      </c>
      <c r="B649" s="23" t="n">
        <v>645</v>
      </c>
      <c r="C649" s="23" t="n">
        <v>645</v>
      </c>
      <c r="D649" s="23" t="inlineStr">
        <is>
          <t>0402116007</t>
        </is>
      </c>
      <c r="E649" s="11" t="inlineStr">
        <is>
          <t>Region IV-A (CALABARZON)</t>
        </is>
      </c>
      <c r="F649" s="11" t="inlineStr">
        <is>
          <t>Cavite</t>
        </is>
      </c>
      <c r="G649" s="11" t="inlineStr">
        <is>
          <t>Noveleta</t>
        </is>
      </c>
      <c r="H649" s="11" t="inlineStr">
        <is>
          <t>San Rafael II</t>
        </is>
      </c>
      <c r="I649" s="24" t="n">
        <v>14.431931</v>
      </c>
      <c r="J649" s="24" t="n">
        <v>120.875731</v>
      </c>
      <c r="K649" s="23" t="inlineStr">
        <is>
          <t>R</t>
        </is>
      </c>
      <c r="L649" s="25" t="n">
        <v>3707</v>
      </c>
      <c r="M649" s="26" t="n">
        <v>3.4</v>
      </c>
      <c r="N649" s="25">
        <f>ROUND(L649/M649, 0)</f>
        <v/>
      </c>
      <c r="O649" s="25">
        <f>ROUND(N649*'Methodology &amp; Assumptions'!$B$7, 0)</f>
        <v/>
      </c>
      <c r="P649" s="23" t="inlineStr">
        <is>
          <t>Single Carrier (Band n50, 100MHz TDD)</t>
        </is>
      </c>
      <c r="Q649" s="27">
        <f>ROUNDUP(O649/'Methodology &amp; Assumptions'!$B$8, 0)</f>
        <v/>
      </c>
      <c r="R649" s="27" t="n">
        <v>1</v>
      </c>
      <c r="S649" s="26" t="n">
        <v>0.83</v>
      </c>
      <c r="T649" s="26" t="n">
        <v>0.79</v>
      </c>
      <c r="U649" s="11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26" t="n">
        <v>85.45999999999999</v>
      </c>
      <c r="W649" s="26" t="n">
        <v>50.1</v>
      </c>
      <c r="X649" s="26">
        <f>ROUND(('Methodology &amp; Assumptions'!$B$5*V649) + ('Methodology &amp; Assumptions'!$B$6*W649), 2)</f>
        <v/>
      </c>
      <c r="Y649" s="28" t="n">
        <v>7.2</v>
      </c>
      <c r="Z649" s="11" t="inlineStr">
        <is>
          <t>Priority Tier 2 (Balanced Opportunity)</t>
        </is>
      </c>
    </row>
    <row r="650">
      <c r="A650" s="23" t="n">
        <v>1</v>
      </c>
      <c r="B650" s="23" t="n">
        <v>646</v>
      </c>
      <c r="C650" s="23" t="n">
        <v>646</v>
      </c>
      <c r="D650" s="23" t="inlineStr">
        <is>
          <t>1380500011</t>
        </is>
      </c>
      <c r="E650" s="11" t="inlineStr">
        <is>
          <t>National Capital Region (NCR)</t>
        </is>
      </c>
      <c r="F650" s="11" t="inlineStr">
        <is>
          <t>Second District (Not a Province)</t>
        </is>
      </c>
      <c r="G650" s="11" t="inlineStr">
        <is>
          <t>City of Mandaluyong</t>
        </is>
      </c>
      <c r="H650" s="11" t="inlineStr">
        <is>
          <t>Hagdang Bato Libis</t>
        </is>
      </c>
      <c r="I650" s="24" t="n">
        <v>14.58857</v>
      </c>
      <c r="J650" s="24" t="n">
        <v>121.033</v>
      </c>
      <c r="K650" s="23" t="inlineStr">
        <is>
          <t>U</t>
        </is>
      </c>
      <c r="L650" s="25" t="n">
        <v>6870</v>
      </c>
      <c r="M650" s="26" t="n">
        <v>3.11</v>
      </c>
      <c r="N650" s="25">
        <f>ROUND(L650/M650, 0)</f>
        <v/>
      </c>
      <c r="O650" s="25">
        <f>ROUND(N650*'Methodology &amp; Assumptions'!$B$7, 0)</f>
        <v/>
      </c>
      <c r="P650" s="23" t="inlineStr">
        <is>
          <t>Single Carrier (Band n50, 100MHz TDD)</t>
        </is>
      </c>
      <c r="Q650" s="27">
        <f>ROUNDUP(O650/'Methodology &amp; Assumptions'!$B$8, 0)</f>
        <v/>
      </c>
      <c r="R650" s="27" t="n">
        <v>1</v>
      </c>
      <c r="S650" s="26" t="n">
        <v>0.48</v>
      </c>
      <c r="T650" s="26" t="n">
        <v>0.23</v>
      </c>
      <c r="U650" s="11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26" t="n">
        <v>69.09</v>
      </c>
      <c r="W650" s="26" t="n">
        <v>66.45999999999999</v>
      </c>
      <c r="X650" s="26">
        <f>ROUND(('Methodology &amp; Assumptions'!$B$5*V650) + ('Methodology &amp; Assumptions'!$B$6*W650), 2)</f>
        <v/>
      </c>
      <c r="Y650" s="28" t="n">
        <v>10.9</v>
      </c>
      <c r="Z650" s="11" t="inlineStr">
        <is>
          <t>Priority Tier 2 (Balanced Opportunity)</t>
        </is>
      </c>
    </row>
    <row r="651">
      <c r="A651" s="23" t="n">
        <v>1</v>
      </c>
      <c r="B651" s="23" t="n">
        <v>647</v>
      </c>
      <c r="C651" s="23" t="n">
        <v>647</v>
      </c>
      <c r="D651" s="23" t="inlineStr">
        <is>
          <t>1380611047</t>
        </is>
      </c>
      <c r="E651" s="11" t="inlineStr">
        <is>
          <t>National Capital Region (NCR)</t>
        </is>
      </c>
      <c r="F651" s="11" t="inlineStr">
        <is>
          <t>First District (Not a Province)</t>
        </is>
      </c>
      <c r="G651" s="11" t="inlineStr">
        <is>
          <t>City of Manila</t>
        </is>
      </c>
      <c r="H651" s="11" t="inlineStr">
        <is>
          <t>Barangay 832</t>
        </is>
      </c>
      <c r="I651" s="24" t="n">
        <v>14.590726</v>
      </c>
      <c r="J651" s="24" t="n">
        <v>121.000484</v>
      </c>
      <c r="K651" s="23" t="inlineStr">
        <is>
          <t>U</t>
        </is>
      </c>
      <c r="L651" s="25" t="n">
        <v>2990</v>
      </c>
      <c r="M651" s="26" t="n">
        <v>4.07</v>
      </c>
      <c r="N651" s="25">
        <f>ROUND(L651/M651, 0)</f>
        <v/>
      </c>
      <c r="O651" s="25">
        <f>ROUND(N651*'Methodology &amp; Assumptions'!$B$7, 0)</f>
        <v/>
      </c>
      <c r="P651" s="23" t="inlineStr">
        <is>
          <t>Single Carrier (Band n50, 100MHz TDD)</t>
        </is>
      </c>
      <c r="Q651" s="27">
        <f>ROUNDUP(O651/'Methodology &amp; Assumptions'!$B$8, 0)</f>
        <v/>
      </c>
      <c r="R651" s="27" t="n">
        <v>1</v>
      </c>
      <c r="S651" s="26" t="n">
        <v>0.75</v>
      </c>
      <c r="T651" s="26" t="n">
        <v>0.34</v>
      </c>
      <c r="U651" s="11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26" t="n">
        <v>64.66</v>
      </c>
      <c r="W651" s="26" t="n">
        <v>70.89</v>
      </c>
      <c r="X651" s="26">
        <f>ROUND(('Methodology &amp; Assumptions'!$B$5*V651) + ('Methodology &amp; Assumptions'!$B$6*W651), 2)</f>
        <v/>
      </c>
      <c r="Y651" s="28" t="n">
        <v>10.9</v>
      </c>
      <c r="Z651" s="11" t="inlineStr">
        <is>
          <t>Priority Tier 2 (Balanced Opportunity)</t>
        </is>
      </c>
    </row>
    <row r="652">
      <c r="A652" s="23" t="n">
        <v>1</v>
      </c>
      <c r="B652" s="23" t="n">
        <v>648</v>
      </c>
      <c r="C652" s="23" t="n">
        <v>648</v>
      </c>
      <c r="D652" s="23" t="inlineStr">
        <is>
          <t>0403405013</t>
        </is>
      </c>
      <c r="E652" s="11" t="inlineStr">
        <is>
          <t>Region IV-A (CALABARZON)</t>
        </is>
      </c>
      <c r="F652" s="11" t="inlineStr">
        <is>
          <t>Laguna</t>
        </is>
      </c>
      <c r="G652" s="11" t="inlineStr">
        <is>
          <t>City of Calamba</t>
        </is>
      </c>
      <c r="H652" s="11" t="inlineStr">
        <is>
          <t>Halang</t>
        </is>
      </c>
      <c r="I652" s="24" t="n">
        <v>14.195856</v>
      </c>
      <c r="J652" s="24" t="n">
        <v>121.165066</v>
      </c>
      <c r="K652" s="23" t="inlineStr">
        <is>
          <t>U</t>
        </is>
      </c>
      <c r="L652" s="25" t="n">
        <v>9407</v>
      </c>
      <c r="M652" s="26" t="n">
        <v>3.3</v>
      </c>
      <c r="N652" s="25">
        <f>ROUND(L652/M652, 0)</f>
        <v/>
      </c>
      <c r="O652" s="25">
        <f>ROUND(N652*'Methodology &amp; Assumptions'!$B$7, 0)</f>
        <v/>
      </c>
      <c r="P652" s="23" t="inlineStr">
        <is>
          <t>Single Carrier (Band n50, 100MHz TDD)</t>
        </is>
      </c>
      <c r="Q652" s="27">
        <f>ROUNDUP(O652/'Methodology &amp; Assumptions'!$B$8, 0)</f>
        <v/>
      </c>
      <c r="R652" s="27" t="n">
        <v>1</v>
      </c>
      <c r="S652" s="26" t="n">
        <v>2.04</v>
      </c>
      <c r="T652" s="26" t="n">
        <v>0.28</v>
      </c>
      <c r="U652" s="11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26" t="n">
        <v>73.87</v>
      </c>
      <c r="W652" s="26" t="n">
        <v>61.66</v>
      </c>
      <c r="X652" s="26">
        <f>ROUND(('Methodology &amp; Assumptions'!$B$5*V652) + ('Methodology &amp; Assumptions'!$B$6*W652), 2)</f>
        <v/>
      </c>
      <c r="Y652" s="28" t="n">
        <v>7.2</v>
      </c>
      <c r="Z652" s="11" t="inlineStr">
        <is>
          <t>Priority Tier 2 (Balanced Opportunity)</t>
        </is>
      </c>
    </row>
    <row r="653">
      <c r="A653" s="23" t="n">
        <v>1</v>
      </c>
      <c r="B653" s="23" t="n">
        <v>649</v>
      </c>
      <c r="C653" s="23" t="n">
        <v>649</v>
      </c>
      <c r="D653" s="23" t="inlineStr">
        <is>
          <t>0201529022</t>
        </is>
      </c>
      <c r="E653" s="11" t="inlineStr">
        <is>
          <t>Region II (Cagayan Valley)</t>
        </is>
      </c>
      <c r="F653" s="11" t="inlineStr">
        <is>
          <t>Cagayan</t>
        </is>
      </c>
      <c r="G653" s="11" t="inlineStr">
        <is>
          <t>Tuguegarao City</t>
        </is>
      </c>
      <c r="H653" s="11" t="inlineStr">
        <is>
          <t>Cataggaman Viejo</t>
        </is>
      </c>
      <c r="I653" s="24" t="n">
        <v>17.3549</v>
      </c>
      <c r="J653" s="24" t="n">
        <v>121.4218</v>
      </c>
      <c r="K653" s="23" t="inlineStr">
        <is>
          <t>R</t>
        </is>
      </c>
      <c r="L653" s="25" t="n">
        <v>4626</v>
      </c>
      <c r="M653" s="26" t="n">
        <v>3.9</v>
      </c>
      <c r="N653" s="25">
        <f>ROUND(L653/M653, 0)</f>
        <v/>
      </c>
      <c r="O653" s="25">
        <f>ROUND(N653*'Methodology &amp; Assumptions'!$B$7, 0)</f>
        <v/>
      </c>
      <c r="P653" s="23" t="inlineStr">
        <is>
          <t>Single Carrier (Band n50, 100MHz TDD)</t>
        </is>
      </c>
      <c r="Q653" s="27">
        <f>ROUNDUP(O653/'Methodology &amp; Assumptions'!$B$8, 0)</f>
        <v/>
      </c>
      <c r="R653" s="27" t="n">
        <v>1</v>
      </c>
      <c r="S653" s="26" t="n">
        <v>6.8</v>
      </c>
      <c r="T653" s="26" t="n">
        <v>5.37</v>
      </c>
      <c r="U653" s="11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26" t="n">
        <v>68.04000000000001</v>
      </c>
      <c r="W653" s="26" t="n">
        <v>67.48999999999999</v>
      </c>
      <c r="X653" s="26">
        <f>ROUND(('Methodology &amp; Assumptions'!$B$5*V653) + ('Methodology &amp; Assumptions'!$B$6*W653), 2)</f>
        <v/>
      </c>
      <c r="Y653" s="28" t="n">
        <v>8.300000000000001</v>
      </c>
      <c r="Z653" s="11" t="inlineStr">
        <is>
          <t>Priority Tier 2 (Balanced Opportunity)</t>
        </is>
      </c>
    </row>
    <row r="654">
      <c r="A654" s="23" t="n">
        <v>1</v>
      </c>
      <c r="B654" s="23" t="n">
        <v>650</v>
      </c>
      <c r="C654" s="23" t="n">
        <v>650</v>
      </c>
      <c r="D654" s="23" t="inlineStr">
        <is>
          <t>1381300099</t>
        </is>
      </c>
      <c r="E654" s="11" t="inlineStr">
        <is>
          <t>National Capital Region (NCR)</t>
        </is>
      </c>
      <c r="F654" s="11" t="inlineStr">
        <is>
          <t>Second District (Not a Province)</t>
        </is>
      </c>
      <c r="G654" s="11" t="inlineStr">
        <is>
          <t>Quezon City</t>
        </is>
      </c>
      <c r="H654" s="11" t="inlineStr">
        <is>
          <t>San Isidro Labrador</t>
        </is>
      </c>
      <c r="I654" s="24" t="n">
        <v>14.621967</v>
      </c>
      <c r="J654" s="24" t="n">
        <v>120.995547</v>
      </c>
      <c r="K654" s="23" t="inlineStr">
        <is>
          <t>U</t>
        </is>
      </c>
      <c r="L654" s="25" t="n">
        <v>6419</v>
      </c>
      <c r="M654" s="26" t="n">
        <v>3</v>
      </c>
      <c r="N654" s="25">
        <f>ROUND(L654/M654, 0)</f>
        <v/>
      </c>
      <c r="O654" s="25">
        <f>ROUND(N654*'Methodology &amp; Assumptions'!$B$7, 0)</f>
        <v/>
      </c>
      <c r="P654" s="23" t="inlineStr">
        <is>
          <t>Single Carrier (Band n50, 100MHz TDD)</t>
        </is>
      </c>
      <c r="Q654" s="27">
        <f>ROUNDUP(O654/'Methodology &amp; Assumptions'!$B$8, 0)</f>
        <v/>
      </c>
      <c r="R654" s="27" t="n">
        <v>1</v>
      </c>
      <c r="S654" s="26" t="n">
        <v>1.49</v>
      </c>
      <c r="T654" s="26" t="n">
        <v>0.76</v>
      </c>
      <c r="U654" s="11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26" t="n">
        <v>66.63</v>
      </c>
      <c r="W654" s="26" t="n">
        <v>68.89</v>
      </c>
      <c r="X654" s="26">
        <f>ROUND(('Methodology &amp; Assumptions'!$B$5*V654) + ('Methodology &amp; Assumptions'!$B$6*W654), 2)</f>
        <v/>
      </c>
      <c r="Y654" s="28" t="n">
        <v>10.9</v>
      </c>
      <c r="Z654" s="11" t="inlineStr">
        <is>
          <t>Priority Tier 2 (Balanced Opportunity)</t>
        </is>
      </c>
    </row>
    <row r="655">
      <c r="A655" s="23" t="n">
        <v>1</v>
      </c>
      <c r="B655" s="23" t="n">
        <v>651</v>
      </c>
      <c r="C655" s="23" t="n">
        <v>651</v>
      </c>
      <c r="D655" s="23" t="inlineStr">
        <is>
          <t>0401005058</t>
        </is>
      </c>
      <c r="E655" s="11" t="inlineStr">
        <is>
          <t>Region IV-A (CALABARZON)</t>
        </is>
      </c>
      <c r="F655" s="11" t="inlineStr">
        <is>
          <t>Batangas</t>
        </is>
      </c>
      <c r="G655" s="11" t="inlineStr">
        <is>
          <t>Batangas City</t>
        </is>
      </c>
      <c r="H655" s="11" t="inlineStr">
        <is>
          <t>Barangay 12</t>
        </is>
      </c>
      <c r="I655" s="24" t="n">
        <v>13.761436</v>
      </c>
      <c r="J655" s="24" t="n">
        <v>121.055726</v>
      </c>
      <c r="K655" s="23" t="inlineStr">
        <is>
          <t>U</t>
        </is>
      </c>
      <c r="L655" s="25" t="n">
        <v>1434</v>
      </c>
      <c r="M655" s="26" t="n">
        <v>3.6</v>
      </c>
      <c r="N655" s="25">
        <f>ROUND(L655/M655, 0)</f>
        <v/>
      </c>
      <c r="O655" s="25">
        <f>ROUND(N655*'Methodology &amp; Assumptions'!$B$7, 0)</f>
        <v/>
      </c>
      <c r="P655" s="23" t="inlineStr">
        <is>
          <t>Single Carrier (Band n50, 100MHz TDD)</t>
        </is>
      </c>
      <c r="Q655" s="27">
        <f>ROUNDUP(O655/'Methodology &amp; Assumptions'!$B$8, 0)</f>
        <v/>
      </c>
      <c r="R655" s="27" t="n">
        <v>1</v>
      </c>
      <c r="S655" s="26" t="n">
        <v>0.16</v>
      </c>
      <c r="T655" s="26" t="n">
        <v>0.16</v>
      </c>
      <c r="U655" s="11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26" t="n">
        <v>64.59999999999999</v>
      </c>
      <c r="W655" s="26" t="n">
        <v>70.91</v>
      </c>
      <c r="X655" s="26">
        <f>ROUND(('Methodology &amp; Assumptions'!$B$5*V655) + ('Methodology &amp; Assumptions'!$B$6*W655), 2)</f>
        <v/>
      </c>
      <c r="Y655" s="28" t="n">
        <v>7.2</v>
      </c>
      <c r="Z655" s="11" t="inlineStr">
        <is>
          <t>Priority Tier 2 (Balanced Opportunity)</t>
        </is>
      </c>
    </row>
    <row r="656">
      <c r="A656" s="23" t="n">
        <v>1</v>
      </c>
      <c r="B656" s="23" t="n">
        <v>652</v>
      </c>
      <c r="C656" s="23" t="n">
        <v>652</v>
      </c>
      <c r="D656" s="23" t="inlineStr">
        <is>
          <t>0600406032</t>
        </is>
      </c>
      <c r="E656" s="11" t="inlineStr">
        <is>
          <t>Region VI (Western Visayas)</t>
        </is>
      </c>
      <c r="F656" s="11" t="inlineStr">
        <is>
          <t>Aklan</t>
        </is>
      </c>
      <c r="G656" s="11" t="inlineStr">
        <is>
          <t>Ibajay</t>
        </is>
      </c>
      <c r="H656" s="11" t="inlineStr">
        <is>
          <t>Tagbaya</t>
        </is>
      </c>
      <c r="I656" s="24" t="n">
        <v>11.753176</v>
      </c>
      <c r="J656" s="24" t="n">
        <v>122.193675</v>
      </c>
      <c r="K656" s="23" t="inlineStr">
        <is>
          <t>R</t>
        </is>
      </c>
      <c r="L656" s="25" t="n">
        <v>1740</v>
      </c>
      <c r="M656" s="26" t="n">
        <v>3.9</v>
      </c>
      <c r="N656" s="25">
        <f>ROUND(L656/M656, 0)</f>
        <v/>
      </c>
      <c r="O656" s="25">
        <f>ROUND(N656*'Methodology &amp; Assumptions'!$B$7, 0)</f>
        <v/>
      </c>
      <c r="P656" s="23" t="inlineStr">
        <is>
          <t>Single Carrier (Band n50, 100MHz TDD)</t>
        </is>
      </c>
      <c r="Q656" s="27">
        <f>ROUNDUP(O656/'Methodology &amp; Assumptions'!$B$8, 0)</f>
        <v/>
      </c>
      <c r="R656" s="27" t="n">
        <v>1</v>
      </c>
      <c r="S656" s="26" t="n">
        <v>11.62</v>
      </c>
      <c r="T656" s="26" t="n">
        <v>2.34</v>
      </c>
      <c r="U656" s="11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26" t="n">
        <v>52.73</v>
      </c>
      <c r="W656" s="26" t="n">
        <v>82.78</v>
      </c>
      <c r="X656" s="26">
        <f>ROUND(('Methodology &amp; Assumptions'!$B$5*V656) + ('Methodology &amp; Assumptions'!$B$6*W656), 2)</f>
        <v/>
      </c>
      <c r="Y656" s="28" t="n">
        <v>23.7</v>
      </c>
      <c r="Z656" s="11" t="inlineStr">
        <is>
          <t>Priority Tier 2 (Balanced Opportunity)</t>
        </is>
      </c>
    </row>
    <row r="657">
      <c r="A657" s="23" t="n">
        <v>1</v>
      </c>
      <c r="B657" s="23" t="n">
        <v>653</v>
      </c>
      <c r="C657" s="23" t="n">
        <v>653</v>
      </c>
      <c r="D657" s="23" t="inlineStr">
        <is>
          <t>0405802002</t>
        </is>
      </c>
      <c r="E657" s="11" t="inlineStr">
        <is>
          <t>Region IV-A (CALABARZON)</t>
        </is>
      </c>
      <c r="F657" s="11" t="inlineStr">
        <is>
          <t>Rizal</t>
        </is>
      </c>
      <c r="G657" s="11" t="inlineStr">
        <is>
          <t>City of Antipolo</t>
        </is>
      </c>
      <c r="H657" s="11" t="inlineStr">
        <is>
          <t>Cupang</t>
        </is>
      </c>
      <c r="I657" s="24" t="n">
        <v>14.635834</v>
      </c>
      <c r="J657" s="24" t="n">
        <v>121.123856</v>
      </c>
      <c r="K657" s="23" t="inlineStr">
        <is>
          <t>U</t>
        </is>
      </c>
      <c r="L657" s="25" t="n">
        <v>129296</v>
      </c>
      <c r="M657" s="26" t="n">
        <v>3.6</v>
      </c>
      <c r="N657" s="25">
        <f>ROUND(L657/M657, 0)</f>
        <v/>
      </c>
      <c r="O657" s="25">
        <f>ROUND(N657*'Methodology &amp; Assumptions'!$B$7, 0)</f>
        <v/>
      </c>
      <c r="P657" s="23" t="inlineStr">
        <is>
          <t>Single Carrier (Band n50, 100MHz TDD)</t>
        </is>
      </c>
      <c r="Q657" s="27">
        <f>ROUNDUP(O657/'Methodology &amp; Assumptions'!$B$8, 0)</f>
        <v/>
      </c>
      <c r="R657" s="27" t="n">
        <v>1</v>
      </c>
      <c r="S657" s="26" t="n">
        <v>0.74</v>
      </c>
      <c r="T657" s="26" t="n">
        <v>0.25</v>
      </c>
      <c r="U657" s="11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26" t="n">
        <v>74.77</v>
      </c>
      <c r="W657" s="26" t="n">
        <v>60.74</v>
      </c>
      <c r="X657" s="26">
        <f>ROUND(('Methodology &amp; Assumptions'!$B$5*V657) + ('Methodology &amp; Assumptions'!$B$6*W657), 2)</f>
        <v/>
      </c>
      <c r="Y657" s="28" t="n">
        <v>7.2</v>
      </c>
      <c r="Z657" s="11" t="inlineStr">
        <is>
          <t>Priority Tier 2 (Balanced Opportunity)</t>
        </is>
      </c>
    </row>
    <row r="658">
      <c r="A658" s="23" t="n">
        <v>1</v>
      </c>
      <c r="B658" s="23" t="n">
        <v>654</v>
      </c>
      <c r="C658" s="23" t="n">
        <v>654</v>
      </c>
      <c r="D658" s="23" t="inlineStr">
        <is>
          <t>1381100043</t>
        </is>
      </c>
      <c r="E658" s="11" t="inlineStr">
        <is>
          <t>National Capital Region (NCR)</t>
        </is>
      </c>
      <c r="F658" s="11" t="inlineStr">
        <is>
          <t>Fourth District (Not a Province)</t>
        </is>
      </c>
      <c r="G658" s="11" t="inlineStr">
        <is>
          <t>Pasay City</t>
        </is>
      </c>
      <c r="H658" s="11" t="inlineStr">
        <is>
          <t>Barangay 43</t>
        </is>
      </c>
      <c r="I658" s="24" t="n">
        <v>14.560904</v>
      </c>
      <c r="J658" s="24" t="n">
        <v>120.998778</v>
      </c>
      <c r="K658" s="23" t="inlineStr">
        <is>
          <t>U</t>
        </is>
      </c>
      <c r="L658" s="25" t="n">
        <v>2734</v>
      </c>
      <c r="M658" s="26" t="n">
        <v>3.69</v>
      </c>
      <c r="N658" s="25">
        <f>ROUND(L658/M658, 0)</f>
        <v/>
      </c>
      <c r="O658" s="25">
        <f>ROUND(N658*'Methodology &amp; Assumptions'!$B$7, 0)</f>
        <v/>
      </c>
      <c r="P658" s="23" t="inlineStr">
        <is>
          <t>Single Carrier (Band n50, 100MHz TDD)</t>
        </is>
      </c>
      <c r="Q658" s="27">
        <f>ROUNDUP(O658/'Methodology &amp; Assumptions'!$B$8, 0)</f>
        <v/>
      </c>
      <c r="R658" s="27" t="n">
        <v>1</v>
      </c>
      <c r="S658" s="26" t="n">
        <v>1.14</v>
      </c>
      <c r="T658" s="26" t="n">
        <v>0.37</v>
      </c>
      <c r="U658" s="11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26" t="n">
        <v>63.73</v>
      </c>
      <c r="W658" s="26" t="n">
        <v>71.75</v>
      </c>
      <c r="X658" s="26">
        <f>ROUND(('Methodology &amp; Assumptions'!$B$5*V658) + ('Methodology &amp; Assumptions'!$B$6*W658), 2)</f>
        <v/>
      </c>
      <c r="Y658" s="28" t="n">
        <v>10.9</v>
      </c>
      <c r="Z658" s="11" t="inlineStr">
        <is>
          <t>Priority Tier 2 (Balanced Opportunity)</t>
        </is>
      </c>
    </row>
    <row r="659">
      <c r="A659" s="23" t="n">
        <v>1</v>
      </c>
      <c r="B659" s="23" t="n">
        <v>655</v>
      </c>
      <c r="C659" s="23" t="n">
        <v>655</v>
      </c>
      <c r="D659" s="23" t="inlineStr">
        <is>
          <t>0402123006</t>
        </is>
      </c>
      <c r="E659" s="11" t="inlineStr">
        <is>
          <t>Region IV-A (CALABARZON)</t>
        </is>
      </c>
      <c r="F659" s="11" t="inlineStr">
        <is>
          <t>Cavite</t>
        </is>
      </c>
      <c r="G659" s="11" t="inlineStr">
        <is>
          <t>Gen. Mariano Alvarez</t>
        </is>
      </c>
      <c r="H659" s="11" t="inlineStr">
        <is>
          <t>Barangay 5 Poblacion</t>
        </is>
      </c>
      <c r="I659" s="24" t="n">
        <v>14.303957</v>
      </c>
      <c r="J659" s="24" t="n">
        <v>121.011964</v>
      </c>
      <c r="K659" s="23" t="inlineStr">
        <is>
          <t>U</t>
        </is>
      </c>
      <c r="L659" s="25" t="n">
        <v>17917</v>
      </c>
      <c r="M659" s="26" t="n">
        <v>3.4</v>
      </c>
      <c r="N659" s="25">
        <f>ROUND(L659/M659, 0)</f>
        <v/>
      </c>
      <c r="O659" s="25">
        <f>ROUND(N659*'Methodology &amp; Assumptions'!$B$7, 0)</f>
        <v/>
      </c>
      <c r="P659" s="23" t="inlineStr">
        <is>
          <t>Single Carrier (Band n50, 100MHz TDD)</t>
        </is>
      </c>
      <c r="Q659" s="27">
        <f>ROUNDUP(O659/'Methodology &amp; Assumptions'!$B$8, 0)</f>
        <v/>
      </c>
      <c r="R659" s="27" t="n">
        <v>1</v>
      </c>
      <c r="S659" s="26" t="n">
        <v>2.62</v>
      </c>
      <c r="T659" s="26" t="n">
        <v>4.17</v>
      </c>
      <c r="U659" s="11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26" t="n">
        <v>68.48</v>
      </c>
      <c r="W659" s="26" t="n">
        <v>66.97</v>
      </c>
      <c r="X659" s="26">
        <f>ROUND(('Methodology &amp; Assumptions'!$B$5*V659) + ('Methodology &amp; Assumptions'!$B$6*W659), 2)</f>
        <v/>
      </c>
      <c r="Y659" s="28" t="n">
        <v>7.2</v>
      </c>
      <c r="Z659" s="11" t="inlineStr">
        <is>
          <t>Priority Tier 2 (Balanced Opportunity)</t>
        </is>
      </c>
    </row>
    <row r="660">
      <c r="A660" s="23" t="n">
        <v>1</v>
      </c>
      <c r="B660" s="23" t="n">
        <v>656</v>
      </c>
      <c r="C660" s="23" t="n">
        <v>656</v>
      </c>
      <c r="D660" s="23" t="inlineStr">
        <is>
          <t>1102510007</t>
        </is>
      </c>
      <c r="E660" s="11" t="inlineStr">
        <is>
          <t>Region XI (Davao Region)</t>
        </is>
      </c>
      <c r="F660" s="11" t="inlineStr">
        <is>
          <t>Davao Oriental</t>
        </is>
      </c>
      <c r="G660" s="11" t="inlineStr">
        <is>
          <t>San Isidro</t>
        </is>
      </c>
      <c r="H660" s="11" t="inlineStr">
        <is>
          <t>La Union</t>
        </is>
      </c>
      <c r="I660" s="24" t="n">
        <v>6.69828</v>
      </c>
      <c r="J660" s="24" t="n">
        <v>126.11667</v>
      </c>
      <c r="K660" s="23" t="inlineStr">
        <is>
          <t>R</t>
        </is>
      </c>
      <c r="L660" s="25" t="n">
        <v>4594</v>
      </c>
      <c r="M660" s="26" t="n">
        <v>3.6</v>
      </c>
      <c r="N660" s="25">
        <f>ROUND(L660/M660, 0)</f>
        <v/>
      </c>
      <c r="O660" s="25">
        <f>ROUND(N660*'Methodology &amp; Assumptions'!$B$7, 0)</f>
        <v/>
      </c>
      <c r="P660" s="23" t="inlineStr">
        <is>
          <t>Single Carrier (Band n50, 100MHz TDD)</t>
        </is>
      </c>
      <c r="Q660" s="27">
        <f>ROUNDUP(O660/'Methodology &amp; Assumptions'!$B$8, 0)</f>
        <v/>
      </c>
      <c r="R660" s="27" t="n">
        <v>1</v>
      </c>
      <c r="S660" s="26" t="n">
        <v>24.85</v>
      </c>
      <c r="T660" s="26" t="n">
        <v>20.05</v>
      </c>
      <c r="U660" s="11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26" t="n">
        <v>61.82</v>
      </c>
      <c r="W660" s="26" t="n">
        <v>73.62</v>
      </c>
      <c r="X660" s="26">
        <f>ROUND(('Methodology &amp; Assumptions'!$B$5*V660) + ('Methodology &amp; Assumptions'!$B$6*W660), 2)</f>
        <v/>
      </c>
      <c r="Y660" s="28" t="n">
        <v>17.4</v>
      </c>
      <c r="Z660" s="11" t="inlineStr">
        <is>
          <t>Priority Tier 2 (Balanced Opportunity)</t>
        </is>
      </c>
    </row>
    <row r="661">
      <c r="A661" s="23" t="n">
        <v>1</v>
      </c>
      <c r="B661" s="23" t="n">
        <v>657</v>
      </c>
      <c r="C661" s="23" t="n">
        <v>657</v>
      </c>
      <c r="D661" s="23" t="inlineStr">
        <is>
          <t>1404406007</t>
        </is>
      </c>
      <c r="E661" s="11" t="inlineStr">
        <is>
          <t>Cordillera Administrative Region (CAR)</t>
        </is>
      </c>
      <c r="F661" s="11" t="inlineStr">
        <is>
          <t>Mountain Province</t>
        </is>
      </c>
      <c r="G661" s="11" t="inlineStr">
        <is>
          <t>Paracelis</t>
        </is>
      </c>
      <c r="H661" s="11" t="inlineStr">
        <is>
          <t>Buringal</t>
        </is>
      </c>
      <c r="I661" s="24" t="n">
        <v>17.21519</v>
      </c>
      <c r="J661" s="24" t="n">
        <v>121.514162</v>
      </c>
      <c r="K661" s="23" t="inlineStr">
        <is>
          <t>R</t>
        </is>
      </c>
      <c r="L661" s="25" t="n">
        <v>2601</v>
      </c>
      <c r="M661" s="26" t="n">
        <v>3.7</v>
      </c>
      <c r="N661" s="25">
        <f>ROUND(L661/M661, 0)</f>
        <v/>
      </c>
      <c r="O661" s="25">
        <f>ROUND(N661*'Methodology &amp; Assumptions'!$B$7, 0)</f>
        <v/>
      </c>
      <c r="P661" s="23" t="inlineStr">
        <is>
          <t>Single Carrier (Band n50, 100MHz TDD)</t>
        </is>
      </c>
      <c r="Q661" s="27">
        <f>ROUNDUP(O661/'Methodology &amp; Assumptions'!$B$8, 0)</f>
        <v/>
      </c>
      <c r="R661" s="27" t="n">
        <v>1</v>
      </c>
      <c r="S661" s="26" t="n">
        <v>11.04</v>
      </c>
      <c r="T661" s="26" t="n">
        <v>10.19</v>
      </c>
      <c r="U661" s="11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26" t="n">
        <v>58.95</v>
      </c>
      <c r="W661" s="26" t="n">
        <v>76.47</v>
      </c>
      <c r="X661" s="26">
        <f>ROUND(('Methodology &amp; Assumptions'!$B$5*V661) + ('Methodology &amp; Assumptions'!$B$6*W661), 2)</f>
        <v/>
      </c>
      <c r="Y661" s="28" t="n">
        <v>10.9</v>
      </c>
      <c r="Z661" s="11" t="inlineStr">
        <is>
          <t>Priority Tier 2 (Balanced Opportunity)</t>
        </is>
      </c>
    </row>
    <row r="662">
      <c r="A662" s="23" t="n">
        <v>1</v>
      </c>
      <c r="B662" s="23" t="n">
        <v>658</v>
      </c>
      <c r="C662" s="23" t="n">
        <v>658</v>
      </c>
      <c r="D662" s="23" t="inlineStr">
        <is>
          <t>1403209006</t>
        </is>
      </c>
      <c r="E662" s="11" t="inlineStr">
        <is>
          <t>Cordillera Administrative Region (CAR)</t>
        </is>
      </c>
      <c r="F662" s="11" t="inlineStr">
        <is>
          <t>Kalinga</t>
        </is>
      </c>
      <c r="G662" s="11" t="inlineStr">
        <is>
          <t>Pinukpuk</t>
        </is>
      </c>
      <c r="H662" s="11" t="inlineStr">
        <is>
          <t>Ballayangon</t>
        </is>
      </c>
      <c r="I662" s="24" t="n">
        <v>17.605857</v>
      </c>
      <c r="J662" s="24" t="n">
        <v>121.367722</v>
      </c>
      <c r="K662" s="23" t="inlineStr">
        <is>
          <t>R</t>
        </is>
      </c>
      <c r="L662" s="25" t="n">
        <v>1341</v>
      </c>
      <c r="M662" s="26" t="n">
        <v>4.3</v>
      </c>
      <c r="N662" s="25">
        <f>ROUND(L662/M662, 0)</f>
        <v/>
      </c>
      <c r="O662" s="25">
        <f>ROUND(N662*'Methodology &amp; Assumptions'!$B$7, 0)</f>
        <v/>
      </c>
      <c r="P662" s="23" t="inlineStr">
        <is>
          <t>Single Carrier (Band n50, 100MHz TDD)</t>
        </is>
      </c>
      <c r="Q662" s="27">
        <f>ROUNDUP(O662/'Methodology &amp; Assumptions'!$B$8, 0)</f>
        <v/>
      </c>
      <c r="R662" s="27" t="n">
        <v>1</v>
      </c>
      <c r="S662" s="26" t="n">
        <v>4.83</v>
      </c>
      <c r="T662" s="26" t="n">
        <v>4.3</v>
      </c>
      <c r="U662" s="11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26" t="n">
        <v>53.43</v>
      </c>
      <c r="W662" s="26" t="n">
        <v>82</v>
      </c>
      <c r="X662" s="26">
        <f>ROUND(('Methodology &amp; Assumptions'!$B$5*V662) + ('Methodology &amp; Assumptions'!$B$6*W662), 2)</f>
        <v/>
      </c>
      <c r="Y662" s="28" t="n">
        <v>10.9</v>
      </c>
      <c r="Z662" s="11" t="inlineStr">
        <is>
          <t>Priority Tier 2 (Balanced Opportunity)</t>
        </is>
      </c>
    </row>
    <row r="663">
      <c r="A663" s="23" t="n">
        <v>1</v>
      </c>
      <c r="B663" s="23" t="n">
        <v>659</v>
      </c>
      <c r="C663" s="23" t="n">
        <v>659</v>
      </c>
      <c r="D663" s="23" t="inlineStr">
        <is>
          <t>0403425025</t>
        </is>
      </c>
      <c r="E663" s="11" t="inlineStr">
        <is>
          <t>Region IV-A (CALABARZON)</t>
        </is>
      </c>
      <c r="F663" s="11" t="inlineStr">
        <is>
          <t>Laguna</t>
        </is>
      </c>
      <c r="G663" s="11" t="inlineStr">
        <is>
          <t>City of San Pedro</t>
        </is>
      </c>
      <c r="H663" s="11" t="inlineStr">
        <is>
          <t>Maharlika</t>
        </is>
      </c>
      <c r="I663" s="24" t="n">
        <v>14.343602</v>
      </c>
      <c r="J663" s="24" t="n">
        <v>121.042235</v>
      </c>
      <c r="K663" s="23" t="inlineStr">
        <is>
          <t>U</t>
        </is>
      </c>
      <c r="L663" s="25" t="n">
        <v>6117</v>
      </c>
      <c r="M663" s="26" t="n">
        <v>3.3</v>
      </c>
      <c r="N663" s="25">
        <f>ROUND(L663/M663, 0)</f>
        <v/>
      </c>
      <c r="O663" s="25">
        <f>ROUND(N663*'Methodology &amp; Assumptions'!$B$7, 0)</f>
        <v/>
      </c>
      <c r="P663" s="23" t="inlineStr">
        <is>
          <t>Single Carrier (Band n50, 100MHz TDD)</t>
        </is>
      </c>
      <c r="Q663" s="27">
        <f>ROUNDUP(O663/'Methodology &amp; Assumptions'!$B$8, 0)</f>
        <v/>
      </c>
      <c r="R663" s="27" t="n">
        <v>1</v>
      </c>
      <c r="S663" s="26" t="n">
        <v>0.23</v>
      </c>
      <c r="T663" s="26" t="n">
        <v>0.22</v>
      </c>
      <c r="U663" s="11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26" t="n">
        <v>78.26000000000001</v>
      </c>
      <c r="W663" s="26" t="n">
        <v>57.14</v>
      </c>
      <c r="X663" s="26">
        <f>ROUND(('Methodology &amp; Assumptions'!$B$5*V663) + ('Methodology &amp; Assumptions'!$B$6*W663), 2)</f>
        <v/>
      </c>
      <c r="Y663" s="28" t="n">
        <v>7.2</v>
      </c>
      <c r="Z663" s="11" t="inlineStr">
        <is>
          <t>Priority Tier 2 (Balanced Opportunity)</t>
        </is>
      </c>
    </row>
    <row r="664">
      <c r="A664" s="23" t="n">
        <v>1</v>
      </c>
      <c r="B664" s="23" t="n">
        <v>660</v>
      </c>
      <c r="C664" s="23" t="n">
        <v>660</v>
      </c>
      <c r="D664" s="23" t="inlineStr">
        <is>
          <t>1380601051</t>
        </is>
      </c>
      <c r="E664" s="11" t="inlineStr">
        <is>
          <t>National Capital Region (NCR)</t>
        </is>
      </c>
      <c r="F664" s="11" t="inlineStr">
        <is>
          <t>First District (Not a Province)</t>
        </is>
      </c>
      <c r="G664" s="11" t="inlineStr">
        <is>
          <t>City of Manila</t>
        </is>
      </c>
      <c r="H664" s="11" t="inlineStr">
        <is>
          <t>Barangay 51</t>
        </is>
      </c>
      <c r="I664" s="24" t="n">
        <v>14.611614</v>
      </c>
      <c r="J664" s="24" t="n">
        <v>120.971989</v>
      </c>
      <c r="K664" s="23" t="inlineStr">
        <is>
          <t>U</t>
        </is>
      </c>
      <c r="L664" s="25" t="n">
        <v>2614</v>
      </c>
      <c r="M664" s="26" t="n">
        <v>3.29</v>
      </c>
      <c r="N664" s="25">
        <f>ROUND(L664/M664, 0)</f>
        <v/>
      </c>
      <c r="O664" s="25">
        <f>ROUND(N664*'Methodology &amp; Assumptions'!$B$7, 0)</f>
        <v/>
      </c>
      <c r="P664" s="23" t="inlineStr">
        <is>
          <t>Single Carrier (Band n50, 100MHz TDD)</t>
        </is>
      </c>
      <c r="Q664" s="27">
        <f>ROUNDUP(O664/'Methodology &amp; Assumptions'!$B$8, 0)</f>
        <v/>
      </c>
      <c r="R664" s="27" t="n">
        <v>1</v>
      </c>
      <c r="S664" s="26" t="n">
        <v>0.59</v>
      </c>
      <c r="T664" s="26" t="n">
        <v>0.38</v>
      </c>
      <c r="U664" s="11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26" t="n">
        <v>66.59</v>
      </c>
      <c r="W664" s="26" t="n">
        <v>68.81</v>
      </c>
      <c r="X664" s="26">
        <f>ROUND(('Methodology &amp; Assumptions'!$B$5*V664) + ('Methodology &amp; Assumptions'!$B$6*W664), 2)</f>
        <v/>
      </c>
      <c r="Y664" s="28" t="n">
        <v>10.9</v>
      </c>
      <c r="Z664" s="11" t="inlineStr">
        <is>
          <t>Priority Tier 2 (Balanced Opportunity)</t>
        </is>
      </c>
    </row>
    <row r="665">
      <c r="A665" s="23" t="n">
        <v>1</v>
      </c>
      <c r="B665" s="23" t="n">
        <v>661</v>
      </c>
      <c r="C665" s="23" t="n">
        <v>661</v>
      </c>
      <c r="D665" s="23" t="inlineStr">
        <is>
          <t>0401019049</t>
        </is>
      </c>
      <c r="E665" s="11" t="inlineStr">
        <is>
          <t>Region IV-A (CALABARZON)</t>
        </is>
      </c>
      <c r="F665" s="11" t="inlineStr">
        <is>
          <t>Batangas</t>
        </is>
      </c>
      <c r="G665" s="11" t="inlineStr">
        <is>
          <t>Nasugbu</t>
        </is>
      </c>
      <c r="H665" s="11" t="inlineStr">
        <is>
          <t>Barangay 1</t>
        </is>
      </c>
      <c r="I665" s="24" t="n">
        <v>14.07756</v>
      </c>
      <c r="J665" s="24" t="n">
        <v>120.630414</v>
      </c>
      <c r="K665" s="23" t="inlineStr">
        <is>
          <t>R</t>
        </is>
      </c>
      <c r="L665" s="25" t="n">
        <v>1444</v>
      </c>
      <c r="M665" s="26" t="n">
        <v>3.6</v>
      </c>
      <c r="N665" s="25">
        <f>ROUND(L665/M665, 0)</f>
        <v/>
      </c>
      <c r="O665" s="25">
        <f>ROUND(N665*'Methodology &amp; Assumptions'!$B$7, 0)</f>
        <v/>
      </c>
      <c r="P665" s="23" t="inlineStr">
        <is>
          <t>Single Carrier (Band n50, 100MHz TDD)</t>
        </is>
      </c>
      <c r="Q665" s="27">
        <f>ROUNDUP(O665/'Methodology &amp; Assumptions'!$B$8, 0)</f>
        <v/>
      </c>
      <c r="R665" s="27" t="n">
        <v>1</v>
      </c>
      <c r="S665" s="26" t="n">
        <v>0.85</v>
      </c>
      <c r="T665" s="26" t="n">
        <v>0.08</v>
      </c>
      <c r="U665" s="11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26" t="n">
        <v>71.88</v>
      </c>
      <c r="W665" s="26" t="n">
        <v>63.51</v>
      </c>
      <c r="X665" s="26">
        <f>ROUND(('Methodology &amp; Assumptions'!$B$5*V665) + ('Methodology &amp; Assumptions'!$B$6*W665), 2)</f>
        <v/>
      </c>
      <c r="Y665" s="28" t="n">
        <v>7.2</v>
      </c>
      <c r="Z665" s="11" t="inlineStr">
        <is>
          <t>Priority Tier 2 (Balanced Opportunity)</t>
        </is>
      </c>
    </row>
    <row r="666">
      <c r="A666" s="23" t="n">
        <v>1</v>
      </c>
      <c r="B666" s="23" t="n">
        <v>662</v>
      </c>
      <c r="C666" s="23" t="n">
        <v>662</v>
      </c>
      <c r="D666" s="23" t="inlineStr">
        <is>
          <t>1381300136</t>
        </is>
      </c>
      <c r="E666" s="11" t="inlineStr">
        <is>
          <t>National Capital Region (NCR)</t>
        </is>
      </c>
      <c r="F666" s="11" t="inlineStr">
        <is>
          <t>Second District (Not a Province)</t>
        </is>
      </c>
      <c r="G666" s="11" t="inlineStr">
        <is>
          <t>Quezon City</t>
        </is>
      </c>
      <c r="H666" s="11" t="inlineStr">
        <is>
          <t>Capri</t>
        </is>
      </c>
      <c r="I666" s="24" t="n">
        <v>14.717254</v>
      </c>
      <c r="J666" s="24" t="n">
        <v>121.02866</v>
      </c>
      <c r="K666" s="23" t="inlineStr">
        <is>
          <t>U</t>
        </is>
      </c>
      <c r="L666" s="25" t="n">
        <v>12940</v>
      </c>
      <c r="M666" s="26" t="n">
        <v>3.9</v>
      </c>
      <c r="N666" s="25">
        <f>ROUND(L666/M666, 0)</f>
        <v/>
      </c>
      <c r="O666" s="25">
        <f>ROUND(N666*'Methodology &amp; Assumptions'!$B$7, 0)</f>
        <v/>
      </c>
      <c r="P666" s="23" t="inlineStr">
        <is>
          <t>Single Carrier (Band n50, 100MHz TDD)</t>
        </is>
      </c>
      <c r="Q666" s="27">
        <f>ROUNDUP(O666/'Methodology &amp; Assumptions'!$B$8, 0)</f>
        <v/>
      </c>
      <c r="R666" s="27" t="n">
        <v>1</v>
      </c>
      <c r="S666" s="26" t="n">
        <v>1.52</v>
      </c>
      <c r="T666" s="26" t="n">
        <v>0.37</v>
      </c>
      <c r="U666" s="11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26" t="n">
        <v>66.54000000000001</v>
      </c>
      <c r="W666" s="26" t="n">
        <v>68.84999999999999</v>
      </c>
      <c r="X666" s="26">
        <f>ROUND(('Methodology &amp; Assumptions'!$B$5*V666) + ('Methodology &amp; Assumptions'!$B$6*W666), 2)</f>
        <v/>
      </c>
      <c r="Y666" s="28" t="n">
        <v>10.9</v>
      </c>
      <c r="Z666" s="11" t="inlineStr">
        <is>
          <t>Priority Tier 2 (Balanced Opportunity)</t>
        </is>
      </c>
    </row>
    <row r="667">
      <c r="A667" s="23" t="n">
        <v>1</v>
      </c>
      <c r="B667" s="23" t="n">
        <v>663</v>
      </c>
      <c r="C667" s="23" t="n">
        <v>663</v>
      </c>
      <c r="D667" s="23" t="inlineStr">
        <is>
          <t>1108602034</t>
        </is>
      </c>
      <c r="E667" s="11" t="inlineStr">
        <is>
          <t>Region XI (Davao Region)</t>
        </is>
      </c>
      <c r="F667" s="11" t="inlineStr">
        <is>
          <t>Davao Occidental</t>
        </is>
      </c>
      <c r="G667" s="11" t="inlineStr">
        <is>
          <t>Jose Abad Santos</t>
        </is>
      </c>
      <c r="H667" s="11" t="inlineStr">
        <is>
          <t>Tabayon</t>
        </is>
      </c>
      <c r="I667" s="24" t="n">
        <v>5.822824</v>
      </c>
      <c r="J667" s="24" t="n">
        <v>125.516526</v>
      </c>
      <c r="K667" s="23" t="inlineStr">
        <is>
          <t>R</t>
        </is>
      </c>
      <c r="L667" s="25" t="n">
        <v>3658</v>
      </c>
      <c r="M667" s="26" t="n">
        <v>3.6</v>
      </c>
      <c r="N667" s="25">
        <f>ROUND(L667/M667, 0)</f>
        <v/>
      </c>
      <c r="O667" s="25">
        <f>ROUND(N667*'Methodology &amp; Assumptions'!$B$7, 0)</f>
        <v/>
      </c>
      <c r="P667" s="23" t="inlineStr">
        <is>
          <t>Single Carrier (Band n50, 100MHz TDD)</t>
        </is>
      </c>
      <c r="Q667" s="27">
        <f>ROUNDUP(O667/'Methodology &amp; Assumptions'!$B$8, 0)</f>
        <v/>
      </c>
      <c r="R667" s="27" t="n">
        <v>1</v>
      </c>
      <c r="S667" s="26" t="n">
        <v>40.99</v>
      </c>
      <c r="T667" s="26" t="n">
        <v>49.03</v>
      </c>
      <c r="U667" s="11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26" t="n">
        <v>61.82</v>
      </c>
      <c r="W667" s="26" t="n">
        <v>73.56999999999999</v>
      </c>
      <c r="X667" s="26">
        <f>ROUND(('Methodology &amp; Assumptions'!$B$5*V667) + ('Methodology &amp; Assumptions'!$B$6*W667), 2)</f>
        <v/>
      </c>
      <c r="Y667" s="28" t="n">
        <v>17.4</v>
      </c>
      <c r="Z667" s="11" t="inlineStr">
        <is>
          <t>Priority Tier 2 (Balanced Opportunity)</t>
        </is>
      </c>
    </row>
    <row r="668">
      <c r="A668" s="23" t="n">
        <v>1</v>
      </c>
      <c r="B668" s="23" t="n">
        <v>664</v>
      </c>
      <c r="C668" s="23" t="n">
        <v>664</v>
      </c>
      <c r="D668" s="23" t="inlineStr">
        <is>
          <t>1108603013</t>
        </is>
      </c>
      <c r="E668" s="11" t="inlineStr">
        <is>
          <t>Region XI (Davao Region)</t>
        </is>
      </c>
      <c r="F668" s="11" t="inlineStr">
        <is>
          <t>Davao Occidental</t>
        </is>
      </c>
      <c r="G668" s="11" t="inlineStr">
        <is>
          <t>Malita</t>
        </is>
      </c>
      <c r="H668" s="11" t="inlineStr">
        <is>
          <t>Kinangan</t>
        </is>
      </c>
      <c r="I668" s="24" t="n">
        <v>6.316143</v>
      </c>
      <c r="J668" s="24" t="n">
        <v>125.54937</v>
      </c>
      <c r="K668" s="23" t="inlineStr">
        <is>
          <t>R</t>
        </is>
      </c>
      <c r="L668" s="25" t="n">
        <v>3123</v>
      </c>
      <c r="M668" s="26" t="n">
        <v>3.6</v>
      </c>
      <c r="N668" s="25">
        <f>ROUND(L668/M668, 0)</f>
        <v/>
      </c>
      <c r="O668" s="25">
        <f>ROUND(N668*'Methodology &amp; Assumptions'!$B$7, 0)</f>
        <v/>
      </c>
      <c r="P668" s="23" t="inlineStr">
        <is>
          <t>Single Carrier (Band n50, 100MHz TDD)</t>
        </is>
      </c>
      <c r="Q668" s="27">
        <f>ROUNDUP(O668/'Methodology &amp; Assumptions'!$B$8, 0)</f>
        <v/>
      </c>
      <c r="R668" s="27" t="n">
        <v>1</v>
      </c>
      <c r="S668" s="26" t="n">
        <v>30.8</v>
      </c>
      <c r="T668" s="26" t="n">
        <v>29.24</v>
      </c>
      <c r="U668" s="11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26" t="n">
        <v>61.82</v>
      </c>
      <c r="W668" s="26" t="n">
        <v>73.56999999999999</v>
      </c>
      <c r="X668" s="26">
        <f>ROUND(('Methodology &amp; Assumptions'!$B$5*V668) + ('Methodology &amp; Assumptions'!$B$6*W668), 2)</f>
        <v/>
      </c>
      <c r="Y668" s="28" t="n">
        <v>17.4</v>
      </c>
      <c r="Z668" s="11" t="inlineStr">
        <is>
          <t>Priority Tier 2 (Balanced Opportunity)</t>
        </is>
      </c>
    </row>
    <row r="669">
      <c r="A669" s="23" t="n">
        <v>1</v>
      </c>
      <c r="B669" s="23" t="n">
        <v>665</v>
      </c>
      <c r="C669" s="23" t="n">
        <v>665</v>
      </c>
      <c r="D669" s="23" t="inlineStr">
        <is>
          <t>1380500010</t>
        </is>
      </c>
      <c r="E669" s="11" t="inlineStr">
        <is>
          <t>National Capital Region (NCR)</t>
        </is>
      </c>
      <c r="F669" s="11" t="inlineStr">
        <is>
          <t>Second District (Not a Province)</t>
        </is>
      </c>
      <c r="G669" s="11" t="inlineStr">
        <is>
          <t>City of Mandaluyong</t>
        </is>
      </c>
      <c r="H669" s="11" t="inlineStr">
        <is>
          <t>Hagdang Bato Itaas</t>
        </is>
      </c>
      <c r="I669" s="24" t="n">
        <v>14.588099</v>
      </c>
      <c r="J669" s="24" t="n">
        <v>121.032699</v>
      </c>
      <c r="K669" s="23" t="inlineStr">
        <is>
          <t>U</t>
        </is>
      </c>
      <c r="L669" s="25" t="n">
        <v>10303</v>
      </c>
      <c r="M669" s="26" t="n">
        <v>3.39</v>
      </c>
      <c r="N669" s="25">
        <f>ROUND(L669/M669, 0)</f>
        <v/>
      </c>
      <c r="O669" s="25">
        <f>ROUND(N669*'Methodology &amp; Assumptions'!$B$7, 0)</f>
        <v/>
      </c>
      <c r="P669" s="23" t="inlineStr">
        <is>
          <t>Single Carrier (Band n50, 100MHz TDD)</t>
        </is>
      </c>
      <c r="Q669" s="27">
        <f>ROUNDUP(O669/'Methodology &amp; Assumptions'!$B$8, 0)</f>
        <v/>
      </c>
      <c r="R669" s="27" t="n">
        <v>1</v>
      </c>
      <c r="S669" s="26" t="n">
        <v>0.53</v>
      </c>
      <c r="T669" s="26" t="n">
        <v>0.17</v>
      </c>
      <c r="U669" s="11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26" t="n">
        <v>69.09</v>
      </c>
      <c r="W669" s="26" t="n">
        <v>66.26000000000001</v>
      </c>
      <c r="X669" s="26">
        <f>ROUND(('Methodology &amp; Assumptions'!$B$5*V669) + ('Methodology &amp; Assumptions'!$B$6*W669), 2)</f>
        <v/>
      </c>
      <c r="Y669" s="28" t="n">
        <v>10.9</v>
      </c>
      <c r="Z669" s="11" t="inlineStr">
        <is>
          <t>Priority Tier 2 (Balanced Opportunity)</t>
        </is>
      </c>
    </row>
    <row r="670">
      <c r="A670" s="23" t="n">
        <v>1</v>
      </c>
      <c r="B670" s="23" t="n">
        <v>666</v>
      </c>
      <c r="C670" s="23" t="n">
        <v>666</v>
      </c>
      <c r="D670" s="23" t="inlineStr">
        <is>
          <t>1102506018</t>
        </is>
      </c>
      <c r="E670" s="11" t="inlineStr">
        <is>
          <t>Region XI (Davao Region)</t>
        </is>
      </c>
      <c r="F670" s="11" t="inlineStr">
        <is>
          <t>Davao Oriental</t>
        </is>
      </c>
      <c r="G670" s="11" t="inlineStr">
        <is>
          <t>Governor Generoso</t>
        </is>
      </c>
      <c r="H670" s="11" t="inlineStr">
        <is>
          <t>Tiblawan</t>
        </is>
      </c>
      <c r="I670" s="24" t="n">
        <v>6.486146</v>
      </c>
      <c r="J670" s="24" t="n">
        <v>126.143678</v>
      </c>
      <c r="K670" s="23" t="inlineStr">
        <is>
          <t>R</t>
        </is>
      </c>
      <c r="L670" s="25" t="n">
        <v>4646</v>
      </c>
      <c r="M670" s="26" t="n">
        <v>3.6</v>
      </c>
      <c r="N670" s="25">
        <f>ROUND(L670/M670, 0)</f>
        <v/>
      </c>
      <c r="O670" s="25">
        <f>ROUND(N670*'Methodology &amp; Assumptions'!$B$7, 0)</f>
        <v/>
      </c>
      <c r="P670" s="23" t="inlineStr">
        <is>
          <t>Single Carrier (Band n50, 100MHz TDD)</t>
        </is>
      </c>
      <c r="Q670" s="27">
        <f>ROUNDUP(O670/'Methodology &amp; Assumptions'!$B$8, 0)</f>
        <v/>
      </c>
      <c r="R670" s="27" t="n">
        <v>1</v>
      </c>
      <c r="S670" s="26" t="n">
        <v>47.86</v>
      </c>
      <c r="T670" s="26" t="n">
        <v>43.78</v>
      </c>
      <c r="U670" s="11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26" t="n">
        <v>61.82</v>
      </c>
      <c r="W670" s="26" t="n">
        <v>73.54000000000001</v>
      </c>
      <c r="X670" s="26">
        <f>ROUND(('Methodology &amp; Assumptions'!$B$5*V670) + ('Methodology &amp; Assumptions'!$B$6*W670), 2)</f>
        <v/>
      </c>
      <c r="Y670" s="28" t="n">
        <v>17.4</v>
      </c>
      <c r="Z670" s="11" t="inlineStr">
        <is>
          <t>Priority Tier 2 (Balanced Opportunity)</t>
        </is>
      </c>
    </row>
    <row r="671">
      <c r="A671" s="23" t="n">
        <v>1</v>
      </c>
      <c r="B671" s="23" t="n">
        <v>667</v>
      </c>
      <c r="C671" s="23" t="n">
        <v>667</v>
      </c>
      <c r="D671" s="23" t="inlineStr">
        <is>
          <t>0405804037</t>
        </is>
      </c>
      <c r="E671" s="11" t="inlineStr">
        <is>
          <t>Region IV-A (CALABARZON)</t>
        </is>
      </c>
      <c r="F671" s="11" t="inlineStr">
        <is>
          <t>Rizal</t>
        </is>
      </c>
      <c r="G671" s="11" t="inlineStr">
        <is>
          <t>Binangonan</t>
        </is>
      </c>
      <c r="H671" s="11" t="inlineStr">
        <is>
          <t>Layunan</t>
        </is>
      </c>
      <c r="I671" s="24" t="n">
        <v>14.468451</v>
      </c>
      <c r="J671" s="24" t="n">
        <v>121.193367</v>
      </c>
      <c r="K671" s="23" t="inlineStr">
        <is>
          <t>U</t>
        </is>
      </c>
      <c r="L671" s="25" t="n">
        <v>2465</v>
      </c>
      <c r="M671" s="26" t="n">
        <v>3.6</v>
      </c>
      <c r="N671" s="25">
        <f>ROUND(L671/M671, 0)</f>
        <v/>
      </c>
      <c r="O671" s="25">
        <f>ROUND(N671*'Methodology &amp; Assumptions'!$B$7, 0)</f>
        <v/>
      </c>
      <c r="P671" s="23" t="inlineStr">
        <is>
          <t>Single Carrier (Band n50, 100MHz TDD)</t>
        </is>
      </c>
      <c r="Q671" s="27">
        <f>ROUNDUP(O671/'Methodology &amp; Assumptions'!$B$8, 0)</f>
        <v/>
      </c>
      <c r="R671" s="27" t="n">
        <v>1</v>
      </c>
      <c r="S671" s="26" t="n">
        <v>1.09</v>
      </c>
      <c r="T671" s="26" t="n">
        <v>0.22</v>
      </c>
      <c r="U671" s="11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26" t="n">
        <v>73.09999999999999</v>
      </c>
      <c r="W671" s="26" t="n">
        <v>62.24</v>
      </c>
      <c r="X671" s="26">
        <f>ROUND(('Methodology &amp; Assumptions'!$B$5*V671) + ('Methodology &amp; Assumptions'!$B$6*W671), 2)</f>
        <v/>
      </c>
      <c r="Y671" s="28" t="n">
        <v>7.2</v>
      </c>
      <c r="Z671" s="11" t="inlineStr">
        <is>
          <t>Priority Tier 2 (Balanced Opportunity)</t>
        </is>
      </c>
    </row>
    <row r="672">
      <c r="A672" s="23" t="n">
        <v>1</v>
      </c>
      <c r="B672" s="23" t="n">
        <v>668</v>
      </c>
      <c r="C672" s="23" t="n">
        <v>668</v>
      </c>
      <c r="D672" s="23" t="inlineStr">
        <is>
          <t>1102319026</t>
        </is>
      </c>
      <c r="E672" s="11" t="inlineStr">
        <is>
          <t>Region XI (Davao Region)</t>
        </is>
      </c>
      <c r="F672" s="11" t="inlineStr">
        <is>
          <t>Davao del Norte</t>
        </is>
      </c>
      <c r="G672" s="11" t="inlineStr">
        <is>
          <t>City of Tagum</t>
        </is>
      </c>
      <c r="H672" s="11" t="inlineStr">
        <is>
          <t>Magugpo West</t>
        </is>
      </c>
      <c r="I672" s="24" t="n">
        <v>7.45709</v>
      </c>
      <c r="J672" s="24" t="n">
        <v>125.8052</v>
      </c>
      <c r="K672" s="23" t="inlineStr">
        <is>
          <t>U</t>
        </is>
      </c>
      <c r="L672" s="25" t="n">
        <v>13141</v>
      </c>
      <c r="M672" s="26" t="n">
        <v>3.7</v>
      </c>
      <c r="N672" s="25">
        <f>ROUND(L672/M672, 0)</f>
        <v/>
      </c>
      <c r="O672" s="25">
        <f>ROUND(N672*'Methodology &amp; Assumptions'!$B$7, 0)</f>
        <v/>
      </c>
      <c r="P672" s="23" t="inlineStr">
        <is>
          <t>Single Carrier (Band n50, 100MHz TDD)</t>
        </is>
      </c>
      <c r="Q672" s="27">
        <f>ROUNDUP(O672/'Methodology &amp; Assumptions'!$B$8, 0)</f>
        <v/>
      </c>
      <c r="R672" s="27" t="n">
        <v>1</v>
      </c>
      <c r="S672" s="26" t="n">
        <v>1.68</v>
      </c>
      <c r="T672" s="26" t="n">
        <v>0.68</v>
      </c>
      <c r="U672" s="11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26" t="n">
        <v>76.72</v>
      </c>
      <c r="W672" s="26" t="n">
        <v>58.6</v>
      </c>
      <c r="X672" s="26">
        <f>ROUND(('Methodology &amp; Assumptions'!$B$5*V672) + ('Methodology &amp; Assumptions'!$B$6*W672), 2)</f>
        <v/>
      </c>
      <c r="Y672" s="28" t="n">
        <v>17.4</v>
      </c>
      <c r="Z672" s="11" t="inlineStr">
        <is>
          <t>Priority Tier 2 (Balanced Opportunity)</t>
        </is>
      </c>
    </row>
    <row r="673">
      <c r="A673" s="23" t="n">
        <v>1</v>
      </c>
      <c r="B673" s="23" t="n">
        <v>669</v>
      </c>
      <c r="C673" s="23" t="n">
        <v>669</v>
      </c>
      <c r="D673" s="23" t="inlineStr">
        <is>
          <t>0402108026</t>
        </is>
      </c>
      <c r="E673" s="11" t="inlineStr">
        <is>
          <t>Region IV-A (CALABARZON)</t>
        </is>
      </c>
      <c r="F673" s="11" t="inlineStr">
        <is>
          <t>Cavite</t>
        </is>
      </c>
      <c r="G673" s="11" t="inlineStr">
        <is>
          <t>City of General Trias</t>
        </is>
      </c>
      <c r="H673" s="11" t="inlineStr">
        <is>
          <t>Santa Clara</t>
        </is>
      </c>
      <c r="I673" s="24" t="n">
        <v>14.380881</v>
      </c>
      <c r="J673" s="24" t="n">
        <v>120.881597</v>
      </c>
      <c r="K673" s="23" t="inlineStr">
        <is>
          <t>R</t>
        </is>
      </c>
      <c r="L673" s="25" t="n">
        <v>3542</v>
      </c>
      <c r="M673" s="26" t="n">
        <v>3.4</v>
      </c>
      <c r="N673" s="25">
        <f>ROUND(L673/M673, 0)</f>
        <v/>
      </c>
      <c r="O673" s="25">
        <f>ROUND(N673*'Methodology &amp; Assumptions'!$B$7, 0)</f>
        <v/>
      </c>
      <c r="P673" s="23" t="inlineStr">
        <is>
          <t>Single Carrier (Band n50, 100MHz TDD)</t>
        </is>
      </c>
      <c r="Q673" s="27">
        <f>ROUNDUP(O673/'Methodology &amp; Assumptions'!$B$8, 0)</f>
        <v/>
      </c>
      <c r="R673" s="27" t="n">
        <v>1</v>
      </c>
      <c r="S673" s="26" t="n">
        <v>1.6</v>
      </c>
      <c r="T673" s="26" t="n">
        <v>2.32</v>
      </c>
      <c r="U673" s="11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26" t="n">
        <v>79.11</v>
      </c>
      <c r="W673" s="26" t="n">
        <v>56.19</v>
      </c>
      <c r="X673" s="26">
        <f>ROUND(('Methodology &amp; Assumptions'!$B$5*V673) + ('Methodology &amp; Assumptions'!$B$6*W673), 2)</f>
        <v/>
      </c>
      <c r="Y673" s="28" t="n">
        <v>7.2</v>
      </c>
      <c r="Z673" s="11" t="inlineStr">
        <is>
          <t>Priority Tier 2 (Balanced Opportunity)</t>
        </is>
      </c>
    </row>
    <row r="674">
      <c r="A674" s="23" t="n">
        <v>1</v>
      </c>
      <c r="B674" s="23" t="n">
        <v>670</v>
      </c>
      <c r="C674" s="23" t="n">
        <v>670</v>
      </c>
      <c r="D674" s="23" t="inlineStr">
        <is>
          <t>1381300046</t>
        </is>
      </c>
      <c r="E674" s="11" t="inlineStr">
        <is>
          <t>National Capital Region (NCR)</t>
        </is>
      </c>
      <c r="F674" s="11" t="inlineStr">
        <is>
          <t>Second District (Not a Province)</t>
        </is>
      </c>
      <c r="G674" s="11" t="inlineStr">
        <is>
          <t>Quezon City</t>
        </is>
      </c>
      <c r="H674" s="11" t="inlineStr">
        <is>
          <t>Kaligayahan</t>
        </is>
      </c>
      <c r="I674" s="24" t="n">
        <v>14.738169</v>
      </c>
      <c r="J674" s="24" t="n">
        <v>121.05085</v>
      </c>
      <c r="K674" s="23" t="inlineStr">
        <is>
          <t>U</t>
        </is>
      </c>
      <c r="L674" s="25" t="n">
        <v>62132</v>
      </c>
      <c r="M674" s="26" t="n">
        <v>3.84</v>
      </c>
      <c r="N674" s="25">
        <f>ROUND(L674/M674, 0)</f>
        <v/>
      </c>
      <c r="O674" s="25">
        <f>ROUND(N674*'Methodology &amp; Assumptions'!$B$7, 0)</f>
        <v/>
      </c>
      <c r="P674" s="23" t="inlineStr">
        <is>
          <t>Single Carrier (Band n50, 100MHz TDD)</t>
        </is>
      </c>
      <c r="Q674" s="27">
        <f>ROUNDUP(O674/'Methodology &amp; Assumptions'!$B$8, 0)</f>
        <v/>
      </c>
      <c r="R674" s="27" t="n">
        <v>1</v>
      </c>
      <c r="S674" s="26" t="n">
        <v>1.42</v>
      </c>
      <c r="T674" s="26" t="n">
        <v>0.54</v>
      </c>
      <c r="U674" s="11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26" t="n">
        <v>63.77</v>
      </c>
      <c r="W674" s="26" t="n">
        <v>71.52</v>
      </c>
      <c r="X674" s="26">
        <f>ROUND(('Methodology &amp; Assumptions'!$B$5*V674) + ('Methodology &amp; Assumptions'!$B$6*W674), 2)</f>
        <v/>
      </c>
      <c r="Y674" s="28" t="n">
        <v>10.9</v>
      </c>
      <c r="Z674" s="11" t="inlineStr">
        <is>
          <t>Priority Tier 2 (Balanced Opportunity)</t>
        </is>
      </c>
    </row>
    <row r="675">
      <c r="A675" s="23" t="n">
        <v>1</v>
      </c>
      <c r="B675" s="23" t="n">
        <v>671</v>
      </c>
      <c r="C675" s="23" t="n">
        <v>671</v>
      </c>
      <c r="D675" s="23" t="inlineStr">
        <is>
          <t>1380601110</t>
        </is>
      </c>
      <c r="E675" s="11" t="inlineStr">
        <is>
          <t>National Capital Region (NCR)</t>
        </is>
      </c>
      <c r="F675" s="11" t="inlineStr">
        <is>
          <t>First District (Not a Province)</t>
        </is>
      </c>
      <c r="G675" s="11" t="inlineStr">
        <is>
          <t>City of Manila</t>
        </is>
      </c>
      <c r="H675" s="11" t="inlineStr">
        <is>
          <t>Barangay 110</t>
        </is>
      </c>
      <c r="I675" s="24" t="n">
        <v>14.617099</v>
      </c>
      <c r="J675" s="24" t="n">
        <v>120.960868</v>
      </c>
      <c r="K675" s="23" t="inlineStr">
        <is>
          <t>U</t>
        </is>
      </c>
      <c r="L675" s="25" t="n">
        <v>2431</v>
      </c>
      <c r="M675" s="26" t="n">
        <v>4.57</v>
      </c>
      <c r="N675" s="25">
        <f>ROUND(L675/M675, 0)</f>
        <v/>
      </c>
      <c r="O675" s="25">
        <f>ROUND(N675*'Methodology &amp; Assumptions'!$B$7, 0)</f>
        <v/>
      </c>
      <c r="P675" s="23" t="inlineStr">
        <is>
          <t>Single Carrier (Band n50, 100MHz TDD)</t>
        </is>
      </c>
      <c r="Q675" s="27">
        <f>ROUNDUP(O675/'Methodology &amp; Assumptions'!$B$8, 0)</f>
        <v/>
      </c>
      <c r="R675" s="27" t="n">
        <v>1</v>
      </c>
      <c r="S675" s="26" t="n">
        <v>0.22</v>
      </c>
      <c r="T675" s="26" t="n">
        <v>0.41</v>
      </c>
      <c r="U675" s="11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26" t="n">
        <v>58.23</v>
      </c>
      <c r="W675" s="26" t="n">
        <v>77.04000000000001</v>
      </c>
      <c r="X675" s="26">
        <f>ROUND(('Methodology &amp; Assumptions'!$B$5*V675) + ('Methodology &amp; Assumptions'!$B$6*W675), 2)</f>
        <v/>
      </c>
      <c r="Y675" s="28" t="n">
        <v>10.9</v>
      </c>
      <c r="Z675" s="11" t="inlineStr">
        <is>
          <t>Priority Tier 2 (Balanced Opportunity)</t>
        </is>
      </c>
    </row>
    <row r="676">
      <c r="A676" s="23" t="n">
        <v>1</v>
      </c>
      <c r="B676" s="23" t="n">
        <v>672</v>
      </c>
      <c r="C676" s="23" t="n">
        <v>672</v>
      </c>
      <c r="D676" s="23" t="inlineStr">
        <is>
          <t>1380400012</t>
        </is>
      </c>
      <c r="E676" s="11" t="inlineStr">
        <is>
          <t>National Capital Region (NCR)</t>
        </is>
      </c>
      <c r="F676" s="11" t="inlineStr">
        <is>
          <t>Third District (Not a Province)</t>
        </is>
      </c>
      <c r="G676" s="11" t="inlineStr">
        <is>
          <t>City of Malabon</t>
        </is>
      </c>
      <c r="H676" s="11" t="inlineStr">
        <is>
          <t>Muzon</t>
        </is>
      </c>
      <c r="I676" s="24" t="n">
        <v>14.676218</v>
      </c>
      <c r="J676" s="24" t="n">
        <v>120.949681</v>
      </c>
      <c r="K676" s="23" t="inlineStr">
        <is>
          <t>U</t>
        </is>
      </c>
      <c r="L676" s="25" t="n">
        <v>6127</v>
      </c>
      <c r="M676" s="26" t="n">
        <v>3.46</v>
      </c>
      <c r="N676" s="25">
        <f>ROUND(L676/M676, 0)</f>
        <v/>
      </c>
      <c r="O676" s="25">
        <f>ROUND(N676*'Methodology &amp; Assumptions'!$B$7, 0)</f>
        <v/>
      </c>
      <c r="P676" s="23" t="inlineStr">
        <is>
          <t>Single Carrier (Band n50, 100MHz TDD)</t>
        </is>
      </c>
      <c r="Q676" s="27">
        <f>ROUNDUP(O676/'Methodology &amp; Assumptions'!$B$8, 0)</f>
        <v/>
      </c>
      <c r="R676" s="27" t="n">
        <v>1</v>
      </c>
      <c r="S676" s="26" t="n">
        <v>0.59</v>
      </c>
      <c r="T676" s="26" t="n">
        <v>0.63</v>
      </c>
      <c r="U676" s="11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26" t="n">
        <v>69.09</v>
      </c>
      <c r="W676" s="26" t="n">
        <v>66.16</v>
      </c>
      <c r="X676" s="26">
        <f>ROUND(('Methodology &amp; Assumptions'!$B$5*V676) + ('Methodology &amp; Assumptions'!$B$6*W676), 2)</f>
        <v/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1</v>
      </c>
      <c r="B677" s="23" t="n">
        <v>673</v>
      </c>
      <c r="C677" s="23" t="n">
        <v>673</v>
      </c>
      <c r="D677" s="23" t="inlineStr">
        <is>
          <t>1380601050</t>
        </is>
      </c>
      <c r="E677" s="11" t="inlineStr">
        <is>
          <t>National Capital Region (NCR)</t>
        </is>
      </c>
      <c r="F677" s="11" t="inlineStr">
        <is>
          <t>First District (Not a Province)</t>
        </is>
      </c>
      <c r="G677" s="11" t="inlineStr">
        <is>
          <t>City of Manila</t>
        </is>
      </c>
      <c r="H677" s="11" t="inlineStr">
        <is>
          <t>Barangay 50</t>
        </is>
      </c>
      <c r="I677" s="24" t="n">
        <v>14.613645</v>
      </c>
      <c r="J677" s="24" t="n">
        <v>120.973173</v>
      </c>
      <c r="K677" s="23" t="inlineStr">
        <is>
          <t>U</t>
        </is>
      </c>
      <c r="L677" s="25" t="n">
        <v>3806</v>
      </c>
      <c r="M677" s="26" t="n">
        <v>4.94</v>
      </c>
      <c r="N677" s="25">
        <f>ROUND(L677/M677, 0)</f>
        <v/>
      </c>
      <c r="O677" s="25">
        <f>ROUND(N677*'Methodology &amp; Assumptions'!$B$7, 0)</f>
        <v/>
      </c>
      <c r="P677" s="23" t="inlineStr">
        <is>
          <t>Single Carrier (Band n50, 100MHz TDD)</t>
        </is>
      </c>
      <c r="Q677" s="27">
        <f>ROUNDUP(O677/'Methodology &amp; Assumptions'!$B$8, 0)</f>
        <v/>
      </c>
      <c r="R677" s="27" t="n">
        <v>1</v>
      </c>
      <c r="S677" s="26" t="n">
        <v>0.85</v>
      </c>
      <c r="T677" s="26" t="n">
        <v>0.49</v>
      </c>
      <c r="U677" s="11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26" t="n">
        <v>65.8</v>
      </c>
      <c r="W677" s="26" t="n">
        <v>69.44</v>
      </c>
      <c r="X677" s="26">
        <f>ROUND(('Methodology &amp; Assumptions'!$B$5*V677) + ('Methodology &amp; Assumptions'!$B$6*W677), 2)</f>
        <v/>
      </c>
      <c r="Y677" s="28" t="n">
        <v>10.9</v>
      </c>
      <c r="Z677" s="11" t="inlineStr">
        <is>
          <t>Priority Tier 2 (Balanced Opportunity)</t>
        </is>
      </c>
    </row>
    <row r="678">
      <c r="A678" s="23" t="n">
        <v>1</v>
      </c>
      <c r="B678" s="23" t="n">
        <v>674</v>
      </c>
      <c r="C678" s="23" t="n">
        <v>674</v>
      </c>
      <c r="D678" s="23" t="inlineStr">
        <is>
          <t>1108202011</t>
        </is>
      </c>
      <c r="E678" s="11" t="inlineStr">
        <is>
          <t>Region XI (Davao Region)</t>
        </is>
      </c>
      <c r="F678" s="11" t="inlineStr">
        <is>
          <t>Davao de Oro</t>
        </is>
      </c>
      <c r="G678" s="11" t="inlineStr">
        <is>
          <t>Laak</t>
        </is>
      </c>
      <c r="H678" s="11" t="inlineStr">
        <is>
          <t>Langtud</t>
        </is>
      </c>
      <c r="I678" s="24" t="n">
        <v>7.807969</v>
      </c>
      <c r="J678" s="24" t="n">
        <v>125.838903</v>
      </c>
      <c r="K678" s="23" t="inlineStr">
        <is>
          <t>R</t>
        </is>
      </c>
      <c r="L678" s="25" t="n">
        <v>3066</v>
      </c>
      <c r="M678" s="26" t="n">
        <v>3.7</v>
      </c>
      <c r="N678" s="25">
        <f>ROUND(L678/M678, 0)</f>
        <v/>
      </c>
      <c r="O678" s="25">
        <f>ROUND(N678*'Methodology &amp; Assumptions'!$B$7, 0)</f>
        <v/>
      </c>
      <c r="P678" s="23" t="inlineStr">
        <is>
          <t>Single Carrier (Band n50, 100MHz TDD)</t>
        </is>
      </c>
      <c r="Q678" s="27">
        <f>ROUNDUP(O678/'Methodology &amp; Assumptions'!$B$8, 0)</f>
        <v/>
      </c>
      <c r="R678" s="27" t="n">
        <v>1</v>
      </c>
      <c r="S678" s="26" t="n">
        <v>24.03</v>
      </c>
      <c r="T678" s="26" t="n">
        <v>18.92</v>
      </c>
      <c r="U678" s="11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26" t="n">
        <v>61.16</v>
      </c>
      <c r="W678" s="26" t="n">
        <v>74.08</v>
      </c>
      <c r="X678" s="26">
        <f>ROUND(('Methodology &amp; Assumptions'!$B$5*V678) + ('Methodology &amp; Assumptions'!$B$6*W678), 2)</f>
        <v/>
      </c>
      <c r="Y678" s="28" t="n">
        <v>17.4</v>
      </c>
      <c r="Z678" s="11" t="inlineStr">
        <is>
          <t>Priority Tier 2 (Balanced Opportunity)</t>
        </is>
      </c>
    </row>
    <row r="679">
      <c r="A679" s="23" t="n">
        <v>1</v>
      </c>
      <c r="B679" s="23" t="n">
        <v>675</v>
      </c>
      <c r="C679" s="23" t="n">
        <v>675</v>
      </c>
      <c r="D679" s="23" t="inlineStr">
        <is>
          <t>0300803010</t>
        </is>
      </c>
      <c r="E679" s="11" t="inlineStr">
        <is>
          <t>Region III (Central Luzon)</t>
        </is>
      </c>
      <c r="F679" s="11" t="inlineStr">
        <is>
          <t>Bataan</t>
        </is>
      </c>
      <c r="G679" s="11" t="inlineStr">
        <is>
          <t>City of Balanga</t>
        </is>
      </c>
      <c r="H679" s="11" t="inlineStr">
        <is>
          <t>Dangcol</t>
        </is>
      </c>
      <c r="I679" s="24" t="n">
        <v>14.677857</v>
      </c>
      <c r="J679" s="24" t="n">
        <v>120.447285</v>
      </c>
      <c r="K679" s="23" t="inlineStr">
        <is>
          <t>R</t>
        </is>
      </c>
      <c r="L679" s="25" t="n">
        <v>1855</v>
      </c>
      <c r="M679" s="26" t="n">
        <v>3.6</v>
      </c>
      <c r="N679" s="25">
        <f>ROUND(L679/M679, 0)</f>
        <v/>
      </c>
      <c r="O679" s="25">
        <f>ROUND(N679*'Methodology &amp; Assumptions'!$B$7, 0)</f>
        <v/>
      </c>
      <c r="P679" s="23" t="inlineStr">
        <is>
          <t>Single Carrier (Band n50, 100MHz TDD)</t>
        </is>
      </c>
      <c r="Q679" s="27">
        <f>ROUNDUP(O679/'Methodology &amp; Assumptions'!$B$8, 0)</f>
        <v/>
      </c>
      <c r="R679" s="27" t="n">
        <v>1</v>
      </c>
      <c r="S679" s="26" t="n">
        <v>9.619999999999999</v>
      </c>
      <c r="T679" s="26" t="n">
        <v>4.95</v>
      </c>
      <c r="U679" s="11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26" t="n">
        <v>55.48</v>
      </c>
      <c r="W679" s="26" t="n">
        <v>79.75</v>
      </c>
      <c r="X679" s="26">
        <f>ROUND(('Methodology &amp; Assumptions'!$B$5*V679) + ('Methodology &amp; Assumptions'!$B$6*W679), 2)</f>
        <v/>
      </c>
      <c r="Y679" s="28" t="n">
        <v>8.300000000000001</v>
      </c>
      <c r="Z679" s="11" t="inlineStr">
        <is>
          <t>Priority Tier 2 (Balanced Opportunity)</t>
        </is>
      </c>
    </row>
    <row r="680">
      <c r="A680" s="23" t="n">
        <v>1</v>
      </c>
      <c r="B680" s="23" t="n">
        <v>676</v>
      </c>
      <c r="C680" s="23" t="n">
        <v>676</v>
      </c>
      <c r="D680" s="23" t="inlineStr">
        <is>
          <t>0205008021</t>
        </is>
      </c>
      <c r="E680" s="11" t="inlineStr">
        <is>
          <t>Region II (Cagayan Valley)</t>
        </is>
      </c>
      <c r="F680" s="11" t="inlineStr">
        <is>
          <t>Nueva Vizcaya</t>
        </is>
      </c>
      <c r="G680" s="11" t="inlineStr">
        <is>
          <t>Dupax del Sur</t>
        </is>
      </c>
      <c r="H680" s="11" t="inlineStr">
        <is>
          <t>Sanguit</t>
        </is>
      </c>
      <c r="I680" s="24" t="n">
        <v>16.133291</v>
      </c>
      <c r="J680" s="24" t="n">
        <v>121.159584</v>
      </c>
      <c r="K680" s="23" t="inlineStr">
        <is>
          <t>R</t>
        </is>
      </c>
      <c r="L680" s="25" t="n">
        <v>1147</v>
      </c>
      <c r="M680" s="26" t="n">
        <v>3.8</v>
      </c>
      <c r="N680" s="25">
        <f>ROUND(L680/M680, 0)</f>
        <v/>
      </c>
      <c r="O680" s="25">
        <f>ROUND(N680*'Methodology &amp; Assumptions'!$B$7, 0)</f>
        <v/>
      </c>
      <c r="P680" s="23" t="inlineStr">
        <is>
          <t>Single Carrier (Band n50, 100MHz TDD)</t>
        </is>
      </c>
      <c r="Q680" s="27">
        <f>ROUNDUP(O680/'Methodology &amp; Assumptions'!$B$8, 0)</f>
        <v/>
      </c>
      <c r="R680" s="27" t="n">
        <v>1</v>
      </c>
      <c r="S680" s="26" t="n">
        <v>4.27</v>
      </c>
      <c r="T680" s="26" t="n">
        <v>21.08</v>
      </c>
      <c r="U680" s="11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26" t="n">
        <v>55.22</v>
      </c>
      <c r="W680" s="26" t="n">
        <v>80.02</v>
      </c>
      <c r="X680" s="26">
        <f>ROUND(('Methodology &amp; Assumptions'!$B$5*V680) + ('Methodology &amp; Assumptions'!$B$6*W680), 2)</f>
        <v/>
      </c>
      <c r="Y680" s="28" t="n">
        <v>8.300000000000001</v>
      </c>
      <c r="Z680" s="11" t="inlineStr">
        <is>
          <t>Priority Tier 2 (Balanced Opportunity)</t>
        </is>
      </c>
    </row>
    <row r="681">
      <c r="A681" s="23" t="n">
        <v>1</v>
      </c>
      <c r="B681" s="23" t="n">
        <v>677</v>
      </c>
      <c r="C681" s="23" t="n">
        <v>677</v>
      </c>
      <c r="D681" s="23" t="inlineStr">
        <is>
          <t>1401105014</t>
        </is>
      </c>
      <c r="E681" s="11" t="inlineStr">
        <is>
          <t>Cordillera Administrative Region (CAR)</t>
        </is>
      </c>
      <c r="F681" s="11" t="inlineStr">
        <is>
          <t>Benguet</t>
        </is>
      </c>
      <c r="G681" s="11" t="inlineStr">
        <is>
          <t>Buguias</t>
        </is>
      </c>
      <c r="H681" s="11" t="inlineStr">
        <is>
          <t>Baculongan Sur</t>
        </is>
      </c>
      <c r="I681" s="24" t="n">
        <v>16.75129</v>
      </c>
      <c r="J681" s="24" t="n">
        <v>120.86334</v>
      </c>
      <c r="K681" s="23" t="inlineStr">
        <is>
          <t>R</t>
        </is>
      </c>
      <c r="L681" s="25" t="n">
        <v>3798</v>
      </c>
      <c r="M681" s="26" t="n">
        <v>3.5</v>
      </c>
      <c r="N681" s="25">
        <f>ROUND(L681/M681, 0)</f>
        <v/>
      </c>
      <c r="O681" s="25">
        <f>ROUND(N681*'Methodology &amp; Assumptions'!$B$7, 0)</f>
        <v/>
      </c>
      <c r="P681" s="23" t="inlineStr">
        <is>
          <t>Single Carrier (Band n50, 100MHz TDD)</t>
        </is>
      </c>
      <c r="Q681" s="27">
        <f>ROUNDUP(O681/'Methodology &amp; Assumptions'!$B$8, 0)</f>
        <v/>
      </c>
      <c r="R681" s="27" t="n">
        <v>1</v>
      </c>
      <c r="S681" s="26" t="n">
        <v>5.24</v>
      </c>
      <c r="T681" s="26" t="n">
        <v>2.78</v>
      </c>
      <c r="U681" s="11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26" t="n">
        <v>70.67</v>
      </c>
      <c r="W681" s="26" t="n">
        <v>64.55</v>
      </c>
      <c r="X681" s="26">
        <f>ROUND(('Methodology &amp; Assumptions'!$B$5*V681) + ('Methodology &amp; Assumptions'!$B$6*W681), 2)</f>
        <v/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1</v>
      </c>
      <c r="B682" s="23" t="n">
        <v>678</v>
      </c>
      <c r="C682" s="23" t="n">
        <v>678</v>
      </c>
      <c r="D682" s="23" t="inlineStr">
        <is>
          <t>1381600028</t>
        </is>
      </c>
      <c r="E682" s="11" t="inlineStr">
        <is>
          <t>National Capital Region (NCR)</t>
        </is>
      </c>
      <c r="F682" s="11" t="inlineStr">
        <is>
          <t>Third District (Not a Province)</t>
        </is>
      </c>
      <c r="G682" s="11" t="inlineStr">
        <is>
          <t>City of Valenzuela</t>
        </is>
      </c>
      <c r="H682" s="11" t="inlineStr">
        <is>
          <t>Rincon</t>
        </is>
      </c>
      <c r="I682" s="24" t="n">
        <v>14.70009</v>
      </c>
      <c r="J682" s="24" t="n">
        <v>120.9602</v>
      </c>
      <c r="K682" s="23" t="inlineStr">
        <is>
          <t>U</t>
        </is>
      </c>
      <c r="L682" s="25" t="n">
        <v>7097</v>
      </c>
      <c r="M682" s="26" t="n">
        <v>3.72</v>
      </c>
      <c r="N682" s="25">
        <f>ROUND(L682/M682, 0)</f>
        <v/>
      </c>
      <c r="O682" s="25">
        <f>ROUND(N682*'Methodology &amp; Assumptions'!$B$7, 0)</f>
        <v/>
      </c>
      <c r="P682" s="23" t="inlineStr">
        <is>
          <t>Single Carrier (Band n50, 100MHz TDD)</t>
        </is>
      </c>
      <c r="Q682" s="27">
        <f>ROUNDUP(O682/'Methodology &amp; Assumptions'!$B$8, 0)</f>
        <v/>
      </c>
      <c r="R682" s="27" t="n">
        <v>1</v>
      </c>
      <c r="S682" s="26" t="n">
        <v>0.95</v>
      </c>
      <c r="T682" s="26" t="n">
        <v>0.28</v>
      </c>
      <c r="U682" s="11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26" t="n">
        <v>68.66</v>
      </c>
      <c r="W682" s="26" t="n">
        <v>66.54000000000001</v>
      </c>
      <c r="X682" s="26">
        <f>ROUND(('Methodology &amp; Assumptions'!$B$5*V682) + ('Methodology &amp; Assumptions'!$B$6*W682), 2)</f>
        <v/>
      </c>
      <c r="Y682" s="28" t="n">
        <v>10.9</v>
      </c>
      <c r="Z682" s="11" t="inlineStr">
        <is>
          <t>Priority Tier 2 (Balanced Opportunity)</t>
        </is>
      </c>
    </row>
    <row r="683">
      <c r="A683" s="23" t="n">
        <v>1</v>
      </c>
      <c r="B683" s="23" t="n">
        <v>679</v>
      </c>
      <c r="C683" s="23" t="n">
        <v>679</v>
      </c>
      <c r="D683" s="23" t="inlineStr">
        <is>
          <t>1705321004</t>
        </is>
      </c>
      <c r="E683" s="11" t="inlineStr">
        <is>
          <t>MIMAROPA Region</t>
        </is>
      </c>
      <c r="F683" s="11" t="inlineStr">
        <is>
          <t>Palawan</t>
        </is>
      </c>
      <c r="G683" s="11" t="inlineStr">
        <is>
          <t>Kalayaan</t>
        </is>
      </c>
      <c r="H683" s="11" t="inlineStr">
        <is>
          <t>Pag-Asa</t>
        </is>
      </c>
      <c r="I683" s="24" t="n">
        <v>14.335009</v>
      </c>
      <c r="J683" s="24" t="n">
        <v>121.487954</v>
      </c>
      <c r="K683" s="23" t="inlineStr">
        <is>
          <t>R</t>
        </is>
      </c>
      <c r="L683" s="25" t="n">
        <v>229</v>
      </c>
      <c r="M683" s="26" t="n">
        <v>3.9</v>
      </c>
      <c r="N683" s="25">
        <f>ROUND(L683/M683, 0)</f>
        <v/>
      </c>
      <c r="O683" s="25">
        <f>ROUND(N683*'Methodology &amp; Assumptions'!$B$7, 0)</f>
        <v/>
      </c>
      <c r="P683" s="23" t="inlineStr">
        <is>
          <t>Single Carrier (Band n50, 100MHz TDD)</t>
        </is>
      </c>
      <c r="Q683" s="27">
        <f>ROUNDUP(O683/'Methodology &amp; Assumptions'!$B$8, 0)</f>
        <v/>
      </c>
      <c r="R683" s="27" t="n">
        <v>1</v>
      </c>
      <c r="S683" s="26" t="n">
        <v>0.83</v>
      </c>
      <c r="T683" s="26" t="n">
        <v>0.62</v>
      </c>
      <c r="U683" s="11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26" t="n">
        <v>63.21</v>
      </c>
      <c r="W683" s="26" t="n">
        <v>71.98999999999999</v>
      </c>
      <c r="X683" s="26">
        <f>ROUND(('Methodology &amp; Assumptions'!$B$5*V683) + ('Methodology &amp; Assumptions'!$B$6*W683), 2)</f>
        <v/>
      </c>
      <c r="Y683" s="28" t="n">
        <v>15</v>
      </c>
      <c r="Z683" s="11" t="inlineStr">
        <is>
          <t>Priority Tier 2 (Balanced Opportunity)</t>
        </is>
      </c>
    </row>
    <row r="684">
      <c r="A684" s="23" t="n">
        <v>1</v>
      </c>
      <c r="B684" s="23" t="n">
        <v>680</v>
      </c>
      <c r="C684" s="23" t="n">
        <v>680</v>
      </c>
      <c r="D684" s="23" t="inlineStr">
        <is>
          <t>1380601106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106</t>
        </is>
      </c>
      <c r="I684" s="24" t="n">
        <v>14.624755</v>
      </c>
      <c r="J684" s="24" t="n">
        <v>120.961377</v>
      </c>
      <c r="K684" s="23" t="inlineStr">
        <is>
          <t>U</t>
        </is>
      </c>
      <c r="L684" s="25" t="n">
        <v>2716</v>
      </c>
      <c r="M684" s="26" t="n">
        <v>4.67</v>
      </c>
      <c r="N684" s="25">
        <f>ROUND(L684/M684, 0)</f>
        <v/>
      </c>
      <c r="O684" s="25">
        <f>ROUND(N684*'Methodology &amp; Assumptions'!$B$7, 0)</f>
        <v/>
      </c>
      <c r="P684" s="23" t="inlineStr">
        <is>
          <t>Single Carrier (Band n50, 100MHz TDD)</t>
        </is>
      </c>
      <c r="Q684" s="27">
        <f>ROUNDUP(O684/'Methodology &amp; Assumptions'!$B$8, 0)</f>
        <v/>
      </c>
      <c r="R684" s="27" t="n">
        <v>1</v>
      </c>
      <c r="S684" s="26" t="n">
        <v>0.77</v>
      </c>
      <c r="T684" s="26" t="n">
        <v>0.59</v>
      </c>
      <c r="U684" s="11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26" t="n">
        <v>59.84</v>
      </c>
      <c r="W684" s="26" t="n">
        <v>75.37</v>
      </c>
      <c r="X684" s="26">
        <f>ROUND(('Methodology &amp; Assumptions'!$B$5*V684) + ('Methodology &amp; Assumptions'!$B$6*W684), 2)</f>
        <v/>
      </c>
      <c r="Y684" s="28" t="n">
        <v>10.9</v>
      </c>
      <c r="Z684" s="11" t="inlineStr">
        <is>
          <t>Priority Tier 2 (Balanced Opportunity)</t>
        </is>
      </c>
    </row>
    <row r="685">
      <c r="A685" s="23" t="n">
        <v>1</v>
      </c>
      <c r="B685" s="23" t="n">
        <v>681</v>
      </c>
      <c r="C685" s="23" t="n">
        <v>681</v>
      </c>
      <c r="D685" s="23" t="inlineStr">
        <is>
          <t>0301414007</t>
        </is>
      </c>
      <c r="E685" s="11" t="inlineStr">
        <is>
          <t>Region III (Central Luzon)</t>
        </is>
      </c>
      <c r="F685" s="11" t="inlineStr">
        <is>
          <t>Bulacan</t>
        </is>
      </c>
      <c r="G685" s="11" t="inlineStr">
        <is>
          <t>Obando</t>
        </is>
      </c>
      <c r="H685" s="11" t="inlineStr">
        <is>
          <t>Pag-asa</t>
        </is>
      </c>
      <c r="I685" s="24" t="n">
        <v>14.70973</v>
      </c>
      <c r="J685" s="24" t="n">
        <v>120.936579</v>
      </c>
      <c r="K685" s="23" t="inlineStr">
        <is>
          <t>R</t>
        </is>
      </c>
      <c r="L685" s="25" t="n">
        <v>3604</v>
      </c>
      <c r="M685" s="26" t="n">
        <v>3.5</v>
      </c>
      <c r="N685" s="25">
        <f>ROUND(L685/M685, 0)</f>
        <v/>
      </c>
      <c r="O685" s="25">
        <f>ROUND(N685*'Methodology &amp; Assumptions'!$B$7, 0)</f>
        <v/>
      </c>
      <c r="P685" s="23" t="inlineStr">
        <is>
          <t>Single Carrier (Band n50, 100MHz TDD)</t>
        </is>
      </c>
      <c r="Q685" s="27">
        <f>ROUNDUP(O685/'Methodology &amp; Assumptions'!$B$8, 0)</f>
        <v/>
      </c>
      <c r="R685" s="27" t="n">
        <v>1</v>
      </c>
      <c r="S685" s="26" t="n">
        <v>0.03</v>
      </c>
      <c r="T685" s="26" t="n">
        <v>2.2</v>
      </c>
      <c r="U685" s="11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26" t="n">
        <v>85.48999999999999</v>
      </c>
      <c r="W685" s="26" t="n">
        <v>49.69</v>
      </c>
      <c r="X685" s="26">
        <f>ROUND(('Methodology &amp; Assumptions'!$B$5*V685) + ('Methodology &amp; Assumptions'!$B$6*W685), 2)</f>
        <v/>
      </c>
      <c r="Y685" s="28" t="n">
        <v>8.300000000000001</v>
      </c>
      <c r="Z685" s="11" t="inlineStr">
        <is>
          <t>Priority Tier 2 (Balanced Opportunity)</t>
        </is>
      </c>
    </row>
    <row r="686">
      <c r="A686" s="23" t="n">
        <v>1</v>
      </c>
      <c r="B686" s="23" t="n">
        <v>682</v>
      </c>
      <c r="C686" s="23" t="n">
        <v>682</v>
      </c>
      <c r="D686" s="23" t="inlineStr">
        <is>
          <t>1380610012</t>
        </is>
      </c>
      <c r="E686" s="11" t="inlineStr">
        <is>
          <t>National Capital Region (NCR)</t>
        </is>
      </c>
      <c r="F686" s="11" t="inlineStr">
        <is>
          <t>First District (Not a Province)</t>
        </is>
      </c>
      <c r="G686" s="11" t="inlineStr">
        <is>
          <t>City of Manila</t>
        </is>
      </c>
      <c r="H686" s="11" t="inlineStr">
        <is>
          <t>Barangay 697</t>
        </is>
      </c>
      <c r="I686" s="24" t="n">
        <v>14.573281</v>
      </c>
      <c r="J686" s="24" t="n">
        <v>120.987107</v>
      </c>
      <c r="K686" s="23" t="inlineStr">
        <is>
          <t>U</t>
        </is>
      </c>
      <c r="L686" s="25" t="n">
        <v>3568</v>
      </c>
      <c r="M686" s="26" t="n">
        <v>4.43</v>
      </c>
      <c r="N686" s="25">
        <f>ROUND(L686/M686, 0)</f>
        <v/>
      </c>
      <c r="O686" s="25">
        <f>ROUND(N686*'Methodology &amp; Assumptions'!$B$7, 0)</f>
        <v/>
      </c>
      <c r="P686" s="23" t="inlineStr">
        <is>
          <t>Single Carrier (Band n50, 100MHz TDD)</t>
        </is>
      </c>
      <c r="Q686" s="27">
        <f>ROUNDUP(O686/'Methodology &amp; Assumptions'!$B$8, 0)</f>
        <v/>
      </c>
      <c r="R686" s="27" t="n">
        <v>1</v>
      </c>
      <c r="S686" s="26" t="n">
        <v>0.78</v>
      </c>
      <c r="T686" s="26" t="n">
        <v>0.31</v>
      </c>
      <c r="U686" s="11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26" t="n">
        <v>67.01000000000001</v>
      </c>
      <c r="W686" s="26" t="n">
        <v>68.16</v>
      </c>
      <c r="X686" s="26">
        <f>ROUND(('Methodology &amp; Assumptions'!$B$5*V686) + ('Methodology &amp; Assumptions'!$B$6*W686), 2)</f>
        <v/>
      </c>
      <c r="Y686" s="28" t="n">
        <v>10.9</v>
      </c>
      <c r="Z686" s="11" t="inlineStr">
        <is>
          <t>Priority Tier 2 (Balanced Opportunity)</t>
        </is>
      </c>
    </row>
    <row r="687">
      <c r="A687" s="23" t="n">
        <v>1</v>
      </c>
      <c r="B687" s="23" t="n">
        <v>683</v>
      </c>
      <c r="C687" s="23" t="n">
        <v>683</v>
      </c>
      <c r="D687" s="23" t="inlineStr">
        <is>
          <t>1108211009</t>
        </is>
      </c>
      <c r="E687" s="11" t="inlineStr">
        <is>
          <t>Region XI (Davao Region)</t>
        </is>
      </c>
      <c r="F687" s="11" t="inlineStr">
        <is>
          <t>Davao de Oro</t>
        </is>
      </c>
      <c r="G687" s="11" t="inlineStr">
        <is>
          <t>Pantukan</t>
        </is>
      </c>
      <c r="H687" s="11" t="inlineStr">
        <is>
          <t>Tagdangua</t>
        </is>
      </c>
      <c r="I687" s="24" t="n">
        <v>7.21397</v>
      </c>
      <c r="J687" s="24" t="n">
        <v>125.942441</v>
      </c>
      <c r="K687" s="23" t="inlineStr">
        <is>
          <t>U</t>
        </is>
      </c>
      <c r="L687" s="25" t="n">
        <v>4866</v>
      </c>
      <c r="M687" s="26" t="n">
        <v>3.7</v>
      </c>
      <c r="N687" s="25">
        <f>ROUND(L687/M687, 0)</f>
        <v/>
      </c>
      <c r="O687" s="25">
        <f>ROUND(N687*'Methodology &amp; Assumptions'!$B$7, 0)</f>
        <v/>
      </c>
      <c r="P687" s="23" t="inlineStr">
        <is>
          <t>Single Carrier (Band n50, 100MHz TDD)</t>
        </is>
      </c>
      <c r="Q687" s="27">
        <f>ROUNDUP(O687/'Methodology &amp; Assumptions'!$B$8, 0)</f>
        <v/>
      </c>
      <c r="R687" s="27" t="n">
        <v>1</v>
      </c>
      <c r="S687" s="26" t="n">
        <v>10.08</v>
      </c>
      <c r="T687" s="26" t="n">
        <v>6.24</v>
      </c>
      <c r="U687" s="11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26" t="n">
        <v>59.3</v>
      </c>
      <c r="W687" s="26" t="n">
        <v>75.88</v>
      </c>
      <c r="X687" s="26">
        <f>ROUND(('Methodology &amp; Assumptions'!$B$5*V687) + ('Methodology &amp; Assumptions'!$B$6*W687), 2)</f>
        <v/>
      </c>
      <c r="Y687" s="28" t="n">
        <v>17.4</v>
      </c>
      <c r="Z687" s="11" t="inlineStr">
        <is>
          <t>Priority Tier 2 (Balanced Opportunity)</t>
        </is>
      </c>
    </row>
    <row r="688">
      <c r="A688" s="23" t="n">
        <v>1</v>
      </c>
      <c r="B688" s="23" t="n">
        <v>684</v>
      </c>
      <c r="C688" s="23" t="n">
        <v>684</v>
      </c>
      <c r="D688" s="23" t="inlineStr">
        <is>
          <t>0405647045</t>
        </is>
      </c>
      <c r="E688" s="11" t="inlineStr">
        <is>
          <t>Region IV-A (CALABARZON)</t>
        </is>
      </c>
      <c r="F688" s="11" t="inlineStr">
        <is>
          <t>Quezon</t>
        </is>
      </c>
      <c r="G688" s="11" t="inlineStr">
        <is>
          <t>City of Tayabas</t>
        </is>
      </c>
      <c r="H688" s="11" t="inlineStr">
        <is>
          <t>Opias</t>
        </is>
      </c>
      <c r="I688" s="24" t="n">
        <v>14.030664</v>
      </c>
      <c r="J688" s="24" t="n">
        <v>121.595764</v>
      </c>
      <c r="K688" s="23" t="inlineStr">
        <is>
          <t>U</t>
        </is>
      </c>
      <c r="L688" s="25" t="n">
        <v>5490</v>
      </c>
      <c r="M688" s="26" t="n">
        <v>3.8</v>
      </c>
      <c r="N688" s="25">
        <f>ROUND(L688/M688, 0)</f>
        <v/>
      </c>
      <c r="O688" s="25">
        <f>ROUND(N688*'Methodology &amp; Assumptions'!$B$7, 0)</f>
        <v/>
      </c>
      <c r="P688" s="23" t="inlineStr">
        <is>
          <t>Single Carrier (Band n50, 100MHz TDD)</t>
        </is>
      </c>
      <c r="Q688" s="27">
        <f>ROUNDUP(O688/'Methodology &amp; Assumptions'!$B$8, 0)</f>
        <v/>
      </c>
      <c r="R688" s="27" t="n">
        <v>1</v>
      </c>
      <c r="S688" s="26" t="n">
        <v>0.8100000000000001</v>
      </c>
      <c r="T688" s="26" t="n">
        <v>0.57</v>
      </c>
      <c r="U688" s="11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26" t="n">
        <v>78.26000000000001</v>
      </c>
      <c r="W688" s="26" t="n">
        <v>56.91</v>
      </c>
      <c r="X688" s="26">
        <f>ROUND(('Methodology &amp; Assumptions'!$B$5*V688) + ('Methodology &amp; Assumptions'!$B$6*W688), 2)</f>
        <v/>
      </c>
      <c r="Y688" s="28" t="n">
        <v>7.2</v>
      </c>
      <c r="Z688" s="11" t="inlineStr">
        <is>
          <t>Priority Tier 2 (Balanced Opportunity)</t>
        </is>
      </c>
    </row>
    <row r="689">
      <c r="A689" s="23" t="n">
        <v>1</v>
      </c>
      <c r="B689" s="23" t="n">
        <v>685</v>
      </c>
      <c r="C689" s="23" t="n">
        <v>685</v>
      </c>
      <c r="D689" s="23" t="inlineStr">
        <is>
          <t>0304902027</t>
        </is>
      </c>
      <c r="E689" s="11" t="inlineStr">
        <is>
          <t>Region III (Central Luzon)</t>
        </is>
      </c>
      <c r="F689" s="11" t="inlineStr">
        <is>
          <t>Nueva Ecija</t>
        </is>
      </c>
      <c r="G689" s="11" t="inlineStr">
        <is>
          <t>Bongabon</t>
        </is>
      </c>
      <c r="H689" s="11" t="inlineStr">
        <is>
          <t>Tugatug</t>
        </is>
      </c>
      <c r="I689" s="24" t="n">
        <v>15.62829</v>
      </c>
      <c r="J689" s="24" t="n">
        <v>121.143099</v>
      </c>
      <c r="K689" s="23" t="inlineStr">
        <is>
          <t>R</t>
        </is>
      </c>
      <c r="L689" s="25" t="n">
        <v>2462</v>
      </c>
      <c r="M689" s="26" t="n">
        <v>3.5</v>
      </c>
      <c r="N689" s="25">
        <f>ROUND(L689/M689, 0)</f>
        <v/>
      </c>
      <c r="O689" s="25">
        <f>ROUND(N689*'Methodology &amp; Assumptions'!$B$7, 0)</f>
        <v/>
      </c>
      <c r="P689" s="23" t="inlineStr">
        <is>
          <t>Single Carrier (Band n50, 100MHz TDD)</t>
        </is>
      </c>
      <c r="Q689" s="27">
        <f>ROUNDUP(O689/'Methodology &amp; Assumptions'!$B$8, 0)</f>
        <v/>
      </c>
      <c r="R689" s="27" t="n">
        <v>1</v>
      </c>
      <c r="S689" s="26" t="n">
        <v>0.6</v>
      </c>
      <c r="T689" s="26" t="n">
        <v>0.59</v>
      </c>
      <c r="U689" s="11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26" t="n">
        <v>81.88</v>
      </c>
      <c r="W689" s="26" t="n">
        <v>53.27</v>
      </c>
      <c r="X689" s="26">
        <f>ROUND(('Methodology &amp; Assumptions'!$B$5*V689) + ('Methodology &amp; Assumptions'!$B$6*W689), 2)</f>
        <v/>
      </c>
      <c r="Y689" s="28" t="n">
        <v>8.300000000000001</v>
      </c>
      <c r="Z689" s="11" t="inlineStr">
        <is>
          <t>Priority Tier 2 (Balanced Opportunity)</t>
        </is>
      </c>
    </row>
    <row r="690">
      <c r="A690" s="23" t="n">
        <v>1</v>
      </c>
      <c r="B690" s="23" t="n">
        <v>686</v>
      </c>
      <c r="C690" s="23" t="n">
        <v>686</v>
      </c>
      <c r="D690" s="23" t="inlineStr">
        <is>
          <t>0300805024</t>
        </is>
      </c>
      <c r="E690" s="11" t="inlineStr">
        <is>
          <t>Region III (Central Luzon)</t>
        </is>
      </c>
      <c r="F690" s="11" t="inlineStr">
        <is>
          <t>Bataan</t>
        </is>
      </c>
      <c r="G690" s="11" t="inlineStr">
        <is>
          <t>Hermosa</t>
        </is>
      </c>
      <c r="H690" s="11" t="inlineStr">
        <is>
          <t>Judge Roman Cruz Sr.</t>
        </is>
      </c>
      <c r="I690" s="24" t="n">
        <v>14.831127</v>
      </c>
      <c r="J690" s="24" t="n">
        <v>120.484724</v>
      </c>
      <c r="K690" s="23" t="inlineStr">
        <is>
          <t>R</t>
        </is>
      </c>
      <c r="L690" s="25" t="n">
        <v>4747</v>
      </c>
      <c r="M690" s="26" t="n">
        <v>3.6</v>
      </c>
      <c r="N690" s="25">
        <f>ROUND(L690/M690, 0)</f>
        <v/>
      </c>
      <c r="O690" s="25">
        <f>ROUND(N690*'Methodology &amp; Assumptions'!$B$7, 0)</f>
        <v/>
      </c>
      <c r="P690" s="23" t="inlineStr">
        <is>
          <t>Single Carrier (Band n50, 100MHz TDD)</t>
        </is>
      </c>
      <c r="Q690" s="27">
        <f>ROUNDUP(O690/'Methodology &amp; Assumptions'!$B$8, 0)</f>
        <v/>
      </c>
      <c r="R690" s="27" t="n">
        <v>1</v>
      </c>
      <c r="S690" s="26" t="n">
        <v>0.48</v>
      </c>
      <c r="T690" s="26" t="n">
        <v>0.47</v>
      </c>
      <c r="U690" s="11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26" t="n">
        <v>85.63</v>
      </c>
      <c r="W690" s="26" t="n">
        <v>49.41</v>
      </c>
      <c r="X690" s="26">
        <f>ROUND(('Methodology &amp; Assumptions'!$B$5*V690) + ('Methodology &amp; Assumptions'!$B$6*W690), 2)</f>
        <v/>
      </c>
      <c r="Y690" s="28" t="n">
        <v>8.300000000000001</v>
      </c>
      <c r="Z690" s="11" t="inlineStr">
        <is>
          <t>Priority Tier 2 (Balanced Opportunity)</t>
        </is>
      </c>
    </row>
    <row r="691">
      <c r="A691" s="23" t="n">
        <v>1</v>
      </c>
      <c r="B691" s="23" t="n">
        <v>687</v>
      </c>
      <c r="C691" s="23" t="n">
        <v>687</v>
      </c>
      <c r="D691" s="23" t="inlineStr">
        <is>
          <t>0401003014</t>
        </is>
      </c>
      <c r="E691" s="11" t="inlineStr">
        <is>
          <t>Region IV-A (CALABARZON)</t>
        </is>
      </c>
      <c r="F691" s="11" t="inlineStr">
        <is>
          <t>Batangas</t>
        </is>
      </c>
      <c r="G691" s="11" t="inlineStr">
        <is>
          <t>Balayan</t>
        </is>
      </c>
      <c r="H691" s="11" t="inlineStr">
        <is>
          <t>Barangay 9</t>
        </is>
      </c>
      <c r="I691" s="24" t="n">
        <v>13.939071</v>
      </c>
      <c r="J691" s="24" t="n">
        <v>120.731403</v>
      </c>
      <c r="K691" s="23" t="inlineStr">
        <is>
          <t>R</t>
        </is>
      </c>
      <c r="L691" s="25" t="n">
        <v>1830</v>
      </c>
      <c r="M691" s="26" t="n">
        <v>3.6</v>
      </c>
      <c r="N691" s="25">
        <f>ROUND(L691/M691, 0)</f>
        <v/>
      </c>
      <c r="O691" s="25">
        <f>ROUND(N691*'Methodology &amp; Assumptions'!$B$7, 0)</f>
        <v/>
      </c>
      <c r="P691" s="23" t="inlineStr">
        <is>
          <t>Single Carrier (Band n50, 100MHz TDD)</t>
        </is>
      </c>
      <c r="Q691" s="27">
        <f>ROUNDUP(O691/'Methodology &amp; Assumptions'!$B$8, 0)</f>
        <v/>
      </c>
      <c r="R691" s="27" t="n">
        <v>1</v>
      </c>
      <c r="S691" s="26" t="n">
        <v>0.61</v>
      </c>
      <c r="T691" s="26" t="n">
        <v>0.04</v>
      </c>
      <c r="U691" s="11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26" t="n">
        <v>75.39</v>
      </c>
      <c r="W691" s="26" t="n">
        <v>59.65</v>
      </c>
      <c r="X691" s="26">
        <f>ROUND(('Methodology &amp; Assumptions'!$B$5*V691) + ('Methodology &amp; Assumptions'!$B$6*W691), 2)</f>
        <v/>
      </c>
      <c r="Y691" s="28" t="n">
        <v>7.2</v>
      </c>
      <c r="Z691" s="11" t="inlineStr">
        <is>
          <t>Priority Tier 2 (Balanced Opportunity)</t>
        </is>
      </c>
    </row>
    <row r="692">
      <c r="A692" s="23" t="n">
        <v>1</v>
      </c>
      <c r="B692" s="23" t="n">
        <v>688</v>
      </c>
      <c r="C692" s="23" t="n">
        <v>688</v>
      </c>
      <c r="D692" s="23" t="inlineStr">
        <is>
          <t>0405804007</t>
        </is>
      </c>
      <c r="E692" s="11" t="inlineStr">
        <is>
          <t>Region IV-A (CALABARZON)</t>
        </is>
      </c>
      <c r="F692" s="11" t="inlineStr">
        <is>
          <t>Rizal</t>
        </is>
      </c>
      <c r="G692" s="11" t="inlineStr">
        <is>
          <t>Binangonan</t>
        </is>
      </c>
      <c r="H692" s="11" t="inlineStr">
        <is>
          <t>Calumpang</t>
        </is>
      </c>
      <c r="I692" s="24" t="n">
        <v>14.475354</v>
      </c>
      <c r="J692" s="24" t="n">
        <v>121.188926</v>
      </c>
      <c r="K692" s="23" t="inlineStr">
        <is>
          <t>U</t>
        </is>
      </c>
      <c r="L692" s="25" t="n">
        <v>18277</v>
      </c>
      <c r="M692" s="26" t="n">
        <v>3.6</v>
      </c>
      <c r="N692" s="25">
        <f>ROUND(L692/M692, 0)</f>
        <v/>
      </c>
      <c r="O692" s="25">
        <f>ROUND(N692*'Methodology &amp; Assumptions'!$B$7, 0)</f>
        <v/>
      </c>
      <c r="P692" s="23" t="inlineStr">
        <is>
          <t>Single Carrier (Band n50, 100MHz TDD)</t>
        </is>
      </c>
      <c r="Q692" s="27">
        <f>ROUNDUP(O692/'Methodology &amp; Assumptions'!$B$8, 0)</f>
        <v/>
      </c>
      <c r="R692" s="27" t="n">
        <v>1</v>
      </c>
      <c r="S692" s="26" t="n">
        <v>1.25</v>
      </c>
      <c r="T692" s="26" t="n">
        <v>0.03</v>
      </c>
      <c r="U692" s="11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26" t="n">
        <v>76.70999999999999</v>
      </c>
      <c r="W692" s="26" t="n">
        <v>58.31</v>
      </c>
      <c r="X692" s="26">
        <f>ROUND(('Methodology &amp; Assumptions'!$B$5*V692) + ('Methodology &amp; Assumptions'!$B$6*W692), 2)</f>
        <v/>
      </c>
      <c r="Y692" s="28" t="n">
        <v>7.2</v>
      </c>
      <c r="Z692" s="11" t="inlineStr">
        <is>
          <t>Priority Tier 2 (Balanced Opportunity)</t>
        </is>
      </c>
    </row>
    <row r="693">
      <c r="A693" s="23" t="n">
        <v>1</v>
      </c>
      <c r="B693" s="23" t="n">
        <v>689</v>
      </c>
      <c r="C693" s="23" t="n">
        <v>689</v>
      </c>
      <c r="D693" s="23" t="inlineStr">
        <is>
          <t>1380602001</t>
        </is>
      </c>
      <c r="E693" s="11" t="inlineStr">
        <is>
          <t>National Capital Region (NCR)</t>
        </is>
      </c>
      <c r="F693" s="11" t="inlineStr">
        <is>
          <t>First District (Not a Province)</t>
        </is>
      </c>
      <c r="G693" s="11" t="inlineStr">
        <is>
          <t>City of Manila</t>
        </is>
      </c>
      <c r="H693" s="11" t="inlineStr">
        <is>
          <t>Barangay 287</t>
        </is>
      </c>
      <c r="I693" s="24" t="n">
        <v>14.599681</v>
      </c>
      <c r="J693" s="24" t="n">
        <v>120.973636</v>
      </c>
      <c r="K693" s="23" t="inlineStr">
        <is>
          <t>U</t>
        </is>
      </c>
      <c r="L693" s="25" t="n">
        <v>3117</v>
      </c>
      <c r="M693" s="26" t="n">
        <v>4.24</v>
      </c>
      <c r="N693" s="25">
        <f>ROUND(L693/M693, 0)</f>
        <v/>
      </c>
      <c r="O693" s="25">
        <f>ROUND(N693*'Methodology &amp; Assumptions'!$B$7, 0)</f>
        <v/>
      </c>
      <c r="P693" s="23" t="inlineStr">
        <is>
          <t>Single Carrier (Band n50, 100MHz TDD)</t>
        </is>
      </c>
      <c r="Q693" s="27">
        <f>ROUNDUP(O693/'Methodology &amp; Assumptions'!$B$8, 0)</f>
        <v/>
      </c>
      <c r="R693" s="27" t="n">
        <v>1</v>
      </c>
      <c r="S693" s="26" t="n">
        <v>0.9</v>
      </c>
      <c r="T693" s="26" t="n">
        <v>0.72</v>
      </c>
      <c r="U693" s="11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26" t="n">
        <v>64.55</v>
      </c>
      <c r="W693" s="26" t="n">
        <v>70.47</v>
      </c>
      <c r="X693" s="26">
        <f>ROUND(('Methodology &amp; Assumptions'!$B$5*V693) + ('Methodology &amp; Assumptions'!$B$6*W693), 2)</f>
        <v/>
      </c>
      <c r="Y693" s="28" t="n">
        <v>10.9</v>
      </c>
      <c r="Z693" s="11" t="inlineStr">
        <is>
          <t>Priority Tier 2 (Balanced Opportunity)</t>
        </is>
      </c>
    </row>
    <row r="694">
      <c r="A694" s="23" t="n">
        <v>1</v>
      </c>
      <c r="B694" s="23" t="n">
        <v>690</v>
      </c>
      <c r="C694" s="23" t="n">
        <v>690</v>
      </c>
      <c r="D694" s="23" t="inlineStr">
        <is>
          <t>0401005073</t>
        </is>
      </c>
      <c r="E694" s="11" t="inlineStr">
        <is>
          <t>Region IV-A (CALABARZON)</t>
        </is>
      </c>
      <c r="F694" s="11" t="inlineStr">
        <is>
          <t>Batangas</t>
        </is>
      </c>
      <c r="G694" s="11" t="inlineStr">
        <is>
          <t>Batangas City</t>
        </is>
      </c>
      <c r="H694" s="11" t="inlineStr">
        <is>
          <t>Barangay 4</t>
        </is>
      </c>
      <c r="I694" s="24" t="n">
        <v>13.758242</v>
      </c>
      <c r="J694" s="24" t="n">
        <v>121.062533</v>
      </c>
      <c r="K694" s="23" t="inlineStr">
        <is>
          <t>U</t>
        </is>
      </c>
      <c r="L694" s="25" t="n">
        <v>1687</v>
      </c>
      <c r="M694" s="26" t="n">
        <v>3.6</v>
      </c>
      <c r="N694" s="25">
        <f>ROUND(L694/M694, 0)</f>
        <v/>
      </c>
      <c r="O694" s="25">
        <f>ROUND(N694*'Methodology &amp; Assumptions'!$B$7, 0)</f>
        <v/>
      </c>
      <c r="P694" s="23" t="inlineStr">
        <is>
          <t>Single Carrier (Band n50, 100MHz TDD)</t>
        </is>
      </c>
      <c r="Q694" s="27">
        <f>ROUNDUP(O694/'Methodology &amp; Assumptions'!$B$8, 0)</f>
        <v/>
      </c>
      <c r="R694" s="27" t="n">
        <v>1</v>
      </c>
      <c r="S694" s="26" t="n">
        <v>0.76</v>
      </c>
      <c r="T694" s="26" t="n">
        <v>0.14</v>
      </c>
      <c r="U694" s="11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26" t="n">
        <v>67</v>
      </c>
      <c r="W694" s="26" t="n">
        <v>68</v>
      </c>
      <c r="X694" s="26">
        <f>ROUND(('Methodology &amp; Assumptions'!$B$5*V694) + ('Methodology &amp; Assumptions'!$B$6*W694), 2)</f>
        <v/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1</v>
      </c>
      <c r="B695" s="23" t="n">
        <v>691</v>
      </c>
      <c r="C695" s="23" t="n">
        <v>691</v>
      </c>
      <c r="D695" s="23" t="inlineStr">
        <is>
          <t>1380611042</t>
        </is>
      </c>
      <c r="E695" s="11" t="inlineStr">
        <is>
          <t>National Capital Region (NCR)</t>
        </is>
      </c>
      <c r="F695" s="11" t="inlineStr">
        <is>
          <t>First District (Not a Province)</t>
        </is>
      </c>
      <c r="G695" s="11" t="inlineStr">
        <is>
          <t>City of Manila</t>
        </is>
      </c>
      <c r="H695" s="11" t="inlineStr">
        <is>
          <t>Barangay 827</t>
        </is>
      </c>
      <c r="I695" s="24" t="n">
        <v>14.584132</v>
      </c>
      <c r="J695" s="24" t="n">
        <v>120.996594</v>
      </c>
      <c r="K695" s="23" t="inlineStr">
        <is>
          <t>U</t>
        </is>
      </c>
      <c r="L695" s="25" t="n">
        <v>2719</v>
      </c>
      <c r="M695" s="26" t="n">
        <v>3.84</v>
      </c>
      <c r="N695" s="25">
        <f>ROUND(L695/M695, 0)</f>
        <v/>
      </c>
      <c r="O695" s="25">
        <f>ROUND(N695*'Methodology &amp; Assumptions'!$B$7, 0)</f>
        <v/>
      </c>
      <c r="P695" s="23" t="inlineStr">
        <is>
          <t>Single Carrier (Band n50, 100MHz TDD)</t>
        </is>
      </c>
      <c r="Q695" s="27">
        <f>ROUNDUP(O695/'Methodology &amp; Assumptions'!$B$8, 0)</f>
        <v/>
      </c>
      <c r="R695" s="27" t="n">
        <v>1</v>
      </c>
      <c r="S695" s="26" t="n">
        <v>0.66</v>
      </c>
      <c r="T695" s="26" t="n">
        <v>0.18</v>
      </c>
      <c r="U695" s="11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26" t="n">
        <v>63.8</v>
      </c>
      <c r="W695" s="26" t="n">
        <v>71.18000000000001</v>
      </c>
      <c r="X695" s="26">
        <f>ROUND(('Methodology &amp; Assumptions'!$B$5*V695) + ('Methodology &amp; Assumptions'!$B$6*W695), 2)</f>
        <v/>
      </c>
      <c r="Y695" s="28" t="n">
        <v>10.9</v>
      </c>
      <c r="Z695" s="11" t="inlineStr">
        <is>
          <t>Priority Tier 2 (Balanced Opportunity)</t>
        </is>
      </c>
    </row>
    <row r="696">
      <c r="A696" s="23" t="n">
        <v>1</v>
      </c>
      <c r="B696" s="23" t="n">
        <v>692</v>
      </c>
      <c r="C696" s="23" t="n">
        <v>692</v>
      </c>
      <c r="D696" s="23" t="inlineStr">
        <is>
          <t>1380601039</t>
        </is>
      </c>
      <c r="E696" s="11" t="inlineStr">
        <is>
          <t>National Capital Region (NCR)</t>
        </is>
      </c>
      <c r="F696" s="11" t="inlineStr">
        <is>
          <t>First District (Not a Province)</t>
        </is>
      </c>
      <c r="G696" s="11" t="inlineStr">
        <is>
          <t>City of Manila</t>
        </is>
      </c>
      <c r="H696" s="11" t="inlineStr">
        <is>
          <t>Barangay 39</t>
        </is>
      </c>
      <c r="I696" s="24" t="n">
        <v>14.605519</v>
      </c>
      <c r="J696" s="24" t="n">
        <v>120.961868</v>
      </c>
      <c r="K696" s="23" t="inlineStr">
        <is>
          <t>U</t>
        </is>
      </c>
      <c r="L696" s="25" t="n">
        <v>2498</v>
      </c>
      <c r="M696" s="26" t="n">
        <v>4.41</v>
      </c>
      <c r="N696" s="25">
        <f>ROUND(L696/M696, 0)</f>
        <v/>
      </c>
      <c r="O696" s="25">
        <f>ROUND(N696*'Methodology &amp; Assumptions'!$B$7, 0)</f>
        <v/>
      </c>
      <c r="P696" s="23" t="inlineStr">
        <is>
          <t>Single Carrier (Band n50, 100MHz TDD)</t>
        </is>
      </c>
      <c r="Q696" s="27">
        <f>ROUNDUP(O696/'Methodology &amp; Assumptions'!$B$8, 0)</f>
        <v/>
      </c>
      <c r="R696" s="27" t="n">
        <v>1</v>
      </c>
      <c r="S696" s="26" t="n">
        <v>0.85</v>
      </c>
      <c r="T696" s="26" t="n">
        <v>0.85</v>
      </c>
      <c r="U696" s="11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26" t="n">
        <v>59.27</v>
      </c>
      <c r="W696" s="26" t="n">
        <v>75.7</v>
      </c>
      <c r="X696" s="26">
        <f>ROUND(('Methodology &amp; Assumptions'!$B$5*V696) + ('Methodology &amp; Assumptions'!$B$6*W696), 2)</f>
        <v/>
      </c>
      <c r="Y696" s="28" t="n">
        <v>10.9</v>
      </c>
      <c r="Z696" s="11" t="inlineStr">
        <is>
          <t>Priority Tier 2 (Balanced Opportunity)</t>
        </is>
      </c>
    </row>
    <row r="697">
      <c r="A697" s="23" t="n">
        <v>1</v>
      </c>
      <c r="B697" s="23" t="n">
        <v>693</v>
      </c>
      <c r="C697" s="23" t="n">
        <v>693</v>
      </c>
      <c r="D697" s="23" t="inlineStr">
        <is>
          <t>1381300141</t>
        </is>
      </c>
      <c r="E697" s="11" t="inlineStr">
        <is>
          <t>National Capital Region (NCR)</t>
        </is>
      </c>
      <c r="F697" s="11" t="inlineStr">
        <is>
          <t>Second District (Not a Province)</t>
        </is>
      </c>
      <c r="G697" s="11" t="inlineStr">
        <is>
          <t>Quezon City</t>
        </is>
      </c>
      <c r="H697" s="11" t="inlineStr">
        <is>
          <t>Greater Lagro</t>
        </is>
      </c>
      <c r="I697" s="24" t="n">
        <v>14.726624</v>
      </c>
      <c r="J697" s="24" t="n">
        <v>121.066361</v>
      </c>
      <c r="K697" s="23" t="inlineStr">
        <is>
          <t>U</t>
        </is>
      </c>
      <c r="L697" s="25" t="n">
        <v>24104</v>
      </c>
      <c r="M697" s="26" t="n">
        <v>3.86</v>
      </c>
      <c r="N697" s="25">
        <f>ROUND(L697/M697, 0)</f>
        <v/>
      </c>
      <c r="O697" s="25">
        <f>ROUND(N697*'Methodology &amp; Assumptions'!$B$7, 0)</f>
        <v/>
      </c>
      <c r="P697" s="23" t="inlineStr">
        <is>
          <t>Single Carrier (Band n50, 100MHz TDD)</t>
        </is>
      </c>
      <c r="Q697" s="27">
        <f>ROUNDUP(O697/'Methodology &amp; Assumptions'!$B$8, 0)</f>
        <v/>
      </c>
      <c r="R697" s="27" t="n">
        <v>1</v>
      </c>
      <c r="S697" s="26" t="n">
        <v>0.6899999999999999</v>
      </c>
      <c r="T697" s="26" t="n">
        <v>0.63</v>
      </c>
      <c r="U697" s="11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26" t="n">
        <v>68.12</v>
      </c>
      <c r="W697" s="26" t="n">
        <v>66.84999999999999</v>
      </c>
      <c r="X697" s="26">
        <f>ROUND(('Methodology &amp; Assumptions'!$B$5*V697) + ('Methodology &amp; Assumptions'!$B$6*W697), 2)</f>
        <v/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1</v>
      </c>
      <c r="B698" s="23" t="n">
        <v>694</v>
      </c>
      <c r="C698" s="23" t="n">
        <v>694</v>
      </c>
      <c r="D698" s="23" t="inlineStr">
        <is>
          <t>1381300068</t>
        </is>
      </c>
      <c r="E698" s="11" t="inlineStr">
        <is>
          <t>National Capital Region (NCR)</t>
        </is>
      </c>
      <c r="F698" s="11" t="inlineStr">
        <is>
          <t>Second District (Not a Province)</t>
        </is>
      </c>
      <c r="G698" s="11" t="inlineStr">
        <is>
          <t>Quezon City</t>
        </is>
      </c>
      <c r="H698" s="11" t="inlineStr">
        <is>
          <t>Nagkaisang Nayon</t>
        </is>
      </c>
      <c r="I698" s="24" t="n">
        <v>14.71916</v>
      </c>
      <c r="J698" s="24" t="n">
        <v>121.0284</v>
      </c>
      <c r="K698" s="23" t="inlineStr">
        <is>
          <t>U</t>
        </is>
      </c>
      <c r="L698" s="25" t="n">
        <v>54477</v>
      </c>
      <c r="M698" s="26" t="n">
        <v>3.61</v>
      </c>
      <c r="N698" s="25">
        <f>ROUND(L698/M698, 0)</f>
        <v/>
      </c>
      <c r="O698" s="25">
        <f>ROUND(N698*'Methodology &amp; Assumptions'!$B$7, 0)</f>
        <v/>
      </c>
      <c r="P698" s="23" t="inlineStr">
        <is>
          <t>Single Carrier (Band n50, 100MHz TDD)</t>
        </is>
      </c>
      <c r="Q698" s="27">
        <f>ROUNDUP(O698/'Methodology &amp; Assumptions'!$B$8, 0)</f>
        <v/>
      </c>
      <c r="R698" s="27" t="n">
        <v>1</v>
      </c>
      <c r="S698" s="26" t="n">
        <v>1.49</v>
      </c>
      <c r="T698" s="26" t="n">
        <v>0.19</v>
      </c>
      <c r="U698" s="11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26" t="n">
        <v>63.66</v>
      </c>
      <c r="W698" s="26" t="n">
        <v>71.3</v>
      </c>
      <c r="X698" s="26">
        <f>ROUND(('Methodology &amp; Assumptions'!$B$5*V698) + ('Methodology &amp; Assumptions'!$B$6*W698), 2)</f>
        <v/>
      </c>
      <c r="Y698" s="28" t="n">
        <v>10.9</v>
      </c>
      <c r="Z698" s="11" t="inlineStr">
        <is>
          <t>Priority Tier 2 (Balanced Opportunity)</t>
        </is>
      </c>
    </row>
    <row r="699">
      <c r="A699" s="23" t="n">
        <v>1</v>
      </c>
      <c r="B699" s="23" t="n">
        <v>695</v>
      </c>
      <c r="C699" s="23" t="n">
        <v>695</v>
      </c>
      <c r="D699" s="23" t="inlineStr">
        <is>
          <t>0402117010</t>
        </is>
      </c>
      <c r="E699" s="11" t="inlineStr">
        <is>
          <t>Region IV-A (CALABARZON)</t>
        </is>
      </c>
      <c r="F699" s="11" t="inlineStr">
        <is>
          <t>Cavite</t>
        </is>
      </c>
      <c r="G699" s="11" t="inlineStr">
        <is>
          <t>Rosario</t>
        </is>
      </c>
      <c r="H699" s="11" t="inlineStr">
        <is>
          <t>Tejeros Convention</t>
        </is>
      </c>
      <c r="I699" s="24" t="n">
        <v>14.402913</v>
      </c>
      <c r="J699" s="24" t="n">
        <v>120.860939</v>
      </c>
      <c r="K699" s="23" t="inlineStr">
        <is>
          <t>U</t>
        </is>
      </c>
      <c r="L699" s="25" t="n">
        <v>21580</v>
      </c>
      <c r="M699" s="26" t="n">
        <v>3.4</v>
      </c>
      <c r="N699" s="25">
        <f>ROUND(L699/M699, 0)</f>
        <v/>
      </c>
      <c r="O699" s="25">
        <f>ROUND(N699*'Methodology &amp; Assumptions'!$B$7, 0)</f>
        <v/>
      </c>
      <c r="P699" s="23" t="inlineStr">
        <is>
          <t>Single Carrier (Band n50, 100MHz TDD)</t>
        </is>
      </c>
      <c r="Q699" s="27">
        <f>ROUNDUP(O699/'Methodology &amp; Assumptions'!$B$8, 0)</f>
        <v/>
      </c>
      <c r="R699" s="27" t="n">
        <v>1</v>
      </c>
      <c r="S699" s="26" t="n">
        <v>0.54</v>
      </c>
      <c r="T699" s="26" t="n">
        <v>0.8</v>
      </c>
      <c r="U699" s="11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26" t="n">
        <v>78.26000000000001</v>
      </c>
      <c r="W699" s="26" t="n">
        <v>56.66</v>
      </c>
      <c r="X699" s="26">
        <f>ROUND(('Methodology &amp; Assumptions'!$B$5*V699) + ('Methodology &amp; Assumptions'!$B$6*W699), 2)</f>
        <v/>
      </c>
      <c r="Y699" s="28" t="n">
        <v>7.2</v>
      </c>
      <c r="Z699" s="11" t="inlineStr">
        <is>
          <t>Priority Tier 2 (Balanced Opportunity)</t>
        </is>
      </c>
    </row>
    <row r="700">
      <c r="A700" s="23" t="n">
        <v>1</v>
      </c>
      <c r="B700" s="23" t="n">
        <v>696</v>
      </c>
      <c r="C700" s="23" t="n">
        <v>696</v>
      </c>
      <c r="D700" s="23" t="inlineStr">
        <is>
          <t>0405628013</t>
        </is>
      </c>
      <c r="E700" s="11" t="inlineStr">
        <is>
          <t>Region IV-A (CALABARZON)</t>
        </is>
      </c>
      <c r="F700" s="11" t="inlineStr">
        <is>
          <t>Quezon</t>
        </is>
      </c>
      <c r="G700" s="11" t="inlineStr">
        <is>
          <t>Mulanay</t>
        </is>
      </c>
      <c r="H700" s="11" t="inlineStr">
        <is>
          <t>Buenavista</t>
        </is>
      </c>
      <c r="I700" s="24" t="n">
        <v>13.516554</v>
      </c>
      <c r="J700" s="24" t="n">
        <v>122.435768</v>
      </c>
      <c r="K700" s="23" t="inlineStr">
        <is>
          <t>R</t>
        </is>
      </c>
      <c r="L700" s="25" t="n">
        <v>1369</v>
      </c>
      <c r="M700" s="26" t="n">
        <v>3.8</v>
      </c>
      <c r="N700" s="25">
        <f>ROUND(L700/M700, 0)</f>
        <v/>
      </c>
      <c r="O700" s="25">
        <f>ROUND(N700*'Methodology &amp; Assumptions'!$B$7, 0)</f>
        <v/>
      </c>
      <c r="P700" s="23" t="inlineStr">
        <is>
          <t>Single Carrier (Band n50, 100MHz TDD)</t>
        </is>
      </c>
      <c r="Q700" s="27">
        <f>ROUNDUP(O700/'Methodology &amp; Assumptions'!$B$8, 0)</f>
        <v/>
      </c>
      <c r="R700" s="27" t="n">
        <v>1</v>
      </c>
      <c r="S700" s="26" t="n">
        <v>4.57</v>
      </c>
      <c r="T700" s="26" t="n">
        <v>3.83</v>
      </c>
      <c r="U700" s="11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26" t="n">
        <v>56.39</v>
      </c>
      <c r="W700" s="26" t="n">
        <v>78.52</v>
      </c>
      <c r="X700" s="26">
        <f>ROUND(('Methodology &amp; Assumptions'!$B$5*V700) + ('Methodology &amp; Assumptions'!$B$6*W700), 2)</f>
        <v/>
      </c>
      <c r="Y700" s="28" t="n">
        <v>7.2</v>
      </c>
      <c r="Z700" s="11" t="inlineStr">
        <is>
          <t>Priority Tier 2 (Balanced Opportunity)</t>
        </is>
      </c>
    </row>
    <row r="701">
      <c r="A701" s="23" t="n">
        <v>1</v>
      </c>
      <c r="B701" s="23" t="n">
        <v>697</v>
      </c>
      <c r="C701" s="23" t="n">
        <v>697</v>
      </c>
      <c r="D701" s="23" t="inlineStr">
        <is>
          <t>0301411007</t>
        </is>
      </c>
      <c r="E701" s="11" t="inlineStr">
        <is>
          <t>Region III (Central Luzon)</t>
        </is>
      </c>
      <c r="F701" s="11" t="inlineStr">
        <is>
          <t>Bulacan</t>
        </is>
      </c>
      <c r="G701" s="11" t="inlineStr">
        <is>
          <t>Marilao</t>
        </is>
      </c>
      <c r="H701" s="11" t="inlineStr">
        <is>
          <t>Nagbalon</t>
        </is>
      </c>
      <c r="I701" s="24" t="n">
        <v>14.751408</v>
      </c>
      <c r="J701" s="24" t="n">
        <v>120.951175</v>
      </c>
      <c r="K701" s="23" t="inlineStr">
        <is>
          <t>U</t>
        </is>
      </c>
      <c r="L701" s="25" t="n">
        <v>3677</v>
      </c>
      <c r="M701" s="26" t="n">
        <v>3.5</v>
      </c>
      <c r="N701" s="25">
        <f>ROUND(L701/M701, 0)</f>
        <v/>
      </c>
      <c r="O701" s="25">
        <f>ROUND(N701*'Methodology &amp; Assumptions'!$B$7, 0)</f>
        <v/>
      </c>
      <c r="P701" s="23" t="inlineStr">
        <is>
          <t>Single Carrier (Band n50, 100MHz TDD)</t>
        </is>
      </c>
      <c r="Q701" s="27">
        <f>ROUNDUP(O701/'Methodology &amp; Assumptions'!$B$8, 0)</f>
        <v/>
      </c>
      <c r="R701" s="27" t="n">
        <v>1</v>
      </c>
      <c r="S701" s="26" t="n">
        <v>0.6</v>
      </c>
      <c r="T701" s="26" t="n">
        <v>0.44</v>
      </c>
      <c r="U701" s="11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26" t="n">
        <v>78.43000000000001</v>
      </c>
      <c r="W701" s="26" t="n">
        <v>56.44</v>
      </c>
      <c r="X701" s="26">
        <f>ROUND(('Methodology &amp; Assumptions'!$B$5*V701) + ('Methodology &amp; Assumptions'!$B$6*W701), 2)</f>
        <v/>
      </c>
      <c r="Y701" s="28" t="n">
        <v>8.300000000000001</v>
      </c>
      <c r="Z701" s="11" t="inlineStr">
        <is>
          <t>Priority Tier 2 (Balanced Opportunity)</t>
        </is>
      </c>
    </row>
    <row r="702">
      <c r="A702" s="23" t="n">
        <v>1</v>
      </c>
      <c r="B702" s="23" t="n">
        <v>698</v>
      </c>
      <c r="C702" s="23" t="n">
        <v>698</v>
      </c>
      <c r="D702" s="23" t="inlineStr">
        <is>
          <t>1381100066</t>
        </is>
      </c>
      <c r="E702" s="11" t="inlineStr">
        <is>
          <t>National Capital Region (NCR)</t>
        </is>
      </c>
      <c r="F702" s="11" t="inlineStr">
        <is>
          <t>Fourth District (Not a Province)</t>
        </is>
      </c>
      <c r="G702" s="11" t="inlineStr">
        <is>
          <t>Pasay City</t>
        </is>
      </c>
      <c r="H702" s="11" t="inlineStr">
        <is>
          <t>Barangay 66</t>
        </is>
      </c>
      <c r="I702" s="24" t="n">
        <v>14.549226</v>
      </c>
      <c r="J702" s="24" t="n">
        <v>121.00421</v>
      </c>
      <c r="K702" s="23" t="inlineStr">
        <is>
          <t>U</t>
        </is>
      </c>
      <c r="L702" s="25" t="n">
        <v>2809</v>
      </c>
      <c r="M702" s="26" t="n">
        <v>3.75</v>
      </c>
      <c r="N702" s="25">
        <f>ROUND(L702/M702, 0)</f>
        <v/>
      </c>
      <c r="O702" s="25">
        <f>ROUND(N702*'Methodology &amp; Assumptions'!$B$7, 0)</f>
        <v/>
      </c>
      <c r="P702" s="23" t="inlineStr">
        <is>
          <t>Single Carrier (Band n50, 100MHz TDD)</t>
        </is>
      </c>
      <c r="Q702" s="27">
        <f>ROUNDUP(O702/'Methodology &amp; Assumptions'!$B$8, 0)</f>
        <v/>
      </c>
      <c r="R702" s="27" t="n">
        <v>1</v>
      </c>
      <c r="S702" s="26" t="n">
        <v>0.78</v>
      </c>
      <c r="T702" s="26" t="n">
        <v>0.14</v>
      </c>
      <c r="U702" s="11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26" t="n">
        <v>65.19</v>
      </c>
      <c r="W702" s="26" t="n">
        <v>69.68000000000001</v>
      </c>
      <c r="X702" s="26">
        <f>ROUND(('Methodology &amp; Assumptions'!$B$5*V702) + ('Methodology &amp; Assumptions'!$B$6*W702), 2)</f>
        <v/>
      </c>
      <c r="Y702" s="28" t="n">
        <v>10.9</v>
      </c>
      <c r="Z702" s="11" t="inlineStr">
        <is>
          <t>Priority Tier 2 (Balanced Opportunity)</t>
        </is>
      </c>
    </row>
    <row r="703">
      <c r="A703" s="23" t="n">
        <v>1</v>
      </c>
      <c r="B703" s="23" t="n">
        <v>699</v>
      </c>
      <c r="C703" s="23" t="n">
        <v>699</v>
      </c>
      <c r="D703" s="23" t="inlineStr">
        <is>
          <t>1380612006</t>
        </is>
      </c>
      <c r="E703" s="11" t="inlineStr">
        <is>
          <t>National Capital Region (NCR)</t>
        </is>
      </c>
      <c r="F703" s="11" t="inlineStr">
        <is>
          <t>First District (Not a Province)</t>
        </is>
      </c>
      <c r="G703" s="11" t="inlineStr">
        <is>
          <t>City of Manila</t>
        </is>
      </c>
      <c r="H703" s="11" t="inlineStr">
        <is>
          <t>Barangay 838</t>
        </is>
      </c>
      <c r="I703" s="24" t="n">
        <v>14.591154</v>
      </c>
      <c r="J703" s="24" t="n">
        <v>121.009606</v>
      </c>
      <c r="K703" s="23" t="inlineStr">
        <is>
          <t>U</t>
        </is>
      </c>
      <c r="L703" s="25" t="n">
        <v>3238</v>
      </c>
      <c r="M703" s="26" t="n">
        <v>4.27</v>
      </c>
      <c r="N703" s="25">
        <f>ROUND(L703/M703, 0)</f>
        <v/>
      </c>
      <c r="O703" s="25">
        <f>ROUND(N703*'Methodology &amp; Assumptions'!$B$7, 0)</f>
        <v/>
      </c>
      <c r="P703" s="23" t="inlineStr">
        <is>
          <t>Single Carrier (Band n50, 100MHz TDD)</t>
        </is>
      </c>
      <c r="Q703" s="27">
        <f>ROUNDUP(O703/'Methodology &amp; Assumptions'!$B$8, 0)</f>
        <v/>
      </c>
      <c r="R703" s="27" t="n">
        <v>1</v>
      </c>
      <c r="S703" s="26" t="n">
        <v>1.05</v>
      </c>
      <c r="T703" s="26" t="n">
        <v>0.89</v>
      </c>
      <c r="U703" s="11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26" t="n">
        <v>64.7</v>
      </c>
      <c r="W703" s="26" t="n">
        <v>70.17</v>
      </c>
      <c r="X703" s="26">
        <f>ROUND(('Methodology &amp; Assumptions'!$B$5*V703) + ('Methodology &amp; Assumptions'!$B$6*W703), 2)</f>
        <v/>
      </c>
      <c r="Y703" s="28" t="n">
        <v>10.9</v>
      </c>
      <c r="Z703" s="11" t="inlineStr">
        <is>
          <t>Priority Tier 2 (Balanced Opportunity)</t>
        </is>
      </c>
    </row>
    <row r="704">
      <c r="A704" s="23" t="n">
        <v>1</v>
      </c>
      <c r="B704" s="23" t="n">
        <v>700</v>
      </c>
      <c r="C704" s="23" t="n">
        <v>700</v>
      </c>
      <c r="D704" s="23" t="inlineStr">
        <is>
          <t>1381100040</t>
        </is>
      </c>
      <c r="E704" s="11" t="inlineStr">
        <is>
          <t>National Capital Region (NCR)</t>
        </is>
      </c>
      <c r="F704" s="11" t="inlineStr">
        <is>
          <t>Fourth District (Not a Province)</t>
        </is>
      </c>
      <c r="G704" s="11" t="inlineStr">
        <is>
          <t>Pasay City</t>
        </is>
      </c>
      <c r="H704" s="11" t="inlineStr">
        <is>
          <t>Barangay 40</t>
        </is>
      </c>
      <c r="I704" s="24" t="n">
        <v>14.54833</v>
      </c>
      <c r="J704" s="24" t="n">
        <v>120.997215</v>
      </c>
      <c r="K704" s="23" t="inlineStr">
        <is>
          <t>U</t>
        </is>
      </c>
      <c r="L704" s="25" t="n">
        <v>2291</v>
      </c>
      <c r="M704" s="26" t="n">
        <v>3.22</v>
      </c>
      <c r="N704" s="25">
        <f>ROUND(L704/M704, 0)</f>
        <v/>
      </c>
      <c r="O704" s="25">
        <f>ROUND(N704*'Methodology &amp; Assumptions'!$B$7, 0)</f>
        <v/>
      </c>
      <c r="P704" s="23" t="inlineStr">
        <is>
          <t>Single Carrier (Band n50, 100MHz TDD)</t>
        </is>
      </c>
      <c r="Q704" s="27">
        <f>ROUNDUP(O704/'Methodology &amp; Assumptions'!$B$8, 0)</f>
        <v/>
      </c>
      <c r="R704" s="27" t="n">
        <v>1</v>
      </c>
      <c r="S704" s="26" t="n">
        <v>0.52</v>
      </c>
      <c r="T704" s="26" t="n">
        <v>0.18</v>
      </c>
      <c r="U704" s="11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26" t="n">
        <v>63.91</v>
      </c>
      <c r="W704" s="26" t="n">
        <v>70.97</v>
      </c>
      <c r="X704" s="26">
        <f>ROUND(('Methodology &amp; Assumptions'!$B$5*V704) + ('Methodology &amp; Assumptions'!$B$6*W704), 2)</f>
        <v/>
      </c>
      <c r="Y704" s="28" t="n">
        <v>10.9</v>
      </c>
      <c r="Z704" s="11" t="inlineStr">
        <is>
          <t>Priority Tier 2 (Balanced Opportunity)</t>
        </is>
      </c>
    </row>
    <row r="705">
      <c r="A705" s="23" t="n">
        <v>1</v>
      </c>
      <c r="B705" s="23" t="n">
        <v>701</v>
      </c>
      <c r="C705" s="23" t="n">
        <v>701</v>
      </c>
      <c r="D705" s="23" t="inlineStr">
        <is>
          <t>0402123025</t>
        </is>
      </c>
      <c r="E705" s="11" t="inlineStr">
        <is>
          <t>Region IV-A (CALABARZON)</t>
        </is>
      </c>
      <c r="F705" s="11" t="inlineStr">
        <is>
          <t>Cavite</t>
        </is>
      </c>
      <c r="G705" s="11" t="inlineStr">
        <is>
          <t>Gen. Mariano Alvarez</t>
        </is>
      </c>
      <c r="H705" s="11" t="inlineStr">
        <is>
          <t>San Jose</t>
        </is>
      </c>
      <c r="I705" s="24" t="n">
        <v>14.331977</v>
      </c>
      <c r="J705" s="24" t="n">
        <v>121.036527</v>
      </c>
      <c r="K705" s="23" t="inlineStr">
        <is>
          <t>R</t>
        </is>
      </c>
      <c r="L705" s="25" t="n">
        <v>4558</v>
      </c>
      <c r="M705" s="26" t="n">
        <v>3.4</v>
      </c>
      <c r="N705" s="25">
        <f>ROUND(L705/M705, 0)</f>
        <v/>
      </c>
      <c r="O705" s="25">
        <f>ROUND(N705*'Methodology &amp; Assumptions'!$B$7, 0)</f>
        <v/>
      </c>
      <c r="P705" s="23" t="inlineStr">
        <is>
          <t>Single Carrier (Band n50, 100MHz TDD)</t>
        </is>
      </c>
      <c r="Q705" s="27">
        <f>ROUNDUP(O705/'Methodology &amp; Assumptions'!$B$8, 0)</f>
        <v/>
      </c>
      <c r="R705" s="27" t="n">
        <v>1</v>
      </c>
      <c r="S705" s="26" t="n">
        <v>1.44</v>
      </c>
      <c r="T705" s="26" t="n">
        <v>1.46</v>
      </c>
      <c r="U705" s="11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26" t="n">
        <v>83.18000000000001</v>
      </c>
      <c r="W705" s="26" t="n">
        <v>51.64</v>
      </c>
      <c r="X705" s="26">
        <f>ROUND(('Methodology &amp; Assumptions'!$B$5*V705) + ('Methodology &amp; Assumptions'!$B$6*W705), 2)</f>
        <v/>
      </c>
      <c r="Y705" s="28" t="n">
        <v>7.2</v>
      </c>
      <c r="Z705" s="11" t="inlineStr">
        <is>
          <t>Priority Tier 2 (Balanced Opportunity)</t>
        </is>
      </c>
    </row>
    <row r="706">
      <c r="A706" s="23" t="n">
        <v>1</v>
      </c>
      <c r="B706" s="23" t="n">
        <v>702</v>
      </c>
      <c r="C706" s="23" t="n">
        <v>702</v>
      </c>
      <c r="D706" s="23" t="inlineStr">
        <is>
          <t>0405813002</t>
        </is>
      </c>
      <c r="E706" s="11" t="inlineStr">
        <is>
          <t>Region IV-A (CALABARZON)</t>
        </is>
      </c>
      <c r="F706" s="11" t="inlineStr">
        <is>
          <t>Rizal</t>
        </is>
      </c>
      <c r="G706" s="11" t="inlineStr">
        <is>
          <t>Taytay</t>
        </is>
      </c>
      <c r="H706" s="11" t="inlineStr">
        <is>
          <t>Muzon</t>
        </is>
      </c>
      <c r="I706" s="24" t="n">
        <v>14.54376</v>
      </c>
      <c r="J706" s="24" t="n">
        <v>121.1446</v>
      </c>
      <c r="K706" s="23" t="inlineStr">
        <is>
          <t>U</t>
        </is>
      </c>
      <c r="L706" s="25" t="n">
        <v>32623</v>
      </c>
      <c r="M706" s="26" t="n">
        <v>3.6</v>
      </c>
      <c r="N706" s="25">
        <f>ROUND(L706/M706, 0)</f>
        <v/>
      </c>
      <c r="O706" s="25">
        <f>ROUND(N706*'Methodology &amp; Assumptions'!$B$7, 0)</f>
        <v/>
      </c>
      <c r="P706" s="23" t="inlineStr">
        <is>
          <t>Single Carrier (Band n50, 100MHz TDD)</t>
        </is>
      </c>
      <c r="Q706" s="27">
        <f>ROUNDUP(O706/'Methodology &amp; Assumptions'!$B$8, 0)</f>
        <v/>
      </c>
      <c r="R706" s="27" t="n">
        <v>1</v>
      </c>
      <c r="S706" s="26" t="n">
        <v>1.92</v>
      </c>
      <c r="T706" s="26" t="n">
        <v>0.05</v>
      </c>
      <c r="U706" s="11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26" t="n">
        <v>73.8</v>
      </c>
      <c r="W706" s="26" t="n">
        <v>61.02</v>
      </c>
      <c r="X706" s="26">
        <f>ROUND(('Methodology &amp; Assumptions'!$B$5*V706) + ('Methodology &amp; Assumptions'!$B$6*W706), 2)</f>
        <v/>
      </c>
      <c r="Y706" s="28" t="n">
        <v>7.2</v>
      </c>
      <c r="Z706" s="11" t="inlineStr">
        <is>
          <t>Priority Tier 2 (Balanced Opportunity)</t>
        </is>
      </c>
    </row>
    <row r="707">
      <c r="A707" s="23" t="n">
        <v>1</v>
      </c>
      <c r="B707" s="23" t="n">
        <v>703</v>
      </c>
      <c r="C707" s="23" t="n">
        <v>703</v>
      </c>
      <c r="D707" s="23" t="inlineStr">
        <is>
          <t>1380601037</t>
        </is>
      </c>
      <c r="E707" s="11" t="inlineStr">
        <is>
          <t>National Capital Region (NCR)</t>
        </is>
      </c>
      <c r="F707" s="11" t="inlineStr">
        <is>
          <t>First District (Not a Province)</t>
        </is>
      </c>
      <c r="G707" s="11" t="inlineStr">
        <is>
          <t>City of Manila</t>
        </is>
      </c>
      <c r="H707" s="11" t="inlineStr">
        <is>
          <t>Barangay 37</t>
        </is>
      </c>
      <c r="I707" s="24" t="n">
        <v>14.60629</v>
      </c>
      <c r="J707" s="24" t="n">
        <v>120.961881</v>
      </c>
      <c r="K707" s="23" t="inlineStr">
        <is>
          <t>U</t>
        </is>
      </c>
      <c r="L707" s="25" t="n">
        <v>2456</v>
      </c>
      <c r="M707" s="26" t="n">
        <v>4.35</v>
      </c>
      <c r="N707" s="25">
        <f>ROUND(L707/M707, 0)</f>
        <v/>
      </c>
      <c r="O707" s="25">
        <f>ROUND(N707*'Methodology &amp; Assumptions'!$B$7, 0)</f>
        <v/>
      </c>
      <c r="P707" s="23" t="inlineStr">
        <is>
          <t>Single Carrier (Band n50, 100MHz TDD)</t>
        </is>
      </c>
      <c r="Q707" s="27">
        <f>ROUNDUP(O707/'Methodology &amp; Assumptions'!$B$8, 0)</f>
        <v/>
      </c>
      <c r="R707" s="27" t="n">
        <v>1</v>
      </c>
      <c r="S707" s="26" t="n">
        <v>0.84</v>
      </c>
      <c r="T707" s="26" t="n">
        <v>0.84</v>
      </c>
      <c r="U707" s="11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26" t="n">
        <v>59.3</v>
      </c>
      <c r="W707" s="26" t="n">
        <v>75.51000000000001</v>
      </c>
      <c r="X707" s="26">
        <f>ROUND(('Methodology &amp; Assumptions'!$B$5*V707) + ('Methodology &amp; Assumptions'!$B$6*W707), 2)</f>
        <v/>
      </c>
      <c r="Y707" s="28" t="n">
        <v>10.9</v>
      </c>
      <c r="Z707" s="11" t="inlineStr">
        <is>
          <t>Priority Tier 2 (Balanced Opportunity)</t>
        </is>
      </c>
    </row>
    <row r="708">
      <c r="A708" s="23" t="n">
        <v>1</v>
      </c>
      <c r="B708" s="23" t="n">
        <v>704</v>
      </c>
      <c r="C708" s="23" t="n">
        <v>704</v>
      </c>
      <c r="D708" s="23" t="inlineStr">
        <is>
          <t>0402123018</t>
        </is>
      </c>
      <c r="E708" s="11" t="inlineStr">
        <is>
          <t>Region IV-A (CALABARZON)</t>
        </is>
      </c>
      <c r="F708" s="11" t="inlineStr">
        <is>
          <t>Cavite</t>
        </is>
      </c>
      <c r="G708" s="11" t="inlineStr">
        <is>
          <t>Gen. Mariano Alvarez</t>
        </is>
      </c>
      <c r="H708" s="11" t="inlineStr">
        <is>
          <t>Koronel Jose P. Elises</t>
        </is>
      </c>
      <c r="I708" s="24" t="n">
        <v>14.310773</v>
      </c>
      <c r="J708" s="24" t="n">
        <v>121.017218</v>
      </c>
      <c r="K708" s="23" t="inlineStr">
        <is>
          <t>R</t>
        </is>
      </c>
      <c r="L708" s="25" t="n">
        <v>4747</v>
      </c>
      <c r="M708" s="26" t="n">
        <v>3.4</v>
      </c>
      <c r="N708" s="25">
        <f>ROUND(L708/M708, 0)</f>
        <v/>
      </c>
      <c r="O708" s="25">
        <f>ROUND(N708*'Methodology &amp; Assumptions'!$B$7, 0)</f>
        <v/>
      </c>
      <c r="P708" s="23" t="inlineStr">
        <is>
          <t>Single Carrier (Band n50, 100MHz TDD)</t>
        </is>
      </c>
      <c r="Q708" s="27">
        <f>ROUNDUP(O708/'Methodology &amp; Assumptions'!$B$8, 0)</f>
        <v/>
      </c>
      <c r="R708" s="27" t="n">
        <v>1</v>
      </c>
      <c r="S708" s="26" t="n">
        <v>2.65</v>
      </c>
      <c r="T708" s="26" t="n">
        <v>3.53</v>
      </c>
      <c r="U708" s="11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26" t="n">
        <v>75.58</v>
      </c>
      <c r="W708" s="26" t="n">
        <v>59.21</v>
      </c>
      <c r="X708" s="26">
        <f>ROUND(('Methodology &amp; Assumptions'!$B$5*V708) + ('Methodology &amp; Assumptions'!$B$6*W708), 2)</f>
        <v/>
      </c>
      <c r="Y708" s="28" t="n">
        <v>7.2</v>
      </c>
      <c r="Z708" s="11" t="inlineStr">
        <is>
          <t>Priority Tier 2 (Balanced Opportunity)</t>
        </is>
      </c>
    </row>
    <row r="709">
      <c r="A709" s="23" t="n">
        <v>1</v>
      </c>
      <c r="B709" s="23" t="n">
        <v>705</v>
      </c>
      <c r="C709" s="23" t="n">
        <v>705</v>
      </c>
      <c r="D709" s="23" t="inlineStr">
        <is>
          <t>0405627001</t>
        </is>
      </c>
      <c r="E709" s="11" t="inlineStr">
        <is>
          <t>Region IV-A (CALABARZON)</t>
        </is>
      </c>
      <c r="F709" s="11" t="inlineStr">
        <is>
          <t>Quezon</t>
        </is>
      </c>
      <c r="G709" s="11" t="inlineStr">
        <is>
          <t>Mauban</t>
        </is>
      </c>
      <c r="H709" s="11" t="inlineStr">
        <is>
          <t>Abo-abo</t>
        </is>
      </c>
      <c r="I709" s="24" t="n">
        <v>14.201181</v>
      </c>
      <c r="J709" s="24" t="n">
        <v>121.697622</v>
      </c>
      <c r="K709" s="23" t="inlineStr">
        <is>
          <t>R</t>
        </is>
      </c>
      <c r="L709" s="25" t="n">
        <v>196</v>
      </c>
      <c r="M709" s="26" t="n">
        <v>3.8</v>
      </c>
      <c r="N709" s="25">
        <f>ROUND(L709/M709, 0)</f>
        <v/>
      </c>
      <c r="O709" s="25">
        <f>ROUND(N709*'Methodology &amp; Assumptions'!$B$7, 0)</f>
        <v/>
      </c>
      <c r="P709" s="23" t="inlineStr">
        <is>
          <t>Single Carrier (Band n50, 100MHz TDD)</t>
        </is>
      </c>
      <c r="Q709" s="27">
        <f>ROUNDUP(O709/'Methodology &amp; Assumptions'!$B$8, 0)</f>
        <v/>
      </c>
      <c r="R709" s="27" t="n">
        <v>1</v>
      </c>
      <c r="S709" s="26" t="n">
        <v>3.45</v>
      </c>
      <c r="T709" s="26" t="n">
        <v>17.21</v>
      </c>
      <c r="U709" s="11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26" t="n">
        <v>48.62</v>
      </c>
      <c r="W709" s="26" t="n">
        <v>86.16</v>
      </c>
      <c r="X709" s="26">
        <f>ROUND(('Methodology &amp; Assumptions'!$B$5*V709) + ('Methodology &amp; Assumptions'!$B$6*W709), 2)</f>
        <v/>
      </c>
      <c r="Y709" s="28" t="n">
        <v>7.2</v>
      </c>
      <c r="Z709" s="11" t="inlineStr">
        <is>
          <t>Priority Tier 2 (Balanced Opportunity)</t>
        </is>
      </c>
    </row>
    <row r="710">
      <c r="A710" s="23" t="n">
        <v>1</v>
      </c>
      <c r="B710" s="23" t="n">
        <v>706</v>
      </c>
      <c r="C710" s="23" t="n">
        <v>706</v>
      </c>
      <c r="D710" s="23" t="inlineStr">
        <is>
          <t>0102822012</t>
        </is>
      </c>
      <c r="E710" s="11" t="inlineStr">
        <is>
          <t>Region I (Ilocos Region)</t>
        </is>
      </c>
      <c r="F710" s="11" t="inlineStr">
        <is>
          <t>Ilocos Norte</t>
        </is>
      </c>
      <c r="G710" s="11" t="inlineStr">
        <is>
          <t>Solsona</t>
        </is>
      </c>
      <c r="H710" s="11" t="inlineStr">
        <is>
          <t>Maananteng</t>
        </is>
      </c>
      <c r="I710" s="24" t="n">
        <v>18.12946</v>
      </c>
      <c r="J710" s="24" t="n">
        <v>120.881473</v>
      </c>
      <c r="K710" s="23" t="inlineStr">
        <is>
          <t>R</t>
        </is>
      </c>
      <c r="L710" s="25" t="n">
        <v>1314</v>
      </c>
      <c r="M710" s="26" t="n">
        <v>3.7</v>
      </c>
      <c r="N710" s="25">
        <f>ROUND(L710/M710, 0)</f>
        <v/>
      </c>
      <c r="O710" s="25">
        <f>ROUND(N710*'Methodology &amp; Assumptions'!$B$7, 0)</f>
        <v/>
      </c>
      <c r="P710" s="23" t="inlineStr">
        <is>
          <t>Single Carrier (Band n50, 100MHz TDD)</t>
        </is>
      </c>
      <c r="Q710" s="27">
        <f>ROUNDUP(O710/'Methodology &amp; Assumptions'!$B$8, 0)</f>
        <v/>
      </c>
      <c r="R710" s="27" t="n">
        <v>1</v>
      </c>
      <c r="S710" s="26" t="n">
        <v>12.07</v>
      </c>
      <c r="T710" s="26" t="n">
        <v>12.1</v>
      </c>
      <c r="U710" s="11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26" t="n">
        <v>47.75</v>
      </c>
      <c r="W710" s="26" t="n">
        <v>87.03</v>
      </c>
      <c r="X710" s="26">
        <f>ROUND(('Methodology &amp; Assumptions'!$B$5*V710) + ('Methodology &amp; Assumptions'!$B$6*W710), 2)</f>
        <v/>
      </c>
      <c r="Y710" s="28" t="n">
        <v>8.300000000000001</v>
      </c>
      <c r="Z710" s="11" t="inlineStr">
        <is>
          <t>Priority Tier 2 (Balanced Opportunity)</t>
        </is>
      </c>
    </row>
    <row r="711">
      <c r="A711" s="23" t="n">
        <v>1</v>
      </c>
      <c r="B711" s="23" t="n">
        <v>707</v>
      </c>
      <c r="C711" s="23" t="n">
        <v>707</v>
      </c>
      <c r="D711" s="23" t="inlineStr">
        <is>
          <t>0402106049</t>
        </is>
      </c>
      <c r="E711" s="11" t="inlineStr">
        <is>
          <t>Region IV-A (CALABARZON)</t>
        </is>
      </c>
      <c r="F711" s="11" t="inlineStr">
        <is>
          <t>Cavite</t>
        </is>
      </c>
      <c r="G711" s="11" t="inlineStr">
        <is>
          <t>City of Dasmariñas</t>
        </is>
      </c>
      <c r="H711" s="11" t="inlineStr">
        <is>
          <t>Burol III</t>
        </is>
      </c>
      <c r="I711" s="24" t="n">
        <v>14.326153</v>
      </c>
      <c r="J711" s="24" t="n">
        <v>120.967057</v>
      </c>
      <c r="K711" s="23" t="inlineStr">
        <is>
          <t>U</t>
        </is>
      </c>
      <c r="L711" s="25" t="n">
        <v>11497</v>
      </c>
      <c r="M711" s="26" t="n">
        <v>3.4</v>
      </c>
      <c r="N711" s="25">
        <f>ROUND(L711/M711, 0)</f>
        <v/>
      </c>
      <c r="O711" s="25">
        <f>ROUND(N711*'Methodology &amp; Assumptions'!$B$7, 0)</f>
        <v/>
      </c>
      <c r="P711" s="23" t="inlineStr">
        <is>
          <t>Single Carrier (Band n50, 100MHz TDD)</t>
        </is>
      </c>
      <c r="Q711" s="27">
        <f>ROUNDUP(O711/'Methodology &amp; Assumptions'!$B$8, 0)</f>
        <v/>
      </c>
      <c r="R711" s="27" t="n">
        <v>1</v>
      </c>
      <c r="S711" s="26" t="n">
        <v>1.53</v>
      </c>
      <c r="T711" s="26" t="n">
        <v>3.08</v>
      </c>
      <c r="U711" s="11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26" t="n">
        <v>72.16</v>
      </c>
      <c r="W711" s="26" t="n">
        <v>62.6</v>
      </c>
      <c r="X711" s="26">
        <f>ROUND(('Methodology &amp; Assumptions'!$B$5*V711) + ('Methodology &amp; Assumptions'!$B$6*W711), 2)</f>
        <v/>
      </c>
      <c r="Y711" s="28" t="n">
        <v>7.2</v>
      </c>
      <c r="Z711" s="11" t="inlineStr">
        <is>
          <t>Priority Tier 2 (Balanced Opportunity)</t>
        </is>
      </c>
    </row>
    <row r="712">
      <c r="A712" s="23" t="n">
        <v>1</v>
      </c>
      <c r="B712" s="23" t="n">
        <v>708</v>
      </c>
      <c r="C712" s="23" t="n">
        <v>708</v>
      </c>
      <c r="D712" s="23" t="inlineStr">
        <is>
          <t>1381300142</t>
        </is>
      </c>
      <c r="E712" s="11" t="inlineStr">
        <is>
          <t>National Capital Region (NCR)</t>
        </is>
      </c>
      <c r="F712" s="11" t="inlineStr">
        <is>
          <t>Second District (Not a Province)</t>
        </is>
      </c>
      <c r="G712" s="11" t="inlineStr">
        <is>
          <t>Quezon City</t>
        </is>
      </c>
      <c r="H712" s="11" t="inlineStr">
        <is>
          <t>North Fairview</t>
        </is>
      </c>
      <c r="I712" s="24" t="n">
        <v>14.72298</v>
      </c>
      <c r="J712" s="24" t="n">
        <v>121.0633</v>
      </c>
      <c r="K712" s="23" t="inlineStr">
        <is>
          <t>U</t>
        </is>
      </c>
      <c r="L712" s="25" t="n">
        <v>47019</v>
      </c>
      <c r="M712" s="26" t="n">
        <v>4.06</v>
      </c>
      <c r="N712" s="25">
        <f>ROUND(L712/M712, 0)</f>
        <v/>
      </c>
      <c r="O712" s="25">
        <f>ROUND(N712*'Methodology &amp; Assumptions'!$B$7, 0)</f>
        <v/>
      </c>
      <c r="P712" s="23" t="inlineStr">
        <is>
          <t>Single Carrier (Band n50, 100MHz TDD)</t>
        </is>
      </c>
      <c r="Q712" s="27">
        <f>ROUNDUP(O712/'Methodology &amp; Assumptions'!$B$8, 0)</f>
        <v/>
      </c>
      <c r="R712" s="27" t="n">
        <v>1</v>
      </c>
      <c r="S712" s="26" t="n">
        <v>0.89</v>
      </c>
      <c r="T712" s="26" t="n">
        <v>0.76</v>
      </c>
      <c r="U712" s="11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26" t="n">
        <v>66.53</v>
      </c>
      <c r="W712" s="26" t="n">
        <v>68.23</v>
      </c>
      <c r="X712" s="26">
        <f>ROUND(('Methodology &amp; Assumptions'!$B$5*V712) + ('Methodology &amp; Assumptions'!$B$6*W712), 2)</f>
        <v/>
      </c>
      <c r="Y712" s="28" t="n">
        <v>10.9</v>
      </c>
      <c r="Z712" s="11" t="inlineStr">
        <is>
          <t>Priority Tier 2 (Balanced Opportunity)</t>
        </is>
      </c>
    </row>
    <row r="713">
      <c r="A713" s="23" t="n">
        <v>1</v>
      </c>
      <c r="B713" s="23" t="n">
        <v>709</v>
      </c>
      <c r="C713" s="23" t="n">
        <v>709</v>
      </c>
      <c r="D713" s="23" t="inlineStr">
        <is>
          <t>1380612036</t>
        </is>
      </c>
      <c r="E713" s="11" t="inlineStr">
        <is>
          <t>National Capital Region (NCR)</t>
        </is>
      </c>
      <c r="F713" s="11" t="inlineStr">
        <is>
          <t>First District (Not a Province)</t>
        </is>
      </c>
      <c r="G713" s="11" t="inlineStr">
        <is>
          <t>City of Manila</t>
        </is>
      </c>
      <c r="H713" s="11" t="inlineStr">
        <is>
          <t>Barangay 870</t>
        </is>
      </c>
      <c r="I713" s="24" t="n">
        <v>14.582555</v>
      </c>
      <c r="J713" s="24" t="n">
        <v>121.005395</v>
      </c>
      <c r="K713" s="23" t="inlineStr">
        <is>
          <t>U</t>
        </is>
      </c>
      <c r="L713" s="25" t="n">
        <v>3139</v>
      </c>
      <c r="M713" s="26" t="n">
        <v>4.1</v>
      </c>
      <c r="N713" s="25">
        <f>ROUND(L713/M713, 0)</f>
        <v/>
      </c>
      <c r="O713" s="25">
        <f>ROUND(N713*'Methodology &amp; Assumptions'!$B$7, 0)</f>
        <v/>
      </c>
      <c r="P713" s="23" t="inlineStr">
        <is>
          <t>Single Carrier (Band n50, 100MHz TDD)</t>
        </is>
      </c>
      <c r="Q713" s="27">
        <f>ROUNDUP(O713/'Methodology &amp; Assumptions'!$B$8, 0)</f>
        <v/>
      </c>
      <c r="R713" s="27" t="n">
        <v>1</v>
      </c>
      <c r="S713" s="26" t="n">
        <v>0.35</v>
      </c>
      <c r="T713" s="26" t="n">
        <v>0.32</v>
      </c>
      <c r="U713" s="11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26" t="n">
        <v>65.73</v>
      </c>
      <c r="W713" s="26" t="n">
        <v>69.04000000000001</v>
      </c>
      <c r="X713" s="26">
        <f>ROUND(('Methodology &amp; Assumptions'!$B$5*V713) + ('Methodology &amp; Assumptions'!$B$6*W713), 2)</f>
        <v/>
      </c>
      <c r="Y713" s="28" t="n">
        <v>10.9</v>
      </c>
      <c r="Z713" s="11" t="inlineStr">
        <is>
          <t>Priority Tier 2 (Balanced Opportunity)</t>
        </is>
      </c>
    </row>
    <row r="714">
      <c r="A714" s="23" t="n">
        <v>1</v>
      </c>
      <c r="B714" s="23" t="n">
        <v>710</v>
      </c>
      <c r="C714" s="23" t="n">
        <v>710</v>
      </c>
      <c r="D714" s="23" t="inlineStr">
        <is>
          <t>1381701010</t>
        </is>
      </c>
      <c r="E714" s="11" t="inlineStr">
        <is>
          <t>National Capital Region (NCR)</t>
        </is>
      </c>
      <c r="F714" s="11" t="inlineStr">
        <is>
          <t>Fourth District (Not a Province)</t>
        </is>
      </c>
      <c r="G714" s="11" t="inlineStr">
        <is>
          <t>Pateros</t>
        </is>
      </c>
      <c r="H714" s="11" t="inlineStr">
        <is>
          <t>Tabacalera</t>
        </is>
      </c>
      <c r="I714" s="24" t="n">
        <v>14.54945</v>
      </c>
      <c r="J714" s="24" t="n">
        <v>121.0678</v>
      </c>
      <c r="K714" s="23" t="inlineStr">
        <is>
          <t>U</t>
        </is>
      </c>
      <c r="L714" s="25" t="n">
        <v>2853</v>
      </c>
      <c r="M714" s="26" t="n">
        <v>3.71</v>
      </c>
      <c r="N714" s="25">
        <f>ROUND(L714/M714, 0)</f>
        <v/>
      </c>
      <c r="O714" s="25">
        <f>ROUND(N714*'Methodology &amp; Assumptions'!$B$7, 0)</f>
        <v/>
      </c>
      <c r="P714" s="23" t="inlineStr">
        <is>
          <t>Single Carrier (Band n50, 100MHz TDD)</t>
        </is>
      </c>
      <c r="Q714" s="27">
        <f>ROUNDUP(O714/'Methodology &amp; Assumptions'!$B$8, 0)</f>
        <v/>
      </c>
      <c r="R714" s="27" t="n">
        <v>1</v>
      </c>
      <c r="S714" s="26" t="n">
        <v>0.53</v>
      </c>
      <c r="T714" s="26" t="n">
        <v>0.38</v>
      </c>
      <c r="U714" s="11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26" t="n">
        <v>65.73</v>
      </c>
      <c r="W714" s="26" t="n">
        <v>69.03</v>
      </c>
      <c r="X714" s="26">
        <f>ROUND(('Methodology &amp; Assumptions'!$B$5*V714) + ('Methodology &amp; Assumptions'!$B$6*W714), 2)</f>
        <v/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1</v>
      </c>
      <c r="B715" s="23" t="n">
        <v>711</v>
      </c>
      <c r="C715" s="23" t="n">
        <v>711</v>
      </c>
      <c r="D715" s="23" t="inlineStr">
        <is>
          <t>0402113016</t>
        </is>
      </c>
      <c r="E715" s="11" t="inlineStr">
        <is>
          <t>Region IV-A (CALABARZON)</t>
        </is>
      </c>
      <c r="F715" s="11" t="inlineStr">
        <is>
          <t>Cavite</t>
        </is>
      </c>
      <c r="G715" s="11" t="inlineStr">
        <is>
          <t>Maragondon</t>
        </is>
      </c>
      <c r="H715" s="11" t="inlineStr">
        <is>
          <t>Pinagsanhan I A</t>
        </is>
      </c>
      <c r="I715" s="24" t="n">
        <v>14.243138</v>
      </c>
      <c r="J715" s="24" t="n">
        <v>120.694755</v>
      </c>
      <c r="K715" s="23" t="inlineStr">
        <is>
          <t>R</t>
        </is>
      </c>
      <c r="L715" s="25" t="n">
        <v>1651</v>
      </c>
      <c r="M715" s="26" t="n">
        <v>3.4</v>
      </c>
      <c r="N715" s="25">
        <f>ROUND(L715/M715, 0)</f>
        <v/>
      </c>
      <c r="O715" s="25">
        <f>ROUND(N715*'Methodology &amp; Assumptions'!$B$7, 0)</f>
        <v/>
      </c>
      <c r="P715" s="23" t="inlineStr">
        <is>
          <t>Single Carrier (Band n50, 100MHz TDD)</t>
        </is>
      </c>
      <c r="Q715" s="27">
        <f>ROUNDUP(O715/'Methodology &amp; Assumptions'!$B$8, 0)</f>
        <v/>
      </c>
      <c r="R715" s="27" t="n">
        <v>1</v>
      </c>
      <c r="S715" s="26" t="n">
        <v>5.17</v>
      </c>
      <c r="T715" s="26" t="n">
        <v>5.72</v>
      </c>
      <c r="U715" s="11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26" t="n">
        <v>59.47</v>
      </c>
      <c r="W715" s="26" t="n">
        <v>75.26000000000001</v>
      </c>
      <c r="X715" s="26">
        <f>ROUND(('Methodology &amp; Assumptions'!$B$5*V715) + ('Methodology &amp; Assumptions'!$B$6*W715), 2)</f>
        <v/>
      </c>
      <c r="Y715" s="28" t="n">
        <v>7.2</v>
      </c>
      <c r="Z715" s="11" t="inlineStr">
        <is>
          <t>Priority Tier 2 (Balanced Opportunity)</t>
        </is>
      </c>
    </row>
    <row r="716">
      <c r="A716" s="23" t="n">
        <v>1</v>
      </c>
      <c r="B716" s="23" t="n">
        <v>712</v>
      </c>
      <c r="C716" s="23" t="n">
        <v>712</v>
      </c>
      <c r="D716" s="23" t="inlineStr">
        <is>
          <t>0403426021</t>
        </is>
      </c>
      <c r="E716" s="11" t="inlineStr">
        <is>
          <t>Region IV-A (CALABARZON)</t>
        </is>
      </c>
      <c r="F716" s="11" t="inlineStr">
        <is>
          <t>Laguna</t>
        </is>
      </c>
      <c r="G716" s="11" t="inlineStr">
        <is>
          <t>Santa Cruz</t>
        </is>
      </c>
      <c r="H716" s="11" t="inlineStr">
        <is>
          <t>San Pablo Norte</t>
        </is>
      </c>
      <c r="I716" s="24" t="n">
        <v>14.2907</v>
      </c>
      <c r="J716" s="24" t="n">
        <v>121.413017</v>
      </c>
      <c r="K716" s="23" t="inlineStr">
        <is>
          <t>R</t>
        </is>
      </c>
      <c r="L716" s="25" t="n">
        <v>3016</v>
      </c>
      <c r="M716" s="26" t="n">
        <v>3.3</v>
      </c>
      <c r="N716" s="25">
        <f>ROUND(L716/M716, 0)</f>
        <v/>
      </c>
      <c r="O716" s="25">
        <f>ROUND(N716*'Methodology &amp; Assumptions'!$B$7, 0)</f>
        <v/>
      </c>
      <c r="P716" s="23" t="inlineStr">
        <is>
          <t>Single Carrier (Band n50, 100MHz TDD)</t>
        </is>
      </c>
      <c r="Q716" s="27">
        <f>ROUNDUP(O716/'Methodology &amp; Assumptions'!$B$8, 0)</f>
        <v/>
      </c>
      <c r="R716" s="27" t="n">
        <v>1</v>
      </c>
      <c r="S716" s="26" t="n">
        <v>1.29</v>
      </c>
      <c r="T716" s="26" t="n">
        <v>1.14</v>
      </c>
      <c r="U716" s="11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26" t="n">
        <v>83.75</v>
      </c>
      <c r="W716" s="26" t="n">
        <v>50.98</v>
      </c>
      <c r="X716" s="26">
        <f>ROUND(('Methodology &amp; Assumptions'!$B$5*V716) + ('Methodology &amp; Assumptions'!$B$6*W716), 2)</f>
        <v/>
      </c>
      <c r="Y716" s="28" t="n">
        <v>7.2</v>
      </c>
      <c r="Z716" s="11" t="inlineStr">
        <is>
          <t>Priority Tier 2 (Balanced Opportunity)</t>
        </is>
      </c>
    </row>
    <row r="717">
      <c r="A717" s="23" t="n">
        <v>1</v>
      </c>
      <c r="B717" s="23" t="n">
        <v>713</v>
      </c>
      <c r="C717" s="23" t="n">
        <v>713</v>
      </c>
      <c r="D717" s="23" t="inlineStr">
        <is>
          <t>1381100032</t>
        </is>
      </c>
      <c r="E717" s="11" t="inlineStr">
        <is>
          <t>National Capital Region (NCR)</t>
        </is>
      </c>
      <c r="F717" s="11" t="inlineStr">
        <is>
          <t>Fourth District (Not a Province)</t>
        </is>
      </c>
      <c r="G717" s="11" t="inlineStr">
        <is>
          <t>Pasay City</t>
        </is>
      </c>
      <c r="H717" s="11" t="inlineStr">
        <is>
          <t>Barangay 32</t>
        </is>
      </c>
      <c r="I717" s="24" t="n">
        <v>14.604315</v>
      </c>
      <c r="J717" s="24" t="n">
        <v>120.964508</v>
      </c>
      <c r="K717" s="23" t="inlineStr">
        <is>
          <t>U</t>
        </is>
      </c>
      <c r="L717" s="25" t="n">
        <v>1919</v>
      </c>
      <c r="M717" s="26" t="n">
        <v>2.95</v>
      </c>
      <c r="N717" s="25">
        <f>ROUND(L717/M717, 0)</f>
        <v/>
      </c>
      <c r="O717" s="25">
        <f>ROUND(N717*'Methodology &amp; Assumptions'!$B$7, 0)</f>
        <v/>
      </c>
      <c r="P717" s="23" t="inlineStr">
        <is>
          <t>Single Carrier (Band n50, 100MHz TDD)</t>
        </is>
      </c>
      <c r="Q717" s="27">
        <f>ROUNDUP(O717/'Methodology &amp; Assumptions'!$B$8, 0)</f>
        <v/>
      </c>
      <c r="R717" s="27" t="n">
        <v>1</v>
      </c>
      <c r="S717" s="26" t="n">
        <v>0.62</v>
      </c>
      <c r="T717" s="26" t="n">
        <v>0.62</v>
      </c>
      <c r="U717" s="11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26" t="n">
        <v>61.98</v>
      </c>
      <c r="W717" s="26" t="n">
        <v>72.75</v>
      </c>
      <c r="X717" s="26">
        <f>ROUND(('Methodology &amp; Assumptions'!$B$5*V717) + ('Methodology &amp; Assumptions'!$B$6*W717), 2)</f>
        <v/>
      </c>
      <c r="Y717" s="28" t="n">
        <v>10.9</v>
      </c>
      <c r="Z717" s="11" t="inlineStr">
        <is>
          <t>Priority Tier 2 (Balanced Opportunity)</t>
        </is>
      </c>
    </row>
    <row r="718">
      <c r="A718" s="23" t="n">
        <v>1</v>
      </c>
      <c r="B718" s="23" t="n">
        <v>714</v>
      </c>
      <c r="C718" s="23" t="n">
        <v>714</v>
      </c>
      <c r="D718" s="23" t="inlineStr">
        <is>
          <t>0403408006</t>
        </is>
      </c>
      <c r="E718" s="11" t="inlineStr">
        <is>
          <t>Region IV-A (CALABARZON)</t>
        </is>
      </c>
      <c r="F718" s="11" t="inlineStr">
        <is>
          <t>Laguna</t>
        </is>
      </c>
      <c r="G718" s="11" t="inlineStr">
        <is>
          <t>Famy</t>
        </is>
      </c>
      <c r="H718" s="11" t="inlineStr">
        <is>
          <t>Batuhan</t>
        </is>
      </c>
      <c r="I718" s="24" t="n">
        <v>14.43873</v>
      </c>
      <c r="J718" s="24" t="n">
        <v>121.442619</v>
      </c>
      <c r="K718" s="23" t="inlineStr">
        <is>
          <t>R</t>
        </is>
      </c>
      <c r="L718" s="25" t="n">
        <v>3260</v>
      </c>
      <c r="M718" s="26" t="n">
        <v>3.3</v>
      </c>
      <c r="N718" s="25">
        <f>ROUND(L718/M718, 0)</f>
        <v/>
      </c>
      <c r="O718" s="25">
        <f>ROUND(N718*'Methodology &amp; Assumptions'!$B$7, 0)</f>
        <v/>
      </c>
      <c r="P718" s="23" t="inlineStr">
        <is>
          <t>Single Carrier (Band n50, 100MHz TDD)</t>
        </is>
      </c>
      <c r="Q718" s="27">
        <f>ROUNDUP(O718/'Methodology &amp; Assumptions'!$B$8, 0)</f>
        <v/>
      </c>
      <c r="R718" s="27" t="n">
        <v>1</v>
      </c>
      <c r="S718" s="26" t="n">
        <v>0.88</v>
      </c>
      <c r="T718" s="26" t="n">
        <v>0.13</v>
      </c>
      <c r="U718" s="11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26" t="n">
        <v>87.95999999999999</v>
      </c>
      <c r="W718" s="26" t="n">
        <v>46.74</v>
      </c>
      <c r="X718" s="26">
        <f>ROUND(('Methodology &amp; Assumptions'!$B$5*V718) + ('Methodology &amp; Assumptions'!$B$6*W718), 2)</f>
        <v/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1</v>
      </c>
      <c r="B719" s="23" t="n">
        <v>715</v>
      </c>
      <c r="C719" s="23" t="n">
        <v>715</v>
      </c>
      <c r="D719" s="23" t="inlineStr">
        <is>
          <t>0305415033</t>
        </is>
      </c>
      <c r="E719" s="11" t="inlineStr">
        <is>
          <t>Region III (Central Luzon)</t>
        </is>
      </c>
      <c r="F719" s="11" t="inlineStr">
        <is>
          <t>Pampanga</t>
        </is>
      </c>
      <c r="G719" s="11" t="inlineStr">
        <is>
          <t>Porac</t>
        </is>
      </c>
      <c r="H719" s="11" t="inlineStr">
        <is>
          <t>Sinura</t>
        </is>
      </c>
      <c r="I719" s="24" t="n">
        <v>15.12962</v>
      </c>
      <c r="J719" s="24" t="n">
        <v>120.569061</v>
      </c>
      <c r="K719" s="23" t="inlineStr">
        <is>
          <t>R</t>
        </is>
      </c>
      <c r="L719" s="25" t="n">
        <v>3859</v>
      </c>
      <c r="M719" s="26" t="n">
        <v>4</v>
      </c>
      <c r="N719" s="25">
        <f>ROUND(L719/M719, 0)</f>
        <v/>
      </c>
      <c r="O719" s="25">
        <f>ROUND(N719*'Methodology &amp; Assumptions'!$B$7, 0)</f>
        <v/>
      </c>
      <c r="P719" s="23" t="inlineStr">
        <is>
          <t>Single Carrier (Band n50, 100MHz TDD)</t>
        </is>
      </c>
      <c r="Q719" s="27">
        <f>ROUNDUP(O719/'Methodology &amp; Assumptions'!$B$8, 0)</f>
        <v/>
      </c>
      <c r="R719" s="27" t="n">
        <v>1</v>
      </c>
      <c r="S719" s="26" t="n">
        <v>1.2</v>
      </c>
      <c r="T719" s="26" t="n">
        <v>0.35</v>
      </c>
      <c r="U719" s="11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26" t="n">
        <v>84.26000000000001</v>
      </c>
      <c r="W719" s="26" t="n">
        <v>50.44</v>
      </c>
      <c r="X719" s="26">
        <f>ROUND(('Methodology &amp; Assumptions'!$B$5*V719) + ('Methodology &amp; Assumptions'!$B$6*W719), 2)</f>
        <v/>
      </c>
      <c r="Y719" s="28" t="n">
        <v>8.300000000000001</v>
      </c>
      <c r="Z719" s="11" t="inlineStr">
        <is>
          <t>Priority Tier 2 (Balanced Opportunity)</t>
        </is>
      </c>
    </row>
    <row r="720">
      <c r="A720" s="23" t="n">
        <v>1</v>
      </c>
      <c r="B720" s="23" t="n">
        <v>716</v>
      </c>
      <c r="C720" s="23" t="n">
        <v>716</v>
      </c>
      <c r="D720" s="23" t="inlineStr">
        <is>
          <t>0402123027</t>
        </is>
      </c>
      <c r="E720" s="11" t="inlineStr">
        <is>
          <t>Region IV-A (CALABARZON)</t>
        </is>
      </c>
      <c r="F720" s="11" t="inlineStr">
        <is>
          <t>Cavite</t>
        </is>
      </c>
      <c r="G720" s="11" t="inlineStr">
        <is>
          <t>Gen. Mariano Alvarez</t>
        </is>
      </c>
      <c r="H720" s="11" t="inlineStr">
        <is>
          <t>Tiniente Tiago</t>
        </is>
      </c>
      <c r="I720" s="24" t="n">
        <v>14.329339</v>
      </c>
      <c r="J720" s="24" t="n">
        <v>121.033872</v>
      </c>
      <c r="K720" s="23" t="inlineStr">
        <is>
          <t>R</t>
        </is>
      </c>
      <c r="L720" s="25" t="n">
        <v>3276</v>
      </c>
      <c r="M720" s="26" t="n">
        <v>3.4</v>
      </c>
      <c r="N720" s="25">
        <f>ROUND(L720/M720, 0)</f>
        <v/>
      </c>
      <c r="O720" s="25">
        <f>ROUND(N720*'Methodology &amp; Assumptions'!$B$7, 0)</f>
        <v/>
      </c>
      <c r="P720" s="23" t="inlineStr">
        <is>
          <t>Single Carrier (Band n50, 100MHz TDD)</t>
        </is>
      </c>
      <c r="Q720" s="27">
        <f>ROUNDUP(O720/'Methodology &amp; Assumptions'!$B$8, 0)</f>
        <v/>
      </c>
      <c r="R720" s="27" t="n">
        <v>1</v>
      </c>
      <c r="S720" s="26" t="n">
        <v>1.81</v>
      </c>
      <c r="T720" s="26" t="n">
        <v>1.83</v>
      </c>
      <c r="U720" s="11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26" t="n">
        <v>81.86</v>
      </c>
      <c r="W720" s="26" t="n">
        <v>52.85</v>
      </c>
      <c r="X720" s="26">
        <f>ROUND(('Methodology &amp; Assumptions'!$B$5*V720) + ('Methodology &amp; Assumptions'!$B$6*W720), 2)</f>
        <v/>
      </c>
      <c r="Y720" s="28" t="n">
        <v>7.2</v>
      </c>
      <c r="Z720" s="11" t="inlineStr">
        <is>
          <t>Priority Tier 2 (Balanced Opportunity)</t>
        </is>
      </c>
    </row>
    <row r="721">
      <c r="A721" s="23" t="n">
        <v>1</v>
      </c>
      <c r="B721" s="23" t="n">
        <v>717</v>
      </c>
      <c r="C721" s="23" t="n">
        <v>717</v>
      </c>
      <c r="D721" s="23" t="inlineStr">
        <is>
          <t>0102915002</t>
        </is>
      </c>
      <c r="E721" s="11" t="inlineStr">
        <is>
          <t>Region I (Ilocos Region)</t>
        </is>
      </c>
      <c r="F721" s="11" t="inlineStr">
        <is>
          <t>Ilocos Sur</t>
        </is>
      </c>
      <c r="G721" s="11" t="inlineStr">
        <is>
          <t>Quirino</t>
        </is>
      </c>
      <c r="H721" s="11" t="inlineStr">
        <is>
          <t>Cayus</t>
        </is>
      </c>
      <c r="I721" s="24" t="n">
        <v>17.15729</v>
      </c>
      <c r="J721" s="24" t="n">
        <v>120.648751</v>
      </c>
      <c r="K721" s="23" t="inlineStr">
        <is>
          <t>R</t>
        </is>
      </c>
      <c r="L721" s="25" t="n">
        <v>761</v>
      </c>
      <c r="M721" s="26" t="n">
        <v>3.9</v>
      </c>
      <c r="N721" s="25">
        <f>ROUND(L721/M721, 0)</f>
        <v/>
      </c>
      <c r="O721" s="25">
        <f>ROUND(N721*'Methodology &amp; Assumptions'!$B$7, 0)</f>
        <v/>
      </c>
      <c r="P721" s="23" t="inlineStr">
        <is>
          <t>Single Carrier (Band n50, 100MHz TDD)</t>
        </is>
      </c>
      <c r="Q721" s="27">
        <f>ROUNDUP(O721/'Methodology &amp; Assumptions'!$B$8, 0)</f>
        <v/>
      </c>
      <c r="R721" s="27" t="n">
        <v>1</v>
      </c>
      <c r="S721" s="26" t="n">
        <v>3.88</v>
      </c>
      <c r="T721" s="26" t="n">
        <v>0.16</v>
      </c>
      <c r="U721" s="11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26" t="n">
        <v>55.94</v>
      </c>
      <c r="W721" s="26" t="n">
        <v>78.73999999999999</v>
      </c>
      <c r="X721" s="26">
        <f>ROUND(('Methodology &amp; Assumptions'!$B$5*V721) + ('Methodology &amp; Assumptions'!$B$6*W721), 2)</f>
        <v/>
      </c>
      <c r="Y721" s="28" t="n">
        <v>8.300000000000001</v>
      </c>
      <c r="Z721" s="11" t="inlineStr">
        <is>
          <t>Priority Tier 2 (Balanced Opportunity)</t>
        </is>
      </c>
    </row>
    <row r="722">
      <c r="A722" s="23" t="n">
        <v>1</v>
      </c>
      <c r="B722" s="23" t="n">
        <v>718</v>
      </c>
      <c r="C722" s="23" t="n">
        <v>718</v>
      </c>
      <c r="D722" s="23" t="inlineStr">
        <is>
          <t>1380611006</t>
        </is>
      </c>
      <c r="E722" s="11" t="inlineStr">
        <is>
          <t>National Capital Region (NCR)</t>
        </is>
      </c>
      <c r="F722" s="11" t="inlineStr">
        <is>
          <t>First District (Not a Province)</t>
        </is>
      </c>
      <c r="G722" s="11" t="inlineStr">
        <is>
          <t>City of Manila</t>
        </is>
      </c>
      <c r="H722" s="11" t="inlineStr">
        <is>
          <t>Barangay 672</t>
        </is>
      </c>
      <c r="I722" s="24" t="n">
        <v>14.583552</v>
      </c>
      <c r="J722" s="24" t="n">
        <v>120.992299</v>
      </c>
      <c r="K722" s="23" t="inlineStr">
        <is>
          <t>U</t>
        </is>
      </c>
      <c r="L722" s="25" t="n">
        <v>3268</v>
      </c>
      <c r="M722" s="26" t="n">
        <v>4.16</v>
      </c>
      <c r="N722" s="25">
        <f>ROUND(L722/M722, 0)</f>
        <v/>
      </c>
      <c r="O722" s="25">
        <f>ROUND(N722*'Methodology &amp; Assumptions'!$B$7, 0)</f>
        <v/>
      </c>
      <c r="P722" s="23" t="inlineStr">
        <is>
          <t>Single Carrier (Band n50, 100MHz TDD)</t>
        </is>
      </c>
      <c r="Q722" s="27">
        <f>ROUNDUP(O722/'Methodology &amp; Assumptions'!$B$8, 0)</f>
        <v/>
      </c>
      <c r="R722" s="27" t="n">
        <v>1</v>
      </c>
      <c r="S722" s="26" t="n">
        <v>1.13</v>
      </c>
      <c r="T722" s="26" t="n">
        <v>0.39</v>
      </c>
      <c r="U722" s="11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26" t="n">
        <v>65.26000000000001</v>
      </c>
      <c r="W722" s="26" t="n">
        <v>69.41</v>
      </c>
      <c r="X722" s="26">
        <f>ROUND(('Methodology &amp; Assumptions'!$B$5*V722) + ('Methodology &amp; Assumptions'!$B$6*W722), 2)</f>
        <v/>
      </c>
      <c r="Y722" s="28" t="n">
        <v>10.9</v>
      </c>
      <c r="Z722" s="11" t="inlineStr">
        <is>
          <t>Priority Tier 2 (Balanced Opportunity)</t>
        </is>
      </c>
    </row>
    <row r="723">
      <c r="A723" s="23" t="n">
        <v>1</v>
      </c>
      <c r="B723" s="23" t="n">
        <v>719</v>
      </c>
      <c r="C723" s="23" t="n">
        <v>719</v>
      </c>
      <c r="D723" s="23" t="inlineStr">
        <is>
          <t>0402116004</t>
        </is>
      </c>
      <c r="E723" s="11" t="inlineStr">
        <is>
          <t>Region IV-A (CALABARZON)</t>
        </is>
      </c>
      <c r="F723" s="11" t="inlineStr">
        <is>
          <t>Cavite</t>
        </is>
      </c>
      <c r="G723" s="11" t="inlineStr">
        <is>
          <t>Noveleta</t>
        </is>
      </c>
      <c r="H723" s="11" t="inlineStr">
        <is>
          <t>San Antonio I</t>
        </is>
      </c>
      <c r="I723" s="24" t="n">
        <v>14.425102</v>
      </c>
      <c r="J723" s="24" t="n">
        <v>120.884145</v>
      </c>
      <c r="K723" s="23" t="inlineStr">
        <is>
          <t>U</t>
        </is>
      </c>
      <c r="L723" s="25" t="n">
        <v>5804</v>
      </c>
      <c r="M723" s="26" t="n">
        <v>3.4</v>
      </c>
      <c r="N723" s="25">
        <f>ROUND(L723/M723, 0)</f>
        <v/>
      </c>
      <c r="O723" s="25">
        <f>ROUND(N723*'Methodology &amp; Assumptions'!$B$7, 0)</f>
        <v/>
      </c>
      <c r="P723" s="23" t="inlineStr">
        <is>
          <t>Single Carrier (Band n50, 100MHz TDD)</t>
        </is>
      </c>
      <c r="Q723" s="27">
        <f>ROUNDUP(O723/'Methodology &amp; Assumptions'!$B$8, 0)</f>
        <v/>
      </c>
      <c r="R723" s="27" t="n">
        <v>1</v>
      </c>
      <c r="S723" s="26" t="n">
        <v>0.51</v>
      </c>
      <c r="T723" s="26" t="n">
        <v>0.39</v>
      </c>
      <c r="U723" s="11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26" t="n">
        <v>78.26000000000001</v>
      </c>
      <c r="W723" s="26" t="n">
        <v>56.37</v>
      </c>
      <c r="X723" s="26">
        <f>ROUND(('Methodology &amp; Assumptions'!$B$5*V723) + ('Methodology &amp; Assumptions'!$B$6*W723), 2)</f>
        <v/>
      </c>
      <c r="Y723" s="28" t="n">
        <v>7.2</v>
      </c>
      <c r="Z723" s="11" t="inlineStr">
        <is>
          <t>Priority Tier 2 (Balanced Opportunity)</t>
        </is>
      </c>
    </row>
    <row r="724">
      <c r="A724" s="23" t="n">
        <v>1</v>
      </c>
      <c r="B724" s="23" t="n">
        <v>720</v>
      </c>
      <c r="C724" s="23" t="n">
        <v>720</v>
      </c>
      <c r="D724" s="23" t="inlineStr">
        <is>
          <t>0402117012</t>
        </is>
      </c>
      <c r="E724" s="11" t="inlineStr">
        <is>
          <t>Region IV-A (CALABARZON)</t>
        </is>
      </c>
      <c r="F724" s="11" t="inlineStr">
        <is>
          <t>Cavite</t>
        </is>
      </c>
      <c r="G724" s="11" t="inlineStr">
        <is>
          <t>Rosario</t>
        </is>
      </c>
      <c r="H724" s="11" t="inlineStr">
        <is>
          <t>Ligtong III</t>
        </is>
      </c>
      <c r="I724" s="24" t="n">
        <v>14.423244</v>
      </c>
      <c r="J724" s="24" t="n">
        <v>120.873065</v>
      </c>
      <c r="K724" s="23" t="inlineStr">
        <is>
          <t>U</t>
        </is>
      </c>
      <c r="L724" s="25" t="n">
        <v>5980</v>
      </c>
      <c r="M724" s="26" t="n">
        <v>3.4</v>
      </c>
      <c r="N724" s="25">
        <f>ROUND(L724/M724, 0)</f>
        <v/>
      </c>
      <c r="O724" s="25">
        <f>ROUND(N724*'Methodology &amp; Assumptions'!$B$7, 0)</f>
        <v/>
      </c>
      <c r="P724" s="23" t="inlineStr">
        <is>
          <t>Single Carrier (Band n50, 100MHz TDD)</t>
        </is>
      </c>
      <c r="Q724" s="27">
        <f>ROUNDUP(O724/'Methodology &amp; Assumptions'!$B$8, 0)</f>
        <v/>
      </c>
      <c r="R724" s="27" t="n">
        <v>1</v>
      </c>
      <c r="S724" s="26" t="n">
        <v>1.28</v>
      </c>
      <c r="T724" s="26" t="n">
        <v>1.19</v>
      </c>
      <c r="U724" s="11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26" t="n">
        <v>76.59</v>
      </c>
      <c r="W724" s="26" t="n">
        <v>58.02</v>
      </c>
      <c r="X724" s="26">
        <f>ROUND(('Methodology &amp; Assumptions'!$B$5*V724) + ('Methodology &amp; Assumptions'!$B$6*W724), 2)</f>
        <v/>
      </c>
      <c r="Y724" s="28" t="n">
        <v>7.2</v>
      </c>
      <c r="Z724" s="11" t="inlineStr">
        <is>
          <t>Priority Tier 2 (Balanced Opportunity)</t>
        </is>
      </c>
    </row>
    <row r="725">
      <c r="A725" s="23" t="n">
        <v>1</v>
      </c>
      <c r="B725" s="23" t="n">
        <v>721</v>
      </c>
      <c r="C725" s="23" t="n">
        <v>721</v>
      </c>
      <c r="D725" s="23" t="inlineStr">
        <is>
          <t>1381300095</t>
        </is>
      </c>
      <c r="E725" s="11" t="inlineStr">
        <is>
          <t>National Capital Region (NCR)</t>
        </is>
      </c>
      <c r="F725" s="11" t="inlineStr">
        <is>
          <t>Second District (Not a Province)</t>
        </is>
      </c>
      <c r="G725" s="11" t="inlineStr">
        <is>
          <t>Quezon City</t>
        </is>
      </c>
      <c r="H725" s="11" t="inlineStr">
        <is>
          <t>San Agustin</t>
        </is>
      </c>
      <c r="I725" s="24" t="n">
        <v>14.729575</v>
      </c>
      <c r="J725" s="24" t="n">
        <v>121.038698</v>
      </c>
      <c r="K725" s="23" t="inlineStr">
        <is>
          <t>U</t>
        </is>
      </c>
      <c r="L725" s="25" t="n">
        <v>26034</v>
      </c>
      <c r="M725" s="26" t="n">
        <v>3.87</v>
      </c>
      <c r="N725" s="25">
        <f>ROUND(L725/M725, 0)</f>
        <v/>
      </c>
      <c r="O725" s="25">
        <f>ROUND(N725*'Methodology &amp; Assumptions'!$B$7, 0)</f>
        <v/>
      </c>
      <c r="P725" s="23" t="inlineStr">
        <is>
          <t>Single Carrier (Band n50, 100MHz TDD)</t>
        </is>
      </c>
      <c r="Q725" s="27">
        <f>ROUNDUP(O725/'Methodology &amp; Assumptions'!$B$8, 0)</f>
        <v/>
      </c>
      <c r="R725" s="27" t="n">
        <v>1</v>
      </c>
      <c r="S725" s="26" t="n">
        <v>0.96</v>
      </c>
      <c r="T725" s="26" t="n">
        <v>0.17</v>
      </c>
      <c r="U725" s="11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26" t="n">
        <v>67.48</v>
      </c>
      <c r="W725" s="26" t="n">
        <v>67.13</v>
      </c>
      <c r="X725" s="26">
        <f>ROUND(('Methodology &amp; Assumptions'!$B$5*V725) + ('Methodology &amp; Assumptions'!$B$6*W725), 2)</f>
        <v/>
      </c>
      <c r="Y725" s="28" t="n">
        <v>10.9</v>
      </c>
      <c r="Z725" s="11" t="inlineStr">
        <is>
          <t>Priority Tier 2 (Balanced Opportunity)</t>
        </is>
      </c>
    </row>
    <row r="726">
      <c r="A726" s="23" t="n">
        <v>1</v>
      </c>
      <c r="B726" s="23" t="n">
        <v>722</v>
      </c>
      <c r="C726" s="23" t="n">
        <v>722</v>
      </c>
      <c r="D726" s="23" t="inlineStr">
        <is>
          <t>0105536005</t>
        </is>
      </c>
      <c r="E726" s="11" t="inlineStr">
        <is>
          <t>Region I (Ilocos Region)</t>
        </is>
      </c>
      <c r="F726" s="11" t="inlineStr">
        <is>
          <t>Pangasinan</t>
        </is>
      </c>
      <c r="G726" s="11" t="inlineStr">
        <is>
          <t>San Nicolas</t>
        </is>
      </c>
      <c r="H726" s="11" t="inlineStr">
        <is>
          <t>Cacabugaoan</t>
        </is>
      </c>
      <c r="I726" s="24" t="n">
        <v>16.1041</v>
      </c>
      <c r="J726" s="24" t="n">
        <v>120.8395</v>
      </c>
      <c r="K726" s="23" t="inlineStr">
        <is>
          <t>R</t>
        </is>
      </c>
      <c r="L726" s="25" t="n">
        <v>1415</v>
      </c>
      <c r="M726" s="26" t="n">
        <v>3.6</v>
      </c>
      <c r="N726" s="25">
        <f>ROUND(L726/M726, 0)</f>
        <v/>
      </c>
      <c r="O726" s="25">
        <f>ROUND(N726*'Methodology &amp; Assumptions'!$B$7, 0)</f>
        <v/>
      </c>
      <c r="P726" s="23" t="inlineStr">
        <is>
          <t>Single Carrier (Band n50, 100MHz TDD)</t>
        </is>
      </c>
      <c r="Q726" s="27">
        <f>ROUNDUP(O726/'Methodology &amp; Assumptions'!$B$8, 0)</f>
        <v/>
      </c>
      <c r="R726" s="27" t="n">
        <v>1</v>
      </c>
      <c r="S726" s="26" t="n">
        <v>11.53</v>
      </c>
      <c r="T726" s="26" t="n">
        <v>9.26</v>
      </c>
      <c r="U726" s="11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26" t="n">
        <v>49.59</v>
      </c>
      <c r="W726" s="26" t="n">
        <v>85</v>
      </c>
      <c r="X726" s="26">
        <f>ROUND(('Methodology &amp; Assumptions'!$B$5*V726) + ('Methodology &amp; Assumptions'!$B$6*W726), 2)</f>
        <v/>
      </c>
      <c r="Y726" s="28" t="n">
        <v>8.300000000000001</v>
      </c>
      <c r="Z726" s="11" t="inlineStr">
        <is>
          <t>Priority Tier 2 (Balanced Opportunity)</t>
        </is>
      </c>
    </row>
    <row r="727">
      <c r="A727" s="23" t="n">
        <v>1</v>
      </c>
      <c r="B727" s="23" t="n">
        <v>723</v>
      </c>
      <c r="C727" s="23" t="n">
        <v>723</v>
      </c>
      <c r="D727" s="23" t="inlineStr">
        <is>
          <t>1404402015</t>
        </is>
      </c>
      <c r="E727" s="11" t="inlineStr">
        <is>
          <t>Cordillera Administrative Region (CAR)</t>
        </is>
      </c>
      <c r="F727" s="11" t="inlineStr">
        <is>
          <t>Mountain Province</t>
        </is>
      </c>
      <c r="G727" s="11" t="inlineStr">
        <is>
          <t>Bauko</t>
        </is>
      </c>
      <c r="H727" s="11" t="inlineStr">
        <is>
          <t>Monamon Sur</t>
        </is>
      </c>
      <c r="I727" s="24" t="n">
        <v>16.866528</v>
      </c>
      <c r="J727" s="24" t="n">
        <v>120.875452</v>
      </c>
      <c r="K727" s="23" t="inlineStr">
        <is>
          <t>R</t>
        </is>
      </c>
      <c r="L727" s="25" t="n">
        <v>3671</v>
      </c>
      <c r="M727" s="26" t="n">
        <v>3.7</v>
      </c>
      <c r="N727" s="25">
        <f>ROUND(L727/M727, 0)</f>
        <v/>
      </c>
      <c r="O727" s="25">
        <f>ROUND(N727*'Methodology &amp; Assumptions'!$B$7, 0)</f>
        <v/>
      </c>
      <c r="P727" s="23" t="inlineStr">
        <is>
          <t>Single Carrier (Band n50, 100MHz TDD)</t>
        </is>
      </c>
      <c r="Q727" s="27">
        <f>ROUNDUP(O727/'Methodology &amp; Assumptions'!$B$8, 0)</f>
        <v/>
      </c>
      <c r="R727" s="27" t="n">
        <v>1</v>
      </c>
      <c r="S727" s="26" t="n">
        <v>0.07000000000000001</v>
      </c>
      <c r="T727" s="26" t="n">
        <v>0.09</v>
      </c>
      <c r="U727" s="11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26" t="n">
        <v>86.04000000000001</v>
      </c>
      <c r="W727" s="26" t="n">
        <v>48.51</v>
      </c>
      <c r="X727" s="26">
        <f>ROUND(('Methodology &amp; Assumptions'!$B$5*V727) + ('Methodology &amp; Assumptions'!$B$6*W727), 2)</f>
        <v/>
      </c>
      <c r="Y727" s="28" t="n">
        <v>10.9</v>
      </c>
      <c r="Z727" s="11" t="inlineStr">
        <is>
          <t>Priority Tier 2 (Balanced Opportunity)</t>
        </is>
      </c>
    </row>
    <row r="728">
      <c r="A728" s="23" t="n">
        <v>1</v>
      </c>
      <c r="B728" s="23" t="n">
        <v>724</v>
      </c>
      <c r="C728" s="23" t="n">
        <v>724</v>
      </c>
      <c r="D728" s="23" t="inlineStr">
        <is>
          <t>0403416007</t>
        </is>
      </c>
      <c r="E728" s="11" t="inlineStr">
        <is>
          <t>Region IV-A (CALABARZON)</t>
        </is>
      </c>
      <c r="F728" s="11" t="inlineStr">
        <is>
          <t>Laguna</t>
        </is>
      </c>
      <c r="G728" s="11" t="inlineStr">
        <is>
          <t>Majayjay</t>
        </is>
      </c>
      <c r="H728" s="11" t="inlineStr">
        <is>
          <t>Banilad</t>
        </is>
      </c>
      <c r="I728" s="24" t="n">
        <v>14.195969</v>
      </c>
      <c r="J728" s="24" t="n">
        <v>121.459313</v>
      </c>
      <c r="K728" s="23" t="inlineStr">
        <is>
          <t>R</t>
        </is>
      </c>
      <c r="L728" s="25" t="n">
        <v>224</v>
      </c>
      <c r="M728" s="26" t="n">
        <v>3.3</v>
      </c>
      <c r="N728" s="25">
        <f>ROUND(L728/M728, 0)</f>
        <v/>
      </c>
      <c r="O728" s="25">
        <f>ROUND(N728*'Methodology &amp; Assumptions'!$B$7, 0)</f>
        <v/>
      </c>
      <c r="P728" s="23" t="inlineStr">
        <is>
          <t>Single Carrier (Band n50, 100MHz TDD)</t>
        </is>
      </c>
      <c r="Q728" s="27">
        <f>ROUNDUP(O728/'Methodology &amp; Assumptions'!$B$8, 0)</f>
        <v/>
      </c>
      <c r="R728" s="27" t="n">
        <v>1</v>
      </c>
      <c r="S728" s="26" t="n">
        <v>3.08</v>
      </c>
      <c r="T728" s="26" t="n">
        <v>3.09</v>
      </c>
      <c r="U728" s="11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26" t="n">
        <v>49.9</v>
      </c>
      <c r="W728" s="26" t="n">
        <v>84.63</v>
      </c>
      <c r="X728" s="26">
        <f>ROUND(('Methodology &amp; Assumptions'!$B$5*V728) + ('Methodology &amp; Assumptions'!$B$6*W728), 2)</f>
        <v/>
      </c>
      <c r="Y728" s="28" t="n">
        <v>7.2</v>
      </c>
      <c r="Z728" s="11" t="inlineStr">
        <is>
          <t>Priority Tier 2 (Balanced Opportunity)</t>
        </is>
      </c>
    </row>
    <row r="729">
      <c r="A729" s="23" t="n">
        <v>1</v>
      </c>
      <c r="B729" s="23" t="n">
        <v>725</v>
      </c>
      <c r="C729" s="23" t="n">
        <v>725</v>
      </c>
      <c r="D729" s="23" t="inlineStr">
        <is>
          <t>0403429019</t>
        </is>
      </c>
      <c r="E729" s="11" t="inlineStr">
        <is>
          <t>Region IV-A (CALABARZON)</t>
        </is>
      </c>
      <c r="F729" s="11" t="inlineStr">
        <is>
          <t>Laguna</t>
        </is>
      </c>
      <c r="G729" s="11" t="inlineStr">
        <is>
          <t>Siniloan</t>
        </is>
      </c>
      <c r="H729" s="11" t="inlineStr">
        <is>
          <t>P. Burgos</t>
        </is>
      </c>
      <c r="I729" s="24" t="n">
        <v>14.423517</v>
      </c>
      <c r="J729" s="24" t="n">
        <v>121.444979</v>
      </c>
      <c r="K729" s="23" t="inlineStr">
        <is>
          <t>R</t>
        </is>
      </c>
      <c r="L729" s="25" t="n">
        <v>5267</v>
      </c>
      <c r="M729" s="26" t="n">
        <v>3.3</v>
      </c>
      <c r="N729" s="25">
        <f>ROUND(L729/M729, 0)</f>
        <v/>
      </c>
      <c r="O729" s="25">
        <f>ROUND(N729*'Methodology &amp; Assumptions'!$B$7, 0)</f>
        <v/>
      </c>
      <c r="P729" s="23" t="inlineStr">
        <is>
          <t>Single Carrier (Band n50, 100MHz TDD)</t>
        </is>
      </c>
      <c r="Q729" s="27">
        <f>ROUNDUP(O729/'Methodology &amp; Assumptions'!$B$8, 0)</f>
        <v/>
      </c>
      <c r="R729" s="27" t="n">
        <v>1</v>
      </c>
      <c r="S729" s="26" t="n">
        <v>1.44</v>
      </c>
      <c r="T729" s="26" t="n">
        <v>1.4</v>
      </c>
      <c r="U729" s="11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26" t="n">
        <v>83.19</v>
      </c>
      <c r="W729" s="26" t="n">
        <v>51.33</v>
      </c>
      <c r="X729" s="26">
        <f>ROUND(('Methodology &amp; Assumptions'!$B$5*V729) + ('Methodology &amp; Assumptions'!$B$6*W729), 2)</f>
        <v/>
      </c>
      <c r="Y729" s="28" t="n">
        <v>7.2</v>
      </c>
      <c r="Z729" s="11" t="inlineStr">
        <is>
          <t>Priority Tier 2 (Balanced Opportunity)</t>
        </is>
      </c>
    </row>
    <row r="730">
      <c r="A730" s="23" t="n">
        <v>1</v>
      </c>
      <c r="B730" s="23" t="n">
        <v>726</v>
      </c>
      <c r="C730" s="23" t="n">
        <v>726</v>
      </c>
      <c r="D730" s="23" t="inlineStr">
        <is>
          <t>0500518005</t>
        </is>
      </c>
      <c r="E730" s="11" t="inlineStr">
        <is>
          <t>Region V (Bicol Region)</t>
        </is>
      </c>
      <c r="F730" s="11" t="inlineStr">
        <is>
          <t>Albay</t>
        </is>
      </c>
      <c r="G730" s="11" t="inlineStr">
        <is>
          <t>Tiwi</t>
        </is>
      </c>
      <c r="H730" s="11" t="inlineStr">
        <is>
          <t>Biyong</t>
        </is>
      </c>
      <c r="I730" s="24" t="n">
        <v>13.444929</v>
      </c>
      <c r="J730" s="24" t="n">
        <v>123.631565</v>
      </c>
      <c r="K730" s="23" t="inlineStr">
        <is>
          <t>R</t>
        </is>
      </c>
      <c r="L730" s="25" t="n">
        <v>1705</v>
      </c>
      <c r="M730" s="26" t="n">
        <v>4.1</v>
      </c>
      <c r="N730" s="25">
        <f>ROUND(L730/M730, 0)</f>
        <v/>
      </c>
      <c r="O730" s="25">
        <f>ROUND(N730*'Methodology &amp; Assumptions'!$B$7, 0)</f>
        <v/>
      </c>
      <c r="P730" s="23" t="inlineStr">
        <is>
          <t>Single Carrier (Band n50, 100MHz TDD)</t>
        </is>
      </c>
      <c r="Q730" s="27">
        <f>ROUNDUP(O730/'Methodology &amp; Assumptions'!$B$8, 0)</f>
        <v/>
      </c>
      <c r="R730" s="27" t="n">
        <v>1</v>
      </c>
      <c r="S730" s="26" t="n">
        <v>4.97</v>
      </c>
      <c r="T730" s="26" t="n">
        <v>3.9</v>
      </c>
      <c r="U730" s="11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26" t="n">
        <v>59.19</v>
      </c>
      <c r="W730" s="26" t="n">
        <v>75.31</v>
      </c>
      <c r="X730" s="26">
        <f>ROUND(('Methodology &amp; Assumptions'!$B$5*V730) + ('Methodology &amp; Assumptions'!$B$6*W730), 2)</f>
        <v/>
      </c>
      <c r="Y730" s="28" t="n">
        <v>23.7</v>
      </c>
      <c r="Z730" s="11" t="inlineStr">
        <is>
          <t>Priority Tier 2 (Balanced Opportunity)</t>
        </is>
      </c>
    </row>
    <row r="731">
      <c r="A731" s="23" t="n">
        <v>1</v>
      </c>
      <c r="B731" s="23" t="n">
        <v>727</v>
      </c>
      <c r="C731" s="23" t="n">
        <v>727</v>
      </c>
      <c r="D731" s="23" t="inlineStr">
        <is>
          <t>1381100135</t>
        </is>
      </c>
      <c r="E731" s="11" t="inlineStr">
        <is>
          <t>National Capital Region (NCR)</t>
        </is>
      </c>
      <c r="F731" s="11" t="inlineStr">
        <is>
          <t>Fourth District (Not a Province)</t>
        </is>
      </c>
      <c r="G731" s="11" t="inlineStr">
        <is>
          <t>Pasay City</t>
        </is>
      </c>
      <c r="H731" s="11" t="inlineStr">
        <is>
          <t>Barangay 135</t>
        </is>
      </c>
      <c r="I731" s="24" t="n">
        <v>14.543484</v>
      </c>
      <c r="J731" s="24" t="n">
        <v>121.008507</v>
      </c>
      <c r="K731" s="23" t="inlineStr">
        <is>
          <t>U</t>
        </is>
      </c>
      <c r="L731" s="25" t="n">
        <v>2391</v>
      </c>
      <c r="M731" s="26" t="n">
        <v>3.25</v>
      </c>
      <c r="N731" s="25">
        <f>ROUND(L731/M731, 0)</f>
        <v/>
      </c>
      <c r="O731" s="25">
        <f>ROUND(N731*'Methodology &amp; Assumptions'!$B$7, 0)</f>
        <v/>
      </c>
      <c r="P731" s="23" t="inlineStr">
        <is>
          <t>Single Carrier (Band n50, 100MHz TDD)</t>
        </is>
      </c>
      <c r="Q731" s="27">
        <f>ROUNDUP(O731/'Methodology &amp; Assumptions'!$B$8, 0)</f>
        <v/>
      </c>
      <c r="R731" s="27" t="n">
        <v>1</v>
      </c>
      <c r="S731" s="26" t="n">
        <v>0.76</v>
      </c>
      <c r="T731" s="26" t="n">
        <v>0.52</v>
      </c>
      <c r="U731" s="11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26" t="n">
        <v>64.66</v>
      </c>
      <c r="W731" s="26" t="n">
        <v>69.79000000000001</v>
      </c>
      <c r="X731" s="26">
        <f>ROUND(('Methodology &amp; Assumptions'!$B$5*V731) + ('Methodology &amp; Assumptions'!$B$6*W731), 2)</f>
        <v/>
      </c>
      <c r="Y731" s="28" t="n">
        <v>10.9</v>
      </c>
      <c r="Z731" s="11" t="inlineStr">
        <is>
          <t>Priority Tier 2 (Balanced Opportunity)</t>
        </is>
      </c>
    </row>
    <row r="732">
      <c r="A732" s="23" t="n">
        <v>1</v>
      </c>
      <c r="B732" s="23" t="n">
        <v>728</v>
      </c>
      <c r="C732" s="23" t="n">
        <v>728</v>
      </c>
      <c r="D732" s="23" t="inlineStr">
        <is>
          <t>1108205016</t>
        </is>
      </c>
      <c r="E732" s="11" t="inlineStr">
        <is>
          <t>Region XI (Davao Region)</t>
        </is>
      </c>
      <c r="F732" s="11" t="inlineStr">
        <is>
          <t>Davao de Oro</t>
        </is>
      </c>
      <c r="G732" s="11" t="inlineStr">
        <is>
          <t>Maragusan</t>
        </is>
      </c>
      <c r="H732" s="11" t="inlineStr">
        <is>
          <t>New Katipunan</t>
        </is>
      </c>
      <c r="I732" s="24" t="n">
        <v>7.32919</v>
      </c>
      <c r="J732" s="24" t="n">
        <v>126.062158</v>
      </c>
      <c r="K732" s="23" t="inlineStr">
        <is>
          <t>R</t>
        </is>
      </c>
      <c r="L732" s="25" t="n">
        <v>3073</v>
      </c>
      <c r="M732" s="26" t="n">
        <v>3.7</v>
      </c>
      <c r="N732" s="25">
        <f>ROUND(L732/M732, 0)</f>
        <v/>
      </c>
      <c r="O732" s="25">
        <f>ROUND(N732*'Methodology &amp; Assumptions'!$B$7, 0)</f>
        <v/>
      </c>
      <c r="P732" s="23" t="inlineStr">
        <is>
          <t>Single Carrier (Band n50, 100MHz TDD)</t>
        </is>
      </c>
      <c r="Q732" s="27">
        <f>ROUNDUP(O732/'Methodology &amp; Assumptions'!$B$8, 0)</f>
        <v/>
      </c>
      <c r="R732" s="27" t="n">
        <v>1</v>
      </c>
      <c r="S732" s="26" t="n">
        <v>22.9</v>
      </c>
      <c r="T732" s="26" t="n">
        <v>22.46</v>
      </c>
      <c r="U732" s="11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26" t="n">
        <v>61.16</v>
      </c>
      <c r="W732" s="26" t="n">
        <v>73.28</v>
      </c>
      <c r="X732" s="26">
        <f>ROUND(('Methodology &amp; Assumptions'!$B$5*V732) + ('Methodology &amp; Assumptions'!$B$6*W732), 2)</f>
        <v/>
      </c>
      <c r="Y732" s="28" t="n">
        <v>17.4</v>
      </c>
      <c r="Z732" s="11" t="inlineStr">
        <is>
          <t>Priority Tier 2 (Balanced Opportunity)</t>
        </is>
      </c>
    </row>
    <row r="733">
      <c r="A733" s="23" t="n">
        <v>1</v>
      </c>
      <c r="B733" s="23" t="n">
        <v>729</v>
      </c>
      <c r="C733" s="23" t="n">
        <v>729</v>
      </c>
      <c r="D733" s="23" t="inlineStr">
        <is>
          <t>0201512026</t>
        </is>
      </c>
      <c r="E733" s="11" t="inlineStr">
        <is>
          <t>Region II (Cagayan Valley)</t>
        </is>
      </c>
      <c r="F733" s="11" t="inlineStr">
        <is>
          <t>Cagayan</t>
        </is>
      </c>
      <c r="G733" s="11" t="inlineStr">
        <is>
          <t>Enrile</t>
        </is>
      </c>
      <c r="H733" s="11" t="inlineStr">
        <is>
          <t>Roma Sur</t>
        </is>
      </c>
      <c r="I733" s="24" t="n">
        <v>17.521013</v>
      </c>
      <c r="J733" s="24" t="n">
        <v>121.713846</v>
      </c>
      <c r="K733" s="23" t="inlineStr">
        <is>
          <t>R</t>
        </is>
      </c>
      <c r="L733" s="25" t="n">
        <v>1391</v>
      </c>
      <c r="M733" s="26" t="n">
        <v>3.9</v>
      </c>
      <c r="N733" s="25">
        <f>ROUND(L733/M733, 0)</f>
        <v/>
      </c>
      <c r="O733" s="25">
        <f>ROUND(N733*'Methodology &amp; Assumptions'!$B$7, 0)</f>
        <v/>
      </c>
      <c r="P733" s="23" t="inlineStr">
        <is>
          <t>Single Carrier (Band n50, 100MHz TDD)</t>
        </is>
      </c>
      <c r="Q733" s="27">
        <f>ROUNDUP(O733/'Methodology &amp; Assumptions'!$B$8, 0)</f>
        <v/>
      </c>
      <c r="R733" s="27" t="n">
        <v>1</v>
      </c>
      <c r="S733" s="26" t="n">
        <v>4.94</v>
      </c>
      <c r="T733" s="26" t="n">
        <v>2.37</v>
      </c>
      <c r="U733" s="11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26" t="n">
        <v>55.73</v>
      </c>
      <c r="W733" s="26" t="n">
        <v>78.7</v>
      </c>
      <c r="X733" s="26">
        <f>ROUND(('Methodology &amp; Assumptions'!$B$5*V733) + ('Methodology &amp; Assumptions'!$B$6*W733), 2)</f>
        <v/>
      </c>
      <c r="Y733" s="28" t="n">
        <v>8.300000000000001</v>
      </c>
      <c r="Z733" s="11" t="inlineStr">
        <is>
          <t>Priority Tier 2 (Balanced Opportunity)</t>
        </is>
      </c>
    </row>
    <row r="734">
      <c r="A734" s="23" t="n">
        <v>1</v>
      </c>
      <c r="B734" s="23" t="n">
        <v>730</v>
      </c>
      <c r="C734" s="23" t="n">
        <v>730</v>
      </c>
      <c r="D734" s="23" t="inlineStr">
        <is>
          <t>0403412010</t>
        </is>
      </c>
      <c r="E734" s="11" t="inlineStr">
        <is>
          <t>Region IV-A (CALABARZON)</t>
        </is>
      </c>
      <c r="F734" s="11" t="inlineStr">
        <is>
          <t>Laguna</t>
        </is>
      </c>
      <c r="G734" s="11" t="inlineStr">
        <is>
          <t>Luisiana</t>
        </is>
      </c>
      <c r="H734" s="11" t="inlineStr">
        <is>
          <t>San Antonio</t>
        </is>
      </c>
      <c r="I734" s="24" t="n">
        <v>14.185892</v>
      </c>
      <c r="J734" s="24" t="n">
        <v>121.506719</v>
      </c>
      <c r="K734" s="23" t="inlineStr">
        <is>
          <t>R</t>
        </is>
      </c>
      <c r="L734" s="25" t="n">
        <v>3605</v>
      </c>
      <c r="M734" s="26" t="n">
        <v>3.3</v>
      </c>
      <c r="N734" s="25">
        <f>ROUND(L734/M734, 0)</f>
        <v/>
      </c>
      <c r="O734" s="25">
        <f>ROUND(N734*'Methodology &amp; Assumptions'!$B$7, 0)</f>
        <v/>
      </c>
      <c r="P734" s="23" t="inlineStr">
        <is>
          <t>Single Carrier (Band n50, 100MHz TDD)</t>
        </is>
      </c>
      <c r="Q734" s="27">
        <f>ROUNDUP(O734/'Methodology &amp; Assumptions'!$B$8, 0)</f>
        <v/>
      </c>
      <c r="R734" s="27" t="n">
        <v>1</v>
      </c>
      <c r="S734" s="26" t="n">
        <v>0.19</v>
      </c>
      <c r="T734" s="26" t="n">
        <v>4.07</v>
      </c>
      <c r="U734" s="11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26" t="n">
        <v>87.25</v>
      </c>
      <c r="W734" s="26" t="n">
        <v>47.18</v>
      </c>
      <c r="X734" s="26">
        <f>ROUND(('Methodology &amp; Assumptions'!$B$5*V734) + ('Methodology &amp; Assumptions'!$B$6*W734), 2)</f>
        <v/>
      </c>
      <c r="Y734" s="28" t="n">
        <v>7.2</v>
      </c>
      <c r="Z734" s="11" t="inlineStr">
        <is>
          <t>Priority Tier 2 (Balanced Opportunity)</t>
        </is>
      </c>
    </row>
    <row r="735">
      <c r="A735" s="23" t="n">
        <v>1</v>
      </c>
      <c r="B735" s="23" t="n">
        <v>731</v>
      </c>
      <c r="C735" s="23" t="n">
        <v>731</v>
      </c>
      <c r="D735" s="23" t="inlineStr">
        <is>
          <t>1380601013</t>
        </is>
      </c>
      <c r="E735" s="11" t="inlineStr">
        <is>
          <t>National Capital Region (NCR)</t>
        </is>
      </c>
      <c r="F735" s="11" t="inlineStr">
        <is>
          <t>First District (Not a Province)</t>
        </is>
      </c>
      <c r="G735" s="11" t="inlineStr">
        <is>
          <t>City of Manila</t>
        </is>
      </c>
      <c r="H735" s="11" t="inlineStr">
        <is>
          <t>Barangay 13</t>
        </is>
      </c>
      <c r="I735" s="24" t="n">
        <v>14.603028</v>
      </c>
      <c r="J735" s="24" t="n">
        <v>120.965908</v>
      </c>
      <c r="K735" s="23" t="inlineStr">
        <is>
          <t>U</t>
        </is>
      </c>
      <c r="L735" s="25" t="n">
        <v>2435</v>
      </c>
      <c r="M735" s="26" t="n">
        <v>4.03</v>
      </c>
      <c r="N735" s="25">
        <f>ROUND(L735/M735, 0)</f>
        <v/>
      </c>
      <c r="O735" s="25">
        <f>ROUND(N735*'Methodology &amp; Assumptions'!$B$7, 0)</f>
        <v/>
      </c>
      <c r="P735" s="23" t="inlineStr">
        <is>
          <t>Single Carrier (Band n50, 100MHz TDD)</t>
        </is>
      </c>
      <c r="Q735" s="27">
        <f>ROUNDUP(O735/'Methodology &amp; Assumptions'!$B$8, 0)</f>
        <v/>
      </c>
      <c r="R735" s="27" t="n">
        <v>1</v>
      </c>
      <c r="S735" s="26" t="n">
        <v>0.58</v>
      </c>
      <c r="T735" s="26" t="n">
        <v>0.58</v>
      </c>
      <c r="U735" s="11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26" t="n">
        <v>60.48</v>
      </c>
      <c r="W735" s="26" t="n">
        <v>73.93000000000001</v>
      </c>
      <c r="X735" s="26">
        <f>ROUND(('Methodology &amp; Assumptions'!$B$5*V735) + ('Methodology &amp; Assumptions'!$B$6*W735), 2)</f>
        <v/>
      </c>
      <c r="Y735" s="28" t="n">
        <v>10.9</v>
      </c>
      <c r="Z735" s="11" t="inlineStr">
        <is>
          <t>Priority Tier 2 (Balanced Opportunity)</t>
        </is>
      </c>
    </row>
    <row r="736">
      <c r="A736" s="23" t="n">
        <v>1</v>
      </c>
      <c r="B736" s="23" t="n">
        <v>732</v>
      </c>
      <c r="C736" s="23" t="n">
        <v>732</v>
      </c>
      <c r="D736" s="23" t="inlineStr">
        <is>
          <t>0103301028</t>
        </is>
      </c>
      <c r="E736" s="11" t="inlineStr">
        <is>
          <t>Region I (Ilocos Region)</t>
        </is>
      </c>
      <c r="F736" s="11" t="inlineStr">
        <is>
          <t>La Union</t>
        </is>
      </c>
      <c r="G736" s="11" t="inlineStr">
        <is>
          <t>Agoo</t>
        </is>
      </c>
      <c r="H736" s="11" t="inlineStr">
        <is>
          <t>San Marcos</t>
        </is>
      </c>
      <c r="I736" s="24" t="n">
        <v>16.325806</v>
      </c>
      <c r="J736" s="24" t="n">
        <v>120.362793</v>
      </c>
      <c r="K736" s="23" t="inlineStr">
        <is>
          <t>R</t>
        </is>
      </c>
      <c r="L736" s="25" t="n">
        <v>2198</v>
      </c>
      <c r="M736" s="26" t="n">
        <v>3.7</v>
      </c>
      <c r="N736" s="25">
        <f>ROUND(L736/M736, 0)</f>
        <v/>
      </c>
      <c r="O736" s="25">
        <f>ROUND(N736*'Methodology &amp; Assumptions'!$B$7, 0)</f>
        <v/>
      </c>
      <c r="P736" s="23" t="inlineStr">
        <is>
          <t>Single Carrier (Band n50, 100MHz TDD)</t>
        </is>
      </c>
      <c r="Q736" s="27">
        <f>ROUNDUP(O736/'Methodology &amp; Assumptions'!$B$8, 0)</f>
        <v/>
      </c>
      <c r="R736" s="27" t="n">
        <v>1</v>
      </c>
      <c r="S736" s="26" t="n">
        <v>0.66</v>
      </c>
      <c r="T736" s="26" t="n">
        <v>0.41</v>
      </c>
      <c r="U736" s="11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26" t="n">
        <v>78.31</v>
      </c>
      <c r="W736" s="26" t="n">
        <v>56.08</v>
      </c>
      <c r="X736" s="26">
        <f>ROUND(('Methodology &amp; Assumptions'!$B$5*V736) + ('Methodology &amp; Assumptions'!$B$6*W736), 2)</f>
        <v/>
      </c>
      <c r="Y736" s="28" t="n">
        <v>8.300000000000001</v>
      </c>
      <c r="Z736" s="11" t="inlineStr">
        <is>
          <t>Priority Tier 2 (Balanced Opportunity)</t>
        </is>
      </c>
    </row>
    <row r="737">
      <c r="A737" s="23" t="n">
        <v>1</v>
      </c>
      <c r="B737" s="23" t="n">
        <v>733</v>
      </c>
      <c r="C737" s="23" t="n">
        <v>733</v>
      </c>
      <c r="D737" s="23" t="inlineStr">
        <is>
          <t>1380601163</t>
        </is>
      </c>
      <c r="E737" s="11" t="inlineStr">
        <is>
          <t>National Capital Region (NCR)</t>
        </is>
      </c>
      <c r="F737" s="11" t="inlineStr">
        <is>
          <t>First District (Not a Province)</t>
        </is>
      </c>
      <c r="G737" s="11" t="inlineStr">
        <is>
          <t>City of Manila</t>
        </is>
      </c>
      <c r="H737" s="11" t="inlineStr">
        <is>
          <t>Barangay 163</t>
        </is>
      </c>
      <c r="I737" s="24" t="n">
        <v>14.62473</v>
      </c>
      <c r="J737" s="24" t="n">
        <v>120.973</v>
      </c>
      <c r="K737" s="23" t="inlineStr">
        <is>
          <t>U</t>
        </is>
      </c>
      <c r="L737" s="25" t="n">
        <v>3850</v>
      </c>
      <c r="M737" s="26" t="n">
        <v>5.42</v>
      </c>
      <c r="N737" s="25">
        <f>ROUND(L737/M737, 0)</f>
        <v/>
      </c>
      <c r="O737" s="25">
        <f>ROUND(N737*'Methodology &amp; Assumptions'!$B$7, 0)</f>
        <v/>
      </c>
      <c r="P737" s="23" t="inlineStr">
        <is>
          <t>Single Carrier (Band n50, 100MHz TDD)</t>
        </is>
      </c>
      <c r="Q737" s="27">
        <f>ROUNDUP(O737/'Methodology &amp; Assumptions'!$B$8, 0)</f>
        <v/>
      </c>
      <c r="R737" s="27" t="n">
        <v>1</v>
      </c>
      <c r="S737" s="26" t="n">
        <v>0.24</v>
      </c>
      <c r="T737" s="26" t="n">
        <v>0.18</v>
      </c>
      <c r="U737" s="11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26" t="n">
        <v>63.91</v>
      </c>
      <c r="W737" s="26" t="n">
        <v>70.47</v>
      </c>
      <c r="X737" s="26">
        <f>ROUND(('Methodology &amp; Assumptions'!$B$5*V737) + ('Methodology &amp; Assumptions'!$B$6*W737), 2)</f>
        <v/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1</v>
      </c>
      <c r="B738" s="23" t="n">
        <v>734</v>
      </c>
      <c r="C738" s="23" t="n">
        <v>734</v>
      </c>
      <c r="D738" s="23" t="inlineStr">
        <is>
          <t>1380606118</t>
        </is>
      </c>
      <c r="E738" s="11" t="inlineStr">
        <is>
          <t>National Capital Region (NCR)</t>
        </is>
      </c>
      <c r="F738" s="11" t="inlineStr">
        <is>
          <t>First District (Not a Province)</t>
        </is>
      </c>
      <c r="G738" s="11" t="inlineStr">
        <is>
          <t>City of Manila</t>
        </is>
      </c>
      <c r="H738" s="11" t="inlineStr">
        <is>
          <t>Barangay 512</t>
        </is>
      </c>
      <c r="I738" s="24" t="n">
        <v>14.617732</v>
      </c>
      <c r="J738" s="24" t="n">
        <v>120.999527</v>
      </c>
      <c r="K738" s="23" t="inlineStr">
        <is>
          <t>U</t>
        </is>
      </c>
      <c r="L738" s="25" t="n">
        <v>2560</v>
      </c>
      <c r="M738" s="26" t="n">
        <v>3.66</v>
      </c>
      <c r="N738" s="25">
        <f>ROUND(L738/M738, 0)</f>
        <v/>
      </c>
      <c r="O738" s="25">
        <f>ROUND(N738*'Methodology &amp; Assumptions'!$B$7, 0)</f>
        <v/>
      </c>
      <c r="P738" s="23" t="inlineStr">
        <is>
          <t>Single Carrier (Band n50, 100MHz TDD)</t>
        </is>
      </c>
      <c r="Q738" s="27">
        <f>ROUNDUP(O738/'Methodology &amp; Assumptions'!$B$8, 0)</f>
        <v/>
      </c>
      <c r="R738" s="27" t="n">
        <v>1</v>
      </c>
      <c r="S738" s="26" t="n">
        <v>0.88</v>
      </c>
      <c r="T738" s="26" t="n">
        <v>0.4</v>
      </c>
      <c r="U738" s="11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26" t="n">
        <v>63.44</v>
      </c>
      <c r="W738" s="26" t="n">
        <v>70.95</v>
      </c>
      <c r="X738" s="26">
        <f>ROUND(('Methodology &amp; Assumptions'!$B$5*V738) + ('Methodology &amp; Assumptions'!$B$6*W738), 2)</f>
        <v/>
      </c>
      <c r="Y738" s="28" t="n">
        <v>10.9</v>
      </c>
      <c r="Z738" s="11" t="inlineStr">
        <is>
          <t>Priority Tier 2 (Balanced Opportunity)</t>
        </is>
      </c>
    </row>
    <row r="739">
      <c r="A739" s="23" t="n">
        <v>1</v>
      </c>
      <c r="B739" s="23" t="n">
        <v>735</v>
      </c>
      <c r="C739" s="23" t="n">
        <v>735</v>
      </c>
      <c r="D739" s="23" t="inlineStr">
        <is>
          <t>0405802008</t>
        </is>
      </c>
      <c r="E739" s="11" t="inlineStr">
        <is>
          <t>Region IV-A (CALABARZON)</t>
        </is>
      </c>
      <c r="F739" s="11" t="inlineStr">
        <is>
          <t>Rizal</t>
        </is>
      </c>
      <c r="G739" s="11" t="inlineStr">
        <is>
          <t>City of Antipolo</t>
        </is>
      </c>
      <c r="H739" s="11" t="inlineStr">
        <is>
          <t>San Jose</t>
        </is>
      </c>
      <c r="I739" s="24" t="n">
        <v>14.585307</v>
      </c>
      <c r="J739" s="24" t="n">
        <v>121.182088</v>
      </c>
      <c r="K739" s="23" t="inlineStr">
        <is>
          <t>U</t>
        </is>
      </c>
      <c r="L739" s="25" t="n">
        <v>122171</v>
      </c>
      <c r="M739" s="26" t="n">
        <v>3.6</v>
      </c>
      <c r="N739" s="25">
        <f>ROUND(L739/M739, 0)</f>
        <v/>
      </c>
      <c r="O739" s="25">
        <f>ROUND(N739*'Methodology &amp; Assumptions'!$B$7, 0)</f>
        <v/>
      </c>
      <c r="P739" s="23" t="inlineStr">
        <is>
          <t>Single Carrier (Band n50, 100MHz TDD)</t>
        </is>
      </c>
      <c r="Q739" s="27">
        <f>ROUNDUP(O739/'Methodology &amp; Assumptions'!$B$8, 0)</f>
        <v/>
      </c>
      <c r="R739" s="27" t="n">
        <v>1</v>
      </c>
      <c r="S739" s="26" t="n">
        <v>1.05</v>
      </c>
      <c r="T739" s="26" t="n">
        <v>0.08</v>
      </c>
      <c r="U739" s="11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26" t="n">
        <v>74.09999999999999</v>
      </c>
      <c r="W739" s="26" t="n">
        <v>60.24</v>
      </c>
      <c r="X739" s="26">
        <f>ROUND(('Methodology &amp; Assumptions'!$B$5*V739) + ('Methodology &amp; Assumptions'!$B$6*W739), 2)</f>
        <v/>
      </c>
      <c r="Y739" s="28" t="n">
        <v>7.2</v>
      </c>
      <c r="Z739" s="11" t="inlineStr">
        <is>
          <t>Priority Tier 2 (Balanced Opportunity)</t>
        </is>
      </c>
    </row>
    <row r="740">
      <c r="A740" s="23" t="n">
        <v>1</v>
      </c>
      <c r="B740" s="23" t="n">
        <v>736</v>
      </c>
      <c r="C740" s="23" t="n">
        <v>736</v>
      </c>
      <c r="D740" s="23" t="inlineStr">
        <is>
          <t>1380700016</t>
        </is>
      </c>
      <c r="E740" s="11" t="inlineStr">
        <is>
          <t>National Capital Region (NCR)</t>
        </is>
      </c>
      <c r="F740" s="11" t="inlineStr">
        <is>
          <t>Second District (Not a Province)</t>
        </is>
      </c>
      <c r="G740" s="11" t="inlineStr">
        <is>
          <t>City of Marikina</t>
        </is>
      </c>
      <c r="H740" s="11" t="inlineStr">
        <is>
          <t>Tumana</t>
        </is>
      </c>
      <c r="I740" s="24" t="n">
        <v>14.660703</v>
      </c>
      <c r="J740" s="24" t="n">
        <v>121.1005</v>
      </c>
      <c r="K740" s="23" t="inlineStr">
        <is>
          <t>U</t>
        </is>
      </c>
      <c r="L740" s="25" t="n">
        <v>49950</v>
      </c>
      <c r="M740" s="26" t="n">
        <v>4.03</v>
      </c>
      <c r="N740" s="25">
        <f>ROUND(L740/M740, 0)</f>
        <v/>
      </c>
      <c r="O740" s="25">
        <f>ROUND(N740*'Methodology &amp; Assumptions'!$B$7, 0)</f>
        <v/>
      </c>
      <c r="P740" s="23" t="inlineStr">
        <is>
          <t>Single Carrier (Band n50, 100MHz TDD)</t>
        </is>
      </c>
      <c r="Q740" s="27">
        <f>ROUNDUP(O740/'Methodology &amp; Assumptions'!$B$8, 0)</f>
        <v/>
      </c>
      <c r="R740" s="27" t="n">
        <v>1</v>
      </c>
      <c r="S740" s="26" t="n">
        <v>0.61</v>
      </c>
      <c r="T740" s="26" t="n">
        <v>0.48</v>
      </c>
      <c r="U740" s="11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26" t="n">
        <v>66.55</v>
      </c>
      <c r="W740" s="26" t="n">
        <v>67.79000000000001</v>
      </c>
      <c r="X740" s="26">
        <f>ROUND(('Methodology &amp; Assumptions'!$B$5*V740) + ('Methodology &amp; Assumptions'!$B$6*W740), 2)</f>
        <v/>
      </c>
      <c r="Y740" s="28" t="n">
        <v>10.9</v>
      </c>
      <c r="Z740" s="11" t="inlineStr">
        <is>
          <t>Priority Tier 2 (Balanced Opportunity)</t>
        </is>
      </c>
    </row>
    <row r="741">
      <c r="A741" s="23" t="n">
        <v>1</v>
      </c>
      <c r="B741" s="23" t="n">
        <v>737</v>
      </c>
      <c r="C741" s="23" t="n">
        <v>737</v>
      </c>
      <c r="D741" s="23" t="inlineStr">
        <is>
          <t>1380604007</t>
        </is>
      </c>
      <c r="E741" s="11" t="inlineStr">
        <is>
          <t>National Capital Region (NCR)</t>
        </is>
      </c>
      <c r="F741" s="11" t="inlineStr">
        <is>
          <t>First District (Not a Province)</t>
        </is>
      </c>
      <c r="G741" s="11" t="inlineStr">
        <is>
          <t>City of Manila</t>
        </is>
      </c>
      <c r="H741" s="11" t="inlineStr">
        <is>
          <t>Barangay 274</t>
        </is>
      </c>
      <c r="I741" s="24" t="n">
        <v>14.600902</v>
      </c>
      <c r="J741" s="24" t="n">
        <v>120.966595</v>
      </c>
      <c r="K741" s="23" t="inlineStr">
        <is>
          <t>U</t>
        </is>
      </c>
      <c r="L741" s="25" t="n">
        <v>2062</v>
      </c>
      <c r="M741" s="26" t="n">
        <v>3.83</v>
      </c>
      <c r="N741" s="25">
        <f>ROUND(L741/M741, 0)</f>
        <v/>
      </c>
      <c r="O741" s="25">
        <f>ROUND(N741*'Methodology &amp; Assumptions'!$B$7, 0)</f>
        <v/>
      </c>
      <c r="P741" s="23" t="inlineStr">
        <is>
          <t>Single Carrier (Band n50, 100MHz TDD)</t>
        </is>
      </c>
      <c r="Q741" s="27">
        <f>ROUNDUP(O741/'Methodology &amp; Assumptions'!$B$8, 0)</f>
        <v/>
      </c>
      <c r="R741" s="27" t="n">
        <v>1</v>
      </c>
      <c r="S741" s="26" t="n">
        <v>0.73</v>
      </c>
      <c r="T741" s="26" t="n">
        <v>0.73</v>
      </c>
      <c r="U741" s="11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26" t="n">
        <v>58.44</v>
      </c>
      <c r="W741" s="26" t="n">
        <v>75.90000000000001</v>
      </c>
      <c r="X741" s="26">
        <f>ROUND(('Methodology &amp; Assumptions'!$B$5*V741) + ('Methodology &amp; Assumptions'!$B$6*W741), 2)</f>
        <v/>
      </c>
      <c r="Y741" s="28" t="n">
        <v>10.9</v>
      </c>
      <c r="Z741" s="11" t="inlineStr">
        <is>
          <t>Priority Tier 2 (Balanced Opportunity)</t>
        </is>
      </c>
    </row>
    <row r="742">
      <c r="A742" s="23" t="n">
        <v>1</v>
      </c>
      <c r="B742" s="23" t="n">
        <v>738</v>
      </c>
      <c r="C742" s="23" t="n">
        <v>738</v>
      </c>
      <c r="D742" s="23" t="inlineStr">
        <is>
          <t>0405647003</t>
        </is>
      </c>
      <c r="E742" s="11" t="inlineStr">
        <is>
          <t>Region IV-A (CALABARZON)</t>
        </is>
      </c>
      <c r="F742" s="11" t="inlineStr">
        <is>
          <t>Quezon</t>
        </is>
      </c>
      <c r="G742" s="11" t="inlineStr">
        <is>
          <t>City of Tayabas</t>
        </is>
      </c>
      <c r="H742" s="11" t="inlineStr">
        <is>
          <t>Angeles Zone I</t>
        </is>
      </c>
      <c r="I742" s="24" t="n">
        <v>14.027569</v>
      </c>
      <c r="J742" s="24" t="n">
        <v>121.593525</v>
      </c>
      <c r="K742" s="23" t="inlineStr">
        <is>
          <t>R</t>
        </is>
      </c>
      <c r="L742" s="25" t="n">
        <v>1781</v>
      </c>
      <c r="M742" s="26" t="n">
        <v>3.8</v>
      </c>
      <c r="N742" s="25">
        <f>ROUND(L742/M742, 0)</f>
        <v/>
      </c>
      <c r="O742" s="25">
        <f>ROUND(N742*'Methodology &amp; Assumptions'!$B$7, 0)</f>
        <v/>
      </c>
      <c r="P742" s="23" t="inlineStr">
        <is>
          <t>Single Carrier (Band n50, 100MHz TDD)</t>
        </is>
      </c>
      <c r="Q742" s="27">
        <f>ROUNDUP(O742/'Methodology &amp; Assumptions'!$B$8, 0)</f>
        <v/>
      </c>
      <c r="R742" s="27" t="n">
        <v>1</v>
      </c>
      <c r="S742" s="26" t="n">
        <v>0.43</v>
      </c>
      <c r="T742" s="26" t="n">
        <v>0.15</v>
      </c>
      <c r="U742" s="11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26" t="n">
        <v>74.2</v>
      </c>
      <c r="W742" s="26" t="n">
        <v>60.12</v>
      </c>
      <c r="X742" s="26">
        <f>ROUND(('Methodology &amp; Assumptions'!$B$5*V742) + ('Methodology &amp; Assumptions'!$B$6*W742), 2)</f>
        <v/>
      </c>
      <c r="Y742" s="28" t="n">
        <v>7.2</v>
      </c>
      <c r="Z742" s="11" t="inlineStr">
        <is>
          <t>Priority Tier 2 (Balanced Opportunity)</t>
        </is>
      </c>
    </row>
    <row r="743">
      <c r="A743" s="23" t="n">
        <v>1</v>
      </c>
      <c r="B743" s="23" t="n">
        <v>739</v>
      </c>
      <c r="C743" s="23" t="n">
        <v>739</v>
      </c>
      <c r="D743" s="23" t="inlineStr">
        <is>
          <t>0402111022</t>
        </is>
      </c>
      <c r="E743" s="11" t="inlineStr">
        <is>
          <t>Region IV-A (CALABARZON)</t>
        </is>
      </c>
      <c r="F743" s="11" t="inlineStr">
        <is>
          <t>Cavite</t>
        </is>
      </c>
      <c r="G743" s="11" t="inlineStr">
        <is>
          <t>Kawit</t>
        </is>
      </c>
      <c r="H743" s="11" t="inlineStr">
        <is>
          <t>Tramo-Bantayan</t>
        </is>
      </c>
      <c r="I743" s="24" t="n">
        <v>14.44667</v>
      </c>
      <c r="J743" s="24" t="n">
        <v>120.917561</v>
      </c>
      <c r="K743" s="23" t="inlineStr">
        <is>
          <t>U</t>
        </is>
      </c>
      <c r="L743" s="25" t="n">
        <v>3563</v>
      </c>
      <c r="M743" s="26" t="n">
        <v>3.4</v>
      </c>
      <c r="N743" s="25">
        <f>ROUND(L743/M743, 0)</f>
        <v/>
      </c>
      <c r="O743" s="25">
        <f>ROUND(N743*'Methodology &amp; Assumptions'!$B$7, 0)</f>
        <v/>
      </c>
      <c r="P743" s="23" t="inlineStr">
        <is>
          <t>Single Carrier (Band n50, 100MHz TDD)</t>
        </is>
      </c>
      <c r="Q743" s="27">
        <f>ROUNDUP(O743/'Methodology &amp; Assumptions'!$B$8, 0)</f>
        <v/>
      </c>
      <c r="R743" s="27" t="n">
        <v>1</v>
      </c>
      <c r="S743" s="26" t="n">
        <v>3.33</v>
      </c>
      <c r="T743" s="26" t="n">
        <v>0.21</v>
      </c>
      <c r="U743" s="11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26" t="n">
        <v>70.05</v>
      </c>
      <c r="W743" s="26" t="n">
        <v>64.27</v>
      </c>
      <c r="X743" s="26">
        <f>ROUND(('Methodology &amp; Assumptions'!$B$5*V743) + ('Methodology &amp; Assumptions'!$B$6*W743), 2)</f>
        <v/>
      </c>
      <c r="Y743" s="28" t="n">
        <v>7.2</v>
      </c>
      <c r="Z743" s="11" t="inlineStr">
        <is>
          <t>Priority Tier 2 (Balanced Opportunity)</t>
        </is>
      </c>
    </row>
    <row r="744">
      <c r="A744" s="23" t="n">
        <v>1</v>
      </c>
      <c r="B744" s="23" t="n">
        <v>740</v>
      </c>
      <c r="C744" s="23" t="n">
        <v>740</v>
      </c>
      <c r="D744" s="23" t="inlineStr">
        <is>
          <t>1380400020</t>
        </is>
      </c>
      <c r="E744" s="11" t="inlineStr">
        <is>
          <t>National Capital Region (NCR)</t>
        </is>
      </c>
      <c r="F744" s="11" t="inlineStr">
        <is>
          <t>Third District (Not a Province)</t>
        </is>
      </c>
      <c r="G744" s="11" t="inlineStr">
        <is>
          <t>City of Malabon</t>
        </is>
      </c>
      <c r="H744" s="11" t="inlineStr">
        <is>
          <t>Tonsuya</t>
        </is>
      </c>
      <c r="I744" s="24" t="n">
        <v>14.66266</v>
      </c>
      <c r="J744" s="24" t="n">
        <v>120.958124</v>
      </c>
      <c r="K744" s="23" t="inlineStr">
        <is>
          <t>U</t>
        </is>
      </c>
      <c r="L744" s="25" t="n">
        <v>41669</v>
      </c>
      <c r="M744" s="26" t="n">
        <v>3.85</v>
      </c>
      <c r="N744" s="25">
        <f>ROUND(L744/M744, 0)</f>
        <v/>
      </c>
      <c r="O744" s="25">
        <f>ROUND(N744*'Methodology &amp; Assumptions'!$B$7, 0)</f>
        <v/>
      </c>
      <c r="P744" s="23" t="inlineStr">
        <is>
          <t>Single Carrier (Band n50, 100MHz TDD)</t>
        </is>
      </c>
      <c r="Q744" s="27">
        <f>ROUNDUP(O744/'Methodology &amp; Assumptions'!$B$8, 0)</f>
        <v/>
      </c>
      <c r="R744" s="27" t="n">
        <v>1</v>
      </c>
      <c r="S744" s="26" t="n">
        <v>0.35</v>
      </c>
      <c r="T744" s="26" t="n">
        <v>0.31</v>
      </c>
      <c r="U744" s="11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26" t="n">
        <v>66.84999999999999</v>
      </c>
      <c r="W744" s="26" t="n">
        <v>67.47</v>
      </c>
      <c r="X744" s="26">
        <f>ROUND(('Methodology &amp; Assumptions'!$B$5*V744) + ('Methodology &amp; Assumptions'!$B$6*W744), 2)</f>
        <v/>
      </c>
      <c r="Y744" s="28" t="n">
        <v>10.9</v>
      </c>
      <c r="Z744" s="11" t="inlineStr">
        <is>
          <t>Priority Tier 2 (Balanced Opportunity)</t>
        </is>
      </c>
    </row>
    <row r="745">
      <c r="A745" s="23" t="n">
        <v>1</v>
      </c>
      <c r="B745" s="23" t="n">
        <v>741</v>
      </c>
      <c r="C745" s="23" t="n">
        <v>741</v>
      </c>
      <c r="D745" s="23" t="inlineStr">
        <is>
          <t>0205005019</t>
        </is>
      </c>
      <c r="E745" s="11" t="inlineStr">
        <is>
          <t>Region II (Cagayan Valley)</t>
        </is>
      </c>
      <c r="F745" s="11" t="inlineStr">
        <is>
          <t>Nueva Vizcaya</t>
        </is>
      </c>
      <c r="G745" s="11" t="inlineStr">
        <is>
          <t>Bayombong</t>
        </is>
      </c>
      <c r="H745" s="11" t="inlineStr">
        <is>
          <t>Bansing</t>
        </is>
      </c>
      <c r="I745" s="24" t="n">
        <v>16.444565</v>
      </c>
      <c r="J745" s="24" t="n">
        <v>121.191082</v>
      </c>
      <c r="K745" s="23" t="inlineStr">
        <is>
          <t>R</t>
        </is>
      </c>
      <c r="L745" s="25" t="n">
        <v>1083</v>
      </c>
      <c r="M745" s="26" t="n">
        <v>3.8</v>
      </c>
      <c r="N745" s="25">
        <f>ROUND(L745/M745, 0)</f>
        <v/>
      </c>
      <c r="O745" s="25">
        <f>ROUND(N745*'Methodology &amp; Assumptions'!$B$7, 0)</f>
        <v/>
      </c>
      <c r="P745" s="23" t="inlineStr">
        <is>
          <t>Single Carrier (Band n50, 100MHz TDD)</t>
        </is>
      </c>
      <c r="Q745" s="27">
        <f>ROUNDUP(O745/'Methodology &amp; Assumptions'!$B$8, 0)</f>
        <v/>
      </c>
      <c r="R745" s="27" t="n">
        <v>1</v>
      </c>
      <c r="S745" s="26" t="n">
        <v>6.71</v>
      </c>
      <c r="T745" s="26" t="n">
        <v>6.1</v>
      </c>
      <c r="U745" s="11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26" t="n">
        <v>50.85</v>
      </c>
      <c r="W745" s="26" t="n">
        <v>83.44</v>
      </c>
      <c r="X745" s="26">
        <f>ROUND(('Methodology &amp; Assumptions'!$B$5*V745) + ('Methodology &amp; Assumptions'!$B$6*W745), 2)</f>
        <v/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1</v>
      </c>
      <c r="B746" s="23" t="n">
        <v>742</v>
      </c>
      <c r="C746" s="23" t="n">
        <v>742</v>
      </c>
      <c r="D746" s="23" t="inlineStr">
        <is>
          <t>0405646029</t>
        </is>
      </c>
      <c r="E746" s="11" t="inlineStr">
        <is>
          <t>Region IV-A (CALABARZON)</t>
        </is>
      </c>
      <c r="F746" s="11" t="inlineStr">
        <is>
          <t>Quezon</t>
        </is>
      </c>
      <c r="G746" s="11" t="inlineStr">
        <is>
          <t>Tagkawayan</t>
        </is>
      </c>
      <c r="H746" s="11" t="inlineStr">
        <is>
          <t>Poblacion</t>
        </is>
      </c>
      <c r="I746" s="24" t="n">
        <v>14.567618</v>
      </c>
      <c r="J746" s="24" t="n">
        <v>121.032607</v>
      </c>
      <c r="K746" s="23" t="inlineStr">
        <is>
          <t>U</t>
        </is>
      </c>
      <c r="L746" s="25" t="n">
        <v>3983</v>
      </c>
      <c r="M746" s="26" t="n">
        <v>3.8</v>
      </c>
      <c r="N746" s="25">
        <f>ROUND(L746/M746, 0)</f>
        <v/>
      </c>
      <c r="O746" s="25">
        <f>ROUND(N746*'Methodology &amp; Assumptions'!$B$7, 0)</f>
        <v/>
      </c>
      <c r="P746" s="23" t="inlineStr">
        <is>
          <t>Single Carrier (Band n50, 100MHz TDD)</t>
        </is>
      </c>
      <c r="Q746" s="27">
        <f>ROUNDUP(O746/'Methodology &amp; Assumptions'!$B$8, 0)</f>
        <v/>
      </c>
      <c r="R746" s="27" t="n">
        <v>1</v>
      </c>
      <c r="S746" s="26" t="n">
        <v>0.45</v>
      </c>
      <c r="T746" s="26" t="n">
        <v>0.13</v>
      </c>
      <c r="U746" s="11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26" t="n">
        <v>78.26000000000001</v>
      </c>
      <c r="W746" s="26" t="n">
        <v>56.02</v>
      </c>
      <c r="X746" s="26">
        <f>ROUND(('Methodology &amp; Assumptions'!$B$5*V746) + ('Methodology &amp; Assumptions'!$B$6*W746), 2)</f>
        <v/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1</v>
      </c>
      <c r="B747" s="23" t="n">
        <v>743</v>
      </c>
      <c r="C747" s="23" t="n">
        <v>743</v>
      </c>
      <c r="D747" s="23" t="inlineStr">
        <is>
          <t>1380601211</t>
        </is>
      </c>
      <c r="E747" s="11" t="inlineStr">
        <is>
          <t>National Capital Region (NCR)</t>
        </is>
      </c>
      <c r="F747" s="11" t="inlineStr">
        <is>
          <t>First District (Not a Province)</t>
        </is>
      </c>
      <c r="G747" s="11" t="inlineStr">
        <is>
          <t>City of Manila</t>
        </is>
      </c>
      <c r="H747" s="11" t="inlineStr">
        <is>
          <t>Barangay 210</t>
        </is>
      </c>
      <c r="I747" s="24" t="n">
        <v>14.6279</v>
      </c>
      <c r="J747" s="24" t="n">
        <v>120.9821</v>
      </c>
      <c r="K747" s="23" t="inlineStr">
        <is>
          <t>U</t>
        </is>
      </c>
      <c r="L747" s="25" t="n">
        <v>3106</v>
      </c>
      <c r="M747" s="26" t="n">
        <v>4.37</v>
      </c>
      <c r="N747" s="25">
        <f>ROUND(L747/M747, 0)</f>
        <v/>
      </c>
      <c r="O747" s="25">
        <f>ROUND(N747*'Methodology &amp; Assumptions'!$B$7, 0)</f>
        <v/>
      </c>
      <c r="P747" s="23" t="inlineStr">
        <is>
          <t>Single Carrier (Band n50, 100MHz TDD)</t>
        </is>
      </c>
      <c r="Q747" s="27">
        <f>ROUNDUP(O747/'Methodology &amp; Assumptions'!$B$8, 0)</f>
        <v/>
      </c>
      <c r="R747" s="27" t="n">
        <v>1</v>
      </c>
      <c r="S747" s="26" t="n">
        <v>0.95</v>
      </c>
      <c r="T747" s="26" t="n">
        <v>0.34</v>
      </c>
      <c r="U747" s="11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26" t="n">
        <v>63.49</v>
      </c>
      <c r="W747" s="26" t="n">
        <v>70.8</v>
      </c>
      <c r="X747" s="26">
        <f>ROUND(('Methodology &amp; Assumptions'!$B$5*V747) + ('Methodology &amp; Assumptions'!$B$6*W747), 2)</f>
        <v/>
      </c>
      <c r="Y747" s="28" t="n">
        <v>10.9</v>
      </c>
      <c r="Z747" s="11" t="inlineStr">
        <is>
          <t>Priority Tier 2 (Balanced Opportunity)</t>
        </is>
      </c>
    </row>
    <row r="748">
      <c r="A748" s="23" t="n">
        <v>1</v>
      </c>
      <c r="B748" s="23" t="n">
        <v>744</v>
      </c>
      <c r="C748" s="23" t="n">
        <v>744</v>
      </c>
      <c r="D748" s="23" t="inlineStr">
        <is>
          <t>0506210013</t>
        </is>
      </c>
      <c r="E748" s="11" t="inlineStr">
        <is>
          <t>Region V (Bicol Region)</t>
        </is>
      </c>
      <c r="F748" s="11" t="inlineStr">
        <is>
          <t>Sorsogon</t>
        </is>
      </c>
      <c r="G748" s="11" t="inlineStr">
        <is>
          <t>Juban</t>
        </is>
      </c>
      <c r="H748" s="11" t="inlineStr">
        <is>
          <t>Embarcadero</t>
        </is>
      </c>
      <c r="I748" s="24" t="n">
        <v>12.864084</v>
      </c>
      <c r="J748" s="24" t="n">
        <v>123.9827</v>
      </c>
      <c r="K748" s="23" t="inlineStr">
        <is>
          <t>R</t>
        </is>
      </c>
      <c r="L748" s="25" t="n">
        <v>1368</v>
      </c>
      <c r="M748" s="26" t="n">
        <v>4</v>
      </c>
      <c r="N748" s="25">
        <f>ROUND(L748/M748, 0)</f>
        <v/>
      </c>
      <c r="O748" s="25">
        <f>ROUND(N748*'Methodology &amp; Assumptions'!$B$7, 0)</f>
        <v/>
      </c>
      <c r="P748" s="23" t="inlineStr">
        <is>
          <t>Single Carrier (Band n50, 100MHz TDD)</t>
        </is>
      </c>
      <c r="Q748" s="27">
        <f>ROUNDUP(O748/'Methodology &amp; Assumptions'!$B$8, 0)</f>
        <v/>
      </c>
      <c r="R748" s="27" t="n">
        <v>1</v>
      </c>
      <c r="S748" s="26" t="n">
        <v>3.51</v>
      </c>
      <c r="T748" s="26" t="n">
        <v>1.89</v>
      </c>
      <c r="U748" s="11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26" t="n">
        <v>63.31</v>
      </c>
      <c r="W748" s="26" t="n">
        <v>70.97</v>
      </c>
      <c r="X748" s="26">
        <f>ROUND(('Methodology &amp; Assumptions'!$B$5*V748) + ('Methodology &amp; Assumptions'!$B$6*W748), 2)</f>
        <v/>
      </c>
      <c r="Y748" s="28" t="n">
        <v>23.7</v>
      </c>
      <c r="Z748" s="11" t="inlineStr">
        <is>
          <t>Priority Tier 2 (Balanced Opportunity)</t>
        </is>
      </c>
    </row>
    <row r="749">
      <c r="A749" s="23" t="n">
        <v>1</v>
      </c>
      <c r="B749" s="23" t="n">
        <v>745</v>
      </c>
      <c r="C749" s="23" t="n">
        <v>745</v>
      </c>
      <c r="D749" s="23" t="inlineStr">
        <is>
          <t>1401104005</t>
        </is>
      </c>
      <c r="E749" s="11" t="inlineStr">
        <is>
          <t>Cordillera Administrative Region (CAR)</t>
        </is>
      </c>
      <c r="F749" s="11" t="inlineStr">
        <is>
          <t>Benguet</t>
        </is>
      </c>
      <c r="G749" s="11" t="inlineStr">
        <is>
          <t>Bokod</t>
        </is>
      </c>
      <c r="H749" s="11" t="inlineStr">
        <is>
          <t>Ekip</t>
        </is>
      </c>
      <c r="I749" s="24" t="n">
        <v>16.54322</v>
      </c>
      <c r="J749" s="24" t="n">
        <v>120.86689</v>
      </c>
      <c r="K749" s="23" t="inlineStr">
        <is>
          <t>R</t>
        </is>
      </c>
      <c r="L749" s="25" t="n">
        <v>988</v>
      </c>
      <c r="M749" s="26" t="n">
        <v>3.5</v>
      </c>
      <c r="N749" s="25">
        <f>ROUND(L749/M749, 0)</f>
        <v/>
      </c>
      <c r="O749" s="25">
        <f>ROUND(N749*'Methodology &amp; Assumptions'!$B$7, 0)</f>
        <v/>
      </c>
      <c r="P749" s="23" t="inlineStr">
        <is>
          <t>Single Carrier (Band n50, 100MHz TDD)</t>
        </is>
      </c>
      <c r="Q749" s="27">
        <f>ROUNDUP(O749/'Methodology &amp; Assumptions'!$B$8, 0)</f>
        <v/>
      </c>
      <c r="R749" s="27" t="n">
        <v>1</v>
      </c>
      <c r="S749" s="26" t="n">
        <v>8.48</v>
      </c>
      <c r="T749" s="26" t="n">
        <v>9.76</v>
      </c>
      <c r="U749" s="11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26" t="n">
        <v>47.79</v>
      </c>
      <c r="W749" s="26" t="n">
        <v>86.48999999999999</v>
      </c>
      <c r="X749" s="26">
        <f>ROUND(('Methodology &amp; Assumptions'!$B$5*V749) + ('Methodology &amp; Assumptions'!$B$6*W749), 2)</f>
        <v/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1</v>
      </c>
      <c r="B750" s="23" t="n">
        <v>746</v>
      </c>
      <c r="C750" s="23" t="n">
        <v>746</v>
      </c>
      <c r="D750" s="23" t="inlineStr">
        <is>
          <t>1381100192</t>
        </is>
      </c>
      <c r="E750" s="11" t="inlineStr">
        <is>
          <t>National Capital Region (NCR)</t>
        </is>
      </c>
      <c r="F750" s="11" t="inlineStr">
        <is>
          <t>Fourth District (Not a Province)</t>
        </is>
      </c>
      <c r="G750" s="11" t="inlineStr">
        <is>
          <t>Pasay City</t>
        </is>
      </c>
      <c r="H750" s="11" t="inlineStr">
        <is>
          <t>Barangay 192</t>
        </is>
      </c>
      <c r="I750" s="24" t="n">
        <v>14.514664</v>
      </c>
      <c r="J750" s="24" t="n">
        <v>120.999951</v>
      </c>
      <c r="K750" s="23" t="inlineStr">
        <is>
          <t>U</t>
        </is>
      </c>
      <c r="L750" s="25" t="n">
        <v>4274</v>
      </c>
      <c r="M750" s="26" t="n">
        <v>3.38</v>
      </c>
      <c r="N750" s="25">
        <f>ROUND(L750/M750, 0)</f>
        <v/>
      </c>
      <c r="O750" s="25">
        <f>ROUND(N750*'Methodology &amp; Assumptions'!$B$7, 0)</f>
        <v/>
      </c>
      <c r="P750" s="23" t="inlineStr">
        <is>
          <t>Single Carrier (Band n50, 100MHz TDD)</t>
        </is>
      </c>
      <c r="Q750" s="27">
        <f>ROUNDUP(O750/'Methodology &amp; Assumptions'!$B$8, 0)</f>
        <v/>
      </c>
      <c r="R750" s="27" t="n">
        <v>1</v>
      </c>
      <c r="S750" s="26" t="n">
        <v>0.23</v>
      </c>
      <c r="T750" s="26" t="n">
        <v>0.23</v>
      </c>
      <c r="U750" s="11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26" t="n">
        <v>69.09</v>
      </c>
      <c r="W750" s="26" t="n">
        <v>65.17</v>
      </c>
      <c r="X750" s="26">
        <f>ROUND(('Methodology &amp; Assumptions'!$B$5*V750) + ('Methodology &amp; Assumptions'!$B$6*W750), 2)</f>
        <v/>
      </c>
      <c r="Y750" s="28" t="n">
        <v>10.9</v>
      </c>
      <c r="Z750" s="11" t="inlineStr">
        <is>
          <t>Priority Tier 2 (Balanced Opportunity)</t>
        </is>
      </c>
    </row>
    <row r="751">
      <c r="A751" s="23" t="n">
        <v>1</v>
      </c>
      <c r="B751" s="23" t="n">
        <v>747</v>
      </c>
      <c r="C751" s="23" t="n">
        <v>747</v>
      </c>
      <c r="D751" s="23" t="inlineStr">
        <is>
          <t>1380601216</t>
        </is>
      </c>
      <c r="E751" s="11" t="inlineStr">
        <is>
          <t>National Capital Region (NCR)</t>
        </is>
      </c>
      <c r="F751" s="11" t="inlineStr">
        <is>
          <t>First District (Not a Province)</t>
        </is>
      </c>
      <c r="G751" s="11" t="inlineStr">
        <is>
          <t>City of Manila</t>
        </is>
      </c>
      <c r="H751" s="11" t="inlineStr">
        <is>
          <t>Barangay 215</t>
        </is>
      </c>
      <c r="I751" s="24" t="n">
        <v>14.626453</v>
      </c>
      <c r="J751" s="24" t="n">
        <v>120.97803</v>
      </c>
      <c r="K751" s="23" t="inlineStr">
        <is>
          <t>U</t>
        </is>
      </c>
      <c r="L751" s="25" t="n">
        <v>3147</v>
      </c>
      <c r="M751" s="26" t="n">
        <v>4.95</v>
      </c>
      <c r="N751" s="25">
        <f>ROUND(L751/M751, 0)</f>
        <v/>
      </c>
      <c r="O751" s="25">
        <f>ROUND(N751*'Methodology &amp; Assumptions'!$B$7, 0)</f>
        <v/>
      </c>
      <c r="P751" s="23" t="inlineStr">
        <is>
          <t>Single Carrier (Band n50, 100MHz TDD)</t>
        </is>
      </c>
      <c r="Q751" s="27">
        <f>ROUNDUP(O751/'Methodology &amp; Assumptions'!$B$8, 0)</f>
        <v/>
      </c>
      <c r="R751" s="27" t="n">
        <v>1</v>
      </c>
      <c r="S751" s="26" t="n">
        <v>0.51</v>
      </c>
      <c r="T751" s="26" t="n">
        <v>0.06</v>
      </c>
      <c r="U751" s="11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26" t="n">
        <v>61.55</v>
      </c>
      <c r="W751" s="26" t="n">
        <v>72.7</v>
      </c>
      <c r="X751" s="26">
        <f>ROUND(('Methodology &amp; Assumptions'!$B$5*V751) + ('Methodology &amp; Assumptions'!$B$6*W751), 2)</f>
        <v/>
      </c>
      <c r="Y751" s="28" t="n">
        <v>10.9</v>
      </c>
      <c r="Z751" s="11" t="inlineStr">
        <is>
          <t>Priority Tier 2 (Balanced Opportunity)</t>
        </is>
      </c>
    </row>
    <row r="752">
      <c r="A752" s="23" t="n">
        <v>1</v>
      </c>
      <c r="B752" s="23" t="n">
        <v>748</v>
      </c>
      <c r="C752" s="23" t="n">
        <v>748</v>
      </c>
      <c r="D752" s="23" t="inlineStr">
        <is>
          <t>0401005074</t>
        </is>
      </c>
      <c r="E752" s="11" t="inlineStr">
        <is>
          <t>Region IV-A (CALABARZON)</t>
        </is>
      </c>
      <c r="F752" s="11" t="inlineStr">
        <is>
          <t>Batangas</t>
        </is>
      </c>
      <c r="G752" s="11" t="inlineStr">
        <is>
          <t>Batangas City</t>
        </is>
      </c>
      <c r="H752" s="11" t="inlineStr">
        <is>
          <t>Barangay 5</t>
        </is>
      </c>
      <c r="I752" s="24" t="n">
        <v>13.758441</v>
      </c>
      <c r="J752" s="24" t="n">
        <v>121.0611</v>
      </c>
      <c r="K752" s="23" t="inlineStr">
        <is>
          <t>R</t>
        </is>
      </c>
      <c r="L752" s="25" t="n">
        <v>586</v>
      </c>
      <c r="M752" s="26" t="n">
        <v>3.6</v>
      </c>
      <c r="N752" s="25">
        <f>ROUND(L752/M752, 0)</f>
        <v/>
      </c>
      <c r="O752" s="25">
        <f>ROUND(N752*'Methodology &amp; Assumptions'!$B$7, 0)</f>
        <v/>
      </c>
      <c r="P752" s="23" t="inlineStr">
        <is>
          <t>Single Carrier (Band n50, 100MHz TDD)</t>
        </is>
      </c>
      <c r="Q752" s="27">
        <f>ROUNDUP(O752/'Methodology &amp; Assumptions'!$B$8, 0)</f>
        <v/>
      </c>
      <c r="R752" s="27" t="n">
        <v>1</v>
      </c>
      <c r="S752" s="26" t="n">
        <v>0.63</v>
      </c>
      <c r="T752" s="26" t="n">
        <v>0.24</v>
      </c>
      <c r="U752" s="11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26" t="n">
        <v>64.19</v>
      </c>
      <c r="W752" s="26" t="n">
        <v>70.05</v>
      </c>
      <c r="X752" s="26">
        <f>ROUND(('Methodology &amp; Assumptions'!$B$5*V752) + ('Methodology &amp; Assumptions'!$B$6*W752), 2)</f>
        <v/>
      </c>
      <c r="Y752" s="28" t="n">
        <v>7.2</v>
      </c>
      <c r="Z752" s="11" t="inlineStr">
        <is>
          <t>Priority Tier 2 (Balanced Opportunity)</t>
        </is>
      </c>
    </row>
    <row r="753">
      <c r="A753" s="23" t="n">
        <v>1</v>
      </c>
      <c r="B753" s="23" t="n">
        <v>749</v>
      </c>
      <c r="C753" s="23" t="n">
        <v>749</v>
      </c>
      <c r="D753" s="23" t="inlineStr">
        <is>
          <t>0500504012</t>
        </is>
      </c>
      <c r="E753" s="11" t="inlineStr">
        <is>
          <t>Region V (Bicol Region)</t>
        </is>
      </c>
      <c r="F753" s="11" t="inlineStr">
        <is>
          <t>Albay</t>
        </is>
      </c>
      <c r="G753" s="11" t="inlineStr">
        <is>
          <t>Guinobatan</t>
        </is>
      </c>
      <c r="H753" s="11" t="inlineStr">
        <is>
          <t>Doña Tomasa</t>
        </is>
      </c>
      <c r="I753" s="24" t="n">
        <v>13.240538</v>
      </c>
      <c r="J753" s="24" t="n">
        <v>123.62597</v>
      </c>
      <c r="K753" s="23" t="inlineStr">
        <is>
          <t>R</t>
        </is>
      </c>
      <c r="L753" s="25" t="n">
        <v>1298</v>
      </c>
      <c r="M753" s="26" t="n">
        <v>4.1</v>
      </c>
      <c r="N753" s="25">
        <f>ROUND(L753/M753, 0)</f>
        <v/>
      </c>
      <c r="O753" s="25">
        <f>ROUND(N753*'Methodology &amp; Assumptions'!$B$7, 0)</f>
        <v/>
      </c>
      <c r="P753" s="23" t="inlineStr">
        <is>
          <t>Single Carrier (Band n50, 100MHz TDD)</t>
        </is>
      </c>
      <c r="Q753" s="27">
        <f>ROUNDUP(O753/'Methodology &amp; Assumptions'!$B$8, 0)</f>
        <v/>
      </c>
      <c r="R753" s="27" t="n">
        <v>1</v>
      </c>
      <c r="S753" s="26" t="n">
        <v>4.91</v>
      </c>
      <c r="T753" s="26" t="n">
        <v>4.11</v>
      </c>
      <c r="U753" s="11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26" t="n">
        <v>56.26</v>
      </c>
      <c r="W753" s="26" t="n">
        <v>77.95</v>
      </c>
      <c r="X753" s="26">
        <f>ROUND(('Methodology &amp; Assumptions'!$B$5*V753) + ('Methodology &amp; Assumptions'!$B$6*W753), 2)</f>
        <v/>
      </c>
      <c r="Y753" s="28" t="n">
        <v>23.7</v>
      </c>
      <c r="Z753" s="11" t="inlineStr">
        <is>
          <t>Priority Tier 2 (Balanced Opportunity)</t>
        </is>
      </c>
    </row>
    <row r="754">
      <c r="A754" s="23" t="n">
        <v>1</v>
      </c>
      <c r="B754" s="23" t="n">
        <v>750</v>
      </c>
      <c r="C754" s="23" t="n">
        <v>750</v>
      </c>
      <c r="D754" s="23" t="inlineStr">
        <is>
          <t>1380614022</t>
        </is>
      </c>
      <c r="E754" s="11" t="inlineStr">
        <is>
          <t>National Capital Region (NCR)</t>
        </is>
      </c>
      <c r="F754" s="11" t="inlineStr">
        <is>
          <t>First District (Not a Province)</t>
        </is>
      </c>
      <c r="G754" s="11" t="inlineStr">
        <is>
          <t>City of Manila</t>
        </is>
      </c>
      <c r="H754" s="11" t="inlineStr">
        <is>
          <t>Barangay 766</t>
        </is>
      </c>
      <c r="I754" s="24" t="n">
        <v>14.570563</v>
      </c>
      <c r="J754" s="24" t="n">
        <v>121.006451</v>
      </c>
      <c r="K754" s="23" t="inlineStr">
        <is>
          <t>U</t>
        </is>
      </c>
      <c r="L754" s="25" t="n">
        <v>3321</v>
      </c>
      <c r="M754" s="26" t="n">
        <v>4.2</v>
      </c>
      <c r="N754" s="25">
        <f>ROUND(L754/M754, 0)</f>
        <v/>
      </c>
      <c r="O754" s="25">
        <f>ROUND(N754*'Methodology &amp; Assumptions'!$B$7, 0)</f>
        <v/>
      </c>
      <c r="P754" s="23" t="inlineStr">
        <is>
          <t>Single Carrier (Band n50, 100MHz TDD)</t>
        </is>
      </c>
      <c r="Q754" s="27">
        <f>ROUNDUP(O754/'Methodology &amp; Assumptions'!$B$8, 0)</f>
        <v/>
      </c>
      <c r="R754" s="27" t="n">
        <v>1</v>
      </c>
      <c r="S754" s="26" t="n">
        <v>1.32</v>
      </c>
      <c r="T754" s="26" t="n">
        <v>0.25</v>
      </c>
      <c r="U754" s="11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26" t="n">
        <v>64.64</v>
      </c>
      <c r="W754" s="26" t="n">
        <v>69.56999999999999</v>
      </c>
      <c r="X754" s="26">
        <f>ROUND(('Methodology &amp; Assumptions'!$B$5*V754) + ('Methodology &amp; Assumptions'!$B$6*W754), 2)</f>
        <v/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1</v>
      </c>
      <c r="B755" s="23" t="n">
        <v>751</v>
      </c>
      <c r="C755" s="23" t="n">
        <v>751</v>
      </c>
      <c r="D755" s="23" t="inlineStr">
        <is>
          <t>1381100182</t>
        </is>
      </c>
      <c r="E755" s="11" t="inlineStr">
        <is>
          <t>National Capital Region (NCR)</t>
        </is>
      </c>
      <c r="F755" s="11" t="inlineStr">
        <is>
          <t>Fourth District (Not a Province)</t>
        </is>
      </c>
      <c r="G755" s="11" t="inlineStr">
        <is>
          <t>Pasay City</t>
        </is>
      </c>
      <c r="H755" s="11" t="inlineStr">
        <is>
          <t>Barangay 182</t>
        </is>
      </c>
      <c r="I755" s="24" t="n">
        <v>14.530276</v>
      </c>
      <c r="J755" s="24" t="n">
        <v>121.010036</v>
      </c>
      <c r="K755" s="23" t="inlineStr">
        <is>
          <t>U</t>
        </is>
      </c>
      <c r="L755" s="25" t="n">
        <v>2938</v>
      </c>
      <c r="M755" s="26" t="n">
        <v>3.95</v>
      </c>
      <c r="N755" s="25">
        <f>ROUND(L755/M755, 0)</f>
        <v/>
      </c>
      <c r="O755" s="25">
        <f>ROUND(N755*'Methodology &amp; Assumptions'!$B$7, 0)</f>
        <v/>
      </c>
      <c r="P755" s="23" t="inlineStr">
        <is>
          <t>Single Carrier (Band n50, 100MHz TDD)</t>
        </is>
      </c>
      <c r="Q755" s="27">
        <f>ROUNDUP(O755/'Methodology &amp; Assumptions'!$B$8, 0)</f>
        <v/>
      </c>
      <c r="R755" s="27" t="n">
        <v>1</v>
      </c>
      <c r="S755" s="26" t="n">
        <v>1.1</v>
      </c>
      <c r="T755" s="26" t="n">
        <v>0.37</v>
      </c>
      <c r="U755" s="11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26" t="n">
        <v>63.97</v>
      </c>
      <c r="W755" s="26" t="n">
        <v>70.23999999999999</v>
      </c>
      <c r="X755" s="26">
        <f>ROUND(('Methodology &amp; Assumptions'!$B$5*V755) + ('Methodology &amp; Assumptions'!$B$6*W755), 2)</f>
        <v/>
      </c>
      <c r="Y755" s="28" t="n">
        <v>10.9</v>
      </c>
      <c r="Z755" s="11" t="inlineStr">
        <is>
          <t>Priority Tier 2 (Balanced Opportunity)</t>
        </is>
      </c>
    </row>
    <row r="756">
      <c r="A756" s="23" t="n">
        <v>1</v>
      </c>
      <c r="B756" s="23" t="n">
        <v>752</v>
      </c>
      <c r="C756" s="23" t="n">
        <v>752</v>
      </c>
      <c r="D756" s="23" t="inlineStr">
        <is>
          <t>1204704032</t>
        </is>
      </c>
      <c r="E756" s="11" t="inlineStr">
        <is>
          <t>Region XII (SOCCSKSARGEN)</t>
        </is>
      </c>
      <c r="F756" s="11" t="inlineStr">
        <is>
          <t>Cotabato</t>
        </is>
      </c>
      <c r="G756" s="11" t="inlineStr">
        <is>
          <t>City of Kidapawan</t>
        </is>
      </c>
      <c r="H756" s="11" t="inlineStr">
        <is>
          <t>Poblacion</t>
        </is>
      </c>
      <c r="I756" s="24" t="n">
        <v>7.004586</v>
      </c>
      <c r="J756" s="24" t="n">
        <v>125.089131</v>
      </c>
      <c r="K756" s="23" t="inlineStr">
        <is>
          <t>U</t>
        </is>
      </c>
      <c r="L756" s="25" t="n">
        <v>23166</v>
      </c>
      <c r="M756" s="26" t="n">
        <v>3.8</v>
      </c>
      <c r="N756" s="25">
        <f>ROUND(L756/M756, 0)</f>
        <v/>
      </c>
      <c r="O756" s="25">
        <f>ROUND(N756*'Methodology &amp; Assumptions'!$B$7, 0)</f>
        <v/>
      </c>
      <c r="P756" s="23" t="inlineStr">
        <is>
          <t>Single Carrier (Band n50, 100MHz TDD)</t>
        </is>
      </c>
      <c r="Q756" s="27">
        <f>ROUNDUP(O756/'Methodology &amp; Assumptions'!$B$8, 0)</f>
        <v/>
      </c>
      <c r="R756" s="27" t="n">
        <v>1</v>
      </c>
      <c r="S756" s="26" t="n">
        <v>0.54</v>
      </c>
      <c r="T756" s="26" t="n">
        <v>0.2</v>
      </c>
      <c r="U756" s="11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26" t="n">
        <v>79.87</v>
      </c>
      <c r="W756" s="26" t="n">
        <v>54.3</v>
      </c>
      <c r="X756" s="26">
        <f>ROUND(('Methodology &amp; Assumptions'!$B$5*V756) + ('Methodology &amp; Assumptions'!$B$6*W756), 2)</f>
        <v/>
      </c>
      <c r="Y756" s="28" t="n">
        <v>17.4</v>
      </c>
      <c r="Z756" s="11" t="inlineStr">
        <is>
          <t>Priority Tier 2 (Balanced Opportunity)</t>
        </is>
      </c>
    </row>
    <row r="757">
      <c r="A757" s="23" t="n">
        <v>1</v>
      </c>
      <c r="B757" s="23" t="n">
        <v>753</v>
      </c>
      <c r="C757" s="23" t="n">
        <v>753</v>
      </c>
      <c r="D757" s="23" t="inlineStr">
        <is>
          <t>0402120035</t>
        </is>
      </c>
      <c r="E757" s="11" t="inlineStr">
        <is>
          <t>Region IV-A (CALABARZON)</t>
        </is>
      </c>
      <c r="F757" s="11" t="inlineStr">
        <is>
          <t>Cavite</t>
        </is>
      </c>
      <c r="G757" s="11" t="inlineStr">
        <is>
          <t>Tanza</t>
        </is>
      </c>
      <c r="H757" s="11" t="inlineStr">
        <is>
          <t>Daang Amaya III</t>
        </is>
      </c>
      <c r="I757" s="24" t="n">
        <v>14.39599</v>
      </c>
      <c r="J757" s="24" t="n">
        <v>120.855202</v>
      </c>
      <c r="K757" s="23" t="inlineStr">
        <is>
          <t>U</t>
        </is>
      </c>
      <c r="L757" s="25" t="n">
        <v>3612</v>
      </c>
      <c r="M757" s="26" t="n">
        <v>3.4</v>
      </c>
      <c r="N757" s="25">
        <f>ROUND(L757/M757, 0)</f>
        <v/>
      </c>
      <c r="O757" s="25">
        <f>ROUND(N757*'Methodology &amp; Assumptions'!$B$7, 0)</f>
        <v/>
      </c>
      <c r="P757" s="23" t="inlineStr">
        <is>
          <t>Single Carrier (Band n50, 100MHz TDD)</t>
        </is>
      </c>
      <c r="Q757" s="27">
        <f>ROUNDUP(O757/'Methodology &amp; Assumptions'!$B$8, 0)</f>
        <v/>
      </c>
      <c r="R757" s="27" t="n">
        <v>1</v>
      </c>
      <c r="S757" s="26" t="n">
        <v>0.78</v>
      </c>
      <c r="T757" s="26" t="n">
        <v>0.32</v>
      </c>
      <c r="U757" s="11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26" t="n">
        <v>78.26000000000001</v>
      </c>
      <c r="W757" s="26" t="n">
        <v>55.9</v>
      </c>
      <c r="X757" s="26">
        <f>ROUND(('Methodology &amp; Assumptions'!$B$5*V757) + ('Methodology &amp; Assumptions'!$B$6*W757), 2)</f>
        <v/>
      </c>
      <c r="Y757" s="28" t="n">
        <v>7.2</v>
      </c>
      <c r="Z757" s="11" t="inlineStr">
        <is>
          <t>Priority Tier 2 (Balanced Opportunity)</t>
        </is>
      </c>
    </row>
    <row r="758">
      <c r="A758" s="23" t="n">
        <v>1</v>
      </c>
      <c r="B758" s="23" t="n">
        <v>754</v>
      </c>
      <c r="C758" s="23" t="n">
        <v>754</v>
      </c>
      <c r="D758" s="23" t="inlineStr">
        <is>
          <t>1380614099</t>
        </is>
      </c>
      <c r="E758" s="11" t="inlineStr">
        <is>
          <t>National Capital Region (NCR)</t>
        </is>
      </c>
      <c r="F758" s="11" t="inlineStr">
        <is>
          <t>First District (Not a Province)</t>
        </is>
      </c>
      <c r="G758" s="11" t="inlineStr">
        <is>
          <t>City of Manila</t>
        </is>
      </c>
      <c r="H758" s="11" t="inlineStr">
        <is>
          <t>Barangay 754</t>
        </is>
      </c>
      <c r="I758" s="24" t="n">
        <v>14.568359</v>
      </c>
      <c r="J758" s="24" t="n">
        <v>120.997899</v>
      </c>
      <c r="K758" s="23" t="inlineStr">
        <is>
          <t>U</t>
        </is>
      </c>
      <c r="L758" s="25" t="n">
        <v>2595</v>
      </c>
      <c r="M758" s="26" t="n">
        <v>3.65</v>
      </c>
      <c r="N758" s="25">
        <f>ROUND(L758/M758, 0)</f>
        <v/>
      </c>
      <c r="O758" s="25">
        <f>ROUND(N758*'Methodology &amp; Assumptions'!$B$7, 0)</f>
        <v/>
      </c>
      <c r="P758" s="23" t="inlineStr">
        <is>
          <t>Single Carrier (Band n50, 100MHz TDD)</t>
        </is>
      </c>
      <c r="Q758" s="27">
        <f>ROUNDUP(O758/'Methodology &amp; Assumptions'!$B$8, 0)</f>
        <v/>
      </c>
      <c r="R758" s="27" t="n">
        <v>1</v>
      </c>
      <c r="S758" s="26" t="n">
        <v>0.57</v>
      </c>
      <c r="T758" s="26" t="n">
        <v>0.46</v>
      </c>
      <c r="U758" s="11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26" t="n">
        <v>63.91</v>
      </c>
      <c r="W758" s="26" t="n">
        <v>70.26000000000001</v>
      </c>
      <c r="X758" s="26">
        <f>ROUND(('Methodology &amp; Assumptions'!$B$5*V758) + ('Methodology &amp; Assumptions'!$B$6*W758), 2)</f>
        <v/>
      </c>
      <c r="Y758" s="28" t="n">
        <v>10.9</v>
      </c>
      <c r="Z758" s="11" t="inlineStr">
        <is>
          <t>Priority Tier 2 (Balanced Opportunity)</t>
        </is>
      </c>
    </row>
    <row r="759">
      <c r="A759" s="23" t="n">
        <v>1</v>
      </c>
      <c r="B759" s="23" t="n">
        <v>755</v>
      </c>
      <c r="C759" s="23" t="n">
        <v>755</v>
      </c>
      <c r="D759" s="23" t="inlineStr">
        <is>
          <t>1380200015</t>
        </is>
      </c>
      <c r="E759" s="11" t="inlineStr">
        <is>
          <t>National Capital Region (NCR)</t>
        </is>
      </c>
      <c r="F759" s="11" t="inlineStr">
        <is>
          <t>Fourth District (Not a Province)</t>
        </is>
      </c>
      <c r="G759" s="11" t="inlineStr">
        <is>
          <t>City of Las Piñas</t>
        </is>
      </c>
      <c r="H759" s="11" t="inlineStr">
        <is>
          <t>Pilar</t>
        </is>
      </c>
      <c r="I759" s="24" t="n">
        <v>14.42121</v>
      </c>
      <c r="J759" s="24" t="n">
        <v>121.008602</v>
      </c>
      <c r="K759" s="23" t="inlineStr">
        <is>
          <t>U</t>
        </is>
      </c>
      <c r="L759" s="25" t="n">
        <v>31420</v>
      </c>
      <c r="M759" s="26" t="n">
        <v>3.84</v>
      </c>
      <c r="N759" s="25">
        <f>ROUND(L759/M759, 0)</f>
        <v/>
      </c>
      <c r="O759" s="25">
        <f>ROUND(N759*'Methodology &amp; Assumptions'!$B$7, 0)</f>
        <v/>
      </c>
      <c r="P759" s="23" t="inlineStr">
        <is>
          <t>Single Carrier (Band n50, 100MHz TDD)</t>
        </is>
      </c>
      <c r="Q759" s="27">
        <f>ROUNDUP(O759/'Methodology &amp; Assumptions'!$B$8, 0)</f>
        <v/>
      </c>
      <c r="R759" s="27" t="n">
        <v>1</v>
      </c>
      <c r="S759" s="26" t="n">
        <v>0.85</v>
      </c>
      <c r="T759" s="26" t="n">
        <v>0.85</v>
      </c>
      <c r="U759" s="11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26" t="n">
        <v>67.45</v>
      </c>
      <c r="W759" s="26" t="n">
        <v>66.7</v>
      </c>
      <c r="X759" s="26">
        <f>ROUND(('Methodology &amp; Assumptions'!$B$5*V759) + ('Methodology &amp; Assumptions'!$B$6*W759), 2)</f>
        <v/>
      </c>
      <c r="Y759" s="28" t="n">
        <v>10.9</v>
      </c>
      <c r="Z759" s="11" t="inlineStr">
        <is>
          <t>Priority Tier 2 (Balanced Opportunity)</t>
        </is>
      </c>
    </row>
    <row r="760">
      <c r="A760" s="23" t="n">
        <v>1</v>
      </c>
      <c r="B760" s="23" t="n">
        <v>756</v>
      </c>
      <c r="C760" s="23" t="n">
        <v>756</v>
      </c>
      <c r="D760" s="23" t="inlineStr">
        <is>
          <t>0402103047</t>
        </is>
      </c>
      <c r="E760" s="11" t="inlineStr">
        <is>
          <t>Region IV-A (CALABARZON)</t>
        </is>
      </c>
      <c r="F760" s="11" t="inlineStr">
        <is>
          <t>Cavite</t>
        </is>
      </c>
      <c r="G760" s="11" t="inlineStr">
        <is>
          <t>City of Bacoor</t>
        </is>
      </c>
      <c r="H760" s="11" t="inlineStr">
        <is>
          <t>Molino IV</t>
        </is>
      </c>
      <c r="I760" s="24" t="n">
        <v>14.371356</v>
      </c>
      <c r="J760" s="24" t="n">
        <v>120.980832</v>
      </c>
      <c r="K760" s="23" t="inlineStr">
        <is>
          <t>U</t>
        </is>
      </c>
      <c r="L760" s="25" t="n">
        <v>70412</v>
      </c>
      <c r="M760" s="26" t="n">
        <v>3.4</v>
      </c>
      <c r="N760" s="25">
        <f>ROUND(L760/M760, 0)</f>
        <v/>
      </c>
      <c r="O760" s="25">
        <f>ROUND(N760*'Methodology &amp; Assumptions'!$B$7, 0)</f>
        <v/>
      </c>
      <c r="P760" s="23" t="inlineStr">
        <is>
          <t>Single Carrier (Band n50, 100MHz TDD)</t>
        </is>
      </c>
      <c r="Q760" s="27">
        <f>ROUNDUP(O760/'Methodology &amp; Assumptions'!$B$8, 0)</f>
        <v/>
      </c>
      <c r="R760" s="27" t="n">
        <v>1</v>
      </c>
      <c r="S760" s="26" t="n">
        <v>2.67</v>
      </c>
      <c r="T760" s="26" t="n">
        <v>3.65</v>
      </c>
      <c r="U760" s="11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26" t="n">
        <v>66.04000000000001</v>
      </c>
      <c r="W760" s="26" t="n">
        <v>68.09999999999999</v>
      </c>
      <c r="X760" s="26">
        <f>ROUND(('Methodology &amp; Assumptions'!$B$5*V760) + ('Methodology &amp; Assumptions'!$B$6*W760), 2)</f>
        <v/>
      </c>
      <c r="Y760" s="28" t="n">
        <v>7.2</v>
      </c>
      <c r="Z760" s="11" t="inlineStr">
        <is>
          <t>Priority Tier 2 (Balanced Opportunity)</t>
        </is>
      </c>
    </row>
    <row r="761">
      <c r="A761" s="23" t="n">
        <v>1</v>
      </c>
      <c r="B761" s="23" t="n">
        <v>757</v>
      </c>
      <c r="C761" s="23" t="n">
        <v>757</v>
      </c>
      <c r="D761" s="23" t="inlineStr">
        <is>
          <t>0403403015</t>
        </is>
      </c>
      <c r="E761" s="11" t="inlineStr">
        <is>
          <t>Region IV-A (CALABARZON)</t>
        </is>
      </c>
      <c r="F761" s="11" t="inlineStr">
        <is>
          <t>Laguna</t>
        </is>
      </c>
      <c r="G761" s="11" t="inlineStr">
        <is>
          <t>City of Biñan</t>
        </is>
      </c>
      <c r="H761" s="11" t="inlineStr">
        <is>
          <t>Platero</t>
        </is>
      </c>
      <c r="I761" s="24" t="n">
        <v>14.322293</v>
      </c>
      <c r="J761" s="24" t="n">
        <v>121.092939</v>
      </c>
      <c r="K761" s="23" t="inlineStr">
        <is>
          <t>U</t>
        </is>
      </c>
      <c r="L761" s="25" t="n">
        <v>16227</v>
      </c>
      <c r="M761" s="26" t="n">
        <v>3.3</v>
      </c>
      <c r="N761" s="25">
        <f>ROUND(L761/M761, 0)</f>
        <v/>
      </c>
      <c r="O761" s="25">
        <f>ROUND(N761*'Methodology &amp; Assumptions'!$B$7, 0)</f>
        <v/>
      </c>
      <c r="P761" s="23" t="inlineStr">
        <is>
          <t>Single Carrier (Band n50, 100MHz TDD)</t>
        </is>
      </c>
      <c r="Q761" s="27">
        <f>ROUNDUP(O761/'Methodology &amp; Assumptions'!$B$8, 0)</f>
        <v/>
      </c>
      <c r="R761" s="27" t="n">
        <v>1</v>
      </c>
      <c r="S761" s="26" t="n">
        <v>2.59</v>
      </c>
      <c r="T761" s="26" t="n">
        <v>0.39</v>
      </c>
      <c r="U761" s="11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26" t="n">
        <v>72.06999999999999</v>
      </c>
      <c r="W761" s="26" t="n">
        <v>62.04</v>
      </c>
      <c r="X761" s="26">
        <f>ROUND(('Methodology &amp; Assumptions'!$B$5*V761) + ('Methodology &amp; Assumptions'!$B$6*W761), 2)</f>
        <v/>
      </c>
      <c r="Y761" s="28" t="n">
        <v>7.2</v>
      </c>
      <c r="Z761" s="11" t="inlineStr">
        <is>
          <t>Priority Tier 2 (Balanced Opportunity)</t>
        </is>
      </c>
    </row>
    <row r="762">
      <c r="A762" s="23" t="n">
        <v>1</v>
      </c>
      <c r="B762" s="23" t="n">
        <v>758</v>
      </c>
      <c r="C762" s="23" t="n">
        <v>758</v>
      </c>
      <c r="D762" s="23" t="inlineStr">
        <is>
          <t>1380601214</t>
        </is>
      </c>
      <c r="E762" s="11" t="inlineStr">
        <is>
          <t>National Capital Region (NCR)</t>
        </is>
      </c>
      <c r="F762" s="11" t="inlineStr">
        <is>
          <t>First District (Not a Province)</t>
        </is>
      </c>
      <c r="G762" s="11" t="inlineStr">
        <is>
          <t>City of Manila</t>
        </is>
      </c>
      <c r="H762" s="11" t="inlineStr">
        <is>
          <t>Barangay 213</t>
        </is>
      </c>
      <c r="I762" s="24" t="n">
        <v>14.625139</v>
      </c>
      <c r="J762" s="24" t="n">
        <v>120.977236</v>
      </c>
      <c r="K762" s="23" t="inlineStr">
        <is>
          <t>U</t>
        </is>
      </c>
      <c r="L762" s="25" t="n">
        <v>3037</v>
      </c>
      <c r="M762" s="26" t="n">
        <v>4.4</v>
      </c>
      <c r="N762" s="25">
        <f>ROUND(L762/M762, 0)</f>
        <v/>
      </c>
      <c r="O762" s="25">
        <f>ROUND(N762*'Methodology &amp; Assumptions'!$B$7, 0)</f>
        <v/>
      </c>
      <c r="P762" s="23" t="inlineStr">
        <is>
          <t>Single Carrier (Band n50, 100MHz TDD)</t>
        </is>
      </c>
      <c r="Q762" s="27">
        <f>ROUNDUP(O762/'Methodology &amp; Assumptions'!$B$8, 0)</f>
        <v/>
      </c>
      <c r="R762" s="27" t="n">
        <v>1</v>
      </c>
      <c r="S762" s="26" t="n">
        <v>0.46</v>
      </c>
      <c r="T762" s="26" t="n">
        <v>0.18</v>
      </c>
      <c r="U762" s="11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26" t="n">
        <v>63.26</v>
      </c>
      <c r="W762" s="26" t="n">
        <v>70.84</v>
      </c>
      <c r="X762" s="26">
        <f>ROUND(('Methodology &amp; Assumptions'!$B$5*V762) + ('Methodology &amp; Assumptions'!$B$6*W762), 2)</f>
        <v/>
      </c>
      <c r="Y762" s="28" t="n">
        <v>10.9</v>
      </c>
      <c r="Z762" s="11" t="inlineStr">
        <is>
          <t>Priority Tier 2 (Balanced Opportunity)</t>
        </is>
      </c>
    </row>
    <row r="763">
      <c r="A763" s="23" t="n">
        <v>1</v>
      </c>
      <c r="B763" s="23" t="n">
        <v>759</v>
      </c>
      <c r="C763" s="23" t="n">
        <v>759</v>
      </c>
      <c r="D763" s="23" t="inlineStr">
        <is>
          <t>0102810003</t>
        </is>
      </c>
      <c r="E763" s="11" t="inlineStr">
        <is>
          <t>Region I (Ilocos Region)</t>
        </is>
      </c>
      <c r="F763" s="11" t="inlineStr">
        <is>
          <t>Ilocos Norte</t>
        </is>
      </c>
      <c r="G763" s="11" t="inlineStr">
        <is>
          <t>Dumalneg</t>
        </is>
      </c>
      <c r="H763" s="11" t="inlineStr">
        <is>
          <t>Kalaw</t>
        </is>
      </c>
      <c r="I763" s="24" t="n">
        <v>18.475582</v>
      </c>
      <c r="J763" s="24" t="n">
        <v>120.826923</v>
      </c>
      <c r="K763" s="23" t="inlineStr">
        <is>
          <t>R</t>
        </is>
      </c>
      <c r="L763" s="25" t="n">
        <v>654</v>
      </c>
      <c r="M763" s="26" t="n">
        <v>3.7</v>
      </c>
      <c r="N763" s="25">
        <f>ROUND(L763/M763, 0)</f>
        <v/>
      </c>
      <c r="O763" s="25">
        <f>ROUND(N763*'Methodology &amp; Assumptions'!$B$7, 0)</f>
        <v/>
      </c>
      <c r="P763" s="23" t="inlineStr">
        <is>
          <t>Single Carrier (Band n50, 100MHz TDD)</t>
        </is>
      </c>
      <c r="Q763" s="27">
        <f>ROUNDUP(O763/'Methodology &amp; Assumptions'!$B$8, 0)</f>
        <v/>
      </c>
      <c r="R763" s="27" t="n">
        <v>1</v>
      </c>
      <c r="S763" s="26" t="n">
        <v>9.199999999999999</v>
      </c>
      <c r="T763" s="26" t="n">
        <v>6.94</v>
      </c>
      <c r="U763" s="11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26" t="n">
        <v>47.47</v>
      </c>
      <c r="W763" s="26" t="n">
        <v>86.63</v>
      </c>
      <c r="X763" s="26">
        <f>ROUND(('Methodology &amp; Assumptions'!$B$5*V763) + ('Methodology &amp; Assumptions'!$B$6*W763), 2)</f>
        <v/>
      </c>
      <c r="Y763" s="28" t="n">
        <v>8.300000000000001</v>
      </c>
      <c r="Z763" s="11" t="inlineStr">
        <is>
          <t>Priority Tier 2 (Balanced Opportunity)</t>
        </is>
      </c>
    </row>
    <row r="764">
      <c r="A764" s="23" t="n">
        <v>1</v>
      </c>
      <c r="B764" s="23" t="n">
        <v>760</v>
      </c>
      <c r="C764" s="23" t="n">
        <v>760</v>
      </c>
      <c r="D764" s="23" t="inlineStr">
        <is>
          <t>0403410021</t>
        </is>
      </c>
      <c r="E764" s="11" t="inlineStr">
        <is>
          <t>Region IV-A (CALABARZON)</t>
        </is>
      </c>
      <c r="F764" s="11" t="inlineStr">
        <is>
          <t>Laguna</t>
        </is>
      </c>
      <c r="G764" s="11" t="inlineStr">
        <is>
          <t>Liliw</t>
        </is>
      </c>
      <c r="H764" s="11" t="inlineStr">
        <is>
          <t>Ilayang Taykin</t>
        </is>
      </c>
      <c r="I764" s="24" t="n">
        <v>14.136955</v>
      </c>
      <c r="J764" s="24" t="n">
        <v>121.443248</v>
      </c>
      <c r="K764" s="23" t="inlineStr">
        <is>
          <t>R</t>
        </is>
      </c>
      <c r="L764" s="25" t="n">
        <v>3268</v>
      </c>
      <c r="M764" s="26" t="n">
        <v>3.3</v>
      </c>
      <c r="N764" s="25">
        <f>ROUND(L764/M764, 0)</f>
        <v/>
      </c>
      <c r="O764" s="25">
        <f>ROUND(N764*'Methodology &amp; Assumptions'!$B$7, 0)</f>
        <v/>
      </c>
      <c r="P764" s="23" t="inlineStr">
        <is>
          <t>Single Carrier (Band n50, 100MHz TDD)</t>
        </is>
      </c>
      <c r="Q764" s="27">
        <f>ROUNDUP(O764/'Methodology &amp; Assumptions'!$B$8, 0)</f>
        <v/>
      </c>
      <c r="R764" s="27" t="n">
        <v>1</v>
      </c>
      <c r="S764" s="26" t="n">
        <v>0.76</v>
      </c>
      <c r="T764" s="26" t="n">
        <v>0.45</v>
      </c>
      <c r="U764" s="11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26" t="n">
        <v>85.45999999999999</v>
      </c>
      <c r="W764" s="26" t="n">
        <v>48.6</v>
      </c>
      <c r="X764" s="26">
        <f>ROUND(('Methodology &amp; Assumptions'!$B$5*V764) + ('Methodology &amp; Assumptions'!$B$6*W764), 2)</f>
        <v/>
      </c>
      <c r="Y764" s="28" t="n">
        <v>7.2</v>
      </c>
      <c r="Z764" s="11" t="inlineStr">
        <is>
          <t>Priority Tier 2 (Balanced Opportunity)</t>
        </is>
      </c>
    </row>
    <row r="765">
      <c r="A765" s="23" t="n">
        <v>1</v>
      </c>
      <c r="B765" s="23" t="n">
        <v>761</v>
      </c>
      <c r="C765" s="23" t="n">
        <v>761</v>
      </c>
      <c r="D765" s="23" t="inlineStr">
        <is>
          <t>1380500007</t>
        </is>
      </c>
      <c r="E765" s="11" t="inlineStr">
        <is>
          <t>National Capital Region (NCR)</t>
        </is>
      </c>
      <c r="F765" s="11" t="inlineStr">
        <is>
          <t>Second District (Not a Province)</t>
        </is>
      </c>
      <c r="G765" s="11" t="inlineStr">
        <is>
          <t>City of Mandaluyong</t>
        </is>
      </c>
      <c r="H765" s="11" t="inlineStr">
        <is>
          <t>Burol</t>
        </is>
      </c>
      <c r="I765" s="24" t="n">
        <v>14.589702</v>
      </c>
      <c r="J765" s="24" t="n">
        <v>121.027282</v>
      </c>
      <c r="K765" s="23" t="inlineStr">
        <is>
          <t>U</t>
        </is>
      </c>
      <c r="L765" s="25" t="n">
        <v>2543</v>
      </c>
      <c r="M765" s="26" t="n">
        <v>3.81</v>
      </c>
      <c r="N765" s="25">
        <f>ROUND(L765/M765, 0)</f>
        <v/>
      </c>
      <c r="O765" s="25">
        <f>ROUND(N765*'Methodology &amp; Assumptions'!$B$7, 0)</f>
        <v/>
      </c>
      <c r="P765" s="23" t="inlineStr">
        <is>
          <t>Single Carrier (Band n50, 100MHz TDD)</t>
        </is>
      </c>
      <c r="Q765" s="27">
        <f>ROUNDUP(O765/'Methodology &amp; Assumptions'!$B$8, 0)</f>
        <v/>
      </c>
      <c r="R765" s="27" t="n">
        <v>1</v>
      </c>
      <c r="S765" s="26" t="n">
        <v>0.68</v>
      </c>
      <c r="T765" s="26" t="n">
        <v>0.45</v>
      </c>
      <c r="U765" s="11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26" t="n">
        <v>62.52</v>
      </c>
      <c r="W765" s="26" t="n">
        <v>71.52</v>
      </c>
      <c r="X765" s="26">
        <f>ROUND(('Methodology &amp; Assumptions'!$B$5*V765) + ('Methodology &amp; Assumptions'!$B$6*W765), 2)</f>
        <v/>
      </c>
      <c r="Y765" s="28" t="n">
        <v>10.9</v>
      </c>
      <c r="Z765" s="11" t="inlineStr">
        <is>
          <t>Priority Tier 2 (Balanced Opportunity)</t>
        </is>
      </c>
    </row>
    <row r="766">
      <c r="A766" s="23" t="n">
        <v>1</v>
      </c>
      <c r="B766" s="23" t="n">
        <v>762</v>
      </c>
      <c r="C766" s="23" t="n">
        <v>762</v>
      </c>
      <c r="D766" s="23" t="inlineStr">
        <is>
          <t>1380606016</t>
        </is>
      </c>
      <c r="E766" s="11" t="inlineStr">
        <is>
          <t>National Capital Region (NCR)</t>
        </is>
      </c>
      <c r="F766" s="11" t="inlineStr">
        <is>
          <t>First District (Not a Province)</t>
        </is>
      </c>
      <c r="G766" s="11" t="inlineStr">
        <is>
          <t>City of Manila</t>
        </is>
      </c>
      <c r="H766" s="11" t="inlineStr">
        <is>
          <t>Barangay 410</t>
        </is>
      </c>
      <c r="I766" s="24" t="n">
        <v>14.600562</v>
      </c>
      <c r="J766" s="24" t="n">
        <v>120.997701</v>
      </c>
      <c r="K766" s="23" t="inlineStr">
        <is>
          <t>U</t>
        </is>
      </c>
      <c r="L766" s="25" t="n">
        <v>2565</v>
      </c>
      <c r="M766" s="26" t="n">
        <v>3.7</v>
      </c>
      <c r="N766" s="25">
        <f>ROUND(L766/M766, 0)</f>
        <v/>
      </c>
      <c r="O766" s="25">
        <f>ROUND(N766*'Methodology &amp; Assumptions'!$B$7, 0)</f>
        <v/>
      </c>
      <c r="P766" s="23" t="inlineStr">
        <is>
          <t>Single Carrier (Band n50, 100MHz TDD)</t>
        </is>
      </c>
      <c r="Q766" s="27">
        <f>ROUNDUP(O766/'Methodology &amp; Assumptions'!$B$8, 0)</f>
        <v/>
      </c>
      <c r="R766" s="27" t="n">
        <v>1</v>
      </c>
      <c r="S766" s="26" t="n">
        <v>0.75</v>
      </c>
      <c r="T766" s="26" t="n">
        <v>0.09</v>
      </c>
      <c r="U766" s="11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26" t="n">
        <v>63.37</v>
      </c>
      <c r="W766" s="26" t="n">
        <v>70.64</v>
      </c>
      <c r="X766" s="26">
        <f>ROUND(('Methodology &amp; Assumptions'!$B$5*V766) + ('Methodology &amp; Assumptions'!$B$6*W766), 2)</f>
        <v/>
      </c>
      <c r="Y766" s="28" t="n">
        <v>10.9</v>
      </c>
      <c r="Z766" s="11" t="inlineStr">
        <is>
          <t>Priority Tier 2 (Balanced Opportunity)</t>
        </is>
      </c>
    </row>
    <row r="767">
      <c r="A767" s="23" t="n">
        <v>1</v>
      </c>
      <c r="B767" s="23" t="n">
        <v>763</v>
      </c>
      <c r="C767" s="23" t="n">
        <v>763</v>
      </c>
      <c r="D767" s="23" t="inlineStr">
        <is>
          <t>1380608011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669</t>
        </is>
      </c>
      <c r="I767" s="24" t="n">
        <v>14.580035</v>
      </c>
      <c r="J767" s="24" t="n">
        <v>120.983649</v>
      </c>
      <c r="K767" s="23" t="inlineStr">
        <is>
          <t>U</t>
        </is>
      </c>
      <c r="L767" s="25" t="n">
        <v>3738</v>
      </c>
      <c r="M767" s="26" t="n">
        <v>2.95</v>
      </c>
      <c r="N767" s="25">
        <f>ROUND(L767/M767, 0)</f>
        <v/>
      </c>
      <c r="O767" s="25">
        <f>ROUND(N767*'Methodology &amp; Assumptions'!$B$7, 0)</f>
        <v/>
      </c>
      <c r="P767" s="23" t="inlineStr">
        <is>
          <t>Single Carrier (Band n50, 100MHz TDD)</t>
        </is>
      </c>
      <c r="Q767" s="27">
        <f>ROUNDUP(O767/'Methodology &amp; Assumptions'!$B$8, 0)</f>
        <v/>
      </c>
      <c r="R767" s="27" t="n">
        <v>1</v>
      </c>
      <c r="S767" s="26" t="n">
        <v>1.17</v>
      </c>
      <c r="T767" s="26" t="n">
        <v>0.41</v>
      </c>
      <c r="U767" s="11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26" t="n">
        <v>67.81999999999999</v>
      </c>
      <c r="W767" s="26" t="n">
        <v>66.18000000000001</v>
      </c>
      <c r="X767" s="26">
        <f>ROUND(('Methodology &amp; Assumptions'!$B$5*V767) + ('Methodology &amp; Assumptions'!$B$6*W767), 2)</f>
        <v/>
      </c>
      <c r="Y767" s="28" t="n">
        <v>10.9</v>
      </c>
      <c r="Z767" s="11" t="inlineStr">
        <is>
          <t>Priority Tier 2 (Balanced Opportunity)</t>
        </is>
      </c>
    </row>
    <row r="768">
      <c r="A768" s="23" t="n">
        <v>1</v>
      </c>
      <c r="B768" s="23" t="n">
        <v>764</v>
      </c>
      <c r="C768" s="23" t="n">
        <v>764</v>
      </c>
      <c r="D768" s="23" t="inlineStr">
        <is>
          <t>1380601111</t>
        </is>
      </c>
      <c r="E768" s="11" t="inlineStr">
        <is>
          <t>National Capital Region (NCR)</t>
        </is>
      </c>
      <c r="F768" s="11" t="inlineStr">
        <is>
          <t>First District (Not a Province)</t>
        </is>
      </c>
      <c r="G768" s="11" t="inlineStr">
        <is>
          <t>City of Manila</t>
        </is>
      </c>
      <c r="H768" s="11" t="inlineStr">
        <is>
          <t>Barangay 111</t>
        </is>
      </c>
      <c r="I768" s="24" t="n">
        <v>14.617241</v>
      </c>
      <c r="J768" s="24" t="n">
        <v>120.963768</v>
      </c>
      <c r="K768" s="23" t="inlineStr">
        <is>
          <t>U</t>
        </is>
      </c>
      <c r="L768" s="25" t="n">
        <v>2676</v>
      </c>
      <c r="M768" s="26" t="n">
        <v>4.59</v>
      </c>
      <c r="N768" s="25">
        <f>ROUND(L768/M768, 0)</f>
        <v/>
      </c>
      <c r="O768" s="25">
        <f>ROUND(N768*'Methodology &amp; Assumptions'!$B$7, 0)</f>
        <v/>
      </c>
      <c r="P768" s="23" t="inlineStr">
        <is>
          <t>Single Carrier (Band n50, 100MHz TDD)</t>
        </is>
      </c>
      <c r="Q768" s="27">
        <f>ROUNDUP(O768/'Methodology &amp; Assumptions'!$B$8, 0)</f>
        <v/>
      </c>
      <c r="R768" s="27" t="n">
        <v>1</v>
      </c>
      <c r="S768" s="26" t="n">
        <v>0.14</v>
      </c>
      <c r="T768" s="26" t="n">
        <v>0.27</v>
      </c>
      <c r="U768" s="11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26" t="n">
        <v>59.84</v>
      </c>
      <c r="W768" s="26" t="n">
        <v>74.15000000000001</v>
      </c>
      <c r="X768" s="26">
        <f>ROUND(('Methodology &amp; Assumptions'!$B$5*V768) + ('Methodology &amp; Assumptions'!$B$6*W768), 2)</f>
        <v/>
      </c>
      <c r="Y768" s="28" t="n">
        <v>10.9</v>
      </c>
      <c r="Z768" s="11" t="inlineStr">
        <is>
          <t>Priority Tier 2 (Balanced Opportunity)</t>
        </is>
      </c>
    </row>
    <row r="769">
      <c r="A769" s="23" t="n">
        <v>1</v>
      </c>
      <c r="B769" s="23" t="n">
        <v>765</v>
      </c>
      <c r="C769" s="23" t="n">
        <v>765</v>
      </c>
      <c r="D769" s="23" t="inlineStr">
        <is>
          <t>0402111002</t>
        </is>
      </c>
      <c r="E769" s="11" t="inlineStr">
        <is>
          <t>Region IV-A (CALABARZON)</t>
        </is>
      </c>
      <c r="F769" s="11" t="inlineStr">
        <is>
          <t>Cavite</t>
        </is>
      </c>
      <c r="G769" s="11" t="inlineStr">
        <is>
          <t>Kawit</t>
        </is>
      </c>
      <c r="H769" s="11" t="inlineStr">
        <is>
          <t>Gahak</t>
        </is>
      </c>
      <c r="I769" s="24" t="n">
        <v>14.441893</v>
      </c>
      <c r="J769" s="24" t="n">
        <v>120.909386</v>
      </c>
      <c r="K769" s="23" t="inlineStr">
        <is>
          <t>R</t>
        </is>
      </c>
      <c r="L769" s="25" t="n">
        <v>3089</v>
      </c>
      <c r="M769" s="26" t="n">
        <v>3.4</v>
      </c>
      <c r="N769" s="25">
        <f>ROUND(L769/M769, 0)</f>
        <v/>
      </c>
      <c r="O769" s="25">
        <f>ROUND(N769*'Methodology &amp; Assumptions'!$B$7, 0)</f>
        <v/>
      </c>
      <c r="P769" s="23" t="inlineStr">
        <is>
          <t>Single Carrier (Band n50, 100MHz TDD)</t>
        </is>
      </c>
      <c r="Q769" s="27">
        <f>ROUNDUP(O769/'Methodology &amp; Assumptions'!$B$8, 0)</f>
        <v/>
      </c>
      <c r="R769" s="27" t="n">
        <v>1</v>
      </c>
      <c r="S769" s="26" t="n">
        <v>3.15</v>
      </c>
      <c r="T769" s="26" t="n">
        <v>0.29</v>
      </c>
      <c r="U769" s="11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26" t="n">
        <v>77.65000000000001</v>
      </c>
      <c r="W769" s="26" t="n">
        <v>56.29</v>
      </c>
      <c r="X769" s="26">
        <f>ROUND(('Methodology &amp; Assumptions'!$B$5*V769) + ('Methodology &amp; Assumptions'!$B$6*W769), 2)</f>
        <v/>
      </c>
      <c r="Y769" s="28" t="n">
        <v>7.2</v>
      </c>
      <c r="Z769" s="11" t="inlineStr">
        <is>
          <t>Priority Tier 2 (Balanced Opportunity)</t>
        </is>
      </c>
    </row>
    <row r="770">
      <c r="A770" s="23" t="n">
        <v>1</v>
      </c>
      <c r="B770" s="23" t="n">
        <v>766</v>
      </c>
      <c r="C770" s="23" t="n">
        <v>766</v>
      </c>
      <c r="D770" s="23" t="inlineStr">
        <is>
          <t>1381300085</t>
        </is>
      </c>
      <c r="E770" s="11" t="inlineStr">
        <is>
          <t>National Capital Region (NCR)</t>
        </is>
      </c>
      <c r="F770" s="11" t="inlineStr">
        <is>
          <t>Second District (Not a Province)</t>
        </is>
      </c>
      <c r="G770" s="11" t="inlineStr">
        <is>
          <t>Quezon City</t>
        </is>
      </c>
      <c r="H770" s="11" t="inlineStr">
        <is>
          <t>Quirino 2-A</t>
        </is>
      </c>
      <c r="I770" s="24" t="n">
        <v>14.63133</v>
      </c>
      <c r="J770" s="24" t="n">
        <v>121.0591</v>
      </c>
      <c r="K770" s="23" t="inlineStr">
        <is>
          <t>U</t>
        </is>
      </c>
      <c r="L770" s="25" t="n">
        <v>4751</v>
      </c>
      <c r="M770" s="26" t="n">
        <v>3.36</v>
      </c>
      <c r="N770" s="25">
        <f>ROUND(L770/M770, 0)</f>
        <v/>
      </c>
      <c r="O770" s="25">
        <f>ROUND(N770*'Methodology &amp; Assumptions'!$B$7, 0)</f>
        <v/>
      </c>
      <c r="P770" s="23" t="inlineStr">
        <is>
          <t>Single Carrier (Band n50, 100MHz TDD)</t>
        </is>
      </c>
      <c r="Q770" s="27">
        <f>ROUNDUP(O770/'Methodology &amp; Assumptions'!$B$8, 0)</f>
        <v/>
      </c>
      <c r="R770" s="27" t="n">
        <v>1</v>
      </c>
      <c r="S770" s="26" t="n">
        <v>1.21</v>
      </c>
      <c r="T770" s="26" t="n">
        <v>0.22</v>
      </c>
      <c r="U770" s="11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26" t="n">
        <v>67.7</v>
      </c>
      <c r="W770" s="26" t="n">
        <v>66.23</v>
      </c>
      <c r="X770" s="26">
        <f>ROUND(('Methodology &amp; Assumptions'!$B$5*V770) + ('Methodology &amp; Assumptions'!$B$6*W770), 2)</f>
        <v/>
      </c>
      <c r="Y770" s="28" t="n">
        <v>10.9</v>
      </c>
      <c r="Z770" s="11" t="inlineStr">
        <is>
          <t>Priority Tier 2 (Balanced Opportunity)</t>
        </is>
      </c>
    </row>
    <row r="771">
      <c r="A771" s="23" t="n">
        <v>1</v>
      </c>
      <c r="B771" s="23" t="n">
        <v>767</v>
      </c>
      <c r="C771" s="23" t="n">
        <v>767</v>
      </c>
      <c r="D771" s="23" t="inlineStr">
        <is>
          <t>0200901006</t>
        </is>
      </c>
      <c r="E771" s="11" t="inlineStr">
        <is>
          <t>Region II (Cagayan Valley)</t>
        </is>
      </c>
      <c r="F771" s="11" t="inlineStr">
        <is>
          <t>Batanes</t>
        </is>
      </c>
      <c r="G771" s="11" t="inlineStr">
        <is>
          <t>Basco</t>
        </is>
      </c>
      <c r="H771" s="11" t="inlineStr">
        <is>
          <t>Kayhuvokan</t>
        </is>
      </c>
      <c r="I771" s="24" t="n">
        <v>20.447647</v>
      </c>
      <c r="J771" s="24" t="n">
        <v>121.97228</v>
      </c>
      <c r="K771" s="23" t="inlineStr">
        <is>
          <t>R</t>
        </is>
      </c>
      <c r="L771" s="25" t="n">
        <v>1899</v>
      </c>
      <c r="M771" s="26" t="n">
        <v>3</v>
      </c>
      <c r="N771" s="25">
        <f>ROUND(L771/M771, 0)</f>
        <v/>
      </c>
      <c r="O771" s="25">
        <f>ROUND(N771*'Methodology &amp; Assumptions'!$B$7, 0)</f>
        <v/>
      </c>
      <c r="P771" s="23" t="inlineStr">
        <is>
          <t>Single Carrier (Band n50, 100MHz TDD)</t>
        </is>
      </c>
      <c r="Q771" s="27">
        <f>ROUNDUP(O771/'Methodology &amp; Assumptions'!$B$8, 0)</f>
        <v/>
      </c>
      <c r="R771" s="27" t="n">
        <v>1</v>
      </c>
      <c r="S771" s="26" t="n">
        <v>223.79</v>
      </c>
      <c r="T771" s="26" t="n">
        <v>217.16</v>
      </c>
      <c r="U771" s="11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26" t="n">
        <v>56.98</v>
      </c>
      <c r="W771" s="26" t="n">
        <v>76.93000000000001</v>
      </c>
      <c r="X771" s="26">
        <f>ROUND(('Methodology &amp; Assumptions'!$B$5*V771) + ('Methodology &amp; Assumptions'!$B$6*W771), 2)</f>
        <v/>
      </c>
      <c r="Y771" s="28" t="n">
        <v>8.300000000000001</v>
      </c>
      <c r="Z771" s="11" t="inlineStr">
        <is>
          <t>Priority Tier 2 (Balanced Opportunity)</t>
        </is>
      </c>
    </row>
    <row r="772">
      <c r="A772" s="23" t="n">
        <v>1</v>
      </c>
      <c r="B772" s="23" t="n">
        <v>768</v>
      </c>
      <c r="C772" s="23" t="n">
        <v>768</v>
      </c>
      <c r="D772" s="23" t="inlineStr">
        <is>
          <t>0201516035</t>
        </is>
      </c>
      <c r="E772" s="11" t="inlineStr">
        <is>
          <t>Region II (Cagayan Valley)</t>
        </is>
      </c>
      <c r="F772" s="11" t="inlineStr">
        <is>
          <t>Cagayan</t>
        </is>
      </c>
      <c r="G772" s="11" t="inlineStr">
        <is>
          <t>Lal-Lo</t>
        </is>
      </c>
      <c r="H772" s="11" t="inlineStr">
        <is>
          <t>Tucalana</t>
        </is>
      </c>
      <c r="I772" s="24" t="n">
        <v>18.1112</v>
      </c>
      <c r="J772" s="24" t="n">
        <v>121.3944</v>
      </c>
      <c r="K772" s="23" t="inlineStr">
        <is>
          <t>R</t>
        </is>
      </c>
      <c r="L772" s="25" t="n">
        <v>1572</v>
      </c>
      <c r="M772" s="26" t="n">
        <v>3.9</v>
      </c>
      <c r="N772" s="25">
        <f>ROUND(L772/M772, 0)</f>
        <v/>
      </c>
      <c r="O772" s="25">
        <f>ROUND(N772*'Methodology &amp; Assumptions'!$B$7, 0)</f>
        <v/>
      </c>
      <c r="P772" s="23" t="inlineStr">
        <is>
          <t>Single Carrier (Band n50, 100MHz TDD)</t>
        </is>
      </c>
      <c r="Q772" s="27">
        <f>ROUNDUP(O772/'Methodology &amp; Assumptions'!$B$8, 0)</f>
        <v/>
      </c>
      <c r="R772" s="27" t="n">
        <v>1</v>
      </c>
      <c r="S772" s="26" t="n">
        <v>5.31</v>
      </c>
      <c r="T772" s="26" t="n">
        <v>5.32</v>
      </c>
      <c r="U772" s="11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26" t="n">
        <v>56.64</v>
      </c>
      <c r="W772" s="26" t="n">
        <v>77.27</v>
      </c>
      <c r="X772" s="26">
        <f>ROUND(('Methodology &amp; Assumptions'!$B$5*V772) + ('Methodology &amp; Assumptions'!$B$6*W772), 2)</f>
        <v/>
      </c>
      <c r="Y772" s="28" t="n">
        <v>8.300000000000001</v>
      </c>
      <c r="Z772" s="11" t="inlineStr">
        <is>
          <t>Priority Tier 2 (Balanced Opportunity)</t>
        </is>
      </c>
    </row>
    <row r="773">
      <c r="A773" s="23" t="n">
        <v>1</v>
      </c>
      <c r="B773" s="23" t="n">
        <v>769</v>
      </c>
      <c r="C773" s="23" t="n">
        <v>769</v>
      </c>
      <c r="D773" s="23" t="inlineStr">
        <is>
          <t>1108205002</t>
        </is>
      </c>
      <c r="E773" s="11" t="inlineStr">
        <is>
          <t>Region XI (Davao Region)</t>
        </is>
      </c>
      <c r="F773" s="11" t="inlineStr">
        <is>
          <t>Davao de Oro</t>
        </is>
      </c>
      <c r="G773" s="11" t="inlineStr">
        <is>
          <t>Maragusan</t>
        </is>
      </c>
      <c r="H773" s="11" t="inlineStr">
        <is>
          <t>Mapawa</t>
        </is>
      </c>
      <c r="I773" s="24" t="n">
        <v>7.322158</v>
      </c>
      <c r="J773" s="24" t="n">
        <v>126.18712</v>
      </c>
      <c r="K773" s="23" t="inlineStr">
        <is>
          <t>U</t>
        </is>
      </c>
      <c r="L773" s="25" t="n">
        <v>6057</v>
      </c>
      <c r="M773" s="26" t="n">
        <v>3.7</v>
      </c>
      <c r="N773" s="25">
        <f>ROUND(L773/M773, 0)</f>
        <v/>
      </c>
      <c r="O773" s="25">
        <f>ROUND(N773*'Methodology &amp; Assumptions'!$B$7, 0)</f>
        <v/>
      </c>
      <c r="P773" s="23" t="inlineStr">
        <is>
          <t>Single Carrier (Band n50, 100MHz TDD)</t>
        </is>
      </c>
      <c r="Q773" s="27">
        <f>ROUNDUP(O773/'Methodology &amp; Assumptions'!$B$8, 0)</f>
        <v/>
      </c>
      <c r="R773" s="27" t="n">
        <v>1</v>
      </c>
      <c r="S773" s="26" t="n">
        <v>36.6</v>
      </c>
      <c r="T773" s="26" t="n">
        <v>35.78</v>
      </c>
      <c r="U773" s="11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26" t="n">
        <v>54.62</v>
      </c>
      <c r="W773" s="26" t="n">
        <v>79.27</v>
      </c>
      <c r="X773" s="26">
        <f>ROUND(('Methodology &amp; Assumptions'!$B$5*V773) + ('Methodology &amp; Assumptions'!$B$6*W773), 2)</f>
        <v/>
      </c>
      <c r="Y773" s="28" t="n">
        <v>17.4</v>
      </c>
      <c r="Z773" s="11" t="inlineStr">
        <is>
          <t>Priority Tier 2 (Balanced Opportunity)</t>
        </is>
      </c>
    </row>
    <row r="774">
      <c r="A774" s="23" t="n">
        <v>1</v>
      </c>
      <c r="B774" s="23" t="n">
        <v>770</v>
      </c>
      <c r="C774" s="23" t="n">
        <v>770</v>
      </c>
      <c r="D774" s="23" t="inlineStr">
        <is>
          <t>1380603007</t>
        </is>
      </c>
      <c r="E774" s="11" t="inlineStr">
        <is>
          <t>National Capital Region (NCR)</t>
        </is>
      </c>
      <c r="F774" s="11" t="inlineStr">
        <is>
          <t>First District (Not a Province)</t>
        </is>
      </c>
      <c r="G774" s="11" t="inlineStr">
        <is>
          <t>City of Manila</t>
        </is>
      </c>
      <c r="H774" s="11" t="inlineStr">
        <is>
          <t>Barangay 387</t>
        </is>
      </c>
      <c r="I774" s="24" t="n">
        <v>14.59719</v>
      </c>
      <c r="J774" s="24" t="n">
        <v>120.987852</v>
      </c>
      <c r="K774" s="23" t="inlineStr">
        <is>
          <t>U</t>
        </is>
      </c>
      <c r="L774" s="25" t="n">
        <v>2678</v>
      </c>
      <c r="M774" s="26" t="n">
        <v>4.2</v>
      </c>
      <c r="N774" s="25">
        <f>ROUND(L774/M774, 0)</f>
        <v/>
      </c>
      <c r="O774" s="25">
        <f>ROUND(N774*'Methodology &amp; Assumptions'!$B$7, 0)</f>
        <v/>
      </c>
      <c r="P774" s="23" t="inlineStr">
        <is>
          <t>Single Carrier (Band n50, 100MHz TDD)</t>
        </is>
      </c>
      <c r="Q774" s="27">
        <f>ROUNDUP(O774/'Methodology &amp; Assumptions'!$B$8, 0)</f>
        <v/>
      </c>
      <c r="R774" s="27" t="n">
        <v>1</v>
      </c>
      <c r="S774" s="26" t="n">
        <v>0.75</v>
      </c>
      <c r="T774" s="26" t="n">
        <v>0.49</v>
      </c>
      <c r="U774" s="11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26" t="n">
        <v>61.55</v>
      </c>
      <c r="W774" s="26" t="n">
        <v>72.31</v>
      </c>
      <c r="X774" s="26">
        <f>ROUND(('Methodology &amp; Assumptions'!$B$5*V774) + ('Methodology &amp; Assumptions'!$B$6*W774), 2)</f>
        <v/>
      </c>
      <c r="Y774" s="28" t="n">
        <v>10.9</v>
      </c>
      <c r="Z774" s="11" t="inlineStr">
        <is>
          <t>Priority Tier 2 (Balanced Opportunity)</t>
        </is>
      </c>
    </row>
    <row r="775">
      <c r="A775" s="23" t="n">
        <v>1</v>
      </c>
      <c r="B775" s="23" t="n">
        <v>771</v>
      </c>
      <c r="C775" s="23" t="n">
        <v>771</v>
      </c>
      <c r="D775" s="23" t="inlineStr">
        <is>
          <t>0803708092</t>
        </is>
      </c>
      <c r="E775" s="11" t="inlineStr">
        <is>
          <t>Region VIII (Eastern Visayas)</t>
        </is>
      </c>
      <c r="F775" s="11" t="inlineStr">
        <is>
          <t>Leyte</t>
        </is>
      </c>
      <c r="G775" s="11" t="inlineStr">
        <is>
          <t>City of Baybay</t>
        </is>
      </c>
      <c r="H775" s="11" t="inlineStr">
        <is>
          <t>Poblacion Zone 1</t>
        </is>
      </c>
      <c r="I775" s="24" t="n">
        <v>10.680973</v>
      </c>
      <c r="J775" s="24" t="n">
        <v>124.804351</v>
      </c>
      <c r="K775" s="23" t="inlineStr">
        <is>
          <t>R</t>
        </is>
      </c>
      <c r="L775" s="25" t="n">
        <v>3204</v>
      </c>
      <c r="M775" s="26" t="n">
        <v>3.8</v>
      </c>
      <c r="N775" s="25">
        <f>ROUND(L775/M775, 0)</f>
        <v/>
      </c>
      <c r="O775" s="25">
        <f>ROUND(N775*'Methodology &amp; Assumptions'!$B$7, 0)</f>
        <v/>
      </c>
      <c r="P775" s="23" t="inlineStr">
        <is>
          <t>Single Carrier (Band n50, 100MHz TDD)</t>
        </is>
      </c>
      <c r="Q775" s="27">
        <f>ROUNDUP(O775/'Methodology &amp; Assumptions'!$B$8, 0)</f>
        <v/>
      </c>
      <c r="R775" s="27" t="n">
        <v>1</v>
      </c>
      <c r="S775" s="26" t="n">
        <v>0.33</v>
      </c>
      <c r="T775" s="26" t="n">
        <v>0.03</v>
      </c>
      <c r="U775" s="11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26" t="n">
        <v>87.11</v>
      </c>
      <c r="W775" s="26" t="n">
        <v>46.73</v>
      </c>
      <c r="X775" s="26">
        <f>ROUND(('Methodology &amp; Assumptions'!$B$5*V775) + ('Methodology &amp; Assumptions'!$B$6*W775), 2)</f>
        <v/>
      </c>
      <c r="Y775" s="28" t="n">
        <v>23.7</v>
      </c>
      <c r="Z775" s="11" t="inlineStr">
        <is>
          <t>Priority Tier 2 (Balanced Opportunity)</t>
        </is>
      </c>
    </row>
    <row r="776">
      <c r="A776" s="23" t="n">
        <v>1</v>
      </c>
      <c r="B776" s="23" t="n">
        <v>772</v>
      </c>
      <c r="C776" s="23" t="n">
        <v>772</v>
      </c>
      <c r="D776" s="23" t="inlineStr">
        <is>
          <t>0702219009</t>
        </is>
      </c>
      <c r="E776" s="11" t="inlineStr">
        <is>
          <t>Region VII (Central Visayas)</t>
        </is>
      </c>
      <c r="F776" s="11" t="inlineStr">
        <is>
          <t>Cebu</t>
        </is>
      </c>
      <c r="G776" s="11" t="inlineStr">
        <is>
          <t>Consolacion</t>
        </is>
      </c>
      <c r="H776" s="11" t="inlineStr">
        <is>
          <t>Nangka</t>
        </is>
      </c>
      <c r="I776" s="24" t="n">
        <v>10.370772</v>
      </c>
      <c r="J776" s="24" t="n">
        <v>123.95892</v>
      </c>
      <c r="K776" s="23" t="inlineStr">
        <is>
          <t>U</t>
        </is>
      </c>
      <c r="L776" s="25" t="n">
        <v>13307</v>
      </c>
      <c r="M776" s="26" t="n">
        <v>3.8</v>
      </c>
      <c r="N776" s="25">
        <f>ROUND(L776/M776, 0)</f>
        <v/>
      </c>
      <c r="O776" s="25">
        <f>ROUND(N776*'Methodology &amp; Assumptions'!$B$7, 0)</f>
        <v/>
      </c>
      <c r="P776" s="23" t="inlineStr">
        <is>
          <t>Single Carrier (Band n50, 100MHz TDD)</t>
        </is>
      </c>
      <c r="Q776" s="27">
        <f>ROUNDUP(O776/'Methodology &amp; Assumptions'!$B$8, 0)</f>
        <v/>
      </c>
      <c r="R776" s="27" t="n">
        <v>1</v>
      </c>
      <c r="S776" s="26" t="n">
        <v>0.64</v>
      </c>
      <c r="T776" s="26" t="n">
        <v>0.5600000000000001</v>
      </c>
      <c r="U776" s="11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26" t="n">
        <v>80.86</v>
      </c>
      <c r="W776" s="26" t="n">
        <v>52.99</v>
      </c>
      <c r="X776" s="26">
        <f>ROUND(('Methodology &amp; Assumptions'!$B$5*V776) + ('Methodology &amp; Assumptions'!$B$6*W776), 2)</f>
        <v/>
      </c>
      <c r="Y776" s="28" t="n">
        <v>23.7</v>
      </c>
      <c r="Z776" s="11" t="inlineStr">
        <is>
          <t>Priority Tier 2 (Balanced Opportunity)</t>
        </is>
      </c>
    </row>
    <row r="777">
      <c r="A777" s="23" t="n">
        <v>1</v>
      </c>
      <c r="B777" s="23" t="n">
        <v>773</v>
      </c>
      <c r="C777" s="23" t="n">
        <v>773</v>
      </c>
      <c r="D777" s="23" t="inlineStr">
        <is>
          <t>1380606085</t>
        </is>
      </c>
      <c r="E777" s="11" t="inlineStr">
        <is>
          <t>National Capital Region (NCR)</t>
        </is>
      </c>
      <c r="F777" s="11" t="inlineStr">
        <is>
          <t>First District (Not a Province)</t>
        </is>
      </c>
      <c r="G777" s="11" t="inlineStr">
        <is>
          <t>City of Manila</t>
        </is>
      </c>
      <c r="H777" s="11" t="inlineStr">
        <is>
          <t>Barangay 479</t>
        </is>
      </c>
      <c r="I777" s="24" t="n">
        <v>14.611427</v>
      </c>
      <c r="J777" s="24" t="n">
        <v>120.992299</v>
      </c>
      <c r="K777" s="23" t="inlineStr">
        <is>
          <t>U</t>
        </is>
      </c>
      <c r="L777" s="25" t="n">
        <v>3179</v>
      </c>
      <c r="M777" s="26" t="n">
        <v>4.54</v>
      </c>
      <c r="N777" s="25">
        <f>ROUND(L777/M777, 0)</f>
        <v/>
      </c>
      <c r="O777" s="25">
        <f>ROUND(N777*'Methodology &amp; Assumptions'!$B$7, 0)</f>
        <v/>
      </c>
      <c r="P777" s="23" t="inlineStr">
        <is>
          <t>Single Carrier (Band n50, 100MHz TDD)</t>
        </is>
      </c>
      <c r="Q777" s="27">
        <f>ROUNDUP(O777/'Methodology &amp; Assumptions'!$B$8, 0)</f>
        <v/>
      </c>
      <c r="R777" s="27" t="n">
        <v>1</v>
      </c>
      <c r="S777" s="26" t="n">
        <v>0.93</v>
      </c>
      <c r="T777" s="26" t="n">
        <v>0.2</v>
      </c>
      <c r="U777" s="11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26" t="n">
        <v>63.24</v>
      </c>
      <c r="W777" s="26" t="n">
        <v>70.59999999999999</v>
      </c>
      <c r="X777" s="26">
        <f>ROUND(('Methodology &amp; Assumptions'!$B$5*V777) + ('Methodology &amp; Assumptions'!$B$6*W777), 2)</f>
        <v/>
      </c>
      <c r="Y777" s="28" t="n">
        <v>10.9</v>
      </c>
      <c r="Z777" s="11" t="inlineStr">
        <is>
          <t>Priority Tier 2 (Balanced Opportunity)</t>
        </is>
      </c>
    </row>
    <row r="778">
      <c r="A778" s="23" t="n">
        <v>1</v>
      </c>
      <c r="B778" s="23" t="n">
        <v>774</v>
      </c>
      <c r="C778" s="23" t="n">
        <v>774</v>
      </c>
      <c r="D778" s="23" t="inlineStr">
        <is>
          <t>0806010014</t>
        </is>
      </c>
      <c r="E778" s="11" t="inlineStr">
        <is>
          <t>Region VIII (Eastern Visayas)</t>
        </is>
      </c>
      <c r="F778" s="11" t="inlineStr">
        <is>
          <t>Samar</t>
        </is>
      </c>
      <c r="G778" s="11" t="inlineStr">
        <is>
          <t>Marabut</t>
        </is>
      </c>
      <c r="H778" s="11" t="inlineStr">
        <is>
          <t>Tinabanan</t>
        </is>
      </c>
      <c r="I778" s="24" t="n">
        <v>11.20793</v>
      </c>
      <c r="J778" s="24" t="n">
        <v>125.217594</v>
      </c>
      <c r="K778" s="23" t="inlineStr">
        <is>
          <t>R</t>
        </is>
      </c>
      <c r="L778" s="25" t="n">
        <v>2041</v>
      </c>
      <c r="M778" s="26" t="n">
        <v>4.1</v>
      </c>
      <c r="N778" s="25">
        <f>ROUND(L778/M778, 0)</f>
        <v/>
      </c>
      <c r="O778" s="25">
        <f>ROUND(N778*'Methodology &amp; Assumptions'!$B$7, 0)</f>
        <v/>
      </c>
      <c r="P778" s="23" t="inlineStr">
        <is>
          <t>Single Carrier (Band n50, 100MHz TDD)</t>
        </is>
      </c>
      <c r="Q778" s="27">
        <f>ROUNDUP(O778/'Methodology &amp; Assumptions'!$B$8, 0)</f>
        <v/>
      </c>
      <c r="R778" s="27" t="n">
        <v>1</v>
      </c>
      <c r="S778" s="26" t="n">
        <v>22.71</v>
      </c>
      <c r="T778" s="26" t="n">
        <v>21.56</v>
      </c>
      <c r="U778" s="11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26" t="n">
        <v>53.94</v>
      </c>
      <c r="W778" s="26" t="n">
        <v>79.91</v>
      </c>
      <c r="X778" s="26">
        <f>ROUND(('Methodology &amp; Assumptions'!$B$5*V778) + ('Methodology &amp; Assumptions'!$B$6*W778), 2)</f>
        <v/>
      </c>
      <c r="Y778" s="28" t="n">
        <v>23.7</v>
      </c>
      <c r="Z778" s="11" t="inlineStr">
        <is>
          <t>Priority Tier 2 (Balanced Opportunity)</t>
        </is>
      </c>
    </row>
    <row r="779">
      <c r="A779" s="23" t="n">
        <v>1</v>
      </c>
      <c r="B779" s="23" t="n">
        <v>775</v>
      </c>
      <c r="C779" s="23" t="n">
        <v>775</v>
      </c>
      <c r="D779" s="23" t="inlineStr">
        <is>
          <t>1380612018</t>
        </is>
      </c>
      <c r="E779" s="11" t="inlineStr">
        <is>
          <t>National Capital Region (NCR)</t>
        </is>
      </c>
      <c r="F779" s="11" t="inlineStr">
        <is>
          <t>First District (Not a Province)</t>
        </is>
      </c>
      <c r="G779" s="11" t="inlineStr">
        <is>
          <t>City of Manila</t>
        </is>
      </c>
      <c r="H779" s="11" t="inlineStr">
        <is>
          <t>Barangay 850</t>
        </is>
      </c>
      <c r="I779" s="24" t="n">
        <v>14.585338</v>
      </c>
      <c r="J779" s="24" t="n">
        <v>121.001612</v>
      </c>
      <c r="K779" s="23" t="inlineStr">
        <is>
          <t>U</t>
        </is>
      </c>
      <c r="L779" s="25" t="n">
        <v>2655</v>
      </c>
      <c r="M779" s="26" t="n">
        <v>4.07</v>
      </c>
      <c r="N779" s="25">
        <f>ROUND(L779/M779, 0)</f>
        <v/>
      </c>
      <c r="O779" s="25">
        <f>ROUND(N779*'Methodology &amp; Assumptions'!$B$7, 0)</f>
        <v/>
      </c>
      <c r="P779" s="23" t="inlineStr">
        <is>
          <t>Single Carrier (Band n50, 100MHz TDD)</t>
        </is>
      </c>
      <c r="Q779" s="27">
        <f>ROUNDUP(O779/'Methodology &amp; Assumptions'!$B$8, 0)</f>
        <v/>
      </c>
      <c r="R779" s="27" t="n">
        <v>1</v>
      </c>
      <c r="S779" s="26" t="n">
        <v>0.16</v>
      </c>
      <c r="T779" s="26" t="n">
        <v>0.1</v>
      </c>
      <c r="U779" s="11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26" t="n">
        <v>62.09</v>
      </c>
      <c r="W779" s="26" t="n">
        <v>71.72</v>
      </c>
      <c r="X779" s="26">
        <f>ROUND(('Methodology &amp; Assumptions'!$B$5*V779) + ('Methodology &amp; Assumptions'!$B$6*W779), 2)</f>
        <v/>
      </c>
      <c r="Y779" s="28" t="n">
        <v>10.9</v>
      </c>
      <c r="Z779" s="11" t="inlineStr">
        <is>
          <t>Priority Tier 2 (Balanced Opportunity)</t>
        </is>
      </c>
    </row>
    <row r="780">
      <c r="A780" s="23" t="n">
        <v>1</v>
      </c>
      <c r="B780" s="23" t="n">
        <v>776</v>
      </c>
      <c r="C780" s="23" t="n">
        <v>776</v>
      </c>
      <c r="D780" s="23" t="inlineStr">
        <is>
          <t>0806002022</t>
        </is>
      </c>
      <c r="E780" s="11" t="inlineStr">
        <is>
          <t>Region VIII (Eastern Visayas)</t>
        </is>
      </c>
      <c r="F780" s="11" t="inlineStr">
        <is>
          <t>Samar</t>
        </is>
      </c>
      <c r="G780" s="11" t="inlineStr">
        <is>
          <t>Basey</t>
        </is>
      </c>
      <c r="H780" s="11" t="inlineStr">
        <is>
          <t>Mabini</t>
        </is>
      </c>
      <c r="I780" s="24" t="n">
        <v>11.480497</v>
      </c>
      <c r="J780" s="24" t="n">
        <v>125.17664</v>
      </c>
      <c r="K780" s="23" t="inlineStr">
        <is>
          <t>R</t>
        </is>
      </c>
      <c r="L780" s="25" t="n">
        <v>2877</v>
      </c>
      <c r="M780" s="26" t="n">
        <v>4.1</v>
      </c>
      <c r="N780" s="25">
        <f>ROUND(L780/M780, 0)</f>
        <v/>
      </c>
      <c r="O780" s="25">
        <f>ROUND(N780*'Methodology &amp; Assumptions'!$B$7, 0)</f>
        <v/>
      </c>
      <c r="P780" s="23" t="inlineStr">
        <is>
          <t>Single Carrier (Band n50, 100MHz TDD)</t>
        </is>
      </c>
      <c r="Q780" s="27">
        <f>ROUNDUP(O780/'Methodology &amp; Assumptions'!$B$8, 0)</f>
        <v/>
      </c>
      <c r="R780" s="27" t="n">
        <v>1</v>
      </c>
      <c r="S780" s="26" t="n">
        <v>32.83</v>
      </c>
      <c r="T780" s="26" t="n">
        <v>34.88</v>
      </c>
      <c r="U780" s="11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26" t="n">
        <v>57.6</v>
      </c>
      <c r="W780" s="26" t="n">
        <v>76.2</v>
      </c>
      <c r="X780" s="26">
        <f>ROUND(('Methodology &amp; Assumptions'!$B$5*V780) + ('Methodology &amp; Assumptions'!$B$6*W780), 2)</f>
        <v/>
      </c>
      <c r="Y780" s="28" t="n">
        <v>23.7</v>
      </c>
      <c r="Z780" s="11" t="inlineStr">
        <is>
          <t>Priority Tier 2 (Balanced Opportunity)</t>
        </is>
      </c>
    </row>
    <row r="781">
      <c r="A781" s="23" t="n">
        <v>1</v>
      </c>
      <c r="B781" s="23" t="n">
        <v>777</v>
      </c>
      <c r="C781" s="23" t="n">
        <v>777</v>
      </c>
      <c r="D781" s="23" t="inlineStr">
        <is>
          <t>0402116010</t>
        </is>
      </c>
      <c r="E781" s="11" t="inlineStr">
        <is>
          <t>Region IV-A (CALABARZON)</t>
        </is>
      </c>
      <c r="F781" s="11" t="inlineStr">
        <is>
          <t>Cavite</t>
        </is>
      </c>
      <c r="G781" s="11" t="inlineStr">
        <is>
          <t>Noveleta</t>
        </is>
      </c>
      <c r="H781" s="11" t="inlineStr">
        <is>
          <t>Salcedo II</t>
        </is>
      </c>
      <c r="I781" s="24" t="n">
        <v>14.425691</v>
      </c>
      <c r="J781" s="24" t="n">
        <v>120.873745</v>
      </c>
      <c r="K781" s="23" t="inlineStr">
        <is>
          <t>U</t>
        </is>
      </c>
      <c r="L781" s="25" t="n">
        <v>6752</v>
      </c>
      <c r="M781" s="26" t="n">
        <v>3.4</v>
      </c>
      <c r="N781" s="25">
        <f>ROUND(L781/M781, 0)</f>
        <v/>
      </c>
      <c r="O781" s="25">
        <f>ROUND(N781*'Methodology &amp; Assumptions'!$B$7, 0)</f>
        <v/>
      </c>
      <c r="P781" s="23" t="inlineStr">
        <is>
          <t>Single Carrier (Band n50, 100MHz TDD)</t>
        </is>
      </c>
      <c r="Q781" s="27">
        <f>ROUNDUP(O781/'Methodology &amp; Assumptions'!$B$8, 0)</f>
        <v/>
      </c>
      <c r="R781" s="27" t="n">
        <v>1</v>
      </c>
      <c r="S781" s="26" t="n">
        <v>1.09</v>
      </c>
      <c r="T781" s="26" t="n">
        <v>1.06</v>
      </c>
      <c r="U781" s="11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26" t="n">
        <v>77.31999999999999</v>
      </c>
      <c r="W781" s="26" t="n">
        <v>56.46</v>
      </c>
      <c r="X781" s="26">
        <f>ROUND(('Methodology &amp; Assumptions'!$B$5*V781) + ('Methodology &amp; Assumptions'!$B$6*W781), 2)</f>
        <v/>
      </c>
      <c r="Y781" s="28" t="n">
        <v>7.2</v>
      </c>
      <c r="Z781" s="11" t="inlineStr">
        <is>
          <t>Priority Tier 2 (Balanced Opportunity)</t>
        </is>
      </c>
    </row>
    <row r="782">
      <c r="A782" s="23" t="n">
        <v>1</v>
      </c>
      <c r="B782" s="23" t="n">
        <v>778</v>
      </c>
      <c r="C782" s="23" t="n">
        <v>778</v>
      </c>
      <c r="D782" s="23" t="inlineStr">
        <is>
          <t>1380601133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133</t>
        </is>
      </c>
      <c r="I782" s="24" t="n">
        <v>14.627258</v>
      </c>
      <c r="J782" s="24" t="n">
        <v>120.965112</v>
      </c>
      <c r="K782" s="23" t="inlineStr">
        <is>
          <t>U</t>
        </is>
      </c>
      <c r="L782" s="25" t="n">
        <v>2317</v>
      </c>
      <c r="M782" s="26" t="n">
        <v>3.87</v>
      </c>
      <c r="N782" s="25">
        <f>ROUND(L782/M782, 0)</f>
        <v/>
      </c>
      <c r="O782" s="25">
        <f>ROUND(N782*'Methodology &amp; Assumptions'!$B$7, 0)</f>
        <v/>
      </c>
      <c r="P782" s="23" t="inlineStr">
        <is>
          <t>Single Carrier (Band n50, 100MHz TDD)</t>
        </is>
      </c>
      <c r="Q782" s="27">
        <f>ROUNDUP(O782/'Methodology &amp; Assumptions'!$B$8, 0)</f>
        <v/>
      </c>
      <c r="R782" s="27" t="n">
        <v>1</v>
      </c>
      <c r="S782" s="26" t="n">
        <v>0.89</v>
      </c>
      <c r="T782" s="26" t="n">
        <v>0.29</v>
      </c>
      <c r="U782" s="11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26" t="n">
        <v>60.21</v>
      </c>
      <c r="W782" s="26" t="n">
        <v>73.56999999999999</v>
      </c>
      <c r="X782" s="26">
        <f>ROUND(('Methodology &amp; Assumptions'!$B$5*V782) + ('Methodology &amp; Assumptions'!$B$6*W782), 2)</f>
        <v/>
      </c>
      <c r="Y782" s="28" t="n">
        <v>10.9</v>
      </c>
      <c r="Z782" s="11" t="inlineStr">
        <is>
          <t>Priority Tier 2 (Balanced Opportunity)</t>
        </is>
      </c>
    </row>
    <row r="783">
      <c r="A783" s="23" t="n">
        <v>1</v>
      </c>
      <c r="B783" s="23" t="n">
        <v>779</v>
      </c>
      <c r="C783" s="23" t="n">
        <v>779</v>
      </c>
      <c r="D783" s="23" t="inlineStr">
        <is>
          <t>0300803026</t>
        </is>
      </c>
      <c r="E783" s="11" t="inlineStr">
        <is>
          <t>Region III (Central Luzon)</t>
        </is>
      </c>
      <c r="F783" s="11" t="inlineStr">
        <is>
          <t>Bataan</t>
        </is>
      </c>
      <c r="G783" s="11" t="inlineStr">
        <is>
          <t>City of Balanga</t>
        </is>
      </c>
      <c r="H783" s="11" t="inlineStr">
        <is>
          <t>Doña Francisca</t>
        </is>
      </c>
      <c r="I783" s="24" t="n">
        <v>14.683555</v>
      </c>
      <c r="J783" s="24" t="n">
        <v>120.543221</v>
      </c>
      <c r="K783" s="23" t="inlineStr">
        <is>
          <t>U</t>
        </is>
      </c>
      <c r="L783" s="25" t="n">
        <v>2426</v>
      </c>
      <c r="M783" s="26" t="n">
        <v>3.6</v>
      </c>
      <c r="N783" s="25">
        <f>ROUND(L783/M783, 0)</f>
        <v/>
      </c>
      <c r="O783" s="25">
        <f>ROUND(N783*'Methodology &amp; Assumptions'!$B$7, 0)</f>
        <v/>
      </c>
      <c r="P783" s="23" t="inlineStr">
        <is>
          <t>Single Carrier (Band n50, 100MHz TDD)</t>
        </is>
      </c>
      <c r="Q783" s="27">
        <f>ROUNDUP(O783/'Methodology &amp; Assumptions'!$B$8, 0)</f>
        <v/>
      </c>
      <c r="R783" s="27" t="n">
        <v>1</v>
      </c>
      <c r="S783" s="26" t="n">
        <v>0.23</v>
      </c>
      <c r="T783" s="26" t="n">
        <v>0.14</v>
      </c>
      <c r="U783" s="11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26" t="n">
        <v>73.70999999999999</v>
      </c>
      <c r="W783" s="26" t="n">
        <v>60.05</v>
      </c>
      <c r="X783" s="26">
        <f>ROUND(('Methodology &amp; Assumptions'!$B$5*V783) + ('Methodology &amp; Assumptions'!$B$6*W783), 2)</f>
        <v/>
      </c>
      <c r="Y783" s="28" t="n">
        <v>8.300000000000001</v>
      </c>
      <c r="Z783" s="11" t="inlineStr">
        <is>
          <t>Priority Tier 2 (Balanced Opportunity)</t>
        </is>
      </c>
    </row>
    <row r="784">
      <c r="A784" s="23" t="n">
        <v>1</v>
      </c>
      <c r="B784" s="23" t="n">
        <v>780</v>
      </c>
      <c r="C784" s="23" t="n">
        <v>780</v>
      </c>
      <c r="D784" s="23" t="inlineStr">
        <is>
          <t>0102820020</t>
        </is>
      </c>
      <c r="E784" s="11" t="inlineStr">
        <is>
          <t>Region I (Ilocos Region)</t>
        </is>
      </c>
      <c r="F784" s="11" t="inlineStr">
        <is>
          <t>Ilocos Norte</t>
        </is>
      </c>
      <c r="G784" s="11" t="inlineStr">
        <is>
          <t>San Nicolas</t>
        </is>
      </c>
      <c r="H784" s="11" t="inlineStr">
        <is>
          <t>San Rufino</t>
        </is>
      </c>
      <c r="I784" s="24" t="n">
        <v>18.165499</v>
      </c>
      <c r="J784" s="24" t="n">
        <v>120.597695</v>
      </c>
      <c r="K784" s="23" t="inlineStr">
        <is>
          <t>R</t>
        </is>
      </c>
      <c r="L784" s="25" t="n">
        <v>1162</v>
      </c>
      <c r="M784" s="26" t="n">
        <v>3.7</v>
      </c>
      <c r="N784" s="25">
        <f>ROUND(L784/M784, 0)</f>
        <v/>
      </c>
      <c r="O784" s="25">
        <f>ROUND(N784*'Methodology &amp; Assumptions'!$B$7, 0)</f>
        <v/>
      </c>
      <c r="P784" s="23" t="inlineStr">
        <is>
          <t>Single Carrier (Band n50, 100MHz TDD)</t>
        </is>
      </c>
      <c r="Q784" s="27">
        <f>ROUNDUP(O784/'Methodology &amp; Assumptions'!$B$8, 0)</f>
        <v/>
      </c>
      <c r="R784" s="27" t="n">
        <v>1</v>
      </c>
      <c r="S784" s="26" t="n">
        <v>0.71</v>
      </c>
      <c r="T784" s="26" t="n">
        <v>0.75</v>
      </c>
      <c r="U784" s="11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26" t="n">
        <v>69.20999999999999</v>
      </c>
      <c r="W784" s="26" t="n">
        <v>64.5</v>
      </c>
      <c r="X784" s="26">
        <f>ROUND(('Methodology &amp; Assumptions'!$B$5*V784) + ('Methodology &amp; Assumptions'!$B$6*W784), 2)</f>
        <v/>
      </c>
      <c r="Y784" s="28" t="n">
        <v>8.300000000000001</v>
      </c>
      <c r="Z784" s="11" t="inlineStr">
        <is>
          <t>Priority Tier 2 (Balanced Opportunity)</t>
        </is>
      </c>
    </row>
    <row r="785">
      <c r="A785" s="23" t="n">
        <v>1</v>
      </c>
      <c r="B785" s="23" t="n">
        <v>781</v>
      </c>
      <c r="C785" s="23" t="n">
        <v>781</v>
      </c>
      <c r="D785" s="23" t="inlineStr">
        <is>
          <t>1380611007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673</t>
        </is>
      </c>
      <c r="I785" s="24" t="n">
        <v>14.58076</v>
      </c>
      <c r="J785" s="24" t="n">
        <v>120.9938</v>
      </c>
      <c r="K785" s="23" t="inlineStr">
        <is>
          <t>U</t>
        </is>
      </c>
      <c r="L785" s="25" t="n">
        <v>2539</v>
      </c>
      <c r="M785" s="26" t="n">
        <v>3.32</v>
      </c>
      <c r="N785" s="25">
        <f>ROUND(L785/M785, 0)</f>
        <v/>
      </c>
      <c r="O785" s="25">
        <f>ROUND(N785*'Methodology &amp; Assumptions'!$B$7, 0)</f>
        <v/>
      </c>
      <c r="P785" s="23" t="inlineStr">
        <is>
          <t>Single Carrier (Band n50, 100MHz TDD)</t>
        </is>
      </c>
      <c r="Q785" s="27">
        <f>ROUNDUP(O785/'Methodology &amp; Assumptions'!$B$8, 0)</f>
        <v/>
      </c>
      <c r="R785" s="27" t="n">
        <v>1</v>
      </c>
      <c r="S785" s="26" t="n">
        <v>0.97</v>
      </c>
      <c r="T785" s="26" t="n">
        <v>0.27</v>
      </c>
      <c r="U785" s="11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26" t="n">
        <v>65.22</v>
      </c>
      <c r="W785" s="26" t="n">
        <v>68.5</v>
      </c>
      <c r="X785" s="26">
        <f>ROUND(('Methodology &amp; Assumptions'!$B$5*V785) + ('Methodology &amp; Assumptions'!$B$6*W785), 2)</f>
        <v/>
      </c>
      <c r="Y785" s="28" t="n">
        <v>10.9</v>
      </c>
      <c r="Z785" s="11" t="inlineStr">
        <is>
          <t>Priority Tier 2 (Balanced Opportunity)</t>
        </is>
      </c>
    </row>
    <row r="786">
      <c r="A786" s="23" t="n">
        <v>1</v>
      </c>
      <c r="B786" s="23" t="n">
        <v>782</v>
      </c>
      <c r="C786" s="23" t="n">
        <v>782</v>
      </c>
      <c r="D786" s="23" t="inlineStr">
        <is>
          <t>1108601015</t>
        </is>
      </c>
      <c r="E786" s="11" t="inlineStr">
        <is>
          <t>Region XI (Davao Region)</t>
        </is>
      </c>
      <c r="F786" s="11" t="inlineStr">
        <is>
          <t>Davao Occidental</t>
        </is>
      </c>
      <c r="G786" s="11" t="inlineStr">
        <is>
          <t>Don Marcelino</t>
        </is>
      </c>
      <c r="H786" s="11" t="inlineStr">
        <is>
          <t>West Lamidan</t>
        </is>
      </c>
      <c r="I786" s="24" t="n">
        <v>6.103819</v>
      </c>
      <c r="J786" s="24" t="n">
        <v>125.598609</v>
      </c>
      <c r="K786" s="23" t="inlineStr">
        <is>
          <t>R</t>
        </is>
      </c>
      <c r="L786" s="25" t="n">
        <v>3216</v>
      </c>
      <c r="M786" s="26" t="n">
        <v>3.6</v>
      </c>
      <c r="N786" s="25">
        <f>ROUND(L786/M786, 0)</f>
        <v/>
      </c>
      <c r="O786" s="25">
        <f>ROUND(N786*'Methodology &amp; Assumptions'!$B$7, 0)</f>
        <v/>
      </c>
      <c r="P786" s="23" t="inlineStr">
        <is>
          <t>Single Carrier (Band n50, 100MHz TDD)</t>
        </is>
      </c>
      <c r="Q786" s="27">
        <f>ROUNDUP(O786/'Methodology &amp; Assumptions'!$B$8, 0)</f>
        <v/>
      </c>
      <c r="R786" s="27" t="n">
        <v>1</v>
      </c>
      <c r="S786" s="26" t="n">
        <v>35.45</v>
      </c>
      <c r="T786" s="26" t="n">
        <v>40.71</v>
      </c>
      <c r="U786" s="11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26" t="n">
        <v>61.82</v>
      </c>
      <c r="W786" s="26" t="n">
        <v>71.87</v>
      </c>
      <c r="X786" s="26">
        <f>ROUND(('Methodology &amp; Assumptions'!$B$5*V786) + ('Methodology &amp; Assumptions'!$B$6*W786), 2)</f>
        <v/>
      </c>
      <c r="Y786" s="28" t="n">
        <v>17.4</v>
      </c>
      <c r="Z786" s="11" t="inlineStr">
        <is>
          <t>Priority Tier 2 (Balanced Opportunity)</t>
        </is>
      </c>
    </row>
    <row r="787">
      <c r="A787" s="23" t="n">
        <v>1</v>
      </c>
      <c r="B787" s="23" t="n">
        <v>783</v>
      </c>
      <c r="C787" s="23" t="n">
        <v>783</v>
      </c>
      <c r="D787" s="23" t="inlineStr">
        <is>
          <t>0405622007</t>
        </is>
      </c>
      <c r="E787" s="11" t="inlineStr">
        <is>
          <t>Region IV-A (CALABARZON)</t>
        </is>
      </c>
      <c r="F787" s="11" t="inlineStr">
        <is>
          <t>Quezon</t>
        </is>
      </c>
      <c r="G787" s="11" t="inlineStr">
        <is>
          <t>Lopez</t>
        </is>
      </c>
      <c r="H787" s="11" t="inlineStr">
        <is>
          <t>Magsaysay</t>
        </is>
      </c>
      <c r="I787" s="24" t="n">
        <v>13.886518</v>
      </c>
      <c r="J787" s="24" t="n">
        <v>122.263262</v>
      </c>
      <c r="K787" s="23" t="inlineStr">
        <is>
          <t>R</t>
        </is>
      </c>
      <c r="L787" s="25" t="n">
        <v>4204</v>
      </c>
      <c r="M787" s="26" t="n">
        <v>3.8</v>
      </c>
      <c r="N787" s="25">
        <f>ROUND(L787/M787, 0)</f>
        <v/>
      </c>
      <c r="O787" s="25">
        <f>ROUND(N787*'Methodology &amp; Assumptions'!$B$7, 0)</f>
        <v/>
      </c>
      <c r="P787" s="23" t="inlineStr">
        <is>
          <t>Single Carrier (Band n50, 100MHz TDD)</t>
        </is>
      </c>
      <c r="Q787" s="27">
        <f>ROUNDUP(O787/'Methodology &amp; Assumptions'!$B$8, 0)</f>
        <v/>
      </c>
      <c r="R787" s="27" t="n">
        <v>1</v>
      </c>
      <c r="S787" s="26" t="n">
        <v>0.14</v>
      </c>
      <c r="T787" s="26" t="n">
        <v>0.09</v>
      </c>
      <c r="U787" s="11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26" t="n">
        <v>85.45999999999999</v>
      </c>
      <c r="W787" s="26" t="n">
        <v>48.2</v>
      </c>
      <c r="X787" s="26">
        <f>ROUND(('Methodology &amp; Assumptions'!$B$5*V787) + ('Methodology &amp; Assumptions'!$B$6*W787), 2)</f>
        <v/>
      </c>
      <c r="Y787" s="28" t="n">
        <v>7.2</v>
      </c>
      <c r="Z787" s="11" t="inlineStr">
        <is>
          <t>Priority Tier 2 (Balanced Opportunity)</t>
        </is>
      </c>
    </row>
    <row r="788">
      <c r="A788" s="23" t="n">
        <v>1</v>
      </c>
      <c r="B788" s="23" t="n">
        <v>784</v>
      </c>
      <c r="C788" s="23" t="n">
        <v>784</v>
      </c>
      <c r="D788" s="23" t="inlineStr">
        <is>
          <t>0405802013</t>
        </is>
      </c>
      <c r="E788" s="11" t="inlineStr">
        <is>
          <t>Region IV-A (CALABARZON)</t>
        </is>
      </c>
      <c r="F788" s="11" t="inlineStr">
        <is>
          <t>Rizal</t>
        </is>
      </c>
      <c r="G788" s="11" t="inlineStr">
        <is>
          <t>City of Antipolo</t>
        </is>
      </c>
      <c r="H788" s="11" t="inlineStr">
        <is>
          <t>Dalig</t>
        </is>
      </c>
      <c r="I788" s="24" t="n">
        <v>14.572923</v>
      </c>
      <c r="J788" s="24" t="n">
        <v>121.186498</v>
      </c>
      <c r="K788" s="23" t="inlineStr">
        <is>
          <t>U</t>
        </is>
      </c>
      <c r="L788" s="25" t="n">
        <v>56096</v>
      </c>
      <c r="M788" s="26" t="n">
        <v>3.6</v>
      </c>
      <c r="N788" s="25">
        <f>ROUND(L788/M788, 0)</f>
        <v/>
      </c>
      <c r="O788" s="25">
        <f>ROUND(N788*'Methodology &amp; Assumptions'!$B$7, 0)</f>
        <v/>
      </c>
      <c r="P788" s="23" t="inlineStr">
        <is>
          <t>Single Carrier (Band n50, 100MHz TDD)</t>
        </is>
      </c>
      <c r="Q788" s="27">
        <f>ROUNDUP(O788/'Methodology &amp; Assumptions'!$B$8, 0)</f>
        <v/>
      </c>
      <c r="R788" s="27" t="n">
        <v>1</v>
      </c>
      <c r="S788" s="26" t="n">
        <v>1.01</v>
      </c>
      <c r="T788" s="26" t="n">
        <v>0.29</v>
      </c>
      <c r="U788" s="11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26" t="n">
        <v>75.93000000000001</v>
      </c>
      <c r="W788" s="26" t="n">
        <v>57.74</v>
      </c>
      <c r="X788" s="26">
        <f>ROUND(('Methodology &amp; Assumptions'!$B$5*V788) + ('Methodology &amp; Assumptions'!$B$6*W788), 2)</f>
        <v/>
      </c>
      <c r="Y788" s="28" t="n">
        <v>7.2</v>
      </c>
      <c r="Z788" s="11" t="inlineStr">
        <is>
          <t>Priority Tier 2 (Balanced Opportunity)</t>
        </is>
      </c>
    </row>
    <row r="789">
      <c r="A789" s="23" t="n">
        <v>1</v>
      </c>
      <c r="B789" s="23" t="n">
        <v>785</v>
      </c>
      <c r="C789" s="23" t="n">
        <v>785</v>
      </c>
      <c r="D789" s="23" t="inlineStr">
        <is>
          <t>0402123026</t>
        </is>
      </c>
      <c r="E789" s="11" t="inlineStr">
        <is>
          <t>Region IV-A (CALABARZON)</t>
        </is>
      </c>
      <c r="F789" s="11" t="inlineStr">
        <is>
          <t>Cavite</t>
        </is>
      </c>
      <c r="G789" s="11" t="inlineStr">
        <is>
          <t>Gen. Mariano Alvarez</t>
        </is>
      </c>
      <c r="H789" s="11" t="inlineStr">
        <is>
          <t>Severino De Las Alas</t>
        </is>
      </c>
      <c r="I789" s="24" t="n">
        <v>14.297041</v>
      </c>
      <c r="J789" s="24" t="n">
        <v>121.002985</v>
      </c>
      <c r="K789" s="23" t="inlineStr">
        <is>
          <t>U</t>
        </is>
      </c>
      <c r="L789" s="25" t="n">
        <v>8000</v>
      </c>
      <c r="M789" s="26" t="n">
        <v>3.4</v>
      </c>
      <c r="N789" s="25">
        <f>ROUND(L789/M789, 0)</f>
        <v/>
      </c>
      <c r="O789" s="25">
        <f>ROUND(N789*'Methodology &amp; Assumptions'!$B$7, 0)</f>
        <v/>
      </c>
      <c r="P789" s="23" t="inlineStr">
        <is>
          <t>Single Carrier (Band n50, 100MHz TDD)</t>
        </is>
      </c>
      <c r="Q789" s="27">
        <f>ROUNDUP(O789/'Methodology &amp; Assumptions'!$B$8, 0)</f>
        <v/>
      </c>
      <c r="R789" s="27" t="n">
        <v>1</v>
      </c>
      <c r="S789" s="26" t="n">
        <v>1.63</v>
      </c>
      <c r="T789" s="26" t="n">
        <v>4.67</v>
      </c>
      <c r="U789" s="11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26" t="n">
        <v>71.81999999999999</v>
      </c>
      <c r="W789" s="26" t="n">
        <v>61.79</v>
      </c>
      <c r="X789" s="26">
        <f>ROUND(('Methodology &amp; Assumptions'!$B$5*V789) + ('Methodology &amp; Assumptions'!$B$6*W789), 2)</f>
        <v/>
      </c>
      <c r="Y789" s="28" t="n">
        <v>7.2</v>
      </c>
      <c r="Z789" s="11" t="inlineStr">
        <is>
          <t>Priority Tier 2 (Balanced Opportunity)</t>
        </is>
      </c>
    </row>
    <row r="790">
      <c r="A790" s="23" t="n">
        <v>1</v>
      </c>
      <c r="B790" s="23" t="n">
        <v>786</v>
      </c>
      <c r="C790" s="23" t="n">
        <v>786</v>
      </c>
      <c r="D790" s="23" t="inlineStr">
        <is>
          <t>0306916041</t>
        </is>
      </c>
      <c r="E790" s="11" t="inlineStr">
        <is>
          <t>Region III (Central Luzon)</t>
        </is>
      </c>
      <c r="F790" s="11" t="inlineStr">
        <is>
          <t>Tarlac</t>
        </is>
      </c>
      <c r="G790" s="11" t="inlineStr">
        <is>
          <t>City of Tarlac</t>
        </is>
      </c>
      <c r="H790" s="11" t="inlineStr">
        <is>
          <t>Ligtasan</t>
        </is>
      </c>
      <c r="I790" s="24" t="n">
        <v>15.485011</v>
      </c>
      <c r="J790" s="24" t="n">
        <v>120.594556</v>
      </c>
      <c r="K790" s="23" t="inlineStr">
        <is>
          <t>U</t>
        </is>
      </c>
      <c r="L790" s="25" t="n">
        <v>2478</v>
      </c>
      <c r="M790" s="26" t="n">
        <v>3.9</v>
      </c>
      <c r="N790" s="25">
        <f>ROUND(L790/M790, 0)</f>
        <v/>
      </c>
      <c r="O790" s="25">
        <f>ROUND(N790*'Methodology &amp; Assumptions'!$B$7, 0)</f>
        <v/>
      </c>
      <c r="P790" s="23" t="inlineStr">
        <is>
          <t>Single Carrier (Band n50, 100MHz TDD)</t>
        </is>
      </c>
      <c r="Q790" s="27">
        <f>ROUNDUP(O790/'Methodology &amp; Assumptions'!$B$8, 0)</f>
        <v/>
      </c>
      <c r="R790" s="27" t="n">
        <v>1</v>
      </c>
      <c r="S790" s="26" t="n">
        <v>1.92</v>
      </c>
      <c r="T790" s="26" t="n">
        <v>0.16</v>
      </c>
      <c r="U790" s="11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26" t="n">
        <v>68.45</v>
      </c>
      <c r="W790" s="26" t="n">
        <v>65.18000000000001</v>
      </c>
      <c r="X790" s="26">
        <f>ROUND(('Methodology &amp; Assumptions'!$B$5*V790) + ('Methodology &amp; Assumptions'!$B$6*W790), 2)</f>
        <v/>
      </c>
      <c r="Y790" s="28" t="n">
        <v>8.300000000000001</v>
      </c>
      <c r="Z790" s="11" t="inlineStr">
        <is>
          <t>Priority Tier 2 (Balanced Opportunity)</t>
        </is>
      </c>
    </row>
    <row r="791">
      <c r="A791" s="23" t="n">
        <v>1</v>
      </c>
      <c r="B791" s="23" t="n">
        <v>787</v>
      </c>
      <c r="C791" s="23" t="n">
        <v>787</v>
      </c>
      <c r="D791" s="23" t="inlineStr">
        <is>
          <t>1705309005</t>
        </is>
      </c>
      <c r="E791" s="11" t="inlineStr">
        <is>
          <t>MIMAROPA Region</t>
        </is>
      </c>
      <c r="F791" s="11" t="inlineStr">
        <is>
          <t>Palawan</t>
        </is>
      </c>
      <c r="G791" s="11" t="inlineStr">
        <is>
          <t>Coron</t>
        </is>
      </c>
      <c r="H791" s="11" t="inlineStr">
        <is>
          <t>Bulalacao</t>
        </is>
      </c>
      <c r="I791" s="24" t="n">
        <v>11.749345</v>
      </c>
      <c r="J791" s="24" t="n">
        <v>120.159337</v>
      </c>
      <c r="K791" s="23" t="inlineStr">
        <is>
          <t>U</t>
        </is>
      </c>
      <c r="L791" s="25" t="n">
        <v>4239</v>
      </c>
      <c r="M791" s="26" t="n">
        <v>3.9</v>
      </c>
      <c r="N791" s="25">
        <f>ROUND(L791/M791, 0)</f>
        <v/>
      </c>
      <c r="O791" s="25">
        <f>ROUND(N791*'Methodology &amp; Assumptions'!$B$7, 0)</f>
        <v/>
      </c>
      <c r="P791" s="23" t="inlineStr">
        <is>
          <t>Single Carrier (Band n50, 100MHz TDD)</t>
        </is>
      </c>
      <c r="Q791" s="27">
        <f>ROUNDUP(O791/'Methodology &amp; Assumptions'!$B$8, 0)</f>
        <v/>
      </c>
      <c r="R791" s="27" t="n">
        <v>1</v>
      </c>
      <c r="S791" s="26" t="n">
        <v>29.9</v>
      </c>
      <c r="T791" s="26" t="n">
        <v>118.94</v>
      </c>
      <c r="U791" s="11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26" t="n">
        <v>54.24</v>
      </c>
      <c r="W791" s="26" t="n">
        <v>79.36</v>
      </c>
      <c r="X791" s="26">
        <f>ROUND(('Methodology &amp; Assumptions'!$B$5*V791) + ('Methodology &amp; Assumptions'!$B$6*W791), 2)</f>
        <v/>
      </c>
      <c r="Y791" s="28" t="n">
        <v>15</v>
      </c>
      <c r="Z791" s="11" t="inlineStr">
        <is>
          <t>Priority Tier 2 (Balanced Opportunity)</t>
        </is>
      </c>
    </row>
    <row r="792">
      <c r="A792" s="23" t="n">
        <v>1</v>
      </c>
      <c r="B792" s="23" t="n">
        <v>788</v>
      </c>
      <c r="C792" s="23" t="n">
        <v>788</v>
      </c>
      <c r="D792" s="23" t="inlineStr">
        <is>
          <t>0401019010</t>
        </is>
      </c>
      <c r="E792" s="11" t="inlineStr">
        <is>
          <t>Region IV-A (CALABARZON)</t>
        </is>
      </c>
      <c r="F792" s="11" t="inlineStr">
        <is>
          <t>Batangas</t>
        </is>
      </c>
      <c r="G792" s="11" t="inlineStr">
        <is>
          <t>Nasugbu</t>
        </is>
      </c>
      <c r="H792" s="11" t="inlineStr">
        <is>
          <t>Barangay 5</t>
        </is>
      </c>
      <c r="I792" s="24" t="n">
        <v>14.0756</v>
      </c>
      <c r="J792" s="24" t="n">
        <v>120.6343</v>
      </c>
      <c r="K792" s="23" t="inlineStr">
        <is>
          <t>R</t>
        </is>
      </c>
      <c r="L792" s="25" t="n">
        <v>2047</v>
      </c>
      <c r="M792" s="26" t="n">
        <v>3.6</v>
      </c>
      <c r="N792" s="25">
        <f>ROUND(L792/M792, 0)</f>
        <v/>
      </c>
      <c r="O792" s="25">
        <f>ROUND(N792*'Methodology &amp; Assumptions'!$B$7, 0)</f>
        <v/>
      </c>
      <c r="P792" s="23" t="inlineStr">
        <is>
          <t>Single Carrier (Band n50, 100MHz TDD)</t>
        </is>
      </c>
      <c r="Q792" s="27">
        <f>ROUNDUP(O792/'Methodology &amp; Assumptions'!$B$8, 0)</f>
        <v/>
      </c>
      <c r="R792" s="27" t="n">
        <v>1</v>
      </c>
      <c r="S792" s="26" t="n">
        <v>0.54</v>
      </c>
      <c r="T792" s="26" t="n">
        <v>0.26</v>
      </c>
      <c r="U792" s="11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26" t="n">
        <v>77.45999999999999</v>
      </c>
      <c r="W792" s="26" t="n">
        <v>56.1</v>
      </c>
      <c r="X792" s="26">
        <f>ROUND(('Methodology &amp; Assumptions'!$B$5*V792) + ('Methodology &amp; Assumptions'!$B$6*W792), 2)</f>
        <v/>
      </c>
      <c r="Y792" s="28" t="n">
        <v>7.2</v>
      </c>
      <c r="Z792" s="11" t="inlineStr">
        <is>
          <t>Priority Tier 2 (Balanced Opportunity)</t>
        </is>
      </c>
    </row>
    <row r="793">
      <c r="A793" s="23" t="n">
        <v>1</v>
      </c>
      <c r="B793" s="23" t="n">
        <v>789</v>
      </c>
      <c r="C793" s="23" t="n">
        <v>789</v>
      </c>
      <c r="D793" s="23" t="inlineStr">
        <is>
          <t>1381300039</t>
        </is>
      </c>
      <c r="E793" s="11" t="inlineStr">
        <is>
          <t>National Capital Region (NCR)</t>
        </is>
      </c>
      <c r="F793" s="11" t="inlineStr">
        <is>
          <t>Second District (Not a Province)</t>
        </is>
      </c>
      <c r="G793" s="11" t="inlineStr">
        <is>
          <t>Quezon City</t>
        </is>
      </c>
      <c r="H793" s="11" t="inlineStr">
        <is>
          <t>Escopa III</t>
        </is>
      </c>
      <c r="I793" s="24" t="n">
        <v>14.6277</v>
      </c>
      <c r="J793" s="24" t="n">
        <v>121.0723</v>
      </c>
      <c r="K793" s="23" t="inlineStr">
        <is>
          <t>U</t>
        </is>
      </c>
      <c r="L793" s="25" t="n">
        <v>8359</v>
      </c>
      <c r="M793" s="26" t="n">
        <v>3.9</v>
      </c>
      <c r="N793" s="25">
        <f>ROUND(L793/M793, 0)</f>
        <v/>
      </c>
      <c r="O793" s="25">
        <f>ROUND(N793*'Methodology &amp; Assumptions'!$B$7, 0)</f>
        <v/>
      </c>
      <c r="P793" s="23" t="inlineStr">
        <is>
          <t>Single Carrier (Band n50, 100MHz TDD)</t>
        </is>
      </c>
      <c r="Q793" s="27">
        <f>ROUNDUP(O793/'Methodology &amp; Assumptions'!$B$8, 0)</f>
        <v/>
      </c>
      <c r="R793" s="27" t="n">
        <v>1</v>
      </c>
      <c r="S793" s="26" t="n">
        <v>0.37</v>
      </c>
      <c r="T793" s="26" t="n">
        <v>0.33</v>
      </c>
      <c r="U793" s="11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26" t="n">
        <v>69.09</v>
      </c>
      <c r="W793" s="26" t="n">
        <v>64.47</v>
      </c>
      <c r="X793" s="26">
        <f>ROUND(('Methodology &amp; Assumptions'!$B$5*V793) + ('Methodology &amp; Assumptions'!$B$6*W793), 2)</f>
        <v/>
      </c>
      <c r="Y793" s="28" t="n">
        <v>10.9</v>
      </c>
      <c r="Z793" s="11" t="inlineStr">
        <is>
          <t>Priority Tier 2 (Balanced Opportunity)</t>
        </is>
      </c>
    </row>
    <row r="794">
      <c r="A794" s="23" t="n">
        <v>1</v>
      </c>
      <c r="B794" s="23" t="n">
        <v>790</v>
      </c>
      <c r="C794" s="23" t="n">
        <v>790</v>
      </c>
      <c r="D794" s="23" t="inlineStr">
        <is>
          <t>1380611018</t>
        </is>
      </c>
      <c r="E794" s="11" t="inlineStr">
        <is>
          <t>National Capital Region (NCR)</t>
        </is>
      </c>
      <c r="F794" s="11" t="inlineStr">
        <is>
          <t>First District (Not a Province)</t>
        </is>
      </c>
      <c r="G794" s="11" t="inlineStr">
        <is>
          <t>City of Manila</t>
        </is>
      </c>
      <c r="H794" s="11" t="inlineStr">
        <is>
          <t>Barangay 684</t>
        </is>
      </c>
      <c r="I794" s="24" t="n">
        <v>14.577311</v>
      </c>
      <c r="J794" s="24" t="n">
        <v>120.995698</v>
      </c>
      <c r="K794" s="23" t="inlineStr">
        <is>
          <t>U</t>
        </is>
      </c>
      <c r="L794" s="25" t="n">
        <v>2685</v>
      </c>
      <c r="M794" s="26" t="n">
        <v>3.72</v>
      </c>
      <c r="N794" s="25">
        <f>ROUND(L794/M794, 0)</f>
        <v/>
      </c>
      <c r="O794" s="25">
        <f>ROUND(N794*'Methodology &amp; Assumptions'!$B$7, 0)</f>
        <v/>
      </c>
      <c r="P794" s="23" t="inlineStr">
        <is>
          <t>Single Carrier (Band n50, 100MHz TDD)</t>
        </is>
      </c>
      <c r="Q794" s="27">
        <f>ROUNDUP(O794/'Methodology &amp; Assumptions'!$B$8, 0)</f>
        <v/>
      </c>
      <c r="R794" s="27" t="n">
        <v>1</v>
      </c>
      <c r="S794" s="26" t="n">
        <v>0.61</v>
      </c>
      <c r="T794" s="26" t="n">
        <v>0.12</v>
      </c>
      <c r="U794" s="11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26" t="n">
        <v>64.34</v>
      </c>
      <c r="W794" s="26" t="n">
        <v>69.2</v>
      </c>
      <c r="X794" s="26">
        <f>ROUND(('Methodology &amp; Assumptions'!$B$5*V794) + ('Methodology &amp; Assumptions'!$B$6*W794), 2)</f>
        <v/>
      </c>
      <c r="Y794" s="28" t="n">
        <v>10.9</v>
      </c>
      <c r="Z794" s="11" t="inlineStr">
        <is>
          <t>Priority Tier 2 (Balanced Opportunity)</t>
        </is>
      </c>
    </row>
    <row r="795">
      <c r="A795" s="23" t="n">
        <v>1</v>
      </c>
      <c r="B795" s="23" t="n">
        <v>791</v>
      </c>
      <c r="C795" s="23" t="n">
        <v>791</v>
      </c>
      <c r="D795" s="23" t="inlineStr">
        <is>
          <t>0203131015</t>
        </is>
      </c>
      <c r="E795" s="11" t="inlineStr">
        <is>
          <t>Region II (Cagayan Valley)</t>
        </is>
      </c>
      <c r="F795" s="11" t="inlineStr">
        <is>
          <t>Isabela</t>
        </is>
      </c>
      <c r="G795" s="11" t="inlineStr">
        <is>
          <t>San Mariano</t>
        </is>
      </c>
      <c r="H795" s="11" t="inlineStr">
        <is>
          <t>Disulap</t>
        </is>
      </c>
      <c r="I795" s="24" t="n">
        <v>16.986915</v>
      </c>
      <c r="J795" s="24" t="n">
        <v>122.163252</v>
      </c>
      <c r="K795" s="23" t="inlineStr">
        <is>
          <t>R</t>
        </is>
      </c>
      <c r="L795" s="25" t="n">
        <v>3026</v>
      </c>
      <c r="M795" s="26" t="n">
        <v>3.8</v>
      </c>
      <c r="N795" s="25">
        <f>ROUND(L795/M795, 0)</f>
        <v/>
      </c>
      <c r="O795" s="25">
        <f>ROUND(N795*'Methodology &amp; Assumptions'!$B$7, 0)</f>
        <v/>
      </c>
      <c r="P795" s="23" t="inlineStr">
        <is>
          <t>Single Carrier (Band n50, 100MHz TDD)</t>
        </is>
      </c>
      <c r="Q795" s="27">
        <f>ROUNDUP(O795/'Methodology &amp; Assumptions'!$B$8, 0)</f>
        <v/>
      </c>
      <c r="R795" s="27" t="n">
        <v>1</v>
      </c>
      <c r="S795" s="26" t="n">
        <v>15.97</v>
      </c>
      <c r="T795" s="26" t="n">
        <v>30.97</v>
      </c>
      <c r="U795" s="11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26" t="n">
        <v>59.66</v>
      </c>
      <c r="W795" s="26" t="n">
        <v>73.88</v>
      </c>
      <c r="X795" s="26">
        <f>ROUND(('Methodology &amp; Assumptions'!$B$5*V795) + ('Methodology &amp; Assumptions'!$B$6*W795), 2)</f>
        <v/>
      </c>
      <c r="Y795" s="28" t="n">
        <v>8.300000000000001</v>
      </c>
      <c r="Z795" s="11" t="inlineStr">
        <is>
          <t>Priority Tier 2 (Balanced Opportunity)</t>
        </is>
      </c>
    </row>
    <row r="796">
      <c r="A796" s="23" t="n">
        <v>1</v>
      </c>
      <c r="B796" s="23" t="n">
        <v>792</v>
      </c>
      <c r="C796" s="23" t="n">
        <v>792</v>
      </c>
      <c r="D796" s="23" t="inlineStr">
        <is>
          <t>1380610014</t>
        </is>
      </c>
      <c r="E796" s="11" t="inlineStr">
        <is>
          <t>National Capital Region (NCR)</t>
        </is>
      </c>
      <c r="F796" s="11" t="inlineStr">
        <is>
          <t>First District (Not a Province)</t>
        </is>
      </c>
      <c r="G796" s="11" t="inlineStr">
        <is>
          <t>City of Manila</t>
        </is>
      </c>
      <c r="H796" s="11" t="inlineStr">
        <is>
          <t>Barangay 699</t>
        </is>
      </c>
      <c r="I796" s="24" t="n">
        <v>14.570978</v>
      </c>
      <c r="J796" s="24" t="n">
        <v>120.982613</v>
      </c>
      <c r="K796" s="23" t="inlineStr">
        <is>
          <t>U</t>
        </is>
      </c>
      <c r="L796" s="25" t="n">
        <v>2733</v>
      </c>
      <c r="M796" s="26" t="n">
        <v>2.89</v>
      </c>
      <c r="N796" s="25">
        <f>ROUND(L796/M796, 0)</f>
        <v/>
      </c>
      <c r="O796" s="25">
        <f>ROUND(N796*'Methodology &amp; Assumptions'!$B$7, 0)</f>
        <v/>
      </c>
      <c r="P796" s="23" t="inlineStr">
        <is>
          <t>Single Carrier (Band n50, 100MHz TDD)</t>
        </is>
      </c>
      <c r="Q796" s="27">
        <f>ROUNDUP(O796/'Methodology &amp; Assumptions'!$B$8, 0)</f>
        <v/>
      </c>
      <c r="R796" s="27" t="n">
        <v>1</v>
      </c>
      <c r="S796" s="26" t="n">
        <v>1.26</v>
      </c>
      <c r="T796" s="26" t="n">
        <v>0.84</v>
      </c>
      <c r="U796" s="11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26" t="n">
        <v>67.51000000000001</v>
      </c>
      <c r="W796" s="26" t="n">
        <v>66.01000000000001</v>
      </c>
      <c r="X796" s="26">
        <f>ROUND(('Methodology &amp; Assumptions'!$B$5*V796) + ('Methodology &amp; Assumptions'!$B$6*W796), 2)</f>
        <v/>
      </c>
      <c r="Y796" s="28" t="n">
        <v>10.9</v>
      </c>
      <c r="Z796" s="11" t="inlineStr">
        <is>
          <t>Priority Tier 2 (Balanced Opportunity)</t>
        </is>
      </c>
    </row>
    <row r="797">
      <c r="A797" s="23" t="n">
        <v>1</v>
      </c>
      <c r="B797" s="23" t="n">
        <v>793</v>
      </c>
      <c r="C797" s="23" t="n">
        <v>793</v>
      </c>
      <c r="D797" s="23" t="inlineStr">
        <is>
          <t>0201505040</t>
        </is>
      </c>
      <c r="E797" s="11" t="inlineStr">
        <is>
          <t>Region II (Cagayan Valley)</t>
        </is>
      </c>
      <c r="F797" s="11" t="inlineStr">
        <is>
          <t>Cagayan</t>
        </is>
      </c>
      <c r="G797" s="11" t="inlineStr">
        <is>
          <t>Aparri</t>
        </is>
      </c>
      <c r="H797" s="11" t="inlineStr">
        <is>
          <t>Toran</t>
        </is>
      </c>
      <c r="I797" s="24" t="n">
        <v>18.355084</v>
      </c>
      <c r="J797" s="24" t="n">
        <v>121.642006</v>
      </c>
      <c r="K797" s="23" t="inlineStr">
        <is>
          <t>R</t>
        </is>
      </c>
      <c r="L797" s="25" t="n">
        <v>3771</v>
      </c>
      <c r="M797" s="26" t="n">
        <v>3.9</v>
      </c>
      <c r="N797" s="25">
        <f>ROUND(L797/M797, 0)</f>
        <v/>
      </c>
      <c r="O797" s="25">
        <f>ROUND(N797*'Methodology &amp; Assumptions'!$B$7, 0)</f>
        <v/>
      </c>
      <c r="P797" s="23" t="inlineStr">
        <is>
          <t>Single Carrier (Band n50, 100MHz TDD)</t>
        </is>
      </c>
      <c r="Q797" s="27">
        <f>ROUNDUP(O797/'Methodology &amp; Assumptions'!$B$8, 0)</f>
        <v/>
      </c>
      <c r="R797" s="27" t="n">
        <v>1</v>
      </c>
      <c r="S797" s="26" t="n">
        <v>0.63</v>
      </c>
      <c r="T797" s="26" t="n">
        <v>10.7</v>
      </c>
      <c r="U797" s="11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26" t="n">
        <v>82.97</v>
      </c>
      <c r="W797" s="26" t="n">
        <v>50.49</v>
      </c>
      <c r="X797" s="26">
        <f>ROUND(('Methodology &amp; Assumptions'!$B$5*V797) + ('Methodology &amp; Assumptions'!$B$6*W797), 2)</f>
        <v/>
      </c>
      <c r="Y797" s="28" t="n">
        <v>8.300000000000001</v>
      </c>
      <c r="Z797" s="11" t="inlineStr">
        <is>
          <t>Priority Tier 2 (Balanced Opportunity)</t>
        </is>
      </c>
    </row>
    <row r="798">
      <c r="A798" s="23" t="n">
        <v>1</v>
      </c>
      <c r="B798" s="23" t="n">
        <v>794</v>
      </c>
      <c r="C798" s="23" t="n">
        <v>794</v>
      </c>
      <c r="D798" s="23" t="inlineStr">
        <is>
          <t>1102403030</t>
        </is>
      </c>
      <c r="E798" s="11" t="inlineStr">
        <is>
          <t>Region XI (Davao Region)</t>
        </is>
      </c>
      <c r="F798" s="11" t="inlineStr">
        <is>
          <t>Davao del Sur</t>
        </is>
      </c>
      <c r="G798" s="11" t="inlineStr">
        <is>
          <t>City of Digos</t>
        </is>
      </c>
      <c r="H798" s="11" t="inlineStr">
        <is>
          <t>Zone 3</t>
        </is>
      </c>
      <c r="I798" s="24" t="n">
        <v>6.74539</v>
      </c>
      <c r="J798" s="24" t="n">
        <v>125.35709</v>
      </c>
      <c r="K798" s="23" t="inlineStr">
        <is>
          <t>U</t>
        </is>
      </c>
      <c r="L798" s="25" t="n">
        <v>18722</v>
      </c>
      <c r="M798" s="26" t="n">
        <v>3.4</v>
      </c>
      <c r="N798" s="25">
        <f>ROUND(L798/M798, 0)</f>
        <v/>
      </c>
      <c r="O798" s="25">
        <f>ROUND(N798*'Methodology &amp; Assumptions'!$B$7, 0)</f>
        <v/>
      </c>
      <c r="P798" s="23" t="inlineStr">
        <is>
          <t>Single Carrier (Band n50, 100MHz TDD)</t>
        </is>
      </c>
      <c r="Q798" s="27">
        <f>ROUNDUP(O798/'Methodology &amp; Assumptions'!$B$8, 0)</f>
        <v/>
      </c>
      <c r="R798" s="27" t="n">
        <v>1</v>
      </c>
      <c r="S798" s="26" t="n">
        <v>1.08</v>
      </c>
      <c r="T798" s="26" t="n">
        <v>0.78</v>
      </c>
      <c r="U798" s="11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26" t="n">
        <v>78.95</v>
      </c>
      <c r="W798" s="26" t="n">
        <v>54.5</v>
      </c>
      <c r="X798" s="26">
        <f>ROUND(('Methodology &amp; Assumptions'!$B$5*V798) + ('Methodology &amp; Assumptions'!$B$6*W798), 2)</f>
        <v/>
      </c>
      <c r="Y798" s="28" t="n">
        <v>17.4</v>
      </c>
      <c r="Z798" s="11" t="inlineStr">
        <is>
          <t>Priority Tier 2 (Balanced Opportunity)</t>
        </is>
      </c>
    </row>
    <row r="799">
      <c r="A799" s="23" t="n">
        <v>1</v>
      </c>
      <c r="B799" s="23" t="n">
        <v>795</v>
      </c>
      <c r="C799" s="23" t="n">
        <v>795</v>
      </c>
      <c r="D799" s="23" t="inlineStr">
        <is>
          <t>1208006012</t>
        </is>
      </c>
      <c r="E799" s="11" t="inlineStr">
        <is>
          <t>Region XII (SOCCSKSARGEN)</t>
        </is>
      </c>
      <c r="F799" s="11" t="inlineStr">
        <is>
          <t>Sarangani</t>
        </is>
      </c>
      <c r="G799" s="11" t="inlineStr">
        <is>
          <t>Malapatan</t>
        </is>
      </c>
      <c r="H799" s="11" t="inlineStr">
        <is>
          <t>Upper Suyan</t>
        </is>
      </c>
      <c r="I799" s="24" t="n">
        <v>6.082309</v>
      </c>
      <c r="J799" s="24" t="n">
        <v>125.472715</v>
      </c>
      <c r="K799" s="23" t="inlineStr">
        <is>
          <t>R</t>
        </is>
      </c>
      <c r="L799" s="25" t="n">
        <v>4980</v>
      </c>
      <c r="M799" s="26" t="n">
        <v>3.9</v>
      </c>
      <c r="N799" s="25">
        <f>ROUND(L799/M799, 0)</f>
        <v/>
      </c>
      <c r="O799" s="25">
        <f>ROUND(N799*'Methodology &amp; Assumptions'!$B$7, 0)</f>
        <v/>
      </c>
      <c r="P799" s="23" t="inlineStr">
        <is>
          <t>Single Carrier (Band n50, 100MHz TDD)</t>
        </is>
      </c>
      <c r="Q799" s="27">
        <f>ROUNDUP(O799/'Methodology &amp; Assumptions'!$B$8, 0)</f>
        <v/>
      </c>
      <c r="R799" s="27" t="n">
        <v>1</v>
      </c>
      <c r="S799" s="26" t="n">
        <v>21.68</v>
      </c>
      <c r="T799" s="26" t="n">
        <v>29.04</v>
      </c>
      <c r="U799" s="11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26" t="n">
        <v>61.82</v>
      </c>
      <c r="W799" s="26" t="n">
        <v>71.64</v>
      </c>
      <c r="X799" s="26">
        <f>ROUND(('Methodology &amp; Assumptions'!$B$5*V799) + ('Methodology &amp; Assumptions'!$B$6*W799), 2)</f>
        <v/>
      </c>
      <c r="Y799" s="28" t="n">
        <v>17.4</v>
      </c>
      <c r="Z799" s="11" t="inlineStr">
        <is>
          <t>Priority Tier 2 (Balanced Opportunity)</t>
        </is>
      </c>
    </row>
    <row r="800">
      <c r="A800" s="23" t="n">
        <v>1</v>
      </c>
      <c r="B800" s="23" t="n">
        <v>796</v>
      </c>
      <c r="C800" s="23" t="n">
        <v>796</v>
      </c>
      <c r="D800" s="23" t="inlineStr">
        <is>
          <t>1004315008</t>
        </is>
      </c>
      <c r="E800" s="11" t="inlineStr">
        <is>
          <t>Region X (Northern Mindanao)</t>
        </is>
      </c>
      <c r="F800" s="11" t="inlineStr">
        <is>
          <t>Misamis Oriental</t>
        </is>
      </c>
      <c r="G800" s="11" t="inlineStr">
        <is>
          <t>Libertad</t>
        </is>
      </c>
      <c r="H800" s="11" t="inlineStr">
        <is>
          <t>Tangcub</t>
        </is>
      </c>
      <c r="I800" s="24" t="n">
        <v>8.5229</v>
      </c>
      <c r="J800" s="24" t="n">
        <v>124.3845</v>
      </c>
      <c r="K800" s="23" t="inlineStr">
        <is>
          <t>R</t>
        </is>
      </c>
      <c r="L800" s="25" t="n">
        <v>1075</v>
      </c>
      <c r="M800" s="26" t="n">
        <v>3.9</v>
      </c>
      <c r="N800" s="25">
        <f>ROUND(L800/M800, 0)</f>
        <v/>
      </c>
      <c r="O800" s="25">
        <f>ROUND(N800*'Methodology &amp; Assumptions'!$B$7, 0)</f>
        <v/>
      </c>
      <c r="P800" s="23" t="inlineStr">
        <is>
          <t>Single Carrier (Band n50, 100MHz TDD)</t>
        </is>
      </c>
      <c r="Q800" s="27">
        <f>ROUNDUP(O800/'Methodology &amp; Assumptions'!$B$8, 0)</f>
        <v/>
      </c>
      <c r="R800" s="27" t="n">
        <v>1</v>
      </c>
      <c r="S800" s="26" t="n">
        <v>5.38</v>
      </c>
      <c r="T800" s="26" t="n">
        <v>5.44</v>
      </c>
      <c r="U800" s="11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26" t="n">
        <v>56.14</v>
      </c>
      <c r="W800" s="26" t="n">
        <v>77.31</v>
      </c>
      <c r="X800" s="26">
        <f>ROUND(('Methodology &amp; Assumptions'!$B$5*V800) + ('Methodology &amp; Assumptions'!$B$6*W800), 2)</f>
        <v/>
      </c>
      <c r="Y800" s="28" t="n">
        <v>17.4</v>
      </c>
      <c r="Z800" s="11" t="inlineStr">
        <is>
          <t>Priority Tier 2 (Balanced Opportunity)</t>
        </is>
      </c>
    </row>
    <row r="801">
      <c r="A801" s="23" t="n">
        <v>1</v>
      </c>
      <c r="B801" s="23" t="n">
        <v>797</v>
      </c>
      <c r="C801" s="23" t="n">
        <v>797</v>
      </c>
      <c r="D801" s="23" t="inlineStr">
        <is>
          <t>0301411015</t>
        </is>
      </c>
      <c r="E801" s="11" t="inlineStr">
        <is>
          <t>Region III (Central Luzon)</t>
        </is>
      </c>
      <c r="F801" s="11" t="inlineStr">
        <is>
          <t>Bulacan</t>
        </is>
      </c>
      <c r="G801" s="11" t="inlineStr">
        <is>
          <t>Marilao</t>
        </is>
      </c>
      <c r="H801" s="11" t="inlineStr">
        <is>
          <t>Saog</t>
        </is>
      </c>
      <c r="I801" s="24" t="n">
        <v>14.763467</v>
      </c>
      <c r="J801" s="24" t="n">
        <v>120.954647</v>
      </c>
      <c r="K801" s="23" t="inlineStr">
        <is>
          <t>U</t>
        </is>
      </c>
      <c r="L801" s="25" t="n">
        <v>16319</v>
      </c>
      <c r="M801" s="26" t="n">
        <v>3.5</v>
      </c>
      <c r="N801" s="25">
        <f>ROUND(L801/M801, 0)</f>
        <v/>
      </c>
      <c r="O801" s="25">
        <f>ROUND(N801*'Methodology &amp; Assumptions'!$B$7, 0)</f>
        <v/>
      </c>
      <c r="P801" s="23" t="inlineStr">
        <is>
          <t>Single Carrier (Band n50, 100MHz TDD)</t>
        </is>
      </c>
      <c r="Q801" s="27">
        <f>ROUNDUP(O801/'Methodology &amp; Assumptions'!$B$8, 0)</f>
        <v/>
      </c>
      <c r="R801" s="27" t="n">
        <v>1</v>
      </c>
      <c r="S801" s="26" t="n">
        <v>1.55</v>
      </c>
      <c r="T801" s="26" t="n">
        <v>0.45</v>
      </c>
      <c r="U801" s="11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26" t="n">
        <v>75.76000000000001</v>
      </c>
      <c r="W801" s="26" t="n">
        <v>57.67</v>
      </c>
      <c r="X801" s="26">
        <f>ROUND(('Methodology &amp; Assumptions'!$B$5*V801) + ('Methodology &amp; Assumptions'!$B$6*W801), 2)</f>
        <v/>
      </c>
      <c r="Y801" s="28" t="n">
        <v>8.300000000000001</v>
      </c>
      <c r="Z801" s="11" t="inlineStr">
        <is>
          <t>Priority Tier 2 (Balanced Opportunity)</t>
        </is>
      </c>
    </row>
    <row r="802">
      <c r="A802" s="23" t="n">
        <v>1</v>
      </c>
      <c r="B802" s="23" t="n">
        <v>798</v>
      </c>
      <c r="C802" s="23" t="n">
        <v>798</v>
      </c>
      <c r="D802" s="23" t="inlineStr">
        <is>
          <t>1381400009</t>
        </is>
      </c>
      <c r="E802" s="11" t="inlineStr">
        <is>
          <t>National Capital Region (NCR)</t>
        </is>
      </c>
      <c r="F802" s="11" t="inlineStr">
        <is>
          <t>Second District (Not a Province)</t>
        </is>
      </c>
      <c r="G802" s="11" t="inlineStr">
        <is>
          <t>City of San Juan</t>
        </is>
      </c>
      <c r="H802" s="11" t="inlineStr">
        <is>
          <t>Little Baguio</t>
        </is>
      </c>
      <c r="I802" s="24" t="n">
        <v>14.600778</v>
      </c>
      <c r="J802" s="24" t="n">
        <v>121.038302</v>
      </c>
      <c r="K802" s="23" t="inlineStr">
        <is>
          <t>U</t>
        </is>
      </c>
      <c r="L802" s="25" t="n">
        <v>6643</v>
      </c>
      <c r="M802" s="26" t="n">
        <v>3.24</v>
      </c>
      <c r="N802" s="25">
        <f>ROUND(L802/M802, 0)</f>
        <v/>
      </c>
      <c r="O802" s="25">
        <f>ROUND(N802*'Methodology &amp; Assumptions'!$B$7, 0)</f>
        <v/>
      </c>
      <c r="P802" s="23" t="inlineStr">
        <is>
          <t>Single Carrier (Band n50, 100MHz TDD)</t>
        </is>
      </c>
      <c r="Q802" s="27">
        <f>ROUNDUP(O802/'Methodology &amp; Assumptions'!$B$8, 0)</f>
        <v/>
      </c>
      <c r="R802" s="27" t="n">
        <v>1</v>
      </c>
      <c r="S802" s="26" t="n">
        <v>1.29</v>
      </c>
      <c r="T802" s="26" t="n">
        <v>0.12</v>
      </c>
      <c r="U802" s="11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26" t="n">
        <v>67.39</v>
      </c>
      <c r="W802" s="26" t="n">
        <v>66.06</v>
      </c>
      <c r="X802" s="26">
        <f>ROUND(('Methodology &amp; Assumptions'!$B$5*V802) + ('Methodology &amp; Assumptions'!$B$6*W802), 2)</f>
        <v/>
      </c>
      <c r="Y802" s="28" t="n">
        <v>10.9</v>
      </c>
      <c r="Z802" s="11" t="inlineStr">
        <is>
          <t>Priority Tier 2 (Balanced Opportunity)</t>
        </is>
      </c>
    </row>
    <row r="803">
      <c r="A803" s="23" t="n">
        <v>1</v>
      </c>
      <c r="B803" s="23" t="n">
        <v>799</v>
      </c>
      <c r="C803" s="23" t="n">
        <v>799</v>
      </c>
      <c r="D803" s="23" t="inlineStr">
        <is>
          <t>0300809015</t>
        </is>
      </c>
      <c r="E803" s="11" t="inlineStr">
        <is>
          <t>Region III (Central Luzon)</t>
        </is>
      </c>
      <c r="F803" s="11" t="inlineStr">
        <is>
          <t>Bataan</t>
        </is>
      </c>
      <c r="G803" s="11" t="inlineStr">
        <is>
          <t>Orani</t>
        </is>
      </c>
      <c r="H803" s="11" t="inlineStr">
        <is>
          <t>Parang Parang</t>
        </is>
      </c>
      <c r="I803" s="24" t="n">
        <v>14.796304</v>
      </c>
      <c r="J803" s="24" t="n">
        <v>120.538588</v>
      </c>
      <c r="K803" s="23" t="inlineStr">
        <is>
          <t>U</t>
        </is>
      </c>
      <c r="L803" s="25" t="n">
        <v>1363</v>
      </c>
      <c r="M803" s="26" t="n">
        <v>3.6</v>
      </c>
      <c r="N803" s="25">
        <f>ROUND(L803/M803, 0)</f>
        <v/>
      </c>
      <c r="O803" s="25">
        <f>ROUND(N803*'Methodology &amp; Assumptions'!$B$7, 0)</f>
        <v/>
      </c>
      <c r="P803" s="23" t="inlineStr">
        <is>
          <t>Single Carrier (Band n50, 100MHz TDD)</t>
        </is>
      </c>
      <c r="Q803" s="27">
        <f>ROUNDUP(O803/'Methodology &amp; Assumptions'!$B$8, 0)</f>
        <v/>
      </c>
      <c r="R803" s="27" t="n">
        <v>1</v>
      </c>
      <c r="S803" s="26" t="n">
        <v>0.6899999999999999</v>
      </c>
      <c r="T803" s="26" t="n">
        <v>0.1</v>
      </c>
      <c r="U803" s="11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26" t="n">
        <v>64.18000000000001</v>
      </c>
      <c r="W803" s="26" t="n">
        <v>69.26000000000001</v>
      </c>
      <c r="X803" s="26">
        <f>ROUND(('Methodology &amp; Assumptions'!$B$5*V803) + ('Methodology &amp; Assumptions'!$B$6*W803), 2)</f>
        <v/>
      </c>
      <c r="Y803" s="28" t="n">
        <v>8.300000000000001</v>
      </c>
      <c r="Z803" s="11" t="inlineStr">
        <is>
          <t>Priority Tier 2 (Balanced Opportunity)</t>
        </is>
      </c>
    </row>
    <row r="804">
      <c r="A804" s="23" t="n">
        <v>1</v>
      </c>
      <c r="B804" s="23" t="n">
        <v>800</v>
      </c>
      <c r="C804" s="23" t="n">
        <v>800</v>
      </c>
      <c r="D804" s="23" t="inlineStr">
        <is>
          <t>1380601011</t>
        </is>
      </c>
      <c r="E804" s="11" t="inlineStr">
        <is>
          <t>National Capital Region (NCR)</t>
        </is>
      </c>
      <c r="F804" s="11" t="inlineStr">
        <is>
          <t>First District (Not a Province)</t>
        </is>
      </c>
      <c r="G804" s="11" t="inlineStr">
        <is>
          <t>City of Manila</t>
        </is>
      </c>
      <c r="H804" s="11" t="inlineStr">
        <is>
          <t>Barangay 11</t>
        </is>
      </c>
      <c r="I804" s="24" t="n">
        <v>14.601735</v>
      </c>
      <c r="J804" s="24" t="n">
        <v>120.96639</v>
      </c>
      <c r="K804" s="23" t="inlineStr">
        <is>
          <t>U</t>
        </is>
      </c>
      <c r="L804" s="25" t="n">
        <v>2790</v>
      </c>
      <c r="M804" s="26" t="n">
        <v>5.09</v>
      </c>
      <c r="N804" s="25">
        <f>ROUND(L804/M804, 0)</f>
        <v/>
      </c>
      <c r="O804" s="25">
        <f>ROUND(N804*'Methodology &amp; Assumptions'!$B$7, 0)</f>
        <v/>
      </c>
      <c r="P804" s="23" t="inlineStr">
        <is>
          <t>Single Carrier (Band n50, 100MHz TDD)</t>
        </is>
      </c>
      <c r="Q804" s="27">
        <f>ROUNDUP(O804/'Methodology &amp; Assumptions'!$B$8, 0)</f>
        <v/>
      </c>
      <c r="R804" s="27" t="n">
        <v>1</v>
      </c>
      <c r="S804" s="26" t="n">
        <v>0.66</v>
      </c>
      <c r="T804" s="26" t="n">
        <v>0.66</v>
      </c>
      <c r="U804" s="11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26" t="n">
        <v>58.66</v>
      </c>
      <c r="W804" s="26" t="n">
        <v>74.78</v>
      </c>
      <c r="X804" s="26">
        <f>ROUND(('Methodology &amp; Assumptions'!$B$5*V804) + ('Methodology &amp; Assumptions'!$B$6*W804), 2)</f>
        <v/>
      </c>
      <c r="Y804" s="28" t="n">
        <v>10.9</v>
      </c>
      <c r="Z804" s="11" t="inlineStr">
        <is>
          <t>Priority Tier 2 (Balanced Opportunity)</t>
        </is>
      </c>
    </row>
    <row r="805">
      <c r="A805" s="23" t="n">
        <v>1</v>
      </c>
      <c r="B805" s="23" t="n">
        <v>801</v>
      </c>
      <c r="C805" s="23" t="n">
        <v>801</v>
      </c>
      <c r="D805" s="23" t="inlineStr">
        <is>
          <t>1108601008</t>
        </is>
      </c>
      <c r="E805" s="11" t="inlineStr">
        <is>
          <t>Region XI (Davao Region)</t>
        </is>
      </c>
      <c r="F805" s="11" t="inlineStr">
        <is>
          <t>Davao Occidental</t>
        </is>
      </c>
      <c r="G805" s="11" t="inlineStr">
        <is>
          <t>Don Marcelino</t>
        </is>
      </c>
      <c r="H805" s="11" t="inlineStr">
        <is>
          <t>Dalupan</t>
        </is>
      </c>
      <c r="I805" s="24" t="n">
        <v>6.184728</v>
      </c>
      <c r="J805" s="24" t="n">
        <v>125.612282</v>
      </c>
      <c r="K805" s="23" t="inlineStr">
        <is>
          <t>R</t>
        </is>
      </c>
      <c r="L805" s="25" t="n">
        <v>3750</v>
      </c>
      <c r="M805" s="26" t="n">
        <v>3.6</v>
      </c>
      <c r="N805" s="25">
        <f>ROUND(L805/M805, 0)</f>
        <v/>
      </c>
      <c r="O805" s="25">
        <f>ROUND(N805*'Methodology &amp; Assumptions'!$B$7, 0)</f>
        <v/>
      </c>
      <c r="P805" s="23" t="inlineStr">
        <is>
          <t>Single Carrier (Band n50, 100MHz TDD)</t>
        </is>
      </c>
      <c r="Q805" s="27">
        <f>ROUNDUP(O805/'Methodology &amp; Assumptions'!$B$8, 0)</f>
        <v/>
      </c>
      <c r="R805" s="27" t="n">
        <v>1</v>
      </c>
      <c r="S805" s="26" t="n">
        <v>38.01</v>
      </c>
      <c r="T805" s="26" t="n">
        <v>39.74</v>
      </c>
      <c r="U805" s="11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26" t="n">
        <v>61.82</v>
      </c>
      <c r="W805" s="26" t="n">
        <v>71.61</v>
      </c>
      <c r="X805" s="26">
        <f>ROUND(('Methodology &amp; Assumptions'!$B$5*V805) + ('Methodology &amp; Assumptions'!$B$6*W805), 2)</f>
        <v/>
      </c>
      <c r="Y805" s="28" t="n">
        <v>17.4</v>
      </c>
      <c r="Z805" s="11" t="inlineStr">
        <is>
          <t>Priority Tier 2 (Balanced Opportunity)</t>
        </is>
      </c>
    </row>
    <row r="806">
      <c r="A806" s="23" t="n">
        <v>1</v>
      </c>
      <c r="B806" s="23" t="n">
        <v>802</v>
      </c>
      <c r="C806" s="23" t="n">
        <v>802</v>
      </c>
      <c r="D806" s="23" t="inlineStr">
        <is>
          <t>1380601226</t>
        </is>
      </c>
      <c r="E806" s="11" t="inlineStr">
        <is>
          <t>National Capital Region (NCR)</t>
        </is>
      </c>
      <c r="F806" s="11" t="inlineStr">
        <is>
          <t>First District (Not a Province)</t>
        </is>
      </c>
      <c r="G806" s="11" t="inlineStr">
        <is>
          <t>City of Manila</t>
        </is>
      </c>
      <c r="H806" s="11" t="inlineStr">
        <is>
          <t>Barangay 225</t>
        </is>
      </c>
      <c r="I806" s="24" t="n">
        <v>14.618076</v>
      </c>
      <c r="J806" s="24" t="n">
        <v>120.978469</v>
      </c>
      <c r="K806" s="23" t="inlineStr">
        <is>
          <t>U</t>
        </is>
      </c>
      <c r="L806" s="25" t="n">
        <v>2275</v>
      </c>
      <c r="M806" s="26" t="n">
        <v>3.53</v>
      </c>
      <c r="N806" s="25">
        <f>ROUND(L806/M806, 0)</f>
        <v/>
      </c>
      <c r="O806" s="25">
        <f>ROUND(N806*'Methodology &amp; Assumptions'!$B$7, 0)</f>
        <v/>
      </c>
      <c r="P806" s="23" t="inlineStr">
        <is>
          <t>Single Carrier (Band n50, 100MHz TDD)</t>
        </is>
      </c>
      <c r="Q806" s="27">
        <f>ROUNDUP(O806/'Methodology &amp; Assumptions'!$B$8, 0)</f>
        <v/>
      </c>
      <c r="R806" s="27" t="n">
        <v>1</v>
      </c>
      <c r="S806" s="26" t="n">
        <v>0.5</v>
      </c>
      <c r="T806" s="26" t="n">
        <v>0.19</v>
      </c>
      <c r="U806" s="11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26" t="n">
        <v>61.77</v>
      </c>
      <c r="W806" s="26" t="n">
        <v>71.66</v>
      </c>
      <c r="X806" s="26">
        <f>ROUND(('Methodology &amp; Assumptions'!$B$5*V806) + ('Methodology &amp; Assumptions'!$B$6*W806), 2)</f>
        <v/>
      </c>
      <c r="Y806" s="28" t="n">
        <v>10.9</v>
      </c>
      <c r="Z806" s="11" t="inlineStr">
        <is>
          <t>Priority Tier 2 (Balanced Opportunity)</t>
        </is>
      </c>
    </row>
    <row r="807">
      <c r="A807" s="23" t="n">
        <v>1</v>
      </c>
      <c r="B807" s="23" t="n">
        <v>803</v>
      </c>
      <c r="C807" s="23" t="n">
        <v>803</v>
      </c>
      <c r="D807" s="23" t="inlineStr">
        <is>
          <t>1380601026</t>
        </is>
      </c>
      <c r="E807" s="11" t="inlineStr">
        <is>
          <t>National Capital Region (NCR)</t>
        </is>
      </c>
      <c r="F807" s="11" t="inlineStr">
        <is>
          <t>First District (Not a Province)</t>
        </is>
      </c>
      <c r="G807" s="11" t="inlineStr">
        <is>
          <t>City of Manila</t>
        </is>
      </c>
      <c r="H807" s="11" t="inlineStr">
        <is>
          <t>Barangay 26</t>
        </is>
      </c>
      <c r="I807" s="24" t="n">
        <v>14.60523</v>
      </c>
      <c r="J807" s="24" t="n">
        <v>120.965137</v>
      </c>
      <c r="K807" s="23" t="inlineStr">
        <is>
          <t>U</t>
        </is>
      </c>
      <c r="L807" s="25" t="n">
        <v>2340</v>
      </c>
      <c r="M807" s="26" t="n">
        <v>4.03</v>
      </c>
      <c r="N807" s="25">
        <f>ROUND(L807/M807, 0)</f>
        <v/>
      </c>
      <c r="O807" s="25">
        <f>ROUND(N807*'Methodology &amp; Assumptions'!$B$7, 0)</f>
        <v/>
      </c>
      <c r="P807" s="23" t="inlineStr">
        <is>
          <t>Single Carrier (Band n50, 100MHz TDD)</t>
        </is>
      </c>
      <c r="Q807" s="27">
        <f>ROUNDUP(O807/'Methodology &amp; Assumptions'!$B$8, 0)</f>
        <v/>
      </c>
      <c r="R807" s="27" t="n">
        <v>1</v>
      </c>
      <c r="S807" s="26" t="n">
        <v>0.52</v>
      </c>
      <c r="T807" s="26" t="n">
        <v>0.52</v>
      </c>
      <c r="U807" s="11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26" t="n">
        <v>59.73</v>
      </c>
      <c r="W807" s="26" t="n">
        <v>73.66</v>
      </c>
      <c r="X807" s="26">
        <f>ROUND(('Methodology &amp; Assumptions'!$B$5*V807) + ('Methodology &amp; Assumptions'!$B$6*W807), 2)</f>
        <v/>
      </c>
      <c r="Y807" s="28" t="n">
        <v>10.9</v>
      </c>
      <c r="Z807" s="11" t="inlineStr">
        <is>
          <t>Priority Tier 2 (Balanced Opportunity)</t>
        </is>
      </c>
    </row>
    <row r="808">
      <c r="A808" s="23" t="n">
        <v>1</v>
      </c>
      <c r="B808" s="23" t="n">
        <v>804</v>
      </c>
      <c r="C808" s="23" t="n">
        <v>804</v>
      </c>
      <c r="D808" s="23" t="inlineStr">
        <is>
          <t>0402116012</t>
        </is>
      </c>
      <c r="E808" s="11" t="inlineStr">
        <is>
          <t>Region IV-A (CALABARZON)</t>
        </is>
      </c>
      <c r="F808" s="11" t="inlineStr">
        <is>
          <t>Cavite</t>
        </is>
      </c>
      <c r="G808" s="11" t="inlineStr">
        <is>
          <t>Noveleta</t>
        </is>
      </c>
      <c r="H808" s="11" t="inlineStr">
        <is>
          <t>San Jose II</t>
        </is>
      </c>
      <c r="I808" s="24" t="n">
        <v>14.431197</v>
      </c>
      <c r="J808" s="24" t="n">
        <v>120.885889</v>
      </c>
      <c r="K808" s="23" t="inlineStr">
        <is>
          <t>R</t>
        </is>
      </c>
      <c r="L808" s="25" t="n">
        <v>1941</v>
      </c>
      <c r="M808" s="26" t="n">
        <v>3.4</v>
      </c>
      <c r="N808" s="25">
        <f>ROUND(L808/M808, 0)</f>
        <v/>
      </c>
      <c r="O808" s="25">
        <f>ROUND(N808*'Methodology &amp; Assumptions'!$B$7, 0)</f>
        <v/>
      </c>
      <c r="P808" s="23" t="inlineStr">
        <is>
          <t>Single Carrier (Band n50, 100MHz TDD)</t>
        </is>
      </c>
      <c r="Q808" s="27">
        <f>ROUNDUP(O808/'Methodology &amp; Assumptions'!$B$8, 0)</f>
        <v/>
      </c>
      <c r="R808" s="27" t="n">
        <v>1</v>
      </c>
      <c r="S808" s="26" t="n">
        <v>0.36</v>
      </c>
      <c r="T808" s="26" t="n">
        <v>0.13</v>
      </c>
      <c r="U808" s="11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26" t="n">
        <v>77.45999999999999</v>
      </c>
      <c r="W808" s="26" t="n">
        <v>55.93</v>
      </c>
      <c r="X808" s="26">
        <f>ROUND(('Methodology &amp; Assumptions'!$B$5*V808) + ('Methodology &amp; Assumptions'!$B$6*W808), 2)</f>
        <v/>
      </c>
      <c r="Y808" s="28" t="n">
        <v>7.2</v>
      </c>
      <c r="Z808" s="11" t="inlineStr">
        <is>
          <t>Priority Tier 2 (Balanced Opportunity)</t>
        </is>
      </c>
    </row>
    <row r="809">
      <c r="A809" s="23" t="n">
        <v>1</v>
      </c>
      <c r="B809" s="23" t="n">
        <v>805</v>
      </c>
      <c r="C809" s="23" t="n">
        <v>805</v>
      </c>
      <c r="D809" s="23" t="inlineStr">
        <is>
          <t>1380300023</t>
        </is>
      </c>
      <c r="E809" s="11" t="inlineStr">
        <is>
          <t>National Capital Region (NCR)</t>
        </is>
      </c>
      <c r="F809" s="11" t="inlineStr">
        <is>
          <t>Fourth District (Not a Province)</t>
        </is>
      </c>
      <c r="G809" s="11" t="inlineStr">
        <is>
          <t>City of Makati</t>
        </is>
      </c>
      <c r="H809" s="11" t="inlineStr">
        <is>
          <t>San Antonio</t>
        </is>
      </c>
      <c r="I809" s="24" t="n">
        <v>14.56224</v>
      </c>
      <c r="J809" s="24" t="n">
        <v>121.0086</v>
      </c>
      <c r="K809" s="23" t="inlineStr">
        <is>
          <t>U</t>
        </is>
      </c>
      <c r="L809" s="25" t="n">
        <v>18012</v>
      </c>
      <c r="M809" s="26" t="n">
        <v>3.54</v>
      </c>
      <c r="N809" s="25">
        <f>ROUND(L809/M809, 0)</f>
        <v/>
      </c>
      <c r="O809" s="25">
        <f>ROUND(N809*'Methodology &amp; Assumptions'!$B$7, 0)</f>
        <v/>
      </c>
      <c r="P809" s="23" t="inlineStr">
        <is>
          <t>Single Carrier (Band n50, 100MHz TDD)</t>
        </is>
      </c>
      <c r="Q809" s="27">
        <f>ROUNDUP(O809/'Methodology &amp; Assumptions'!$B$8, 0)</f>
        <v/>
      </c>
      <c r="R809" s="27" t="n">
        <v>1</v>
      </c>
      <c r="S809" s="26" t="n">
        <v>1.42</v>
      </c>
      <c r="T809" s="26" t="n">
        <v>0.25</v>
      </c>
      <c r="U809" s="11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26" t="n">
        <v>66.42</v>
      </c>
      <c r="W809" s="26" t="n">
        <v>66.97</v>
      </c>
      <c r="X809" s="26">
        <f>ROUND(('Methodology &amp; Assumptions'!$B$5*V809) + ('Methodology &amp; Assumptions'!$B$6*W809), 2)</f>
        <v/>
      </c>
      <c r="Y809" s="28" t="n">
        <v>10.9</v>
      </c>
      <c r="Z809" s="11" t="inlineStr">
        <is>
          <t>Priority Tier 2 (Balanced Opportunity)</t>
        </is>
      </c>
    </row>
    <row r="810">
      <c r="A810" s="23" t="n">
        <v>1</v>
      </c>
      <c r="B810" s="23" t="n">
        <v>806</v>
      </c>
      <c r="C810" s="23" t="n">
        <v>806</v>
      </c>
      <c r="D810" s="23" t="inlineStr">
        <is>
          <t>1380601066</t>
        </is>
      </c>
      <c r="E810" s="11" t="inlineStr">
        <is>
          <t>National Capital Region (NCR)</t>
        </is>
      </c>
      <c r="F810" s="11" t="inlineStr">
        <is>
          <t>First District (Not a Province)</t>
        </is>
      </c>
      <c r="G810" s="11" t="inlineStr">
        <is>
          <t>City of Manila</t>
        </is>
      </c>
      <c r="H810" s="11" t="inlineStr">
        <is>
          <t>Barangay 66</t>
        </is>
      </c>
      <c r="I810" s="24" t="n">
        <v>14.65199</v>
      </c>
      <c r="J810" s="24" t="n">
        <v>120.9786</v>
      </c>
      <c r="K810" s="23" t="inlineStr">
        <is>
          <t>U</t>
        </is>
      </c>
      <c r="L810" s="25" t="n">
        <v>3388</v>
      </c>
      <c r="M810" s="26" t="n">
        <v>4.92</v>
      </c>
      <c r="N810" s="25">
        <f>ROUND(L810/M810, 0)</f>
        <v/>
      </c>
      <c r="O810" s="25">
        <f>ROUND(N810*'Methodology &amp; Assumptions'!$B$7, 0)</f>
        <v/>
      </c>
      <c r="P810" s="23" t="inlineStr">
        <is>
          <t>Single Carrier (Band n50, 100MHz TDD)</t>
        </is>
      </c>
      <c r="Q810" s="27">
        <f>ROUNDUP(O810/'Methodology &amp; Assumptions'!$B$8, 0)</f>
        <v/>
      </c>
      <c r="R810" s="27" t="n">
        <v>1</v>
      </c>
      <c r="S810" s="26" t="n">
        <v>0.6899999999999999</v>
      </c>
      <c r="T810" s="26" t="n">
        <v>0.13</v>
      </c>
      <c r="U810" s="11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26" t="n">
        <v>63.26</v>
      </c>
      <c r="W810" s="26" t="n">
        <v>70.11</v>
      </c>
      <c r="X810" s="26">
        <f>ROUND(('Methodology &amp; Assumptions'!$B$5*V810) + ('Methodology &amp; Assumptions'!$B$6*W810), 2)</f>
        <v/>
      </c>
      <c r="Y810" s="28" t="n">
        <v>10.9</v>
      </c>
      <c r="Z810" s="11" t="inlineStr">
        <is>
          <t>Priority Tier 2 (Balanced Opportunity)</t>
        </is>
      </c>
    </row>
    <row r="811">
      <c r="A811" s="23" t="n">
        <v>1</v>
      </c>
      <c r="B811" s="23" t="n">
        <v>807</v>
      </c>
      <c r="C811" s="23" t="n">
        <v>807</v>
      </c>
      <c r="D811" s="23" t="inlineStr">
        <is>
          <t>0205008020</t>
        </is>
      </c>
      <c r="E811" s="11" t="inlineStr">
        <is>
          <t>Region II (Cagayan Valley)</t>
        </is>
      </c>
      <c r="F811" s="11" t="inlineStr">
        <is>
          <t>Nueva Vizcaya</t>
        </is>
      </c>
      <c r="G811" s="11" t="inlineStr">
        <is>
          <t>Dupax del Sur</t>
        </is>
      </c>
      <c r="H811" s="11" t="inlineStr">
        <is>
          <t>Kinabuan</t>
        </is>
      </c>
      <c r="I811" s="24" t="n">
        <v>16.216919</v>
      </c>
      <c r="J811" s="24" t="n">
        <v>121.159584</v>
      </c>
      <c r="K811" s="23" t="inlineStr">
        <is>
          <t>R</t>
        </is>
      </c>
      <c r="L811" s="25" t="n">
        <v>1412</v>
      </c>
      <c r="M811" s="26" t="n">
        <v>3.8</v>
      </c>
      <c r="N811" s="25">
        <f>ROUND(L811/M811, 0)</f>
        <v/>
      </c>
      <c r="O811" s="25">
        <f>ROUND(N811*'Methodology &amp; Assumptions'!$B$7, 0)</f>
        <v/>
      </c>
      <c r="P811" s="23" t="inlineStr">
        <is>
          <t>Single Carrier (Band n50, 100MHz TDD)</t>
        </is>
      </c>
      <c r="Q811" s="27">
        <f>ROUNDUP(O811/'Methodology &amp; Assumptions'!$B$8, 0)</f>
        <v/>
      </c>
      <c r="R811" s="27" t="n">
        <v>1</v>
      </c>
      <c r="S811" s="26" t="n">
        <v>6.09</v>
      </c>
      <c r="T811" s="26" t="n">
        <v>15.22</v>
      </c>
      <c r="U811" s="11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26" t="n">
        <v>54.5</v>
      </c>
      <c r="W811" s="26" t="n">
        <v>78.89</v>
      </c>
      <c r="X811" s="26">
        <f>ROUND(('Methodology &amp; Assumptions'!$B$5*V811) + ('Methodology &amp; Assumptions'!$B$6*W811), 2)</f>
        <v/>
      </c>
      <c r="Y811" s="28" t="n">
        <v>8.300000000000001</v>
      </c>
      <c r="Z811" s="11" t="inlineStr">
        <is>
          <t>Priority Tier 2 (Balanced Opportunity)</t>
        </is>
      </c>
    </row>
    <row r="812">
      <c r="A812" s="23" t="n">
        <v>1</v>
      </c>
      <c r="B812" s="23" t="n">
        <v>808</v>
      </c>
      <c r="C812" s="23" t="n">
        <v>808</v>
      </c>
      <c r="D812" s="23" t="inlineStr">
        <is>
          <t>0301420045</t>
        </is>
      </c>
      <c r="E812" s="11" t="inlineStr">
        <is>
          <t>Region III (Central Luzon)</t>
        </is>
      </c>
      <c r="F812" s="11" t="inlineStr">
        <is>
          <t>Bulacan</t>
        </is>
      </c>
      <c r="G812" s="11" t="inlineStr">
        <is>
          <t>City of San Jose Del Monte</t>
        </is>
      </c>
      <c r="H812" s="11" t="inlineStr">
        <is>
          <t>San Manuel</t>
        </is>
      </c>
      <c r="I812" s="24" t="n">
        <v>14.781558</v>
      </c>
      <c r="J812" s="24" t="n">
        <v>121.068247</v>
      </c>
      <c r="K812" s="23" t="inlineStr">
        <is>
          <t>U</t>
        </is>
      </c>
      <c r="L812" s="25" t="n">
        <v>11950</v>
      </c>
      <c r="M812" s="26" t="n">
        <v>3.5</v>
      </c>
      <c r="N812" s="25">
        <f>ROUND(L812/M812, 0)</f>
        <v/>
      </c>
      <c r="O812" s="25">
        <f>ROUND(N812*'Methodology &amp; Assumptions'!$B$7, 0)</f>
        <v/>
      </c>
      <c r="P812" s="23" t="inlineStr">
        <is>
          <t>Single Carrier (Band n50, 100MHz TDD)</t>
        </is>
      </c>
      <c r="Q812" s="27">
        <f>ROUNDUP(O812/'Methodology &amp; Assumptions'!$B$8, 0)</f>
        <v/>
      </c>
      <c r="R812" s="27" t="n">
        <v>1</v>
      </c>
      <c r="S812" s="26" t="n">
        <v>1.83</v>
      </c>
      <c r="T812" s="26" t="n">
        <v>0.64</v>
      </c>
      <c r="U812" s="11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26" t="n">
        <v>74.78</v>
      </c>
      <c r="W812" s="26" t="n">
        <v>58.58</v>
      </c>
      <c r="X812" s="26">
        <f>ROUND(('Methodology &amp; Assumptions'!$B$5*V812) + ('Methodology &amp; Assumptions'!$B$6*W812), 2)</f>
        <v/>
      </c>
      <c r="Y812" s="28" t="n">
        <v>8.300000000000001</v>
      </c>
      <c r="Z812" s="11" t="inlineStr">
        <is>
          <t>Priority Tier 2 (Balanced Opportunity)</t>
        </is>
      </c>
    </row>
    <row r="813">
      <c r="A813" s="23" t="n">
        <v>1</v>
      </c>
      <c r="B813" s="23" t="n">
        <v>809</v>
      </c>
      <c r="C813" s="23" t="n">
        <v>809</v>
      </c>
      <c r="D813" s="23" t="inlineStr">
        <is>
          <t>1907005021</t>
        </is>
      </c>
      <c r="E813" s="11" t="inlineStr">
        <is>
          <t>Bangsamoro Autonomous Region In Muslim Mindanao (BARMM)</t>
        </is>
      </c>
      <c r="F813" s="11" t="inlineStr">
        <is>
          <t>Tawi-Tawi</t>
        </is>
      </c>
      <c r="G813" s="11" t="inlineStr">
        <is>
          <t>Sitangkai</t>
        </is>
      </c>
      <c r="H813" s="11" t="inlineStr">
        <is>
          <t>Imam Sapie</t>
        </is>
      </c>
      <c r="I813" s="24" t="n">
        <v>4.619723</v>
      </c>
      <c r="J813" s="24" t="n">
        <v>119.39036</v>
      </c>
      <c r="K813" s="23" t="inlineStr">
        <is>
          <t>R</t>
        </is>
      </c>
      <c r="L813" s="25" t="n">
        <v>5021</v>
      </c>
      <c r="M813" s="26" t="n">
        <v>5.8</v>
      </c>
      <c r="N813" s="25">
        <f>ROUND(L813/M813, 0)</f>
        <v/>
      </c>
      <c r="O813" s="25">
        <f>ROUND(N813*'Methodology &amp; Assumptions'!$B$7, 0)</f>
        <v/>
      </c>
      <c r="P813" s="23" t="inlineStr">
        <is>
          <t>Single Carrier (Band n50, 100MHz TDD)</t>
        </is>
      </c>
      <c r="Q813" s="27">
        <f>ROUNDUP(O813/'Methodology &amp; Assumptions'!$B$8, 0)</f>
        <v/>
      </c>
      <c r="R813" s="27" t="n">
        <v>1</v>
      </c>
      <c r="S813" s="26" t="n">
        <v>999</v>
      </c>
      <c r="T813" s="26" t="n">
        <v>999</v>
      </c>
      <c r="U813" s="11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26" t="n">
        <v>58.9</v>
      </c>
      <c r="W813" s="26" t="n">
        <v>74.45999999999999</v>
      </c>
      <c r="X813" s="26">
        <f>ROUND(('Methodology &amp; Assumptions'!$B$5*V813) + ('Methodology &amp; Assumptions'!$B$6*W813), 2)</f>
        <v/>
      </c>
      <c r="Y813" s="28" t="n">
        <v>11</v>
      </c>
      <c r="Z813" s="11" t="inlineStr">
        <is>
          <t>Priority Tier 2 (Balanced Opportunity)</t>
        </is>
      </c>
    </row>
    <row r="814">
      <c r="A814" s="23" t="n">
        <v>1</v>
      </c>
      <c r="B814" s="23" t="n">
        <v>810</v>
      </c>
      <c r="C814" s="23" t="n">
        <v>810</v>
      </c>
      <c r="D814" s="23" t="inlineStr">
        <is>
          <t>0403426023</t>
        </is>
      </c>
      <c r="E814" s="11" t="inlineStr">
        <is>
          <t>Region IV-A (CALABARZON)</t>
        </is>
      </c>
      <c r="F814" s="11" t="inlineStr">
        <is>
          <t>Laguna</t>
        </is>
      </c>
      <c r="G814" s="11" t="inlineStr">
        <is>
          <t>Santa Cruz</t>
        </is>
      </c>
      <c r="H814" s="11" t="inlineStr">
        <is>
          <t>Santisima Cruz</t>
        </is>
      </c>
      <c r="I814" s="24" t="n">
        <v>14.287778</v>
      </c>
      <c r="J814" s="24" t="n">
        <v>121.411194</v>
      </c>
      <c r="K814" s="23" t="inlineStr">
        <is>
          <t>U</t>
        </is>
      </c>
      <c r="L814" s="25" t="n">
        <v>10744</v>
      </c>
      <c r="M814" s="26" t="n">
        <v>3.3</v>
      </c>
      <c r="N814" s="25">
        <f>ROUND(L814/M814, 0)</f>
        <v/>
      </c>
      <c r="O814" s="25">
        <f>ROUND(N814*'Methodology &amp; Assumptions'!$B$7, 0)</f>
        <v/>
      </c>
      <c r="P814" s="23" t="inlineStr">
        <is>
          <t>Single Carrier (Band n50, 100MHz TDD)</t>
        </is>
      </c>
      <c r="Q814" s="27">
        <f>ROUNDUP(O814/'Methodology &amp; Assumptions'!$B$8, 0)</f>
        <v/>
      </c>
      <c r="R814" s="27" t="n">
        <v>1</v>
      </c>
      <c r="S814" s="26" t="n">
        <v>0.99</v>
      </c>
      <c r="T814" s="26" t="n">
        <v>0.9</v>
      </c>
      <c r="U814" s="11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26" t="n">
        <v>77.7</v>
      </c>
      <c r="W814" s="26" t="n">
        <v>55.62</v>
      </c>
      <c r="X814" s="26">
        <f>ROUND(('Methodology &amp; Assumptions'!$B$5*V814) + ('Methodology &amp; Assumptions'!$B$6*W814), 2)</f>
        <v/>
      </c>
      <c r="Y814" s="28" t="n">
        <v>7.2</v>
      </c>
      <c r="Z814" s="11" t="inlineStr">
        <is>
          <t>Priority Tier 2 (Balanced Opportunity)</t>
        </is>
      </c>
    </row>
    <row r="815">
      <c r="A815" s="23" t="n">
        <v>1</v>
      </c>
      <c r="B815" s="23" t="n">
        <v>811</v>
      </c>
      <c r="C815" s="23" t="n">
        <v>811</v>
      </c>
      <c r="D815" s="23" t="inlineStr">
        <is>
          <t>1380700012</t>
        </is>
      </c>
      <c r="E815" s="11" t="inlineStr">
        <is>
          <t>National Capital Region (NCR)</t>
        </is>
      </c>
      <c r="F815" s="11" t="inlineStr">
        <is>
          <t>Second District (Not a Province)</t>
        </is>
      </c>
      <c r="G815" s="11" t="inlineStr">
        <is>
          <t>City of Marikina</t>
        </is>
      </c>
      <c r="H815" s="11" t="inlineStr">
        <is>
          <t>Concepcion Dos</t>
        </is>
      </c>
      <c r="I815" s="24" t="n">
        <v>14.638335</v>
      </c>
      <c r="J815" s="24" t="n">
        <v>121.111716</v>
      </c>
      <c r="K815" s="23" t="inlineStr">
        <is>
          <t>U</t>
        </is>
      </c>
      <c r="L815" s="25" t="n">
        <v>25268</v>
      </c>
      <c r="M815" s="26" t="n">
        <v>4.21</v>
      </c>
      <c r="N815" s="25">
        <f>ROUND(L815/M815, 0)</f>
        <v/>
      </c>
      <c r="O815" s="25">
        <f>ROUND(N815*'Methodology &amp; Assumptions'!$B$7, 0)</f>
        <v/>
      </c>
      <c r="P815" s="23" t="inlineStr">
        <is>
          <t>Single Carrier (Band n50, 100MHz TDD)</t>
        </is>
      </c>
      <c r="Q815" s="27">
        <f>ROUNDUP(O815/'Methodology &amp; Assumptions'!$B$8, 0)</f>
        <v/>
      </c>
      <c r="R815" s="27" t="n">
        <v>1</v>
      </c>
      <c r="S815" s="26" t="n">
        <v>1.59</v>
      </c>
      <c r="T815" s="26" t="n">
        <v>0.24</v>
      </c>
      <c r="U815" s="11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26" t="n">
        <v>65.39</v>
      </c>
      <c r="W815" s="26" t="n">
        <v>67.92</v>
      </c>
      <c r="X815" s="26">
        <f>ROUND(('Methodology &amp; Assumptions'!$B$5*V815) + ('Methodology &amp; Assumptions'!$B$6*W815), 2)</f>
        <v/>
      </c>
      <c r="Y815" s="28" t="n">
        <v>10.9</v>
      </c>
      <c r="Z815" s="11" t="inlineStr">
        <is>
          <t>Priority Tier 2 (Balanced Opportunity)</t>
        </is>
      </c>
    </row>
    <row r="816">
      <c r="A816" s="23" t="n">
        <v>1</v>
      </c>
      <c r="B816" s="23" t="n">
        <v>812</v>
      </c>
      <c r="C816" s="23" t="n">
        <v>812</v>
      </c>
      <c r="D816" s="23" t="inlineStr">
        <is>
          <t>0307703004</t>
        </is>
      </c>
      <c r="E816" s="11" t="inlineStr">
        <is>
          <t>Region III (Central Luzon)</t>
        </is>
      </c>
      <c r="F816" s="11" t="inlineStr">
        <is>
          <t>Aurora</t>
        </is>
      </c>
      <c r="G816" s="11" t="inlineStr">
        <is>
          <t>Dilasag</t>
        </is>
      </c>
      <c r="H816" s="11" t="inlineStr">
        <is>
          <t>Dimaseset</t>
        </is>
      </c>
      <c r="I816" s="24" t="n">
        <v>16.43059</v>
      </c>
      <c r="J816" s="24" t="n">
        <v>122.100787</v>
      </c>
      <c r="K816" s="23" t="inlineStr">
        <is>
          <t>R</t>
        </is>
      </c>
      <c r="L816" s="25" t="n">
        <v>1085</v>
      </c>
      <c r="M816" s="26" t="n">
        <v>3.8</v>
      </c>
      <c r="N816" s="25">
        <f>ROUND(L816/M816, 0)</f>
        <v/>
      </c>
      <c r="O816" s="25">
        <f>ROUND(N816*'Methodology &amp; Assumptions'!$B$7, 0)</f>
        <v/>
      </c>
      <c r="P816" s="23" t="inlineStr">
        <is>
          <t>Single Carrier (Band n50, 100MHz TDD)</t>
        </is>
      </c>
      <c r="Q816" s="27">
        <f>ROUNDUP(O816/'Methodology &amp; Assumptions'!$B$8, 0)</f>
        <v/>
      </c>
      <c r="R816" s="27" t="n">
        <v>1</v>
      </c>
      <c r="S816" s="26" t="n">
        <v>10.48</v>
      </c>
      <c r="T816" s="26" t="n">
        <v>7.52</v>
      </c>
      <c r="U816" s="11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26" t="n">
        <v>47.28</v>
      </c>
      <c r="W816" s="26" t="n">
        <v>86.04000000000001</v>
      </c>
      <c r="X816" s="26">
        <f>ROUND(('Methodology &amp; Assumptions'!$B$5*V816) + ('Methodology &amp; Assumptions'!$B$6*W816), 2)</f>
        <v/>
      </c>
      <c r="Y816" s="28" t="n">
        <v>8.300000000000001</v>
      </c>
      <c r="Z816" s="11" t="inlineStr">
        <is>
          <t>Priority Tier 2 (Balanced Opportunity)</t>
        </is>
      </c>
    </row>
    <row r="817">
      <c r="A817" s="23" t="n">
        <v>1</v>
      </c>
      <c r="B817" s="23" t="n">
        <v>813</v>
      </c>
      <c r="C817" s="23" t="n">
        <v>813</v>
      </c>
      <c r="D817" s="23" t="inlineStr">
        <is>
          <t>1380611028</t>
        </is>
      </c>
      <c r="E817" s="11" t="inlineStr">
        <is>
          <t>National Capital Region (NCR)</t>
        </is>
      </c>
      <c r="F817" s="11" t="inlineStr">
        <is>
          <t>First District (Not a Province)</t>
        </is>
      </c>
      <c r="G817" s="11" t="inlineStr">
        <is>
          <t>City of Manila</t>
        </is>
      </c>
      <c r="H817" s="11" t="inlineStr">
        <is>
          <t>Barangay 814</t>
        </is>
      </c>
      <c r="I817" s="24" t="n">
        <v>14.578978</v>
      </c>
      <c r="J817" s="24" t="n">
        <v>121.000739</v>
      </c>
      <c r="K817" s="23" t="inlineStr">
        <is>
          <t>U</t>
        </is>
      </c>
      <c r="L817" s="25" t="n">
        <v>2528</v>
      </c>
      <c r="M817" s="26" t="n">
        <v>3.71</v>
      </c>
      <c r="N817" s="25">
        <f>ROUND(L817/M817, 0)</f>
        <v/>
      </c>
      <c r="O817" s="25">
        <f>ROUND(N817*'Methodology &amp; Assumptions'!$B$7, 0)</f>
        <v/>
      </c>
      <c r="P817" s="23" t="inlineStr">
        <is>
          <t>Single Carrier (Band n50, 100MHz TDD)</t>
        </is>
      </c>
      <c r="Q817" s="27">
        <f>ROUNDUP(O817/'Methodology &amp; Assumptions'!$B$8, 0)</f>
        <v/>
      </c>
      <c r="R817" s="27" t="n">
        <v>1</v>
      </c>
      <c r="S817" s="26" t="n">
        <v>0.64</v>
      </c>
      <c r="T817" s="26" t="n">
        <v>0.27</v>
      </c>
      <c r="U817" s="11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26" t="n">
        <v>63.05</v>
      </c>
      <c r="W817" s="26" t="n">
        <v>70.25</v>
      </c>
      <c r="X817" s="26">
        <f>ROUND(('Methodology &amp; Assumptions'!$B$5*V817) + ('Methodology &amp; Assumptions'!$B$6*W817), 2)</f>
        <v/>
      </c>
      <c r="Y817" s="28" t="n">
        <v>10.9</v>
      </c>
      <c r="Z817" s="11" t="inlineStr">
        <is>
          <t>Priority Tier 2 (Balanced Opportunity)</t>
        </is>
      </c>
    </row>
    <row r="818">
      <c r="A818" s="23" t="n">
        <v>1</v>
      </c>
      <c r="B818" s="23" t="n">
        <v>814</v>
      </c>
      <c r="C818" s="23" t="n">
        <v>814</v>
      </c>
      <c r="D818" s="23" t="inlineStr">
        <is>
          <t>1380602010</t>
        </is>
      </c>
      <c r="E818" s="11" t="inlineStr">
        <is>
          <t>National Capital Region (NCR)</t>
        </is>
      </c>
      <c r="F818" s="11" t="inlineStr">
        <is>
          <t>First District (Not a Province)</t>
        </is>
      </c>
      <c r="G818" s="11" t="inlineStr">
        <is>
          <t>City of Manila</t>
        </is>
      </c>
      <c r="H818" s="11" t="inlineStr">
        <is>
          <t>Barangay 296</t>
        </is>
      </c>
      <c r="I818" s="24" t="n">
        <v>14.602672</v>
      </c>
      <c r="J818" s="24" t="n">
        <v>120.975957</v>
      </c>
      <c r="K818" s="23" t="inlineStr">
        <is>
          <t>U</t>
        </is>
      </c>
      <c r="L818" s="25" t="n">
        <v>2273</v>
      </c>
      <c r="M818" s="26" t="n">
        <v>3.1</v>
      </c>
      <c r="N818" s="25">
        <f>ROUND(L818/M818, 0)</f>
        <v/>
      </c>
      <c r="O818" s="25">
        <f>ROUND(N818*'Methodology &amp; Assumptions'!$B$7, 0)</f>
        <v/>
      </c>
      <c r="P818" s="23" t="inlineStr">
        <is>
          <t>Single Carrier (Band n50, 100MHz TDD)</t>
        </is>
      </c>
      <c r="Q818" s="27">
        <f>ROUNDUP(O818/'Methodology &amp; Assumptions'!$B$8, 0)</f>
        <v/>
      </c>
      <c r="R818" s="27" t="n">
        <v>1</v>
      </c>
      <c r="S818" s="26" t="n">
        <v>0.82</v>
      </c>
      <c r="T818" s="26" t="n">
        <v>0.38</v>
      </c>
      <c r="U818" s="11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26" t="n">
        <v>64.66</v>
      </c>
      <c r="W818" s="26" t="n">
        <v>68.62</v>
      </c>
      <c r="X818" s="26">
        <f>ROUND(('Methodology &amp; Assumptions'!$B$5*V818) + ('Methodology &amp; Assumptions'!$B$6*W818), 2)</f>
        <v/>
      </c>
      <c r="Y818" s="28" t="n">
        <v>10.9</v>
      </c>
      <c r="Z818" s="11" t="inlineStr">
        <is>
          <t>Priority Tier 2 (Balanced Opportunity)</t>
        </is>
      </c>
    </row>
    <row r="819">
      <c r="A819" s="23" t="n">
        <v>1</v>
      </c>
      <c r="B819" s="23" t="n">
        <v>815</v>
      </c>
      <c r="C819" s="23" t="n">
        <v>815</v>
      </c>
      <c r="D819" s="23" t="inlineStr">
        <is>
          <t>1380601073</t>
        </is>
      </c>
      <c r="E819" s="11" t="inlineStr">
        <is>
          <t>National Capital Region (NCR)</t>
        </is>
      </c>
      <c r="F819" s="11" t="inlineStr">
        <is>
          <t>First District (Not a Province)</t>
        </is>
      </c>
      <c r="G819" s="11" t="inlineStr">
        <is>
          <t>City of Manila</t>
        </is>
      </c>
      <c r="H819" s="11" t="inlineStr">
        <is>
          <t>Barangay 73</t>
        </is>
      </c>
      <c r="I819" s="24" t="n">
        <v>14.61054</v>
      </c>
      <c r="J819" s="24" t="n">
        <v>120.963865</v>
      </c>
      <c r="K819" s="23" t="inlineStr">
        <is>
          <t>U</t>
        </is>
      </c>
      <c r="L819" s="25" t="n">
        <v>2394</v>
      </c>
      <c r="M819" s="26" t="n">
        <v>4.58</v>
      </c>
      <c r="N819" s="25">
        <f>ROUND(L819/M819, 0)</f>
        <v/>
      </c>
      <c r="O819" s="25">
        <f>ROUND(N819*'Methodology &amp; Assumptions'!$B$7, 0)</f>
        <v/>
      </c>
      <c r="P819" s="23" t="inlineStr">
        <is>
          <t>Single Carrier (Band n50, 100MHz TDD)</t>
        </is>
      </c>
      <c r="Q819" s="27">
        <f>ROUNDUP(O819/'Methodology &amp; Assumptions'!$B$8, 0)</f>
        <v/>
      </c>
      <c r="R819" s="27" t="n">
        <v>1</v>
      </c>
      <c r="S819" s="26" t="n">
        <v>0.75</v>
      </c>
      <c r="T819" s="26" t="n">
        <v>0.5600000000000001</v>
      </c>
      <c r="U819" s="11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26" t="n">
        <v>57.91</v>
      </c>
      <c r="W819" s="26" t="n">
        <v>75.37</v>
      </c>
      <c r="X819" s="26">
        <f>ROUND(('Methodology &amp; Assumptions'!$B$5*V819) + ('Methodology &amp; Assumptions'!$B$6*W819), 2)</f>
        <v/>
      </c>
      <c r="Y819" s="28" t="n">
        <v>10.9</v>
      </c>
      <c r="Z819" s="11" t="inlineStr">
        <is>
          <t>Priority Tier 2 (Balanced Opportunity)</t>
        </is>
      </c>
    </row>
    <row r="820">
      <c r="A820" s="23" t="n">
        <v>1</v>
      </c>
      <c r="B820" s="23" t="n">
        <v>816</v>
      </c>
      <c r="C820" s="23" t="n">
        <v>816</v>
      </c>
      <c r="D820" s="23" t="inlineStr">
        <is>
          <t>0405804024</t>
        </is>
      </c>
      <c r="E820" s="11" t="inlineStr">
        <is>
          <t>Region IV-A (CALABARZON)</t>
        </is>
      </c>
      <c r="F820" s="11" t="inlineStr">
        <is>
          <t>Rizal</t>
        </is>
      </c>
      <c r="G820" s="11" t="inlineStr">
        <is>
          <t>Binangonan</t>
        </is>
      </c>
      <c r="H820" s="11" t="inlineStr">
        <is>
          <t>Macamot</t>
        </is>
      </c>
      <c r="I820" s="24" t="n">
        <v>14.483399</v>
      </c>
      <c r="J820" s="24" t="n">
        <v>121.195692</v>
      </c>
      <c r="K820" s="23" t="inlineStr">
        <is>
          <t>U</t>
        </is>
      </c>
      <c r="L820" s="25" t="n">
        <v>9861</v>
      </c>
      <c r="M820" s="26" t="n">
        <v>3.6</v>
      </c>
      <c r="N820" s="25">
        <f>ROUND(L820/M820, 0)</f>
        <v/>
      </c>
      <c r="O820" s="25">
        <f>ROUND(N820*'Methodology &amp; Assumptions'!$B$7, 0)</f>
        <v/>
      </c>
      <c r="P820" s="23" t="inlineStr">
        <is>
          <t>Single Carrier (Band n50, 100MHz TDD)</t>
        </is>
      </c>
      <c r="Q820" s="27">
        <f>ROUNDUP(O820/'Methodology &amp; Assumptions'!$B$8, 0)</f>
        <v/>
      </c>
      <c r="R820" s="27" t="n">
        <v>1</v>
      </c>
      <c r="S820" s="26" t="n">
        <v>1.03</v>
      </c>
      <c r="T820" s="26" t="n">
        <v>0.9</v>
      </c>
      <c r="U820" s="11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26" t="n">
        <v>77.54000000000001</v>
      </c>
      <c r="W820" s="26" t="n">
        <v>55.73</v>
      </c>
      <c r="X820" s="26">
        <f>ROUND(('Methodology &amp; Assumptions'!$B$5*V820) + ('Methodology &amp; Assumptions'!$B$6*W820), 2)</f>
        <v/>
      </c>
      <c r="Y820" s="28" t="n">
        <v>7.2</v>
      </c>
      <c r="Z820" s="11" t="inlineStr">
        <is>
          <t>Priority Tier 2 (Balanced Opportunity)</t>
        </is>
      </c>
    </row>
    <row r="821">
      <c r="A821" s="23" t="n">
        <v>1</v>
      </c>
      <c r="B821" s="23" t="n">
        <v>817</v>
      </c>
      <c r="C821" s="23" t="n">
        <v>817</v>
      </c>
      <c r="D821" s="23" t="inlineStr">
        <is>
          <t>1381100137</t>
        </is>
      </c>
      <c r="E821" s="11" t="inlineStr">
        <is>
          <t>National Capital Region (NCR)</t>
        </is>
      </c>
      <c r="F821" s="11" t="inlineStr">
        <is>
          <t>Fourth District (Not a Province)</t>
        </is>
      </c>
      <c r="G821" s="11" t="inlineStr">
        <is>
          <t>Pasay City</t>
        </is>
      </c>
      <c r="H821" s="11" t="inlineStr">
        <is>
          <t>Barangay 137</t>
        </is>
      </c>
      <c r="I821" s="24" t="n">
        <v>14.542277</v>
      </c>
      <c r="J821" s="24" t="n">
        <v>121.008804</v>
      </c>
      <c r="K821" s="23" t="inlineStr">
        <is>
          <t>U</t>
        </is>
      </c>
      <c r="L821" s="25" t="n">
        <v>2349</v>
      </c>
      <c r="M821" s="26" t="n">
        <v>3.38</v>
      </c>
      <c r="N821" s="25">
        <f>ROUND(L821/M821, 0)</f>
        <v/>
      </c>
      <c r="O821" s="25">
        <f>ROUND(N821*'Methodology &amp; Assumptions'!$B$7, 0)</f>
        <v/>
      </c>
      <c r="P821" s="23" t="inlineStr">
        <is>
          <t>Single Carrier (Band n50, 100MHz TDD)</t>
        </is>
      </c>
      <c r="Q821" s="27">
        <f>ROUNDUP(O821/'Methodology &amp; Assumptions'!$B$8, 0)</f>
        <v/>
      </c>
      <c r="R821" s="27" t="n">
        <v>1</v>
      </c>
      <c r="S821" s="26" t="n">
        <v>0.88</v>
      </c>
      <c r="T821" s="26" t="n">
        <v>0.6</v>
      </c>
      <c r="U821" s="11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26" t="n">
        <v>63.24</v>
      </c>
      <c r="W821" s="26" t="n">
        <v>70.02</v>
      </c>
      <c r="X821" s="26">
        <f>ROUND(('Methodology &amp; Assumptions'!$B$5*V821) + ('Methodology &amp; Assumptions'!$B$6*W821), 2)</f>
        <v/>
      </c>
      <c r="Y821" s="28" t="n">
        <v>10.9</v>
      </c>
      <c r="Z821" s="11" t="inlineStr">
        <is>
          <t>Priority Tier 2 (Balanced Opportunity)</t>
        </is>
      </c>
    </row>
    <row r="822">
      <c r="A822" s="23" t="n">
        <v>1</v>
      </c>
      <c r="B822" s="23" t="n">
        <v>818</v>
      </c>
      <c r="C822" s="23" t="n">
        <v>818</v>
      </c>
      <c r="D822" s="23" t="inlineStr">
        <is>
          <t>0402103028</t>
        </is>
      </c>
      <c r="E822" s="11" t="inlineStr">
        <is>
          <t>Region IV-A (CALABARZON)</t>
        </is>
      </c>
      <c r="F822" s="11" t="inlineStr">
        <is>
          <t>Cavite</t>
        </is>
      </c>
      <c r="G822" s="11" t="inlineStr">
        <is>
          <t>City of Bacoor</t>
        </is>
      </c>
      <c r="H822" s="11" t="inlineStr">
        <is>
          <t>Queens Row West</t>
        </is>
      </c>
      <c r="I822" s="24" t="n">
        <v>14.398818</v>
      </c>
      <c r="J822" s="24" t="n">
        <v>120.988004</v>
      </c>
      <c r="K822" s="23" t="inlineStr">
        <is>
          <t>U</t>
        </is>
      </c>
      <c r="L822" s="25" t="n">
        <v>11169</v>
      </c>
      <c r="M822" s="26" t="n">
        <v>3.4</v>
      </c>
      <c r="N822" s="25">
        <f>ROUND(L822/M822, 0)</f>
        <v/>
      </c>
      <c r="O822" s="25">
        <f>ROUND(N822*'Methodology &amp; Assumptions'!$B$7, 0)</f>
        <v/>
      </c>
      <c r="P822" s="23" t="inlineStr">
        <is>
          <t>Single Carrier (Band n50, 100MHz TDD)</t>
        </is>
      </c>
      <c r="Q822" s="27">
        <f>ROUNDUP(O822/'Methodology &amp; Assumptions'!$B$8, 0)</f>
        <v/>
      </c>
      <c r="R822" s="27" t="n">
        <v>1</v>
      </c>
      <c r="S822" s="26" t="n">
        <v>1.16</v>
      </c>
      <c r="T822" s="26" t="n">
        <v>4.18</v>
      </c>
      <c r="U822" s="11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26" t="n">
        <v>73.55</v>
      </c>
      <c r="W822" s="26" t="n">
        <v>59.68</v>
      </c>
      <c r="X822" s="26">
        <f>ROUND(('Methodology &amp; Assumptions'!$B$5*V822) + ('Methodology &amp; Assumptions'!$B$6*W822), 2)</f>
        <v/>
      </c>
      <c r="Y822" s="28" t="n">
        <v>7.2</v>
      </c>
      <c r="Z822" s="11" t="inlineStr">
        <is>
          <t>Priority Tier 2 (Balanced Opportunity)</t>
        </is>
      </c>
    </row>
    <row r="823">
      <c r="A823" s="23" t="n">
        <v>1</v>
      </c>
      <c r="B823" s="23" t="n">
        <v>819</v>
      </c>
      <c r="C823" s="23" t="n">
        <v>819</v>
      </c>
      <c r="D823" s="23" t="inlineStr">
        <is>
          <t>1380603011</t>
        </is>
      </c>
      <c r="E823" s="11" t="inlineStr">
        <is>
          <t>National Capital Region (NCR)</t>
        </is>
      </c>
      <c r="F823" s="11" t="inlineStr">
        <is>
          <t>First District (Not a Province)</t>
        </is>
      </c>
      <c r="G823" s="11" t="inlineStr">
        <is>
          <t>City of Manila</t>
        </is>
      </c>
      <c r="H823" s="11" t="inlineStr">
        <is>
          <t>Barangay 391</t>
        </is>
      </c>
      <c r="I823" s="24" t="n">
        <v>14.601684</v>
      </c>
      <c r="J823" s="24" t="n">
        <v>120.985625</v>
      </c>
      <c r="K823" s="23" t="inlineStr">
        <is>
          <t>U</t>
        </is>
      </c>
      <c r="L823" s="25" t="n">
        <v>2633</v>
      </c>
      <c r="M823" s="26" t="n">
        <v>3.88</v>
      </c>
      <c r="N823" s="25">
        <f>ROUND(L823/M823, 0)</f>
        <v/>
      </c>
      <c r="O823" s="25">
        <f>ROUND(N823*'Methodology &amp; Assumptions'!$B$7, 0)</f>
        <v/>
      </c>
      <c r="P823" s="23" t="inlineStr">
        <is>
          <t>Single Carrier (Band n50, 100MHz TDD)</t>
        </is>
      </c>
      <c r="Q823" s="27">
        <f>ROUNDUP(O823/'Methodology &amp; Assumptions'!$B$8, 0)</f>
        <v/>
      </c>
      <c r="R823" s="27" t="n">
        <v>1</v>
      </c>
      <c r="S823" s="26" t="n">
        <v>0.62</v>
      </c>
      <c r="T823" s="26" t="n">
        <v>0.17</v>
      </c>
      <c r="U823" s="11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26" t="n">
        <v>62.84</v>
      </c>
      <c r="W823" s="26" t="n">
        <v>70.40000000000001</v>
      </c>
      <c r="X823" s="26">
        <f>ROUND(('Methodology &amp; Assumptions'!$B$5*V823) + ('Methodology &amp; Assumptions'!$B$6*W823), 2)</f>
        <v/>
      </c>
      <c r="Y823" s="28" t="n">
        <v>10.9</v>
      </c>
      <c r="Z823" s="11" t="inlineStr">
        <is>
          <t>Priority Tier 2 (Balanced Opportunity)</t>
        </is>
      </c>
    </row>
    <row r="824">
      <c r="A824" s="23" t="n">
        <v>1</v>
      </c>
      <c r="B824" s="23" t="n">
        <v>820</v>
      </c>
      <c r="C824" s="23" t="n">
        <v>820</v>
      </c>
      <c r="D824" s="23" t="inlineStr">
        <is>
          <t>0300803009</t>
        </is>
      </c>
      <c r="E824" s="11" t="inlineStr">
        <is>
          <t>Region III (Central Luzon)</t>
        </is>
      </c>
      <c r="F824" s="11" t="inlineStr">
        <is>
          <t>Bataan</t>
        </is>
      </c>
      <c r="G824" s="11" t="inlineStr">
        <is>
          <t>City of Balanga</t>
        </is>
      </c>
      <c r="H824" s="11" t="inlineStr">
        <is>
          <t>Cupang West</t>
        </is>
      </c>
      <c r="I824" s="24" t="n">
        <v>14.669886</v>
      </c>
      <c r="J824" s="24" t="n">
        <v>120.541845</v>
      </c>
      <c r="K824" s="23" t="inlineStr">
        <is>
          <t>R</t>
        </is>
      </c>
      <c r="L824" s="25" t="n">
        <v>2122</v>
      </c>
      <c r="M824" s="26" t="n">
        <v>3.6</v>
      </c>
      <c r="N824" s="25">
        <f>ROUND(L824/M824, 0)</f>
        <v/>
      </c>
      <c r="O824" s="25">
        <f>ROUND(N824*'Methodology &amp; Assumptions'!$B$7, 0)</f>
        <v/>
      </c>
      <c r="P824" s="23" t="inlineStr">
        <is>
          <t>Single Carrier (Band n50, 100MHz TDD)</t>
        </is>
      </c>
      <c r="Q824" s="27">
        <f>ROUNDUP(O824/'Methodology &amp; Assumptions'!$B$8, 0)</f>
        <v/>
      </c>
      <c r="R824" s="27" t="n">
        <v>1</v>
      </c>
      <c r="S824" s="26" t="n">
        <v>1.58</v>
      </c>
      <c r="T824" s="26" t="n">
        <v>0.76</v>
      </c>
      <c r="U824" s="11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26" t="n">
        <v>75.43000000000001</v>
      </c>
      <c r="W824" s="26" t="n">
        <v>57.79</v>
      </c>
      <c r="X824" s="26">
        <f>ROUND(('Methodology &amp; Assumptions'!$B$5*V824) + ('Methodology &amp; Assumptions'!$B$6*W824), 2)</f>
        <v/>
      </c>
      <c r="Y824" s="28" t="n">
        <v>8.300000000000001</v>
      </c>
      <c r="Z824" s="11" t="inlineStr">
        <is>
          <t>Priority Tier 2 (Balanced Opportunity)</t>
        </is>
      </c>
    </row>
    <row r="825">
      <c r="A825" s="23" t="n">
        <v>1</v>
      </c>
      <c r="B825" s="23" t="n">
        <v>821</v>
      </c>
      <c r="C825" s="23" t="n">
        <v>821</v>
      </c>
      <c r="D825" s="23" t="inlineStr">
        <is>
          <t>0402104014</t>
        </is>
      </c>
      <c r="E825" s="11" t="inlineStr">
        <is>
          <t>Region IV-A (CALABARZON)</t>
        </is>
      </c>
      <c r="F825" s="11" t="inlineStr">
        <is>
          <t>Cavite</t>
        </is>
      </c>
      <c r="G825" s="11" t="inlineStr">
        <is>
          <t>Carmona</t>
        </is>
      </c>
      <c r="H825" s="11" t="inlineStr">
        <is>
          <t>Barangay 3</t>
        </is>
      </c>
      <c r="I825" s="24" t="n">
        <v>14.310889</v>
      </c>
      <c r="J825" s="24" t="n">
        <v>121.053235</v>
      </c>
      <c r="K825" s="23" t="inlineStr">
        <is>
          <t>R</t>
        </is>
      </c>
      <c r="L825" s="25" t="n">
        <v>916</v>
      </c>
      <c r="M825" s="26" t="n">
        <v>3.4</v>
      </c>
      <c r="N825" s="25">
        <f>ROUND(L825/M825, 0)</f>
        <v/>
      </c>
      <c r="O825" s="25">
        <f>ROUND(N825*'Methodology &amp; Assumptions'!$B$7, 0)</f>
        <v/>
      </c>
      <c r="P825" s="23" t="inlineStr">
        <is>
          <t>Single Carrier (Band n50, 100MHz TDD)</t>
        </is>
      </c>
      <c r="Q825" s="27">
        <f>ROUNDUP(O825/'Methodology &amp; Assumptions'!$B$8, 0)</f>
        <v/>
      </c>
      <c r="R825" s="27" t="n">
        <v>1</v>
      </c>
      <c r="S825" s="26" t="n">
        <v>0.34</v>
      </c>
      <c r="T825" s="26" t="n">
        <v>0.35</v>
      </c>
      <c r="U825" s="11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26" t="n">
        <v>67.67</v>
      </c>
      <c r="W825" s="26" t="n">
        <v>65.55</v>
      </c>
      <c r="X825" s="26">
        <f>ROUND(('Methodology &amp; Assumptions'!$B$5*V825) + ('Methodology &amp; Assumptions'!$B$6*W825), 2)</f>
        <v/>
      </c>
      <c r="Y825" s="28" t="n">
        <v>7.2</v>
      </c>
      <c r="Z825" s="11" t="inlineStr">
        <is>
          <t>Priority Tier 2 (Balanced Opportunity)</t>
        </is>
      </c>
    </row>
    <row r="826">
      <c r="A826" s="23" t="n">
        <v>1</v>
      </c>
      <c r="B826" s="23" t="n">
        <v>822</v>
      </c>
      <c r="C826" s="23" t="n">
        <v>822</v>
      </c>
      <c r="D826" s="23" t="inlineStr">
        <is>
          <t>0300804014</t>
        </is>
      </c>
      <c r="E826" s="11" t="inlineStr">
        <is>
          <t>Region III (Central Luzon)</t>
        </is>
      </c>
      <c r="F826" s="11" t="inlineStr">
        <is>
          <t>Bataan</t>
        </is>
      </c>
      <c r="G826" s="11" t="inlineStr">
        <is>
          <t>Dinalupihan</t>
        </is>
      </c>
      <c r="H826" s="11" t="inlineStr">
        <is>
          <t>Kataasan</t>
        </is>
      </c>
      <c r="I826" s="24" t="n">
        <v>14.873266</v>
      </c>
      <c r="J826" s="24" t="n">
        <v>120.462995</v>
      </c>
      <c r="K826" s="23" t="inlineStr">
        <is>
          <t>R</t>
        </is>
      </c>
      <c r="L826" s="25" t="n">
        <v>3219</v>
      </c>
      <c r="M826" s="26" t="n">
        <v>3.6</v>
      </c>
      <c r="N826" s="25">
        <f>ROUND(L826/M826, 0)</f>
        <v/>
      </c>
      <c r="O826" s="25">
        <f>ROUND(N826*'Methodology &amp; Assumptions'!$B$7, 0)</f>
        <v/>
      </c>
      <c r="P826" s="23" t="inlineStr">
        <is>
          <t>Single Carrier (Band n50, 100MHz TDD)</t>
        </is>
      </c>
      <c r="Q826" s="27">
        <f>ROUNDUP(O826/'Methodology &amp; Assumptions'!$B$8, 0)</f>
        <v/>
      </c>
      <c r="R826" s="27" t="n">
        <v>1</v>
      </c>
      <c r="S826" s="26" t="n">
        <v>0.97</v>
      </c>
      <c r="T826" s="26" t="n">
        <v>0.3</v>
      </c>
      <c r="U826" s="11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26" t="n">
        <v>85.13</v>
      </c>
      <c r="W826" s="26" t="n">
        <v>48.06</v>
      </c>
      <c r="X826" s="26">
        <f>ROUND(('Methodology &amp; Assumptions'!$B$5*V826) + ('Methodology &amp; Assumptions'!$B$6*W826), 2)</f>
        <v/>
      </c>
      <c r="Y826" s="28" t="n">
        <v>8.300000000000001</v>
      </c>
      <c r="Z826" s="11" t="inlineStr">
        <is>
          <t>Priority Tier 2 (Balanced Opportunity)</t>
        </is>
      </c>
    </row>
    <row r="827">
      <c r="A827" s="23" t="n">
        <v>1</v>
      </c>
      <c r="B827" s="23" t="n">
        <v>823</v>
      </c>
      <c r="C827" s="23" t="n">
        <v>823</v>
      </c>
      <c r="D827" s="23" t="inlineStr">
        <is>
          <t>0301412020</t>
        </is>
      </c>
      <c r="E827" s="11" t="inlineStr">
        <is>
          <t>Region III (Central Luzon)</t>
        </is>
      </c>
      <c r="F827" s="11" t="inlineStr">
        <is>
          <t>Bulacan</t>
        </is>
      </c>
      <c r="G827" s="11" t="inlineStr">
        <is>
          <t>City of Meycauayan</t>
        </is>
      </c>
      <c r="H827" s="11" t="inlineStr">
        <is>
          <t>Poblacion</t>
        </is>
      </c>
      <c r="I827" s="24" t="n">
        <v>14.736314</v>
      </c>
      <c r="J827" s="24" t="n">
        <v>120.957781</v>
      </c>
      <c r="K827" s="23" t="inlineStr">
        <is>
          <t>R</t>
        </is>
      </c>
      <c r="L827" s="25" t="n">
        <v>318</v>
      </c>
      <c r="M827" s="26" t="n">
        <v>3.5</v>
      </c>
      <c r="N827" s="25">
        <f>ROUND(L827/M827, 0)</f>
        <v/>
      </c>
      <c r="O827" s="25">
        <f>ROUND(N827*'Methodology &amp; Assumptions'!$B$7, 0)</f>
        <v/>
      </c>
      <c r="P827" s="23" t="inlineStr">
        <is>
          <t>Single Carrier (Band n50, 100MHz TDD)</t>
        </is>
      </c>
      <c r="Q827" s="27">
        <f>ROUNDUP(O827/'Methodology &amp; Assumptions'!$B$8, 0)</f>
        <v/>
      </c>
      <c r="R827" s="27" t="n">
        <v>1</v>
      </c>
      <c r="S827" s="26" t="n">
        <v>1.17</v>
      </c>
      <c r="T827" s="26" t="n">
        <v>0.37</v>
      </c>
      <c r="U827" s="11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26" t="n">
        <v>60.7</v>
      </c>
      <c r="W827" s="26" t="n">
        <v>72.51000000000001</v>
      </c>
      <c r="X827" s="26">
        <f>ROUND(('Methodology &amp; Assumptions'!$B$5*V827) + ('Methodology &amp; Assumptions'!$B$6*W827), 2)</f>
        <v/>
      </c>
      <c r="Y827" s="28" t="n">
        <v>8.300000000000001</v>
      </c>
      <c r="Z827" s="11" t="inlineStr">
        <is>
          <t>Priority Tier 2 (Balanced Opportunity)</t>
        </is>
      </c>
    </row>
    <row r="828">
      <c r="A828" s="23" t="n">
        <v>1</v>
      </c>
      <c r="B828" s="23" t="n">
        <v>824</v>
      </c>
      <c r="C828" s="23" t="n">
        <v>824</v>
      </c>
      <c r="D828" s="23" t="inlineStr">
        <is>
          <t>1403209001</t>
        </is>
      </c>
      <c r="E828" s="11" t="inlineStr">
        <is>
          <t>Cordillera Administrative Region (CAR)</t>
        </is>
      </c>
      <c r="F828" s="11" t="inlineStr">
        <is>
          <t>Kalinga</t>
        </is>
      </c>
      <c r="G828" s="11" t="inlineStr">
        <is>
          <t>Pinukpuk</t>
        </is>
      </c>
      <c r="H828" s="11" t="inlineStr">
        <is>
          <t>Aciga</t>
        </is>
      </c>
      <c r="I828" s="24" t="n">
        <v>17.60513</v>
      </c>
      <c r="J828" s="24" t="n">
        <v>121.367975</v>
      </c>
      <c r="K828" s="23" t="inlineStr">
        <is>
          <t>R</t>
        </is>
      </c>
      <c r="L828" s="25" t="n">
        <v>1010</v>
      </c>
      <c r="M828" s="26" t="n">
        <v>4.3</v>
      </c>
      <c r="N828" s="25">
        <f>ROUND(L828/M828, 0)</f>
        <v/>
      </c>
      <c r="O828" s="25">
        <f>ROUND(N828*'Methodology &amp; Assumptions'!$B$7, 0)</f>
        <v/>
      </c>
      <c r="P828" s="23" t="inlineStr">
        <is>
          <t>Single Carrier (Band n50, 100MHz TDD)</t>
        </is>
      </c>
      <c r="Q828" s="27">
        <f>ROUNDUP(O828/'Methodology &amp; Assumptions'!$B$8, 0)</f>
        <v/>
      </c>
      <c r="R828" s="27" t="n">
        <v>1</v>
      </c>
      <c r="S828" s="26" t="n">
        <v>4.89</v>
      </c>
      <c r="T828" s="26" t="n">
        <v>4.3</v>
      </c>
      <c r="U828" s="11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26" t="n">
        <v>50.75</v>
      </c>
      <c r="W828" s="26" t="n">
        <v>82.43000000000001</v>
      </c>
      <c r="X828" s="26">
        <f>ROUND(('Methodology &amp; Assumptions'!$B$5*V828) + ('Methodology &amp; Assumptions'!$B$6*W828), 2)</f>
        <v/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1</v>
      </c>
      <c r="B829" s="23" t="n">
        <v>825</v>
      </c>
      <c r="C829" s="23" t="n">
        <v>825</v>
      </c>
      <c r="D829" s="23" t="inlineStr">
        <is>
          <t>0405627026</t>
        </is>
      </c>
      <c r="E829" s="11" t="inlineStr">
        <is>
          <t>Region IV-A (CALABARZON)</t>
        </is>
      </c>
      <c r="F829" s="11" t="inlineStr">
        <is>
          <t>Quezon</t>
        </is>
      </c>
      <c r="G829" s="11" t="inlineStr">
        <is>
          <t>Mauban</t>
        </is>
      </c>
      <c r="H829" s="11" t="inlineStr">
        <is>
          <t>Remedios II</t>
        </is>
      </c>
      <c r="I829" s="24" t="n">
        <v>14.20751</v>
      </c>
      <c r="J829" s="24" t="n">
        <v>121.656829</v>
      </c>
      <c r="K829" s="23" t="inlineStr">
        <is>
          <t>R</t>
        </is>
      </c>
      <c r="L829" s="25" t="n">
        <v>404</v>
      </c>
      <c r="M829" s="26" t="n">
        <v>3.8</v>
      </c>
      <c r="N829" s="25">
        <f>ROUND(L829/M829, 0)</f>
        <v/>
      </c>
      <c r="O829" s="25">
        <f>ROUND(N829*'Methodology &amp; Assumptions'!$B$7, 0)</f>
        <v/>
      </c>
      <c r="P829" s="23" t="inlineStr">
        <is>
          <t>Single Carrier (Band n50, 100MHz TDD)</t>
        </is>
      </c>
      <c r="Q829" s="27">
        <f>ROUNDUP(O829/'Methodology &amp; Assumptions'!$B$8, 0)</f>
        <v/>
      </c>
      <c r="R829" s="27" t="n">
        <v>1</v>
      </c>
      <c r="S829" s="26" t="n">
        <v>5.41</v>
      </c>
      <c r="T829" s="26" t="n">
        <v>14.69</v>
      </c>
      <c r="U829" s="11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26" t="n">
        <v>46.69</v>
      </c>
      <c r="W829" s="26" t="n">
        <v>86.5</v>
      </c>
      <c r="X829" s="26">
        <f>ROUND(('Methodology &amp; Assumptions'!$B$5*V829) + ('Methodology &amp; Assumptions'!$B$6*W829), 2)</f>
        <v/>
      </c>
      <c r="Y829" s="28" t="n">
        <v>7.2</v>
      </c>
      <c r="Z829" s="11" t="inlineStr">
        <is>
          <t>Priority Tier 2 (Balanced Opportunity)</t>
        </is>
      </c>
    </row>
    <row r="830">
      <c r="A830" s="23" t="n">
        <v>1</v>
      </c>
      <c r="B830" s="23" t="n">
        <v>826</v>
      </c>
      <c r="C830" s="23" t="n">
        <v>826</v>
      </c>
      <c r="D830" s="23" t="inlineStr">
        <is>
          <t>1381300097</t>
        </is>
      </c>
      <c r="E830" s="11" t="inlineStr">
        <is>
          <t>National Capital Region (NCR)</t>
        </is>
      </c>
      <c r="F830" s="11" t="inlineStr">
        <is>
          <t>Second District (Not a Province)</t>
        </is>
      </c>
      <c r="G830" s="11" t="inlineStr">
        <is>
          <t>Quezon City</t>
        </is>
      </c>
      <c r="H830" s="11" t="inlineStr">
        <is>
          <t>San Bartolome</t>
        </is>
      </c>
      <c r="I830" s="24" t="n">
        <v>14.70073</v>
      </c>
      <c r="J830" s="24" t="n">
        <v>121.0346</v>
      </c>
      <c r="K830" s="23" t="inlineStr">
        <is>
          <t>U</t>
        </is>
      </c>
      <c r="L830" s="25" t="n">
        <v>51472</v>
      </c>
      <c r="M830" s="26" t="n">
        <v>4.02</v>
      </c>
      <c r="N830" s="25">
        <f>ROUND(L830/M830, 0)</f>
        <v/>
      </c>
      <c r="O830" s="25">
        <f>ROUND(N830*'Methodology &amp; Assumptions'!$B$7, 0)</f>
        <v/>
      </c>
      <c r="P830" s="23" t="inlineStr">
        <is>
          <t>Single Carrier (Band n50, 100MHz TDD)</t>
        </is>
      </c>
      <c r="Q830" s="27">
        <f>ROUNDUP(O830/'Methodology &amp; Assumptions'!$B$8, 0)</f>
        <v/>
      </c>
      <c r="R830" s="27" t="n">
        <v>1</v>
      </c>
      <c r="S830" s="26" t="n">
        <v>0.8100000000000001</v>
      </c>
      <c r="T830" s="26" t="n">
        <v>0.08</v>
      </c>
      <c r="U830" s="11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26" t="n">
        <v>66.48</v>
      </c>
      <c r="W830" s="26" t="n">
        <v>66.68000000000001</v>
      </c>
      <c r="X830" s="26">
        <f>ROUND(('Methodology &amp; Assumptions'!$B$5*V830) + ('Methodology &amp; Assumptions'!$B$6*W830), 2)</f>
        <v/>
      </c>
      <c r="Y830" s="28" t="n">
        <v>10.9</v>
      </c>
      <c r="Z830" s="11" t="inlineStr">
        <is>
          <t>Priority Tier 2 (Balanced Opportunity)</t>
        </is>
      </c>
    </row>
    <row r="831">
      <c r="A831" s="23" t="n">
        <v>1</v>
      </c>
      <c r="B831" s="23" t="n">
        <v>827</v>
      </c>
      <c r="C831" s="23" t="n">
        <v>827</v>
      </c>
      <c r="D831" s="23" t="inlineStr">
        <is>
          <t>0402106059</t>
        </is>
      </c>
      <c r="E831" s="11" t="inlineStr">
        <is>
          <t>Region IV-A (CALABARZON)</t>
        </is>
      </c>
      <c r="F831" s="11" t="inlineStr">
        <is>
          <t>Cavite</t>
        </is>
      </c>
      <c r="G831" s="11" t="inlineStr">
        <is>
          <t>City of Dasmariñas</t>
        </is>
      </c>
      <c r="H831" s="11" t="inlineStr">
        <is>
          <t>Salitran III</t>
        </is>
      </c>
      <c r="I831" s="24" t="n">
        <v>14.343743</v>
      </c>
      <c r="J831" s="24" t="n">
        <v>120.945248</v>
      </c>
      <c r="K831" s="23" t="inlineStr">
        <is>
          <t>U</t>
        </is>
      </c>
      <c r="L831" s="25" t="n">
        <v>16208</v>
      </c>
      <c r="M831" s="26" t="n">
        <v>3.4</v>
      </c>
      <c r="N831" s="25">
        <f>ROUND(L831/M831, 0)</f>
        <v/>
      </c>
      <c r="O831" s="25">
        <f>ROUND(N831*'Methodology &amp; Assumptions'!$B$7, 0)</f>
        <v/>
      </c>
      <c r="P831" s="23" t="inlineStr">
        <is>
          <t>Single Carrier (Band n50, 100MHz TDD)</t>
        </is>
      </c>
      <c r="Q831" s="27">
        <f>ROUNDUP(O831/'Methodology &amp; Assumptions'!$B$8, 0)</f>
        <v/>
      </c>
      <c r="R831" s="27" t="n">
        <v>1</v>
      </c>
      <c r="S831" s="26" t="n">
        <v>0.97</v>
      </c>
      <c r="T831" s="26" t="n">
        <v>4.76</v>
      </c>
      <c r="U831" s="11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26" t="n">
        <v>74.27</v>
      </c>
      <c r="W831" s="26" t="n">
        <v>58.85</v>
      </c>
      <c r="X831" s="26">
        <f>ROUND(('Methodology &amp; Assumptions'!$B$5*V831) + ('Methodology &amp; Assumptions'!$B$6*W831), 2)</f>
        <v/>
      </c>
      <c r="Y831" s="28" t="n">
        <v>7.2</v>
      </c>
      <c r="Z831" s="11" t="inlineStr">
        <is>
          <t>Priority Tier 2 (Balanced Opportunity)</t>
        </is>
      </c>
    </row>
    <row r="832">
      <c r="A832" s="23" t="n">
        <v>1</v>
      </c>
      <c r="B832" s="23" t="n">
        <v>828</v>
      </c>
      <c r="C832" s="23" t="n">
        <v>828</v>
      </c>
      <c r="D832" s="23" t="inlineStr">
        <is>
          <t>0102815007</t>
        </is>
      </c>
      <c r="E832" s="11" t="inlineStr">
        <is>
          <t>Region I (Ilocos Region)</t>
        </is>
      </c>
      <c r="F832" s="11" t="inlineStr">
        <is>
          <t>Ilocos Norte</t>
        </is>
      </c>
      <c r="G832" s="11" t="inlineStr">
        <is>
          <t>Pagudpud</t>
        </is>
      </c>
      <c r="H832" s="11" t="inlineStr">
        <is>
          <t>Dampig</t>
        </is>
      </c>
      <c r="I832" s="24" t="n">
        <v>18.541424</v>
      </c>
      <c r="J832" s="24" t="n">
        <v>120.844152</v>
      </c>
      <c r="K832" s="23" t="inlineStr">
        <is>
          <t>R</t>
        </is>
      </c>
      <c r="L832" s="25" t="n">
        <v>1041</v>
      </c>
      <c r="M832" s="26" t="n">
        <v>3.7</v>
      </c>
      <c r="N832" s="25">
        <f>ROUND(L832/M832, 0)</f>
        <v/>
      </c>
      <c r="O832" s="25">
        <f>ROUND(N832*'Methodology &amp; Assumptions'!$B$7, 0)</f>
        <v/>
      </c>
      <c r="P832" s="23" t="inlineStr">
        <is>
          <t>Single Carrier (Band n50, 100MHz TDD)</t>
        </is>
      </c>
      <c r="Q832" s="27">
        <f>ROUNDUP(O832/'Methodology &amp; Assumptions'!$B$8, 0)</f>
        <v/>
      </c>
      <c r="R832" s="27" t="n">
        <v>1</v>
      </c>
      <c r="S832" s="26" t="n">
        <v>7.99</v>
      </c>
      <c r="T832" s="26" t="n">
        <v>4.64</v>
      </c>
      <c r="U832" s="11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26" t="n">
        <v>49.23</v>
      </c>
      <c r="W832" s="26" t="n">
        <v>83.84</v>
      </c>
      <c r="X832" s="26">
        <f>ROUND(('Methodology &amp; Assumptions'!$B$5*V832) + ('Methodology &amp; Assumptions'!$B$6*W832), 2)</f>
        <v/>
      </c>
      <c r="Y832" s="28" t="n">
        <v>8.300000000000001</v>
      </c>
      <c r="Z832" s="11" t="inlineStr">
        <is>
          <t>Priority Tier 2 (Balanced Opportunity)</t>
        </is>
      </c>
    </row>
    <row r="833">
      <c r="A833" s="23" t="n">
        <v>1</v>
      </c>
      <c r="B833" s="23" t="n">
        <v>829</v>
      </c>
      <c r="C833" s="23" t="n">
        <v>829</v>
      </c>
      <c r="D833" s="23" t="inlineStr">
        <is>
          <t>0405813005</t>
        </is>
      </c>
      <c r="E833" s="11" t="inlineStr">
        <is>
          <t>Region IV-A (CALABARZON)</t>
        </is>
      </c>
      <c r="F833" s="11" t="inlineStr">
        <is>
          <t>Rizal</t>
        </is>
      </c>
      <c r="G833" s="11" t="inlineStr">
        <is>
          <t>Taytay</t>
        </is>
      </c>
      <c r="H833" s="11" t="inlineStr">
        <is>
          <t>Santa Ana</t>
        </is>
      </c>
      <c r="I833" s="24" t="n">
        <v>14.56553</v>
      </c>
      <c r="J833" s="24" t="n">
        <v>121.1267</v>
      </c>
      <c r="K833" s="23" t="inlineStr">
        <is>
          <t>U</t>
        </is>
      </c>
      <c r="L833" s="25" t="n">
        <v>102828</v>
      </c>
      <c r="M833" s="26" t="n">
        <v>3.6</v>
      </c>
      <c r="N833" s="25">
        <f>ROUND(L833/M833, 0)</f>
        <v/>
      </c>
      <c r="O833" s="25">
        <f>ROUND(N833*'Methodology &amp; Assumptions'!$B$7, 0)</f>
        <v/>
      </c>
      <c r="P833" s="23" t="inlineStr">
        <is>
          <t>Single Carrier (Band n50, 100MHz TDD)</t>
        </is>
      </c>
      <c r="Q833" s="27">
        <f>ROUNDUP(O833/'Methodology &amp; Assumptions'!$B$8, 0)</f>
        <v/>
      </c>
      <c r="R833" s="27" t="n">
        <v>1</v>
      </c>
      <c r="S833" s="26" t="n">
        <v>1.26</v>
      </c>
      <c r="T833" s="26" t="n">
        <v>0.71</v>
      </c>
      <c r="U833" s="11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26" t="n">
        <v>73.65000000000001</v>
      </c>
      <c r="W833" s="26" t="n">
        <v>59.41</v>
      </c>
      <c r="X833" s="26">
        <f>ROUND(('Methodology &amp; Assumptions'!$B$5*V833) + ('Methodology &amp; Assumptions'!$B$6*W833), 2)</f>
        <v/>
      </c>
      <c r="Y833" s="28" t="n">
        <v>7.2</v>
      </c>
      <c r="Z833" s="11" t="inlineStr">
        <is>
          <t>Priority Tier 2 (Balanced Opportunity)</t>
        </is>
      </c>
    </row>
    <row r="834">
      <c r="A834" s="23" t="n">
        <v>1</v>
      </c>
      <c r="B834" s="23" t="n">
        <v>830</v>
      </c>
      <c r="C834" s="23" t="n">
        <v>830</v>
      </c>
      <c r="D834" s="23" t="inlineStr">
        <is>
          <t>1705309023</t>
        </is>
      </c>
      <c r="E834" s="11" t="inlineStr">
        <is>
          <t>MIMAROPA Region</t>
        </is>
      </c>
      <c r="F834" s="11" t="inlineStr">
        <is>
          <t>Palawan</t>
        </is>
      </c>
      <c r="G834" s="11" t="inlineStr">
        <is>
          <t>Coron</t>
        </is>
      </c>
      <c r="H834" s="11" t="inlineStr">
        <is>
          <t>San Nicolas</t>
        </is>
      </c>
      <c r="I834" s="24" t="n">
        <v>12.078676</v>
      </c>
      <c r="J834" s="24" t="n">
        <v>120.194614</v>
      </c>
      <c r="K834" s="23" t="inlineStr">
        <is>
          <t>R</t>
        </is>
      </c>
      <c r="L834" s="25" t="n">
        <v>3815</v>
      </c>
      <c r="M834" s="26" t="n">
        <v>3.9</v>
      </c>
      <c r="N834" s="25">
        <f>ROUND(L834/M834, 0)</f>
        <v/>
      </c>
      <c r="O834" s="25">
        <f>ROUND(N834*'Methodology &amp; Assumptions'!$B$7, 0)</f>
        <v/>
      </c>
      <c r="P834" s="23" t="inlineStr">
        <is>
          <t>Single Carrier (Band n50, 100MHz TDD)</t>
        </is>
      </c>
      <c r="Q834" s="27">
        <f>ROUNDUP(O834/'Methodology &amp; Assumptions'!$B$8, 0)</f>
        <v/>
      </c>
      <c r="R834" s="27" t="n">
        <v>1</v>
      </c>
      <c r="S834" s="26" t="n">
        <v>6.7</v>
      </c>
      <c r="T834" s="26" t="n">
        <v>98.97</v>
      </c>
      <c r="U834" s="11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26" t="n">
        <v>69.22</v>
      </c>
      <c r="W834" s="26" t="n">
        <v>63.84</v>
      </c>
      <c r="X834" s="26">
        <f>ROUND(('Methodology &amp; Assumptions'!$B$5*V834) + ('Methodology &amp; Assumptions'!$B$6*W834), 2)</f>
        <v/>
      </c>
      <c r="Y834" s="28" t="n">
        <v>15</v>
      </c>
      <c r="Z834" s="11" t="inlineStr">
        <is>
          <t>Priority Tier 2 (Balanced Opportunity)</t>
        </is>
      </c>
    </row>
    <row r="835">
      <c r="A835" s="23" t="n">
        <v>1</v>
      </c>
      <c r="B835" s="23" t="n">
        <v>831</v>
      </c>
      <c r="C835" s="23" t="n">
        <v>831</v>
      </c>
      <c r="D835" s="23" t="inlineStr">
        <is>
          <t>0401005057</t>
        </is>
      </c>
      <c r="E835" s="11" t="inlineStr">
        <is>
          <t>Region IV-A (CALABARZON)</t>
        </is>
      </c>
      <c r="F835" s="11" t="inlineStr">
        <is>
          <t>Batangas</t>
        </is>
      </c>
      <c r="G835" s="11" t="inlineStr">
        <is>
          <t>Batangas City</t>
        </is>
      </c>
      <c r="H835" s="11" t="inlineStr">
        <is>
          <t>Barangay 11</t>
        </is>
      </c>
      <c r="I835" s="24" t="n">
        <v>13.761408</v>
      </c>
      <c r="J835" s="24" t="n">
        <v>121.058234</v>
      </c>
      <c r="K835" s="23" t="inlineStr">
        <is>
          <t>R</t>
        </is>
      </c>
      <c r="L835" s="25" t="n">
        <v>358</v>
      </c>
      <c r="M835" s="26" t="n">
        <v>3.6</v>
      </c>
      <c r="N835" s="25">
        <f>ROUND(L835/M835, 0)</f>
        <v/>
      </c>
      <c r="O835" s="25">
        <f>ROUND(N835*'Methodology &amp; Assumptions'!$B$7, 0)</f>
        <v/>
      </c>
      <c r="P835" s="23" t="inlineStr">
        <is>
          <t>Single Carrier (Band n50, 100MHz TDD)</t>
        </is>
      </c>
      <c r="Q835" s="27">
        <f>ROUNDUP(O835/'Methodology &amp; Assumptions'!$B$8, 0)</f>
        <v/>
      </c>
      <c r="R835" s="27" t="n">
        <v>1</v>
      </c>
      <c r="S835" s="26" t="n">
        <v>0.18</v>
      </c>
      <c r="T835" s="26" t="n">
        <v>0.15</v>
      </c>
      <c r="U835" s="11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26" t="n">
        <v>62.12</v>
      </c>
      <c r="W835" s="26" t="n">
        <v>70.94</v>
      </c>
      <c r="X835" s="26">
        <f>ROUND(('Methodology &amp; Assumptions'!$B$5*V835) + ('Methodology &amp; Assumptions'!$B$6*W835), 2)</f>
        <v/>
      </c>
      <c r="Y835" s="28" t="n">
        <v>7.2</v>
      </c>
      <c r="Z835" s="11" t="inlineStr">
        <is>
          <t>Priority Tier 2 (Balanced Opportunity)</t>
        </is>
      </c>
    </row>
    <row r="836">
      <c r="A836" s="23" t="n">
        <v>1</v>
      </c>
      <c r="B836" s="23" t="n">
        <v>832</v>
      </c>
      <c r="C836" s="23" t="n">
        <v>832</v>
      </c>
      <c r="D836" s="23" t="inlineStr">
        <is>
          <t>0403405032</t>
        </is>
      </c>
      <c r="E836" s="11" t="inlineStr">
        <is>
          <t>Region IV-A (CALABARZON)</t>
        </is>
      </c>
      <c r="F836" s="11" t="inlineStr">
        <is>
          <t>Laguna</t>
        </is>
      </c>
      <c r="G836" s="11" t="inlineStr">
        <is>
          <t>City of Calamba</t>
        </is>
      </c>
      <c r="H836" s="11" t="inlineStr">
        <is>
          <t>Mayapa</t>
        </is>
      </c>
      <c r="I836" s="24" t="n">
        <v>14.211245</v>
      </c>
      <c r="J836" s="24" t="n">
        <v>121.126892</v>
      </c>
      <c r="K836" s="23" t="inlineStr">
        <is>
          <t>U</t>
        </is>
      </c>
      <c r="L836" s="25" t="n">
        <v>31024</v>
      </c>
      <c r="M836" s="26" t="n">
        <v>3.3</v>
      </c>
      <c r="N836" s="25">
        <f>ROUND(L836/M836, 0)</f>
        <v/>
      </c>
      <c r="O836" s="25">
        <f>ROUND(N836*'Methodology &amp; Assumptions'!$B$7, 0)</f>
        <v/>
      </c>
      <c r="P836" s="23" t="inlineStr">
        <is>
          <t>Single Carrier (Band n50, 100MHz TDD)</t>
        </is>
      </c>
      <c r="Q836" s="27">
        <f>ROUNDUP(O836/'Methodology &amp; Assumptions'!$B$8, 0)</f>
        <v/>
      </c>
      <c r="R836" s="27" t="n">
        <v>1</v>
      </c>
      <c r="S836" s="26" t="n">
        <v>0.45</v>
      </c>
      <c r="T836" s="26" t="n">
        <v>0.08</v>
      </c>
      <c r="U836" s="11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26" t="n">
        <v>77.7</v>
      </c>
      <c r="W836" s="26" t="n">
        <v>55.33</v>
      </c>
      <c r="X836" s="26">
        <f>ROUND(('Methodology &amp; Assumptions'!$B$5*V836) + ('Methodology &amp; Assumptions'!$B$6*W836), 2)</f>
        <v/>
      </c>
      <c r="Y836" s="28" t="n">
        <v>7.2</v>
      </c>
      <c r="Z836" s="11" t="inlineStr">
        <is>
          <t>Priority Tier 2 (Balanced Opportunity)</t>
        </is>
      </c>
    </row>
    <row r="837">
      <c r="A837" s="23" t="n">
        <v>1</v>
      </c>
      <c r="B837" s="23" t="n">
        <v>833</v>
      </c>
      <c r="C837" s="23" t="n">
        <v>833</v>
      </c>
      <c r="D837" s="23" t="inlineStr">
        <is>
          <t>0500518018</t>
        </is>
      </c>
      <c r="E837" s="11" t="inlineStr">
        <is>
          <t>Region V (Bicol Region)</t>
        </is>
      </c>
      <c r="F837" s="11" t="inlineStr">
        <is>
          <t>Albay</t>
        </is>
      </c>
      <c r="G837" s="11" t="inlineStr">
        <is>
          <t>Tiwi</t>
        </is>
      </c>
      <c r="H837" s="11" t="inlineStr">
        <is>
          <t>Maynonong</t>
        </is>
      </c>
      <c r="I837" s="24" t="n">
        <v>13.481739</v>
      </c>
      <c r="J837" s="24" t="n">
        <v>123.586797</v>
      </c>
      <c r="K837" s="23" t="inlineStr">
        <is>
          <t>R</t>
        </is>
      </c>
      <c r="L837" s="25" t="n">
        <v>990</v>
      </c>
      <c r="M837" s="26" t="n">
        <v>4.1</v>
      </c>
      <c r="N837" s="25">
        <f>ROUND(L837/M837, 0)</f>
        <v/>
      </c>
      <c r="O837" s="25">
        <f>ROUND(N837*'Methodology &amp; Assumptions'!$B$7, 0)</f>
        <v/>
      </c>
      <c r="P837" s="23" t="inlineStr">
        <is>
          <t>Single Carrier (Band n50, 100MHz TDD)</t>
        </is>
      </c>
      <c r="Q837" s="27">
        <f>ROUNDUP(O837/'Methodology &amp; Assumptions'!$B$8, 0)</f>
        <v/>
      </c>
      <c r="R837" s="27" t="n">
        <v>1</v>
      </c>
      <c r="S837" s="26" t="n">
        <v>3.73</v>
      </c>
      <c r="T837" s="26" t="n">
        <v>3.42</v>
      </c>
      <c r="U837" s="11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26" t="n">
        <v>56.18</v>
      </c>
      <c r="W837" s="26" t="n">
        <v>76.86</v>
      </c>
      <c r="X837" s="26">
        <f>ROUND(('Methodology &amp; Assumptions'!$B$5*V837) + ('Methodology &amp; Assumptions'!$B$6*W837), 2)</f>
        <v/>
      </c>
      <c r="Y837" s="28" t="n">
        <v>23.7</v>
      </c>
      <c r="Z837" s="11" t="inlineStr">
        <is>
          <t>Priority Tier 2 (Balanced Opportunity)</t>
        </is>
      </c>
    </row>
    <row r="838">
      <c r="A838" s="23" t="n">
        <v>1</v>
      </c>
      <c r="B838" s="23" t="n">
        <v>834</v>
      </c>
      <c r="C838" s="23" t="n">
        <v>834</v>
      </c>
      <c r="D838" s="23" t="inlineStr">
        <is>
          <t>0405813001</t>
        </is>
      </c>
      <c r="E838" s="11" t="inlineStr">
        <is>
          <t>Region IV-A (CALABARZON)</t>
        </is>
      </c>
      <c r="F838" s="11" t="inlineStr">
        <is>
          <t>Rizal</t>
        </is>
      </c>
      <c r="G838" s="11" t="inlineStr">
        <is>
          <t>Taytay</t>
        </is>
      </c>
      <c r="H838" s="11" t="inlineStr">
        <is>
          <t>Dolores</t>
        </is>
      </c>
      <c r="I838" s="24" t="n">
        <v>14.569467</v>
      </c>
      <c r="J838" s="24" t="n">
        <v>121.135399</v>
      </c>
      <c r="K838" s="23" t="inlineStr">
        <is>
          <t>U</t>
        </is>
      </c>
      <c r="L838" s="25" t="n">
        <v>72280</v>
      </c>
      <c r="M838" s="26" t="n">
        <v>3.6</v>
      </c>
      <c r="N838" s="25">
        <f>ROUND(L838/M838, 0)</f>
        <v/>
      </c>
      <c r="O838" s="25">
        <f>ROUND(N838*'Methodology &amp; Assumptions'!$B$7, 0)</f>
        <v/>
      </c>
      <c r="P838" s="23" t="inlineStr">
        <is>
          <t>Single Carrier (Band n50, 100MHz TDD)</t>
        </is>
      </c>
      <c r="Q838" s="27">
        <f>ROUNDUP(O838/'Methodology &amp; Assumptions'!$B$8, 0)</f>
        <v/>
      </c>
      <c r="R838" s="27" t="n">
        <v>1</v>
      </c>
      <c r="S838" s="26" t="n">
        <v>1.14</v>
      </c>
      <c r="T838" s="26" t="n">
        <v>0.44</v>
      </c>
      <c r="U838" s="11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26" t="n">
        <v>74.87</v>
      </c>
      <c r="W838" s="26" t="n">
        <v>58.16</v>
      </c>
      <c r="X838" s="26">
        <f>ROUND(('Methodology &amp; Assumptions'!$B$5*V838) + ('Methodology &amp; Assumptions'!$B$6*W838), 2)</f>
        <v/>
      </c>
      <c r="Y838" s="28" t="n">
        <v>7.2</v>
      </c>
      <c r="Z838" s="11" t="inlineStr">
        <is>
          <t>Priority Tier 2 (Balanced Opportunity)</t>
        </is>
      </c>
    </row>
    <row r="839">
      <c r="A839" s="23" t="n">
        <v>1</v>
      </c>
      <c r="B839" s="23" t="n">
        <v>835</v>
      </c>
      <c r="C839" s="23" t="n">
        <v>835</v>
      </c>
      <c r="D839" s="23" t="inlineStr">
        <is>
          <t>0401005077</t>
        </is>
      </c>
      <c r="E839" s="11" t="inlineStr">
        <is>
          <t>Region IV-A (CALABARZON)</t>
        </is>
      </c>
      <c r="F839" s="11" t="inlineStr">
        <is>
          <t>Batangas</t>
        </is>
      </c>
      <c r="G839" s="11" t="inlineStr">
        <is>
          <t>Batangas City</t>
        </is>
      </c>
      <c r="H839" s="11" t="inlineStr">
        <is>
          <t>Barangay 8</t>
        </is>
      </c>
      <c r="I839" s="24" t="n">
        <v>13.757764</v>
      </c>
      <c r="J839" s="24" t="n">
        <v>121.060204</v>
      </c>
      <c r="K839" s="23" t="inlineStr">
        <is>
          <t>R</t>
        </is>
      </c>
      <c r="L839" s="25" t="n">
        <v>492</v>
      </c>
      <c r="M839" s="26" t="n">
        <v>3.6</v>
      </c>
      <c r="N839" s="25">
        <f>ROUND(L839/M839, 0)</f>
        <v/>
      </c>
      <c r="O839" s="25">
        <f>ROUND(N839*'Methodology &amp; Assumptions'!$B$7, 0)</f>
        <v/>
      </c>
      <c r="P839" s="23" t="inlineStr">
        <is>
          <t>Single Carrier (Band n50, 100MHz TDD)</t>
        </is>
      </c>
      <c r="Q839" s="27">
        <f>ROUNDUP(O839/'Methodology &amp; Assumptions'!$B$8, 0)</f>
        <v/>
      </c>
      <c r="R839" s="27" t="n">
        <v>1</v>
      </c>
      <c r="S839" s="26" t="n">
        <v>0.63</v>
      </c>
      <c r="T839" s="26" t="n">
        <v>0.25</v>
      </c>
      <c r="U839" s="11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26" t="n">
        <v>63.32</v>
      </c>
      <c r="W839" s="26" t="n">
        <v>69.7</v>
      </c>
      <c r="X839" s="26">
        <f>ROUND(('Methodology &amp; Assumptions'!$B$5*V839) + ('Methodology &amp; Assumptions'!$B$6*W839), 2)</f>
        <v/>
      </c>
      <c r="Y839" s="28" t="n">
        <v>7.2</v>
      </c>
      <c r="Z839" s="11" t="inlineStr">
        <is>
          <t>Priority Tier 2 (Balanced Opportunity)</t>
        </is>
      </c>
    </row>
    <row r="840">
      <c r="A840" s="23" t="n">
        <v>1</v>
      </c>
      <c r="B840" s="23" t="n">
        <v>836</v>
      </c>
      <c r="C840" s="23" t="n">
        <v>836</v>
      </c>
      <c r="D840" s="23" t="inlineStr">
        <is>
          <t>0401003003</t>
        </is>
      </c>
      <c r="E840" s="11" t="inlineStr">
        <is>
          <t>Region IV-A (CALABARZON)</t>
        </is>
      </c>
      <c r="F840" s="11" t="inlineStr">
        <is>
          <t>Batangas</t>
        </is>
      </c>
      <c r="G840" s="11" t="inlineStr">
        <is>
          <t>Balayan</t>
        </is>
      </c>
      <c r="H840" s="11" t="inlineStr">
        <is>
          <t>Barangay 1</t>
        </is>
      </c>
      <c r="I840" s="24" t="n">
        <v>13.934885</v>
      </c>
      <c r="J840" s="24" t="n">
        <v>120.726733</v>
      </c>
      <c r="K840" s="23" t="inlineStr">
        <is>
          <t>R</t>
        </is>
      </c>
      <c r="L840" s="25" t="n">
        <v>2162</v>
      </c>
      <c r="M840" s="26" t="n">
        <v>3.6</v>
      </c>
      <c r="N840" s="25">
        <f>ROUND(L840/M840, 0)</f>
        <v/>
      </c>
      <c r="O840" s="25">
        <f>ROUND(N840*'Methodology &amp; Assumptions'!$B$7, 0)</f>
        <v/>
      </c>
      <c r="P840" s="23" t="inlineStr">
        <is>
          <t>Single Carrier (Band n50, 100MHz TDD)</t>
        </is>
      </c>
      <c r="Q840" s="27">
        <f>ROUNDUP(O840/'Methodology &amp; Assumptions'!$B$8, 0)</f>
        <v/>
      </c>
      <c r="R840" s="27" t="n">
        <v>1</v>
      </c>
      <c r="S840" s="26" t="n">
        <v>0.97</v>
      </c>
      <c r="T840" s="26" t="n">
        <v>0.27</v>
      </c>
      <c r="U840" s="11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26" t="n">
        <v>77.95</v>
      </c>
      <c r="W840" s="26" t="n">
        <v>55.05</v>
      </c>
      <c r="X840" s="26">
        <f>ROUND(('Methodology &amp; Assumptions'!$B$5*V840) + ('Methodology &amp; Assumptions'!$B$6*W840), 2)</f>
        <v/>
      </c>
      <c r="Y840" s="28" t="n">
        <v>7.2</v>
      </c>
      <c r="Z840" s="11" t="inlineStr">
        <is>
          <t>Priority Tier 2 (Balanced Opportunity)</t>
        </is>
      </c>
    </row>
    <row r="841">
      <c r="A841" s="23" t="n">
        <v>1</v>
      </c>
      <c r="B841" s="23" t="n">
        <v>837</v>
      </c>
      <c r="C841" s="23" t="n">
        <v>837</v>
      </c>
      <c r="D841" s="23" t="inlineStr">
        <is>
          <t>1381100193</t>
        </is>
      </c>
      <c r="E841" s="11" t="inlineStr">
        <is>
          <t>National Capital Region (NCR)</t>
        </is>
      </c>
      <c r="F841" s="11" t="inlineStr">
        <is>
          <t>Fourth District (Not a Province)</t>
        </is>
      </c>
      <c r="G841" s="11" t="inlineStr">
        <is>
          <t>Pasay City</t>
        </is>
      </c>
      <c r="H841" s="11" t="inlineStr">
        <is>
          <t>Barangay 193</t>
        </is>
      </c>
      <c r="I841" s="24" t="n">
        <v>14.512546</v>
      </c>
      <c r="J841" s="24" t="n">
        <v>121.001881</v>
      </c>
      <c r="K841" s="23" t="inlineStr">
        <is>
          <t>U</t>
        </is>
      </c>
      <c r="L841" s="25" t="n">
        <v>7654</v>
      </c>
      <c r="M841" s="26" t="n">
        <v>3.17</v>
      </c>
      <c r="N841" s="25">
        <f>ROUND(L841/M841, 0)</f>
        <v/>
      </c>
      <c r="O841" s="25">
        <f>ROUND(N841*'Methodology &amp; Assumptions'!$B$7, 0)</f>
        <v/>
      </c>
      <c r="P841" s="23" t="inlineStr">
        <is>
          <t>Single Carrier (Band n50, 100MHz TDD)</t>
        </is>
      </c>
      <c r="Q841" s="27">
        <f>ROUNDUP(O841/'Methodology &amp; Assumptions'!$B$8, 0)</f>
        <v/>
      </c>
      <c r="R841" s="27" t="n">
        <v>1</v>
      </c>
      <c r="S841" s="26" t="n">
        <v>0.52</v>
      </c>
      <c r="T841" s="26" t="n">
        <v>0.46</v>
      </c>
      <c r="U841" s="11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26" t="n">
        <v>69.09</v>
      </c>
      <c r="W841" s="26" t="n">
        <v>63.91</v>
      </c>
      <c r="X841" s="26">
        <f>ROUND(('Methodology &amp; Assumptions'!$B$5*V841) + ('Methodology &amp; Assumptions'!$B$6*W841), 2)</f>
        <v/>
      </c>
      <c r="Y841" s="28" t="n">
        <v>10.9</v>
      </c>
      <c r="Z841" s="11" t="inlineStr">
        <is>
          <t>Priority Tier 2 (Balanced Opportunity)</t>
        </is>
      </c>
    </row>
    <row r="842">
      <c r="A842" s="23" t="n">
        <v>1</v>
      </c>
      <c r="B842" s="23" t="n">
        <v>838</v>
      </c>
      <c r="C842" s="23" t="n">
        <v>838</v>
      </c>
      <c r="D842" s="23" t="inlineStr">
        <is>
          <t>0301412017</t>
        </is>
      </c>
      <c r="E842" s="11" t="inlineStr">
        <is>
          <t>Region III (Central Luzon)</t>
        </is>
      </c>
      <c r="F842" s="11" t="inlineStr">
        <is>
          <t>Bulacan</t>
        </is>
      </c>
      <c r="G842" s="11" t="inlineStr">
        <is>
          <t>City of Meycauayan</t>
        </is>
      </c>
      <c r="H842" s="11" t="inlineStr">
        <is>
          <t>Pandayan</t>
        </is>
      </c>
      <c r="I842" s="24" t="n">
        <v>14.74967</v>
      </c>
      <c r="J842" s="24" t="n">
        <v>120.965547</v>
      </c>
      <c r="K842" s="23" t="inlineStr">
        <is>
          <t>U</t>
        </is>
      </c>
      <c r="L842" s="25" t="n">
        <v>17948</v>
      </c>
      <c r="M842" s="26" t="n">
        <v>3.5</v>
      </c>
      <c r="N842" s="25">
        <f>ROUND(L842/M842, 0)</f>
        <v/>
      </c>
      <c r="O842" s="25">
        <f>ROUND(N842*'Methodology &amp; Assumptions'!$B$7, 0)</f>
        <v/>
      </c>
      <c r="P842" s="23" t="inlineStr">
        <is>
          <t>Single Carrier (Band n50, 100MHz TDD)</t>
        </is>
      </c>
      <c r="Q842" s="27">
        <f>ROUNDUP(O842/'Methodology &amp; Assumptions'!$B$8, 0)</f>
        <v/>
      </c>
      <c r="R842" s="27" t="n">
        <v>1</v>
      </c>
      <c r="S842" s="26" t="n">
        <v>0.98</v>
      </c>
      <c r="T842" s="26" t="n">
        <v>0.89</v>
      </c>
      <c r="U842" s="11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26" t="n">
        <v>77.90000000000001</v>
      </c>
      <c r="W842" s="26" t="n">
        <v>55.05</v>
      </c>
      <c r="X842" s="26">
        <f>ROUND(('Methodology &amp; Assumptions'!$B$5*V842) + ('Methodology &amp; Assumptions'!$B$6*W842), 2)</f>
        <v/>
      </c>
      <c r="Y842" s="28" t="n">
        <v>8.300000000000001</v>
      </c>
      <c r="Z842" s="11" t="inlineStr">
        <is>
          <t>Priority Tier 2 (Balanced Opportunity)</t>
        </is>
      </c>
    </row>
    <row r="843">
      <c r="A843" s="23" t="n">
        <v>1</v>
      </c>
      <c r="B843" s="23" t="n">
        <v>839</v>
      </c>
      <c r="C843" s="23" t="n">
        <v>839</v>
      </c>
      <c r="D843" s="23" t="inlineStr">
        <is>
          <t>1380602002</t>
        </is>
      </c>
      <c r="E843" s="11" t="inlineStr">
        <is>
          <t>National Capital Region (NCR)</t>
        </is>
      </c>
      <c r="F843" s="11" t="inlineStr">
        <is>
          <t>First District (Not a Province)</t>
        </is>
      </c>
      <c r="G843" s="11" t="inlineStr">
        <is>
          <t>City of Manila</t>
        </is>
      </c>
      <c r="H843" s="11" t="inlineStr">
        <is>
          <t>Barangay 288</t>
        </is>
      </c>
      <c r="I843" s="24" t="n">
        <v>14.601133</v>
      </c>
      <c r="J843" s="24" t="n">
        <v>120.973743</v>
      </c>
      <c r="K843" s="23" t="inlineStr">
        <is>
          <t>U</t>
        </is>
      </c>
      <c r="L843" s="25" t="n">
        <v>2800</v>
      </c>
      <c r="M843" s="26" t="n">
        <v>4.17</v>
      </c>
      <c r="N843" s="25">
        <f>ROUND(L843/M843, 0)</f>
        <v/>
      </c>
      <c r="O843" s="25">
        <f>ROUND(N843*'Methodology &amp; Assumptions'!$B$7, 0)</f>
        <v/>
      </c>
      <c r="P843" s="23" t="inlineStr">
        <is>
          <t>Single Carrier (Band n50, 100MHz TDD)</t>
        </is>
      </c>
      <c r="Q843" s="27">
        <f>ROUNDUP(O843/'Methodology &amp; Assumptions'!$B$8, 0)</f>
        <v/>
      </c>
      <c r="R843" s="27" t="n">
        <v>1</v>
      </c>
      <c r="S843" s="26" t="n">
        <v>0.77</v>
      </c>
      <c r="T843" s="26" t="n">
        <v>0.5600000000000001</v>
      </c>
      <c r="U843" s="11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26" t="n">
        <v>62.73</v>
      </c>
      <c r="W843" s="26" t="n">
        <v>70.23999999999999</v>
      </c>
      <c r="X843" s="26">
        <f>ROUND(('Methodology &amp; Assumptions'!$B$5*V843) + ('Methodology &amp; Assumptions'!$B$6*W843), 2)</f>
        <v/>
      </c>
      <c r="Y843" s="28" t="n">
        <v>10.9</v>
      </c>
      <c r="Z843" s="11" t="inlineStr">
        <is>
          <t>Priority Tier 2 (Balanced Opportunity)</t>
        </is>
      </c>
    </row>
    <row r="844">
      <c r="A844" s="23" t="n">
        <v>1</v>
      </c>
      <c r="B844" s="23" t="n">
        <v>840</v>
      </c>
      <c r="C844" s="23" t="n">
        <v>840</v>
      </c>
      <c r="D844" s="23" t="inlineStr">
        <is>
          <t>0405647001</t>
        </is>
      </c>
      <c r="E844" s="11" t="inlineStr">
        <is>
          <t>Region IV-A (CALABARZON)</t>
        </is>
      </c>
      <c r="F844" s="11" t="inlineStr">
        <is>
          <t>Quezon</t>
        </is>
      </c>
      <c r="G844" s="11" t="inlineStr">
        <is>
          <t>City of Tayabas</t>
        </is>
      </c>
      <c r="H844" s="11" t="inlineStr">
        <is>
          <t>Alitao</t>
        </is>
      </c>
      <c r="I844" s="24" t="n">
        <v>14.047771</v>
      </c>
      <c r="J844" s="24" t="n">
        <v>121.5527</v>
      </c>
      <c r="K844" s="23" t="inlineStr">
        <is>
          <t>R</t>
        </is>
      </c>
      <c r="L844" s="25" t="n">
        <v>133</v>
      </c>
      <c r="M844" s="26" t="n">
        <v>3.8</v>
      </c>
      <c r="N844" s="25">
        <f>ROUND(L844/M844, 0)</f>
        <v/>
      </c>
      <c r="O844" s="25">
        <f>ROUND(N844*'Methodology &amp; Assumptions'!$B$7, 0)</f>
        <v/>
      </c>
      <c r="P844" s="23" t="inlineStr">
        <is>
          <t>Single Carrier (Band n50, 100MHz TDD)</t>
        </is>
      </c>
      <c r="Q844" s="27">
        <f>ROUNDUP(O844/'Methodology &amp; Assumptions'!$B$8, 0)</f>
        <v/>
      </c>
      <c r="R844" s="27" t="n">
        <v>1</v>
      </c>
      <c r="S844" s="26" t="n">
        <v>5.15</v>
      </c>
      <c r="T844" s="26" t="n">
        <v>1.89</v>
      </c>
      <c r="U844" s="11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26" t="n">
        <v>48.22</v>
      </c>
      <c r="W844" s="26" t="n">
        <v>84.73999999999999</v>
      </c>
      <c r="X844" s="26">
        <f>ROUND(('Methodology &amp; Assumptions'!$B$5*V844) + ('Methodology &amp; Assumptions'!$B$6*W844), 2)</f>
        <v/>
      </c>
      <c r="Y844" s="28" t="n">
        <v>7.2</v>
      </c>
      <c r="Z844" s="11" t="inlineStr">
        <is>
          <t>Priority Tier 2 (Balanced Opportunity)</t>
        </is>
      </c>
    </row>
    <row r="845">
      <c r="A845" s="23" t="n">
        <v>1</v>
      </c>
      <c r="B845" s="23" t="n">
        <v>841</v>
      </c>
      <c r="C845" s="23" t="n">
        <v>841</v>
      </c>
      <c r="D845" s="23" t="inlineStr">
        <is>
          <t>1380601042</t>
        </is>
      </c>
      <c r="E845" s="11" t="inlineStr">
        <is>
          <t>National Capital Region (NCR)</t>
        </is>
      </c>
      <c r="F845" s="11" t="inlineStr">
        <is>
          <t>First District (Not a Province)</t>
        </is>
      </c>
      <c r="G845" s="11" t="inlineStr">
        <is>
          <t>City of Manila</t>
        </is>
      </c>
      <c r="H845" s="11" t="inlineStr">
        <is>
          <t>Barangay 42</t>
        </is>
      </c>
      <c r="I845" s="24" t="n">
        <v>14.612528</v>
      </c>
      <c r="J845" s="24" t="n">
        <v>120.962066</v>
      </c>
      <c r="K845" s="23" t="inlineStr">
        <is>
          <t>U</t>
        </is>
      </c>
      <c r="L845" s="25" t="n">
        <v>2196</v>
      </c>
      <c r="M845" s="26" t="n">
        <v>4.44</v>
      </c>
      <c r="N845" s="25">
        <f>ROUND(L845/M845, 0)</f>
        <v/>
      </c>
      <c r="O845" s="25">
        <f>ROUND(N845*'Methodology &amp; Assumptions'!$B$7, 0)</f>
        <v/>
      </c>
      <c r="P845" s="23" t="inlineStr">
        <is>
          <t>Single Carrier (Band n50, 100MHz TDD)</t>
        </is>
      </c>
      <c r="Q845" s="27">
        <f>ROUNDUP(O845/'Methodology &amp; Assumptions'!$B$8, 0)</f>
        <v/>
      </c>
      <c r="R845" s="27" t="n">
        <v>1</v>
      </c>
      <c r="S845" s="26" t="n">
        <v>0.61</v>
      </c>
      <c r="T845" s="26" t="n">
        <v>0.79</v>
      </c>
      <c r="U845" s="11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26" t="n">
        <v>56.95</v>
      </c>
      <c r="W845" s="26" t="n">
        <v>76</v>
      </c>
      <c r="X845" s="26">
        <f>ROUND(('Methodology &amp; Assumptions'!$B$5*V845) + ('Methodology &amp; Assumptions'!$B$6*W845), 2)</f>
        <v/>
      </c>
      <c r="Y845" s="28" t="n">
        <v>10.9</v>
      </c>
      <c r="Z845" s="11" t="inlineStr">
        <is>
          <t>Priority Tier 2 (Balanced Opportunity)</t>
        </is>
      </c>
    </row>
    <row r="846">
      <c r="A846" s="23" t="n">
        <v>1</v>
      </c>
      <c r="B846" s="23" t="n">
        <v>842</v>
      </c>
      <c r="C846" s="23" t="n">
        <v>842</v>
      </c>
      <c r="D846" s="23" t="inlineStr">
        <is>
          <t>0103314052</t>
        </is>
      </c>
      <c r="E846" s="11" t="inlineStr">
        <is>
          <t>Region I (Ilocos Region)</t>
        </is>
      </c>
      <c r="F846" s="11" t="inlineStr">
        <is>
          <t>La Union</t>
        </is>
      </c>
      <c r="G846" s="11" t="inlineStr">
        <is>
          <t>City of San Fernando</t>
        </is>
      </c>
      <c r="H846" s="11" t="inlineStr">
        <is>
          <t>San Francisco</t>
        </is>
      </c>
      <c r="I846" s="24" t="n">
        <v>16.602502</v>
      </c>
      <c r="J846" s="24" t="n">
        <v>120.307121</v>
      </c>
      <c r="K846" s="23" t="inlineStr">
        <is>
          <t>R</t>
        </is>
      </c>
      <c r="L846" s="25" t="n">
        <v>3665</v>
      </c>
      <c r="M846" s="26" t="n">
        <v>3.7</v>
      </c>
      <c r="N846" s="25">
        <f>ROUND(L846/M846, 0)</f>
        <v/>
      </c>
      <c r="O846" s="25">
        <f>ROUND(N846*'Methodology &amp; Assumptions'!$B$7, 0)</f>
        <v/>
      </c>
      <c r="P846" s="23" t="inlineStr">
        <is>
          <t>Single Carrier (Band n50, 100MHz TDD)</t>
        </is>
      </c>
      <c r="Q846" s="27">
        <f>ROUNDUP(O846/'Methodology &amp; Assumptions'!$B$8, 0)</f>
        <v/>
      </c>
      <c r="R846" s="27" t="n">
        <v>1</v>
      </c>
      <c r="S846" s="26" t="n">
        <v>1.14</v>
      </c>
      <c r="T846" s="26" t="n">
        <v>0.19</v>
      </c>
      <c r="U846" s="11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26" t="n">
        <v>84.48999999999999</v>
      </c>
      <c r="W846" s="26" t="n">
        <v>48.43</v>
      </c>
      <c r="X846" s="26">
        <f>ROUND(('Methodology &amp; Assumptions'!$B$5*V846) + ('Methodology &amp; Assumptions'!$B$6*W846), 2)</f>
        <v/>
      </c>
      <c r="Y846" s="28" t="n">
        <v>8.300000000000001</v>
      </c>
      <c r="Z846" s="11" t="inlineStr">
        <is>
          <t>Priority Tier 2 (Balanced Opportunity)</t>
        </is>
      </c>
    </row>
    <row r="847">
      <c r="A847" s="23" t="n">
        <v>1</v>
      </c>
      <c r="B847" s="23" t="n">
        <v>843</v>
      </c>
      <c r="C847" s="23" t="n">
        <v>843</v>
      </c>
      <c r="D847" s="23" t="inlineStr">
        <is>
          <t>0301411005</t>
        </is>
      </c>
      <c r="E847" s="11" t="inlineStr">
        <is>
          <t>Region III (Central Luzon)</t>
        </is>
      </c>
      <c r="F847" s="11" t="inlineStr">
        <is>
          <t>Bulacan</t>
        </is>
      </c>
      <c r="G847" s="11" t="inlineStr">
        <is>
          <t>Marilao</t>
        </is>
      </c>
      <c r="H847" s="11" t="inlineStr">
        <is>
          <t>Lias</t>
        </is>
      </c>
      <c r="I847" s="24" t="n">
        <v>14.760506</v>
      </c>
      <c r="J847" s="24" t="n">
        <v>120.96315</v>
      </c>
      <c r="K847" s="23" t="inlineStr">
        <is>
          <t>U</t>
        </is>
      </c>
      <c r="L847" s="25" t="n">
        <v>15947</v>
      </c>
      <c r="M847" s="26" t="n">
        <v>3.5</v>
      </c>
      <c r="N847" s="25">
        <f>ROUND(L847/M847, 0)</f>
        <v/>
      </c>
      <c r="O847" s="25">
        <f>ROUND(N847*'Methodology &amp; Assumptions'!$B$7, 0)</f>
        <v/>
      </c>
      <c r="P847" s="23" t="inlineStr">
        <is>
          <t>Single Carrier (Band n50, 100MHz TDD)</t>
        </is>
      </c>
      <c r="Q847" s="27">
        <f>ROUNDUP(O847/'Methodology &amp; Assumptions'!$B$8, 0)</f>
        <v/>
      </c>
      <c r="R847" s="27" t="n">
        <v>1</v>
      </c>
      <c r="S847" s="26" t="n">
        <v>1.41</v>
      </c>
      <c r="T847" s="26" t="n">
        <v>1.16</v>
      </c>
      <c r="U847" s="11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26" t="n">
        <v>76.28</v>
      </c>
      <c r="W847" s="26" t="n">
        <v>56.62</v>
      </c>
      <c r="X847" s="26">
        <f>ROUND(('Methodology &amp; Assumptions'!$B$5*V847) + ('Methodology &amp; Assumptions'!$B$6*W847), 2)</f>
        <v/>
      </c>
      <c r="Y847" s="28" t="n">
        <v>8.300000000000001</v>
      </c>
      <c r="Z847" s="11" t="inlineStr">
        <is>
          <t>Priority Tier 2 (Balanced Opportunity)</t>
        </is>
      </c>
    </row>
    <row r="848">
      <c r="A848" s="23" t="n">
        <v>1</v>
      </c>
      <c r="B848" s="23" t="n">
        <v>844</v>
      </c>
      <c r="C848" s="23" t="n">
        <v>844</v>
      </c>
      <c r="D848" s="23" t="inlineStr">
        <is>
          <t>0402116008</t>
        </is>
      </c>
      <c r="E848" s="11" t="inlineStr">
        <is>
          <t>Region IV-A (CALABARZON)</t>
        </is>
      </c>
      <c r="F848" s="11" t="inlineStr">
        <is>
          <t>Cavite</t>
        </is>
      </c>
      <c r="G848" s="11" t="inlineStr">
        <is>
          <t>Noveleta</t>
        </is>
      </c>
      <c r="H848" s="11" t="inlineStr">
        <is>
          <t>San Jose I</t>
        </is>
      </c>
      <c r="I848" s="24" t="n">
        <v>14.428822</v>
      </c>
      <c r="J848" s="24" t="n">
        <v>120.883903</v>
      </c>
      <c r="K848" s="23" t="inlineStr">
        <is>
          <t>R</t>
        </is>
      </c>
      <c r="L848" s="25" t="n">
        <v>1532</v>
      </c>
      <c r="M848" s="26" t="n">
        <v>3.4</v>
      </c>
      <c r="N848" s="25">
        <f>ROUND(L848/M848, 0)</f>
        <v/>
      </c>
      <c r="O848" s="25">
        <f>ROUND(N848*'Methodology &amp; Assumptions'!$B$7, 0)</f>
        <v/>
      </c>
      <c r="P848" s="23" t="inlineStr">
        <is>
          <t>Single Carrier (Band n50, 100MHz TDD)</t>
        </is>
      </c>
      <c r="Q848" s="27">
        <f>ROUNDUP(O848/'Methodology &amp; Assumptions'!$B$8, 0)</f>
        <v/>
      </c>
      <c r="R848" s="27" t="n">
        <v>1</v>
      </c>
      <c r="S848" s="26" t="n">
        <v>0.12</v>
      </c>
      <c r="T848" s="26" t="n">
        <v>0.16</v>
      </c>
      <c r="U848" s="11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26" t="n">
        <v>73.54000000000001</v>
      </c>
      <c r="W848" s="26" t="n">
        <v>59.36</v>
      </c>
      <c r="X848" s="26">
        <f>ROUND(('Methodology &amp; Assumptions'!$B$5*V848) + ('Methodology &amp; Assumptions'!$B$6*W848), 2)</f>
        <v/>
      </c>
      <c r="Y848" s="28" t="n">
        <v>7.2</v>
      </c>
      <c r="Z848" s="11" t="inlineStr">
        <is>
          <t>Priority Tier 2 (Balanced Opportunity)</t>
        </is>
      </c>
    </row>
    <row r="849">
      <c r="A849" s="23" t="n">
        <v>1</v>
      </c>
      <c r="B849" s="23" t="n">
        <v>845</v>
      </c>
      <c r="C849" s="23" t="n">
        <v>845</v>
      </c>
      <c r="D849" s="23" t="inlineStr">
        <is>
          <t>0402103049</t>
        </is>
      </c>
      <c r="E849" s="11" t="inlineStr">
        <is>
          <t>Region IV-A (CALABARZON)</t>
        </is>
      </c>
      <c r="F849" s="11" t="inlineStr">
        <is>
          <t>Cavite</t>
        </is>
      </c>
      <c r="G849" s="11" t="inlineStr">
        <is>
          <t>City of Bacoor</t>
        </is>
      </c>
      <c r="H849" s="11" t="inlineStr">
        <is>
          <t>Molino VI</t>
        </is>
      </c>
      <c r="I849" s="24" t="n">
        <v>14.413955</v>
      </c>
      <c r="J849" s="24" t="n">
        <v>120.982446</v>
      </c>
      <c r="K849" s="23" t="inlineStr">
        <is>
          <t>U</t>
        </is>
      </c>
      <c r="L849" s="25" t="n">
        <v>21186</v>
      </c>
      <c r="M849" s="26" t="n">
        <v>3.4</v>
      </c>
      <c r="N849" s="25">
        <f>ROUND(L849/M849, 0)</f>
        <v/>
      </c>
      <c r="O849" s="25">
        <f>ROUND(N849*'Methodology &amp; Assumptions'!$B$7, 0)</f>
        <v/>
      </c>
      <c r="P849" s="23" t="inlineStr">
        <is>
          <t>Single Carrier (Band n50, 100MHz TDD)</t>
        </is>
      </c>
      <c r="Q849" s="27">
        <f>ROUNDUP(O849/'Methodology &amp; Assumptions'!$B$8, 0)</f>
        <v/>
      </c>
      <c r="R849" s="27" t="n">
        <v>1</v>
      </c>
      <c r="S849" s="26" t="n">
        <v>2.14</v>
      </c>
      <c r="T849" s="26" t="n">
        <v>3.51</v>
      </c>
      <c r="U849" s="11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26" t="n">
        <v>70.05</v>
      </c>
      <c r="W849" s="26" t="n">
        <v>62.86</v>
      </c>
      <c r="X849" s="26">
        <f>ROUND(('Methodology &amp; Assumptions'!$B$5*V849) + ('Methodology &amp; Assumptions'!$B$6*W849), 2)</f>
        <v/>
      </c>
      <c r="Y849" s="28" t="n">
        <v>7.2</v>
      </c>
      <c r="Z849" s="11" t="inlineStr">
        <is>
          <t>Priority Tier 2 (Balanced Opportunity)</t>
        </is>
      </c>
    </row>
    <row r="850">
      <c r="A850" s="23" t="n">
        <v>1</v>
      </c>
      <c r="B850" s="23" t="n">
        <v>846</v>
      </c>
      <c r="C850" s="23" t="n">
        <v>846</v>
      </c>
      <c r="D850" s="23" t="inlineStr">
        <is>
          <t>0402118050</t>
        </is>
      </c>
      <c r="E850" s="11" t="inlineStr">
        <is>
          <t>Region IV-A (CALABARZON)</t>
        </is>
      </c>
      <c r="F850" s="11" t="inlineStr">
        <is>
          <t>Cavite</t>
        </is>
      </c>
      <c r="G850" s="11" t="inlineStr">
        <is>
          <t>Silang</t>
        </is>
      </c>
      <c r="H850" s="11" t="inlineStr">
        <is>
          <t>Anahaw I</t>
        </is>
      </c>
      <c r="I850" s="24" t="n">
        <v>14.272018</v>
      </c>
      <c r="J850" s="24" t="n">
        <v>120.994121</v>
      </c>
      <c r="K850" s="23" t="inlineStr">
        <is>
          <t>U</t>
        </is>
      </c>
      <c r="L850" s="25" t="n">
        <v>5504</v>
      </c>
      <c r="M850" s="26" t="n">
        <v>3.4</v>
      </c>
      <c r="N850" s="25">
        <f>ROUND(L850/M850, 0)</f>
        <v/>
      </c>
      <c r="O850" s="25">
        <f>ROUND(N850*'Methodology &amp; Assumptions'!$B$7, 0)</f>
        <v/>
      </c>
      <c r="P850" s="23" t="inlineStr">
        <is>
          <t>Single Carrier (Band n50, 100MHz TDD)</t>
        </is>
      </c>
      <c r="Q850" s="27">
        <f>ROUNDUP(O850/'Methodology &amp; Assumptions'!$B$8, 0)</f>
        <v/>
      </c>
      <c r="R850" s="27" t="n">
        <v>1</v>
      </c>
      <c r="S850" s="26" t="n">
        <v>1.44</v>
      </c>
      <c r="T850" s="26" t="n">
        <v>2.84</v>
      </c>
      <c r="U850" s="11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26" t="n">
        <v>72.5</v>
      </c>
      <c r="W850" s="26" t="n">
        <v>60.35</v>
      </c>
      <c r="X850" s="26">
        <f>ROUND(('Methodology &amp; Assumptions'!$B$5*V850) + ('Methodology &amp; Assumptions'!$B$6*W850), 2)</f>
        <v/>
      </c>
      <c r="Y850" s="28" t="n">
        <v>7.2</v>
      </c>
      <c r="Z850" s="11" t="inlineStr">
        <is>
          <t>Priority Tier 2 (Balanced Opportunity)</t>
        </is>
      </c>
    </row>
    <row r="851">
      <c r="A851" s="23" t="n">
        <v>1</v>
      </c>
      <c r="B851" s="23" t="n">
        <v>847</v>
      </c>
      <c r="C851" s="23" t="n">
        <v>847</v>
      </c>
      <c r="D851" s="23" t="inlineStr">
        <is>
          <t>1380606090</t>
        </is>
      </c>
      <c r="E851" s="11" t="inlineStr">
        <is>
          <t>National Capital Region (NCR)</t>
        </is>
      </c>
      <c r="F851" s="11" t="inlineStr">
        <is>
          <t>First District (Not a Province)</t>
        </is>
      </c>
      <c r="G851" s="11" t="inlineStr">
        <is>
          <t>City of Manila</t>
        </is>
      </c>
      <c r="H851" s="11" t="inlineStr">
        <is>
          <t>Barangay 484</t>
        </is>
      </c>
      <c r="I851" s="24" t="n">
        <v>14.619269</v>
      </c>
      <c r="J851" s="24" t="n">
        <v>120.989435</v>
      </c>
      <c r="K851" s="23" t="inlineStr">
        <is>
          <t>U</t>
        </is>
      </c>
      <c r="L851" s="25" t="n">
        <v>2285</v>
      </c>
      <c r="M851" s="26" t="n">
        <v>3.46</v>
      </c>
      <c r="N851" s="25">
        <f>ROUND(L851/M851, 0)</f>
        <v/>
      </c>
      <c r="O851" s="25">
        <f>ROUND(N851*'Methodology &amp; Assumptions'!$B$7, 0)</f>
        <v/>
      </c>
      <c r="P851" s="23" t="inlineStr">
        <is>
          <t>Single Carrier (Band n50, 100MHz TDD)</t>
        </is>
      </c>
      <c r="Q851" s="27">
        <f>ROUNDUP(O851/'Methodology &amp; Assumptions'!$B$8, 0)</f>
        <v/>
      </c>
      <c r="R851" s="27" t="n">
        <v>1</v>
      </c>
      <c r="S851" s="26" t="n">
        <v>0.77</v>
      </c>
      <c r="T851" s="26" t="n">
        <v>0.7</v>
      </c>
      <c r="U851" s="11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26" t="n">
        <v>62.3</v>
      </c>
      <c r="W851" s="26" t="n">
        <v>70.54000000000001</v>
      </c>
      <c r="X851" s="26">
        <f>ROUND(('Methodology &amp; Assumptions'!$B$5*V851) + ('Methodology &amp; Assumptions'!$B$6*W851), 2)</f>
        <v/>
      </c>
      <c r="Y851" s="28" t="n">
        <v>10.9</v>
      </c>
      <c r="Z851" s="11" t="inlineStr">
        <is>
          <t>Priority Tier 2 (Balanced Opportunity)</t>
        </is>
      </c>
    </row>
    <row r="852">
      <c r="A852" s="23" t="n">
        <v>1</v>
      </c>
      <c r="B852" s="23" t="n">
        <v>848</v>
      </c>
      <c r="C852" s="23" t="n">
        <v>848</v>
      </c>
      <c r="D852" s="23" t="inlineStr">
        <is>
          <t>0405804038</t>
        </is>
      </c>
      <c r="E852" s="11" t="inlineStr">
        <is>
          <t>Region IV-A (CALABARZON)</t>
        </is>
      </c>
      <c r="F852" s="11" t="inlineStr">
        <is>
          <t>Rizal</t>
        </is>
      </c>
      <c r="G852" s="11" t="inlineStr">
        <is>
          <t>Binangonan</t>
        </is>
      </c>
      <c r="H852" s="11" t="inlineStr">
        <is>
          <t>Libid</t>
        </is>
      </c>
      <c r="I852" s="24" t="n">
        <v>14.463516</v>
      </c>
      <c r="J852" s="24" t="n">
        <v>121.196092</v>
      </c>
      <c r="K852" s="23" t="inlineStr">
        <is>
          <t>U</t>
        </is>
      </c>
      <c r="L852" s="25" t="n">
        <v>7723</v>
      </c>
      <c r="M852" s="26" t="n">
        <v>3.6</v>
      </c>
      <c r="N852" s="25">
        <f>ROUND(L852/M852, 0)</f>
        <v/>
      </c>
      <c r="O852" s="25">
        <f>ROUND(N852*'Methodology &amp; Assumptions'!$B$7, 0)</f>
        <v/>
      </c>
      <c r="P852" s="23" t="inlineStr">
        <is>
          <t>Single Carrier (Band n50, 100MHz TDD)</t>
        </is>
      </c>
      <c r="Q852" s="27">
        <f>ROUNDUP(O852/'Methodology &amp; Assumptions'!$B$8, 0)</f>
        <v/>
      </c>
      <c r="R852" s="27" t="n">
        <v>1</v>
      </c>
      <c r="S852" s="26" t="n">
        <v>1.41</v>
      </c>
      <c r="T852" s="26" t="n">
        <v>0.67</v>
      </c>
      <c r="U852" s="11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26" t="n">
        <v>76.12</v>
      </c>
      <c r="W852" s="26" t="n">
        <v>56.71</v>
      </c>
      <c r="X852" s="26">
        <f>ROUND(('Methodology &amp; Assumptions'!$B$5*V852) + ('Methodology &amp; Assumptions'!$B$6*W852), 2)</f>
        <v/>
      </c>
      <c r="Y852" s="28" t="n">
        <v>7.2</v>
      </c>
      <c r="Z852" s="11" t="inlineStr">
        <is>
          <t>Priority Tier 2 (Balanced Opportunity)</t>
        </is>
      </c>
    </row>
    <row r="853">
      <c r="A853" s="23" t="n">
        <v>1</v>
      </c>
      <c r="B853" s="23" t="n">
        <v>849</v>
      </c>
      <c r="C853" s="23" t="n">
        <v>849</v>
      </c>
      <c r="D853" s="23" t="inlineStr">
        <is>
          <t>0403403008</t>
        </is>
      </c>
      <c r="E853" s="11" t="inlineStr">
        <is>
          <t>Region IV-A (CALABARZON)</t>
        </is>
      </c>
      <c r="F853" s="11" t="inlineStr">
        <is>
          <t>Laguna</t>
        </is>
      </c>
      <c r="G853" s="11" t="inlineStr">
        <is>
          <t>City of Biñan</t>
        </is>
      </c>
      <c r="H853" s="11" t="inlineStr">
        <is>
          <t>San Francisco</t>
        </is>
      </c>
      <c r="I853" s="24" t="n">
        <v>14.332531</v>
      </c>
      <c r="J853" s="24" t="n">
        <v>121.055944</v>
      </c>
      <c r="K853" s="23" t="inlineStr">
        <is>
          <t>U</t>
        </is>
      </c>
      <c r="L853" s="25" t="n">
        <v>43047</v>
      </c>
      <c r="M853" s="26" t="n">
        <v>3.3</v>
      </c>
      <c r="N853" s="25">
        <f>ROUND(L853/M853, 0)</f>
        <v/>
      </c>
      <c r="O853" s="25">
        <f>ROUND(N853*'Methodology &amp; Assumptions'!$B$7, 0)</f>
        <v/>
      </c>
      <c r="P853" s="23" t="inlineStr">
        <is>
          <t>Single Carrier (Band n50, 100MHz TDD)</t>
        </is>
      </c>
      <c r="Q853" s="27">
        <f>ROUNDUP(O853/'Methodology &amp; Assumptions'!$B$8, 0)</f>
        <v/>
      </c>
      <c r="R853" s="27" t="n">
        <v>1</v>
      </c>
      <c r="S853" s="26" t="n">
        <v>2.12</v>
      </c>
      <c r="T853" s="26" t="n">
        <v>1.21</v>
      </c>
      <c r="U853" s="11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26" t="n">
        <v>72.33</v>
      </c>
      <c r="W853" s="26" t="n">
        <v>60.47</v>
      </c>
      <c r="X853" s="26">
        <f>ROUND(('Methodology &amp; Assumptions'!$B$5*V853) + ('Methodology &amp; Assumptions'!$B$6*W853), 2)</f>
        <v/>
      </c>
      <c r="Y853" s="28" t="n">
        <v>7.2</v>
      </c>
      <c r="Z853" s="11" t="inlineStr">
        <is>
          <t>Priority Tier 2 (Balanced Opportunity)</t>
        </is>
      </c>
    </row>
    <row r="854">
      <c r="A854" s="23" t="n">
        <v>1</v>
      </c>
      <c r="B854" s="23" t="n">
        <v>850</v>
      </c>
      <c r="C854" s="23" t="n">
        <v>850</v>
      </c>
      <c r="D854" s="23" t="inlineStr">
        <is>
          <t>1380610046</t>
        </is>
      </c>
      <c r="E854" s="11" t="inlineStr">
        <is>
          <t>National Capital Region (NCR)</t>
        </is>
      </c>
      <c r="F854" s="11" t="inlineStr">
        <is>
          <t>First District (Not a Province)</t>
        </is>
      </c>
      <c r="G854" s="11" t="inlineStr">
        <is>
          <t>City of Manila</t>
        </is>
      </c>
      <c r="H854" s="11" t="inlineStr">
        <is>
          <t>Barangay 731</t>
        </is>
      </c>
      <c r="I854" s="24" t="n">
        <v>14.57071</v>
      </c>
      <c r="J854" s="24" t="n">
        <v>120.996579</v>
      </c>
      <c r="K854" s="23" t="inlineStr">
        <is>
          <t>U</t>
        </is>
      </c>
      <c r="L854" s="25" t="n">
        <v>2933</v>
      </c>
      <c r="M854" s="26" t="n">
        <v>4.1</v>
      </c>
      <c r="N854" s="25">
        <f>ROUND(L854/M854, 0)</f>
        <v/>
      </c>
      <c r="O854" s="25">
        <f>ROUND(N854*'Methodology &amp; Assumptions'!$B$7, 0)</f>
        <v/>
      </c>
      <c r="P854" s="23" t="inlineStr">
        <is>
          <t>Single Carrier (Band n50, 100MHz TDD)</t>
        </is>
      </c>
      <c r="Q854" s="27">
        <f>ROUNDUP(O854/'Methodology &amp; Assumptions'!$B$8, 0)</f>
        <v/>
      </c>
      <c r="R854" s="27" t="n">
        <v>1</v>
      </c>
      <c r="S854" s="26" t="n">
        <v>0.29</v>
      </c>
      <c r="T854" s="26" t="n">
        <v>0.17</v>
      </c>
      <c r="U854" s="11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26" t="n">
        <v>64.01000000000001</v>
      </c>
      <c r="W854" s="26" t="n">
        <v>68.77</v>
      </c>
      <c r="X854" s="26">
        <f>ROUND(('Methodology &amp; Assumptions'!$B$5*V854) + ('Methodology &amp; Assumptions'!$B$6*W854), 2)</f>
        <v/>
      </c>
      <c r="Y854" s="28" t="n">
        <v>10.9</v>
      </c>
      <c r="Z854" s="11" t="inlineStr">
        <is>
          <t>Priority Tier 2 (Balanced Opportunity)</t>
        </is>
      </c>
    </row>
    <row r="855">
      <c r="A855" s="23" t="n">
        <v>1</v>
      </c>
      <c r="B855" s="23" t="n">
        <v>851</v>
      </c>
      <c r="C855" s="23" t="n">
        <v>851</v>
      </c>
      <c r="D855" s="23" t="inlineStr">
        <is>
          <t>0403412013</t>
        </is>
      </c>
      <c r="E855" s="11" t="inlineStr">
        <is>
          <t>Region IV-A (CALABARZON)</t>
        </is>
      </c>
      <c r="F855" s="11" t="inlineStr">
        <is>
          <t>Laguna</t>
        </is>
      </c>
      <c r="G855" s="11" t="inlineStr">
        <is>
          <t>Luisiana</t>
        </is>
      </c>
      <c r="H855" s="11" t="inlineStr">
        <is>
          <t>San Isidro</t>
        </is>
      </c>
      <c r="I855" s="24" t="n">
        <v>14.182025</v>
      </c>
      <c r="J855" s="24" t="n">
        <v>121.508967</v>
      </c>
      <c r="K855" s="23" t="inlineStr">
        <is>
          <t>R</t>
        </is>
      </c>
      <c r="L855" s="25" t="n">
        <v>3051</v>
      </c>
      <c r="M855" s="26" t="n">
        <v>3.3</v>
      </c>
      <c r="N855" s="25">
        <f>ROUND(L855/M855, 0)</f>
        <v/>
      </c>
      <c r="O855" s="25">
        <f>ROUND(N855*'Methodology &amp; Assumptions'!$B$7, 0)</f>
        <v/>
      </c>
      <c r="P855" s="23" t="inlineStr">
        <is>
          <t>Single Carrier (Band n50, 100MHz TDD)</t>
        </is>
      </c>
      <c r="Q855" s="27">
        <f>ROUNDUP(O855/'Methodology &amp; Assumptions'!$B$8, 0)</f>
        <v/>
      </c>
      <c r="R855" s="27" t="n">
        <v>1</v>
      </c>
      <c r="S855" s="26" t="n">
        <v>0.68</v>
      </c>
      <c r="T855" s="26" t="n">
        <v>3.8</v>
      </c>
      <c r="U855" s="11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26" t="n">
        <v>85.23</v>
      </c>
      <c r="W855" s="26" t="n">
        <v>47.54</v>
      </c>
      <c r="X855" s="26">
        <f>ROUND(('Methodology &amp; Assumptions'!$B$5*V855) + ('Methodology &amp; Assumptions'!$B$6*W855), 2)</f>
        <v/>
      </c>
      <c r="Y855" s="28" t="n">
        <v>7.2</v>
      </c>
      <c r="Z855" s="11" t="inlineStr">
        <is>
          <t>Priority Tier 2 (Balanced Opportunity)</t>
        </is>
      </c>
    </row>
    <row r="856">
      <c r="A856" s="23" t="n">
        <v>1</v>
      </c>
      <c r="B856" s="23" t="n">
        <v>852</v>
      </c>
      <c r="C856" s="23" t="n">
        <v>852</v>
      </c>
      <c r="D856" s="23" t="inlineStr">
        <is>
          <t>0402103008</t>
        </is>
      </c>
      <c r="E856" s="11" t="inlineStr">
        <is>
          <t>Region IV-A (CALABARZON)</t>
        </is>
      </c>
      <c r="F856" s="11" t="inlineStr">
        <is>
          <t>Cavite</t>
        </is>
      </c>
      <c r="G856" s="11" t="inlineStr">
        <is>
          <t>City of Bacoor</t>
        </is>
      </c>
      <c r="H856" s="11" t="inlineStr">
        <is>
          <t>Habay I</t>
        </is>
      </c>
      <c r="I856" s="24" t="n">
        <v>14.451079</v>
      </c>
      <c r="J856" s="24" t="n">
        <v>120.943318</v>
      </c>
      <c r="K856" s="23" t="inlineStr">
        <is>
          <t>U</t>
        </is>
      </c>
      <c r="L856" s="25" t="n">
        <v>21018</v>
      </c>
      <c r="M856" s="26" t="n">
        <v>3.4</v>
      </c>
      <c r="N856" s="25">
        <f>ROUND(L856/M856, 0)</f>
        <v/>
      </c>
      <c r="O856" s="25">
        <f>ROUND(N856*'Methodology &amp; Assumptions'!$B$7, 0)</f>
        <v/>
      </c>
      <c r="P856" s="23" t="inlineStr">
        <is>
          <t>Single Carrier (Band n50, 100MHz TDD)</t>
        </is>
      </c>
      <c r="Q856" s="27">
        <f>ROUNDUP(O856/'Methodology &amp; Assumptions'!$B$8, 0)</f>
        <v/>
      </c>
      <c r="R856" s="27" t="n">
        <v>1</v>
      </c>
      <c r="S856" s="26" t="n">
        <v>0.78</v>
      </c>
      <c r="T856" s="26" t="n">
        <v>0.41</v>
      </c>
      <c r="U856" s="11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26" t="n">
        <v>78.26000000000001</v>
      </c>
      <c r="W856" s="26" t="n">
        <v>54.5</v>
      </c>
      <c r="X856" s="26">
        <f>ROUND(('Methodology &amp; Assumptions'!$B$5*V856) + ('Methodology &amp; Assumptions'!$B$6*W856), 2)</f>
        <v/>
      </c>
      <c r="Y856" s="28" t="n">
        <v>7.2</v>
      </c>
      <c r="Z856" s="11" t="inlineStr">
        <is>
          <t>Priority Tier 2 (Balanced Opportunity)</t>
        </is>
      </c>
    </row>
    <row r="857">
      <c r="A857" s="23" t="n">
        <v>1</v>
      </c>
      <c r="B857" s="23" t="n">
        <v>853</v>
      </c>
      <c r="C857" s="23" t="n">
        <v>853</v>
      </c>
      <c r="D857" s="23" t="inlineStr">
        <is>
          <t>0402123008</t>
        </is>
      </c>
      <c r="E857" s="11" t="inlineStr">
        <is>
          <t>Region IV-A (CALABARZON)</t>
        </is>
      </c>
      <c r="F857" s="11" t="inlineStr">
        <is>
          <t>Cavite</t>
        </is>
      </c>
      <c r="G857" s="11" t="inlineStr">
        <is>
          <t>Gen. Mariano Alvarez</t>
        </is>
      </c>
      <c r="H857" s="11" t="inlineStr">
        <is>
          <t>Bernardo Pulido</t>
        </is>
      </c>
      <c r="I857" s="24" t="n">
        <v>14.30493</v>
      </c>
      <c r="J857" s="24" t="n">
        <v>121.015233</v>
      </c>
      <c r="K857" s="23" t="inlineStr">
        <is>
          <t>U</t>
        </is>
      </c>
      <c r="L857" s="25" t="n">
        <v>15115</v>
      </c>
      <c r="M857" s="26" t="n">
        <v>3.4</v>
      </c>
      <c r="N857" s="25">
        <f>ROUND(L857/M857, 0)</f>
        <v/>
      </c>
      <c r="O857" s="25">
        <f>ROUND(N857*'Methodology &amp; Assumptions'!$B$7, 0)</f>
        <v/>
      </c>
      <c r="P857" s="23" t="inlineStr">
        <is>
          <t>Single Carrier (Band n50, 100MHz TDD)</t>
        </is>
      </c>
      <c r="Q857" s="27">
        <f>ROUNDUP(O857/'Methodology &amp; Assumptions'!$B$8, 0)</f>
        <v/>
      </c>
      <c r="R857" s="27" t="n">
        <v>1</v>
      </c>
      <c r="S857" s="26" t="n">
        <v>2.88</v>
      </c>
      <c r="T857" s="26" t="n">
        <v>3.81</v>
      </c>
      <c r="U857" s="11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26" t="n">
        <v>67.69</v>
      </c>
      <c r="W857" s="26" t="n">
        <v>65.06999999999999</v>
      </c>
      <c r="X857" s="26">
        <f>ROUND(('Methodology &amp; Assumptions'!$B$5*V857) + ('Methodology &amp; Assumptions'!$B$6*W857), 2)</f>
        <v/>
      </c>
      <c r="Y857" s="28" t="n">
        <v>7.2</v>
      </c>
      <c r="Z857" s="11" t="inlineStr">
        <is>
          <t>Priority Tier 2 (Balanced Opportunity)</t>
        </is>
      </c>
    </row>
    <row r="858">
      <c r="A858" s="23" t="n">
        <v>1</v>
      </c>
      <c r="B858" s="23" t="n">
        <v>854</v>
      </c>
      <c r="C858" s="23" t="n">
        <v>854</v>
      </c>
      <c r="D858" s="23" t="inlineStr">
        <is>
          <t>1380601146</t>
        </is>
      </c>
      <c r="E858" s="11" t="inlineStr">
        <is>
          <t>National Capital Region (NCR)</t>
        </is>
      </c>
      <c r="F858" s="11" t="inlineStr">
        <is>
          <t>First District (Not a Province)</t>
        </is>
      </c>
      <c r="G858" s="11" t="inlineStr">
        <is>
          <t>City of Manila</t>
        </is>
      </c>
      <c r="H858" s="11" t="inlineStr">
        <is>
          <t>Barangay 146</t>
        </is>
      </c>
      <c r="I858" s="24" t="n">
        <v>14.633722</v>
      </c>
      <c r="J858" s="24" t="n">
        <v>120.968109</v>
      </c>
      <c r="K858" s="23" t="inlineStr">
        <is>
          <t>U</t>
        </is>
      </c>
      <c r="L858" s="25" t="n">
        <v>2724</v>
      </c>
      <c r="M858" s="26" t="n">
        <v>4.09</v>
      </c>
      <c r="N858" s="25">
        <f>ROUND(L858/M858, 0)</f>
        <v/>
      </c>
      <c r="O858" s="25">
        <f>ROUND(N858*'Methodology &amp; Assumptions'!$B$7, 0)</f>
        <v/>
      </c>
      <c r="P858" s="23" t="inlineStr">
        <is>
          <t>Single Carrier (Band n50, 100MHz TDD)</t>
        </is>
      </c>
      <c r="Q858" s="27">
        <f>ROUNDUP(O858/'Methodology &amp; Assumptions'!$B$8, 0)</f>
        <v/>
      </c>
      <c r="R858" s="27" t="n">
        <v>1</v>
      </c>
      <c r="S858" s="26" t="n">
        <v>0.95</v>
      </c>
      <c r="T858" s="26" t="n">
        <v>0.52</v>
      </c>
      <c r="U858" s="11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26" t="n">
        <v>62.11</v>
      </c>
      <c r="W858" s="26" t="n">
        <v>70.65000000000001</v>
      </c>
      <c r="X858" s="26">
        <f>ROUND(('Methodology &amp; Assumptions'!$B$5*V858) + ('Methodology &amp; Assumptions'!$B$6*W858), 2)</f>
        <v/>
      </c>
      <c r="Y858" s="28" t="n">
        <v>10.9</v>
      </c>
      <c r="Z858" s="11" t="inlineStr">
        <is>
          <t>Priority Tier 2 (Balanced Opportunity)</t>
        </is>
      </c>
    </row>
    <row r="859">
      <c r="A859" s="23" t="n">
        <v>1</v>
      </c>
      <c r="B859" s="23" t="n">
        <v>855</v>
      </c>
      <c r="C859" s="23" t="n">
        <v>855</v>
      </c>
      <c r="D859" s="23" t="inlineStr">
        <is>
          <t>1380601265</t>
        </is>
      </c>
      <c r="E859" s="11" t="inlineStr">
        <is>
          <t>National Capital Region (NCR)</t>
        </is>
      </c>
      <c r="F859" s="11" t="inlineStr">
        <is>
          <t>First District (Not a Province)</t>
        </is>
      </c>
      <c r="G859" s="11" t="inlineStr">
        <is>
          <t>City of Manila</t>
        </is>
      </c>
      <c r="H859" s="11" t="inlineStr">
        <is>
          <t>Barangay 264</t>
        </is>
      </c>
      <c r="I859" s="24" t="n">
        <v>14.61033</v>
      </c>
      <c r="J859" s="24" t="n">
        <v>120.978098</v>
      </c>
      <c r="K859" s="23" t="inlineStr">
        <is>
          <t>U</t>
        </is>
      </c>
      <c r="L859" s="25" t="n">
        <v>2758</v>
      </c>
      <c r="M859" s="26" t="n">
        <v>3.86</v>
      </c>
      <c r="N859" s="25">
        <f>ROUND(L859/M859, 0)</f>
        <v/>
      </c>
      <c r="O859" s="25">
        <f>ROUND(N859*'Methodology &amp; Assumptions'!$B$7, 0)</f>
        <v/>
      </c>
      <c r="P859" s="23" t="inlineStr">
        <is>
          <t>Single Carrier (Band n50, 100MHz TDD)</t>
        </is>
      </c>
      <c r="Q859" s="27">
        <f>ROUNDUP(O859/'Methodology &amp; Assumptions'!$B$8, 0)</f>
        <v/>
      </c>
      <c r="R859" s="27" t="n">
        <v>1</v>
      </c>
      <c r="S859" s="26" t="n">
        <v>0.86</v>
      </c>
      <c r="T859" s="26" t="n">
        <v>0.35</v>
      </c>
      <c r="U859" s="11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26" t="n">
        <v>63.96</v>
      </c>
      <c r="W859" s="26" t="n">
        <v>68.77</v>
      </c>
      <c r="X859" s="26">
        <f>ROUND(('Methodology &amp; Assumptions'!$B$5*V859) + ('Methodology &amp; Assumptions'!$B$6*W859), 2)</f>
        <v/>
      </c>
      <c r="Y859" s="28" t="n">
        <v>10.9</v>
      </c>
      <c r="Z859" s="11" t="inlineStr">
        <is>
          <t>Priority Tier 2 (Balanced Opportunity)</t>
        </is>
      </c>
    </row>
    <row r="860">
      <c r="A860" s="23" t="n">
        <v>1</v>
      </c>
      <c r="B860" s="23" t="n">
        <v>856</v>
      </c>
      <c r="C860" s="23" t="n">
        <v>856</v>
      </c>
      <c r="D860" s="23" t="inlineStr">
        <is>
          <t>1380611010</t>
        </is>
      </c>
      <c r="E860" s="11" t="inlineStr">
        <is>
          <t>National Capital Region (NCR)</t>
        </is>
      </c>
      <c r="F860" s="11" t="inlineStr">
        <is>
          <t>First District (Not a Province)</t>
        </is>
      </c>
      <c r="G860" s="11" t="inlineStr">
        <is>
          <t>City of Manila</t>
        </is>
      </c>
      <c r="H860" s="11" t="inlineStr">
        <is>
          <t>Barangay 676</t>
        </is>
      </c>
      <c r="I860" s="24" t="n">
        <v>14.579631</v>
      </c>
      <c r="J860" s="24" t="n">
        <v>120.988139</v>
      </c>
      <c r="K860" s="23" t="inlineStr">
        <is>
          <t>U</t>
        </is>
      </c>
      <c r="L860" s="25" t="n">
        <v>2564</v>
      </c>
      <c r="M860" s="26" t="n">
        <v>3.74</v>
      </c>
      <c r="N860" s="25">
        <f>ROUND(L860/M860, 0)</f>
        <v/>
      </c>
      <c r="O860" s="25">
        <f>ROUND(N860*'Methodology &amp; Assumptions'!$B$7, 0)</f>
        <v/>
      </c>
      <c r="P860" s="23" t="inlineStr">
        <is>
          <t>Single Carrier (Band n50, 100MHz TDD)</t>
        </is>
      </c>
      <c r="Q860" s="27">
        <f>ROUNDUP(O860/'Methodology &amp; Assumptions'!$B$8, 0)</f>
        <v/>
      </c>
      <c r="R860" s="27" t="n">
        <v>1</v>
      </c>
      <c r="S860" s="26" t="n">
        <v>1.07</v>
      </c>
      <c r="T860" s="26" t="n">
        <v>0.18</v>
      </c>
      <c r="U860" s="11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26" t="n">
        <v>62.28</v>
      </c>
      <c r="W860" s="26" t="n">
        <v>70.45999999999999</v>
      </c>
      <c r="X860" s="26">
        <f>ROUND(('Methodology &amp; Assumptions'!$B$5*V860) + ('Methodology &amp; Assumptions'!$B$6*W860), 2)</f>
        <v/>
      </c>
      <c r="Y860" s="28" t="n">
        <v>10.9</v>
      </c>
      <c r="Z860" s="11" t="inlineStr">
        <is>
          <t>Priority Tier 2 (Balanced Opportunity)</t>
        </is>
      </c>
    </row>
    <row r="861">
      <c r="A861" s="23" t="n">
        <v>1</v>
      </c>
      <c r="B861" s="23" t="n">
        <v>857</v>
      </c>
      <c r="C861" s="23" t="n">
        <v>857</v>
      </c>
      <c r="D861" s="23" t="inlineStr">
        <is>
          <t>0402116011</t>
        </is>
      </c>
      <c r="E861" s="11" t="inlineStr">
        <is>
          <t>Region IV-A (CALABARZON)</t>
        </is>
      </c>
      <c r="F861" s="11" t="inlineStr">
        <is>
          <t>Cavite</t>
        </is>
      </c>
      <c r="G861" s="11" t="inlineStr">
        <is>
          <t>Noveleta</t>
        </is>
      </c>
      <c r="H861" s="11" t="inlineStr">
        <is>
          <t>San Antonio II</t>
        </is>
      </c>
      <c r="I861" s="24" t="n">
        <v>14.420939</v>
      </c>
      <c r="J861" s="24" t="n">
        <v>120.884568</v>
      </c>
      <c r="K861" s="23" t="inlineStr">
        <is>
          <t>R</t>
        </is>
      </c>
      <c r="L861" s="25" t="n">
        <v>2182</v>
      </c>
      <c r="M861" s="26" t="n">
        <v>3.4</v>
      </c>
      <c r="N861" s="25">
        <f>ROUND(L861/M861, 0)</f>
        <v/>
      </c>
      <c r="O861" s="25">
        <f>ROUND(N861*'Methodology &amp; Assumptions'!$B$7, 0)</f>
        <v/>
      </c>
      <c r="P861" s="23" t="inlineStr">
        <is>
          <t>Single Carrier (Band n50, 100MHz TDD)</t>
        </is>
      </c>
      <c r="Q861" s="27">
        <f>ROUNDUP(O861/'Methodology &amp; Assumptions'!$B$8, 0)</f>
        <v/>
      </c>
      <c r="R861" s="27" t="n">
        <v>1</v>
      </c>
      <c r="S861" s="26" t="n">
        <v>0.97</v>
      </c>
      <c r="T861" s="26" t="n">
        <v>0.22</v>
      </c>
      <c r="U861" s="11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26" t="n">
        <v>79.34999999999999</v>
      </c>
      <c r="W861" s="26" t="n">
        <v>53.37</v>
      </c>
      <c r="X861" s="26">
        <f>ROUND(('Methodology &amp; Assumptions'!$B$5*V861) + ('Methodology &amp; Assumptions'!$B$6*W861), 2)</f>
        <v/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1</v>
      </c>
      <c r="B862" s="23" t="n">
        <v>858</v>
      </c>
      <c r="C862" s="23" t="n">
        <v>858</v>
      </c>
      <c r="D862" s="23" t="inlineStr">
        <is>
          <t>0402103026</t>
        </is>
      </c>
      <c r="E862" s="11" t="inlineStr">
        <is>
          <t>Region IV-A (CALABARZON)</t>
        </is>
      </c>
      <c r="F862" s="11" t="inlineStr">
        <is>
          <t>Cavite</t>
        </is>
      </c>
      <c r="G862" s="11" t="inlineStr">
        <is>
          <t>City of Bacoor</t>
        </is>
      </c>
      <c r="H862" s="11" t="inlineStr">
        <is>
          <t>Queens Row Central</t>
        </is>
      </c>
      <c r="I862" s="24" t="n">
        <v>14.398251</v>
      </c>
      <c r="J862" s="24" t="n">
        <v>120.988041</v>
      </c>
      <c r="K862" s="23" t="inlineStr">
        <is>
          <t>U</t>
        </is>
      </c>
      <c r="L862" s="25" t="n">
        <v>6419</v>
      </c>
      <c r="M862" s="26" t="n">
        <v>3.4</v>
      </c>
      <c r="N862" s="25">
        <f>ROUND(L862/M862, 0)</f>
        <v/>
      </c>
      <c r="O862" s="25">
        <f>ROUND(N862*'Methodology &amp; Assumptions'!$B$7, 0)</f>
        <v/>
      </c>
      <c r="P862" s="23" t="inlineStr">
        <is>
          <t>Single Carrier (Band n50, 100MHz TDD)</t>
        </is>
      </c>
      <c r="Q862" s="27">
        <f>ROUNDUP(O862/'Methodology &amp; Assumptions'!$B$8, 0)</f>
        <v/>
      </c>
      <c r="R862" s="27" t="n">
        <v>1</v>
      </c>
      <c r="S862" s="26" t="n">
        <v>1.14</v>
      </c>
      <c r="T862" s="26" t="n">
        <v>4.23</v>
      </c>
      <c r="U862" s="11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26" t="n">
        <v>73.62</v>
      </c>
      <c r="W862" s="26" t="n">
        <v>59.1</v>
      </c>
      <c r="X862" s="26">
        <f>ROUND(('Methodology &amp; Assumptions'!$B$5*V862) + ('Methodology &amp; Assumptions'!$B$6*W862), 2)</f>
        <v/>
      </c>
      <c r="Y862" s="28" t="n">
        <v>7.2</v>
      </c>
      <c r="Z862" s="11" t="inlineStr">
        <is>
          <t>Priority Tier 2 (Balanced Opportunity)</t>
        </is>
      </c>
    </row>
    <row r="863">
      <c r="A863" s="23" t="n">
        <v>1</v>
      </c>
      <c r="B863" s="23" t="n">
        <v>859</v>
      </c>
      <c r="C863" s="23" t="n">
        <v>859</v>
      </c>
      <c r="D863" s="23" t="inlineStr">
        <is>
          <t>0802604046</t>
        </is>
      </c>
      <c r="E863" s="11" t="inlineStr">
        <is>
          <t>Region VIII (Eastern Visayas)</t>
        </is>
      </c>
      <c r="F863" s="11" t="inlineStr">
        <is>
          <t>Eastern Samar</t>
        </is>
      </c>
      <c r="G863" s="11" t="inlineStr">
        <is>
          <t>City of Borongan</t>
        </is>
      </c>
      <c r="H863" s="11" t="inlineStr">
        <is>
          <t>San Andres</t>
        </is>
      </c>
      <c r="I863" s="24" t="n">
        <v>14.572464</v>
      </c>
      <c r="J863" s="24" t="n">
        <v>121.003405</v>
      </c>
      <c r="K863" s="23" t="inlineStr">
        <is>
          <t>R</t>
        </is>
      </c>
      <c r="L863" s="25" t="n">
        <v>382</v>
      </c>
      <c r="M863" s="26" t="n">
        <v>3.9</v>
      </c>
      <c r="N863" s="25">
        <f>ROUND(L863/M863, 0)</f>
        <v/>
      </c>
      <c r="O863" s="25">
        <f>ROUND(N863*'Methodology &amp; Assumptions'!$B$7, 0)</f>
        <v/>
      </c>
      <c r="P863" s="23" t="inlineStr">
        <is>
          <t>Single Carrier (Band n50, 100MHz TDD)</t>
        </is>
      </c>
      <c r="Q863" s="27">
        <f>ROUNDUP(O863/'Methodology &amp; Assumptions'!$B$8, 0)</f>
        <v/>
      </c>
      <c r="R863" s="27" t="n">
        <v>1</v>
      </c>
      <c r="S863" s="26" t="n">
        <v>0.99</v>
      </c>
      <c r="T863" s="26" t="n">
        <v>0.49</v>
      </c>
      <c r="U863" s="11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26" t="n">
        <v>63.83</v>
      </c>
      <c r="W863" s="26" t="n">
        <v>68.88</v>
      </c>
      <c r="X863" s="26">
        <f>ROUND(('Methodology &amp; Assumptions'!$B$5*V863) + ('Methodology &amp; Assumptions'!$B$6*W863), 2)</f>
        <v/>
      </c>
      <c r="Y863" s="28" t="n">
        <v>23.7</v>
      </c>
      <c r="Z863" s="11" t="inlineStr">
        <is>
          <t>Priority Tier 2 (Balanced Opportunity)</t>
        </is>
      </c>
    </row>
    <row r="864">
      <c r="A864" s="23" t="n">
        <v>1</v>
      </c>
      <c r="B864" s="23" t="n">
        <v>860</v>
      </c>
      <c r="C864" s="23" t="n">
        <v>860</v>
      </c>
      <c r="D864" s="23" t="inlineStr">
        <is>
          <t>0205008019</t>
        </is>
      </c>
      <c r="E864" s="11" t="inlineStr">
        <is>
          <t>Region II (Cagayan Valley)</t>
        </is>
      </c>
      <c r="F864" s="11" t="inlineStr">
        <is>
          <t>Nueva Vizcaya</t>
        </is>
      </c>
      <c r="G864" s="11" t="inlineStr">
        <is>
          <t>Dupax del Sur</t>
        </is>
      </c>
      <c r="H864" s="11" t="inlineStr">
        <is>
          <t>Kimbutan</t>
        </is>
      </c>
      <c r="I864" s="24" t="n">
        <v>16.119743</v>
      </c>
      <c r="J864" s="24" t="n">
        <v>121.211122</v>
      </c>
      <c r="K864" s="23" t="inlineStr">
        <is>
          <t>R</t>
        </is>
      </c>
      <c r="L864" s="25" t="n">
        <v>1561</v>
      </c>
      <c r="M864" s="26" t="n">
        <v>3.8</v>
      </c>
      <c r="N864" s="25">
        <f>ROUND(L864/M864, 0)</f>
        <v/>
      </c>
      <c r="O864" s="25">
        <f>ROUND(N864*'Methodology &amp; Assumptions'!$B$7, 0)</f>
        <v/>
      </c>
      <c r="P864" s="23" t="inlineStr">
        <is>
          <t>Single Carrier (Band n50, 100MHz TDD)</t>
        </is>
      </c>
      <c r="Q864" s="27">
        <f>ROUNDUP(O864/'Methodology &amp; Assumptions'!$B$8, 0)</f>
        <v/>
      </c>
      <c r="R864" s="27" t="n">
        <v>1</v>
      </c>
      <c r="S864" s="26" t="n">
        <v>6.1</v>
      </c>
      <c r="T864" s="26" t="n">
        <v>26.44</v>
      </c>
      <c r="U864" s="11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26" t="n">
        <v>55.68</v>
      </c>
      <c r="W864" s="26" t="n">
        <v>77.05</v>
      </c>
      <c r="X864" s="26">
        <f>ROUND(('Methodology &amp; Assumptions'!$B$5*V864) + ('Methodology &amp; Assumptions'!$B$6*W864), 2)</f>
        <v/>
      </c>
      <c r="Y864" s="28" t="n">
        <v>8.300000000000001</v>
      </c>
      <c r="Z864" s="11" t="inlineStr">
        <is>
          <t>Priority Tier 2 (Balanced Opportunity)</t>
        </is>
      </c>
    </row>
    <row r="865">
      <c r="A865" s="23" t="n">
        <v>1</v>
      </c>
      <c r="B865" s="23" t="n">
        <v>861</v>
      </c>
      <c r="C865" s="23" t="n">
        <v>861</v>
      </c>
      <c r="D865" s="23" t="inlineStr">
        <is>
          <t>1102501004</t>
        </is>
      </c>
      <c r="E865" s="11" t="inlineStr">
        <is>
          <t>Region XI (Davao Region)</t>
        </is>
      </c>
      <c r="F865" s="11" t="inlineStr">
        <is>
          <t>Davao Oriental</t>
        </is>
      </c>
      <c r="G865" s="11" t="inlineStr">
        <is>
          <t>Baganga</t>
        </is>
      </c>
      <c r="H865" s="11" t="inlineStr">
        <is>
          <t>Batiano</t>
        </is>
      </c>
      <c r="I865" s="24" t="n">
        <v>7.547708</v>
      </c>
      <c r="J865" s="24" t="n">
        <v>126.468896</v>
      </c>
      <c r="K865" s="23" t="inlineStr">
        <is>
          <t>R</t>
        </is>
      </c>
      <c r="L865" s="25" t="n">
        <v>2886</v>
      </c>
      <c r="M865" s="26" t="n">
        <v>3.6</v>
      </c>
      <c r="N865" s="25">
        <f>ROUND(L865/M865, 0)</f>
        <v/>
      </c>
      <c r="O865" s="25">
        <f>ROUND(N865*'Methodology &amp; Assumptions'!$B$7, 0)</f>
        <v/>
      </c>
      <c r="P865" s="23" t="inlineStr">
        <is>
          <t>Single Carrier (Band n50, 100MHz TDD)</t>
        </is>
      </c>
      <c r="Q865" s="27">
        <f>ROUNDUP(O865/'Methodology &amp; Assumptions'!$B$8, 0)</f>
        <v/>
      </c>
      <c r="R865" s="27" t="n">
        <v>1</v>
      </c>
      <c r="S865" s="26" t="n">
        <v>55.09</v>
      </c>
      <c r="T865" s="26" t="n">
        <v>54.86</v>
      </c>
      <c r="U865" s="11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26" t="n">
        <v>60.33</v>
      </c>
      <c r="W865" s="26" t="n">
        <v>72.36</v>
      </c>
      <c r="X865" s="26">
        <f>ROUND(('Methodology &amp; Assumptions'!$B$5*V865) + ('Methodology &amp; Assumptions'!$B$6*W865), 2)</f>
        <v/>
      </c>
      <c r="Y865" s="28" t="n">
        <v>17.4</v>
      </c>
      <c r="Z865" s="11" t="inlineStr">
        <is>
          <t>Priority Tier 2 (Balanced Opportunity)</t>
        </is>
      </c>
    </row>
    <row r="866">
      <c r="A866" s="23" t="n">
        <v>1</v>
      </c>
      <c r="B866" s="23" t="n">
        <v>862</v>
      </c>
      <c r="C866" s="23" t="n">
        <v>862</v>
      </c>
      <c r="D866" s="23" t="inlineStr">
        <is>
          <t>0601909026</t>
        </is>
      </c>
      <c r="E866" s="11" t="inlineStr">
        <is>
          <t>Region VI (Western Visayas)</t>
        </is>
      </c>
      <c r="F866" s="11" t="inlineStr">
        <is>
          <t>Capiz</t>
        </is>
      </c>
      <c r="G866" s="11" t="inlineStr">
        <is>
          <t>Panay</t>
        </is>
      </c>
      <c r="H866" s="11" t="inlineStr">
        <is>
          <t>Lat-Asan</t>
        </is>
      </c>
      <c r="I866" s="24" t="n">
        <v>11.545829</v>
      </c>
      <c r="J866" s="24" t="n">
        <v>122.863146</v>
      </c>
      <c r="K866" s="23" t="inlineStr">
        <is>
          <t>R</t>
        </is>
      </c>
      <c r="L866" s="25" t="n">
        <v>823</v>
      </c>
      <c r="M866" s="26" t="n">
        <v>3.8</v>
      </c>
      <c r="N866" s="25">
        <f>ROUND(L866/M866, 0)</f>
        <v/>
      </c>
      <c r="O866" s="25">
        <f>ROUND(N866*'Methodology &amp; Assumptions'!$B$7, 0)</f>
        <v/>
      </c>
      <c r="P866" s="23" t="inlineStr">
        <is>
          <t>Single Carrier (Band n50, 100MHz TDD)</t>
        </is>
      </c>
      <c r="Q866" s="27">
        <f>ROUNDUP(O866/'Methodology &amp; Assumptions'!$B$8, 0)</f>
        <v/>
      </c>
      <c r="R866" s="27" t="n">
        <v>1</v>
      </c>
      <c r="S866" s="26" t="n">
        <v>7.45</v>
      </c>
      <c r="T866" s="26" t="n">
        <v>7.07</v>
      </c>
      <c r="U866" s="11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26" t="n">
        <v>49.7</v>
      </c>
      <c r="W866" s="26" t="n">
        <v>82.95999999999999</v>
      </c>
      <c r="X866" s="26">
        <f>ROUND(('Methodology &amp; Assumptions'!$B$5*V866) + ('Methodology &amp; Assumptions'!$B$6*W866), 2)</f>
        <v/>
      </c>
      <c r="Y866" s="28" t="n">
        <v>23.7</v>
      </c>
      <c r="Z866" s="11" t="inlineStr">
        <is>
          <t>Priority Tier 2 (Balanced Opportunity)</t>
        </is>
      </c>
    </row>
    <row r="867">
      <c r="A867" s="23" t="n">
        <v>1</v>
      </c>
      <c r="B867" s="23" t="n">
        <v>863</v>
      </c>
      <c r="C867" s="23" t="n">
        <v>863</v>
      </c>
      <c r="D867" s="23" t="inlineStr">
        <is>
          <t>1004326012</t>
        </is>
      </c>
      <c r="E867" s="11" t="inlineStr">
        <is>
          <t>Region X (Northern Mindanao)</t>
        </is>
      </c>
      <c r="F867" s="11" t="inlineStr">
        <is>
          <t>Misamis Oriental</t>
        </is>
      </c>
      <c r="G867" s="11" t="inlineStr">
        <is>
          <t>Villanueva</t>
        </is>
      </c>
      <c r="H867" s="11" t="inlineStr">
        <is>
          <t>Poblacion 2</t>
        </is>
      </c>
      <c r="I867" s="24" t="n">
        <v>8.5861</v>
      </c>
      <c r="J867" s="24" t="n">
        <v>124.771608</v>
      </c>
      <c r="K867" s="23" t="inlineStr">
        <is>
          <t>R</t>
        </is>
      </c>
      <c r="L867" s="25" t="n">
        <v>2792</v>
      </c>
      <c r="M867" s="26" t="n">
        <v>3.9</v>
      </c>
      <c r="N867" s="25">
        <f>ROUND(L867/M867, 0)</f>
        <v/>
      </c>
      <c r="O867" s="25">
        <f>ROUND(N867*'Methodology &amp; Assumptions'!$B$7, 0)</f>
        <v/>
      </c>
      <c r="P867" s="23" t="inlineStr">
        <is>
          <t>Single Carrier (Band n50, 100MHz TDD)</t>
        </is>
      </c>
      <c r="Q867" s="27">
        <f>ROUNDUP(O867/'Methodology &amp; Assumptions'!$B$8, 0)</f>
        <v/>
      </c>
      <c r="R867" s="27" t="n">
        <v>1</v>
      </c>
      <c r="S867" s="26" t="n">
        <v>0.99</v>
      </c>
      <c r="T867" s="26" t="n">
        <v>0.11</v>
      </c>
      <c r="U867" s="11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26" t="n">
        <v>82.31</v>
      </c>
      <c r="W867" s="26" t="n">
        <v>50.33</v>
      </c>
      <c r="X867" s="26">
        <f>ROUND(('Methodology &amp; Assumptions'!$B$5*V867) + ('Methodology &amp; Assumptions'!$B$6*W867), 2)</f>
        <v/>
      </c>
      <c r="Y867" s="28" t="n">
        <v>17.4</v>
      </c>
      <c r="Z867" s="11" t="inlineStr">
        <is>
          <t>Priority Tier 2 (Balanced Opportunity)</t>
        </is>
      </c>
    </row>
    <row r="868">
      <c r="A868" s="23" t="n">
        <v>1</v>
      </c>
      <c r="B868" s="23" t="n">
        <v>864</v>
      </c>
      <c r="C868" s="23" t="n">
        <v>864</v>
      </c>
      <c r="D868" s="23" t="inlineStr">
        <is>
          <t>0402117003</t>
        </is>
      </c>
      <c r="E868" s="11" t="inlineStr">
        <is>
          <t>Region IV-A (CALABARZON)</t>
        </is>
      </c>
      <c r="F868" s="11" t="inlineStr">
        <is>
          <t>Cavite</t>
        </is>
      </c>
      <c r="G868" s="11" t="inlineStr">
        <is>
          <t>Rosario</t>
        </is>
      </c>
      <c r="H868" s="11" t="inlineStr">
        <is>
          <t>Kanluran</t>
        </is>
      </c>
      <c r="I868" s="24" t="n">
        <v>14.418658</v>
      </c>
      <c r="J868" s="24" t="n">
        <v>120.850498</v>
      </c>
      <c r="K868" s="23" t="inlineStr">
        <is>
          <t>R</t>
        </is>
      </c>
      <c r="L868" s="25" t="n">
        <v>3968</v>
      </c>
      <c r="M868" s="26" t="n">
        <v>3.4</v>
      </c>
      <c r="N868" s="25">
        <f>ROUND(L868/M868, 0)</f>
        <v/>
      </c>
      <c r="O868" s="25">
        <f>ROUND(N868*'Methodology &amp; Assumptions'!$B$7, 0)</f>
        <v/>
      </c>
      <c r="P868" s="23" t="inlineStr">
        <is>
          <t>Single Carrier (Band n50, 100MHz TDD)</t>
        </is>
      </c>
      <c r="Q868" s="27">
        <f>ROUNDUP(O868/'Methodology &amp; Assumptions'!$B$8, 0)</f>
        <v/>
      </c>
      <c r="R868" s="27" t="n">
        <v>1</v>
      </c>
      <c r="S868" s="26" t="n">
        <v>2.59</v>
      </c>
      <c r="T868" s="26" t="n">
        <v>2.79</v>
      </c>
      <c r="U868" s="11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26" t="n">
        <v>75.77</v>
      </c>
      <c r="W868" s="26" t="n">
        <v>56.85</v>
      </c>
      <c r="X868" s="26">
        <f>ROUND(('Methodology &amp; Assumptions'!$B$5*V868) + ('Methodology &amp; Assumptions'!$B$6*W868), 2)</f>
        <v/>
      </c>
      <c r="Y868" s="28" t="n">
        <v>7.2</v>
      </c>
      <c r="Z868" s="11" t="inlineStr">
        <is>
          <t>Priority Tier 2 (Balanced Opportunity)</t>
        </is>
      </c>
    </row>
    <row r="869">
      <c r="A869" s="23" t="n">
        <v>1</v>
      </c>
      <c r="B869" s="23" t="n">
        <v>865</v>
      </c>
      <c r="C869" s="23" t="n">
        <v>865</v>
      </c>
      <c r="D869" s="23" t="inlineStr">
        <is>
          <t>0403405044</t>
        </is>
      </c>
      <c r="E869" s="11" t="inlineStr">
        <is>
          <t>Region IV-A (CALABARZON)</t>
        </is>
      </c>
      <c r="F869" s="11" t="inlineStr">
        <is>
          <t>Laguna</t>
        </is>
      </c>
      <c r="G869" s="11" t="inlineStr">
        <is>
          <t>City of Calamba</t>
        </is>
      </c>
      <c r="H869" s="11" t="inlineStr">
        <is>
          <t>Barangay 7</t>
        </is>
      </c>
      <c r="I869" s="24" t="n">
        <v>14.21255</v>
      </c>
      <c r="J869" s="24" t="n">
        <v>121.16975</v>
      </c>
      <c r="K869" s="23" t="inlineStr">
        <is>
          <t>R</t>
        </is>
      </c>
      <c r="L869" s="25" t="n">
        <v>2584</v>
      </c>
      <c r="M869" s="26" t="n">
        <v>3.3</v>
      </c>
      <c r="N869" s="25">
        <f>ROUND(L869/M869, 0)</f>
        <v/>
      </c>
      <c r="O869" s="25">
        <f>ROUND(N869*'Methodology &amp; Assumptions'!$B$7, 0)</f>
        <v/>
      </c>
      <c r="P869" s="23" t="inlineStr">
        <is>
          <t>Single Carrier (Band n50, 100MHz TDD)</t>
        </is>
      </c>
      <c r="Q869" s="27">
        <f>ROUNDUP(O869/'Methodology &amp; Assumptions'!$B$8, 0)</f>
        <v/>
      </c>
      <c r="R869" s="27" t="n">
        <v>1</v>
      </c>
      <c r="S869" s="26" t="n">
        <v>3.06</v>
      </c>
      <c r="T869" s="26" t="n">
        <v>0.26</v>
      </c>
      <c r="U869" s="11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26" t="n">
        <v>76.83</v>
      </c>
      <c r="W869" s="26" t="n">
        <v>55.77</v>
      </c>
      <c r="X869" s="26">
        <f>ROUND(('Methodology &amp; Assumptions'!$B$5*V869) + ('Methodology &amp; Assumptions'!$B$6*W869), 2)</f>
        <v/>
      </c>
      <c r="Y869" s="28" t="n">
        <v>7.2</v>
      </c>
      <c r="Z869" s="11" t="inlineStr">
        <is>
          <t>Priority Tier 2 (Balanced Opportunity)</t>
        </is>
      </c>
    </row>
    <row r="870">
      <c r="A870" s="23" t="n">
        <v>1</v>
      </c>
      <c r="B870" s="23" t="n">
        <v>866</v>
      </c>
      <c r="C870" s="23" t="n">
        <v>866</v>
      </c>
      <c r="D870" s="23" t="inlineStr">
        <is>
          <t>1381600005</t>
        </is>
      </c>
      <c r="E870" s="11" t="inlineStr">
        <is>
          <t>National Capital Region (NCR)</t>
        </is>
      </c>
      <c r="F870" s="11" t="inlineStr">
        <is>
          <t>Third District (Not a Province)</t>
        </is>
      </c>
      <c r="G870" s="11" t="inlineStr">
        <is>
          <t>City of Valenzuela</t>
        </is>
      </c>
      <c r="H870" s="11" t="inlineStr">
        <is>
          <t>Bignay</t>
        </is>
      </c>
      <c r="I870" s="24" t="n">
        <v>14.74473</v>
      </c>
      <c r="J870" s="24" t="n">
        <v>121.0033</v>
      </c>
      <c r="K870" s="23" t="inlineStr">
        <is>
          <t>U</t>
        </is>
      </c>
      <c r="L870" s="25" t="n">
        <v>53837</v>
      </c>
      <c r="M870" s="26" t="n">
        <v>3.69</v>
      </c>
      <c r="N870" s="25">
        <f>ROUND(L870/M870, 0)</f>
        <v/>
      </c>
      <c r="O870" s="25">
        <f>ROUND(N870*'Methodology &amp; Assumptions'!$B$7, 0)</f>
        <v/>
      </c>
      <c r="P870" s="23" t="inlineStr">
        <is>
          <t>Single Carrier (Band n50, 100MHz TDD)</t>
        </is>
      </c>
      <c r="Q870" s="27">
        <f>ROUNDUP(O870/'Methodology &amp; Assumptions'!$B$8, 0)</f>
        <v/>
      </c>
      <c r="R870" s="27" t="n">
        <v>1</v>
      </c>
      <c r="S870" s="26" t="n">
        <v>0.98</v>
      </c>
      <c r="T870" s="26" t="n">
        <v>0.18</v>
      </c>
      <c r="U870" s="11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26" t="n">
        <v>65.63</v>
      </c>
      <c r="W870" s="26" t="n">
        <v>66.95</v>
      </c>
      <c r="X870" s="26">
        <f>ROUND(('Methodology &amp; Assumptions'!$B$5*V870) + ('Methodology &amp; Assumptions'!$B$6*W870), 2)</f>
        <v/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1</v>
      </c>
      <c r="B871" s="23" t="n">
        <v>867</v>
      </c>
      <c r="C871" s="23" t="n">
        <v>867</v>
      </c>
      <c r="D871" s="23" t="inlineStr">
        <is>
          <t>0102916004</t>
        </is>
      </c>
      <c r="E871" s="11" t="inlineStr">
        <is>
          <t>Region I (Ilocos Region)</t>
        </is>
      </c>
      <c r="F871" s="11" t="inlineStr">
        <is>
          <t>Ilocos Sur</t>
        </is>
      </c>
      <c r="G871" s="11" t="inlineStr">
        <is>
          <t>Salcedo</t>
        </is>
      </c>
      <c r="H871" s="11" t="inlineStr">
        <is>
          <t>Baluarte</t>
        </is>
      </c>
      <c r="I871" s="24" t="n">
        <v>17.101832</v>
      </c>
      <c r="J871" s="24" t="n">
        <v>120.553814</v>
      </c>
      <c r="K871" s="23" t="inlineStr">
        <is>
          <t>R</t>
        </is>
      </c>
      <c r="L871" s="25" t="n">
        <v>671</v>
      </c>
      <c r="M871" s="26" t="n">
        <v>3.8</v>
      </c>
      <c r="N871" s="25">
        <f>ROUND(L871/M871, 0)</f>
        <v/>
      </c>
      <c r="O871" s="25">
        <f>ROUND(N871*'Methodology &amp; Assumptions'!$B$7, 0)</f>
        <v/>
      </c>
      <c r="P871" s="23" t="inlineStr">
        <is>
          <t>Single Carrier (Band n50, 100MHz TDD)</t>
        </is>
      </c>
      <c r="Q871" s="27">
        <f>ROUNDUP(O871/'Methodology &amp; Assumptions'!$B$8, 0)</f>
        <v/>
      </c>
      <c r="R871" s="27" t="n">
        <v>1</v>
      </c>
      <c r="S871" s="26" t="n">
        <v>5.6</v>
      </c>
      <c r="T871" s="26" t="n">
        <v>10.1</v>
      </c>
      <c r="U871" s="11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26" t="n">
        <v>48.83</v>
      </c>
      <c r="W871" s="26" t="n">
        <v>83.76000000000001</v>
      </c>
      <c r="X871" s="26">
        <f>ROUND(('Methodology &amp; Assumptions'!$B$5*V871) + ('Methodology &amp; Assumptions'!$B$6*W871), 2)</f>
        <v/>
      </c>
      <c r="Y871" s="28" t="n">
        <v>8.300000000000001</v>
      </c>
      <c r="Z871" s="11" t="inlineStr">
        <is>
          <t>Priority Tier 2 (Balanced Opportunity)</t>
        </is>
      </c>
    </row>
    <row r="872">
      <c r="A872" s="23" t="n">
        <v>1</v>
      </c>
      <c r="B872" s="23" t="n">
        <v>868</v>
      </c>
      <c r="C872" s="23" t="n">
        <v>868</v>
      </c>
      <c r="D872" s="23" t="inlineStr">
        <is>
          <t>0702219003</t>
        </is>
      </c>
      <c r="E872" s="11" t="inlineStr">
        <is>
          <t>Region VII (Central Visayas)</t>
        </is>
      </c>
      <c r="F872" s="11" t="inlineStr">
        <is>
          <t>Cebu</t>
        </is>
      </c>
      <c r="G872" s="11" t="inlineStr">
        <is>
          <t>Consolacion</t>
        </is>
      </c>
      <c r="H872" s="11" t="inlineStr">
        <is>
          <t>Casili</t>
        </is>
      </c>
      <c r="I872" s="24" t="n">
        <v>10.374008</v>
      </c>
      <c r="J872" s="24" t="n">
        <v>123.948057</v>
      </c>
      <c r="K872" s="23" t="inlineStr">
        <is>
          <t>U</t>
        </is>
      </c>
      <c r="L872" s="25" t="n">
        <v>19021</v>
      </c>
      <c r="M872" s="26" t="n">
        <v>3.8</v>
      </c>
      <c r="N872" s="25">
        <f>ROUND(L872/M872, 0)</f>
        <v/>
      </c>
      <c r="O872" s="25">
        <f>ROUND(N872*'Methodology &amp; Assumptions'!$B$7, 0)</f>
        <v/>
      </c>
      <c r="P872" s="23" t="inlineStr">
        <is>
          <t>Single Carrier (Band n50, 100MHz TDD)</t>
        </is>
      </c>
      <c r="Q872" s="27">
        <f>ROUNDUP(O872/'Methodology &amp; Assumptions'!$B$8, 0)</f>
        <v/>
      </c>
      <c r="R872" s="27" t="n">
        <v>1</v>
      </c>
      <c r="S872" s="26" t="n">
        <v>1.2</v>
      </c>
      <c r="T872" s="26" t="n">
        <v>0.26</v>
      </c>
      <c r="U872" s="11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26" t="n">
        <v>79.47</v>
      </c>
      <c r="W872" s="26" t="n">
        <v>53.09</v>
      </c>
      <c r="X872" s="26">
        <f>ROUND(('Methodology &amp; Assumptions'!$B$5*V872) + ('Methodology &amp; Assumptions'!$B$6*W872), 2)</f>
        <v/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1</v>
      </c>
      <c r="B873" s="23" t="n">
        <v>869</v>
      </c>
      <c r="C873" s="23" t="n">
        <v>869</v>
      </c>
      <c r="D873" s="23" t="inlineStr">
        <is>
          <t>1380601012</t>
        </is>
      </c>
      <c r="E873" s="11" t="inlineStr">
        <is>
          <t>National Capital Region (NCR)</t>
        </is>
      </c>
      <c r="F873" s="11" t="inlineStr">
        <is>
          <t>First District (Not a Province)</t>
        </is>
      </c>
      <c r="G873" s="11" t="inlineStr">
        <is>
          <t>City of Manila</t>
        </is>
      </c>
      <c r="H873" s="11" t="inlineStr">
        <is>
          <t>Barangay 12</t>
        </is>
      </c>
      <c r="I873" s="24" t="n">
        <v>14.601107</v>
      </c>
      <c r="J873" s="24" t="n">
        <v>120.965658</v>
      </c>
      <c r="K873" s="23" t="inlineStr">
        <is>
          <t>U</t>
        </is>
      </c>
      <c r="L873" s="25" t="n">
        <v>1723</v>
      </c>
      <c r="M873" s="26" t="n">
        <v>3.82</v>
      </c>
      <c r="N873" s="25">
        <f>ROUND(L873/M873, 0)</f>
        <v/>
      </c>
      <c r="O873" s="25">
        <f>ROUND(N873*'Methodology &amp; Assumptions'!$B$7, 0)</f>
        <v/>
      </c>
      <c r="P873" s="23" t="inlineStr">
        <is>
          <t>Single Carrier (Band n50, 100MHz TDD)</t>
        </is>
      </c>
      <c r="Q873" s="27">
        <f>ROUNDUP(O873/'Methodology &amp; Assumptions'!$B$8, 0)</f>
        <v/>
      </c>
      <c r="R873" s="27" t="n">
        <v>1</v>
      </c>
      <c r="S873" s="26" t="n">
        <v>0.76</v>
      </c>
      <c r="T873" s="26" t="n">
        <v>0.76</v>
      </c>
      <c r="U873" s="11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26" t="n">
        <v>55.55</v>
      </c>
      <c r="W873" s="26" t="n">
        <v>77</v>
      </c>
      <c r="X873" s="26">
        <f>ROUND(('Methodology &amp; Assumptions'!$B$5*V873) + ('Methodology &amp; Assumptions'!$B$6*W873), 2)</f>
        <v/>
      </c>
      <c r="Y873" s="28" t="n">
        <v>10.9</v>
      </c>
      <c r="Z873" s="11" t="inlineStr">
        <is>
          <t>Priority Tier 2 (Balanced Opportunity)</t>
        </is>
      </c>
    </row>
    <row r="874">
      <c r="A874" s="23" t="n">
        <v>1</v>
      </c>
      <c r="B874" s="23" t="n">
        <v>870</v>
      </c>
      <c r="C874" s="23" t="n">
        <v>870</v>
      </c>
      <c r="D874" s="23" t="inlineStr">
        <is>
          <t>1381100038</t>
        </is>
      </c>
      <c r="E874" s="11" t="inlineStr">
        <is>
          <t>National Capital Region (NCR)</t>
        </is>
      </c>
      <c r="F874" s="11" t="inlineStr">
        <is>
          <t>Fourth District (Not a Province)</t>
        </is>
      </c>
      <c r="G874" s="11" t="inlineStr">
        <is>
          <t>Pasay City</t>
        </is>
      </c>
      <c r="H874" s="11" t="inlineStr">
        <is>
          <t>Barangay 38</t>
        </is>
      </c>
      <c r="I874" s="24" t="n">
        <v>14.552723</v>
      </c>
      <c r="J874" s="24" t="n">
        <v>120.996231</v>
      </c>
      <c r="K874" s="23" t="inlineStr">
        <is>
          <t>U</t>
        </is>
      </c>
      <c r="L874" s="25" t="n">
        <v>1979</v>
      </c>
      <c r="M874" s="26" t="n">
        <v>3.09</v>
      </c>
      <c r="N874" s="25">
        <f>ROUND(L874/M874, 0)</f>
        <v/>
      </c>
      <c r="O874" s="25">
        <f>ROUND(N874*'Methodology &amp; Assumptions'!$B$7, 0)</f>
        <v/>
      </c>
      <c r="P874" s="23" t="inlineStr">
        <is>
          <t>Single Carrier (Band n50, 100MHz TDD)</t>
        </is>
      </c>
      <c r="Q874" s="27">
        <f>ROUNDUP(O874/'Methodology &amp; Assumptions'!$B$8, 0)</f>
        <v/>
      </c>
      <c r="R874" s="27" t="n">
        <v>1</v>
      </c>
      <c r="S874" s="26" t="n">
        <v>0.49</v>
      </c>
      <c r="T874" s="26" t="n">
        <v>0.18</v>
      </c>
      <c r="U874" s="11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26" t="n">
        <v>61.66</v>
      </c>
      <c r="W874" s="26" t="n">
        <v>70.86</v>
      </c>
      <c r="X874" s="26">
        <f>ROUND(('Methodology &amp; Assumptions'!$B$5*V874) + ('Methodology &amp; Assumptions'!$B$6*W874), 2)</f>
        <v/>
      </c>
      <c r="Y874" s="28" t="n">
        <v>10.9</v>
      </c>
      <c r="Z874" s="11" t="inlineStr">
        <is>
          <t>Priority Tier 2 (Balanced Opportunity)</t>
        </is>
      </c>
    </row>
    <row r="875">
      <c r="A875" s="23" t="n">
        <v>1</v>
      </c>
      <c r="B875" s="23" t="n">
        <v>871</v>
      </c>
      <c r="C875" s="23" t="n">
        <v>871</v>
      </c>
      <c r="D875" s="23" t="inlineStr">
        <is>
          <t>0504107014</t>
        </is>
      </c>
      <c r="E875" s="11" t="inlineStr">
        <is>
          <t>Region V (Bicol Region)</t>
        </is>
      </c>
      <c r="F875" s="11" t="inlineStr">
        <is>
          <t>Masbate</t>
        </is>
      </c>
      <c r="G875" s="11" t="inlineStr">
        <is>
          <t>Claveria</t>
        </is>
      </c>
      <c r="H875" s="11" t="inlineStr">
        <is>
          <t>Osmeña</t>
        </is>
      </c>
      <c r="I875" s="24" t="n">
        <v>12.879621</v>
      </c>
      <c r="J875" s="24" t="n">
        <v>123.236325</v>
      </c>
      <c r="K875" s="23" t="inlineStr">
        <is>
          <t>R</t>
        </is>
      </c>
      <c r="L875" s="25" t="n">
        <v>3207</v>
      </c>
      <c r="M875" s="26" t="n">
        <v>4.1</v>
      </c>
      <c r="N875" s="25">
        <f>ROUND(L875/M875, 0)</f>
        <v/>
      </c>
      <c r="O875" s="25">
        <f>ROUND(N875*'Methodology &amp; Assumptions'!$B$7, 0)</f>
        <v/>
      </c>
      <c r="P875" s="23" t="inlineStr">
        <is>
          <t>Single Carrier (Band n50, 100MHz TDD)</t>
        </is>
      </c>
      <c r="Q875" s="27">
        <f>ROUNDUP(O875/'Methodology &amp; Assumptions'!$B$8, 0)</f>
        <v/>
      </c>
      <c r="R875" s="27" t="n">
        <v>1</v>
      </c>
      <c r="S875" s="26" t="n">
        <v>19.84</v>
      </c>
      <c r="T875" s="26" t="n">
        <v>45.77</v>
      </c>
      <c r="U875" s="11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26" t="n">
        <v>60.03</v>
      </c>
      <c r="W875" s="26" t="n">
        <v>72.48</v>
      </c>
      <c r="X875" s="26">
        <f>ROUND(('Methodology &amp; Assumptions'!$B$5*V875) + ('Methodology &amp; Assumptions'!$B$6*W875), 2)</f>
        <v/>
      </c>
      <c r="Y875" s="28" t="n">
        <v>23.7</v>
      </c>
      <c r="Z875" s="11" t="inlineStr">
        <is>
          <t>Priority Tier 2 (Balanced Opportunity)</t>
        </is>
      </c>
    </row>
    <row r="876">
      <c r="A876" s="23" t="n">
        <v>1</v>
      </c>
      <c r="B876" s="23" t="n">
        <v>872</v>
      </c>
      <c r="C876" s="23" t="n">
        <v>872</v>
      </c>
      <c r="D876" s="23" t="inlineStr">
        <is>
          <t>1380606075</t>
        </is>
      </c>
      <c r="E876" s="11" t="inlineStr">
        <is>
          <t>National Capital Region (NCR)</t>
        </is>
      </c>
      <c r="F876" s="11" t="inlineStr">
        <is>
          <t>First District (Not a Province)</t>
        </is>
      </c>
      <c r="G876" s="11" t="inlineStr">
        <is>
          <t>City of Manila</t>
        </is>
      </c>
      <c r="H876" s="11" t="inlineStr">
        <is>
          <t>Barangay 469</t>
        </is>
      </c>
      <c r="I876" s="24" t="n">
        <v>14.607146</v>
      </c>
      <c r="J876" s="24" t="n">
        <v>120.988528</v>
      </c>
      <c r="K876" s="23" t="inlineStr">
        <is>
          <t>U</t>
        </is>
      </c>
      <c r="L876" s="25" t="n">
        <v>2424</v>
      </c>
      <c r="M876" s="26" t="n">
        <v>3.73</v>
      </c>
      <c r="N876" s="25">
        <f>ROUND(L876/M876, 0)</f>
        <v/>
      </c>
      <c r="O876" s="25">
        <f>ROUND(N876*'Methodology &amp; Assumptions'!$B$7, 0)</f>
        <v/>
      </c>
      <c r="P876" s="23" t="inlineStr">
        <is>
          <t>Single Carrier (Band n50, 100MHz TDD)</t>
        </is>
      </c>
      <c r="Q876" s="27">
        <f>ROUNDUP(O876/'Methodology &amp; Assumptions'!$B$8, 0)</f>
        <v/>
      </c>
      <c r="R876" s="27" t="n">
        <v>1</v>
      </c>
      <c r="S876" s="26" t="n">
        <v>0.53</v>
      </c>
      <c r="T876" s="26" t="n">
        <v>0.23</v>
      </c>
      <c r="U876" s="11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26" t="n">
        <v>61.98</v>
      </c>
      <c r="W876" s="26" t="n">
        <v>70.53</v>
      </c>
      <c r="X876" s="26">
        <f>ROUND(('Methodology &amp; Assumptions'!$B$5*V876) + ('Methodology &amp; Assumptions'!$B$6*W876), 2)</f>
        <v/>
      </c>
      <c r="Y876" s="28" t="n">
        <v>10.9</v>
      </c>
      <c r="Z876" s="11" t="inlineStr">
        <is>
          <t>Priority Tier 2 (Balanced Opportunity)</t>
        </is>
      </c>
    </row>
    <row r="877">
      <c r="A877" s="23" t="n">
        <v>1</v>
      </c>
      <c r="B877" s="23" t="n">
        <v>873</v>
      </c>
      <c r="C877" s="23" t="n">
        <v>873</v>
      </c>
      <c r="D877" s="23" t="inlineStr">
        <is>
          <t>1381600001</t>
        </is>
      </c>
      <c r="E877" s="11" t="inlineStr">
        <is>
          <t>National Capital Region (NCR)</t>
        </is>
      </c>
      <c r="F877" s="11" t="inlineStr">
        <is>
          <t>Third District (Not a Province)</t>
        </is>
      </c>
      <c r="G877" s="11" t="inlineStr">
        <is>
          <t>City of Valenzuela</t>
        </is>
      </c>
      <c r="H877" s="11" t="inlineStr">
        <is>
          <t>Arkong Bato</t>
        </is>
      </c>
      <c r="I877" s="24" t="n">
        <v>14.696712</v>
      </c>
      <c r="J877" s="24" t="n">
        <v>120.954669</v>
      </c>
      <c r="K877" s="23" t="inlineStr">
        <is>
          <t>U</t>
        </is>
      </c>
      <c r="L877" s="25" t="n">
        <v>10746</v>
      </c>
      <c r="M877" s="26" t="n">
        <v>3.74</v>
      </c>
      <c r="N877" s="25">
        <f>ROUND(L877/M877, 0)</f>
        <v/>
      </c>
      <c r="O877" s="25">
        <f>ROUND(N877*'Methodology &amp; Assumptions'!$B$7, 0)</f>
        <v/>
      </c>
      <c r="P877" s="23" t="inlineStr">
        <is>
          <t>Single Carrier (Band n50, 100MHz TDD)</t>
        </is>
      </c>
      <c r="Q877" s="27">
        <f>ROUNDUP(O877/'Methodology &amp; Assumptions'!$B$8, 0)</f>
        <v/>
      </c>
      <c r="R877" s="27" t="n">
        <v>1</v>
      </c>
      <c r="S877" s="26" t="n">
        <v>1.44</v>
      </c>
      <c r="T877" s="26" t="n">
        <v>0.63</v>
      </c>
      <c r="U877" s="11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26" t="n">
        <v>66.83</v>
      </c>
      <c r="W877" s="26" t="n">
        <v>65.65000000000001</v>
      </c>
      <c r="X877" s="26">
        <f>ROUND(('Methodology &amp; Assumptions'!$B$5*V877) + ('Methodology &amp; Assumptions'!$B$6*W877), 2)</f>
        <v/>
      </c>
      <c r="Y877" s="28" t="n">
        <v>10.9</v>
      </c>
      <c r="Z877" s="11" t="inlineStr">
        <is>
          <t>Priority Tier 2 (Balanced Opportunity)</t>
        </is>
      </c>
    </row>
    <row r="878">
      <c r="A878" s="23" t="n">
        <v>1</v>
      </c>
      <c r="B878" s="23" t="n">
        <v>874</v>
      </c>
      <c r="C878" s="23" t="n">
        <v>874</v>
      </c>
      <c r="D878" s="23" t="inlineStr">
        <is>
          <t>0300806007</t>
        </is>
      </c>
      <c r="E878" s="11" t="inlineStr">
        <is>
          <t>Region III (Central Luzon)</t>
        </is>
      </c>
      <c r="F878" s="11" t="inlineStr">
        <is>
          <t>Bataan</t>
        </is>
      </c>
      <c r="G878" s="11" t="inlineStr">
        <is>
          <t>Limay</t>
        </is>
      </c>
      <c r="H878" s="11" t="inlineStr">
        <is>
          <t>Poblacion</t>
        </is>
      </c>
      <c r="I878" s="24" t="n">
        <v>14.677783</v>
      </c>
      <c r="J878" s="24" t="n">
        <v>120.54246</v>
      </c>
      <c r="K878" s="23" t="inlineStr">
        <is>
          <t>R</t>
        </is>
      </c>
      <c r="L878" s="25" t="n">
        <v>682</v>
      </c>
      <c r="M878" s="26" t="n">
        <v>3.6</v>
      </c>
      <c r="N878" s="25">
        <f>ROUND(L878/M878, 0)</f>
        <v/>
      </c>
      <c r="O878" s="25">
        <f>ROUND(N878*'Methodology &amp; Assumptions'!$B$7, 0)</f>
        <v/>
      </c>
      <c r="P878" s="23" t="inlineStr">
        <is>
          <t>Single Carrier (Band n50, 100MHz TDD)</t>
        </is>
      </c>
      <c r="Q878" s="27">
        <f>ROUNDUP(O878/'Methodology &amp; Assumptions'!$B$8, 0)</f>
        <v/>
      </c>
      <c r="R878" s="27" t="n">
        <v>1</v>
      </c>
      <c r="S878" s="26" t="n">
        <v>0.73</v>
      </c>
      <c r="T878" s="26" t="n">
        <v>0.15</v>
      </c>
      <c r="U878" s="11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26" t="n">
        <v>65.2</v>
      </c>
      <c r="W878" s="26" t="n">
        <v>67.28</v>
      </c>
      <c r="X878" s="26">
        <f>ROUND(('Methodology &amp; Assumptions'!$B$5*V878) + ('Methodology &amp; Assumptions'!$B$6*W878), 2)</f>
        <v/>
      </c>
      <c r="Y878" s="28" t="n">
        <v>8.300000000000001</v>
      </c>
      <c r="Z878" s="11" t="inlineStr">
        <is>
          <t>Priority Tier 2 (Balanced Opportunity)</t>
        </is>
      </c>
    </row>
    <row r="879">
      <c r="A879" s="23" t="n">
        <v>1</v>
      </c>
      <c r="B879" s="23" t="n">
        <v>875</v>
      </c>
      <c r="C879" s="23" t="n">
        <v>875</v>
      </c>
      <c r="D879" s="23" t="inlineStr">
        <is>
          <t>1102301004</t>
        </is>
      </c>
      <c r="E879" s="11" t="inlineStr">
        <is>
          <t>Region XI (Davao Region)</t>
        </is>
      </c>
      <c r="F879" s="11" t="inlineStr">
        <is>
          <t>Davao del Norte</t>
        </is>
      </c>
      <c r="G879" s="11" t="inlineStr">
        <is>
          <t>Asuncion</t>
        </is>
      </c>
      <c r="H879" s="11" t="inlineStr">
        <is>
          <t>Binancian</t>
        </is>
      </c>
      <c r="I879" s="24" t="n">
        <v>7.749376</v>
      </c>
      <c r="J879" s="24" t="n">
        <v>125.88256</v>
      </c>
      <c r="K879" s="23" t="inlineStr">
        <is>
          <t>R</t>
        </is>
      </c>
      <c r="L879" s="25" t="n">
        <v>2366</v>
      </c>
      <c r="M879" s="26" t="n">
        <v>3.7</v>
      </c>
      <c r="N879" s="25">
        <f>ROUND(L879/M879, 0)</f>
        <v/>
      </c>
      <c r="O879" s="25">
        <f>ROUND(N879*'Methodology &amp; Assumptions'!$B$7, 0)</f>
        <v/>
      </c>
      <c r="P879" s="23" t="inlineStr">
        <is>
          <t>Single Carrier (Band n50, 100MHz TDD)</t>
        </is>
      </c>
      <c r="Q879" s="27">
        <f>ROUNDUP(O879/'Methodology &amp; Assumptions'!$B$8, 0)</f>
        <v/>
      </c>
      <c r="R879" s="27" t="n">
        <v>1</v>
      </c>
      <c r="S879" s="26" t="n">
        <v>21</v>
      </c>
      <c r="T879" s="26" t="n">
        <v>12.28</v>
      </c>
      <c r="U879" s="11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26" t="n">
        <v>55.22</v>
      </c>
      <c r="W879" s="26" t="n">
        <v>77.25</v>
      </c>
      <c r="X879" s="26">
        <f>ROUND(('Methodology &amp; Assumptions'!$B$5*V879) + ('Methodology &amp; Assumptions'!$B$6*W879), 2)</f>
        <v/>
      </c>
      <c r="Y879" s="28" t="n">
        <v>17.4</v>
      </c>
      <c r="Z879" s="11" t="inlineStr">
        <is>
          <t>Priority Tier 2 (Balanced Opportunity)</t>
        </is>
      </c>
    </row>
    <row r="880">
      <c r="A880" s="23" t="n">
        <v>1</v>
      </c>
      <c r="B880" s="23" t="n">
        <v>876</v>
      </c>
      <c r="C880" s="23" t="n">
        <v>876</v>
      </c>
      <c r="D880" s="23" t="inlineStr">
        <is>
          <t>0402117017</t>
        </is>
      </c>
      <c r="E880" s="11" t="inlineStr">
        <is>
          <t>Region IV-A (CALABARZON)</t>
        </is>
      </c>
      <c r="F880" s="11" t="inlineStr">
        <is>
          <t>Cavite</t>
        </is>
      </c>
      <c r="G880" s="11" t="inlineStr">
        <is>
          <t>Rosario</t>
        </is>
      </c>
      <c r="H880" s="11" t="inlineStr">
        <is>
          <t>Sapa III</t>
        </is>
      </c>
      <c r="I880" s="24" t="n">
        <v>14.416199</v>
      </c>
      <c r="J880" s="24" t="n">
        <v>120.8481</v>
      </c>
      <c r="K880" s="23" t="inlineStr">
        <is>
          <t>R</t>
        </is>
      </c>
      <c r="L880" s="25" t="n">
        <v>4448</v>
      </c>
      <c r="M880" s="26" t="n">
        <v>3.4</v>
      </c>
      <c r="N880" s="25">
        <f>ROUND(L880/M880, 0)</f>
        <v/>
      </c>
      <c r="O880" s="25">
        <f>ROUND(N880*'Methodology &amp; Assumptions'!$B$7, 0)</f>
        <v/>
      </c>
      <c r="P880" s="23" t="inlineStr">
        <is>
          <t>Single Carrier (Band n50, 100MHz TDD)</t>
        </is>
      </c>
      <c r="Q880" s="27">
        <f>ROUNDUP(O880/'Methodology &amp; Assumptions'!$B$8, 0)</f>
        <v/>
      </c>
      <c r="R880" s="27" t="n">
        <v>1</v>
      </c>
      <c r="S880" s="26" t="n">
        <v>2.5</v>
      </c>
      <c r="T880" s="26" t="n">
        <v>2.65</v>
      </c>
      <c r="U880" s="11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26" t="n">
        <v>76.06</v>
      </c>
      <c r="W880" s="26" t="n">
        <v>56.4</v>
      </c>
      <c r="X880" s="26">
        <f>ROUND(('Methodology &amp; Assumptions'!$B$5*V880) + ('Methodology &amp; Assumptions'!$B$6*W880), 2)</f>
        <v/>
      </c>
      <c r="Y880" s="28" t="n">
        <v>7.2</v>
      </c>
      <c r="Z880" s="11" t="inlineStr">
        <is>
          <t>Priority Tier 2 (Balanced Opportunity)</t>
        </is>
      </c>
    </row>
    <row r="881">
      <c r="A881" s="23" t="n">
        <v>1</v>
      </c>
      <c r="B881" s="23" t="n">
        <v>877</v>
      </c>
      <c r="C881" s="23" t="n">
        <v>877</v>
      </c>
      <c r="D881" s="23" t="inlineStr">
        <is>
          <t>0102934008</t>
        </is>
      </c>
      <c r="E881" s="11" t="inlineStr">
        <is>
          <t>Region I (Ilocos Region)</t>
        </is>
      </c>
      <c r="F881" s="11" t="inlineStr">
        <is>
          <t>Ilocos Sur</t>
        </is>
      </c>
      <c r="G881" s="11" t="inlineStr">
        <is>
          <t>City of Vigan</t>
        </is>
      </c>
      <c r="H881" s="11" t="inlineStr">
        <is>
          <t>Barangay VI</t>
        </is>
      </c>
      <c r="I881" s="24" t="n">
        <v>17.567545</v>
      </c>
      <c r="J881" s="24" t="n">
        <v>120.390386</v>
      </c>
      <c r="K881" s="23" t="inlineStr">
        <is>
          <t>R</t>
        </is>
      </c>
      <c r="L881" s="25" t="n">
        <v>1370</v>
      </c>
      <c r="M881" s="26" t="n">
        <v>3.8</v>
      </c>
      <c r="N881" s="25">
        <f>ROUND(L881/M881, 0)</f>
        <v/>
      </c>
      <c r="O881" s="25">
        <f>ROUND(N881*'Methodology &amp; Assumptions'!$B$7, 0)</f>
        <v/>
      </c>
      <c r="P881" s="23" t="inlineStr">
        <is>
          <t>Single Carrier (Band n50, 100MHz TDD)</t>
        </is>
      </c>
      <c r="Q881" s="27">
        <f>ROUNDUP(O881/'Methodology &amp; Assumptions'!$B$8, 0)</f>
        <v/>
      </c>
      <c r="R881" s="27" t="n">
        <v>1</v>
      </c>
      <c r="S881" s="26" t="n">
        <v>2.9</v>
      </c>
      <c r="T881" s="26" t="n">
        <v>1.43</v>
      </c>
      <c r="U881" s="11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26" t="n">
        <v>63.59</v>
      </c>
      <c r="W881" s="26" t="n">
        <v>68.84999999999999</v>
      </c>
      <c r="X881" s="26">
        <f>ROUND(('Methodology &amp; Assumptions'!$B$5*V881) + ('Methodology &amp; Assumptions'!$B$6*W881), 2)</f>
        <v/>
      </c>
      <c r="Y881" s="28" t="n">
        <v>8.300000000000001</v>
      </c>
      <c r="Z881" s="11" t="inlineStr">
        <is>
          <t>Priority Tier 2 (Balanced Opportunity)</t>
        </is>
      </c>
    </row>
    <row r="882">
      <c r="A882" s="23" t="n">
        <v>1</v>
      </c>
      <c r="B882" s="23" t="n">
        <v>878</v>
      </c>
      <c r="C882" s="23" t="n">
        <v>878</v>
      </c>
      <c r="D882" s="23" t="inlineStr">
        <is>
          <t>1381100186</t>
        </is>
      </c>
      <c r="E882" s="11" t="inlineStr">
        <is>
          <t>National Capital Region (NCR)</t>
        </is>
      </c>
      <c r="F882" s="11" t="inlineStr">
        <is>
          <t>Fourth District (Not a Province)</t>
        </is>
      </c>
      <c r="G882" s="11" t="inlineStr">
        <is>
          <t>Pasay City</t>
        </is>
      </c>
      <c r="H882" s="11" t="inlineStr">
        <is>
          <t>Barangay 186</t>
        </is>
      </c>
      <c r="I882" s="24" t="n">
        <v>14.530053</v>
      </c>
      <c r="J882" s="24" t="n">
        <v>121.004298</v>
      </c>
      <c r="K882" s="23" t="inlineStr">
        <is>
          <t>U</t>
        </is>
      </c>
      <c r="L882" s="25" t="n">
        <v>2213</v>
      </c>
      <c r="M882" s="26" t="n">
        <v>3.52</v>
      </c>
      <c r="N882" s="25">
        <f>ROUND(L882/M882, 0)</f>
        <v/>
      </c>
      <c r="O882" s="25">
        <f>ROUND(N882*'Methodology &amp; Assumptions'!$B$7, 0)</f>
        <v/>
      </c>
      <c r="P882" s="23" t="inlineStr">
        <is>
          <t>Single Carrier (Band n50, 100MHz TDD)</t>
        </is>
      </c>
      <c r="Q882" s="27">
        <f>ROUNDUP(O882/'Methodology &amp; Assumptions'!$B$8, 0)</f>
        <v/>
      </c>
      <c r="R882" s="27" t="n">
        <v>1</v>
      </c>
      <c r="S882" s="26" t="n">
        <v>0.8100000000000001</v>
      </c>
      <c r="T882" s="26" t="n">
        <v>0.24</v>
      </c>
      <c r="U882" s="11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26" t="n">
        <v>61.23</v>
      </c>
      <c r="W882" s="26" t="n">
        <v>71.22</v>
      </c>
      <c r="X882" s="26">
        <f>ROUND(('Methodology &amp; Assumptions'!$B$5*V882) + ('Methodology &amp; Assumptions'!$B$6*W882), 2)</f>
        <v/>
      </c>
      <c r="Y882" s="28" t="n">
        <v>10.9</v>
      </c>
      <c r="Z882" s="11" t="inlineStr">
        <is>
          <t>Priority Tier 2 (Balanced Opportunity)</t>
        </is>
      </c>
    </row>
    <row r="883">
      <c r="A883" s="23" t="n">
        <v>1</v>
      </c>
      <c r="B883" s="23" t="n">
        <v>879</v>
      </c>
      <c r="C883" s="23" t="n">
        <v>879</v>
      </c>
      <c r="D883" s="23" t="inlineStr">
        <is>
          <t>1380601070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70</t>
        </is>
      </c>
      <c r="I883" s="24" t="n">
        <v>14.612078</v>
      </c>
      <c r="J883" s="24" t="n">
        <v>120.96536</v>
      </c>
      <c r="K883" s="23" t="inlineStr">
        <is>
          <t>U</t>
        </is>
      </c>
      <c r="L883" s="25" t="n">
        <v>2405</v>
      </c>
      <c r="M883" s="26" t="n">
        <v>4.04</v>
      </c>
      <c r="N883" s="25">
        <f>ROUND(L883/M883, 0)</f>
        <v/>
      </c>
      <c r="O883" s="25">
        <f>ROUND(N883*'Methodology &amp; Assumptions'!$B$7, 0)</f>
        <v/>
      </c>
      <c r="P883" s="23" t="inlineStr">
        <is>
          <t>Single Carrier (Band n50, 100MHz TDD)</t>
        </is>
      </c>
      <c r="Q883" s="27">
        <f>ROUNDUP(O883/'Methodology &amp; Assumptions'!$B$8, 0)</f>
        <v/>
      </c>
      <c r="R883" s="27" t="n">
        <v>1</v>
      </c>
      <c r="S883" s="26" t="n">
        <v>0.71</v>
      </c>
      <c r="T883" s="26" t="n">
        <v>0.47</v>
      </c>
      <c r="U883" s="11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26" t="n">
        <v>60.16</v>
      </c>
      <c r="W883" s="26" t="n">
        <v>72.28</v>
      </c>
      <c r="X883" s="26">
        <f>ROUND(('Methodology &amp; Assumptions'!$B$5*V883) + ('Methodology &amp; Assumptions'!$B$6*W883), 2)</f>
        <v/>
      </c>
      <c r="Y883" s="28" t="n">
        <v>10.9</v>
      </c>
      <c r="Z883" s="11" t="inlineStr">
        <is>
          <t>Priority Tier 2 (Balanced Opportunity)</t>
        </is>
      </c>
    </row>
    <row r="884">
      <c r="A884" s="23" t="n">
        <v>1</v>
      </c>
      <c r="B884" s="23" t="n">
        <v>880</v>
      </c>
      <c r="C884" s="23" t="n">
        <v>880</v>
      </c>
      <c r="D884" s="23" t="inlineStr">
        <is>
          <t>1380612005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837</t>
        </is>
      </c>
      <c r="I884" s="24" t="n">
        <v>14.591347</v>
      </c>
      <c r="J884" s="24" t="n">
        <v>121.012293</v>
      </c>
      <c r="K884" s="23" t="inlineStr">
        <is>
          <t>U</t>
        </is>
      </c>
      <c r="L884" s="25" t="n">
        <v>3188</v>
      </c>
      <c r="M884" s="26" t="n">
        <v>4.32</v>
      </c>
      <c r="N884" s="25">
        <f>ROUND(L884/M884, 0)</f>
        <v/>
      </c>
      <c r="O884" s="25">
        <f>ROUND(N884*'Methodology &amp; Assumptions'!$B$7, 0)</f>
        <v/>
      </c>
      <c r="P884" s="23" t="inlineStr">
        <is>
          <t>Single Carrier (Band n50, 100MHz TDD)</t>
        </is>
      </c>
      <c r="Q884" s="27">
        <f>ROUNDUP(O884/'Methodology &amp; Assumptions'!$B$8, 0)</f>
        <v/>
      </c>
      <c r="R884" s="27" t="n">
        <v>1</v>
      </c>
      <c r="S884" s="26" t="n">
        <v>1.28</v>
      </c>
      <c r="T884" s="26" t="n">
        <v>0.95</v>
      </c>
      <c r="U884" s="11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26" t="n">
        <v>63.08</v>
      </c>
      <c r="W884" s="26" t="n">
        <v>69.33</v>
      </c>
      <c r="X884" s="26">
        <f>ROUND(('Methodology &amp; Assumptions'!$B$5*V884) + ('Methodology &amp; Assumptions'!$B$6*W884), 2)</f>
        <v/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1</v>
      </c>
      <c r="B885" s="23" t="n">
        <v>881</v>
      </c>
      <c r="C885" s="23" t="n">
        <v>881</v>
      </c>
      <c r="D885" s="23" t="inlineStr">
        <is>
          <t>1380601032</t>
        </is>
      </c>
      <c r="E885" s="11" t="inlineStr">
        <is>
          <t>National Capital Region (NCR)</t>
        </is>
      </c>
      <c r="F885" s="11" t="inlineStr">
        <is>
          <t>First District (Not a Province)</t>
        </is>
      </c>
      <c r="G885" s="11" t="inlineStr">
        <is>
          <t>City of Manila</t>
        </is>
      </c>
      <c r="H885" s="11" t="inlineStr">
        <is>
          <t>Barangay 32</t>
        </is>
      </c>
      <c r="I885" s="24" t="n">
        <v>14.604315</v>
      </c>
      <c r="J885" s="24" t="n">
        <v>120.964508</v>
      </c>
      <c r="K885" s="23" t="inlineStr">
        <is>
          <t>U</t>
        </is>
      </c>
      <c r="L885" s="25" t="n">
        <v>2221</v>
      </c>
      <c r="M885" s="26" t="n">
        <v>4.09</v>
      </c>
      <c r="N885" s="25">
        <f>ROUND(L885/M885, 0)</f>
        <v/>
      </c>
      <c r="O885" s="25">
        <f>ROUND(N885*'Methodology &amp; Assumptions'!$B$7, 0)</f>
        <v/>
      </c>
      <c r="P885" s="23" t="inlineStr">
        <is>
          <t>Single Carrier (Band n50, 100MHz TDD)</t>
        </is>
      </c>
      <c r="Q885" s="27">
        <f>ROUNDUP(O885/'Methodology &amp; Assumptions'!$B$8, 0)</f>
        <v/>
      </c>
      <c r="R885" s="27" t="n">
        <v>1</v>
      </c>
      <c r="S885" s="26" t="n">
        <v>0.62</v>
      </c>
      <c r="T885" s="26" t="n">
        <v>0.62</v>
      </c>
      <c r="U885" s="11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26" t="n">
        <v>58.55</v>
      </c>
      <c r="W885" s="26" t="n">
        <v>73.84</v>
      </c>
      <c r="X885" s="26">
        <f>ROUND(('Methodology &amp; Assumptions'!$B$5*V885) + ('Methodology &amp; Assumptions'!$B$6*W885), 2)</f>
        <v/>
      </c>
      <c r="Y885" s="28" t="n">
        <v>10.9</v>
      </c>
      <c r="Z885" s="11" t="inlineStr">
        <is>
          <t>Priority Tier 2 (Balanced Opportunity)</t>
        </is>
      </c>
    </row>
    <row r="886">
      <c r="A886" s="23" t="n">
        <v>1</v>
      </c>
      <c r="B886" s="23" t="n">
        <v>882</v>
      </c>
      <c r="C886" s="23" t="n">
        <v>882</v>
      </c>
      <c r="D886" s="23" t="inlineStr">
        <is>
          <t>1380610045</t>
        </is>
      </c>
      <c r="E886" s="11" t="inlineStr">
        <is>
          <t>National Capital Region (NCR)</t>
        </is>
      </c>
      <c r="F886" s="11" t="inlineStr">
        <is>
          <t>First District (Not a Province)</t>
        </is>
      </c>
      <c r="G886" s="11" t="inlineStr">
        <is>
          <t>City of Manila</t>
        </is>
      </c>
      <c r="H886" s="11" t="inlineStr">
        <is>
          <t>Barangay 730</t>
        </is>
      </c>
      <c r="I886" s="24" t="n">
        <v>14.563826</v>
      </c>
      <c r="J886" s="24" t="n">
        <v>120.997977</v>
      </c>
      <c r="K886" s="23" t="inlineStr">
        <is>
          <t>U</t>
        </is>
      </c>
      <c r="L886" s="25" t="n">
        <v>2443</v>
      </c>
      <c r="M886" s="26" t="n">
        <v>3.37</v>
      </c>
      <c r="N886" s="25">
        <f>ROUND(L886/M886, 0)</f>
        <v/>
      </c>
      <c r="O886" s="25">
        <f>ROUND(N886*'Methodology &amp; Assumptions'!$B$7, 0)</f>
        <v/>
      </c>
      <c r="P886" s="23" t="inlineStr">
        <is>
          <t>Single Carrier (Band n50, 100MHz TDD)</t>
        </is>
      </c>
      <c r="Q886" s="27">
        <f>ROUNDUP(O886/'Methodology &amp; Assumptions'!$B$8, 0)</f>
        <v/>
      </c>
      <c r="R886" s="27" t="n">
        <v>1</v>
      </c>
      <c r="S886" s="26" t="n">
        <v>1</v>
      </c>
      <c r="T886" s="26" t="n">
        <v>0.21</v>
      </c>
      <c r="U886" s="11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26" t="n">
        <v>63.84</v>
      </c>
      <c r="W886" s="26" t="n">
        <v>68.54000000000001</v>
      </c>
      <c r="X886" s="26">
        <f>ROUND(('Methodology &amp; Assumptions'!$B$5*V886) + ('Methodology &amp; Assumptions'!$B$6*W886), 2)</f>
        <v/>
      </c>
      <c r="Y886" s="28" t="n">
        <v>10.9</v>
      </c>
      <c r="Z886" s="11" t="inlineStr">
        <is>
          <t>Priority Tier 2 (Balanced Opportunity)</t>
        </is>
      </c>
    </row>
    <row r="887">
      <c r="A887" s="23" t="n">
        <v>1</v>
      </c>
      <c r="B887" s="23" t="n">
        <v>883</v>
      </c>
      <c r="C887" s="23" t="n">
        <v>883</v>
      </c>
      <c r="D887" s="23" t="inlineStr">
        <is>
          <t>0403403022</t>
        </is>
      </c>
      <c r="E887" s="11" t="inlineStr">
        <is>
          <t>Region IV-A (CALABARZON)</t>
        </is>
      </c>
      <c r="F887" s="11" t="inlineStr">
        <is>
          <t>Laguna</t>
        </is>
      </c>
      <c r="G887" s="11" t="inlineStr">
        <is>
          <t>City of Biñan</t>
        </is>
      </c>
      <c r="H887" s="11" t="inlineStr">
        <is>
          <t>Soro-soro</t>
        </is>
      </c>
      <c r="I887" s="24" t="n">
        <v>14.325568</v>
      </c>
      <c r="J887" s="24" t="n">
        <v>121.061379</v>
      </c>
      <c r="K887" s="23" t="inlineStr">
        <is>
          <t>U</t>
        </is>
      </c>
      <c r="L887" s="25" t="n">
        <v>7880</v>
      </c>
      <c r="M887" s="26" t="n">
        <v>3.3</v>
      </c>
      <c r="N887" s="25">
        <f>ROUND(L887/M887, 0)</f>
        <v/>
      </c>
      <c r="O887" s="25">
        <f>ROUND(N887*'Methodology &amp; Assumptions'!$B$7, 0)</f>
        <v/>
      </c>
      <c r="P887" s="23" t="inlineStr">
        <is>
          <t>Single Carrier (Band n50, 100MHz TDD)</t>
        </is>
      </c>
      <c r="Q887" s="27">
        <f>ROUNDUP(O887/'Methodology &amp; Assumptions'!$B$8, 0)</f>
        <v/>
      </c>
      <c r="R887" s="27" t="n">
        <v>1</v>
      </c>
      <c r="S887" s="26" t="n">
        <v>1.55</v>
      </c>
      <c r="T887" s="26" t="n">
        <v>1.05</v>
      </c>
      <c r="U887" s="11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26" t="n">
        <v>75.59999999999999</v>
      </c>
      <c r="W887" s="26" t="n">
        <v>56.76</v>
      </c>
      <c r="X887" s="26">
        <f>ROUND(('Methodology &amp; Assumptions'!$B$5*V887) + ('Methodology &amp; Assumptions'!$B$6*W887), 2)</f>
        <v/>
      </c>
      <c r="Y887" s="28" t="n">
        <v>7.2</v>
      </c>
      <c r="Z887" s="11" t="inlineStr">
        <is>
          <t>Priority Tier 2 (Balanced Opportunity)</t>
        </is>
      </c>
    </row>
    <row r="888">
      <c r="A888" s="23" t="n">
        <v>1</v>
      </c>
      <c r="B888" s="23" t="n">
        <v>884</v>
      </c>
      <c r="C888" s="23" t="n">
        <v>884</v>
      </c>
      <c r="D888" s="23" t="inlineStr">
        <is>
          <t>1908702013</t>
        </is>
      </c>
      <c r="E888" s="11" t="inlineStr">
        <is>
          <t>Bangsamoro Autonomous Region In Muslim Mindanao (BARMM)</t>
        </is>
      </c>
      <c r="F888" s="11" t="inlineStr">
        <is>
          <t>Maguindanao del Norte</t>
        </is>
      </c>
      <c r="G888" s="11" t="inlineStr">
        <is>
          <t>Buldon</t>
        </is>
      </c>
      <c r="H888" s="11" t="inlineStr">
        <is>
          <t>Pantawan</t>
        </is>
      </c>
      <c r="I888" s="24" t="n">
        <v>7.547761</v>
      </c>
      <c r="J888" s="24" t="n">
        <v>124.41395</v>
      </c>
      <c r="K888" s="23" t="inlineStr">
        <is>
          <t>R</t>
        </is>
      </c>
      <c r="L888" s="25" t="n">
        <v>4001</v>
      </c>
      <c r="M888" s="26" t="n">
        <v>4.3</v>
      </c>
      <c r="N888" s="25">
        <f>ROUND(L888/M888, 0)</f>
        <v/>
      </c>
      <c r="O888" s="25">
        <f>ROUND(N888*'Methodology &amp; Assumptions'!$B$7, 0)</f>
        <v/>
      </c>
      <c r="P888" s="23" t="inlineStr">
        <is>
          <t>Single Carrier (Band n50, 100MHz TDD)</t>
        </is>
      </c>
      <c r="Q888" s="27">
        <f>ROUNDUP(O888/'Methodology &amp; Assumptions'!$B$8, 0)</f>
        <v/>
      </c>
      <c r="R888" s="27" t="n">
        <v>1</v>
      </c>
      <c r="S888" s="26" t="n">
        <v>53.65</v>
      </c>
      <c r="T888" s="26" t="n">
        <v>45.83</v>
      </c>
      <c r="U888" s="11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26" t="n">
        <v>59.06</v>
      </c>
      <c r="W888" s="26" t="n">
        <v>73.31</v>
      </c>
      <c r="X888" s="26">
        <f>ROUND(('Methodology &amp; Assumptions'!$B$5*V888) + ('Methodology &amp; Assumptions'!$B$6*W888), 2)</f>
        <v/>
      </c>
      <c r="Y888" s="28" t="n">
        <v>11</v>
      </c>
      <c r="Z888" s="11" t="inlineStr">
        <is>
          <t>Priority Tier 2 (Balanced Opportunity)</t>
        </is>
      </c>
    </row>
    <row r="889">
      <c r="A889" s="23" t="n">
        <v>1</v>
      </c>
      <c r="B889" s="23" t="n">
        <v>885</v>
      </c>
      <c r="C889" s="23" t="n">
        <v>885</v>
      </c>
      <c r="D889" s="23" t="inlineStr">
        <is>
          <t>0102810001</t>
        </is>
      </c>
      <c r="E889" s="11" t="inlineStr">
        <is>
          <t>Region I (Ilocos Region)</t>
        </is>
      </c>
      <c r="F889" s="11" t="inlineStr">
        <is>
          <t>Ilocos Norte</t>
        </is>
      </c>
      <c r="G889" s="11" t="inlineStr">
        <is>
          <t>Dumalneg</t>
        </is>
      </c>
      <c r="H889" s="11" t="inlineStr">
        <is>
          <t>Cabaritan</t>
        </is>
      </c>
      <c r="I889" s="24" t="n">
        <v>18.475582</v>
      </c>
      <c r="J889" s="24" t="n">
        <v>120.826923</v>
      </c>
      <c r="K889" s="23" t="inlineStr">
        <is>
          <t>R</t>
        </is>
      </c>
      <c r="L889" s="25" t="n">
        <v>455</v>
      </c>
      <c r="M889" s="26" t="n">
        <v>3.7</v>
      </c>
      <c r="N889" s="25">
        <f>ROUND(L889/M889, 0)</f>
        <v/>
      </c>
      <c r="O889" s="25">
        <f>ROUND(N889*'Methodology &amp; Assumptions'!$B$7, 0)</f>
        <v/>
      </c>
      <c r="P889" s="23" t="inlineStr">
        <is>
          <t>Single Carrier (Band n50, 100MHz TDD)</t>
        </is>
      </c>
      <c r="Q889" s="27">
        <f>ROUNDUP(O889/'Methodology &amp; Assumptions'!$B$8, 0)</f>
        <v/>
      </c>
      <c r="R889" s="27" t="n">
        <v>1</v>
      </c>
      <c r="S889" s="26" t="n">
        <v>9.199999999999999</v>
      </c>
      <c r="T889" s="26" t="n">
        <v>6.94</v>
      </c>
      <c r="U889" s="11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26" t="n">
        <v>45.74</v>
      </c>
      <c r="W889" s="26" t="n">
        <v>86.63</v>
      </c>
      <c r="X889" s="26">
        <f>ROUND(('Methodology &amp; Assumptions'!$B$5*V889) + ('Methodology &amp; Assumptions'!$B$6*W889), 2)</f>
        <v/>
      </c>
      <c r="Y889" s="28" t="n">
        <v>8.300000000000001</v>
      </c>
      <c r="Z889" s="11" t="inlineStr">
        <is>
          <t>Priority Tier 2 (Balanced Opportunity)</t>
        </is>
      </c>
    </row>
    <row r="890">
      <c r="A890" s="23" t="n">
        <v>1</v>
      </c>
      <c r="B890" s="23" t="n">
        <v>886</v>
      </c>
      <c r="C890" s="23" t="n">
        <v>886</v>
      </c>
      <c r="D890" s="23" t="inlineStr">
        <is>
          <t>1380614033</t>
        </is>
      </c>
      <c r="E890" s="11" t="inlineStr">
        <is>
          <t>National Capital Region (NCR)</t>
        </is>
      </c>
      <c r="F890" s="11" t="inlineStr">
        <is>
          <t>First District (Not a Province)</t>
        </is>
      </c>
      <c r="G890" s="11" t="inlineStr">
        <is>
          <t>City of Manila</t>
        </is>
      </c>
      <c r="H890" s="11" t="inlineStr">
        <is>
          <t>Barangay 777</t>
        </is>
      </c>
      <c r="I890" s="24" t="n">
        <v>14.577069</v>
      </c>
      <c r="J890" s="24" t="n">
        <v>121.009498</v>
      </c>
      <c r="K890" s="23" t="inlineStr">
        <is>
          <t>U</t>
        </is>
      </c>
      <c r="L890" s="25" t="n">
        <v>3100</v>
      </c>
      <c r="M890" s="26" t="n">
        <v>4.55</v>
      </c>
      <c r="N890" s="25">
        <f>ROUND(L890/M890, 0)</f>
        <v/>
      </c>
      <c r="O890" s="25">
        <f>ROUND(N890*'Methodology &amp; Assumptions'!$B$7, 0)</f>
        <v/>
      </c>
      <c r="P890" s="23" t="inlineStr">
        <is>
          <t>Single Carrier (Band n50, 100MHz TDD)</t>
        </is>
      </c>
      <c r="Q890" s="27">
        <f>ROUNDUP(O890/'Methodology &amp; Assumptions'!$B$8, 0)</f>
        <v/>
      </c>
      <c r="R890" s="27" t="n">
        <v>1</v>
      </c>
      <c r="S890" s="26" t="n">
        <v>1.09</v>
      </c>
      <c r="T890" s="26" t="n">
        <v>0.32</v>
      </c>
      <c r="U890" s="11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26" t="n">
        <v>61.98</v>
      </c>
      <c r="W890" s="26" t="n">
        <v>70.36</v>
      </c>
      <c r="X890" s="26">
        <f>ROUND(('Methodology &amp; Assumptions'!$B$5*V890) + ('Methodology &amp; Assumptions'!$B$6*W890), 2)</f>
        <v/>
      </c>
      <c r="Y890" s="28" t="n">
        <v>10.9</v>
      </c>
      <c r="Z890" s="11" t="inlineStr">
        <is>
          <t>Priority Tier 2 (Balanced Opportunity)</t>
        </is>
      </c>
    </row>
    <row r="891">
      <c r="A891" s="23" t="n">
        <v>1</v>
      </c>
      <c r="B891" s="23" t="n">
        <v>887</v>
      </c>
      <c r="C891" s="23" t="n">
        <v>887</v>
      </c>
      <c r="D891" s="23" t="inlineStr">
        <is>
          <t>1403215001</t>
        </is>
      </c>
      <c r="E891" s="11" t="inlineStr">
        <is>
          <t>Cordillera Administrative Region (CAR)</t>
        </is>
      </c>
      <c r="F891" s="11" t="inlineStr">
        <is>
          <t>Kalinga</t>
        </is>
      </c>
      <c r="G891" s="11" t="inlineStr">
        <is>
          <t>Tinglayan</t>
        </is>
      </c>
      <c r="H891" s="11" t="inlineStr">
        <is>
          <t>Ambato Legleg</t>
        </is>
      </c>
      <c r="I891" s="24" t="n">
        <v>17.277099</v>
      </c>
      <c r="J891" s="24" t="n">
        <v>121.168584</v>
      </c>
      <c r="K891" s="23" t="inlineStr">
        <is>
          <t>R</t>
        </is>
      </c>
      <c r="L891" s="25" t="n">
        <v>410</v>
      </c>
      <c r="M891" s="26" t="n">
        <v>4.3</v>
      </c>
      <c r="N891" s="25">
        <f>ROUND(L891/M891, 0)</f>
        <v/>
      </c>
      <c r="O891" s="25">
        <f>ROUND(N891*'Methodology &amp; Assumptions'!$B$7, 0)</f>
        <v/>
      </c>
      <c r="P891" s="23" t="inlineStr">
        <is>
          <t>Single Carrier (Band n50, 100MHz TDD)</t>
        </is>
      </c>
      <c r="Q891" s="27">
        <f>ROUNDUP(O891/'Methodology &amp; Assumptions'!$B$8, 0)</f>
        <v/>
      </c>
      <c r="R891" s="27" t="n">
        <v>1</v>
      </c>
      <c r="S891" s="26" t="n">
        <v>2.56</v>
      </c>
      <c r="T891" s="26" t="n">
        <v>0.85</v>
      </c>
      <c r="U891" s="11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26" t="n">
        <v>54.95</v>
      </c>
      <c r="W891" s="26" t="n">
        <v>77.39</v>
      </c>
      <c r="X891" s="26">
        <f>ROUND(('Methodology &amp; Assumptions'!$B$5*V891) + ('Methodology &amp; Assumptions'!$B$6*W891), 2)</f>
        <v/>
      </c>
      <c r="Y891" s="28" t="n">
        <v>10.9</v>
      </c>
      <c r="Z891" s="11" t="inlineStr">
        <is>
          <t>Priority Tier 2 (Balanced Opportunity)</t>
        </is>
      </c>
    </row>
    <row r="892">
      <c r="A892" s="23" t="n">
        <v>1</v>
      </c>
      <c r="B892" s="23" t="n">
        <v>888</v>
      </c>
      <c r="C892" s="23" t="n">
        <v>888</v>
      </c>
      <c r="D892" s="23" t="inlineStr">
        <is>
          <t>1380400017</t>
        </is>
      </c>
      <c r="E892" s="11" t="inlineStr">
        <is>
          <t>National Capital Region (NCR)</t>
        </is>
      </c>
      <c r="F892" s="11" t="inlineStr">
        <is>
          <t>Third District (Not a Province)</t>
        </is>
      </c>
      <c r="G892" s="11" t="inlineStr">
        <is>
          <t>City of Malabon</t>
        </is>
      </c>
      <c r="H892" s="11" t="inlineStr">
        <is>
          <t>Santolan</t>
        </is>
      </c>
      <c r="I892" s="24" t="n">
        <v>14.685769</v>
      </c>
      <c r="J892" s="24" t="n">
        <v>120.958846</v>
      </c>
      <c r="K892" s="23" t="inlineStr">
        <is>
          <t>U</t>
        </is>
      </c>
      <c r="L892" s="25" t="n">
        <v>13736</v>
      </c>
      <c r="M892" s="26" t="n">
        <v>3.58</v>
      </c>
      <c r="N892" s="25">
        <f>ROUND(L892/M892, 0)</f>
        <v/>
      </c>
      <c r="O892" s="25">
        <f>ROUND(N892*'Methodology &amp; Assumptions'!$B$7, 0)</f>
        <v/>
      </c>
      <c r="P892" s="23" t="inlineStr">
        <is>
          <t>Single Carrier (Band n50, 100MHz TDD)</t>
        </is>
      </c>
      <c r="Q892" s="27">
        <f>ROUNDUP(O892/'Methodology &amp; Assumptions'!$B$8, 0)</f>
        <v/>
      </c>
      <c r="R892" s="27" t="n">
        <v>1</v>
      </c>
      <c r="S892" s="26" t="n">
        <v>0.45</v>
      </c>
      <c r="T892" s="26" t="n">
        <v>0.16</v>
      </c>
      <c r="U892" s="11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26" t="n">
        <v>69.09</v>
      </c>
      <c r="W892" s="26" t="n">
        <v>63.23</v>
      </c>
      <c r="X892" s="26">
        <f>ROUND(('Methodology &amp; Assumptions'!$B$5*V892) + ('Methodology &amp; Assumptions'!$B$6*W892), 2)</f>
        <v/>
      </c>
      <c r="Y892" s="28" t="n">
        <v>10.9</v>
      </c>
      <c r="Z892" s="11" t="inlineStr">
        <is>
          <t>Priority Tier 2 (Balanced Opportunity)</t>
        </is>
      </c>
    </row>
    <row r="893">
      <c r="A893" s="23" t="n">
        <v>1</v>
      </c>
      <c r="B893" s="23" t="n">
        <v>889</v>
      </c>
      <c r="C893" s="23" t="n">
        <v>889</v>
      </c>
      <c r="D893" s="23" t="inlineStr">
        <is>
          <t>1380601080</t>
        </is>
      </c>
      <c r="E893" s="11" t="inlineStr">
        <is>
          <t>National Capital Region (NCR)</t>
        </is>
      </c>
      <c r="F893" s="11" t="inlineStr">
        <is>
          <t>First District (Not a Province)</t>
        </is>
      </c>
      <c r="G893" s="11" t="inlineStr">
        <is>
          <t>City of Manila</t>
        </is>
      </c>
      <c r="H893" s="11" t="inlineStr">
        <is>
          <t>Barangay 80</t>
        </is>
      </c>
      <c r="I893" s="24" t="n">
        <v>14.615131</v>
      </c>
      <c r="J893" s="24" t="n">
        <v>120.965311</v>
      </c>
      <c r="K893" s="23" t="inlineStr">
        <is>
          <t>U</t>
        </is>
      </c>
      <c r="L893" s="25" t="n">
        <v>2566</v>
      </c>
      <c r="M893" s="26" t="n">
        <v>4.57</v>
      </c>
      <c r="N893" s="25">
        <f>ROUND(L893/M893, 0)</f>
        <v/>
      </c>
      <c r="O893" s="25">
        <f>ROUND(N893*'Methodology &amp; Assumptions'!$B$7, 0)</f>
        <v/>
      </c>
      <c r="P893" s="23" t="inlineStr">
        <is>
          <t>Single Carrier (Band n50, 100MHz TDD)</t>
        </is>
      </c>
      <c r="Q893" s="27">
        <f>ROUNDUP(O893/'Methodology &amp; Assumptions'!$B$8, 0)</f>
        <v/>
      </c>
      <c r="R893" s="27" t="n">
        <v>1</v>
      </c>
      <c r="S893" s="26" t="n">
        <v>0.42</v>
      </c>
      <c r="T893" s="26" t="n">
        <v>0.4</v>
      </c>
      <c r="U893" s="11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26" t="n">
        <v>59.19</v>
      </c>
      <c r="W893" s="26" t="n">
        <v>73.12</v>
      </c>
      <c r="X893" s="26">
        <f>ROUND(('Methodology &amp; Assumptions'!$B$5*V893) + ('Methodology &amp; Assumptions'!$B$6*W893), 2)</f>
        <v/>
      </c>
      <c r="Y893" s="28" t="n">
        <v>10.9</v>
      </c>
      <c r="Z893" s="11" t="inlineStr">
        <is>
          <t>Priority Tier 2 (Balanced Opportunity)</t>
        </is>
      </c>
    </row>
    <row r="894">
      <c r="A894" s="23" t="n">
        <v>1</v>
      </c>
      <c r="B894" s="23" t="n">
        <v>890</v>
      </c>
      <c r="C894" s="23" t="n">
        <v>890</v>
      </c>
      <c r="D894" s="23" t="inlineStr">
        <is>
          <t>0403417035</t>
        </is>
      </c>
      <c r="E894" s="11" t="inlineStr">
        <is>
          <t>Region IV-A (CALABARZON)</t>
        </is>
      </c>
      <c r="F894" s="11" t="inlineStr">
        <is>
          <t>Laguna</t>
        </is>
      </c>
      <c r="G894" s="11" t="inlineStr">
        <is>
          <t>Nagcarlan</t>
        </is>
      </c>
      <c r="H894" s="11" t="inlineStr">
        <is>
          <t>Poblacion III</t>
        </is>
      </c>
      <c r="I894" s="24" t="n">
        <v>14.133834</v>
      </c>
      <c r="J894" s="24" t="n">
        <v>121.416903</v>
      </c>
      <c r="K894" s="23" t="inlineStr">
        <is>
          <t>R</t>
        </is>
      </c>
      <c r="L894" s="25" t="n">
        <v>2572</v>
      </c>
      <c r="M894" s="26" t="n">
        <v>3.3</v>
      </c>
      <c r="N894" s="25">
        <f>ROUND(L894/M894, 0)</f>
        <v/>
      </c>
      <c r="O894" s="25">
        <f>ROUND(N894*'Methodology &amp; Assumptions'!$B$7, 0)</f>
        <v/>
      </c>
      <c r="P894" s="23" t="inlineStr">
        <is>
          <t>Single Carrier (Band n50, 100MHz TDD)</t>
        </is>
      </c>
      <c r="Q894" s="27">
        <f>ROUNDUP(O894/'Methodology &amp; Assumptions'!$B$8, 0)</f>
        <v/>
      </c>
      <c r="R894" s="27" t="n">
        <v>1</v>
      </c>
      <c r="S894" s="26" t="n">
        <v>0.42</v>
      </c>
      <c r="T894" s="26" t="n">
        <v>0.2</v>
      </c>
      <c r="U894" s="11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26" t="n">
        <v>84.31</v>
      </c>
      <c r="W894" s="26" t="n">
        <v>47.99</v>
      </c>
      <c r="X894" s="26">
        <f>ROUND(('Methodology &amp; Assumptions'!$B$5*V894) + ('Methodology &amp; Assumptions'!$B$6*W894), 2)</f>
        <v/>
      </c>
      <c r="Y894" s="28" t="n">
        <v>7.2</v>
      </c>
      <c r="Z894" s="11" t="inlineStr">
        <is>
          <t>Priority Tier 2 (Balanced Opportunity)</t>
        </is>
      </c>
    </row>
    <row r="895">
      <c r="A895" s="23" t="n">
        <v>1</v>
      </c>
      <c r="B895" s="23" t="n">
        <v>891</v>
      </c>
      <c r="C895" s="23" t="n">
        <v>891</v>
      </c>
      <c r="D895" s="23" t="inlineStr">
        <is>
          <t>1908702010</t>
        </is>
      </c>
      <c r="E895" s="11" t="inlineStr">
        <is>
          <t>Bangsamoro Autonomous Region In Muslim Mindanao (BARMM)</t>
        </is>
      </c>
      <c r="F895" s="11" t="inlineStr">
        <is>
          <t>Maguindanao del Norte</t>
        </is>
      </c>
      <c r="G895" s="11" t="inlineStr">
        <is>
          <t>Buldon</t>
        </is>
      </c>
      <c r="H895" s="11" t="inlineStr">
        <is>
          <t>Minabay</t>
        </is>
      </c>
      <c r="I895" s="24" t="n">
        <v>7.564755</v>
      </c>
      <c r="J895" s="24" t="n">
        <v>124.386037</v>
      </c>
      <c r="K895" s="23" t="inlineStr">
        <is>
          <t>R</t>
        </is>
      </c>
      <c r="L895" s="25" t="n">
        <v>5213</v>
      </c>
      <c r="M895" s="26" t="n">
        <v>4.3</v>
      </c>
      <c r="N895" s="25">
        <f>ROUND(L895/M895, 0)</f>
        <v/>
      </c>
      <c r="O895" s="25">
        <f>ROUND(N895*'Methodology &amp; Assumptions'!$B$7, 0)</f>
        <v/>
      </c>
      <c r="P895" s="23" t="inlineStr">
        <is>
          <t>Single Carrier (Band n50, 100MHz TDD)</t>
        </is>
      </c>
      <c r="Q895" s="27">
        <f>ROUNDUP(O895/'Methodology &amp; Assumptions'!$B$8, 0)</f>
        <v/>
      </c>
      <c r="R895" s="27" t="n">
        <v>1</v>
      </c>
      <c r="S895" s="26" t="n">
        <v>51.02</v>
      </c>
      <c r="T895" s="26" t="n">
        <v>49.39</v>
      </c>
      <c r="U895" s="11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26" t="n">
        <v>59.06</v>
      </c>
      <c r="W895" s="26" t="n">
        <v>73.25</v>
      </c>
      <c r="X895" s="26">
        <f>ROUND(('Methodology &amp; Assumptions'!$B$5*V895) + ('Methodology &amp; Assumptions'!$B$6*W895), 2)</f>
        <v/>
      </c>
      <c r="Y895" s="28" t="n">
        <v>11</v>
      </c>
      <c r="Z895" s="11" t="inlineStr">
        <is>
          <t>Priority Tier 2 (Balanced Opportunity)</t>
        </is>
      </c>
    </row>
    <row r="896">
      <c r="A896" s="23" t="n">
        <v>1</v>
      </c>
      <c r="B896" s="23" t="n">
        <v>892</v>
      </c>
      <c r="C896" s="23" t="n">
        <v>892</v>
      </c>
      <c r="D896" s="23" t="inlineStr">
        <is>
          <t>0806012009</t>
        </is>
      </c>
      <c r="E896" s="11" t="inlineStr">
        <is>
          <t>Region VIII (Eastern Visayas)</t>
        </is>
      </c>
      <c r="F896" s="11" t="inlineStr">
        <is>
          <t>Samar</t>
        </is>
      </c>
      <c r="G896" s="11" t="inlineStr">
        <is>
          <t>Motiong</t>
        </is>
      </c>
      <c r="H896" s="11" t="inlineStr">
        <is>
          <t>Calapi</t>
        </is>
      </c>
      <c r="I896" s="24" t="n">
        <v>11.93023</v>
      </c>
      <c r="J896" s="24" t="n">
        <v>125.003015</v>
      </c>
      <c r="K896" s="23" t="inlineStr">
        <is>
          <t>R</t>
        </is>
      </c>
      <c r="L896" s="25" t="n">
        <v>2690</v>
      </c>
      <c r="M896" s="26" t="n">
        <v>4.1</v>
      </c>
      <c r="N896" s="25">
        <f>ROUND(L896/M896, 0)</f>
        <v/>
      </c>
      <c r="O896" s="25">
        <f>ROUND(N896*'Methodology &amp; Assumptions'!$B$7, 0)</f>
        <v/>
      </c>
      <c r="P896" s="23" t="inlineStr">
        <is>
          <t>Single Carrier (Band n50, 100MHz TDD)</t>
        </is>
      </c>
      <c r="Q896" s="27">
        <f>ROUNDUP(O896/'Methodology &amp; Assumptions'!$B$8, 0)</f>
        <v/>
      </c>
      <c r="R896" s="27" t="n">
        <v>1</v>
      </c>
      <c r="S896" s="26" t="n">
        <v>76.79000000000001</v>
      </c>
      <c r="T896" s="26" t="n">
        <v>77.91</v>
      </c>
      <c r="U896" s="11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26" t="n">
        <v>58.81</v>
      </c>
      <c r="W896" s="26" t="n">
        <v>73.5</v>
      </c>
      <c r="X896" s="26">
        <f>ROUND(('Methodology &amp; Assumptions'!$B$5*V896) + ('Methodology &amp; Assumptions'!$B$6*W896), 2)</f>
        <v/>
      </c>
      <c r="Y896" s="28" t="n">
        <v>23.7</v>
      </c>
      <c r="Z896" s="11" t="inlineStr">
        <is>
          <t>Priority Tier 2 (Balanced Opportunity)</t>
        </is>
      </c>
    </row>
    <row r="897">
      <c r="A897" s="23" t="n">
        <v>1</v>
      </c>
      <c r="B897" s="23" t="n">
        <v>893</v>
      </c>
      <c r="C897" s="23" t="n">
        <v>893</v>
      </c>
      <c r="D897" s="23" t="inlineStr">
        <is>
          <t>1380606199</t>
        </is>
      </c>
      <c r="E897" s="11" t="inlineStr">
        <is>
          <t>National Capital Region (NCR)</t>
        </is>
      </c>
      <c r="F897" s="11" t="inlineStr">
        <is>
          <t>First District (Not a Province)</t>
        </is>
      </c>
      <c r="G897" s="11" t="inlineStr">
        <is>
          <t>City of Manila</t>
        </is>
      </c>
      <c r="H897" s="11" t="inlineStr">
        <is>
          <t>Barangay 592</t>
        </is>
      </c>
      <c r="I897" s="24" t="n">
        <v>14.600579</v>
      </c>
      <c r="J897" s="24" t="n">
        <v>121.012365</v>
      </c>
      <c r="K897" s="23" t="inlineStr">
        <is>
          <t>U</t>
        </is>
      </c>
      <c r="L897" s="25" t="n">
        <v>2119</v>
      </c>
      <c r="M897" s="26" t="n">
        <v>3.78</v>
      </c>
      <c r="N897" s="25">
        <f>ROUND(L897/M897, 0)</f>
        <v/>
      </c>
      <c r="O897" s="25">
        <f>ROUND(N897*'Methodology &amp; Assumptions'!$B$7, 0)</f>
        <v/>
      </c>
      <c r="P897" s="23" t="inlineStr">
        <is>
          <t>Single Carrier (Band n50, 100MHz TDD)</t>
        </is>
      </c>
      <c r="Q897" s="27">
        <f>ROUNDUP(O897/'Methodology &amp; Assumptions'!$B$8, 0)</f>
        <v/>
      </c>
      <c r="R897" s="27" t="n">
        <v>1</v>
      </c>
      <c r="S897" s="26" t="n">
        <v>0.86</v>
      </c>
      <c r="T897" s="26" t="n">
        <v>0.22</v>
      </c>
      <c r="U897" s="11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26" t="n">
        <v>59.03</v>
      </c>
      <c r="W897" s="26" t="n">
        <v>73.25</v>
      </c>
      <c r="X897" s="26">
        <f>ROUND(('Methodology &amp; Assumptions'!$B$5*V897) + ('Methodology &amp; Assumptions'!$B$6*W897), 2)</f>
        <v/>
      </c>
      <c r="Y897" s="28" t="n">
        <v>10.9</v>
      </c>
      <c r="Z897" s="11" t="inlineStr">
        <is>
          <t>Priority Tier 2 (Balanced Opportunity)</t>
        </is>
      </c>
    </row>
    <row r="898">
      <c r="A898" s="23" t="n">
        <v>1</v>
      </c>
      <c r="B898" s="23" t="n">
        <v>894</v>
      </c>
      <c r="C898" s="23" t="n">
        <v>894</v>
      </c>
      <c r="D898" s="23" t="inlineStr">
        <is>
          <t>0301408003</t>
        </is>
      </c>
      <c r="E898" s="11" t="inlineStr">
        <is>
          <t>Region III (Central Luzon)</t>
        </is>
      </c>
      <c r="F898" s="11" t="inlineStr">
        <is>
          <t>Bulacan</t>
        </is>
      </c>
      <c r="G898" s="11" t="inlineStr">
        <is>
          <t>Guiguinto</t>
        </is>
      </c>
      <c r="H898" s="11" t="inlineStr">
        <is>
          <t>Ilang-Ilang</t>
        </is>
      </c>
      <c r="I898" s="24" t="n">
        <v>14.830265</v>
      </c>
      <c r="J898" s="24" t="n">
        <v>120.876483</v>
      </c>
      <c r="K898" s="23" t="inlineStr">
        <is>
          <t>U</t>
        </is>
      </c>
      <c r="L898" s="25" t="n">
        <v>6006</v>
      </c>
      <c r="M898" s="26" t="n">
        <v>3.5</v>
      </c>
      <c r="N898" s="25">
        <f>ROUND(L898/M898, 0)</f>
        <v/>
      </c>
      <c r="O898" s="25">
        <f>ROUND(N898*'Methodology &amp; Assumptions'!$B$7, 0)</f>
        <v/>
      </c>
      <c r="P898" s="23" t="inlineStr">
        <is>
          <t>Single Carrier (Band n50, 100MHz TDD)</t>
        </is>
      </c>
      <c r="Q898" s="27">
        <f>ROUNDUP(O898/'Methodology &amp; Assumptions'!$B$8, 0)</f>
        <v/>
      </c>
      <c r="R898" s="27" t="n">
        <v>1</v>
      </c>
      <c r="S898" s="26" t="n">
        <v>0.42</v>
      </c>
      <c r="T898" s="26" t="n">
        <v>0.25</v>
      </c>
      <c r="U898" s="11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26" t="n">
        <v>78.43000000000001</v>
      </c>
      <c r="W898" s="26" t="n">
        <v>53.83</v>
      </c>
      <c r="X898" s="26">
        <f>ROUND(('Methodology &amp; Assumptions'!$B$5*V898) + ('Methodology &amp; Assumptions'!$B$6*W898), 2)</f>
        <v/>
      </c>
      <c r="Y898" s="28" t="n">
        <v>8.300000000000001</v>
      </c>
      <c r="Z898" s="11" t="inlineStr">
        <is>
          <t>Priority Tier 2 (Balanced Opportunity)</t>
        </is>
      </c>
    </row>
    <row r="899">
      <c r="A899" s="23" t="n">
        <v>1</v>
      </c>
      <c r="B899" s="23" t="n">
        <v>895</v>
      </c>
      <c r="C899" s="23" t="n">
        <v>895</v>
      </c>
      <c r="D899" s="23" t="inlineStr">
        <is>
          <t>0102817034</t>
        </is>
      </c>
      <c r="E899" s="11" t="inlineStr">
        <is>
          <t>Region I (Ilocos Region)</t>
        </is>
      </c>
      <c r="F899" s="11" t="inlineStr">
        <is>
          <t>Ilocos Norte</t>
        </is>
      </c>
      <c r="G899" s="11" t="inlineStr">
        <is>
          <t>Pasuquin</t>
        </is>
      </c>
      <c r="H899" s="11" t="inlineStr">
        <is>
          <t>Tadao</t>
        </is>
      </c>
      <c r="I899" s="24" t="n">
        <v>18.433937</v>
      </c>
      <c r="J899" s="24" t="n">
        <v>120.614237</v>
      </c>
      <c r="K899" s="23" t="inlineStr">
        <is>
          <t>R</t>
        </is>
      </c>
      <c r="L899" s="25" t="n">
        <v>395</v>
      </c>
      <c r="M899" s="26" t="n">
        <v>3.7</v>
      </c>
      <c r="N899" s="25">
        <f>ROUND(L899/M899, 0)</f>
        <v/>
      </c>
      <c r="O899" s="25">
        <f>ROUND(N899*'Methodology &amp; Assumptions'!$B$7, 0)</f>
        <v/>
      </c>
      <c r="P899" s="23" t="inlineStr">
        <is>
          <t>Single Carrier (Band n50, 100MHz TDD)</t>
        </is>
      </c>
      <c r="Q899" s="27">
        <f>ROUNDUP(O899/'Methodology &amp; Assumptions'!$B$8, 0)</f>
        <v/>
      </c>
      <c r="R899" s="27" t="n">
        <v>1</v>
      </c>
      <c r="S899" s="26" t="n">
        <v>4.49</v>
      </c>
      <c r="T899" s="26" t="n">
        <v>2.56</v>
      </c>
      <c r="U899" s="11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26" t="n">
        <v>48.42</v>
      </c>
      <c r="W899" s="26" t="n">
        <v>83.84999999999999</v>
      </c>
      <c r="X899" s="26">
        <f>ROUND(('Methodology &amp; Assumptions'!$B$5*V899) + ('Methodology &amp; Assumptions'!$B$6*W899), 2)</f>
        <v/>
      </c>
      <c r="Y899" s="28" t="n">
        <v>8.300000000000001</v>
      </c>
      <c r="Z899" s="11" t="inlineStr">
        <is>
          <t>Priority Tier 2 (Balanced Opportunity)</t>
        </is>
      </c>
    </row>
    <row r="900">
      <c r="A900" s="23" t="n">
        <v>1</v>
      </c>
      <c r="B900" s="23" t="n">
        <v>896</v>
      </c>
      <c r="C900" s="23" t="n">
        <v>896</v>
      </c>
      <c r="D900" s="23" t="inlineStr">
        <is>
          <t>0402123017</t>
        </is>
      </c>
      <c r="E900" s="11" t="inlineStr">
        <is>
          <t>Region IV-A (CALABARZON)</t>
        </is>
      </c>
      <c r="F900" s="11" t="inlineStr">
        <is>
          <t>Cavite</t>
        </is>
      </c>
      <c r="G900" s="11" t="inlineStr">
        <is>
          <t>Gen. Mariano Alvarez</t>
        </is>
      </c>
      <c r="H900" s="11" t="inlineStr">
        <is>
          <t>Kapitan Kua</t>
        </is>
      </c>
      <c r="I900" s="24" t="n">
        <v>14.309045</v>
      </c>
      <c r="J900" s="24" t="n">
        <v>121.012666</v>
      </c>
      <c r="K900" s="23" t="inlineStr">
        <is>
          <t>R</t>
        </is>
      </c>
      <c r="L900" s="25" t="n">
        <v>3595</v>
      </c>
      <c r="M900" s="26" t="n">
        <v>3.4</v>
      </c>
      <c r="N900" s="25">
        <f>ROUND(L900/M900, 0)</f>
        <v/>
      </c>
      <c r="O900" s="25">
        <f>ROUND(N900*'Methodology &amp; Assumptions'!$B$7, 0)</f>
        <v/>
      </c>
      <c r="P900" s="23" t="inlineStr">
        <is>
          <t>Single Carrier (Band n50, 100MHz TDD)</t>
        </is>
      </c>
      <c r="Q900" s="27">
        <f>ROUNDUP(O900/'Methodology &amp; Assumptions'!$B$8, 0)</f>
        <v/>
      </c>
      <c r="R900" s="27" t="n">
        <v>1</v>
      </c>
      <c r="S900" s="26" t="n">
        <v>3.15</v>
      </c>
      <c r="T900" s="26" t="n">
        <v>4.03</v>
      </c>
      <c r="U900" s="11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26" t="n">
        <v>74.16</v>
      </c>
      <c r="W900" s="26" t="n">
        <v>58.06</v>
      </c>
      <c r="X900" s="26">
        <f>ROUND(('Methodology &amp; Assumptions'!$B$5*V900) + ('Methodology &amp; Assumptions'!$B$6*W900), 2)</f>
        <v/>
      </c>
      <c r="Y900" s="28" t="n">
        <v>7.2</v>
      </c>
      <c r="Z900" s="11" t="inlineStr">
        <is>
          <t>Priority Tier 2 (Balanced Opportunity)</t>
        </is>
      </c>
    </row>
    <row r="901">
      <c r="A901" s="23" t="n">
        <v>1</v>
      </c>
      <c r="B901" s="23" t="n">
        <v>897</v>
      </c>
      <c r="C901" s="23" t="n">
        <v>897</v>
      </c>
      <c r="D901" s="23" t="inlineStr">
        <is>
          <t>1381100094</t>
        </is>
      </c>
      <c r="E901" s="11" t="inlineStr">
        <is>
          <t>National Capital Region (NCR)</t>
        </is>
      </c>
      <c r="F901" s="11" t="inlineStr">
        <is>
          <t>Fourth District (Not a Province)</t>
        </is>
      </c>
      <c r="G901" s="11" t="inlineStr">
        <is>
          <t>Pasay City</t>
        </is>
      </c>
      <c r="H901" s="11" t="inlineStr">
        <is>
          <t>Barangay 94</t>
        </is>
      </c>
      <c r="I901" s="24" t="n">
        <v>14.545577</v>
      </c>
      <c r="J901" s="24" t="n">
        <v>121.000063</v>
      </c>
      <c r="K901" s="23" t="inlineStr">
        <is>
          <t>U</t>
        </is>
      </c>
      <c r="L901" s="25" t="n">
        <v>2418</v>
      </c>
      <c r="M901" s="26" t="n">
        <v>3.6</v>
      </c>
      <c r="N901" s="25">
        <f>ROUND(L901/M901, 0)</f>
        <v/>
      </c>
      <c r="O901" s="25">
        <f>ROUND(N901*'Methodology &amp; Assumptions'!$B$7, 0)</f>
        <v/>
      </c>
      <c r="P901" s="23" t="inlineStr">
        <is>
          <t>Single Carrier (Band n50, 100MHz TDD)</t>
        </is>
      </c>
      <c r="Q901" s="27">
        <f>ROUNDUP(O901/'Methodology &amp; Assumptions'!$B$8, 0)</f>
        <v/>
      </c>
      <c r="R901" s="27" t="n">
        <v>1</v>
      </c>
      <c r="S901" s="26" t="n">
        <v>0.62</v>
      </c>
      <c r="T901" s="26" t="n">
        <v>0.27</v>
      </c>
      <c r="U901" s="11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26" t="n">
        <v>62.73</v>
      </c>
      <c r="W901" s="26" t="n">
        <v>69.5</v>
      </c>
      <c r="X901" s="26">
        <f>ROUND(('Methodology &amp; Assumptions'!$B$5*V901) + ('Methodology &amp; Assumptions'!$B$6*W901), 2)</f>
        <v/>
      </c>
      <c r="Y901" s="28" t="n">
        <v>10.9</v>
      </c>
      <c r="Z901" s="11" t="inlineStr">
        <is>
          <t>Priority Tier 2 (Balanced Opportunity)</t>
        </is>
      </c>
    </row>
    <row r="902">
      <c r="A902" s="23" t="n">
        <v>1</v>
      </c>
      <c r="B902" s="23" t="n">
        <v>898</v>
      </c>
      <c r="C902" s="23" t="n">
        <v>898</v>
      </c>
      <c r="D902" s="23" t="inlineStr">
        <is>
          <t>1380606193</t>
        </is>
      </c>
      <c r="E902" s="11" t="inlineStr">
        <is>
          <t>National Capital Region (NCR)</t>
        </is>
      </c>
      <c r="F902" s="11" t="inlineStr">
        <is>
          <t>First District (Not a Province)</t>
        </is>
      </c>
      <c r="G902" s="11" t="inlineStr">
        <is>
          <t>City of Manila</t>
        </is>
      </c>
      <c r="H902" s="11" t="inlineStr">
        <is>
          <t>Barangay 587</t>
        </is>
      </c>
      <c r="I902" s="24" t="n">
        <v>14.601286</v>
      </c>
      <c r="J902" s="24" t="n">
        <v>121.014157</v>
      </c>
      <c r="K902" s="23" t="inlineStr">
        <is>
          <t>U</t>
        </is>
      </c>
      <c r="L902" s="25" t="n">
        <v>2685</v>
      </c>
      <c r="M902" s="26" t="n">
        <v>4.18</v>
      </c>
      <c r="N902" s="25">
        <f>ROUND(L902/M902, 0)</f>
        <v/>
      </c>
      <c r="O902" s="25">
        <f>ROUND(N902*'Methodology &amp; Assumptions'!$B$7, 0)</f>
        <v/>
      </c>
      <c r="P902" s="23" t="inlineStr">
        <is>
          <t>Single Carrier (Band n50, 100MHz TDD)</t>
        </is>
      </c>
      <c r="Q902" s="27">
        <f>ROUNDUP(O902/'Methodology &amp; Assumptions'!$B$8, 0)</f>
        <v/>
      </c>
      <c r="R902" s="27" t="n">
        <v>1</v>
      </c>
      <c r="S902" s="26" t="n">
        <v>1.04</v>
      </c>
      <c r="T902" s="26" t="n">
        <v>0.2</v>
      </c>
      <c r="U902" s="11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26" t="n">
        <v>61</v>
      </c>
      <c r="W902" s="26" t="n">
        <v>71.22</v>
      </c>
      <c r="X902" s="26">
        <f>ROUND(('Methodology &amp; Assumptions'!$B$5*V902) + ('Methodology &amp; Assumptions'!$B$6*W902), 2)</f>
        <v/>
      </c>
      <c r="Y902" s="28" t="n">
        <v>10.9</v>
      </c>
      <c r="Z902" s="11" t="inlineStr">
        <is>
          <t>Priority Tier 2 (Balanced Opportunity)</t>
        </is>
      </c>
    </row>
    <row r="903">
      <c r="A903" s="23" t="n">
        <v>1</v>
      </c>
      <c r="B903" s="23" t="n">
        <v>899</v>
      </c>
      <c r="C903" s="23" t="n">
        <v>899</v>
      </c>
      <c r="D903" s="23" t="inlineStr">
        <is>
          <t>0301412023</t>
        </is>
      </c>
      <c r="E903" s="11" t="inlineStr">
        <is>
          <t>Region III (Central Luzon)</t>
        </is>
      </c>
      <c r="F903" s="11" t="inlineStr">
        <is>
          <t>Bulacan</t>
        </is>
      </c>
      <c r="G903" s="11" t="inlineStr">
        <is>
          <t>City of Meycauayan</t>
        </is>
      </c>
      <c r="H903" s="11" t="inlineStr">
        <is>
          <t>Tugatog</t>
        </is>
      </c>
      <c r="I903" s="24" t="n">
        <v>14.723583</v>
      </c>
      <c r="J903" s="24" t="n">
        <v>120.964884</v>
      </c>
      <c r="K903" s="23" t="inlineStr">
        <is>
          <t>U</t>
        </is>
      </c>
      <c r="L903" s="25" t="n">
        <v>5072</v>
      </c>
      <c r="M903" s="26" t="n">
        <v>3.5</v>
      </c>
      <c r="N903" s="25">
        <f>ROUND(L903/M903, 0)</f>
        <v/>
      </c>
      <c r="O903" s="25">
        <f>ROUND(N903*'Methodology &amp; Assumptions'!$B$7, 0)</f>
        <v/>
      </c>
      <c r="P903" s="23" t="inlineStr">
        <is>
          <t>Single Carrier (Band n50, 100MHz TDD)</t>
        </is>
      </c>
      <c r="Q903" s="27">
        <f>ROUNDUP(O903/'Methodology &amp; Assumptions'!$B$8, 0)</f>
        <v/>
      </c>
      <c r="R903" s="27" t="n">
        <v>1</v>
      </c>
      <c r="S903" s="26" t="n">
        <v>1.68</v>
      </c>
      <c r="T903" s="26" t="n">
        <v>0.57</v>
      </c>
      <c r="U903" s="11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26" t="n">
        <v>75.29000000000001</v>
      </c>
      <c r="W903" s="26" t="n">
        <v>56.91</v>
      </c>
      <c r="X903" s="26">
        <f>ROUND(('Methodology &amp; Assumptions'!$B$5*V903) + ('Methodology &amp; Assumptions'!$B$6*W903), 2)</f>
        <v/>
      </c>
      <c r="Y903" s="28" t="n">
        <v>8.300000000000001</v>
      </c>
      <c r="Z903" s="11" t="inlineStr">
        <is>
          <t>Priority Tier 2 (Balanced Opportunity)</t>
        </is>
      </c>
    </row>
    <row r="904">
      <c r="A904" s="23" t="n">
        <v>1</v>
      </c>
      <c r="B904" s="23" t="n">
        <v>900</v>
      </c>
      <c r="C904" s="23" t="n">
        <v>900</v>
      </c>
      <c r="D904" s="23" t="inlineStr">
        <is>
          <t>1380601053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53</t>
        </is>
      </c>
      <c r="I904" s="24" t="n">
        <v>14.615245</v>
      </c>
      <c r="J904" s="24" t="n">
        <v>120.972704</v>
      </c>
      <c r="K904" s="23" t="inlineStr">
        <is>
          <t>U</t>
        </is>
      </c>
      <c r="L904" s="25" t="n">
        <v>3218</v>
      </c>
      <c r="M904" s="26" t="n">
        <v>4.73</v>
      </c>
      <c r="N904" s="25">
        <f>ROUND(L904/M904, 0)</f>
        <v/>
      </c>
      <c r="O904" s="25">
        <f>ROUND(N904*'Methodology &amp; Assumptions'!$B$7, 0)</f>
        <v/>
      </c>
      <c r="P904" s="23" t="inlineStr">
        <is>
          <t>Single Carrier (Band n50, 100MHz TDD)</t>
        </is>
      </c>
      <c r="Q904" s="27">
        <f>ROUNDUP(O904/'Methodology &amp; Assumptions'!$B$8, 0)</f>
        <v/>
      </c>
      <c r="R904" s="27" t="n">
        <v>1</v>
      </c>
      <c r="S904" s="26" t="n">
        <v>1</v>
      </c>
      <c r="T904" s="26" t="n">
        <v>0.33</v>
      </c>
      <c r="U904" s="11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26" t="n">
        <v>62.34</v>
      </c>
      <c r="W904" s="26" t="n">
        <v>69.83</v>
      </c>
      <c r="X904" s="26">
        <f>ROUND(('Methodology &amp; Assumptions'!$B$5*V904) + ('Methodology &amp; Assumptions'!$B$6*W904), 2)</f>
        <v/>
      </c>
      <c r="Y904" s="28" t="n">
        <v>10.9</v>
      </c>
      <c r="Z904" s="11" t="inlineStr">
        <is>
          <t>Priority Tier 2 (Balanced Opportunity)</t>
        </is>
      </c>
    </row>
    <row r="905">
      <c r="A905" s="23" t="n">
        <v>1</v>
      </c>
      <c r="B905" s="23" t="n">
        <v>901</v>
      </c>
      <c r="C905" s="23" t="n">
        <v>901</v>
      </c>
      <c r="D905" s="23" t="inlineStr">
        <is>
          <t>0200901001</t>
        </is>
      </c>
      <c r="E905" s="11" t="inlineStr">
        <is>
          <t>Region II (Cagayan Valley)</t>
        </is>
      </c>
      <c r="F905" s="11" t="inlineStr">
        <is>
          <t>Batanes</t>
        </is>
      </c>
      <c r="G905" s="11" t="inlineStr">
        <is>
          <t>Basco</t>
        </is>
      </c>
      <c r="H905" s="11" t="inlineStr">
        <is>
          <t>Ihubok II</t>
        </is>
      </c>
      <c r="I905" s="24" t="n">
        <v>20.448252</v>
      </c>
      <c r="J905" s="24" t="n">
        <v>121.974093</v>
      </c>
      <c r="K905" s="23" t="inlineStr">
        <is>
          <t>U</t>
        </is>
      </c>
      <c r="L905" s="25" t="n">
        <v>2641</v>
      </c>
      <c r="M905" s="26" t="n">
        <v>3</v>
      </c>
      <c r="N905" s="25">
        <f>ROUND(L905/M905, 0)</f>
        <v/>
      </c>
      <c r="O905" s="25">
        <f>ROUND(N905*'Methodology &amp; Assumptions'!$B$7, 0)</f>
        <v/>
      </c>
      <c r="P905" s="23" t="inlineStr">
        <is>
          <t>Single Carrier (Band n50, 100MHz TDD)</t>
        </is>
      </c>
      <c r="Q905" s="27">
        <f>ROUNDUP(O905/'Methodology &amp; Assumptions'!$B$8, 0)</f>
        <v/>
      </c>
      <c r="R905" s="27" t="n">
        <v>1</v>
      </c>
      <c r="S905" s="26" t="n">
        <v>223.92</v>
      </c>
      <c r="T905" s="26" t="n">
        <v>217.21</v>
      </c>
      <c r="U905" s="11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26" t="n">
        <v>55.81</v>
      </c>
      <c r="W905" s="26" t="n">
        <v>76.37</v>
      </c>
      <c r="X905" s="26">
        <f>ROUND(('Methodology &amp; Assumptions'!$B$5*V905) + ('Methodology &amp; Assumptions'!$B$6*W905), 2)</f>
        <v/>
      </c>
      <c r="Y905" s="28" t="n">
        <v>8.300000000000001</v>
      </c>
      <c r="Z905" s="11" t="inlineStr">
        <is>
          <t>Priority Tier 2 (Balanced Opportunity)</t>
        </is>
      </c>
    </row>
    <row r="906">
      <c r="A906" s="23" t="n">
        <v>1</v>
      </c>
      <c r="B906" s="23" t="n">
        <v>902</v>
      </c>
      <c r="C906" s="23" t="n">
        <v>902</v>
      </c>
      <c r="D906" s="23" t="inlineStr">
        <is>
          <t>0603014003</t>
        </is>
      </c>
      <c r="E906" s="11" t="inlineStr">
        <is>
          <t>Region VI (Western Visayas)</t>
        </is>
      </c>
      <c r="F906" s="11" t="inlineStr">
        <is>
          <t>Iloilo</t>
        </is>
      </c>
      <c r="G906" s="11" t="inlineStr">
        <is>
          <t>Carles</t>
        </is>
      </c>
      <c r="H906" s="11" t="inlineStr">
        <is>
          <t>Asluman</t>
        </is>
      </c>
      <c r="I906" s="24" t="n">
        <v>11.559678</v>
      </c>
      <c r="J906" s="24" t="n">
        <v>123.237646</v>
      </c>
      <c r="K906" s="23" t="inlineStr">
        <is>
          <t>R</t>
        </is>
      </c>
      <c r="L906" s="25" t="n">
        <v>3446</v>
      </c>
      <c r="M906" s="26" t="n">
        <v>3.8</v>
      </c>
      <c r="N906" s="25">
        <f>ROUND(L906/M906, 0)</f>
        <v/>
      </c>
      <c r="O906" s="25">
        <f>ROUND(N906*'Methodology &amp; Assumptions'!$B$7, 0)</f>
        <v/>
      </c>
      <c r="P906" s="23" t="inlineStr">
        <is>
          <t>Single Carrier (Band n50, 100MHz TDD)</t>
        </is>
      </c>
      <c r="Q906" s="27">
        <f>ROUNDUP(O906/'Methodology &amp; Assumptions'!$B$8, 0)</f>
        <v/>
      </c>
      <c r="R906" s="27" t="n">
        <v>1</v>
      </c>
      <c r="S906" s="26" t="n">
        <v>16.56</v>
      </c>
      <c r="T906" s="26" t="n">
        <v>17.43</v>
      </c>
      <c r="U906" s="11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26" t="n">
        <v>62.81</v>
      </c>
      <c r="W906" s="26" t="n">
        <v>69.34999999999999</v>
      </c>
      <c r="X906" s="26">
        <f>ROUND(('Methodology &amp; Assumptions'!$B$5*V906) + ('Methodology &amp; Assumptions'!$B$6*W906), 2)</f>
        <v/>
      </c>
      <c r="Y906" s="28" t="n">
        <v>23.7</v>
      </c>
      <c r="Z906" s="11" t="inlineStr">
        <is>
          <t>Priority Tier 2 (Balanced Opportunity)</t>
        </is>
      </c>
    </row>
    <row r="907">
      <c r="A907" s="23" t="n">
        <v>1</v>
      </c>
      <c r="B907" s="23" t="n">
        <v>903</v>
      </c>
      <c r="C907" s="23" t="n">
        <v>903</v>
      </c>
      <c r="D907" s="23" t="inlineStr">
        <is>
          <t>0401033003</t>
        </is>
      </c>
      <c r="E907" s="11" t="inlineStr">
        <is>
          <t>Region IV-A (CALABARZON)</t>
        </is>
      </c>
      <c r="F907" s="11" t="inlineStr">
        <is>
          <t>Batangas</t>
        </is>
      </c>
      <c r="G907" s="11" t="inlineStr">
        <is>
          <t>Tingloy</t>
        </is>
      </c>
      <c r="H907" s="11" t="inlineStr">
        <is>
          <t>Gamao</t>
        </is>
      </c>
      <c r="I907" s="24" t="n">
        <v>13.652</v>
      </c>
      <c r="J907" s="24" t="n">
        <v>120.9281</v>
      </c>
      <c r="K907" s="23" t="inlineStr">
        <is>
          <t>R</t>
        </is>
      </c>
      <c r="L907" s="25" t="n">
        <v>1068</v>
      </c>
      <c r="M907" s="26" t="n">
        <v>3.6</v>
      </c>
      <c r="N907" s="25">
        <f>ROUND(L907/M907, 0)</f>
        <v/>
      </c>
      <c r="O907" s="25">
        <f>ROUND(N907*'Methodology &amp; Assumptions'!$B$7, 0)</f>
        <v/>
      </c>
      <c r="P907" s="23" t="inlineStr">
        <is>
          <t>Single Carrier (Band n50, 100MHz TDD)</t>
        </is>
      </c>
      <c r="Q907" s="27">
        <f>ROUNDUP(O907/'Methodology &amp; Assumptions'!$B$8, 0)</f>
        <v/>
      </c>
      <c r="R907" s="27" t="n">
        <v>1</v>
      </c>
      <c r="S907" s="26" t="n">
        <v>5.5</v>
      </c>
      <c r="T907" s="26" t="n">
        <v>16.19</v>
      </c>
      <c r="U907" s="11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26" t="n">
        <v>55.38</v>
      </c>
      <c r="W907" s="26" t="n">
        <v>76.78</v>
      </c>
      <c r="X907" s="26">
        <f>ROUND(('Methodology &amp; Assumptions'!$B$5*V907) + ('Methodology &amp; Assumptions'!$B$6*W907), 2)</f>
        <v/>
      </c>
      <c r="Y907" s="28" t="n">
        <v>7.2</v>
      </c>
      <c r="Z907" s="11" t="inlineStr">
        <is>
          <t>Priority Tier 2 (Balanced Opportunity)</t>
        </is>
      </c>
    </row>
    <row r="908">
      <c r="A908" s="23" t="n">
        <v>1</v>
      </c>
      <c r="B908" s="23" t="n">
        <v>904</v>
      </c>
      <c r="C908" s="23" t="n">
        <v>904</v>
      </c>
      <c r="D908" s="23" t="inlineStr">
        <is>
          <t>0403419010</t>
        </is>
      </c>
      <c r="E908" s="11" t="inlineStr">
        <is>
          <t>Region IV-A (CALABARZON)</t>
        </is>
      </c>
      <c r="F908" s="11" t="inlineStr">
        <is>
          <t>Laguna</t>
        </is>
      </c>
      <c r="G908" s="11" t="inlineStr">
        <is>
          <t>Pagsanjan</t>
        </is>
      </c>
      <c r="H908" s="11" t="inlineStr">
        <is>
          <t>Maulawin</t>
        </is>
      </c>
      <c r="I908" s="24" t="n">
        <v>14.270303</v>
      </c>
      <c r="J908" s="24" t="n">
        <v>121.455592</v>
      </c>
      <c r="K908" s="23" t="inlineStr">
        <is>
          <t>R</t>
        </is>
      </c>
      <c r="L908" s="25" t="n">
        <v>4627</v>
      </c>
      <c r="M908" s="26" t="n">
        <v>3.3</v>
      </c>
      <c r="N908" s="25">
        <f>ROUND(L908/M908, 0)</f>
        <v/>
      </c>
      <c r="O908" s="25">
        <f>ROUND(N908*'Methodology &amp; Assumptions'!$B$7, 0)</f>
        <v/>
      </c>
      <c r="P908" s="23" t="inlineStr">
        <is>
          <t>Single Carrier (Band n50, 100MHz TDD)</t>
        </is>
      </c>
      <c r="Q908" s="27">
        <f>ROUNDUP(O908/'Methodology &amp; Assumptions'!$B$8, 0)</f>
        <v/>
      </c>
      <c r="R908" s="27" t="n">
        <v>1</v>
      </c>
      <c r="S908" s="26" t="n">
        <v>0.68</v>
      </c>
      <c r="T908" s="26" t="n">
        <v>0.26</v>
      </c>
      <c r="U908" s="11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26" t="n">
        <v>85.45999999999999</v>
      </c>
      <c r="W908" s="26" t="n">
        <v>46.69</v>
      </c>
      <c r="X908" s="26">
        <f>ROUND(('Methodology &amp; Assumptions'!$B$5*V908) + ('Methodology &amp; Assumptions'!$B$6*W908), 2)</f>
        <v/>
      </c>
      <c r="Y908" s="28" t="n">
        <v>7.2</v>
      </c>
      <c r="Z908" s="11" t="inlineStr">
        <is>
          <t>Priority Tier 2 (Balanced Opportunity)</t>
        </is>
      </c>
    </row>
    <row r="909">
      <c r="A909" s="23" t="n">
        <v>1</v>
      </c>
      <c r="B909" s="23" t="n">
        <v>905</v>
      </c>
      <c r="C909" s="23" t="n">
        <v>905</v>
      </c>
      <c r="D909" s="23" t="inlineStr">
        <is>
          <t>0403425018</t>
        </is>
      </c>
      <c r="E909" s="11" t="inlineStr">
        <is>
          <t>Region IV-A (CALABARZON)</t>
        </is>
      </c>
      <c r="F909" s="11" t="inlineStr">
        <is>
          <t>Laguna</t>
        </is>
      </c>
      <c r="G909" s="11" t="inlineStr">
        <is>
          <t>City of San Pedro</t>
        </is>
      </c>
      <c r="H909" s="11" t="inlineStr">
        <is>
          <t>United Bayanihan</t>
        </is>
      </c>
      <c r="I909" s="24" t="n">
        <v>14.334017</v>
      </c>
      <c r="J909" s="24" t="n">
        <v>121.029908</v>
      </c>
      <c r="K909" s="23" t="inlineStr">
        <is>
          <t>U</t>
        </is>
      </c>
      <c r="L909" s="25" t="n">
        <v>5903</v>
      </c>
      <c r="M909" s="26" t="n">
        <v>3.3</v>
      </c>
      <c r="N909" s="25">
        <f>ROUND(L909/M909, 0)</f>
        <v/>
      </c>
      <c r="O909" s="25">
        <f>ROUND(N909*'Methodology &amp; Assumptions'!$B$7, 0)</f>
        <v/>
      </c>
      <c r="P909" s="23" t="inlineStr">
        <is>
          <t>Single Carrier (Band n50, 100MHz TDD)</t>
        </is>
      </c>
      <c r="Q909" s="27">
        <f>ROUNDUP(O909/'Methodology &amp; Assumptions'!$B$8, 0)</f>
        <v/>
      </c>
      <c r="R909" s="27" t="n">
        <v>1</v>
      </c>
      <c r="S909" s="26" t="n">
        <v>1.61</v>
      </c>
      <c r="T909" s="26" t="n">
        <v>1.63</v>
      </c>
      <c r="U909" s="11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26" t="n">
        <v>75.39</v>
      </c>
      <c r="W909" s="26" t="n">
        <v>56.75</v>
      </c>
      <c r="X909" s="26">
        <f>ROUND(('Methodology &amp; Assumptions'!$B$5*V909) + ('Methodology &amp; Assumptions'!$B$6*W909), 2)</f>
        <v/>
      </c>
      <c r="Y909" s="28" t="n">
        <v>7.2</v>
      </c>
      <c r="Z909" s="11" t="inlineStr">
        <is>
          <t>Priority Tier 2 (Balanced Opportunity)</t>
        </is>
      </c>
    </row>
    <row r="910">
      <c r="A910" s="23" t="n">
        <v>1</v>
      </c>
      <c r="B910" s="23" t="n">
        <v>906</v>
      </c>
      <c r="C910" s="23" t="n">
        <v>906</v>
      </c>
      <c r="D910" s="23" t="inlineStr">
        <is>
          <t>1381100052</t>
        </is>
      </c>
      <c r="E910" s="11" t="inlineStr">
        <is>
          <t>National Capital Region (NCR)</t>
        </is>
      </c>
      <c r="F910" s="11" t="inlineStr">
        <is>
          <t>Fourth District (Not a Province)</t>
        </is>
      </c>
      <c r="G910" s="11" t="inlineStr">
        <is>
          <t>Pasay City</t>
        </is>
      </c>
      <c r="H910" s="11" t="inlineStr">
        <is>
          <t>Barangay 52</t>
        </is>
      </c>
      <c r="I910" s="24" t="n">
        <v>14.551723</v>
      </c>
      <c r="J910" s="24" t="n">
        <v>120.998087</v>
      </c>
      <c r="K910" s="23" t="inlineStr">
        <is>
          <t>U</t>
        </is>
      </c>
      <c r="L910" s="25" t="n">
        <v>2461</v>
      </c>
      <c r="M910" s="26" t="n">
        <v>4.08</v>
      </c>
      <c r="N910" s="25">
        <f>ROUND(L910/M910, 0)</f>
        <v/>
      </c>
      <c r="O910" s="25">
        <f>ROUND(N910*'Methodology &amp; Assumptions'!$B$7, 0)</f>
        <v/>
      </c>
      <c r="P910" s="23" t="inlineStr">
        <is>
          <t>Single Carrier (Band n50, 100MHz TDD)</t>
        </is>
      </c>
      <c r="Q910" s="27">
        <f>ROUNDUP(O910/'Methodology &amp; Assumptions'!$B$8, 0)</f>
        <v/>
      </c>
      <c r="R910" s="27" t="n">
        <v>1</v>
      </c>
      <c r="S910" s="26" t="n">
        <v>0.71</v>
      </c>
      <c r="T910" s="26" t="n">
        <v>0.08</v>
      </c>
      <c r="U910" s="11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26" t="n">
        <v>60.48</v>
      </c>
      <c r="W910" s="26" t="n">
        <v>71.66</v>
      </c>
      <c r="X910" s="26">
        <f>ROUND(('Methodology &amp; Assumptions'!$B$5*V910) + ('Methodology &amp; Assumptions'!$B$6*W910), 2)</f>
        <v/>
      </c>
      <c r="Y910" s="28" t="n">
        <v>10.9</v>
      </c>
      <c r="Z910" s="11" t="inlineStr">
        <is>
          <t>Priority Tier 2 (Balanced Opportunity)</t>
        </is>
      </c>
    </row>
    <row r="911">
      <c r="A911" s="23" t="n">
        <v>1</v>
      </c>
      <c r="B911" s="23" t="n">
        <v>907</v>
      </c>
      <c r="C911" s="23" t="n">
        <v>907</v>
      </c>
      <c r="D911" s="23" t="inlineStr">
        <is>
          <t>0201514009</t>
        </is>
      </c>
      <c r="E911" s="11" t="inlineStr">
        <is>
          <t>Region II (Cagayan Valley)</t>
        </is>
      </c>
      <c r="F911" s="11" t="inlineStr">
        <is>
          <t>Cagayan</t>
        </is>
      </c>
      <c r="G911" s="11" t="inlineStr">
        <is>
          <t>Gonzaga</t>
        </is>
      </c>
      <c r="H911" s="11" t="inlineStr">
        <is>
          <t>Caroan</t>
        </is>
      </c>
      <c r="I911" s="24" t="n">
        <v>18.1605</v>
      </c>
      <c r="J911" s="24" t="n">
        <v>121.5424</v>
      </c>
      <c r="K911" s="23" t="inlineStr">
        <is>
          <t>R</t>
        </is>
      </c>
      <c r="L911" s="25" t="n">
        <v>1293</v>
      </c>
      <c r="M911" s="26" t="n">
        <v>3.9</v>
      </c>
      <c r="N911" s="25">
        <f>ROUND(L911/M911, 0)</f>
        <v/>
      </c>
      <c r="O911" s="25">
        <f>ROUND(N911*'Methodology &amp; Assumptions'!$B$7, 0)</f>
        <v/>
      </c>
      <c r="P911" s="23" t="inlineStr">
        <is>
          <t>Single Carrier (Band n50, 100MHz TDD)</t>
        </is>
      </c>
      <c r="Q911" s="27">
        <f>ROUNDUP(O911/'Methodology &amp; Assumptions'!$B$8, 0)</f>
        <v/>
      </c>
      <c r="R911" s="27" t="n">
        <v>1</v>
      </c>
      <c r="S911" s="26" t="n">
        <v>6.94</v>
      </c>
      <c r="T911" s="26" t="n">
        <v>4.24</v>
      </c>
      <c r="U911" s="11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26" t="n">
        <v>52.1</v>
      </c>
      <c r="W911" s="26" t="n">
        <v>80.04000000000001</v>
      </c>
      <c r="X911" s="26">
        <f>ROUND(('Methodology &amp; Assumptions'!$B$5*V911) + ('Methodology &amp; Assumptions'!$B$6*W911), 2)</f>
        <v/>
      </c>
      <c r="Y911" s="28" t="n">
        <v>8.300000000000001</v>
      </c>
      <c r="Z911" s="11" t="inlineStr">
        <is>
          <t>Priority Tier 2 (Balanced Opportunity)</t>
        </is>
      </c>
    </row>
    <row r="912">
      <c r="A912" s="23" t="n">
        <v>1</v>
      </c>
      <c r="B912" s="23" t="n">
        <v>908</v>
      </c>
      <c r="C912" s="23" t="n">
        <v>908</v>
      </c>
      <c r="D912" s="23" t="inlineStr">
        <is>
          <t>0307113012</t>
        </is>
      </c>
      <c r="E912" s="11" t="inlineStr">
        <is>
          <t>Region III (Central Luzon)</t>
        </is>
      </c>
      <c r="F912" s="11" t="inlineStr">
        <is>
          <t>Zambales</t>
        </is>
      </c>
      <c r="G912" s="11" t="inlineStr">
        <is>
          <t>Santa Cruz</t>
        </is>
      </c>
      <c r="H912" s="11" t="inlineStr">
        <is>
          <t>Lomboy</t>
        </is>
      </c>
      <c r="I912" s="24" t="n">
        <v>15.773077</v>
      </c>
      <c r="J912" s="24" t="n">
        <v>120.043412</v>
      </c>
      <c r="K912" s="23" t="inlineStr">
        <is>
          <t>R</t>
        </is>
      </c>
      <c r="L912" s="25" t="n">
        <v>1889</v>
      </c>
      <c r="M912" s="26" t="n">
        <v>3.8</v>
      </c>
      <c r="N912" s="25">
        <f>ROUND(L912/M912, 0)</f>
        <v/>
      </c>
      <c r="O912" s="25">
        <f>ROUND(N912*'Methodology &amp; Assumptions'!$B$7, 0)</f>
        <v/>
      </c>
      <c r="P912" s="23" t="inlineStr">
        <is>
          <t>Single Carrier (Band n50, 100MHz TDD)</t>
        </is>
      </c>
      <c r="Q912" s="27">
        <f>ROUNDUP(O912/'Methodology &amp; Assumptions'!$B$8, 0)</f>
        <v/>
      </c>
      <c r="R912" s="27" t="n">
        <v>1</v>
      </c>
      <c r="S912" s="26" t="n">
        <v>14.36</v>
      </c>
      <c r="T912" s="26" t="n">
        <v>14.19</v>
      </c>
      <c r="U912" s="11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26" t="n">
        <v>50.48</v>
      </c>
      <c r="W912" s="26" t="n">
        <v>81.66</v>
      </c>
      <c r="X912" s="26">
        <f>ROUND(('Methodology &amp; Assumptions'!$B$5*V912) + ('Methodology &amp; Assumptions'!$B$6*W912), 2)</f>
        <v/>
      </c>
      <c r="Y912" s="28" t="n">
        <v>8.300000000000001</v>
      </c>
      <c r="Z912" s="11" t="inlineStr">
        <is>
          <t>Priority Tier 2 (Balanced Opportunity)</t>
        </is>
      </c>
    </row>
    <row r="913">
      <c r="A913" s="23" t="n">
        <v>1</v>
      </c>
      <c r="B913" s="23" t="n">
        <v>909</v>
      </c>
      <c r="C913" s="23" t="n">
        <v>909</v>
      </c>
      <c r="D913" s="23" t="inlineStr">
        <is>
          <t>0403413016</t>
        </is>
      </c>
      <c r="E913" s="11" t="inlineStr">
        <is>
          <t>Region IV-A (CALABARZON)</t>
        </is>
      </c>
      <c r="F913" s="11" t="inlineStr">
        <is>
          <t>Laguna</t>
        </is>
      </c>
      <c r="G913" s="11" t="inlineStr">
        <is>
          <t>Lumban</t>
        </is>
      </c>
      <c r="H913" s="11" t="inlineStr">
        <is>
          <t>Wawa</t>
        </is>
      </c>
      <c r="I913" s="24" t="n">
        <v>14.305841</v>
      </c>
      <c r="J913" s="24" t="n">
        <v>121.458945</v>
      </c>
      <c r="K913" s="23" t="inlineStr">
        <is>
          <t>R</t>
        </is>
      </c>
      <c r="L913" s="25" t="n">
        <v>4477</v>
      </c>
      <c r="M913" s="26" t="n">
        <v>3.3</v>
      </c>
      <c r="N913" s="25">
        <f>ROUND(L913/M913, 0)</f>
        <v/>
      </c>
      <c r="O913" s="25">
        <f>ROUND(N913*'Methodology &amp; Assumptions'!$B$7, 0)</f>
        <v/>
      </c>
      <c r="P913" s="23" t="inlineStr">
        <is>
          <t>Single Carrier (Band n50, 100MHz TDD)</t>
        </is>
      </c>
      <c r="Q913" s="27">
        <f>ROUNDUP(O913/'Methodology &amp; Assumptions'!$B$8, 0)</f>
        <v/>
      </c>
      <c r="R913" s="27" t="n">
        <v>1</v>
      </c>
      <c r="S913" s="26" t="n">
        <v>1.16</v>
      </c>
      <c r="T913" s="26" t="n">
        <v>0.8100000000000001</v>
      </c>
      <c r="U913" s="11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26" t="n">
        <v>84.23</v>
      </c>
      <c r="W913" s="26" t="n">
        <v>47.86</v>
      </c>
      <c r="X913" s="26">
        <f>ROUND(('Methodology &amp; Assumptions'!$B$5*V913) + ('Methodology &amp; Assumptions'!$B$6*W913), 2)</f>
        <v/>
      </c>
      <c r="Y913" s="28" t="n">
        <v>7.2</v>
      </c>
      <c r="Z913" s="11" t="inlineStr">
        <is>
          <t>Priority Tier 2 (Balanced Opportunity)</t>
        </is>
      </c>
    </row>
    <row r="914">
      <c r="A914" s="23" t="n">
        <v>1</v>
      </c>
      <c r="B914" s="23" t="n">
        <v>910</v>
      </c>
      <c r="C914" s="23" t="n">
        <v>910</v>
      </c>
      <c r="D914" s="23" t="inlineStr">
        <is>
          <t>0301412019</t>
        </is>
      </c>
      <c r="E914" s="11" t="inlineStr">
        <is>
          <t>Region III (Central Luzon)</t>
        </is>
      </c>
      <c r="F914" s="11" t="inlineStr">
        <is>
          <t>Bulacan</t>
        </is>
      </c>
      <c r="G914" s="11" t="inlineStr">
        <is>
          <t>City of Meycauayan</t>
        </is>
      </c>
      <c r="H914" s="11" t="inlineStr">
        <is>
          <t>Perez</t>
        </is>
      </c>
      <c r="I914" s="24" t="n">
        <v>14.764814</v>
      </c>
      <c r="J914" s="24" t="n">
        <v>120.997085</v>
      </c>
      <c r="K914" s="23" t="inlineStr">
        <is>
          <t>U</t>
        </is>
      </c>
      <c r="L914" s="25" t="n">
        <v>19701</v>
      </c>
      <c r="M914" s="26" t="n">
        <v>3.5</v>
      </c>
      <c r="N914" s="25">
        <f>ROUND(L914/M914, 0)</f>
        <v/>
      </c>
      <c r="O914" s="25">
        <f>ROUND(N914*'Methodology &amp; Assumptions'!$B$7, 0)</f>
        <v/>
      </c>
      <c r="P914" s="23" t="inlineStr">
        <is>
          <t>Single Carrier (Band n50, 100MHz TDD)</t>
        </is>
      </c>
      <c r="Q914" s="27">
        <f>ROUNDUP(O914/'Methodology &amp; Assumptions'!$B$8, 0)</f>
        <v/>
      </c>
      <c r="R914" s="27" t="n">
        <v>1</v>
      </c>
      <c r="S914" s="26" t="n">
        <v>1.32</v>
      </c>
      <c r="T914" s="26" t="n">
        <v>1.95</v>
      </c>
      <c r="U914" s="11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26" t="n">
        <v>76.62</v>
      </c>
      <c r="W914" s="26" t="n">
        <v>55.48</v>
      </c>
      <c r="X914" s="26">
        <f>ROUND(('Methodology &amp; Assumptions'!$B$5*V914) + ('Methodology &amp; Assumptions'!$B$6*W914), 2)</f>
        <v/>
      </c>
      <c r="Y914" s="28" t="n">
        <v>8.300000000000001</v>
      </c>
      <c r="Z914" s="11" t="inlineStr">
        <is>
          <t>Priority Tier 2 (Balanced Opportunity)</t>
        </is>
      </c>
    </row>
    <row r="915">
      <c r="A915" s="23" t="n">
        <v>1</v>
      </c>
      <c r="B915" s="23" t="n">
        <v>911</v>
      </c>
      <c r="C915" s="23" t="n">
        <v>911</v>
      </c>
      <c r="D915" s="23" t="inlineStr">
        <is>
          <t>0402104015</t>
        </is>
      </c>
      <c r="E915" s="11" t="inlineStr">
        <is>
          <t>Region IV-A (CALABARZON)</t>
        </is>
      </c>
      <c r="F915" s="11" t="inlineStr">
        <is>
          <t>Cavite</t>
        </is>
      </c>
      <c r="G915" s="11" t="inlineStr">
        <is>
          <t>Carmona</t>
        </is>
      </c>
      <c r="H915" s="11" t="inlineStr">
        <is>
          <t>Barangay 4</t>
        </is>
      </c>
      <c r="I915" s="24" t="n">
        <v>14.310549</v>
      </c>
      <c r="J915" s="24" t="n">
        <v>121.052585</v>
      </c>
      <c r="K915" s="23" t="inlineStr">
        <is>
          <t>R</t>
        </is>
      </c>
      <c r="L915" s="25" t="n">
        <v>684</v>
      </c>
      <c r="M915" s="26" t="n">
        <v>3.4</v>
      </c>
      <c r="N915" s="25">
        <f>ROUND(L915/M915, 0)</f>
        <v/>
      </c>
      <c r="O915" s="25">
        <f>ROUND(N915*'Methodology &amp; Assumptions'!$B$7, 0)</f>
        <v/>
      </c>
      <c r="P915" s="23" t="inlineStr">
        <is>
          <t>Single Carrier (Band n50, 100MHz TDD)</t>
        </is>
      </c>
      <c r="Q915" s="27">
        <f>ROUNDUP(O915/'Methodology &amp; Assumptions'!$B$8, 0)</f>
        <v/>
      </c>
      <c r="R915" s="27" t="n">
        <v>1</v>
      </c>
      <c r="S915" s="26" t="n">
        <v>0.27</v>
      </c>
      <c r="T915" s="26" t="n">
        <v>0.28</v>
      </c>
      <c r="U915" s="11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26" t="n">
        <v>65.39</v>
      </c>
      <c r="W915" s="26" t="n">
        <v>66.70999999999999</v>
      </c>
      <c r="X915" s="26">
        <f>ROUND(('Methodology &amp; Assumptions'!$B$5*V915) + ('Methodology &amp; Assumptions'!$B$6*W915), 2)</f>
        <v/>
      </c>
      <c r="Y915" s="28" t="n">
        <v>7.2</v>
      </c>
      <c r="Z915" s="11" t="inlineStr">
        <is>
          <t>Priority Tier 2 (Balanced Opportunity)</t>
        </is>
      </c>
    </row>
    <row r="916">
      <c r="A916" s="23" t="n">
        <v>1</v>
      </c>
      <c r="B916" s="23" t="n">
        <v>912</v>
      </c>
      <c r="C916" s="23" t="n">
        <v>912</v>
      </c>
      <c r="D916" s="23" t="inlineStr">
        <is>
          <t>0300809013</t>
        </is>
      </c>
      <c r="E916" s="11" t="inlineStr">
        <is>
          <t>Region III (Central Luzon)</t>
        </is>
      </c>
      <c r="F916" s="11" t="inlineStr">
        <is>
          <t>Bataan</t>
        </is>
      </c>
      <c r="G916" s="11" t="inlineStr">
        <is>
          <t>Orani</t>
        </is>
      </c>
      <c r="H916" s="11" t="inlineStr">
        <is>
          <t>Pantalan Bago</t>
        </is>
      </c>
      <c r="I916" s="24" t="n">
        <v>14.803625</v>
      </c>
      <c r="J916" s="24" t="n">
        <v>120.541898</v>
      </c>
      <c r="K916" s="23" t="inlineStr">
        <is>
          <t>R</t>
        </is>
      </c>
      <c r="L916" s="25" t="n">
        <v>2370</v>
      </c>
      <c r="M916" s="26" t="n">
        <v>3.6</v>
      </c>
      <c r="N916" s="25">
        <f>ROUND(L916/M916, 0)</f>
        <v/>
      </c>
      <c r="O916" s="25">
        <f>ROUND(N916*'Methodology &amp; Assumptions'!$B$7, 0)</f>
        <v/>
      </c>
      <c r="P916" s="23" t="inlineStr">
        <is>
          <t>Single Carrier (Band n50, 100MHz TDD)</t>
        </is>
      </c>
      <c r="Q916" s="27">
        <f>ROUNDUP(O916/'Methodology &amp; Assumptions'!$B$8, 0)</f>
        <v/>
      </c>
      <c r="R916" s="27" t="n">
        <v>1</v>
      </c>
      <c r="S916" s="26" t="n">
        <v>0.62</v>
      </c>
      <c r="T916" s="26" t="n">
        <v>0.63</v>
      </c>
      <c r="U916" s="11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26" t="n">
        <v>80.36</v>
      </c>
      <c r="W916" s="26" t="n">
        <v>51.71</v>
      </c>
      <c r="X916" s="26">
        <f>ROUND(('Methodology &amp; Assumptions'!$B$5*V916) + ('Methodology &amp; Assumptions'!$B$6*W916), 2)</f>
        <v/>
      </c>
      <c r="Y916" s="28" t="n">
        <v>8.300000000000001</v>
      </c>
      <c r="Z916" s="11" t="inlineStr">
        <is>
          <t>Priority Tier 2 (Balanced Opportunity)</t>
        </is>
      </c>
    </row>
    <row r="917">
      <c r="A917" s="23" t="n">
        <v>1</v>
      </c>
      <c r="B917" s="23" t="n">
        <v>913</v>
      </c>
      <c r="C917" s="23" t="n">
        <v>913</v>
      </c>
      <c r="D917" s="23" t="inlineStr">
        <is>
          <t>0402106081</t>
        </is>
      </c>
      <c r="E917" s="11" t="inlineStr">
        <is>
          <t>Region IV-A (CALABARZON)</t>
        </is>
      </c>
      <c r="F917" s="11" t="inlineStr">
        <is>
          <t>Cavite</t>
        </is>
      </c>
      <c r="G917" s="11" t="inlineStr">
        <is>
          <t>City of Dasmariñas</t>
        </is>
      </c>
      <c r="H917" s="11" t="inlineStr">
        <is>
          <t>Victoria Reyes</t>
        </is>
      </c>
      <c r="I917" s="24" t="n">
        <v>14.317231</v>
      </c>
      <c r="J917" s="24" t="n">
        <v>120.975108</v>
      </c>
      <c r="K917" s="23" t="inlineStr">
        <is>
          <t>U</t>
        </is>
      </c>
      <c r="L917" s="25" t="n">
        <v>14568</v>
      </c>
      <c r="M917" s="26" t="n">
        <v>3.4</v>
      </c>
      <c r="N917" s="25">
        <f>ROUND(L917/M917, 0)</f>
        <v/>
      </c>
      <c r="O917" s="25">
        <f>ROUND(N917*'Methodology &amp; Assumptions'!$B$7, 0)</f>
        <v/>
      </c>
      <c r="P917" s="23" t="inlineStr">
        <is>
          <t>Single Carrier (Band n50, 100MHz TDD)</t>
        </is>
      </c>
      <c r="Q917" s="27">
        <f>ROUNDUP(O917/'Methodology &amp; Assumptions'!$B$8, 0)</f>
        <v/>
      </c>
      <c r="R917" s="27" t="n">
        <v>1</v>
      </c>
      <c r="S917" s="26" t="n">
        <v>0.96</v>
      </c>
      <c r="T917" s="26" t="n">
        <v>2.7</v>
      </c>
      <c r="U917" s="11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26" t="n">
        <v>74.3</v>
      </c>
      <c r="W917" s="26" t="n">
        <v>57.75</v>
      </c>
      <c r="X917" s="26">
        <f>ROUND(('Methodology &amp; Assumptions'!$B$5*V917) + ('Methodology &amp; Assumptions'!$B$6*W917), 2)</f>
        <v/>
      </c>
      <c r="Y917" s="28" t="n">
        <v>7.2</v>
      </c>
      <c r="Z917" s="11" t="inlineStr">
        <is>
          <t>Priority Tier 2 (Balanced Opportunity)</t>
        </is>
      </c>
    </row>
    <row r="918">
      <c r="A918" s="23" t="n">
        <v>1</v>
      </c>
      <c r="B918" s="23" t="n">
        <v>914</v>
      </c>
      <c r="C918" s="23" t="n">
        <v>914</v>
      </c>
      <c r="D918" s="23" t="inlineStr">
        <is>
          <t>0402118053</t>
        </is>
      </c>
      <c r="E918" s="11" t="inlineStr">
        <is>
          <t>Region IV-A (CALABARZON)</t>
        </is>
      </c>
      <c r="F918" s="11" t="inlineStr">
        <is>
          <t>Cavite</t>
        </is>
      </c>
      <c r="G918" s="11" t="inlineStr">
        <is>
          <t>Silang</t>
        </is>
      </c>
      <c r="H918" s="11" t="inlineStr">
        <is>
          <t>Yakal</t>
        </is>
      </c>
      <c r="I918" s="24" t="n">
        <v>14.271998</v>
      </c>
      <c r="J918" s="24" t="n">
        <v>121.000371</v>
      </c>
      <c r="K918" s="23" t="inlineStr">
        <is>
          <t>U</t>
        </is>
      </c>
      <c r="L918" s="25" t="n">
        <v>7419</v>
      </c>
      <c r="M918" s="26" t="n">
        <v>3.4</v>
      </c>
      <c r="N918" s="25">
        <f>ROUND(L918/M918, 0)</f>
        <v/>
      </c>
      <c r="O918" s="25">
        <f>ROUND(N918*'Methodology &amp; Assumptions'!$B$7, 0)</f>
        <v/>
      </c>
      <c r="P918" s="23" t="inlineStr">
        <is>
          <t>Single Carrier (Band n50, 100MHz TDD)</t>
        </is>
      </c>
      <c r="Q918" s="27">
        <f>ROUNDUP(O918/'Methodology &amp; Assumptions'!$B$8, 0)</f>
        <v/>
      </c>
      <c r="R918" s="27" t="n">
        <v>1</v>
      </c>
      <c r="S918" s="26" t="n">
        <v>1.18</v>
      </c>
      <c r="T918" s="26" t="n">
        <v>3.38</v>
      </c>
      <c r="U918" s="11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26" t="n">
        <v>73.48</v>
      </c>
      <c r="W918" s="26" t="n">
        <v>58.58</v>
      </c>
      <c r="X918" s="26">
        <f>ROUND(('Methodology &amp; Assumptions'!$B$5*V918) + ('Methodology &amp; Assumptions'!$B$6*W918), 2)</f>
        <v/>
      </c>
      <c r="Y918" s="28" t="n">
        <v>7.2</v>
      </c>
      <c r="Z918" s="11" t="inlineStr">
        <is>
          <t>Priority Tier 2 (Balanced Opportunity)</t>
        </is>
      </c>
    </row>
    <row r="919">
      <c r="A919" s="23" t="n">
        <v>1</v>
      </c>
      <c r="B919" s="23" t="n">
        <v>915</v>
      </c>
      <c r="C919" s="23" t="n">
        <v>915</v>
      </c>
      <c r="D919" s="23" t="inlineStr">
        <is>
          <t>0205009001</t>
        </is>
      </c>
      <c r="E919" s="11" t="inlineStr">
        <is>
          <t>Region II (Cagayan Valley)</t>
        </is>
      </c>
      <c r="F919" s="11" t="inlineStr">
        <is>
          <t>Nueva Vizcaya</t>
        </is>
      </c>
      <c r="G919" s="11" t="inlineStr">
        <is>
          <t>Kasibu</t>
        </is>
      </c>
      <c r="H919" s="11" t="inlineStr">
        <is>
          <t>Antutot</t>
        </is>
      </c>
      <c r="I919" s="24" t="n">
        <v>16.339253</v>
      </c>
      <c r="J919" s="24" t="n">
        <v>121.211122</v>
      </c>
      <c r="K919" s="23" t="inlineStr">
        <is>
          <t>R</t>
        </is>
      </c>
      <c r="L919" s="25" t="n">
        <v>1876</v>
      </c>
      <c r="M919" s="26" t="n">
        <v>3.8</v>
      </c>
      <c r="N919" s="25">
        <f>ROUND(L919/M919, 0)</f>
        <v/>
      </c>
      <c r="O919" s="25">
        <f>ROUND(N919*'Methodology &amp; Assumptions'!$B$7, 0)</f>
        <v/>
      </c>
      <c r="P919" s="23" t="inlineStr">
        <is>
          <t>Single Carrier (Band n50, 100MHz TDD)</t>
        </is>
      </c>
      <c r="Q919" s="27">
        <f>ROUNDUP(O919/'Methodology &amp; Assumptions'!$B$8, 0)</f>
        <v/>
      </c>
      <c r="R919" s="27" t="n">
        <v>1</v>
      </c>
      <c r="S919" s="26" t="n">
        <v>9.23</v>
      </c>
      <c r="T919" s="26" t="n">
        <v>11.9</v>
      </c>
      <c r="U919" s="11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26" t="n">
        <v>55.11</v>
      </c>
      <c r="W919" s="26" t="n">
        <v>76.95999999999999</v>
      </c>
      <c r="X919" s="26">
        <f>ROUND(('Methodology &amp; Assumptions'!$B$5*V919) + ('Methodology &amp; Assumptions'!$B$6*W919), 2)</f>
        <v/>
      </c>
      <c r="Y919" s="28" t="n">
        <v>8.300000000000001</v>
      </c>
      <c r="Z919" s="11" t="inlineStr">
        <is>
          <t>Priority Tier 2 (Balanced Opportunity)</t>
        </is>
      </c>
    </row>
    <row r="920">
      <c r="A920" s="23" t="n">
        <v>1</v>
      </c>
      <c r="B920" s="23" t="n">
        <v>916</v>
      </c>
      <c r="C920" s="23" t="n">
        <v>916</v>
      </c>
      <c r="D920" s="23" t="inlineStr">
        <is>
          <t>0702234029</t>
        </is>
      </c>
      <c r="E920" s="11" t="inlineStr">
        <is>
          <t>Region VII (Central Visayas)</t>
        </is>
      </c>
      <c r="F920" s="11" t="inlineStr">
        <is>
          <t>Cebu</t>
        </is>
      </c>
      <c r="G920" s="11" t="inlineStr">
        <is>
          <t>City of Naga</t>
        </is>
      </c>
      <c r="H920" s="11" t="inlineStr">
        <is>
          <t>West Poblacion</t>
        </is>
      </c>
      <c r="I920" s="24" t="n">
        <v>10.207271</v>
      </c>
      <c r="J920" s="24" t="n">
        <v>123.75534</v>
      </c>
      <c r="K920" s="23" t="inlineStr">
        <is>
          <t>R</t>
        </is>
      </c>
      <c r="L920" s="25" t="n">
        <v>4169</v>
      </c>
      <c r="M920" s="26" t="n">
        <v>3.8</v>
      </c>
      <c r="N920" s="25">
        <f>ROUND(L920/M920, 0)</f>
        <v/>
      </c>
      <c r="O920" s="25">
        <f>ROUND(N920*'Methodology &amp; Assumptions'!$B$7, 0)</f>
        <v/>
      </c>
      <c r="P920" s="23" t="inlineStr">
        <is>
          <t>Single Carrier (Band n50, 100MHz TDD)</t>
        </is>
      </c>
      <c r="Q920" s="27">
        <f>ROUNDUP(O920/'Methodology &amp; Assumptions'!$B$8, 0)</f>
        <v/>
      </c>
      <c r="R920" s="27" t="n">
        <v>1</v>
      </c>
      <c r="S920" s="26" t="n">
        <v>3.3</v>
      </c>
      <c r="T920" s="26" t="n">
        <v>0.29</v>
      </c>
      <c r="U920" s="11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26" t="n">
        <v>79.92</v>
      </c>
      <c r="W920" s="26" t="n">
        <v>52.12</v>
      </c>
      <c r="X920" s="26">
        <f>ROUND(('Methodology &amp; Assumptions'!$B$5*V920) + ('Methodology &amp; Assumptions'!$B$6*W920), 2)</f>
        <v/>
      </c>
      <c r="Y920" s="28" t="n">
        <v>23.7</v>
      </c>
      <c r="Z920" s="11" t="inlineStr">
        <is>
          <t>Priority Tier 2 (Balanced Opportunity)</t>
        </is>
      </c>
    </row>
    <row r="921">
      <c r="A921" s="23" t="n">
        <v>1</v>
      </c>
      <c r="B921" s="23" t="n">
        <v>917</v>
      </c>
      <c r="C921" s="23" t="n">
        <v>917</v>
      </c>
      <c r="D921" s="23" t="inlineStr">
        <is>
          <t>0405623032</t>
        </is>
      </c>
      <c r="E921" s="11" t="inlineStr">
        <is>
          <t>Region IV-A (CALABARZON)</t>
        </is>
      </c>
      <c r="F921" s="11" t="inlineStr">
        <is>
          <t>Quezon</t>
        </is>
      </c>
      <c r="G921" s="11" t="inlineStr">
        <is>
          <t>Lucban</t>
        </is>
      </c>
      <c r="H921" s="11" t="inlineStr">
        <is>
          <t>Tinamnan</t>
        </is>
      </c>
      <c r="I921" s="24" t="n">
        <v>14.105221</v>
      </c>
      <c r="J921" s="24" t="n">
        <v>121.557318</v>
      </c>
      <c r="K921" s="23" t="inlineStr">
        <is>
          <t>U</t>
        </is>
      </c>
      <c r="L921" s="25" t="n">
        <v>3361</v>
      </c>
      <c r="M921" s="26" t="n">
        <v>3.8</v>
      </c>
      <c r="N921" s="25">
        <f>ROUND(L921/M921, 0)</f>
        <v/>
      </c>
      <c r="O921" s="25">
        <f>ROUND(N921*'Methodology &amp; Assumptions'!$B$7, 0)</f>
        <v/>
      </c>
      <c r="P921" s="23" t="inlineStr">
        <is>
          <t>Single Carrier (Band n50, 100MHz TDD)</t>
        </is>
      </c>
      <c r="Q921" s="27">
        <f>ROUNDUP(O921/'Methodology &amp; Assumptions'!$B$8, 0)</f>
        <v/>
      </c>
      <c r="R921" s="27" t="n">
        <v>1</v>
      </c>
      <c r="S921" s="26" t="n">
        <v>0.96</v>
      </c>
      <c r="T921" s="26" t="n">
        <v>0.8</v>
      </c>
      <c r="U921" s="11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26" t="n">
        <v>77.81</v>
      </c>
      <c r="W921" s="26" t="n">
        <v>54.21</v>
      </c>
      <c r="X921" s="26">
        <f>ROUND(('Methodology &amp; Assumptions'!$B$5*V921) + ('Methodology &amp; Assumptions'!$B$6*W921), 2)</f>
        <v/>
      </c>
      <c r="Y921" s="28" t="n">
        <v>7.2</v>
      </c>
      <c r="Z921" s="11" t="inlineStr">
        <is>
          <t>Priority Tier 2 (Balanced Opportunity)</t>
        </is>
      </c>
    </row>
    <row r="922">
      <c r="A922" s="23" t="n">
        <v>1</v>
      </c>
      <c r="B922" s="23" t="n">
        <v>918</v>
      </c>
      <c r="C922" s="23" t="n">
        <v>918</v>
      </c>
      <c r="D922" s="23" t="inlineStr">
        <is>
          <t>1381200016</t>
        </is>
      </c>
      <c r="E922" s="11" t="inlineStr">
        <is>
          <t>National Capital Region (NCR)</t>
        </is>
      </c>
      <c r="F922" s="11" t="inlineStr">
        <is>
          <t>Second District (Not a Province)</t>
        </is>
      </c>
      <c r="G922" s="11" t="inlineStr">
        <is>
          <t>City of Pasig</t>
        </is>
      </c>
      <c r="H922" s="11" t="inlineStr">
        <is>
          <t>Pineda</t>
        </is>
      </c>
      <c r="I922" s="24" t="n">
        <v>14.588138</v>
      </c>
      <c r="J922" s="24" t="n">
        <v>121.099563</v>
      </c>
      <c r="K922" s="23" t="inlineStr">
        <is>
          <t>U</t>
        </is>
      </c>
      <c r="L922" s="25" t="n">
        <v>20986</v>
      </c>
      <c r="M922" s="26" t="n">
        <v>3.4</v>
      </c>
      <c r="N922" s="25">
        <f>ROUND(L922/M922, 0)</f>
        <v/>
      </c>
      <c r="O922" s="25">
        <f>ROUND(N922*'Methodology &amp; Assumptions'!$B$7, 0)</f>
        <v/>
      </c>
      <c r="P922" s="23" t="inlineStr">
        <is>
          <t>Single Carrier (Band n50, 100MHz TDD)</t>
        </is>
      </c>
      <c r="Q922" s="27">
        <f>ROUNDUP(O922/'Methodology &amp; Assumptions'!$B$8, 0)</f>
        <v/>
      </c>
      <c r="R922" s="27" t="n">
        <v>1</v>
      </c>
      <c r="S922" s="26" t="n">
        <v>1.56</v>
      </c>
      <c r="T922" s="26" t="n">
        <v>0.15</v>
      </c>
      <c r="U922" s="11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26" t="n">
        <v>65.45</v>
      </c>
      <c r="W922" s="26" t="n">
        <v>66.54000000000001</v>
      </c>
      <c r="X922" s="26">
        <f>ROUND(('Methodology &amp; Assumptions'!$B$5*V922) + ('Methodology &amp; Assumptions'!$B$6*W922), 2)</f>
        <v/>
      </c>
      <c r="Y922" s="28" t="n">
        <v>10.9</v>
      </c>
      <c r="Z922" s="11" t="inlineStr">
        <is>
          <t>Priority Tier 2 (Balanced Opportunity)</t>
        </is>
      </c>
    </row>
    <row r="923">
      <c r="A923" s="23" t="n">
        <v>1</v>
      </c>
      <c r="B923" s="23" t="n">
        <v>919</v>
      </c>
      <c r="C923" s="23" t="n">
        <v>919</v>
      </c>
      <c r="D923" s="23" t="inlineStr">
        <is>
          <t>1705306012</t>
        </is>
      </c>
      <c r="E923" s="11" t="inlineStr">
        <is>
          <t>MIMAROPA Region</t>
        </is>
      </c>
      <c r="F923" s="11" t="inlineStr">
        <is>
          <t>Palawan</t>
        </is>
      </c>
      <c r="G923" s="11" t="inlineStr">
        <is>
          <t>Brooke'S Point</t>
        </is>
      </c>
      <c r="H923" s="11" t="inlineStr">
        <is>
          <t>Malis</t>
        </is>
      </c>
      <c r="I923" s="24" t="n">
        <v>8.733290999999999</v>
      </c>
      <c r="J923" s="24" t="n">
        <v>117.708226</v>
      </c>
      <c r="K923" s="23" t="inlineStr">
        <is>
          <t>R</t>
        </is>
      </c>
      <c r="L923" s="25" t="n">
        <v>4292</v>
      </c>
      <c r="M923" s="26" t="n">
        <v>3.9</v>
      </c>
      <c r="N923" s="25">
        <f>ROUND(L923/M923, 0)</f>
        <v/>
      </c>
      <c r="O923" s="25">
        <f>ROUND(N923*'Methodology &amp; Assumptions'!$B$7, 0)</f>
        <v/>
      </c>
      <c r="P923" s="23" t="inlineStr">
        <is>
          <t>Single Carrier (Band n50, 100MHz TDD)</t>
        </is>
      </c>
      <c r="Q923" s="27">
        <f>ROUNDUP(O923/'Methodology &amp; Assumptions'!$B$8, 0)</f>
        <v/>
      </c>
      <c r="R923" s="27" t="n">
        <v>1</v>
      </c>
      <c r="S923" s="26" t="n">
        <v>158.78</v>
      </c>
      <c r="T923" s="26" t="n">
        <v>161.07</v>
      </c>
      <c r="U923" s="11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26" t="n">
        <v>61.44</v>
      </c>
      <c r="W923" s="26" t="n">
        <v>70.56</v>
      </c>
      <c r="X923" s="26">
        <f>ROUND(('Methodology &amp; Assumptions'!$B$5*V923) + ('Methodology &amp; Assumptions'!$B$6*W923), 2)</f>
        <v/>
      </c>
      <c r="Y923" s="28" t="n">
        <v>15</v>
      </c>
      <c r="Z923" s="11" t="inlineStr">
        <is>
          <t>Priority Tier 2 (Balanced Opportunity)</t>
        </is>
      </c>
    </row>
    <row r="924">
      <c r="A924" s="23" t="n">
        <v>1</v>
      </c>
      <c r="B924" s="23" t="n">
        <v>920</v>
      </c>
      <c r="C924" s="23" t="n">
        <v>920</v>
      </c>
      <c r="D924" s="23" t="inlineStr">
        <is>
          <t>1381100051</t>
        </is>
      </c>
      <c r="E924" s="11" t="inlineStr">
        <is>
          <t>National Capital Region (NCR)</t>
        </is>
      </c>
      <c r="F924" s="11" t="inlineStr">
        <is>
          <t>Fourth District (Not a Province)</t>
        </is>
      </c>
      <c r="G924" s="11" t="inlineStr">
        <is>
          <t>Pasay City</t>
        </is>
      </c>
      <c r="H924" s="11" t="inlineStr">
        <is>
          <t>Barangay 51</t>
        </is>
      </c>
      <c r="I924" s="24" t="n">
        <v>14.554127</v>
      </c>
      <c r="J924" s="24" t="n">
        <v>121.000351</v>
      </c>
      <c r="K924" s="23" t="inlineStr">
        <is>
          <t>U</t>
        </is>
      </c>
      <c r="L924" s="25" t="n">
        <v>2168</v>
      </c>
      <c r="M924" s="26" t="n">
        <v>3.57</v>
      </c>
      <c r="N924" s="25">
        <f>ROUND(L924/M924, 0)</f>
        <v/>
      </c>
      <c r="O924" s="25">
        <f>ROUND(N924*'Methodology &amp; Assumptions'!$B$7, 0)</f>
        <v/>
      </c>
      <c r="P924" s="23" t="inlineStr">
        <is>
          <t>Single Carrier (Band n50, 100MHz TDD)</t>
        </is>
      </c>
      <c r="Q924" s="27">
        <f>ROUNDUP(O924/'Methodology &amp; Assumptions'!$B$8, 0)</f>
        <v/>
      </c>
      <c r="R924" s="27" t="n">
        <v>1</v>
      </c>
      <c r="S924" s="26" t="n">
        <v>0.93</v>
      </c>
      <c r="T924" s="26" t="n">
        <v>0.23</v>
      </c>
      <c r="U924" s="11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26" t="n">
        <v>60.23</v>
      </c>
      <c r="W924" s="26" t="n">
        <v>71.76000000000001</v>
      </c>
      <c r="X924" s="26">
        <f>ROUND(('Methodology &amp; Assumptions'!$B$5*V924) + ('Methodology &amp; Assumptions'!$B$6*W924), 2)</f>
        <v/>
      </c>
      <c r="Y924" s="28" t="n">
        <v>10.9</v>
      </c>
      <c r="Z924" s="11" t="inlineStr">
        <is>
          <t>Priority Tier 2 (Balanced Opportunity)</t>
        </is>
      </c>
    </row>
    <row r="925">
      <c r="A925" s="23" t="n">
        <v>1</v>
      </c>
      <c r="B925" s="23" t="n">
        <v>921</v>
      </c>
      <c r="C925" s="23" t="n">
        <v>921</v>
      </c>
      <c r="D925" s="23" t="inlineStr">
        <is>
          <t>1381701006</t>
        </is>
      </c>
      <c r="E925" s="11" t="inlineStr">
        <is>
          <t>National Capital Region (NCR)</t>
        </is>
      </c>
      <c r="F925" s="11" t="inlineStr">
        <is>
          <t>Fourth District (Not a Province)</t>
        </is>
      </c>
      <c r="G925" s="11" t="inlineStr">
        <is>
          <t>Pateros</t>
        </is>
      </c>
      <c r="H925" s="11" t="inlineStr">
        <is>
          <t>San Roque</t>
        </is>
      </c>
      <c r="I925" s="24" t="n">
        <v>14.54017</v>
      </c>
      <c r="J925" s="24" t="n">
        <v>121.0692</v>
      </c>
      <c r="K925" s="23" t="inlineStr">
        <is>
          <t>U</t>
        </is>
      </c>
      <c r="L925" s="25" t="n">
        <v>4897</v>
      </c>
      <c r="M925" s="26" t="n">
        <v>3.83</v>
      </c>
      <c r="N925" s="25">
        <f>ROUND(L925/M925, 0)</f>
        <v/>
      </c>
      <c r="O925" s="25">
        <f>ROUND(N925*'Methodology &amp; Assumptions'!$B$7, 0)</f>
        <v/>
      </c>
      <c r="P925" s="23" t="inlineStr">
        <is>
          <t>Single Carrier (Band n50, 100MHz TDD)</t>
        </is>
      </c>
      <c r="Q925" s="27">
        <f>ROUNDUP(O925/'Methodology &amp; Assumptions'!$B$8, 0)</f>
        <v/>
      </c>
      <c r="R925" s="27" t="n">
        <v>1</v>
      </c>
      <c r="S925" s="26" t="n">
        <v>0.51</v>
      </c>
      <c r="T925" s="26" t="n">
        <v>0.2</v>
      </c>
      <c r="U925" s="11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26" t="n">
        <v>69.09</v>
      </c>
      <c r="W925" s="26" t="n">
        <v>62.88</v>
      </c>
      <c r="X925" s="26">
        <f>ROUND(('Methodology &amp; Assumptions'!$B$5*V925) + ('Methodology &amp; Assumptions'!$B$6*W925), 2)</f>
        <v/>
      </c>
      <c r="Y925" s="28" t="n">
        <v>10.9</v>
      </c>
      <c r="Z925" s="11" t="inlineStr">
        <is>
          <t>Priority Tier 2 (Balanced Opportunity)</t>
        </is>
      </c>
    </row>
    <row r="926">
      <c r="A926" s="23" t="n">
        <v>1</v>
      </c>
      <c r="B926" s="23" t="n">
        <v>922</v>
      </c>
      <c r="C926" s="23" t="n">
        <v>922</v>
      </c>
      <c r="D926" s="23" t="inlineStr">
        <is>
          <t>1380614010</t>
        </is>
      </c>
      <c r="E926" s="11" t="inlineStr">
        <is>
          <t>National Capital Region (NCR)</t>
        </is>
      </c>
      <c r="F926" s="11" t="inlineStr">
        <is>
          <t>First District (Not a Province)</t>
        </is>
      </c>
      <c r="G926" s="11" t="inlineStr">
        <is>
          <t>City of Manila</t>
        </is>
      </c>
      <c r="H926" s="11" t="inlineStr">
        <is>
          <t>Barangay 753</t>
        </is>
      </c>
      <c r="I926" s="24" t="n">
        <v>14.569251</v>
      </c>
      <c r="J926" s="24" t="n">
        <v>120.998088</v>
      </c>
      <c r="K926" s="23" t="inlineStr">
        <is>
          <t>U</t>
        </is>
      </c>
      <c r="L926" s="25" t="n">
        <v>2531</v>
      </c>
      <c r="M926" s="26" t="n">
        <v>3.7</v>
      </c>
      <c r="N926" s="25">
        <f>ROUND(L926/M926, 0)</f>
        <v/>
      </c>
      <c r="O926" s="25">
        <f>ROUND(N926*'Methodology &amp; Assumptions'!$B$7, 0)</f>
        <v/>
      </c>
      <c r="P926" s="23" t="inlineStr">
        <is>
          <t>Single Carrier (Band n50, 100MHz TDD)</t>
        </is>
      </c>
      <c r="Q926" s="27">
        <f>ROUNDUP(O926/'Methodology &amp; Assumptions'!$B$8, 0)</f>
        <v/>
      </c>
      <c r="R926" s="27" t="n">
        <v>1</v>
      </c>
      <c r="S926" s="26" t="n">
        <v>0.52</v>
      </c>
      <c r="T926" s="26" t="n">
        <v>0.37</v>
      </c>
      <c r="U926" s="11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26" t="n">
        <v>63.05</v>
      </c>
      <c r="W926" s="26" t="n">
        <v>68.92</v>
      </c>
      <c r="X926" s="26">
        <f>ROUND(('Methodology &amp; Assumptions'!$B$5*V926) + ('Methodology &amp; Assumptions'!$B$6*W926), 2)</f>
        <v/>
      </c>
      <c r="Y926" s="28" t="n">
        <v>10.9</v>
      </c>
      <c r="Z926" s="11" t="inlineStr">
        <is>
          <t>Priority Tier 2 (Balanced Opportunity)</t>
        </is>
      </c>
    </row>
    <row r="927">
      <c r="A927" s="23" t="n">
        <v>1</v>
      </c>
      <c r="B927" s="23" t="n">
        <v>923</v>
      </c>
      <c r="C927" s="23" t="n">
        <v>923</v>
      </c>
      <c r="D927" s="23" t="inlineStr">
        <is>
          <t>0102817028</t>
        </is>
      </c>
      <c r="E927" s="11" t="inlineStr">
        <is>
          <t>Region I (Ilocos Region)</t>
        </is>
      </c>
      <c r="F927" s="11" t="inlineStr">
        <is>
          <t>Ilocos Norte</t>
        </is>
      </c>
      <c r="G927" s="11" t="inlineStr">
        <is>
          <t>Pasuquin</t>
        </is>
      </c>
      <c r="H927" s="11" t="inlineStr">
        <is>
          <t>Santa Matilde</t>
        </is>
      </c>
      <c r="I927" s="24" t="n">
        <v>18.433937</v>
      </c>
      <c r="J927" s="24" t="n">
        <v>120.614237</v>
      </c>
      <c r="K927" s="23" t="inlineStr">
        <is>
          <t>R</t>
        </is>
      </c>
      <c r="L927" s="25" t="n">
        <v>427</v>
      </c>
      <c r="M927" s="26" t="n">
        <v>3.7</v>
      </c>
      <c r="N927" s="25">
        <f>ROUND(L927/M927, 0)</f>
        <v/>
      </c>
      <c r="O927" s="25">
        <f>ROUND(N927*'Methodology &amp; Assumptions'!$B$7, 0)</f>
        <v/>
      </c>
      <c r="P927" s="23" t="inlineStr">
        <is>
          <t>Single Carrier (Band n50, 100MHz TDD)</t>
        </is>
      </c>
      <c r="Q927" s="27">
        <f>ROUNDUP(O927/'Methodology &amp; Assumptions'!$B$8, 0)</f>
        <v/>
      </c>
      <c r="R927" s="27" t="n">
        <v>1</v>
      </c>
      <c r="S927" s="26" t="n">
        <v>4.49</v>
      </c>
      <c r="T927" s="26" t="n">
        <v>2.56</v>
      </c>
      <c r="U927" s="11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26" t="n">
        <v>48.63</v>
      </c>
      <c r="W927" s="26" t="n">
        <v>83.34999999999999</v>
      </c>
      <c r="X927" s="26">
        <f>ROUND(('Methodology &amp; Assumptions'!$B$5*V927) + ('Methodology &amp; Assumptions'!$B$6*W927), 2)</f>
        <v/>
      </c>
      <c r="Y927" s="28" t="n">
        <v>8.300000000000001</v>
      </c>
      <c r="Z927" s="11" t="inlineStr">
        <is>
          <t>Priority Tier 2 (Balanced Opportunity)</t>
        </is>
      </c>
    </row>
    <row r="928">
      <c r="A928" s="23" t="n">
        <v>1</v>
      </c>
      <c r="B928" s="23" t="n">
        <v>924</v>
      </c>
      <c r="C928" s="23" t="n">
        <v>924</v>
      </c>
      <c r="D928" s="23" t="inlineStr">
        <is>
          <t>1381600031</t>
        </is>
      </c>
      <c r="E928" s="11" t="inlineStr">
        <is>
          <t>National Capital Region (NCR)</t>
        </is>
      </c>
      <c r="F928" s="11" t="inlineStr">
        <is>
          <t>Third District (Not a Province)</t>
        </is>
      </c>
      <c r="G928" s="11" t="inlineStr">
        <is>
          <t>City of Valenzuela</t>
        </is>
      </c>
      <c r="H928" s="11" t="inlineStr">
        <is>
          <t>Viente Reales</t>
        </is>
      </c>
      <c r="I928" s="24" t="n">
        <v>14.713986</v>
      </c>
      <c r="J928" s="24" t="n">
        <v>120.966698</v>
      </c>
      <c r="K928" s="23" t="inlineStr">
        <is>
          <t>U</t>
        </is>
      </c>
      <c r="L928" s="25" t="n">
        <v>18874</v>
      </c>
      <c r="M928" s="26" t="n">
        <v>3.44</v>
      </c>
      <c r="N928" s="25">
        <f>ROUND(L928/M928, 0)</f>
        <v/>
      </c>
      <c r="O928" s="25">
        <f>ROUND(N928*'Methodology &amp; Assumptions'!$B$7, 0)</f>
        <v/>
      </c>
      <c r="P928" s="23" t="inlineStr">
        <is>
          <t>Single Carrier (Band n50, 100MHz TDD)</t>
        </is>
      </c>
      <c r="Q928" s="27">
        <f>ROUNDUP(O928/'Methodology &amp; Assumptions'!$B$8, 0)</f>
        <v/>
      </c>
      <c r="R928" s="27" t="n">
        <v>1</v>
      </c>
      <c r="S928" s="26" t="n">
        <v>0.9399999999999999</v>
      </c>
      <c r="T928" s="26" t="n">
        <v>0.24</v>
      </c>
      <c r="U928" s="11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26" t="n">
        <v>68.03</v>
      </c>
      <c r="W928" s="26" t="n">
        <v>63.89</v>
      </c>
      <c r="X928" s="26">
        <f>ROUND(('Methodology &amp; Assumptions'!$B$5*V928) + ('Methodology &amp; Assumptions'!$B$6*W928), 2)</f>
        <v/>
      </c>
      <c r="Y928" s="28" t="n">
        <v>10.9</v>
      </c>
      <c r="Z928" s="11" t="inlineStr">
        <is>
          <t>Priority Tier 2 (Balanced Opportunity)</t>
        </is>
      </c>
    </row>
    <row r="929">
      <c r="A929" s="23" t="n">
        <v>1</v>
      </c>
      <c r="B929" s="23" t="n">
        <v>925</v>
      </c>
      <c r="C929" s="23" t="n">
        <v>925</v>
      </c>
      <c r="D929" s="23" t="inlineStr">
        <is>
          <t>0600410019</t>
        </is>
      </c>
      <c r="E929" s="11" t="inlineStr">
        <is>
          <t>Region VI (Western Visayas)</t>
        </is>
      </c>
      <c r="F929" s="11" t="inlineStr">
        <is>
          <t>Aklan</t>
        </is>
      </c>
      <c r="G929" s="11" t="inlineStr">
        <is>
          <t>Madalag</t>
        </is>
      </c>
      <c r="H929" s="11" t="inlineStr">
        <is>
          <t>Panipiason</t>
        </is>
      </c>
      <c r="I929" s="24" t="n">
        <v>11.45453</v>
      </c>
      <c r="J929" s="24" t="n">
        <v>122.17331</v>
      </c>
      <c r="K929" s="23" t="inlineStr">
        <is>
          <t>R</t>
        </is>
      </c>
      <c r="L929" s="25" t="n">
        <v>1877</v>
      </c>
      <c r="M929" s="26" t="n">
        <v>3.9</v>
      </c>
      <c r="N929" s="25">
        <f>ROUND(L929/M929, 0)</f>
        <v/>
      </c>
      <c r="O929" s="25">
        <f>ROUND(N929*'Methodology &amp; Assumptions'!$B$7, 0)</f>
        <v/>
      </c>
      <c r="P929" s="23" t="inlineStr">
        <is>
          <t>Single Carrier (Band n50, 100MHz TDD)</t>
        </is>
      </c>
      <c r="Q929" s="27">
        <f>ROUNDUP(O929/'Methodology &amp; Assumptions'!$B$8, 0)</f>
        <v/>
      </c>
      <c r="R929" s="27" t="n">
        <v>1</v>
      </c>
      <c r="S929" s="26" t="n">
        <v>23.05</v>
      </c>
      <c r="T929" s="26" t="n">
        <v>24.15</v>
      </c>
      <c r="U929" s="11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26" t="n">
        <v>50.81</v>
      </c>
      <c r="W929" s="26" t="n">
        <v>81.11</v>
      </c>
      <c r="X929" s="26">
        <f>ROUND(('Methodology &amp; Assumptions'!$B$5*V929) + ('Methodology &amp; Assumptions'!$B$6*W929), 2)</f>
        <v/>
      </c>
      <c r="Y929" s="28" t="n">
        <v>23.7</v>
      </c>
      <c r="Z929" s="11" t="inlineStr">
        <is>
          <t>Priority Tier 2 (Balanced Opportunity)</t>
        </is>
      </c>
    </row>
    <row r="930">
      <c r="A930" s="23" t="n">
        <v>1</v>
      </c>
      <c r="B930" s="23" t="n">
        <v>926</v>
      </c>
      <c r="C930" s="23" t="n">
        <v>926</v>
      </c>
      <c r="D930" s="23" t="inlineStr">
        <is>
          <t>1108603003</t>
        </is>
      </c>
      <c r="E930" s="11" t="inlineStr">
        <is>
          <t>Region XI (Davao Region)</t>
        </is>
      </c>
      <c r="F930" s="11" t="inlineStr">
        <is>
          <t>Davao Occidental</t>
        </is>
      </c>
      <c r="G930" s="11" t="inlineStr">
        <is>
          <t>Malita</t>
        </is>
      </c>
      <c r="H930" s="11" t="inlineStr">
        <is>
          <t>Buhangin</t>
        </is>
      </c>
      <c r="I930" s="24" t="n">
        <v>6.50074</v>
      </c>
      <c r="J930" s="24" t="n">
        <v>125.55763</v>
      </c>
      <c r="K930" s="23" t="inlineStr">
        <is>
          <t>R</t>
        </is>
      </c>
      <c r="L930" s="25" t="n">
        <v>4998</v>
      </c>
      <c r="M930" s="26" t="n">
        <v>3.6</v>
      </c>
      <c r="N930" s="25">
        <f>ROUND(L930/M930, 0)</f>
        <v/>
      </c>
      <c r="O930" s="25">
        <f>ROUND(N930*'Methodology &amp; Assumptions'!$B$7, 0)</f>
        <v/>
      </c>
      <c r="P930" s="23" t="inlineStr">
        <is>
          <t>Single Carrier (Band n50, 100MHz TDD)</t>
        </is>
      </c>
      <c r="Q930" s="27">
        <f>ROUNDUP(O930/'Methodology &amp; Assumptions'!$B$8, 0)</f>
        <v/>
      </c>
      <c r="R930" s="27" t="n">
        <v>1</v>
      </c>
      <c r="S930" s="26" t="n">
        <v>19.48</v>
      </c>
      <c r="T930" s="26" t="n">
        <v>20.94</v>
      </c>
      <c r="U930" s="11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26" t="n">
        <v>61.82</v>
      </c>
      <c r="W930" s="26" t="n">
        <v>70.06999999999999</v>
      </c>
      <c r="X930" s="26">
        <f>ROUND(('Methodology &amp; Assumptions'!$B$5*V930) + ('Methodology &amp; Assumptions'!$B$6*W930), 2)</f>
        <v/>
      </c>
      <c r="Y930" s="28" t="n">
        <v>17.4</v>
      </c>
      <c r="Z930" s="11" t="inlineStr">
        <is>
          <t>Priority Tier 2 (Balanced Opportunity)</t>
        </is>
      </c>
    </row>
    <row r="931">
      <c r="A931" s="23" t="n">
        <v>1</v>
      </c>
      <c r="B931" s="23" t="n">
        <v>927</v>
      </c>
      <c r="C931" s="23" t="n">
        <v>927</v>
      </c>
      <c r="D931" s="23" t="inlineStr">
        <is>
          <t>1381300114</t>
        </is>
      </c>
      <c r="E931" s="11" t="inlineStr">
        <is>
          <t>National Capital Region (NCR)</t>
        </is>
      </c>
      <c r="F931" s="11" t="inlineStr">
        <is>
          <t>Second District (Not a Province)</t>
        </is>
      </c>
      <c r="G931" s="11" t="inlineStr">
        <is>
          <t>Quezon City</t>
        </is>
      </c>
      <c r="H931" s="11" t="inlineStr">
        <is>
          <t>Silangan</t>
        </is>
      </c>
      <c r="I931" s="24" t="n">
        <v>14.629</v>
      </c>
      <c r="J931" s="24" t="n">
        <v>121.0561</v>
      </c>
      <c r="K931" s="23" t="inlineStr">
        <is>
          <t>U</t>
        </is>
      </c>
      <c r="L931" s="25" t="n">
        <v>5011</v>
      </c>
      <c r="M931" s="26" t="n">
        <v>3.6</v>
      </c>
      <c r="N931" s="25">
        <f>ROUND(L931/M931, 0)</f>
        <v/>
      </c>
      <c r="O931" s="25">
        <f>ROUND(N931*'Methodology &amp; Assumptions'!$B$7, 0)</f>
        <v/>
      </c>
      <c r="P931" s="23" t="inlineStr">
        <is>
          <t>Single Carrier (Band n50, 100MHz TDD)</t>
        </is>
      </c>
      <c r="Q931" s="27">
        <f>ROUNDUP(O931/'Methodology &amp; Assumptions'!$B$8, 0)</f>
        <v/>
      </c>
      <c r="R931" s="27" t="n">
        <v>1</v>
      </c>
      <c r="S931" s="26" t="n">
        <v>1.02</v>
      </c>
      <c r="T931" s="26" t="n">
        <v>0.45</v>
      </c>
      <c r="U931" s="11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26" t="n">
        <v>68.40000000000001</v>
      </c>
      <c r="W931" s="26" t="n">
        <v>63.45</v>
      </c>
      <c r="X931" s="26">
        <f>ROUND(('Methodology &amp; Assumptions'!$B$5*V931) + ('Methodology &amp; Assumptions'!$B$6*W931), 2)</f>
        <v/>
      </c>
      <c r="Y931" s="28" t="n">
        <v>10.9</v>
      </c>
      <c r="Z931" s="11" t="inlineStr">
        <is>
          <t>Priority Tier 2 (Balanced Opportunity)</t>
        </is>
      </c>
    </row>
    <row r="932">
      <c r="A932" s="23" t="n">
        <v>1</v>
      </c>
      <c r="B932" s="23" t="n">
        <v>928</v>
      </c>
      <c r="C932" s="23" t="n">
        <v>928</v>
      </c>
      <c r="D932" s="23" t="inlineStr">
        <is>
          <t>1380601092</t>
        </is>
      </c>
      <c r="E932" s="11" t="inlineStr">
        <is>
          <t>National Capital Region (NCR)</t>
        </is>
      </c>
      <c r="F932" s="11" t="inlineStr">
        <is>
          <t>First District (Not a Province)</t>
        </is>
      </c>
      <c r="G932" s="11" t="inlineStr">
        <is>
          <t>City of Manila</t>
        </is>
      </c>
      <c r="H932" s="11" t="inlineStr">
        <is>
          <t>Barangay 92</t>
        </is>
      </c>
      <c r="I932" s="24" t="n">
        <v>14.618985</v>
      </c>
      <c r="J932" s="24" t="n">
        <v>120.96683</v>
      </c>
      <c r="K932" s="23" t="inlineStr">
        <is>
          <t>U</t>
        </is>
      </c>
      <c r="L932" s="25" t="n">
        <v>2519</v>
      </c>
      <c r="M932" s="26" t="n">
        <v>4.74</v>
      </c>
      <c r="N932" s="25">
        <f>ROUND(L932/M932, 0)</f>
        <v/>
      </c>
      <c r="O932" s="25">
        <f>ROUND(N932*'Methodology &amp; Assumptions'!$B$7, 0)</f>
        <v/>
      </c>
      <c r="P932" s="23" t="inlineStr">
        <is>
          <t>Single Carrier (Band n50, 100MHz TDD)</t>
        </is>
      </c>
      <c r="Q932" s="27">
        <f>ROUNDUP(O932/'Methodology &amp; Assumptions'!$B$8, 0)</f>
        <v/>
      </c>
      <c r="R932" s="27" t="n">
        <v>1</v>
      </c>
      <c r="S932" s="26" t="n">
        <v>0.46</v>
      </c>
      <c r="T932" s="26" t="n">
        <v>0.11</v>
      </c>
      <c r="U932" s="11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26" t="n">
        <v>58.12</v>
      </c>
      <c r="W932" s="26" t="n">
        <v>73.73</v>
      </c>
      <c r="X932" s="26">
        <f>ROUND(('Methodology &amp; Assumptions'!$B$5*V932) + ('Methodology &amp; Assumptions'!$B$6*W932), 2)</f>
        <v/>
      </c>
      <c r="Y932" s="28" t="n">
        <v>10.9</v>
      </c>
      <c r="Z932" s="11" t="inlineStr">
        <is>
          <t>Priority Tier 2 (Balanced Opportunity)</t>
        </is>
      </c>
    </row>
    <row r="933">
      <c r="A933" s="23" t="n">
        <v>1</v>
      </c>
      <c r="B933" s="23" t="n">
        <v>929</v>
      </c>
      <c r="C933" s="23" t="n">
        <v>929</v>
      </c>
      <c r="D933" s="23" t="inlineStr">
        <is>
          <t>0205007023</t>
        </is>
      </c>
      <c r="E933" s="11" t="inlineStr">
        <is>
          <t>Region II (Cagayan Valley)</t>
        </is>
      </c>
      <c r="F933" s="11" t="inlineStr">
        <is>
          <t>Nueva Vizcaya</t>
        </is>
      </c>
      <c r="G933" s="11" t="inlineStr">
        <is>
          <t>Dupax del Norte</t>
        </is>
      </c>
      <c r="H933" s="11" t="inlineStr">
        <is>
          <t>Parai</t>
        </is>
      </c>
      <c r="I933" s="24" t="n">
        <v>16.323945</v>
      </c>
      <c r="J933" s="24" t="n">
        <v>121.176766</v>
      </c>
      <c r="K933" s="23" t="inlineStr">
        <is>
          <t>R</t>
        </is>
      </c>
      <c r="L933" s="25" t="n">
        <v>975</v>
      </c>
      <c r="M933" s="26" t="n">
        <v>3.8</v>
      </c>
      <c r="N933" s="25">
        <f>ROUND(L933/M933, 0)</f>
        <v/>
      </c>
      <c r="O933" s="25">
        <f>ROUND(N933*'Methodology &amp; Assumptions'!$B$7, 0)</f>
        <v/>
      </c>
      <c r="P933" s="23" t="inlineStr">
        <is>
          <t>Single Carrier (Band n50, 100MHz TDD)</t>
        </is>
      </c>
      <c r="Q933" s="27">
        <f>ROUNDUP(O933/'Methodology &amp; Assumptions'!$B$8, 0)</f>
        <v/>
      </c>
      <c r="R933" s="27" t="n">
        <v>1</v>
      </c>
      <c r="S933" s="26" t="n">
        <v>8.050000000000001</v>
      </c>
      <c r="T933" s="26" t="n">
        <v>9.48</v>
      </c>
      <c r="U933" s="11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26" t="n">
        <v>48.41</v>
      </c>
      <c r="W933" s="26" t="n">
        <v>83.44</v>
      </c>
      <c r="X933" s="26">
        <f>ROUND(('Methodology &amp; Assumptions'!$B$5*V933) + ('Methodology &amp; Assumptions'!$B$6*W933), 2)</f>
        <v/>
      </c>
      <c r="Y933" s="28" t="n">
        <v>8.300000000000001</v>
      </c>
      <c r="Z933" s="11" t="inlineStr">
        <is>
          <t>Priority Tier 2 (Balanced Opportunity)</t>
        </is>
      </c>
    </row>
    <row r="934">
      <c r="A934" s="23" t="n">
        <v>1</v>
      </c>
      <c r="B934" s="23" t="n">
        <v>930</v>
      </c>
      <c r="C934" s="23" t="n">
        <v>930</v>
      </c>
      <c r="D934" s="23" t="inlineStr">
        <is>
          <t>1380614074</t>
        </is>
      </c>
      <c r="E934" s="11" t="inlineStr">
        <is>
          <t>National Capital Region (NCR)</t>
        </is>
      </c>
      <c r="F934" s="11" t="inlineStr">
        <is>
          <t>First District (Not a Province)</t>
        </is>
      </c>
      <c r="G934" s="11" t="inlineStr">
        <is>
          <t>City of Manila</t>
        </is>
      </c>
      <c r="H934" s="11" t="inlineStr">
        <is>
          <t>Barangay 881</t>
        </is>
      </c>
      <c r="I934" s="24" t="n">
        <v>14.576943</v>
      </c>
      <c r="J934" s="24" t="n">
        <v>121.013211</v>
      </c>
      <c r="K934" s="23" t="inlineStr">
        <is>
          <t>U</t>
        </is>
      </c>
      <c r="L934" s="25" t="n">
        <v>2443</v>
      </c>
      <c r="M934" s="26" t="n">
        <v>3.3</v>
      </c>
      <c r="N934" s="25">
        <f>ROUND(L934/M934, 0)</f>
        <v/>
      </c>
      <c r="O934" s="25">
        <f>ROUND(N934*'Methodology &amp; Assumptions'!$B$7, 0)</f>
        <v/>
      </c>
      <c r="P934" s="23" t="inlineStr">
        <is>
          <t>Single Carrier (Band n50, 100MHz TDD)</t>
        </is>
      </c>
      <c r="Q934" s="27">
        <f>ROUNDUP(O934/'Methodology &amp; Assumptions'!$B$8, 0)</f>
        <v/>
      </c>
      <c r="R934" s="27" t="n">
        <v>1</v>
      </c>
      <c r="S934" s="26" t="n">
        <v>1.4</v>
      </c>
      <c r="T934" s="26" t="n">
        <v>0.21</v>
      </c>
      <c r="U934" s="11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26" t="n">
        <v>62.77</v>
      </c>
      <c r="W934" s="26" t="n">
        <v>69.08</v>
      </c>
      <c r="X934" s="26">
        <f>ROUND(('Methodology &amp; Assumptions'!$B$5*V934) + ('Methodology &amp; Assumptions'!$B$6*W934), 2)</f>
        <v/>
      </c>
      <c r="Y934" s="28" t="n">
        <v>10.9</v>
      </c>
      <c r="Z934" s="11" t="inlineStr">
        <is>
          <t>Priority Tier 2 (Balanced Opportunity)</t>
        </is>
      </c>
    </row>
    <row r="935">
      <c r="A935" s="23" t="n">
        <v>1</v>
      </c>
      <c r="B935" s="23" t="n">
        <v>931</v>
      </c>
      <c r="C935" s="23" t="n">
        <v>931</v>
      </c>
      <c r="D935" s="23" t="inlineStr">
        <is>
          <t>0304928002</t>
        </is>
      </c>
      <c r="E935" s="11" t="inlineStr">
        <is>
          <t>Region III (Central Luzon)</t>
        </is>
      </c>
      <c r="F935" s="11" t="inlineStr">
        <is>
          <t>Nueva Ecija</t>
        </is>
      </c>
      <c r="G935" s="11" t="inlineStr">
        <is>
          <t>Santa Rosa</t>
        </is>
      </c>
      <c r="H935" s="11" t="inlineStr">
        <is>
          <t>La Fuente</t>
        </is>
      </c>
      <c r="I935" s="24" t="n">
        <v>15.425414</v>
      </c>
      <c r="J935" s="24" t="n">
        <v>120.932894</v>
      </c>
      <c r="K935" s="23" t="inlineStr">
        <is>
          <t>R</t>
        </is>
      </c>
      <c r="L935" s="25" t="n">
        <v>3386</v>
      </c>
      <c r="M935" s="26" t="n">
        <v>3.5</v>
      </c>
      <c r="N935" s="25">
        <f>ROUND(L935/M935, 0)</f>
        <v/>
      </c>
      <c r="O935" s="25">
        <f>ROUND(N935*'Methodology &amp; Assumptions'!$B$7, 0)</f>
        <v/>
      </c>
      <c r="P935" s="23" t="inlineStr">
        <is>
          <t>Single Carrier (Band n50, 100MHz TDD)</t>
        </is>
      </c>
      <c r="Q935" s="27">
        <f>ROUNDUP(O935/'Methodology &amp; Assumptions'!$B$8, 0)</f>
        <v/>
      </c>
      <c r="R935" s="27" t="n">
        <v>1</v>
      </c>
      <c r="S935" s="26" t="n">
        <v>0.07000000000000001</v>
      </c>
      <c r="T935" s="26" t="n">
        <v>0.05</v>
      </c>
      <c r="U935" s="11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26" t="n">
        <v>85.63</v>
      </c>
      <c r="W935" s="26" t="n">
        <v>46.19</v>
      </c>
      <c r="X935" s="26">
        <f>ROUND(('Methodology &amp; Assumptions'!$B$5*V935) + ('Methodology &amp; Assumptions'!$B$6*W935), 2)</f>
        <v/>
      </c>
      <c r="Y935" s="28" t="n">
        <v>8.300000000000001</v>
      </c>
      <c r="Z935" s="11" t="inlineStr">
        <is>
          <t>Priority Tier 2 (Balanced Opportunity)</t>
        </is>
      </c>
    </row>
    <row r="936">
      <c r="A936" s="23" t="n">
        <v>1</v>
      </c>
      <c r="B936" s="23" t="n">
        <v>932</v>
      </c>
      <c r="C936" s="23" t="n">
        <v>932</v>
      </c>
      <c r="D936" s="23" t="inlineStr">
        <is>
          <t>1380614030</t>
        </is>
      </c>
      <c r="E936" s="11" t="inlineStr">
        <is>
          <t>National Capital Region (NCR)</t>
        </is>
      </c>
      <c r="F936" s="11" t="inlineStr">
        <is>
          <t>First District (Not a Province)</t>
        </is>
      </c>
      <c r="G936" s="11" t="inlineStr">
        <is>
          <t>City of Manila</t>
        </is>
      </c>
      <c r="H936" s="11" t="inlineStr">
        <is>
          <t>Barangay 774</t>
        </is>
      </c>
      <c r="I936" s="24" t="n">
        <v>14.575549</v>
      </c>
      <c r="J936" s="24" t="n">
        <v>121.006631</v>
      </c>
      <c r="K936" s="23" t="inlineStr">
        <is>
          <t>U</t>
        </is>
      </c>
      <c r="L936" s="25" t="n">
        <v>2909</v>
      </c>
      <c r="M936" s="26" t="n">
        <v>4.27</v>
      </c>
      <c r="N936" s="25">
        <f>ROUND(L936/M936, 0)</f>
        <v/>
      </c>
      <c r="O936" s="25">
        <f>ROUND(N936*'Methodology &amp; Assumptions'!$B$7, 0)</f>
        <v/>
      </c>
      <c r="P936" s="23" t="inlineStr">
        <is>
          <t>Single Carrier (Band n50, 100MHz TDD)</t>
        </is>
      </c>
      <c r="Q936" s="27">
        <f>ROUNDUP(O936/'Methodology &amp; Assumptions'!$B$8, 0)</f>
        <v/>
      </c>
      <c r="R936" s="27" t="n">
        <v>1</v>
      </c>
      <c r="S936" s="26" t="n">
        <v>1.07</v>
      </c>
      <c r="T936" s="26" t="n">
        <v>0.47</v>
      </c>
      <c r="U936" s="11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26" t="n">
        <v>62.18</v>
      </c>
      <c r="W936" s="26" t="n">
        <v>69.64</v>
      </c>
      <c r="X936" s="26">
        <f>ROUND(('Methodology &amp; Assumptions'!$B$5*V936) + ('Methodology &amp; Assumptions'!$B$6*W936), 2)</f>
        <v/>
      </c>
      <c r="Y936" s="28" t="n">
        <v>10.9</v>
      </c>
      <c r="Z936" s="11" t="inlineStr">
        <is>
          <t>Priority Tier 2 (Balanced Opportunity)</t>
        </is>
      </c>
    </row>
    <row r="937">
      <c r="A937" s="23" t="n">
        <v>1</v>
      </c>
      <c r="B937" s="23" t="n">
        <v>933</v>
      </c>
      <c r="C937" s="23" t="n">
        <v>933</v>
      </c>
      <c r="D937" s="23" t="inlineStr">
        <is>
          <t>0306902014</t>
        </is>
      </c>
      <c r="E937" s="11" t="inlineStr">
        <is>
          <t>Region III (Central Luzon)</t>
        </is>
      </c>
      <c r="F937" s="11" t="inlineStr">
        <is>
          <t>Tarlac</t>
        </is>
      </c>
      <c r="G937" s="11" t="inlineStr">
        <is>
          <t>Bamban</t>
        </is>
      </c>
      <c r="H937" s="11" t="inlineStr">
        <is>
          <t>San Vicente</t>
        </is>
      </c>
      <c r="I937" s="24" t="n">
        <v>15.476191</v>
      </c>
      <c r="J937" s="24" t="n">
        <v>120.586771</v>
      </c>
      <c r="K937" s="23" t="inlineStr">
        <is>
          <t>R</t>
        </is>
      </c>
      <c r="L937" s="25" t="n">
        <v>3934</v>
      </c>
      <c r="M937" s="26" t="n">
        <v>3.9</v>
      </c>
      <c r="N937" s="25">
        <f>ROUND(L937/M937, 0)</f>
        <v/>
      </c>
      <c r="O937" s="25">
        <f>ROUND(N937*'Methodology &amp; Assumptions'!$B$7, 0)</f>
        <v/>
      </c>
      <c r="P937" s="23" t="inlineStr">
        <is>
          <t>Single Carrier (Band n50, 100MHz TDD)</t>
        </is>
      </c>
      <c r="Q937" s="27">
        <f>ROUNDUP(O937/'Methodology &amp; Assumptions'!$B$8, 0)</f>
        <v/>
      </c>
      <c r="R937" s="27" t="n">
        <v>1</v>
      </c>
      <c r="S937" s="26" t="n">
        <v>2.75</v>
      </c>
      <c r="T937" s="26" t="n">
        <v>0.13</v>
      </c>
      <c r="U937" s="11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26" t="n">
        <v>78.95</v>
      </c>
      <c r="W937" s="26" t="n">
        <v>52.8</v>
      </c>
      <c r="X937" s="26">
        <f>ROUND(('Methodology &amp; Assumptions'!$B$5*V937) + ('Methodology &amp; Assumptions'!$B$6*W937), 2)</f>
        <v/>
      </c>
      <c r="Y937" s="28" t="n">
        <v>8.300000000000001</v>
      </c>
      <c r="Z937" s="11" t="inlineStr">
        <is>
          <t>Priority Tier 2 (Balanced Opportunity)</t>
        </is>
      </c>
    </row>
    <row r="938">
      <c r="A938" s="23" t="n">
        <v>1</v>
      </c>
      <c r="B938" s="23" t="n">
        <v>934</v>
      </c>
      <c r="C938" s="23" t="n">
        <v>934</v>
      </c>
      <c r="D938" s="23" t="inlineStr">
        <is>
          <t>0300809025</t>
        </is>
      </c>
      <c r="E938" s="11" t="inlineStr">
        <is>
          <t>Region III (Central Luzon)</t>
        </is>
      </c>
      <c r="F938" s="11" t="inlineStr">
        <is>
          <t>Bataan</t>
        </is>
      </c>
      <c r="G938" s="11" t="inlineStr">
        <is>
          <t>Orani</t>
        </is>
      </c>
      <c r="H938" s="11" t="inlineStr">
        <is>
          <t>Apollo</t>
        </is>
      </c>
      <c r="I938" s="24" t="n">
        <v>14.793243</v>
      </c>
      <c r="J938" s="24" t="n">
        <v>120.5353</v>
      </c>
      <c r="K938" s="23" t="inlineStr">
        <is>
          <t>R</t>
        </is>
      </c>
      <c r="L938" s="25" t="n">
        <v>1948</v>
      </c>
      <c r="M938" s="26" t="n">
        <v>3.6</v>
      </c>
      <c r="N938" s="25">
        <f>ROUND(L938/M938, 0)</f>
        <v/>
      </c>
      <c r="O938" s="25">
        <f>ROUND(N938*'Methodology &amp; Assumptions'!$B$7, 0)</f>
        <v/>
      </c>
      <c r="P938" s="23" t="inlineStr">
        <is>
          <t>Single Carrier (Band n50, 100MHz TDD)</t>
        </is>
      </c>
      <c r="Q938" s="27">
        <f>ROUNDUP(O938/'Methodology &amp; Assumptions'!$B$8, 0)</f>
        <v/>
      </c>
      <c r="R938" s="27" t="n">
        <v>1</v>
      </c>
      <c r="S938" s="26" t="n">
        <v>0.99</v>
      </c>
      <c r="T938" s="26" t="n">
        <v>0.39</v>
      </c>
      <c r="U938" s="11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26" t="n">
        <v>75.98999999999999</v>
      </c>
      <c r="W938" s="26" t="n">
        <v>55.77</v>
      </c>
      <c r="X938" s="26">
        <f>ROUND(('Methodology &amp; Assumptions'!$B$5*V938) + ('Methodology &amp; Assumptions'!$B$6*W938), 2)</f>
        <v/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1</v>
      </c>
      <c r="B939" s="23" t="n">
        <v>935</v>
      </c>
      <c r="C939" s="23" t="n">
        <v>935</v>
      </c>
      <c r="D939" s="23" t="inlineStr">
        <is>
          <t>0203135035</t>
        </is>
      </c>
      <c r="E939" s="11" t="inlineStr">
        <is>
          <t>Region II (Cagayan Valley)</t>
        </is>
      </c>
      <c r="F939" s="11" t="inlineStr">
        <is>
          <t>Isabela</t>
        </is>
      </c>
      <c r="G939" s="11" t="inlineStr">
        <is>
          <t>City of Santiago</t>
        </is>
      </c>
      <c r="H939" s="11" t="inlineStr">
        <is>
          <t>Victory Norte</t>
        </is>
      </c>
      <c r="I939" s="24" t="n">
        <v>16.685794</v>
      </c>
      <c r="J939" s="24" t="n">
        <v>121.545114</v>
      </c>
      <c r="K939" s="23" t="inlineStr">
        <is>
          <t>U</t>
        </is>
      </c>
      <c r="L939" s="25" t="n">
        <v>4403</v>
      </c>
      <c r="M939" s="26" t="n">
        <v>3.8</v>
      </c>
      <c r="N939" s="25">
        <f>ROUND(L939/M939, 0)</f>
        <v/>
      </c>
      <c r="O939" s="25">
        <f>ROUND(N939*'Methodology &amp; Assumptions'!$B$7, 0)</f>
        <v/>
      </c>
      <c r="P939" s="23" t="inlineStr">
        <is>
          <t>Single Carrier (Band n50, 100MHz TDD)</t>
        </is>
      </c>
      <c r="Q939" s="27">
        <f>ROUNDUP(O939/'Methodology &amp; Assumptions'!$B$8, 0)</f>
        <v/>
      </c>
      <c r="R939" s="27" t="n">
        <v>1</v>
      </c>
      <c r="S939" s="26" t="n">
        <v>2.02</v>
      </c>
      <c r="T939" s="26" t="n">
        <v>0.37</v>
      </c>
      <c r="U939" s="11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26" t="n">
        <v>74.13</v>
      </c>
      <c r="W939" s="26" t="n">
        <v>57.63</v>
      </c>
      <c r="X939" s="26">
        <f>ROUND(('Methodology &amp; Assumptions'!$B$5*V939) + ('Methodology &amp; Assumptions'!$B$6*W939), 2)</f>
        <v/>
      </c>
      <c r="Y939" s="28" t="n">
        <v>8.300000000000001</v>
      </c>
      <c r="Z939" s="11" t="inlineStr">
        <is>
          <t>Priority Tier 2 (Balanced Opportunity)</t>
        </is>
      </c>
    </row>
    <row r="940">
      <c r="A940" s="23" t="n">
        <v>1</v>
      </c>
      <c r="B940" s="23" t="n">
        <v>936</v>
      </c>
      <c r="C940" s="23" t="n">
        <v>936</v>
      </c>
      <c r="D940" s="23" t="inlineStr">
        <is>
          <t>1380611034</t>
        </is>
      </c>
      <c r="E940" s="11" t="inlineStr">
        <is>
          <t>National Capital Region (NCR)</t>
        </is>
      </c>
      <c r="F940" s="11" t="inlineStr">
        <is>
          <t>First District (Not a Province)</t>
        </is>
      </c>
      <c r="G940" s="11" t="inlineStr">
        <is>
          <t>City of Manila</t>
        </is>
      </c>
      <c r="H940" s="11" t="inlineStr">
        <is>
          <t>Barangay 819</t>
        </is>
      </c>
      <c r="I940" s="24" t="n">
        <v>14.580458</v>
      </c>
      <c r="J940" s="24" t="n">
        <v>121.004095</v>
      </c>
      <c r="K940" s="23" t="inlineStr">
        <is>
          <t>U</t>
        </is>
      </c>
      <c r="L940" s="25" t="n">
        <v>2280</v>
      </c>
      <c r="M940" s="26" t="n">
        <v>3.73</v>
      </c>
      <c r="N940" s="25">
        <f>ROUND(L940/M940, 0)</f>
        <v/>
      </c>
      <c r="O940" s="25">
        <f>ROUND(N940*'Methodology &amp; Assumptions'!$B$7, 0)</f>
        <v/>
      </c>
      <c r="P940" s="23" t="inlineStr">
        <is>
          <t>Single Carrier (Band n50, 100MHz TDD)</t>
        </is>
      </c>
      <c r="Q940" s="27">
        <f>ROUNDUP(O940/'Methodology &amp; Assumptions'!$B$8, 0)</f>
        <v/>
      </c>
      <c r="R940" s="27" t="n">
        <v>1</v>
      </c>
      <c r="S940" s="26" t="n">
        <v>0.46</v>
      </c>
      <c r="T940" s="26" t="n">
        <v>0.23</v>
      </c>
      <c r="U940" s="11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26" t="n">
        <v>60.69</v>
      </c>
      <c r="W940" s="26" t="n">
        <v>71.06</v>
      </c>
      <c r="X940" s="26">
        <f>ROUND(('Methodology &amp; Assumptions'!$B$5*V940) + ('Methodology &amp; Assumptions'!$B$6*W940), 2)</f>
        <v/>
      </c>
      <c r="Y940" s="28" t="n">
        <v>10.9</v>
      </c>
      <c r="Z940" s="11" t="inlineStr">
        <is>
          <t>Priority Tier 2 (Balanced Opportunity)</t>
        </is>
      </c>
    </row>
    <row r="941">
      <c r="A941" s="23" t="n">
        <v>1</v>
      </c>
      <c r="B941" s="23" t="n">
        <v>937</v>
      </c>
      <c r="C941" s="23" t="n">
        <v>937</v>
      </c>
      <c r="D941" s="23" t="inlineStr">
        <is>
          <t>0403405033</t>
        </is>
      </c>
      <c r="E941" s="11" t="inlineStr">
        <is>
          <t>Region IV-A (CALABARZON)</t>
        </is>
      </c>
      <c r="F941" s="11" t="inlineStr">
        <is>
          <t>Laguna</t>
        </is>
      </c>
      <c r="G941" s="11" t="inlineStr">
        <is>
          <t>City of Calamba</t>
        </is>
      </c>
      <c r="H941" s="11" t="inlineStr">
        <is>
          <t>Paciano Rizal</t>
        </is>
      </c>
      <c r="I941" s="24" t="n">
        <v>14.212158</v>
      </c>
      <c r="J941" s="24" t="n">
        <v>121.133703</v>
      </c>
      <c r="K941" s="23" t="inlineStr">
        <is>
          <t>U</t>
        </is>
      </c>
      <c r="L941" s="25" t="n">
        <v>17187</v>
      </c>
      <c r="M941" s="26" t="n">
        <v>3.3</v>
      </c>
      <c r="N941" s="25">
        <f>ROUND(L941/M941, 0)</f>
        <v/>
      </c>
      <c r="O941" s="25">
        <f>ROUND(N941*'Methodology &amp; Assumptions'!$B$7, 0)</f>
        <v/>
      </c>
      <c r="P941" s="23" t="inlineStr">
        <is>
          <t>Single Carrier (Band n50, 100MHz TDD)</t>
        </is>
      </c>
      <c r="Q941" s="27">
        <f>ROUNDUP(O941/'Methodology &amp; Assumptions'!$B$8, 0)</f>
        <v/>
      </c>
      <c r="R941" s="27" t="n">
        <v>1</v>
      </c>
      <c r="S941" s="26" t="n">
        <v>1.19</v>
      </c>
      <c r="T941" s="26" t="n">
        <v>0.15</v>
      </c>
      <c r="U941" s="11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26" t="n">
        <v>76.91</v>
      </c>
      <c r="W941" s="26" t="n">
        <v>54.82</v>
      </c>
      <c r="X941" s="26">
        <f>ROUND(('Methodology &amp; Assumptions'!$B$5*V941) + ('Methodology &amp; Assumptions'!$B$6*W941), 2)</f>
        <v/>
      </c>
      <c r="Y941" s="28" t="n">
        <v>7.2</v>
      </c>
      <c r="Z941" s="11" t="inlineStr">
        <is>
          <t>Priority Tier 2 (Balanced Opportunity)</t>
        </is>
      </c>
    </row>
    <row r="942">
      <c r="A942" s="23" t="n">
        <v>1</v>
      </c>
      <c r="B942" s="23" t="n">
        <v>938</v>
      </c>
      <c r="C942" s="23" t="n">
        <v>938</v>
      </c>
      <c r="D942" s="23" t="inlineStr">
        <is>
          <t>0301410021</t>
        </is>
      </c>
      <c r="E942" s="11" t="inlineStr">
        <is>
          <t>Region III (Central Luzon)</t>
        </is>
      </c>
      <c r="F942" s="11" t="inlineStr">
        <is>
          <t>Bulacan</t>
        </is>
      </c>
      <c r="G942" s="11" t="inlineStr">
        <is>
          <t>City of Malolos</t>
        </is>
      </c>
      <c r="H942" s="11" t="inlineStr">
        <is>
          <t>Catmon</t>
        </is>
      </c>
      <c r="I942" s="24" t="n">
        <v>14.851517</v>
      </c>
      <c r="J942" s="24" t="n">
        <v>120.813636</v>
      </c>
      <c r="K942" s="23" t="inlineStr">
        <is>
          <t>U</t>
        </is>
      </c>
      <c r="L942" s="25" t="n">
        <v>2350</v>
      </c>
      <c r="M942" s="26" t="n">
        <v>3.5</v>
      </c>
      <c r="N942" s="25">
        <f>ROUND(L942/M942, 0)</f>
        <v/>
      </c>
      <c r="O942" s="25">
        <f>ROUND(N942*'Methodology &amp; Assumptions'!$B$7, 0)</f>
        <v/>
      </c>
      <c r="P942" s="23" t="inlineStr">
        <is>
          <t>Single Carrier (Band n50, 100MHz TDD)</t>
        </is>
      </c>
      <c r="Q942" s="27">
        <f>ROUNDUP(O942/'Methodology &amp; Assumptions'!$B$8, 0)</f>
        <v/>
      </c>
      <c r="R942" s="27" t="n">
        <v>1</v>
      </c>
      <c r="S942" s="26" t="n">
        <v>0.57</v>
      </c>
      <c r="T942" s="26" t="n">
        <v>0.23</v>
      </c>
      <c r="U942" s="11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26" t="n">
        <v>73.59999999999999</v>
      </c>
      <c r="W942" s="26" t="n">
        <v>58.14</v>
      </c>
      <c r="X942" s="26">
        <f>ROUND(('Methodology &amp; Assumptions'!$B$5*V942) + ('Methodology &amp; Assumptions'!$B$6*W942), 2)</f>
        <v/>
      </c>
      <c r="Y942" s="28" t="n">
        <v>8.300000000000001</v>
      </c>
      <c r="Z942" s="11" t="inlineStr">
        <is>
          <t>Priority Tier 2 (Balanced Opportunity)</t>
        </is>
      </c>
    </row>
    <row r="943">
      <c r="A943" s="23" t="n">
        <v>1</v>
      </c>
      <c r="B943" s="23" t="n">
        <v>939</v>
      </c>
      <c r="C943" s="23" t="n">
        <v>939</v>
      </c>
      <c r="D943" s="23" t="inlineStr">
        <is>
          <t>0201506038</t>
        </is>
      </c>
      <c r="E943" s="11" t="inlineStr">
        <is>
          <t>Region II (Cagayan Valley)</t>
        </is>
      </c>
      <c r="F943" s="11" t="inlineStr">
        <is>
          <t>Cagayan</t>
        </is>
      </c>
      <c r="G943" s="11" t="inlineStr">
        <is>
          <t>Baggao</t>
        </is>
      </c>
      <c r="H943" s="11" t="inlineStr">
        <is>
          <t>Santa Margarita</t>
        </is>
      </c>
      <c r="I943" s="24" t="n">
        <v>17.952125</v>
      </c>
      <c r="J943" s="24" t="n">
        <v>122.075762</v>
      </c>
      <c r="K943" s="23" t="inlineStr">
        <is>
          <t>U</t>
        </is>
      </c>
      <c r="L943" s="25" t="n">
        <v>5147</v>
      </c>
      <c r="M943" s="26" t="n">
        <v>3.9</v>
      </c>
      <c r="N943" s="25">
        <f>ROUND(L943/M943, 0)</f>
        <v/>
      </c>
      <c r="O943" s="25">
        <f>ROUND(N943*'Methodology &amp; Assumptions'!$B$7, 0)</f>
        <v/>
      </c>
      <c r="P943" s="23" t="inlineStr">
        <is>
          <t>Single Carrier (Band n50, 100MHz TDD)</t>
        </is>
      </c>
      <c r="Q943" s="27">
        <f>ROUNDUP(O943/'Methodology &amp; Assumptions'!$B$8, 0)</f>
        <v/>
      </c>
      <c r="R943" s="27" t="n">
        <v>1</v>
      </c>
      <c r="S943" s="26" t="n">
        <v>19.64</v>
      </c>
      <c r="T943" s="26" t="n">
        <v>34.38</v>
      </c>
      <c r="U943" s="11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26" t="n">
        <v>53.18</v>
      </c>
      <c r="W943" s="26" t="n">
        <v>78.54000000000001</v>
      </c>
      <c r="X943" s="26">
        <f>ROUND(('Methodology &amp; Assumptions'!$B$5*V943) + ('Methodology &amp; Assumptions'!$B$6*W943), 2)</f>
        <v/>
      </c>
      <c r="Y943" s="28" t="n">
        <v>8.300000000000001</v>
      </c>
      <c r="Z943" s="11" t="inlineStr">
        <is>
          <t>Priority Tier 2 (Balanced Opportunity)</t>
        </is>
      </c>
    </row>
    <row r="944">
      <c r="A944" s="23" t="n">
        <v>1</v>
      </c>
      <c r="B944" s="23" t="n">
        <v>940</v>
      </c>
      <c r="C944" s="23" t="n">
        <v>940</v>
      </c>
      <c r="D944" s="23" t="inlineStr">
        <is>
          <t>0201514014</t>
        </is>
      </c>
      <c r="E944" s="11" t="inlineStr">
        <is>
          <t>Region II (Cagayan Valley)</t>
        </is>
      </c>
      <c r="F944" s="11" t="inlineStr">
        <is>
          <t>Cagayan</t>
        </is>
      </c>
      <c r="G944" s="11" t="inlineStr">
        <is>
          <t>Gonzaga</t>
        </is>
      </c>
      <c r="H944" s="11" t="inlineStr">
        <is>
          <t>Magrafil</t>
        </is>
      </c>
      <c r="I944" s="24" t="n">
        <v>18.1622</v>
      </c>
      <c r="J944" s="24" t="n">
        <v>122.0427</v>
      </c>
      <c r="K944" s="23" t="inlineStr">
        <is>
          <t>R</t>
        </is>
      </c>
      <c r="L944" s="25" t="n">
        <v>1256</v>
      </c>
      <c r="M944" s="26" t="n">
        <v>3.9</v>
      </c>
      <c r="N944" s="25">
        <f>ROUND(L944/M944, 0)</f>
        <v/>
      </c>
      <c r="O944" s="25">
        <f>ROUND(N944*'Methodology &amp; Assumptions'!$B$7, 0)</f>
        <v/>
      </c>
      <c r="P944" s="23" t="inlineStr">
        <is>
          <t>Single Carrier (Band n50, 100MHz TDD)</t>
        </is>
      </c>
      <c r="Q944" s="27">
        <f>ROUNDUP(O944/'Methodology &amp; Assumptions'!$B$8, 0)</f>
        <v/>
      </c>
      <c r="R944" s="27" t="n">
        <v>1</v>
      </c>
      <c r="S944" s="26" t="n">
        <v>12.16</v>
      </c>
      <c r="T944" s="26" t="n">
        <v>11.93</v>
      </c>
      <c r="U944" s="11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26" t="n">
        <v>46.69</v>
      </c>
      <c r="W944" s="26" t="n">
        <v>85.03</v>
      </c>
      <c r="X944" s="26">
        <f>ROUND(('Methodology &amp; Assumptions'!$B$5*V944) + ('Methodology &amp; Assumptions'!$B$6*W944), 2)</f>
        <v/>
      </c>
      <c r="Y944" s="28" t="n">
        <v>8.300000000000001</v>
      </c>
      <c r="Z944" s="11" t="inlineStr">
        <is>
          <t>Priority Tier 2 (Balanced Opportunity)</t>
        </is>
      </c>
    </row>
    <row r="945">
      <c r="A945" s="23" t="n">
        <v>1</v>
      </c>
      <c r="B945" s="23" t="n">
        <v>941</v>
      </c>
      <c r="C945" s="23" t="n">
        <v>941</v>
      </c>
      <c r="D945" s="23" t="inlineStr">
        <is>
          <t>0300810012</t>
        </is>
      </c>
      <c r="E945" s="11" t="inlineStr">
        <is>
          <t>Region III (Central Luzon)</t>
        </is>
      </c>
      <c r="F945" s="11" t="inlineStr">
        <is>
          <t>Bataan</t>
        </is>
      </c>
      <c r="G945" s="11" t="inlineStr">
        <is>
          <t>Orion</t>
        </is>
      </c>
      <c r="H945" s="11" t="inlineStr">
        <is>
          <t>Daang Bilolo</t>
        </is>
      </c>
      <c r="I945" s="24" t="n">
        <v>14.616807</v>
      </c>
      <c r="J945" s="24" t="n">
        <v>120.573324</v>
      </c>
      <c r="K945" s="23" t="inlineStr">
        <is>
          <t>R</t>
        </is>
      </c>
      <c r="L945" s="25" t="n">
        <v>3206</v>
      </c>
      <c r="M945" s="26" t="n">
        <v>3.6</v>
      </c>
      <c r="N945" s="25">
        <f>ROUND(L945/M945, 0)</f>
        <v/>
      </c>
      <c r="O945" s="25">
        <f>ROUND(N945*'Methodology &amp; Assumptions'!$B$7, 0)</f>
        <v/>
      </c>
      <c r="P945" s="23" t="inlineStr">
        <is>
          <t>Single Carrier (Band n50, 100MHz TDD)</t>
        </is>
      </c>
      <c r="Q945" s="27">
        <f>ROUNDUP(O945/'Methodology &amp; Assumptions'!$B$8, 0)</f>
        <v/>
      </c>
      <c r="R945" s="27" t="n">
        <v>1</v>
      </c>
      <c r="S945" s="26" t="n">
        <v>0.64</v>
      </c>
      <c r="T945" s="26" t="n">
        <v>0.55</v>
      </c>
      <c r="U945" s="11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26" t="n">
        <v>85.63</v>
      </c>
      <c r="W945" s="26" t="n">
        <v>46.06</v>
      </c>
      <c r="X945" s="26">
        <f>ROUND(('Methodology &amp; Assumptions'!$B$5*V945) + ('Methodology &amp; Assumptions'!$B$6*W945), 2)</f>
        <v/>
      </c>
      <c r="Y945" s="28" t="n">
        <v>8.300000000000001</v>
      </c>
      <c r="Z945" s="11" t="inlineStr">
        <is>
          <t>Priority Tier 2 (Balanced Opportunity)</t>
        </is>
      </c>
    </row>
    <row r="946">
      <c r="A946" s="23" t="n">
        <v>1</v>
      </c>
      <c r="B946" s="23" t="n">
        <v>942</v>
      </c>
      <c r="C946" s="23" t="n">
        <v>942</v>
      </c>
      <c r="D946" s="23" t="inlineStr">
        <is>
          <t>0402120019</t>
        </is>
      </c>
      <c r="E946" s="11" t="inlineStr">
        <is>
          <t>Region IV-A (CALABARZON)</t>
        </is>
      </c>
      <c r="F946" s="11" t="inlineStr">
        <is>
          <t>Cavite</t>
        </is>
      </c>
      <c r="G946" s="11" t="inlineStr">
        <is>
          <t>Tanza</t>
        </is>
      </c>
      <c r="H946" s="11" t="inlineStr">
        <is>
          <t>Barangay IV</t>
        </is>
      </c>
      <c r="I946" s="24" t="n">
        <v>14.396178</v>
      </c>
      <c r="J946" s="24" t="n">
        <v>120.85869</v>
      </c>
      <c r="K946" s="23" t="inlineStr">
        <is>
          <t>R</t>
        </is>
      </c>
      <c r="L946" s="25" t="n">
        <v>1740</v>
      </c>
      <c r="M946" s="26" t="n">
        <v>3.4</v>
      </c>
      <c r="N946" s="25">
        <f>ROUND(L946/M946, 0)</f>
        <v/>
      </c>
      <c r="O946" s="25">
        <f>ROUND(N946*'Methodology &amp; Assumptions'!$B$7, 0)</f>
        <v/>
      </c>
      <c r="P946" s="23" t="inlineStr">
        <is>
          <t>Single Carrier (Band n50, 100MHz TDD)</t>
        </is>
      </c>
      <c r="Q946" s="27">
        <f>ROUNDUP(O946/'Methodology &amp; Assumptions'!$B$8, 0)</f>
        <v/>
      </c>
      <c r="R946" s="27" t="n">
        <v>1</v>
      </c>
      <c r="S946" s="26" t="n">
        <v>0.43</v>
      </c>
      <c r="T946" s="26" t="n">
        <v>0.2</v>
      </c>
      <c r="U946" s="11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26" t="n">
        <v>75.61</v>
      </c>
      <c r="W946" s="26" t="n">
        <v>56.09</v>
      </c>
      <c r="X946" s="26">
        <f>ROUND(('Methodology &amp; Assumptions'!$B$5*V946) + ('Methodology &amp; Assumptions'!$B$6*W946), 2)</f>
        <v/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1</v>
      </c>
      <c r="B947" s="23" t="n">
        <v>943</v>
      </c>
      <c r="C947" s="23" t="n">
        <v>943</v>
      </c>
      <c r="D947" s="23" t="inlineStr">
        <is>
          <t>1380601100</t>
        </is>
      </c>
      <c r="E947" s="11" t="inlineStr">
        <is>
          <t>National Capital Region (NCR)</t>
        </is>
      </c>
      <c r="F947" s="11" t="inlineStr">
        <is>
          <t>First District (Not a Province)</t>
        </is>
      </c>
      <c r="G947" s="11" t="inlineStr">
        <is>
          <t>City of Manila</t>
        </is>
      </c>
      <c r="H947" s="11" t="inlineStr">
        <is>
          <t>Barangay 100</t>
        </is>
      </c>
      <c r="I947" s="24" t="n">
        <v>14.623124</v>
      </c>
      <c r="J947" s="24" t="n">
        <v>120.961449</v>
      </c>
      <c r="K947" s="23" t="inlineStr">
        <is>
          <t>U</t>
        </is>
      </c>
      <c r="L947" s="25" t="n">
        <v>2340</v>
      </c>
      <c r="M947" s="26" t="n">
        <v>4.96</v>
      </c>
      <c r="N947" s="25">
        <f>ROUND(L947/M947, 0)</f>
        <v/>
      </c>
      <c r="O947" s="25">
        <f>ROUND(N947*'Methodology &amp; Assumptions'!$B$7, 0)</f>
        <v/>
      </c>
      <c r="P947" s="23" t="inlineStr">
        <is>
          <t>Single Carrier (Band n50, 100MHz TDD)</t>
        </is>
      </c>
      <c r="Q947" s="27">
        <f>ROUNDUP(O947/'Methodology &amp; Assumptions'!$B$8, 0)</f>
        <v/>
      </c>
      <c r="R947" s="27" t="n">
        <v>1</v>
      </c>
      <c r="S947" s="26" t="n">
        <v>0.59</v>
      </c>
      <c r="T947" s="26" t="n">
        <v>0.43</v>
      </c>
      <c r="U947" s="11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26" t="n">
        <v>56.3</v>
      </c>
      <c r="W947" s="26" t="n">
        <v>75.40000000000001</v>
      </c>
      <c r="X947" s="26">
        <f>ROUND(('Methodology &amp; Assumptions'!$B$5*V947) + ('Methodology &amp; Assumptions'!$B$6*W947), 2)</f>
        <v/>
      </c>
      <c r="Y947" s="28" t="n">
        <v>10.9</v>
      </c>
      <c r="Z947" s="11" t="inlineStr">
        <is>
          <t>Priority Tier 2 (Balanced Opportunity)</t>
        </is>
      </c>
    </row>
    <row r="948">
      <c r="A948" s="23" t="n">
        <v>1</v>
      </c>
      <c r="B948" s="23" t="n">
        <v>944</v>
      </c>
      <c r="C948" s="23" t="n">
        <v>944</v>
      </c>
      <c r="D948" s="23" t="inlineStr">
        <is>
          <t>1402706015</t>
        </is>
      </c>
      <c r="E948" s="11" t="inlineStr">
        <is>
          <t>Cordillera Administrative Region (CAR)</t>
        </is>
      </c>
      <c r="F948" s="11" t="inlineStr">
        <is>
          <t>Ifugao</t>
        </is>
      </c>
      <c r="G948" s="11" t="inlineStr">
        <is>
          <t>Mayoyao</t>
        </is>
      </c>
      <c r="H948" s="11" t="inlineStr">
        <is>
          <t>Inwaloy</t>
        </is>
      </c>
      <c r="I948" s="24" t="n">
        <v>16.973713</v>
      </c>
      <c r="J948" s="24" t="n">
        <v>121.194024</v>
      </c>
      <c r="K948" s="23" t="inlineStr">
        <is>
          <t>R</t>
        </is>
      </c>
      <c r="L948" s="25" t="n">
        <v>393</v>
      </c>
      <c r="M948" s="26" t="n">
        <v>3.9</v>
      </c>
      <c r="N948" s="25">
        <f>ROUND(L948/M948, 0)</f>
        <v/>
      </c>
      <c r="O948" s="25">
        <f>ROUND(N948*'Methodology &amp; Assumptions'!$B$7, 0)</f>
        <v/>
      </c>
      <c r="P948" s="23" t="inlineStr">
        <is>
          <t>Single Carrier (Band n50, 100MHz TDD)</t>
        </is>
      </c>
      <c r="Q948" s="27">
        <f>ROUNDUP(O948/'Methodology &amp; Assumptions'!$B$8, 0)</f>
        <v/>
      </c>
      <c r="R948" s="27" t="n">
        <v>1</v>
      </c>
      <c r="S948" s="26" t="n">
        <v>2.95</v>
      </c>
      <c r="T948" s="26" t="n">
        <v>14.95</v>
      </c>
      <c r="U948" s="11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26" t="n">
        <v>50.46</v>
      </c>
      <c r="W948" s="26" t="n">
        <v>81.25</v>
      </c>
      <c r="X948" s="26">
        <f>ROUND(('Methodology &amp; Assumptions'!$B$5*V948) + ('Methodology &amp; Assumptions'!$B$6*W948), 2)</f>
        <v/>
      </c>
      <c r="Y948" s="28" t="n">
        <v>10.9</v>
      </c>
      <c r="Z948" s="11" t="inlineStr">
        <is>
          <t>Priority Tier 2 (Balanced Opportunity)</t>
        </is>
      </c>
    </row>
    <row r="949">
      <c r="A949" s="23" t="n">
        <v>1</v>
      </c>
      <c r="B949" s="23" t="n">
        <v>945</v>
      </c>
      <c r="C949" s="23" t="n">
        <v>945</v>
      </c>
      <c r="D949" s="23" t="inlineStr">
        <is>
          <t>0402111019</t>
        </is>
      </c>
      <c r="E949" s="11" t="inlineStr">
        <is>
          <t>Region IV-A (CALABARZON)</t>
        </is>
      </c>
      <c r="F949" s="11" t="inlineStr">
        <is>
          <t>Cavite</t>
        </is>
      </c>
      <c r="G949" s="11" t="inlineStr">
        <is>
          <t>Kawit</t>
        </is>
      </c>
      <c r="H949" s="11" t="inlineStr">
        <is>
          <t>Samala-Marquez</t>
        </is>
      </c>
      <c r="I949" s="24" t="n">
        <v>14.454513</v>
      </c>
      <c r="J949" s="24" t="n">
        <v>120.919855</v>
      </c>
      <c r="K949" s="23" t="inlineStr">
        <is>
          <t>U</t>
        </is>
      </c>
      <c r="L949" s="25" t="n">
        <v>6789</v>
      </c>
      <c r="M949" s="26" t="n">
        <v>3.4</v>
      </c>
      <c r="N949" s="25">
        <f>ROUND(L949/M949, 0)</f>
        <v/>
      </c>
      <c r="O949" s="25">
        <f>ROUND(N949*'Methodology &amp; Assumptions'!$B$7, 0)</f>
        <v/>
      </c>
      <c r="P949" s="23" t="inlineStr">
        <is>
          <t>Single Carrier (Band n50, 100MHz TDD)</t>
        </is>
      </c>
      <c r="Q949" s="27">
        <f>ROUNDUP(O949/'Methodology &amp; Assumptions'!$B$8, 0)</f>
        <v/>
      </c>
      <c r="R949" s="27" t="n">
        <v>1</v>
      </c>
      <c r="S949" s="26" t="n">
        <v>3.22</v>
      </c>
      <c r="T949" s="26" t="n">
        <v>0.6</v>
      </c>
      <c r="U949" s="11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26" t="n">
        <v>70.3</v>
      </c>
      <c r="W949" s="26" t="n">
        <v>61.37</v>
      </c>
      <c r="X949" s="26">
        <f>ROUND(('Methodology &amp; Assumptions'!$B$5*V949) + ('Methodology &amp; Assumptions'!$B$6*W949), 2)</f>
        <v/>
      </c>
      <c r="Y949" s="28" t="n">
        <v>7.2</v>
      </c>
      <c r="Z949" s="11" t="inlineStr">
        <is>
          <t>Priority Tier 2 (Balanced Opportunity)</t>
        </is>
      </c>
    </row>
    <row r="950">
      <c r="A950" s="23" t="n">
        <v>1</v>
      </c>
      <c r="B950" s="23" t="n">
        <v>946</v>
      </c>
      <c r="C950" s="23" t="n">
        <v>946</v>
      </c>
      <c r="D950" s="23" t="inlineStr">
        <is>
          <t>1401106002</t>
        </is>
      </c>
      <c r="E950" s="11" t="inlineStr">
        <is>
          <t>Cordillera Administrative Region (CAR)</t>
        </is>
      </c>
      <c r="F950" s="11" t="inlineStr">
        <is>
          <t>Benguet</t>
        </is>
      </c>
      <c r="G950" s="11" t="inlineStr">
        <is>
          <t>Itogon</t>
        </is>
      </c>
      <c r="H950" s="11" t="inlineStr">
        <is>
          <t>Dalupirip</t>
        </is>
      </c>
      <c r="I950" s="24" t="n">
        <v>16.32608</v>
      </c>
      <c r="J950" s="24" t="n">
        <v>120.72379</v>
      </c>
      <c r="K950" s="23" t="inlineStr">
        <is>
          <t>R</t>
        </is>
      </c>
      <c r="L950" s="25" t="n">
        <v>2940</v>
      </c>
      <c r="M950" s="26" t="n">
        <v>3.5</v>
      </c>
      <c r="N950" s="25">
        <f>ROUND(L950/M950, 0)</f>
        <v/>
      </c>
      <c r="O950" s="25">
        <f>ROUND(N950*'Methodology &amp; Assumptions'!$B$7, 0)</f>
        <v/>
      </c>
      <c r="P950" s="23" t="inlineStr">
        <is>
          <t>Single Carrier (Band n50, 100MHz TDD)</t>
        </is>
      </c>
      <c r="Q950" s="27">
        <f>ROUNDUP(O950/'Methodology &amp; Assumptions'!$B$8, 0)</f>
        <v/>
      </c>
      <c r="R950" s="27" t="n">
        <v>1</v>
      </c>
      <c r="S950" s="26" t="n">
        <v>5.56</v>
      </c>
      <c r="T950" s="26" t="n">
        <v>9.890000000000001</v>
      </c>
      <c r="U950" s="11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26" t="n">
        <v>69.14</v>
      </c>
      <c r="W950" s="26" t="n">
        <v>62.53</v>
      </c>
      <c r="X950" s="26">
        <f>ROUND(('Methodology &amp; Assumptions'!$B$5*V950) + ('Methodology &amp; Assumptions'!$B$6*W950), 2)</f>
        <v/>
      </c>
      <c r="Y950" s="28" t="n">
        <v>10.9</v>
      </c>
      <c r="Z950" s="11" t="inlineStr">
        <is>
          <t>Priority Tier 2 (Balanced Opportunity)</t>
        </is>
      </c>
    </row>
    <row r="951">
      <c r="A951" s="23" t="n">
        <v>1</v>
      </c>
      <c r="B951" s="23" t="n">
        <v>947</v>
      </c>
      <c r="C951" s="23" t="n">
        <v>947</v>
      </c>
      <c r="D951" s="23" t="inlineStr">
        <is>
          <t>1381100194</t>
        </is>
      </c>
      <c r="E951" s="11" t="inlineStr">
        <is>
          <t>National Capital Region (NCR)</t>
        </is>
      </c>
      <c r="F951" s="11" t="inlineStr">
        <is>
          <t>Fourth District (Not a Province)</t>
        </is>
      </c>
      <c r="G951" s="11" t="inlineStr">
        <is>
          <t>Pasay City</t>
        </is>
      </c>
      <c r="H951" s="11" t="inlineStr">
        <is>
          <t>Barangay 194</t>
        </is>
      </c>
      <c r="I951" s="24" t="n">
        <v>14.512744</v>
      </c>
      <c r="J951" s="24" t="n">
        <v>121.002927</v>
      </c>
      <c r="K951" s="23" t="inlineStr">
        <is>
          <t>U</t>
        </is>
      </c>
      <c r="L951" s="25" t="n">
        <v>4693</v>
      </c>
      <c r="M951" s="26" t="n">
        <v>3.39</v>
      </c>
      <c r="N951" s="25">
        <f>ROUND(L951/M951, 0)</f>
        <v/>
      </c>
      <c r="O951" s="25">
        <f>ROUND(N951*'Methodology &amp; Assumptions'!$B$7, 0)</f>
        <v/>
      </c>
      <c r="P951" s="23" t="inlineStr">
        <is>
          <t>Single Carrier (Band n50, 100MHz TDD)</t>
        </is>
      </c>
      <c r="Q951" s="27">
        <f>ROUNDUP(O951/'Methodology &amp; Assumptions'!$B$8, 0)</f>
        <v/>
      </c>
      <c r="R951" s="27" t="n">
        <v>1</v>
      </c>
      <c r="S951" s="26" t="n">
        <v>0.57</v>
      </c>
      <c r="T951" s="26" t="n">
        <v>0.47</v>
      </c>
      <c r="U951" s="11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26" t="n">
        <v>69.09</v>
      </c>
      <c r="W951" s="26" t="n">
        <v>62.59</v>
      </c>
      <c r="X951" s="26">
        <f>ROUND(('Methodology &amp; Assumptions'!$B$5*V951) + ('Methodology &amp; Assumptions'!$B$6*W951), 2)</f>
        <v/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1</v>
      </c>
      <c r="B952" s="23" t="n">
        <v>948</v>
      </c>
      <c r="C952" s="23" t="n">
        <v>948</v>
      </c>
      <c r="D952" s="23" t="inlineStr">
        <is>
          <t>1381100075</t>
        </is>
      </c>
      <c r="E952" s="11" t="inlineStr">
        <is>
          <t>National Capital Region (NCR)</t>
        </is>
      </c>
      <c r="F952" s="11" t="inlineStr">
        <is>
          <t>Fourth District (Not a Province)</t>
        </is>
      </c>
      <c r="G952" s="11" t="inlineStr">
        <is>
          <t>Pasay City</t>
        </is>
      </c>
      <c r="H952" s="11" t="inlineStr">
        <is>
          <t>Barangay 75</t>
        </is>
      </c>
      <c r="I952" s="24" t="n">
        <v>14.539709</v>
      </c>
      <c r="J952" s="24" t="n">
        <v>120.99604</v>
      </c>
      <c r="K952" s="23" t="inlineStr">
        <is>
          <t>U</t>
        </is>
      </c>
      <c r="L952" s="25" t="n">
        <v>1707</v>
      </c>
      <c r="M952" s="26" t="n">
        <v>2.78</v>
      </c>
      <c r="N952" s="25">
        <f>ROUND(L952/M952, 0)</f>
        <v/>
      </c>
      <c r="O952" s="25">
        <f>ROUND(N952*'Methodology &amp; Assumptions'!$B$7, 0)</f>
        <v/>
      </c>
      <c r="P952" s="23" t="inlineStr">
        <is>
          <t>Single Carrier (Band n50, 100MHz TDD)</t>
        </is>
      </c>
      <c r="Q952" s="27">
        <f>ROUNDUP(O952/'Methodology &amp; Assumptions'!$B$8, 0)</f>
        <v/>
      </c>
      <c r="R952" s="27" t="n">
        <v>1</v>
      </c>
      <c r="S952" s="26" t="n">
        <v>0.5600000000000001</v>
      </c>
      <c r="T952" s="26" t="n">
        <v>0.24</v>
      </c>
      <c r="U952" s="11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26" t="n">
        <v>60.8</v>
      </c>
      <c r="W952" s="26" t="n">
        <v>70.88</v>
      </c>
      <c r="X952" s="26">
        <f>ROUND(('Methodology &amp; Assumptions'!$B$5*V952) + ('Methodology &amp; Assumptions'!$B$6*W952), 2)</f>
        <v/>
      </c>
      <c r="Y952" s="28" t="n">
        <v>10.9</v>
      </c>
      <c r="Z952" s="11" t="inlineStr">
        <is>
          <t>Priority Tier 2 (Balanced Opportunity)</t>
        </is>
      </c>
    </row>
    <row r="953">
      <c r="A953" s="23" t="n">
        <v>1</v>
      </c>
      <c r="B953" s="23" t="n">
        <v>949</v>
      </c>
      <c r="C953" s="23" t="n">
        <v>949</v>
      </c>
      <c r="D953" s="23" t="inlineStr">
        <is>
          <t>0304902020</t>
        </is>
      </c>
      <c r="E953" s="11" t="inlineStr">
        <is>
          <t>Region III (Central Luzon)</t>
        </is>
      </c>
      <c r="F953" s="11" t="inlineStr">
        <is>
          <t>Nueva Ecija</t>
        </is>
      </c>
      <c r="G953" s="11" t="inlineStr">
        <is>
          <t>Bongabon</t>
        </is>
      </c>
      <c r="H953" s="11" t="inlineStr">
        <is>
          <t>Rizal</t>
        </is>
      </c>
      <c r="I953" s="24" t="n">
        <v>15.630436</v>
      </c>
      <c r="J953" s="24" t="n">
        <v>121.144107</v>
      </c>
      <c r="K953" s="23" t="inlineStr">
        <is>
          <t>R</t>
        </is>
      </c>
      <c r="L953" s="25" t="n">
        <v>3481</v>
      </c>
      <c r="M953" s="26" t="n">
        <v>3.5</v>
      </c>
      <c r="N953" s="25">
        <f>ROUND(L953/M953, 0)</f>
        <v/>
      </c>
      <c r="O953" s="25">
        <f>ROUND(N953*'Methodology &amp; Assumptions'!$B$7, 0)</f>
        <v/>
      </c>
      <c r="P953" s="23" t="inlineStr">
        <is>
          <t>Single Carrier (Band n50, 100MHz TDD)</t>
        </is>
      </c>
      <c r="Q953" s="27">
        <f>ROUNDUP(O953/'Methodology &amp; Assumptions'!$B$8, 0)</f>
        <v/>
      </c>
      <c r="R953" s="27" t="n">
        <v>1</v>
      </c>
      <c r="S953" s="26" t="n">
        <v>0.76</v>
      </c>
      <c r="T953" s="26" t="n">
        <v>0.37</v>
      </c>
      <c r="U953" s="11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26" t="n">
        <v>85.63</v>
      </c>
      <c r="W953" s="26" t="n">
        <v>46.03</v>
      </c>
      <c r="X953" s="26">
        <f>ROUND(('Methodology &amp; Assumptions'!$B$5*V953) + ('Methodology &amp; Assumptions'!$B$6*W953), 2)</f>
        <v/>
      </c>
      <c r="Y953" s="28" t="n">
        <v>8.300000000000001</v>
      </c>
      <c r="Z953" s="11" t="inlineStr">
        <is>
          <t>Priority Tier 2 (Balanced Opportunity)</t>
        </is>
      </c>
    </row>
    <row r="954">
      <c r="A954" s="23" t="n">
        <v>1</v>
      </c>
      <c r="B954" s="23" t="n">
        <v>950</v>
      </c>
      <c r="C954" s="23" t="n">
        <v>950</v>
      </c>
      <c r="D954" s="23" t="inlineStr">
        <is>
          <t>1380400004</t>
        </is>
      </c>
      <c r="E954" s="11" t="inlineStr">
        <is>
          <t>National Capital Region (NCR)</t>
        </is>
      </c>
      <c r="F954" s="11" t="inlineStr">
        <is>
          <t>Third District (Not a Province)</t>
        </is>
      </c>
      <c r="G954" s="11" t="inlineStr">
        <is>
          <t>City of Malabon</t>
        </is>
      </c>
      <c r="H954" s="11" t="inlineStr">
        <is>
          <t>Catmon</t>
        </is>
      </c>
      <c r="I954" s="24" t="n">
        <v>14.670231</v>
      </c>
      <c r="J954" s="24" t="n">
        <v>120.960107</v>
      </c>
      <c r="K954" s="23" t="inlineStr">
        <is>
          <t>U</t>
        </is>
      </c>
      <c r="L954" s="25" t="n">
        <v>45841</v>
      </c>
      <c r="M954" s="26" t="n">
        <v>3.97</v>
      </c>
      <c r="N954" s="25">
        <f>ROUND(L954/M954, 0)</f>
        <v/>
      </c>
      <c r="O954" s="25">
        <f>ROUND(N954*'Methodology &amp; Assumptions'!$B$7, 0)</f>
        <v/>
      </c>
      <c r="P954" s="23" t="inlineStr">
        <is>
          <t>Single Carrier (Band n50, 100MHz TDD)</t>
        </is>
      </c>
      <c r="Q954" s="27">
        <f>ROUNDUP(O954/'Methodology &amp; Assumptions'!$B$8, 0)</f>
        <v/>
      </c>
      <c r="R954" s="27" t="n">
        <v>1</v>
      </c>
      <c r="S954" s="26" t="n">
        <v>0.77</v>
      </c>
      <c r="T954" s="26" t="n">
        <v>0.03</v>
      </c>
      <c r="U954" s="11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26" t="n">
        <v>66.70999999999999</v>
      </c>
      <c r="W954" s="26" t="n">
        <v>64.95999999999999</v>
      </c>
      <c r="X954" s="26">
        <f>ROUND(('Methodology &amp; Assumptions'!$B$5*V954) + ('Methodology &amp; Assumptions'!$B$6*W954), 2)</f>
        <v/>
      </c>
      <c r="Y954" s="28" t="n">
        <v>10.9</v>
      </c>
      <c r="Z954" s="11" t="inlineStr">
        <is>
          <t>Priority Tier 2 (Balanced Opportunity)</t>
        </is>
      </c>
    </row>
    <row r="955">
      <c r="A955" s="23" t="n">
        <v>1</v>
      </c>
      <c r="B955" s="23" t="n">
        <v>951</v>
      </c>
      <c r="C955" s="23" t="n">
        <v>951</v>
      </c>
      <c r="D955" s="23" t="inlineStr">
        <is>
          <t>1380610062</t>
        </is>
      </c>
      <c r="E955" s="11" t="inlineStr">
        <is>
          <t>National Capital Region (NCR)</t>
        </is>
      </c>
      <c r="F955" s="11" t="inlineStr">
        <is>
          <t>First District (Not a Province)</t>
        </is>
      </c>
      <c r="G955" s="11" t="inlineStr">
        <is>
          <t>City of Manila</t>
        </is>
      </c>
      <c r="H955" s="11" t="inlineStr">
        <is>
          <t>Barangay 737</t>
        </is>
      </c>
      <c r="I955" s="24" t="n">
        <v>14.574221</v>
      </c>
      <c r="J955" s="24" t="n">
        <v>120.998028</v>
      </c>
      <c r="K955" s="23" t="inlineStr">
        <is>
          <t>U</t>
        </is>
      </c>
      <c r="L955" s="25" t="n">
        <v>2615</v>
      </c>
      <c r="M955" s="26" t="n">
        <v>4.33</v>
      </c>
      <c r="N955" s="25">
        <f>ROUND(L955/M955, 0)</f>
        <v/>
      </c>
      <c r="O955" s="25">
        <f>ROUND(N955*'Methodology &amp; Assumptions'!$B$7, 0)</f>
        <v/>
      </c>
      <c r="P955" s="23" t="inlineStr">
        <is>
          <t>Single Carrier (Band n50, 100MHz TDD)</t>
        </is>
      </c>
      <c r="Q955" s="27">
        <f>ROUNDUP(O955/'Methodology &amp; Assumptions'!$B$8, 0)</f>
        <v/>
      </c>
      <c r="R955" s="27" t="n">
        <v>1</v>
      </c>
      <c r="S955" s="26" t="n">
        <v>0.48</v>
      </c>
      <c r="T955" s="26" t="n">
        <v>0.28</v>
      </c>
      <c r="U955" s="11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26" t="n">
        <v>60.48</v>
      </c>
      <c r="W955" s="26" t="n">
        <v>71.19</v>
      </c>
      <c r="X955" s="26">
        <f>ROUND(('Methodology &amp; Assumptions'!$B$5*V955) + ('Methodology &amp; Assumptions'!$B$6*W955), 2)</f>
        <v/>
      </c>
      <c r="Y955" s="28" t="n">
        <v>10.9</v>
      </c>
      <c r="Z955" s="11" t="inlineStr">
        <is>
          <t>Priority Tier 2 (Balanced Opportunity)</t>
        </is>
      </c>
    </row>
    <row r="956">
      <c r="A956" s="23" t="n">
        <v>1</v>
      </c>
      <c r="B956" s="23" t="n">
        <v>952</v>
      </c>
      <c r="C956" s="23" t="n">
        <v>952</v>
      </c>
      <c r="D956" s="23" t="inlineStr">
        <is>
          <t>0401005097</t>
        </is>
      </c>
      <c r="E956" s="11" t="inlineStr">
        <is>
          <t>Region IV-A (CALABARZON)</t>
        </is>
      </c>
      <c r="F956" s="11" t="inlineStr">
        <is>
          <t>Batangas</t>
        </is>
      </c>
      <c r="G956" s="11" t="inlineStr">
        <is>
          <t>Batangas City</t>
        </is>
      </c>
      <c r="H956" s="11" t="inlineStr">
        <is>
          <t>Santa Rita Karsada</t>
        </is>
      </c>
      <c r="I956" s="24" t="n">
        <v>13.779163</v>
      </c>
      <c r="J956" s="24" t="n">
        <v>121.038919</v>
      </c>
      <c r="K956" s="23" t="inlineStr">
        <is>
          <t>U</t>
        </is>
      </c>
      <c r="L956" s="25" t="n">
        <v>20924</v>
      </c>
      <c r="M956" s="26" t="n">
        <v>3.6</v>
      </c>
      <c r="N956" s="25">
        <f>ROUND(L956/M956, 0)</f>
        <v/>
      </c>
      <c r="O956" s="25">
        <f>ROUND(N956*'Methodology &amp; Assumptions'!$B$7, 0)</f>
        <v/>
      </c>
      <c r="P956" s="23" t="inlineStr">
        <is>
          <t>Single Carrier (Band n50, 100MHz TDD)</t>
        </is>
      </c>
      <c r="Q956" s="27">
        <f>ROUNDUP(O956/'Methodology &amp; Assumptions'!$B$8, 0)</f>
        <v/>
      </c>
      <c r="R956" s="27" t="n">
        <v>1</v>
      </c>
      <c r="S956" s="26" t="n">
        <v>0.72</v>
      </c>
      <c r="T956" s="26" t="n">
        <v>0.02</v>
      </c>
      <c r="U956" s="11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26" t="n">
        <v>78.26000000000001</v>
      </c>
      <c r="W956" s="26" t="n">
        <v>53.36</v>
      </c>
      <c r="X956" s="26">
        <f>ROUND(('Methodology &amp; Assumptions'!$B$5*V956) + ('Methodology &amp; Assumptions'!$B$6*W956), 2)</f>
        <v/>
      </c>
      <c r="Y956" s="28" t="n">
        <v>7.2</v>
      </c>
      <c r="Z956" s="11" t="inlineStr">
        <is>
          <t>Priority Tier 2 (Balanced Opportunity)</t>
        </is>
      </c>
    </row>
    <row r="957">
      <c r="A957" s="23" t="n">
        <v>1</v>
      </c>
      <c r="B957" s="23" t="n">
        <v>953</v>
      </c>
      <c r="C957" s="23" t="n">
        <v>953</v>
      </c>
      <c r="D957" s="23" t="inlineStr">
        <is>
          <t>1380606015</t>
        </is>
      </c>
      <c r="E957" s="11" t="inlineStr">
        <is>
          <t>National Capital Region (NCR)</t>
        </is>
      </c>
      <c r="F957" s="11" t="inlineStr">
        <is>
          <t>First District (Not a Province)</t>
        </is>
      </c>
      <c r="G957" s="11" t="inlineStr">
        <is>
          <t>City of Manila</t>
        </is>
      </c>
      <c r="H957" s="11" t="inlineStr">
        <is>
          <t>Barangay 409</t>
        </is>
      </c>
      <c r="I957" s="24" t="n">
        <v>14.601218</v>
      </c>
      <c r="J957" s="24" t="n">
        <v>120.996071</v>
      </c>
      <c r="K957" s="23" t="inlineStr">
        <is>
          <t>U</t>
        </is>
      </c>
      <c r="L957" s="25" t="n">
        <v>1673</v>
      </c>
      <c r="M957" s="26" t="n">
        <v>2.72</v>
      </c>
      <c r="N957" s="25">
        <f>ROUND(L957/M957, 0)</f>
        <v/>
      </c>
      <c r="O957" s="25">
        <f>ROUND(N957*'Methodology &amp; Assumptions'!$B$7, 0)</f>
        <v/>
      </c>
      <c r="P957" s="23" t="inlineStr">
        <is>
          <t>Single Carrier (Band n50, 100MHz TDD)</t>
        </is>
      </c>
      <c r="Q957" s="27">
        <f>ROUNDUP(O957/'Methodology &amp; Assumptions'!$B$8, 0)</f>
        <v/>
      </c>
      <c r="R957" s="27" t="n">
        <v>1</v>
      </c>
      <c r="S957" s="26" t="n">
        <v>0.57</v>
      </c>
      <c r="T957" s="26" t="n">
        <v>0.06</v>
      </c>
      <c r="U957" s="11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26" t="n">
        <v>60.91</v>
      </c>
      <c r="W957" s="26" t="n">
        <v>70.72</v>
      </c>
      <c r="X957" s="26">
        <f>ROUND(('Methodology &amp; Assumptions'!$B$5*V957) + ('Methodology &amp; Assumptions'!$B$6*W957), 2)</f>
        <v/>
      </c>
      <c r="Y957" s="28" t="n">
        <v>10.9</v>
      </c>
      <c r="Z957" s="11" t="inlineStr">
        <is>
          <t>Priority Tier 2 (Balanced Opportunity)</t>
        </is>
      </c>
    </row>
    <row r="958">
      <c r="A958" s="23" t="n">
        <v>1</v>
      </c>
      <c r="B958" s="23" t="n">
        <v>954</v>
      </c>
      <c r="C958" s="23" t="n">
        <v>954</v>
      </c>
      <c r="D958" s="23" t="inlineStr">
        <is>
          <t>0301411001</t>
        </is>
      </c>
      <c r="E958" s="11" t="inlineStr">
        <is>
          <t>Region III (Central Luzon)</t>
        </is>
      </c>
      <c r="F958" s="11" t="inlineStr">
        <is>
          <t>Bulacan</t>
        </is>
      </c>
      <c r="G958" s="11" t="inlineStr">
        <is>
          <t>Marilao</t>
        </is>
      </c>
      <c r="H958" s="11" t="inlineStr">
        <is>
          <t>Abangan Norte</t>
        </is>
      </c>
      <c r="I958" s="24" t="n">
        <v>14.7732</v>
      </c>
      <c r="J958" s="24" t="n">
        <v>120.9408</v>
      </c>
      <c r="K958" s="23" t="inlineStr">
        <is>
          <t>U</t>
        </is>
      </c>
      <c r="L958" s="25" t="n">
        <v>11934</v>
      </c>
      <c r="M958" s="26" t="n">
        <v>3.5</v>
      </c>
      <c r="N958" s="25">
        <f>ROUND(L958/M958, 0)</f>
        <v/>
      </c>
      <c r="O958" s="25">
        <f>ROUND(N958*'Methodology &amp; Assumptions'!$B$7, 0)</f>
        <v/>
      </c>
      <c r="P958" s="23" t="inlineStr">
        <is>
          <t>Single Carrier (Band n50, 100MHz TDD)</t>
        </is>
      </c>
      <c r="Q958" s="27">
        <f>ROUNDUP(O958/'Methodology &amp; Assumptions'!$B$8, 0)</f>
        <v/>
      </c>
      <c r="R958" s="27" t="n">
        <v>1</v>
      </c>
      <c r="S958" s="26" t="n">
        <v>0.3</v>
      </c>
      <c r="T958" s="26" t="n">
        <v>0.16</v>
      </c>
      <c r="U958" s="11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26" t="n">
        <v>78.43000000000001</v>
      </c>
      <c r="W958" s="26" t="n">
        <v>53.17</v>
      </c>
      <c r="X958" s="26">
        <f>ROUND(('Methodology &amp; Assumptions'!$B$5*V958) + ('Methodology &amp; Assumptions'!$B$6*W958), 2)</f>
        <v/>
      </c>
      <c r="Y958" s="28" t="n">
        <v>8.300000000000001</v>
      </c>
      <c r="Z958" s="11" t="inlineStr">
        <is>
          <t>Priority Tier 2 (Balanced Opportunity)</t>
        </is>
      </c>
    </row>
    <row r="959">
      <c r="A959" s="23" t="n">
        <v>1</v>
      </c>
      <c r="B959" s="23" t="n">
        <v>955</v>
      </c>
      <c r="C959" s="23" t="n">
        <v>955</v>
      </c>
      <c r="D959" s="23" t="inlineStr">
        <is>
          <t>1380700008</t>
        </is>
      </c>
      <c r="E959" s="11" t="inlineStr">
        <is>
          <t>National Capital Region (NCR)</t>
        </is>
      </c>
      <c r="F959" s="11" t="inlineStr">
        <is>
          <t>Second District (Not a Province)</t>
        </is>
      </c>
      <c r="G959" s="11" t="inlineStr">
        <is>
          <t>City of Marikina</t>
        </is>
      </c>
      <c r="H959" s="11" t="inlineStr">
        <is>
          <t>San Roque</t>
        </is>
      </c>
      <c r="I959" s="24" t="n">
        <v>14.629144</v>
      </c>
      <c r="J959" s="24" t="n">
        <v>121.098395</v>
      </c>
      <c r="K959" s="23" t="inlineStr">
        <is>
          <t>U</t>
        </is>
      </c>
      <c r="L959" s="25" t="n">
        <v>17268</v>
      </c>
      <c r="M959" s="26" t="n">
        <v>3.92</v>
      </c>
      <c r="N959" s="25">
        <f>ROUND(L959/M959, 0)</f>
        <v/>
      </c>
      <c r="O959" s="25">
        <f>ROUND(N959*'Methodology &amp; Assumptions'!$B$7, 0)</f>
        <v/>
      </c>
      <c r="P959" s="23" t="inlineStr">
        <is>
          <t>Single Carrier (Band n50, 100MHz TDD)</t>
        </is>
      </c>
      <c r="Q959" s="27">
        <f>ROUNDUP(O959/'Methodology &amp; Assumptions'!$B$8, 0)</f>
        <v/>
      </c>
      <c r="R959" s="27" t="n">
        <v>1</v>
      </c>
      <c r="S959" s="26" t="n">
        <v>0.99</v>
      </c>
      <c r="T959" s="26" t="n">
        <v>0.06</v>
      </c>
      <c r="U959" s="11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26" t="n">
        <v>68.37</v>
      </c>
      <c r="W959" s="26" t="n">
        <v>63.23</v>
      </c>
      <c r="X959" s="26">
        <f>ROUND(('Methodology &amp; Assumptions'!$B$5*V959) + ('Methodology &amp; Assumptions'!$B$6*W959), 2)</f>
        <v/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1</v>
      </c>
      <c r="B960" s="23" t="n">
        <v>956</v>
      </c>
      <c r="C960" s="23" t="n">
        <v>956</v>
      </c>
      <c r="D960" s="23" t="inlineStr">
        <is>
          <t>0305410001</t>
        </is>
      </c>
      <c r="E960" s="11" t="inlineStr">
        <is>
          <t>Region III (Central Luzon)</t>
        </is>
      </c>
      <c r="F960" s="11" t="inlineStr">
        <is>
          <t>Pampanga</t>
        </is>
      </c>
      <c r="G960" s="11" t="inlineStr">
        <is>
          <t>Macabebe</t>
        </is>
      </c>
      <c r="H960" s="11" t="inlineStr">
        <is>
          <t>Batasan</t>
        </is>
      </c>
      <c r="I960" s="24" t="n">
        <v>14.892725</v>
      </c>
      <c r="J960" s="24" t="n">
        <v>120.713821</v>
      </c>
      <c r="K960" s="23" t="inlineStr">
        <is>
          <t>R</t>
        </is>
      </c>
      <c r="L960" s="25" t="n">
        <v>4722</v>
      </c>
      <c r="M960" s="26" t="n">
        <v>4</v>
      </c>
      <c r="N960" s="25">
        <f>ROUND(L960/M960, 0)</f>
        <v/>
      </c>
      <c r="O960" s="25">
        <f>ROUND(N960*'Methodology &amp; Assumptions'!$B$7, 0)</f>
        <v/>
      </c>
      <c r="P960" s="23" t="inlineStr">
        <is>
          <t>Single Carrier (Band n50, 100MHz TDD)</t>
        </is>
      </c>
      <c r="Q960" s="27">
        <f>ROUNDUP(O960/'Methodology &amp; Assumptions'!$B$8, 0)</f>
        <v/>
      </c>
      <c r="R960" s="27" t="n">
        <v>1</v>
      </c>
      <c r="S960" s="26" t="n">
        <v>0.77</v>
      </c>
      <c r="T960" s="26" t="n">
        <v>1</v>
      </c>
      <c r="U960" s="11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26" t="n">
        <v>85.63</v>
      </c>
      <c r="W960" s="26" t="n">
        <v>45.94</v>
      </c>
      <c r="X960" s="26">
        <f>ROUND(('Methodology &amp; Assumptions'!$B$5*V960) + ('Methodology &amp; Assumptions'!$B$6*W960), 2)</f>
        <v/>
      </c>
      <c r="Y960" s="28" t="n">
        <v>8.300000000000001</v>
      </c>
      <c r="Z960" s="11" t="inlineStr">
        <is>
          <t>Priority Tier 2 (Balanced Opportunity)</t>
        </is>
      </c>
    </row>
    <row r="961">
      <c r="A961" s="23" t="n">
        <v>1</v>
      </c>
      <c r="B961" s="23" t="n">
        <v>957</v>
      </c>
      <c r="C961" s="23" t="n">
        <v>957</v>
      </c>
      <c r="D961" s="23" t="inlineStr">
        <is>
          <t>0306916052</t>
        </is>
      </c>
      <c r="E961" s="11" t="inlineStr">
        <is>
          <t>Region III (Central Luzon)</t>
        </is>
      </c>
      <c r="F961" s="11" t="inlineStr">
        <is>
          <t>Tarlac</t>
        </is>
      </c>
      <c r="G961" s="11" t="inlineStr">
        <is>
          <t>City of Tarlac</t>
        </is>
      </c>
      <c r="H961" s="11" t="inlineStr">
        <is>
          <t>Matatalaib</t>
        </is>
      </c>
      <c r="I961" s="24" t="n">
        <v>15.49571</v>
      </c>
      <c r="J961" s="24" t="n">
        <v>120.602845</v>
      </c>
      <c r="K961" s="23" t="inlineStr">
        <is>
          <t>U</t>
        </is>
      </c>
      <c r="L961" s="25" t="n">
        <v>26018</v>
      </c>
      <c r="M961" s="26" t="n">
        <v>3.9</v>
      </c>
      <c r="N961" s="25">
        <f>ROUND(L961/M961, 0)</f>
        <v/>
      </c>
      <c r="O961" s="25">
        <f>ROUND(N961*'Methodology &amp; Assumptions'!$B$7, 0)</f>
        <v/>
      </c>
      <c r="P961" s="23" t="inlineStr">
        <is>
          <t>Single Carrier (Band n50, 100MHz TDD)</t>
        </is>
      </c>
      <c r="Q961" s="27">
        <f>ROUNDUP(O961/'Methodology &amp; Assumptions'!$B$8, 0)</f>
        <v/>
      </c>
      <c r="R961" s="27" t="n">
        <v>1</v>
      </c>
      <c r="S961" s="26" t="n">
        <v>1.91</v>
      </c>
      <c r="T961" s="26" t="n">
        <v>0.02</v>
      </c>
      <c r="U961" s="11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26" t="n">
        <v>74.51000000000001</v>
      </c>
      <c r="W961" s="26" t="n">
        <v>57.06</v>
      </c>
      <c r="X961" s="26">
        <f>ROUND(('Methodology &amp; Assumptions'!$B$5*V961) + ('Methodology &amp; Assumptions'!$B$6*W961), 2)</f>
        <v/>
      </c>
      <c r="Y961" s="28" t="n">
        <v>8.300000000000001</v>
      </c>
      <c r="Z961" s="11" t="inlineStr">
        <is>
          <t>Priority Tier 2 (Balanced Opportunity)</t>
        </is>
      </c>
    </row>
    <row r="962">
      <c r="A962" s="23" t="n">
        <v>1</v>
      </c>
      <c r="B962" s="23" t="n">
        <v>958</v>
      </c>
      <c r="C962" s="23" t="n">
        <v>958</v>
      </c>
      <c r="D962" s="23" t="inlineStr">
        <is>
          <t>0205009020</t>
        </is>
      </c>
      <c r="E962" s="11" t="inlineStr">
        <is>
          <t>Region II (Cagayan Valley)</t>
        </is>
      </c>
      <c r="F962" s="11" t="inlineStr">
        <is>
          <t>Nueva Vizcaya</t>
        </is>
      </c>
      <c r="G962" s="11" t="inlineStr">
        <is>
          <t>Kasibu</t>
        </is>
      </c>
      <c r="H962" s="11" t="inlineStr">
        <is>
          <t>Pudi</t>
        </is>
      </c>
      <c r="I962" s="24" t="n">
        <v>16.330951</v>
      </c>
      <c r="J962" s="24" t="n">
        <v>121.325569</v>
      </c>
      <c r="K962" s="23" t="inlineStr">
        <is>
          <t>R</t>
        </is>
      </c>
      <c r="L962" s="25" t="n">
        <v>1973</v>
      </c>
      <c r="M962" s="26" t="n">
        <v>3.8</v>
      </c>
      <c r="N962" s="25">
        <f>ROUND(L962/M962, 0)</f>
        <v/>
      </c>
      <c r="O962" s="25">
        <f>ROUND(N962*'Methodology &amp; Assumptions'!$B$7, 0)</f>
        <v/>
      </c>
      <c r="P962" s="23" t="inlineStr">
        <is>
          <t>Single Carrier (Band n50, 100MHz TDD)</t>
        </is>
      </c>
      <c r="Q962" s="27">
        <f>ROUNDUP(O962/'Methodology &amp; Assumptions'!$B$8, 0)</f>
        <v/>
      </c>
      <c r="R962" s="27" t="n">
        <v>1</v>
      </c>
      <c r="S962" s="26" t="n">
        <v>3.7</v>
      </c>
      <c r="T962" s="26" t="n">
        <v>23.62</v>
      </c>
      <c r="U962" s="11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26" t="n">
        <v>63.41</v>
      </c>
      <c r="W962" s="26" t="n">
        <v>68.15000000000001</v>
      </c>
      <c r="X962" s="26">
        <f>ROUND(('Methodology &amp; Assumptions'!$B$5*V962) + ('Methodology &amp; Assumptions'!$B$6*W962), 2)</f>
        <v/>
      </c>
      <c r="Y962" s="28" t="n">
        <v>8.300000000000001</v>
      </c>
      <c r="Z962" s="11" t="inlineStr">
        <is>
          <t>Priority Tier 2 (Balanced Opportunity)</t>
        </is>
      </c>
    </row>
    <row r="963">
      <c r="A963" s="23" t="n">
        <v>1</v>
      </c>
      <c r="B963" s="23" t="n">
        <v>959</v>
      </c>
      <c r="C963" s="23" t="n">
        <v>959</v>
      </c>
      <c r="D963" s="23" t="inlineStr">
        <is>
          <t>1380601049</t>
        </is>
      </c>
      <c r="E963" s="11" t="inlineStr">
        <is>
          <t>National Capital Region (NCR)</t>
        </is>
      </c>
      <c r="F963" s="11" t="inlineStr">
        <is>
          <t>First District (Not a Province)</t>
        </is>
      </c>
      <c r="G963" s="11" t="inlineStr">
        <is>
          <t>City of Manila</t>
        </is>
      </c>
      <c r="H963" s="11" t="inlineStr">
        <is>
          <t>Barangay 49</t>
        </is>
      </c>
      <c r="I963" s="24" t="n">
        <v>14.607393</v>
      </c>
      <c r="J963" s="24" t="n">
        <v>120.971449</v>
      </c>
      <c r="K963" s="23" t="inlineStr">
        <is>
          <t>U</t>
        </is>
      </c>
      <c r="L963" s="25" t="n">
        <v>2184</v>
      </c>
      <c r="M963" s="26" t="n">
        <v>3.31</v>
      </c>
      <c r="N963" s="25">
        <f>ROUND(L963/M963, 0)</f>
        <v/>
      </c>
      <c r="O963" s="25">
        <f>ROUND(N963*'Methodology &amp; Assumptions'!$B$7, 0)</f>
        <v/>
      </c>
      <c r="P963" s="23" t="inlineStr">
        <is>
          <t>Single Carrier (Band n50, 100MHz TDD)</t>
        </is>
      </c>
      <c r="Q963" s="27">
        <f>ROUNDUP(O963/'Methodology &amp; Assumptions'!$B$8, 0)</f>
        <v/>
      </c>
      <c r="R963" s="27" t="n">
        <v>1</v>
      </c>
      <c r="S963" s="26" t="n">
        <v>0.2</v>
      </c>
      <c r="T963" s="26" t="n">
        <v>0.2</v>
      </c>
      <c r="U963" s="11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26" t="n">
        <v>62.3</v>
      </c>
      <c r="W963" s="26" t="n">
        <v>69.23</v>
      </c>
      <c r="X963" s="26">
        <f>ROUND(('Methodology &amp; Assumptions'!$B$5*V963) + ('Methodology &amp; Assumptions'!$B$6*W963), 2)</f>
        <v/>
      </c>
      <c r="Y963" s="28" t="n">
        <v>10.9</v>
      </c>
      <c r="Z963" s="11" t="inlineStr">
        <is>
          <t>Priority Tier 2 (Balanced Opportunity)</t>
        </is>
      </c>
    </row>
    <row r="964">
      <c r="A964" s="23" t="n">
        <v>1</v>
      </c>
      <c r="B964" s="23" t="n">
        <v>960</v>
      </c>
      <c r="C964" s="23" t="n">
        <v>960</v>
      </c>
      <c r="D964" s="23" t="inlineStr">
        <is>
          <t>1380601046</t>
        </is>
      </c>
      <c r="E964" s="11" t="inlineStr">
        <is>
          <t>National Capital Region (NCR)</t>
        </is>
      </c>
      <c r="F964" s="11" t="inlineStr">
        <is>
          <t>First District (Not a Province)</t>
        </is>
      </c>
      <c r="G964" s="11" t="inlineStr">
        <is>
          <t>City of Manila</t>
        </is>
      </c>
      <c r="H964" s="11" t="inlineStr">
        <is>
          <t>Barangay 46</t>
        </is>
      </c>
      <c r="I964" s="24" t="n">
        <v>14.608874</v>
      </c>
      <c r="J964" s="24" t="n">
        <v>120.963852</v>
      </c>
      <c r="K964" s="23" t="inlineStr">
        <is>
          <t>U</t>
        </is>
      </c>
      <c r="L964" s="25" t="n">
        <v>2173</v>
      </c>
      <c r="M964" s="26" t="n">
        <v>4.34</v>
      </c>
      <c r="N964" s="25">
        <f>ROUND(L964/M964, 0)</f>
        <v/>
      </c>
      <c r="O964" s="25">
        <f>ROUND(N964*'Methodology &amp; Assumptions'!$B$7, 0)</f>
        <v/>
      </c>
      <c r="P964" s="23" t="inlineStr">
        <is>
          <t>Single Carrier (Band n50, 100MHz TDD)</t>
        </is>
      </c>
      <c r="Q964" s="27">
        <f>ROUNDUP(O964/'Methodology &amp; Assumptions'!$B$8, 0)</f>
        <v/>
      </c>
      <c r="R964" s="27" t="n">
        <v>1</v>
      </c>
      <c r="S964" s="26" t="n">
        <v>0.67</v>
      </c>
      <c r="T964" s="26" t="n">
        <v>0.5600000000000001</v>
      </c>
      <c r="U964" s="11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26" t="n">
        <v>57.16</v>
      </c>
      <c r="W964" s="26" t="n">
        <v>74.38</v>
      </c>
      <c r="X964" s="26">
        <f>ROUND(('Methodology &amp; Assumptions'!$B$5*V964) + ('Methodology &amp; Assumptions'!$B$6*W964), 2)</f>
        <v/>
      </c>
      <c r="Y964" s="28" t="n">
        <v>10.9</v>
      </c>
      <c r="Z964" s="11" t="inlineStr">
        <is>
          <t>Priority Tier 2 (Balanced Opportunity)</t>
        </is>
      </c>
    </row>
    <row r="965">
      <c r="A965" s="23" t="n">
        <v>1</v>
      </c>
      <c r="B965" s="23" t="n">
        <v>961</v>
      </c>
      <c r="C965" s="23" t="n">
        <v>961</v>
      </c>
      <c r="D965" s="23" t="inlineStr">
        <is>
          <t>0102931005</t>
        </is>
      </c>
      <c r="E965" s="11" t="inlineStr">
        <is>
          <t>Region I (Ilocos Region)</t>
        </is>
      </c>
      <c r="F965" s="11" t="inlineStr">
        <is>
          <t>Ilocos Sur</t>
        </is>
      </c>
      <c r="G965" s="11" t="inlineStr">
        <is>
          <t>Sugpon</t>
        </is>
      </c>
      <c r="H965" s="11" t="inlineStr">
        <is>
          <t>Danac</t>
        </is>
      </c>
      <c r="I965" s="24" t="n">
        <v>16.774661</v>
      </c>
      <c r="J965" s="24" t="n">
        <v>120.603651</v>
      </c>
      <c r="K965" s="23" t="inlineStr">
        <is>
          <t>R</t>
        </is>
      </c>
      <c r="L965" s="25" t="n">
        <v>605</v>
      </c>
      <c r="M965" s="26" t="n">
        <v>3.8</v>
      </c>
      <c r="N965" s="25">
        <f>ROUND(L965/M965, 0)</f>
        <v/>
      </c>
      <c r="O965" s="25">
        <f>ROUND(N965*'Methodology &amp; Assumptions'!$B$7, 0)</f>
        <v/>
      </c>
      <c r="P965" s="23" t="inlineStr">
        <is>
          <t>Single Carrier (Band n50, 100MHz TDD)</t>
        </is>
      </c>
      <c r="Q965" s="27">
        <f>ROUNDUP(O965/'Methodology &amp; Assumptions'!$B$8, 0)</f>
        <v/>
      </c>
      <c r="R965" s="27" t="n">
        <v>1</v>
      </c>
      <c r="S965" s="26" t="n">
        <v>10.3</v>
      </c>
      <c r="T965" s="26" t="n">
        <v>18.53</v>
      </c>
      <c r="U965" s="11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26" t="n">
        <v>43.39</v>
      </c>
      <c r="W965" s="26" t="n">
        <v>88.16</v>
      </c>
      <c r="X965" s="26">
        <f>ROUND(('Methodology &amp; Assumptions'!$B$5*V965) + ('Methodology &amp; Assumptions'!$B$6*W965), 2)</f>
        <v/>
      </c>
      <c r="Y965" s="28" t="n">
        <v>8.300000000000001</v>
      </c>
      <c r="Z965" s="11" t="inlineStr">
        <is>
          <t>Priority Tier 2 (Balanced Opportunity)</t>
        </is>
      </c>
    </row>
    <row r="966">
      <c r="A966" s="23" t="n">
        <v>1</v>
      </c>
      <c r="B966" s="23" t="n">
        <v>962</v>
      </c>
      <c r="C966" s="23" t="n">
        <v>962</v>
      </c>
      <c r="D966" s="23" t="inlineStr">
        <is>
          <t>0402117021</t>
        </is>
      </c>
      <c r="E966" s="11" t="inlineStr">
        <is>
          <t>Region IV-A (CALABARZON)</t>
        </is>
      </c>
      <c r="F966" s="11" t="inlineStr">
        <is>
          <t>Cavite</t>
        </is>
      </c>
      <c r="G966" s="11" t="inlineStr">
        <is>
          <t>Rosario</t>
        </is>
      </c>
      <c r="H966" s="11" t="inlineStr">
        <is>
          <t>Wawa III</t>
        </is>
      </c>
      <c r="I966" s="24" t="n">
        <v>14.406468</v>
      </c>
      <c r="J966" s="24" t="n">
        <v>120.849294</v>
      </c>
      <c r="K966" s="23" t="inlineStr">
        <is>
          <t>U</t>
        </is>
      </c>
      <c r="L966" s="25" t="n">
        <v>12517</v>
      </c>
      <c r="M966" s="26" t="n">
        <v>3.4</v>
      </c>
      <c r="N966" s="25">
        <f>ROUND(L966/M966, 0)</f>
        <v/>
      </c>
      <c r="O966" s="25">
        <f>ROUND(N966*'Methodology &amp; Assumptions'!$B$7, 0)</f>
        <v/>
      </c>
      <c r="P966" s="23" t="inlineStr">
        <is>
          <t>Single Carrier (Band n50, 100MHz TDD)</t>
        </is>
      </c>
      <c r="Q966" s="27">
        <f>ROUNDUP(O966/'Methodology &amp; Assumptions'!$B$8, 0)</f>
        <v/>
      </c>
      <c r="R966" s="27" t="n">
        <v>1</v>
      </c>
      <c r="S966" s="26" t="n">
        <v>1.65</v>
      </c>
      <c r="T966" s="26" t="n">
        <v>1.58</v>
      </c>
      <c r="U966" s="11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26" t="n">
        <v>75.23</v>
      </c>
      <c r="W966" s="26" t="n">
        <v>56.27</v>
      </c>
      <c r="X966" s="26">
        <f>ROUND(('Methodology &amp; Assumptions'!$B$5*V966) + ('Methodology &amp; Assumptions'!$B$6*W966), 2)</f>
        <v/>
      </c>
      <c r="Y966" s="28" t="n">
        <v>7.2</v>
      </c>
      <c r="Z966" s="11" t="inlineStr">
        <is>
          <t>Priority Tier 2 (Balanced Opportunity)</t>
        </is>
      </c>
    </row>
    <row r="967">
      <c r="A967" s="23" t="n">
        <v>1</v>
      </c>
      <c r="B967" s="23" t="n">
        <v>963</v>
      </c>
      <c r="C967" s="23" t="n">
        <v>963</v>
      </c>
      <c r="D967" s="23" t="inlineStr">
        <is>
          <t>1380612037</t>
        </is>
      </c>
      <c r="E967" s="11" t="inlineStr">
        <is>
          <t>National Capital Region (NCR)</t>
        </is>
      </c>
      <c r="F967" s="11" t="inlineStr">
        <is>
          <t>First District (Not a Province)</t>
        </is>
      </c>
      <c r="G967" s="11" t="inlineStr">
        <is>
          <t>City of Manila</t>
        </is>
      </c>
      <c r="H967" s="11" t="inlineStr">
        <is>
          <t>Barangay 871</t>
        </is>
      </c>
      <c r="I967" s="24" t="n">
        <v>14.582571</v>
      </c>
      <c r="J967" s="24" t="n">
        <v>121.003942</v>
      </c>
      <c r="K967" s="23" t="inlineStr">
        <is>
          <t>U</t>
        </is>
      </c>
      <c r="L967" s="25" t="n">
        <v>2480</v>
      </c>
      <c r="M967" s="26" t="n">
        <v>4.07</v>
      </c>
      <c r="N967" s="25">
        <f>ROUND(L967/M967, 0)</f>
        <v/>
      </c>
      <c r="O967" s="25">
        <f>ROUND(N967*'Methodology &amp; Assumptions'!$B$7, 0)</f>
        <v/>
      </c>
      <c r="P967" s="23" t="inlineStr">
        <is>
          <t>Single Carrier (Band n50, 100MHz TDD)</t>
        </is>
      </c>
      <c r="Q967" s="27">
        <f>ROUNDUP(O967/'Methodology &amp; Assumptions'!$B$8, 0)</f>
        <v/>
      </c>
      <c r="R967" s="27" t="n">
        <v>1</v>
      </c>
      <c r="S967" s="26" t="n">
        <v>0.24</v>
      </c>
      <c r="T967" s="26" t="n">
        <v>0.31</v>
      </c>
      <c r="U967" s="11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26" t="n">
        <v>60.69</v>
      </c>
      <c r="W967" s="26" t="n">
        <v>70.8</v>
      </c>
      <c r="X967" s="26">
        <f>ROUND(('Methodology &amp; Assumptions'!$B$5*V967) + ('Methodology &amp; Assumptions'!$B$6*W967), 2)</f>
        <v/>
      </c>
      <c r="Y967" s="28" t="n">
        <v>10.9</v>
      </c>
      <c r="Z967" s="11" t="inlineStr">
        <is>
          <t>Priority Tier 2 (Balanced Opportunity)</t>
        </is>
      </c>
    </row>
    <row r="968">
      <c r="A968" s="23" t="n">
        <v>1</v>
      </c>
      <c r="B968" s="23" t="n">
        <v>964</v>
      </c>
      <c r="C968" s="23" t="n">
        <v>964</v>
      </c>
      <c r="D968" s="23" t="inlineStr">
        <is>
          <t>0702241013</t>
        </is>
      </c>
      <c r="E968" s="11" t="inlineStr">
        <is>
          <t>Region VII (Central Visayas)</t>
        </is>
      </c>
      <c r="F968" s="11" t="inlineStr">
        <is>
          <t>Cebu</t>
        </is>
      </c>
      <c r="G968" s="11" t="inlineStr">
        <is>
          <t>San Fernando</t>
        </is>
      </c>
      <c r="H968" s="11" t="inlineStr">
        <is>
          <t>Poblacion North</t>
        </is>
      </c>
      <c r="I968" s="24" t="n">
        <v>10.16501</v>
      </c>
      <c r="J968" s="24" t="n">
        <v>123.7078</v>
      </c>
      <c r="K968" s="23" t="inlineStr">
        <is>
          <t>R</t>
        </is>
      </c>
      <c r="L968" s="25" t="n">
        <v>4710</v>
      </c>
      <c r="M968" s="26" t="n">
        <v>3.8</v>
      </c>
      <c r="N968" s="25">
        <f>ROUND(L968/M968, 0)</f>
        <v/>
      </c>
      <c r="O968" s="25">
        <f>ROUND(N968*'Methodology &amp; Assumptions'!$B$7, 0)</f>
        <v/>
      </c>
      <c r="P968" s="23" t="inlineStr">
        <is>
          <t>Single Carrier (Band n50, 100MHz TDD)</t>
        </is>
      </c>
      <c r="Q968" s="27">
        <f>ROUNDUP(O968/'Methodology &amp; Assumptions'!$B$8, 0)</f>
        <v/>
      </c>
      <c r="R968" s="27" t="n">
        <v>1</v>
      </c>
      <c r="S968" s="26" t="n">
        <v>0.3</v>
      </c>
      <c r="T968" s="26" t="n">
        <v>0.15</v>
      </c>
      <c r="U968" s="11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26" t="n">
        <v>88.06</v>
      </c>
      <c r="W968" s="26" t="n">
        <v>43.42</v>
      </c>
      <c r="X968" s="26">
        <f>ROUND(('Methodology &amp; Assumptions'!$B$5*V968) + ('Methodology &amp; Assumptions'!$B$6*W968), 2)</f>
        <v/>
      </c>
      <c r="Y968" s="28" t="n">
        <v>23.7</v>
      </c>
      <c r="Z968" s="11" t="inlineStr">
        <is>
          <t>Priority Tier 2 (Balanced Opportunity)</t>
        </is>
      </c>
    </row>
    <row r="969">
      <c r="A969" s="23" t="n">
        <v>1</v>
      </c>
      <c r="B969" s="23" t="n">
        <v>965</v>
      </c>
      <c r="C969" s="23" t="n">
        <v>965</v>
      </c>
      <c r="D969" s="23" t="inlineStr">
        <is>
          <t>1381600033</t>
        </is>
      </c>
      <c r="E969" s="11" t="inlineStr">
        <is>
          <t>National Capital Region (NCR)</t>
        </is>
      </c>
      <c r="F969" s="11" t="inlineStr">
        <is>
          <t>Third District (Not a Province)</t>
        </is>
      </c>
      <c r="G969" s="11" t="inlineStr">
        <is>
          <t>City of Valenzuela</t>
        </is>
      </c>
      <c r="H969" s="11" t="inlineStr">
        <is>
          <t>Canumay East</t>
        </is>
      </c>
      <c r="I969" s="24" t="n">
        <v>14.717323</v>
      </c>
      <c r="J969" s="24" t="n">
        <v>120.991859</v>
      </c>
      <c r="K969" s="23" t="inlineStr">
        <is>
          <t>U</t>
        </is>
      </c>
      <c r="L969" s="25" t="n">
        <v>15058</v>
      </c>
      <c r="M969" s="26" t="n">
        <v>3.48</v>
      </c>
      <c r="N969" s="25">
        <f>ROUND(L969/M969, 0)</f>
        <v/>
      </c>
      <c r="O969" s="25">
        <f>ROUND(N969*'Methodology &amp; Assumptions'!$B$7, 0)</f>
        <v/>
      </c>
      <c r="P969" s="23" t="inlineStr">
        <is>
          <t>Single Carrier (Band n50, 100MHz TDD)</t>
        </is>
      </c>
      <c r="Q969" s="27">
        <f>ROUNDUP(O969/'Methodology &amp; Assumptions'!$B$8, 0)</f>
        <v/>
      </c>
      <c r="R969" s="27" t="n">
        <v>1</v>
      </c>
      <c r="S969" s="26" t="n">
        <v>2.1</v>
      </c>
      <c r="T969" s="26" t="n">
        <v>0.6899999999999999</v>
      </c>
      <c r="U969" s="11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26" t="n">
        <v>64.42</v>
      </c>
      <c r="W969" s="26" t="n">
        <v>67.06</v>
      </c>
      <c r="X969" s="26">
        <f>ROUND(('Methodology &amp; Assumptions'!$B$5*V969) + ('Methodology &amp; Assumptions'!$B$6*W969), 2)</f>
        <v/>
      </c>
      <c r="Y969" s="28" t="n">
        <v>10.9</v>
      </c>
      <c r="Z969" s="11" t="inlineStr">
        <is>
          <t>Priority Tier 2 (Balanced Opportunity)</t>
        </is>
      </c>
    </row>
    <row r="970">
      <c r="A970" s="23" t="n">
        <v>1</v>
      </c>
      <c r="B970" s="23" t="n">
        <v>966</v>
      </c>
      <c r="C970" s="23" t="n">
        <v>966</v>
      </c>
      <c r="D970" s="23" t="inlineStr">
        <is>
          <t>1381100148</t>
        </is>
      </c>
      <c r="E970" s="11" t="inlineStr">
        <is>
          <t>National Capital Region (NCR)</t>
        </is>
      </c>
      <c r="F970" s="11" t="inlineStr">
        <is>
          <t>Fourth District (Not a Province)</t>
        </is>
      </c>
      <c r="G970" s="11" t="inlineStr">
        <is>
          <t>Pasay City</t>
        </is>
      </c>
      <c r="H970" s="11" t="inlineStr">
        <is>
          <t>Barangay 148</t>
        </is>
      </c>
      <c r="I970" s="24" t="n">
        <v>14.535506</v>
      </c>
      <c r="J970" s="24" t="n">
        <v>121.001688</v>
      </c>
      <c r="K970" s="23" t="inlineStr">
        <is>
          <t>U</t>
        </is>
      </c>
      <c r="L970" s="25" t="n">
        <v>2077</v>
      </c>
      <c r="M970" s="26" t="n">
        <v>3.28</v>
      </c>
      <c r="N970" s="25">
        <f>ROUND(L970/M970, 0)</f>
        <v/>
      </c>
      <c r="O970" s="25">
        <f>ROUND(N970*'Methodology &amp; Assumptions'!$B$7, 0)</f>
        <v/>
      </c>
      <c r="P970" s="23" t="inlineStr">
        <is>
          <t>Single Carrier (Band n50, 100MHz TDD)</t>
        </is>
      </c>
      <c r="Q970" s="27">
        <f>ROUNDUP(O970/'Methodology &amp; Assumptions'!$B$8, 0)</f>
        <v/>
      </c>
      <c r="R970" s="27" t="n">
        <v>1</v>
      </c>
      <c r="S970" s="26" t="n">
        <v>0.98</v>
      </c>
      <c r="T970" s="26" t="n">
        <v>0.22</v>
      </c>
      <c r="U970" s="11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26" t="n">
        <v>60.92</v>
      </c>
      <c r="W970" s="26" t="n">
        <v>70.56</v>
      </c>
      <c r="X970" s="26">
        <f>ROUND(('Methodology &amp; Assumptions'!$B$5*V970) + ('Methodology &amp; Assumptions'!$B$6*W970), 2)</f>
        <v/>
      </c>
      <c r="Y970" s="28" t="n">
        <v>10.9</v>
      </c>
      <c r="Z970" s="11" t="inlineStr">
        <is>
          <t>Priority Tier 2 (Balanced Opportunity)</t>
        </is>
      </c>
    </row>
    <row r="971">
      <c r="A971" s="23" t="n">
        <v>1</v>
      </c>
      <c r="B971" s="23" t="n">
        <v>967</v>
      </c>
      <c r="C971" s="23" t="n">
        <v>967</v>
      </c>
      <c r="D971" s="23" t="inlineStr">
        <is>
          <t>0803739026</t>
        </is>
      </c>
      <c r="E971" s="11" t="inlineStr">
        <is>
          <t>Region VIII (Eastern Visayas)</t>
        </is>
      </c>
      <c r="F971" s="11" t="inlineStr">
        <is>
          <t>Leyte</t>
        </is>
      </c>
      <c r="G971" s="11" t="inlineStr">
        <is>
          <t>Palo</t>
        </is>
      </c>
      <c r="H971" s="11" t="inlineStr">
        <is>
          <t>San Agustin</t>
        </is>
      </c>
      <c r="I971" s="24" t="n">
        <v>14.72956</v>
      </c>
      <c r="J971" s="24" t="n">
        <v>121.038713</v>
      </c>
      <c r="K971" s="23" t="inlineStr">
        <is>
          <t>R</t>
        </is>
      </c>
      <c r="L971" s="25" t="n">
        <v>1190</v>
      </c>
      <c r="M971" s="26" t="n">
        <v>3.8</v>
      </c>
      <c r="N971" s="25">
        <f>ROUND(L971/M971, 0)</f>
        <v/>
      </c>
      <c r="O971" s="25">
        <f>ROUND(N971*'Methodology &amp; Assumptions'!$B$7, 0)</f>
        <v/>
      </c>
      <c r="P971" s="23" t="inlineStr">
        <is>
          <t>Single Carrier (Band n50, 100MHz TDD)</t>
        </is>
      </c>
      <c r="Q971" s="27">
        <f>ROUNDUP(O971/'Methodology &amp; Assumptions'!$B$8, 0)</f>
        <v/>
      </c>
      <c r="R971" s="27" t="n">
        <v>1</v>
      </c>
      <c r="S971" s="26" t="n">
        <v>0.96</v>
      </c>
      <c r="T971" s="26" t="n">
        <v>0.17</v>
      </c>
      <c r="U971" s="11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26" t="n">
        <v>70.53</v>
      </c>
      <c r="W971" s="26" t="n">
        <v>60.92</v>
      </c>
      <c r="X971" s="26">
        <f>ROUND(('Methodology &amp; Assumptions'!$B$5*V971) + ('Methodology &amp; Assumptions'!$B$6*W971), 2)</f>
        <v/>
      </c>
      <c r="Y971" s="28" t="n">
        <v>23.7</v>
      </c>
      <c r="Z971" s="11" t="inlineStr">
        <is>
          <t>Priority Tier 2 (Balanced Opportunity)</t>
        </is>
      </c>
    </row>
    <row r="972">
      <c r="A972" s="23" t="n">
        <v>1</v>
      </c>
      <c r="B972" s="23" t="n">
        <v>968</v>
      </c>
      <c r="C972" s="23" t="n">
        <v>968</v>
      </c>
      <c r="D972" s="23" t="inlineStr">
        <is>
          <t>1908804003</t>
        </is>
      </c>
      <c r="E972" s="11" t="inlineStr">
        <is>
          <t>Bangsamoro Autonomous Region In Muslim Mindanao (BARMM)</t>
        </is>
      </c>
      <c r="F972" s="11" t="inlineStr">
        <is>
          <t>Maguindanao del Sur</t>
        </is>
      </c>
      <c r="G972" s="11" t="inlineStr">
        <is>
          <t>Datu Anggal Midtimbang</t>
        </is>
      </c>
      <c r="H972" s="11" t="inlineStr">
        <is>
          <t>Mapayag</t>
        </is>
      </c>
      <c r="I972" s="24" t="n">
        <v>6.933333</v>
      </c>
      <c r="J972" s="24" t="n">
        <v>124.333333</v>
      </c>
      <c r="K972" s="23" t="inlineStr">
        <is>
          <t>R</t>
        </is>
      </c>
      <c r="L972" s="25" t="n">
        <v>4141</v>
      </c>
      <c r="M972" s="26" t="n">
        <v>4.7</v>
      </c>
      <c r="N972" s="25">
        <f>ROUND(L972/M972, 0)</f>
        <v/>
      </c>
      <c r="O972" s="25">
        <f>ROUND(N972*'Methodology &amp; Assumptions'!$B$7, 0)</f>
        <v/>
      </c>
      <c r="P972" s="23" t="inlineStr">
        <is>
          <t>Single Carrier (Band n50, 100MHz TDD)</t>
        </is>
      </c>
      <c r="Q972" s="27">
        <f>ROUNDUP(O972/'Methodology &amp; Assumptions'!$B$8, 0)</f>
        <v/>
      </c>
      <c r="R972" s="27" t="n">
        <v>1</v>
      </c>
      <c r="S972" s="26" t="n">
        <v>46.32</v>
      </c>
      <c r="T972" s="26" t="n">
        <v>46.25</v>
      </c>
      <c r="U972" s="11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26" t="n">
        <v>59.06</v>
      </c>
      <c r="W972" s="26" t="n">
        <v>72.41</v>
      </c>
      <c r="X972" s="26">
        <f>ROUND(('Methodology &amp; Assumptions'!$B$5*V972) + ('Methodology &amp; Assumptions'!$B$6*W972), 2)</f>
        <v/>
      </c>
      <c r="Y972" s="28" t="n">
        <v>11</v>
      </c>
      <c r="Z972" s="11" t="inlineStr">
        <is>
          <t>Priority Tier 2 (Balanced Opportunity)</t>
        </is>
      </c>
    </row>
    <row r="973">
      <c r="A973" s="23" t="n">
        <v>1</v>
      </c>
      <c r="B973" s="23" t="n">
        <v>969</v>
      </c>
      <c r="C973" s="23" t="n">
        <v>969</v>
      </c>
      <c r="D973" s="23" t="inlineStr">
        <is>
          <t>0105527020</t>
        </is>
      </c>
      <c r="E973" s="11" t="inlineStr">
        <is>
          <t>Region I (Ilocos Region)</t>
        </is>
      </c>
      <c r="F973" s="11" t="inlineStr">
        <is>
          <t>Pangasinan</t>
        </is>
      </c>
      <c r="G973" s="11" t="inlineStr">
        <is>
          <t>Mangatarem</t>
        </is>
      </c>
      <c r="H973" s="11" t="inlineStr">
        <is>
          <t>Cabaluyan 2nd</t>
        </is>
      </c>
      <c r="I973" s="24" t="n">
        <v>15.6603</v>
      </c>
      <c r="J973" s="24" t="n">
        <v>120.2771</v>
      </c>
      <c r="K973" s="23" t="inlineStr">
        <is>
          <t>R</t>
        </is>
      </c>
      <c r="L973" s="25" t="n">
        <v>1128</v>
      </c>
      <c r="M973" s="26" t="n">
        <v>3.6</v>
      </c>
      <c r="N973" s="25">
        <f>ROUND(L973/M973, 0)</f>
        <v/>
      </c>
      <c r="O973" s="25">
        <f>ROUND(N973*'Methodology &amp; Assumptions'!$B$7, 0)</f>
        <v/>
      </c>
      <c r="P973" s="23" t="inlineStr">
        <is>
          <t>Single Carrier (Band n50, 100MHz TDD)</t>
        </is>
      </c>
      <c r="Q973" s="27">
        <f>ROUNDUP(O973/'Methodology &amp; Assumptions'!$B$8, 0)</f>
        <v/>
      </c>
      <c r="R973" s="27" t="n">
        <v>1</v>
      </c>
      <c r="S973" s="26" t="n">
        <v>10.88</v>
      </c>
      <c r="T973" s="26" t="n">
        <v>14.07</v>
      </c>
      <c r="U973" s="11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26" t="n">
        <v>47.69</v>
      </c>
      <c r="W973" s="26" t="n">
        <v>83.77</v>
      </c>
      <c r="X973" s="26">
        <f>ROUND(('Methodology &amp; Assumptions'!$B$5*V973) + ('Methodology &amp; Assumptions'!$B$6*W973), 2)</f>
        <v/>
      </c>
      <c r="Y973" s="28" t="n">
        <v>8.300000000000001</v>
      </c>
      <c r="Z973" s="11" t="inlineStr">
        <is>
          <t>Priority Tier 2 (Balanced Opportunity)</t>
        </is>
      </c>
    </row>
    <row r="974">
      <c r="A974" s="23" t="n">
        <v>1</v>
      </c>
      <c r="B974" s="23" t="n">
        <v>970</v>
      </c>
      <c r="C974" s="23" t="n">
        <v>970</v>
      </c>
      <c r="D974" s="23" t="inlineStr">
        <is>
          <t>1102315028</t>
        </is>
      </c>
      <c r="E974" s="11" t="inlineStr">
        <is>
          <t>Region XI (Davao Region)</t>
        </is>
      </c>
      <c r="F974" s="11" t="inlineStr">
        <is>
          <t>Davao del Norte</t>
        </is>
      </c>
      <c r="G974" s="11" t="inlineStr">
        <is>
          <t>City of Panabo</t>
        </is>
      </c>
      <c r="H974" s="11" t="inlineStr">
        <is>
          <t>Salvacion</t>
        </is>
      </c>
      <c r="I974" s="24" t="n">
        <v>7.318546</v>
      </c>
      <c r="J974" s="24" t="n">
        <v>125.687239</v>
      </c>
      <c r="K974" s="23" t="inlineStr">
        <is>
          <t>U</t>
        </is>
      </c>
      <c r="L974" s="25" t="n">
        <v>10928</v>
      </c>
      <c r="M974" s="26" t="n">
        <v>3.7</v>
      </c>
      <c r="N974" s="25">
        <f>ROUND(L974/M974, 0)</f>
        <v/>
      </c>
      <c r="O974" s="25">
        <f>ROUND(N974*'Methodology &amp; Assumptions'!$B$7, 0)</f>
        <v/>
      </c>
      <c r="P974" s="23" t="inlineStr">
        <is>
          <t>Single Carrier (Band n50, 100MHz TDD)</t>
        </is>
      </c>
      <c r="Q974" s="27">
        <f>ROUNDUP(O974/'Methodology &amp; Assumptions'!$B$8, 0)</f>
        <v/>
      </c>
      <c r="R974" s="27" t="n">
        <v>1</v>
      </c>
      <c r="S974" s="26" t="n">
        <v>2.14</v>
      </c>
      <c r="T974" s="26" t="n">
        <v>0.17</v>
      </c>
      <c r="U974" s="11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26" t="n">
        <v>75.16</v>
      </c>
      <c r="W974" s="26" t="n">
        <v>56.27</v>
      </c>
      <c r="X974" s="26">
        <f>ROUND(('Methodology &amp; Assumptions'!$B$5*V974) + ('Methodology &amp; Assumptions'!$B$6*W974), 2)</f>
        <v/>
      </c>
      <c r="Y974" s="28" t="n">
        <v>17.4</v>
      </c>
      <c r="Z974" s="11" t="inlineStr">
        <is>
          <t>Priority Tier 2 (Balanced Opportunity)</t>
        </is>
      </c>
    </row>
    <row r="975">
      <c r="A975" s="23" t="n">
        <v>1</v>
      </c>
      <c r="B975" s="23" t="n">
        <v>971</v>
      </c>
      <c r="C975" s="23" t="n">
        <v>971</v>
      </c>
      <c r="D975" s="23" t="inlineStr">
        <is>
          <t>0402103065</t>
        </is>
      </c>
      <c r="E975" s="11" t="inlineStr">
        <is>
          <t>Region IV-A (CALABARZON)</t>
        </is>
      </c>
      <c r="F975" s="11" t="inlineStr">
        <is>
          <t>Cavite</t>
        </is>
      </c>
      <c r="G975" s="11" t="inlineStr">
        <is>
          <t>City of Bacoor</t>
        </is>
      </c>
      <c r="H975" s="11" t="inlineStr">
        <is>
          <t>San Nicolas III</t>
        </is>
      </c>
      <c r="I975" s="24" t="n">
        <v>14.407647</v>
      </c>
      <c r="J975" s="24" t="n">
        <v>120.992313</v>
      </c>
      <c r="K975" s="23" t="inlineStr">
        <is>
          <t>U</t>
        </is>
      </c>
      <c r="L975" s="25" t="n">
        <v>39437</v>
      </c>
      <c r="M975" s="26" t="n">
        <v>3.4</v>
      </c>
      <c r="N975" s="25">
        <f>ROUND(L975/M975, 0)</f>
        <v/>
      </c>
      <c r="O975" s="25">
        <f>ROUND(N975*'Methodology &amp; Assumptions'!$B$7, 0)</f>
        <v/>
      </c>
      <c r="P975" s="23" t="inlineStr">
        <is>
          <t>Single Carrier (Band n50, 100MHz TDD)</t>
        </is>
      </c>
      <c r="Q975" s="27">
        <f>ROUNDUP(O975/'Methodology &amp; Assumptions'!$B$8, 0)</f>
        <v/>
      </c>
      <c r="R975" s="27" t="n">
        <v>1</v>
      </c>
      <c r="S975" s="26" t="n">
        <v>2.08</v>
      </c>
      <c r="T975" s="26" t="n">
        <v>3.14</v>
      </c>
      <c r="U975" s="11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26" t="n">
        <v>69.23</v>
      </c>
      <c r="W975" s="26" t="n">
        <v>62.21</v>
      </c>
      <c r="X975" s="26">
        <f>ROUND(('Methodology &amp; Assumptions'!$B$5*V975) + ('Methodology &amp; Assumptions'!$B$6*W975), 2)</f>
        <v/>
      </c>
      <c r="Y975" s="28" t="n">
        <v>7.2</v>
      </c>
      <c r="Z975" s="11" t="inlineStr">
        <is>
          <t>Priority Tier 2 (Balanced Opportunity)</t>
        </is>
      </c>
    </row>
    <row r="976">
      <c r="A976" s="23" t="n">
        <v>1</v>
      </c>
      <c r="B976" s="23" t="n">
        <v>972</v>
      </c>
      <c r="C976" s="23" t="n">
        <v>972</v>
      </c>
      <c r="D976" s="23" t="inlineStr">
        <is>
          <t>1381300113</t>
        </is>
      </c>
      <c r="E976" s="11" t="inlineStr">
        <is>
          <t>National Capital Region (NCR)</t>
        </is>
      </c>
      <c r="F976" s="11" t="inlineStr">
        <is>
          <t>Second District (Not a Province)</t>
        </is>
      </c>
      <c r="G976" s="11" t="inlineStr">
        <is>
          <t>Quezon City</t>
        </is>
      </c>
      <c r="H976" s="11" t="inlineStr">
        <is>
          <t>Sikatuna Village</t>
        </is>
      </c>
      <c r="I976" s="24" t="n">
        <v>14.635972</v>
      </c>
      <c r="J976" s="24" t="n">
        <v>121.059056</v>
      </c>
      <c r="K976" s="23" t="inlineStr">
        <is>
          <t>U</t>
        </is>
      </c>
      <c r="L976" s="25" t="n">
        <v>6322</v>
      </c>
      <c r="M976" s="26" t="n">
        <v>4.59</v>
      </c>
      <c r="N976" s="25">
        <f>ROUND(L976/M976, 0)</f>
        <v/>
      </c>
      <c r="O976" s="25">
        <f>ROUND(N976*'Methodology &amp; Assumptions'!$B$7, 0)</f>
        <v/>
      </c>
      <c r="P976" s="23" t="inlineStr">
        <is>
          <t>Single Carrier (Band n50, 100MHz TDD)</t>
        </is>
      </c>
      <c r="Q976" s="27">
        <f>ROUNDUP(O976/'Methodology &amp; Assumptions'!$B$8, 0)</f>
        <v/>
      </c>
      <c r="R976" s="27" t="n">
        <v>1</v>
      </c>
      <c r="S976" s="26" t="n">
        <v>1.18</v>
      </c>
      <c r="T976" s="26" t="n">
        <v>0.13</v>
      </c>
      <c r="U976" s="11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26" t="n">
        <v>67.8</v>
      </c>
      <c r="W976" s="26" t="n">
        <v>63.64</v>
      </c>
      <c r="X976" s="26">
        <f>ROUND(('Methodology &amp; Assumptions'!$B$5*V976) + ('Methodology &amp; Assumptions'!$B$6*W976), 2)</f>
        <v/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1</v>
      </c>
      <c r="B977" s="23" t="n">
        <v>973</v>
      </c>
      <c r="C977" s="23" t="n">
        <v>973</v>
      </c>
      <c r="D977" s="23" t="inlineStr">
        <is>
          <t>1705304021</t>
        </is>
      </c>
      <c r="E977" s="11" t="inlineStr">
        <is>
          <t>MIMAROPA Region</t>
        </is>
      </c>
      <c r="F977" s="11" t="inlineStr">
        <is>
          <t>Palawan</t>
        </is>
      </c>
      <c r="G977" s="11" t="inlineStr">
        <is>
          <t>Balabac</t>
        </is>
      </c>
      <c r="H977" s="11" t="inlineStr">
        <is>
          <t>Salang</t>
        </is>
      </c>
      <c r="I977" s="24" t="n">
        <v>8.059975</v>
      </c>
      <c r="J977" s="24" t="n">
        <v>117.076717</v>
      </c>
      <c r="K977" s="23" t="inlineStr">
        <is>
          <t>R</t>
        </is>
      </c>
      <c r="L977" s="25" t="n">
        <v>3233</v>
      </c>
      <c r="M977" s="26" t="n">
        <v>3.9</v>
      </c>
      <c r="N977" s="25">
        <f>ROUND(L977/M977, 0)</f>
        <v/>
      </c>
      <c r="O977" s="25">
        <f>ROUND(N977*'Methodology &amp; Assumptions'!$B$7, 0)</f>
        <v/>
      </c>
      <c r="P977" s="23" t="inlineStr">
        <is>
          <t>Single Carrier (Band n50, 100MHz TDD)</t>
        </is>
      </c>
      <c r="Q977" s="27">
        <f>ROUNDUP(O977/'Methodology &amp; Assumptions'!$B$8, 0)</f>
        <v/>
      </c>
      <c r="R977" s="27" t="n">
        <v>1</v>
      </c>
      <c r="S977" s="26" t="n">
        <v>260.87</v>
      </c>
      <c r="T977" s="26" t="n">
        <v>263.16</v>
      </c>
      <c r="U977" s="11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26" t="n">
        <v>59.65</v>
      </c>
      <c r="W977" s="26" t="n">
        <v>71.79000000000001</v>
      </c>
      <c r="X977" s="26">
        <f>ROUND(('Methodology &amp; Assumptions'!$B$5*V977) + ('Methodology &amp; Assumptions'!$B$6*W977), 2)</f>
        <v/>
      </c>
      <c r="Y977" s="28" t="n">
        <v>15</v>
      </c>
      <c r="Z977" s="11" t="inlineStr">
        <is>
          <t>Priority Tier 2 (Balanced Opportunity)</t>
        </is>
      </c>
    </row>
    <row r="978">
      <c r="A978" s="23" t="n">
        <v>1</v>
      </c>
      <c r="B978" s="23" t="n">
        <v>974</v>
      </c>
      <c r="C978" s="23" t="n">
        <v>974</v>
      </c>
      <c r="D978" s="23" t="inlineStr">
        <is>
          <t>1908804001</t>
        </is>
      </c>
      <c r="E978" s="11" t="inlineStr">
        <is>
          <t>Bangsamoro Autonomous Region In Muslim Mindanao (BARMM)</t>
        </is>
      </c>
      <c r="F978" s="11" t="inlineStr">
        <is>
          <t>Maguindanao del Sur</t>
        </is>
      </c>
      <c r="G978" s="11" t="inlineStr">
        <is>
          <t>Datu Anggal Midtimbang</t>
        </is>
      </c>
      <c r="H978" s="11" t="inlineStr">
        <is>
          <t>Adaon</t>
        </is>
      </c>
      <c r="I978" s="24" t="n">
        <v>6.933333</v>
      </c>
      <c r="J978" s="24" t="n">
        <v>124.333333</v>
      </c>
      <c r="K978" s="23" t="inlineStr">
        <is>
          <t>R</t>
        </is>
      </c>
      <c r="L978" s="25" t="n">
        <v>4333</v>
      </c>
      <c r="M978" s="26" t="n">
        <v>4.7</v>
      </c>
      <c r="N978" s="25">
        <f>ROUND(L978/M978, 0)</f>
        <v/>
      </c>
      <c r="O978" s="25">
        <f>ROUND(N978*'Methodology &amp; Assumptions'!$B$7, 0)</f>
        <v/>
      </c>
      <c r="P978" s="23" t="inlineStr">
        <is>
          <t>Single Carrier (Band n50, 100MHz TDD)</t>
        </is>
      </c>
      <c r="Q978" s="27">
        <f>ROUNDUP(O978/'Methodology &amp; Assumptions'!$B$8, 0)</f>
        <v/>
      </c>
      <c r="R978" s="27" t="n">
        <v>1</v>
      </c>
      <c r="S978" s="26" t="n">
        <v>46.32</v>
      </c>
      <c r="T978" s="26" t="n">
        <v>46.25</v>
      </c>
      <c r="U978" s="11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26" t="n">
        <v>59.06</v>
      </c>
      <c r="W978" s="26" t="n">
        <v>72.39</v>
      </c>
      <c r="X978" s="26">
        <f>ROUND(('Methodology &amp; Assumptions'!$B$5*V978) + ('Methodology &amp; Assumptions'!$B$6*W978), 2)</f>
        <v/>
      </c>
      <c r="Y978" s="28" t="n">
        <v>11</v>
      </c>
      <c r="Z978" s="11" t="inlineStr">
        <is>
          <t>Priority Tier 2 (Balanced Opportunity)</t>
        </is>
      </c>
    </row>
    <row r="979">
      <c r="A979" s="23" t="n">
        <v>1</v>
      </c>
      <c r="B979" s="23" t="n">
        <v>975</v>
      </c>
      <c r="C979" s="23" t="n">
        <v>975</v>
      </c>
      <c r="D979" s="23" t="inlineStr">
        <is>
          <t>1381300102</t>
        </is>
      </c>
      <c r="E979" s="11" t="inlineStr">
        <is>
          <t>National Capital Region (NCR)</t>
        </is>
      </c>
      <c r="F979" s="11" t="inlineStr">
        <is>
          <t>Second District (Not a Province)</t>
        </is>
      </c>
      <c r="G979" s="11" t="inlineStr">
        <is>
          <t>Quezon City</t>
        </is>
      </c>
      <c r="H979" s="11" t="inlineStr">
        <is>
          <t>San Roque</t>
        </is>
      </c>
      <c r="I979" s="24" t="n">
        <v>14.6184</v>
      </c>
      <c r="J979" s="24" t="n">
        <v>121.0633</v>
      </c>
      <c r="K979" s="23" t="inlineStr">
        <is>
          <t>U</t>
        </is>
      </c>
      <c r="L979" s="25" t="n">
        <v>19654</v>
      </c>
      <c r="M979" s="26" t="n">
        <v>3.85</v>
      </c>
      <c r="N979" s="25">
        <f>ROUND(L979/M979, 0)</f>
        <v/>
      </c>
      <c r="O979" s="25">
        <f>ROUND(N979*'Methodology &amp; Assumptions'!$B$7, 0)</f>
        <v/>
      </c>
      <c r="P979" s="23" t="inlineStr">
        <is>
          <t>Single Carrier (Band n50, 100MHz TDD)</t>
        </is>
      </c>
      <c r="Q979" s="27">
        <f>ROUNDUP(O979/'Methodology &amp; Assumptions'!$B$8, 0)</f>
        <v/>
      </c>
      <c r="R979" s="27" t="n">
        <v>1</v>
      </c>
      <c r="S979" s="26" t="n">
        <v>0.63</v>
      </c>
      <c r="T979" s="26" t="n">
        <v>0.3</v>
      </c>
      <c r="U979" s="11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26" t="n">
        <v>68.59999999999999</v>
      </c>
      <c r="W979" s="26" t="n">
        <v>62.83</v>
      </c>
      <c r="X979" s="26">
        <f>ROUND(('Methodology &amp; Assumptions'!$B$5*V979) + ('Methodology &amp; Assumptions'!$B$6*W979), 2)</f>
        <v/>
      </c>
      <c r="Y979" s="28" t="n">
        <v>10.9</v>
      </c>
      <c r="Z979" s="11" t="inlineStr">
        <is>
          <t>Priority Tier 2 (Balanced Opportunity)</t>
        </is>
      </c>
    </row>
    <row r="980">
      <c r="A980" s="23" t="n">
        <v>1</v>
      </c>
      <c r="B980" s="23" t="n">
        <v>976</v>
      </c>
      <c r="C980" s="23" t="n">
        <v>976</v>
      </c>
      <c r="D980" s="23" t="inlineStr">
        <is>
          <t>0203133007</t>
        </is>
      </c>
      <c r="E980" s="11" t="inlineStr">
        <is>
          <t>Region II (Cagayan Valley)</t>
        </is>
      </c>
      <c r="F980" s="11" t="inlineStr">
        <is>
          <t>Isabela</t>
        </is>
      </c>
      <c r="G980" s="11" t="inlineStr">
        <is>
          <t>San Pablo</t>
        </is>
      </c>
      <c r="H980" s="11" t="inlineStr">
        <is>
          <t>Caddangan/Limbauan</t>
        </is>
      </c>
      <c r="I980" s="24" t="n">
        <v>17.444517</v>
      </c>
      <c r="J980" s="24" t="n">
        <v>121.879031</v>
      </c>
      <c r="K980" s="23" t="inlineStr">
        <is>
          <t>R</t>
        </is>
      </c>
      <c r="L980" s="25" t="n">
        <v>1705</v>
      </c>
      <c r="M980" s="26" t="n">
        <v>3.8</v>
      </c>
      <c r="N980" s="25">
        <f>ROUND(L980/M980, 0)</f>
        <v/>
      </c>
      <c r="O980" s="25">
        <f>ROUND(N980*'Methodology &amp; Assumptions'!$B$7, 0)</f>
        <v/>
      </c>
      <c r="P980" s="23" t="inlineStr">
        <is>
          <t>Single Carrier (Band n50, 100MHz TDD)</t>
        </is>
      </c>
      <c r="Q980" s="27">
        <f>ROUNDUP(O980/'Methodology &amp; Assumptions'!$B$8, 0)</f>
        <v/>
      </c>
      <c r="R980" s="27" t="n">
        <v>1</v>
      </c>
      <c r="S980" s="26" t="n">
        <v>11.33</v>
      </c>
      <c r="T980" s="26" t="n">
        <v>8.59</v>
      </c>
      <c r="U980" s="11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26" t="n">
        <v>51.64</v>
      </c>
      <c r="W980" s="26" t="n">
        <v>79.79000000000001</v>
      </c>
      <c r="X980" s="26">
        <f>ROUND(('Methodology &amp; Assumptions'!$B$5*V980) + ('Methodology &amp; Assumptions'!$B$6*W980), 2)</f>
        <v/>
      </c>
      <c r="Y980" s="28" t="n">
        <v>8.300000000000001</v>
      </c>
      <c r="Z980" s="11" t="inlineStr">
        <is>
          <t>Priority Tier 2 (Balanced Opportunity)</t>
        </is>
      </c>
    </row>
    <row r="981">
      <c r="A981" s="23" t="n">
        <v>1</v>
      </c>
      <c r="B981" s="23" t="n">
        <v>977</v>
      </c>
      <c r="C981" s="23" t="n">
        <v>977</v>
      </c>
      <c r="D981" s="23" t="inlineStr">
        <is>
          <t>1403209014</t>
        </is>
      </c>
      <c r="E981" s="11" t="inlineStr">
        <is>
          <t>Cordillera Administrative Region (CAR)</t>
        </is>
      </c>
      <c r="F981" s="11" t="inlineStr">
        <is>
          <t>Kalinga</t>
        </is>
      </c>
      <c r="G981" s="11" t="inlineStr">
        <is>
          <t>Pinukpuk</t>
        </is>
      </c>
      <c r="H981" s="11" t="inlineStr">
        <is>
          <t>Limos</t>
        </is>
      </c>
      <c r="I981" s="24" t="n">
        <v>17.601663</v>
      </c>
      <c r="J981" s="24" t="n">
        <v>121.366304</v>
      </c>
      <c r="K981" s="23" t="inlineStr">
        <is>
          <t>R</t>
        </is>
      </c>
      <c r="L981" s="25" t="n">
        <v>936</v>
      </c>
      <c r="M981" s="26" t="n">
        <v>4.3</v>
      </c>
      <c r="N981" s="25">
        <f>ROUND(L981/M981, 0)</f>
        <v/>
      </c>
      <c r="O981" s="25">
        <f>ROUND(N981*'Methodology &amp; Assumptions'!$B$7, 0)</f>
        <v/>
      </c>
      <c r="P981" s="23" t="inlineStr">
        <is>
          <t>Single Carrier (Band n50, 100MHz TDD)</t>
        </is>
      </c>
      <c r="Q981" s="27">
        <f>ROUNDUP(O981/'Methodology &amp; Assumptions'!$B$8, 0)</f>
        <v/>
      </c>
      <c r="R981" s="27" t="n">
        <v>1</v>
      </c>
      <c r="S981" s="26" t="n">
        <v>5.32</v>
      </c>
      <c r="T981" s="26" t="n">
        <v>4.58</v>
      </c>
      <c r="U981" s="11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26" t="n">
        <v>49.5</v>
      </c>
      <c r="W981" s="26" t="n">
        <v>81.92</v>
      </c>
      <c r="X981" s="26">
        <f>ROUND(('Methodology &amp; Assumptions'!$B$5*V981) + ('Methodology &amp; Assumptions'!$B$6*W981), 2)</f>
        <v/>
      </c>
      <c r="Y981" s="28" t="n">
        <v>10.9</v>
      </c>
      <c r="Z981" s="11" t="inlineStr">
        <is>
          <t>Priority Tier 2 (Balanced Opportunity)</t>
        </is>
      </c>
    </row>
    <row r="982">
      <c r="A982" s="23" t="n">
        <v>1</v>
      </c>
      <c r="B982" s="23" t="n">
        <v>978</v>
      </c>
      <c r="C982" s="23" t="n">
        <v>978</v>
      </c>
      <c r="D982" s="23" t="inlineStr">
        <is>
          <t>1381100157</t>
        </is>
      </c>
      <c r="E982" s="11" t="inlineStr">
        <is>
          <t>National Capital Region (NCR)</t>
        </is>
      </c>
      <c r="F982" s="11" t="inlineStr">
        <is>
          <t>Fourth District (Not a Province)</t>
        </is>
      </c>
      <c r="G982" s="11" t="inlineStr">
        <is>
          <t>Pasay City</t>
        </is>
      </c>
      <c r="H982" s="11" t="inlineStr">
        <is>
          <t>Barangay 157</t>
        </is>
      </c>
      <c r="I982" s="24" t="n">
        <v>14.536352</v>
      </c>
      <c r="J982" s="24" t="n">
        <v>121.006842</v>
      </c>
      <c r="K982" s="23" t="inlineStr">
        <is>
          <t>U</t>
        </is>
      </c>
      <c r="L982" s="25" t="n">
        <v>2519</v>
      </c>
      <c r="M982" s="26" t="n">
        <v>3.63</v>
      </c>
      <c r="N982" s="25">
        <f>ROUND(L982/M982, 0)</f>
        <v/>
      </c>
      <c r="O982" s="25">
        <f>ROUND(N982*'Methodology &amp; Assumptions'!$B$7, 0)</f>
        <v/>
      </c>
      <c r="P982" s="23" t="inlineStr">
        <is>
          <t>Single Carrier (Band n50, 100MHz TDD)</t>
        </is>
      </c>
      <c r="Q982" s="27">
        <f>ROUNDUP(O982/'Methodology &amp; Assumptions'!$B$8, 0)</f>
        <v/>
      </c>
      <c r="R982" s="27" t="n">
        <v>1</v>
      </c>
      <c r="S982" s="26" t="n">
        <v>1.41</v>
      </c>
      <c r="T982" s="26" t="n">
        <v>0.4</v>
      </c>
      <c r="U982" s="11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26" t="n">
        <v>61.23</v>
      </c>
      <c r="W982" s="26" t="n">
        <v>70.16</v>
      </c>
      <c r="X982" s="26">
        <f>ROUND(('Methodology &amp; Assumptions'!$B$5*V982) + ('Methodology &amp; Assumptions'!$B$6*W982), 2)</f>
        <v/>
      </c>
      <c r="Y982" s="28" t="n">
        <v>10.9</v>
      </c>
      <c r="Z982" s="11" t="inlineStr">
        <is>
          <t>Priority Tier 2 (Balanced Opportunity)</t>
        </is>
      </c>
    </row>
    <row r="983">
      <c r="A983" s="23" t="n">
        <v>1</v>
      </c>
      <c r="B983" s="23" t="n">
        <v>979</v>
      </c>
      <c r="C983" s="23" t="n">
        <v>979</v>
      </c>
      <c r="D983" s="23" t="inlineStr">
        <is>
          <t>1380612034</t>
        </is>
      </c>
      <c r="E983" s="11" t="inlineStr">
        <is>
          <t>National Capital Region (NCR)</t>
        </is>
      </c>
      <c r="F983" s="11" t="inlineStr">
        <is>
          <t>First District (Not a Province)</t>
        </is>
      </c>
      <c r="G983" s="11" t="inlineStr">
        <is>
          <t>City of Manila</t>
        </is>
      </c>
      <c r="H983" s="11" t="inlineStr">
        <is>
          <t>Barangay 867</t>
        </is>
      </c>
      <c r="I983" s="24" t="n">
        <v>14.583847</v>
      </c>
      <c r="J983" s="24" t="n">
        <v>121.004579</v>
      </c>
      <c r="K983" s="23" t="inlineStr">
        <is>
          <t>U</t>
        </is>
      </c>
      <c r="L983" s="25" t="n">
        <v>2396</v>
      </c>
      <c r="M983" s="26" t="n">
        <v>4.45</v>
      </c>
      <c r="N983" s="25">
        <f>ROUND(L983/M983, 0)</f>
        <v/>
      </c>
      <c r="O983" s="25">
        <f>ROUND(N983*'Methodology &amp; Assumptions'!$B$7, 0)</f>
        <v/>
      </c>
      <c r="P983" s="23" t="inlineStr">
        <is>
          <t>Single Carrier (Band n50, 100MHz TDD)</t>
        </is>
      </c>
      <c r="Q983" s="27">
        <f>ROUNDUP(O983/'Methodology &amp; Assumptions'!$B$8, 0)</f>
        <v/>
      </c>
      <c r="R983" s="27" t="n">
        <v>1</v>
      </c>
      <c r="S983" s="26" t="n">
        <v>0.2</v>
      </c>
      <c r="T983" s="26" t="n">
        <v>0.26</v>
      </c>
      <c r="U983" s="11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26" t="n">
        <v>58.44</v>
      </c>
      <c r="W983" s="26" t="n">
        <v>72.95999999999999</v>
      </c>
      <c r="X983" s="26">
        <f>ROUND(('Methodology &amp; Assumptions'!$B$5*V983) + ('Methodology &amp; Assumptions'!$B$6*W983), 2)</f>
        <v/>
      </c>
      <c r="Y983" s="28" t="n">
        <v>10.9</v>
      </c>
      <c r="Z983" s="11" t="inlineStr">
        <is>
          <t>Priority Tier 2 (Balanced Opportunity)</t>
        </is>
      </c>
    </row>
    <row r="984">
      <c r="A984" s="23" t="n">
        <v>1</v>
      </c>
      <c r="B984" s="23" t="n">
        <v>980</v>
      </c>
      <c r="C984" s="23" t="n">
        <v>980</v>
      </c>
      <c r="D984" s="23" t="inlineStr">
        <is>
          <t>0803726005</t>
        </is>
      </c>
      <c r="E984" s="11" t="inlineStr">
        <is>
          <t>Region VIII (Eastern Visayas)</t>
        </is>
      </c>
      <c r="F984" s="11" t="inlineStr">
        <is>
          <t>Leyte</t>
        </is>
      </c>
      <c r="G984" s="11" t="inlineStr">
        <is>
          <t>Kananga</t>
        </is>
      </c>
      <c r="H984" s="11" t="inlineStr">
        <is>
          <t>Libertad</t>
        </is>
      </c>
      <c r="I984" s="24" t="n">
        <v>11.212293</v>
      </c>
      <c r="J984" s="24" t="n">
        <v>124.522701</v>
      </c>
      <c r="K984" s="23" t="inlineStr">
        <is>
          <t>R</t>
        </is>
      </c>
      <c r="L984" s="25" t="n">
        <v>2021</v>
      </c>
      <c r="M984" s="26" t="n">
        <v>3.8</v>
      </c>
      <c r="N984" s="25">
        <f>ROUND(L984/M984, 0)</f>
        <v/>
      </c>
      <c r="O984" s="25">
        <f>ROUND(N984*'Methodology &amp; Assumptions'!$B$7, 0)</f>
        <v/>
      </c>
      <c r="P984" s="23" t="inlineStr">
        <is>
          <t>Single Carrier (Band n50, 100MHz TDD)</t>
        </is>
      </c>
      <c r="Q984" s="27">
        <f>ROUNDUP(O984/'Methodology &amp; Assumptions'!$B$8, 0)</f>
        <v/>
      </c>
      <c r="R984" s="27" t="n">
        <v>1</v>
      </c>
      <c r="S984" s="26" t="n">
        <v>5.2</v>
      </c>
      <c r="T984" s="26" t="n">
        <v>4.84</v>
      </c>
      <c r="U984" s="11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26" t="n">
        <v>62.36</v>
      </c>
      <c r="W984" s="26" t="n">
        <v>69.02</v>
      </c>
      <c r="X984" s="26">
        <f>ROUND(('Methodology &amp; Assumptions'!$B$5*V984) + ('Methodology &amp; Assumptions'!$B$6*W984), 2)</f>
        <v/>
      </c>
      <c r="Y984" s="28" t="n">
        <v>23.7</v>
      </c>
      <c r="Z984" s="11" t="inlineStr">
        <is>
          <t>Priority Tier 2 (Balanced Opportunity)</t>
        </is>
      </c>
    </row>
    <row r="985">
      <c r="A985" s="23" t="n">
        <v>1</v>
      </c>
      <c r="B985" s="23" t="n">
        <v>981</v>
      </c>
      <c r="C985" s="23" t="n">
        <v>981</v>
      </c>
      <c r="D985" s="23" t="inlineStr">
        <is>
          <t>1404404007</t>
        </is>
      </c>
      <c r="E985" s="11" t="inlineStr">
        <is>
          <t>Cordillera Administrative Region (CAR)</t>
        </is>
      </c>
      <c r="F985" s="11" t="inlineStr">
        <is>
          <t>Mountain Province</t>
        </is>
      </c>
      <c r="G985" s="11" t="inlineStr">
        <is>
          <t>Bontoc</t>
        </is>
      </c>
      <c r="H985" s="11" t="inlineStr">
        <is>
          <t>Dalican</t>
        </is>
      </c>
      <c r="I985" s="24" t="n">
        <v>17.122183</v>
      </c>
      <c r="J985" s="24" t="n">
        <v>120.935082</v>
      </c>
      <c r="K985" s="23" t="inlineStr">
        <is>
          <t>R</t>
        </is>
      </c>
      <c r="L985" s="25" t="n">
        <v>898</v>
      </c>
      <c r="M985" s="26" t="n">
        <v>3.7</v>
      </c>
      <c r="N985" s="25">
        <f>ROUND(L985/M985, 0)</f>
        <v/>
      </c>
      <c r="O985" s="25">
        <f>ROUND(N985*'Methodology &amp; Assumptions'!$B$7, 0)</f>
        <v/>
      </c>
      <c r="P985" s="23" t="inlineStr">
        <is>
          <t>Single Carrier (Band n50, 100MHz TDD)</t>
        </is>
      </c>
      <c r="Q985" s="27">
        <f>ROUNDUP(O985/'Methodology &amp; Assumptions'!$B$8, 0)</f>
        <v/>
      </c>
      <c r="R985" s="27" t="n">
        <v>1</v>
      </c>
      <c r="S985" s="26" t="n">
        <v>5.56</v>
      </c>
      <c r="T985" s="26" t="n">
        <v>3.95</v>
      </c>
      <c r="U985" s="11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26" t="n">
        <v>49.98</v>
      </c>
      <c r="W985" s="26" t="n">
        <v>81.41</v>
      </c>
      <c r="X985" s="26">
        <f>ROUND(('Methodology &amp; Assumptions'!$B$5*V985) + ('Methodology &amp; Assumptions'!$B$6*W985), 2)</f>
        <v/>
      </c>
      <c r="Y985" s="28" t="n">
        <v>10.9</v>
      </c>
      <c r="Z985" s="11" t="inlineStr">
        <is>
          <t>Priority Tier 2 (Balanced Opportunity)</t>
        </is>
      </c>
    </row>
    <row r="986">
      <c r="A986" s="23" t="n">
        <v>1</v>
      </c>
      <c r="B986" s="23" t="n">
        <v>982</v>
      </c>
      <c r="C986" s="23" t="n">
        <v>982</v>
      </c>
      <c r="D986" s="23" t="inlineStr">
        <is>
          <t>1102506013</t>
        </is>
      </c>
      <c r="E986" s="11" t="inlineStr">
        <is>
          <t>Region XI (Davao Region)</t>
        </is>
      </c>
      <c r="F986" s="11" t="inlineStr">
        <is>
          <t>Davao Oriental</t>
        </is>
      </c>
      <c r="G986" s="11" t="inlineStr">
        <is>
          <t>Governor Generoso</t>
        </is>
      </c>
      <c r="H986" s="11" t="inlineStr">
        <is>
          <t>Surop</t>
        </is>
      </c>
      <c r="I986" s="24" t="n">
        <v>6.413498</v>
      </c>
      <c r="J986" s="24" t="n">
        <v>126.165402</v>
      </c>
      <c r="K986" s="23" t="inlineStr">
        <is>
          <t>R</t>
        </is>
      </c>
      <c r="L986" s="25" t="n">
        <v>2719</v>
      </c>
      <c r="M986" s="26" t="n">
        <v>3.6</v>
      </c>
      <c r="N986" s="25">
        <f>ROUND(L986/M986, 0)</f>
        <v/>
      </c>
      <c r="O986" s="25">
        <f>ROUND(N986*'Methodology &amp; Assumptions'!$B$7, 0)</f>
        <v/>
      </c>
      <c r="P986" s="23" t="inlineStr">
        <is>
          <t>Single Carrier (Band n50, 100MHz TDD)</t>
        </is>
      </c>
      <c r="Q986" s="27">
        <f>ROUNDUP(O986/'Methodology &amp; Assumptions'!$B$8, 0)</f>
        <v/>
      </c>
      <c r="R986" s="27" t="n">
        <v>1</v>
      </c>
      <c r="S986" s="26" t="n">
        <v>56.28</v>
      </c>
      <c r="T986" s="26" t="n">
        <v>52.05</v>
      </c>
      <c r="U986" s="11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26" t="n">
        <v>58.77</v>
      </c>
      <c r="W986" s="26" t="n">
        <v>72.59</v>
      </c>
      <c r="X986" s="26">
        <f>ROUND(('Methodology &amp; Assumptions'!$B$5*V986) + ('Methodology &amp; Assumptions'!$B$6*W986), 2)</f>
        <v/>
      </c>
      <c r="Y986" s="28" t="n">
        <v>17.4</v>
      </c>
      <c r="Z986" s="11" t="inlineStr">
        <is>
          <t>Priority Tier 2 (Balanced Opportunity)</t>
        </is>
      </c>
    </row>
    <row r="987">
      <c r="A987" s="23" t="n">
        <v>1</v>
      </c>
      <c r="B987" s="23" t="n">
        <v>983</v>
      </c>
      <c r="C987" s="23" t="n">
        <v>983</v>
      </c>
      <c r="D987" s="23" t="inlineStr">
        <is>
          <t>1381300035</t>
        </is>
      </c>
      <c r="E987" s="11" t="inlineStr">
        <is>
          <t>National Capital Region (NCR)</t>
        </is>
      </c>
      <c r="F987" s="11" t="inlineStr">
        <is>
          <t>Second District (Not a Province)</t>
        </is>
      </c>
      <c r="G987" s="11" t="inlineStr">
        <is>
          <t>Quezon City</t>
        </is>
      </c>
      <c r="H987" s="11" t="inlineStr">
        <is>
          <t>E. Rodriguez</t>
        </is>
      </c>
      <c r="I987" s="24" t="n">
        <v>14.628281</v>
      </c>
      <c r="J987" s="24" t="n">
        <v>121.055206</v>
      </c>
      <c r="K987" s="23" t="inlineStr">
        <is>
          <t>U</t>
        </is>
      </c>
      <c r="L987" s="25" t="n">
        <v>19291</v>
      </c>
      <c r="M987" s="26" t="n">
        <v>3.34</v>
      </c>
      <c r="N987" s="25">
        <f>ROUND(L987/M987, 0)</f>
        <v/>
      </c>
      <c r="O987" s="25">
        <f>ROUND(N987*'Methodology &amp; Assumptions'!$B$7, 0)</f>
        <v/>
      </c>
      <c r="P987" s="23" t="inlineStr">
        <is>
          <t>Single Carrier (Band n50, 100MHz TDD)</t>
        </is>
      </c>
      <c r="Q987" s="27">
        <f>ROUNDUP(O987/'Methodology &amp; Assumptions'!$B$8, 0)</f>
        <v/>
      </c>
      <c r="R987" s="27" t="n">
        <v>1</v>
      </c>
      <c r="S987" s="26" t="n">
        <v>0.96</v>
      </c>
      <c r="T987" s="26" t="n">
        <v>0.36</v>
      </c>
      <c r="U987" s="11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26" t="n">
        <v>67.83</v>
      </c>
      <c r="W987" s="26" t="n">
        <v>63.51</v>
      </c>
      <c r="X987" s="26">
        <f>ROUND(('Methodology &amp; Assumptions'!$B$5*V987) + ('Methodology &amp; Assumptions'!$B$6*W987), 2)</f>
        <v/>
      </c>
      <c r="Y987" s="28" t="n">
        <v>10.9</v>
      </c>
      <c r="Z987" s="11" t="inlineStr">
        <is>
          <t>Priority Tier 2 (Balanced Opportunity)</t>
        </is>
      </c>
    </row>
    <row r="988">
      <c r="A988" s="23" t="n">
        <v>1</v>
      </c>
      <c r="B988" s="23" t="n">
        <v>984</v>
      </c>
      <c r="C988" s="23" t="n">
        <v>984</v>
      </c>
      <c r="D988" s="23" t="inlineStr">
        <is>
          <t>1381300057</t>
        </is>
      </c>
      <c r="E988" s="11" t="inlineStr">
        <is>
          <t>National Capital Region (NCR)</t>
        </is>
      </c>
      <c r="F988" s="11" t="inlineStr">
        <is>
          <t>Second District (Not a Province)</t>
        </is>
      </c>
      <c r="G988" s="11" t="inlineStr">
        <is>
          <t>Quezon City</t>
        </is>
      </c>
      <c r="H988" s="11" t="inlineStr">
        <is>
          <t>Malaya</t>
        </is>
      </c>
      <c r="I988" s="24" t="n">
        <v>14.63441</v>
      </c>
      <c r="J988" s="24" t="n">
        <v>121.0551</v>
      </c>
      <c r="K988" s="23" t="inlineStr">
        <is>
          <t>U</t>
        </is>
      </c>
      <c r="L988" s="25" t="n">
        <v>3067</v>
      </c>
      <c r="M988" s="26" t="n">
        <v>3.43</v>
      </c>
      <c r="N988" s="25">
        <f>ROUND(L988/M988, 0)</f>
        <v/>
      </c>
      <c r="O988" s="25">
        <f>ROUND(N988*'Methodology &amp; Assumptions'!$B$7, 0)</f>
        <v/>
      </c>
      <c r="P988" s="23" t="inlineStr">
        <is>
          <t>Single Carrier (Band n50, 100MHz TDD)</t>
        </is>
      </c>
      <c r="Q988" s="27">
        <f>ROUNDUP(O988/'Methodology &amp; Assumptions'!$B$8, 0)</f>
        <v/>
      </c>
      <c r="R988" s="27" t="n">
        <v>1</v>
      </c>
      <c r="S988" s="26" t="n">
        <v>1.18</v>
      </c>
      <c r="T988" s="26" t="n">
        <v>0.12</v>
      </c>
      <c r="U988" s="11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26" t="n">
        <v>67.79000000000001</v>
      </c>
      <c r="W988" s="26" t="n">
        <v>63.56</v>
      </c>
      <c r="X988" s="26">
        <f>ROUND(('Methodology &amp; Assumptions'!$B$5*V988) + ('Methodology &amp; Assumptions'!$B$6*W988), 2)</f>
        <v/>
      </c>
      <c r="Y988" s="28" t="n">
        <v>10.9</v>
      </c>
      <c r="Z988" s="11" t="inlineStr">
        <is>
          <t>Priority Tier 2 (Balanced Opportunity)</t>
        </is>
      </c>
    </row>
    <row r="989">
      <c r="A989" s="23" t="n">
        <v>1</v>
      </c>
      <c r="B989" s="23" t="n">
        <v>985</v>
      </c>
      <c r="C989" s="23" t="n">
        <v>985</v>
      </c>
      <c r="D989" s="23" t="inlineStr">
        <is>
          <t>1380900009</t>
        </is>
      </c>
      <c r="E989" s="11" t="inlineStr">
        <is>
          <t>National Capital Region (NCR)</t>
        </is>
      </c>
      <c r="F989" s="11" t="inlineStr">
        <is>
          <t>Third District (Not a Province)</t>
        </is>
      </c>
      <c r="G989" s="11" t="inlineStr">
        <is>
          <t>City of Navotas</t>
        </is>
      </c>
      <c r="H989" s="11" t="inlineStr">
        <is>
          <t>NBBS Kaunlaran</t>
        </is>
      </c>
      <c r="I989" s="24" t="n">
        <v>14.646866</v>
      </c>
      <c r="J989" s="24" t="n">
        <v>120.954876</v>
      </c>
      <c r="K989" s="23" t="inlineStr">
        <is>
          <t>U</t>
        </is>
      </c>
      <c r="L989" s="25" t="n">
        <v>22647</v>
      </c>
      <c r="M989" s="26" t="n">
        <v>3.37</v>
      </c>
      <c r="N989" s="25">
        <f>ROUND(L989/M989, 0)</f>
        <v/>
      </c>
      <c r="O989" s="25">
        <f>ROUND(N989*'Methodology &amp; Assumptions'!$B$7, 0)</f>
        <v/>
      </c>
      <c r="P989" s="23" t="inlineStr">
        <is>
          <t>Single Carrier (Band n50, 100MHz TDD)</t>
        </is>
      </c>
      <c r="Q989" s="27">
        <f>ROUNDUP(O989/'Methodology &amp; Assumptions'!$B$8, 0)</f>
        <v/>
      </c>
      <c r="R989" s="27" t="n">
        <v>1</v>
      </c>
      <c r="S989" s="26" t="n">
        <v>1.36</v>
      </c>
      <c r="T989" s="26" t="n">
        <v>0.8</v>
      </c>
      <c r="U989" s="11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26" t="n">
        <v>65.98</v>
      </c>
      <c r="W989" s="26" t="n">
        <v>65.34999999999999</v>
      </c>
      <c r="X989" s="26">
        <f>ROUND(('Methodology &amp; Assumptions'!$B$5*V989) + ('Methodology &amp; Assumptions'!$B$6*W989), 2)</f>
        <v/>
      </c>
      <c r="Y989" s="28" t="n">
        <v>10.9</v>
      </c>
      <c r="Z989" s="11" t="inlineStr">
        <is>
          <t>Priority Tier 2 (Balanced Opportunity)</t>
        </is>
      </c>
    </row>
    <row r="990">
      <c r="A990" s="23" t="n">
        <v>1</v>
      </c>
      <c r="B990" s="23" t="n">
        <v>986</v>
      </c>
      <c r="C990" s="23" t="n">
        <v>986</v>
      </c>
      <c r="D990" s="23" t="inlineStr">
        <is>
          <t>1380610020</t>
        </is>
      </c>
      <c r="E990" s="11" t="inlineStr">
        <is>
          <t>National Capital Region (NCR)</t>
        </is>
      </c>
      <c r="F990" s="11" t="inlineStr">
        <is>
          <t>First District (Not a Province)</t>
        </is>
      </c>
      <c r="G990" s="11" t="inlineStr">
        <is>
          <t>City of Manila</t>
        </is>
      </c>
      <c r="H990" s="11" t="inlineStr">
        <is>
          <t>Barangay 705</t>
        </is>
      </c>
      <c r="I990" s="24" t="n">
        <v>14.56825</v>
      </c>
      <c r="J990" s="24" t="n">
        <v>120.9892</v>
      </c>
      <c r="K990" s="23" t="inlineStr">
        <is>
          <t>U</t>
        </is>
      </c>
      <c r="L990" s="25" t="n">
        <v>2696</v>
      </c>
      <c r="M990" s="26" t="n">
        <v>4.51</v>
      </c>
      <c r="N990" s="25">
        <f>ROUND(L990/M990, 0)</f>
        <v/>
      </c>
      <c r="O990" s="25">
        <f>ROUND(N990*'Methodology &amp; Assumptions'!$B$7, 0)</f>
        <v/>
      </c>
      <c r="P990" s="23" t="inlineStr">
        <is>
          <t>Single Carrier (Band n50, 100MHz TDD)</t>
        </is>
      </c>
      <c r="Q990" s="27">
        <f>ROUNDUP(O990/'Methodology &amp; Assumptions'!$B$8, 0)</f>
        <v/>
      </c>
      <c r="R990" s="27" t="n">
        <v>1</v>
      </c>
      <c r="S990" s="26" t="n">
        <v>0.6899999999999999</v>
      </c>
      <c r="T990" s="26" t="n">
        <v>0.37</v>
      </c>
      <c r="U990" s="11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26" t="n">
        <v>60.27</v>
      </c>
      <c r="W990" s="26" t="n">
        <v>71.04000000000001</v>
      </c>
      <c r="X990" s="26">
        <f>ROUND(('Methodology &amp; Assumptions'!$B$5*V990) + ('Methodology &amp; Assumptions'!$B$6*W990), 2)</f>
        <v/>
      </c>
      <c r="Y990" s="28" t="n">
        <v>10.9</v>
      </c>
      <c r="Z990" s="11" t="inlineStr">
        <is>
          <t>Priority Tier 2 (Balanced Opportunity)</t>
        </is>
      </c>
    </row>
    <row r="991">
      <c r="A991" s="23" t="n">
        <v>1</v>
      </c>
      <c r="B991" s="23" t="n">
        <v>987</v>
      </c>
      <c r="C991" s="23" t="n">
        <v>987</v>
      </c>
      <c r="D991" s="23" t="inlineStr">
        <is>
          <t>1380601184</t>
        </is>
      </c>
      <c r="E991" s="11" t="inlineStr">
        <is>
          <t>National Capital Region (NCR)</t>
        </is>
      </c>
      <c r="F991" s="11" t="inlineStr">
        <is>
          <t>First District (Not a Province)</t>
        </is>
      </c>
      <c r="G991" s="11" t="inlineStr">
        <is>
          <t>City of Manila</t>
        </is>
      </c>
      <c r="H991" s="11" t="inlineStr">
        <is>
          <t>Barangay 184</t>
        </is>
      </c>
      <c r="I991" s="24" t="n">
        <v>14.634064</v>
      </c>
      <c r="J991" s="24" t="n">
        <v>120.977056</v>
      </c>
      <c r="K991" s="23" t="inlineStr">
        <is>
          <t>U</t>
        </is>
      </c>
      <c r="L991" s="25" t="n">
        <v>2126</v>
      </c>
      <c r="M991" s="26" t="n">
        <v>3.64</v>
      </c>
      <c r="N991" s="25">
        <f>ROUND(L991/M991, 0)</f>
        <v/>
      </c>
      <c r="O991" s="25">
        <f>ROUND(N991*'Methodology &amp; Assumptions'!$B$7, 0)</f>
        <v/>
      </c>
      <c r="P991" s="23" t="inlineStr">
        <is>
          <t>Single Carrier (Band n50, 100MHz TDD)</t>
        </is>
      </c>
      <c r="Q991" s="27">
        <f>ROUNDUP(O991/'Methodology &amp; Assumptions'!$B$8, 0)</f>
        <v/>
      </c>
      <c r="R991" s="27" t="n">
        <v>1</v>
      </c>
      <c r="S991" s="26" t="n">
        <v>0.9</v>
      </c>
      <c r="T991" s="26" t="n">
        <v>0.47</v>
      </c>
      <c r="U991" s="11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26" t="n">
        <v>59.63</v>
      </c>
      <c r="W991" s="26" t="n">
        <v>71.67</v>
      </c>
      <c r="X991" s="26">
        <f>ROUND(('Methodology &amp; Assumptions'!$B$5*V991) + ('Methodology &amp; Assumptions'!$B$6*W991), 2)</f>
        <v/>
      </c>
      <c r="Y991" s="28" t="n">
        <v>10.9</v>
      </c>
      <c r="Z991" s="11" t="inlineStr">
        <is>
          <t>Priority Tier 2 (Balanced Opportunity)</t>
        </is>
      </c>
    </row>
    <row r="992">
      <c r="A992" s="23" t="n">
        <v>1</v>
      </c>
      <c r="B992" s="23" t="n">
        <v>988</v>
      </c>
      <c r="C992" s="23" t="n">
        <v>988</v>
      </c>
      <c r="D992" s="23" t="inlineStr">
        <is>
          <t>1908816007</t>
        </is>
      </c>
      <c r="E992" s="11" t="inlineStr">
        <is>
          <t>Bangsamoro Autonomous Region In Muslim Mindanao (BARMM)</t>
        </is>
      </c>
      <c r="F992" s="11" t="inlineStr">
        <is>
          <t>Maguindanao del Sur</t>
        </is>
      </c>
      <c r="G992" s="11" t="inlineStr">
        <is>
          <t>Pagalungan</t>
        </is>
      </c>
      <c r="H992" s="11" t="inlineStr">
        <is>
          <t>Kalbugan</t>
        </is>
      </c>
      <c r="I992" s="24" t="n">
        <v>6.932976</v>
      </c>
      <c r="J992" s="24" t="n">
        <v>124.751981</v>
      </c>
      <c r="K992" s="23" t="inlineStr">
        <is>
          <t>R</t>
        </is>
      </c>
      <c r="L992" s="25" t="n">
        <v>4943</v>
      </c>
      <c r="M992" s="26" t="n">
        <v>4.7</v>
      </c>
      <c r="N992" s="25">
        <f>ROUND(L992/M992, 0)</f>
        <v/>
      </c>
      <c r="O992" s="25">
        <f>ROUND(N992*'Methodology &amp; Assumptions'!$B$7, 0)</f>
        <v/>
      </c>
      <c r="P992" s="23" t="inlineStr">
        <is>
          <t>Single Carrier (Band n50, 100MHz TDD)</t>
        </is>
      </c>
      <c r="Q992" s="27">
        <f>ROUNDUP(O992/'Methodology &amp; Assumptions'!$B$8, 0)</f>
        <v/>
      </c>
      <c r="R992" s="27" t="n">
        <v>1</v>
      </c>
      <c r="S992" s="26" t="n">
        <v>28.41</v>
      </c>
      <c r="T992" s="26" t="n">
        <v>17.13</v>
      </c>
      <c r="U992" s="11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26" t="n">
        <v>59.06</v>
      </c>
      <c r="W992" s="26" t="n">
        <v>72.25</v>
      </c>
      <c r="X992" s="26">
        <f>ROUND(('Methodology &amp; Assumptions'!$B$5*V992) + ('Methodology &amp; Assumptions'!$B$6*W992), 2)</f>
        <v/>
      </c>
      <c r="Y992" s="28" t="n">
        <v>11</v>
      </c>
      <c r="Z992" s="11" t="inlineStr">
        <is>
          <t>Priority Tier 2 (Balanced Opportunity)</t>
        </is>
      </c>
    </row>
    <row r="993">
      <c r="A993" s="23" t="n">
        <v>1</v>
      </c>
      <c r="B993" s="23" t="n">
        <v>989</v>
      </c>
      <c r="C993" s="23" t="n">
        <v>989</v>
      </c>
      <c r="D993" s="23" t="inlineStr">
        <is>
          <t>0203131012</t>
        </is>
      </c>
      <c r="E993" s="11" t="inlineStr">
        <is>
          <t>Region II (Cagayan Valley)</t>
        </is>
      </c>
      <c r="F993" s="11" t="inlineStr">
        <is>
          <t>Isabela</t>
        </is>
      </c>
      <c r="G993" s="11" t="inlineStr">
        <is>
          <t>San Mariano</t>
        </is>
      </c>
      <c r="H993" s="11" t="inlineStr">
        <is>
          <t>Dibuluan</t>
        </is>
      </c>
      <c r="I993" s="24" t="n">
        <v>17.01796</v>
      </c>
      <c r="J993" s="24" t="n">
        <v>122.134863</v>
      </c>
      <c r="K993" s="23" t="inlineStr">
        <is>
          <t>R</t>
        </is>
      </c>
      <c r="L993" s="25" t="n">
        <v>1951</v>
      </c>
      <c r="M993" s="26" t="n">
        <v>3.8</v>
      </c>
      <c r="N993" s="25">
        <f>ROUND(L993/M993, 0)</f>
        <v/>
      </c>
      <c r="O993" s="25">
        <f>ROUND(N993*'Methodology &amp; Assumptions'!$B$7, 0)</f>
        <v/>
      </c>
      <c r="P993" s="23" t="inlineStr">
        <is>
          <t>Single Carrier (Band n50, 100MHz TDD)</t>
        </is>
      </c>
      <c r="Q993" s="27">
        <f>ROUNDUP(O993/'Methodology &amp; Assumptions'!$B$8, 0)</f>
        <v/>
      </c>
      <c r="R993" s="27" t="n">
        <v>1</v>
      </c>
      <c r="S993" s="26" t="n">
        <v>13.45</v>
      </c>
      <c r="T993" s="26" t="n">
        <v>26.56</v>
      </c>
      <c r="U993" s="11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26" t="n">
        <v>51.72</v>
      </c>
      <c r="W993" s="26" t="n">
        <v>79.58</v>
      </c>
      <c r="X993" s="26">
        <f>ROUND(('Methodology &amp; Assumptions'!$B$5*V993) + ('Methodology &amp; Assumptions'!$B$6*W993), 2)</f>
        <v/>
      </c>
      <c r="Y993" s="28" t="n">
        <v>8.300000000000001</v>
      </c>
      <c r="Z993" s="11" t="inlineStr">
        <is>
          <t>Priority Tier 2 (Balanced Opportunity)</t>
        </is>
      </c>
    </row>
    <row r="994">
      <c r="A994" s="23" t="n">
        <v>1</v>
      </c>
      <c r="B994" s="23" t="n">
        <v>990</v>
      </c>
      <c r="C994" s="23" t="n">
        <v>990</v>
      </c>
      <c r="D994" s="23" t="inlineStr">
        <is>
          <t>0102916014</t>
        </is>
      </c>
      <c r="E994" s="11" t="inlineStr">
        <is>
          <t>Region I (Ilocos Region)</t>
        </is>
      </c>
      <c r="F994" s="11" t="inlineStr">
        <is>
          <t>Ilocos Sur</t>
        </is>
      </c>
      <c r="G994" s="11" t="inlineStr">
        <is>
          <t>Salcedo</t>
        </is>
      </c>
      <c r="H994" s="11" t="inlineStr">
        <is>
          <t>Madarang</t>
        </is>
      </c>
      <c r="I994" s="24" t="n">
        <v>17.161192</v>
      </c>
      <c r="J994" s="24" t="n">
        <v>120.570293</v>
      </c>
      <c r="K994" s="23" t="inlineStr">
        <is>
          <t>R</t>
        </is>
      </c>
      <c r="L994" s="25" t="n">
        <v>259</v>
      </c>
      <c r="M994" s="26" t="n">
        <v>3.8</v>
      </c>
      <c r="N994" s="25">
        <f>ROUND(L994/M994, 0)</f>
        <v/>
      </c>
      <c r="O994" s="25">
        <f>ROUND(N994*'Methodology &amp; Assumptions'!$B$7, 0)</f>
        <v/>
      </c>
      <c r="P994" s="23" t="inlineStr">
        <is>
          <t>Single Carrier (Band n50, 100MHz TDD)</t>
        </is>
      </c>
      <c r="Q994" s="27">
        <f>ROUNDUP(O994/'Methodology &amp; Assumptions'!$B$8, 0)</f>
        <v/>
      </c>
      <c r="R994" s="27" t="n">
        <v>1</v>
      </c>
      <c r="S994" s="26" t="n">
        <v>3.68</v>
      </c>
      <c r="T994" s="26" t="n">
        <v>8.18</v>
      </c>
      <c r="U994" s="11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26" t="n">
        <v>48.72</v>
      </c>
      <c r="W994" s="26" t="n">
        <v>82.58</v>
      </c>
      <c r="X994" s="26">
        <f>ROUND(('Methodology &amp; Assumptions'!$B$5*V994) + ('Methodology &amp; Assumptions'!$B$6*W994), 2)</f>
        <v/>
      </c>
      <c r="Y994" s="28" t="n">
        <v>8.300000000000001</v>
      </c>
      <c r="Z994" s="11" t="inlineStr">
        <is>
          <t>Priority Tier 2 (Balanced Opportunity)</t>
        </is>
      </c>
    </row>
    <row r="995">
      <c r="A995" s="23" t="n">
        <v>1</v>
      </c>
      <c r="B995" s="23" t="n">
        <v>991</v>
      </c>
      <c r="C995" s="23" t="n">
        <v>991</v>
      </c>
      <c r="D995" s="23" t="inlineStr">
        <is>
          <t>1908704006</t>
        </is>
      </c>
      <c r="E995" s="11" t="inlineStr">
        <is>
          <t>Bangsamoro Autonomous Region In Muslim Mindanao (BARMM)</t>
        </is>
      </c>
      <c r="F995" s="11" t="inlineStr">
        <is>
          <t>Maguindanao del Norte</t>
        </is>
      </c>
      <c r="G995" s="11" t="inlineStr">
        <is>
          <t>Datu Blah T. Sinsuat</t>
        </is>
      </c>
      <c r="H995" s="11" t="inlineStr">
        <is>
          <t>Nalkan</t>
        </is>
      </c>
      <c r="I995" s="24" t="n">
        <v>6.981418</v>
      </c>
      <c r="J995" s="24" t="n">
        <v>124.053004</v>
      </c>
      <c r="K995" s="23" t="inlineStr">
        <is>
          <t>R</t>
        </is>
      </c>
      <c r="L995" s="25" t="n">
        <v>5106</v>
      </c>
      <c r="M995" s="26" t="n">
        <v>4.3</v>
      </c>
      <c r="N995" s="25">
        <f>ROUND(L995/M995, 0)</f>
        <v/>
      </c>
      <c r="O995" s="25">
        <f>ROUND(N995*'Methodology &amp; Assumptions'!$B$7, 0)</f>
        <v/>
      </c>
      <c r="P995" s="23" t="inlineStr">
        <is>
          <t>Single Carrier (Band n50, 100MHz TDD)</t>
        </is>
      </c>
      <c r="Q995" s="27">
        <f>ROUNDUP(O995/'Methodology &amp; Assumptions'!$B$8, 0)</f>
        <v/>
      </c>
      <c r="R995" s="27" t="n">
        <v>1</v>
      </c>
      <c r="S995" s="26" t="n">
        <v>75.8</v>
      </c>
      <c r="T995" s="26" t="n">
        <v>75.73999999999999</v>
      </c>
      <c r="U995" s="11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26" t="n">
        <v>59.06</v>
      </c>
      <c r="W995" s="26" t="n">
        <v>72.2</v>
      </c>
      <c r="X995" s="26">
        <f>ROUND(('Methodology &amp; Assumptions'!$B$5*V995) + ('Methodology &amp; Assumptions'!$B$6*W995), 2)</f>
        <v/>
      </c>
      <c r="Y995" s="28" t="n">
        <v>11</v>
      </c>
      <c r="Z995" s="11" t="inlineStr">
        <is>
          <t>Priority Tier 2 (Balanced Opportunity)</t>
        </is>
      </c>
    </row>
    <row r="996">
      <c r="A996" s="23" t="n">
        <v>1</v>
      </c>
      <c r="B996" s="23" t="n">
        <v>992</v>
      </c>
      <c r="C996" s="23" t="n">
        <v>992</v>
      </c>
      <c r="D996" s="23" t="inlineStr">
        <is>
          <t>1380601229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228</t>
        </is>
      </c>
      <c r="I996" s="24" t="n">
        <v>14.6219</v>
      </c>
      <c r="J996" s="24" t="n">
        <v>120.9753</v>
      </c>
      <c r="K996" s="23" t="inlineStr">
        <is>
          <t>U</t>
        </is>
      </c>
      <c r="L996" s="25" t="n">
        <v>2697</v>
      </c>
      <c r="M996" s="26" t="n">
        <v>4.21</v>
      </c>
      <c r="N996" s="25">
        <f>ROUND(L996/M996, 0)</f>
        <v/>
      </c>
      <c r="O996" s="25">
        <f>ROUND(N996*'Methodology &amp; Assumptions'!$B$7, 0)</f>
        <v/>
      </c>
      <c r="P996" s="23" t="inlineStr">
        <is>
          <t>Single Carrier (Band n50, 100MHz TDD)</t>
        </is>
      </c>
      <c r="Q996" s="27">
        <f>ROUNDUP(O996/'Methodology &amp; Assumptions'!$B$8, 0)</f>
        <v/>
      </c>
      <c r="R996" s="27" t="n">
        <v>1</v>
      </c>
      <c r="S996" s="26" t="n">
        <v>0.59</v>
      </c>
      <c r="T996" s="26" t="n">
        <v>0.32</v>
      </c>
      <c r="U996" s="11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26" t="n">
        <v>61.66</v>
      </c>
      <c r="W996" s="26" t="n">
        <v>69.58</v>
      </c>
      <c r="X996" s="26">
        <f>ROUND(('Methodology &amp; Assumptions'!$B$5*V996) + ('Methodology &amp; Assumptions'!$B$6*W996), 2)</f>
        <v/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1</v>
      </c>
      <c r="B997" s="23" t="n">
        <v>993</v>
      </c>
      <c r="C997" s="23" t="n">
        <v>993</v>
      </c>
      <c r="D997" s="23" t="inlineStr">
        <is>
          <t>0401006031</t>
        </is>
      </c>
      <c r="E997" s="11" t="inlineStr">
        <is>
          <t>Region IV-A (CALABARZON)</t>
        </is>
      </c>
      <c r="F997" s="11" t="inlineStr">
        <is>
          <t>Batangas</t>
        </is>
      </c>
      <c r="G997" s="11" t="inlineStr">
        <is>
          <t>Bauan</t>
        </is>
      </c>
      <c r="H997" s="11" t="inlineStr">
        <is>
          <t>San Andres Proper</t>
        </is>
      </c>
      <c r="I997" s="24" t="n">
        <v>13.7826</v>
      </c>
      <c r="J997" s="24" t="n">
        <v>120.9977</v>
      </c>
      <c r="K997" s="23" t="inlineStr">
        <is>
          <t>R</t>
        </is>
      </c>
      <c r="L997" s="25" t="n">
        <v>2576</v>
      </c>
      <c r="M997" s="26" t="n">
        <v>3.6</v>
      </c>
      <c r="N997" s="25">
        <f>ROUND(L997/M997, 0)</f>
        <v/>
      </c>
      <c r="O997" s="25">
        <f>ROUND(N997*'Methodology &amp; Assumptions'!$B$7, 0)</f>
        <v/>
      </c>
      <c r="P997" s="23" t="inlineStr">
        <is>
          <t>Single Carrier (Band n50, 100MHz TDD)</t>
        </is>
      </c>
      <c r="Q997" s="27">
        <f>ROUNDUP(O997/'Methodology &amp; Assumptions'!$B$8, 0)</f>
        <v/>
      </c>
      <c r="R997" s="27" t="n">
        <v>1</v>
      </c>
      <c r="S997" s="26" t="n">
        <v>1.45</v>
      </c>
      <c r="T997" s="26" t="n">
        <v>1.44</v>
      </c>
      <c r="U997" s="11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26" t="n">
        <v>79.94</v>
      </c>
      <c r="W997" s="26" t="n">
        <v>51.28</v>
      </c>
      <c r="X997" s="26">
        <f>ROUND(('Methodology &amp; Assumptions'!$B$5*V997) + ('Methodology &amp; Assumptions'!$B$6*W997), 2)</f>
        <v/>
      </c>
      <c r="Y997" s="28" t="n">
        <v>7.2</v>
      </c>
      <c r="Z997" s="11" t="inlineStr">
        <is>
          <t>Priority Tier 2 (Balanced Opportunity)</t>
        </is>
      </c>
    </row>
    <row r="998">
      <c r="A998" s="23" t="n">
        <v>1</v>
      </c>
      <c r="B998" s="23" t="n">
        <v>994</v>
      </c>
      <c r="C998" s="23" t="n">
        <v>994</v>
      </c>
      <c r="D998" s="23" t="inlineStr">
        <is>
          <t>0401003005</t>
        </is>
      </c>
      <c r="E998" s="11" t="inlineStr">
        <is>
          <t>Region IV-A (CALABARZON)</t>
        </is>
      </c>
      <c r="F998" s="11" t="inlineStr">
        <is>
          <t>Batangas</t>
        </is>
      </c>
      <c r="G998" s="11" t="inlineStr">
        <is>
          <t>Balayan</t>
        </is>
      </c>
      <c r="H998" s="11" t="inlineStr">
        <is>
          <t>Barangay 11</t>
        </is>
      </c>
      <c r="I998" s="24" t="n">
        <v>13.937064</v>
      </c>
      <c r="J998" s="24" t="n">
        <v>120.729607</v>
      </c>
      <c r="K998" s="23" t="inlineStr">
        <is>
          <t>R</t>
        </is>
      </c>
      <c r="L998" s="25" t="n">
        <v>1479</v>
      </c>
      <c r="M998" s="26" t="n">
        <v>3.6</v>
      </c>
      <c r="N998" s="25">
        <f>ROUND(L998/M998, 0)</f>
        <v/>
      </c>
      <c r="O998" s="25">
        <f>ROUND(N998*'Methodology &amp; Assumptions'!$B$7, 0)</f>
        <v/>
      </c>
      <c r="P998" s="23" t="inlineStr">
        <is>
          <t>Single Carrier (Band n50, 100MHz TDD)</t>
        </is>
      </c>
      <c r="Q998" s="27">
        <f>ROUNDUP(O998/'Methodology &amp; Assumptions'!$B$8, 0)</f>
        <v/>
      </c>
      <c r="R998" s="27" t="n">
        <v>1</v>
      </c>
      <c r="S998" s="26" t="n">
        <v>0.73</v>
      </c>
      <c r="T998" s="26" t="n">
        <v>0.12</v>
      </c>
      <c r="U998" s="11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26" t="n">
        <v>72.23999999999999</v>
      </c>
      <c r="W998" s="26" t="n">
        <v>58.99</v>
      </c>
      <c r="X998" s="26">
        <f>ROUND(('Methodology &amp; Assumptions'!$B$5*V998) + ('Methodology &amp; Assumptions'!$B$6*W998), 2)</f>
        <v/>
      </c>
      <c r="Y998" s="28" t="n">
        <v>7.2</v>
      </c>
      <c r="Z998" s="11" t="inlineStr">
        <is>
          <t>Priority Tier 2 (Balanced Opportunity)</t>
        </is>
      </c>
    </row>
    <row r="999">
      <c r="A999" s="23" t="n">
        <v>1</v>
      </c>
      <c r="B999" s="23" t="n">
        <v>995</v>
      </c>
      <c r="C999" s="23" t="n">
        <v>995</v>
      </c>
      <c r="D999" s="23" t="inlineStr">
        <is>
          <t>0506215012</t>
        </is>
      </c>
      <c r="E999" s="11" t="inlineStr">
        <is>
          <t>Region V (Bicol Region)</t>
        </is>
      </c>
      <c r="F999" s="11" t="inlineStr">
        <is>
          <t>Sorsogon</t>
        </is>
      </c>
      <c r="G999" s="11" t="inlineStr">
        <is>
          <t>Santa Magdalena</t>
        </is>
      </c>
      <c r="H999" s="11" t="inlineStr">
        <is>
          <t>San Rafael</t>
        </is>
      </c>
      <c r="I999" s="24" t="n">
        <v>12.661271</v>
      </c>
      <c r="J999" s="24" t="n">
        <v>124.054834</v>
      </c>
      <c r="K999" s="23" t="inlineStr">
        <is>
          <t>R</t>
        </is>
      </c>
      <c r="L999" s="25" t="n">
        <v>1362</v>
      </c>
      <c r="M999" s="26" t="n">
        <v>4</v>
      </c>
      <c r="N999" s="25">
        <f>ROUND(L999/M999, 0)</f>
        <v/>
      </c>
      <c r="O999" s="25">
        <f>ROUND(N999*'Methodology &amp; Assumptions'!$B$7, 0)</f>
        <v/>
      </c>
      <c r="P999" s="23" t="inlineStr">
        <is>
          <t>Single Carrier (Band n50, 100MHz TDD)</t>
        </is>
      </c>
      <c r="Q999" s="27">
        <f>ROUNDUP(O999/'Methodology &amp; Assumptions'!$B$8, 0)</f>
        <v/>
      </c>
      <c r="R999" s="27" t="n">
        <v>1</v>
      </c>
      <c r="S999" s="26" t="n">
        <v>5.02</v>
      </c>
      <c r="T999" s="26" t="n">
        <v>3.94</v>
      </c>
      <c r="U999" s="11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26" t="n">
        <v>59.41</v>
      </c>
      <c r="W999" s="26" t="n">
        <v>71.76000000000001</v>
      </c>
      <c r="X999" s="26">
        <f>ROUND(('Methodology &amp; Assumptions'!$B$5*V999) + ('Methodology &amp; Assumptions'!$B$6*W999), 2)</f>
        <v/>
      </c>
      <c r="Y999" s="28" t="n">
        <v>23.7</v>
      </c>
      <c r="Z999" s="11" t="inlineStr">
        <is>
          <t>Priority Tier 2 (Balanced Opportunity)</t>
        </is>
      </c>
    </row>
    <row r="1000">
      <c r="A1000" s="23" t="n">
        <v>1</v>
      </c>
      <c r="B1000" s="23" t="n">
        <v>996</v>
      </c>
      <c r="C1000" s="23" t="n">
        <v>996</v>
      </c>
      <c r="D1000" s="23" t="inlineStr">
        <is>
          <t>0102911003</t>
        </is>
      </c>
      <c r="E1000" s="11" t="inlineStr">
        <is>
          <t>Region I (Ilocos Region)</t>
        </is>
      </c>
      <c r="F1000" s="11" t="inlineStr">
        <is>
          <t>Ilocos Sur</t>
        </is>
      </c>
      <c r="G1000" s="11" t="inlineStr">
        <is>
          <t>Lidlidda</t>
        </is>
      </c>
      <c r="H1000" s="11" t="inlineStr">
        <is>
          <t>Bugui</t>
        </is>
      </c>
      <c r="I1000" s="24" t="n">
        <v>17.231473</v>
      </c>
      <c r="J1000" s="24" t="n">
        <v>120.536545</v>
      </c>
      <c r="K1000" s="23" t="inlineStr">
        <is>
          <t>R</t>
        </is>
      </c>
      <c r="L1000" s="25" t="n">
        <v>244</v>
      </c>
      <c r="M1000" s="26" t="n">
        <v>3.8</v>
      </c>
      <c r="N1000" s="25">
        <f>ROUND(L1000/M1000, 0)</f>
        <v/>
      </c>
      <c r="O1000" s="25">
        <f>ROUND(N1000*'Methodology &amp; Assumptions'!$B$7, 0)</f>
        <v/>
      </c>
      <c r="P1000" s="23" t="inlineStr">
        <is>
          <t>Single Carrier (Band n50, 100MHz TDD)</t>
        </is>
      </c>
      <c r="Q1000" s="27">
        <f>ROUNDUP(O1000/'Methodology &amp; Assumptions'!$B$8, 0)</f>
        <v/>
      </c>
      <c r="R1000" s="27" t="n">
        <v>1</v>
      </c>
      <c r="S1000" s="26" t="n">
        <v>2.59</v>
      </c>
      <c r="T1000" s="26" t="n">
        <v>0.92</v>
      </c>
      <c r="U1000" s="11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26" t="n">
        <v>54.91</v>
      </c>
      <c r="W1000" s="26" t="n">
        <v>76.27</v>
      </c>
      <c r="X1000" s="26">
        <f>ROUND(('Methodology &amp; Assumptions'!$B$5*V1000) + ('Methodology &amp; Assumptions'!$B$6*W1000), 2)</f>
        <v/>
      </c>
      <c r="Y1000" s="28" t="n">
        <v>8.300000000000001</v>
      </c>
      <c r="Z1000" s="11" t="inlineStr">
        <is>
          <t>Priority Tier 2 (Balanced Opportunity)</t>
        </is>
      </c>
    </row>
    <row r="1001">
      <c r="A1001" s="23" t="n">
        <v>1</v>
      </c>
      <c r="B1001" s="23" t="n">
        <v>997</v>
      </c>
      <c r="C1001" s="23" t="n">
        <v>997</v>
      </c>
      <c r="D1001" s="23" t="inlineStr">
        <is>
          <t>0401003008</t>
        </is>
      </c>
      <c r="E1001" s="11" t="inlineStr">
        <is>
          <t>Region IV-A (CALABARZON)</t>
        </is>
      </c>
      <c r="F1001" s="11" t="inlineStr">
        <is>
          <t>Batangas</t>
        </is>
      </c>
      <c r="G1001" s="11" t="inlineStr">
        <is>
          <t>Balayan</t>
        </is>
      </c>
      <c r="H1001" s="11" t="inlineStr">
        <is>
          <t>Barangay 3</t>
        </is>
      </c>
      <c r="I1001" s="24" t="n">
        <v>13.939044</v>
      </c>
      <c r="J1001" s="24" t="n">
        <v>120.733917</v>
      </c>
      <c r="K1001" s="23" t="inlineStr">
        <is>
          <t>R</t>
        </is>
      </c>
      <c r="L1001" s="25" t="n">
        <v>1519</v>
      </c>
      <c r="M1001" s="26" t="n">
        <v>3.6</v>
      </c>
      <c r="N1001" s="25">
        <f>ROUND(L1001/M1001, 0)</f>
        <v/>
      </c>
      <c r="O1001" s="25">
        <f>ROUND(N1001*'Methodology &amp; Assumptions'!$B$7, 0)</f>
        <v/>
      </c>
      <c r="P1001" s="23" t="inlineStr">
        <is>
          <t>Single Carrier (Band n50, 100MHz TDD)</t>
        </is>
      </c>
      <c r="Q1001" s="27">
        <f>ROUNDUP(O1001/'Methodology &amp; Assumptions'!$B$8, 0)</f>
        <v/>
      </c>
      <c r="R1001" s="27" t="n">
        <v>1</v>
      </c>
      <c r="S1001" s="26" t="n">
        <v>0.8</v>
      </c>
      <c r="T1001" s="26" t="n">
        <v>0.11</v>
      </c>
      <c r="U1001" s="11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26" t="n">
        <v>72.67</v>
      </c>
      <c r="W1001" s="26" t="n">
        <v>58.48</v>
      </c>
      <c r="X1001" s="26">
        <f>ROUND(('Methodology &amp; Assumptions'!$B$5*V1001) + ('Methodology &amp; Assumptions'!$B$6*W1001), 2)</f>
        <v/>
      </c>
      <c r="Y1001" s="28" t="n">
        <v>7.2</v>
      </c>
      <c r="Z1001" s="11" t="inlineStr">
        <is>
          <t>Priority Tier 2 (Balanced Opportunity)</t>
        </is>
      </c>
    </row>
    <row r="1002">
      <c r="A1002" s="23" t="n">
        <v>1</v>
      </c>
      <c r="B1002" s="23" t="n">
        <v>998</v>
      </c>
      <c r="C1002" s="23" t="n">
        <v>998</v>
      </c>
      <c r="D1002" s="23" t="inlineStr">
        <is>
          <t>1380700014</t>
        </is>
      </c>
      <c r="E1002" s="11" t="inlineStr">
        <is>
          <t>National Capital Region (NCR)</t>
        </is>
      </c>
      <c r="F1002" s="11" t="inlineStr">
        <is>
          <t>Second District (Not a Province)</t>
        </is>
      </c>
      <c r="G1002" s="11" t="inlineStr">
        <is>
          <t>City of Marikina</t>
        </is>
      </c>
      <c r="H1002" s="11" t="inlineStr">
        <is>
          <t>Industrial Valley</t>
        </is>
      </c>
      <c r="I1002" s="24" t="n">
        <v>14.627025</v>
      </c>
      <c r="J1002" s="24" t="n">
        <v>121.079796</v>
      </c>
      <c r="K1002" s="23" t="inlineStr">
        <is>
          <t>U</t>
        </is>
      </c>
      <c r="L1002" s="25" t="n">
        <v>16678</v>
      </c>
      <c r="M1002" s="26" t="n">
        <v>4.05</v>
      </c>
      <c r="N1002" s="25">
        <f>ROUND(L1002/M1002, 0)</f>
        <v/>
      </c>
      <c r="O1002" s="25">
        <f>ROUND(N1002*'Methodology &amp; Assumptions'!$B$7, 0)</f>
        <v/>
      </c>
      <c r="P1002" s="23" t="inlineStr">
        <is>
          <t>Single Carrier (Band n50, 100MHz TDD)</t>
        </is>
      </c>
      <c r="Q1002" s="27">
        <f>ROUNDUP(O1002/'Methodology &amp; Assumptions'!$B$8, 0)</f>
        <v/>
      </c>
      <c r="R1002" s="27" t="n">
        <v>1</v>
      </c>
      <c r="S1002" s="26" t="n">
        <v>1.15</v>
      </c>
      <c r="T1002" s="26" t="n">
        <v>0.8100000000000001</v>
      </c>
      <c r="U1002" s="11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26" t="n">
        <v>67.91</v>
      </c>
      <c r="W1002" s="26" t="n">
        <v>63.26</v>
      </c>
      <c r="X1002" s="26">
        <f>ROUND(('Methodology &amp; Assumptions'!$B$5*V1002) + ('Methodology &amp; Assumptions'!$B$6*W1002), 2)</f>
        <v/>
      </c>
      <c r="Y1002" s="28" t="n">
        <v>10.9</v>
      </c>
      <c r="Z1002" s="11" t="inlineStr">
        <is>
          <t>Priority Tier 2 (Balanced Opportunity)</t>
        </is>
      </c>
    </row>
    <row r="1003">
      <c r="A1003" s="23" t="n">
        <v>1</v>
      </c>
      <c r="B1003" s="23" t="n">
        <v>999</v>
      </c>
      <c r="C1003" s="23" t="n">
        <v>999</v>
      </c>
      <c r="D1003" s="23" t="inlineStr">
        <is>
          <t>1380300005</t>
        </is>
      </c>
      <c r="E1003" s="11" t="inlineStr">
        <is>
          <t>National Capital Region (NCR)</t>
        </is>
      </c>
      <c r="F1003" s="11" t="inlineStr">
        <is>
          <t>Fourth District (Not a Province)</t>
        </is>
      </c>
      <c r="G1003" s="11" t="inlineStr">
        <is>
          <t>City of Makati</t>
        </is>
      </c>
      <c r="H1003" s="11" t="inlineStr">
        <is>
          <t>Carmona</t>
        </is>
      </c>
      <c r="I1003" s="24" t="n">
        <v>14.575768</v>
      </c>
      <c r="J1003" s="24" t="n">
        <v>121.016859</v>
      </c>
      <c r="K1003" s="23" t="inlineStr">
        <is>
          <t>U</t>
        </is>
      </c>
      <c r="L1003" s="25" t="n">
        <v>3034</v>
      </c>
      <c r="M1003" s="26" t="n">
        <v>4.08</v>
      </c>
      <c r="N1003" s="25">
        <f>ROUND(L1003/M1003, 0)</f>
        <v/>
      </c>
      <c r="O1003" s="25">
        <f>ROUND(N1003*'Methodology &amp; Assumptions'!$B$7, 0)</f>
        <v/>
      </c>
      <c r="P1003" s="23" t="inlineStr">
        <is>
          <t>Single Carrier (Band n50, 100MHz TDD)</t>
        </is>
      </c>
      <c r="Q1003" s="27">
        <f>ROUNDUP(O1003/'Methodology &amp; Assumptions'!$B$8, 0)</f>
        <v/>
      </c>
      <c r="R1003" s="27" t="n">
        <v>1</v>
      </c>
      <c r="S1003" s="26" t="n">
        <v>1.49</v>
      </c>
      <c r="T1003" s="26" t="n">
        <v>0.45</v>
      </c>
      <c r="U1003" s="11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26" t="n">
        <v>62.54</v>
      </c>
      <c r="W1003" s="26" t="n">
        <v>68.63</v>
      </c>
      <c r="X1003" s="26">
        <f>ROUND(('Methodology &amp; Assumptions'!$B$5*V1003) + ('Methodology &amp; Assumptions'!$B$6*W1003), 2)</f>
        <v/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1</v>
      </c>
      <c r="B1004" s="23" t="n">
        <v>1000</v>
      </c>
      <c r="C1004" s="23" t="n">
        <v>1000</v>
      </c>
      <c r="D1004" s="23" t="inlineStr">
        <is>
          <t>0201528020</t>
        </is>
      </c>
      <c r="E1004" s="11" t="inlineStr">
        <is>
          <t>Region II (Cagayan Valley)</t>
        </is>
      </c>
      <c r="F1004" s="11" t="inlineStr">
        <is>
          <t>Cagayan</t>
        </is>
      </c>
      <c r="G1004" s="11" t="inlineStr">
        <is>
          <t>Tuao</t>
        </is>
      </c>
      <c r="H1004" s="11" t="inlineStr">
        <is>
          <t>Mambacag</t>
        </is>
      </c>
      <c r="I1004" s="24" t="n">
        <v>17.6625</v>
      </c>
      <c r="J1004" s="24" t="n">
        <v>121.5503</v>
      </c>
      <c r="K1004" s="23" t="inlineStr">
        <is>
          <t>R</t>
        </is>
      </c>
      <c r="L1004" s="25" t="n">
        <v>1447</v>
      </c>
      <c r="M1004" s="26" t="n">
        <v>3.9</v>
      </c>
      <c r="N1004" s="25">
        <f>ROUND(L1004/M1004, 0)</f>
        <v/>
      </c>
      <c r="O1004" s="25">
        <f>ROUND(N1004*'Methodology &amp; Assumptions'!$B$7, 0)</f>
        <v/>
      </c>
      <c r="P1004" s="23" t="inlineStr">
        <is>
          <t>Single Carrier (Band n50, 100MHz TDD)</t>
        </is>
      </c>
      <c r="Q1004" s="27">
        <f>ROUNDUP(O1004/'Methodology &amp; Assumptions'!$B$8, 0)</f>
        <v/>
      </c>
      <c r="R1004" s="27" t="n">
        <v>1</v>
      </c>
      <c r="S1004" s="26" t="n">
        <v>4.16</v>
      </c>
      <c r="T1004" s="26" t="n">
        <v>12.31</v>
      </c>
      <c r="U1004" s="11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26" t="n">
        <v>57.61</v>
      </c>
      <c r="W1004" s="26" t="n">
        <v>73.56</v>
      </c>
      <c r="X1004" s="26">
        <f>ROUND(('Methodology &amp; Assumptions'!$B$5*V1004) + ('Methodology &amp; Assumptions'!$B$6*W1004), 2)</f>
        <v/>
      </c>
      <c r="Y1004" s="28" t="n">
        <v>8.300000000000001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2 (1,001 - 2,000)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2</v>
      </c>
      <c r="B5" s="23" t="n">
        <v>1</v>
      </c>
      <c r="C5" s="23" t="n">
        <v>1001</v>
      </c>
      <c r="D5" s="23" t="inlineStr">
        <is>
          <t>1380610040</t>
        </is>
      </c>
      <c r="E5" s="11" t="inlineStr">
        <is>
          <t>National Capital Region (NCR)</t>
        </is>
      </c>
      <c r="F5" s="11" t="inlineStr">
        <is>
          <t>First District (Not a Province)</t>
        </is>
      </c>
      <c r="G5" s="11" t="inlineStr">
        <is>
          <t>City of Manila</t>
        </is>
      </c>
      <c r="H5" s="11" t="inlineStr">
        <is>
          <t>Barangay 725</t>
        </is>
      </c>
      <c r="I5" s="24" t="n">
        <v>14.565586</v>
      </c>
      <c r="J5" s="24" t="n">
        <v>120.99516</v>
      </c>
      <c r="K5" s="23" t="inlineStr">
        <is>
          <t>U</t>
        </is>
      </c>
      <c r="L5" s="25" t="n">
        <v>1990</v>
      </c>
      <c r="M5" s="26" t="n">
        <v>3.31</v>
      </c>
      <c r="N5" s="25">
        <f>ROUND(L5/M5, 0)</f>
        <v/>
      </c>
      <c r="O5" s="25">
        <f>ROUND(N5*'Methodology &amp; Assumptions'!$B$7, 0)</f>
        <v/>
      </c>
      <c r="P5" s="23" t="inlineStr">
        <is>
          <t>Single Carrier (Band n50, 100MHz TDD)</t>
        </is>
      </c>
      <c r="Q5" s="27">
        <f>ROUNDUP(O5/'Methodology &amp; Assumptions'!$B$8, 0)</f>
        <v/>
      </c>
      <c r="R5" s="27" t="n">
        <v>1</v>
      </c>
      <c r="S5" s="26" t="n">
        <v>0.72</v>
      </c>
      <c r="T5" s="26" t="n">
        <v>0.13</v>
      </c>
      <c r="U5" s="11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26" t="n">
        <v>60.48</v>
      </c>
      <c r="W5" s="26" t="n">
        <v>70.66</v>
      </c>
      <c r="X5" s="26">
        <f>ROUND(('Methodology &amp; Assumptions'!$B$5*V5) + ('Methodology &amp; Assumptions'!$B$6*W5), 2)</f>
        <v/>
      </c>
      <c r="Y5" s="28" t="n">
        <v>10.9</v>
      </c>
      <c r="Z5" s="11" t="inlineStr">
        <is>
          <t>Priority Tier 2 (Balanced Opportunity)</t>
        </is>
      </c>
    </row>
    <row r="6">
      <c r="A6" s="23" t="n">
        <v>2</v>
      </c>
      <c r="B6" s="23" t="n">
        <v>2</v>
      </c>
      <c r="C6" s="23" t="n">
        <v>1002</v>
      </c>
      <c r="D6" s="23" t="inlineStr">
        <is>
          <t>0403425022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City of San Pedro</t>
        </is>
      </c>
      <c r="H6" s="11" t="inlineStr">
        <is>
          <t>Narra</t>
        </is>
      </c>
      <c r="I6" s="24" t="n">
        <v>14.342174</v>
      </c>
      <c r="J6" s="24" t="n">
        <v>121.035748</v>
      </c>
      <c r="K6" s="23" t="inlineStr">
        <is>
          <t>R</t>
        </is>
      </c>
      <c r="L6" s="25" t="n">
        <v>2518</v>
      </c>
      <c r="M6" s="26" t="n">
        <v>3.3</v>
      </c>
      <c r="N6" s="25">
        <f>ROUND(L6/M6, 0)</f>
        <v/>
      </c>
      <c r="O6" s="25">
        <f>ROUND(N6*'Methodology &amp; Assumptions'!$B$7, 0)</f>
        <v/>
      </c>
      <c r="P6" s="23" t="inlineStr">
        <is>
          <t>Single Carrier (Band n50, 100MHz TDD)</t>
        </is>
      </c>
      <c r="Q6" s="27">
        <f>ROUNDUP(O6/'Methodology &amp; Assumptions'!$B$8, 0)</f>
        <v/>
      </c>
      <c r="R6" s="27" t="n">
        <v>1</v>
      </c>
      <c r="S6" s="26" t="n">
        <v>0.55</v>
      </c>
      <c r="T6" s="26" t="n">
        <v>0.57</v>
      </c>
      <c r="U6" s="11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26" t="n">
        <v>83.77</v>
      </c>
      <c r="W6" s="26" t="n">
        <v>47.35</v>
      </c>
      <c r="X6" s="26">
        <f>ROUND(('Methodology &amp; Assumptions'!$B$5*V6) + ('Methodology &amp; Assumptions'!$B$6*W6), 2)</f>
        <v/>
      </c>
      <c r="Y6" s="28" t="n">
        <v>7.2</v>
      </c>
      <c r="Z6" s="11" t="inlineStr">
        <is>
          <t>Priority Tier 2 (Balanced Opportunity)</t>
        </is>
      </c>
    </row>
    <row r="7">
      <c r="A7" s="23" t="n">
        <v>2</v>
      </c>
      <c r="B7" s="23" t="n">
        <v>3</v>
      </c>
      <c r="C7" s="23" t="n">
        <v>1003</v>
      </c>
      <c r="D7" s="23" t="inlineStr">
        <is>
          <t>1381300105</t>
        </is>
      </c>
      <c r="E7" s="11" t="inlineStr">
        <is>
          <t>National Capital Region (NCR)</t>
        </is>
      </c>
      <c r="F7" s="11" t="inlineStr">
        <is>
          <t>Second District (Not a Province)</t>
        </is>
      </c>
      <c r="G7" s="11" t="inlineStr">
        <is>
          <t>Quezon City</t>
        </is>
      </c>
      <c r="H7" s="11" t="inlineStr">
        <is>
          <t>Santa Lucia</t>
        </is>
      </c>
      <c r="I7" s="24" t="n">
        <v>14.70738</v>
      </c>
      <c r="J7" s="24" t="n">
        <v>121.0534</v>
      </c>
      <c r="K7" s="23" t="inlineStr">
        <is>
          <t>U</t>
        </is>
      </c>
      <c r="L7" s="25" t="n">
        <v>28974</v>
      </c>
      <c r="M7" s="26" t="n">
        <v>4.06</v>
      </c>
      <c r="N7" s="25">
        <f>ROUND(L7/M7, 0)</f>
        <v/>
      </c>
      <c r="O7" s="25">
        <f>ROUND(N7*'Methodology &amp; Assumptions'!$B$7, 0)</f>
        <v/>
      </c>
      <c r="P7" s="23" t="inlineStr">
        <is>
          <t>Single Carrier (Band n50, 100MHz TDD)</t>
        </is>
      </c>
      <c r="Q7" s="27">
        <f>ROUNDUP(O7/'Methodology &amp; Assumptions'!$B$8, 0)</f>
        <v/>
      </c>
      <c r="R7" s="27" t="n">
        <v>1</v>
      </c>
      <c r="S7" s="26" t="n">
        <v>1.99</v>
      </c>
      <c r="T7" s="26" t="n">
        <v>0.88</v>
      </c>
      <c r="U7" s="11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26" t="n">
        <v>63.58</v>
      </c>
      <c r="W7" s="26" t="n">
        <v>67.54000000000001</v>
      </c>
      <c r="X7" s="26">
        <f>ROUND(('Methodology &amp; Assumptions'!$B$5*V7) + ('Methodology &amp; Assumptions'!$B$6*W7), 2)</f>
        <v/>
      </c>
      <c r="Y7" s="28" t="n">
        <v>10.9</v>
      </c>
      <c r="Z7" s="11" t="inlineStr">
        <is>
          <t>Priority Tier 2 (Balanced Opportunity)</t>
        </is>
      </c>
    </row>
    <row r="8">
      <c r="A8" s="23" t="n">
        <v>2</v>
      </c>
      <c r="B8" s="23" t="n">
        <v>4</v>
      </c>
      <c r="C8" s="23" t="n">
        <v>1004</v>
      </c>
      <c r="D8" s="23" t="inlineStr">
        <is>
          <t>0306916074</t>
        </is>
      </c>
      <c r="E8" s="11" t="inlineStr">
        <is>
          <t>Region III (Central Luzon)</t>
        </is>
      </c>
      <c r="F8" s="11" t="inlineStr">
        <is>
          <t>Tarlac</t>
        </is>
      </c>
      <c r="G8" s="11" t="inlineStr">
        <is>
          <t>City of Tarlac</t>
        </is>
      </c>
      <c r="H8" s="11" t="inlineStr">
        <is>
          <t>San Sebastian</t>
        </is>
      </c>
      <c r="I8" s="24" t="n">
        <v>15.471129</v>
      </c>
      <c r="J8" s="24" t="n">
        <v>120.597295</v>
      </c>
      <c r="K8" s="23" t="inlineStr">
        <is>
          <t>U</t>
        </is>
      </c>
      <c r="L8" s="25" t="n">
        <v>4413</v>
      </c>
      <c r="M8" s="26" t="n">
        <v>3.9</v>
      </c>
      <c r="N8" s="25">
        <f>ROUND(L8/M8, 0)</f>
        <v/>
      </c>
      <c r="O8" s="25">
        <f>ROUND(N8*'Methodology &amp; Assumptions'!$B$7, 0)</f>
        <v/>
      </c>
      <c r="P8" s="23" t="inlineStr">
        <is>
          <t>Single Carrier (Band n50, 100MHz TDD)</t>
        </is>
      </c>
      <c r="Q8" s="27">
        <f>ROUNDUP(O8/'Methodology &amp; Assumptions'!$B$8, 0)</f>
        <v/>
      </c>
      <c r="R8" s="27" t="n">
        <v>1</v>
      </c>
      <c r="S8" s="26" t="n">
        <v>1.91</v>
      </c>
      <c r="T8" s="26" t="n">
        <v>0.17</v>
      </c>
      <c r="U8" s="11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26" t="n">
        <v>74.48999999999999</v>
      </c>
      <c r="W8" s="26" t="n">
        <v>56.61</v>
      </c>
      <c r="X8" s="26">
        <f>ROUND(('Methodology &amp; Assumptions'!$B$5*V8) + ('Methodology &amp; Assumptions'!$B$6*W8), 2)</f>
        <v/>
      </c>
      <c r="Y8" s="28" t="n">
        <v>8.300000000000001</v>
      </c>
      <c r="Z8" s="11" t="inlineStr">
        <is>
          <t>Priority Tier 2 (Balanced Opportunity)</t>
        </is>
      </c>
    </row>
    <row r="9">
      <c r="A9" s="23" t="n">
        <v>2</v>
      </c>
      <c r="B9" s="23" t="n">
        <v>5</v>
      </c>
      <c r="C9" s="23" t="n">
        <v>1005</v>
      </c>
      <c r="D9" s="23" t="inlineStr">
        <is>
          <t>1381600022</t>
        </is>
      </c>
      <c r="E9" s="11" t="inlineStr">
        <is>
          <t>National Capital Region (NCR)</t>
        </is>
      </c>
      <c r="F9" s="11" t="inlineStr">
        <is>
          <t>Third District (Not a Province)</t>
        </is>
      </c>
      <c r="G9" s="11" t="inlineStr">
        <is>
          <t>City of Valenzuela</t>
        </is>
      </c>
      <c r="H9" s="11" t="inlineStr">
        <is>
          <t>Pariancillo Villa</t>
        </is>
      </c>
      <c r="I9" s="24" t="n">
        <v>14.70716</v>
      </c>
      <c r="J9" s="24" t="n">
        <v>120.9444</v>
      </c>
      <c r="K9" s="23" t="inlineStr">
        <is>
          <t>U</t>
        </is>
      </c>
      <c r="L9" s="25" t="n">
        <v>1989</v>
      </c>
      <c r="M9" s="26" t="n">
        <v>3.75</v>
      </c>
      <c r="N9" s="25">
        <f>ROUND(L9/M9, 0)</f>
        <v/>
      </c>
      <c r="O9" s="25">
        <f>ROUND(N9*'Methodology &amp; Assumptions'!$B$7, 0)</f>
        <v/>
      </c>
      <c r="P9" s="23" t="inlineStr">
        <is>
          <t>Single Carrier (Band n50, 100MHz TDD)</t>
        </is>
      </c>
      <c r="Q9" s="27">
        <f>ROUNDUP(O9/'Methodology &amp; Assumptions'!$B$8, 0)</f>
        <v/>
      </c>
      <c r="R9" s="27" t="n">
        <v>1</v>
      </c>
      <c r="S9" s="26" t="n">
        <v>0.87</v>
      </c>
      <c r="T9" s="26" t="n">
        <v>1.53</v>
      </c>
      <c r="U9" s="11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26" t="n">
        <v>58.02</v>
      </c>
      <c r="W9" s="26" t="n">
        <v>73.08</v>
      </c>
      <c r="X9" s="26">
        <f>ROUND(('Methodology &amp; Assumptions'!$B$5*V9) + ('Methodology &amp; Assumptions'!$B$6*W9), 2)</f>
        <v/>
      </c>
      <c r="Y9" s="28" t="n">
        <v>10.9</v>
      </c>
      <c r="Z9" s="11" t="inlineStr">
        <is>
          <t>Priority Tier 2 (Balanced Opportunity)</t>
        </is>
      </c>
    </row>
    <row r="10">
      <c r="A10" s="23" t="n">
        <v>2</v>
      </c>
      <c r="B10" s="23" t="n">
        <v>6</v>
      </c>
      <c r="C10" s="23" t="n">
        <v>1006</v>
      </c>
      <c r="D10" s="23" t="inlineStr">
        <is>
          <t>0203133017</t>
        </is>
      </c>
      <c r="E10" s="11" t="inlineStr">
        <is>
          <t>Region II (Cagayan Valley)</t>
        </is>
      </c>
      <c r="F10" s="11" t="inlineStr">
        <is>
          <t>Isabela</t>
        </is>
      </c>
      <c r="G10" s="11" t="inlineStr">
        <is>
          <t>San Pablo</t>
        </is>
      </c>
      <c r="H10" s="11" t="inlineStr">
        <is>
          <t>Tupa</t>
        </is>
      </c>
      <c r="I10" s="24" t="n">
        <v>17.503857</v>
      </c>
      <c r="J10" s="24" t="n">
        <v>122.015549</v>
      </c>
      <c r="K10" s="23" t="inlineStr">
        <is>
          <t>R</t>
        </is>
      </c>
      <c r="L10" s="25" t="n">
        <v>2485</v>
      </c>
      <c r="M10" s="26" t="n">
        <v>3.8</v>
      </c>
      <c r="N10" s="25">
        <f>ROUND(L10/M10, 0)</f>
        <v/>
      </c>
      <c r="O10" s="25">
        <f>ROUND(N10*'Methodology &amp; Assumptions'!$B$7, 0)</f>
        <v/>
      </c>
      <c r="P10" s="23" t="inlineStr">
        <is>
          <t>Single Carrier (Band n50, 100MHz TDD)</t>
        </is>
      </c>
      <c r="Q10" s="27">
        <f>ROUNDUP(O10/'Methodology &amp; Assumptions'!$B$8, 0)</f>
        <v/>
      </c>
      <c r="R10" s="27" t="n">
        <v>1</v>
      </c>
      <c r="S10" s="26" t="n">
        <v>26.98</v>
      </c>
      <c r="T10" s="26" t="n">
        <v>22.34</v>
      </c>
      <c r="U10" s="11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26" t="n">
        <v>55.01</v>
      </c>
      <c r="W10" s="26" t="n">
        <v>76.09999999999999</v>
      </c>
      <c r="X10" s="26">
        <f>ROUND(('Methodology &amp; Assumptions'!$B$5*V10) + ('Methodology &amp; Assumptions'!$B$6*W10), 2)</f>
        <v/>
      </c>
      <c r="Y10" s="28" t="n">
        <v>8.300000000000001</v>
      </c>
      <c r="Z10" s="11" t="inlineStr">
        <is>
          <t>Priority Tier 2 (Balanced Opportunity)</t>
        </is>
      </c>
    </row>
    <row r="11">
      <c r="A11" s="23" t="n">
        <v>2</v>
      </c>
      <c r="B11" s="23" t="n">
        <v>7</v>
      </c>
      <c r="C11" s="23" t="n">
        <v>1007</v>
      </c>
      <c r="D11" s="23" t="inlineStr">
        <is>
          <t>0604531010</t>
        </is>
      </c>
      <c r="E11" s="11" t="inlineStr">
        <is>
          <t>Region VI (Western Visayas)</t>
        </is>
      </c>
      <c r="F11" s="11" t="inlineStr">
        <is>
          <t>Negros Occidental</t>
        </is>
      </c>
      <c r="G11" s="11" t="inlineStr">
        <is>
          <t>City of Victorias</t>
        </is>
      </c>
      <c r="H11" s="11" t="inlineStr">
        <is>
          <t>Barangay VII</t>
        </is>
      </c>
      <c r="I11" s="24" t="n">
        <v>10.89671</v>
      </c>
      <c r="J11" s="24" t="n">
        <v>123.075138</v>
      </c>
      <c r="K11" s="23" t="inlineStr">
        <is>
          <t>R</t>
        </is>
      </c>
      <c r="L11" s="25" t="n">
        <v>3980</v>
      </c>
      <c r="M11" s="26" t="n">
        <v>3.7</v>
      </c>
      <c r="N11" s="25">
        <f>ROUND(L11/M11, 0)</f>
        <v/>
      </c>
      <c r="O11" s="25">
        <f>ROUND(N11*'Methodology &amp; Assumptions'!$B$7, 0)</f>
        <v/>
      </c>
      <c r="P11" s="23" t="inlineStr">
        <is>
          <t>Single Carrier (Band n50, 100MHz TDD)</t>
        </is>
      </c>
      <c r="Q11" s="27">
        <f>ROUNDUP(O11/'Methodology &amp; Assumptions'!$B$8, 0)</f>
        <v/>
      </c>
      <c r="R11" s="27" t="n">
        <v>1</v>
      </c>
      <c r="S11" s="26" t="n">
        <v>0.58</v>
      </c>
      <c r="T11" s="26" t="n">
        <v>0.34</v>
      </c>
      <c r="U11" s="11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26" t="n">
        <v>88.06</v>
      </c>
      <c r="W11" s="26" t="n">
        <v>43.02</v>
      </c>
      <c r="X11" s="26">
        <f>ROUND(('Methodology &amp; Assumptions'!$B$5*V11) + ('Methodology &amp; Assumptions'!$B$6*W11), 2)</f>
        <v/>
      </c>
      <c r="Y11" s="28" t="n">
        <v>23.7</v>
      </c>
      <c r="Z11" s="11" t="inlineStr">
        <is>
          <t>Priority Tier 2 (Balanced Opportunity)</t>
        </is>
      </c>
    </row>
    <row r="12">
      <c r="A12" s="23" t="n">
        <v>2</v>
      </c>
      <c r="B12" s="23" t="n">
        <v>8</v>
      </c>
      <c r="C12" s="23" t="n">
        <v>1008</v>
      </c>
      <c r="D12" s="23" t="inlineStr">
        <is>
          <t>1908704005</t>
        </is>
      </c>
      <c r="E12" s="11" t="inlineStr">
        <is>
          <t>Bangsamoro Autonomous Region In Muslim Mindanao (BARMM)</t>
        </is>
      </c>
      <c r="F12" s="11" t="inlineStr">
        <is>
          <t>Maguindanao del Norte</t>
        </is>
      </c>
      <c r="G12" s="11" t="inlineStr">
        <is>
          <t>Datu Blah T. Sinsuat</t>
        </is>
      </c>
      <c r="H12" s="11" t="inlineStr">
        <is>
          <t>Meti</t>
        </is>
      </c>
      <c r="I12" s="24" t="n">
        <v>6.795228</v>
      </c>
      <c r="J12" s="24" t="n">
        <v>124.025497</v>
      </c>
      <c r="K12" s="23" t="inlineStr">
        <is>
          <t>R</t>
        </is>
      </c>
      <c r="L12" s="25" t="n">
        <v>4330</v>
      </c>
      <c r="M12" s="26" t="n">
        <v>4.3</v>
      </c>
      <c r="N12" s="25">
        <f>ROUND(L12/M12, 0)</f>
        <v/>
      </c>
      <c r="O12" s="25">
        <f>ROUND(N12*'Methodology &amp; Assumptions'!$B$7, 0)</f>
        <v/>
      </c>
      <c r="P12" s="23" t="inlineStr">
        <is>
          <t>Single Carrier (Band n50, 100MHz TDD)</t>
        </is>
      </c>
      <c r="Q12" s="27">
        <f>ROUNDUP(O12/'Methodology &amp; Assumptions'!$B$8, 0)</f>
        <v/>
      </c>
      <c r="R12" s="27" t="n">
        <v>1</v>
      </c>
      <c r="S12" s="26" t="n">
        <v>72.52</v>
      </c>
      <c r="T12" s="26" t="n">
        <v>72.47</v>
      </c>
      <c r="U12" s="11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26" t="n">
        <v>59.06</v>
      </c>
      <c r="W12" s="26" t="n">
        <v>72.02</v>
      </c>
      <c r="X12" s="26">
        <f>ROUND(('Methodology &amp; Assumptions'!$B$5*V12) + ('Methodology &amp; Assumptions'!$B$6*W12), 2)</f>
        <v/>
      </c>
      <c r="Y12" s="28" t="n">
        <v>11</v>
      </c>
      <c r="Z12" s="11" t="inlineStr">
        <is>
          <t>Priority Tier 2 (Balanced Opportunity)</t>
        </is>
      </c>
    </row>
    <row r="13">
      <c r="A13" s="23" t="n">
        <v>2</v>
      </c>
      <c r="B13" s="23" t="n">
        <v>9</v>
      </c>
      <c r="C13" s="23" t="n">
        <v>1009</v>
      </c>
      <c r="D13" s="23" t="inlineStr">
        <is>
          <t>1705320018</t>
        </is>
      </c>
      <c r="E13" s="11" t="inlineStr">
        <is>
          <t>MIMAROPA Region</t>
        </is>
      </c>
      <c r="F13" s="11" t="inlineStr">
        <is>
          <t>Palawan</t>
        </is>
      </c>
      <c r="G13" s="11" t="inlineStr">
        <is>
          <t>Taytay</t>
        </is>
      </c>
      <c r="H13" s="11" t="inlineStr">
        <is>
          <t>Pancol</t>
        </is>
      </c>
      <c r="I13" s="24" t="n">
        <v>10.872224</v>
      </c>
      <c r="J13" s="24" t="n">
        <v>119.416995</v>
      </c>
      <c r="K13" s="23" t="inlineStr">
        <is>
          <t>R</t>
        </is>
      </c>
      <c r="L13" s="25" t="n">
        <v>3530</v>
      </c>
      <c r="M13" s="26" t="n">
        <v>3.9</v>
      </c>
      <c r="N13" s="25">
        <f>ROUND(L13/M13, 0)</f>
        <v/>
      </c>
      <c r="O13" s="25">
        <f>ROUND(N13*'Methodology &amp; Assumptions'!$B$7, 0)</f>
        <v/>
      </c>
      <c r="P13" s="23" t="inlineStr">
        <is>
          <t>Single Carrier (Band n50, 100MHz TDD)</t>
        </is>
      </c>
      <c r="Q13" s="27">
        <f>ROUNDUP(O13/'Methodology &amp; Assumptions'!$B$8, 0)</f>
        <v/>
      </c>
      <c r="R13" s="27" t="n">
        <v>1</v>
      </c>
      <c r="S13" s="26" t="n">
        <v>0.07000000000000001</v>
      </c>
      <c r="T13" s="26" t="n">
        <v>10.83</v>
      </c>
      <c r="U13" s="11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26" t="n">
        <v>86.38</v>
      </c>
      <c r="W13" s="26" t="n">
        <v>44.68</v>
      </c>
      <c r="X13" s="26">
        <f>ROUND(('Methodology &amp; Assumptions'!$B$5*V13) + ('Methodology &amp; Assumptions'!$B$6*W13), 2)</f>
        <v/>
      </c>
      <c r="Y13" s="28" t="n">
        <v>15</v>
      </c>
      <c r="Z13" s="11" t="inlineStr">
        <is>
          <t>Priority Tier 2 (Balanced Opportunity)</t>
        </is>
      </c>
    </row>
    <row r="14">
      <c r="A14" s="23" t="n">
        <v>2</v>
      </c>
      <c r="B14" s="23" t="n">
        <v>10</v>
      </c>
      <c r="C14" s="23" t="n">
        <v>1010</v>
      </c>
      <c r="D14" s="23" t="inlineStr">
        <is>
          <t>1108601007</t>
        </is>
      </c>
      <c r="E14" s="11" t="inlineStr">
        <is>
          <t>Region XI (Davao Region)</t>
        </is>
      </c>
      <c r="F14" s="11" t="inlineStr">
        <is>
          <t>Davao Occidental</t>
        </is>
      </c>
      <c r="G14" s="11" t="inlineStr">
        <is>
          <t>Don Marcelino</t>
        </is>
      </c>
      <c r="H14" s="11" t="inlineStr">
        <is>
          <t>Baluntaya</t>
        </is>
      </c>
      <c r="I14" s="24" t="n">
        <v>6.220523</v>
      </c>
      <c r="J14" s="24" t="n">
        <v>125.636886</v>
      </c>
      <c r="K14" s="23" t="inlineStr">
        <is>
          <t>R</t>
        </is>
      </c>
      <c r="L14" s="25" t="n">
        <v>2604</v>
      </c>
      <c r="M14" s="26" t="n">
        <v>3.6</v>
      </c>
      <c r="N14" s="25">
        <f>ROUND(L14/M14, 0)</f>
        <v/>
      </c>
      <c r="O14" s="25">
        <f>ROUND(N14*'Methodology &amp; Assumptions'!$B$7, 0)</f>
        <v/>
      </c>
      <c r="P14" s="23" t="inlineStr">
        <is>
          <t>Single Carrier (Band n50, 100MHz TDD)</t>
        </is>
      </c>
      <c r="Q14" s="27">
        <f>ROUNDUP(O14/'Methodology &amp; Assumptions'!$B$8, 0)</f>
        <v/>
      </c>
      <c r="R14" s="27" t="n">
        <v>1</v>
      </c>
      <c r="S14" s="26" t="n">
        <v>41.7</v>
      </c>
      <c r="T14" s="26" t="n">
        <v>41.85</v>
      </c>
      <c r="U14" s="11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26" t="n">
        <v>57.83</v>
      </c>
      <c r="W14" s="26" t="n">
        <v>73.23999999999999</v>
      </c>
      <c r="X14" s="26">
        <f>ROUND(('Methodology &amp; Assumptions'!$B$5*V14) + ('Methodology &amp; Assumptions'!$B$6*W14), 2)</f>
        <v/>
      </c>
      <c r="Y14" s="28" t="n">
        <v>17.4</v>
      </c>
      <c r="Z14" s="11" t="inlineStr">
        <is>
          <t>Priority Tier 2 (Balanced Opportunity)</t>
        </is>
      </c>
    </row>
    <row r="15">
      <c r="A15" s="23" t="n">
        <v>2</v>
      </c>
      <c r="B15" s="23" t="n">
        <v>11</v>
      </c>
      <c r="C15" s="23" t="n">
        <v>1011</v>
      </c>
      <c r="D15" s="23" t="inlineStr">
        <is>
          <t>0102820012</t>
        </is>
      </c>
      <c r="E15" s="11" t="inlineStr">
        <is>
          <t>Region I (Ilocos Region)</t>
        </is>
      </c>
      <c r="F15" s="11" t="inlineStr">
        <is>
          <t>Ilocos Norte</t>
        </is>
      </c>
      <c r="G15" s="11" t="inlineStr">
        <is>
          <t>San Nicolas</t>
        </is>
      </c>
      <c r="H15" s="11" t="inlineStr">
        <is>
          <t>San Juan Bautista</t>
        </is>
      </c>
      <c r="I15" s="24" t="n">
        <v>18.172448</v>
      </c>
      <c r="J15" s="24" t="n">
        <v>120.603449</v>
      </c>
      <c r="K15" s="23" t="inlineStr">
        <is>
          <t>R</t>
        </is>
      </c>
      <c r="L15" s="25" t="n">
        <v>2985</v>
      </c>
      <c r="M15" s="26" t="n">
        <v>3.7</v>
      </c>
      <c r="N15" s="25">
        <f>ROUND(L15/M15, 0)</f>
        <v/>
      </c>
      <c r="O15" s="25">
        <f>ROUND(N15*'Methodology &amp; Assumptions'!$B$7, 0)</f>
        <v/>
      </c>
      <c r="P15" s="23" t="inlineStr">
        <is>
          <t>Single Carrier (Band n50, 100MHz TDD)</t>
        </is>
      </c>
      <c r="Q15" s="27">
        <f>ROUNDUP(O15/'Methodology &amp; Assumptions'!$B$8, 0)</f>
        <v/>
      </c>
      <c r="R15" s="27" t="n">
        <v>1</v>
      </c>
      <c r="S15" s="26" t="n">
        <v>1.09</v>
      </c>
      <c r="T15" s="26" t="n">
        <v>1.05</v>
      </c>
      <c r="U15" s="11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26" t="n">
        <v>84.29000000000001</v>
      </c>
      <c r="W15" s="26" t="n">
        <v>46.76</v>
      </c>
      <c r="X15" s="26">
        <f>ROUND(('Methodology &amp; Assumptions'!$B$5*V15) + ('Methodology &amp; Assumptions'!$B$6*W15), 2)</f>
        <v/>
      </c>
      <c r="Y15" s="28" t="n">
        <v>8.300000000000001</v>
      </c>
      <c r="Z15" s="11" t="inlineStr">
        <is>
          <t>Priority Tier 2 (Balanced Opportunity)</t>
        </is>
      </c>
    </row>
    <row r="16">
      <c r="A16" s="23" t="n">
        <v>2</v>
      </c>
      <c r="B16" s="23" t="n">
        <v>12</v>
      </c>
      <c r="C16" s="23" t="n">
        <v>1012</v>
      </c>
      <c r="D16" s="23" t="inlineStr">
        <is>
          <t>0102820011</t>
        </is>
      </c>
      <c r="E16" s="11" t="inlineStr">
        <is>
          <t>Region I (Ilocos Region)</t>
        </is>
      </c>
      <c r="F16" s="11" t="inlineStr">
        <is>
          <t>Ilocos Norte</t>
        </is>
      </c>
      <c r="G16" s="11" t="inlineStr">
        <is>
          <t>San Nicolas</t>
        </is>
      </c>
      <c r="H16" s="11" t="inlineStr">
        <is>
          <t>San Jose</t>
        </is>
      </c>
      <c r="I16" s="24" t="n">
        <v>18.172744</v>
      </c>
      <c r="J16" s="24" t="n">
        <v>120.592301</v>
      </c>
      <c r="K16" s="23" t="inlineStr">
        <is>
          <t>R</t>
        </is>
      </c>
      <c r="L16" s="25" t="n">
        <v>1474</v>
      </c>
      <c r="M16" s="26" t="n">
        <v>3.7</v>
      </c>
      <c r="N16" s="25">
        <f>ROUND(L16/M16, 0)</f>
        <v/>
      </c>
      <c r="O16" s="25">
        <f>ROUND(N16*'Methodology &amp; Assumptions'!$B$7, 0)</f>
        <v/>
      </c>
      <c r="P16" s="23" t="inlineStr">
        <is>
          <t>Single Carrier (Band n50, 100MHz TDD)</t>
        </is>
      </c>
      <c r="Q16" s="27">
        <f>ROUNDUP(O16/'Methodology &amp; Assumptions'!$B$8, 0)</f>
        <v/>
      </c>
      <c r="R16" s="27" t="n">
        <v>1</v>
      </c>
      <c r="S16" s="26" t="n">
        <v>0.29</v>
      </c>
      <c r="T16" s="26" t="n">
        <v>0.16</v>
      </c>
      <c r="U16" s="11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26" t="n">
        <v>71.92</v>
      </c>
      <c r="W16" s="26" t="n">
        <v>59.12</v>
      </c>
      <c r="X16" s="26">
        <f>ROUND(('Methodology &amp; Assumptions'!$B$5*V16) + ('Methodology &amp; Assumptions'!$B$6*W16), 2)</f>
        <v/>
      </c>
      <c r="Y16" s="28" t="n">
        <v>8.300000000000001</v>
      </c>
      <c r="Z16" s="11" t="inlineStr">
        <is>
          <t>Priority Tier 2 (Balanced Opportunity)</t>
        </is>
      </c>
    </row>
    <row r="17">
      <c r="A17" s="23" t="n">
        <v>2</v>
      </c>
      <c r="B17" s="23" t="n">
        <v>13</v>
      </c>
      <c r="C17" s="23" t="n">
        <v>1013</v>
      </c>
      <c r="D17" s="23" t="inlineStr">
        <is>
          <t>1908709007</t>
        </is>
      </c>
      <c r="E17" s="11" t="inlineStr">
        <is>
          <t>Bangsamoro Autonomous Region In Muslim Mindanao (BARMM)</t>
        </is>
      </c>
      <c r="F17" s="11" t="inlineStr">
        <is>
          <t>Maguindanao del Norte</t>
        </is>
      </c>
      <c r="G17" s="11" t="inlineStr">
        <is>
          <t>Parang</t>
        </is>
      </c>
      <c r="H17" s="11" t="inlineStr">
        <is>
          <t>Guiday T. Biruar</t>
        </is>
      </c>
      <c r="I17" s="24" t="n">
        <v>7.326073</v>
      </c>
      <c r="J17" s="24" t="n">
        <v>124.301788</v>
      </c>
      <c r="K17" s="23" t="inlineStr">
        <is>
          <t>R</t>
        </is>
      </c>
      <c r="L17" s="25" t="n">
        <v>8250</v>
      </c>
      <c r="M17" s="26" t="n">
        <v>4.3</v>
      </c>
      <c r="N17" s="25">
        <f>ROUND(L17/M17, 0)</f>
        <v/>
      </c>
      <c r="O17" s="25">
        <f>ROUND(N17*'Methodology &amp; Assumptions'!$B$7, 0)</f>
        <v/>
      </c>
      <c r="P17" s="23" t="inlineStr">
        <is>
          <t>Single Carrier (Band n50, 100MHz TDD)</t>
        </is>
      </c>
      <c r="Q17" s="27">
        <f>ROUNDUP(O17/'Methodology &amp; Assumptions'!$B$8, 0)</f>
        <v/>
      </c>
      <c r="R17" s="27" t="n">
        <v>1</v>
      </c>
      <c r="S17" s="26" t="n">
        <v>56.3</v>
      </c>
      <c r="T17" s="26" t="n">
        <v>52.27</v>
      </c>
      <c r="U17" s="11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26" t="n">
        <v>59.06</v>
      </c>
      <c r="W17" s="26" t="n">
        <v>71.98</v>
      </c>
      <c r="X17" s="26">
        <f>ROUND(('Methodology &amp; Assumptions'!$B$5*V17) + ('Methodology &amp; Assumptions'!$B$6*W17), 2)</f>
        <v/>
      </c>
      <c r="Y17" s="28" t="n">
        <v>11</v>
      </c>
      <c r="Z17" s="11" t="inlineStr">
        <is>
          <t>Priority Tier 2 (Balanced Opportunity)</t>
        </is>
      </c>
    </row>
    <row r="18">
      <c r="A18" s="23" t="n">
        <v>2</v>
      </c>
      <c r="B18" s="23" t="n">
        <v>14</v>
      </c>
      <c r="C18" s="23" t="n">
        <v>1014</v>
      </c>
      <c r="D18" s="23" t="inlineStr">
        <is>
          <t>0102814011</t>
        </is>
      </c>
      <c r="E18" s="11" t="inlineStr">
        <is>
          <t>Region I (Ilocos Region)</t>
        </is>
      </c>
      <c r="F18" s="11" t="inlineStr">
        <is>
          <t>Ilocos Norte</t>
        </is>
      </c>
      <c r="G18" s="11" t="inlineStr">
        <is>
          <t>Nueva Era</t>
        </is>
      </c>
      <c r="H18" s="11" t="inlineStr">
        <is>
          <t>Uguis</t>
        </is>
      </c>
      <c r="I18" s="24" t="n">
        <v>17.811769</v>
      </c>
      <c r="J18" s="24" t="n">
        <v>120.562447</v>
      </c>
      <c r="K18" s="23" t="inlineStr">
        <is>
          <t>R</t>
        </is>
      </c>
      <c r="L18" s="25" t="n">
        <v>1111</v>
      </c>
      <c r="M18" s="26" t="n">
        <v>3.7</v>
      </c>
      <c r="N18" s="25">
        <f>ROUND(L18/M18, 0)</f>
        <v/>
      </c>
      <c r="O18" s="25">
        <f>ROUND(N18*'Methodology &amp; Assumptions'!$B$7, 0)</f>
        <v/>
      </c>
      <c r="P18" s="23" t="inlineStr">
        <is>
          <t>Single Carrier (Band n50, 100MHz TDD)</t>
        </is>
      </c>
      <c r="Q18" s="27">
        <f>ROUNDUP(O18/'Methodology &amp; Assumptions'!$B$8, 0)</f>
        <v/>
      </c>
      <c r="R18" s="27" t="n">
        <v>1</v>
      </c>
      <c r="S18" s="26" t="n">
        <v>11.3</v>
      </c>
      <c r="T18" s="26" t="n">
        <v>11.08</v>
      </c>
      <c r="U18" s="11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26" t="n">
        <v>46.8</v>
      </c>
      <c r="W18" s="26" t="n">
        <v>84.25</v>
      </c>
      <c r="X18" s="26">
        <f>ROUND(('Methodology &amp; Assumptions'!$B$5*V18) + ('Methodology &amp; Assumptions'!$B$6*W18), 2)</f>
        <v/>
      </c>
      <c r="Y18" s="28" t="n">
        <v>8.300000000000001</v>
      </c>
      <c r="Z18" s="11" t="inlineStr">
        <is>
          <t>Priority Tier 2 (Balanced Opportunity)</t>
        </is>
      </c>
    </row>
    <row r="19">
      <c r="A19" s="23" t="n">
        <v>2</v>
      </c>
      <c r="B19" s="23" t="n">
        <v>15</v>
      </c>
      <c r="C19" s="23" t="n">
        <v>1015</v>
      </c>
      <c r="D19" s="23" t="inlineStr">
        <is>
          <t>0402103027</t>
        </is>
      </c>
      <c r="E19" s="11" t="inlineStr">
        <is>
          <t>Region IV-A (CALABARZON)</t>
        </is>
      </c>
      <c r="F19" s="11" t="inlineStr">
        <is>
          <t>Cavite</t>
        </is>
      </c>
      <c r="G19" s="11" t="inlineStr">
        <is>
          <t>City of Bacoor</t>
        </is>
      </c>
      <c r="H19" s="11" t="inlineStr">
        <is>
          <t>Queens Row East</t>
        </is>
      </c>
      <c r="I19" s="24" t="n">
        <v>14.395936</v>
      </c>
      <c r="J19" s="24" t="n">
        <v>120.993981</v>
      </c>
      <c r="K19" s="23" t="inlineStr">
        <is>
          <t>U</t>
        </is>
      </c>
      <c r="L19" s="25" t="n">
        <v>19338</v>
      </c>
      <c r="M19" s="26" t="n">
        <v>3.4</v>
      </c>
      <c r="N19" s="25">
        <f>ROUND(L19/M19, 0)</f>
        <v/>
      </c>
      <c r="O19" s="25">
        <f>ROUND(N19*'Methodology &amp; Assumptions'!$B$7, 0)</f>
        <v/>
      </c>
      <c r="P19" s="23" t="inlineStr">
        <is>
          <t>Single Carrier (Band n50, 100MHz TDD)</t>
        </is>
      </c>
      <c r="Q19" s="27">
        <f>ROUNDUP(O19/'Methodology &amp; Assumptions'!$B$8, 0)</f>
        <v/>
      </c>
      <c r="R19" s="27" t="n">
        <v>1</v>
      </c>
      <c r="S19" s="26" t="n">
        <v>1.73</v>
      </c>
      <c r="T19" s="26" t="n">
        <v>4.07</v>
      </c>
      <c r="U19" s="11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26" t="n">
        <v>71.45999999999999</v>
      </c>
      <c r="W19" s="26" t="n">
        <v>59.56</v>
      </c>
      <c r="X19" s="26">
        <f>ROUND(('Methodology &amp; Assumptions'!$B$5*V19) + ('Methodology &amp; Assumptions'!$B$6*W19), 2)</f>
        <v/>
      </c>
      <c r="Y19" s="28" t="n">
        <v>7.2</v>
      </c>
      <c r="Z19" s="11" t="inlineStr">
        <is>
          <t>Priority Tier 2 (Balanced Opportunity)</t>
        </is>
      </c>
    </row>
    <row r="20">
      <c r="A20" s="23" t="n">
        <v>2</v>
      </c>
      <c r="B20" s="23" t="n">
        <v>16</v>
      </c>
      <c r="C20" s="23" t="n">
        <v>1016</v>
      </c>
      <c r="D20" s="23" t="inlineStr">
        <is>
          <t>1381400018</t>
        </is>
      </c>
      <c r="E20" s="11" t="inlineStr">
        <is>
          <t>National Capital Region (NCR)</t>
        </is>
      </c>
      <c r="F20" s="11" t="inlineStr">
        <is>
          <t>Second District (Not a Province)</t>
        </is>
      </c>
      <c r="G20" s="11" t="inlineStr">
        <is>
          <t>City of San Juan</t>
        </is>
      </c>
      <c r="H20" s="11" t="inlineStr">
        <is>
          <t>Santa Lucia</t>
        </is>
      </c>
      <c r="I20" s="24" t="n">
        <v>14.588138</v>
      </c>
      <c r="J20" s="24" t="n">
        <v>121.099563</v>
      </c>
      <c r="K20" s="23" t="inlineStr">
        <is>
          <t>U</t>
        </is>
      </c>
      <c r="L20" s="25" t="n">
        <v>9134</v>
      </c>
      <c r="M20" s="26" t="n">
        <v>3.27</v>
      </c>
      <c r="N20" s="25">
        <f>ROUND(L20/M20, 0)</f>
        <v/>
      </c>
      <c r="O20" s="25">
        <f>ROUND(N20*'Methodology &amp; Assumptions'!$B$7, 0)</f>
        <v/>
      </c>
      <c r="P20" s="23" t="inlineStr">
        <is>
          <t>Single Carrier (Band n50, 100MHz TDD)</t>
        </is>
      </c>
      <c r="Q20" s="27">
        <f>ROUNDUP(O20/'Methodology &amp; Assumptions'!$B$8, 0)</f>
        <v/>
      </c>
      <c r="R20" s="27" t="n">
        <v>1</v>
      </c>
      <c r="S20" s="26" t="n">
        <v>1.56</v>
      </c>
      <c r="T20" s="26" t="n">
        <v>0.15</v>
      </c>
      <c r="U20" s="11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26" t="n">
        <v>66.40000000000001</v>
      </c>
      <c r="W20" s="26" t="n">
        <v>64.61</v>
      </c>
      <c r="X20" s="26">
        <f>ROUND(('Methodology &amp; Assumptions'!$B$5*V20) + ('Methodology &amp; Assumptions'!$B$6*W20), 2)</f>
        <v/>
      </c>
      <c r="Y20" s="28" t="n">
        <v>10.9</v>
      </c>
      <c r="Z20" s="11" t="inlineStr">
        <is>
          <t>Priority Tier 2 (Balanced Opportunity)</t>
        </is>
      </c>
    </row>
    <row r="21">
      <c r="A21" s="23" t="n">
        <v>2</v>
      </c>
      <c r="B21" s="23" t="n">
        <v>17</v>
      </c>
      <c r="C21" s="23" t="n">
        <v>1017</v>
      </c>
      <c r="D21" s="23" t="inlineStr">
        <is>
          <t>0205704038</t>
        </is>
      </c>
      <c r="E21" s="11" t="inlineStr">
        <is>
          <t>Region II (Cagayan Valley)</t>
        </is>
      </c>
      <c r="F21" s="11" t="inlineStr">
        <is>
          <t>Quirino</t>
        </is>
      </c>
      <c r="G21" s="11" t="inlineStr">
        <is>
          <t>Maddela</t>
        </is>
      </c>
      <c r="H21" s="11" t="inlineStr">
        <is>
          <t>Jose Ancheta</t>
        </is>
      </c>
      <c r="I21" s="24" t="n">
        <v>16.295666</v>
      </c>
      <c r="J21" s="24" t="n">
        <v>121.57125</v>
      </c>
      <c r="K21" s="23" t="inlineStr">
        <is>
          <t>R</t>
        </is>
      </c>
      <c r="L21" s="25" t="n">
        <v>1069</v>
      </c>
      <c r="M21" s="26" t="n">
        <v>3.9</v>
      </c>
      <c r="N21" s="25">
        <f>ROUND(L21/M21, 0)</f>
        <v/>
      </c>
      <c r="O21" s="25">
        <f>ROUND(N21*'Methodology &amp; Assumptions'!$B$7, 0)</f>
        <v/>
      </c>
      <c r="P21" s="23" t="inlineStr">
        <is>
          <t>Single Carrier (Band n50, 100MHz TDD)</t>
        </is>
      </c>
      <c r="Q21" s="27">
        <f>ROUNDUP(O21/'Methodology &amp; Assumptions'!$B$8, 0)</f>
        <v/>
      </c>
      <c r="R21" s="27" t="n">
        <v>1</v>
      </c>
      <c r="S21" s="26" t="n">
        <v>9.449999999999999</v>
      </c>
      <c r="T21" s="26" t="n">
        <v>8.880000000000001</v>
      </c>
      <c r="U21" s="11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26" t="n">
        <v>47.8</v>
      </c>
      <c r="W21" s="26" t="n">
        <v>83.23</v>
      </c>
      <c r="X21" s="26">
        <f>ROUND(('Methodology &amp; Assumptions'!$B$5*V21) + ('Methodology &amp; Assumptions'!$B$6*W21), 2)</f>
        <v/>
      </c>
      <c r="Y21" s="28" t="n">
        <v>8.300000000000001</v>
      </c>
      <c r="Z21" s="11" t="inlineStr">
        <is>
          <t>Priority Tier 2 (Balanced Opportunity)</t>
        </is>
      </c>
    </row>
    <row r="22">
      <c r="A22" s="23" t="n">
        <v>2</v>
      </c>
      <c r="B22" s="23" t="n">
        <v>18</v>
      </c>
      <c r="C22" s="23" t="n">
        <v>1018</v>
      </c>
      <c r="D22" s="23" t="inlineStr">
        <is>
          <t>0102916005</t>
        </is>
      </c>
      <c r="E22" s="11" t="inlineStr">
        <is>
          <t>Region I (Ilocos Region)</t>
        </is>
      </c>
      <c r="F22" s="11" t="inlineStr">
        <is>
          <t>Ilocos Sur</t>
        </is>
      </c>
      <c r="G22" s="11" t="inlineStr">
        <is>
          <t>Salcedo</t>
        </is>
      </c>
      <c r="H22" s="11" t="inlineStr">
        <is>
          <t>Baybayading</t>
        </is>
      </c>
      <c r="I22" s="24" t="n">
        <v>17.12632</v>
      </c>
      <c r="J22" s="24" t="n">
        <v>120.565325</v>
      </c>
      <c r="K22" s="23" t="inlineStr">
        <is>
          <t>R</t>
        </is>
      </c>
      <c r="L22" s="25" t="n">
        <v>193</v>
      </c>
      <c r="M22" s="26" t="n">
        <v>3.8</v>
      </c>
      <c r="N22" s="25">
        <f>ROUND(L22/M22, 0)</f>
        <v/>
      </c>
      <c r="O22" s="25">
        <f>ROUND(N22*'Methodology &amp; Assumptions'!$B$7, 0)</f>
        <v/>
      </c>
      <c r="P22" s="23" t="inlineStr">
        <is>
          <t>Single Carrier (Band n50, 100MHz TDD)</t>
        </is>
      </c>
      <c r="Q22" s="27">
        <f>ROUNDUP(O22/'Methodology &amp; Assumptions'!$B$8, 0)</f>
        <v/>
      </c>
      <c r="R22" s="27" t="n">
        <v>1</v>
      </c>
      <c r="S22" s="26" t="n">
        <v>3.92</v>
      </c>
      <c r="T22" s="26" t="n">
        <v>9.35</v>
      </c>
      <c r="U22" s="11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26" t="n">
        <v>47.68</v>
      </c>
      <c r="W22" s="26" t="n">
        <v>83.33</v>
      </c>
      <c r="X22" s="26">
        <f>ROUND(('Methodology &amp; Assumptions'!$B$5*V22) + ('Methodology &amp; Assumptions'!$B$6*W22), 2)</f>
        <v/>
      </c>
      <c r="Y22" s="28" t="n">
        <v>8.300000000000001</v>
      </c>
      <c r="Z22" s="11" t="inlineStr">
        <is>
          <t>Priority Tier 2 (Balanced Opportunity)</t>
        </is>
      </c>
    </row>
    <row r="23">
      <c r="A23" s="23" t="n">
        <v>2</v>
      </c>
      <c r="B23" s="23" t="n">
        <v>19</v>
      </c>
      <c r="C23" s="23" t="n">
        <v>1019</v>
      </c>
      <c r="D23" s="23" t="inlineStr">
        <is>
          <t>0401012015</t>
        </is>
      </c>
      <c r="E23" s="11" t="inlineStr">
        <is>
          <t>Region IV-A (CALABARZON)</t>
        </is>
      </c>
      <c r="F23" s="11" t="inlineStr">
        <is>
          <t>Batangas</t>
        </is>
      </c>
      <c r="G23" s="11" t="inlineStr">
        <is>
          <t>Lemery</t>
        </is>
      </c>
      <c r="H23" s="11" t="inlineStr">
        <is>
          <t>Maguihan</t>
        </is>
      </c>
      <c r="I23" s="24" t="n">
        <v>13.883237</v>
      </c>
      <c r="J23" s="24" t="n">
        <v>120.912685</v>
      </c>
      <c r="K23" s="23" t="inlineStr">
        <is>
          <t>R</t>
        </is>
      </c>
      <c r="L23" s="25" t="n">
        <v>2178</v>
      </c>
      <c r="M23" s="26" t="n">
        <v>3.6</v>
      </c>
      <c r="N23" s="25">
        <f>ROUND(L23/M23, 0)</f>
        <v/>
      </c>
      <c r="O23" s="25">
        <f>ROUND(N23*'Methodology &amp; Assumptions'!$B$7, 0)</f>
        <v/>
      </c>
      <c r="P23" s="23" t="inlineStr">
        <is>
          <t>Single Carrier (Band n50, 100MHz TDD)</t>
        </is>
      </c>
      <c r="Q23" s="27">
        <f>ROUNDUP(O23/'Methodology &amp; Assumptions'!$B$8, 0)</f>
        <v/>
      </c>
      <c r="R23" s="27" t="n">
        <v>1</v>
      </c>
      <c r="S23" s="26" t="n">
        <v>0.95</v>
      </c>
      <c r="T23" s="26" t="n">
        <v>1.48</v>
      </c>
      <c r="U23" s="11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26" t="n">
        <v>78.23</v>
      </c>
      <c r="W23" s="26" t="n">
        <v>52.76</v>
      </c>
      <c r="X23" s="26">
        <f>ROUND(('Methodology &amp; Assumptions'!$B$5*V23) + ('Methodology &amp; Assumptions'!$B$6*W23), 2)</f>
        <v/>
      </c>
      <c r="Y23" s="28" t="n">
        <v>7.2</v>
      </c>
      <c r="Z23" s="11" t="inlineStr">
        <is>
          <t>Priority Tier 2 (Balanced Opportunity)</t>
        </is>
      </c>
    </row>
    <row r="24">
      <c r="A24" s="23" t="n">
        <v>2</v>
      </c>
      <c r="B24" s="23" t="n">
        <v>20</v>
      </c>
      <c r="C24" s="23" t="n">
        <v>1020</v>
      </c>
      <c r="D24" s="23" t="inlineStr">
        <is>
          <t>0403405006</t>
        </is>
      </c>
      <c r="E24" s="11" t="inlineStr">
        <is>
          <t>Region IV-A (CALABARZON)</t>
        </is>
      </c>
      <c r="F24" s="11" t="inlineStr">
        <is>
          <t>Laguna</t>
        </is>
      </c>
      <c r="G24" s="11" t="inlineStr">
        <is>
          <t>City of Calamba</t>
        </is>
      </c>
      <c r="H24" s="11" t="inlineStr">
        <is>
          <t>Bucal</t>
        </is>
      </c>
      <c r="I24" s="24" t="n">
        <v>14.188741</v>
      </c>
      <c r="J24" s="24" t="n">
        <v>121.169495</v>
      </c>
      <c r="K24" s="23" t="inlineStr">
        <is>
          <t>U</t>
        </is>
      </c>
      <c r="L24" s="25" t="n">
        <v>15663</v>
      </c>
      <c r="M24" s="26" t="n">
        <v>3.3</v>
      </c>
      <c r="N24" s="25">
        <f>ROUND(L24/M24, 0)</f>
        <v/>
      </c>
      <c r="O24" s="25">
        <f>ROUND(N24*'Methodology &amp; Assumptions'!$B$7, 0)</f>
        <v/>
      </c>
      <c r="P24" s="23" t="inlineStr">
        <is>
          <t>Single Carrier (Band n50, 100MHz TDD)</t>
        </is>
      </c>
      <c r="Q24" s="27">
        <f>ROUNDUP(O24/'Methodology &amp; Assumptions'!$B$8, 0)</f>
        <v/>
      </c>
      <c r="R24" s="27" t="n">
        <v>1</v>
      </c>
      <c r="S24" s="26" t="n">
        <v>2.69</v>
      </c>
      <c r="T24" s="26" t="n">
        <v>0.07000000000000001</v>
      </c>
      <c r="U24" s="11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26" t="n">
        <v>71.77</v>
      </c>
      <c r="W24" s="26" t="n">
        <v>59.21</v>
      </c>
      <c r="X24" s="26">
        <f>ROUND(('Methodology &amp; Assumptions'!$B$5*V24) + ('Methodology &amp; Assumptions'!$B$6*W24), 2)</f>
        <v/>
      </c>
      <c r="Y24" s="28" t="n">
        <v>7.2</v>
      </c>
      <c r="Z24" s="11" t="inlineStr">
        <is>
          <t>Priority Tier 2 (Balanced Opportunity)</t>
        </is>
      </c>
    </row>
    <row r="25">
      <c r="A25" s="23" t="n">
        <v>2</v>
      </c>
      <c r="B25" s="23" t="n">
        <v>21</v>
      </c>
      <c r="C25" s="23" t="n">
        <v>1021</v>
      </c>
      <c r="D25" s="23" t="inlineStr">
        <is>
          <t>1380601052</t>
        </is>
      </c>
      <c r="E25" s="11" t="inlineStr">
        <is>
          <t>National Capital Region (NCR)</t>
        </is>
      </c>
      <c r="F25" s="11" t="inlineStr">
        <is>
          <t>First District (Not a Province)</t>
        </is>
      </c>
      <c r="G25" s="11" t="inlineStr">
        <is>
          <t>City of Manila</t>
        </is>
      </c>
      <c r="H25" s="11" t="inlineStr">
        <is>
          <t>Barangay 52</t>
        </is>
      </c>
      <c r="I25" s="24" t="n">
        <v>14.614883</v>
      </c>
      <c r="J25" s="24" t="n">
        <v>120.971557</v>
      </c>
      <c r="K25" s="23" t="inlineStr">
        <is>
          <t>U</t>
        </is>
      </c>
      <c r="L25" s="25" t="n">
        <v>2249</v>
      </c>
      <c r="M25" s="26" t="n">
        <v>3.46</v>
      </c>
      <c r="N25" s="25">
        <f>ROUND(L25/M25, 0)</f>
        <v/>
      </c>
      <c r="O25" s="25">
        <f>ROUND(N25*'Methodology &amp; Assumptions'!$B$7, 0)</f>
        <v/>
      </c>
      <c r="P25" s="23" t="inlineStr">
        <is>
          <t>Single Carrier (Band n50, 100MHz TDD)</t>
        </is>
      </c>
      <c r="Q25" s="27">
        <f>ROUNDUP(O25/'Methodology &amp; Assumptions'!$B$8, 0)</f>
        <v/>
      </c>
      <c r="R25" s="27" t="n">
        <v>1</v>
      </c>
      <c r="S25" s="26" t="n">
        <v>0.92</v>
      </c>
      <c r="T25" s="26" t="n">
        <v>0.29</v>
      </c>
      <c r="U25" s="11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26" t="n">
        <v>61.66</v>
      </c>
      <c r="W25" s="26" t="n">
        <v>69.31999999999999</v>
      </c>
      <c r="X25" s="26">
        <f>ROUND(('Methodology &amp; Assumptions'!$B$5*V25) + ('Methodology &amp; Assumptions'!$B$6*W25), 2)</f>
        <v/>
      </c>
      <c r="Y25" s="28" t="n">
        <v>10.9</v>
      </c>
      <c r="Z25" s="11" t="inlineStr">
        <is>
          <t>Priority Tier 2 (Balanced Opportunity)</t>
        </is>
      </c>
    </row>
    <row r="26">
      <c r="A26" s="23" t="n">
        <v>2</v>
      </c>
      <c r="B26" s="23" t="n">
        <v>22</v>
      </c>
      <c r="C26" s="23" t="n">
        <v>1022</v>
      </c>
      <c r="D26" s="23" t="inlineStr">
        <is>
          <t>1381200021</t>
        </is>
      </c>
      <c r="E26" s="11" t="inlineStr">
        <is>
          <t>National Capital Region (NCR)</t>
        </is>
      </c>
      <c r="F26" s="11" t="inlineStr">
        <is>
          <t>Second District (Not a Province)</t>
        </is>
      </c>
      <c r="G26" s="11" t="inlineStr">
        <is>
          <t>City of Pasig</t>
        </is>
      </c>
      <c r="H26" s="11" t="inlineStr">
        <is>
          <t>San Jose</t>
        </is>
      </c>
      <c r="I26" s="24" t="n">
        <v>14.561292</v>
      </c>
      <c r="J26" s="24" t="n">
        <v>121.073326</v>
      </c>
      <c r="K26" s="23" t="inlineStr">
        <is>
          <t>U</t>
        </is>
      </c>
      <c r="L26" s="25" t="n">
        <v>1870</v>
      </c>
      <c r="M26" s="26" t="n">
        <v>3.22</v>
      </c>
      <c r="N26" s="25">
        <f>ROUND(L26/M26, 0)</f>
        <v/>
      </c>
      <c r="O26" s="25">
        <f>ROUND(N26*'Methodology &amp; Assumptions'!$B$7, 0)</f>
        <v/>
      </c>
      <c r="P26" s="23" t="inlineStr">
        <is>
          <t>Single Carrier (Band n50, 100MHz TDD)</t>
        </is>
      </c>
      <c r="Q26" s="27">
        <f>ROUNDUP(O26/'Methodology &amp; Assumptions'!$B$8, 0)</f>
        <v/>
      </c>
      <c r="R26" s="27" t="n">
        <v>1</v>
      </c>
      <c r="S26" s="26" t="n">
        <v>0.84</v>
      </c>
      <c r="T26" s="26" t="n">
        <v>0.36</v>
      </c>
      <c r="U26" s="11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26" t="n">
        <v>59.73</v>
      </c>
      <c r="W26" s="26" t="n">
        <v>71.25</v>
      </c>
      <c r="X26" s="26">
        <f>ROUND(('Methodology &amp; Assumptions'!$B$5*V26) + ('Methodology &amp; Assumptions'!$B$6*W26), 2)</f>
        <v/>
      </c>
      <c r="Y26" s="28" t="n">
        <v>10.9</v>
      </c>
      <c r="Z26" s="11" t="inlineStr">
        <is>
          <t>Priority Tier 2 (Balanced Opportunity)</t>
        </is>
      </c>
    </row>
    <row r="27">
      <c r="A27" s="23" t="n">
        <v>2</v>
      </c>
      <c r="B27" s="23" t="n">
        <v>23</v>
      </c>
      <c r="C27" s="23" t="n">
        <v>1023</v>
      </c>
      <c r="D27" s="23" t="inlineStr">
        <is>
          <t>1108602023</t>
        </is>
      </c>
      <c r="E27" s="11" t="inlineStr">
        <is>
          <t>Region XI (Davao Region)</t>
        </is>
      </c>
      <c r="F27" s="11" t="inlineStr">
        <is>
          <t>Davao Occidental</t>
        </is>
      </c>
      <c r="G27" s="11" t="inlineStr">
        <is>
          <t>Jose Abad Santos</t>
        </is>
      </c>
      <c r="H27" s="11" t="inlineStr">
        <is>
          <t>Meybio</t>
        </is>
      </c>
      <c r="I27" s="24" t="n">
        <v>5.898179</v>
      </c>
      <c r="J27" s="24" t="n">
        <v>125.511051</v>
      </c>
      <c r="K27" s="23" t="inlineStr">
        <is>
          <t>R</t>
        </is>
      </c>
      <c r="L27" s="25" t="n">
        <v>2462</v>
      </c>
      <c r="M27" s="26" t="n">
        <v>3.6</v>
      </c>
      <c r="N27" s="25">
        <f>ROUND(L27/M27, 0)</f>
        <v/>
      </c>
      <c r="O27" s="25">
        <f>ROUND(N27*'Methodology &amp; Assumptions'!$B$7, 0)</f>
        <v/>
      </c>
      <c r="P27" s="23" t="inlineStr">
        <is>
          <t>Single Carrier (Band n50, 100MHz TDD)</t>
        </is>
      </c>
      <c r="Q27" s="27">
        <f>ROUNDUP(O27/'Methodology &amp; Assumptions'!$B$8, 0)</f>
        <v/>
      </c>
      <c r="R27" s="27" t="n">
        <v>1</v>
      </c>
      <c r="S27" s="26" t="n">
        <v>34.54</v>
      </c>
      <c r="T27" s="26" t="n">
        <v>43.03</v>
      </c>
      <c r="U27" s="11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26" t="n">
        <v>56.58</v>
      </c>
      <c r="W27" s="26" t="n">
        <v>74.41</v>
      </c>
      <c r="X27" s="26">
        <f>ROUND(('Methodology &amp; Assumptions'!$B$5*V27) + ('Methodology &amp; Assumptions'!$B$6*W27), 2)</f>
        <v/>
      </c>
      <c r="Y27" s="28" t="n">
        <v>17.4</v>
      </c>
      <c r="Z27" s="11" t="inlineStr">
        <is>
          <t>Priority Tier 2 (Balanced Opportunity)</t>
        </is>
      </c>
    </row>
    <row r="28">
      <c r="A28" s="23" t="n">
        <v>2</v>
      </c>
      <c r="B28" s="23" t="n">
        <v>24</v>
      </c>
      <c r="C28" s="23" t="n">
        <v>1024</v>
      </c>
      <c r="D28" s="23" t="inlineStr">
        <is>
          <t>0403412012</t>
        </is>
      </c>
      <c r="E28" s="11" t="inlineStr">
        <is>
          <t>Region IV-A (CALABARZON)</t>
        </is>
      </c>
      <c r="F28" s="11" t="inlineStr">
        <is>
          <t>Laguna</t>
        </is>
      </c>
      <c r="G28" s="11" t="inlineStr">
        <is>
          <t>Luisiana</t>
        </is>
      </c>
      <c r="H28" s="11" t="inlineStr">
        <is>
          <t>San Diego</t>
        </is>
      </c>
      <c r="I28" s="24" t="n">
        <v>14.185534</v>
      </c>
      <c r="J28" s="24" t="n">
        <v>121.50564</v>
      </c>
      <c r="K28" s="23" t="inlineStr">
        <is>
          <t>R</t>
        </is>
      </c>
      <c r="L28" s="25" t="n">
        <v>2965</v>
      </c>
      <c r="M28" s="26" t="n">
        <v>3.3</v>
      </c>
      <c r="N28" s="25">
        <f>ROUND(L28/M28, 0)</f>
        <v/>
      </c>
      <c r="O28" s="25">
        <f>ROUND(N28*'Methodology &amp; Assumptions'!$B$7, 0)</f>
        <v/>
      </c>
      <c r="P28" s="23" t="inlineStr">
        <is>
          <t>Single Carrier (Band n50, 100MHz TDD)</t>
        </is>
      </c>
      <c r="Q28" s="27">
        <f>ROUNDUP(O28/'Methodology &amp; Assumptions'!$B$8, 0)</f>
        <v/>
      </c>
      <c r="R28" s="27" t="n">
        <v>1</v>
      </c>
      <c r="S28" s="26" t="n">
        <v>0.24</v>
      </c>
      <c r="T28" s="26" t="n">
        <v>3.98</v>
      </c>
      <c r="U28" s="11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26" t="n">
        <v>87.05</v>
      </c>
      <c r="W28" s="26" t="n">
        <v>43.92</v>
      </c>
      <c r="X28" s="26">
        <f>ROUND(('Methodology &amp; Assumptions'!$B$5*V28) + ('Methodology &amp; Assumptions'!$B$6*W28), 2)</f>
        <v/>
      </c>
      <c r="Y28" s="28" t="n">
        <v>7.2</v>
      </c>
      <c r="Z28" s="11" t="inlineStr">
        <is>
          <t>Priority Tier 2 (Balanced Opportunity)</t>
        </is>
      </c>
    </row>
    <row r="29">
      <c r="A29" s="23" t="n">
        <v>2</v>
      </c>
      <c r="B29" s="23" t="n">
        <v>25</v>
      </c>
      <c r="C29" s="23" t="n">
        <v>1025</v>
      </c>
      <c r="D29" s="23" t="inlineStr">
        <is>
          <t>0402108029</t>
        </is>
      </c>
      <c r="E29" s="11" t="inlineStr">
        <is>
          <t>Region IV-A (CALABARZON)</t>
        </is>
      </c>
      <c r="F29" s="11" t="inlineStr">
        <is>
          <t>Cavite</t>
        </is>
      </c>
      <c r="G29" s="11" t="inlineStr">
        <is>
          <t>City of General Trias</t>
        </is>
      </c>
      <c r="H29" s="11" t="inlineStr">
        <is>
          <t>Tejero</t>
        </is>
      </c>
      <c r="I29" s="24" t="n">
        <v>14.395978</v>
      </c>
      <c r="J29" s="24" t="n">
        <v>120.864453</v>
      </c>
      <c r="K29" s="23" t="inlineStr">
        <is>
          <t>U</t>
        </is>
      </c>
      <c r="L29" s="25" t="n">
        <v>8578</v>
      </c>
      <c r="M29" s="26" t="n">
        <v>3.4</v>
      </c>
      <c r="N29" s="25">
        <f>ROUND(L29/M29, 0)</f>
        <v/>
      </c>
      <c r="O29" s="25">
        <f>ROUND(N29*'Methodology &amp; Assumptions'!$B$7, 0)</f>
        <v/>
      </c>
      <c r="P29" s="23" t="inlineStr">
        <is>
          <t>Single Carrier (Band n50, 100MHz TDD)</t>
        </is>
      </c>
      <c r="Q29" s="27">
        <f>ROUNDUP(O29/'Methodology &amp; Assumptions'!$B$8, 0)</f>
        <v/>
      </c>
      <c r="R29" s="27" t="n">
        <v>1</v>
      </c>
      <c r="S29" s="26" t="n">
        <v>0.36</v>
      </c>
      <c r="T29" s="26" t="n">
        <v>0.25</v>
      </c>
      <c r="U29" s="11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26" t="n">
        <v>78.26000000000001</v>
      </c>
      <c r="W29" s="26" t="n">
        <v>52.71</v>
      </c>
      <c r="X29" s="26">
        <f>ROUND(('Methodology &amp; Assumptions'!$B$5*V29) + ('Methodology &amp; Assumptions'!$B$6*W29), 2)</f>
        <v/>
      </c>
      <c r="Y29" s="28" t="n">
        <v>7.2</v>
      </c>
      <c r="Z29" s="11" t="inlineStr">
        <is>
          <t>Priority Tier 2 (Balanced Opportunity)</t>
        </is>
      </c>
    </row>
    <row r="30">
      <c r="A30" s="23" t="n">
        <v>2</v>
      </c>
      <c r="B30" s="23" t="n">
        <v>26</v>
      </c>
      <c r="C30" s="23" t="n">
        <v>1026</v>
      </c>
      <c r="D30" s="23" t="inlineStr">
        <is>
          <t>1381200022</t>
        </is>
      </c>
      <c r="E30" s="11" t="inlineStr">
        <is>
          <t>National Capital Region (NCR)</t>
        </is>
      </c>
      <c r="F30" s="11" t="inlineStr">
        <is>
          <t>Second District (Not a Province)</t>
        </is>
      </c>
      <c r="G30" s="11" t="inlineStr">
        <is>
          <t>City of Pasig</t>
        </is>
      </c>
      <c r="H30" s="11" t="inlineStr">
        <is>
          <t>San Miguel</t>
        </is>
      </c>
      <c r="I30" s="24" t="n">
        <v>14.565555</v>
      </c>
      <c r="J30" s="24" t="n">
        <v>121.085434</v>
      </c>
      <c r="K30" s="23" t="inlineStr">
        <is>
          <t>U</t>
        </is>
      </c>
      <c r="L30" s="25" t="n">
        <v>44629</v>
      </c>
      <c r="M30" s="26" t="n">
        <v>3.41</v>
      </c>
      <c r="N30" s="25">
        <f>ROUND(L30/M30, 0)</f>
        <v/>
      </c>
      <c r="O30" s="25">
        <f>ROUND(N30*'Methodology &amp; Assumptions'!$B$7, 0)</f>
        <v/>
      </c>
      <c r="P30" s="23" t="inlineStr">
        <is>
          <t>Single Carrier (Band n50, 100MHz TDD)</t>
        </is>
      </c>
      <c r="Q30" s="27">
        <f>ROUNDUP(O30/'Methodology &amp; Assumptions'!$B$8, 0)</f>
        <v/>
      </c>
      <c r="R30" s="27" t="n">
        <v>1</v>
      </c>
      <c r="S30" s="26" t="n">
        <v>0.19</v>
      </c>
      <c r="T30" s="26" t="n">
        <v>0.19</v>
      </c>
      <c r="U30" s="11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26" t="n">
        <v>66.43000000000001</v>
      </c>
      <c r="W30" s="26" t="n">
        <v>64.5</v>
      </c>
      <c r="X30" s="26">
        <f>ROUND(('Methodology &amp; Assumptions'!$B$5*V30) + ('Methodology &amp; Assumptions'!$B$6*W30), 2)</f>
        <v/>
      </c>
      <c r="Y30" s="28" t="n">
        <v>10.9</v>
      </c>
      <c r="Z30" s="11" t="inlineStr">
        <is>
          <t>Priority Tier 2 (Balanced Opportunity)</t>
        </is>
      </c>
    </row>
    <row r="31">
      <c r="A31" s="23" t="n">
        <v>2</v>
      </c>
      <c r="B31" s="23" t="n">
        <v>27</v>
      </c>
      <c r="C31" s="23" t="n">
        <v>1027</v>
      </c>
      <c r="D31" s="23" t="inlineStr">
        <is>
          <t>0102811022</t>
        </is>
      </c>
      <c r="E31" s="11" t="inlineStr">
        <is>
          <t>Region I (Ilocos Region)</t>
        </is>
      </c>
      <c r="F31" s="11" t="inlineStr">
        <is>
          <t>Ilocos Norte</t>
        </is>
      </c>
      <c r="G31" s="11" t="inlineStr">
        <is>
          <t>Banna</t>
        </is>
      </c>
      <c r="H31" s="11" t="inlineStr">
        <is>
          <t>Binacag</t>
        </is>
      </c>
      <c r="I31" s="24" t="n">
        <v>17.938748</v>
      </c>
      <c r="J31" s="24" t="n">
        <v>120.640123</v>
      </c>
      <c r="K31" s="23" t="inlineStr">
        <is>
          <t>R</t>
        </is>
      </c>
      <c r="L31" s="25" t="n">
        <v>967</v>
      </c>
      <c r="M31" s="26" t="n">
        <v>3.7</v>
      </c>
      <c r="N31" s="25">
        <f>ROUND(L31/M31, 0)</f>
        <v/>
      </c>
      <c r="O31" s="25">
        <f>ROUND(N31*'Methodology &amp; Assumptions'!$B$7, 0)</f>
        <v/>
      </c>
      <c r="P31" s="23" t="inlineStr">
        <is>
          <t>Single Carrier (Band n50, 100MHz TDD)</t>
        </is>
      </c>
      <c r="Q31" s="27">
        <f>ROUNDUP(O31/'Methodology &amp; Assumptions'!$B$8, 0)</f>
        <v/>
      </c>
      <c r="R31" s="27" t="n">
        <v>1</v>
      </c>
      <c r="S31" s="26" t="n">
        <v>3</v>
      </c>
      <c r="T31" s="26" t="n">
        <v>1.98</v>
      </c>
      <c r="U31" s="11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26" t="n">
        <v>60.02</v>
      </c>
      <c r="W31" s="26" t="n">
        <v>70.92</v>
      </c>
      <c r="X31" s="26">
        <f>ROUND(('Methodology &amp; Assumptions'!$B$5*V31) + ('Methodology &amp; Assumptions'!$B$6*W31), 2)</f>
        <v/>
      </c>
      <c r="Y31" s="28" t="n">
        <v>8.300000000000001</v>
      </c>
      <c r="Z31" s="11" t="inlineStr">
        <is>
          <t>Priority Tier 2 (Balanced Opportunity)</t>
        </is>
      </c>
    </row>
    <row r="32">
      <c r="A32" s="23" t="n">
        <v>2</v>
      </c>
      <c r="B32" s="23" t="n">
        <v>28</v>
      </c>
      <c r="C32" s="23" t="n">
        <v>1028</v>
      </c>
      <c r="D32" s="23" t="inlineStr">
        <is>
          <t>1908704008</t>
        </is>
      </c>
      <c r="E32" s="11" t="inlineStr">
        <is>
          <t>Bangsamoro Autonomous Region In Muslim Mindanao (BARMM)</t>
        </is>
      </c>
      <c r="F32" s="11" t="inlineStr">
        <is>
          <t>Maguindanao del Norte</t>
        </is>
      </c>
      <c r="G32" s="11" t="inlineStr">
        <is>
          <t>Datu Blah T. Sinsuat</t>
        </is>
      </c>
      <c r="H32" s="11" t="inlineStr">
        <is>
          <t>Pura</t>
        </is>
      </c>
      <c r="I32" s="24" t="n">
        <v>6.865333</v>
      </c>
      <c r="J32" s="24" t="n">
        <v>124.019583</v>
      </c>
      <c r="K32" s="23" t="inlineStr">
        <is>
          <t>R</t>
        </is>
      </c>
      <c r="L32" s="25" t="n">
        <v>5430</v>
      </c>
      <c r="M32" s="26" t="n">
        <v>4.3</v>
      </c>
      <c r="N32" s="25">
        <f>ROUND(L32/M32, 0)</f>
        <v/>
      </c>
      <c r="O32" s="25">
        <f>ROUND(N32*'Methodology &amp; Assumptions'!$B$7, 0)</f>
        <v/>
      </c>
      <c r="P32" s="23" t="inlineStr">
        <is>
          <t>Single Carrier (Band n50, 100MHz TDD)</t>
        </is>
      </c>
      <c r="Q32" s="27">
        <f>ROUNDUP(O32/'Methodology &amp; Assumptions'!$B$8, 0)</f>
        <v/>
      </c>
      <c r="R32" s="27" t="n">
        <v>1</v>
      </c>
      <c r="S32" s="26" t="n">
        <v>74.8</v>
      </c>
      <c r="T32" s="26" t="n">
        <v>74.76000000000001</v>
      </c>
      <c r="U32" s="11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26" t="n">
        <v>59.06</v>
      </c>
      <c r="W32" s="26" t="n">
        <v>71.89</v>
      </c>
      <c r="X32" s="26">
        <f>ROUND(('Methodology &amp; Assumptions'!$B$5*V32) + ('Methodology &amp; Assumptions'!$B$6*W32), 2)</f>
        <v/>
      </c>
      <c r="Y32" s="28" t="n">
        <v>11</v>
      </c>
      <c r="Z32" s="11" t="inlineStr">
        <is>
          <t>Priority Tier 2 (Balanced Opportunity)</t>
        </is>
      </c>
    </row>
    <row r="33">
      <c r="A33" s="23" t="n">
        <v>2</v>
      </c>
      <c r="B33" s="23" t="n">
        <v>29</v>
      </c>
      <c r="C33" s="23" t="n">
        <v>1029</v>
      </c>
      <c r="D33" s="23" t="inlineStr">
        <is>
          <t>1404407005</t>
        </is>
      </c>
      <c r="E33" s="11" t="inlineStr">
        <is>
          <t>Cordillera Administrative Region (CAR)</t>
        </is>
      </c>
      <c r="F33" s="11" t="inlineStr">
        <is>
          <t>Mountain Province</t>
        </is>
      </c>
      <c r="G33" s="11" t="inlineStr">
        <is>
          <t>Sabangan</t>
        </is>
      </c>
      <c r="H33" s="11" t="inlineStr">
        <is>
          <t>Capinitan</t>
        </is>
      </c>
      <c r="I33" s="24" t="n">
        <v>16.952421</v>
      </c>
      <c r="J33" s="24" t="n">
        <v>120.944605</v>
      </c>
      <c r="K33" s="23" t="inlineStr">
        <is>
          <t>R</t>
        </is>
      </c>
      <c r="L33" s="25" t="n">
        <v>591</v>
      </c>
      <c r="M33" s="26" t="n">
        <v>3.7</v>
      </c>
      <c r="N33" s="25">
        <f>ROUND(L33/M33, 0)</f>
        <v/>
      </c>
      <c r="O33" s="25">
        <f>ROUND(N33*'Methodology &amp; Assumptions'!$B$7, 0)</f>
        <v/>
      </c>
      <c r="P33" s="23" t="inlineStr">
        <is>
          <t>Single Carrier (Band n50, 100MHz TDD)</t>
        </is>
      </c>
      <c r="Q33" s="27">
        <f>ROUNDUP(O33/'Methodology &amp; Assumptions'!$B$8, 0)</f>
        <v/>
      </c>
      <c r="R33" s="27" t="n">
        <v>1</v>
      </c>
      <c r="S33" s="26" t="n">
        <v>6.87</v>
      </c>
      <c r="T33" s="26" t="n">
        <v>3.64</v>
      </c>
      <c r="U33" s="11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26" t="n">
        <v>48.13</v>
      </c>
      <c r="W33" s="26" t="n">
        <v>82.8</v>
      </c>
      <c r="X33" s="26">
        <f>ROUND(('Methodology &amp; Assumptions'!$B$5*V33) + ('Methodology &amp; Assumptions'!$B$6*W33), 2)</f>
        <v/>
      </c>
      <c r="Y33" s="28" t="n">
        <v>10.9</v>
      </c>
      <c r="Z33" s="11" t="inlineStr">
        <is>
          <t>Priority Tier 2 (Balanced Opportunity)</t>
        </is>
      </c>
    </row>
    <row r="34">
      <c r="A34" s="23" t="n">
        <v>2</v>
      </c>
      <c r="B34" s="23" t="n">
        <v>30</v>
      </c>
      <c r="C34" s="23" t="n">
        <v>1030</v>
      </c>
      <c r="D34" s="23" t="inlineStr">
        <is>
          <t>1380614020</t>
        </is>
      </c>
      <c r="E34" s="11" t="inlineStr">
        <is>
          <t>National Capital Region (NCR)</t>
        </is>
      </c>
      <c r="F34" s="11" t="inlineStr">
        <is>
          <t>First District (Not a Province)</t>
        </is>
      </c>
      <c r="G34" s="11" t="inlineStr">
        <is>
          <t>City of Manila</t>
        </is>
      </c>
      <c r="H34" s="11" t="inlineStr">
        <is>
          <t>Barangay 764</t>
        </is>
      </c>
      <c r="I34" s="24" t="n">
        <v>14.56834</v>
      </c>
      <c r="J34" s="24" t="n">
        <v>121.003</v>
      </c>
      <c r="K34" s="23" t="inlineStr">
        <is>
          <t>U</t>
        </is>
      </c>
      <c r="L34" s="25" t="n">
        <v>2073</v>
      </c>
      <c r="M34" s="26" t="n">
        <v>3.32</v>
      </c>
      <c r="N34" s="25">
        <f>ROUND(L34/M34, 0)</f>
        <v/>
      </c>
      <c r="O34" s="25">
        <f>ROUND(N34*'Methodology &amp; Assumptions'!$B$7, 0)</f>
        <v/>
      </c>
      <c r="P34" s="23" t="inlineStr">
        <is>
          <t>Single Carrier (Band n50, 100MHz TDD)</t>
        </is>
      </c>
      <c r="Q34" s="27">
        <f>ROUNDUP(O34/'Methodology &amp; Assumptions'!$B$8, 0)</f>
        <v/>
      </c>
      <c r="R34" s="27" t="n">
        <v>1</v>
      </c>
      <c r="S34" s="26" t="n">
        <v>1.03</v>
      </c>
      <c r="T34" s="26" t="n">
        <v>0.2</v>
      </c>
      <c r="U34" s="11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26" t="n">
        <v>60.51</v>
      </c>
      <c r="W34" s="26" t="n">
        <v>70.37</v>
      </c>
      <c r="X34" s="26">
        <f>ROUND(('Methodology &amp; Assumptions'!$B$5*V34) + ('Methodology &amp; Assumptions'!$B$6*W34), 2)</f>
        <v/>
      </c>
      <c r="Y34" s="28" t="n">
        <v>10.9</v>
      </c>
      <c r="Z34" s="11" t="inlineStr">
        <is>
          <t>Priority Tier 2 (Balanced Opportunity)</t>
        </is>
      </c>
    </row>
    <row r="35">
      <c r="A35" s="23" t="n">
        <v>2</v>
      </c>
      <c r="B35" s="23" t="n">
        <v>31</v>
      </c>
      <c r="C35" s="23" t="n">
        <v>1031</v>
      </c>
      <c r="D35" s="23" t="inlineStr">
        <is>
          <t>1102315026</t>
        </is>
      </c>
      <c r="E35" s="11" t="inlineStr">
        <is>
          <t>Region XI (Davao Region)</t>
        </is>
      </c>
      <c r="F35" s="11" t="inlineStr">
        <is>
          <t>Davao del Norte</t>
        </is>
      </c>
      <c r="G35" s="11" t="inlineStr">
        <is>
          <t>City of Panabo</t>
        </is>
      </c>
      <c r="H35" s="11" t="inlineStr">
        <is>
          <t>New Visayas</t>
        </is>
      </c>
      <c r="I35" s="24" t="n">
        <v>7.308746</v>
      </c>
      <c r="J35" s="24" t="n">
        <v>125.667376</v>
      </c>
      <c r="K35" s="23" t="inlineStr">
        <is>
          <t>U</t>
        </is>
      </c>
      <c r="L35" s="25" t="n">
        <v>19306</v>
      </c>
      <c r="M35" s="26" t="n">
        <v>3.7</v>
      </c>
      <c r="N35" s="25">
        <f>ROUND(L35/M35, 0)</f>
        <v/>
      </c>
      <c r="O35" s="25">
        <f>ROUND(N35*'Methodology &amp; Assumptions'!$B$7, 0)</f>
        <v/>
      </c>
      <c r="P35" s="23" t="inlineStr">
        <is>
          <t>Single Carrier (Band n50, 100MHz TDD)</t>
        </is>
      </c>
      <c r="Q35" s="27">
        <f>ROUNDUP(O35/'Methodology &amp; Assumptions'!$B$8, 0)</f>
        <v/>
      </c>
      <c r="R35" s="27" t="n">
        <v>1</v>
      </c>
      <c r="S35" s="26" t="n">
        <v>1.68</v>
      </c>
      <c r="T35" s="26" t="n">
        <v>1.72</v>
      </c>
      <c r="U35" s="11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26" t="n">
        <v>76.73</v>
      </c>
      <c r="W35" s="26" t="n">
        <v>54.14</v>
      </c>
      <c r="X35" s="26">
        <f>ROUND(('Methodology &amp; Assumptions'!$B$5*V35) + ('Methodology &amp; Assumptions'!$B$6*W35), 2)</f>
        <v/>
      </c>
      <c r="Y35" s="28" t="n">
        <v>17.4</v>
      </c>
      <c r="Z35" s="11" t="inlineStr">
        <is>
          <t>Priority Tier 2 (Balanced Opportunity)</t>
        </is>
      </c>
    </row>
    <row r="36">
      <c r="A36" s="23" t="n">
        <v>2</v>
      </c>
      <c r="B36" s="23" t="n">
        <v>32</v>
      </c>
      <c r="C36" s="23" t="n">
        <v>1032</v>
      </c>
      <c r="D36" s="23" t="inlineStr">
        <is>
          <t>0301420011</t>
        </is>
      </c>
      <c r="E36" s="11" t="inlineStr">
        <is>
          <t>Region III (Central Luzon)</t>
        </is>
      </c>
      <c r="F36" s="11" t="inlineStr">
        <is>
          <t>Bulacan</t>
        </is>
      </c>
      <c r="G36" s="11" t="inlineStr">
        <is>
          <t>City of San Jose Del Monte</t>
        </is>
      </c>
      <c r="H36" s="11" t="inlineStr">
        <is>
          <t>Tungkong Mangga</t>
        </is>
      </c>
      <c r="I36" s="24" t="n">
        <v>14.783939</v>
      </c>
      <c r="J36" s="24" t="n">
        <v>121.072119</v>
      </c>
      <c r="K36" s="23" t="inlineStr">
        <is>
          <t>U</t>
        </is>
      </c>
      <c r="L36" s="25" t="n">
        <v>17063</v>
      </c>
      <c r="M36" s="26" t="n">
        <v>3.5</v>
      </c>
      <c r="N36" s="25">
        <f>ROUND(L36/M36, 0)</f>
        <v/>
      </c>
      <c r="O36" s="25">
        <f>ROUND(N36*'Methodology &amp; Assumptions'!$B$7, 0)</f>
        <v/>
      </c>
      <c r="P36" s="23" t="inlineStr">
        <is>
          <t>Single Carrier (Band n50, 100MHz TDD)</t>
        </is>
      </c>
      <c r="Q36" s="27">
        <f>ROUNDUP(O36/'Methodology &amp; Assumptions'!$B$8, 0)</f>
        <v/>
      </c>
      <c r="R36" s="27" t="n">
        <v>1</v>
      </c>
      <c r="S36" s="26" t="n">
        <v>1.57</v>
      </c>
      <c r="T36" s="26" t="n">
        <v>0.28</v>
      </c>
      <c r="U36" s="11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26" t="n">
        <v>75.70999999999999</v>
      </c>
      <c r="W36" s="26" t="n">
        <v>55.14</v>
      </c>
      <c r="X36" s="26">
        <f>ROUND(('Methodology &amp; Assumptions'!$B$5*V36) + ('Methodology &amp; Assumptions'!$B$6*W36), 2)</f>
        <v/>
      </c>
      <c r="Y36" s="28" t="n">
        <v>8.300000000000001</v>
      </c>
      <c r="Z36" s="11" t="inlineStr">
        <is>
          <t>Priority Tier 2 (Balanced Opportunity)</t>
        </is>
      </c>
    </row>
    <row r="37">
      <c r="A37" s="23" t="n">
        <v>2</v>
      </c>
      <c r="B37" s="23" t="n">
        <v>33</v>
      </c>
      <c r="C37" s="23" t="n">
        <v>1033</v>
      </c>
      <c r="D37" s="23" t="inlineStr">
        <is>
          <t>1380612030</t>
        </is>
      </c>
      <c r="E37" s="11" t="inlineStr">
        <is>
          <t>National Capital Region (NCR)</t>
        </is>
      </c>
      <c r="F37" s="11" t="inlineStr">
        <is>
          <t>First District (Not a Province)</t>
        </is>
      </c>
      <c r="G37" s="11" t="inlineStr">
        <is>
          <t>City of Manila</t>
        </is>
      </c>
      <c r="H37" s="11" t="inlineStr">
        <is>
          <t>Barangay 862</t>
        </is>
      </c>
      <c r="I37" s="24" t="n">
        <v>14.58803</v>
      </c>
      <c r="J37" s="24" t="n">
        <v>121.005264</v>
      </c>
      <c r="K37" s="23" t="inlineStr">
        <is>
          <t>U</t>
        </is>
      </c>
      <c r="L37" s="25" t="n">
        <v>2525</v>
      </c>
      <c r="M37" s="26" t="n">
        <v>4.08</v>
      </c>
      <c r="N37" s="25">
        <f>ROUND(L37/M37, 0)</f>
        <v/>
      </c>
      <c r="O37" s="25">
        <f>ROUND(N37*'Methodology &amp; Assumptions'!$B$7, 0)</f>
        <v/>
      </c>
      <c r="P37" s="23" t="inlineStr">
        <is>
          <t>Single Carrier (Band n50, 100MHz TDD)</t>
        </is>
      </c>
      <c r="Q37" s="27">
        <f>ROUNDUP(O37/'Methodology &amp; Assumptions'!$B$8, 0)</f>
        <v/>
      </c>
      <c r="R37" s="27" t="n">
        <v>1</v>
      </c>
      <c r="S37" s="26" t="n">
        <v>0.49</v>
      </c>
      <c r="T37" s="26" t="n">
        <v>0.35</v>
      </c>
      <c r="U37" s="11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26" t="n">
        <v>61.02</v>
      </c>
      <c r="W37" s="26" t="n">
        <v>69.84999999999999</v>
      </c>
      <c r="X37" s="26">
        <f>ROUND(('Methodology &amp; Assumptions'!$B$5*V37) + ('Methodology &amp; Assumptions'!$B$6*W37), 2)</f>
        <v/>
      </c>
      <c r="Y37" s="28" t="n">
        <v>10.9</v>
      </c>
      <c r="Z37" s="11" t="inlineStr">
        <is>
          <t>Priority Tier 2 (Balanced Opportunity)</t>
        </is>
      </c>
    </row>
    <row r="38">
      <c r="A38" s="23" t="n">
        <v>2</v>
      </c>
      <c r="B38" s="23" t="n">
        <v>34</v>
      </c>
      <c r="C38" s="23" t="n">
        <v>1034</v>
      </c>
      <c r="D38" s="23" t="inlineStr">
        <is>
          <t>1381300093</t>
        </is>
      </c>
      <c r="E38" s="11" t="inlineStr">
        <is>
          <t>National Capital Region (NCR)</t>
        </is>
      </c>
      <c r="F38" s="11" t="inlineStr">
        <is>
          <t>Second District (Not a Province)</t>
        </is>
      </c>
      <c r="G38" s="11" t="inlineStr">
        <is>
          <t>Quezon City</t>
        </is>
      </c>
      <c r="H38" s="11" t="inlineStr">
        <is>
          <t>Saint Peter</t>
        </is>
      </c>
      <c r="I38" s="24" t="n">
        <v>14.635129</v>
      </c>
      <c r="J38" s="24" t="n">
        <v>120.998141</v>
      </c>
      <c r="K38" s="23" t="inlineStr">
        <is>
          <t>U</t>
        </is>
      </c>
      <c r="L38" s="25" t="n">
        <v>4092</v>
      </c>
      <c r="M38" s="26" t="n">
        <v>4.58</v>
      </c>
      <c r="N38" s="25">
        <f>ROUND(L38/M38, 0)</f>
        <v/>
      </c>
      <c r="O38" s="25">
        <f>ROUND(N38*'Methodology &amp; Assumptions'!$B$7, 0)</f>
        <v/>
      </c>
      <c r="P38" s="23" t="inlineStr">
        <is>
          <t>Single Carrier (Band n50, 100MHz TDD)</t>
        </is>
      </c>
      <c r="Q38" s="27">
        <f>ROUNDUP(O38/'Methodology &amp; Assumptions'!$B$8, 0)</f>
        <v/>
      </c>
      <c r="R38" s="27" t="n">
        <v>1</v>
      </c>
      <c r="S38" s="26" t="n">
        <v>0.45</v>
      </c>
      <c r="T38" s="26" t="n">
        <v>0.34</v>
      </c>
      <c r="U38" s="11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26" t="n">
        <v>69.09</v>
      </c>
      <c r="W38" s="26" t="n">
        <v>61.74</v>
      </c>
      <c r="X38" s="26">
        <f>ROUND(('Methodology &amp; Assumptions'!$B$5*V38) + ('Methodology &amp; Assumptions'!$B$6*W38), 2)</f>
        <v/>
      </c>
      <c r="Y38" s="28" t="n">
        <v>10.9</v>
      </c>
      <c r="Z38" s="11" t="inlineStr">
        <is>
          <t>Priority Tier 2 (Balanced Opportunity)</t>
        </is>
      </c>
    </row>
    <row r="39">
      <c r="A39" s="23" t="n">
        <v>2</v>
      </c>
      <c r="B39" s="23" t="n">
        <v>35</v>
      </c>
      <c r="C39" s="23" t="n">
        <v>1035</v>
      </c>
      <c r="D39" s="23" t="inlineStr">
        <is>
          <t>1381300037</t>
        </is>
      </c>
      <c r="E39" s="11" t="inlineStr">
        <is>
          <t>National Capital Region (NCR)</t>
        </is>
      </c>
      <c r="F39" s="11" t="inlineStr">
        <is>
          <t>Second District (Not a Province)</t>
        </is>
      </c>
      <c r="G39" s="11" t="inlineStr">
        <is>
          <t>Quezon City</t>
        </is>
      </c>
      <c r="H39" s="11" t="inlineStr">
        <is>
          <t>Escopa I</t>
        </is>
      </c>
      <c r="I39" s="24" t="n">
        <v>14.624397</v>
      </c>
      <c r="J39" s="24" t="n">
        <v>121.073071</v>
      </c>
      <c r="K39" s="23" t="inlineStr">
        <is>
          <t>U</t>
        </is>
      </c>
      <c r="L39" s="25" t="n">
        <v>2268</v>
      </c>
      <c r="M39" s="26" t="n">
        <v>3.81</v>
      </c>
      <c r="N39" s="25">
        <f>ROUND(L39/M39, 0)</f>
        <v/>
      </c>
      <c r="O39" s="25">
        <f>ROUND(N39*'Methodology &amp; Assumptions'!$B$7, 0)</f>
        <v/>
      </c>
      <c r="P39" s="23" t="inlineStr">
        <is>
          <t>Single Carrier (Band n50, 100MHz TDD)</t>
        </is>
      </c>
      <c r="Q39" s="27">
        <f>ROUNDUP(O39/'Methodology &amp; Assumptions'!$B$8, 0)</f>
        <v/>
      </c>
      <c r="R39" s="27" t="n">
        <v>1</v>
      </c>
      <c r="S39" s="26" t="n">
        <v>0.48</v>
      </c>
      <c r="T39" s="26" t="n">
        <v>0.47</v>
      </c>
      <c r="U39" s="11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26" t="n">
        <v>60.27</v>
      </c>
      <c r="W39" s="26" t="n">
        <v>70.58</v>
      </c>
      <c r="X39" s="26">
        <f>ROUND(('Methodology &amp; Assumptions'!$B$5*V39) + ('Methodology &amp; Assumptions'!$B$6*W39), 2)</f>
        <v/>
      </c>
      <c r="Y39" s="28" t="n">
        <v>10.9</v>
      </c>
      <c r="Z39" s="11" t="inlineStr">
        <is>
          <t>Priority Tier 2 (Balanced Opportunity)</t>
        </is>
      </c>
    </row>
    <row r="40">
      <c r="A40" s="23" t="n">
        <v>2</v>
      </c>
      <c r="B40" s="23" t="n">
        <v>36</v>
      </c>
      <c r="C40" s="23" t="n">
        <v>1036</v>
      </c>
      <c r="D40" s="23" t="inlineStr">
        <is>
          <t>1401106006</t>
        </is>
      </c>
      <c r="E40" s="11" t="inlineStr">
        <is>
          <t>Cordillera Administrative Region (CAR)</t>
        </is>
      </c>
      <c r="F40" s="11" t="inlineStr">
        <is>
          <t>Benguet</t>
        </is>
      </c>
      <c r="G40" s="11" t="inlineStr">
        <is>
          <t>Itogon</t>
        </is>
      </c>
      <c r="H40" s="11" t="inlineStr">
        <is>
          <t>Tinongdan</t>
        </is>
      </c>
      <c r="I40" s="24" t="n">
        <v>16.37584</v>
      </c>
      <c r="J40" s="24" t="n">
        <v>120.71915</v>
      </c>
      <c r="K40" s="23" t="inlineStr">
        <is>
          <t>R</t>
        </is>
      </c>
      <c r="L40" s="25" t="n">
        <v>3745</v>
      </c>
      <c r="M40" s="26" t="n">
        <v>3.5</v>
      </c>
      <c r="N40" s="25">
        <f>ROUND(L40/M40, 0)</f>
        <v/>
      </c>
      <c r="O40" s="25">
        <f>ROUND(N40*'Methodology &amp; Assumptions'!$B$7, 0)</f>
        <v/>
      </c>
      <c r="P40" s="23" t="inlineStr">
        <is>
          <t>Single Carrier (Band n50, 100MHz TDD)</t>
        </is>
      </c>
      <c r="Q40" s="27">
        <f>ROUNDUP(O40/'Methodology &amp; Assumptions'!$B$8, 0)</f>
        <v/>
      </c>
      <c r="R40" s="27" t="n">
        <v>1</v>
      </c>
      <c r="S40" s="26" t="n">
        <v>0.02</v>
      </c>
      <c r="T40" s="26" t="n">
        <v>4.4</v>
      </c>
      <c r="U40" s="11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26" t="n">
        <v>85.97</v>
      </c>
      <c r="W40" s="26" t="n">
        <v>44.85</v>
      </c>
      <c r="X40" s="26">
        <f>ROUND(('Methodology &amp; Assumptions'!$B$5*V40) + ('Methodology &amp; Assumptions'!$B$6*W40), 2)</f>
        <v/>
      </c>
      <c r="Y40" s="28" t="n">
        <v>10.9</v>
      </c>
      <c r="Z40" s="11" t="inlineStr">
        <is>
          <t>Priority Tier 2 (Balanced Opportunity)</t>
        </is>
      </c>
    </row>
    <row r="41">
      <c r="A41" s="23" t="n">
        <v>2</v>
      </c>
      <c r="B41" s="23" t="n">
        <v>37</v>
      </c>
      <c r="C41" s="23" t="n">
        <v>1037</v>
      </c>
      <c r="D41" s="23" t="inlineStr">
        <is>
          <t>0102805044</t>
        </is>
      </c>
      <c r="E41" s="11" t="inlineStr">
        <is>
          <t>Region I (Ilocos Region)</t>
        </is>
      </c>
      <c r="F41" s="11" t="inlineStr">
        <is>
          <t>Ilocos Norte</t>
        </is>
      </c>
      <c r="G41" s="11" t="inlineStr">
        <is>
          <t>City of Batac</t>
        </is>
      </c>
      <c r="H41" s="11" t="inlineStr">
        <is>
          <t>Tabug</t>
        </is>
      </c>
      <c r="I41" s="24" t="n">
        <v>18.040131</v>
      </c>
      <c r="J41" s="24" t="n">
        <v>120.552375</v>
      </c>
      <c r="K41" s="23" t="inlineStr">
        <is>
          <t>R</t>
        </is>
      </c>
      <c r="L41" s="25" t="n">
        <v>3406</v>
      </c>
      <c r="M41" s="26" t="n">
        <v>3.7</v>
      </c>
      <c r="N41" s="25">
        <f>ROUND(L41/M41, 0)</f>
        <v/>
      </c>
      <c r="O41" s="25">
        <f>ROUND(N41*'Methodology &amp; Assumptions'!$B$7, 0)</f>
        <v/>
      </c>
      <c r="P41" s="23" t="inlineStr">
        <is>
          <t>Single Carrier (Band n50, 100MHz TDD)</t>
        </is>
      </c>
      <c r="Q41" s="27">
        <f>ROUNDUP(O41/'Methodology &amp; Assumptions'!$B$8, 0)</f>
        <v/>
      </c>
      <c r="R41" s="27" t="n">
        <v>1</v>
      </c>
      <c r="S41" s="26" t="n">
        <v>1.81</v>
      </c>
      <c r="T41" s="26" t="n">
        <v>1.82</v>
      </c>
      <c r="U41" s="11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26" t="n">
        <v>82.04000000000001</v>
      </c>
      <c r="W41" s="26" t="n">
        <v>48.78</v>
      </c>
      <c r="X41" s="26">
        <f>ROUND(('Methodology &amp; Assumptions'!$B$5*V41) + ('Methodology &amp; Assumptions'!$B$6*W41), 2)</f>
        <v/>
      </c>
      <c r="Y41" s="28" t="n">
        <v>8.300000000000001</v>
      </c>
      <c r="Z41" s="11" t="inlineStr">
        <is>
          <t>Priority Tier 2 (Balanced Opportunity)</t>
        </is>
      </c>
    </row>
    <row r="42">
      <c r="A42" s="23" t="n">
        <v>2</v>
      </c>
      <c r="B42" s="23" t="n">
        <v>38</v>
      </c>
      <c r="C42" s="23" t="n">
        <v>1038</v>
      </c>
      <c r="D42" s="23" t="inlineStr">
        <is>
          <t>0402123021</t>
        </is>
      </c>
      <c r="E42" s="11" t="inlineStr">
        <is>
          <t>Region IV-A (CALABARZON)</t>
        </is>
      </c>
      <c r="F42" s="11" t="inlineStr">
        <is>
          <t>Cavite</t>
        </is>
      </c>
      <c r="G42" s="11" t="inlineStr">
        <is>
          <t>Gen. Mariano Alvarez</t>
        </is>
      </c>
      <c r="H42" s="11" t="inlineStr">
        <is>
          <t>Nicolasa Virata</t>
        </is>
      </c>
      <c r="I42" s="24" t="n">
        <v>14.332627</v>
      </c>
      <c r="J42" s="24" t="n">
        <v>121.034478</v>
      </c>
      <c r="K42" s="23" t="inlineStr">
        <is>
          <t>U</t>
        </is>
      </c>
      <c r="L42" s="25" t="n">
        <v>6608</v>
      </c>
      <c r="M42" s="26" t="n">
        <v>3.4</v>
      </c>
      <c r="N42" s="25">
        <f>ROUND(L42/M42, 0)</f>
        <v/>
      </c>
      <c r="O42" s="25">
        <f>ROUND(N42*'Methodology &amp; Assumptions'!$B$7, 0)</f>
        <v/>
      </c>
      <c r="P42" s="23" t="inlineStr">
        <is>
          <t>Single Carrier (Band n50, 100MHz TDD)</t>
        </is>
      </c>
      <c r="Q42" s="27">
        <f>ROUNDUP(O42/'Methodology &amp; Assumptions'!$B$8, 0)</f>
        <v/>
      </c>
      <c r="R42" s="27" t="n">
        <v>1</v>
      </c>
      <c r="S42" s="26" t="n">
        <v>1.45</v>
      </c>
      <c r="T42" s="26" t="n">
        <v>1.47</v>
      </c>
      <c r="U42" s="11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26" t="n">
        <v>75.94</v>
      </c>
      <c r="W42" s="26" t="n">
        <v>54.88</v>
      </c>
      <c r="X42" s="26">
        <f>ROUND(('Methodology &amp; Assumptions'!$B$5*V42) + ('Methodology &amp; Assumptions'!$B$6*W42), 2)</f>
        <v/>
      </c>
      <c r="Y42" s="28" t="n">
        <v>7.2</v>
      </c>
      <c r="Z42" s="11" t="inlineStr">
        <is>
          <t>Priority Tier 2 (Balanced Opportunity)</t>
        </is>
      </c>
    </row>
    <row r="43">
      <c r="A43" s="23" t="n">
        <v>2</v>
      </c>
      <c r="B43" s="23" t="n">
        <v>39</v>
      </c>
      <c r="C43" s="23" t="n">
        <v>1039</v>
      </c>
      <c r="D43" s="23" t="inlineStr">
        <is>
          <t>1908822008</t>
        </is>
      </c>
      <c r="E43" s="11" t="inlineStr">
        <is>
          <t>Bangsamoro Autonomous Region In Muslim Mindanao (BARMM)</t>
        </is>
      </c>
      <c r="F43" s="11" t="inlineStr">
        <is>
          <t>Maguindanao del Sur</t>
        </is>
      </c>
      <c r="G43" s="11" t="inlineStr">
        <is>
          <t>South Upi</t>
        </is>
      </c>
      <c r="H43" s="11" t="inlineStr">
        <is>
          <t>Pandan</t>
        </is>
      </c>
      <c r="I43" s="24" t="n">
        <v>6.842816</v>
      </c>
      <c r="J43" s="24" t="n">
        <v>124.186567</v>
      </c>
      <c r="K43" s="23" t="inlineStr">
        <is>
          <t>R</t>
        </is>
      </c>
      <c r="L43" s="25" t="n">
        <v>5222</v>
      </c>
      <c r="M43" s="26" t="n">
        <v>4.7</v>
      </c>
      <c r="N43" s="25">
        <f>ROUND(L43/M43, 0)</f>
        <v/>
      </c>
      <c r="O43" s="25">
        <f>ROUND(N43*'Methodology &amp; Assumptions'!$B$7, 0)</f>
        <v/>
      </c>
      <c r="P43" s="23" t="inlineStr">
        <is>
          <t>Single Carrier (Band n50, 100MHz TDD)</t>
        </is>
      </c>
      <c r="Q43" s="27">
        <f>ROUNDUP(O43/'Methodology &amp; Assumptions'!$B$8, 0)</f>
        <v/>
      </c>
      <c r="R43" s="27" t="n">
        <v>1</v>
      </c>
      <c r="S43" s="26" t="n">
        <v>56.4</v>
      </c>
      <c r="T43" s="26" t="n">
        <v>56.35</v>
      </c>
      <c r="U43" s="11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26" t="n">
        <v>59.06</v>
      </c>
      <c r="W43" s="26" t="n">
        <v>71.76000000000001</v>
      </c>
      <c r="X43" s="26">
        <f>ROUND(('Methodology &amp; Assumptions'!$B$5*V43) + ('Methodology &amp; Assumptions'!$B$6*W43), 2)</f>
        <v/>
      </c>
      <c r="Y43" s="28" t="n">
        <v>11</v>
      </c>
      <c r="Z43" s="11" t="inlineStr">
        <is>
          <t>Priority Tier 2 (Balanced Opportunity)</t>
        </is>
      </c>
    </row>
    <row r="44">
      <c r="A44" s="23" t="n">
        <v>2</v>
      </c>
      <c r="B44" s="23" t="n">
        <v>40</v>
      </c>
      <c r="C44" s="23" t="n">
        <v>1040</v>
      </c>
      <c r="D44" s="23" t="inlineStr">
        <is>
          <t>0403410022</t>
        </is>
      </c>
      <c r="E44" s="11" t="inlineStr">
        <is>
          <t>Region IV-A (CALABARZON)</t>
        </is>
      </c>
      <c r="F44" s="11" t="inlineStr">
        <is>
          <t>Laguna</t>
        </is>
      </c>
      <c r="G44" s="11" t="inlineStr">
        <is>
          <t>Liliw</t>
        </is>
      </c>
      <c r="H44" s="11" t="inlineStr">
        <is>
          <t>Kanlurang Bukal</t>
        </is>
      </c>
      <c r="I44" s="24" t="n">
        <v>14.127366</v>
      </c>
      <c r="J44" s="24" t="n">
        <v>121.439629</v>
      </c>
      <c r="K44" s="23" t="inlineStr">
        <is>
          <t>R</t>
        </is>
      </c>
      <c r="L44" s="25" t="n">
        <v>4848</v>
      </c>
      <c r="M44" s="26" t="n">
        <v>3.3</v>
      </c>
      <c r="N44" s="25">
        <f>ROUND(L44/M44, 0)</f>
        <v/>
      </c>
      <c r="O44" s="25">
        <f>ROUND(N44*'Methodology &amp; Assumptions'!$B$7, 0)</f>
        <v/>
      </c>
      <c r="P44" s="23" t="inlineStr">
        <is>
          <t>Single Carrier (Band n50, 100MHz TDD)</t>
        </is>
      </c>
      <c r="Q44" s="27">
        <f>ROUNDUP(O44/'Methodology &amp; Assumptions'!$B$8, 0)</f>
        <v/>
      </c>
      <c r="R44" s="27" t="n">
        <v>1</v>
      </c>
      <c r="S44" s="26" t="n">
        <v>1.05</v>
      </c>
      <c r="T44" s="26" t="n">
        <v>0.46</v>
      </c>
      <c r="U44" s="11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26" t="n">
        <v>84.64</v>
      </c>
      <c r="W44" s="26" t="n">
        <v>46.17</v>
      </c>
      <c r="X44" s="26">
        <f>ROUND(('Methodology &amp; Assumptions'!$B$5*V44) + ('Methodology &amp; Assumptions'!$B$6*W44), 2)</f>
        <v/>
      </c>
      <c r="Y44" s="28" t="n">
        <v>7.2</v>
      </c>
      <c r="Z44" s="11" t="inlineStr">
        <is>
          <t>Priority Tier 2 (Balanced Opportunity)</t>
        </is>
      </c>
    </row>
    <row r="45">
      <c r="A45" s="23" t="n">
        <v>2</v>
      </c>
      <c r="B45" s="23" t="n">
        <v>41</v>
      </c>
      <c r="C45" s="23" t="n">
        <v>1041</v>
      </c>
      <c r="D45" s="23" t="inlineStr">
        <is>
          <t>0402123015</t>
        </is>
      </c>
      <c r="E45" s="11" t="inlineStr">
        <is>
          <t>Region IV-A (CALABARZON)</t>
        </is>
      </c>
      <c r="F45" s="11" t="inlineStr">
        <is>
          <t>Cavite</t>
        </is>
      </c>
      <c r="G45" s="11" t="inlineStr">
        <is>
          <t>Gen. Mariano Alvarez</t>
        </is>
      </c>
      <c r="H45" s="11" t="inlineStr">
        <is>
          <t>Inocencio Salud</t>
        </is>
      </c>
      <c r="I45" s="24" t="n">
        <v>14.309808</v>
      </c>
      <c r="J45" s="24" t="n">
        <v>121.013665</v>
      </c>
      <c r="K45" s="23" t="inlineStr">
        <is>
          <t>R</t>
        </is>
      </c>
      <c r="L45" s="25" t="n">
        <v>2702</v>
      </c>
      <c r="M45" s="26" t="n">
        <v>3.4</v>
      </c>
      <c r="N45" s="25">
        <f>ROUND(L45/M45, 0)</f>
        <v/>
      </c>
      <c r="O45" s="25">
        <f>ROUND(N45*'Methodology &amp; Assumptions'!$B$7, 0)</f>
        <v/>
      </c>
      <c r="P45" s="23" t="inlineStr">
        <is>
          <t>Single Carrier (Band n50, 100MHz TDD)</t>
        </is>
      </c>
      <c r="Q45" s="27">
        <f>ROUNDUP(O45/'Methodology &amp; Assumptions'!$B$8, 0)</f>
        <v/>
      </c>
      <c r="R45" s="27" t="n">
        <v>1</v>
      </c>
      <c r="S45" s="26" t="n">
        <v>3.04</v>
      </c>
      <c r="T45" s="26" t="n">
        <v>3.92</v>
      </c>
      <c r="U45" s="11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26" t="n">
        <v>73.70999999999999</v>
      </c>
      <c r="W45" s="26" t="n">
        <v>57.09</v>
      </c>
      <c r="X45" s="26">
        <f>ROUND(('Methodology &amp; Assumptions'!$B$5*V45) + ('Methodology &amp; Assumptions'!$B$6*W45), 2)</f>
        <v/>
      </c>
      <c r="Y45" s="28" t="n">
        <v>7.2</v>
      </c>
      <c r="Z45" s="11" t="inlineStr">
        <is>
          <t>Priority Tier 2 (Balanced Opportunity)</t>
        </is>
      </c>
    </row>
    <row r="46">
      <c r="A46" s="23" t="n">
        <v>2</v>
      </c>
      <c r="B46" s="23" t="n">
        <v>42</v>
      </c>
      <c r="C46" s="23" t="n">
        <v>1042</v>
      </c>
      <c r="D46" s="23" t="inlineStr">
        <is>
          <t>0402104016</t>
        </is>
      </c>
      <c r="E46" s="11" t="inlineStr">
        <is>
          <t>Region IV-A (CALABARZON)</t>
        </is>
      </c>
      <c r="F46" s="11" t="inlineStr">
        <is>
          <t>Cavite</t>
        </is>
      </c>
      <c r="G46" s="11" t="inlineStr">
        <is>
          <t>Carmona</t>
        </is>
      </c>
      <c r="H46" s="11" t="inlineStr">
        <is>
          <t>Barangay 5</t>
        </is>
      </c>
      <c r="I46" s="24" t="n">
        <v>14.308524</v>
      </c>
      <c r="J46" s="24" t="n">
        <v>121.050334</v>
      </c>
      <c r="K46" s="23" t="inlineStr">
        <is>
          <t>R</t>
        </is>
      </c>
      <c r="L46" s="25" t="n">
        <v>560</v>
      </c>
      <c r="M46" s="26" t="n">
        <v>3.4</v>
      </c>
      <c r="N46" s="25">
        <f>ROUND(L46/M46, 0)</f>
        <v/>
      </c>
      <c r="O46" s="25">
        <f>ROUND(N46*'Methodology &amp; Assumptions'!$B$7, 0)</f>
        <v/>
      </c>
      <c r="P46" s="23" t="inlineStr">
        <is>
          <t>Single Carrier (Band n50, 100MHz TDD)</t>
        </is>
      </c>
      <c r="Q46" s="27">
        <f>ROUNDUP(O46/'Methodology &amp; Assumptions'!$B$8, 0)</f>
        <v/>
      </c>
      <c r="R46" s="27" t="n">
        <v>1</v>
      </c>
      <c r="S46" s="26" t="n">
        <v>0.26</v>
      </c>
      <c r="T46" s="26" t="n">
        <v>0.27</v>
      </c>
      <c r="U46" s="11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26" t="n">
        <v>64.3</v>
      </c>
      <c r="W46" s="26" t="n">
        <v>66.48999999999999</v>
      </c>
      <c r="X46" s="26">
        <f>ROUND(('Methodology &amp; Assumptions'!$B$5*V46) + ('Methodology &amp; Assumptions'!$B$6*W46), 2)</f>
        <v/>
      </c>
      <c r="Y46" s="28" t="n">
        <v>7.2</v>
      </c>
      <c r="Z46" s="11" t="inlineStr">
        <is>
          <t>Priority Tier 2 (Balanced Opportunity)</t>
        </is>
      </c>
    </row>
    <row r="47">
      <c r="A47" s="23" t="n">
        <v>2</v>
      </c>
      <c r="B47" s="23" t="n">
        <v>43</v>
      </c>
      <c r="C47" s="23" t="n">
        <v>1043</v>
      </c>
      <c r="D47" s="23" t="inlineStr">
        <is>
          <t>1380608004</t>
        </is>
      </c>
      <c r="E47" s="11" t="inlineStr">
        <is>
          <t>National Capital Region (NCR)</t>
        </is>
      </c>
      <c r="F47" s="11" t="inlineStr">
        <is>
          <t>First District (Not a Province)</t>
        </is>
      </c>
      <c r="G47" s="11" t="inlineStr">
        <is>
          <t>City of Manila</t>
        </is>
      </c>
      <c r="H47" s="11" t="inlineStr">
        <is>
          <t>Barangay 660-A</t>
        </is>
      </c>
      <c r="I47" s="24" t="n">
        <v>14.584518</v>
      </c>
      <c r="J47" s="24" t="n">
        <v>120.985123</v>
      </c>
      <c r="K47" s="23" t="inlineStr">
        <is>
          <t>U</t>
        </is>
      </c>
      <c r="L47" s="25" t="n">
        <v>3099</v>
      </c>
      <c r="M47" s="26" t="n">
        <v>4.38</v>
      </c>
      <c r="N47" s="25">
        <f>ROUND(L47/M47, 0)</f>
        <v/>
      </c>
      <c r="O47" s="25">
        <f>ROUND(N47*'Methodology &amp; Assumptions'!$B$7, 0)</f>
        <v/>
      </c>
      <c r="P47" s="23" t="inlineStr">
        <is>
          <t>Single Carrier (Band n50, 100MHz TDD)</t>
        </is>
      </c>
      <c r="Q47" s="27">
        <f>ROUNDUP(O47/'Methodology &amp; Assumptions'!$B$8, 0)</f>
        <v/>
      </c>
      <c r="R47" s="27" t="n">
        <v>1</v>
      </c>
      <c r="S47" s="26" t="n">
        <v>0.68</v>
      </c>
      <c r="T47" s="26" t="n">
        <v>0.29</v>
      </c>
      <c r="U47" s="11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26" t="n">
        <v>63.8</v>
      </c>
      <c r="W47" s="26" t="n">
        <v>66.97</v>
      </c>
      <c r="X47" s="26">
        <f>ROUND(('Methodology &amp; Assumptions'!$B$5*V47) + ('Methodology &amp; Assumptions'!$B$6*W47), 2)</f>
        <v/>
      </c>
      <c r="Y47" s="28" t="n">
        <v>10.9</v>
      </c>
      <c r="Z47" s="11" t="inlineStr">
        <is>
          <t>Priority Tier 2 (Balanced Opportunity)</t>
        </is>
      </c>
    </row>
    <row r="48">
      <c r="A48" s="23" t="n">
        <v>2</v>
      </c>
      <c r="B48" s="23" t="n">
        <v>44</v>
      </c>
      <c r="C48" s="23" t="n">
        <v>1044</v>
      </c>
      <c r="D48" s="23" t="inlineStr">
        <is>
          <t>1102508016</t>
        </is>
      </c>
      <c r="E48" s="11" t="inlineStr">
        <is>
          <t>Region XI (Davao Region)</t>
        </is>
      </c>
      <c r="F48" s="11" t="inlineStr">
        <is>
          <t>Davao Oriental</t>
        </is>
      </c>
      <c r="G48" s="11" t="inlineStr">
        <is>
          <t>Manay</t>
        </is>
      </c>
      <c r="H48" s="11" t="inlineStr">
        <is>
          <t>New Taokanga</t>
        </is>
      </c>
      <c r="I48" s="24" t="n">
        <v>7.278096</v>
      </c>
      <c r="J48" s="24" t="n">
        <v>126.444553</v>
      </c>
      <c r="K48" s="23" t="inlineStr">
        <is>
          <t>R</t>
        </is>
      </c>
      <c r="L48" s="25" t="n">
        <v>3025</v>
      </c>
      <c r="M48" s="26" t="n">
        <v>3.6</v>
      </c>
      <c r="N48" s="25">
        <f>ROUND(L48/M48, 0)</f>
        <v/>
      </c>
      <c r="O48" s="25">
        <f>ROUND(N48*'Methodology &amp; Assumptions'!$B$7, 0)</f>
        <v/>
      </c>
      <c r="P48" s="23" t="inlineStr">
        <is>
          <t>Single Carrier (Band n50, 100MHz TDD)</t>
        </is>
      </c>
      <c r="Q48" s="27">
        <f>ROUNDUP(O48/'Methodology &amp; Assumptions'!$B$8, 0)</f>
        <v/>
      </c>
      <c r="R48" s="27" t="n">
        <v>1</v>
      </c>
      <c r="S48" s="26" t="n">
        <v>43.88</v>
      </c>
      <c r="T48" s="26" t="n">
        <v>42.97</v>
      </c>
      <c r="U48" s="11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26" t="n">
        <v>61.48</v>
      </c>
      <c r="W48" s="26" t="n">
        <v>69.29000000000001</v>
      </c>
      <c r="X48" s="26">
        <f>ROUND(('Methodology &amp; Assumptions'!$B$5*V48) + ('Methodology &amp; Assumptions'!$B$6*W48), 2)</f>
        <v/>
      </c>
      <c r="Y48" s="28" t="n">
        <v>17.4</v>
      </c>
      <c r="Z48" s="11" t="inlineStr">
        <is>
          <t>Priority Tier 2 (Balanced Opportunity)</t>
        </is>
      </c>
    </row>
    <row r="49">
      <c r="A49" s="23" t="n">
        <v>2</v>
      </c>
      <c r="B49" s="23" t="n">
        <v>45</v>
      </c>
      <c r="C49" s="23" t="n">
        <v>1045</v>
      </c>
      <c r="D49" s="23" t="inlineStr">
        <is>
          <t>1380601096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96</t>
        </is>
      </c>
      <c r="I49" s="24" t="n">
        <v>14.62303</v>
      </c>
      <c r="J49" s="24" t="n">
        <v>120.963964</v>
      </c>
      <c r="K49" s="23" t="inlineStr">
        <is>
          <t>U</t>
        </is>
      </c>
      <c r="L49" s="25" t="n">
        <v>2230</v>
      </c>
      <c r="M49" s="26" t="n">
        <v>4.54</v>
      </c>
      <c r="N49" s="25">
        <f>ROUND(L49/M49, 0)</f>
        <v/>
      </c>
      <c r="O49" s="25">
        <f>ROUND(N49*'Methodology &amp; Assumptions'!$B$7, 0)</f>
        <v/>
      </c>
      <c r="P49" s="23" t="inlineStr">
        <is>
          <t>Single Carrier (Band n50, 100MHz TDD)</t>
        </is>
      </c>
      <c r="Q49" s="27">
        <f>ROUNDUP(O49/'Methodology &amp; Assumptions'!$B$8, 0)</f>
        <v/>
      </c>
      <c r="R49" s="27" t="n">
        <v>1</v>
      </c>
      <c r="S49" s="26" t="n">
        <v>0.58</v>
      </c>
      <c r="T49" s="26" t="n">
        <v>0.36</v>
      </c>
      <c r="U49" s="11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26" t="n">
        <v>56.84</v>
      </c>
      <c r="W49" s="26" t="n">
        <v>73.93000000000001</v>
      </c>
      <c r="X49" s="26">
        <f>ROUND(('Methodology &amp; Assumptions'!$B$5*V49) + ('Methodology &amp; Assumptions'!$B$6*W49), 2)</f>
        <v/>
      </c>
      <c r="Y49" s="28" t="n">
        <v>10.9</v>
      </c>
      <c r="Z49" s="11" t="inlineStr">
        <is>
          <t>Priority Tier 2 (Balanced Opportunity)</t>
        </is>
      </c>
    </row>
    <row r="50">
      <c r="A50" s="23" t="n">
        <v>2</v>
      </c>
      <c r="B50" s="23" t="n">
        <v>46</v>
      </c>
      <c r="C50" s="23" t="n">
        <v>1046</v>
      </c>
      <c r="D50" s="23" t="inlineStr">
        <is>
          <t>0403416008</t>
        </is>
      </c>
      <c r="E50" s="11" t="inlineStr">
        <is>
          <t>Region IV-A (CALABARZON)</t>
        </is>
      </c>
      <c r="F50" s="11" t="inlineStr">
        <is>
          <t>Laguna</t>
        </is>
      </c>
      <c r="G50" s="11" t="inlineStr">
        <is>
          <t>Majayjay</t>
        </is>
      </c>
      <c r="H50" s="11" t="inlineStr">
        <is>
          <t>Banti</t>
        </is>
      </c>
      <c r="I50" s="24" t="n">
        <v>14.188517</v>
      </c>
      <c r="J50" s="24" t="n">
        <v>121.465535</v>
      </c>
      <c r="K50" s="23" t="inlineStr">
        <is>
          <t>R</t>
        </is>
      </c>
      <c r="L50" s="25" t="n">
        <v>90</v>
      </c>
      <c r="M50" s="26" t="n">
        <v>3.3</v>
      </c>
      <c r="N50" s="25">
        <f>ROUND(L50/M50, 0)</f>
        <v/>
      </c>
      <c r="O50" s="25">
        <f>ROUND(N50*'Methodology &amp; Assumptions'!$B$7, 0)</f>
        <v/>
      </c>
      <c r="P50" s="23" t="inlineStr">
        <is>
          <t>Single Carrier (Band n50, 100MHz TDD)</t>
        </is>
      </c>
      <c r="Q50" s="27">
        <f>ROUNDUP(O50/'Methodology &amp; Assumptions'!$B$8, 0)</f>
        <v/>
      </c>
      <c r="R50" s="27" t="n">
        <v>1</v>
      </c>
      <c r="S50" s="26" t="n">
        <v>3.9</v>
      </c>
      <c r="T50" s="26" t="n">
        <v>3.91</v>
      </c>
      <c r="U50" s="11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26" t="n">
        <v>46.81</v>
      </c>
      <c r="W50" s="26" t="n">
        <v>83.95999999999999</v>
      </c>
      <c r="X50" s="26">
        <f>ROUND(('Methodology &amp; Assumptions'!$B$5*V50) + ('Methodology &amp; Assumptions'!$B$6*W50), 2)</f>
        <v/>
      </c>
      <c r="Y50" s="28" t="n">
        <v>7.2</v>
      </c>
      <c r="Z50" s="11" t="inlineStr">
        <is>
          <t>Priority Tier 2 (Balanced Opportunity)</t>
        </is>
      </c>
    </row>
    <row r="51">
      <c r="A51" s="23" t="n">
        <v>2</v>
      </c>
      <c r="B51" s="23" t="n">
        <v>47</v>
      </c>
      <c r="C51" s="23" t="n">
        <v>1047</v>
      </c>
      <c r="D51" s="23" t="inlineStr">
        <is>
          <t>1380604015</t>
        </is>
      </c>
      <c r="E51" s="11" t="inlineStr">
        <is>
          <t>National Capital Region (NCR)</t>
        </is>
      </c>
      <c r="F51" s="11" t="inlineStr">
        <is>
          <t>First District (Not a Province)</t>
        </is>
      </c>
      <c r="G51" s="11" t="inlineStr">
        <is>
          <t>City of Manila</t>
        </is>
      </c>
      <c r="H51" s="11" t="inlineStr">
        <is>
          <t>Barangay 282</t>
        </is>
      </c>
      <c r="I51" s="24" t="n">
        <v>14.598287</v>
      </c>
      <c r="J51" s="24" t="n">
        <v>120.972495</v>
      </c>
      <c r="K51" s="23" t="inlineStr">
        <is>
          <t>U</t>
        </is>
      </c>
      <c r="L51" s="25" t="n">
        <v>2503</v>
      </c>
      <c r="M51" s="26" t="n">
        <v>3.79</v>
      </c>
      <c r="N51" s="25">
        <f>ROUND(L51/M51, 0)</f>
        <v/>
      </c>
      <c r="O51" s="25">
        <f>ROUND(N51*'Methodology &amp; Assumptions'!$B$7, 0)</f>
        <v/>
      </c>
      <c r="P51" s="23" t="inlineStr">
        <is>
          <t>Single Carrier (Band n50, 100MHz TDD)</t>
        </is>
      </c>
      <c r="Q51" s="27">
        <f>ROUNDUP(O51/'Methodology &amp; Assumptions'!$B$8, 0)</f>
        <v/>
      </c>
      <c r="R51" s="27" t="n">
        <v>1</v>
      </c>
      <c r="S51" s="26" t="n">
        <v>0.99</v>
      </c>
      <c r="T51" s="26" t="n">
        <v>0.86</v>
      </c>
      <c r="U51" s="11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26" t="n">
        <v>61.72</v>
      </c>
      <c r="W51" s="26" t="n">
        <v>69.02</v>
      </c>
      <c r="X51" s="26">
        <f>ROUND(('Methodology &amp; Assumptions'!$B$5*V51) + ('Methodology &amp; Assumptions'!$B$6*W51), 2)</f>
        <v/>
      </c>
      <c r="Y51" s="28" t="n">
        <v>10.9</v>
      </c>
      <c r="Z51" s="11" t="inlineStr">
        <is>
          <t>Priority Tier 2 (Balanced Opportunity)</t>
        </is>
      </c>
    </row>
    <row r="52">
      <c r="A52" s="23" t="n">
        <v>2</v>
      </c>
      <c r="B52" s="23" t="n">
        <v>48</v>
      </c>
      <c r="C52" s="23" t="n">
        <v>1048</v>
      </c>
      <c r="D52" s="23" t="inlineStr">
        <is>
          <t>1908816002</t>
        </is>
      </c>
      <c r="E52" s="11" t="inlineStr">
        <is>
          <t>Bangsamoro Autonomous Region In Muslim Mindanao (BARMM)</t>
        </is>
      </c>
      <c r="F52" s="11" t="inlineStr">
        <is>
          <t>Maguindanao del Sur</t>
        </is>
      </c>
      <c r="G52" s="11" t="inlineStr">
        <is>
          <t>Pagalungan</t>
        </is>
      </c>
      <c r="H52" s="11" t="inlineStr">
        <is>
          <t>Buliok</t>
        </is>
      </c>
      <c r="I52" s="24" t="n">
        <v>6.982438</v>
      </c>
      <c r="J52" s="24" t="n">
        <v>124.757506</v>
      </c>
      <c r="K52" s="23" t="inlineStr">
        <is>
          <t>R</t>
        </is>
      </c>
      <c r="L52" s="25" t="n">
        <v>5559</v>
      </c>
      <c r="M52" s="26" t="n">
        <v>4.7</v>
      </c>
      <c r="N52" s="25">
        <f>ROUND(L52/M52, 0)</f>
        <v/>
      </c>
      <c r="O52" s="25">
        <f>ROUND(N52*'Methodology &amp; Assumptions'!$B$7, 0)</f>
        <v/>
      </c>
      <c r="P52" s="23" t="inlineStr">
        <is>
          <t>Single Carrier (Band n50, 100MHz TDD)</t>
        </is>
      </c>
      <c r="Q52" s="27">
        <f>ROUNDUP(O52/'Methodology &amp; Assumptions'!$B$8, 0)</f>
        <v/>
      </c>
      <c r="R52" s="27" t="n">
        <v>1</v>
      </c>
      <c r="S52" s="26" t="n">
        <v>24.87</v>
      </c>
      <c r="T52" s="26" t="n">
        <v>15.47</v>
      </c>
      <c r="U52" s="11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26" t="n">
        <v>59.06</v>
      </c>
      <c r="W52" s="26" t="n">
        <v>71.68000000000001</v>
      </c>
      <c r="X52" s="26">
        <f>ROUND(('Methodology &amp; Assumptions'!$B$5*V52) + ('Methodology &amp; Assumptions'!$B$6*W52), 2)</f>
        <v/>
      </c>
      <c r="Y52" s="28" t="n">
        <v>11</v>
      </c>
      <c r="Z52" s="11" t="inlineStr">
        <is>
          <t>Priority Tier 2 (Balanced Opportunity)</t>
        </is>
      </c>
    </row>
    <row r="53">
      <c r="A53" s="23" t="n">
        <v>2</v>
      </c>
      <c r="B53" s="23" t="n">
        <v>49</v>
      </c>
      <c r="C53" s="23" t="n">
        <v>1049</v>
      </c>
      <c r="D53" s="23" t="inlineStr">
        <is>
          <t>1380601069</t>
        </is>
      </c>
      <c r="E53" s="11" t="inlineStr">
        <is>
          <t>National Capital Region (NCR)</t>
        </is>
      </c>
      <c r="F53" s="11" t="inlineStr">
        <is>
          <t>First District (Not a Province)</t>
        </is>
      </c>
      <c r="G53" s="11" t="inlineStr">
        <is>
          <t>City of Manila</t>
        </is>
      </c>
      <c r="H53" s="11" t="inlineStr">
        <is>
          <t>Barangay 69</t>
        </is>
      </c>
      <c r="I53" s="24" t="n">
        <v>14.610526</v>
      </c>
      <c r="J53" s="24" t="n">
        <v>120.964827</v>
      </c>
      <c r="K53" s="23" t="inlineStr">
        <is>
          <t>U</t>
        </is>
      </c>
      <c r="L53" s="25" t="n">
        <v>2143</v>
      </c>
      <c r="M53" s="26" t="n">
        <v>4.37</v>
      </c>
      <c r="N53" s="25">
        <f>ROUND(L53/M53, 0)</f>
        <v/>
      </c>
      <c r="O53" s="25">
        <f>ROUND(N53*'Methodology &amp; Assumptions'!$B$7, 0)</f>
        <v/>
      </c>
      <c r="P53" s="23" t="inlineStr">
        <is>
          <t>Single Carrier (Band n50, 100MHz TDD)</t>
        </is>
      </c>
      <c r="Q53" s="27">
        <f>ROUNDUP(O53/'Methodology &amp; Assumptions'!$B$8, 0)</f>
        <v/>
      </c>
      <c r="R53" s="27" t="n">
        <v>1</v>
      </c>
      <c r="S53" s="26" t="n">
        <v>0.67</v>
      </c>
      <c r="T53" s="26" t="n">
        <v>0.46</v>
      </c>
      <c r="U53" s="11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26" t="n">
        <v>56.84</v>
      </c>
      <c r="W53" s="26" t="n">
        <v>73.91</v>
      </c>
      <c r="X53" s="26">
        <f>ROUND(('Methodology &amp; Assumptions'!$B$5*V53) + ('Methodology &amp; Assumptions'!$B$6*W53), 2)</f>
        <v/>
      </c>
      <c r="Y53" s="28" t="n">
        <v>10.9</v>
      </c>
      <c r="Z53" s="11" t="inlineStr">
        <is>
          <t>Priority Tier 2 (Balanced Opportunity)</t>
        </is>
      </c>
    </row>
    <row r="54">
      <c r="A54" s="23" t="n">
        <v>2</v>
      </c>
      <c r="B54" s="23" t="n">
        <v>50</v>
      </c>
      <c r="C54" s="23" t="n">
        <v>1050</v>
      </c>
      <c r="D54" s="23" t="inlineStr">
        <is>
          <t>1380700010</t>
        </is>
      </c>
      <c r="E54" s="11" t="inlineStr">
        <is>
          <t>National Capital Region (NCR)</t>
        </is>
      </c>
      <c r="F54" s="11" t="inlineStr">
        <is>
          <t>Second District (Not a Province)</t>
        </is>
      </c>
      <c r="G54" s="11" t="inlineStr">
        <is>
          <t>City of Marikina</t>
        </is>
      </c>
      <c r="H54" s="11" t="inlineStr">
        <is>
          <t>Santo Niño</t>
        </is>
      </c>
      <c r="I54" s="24" t="n">
        <v>14.640399</v>
      </c>
      <c r="J54" s="24" t="n">
        <v>121.096743</v>
      </c>
      <c r="K54" s="23" t="inlineStr">
        <is>
          <t>U</t>
        </is>
      </c>
      <c r="L54" s="25" t="n">
        <v>30271</v>
      </c>
      <c r="M54" s="26" t="n">
        <v>3.67</v>
      </c>
      <c r="N54" s="25">
        <f>ROUND(L54/M54, 0)</f>
        <v/>
      </c>
      <c r="O54" s="25">
        <f>ROUND(N54*'Methodology &amp; Assumptions'!$B$7, 0)</f>
        <v/>
      </c>
      <c r="P54" s="23" t="inlineStr">
        <is>
          <t>Single Carrier (Band n50, 100MHz TDD)</t>
        </is>
      </c>
      <c r="Q54" s="27">
        <f>ROUNDUP(O54/'Methodology &amp; Assumptions'!$B$8, 0)</f>
        <v/>
      </c>
      <c r="R54" s="27" t="n">
        <v>1</v>
      </c>
      <c r="S54" s="26" t="n">
        <v>0.46</v>
      </c>
      <c r="T54" s="26" t="n">
        <v>0.27</v>
      </c>
      <c r="U54" s="11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26" t="n">
        <v>67.47</v>
      </c>
      <c r="W54" s="26" t="n">
        <v>63.24</v>
      </c>
      <c r="X54" s="26">
        <f>ROUND(('Methodology &amp; Assumptions'!$B$5*V54) + ('Methodology &amp; Assumptions'!$B$6*W54), 2)</f>
        <v/>
      </c>
      <c r="Y54" s="28" t="n">
        <v>10.9</v>
      </c>
      <c r="Z54" s="11" t="inlineStr">
        <is>
          <t>Priority Tier 2 (Balanced Opportunity)</t>
        </is>
      </c>
    </row>
    <row r="55">
      <c r="A55" s="23" t="n">
        <v>2</v>
      </c>
      <c r="B55" s="23" t="n">
        <v>51</v>
      </c>
      <c r="C55" s="23" t="n">
        <v>1051</v>
      </c>
      <c r="D55" s="23" t="inlineStr">
        <is>
          <t>1908704004</t>
        </is>
      </c>
      <c r="E55" s="11" t="inlineStr">
        <is>
          <t>Bangsamoro Autonomous Region In Muslim Mindanao (BARMM)</t>
        </is>
      </c>
      <c r="F55" s="11" t="inlineStr">
        <is>
          <t>Maguindanao del Norte</t>
        </is>
      </c>
      <c r="G55" s="11" t="inlineStr">
        <is>
          <t>Datu Blah T. Sinsuat</t>
        </is>
      </c>
      <c r="H55" s="11" t="inlineStr">
        <is>
          <t>Matuber</t>
        </is>
      </c>
      <c r="I55" s="24" t="n">
        <v>7.091271</v>
      </c>
      <c r="J55" s="24" t="n">
        <v>124.053004</v>
      </c>
      <c r="K55" s="23" t="inlineStr">
        <is>
          <t>R</t>
        </is>
      </c>
      <c r="L55" s="25" t="n">
        <v>7440</v>
      </c>
      <c r="M55" s="26" t="n">
        <v>4.3</v>
      </c>
      <c r="N55" s="25">
        <f>ROUND(L55/M55, 0)</f>
        <v/>
      </c>
      <c r="O55" s="25">
        <f>ROUND(N55*'Methodology &amp; Assumptions'!$B$7, 0)</f>
        <v/>
      </c>
      <c r="P55" s="23" t="inlineStr">
        <is>
          <t>Single Carrier (Band n50, 100MHz TDD)</t>
        </is>
      </c>
      <c r="Q55" s="27">
        <f>ROUNDUP(O55/'Methodology &amp; Assumptions'!$B$8, 0)</f>
        <v/>
      </c>
      <c r="R55" s="27" t="n">
        <v>1</v>
      </c>
      <c r="S55" s="26" t="n">
        <v>81.77</v>
      </c>
      <c r="T55" s="26" t="n">
        <v>81.70999999999999</v>
      </c>
      <c r="U55" s="11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26" t="n">
        <v>59.06</v>
      </c>
      <c r="W55" s="26" t="n">
        <v>71.66</v>
      </c>
      <c r="X55" s="26">
        <f>ROUND(('Methodology &amp; Assumptions'!$B$5*V55) + ('Methodology &amp; Assumptions'!$B$6*W55), 2)</f>
        <v/>
      </c>
      <c r="Y55" s="28" t="n">
        <v>11</v>
      </c>
      <c r="Z55" s="11" t="inlineStr">
        <is>
          <t>Priority Tier 2 (Balanced Opportunity)</t>
        </is>
      </c>
    </row>
    <row r="56">
      <c r="A56" s="23" t="n">
        <v>2</v>
      </c>
      <c r="B56" s="23" t="n">
        <v>52</v>
      </c>
      <c r="C56" s="23" t="n">
        <v>1052</v>
      </c>
      <c r="D56" s="23" t="inlineStr">
        <is>
          <t>0102803025</t>
        </is>
      </c>
      <c r="E56" s="11" t="inlineStr">
        <is>
          <t>Region I (Ilocos Region)</t>
        </is>
      </c>
      <c r="F56" s="11" t="inlineStr">
        <is>
          <t>Ilocos Norte</t>
        </is>
      </c>
      <c r="G56" s="11" t="inlineStr">
        <is>
          <t>Badoc</t>
        </is>
      </c>
      <c r="H56" s="11" t="inlineStr">
        <is>
          <t>Nagrebcan</t>
        </is>
      </c>
      <c r="I56" s="24" t="n">
        <v>17.883634</v>
      </c>
      <c r="J56" s="24" t="n">
        <v>120.54518</v>
      </c>
      <c r="K56" s="23" t="inlineStr">
        <is>
          <t>R</t>
        </is>
      </c>
      <c r="L56" s="25" t="n">
        <v>536</v>
      </c>
      <c r="M56" s="26" t="n">
        <v>3.7</v>
      </c>
      <c r="N56" s="25">
        <f>ROUND(L56/M56, 0)</f>
        <v/>
      </c>
      <c r="O56" s="25">
        <f>ROUND(N56*'Methodology &amp; Assumptions'!$B$7, 0)</f>
        <v/>
      </c>
      <c r="P56" s="23" t="inlineStr">
        <is>
          <t>Single Carrier (Band n50, 100MHz TDD)</t>
        </is>
      </c>
      <c r="Q56" s="27">
        <f>ROUNDUP(O56/'Methodology &amp; Assumptions'!$B$8, 0)</f>
        <v/>
      </c>
      <c r="R56" s="27" t="n">
        <v>1</v>
      </c>
      <c r="S56" s="26" t="n">
        <v>7.7</v>
      </c>
      <c r="T56" s="26" t="n">
        <v>7.47</v>
      </c>
      <c r="U56" s="11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26" t="n">
        <v>45.19</v>
      </c>
      <c r="W56" s="26" t="n">
        <v>85.54000000000001</v>
      </c>
      <c r="X56" s="26">
        <f>ROUND(('Methodology &amp; Assumptions'!$B$5*V56) + ('Methodology &amp; Assumptions'!$B$6*W56), 2)</f>
        <v/>
      </c>
      <c r="Y56" s="28" t="n">
        <v>8.300000000000001</v>
      </c>
      <c r="Z56" s="11" t="inlineStr">
        <is>
          <t>Priority Tier 2 (Balanced Opportunity)</t>
        </is>
      </c>
    </row>
    <row r="57">
      <c r="A57" s="23" t="n">
        <v>2</v>
      </c>
      <c r="B57" s="23" t="n">
        <v>53</v>
      </c>
      <c r="C57" s="23" t="n">
        <v>1053</v>
      </c>
      <c r="D57" s="23" t="inlineStr">
        <is>
          <t>0103305019</t>
        </is>
      </c>
      <c r="E57" s="11" t="inlineStr">
        <is>
          <t>Region I (Ilocos Region)</t>
        </is>
      </c>
      <c r="F57" s="11" t="inlineStr">
        <is>
          <t>La Union</t>
        </is>
      </c>
      <c r="G57" s="11" t="inlineStr">
        <is>
          <t>Balaoan</t>
        </is>
      </c>
      <c r="H57" s="11" t="inlineStr">
        <is>
          <t>Nagsabaran Sur</t>
        </is>
      </c>
      <c r="I57" s="24" t="n">
        <v>16.79934</v>
      </c>
      <c r="J57" s="24" t="n">
        <v>120.382793</v>
      </c>
      <c r="K57" s="23" t="inlineStr">
        <is>
          <t>R</t>
        </is>
      </c>
      <c r="L57" s="25" t="n">
        <v>1223</v>
      </c>
      <c r="M57" s="26" t="n">
        <v>3.7</v>
      </c>
      <c r="N57" s="25">
        <f>ROUND(L57/M57, 0)</f>
        <v/>
      </c>
      <c r="O57" s="25">
        <f>ROUND(N57*'Methodology &amp; Assumptions'!$B$7, 0)</f>
        <v/>
      </c>
      <c r="P57" s="23" t="inlineStr">
        <is>
          <t>Single Carrier (Band n50, 100MHz TDD)</t>
        </is>
      </c>
      <c r="Q57" s="27">
        <f>ROUNDUP(O57/'Methodology &amp; Assumptions'!$B$8, 0)</f>
        <v/>
      </c>
      <c r="R57" s="27" t="n">
        <v>1</v>
      </c>
      <c r="S57" s="26" t="n">
        <v>2.75</v>
      </c>
      <c r="T57" s="26" t="n">
        <v>2.77</v>
      </c>
      <c r="U57" s="11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26" t="n">
        <v>59.56</v>
      </c>
      <c r="W57" s="26" t="n">
        <v>71.14</v>
      </c>
      <c r="X57" s="26">
        <f>ROUND(('Methodology &amp; Assumptions'!$B$5*V57) + ('Methodology &amp; Assumptions'!$B$6*W57), 2)</f>
        <v/>
      </c>
      <c r="Y57" s="28" t="n">
        <v>8.300000000000001</v>
      </c>
      <c r="Z57" s="11" t="inlineStr">
        <is>
          <t>Priority Tier 2 (Balanced Opportunity)</t>
        </is>
      </c>
    </row>
    <row r="58">
      <c r="A58" s="23" t="n">
        <v>2</v>
      </c>
      <c r="B58" s="23" t="n">
        <v>54</v>
      </c>
      <c r="C58" s="23" t="n">
        <v>1054</v>
      </c>
      <c r="D58" s="23" t="inlineStr">
        <is>
          <t>1380601036</t>
        </is>
      </c>
      <c r="E58" s="11" t="inlineStr">
        <is>
          <t>National Capital Region (NCR)</t>
        </is>
      </c>
      <c r="F58" s="11" t="inlineStr">
        <is>
          <t>First District (Not a Province)</t>
        </is>
      </c>
      <c r="G58" s="11" t="inlineStr">
        <is>
          <t>City of Manila</t>
        </is>
      </c>
      <c r="H58" s="11" t="inlineStr">
        <is>
          <t>Barangay 36</t>
        </is>
      </c>
      <c r="I58" s="24" t="n">
        <v>14.60398</v>
      </c>
      <c r="J58" s="24" t="n">
        <v>120.964715</v>
      </c>
      <c r="K58" s="23" t="inlineStr">
        <is>
          <t>U</t>
        </is>
      </c>
      <c r="L58" s="25" t="n">
        <v>2267</v>
      </c>
      <c r="M58" s="26" t="n">
        <v>4.71</v>
      </c>
      <c r="N58" s="25">
        <f>ROUND(L58/M58, 0)</f>
        <v/>
      </c>
      <c r="O58" s="25">
        <f>ROUND(N58*'Methodology &amp; Assumptions'!$B$7, 0)</f>
        <v/>
      </c>
      <c r="P58" s="23" t="inlineStr">
        <is>
          <t>Single Carrier (Band n50, 100MHz TDD)</t>
        </is>
      </c>
      <c r="Q58" s="27">
        <f>ROUNDUP(O58/'Methodology &amp; Assumptions'!$B$8, 0)</f>
        <v/>
      </c>
      <c r="R58" s="27" t="n">
        <v>1</v>
      </c>
      <c r="S58" s="26" t="n">
        <v>0.62</v>
      </c>
      <c r="T58" s="26" t="n">
        <v>0.62</v>
      </c>
      <c r="U58" s="11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26" t="n">
        <v>56.52</v>
      </c>
      <c r="W58" s="26" t="n">
        <v>74.19</v>
      </c>
      <c r="X58" s="26">
        <f>ROUND(('Methodology &amp; Assumptions'!$B$5*V58) + ('Methodology &amp; Assumptions'!$B$6*W58), 2)</f>
        <v/>
      </c>
      <c r="Y58" s="28" t="n">
        <v>10.9</v>
      </c>
      <c r="Z58" s="11" t="inlineStr">
        <is>
          <t>Priority Tier 2 (Balanced Opportunity)</t>
        </is>
      </c>
    </row>
    <row r="59">
      <c r="A59" s="23" t="n">
        <v>2</v>
      </c>
      <c r="B59" s="23" t="n">
        <v>55</v>
      </c>
      <c r="C59" s="23" t="n">
        <v>1055</v>
      </c>
      <c r="D59" s="23" t="inlineStr">
        <is>
          <t>1381400014</t>
        </is>
      </c>
      <c r="E59" s="11" t="inlineStr">
        <is>
          <t>National Capital Region (NCR)</t>
        </is>
      </c>
      <c r="F59" s="11" t="inlineStr">
        <is>
          <t>Second District (Not a Province)</t>
        </is>
      </c>
      <c r="G59" s="11" t="inlineStr">
        <is>
          <t>City of San Juan</t>
        </is>
      </c>
      <c r="H59" s="11" t="inlineStr">
        <is>
          <t>Progreso</t>
        </is>
      </c>
      <c r="I59" s="24" t="n">
        <v>14.60258</v>
      </c>
      <c r="J59" s="24" t="n">
        <v>121.0198</v>
      </c>
      <c r="K59" s="23" t="inlineStr">
        <is>
          <t>U</t>
        </is>
      </c>
      <c r="L59" s="25" t="n">
        <v>1752</v>
      </c>
      <c r="M59" s="26" t="n">
        <v>3.72</v>
      </c>
      <c r="N59" s="25">
        <f>ROUND(L59/M59, 0)</f>
        <v/>
      </c>
      <c r="O59" s="25">
        <f>ROUND(N59*'Methodology &amp; Assumptions'!$B$7, 0)</f>
        <v/>
      </c>
      <c r="P59" s="23" t="inlineStr">
        <is>
          <t>Single Carrier (Band n50, 100MHz TDD)</t>
        </is>
      </c>
      <c r="Q59" s="27">
        <f>ROUNDUP(O59/'Methodology &amp; Assumptions'!$B$8, 0)</f>
        <v/>
      </c>
      <c r="R59" s="27" t="n">
        <v>1</v>
      </c>
      <c r="S59" s="26" t="n">
        <v>1.64</v>
      </c>
      <c r="T59" s="26" t="n">
        <v>0.1</v>
      </c>
      <c r="U59" s="11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26" t="n">
        <v>53.19</v>
      </c>
      <c r="W59" s="26" t="n">
        <v>77.51000000000001</v>
      </c>
      <c r="X59" s="26">
        <f>ROUND(('Methodology &amp; Assumptions'!$B$5*V59) + ('Methodology &amp; Assumptions'!$B$6*W59), 2)</f>
        <v/>
      </c>
      <c r="Y59" s="28" t="n">
        <v>10.9</v>
      </c>
      <c r="Z59" s="11" t="inlineStr">
        <is>
          <t>Priority Tier 2 (Balanced Opportunity)</t>
        </is>
      </c>
    </row>
    <row r="60">
      <c r="A60" s="23" t="n">
        <v>2</v>
      </c>
      <c r="B60" s="23" t="n">
        <v>56</v>
      </c>
      <c r="C60" s="23" t="n">
        <v>1056</v>
      </c>
      <c r="D60" s="23" t="inlineStr">
        <is>
          <t>0401026025</t>
        </is>
      </c>
      <c r="E60" s="11" t="inlineStr">
        <is>
          <t>Region IV-A (CALABARZON)</t>
        </is>
      </c>
      <c r="F60" s="11" t="inlineStr">
        <is>
          <t>Batangas</t>
        </is>
      </c>
      <c r="G60" s="11" t="inlineStr">
        <is>
          <t>San Pascual</t>
        </is>
      </c>
      <c r="H60" s="11" t="inlineStr">
        <is>
          <t>San Antonio</t>
        </is>
      </c>
      <c r="I60" s="24" t="n">
        <v>13.787288</v>
      </c>
      <c r="J60" s="24" t="n">
        <v>121.019184</v>
      </c>
      <c r="K60" s="23" t="inlineStr">
        <is>
          <t>U</t>
        </is>
      </c>
      <c r="L60" s="25" t="n">
        <v>10340</v>
      </c>
      <c r="M60" s="26" t="n">
        <v>3.6</v>
      </c>
      <c r="N60" s="25">
        <f>ROUND(L60/M60, 0)</f>
        <v/>
      </c>
      <c r="O60" s="25">
        <f>ROUND(N60*'Methodology &amp; Assumptions'!$B$7, 0)</f>
        <v/>
      </c>
      <c r="P60" s="23" t="inlineStr">
        <is>
          <t>Single Carrier (Band n50, 100MHz TDD)</t>
        </is>
      </c>
      <c r="Q60" s="27">
        <f>ROUNDUP(O60/'Methodology &amp; Assumptions'!$B$8, 0)</f>
        <v/>
      </c>
      <c r="R60" s="27" t="n">
        <v>1</v>
      </c>
      <c r="S60" s="26" t="n">
        <v>1.59</v>
      </c>
      <c r="T60" s="26" t="n">
        <v>0.16</v>
      </c>
      <c r="U60" s="11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26" t="n">
        <v>75.43000000000001</v>
      </c>
      <c r="W60" s="26" t="n">
        <v>55.25</v>
      </c>
      <c r="X60" s="26">
        <f>ROUND(('Methodology &amp; Assumptions'!$B$5*V60) + ('Methodology &amp; Assumptions'!$B$6*W60), 2)</f>
        <v/>
      </c>
      <c r="Y60" s="28" t="n">
        <v>7.2</v>
      </c>
      <c r="Z60" s="11" t="inlineStr">
        <is>
          <t>Priority Tier 2 (Balanced Opportunity)</t>
        </is>
      </c>
    </row>
    <row r="61">
      <c r="A61" s="23" t="n">
        <v>2</v>
      </c>
      <c r="B61" s="23" t="n">
        <v>57</v>
      </c>
      <c r="C61" s="23" t="n">
        <v>1057</v>
      </c>
      <c r="D61" s="23" t="inlineStr">
        <is>
          <t>1908708011</t>
        </is>
      </c>
      <c r="E61" s="11" t="inlineStr">
        <is>
          <t>Bangsamoro Autonomous Region In Muslim Mindanao (BARMM)</t>
        </is>
      </c>
      <c r="F61" s="11" t="inlineStr">
        <is>
          <t>Maguindanao del Norte</t>
        </is>
      </c>
      <c r="G61" s="11" t="inlineStr">
        <is>
          <t>Northern Kabuntalan</t>
        </is>
      </c>
      <c r="H61" s="11" t="inlineStr">
        <is>
          <t>Tumaguinting</t>
        </is>
      </c>
      <c r="I61" s="24" t="n">
        <v>7.138837</v>
      </c>
      <c r="J61" s="24" t="n">
        <v>124.414278</v>
      </c>
      <c r="K61" s="23" t="inlineStr">
        <is>
          <t>R</t>
        </is>
      </c>
      <c r="L61" s="25" t="n">
        <v>7177</v>
      </c>
      <c r="M61" s="26" t="n">
        <v>4.3</v>
      </c>
      <c r="N61" s="25">
        <f>ROUND(L61/M61, 0)</f>
        <v/>
      </c>
      <c r="O61" s="25">
        <f>ROUND(N61*'Methodology &amp; Assumptions'!$B$7, 0)</f>
        <v/>
      </c>
      <c r="P61" s="23" t="inlineStr">
        <is>
          <t>Single Carrier (Band n50, 100MHz TDD)</t>
        </is>
      </c>
      <c r="Q61" s="27">
        <f>ROUNDUP(O61/'Methodology &amp; Assumptions'!$B$8, 0)</f>
        <v/>
      </c>
      <c r="R61" s="27" t="n">
        <v>1</v>
      </c>
      <c r="S61" s="26" t="n">
        <v>42.79</v>
      </c>
      <c r="T61" s="26" t="n">
        <v>42.66</v>
      </c>
      <c r="U61" s="11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26" t="n">
        <v>59.06</v>
      </c>
      <c r="W61" s="26" t="n">
        <v>71.59999999999999</v>
      </c>
      <c r="X61" s="26">
        <f>ROUND(('Methodology &amp; Assumptions'!$B$5*V61) + ('Methodology &amp; Assumptions'!$B$6*W61), 2)</f>
        <v/>
      </c>
      <c r="Y61" s="28" t="n">
        <v>11</v>
      </c>
      <c r="Z61" s="11" t="inlineStr">
        <is>
          <t>Priority Tier 2 (Balanced Opportunity)</t>
        </is>
      </c>
    </row>
    <row r="62">
      <c r="A62" s="23" t="n">
        <v>2</v>
      </c>
      <c r="B62" s="23" t="n">
        <v>58</v>
      </c>
      <c r="C62" s="23" t="n">
        <v>1058</v>
      </c>
      <c r="D62" s="23" t="inlineStr">
        <is>
          <t>0102903022</t>
        </is>
      </c>
      <c r="E62" s="11" t="inlineStr">
        <is>
          <t>Region I (Ilocos Region)</t>
        </is>
      </c>
      <c r="F62" s="11" t="inlineStr">
        <is>
          <t>Ilocos Sur</t>
        </is>
      </c>
      <c r="G62" s="11" t="inlineStr">
        <is>
          <t>Bantay</t>
        </is>
      </c>
      <c r="H62" s="11" t="inlineStr">
        <is>
          <t>San Mariano</t>
        </is>
      </c>
      <c r="I62" s="24" t="n">
        <v>17.569123</v>
      </c>
      <c r="J62" s="24" t="n">
        <v>120.478965</v>
      </c>
      <c r="K62" s="23" t="inlineStr">
        <is>
          <t>R</t>
        </is>
      </c>
      <c r="L62" s="25" t="n">
        <v>365</v>
      </c>
      <c r="M62" s="26" t="n">
        <v>3.8</v>
      </c>
      <c r="N62" s="25">
        <f>ROUND(L62/M62, 0)</f>
        <v/>
      </c>
      <c r="O62" s="25">
        <f>ROUND(N62*'Methodology &amp; Assumptions'!$B$7, 0)</f>
        <v/>
      </c>
      <c r="P62" s="23" t="inlineStr">
        <is>
          <t>Single Carrier (Band n50, 100MHz TDD)</t>
        </is>
      </c>
      <c r="Q62" s="27">
        <f>ROUNDUP(O62/'Methodology &amp; Assumptions'!$B$8, 0)</f>
        <v/>
      </c>
      <c r="R62" s="27" t="n">
        <v>1</v>
      </c>
      <c r="S62" s="26" t="n">
        <v>9</v>
      </c>
      <c r="T62" s="26" t="n">
        <v>1.75</v>
      </c>
      <c r="U62" s="11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26" t="n">
        <v>45.9</v>
      </c>
      <c r="W62" s="26" t="n">
        <v>84.76000000000001</v>
      </c>
      <c r="X62" s="26">
        <f>ROUND(('Methodology &amp; Assumptions'!$B$5*V62) + ('Methodology &amp; Assumptions'!$B$6*W62), 2)</f>
        <v/>
      </c>
      <c r="Y62" s="28" t="n">
        <v>8.300000000000001</v>
      </c>
      <c r="Z62" s="11" t="inlineStr">
        <is>
          <t>Priority Tier 2 (Balanced Opportunity)</t>
        </is>
      </c>
    </row>
    <row r="63">
      <c r="A63" s="23" t="n">
        <v>2</v>
      </c>
      <c r="B63" s="23" t="n">
        <v>59</v>
      </c>
      <c r="C63" s="23" t="n">
        <v>1059</v>
      </c>
      <c r="D63" s="23" t="inlineStr">
        <is>
          <t>0300804048</t>
        </is>
      </c>
      <c r="E63" s="11" t="inlineStr">
        <is>
          <t>Region III (Central Luzon)</t>
        </is>
      </c>
      <c r="F63" s="11" t="inlineStr">
        <is>
          <t>Bataan</t>
        </is>
      </c>
      <c r="G63" s="11" t="inlineStr">
        <is>
          <t>Dinalupihan</t>
        </is>
      </c>
      <c r="H63" s="11" t="inlineStr">
        <is>
          <t>Pentor</t>
        </is>
      </c>
      <c r="I63" s="24" t="n">
        <v>14.870867</v>
      </c>
      <c r="J63" s="24" t="n">
        <v>120.473313</v>
      </c>
      <c r="K63" s="23" t="inlineStr">
        <is>
          <t>R</t>
        </is>
      </c>
      <c r="L63" s="25" t="n">
        <v>3429</v>
      </c>
      <c r="M63" s="26" t="n">
        <v>3.6</v>
      </c>
      <c r="N63" s="25">
        <f>ROUND(L63/M63, 0)</f>
        <v/>
      </c>
      <c r="O63" s="25">
        <f>ROUND(N63*'Methodology &amp; Assumptions'!$B$7, 0)</f>
        <v/>
      </c>
      <c r="P63" s="23" t="inlineStr">
        <is>
          <t>Single Carrier (Band n50, 100MHz TDD)</t>
        </is>
      </c>
      <c r="Q63" s="27">
        <f>ROUNDUP(O63/'Methodology &amp; Assumptions'!$B$8, 0)</f>
        <v/>
      </c>
      <c r="R63" s="27" t="n">
        <v>1</v>
      </c>
      <c r="S63" s="26" t="n">
        <v>0.86</v>
      </c>
      <c r="T63" s="26" t="n">
        <v>0.76</v>
      </c>
      <c r="U63" s="11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26" t="n">
        <v>85.58</v>
      </c>
      <c r="W63" s="26" t="n">
        <v>45.07</v>
      </c>
      <c r="X63" s="26">
        <f>ROUND(('Methodology &amp; Assumptions'!$B$5*V63) + ('Methodology &amp; Assumptions'!$B$6*W63), 2)</f>
        <v/>
      </c>
      <c r="Y63" s="28" t="n">
        <v>8.300000000000001</v>
      </c>
      <c r="Z63" s="11" t="inlineStr">
        <is>
          <t>Priority Tier 2 (Balanced Opportunity)</t>
        </is>
      </c>
    </row>
    <row r="64">
      <c r="A64" s="23" t="n">
        <v>2</v>
      </c>
      <c r="B64" s="23" t="n">
        <v>60</v>
      </c>
      <c r="C64" s="23" t="n">
        <v>1060</v>
      </c>
      <c r="D64" s="23" t="inlineStr">
        <is>
          <t>0403428018</t>
        </is>
      </c>
      <c r="E64" s="11" t="inlineStr">
        <is>
          <t>Region IV-A (CALABARZON)</t>
        </is>
      </c>
      <c r="F64" s="11" t="inlineStr">
        <is>
          <t>Laguna</t>
        </is>
      </c>
      <c r="G64" s="11" t="inlineStr">
        <is>
          <t>City of Santa Rosa</t>
        </is>
      </c>
      <c r="H64" s="11" t="inlineStr">
        <is>
          <t>Pulong Santa Cruz</t>
        </is>
      </c>
      <c r="I64" s="24" t="n">
        <v>14.277019</v>
      </c>
      <c r="J64" s="24" t="n">
        <v>121.082034</v>
      </c>
      <c r="K64" s="23" t="inlineStr">
        <is>
          <t>U</t>
        </is>
      </c>
      <c r="L64" s="25" t="n">
        <v>32250</v>
      </c>
      <c r="M64" s="26" t="n">
        <v>3.3</v>
      </c>
      <c r="N64" s="25">
        <f>ROUND(L64/M64, 0)</f>
        <v/>
      </c>
      <c r="O64" s="25">
        <f>ROUND(N64*'Methodology &amp; Assumptions'!$B$7, 0)</f>
        <v/>
      </c>
      <c r="P64" s="23" t="inlineStr">
        <is>
          <t>Single Carrier (Band n50, 100MHz TDD)</t>
        </is>
      </c>
      <c r="Q64" s="27">
        <f>ROUNDUP(O64/'Methodology &amp; Assumptions'!$B$8, 0)</f>
        <v/>
      </c>
      <c r="R64" s="27" t="n">
        <v>1</v>
      </c>
      <c r="S64" s="26" t="n">
        <v>0.09</v>
      </c>
      <c r="T64" s="26" t="n">
        <v>0.11</v>
      </c>
      <c r="U64" s="11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26" t="n">
        <v>77.61</v>
      </c>
      <c r="W64" s="26" t="n">
        <v>53.03</v>
      </c>
      <c r="X64" s="26">
        <f>ROUND(('Methodology &amp; Assumptions'!$B$5*V64) + ('Methodology &amp; Assumptions'!$B$6*W64), 2)</f>
        <v/>
      </c>
      <c r="Y64" s="28" t="n">
        <v>7.2</v>
      </c>
      <c r="Z64" s="11" t="inlineStr">
        <is>
          <t>Priority Tier 2 (Balanced Opportunity)</t>
        </is>
      </c>
    </row>
    <row r="65">
      <c r="A65" s="23" t="n">
        <v>2</v>
      </c>
      <c r="B65" s="23" t="n">
        <v>61</v>
      </c>
      <c r="C65" s="23" t="n">
        <v>1061</v>
      </c>
      <c r="D65" s="23" t="inlineStr">
        <is>
          <t>0402116001</t>
        </is>
      </c>
      <c r="E65" s="11" t="inlineStr">
        <is>
          <t>Region IV-A (CALABARZON)</t>
        </is>
      </c>
      <c r="F65" s="11" t="inlineStr">
        <is>
          <t>Cavite</t>
        </is>
      </c>
      <c r="G65" s="11" t="inlineStr">
        <is>
          <t>Noveleta</t>
        </is>
      </c>
      <c r="H65" s="11" t="inlineStr">
        <is>
          <t>Magdiwang</t>
        </is>
      </c>
      <c r="I65" s="24" t="n">
        <v>14.431706</v>
      </c>
      <c r="J65" s="24" t="n">
        <v>120.885182</v>
      </c>
      <c r="K65" s="23" t="inlineStr">
        <is>
          <t>U</t>
        </is>
      </c>
      <c r="L65" s="25" t="n">
        <v>2351</v>
      </c>
      <c r="M65" s="26" t="n">
        <v>3.4</v>
      </c>
      <c r="N65" s="25">
        <f>ROUND(L65/M65, 0)</f>
        <v/>
      </c>
      <c r="O65" s="25">
        <f>ROUND(N65*'Methodology &amp; Assumptions'!$B$7, 0)</f>
        <v/>
      </c>
      <c r="P65" s="23" t="inlineStr">
        <is>
          <t>Single Carrier (Band n50, 100MHz TDD)</t>
        </is>
      </c>
      <c r="Q65" s="27">
        <f>ROUNDUP(O65/'Methodology &amp; Assumptions'!$B$8, 0)</f>
        <v/>
      </c>
      <c r="R65" s="27" t="n">
        <v>1</v>
      </c>
      <c r="S65" s="26" t="n">
        <v>0.34</v>
      </c>
      <c r="T65" s="26" t="n">
        <v>0.06</v>
      </c>
      <c r="U65" s="11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26" t="n">
        <v>74.18000000000001</v>
      </c>
      <c r="W65" s="26" t="n">
        <v>56.46</v>
      </c>
      <c r="X65" s="26">
        <f>ROUND(('Methodology &amp; Assumptions'!$B$5*V65) + ('Methodology &amp; Assumptions'!$B$6*W65), 2)</f>
        <v/>
      </c>
      <c r="Y65" s="28" t="n">
        <v>7.2</v>
      </c>
      <c r="Z65" s="11" t="inlineStr">
        <is>
          <t>Priority Tier 2 (Balanced Opportunity)</t>
        </is>
      </c>
    </row>
    <row r="66">
      <c r="A66" s="23" t="n">
        <v>2</v>
      </c>
      <c r="B66" s="23" t="n">
        <v>62</v>
      </c>
      <c r="C66" s="23" t="n">
        <v>1062</v>
      </c>
      <c r="D66" s="23" t="inlineStr">
        <is>
          <t>0306916069</t>
        </is>
      </c>
      <c r="E66" s="11" t="inlineStr">
        <is>
          <t>Region III (Central Luzon)</t>
        </is>
      </c>
      <c r="F66" s="11" t="inlineStr">
        <is>
          <t>Tarlac</t>
        </is>
      </c>
      <c r="G66" s="11" t="inlineStr">
        <is>
          <t>City of Tarlac</t>
        </is>
      </c>
      <c r="H66" s="11" t="inlineStr">
        <is>
          <t>San Nicolas</t>
        </is>
      </c>
      <c r="I66" s="24" t="n">
        <v>15.492519</v>
      </c>
      <c r="J66" s="24" t="n">
        <v>120.595239</v>
      </c>
      <c r="K66" s="23" t="inlineStr">
        <is>
          <t>U</t>
        </is>
      </c>
      <c r="L66" s="25" t="n">
        <v>7100</v>
      </c>
      <c r="M66" s="26" t="n">
        <v>3.9</v>
      </c>
      <c r="N66" s="25">
        <f>ROUND(L66/M66, 0)</f>
        <v/>
      </c>
      <c r="O66" s="25">
        <f>ROUND(N66*'Methodology &amp; Assumptions'!$B$7, 0)</f>
        <v/>
      </c>
      <c r="P66" s="23" t="inlineStr">
        <is>
          <t>Single Carrier (Band n50, 100MHz TDD)</t>
        </is>
      </c>
      <c r="Q66" s="27">
        <f>ROUNDUP(O66/'Methodology &amp; Assumptions'!$B$8, 0)</f>
        <v/>
      </c>
      <c r="R66" s="27" t="n">
        <v>1</v>
      </c>
      <c r="S66" s="26" t="n">
        <v>2.2</v>
      </c>
      <c r="T66" s="26" t="n">
        <v>0.21</v>
      </c>
      <c r="U66" s="11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26" t="n">
        <v>73.51000000000001</v>
      </c>
      <c r="W66" s="26" t="n">
        <v>57.14</v>
      </c>
      <c r="X66" s="26">
        <f>ROUND(('Methodology &amp; Assumptions'!$B$5*V66) + ('Methodology &amp; Assumptions'!$B$6*W66), 2)</f>
        <v/>
      </c>
      <c r="Y66" s="28" t="n">
        <v>8.300000000000001</v>
      </c>
      <c r="Z66" s="11" t="inlineStr">
        <is>
          <t>Priority Tier 2 (Balanced Opportunity)</t>
        </is>
      </c>
    </row>
    <row r="67">
      <c r="A67" s="23" t="n">
        <v>2</v>
      </c>
      <c r="B67" s="23" t="n">
        <v>63</v>
      </c>
      <c r="C67" s="23" t="n">
        <v>1063</v>
      </c>
      <c r="D67" s="23" t="inlineStr">
        <is>
          <t>1381200005</t>
        </is>
      </c>
      <c r="E67" s="11" t="inlineStr">
        <is>
          <t>National Capital Region (NCR)</t>
        </is>
      </c>
      <c r="F67" s="11" t="inlineStr">
        <is>
          <t>Second District (Not a Province)</t>
        </is>
      </c>
      <c r="G67" s="11" t="inlineStr">
        <is>
          <t>City of Pasig</t>
        </is>
      </c>
      <c r="H67" s="11" t="inlineStr">
        <is>
          <t>Caniogan</t>
        </is>
      </c>
      <c r="I67" s="24" t="n">
        <v>14.572055</v>
      </c>
      <c r="J67" s="24" t="n">
        <v>121.080537</v>
      </c>
      <c r="K67" s="23" t="inlineStr">
        <is>
          <t>U</t>
        </is>
      </c>
      <c r="L67" s="25" t="n">
        <v>28576</v>
      </c>
      <c r="M67" s="26" t="n">
        <v>3.17</v>
      </c>
      <c r="N67" s="25">
        <f>ROUND(L67/M67, 0)</f>
        <v/>
      </c>
      <c r="O67" s="25">
        <f>ROUND(N67*'Methodology &amp; Assumptions'!$B$7, 0)</f>
        <v/>
      </c>
      <c r="P67" s="23" t="inlineStr">
        <is>
          <t>Single Carrier (Band n50, 100MHz TDD)</t>
        </is>
      </c>
      <c r="Q67" s="27">
        <f>ROUNDUP(O67/'Methodology &amp; Assumptions'!$B$8, 0)</f>
        <v/>
      </c>
      <c r="R67" s="27" t="n">
        <v>1</v>
      </c>
      <c r="S67" s="26" t="n">
        <v>0.62</v>
      </c>
      <c r="T67" s="26" t="n">
        <v>0.4</v>
      </c>
      <c r="U67" s="11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26" t="n">
        <v>67.26000000000001</v>
      </c>
      <c r="W67" s="26" t="n">
        <v>63.37</v>
      </c>
      <c r="X67" s="26">
        <f>ROUND(('Methodology &amp; Assumptions'!$B$5*V67) + ('Methodology &amp; Assumptions'!$B$6*W67), 2)</f>
        <v/>
      </c>
      <c r="Y67" s="28" t="n">
        <v>10.9</v>
      </c>
      <c r="Z67" s="11" t="inlineStr">
        <is>
          <t>Priority Tier 2 (Balanced Opportunity)</t>
        </is>
      </c>
    </row>
    <row r="68">
      <c r="A68" s="23" t="n">
        <v>2</v>
      </c>
      <c r="B68" s="23" t="n">
        <v>64</v>
      </c>
      <c r="C68" s="23" t="n">
        <v>1064</v>
      </c>
      <c r="D68" s="23" t="inlineStr">
        <is>
          <t>1380612010</t>
        </is>
      </c>
      <c r="E68" s="11" t="inlineStr">
        <is>
          <t>National Capital Region (NCR)</t>
        </is>
      </c>
      <c r="F68" s="11" t="inlineStr">
        <is>
          <t>First District (Not a Province)</t>
        </is>
      </c>
      <c r="G68" s="11" t="inlineStr">
        <is>
          <t>City of Manila</t>
        </is>
      </c>
      <c r="H68" s="11" t="inlineStr">
        <is>
          <t>Barangay 842</t>
        </is>
      </c>
      <c r="I68" s="24" t="n">
        <v>14.58583</v>
      </c>
      <c r="J68" s="24" t="n">
        <v>121.0012</v>
      </c>
      <c r="K68" s="23" t="inlineStr">
        <is>
          <t>U</t>
        </is>
      </c>
      <c r="L68" s="25" t="n">
        <v>2831</v>
      </c>
      <c r="M68" s="26" t="n">
        <v>4.88</v>
      </c>
      <c r="N68" s="25">
        <f>ROUND(L68/M68, 0)</f>
        <v/>
      </c>
      <c r="O68" s="25">
        <f>ROUND(N68*'Methodology &amp; Assumptions'!$B$7, 0)</f>
        <v/>
      </c>
      <c r="P68" s="23" t="inlineStr">
        <is>
          <t>Single Carrier (Band n50, 100MHz TDD)</t>
        </is>
      </c>
      <c r="Q68" s="27">
        <f>ROUNDUP(O68/'Methodology &amp; Assumptions'!$B$8, 0)</f>
        <v/>
      </c>
      <c r="R68" s="27" t="n">
        <v>1</v>
      </c>
      <c r="S68" s="26" t="n">
        <v>0.23</v>
      </c>
      <c r="T68" s="26" t="n">
        <v>0.17</v>
      </c>
      <c r="U68" s="11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26" t="n">
        <v>59.73</v>
      </c>
      <c r="W68" s="26" t="n">
        <v>70.90000000000001</v>
      </c>
      <c r="X68" s="26">
        <f>ROUND(('Methodology &amp; Assumptions'!$B$5*V68) + ('Methodology &amp; Assumptions'!$B$6*W68), 2)</f>
        <v/>
      </c>
      <c r="Y68" s="28" t="n">
        <v>10.9</v>
      </c>
      <c r="Z68" s="11" t="inlineStr">
        <is>
          <t>Priority Tier 2 (Balanced Opportunity)</t>
        </is>
      </c>
    </row>
    <row r="69">
      <c r="A69" s="23" t="n">
        <v>2</v>
      </c>
      <c r="B69" s="23" t="n">
        <v>65</v>
      </c>
      <c r="C69" s="23" t="n">
        <v>1065</v>
      </c>
      <c r="D69" s="23" t="inlineStr">
        <is>
          <t>1908701014</t>
        </is>
      </c>
      <c r="E69" s="11" t="inlineStr">
        <is>
          <t>Bangsamoro Autonomous Region In Muslim Mindanao (BARMM)</t>
        </is>
      </c>
      <c r="F69" s="11" t="inlineStr">
        <is>
          <t>Maguindanao del Norte</t>
        </is>
      </c>
      <c r="G69" s="11" t="inlineStr">
        <is>
          <t>Barira</t>
        </is>
      </c>
      <c r="H69" s="11" t="inlineStr">
        <is>
          <t>Togaig</t>
        </is>
      </c>
      <c r="I69" s="24" t="n">
        <v>7.48266</v>
      </c>
      <c r="J69" s="24" t="n">
        <v>124.308826</v>
      </c>
      <c r="K69" s="23" t="inlineStr">
        <is>
          <t>R</t>
        </is>
      </c>
      <c r="L69" s="25" t="n">
        <v>7196</v>
      </c>
      <c r="M69" s="26" t="n">
        <v>4.3</v>
      </c>
      <c r="N69" s="25">
        <f>ROUND(L69/M69, 0)</f>
        <v/>
      </c>
      <c r="O69" s="25">
        <f>ROUND(N69*'Methodology &amp; Assumptions'!$B$7, 0)</f>
        <v/>
      </c>
      <c r="P69" s="23" t="inlineStr">
        <is>
          <t>Single Carrier (Band n50, 100MHz TDD)</t>
        </is>
      </c>
      <c r="Q69" s="27">
        <f>ROUNDUP(O69/'Methodology &amp; Assumptions'!$B$8, 0)</f>
        <v/>
      </c>
      <c r="R69" s="27" t="n">
        <v>1</v>
      </c>
      <c r="S69" s="26" t="n">
        <v>58.76</v>
      </c>
      <c r="T69" s="26" t="n">
        <v>53.92</v>
      </c>
      <c r="U69" s="11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26" t="n">
        <v>59.06</v>
      </c>
      <c r="W69" s="26" t="n">
        <v>71.58</v>
      </c>
      <c r="X69" s="26">
        <f>ROUND(('Methodology &amp; Assumptions'!$B$5*V69) + ('Methodology &amp; Assumptions'!$B$6*W69), 2)</f>
        <v/>
      </c>
      <c r="Y69" s="28" t="n">
        <v>11</v>
      </c>
      <c r="Z69" s="11" t="inlineStr">
        <is>
          <t>Priority Tier 2 (Balanced Opportunity)</t>
        </is>
      </c>
    </row>
    <row r="70">
      <c r="A70" s="23" t="n">
        <v>2</v>
      </c>
      <c r="B70" s="23" t="n">
        <v>66</v>
      </c>
      <c r="C70" s="23" t="n">
        <v>1066</v>
      </c>
      <c r="D70" s="23" t="inlineStr">
        <is>
          <t>1380700004</t>
        </is>
      </c>
      <c r="E70" s="11" t="inlineStr">
        <is>
          <t>National Capital Region (NCR)</t>
        </is>
      </c>
      <c r="F70" s="11" t="inlineStr">
        <is>
          <t>Second District (Not a Province)</t>
        </is>
      </c>
      <c r="G70" s="11" t="inlineStr">
        <is>
          <t>City of Marikina</t>
        </is>
      </c>
      <c r="H70" s="11" t="inlineStr">
        <is>
          <t>Jesus De La Peña</t>
        </is>
      </c>
      <c r="I70" s="24" t="n">
        <v>14.636994</v>
      </c>
      <c r="J70" s="24" t="n">
        <v>121.091061</v>
      </c>
      <c r="K70" s="23" t="inlineStr">
        <is>
          <t>U</t>
        </is>
      </c>
      <c r="L70" s="25" t="n">
        <v>10224</v>
      </c>
      <c r="M70" s="26" t="n">
        <v>3.6</v>
      </c>
      <c r="N70" s="25">
        <f>ROUND(L70/M70, 0)</f>
        <v/>
      </c>
      <c r="O70" s="25">
        <f>ROUND(N70*'Methodology &amp; Assumptions'!$B$7, 0)</f>
        <v/>
      </c>
      <c r="P70" s="23" t="inlineStr">
        <is>
          <t>Single Carrier (Band n50, 100MHz TDD)</t>
        </is>
      </c>
      <c r="Q70" s="27">
        <f>ROUNDUP(O70/'Methodology &amp; Assumptions'!$B$8, 0)</f>
        <v/>
      </c>
      <c r="R70" s="27" t="n">
        <v>1</v>
      </c>
      <c r="S70" s="26" t="n">
        <v>0.34</v>
      </c>
      <c r="T70" s="26" t="n">
        <v>0.34</v>
      </c>
      <c r="U70" s="11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26" t="n">
        <v>69.09</v>
      </c>
      <c r="W70" s="26" t="n">
        <v>61.53</v>
      </c>
      <c r="X70" s="26">
        <f>ROUND(('Methodology &amp; Assumptions'!$B$5*V70) + ('Methodology &amp; Assumptions'!$B$6*W70), 2)</f>
        <v/>
      </c>
      <c r="Y70" s="28" t="n">
        <v>10.9</v>
      </c>
      <c r="Z70" s="11" t="inlineStr">
        <is>
          <t>Priority Tier 2 (Balanced Opportunity)</t>
        </is>
      </c>
    </row>
    <row r="71">
      <c r="A71" s="23" t="n">
        <v>2</v>
      </c>
      <c r="B71" s="23" t="n">
        <v>67</v>
      </c>
      <c r="C71" s="23" t="n">
        <v>1067</v>
      </c>
      <c r="D71" s="23" t="inlineStr">
        <is>
          <t>1908706004</t>
        </is>
      </c>
      <c r="E71" s="11" t="inlineStr">
        <is>
          <t>Bangsamoro Autonomous Region In Muslim Mindanao (BARMM)</t>
        </is>
      </c>
      <c r="F71" s="11" t="inlineStr">
        <is>
          <t>Maguindanao del Norte</t>
        </is>
      </c>
      <c r="G71" s="11" t="inlineStr">
        <is>
          <t>Kabuntalan</t>
        </is>
      </c>
      <c r="H71" s="11" t="inlineStr">
        <is>
          <t>Gambar</t>
        </is>
      </c>
      <c r="I71" s="24" t="n">
        <v>7.140532</v>
      </c>
      <c r="J71" s="24" t="n">
        <v>124.367117</v>
      </c>
      <c r="K71" s="23" t="inlineStr">
        <is>
          <t>R</t>
        </is>
      </c>
      <c r="L71" s="25" t="n">
        <v>5001</v>
      </c>
      <c r="M71" s="26" t="n">
        <v>4.3</v>
      </c>
      <c r="N71" s="25">
        <f>ROUND(L71/M71, 0)</f>
        <v/>
      </c>
      <c r="O71" s="25">
        <f>ROUND(N71*'Methodology &amp; Assumptions'!$B$7, 0)</f>
        <v/>
      </c>
      <c r="P71" s="23" t="inlineStr">
        <is>
          <t>Single Carrier (Band n50, 100MHz TDD)</t>
        </is>
      </c>
      <c r="Q71" s="27">
        <f>ROUNDUP(O71/'Methodology &amp; Assumptions'!$B$8, 0)</f>
        <v/>
      </c>
      <c r="R71" s="27" t="n">
        <v>1</v>
      </c>
      <c r="S71" s="26" t="n">
        <v>47.9</v>
      </c>
      <c r="T71" s="26" t="n">
        <v>47.8</v>
      </c>
      <c r="U71" s="11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26" t="n">
        <v>59.06</v>
      </c>
      <c r="W71" s="26" t="n">
        <v>71.56999999999999</v>
      </c>
      <c r="X71" s="26">
        <f>ROUND(('Methodology &amp; Assumptions'!$B$5*V71) + ('Methodology &amp; Assumptions'!$B$6*W71), 2)</f>
        <v/>
      </c>
      <c r="Y71" s="28" t="n">
        <v>11</v>
      </c>
      <c r="Z71" s="11" t="inlineStr">
        <is>
          <t>Priority Tier 2 (Balanced Opportunity)</t>
        </is>
      </c>
    </row>
    <row r="72">
      <c r="A72" s="23" t="n">
        <v>2</v>
      </c>
      <c r="B72" s="23" t="n">
        <v>68</v>
      </c>
      <c r="C72" s="23" t="n">
        <v>1068</v>
      </c>
      <c r="D72" s="23" t="inlineStr">
        <is>
          <t>1908708004</t>
        </is>
      </c>
      <c r="E72" s="11" t="inlineStr">
        <is>
          <t>Bangsamoro Autonomous Region In Muslim Mindanao (BARMM)</t>
        </is>
      </c>
      <c r="F72" s="11" t="inlineStr">
        <is>
          <t>Maguindanao del Norte</t>
        </is>
      </c>
      <c r="G72" s="11" t="inlineStr">
        <is>
          <t>Northern Kabuntalan</t>
        </is>
      </c>
      <c r="H72" s="11" t="inlineStr">
        <is>
          <t>Guiawa</t>
        </is>
      </c>
      <c r="I72" s="24" t="n">
        <v>7.156474</v>
      </c>
      <c r="J72" s="24" t="n">
        <v>124.394862</v>
      </c>
      <c r="K72" s="23" t="inlineStr">
        <is>
          <t>R</t>
        </is>
      </c>
      <c r="L72" s="25" t="n">
        <v>3925</v>
      </c>
      <c r="M72" s="26" t="n">
        <v>4.3</v>
      </c>
      <c r="N72" s="25">
        <f>ROUND(L72/M72, 0)</f>
        <v/>
      </c>
      <c r="O72" s="25">
        <f>ROUND(N72*'Methodology &amp; Assumptions'!$B$7, 0)</f>
        <v/>
      </c>
      <c r="P72" s="23" t="inlineStr">
        <is>
          <t>Single Carrier (Band n50, 100MHz TDD)</t>
        </is>
      </c>
      <c r="Q72" s="27">
        <f>ROUNDUP(O72/'Methodology &amp; Assumptions'!$B$8, 0)</f>
        <v/>
      </c>
      <c r="R72" s="27" t="n">
        <v>1</v>
      </c>
      <c r="S72" s="26" t="n">
        <v>44.64</v>
      </c>
      <c r="T72" s="26" t="n">
        <v>44.55</v>
      </c>
      <c r="U72" s="11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26" t="n">
        <v>59.06</v>
      </c>
      <c r="W72" s="26" t="n">
        <v>71.56999999999999</v>
      </c>
      <c r="X72" s="26">
        <f>ROUND(('Methodology &amp; Assumptions'!$B$5*V72) + ('Methodology &amp; Assumptions'!$B$6*W72), 2)</f>
        <v/>
      </c>
      <c r="Y72" s="28" t="n">
        <v>11</v>
      </c>
      <c r="Z72" s="11" t="inlineStr">
        <is>
          <t>Priority Tier 2 (Balanced Opportunity)</t>
        </is>
      </c>
    </row>
    <row r="73">
      <c r="A73" s="23" t="n">
        <v>2</v>
      </c>
      <c r="B73" s="23" t="n">
        <v>69</v>
      </c>
      <c r="C73" s="23" t="n">
        <v>1069</v>
      </c>
      <c r="D73" s="23" t="inlineStr">
        <is>
          <t>1908708010</t>
        </is>
      </c>
      <c r="E73" s="11" t="inlineStr">
        <is>
          <t>Bangsamoro Autonomous Region In Muslim Mindanao (BARMM)</t>
        </is>
      </c>
      <c r="F73" s="11" t="inlineStr">
        <is>
          <t>Maguindanao del Norte</t>
        </is>
      </c>
      <c r="G73" s="11" t="inlineStr">
        <is>
          <t>Northern Kabuntalan</t>
        </is>
      </c>
      <c r="H73" s="11" t="inlineStr">
        <is>
          <t>Sabaken</t>
        </is>
      </c>
      <c r="I73" s="24" t="n">
        <v>7.205994</v>
      </c>
      <c r="J73" s="24" t="n">
        <v>124.430917</v>
      </c>
      <c r="K73" s="23" t="inlineStr">
        <is>
          <t>R</t>
        </is>
      </c>
      <c r="L73" s="25" t="n">
        <v>5719</v>
      </c>
      <c r="M73" s="26" t="n">
        <v>4.3</v>
      </c>
      <c r="N73" s="25">
        <f>ROUND(L73/M73, 0)</f>
        <v/>
      </c>
      <c r="O73" s="25">
        <f>ROUND(N73*'Methodology &amp; Assumptions'!$B$7, 0)</f>
        <v/>
      </c>
      <c r="P73" s="23" t="inlineStr">
        <is>
          <t>Single Carrier (Band n50, 100MHz TDD)</t>
        </is>
      </c>
      <c r="Q73" s="27">
        <f>ROUNDUP(O73/'Methodology &amp; Assumptions'!$B$8, 0)</f>
        <v/>
      </c>
      <c r="R73" s="27" t="n">
        <v>1</v>
      </c>
      <c r="S73" s="26" t="n">
        <v>40.36</v>
      </c>
      <c r="T73" s="26" t="n">
        <v>39.97</v>
      </c>
      <c r="U73" s="11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26" t="n">
        <v>59.06</v>
      </c>
      <c r="W73" s="26" t="n">
        <v>71.56999999999999</v>
      </c>
      <c r="X73" s="26">
        <f>ROUND(('Methodology &amp; Assumptions'!$B$5*V73) + ('Methodology &amp; Assumptions'!$B$6*W73), 2)</f>
        <v/>
      </c>
      <c r="Y73" s="28" t="n">
        <v>11</v>
      </c>
      <c r="Z73" s="11" t="inlineStr">
        <is>
          <t>Priority Tier 2 (Balanced Opportunity)</t>
        </is>
      </c>
    </row>
    <row r="74">
      <c r="A74" s="23" t="n">
        <v>2</v>
      </c>
      <c r="B74" s="23" t="n">
        <v>70</v>
      </c>
      <c r="C74" s="23" t="n">
        <v>1070</v>
      </c>
      <c r="D74" s="23" t="inlineStr">
        <is>
          <t>1908701010</t>
        </is>
      </c>
      <c r="E74" s="11" t="inlineStr">
        <is>
          <t>Bangsamoro Autonomous Region In Muslim Mindanao (BARMM)</t>
        </is>
      </c>
      <c r="F74" s="11" t="inlineStr">
        <is>
          <t>Maguindanao del Norte</t>
        </is>
      </c>
      <c r="G74" s="11" t="inlineStr">
        <is>
          <t>Barira</t>
        </is>
      </c>
      <c r="H74" s="11" t="inlineStr">
        <is>
          <t>Minabay</t>
        </is>
      </c>
      <c r="I74" s="24" t="n">
        <v>7.483322</v>
      </c>
      <c r="J74" s="24" t="n">
        <v>124.300003</v>
      </c>
      <c r="K74" s="23" t="inlineStr">
        <is>
          <t>R</t>
        </is>
      </c>
      <c r="L74" s="25" t="n">
        <v>4580</v>
      </c>
      <c r="M74" s="26" t="n">
        <v>4.3</v>
      </c>
      <c r="N74" s="25">
        <f>ROUND(L74/M74, 0)</f>
        <v/>
      </c>
      <c r="O74" s="25">
        <f>ROUND(N74*'Methodology &amp; Assumptions'!$B$7, 0)</f>
        <v/>
      </c>
      <c r="P74" s="23" t="inlineStr">
        <is>
          <t>Single Carrier (Band n50, 100MHz TDD)</t>
        </is>
      </c>
      <c r="Q74" s="27">
        <f>ROUNDUP(O74/'Methodology &amp; Assumptions'!$B$8, 0)</f>
        <v/>
      </c>
      <c r="R74" s="27" t="n">
        <v>1</v>
      </c>
      <c r="S74" s="26" t="n">
        <v>58.63</v>
      </c>
      <c r="T74" s="26" t="n">
        <v>54.88</v>
      </c>
      <c r="U74" s="11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26" t="n">
        <v>59.06</v>
      </c>
      <c r="W74" s="26" t="n">
        <v>71.56</v>
      </c>
      <c r="X74" s="26">
        <f>ROUND(('Methodology &amp; Assumptions'!$B$5*V74) + ('Methodology &amp; Assumptions'!$B$6*W74), 2)</f>
        <v/>
      </c>
      <c r="Y74" s="28" t="n">
        <v>11</v>
      </c>
      <c r="Z74" s="11" t="inlineStr">
        <is>
          <t>Priority Tier 2 (Balanced Opportunity)</t>
        </is>
      </c>
    </row>
    <row r="75">
      <c r="A75" s="23" t="n">
        <v>2</v>
      </c>
      <c r="B75" s="23" t="n">
        <v>71</v>
      </c>
      <c r="C75" s="23" t="n">
        <v>1071</v>
      </c>
      <c r="D75" s="23" t="inlineStr">
        <is>
          <t>1908708002</t>
        </is>
      </c>
      <c r="E75" s="11" t="inlineStr">
        <is>
          <t>Bangsamoro Autonomous Region In Muslim Mindanao (BARMM)</t>
        </is>
      </c>
      <c r="F75" s="11" t="inlineStr">
        <is>
          <t>Maguindanao del Norte</t>
        </is>
      </c>
      <c r="G75" s="11" t="inlineStr">
        <is>
          <t>Northern Kabuntalan</t>
        </is>
      </c>
      <c r="H75" s="11" t="inlineStr">
        <is>
          <t>Damatog</t>
        </is>
      </c>
      <c r="I75" s="24" t="n">
        <v>7.164376</v>
      </c>
      <c r="J75" s="24" t="n">
        <v>124.436462</v>
      </c>
      <c r="K75" s="23" t="inlineStr">
        <is>
          <t>R</t>
        </is>
      </c>
      <c r="L75" s="25" t="n">
        <v>4229</v>
      </c>
      <c r="M75" s="26" t="n">
        <v>4.3</v>
      </c>
      <c r="N75" s="25">
        <f>ROUND(L75/M75, 0)</f>
        <v/>
      </c>
      <c r="O75" s="25">
        <f>ROUND(N75*'Methodology &amp; Assumptions'!$B$7, 0)</f>
        <v/>
      </c>
      <c r="P75" s="23" t="inlineStr">
        <is>
          <t>Single Carrier (Band n50, 100MHz TDD)</t>
        </is>
      </c>
      <c r="Q75" s="27">
        <f>ROUNDUP(O75/'Methodology &amp; Assumptions'!$B$8, 0)</f>
        <v/>
      </c>
      <c r="R75" s="27" t="n">
        <v>1</v>
      </c>
      <c r="S75" s="26" t="n">
        <v>39.98</v>
      </c>
      <c r="T75" s="26" t="n">
        <v>39.89</v>
      </c>
      <c r="U75" s="11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26" t="n">
        <v>59.06</v>
      </c>
      <c r="W75" s="26" t="n">
        <v>71.56</v>
      </c>
      <c r="X75" s="26">
        <f>ROUND(('Methodology &amp; Assumptions'!$B$5*V75) + ('Methodology &amp; Assumptions'!$B$6*W75), 2)</f>
        <v/>
      </c>
      <c r="Y75" s="28" t="n">
        <v>11</v>
      </c>
      <c r="Z75" s="11" t="inlineStr">
        <is>
          <t>Priority Tier 2 (Balanced Opportunity)</t>
        </is>
      </c>
    </row>
    <row r="76">
      <c r="A76" s="23" t="n">
        <v>2</v>
      </c>
      <c r="B76" s="23" t="n">
        <v>72</v>
      </c>
      <c r="C76" s="23" t="n">
        <v>1072</v>
      </c>
      <c r="D76" s="23" t="inlineStr">
        <is>
          <t>1908708005</t>
        </is>
      </c>
      <c r="E76" s="11" t="inlineStr">
        <is>
          <t>Bangsamoro Autonomous Region In Muslim Mindanao (BARMM)</t>
        </is>
      </c>
      <c r="F76" s="11" t="inlineStr">
        <is>
          <t>Maguindanao del Norte</t>
        </is>
      </c>
      <c r="G76" s="11" t="inlineStr">
        <is>
          <t>Northern Kabuntalan</t>
        </is>
      </c>
      <c r="H76" s="11" t="inlineStr">
        <is>
          <t>Indatuan</t>
        </is>
      </c>
      <c r="I76" s="24" t="n">
        <v>7.153356</v>
      </c>
      <c r="J76" s="24" t="n">
        <v>124.458641</v>
      </c>
      <c r="K76" s="23" t="inlineStr">
        <is>
          <t>R</t>
        </is>
      </c>
      <c r="L76" s="25" t="n">
        <v>4501</v>
      </c>
      <c r="M76" s="26" t="n">
        <v>4.3</v>
      </c>
      <c r="N76" s="25">
        <f>ROUND(L76/M76, 0)</f>
        <v/>
      </c>
      <c r="O76" s="25">
        <f>ROUND(N76*'Methodology &amp; Assumptions'!$B$7, 0)</f>
        <v/>
      </c>
      <c r="P76" s="23" t="inlineStr">
        <is>
          <t>Single Carrier (Band n50, 100MHz TDD)</t>
        </is>
      </c>
      <c r="Q76" s="27">
        <f>ROUNDUP(O76/'Methodology &amp; Assumptions'!$B$8, 0)</f>
        <v/>
      </c>
      <c r="R76" s="27" t="n">
        <v>1</v>
      </c>
      <c r="S76" s="26" t="n">
        <v>37.71</v>
      </c>
      <c r="T76" s="26" t="n">
        <v>37.6</v>
      </c>
      <c r="U76" s="11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26" t="n">
        <v>59.06</v>
      </c>
      <c r="W76" s="26" t="n">
        <v>71.56</v>
      </c>
      <c r="X76" s="26">
        <f>ROUND(('Methodology &amp; Assumptions'!$B$5*V76) + ('Methodology &amp; Assumptions'!$B$6*W76), 2)</f>
        <v/>
      </c>
      <c r="Y76" s="28" t="n">
        <v>11</v>
      </c>
      <c r="Z76" s="11" t="inlineStr">
        <is>
          <t>Priority Tier 2 (Balanced Opportunity)</t>
        </is>
      </c>
    </row>
    <row r="77">
      <c r="A77" s="23" t="n">
        <v>2</v>
      </c>
      <c r="B77" s="23" t="n">
        <v>73</v>
      </c>
      <c r="C77" s="23" t="n">
        <v>1073</v>
      </c>
      <c r="D77" s="23" t="inlineStr">
        <is>
          <t>0405811008</t>
        </is>
      </c>
      <c r="E77" s="11" t="inlineStr">
        <is>
          <t>Region IV-A (CALABARZON)</t>
        </is>
      </c>
      <c r="F77" s="11" t="inlineStr">
        <is>
          <t>Rizal</t>
        </is>
      </c>
      <c r="G77" s="11" t="inlineStr">
        <is>
          <t>San Mateo</t>
        </is>
      </c>
      <c r="H77" s="11" t="inlineStr">
        <is>
          <t>Maly</t>
        </is>
      </c>
      <c r="I77" s="24" t="n">
        <v>14.709703</v>
      </c>
      <c r="J77" s="24" t="n">
        <v>121.133885</v>
      </c>
      <c r="K77" s="23" t="inlineStr">
        <is>
          <t>U</t>
        </is>
      </c>
      <c r="L77" s="25" t="n">
        <v>13988</v>
      </c>
      <c r="M77" s="26" t="n">
        <v>3.6</v>
      </c>
      <c r="N77" s="25">
        <f>ROUND(L77/M77, 0)</f>
        <v/>
      </c>
      <c r="O77" s="25">
        <f>ROUND(N77*'Methodology &amp; Assumptions'!$B$7, 0)</f>
        <v/>
      </c>
      <c r="P77" s="23" t="inlineStr">
        <is>
          <t>Single Carrier (Band n50, 100MHz TDD)</t>
        </is>
      </c>
      <c r="Q77" s="27">
        <f>ROUNDUP(O77/'Methodology &amp; Assumptions'!$B$8, 0)</f>
        <v/>
      </c>
      <c r="R77" s="27" t="n">
        <v>1</v>
      </c>
      <c r="S77" s="26" t="n">
        <v>2.41</v>
      </c>
      <c r="T77" s="26" t="n">
        <v>0.1</v>
      </c>
      <c r="U77" s="11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26" t="n">
        <v>72.65000000000001</v>
      </c>
      <c r="W77" s="26" t="n">
        <v>57.94</v>
      </c>
      <c r="X77" s="26">
        <f>ROUND(('Methodology &amp; Assumptions'!$B$5*V77) + ('Methodology &amp; Assumptions'!$B$6*W77), 2)</f>
        <v/>
      </c>
      <c r="Y77" s="28" t="n">
        <v>7.2</v>
      </c>
      <c r="Z77" s="11" t="inlineStr">
        <is>
          <t>Priority Tier 2 (Balanced Opportunity)</t>
        </is>
      </c>
    </row>
    <row r="78">
      <c r="A78" s="23" t="n">
        <v>2</v>
      </c>
      <c r="B78" s="23" t="n">
        <v>74</v>
      </c>
      <c r="C78" s="23" t="n">
        <v>1074</v>
      </c>
      <c r="D78" s="23" t="inlineStr">
        <is>
          <t>1380300031</t>
        </is>
      </c>
      <c r="E78" s="11" t="inlineStr">
        <is>
          <t>National Capital Region (NCR)</t>
        </is>
      </c>
      <c r="F78" s="11" t="inlineStr">
        <is>
          <t>Fourth District (Not a Province)</t>
        </is>
      </c>
      <c r="G78" s="11" t="inlineStr">
        <is>
          <t>City of Makati</t>
        </is>
      </c>
      <c r="H78" s="11" t="inlineStr">
        <is>
          <t>Valenzuela</t>
        </is>
      </c>
      <c r="I78" s="24" t="n">
        <v>14.57192</v>
      </c>
      <c r="J78" s="24" t="n">
        <v>121.0245</v>
      </c>
      <c r="K78" s="23" t="inlineStr">
        <is>
          <t>U</t>
        </is>
      </c>
      <c r="L78" s="25" t="n">
        <v>5598</v>
      </c>
      <c r="M78" s="26" t="n">
        <v>2.91</v>
      </c>
      <c r="N78" s="25">
        <f>ROUND(L78/M78, 0)</f>
        <v/>
      </c>
      <c r="O78" s="25">
        <f>ROUND(N78*'Methodology &amp; Assumptions'!$B$7, 0)</f>
        <v/>
      </c>
      <c r="P78" s="23" t="inlineStr">
        <is>
          <t>Single Carrier (Band n50, 100MHz TDD)</t>
        </is>
      </c>
      <c r="Q78" s="27">
        <f>ROUNDUP(O78/'Methodology &amp; Assumptions'!$B$8, 0)</f>
        <v/>
      </c>
      <c r="R78" s="27" t="n">
        <v>1</v>
      </c>
      <c r="S78" s="26" t="n">
        <v>0.76</v>
      </c>
      <c r="T78" s="26" t="n">
        <v>0.24</v>
      </c>
      <c r="U78" s="11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26" t="n">
        <v>69.09</v>
      </c>
      <c r="W78" s="26" t="n">
        <v>61.51</v>
      </c>
      <c r="X78" s="26">
        <f>ROUND(('Methodology &amp; Assumptions'!$B$5*V78) + ('Methodology &amp; Assumptions'!$B$6*W78), 2)</f>
        <v/>
      </c>
      <c r="Y78" s="28" t="n">
        <v>10.9</v>
      </c>
      <c r="Z78" s="11" t="inlineStr">
        <is>
          <t>Priority Tier 2 (Balanced Opportunity)</t>
        </is>
      </c>
    </row>
    <row r="79">
      <c r="A79" s="23" t="n">
        <v>2</v>
      </c>
      <c r="B79" s="23" t="n">
        <v>75</v>
      </c>
      <c r="C79" s="23" t="n">
        <v>1075</v>
      </c>
      <c r="D79" s="23" t="inlineStr">
        <is>
          <t>1380606017</t>
        </is>
      </c>
      <c r="E79" s="11" t="inlineStr">
        <is>
          <t>National Capital Region (NCR)</t>
        </is>
      </c>
      <c r="F79" s="11" t="inlineStr">
        <is>
          <t>First District (Not a Province)</t>
        </is>
      </c>
      <c r="G79" s="11" t="inlineStr">
        <is>
          <t>City of Manila</t>
        </is>
      </c>
      <c r="H79" s="11" t="inlineStr">
        <is>
          <t>Barangay 411</t>
        </is>
      </c>
      <c r="I79" s="24" t="n">
        <v>14.603038</v>
      </c>
      <c r="J79" s="24" t="n">
        <v>120.997066</v>
      </c>
      <c r="K79" s="23" t="inlineStr">
        <is>
          <t>U</t>
        </is>
      </c>
      <c r="L79" s="25" t="n">
        <v>2182</v>
      </c>
      <c r="M79" s="26" t="n">
        <v>4.2</v>
      </c>
      <c r="N79" s="25">
        <f>ROUND(L79/M79, 0)</f>
        <v/>
      </c>
      <c r="O79" s="25">
        <f>ROUND(N79*'Methodology &amp; Assumptions'!$B$7, 0)</f>
        <v/>
      </c>
      <c r="P79" s="23" t="inlineStr">
        <is>
          <t>Single Carrier (Band n50, 100MHz TDD)</t>
        </is>
      </c>
      <c r="Q79" s="27">
        <f>ROUNDUP(O79/'Methodology &amp; Assumptions'!$B$8, 0)</f>
        <v/>
      </c>
      <c r="R79" s="27" t="n">
        <v>1</v>
      </c>
      <c r="S79" s="26" t="n">
        <v>0.63</v>
      </c>
      <c r="T79" s="26" t="n">
        <v>0.23</v>
      </c>
      <c r="U79" s="11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26" t="n">
        <v>57.8</v>
      </c>
      <c r="W79" s="26" t="n">
        <v>72.76000000000001</v>
      </c>
      <c r="X79" s="26">
        <f>ROUND(('Methodology &amp; Assumptions'!$B$5*V79) + ('Methodology &amp; Assumptions'!$B$6*W79), 2)</f>
        <v/>
      </c>
      <c r="Y79" s="28" t="n">
        <v>10.9</v>
      </c>
      <c r="Z79" s="11" t="inlineStr">
        <is>
          <t>Priority Tier 2 (Balanced Opportunity)</t>
        </is>
      </c>
    </row>
    <row r="80">
      <c r="A80" s="23" t="n">
        <v>2</v>
      </c>
      <c r="B80" s="23" t="n">
        <v>76</v>
      </c>
      <c r="C80" s="23" t="n">
        <v>1076</v>
      </c>
      <c r="D80" s="23" t="inlineStr">
        <is>
          <t>1380606031</t>
        </is>
      </c>
      <c r="E80" s="11" t="inlineStr">
        <is>
          <t>National Capital Region (NCR)</t>
        </is>
      </c>
      <c r="F80" s="11" t="inlineStr">
        <is>
          <t>First District (Not a Province)</t>
        </is>
      </c>
      <c r="G80" s="11" t="inlineStr">
        <is>
          <t>City of Manila</t>
        </is>
      </c>
      <c r="H80" s="11" t="inlineStr">
        <is>
          <t>Barangay 425</t>
        </is>
      </c>
      <c r="I80" s="24" t="n">
        <v>14.603234</v>
      </c>
      <c r="J80" s="24" t="n">
        <v>121.002281</v>
      </c>
      <c r="K80" s="23" t="inlineStr">
        <is>
          <t>U</t>
        </is>
      </c>
      <c r="L80" s="25" t="n">
        <v>1792</v>
      </c>
      <c r="M80" s="26" t="n">
        <v>2.98</v>
      </c>
      <c r="N80" s="25">
        <f>ROUND(L80/M80, 0)</f>
        <v/>
      </c>
      <c r="O80" s="25">
        <f>ROUND(N80*'Methodology &amp; Assumptions'!$B$7, 0)</f>
        <v/>
      </c>
      <c r="P80" s="23" t="inlineStr">
        <is>
          <t>Single Carrier (Band n50, 100MHz TDD)</t>
        </is>
      </c>
      <c r="Q80" s="27">
        <f>ROUNDUP(O80/'Methodology &amp; Assumptions'!$B$8, 0)</f>
        <v/>
      </c>
      <c r="R80" s="27" t="n">
        <v>1</v>
      </c>
      <c r="S80" s="26" t="n">
        <v>0.28</v>
      </c>
      <c r="T80" s="26" t="n">
        <v>0.17</v>
      </c>
      <c r="U80" s="11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26" t="n">
        <v>60.48</v>
      </c>
      <c r="W80" s="26" t="n">
        <v>70.06</v>
      </c>
      <c r="X80" s="26">
        <f>ROUND(('Methodology &amp; Assumptions'!$B$5*V80) + ('Methodology &amp; Assumptions'!$B$6*W80), 2)</f>
        <v/>
      </c>
      <c r="Y80" s="28" t="n">
        <v>10.9</v>
      </c>
      <c r="Z80" s="11" t="inlineStr">
        <is>
          <t>Priority Tier 2 (Balanced Opportunity)</t>
        </is>
      </c>
    </row>
    <row r="81">
      <c r="A81" s="23" t="n">
        <v>2</v>
      </c>
      <c r="B81" s="23" t="n">
        <v>77</v>
      </c>
      <c r="C81" s="23" t="n">
        <v>1077</v>
      </c>
      <c r="D81" s="23" t="inlineStr">
        <is>
          <t>1380606243</t>
        </is>
      </c>
      <c r="E81" s="11" t="inlineStr">
        <is>
          <t>National Capital Region (NCR)</t>
        </is>
      </c>
      <c r="F81" s="11" t="inlineStr">
        <is>
          <t>First District (Not a Province)</t>
        </is>
      </c>
      <c r="G81" s="11" t="inlineStr">
        <is>
          <t>City of Manila</t>
        </is>
      </c>
      <c r="H81" s="11" t="inlineStr">
        <is>
          <t>Barangay 636</t>
        </is>
      </c>
      <c r="I81" s="24" t="n">
        <v>14.596981</v>
      </c>
      <c r="J81" s="24" t="n">
        <v>121.001612</v>
      </c>
      <c r="K81" s="23" t="inlineStr">
        <is>
          <t>U</t>
        </is>
      </c>
      <c r="L81" s="25" t="n">
        <v>2025</v>
      </c>
      <c r="M81" s="26" t="n">
        <v>3.43</v>
      </c>
      <c r="N81" s="25">
        <f>ROUND(L81/M81, 0)</f>
        <v/>
      </c>
      <c r="O81" s="25">
        <f>ROUND(N81*'Methodology &amp; Assumptions'!$B$7, 0)</f>
        <v/>
      </c>
      <c r="P81" s="23" t="inlineStr">
        <is>
          <t>Single Carrier (Band n50, 100MHz TDD)</t>
        </is>
      </c>
      <c r="Q81" s="27">
        <f>ROUNDUP(O81/'Methodology &amp; Assumptions'!$B$8, 0)</f>
        <v/>
      </c>
      <c r="R81" s="27" t="n">
        <v>1</v>
      </c>
      <c r="S81" s="26" t="n">
        <v>0.65</v>
      </c>
      <c r="T81" s="26" t="n">
        <v>0.24</v>
      </c>
      <c r="U81" s="11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26" t="n">
        <v>60.05</v>
      </c>
      <c r="W81" s="26" t="n">
        <v>70.48999999999999</v>
      </c>
      <c r="X81" s="26">
        <f>ROUND(('Methodology &amp; Assumptions'!$B$5*V81) + ('Methodology &amp; Assumptions'!$B$6*W81), 2)</f>
        <v/>
      </c>
      <c r="Y81" s="28" t="n">
        <v>10.9</v>
      </c>
      <c r="Z81" s="11" t="inlineStr">
        <is>
          <t>Priority Tier 2 (Balanced Opportunity)</t>
        </is>
      </c>
    </row>
    <row r="82">
      <c r="A82" s="23" t="n">
        <v>2</v>
      </c>
      <c r="B82" s="23" t="n">
        <v>78</v>
      </c>
      <c r="C82" s="23" t="n">
        <v>1078</v>
      </c>
      <c r="D82" s="23" t="inlineStr">
        <is>
          <t>1380700009</t>
        </is>
      </c>
      <c r="E82" s="11" t="inlineStr">
        <is>
          <t>National Capital Region (NCR)</t>
        </is>
      </c>
      <c r="F82" s="11" t="inlineStr">
        <is>
          <t>Second District (Not a Province)</t>
        </is>
      </c>
      <c r="G82" s="11" t="inlineStr">
        <is>
          <t>City of Marikina</t>
        </is>
      </c>
      <c r="H82" s="11" t="inlineStr">
        <is>
          <t>Santa Elena</t>
        </is>
      </c>
      <c r="I82" s="24" t="n">
        <v>14.633186</v>
      </c>
      <c r="J82" s="24" t="n">
        <v>121.097276</v>
      </c>
      <c r="K82" s="23" t="inlineStr">
        <is>
          <t>U</t>
        </is>
      </c>
      <c r="L82" s="25" t="n">
        <v>7599</v>
      </c>
      <c r="M82" s="26" t="n">
        <v>5.2</v>
      </c>
      <c r="N82" s="25">
        <f>ROUND(L82/M82, 0)</f>
        <v/>
      </c>
      <c r="O82" s="25">
        <f>ROUND(N82*'Methodology &amp; Assumptions'!$B$7, 0)</f>
        <v/>
      </c>
      <c r="P82" s="23" t="inlineStr">
        <is>
          <t>Single Carrier (Band n50, 100MHz TDD)</t>
        </is>
      </c>
      <c r="Q82" s="27">
        <f>ROUNDUP(O82/'Methodology &amp; Assumptions'!$B$8, 0)</f>
        <v/>
      </c>
      <c r="R82" s="27" t="n">
        <v>1</v>
      </c>
      <c r="S82" s="26" t="n">
        <v>0.55</v>
      </c>
      <c r="T82" s="26" t="n">
        <v>0.46</v>
      </c>
      <c r="U82" s="11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26" t="n">
        <v>69.09</v>
      </c>
      <c r="W82" s="26" t="n">
        <v>61.41</v>
      </c>
      <c r="X82" s="26">
        <f>ROUND(('Methodology &amp; Assumptions'!$B$5*V82) + ('Methodology &amp; Assumptions'!$B$6*W82), 2)</f>
        <v/>
      </c>
      <c r="Y82" s="28" t="n">
        <v>10.9</v>
      </c>
      <c r="Z82" s="11" t="inlineStr">
        <is>
          <t>Priority Tier 2 (Balanced Opportunity)</t>
        </is>
      </c>
    </row>
    <row r="83">
      <c r="A83" s="23" t="n">
        <v>2</v>
      </c>
      <c r="B83" s="23" t="n">
        <v>79</v>
      </c>
      <c r="C83" s="23" t="n">
        <v>1079</v>
      </c>
      <c r="D83" s="23" t="inlineStr">
        <is>
          <t>1381100004</t>
        </is>
      </c>
      <c r="E83" s="11" t="inlineStr">
        <is>
          <t>National Capital Region (NCR)</t>
        </is>
      </c>
      <c r="F83" s="11" t="inlineStr">
        <is>
          <t>Fourth District (Not a Province)</t>
        </is>
      </c>
      <c r="G83" s="11" t="inlineStr">
        <is>
          <t>Pasay City</t>
        </is>
      </c>
      <c r="H83" s="11" t="inlineStr">
        <is>
          <t>Barangay 4</t>
        </is>
      </c>
      <c r="I83" s="24" t="n">
        <v>14.556266</v>
      </c>
      <c r="J83" s="24" t="n">
        <v>120.989889</v>
      </c>
      <c r="K83" s="23" t="inlineStr">
        <is>
          <t>U</t>
        </is>
      </c>
      <c r="L83" s="25" t="n">
        <v>2195</v>
      </c>
      <c r="M83" s="26" t="n">
        <v>3.68</v>
      </c>
      <c r="N83" s="25">
        <f>ROUND(L83/M83, 0)</f>
        <v/>
      </c>
      <c r="O83" s="25">
        <f>ROUND(N83*'Methodology &amp; Assumptions'!$B$7, 0)</f>
        <v/>
      </c>
      <c r="P83" s="23" t="inlineStr">
        <is>
          <t>Single Carrier (Band n50, 100MHz TDD)</t>
        </is>
      </c>
      <c r="Q83" s="27">
        <f>ROUNDUP(O83/'Methodology &amp; Assumptions'!$B$8, 0)</f>
        <v/>
      </c>
      <c r="R83" s="27" t="n">
        <v>1</v>
      </c>
      <c r="S83" s="26" t="n">
        <v>0.38</v>
      </c>
      <c r="T83" s="26" t="n">
        <v>0.4</v>
      </c>
      <c r="U83" s="11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26" t="n">
        <v>60.27</v>
      </c>
      <c r="W83" s="26" t="n">
        <v>70.23999999999999</v>
      </c>
      <c r="X83" s="26">
        <f>ROUND(('Methodology &amp; Assumptions'!$B$5*V83) + ('Methodology &amp; Assumptions'!$B$6*W83), 2)</f>
        <v/>
      </c>
      <c r="Y83" s="28" t="n">
        <v>10.9</v>
      </c>
      <c r="Z83" s="11" t="inlineStr">
        <is>
          <t>Priority Tier 2 (Balanced Opportunity)</t>
        </is>
      </c>
    </row>
    <row r="84">
      <c r="A84" s="23" t="n">
        <v>2</v>
      </c>
      <c r="B84" s="23" t="n">
        <v>80</v>
      </c>
      <c r="C84" s="23" t="n">
        <v>1080</v>
      </c>
      <c r="D84" s="23" t="inlineStr">
        <is>
          <t>1208003005</t>
        </is>
      </c>
      <c r="E84" s="11" t="inlineStr">
        <is>
          <t>Region XII (SOCCSKSARGEN)</t>
        </is>
      </c>
      <c r="F84" s="11" t="inlineStr">
        <is>
          <t>Sarangani</t>
        </is>
      </c>
      <c r="G84" s="11" t="inlineStr">
        <is>
          <t>Kiamba</t>
        </is>
      </c>
      <c r="H84" s="11" t="inlineStr">
        <is>
          <t>Katubao</t>
        </is>
      </c>
      <c r="I84" s="24" t="n">
        <v>5.951539</v>
      </c>
      <c r="J84" s="24" t="n">
        <v>124.834821</v>
      </c>
      <c r="K84" s="23" t="inlineStr">
        <is>
          <t>U</t>
        </is>
      </c>
      <c r="L84" s="25" t="n">
        <v>5601</v>
      </c>
      <c r="M84" s="26" t="n">
        <v>3.9</v>
      </c>
      <c r="N84" s="25">
        <f>ROUND(L84/M84, 0)</f>
        <v/>
      </c>
      <c r="O84" s="25">
        <f>ROUND(N84*'Methodology &amp; Assumptions'!$B$7, 0)</f>
        <v/>
      </c>
      <c r="P84" s="23" t="inlineStr">
        <is>
          <t>Single Carrier (Band n50, 100MHz TDD)</t>
        </is>
      </c>
      <c r="Q84" s="27">
        <f>ROUNDUP(O84/'Methodology &amp; Assumptions'!$B$8, 0)</f>
        <v/>
      </c>
      <c r="R84" s="27" t="n">
        <v>1</v>
      </c>
      <c r="S84" s="26" t="n">
        <v>36.43</v>
      </c>
      <c r="T84" s="26" t="n">
        <v>38.63</v>
      </c>
      <c r="U84" s="11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26" t="n">
        <v>54.62</v>
      </c>
      <c r="W84" s="26" t="n">
        <v>75.89</v>
      </c>
      <c r="X84" s="26">
        <f>ROUND(('Methodology &amp; Assumptions'!$B$5*V84) + ('Methodology &amp; Assumptions'!$B$6*W84), 2)</f>
        <v/>
      </c>
      <c r="Y84" s="28" t="n">
        <v>17.4</v>
      </c>
      <c r="Z84" s="11" t="inlineStr">
        <is>
          <t>Priority Tier 2 (Balanced Opportunity)</t>
        </is>
      </c>
    </row>
    <row r="85">
      <c r="A85" s="23" t="n">
        <v>2</v>
      </c>
      <c r="B85" s="23" t="n">
        <v>81</v>
      </c>
      <c r="C85" s="23" t="n">
        <v>1081</v>
      </c>
      <c r="D85" s="23" t="inlineStr">
        <is>
          <t>1380400001</t>
        </is>
      </c>
      <c r="E85" s="11" t="inlineStr">
        <is>
          <t>National Capital Region (NCR)</t>
        </is>
      </c>
      <c r="F85" s="11" t="inlineStr">
        <is>
          <t>Third District (Not a Province)</t>
        </is>
      </c>
      <c r="G85" s="11" t="inlineStr">
        <is>
          <t>City of Malabon</t>
        </is>
      </c>
      <c r="H85" s="11" t="inlineStr">
        <is>
          <t>Acacia</t>
        </is>
      </c>
      <c r="I85" s="24" t="n">
        <v>14.667651</v>
      </c>
      <c r="J85" s="24" t="n">
        <v>120.968794</v>
      </c>
      <c r="K85" s="23" t="inlineStr">
        <is>
          <t>U</t>
        </is>
      </c>
      <c r="L85" s="25" t="n">
        <v>4965</v>
      </c>
      <c r="M85" s="26" t="n">
        <v>3.82</v>
      </c>
      <c r="N85" s="25">
        <f>ROUND(L85/M85, 0)</f>
        <v/>
      </c>
      <c r="O85" s="25">
        <f>ROUND(N85*'Methodology &amp; Assumptions'!$B$7, 0)</f>
        <v/>
      </c>
      <c r="P85" s="23" t="inlineStr">
        <is>
          <t>Single Carrier (Band n50, 100MHz TDD)</t>
        </is>
      </c>
      <c r="Q85" s="27">
        <f>ROUNDUP(O85/'Methodology &amp; Assumptions'!$B$8, 0)</f>
        <v/>
      </c>
      <c r="R85" s="27" t="n">
        <v>1</v>
      </c>
      <c r="S85" s="26" t="n">
        <v>0.21</v>
      </c>
      <c r="T85" s="26" t="n">
        <v>0.21</v>
      </c>
      <c r="U85" s="11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26" t="n">
        <v>69.09</v>
      </c>
      <c r="W85" s="26" t="n">
        <v>61.36</v>
      </c>
      <c r="X85" s="26">
        <f>ROUND(('Methodology &amp; Assumptions'!$B$5*V85) + ('Methodology &amp; Assumptions'!$B$6*W85), 2)</f>
        <v/>
      </c>
      <c r="Y85" s="28" t="n">
        <v>10.9</v>
      </c>
      <c r="Z85" s="11" t="inlineStr">
        <is>
          <t>Priority Tier 2 (Balanced Opportunity)</t>
        </is>
      </c>
    </row>
    <row r="86">
      <c r="A86" s="23" t="n">
        <v>2</v>
      </c>
      <c r="B86" s="23" t="n">
        <v>82</v>
      </c>
      <c r="C86" s="23" t="n">
        <v>1082</v>
      </c>
      <c r="D86" s="23" t="inlineStr">
        <is>
          <t>0301403020</t>
        </is>
      </c>
      <c r="E86" s="11" t="inlineStr">
        <is>
          <t>Region III (Central Luzon)</t>
        </is>
      </c>
      <c r="F86" s="11" t="inlineStr">
        <is>
          <t>Bulacan</t>
        </is>
      </c>
      <c r="G86" s="11" t="inlineStr">
        <is>
          <t>Baliuag</t>
        </is>
      </c>
      <c r="H86" s="11" t="inlineStr">
        <is>
          <t>Santo Cristo</t>
        </is>
      </c>
      <c r="I86" s="24" t="n">
        <v>14.955424</v>
      </c>
      <c r="J86" s="24" t="n">
        <v>120.894322</v>
      </c>
      <c r="K86" s="23" t="inlineStr">
        <is>
          <t>U</t>
        </is>
      </c>
      <c r="L86" s="25" t="n">
        <v>10035</v>
      </c>
      <c r="M86" s="26" t="n">
        <v>3.5</v>
      </c>
      <c r="N86" s="25">
        <f>ROUND(L86/M86, 0)</f>
        <v/>
      </c>
      <c r="O86" s="25">
        <f>ROUND(N86*'Methodology &amp; Assumptions'!$B$7, 0)</f>
        <v/>
      </c>
      <c r="P86" s="23" t="inlineStr">
        <is>
          <t>Single Carrier (Band n50, 100MHz TDD)</t>
        </is>
      </c>
      <c r="Q86" s="27">
        <f>ROUNDUP(O86/'Methodology &amp; Assumptions'!$B$8, 0)</f>
        <v/>
      </c>
      <c r="R86" s="27" t="n">
        <v>1</v>
      </c>
      <c r="S86" s="26" t="n">
        <v>1.07</v>
      </c>
      <c r="T86" s="26" t="n">
        <v>0.51</v>
      </c>
      <c r="U86" s="11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26" t="n">
        <v>77.55</v>
      </c>
      <c r="W86" s="26" t="n">
        <v>52.9</v>
      </c>
      <c r="X86" s="26">
        <f>ROUND(('Methodology &amp; Assumptions'!$B$5*V86) + ('Methodology &amp; Assumptions'!$B$6*W86), 2)</f>
        <v/>
      </c>
      <c r="Y86" s="28" t="n">
        <v>8.300000000000001</v>
      </c>
      <c r="Z86" s="11" t="inlineStr">
        <is>
          <t>Priority Tier 2 (Balanced Opportunity)</t>
        </is>
      </c>
    </row>
    <row r="87">
      <c r="A87" s="23" t="n">
        <v>2</v>
      </c>
      <c r="B87" s="23" t="n">
        <v>83</v>
      </c>
      <c r="C87" s="23" t="n">
        <v>1083</v>
      </c>
      <c r="D87" s="23" t="inlineStr">
        <is>
          <t>0403416033</t>
        </is>
      </c>
      <c r="E87" s="11" t="inlineStr">
        <is>
          <t>Region IV-A (CALABARZON)</t>
        </is>
      </c>
      <c r="F87" s="11" t="inlineStr">
        <is>
          <t>Laguna</t>
        </is>
      </c>
      <c r="G87" s="11" t="inlineStr">
        <is>
          <t>Majayjay</t>
        </is>
      </c>
      <c r="H87" s="11" t="inlineStr">
        <is>
          <t>San Francisco</t>
        </is>
      </c>
      <c r="I87" s="24" t="n">
        <v>14.14167</v>
      </c>
      <c r="J87" s="24" t="n">
        <v>121.479181</v>
      </c>
      <c r="K87" s="23" t="inlineStr">
        <is>
          <t>R</t>
        </is>
      </c>
      <c r="L87" s="25" t="n">
        <v>3178</v>
      </c>
      <c r="M87" s="26" t="n">
        <v>3.3</v>
      </c>
      <c r="N87" s="25">
        <f>ROUND(L87/M87, 0)</f>
        <v/>
      </c>
      <c r="O87" s="25">
        <f>ROUND(N87*'Methodology &amp; Assumptions'!$B$7, 0)</f>
        <v/>
      </c>
      <c r="P87" s="23" t="inlineStr">
        <is>
          <t>Single Carrier (Band n50, 100MHz TDD)</t>
        </is>
      </c>
      <c r="Q87" s="27">
        <f>ROUNDUP(O87/'Methodology &amp; Assumptions'!$B$8, 0)</f>
        <v/>
      </c>
      <c r="R87" s="27" t="n">
        <v>1</v>
      </c>
      <c r="S87" s="26" t="n">
        <v>0.98</v>
      </c>
      <c r="T87" s="26" t="n">
        <v>0.6</v>
      </c>
      <c r="U87" s="11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26" t="n">
        <v>84.91</v>
      </c>
      <c r="W87" s="26" t="n">
        <v>45.51</v>
      </c>
      <c r="X87" s="26">
        <f>ROUND(('Methodology &amp; Assumptions'!$B$5*V87) + ('Methodology &amp; Assumptions'!$B$6*W87), 2)</f>
        <v/>
      </c>
      <c r="Y87" s="28" t="n">
        <v>7.2</v>
      </c>
      <c r="Z87" s="11" t="inlineStr">
        <is>
          <t>Priority Tier 2 (Balanced Opportunity)</t>
        </is>
      </c>
    </row>
    <row r="88">
      <c r="A88" s="23" t="n">
        <v>2</v>
      </c>
      <c r="B88" s="23" t="n">
        <v>84</v>
      </c>
      <c r="C88" s="23" t="n">
        <v>1084</v>
      </c>
      <c r="D88" s="23" t="inlineStr">
        <is>
          <t>1004326004</t>
        </is>
      </c>
      <c r="E88" s="11" t="inlineStr">
        <is>
          <t>Region X (Northern Mindanao)</t>
        </is>
      </c>
      <c r="F88" s="11" t="inlineStr">
        <is>
          <t>Misamis Oriental</t>
        </is>
      </c>
      <c r="G88" s="11" t="inlineStr">
        <is>
          <t>Villanueva</t>
        </is>
      </c>
      <c r="H88" s="11" t="inlineStr">
        <is>
          <t>Katipunan</t>
        </is>
      </c>
      <c r="I88" s="24" t="n">
        <v>8.580634999999999</v>
      </c>
      <c r="J88" s="24" t="n">
        <v>124.774899</v>
      </c>
      <c r="K88" s="23" t="inlineStr">
        <is>
          <t>U</t>
        </is>
      </c>
      <c r="L88" s="25" t="n">
        <v>5463</v>
      </c>
      <c r="M88" s="26" t="n">
        <v>3.9</v>
      </c>
      <c r="N88" s="25">
        <f>ROUND(L88/M88, 0)</f>
        <v/>
      </c>
      <c r="O88" s="25">
        <f>ROUND(N88*'Methodology &amp; Assumptions'!$B$7, 0)</f>
        <v/>
      </c>
      <c r="P88" s="23" t="inlineStr">
        <is>
          <t>Single Carrier (Band n50, 100MHz TDD)</t>
        </is>
      </c>
      <c r="Q88" s="27">
        <f>ROUNDUP(O88/'Methodology &amp; Assumptions'!$B$8, 0)</f>
        <v/>
      </c>
      <c r="R88" s="27" t="n">
        <v>1</v>
      </c>
      <c r="S88" s="26" t="n">
        <v>1.62</v>
      </c>
      <c r="T88" s="26" t="n">
        <v>0.47</v>
      </c>
      <c r="U88" s="11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26" t="n">
        <v>76.95999999999999</v>
      </c>
      <c r="W88" s="26" t="n">
        <v>53.47</v>
      </c>
      <c r="X88" s="26">
        <f>ROUND(('Methodology &amp; Assumptions'!$B$5*V88) + ('Methodology &amp; Assumptions'!$B$6*W88), 2)</f>
        <v/>
      </c>
      <c r="Y88" s="28" t="n">
        <v>17.4</v>
      </c>
      <c r="Z88" s="11" t="inlineStr">
        <is>
          <t>Priority Tier 2 (Balanced Opportunity)</t>
        </is>
      </c>
    </row>
    <row r="89">
      <c r="A89" s="23" t="n">
        <v>2</v>
      </c>
      <c r="B89" s="23" t="n">
        <v>85</v>
      </c>
      <c r="C89" s="23" t="n">
        <v>1085</v>
      </c>
      <c r="D89" s="23" t="inlineStr">
        <is>
          <t>1381100108</t>
        </is>
      </c>
      <c r="E89" s="11" t="inlineStr">
        <is>
          <t>National Capital Region (NCR)</t>
        </is>
      </c>
      <c r="F89" s="11" t="inlineStr">
        <is>
          <t>Fourth District (Not a Province)</t>
        </is>
      </c>
      <c r="G89" s="11" t="inlineStr">
        <is>
          <t>Pasay City</t>
        </is>
      </c>
      <c r="H89" s="11" t="inlineStr">
        <is>
          <t>Barangay 108</t>
        </is>
      </c>
      <c r="I89" s="24" t="n">
        <v>14.547603</v>
      </c>
      <c r="J89" s="24" t="n">
        <v>121.003175</v>
      </c>
      <c r="K89" s="23" t="inlineStr">
        <is>
          <t>U</t>
        </is>
      </c>
      <c r="L89" s="25" t="n">
        <v>2094</v>
      </c>
      <c r="M89" s="26" t="n">
        <v>3.49</v>
      </c>
      <c r="N89" s="25">
        <f>ROUND(L89/M89, 0)</f>
        <v/>
      </c>
      <c r="O89" s="25">
        <f>ROUND(N89*'Methodology &amp; Assumptions'!$B$7, 0)</f>
        <v/>
      </c>
      <c r="P89" s="23" t="inlineStr">
        <is>
          <t>Single Carrier (Band n50, 100MHz TDD)</t>
        </is>
      </c>
      <c r="Q89" s="27">
        <f>ROUNDUP(O89/'Methodology &amp; Assumptions'!$B$8, 0)</f>
        <v/>
      </c>
      <c r="R89" s="27" t="n">
        <v>1</v>
      </c>
      <c r="S89" s="26" t="n">
        <v>0.92</v>
      </c>
      <c r="T89" s="26" t="n">
        <v>0.08</v>
      </c>
      <c r="U89" s="11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26" t="n">
        <v>60.08</v>
      </c>
      <c r="W89" s="26" t="n">
        <v>70.33</v>
      </c>
      <c r="X89" s="26">
        <f>ROUND(('Methodology &amp; Assumptions'!$B$5*V89) + ('Methodology &amp; Assumptions'!$B$6*W89), 2)</f>
        <v/>
      </c>
      <c r="Y89" s="28" t="n">
        <v>10.9</v>
      </c>
      <c r="Z89" s="11" t="inlineStr">
        <is>
          <t>Priority Tier 2 (Balanced Opportunity)</t>
        </is>
      </c>
    </row>
    <row r="90">
      <c r="A90" s="23" t="n">
        <v>2</v>
      </c>
      <c r="B90" s="23" t="n">
        <v>86</v>
      </c>
      <c r="C90" s="23" t="n">
        <v>1086</v>
      </c>
      <c r="D90" s="23" t="inlineStr">
        <is>
          <t>1908820008</t>
        </is>
      </c>
      <c r="E90" s="11" t="inlineStr">
        <is>
          <t>Bangsamoro Autonomous Region In Muslim Mindanao (BARMM)</t>
        </is>
      </c>
      <c r="F90" s="11" t="inlineStr">
        <is>
          <t>Maguindanao del Sur</t>
        </is>
      </c>
      <c r="G90" s="11" t="inlineStr">
        <is>
          <t>Shariff Aguak</t>
        </is>
      </c>
      <c r="H90" s="11" t="inlineStr">
        <is>
          <t>Poblacion I</t>
        </is>
      </c>
      <c r="I90" s="24" t="n">
        <v>6.85308</v>
      </c>
      <c r="J90" s="24" t="n">
        <v>124.397636</v>
      </c>
      <c r="K90" s="23" t="inlineStr">
        <is>
          <t>R</t>
        </is>
      </c>
      <c r="L90" s="25" t="n">
        <v>3711</v>
      </c>
      <c r="M90" s="26" t="n">
        <v>4.7</v>
      </c>
      <c r="N90" s="25">
        <f>ROUND(L90/M90, 0)</f>
        <v/>
      </c>
      <c r="O90" s="25">
        <f>ROUND(N90*'Methodology &amp; Assumptions'!$B$7, 0)</f>
        <v/>
      </c>
      <c r="P90" s="23" t="inlineStr">
        <is>
          <t>Single Carrier (Band n50, 100MHz TDD)</t>
        </is>
      </c>
      <c r="Q90" s="27">
        <f>ROUNDUP(O90/'Methodology &amp; Assumptions'!$B$8, 0)</f>
        <v/>
      </c>
      <c r="R90" s="27" t="n">
        <v>1</v>
      </c>
      <c r="S90" s="26" t="n">
        <v>35.47</v>
      </c>
      <c r="T90" s="26" t="n">
        <v>35.41</v>
      </c>
      <c r="U90" s="11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26" t="n">
        <v>56.43</v>
      </c>
      <c r="W90" s="26" t="n">
        <v>73.98999999999999</v>
      </c>
      <c r="X90" s="26">
        <f>ROUND(('Methodology &amp; Assumptions'!$B$5*V90) + ('Methodology &amp; Assumptions'!$B$6*W90), 2)</f>
        <v/>
      </c>
      <c r="Y90" s="28" t="n">
        <v>11</v>
      </c>
      <c r="Z90" s="11" t="inlineStr">
        <is>
          <t>Priority Tier 2 (Balanced Opportunity)</t>
        </is>
      </c>
    </row>
    <row r="91">
      <c r="A91" s="23" t="n">
        <v>2</v>
      </c>
      <c r="B91" s="23" t="n">
        <v>87</v>
      </c>
      <c r="C91" s="23" t="n">
        <v>1087</v>
      </c>
      <c r="D91" s="23" t="inlineStr">
        <is>
          <t>1381200030</t>
        </is>
      </c>
      <c r="E91" s="11" t="inlineStr">
        <is>
          <t>National Capital Region (NCR)</t>
        </is>
      </c>
      <c r="F91" s="11" t="inlineStr">
        <is>
          <t>Second District (Not a Province)</t>
        </is>
      </c>
      <c r="G91" s="11" t="inlineStr">
        <is>
          <t>City of Pasig</t>
        </is>
      </c>
      <c r="H91" s="11" t="inlineStr">
        <is>
          <t>Santa Lucia</t>
        </is>
      </c>
      <c r="I91" s="24" t="n">
        <v>14.588138</v>
      </c>
      <c r="J91" s="24" t="n">
        <v>121.099563</v>
      </c>
      <c r="K91" s="23" t="inlineStr">
        <is>
          <t>U</t>
        </is>
      </c>
      <c r="L91" s="25" t="n">
        <v>45116</v>
      </c>
      <c r="M91" s="26" t="n">
        <v>3.52</v>
      </c>
      <c r="N91" s="25">
        <f>ROUND(L91/M91, 0)</f>
        <v/>
      </c>
      <c r="O91" s="25">
        <f>ROUND(N91*'Methodology &amp; Assumptions'!$B$7, 0)</f>
        <v/>
      </c>
      <c r="P91" s="23" t="inlineStr">
        <is>
          <t>Single Carrier (Band n50, 100MHz TDD)</t>
        </is>
      </c>
      <c r="Q91" s="27">
        <f>ROUNDUP(O91/'Methodology &amp; Assumptions'!$B$8, 0)</f>
        <v/>
      </c>
      <c r="R91" s="27" t="n">
        <v>1</v>
      </c>
      <c r="S91" s="26" t="n">
        <v>1.56</v>
      </c>
      <c r="T91" s="26" t="n">
        <v>0.15</v>
      </c>
      <c r="U91" s="11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26" t="n">
        <v>63.78</v>
      </c>
      <c r="W91" s="26" t="n">
        <v>66.61</v>
      </c>
      <c r="X91" s="26">
        <f>ROUND(('Methodology &amp; Assumptions'!$B$5*V91) + ('Methodology &amp; Assumptions'!$B$6*W91), 2)</f>
        <v/>
      </c>
      <c r="Y91" s="28" t="n">
        <v>10.9</v>
      </c>
      <c r="Z91" s="11" t="inlineStr">
        <is>
          <t>Priority Tier 2 (Balanced Opportunity)</t>
        </is>
      </c>
    </row>
    <row r="92">
      <c r="A92" s="23" t="n">
        <v>2</v>
      </c>
      <c r="B92" s="23" t="n">
        <v>88</v>
      </c>
      <c r="C92" s="23" t="n">
        <v>1088</v>
      </c>
      <c r="D92" s="23" t="inlineStr">
        <is>
          <t>1380601181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181</t>
        </is>
      </c>
      <c r="I92" s="24" t="n">
        <v>14.63121</v>
      </c>
      <c r="J92" s="24" t="n">
        <v>120.9733</v>
      </c>
      <c r="K92" s="23" t="inlineStr">
        <is>
          <t>U</t>
        </is>
      </c>
      <c r="L92" s="25" t="n">
        <v>2334</v>
      </c>
      <c r="M92" s="26" t="n">
        <v>4.05</v>
      </c>
      <c r="N92" s="25">
        <f>ROUND(L92/M92, 0)</f>
        <v/>
      </c>
      <c r="O92" s="25">
        <f>ROUND(N92*'Methodology &amp; Assumptions'!$B$7, 0)</f>
        <v/>
      </c>
      <c r="P92" s="23" t="inlineStr">
        <is>
          <t>Single Carrier (Band n50, 100MHz TDD)</t>
        </is>
      </c>
      <c r="Q92" s="27">
        <f>ROUNDUP(O92/'Methodology &amp; Assumptions'!$B$8, 0)</f>
        <v/>
      </c>
      <c r="R92" s="27" t="n">
        <v>1</v>
      </c>
      <c r="S92" s="26" t="n">
        <v>0.48</v>
      </c>
      <c r="T92" s="26" t="n">
        <v>0.5</v>
      </c>
      <c r="U92" s="11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26" t="n">
        <v>59.62</v>
      </c>
      <c r="W92" s="26" t="n">
        <v>70.77</v>
      </c>
      <c r="X92" s="26">
        <f>ROUND(('Methodology &amp; Assumptions'!$B$5*V92) + ('Methodology &amp; Assumptions'!$B$6*W92), 2)</f>
        <v/>
      </c>
      <c r="Y92" s="28" t="n">
        <v>10.9</v>
      </c>
      <c r="Z92" s="11" t="inlineStr">
        <is>
          <t>Priority Tier 2 (Balanced Opportunity)</t>
        </is>
      </c>
    </row>
    <row r="93">
      <c r="A93" s="23" t="n">
        <v>2</v>
      </c>
      <c r="B93" s="23" t="n">
        <v>89</v>
      </c>
      <c r="C93" s="23" t="n">
        <v>1089</v>
      </c>
      <c r="D93" s="23" t="inlineStr">
        <is>
          <t>1906603018</t>
        </is>
      </c>
      <c r="E93" s="11" t="inlineStr">
        <is>
          <t>Bangsamoro Autonomous Region In Muslim Mindanao (BARMM)</t>
        </is>
      </c>
      <c r="F93" s="11" t="inlineStr">
        <is>
          <t>Sulu</t>
        </is>
      </c>
      <c r="G93" s="11" t="inlineStr">
        <is>
          <t>Kalingalan Caluang</t>
        </is>
      </c>
      <c r="H93" s="11" t="inlineStr">
        <is>
          <t>Masjid Punjungan</t>
        </is>
      </c>
      <c r="I93" s="24" t="n">
        <v>5.925863</v>
      </c>
      <c r="J93" s="24" t="n">
        <v>121.274112</v>
      </c>
      <c r="K93" s="23" t="inlineStr">
        <is>
          <t>R</t>
        </is>
      </c>
      <c r="L93" s="25" t="n">
        <v>3769</v>
      </c>
      <c r="M93" s="26" t="n">
        <v>4.3</v>
      </c>
      <c r="N93" s="25">
        <f>ROUND(L93/M93, 0)</f>
        <v/>
      </c>
      <c r="O93" s="25">
        <f>ROUND(N93*'Methodology &amp; Assumptions'!$B$7, 0)</f>
        <v/>
      </c>
      <c r="P93" s="23" t="inlineStr">
        <is>
          <t>Single Carrier (Band n50, 100MHz TDD)</t>
        </is>
      </c>
      <c r="Q93" s="27">
        <f>ROUNDUP(O93/'Methodology &amp; Assumptions'!$B$8, 0)</f>
        <v/>
      </c>
      <c r="R93" s="27" t="n">
        <v>1</v>
      </c>
      <c r="S93" s="26" t="n">
        <v>140.68</v>
      </c>
      <c r="T93" s="26" t="n">
        <v>140.67</v>
      </c>
      <c r="U93" s="11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26" t="n">
        <v>59.06</v>
      </c>
      <c r="W93" s="26" t="n">
        <v>71.34</v>
      </c>
      <c r="X93" s="26">
        <f>ROUND(('Methodology &amp; Assumptions'!$B$5*V93) + ('Methodology &amp; Assumptions'!$B$6*W93), 2)</f>
        <v/>
      </c>
      <c r="Y93" s="28" t="n">
        <v>11</v>
      </c>
      <c r="Z93" s="11" t="inlineStr">
        <is>
          <t>Priority Tier 2 (Balanced Opportunity)</t>
        </is>
      </c>
    </row>
    <row r="94">
      <c r="A94" s="23" t="n">
        <v>2</v>
      </c>
      <c r="B94" s="23" t="n">
        <v>90</v>
      </c>
      <c r="C94" s="23" t="n">
        <v>1090</v>
      </c>
      <c r="D94" s="23" t="inlineStr">
        <is>
          <t>1003508010</t>
        </is>
      </c>
      <c r="E94" s="11" t="inlineStr">
        <is>
          <t>Region X (Northern Mindanao)</t>
        </is>
      </c>
      <c r="F94" s="11" t="inlineStr">
        <is>
          <t>Lanao del Norte</t>
        </is>
      </c>
      <c r="G94" s="11" t="inlineStr">
        <is>
          <t>Kolambugan</t>
        </is>
      </c>
      <c r="H94" s="11" t="inlineStr">
        <is>
          <t>Lumbac</t>
        </is>
      </c>
      <c r="I94" s="24" t="n">
        <v>8.0656</v>
      </c>
      <c r="J94" s="24" t="n">
        <v>123.843</v>
      </c>
      <c r="K94" s="23" t="inlineStr">
        <is>
          <t>R</t>
        </is>
      </c>
      <c r="L94" s="25" t="n">
        <v>611</v>
      </c>
      <c r="M94" s="26" t="n">
        <v>4.2</v>
      </c>
      <c r="N94" s="25">
        <f>ROUND(L94/M94, 0)</f>
        <v/>
      </c>
      <c r="O94" s="25">
        <f>ROUND(N94*'Methodology &amp; Assumptions'!$B$7, 0)</f>
        <v/>
      </c>
      <c r="P94" s="23" t="inlineStr">
        <is>
          <t>Single Carrier (Band n50, 100MHz TDD)</t>
        </is>
      </c>
      <c r="Q94" s="27">
        <f>ROUNDUP(O94/'Methodology &amp; Assumptions'!$B$8, 0)</f>
        <v/>
      </c>
      <c r="R94" s="27" t="n">
        <v>1</v>
      </c>
      <c r="S94" s="26" t="n">
        <v>5.45</v>
      </c>
      <c r="T94" s="26" t="n">
        <v>2.2</v>
      </c>
      <c r="U94" s="11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26" t="n">
        <v>49.34</v>
      </c>
      <c r="W94" s="26" t="n">
        <v>81.05</v>
      </c>
      <c r="X94" s="26">
        <f>ROUND(('Methodology &amp; Assumptions'!$B$5*V94) + ('Methodology &amp; Assumptions'!$B$6*W94), 2)</f>
        <v/>
      </c>
      <c r="Y94" s="28" t="n">
        <v>17.4</v>
      </c>
      <c r="Z94" s="11" t="inlineStr">
        <is>
          <t>Priority Tier 2 (Balanced Opportunity)</t>
        </is>
      </c>
    </row>
    <row r="95">
      <c r="A95" s="23" t="n">
        <v>2</v>
      </c>
      <c r="B95" s="23" t="n">
        <v>91</v>
      </c>
      <c r="C95" s="23" t="n">
        <v>1091</v>
      </c>
      <c r="D95" s="23" t="inlineStr">
        <is>
          <t>0102934033</t>
        </is>
      </c>
      <c r="E95" s="11" t="inlineStr">
        <is>
          <t>Region I (Ilocos Region)</t>
        </is>
      </c>
      <c r="F95" s="11" t="inlineStr">
        <is>
          <t>Ilocos Sur</t>
        </is>
      </c>
      <c r="G95" s="11" t="inlineStr">
        <is>
          <t>City of Vigan</t>
        </is>
      </c>
      <c r="H95" s="11" t="inlineStr">
        <is>
          <t>San Jose</t>
        </is>
      </c>
      <c r="I95" s="24" t="n">
        <v>17.574056</v>
      </c>
      <c r="J95" s="24" t="n">
        <v>120.390856</v>
      </c>
      <c r="K95" s="23" t="inlineStr">
        <is>
          <t>R</t>
        </is>
      </c>
      <c r="L95" s="25" t="n">
        <v>915</v>
      </c>
      <c r="M95" s="26" t="n">
        <v>3.8</v>
      </c>
      <c r="N95" s="25">
        <f>ROUND(L95/M95, 0)</f>
        <v/>
      </c>
      <c r="O95" s="25">
        <f>ROUND(N95*'Methodology &amp; Assumptions'!$B$7, 0)</f>
        <v/>
      </c>
      <c r="P95" s="23" t="inlineStr">
        <is>
          <t>Single Carrier (Band n50, 100MHz TDD)</t>
        </is>
      </c>
      <c r="Q95" s="27">
        <f>ROUNDUP(O95/'Methodology &amp; Assumptions'!$B$8, 0)</f>
        <v/>
      </c>
      <c r="R95" s="27" t="n">
        <v>1</v>
      </c>
      <c r="S95" s="26" t="n">
        <v>2.17</v>
      </c>
      <c r="T95" s="26" t="n">
        <v>0.7</v>
      </c>
      <c r="U95" s="11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26" t="n">
        <v>62</v>
      </c>
      <c r="W95" s="26" t="n">
        <v>68.38</v>
      </c>
      <c r="X95" s="26">
        <f>ROUND(('Methodology &amp; Assumptions'!$B$5*V95) + ('Methodology &amp; Assumptions'!$B$6*W95), 2)</f>
        <v/>
      </c>
      <c r="Y95" s="28" t="n">
        <v>8.300000000000001</v>
      </c>
      <c r="Z95" s="11" t="inlineStr">
        <is>
          <t>Priority Tier 2 (Balanced Opportunity)</t>
        </is>
      </c>
    </row>
    <row r="96">
      <c r="A96" s="23" t="n">
        <v>2</v>
      </c>
      <c r="B96" s="23" t="n">
        <v>92</v>
      </c>
      <c r="C96" s="23" t="n">
        <v>1092</v>
      </c>
      <c r="D96" s="23" t="inlineStr">
        <is>
          <t>1705304020</t>
        </is>
      </c>
      <c r="E96" s="11" t="inlineStr">
        <is>
          <t>MIMAROPA Region</t>
        </is>
      </c>
      <c r="F96" s="11" t="inlineStr">
        <is>
          <t>Palawan</t>
        </is>
      </c>
      <c r="G96" s="11" t="inlineStr">
        <is>
          <t>Balabac</t>
        </is>
      </c>
      <c r="H96" s="11" t="inlineStr">
        <is>
          <t>Ramos</t>
        </is>
      </c>
      <c r="I96" s="24" t="n">
        <v>8.119603</v>
      </c>
      <c r="J96" s="24" t="n">
        <v>117.020891</v>
      </c>
      <c r="K96" s="23" t="inlineStr">
        <is>
          <t>R</t>
        </is>
      </c>
      <c r="L96" s="25" t="n">
        <v>3106</v>
      </c>
      <c r="M96" s="26" t="n">
        <v>3.9</v>
      </c>
      <c r="N96" s="25">
        <f>ROUND(L96/M96, 0)</f>
        <v/>
      </c>
      <c r="O96" s="25">
        <f>ROUND(N96*'Methodology &amp; Assumptions'!$B$7, 0)</f>
        <v/>
      </c>
      <c r="P96" s="23" t="inlineStr">
        <is>
          <t>Single Carrier (Band n50, 100MHz TDD)</t>
        </is>
      </c>
      <c r="Q96" s="27">
        <f>ROUNDUP(O96/'Methodology &amp; Assumptions'!$B$8, 0)</f>
        <v/>
      </c>
      <c r="R96" s="27" t="n">
        <v>1</v>
      </c>
      <c r="S96" s="26" t="n">
        <v>260.54</v>
      </c>
      <c r="T96" s="26" t="n">
        <v>262.83</v>
      </c>
      <c r="U96" s="11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26" t="n">
        <v>58.6</v>
      </c>
      <c r="W96" s="26" t="n">
        <v>71.78</v>
      </c>
      <c r="X96" s="26">
        <f>ROUND(('Methodology &amp; Assumptions'!$B$5*V96) + ('Methodology &amp; Assumptions'!$B$6*W96), 2)</f>
        <v/>
      </c>
      <c r="Y96" s="28" t="n">
        <v>15</v>
      </c>
      <c r="Z96" s="11" t="inlineStr">
        <is>
          <t>Priority Tier 2 (Balanced Opportunity)</t>
        </is>
      </c>
    </row>
    <row r="97">
      <c r="A97" s="23" t="n">
        <v>2</v>
      </c>
      <c r="B97" s="23" t="n">
        <v>93</v>
      </c>
      <c r="C97" s="23" t="n">
        <v>1093</v>
      </c>
      <c r="D97" s="23" t="inlineStr">
        <is>
          <t>0701230015</t>
        </is>
      </c>
      <c r="E97" s="11" t="inlineStr">
        <is>
          <t>Region VII (Central Visayas)</t>
        </is>
      </c>
      <c r="F97" s="11" t="inlineStr">
        <is>
          <t>Bohol</t>
        </is>
      </c>
      <c r="G97" s="11" t="inlineStr">
        <is>
          <t>Loon</t>
        </is>
      </c>
      <c r="H97" s="11" t="inlineStr">
        <is>
          <t>Cabadug</t>
        </is>
      </c>
      <c r="I97" s="24" t="n">
        <v>9.763686</v>
      </c>
      <c r="J97" s="24" t="n">
        <v>123.803442</v>
      </c>
      <c r="K97" s="23" t="inlineStr">
        <is>
          <t>R</t>
        </is>
      </c>
      <c r="L97" s="25" t="n">
        <v>320</v>
      </c>
      <c r="M97" s="26" t="n">
        <v>4</v>
      </c>
      <c r="N97" s="25">
        <f>ROUND(L97/M97, 0)</f>
        <v/>
      </c>
      <c r="O97" s="25">
        <f>ROUND(N97*'Methodology &amp; Assumptions'!$B$7, 0)</f>
        <v/>
      </c>
      <c r="P97" s="23" t="inlineStr">
        <is>
          <t>Single Carrier (Band n50, 100MHz TDD)</t>
        </is>
      </c>
      <c r="Q97" s="27">
        <f>ROUNDUP(O97/'Methodology &amp; Assumptions'!$B$8, 0)</f>
        <v/>
      </c>
      <c r="R97" s="27" t="n">
        <v>1</v>
      </c>
      <c r="S97" s="26" t="n">
        <v>4.65</v>
      </c>
      <c r="T97" s="26" t="n">
        <v>1.8</v>
      </c>
      <c r="U97" s="11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26" t="n">
        <v>53.02</v>
      </c>
      <c r="W97" s="26" t="n">
        <v>77.34999999999999</v>
      </c>
      <c r="X97" s="26">
        <f>ROUND(('Methodology &amp; Assumptions'!$B$5*V97) + ('Methodology &amp; Assumptions'!$B$6*W97), 2)</f>
        <v/>
      </c>
      <c r="Y97" s="28" t="n">
        <v>23.7</v>
      </c>
      <c r="Z97" s="11" t="inlineStr">
        <is>
          <t>Priority Tier 2 (Balanced Opportunity)</t>
        </is>
      </c>
    </row>
    <row r="98">
      <c r="A98" s="23" t="n">
        <v>2</v>
      </c>
      <c r="B98" s="23" t="n">
        <v>94</v>
      </c>
      <c r="C98" s="23" t="n">
        <v>1094</v>
      </c>
      <c r="D98" s="23" t="inlineStr">
        <is>
          <t>0301403022</t>
        </is>
      </c>
      <c r="E98" s="11" t="inlineStr">
        <is>
          <t>Region III (Central Luzon)</t>
        </is>
      </c>
      <c r="F98" s="11" t="inlineStr">
        <is>
          <t>Bulacan</t>
        </is>
      </c>
      <c r="G98" s="11" t="inlineStr">
        <is>
          <t>Baliuag</t>
        </is>
      </c>
      <c r="H98" s="11" t="inlineStr">
        <is>
          <t>Subic</t>
        </is>
      </c>
      <c r="I98" s="24" t="n">
        <v>14.960972</v>
      </c>
      <c r="J98" s="24" t="n">
        <v>120.90431</v>
      </c>
      <c r="K98" s="23" t="inlineStr">
        <is>
          <t>U</t>
        </is>
      </c>
      <c r="L98" s="25" t="n">
        <v>6728</v>
      </c>
      <c r="M98" s="26" t="n">
        <v>3.5</v>
      </c>
      <c r="N98" s="25">
        <f>ROUND(L98/M98, 0)</f>
        <v/>
      </c>
      <c r="O98" s="25">
        <f>ROUND(N98*'Methodology &amp; Assumptions'!$B$7, 0)</f>
        <v/>
      </c>
      <c r="P98" s="23" t="inlineStr">
        <is>
          <t>Single Carrier (Band n50, 100MHz TDD)</t>
        </is>
      </c>
      <c r="Q98" s="27">
        <f>ROUNDUP(O98/'Methodology &amp; Assumptions'!$B$8, 0)</f>
        <v/>
      </c>
      <c r="R98" s="27" t="n">
        <v>1</v>
      </c>
      <c r="S98" s="26" t="n">
        <v>1.55</v>
      </c>
      <c r="T98" s="26" t="n">
        <v>0.39</v>
      </c>
      <c r="U98" s="11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26" t="n">
        <v>75.77</v>
      </c>
      <c r="W98" s="26" t="n">
        <v>54.6</v>
      </c>
      <c r="X98" s="26">
        <f>ROUND(('Methodology &amp; Assumptions'!$B$5*V98) + ('Methodology &amp; Assumptions'!$B$6*W98), 2)</f>
        <v/>
      </c>
      <c r="Y98" s="28" t="n">
        <v>8.300000000000001</v>
      </c>
      <c r="Z98" s="11" t="inlineStr">
        <is>
          <t>Priority Tier 2 (Balanced Opportunity)</t>
        </is>
      </c>
    </row>
    <row r="99">
      <c r="A99" s="23" t="n">
        <v>2</v>
      </c>
      <c r="B99" s="23" t="n">
        <v>95</v>
      </c>
      <c r="C99" s="23" t="n">
        <v>1095</v>
      </c>
      <c r="D99" s="23" t="inlineStr">
        <is>
          <t>1380200011</t>
        </is>
      </c>
      <c r="E99" s="11" t="inlineStr">
        <is>
          <t>National Capital Region (NCR)</t>
        </is>
      </c>
      <c r="F99" s="11" t="inlineStr">
        <is>
          <t>Fourth District (Not a Province)</t>
        </is>
      </c>
      <c r="G99" s="11" t="inlineStr">
        <is>
          <t>City of Las Piñas</t>
        </is>
      </c>
      <c r="H99" s="11" t="inlineStr">
        <is>
          <t>B. F. International Village</t>
        </is>
      </c>
      <c r="I99" s="24" t="n">
        <v>14.457522</v>
      </c>
      <c r="J99" s="24" t="n">
        <v>120.994803</v>
      </c>
      <c r="K99" s="23" t="inlineStr">
        <is>
          <t>U</t>
        </is>
      </c>
      <c r="L99" s="25" t="n">
        <v>80621</v>
      </c>
      <c r="M99" s="26" t="n">
        <v>4.08</v>
      </c>
      <c r="N99" s="25">
        <f>ROUND(L99/M99, 0)</f>
        <v/>
      </c>
      <c r="O99" s="25">
        <f>ROUND(N99*'Methodology &amp; Assumptions'!$B$7, 0)</f>
        <v/>
      </c>
      <c r="P99" s="23" t="inlineStr">
        <is>
          <t>Single Carrier (Band n50, 100MHz TDD)</t>
        </is>
      </c>
      <c r="Q99" s="27">
        <f>ROUNDUP(O99/'Methodology &amp; Assumptions'!$B$8, 0)</f>
        <v/>
      </c>
      <c r="R99" s="27" t="n">
        <v>1</v>
      </c>
      <c r="S99" s="26" t="n">
        <v>0.11</v>
      </c>
      <c r="T99" s="26" t="n">
        <v>0.07000000000000001</v>
      </c>
      <c r="U99" s="11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26" t="n">
        <v>65.52</v>
      </c>
      <c r="W99" s="26" t="n">
        <v>64.83</v>
      </c>
      <c r="X99" s="26">
        <f>ROUND(('Methodology &amp; Assumptions'!$B$5*V99) + ('Methodology &amp; Assumptions'!$B$6*W99), 2)</f>
        <v/>
      </c>
      <c r="Y99" s="28" t="n">
        <v>10.9</v>
      </c>
      <c r="Z99" s="11" t="inlineStr">
        <is>
          <t>Priority Tier 2 (Balanced Opportunity)</t>
        </is>
      </c>
    </row>
    <row r="100">
      <c r="A100" s="23" t="n">
        <v>2</v>
      </c>
      <c r="B100" s="23" t="n">
        <v>96</v>
      </c>
      <c r="C100" s="23" t="n">
        <v>1096</v>
      </c>
      <c r="D100" s="23" t="inlineStr">
        <is>
          <t>1380601231</t>
        </is>
      </c>
      <c r="E100" s="11" t="inlineStr">
        <is>
          <t>National Capital Region (NCR)</t>
        </is>
      </c>
      <c r="F100" s="11" t="inlineStr">
        <is>
          <t>First District (Not a Province)</t>
        </is>
      </c>
      <c r="G100" s="11" t="inlineStr">
        <is>
          <t>City of Manila</t>
        </is>
      </c>
      <c r="H100" s="11" t="inlineStr">
        <is>
          <t>Barangay 230</t>
        </is>
      </c>
      <c r="I100" s="24" t="n">
        <v>14.618056</v>
      </c>
      <c r="J100" s="24" t="n">
        <v>120.976944</v>
      </c>
      <c r="K100" s="23" t="inlineStr">
        <is>
          <t>U</t>
        </is>
      </c>
      <c r="L100" s="25" t="n">
        <v>2376</v>
      </c>
      <c r="M100" s="26" t="n">
        <v>4.1</v>
      </c>
      <c r="N100" s="25">
        <f>ROUND(L100/M100, 0)</f>
        <v/>
      </c>
      <c r="O100" s="25">
        <f>ROUND(N100*'Methodology &amp; Assumptions'!$B$7, 0)</f>
        <v/>
      </c>
      <c r="P100" s="23" t="inlineStr">
        <is>
          <t>Single Carrier (Band n50, 100MHz TDD)</t>
        </is>
      </c>
      <c r="Q100" s="27">
        <f>ROUNDUP(O100/'Methodology &amp; Assumptions'!$B$8, 0)</f>
        <v/>
      </c>
      <c r="R100" s="27" t="n">
        <v>1</v>
      </c>
      <c r="S100" s="26" t="n">
        <v>0.66</v>
      </c>
      <c r="T100" s="26" t="n">
        <v>0.13</v>
      </c>
      <c r="U100" s="11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26" t="n">
        <v>59.73</v>
      </c>
      <c r="W100" s="26" t="n">
        <v>70.62</v>
      </c>
      <c r="X100" s="26">
        <f>ROUND(('Methodology &amp; Assumptions'!$B$5*V100) + ('Methodology &amp; Assumptions'!$B$6*W100), 2)</f>
        <v/>
      </c>
      <c r="Y100" s="28" t="n">
        <v>10.9</v>
      </c>
      <c r="Z100" s="11" t="inlineStr">
        <is>
          <t>Priority Tier 2 (Balanced Opportunity)</t>
        </is>
      </c>
    </row>
    <row r="101">
      <c r="A101" s="23" t="n">
        <v>2</v>
      </c>
      <c r="B101" s="23" t="n">
        <v>97</v>
      </c>
      <c r="C101" s="23" t="n">
        <v>1097</v>
      </c>
      <c r="D101" s="23" t="inlineStr">
        <is>
          <t>1380700015</t>
        </is>
      </c>
      <c r="E101" s="11" t="inlineStr">
        <is>
          <t>National Capital Region (NCR)</t>
        </is>
      </c>
      <c r="F101" s="11" t="inlineStr">
        <is>
          <t>Second District (Not a Province)</t>
        </is>
      </c>
      <c r="G101" s="11" t="inlineStr">
        <is>
          <t>City of Marikina</t>
        </is>
      </c>
      <c r="H101" s="11" t="inlineStr">
        <is>
          <t>Fortune</t>
        </is>
      </c>
      <c r="I101" s="24" t="n">
        <v>14.663325</v>
      </c>
      <c r="J101" s="24" t="n">
        <v>121.127481</v>
      </c>
      <c r="K101" s="23" t="inlineStr">
        <is>
          <t>U</t>
        </is>
      </c>
      <c r="L101" s="25" t="n">
        <v>40941</v>
      </c>
      <c r="M101" s="26" t="n">
        <v>4.05</v>
      </c>
      <c r="N101" s="25">
        <f>ROUND(L101/M101, 0)</f>
        <v/>
      </c>
      <c r="O101" s="25">
        <f>ROUND(N101*'Methodology &amp; Assumptions'!$B$7, 0)</f>
        <v/>
      </c>
      <c r="P101" s="23" t="inlineStr">
        <is>
          <t>Single Carrier (Band n50, 100MHz TDD)</t>
        </is>
      </c>
      <c r="Q101" s="27">
        <f>ROUNDUP(O101/'Methodology &amp; Assumptions'!$B$8, 0)</f>
        <v/>
      </c>
      <c r="R101" s="27" t="n">
        <v>1</v>
      </c>
      <c r="S101" s="26" t="n">
        <v>1.42</v>
      </c>
      <c r="T101" s="26" t="n">
        <v>0.19</v>
      </c>
      <c r="U101" s="11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26" t="n">
        <v>64.83</v>
      </c>
      <c r="W101" s="26" t="n">
        <v>65.51000000000001</v>
      </c>
      <c r="X101" s="26">
        <f>ROUND(('Methodology &amp; Assumptions'!$B$5*V101) + ('Methodology &amp; Assumptions'!$B$6*W101), 2)</f>
        <v/>
      </c>
      <c r="Y101" s="28" t="n">
        <v>10.9</v>
      </c>
      <c r="Z101" s="11" t="inlineStr">
        <is>
          <t>Priority Tier 2 (Balanced Opportunity)</t>
        </is>
      </c>
    </row>
    <row r="102">
      <c r="A102" s="23" t="n">
        <v>2</v>
      </c>
      <c r="B102" s="23" t="n">
        <v>98</v>
      </c>
      <c r="C102" s="23" t="n">
        <v>1098</v>
      </c>
      <c r="D102" s="23" t="inlineStr">
        <is>
          <t>0205006009</t>
        </is>
      </c>
      <c r="E102" s="11" t="inlineStr">
        <is>
          <t>Region II (Cagayan Valley)</t>
        </is>
      </c>
      <c r="F102" s="11" t="inlineStr">
        <is>
          <t>Nueva Vizcaya</t>
        </is>
      </c>
      <c r="G102" s="11" t="inlineStr">
        <is>
          <t>Diadi</t>
        </is>
      </c>
      <c r="H102" s="11" t="inlineStr">
        <is>
          <t>Pinya</t>
        </is>
      </c>
      <c r="I102" s="24" t="n">
        <v>16.663835</v>
      </c>
      <c r="J102" s="24" t="n">
        <v>121.320495</v>
      </c>
      <c r="K102" s="23" t="inlineStr">
        <is>
          <t>R</t>
        </is>
      </c>
      <c r="L102" s="25" t="n">
        <v>787</v>
      </c>
      <c r="M102" s="26" t="n">
        <v>3.8</v>
      </c>
      <c r="N102" s="25">
        <f>ROUND(L102/M102, 0)</f>
        <v/>
      </c>
      <c r="O102" s="25">
        <f>ROUND(N102*'Methodology &amp; Assumptions'!$B$7, 0)</f>
        <v/>
      </c>
      <c r="P102" s="23" t="inlineStr">
        <is>
          <t>Single Carrier (Band n50, 100MHz TDD)</t>
        </is>
      </c>
      <c r="Q102" s="27">
        <f>ROUNDUP(O102/'Methodology &amp; Assumptions'!$B$8, 0)</f>
        <v/>
      </c>
      <c r="R102" s="27" t="n">
        <v>1</v>
      </c>
      <c r="S102" s="26" t="n">
        <v>5.16</v>
      </c>
      <c r="T102" s="26" t="n">
        <v>3.88</v>
      </c>
      <c r="U102" s="11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26" t="n">
        <v>50.5</v>
      </c>
      <c r="W102" s="26" t="n">
        <v>79.83</v>
      </c>
      <c r="X102" s="26">
        <f>ROUND(('Methodology &amp; Assumptions'!$B$5*V102) + ('Methodology &amp; Assumptions'!$B$6*W102), 2)</f>
        <v/>
      </c>
      <c r="Y102" s="28" t="n">
        <v>8.300000000000001</v>
      </c>
      <c r="Z102" s="11" t="inlineStr">
        <is>
          <t>Priority Tier 2 (Balanced Opportunity)</t>
        </is>
      </c>
    </row>
    <row r="103">
      <c r="A103" s="23" t="n">
        <v>2</v>
      </c>
      <c r="B103" s="23" t="n">
        <v>99</v>
      </c>
      <c r="C103" s="23" t="n">
        <v>1099</v>
      </c>
      <c r="D103" s="23" t="inlineStr">
        <is>
          <t>0301403001</t>
        </is>
      </c>
      <c r="E103" s="11" t="inlineStr">
        <is>
          <t>Region III (Central Luzon)</t>
        </is>
      </c>
      <c r="F103" s="11" t="inlineStr">
        <is>
          <t>Bulacan</t>
        </is>
      </c>
      <c r="G103" s="11" t="inlineStr">
        <is>
          <t>Baliuag</t>
        </is>
      </c>
      <c r="H103" s="11" t="inlineStr">
        <is>
          <t>Bagong Nayon</t>
        </is>
      </c>
      <c r="I103" s="24" t="n">
        <v>14.961443</v>
      </c>
      <c r="J103" s="24" t="n">
        <v>120.897875</v>
      </c>
      <c r="K103" s="23" t="inlineStr">
        <is>
          <t>U</t>
        </is>
      </c>
      <c r="L103" s="25" t="n">
        <v>4441</v>
      </c>
      <c r="M103" s="26" t="n">
        <v>3.5</v>
      </c>
      <c r="N103" s="25">
        <f>ROUND(L103/M103, 0)</f>
        <v/>
      </c>
      <c r="O103" s="25">
        <f>ROUND(N103*'Methodology &amp; Assumptions'!$B$7, 0)</f>
        <v/>
      </c>
      <c r="P103" s="23" t="inlineStr">
        <is>
          <t>Single Carrier (Band n50, 100MHz TDD)</t>
        </is>
      </c>
      <c r="Q103" s="27">
        <f>ROUNDUP(O103/'Methodology &amp; Assumptions'!$B$8, 0)</f>
        <v/>
      </c>
      <c r="R103" s="27" t="n">
        <v>1</v>
      </c>
      <c r="S103" s="26" t="n">
        <v>1.83</v>
      </c>
      <c r="T103" s="26" t="n">
        <v>0.22</v>
      </c>
      <c r="U103" s="11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26" t="n">
        <v>74.76000000000001</v>
      </c>
      <c r="W103" s="26" t="n">
        <v>55.57</v>
      </c>
      <c r="X103" s="26">
        <f>ROUND(('Methodology &amp; Assumptions'!$B$5*V103) + ('Methodology &amp; Assumptions'!$B$6*W103), 2)</f>
        <v/>
      </c>
      <c r="Y103" s="28" t="n">
        <v>8.300000000000001</v>
      </c>
      <c r="Z103" s="11" t="inlineStr">
        <is>
          <t>Priority Tier 2 (Balanced Opportunity)</t>
        </is>
      </c>
    </row>
    <row r="104">
      <c r="A104" s="23" t="n">
        <v>2</v>
      </c>
      <c r="B104" s="23" t="n">
        <v>100</v>
      </c>
      <c r="C104" s="23" t="n">
        <v>1100</v>
      </c>
      <c r="D104" s="23" t="inlineStr">
        <is>
          <t>0300809004</t>
        </is>
      </c>
      <c r="E104" s="11" t="inlineStr">
        <is>
          <t>Region III (Central Luzon)</t>
        </is>
      </c>
      <c r="F104" s="11" t="inlineStr">
        <is>
          <t>Bataan</t>
        </is>
      </c>
      <c r="G104" s="11" t="inlineStr">
        <is>
          <t>Orani</t>
        </is>
      </c>
      <c r="H104" s="11" t="inlineStr">
        <is>
          <t>Calero</t>
        </is>
      </c>
      <c r="I104" s="24" t="n">
        <v>14.802885</v>
      </c>
      <c r="J104" s="24" t="n">
        <v>120.537129</v>
      </c>
      <c r="K104" s="23" t="inlineStr">
        <is>
          <t>R</t>
        </is>
      </c>
      <c r="L104" s="25" t="n">
        <v>1465</v>
      </c>
      <c r="M104" s="26" t="n">
        <v>3.6</v>
      </c>
      <c r="N104" s="25">
        <f>ROUND(L104/M104, 0)</f>
        <v/>
      </c>
      <c r="O104" s="25">
        <f>ROUND(N104*'Methodology &amp; Assumptions'!$B$7, 0)</f>
        <v/>
      </c>
      <c r="P104" s="23" t="inlineStr">
        <is>
          <t>Single Carrier (Band n50, 100MHz TDD)</t>
        </is>
      </c>
      <c r="Q104" s="27">
        <f>ROUNDUP(O104/'Methodology &amp; Assumptions'!$B$8, 0)</f>
        <v/>
      </c>
      <c r="R104" s="27" t="n">
        <v>1</v>
      </c>
      <c r="S104" s="26" t="n">
        <v>0.12</v>
      </c>
      <c r="T104" s="26" t="n">
        <v>0.14</v>
      </c>
      <c r="U104" s="11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26" t="n">
        <v>72.23999999999999</v>
      </c>
      <c r="W104" s="26" t="n">
        <v>58.07</v>
      </c>
      <c r="X104" s="26">
        <f>ROUND(('Methodology &amp; Assumptions'!$B$5*V104) + ('Methodology &amp; Assumptions'!$B$6*W104), 2)</f>
        <v/>
      </c>
      <c r="Y104" s="28" t="n">
        <v>8.300000000000001</v>
      </c>
      <c r="Z104" s="11" t="inlineStr">
        <is>
          <t>Priority Tier 2 (Balanced Opportunity)</t>
        </is>
      </c>
    </row>
    <row r="105">
      <c r="A105" s="23" t="n">
        <v>2</v>
      </c>
      <c r="B105" s="23" t="n">
        <v>101</v>
      </c>
      <c r="C105" s="23" t="n">
        <v>1101</v>
      </c>
      <c r="D105" s="23" t="inlineStr">
        <is>
          <t>0402104018</t>
        </is>
      </c>
      <c r="E105" s="11" t="inlineStr">
        <is>
          <t>Region IV-A (CALABARZON)</t>
        </is>
      </c>
      <c r="F105" s="11" t="inlineStr">
        <is>
          <t>Cavite</t>
        </is>
      </c>
      <c r="G105" s="11" t="inlineStr">
        <is>
          <t>Carmona</t>
        </is>
      </c>
      <c r="H105" s="11" t="inlineStr">
        <is>
          <t>Barangay 7</t>
        </is>
      </c>
      <c r="I105" s="24" t="n">
        <v>14.312745</v>
      </c>
      <c r="J105" s="24" t="n">
        <v>121.053717</v>
      </c>
      <c r="K105" s="23" t="inlineStr">
        <is>
          <t>R</t>
        </is>
      </c>
      <c r="L105" s="25" t="n">
        <v>746</v>
      </c>
      <c r="M105" s="26" t="n">
        <v>3.4</v>
      </c>
      <c r="N105" s="25">
        <f>ROUND(L105/M105, 0)</f>
        <v/>
      </c>
      <c r="O105" s="25">
        <f>ROUND(N105*'Methodology &amp; Assumptions'!$B$7, 0)</f>
        <v/>
      </c>
      <c r="P105" s="23" t="inlineStr">
        <is>
          <t>Single Carrier (Band n50, 100MHz TDD)</t>
        </is>
      </c>
      <c r="Q105" s="27">
        <f>ROUNDUP(O105/'Methodology &amp; Assumptions'!$B$8, 0)</f>
        <v/>
      </c>
      <c r="R105" s="27" t="n">
        <v>1</v>
      </c>
      <c r="S105" s="26" t="n">
        <v>0.44</v>
      </c>
      <c r="T105" s="26" t="n">
        <v>0.45</v>
      </c>
      <c r="U105" s="11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26" t="n">
        <v>66.04000000000001</v>
      </c>
      <c r="W105" s="26" t="n">
        <v>64.29000000000001</v>
      </c>
      <c r="X105" s="26">
        <f>ROUND(('Methodology &amp; Assumptions'!$B$5*V105) + ('Methodology &amp; Assumptions'!$B$6*W105), 2)</f>
        <v/>
      </c>
      <c r="Y105" s="28" t="n">
        <v>7.2</v>
      </c>
      <c r="Z105" s="11" t="inlineStr">
        <is>
          <t>Priority Tier 2 (Balanced Opportunity)</t>
        </is>
      </c>
    </row>
    <row r="106">
      <c r="A106" s="23" t="n">
        <v>2</v>
      </c>
      <c r="B106" s="23" t="n">
        <v>102</v>
      </c>
      <c r="C106" s="23" t="n">
        <v>1102</v>
      </c>
      <c r="D106" s="23" t="inlineStr">
        <is>
          <t>1004324002</t>
        </is>
      </c>
      <c r="E106" s="11" t="inlineStr">
        <is>
          <t>Region X (Northern Mindanao)</t>
        </is>
      </c>
      <c r="F106" s="11" t="inlineStr">
        <is>
          <t>Misamis Oriental</t>
        </is>
      </c>
      <c r="G106" s="11" t="inlineStr">
        <is>
          <t>Tagoloan</t>
        </is>
      </c>
      <c r="H106" s="11" t="inlineStr">
        <is>
          <t>Casinglot</t>
        </is>
      </c>
      <c r="I106" s="24" t="n">
        <v>8.517633</v>
      </c>
      <c r="J106" s="24" t="n">
        <v>124.754859</v>
      </c>
      <c r="K106" s="23" t="inlineStr">
        <is>
          <t>U</t>
        </is>
      </c>
      <c r="L106" s="25" t="n">
        <v>10539</v>
      </c>
      <c r="M106" s="26" t="n">
        <v>3.9</v>
      </c>
      <c r="N106" s="25">
        <f>ROUND(L106/M106, 0)</f>
        <v/>
      </c>
      <c r="O106" s="25">
        <f>ROUND(N106*'Methodology &amp; Assumptions'!$B$7, 0)</f>
        <v/>
      </c>
      <c r="P106" s="23" t="inlineStr">
        <is>
          <t>Single Carrier (Band n50, 100MHz TDD)</t>
        </is>
      </c>
      <c r="Q106" s="27">
        <f>ROUNDUP(O106/'Methodology &amp; Assumptions'!$B$8, 0)</f>
        <v/>
      </c>
      <c r="R106" s="27" t="n">
        <v>1</v>
      </c>
      <c r="S106" s="26" t="n">
        <v>2.18</v>
      </c>
      <c r="T106" s="26" t="n">
        <v>0.41</v>
      </c>
      <c r="U106" s="11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26" t="n">
        <v>75.02</v>
      </c>
      <c r="W106" s="26" t="n">
        <v>55.28</v>
      </c>
      <c r="X106" s="26">
        <f>ROUND(('Methodology &amp; Assumptions'!$B$5*V106) + ('Methodology &amp; Assumptions'!$B$6*W106), 2)</f>
        <v/>
      </c>
      <c r="Y106" s="28" t="n">
        <v>17.4</v>
      </c>
      <c r="Z106" s="11" t="inlineStr">
        <is>
          <t>Priority Tier 2 (Balanced Opportunity)</t>
        </is>
      </c>
    </row>
    <row r="107">
      <c r="A107" s="23" t="n">
        <v>2</v>
      </c>
      <c r="B107" s="23" t="n">
        <v>103</v>
      </c>
      <c r="C107" s="23" t="n">
        <v>1103</v>
      </c>
      <c r="D107" s="23" t="inlineStr">
        <is>
          <t>0403425001</t>
        </is>
      </c>
      <c r="E107" s="11" t="inlineStr">
        <is>
          <t>Region IV-A (CALABARZON)</t>
        </is>
      </c>
      <c r="F107" s="11" t="inlineStr">
        <is>
          <t>Laguna</t>
        </is>
      </c>
      <c r="G107" s="11" t="inlineStr">
        <is>
          <t>City of San Pedro</t>
        </is>
      </c>
      <c r="H107" s="11" t="inlineStr">
        <is>
          <t>Bagong Silang</t>
        </is>
      </c>
      <c r="I107" s="24" t="n">
        <v>14.335637</v>
      </c>
      <c r="J107" s="24" t="n">
        <v>121.0269</v>
      </c>
      <c r="K107" s="23" t="inlineStr">
        <is>
          <t>U</t>
        </is>
      </c>
      <c r="L107" s="25" t="n">
        <v>6288</v>
      </c>
      <c r="M107" s="26" t="n">
        <v>3.3</v>
      </c>
      <c r="N107" s="25">
        <f>ROUND(L107/M107, 0)</f>
        <v/>
      </c>
      <c r="O107" s="25">
        <f>ROUND(N107*'Methodology &amp; Assumptions'!$B$7, 0)</f>
        <v/>
      </c>
      <c r="P107" s="23" t="inlineStr">
        <is>
          <t>Single Carrier (Band n50, 100MHz TDD)</t>
        </is>
      </c>
      <c r="Q107" s="27">
        <f>ROUNDUP(O107/'Methodology &amp; Assumptions'!$B$8, 0)</f>
        <v/>
      </c>
      <c r="R107" s="27" t="n">
        <v>1</v>
      </c>
      <c r="S107" s="26" t="n">
        <v>1.74</v>
      </c>
      <c r="T107" s="26" t="n">
        <v>1.76</v>
      </c>
      <c r="U107" s="11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26" t="n">
        <v>74.92</v>
      </c>
      <c r="W107" s="26" t="n">
        <v>55.39</v>
      </c>
      <c r="X107" s="26">
        <f>ROUND(('Methodology &amp; Assumptions'!$B$5*V107) + ('Methodology &amp; Assumptions'!$B$6*W107), 2)</f>
        <v/>
      </c>
      <c r="Y107" s="28" t="n">
        <v>7.2</v>
      </c>
      <c r="Z107" s="11" t="inlineStr">
        <is>
          <t>Priority Tier 2 (Balanced Opportunity)</t>
        </is>
      </c>
    </row>
    <row r="108">
      <c r="A108" s="23" t="n">
        <v>2</v>
      </c>
      <c r="B108" s="23" t="n">
        <v>104</v>
      </c>
      <c r="C108" s="23" t="n">
        <v>1104</v>
      </c>
      <c r="D108" s="23" t="inlineStr">
        <is>
          <t>0102903035</t>
        </is>
      </c>
      <c r="E108" s="11" t="inlineStr">
        <is>
          <t>Region I (Ilocos Region)</t>
        </is>
      </c>
      <c r="F108" s="11" t="inlineStr">
        <is>
          <t>Ilocos Sur</t>
        </is>
      </c>
      <c r="G108" s="11" t="inlineStr">
        <is>
          <t>Bantay</t>
        </is>
      </c>
      <c r="H108" s="11" t="inlineStr">
        <is>
          <t>Barangay 6</t>
        </is>
      </c>
      <c r="I108" s="24" t="n">
        <v>17.578386</v>
      </c>
      <c r="J108" s="24" t="n">
        <v>120.388945</v>
      </c>
      <c r="K108" s="23" t="inlineStr">
        <is>
          <t>R</t>
        </is>
      </c>
      <c r="L108" s="25" t="n">
        <v>500</v>
      </c>
      <c r="M108" s="26" t="n">
        <v>3.8</v>
      </c>
      <c r="N108" s="25">
        <f>ROUND(L108/M108, 0)</f>
        <v/>
      </c>
      <c r="O108" s="25">
        <f>ROUND(N108*'Methodology &amp; Assumptions'!$B$7, 0)</f>
        <v/>
      </c>
      <c r="P108" s="23" t="inlineStr">
        <is>
          <t>Single Carrier (Band n50, 100MHz TDD)</t>
        </is>
      </c>
      <c r="Q108" s="27">
        <f>ROUNDUP(O108/'Methodology &amp; Assumptions'!$B$8, 0)</f>
        <v/>
      </c>
      <c r="R108" s="27" t="n">
        <v>1</v>
      </c>
      <c r="S108" s="26" t="n">
        <v>1.7</v>
      </c>
      <c r="T108" s="26" t="n">
        <v>0.35</v>
      </c>
      <c r="U108" s="11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26" t="n">
        <v>60.17</v>
      </c>
      <c r="W108" s="26" t="n">
        <v>70.14</v>
      </c>
      <c r="X108" s="26">
        <f>ROUND(('Methodology &amp; Assumptions'!$B$5*V108) + ('Methodology &amp; Assumptions'!$B$6*W108), 2)</f>
        <v/>
      </c>
      <c r="Y108" s="28" t="n">
        <v>8.300000000000001</v>
      </c>
      <c r="Z108" s="11" t="inlineStr">
        <is>
          <t>Priority Tier 2 (Balanced Opportunity)</t>
        </is>
      </c>
    </row>
    <row r="109">
      <c r="A109" s="23" t="n">
        <v>2</v>
      </c>
      <c r="B109" s="23" t="n">
        <v>105</v>
      </c>
      <c r="C109" s="23" t="n">
        <v>1105</v>
      </c>
      <c r="D109" s="23" t="inlineStr">
        <is>
          <t>1380611036</t>
        </is>
      </c>
      <c r="E109" s="11" t="inlineStr">
        <is>
          <t>National Capital Region (NCR)</t>
        </is>
      </c>
      <c r="F109" s="11" t="inlineStr">
        <is>
          <t>First District (Not a Province)</t>
        </is>
      </c>
      <c r="G109" s="11" t="inlineStr">
        <is>
          <t>City of Manila</t>
        </is>
      </c>
      <c r="H109" s="11" t="inlineStr">
        <is>
          <t>Barangay 821</t>
        </is>
      </c>
      <c r="I109" s="24" t="n">
        <v>14.582983</v>
      </c>
      <c r="J109" s="24" t="n">
        <v>120.998924</v>
      </c>
      <c r="K109" s="23" t="inlineStr">
        <is>
          <t>U</t>
        </is>
      </c>
      <c r="L109" s="25" t="n">
        <v>2474</v>
      </c>
      <c r="M109" s="26" t="n">
        <v>4.42</v>
      </c>
      <c r="N109" s="25">
        <f>ROUND(L109/M109, 0)</f>
        <v/>
      </c>
      <c r="O109" s="25">
        <f>ROUND(N109*'Methodology &amp; Assumptions'!$B$7, 0)</f>
        <v/>
      </c>
      <c r="P109" s="23" t="inlineStr">
        <is>
          <t>Single Carrier (Band n50, 100MHz TDD)</t>
        </is>
      </c>
      <c r="Q109" s="27">
        <f>ROUNDUP(O109/'Methodology &amp; Assumptions'!$B$8, 0)</f>
        <v/>
      </c>
      <c r="R109" s="27" t="n">
        <v>1</v>
      </c>
      <c r="S109" s="26" t="n">
        <v>0.44</v>
      </c>
      <c r="T109" s="26" t="n">
        <v>0.17</v>
      </c>
      <c r="U109" s="11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26" t="n">
        <v>59.09</v>
      </c>
      <c r="W109" s="26" t="n">
        <v>71.20999999999999</v>
      </c>
      <c r="X109" s="26">
        <f>ROUND(('Methodology &amp; Assumptions'!$B$5*V109) + ('Methodology &amp; Assumptions'!$B$6*W109), 2)</f>
        <v/>
      </c>
      <c r="Y109" s="28" t="n">
        <v>10.9</v>
      </c>
      <c r="Z109" s="11" t="inlineStr">
        <is>
          <t>Priority Tier 2 (Balanced Opportunity)</t>
        </is>
      </c>
    </row>
    <row r="110">
      <c r="A110" s="23" t="n">
        <v>2</v>
      </c>
      <c r="B110" s="23" t="n">
        <v>106</v>
      </c>
      <c r="C110" s="23" t="n">
        <v>1106</v>
      </c>
      <c r="D110" s="23" t="inlineStr">
        <is>
          <t>0604515017</t>
        </is>
      </c>
      <c r="E110" s="11" t="inlineStr">
        <is>
          <t>Region VI (Western Visayas)</t>
        </is>
      </c>
      <c r="F110" s="11" t="inlineStr">
        <is>
          <t>Negros Occidental</t>
        </is>
      </c>
      <c r="G110" s="11" t="inlineStr">
        <is>
          <t>City of Kabankalan</t>
        </is>
      </c>
      <c r="H110" s="11" t="inlineStr">
        <is>
          <t>Barangay 6</t>
        </is>
      </c>
      <c r="I110" s="24" t="n">
        <v>9.990734</v>
      </c>
      <c r="J110" s="24" t="n">
        <v>122.809922</v>
      </c>
      <c r="K110" s="23" t="inlineStr">
        <is>
          <t>R</t>
        </is>
      </c>
      <c r="L110" s="25" t="n">
        <v>3233</v>
      </c>
      <c r="M110" s="26" t="n">
        <v>3.7</v>
      </c>
      <c r="N110" s="25">
        <f>ROUND(L110/M110, 0)</f>
        <v/>
      </c>
      <c r="O110" s="25">
        <f>ROUND(N110*'Methodology &amp; Assumptions'!$B$7, 0)</f>
        <v/>
      </c>
      <c r="P110" s="23" t="inlineStr">
        <is>
          <t>Single Carrier (Band n50, 100MHz TDD)</t>
        </is>
      </c>
      <c r="Q110" s="27">
        <f>ROUNDUP(O110/'Methodology &amp; Assumptions'!$B$8, 0)</f>
        <v/>
      </c>
      <c r="R110" s="27" t="n">
        <v>1</v>
      </c>
      <c r="S110" s="26" t="n">
        <v>0.46</v>
      </c>
      <c r="T110" s="26" t="n">
        <v>0.43</v>
      </c>
      <c r="U110" s="11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26" t="n">
        <v>88.02</v>
      </c>
      <c r="W110" s="26" t="n">
        <v>42.24</v>
      </c>
      <c r="X110" s="26">
        <f>ROUND(('Methodology &amp; Assumptions'!$B$5*V110) + ('Methodology &amp; Assumptions'!$B$6*W110), 2)</f>
        <v/>
      </c>
      <c r="Y110" s="28" t="n">
        <v>23.7</v>
      </c>
      <c r="Z110" s="11" t="inlineStr">
        <is>
          <t>Priority Tier 2 (Balanced Opportunity)</t>
        </is>
      </c>
    </row>
    <row r="111">
      <c r="A111" s="23" t="n">
        <v>2</v>
      </c>
      <c r="B111" s="23" t="n">
        <v>107</v>
      </c>
      <c r="C111" s="23" t="n">
        <v>1107</v>
      </c>
      <c r="D111" s="23" t="inlineStr">
        <is>
          <t>0301408006</t>
        </is>
      </c>
      <c r="E111" s="11" t="inlineStr">
        <is>
          <t>Region III (Central Luzon)</t>
        </is>
      </c>
      <c r="F111" s="11" t="inlineStr">
        <is>
          <t>Bulacan</t>
        </is>
      </c>
      <c r="G111" s="11" t="inlineStr">
        <is>
          <t>Guiguinto</t>
        </is>
      </c>
      <c r="H111" s="11" t="inlineStr">
        <is>
          <t>Poblacion</t>
        </is>
      </c>
      <c r="I111" s="24" t="n">
        <v>14.827453</v>
      </c>
      <c r="J111" s="24" t="n">
        <v>120.877012</v>
      </c>
      <c r="K111" s="23" t="inlineStr">
        <is>
          <t>U</t>
        </is>
      </c>
      <c r="L111" s="25" t="n">
        <v>3625</v>
      </c>
      <c r="M111" s="26" t="n">
        <v>3.5</v>
      </c>
      <c r="N111" s="25">
        <f>ROUND(L111/M111, 0)</f>
        <v/>
      </c>
      <c r="O111" s="25">
        <f>ROUND(N111*'Methodology &amp; Assumptions'!$B$7, 0)</f>
        <v/>
      </c>
      <c r="P111" s="23" t="inlineStr">
        <is>
          <t>Single Carrier (Band n50, 100MHz TDD)</t>
        </is>
      </c>
      <c r="Q111" s="27">
        <f>ROUNDUP(O111/'Methodology &amp; Assumptions'!$B$8, 0)</f>
        <v/>
      </c>
      <c r="R111" s="27" t="n">
        <v>1</v>
      </c>
      <c r="S111" s="26" t="n">
        <v>0.47</v>
      </c>
      <c r="T111" s="26" t="n">
        <v>0.11</v>
      </c>
      <c r="U111" s="11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26" t="n">
        <v>78.43000000000001</v>
      </c>
      <c r="W111" s="26" t="n">
        <v>51.82</v>
      </c>
      <c r="X111" s="26">
        <f>ROUND(('Methodology &amp; Assumptions'!$B$5*V111) + ('Methodology &amp; Assumptions'!$B$6*W111), 2)</f>
        <v/>
      </c>
      <c r="Y111" s="28" t="n">
        <v>8.300000000000001</v>
      </c>
      <c r="Z111" s="11" t="inlineStr">
        <is>
          <t>Priority Tier 2 (Balanced Opportunity)</t>
        </is>
      </c>
    </row>
    <row r="112">
      <c r="A112" s="23" t="n">
        <v>2</v>
      </c>
      <c r="B112" s="23" t="n">
        <v>108</v>
      </c>
      <c r="C112" s="23" t="n">
        <v>1108</v>
      </c>
      <c r="D112" s="23" t="inlineStr">
        <is>
          <t>1403209011</t>
        </is>
      </c>
      <c r="E112" s="11" t="inlineStr">
        <is>
          <t>Cordillera Administrative Region (CAR)</t>
        </is>
      </c>
      <c r="F112" s="11" t="inlineStr">
        <is>
          <t>Kalinga</t>
        </is>
      </c>
      <c r="G112" s="11" t="inlineStr">
        <is>
          <t>Pinukpuk</t>
        </is>
      </c>
      <c r="H112" s="11" t="inlineStr">
        <is>
          <t>Dugpa</t>
        </is>
      </c>
      <c r="I112" s="24" t="n">
        <v>17.601423</v>
      </c>
      <c r="J112" s="24" t="n">
        <v>121.366708</v>
      </c>
      <c r="K112" s="23" t="inlineStr">
        <is>
          <t>R</t>
        </is>
      </c>
      <c r="L112" s="25" t="n">
        <v>1263</v>
      </c>
      <c r="M112" s="26" t="n">
        <v>4.3</v>
      </c>
      <c r="N112" s="25">
        <f>ROUND(L112/M112, 0)</f>
        <v/>
      </c>
      <c r="O112" s="25">
        <f>ROUND(N112*'Methodology &amp; Assumptions'!$B$7, 0)</f>
        <v/>
      </c>
      <c r="P112" s="23" t="inlineStr">
        <is>
          <t>Single Carrier (Band n50, 100MHz TDD)</t>
        </is>
      </c>
      <c r="Q112" s="27">
        <f>ROUNDUP(O112/'Methodology &amp; Assumptions'!$B$8, 0)</f>
        <v/>
      </c>
      <c r="R112" s="27" t="n">
        <v>1</v>
      </c>
      <c r="S112" s="26" t="n">
        <v>5.32</v>
      </c>
      <c r="T112" s="26" t="n">
        <v>4.55</v>
      </c>
      <c r="U112" s="11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26" t="n">
        <v>51.96</v>
      </c>
      <c r="W112" s="26" t="n">
        <v>78.3</v>
      </c>
      <c r="X112" s="26">
        <f>ROUND(('Methodology &amp; Assumptions'!$B$5*V112) + ('Methodology &amp; Assumptions'!$B$6*W112), 2)</f>
        <v/>
      </c>
      <c r="Y112" s="28" t="n">
        <v>10.9</v>
      </c>
      <c r="Z112" s="11" t="inlineStr">
        <is>
          <t>Priority Tier 2 (Balanced Opportunity)</t>
        </is>
      </c>
    </row>
    <row r="113">
      <c r="A113" s="23" t="n">
        <v>2</v>
      </c>
      <c r="B113" s="23" t="n">
        <v>109</v>
      </c>
      <c r="C113" s="23" t="n">
        <v>1109</v>
      </c>
      <c r="D113" s="23" t="inlineStr">
        <is>
          <t>1380300026</t>
        </is>
      </c>
      <c r="E113" s="11" t="inlineStr">
        <is>
          <t>National Capital Region (NCR)</t>
        </is>
      </c>
      <c r="F113" s="11" t="inlineStr">
        <is>
          <t>Fourth District (Not a Province)</t>
        </is>
      </c>
      <c r="G113" s="11" t="inlineStr">
        <is>
          <t>City of Makati</t>
        </is>
      </c>
      <c r="H113" s="11" t="inlineStr">
        <is>
          <t>Santa Cruz</t>
        </is>
      </c>
      <c r="I113" s="24" t="n">
        <v>14.56741</v>
      </c>
      <c r="J113" s="24" t="n">
        <v>121.015</v>
      </c>
      <c r="K113" s="23" t="inlineStr">
        <is>
          <t>U</t>
        </is>
      </c>
      <c r="L113" s="25" t="n">
        <v>6744</v>
      </c>
      <c r="M113" s="26" t="n">
        <v>3.63</v>
      </c>
      <c r="N113" s="25">
        <f>ROUND(L113/M113, 0)</f>
        <v/>
      </c>
      <c r="O113" s="25">
        <f>ROUND(N113*'Methodology &amp; Assumptions'!$B$7, 0)</f>
        <v/>
      </c>
      <c r="P113" s="23" t="inlineStr">
        <is>
          <t>Single Carrier (Band n50, 100MHz TDD)</t>
        </is>
      </c>
      <c r="Q113" s="27">
        <f>ROUNDUP(O113/'Methodology &amp; Assumptions'!$B$8, 0)</f>
        <v/>
      </c>
      <c r="R113" s="27" t="n">
        <v>1</v>
      </c>
      <c r="S113" s="26" t="n">
        <v>1.2</v>
      </c>
      <c r="T113" s="26" t="n">
        <v>0.24</v>
      </c>
      <c r="U113" s="11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26" t="n">
        <v>67.7</v>
      </c>
      <c r="W113" s="26" t="n">
        <v>62.55</v>
      </c>
      <c r="X113" s="26">
        <f>ROUND(('Methodology &amp; Assumptions'!$B$5*V113) + ('Methodology &amp; Assumptions'!$B$6*W113), 2)</f>
        <v/>
      </c>
      <c r="Y113" s="28" t="n">
        <v>10.9</v>
      </c>
      <c r="Z113" s="11" t="inlineStr">
        <is>
          <t>Priority Tier 2 (Balanced Opportunity)</t>
        </is>
      </c>
    </row>
    <row r="114">
      <c r="A114" s="23" t="n">
        <v>2</v>
      </c>
      <c r="B114" s="23" t="n">
        <v>110</v>
      </c>
      <c r="C114" s="23" t="n">
        <v>1110</v>
      </c>
      <c r="D114" s="23" t="inlineStr">
        <is>
          <t>0907224007</t>
        </is>
      </c>
      <c r="E114" s="11" t="inlineStr">
        <is>
          <t>Region IX (Zamboanga Peninsula)</t>
        </is>
      </c>
      <c r="F114" s="11" t="inlineStr">
        <is>
          <t>Zamboanga del Norte</t>
        </is>
      </c>
      <c r="G114" s="11" t="inlineStr">
        <is>
          <t>Baliguian</t>
        </is>
      </c>
      <c r="H114" s="11" t="inlineStr">
        <is>
          <t>Linay</t>
        </is>
      </c>
      <c r="I114" s="24" t="n">
        <v>7.826</v>
      </c>
      <c r="J114" s="24" t="n">
        <v>122.2778</v>
      </c>
      <c r="K114" s="23" t="inlineStr">
        <is>
          <t>R</t>
        </is>
      </c>
      <c r="L114" s="25" t="n">
        <v>2277</v>
      </c>
      <c r="M114" s="26" t="n">
        <v>3.6</v>
      </c>
      <c r="N114" s="25">
        <f>ROUND(L114/M114, 0)</f>
        <v/>
      </c>
      <c r="O114" s="25">
        <f>ROUND(N114*'Methodology &amp; Assumptions'!$B$7, 0)</f>
        <v/>
      </c>
      <c r="P114" s="23" t="inlineStr">
        <is>
          <t>Single Carrier (Band n50, 100MHz TDD)</t>
        </is>
      </c>
      <c r="Q114" s="27">
        <f>ROUNDUP(O114/'Methodology &amp; Assumptions'!$B$8, 0)</f>
        <v/>
      </c>
      <c r="R114" s="27" t="n">
        <v>1</v>
      </c>
      <c r="S114" s="26" t="n">
        <v>29.93</v>
      </c>
      <c r="T114" s="26" t="n">
        <v>28.25</v>
      </c>
      <c r="U114" s="11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26" t="n">
        <v>54.55</v>
      </c>
      <c r="W114" s="26" t="n">
        <v>75.69</v>
      </c>
      <c r="X114" s="26">
        <f>ROUND(('Methodology &amp; Assumptions'!$B$5*V114) + ('Methodology &amp; Assumptions'!$B$6*W114), 2)</f>
        <v/>
      </c>
      <c r="Y114" s="28" t="n">
        <v>11</v>
      </c>
      <c r="Z114" s="11" t="inlineStr">
        <is>
          <t>Priority Tier 2 (Balanced Opportunity)</t>
        </is>
      </c>
    </row>
    <row r="115">
      <c r="A115" s="23" t="n">
        <v>2</v>
      </c>
      <c r="B115" s="23" t="n">
        <v>111</v>
      </c>
      <c r="C115" s="23" t="n">
        <v>1111</v>
      </c>
      <c r="D115" s="23" t="inlineStr">
        <is>
          <t>1004321003</t>
        </is>
      </c>
      <c r="E115" s="11" t="inlineStr">
        <is>
          <t>Region X (Northern Mindanao)</t>
        </is>
      </c>
      <c r="F115" s="11" t="inlineStr">
        <is>
          <t>Misamis Oriental</t>
        </is>
      </c>
      <c r="G115" s="11" t="inlineStr">
        <is>
          <t>Opol</t>
        </is>
      </c>
      <c r="H115" s="11" t="inlineStr">
        <is>
          <t>Barra</t>
        </is>
      </c>
      <c r="I115" s="24" t="n">
        <v>8.508487000000001</v>
      </c>
      <c r="J115" s="24" t="n">
        <v>124.6071</v>
      </c>
      <c r="K115" s="23" t="inlineStr">
        <is>
          <t>U</t>
        </is>
      </c>
      <c r="L115" s="25" t="n">
        <v>15306</v>
      </c>
      <c r="M115" s="26" t="n">
        <v>3.9</v>
      </c>
      <c r="N115" s="25">
        <f>ROUND(L115/M115, 0)</f>
        <v/>
      </c>
      <c r="O115" s="25">
        <f>ROUND(N115*'Methodology &amp; Assumptions'!$B$7, 0)</f>
        <v/>
      </c>
      <c r="P115" s="23" t="inlineStr">
        <is>
          <t>Single Carrier (Band n50, 100MHz TDD)</t>
        </is>
      </c>
      <c r="Q115" s="27">
        <f>ROUNDUP(O115/'Methodology &amp; Assumptions'!$B$8, 0)</f>
        <v/>
      </c>
      <c r="R115" s="27" t="n">
        <v>1</v>
      </c>
      <c r="S115" s="26" t="n">
        <v>0.98</v>
      </c>
      <c r="T115" s="26" t="n">
        <v>0.53</v>
      </c>
      <c r="U115" s="11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26" t="n">
        <v>79.33</v>
      </c>
      <c r="W115" s="26" t="n">
        <v>50.9</v>
      </c>
      <c r="X115" s="26">
        <f>ROUND(('Methodology &amp; Assumptions'!$B$5*V115) + ('Methodology &amp; Assumptions'!$B$6*W115), 2)</f>
        <v/>
      </c>
      <c r="Y115" s="28" t="n">
        <v>17.4</v>
      </c>
      <c r="Z115" s="11" t="inlineStr">
        <is>
          <t>Priority Tier 2 (Balanced Opportunity)</t>
        </is>
      </c>
    </row>
    <row r="116">
      <c r="A116" s="23" t="n">
        <v>2</v>
      </c>
      <c r="B116" s="23" t="n">
        <v>112</v>
      </c>
      <c r="C116" s="23" t="n">
        <v>1112</v>
      </c>
      <c r="D116" s="23" t="inlineStr">
        <is>
          <t>1381100136</t>
        </is>
      </c>
      <c r="E116" s="11" t="inlineStr">
        <is>
          <t>National Capital Region (NCR)</t>
        </is>
      </c>
      <c r="F116" s="11" t="inlineStr">
        <is>
          <t>Fourth District (Not a Province)</t>
        </is>
      </c>
      <c r="G116" s="11" t="inlineStr">
        <is>
          <t>Pasay City</t>
        </is>
      </c>
      <c r="H116" s="11" t="inlineStr">
        <is>
          <t>Barangay 136</t>
        </is>
      </c>
      <c r="I116" s="24" t="n">
        <v>14.541909</v>
      </c>
      <c r="J116" s="24" t="n">
        <v>121.007223</v>
      </c>
      <c r="K116" s="23" t="inlineStr">
        <is>
          <t>U</t>
        </is>
      </c>
      <c r="L116" s="25" t="n">
        <v>2178</v>
      </c>
      <c r="M116" s="26" t="n">
        <v>3.39</v>
      </c>
      <c r="N116" s="25">
        <f>ROUND(L116/M116, 0)</f>
        <v/>
      </c>
      <c r="O116" s="25">
        <f>ROUND(N116*'Methodology &amp; Assumptions'!$B$7, 0)</f>
        <v/>
      </c>
      <c r="P116" s="23" t="inlineStr">
        <is>
          <t>Single Carrier (Band n50, 100MHz TDD)</t>
        </is>
      </c>
      <c r="Q116" s="27">
        <f>ROUNDUP(O116/'Methodology &amp; Assumptions'!$B$8, 0)</f>
        <v/>
      </c>
      <c r="R116" s="27" t="n">
        <v>1</v>
      </c>
      <c r="S116" s="26" t="n">
        <v>0.98</v>
      </c>
      <c r="T116" s="26" t="n">
        <v>0.64</v>
      </c>
      <c r="U116" s="11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26" t="n">
        <v>61.22</v>
      </c>
      <c r="W116" s="26" t="n">
        <v>69</v>
      </c>
      <c r="X116" s="26">
        <f>ROUND(('Methodology &amp; Assumptions'!$B$5*V116) + ('Methodology &amp; Assumptions'!$B$6*W116), 2)</f>
        <v/>
      </c>
      <c r="Y116" s="28" t="n">
        <v>10.9</v>
      </c>
      <c r="Z116" s="11" t="inlineStr">
        <is>
          <t>Priority Tier 2 (Balanced Opportunity)</t>
        </is>
      </c>
    </row>
    <row r="117">
      <c r="A117" s="23" t="n">
        <v>2</v>
      </c>
      <c r="B117" s="23" t="n">
        <v>113</v>
      </c>
      <c r="C117" s="23" t="n">
        <v>1113</v>
      </c>
      <c r="D117" s="23" t="inlineStr">
        <is>
          <t>1380613001</t>
        </is>
      </c>
      <c r="E117" s="11" t="inlineStr">
        <is>
          <t>National Capital Region (NCR)</t>
        </is>
      </c>
      <c r="F117" s="11" t="inlineStr">
        <is>
          <t>First District (Not a Province)</t>
        </is>
      </c>
      <c r="G117" s="11" t="inlineStr">
        <is>
          <t>City of Manila</t>
        </is>
      </c>
      <c r="H117" s="11" t="inlineStr">
        <is>
          <t>Barangay 649</t>
        </is>
      </c>
      <c r="I117" s="24" t="n">
        <v>14.592676</v>
      </c>
      <c r="J117" s="24" t="n">
        <v>120.960245</v>
      </c>
      <c r="K117" s="23" t="inlineStr">
        <is>
          <t>U</t>
        </is>
      </c>
      <c r="L117" s="25" t="n">
        <v>69769</v>
      </c>
      <c r="M117" s="26" t="n">
        <v>3.93</v>
      </c>
      <c r="N117" s="25">
        <f>ROUND(L117/M117, 0)</f>
        <v/>
      </c>
      <c r="O117" s="25">
        <f>ROUND(N117*'Methodology &amp; Assumptions'!$B$7, 0)</f>
        <v/>
      </c>
      <c r="P117" s="23" t="inlineStr">
        <is>
          <t>Single Carrier (Band n50, 100MHz TDD)</t>
        </is>
      </c>
      <c r="Q117" s="27">
        <f>ROUNDUP(O117/'Methodology &amp; Assumptions'!$B$8, 0)</f>
        <v/>
      </c>
      <c r="R117" s="27" t="n">
        <v>1</v>
      </c>
      <c r="S117" s="26" t="n">
        <v>0.18</v>
      </c>
      <c r="T117" s="26" t="n">
        <v>1.87</v>
      </c>
      <c r="U117" s="11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26" t="n">
        <v>65.76000000000001</v>
      </c>
      <c r="W117" s="26" t="n">
        <v>64.45</v>
      </c>
      <c r="X117" s="26">
        <f>ROUND(('Methodology &amp; Assumptions'!$B$5*V117) + ('Methodology &amp; Assumptions'!$B$6*W117), 2)</f>
        <v/>
      </c>
      <c r="Y117" s="28" t="n">
        <v>10.9</v>
      </c>
      <c r="Z117" s="11" t="inlineStr">
        <is>
          <t>Priority Tier 2 (Balanced Opportunity)</t>
        </is>
      </c>
    </row>
    <row r="118">
      <c r="A118" s="23" t="n">
        <v>2</v>
      </c>
      <c r="B118" s="23" t="n">
        <v>114</v>
      </c>
      <c r="C118" s="23" t="n">
        <v>1114</v>
      </c>
      <c r="D118" s="23" t="inlineStr">
        <is>
          <t>0501711037</t>
        </is>
      </c>
      <c r="E118" s="11" t="inlineStr">
        <is>
          <t>Region V (Bicol Region)</t>
        </is>
      </c>
      <c r="F118" s="11" t="inlineStr">
        <is>
          <t>Camarines Sur</t>
        </is>
      </c>
      <c r="G118" s="11" t="inlineStr">
        <is>
          <t>Caramoan</t>
        </is>
      </c>
      <c r="H118" s="11" t="inlineStr">
        <is>
          <t>Pili-Centro</t>
        </is>
      </c>
      <c r="I118" s="24" t="n">
        <v>13.769128</v>
      </c>
      <c r="J118" s="24" t="n">
        <v>123.83136</v>
      </c>
      <c r="K118" s="23" t="inlineStr">
        <is>
          <t>R</t>
        </is>
      </c>
      <c r="L118" s="25" t="n">
        <v>951</v>
      </c>
      <c r="M118" s="26" t="n">
        <v>4.2</v>
      </c>
      <c r="N118" s="25">
        <f>ROUND(L118/M118, 0)</f>
        <v/>
      </c>
      <c r="O118" s="25">
        <f>ROUND(N118*'Methodology &amp; Assumptions'!$B$7, 0)</f>
        <v/>
      </c>
      <c r="P118" s="23" t="inlineStr">
        <is>
          <t>Single Carrier (Band n50, 100MHz TDD)</t>
        </is>
      </c>
      <c r="Q118" s="27">
        <f>ROUNDUP(O118/'Methodology &amp; Assumptions'!$B$8, 0)</f>
        <v/>
      </c>
      <c r="R118" s="27" t="n">
        <v>1</v>
      </c>
      <c r="S118" s="26" t="n">
        <v>3.51</v>
      </c>
      <c r="T118" s="26" t="n">
        <v>36.11</v>
      </c>
      <c r="U118" s="11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26" t="n">
        <v>56.25</v>
      </c>
      <c r="W118" s="26" t="n">
        <v>73.93000000000001</v>
      </c>
      <c r="X118" s="26">
        <f>ROUND(('Methodology &amp; Assumptions'!$B$5*V118) + ('Methodology &amp; Assumptions'!$B$6*W118), 2)</f>
        <v/>
      </c>
      <c r="Y118" s="28" t="n">
        <v>23.7</v>
      </c>
      <c r="Z118" s="11" t="inlineStr">
        <is>
          <t>Priority Tier 2 (Balanced Opportunity)</t>
        </is>
      </c>
    </row>
    <row r="119">
      <c r="A119" s="23" t="n">
        <v>2</v>
      </c>
      <c r="B119" s="23" t="n">
        <v>115</v>
      </c>
      <c r="C119" s="23" t="n">
        <v>1115</v>
      </c>
      <c r="D119" s="23" t="inlineStr">
        <is>
          <t>0205006015</t>
        </is>
      </c>
      <c r="E119" s="11" t="inlineStr">
        <is>
          <t>Region II (Cagayan Valley)</t>
        </is>
      </c>
      <c r="F119" s="11" t="inlineStr">
        <is>
          <t>Nueva Vizcaya</t>
        </is>
      </c>
      <c r="G119" s="11" t="inlineStr">
        <is>
          <t>Diadi</t>
        </is>
      </c>
      <c r="H119" s="11" t="inlineStr">
        <is>
          <t>Rosario</t>
        </is>
      </c>
      <c r="I119" s="24" t="n">
        <v>16.63931</v>
      </c>
      <c r="J119" s="24" t="n">
        <v>121.311351</v>
      </c>
      <c r="K119" s="23" t="inlineStr">
        <is>
          <t>R</t>
        </is>
      </c>
      <c r="L119" s="25" t="n">
        <v>363</v>
      </c>
      <c r="M119" s="26" t="n">
        <v>3.8</v>
      </c>
      <c r="N119" s="25">
        <f>ROUND(L119/M119, 0)</f>
        <v/>
      </c>
      <c r="O119" s="25">
        <f>ROUND(N119*'Methodology &amp; Assumptions'!$B$7, 0)</f>
        <v/>
      </c>
      <c r="P119" s="23" t="inlineStr">
        <is>
          <t>Single Carrier (Band n50, 100MHz TDD)</t>
        </is>
      </c>
      <c r="Q119" s="27">
        <f>ROUNDUP(O119/'Methodology &amp; Assumptions'!$B$8, 0)</f>
        <v/>
      </c>
      <c r="R119" s="27" t="n">
        <v>1</v>
      </c>
      <c r="S119" s="26" t="n">
        <v>6.51</v>
      </c>
      <c r="T119" s="26" t="n">
        <v>2.31</v>
      </c>
      <c r="U119" s="11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26" t="n">
        <v>44.93</v>
      </c>
      <c r="W119" s="26" t="n">
        <v>85.25</v>
      </c>
      <c r="X119" s="26">
        <f>ROUND(('Methodology &amp; Assumptions'!$B$5*V119) + ('Methodology &amp; Assumptions'!$B$6*W119), 2)</f>
        <v/>
      </c>
      <c r="Y119" s="28" t="n">
        <v>8.300000000000001</v>
      </c>
      <c r="Z119" s="11" t="inlineStr">
        <is>
          <t>Priority Tier 2 (Balanced Opportunity)</t>
        </is>
      </c>
    </row>
    <row r="120">
      <c r="A120" s="23" t="n">
        <v>2</v>
      </c>
      <c r="B120" s="23" t="n">
        <v>116</v>
      </c>
      <c r="C120" s="23" t="n">
        <v>1116</v>
      </c>
      <c r="D120" s="23" t="inlineStr">
        <is>
          <t>0301414009</t>
        </is>
      </c>
      <c r="E120" s="11" t="inlineStr">
        <is>
          <t>Region III (Central Luzon)</t>
        </is>
      </c>
      <c r="F120" s="11" t="inlineStr">
        <is>
          <t>Bulacan</t>
        </is>
      </c>
      <c r="G120" s="11" t="inlineStr">
        <is>
          <t>Obando</t>
        </is>
      </c>
      <c r="H120" s="11" t="inlineStr">
        <is>
          <t>Panghulo</t>
        </is>
      </c>
      <c r="I120" s="24" t="n">
        <v>14.69832</v>
      </c>
      <c r="J120" s="24" t="n">
        <v>120.946737</v>
      </c>
      <c r="K120" s="23" t="inlineStr">
        <is>
          <t>U</t>
        </is>
      </c>
      <c r="L120" s="25" t="n">
        <v>13716</v>
      </c>
      <c r="M120" s="26" t="n">
        <v>3.5</v>
      </c>
      <c r="N120" s="25">
        <f>ROUND(L120/M120, 0)</f>
        <v/>
      </c>
      <c r="O120" s="25">
        <f>ROUND(N120*'Methodology &amp; Assumptions'!$B$7, 0)</f>
        <v/>
      </c>
      <c r="P120" s="23" t="inlineStr">
        <is>
          <t>Single Carrier (Band n50, 100MHz TDD)</t>
        </is>
      </c>
      <c r="Q120" s="27">
        <f>ROUNDUP(O120/'Methodology &amp; Assumptions'!$B$8, 0)</f>
        <v/>
      </c>
      <c r="R120" s="27" t="n">
        <v>1</v>
      </c>
      <c r="S120" s="26" t="n">
        <v>1.64</v>
      </c>
      <c r="T120" s="26" t="n">
        <v>0.53</v>
      </c>
      <c r="U120" s="11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26" t="n">
        <v>75.43000000000001</v>
      </c>
      <c r="W120" s="26" t="n">
        <v>54.72</v>
      </c>
      <c r="X120" s="26">
        <f>ROUND(('Methodology &amp; Assumptions'!$B$5*V120) + ('Methodology &amp; Assumptions'!$B$6*W120), 2)</f>
        <v/>
      </c>
      <c r="Y120" s="28" t="n">
        <v>8.300000000000001</v>
      </c>
      <c r="Z120" s="11" t="inlineStr">
        <is>
          <t>Priority Tier 2 (Balanced Opportunity)</t>
        </is>
      </c>
    </row>
    <row r="121">
      <c r="A121" s="23" t="n">
        <v>2</v>
      </c>
      <c r="B121" s="23" t="n">
        <v>117</v>
      </c>
      <c r="C121" s="23" t="n">
        <v>1117</v>
      </c>
      <c r="D121" s="23" t="inlineStr">
        <is>
          <t>1380614048</t>
        </is>
      </c>
      <c r="E121" s="11" t="inlineStr">
        <is>
          <t>National Capital Region (NCR)</t>
        </is>
      </c>
      <c r="F121" s="11" t="inlineStr">
        <is>
          <t>First District (Not a Province)</t>
        </is>
      </c>
      <c r="G121" s="11" t="inlineStr">
        <is>
          <t>City of Manila</t>
        </is>
      </c>
      <c r="H121" s="11" t="inlineStr">
        <is>
          <t>Barangay 792</t>
        </is>
      </c>
      <c r="I121" s="24" t="n">
        <v>14.579526</v>
      </c>
      <c r="J121" s="24" t="n">
        <v>121.007568</v>
      </c>
      <c r="K121" s="23" t="inlineStr">
        <is>
          <t>U</t>
        </is>
      </c>
      <c r="L121" s="25" t="n">
        <v>2648</v>
      </c>
      <c r="M121" s="26" t="n">
        <v>4.2</v>
      </c>
      <c r="N121" s="25">
        <f>ROUND(L121/M121, 0)</f>
        <v/>
      </c>
      <c r="O121" s="25">
        <f>ROUND(N121*'Methodology &amp; Assumptions'!$B$7, 0)</f>
        <v/>
      </c>
      <c r="P121" s="23" t="inlineStr">
        <is>
          <t>Single Carrier (Band n50, 100MHz TDD)</t>
        </is>
      </c>
      <c r="Q121" s="27">
        <f>ROUNDUP(O121/'Methodology &amp; Assumptions'!$B$8, 0)</f>
        <v/>
      </c>
      <c r="R121" s="27" t="n">
        <v>1</v>
      </c>
      <c r="S121" s="26" t="n">
        <v>0.75</v>
      </c>
      <c r="T121" s="26" t="n">
        <v>0.06</v>
      </c>
      <c r="U121" s="11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26" t="n">
        <v>61.34</v>
      </c>
      <c r="W121" s="26" t="n">
        <v>68.81999999999999</v>
      </c>
      <c r="X121" s="26">
        <f>ROUND(('Methodology &amp; Assumptions'!$B$5*V121) + ('Methodology &amp; Assumptions'!$B$6*W121), 2)</f>
        <v/>
      </c>
      <c r="Y121" s="28" t="n">
        <v>10.9</v>
      </c>
      <c r="Z121" s="11" t="inlineStr">
        <is>
          <t>Priority Tier 2 (Balanced Opportunity)</t>
        </is>
      </c>
    </row>
    <row r="122">
      <c r="A122" s="23" t="n">
        <v>2</v>
      </c>
      <c r="B122" s="23" t="n">
        <v>118</v>
      </c>
      <c r="C122" s="23" t="n">
        <v>1118</v>
      </c>
      <c r="D122" s="23" t="inlineStr">
        <is>
          <t>1381300036</t>
        </is>
      </c>
      <c r="E122" s="11" t="inlineStr">
        <is>
          <t>National Capital Region (NCR)</t>
        </is>
      </c>
      <c r="F122" s="11" t="inlineStr">
        <is>
          <t>Second District (Not a Province)</t>
        </is>
      </c>
      <c r="G122" s="11" t="inlineStr">
        <is>
          <t>Quezon City</t>
        </is>
      </c>
      <c r="H122" s="11" t="inlineStr">
        <is>
          <t>East Kamias</t>
        </is>
      </c>
      <c r="I122" s="24" t="n">
        <v>14.6316</v>
      </c>
      <c r="J122" s="24" t="n">
        <v>121.0575</v>
      </c>
      <c r="K122" s="23" t="inlineStr">
        <is>
          <t>U</t>
        </is>
      </c>
      <c r="L122" s="25" t="n">
        <v>6441</v>
      </c>
      <c r="M122" s="26" t="n">
        <v>3.97</v>
      </c>
      <c r="N122" s="25">
        <f>ROUND(L122/M122, 0)</f>
        <v/>
      </c>
      <c r="O122" s="25">
        <f>ROUND(N122*'Methodology &amp; Assumptions'!$B$7, 0)</f>
        <v/>
      </c>
      <c r="P122" s="23" t="inlineStr">
        <is>
          <t>Single Carrier (Band n50, 100MHz TDD)</t>
        </is>
      </c>
      <c r="Q122" s="27">
        <f>ROUNDUP(O122/'Methodology &amp; Assumptions'!$B$8, 0)</f>
        <v/>
      </c>
      <c r="R122" s="27" t="n">
        <v>1</v>
      </c>
      <c r="S122" s="26" t="n">
        <v>1.29</v>
      </c>
      <c r="T122" s="26" t="n">
        <v>0.27</v>
      </c>
      <c r="U122" s="11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26" t="n">
        <v>67.37</v>
      </c>
      <c r="W122" s="26" t="n">
        <v>62.78</v>
      </c>
      <c r="X122" s="26">
        <f>ROUND(('Methodology &amp; Assumptions'!$B$5*V122) + ('Methodology &amp; Assumptions'!$B$6*W122), 2)</f>
        <v/>
      </c>
      <c r="Y122" s="28" t="n">
        <v>10.9</v>
      </c>
      <c r="Z122" s="11" t="inlineStr">
        <is>
          <t>Priority Tier 2 (Balanced Opportunity)</t>
        </is>
      </c>
    </row>
    <row r="123">
      <c r="A123" s="23" t="n">
        <v>2</v>
      </c>
      <c r="B123" s="23" t="n">
        <v>119</v>
      </c>
      <c r="C123" s="23" t="n">
        <v>1119</v>
      </c>
      <c r="D123" s="23" t="inlineStr">
        <is>
          <t>0603034020</t>
        </is>
      </c>
      <c r="E123" s="11" t="inlineStr">
        <is>
          <t>Region VI (Western Visayas)</t>
        </is>
      </c>
      <c r="F123" s="11" t="inlineStr">
        <is>
          <t>Iloilo</t>
        </is>
      </c>
      <c r="G123" s="11" t="inlineStr">
        <is>
          <t>Oton</t>
        </is>
      </c>
      <c r="H123" s="11" t="inlineStr">
        <is>
          <t>Poblacion East</t>
        </is>
      </c>
      <c r="I123" s="24" t="n">
        <v>10.690097</v>
      </c>
      <c r="J123" s="24" t="n">
        <v>122.481412</v>
      </c>
      <c r="K123" s="23" t="inlineStr">
        <is>
          <t>R</t>
        </is>
      </c>
      <c r="L123" s="25" t="n">
        <v>4302</v>
      </c>
      <c r="M123" s="26" t="n">
        <v>3.8</v>
      </c>
      <c r="N123" s="25">
        <f>ROUND(L123/M123, 0)</f>
        <v/>
      </c>
      <c r="O123" s="25">
        <f>ROUND(N123*'Methodology &amp; Assumptions'!$B$7, 0)</f>
        <v/>
      </c>
      <c r="P123" s="23" t="inlineStr">
        <is>
          <t>Single Carrier (Band n50, 100MHz TDD)</t>
        </is>
      </c>
      <c r="Q123" s="27">
        <f>ROUNDUP(O123/'Methodology &amp; Assumptions'!$B$8, 0)</f>
        <v/>
      </c>
      <c r="R123" s="27" t="n">
        <v>1</v>
      </c>
      <c r="S123" s="26" t="n">
        <v>0.35</v>
      </c>
      <c r="T123" s="26" t="n">
        <v>0.34</v>
      </c>
      <c r="U123" s="11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26" t="n">
        <v>88.06</v>
      </c>
      <c r="W123" s="26" t="n">
        <v>42.05</v>
      </c>
      <c r="X123" s="26">
        <f>ROUND(('Methodology &amp; Assumptions'!$B$5*V123) + ('Methodology &amp; Assumptions'!$B$6*W123), 2)</f>
        <v/>
      </c>
      <c r="Y123" s="28" t="n">
        <v>23.7</v>
      </c>
      <c r="Z123" s="11" t="inlineStr">
        <is>
          <t>Priority Tier 2 (Balanced Opportunity)</t>
        </is>
      </c>
    </row>
    <row r="124">
      <c r="A124" s="23" t="n">
        <v>2</v>
      </c>
      <c r="B124" s="23" t="n">
        <v>120</v>
      </c>
      <c r="C124" s="23" t="n">
        <v>1120</v>
      </c>
      <c r="D124" s="23" t="inlineStr">
        <is>
          <t>1381100197</t>
        </is>
      </c>
      <c r="E124" s="11" t="inlineStr">
        <is>
          <t>National Capital Region (NCR)</t>
        </is>
      </c>
      <c r="F124" s="11" t="inlineStr">
        <is>
          <t>Fourth District (Not a Province)</t>
        </is>
      </c>
      <c r="G124" s="11" t="inlineStr">
        <is>
          <t>Pasay City</t>
        </is>
      </c>
      <c r="H124" s="11" t="inlineStr">
        <is>
          <t>Barangay 197</t>
        </is>
      </c>
      <c r="I124" s="24" t="n">
        <v>14.512092</v>
      </c>
      <c r="J124" s="24" t="n">
        <v>121.006215</v>
      </c>
      <c r="K124" s="23" t="inlineStr">
        <is>
          <t>U</t>
        </is>
      </c>
      <c r="L124" s="25" t="n">
        <v>3870</v>
      </c>
      <c r="M124" s="26" t="n">
        <v>3.13</v>
      </c>
      <c r="N124" s="25">
        <f>ROUND(L124/M124, 0)</f>
        <v/>
      </c>
      <c r="O124" s="25">
        <f>ROUND(N124*'Methodology &amp; Assumptions'!$B$7, 0)</f>
        <v/>
      </c>
      <c r="P124" s="23" t="inlineStr">
        <is>
          <t>Single Carrier (Band n50, 100MHz TDD)</t>
        </is>
      </c>
      <c r="Q124" s="27">
        <f>ROUNDUP(O124/'Methodology &amp; Assumptions'!$B$8, 0)</f>
        <v/>
      </c>
      <c r="R124" s="27" t="n">
        <v>1</v>
      </c>
      <c r="S124" s="26" t="n">
        <v>0.88</v>
      </c>
      <c r="T124" s="26" t="n">
        <v>0.75</v>
      </c>
      <c r="U124" s="11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26" t="n">
        <v>68.95</v>
      </c>
      <c r="W124" s="26" t="n">
        <v>61.14</v>
      </c>
      <c r="X124" s="26">
        <f>ROUND(('Methodology &amp; Assumptions'!$B$5*V124) + ('Methodology &amp; Assumptions'!$B$6*W124), 2)</f>
        <v/>
      </c>
      <c r="Y124" s="28" t="n">
        <v>10.9</v>
      </c>
      <c r="Z124" s="11" t="inlineStr">
        <is>
          <t>Priority Tier 2 (Balanced Opportunity)</t>
        </is>
      </c>
    </row>
    <row r="125">
      <c r="A125" s="23" t="n">
        <v>2</v>
      </c>
      <c r="B125" s="23" t="n">
        <v>121</v>
      </c>
      <c r="C125" s="23" t="n">
        <v>1121</v>
      </c>
      <c r="D125" s="23" t="inlineStr">
        <is>
          <t>1380601055</t>
        </is>
      </c>
      <c r="E125" s="11" t="inlineStr">
        <is>
          <t>National Capital Region (NCR)</t>
        </is>
      </c>
      <c r="F125" s="11" t="inlineStr">
        <is>
          <t>First District (Not a Province)</t>
        </is>
      </c>
      <c r="G125" s="11" t="inlineStr">
        <is>
          <t>City of Manila</t>
        </is>
      </c>
      <c r="H125" s="11" t="inlineStr">
        <is>
          <t>Barangay 55</t>
        </is>
      </c>
      <c r="I125" s="24" t="n">
        <v>14.61776</v>
      </c>
      <c r="J125" s="24" t="n">
        <v>120.9711</v>
      </c>
      <c r="K125" s="23" t="inlineStr">
        <is>
          <t>U</t>
        </is>
      </c>
      <c r="L125" s="25" t="n">
        <v>2427</v>
      </c>
      <c r="M125" s="26" t="n">
        <v>4.22</v>
      </c>
      <c r="N125" s="25">
        <f>ROUND(L125/M125, 0)</f>
        <v/>
      </c>
      <c r="O125" s="25">
        <f>ROUND(N125*'Methodology &amp; Assumptions'!$B$7, 0)</f>
        <v/>
      </c>
      <c r="P125" s="23" t="inlineStr">
        <is>
          <t>Single Carrier (Band n50, 100MHz TDD)</t>
        </is>
      </c>
      <c r="Q125" s="27">
        <f>ROUNDUP(O125/'Methodology &amp; Assumptions'!$B$8, 0)</f>
        <v/>
      </c>
      <c r="R125" s="27" t="n">
        <v>1</v>
      </c>
      <c r="S125" s="26" t="n">
        <v>0.9</v>
      </c>
      <c r="T125" s="26" t="n">
        <v>0.05</v>
      </c>
      <c r="U125" s="11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26" t="n">
        <v>59.28</v>
      </c>
      <c r="W125" s="26" t="n">
        <v>70.81999999999999</v>
      </c>
      <c r="X125" s="26">
        <f>ROUND(('Methodology &amp; Assumptions'!$B$5*V125) + ('Methodology &amp; Assumptions'!$B$6*W125), 2)</f>
        <v/>
      </c>
      <c r="Y125" s="28" t="n">
        <v>10.9</v>
      </c>
      <c r="Z125" s="11" t="inlineStr">
        <is>
          <t>Priority Tier 2 (Balanced Opportunity)</t>
        </is>
      </c>
    </row>
    <row r="126">
      <c r="A126" s="23" t="n">
        <v>2</v>
      </c>
      <c r="B126" s="23" t="n">
        <v>122</v>
      </c>
      <c r="C126" s="23" t="n">
        <v>1122</v>
      </c>
      <c r="D126" s="23" t="inlineStr">
        <is>
          <t>1908701006</t>
        </is>
      </c>
      <c r="E126" s="11" t="inlineStr">
        <is>
          <t>Bangsamoro Autonomous Region In Muslim Mindanao (BARMM)</t>
        </is>
      </c>
      <c r="F126" s="11" t="inlineStr">
        <is>
          <t>Maguindanao del Norte</t>
        </is>
      </c>
      <c r="G126" s="11" t="inlineStr">
        <is>
          <t>Barira</t>
        </is>
      </c>
      <c r="H126" s="11" t="inlineStr">
        <is>
          <t>Liong</t>
        </is>
      </c>
      <c r="I126" s="24" t="n">
        <v>7.452869</v>
      </c>
      <c r="J126" s="24" t="n">
        <v>124.338402</v>
      </c>
      <c r="K126" s="23" t="inlineStr">
        <is>
          <t>R</t>
        </is>
      </c>
      <c r="L126" s="25" t="n">
        <v>5838</v>
      </c>
      <c r="M126" s="26" t="n">
        <v>4.3</v>
      </c>
      <c r="N126" s="25">
        <f>ROUND(L126/M126, 0)</f>
        <v/>
      </c>
      <c r="O126" s="25">
        <f>ROUND(N126*'Methodology &amp; Assumptions'!$B$7, 0)</f>
        <v/>
      </c>
      <c r="P126" s="23" t="inlineStr">
        <is>
          <t>Single Carrier (Band n50, 100MHz TDD)</t>
        </is>
      </c>
      <c r="Q126" s="27">
        <f>ROUNDUP(O126/'Methodology &amp; Assumptions'!$B$8, 0)</f>
        <v/>
      </c>
      <c r="R126" s="27" t="n">
        <v>1</v>
      </c>
      <c r="S126" s="26" t="n">
        <v>57.7</v>
      </c>
      <c r="T126" s="26" t="n">
        <v>49.91</v>
      </c>
      <c r="U126" s="11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26" t="n">
        <v>59.06</v>
      </c>
      <c r="W126" s="26" t="n">
        <v>71.05</v>
      </c>
      <c r="X126" s="26">
        <f>ROUND(('Methodology &amp; Assumptions'!$B$5*V126) + ('Methodology &amp; Assumptions'!$B$6*W126), 2)</f>
        <v/>
      </c>
      <c r="Y126" s="28" t="n">
        <v>11</v>
      </c>
      <c r="Z126" s="11" t="inlineStr">
        <is>
          <t>Priority Tier 2 (Balanced Opportunity)</t>
        </is>
      </c>
    </row>
    <row r="127">
      <c r="A127" s="23" t="n">
        <v>2</v>
      </c>
      <c r="B127" s="23" t="n">
        <v>123</v>
      </c>
      <c r="C127" s="23" t="n">
        <v>1123</v>
      </c>
      <c r="D127" s="23" t="inlineStr">
        <is>
          <t>1908704002</t>
        </is>
      </c>
      <c r="E127" s="11" t="inlineStr">
        <is>
          <t>Bangsamoro Autonomous Region In Muslim Mindanao (BARMM)</t>
        </is>
      </c>
      <c r="F127" s="11" t="inlineStr">
        <is>
          <t>Maguindanao del Norte</t>
        </is>
      </c>
      <c r="G127" s="11" t="inlineStr">
        <is>
          <t>Datu Blah T. Sinsuat</t>
        </is>
      </c>
      <c r="H127" s="11" t="inlineStr">
        <is>
          <t>Laguitan</t>
        </is>
      </c>
      <c r="I127" s="24" t="n">
        <v>6.760601</v>
      </c>
      <c r="J127" s="24" t="n">
        <v>124.075278</v>
      </c>
      <c r="K127" s="23" t="inlineStr">
        <is>
          <t>R</t>
        </is>
      </c>
      <c r="L127" s="25" t="n">
        <v>3528</v>
      </c>
      <c r="M127" s="26" t="n">
        <v>4.3</v>
      </c>
      <c r="N127" s="25">
        <f>ROUND(L127/M127, 0)</f>
        <v/>
      </c>
      <c r="O127" s="25">
        <f>ROUND(N127*'Methodology &amp; Assumptions'!$B$7, 0)</f>
        <v/>
      </c>
      <c r="P127" s="23" t="inlineStr">
        <is>
          <t>Single Carrier (Band n50, 100MHz TDD)</t>
        </is>
      </c>
      <c r="Q127" s="27">
        <f>ROUNDUP(O127/'Methodology &amp; Assumptions'!$B$8, 0)</f>
        <v/>
      </c>
      <c r="R127" s="27" t="n">
        <v>1</v>
      </c>
      <c r="S127" s="26" t="n">
        <v>66.53</v>
      </c>
      <c r="T127" s="26" t="n">
        <v>66.5</v>
      </c>
      <c r="U127" s="11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26" t="n">
        <v>57.4</v>
      </c>
      <c r="W127" s="26" t="n">
        <v>72.7</v>
      </c>
      <c r="X127" s="26">
        <f>ROUND(('Methodology &amp; Assumptions'!$B$5*V127) + ('Methodology &amp; Assumptions'!$B$6*W127), 2)</f>
        <v/>
      </c>
      <c r="Y127" s="28" t="n">
        <v>11</v>
      </c>
      <c r="Z127" s="11" t="inlineStr">
        <is>
          <t>Priority Tier 2 (Balanced Opportunity)</t>
        </is>
      </c>
    </row>
    <row r="128">
      <c r="A128" s="23" t="n">
        <v>2</v>
      </c>
      <c r="B128" s="23" t="n">
        <v>124</v>
      </c>
      <c r="C128" s="23" t="n">
        <v>1124</v>
      </c>
      <c r="D128" s="23" t="inlineStr">
        <is>
          <t>0405623021</t>
        </is>
      </c>
      <c r="E128" s="11" t="inlineStr">
        <is>
          <t>Region IV-A (CALABARZON)</t>
        </is>
      </c>
      <c r="F128" s="11" t="inlineStr">
        <is>
          <t>Quezon</t>
        </is>
      </c>
      <c r="G128" s="11" t="inlineStr">
        <is>
          <t>Lucban</t>
        </is>
      </c>
      <c r="H128" s="11" t="inlineStr">
        <is>
          <t>Mahabang Parang</t>
        </is>
      </c>
      <c r="I128" s="24" t="n">
        <v>14.155462</v>
      </c>
      <c r="J128" s="24" t="n">
        <v>121.574104</v>
      </c>
      <c r="K128" s="23" t="inlineStr">
        <is>
          <t>R</t>
        </is>
      </c>
      <c r="L128" s="25" t="n">
        <v>226</v>
      </c>
      <c r="M128" s="26" t="n">
        <v>3.8</v>
      </c>
      <c r="N128" s="25">
        <f>ROUND(L128/M128, 0)</f>
        <v/>
      </c>
      <c r="O128" s="25">
        <f>ROUND(N128*'Methodology &amp; Assumptions'!$B$7, 0)</f>
        <v/>
      </c>
      <c r="P128" s="23" t="inlineStr">
        <is>
          <t>Single Carrier (Band n50, 100MHz TDD)</t>
        </is>
      </c>
      <c r="Q128" s="27">
        <f>ROUNDUP(O128/'Methodology &amp; Assumptions'!$B$8, 0)</f>
        <v/>
      </c>
      <c r="R128" s="27" t="n">
        <v>1</v>
      </c>
      <c r="S128" s="26" t="n">
        <v>4.94</v>
      </c>
      <c r="T128" s="26" t="n">
        <v>4.93</v>
      </c>
      <c r="U128" s="11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26" t="n">
        <v>45.94</v>
      </c>
      <c r="W128" s="26" t="n">
        <v>84.16</v>
      </c>
      <c r="X128" s="26">
        <f>ROUND(('Methodology &amp; Assumptions'!$B$5*V128) + ('Methodology &amp; Assumptions'!$B$6*W128), 2)</f>
        <v/>
      </c>
      <c r="Y128" s="28" t="n">
        <v>7.2</v>
      </c>
      <c r="Z128" s="11" t="inlineStr">
        <is>
          <t>Priority Tier 2 (Balanced Opportunity)</t>
        </is>
      </c>
    </row>
    <row r="129">
      <c r="A129" s="23" t="n">
        <v>2</v>
      </c>
      <c r="B129" s="23" t="n">
        <v>125</v>
      </c>
      <c r="C129" s="23" t="n">
        <v>1125</v>
      </c>
      <c r="D129" s="23" t="inlineStr">
        <is>
          <t>1380500020</t>
        </is>
      </c>
      <c r="E129" s="11" t="inlineStr">
        <is>
          <t>National Capital Region (NCR)</t>
        </is>
      </c>
      <c r="F129" s="11" t="inlineStr">
        <is>
          <t>Second District (Not a Province)</t>
        </is>
      </c>
      <c r="G129" s="11" t="inlineStr">
        <is>
          <t>City of Mandaluyong</t>
        </is>
      </c>
      <c r="H129" s="11" t="inlineStr">
        <is>
          <t>Old Zañiga</t>
        </is>
      </c>
      <c r="I129" s="24" t="n">
        <v>14.58002</v>
      </c>
      <c r="J129" s="24" t="n">
        <v>121.0264</v>
      </c>
      <c r="K129" s="23" t="inlineStr">
        <is>
          <t>U</t>
        </is>
      </c>
      <c r="L129" s="25" t="n">
        <v>5435</v>
      </c>
      <c r="M129" s="26" t="n">
        <v>3.85</v>
      </c>
      <c r="N129" s="25">
        <f>ROUND(L129/M129, 0)</f>
        <v/>
      </c>
      <c r="O129" s="25">
        <f>ROUND(N129*'Methodology &amp; Assumptions'!$B$7, 0)</f>
        <v/>
      </c>
      <c r="P129" s="23" t="inlineStr">
        <is>
          <t>Single Carrier (Band n50, 100MHz TDD)</t>
        </is>
      </c>
      <c r="Q129" s="27">
        <f>ROUNDUP(O129/'Methodology &amp; Assumptions'!$B$8, 0)</f>
        <v/>
      </c>
      <c r="R129" s="27" t="n">
        <v>1</v>
      </c>
      <c r="S129" s="26" t="n">
        <v>0.44</v>
      </c>
      <c r="T129" s="26" t="n">
        <v>0.44</v>
      </c>
      <c r="U129" s="11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26" t="n">
        <v>69.09</v>
      </c>
      <c r="W129" s="26" t="n">
        <v>60.98</v>
      </c>
      <c r="X129" s="26">
        <f>ROUND(('Methodology &amp; Assumptions'!$B$5*V129) + ('Methodology &amp; Assumptions'!$B$6*W129), 2)</f>
        <v/>
      </c>
      <c r="Y129" s="28" t="n">
        <v>10.9</v>
      </c>
      <c r="Z129" s="11" t="inlineStr">
        <is>
          <t>Priority Tier 2 (Balanced Opportunity)</t>
        </is>
      </c>
    </row>
    <row r="130">
      <c r="A130" s="23" t="n">
        <v>2</v>
      </c>
      <c r="B130" s="23" t="n">
        <v>126</v>
      </c>
      <c r="C130" s="23" t="n">
        <v>1126</v>
      </c>
      <c r="D130" s="23" t="inlineStr">
        <is>
          <t>1102315025</t>
        </is>
      </c>
      <c r="E130" s="11" t="inlineStr">
        <is>
          <t>Region XI (Davao Region)</t>
        </is>
      </c>
      <c r="F130" s="11" t="inlineStr">
        <is>
          <t>Davao del Norte</t>
        </is>
      </c>
      <c r="G130" s="11" t="inlineStr">
        <is>
          <t>City of Panabo</t>
        </is>
      </c>
      <c r="H130" s="11" t="inlineStr">
        <is>
          <t>New Pandan</t>
        </is>
      </c>
      <c r="I130" s="24" t="n">
        <v>7.29755</v>
      </c>
      <c r="J130" s="24" t="n">
        <v>125.68011</v>
      </c>
      <c r="K130" s="23" t="inlineStr">
        <is>
          <t>U</t>
        </is>
      </c>
      <c r="L130" s="25" t="n">
        <v>8693</v>
      </c>
      <c r="M130" s="26" t="n">
        <v>3.7</v>
      </c>
      <c r="N130" s="25">
        <f>ROUND(L130/M130, 0)</f>
        <v/>
      </c>
      <c r="O130" s="25">
        <f>ROUND(N130*'Methodology &amp; Assumptions'!$B$7, 0)</f>
        <v/>
      </c>
      <c r="P130" s="23" t="inlineStr">
        <is>
          <t>Single Carrier (Band n50, 100MHz TDD)</t>
        </is>
      </c>
      <c r="Q130" s="27">
        <f>ROUNDUP(O130/'Methodology &amp; Assumptions'!$B$8, 0)</f>
        <v/>
      </c>
      <c r="R130" s="27" t="n">
        <v>1</v>
      </c>
      <c r="S130" s="26" t="n">
        <v>0.34</v>
      </c>
      <c r="T130" s="26" t="n">
        <v>0.1</v>
      </c>
      <c r="U130" s="11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26" t="n">
        <v>79.87</v>
      </c>
      <c r="W130" s="26" t="n">
        <v>50.19</v>
      </c>
      <c r="X130" s="26">
        <f>ROUND(('Methodology &amp; Assumptions'!$B$5*V130) + ('Methodology &amp; Assumptions'!$B$6*W130), 2)</f>
        <v/>
      </c>
      <c r="Y130" s="28" t="n">
        <v>17.4</v>
      </c>
      <c r="Z130" s="11" t="inlineStr">
        <is>
          <t>Priority Tier 2 (Balanced Opportunity)</t>
        </is>
      </c>
    </row>
    <row r="131">
      <c r="A131" s="23" t="n">
        <v>2</v>
      </c>
      <c r="B131" s="23" t="n">
        <v>127</v>
      </c>
      <c r="C131" s="23" t="n">
        <v>1127</v>
      </c>
      <c r="D131" s="23" t="inlineStr">
        <is>
          <t>0401019019</t>
        </is>
      </c>
      <c r="E131" s="11" t="inlineStr">
        <is>
          <t>Region IV-A (CALABARZON)</t>
        </is>
      </c>
      <c r="F131" s="11" t="inlineStr">
        <is>
          <t>Batangas</t>
        </is>
      </c>
      <c r="G131" s="11" t="inlineStr">
        <is>
          <t>Nasugbu</t>
        </is>
      </c>
      <c r="H131" s="11" t="inlineStr">
        <is>
          <t>Butucan</t>
        </is>
      </c>
      <c r="I131" s="24" t="n">
        <v>14.1394</v>
      </c>
      <c r="J131" s="24" t="n">
        <v>120.6805</v>
      </c>
      <c r="K131" s="23" t="inlineStr">
        <is>
          <t>R</t>
        </is>
      </c>
      <c r="L131" s="25" t="n">
        <v>2615</v>
      </c>
      <c r="M131" s="26" t="n">
        <v>3.6</v>
      </c>
      <c r="N131" s="25">
        <f>ROUND(L131/M131, 0)</f>
        <v/>
      </c>
      <c r="O131" s="25">
        <f>ROUND(N131*'Methodology &amp; Assumptions'!$B$7, 0)</f>
        <v/>
      </c>
      <c r="P131" s="23" t="inlineStr">
        <is>
          <t>Single Carrier (Band n50, 100MHz TDD)</t>
        </is>
      </c>
      <c r="Q131" s="27">
        <f>ROUNDUP(O131/'Methodology &amp; Assumptions'!$B$8, 0)</f>
        <v/>
      </c>
      <c r="R131" s="27" t="n">
        <v>1</v>
      </c>
      <c r="S131" s="26" t="n">
        <v>7.1</v>
      </c>
      <c r="T131" s="26" t="n">
        <v>0.61</v>
      </c>
      <c r="U131" s="11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26" t="n">
        <v>68.11</v>
      </c>
      <c r="W131" s="26" t="n">
        <v>61.95</v>
      </c>
      <c r="X131" s="26">
        <f>ROUND(('Methodology &amp; Assumptions'!$B$5*V131) + ('Methodology &amp; Assumptions'!$B$6*W131), 2)</f>
        <v/>
      </c>
      <c r="Y131" s="28" t="n">
        <v>7.2</v>
      </c>
      <c r="Z131" s="11" t="inlineStr">
        <is>
          <t>Priority Tier 2 (Balanced Opportunity)</t>
        </is>
      </c>
    </row>
    <row r="132">
      <c r="A132" s="23" t="n">
        <v>2</v>
      </c>
      <c r="B132" s="23" t="n">
        <v>128</v>
      </c>
      <c r="C132" s="23" t="n">
        <v>1128</v>
      </c>
      <c r="D132" s="23" t="inlineStr">
        <is>
          <t>1380300010</t>
        </is>
      </c>
      <c r="E132" s="11" t="inlineStr">
        <is>
          <t>National Capital Region (NCR)</t>
        </is>
      </c>
      <c r="F132" s="11" t="inlineStr">
        <is>
          <t>Fourth District (Not a Province)</t>
        </is>
      </c>
      <c r="G132" s="11" t="inlineStr">
        <is>
          <t>City of Makati</t>
        </is>
      </c>
      <c r="H132" s="11" t="inlineStr">
        <is>
          <t>Guadalupe Viejo</t>
        </is>
      </c>
      <c r="I132" s="24" t="n">
        <v>14.564333</v>
      </c>
      <c r="J132" s="24" t="n">
        <v>121.039668</v>
      </c>
      <c r="K132" s="23" t="inlineStr">
        <is>
          <t>U</t>
        </is>
      </c>
      <c r="L132" s="25" t="n">
        <v>13525</v>
      </c>
      <c r="M132" s="26" t="n">
        <v>3.6</v>
      </c>
      <c r="N132" s="25">
        <f>ROUND(L132/M132, 0)</f>
        <v/>
      </c>
      <c r="O132" s="25">
        <f>ROUND(N132*'Methodology &amp; Assumptions'!$B$7, 0)</f>
        <v/>
      </c>
      <c r="P132" s="23" t="inlineStr">
        <is>
          <t>Single Carrier (Band n50, 100MHz TDD)</t>
        </is>
      </c>
      <c r="Q132" s="27">
        <f>ROUNDUP(O132/'Methodology &amp; Assumptions'!$B$8, 0)</f>
        <v/>
      </c>
      <c r="R132" s="27" t="n">
        <v>1</v>
      </c>
      <c r="S132" s="26" t="n">
        <v>1.21</v>
      </c>
      <c r="T132" s="26" t="n">
        <v>0.34</v>
      </c>
      <c r="U132" s="11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26" t="n">
        <v>67.69</v>
      </c>
      <c r="W132" s="26" t="n">
        <v>62.38</v>
      </c>
      <c r="X132" s="26">
        <f>ROUND(('Methodology &amp; Assumptions'!$B$5*V132) + ('Methodology &amp; Assumptions'!$B$6*W132), 2)</f>
        <v/>
      </c>
      <c r="Y132" s="28" t="n">
        <v>10.9</v>
      </c>
      <c r="Z132" s="11" t="inlineStr">
        <is>
          <t>Priority Tier 2 (Balanced Opportunity)</t>
        </is>
      </c>
    </row>
    <row r="133">
      <c r="A133" s="23" t="n">
        <v>2</v>
      </c>
      <c r="B133" s="23" t="n">
        <v>129</v>
      </c>
      <c r="C133" s="23" t="n">
        <v>1129</v>
      </c>
      <c r="D133" s="23" t="inlineStr">
        <is>
          <t>0405619010</t>
        </is>
      </c>
      <c r="E133" s="11" t="inlineStr">
        <is>
          <t>Region IV-A (CALABARZON)</t>
        </is>
      </c>
      <c r="F133" s="11" t="inlineStr">
        <is>
          <t>Quezon</t>
        </is>
      </c>
      <c r="G133" s="11" t="inlineStr">
        <is>
          <t>Gumaca</t>
        </is>
      </c>
      <c r="H133" s="11" t="inlineStr">
        <is>
          <t>Buensuceso</t>
        </is>
      </c>
      <c r="I133" s="24" t="n">
        <v>13.921155</v>
      </c>
      <c r="J133" s="24" t="n">
        <v>122.104457</v>
      </c>
      <c r="K133" s="23" t="inlineStr">
        <is>
          <t>R</t>
        </is>
      </c>
      <c r="L133" s="25" t="n">
        <v>4024</v>
      </c>
      <c r="M133" s="26" t="n">
        <v>3.8</v>
      </c>
      <c r="N133" s="25">
        <f>ROUND(L133/M133, 0)</f>
        <v/>
      </c>
      <c r="O133" s="25">
        <f>ROUND(N133*'Methodology &amp; Assumptions'!$B$7, 0)</f>
        <v/>
      </c>
      <c r="P133" s="23" t="inlineStr">
        <is>
          <t>Single Carrier (Band n50, 100MHz TDD)</t>
        </is>
      </c>
      <c r="Q133" s="27">
        <f>ROUNDUP(O133/'Methodology &amp; Assumptions'!$B$8, 0)</f>
        <v/>
      </c>
      <c r="R133" s="27" t="n">
        <v>1</v>
      </c>
      <c r="S133" s="26" t="n">
        <v>0.4</v>
      </c>
      <c r="T133" s="26" t="n">
        <v>0.05</v>
      </c>
      <c r="U133" s="11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26" t="n">
        <v>85.45999999999999</v>
      </c>
      <c r="W133" s="26" t="n">
        <v>44.58</v>
      </c>
      <c r="X133" s="26">
        <f>ROUND(('Methodology &amp; Assumptions'!$B$5*V133) + ('Methodology &amp; Assumptions'!$B$6*W133), 2)</f>
        <v/>
      </c>
      <c r="Y133" s="28" t="n">
        <v>7.2</v>
      </c>
      <c r="Z133" s="11" t="inlineStr">
        <is>
          <t>Priority Tier 2 (Balanced Opportunity)</t>
        </is>
      </c>
    </row>
    <row r="134">
      <c r="A134" s="23" t="n">
        <v>2</v>
      </c>
      <c r="B134" s="23" t="n">
        <v>130</v>
      </c>
      <c r="C134" s="23" t="n">
        <v>1130</v>
      </c>
      <c r="D134" s="23" t="inlineStr">
        <is>
          <t>0102815006</t>
        </is>
      </c>
      <c r="E134" s="11" t="inlineStr">
        <is>
          <t>Region I (Ilocos Region)</t>
        </is>
      </c>
      <c r="F134" s="11" t="inlineStr">
        <is>
          <t>Ilocos Norte</t>
        </is>
      </c>
      <c r="G134" s="11" t="inlineStr">
        <is>
          <t>Pagudpud</t>
        </is>
      </c>
      <c r="H134" s="11" t="inlineStr">
        <is>
          <t>Caunayan</t>
        </is>
      </c>
      <c r="I134" s="24" t="n">
        <v>18.057703</v>
      </c>
      <c r="J134" s="24" t="n">
        <v>120.561203</v>
      </c>
      <c r="K134" s="23" t="inlineStr">
        <is>
          <t>R</t>
        </is>
      </c>
      <c r="L134" s="25" t="n">
        <v>1552</v>
      </c>
      <c r="M134" s="26" t="n">
        <v>3.7</v>
      </c>
      <c r="N134" s="25">
        <f>ROUND(L134/M134, 0)</f>
        <v/>
      </c>
      <c r="O134" s="25">
        <f>ROUND(N134*'Methodology &amp; Assumptions'!$B$7, 0)</f>
        <v/>
      </c>
      <c r="P134" s="23" t="inlineStr">
        <is>
          <t>Single Carrier (Band n50, 100MHz TDD)</t>
        </is>
      </c>
      <c r="Q134" s="27">
        <f>ROUNDUP(O134/'Methodology &amp; Assumptions'!$B$8, 0)</f>
        <v/>
      </c>
      <c r="R134" s="27" t="n">
        <v>1</v>
      </c>
      <c r="S134" s="26" t="n">
        <v>0.96</v>
      </c>
      <c r="T134" s="26" t="n">
        <v>0.42</v>
      </c>
      <c r="U134" s="11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26" t="n">
        <v>72.2</v>
      </c>
      <c r="W134" s="26" t="n">
        <v>57.83</v>
      </c>
      <c r="X134" s="26">
        <f>ROUND(('Methodology &amp; Assumptions'!$B$5*V134) + ('Methodology &amp; Assumptions'!$B$6*W134), 2)</f>
        <v/>
      </c>
      <c r="Y134" s="28" t="n">
        <v>8.300000000000001</v>
      </c>
      <c r="Z134" s="11" t="inlineStr">
        <is>
          <t>Priority Tier 2 (Balanced Opportunity)</t>
        </is>
      </c>
    </row>
    <row r="135">
      <c r="A135" s="23" t="n">
        <v>2</v>
      </c>
      <c r="B135" s="23" t="n">
        <v>131</v>
      </c>
      <c r="C135" s="23" t="n">
        <v>1131</v>
      </c>
      <c r="D135" s="23" t="inlineStr">
        <is>
          <t>1380601267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266</t>
        </is>
      </c>
      <c r="I135" s="24" t="n">
        <v>14.607959</v>
      </c>
      <c r="J135" s="24" t="n">
        <v>120.977794</v>
      </c>
      <c r="K135" s="23" t="inlineStr">
        <is>
          <t>U</t>
        </is>
      </c>
      <c r="L135" s="25" t="n">
        <v>2072</v>
      </c>
      <c r="M135" s="26" t="n">
        <v>3.54</v>
      </c>
      <c r="N135" s="25">
        <f>ROUND(L135/M135, 0)</f>
        <v/>
      </c>
      <c r="O135" s="25">
        <f>ROUND(N135*'Methodology &amp; Assumptions'!$B$7, 0)</f>
        <v/>
      </c>
      <c r="P135" s="23" t="inlineStr">
        <is>
          <t>Single Carrier (Band n50, 100MHz TDD)</t>
        </is>
      </c>
      <c r="Q135" s="27">
        <f>ROUNDUP(O135/'Methodology &amp; Assumptions'!$B$8, 0)</f>
        <v/>
      </c>
      <c r="R135" s="27" t="n">
        <v>1</v>
      </c>
      <c r="S135" s="26" t="n">
        <v>0.88</v>
      </c>
      <c r="T135" s="26" t="n">
        <v>0.23</v>
      </c>
      <c r="U135" s="11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26" t="n">
        <v>59.78</v>
      </c>
      <c r="W135" s="26" t="n">
        <v>70.27</v>
      </c>
      <c r="X135" s="26">
        <f>ROUND(('Methodology &amp; Assumptions'!$B$5*V135) + ('Methodology &amp; Assumptions'!$B$6*W135), 2)</f>
        <v/>
      </c>
      <c r="Y135" s="28" t="n">
        <v>10.9</v>
      </c>
      <c r="Z135" s="11" t="inlineStr">
        <is>
          <t>Priority Tier 2 (Balanced Opportunity)</t>
        </is>
      </c>
    </row>
    <row r="136">
      <c r="A136" s="23" t="n">
        <v>2</v>
      </c>
      <c r="B136" s="23" t="n">
        <v>132</v>
      </c>
      <c r="C136" s="23" t="n">
        <v>1132</v>
      </c>
      <c r="D136" s="23" t="inlineStr">
        <is>
          <t>0506216049</t>
        </is>
      </c>
      <c r="E136" s="11" t="inlineStr">
        <is>
          <t>Region V (Bicol Region)</t>
        </is>
      </c>
      <c r="F136" s="11" t="inlineStr">
        <is>
          <t>Sorsogon</t>
        </is>
      </c>
      <c r="G136" s="11" t="inlineStr">
        <is>
          <t>City of Sorsogon</t>
        </is>
      </c>
      <c r="H136" s="11" t="inlineStr">
        <is>
          <t>Maricrum</t>
        </is>
      </c>
      <c r="I136" s="24" t="n">
        <v>13.014033</v>
      </c>
      <c r="J136" s="24" t="n">
        <v>123.967117</v>
      </c>
      <c r="K136" s="23" t="inlineStr">
        <is>
          <t>R</t>
        </is>
      </c>
      <c r="L136" s="25" t="n">
        <v>1659</v>
      </c>
      <c r="M136" s="26" t="n">
        <v>4</v>
      </c>
      <c r="N136" s="25">
        <f>ROUND(L136/M136, 0)</f>
        <v/>
      </c>
      <c r="O136" s="25">
        <f>ROUND(N136*'Methodology &amp; Assumptions'!$B$7, 0)</f>
        <v/>
      </c>
      <c r="P136" s="23" t="inlineStr">
        <is>
          <t>Single Carrier (Band n50, 100MHz TDD)</t>
        </is>
      </c>
      <c r="Q136" s="27">
        <f>ROUNDUP(O136/'Methodology &amp; Assumptions'!$B$8, 0)</f>
        <v/>
      </c>
      <c r="R136" s="27" t="n">
        <v>1</v>
      </c>
      <c r="S136" s="26" t="n">
        <v>6.29</v>
      </c>
      <c r="T136" s="26" t="n">
        <v>2.99</v>
      </c>
      <c r="U136" s="11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26" t="n">
        <v>57.09</v>
      </c>
      <c r="W136" s="26" t="n">
        <v>72.95</v>
      </c>
      <c r="X136" s="26">
        <f>ROUND(('Methodology &amp; Assumptions'!$B$5*V136) + ('Methodology &amp; Assumptions'!$B$6*W136), 2)</f>
        <v/>
      </c>
      <c r="Y136" s="28" t="n">
        <v>23.7</v>
      </c>
      <c r="Z136" s="11" t="inlineStr">
        <is>
          <t>Priority Tier 2 (Balanced Opportunity)</t>
        </is>
      </c>
    </row>
    <row r="137">
      <c r="A137" s="23" t="n">
        <v>2</v>
      </c>
      <c r="B137" s="23" t="n">
        <v>133</v>
      </c>
      <c r="C137" s="23" t="n">
        <v>1133</v>
      </c>
      <c r="D137" s="23" t="inlineStr">
        <is>
          <t>1381300053</t>
        </is>
      </c>
      <c r="E137" s="11" t="inlineStr">
        <is>
          <t>National Capital Region (NCR)</t>
        </is>
      </c>
      <c r="F137" s="11" t="inlineStr">
        <is>
          <t>Second District (Not a Province)</t>
        </is>
      </c>
      <c r="G137" s="11" t="inlineStr">
        <is>
          <t>Quezon City</t>
        </is>
      </c>
      <c r="H137" s="11" t="inlineStr">
        <is>
          <t>Libis</t>
        </is>
      </c>
      <c r="I137" s="24" t="n">
        <v>14.61549</v>
      </c>
      <c r="J137" s="24" t="n">
        <v>121.075</v>
      </c>
      <c r="K137" s="23" t="inlineStr">
        <is>
          <t>U</t>
        </is>
      </c>
      <c r="L137" s="25" t="n">
        <v>4386</v>
      </c>
      <c r="M137" s="26" t="n">
        <v>3.71</v>
      </c>
      <c r="N137" s="25">
        <f>ROUND(L137/M137, 0)</f>
        <v/>
      </c>
      <c r="O137" s="25">
        <f>ROUND(N137*'Methodology &amp; Assumptions'!$B$7, 0)</f>
        <v/>
      </c>
      <c r="P137" s="23" t="inlineStr">
        <is>
          <t>Single Carrier (Band n50, 100MHz TDD)</t>
        </is>
      </c>
      <c r="Q137" s="27">
        <f>ROUNDUP(O137/'Methodology &amp; Assumptions'!$B$8, 0)</f>
        <v/>
      </c>
      <c r="R137" s="27" t="n">
        <v>1</v>
      </c>
      <c r="S137" s="26" t="n">
        <v>1.06</v>
      </c>
      <c r="T137" s="26" t="n">
        <v>0.49</v>
      </c>
      <c r="U137" s="11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26" t="n">
        <v>68.26000000000001</v>
      </c>
      <c r="W137" s="26" t="n">
        <v>61.76</v>
      </c>
      <c r="X137" s="26">
        <f>ROUND(('Methodology &amp; Assumptions'!$B$5*V137) + ('Methodology &amp; Assumptions'!$B$6*W137), 2)</f>
        <v/>
      </c>
      <c r="Y137" s="28" t="n">
        <v>10.9</v>
      </c>
      <c r="Z137" s="11" t="inlineStr">
        <is>
          <t>Priority Tier 2 (Balanced Opportunity)</t>
        </is>
      </c>
    </row>
    <row r="138">
      <c r="A138" s="23" t="n">
        <v>2</v>
      </c>
      <c r="B138" s="23" t="n">
        <v>134</v>
      </c>
      <c r="C138" s="23" t="n">
        <v>1134</v>
      </c>
      <c r="D138" s="23" t="inlineStr">
        <is>
          <t>1400118019</t>
        </is>
      </c>
      <c r="E138" s="11" t="inlineStr">
        <is>
          <t>Cordillera Administrative Region (CAR)</t>
        </is>
      </c>
      <c r="F138" s="11" t="inlineStr">
        <is>
          <t>Abra</t>
        </is>
      </c>
      <c r="G138" s="11" t="inlineStr">
        <is>
          <t>Pidigan</t>
        </is>
      </c>
      <c r="H138" s="11" t="inlineStr">
        <is>
          <t>Yuyeng</t>
        </is>
      </c>
      <c r="I138" s="24" t="n">
        <v>17.527044</v>
      </c>
      <c r="J138" s="24" t="n">
        <v>120.57108</v>
      </c>
      <c r="K138" s="23" t="inlineStr">
        <is>
          <t>R</t>
        </is>
      </c>
      <c r="L138" s="25" t="n">
        <v>423</v>
      </c>
      <c r="M138" s="26" t="n">
        <v>3.8</v>
      </c>
      <c r="N138" s="25">
        <f>ROUND(L138/M138, 0)</f>
        <v/>
      </c>
      <c r="O138" s="25">
        <f>ROUND(N138*'Methodology &amp; Assumptions'!$B$7, 0)</f>
        <v/>
      </c>
      <c r="P138" s="23" t="inlineStr">
        <is>
          <t>Single Carrier (Band n50, 100MHz TDD)</t>
        </is>
      </c>
      <c r="Q138" s="27">
        <f>ROUNDUP(O138/'Methodology &amp; Assumptions'!$B$8, 0)</f>
        <v/>
      </c>
      <c r="R138" s="27" t="n">
        <v>1</v>
      </c>
      <c r="S138" s="26" t="n">
        <v>3.38</v>
      </c>
      <c r="T138" s="26" t="n">
        <v>2.54</v>
      </c>
      <c r="U138" s="11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26" t="n">
        <v>49.76</v>
      </c>
      <c r="W138" s="26" t="n">
        <v>80.26000000000001</v>
      </c>
      <c r="X138" s="26">
        <f>ROUND(('Methodology &amp; Assumptions'!$B$5*V138) + ('Methodology &amp; Assumptions'!$B$6*W138), 2)</f>
        <v/>
      </c>
      <c r="Y138" s="28" t="n">
        <v>10.9</v>
      </c>
      <c r="Z138" s="11" t="inlineStr">
        <is>
          <t>Priority Tier 2 (Balanced Opportunity)</t>
        </is>
      </c>
    </row>
    <row r="139">
      <c r="A139" s="23" t="n">
        <v>2</v>
      </c>
      <c r="B139" s="23" t="n">
        <v>135</v>
      </c>
      <c r="C139" s="23" t="n">
        <v>1135</v>
      </c>
      <c r="D139" s="23" t="inlineStr">
        <is>
          <t>0401006011</t>
        </is>
      </c>
      <c r="E139" s="11" t="inlineStr">
        <is>
          <t>Region IV-A (CALABARZON)</t>
        </is>
      </c>
      <c r="F139" s="11" t="inlineStr">
        <is>
          <t>Batangas</t>
        </is>
      </c>
      <c r="G139" s="11" t="inlineStr">
        <is>
          <t>Bauan</t>
        </is>
      </c>
      <c r="H139" s="11" t="inlineStr">
        <is>
          <t>Bolo</t>
        </is>
      </c>
      <c r="I139" s="24" t="n">
        <v>13.7885</v>
      </c>
      <c r="J139" s="24" t="n">
        <v>120.9781</v>
      </c>
      <c r="K139" s="23" t="inlineStr">
        <is>
          <t>R</t>
        </is>
      </c>
      <c r="L139" s="25" t="n">
        <v>4397</v>
      </c>
      <c r="M139" s="26" t="n">
        <v>3.6</v>
      </c>
      <c r="N139" s="25">
        <f>ROUND(L139/M139, 0)</f>
        <v/>
      </c>
      <c r="O139" s="25">
        <f>ROUND(N139*'Methodology &amp; Assumptions'!$B$7, 0)</f>
        <v/>
      </c>
      <c r="P139" s="23" t="inlineStr">
        <is>
          <t>Single Carrier (Band n50, 100MHz TDD)</t>
        </is>
      </c>
      <c r="Q139" s="27">
        <f>ROUNDUP(O139/'Methodology &amp; Assumptions'!$B$8, 0)</f>
        <v/>
      </c>
      <c r="R139" s="27" t="n">
        <v>1</v>
      </c>
      <c r="S139" s="26" t="n">
        <v>1.33</v>
      </c>
      <c r="T139" s="26" t="n">
        <v>2.46</v>
      </c>
      <c r="U139" s="11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26" t="n">
        <v>80.08</v>
      </c>
      <c r="W139" s="26" t="n">
        <v>49.91</v>
      </c>
      <c r="X139" s="26">
        <f>ROUND(('Methodology &amp; Assumptions'!$B$5*V139) + ('Methodology &amp; Assumptions'!$B$6*W139), 2)</f>
        <v/>
      </c>
      <c r="Y139" s="28" t="n">
        <v>7.2</v>
      </c>
      <c r="Z139" s="11" t="inlineStr">
        <is>
          <t>Priority Tier 2 (Balanced Opportunity)</t>
        </is>
      </c>
    </row>
    <row r="140">
      <c r="A140" s="23" t="n">
        <v>2</v>
      </c>
      <c r="B140" s="23" t="n">
        <v>136</v>
      </c>
      <c r="C140" s="23" t="n">
        <v>1136</v>
      </c>
      <c r="D140" s="23" t="inlineStr">
        <is>
          <t>0403429008</t>
        </is>
      </c>
      <c r="E140" s="11" t="inlineStr">
        <is>
          <t>Region IV-A (CALABARZON)</t>
        </is>
      </c>
      <c r="F140" s="11" t="inlineStr">
        <is>
          <t>Laguna</t>
        </is>
      </c>
      <c r="G140" s="11" t="inlineStr">
        <is>
          <t>Siniloan</t>
        </is>
      </c>
      <c r="H140" s="11" t="inlineStr">
        <is>
          <t>Mendiola</t>
        </is>
      </c>
      <c r="I140" s="24" t="n">
        <v>14.427871</v>
      </c>
      <c r="J140" s="24" t="n">
        <v>121.448431</v>
      </c>
      <c r="K140" s="23" t="inlineStr">
        <is>
          <t>U</t>
        </is>
      </c>
      <c r="L140" s="25" t="n">
        <v>6553</v>
      </c>
      <c r="M140" s="26" t="n">
        <v>3.3</v>
      </c>
      <c r="N140" s="25">
        <f>ROUND(L140/M140, 0)</f>
        <v/>
      </c>
      <c r="O140" s="25">
        <f>ROUND(N140*'Methodology &amp; Assumptions'!$B$7, 0)</f>
        <v/>
      </c>
      <c r="P140" s="23" t="inlineStr">
        <is>
          <t>Single Carrier (Band n50, 100MHz TDD)</t>
        </is>
      </c>
      <c r="Q140" s="27">
        <f>ROUNDUP(O140/'Methodology &amp; Assumptions'!$B$8, 0)</f>
        <v/>
      </c>
      <c r="R140" s="27" t="n">
        <v>1</v>
      </c>
      <c r="S140" s="26" t="n">
        <v>0.87</v>
      </c>
      <c r="T140" s="26" t="n">
        <v>0.83</v>
      </c>
      <c r="U140" s="11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26" t="n">
        <v>78.16</v>
      </c>
      <c r="W140" s="26" t="n">
        <v>51.84</v>
      </c>
      <c r="X140" s="26">
        <f>ROUND(('Methodology &amp; Assumptions'!$B$5*V140) + ('Methodology &amp; Assumptions'!$B$6*W140), 2)</f>
        <v/>
      </c>
      <c r="Y140" s="28" t="n">
        <v>7.2</v>
      </c>
      <c r="Z140" s="11" t="inlineStr">
        <is>
          <t>Priority Tier 2 (Balanced Opportunity)</t>
        </is>
      </c>
    </row>
    <row r="141">
      <c r="A141" s="23" t="n">
        <v>2</v>
      </c>
      <c r="B141" s="23" t="n">
        <v>137</v>
      </c>
      <c r="C141" s="23" t="n">
        <v>1137</v>
      </c>
      <c r="D141" s="23" t="inlineStr">
        <is>
          <t>1380606028</t>
        </is>
      </c>
      <c r="E141" s="11" t="inlineStr">
        <is>
          <t>National Capital Region (NCR)</t>
        </is>
      </c>
      <c r="F141" s="11" t="inlineStr">
        <is>
          <t>First District (Not a Province)</t>
        </is>
      </c>
      <c r="G141" s="11" t="inlineStr">
        <is>
          <t>City of Manila</t>
        </is>
      </c>
      <c r="H141" s="11" t="inlineStr">
        <is>
          <t>Barangay 422</t>
        </is>
      </c>
      <c r="I141" s="24" t="n">
        <v>14.60486</v>
      </c>
      <c r="J141" s="24" t="n">
        <v>121.002495</v>
      </c>
      <c r="K141" s="23" t="inlineStr">
        <is>
          <t>U</t>
        </is>
      </c>
      <c r="L141" s="25" t="n">
        <v>2650</v>
      </c>
      <c r="M141" s="26" t="n">
        <v>4.31</v>
      </c>
      <c r="N141" s="25">
        <f>ROUND(L141/M141, 0)</f>
        <v/>
      </c>
      <c r="O141" s="25">
        <f>ROUND(N141*'Methodology &amp; Assumptions'!$B$7, 0)</f>
        <v/>
      </c>
      <c r="P141" s="23" t="inlineStr">
        <is>
          <t>Single Carrier (Band n50, 100MHz TDD)</t>
        </is>
      </c>
      <c r="Q141" s="27">
        <f>ROUNDUP(O141/'Methodology &amp; Assumptions'!$B$8, 0)</f>
        <v/>
      </c>
      <c r="R141" s="27" t="n">
        <v>1</v>
      </c>
      <c r="S141" s="26" t="n">
        <v>0.38</v>
      </c>
      <c r="T141" s="26" t="n">
        <v>0.18</v>
      </c>
      <c r="U141" s="11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26" t="n">
        <v>60.8</v>
      </c>
      <c r="W141" s="26" t="n">
        <v>69.2</v>
      </c>
      <c r="X141" s="26">
        <f>ROUND(('Methodology &amp; Assumptions'!$B$5*V141) + ('Methodology &amp; Assumptions'!$B$6*W141), 2)</f>
        <v/>
      </c>
      <c r="Y141" s="28" t="n">
        <v>10.9</v>
      </c>
      <c r="Z141" s="11" t="inlineStr">
        <is>
          <t>Priority Tier 2 (Balanced Opportunity)</t>
        </is>
      </c>
    </row>
    <row r="142">
      <c r="A142" s="23" t="n">
        <v>2</v>
      </c>
      <c r="B142" s="23" t="n">
        <v>138</v>
      </c>
      <c r="C142" s="23" t="n">
        <v>1138</v>
      </c>
      <c r="D142" s="23" t="inlineStr">
        <is>
          <t>1004322001</t>
        </is>
      </c>
      <c r="E142" s="11" t="inlineStr">
        <is>
          <t>Region X (Northern Mindanao)</t>
        </is>
      </c>
      <c r="F142" s="11" t="inlineStr">
        <is>
          <t>Misamis Oriental</t>
        </is>
      </c>
      <c r="G142" s="11" t="inlineStr">
        <is>
          <t>Salay</t>
        </is>
      </c>
      <c r="H142" s="11" t="inlineStr">
        <is>
          <t>Alipuaton</t>
        </is>
      </c>
      <c r="I142" s="24" t="n">
        <v>8.8497</v>
      </c>
      <c r="J142" s="24" t="n">
        <v>124.8448</v>
      </c>
      <c r="K142" s="23" t="inlineStr">
        <is>
          <t>R</t>
        </is>
      </c>
      <c r="L142" s="25" t="n">
        <v>1103</v>
      </c>
      <c r="M142" s="26" t="n">
        <v>3.9</v>
      </c>
      <c r="N142" s="25">
        <f>ROUND(L142/M142, 0)</f>
        <v/>
      </c>
      <c r="O142" s="25">
        <f>ROUND(N142*'Methodology &amp; Assumptions'!$B$7, 0)</f>
        <v/>
      </c>
      <c r="P142" s="23" t="inlineStr">
        <is>
          <t>Single Carrier (Band n50, 100MHz TDD)</t>
        </is>
      </c>
      <c r="Q142" s="27">
        <f>ROUNDUP(O142/'Methodology &amp; Assumptions'!$B$8, 0)</f>
        <v/>
      </c>
      <c r="R142" s="27" t="n">
        <v>1</v>
      </c>
      <c r="S142" s="26" t="n">
        <v>6.32</v>
      </c>
      <c r="T142" s="26" t="n">
        <v>6</v>
      </c>
      <c r="U142" s="11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26" t="n">
        <v>52.34</v>
      </c>
      <c r="W142" s="26" t="n">
        <v>77.66</v>
      </c>
      <c r="X142" s="26">
        <f>ROUND(('Methodology &amp; Assumptions'!$B$5*V142) + ('Methodology &amp; Assumptions'!$B$6*W142), 2)</f>
        <v/>
      </c>
      <c r="Y142" s="28" t="n">
        <v>17.4</v>
      </c>
      <c r="Z142" s="11" t="inlineStr">
        <is>
          <t>Priority Tier 2 (Balanced Opportunity)</t>
        </is>
      </c>
    </row>
    <row r="143">
      <c r="A143" s="23" t="n">
        <v>2</v>
      </c>
      <c r="B143" s="23" t="n">
        <v>139</v>
      </c>
      <c r="C143" s="23" t="n">
        <v>1139</v>
      </c>
      <c r="D143" s="23" t="inlineStr">
        <is>
          <t>1380611045</t>
        </is>
      </c>
      <c r="E143" s="11" t="inlineStr">
        <is>
          <t>National Capital Region (NCR)</t>
        </is>
      </c>
      <c r="F143" s="11" t="inlineStr">
        <is>
          <t>First District (Not a Province)</t>
        </is>
      </c>
      <c r="G143" s="11" t="inlineStr">
        <is>
          <t>City of Manila</t>
        </is>
      </c>
      <c r="H143" s="11" t="inlineStr">
        <is>
          <t>Barangay 830</t>
        </is>
      </c>
      <c r="I143" s="24" t="n">
        <v>14.595267</v>
      </c>
      <c r="J143" s="24" t="n">
        <v>121.001574</v>
      </c>
      <c r="K143" s="23" t="inlineStr">
        <is>
          <t>U</t>
        </is>
      </c>
      <c r="L143" s="25" t="n">
        <v>5407</v>
      </c>
      <c r="M143" s="26" t="n">
        <v>9.57</v>
      </c>
      <c r="N143" s="25">
        <f>ROUND(L143/M143, 0)</f>
        <v/>
      </c>
      <c r="O143" s="25">
        <f>ROUND(N143*'Methodology &amp; Assumptions'!$B$7, 0)</f>
        <v/>
      </c>
      <c r="P143" s="23" t="inlineStr">
        <is>
          <t>Single Carrier (Band n50, 100MHz TDD)</t>
        </is>
      </c>
      <c r="Q143" s="27">
        <f>ROUNDUP(O143/'Methodology &amp; Assumptions'!$B$8, 0)</f>
        <v/>
      </c>
      <c r="R143" s="27" t="n">
        <v>1</v>
      </c>
      <c r="S143" s="26" t="n">
        <v>0.82</v>
      </c>
      <c r="T143" s="26" t="n">
        <v>0.19</v>
      </c>
      <c r="U143" s="11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26" t="n">
        <v>59.3</v>
      </c>
      <c r="W143" s="26" t="n">
        <v>70.68000000000001</v>
      </c>
      <c r="X143" s="26">
        <f>ROUND(('Methodology &amp; Assumptions'!$B$5*V143) + ('Methodology &amp; Assumptions'!$B$6*W143), 2)</f>
        <v/>
      </c>
      <c r="Y143" s="28" t="n">
        <v>10.9</v>
      </c>
      <c r="Z143" s="11" t="inlineStr">
        <is>
          <t>Priority Tier 2 (Balanced Opportunity)</t>
        </is>
      </c>
    </row>
    <row r="144">
      <c r="A144" s="23" t="n">
        <v>2</v>
      </c>
      <c r="B144" s="23" t="n">
        <v>140</v>
      </c>
      <c r="C144" s="23" t="n">
        <v>1140</v>
      </c>
      <c r="D144" s="23" t="inlineStr">
        <is>
          <t>1401108002</t>
        </is>
      </c>
      <c r="E144" s="11" t="inlineStr">
        <is>
          <t>Cordillera Administrative Region (CAR)</t>
        </is>
      </c>
      <c r="F144" s="11" t="inlineStr">
        <is>
          <t>Benguet</t>
        </is>
      </c>
      <c r="G144" s="11" t="inlineStr">
        <is>
          <t>Kapangan</t>
        </is>
      </c>
      <c r="H144" s="11" t="inlineStr">
        <is>
          <t>Beleng-Belis</t>
        </is>
      </c>
      <c r="I144" s="24" t="n">
        <v>16.67291</v>
      </c>
      <c r="J144" s="24" t="n">
        <v>120.60262</v>
      </c>
      <c r="K144" s="23" t="inlineStr">
        <is>
          <t>R</t>
        </is>
      </c>
      <c r="L144" s="25" t="n">
        <v>793</v>
      </c>
      <c r="M144" s="26" t="n">
        <v>3.5</v>
      </c>
      <c r="N144" s="25">
        <f>ROUND(L144/M144, 0)</f>
        <v/>
      </c>
      <c r="O144" s="25">
        <f>ROUND(N144*'Methodology &amp; Assumptions'!$B$7, 0)</f>
        <v/>
      </c>
      <c r="P144" s="23" t="inlineStr">
        <is>
          <t>Single Carrier (Band n50, 100MHz TDD)</t>
        </is>
      </c>
      <c r="Q144" s="27">
        <f>ROUNDUP(O144/'Methodology &amp; Assumptions'!$B$8, 0)</f>
        <v/>
      </c>
      <c r="R144" s="27" t="n">
        <v>1</v>
      </c>
      <c r="S144" s="26" t="n">
        <v>6.15</v>
      </c>
      <c r="T144" s="26" t="n">
        <v>17.75</v>
      </c>
      <c r="U144" s="11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26" t="n">
        <v>48.58</v>
      </c>
      <c r="W144" s="26" t="n">
        <v>81.41</v>
      </c>
      <c r="X144" s="26">
        <f>ROUND(('Methodology &amp; Assumptions'!$B$5*V144) + ('Methodology &amp; Assumptions'!$B$6*W144), 2)</f>
        <v/>
      </c>
      <c r="Y144" s="28" t="n">
        <v>10.9</v>
      </c>
      <c r="Z144" s="11" t="inlineStr">
        <is>
          <t>Priority Tier 2 (Balanced Opportunity)</t>
        </is>
      </c>
    </row>
    <row r="145">
      <c r="A145" s="23" t="n">
        <v>2</v>
      </c>
      <c r="B145" s="23" t="n">
        <v>141</v>
      </c>
      <c r="C145" s="23" t="n">
        <v>1141</v>
      </c>
      <c r="D145" s="23" t="inlineStr">
        <is>
          <t>0102814007</t>
        </is>
      </c>
      <c r="E145" s="11" t="inlineStr">
        <is>
          <t>Region I (Ilocos Region)</t>
        </is>
      </c>
      <c r="F145" s="11" t="inlineStr">
        <is>
          <t>Ilocos Norte</t>
        </is>
      </c>
      <c r="G145" s="11" t="inlineStr">
        <is>
          <t>Nueva Era</t>
        </is>
      </c>
      <c r="H145" s="11" t="inlineStr">
        <is>
          <t>Garnaden</t>
        </is>
      </c>
      <c r="I145" s="24" t="n">
        <v>17.867408</v>
      </c>
      <c r="J145" s="24" t="n">
        <v>120.608483</v>
      </c>
      <c r="K145" s="23" t="inlineStr">
        <is>
          <t>R</t>
        </is>
      </c>
      <c r="L145" s="25" t="n">
        <v>722</v>
      </c>
      <c r="M145" s="26" t="n">
        <v>3.7</v>
      </c>
      <c r="N145" s="25">
        <f>ROUND(L145/M145, 0)</f>
        <v/>
      </c>
      <c r="O145" s="25">
        <f>ROUND(N145*'Methodology &amp; Assumptions'!$B$7, 0)</f>
        <v/>
      </c>
      <c r="P145" s="23" t="inlineStr">
        <is>
          <t>Single Carrier (Band n50, 100MHz TDD)</t>
        </is>
      </c>
      <c r="Q145" s="27">
        <f>ROUNDUP(O145/'Methodology &amp; Assumptions'!$B$8, 0)</f>
        <v/>
      </c>
      <c r="R145" s="27" t="n">
        <v>1</v>
      </c>
      <c r="S145" s="26" t="n">
        <v>7.85</v>
      </c>
      <c r="T145" s="26" t="n">
        <v>6.21</v>
      </c>
      <c r="U145" s="11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26" t="n">
        <v>46.55</v>
      </c>
      <c r="W145" s="26" t="n">
        <v>83.42</v>
      </c>
      <c r="X145" s="26">
        <f>ROUND(('Methodology &amp; Assumptions'!$B$5*V145) + ('Methodology &amp; Assumptions'!$B$6*W145), 2)</f>
        <v/>
      </c>
      <c r="Y145" s="28" t="n">
        <v>8.300000000000001</v>
      </c>
      <c r="Z145" s="11" t="inlineStr">
        <is>
          <t>Priority Tier 2 (Balanced Opportunity)</t>
        </is>
      </c>
    </row>
    <row r="146">
      <c r="A146" s="23" t="n">
        <v>2</v>
      </c>
      <c r="B146" s="23" t="n">
        <v>142</v>
      </c>
      <c r="C146" s="23" t="n">
        <v>1142</v>
      </c>
      <c r="D146" s="23" t="inlineStr">
        <is>
          <t>1401108010</t>
        </is>
      </c>
      <c r="E146" s="11" t="inlineStr">
        <is>
          <t>Cordillera Administrative Region (CAR)</t>
        </is>
      </c>
      <c r="F146" s="11" t="inlineStr">
        <is>
          <t>Benguet</t>
        </is>
      </c>
      <c r="G146" s="11" t="inlineStr">
        <is>
          <t>Kapangan</t>
        </is>
      </c>
      <c r="H146" s="11" t="inlineStr">
        <is>
          <t>Gasweling</t>
        </is>
      </c>
      <c r="I146" s="24" t="n">
        <v>16.56607</v>
      </c>
      <c r="J146" s="24" t="n">
        <v>120.545</v>
      </c>
      <c r="K146" s="23" t="inlineStr">
        <is>
          <t>R</t>
        </is>
      </c>
      <c r="L146" s="25" t="n">
        <v>1032</v>
      </c>
      <c r="M146" s="26" t="n">
        <v>3.5</v>
      </c>
      <c r="N146" s="25">
        <f>ROUND(L146/M146, 0)</f>
        <v/>
      </c>
      <c r="O146" s="25">
        <f>ROUND(N146*'Methodology &amp; Assumptions'!$B$7, 0)</f>
        <v/>
      </c>
      <c r="P146" s="23" t="inlineStr">
        <is>
          <t>Single Carrier (Band n50, 100MHz TDD)</t>
        </is>
      </c>
      <c r="Q146" s="27">
        <f>ROUNDUP(O146/'Methodology &amp; Assumptions'!$B$8, 0)</f>
        <v/>
      </c>
      <c r="R146" s="27" t="n">
        <v>1</v>
      </c>
      <c r="S146" s="26" t="n">
        <v>6.51</v>
      </c>
      <c r="T146" s="26" t="n">
        <v>9.359999999999999</v>
      </c>
      <c r="U146" s="11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26" t="n">
        <v>50.23</v>
      </c>
      <c r="W146" s="26" t="n">
        <v>79.72</v>
      </c>
      <c r="X146" s="26">
        <f>ROUND(('Methodology &amp; Assumptions'!$B$5*V146) + ('Methodology &amp; Assumptions'!$B$6*W146), 2)</f>
        <v/>
      </c>
      <c r="Y146" s="28" t="n">
        <v>10.9</v>
      </c>
      <c r="Z146" s="11" t="inlineStr">
        <is>
          <t>Priority Tier 2 (Balanced Opportunity)</t>
        </is>
      </c>
    </row>
    <row r="147">
      <c r="A147" s="23" t="n">
        <v>2</v>
      </c>
      <c r="B147" s="23" t="n">
        <v>143</v>
      </c>
      <c r="C147" s="23" t="n">
        <v>1143</v>
      </c>
      <c r="D147" s="23" t="inlineStr">
        <is>
          <t>0402117019</t>
        </is>
      </c>
      <c r="E147" s="11" t="inlineStr">
        <is>
          <t>Region IV-A (CALABARZON)</t>
        </is>
      </c>
      <c r="F147" s="11" t="inlineStr">
        <is>
          <t>Cavite</t>
        </is>
      </c>
      <c r="G147" s="11" t="inlineStr">
        <is>
          <t>Rosario</t>
        </is>
      </c>
      <c r="H147" s="11" t="inlineStr">
        <is>
          <t>Silangan II</t>
        </is>
      </c>
      <c r="I147" s="24" t="n">
        <v>14.416045</v>
      </c>
      <c r="J147" s="24" t="n">
        <v>120.858149</v>
      </c>
      <c r="K147" s="23" t="inlineStr">
        <is>
          <t>R</t>
        </is>
      </c>
      <c r="L147" s="25" t="n">
        <v>4077</v>
      </c>
      <c r="M147" s="26" t="n">
        <v>3.4</v>
      </c>
      <c r="N147" s="25">
        <f>ROUND(L147/M147, 0)</f>
        <v/>
      </c>
      <c r="O147" s="25">
        <f>ROUND(N147*'Methodology &amp; Assumptions'!$B$7, 0)</f>
        <v/>
      </c>
      <c r="P147" s="23" t="inlineStr">
        <is>
          <t>Single Carrier (Band n50, 100MHz TDD)</t>
        </is>
      </c>
      <c r="Q147" s="27">
        <f>ROUNDUP(O147/'Methodology &amp; Assumptions'!$B$8, 0)</f>
        <v/>
      </c>
      <c r="R147" s="27" t="n">
        <v>1</v>
      </c>
      <c r="S147" s="26" t="n">
        <v>2.03</v>
      </c>
      <c r="T147" s="26" t="n">
        <v>2.28</v>
      </c>
      <c r="U147" s="11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26" t="n">
        <v>77.62</v>
      </c>
      <c r="W147" s="26" t="n">
        <v>52.32</v>
      </c>
      <c r="X147" s="26">
        <f>ROUND(('Methodology &amp; Assumptions'!$B$5*V147) + ('Methodology &amp; Assumptions'!$B$6*W147), 2)</f>
        <v/>
      </c>
      <c r="Y147" s="28" t="n">
        <v>7.2</v>
      </c>
      <c r="Z147" s="11" t="inlineStr">
        <is>
          <t>Priority Tier 2 (Balanced Opportunity)</t>
        </is>
      </c>
    </row>
    <row r="148">
      <c r="A148" s="23" t="n">
        <v>2</v>
      </c>
      <c r="B148" s="23" t="n">
        <v>144</v>
      </c>
      <c r="C148" s="23" t="n">
        <v>1144</v>
      </c>
      <c r="D148" s="23" t="inlineStr">
        <is>
          <t>1380601045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45</t>
        </is>
      </c>
      <c r="I148" s="24" t="n">
        <v>14.607635</v>
      </c>
      <c r="J148" s="24" t="n">
        <v>120.964907</v>
      </c>
      <c r="K148" s="23" t="inlineStr">
        <is>
          <t>U</t>
        </is>
      </c>
      <c r="L148" s="25" t="n">
        <v>2312</v>
      </c>
      <c r="M148" s="26" t="n">
        <v>4.9</v>
      </c>
      <c r="N148" s="25">
        <f>ROUND(L148/M148, 0)</f>
        <v/>
      </c>
      <c r="O148" s="25">
        <f>ROUND(N148*'Methodology &amp; Assumptions'!$B$7, 0)</f>
        <v/>
      </c>
      <c r="P148" s="23" t="inlineStr">
        <is>
          <t>Single Carrier (Band n50, 100MHz TDD)</t>
        </is>
      </c>
      <c r="Q148" s="27">
        <f>ROUNDUP(O148/'Methodology &amp; Assumptions'!$B$8, 0)</f>
        <v/>
      </c>
      <c r="R148" s="27" t="n">
        <v>1</v>
      </c>
      <c r="S148" s="26" t="n">
        <v>0.52</v>
      </c>
      <c r="T148" s="26" t="n">
        <v>0.5</v>
      </c>
      <c r="U148" s="11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26" t="n">
        <v>56.3</v>
      </c>
      <c r="W148" s="26" t="n">
        <v>73.63</v>
      </c>
      <c r="X148" s="26">
        <f>ROUND(('Methodology &amp; Assumptions'!$B$5*V148) + ('Methodology &amp; Assumptions'!$B$6*W148), 2)</f>
        <v/>
      </c>
      <c r="Y148" s="28" t="n">
        <v>10.9</v>
      </c>
      <c r="Z148" s="11" t="inlineStr">
        <is>
          <t>Priority Tier 2 (Balanced Opportunity)</t>
        </is>
      </c>
    </row>
    <row r="149">
      <c r="A149" s="23" t="n">
        <v>2</v>
      </c>
      <c r="B149" s="23" t="n">
        <v>145</v>
      </c>
      <c r="C149" s="23" t="n">
        <v>1145</v>
      </c>
      <c r="D149" s="23" t="inlineStr">
        <is>
          <t>1705312009</t>
        </is>
      </c>
      <c r="E149" s="11" t="inlineStr">
        <is>
          <t>MIMAROPA Region</t>
        </is>
      </c>
      <c r="F149" s="11" t="inlineStr">
        <is>
          <t>Palawan</t>
        </is>
      </c>
      <c r="G149" s="11" t="inlineStr">
        <is>
          <t>El Nido</t>
        </is>
      </c>
      <c r="H149" s="11" t="inlineStr">
        <is>
          <t>New Ibajay</t>
        </is>
      </c>
      <c r="I149" s="24" t="n">
        <v>11.189379</v>
      </c>
      <c r="J149" s="24" t="n">
        <v>119.509029</v>
      </c>
      <c r="K149" s="23" t="inlineStr">
        <is>
          <t>R</t>
        </is>
      </c>
      <c r="L149" s="25" t="n">
        <v>4156</v>
      </c>
      <c r="M149" s="26" t="n">
        <v>3.9</v>
      </c>
      <c r="N149" s="25">
        <f>ROUND(L149/M149, 0)</f>
        <v/>
      </c>
      <c r="O149" s="25">
        <f>ROUND(N149*'Methodology &amp; Assumptions'!$B$7, 0)</f>
        <v/>
      </c>
      <c r="P149" s="23" t="inlineStr">
        <is>
          <t>Single Carrier (Band n50, 100MHz TDD)</t>
        </is>
      </c>
      <c r="Q149" s="27">
        <f>ROUNDUP(O149/'Methodology &amp; Assumptions'!$B$8, 0)</f>
        <v/>
      </c>
      <c r="R149" s="27" t="n">
        <v>1</v>
      </c>
      <c r="S149" s="26" t="n">
        <v>12.95</v>
      </c>
      <c r="T149" s="26" t="n">
        <v>40.77</v>
      </c>
      <c r="U149" s="11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26" t="n">
        <v>63.12</v>
      </c>
      <c r="W149" s="26" t="n">
        <v>66.8</v>
      </c>
      <c r="X149" s="26">
        <f>ROUND(('Methodology &amp; Assumptions'!$B$5*V149) + ('Methodology &amp; Assumptions'!$B$6*W149), 2)</f>
        <v/>
      </c>
      <c r="Y149" s="28" t="n">
        <v>15</v>
      </c>
      <c r="Z149" s="11" t="inlineStr">
        <is>
          <t>Priority Tier 2 (Balanced Opportunity)</t>
        </is>
      </c>
    </row>
    <row r="150">
      <c r="A150" s="23" t="n">
        <v>2</v>
      </c>
      <c r="B150" s="23" t="n">
        <v>146</v>
      </c>
      <c r="C150" s="23" t="n">
        <v>1146</v>
      </c>
      <c r="D150" s="23" t="inlineStr">
        <is>
          <t>0403413011</t>
        </is>
      </c>
      <c r="E150" s="11" t="inlineStr">
        <is>
          <t>Region IV-A (CALABARZON)</t>
        </is>
      </c>
      <c r="F150" s="11" t="inlineStr">
        <is>
          <t>Laguna</t>
        </is>
      </c>
      <c r="G150" s="11" t="inlineStr">
        <is>
          <t>Lumban</t>
        </is>
      </c>
      <c r="H150" s="11" t="inlineStr">
        <is>
          <t>Primera Pulo</t>
        </is>
      </c>
      <c r="I150" s="24" t="n">
        <v>14.300815</v>
      </c>
      <c r="J150" s="24" t="n">
        <v>121.459252</v>
      </c>
      <c r="K150" s="23" t="inlineStr">
        <is>
          <t>R</t>
        </is>
      </c>
      <c r="L150" s="25" t="n">
        <v>2306</v>
      </c>
      <c r="M150" s="26" t="n">
        <v>3.3</v>
      </c>
      <c r="N150" s="25">
        <f>ROUND(L150/M150, 0)</f>
        <v/>
      </c>
      <c r="O150" s="25">
        <f>ROUND(N150*'Methodology &amp; Assumptions'!$B$7, 0)</f>
        <v/>
      </c>
      <c r="P150" s="23" t="inlineStr">
        <is>
          <t>Single Carrier (Band n50, 100MHz TDD)</t>
        </is>
      </c>
      <c r="Q150" s="27">
        <f>ROUNDUP(O150/'Methodology &amp; Assumptions'!$B$8, 0)</f>
        <v/>
      </c>
      <c r="R150" s="27" t="n">
        <v>1</v>
      </c>
      <c r="S150" s="26" t="n">
        <v>0.61</v>
      </c>
      <c r="T150" s="26" t="n">
        <v>0.58</v>
      </c>
      <c r="U150" s="11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26" t="n">
        <v>81.7</v>
      </c>
      <c r="W150" s="26" t="n">
        <v>48.19</v>
      </c>
      <c r="X150" s="26">
        <f>ROUND(('Methodology &amp; Assumptions'!$B$5*V150) + ('Methodology &amp; Assumptions'!$B$6*W150), 2)</f>
        <v/>
      </c>
      <c r="Y150" s="28" t="n">
        <v>7.2</v>
      </c>
      <c r="Z150" s="11" t="inlineStr">
        <is>
          <t>Priority Tier 2 (Balanced Opportunity)</t>
        </is>
      </c>
    </row>
    <row r="151">
      <c r="A151" s="23" t="n">
        <v>2</v>
      </c>
      <c r="B151" s="23" t="n">
        <v>147</v>
      </c>
      <c r="C151" s="23" t="n">
        <v>1147</v>
      </c>
      <c r="D151" s="23" t="inlineStr">
        <is>
          <t>1102315009</t>
        </is>
      </c>
      <c r="E151" s="11" t="inlineStr">
        <is>
          <t>Region XI (Davao Region)</t>
        </is>
      </c>
      <c r="F151" s="11" t="inlineStr">
        <is>
          <t>Davao del Norte</t>
        </is>
      </c>
      <c r="G151" s="11" t="inlineStr">
        <is>
          <t>City of Panabo</t>
        </is>
      </c>
      <c r="H151" s="11" t="inlineStr">
        <is>
          <t>Gredu</t>
        </is>
      </c>
      <c r="I151" s="24" t="n">
        <v>7.29684</v>
      </c>
      <c r="J151" s="24" t="n">
        <v>125.678634</v>
      </c>
      <c r="K151" s="23" t="inlineStr">
        <is>
          <t>U</t>
        </is>
      </c>
      <c r="L151" s="25" t="n">
        <v>16525</v>
      </c>
      <c r="M151" s="26" t="n">
        <v>3.7</v>
      </c>
      <c r="N151" s="25">
        <f>ROUND(L151/M151, 0)</f>
        <v/>
      </c>
      <c r="O151" s="25">
        <f>ROUND(N151*'Methodology &amp; Assumptions'!$B$7, 0)</f>
        <v/>
      </c>
      <c r="P151" s="23" t="inlineStr">
        <is>
          <t>Single Carrier (Band n50, 100MHz TDD)</t>
        </is>
      </c>
      <c r="Q151" s="27">
        <f>ROUNDUP(O151/'Methodology &amp; Assumptions'!$B$8, 0)</f>
        <v/>
      </c>
      <c r="R151" s="27" t="n">
        <v>1</v>
      </c>
      <c r="S151" s="26" t="n">
        <v>0.46</v>
      </c>
      <c r="T151" s="26" t="n">
        <v>0.17</v>
      </c>
      <c r="U151" s="11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26" t="n">
        <v>79.87</v>
      </c>
      <c r="W151" s="26" t="n">
        <v>50.04</v>
      </c>
      <c r="X151" s="26">
        <f>ROUND(('Methodology &amp; Assumptions'!$B$5*V151) + ('Methodology &amp; Assumptions'!$B$6*W151), 2)</f>
        <v/>
      </c>
      <c r="Y151" s="28" t="n">
        <v>17.4</v>
      </c>
      <c r="Z151" s="11" t="inlineStr">
        <is>
          <t>Priority Tier 2 (Balanced Opportunity)</t>
        </is>
      </c>
    </row>
    <row r="152">
      <c r="A152" s="23" t="n">
        <v>2</v>
      </c>
      <c r="B152" s="23" t="n">
        <v>148</v>
      </c>
      <c r="C152" s="23" t="n">
        <v>1148</v>
      </c>
      <c r="D152" s="23" t="inlineStr">
        <is>
          <t>1381300002</t>
        </is>
      </c>
      <c r="E152" s="11" t="inlineStr">
        <is>
          <t>National Capital Region (NCR)</t>
        </is>
      </c>
      <c r="F152" s="11" t="inlineStr">
        <is>
          <t>Second District (Not a Province)</t>
        </is>
      </c>
      <c r="G152" s="11" t="inlineStr">
        <is>
          <t>Quezon City</t>
        </is>
      </c>
      <c r="H152" s="11" t="inlineStr">
        <is>
          <t>Amihan</t>
        </is>
      </c>
      <c r="I152" s="24" t="n">
        <v>14.63381</v>
      </c>
      <c r="J152" s="24" t="n">
        <v>121.0666</v>
      </c>
      <c r="K152" s="23" t="inlineStr">
        <is>
          <t>U</t>
        </is>
      </c>
      <c r="L152" s="25" t="n">
        <v>4174</v>
      </c>
      <c r="M152" s="26" t="n">
        <v>3.78</v>
      </c>
      <c r="N152" s="25">
        <f>ROUND(L152/M152, 0)</f>
        <v/>
      </c>
      <c r="O152" s="25">
        <f>ROUND(N152*'Methodology &amp; Assumptions'!$B$7, 0)</f>
        <v/>
      </c>
      <c r="P152" s="23" t="inlineStr">
        <is>
          <t>Single Carrier (Band n50, 100MHz TDD)</t>
        </is>
      </c>
      <c r="Q152" s="27">
        <f>ROUNDUP(O152/'Methodology &amp; Assumptions'!$B$8, 0)</f>
        <v/>
      </c>
      <c r="R152" s="27" t="n">
        <v>1</v>
      </c>
      <c r="S152" s="26" t="n">
        <v>0.86</v>
      </c>
      <c r="T152" s="26" t="n">
        <v>0.5600000000000001</v>
      </c>
      <c r="U152" s="11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26" t="n">
        <v>69.03</v>
      </c>
      <c r="W152" s="26" t="n">
        <v>60.87</v>
      </c>
      <c r="X152" s="26">
        <f>ROUND(('Methodology &amp; Assumptions'!$B$5*V152) + ('Methodology &amp; Assumptions'!$B$6*W152), 2)</f>
        <v/>
      </c>
      <c r="Y152" s="28" t="n">
        <v>10.9</v>
      </c>
      <c r="Z152" s="11" t="inlineStr">
        <is>
          <t>Priority Tier 2 (Balanced Opportunity)</t>
        </is>
      </c>
    </row>
    <row r="153">
      <c r="A153" s="23" t="n">
        <v>2</v>
      </c>
      <c r="B153" s="23" t="n">
        <v>149</v>
      </c>
      <c r="C153" s="23" t="n">
        <v>1149</v>
      </c>
      <c r="D153" s="23" t="inlineStr">
        <is>
          <t>0403405043</t>
        </is>
      </c>
      <c r="E153" s="11" t="inlineStr">
        <is>
          <t>Region IV-A (CALABARZON)</t>
        </is>
      </c>
      <c r="F153" s="11" t="inlineStr">
        <is>
          <t>Laguna</t>
        </is>
      </c>
      <c r="G153" s="11" t="inlineStr">
        <is>
          <t>City of Calamba</t>
        </is>
      </c>
      <c r="H153" s="11" t="inlineStr">
        <is>
          <t>Barangay 6</t>
        </is>
      </c>
      <c r="I153" s="24" t="n">
        <v>14.212453</v>
      </c>
      <c r="J153" s="24" t="n">
        <v>121.16385</v>
      </c>
      <c r="K153" s="23" t="inlineStr">
        <is>
          <t>U</t>
        </is>
      </c>
      <c r="L153" s="25" t="n">
        <v>1856</v>
      </c>
      <c r="M153" s="26" t="n">
        <v>3.3</v>
      </c>
      <c r="N153" s="25">
        <f>ROUND(L153/M153, 0)</f>
        <v/>
      </c>
      <c r="O153" s="25">
        <f>ROUND(N153*'Methodology &amp; Assumptions'!$B$7, 0)</f>
        <v/>
      </c>
      <c r="P153" s="23" t="inlineStr">
        <is>
          <t>Single Carrier (Band n50, 100MHz TDD)</t>
        </is>
      </c>
      <c r="Q153" s="27">
        <f>ROUNDUP(O153/'Methodology &amp; Assumptions'!$B$8, 0)</f>
        <v/>
      </c>
      <c r="R153" s="27" t="n">
        <v>1</v>
      </c>
      <c r="S153" s="26" t="n">
        <v>2.55</v>
      </c>
      <c r="T153" s="26" t="n">
        <v>0.19</v>
      </c>
      <c r="U153" s="11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26" t="n">
        <v>63.99</v>
      </c>
      <c r="W153" s="26" t="n">
        <v>65.91</v>
      </c>
      <c r="X153" s="26">
        <f>ROUND(('Methodology &amp; Assumptions'!$B$5*V153) + ('Methodology &amp; Assumptions'!$B$6*W153), 2)</f>
        <v/>
      </c>
      <c r="Y153" s="28" t="n">
        <v>7.2</v>
      </c>
      <c r="Z153" s="11" t="inlineStr">
        <is>
          <t>Priority Tier 2 (Balanced Opportunity)</t>
        </is>
      </c>
    </row>
    <row r="154">
      <c r="A154" s="23" t="n">
        <v>2</v>
      </c>
      <c r="B154" s="23" t="n">
        <v>150</v>
      </c>
      <c r="C154" s="23" t="n">
        <v>1150</v>
      </c>
      <c r="D154" s="23" t="inlineStr">
        <is>
          <t>1408102008</t>
        </is>
      </c>
      <c r="E154" s="11" t="inlineStr">
        <is>
          <t>Cordillera Administrative Region (CAR)</t>
        </is>
      </c>
      <c r="F154" s="11" t="inlineStr">
        <is>
          <t>Apayao</t>
        </is>
      </c>
      <c r="G154" s="11" t="inlineStr">
        <is>
          <t>Conner</t>
        </is>
      </c>
      <c r="H154" s="11" t="inlineStr">
        <is>
          <t>Karikitan</t>
        </is>
      </c>
      <c r="I154" s="24" t="n">
        <v>17.734948</v>
      </c>
      <c r="J154" s="24" t="n">
        <v>121.337018</v>
      </c>
      <c r="K154" s="23" t="inlineStr">
        <is>
          <t>R</t>
        </is>
      </c>
      <c r="L154" s="25" t="n">
        <v>1935</v>
      </c>
      <c r="M154" s="26" t="n">
        <v>4.2</v>
      </c>
      <c r="N154" s="25">
        <f>ROUND(L154/M154, 0)</f>
        <v/>
      </c>
      <c r="O154" s="25">
        <f>ROUND(N154*'Methodology &amp; Assumptions'!$B$7, 0)</f>
        <v/>
      </c>
      <c r="P154" s="23" t="inlineStr">
        <is>
          <t>Single Carrier (Band n50, 100MHz TDD)</t>
        </is>
      </c>
      <c r="Q154" s="27">
        <f>ROUNDUP(O154/'Methodology &amp; Assumptions'!$B$8, 0)</f>
        <v/>
      </c>
      <c r="R154" s="27" t="n">
        <v>1</v>
      </c>
      <c r="S154" s="26" t="n">
        <v>7.02</v>
      </c>
      <c r="T154" s="26" t="n">
        <v>3.11</v>
      </c>
      <c r="U154" s="11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26" t="n">
        <v>54.96</v>
      </c>
      <c r="W154" s="26" t="n">
        <v>74.94</v>
      </c>
      <c r="X154" s="26">
        <f>ROUND(('Methodology &amp; Assumptions'!$B$5*V154) + ('Methodology &amp; Assumptions'!$B$6*W154), 2)</f>
        <v/>
      </c>
      <c r="Y154" s="28" t="n">
        <v>10.9</v>
      </c>
      <c r="Z154" s="11" t="inlineStr">
        <is>
          <t>Priority Tier 2 (Balanced Opportunity)</t>
        </is>
      </c>
    </row>
    <row r="155">
      <c r="A155" s="23" t="n">
        <v>2</v>
      </c>
      <c r="B155" s="23" t="n">
        <v>151</v>
      </c>
      <c r="C155" s="23" t="n">
        <v>1151</v>
      </c>
      <c r="D155" s="23" t="inlineStr">
        <is>
          <t>1402706003</t>
        </is>
      </c>
      <c r="E155" s="11" t="inlineStr">
        <is>
          <t>Cordillera Administrative Region (CAR)</t>
        </is>
      </c>
      <c r="F155" s="11" t="inlineStr">
        <is>
          <t>Ifugao</t>
        </is>
      </c>
      <c r="G155" s="11" t="inlineStr">
        <is>
          <t>Mayoyao</t>
        </is>
      </c>
      <c r="H155" s="11" t="inlineStr">
        <is>
          <t>Ayangan</t>
        </is>
      </c>
      <c r="I155" s="24" t="n">
        <v>16.9013</v>
      </c>
      <c r="J155" s="24" t="n">
        <v>121.189183</v>
      </c>
      <c r="K155" s="23" t="inlineStr">
        <is>
          <t>R</t>
        </is>
      </c>
      <c r="L155" s="25" t="n">
        <v>499</v>
      </c>
      <c r="M155" s="26" t="n">
        <v>3.9</v>
      </c>
      <c r="N155" s="25">
        <f>ROUND(L155/M155, 0)</f>
        <v/>
      </c>
      <c r="O155" s="25">
        <f>ROUND(N155*'Methodology &amp; Assumptions'!$B$7, 0)</f>
        <v/>
      </c>
      <c r="P155" s="23" t="inlineStr">
        <is>
          <t>Single Carrier (Band n50, 100MHz TDD)</t>
        </is>
      </c>
      <c r="Q155" s="27">
        <f>ROUNDUP(O155/'Methodology &amp; Assumptions'!$B$8, 0)</f>
        <v/>
      </c>
      <c r="R155" s="27" t="n">
        <v>1</v>
      </c>
      <c r="S155" s="26" t="n">
        <v>2.83</v>
      </c>
      <c r="T155" s="26" t="n">
        <v>12.47</v>
      </c>
      <c r="U155" s="11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26" t="n">
        <v>51.69</v>
      </c>
      <c r="W155" s="26" t="n">
        <v>78.20999999999999</v>
      </c>
      <c r="X155" s="26">
        <f>ROUND(('Methodology &amp; Assumptions'!$B$5*V155) + ('Methodology &amp; Assumptions'!$B$6*W155), 2)</f>
        <v/>
      </c>
      <c r="Y155" s="28" t="n">
        <v>10.9</v>
      </c>
      <c r="Z155" s="11" t="inlineStr">
        <is>
          <t>Priority Tier 2 (Balanced Opportunity)</t>
        </is>
      </c>
    </row>
    <row r="156">
      <c r="A156" s="23" t="n">
        <v>2</v>
      </c>
      <c r="B156" s="23" t="n">
        <v>152</v>
      </c>
      <c r="C156" s="23" t="n">
        <v>1152</v>
      </c>
      <c r="D156" s="23" t="inlineStr">
        <is>
          <t>1381300006</t>
        </is>
      </c>
      <c r="E156" s="11" t="inlineStr">
        <is>
          <t>National Capital Region (NCR)</t>
        </is>
      </c>
      <c r="F156" s="11" t="inlineStr">
        <is>
          <t>Second District (Not a Province)</t>
        </is>
      </c>
      <c r="G156" s="11" t="inlineStr">
        <is>
          <t>Quezon City</t>
        </is>
      </c>
      <c r="H156" s="11" t="inlineStr">
        <is>
          <t>Bagbag</t>
        </is>
      </c>
      <c r="I156" s="24" t="n">
        <v>14.69655</v>
      </c>
      <c r="J156" s="24" t="n">
        <v>121.0307</v>
      </c>
      <c r="K156" s="23" t="inlineStr">
        <is>
          <t>U</t>
        </is>
      </c>
      <c r="L156" s="25" t="n">
        <v>66268</v>
      </c>
      <c r="M156" s="26" t="n">
        <v>3.98</v>
      </c>
      <c r="N156" s="25">
        <f>ROUND(L156/M156, 0)</f>
        <v/>
      </c>
      <c r="O156" s="25">
        <f>ROUND(N156*'Methodology &amp; Assumptions'!$B$7, 0)</f>
        <v/>
      </c>
      <c r="P156" s="23" t="inlineStr">
        <is>
          <t>Single Carrier (Band n50, 100MHz TDD)</t>
        </is>
      </c>
      <c r="Q156" s="27">
        <f>ROUNDUP(O156/'Methodology &amp; Assumptions'!$B$8, 0)</f>
        <v/>
      </c>
      <c r="R156" s="27" t="n">
        <v>1</v>
      </c>
      <c r="S156" s="26" t="n">
        <v>0.24</v>
      </c>
      <c r="T156" s="26" t="n">
        <v>0.17</v>
      </c>
      <c r="U156" s="11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26" t="n">
        <v>65.90000000000001</v>
      </c>
      <c r="W156" s="26" t="n">
        <v>63.97</v>
      </c>
      <c r="X156" s="26">
        <f>ROUND(('Methodology &amp; Assumptions'!$B$5*V156) + ('Methodology &amp; Assumptions'!$B$6*W156), 2)</f>
        <v/>
      </c>
      <c r="Y156" s="28" t="n">
        <v>10.9</v>
      </c>
      <c r="Z156" s="11" t="inlineStr">
        <is>
          <t>Priority Tier 2 (Balanced Opportunity)</t>
        </is>
      </c>
    </row>
    <row r="157">
      <c r="A157" s="23" t="n">
        <v>2</v>
      </c>
      <c r="B157" s="23" t="n">
        <v>153</v>
      </c>
      <c r="C157" s="23" t="n">
        <v>1153</v>
      </c>
      <c r="D157" s="23" t="inlineStr">
        <is>
          <t>1380400019</t>
        </is>
      </c>
      <c r="E157" s="11" t="inlineStr">
        <is>
          <t>National Capital Region (NCR)</t>
        </is>
      </c>
      <c r="F157" s="11" t="inlineStr">
        <is>
          <t>Third District (Not a Province)</t>
        </is>
      </c>
      <c r="G157" s="11" t="inlineStr">
        <is>
          <t>City of Malabon</t>
        </is>
      </c>
      <c r="H157" s="11" t="inlineStr">
        <is>
          <t>Tinajeros</t>
        </is>
      </c>
      <c r="I157" s="24" t="n">
        <v>14.671657</v>
      </c>
      <c r="J157" s="24" t="n">
        <v>120.970451</v>
      </c>
      <c r="K157" s="23" t="inlineStr">
        <is>
          <t>U</t>
        </is>
      </c>
      <c r="L157" s="25" t="n">
        <v>18677</v>
      </c>
      <c r="M157" s="26" t="n">
        <v>3.49</v>
      </c>
      <c r="N157" s="25">
        <f>ROUND(L157/M157, 0)</f>
        <v/>
      </c>
      <c r="O157" s="25">
        <f>ROUND(N157*'Methodology &amp; Assumptions'!$B$7, 0)</f>
        <v/>
      </c>
      <c r="P157" s="23" t="inlineStr">
        <is>
          <t>Single Carrier (Band n50, 100MHz TDD)</t>
        </is>
      </c>
      <c r="Q157" s="27">
        <f>ROUNDUP(O157/'Methodology &amp; Assumptions'!$B$8, 0)</f>
        <v/>
      </c>
      <c r="R157" s="27" t="n">
        <v>1</v>
      </c>
      <c r="S157" s="26" t="n">
        <v>0.52</v>
      </c>
      <c r="T157" s="26" t="n">
        <v>0.21</v>
      </c>
      <c r="U157" s="11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26" t="n">
        <v>68.48</v>
      </c>
      <c r="W157" s="26" t="n">
        <v>61.37</v>
      </c>
      <c r="X157" s="26">
        <f>ROUND(('Methodology &amp; Assumptions'!$B$5*V157) + ('Methodology &amp; Assumptions'!$B$6*W157), 2)</f>
        <v/>
      </c>
      <c r="Y157" s="28" t="n">
        <v>10.9</v>
      </c>
      <c r="Z157" s="11" t="inlineStr">
        <is>
          <t>Priority Tier 2 (Balanced Opportunity)</t>
        </is>
      </c>
    </row>
    <row r="158">
      <c r="A158" s="23" t="n">
        <v>2</v>
      </c>
      <c r="B158" s="23" t="n">
        <v>154</v>
      </c>
      <c r="C158" s="23" t="n">
        <v>1154</v>
      </c>
      <c r="D158" s="23" t="inlineStr">
        <is>
          <t>1380601094</t>
        </is>
      </c>
      <c r="E158" s="11" t="inlineStr">
        <is>
          <t>National Capital Region (NCR)</t>
        </is>
      </c>
      <c r="F158" s="11" t="inlineStr">
        <is>
          <t>First District (Not a Province)</t>
        </is>
      </c>
      <c r="G158" s="11" t="inlineStr">
        <is>
          <t>City of Manila</t>
        </is>
      </c>
      <c r="H158" s="11" t="inlineStr">
        <is>
          <t>Barangay 94</t>
        </is>
      </c>
      <c r="I158" s="24" t="n">
        <v>14.622094</v>
      </c>
      <c r="J158" s="24" t="n">
        <v>120.966312</v>
      </c>
      <c r="K158" s="23" t="inlineStr">
        <is>
          <t>U</t>
        </is>
      </c>
      <c r="L158" s="25" t="n">
        <v>2117</v>
      </c>
      <c r="M158" s="26" t="n">
        <v>4.36</v>
      </c>
      <c r="N158" s="25">
        <f>ROUND(L158/M158, 0)</f>
        <v/>
      </c>
      <c r="O158" s="25">
        <f>ROUND(N158*'Methodology &amp; Assumptions'!$B$7, 0)</f>
        <v/>
      </c>
      <c r="P158" s="23" t="inlineStr">
        <is>
          <t>Single Carrier (Band n50, 100MHz TDD)</t>
        </is>
      </c>
      <c r="Q158" s="27">
        <f>ROUNDUP(O158/'Methodology &amp; Assumptions'!$B$8, 0)</f>
        <v/>
      </c>
      <c r="R158" s="27" t="n">
        <v>1</v>
      </c>
      <c r="S158" s="26" t="n">
        <v>0.6</v>
      </c>
      <c r="T158" s="26" t="n">
        <v>0.23</v>
      </c>
      <c r="U158" s="11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26" t="n">
        <v>56.73</v>
      </c>
      <c r="W158" s="26" t="n">
        <v>73.12</v>
      </c>
      <c r="X158" s="26">
        <f>ROUND(('Methodology &amp; Assumptions'!$B$5*V158) + ('Methodology &amp; Assumptions'!$B$6*W158), 2)</f>
        <v/>
      </c>
      <c r="Y158" s="28" t="n">
        <v>10.9</v>
      </c>
      <c r="Z158" s="11" t="inlineStr">
        <is>
          <t>Priority Tier 2 (Balanced Opportunity)</t>
        </is>
      </c>
    </row>
    <row r="159">
      <c r="A159" s="23" t="n">
        <v>2</v>
      </c>
      <c r="B159" s="23" t="n">
        <v>155</v>
      </c>
      <c r="C159" s="23" t="n">
        <v>1155</v>
      </c>
      <c r="D159" s="23" t="inlineStr">
        <is>
          <t>0301410031</t>
        </is>
      </c>
      <c r="E159" s="11" t="inlineStr">
        <is>
          <t>Region III (Central Luzon)</t>
        </is>
      </c>
      <c r="F159" s="11" t="inlineStr">
        <is>
          <t>Bulacan</t>
        </is>
      </c>
      <c r="G159" s="11" t="inlineStr">
        <is>
          <t>City of Malolos</t>
        </is>
      </c>
      <c r="H159" s="11" t="inlineStr">
        <is>
          <t>Mambog</t>
        </is>
      </c>
      <c r="I159" s="24" t="n">
        <v>14.481451</v>
      </c>
      <c r="J159" s="24" t="n">
        <v>121.211934</v>
      </c>
      <c r="K159" s="23" t="inlineStr">
        <is>
          <t>R</t>
        </is>
      </c>
      <c r="L159" s="25" t="n">
        <v>2964</v>
      </c>
      <c r="M159" s="26" t="n">
        <v>3.5</v>
      </c>
      <c r="N159" s="25">
        <f>ROUND(L159/M159, 0)</f>
        <v/>
      </c>
      <c r="O159" s="25">
        <f>ROUND(N159*'Methodology &amp; Assumptions'!$B$7, 0)</f>
        <v/>
      </c>
      <c r="P159" s="23" t="inlineStr">
        <is>
          <t>Single Carrier (Band n50, 100MHz TDD)</t>
        </is>
      </c>
      <c r="Q159" s="27">
        <f>ROUNDUP(O159/'Methodology &amp; Assumptions'!$B$8, 0)</f>
        <v/>
      </c>
      <c r="R159" s="27" t="n">
        <v>1</v>
      </c>
      <c r="S159" s="26" t="n">
        <v>1.4</v>
      </c>
      <c r="T159" s="26" t="n">
        <v>0.43</v>
      </c>
      <c r="U159" s="11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26" t="n">
        <v>83.51000000000001</v>
      </c>
      <c r="W159" s="26" t="n">
        <v>46.31</v>
      </c>
      <c r="X159" s="26">
        <f>ROUND(('Methodology &amp; Assumptions'!$B$5*V159) + ('Methodology &amp; Assumptions'!$B$6*W159), 2)</f>
        <v/>
      </c>
      <c r="Y159" s="28" t="n">
        <v>8.300000000000001</v>
      </c>
      <c r="Z159" s="11" t="inlineStr">
        <is>
          <t>Priority Tier 2 (Balanced Opportunity)</t>
        </is>
      </c>
    </row>
    <row r="160">
      <c r="A160" s="23" t="n">
        <v>2</v>
      </c>
      <c r="B160" s="23" t="n">
        <v>156</v>
      </c>
      <c r="C160" s="23" t="n">
        <v>1156</v>
      </c>
      <c r="D160" s="23" t="inlineStr">
        <is>
          <t>0103314045</t>
        </is>
      </c>
      <c r="E160" s="11" t="inlineStr">
        <is>
          <t>Region I (Ilocos Region)</t>
        </is>
      </c>
      <c r="F160" s="11" t="inlineStr">
        <is>
          <t>La Union</t>
        </is>
      </c>
      <c r="G160" s="11" t="inlineStr">
        <is>
          <t>City of San Fernando</t>
        </is>
      </c>
      <c r="H160" s="11" t="inlineStr">
        <is>
          <t>Parian</t>
        </is>
      </c>
      <c r="I160" s="24" t="n">
        <v>16.598143</v>
      </c>
      <c r="J160" s="24" t="n">
        <v>120.31271</v>
      </c>
      <c r="K160" s="23" t="inlineStr">
        <is>
          <t>U</t>
        </is>
      </c>
      <c r="L160" s="25" t="n">
        <v>3573</v>
      </c>
      <c r="M160" s="26" t="n">
        <v>3.7</v>
      </c>
      <c r="N160" s="25">
        <f>ROUND(L160/M160, 0)</f>
        <v/>
      </c>
      <c r="O160" s="25">
        <f>ROUND(N160*'Methodology &amp; Assumptions'!$B$7, 0)</f>
        <v/>
      </c>
      <c r="P160" s="23" t="inlineStr">
        <is>
          <t>Single Carrier (Band n50, 100MHz TDD)</t>
        </is>
      </c>
      <c r="Q160" s="27">
        <f>ROUNDUP(O160/'Methodology &amp; Assumptions'!$B$8, 0)</f>
        <v/>
      </c>
      <c r="R160" s="27" t="n">
        <v>1</v>
      </c>
      <c r="S160" s="26" t="n">
        <v>0.8</v>
      </c>
      <c r="T160" s="26" t="n">
        <v>0.21</v>
      </c>
      <c r="U160" s="11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26" t="n">
        <v>78.43000000000001</v>
      </c>
      <c r="W160" s="26" t="n">
        <v>51.39</v>
      </c>
      <c r="X160" s="26">
        <f>ROUND(('Methodology &amp; Assumptions'!$B$5*V160) + ('Methodology &amp; Assumptions'!$B$6*W160), 2)</f>
        <v/>
      </c>
      <c r="Y160" s="28" t="n">
        <v>8.300000000000001</v>
      </c>
      <c r="Z160" s="11" t="inlineStr">
        <is>
          <t>Priority Tier 2 (Balanced Opportunity)</t>
        </is>
      </c>
    </row>
    <row r="161">
      <c r="A161" s="23" t="n">
        <v>2</v>
      </c>
      <c r="B161" s="23" t="n">
        <v>157</v>
      </c>
      <c r="C161" s="23" t="n">
        <v>1157</v>
      </c>
      <c r="D161" s="23" t="inlineStr">
        <is>
          <t>0401005101</t>
        </is>
      </c>
      <c r="E161" s="11" t="inlineStr">
        <is>
          <t>Region IV-A (CALABARZON)</t>
        </is>
      </c>
      <c r="F161" s="11" t="inlineStr">
        <is>
          <t>Batangas</t>
        </is>
      </c>
      <c r="G161" s="11" t="inlineStr">
        <is>
          <t>Batangas City</t>
        </is>
      </c>
      <c r="H161" s="11" t="inlineStr">
        <is>
          <t>Simlong</t>
        </is>
      </c>
      <c r="I161" s="24" t="n">
        <v>13.6709</v>
      </c>
      <c r="J161" s="24" t="n">
        <v>121.049</v>
      </c>
      <c r="K161" s="23" t="inlineStr">
        <is>
          <t>U</t>
        </is>
      </c>
      <c r="L161" s="25" t="n">
        <v>4312</v>
      </c>
      <c r="M161" s="26" t="n">
        <v>3.6</v>
      </c>
      <c r="N161" s="25">
        <f>ROUND(L161/M161, 0)</f>
        <v/>
      </c>
      <c r="O161" s="25">
        <f>ROUND(N161*'Methodology &amp; Assumptions'!$B$7, 0)</f>
        <v/>
      </c>
      <c r="P161" s="23" t="inlineStr">
        <is>
          <t>Single Carrier (Band n50, 100MHz TDD)</t>
        </is>
      </c>
      <c r="Q161" s="27">
        <f>ROUNDUP(O161/'Methodology &amp; Assumptions'!$B$8, 0)</f>
        <v/>
      </c>
      <c r="R161" s="27" t="n">
        <v>1</v>
      </c>
      <c r="S161" s="26" t="n">
        <v>2.36</v>
      </c>
      <c r="T161" s="26" t="n">
        <v>9.539999999999999</v>
      </c>
      <c r="U161" s="11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26" t="n">
        <v>69.33</v>
      </c>
      <c r="W161" s="26" t="n">
        <v>60.49</v>
      </c>
      <c r="X161" s="26">
        <f>ROUND(('Methodology &amp; Assumptions'!$B$5*V161) + ('Methodology &amp; Assumptions'!$B$6*W161), 2)</f>
        <v/>
      </c>
      <c r="Y161" s="28" t="n">
        <v>7.2</v>
      </c>
      <c r="Z161" s="11" t="inlineStr">
        <is>
          <t>Priority Tier 2 (Balanced Opportunity)</t>
        </is>
      </c>
    </row>
    <row r="162">
      <c r="A162" s="23" t="n">
        <v>2</v>
      </c>
      <c r="B162" s="23" t="n">
        <v>158</v>
      </c>
      <c r="C162" s="23" t="n">
        <v>1158</v>
      </c>
      <c r="D162" s="23" t="inlineStr">
        <is>
          <t>0401019013</t>
        </is>
      </c>
      <c r="E162" s="11" t="inlineStr">
        <is>
          <t>Region IV-A (CALABARZON)</t>
        </is>
      </c>
      <c r="F162" s="11" t="inlineStr">
        <is>
          <t>Batangas</t>
        </is>
      </c>
      <c r="G162" s="11" t="inlineStr">
        <is>
          <t>Nasugbu</t>
        </is>
      </c>
      <c r="H162" s="11" t="inlineStr">
        <is>
          <t>Barangay 8</t>
        </is>
      </c>
      <c r="I162" s="24" t="n">
        <v>14.077715</v>
      </c>
      <c r="J162" s="24" t="n">
        <v>120.632573</v>
      </c>
      <c r="K162" s="23" t="inlineStr">
        <is>
          <t>R</t>
        </is>
      </c>
      <c r="L162" s="25" t="n">
        <v>1118</v>
      </c>
      <c r="M162" s="26" t="n">
        <v>3.6</v>
      </c>
      <c r="N162" s="25">
        <f>ROUND(L162/M162, 0)</f>
        <v/>
      </c>
      <c r="O162" s="25">
        <f>ROUND(N162*'Methodology &amp; Assumptions'!$B$7, 0)</f>
        <v/>
      </c>
      <c r="P162" s="23" t="inlineStr">
        <is>
          <t>Single Carrier (Band n50, 100MHz TDD)</t>
        </is>
      </c>
      <c r="Q162" s="27">
        <f>ROUNDUP(O162/'Methodology &amp; Assumptions'!$B$8, 0)</f>
        <v/>
      </c>
      <c r="R162" s="27" t="n">
        <v>1</v>
      </c>
      <c r="S162" s="26" t="n">
        <v>0.79</v>
      </c>
      <c r="T162" s="26" t="n">
        <v>0.24</v>
      </c>
      <c r="U162" s="11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26" t="n">
        <v>68.98</v>
      </c>
      <c r="W162" s="26" t="n">
        <v>60.85</v>
      </c>
      <c r="X162" s="26">
        <f>ROUND(('Methodology &amp; Assumptions'!$B$5*V162) + ('Methodology &amp; Assumptions'!$B$6*W162), 2)</f>
        <v/>
      </c>
      <c r="Y162" s="28" t="n">
        <v>7.2</v>
      </c>
      <c r="Z162" s="11" t="inlineStr">
        <is>
          <t>Priority Tier 2 (Balanced Opportunity)</t>
        </is>
      </c>
    </row>
    <row r="163">
      <c r="A163" s="23" t="n">
        <v>2</v>
      </c>
      <c r="B163" s="23" t="n">
        <v>159</v>
      </c>
      <c r="C163" s="23" t="n">
        <v>1159</v>
      </c>
      <c r="D163" s="23" t="inlineStr">
        <is>
          <t>1381300054</t>
        </is>
      </c>
      <c r="E163" s="11" t="inlineStr">
        <is>
          <t>National Capital Region (NCR)</t>
        </is>
      </c>
      <c r="F163" s="11" t="inlineStr">
        <is>
          <t>Second District (Not a Province)</t>
        </is>
      </c>
      <c r="G163" s="11" t="inlineStr">
        <is>
          <t>Quezon City</t>
        </is>
      </c>
      <c r="H163" s="11" t="inlineStr">
        <is>
          <t>Lourdes</t>
        </is>
      </c>
      <c r="I163" s="24" t="n">
        <v>14.629877</v>
      </c>
      <c r="J163" s="24" t="n">
        <v>120.998856</v>
      </c>
      <c r="K163" s="23" t="inlineStr">
        <is>
          <t>U</t>
        </is>
      </c>
      <c r="L163" s="25" t="n">
        <v>5214</v>
      </c>
      <c r="M163" s="26" t="n">
        <v>4.94</v>
      </c>
      <c r="N163" s="25">
        <f>ROUND(L163/M163, 0)</f>
        <v/>
      </c>
      <c r="O163" s="25">
        <f>ROUND(N163*'Methodology &amp; Assumptions'!$B$7, 0)</f>
        <v/>
      </c>
      <c r="P163" s="23" t="inlineStr">
        <is>
          <t>Single Carrier (Band n50, 100MHz TDD)</t>
        </is>
      </c>
      <c r="Q163" s="27">
        <f>ROUNDUP(O163/'Methodology &amp; Assumptions'!$B$8, 0)</f>
        <v/>
      </c>
      <c r="R163" s="27" t="n">
        <v>1</v>
      </c>
      <c r="S163" s="26" t="n">
        <v>0.93</v>
      </c>
      <c r="T163" s="26" t="n">
        <v>0.61</v>
      </c>
      <c r="U163" s="11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26" t="n">
        <v>68.75</v>
      </c>
      <c r="W163" s="26" t="n">
        <v>61.07</v>
      </c>
      <c r="X163" s="26">
        <f>ROUND(('Methodology &amp; Assumptions'!$B$5*V163) + ('Methodology &amp; Assumptions'!$B$6*W163), 2)</f>
        <v/>
      </c>
      <c r="Y163" s="28" t="n">
        <v>10.9</v>
      </c>
      <c r="Z163" s="11" t="inlineStr">
        <is>
          <t>Priority Tier 2 (Balanced Opportunity)</t>
        </is>
      </c>
    </row>
    <row r="164">
      <c r="A164" s="23" t="n">
        <v>2</v>
      </c>
      <c r="B164" s="23" t="n">
        <v>160</v>
      </c>
      <c r="C164" s="23" t="n">
        <v>1160</v>
      </c>
      <c r="D164" s="23" t="inlineStr">
        <is>
          <t>1381100077</t>
        </is>
      </c>
      <c r="E164" s="11" t="inlineStr">
        <is>
          <t>National Capital Region (NCR)</t>
        </is>
      </c>
      <c r="F164" s="11" t="inlineStr">
        <is>
          <t>Fourth District (Not a Province)</t>
        </is>
      </c>
      <c r="G164" s="11" t="inlineStr">
        <is>
          <t>Pasay City</t>
        </is>
      </c>
      <c r="H164" s="11" t="inlineStr">
        <is>
          <t>Barangay 77</t>
        </is>
      </c>
      <c r="I164" s="24" t="n">
        <v>14.535623</v>
      </c>
      <c r="J164" s="24" t="n">
        <v>120.998535</v>
      </c>
      <c r="K164" s="23" t="inlineStr">
        <is>
          <t>U</t>
        </is>
      </c>
      <c r="L164" s="25" t="n">
        <v>1750</v>
      </c>
      <c r="M164" s="26" t="n">
        <v>2.85</v>
      </c>
      <c r="N164" s="25">
        <f>ROUND(L164/M164, 0)</f>
        <v/>
      </c>
      <c r="O164" s="25">
        <f>ROUND(N164*'Methodology &amp; Assumptions'!$B$7, 0)</f>
        <v/>
      </c>
      <c r="P164" s="23" t="inlineStr">
        <is>
          <t>Single Carrier (Band n50, 100MHz TDD)</t>
        </is>
      </c>
      <c r="Q164" s="27">
        <f>ROUNDUP(O164/'Methodology &amp; Assumptions'!$B$8, 0)</f>
        <v/>
      </c>
      <c r="R164" s="27" t="n">
        <v>1</v>
      </c>
      <c r="S164" s="26" t="n">
        <v>0.87</v>
      </c>
      <c r="T164" s="26" t="n">
        <v>0.21</v>
      </c>
      <c r="U164" s="11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26" t="n">
        <v>60.68</v>
      </c>
      <c r="W164" s="26" t="n">
        <v>69.14</v>
      </c>
      <c r="X164" s="26">
        <f>ROUND(('Methodology &amp; Assumptions'!$B$5*V164) + ('Methodology &amp; Assumptions'!$B$6*W164), 2)</f>
        <v/>
      </c>
      <c r="Y164" s="28" t="n">
        <v>10.9</v>
      </c>
      <c r="Z164" s="11" t="inlineStr">
        <is>
          <t>Priority Tier 2 (Balanced Opportunity)</t>
        </is>
      </c>
    </row>
    <row r="165">
      <c r="A165" s="23" t="n">
        <v>2</v>
      </c>
      <c r="B165" s="23" t="n">
        <v>161</v>
      </c>
      <c r="C165" s="23" t="n">
        <v>1161</v>
      </c>
      <c r="D165" s="23" t="inlineStr">
        <is>
          <t>1380601135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135</t>
        </is>
      </c>
      <c r="I165" s="24" t="n">
        <v>14.543489</v>
      </c>
      <c r="J165" s="24" t="n">
        <v>121.008452</v>
      </c>
      <c r="K165" s="23" t="inlineStr">
        <is>
          <t>U</t>
        </is>
      </c>
      <c r="L165" s="25" t="n">
        <v>1946</v>
      </c>
      <c r="M165" s="26" t="n">
        <v>3.57</v>
      </c>
      <c r="N165" s="25">
        <f>ROUND(L165/M165, 0)</f>
        <v/>
      </c>
      <c r="O165" s="25">
        <f>ROUND(N165*'Methodology &amp; Assumptions'!$B$7, 0)</f>
        <v/>
      </c>
      <c r="P165" s="23" t="inlineStr">
        <is>
          <t>Single Carrier (Band n50, 100MHz TDD)</t>
        </is>
      </c>
      <c r="Q165" s="27">
        <f>ROUNDUP(O165/'Methodology &amp; Assumptions'!$B$8, 0)</f>
        <v/>
      </c>
      <c r="R165" s="27" t="n">
        <v>1</v>
      </c>
      <c r="S165" s="26" t="n">
        <v>0.77</v>
      </c>
      <c r="T165" s="26" t="n">
        <v>0.53</v>
      </c>
      <c r="U165" s="11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26" t="n">
        <v>58.66</v>
      </c>
      <c r="W165" s="26" t="n">
        <v>71.17</v>
      </c>
      <c r="X165" s="26">
        <f>ROUND(('Methodology &amp; Assumptions'!$B$5*V165) + ('Methodology &amp; Assumptions'!$B$6*W165), 2)</f>
        <v/>
      </c>
      <c r="Y165" s="28" t="n">
        <v>10.9</v>
      </c>
      <c r="Z165" s="11" t="inlineStr">
        <is>
          <t>Priority Tier 2 (Balanced Opportunity)</t>
        </is>
      </c>
    </row>
    <row r="166">
      <c r="A166" s="23" t="n">
        <v>2</v>
      </c>
      <c r="B166" s="23" t="n">
        <v>162</v>
      </c>
      <c r="C166" s="23" t="n">
        <v>1162</v>
      </c>
      <c r="D166" s="23" t="inlineStr">
        <is>
          <t>0604528032</t>
        </is>
      </c>
      <c r="E166" s="11" t="inlineStr">
        <is>
          <t>Region VI (Western Visayas)</t>
        </is>
      </c>
      <c r="F166" s="11" t="inlineStr">
        <is>
          <t>Negros Occidental</t>
        </is>
      </c>
      <c r="G166" s="11" t="inlineStr">
        <is>
          <t>City of Talisay</t>
        </is>
      </c>
      <c r="H166" s="11" t="inlineStr">
        <is>
          <t>Zone 15</t>
        </is>
      </c>
      <c r="I166" s="24" t="n">
        <v>10.732369</v>
      </c>
      <c r="J166" s="24" t="n">
        <v>122.964073</v>
      </c>
      <c r="K166" s="23" t="inlineStr">
        <is>
          <t>U</t>
        </is>
      </c>
      <c r="L166" s="25" t="n">
        <v>8973</v>
      </c>
      <c r="M166" s="26" t="n">
        <v>3.7</v>
      </c>
      <c r="N166" s="25">
        <f>ROUND(L166/M166, 0)</f>
        <v/>
      </c>
      <c r="O166" s="25">
        <f>ROUND(N166*'Methodology &amp; Assumptions'!$B$7, 0)</f>
        <v/>
      </c>
      <c r="P166" s="23" t="inlineStr">
        <is>
          <t>Single Carrier (Band n50, 100MHz TDD)</t>
        </is>
      </c>
      <c r="Q166" s="27">
        <f>ROUNDUP(O166/'Methodology &amp; Assumptions'!$B$8, 0)</f>
        <v/>
      </c>
      <c r="R166" s="27" t="n">
        <v>1</v>
      </c>
      <c r="S166" s="26" t="n">
        <v>1</v>
      </c>
      <c r="T166" s="26" t="n">
        <v>0.16</v>
      </c>
      <c r="U166" s="11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26" t="n">
        <v>80.23999999999999</v>
      </c>
      <c r="W166" s="26" t="n">
        <v>49.53</v>
      </c>
      <c r="X166" s="26">
        <f>ROUND(('Methodology &amp; Assumptions'!$B$5*V166) + ('Methodology &amp; Assumptions'!$B$6*W166), 2)</f>
        <v/>
      </c>
      <c r="Y166" s="28" t="n">
        <v>23.7</v>
      </c>
      <c r="Z166" s="11" t="inlineStr">
        <is>
          <t>Priority Tier 2 (Balanced Opportunity)</t>
        </is>
      </c>
    </row>
    <row r="167">
      <c r="A167" s="23" t="n">
        <v>2</v>
      </c>
      <c r="B167" s="23" t="n">
        <v>163</v>
      </c>
      <c r="C167" s="23" t="n">
        <v>1163</v>
      </c>
      <c r="D167" s="23" t="inlineStr">
        <is>
          <t>1380605038</t>
        </is>
      </c>
      <c r="E167" s="11" t="inlineStr">
        <is>
          <t>National Capital Region (NCR)</t>
        </is>
      </c>
      <c r="F167" s="11" t="inlineStr">
        <is>
          <t>First District (Not a Province)</t>
        </is>
      </c>
      <c r="G167" s="11" t="inlineStr">
        <is>
          <t>City of Manila</t>
        </is>
      </c>
      <c r="H167" s="11" t="inlineStr">
        <is>
          <t>Barangay 336</t>
        </is>
      </c>
      <c r="I167" s="24" t="n">
        <v>14.616221</v>
      </c>
      <c r="J167" s="24" t="n">
        <v>120.983713</v>
      </c>
      <c r="K167" s="23" t="inlineStr">
        <is>
          <t>U</t>
        </is>
      </c>
      <c r="L167" s="25" t="n">
        <v>1986</v>
      </c>
      <c r="M167" s="26" t="n">
        <v>3.46</v>
      </c>
      <c r="N167" s="25">
        <f>ROUND(L167/M167, 0)</f>
        <v/>
      </c>
      <c r="O167" s="25">
        <f>ROUND(N167*'Methodology &amp; Assumptions'!$B$7, 0)</f>
        <v/>
      </c>
      <c r="P167" s="23" t="inlineStr">
        <is>
          <t>Single Carrier (Band n50, 100MHz TDD)</t>
        </is>
      </c>
      <c r="Q167" s="27">
        <f>ROUNDUP(O167/'Methodology &amp; Assumptions'!$B$8, 0)</f>
        <v/>
      </c>
      <c r="R167" s="27" t="n">
        <v>1</v>
      </c>
      <c r="S167" s="26" t="n">
        <v>0.1</v>
      </c>
      <c r="T167" s="26" t="n">
        <v>0.1</v>
      </c>
      <c r="U167" s="11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26" t="n">
        <v>59.52</v>
      </c>
      <c r="W167" s="26" t="n">
        <v>70.26000000000001</v>
      </c>
      <c r="X167" s="26">
        <f>ROUND(('Methodology &amp; Assumptions'!$B$5*V167) + ('Methodology &amp; Assumptions'!$B$6*W167), 2)</f>
        <v/>
      </c>
      <c r="Y167" s="28" t="n">
        <v>10.9</v>
      </c>
      <c r="Z167" s="11" t="inlineStr">
        <is>
          <t>Priority Tier 2 (Balanced Opportunity)</t>
        </is>
      </c>
    </row>
    <row r="168">
      <c r="A168" s="23" t="n">
        <v>2</v>
      </c>
      <c r="B168" s="23" t="n">
        <v>164</v>
      </c>
      <c r="C168" s="23" t="n">
        <v>1164</v>
      </c>
      <c r="D168" s="23" t="inlineStr">
        <is>
          <t>1380900002</t>
        </is>
      </c>
      <c r="E168" s="11" t="inlineStr">
        <is>
          <t>National Capital Region (NCR)</t>
        </is>
      </c>
      <c r="F168" s="11" t="inlineStr">
        <is>
          <t>Third District (Not a Province)</t>
        </is>
      </c>
      <c r="G168" s="11" t="inlineStr">
        <is>
          <t>City of Navotas</t>
        </is>
      </c>
      <c r="H168" s="11" t="inlineStr">
        <is>
          <t>Bagumbayan North</t>
        </is>
      </c>
      <c r="I168" s="24" t="n">
        <v>14.652569</v>
      </c>
      <c r="J168" s="24" t="n">
        <v>120.949117</v>
      </c>
      <c r="K168" s="23" t="inlineStr">
        <is>
          <t>U</t>
        </is>
      </c>
      <c r="L168" s="25" t="n">
        <v>1283</v>
      </c>
      <c r="M168" s="26" t="n">
        <v>3.36</v>
      </c>
      <c r="N168" s="25">
        <f>ROUND(L168/M168, 0)</f>
        <v/>
      </c>
      <c r="O168" s="25">
        <f>ROUND(N168*'Methodology &amp; Assumptions'!$B$7, 0)</f>
        <v/>
      </c>
      <c r="P168" s="23" t="inlineStr">
        <is>
          <t>Single Carrier (Band n50, 100MHz TDD)</t>
        </is>
      </c>
      <c r="Q168" s="27">
        <f>ROUNDUP(O168/'Methodology &amp; Assumptions'!$B$8, 0)</f>
        <v/>
      </c>
      <c r="R168" s="27" t="n">
        <v>1</v>
      </c>
      <c r="S168" s="26" t="n">
        <v>0.47</v>
      </c>
      <c r="T168" s="26" t="n">
        <v>0.77</v>
      </c>
      <c r="U168" s="11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26" t="n">
        <v>53.41</v>
      </c>
      <c r="W168" s="26" t="n">
        <v>76.34999999999999</v>
      </c>
      <c r="X168" s="26">
        <f>ROUND(('Methodology &amp; Assumptions'!$B$5*V168) + ('Methodology &amp; Assumptions'!$B$6*W168), 2)</f>
        <v/>
      </c>
      <c r="Y168" s="28" t="n">
        <v>10.9</v>
      </c>
      <c r="Z168" s="11" t="inlineStr">
        <is>
          <t>Priority Tier 2 (Balanced Opportunity)</t>
        </is>
      </c>
    </row>
    <row r="169">
      <c r="A169" s="23" t="n">
        <v>2</v>
      </c>
      <c r="B169" s="23" t="n">
        <v>165</v>
      </c>
      <c r="C169" s="23" t="n">
        <v>1165</v>
      </c>
      <c r="D169" s="23" t="inlineStr">
        <is>
          <t>1380606087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481</t>
        </is>
      </c>
      <c r="I169" s="24" t="n">
        <v>14.612789</v>
      </c>
      <c r="J169" s="24" t="n">
        <v>120.990859</v>
      </c>
      <c r="K169" s="23" t="inlineStr">
        <is>
          <t>U</t>
        </is>
      </c>
      <c r="L169" s="25" t="n">
        <v>1943</v>
      </c>
      <c r="M169" s="26" t="n">
        <v>3.34</v>
      </c>
      <c r="N169" s="25">
        <f>ROUND(L169/M169, 0)</f>
        <v/>
      </c>
      <c r="O169" s="25">
        <f>ROUND(N169*'Methodology &amp; Assumptions'!$B$7, 0)</f>
        <v/>
      </c>
      <c r="P169" s="23" t="inlineStr">
        <is>
          <t>Single Carrier (Band n50, 100MHz TDD)</t>
        </is>
      </c>
      <c r="Q169" s="27">
        <f>ROUNDUP(O169/'Methodology &amp; Assumptions'!$B$8, 0)</f>
        <v/>
      </c>
      <c r="R169" s="27" t="n">
        <v>1</v>
      </c>
      <c r="S169" s="26" t="n">
        <v>0.95</v>
      </c>
      <c r="T169" s="26" t="n">
        <v>0.41</v>
      </c>
      <c r="U169" s="11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26" t="n">
        <v>59.3</v>
      </c>
      <c r="W169" s="26" t="n">
        <v>70.44</v>
      </c>
      <c r="X169" s="26">
        <f>ROUND(('Methodology &amp; Assumptions'!$B$5*V169) + ('Methodology &amp; Assumptions'!$B$6*W169), 2)</f>
        <v/>
      </c>
      <c r="Y169" s="28" t="n">
        <v>10.9</v>
      </c>
      <c r="Z169" s="11" t="inlineStr">
        <is>
          <t>Priority Tier 2 (Balanced Opportunity)</t>
        </is>
      </c>
    </row>
    <row r="170">
      <c r="A170" s="23" t="n">
        <v>2</v>
      </c>
      <c r="B170" s="23" t="n">
        <v>166</v>
      </c>
      <c r="C170" s="23" t="n">
        <v>1166</v>
      </c>
      <c r="D170" s="23" t="inlineStr">
        <is>
          <t>0401012046</t>
        </is>
      </c>
      <c r="E170" s="11" t="inlineStr">
        <is>
          <t>Region IV-A (CALABARZON)</t>
        </is>
      </c>
      <c r="F170" s="11" t="inlineStr">
        <is>
          <t>Batangas</t>
        </is>
      </c>
      <c r="G170" s="11" t="inlineStr">
        <is>
          <t>Lemery</t>
        </is>
      </c>
      <c r="H170" s="11" t="inlineStr">
        <is>
          <t>Wawa Ibaba</t>
        </is>
      </c>
      <c r="I170" s="24" t="n">
        <v>13.8733</v>
      </c>
      <c r="J170" s="24" t="n">
        <v>120.9139</v>
      </c>
      <c r="K170" s="23" t="inlineStr">
        <is>
          <t>R</t>
        </is>
      </c>
      <c r="L170" s="25" t="n">
        <v>2772</v>
      </c>
      <c r="M170" s="26" t="n">
        <v>3.6</v>
      </c>
      <c r="N170" s="25">
        <f>ROUND(L170/M170, 0)</f>
        <v/>
      </c>
      <c r="O170" s="25">
        <f>ROUND(N170*'Methodology &amp; Assumptions'!$B$7, 0)</f>
        <v/>
      </c>
      <c r="P170" s="23" t="inlineStr">
        <is>
          <t>Single Carrier (Band n50, 100MHz TDD)</t>
        </is>
      </c>
      <c r="Q170" s="27">
        <f>ROUNDUP(O170/'Methodology &amp; Assumptions'!$B$8, 0)</f>
        <v/>
      </c>
      <c r="R170" s="27" t="n">
        <v>1</v>
      </c>
      <c r="S170" s="26" t="n">
        <v>0.43</v>
      </c>
      <c r="T170" s="26" t="n">
        <v>2.58</v>
      </c>
      <c r="U170" s="11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26" t="n">
        <v>82.14</v>
      </c>
      <c r="W170" s="26" t="n">
        <v>47.55</v>
      </c>
      <c r="X170" s="26">
        <f>ROUND(('Methodology &amp; Assumptions'!$B$5*V170) + ('Methodology &amp; Assumptions'!$B$6*W170), 2)</f>
        <v/>
      </c>
      <c r="Y170" s="28" t="n">
        <v>7.2</v>
      </c>
      <c r="Z170" s="11" t="inlineStr">
        <is>
          <t>Priority Tier 2 (Balanced Opportunity)</t>
        </is>
      </c>
    </row>
    <row r="171">
      <c r="A171" s="23" t="n">
        <v>2</v>
      </c>
      <c r="B171" s="23" t="n">
        <v>167</v>
      </c>
      <c r="C171" s="23" t="n">
        <v>1167</v>
      </c>
      <c r="D171" s="23" t="inlineStr">
        <is>
          <t>1380500016</t>
        </is>
      </c>
      <c r="E171" s="11" t="inlineStr">
        <is>
          <t>National Capital Region (NCR)</t>
        </is>
      </c>
      <c r="F171" s="11" t="inlineStr">
        <is>
          <t>Second District (Not a Province)</t>
        </is>
      </c>
      <c r="G171" s="11" t="inlineStr">
        <is>
          <t>City of Mandaluyong</t>
        </is>
      </c>
      <c r="H171" s="11" t="inlineStr">
        <is>
          <t>Malamig</t>
        </is>
      </c>
      <c r="I171" s="24" t="n">
        <v>14.575195</v>
      </c>
      <c r="J171" s="24" t="n">
        <v>121.046602</v>
      </c>
      <c r="K171" s="23" t="inlineStr">
        <is>
          <t>U</t>
        </is>
      </c>
      <c r="L171" s="25" t="n">
        <v>14489</v>
      </c>
      <c r="M171" s="26" t="n">
        <v>2.8</v>
      </c>
      <c r="N171" s="25">
        <f>ROUND(L171/M171, 0)</f>
        <v/>
      </c>
      <c r="O171" s="25">
        <f>ROUND(N171*'Methodology &amp; Assumptions'!$B$7, 0)</f>
        <v/>
      </c>
      <c r="P171" s="23" t="inlineStr">
        <is>
          <t>Single Carrier (Band n50, 100MHz TDD)</t>
        </is>
      </c>
      <c r="Q171" s="27">
        <f>ROUNDUP(O171/'Methodology &amp; Assumptions'!$B$8, 0)</f>
        <v/>
      </c>
      <c r="R171" s="27" t="n">
        <v>1</v>
      </c>
      <c r="S171" s="26" t="n">
        <v>0.95</v>
      </c>
      <c r="T171" s="26" t="n">
        <v>0.09</v>
      </c>
      <c r="U171" s="11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26" t="n">
        <v>68.16</v>
      </c>
      <c r="W171" s="26" t="n">
        <v>61.54</v>
      </c>
      <c r="X171" s="26">
        <f>ROUND(('Methodology &amp; Assumptions'!$B$5*V171) + ('Methodology &amp; Assumptions'!$B$6*W171), 2)</f>
        <v/>
      </c>
      <c r="Y171" s="28" t="n">
        <v>10.9</v>
      </c>
      <c r="Z171" s="11" t="inlineStr">
        <is>
          <t>Priority Tier 2 (Balanced Opportunity)</t>
        </is>
      </c>
    </row>
    <row r="172">
      <c r="A172" s="23" t="n">
        <v>2</v>
      </c>
      <c r="B172" s="23" t="n">
        <v>168</v>
      </c>
      <c r="C172" s="23" t="n">
        <v>1168</v>
      </c>
      <c r="D172" s="23" t="inlineStr">
        <is>
          <t>0405616013</t>
        </is>
      </c>
      <c r="E172" s="11" t="inlineStr">
        <is>
          <t>Region IV-A (CALABARZON)</t>
        </is>
      </c>
      <c r="F172" s="11" t="inlineStr">
        <is>
          <t>Quezon</t>
        </is>
      </c>
      <c r="G172" s="11" t="inlineStr">
        <is>
          <t>General Luna</t>
        </is>
      </c>
      <c r="H172" s="11" t="inlineStr">
        <is>
          <t>Magsaysay</t>
        </is>
      </c>
      <c r="I172" s="24" t="n">
        <v>13.716099</v>
      </c>
      <c r="J172" s="24" t="n">
        <v>122.274327</v>
      </c>
      <c r="K172" s="23" t="inlineStr">
        <is>
          <t>R</t>
        </is>
      </c>
      <c r="L172" s="25" t="n">
        <v>679</v>
      </c>
      <c r="M172" s="26" t="n">
        <v>3.8</v>
      </c>
      <c r="N172" s="25">
        <f>ROUND(L172/M172, 0)</f>
        <v/>
      </c>
      <c r="O172" s="25">
        <f>ROUND(N172*'Methodology &amp; Assumptions'!$B$7, 0)</f>
        <v/>
      </c>
      <c r="P172" s="23" t="inlineStr">
        <is>
          <t>Single Carrier (Band n50, 100MHz TDD)</t>
        </is>
      </c>
      <c r="Q172" s="27">
        <f>ROUNDUP(O172/'Methodology &amp; Assumptions'!$B$8, 0)</f>
        <v/>
      </c>
      <c r="R172" s="27" t="n">
        <v>1</v>
      </c>
      <c r="S172" s="26" t="n">
        <v>2.27</v>
      </c>
      <c r="T172" s="26" t="n">
        <v>7.38</v>
      </c>
      <c r="U172" s="11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26" t="n">
        <v>56.08</v>
      </c>
      <c r="W172" s="26" t="n">
        <v>73.62</v>
      </c>
      <c r="X172" s="26">
        <f>ROUND(('Methodology &amp; Assumptions'!$B$5*V172) + ('Methodology &amp; Assumptions'!$B$6*W172), 2)</f>
        <v/>
      </c>
      <c r="Y172" s="28" t="n">
        <v>7.2</v>
      </c>
      <c r="Z172" s="11" t="inlineStr">
        <is>
          <t>Priority Tier 2 (Balanced Opportunity)</t>
        </is>
      </c>
    </row>
    <row r="173">
      <c r="A173" s="23" t="n">
        <v>2</v>
      </c>
      <c r="B173" s="23" t="n">
        <v>169</v>
      </c>
      <c r="C173" s="23" t="n">
        <v>1169</v>
      </c>
      <c r="D173" s="23" t="inlineStr">
        <is>
          <t>1004325016</t>
        </is>
      </c>
      <c r="E173" s="11" t="inlineStr">
        <is>
          <t>Region X (Northern Mindanao)</t>
        </is>
      </c>
      <c r="F173" s="11" t="inlineStr">
        <is>
          <t>Misamis Oriental</t>
        </is>
      </c>
      <c r="G173" s="11" t="inlineStr">
        <is>
          <t>Talisayan</t>
        </is>
      </c>
      <c r="H173" s="11" t="inlineStr">
        <is>
          <t>Sibantang</t>
        </is>
      </c>
      <c r="I173" s="24" t="n">
        <v>8.955</v>
      </c>
      <c r="J173" s="24" t="n">
        <v>124.9039</v>
      </c>
      <c r="K173" s="23" t="inlineStr">
        <is>
          <t>R</t>
        </is>
      </c>
      <c r="L173" s="25" t="n">
        <v>896</v>
      </c>
      <c r="M173" s="26" t="n">
        <v>3.9</v>
      </c>
      <c r="N173" s="25">
        <f>ROUND(L173/M173, 0)</f>
        <v/>
      </c>
      <c r="O173" s="25">
        <f>ROUND(N173*'Methodology &amp; Assumptions'!$B$7, 0)</f>
        <v/>
      </c>
      <c r="P173" s="23" t="inlineStr">
        <is>
          <t>Single Carrier (Band n50, 100MHz TDD)</t>
        </is>
      </c>
      <c r="Q173" s="27">
        <f>ROUNDUP(O173/'Methodology &amp; Assumptions'!$B$8, 0)</f>
        <v/>
      </c>
      <c r="R173" s="27" t="n">
        <v>1</v>
      </c>
      <c r="S173" s="26" t="n">
        <v>4.62</v>
      </c>
      <c r="T173" s="26" t="n">
        <v>2.88</v>
      </c>
      <c r="U173" s="11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26" t="n">
        <v>53.33</v>
      </c>
      <c r="W173" s="26" t="n">
        <v>76.37</v>
      </c>
      <c r="X173" s="26">
        <f>ROUND(('Methodology &amp; Assumptions'!$B$5*V173) + ('Methodology &amp; Assumptions'!$B$6*W173), 2)</f>
        <v/>
      </c>
      <c r="Y173" s="28" t="n">
        <v>17.4</v>
      </c>
      <c r="Z173" s="11" t="inlineStr">
        <is>
          <t>Priority Tier 2 (Balanced Opportunity)</t>
        </is>
      </c>
    </row>
    <row r="174">
      <c r="A174" s="23" t="n">
        <v>2</v>
      </c>
      <c r="B174" s="23" t="n">
        <v>170</v>
      </c>
      <c r="C174" s="23" t="n">
        <v>1170</v>
      </c>
      <c r="D174" s="23" t="inlineStr">
        <is>
          <t>0405809002</t>
        </is>
      </c>
      <c r="E174" s="11" t="inlineStr">
        <is>
          <t>Region IV-A (CALABARZON)</t>
        </is>
      </c>
      <c r="F174" s="11" t="inlineStr">
        <is>
          <t>Rizal</t>
        </is>
      </c>
      <c r="G174" s="11" t="inlineStr">
        <is>
          <t>Morong</t>
        </is>
      </c>
      <c r="H174" s="11" t="inlineStr">
        <is>
          <t>Can-Cal-Lan</t>
        </is>
      </c>
      <c r="I174" s="24" t="n">
        <v>14.532618</v>
      </c>
      <c r="J174" s="24" t="n">
        <v>121.248329</v>
      </c>
      <c r="K174" s="23" t="inlineStr">
        <is>
          <t>R</t>
        </is>
      </c>
      <c r="L174" s="25" t="n">
        <v>4707</v>
      </c>
      <c r="M174" s="26" t="n">
        <v>3.6</v>
      </c>
      <c r="N174" s="25">
        <f>ROUND(L174/M174, 0)</f>
        <v/>
      </c>
      <c r="O174" s="25">
        <f>ROUND(N174*'Methodology &amp; Assumptions'!$B$7, 0)</f>
        <v/>
      </c>
      <c r="P174" s="23" t="inlineStr">
        <is>
          <t>Single Carrier (Band n50, 100MHz TDD)</t>
        </is>
      </c>
      <c r="Q174" s="27">
        <f>ROUNDUP(O174/'Methodology &amp; Assumptions'!$B$8, 0)</f>
        <v/>
      </c>
      <c r="R174" s="27" t="n">
        <v>1</v>
      </c>
      <c r="S174" s="26" t="n">
        <v>1.57</v>
      </c>
      <c r="T174" s="26" t="n">
        <v>0.6899999999999999</v>
      </c>
      <c r="U174" s="11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26" t="n">
        <v>82.73999999999999</v>
      </c>
      <c r="W174" s="26" t="n">
        <v>46.94</v>
      </c>
      <c r="X174" s="26">
        <f>ROUND(('Methodology &amp; Assumptions'!$B$5*V174) + ('Methodology &amp; Assumptions'!$B$6*W174), 2)</f>
        <v/>
      </c>
      <c r="Y174" s="28" t="n">
        <v>7.2</v>
      </c>
      <c r="Z174" s="11" t="inlineStr">
        <is>
          <t>Priority Tier 2 (Balanced Opportunity)</t>
        </is>
      </c>
    </row>
    <row r="175">
      <c r="A175" s="23" t="n">
        <v>2</v>
      </c>
      <c r="B175" s="23" t="n">
        <v>171</v>
      </c>
      <c r="C175" s="23" t="n">
        <v>1171</v>
      </c>
      <c r="D175" s="23" t="inlineStr">
        <is>
          <t>0405627042</t>
        </is>
      </c>
      <c r="E175" s="11" t="inlineStr">
        <is>
          <t>Region IV-A (CALABARZON)</t>
        </is>
      </c>
      <c r="F175" s="11" t="inlineStr">
        <is>
          <t>Quezon</t>
        </is>
      </c>
      <c r="G175" s="11" t="inlineStr">
        <is>
          <t>Mauban</t>
        </is>
      </c>
      <c r="H175" s="11" t="inlineStr">
        <is>
          <t>Lual Rural</t>
        </is>
      </c>
      <c r="I175" s="24" t="n">
        <v>14.191682</v>
      </c>
      <c r="J175" s="24" t="n">
        <v>121.720971</v>
      </c>
      <c r="K175" s="23" t="inlineStr">
        <is>
          <t>R</t>
        </is>
      </c>
      <c r="L175" s="25" t="n">
        <v>4093</v>
      </c>
      <c r="M175" s="26" t="n">
        <v>3.8</v>
      </c>
      <c r="N175" s="25">
        <f>ROUND(L175/M175, 0)</f>
        <v/>
      </c>
      <c r="O175" s="25">
        <f>ROUND(N175*'Methodology &amp; Assumptions'!$B$7, 0)</f>
        <v/>
      </c>
      <c r="P175" s="23" t="inlineStr">
        <is>
          <t>Single Carrier (Band n50, 100MHz TDD)</t>
        </is>
      </c>
      <c r="Q175" s="27">
        <f>ROUNDUP(O175/'Methodology &amp; Assumptions'!$B$8, 0)</f>
        <v/>
      </c>
      <c r="R175" s="27" t="n">
        <v>1</v>
      </c>
      <c r="S175" s="26" t="n">
        <v>1.5</v>
      </c>
      <c r="T175" s="26" t="n">
        <v>18.61</v>
      </c>
      <c r="U175" s="11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26" t="n">
        <v>79.47</v>
      </c>
      <c r="W175" s="26" t="n">
        <v>50.2</v>
      </c>
      <c r="X175" s="26">
        <f>ROUND(('Methodology &amp; Assumptions'!$B$5*V175) + ('Methodology &amp; Assumptions'!$B$6*W175), 2)</f>
        <v/>
      </c>
      <c r="Y175" s="28" t="n">
        <v>7.2</v>
      </c>
      <c r="Z175" s="11" t="inlineStr">
        <is>
          <t>Priority Tier 2 (Balanced Opportunity)</t>
        </is>
      </c>
    </row>
    <row r="176">
      <c r="A176" s="23" t="n">
        <v>2</v>
      </c>
      <c r="B176" s="23" t="n">
        <v>172</v>
      </c>
      <c r="C176" s="23" t="n">
        <v>1172</v>
      </c>
      <c r="D176" s="23" t="inlineStr">
        <is>
          <t>1381100188</t>
        </is>
      </c>
      <c r="E176" s="11" t="inlineStr">
        <is>
          <t>National Capital Region (NCR)</t>
        </is>
      </c>
      <c r="F176" s="11" t="inlineStr">
        <is>
          <t>Fourth District (Not a Province)</t>
        </is>
      </c>
      <c r="G176" s="11" t="inlineStr">
        <is>
          <t>Pasay City</t>
        </is>
      </c>
      <c r="H176" s="11" t="inlineStr">
        <is>
          <t>Barangay 188</t>
        </is>
      </c>
      <c r="I176" s="24" t="n">
        <v>14.532616</v>
      </c>
      <c r="J176" s="24" t="n">
        <v>121.001905</v>
      </c>
      <c r="K176" s="23" t="inlineStr">
        <is>
          <t>U</t>
        </is>
      </c>
      <c r="L176" s="25" t="n">
        <v>1975</v>
      </c>
      <c r="M176" s="26" t="n">
        <v>3.45</v>
      </c>
      <c r="N176" s="25">
        <f>ROUND(L176/M176, 0)</f>
        <v/>
      </c>
      <c r="O176" s="25">
        <f>ROUND(N176*'Methodology &amp; Assumptions'!$B$7, 0)</f>
        <v/>
      </c>
      <c r="P176" s="23" t="inlineStr">
        <is>
          <t>Single Carrier (Band n50, 100MHz TDD)</t>
        </is>
      </c>
      <c r="Q176" s="27">
        <f>ROUNDUP(O176/'Methodology &amp; Assumptions'!$B$8, 0)</f>
        <v/>
      </c>
      <c r="R176" s="27" t="n">
        <v>1</v>
      </c>
      <c r="S176" s="26" t="n">
        <v>0.73</v>
      </c>
      <c r="T176" s="26" t="n">
        <v>0.21</v>
      </c>
      <c r="U176" s="11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26" t="n">
        <v>59.52</v>
      </c>
      <c r="W176" s="26" t="n">
        <v>70.14</v>
      </c>
      <c r="X176" s="26">
        <f>ROUND(('Methodology &amp; Assumptions'!$B$5*V176) + ('Methodology &amp; Assumptions'!$B$6*W176), 2)</f>
        <v/>
      </c>
      <c r="Y176" s="28" t="n">
        <v>10.9</v>
      </c>
      <c r="Z176" s="11" t="inlineStr">
        <is>
          <t>Priority Tier 2 (Balanced Opportunity)</t>
        </is>
      </c>
    </row>
    <row r="177">
      <c r="A177" s="23" t="n">
        <v>2</v>
      </c>
      <c r="B177" s="23" t="n">
        <v>173</v>
      </c>
      <c r="C177" s="23" t="n">
        <v>1173</v>
      </c>
      <c r="D177" s="23" t="inlineStr">
        <is>
          <t>0103314059</t>
        </is>
      </c>
      <c r="E177" s="11" t="inlineStr">
        <is>
          <t>Region I (Ilocos Region)</t>
        </is>
      </c>
      <c r="F177" s="11" t="inlineStr">
        <is>
          <t>La Union</t>
        </is>
      </c>
      <c r="G177" s="11" t="inlineStr">
        <is>
          <t>City of San Fernando</t>
        </is>
      </c>
      <c r="H177" s="11" t="inlineStr">
        <is>
          <t>Tanqui</t>
        </is>
      </c>
      <c r="I177" s="24" t="n">
        <v>16.61593</v>
      </c>
      <c r="J177" s="24" t="n">
        <v>120.323238</v>
      </c>
      <c r="K177" s="23" t="inlineStr">
        <is>
          <t>U</t>
        </is>
      </c>
      <c r="L177" s="25" t="n">
        <v>5298</v>
      </c>
      <c r="M177" s="26" t="n">
        <v>3.7</v>
      </c>
      <c r="N177" s="25">
        <f>ROUND(L177/M177, 0)</f>
        <v/>
      </c>
      <c r="O177" s="25">
        <f>ROUND(N177*'Methodology &amp; Assumptions'!$B$7, 0)</f>
        <v/>
      </c>
      <c r="P177" s="23" t="inlineStr">
        <is>
          <t>Single Carrier (Band n50, 100MHz TDD)</t>
        </is>
      </c>
      <c r="Q177" s="27">
        <f>ROUNDUP(O177/'Methodology &amp; Assumptions'!$B$8, 0)</f>
        <v/>
      </c>
      <c r="R177" s="27" t="n">
        <v>1</v>
      </c>
      <c r="S177" s="26" t="n">
        <v>1.5</v>
      </c>
      <c r="T177" s="26" t="n">
        <v>0.68</v>
      </c>
      <c r="U177" s="11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26" t="n">
        <v>75.95999999999999</v>
      </c>
      <c r="W177" s="26" t="n">
        <v>53.68</v>
      </c>
      <c r="X177" s="26">
        <f>ROUND(('Methodology &amp; Assumptions'!$B$5*V177) + ('Methodology &amp; Assumptions'!$B$6*W177), 2)</f>
        <v/>
      </c>
      <c r="Y177" s="28" t="n">
        <v>8.300000000000001</v>
      </c>
      <c r="Z177" s="11" t="inlineStr">
        <is>
          <t>Priority Tier 2 (Balanced Opportunity)</t>
        </is>
      </c>
    </row>
    <row r="178">
      <c r="A178" s="23" t="n">
        <v>2</v>
      </c>
      <c r="B178" s="23" t="n">
        <v>174</v>
      </c>
      <c r="C178" s="23" t="n">
        <v>1174</v>
      </c>
      <c r="D178" s="23" t="inlineStr">
        <is>
          <t>1381200029</t>
        </is>
      </c>
      <c r="E178" s="11" t="inlineStr">
        <is>
          <t>National Capital Region (NCR)</t>
        </is>
      </c>
      <c r="F178" s="11" t="inlineStr">
        <is>
          <t>Second District (Not a Province)</t>
        </is>
      </c>
      <c r="G178" s="11" t="inlineStr">
        <is>
          <t>City of Pasig</t>
        </is>
      </c>
      <c r="H178" s="11" t="inlineStr">
        <is>
          <t>Ugong</t>
        </is>
      </c>
      <c r="I178" s="24" t="n">
        <v>14.578971</v>
      </c>
      <c r="J178" s="24" t="n">
        <v>121.078636</v>
      </c>
      <c r="K178" s="23" t="inlineStr">
        <is>
          <t>U</t>
        </is>
      </c>
      <c r="L178" s="25" t="n">
        <v>31627</v>
      </c>
      <c r="M178" s="26" t="n">
        <v>3.9</v>
      </c>
      <c r="N178" s="25">
        <f>ROUND(L178/M178, 0)</f>
        <v/>
      </c>
      <c r="O178" s="25">
        <f>ROUND(N178*'Methodology &amp; Assumptions'!$B$7, 0)</f>
        <v/>
      </c>
      <c r="P178" s="23" t="inlineStr">
        <is>
          <t>Single Carrier (Band n50, 100MHz TDD)</t>
        </is>
      </c>
      <c r="Q178" s="27">
        <f>ROUNDUP(O178/'Methodology &amp; Assumptions'!$B$8, 0)</f>
        <v/>
      </c>
      <c r="R178" s="27" t="n">
        <v>1</v>
      </c>
      <c r="S178" s="26" t="n">
        <v>0.52</v>
      </c>
      <c r="T178" s="26" t="n">
        <v>0.38</v>
      </c>
      <c r="U178" s="11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26" t="n">
        <v>67.51000000000001</v>
      </c>
      <c r="W178" s="26" t="n">
        <v>62.13</v>
      </c>
      <c r="X178" s="26">
        <f>ROUND(('Methodology &amp; Assumptions'!$B$5*V178) + ('Methodology &amp; Assumptions'!$B$6*W178), 2)</f>
        <v/>
      </c>
      <c r="Y178" s="28" t="n">
        <v>10.9</v>
      </c>
      <c r="Z178" s="11" t="inlineStr">
        <is>
          <t>Priority Tier 2 (Balanced Opportunity)</t>
        </is>
      </c>
    </row>
    <row r="179">
      <c r="A179" s="23" t="n">
        <v>2</v>
      </c>
      <c r="B179" s="23" t="n">
        <v>175</v>
      </c>
      <c r="C179" s="23" t="n">
        <v>1175</v>
      </c>
      <c r="D179" s="23" t="inlineStr">
        <is>
          <t>1108602035</t>
        </is>
      </c>
      <c r="E179" s="11" t="inlineStr">
        <is>
          <t>Region XI (Davao Region)</t>
        </is>
      </c>
      <c r="F179" s="11" t="inlineStr">
        <is>
          <t>Davao Occidental</t>
        </is>
      </c>
      <c r="G179" s="11" t="inlineStr">
        <is>
          <t>Jose Abad Santos</t>
        </is>
      </c>
      <c r="H179" s="11" t="inlineStr">
        <is>
          <t>Tanuman</t>
        </is>
      </c>
      <c r="I179" s="24" t="n">
        <v>5.755496</v>
      </c>
      <c r="J179" s="24" t="n">
        <v>125.472715</v>
      </c>
      <c r="K179" s="23" t="inlineStr">
        <is>
          <t>R</t>
        </is>
      </c>
      <c r="L179" s="25" t="n">
        <v>2420</v>
      </c>
      <c r="M179" s="26" t="n">
        <v>3.6</v>
      </c>
      <c r="N179" s="25">
        <f>ROUND(L179/M179, 0)</f>
        <v/>
      </c>
      <c r="O179" s="25">
        <f>ROUND(N179*'Methodology &amp; Assumptions'!$B$7, 0)</f>
        <v/>
      </c>
      <c r="P179" s="23" t="inlineStr">
        <is>
          <t>Single Carrier (Band n50, 100MHz TDD)</t>
        </is>
      </c>
      <c r="Q179" s="27">
        <f>ROUNDUP(O179/'Methodology &amp; Assumptions'!$B$8, 0)</f>
        <v/>
      </c>
      <c r="R179" s="27" t="n">
        <v>1</v>
      </c>
      <c r="S179" s="26" t="n">
        <v>44.43</v>
      </c>
      <c r="T179" s="26" t="n">
        <v>51.31</v>
      </c>
      <c r="U179" s="11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26" t="n">
        <v>56.26</v>
      </c>
      <c r="W179" s="26" t="n">
        <v>73.38</v>
      </c>
      <c r="X179" s="26">
        <f>ROUND(('Methodology &amp; Assumptions'!$B$5*V179) + ('Methodology &amp; Assumptions'!$B$6*W179), 2)</f>
        <v/>
      </c>
      <c r="Y179" s="28" t="n">
        <v>17.4</v>
      </c>
      <c r="Z179" s="11" t="inlineStr">
        <is>
          <t>Priority Tier 2 (Balanced Opportunity)</t>
        </is>
      </c>
    </row>
    <row r="180">
      <c r="A180" s="23" t="n">
        <v>2</v>
      </c>
      <c r="B180" s="23" t="n">
        <v>176</v>
      </c>
      <c r="C180" s="23" t="n">
        <v>1176</v>
      </c>
      <c r="D180" s="23" t="inlineStr">
        <is>
          <t>0405801010</t>
        </is>
      </c>
      <c r="E180" s="11" t="inlineStr">
        <is>
          <t>Region IV-A (CALABARZON)</t>
        </is>
      </c>
      <c r="F180" s="11" t="inlineStr">
        <is>
          <t>Rizal</t>
        </is>
      </c>
      <c r="G180" s="11" t="inlineStr">
        <is>
          <t>Angono</t>
        </is>
      </c>
      <c r="H180" s="11" t="inlineStr">
        <is>
          <t>San Pedro</t>
        </is>
      </c>
      <c r="I180" s="24" t="n">
        <v>14.52205</v>
      </c>
      <c r="J180" s="24" t="n">
        <v>121.1507</v>
      </c>
      <c r="K180" s="23" t="inlineStr">
        <is>
          <t>U</t>
        </is>
      </c>
      <c r="L180" s="25" t="n">
        <v>1739</v>
      </c>
      <c r="M180" s="26" t="n">
        <v>3.6</v>
      </c>
      <c r="N180" s="25">
        <f>ROUND(L180/M180, 0)</f>
        <v/>
      </c>
      <c r="O180" s="25">
        <f>ROUND(N180*'Methodology &amp; Assumptions'!$B$7, 0)</f>
        <v/>
      </c>
      <c r="P180" s="23" t="inlineStr">
        <is>
          <t>Single Carrier (Band n50, 100MHz TDD)</t>
        </is>
      </c>
      <c r="Q180" s="27">
        <f>ROUNDUP(O180/'Methodology &amp; Assumptions'!$B$8, 0)</f>
        <v/>
      </c>
      <c r="R180" s="27" t="n">
        <v>1</v>
      </c>
      <c r="S180" s="26" t="n">
        <v>0.74</v>
      </c>
      <c r="T180" s="26" t="n">
        <v>0.33</v>
      </c>
      <c r="U180" s="11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26" t="n">
        <v>67.43000000000001</v>
      </c>
      <c r="W180" s="26" t="n">
        <v>62.19</v>
      </c>
      <c r="X180" s="26">
        <f>ROUND(('Methodology &amp; Assumptions'!$B$5*V180) + ('Methodology &amp; Assumptions'!$B$6*W180), 2)</f>
        <v/>
      </c>
      <c r="Y180" s="28" t="n">
        <v>7.2</v>
      </c>
      <c r="Z180" s="11" t="inlineStr">
        <is>
          <t>Priority Tier 2 (Balanced Opportunity)</t>
        </is>
      </c>
    </row>
    <row r="181">
      <c r="A181" s="23" t="n">
        <v>2</v>
      </c>
      <c r="B181" s="23" t="n">
        <v>177</v>
      </c>
      <c r="C181" s="23" t="n">
        <v>1177</v>
      </c>
      <c r="D181" s="23" t="inlineStr">
        <is>
          <t>1380601199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199</t>
        </is>
      </c>
      <c r="I181" s="24" t="n">
        <v>14.633867</v>
      </c>
      <c r="J181" s="24" t="n">
        <v>120.977648</v>
      </c>
      <c r="K181" s="23" t="inlineStr">
        <is>
          <t>U</t>
        </is>
      </c>
      <c r="L181" s="25" t="n">
        <v>2240</v>
      </c>
      <c r="M181" s="26" t="n">
        <v>3.76</v>
      </c>
      <c r="N181" s="25">
        <f>ROUND(L181/M181, 0)</f>
        <v/>
      </c>
      <c r="O181" s="25">
        <f>ROUND(N181*'Methodology &amp; Assumptions'!$B$7, 0)</f>
        <v/>
      </c>
      <c r="P181" s="23" t="inlineStr">
        <is>
          <t>Single Carrier (Band n50, 100MHz TDD)</t>
        </is>
      </c>
      <c r="Q181" s="27">
        <f>ROUNDUP(O181/'Methodology &amp; Assumptions'!$B$8, 0)</f>
        <v/>
      </c>
      <c r="R181" s="27" t="n">
        <v>1</v>
      </c>
      <c r="S181" s="26" t="n">
        <v>0.91</v>
      </c>
      <c r="T181" s="26" t="n">
        <v>0.4</v>
      </c>
      <c r="U181" s="11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26" t="n">
        <v>59.91</v>
      </c>
      <c r="W181" s="26" t="n">
        <v>69.70999999999999</v>
      </c>
      <c r="X181" s="26">
        <f>ROUND(('Methodology &amp; Assumptions'!$B$5*V181) + ('Methodology &amp; Assumptions'!$B$6*W181), 2)</f>
        <v/>
      </c>
      <c r="Y181" s="28" t="n">
        <v>10.9</v>
      </c>
      <c r="Z181" s="11" t="inlineStr">
        <is>
          <t>Priority Tier 2 (Balanced Opportunity)</t>
        </is>
      </c>
    </row>
    <row r="182">
      <c r="A182" s="23" t="n">
        <v>2</v>
      </c>
      <c r="B182" s="23" t="n">
        <v>178</v>
      </c>
      <c r="C182" s="23" t="n">
        <v>1178</v>
      </c>
      <c r="D182" s="23" t="inlineStr">
        <is>
          <t>1705304006</t>
        </is>
      </c>
      <c r="E182" s="11" t="inlineStr">
        <is>
          <t>MIMAROPA Region</t>
        </is>
      </c>
      <c r="F182" s="11" t="inlineStr">
        <is>
          <t>Palawan</t>
        </is>
      </c>
      <c r="G182" s="11" t="inlineStr">
        <is>
          <t>Balabac</t>
        </is>
      </c>
      <c r="H182" s="11" t="inlineStr">
        <is>
          <t>Catagupan</t>
        </is>
      </c>
      <c r="I182" s="24" t="n">
        <v>7.980216</v>
      </c>
      <c r="J182" s="24" t="n">
        <v>116.989369</v>
      </c>
      <c r="K182" s="23" t="inlineStr">
        <is>
          <t>R</t>
        </is>
      </c>
      <c r="L182" s="25" t="n">
        <v>3106</v>
      </c>
      <c r="M182" s="26" t="n">
        <v>3.9</v>
      </c>
      <c r="N182" s="25">
        <f>ROUND(L182/M182, 0)</f>
        <v/>
      </c>
      <c r="O182" s="25">
        <f>ROUND(N182*'Methodology &amp; Assumptions'!$B$7, 0)</f>
        <v/>
      </c>
      <c r="P182" s="23" t="inlineStr">
        <is>
          <t>Single Carrier (Band n50, 100MHz TDD)</t>
        </is>
      </c>
      <c r="Q182" s="27">
        <f>ROUNDUP(O182/'Methodology &amp; Assumptions'!$B$8, 0)</f>
        <v/>
      </c>
      <c r="R182" s="27" t="n">
        <v>1</v>
      </c>
      <c r="S182" s="26" t="n">
        <v>273.93</v>
      </c>
      <c r="T182" s="26" t="n">
        <v>999</v>
      </c>
      <c r="U182" s="11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26" t="n">
        <v>58.6</v>
      </c>
      <c r="W182" s="26" t="n">
        <v>71.03</v>
      </c>
      <c r="X182" s="26">
        <f>ROUND(('Methodology &amp; Assumptions'!$B$5*V182) + ('Methodology &amp; Assumptions'!$B$6*W182), 2)</f>
        <v/>
      </c>
      <c r="Y182" s="28" t="n">
        <v>15</v>
      </c>
      <c r="Z182" s="11" t="inlineStr">
        <is>
          <t>Priority Tier 2 (Balanced Opportunity)</t>
        </is>
      </c>
    </row>
    <row r="183">
      <c r="A183" s="23" t="n">
        <v>2</v>
      </c>
      <c r="B183" s="23" t="n">
        <v>179</v>
      </c>
      <c r="C183" s="23" t="n">
        <v>1179</v>
      </c>
      <c r="D183" s="23" t="inlineStr">
        <is>
          <t>0102911006</t>
        </is>
      </c>
      <c r="E183" s="11" t="inlineStr">
        <is>
          <t>Region I (Ilocos Region)</t>
        </is>
      </c>
      <c r="F183" s="11" t="inlineStr">
        <is>
          <t>Ilocos Sur</t>
        </is>
      </c>
      <c r="G183" s="11" t="inlineStr">
        <is>
          <t>Lidlidda</t>
        </is>
      </c>
      <c r="H183" s="11" t="inlineStr">
        <is>
          <t>Labut</t>
        </is>
      </c>
      <c r="I183" s="24" t="n">
        <v>17.257478</v>
      </c>
      <c r="J183" s="24" t="n">
        <v>120.569785</v>
      </c>
      <c r="K183" s="23" t="inlineStr">
        <is>
          <t>R</t>
        </is>
      </c>
      <c r="L183" s="25" t="n">
        <v>309</v>
      </c>
      <c r="M183" s="26" t="n">
        <v>3.8</v>
      </c>
      <c r="N183" s="25">
        <f>ROUND(L183/M183, 0)</f>
        <v/>
      </c>
      <c r="O183" s="25">
        <f>ROUND(N183*'Methodology &amp; Assumptions'!$B$7, 0)</f>
        <v/>
      </c>
      <c r="P183" s="23" t="inlineStr">
        <is>
          <t>Single Carrier (Band n50, 100MHz TDD)</t>
        </is>
      </c>
      <c r="Q183" s="27">
        <f>ROUNDUP(O183/'Methodology &amp; Assumptions'!$B$8, 0)</f>
        <v/>
      </c>
      <c r="R183" s="27" t="n">
        <v>1</v>
      </c>
      <c r="S183" s="26" t="n">
        <v>4.98</v>
      </c>
      <c r="T183" s="26" t="n">
        <v>2.18</v>
      </c>
      <c r="U183" s="11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26" t="n">
        <v>46.68</v>
      </c>
      <c r="W183" s="26" t="n">
        <v>82.95</v>
      </c>
      <c r="X183" s="26">
        <f>ROUND(('Methodology &amp; Assumptions'!$B$5*V183) + ('Methodology &amp; Assumptions'!$B$6*W183), 2)</f>
        <v/>
      </c>
      <c r="Y183" s="28" t="n">
        <v>8.300000000000001</v>
      </c>
      <c r="Z183" s="11" t="inlineStr">
        <is>
          <t>Priority Tier 2 (Balanced Opportunity)</t>
        </is>
      </c>
    </row>
    <row r="184">
      <c r="A184" s="23" t="n">
        <v>2</v>
      </c>
      <c r="B184" s="23" t="n">
        <v>180</v>
      </c>
      <c r="C184" s="23" t="n">
        <v>1180</v>
      </c>
      <c r="D184" s="23" t="inlineStr">
        <is>
          <t>1381300087</t>
        </is>
      </c>
      <c r="E184" s="11" t="inlineStr">
        <is>
          <t>National Capital Region (NCR)</t>
        </is>
      </c>
      <c r="F184" s="11" t="inlineStr">
        <is>
          <t>Second District (Not a Province)</t>
        </is>
      </c>
      <c r="G184" s="11" t="inlineStr">
        <is>
          <t>Quezon City</t>
        </is>
      </c>
      <c r="H184" s="11" t="inlineStr">
        <is>
          <t>Quirino 2-C</t>
        </is>
      </c>
      <c r="I184" s="24" t="n">
        <v>14.636151</v>
      </c>
      <c r="J184" s="24" t="n">
        <v>121.063273</v>
      </c>
      <c r="K184" s="23" t="inlineStr">
        <is>
          <t>U</t>
        </is>
      </c>
      <c r="L184" s="25" t="n">
        <v>3312</v>
      </c>
      <c r="M184" s="26" t="n">
        <v>3.56</v>
      </c>
      <c r="N184" s="25">
        <f>ROUND(L184/M184, 0)</f>
        <v/>
      </c>
      <c r="O184" s="25">
        <f>ROUND(N184*'Methodology &amp; Assumptions'!$B$7, 0)</f>
        <v/>
      </c>
      <c r="P184" s="23" t="inlineStr">
        <is>
          <t>Single Carrier (Band n50, 100MHz TDD)</t>
        </is>
      </c>
      <c r="Q184" s="27">
        <f>ROUNDUP(O184/'Methodology &amp; Assumptions'!$B$8, 0)</f>
        <v/>
      </c>
      <c r="R184" s="27" t="n">
        <v>1</v>
      </c>
      <c r="S184" s="26" t="n">
        <v>1.25</v>
      </c>
      <c r="T184" s="26" t="n">
        <v>0.5</v>
      </c>
      <c r="U184" s="11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26" t="n">
        <v>67.55</v>
      </c>
      <c r="W184" s="26" t="n">
        <v>62.05</v>
      </c>
      <c r="X184" s="26">
        <f>ROUND(('Methodology &amp; Assumptions'!$B$5*V184) + ('Methodology &amp; Assumptions'!$B$6*W184), 2)</f>
        <v/>
      </c>
      <c r="Y184" s="28" t="n">
        <v>10.9</v>
      </c>
      <c r="Z184" s="11" t="inlineStr">
        <is>
          <t>Priority Tier 2 (Balanced Opportunity)</t>
        </is>
      </c>
    </row>
    <row r="185">
      <c r="A185" s="23" t="n">
        <v>2</v>
      </c>
      <c r="B185" s="23" t="n">
        <v>181</v>
      </c>
      <c r="C185" s="23" t="n">
        <v>1181</v>
      </c>
      <c r="D185" s="23" t="inlineStr">
        <is>
          <t>0403413005</t>
        </is>
      </c>
      <c r="E185" s="11" t="inlineStr">
        <is>
          <t>Region IV-A (CALABARZON)</t>
        </is>
      </c>
      <c r="F185" s="11" t="inlineStr">
        <is>
          <t>Laguna</t>
        </is>
      </c>
      <c r="G185" s="11" t="inlineStr">
        <is>
          <t>Lumban</t>
        </is>
      </c>
      <c r="H185" s="11" t="inlineStr">
        <is>
          <t>Concepcion</t>
        </is>
      </c>
      <c r="I185" s="24" t="n">
        <v>14.300476</v>
      </c>
      <c r="J185" s="24" t="n">
        <v>121.457019</v>
      </c>
      <c r="K185" s="23" t="inlineStr">
        <is>
          <t>R</t>
        </is>
      </c>
      <c r="L185" s="25" t="n">
        <v>4711</v>
      </c>
      <c r="M185" s="26" t="n">
        <v>3.3</v>
      </c>
      <c r="N185" s="25">
        <f>ROUND(L185/M185, 0)</f>
        <v/>
      </c>
      <c r="O185" s="25">
        <f>ROUND(N185*'Methodology &amp; Assumptions'!$B$7, 0)</f>
        <v/>
      </c>
      <c r="P185" s="23" t="inlineStr">
        <is>
          <t>Single Carrier (Band n50, 100MHz TDD)</t>
        </is>
      </c>
      <c r="Q185" s="27">
        <f>ROUNDUP(O185/'Methodology &amp; Assumptions'!$B$8, 0)</f>
        <v/>
      </c>
      <c r="R185" s="27" t="n">
        <v>1</v>
      </c>
      <c r="S185" s="26" t="n">
        <v>0.6899999999999999</v>
      </c>
      <c r="T185" s="26" t="n">
        <v>0.77</v>
      </c>
      <c r="U185" s="11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26" t="n">
        <v>85.45999999999999</v>
      </c>
      <c r="W185" s="26" t="n">
        <v>44.12</v>
      </c>
      <c r="X185" s="26">
        <f>ROUND(('Methodology &amp; Assumptions'!$B$5*V185) + ('Methodology &amp; Assumptions'!$B$6*W185), 2)</f>
        <v/>
      </c>
      <c r="Y185" s="28" t="n">
        <v>7.2</v>
      </c>
      <c r="Z185" s="11" t="inlineStr">
        <is>
          <t>Priority Tier 2 (Balanced Opportunity)</t>
        </is>
      </c>
    </row>
    <row r="186">
      <c r="A186" s="23" t="n">
        <v>2</v>
      </c>
      <c r="B186" s="23" t="n">
        <v>182</v>
      </c>
      <c r="C186" s="23" t="n">
        <v>1182</v>
      </c>
      <c r="D186" s="23" t="inlineStr">
        <is>
          <t>0401026020</t>
        </is>
      </c>
      <c r="E186" s="11" t="inlineStr">
        <is>
          <t>Region IV-A (CALABARZON)</t>
        </is>
      </c>
      <c r="F186" s="11" t="inlineStr">
        <is>
          <t>Batangas</t>
        </is>
      </c>
      <c r="G186" s="11" t="inlineStr">
        <is>
          <t>San Pascual</t>
        </is>
      </c>
      <c r="H186" s="11" t="inlineStr">
        <is>
          <t>Poblacion</t>
        </is>
      </c>
      <c r="I186" s="24" t="n">
        <v>13.784373</v>
      </c>
      <c r="J186" s="24" t="n">
        <v>121.027485</v>
      </c>
      <c r="K186" s="23" t="inlineStr">
        <is>
          <t>U</t>
        </is>
      </c>
      <c r="L186" s="25" t="n">
        <v>11379</v>
      </c>
      <c r="M186" s="26" t="n">
        <v>3.6</v>
      </c>
      <c r="N186" s="25">
        <f>ROUND(L186/M186, 0)</f>
        <v/>
      </c>
      <c r="O186" s="25">
        <f>ROUND(N186*'Methodology &amp; Assumptions'!$B$7, 0)</f>
        <v/>
      </c>
      <c r="P186" s="23" t="inlineStr">
        <is>
          <t>Single Carrier (Band n50, 100MHz TDD)</t>
        </is>
      </c>
      <c r="Q186" s="27">
        <f>ROUNDUP(O186/'Methodology &amp; Assumptions'!$B$8, 0)</f>
        <v/>
      </c>
      <c r="R186" s="27" t="n">
        <v>1</v>
      </c>
      <c r="S186" s="26" t="n">
        <v>0.64</v>
      </c>
      <c r="T186" s="26" t="n">
        <v>0.1</v>
      </c>
      <c r="U186" s="11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26" t="n">
        <v>78.26000000000001</v>
      </c>
      <c r="W186" s="26" t="n">
        <v>51.31</v>
      </c>
      <c r="X186" s="26">
        <f>ROUND(('Methodology &amp; Assumptions'!$B$5*V186) + ('Methodology &amp; Assumptions'!$B$6*W186), 2)</f>
        <v/>
      </c>
      <c r="Y186" s="28" t="n">
        <v>7.2</v>
      </c>
      <c r="Z186" s="11" t="inlineStr">
        <is>
          <t>Priority Tier 2 (Balanced Opportunity)</t>
        </is>
      </c>
    </row>
    <row r="187">
      <c r="A187" s="23" t="n">
        <v>2</v>
      </c>
      <c r="B187" s="23" t="n">
        <v>183</v>
      </c>
      <c r="C187" s="23" t="n">
        <v>1183</v>
      </c>
      <c r="D187" s="23" t="inlineStr">
        <is>
          <t>1380611011</t>
        </is>
      </c>
      <c r="E187" s="11" t="inlineStr">
        <is>
          <t>National Capital Region (NCR)</t>
        </is>
      </c>
      <c r="F187" s="11" t="inlineStr">
        <is>
          <t>First District (Not a Province)</t>
        </is>
      </c>
      <c r="G187" s="11" t="inlineStr">
        <is>
          <t>City of Manila</t>
        </is>
      </c>
      <c r="H187" s="11" t="inlineStr">
        <is>
          <t>Barangay 677</t>
        </is>
      </c>
      <c r="I187" s="24" t="n">
        <v>14.57992</v>
      </c>
      <c r="J187" s="24" t="n">
        <v>120.994443</v>
      </c>
      <c r="K187" s="23" t="inlineStr">
        <is>
          <t>U</t>
        </is>
      </c>
      <c r="L187" s="25" t="n">
        <v>2235</v>
      </c>
      <c r="M187" s="26" t="n">
        <v>3.76</v>
      </c>
      <c r="N187" s="25">
        <f>ROUND(L187/M187, 0)</f>
        <v/>
      </c>
      <c r="O187" s="25">
        <f>ROUND(N187*'Methodology &amp; Assumptions'!$B$7, 0)</f>
        <v/>
      </c>
      <c r="P187" s="23" t="inlineStr">
        <is>
          <t>Single Carrier (Band n50, 100MHz TDD)</t>
        </is>
      </c>
      <c r="Q187" s="27">
        <f>ROUNDUP(O187/'Methodology &amp; Assumptions'!$B$8, 0)</f>
        <v/>
      </c>
      <c r="R187" s="27" t="n">
        <v>1</v>
      </c>
      <c r="S187" s="26" t="n">
        <v>0.88</v>
      </c>
      <c r="T187" s="26" t="n">
        <v>0.2</v>
      </c>
      <c r="U187" s="11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26" t="n">
        <v>60.02</v>
      </c>
      <c r="W187" s="26" t="n">
        <v>69.51000000000001</v>
      </c>
      <c r="X187" s="26">
        <f>ROUND(('Methodology &amp; Assumptions'!$B$5*V187) + ('Methodology &amp; Assumptions'!$B$6*W187), 2)</f>
        <v/>
      </c>
      <c r="Y187" s="28" t="n">
        <v>10.9</v>
      </c>
      <c r="Z187" s="11" t="inlineStr">
        <is>
          <t>Priority Tier 2 (Balanced Opportunity)</t>
        </is>
      </c>
    </row>
    <row r="188">
      <c r="A188" s="23" t="n">
        <v>2</v>
      </c>
      <c r="B188" s="23" t="n">
        <v>184</v>
      </c>
      <c r="C188" s="23" t="n">
        <v>1184</v>
      </c>
      <c r="D188" s="23" t="inlineStr">
        <is>
          <t>1208001011</t>
        </is>
      </c>
      <c r="E188" s="11" t="inlineStr">
        <is>
          <t>Region XII (SOCCSKSARGEN)</t>
        </is>
      </c>
      <c r="F188" s="11" t="inlineStr">
        <is>
          <t>Sarangani</t>
        </is>
      </c>
      <c r="G188" s="11" t="inlineStr">
        <is>
          <t>Alabel</t>
        </is>
      </c>
      <c r="H188" s="11" t="inlineStr">
        <is>
          <t>Spring</t>
        </is>
      </c>
      <c r="I188" s="24" t="n">
        <v>6.185033</v>
      </c>
      <c r="J188" s="24" t="n">
        <v>125.346625</v>
      </c>
      <c r="K188" s="23" t="inlineStr">
        <is>
          <t>U</t>
        </is>
      </c>
      <c r="L188" s="25" t="n">
        <v>5630</v>
      </c>
      <c r="M188" s="26" t="n">
        <v>3.9</v>
      </c>
      <c r="N188" s="25">
        <f>ROUND(L188/M188, 0)</f>
        <v/>
      </c>
      <c r="O188" s="25">
        <f>ROUND(N188*'Methodology &amp; Assumptions'!$B$7, 0)</f>
        <v/>
      </c>
      <c r="P188" s="23" t="inlineStr">
        <is>
          <t>Single Carrier (Band n50, 100MHz TDD)</t>
        </is>
      </c>
      <c r="Q188" s="27">
        <f>ROUNDUP(O188/'Methodology &amp; Assumptions'!$B$8, 0)</f>
        <v/>
      </c>
      <c r="R188" s="27" t="n">
        <v>1</v>
      </c>
      <c r="S188" s="26" t="n">
        <v>11.7</v>
      </c>
      <c r="T188" s="26" t="n">
        <v>11.43</v>
      </c>
      <c r="U188" s="11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26" t="n">
        <v>57.48</v>
      </c>
      <c r="W188" s="26" t="n">
        <v>72.06999999999999</v>
      </c>
      <c r="X188" s="26">
        <f>ROUND(('Methodology &amp; Assumptions'!$B$5*V188) + ('Methodology &amp; Assumptions'!$B$6*W188), 2)</f>
        <v/>
      </c>
      <c r="Y188" s="28" t="n">
        <v>17.4</v>
      </c>
      <c r="Z188" s="11" t="inlineStr">
        <is>
          <t>Priority Tier 2 (Balanced Opportunity)</t>
        </is>
      </c>
    </row>
    <row r="189">
      <c r="A189" s="23" t="n">
        <v>2</v>
      </c>
      <c r="B189" s="23" t="n">
        <v>185</v>
      </c>
      <c r="C189" s="23" t="n">
        <v>1185</v>
      </c>
      <c r="D189" s="23" t="inlineStr">
        <is>
          <t>0201514004</t>
        </is>
      </c>
      <c r="E189" s="11" t="inlineStr">
        <is>
          <t>Region II (Cagayan Valley)</t>
        </is>
      </c>
      <c r="F189" s="11" t="inlineStr">
        <is>
          <t>Cagayan</t>
        </is>
      </c>
      <c r="G189" s="11" t="inlineStr">
        <is>
          <t>Gonzaga</t>
        </is>
      </c>
      <c r="H189" s="11" t="inlineStr">
        <is>
          <t>Cabanbanan Norte</t>
        </is>
      </c>
      <c r="I189" s="24" t="n">
        <v>18.1526</v>
      </c>
      <c r="J189" s="24" t="n">
        <v>121.5635</v>
      </c>
      <c r="K189" s="23" t="inlineStr">
        <is>
          <t>R</t>
        </is>
      </c>
      <c r="L189" s="25" t="n">
        <v>722</v>
      </c>
      <c r="M189" s="26" t="n">
        <v>3.9</v>
      </c>
      <c r="N189" s="25">
        <f>ROUND(L189/M189, 0)</f>
        <v/>
      </c>
      <c r="O189" s="25">
        <f>ROUND(N189*'Methodology &amp; Assumptions'!$B$7, 0)</f>
        <v/>
      </c>
      <c r="P189" s="23" t="inlineStr">
        <is>
          <t>Single Carrier (Band n50, 100MHz TDD)</t>
        </is>
      </c>
      <c r="Q189" s="27">
        <f>ROUNDUP(O189/'Methodology &amp; Assumptions'!$B$8, 0)</f>
        <v/>
      </c>
      <c r="R189" s="27" t="n">
        <v>1</v>
      </c>
      <c r="S189" s="26" t="n">
        <v>4.69</v>
      </c>
      <c r="T189" s="26" t="n">
        <v>3.12</v>
      </c>
      <c r="U189" s="11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26" t="n">
        <v>50.65</v>
      </c>
      <c r="W189" s="26" t="n">
        <v>78.89</v>
      </c>
      <c r="X189" s="26">
        <f>ROUND(('Methodology &amp; Assumptions'!$B$5*V189) + ('Methodology &amp; Assumptions'!$B$6*W189), 2)</f>
        <v/>
      </c>
      <c r="Y189" s="28" t="n">
        <v>8.300000000000001</v>
      </c>
      <c r="Z189" s="11" t="inlineStr">
        <is>
          <t>Priority Tier 2 (Balanced Opportunity)</t>
        </is>
      </c>
    </row>
    <row r="190">
      <c r="A190" s="23" t="n">
        <v>2</v>
      </c>
      <c r="B190" s="23" t="n">
        <v>186</v>
      </c>
      <c r="C190" s="23" t="n">
        <v>1186</v>
      </c>
      <c r="D190" s="23" t="inlineStr">
        <is>
          <t>0403416035</t>
        </is>
      </c>
      <c r="E190" s="11" t="inlineStr">
        <is>
          <t>Region IV-A (CALABARZON)</t>
        </is>
      </c>
      <c r="F190" s="11" t="inlineStr">
        <is>
          <t>Laguna</t>
        </is>
      </c>
      <c r="G190" s="11" t="inlineStr">
        <is>
          <t>Majayjay</t>
        </is>
      </c>
      <c r="H190" s="11" t="inlineStr">
        <is>
          <t>San Miguel</t>
        </is>
      </c>
      <c r="I190" s="24" t="n">
        <v>14.145299</v>
      </c>
      <c r="J190" s="24" t="n">
        <v>121.470391</v>
      </c>
      <c r="K190" s="23" t="inlineStr">
        <is>
          <t>R</t>
        </is>
      </c>
      <c r="L190" s="25" t="n">
        <v>4529</v>
      </c>
      <c r="M190" s="26" t="n">
        <v>3.3</v>
      </c>
      <c r="N190" s="25">
        <f>ROUND(L190/M190, 0)</f>
        <v/>
      </c>
      <c r="O190" s="25">
        <f>ROUND(N190*'Methodology &amp; Assumptions'!$B$7, 0)</f>
        <v/>
      </c>
      <c r="P190" s="23" t="inlineStr">
        <is>
          <t>Single Carrier (Band n50, 100MHz TDD)</t>
        </is>
      </c>
      <c r="Q190" s="27">
        <f>ROUNDUP(O190/'Methodology &amp; Assumptions'!$B$8, 0)</f>
        <v/>
      </c>
      <c r="R190" s="27" t="n">
        <v>1</v>
      </c>
      <c r="S190" s="26" t="n">
        <v>0.25</v>
      </c>
      <c r="T190" s="26" t="n">
        <v>0.14</v>
      </c>
      <c r="U190" s="11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26" t="n">
        <v>85.45999999999999</v>
      </c>
      <c r="W190" s="26" t="n">
        <v>44.07</v>
      </c>
      <c r="X190" s="26">
        <f>ROUND(('Methodology &amp; Assumptions'!$B$5*V190) + ('Methodology &amp; Assumptions'!$B$6*W190), 2)</f>
        <v/>
      </c>
      <c r="Y190" s="28" t="n">
        <v>7.2</v>
      </c>
      <c r="Z190" s="11" t="inlineStr">
        <is>
          <t>Priority Tier 2 (Balanced Opportunity)</t>
        </is>
      </c>
    </row>
    <row r="191">
      <c r="A191" s="23" t="n">
        <v>2</v>
      </c>
      <c r="B191" s="23" t="n">
        <v>187</v>
      </c>
      <c r="C191" s="23" t="n">
        <v>1187</v>
      </c>
      <c r="D191" s="23" t="inlineStr">
        <is>
          <t>1381200014</t>
        </is>
      </c>
      <c r="E191" s="11" t="inlineStr">
        <is>
          <t>National Capital Region (NCR)</t>
        </is>
      </c>
      <c r="F191" s="11" t="inlineStr">
        <is>
          <t>Second District (Not a Province)</t>
        </is>
      </c>
      <c r="G191" s="11" t="inlineStr">
        <is>
          <t>City of Pasig</t>
        </is>
      </c>
      <c r="H191" s="11" t="inlineStr">
        <is>
          <t>Palatiw</t>
        </is>
      </c>
      <c r="I191" s="24" t="n">
        <v>14.563035</v>
      </c>
      <c r="J191" s="24" t="n">
        <v>121.084929</v>
      </c>
      <c r="K191" s="23" t="inlineStr">
        <is>
          <t>U</t>
        </is>
      </c>
      <c r="L191" s="25" t="n">
        <v>28185</v>
      </c>
      <c r="M191" s="26" t="n">
        <v>3.54</v>
      </c>
      <c r="N191" s="25">
        <f>ROUND(L191/M191, 0)</f>
        <v/>
      </c>
      <c r="O191" s="25">
        <f>ROUND(N191*'Methodology &amp; Assumptions'!$B$7, 0)</f>
        <v/>
      </c>
      <c r="P191" s="23" t="inlineStr">
        <is>
          <t>Single Carrier (Band n50, 100MHz TDD)</t>
        </is>
      </c>
      <c r="Q191" s="27">
        <f>ROUNDUP(O191/'Methodology &amp; Assumptions'!$B$8, 0)</f>
        <v/>
      </c>
      <c r="R191" s="27" t="n">
        <v>1</v>
      </c>
      <c r="S191" s="26" t="n">
        <v>0.1</v>
      </c>
      <c r="T191" s="26" t="n">
        <v>0.03</v>
      </c>
      <c r="U191" s="11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26" t="n">
        <v>67.55</v>
      </c>
      <c r="W191" s="26" t="n">
        <v>61.98</v>
      </c>
      <c r="X191" s="26">
        <f>ROUND(('Methodology &amp; Assumptions'!$B$5*V191) + ('Methodology &amp; Assumptions'!$B$6*W191), 2)</f>
        <v/>
      </c>
      <c r="Y191" s="28" t="n">
        <v>10.9</v>
      </c>
      <c r="Z191" s="11" t="inlineStr">
        <is>
          <t>Priority Tier 2 (Balanced Opportunity)</t>
        </is>
      </c>
    </row>
    <row r="192">
      <c r="A192" s="23" t="n">
        <v>2</v>
      </c>
      <c r="B192" s="23" t="n">
        <v>188</v>
      </c>
      <c r="C192" s="23" t="n">
        <v>1188</v>
      </c>
      <c r="D192" s="23" t="inlineStr">
        <is>
          <t>0600406008</t>
        </is>
      </c>
      <c r="E192" s="11" t="inlineStr">
        <is>
          <t>Region VI (Western Visayas)</t>
        </is>
      </c>
      <c r="F192" s="11" t="inlineStr">
        <is>
          <t>Aklan</t>
        </is>
      </c>
      <c r="G192" s="11" t="inlineStr">
        <is>
          <t>Ibajay</t>
        </is>
      </c>
      <c r="H192" s="11" t="inlineStr">
        <is>
          <t>Batuan</t>
        </is>
      </c>
      <c r="I192" s="24" t="n">
        <v>11.752756</v>
      </c>
      <c r="J192" s="24" t="n">
        <v>122.193461</v>
      </c>
      <c r="K192" s="23" t="inlineStr">
        <is>
          <t>R</t>
        </is>
      </c>
      <c r="L192" s="25" t="n">
        <v>1266</v>
      </c>
      <c r="M192" s="26" t="n">
        <v>3.9</v>
      </c>
      <c r="N192" s="25">
        <f>ROUND(L192/M192, 0)</f>
        <v/>
      </c>
      <c r="O192" s="25">
        <f>ROUND(N192*'Methodology &amp; Assumptions'!$B$7, 0)</f>
        <v/>
      </c>
      <c r="P192" s="23" t="inlineStr">
        <is>
          <t>Single Carrier (Band n50, 100MHz TDD)</t>
        </is>
      </c>
      <c r="Q192" s="27">
        <f>ROUNDUP(O192/'Methodology &amp; Assumptions'!$B$8, 0)</f>
        <v/>
      </c>
      <c r="R192" s="27" t="n">
        <v>1</v>
      </c>
      <c r="S192" s="26" t="n">
        <v>11.62</v>
      </c>
      <c r="T192" s="26" t="n">
        <v>2.39</v>
      </c>
      <c r="U192" s="11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26" t="n">
        <v>49.08</v>
      </c>
      <c r="W192" s="26" t="n">
        <v>80.44</v>
      </c>
      <c r="X192" s="26">
        <f>ROUND(('Methodology &amp; Assumptions'!$B$5*V192) + ('Methodology &amp; Assumptions'!$B$6*W192), 2)</f>
        <v/>
      </c>
      <c r="Y192" s="28" t="n">
        <v>23.7</v>
      </c>
      <c r="Z192" s="11" t="inlineStr">
        <is>
          <t>Priority Tier 2 (Balanced Opportunity)</t>
        </is>
      </c>
    </row>
    <row r="193">
      <c r="A193" s="23" t="n">
        <v>2</v>
      </c>
      <c r="B193" s="23" t="n">
        <v>189</v>
      </c>
      <c r="C193" s="23" t="n">
        <v>1189</v>
      </c>
      <c r="D193" s="23" t="inlineStr">
        <is>
          <t>1381100119</t>
        </is>
      </c>
      <c r="E193" s="11" t="inlineStr">
        <is>
          <t>National Capital Region (NCR)</t>
        </is>
      </c>
      <c r="F193" s="11" t="inlineStr">
        <is>
          <t>Fourth District (Not a Province)</t>
        </is>
      </c>
      <c r="G193" s="11" t="inlineStr">
        <is>
          <t>Pasay City</t>
        </is>
      </c>
      <c r="H193" s="11" t="inlineStr">
        <is>
          <t>Barangay 119</t>
        </is>
      </c>
      <c r="I193" s="24" t="n">
        <v>14.539183</v>
      </c>
      <c r="J193" s="24" t="n">
        <v>121.004661</v>
      </c>
      <c r="K193" s="23" t="inlineStr">
        <is>
          <t>U</t>
        </is>
      </c>
      <c r="L193" s="25" t="n">
        <v>1695</v>
      </c>
      <c r="M193" s="26" t="n">
        <v>3.1</v>
      </c>
      <c r="N193" s="25">
        <f>ROUND(L193/M193, 0)</f>
        <v/>
      </c>
      <c r="O193" s="25">
        <f>ROUND(N193*'Methodology &amp; Assumptions'!$B$7, 0)</f>
        <v/>
      </c>
      <c r="P193" s="23" t="inlineStr">
        <is>
          <t>Single Carrier (Band n50, 100MHz TDD)</t>
        </is>
      </c>
      <c r="Q193" s="27">
        <f>ROUNDUP(O193/'Methodology &amp; Assumptions'!$B$8, 0)</f>
        <v/>
      </c>
      <c r="R193" s="27" t="n">
        <v>1</v>
      </c>
      <c r="S193" s="26" t="n">
        <v>1.25</v>
      </c>
      <c r="T193" s="26" t="n">
        <v>0.23</v>
      </c>
      <c r="U193" s="11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26" t="n">
        <v>57.09</v>
      </c>
      <c r="W193" s="26" t="n">
        <v>72.40000000000001</v>
      </c>
      <c r="X193" s="26">
        <f>ROUND(('Methodology &amp; Assumptions'!$B$5*V193) + ('Methodology &amp; Assumptions'!$B$6*W193), 2)</f>
        <v/>
      </c>
      <c r="Y193" s="28" t="n">
        <v>10.9</v>
      </c>
      <c r="Z193" s="11" t="inlineStr">
        <is>
          <t>Priority Tier 2 (Balanced Opportunity)</t>
        </is>
      </c>
    </row>
    <row r="194">
      <c r="A194" s="23" t="n">
        <v>2</v>
      </c>
      <c r="B194" s="23" t="n">
        <v>190</v>
      </c>
      <c r="C194" s="23" t="n">
        <v>1190</v>
      </c>
      <c r="D194" s="23" t="inlineStr">
        <is>
          <t>0403422004</t>
        </is>
      </c>
      <c r="E194" s="11" t="inlineStr">
        <is>
          <t>Region IV-A (CALABARZON)</t>
        </is>
      </c>
      <c r="F194" s="11" t="inlineStr">
        <is>
          <t>Laguna</t>
        </is>
      </c>
      <c r="G194" s="11" t="inlineStr">
        <is>
          <t>Pila</t>
        </is>
      </c>
      <c r="H194" s="11" t="inlineStr">
        <is>
          <t>Bulilan Norte</t>
        </is>
      </c>
      <c r="I194" s="24" t="n">
        <v>14.231323</v>
      </c>
      <c r="J194" s="24" t="n">
        <v>121.366875</v>
      </c>
      <c r="K194" s="23" t="inlineStr">
        <is>
          <t>R</t>
        </is>
      </c>
      <c r="L194" s="25" t="n">
        <v>2537</v>
      </c>
      <c r="M194" s="26" t="n">
        <v>3.3</v>
      </c>
      <c r="N194" s="25">
        <f>ROUND(L194/M194, 0)</f>
        <v/>
      </c>
      <c r="O194" s="25">
        <f>ROUND(N194*'Methodology &amp; Assumptions'!$B$7, 0)</f>
        <v/>
      </c>
      <c r="P194" s="23" t="inlineStr">
        <is>
          <t>Single Carrier (Band n50, 100MHz TDD)</t>
        </is>
      </c>
      <c r="Q194" s="27">
        <f>ROUNDUP(O194/'Methodology &amp; Assumptions'!$B$8, 0)</f>
        <v/>
      </c>
      <c r="R194" s="27" t="n">
        <v>1</v>
      </c>
      <c r="S194" s="26" t="n">
        <v>0.65</v>
      </c>
      <c r="T194" s="26" t="n">
        <v>0.3</v>
      </c>
      <c r="U194" s="11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26" t="n">
        <v>83.98999999999999</v>
      </c>
      <c r="W194" s="26" t="n">
        <v>45.49</v>
      </c>
      <c r="X194" s="26">
        <f>ROUND(('Methodology &amp; Assumptions'!$B$5*V194) + ('Methodology &amp; Assumptions'!$B$6*W194), 2)</f>
        <v/>
      </c>
      <c r="Y194" s="28" t="n">
        <v>7.2</v>
      </c>
      <c r="Z194" s="11" t="inlineStr">
        <is>
          <t>Priority Tier 2 (Balanced Opportunity)</t>
        </is>
      </c>
    </row>
    <row r="195">
      <c r="A195" s="23" t="n">
        <v>2</v>
      </c>
      <c r="B195" s="23" t="n">
        <v>191</v>
      </c>
      <c r="C195" s="23" t="n">
        <v>1191</v>
      </c>
      <c r="D195" s="23" t="inlineStr">
        <is>
          <t>0405813004</t>
        </is>
      </c>
      <c r="E195" s="11" t="inlineStr">
        <is>
          <t>Region IV-A (CALABARZON)</t>
        </is>
      </c>
      <c r="F195" s="11" t="inlineStr">
        <is>
          <t>Rizal</t>
        </is>
      </c>
      <c r="G195" s="11" t="inlineStr">
        <is>
          <t>Taytay</t>
        </is>
      </c>
      <c r="H195" s="11" t="inlineStr">
        <is>
          <t>San Juan</t>
        </is>
      </c>
      <c r="I195" s="24" t="n">
        <v>14.55591</v>
      </c>
      <c r="J195" s="24" t="n">
        <v>121.141</v>
      </c>
      <c r="K195" s="23" t="inlineStr">
        <is>
          <t>U</t>
        </is>
      </c>
      <c r="L195" s="25" t="n">
        <v>122533</v>
      </c>
      <c r="M195" s="26" t="n">
        <v>3.6</v>
      </c>
      <c r="N195" s="25">
        <f>ROUND(L195/M195, 0)</f>
        <v/>
      </c>
      <c r="O195" s="25">
        <f>ROUND(N195*'Methodology &amp; Assumptions'!$B$7, 0)</f>
        <v/>
      </c>
      <c r="P195" s="23" t="inlineStr">
        <is>
          <t>Single Carrier (Band n50, 100MHz TDD)</t>
        </is>
      </c>
      <c r="Q195" s="27">
        <f>ROUNDUP(O195/'Methodology &amp; Assumptions'!$B$8, 0)</f>
        <v/>
      </c>
      <c r="R195" s="27" t="n">
        <v>1</v>
      </c>
      <c r="S195" s="26" t="n">
        <v>0.61</v>
      </c>
      <c r="T195" s="26" t="n">
        <v>0.37</v>
      </c>
      <c r="U195" s="11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26" t="n">
        <v>74.88</v>
      </c>
      <c r="W195" s="26" t="n">
        <v>54.6</v>
      </c>
      <c r="X195" s="26">
        <f>ROUND(('Methodology &amp; Assumptions'!$B$5*V195) + ('Methodology &amp; Assumptions'!$B$6*W195), 2)</f>
        <v/>
      </c>
      <c r="Y195" s="28" t="n">
        <v>7.2</v>
      </c>
      <c r="Z195" s="11" t="inlineStr">
        <is>
          <t>Priority Tier 2 (Balanced Opportunity)</t>
        </is>
      </c>
    </row>
    <row r="196">
      <c r="A196" s="23" t="n">
        <v>2</v>
      </c>
      <c r="B196" s="23" t="n">
        <v>192</v>
      </c>
      <c r="C196" s="23" t="n">
        <v>1192</v>
      </c>
      <c r="D196" s="23" t="inlineStr">
        <is>
          <t>1102501012</t>
        </is>
      </c>
      <c r="E196" s="11" t="inlineStr">
        <is>
          <t>Region XI (Davao Region)</t>
        </is>
      </c>
      <c r="F196" s="11" t="inlineStr">
        <is>
          <t>Davao Oriental</t>
        </is>
      </c>
      <c r="G196" s="11" t="inlineStr">
        <is>
          <t>Baganga</t>
        </is>
      </c>
      <c r="H196" s="11" t="inlineStr">
        <is>
          <t>Mahanub</t>
        </is>
      </c>
      <c r="I196" s="24" t="n">
        <v>7.576635</v>
      </c>
      <c r="J196" s="24" t="n">
        <v>126.495935</v>
      </c>
      <c r="K196" s="23" t="inlineStr">
        <is>
          <t>R</t>
        </is>
      </c>
      <c r="L196" s="25" t="n">
        <v>4568</v>
      </c>
      <c r="M196" s="26" t="n">
        <v>3.6</v>
      </c>
      <c r="N196" s="25">
        <f>ROUND(L196/M196, 0)</f>
        <v/>
      </c>
      <c r="O196" s="25">
        <f>ROUND(N196*'Methodology &amp; Assumptions'!$B$7, 0)</f>
        <v/>
      </c>
      <c r="P196" s="23" t="inlineStr">
        <is>
          <t>Single Carrier (Band n50, 100MHz TDD)</t>
        </is>
      </c>
      <c r="Q196" s="27">
        <f>ROUNDUP(O196/'Methodology &amp; Assumptions'!$B$8, 0)</f>
        <v/>
      </c>
      <c r="R196" s="27" t="n">
        <v>1</v>
      </c>
      <c r="S196" s="26" t="n">
        <v>55.91</v>
      </c>
      <c r="T196" s="26" t="n">
        <v>55.82</v>
      </c>
      <c r="U196" s="11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26" t="n">
        <v>61.82</v>
      </c>
      <c r="W196" s="26" t="n">
        <v>67.67</v>
      </c>
      <c r="X196" s="26">
        <f>ROUND(('Methodology &amp; Assumptions'!$B$5*V196) + ('Methodology &amp; Assumptions'!$B$6*W196), 2)</f>
        <v/>
      </c>
      <c r="Y196" s="28" t="n">
        <v>17.4</v>
      </c>
      <c r="Z196" s="11" t="inlineStr">
        <is>
          <t>Priority Tier 2 (Balanced Opportunity)</t>
        </is>
      </c>
    </row>
    <row r="197">
      <c r="A197" s="23" t="n">
        <v>2</v>
      </c>
      <c r="B197" s="23" t="n">
        <v>193</v>
      </c>
      <c r="C197" s="23" t="n">
        <v>1193</v>
      </c>
      <c r="D197" s="23" t="inlineStr">
        <is>
          <t>1380601213</t>
        </is>
      </c>
      <c r="E197" s="11" t="inlineStr">
        <is>
          <t>National Capital Region (NCR)</t>
        </is>
      </c>
      <c r="F197" s="11" t="inlineStr">
        <is>
          <t>First District (Not a Province)</t>
        </is>
      </c>
      <c r="G197" s="11" t="inlineStr">
        <is>
          <t>City of Manila</t>
        </is>
      </c>
      <c r="H197" s="11" t="inlineStr">
        <is>
          <t>Barangay 212</t>
        </is>
      </c>
      <c r="I197" s="24" t="n">
        <v>14.62574</v>
      </c>
      <c r="J197" s="24" t="n">
        <v>120.9795</v>
      </c>
      <c r="K197" s="23" t="inlineStr">
        <is>
          <t>U</t>
        </is>
      </c>
      <c r="L197" s="25" t="n">
        <v>2131</v>
      </c>
      <c r="M197" s="26" t="n">
        <v>3.9</v>
      </c>
      <c r="N197" s="25">
        <f>ROUND(L197/M197, 0)</f>
        <v/>
      </c>
      <c r="O197" s="25">
        <f>ROUND(N197*'Methodology &amp; Assumptions'!$B$7, 0)</f>
        <v/>
      </c>
      <c r="P197" s="23" t="inlineStr">
        <is>
          <t>Single Carrier (Band n50, 100MHz TDD)</t>
        </is>
      </c>
      <c r="Q197" s="27">
        <f>ROUNDUP(O197/'Methodology &amp; Assumptions'!$B$8, 0)</f>
        <v/>
      </c>
      <c r="R197" s="27" t="n">
        <v>1</v>
      </c>
      <c r="S197" s="26" t="n">
        <v>0.68</v>
      </c>
      <c r="T197" s="26" t="n">
        <v>0.09</v>
      </c>
      <c r="U197" s="11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26" t="n">
        <v>58.66</v>
      </c>
      <c r="W197" s="26" t="n">
        <v>70.81999999999999</v>
      </c>
      <c r="X197" s="26">
        <f>ROUND(('Methodology &amp; Assumptions'!$B$5*V197) + ('Methodology &amp; Assumptions'!$B$6*W197), 2)</f>
        <v/>
      </c>
      <c r="Y197" s="28" t="n">
        <v>10.9</v>
      </c>
      <c r="Z197" s="11" t="inlineStr">
        <is>
          <t>Priority Tier 2 (Balanced Opportunity)</t>
        </is>
      </c>
    </row>
    <row r="198">
      <c r="A198" s="23" t="n">
        <v>2</v>
      </c>
      <c r="B198" s="23" t="n">
        <v>194</v>
      </c>
      <c r="C198" s="23" t="n">
        <v>1194</v>
      </c>
      <c r="D198" s="23" t="inlineStr">
        <is>
          <t>0205009007</t>
        </is>
      </c>
      <c r="E198" s="11" t="inlineStr">
        <is>
          <t>Region II (Cagayan Valley)</t>
        </is>
      </c>
      <c r="F198" s="11" t="inlineStr">
        <is>
          <t>Nueva Vizcaya</t>
        </is>
      </c>
      <c r="G198" s="11" t="inlineStr">
        <is>
          <t>Kasibu</t>
        </is>
      </c>
      <c r="H198" s="11" t="inlineStr">
        <is>
          <t>Biyoy</t>
        </is>
      </c>
      <c r="I198" s="24" t="n">
        <v>16.355791</v>
      </c>
      <c r="J198" s="24" t="n">
        <v>121.428476</v>
      </c>
      <c r="K198" s="23" t="inlineStr">
        <is>
          <t>R</t>
        </is>
      </c>
      <c r="L198" s="25" t="n">
        <v>2296</v>
      </c>
      <c r="M198" s="26" t="n">
        <v>3.8</v>
      </c>
      <c r="N198" s="25">
        <f>ROUND(L198/M198, 0)</f>
        <v/>
      </c>
      <c r="O198" s="25">
        <f>ROUND(N198*'Methodology &amp; Assumptions'!$B$7, 0)</f>
        <v/>
      </c>
      <c r="P198" s="23" t="inlineStr">
        <is>
          <t>Single Carrier (Band n50, 100MHz TDD)</t>
        </is>
      </c>
      <c r="Q198" s="27">
        <f>ROUNDUP(O198/'Methodology &amp; Assumptions'!$B$8, 0)</f>
        <v/>
      </c>
      <c r="R198" s="27" t="n">
        <v>1</v>
      </c>
      <c r="S198" s="26" t="n">
        <v>14.97</v>
      </c>
      <c r="T198" s="26" t="n">
        <v>21.9</v>
      </c>
      <c r="U198" s="11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26" t="n">
        <v>53.52</v>
      </c>
      <c r="W198" s="26" t="n">
        <v>75.97</v>
      </c>
      <c r="X198" s="26">
        <f>ROUND(('Methodology &amp; Assumptions'!$B$5*V198) + ('Methodology &amp; Assumptions'!$B$6*W198), 2)</f>
        <v/>
      </c>
      <c r="Y198" s="28" t="n">
        <v>8.300000000000001</v>
      </c>
      <c r="Z198" s="11" t="inlineStr">
        <is>
          <t>Priority Tier 2 (Balanced Opportunity)</t>
        </is>
      </c>
    </row>
    <row r="199">
      <c r="A199" s="23" t="n">
        <v>2</v>
      </c>
      <c r="B199" s="23" t="n">
        <v>195</v>
      </c>
      <c r="C199" s="23" t="n">
        <v>1195</v>
      </c>
      <c r="D199" s="23" t="inlineStr">
        <is>
          <t>1381200020</t>
        </is>
      </c>
      <c r="E199" s="11" t="inlineStr">
        <is>
          <t>National Capital Region (NCR)</t>
        </is>
      </c>
      <c r="F199" s="11" t="inlineStr">
        <is>
          <t>Second District (Not a Province)</t>
        </is>
      </c>
      <c r="G199" s="11" t="inlineStr">
        <is>
          <t>City of Pasig</t>
        </is>
      </c>
      <c r="H199" s="11" t="inlineStr">
        <is>
          <t>San Joaquin</t>
        </is>
      </c>
      <c r="I199" s="24" t="n">
        <v>14.552143</v>
      </c>
      <c r="J199" s="24" t="n">
        <v>121.079696</v>
      </c>
      <c r="K199" s="23" t="inlineStr">
        <is>
          <t>U</t>
        </is>
      </c>
      <c r="L199" s="25" t="n">
        <v>14211</v>
      </c>
      <c r="M199" s="26" t="n">
        <v>4.54</v>
      </c>
      <c r="N199" s="25">
        <f>ROUND(L199/M199, 0)</f>
        <v/>
      </c>
      <c r="O199" s="25">
        <f>ROUND(N199*'Methodology &amp; Assumptions'!$B$7, 0)</f>
        <v/>
      </c>
      <c r="P199" s="23" t="inlineStr">
        <is>
          <t>Single Carrier (Band n50, 100MHz TDD)</t>
        </is>
      </c>
      <c r="Q199" s="27">
        <f>ROUNDUP(O199/'Methodology &amp; Assumptions'!$B$8, 0)</f>
        <v/>
      </c>
      <c r="R199" s="27" t="n">
        <v>1</v>
      </c>
      <c r="S199" s="26" t="n">
        <v>0.97</v>
      </c>
      <c r="T199" s="26" t="n">
        <v>0.24</v>
      </c>
      <c r="U199" s="11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26" t="n">
        <v>68.59</v>
      </c>
      <c r="W199" s="26" t="n">
        <v>60.86</v>
      </c>
      <c r="X199" s="26">
        <f>ROUND(('Methodology &amp; Assumptions'!$B$5*V199) + ('Methodology &amp; Assumptions'!$B$6*W199), 2)</f>
        <v/>
      </c>
      <c r="Y199" s="28" t="n">
        <v>10.9</v>
      </c>
      <c r="Z199" s="11" t="inlineStr">
        <is>
          <t>Priority Tier 2 (Balanced Opportunity)</t>
        </is>
      </c>
    </row>
    <row r="200">
      <c r="A200" s="23" t="n">
        <v>2</v>
      </c>
      <c r="B200" s="23" t="n">
        <v>196</v>
      </c>
      <c r="C200" s="23" t="n">
        <v>1196</v>
      </c>
      <c r="D200" s="23" t="inlineStr">
        <is>
          <t>1705109023</t>
        </is>
      </c>
      <c r="E200" s="11" t="inlineStr">
        <is>
          <t>MIMAROPA Region</t>
        </is>
      </c>
      <c r="F200" s="11" t="inlineStr">
        <is>
          <t>Occidental Mindoro</t>
        </is>
      </c>
      <c r="G200" s="11" t="inlineStr">
        <is>
          <t>Sablayan</t>
        </is>
      </c>
      <c r="H200" s="11" t="inlineStr">
        <is>
          <t>Malisbong</t>
        </is>
      </c>
      <c r="I200" s="24" t="n">
        <v>12.770086</v>
      </c>
      <c r="J200" s="24" t="n">
        <v>120.842709</v>
      </c>
      <c r="K200" s="23" t="inlineStr">
        <is>
          <t>R</t>
        </is>
      </c>
      <c r="L200" s="25" t="n">
        <v>4495</v>
      </c>
      <c r="M200" s="26" t="n">
        <v>3.9</v>
      </c>
      <c r="N200" s="25">
        <f>ROUND(L200/M200, 0)</f>
        <v/>
      </c>
      <c r="O200" s="25">
        <f>ROUND(N200*'Methodology &amp; Assumptions'!$B$7, 0)</f>
        <v/>
      </c>
      <c r="P200" s="23" t="inlineStr">
        <is>
          <t>Single Carrier (Band n50, 100MHz TDD)</t>
        </is>
      </c>
      <c r="Q200" s="27">
        <f>ROUNDUP(O200/'Methodology &amp; Assumptions'!$B$8, 0)</f>
        <v/>
      </c>
      <c r="R200" s="27" t="n">
        <v>1</v>
      </c>
      <c r="S200" s="26" t="n">
        <v>52.48</v>
      </c>
      <c r="T200" s="26" t="n">
        <v>50</v>
      </c>
      <c r="U200" s="11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26" t="n">
        <v>61.44</v>
      </c>
      <c r="W200" s="26" t="n">
        <v>68.02</v>
      </c>
      <c r="X200" s="26">
        <f>ROUND(('Methodology &amp; Assumptions'!$B$5*V200) + ('Methodology &amp; Assumptions'!$B$6*W200), 2)</f>
        <v/>
      </c>
      <c r="Y200" s="28" t="n">
        <v>15</v>
      </c>
      <c r="Z200" s="11" t="inlineStr">
        <is>
          <t>Priority Tier 2 (Balanced Opportunity)</t>
        </is>
      </c>
    </row>
    <row r="201">
      <c r="A201" s="23" t="n">
        <v>2</v>
      </c>
      <c r="B201" s="23" t="n">
        <v>197</v>
      </c>
      <c r="C201" s="23" t="n">
        <v>1197</v>
      </c>
      <c r="D201" s="23" t="inlineStr">
        <is>
          <t>1380601034</t>
        </is>
      </c>
      <c r="E201" s="11" t="inlineStr">
        <is>
          <t>National Capital Region (NCR)</t>
        </is>
      </c>
      <c r="F201" s="11" t="inlineStr">
        <is>
          <t>First District (Not a Province)</t>
        </is>
      </c>
      <c r="G201" s="11" t="inlineStr">
        <is>
          <t>City of Manila</t>
        </is>
      </c>
      <c r="H201" s="11" t="inlineStr">
        <is>
          <t>Barangay 34</t>
        </is>
      </c>
      <c r="I201" s="24" t="n">
        <v>14.605704</v>
      </c>
      <c r="J201" s="24" t="n">
        <v>120.962804</v>
      </c>
      <c r="K201" s="23" t="inlineStr">
        <is>
          <t>U</t>
        </is>
      </c>
      <c r="L201" s="25" t="n">
        <v>1930</v>
      </c>
      <c r="M201" s="26" t="n">
        <v>4.8</v>
      </c>
      <c r="N201" s="25">
        <f>ROUND(L201/M201, 0)</f>
        <v/>
      </c>
      <c r="O201" s="25">
        <f>ROUND(N201*'Methodology &amp; Assumptions'!$B$7, 0)</f>
        <v/>
      </c>
      <c r="P201" s="23" t="inlineStr">
        <is>
          <t>Single Carrier (Band n50, 100MHz TDD)</t>
        </is>
      </c>
      <c r="Q201" s="27">
        <f>ROUNDUP(O201/'Methodology &amp; Assumptions'!$B$8, 0)</f>
        <v/>
      </c>
      <c r="R201" s="27" t="n">
        <v>1</v>
      </c>
      <c r="S201" s="26" t="n">
        <v>0.75</v>
      </c>
      <c r="T201" s="26" t="n">
        <v>0.75</v>
      </c>
      <c r="U201" s="11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26" t="n">
        <v>54.05</v>
      </c>
      <c r="W201" s="26" t="n">
        <v>75.38</v>
      </c>
      <c r="X201" s="26">
        <f>ROUND(('Methodology &amp; Assumptions'!$B$5*V201) + ('Methodology &amp; Assumptions'!$B$6*W201), 2)</f>
        <v/>
      </c>
      <c r="Y201" s="28" t="n">
        <v>10.9</v>
      </c>
      <c r="Z201" s="11" t="inlineStr">
        <is>
          <t>Priority Tier 2 (Balanced Opportunity)</t>
        </is>
      </c>
    </row>
    <row r="202">
      <c r="A202" s="23" t="n">
        <v>2</v>
      </c>
      <c r="B202" s="23" t="n">
        <v>198</v>
      </c>
      <c r="C202" s="23" t="n">
        <v>1198</v>
      </c>
      <c r="D202" s="23" t="inlineStr">
        <is>
          <t>0402115013</t>
        </is>
      </c>
      <c r="E202" s="11" t="inlineStr">
        <is>
          <t>Region IV-A (CALABARZON)</t>
        </is>
      </c>
      <c r="F202" s="11" t="inlineStr">
        <is>
          <t>Cavite</t>
        </is>
      </c>
      <c r="G202" s="11" t="inlineStr">
        <is>
          <t>Naic</t>
        </is>
      </c>
      <c r="H202" s="11" t="inlineStr">
        <is>
          <t>Ibayo Silangan</t>
        </is>
      </c>
      <c r="I202" s="24" t="n">
        <v>14.322248</v>
      </c>
      <c r="J202" s="24" t="n">
        <v>120.767527</v>
      </c>
      <c r="K202" s="23" t="inlineStr">
        <is>
          <t>U</t>
        </is>
      </c>
      <c r="L202" s="25" t="n">
        <v>11097</v>
      </c>
      <c r="M202" s="26" t="n">
        <v>3.4</v>
      </c>
      <c r="N202" s="25">
        <f>ROUND(L202/M202, 0)</f>
        <v/>
      </c>
      <c r="O202" s="25">
        <f>ROUND(N202*'Methodology &amp; Assumptions'!$B$7, 0)</f>
        <v/>
      </c>
      <c r="P202" s="23" t="inlineStr">
        <is>
          <t>Single Carrier (Band n50, 100MHz TDD)</t>
        </is>
      </c>
      <c r="Q202" s="27">
        <f>ROUNDUP(O202/'Methodology &amp; Assumptions'!$B$8, 0)</f>
        <v/>
      </c>
      <c r="R202" s="27" t="n">
        <v>1</v>
      </c>
      <c r="S202" s="26" t="n">
        <v>0.45</v>
      </c>
      <c r="T202" s="26" t="n">
        <v>0.44</v>
      </c>
      <c r="U202" s="11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26" t="n">
        <v>78.26000000000001</v>
      </c>
      <c r="W202" s="26" t="n">
        <v>51.17</v>
      </c>
      <c r="X202" s="26">
        <f>ROUND(('Methodology &amp; Assumptions'!$B$5*V202) + ('Methodology &amp; Assumptions'!$B$6*W202), 2)</f>
        <v/>
      </c>
      <c r="Y202" s="28" t="n">
        <v>7.2</v>
      </c>
      <c r="Z202" s="11" t="inlineStr">
        <is>
          <t>Priority Tier 2 (Balanced Opportunity)</t>
        </is>
      </c>
    </row>
    <row r="203">
      <c r="A203" s="23" t="n">
        <v>2</v>
      </c>
      <c r="B203" s="23" t="n">
        <v>199</v>
      </c>
      <c r="C203" s="23" t="n">
        <v>1199</v>
      </c>
      <c r="D203" s="23" t="inlineStr">
        <is>
          <t>0402104008</t>
        </is>
      </c>
      <c r="E203" s="11" t="inlineStr">
        <is>
          <t>Region IV-A (CALABARZON)</t>
        </is>
      </c>
      <c r="F203" s="11" t="inlineStr">
        <is>
          <t>Cavite</t>
        </is>
      </c>
      <c r="G203" s="11" t="inlineStr">
        <is>
          <t>Carmona</t>
        </is>
      </c>
      <c r="H203" s="11" t="inlineStr">
        <is>
          <t>Lantic</t>
        </is>
      </c>
      <c r="I203" s="24" t="n">
        <v>14.298415</v>
      </c>
      <c r="J203" s="24" t="n">
        <v>121.049651</v>
      </c>
      <c r="K203" s="23" t="inlineStr">
        <is>
          <t>U</t>
        </is>
      </c>
      <c r="L203" s="25" t="n">
        <v>26024</v>
      </c>
      <c r="M203" s="26" t="n">
        <v>3.4</v>
      </c>
      <c r="N203" s="25">
        <f>ROUND(L203/M203, 0)</f>
        <v/>
      </c>
      <c r="O203" s="25">
        <f>ROUND(N203*'Methodology &amp; Assumptions'!$B$7, 0)</f>
        <v/>
      </c>
      <c r="P203" s="23" t="inlineStr">
        <is>
          <t>Single Carrier (Band n50, 100MHz TDD)</t>
        </is>
      </c>
      <c r="Q203" s="27">
        <f>ROUNDUP(O203/'Methodology &amp; Assumptions'!$B$8, 0)</f>
        <v/>
      </c>
      <c r="R203" s="27" t="n">
        <v>1</v>
      </c>
      <c r="S203" s="26" t="n">
        <v>1.09</v>
      </c>
      <c r="T203" s="26" t="n">
        <v>1.39</v>
      </c>
      <c r="U203" s="11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26" t="n">
        <v>77.23</v>
      </c>
      <c r="W203" s="26" t="n">
        <v>52.18</v>
      </c>
      <c r="X203" s="26">
        <f>ROUND(('Methodology &amp; Assumptions'!$B$5*V203) + ('Methodology &amp; Assumptions'!$B$6*W203), 2)</f>
        <v/>
      </c>
      <c r="Y203" s="28" t="n">
        <v>7.2</v>
      </c>
      <c r="Z203" s="11" t="inlineStr">
        <is>
          <t>Priority Tier 2 (Balanced Opportunity)</t>
        </is>
      </c>
    </row>
    <row r="204">
      <c r="A204" s="23" t="n">
        <v>2</v>
      </c>
      <c r="B204" s="23" t="n">
        <v>200</v>
      </c>
      <c r="C204" s="23" t="n">
        <v>1200</v>
      </c>
      <c r="D204" s="23" t="inlineStr">
        <is>
          <t>0403408007</t>
        </is>
      </c>
      <c r="E204" s="11" t="inlineStr">
        <is>
          <t>Region IV-A (CALABARZON)</t>
        </is>
      </c>
      <c r="F204" s="11" t="inlineStr">
        <is>
          <t>Laguna</t>
        </is>
      </c>
      <c r="G204" s="11" t="inlineStr">
        <is>
          <t>Famy</t>
        </is>
      </c>
      <c r="H204" s="11" t="inlineStr">
        <is>
          <t>Bulihan</t>
        </is>
      </c>
      <c r="I204" s="24" t="n">
        <v>14.443961</v>
      </c>
      <c r="J204" s="24" t="n">
        <v>121.448213</v>
      </c>
      <c r="K204" s="23" t="inlineStr">
        <is>
          <t>R</t>
        </is>
      </c>
      <c r="L204" s="25" t="n">
        <v>3109</v>
      </c>
      <c r="M204" s="26" t="n">
        <v>3.3</v>
      </c>
      <c r="N204" s="25">
        <f>ROUND(L204/M204, 0)</f>
        <v/>
      </c>
      <c r="O204" s="25">
        <f>ROUND(N204*'Methodology &amp; Assumptions'!$B$7, 0)</f>
        <v/>
      </c>
      <c r="P204" s="23" t="inlineStr">
        <is>
          <t>Single Carrier (Band n50, 100MHz TDD)</t>
        </is>
      </c>
      <c r="Q204" s="27">
        <f>ROUNDUP(O204/'Methodology &amp; Assumptions'!$B$8, 0)</f>
        <v/>
      </c>
      <c r="R204" s="27" t="n">
        <v>1</v>
      </c>
      <c r="S204" s="26" t="n">
        <v>0.96</v>
      </c>
      <c r="T204" s="26" t="n">
        <v>0.78</v>
      </c>
      <c r="U204" s="11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26" t="n">
        <v>87.63</v>
      </c>
      <c r="W204" s="26" t="n">
        <v>41.76</v>
      </c>
      <c r="X204" s="26">
        <f>ROUND(('Methodology &amp; Assumptions'!$B$5*V204) + ('Methodology &amp; Assumptions'!$B$6*W204), 2)</f>
        <v/>
      </c>
      <c r="Y204" s="28" t="n">
        <v>7.2</v>
      </c>
      <c r="Z204" s="11" t="inlineStr">
        <is>
          <t>Priority Tier 2 (Balanced Opportunity)</t>
        </is>
      </c>
    </row>
    <row r="205">
      <c r="A205" s="23" t="n">
        <v>2</v>
      </c>
      <c r="B205" s="23" t="n">
        <v>201</v>
      </c>
      <c r="C205" s="23" t="n">
        <v>1201</v>
      </c>
      <c r="D205" s="23" t="inlineStr">
        <is>
          <t>0402123014</t>
        </is>
      </c>
      <c r="E205" s="11" t="inlineStr">
        <is>
          <t>Region IV-A (CALABARZON)</t>
        </is>
      </c>
      <c r="F205" s="11" t="inlineStr">
        <is>
          <t>Cavite</t>
        </is>
      </c>
      <c r="G205" s="11" t="inlineStr">
        <is>
          <t>Gen. Mariano Alvarez</t>
        </is>
      </c>
      <c r="H205" s="11" t="inlineStr">
        <is>
          <t>Gregoria De Jesus</t>
        </is>
      </c>
      <c r="I205" s="24" t="n">
        <v>14.318091</v>
      </c>
      <c r="J205" s="24" t="n">
        <v>121.040319</v>
      </c>
      <c r="K205" s="23" t="inlineStr">
        <is>
          <t>U</t>
        </is>
      </c>
      <c r="L205" s="25" t="n">
        <v>11804</v>
      </c>
      <c r="M205" s="26" t="n">
        <v>3.4</v>
      </c>
      <c r="N205" s="25">
        <f>ROUND(L205/M205, 0)</f>
        <v/>
      </c>
      <c r="O205" s="25">
        <f>ROUND(N205*'Methodology &amp; Assumptions'!$B$7, 0)</f>
        <v/>
      </c>
      <c r="P205" s="23" t="inlineStr">
        <is>
          <t>Single Carrier (Band n50, 100MHz TDD)</t>
        </is>
      </c>
      <c r="Q205" s="27">
        <f>ROUNDUP(O205/'Methodology &amp; Assumptions'!$B$8, 0)</f>
        <v/>
      </c>
      <c r="R205" s="27" t="n">
        <v>1</v>
      </c>
      <c r="S205" s="26" t="n">
        <v>0.8100000000000001</v>
      </c>
      <c r="T205" s="26" t="n">
        <v>1.32</v>
      </c>
      <c r="U205" s="11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26" t="n">
        <v>78.26000000000001</v>
      </c>
      <c r="W205" s="26" t="n">
        <v>51.13</v>
      </c>
      <c r="X205" s="26">
        <f>ROUND(('Methodology &amp; Assumptions'!$B$5*V205) + ('Methodology &amp; Assumptions'!$B$6*W205), 2)</f>
        <v/>
      </c>
      <c r="Y205" s="28" t="n">
        <v>7.2</v>
      </c>
      <c r="Z205" s="11" t="inlineStr">
        <is>
          <t>Priority Tier 2 (Balanced Opportunity)</t>
        </is>
      </c>
    </row>
    <row r="206">
      <c r="A206" s="23" t="n">
        <v>2</v>
      </c>
      <c r="B206" s="23" t="n">
        <v>202</v>
      </c>
      <c r="C206" s="23" t="n">
        <v>1202</v>
      </c>
      <c r="D206" s="23" t="inlineStr">
        <is>
          <t>0301420024</t>
        </is>
      </c>
      <c r="E206" s="11" t="inlineStr">
        <is>
          <t>Region III (Central Luzon)</t>
        </is>
      </c>
      <c r="F206" s="11" t="inlineStr">
        <is>
          <t>Bulacan</t>
        </is>
      </c>
      <c r="G206" s="11" t="inlineStr">
        <is>
          <t>City of San Jose Del Monte</t>
        </is>
      </c>
      <c r="H206" s="11" t="inlineStr">
        <is>
          <t>Fatima III</t>
        </is>
      </c>
      <c r="I206" s="24" t="n">
        <v>14.845303</v>
      </c>
      <c r="J206" s="24" t="n">
        <v>121.045912</v>
      </c>
      <c r="K206" s="23" t="inlineStr">
        <is>
          <t>R</t>
        </is>
      </c>
      <c r="L206" s="25" t="n">
        <v>2038</v>
      </c>
      <c r="M206" s="26" t="n">
        <v>3.5</v>
      </c>
      <c r="N206" s="25">
        <f>ROUND(L206/M206, 0)</f>
        <v/>
      </c>
      <c r="O206" s="25">
        <f>ROUND(N206*'Methodology &amp; Assumptions'!$B$7, 0)</f>
        <v/>
      </c>
      <c r="P206" s="23" t="inlineStr">
        <is>
          <t>Single Carrier (Band n50, 100MHz TDD)</t>
        </is>
      </c>
      <c r="Q206" s="27">
        <f>ROUNDUP(O206/'Methodology &amp; Assumptions'!$B$8, 0)</f>
        <v/>
      </c>
      <c r="R206" s="27" t="n">
        <v>1</v>
      </c>
      <c r="S206" s="26" t="n">
        <v>1.02</v>
      </c>
      <c r="T206" s="26" t="n">
        <v>1.69</v>
      </c>
      <c r="U206" s="11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26" t="n">
        <v>77.28</v>
      </c>
      <c r="W206" s="26" t="n">
        <v>52.1</v>
      </c>
      <c r="X206" s="26">
        <f>ROUND(('Methodology &amp; Assumptions'!$B$5*V206) + ('Methodology &amp; Assumptions'!$B$6*W206), 2)</f>
        <v/>
      </c>
      <c r="Y206" s="28" t="n">
        <v>8.300000000000001</v>
      </c>
      <c r="Z206" s="11" t="inlineStr">
        <is>
          <t>Priority Tier 2 (Balanced Opportunity)</t>
        </is>
      </c>
    </row>
    <row r="207">
      <c r="A207" s="23" t="n">
        <v>2</v>
      </c>
      <c r="B207" s="23" t="n">
        <v>203</v>
      </c>
      <c r="C207" s="23" t="n">
        <v>1203</v>
      </c>
      <c r="D207" s="23" t="inlineStr">
        <is>
          <t>0300803012</t>
        </is>
      </c>
      <c r="E207" s="11" t="inlineStr">
        <is>
          <t>Region III (Central Luzon)</t>
        </is>
      </c>
      <c r="F207" s="11" t="inlineStr">
        <is>
          <t>Bataan</t>
        </is>
      </c>
      <c r="G207" s="11" t="inlineStr">
        <is>
          <t>City of Balanga</t>
        </is>
      </c>
      <c r="H207" s="11" t="inlineStr">
        <is>
          <t>Malabia</t>
        </is>
      </c>
      <c r="I207" s="24" t="n">
        <v>14.683854</v>
      </c>
      <c r="J207" s="24" t="n">
        <v>120.53875</v>
      </c>
      <c r="K207" s="23" t="inlineStr">
        <is>
          <t>R</t>
        </is>
      </c>
      <c r="L207" s="25" t="n">
        <v>757</v>
      </c>
      <c r="M207" s="26" t="n">
        <v>3.6</v>
      </c>
      <c r="N207" s="25">
        <f>ROUND(L207/M207, 0)</f>
        <v/>
      </c>
      <c r="O207" s="25">
        <f>ROUND(N207*'Methodology &amp; Assumptions'!$B$7, 0)</f>
        <v/>
      </c>
      <c r="P207" s="23" t="inlineStr">
        <is>
          <t>Single Carrier (Band n50, 100MHz TDD)</t>
        </is>
      </c>
      <c r="Q207" s="27">
        <f>ROUNDUP(O207/'Methodology &amp; Assumptions'!$B$8, 0)</f>
        <v/>
      </c>
      <c r="R207" s="27" t="n">
        <v>1</v>
      </c>
      <c r="S207" s="26" t="n">
        <v>0.15</v>
      </c>
      <c r="T207" s="26" t="n">
        <v>0.15</v>
      </c>
      <c r="U207" s="11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26" t="n">
        <v>65.84999999999999</v>
      </c>
      <c r="W207" s="26" t="n">
        <v>63.52</v>
      </c>
      <c r="X207" s="26">
        <f>ROUND(('Methodology &amp; Assumptions'!$B$5*V207) + ('Methodology &amp; Assumptions'!$B$6*W207), 2)</f>
        <v/>
      </c>
      <c r="Y207" s="28" t="n">
        <v>8.300000000000001</v>
      </c>
      <c r="Z207" s="11" t="inlineStr">
        <is>
          <t>Priority Tier 2 (Balanced Opportunity)</t>
        </is>
      </c>
    </row>
    <row r="208">
      <c r="A208" s="23" t="n">
        <v>2</v>
      </c>
      <c r="B208" s="23" t="n">
        <v>204</v>
      </c>
      <c r="C208" s="23" t="n">
        <v>1204</v>
      </c>
      <c r="D208" s="23" t="inlineStr">
        <is>
          <t>1381100097</t>
        </is>
      </c>
      <c r="E208" s="11" t="inlineStr">
        <is>
          <t>National Capital Region (NCR)</t>
        </is>
      </c>
      <c r="F208" s="11" t="inlineStr">
        <is>
          <t>Fourth District (Not a Province)</t>
        </is>
      </c>
      <c r="G208" s="11" t="inlineStr">
        <is>
          <t>Pasay City</t>
        </is>
      </c>
      <c r="H208" s="11" t="inlineStr">
        <is>
          <t>Barangay 97</t>
        </is>
      </c>
      <c r="I208" s="24" t="n">
        <v>14.621551</v>
      </c>
      <c r="J208" s="24" t="n">
        <v>120.964847</v>
      </c>
      <c r="K208" s="23" t="inlineStr">
        <is>
          <t>U</t>
        </is>
      </c>
      <c r="L208" s="25" t="n">
        <v>1291</v>
      </c>
      <c r="M208" s="26" t="n">
        <v>2.86</v>
      </c>
      <c r="N208" s="25">
        <f>ROUND(L208/M208, 0)</f>
        <v/>
      </c>
      <c r="O208" s="25">
        <f>ROUND(N208*'Methodology &amp; Assumptions'!$B$7, 0)</f>
        <v/>
      </c>
      <c r="P208" s="23" t="inlineStr">
        <is>
          <t>Single Carrier (Band n50, 100MHz TDD)</t>
        </is>
      </c>
      <c r="Q208" s="27">
        <f>ROUNDUP(O208/'Methodology &amp; Assumptions'!$B$8, 0)</f>
        <v/>
      </c>
      <c r="R208" s="27" t="n">
        <v>1</v>
      </c>
      <c r="S208" s="26" t="n">
        <v>0.46</v>
      </c>
      <c r="T208" s="26" t="n">
        <v>0.24</v>
      </c>
      <c r="U208" s="11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26" t="n">
        <v>55.55</v>
      </c>
      <c r="W208" s="26" t="n">
        <v>73.81999999999999</v>
      </c>
      <c r="X208" s="26">
        <f>ROUND(('Methodology &amp; Assumptions'!$B$5*V208) + ('Methodology &amp; Assumptions'!$B$6*W208), 2)</f>
        <v/>
      </c>
      <c r="Y208" s="28" t="n">
        <v>10.9</v>
      </c>
      <c r="Z208" s="11" t="inlineStr">
        <is>
          <t>Priority Tier 2 (Balanced Opportunity)</t>
        </is>
      </c>
    </row>
    <row r="209">
      <c r="A209" s="23" t="n">
        <v>2</v>
      </c>
      <c r="B209" s="23" t="n">
        <v>205</v>
      </c>
      <c r="C209" s="23" t="n">
        <v>1205</v>
      </c>
      <c r="D209" s="23" t="inlineStr">
        <is>
          <t>1380606004</t>
        </is>
      </c>
      <c r="E209" s="11" t="inlineStr">
        <is>
          <t>National Capital Region (NCR)</t>
        </is>
      </c>
      <c r="F209" s="11" t="inlineStr">
        <is>
          <t>First District (Not a Province)</t>
        </is>
      </c>
      <c r="G209" s="11" t="inlineStr">
        <is>
          <t>City of Manila</t>
        </is>
      </c>
      <c r="H209" s="11" t="inlineStr">
        <is>
          <t>Barangay 398</t>
        </is>
      </c>
      <c r="I209" s="24" t="n">
        <v>14.605518</v>
      </c>
      <c r="J209" s="24" t="n">
        <v>120.991582</v>
      </c>
      <c r="K209" s="23" t="inlineStr">
        <is>
          <t>U</t>
        </is>
      </c>
      <c r="L209" s="25" t="n">
        <v>2413</v>
      </c>
      <c r="M209" s="26" t="n">
        <v>4.04</v>
      </c>
      <c r="N209" s="25">
        <f>ROUND(L209/M209, 0)</f>
        <v/>
      </c>
      <c r="O209" s="25">
        <f>ROUND(N209*'Methodology &amp; Assumptions'!$B$7, 0)</f>
        <v/>
      </c>
      <c r="P209" s="23" t="inlineStr">
        <is>
          <t>Single Carrier (Band n50, 100MHz TDD)</t>
        </is>
      </c>
      <c r="Q209" s="27">
        <f>ROUNDUP(O209/'Methodology &amp; Assumptions'!$B$8, 0)</f>
        <v/>
      </c>
      <c r="R209" s="27" t="n">
        <v>1</v>
      </c>
      <c r="S209" s="26" t="n">
        <v>0.27</v>
      </c>
      <c r="T209" s="26" t="n">
        <v>0.25</v>
      </c>
      <c r="U209" s="11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26" t="n">
        <v>60.27</v>
      </c>
      <c r="W209" s="26" t="n">
        <v>69.09999999999999</v>
      </c>
      <c r="X209" s="26">
        <f>ROUND(('Methodology &amp; Assumptions'!$B$5*V209) + ('Methodology &amp; Assumptions'!$B$6*W209), 2)</f>
        <v/>
      </c>
      <c r="Y209" s="28" t="n">
        <v>10.9</v>
      </c>
      <c r="Z209" s="11" t="inlineStr">
        <is>
          <t>Priority Tier 2 (Balanced Opportunity)</t>
        </is>
      </c>
    </row>
    <row r="210">
      <c r="A210" s="23" t="n">
        <v>2</v>
      </c>
      <c r="B210" s="23" t="n">
        <v>206</v>
      </c>
      <c r="C210" s="23" t="n">
        <v>1206</v>
      </c>
      <c r="D210" s="23" t="inlineStr">
        <is>
          <t>0401005070</t>
        </is>
      </c>
      <c r="E210" s="11" t="inlineStr">
        <is>
          <t>Region IV-A (CALABARZON)</t>
        </is>
      </c>
      <c r="F210" s="11" t="inlineStr">
        <is>
          <t>Batangas</t>
        </is>
      </c>
      <c r="G210" s="11" t="inlineStr">
        <is>
          <t>Batangas City</t>
        </is>
      </c>
      <c r="H210" s="11" t="inlineStr">
        <is>
          <t>Barangay 23</t>
        </is>
      </c>
      <c r="I210" s="24" t="n">
        <v>13.758461</v>
      </c>
      <c r="J210" s="24" t="n">
        <v>121.055189</v>
      </c>
      <c r="K210" s="23" t="inlineStr">
        <is>
          <t>U</t>
        </is>
      </c>
      <c r="L210" s="25" t="n">
        <v>719</v>
      </c>
      <c r="M210" s="26" t="n">
        <v>3.6</v>
      </c>
      <c r="N210" s="25">
        <f>ROUND(L210/M210, 0)</f>
        <v/>
      </c>
      <c r="O210" s="25">
        <f>ROUND(N210*'Methodology &amp; Assumptions'!$B$7, 0)</f>
        <v/>
      </c>
      <c r="P210" s="23" t="inlineStr">
        <is>
          <t>Single Carrier (Band n50, 100MHz TDD)</t>
        </is>
      </c>
      <c r="Q210" s="27">
        <f>ROUNDUP(O210/'Methodology &amp; Assumptions'!$B$8, 0)</f>
        <v/>
      </c>
      <c r="R210" s="27" t="n">
        <v>1</v>
      </c>
      <c r="S210" s="26" t="n">
        <v>0.47</v>
      </c>
      <c r="T210" s="26" t="n">
        <v>0.4</v>
      </c>
      <c r="U210" s="11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26" t="n">
        <v>58.19</v>
      </c>
      <c r="W210" s="26" t="n">
        <v>71.18000000000001</v>
      </c>
      <c r="X210" s="26">
        <f>ROUND(('Methodology &amp; Assumptions'!$B$5*V210) + ('Methodology &amp; Assumptions'!$B$6*W210), 2)</f>
        <v/>
      </c>
      <c r="Y210" s="28" t="n">
        <v>7.2</v>
      </c>
      <c r="Z210" s="11" t="inlineStr">
        <is>
          <t>Priority Tier 2 (Balanced Opportunity)</t>
        </is>
      </c>
    </row>
    <row r="211">
      <c r="A211" s="23" t="n">
        <v>2</v>
      </c>
      <c r="B211" s="23" t="n">
        <v>207</v>
      </c>
      <c r="C211" s="23" t="n">
        <v>1207</v>
      </c>
      <c r="D211" s="23" t="inlineStr">
        <is>
          <t>1401107018</t>
        </is>
      </c>
      <c r="E211" s="11" t="inlineStr">
        <is>
          <t>Cordillera Administrative Region (CAR)</t>
        </is>
      </c>
      <c r="F211" s="11" t="inlineStr">
        <is>
          <t>Benguet</t>
        </is>
      </c>
      <c r="G211" s="11" t="inlineStr">
        <is>
          <t>Kabayan</t>
        </is>
      </c>
      <c r="H211" s="11" t="inlineStr">
        <is>
          <t>Tawangan</t>
        </is>
      </c>
      <c r="I211" s="24" t="n">
        <v>16.65666</v>
      </c>
      <c r="J211" s="24" t="n">
        <v>120.87843</v>
      </c>
      <c r="K211" s="23" t="inlineStr">
        <is>
          <t>R</t>
        </is>
      </c>
      <c r="L211" s="25" t="n">
        <v>1037</v>
      </c>
      <c r="M211" s="26" t="n">
        <v>3.5</v>
      </c>
      <c r="N211" s="25">
        <f>ROUND(L211/M211, 0)</f>
        <v/>
      </c>
      <c r="O211" s="25">
        <f>ROUND(N211*'Methodology &amp; Assumptions'!$B$7, 0)</f>
        <v/>
      </c>
      <c r="P211" s="23" t="inlineStr">
        <is>
          <t>Single Carrier (Band n50, 100MHz TDD)</t>
        </is>
      </c>
      <c r="Q211" s="27">
        <f>ROUNDUP(O211/'Methodology &amp; Assumptions'!$B$8, 0)</f>
        <v/>
      </c>
      <c r="R211" s="27" t="n">
        <v>1</v>
      </c>
      <c r="S211" s="26" t="n">
        <v>5.49</v>
      </c>
      <c r="T211" s="26" t="n">
        <v>10.88</v>
      </c>
      <c r="U211" s="11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26" t="n">
        <v>51.8</v>
      </c>
      <c r="W211" s="26" t="n">
        <v>77.56</v>
      </c>
      <c r="X211" s="26">
        <f>ROUND(('Methodology &amp; Assumptions'!$B$5*V211) + ('Methodology &amp; Assumptions'!$B$6*W211), 2)</f>
        <v/>
      </c>
      <c r="Y211" s="28" t="n">
        <v>10.9</v>
      </c>
      <c r="Z211" s="11" t="inlineStr">
        <is>
          <t>Priority Tier 2 (Balanced Opportunity)</t>
        </is>
      </c>
    </row>
    <row r="212">
      <c r="A212" s="23" t="n">
        <v>2</v>
      </c>
      <c r="B212" s="23" t="n">
        <v>208</v>
      </c>
      <c r="C212" s="23" t="n">
        <v>1208</v>
      </c>
      <c r="D212" s="23" t="inlineStr">
        <is>
          <t>1206512016</t>
        </is>
      </c>
      <c r="E212" s="11" t="inlineStr">
        <is>
          <t>Region XII (SOCCSKSARGEN)</t>
        </is>
      </c>
      <c r="F212" s="11" t="inlineStr">
        <is>
          <t>Sultan Kudarat</t>
        </is>
      </c>
      <c r="G212" s="11" t="inlineStr">
        <is>
          <t>Sen. Ninoy Aquino</t>
        </is>
      </c>
      <c r="H212" s="11" t="inlineStr">
        <is>
          <t>Midtungok</t>
        </is>
      </c>
      <c r="I212" s="24" t="n">
        <v>6.436944</v>
      </c>
      <c r="J212" s="24" t="n">
        <v>124.288056</v>
      </c>
      <c r="K212" s="23" t="inlineStr">
        <is>
          <t>R</t>
        </is>
      </c>
      <c r="L212" s="25" t="n">
        <v>3412</v>
      </c>
      <c r="M212" s="26" t="n">
        <v>3.8</v>
      </c>
      <c r="N212" s="25">
        <f>ROUND(L212/M212, 0)</f>
        <v/>
      </c>
      <c r="O212" s="25">
        <f>ROUND(N212*'Methodology &amp; Assumptions'!$B$7, 0)</f>
        <v/>
      </c>
      <c r="P212" s="23" t="inlineStr">
        <is>
          <t>Single Carrier (Band n50, 100MHz TDD)</t>
        </is>
      </c>
      <c r="Q212" s="27">
        <f>ROUNDUP(O212/'Methodology &amp; Assumptions'!$B$8, 0)</f>
        <v/>
      </c>
      <c r="R212" s="27" t="n">
        <v>1</v>
      </c>
      <c r="S212" s="26" t="n">
        <v>51.02</v>
      </c>
      <c r="T212" s="26" t="n">
        <v>50.95</v>
      </c>
      <c r="U212" s="11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26" t="n">
        <v>61.82</v>
      </c>
      <c r="W212" s="26" t="n">
        <v>67.53</v>
      </c>
      <c r="X212" s="26">
        <f>ROUND(('Methodology &amp; Assumptions'!$B$5*V212) + ('Methodology &amp; Assumptions'!$B$6*W212), 2)</f>
        <v/>
      </c>
      <c r="Y212" s="28" t="n">
        <v>17.4</v>
      </c>
      <c r="Z212" s="11" t="inlineStr">
        <is>
          <t>Priority Tier 2 (Balanced Opportunity)</t>
        </is>
      </c>
    </row>
    <row r="213">
      <c r="A213" s="23" t="n">
        <v>2</v>
      </c>
      <c r="B213" s="23" t="n">
        <v>209</v>
      </c>
      <c r="C213" s="23" t="n">
        <v>1209</v>
      </c>
      <c r="D213" s="23" t="inlineStr">
        <is>
          <t>0300810016</t>
        </is>
      </c>
      <c r="E213" s="11" t="inlineStr">
        <is>
          <t>Region III (Central Luzon)</t>
        </is>
      </c>
      <c r="F213" s="11" t="inlineStr">
        <is>
          <t>Bataan</t>
        </is>
      </c>
      <c r="G213" s="11" t="inlineStr">
        <is>
          <t>Orion</t>
        </is>
      </c>
      <c r="H213" s="11" t="inlineStr">
        <is>
          <t>Kapunitan</t>
        </is>
      </c>
      <c r="I213" s="24" t="n">
        <v>14.616243</v>
      </c>
      <c r="J213" s="24" t="n">
        <v>120.58246</v>
      </c>
      <c r="K213" s="23" t="inlineStr">
        <is>
          <t>R</t>
        </is>
      </c>
      <c r="L213" s="25" t="n">
        <v>4322</v>
      </c>
      <c r="M213" s="26" t="n">
        <v>3.6</v>
      </c>
      <c r="N213" s="25">
        <f>ROUND(L213/M213, 0)</f>
        <v/>
      </c>
      <c r="O213" s="25">
        <f>ROUND(N213*'Methodology &amp; Assumptions'!$B$7, 0)</f>
        <v/>
      </c>
      <c r="P213" s="23" t="inlineStr">
        <is>
          <t>Single Carrier (Band n50, 100MHz TDD)</t>
        </is>
      </c>
      <c r="Q213" s="27">
        <f>ROUNDUP(O213/'Methodology &amp; Assumptions'!$B$8, 0)</f>
        <v/>
      </c>
      <c r="R213" s="27" t="n">
        <v>1</v>
      </c>
      <c r="S213" s="26" t="n">
        <v>0.37</v>
      </c>
      <c r="T213" s="26" t="n">
        <v>0.37</v>
      </c>
      <c r="U213" s="11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26" t="n">
        <v>85.63</v>
      </c>
      <c r="W213" s="26" t="n">
        <v>43.68</v>
      </c>
      <c r="X213" s="26">
        <f>ROUND(('Methodology &amp; Assumptions'!$B$5*V213) + ('Methodology &amp; Assumptions'!$B$6*W213), 2)</f>
        <v/>
      </c>
      <c r="Y213" s="28" t="n">
        <v>8.300000000000001</v>
      </c>
      <c r="Z213" s="11" t="inlineStr">
        <is>
          <t>Priority Tier 2 (Balanced Opportunity)</t>
        </is>
      </c>
    </row>
    <row r="214">
      <c r="A214" s="23" t="n">
        <v>2</v>
      </c>
      <c r="B214" s="23" t="n">
        <v>210</v>
      </c>
      <c r="C214" s="23" t="n">
        <v>1210</v>
      </c>
      <c r="D214" s="23" t="inlineStr">
        <is>
          <t>1380606182</t>
        </is>
      </c>
      <c r="E214" s="11" t="inlineStr">
        <is>
          <t>National Capital Region (NCR)</t>
        </is>
      </c>
      <c r="F214" s="11" t="inlineStr">
        <is>
          <t>First District (Not a Province)</t>
        </is>
      </c>
      <c r="G214" s="11" t="inlineStr">
        <is>
          <t>City of Manila</t>
        </is>
      </c>
      <c r="H214" s="11" t="inlineStr">
        <is>
          <t>Barangay 576</t>
        </is>
      </c>
      <c r="I214" s="24" t="n">
        <v>14.605586</v>
      </c>
      <c r="J214" s="24" t="n">
        <v>121.003584</v>
      </c>
      <c r="K214" s="23" t="inlineStr">
        <is>
          <t>U</t>
        </is>
      </c>
      <c r="L214" s="25" t="n">
        <v>2112</v>
      </c>
      <c r="M214" s="26" t="n">
        <v>3.53</v>
      </c>
      <c r="N214" s="25">
        <f>ROUND(L214/M214, 0)</f>
        <v/>
      </c>
      <c r="O214" s="25">
        <f>ROUND(N214*'Methodology &amp; Assumptions'!$B$7, 0)</f>
        <v/>
      </c>
      <c r="P214" s="23" t="inlineStr">
        <is>
          <t>Single Carrier (Band n50, 100MHz TDD)</t>
        </is>
      </c>
      <c r="Q214" s="27">
        <f>ROUNDUP(O214/'Methodology &amp; Assumptions'!$B$8, 0)</f>
        <v/>
      </c>
      <c r="R214" s="27" t="n">
        <v>1</v>
      </c>
      <c r="S214" s="26" t="n">
        <v>0.41</v>
      </c>
      <c r="T214" s="26" t="n">
        <v>0.21</v>
      </c>
      <c r="U214" s="11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26" t="n">
        <v>60.27</v>
      </c>
      <c r="W214" s="26" t="n">
        <v>69.06</v>
      </c>
      <c r="X214" s="26">
        <f>ROUND(('Methodology &amp; Assumptions'!$B$5*V214) + ('Methodology &amp; Assumptions'!$B$6*W214), 2)</f>
        <v/>
      </c>
      <c r="Y214" s="28" t="n">
        <v>10.9</v>
      </c>
      <c r="Z214" s="11" t="inlineStr">
        <is>
          <t>Priority Tier 2 (Balanced Opportunity)</t>
        </is>
      </c>
    </row>
    <row r="215">
      <c r="A215" s="23" t="n">
        <v>2</v>
      </c>
      <c r="B215" s="23" t="n">
        <v>211</v>
      </c>
      <c r="C215" s="23" t="n">
        <v>1211</v>
      </c>
      <c r="D215" s="23" t="inlineStr">
        <is>
          <t>1108204037</t>
        </is>
      </c>
      <c r="E215" s="11" t="inlineStr">
        <is>
          <t>Region XI (Davao Region)</t>
        </is>
      </c>
      <c r="F215" s="11" t="inlineStr">
        <is>
          <t>Davao de Oro</t>
        </is>
      </c>
      <c r="G215" s="11" t="inlineStr">
        <is>
          <t>Maco</t>
        </is>
      </c>
      <c r="H215" s="11" t="inlineStr">
        <is>
          <t>Teresa</t>
        </is>
      </c>
      <c r="I215" s="24" t="n">
        <v>7.512515</v>
      </c>
      <c r="J215" s="24" t="n">
        <v>126.176262</v>
      </c>
      <c r="K215" s="23" t="inlineStr">
        <is>
          <t>R</t>
        </is>
      </c>
      <c r="L215" s="25" t="n">
        <v>2094</v>
      </c>
      <c r="M215" s="26" t="n">
        <v>3.7</v>
      </c>
      <c r="N215" s="25">
        <f>ROUND(L215/M215, 0)</f>
        <v/>
      </c>
      <c r="O215" s="25">
        <f>ROUND(N215*'Methodology &amp; Assumptions'!$B$7, 0)</f>
        <v/>
      </c>
      <c r="P215" s="23" t="inlineStr">
        <is>
          <t>Single Carrier (Band n50, 100MHz TDD)</t>
        </is>
      </c>
      <c r="Q215" s="27">
        <f>ROUNDUP(O215/'Methodology &amp; Assumptions'!$B$8, 0)</f>
        <v/>
      </c>
      <c r="R215" s="27" t="n">
        <v>1</v>
      </c>
      <c r="S215" s="26" t="n">
        <v>37.43</v>
      </c>
      <c r="T215" s="26" t="n">
        <v>25.47</v>
      </c>
      <c r="U215" s="11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26" t="n">
        <v>52.93</v>
      </c>
      <c r="W215" s="26" t="n">
        <v>76.38</v>
      </c>
      <c r="X215" s="26">
        <f>ROUND(('Methodology &amp; Assumptions'!$B$5*V215) + ('Methodology &amp; Assumptions'!$B$6*W215), 2)</f>
        <v/>
      </c>
      <c r="Y215" s="28" t="n">
        <v>17.4</v>
      </c>
      <c r="Z215" s="11" t="inlineStr">
        <is>
          <t>Priority Tier 2 (Balanced Opportunity)</t>
        </is>
      </c>
    </row>
    <row r="216">
      <c r="A216" s="23" t="n">
        <v>2</v>
      </c>
      <c r="B216" s="23" t="n">
        <v>212</v>
      </c>
      <c r="C216" s="23" t="n">
        <v>1212</v>
      </c>
      <c r="D216" s="23" t="inlineStr">
        <is>
          <t>1380900013</t>
        </is>
      </c>
      <c r="E216" s="11" t="inlineStr">
        <is>
          <t>National Capital Region (NCR)</t>
        </is>
      </c>
      <c r="F216" s="11" t="inlineStr">
        <is>
          <t>Third District (Not a Province)</t>
        </is>
      </c>
      <c r="G216" s="11" t="inlineStr">
        <is>
          <t>City of Navotas</t>
        </is>
      </c>
      <c r="H216" s="11" t="inlineStr">
        <is>
          <t>Tangos South</t>
        </is>
      </c>
      <c r="I216" s="24" t="n">
        <v>14.671318</v>
      </c>
      <c r="J216" s="24" t="n">
        <v>120.933847</v>
      </c>
      <c r="K216" s="23" t="inlineStr">
        <is>
          <t>U</t>
        </is>
      </c>
      <c r="L216" s="25" t="n">
        <v>18971</v>
      </c>
      <c r="M216" s="26" t="n">
        <v>3.45</v>
      </c>
      <c r="N216" s="25">
        <f>ROUND(L216/M216, 0)</f>
        <v/>
      </c>
      <c r="O216" s="25">
        <f>ROUND(N216*'Methodology &amp; Assumptions'!$B$7, 0)</f>
        <v/>
      </c>
      <c r="P216" s="23" t="inlineStr">
        <is>
          <t>Single Carrier (Band n50, 100MHz TDD)</t>
        </is>
      </c>
      <c r="Q216" s="27">
        <f>ROUNDUP(O216/'Methodology &amp; Assumptions'!$B$8, 0)</f>
        <v/>
      </c>
      <c r="R216" s="27" t="n">
        <v>1</v>
      </c>
      <c r="S216" s="26" t="n">
        <v>1.01</v>
      </c>
      <c r="T216" s="26" t="n">
        <v>1</v>
      </c>
      <c r="U216" s="11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26" t="n">
        <v>67.78</v>
      </c>
      <c r="W216" s="26" t="n">
        <v>61.52</v>
      </c>
      <c r="X216" s="26">
        <f>ROUND(('Methodology &amp; Assumptions'!$B$5*V216) + ('Methodology &amp; Assumptions'!$B$6*W216), 2)</f>
        <v/>
      </c>
      <c r="Y216" s="28" t="n">
        <v>10.9</v>
      </c>
      <c r="Z216" s="11" t="inlineStr">
        <is>
          <t>Priority Tier 2 (Balanced Opportunity)</t>
        </is>
      </c>
    </row>
    <row r="217">
      <c r="A217" s="23" t="n">
        <v>2</v>
      </c>
      <c r="B217" s="23" t="n">
        <v>213</v>
      </c>
      <c r="C217" s="23" t="n">
        <v>1213</v>
      </c>
      <c r="D217" s="23" t="inlineStr">
        <is>
          <t>0403403013</t>
        </is>
      </c>
      <c r="E217" s="11" t="inlineStr">
        <is>
          <t>Region IV-A (CALABARZON)</t>
        </is>
      </c>
      <c r="F217" s="11" t="inlineStr">
        <is>
          <t>Laguna</t>
        </is>
      </c>
      <c r="G217" s="11" t="inlineStr">
        <is>
          <t>City of Biñan</t>
        </is>
      </c>
      <c r="H217" s="11" t="inlineStr">
        <is>
          <t>Malamig</t>
        </is>
      </c>
      <c r="I217" s="24" t="n">
        <v>14.278296</v>
      </c>
      <c r="J217" s="24" t="n">
        <v>121.053678</v>
      </c>
      <c r="K217" s="23" t="inlineStr">
        <is>
          <t>U</t>
        </is>
      </c>
      <c r="L217" s="25" t="n">
        <v>6843</v>
      </c>
      <c r="M217" s="26" t="n">
        <v>3.3</v>
      </c>
      <c r="N217" s="25">
        <f>ROUND(L217/M217, 0)</f>
        <v/>
      </c>
      <c r="O217" s="25">
        <f>ROUND(N217*'Methodology &amp; Assumptions'!$B$7, 0)</f>
        <v/>
      </c>
      <c r="P217" s="23" t="inlineStr">
        <is>
          <t>Single Carrier (Band n50, 100MHz TDD)</t>
        </is>
      </c>
      <c r="Q217" s="27">
        <f>ROUNDUP(O217/'Methodology &amp; Assumptions'!$B$8, 0)</f>
        <v/>
      </c>
      <c r="R217" s="27" t="n">
        <v>1</v>
      </c>
      <c r="S217" s="26" t="n">
        <v>1.96</v>
      </c>
      <c r="T217" s="26" t="n">
        <v>2.76</v>
      </c>
      <c r="U217" s="11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26" t="n">
        <v>70.67</v>
      </c>
      <c r="W217" s="26" t="n">
        <v>58.58</v>
      </c>
      <c r="X217" s="26">
        <f>ROUND(('Methodology &amp; Assumptions'!$B$5*V217) + ('Methodology &amp; Assumptions'!$B$6*W217), 2)</f>
        <v/>
      </c>
      <c r="Y217" s="28" t="n">
        <v>7.2</v>
      </c>
      <c r="Z217" s="11" t="inlineStr">
        <is>
          <t>Priority Tier 2 (Balanced Opportunity)</t>
        </is>
      </c>
    </row>
    <row r="218">
      <c r="A218" s="23" t="n">
        <v>2</v>
      </c>
      <c r="B218" s="23" t="n">
        <v>214</v>
      </c>
      <c r="C218" s="23" t="n">
        <v>1214</v>
      </c>
      <c r="D218" s="23" t="inlineStr">
        <is>
          <t>1380800002</t>
        </is>
      </c>
      <c r="E218" s="11" t="inlineStr">
        <is>
          <t>National Capital Region (NCR)</t>
        </is>
      </c>
      <c r="F218" s="11" t="inlineStr">
        <is>
          <t>Fourth District (Not a Province)</t>
        </is>
      </c>
      <c r="G218" s="11" t="inlineStr">
        <is>
          <t>City of Muntinlupa</t>
        </is>
      </c>
      <c r="H218" s="11" t="inlineStr">
        <is>
          <t>Bayanan</t>
        </is>
      </c>
      <c r="I218" s="24" t="n">
        <v>14.41141</v>
      </c>
      <c r="J218" s="24" t="n">
        <v>121.0513</v>
      </c>
      <c r="K218" s="23" t="inlineStr">
        <is>
          <t>U</t>
        </is>
      </c>
      <c r="L218" s="25" t="n">
        <v>38358</v>
      </c>
      <c r="M218" s="26" t="n">
        <v>3.62</v>
      </c>
      <c r="N218" s="25">
        <f>ROUND(L218/M218, 0)</f>
        <v/>
      </c>
      <c r="O218" s="25">
        <f>ROUND(N218*'Methodology &amp; Assumptions'!$B$7, 0)</f>
        <v/>
      </c>
      <c r="P218" s="23" t="inlineStr">
        <is>
          <t>Single Carrier (Band n50, 100MHz TDD)</t>
        </is>
      </c>
      <c r="Q218" s="27">
        <f>ROUNDUP(O218/'Methodology &amp; Assumptions'!$B$8, 0)</f>
        <v/>
      </c>
      <c r="R218" s="27" t="n">
        <v>1</v>
      </c>
      <c r="S218" s="26" t="n">
        <v>0.99</v>
      </c>
      <c r="T218" s="26" t="n">
        <v>0.26</v>
      </c>
      <c r="U218" s="11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26" t="n">
        <v>66.31</v>
      </c>
      <c r="W218" s="26" t="n">
        <v>62.94</v>
      </c>
      <c r="X218" s="26">
        <f>ROUND(('Methodology &amp; Assumptions'!$B$5*V218) + ('Methodology &amp; Assumptions'!$B$6*W218), 2)</f>
        <v/>
      </c>
      <c r="Y218" s="28" t="n">
        <v>10.9</v>
      </c>
      <c r="Z218" s="11" t="inlineStr">
        <is>
          <t>Priority Tier 2 (Balanced Opportunity)</t>
        </is>
      </c>
    </row>
    <row r="219">
      <c r="A219" s="23" t="n">
        <v>2</v>
      </c>
      <c r="B219" s="23" t="n">
        <v>215</v>
      </c>
      <c r="C219" s="23" t="n">
        <v>1215</v>
      </c>
      <c r="D219" s="23" t="inlineStr">
        <is>
          <t>1380605013</t>
        </is>
      </c>
      <c r="E219" s="11" t="inlineStr">
        <is>
          <t>National Capital Region (NCR)</t>
        </is>
      </c>
      <c r="F219" s="11" t="inlineStr">
        <is>
          <t>First District (Not a Province)</t>
        </is>
      </c>
      <c r="G219" s="11" t="inlineStr">
        <is>
          <t>City of Manila</t>
        </is>
      </c>
      <c r="H219" s="11" t="inlineStr">
        <is>
          <t>Barangay 311</t>
        </is>
      </c>
      <c r="I219" s="24" t="n">
        <v>14.60645</v>
      </c>
      <c r="J219" s="24" t="n">
        <v>120.9848</v>
      </c>
      <c r="K219" s="23" t="inlineStr">
        <is>
          <t>U</t>
        </is>
      </c>
      <c r="L219" s="25" t="n">
        <v>1805</v>
      </c>
      <c r="M219" s="26" t="n">
        <v>3.26</v>
      </c>
      <c r="N219" s="25">
        <f>ROUND(L219/M219, 0)</f>
        <v/>
      </c>
      <c r="O219" s="25">
        <f>ROUND(N219*'Methodology &amp; Assumptions'!$B$7, 0)</f>
        <v/>
      </c>
      <c r="P219" s="23" t="inlineStr">
        <is>
          <t>Single Carrier (Band n50, 100MHz TDD)</t>
        </is>
      </c>
      <c r="Q219" s="27">
        <f>ROUNDUP(O219/'Methodology &amp; Assumptions'!$B$8, 0)</f>
        <v/>
      </c>
      <c r="R219" s="27" t="n">
        <v>1</v>
      </c>
      <c r="S219" s="26" t="n">
        <v>0.78</v>
      </c>
      <c r="T219" s="26" t="n">
        <v>0.12</v>
      </c>
      <c r="U219" s="11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26" t="n">
        <v>58.87</v>
      </c>
      <c r="W219" s="26" t="n">
        <v>70.34999999999999</v>
      </c>
      <c r="X219" s="26">
        <f>ROUND(('Methodology &amp; Assumptions'!$B$5*V219) + ('Methodology &amp; Assumptions'!$B$6*W219), 2)</f>
        <v/>
      </c>
      <c r="Y219" s="28" t="n">
        <v>10.9</v>
      </c>
      <c r="Z219" s="11" t="inlineStr">
        <is>
          <t>Priority Tier 2 (Balanced Opportunity)</t>
        </is>
      </c>
    </row>
    <row r="220">
      <c r="A220" s="23" t="n">
        <v>2</v>
      </c>
      <c r="B220" s="23" t="n">
        <v>216</v>
      </c>
      <c r="C220" s="23" t="n">
        <v>1216</v>
      </c>
      <c r="D220" s="23" t="inlineStr">
        <is>
          <t>1380606068</t>
        </is>
      </c>
      <c r="E220" s="11" t="inlineStr">
        <is>
          <t>National Capital Region (NCR)</t>
        </is>
      </c>
      <c r="F220" s="11" t="inlineStr">
        <is>
          <t>First District (Not a Province)</t>
        </is>
      </c>
      <c r="G220" s="11" t="inlineStr">
        <is>
          <t>City of Manila</t>
        </is>
      </c>
      <c r="H220" s="11" t="inlineStr">
        <is>
          <t>Barangay 462</t>
        </is>
      </c>
      <c r="I220" s="24" t="n">
        <v>14.60635</v>
      </c>
      <c r="J220" s="24" t="n">
        <v>120.986851</v>
      </c>
      <c r="K220" s="23" t="inlineStr">
        <is>
          <t>U</t>
        </is>
      </c>
      <c r="L220" s="25" t="n">
        <v>1594</v>
      </c>
      <c r="M220" s="26" t="n">
        <v>2.93</v>
      </c>
      <c r="N220" s="25">
        <f>ROUND(L220/M220, 0)</f>
        <v/>
      </c>
      <c r="O220" s="25">
        <f>ROUND(N220*'Methodology &amp; Assumptions'!$B$7, 0)</f>
        <v/>
      </c>
      <c r="P220" s="23" t="inlineStr">
        <is>
          <t>Single Carrier (Band n50, 100MHz TDD)</t>
        </is>
      </c>
      <c r="Q220" s="27">
        <f>ROUNDUP(O220/'Methodology &amp; Assumptions'!$B$8, 0)</f>
        <v/>
      </c>
      <c r="R220" s="27" t="n">
        <v>1</v>
      </c>
      <c r="S220" s="26" t="n">
        <v>0.59</v>
      </c>
      <c r="T220" s="26" t="n">
        <v>0.1</v>
      </c>
      <c r="U220" s="11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26" t="n">
        <v>58.55</v>
      </c>
      <c r="W220" s="26" t="n">
        <v>70.66</v>
      </c>
      <c r="X220" s="26">
        <f>ROUND(('Methodology &amp; Assumptions'!$B$5*V220) + ('Methodology &amp; Assumptions'!$B$6*W220), 2)</f>
        <v/>
      </c>
      <c r="Y220" s="28" t="n">
        <v>10.9</v>
      </c>
      <c r="Z220" s="11" t="inlineStr">
        <is>
          <t>Priority Tier 2 (Balanced Opportunity)</t>
        </is>
      </c>
    </row>
    <row r="221">
      <c r="A221" s="23" t="n">
        <v>2</v>
      </c>
      <c r="B221" s="23" t="n">
        <v>217</v>
      </c>
      <c r="C221" s="23" t="n">
        <v>1217</v>
      </c>
      <c r="D221" s="23" t="inlineStr">
        <is>
          <t>0401019009</t>
        </is>
      </c>
      <c r="E221" s="11" t="inlineStr">
        <is>
          <t>Region IV-A (CALABARZON)</t>
        </is>
      </c>
      <c r="F221" s="11" t="inlineStr">
        <is>
          <t>Batangas</t>
        </is>
      </c>
      <c r="G221" s="11" t="inlineStr">
        <is>
          <t>Nasugbu</t>
        </is>
      </c>
      <c r="H221" s="11" t="inlineStr">
        <is>
          <t>Barangay 4</t>
        </is>
      </c>
      <c r="I221" s="24" t="n">
        <v>14.072948</v>
      </c>
      <c r="J221" s="24" t="n">
        <v>120.633656</v>
      </c>
      <c r="K221" s="23" t="inlineStr">
        <is>
          <t>R</t>
        </is>
      </c>
      <c r="L221" s="25" t="n">
        <v>1373</v>
      </c>
      <c r="M221" s="26" t="n">
        <v>3.6</v>
      </c>
      <c r="N221" s="25">
        <f>ROUND(L221/M221, 0)</f>
        <v/>
      </c>
      <c r="O221" s="25">
        <f>ROUND(N221*'Methodology &amp; Assumptions'!$B$7, 0)</f>
        <v/>
      </c>
      <c r="P221" s="23" t="inlineStr">
        <is>
          <t>Single Carrier (Band n50, 100MHz TDD)</t>
        </is>
      </c>
      <c r="Q221" s="27">
        <f>ROUNDUP(O221/'Methodology &amp; Assumptions'!$B$8, 0)</f>
        <v/>
      </c>
      <c r="R221" s="27" t="n">
        <v>1</v>
      </c>
      <c r="S221" s="26" t="n">
        <v>0.25</v>
      </c>
      <c r="T221" s="26" t="n">
        <v>0.14</v>
      </c>
      <c r="U221" s="11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26" t="n">
        <v>71.26000000000001</v>
      </c>
      <c r="W221" s="26" t="n">
        <v>57.95</v>
      </c>
      <c r="X221" s="26">
        <f>ROUND(('Methodology &amp; Assumptions'!$B$5*V221) + ('Methodology &amp; Assumptions'!$B$6*W221), 2)</f>
        <v/>
      </c>
      <c r="Y221" s="28" t="n">
        <v>7.2</v>
      </c>
      <c r="Z221" s="11" t="inlineStr">
        <is>
          <t>Priority Tier 2 (Balanced Opportunity)</t>
        </is>
      </c>
    </row>
    <row r="222">
      <c r="A222" s="23" t="n">
        <v>2</v>
      </c>
      <c r="B222" s="23" t="n">
        <v>218</v>
      </c>
      <c r="C222" s="23" t="n">
        <v>1218</v>
      </c>
      <c r="D222" s="23" t="inlineStr">
        <is>
          <t>1380612038</t>
        </is>
      </c>
      <c r="E222" s="11" t="inlineStr">
        <is>
          <t>National Capital Region (NCR)</t>
        </is>
      </c>
      <c r="F222" s="11" t="inlineStr">
        <is>
          <t>First District (Not a Province)</t>
        </is>
      </c>
      <c r="G222" s="11" t="inlineStr">
        <is>
          <t>City of Manila</t>
        </is>
      </c>
      <c r="H222" s="11" t="inlineStr">
        <is>
          <t>Barangay 872</t>
        </is>
      </c>
      <c r="I222" s="24" t="n">
        <v>14.583188</v>
      </c>
      <c r="J222" s="24" t="n">
        <v>121.003046</v>
      </c>
      <c r="K222" s="23" t="inlineStr">
        <is>
          <t>U</t>
        </is>
      </c>
      <c r="L222" s="25" t="n">
        <v>1950</v>
      </c>
      <c r="M222" s="26" t="n">
        <v>4.34</v>
      </c>
      <c r="N222" s="25">
        <f>ROUND(L222/M222, 0)</f>
        <v/>
      </c>
      <c r="O222" s="25">
        <f>ROUND(N222*'Methodology &amp; Assumptions'!$B$7, 0)</f>
        <v/>
      </c>
      <c r="P222" s="23" t="inlineStr">
        <is>
          <t>Single Carrier (Band n50, 100MHz TDD)</t>
        </is>
      </c>
      <c r="Q222" s="27">
        <f>ROUNDUP(O222/'Methodology &amp; Assumptions'!$B$8, 0)</f>
        <v/>
      </c>
      <c r="R222" s="27" t="n">
        <v>1</v>
      </c>
      <c r="S222" s="26" t="n">
        <v>0.14</v>
      </c>
      <c r="T222" s="26" t="n">
        <v>0.21</v>
      </c>
      <c r="U222" s="11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26" t="n">
        <v>55.55</v>
      </c>
      <c r="W222" s="26" t="n">
        <v>73.64</v>
      </c>
      <c r="X222" s="26">
        <f>ROUND(('Methodology &amp; Assumptions'!$B$5*V222) + ('Methodology &amp; Assumptions'!$B$6*W222), 2)</f>
        <v/>
      </c>
      <c r="Y222" s="28" t="n">
        <v>10.9</v>
      </c>
      <c r="Z222" s="11" t="inlineStr">
        <is>
          <t>Priority Tier 2 (Balanced Opportunity)</t>
        </is>
      </c>
    </row>
    <row r="223">
      <c r="A223" s="23" t="n">
        <v>2</v>
      </c>
      <c r="B223" s="23" t="n">
        <v>219</v>
      </c>
      <c r="C223" s="23" t="n">
        <v>1219</v>
      </c>
      <c r="D223" s="23" t="inlineStr">
        <is>
          <t>1381300090</t>
        </is>
      </c>
      <c r="E223" s="11" t="inlineStr">
        <is>
          <t>National Capital Region (NCR)</t>
        </is>
      </c>
      <c r="F223" s="11" t="inlineStr">
        <is>
          <t>Second District (Not a Province)</t>
        </is>
      </c>
      <c r="G223" s="11" t="inlineStr">
        <is>
          <t>Quezon City</t>
        </is>
      </c>
      <c r="H223" s="11" t="inlineStr">
        <is>
          <t>Roxas</t>
        </is>
      </c>
      <c r="I223" s="24" t="n">
        <v>14.626853</v>
      </c>
      <c r="J223" s="24" t="n">
        <v>121.019582</v>
      </c>
      <c r="K223" s="23" t="inlineStr">
        <is>
          <t>U</t>
        </is>
      </c>
      <c r="L223" s="25" t="n">
        <v>11214</v>
      </c>
      <c r="M223" s="26" t="n">
        <v>3.6</v>
      </c>
      <c r="N223" s="25">
        <f>ROUND(L223/M223, 0)</f>
        <v/>
      </c>
      <c r="O223" s="25">
        <f>ROUND(N223*'Methodology &amp; Assumptions'!$B$7, 0)</f>
        <v/>
      </c>
      <c r="P223" s="23" t="inlineStr">
        <is>
          <t>Single Carrier (Band n50, 100MHz TDD)</t>
        </is>
      </c>
      <c r="Q223" s="27">
        <f>ROUNDUP(O223/'Methodology &amp; Assumptions'!$B$8, 0)</f>
        <v/>
      </c>
      <c r="R223" s="27" t="n">
        <v>1</v>
      </c>
      <c r="S223" s="26" t="n">
        <v>1.13</v>
      </c>
      <c r="T223" s="26" t="n">
        <v>1.04</v>
      </c>
      <c r="U223" s="11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26" t="n">
        <v>67.98999999999999</v>
      </c>
      <c r="W223" s="26" t="n">
        <v>61.19</v>
      </c>
      <c r="X223" s="26">
        <f>ROUND(('Methodology &amp; Assumptions'!$B$5*V223) + ('Methodology &amp; Assumptions'!$B$6*W223), 2)</f>
        <v/>
      </c>
      <c r="Y223" s="28" t="n">
        <v>10.9</v>
      </c>
      <c r="Z223" s="11" t="inlineStr">
        <is>
          <t>Priority Tier 2 (Balanced Opportunity)</t>
        </is>
      </c>
    </row>
    <row r="224">
      <c r="A224" s="23" t="n">
        <v>2</v>
      </c>
      <c r="B224" s="23" t="n">
        <v>220</v>
      </c>
      <c r="C224" s="23" t="n">
        <v>1220</v>
      </c>
      <c r="D224" s="23" t="inlineStr">
        <is>
          <t>0402111014</t>
        </is>
      </c>
      <c r="E224" s="11" t="inlineStr">
        <is>
          <t>Region IV-A (CALABARZON)</t>
        </is>
      </c>
      <c r="F224" s="11" t="inlineStr">
        <is>
          <t>Cavite</t>
        </is>
      </c>
      <c r="G224" s="11" t="inlineStr">
        <is>
          <t>Kawit</t>
        </is>
      </c>
      <c r="H224" s="11" t="inlineStr">
        <is>
          <t>Balsahan-Bisita</t>
        </is>
      </c>
      <c r="I224" s="24" t="n">
        <v>14.451105</v>
      </c>
      <c r="J224" s="24" t="n">
        <v>120.926202</v>
      </c>
      <c r="K224" s="23" t="inlineStr">
        <is>
          <t>U</t>
        </is>
      </c>
      <c r="L224" s="25" t="n">
        <v>2024</v>
      </c>
      <c r="M224" s="26" t="n">
        <v>3.4</v>
      </c>
      <c r="N224" s="25">
        <f>ROUND(L224/M224, 0)</f>
        <v/>
      </c>
      <c r="O224" s="25">
        <f>ROUND(N224*'Methodology &amp; Assumptions'!$B$7, 0)</f>
        <v/>
      </c>
      <c r="P224" s="23" t="inlineStr">
        <is>
          <t>Single Carrier (Band n50, 100MHz TDD)</t>
        </is>
      </c>
      <c r="Q224" s="27">
        <f>ROUNDUP(O224/'Methodology &amp; Assumptions'!$B$8, 0)</f>
        <v/>
      </c>
      <c r="R224" s="27" t="n">
        <v>1</v>
      </c>
      <c r="S224" s="26" t="n">
        <v>2.46</v>
      </c>
      <c r="T224" s="26" t="n">
        <v>0.08</v>
      </c>
      <c r="U224" s="11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26" t="n">
        <v>65.25</v>
      </c>
      <c r="W224" s="26" t="n">
        <v>63.92</v>
      </c>
      <c r="X224" s="26">
        <f>ROUND(('Methodology &amp; Assumptions'!$B$5*V224) + ('Methodology &amp; Assumptions'!$B$6*W224), 2)</f>
        <v/>
      </c>
      <c r="Y224" s="28" t="n">
        <v>7.2</v>
      </c>
      <c r="Z224" s="11" t="inlineStr">
        <is>
          <t>Priority Tier 2 (Balanced Opportunity)</t>
        </is>
      </c>
    </row>
    <row r="225">
      <c r="A225" s="23" t="n">
        <v>2</v>
      </c>
      <c r="B225" s="23" t="n">
        <v>221</v>
      </c>
      <c r="C225" s="23" t="n">
        <v>1221</v>
      </c>
      <c r="D225" s="23" t="inlineStr">
        <is>
          <t>0401033016</t>
        </is>
      </c>
      <c r="E225" s="11" t="inlineStr">
        <is>
          <t>Region IV-A (CALABARZON)</t>
        </is>
      </c>
      <c r="F225" s="11" t="inlineStr">
        <is>
          <t>Batangas</t>
        </is>
      </c>
      <c r="G225" s="11" t="inlineStr">
        <is>
          <t>Tingloy</t>
        </is>
      </c>
      <c r="H225" s="11" t="inlineStr">
        <is>
          <t>Talahib</t>
        </is>
      </c>
      <c r="I225" s="24" t="n">
        <v>13.649432</v>
      </c>
      <c r="J225" s="24" t="n">
        <v>120.904434</v>
      </c>
      <c r="K225" s="23" t="inlineStr">
        <is>
          <t>R</t>
        </is>
      </c>
      <c r="L225" s="25" t="n">
        <v>1103</v>
      </c>
      <c r="M225" s="26" t="n">
        <v>3.6</v>
      </c>
      <c r="N225" s="25">
        <f>ROUND(L225/M225, 0)</f>
        <v/>
      </c>
      <c r="O225" s="25">
        <f>ROUND(N225*'Methodology &amp; Assumptions'!$B$7, 0)</f>
        <v/>
      </c>
      <c r="P225" s="23" t="inlineStr">
        <is>
          <t>Single Carrier (Band n50, 100MHz TDD)</t>
        </is>
      </c>
      <c r="Q225" s="27">
        <f>ROUNDUP(O225/'Methodology &amp; Assumptions'!$B$8, 0)</f>
        <v/>
      </c>
      <c r="R225" s="27" t="n">
        <v>1</v>
      </c>
      <c r="S225" s="26" t="n">
        <v>4.54</v>
      </c>
      <c r="T225" s="26" t="n">
        <v>15.91</v>
      </c>
      <c r="U225" s="11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26" t="n">
        <v>57.32</v>
      </c>
      <c r="W225" s="26" t="n">
        <v>71.84999999999999</v>
      </c>
      <c r="X225" s="26">
        <f>ROUND(('Methodology &amp; Assumptions'!$B$5*V225) + ('Methodology &amp; Assumptions'!$B$6*W225), 2)</f>
        <v/>
      </c>
      <c r="Y225" s="28" t="n">
        <v>7.2</v>
      </c>
      <c r="Z225" s="11" t="inlineStr">
        <is>
          <t>Priority Tier 2 (Balanced Opportunity)</t>
        </is>
      </c>
    </row>
    <row r="226">
      <c r="A226" s="23" t="n">
        <v>2</v>
      </c>
      <c r="B226" s="23" t="n">
        <v>222</v>
      </c>
      <c r="C226" s="23" t="n">
        <v>1222</v>
      </c>
      <c r="D226" s="23" t="inlineStr">
        <is>
          <t>1381100031</t>
        </is>
      </c>
      <c r="E226" s="11" t="inlineStr">
        <is>
          <t>National Capital Region (NCR)</t>
        </is>
      </c>
      <c r="F226" s="11" t="inlineStr">
        <is>
          <t>Fourth District (Not a Province)</t>
        </is>
      </c>
      <c r="G226" s="11" t="inlineStr">
        <is>
          <t>Pasay City</t>
        </is>
      </c>
      <c r="H226" s="11" t="inlineStr">
        <is>
          <t>Barangay 31</t>
        </is>
      </c>
      <c r="I226" s="24" t="n">
        <v>14.547725</v>
      </c>
      <c r="J226" s="24" t="n">
        <v>120.995295</v>
      </c>
      <c r="K226" s="23" t="inlineStr">
        <is>
          <t>U</t>
        </is>
      </c>
      <c r="L226" s="25" t="n">
        <v>1970</v>
      </c>
      <c r="M226" s="26" t="n">
        <v>3.65</v>
      </c>
      <c r="N226" s="25">
        <f>ROUND(L226/M226, 0)</f>
        <v/>
      </c>
      <c r="O226" s="25">
        <f>ROUND(N226*'Methodology &amp; Assumptions'!$B$7, 0)</f>
        <v/>
      </c>
      <c r="P226" s="23" t="inlineStr">
        <is>
          <t>Single Carrier (Band n50, 100MHz TDD)</t>
        </is>
      </c>
      <c r="Q226" s="27">
        <f>ROUNDUP(O226/'Methodology &amp; Assumptions'!$B$8, 0)</f>
        <v/>
      </c>
      <c r="R226" s="27" t="n">
        <v>1</v>
      </c>
      <c r="S226" s="26" t="n">
        <v>0.37</v>
      </c>
      <c r="T226" s="26" t="n">
        <v>0.3</v>
      </c>
      <c r="U226" s="11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26" t="n">
        <v>58.44</v>
      </c>
      <c r="W226" s="26" t="n">
        <v>70.7</v>
      </c>
      <c r="X226" s="26">
        <f>ROUND(('Methodology &amp; Assumptions'!$B$5*V226) + ('Methodology &amp; Assumptions'!$B$6*W226), 2)</f>
        <v/>
      </c>
      <c r="Y226" s="28" t="n">
        <v>10.9</v>
      </c>
      <c r="Z226" s="11" t="inlineStr">
        <is>
          <t>Priority Tier 2 (Balanced Opportunity)</t>
        </is>
      </c>
    </row>
    <row r="227">
      <c r="A227" s="23" t="n">
        <v>2</v>
      </c>
      <c r="B227" s="23" t="n">
        <v>223</v>
      </c>
      <c r="C227" s="23" t="n">
        <v>1223</v>
      </c>
      <c r="D227" s="23" t="inlineStr">
        <is>
          <t>0405623007</t>
        </is>
      </c>
      <c r="E227" s="11" t="inlineStr">
        <is>
          <t>Region IV-A (CALABARZON)</t>
        </is>
      </c>
      <c r="F227" s="11" t="inlineStr">
        <is>
          <t>Quezon</t>
        </is>
      </c>
      <c r="G227" s="11" t="inlineStr">
        <is>
          <t>Lucban</t>
        </is>
      </c>
      <c r="H227" s="11" t="inlineStr">
        <is>
          <t>Barangay 4</t>
        </is>
      </c>
      <c r="I227" s="24" t="n">
        <v>14.116</v>
      </c>
      <c r="J227" s="24" t="n">
        <v>121.552841</v>
      </c>
      <c r="K227" s="23" t="inlineStr">
        <is>
          <t>R</t>
        </is>
      </c>
      <c r="L227" s="25" t="n">
        <v>2555</v>
      </c>
      <c r="M227" s="26" t="n">
        <v>3.8</v>
      </c>
      <c r="N227" s="25">
        <f>ROUND(L227/M227, 0)</f>
        <v/>
      </c>
      <c r="O227" s="25">
        <f>ROUND(N227*'Methodology &amp; Assumptions'!$B$7, 0)</f>
        <v/>
      </c>
      <c r="P227" s="23" t="inlineStr">
        <is>
          <t>Single Carrier (Band n50, 100MHz TDD)</t>
        </is>
      </c>
      <c r="Q227" s="27">
        <f>ROUNDUP(O227/'Methodology &amp; Assumptions'!$B$8, 0)</f>
        <v/>
      </c>
      <c r="R227" s="27" t="n">
        <v>1</v>
      </c>
      <c r="S227" s="26" t="n">
        <v>0.62</v>
      </c>
      <c r="T227" s="26" t="n">
        <v>0.13</v>
      </c>
      <c r="U227" s="11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26" t="n">
        <v>80.83</v>
      </c>
      <c r="W227" s="26" t="n">
        <v>48.29</v>
      </c>
      <c r="X227" s="26">
        <f>ROUND(('Methodology &amp; Assumptions'!$B$5*V227) + ('Methodology &amp; Assumptions'!$B$6*W227), 2)</f>
        <v/>
      </c>
      <c r="Y227" s="28" t="n">
        <v>7.2</v>
      </c>
      <c r="Z227" s="11" t="inlineStr">
        <is>
          <t>Priority Tier 2 (Balanced Opportunity)</t>
        </is>
      </c>
    </row>
    <row r="228">
      <c r="A228" s="23" t="n">
        <v>2</v>
      </c>
      <c r="B228" s="23" t="n">
        <v>224</v>
      </c>
      <c r="C228" s="23" t="n">
        <v>1224</v>
      </c>
      <c r="D228" s="23" t="inlineStr">
        <is>
          <t>1908709019</t>
        </is>
      </c>
      <c r="E228" s="11" t="inlineStr">
        <is>
          <t>Bangsamoro Autonomous Region In Muslim Mindanao (BARMM)</t>
        </is>
      </c>
      <c r="F228" s="11" t="inlineStr">
        <is>
          <t>Maguindanao del Norte</t>
        </is>
      </c>
      <c r="G228" s="11" t="inlineStr">
        <is>
          <t>Parang</t>
        </is>
      </c>
      <c r="H228" s="11" t="inlineStr">
        <is>
          <t>Pinantao</t>
        </is>
      </c>
      <c r="I228" s="24" t="n">
        <v>7.421554</v>
      </c>
      <c r="J228" s="24" t="n">
        <v>124.270182</v>
      </c>
      <c r="K228" s="23" t="inlineStr">
        <is>
          <t>R</t>
        </is>
      </c>
      <c r="L228" s="25" t="n">
        <v>5143</v>
      </c>
      <c r="M228" s="26" t="n">
        <v>4.3</v>
      </c>
      <c r="N228" s="25">
        <f>ROUND(L228/M228, 0)</f>
        <v/>
      </c>
      <c r="O228" s="25">
        <f>ROUND(N228*'Methodology &amp; Assumptions'!$B$7, 0)</f>
        <v/>
      </c>
      <c r="P228" s="23" t="inlineStr">
        <is>
          <t>Single Carrier (Band n50, 100MHz TDD)</t>
        </is>
      </c>
      <c r="Q228" s="27">
        <f>ROUNDUP(O228/'Methodology &amp; Assumptions'!$B$8, 0)</f>
        <v/>
      </c>
      <c r="R228" s="27" t="n">
        <v>1</v>
      </c>
      <c r="S228" s="26" t="n">
        <v>62.97</v>
      </c>
      <c r="T228" s="26" t="n">
        <v>56.61</v>
      </c>
      <c r="U228" s="11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26" t="n">
        <v>59.06</v>
      </c>
      <c r="W228" s="26" t="n">
        <v>70.06</v>
      </c>
      <c r="X228" s="26">
        <f>ROUND(('Methodology &amp; Assumptions'!$B$5*V228) + ('Methodology &amp; Assumptions'!$B$6*W228), 2)</f>
        <v/>
      </c>
      <c r="Y228" s="28" t="n">
        <v>11</v>
      </c>
      <c r="Z228" s="11" t="inlineStr">
        <is>
          <t>Priority Tier 2 (Balanced Opportunity)</t>
        </is>
      </c>
    </row>
    <row r="229">
      <c r="A229" s="23" t="n">
        <v>2</v>
      </c>
      <c r="B229" s="23" t="n">
        <v>225</v>
      </c>
      <c r="C229" s="23" t="n">
        <v>1225</v>
      </c>
      <c r="D229" s="23" t="inlineStr">
        <is>
          <t>1381300033</t>
        </is>
      </c>
      <c r="E229" s="11" t="inlineStr">
        <is>
          <t>National Capital Region (NCR)</t>
        </is>
      </c>
      <c r="F229" s="11" t="inlineStr">
        <is>
          <t>Second District (Not a Province)</t>
        </is>
      </c>
      <c r="G229" s="11" t="inlineStr">
        <is>
          <t>Quezon City</t>
        </is>
      </c>
      <c r="H229" s="11" t="inlineStr">
        <is>
          <t>Don Manuel</t>
        </is>
      </c>
      <c r="I229" s="24" t="n">
        <v>14.616255</v>
      </c>
      <c r="J229" s="24" t="n">
        <v>121.004514</v>
      </c>
      <c r="K229" s="23" t="inlineStr">
        <is>
          <t>U</t>
        </is>
      </c>
      <c r="L229" s="25" t="n">
        <v>2417</v>
      </c>
      <c r="M229" s="26" t="n">
        <v>4.53</v>
      </c>
      <c r="N229" s="25">
        <f>ROUND(L229/M229, 0)</f>
        <v/>
      </c>
      <c r="O229" s="25">
        <f>ROUND(N229*'Methodology &amp; Assumptions'!$B$7, 0)</f>
        <v/>
      </c>
      <c r="P229" s="23" t="inlineStr">
        <is>
          <t>Single Carrier (Band n50, 100MHz TDD)</t>
        </is>
      </c>
      <c r="Q229" s="27">
        <f>ROUNDUP(O229/'Methodology &amp; Assumptions'!$B$8, 0)</f>
        <v/>
      </c>
      <c r="R229" s="27" t="n">
        <v>1</v>
      </c>
      <c r="S229" s="26" t="n">
        <v>0.59</v>
      </c>
      <c r="T229" s="26" t="n">
        <v>0.21</v>
      </c>
      <c r="U229" s="11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26" t="n">
        <v>58.23</v>
      </c>
      <c r="W229" s="26" t="n">
        <v>70.88</v>
      </c>
      <c r="X229" s="26">
        <f>ROUND(('Methodology &amp; Assumptions'!$B$5*V229) + ('Methodology &amp; Assumptions'!$B$6*W229), 2)</f>
        <v/>
      </c>
      <c r="Y229" s="28" t="n">
        <v>10.9</v>
      </c>
      <c r="Z229" s="11" t="inlineStr">
        <is>
          <t>Priority Tier 2 (Balanced Opportunity)</t>
        </is>
      </c>
    </row>
    <row r="230">
      <c r="A230" s="23" t="n">
        <v>2</v>
      </c>
      <c r="B230" s="23" t="n">
        <v>226</v>
      </c>
      <c r="C230" s="23" t="n">
        <v>1226</v>
      </c>
      <c r="D230" s="23" t="inlineStr">
        <is>
          <t>0102910007</t>
        </is>
      </c>
      <c r="E230" s="11" t="inlineStr">
        <is>
          <t>Region I (Ilocos Region)</t>
        </is>
      </c>
      <c r="F230" s="11" t="inlineStr">
        <is>
          <t>Ilocos Sur</t>
        </is>
      </c>
      <c r="G230" s="11" t="inlineStr">
        <is>
          <t>Gregorio del Pilar</t>
        </is>
      </c>
      <c r="H230" s="11" t="inlineStr">
        <is>
          <t>Poblacion Norte</t>
        </is>
      </c>
      <c r="I230" s="24" t="n">
        <v>17.161131</v>
      </c>
      <c r="J230" s="24" t="n">
        <v>120.62575</v>
      </c>
      <c r="K230" s="23" t="inlineStr">
        <is>
          <t>R</t>
        </is>
      </c>
      <c r="L230" s="25" t="n">
        <v>571</v>
      </c>
      <c r="M230" s="26" t="n">
        <v>3.8</v>
      </c>
      <c r="N230" s="25">
        <f>ROUND(L230/M230, 0)</f>
        <v/>
      </c>
      <c r="O230" s="25">
        <f>ROUND(N230*'Methodology &amp; Assumptions'!$B$7, 0)</f>
        <v/>
      </c>
      <c r="P230" s="23" t="inlineStr">
        <is>
          <t>Single Carrier (Band n50, 100MHz TDD)</t>
        </is>
      </c>
      <c r="Q230" s="27">
        <f>ROUNDUP(O230/'Methodology &amp; Assumptions'!$B$8, 0)</f>
        <v/>
      </c>
      <c r="R230" s="27" t="n">
        <v>1</v>
      </c>
      <c r="S230" s="26" t="n">
        <v>6.21</v>
      </c>
      <c r="T230" s="26" t="n">
        <v>2.32</v>
      </c>
      <c r="U230" s="11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26" t="n">
        <v>47.08</v>
      </c>
      <c r="W230" s="26" t="n">
        <v>82.05</v>
      </c>
      <c r="X230" s="26">
        <f>ROUND(('Methodology &amp; Assumptions'!$B$5*V230) + ('Methodology &amp; Assumptions'!$B$6*W230), 2)</f>
        <v/>
      </c>
      <c r="Y230" s="28" t="n">
        <v>8.300000000000001</v>
      </c>
      <c r="Z230" s="11" t="inlineStr">
        <is>
          <t>Priority Tier 2 (Balanced Opportunity)</t>
        </is>
      </c>
    </row>
    <row r="231">
      <c r="A231" s="23" t="n">
        <v>2</v>
      </c>
      <c r="B231" s="23" t="n">
        <v>227</v>
      </c>
      <c r="C231" s="23" t="n">
        <v>1227</v>
      </c>
      <c r="D231" s="23" t="inlineStr">
        <is>
          <t>0304926021</t>
        </is>
      </c>
      <c r="E231" s="11" t="inlineStr">
        <is>
          <t>Region III (Central Luzon)</t>
        </is>
      </c>
      <c r="F231" s="11" t="inlineStr">
        <is>
          <t>Nueva Ecija</t>
        </is>
      </c>
      <c r="G231" s="11" t="inlineStr">
        <is>
          <t>San Jose City</t>
        </is>
      </c>
      <c r="H231" s="11" t="inlineStr">
        <is>
          <t>Canuto Ramos Pob.</t>
        </is>
      </c>
      <c r="I231" s="24" t="n">
        <v>15.787933</v>
      </c>
      <c r="J231" s="24" t="n">
        <v>120.989515</v>
      </c>
      <c r="K231" s="23" t="inlineStr">
        <is>
          <t>R</t>
        </is>
      </c>
      <c r="L231" s="25" t="n">
        <v>2255</v>
      </c>
      <c r="M231" s="26" t="n">
        <v>3.5</v>
      </c>
      <c r="N231" s="25">
        <f>ROUND(L231/M231, 0)</f>
        <v/>
      </c>
      <c r="O231" s="25">
        <f>ROUND(N231*'Methodology &amp; Assumptions'!$B$7, 0)</f>
        <v/>
      </c>
      <c r="P231" s="23" t="inlineStr">
        <is>
          <t>Single Carrier (Band n50, 100MHz TDD)</t>
        </is>
      </c>
      <c r="Q231" s="27">
        <f>ROUNDUP(O231/'Methodology &amp; Assumptions'!$B$8, 0)</f>
        <v/>
      </c>
      <c r="R231" s="27" t="n">
        <v>1</v>
      </c>
      <c r="S231" s="26" t="n">
        <v>0.77</v>
      </c>
      <c r="T231" s="26" t="n">
        <v>0.35</v>
      </c>
      <c r="U231" s="11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26" t="n">
        <v>79.93000000000001</v>
      </c>
      <c r="W231" s="26" t="n">
        <v>49.16</v>
      </c>
      <c r="X231" s="26">
        <f>ROUND(('Methodology &amp; Assumptions'!$B$5*V231) + ('Methodology &amp; Assumptions'!$B$6*W231), 2)</f>
        <v/>
      </c>
      <c r="Y231" s="28" t="n">
        <v>8.300000000000001</v>
      </c>
      <c r="Z231" s="11" t="inlineStr">
        <is>
          <t>Priority Tier 2 (Balanced Opportunity)</t>
        </is>
      </c>
    </row>
    <row r="232">
      <c r="A232" s="23" t="n">
        <v>2</v>
      </c>
      <c r="B232" s="23" t="n">
        <v>228</v>
      </c>
      <c r="C232" s="23" t="n">
        <v>1228</v>
      </c>
      <c r="D232" s="23" t="inlineStr">
        <is>
          <t>0403411012</t>
        </is>
      </c>
      <c r="E232" s="11" t="inlineStr">
        <is>
          <t>Region IV-A (CALABARZON)</t>
        </is>
      </c>
      <c r="F232" s="11" t="inlineStr">
        <is>
          <t>Laguna</t>
        </is>
      </c>
      <c r="G232" s="11" t="inlineStr">
        <is>
          <t>Los Baños</t>
        </is>
      </c>
      <c r="H232" s="11" t="inlineStr">
        <is>
          <t>San Antonio</t>
        </is>
      </c>
      <c r="I232" s="24" t="n">
        <v>14.177375</v>
      </c>
      <c r="J232" s="24" t="n">
        <v>121.247048</v>
      </c>
      <c r="K232" s="23" t="inlineStr">
        <is>
          <t>U</t>
        </is>
      </c>
      <c r="L232" s="25" t="n">
        <v>17515</v>
      </c>
      <c r="M232" s="26" t="n">
        <v>3.3</v>
      </c>
      <c r="N232" s="25">
        <f>ROUND(L232/M232, 0)</f>
        <v/>
      </c>
      <c r="O232" s="25">
        <f>ROUND(N232*'Methodology &amp; Assumptions'!$B$7, 0)</f>
        <v/>
      </c>
      <c r="P232" s="23" t="inlineStr">
        <is>
          <t>Single Carrier (Band n50, 100MHz TDD)</t>
        </is>
      </c>
      <c r="Q232" s="27">
        <f>ROUNDUP(O232/'Methodology &amp; Assumptions'!$B$8, 0)</f>
        <v/>
      </c>
      <c r="R232" s="27" t="n">
        <v>1</v>
      </c>
      <c r="S232" s="26" t="n">
        <v>0.54</v>
      </c>
      <c r="T232" s="26" t="n">
        <v>0.11</v>
      </c>
      <c r="U232" s="11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26" t="n">
        <v>78.26000000000001</v>
      </c>
      <c r="W232" s="26" t="n">
        <v>50.85</v>
      </c>
      <c r="X232" s="26">
        <f>ROUND(('Methodology &amp; Assumptions'!$B$5*V232) + ('Methodology &amp; Assumptions'!$B$6*W232), 2)</f>
        <v/>
      </c>
      <c r="Y232" s="28" t="n">
        <v>7.2</v>
      </c>
      <c r="Z232" s="11" t="inlineStr">
        <is>
          <t>Priority Tier 2 (Balanced Opportunity)</t>
        </is>
      </c>
    </row>
    <row r="233">
      <c r="A233" s="23" t="n">
        <v>2</v>
      </c>
      <c r="B233" s="23" t="n">
        <v>229</v>
      </c>
      <c r="C233" s="23" t="n">
        <v>1229</v>
      </c>
      <c r="D233" s="23" t="inlineStr">
        <is>
          <t>1381100110</t>
        </is>
      </c>
      <c r="E233" s="11" t="inlineStr">
        <is>
          <t>National Capital Region (NCR)</t>
        </is>
      </c>
      <c r="F233" s="11" t="inlineStr">
        <is>
          <t>Fourth District (Not a Province)</t>
        </is>
      </c>
      <c r="G233" s="11" t="inlineStr">
        <is>
          <t>Pasay City</t>
        </is>
      </c>
      <c r="H233" s="11" t="inlineStr">
        <is>
          <t>Barangay 110</t>
        </is>
      </c>
      <c r="I233" s="24" t="n">
        <v>14.545955</v>
      </c>
      <c r="J233" s="24" t="n">
        <v>121.003491</v>
      </c>
      <c r="K233" s="23" t="inlineStr">
        <is>
          <t>U</t>
        </is>
      </c>
      <c r="L233" s="25" t="n">
        <v>2260</v>
      </c>
      <c r="M233" s="26" t="n">
        <v>3.87</v>
      </c>
      <c r="N233" s="25">
        <f>ROUND(L233/M233, 0)</f>
        <v/>
      </c>
      <c r="O233" s="25">
        <f>ROUND(N233*'Methodology &amp; Assumptions'!$B$7, 0)</f>
        <v/>
      </c>
      <c r="P233" s="23" t="inlineStr">
        <is>
          <t>Single Carrier (Band n50, 100MHz TDD)</t>
        </is>
      </c>
      <c r="Q233" s="27">
        <f>ROUNDUP(O233/'Methodology &amp; Assumptions'!$B$8, 0)</f>
        <v/>
      </c>
      <c r="R233" s="27" t="n">
        <v>1</v>
      </c>
      <c r="S233" s="26" t="n">
        <v>0.95</v>
      </c>
      <c r="T233" s="26" t="n">
        <v>0.26</v>
      </c>
      <c r="U233" s="11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26" t="n">
        <v>59.41</v>
      </c>
      <c r="W233" s="26" t="n">
        <v>69.69</v>
      </c>
      <c r="X233" s="26">
        <f>ROUND(('Methodology &amp; Assumptions'!$B$5*V233) + ('Methodology &amp; Assumptions'!$B$6*W233), 2)</f>
        <v/>
      </c>
      <c r="Y233" s="28" t="n">
        <v>10.9</v>
      </c>
      <c r="Z233" s="11" t="inlineStr">
        <is>
          <t>Priority Tier 2 (Balanced Opportunity)</t>
        </is>
      </c>
    </row>
    <row r="234">
      <c r="A234" s="23" t="n">
        <v>2</v>
      </c>
      <c r="B234" s="23" t="n">
        <v>230</v>
      </c>
      <c r="C234" s="23" t="n">
        <v>1230</v>
      </c>
      <c r="D234" s="23" t="inlineStr">
        <is>
          <t>1908707003</t>
        </is>
      </c>
      <c r="E234" s="11" t="inlineStr">
        <is>
          <t>Bangsamoro Autonomous Region In Muslim Mindanao (BARMM)</t>
        </is>
      </c>
      <c r="F234" s="11" t="inlineStr">
        <is>
          <t>Maguindanao del Norte</t>
        </is>
      </c>
      <c r="G234" s="11" t="inlineStr">
        <is>
          <t>Matanog</t>
        </is>
      </c>
      <c r="H234" s="11" t="inlineStr">
        <is>
          <t>Bugasan Norte</t>
        </is>
      </c>
      <c r="I234" s="24" t="n">
        <v>7.498916</v>
      </c>
      <c r="J234" s="24" t="n">
        <v>124.281054</v>
      </c>
      <c r="K234" s="23" t="inlineStr">
        <is>
          <t>R</t>
        </is>
      </c>
      <c r="L234" s="25" t="n">
        <v>10312</v>
      </c>
      <c r="M234" s="26" t="n">
        <v>4.3</v>
      </c>
      <c r="N234" s="25">
        <f>ROUND(L234/M234, 0)</f>
        <v/>
      </c>
      <c r="O234" s="25">
        <f>ROUND(N234*'Methodology &amp; Assumptions'!$B$7, 0)</f>
        <v/>
      </c>
      <c r="P234" s="23" t="inlineStr">
        <is>
          <t>Single Carrier (Band n50, 100MHz TDD)</t>
        </is>
      </c>
      <c r="Q234" s="27">
        <f>ROUNDUP(O234/'Methodology &amp; Assumptions'!$B$8, 0)</f>
        <v/>
      </c>
      <c r="R234" s="27" t="n">
        <v>1</v>
      </c>
      <c r="S234" s="26" t="n">
        <v>56.83</v>
      </c>
      <c r="T234" s="26" t="n">
        <v>55.23</v>
      </c>
      <c r="U234" s="11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26" t="n">
        <v>59.06</v>
      </c>
      <c r="W234" s="26" t="n">
        <v>70.05</v>
      </c>
      <c r="X234" s="26">
        <f>ROUND(('Methodology &amp; Assumptions'!$B$5*V234) + ('Methodology &amp; Assumptions'!$B$6*W234), 2)</f>
        <v/>
      </c>
      <c r="Y234" s="28" t="n">
        <v>11</v>
      </c>
      <c r="Z234" s="11" t="inlineStr">
        <is>
          <t>Priority Tier 2 (Balanced Opportunity)</t>
        </is>
      </c>
    </row>
    <row r="235">
      <c r="A235" s="23" t="n">
        <v>2</v>
      </c>
      <c r="B235" s="23" t="n">
        <v>231</v>
      </c>
      <c r="C235" s="23" t="n">
        <v>1231</v>
      </c>
      <c r="D235" s="23" t="inlineStr">
        <is>
          <t>1380602008</t>
        </is>
      </c>
      <c r="E235" s="11" t="inlineStr">
        <is>
          <t>National Capital Region (NCR)</t>
        </is>
      </c>
      <c r="F235" s="11" t="inlineStr">
        <is>
          <t>First District (Not a Province)</t>
        </is>
      </c>
      <c r="G235" s="11" t="inlineStr">
        <is>
          <t>City of Manila</t>
        </is>
      </c>
      <c r="H235" s="11" t="inlineStr">
        <is>
          <t>Barangay 294</t>
        </is>
      </c>
      <c r="I235" s="24" t="n">
        <v>14.604647</v>
      </c>
      <c r="J235" s="24" t="n">
        <v>120.97663</v>
      </c>
      <c r="K235" s="23" t="inlineStr">
        <is>
          <t>U</t>
        </is>
      </c>
      <c r="L235" s="25" t="n">
        <v>1905</v>
      </c>
      <c r="M235" s="26" t="n">
        <v>3.46</v>
      </c>
      <c r="N235" s="25">
        <f>ROUND(L235/M235, 0)</f>
        <v/>
      </c>
      <c r="O235" s="25">
        <f>ROUND(N235*'Methodology &amp; Assumptions'!$B$7, 0)</f>
        <v/>
      </c>
      <c r="P235" s="23" t="inlineStr">
        <is>
          <t>Single Carrier (Band n50, 100MHz TDD)</t>
        </is>
      </c>
      <c r="Q235" s="27">
        <f>ROUNDUP(O235/'Methodology &amp; Assumptions'!$B$8, 0)</f>
        <v/>
      </c>
      <c r="R235" s="27" t="n">
        <v>1</v>
      </c>
      <c r="S235" s="26" t="n">
        <v>0.79</v>
      </c>
      <c r="T235" s="26" t="n">
        <v>0.23</v>
      </c>
      <c r="U235" s="11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26" t="n">
        <v>58.77</v>
      </c>
      <c r="W235" s="26" t="n">
        <v>70.33</v>
      </c>
      <c r="X235" s="26">
        <f>ROUND(('Methodology &amp; Assumptions'!$B$5*V235) + ('Methodology &amp; Assumptions'!$B$6*W235), 2)</f>
        <v/>
      </c>
      <c r="Y235" s="28" t="n">
        <v>10.9</v>
      </c>
      <c r="Z235" s="11" t="inlineStr">
        <is>
          <t>Priority Tier 2 (Balanced Opportunity)</t>
        </is>
      </c>
    </row>
    <row r="236">
      <c r="A236" s="23" t="n">
        <v>2</v>
      </c>
      <c r="B236" s="23" t="n">
        <v>232</v>
      </c>
      <c r="C236" s="23" t="n">
        <v>1232</v>
      </c>
      <c r="D236" s="23" t="inlineStr">
        <is>
          <t>0301420052</t>
        </is>
      </c>
      <c r="E236" s="11" t="inlineStr">
        <is>
          <t>Region III (Central Luzon)</t>
        </is>
      </c>
      <c r="F236" s="11" t="inlineStr">
        <is>
          <t>Bulacan</t>
        </is>
      </c>
      <c r="G236" s="11" t="inlineStr">
        <is>
          <t>City of San Jose Del Monte</t>
        </is>
      </c>
      <c r="H236" s="11" t="inlineStr">
        <is>
          <t>San Rafael V</t>
        </is>
      </c>
      <c r="I236" s="24" t="n">
        <v>14.850433</v>
      </c>
      <c r="J236" s="24" t="n">
        <v>121.043185</v>
      </c>
      <c r="K236" s="23" t="inlineStr">
        <is>
          <t>R</t>
        </is>
      </c>
      <c r="L236" s="25" t="n">
        <v>2973</v>
      </c>
      <c r="M236" s="26" t="n">
        <v>3.5</v>
      </c>
      <c r="N236" s="25">
        <f>ROUND(L236/M236, 0)</f>
        <v/>
      </c>
      <c r="O236" s="25">
        <f>ROUND(N236*'Methodology &amp; Assumptions'!$B$7, 0)</f>
        <v/>
      </c>
      <c r="P236" s="23" t="inlineStr">
        <is>
          <t>Single Carrier (Band n50, 100MHz TDD)</t>
        </is>
      </c>
      <c r="Q236" s="27">
        <f>ROUNDUP(O236/'Methodology &amp; Assumptions'!$B$8, 0)</f>
        <v/>
      </c>
      <c r="R236" s="27" t="n">
        <v>1</v>
      </c>
      <c r="S236" s="26" t="n">
        <v>1.14</v>
      </c>
      <c r="T236" s="26" t="n">
        <v>2.23</v>
      </c>
      <c r="U236" s="11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26" t="n">
        <v>80.98</v>
      </c>
      <c r="W236" s="26" t="n">
        <v>48.1</v>
      </c>
      <c r="X236" s="26">
        <f>ROUND(('Methodology &amp; Assumptions'!$B$5*V236) + ('Methodology &amp; Assumptions'!$B$6*W236), 2)</f>
        <v/>
      </c>
      <c r="Y236" s="28" t="n">
        <v>8.300000000000001</v>
      </c>
      <c r="Z236" s="11" t="inlineStr">
        <is>
          <t>Priority Tier 2 (Balanced Opportunity)</t>
        </is>
      </c>
    </row>
    <row r="237">
      <c r="A237" s="23" t="n">
        <v>2</v>
      </c>
      <c r="B237" s="23" t="n">
        <v>233</v>
      </c>
      <c r="C237" s="23" t="n">
        <v>1233</v>
      </c>
      <c r="D237" s="23" t="inlineStr">
        <is>
          <t>0403428005</t>
        </is>
      </c>
      <c r="E237" s="11" t="inlineStr">
        <is>
          <t>Region IV-A (CALABARZON)</t>
        </is>
      </c>
      <c r="F237" s="11" t="inlineStr">
        <is>
          <t>Laguna</t>
        </is>
      </c>
      <c r="G237" s="11" t="inlineStr">
        <is>
          <t>City of Santa Rosa</t>
        </is>
      </c>
      <c r="H237" s="11" t="inlineStr">
        <is>
          <t>Dita</t>
        </is>
      </c>
      <c r="I237" s="24" t="n">
        <v>14.282139</v>
      </c>
      <c r="J237" s="24" t="n">
        <v>121.111519</v>
      </c>
      <c r="K237" s="23" t="inlineStr">
        <is>
          <t>U</t>
        </is>
      </c>
      <c r="L237" s="25" t="n">
        <v>37982</v>
      </c>
      <c r="M237" s="26" t="n">
        <v>3.3</v>
      </c>
      <c r="N237" s="25">
        <f>ROUND(L237/M237, 0)</f>
        <v/>
      </c>
      <c r="O237" s="25">
        <f>ROUND(N237*'Methodology &amp; Assumptions'!$B$7, 0)</f>
        <v/>
      </c>
      <c r="P237" s="23" t="inlineStr">
        <is>
          <t>Single Carrier (Band n50, 100MHz TDD)</t>
        </is>
      </c>
      <c r="Q237" s="27">
        <f>ROUNDUP(O237/'Methodology &amp; Assumptions'!$B$8, 0)</f>
        <v/>
      </c>
      <c r="R237" s="27" t="n">
        <v>1</v>
      </c>
      <c r="S237" s="26" t="n">
        <v>1.17</v>
      </c>
      <c r="T237" s="26" t="n">
        <v>0.03</v>
      </c>
      <c r="U237" s="11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26" t="n">
        <v>75.97</v>
      </c>
      <c r="W237" s="26" t="n">
        <v>53.11</v>
      </c>
      <c r="X237" s="26">
        <f>ROUND(('Methodology &amp; Assumptions'!$B$5*V237) + ('Methodology &amp; Assumptions'!$B$6*W237), 2)</f>
        <v/>
      </c>
      <c r="Y237" s="28" t="n">
        <v>7.2</v>
      </c>
      <c r="Z237" s="11" t="inlineStr">
        <is>
          <t>Priority Tier 2 (Balanced Opportunity)</t>
        </is>
      </c>
    </row>
    <row r="238">
      <c r="A238" s="23" t="n">
        <v>2</v>
      </c>
      <c r="B238" s="23" t="n">
        <v>234</v>
      </c>
      <c r="C238" s="23" t="n">
        <v>1234</v>
      </c>
      <c r="D238" s="23" t="inlineStr">
        <is>
          <t>1102315032</t>
        </is>
      </c>
      <c r="E238" s="11" t="inlineStr">
        <is>
          <t>Region XI (Davao Region)</t>
        </is>
      </c>
      <c r="F238" s="11" t="inlineStr">
        <is>
          <t>Davao del Norte</t>
        </is>
      </c>
      <c r="G238" s="11" t="inlineStr">
        <is>
          <t>City of Panabo</t>
        </is>
      </c>
      <c r="H238" s="11" t="inlineStr">
        <is>
          <t>San Vicente</t>
        </is>
      </c>
      <c r="I238" s="24" t="n">
        <v>7.309468</v>
      </c>
      <c r="J238" s="24" t="n">
        <v>125.700328</v>
      </c>
      <c r="K238" s="23" t="inlineStr">
        <is>
          <t>U</t>
        </is>
      </c>
      <c r="L238" s="25" t="n">
        <v>19658</v>
      </c>
      <c r="M238" s="26" t="n">
        <v>3.7</v>
      </c>
      <c r="N238" s="25">
        <f>ROUND(L238/M238, 0)</f>
        <v/>
      </c>
      <c r="O238" s="25">
        <f>ROUND(N238*'Methodology &amp; Assumptions'!$B$7, 0)</f>
        <v/>
      </c>
      <c r="P238" s="23" t="inlineStr">
        <is>
          <t>Single Carrier (Band n50, 100MHz TDD)</t>
        </is>
      </c>
      <c r="Q238" s="27">
        <f>ROUNDUP(O238/'Methodology &amp; Assumptions'!$B$8, 0)</f>
        <v/>
      </c>
      <c r="R238" s="27" t="n">
        <v>1</v>
      </c>
      <c r="S238" s="26" t="n">
        <v>2.42</v>
      </c>
      <c r="T238" s="26" t="n">
        <v>1.63</v>
      </c>
      <c r="U238" s="11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26" t="n">
        <v>74.22</v>
      </c>
      <c r="W238" s="26" t="n">
        <v>54.85</v>
      </c>
      <c r="X238" s="26">
        <f>ROUND(('Methodology &amp; Assumptions'!$B$5*V238) + ('Methodology &amp; Assumptions'!$B$6*W238), 2)</f>
        <v/>
      </c>
      <c r="Y238" s="28" t="n">
        <v>17.4</v>
      </c>
      <c r="Z238" s="11" t="inlineStr">
        <is>
          <t>Priority Tier 2 (Balanced Opportunity)</t>
        </is>
      </c>
    </row>
    <row r="239">
      <c r="A239" s="23" t="n">
        <v>2</v>
      </c>
      <c r="B239" s="23" t="n">
        <v>235</v>
      </c>
      <c r="C239" s="23" t="n">
        <v>1235</v>
      </c>
      <c r="D239" s="23" t="inlineStr">
        <is>
          <t>1381100037</t>
        </is>
      </c>
      <c r="E239" s="11" t="inlineStr">
        <is>
          <t>National Capital Region (NCR)</t>
        </is>
      </c>
      <c r="F239" s="11" t="inlineStr">
        <is>
          <t>Fourth District (Not a Province)</t>
        </is>
      </c>
      <c r="G239" s="11" t="inlineStr">
        <is>
          <t>Pasay City</t>
        </is>
      </c>
      <c r="H239" s="11" t="inlineStr">
        <is>
          <t>Barangay 37</t>
        </is>
      </c>
      <c r="I239" s="24" t="n">
        <v>14.555192</v>
      </c>
      <c r="J239" s="24" t="n">
        <v>120.995216</v>
      </c>
      <c r="K239" s="23" t="inlineStr">
        <is>
          <t>U</t>
        </is>
      </c>
      <c r="L239" s="25" t="n">
        <v>1568</v>
      </c>
      <c r="M239" s="26" t="n">
        <v>3.02</v>
      </c>
      <c r="N239" s="25">
        <f>ROUND(L239/M239, 0)</f>
        <v/>
      </c>
      <c r="O239" s="25">
        <f>ROUND(N239*'Methodology &amp; Assumptions'!$B$7, 0)</f>
        <v/>
      </c>
      <c r="P239" s="23" t="inlineStr">
        <is>
          <t>Single Carrier (Band n50, 100MHz TDD)</t>
        </is>
      </c>
      <c r="Q239" s="27">
        <f>ROUNDUP(O239/'Methodology &amp; Assumptions'!$B$8, 0)</f>
        <v/>
      </c>
      <c r="R239" s="27" t="n">
        <v>1</v>
      </c>
      <c r="S239" s="26" t="n">
        <v>0.43</v>
      </c>
      <c r="T239" s="26" t="n">
        <v>0.22</v>
      </c>
      <c r="U239" s="11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26" t="n">
        <v>57.8</v>
      </c>
      <c r="W239" s="26" t="n">
        <v>71.27</v>
      </c>
      <c r="X239" s="26">
        <f>ROUND(('Methodology &amp; Assumptions'!$B$5*V239) + ('Methodology &amp; Assumptions'!$B$6*W239), 2)</f>
        <v/>
      </c>
      <c r="Y239" s="28" t="n">
        <v>10.9</v>
      </c>
      <c r="Z239" s="11" t="inlineStr">
        <is>
          <t>Priority Tier 2 (Balanced Opportunity)</t>
        </is>
      </c>
    </row>
    <row r="240">
      <c r="A240" s="23" t="n">
        <v>2</v>
      </c>
      <c r="B240" s="23" t="n">
        <v>236</v>
      </c>
      <c r="C240" s="23" t="n">
        <v>1236</v>
      </c>
      <c r="D240" s="23" t="inlineStr">
        <is>
          <t>0403411004</t>
        </is>
      </c>
      <c r="E240" s="11" t="inlineStr">
        <is>
          <t>Region IV-A (CALABARZON)</t>
        </is>
      </c>
      <c r="F240" s="11" t="inlineStr">
        <is>
          <t>Laguna</t>
        </is>
      </c>
      <c r="G240" s="11" t="inlineStr">
        <is>
          <t>Los Baños</t>
        </is>
      </c>
      <c r="H240" s="11" t="inlineStr">
        <is>
          <t>Batong Malake</t>
        </is>
      </c>
      <c r="I240" s="24" t="n">
        <v>14.17153</v>
      </c>
      <c r="J240" s="24" t="n">
        <v>121.24181</v>
      </c>
      <c r="K240" s="23" t="inlineStr">
        <is>
          <t>U</t>
        </is>
      </c>
      <c r="L240" s="25" t="n">
        <v>13788</v>
      </c>
      <c r="M240" s="26" t="n">
        <v>3.3</v>
      </c>
      <c r="N240" s="25">
        <f>ROUND(L240/M240, 0)</f>
        <v/>
      </c>
      <c r="O240" s="25">
        <f>ROUND(N240*'Methodology &amp; Assumptions'!$B$7, 0)</f>
        <v/>
      </c>
      <c r="P240" s="23" t="inlineStr">
        <is>
          <t>Single Carrier (Band n50, 100MHz TDD)</t>
        </is>
      </c>
      <c r="Q240" s="27">
        <f>ROUNDUP(O240/'Methodology &amp; Assumptions'!$B$8, 0)</f>
        <v/>
      </c>
      <c r="R240" s="27" t="n">
        <v>1</v>
      </c>
      <c r="S240" s="26" t="n">
        <v>0.85</v>
      </c>
      <c r="T240" s="26" t="n">
        <v>0.75</v>
      </c>
      <c r="U240" s="11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26" t="n">
        <v>78.22</v>
      </c>
      <c r="W240" s="26" t="n">
        <v>50.83</v>
      </c>
      <c r="X240" s="26">
        <f>ROUND(('Methodology &amp; Assumptions'!$B$5*V240) + ('Methodology &amp; Assumptions'!$B$6*W240), 2)</f>
        <v/>
      </c>
      <c r="Y240" s="28" t="n">
        <v>7.2</v>
      </c>
      <c r="Z240" s="11" t="inlineStr">
        <is>
          <t>Priority Tier 2 (Balanced Opportunity)</t>
        </is>
      </c>
    </row>
    <row r="241">
      <c r="A241" s="23" t="n">
        <v>2</v>
      </c>
      <c r="B241" s="23" t="n">
        <v>237</v>
      </c>
      <c r="C241" s="23" t="n">
        <v>1237</v>
      </c>
      <c r="D241" s="23" t="inlineStr">
        <is>
          <t>0402103007</t>
        </is>
      </c>
      <c r="E241" s="11" t="inlineStr">
        <is>
          <t>Region IV-A (CALABARZON)</t>
        </is>
      </c>
      <c r="F241" s="11" t="inlineStr">
        <is>
          <t>Cavite</t>
        </is>
      </c>
      <c r="G241" s="11" t="inlineStr">
        <is>
          <t>City of Bacoor</t>
        </is>
      </c>
      <c r="H241" s="11" t="inlineStr">
        <is>
          <t>Dulong Bayan</t>
        </is>
      </c>
      <c r="I241" s="24" t="n">
        <v>14.449415</v>
      </c>
      <c r="J241" s="24" t="n">
        <v>120.936035</v>
      </c>
      <c r="K241" s="23" t="inlineStr">
        <is>
          <t>U</t>
        </is>
      </c>
      <c r="L241" s="25" t="n">
        <v>7100</v>
      </c>
      <c r="M241" s="26" t="n">
        <v>3.4</v>
      </c>
      <c r="N241" s="25">
        <f>ROUND(L241/M241, 0)</f>
        <v/>
      </c>
      <c r="O241" s="25">
        <f>ROUND(N241*'Methodology &amp; Assumptions'!$B$7, 0)</f>
        <v/>
      </c>
      <c r="P241" s="23" t="inlineStr">
        <is>
          <t>Single Carrier (Band n50, 100MHz TDD)</t>
        </is>
      </c>
      <c r="Q241" s="27">
        <f>ROUNDUP(O241/'Methodology &amp; Assumptions'!$B$8, 0)</f>
        <v/>
      </c>
      <c r="R241" s="27" t="n">
        <v>1</v>
      </c>
      <c r="S241" s="26" t="n">
        <v>1.39</v>
      </c>
      <c r="T241" s="26" t="n">
        <v>0.23</v>
      </c>
      <c r="U241" s="11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26" t="n">
        <v>76.18000000000001</v>
      </c>
      <c r="W241" s="26" t="n">
        <v>52.87</v>
      </c>
      <c r="X241" s="26">
        <f>ROUND(('Methodology &amp; Assumptions'!$B$5*V241) + ('Methodology &amp; Assumptions'!$B$6*W241), 2)</f>
        <v/>
      </c>
      <c r="Y241" s="28" t="n">
        <v>7.2</v>
      </c>
      <c r="Z241" s="11" t="inlineStr">
        <is>
          <t>Priority Tier 2 (Balanced Opportunity)</t>
        </is>
      </c>
    </row>
    <row r="242">
      <c r="A242" s="23" t="n">
        <v>2</v>
      </c>
      <c r="B242" s="23" t="n">
        <v>238</v>
      </c>
      <c r="C242" s="23" t="n">
        <v>1238</v>
      </c>
      <c r="D242" s="23" t="inlineStr">
        <is>
          <t>1381300017</t>
        </is>
      </c>
      <c r="E242" s="11" t="inlineStr">
        <is>
          <t>National Capital Region (NCR)</t>
        </is>
      </c>
      <c r="F242" s="11" t="inlineStr">
        <is>
          <t>Second District (Not a Province)</t>
        </is>
      </c>
      <c r="G242" s="11" t="inlineStr">
        <is>
          <t>Quezon City</t>
        </is>
      </c>
      <c r="H242" s="11" t="inlineStr">
        <is>
          <t>Botocan</t>
        </is>
      </c>
      <c r="I242" s="24" t="n">
        <v>14.63683</v>
      </c>
      <c r="J242" s="24" t="n">
        <v>121.0629</v>
      </c>
      <c r="K242" s="23" t="inlineStr">
        <is>
          <t>U</t>
        </is>
      </c>
      <c r="L242" s="25" t="n">
        <v>7406</v>
      </c>
      <c r="M242" s="26" t="n">
        <v>4.43</v>
      </c>
      <c r="N242" s="25">
        <f>ROUND(L242/M242, 0)</f>
        <v/>
      </c>
      <c r="O242" s="25">
        <f>ROUND(N242*'Methodology &amp; Assumptions'!$B$7, 0)</f>
        <v/>
      </c>
      <c r="P242" s="23" t="inlineStr">
        <is>
          <t>Single Carrier (Band n50, 100MHz TDD)</t>
        </is>
      </c>
      <c r="Q242" s="27">
        <f>ROUNDUP(O242/'Methodology &amp; Assumptions'!$B$8, 0)</f>
        <v/>
      </c>
      <c r="R242" s="27" t="n">
        <v>1</v>
      </c>
      <c r="S242" s="26" t="n">
        <v>1.33</v>
      </c>
      <c r="T242" s="26" t="n">
        <v>0.49</v>
      </c>
      <c r="U242" s="11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26" t="n">
        <v>67.23</v>
      </c>
      <c r="W242" s="26" t="n">
        <v>61.84</v>
      </c>
      <c r="X242" s="26">
        <f>ROUND(('Methodology &amp; Assumptions'!$B$5*V242) + ('Methodology &amp; Assumptions'!$B$6*W242), 2)</f>
        <v/>
      </c>
      <c r="Y242" s="28" t="n">
        <v>10.9</v>
      </c>
      <c r="Z242" s="11" t="inlineStr">
        <is>
          <t>Priority Tier 2 (Balanced Opportunity)</t>
        </is>
      </c>
    </row>
    <row r="243">
      <c r="A243" s="23" t="n">
        <v>2</v>
      </c>
      <c r="B243" s="23" t="n">
        <v>239</v>
      </c>
      <c r="C243" s="23" t="n">
        <v>1239</v>
      </c>
      <c r="D243" s="23" t="inlineStr">
        <is>
          <t>0405801008</t>
        </is>
      </c>
      <c r="E243" s="11" t="inlineStr">
        <is>
          <t>Region IV-A (CALABARZON)</t>
        </is>
      </c>
      <c r="F243" s="11" t="inlineStr">
        <is>
          <t>Rizal</t>
        </is>
      </c>
      <c r="G243" s="11" t="inlineStr">
        <is>
          <t>Angono</t>
        </is>
      </c>
      <c r="H243" s="11" t="inlineStr">
        <is>
          <t>Poblacion Itaas</t>
        </is>
      </c>
      <c r="I243" s="24" t="n">
        <v>14.52397</v>
      </c>
      <c r="J243" s="24" t="n">
        <v>121.1504</v>
      </c>
      <c r="K243" s="23" t="inlineStr">
        <is>
          <t>R</t>
        </is>
      </c>
      <c r="L243" s="25" t="n">
        <v>538</v>
      </c>
      <c r="M243" s="26" t="n">
        <v>3.6</v>
      </c>
      <c r="N243" s="25">
        <f>ROUND(L243/M243, 0)</f>
        <v/>
      </c>
      <c r="O243" s="25">
        <f>ROUND(N243*'Methodology &amp; Assumptions'!$B$7, 0)</f>
        <v/>
      </c>
      <c r="P243" s="23" t="inlineStr">
        <is>
          <t>Single Carrier (Band n50, 100MHz TDD)</t>
        </is>
      </c>
      <c r="Q243" s="27">
        <f>ROUNDUP(O243/'Methodology &amp; Assumptions'!$B$8, 0)</f>
        <v/>
      </c>
      <c r="R243" s="27" t="n">
        <v>1</v>
      </c>
      <c r="S243" s="26" t="n">
        <v>0.61</v>
      </c>
      <c r="T243" s="26" t="n">
        <v>0.28</v>
      </c>
      <c r="U243" s="11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26" t="n">
        <v>63.75</v>
      </c>
      <c r="W243" s="26" t="n">
        <v>65.3</v>
      </c>
      <c r="X243" s="26">
        <f>ROUND(('Methodology &amp; Assumptions'!$B$5*V243) + ('Methodology &amp; Assumptions'!$B$6*W243), 2)</f>
        <v/>
      </c>
      <c r="Y243" s="28" t="n">
        <v>7.2</v>
      </c>
      <c r="Z243" s="11" t="inlineStr">
        <is>
          <t>Priority Tier 2 (Balanced Opportunity)</t>
        </is>
      </c>
    </row>
    <row r="244">
      <c r="A244" s="23" t="n">
        <v>2</v>
      </c>
      <c r="B244" s="23" t="n">
        <v>240</v>
      </c>
      <c r="C244" s="23" t="n">
        <v>1240</v>
      </c>
      <c r="D244" s="23" t="inlineStr">
        <is>
          <t>1908707006</t>
        </is>
      </c>
      <c r="E244" s="11" t="inlineStr">
        <is>
          <t>Bangsamoro Autonomous Region In Muslim Mindanao (BARMM)</t>
        </is>
      </c>
      <c r="F244" s="11" t="inlineStr">
        <is>
          <t>Maguindanao del Norte</t>
        </is>
      </c>
      <c r="G244" s="11" t="inlineStr">
        <is>
          <t>Matanog</t>
        </is>
      </c>
      <c r="H244" s="11" t="inlineStr">
        <is>
          <t>Langco</t>
        </is>
      </c>
      <c r="I244" s="24" t="n">
        <v>7.431119</v>
      </c>
      <c r="J244" s="24" t="n">
        <v>124.214368</v>
      </c>
      <c r="K244" s="23" t="inlineStr">
        <is>
          <t>R</t>
        </is>
      </c>
      <c r="L244" s="25" t="n">
        <v>5853</v>
      </c>
      <c r="M244" s="26" t="n">
        <v>4.3</v>
      </c>
      <c r="N244" s="25">
        <f>ROUND(L244/M244, 0)</f>
        <v/>
      </c>
      <c r="O244" s="25">
        <f>ROUND(N244*'Methodology &amp; Assumptions'!$B$7, 0)</f>
        <v/>
      </c>
      <c r="P244" s="23" t="inlineStr">
        <is>
          <t>Single Carrier (Band n50, 100MHz TDD)</t>
        </is>
      </c>
      <c r="Q244" s="27">
        <f>ROUNDUP(O244/'Methodology &amp; Assumptions'!$B$8, 0)</f>
        <v/>
      </c>
      <c r="R244" s="27" t="n">
        <v>1</v>
      </c>
      <c r="S244" s="26" t="n">
        <v>64.70999999999999</v>
      </c>
      <c r="T244" s="26" t="n">
        <v>62.86</v>
      </c>
      <c r="U244" s="11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26" t="n">
        <v>59.06</v>
      </c>
      <c r="W244" s="26" t="n">
        <v>70</v>
      </c>
      <c r="X244" s="26">
        <f>ROUND(('Methodology &amp; Assumptions'!$B$5*V244) + ('Methodology &amp; Assumptions'!$B$6*W244), 2)</f>
        <v/>
      </c>
      <c r="Y244" s="28" t="n">
        <v>11</v>
      </c>
      <c r="Z244" s="11" t="inlineStr">
        <is>
          <t>Priority Tier 2 (Balanced Opportunity)</t>
        </is>
      </c>
    </row>
    <row r="245">
      <c r="A245" s="23" t="n">
        <v>2</v>
      </c>
      <c r="B245" s="23" t="n">
        <v>241</v>
      </c>
      <c r="C245" s="23" t="n">
        <v>1241</v>
      </c>
      <c r="D245" s="23" t="inlineStr">
        <is>
          <t>0501720004</t>
        </is>
      </c>
      <c r="E245" s="11" t="inlineStr">
        <is>
          <t>Region V (Bicol Region)</t>
        </is>
      </c>
      <c r="F245" s="11" t="inlineStr">
        <is>
          <t>Camarines Sur</t>
        </is>
      </c>
      <c r="G245" s="11" t="inlineStr">
        <is>
          <t>Magarao</t>
        </is>
      </c>
      <c r="H245" s="11" t="inlineStr">
        <is>
          <t>Carigsa</t>
        </is>
      </c>
      <c r="I245" s="24" t="n">
        <v>13.6855</v>
      </c>
      <c r="J245" s="24" t="n">
        <v>123.1471</v>
      </c>
      <c r="K245" s="23" t="inlineStr">
        <is>
          <t>R</t>
        </is>
      </c>
      <c r="L245" s="25" t="n">
        <v>229</v>
      </c>
      <c r="M245" s="26" t="n">
        <v>4.2</v>
      </c>
      <c r="N245" s="25">
        <f>ROUND(L245/M245, 0)</f>
        <v/>
      </c>
      <c r="O245" s="25">
        <f>ROUND(N245*'Methodology &amp; Assumptions'!$B$7, 0)</f>
        <v/>
      </c>
      <c r="P245" s="23" t="inlineStr">
        <is>
          <t>Single Carrier (Band n50, 100MHz TDD)</t>
        </is>
      </c>
      <c r="Q245" s="27">
        <f>ROUNDUP(O245/'Methodology &amp; Assumptions'!$B$8, 0)</f>
        <v/>
      </c>
      <c r="R245" s="27" t="n">
        <v>1</v>
      </c>
      <c r="S245" s="26" t="n">
        <v>4.94</v>
      </c>
      <c r="T245" s="26" t="n">
        <v>4.65</v>
      </c>
      <c r="U245" s="11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26" t="n">
        <v>50.82</v>
      </c>
      <c r="W245" s="26" t="n">
        <v>78.23999999999999</v>
      </c>
      <c r="X245" s="26">
        <f>ROUND(('Methodology &amp; Assumptions'!$B$5*V245) + ('Methodology &amp; Assumptions'!$B$6*W245), 2)</f>
        <v/>
      </c>
      <c r="Y245" s="28" t="n">
        <v>23.7</v>
      </c>
      <c r="Z245" s="11" t="inlineStr">
        <is>
          <t>Priority Tier 2 (Balanced Opportunity)</t>
        </is>
      </c>
    </row>
    <row r="246">
      <c r="A246" s="23" t="n">
        <v>2</v>
      </c>
      <c r="B246" s="23" t="n">
        <v>242</v>
      </c>
      <c r="C246" s="23" t="n">
        <v>1242</v>
      </c>
      <c r="D246" s="23" t="inlineStr">
        <is>
          <t>1381600030</t>
        </is>
      </c>
      <c r="E246" s="11" t="inlineStr">
        <is>
          <t>National Capital Region (NCR)</t>
        </is>
      </c>
      <c r="F246" s="11" t="inlineStr">
        <is>
          <t>Third District (Not a Province)</t>
        </is>
      </c>
      <c r="G246" s="11" t="inlineStr">
        <is>
          <t>City of Valenzuela</t>
        </is>
      </c>
      <c r="H246" s="11" t="inlineStr">
        <is>
          <t>Ugong</t>
        </is>
      </c>
      <c r="I246" s="24" t="n">
        <v>14.69424</v>
      </c>
      <c r="J246" s="24" t="n">
        <v>121.0091</v>
      </c>
      <c r="K246" s="23" t="inlineStr">
        <is>
          <t>U</t>
        </is>
      </c>
      <c r="L246" s="25" t="n">
        <v>56202</v>
      </c>
      <c r="M246" s="26" t="n">
        <v>3.77</v>
      </c>
      <c r="N246" s="25">
        <f>ROUND(L246/M246, 0)</f>
        <v/>
      </c>
      <c r="O246" s="25">
        <f>ROUND(N246*'Methodology &amp; Assumptions'!$B$7, 0)</f>
        <v/>
      </c>
      <c r="P246" s="23" t="inlineStr">
        <is>
          <t>Single Carrier (Band n50, 100MHz TDD)</t>
        </is>
      </c>
      <c r="Q246" s="27">
        <f>ROUNDUP(O246/'Methodology &amp; Assumptions'!$B$8, 0)</f>
        <v/>
      </c>
      <c r="R246" s="27" t="n">
        <v>1</v>
      </c>
      <c r="S246" s="26" t="n">
        <v>1.23</v>
      </c>
      <c r="T246" s="26" t="n">
        <v>1.1</v>
      </c>
      <c r="U246" s="11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26" t="n">
        <v>64.67</v>
      </c>
      <c r="W246" s="26" t="n">
        <v>64.38</v>
      </c>
      <c r="X246" s="26">
        <f>ROUND(('Methodology &amp; Assumptions'!$B$5*V246) + ('Methodology &amp; Assumptions'!$B$6*W246), 2)</f>
        <v/>
      </c>
      <c r="Y246" s="28" t="n">
        <v>10.9</v>
      </c>
      <c r="Z246" s="11" t="inlineStr">
        <is>
          <t>Priority Tier 2 (Balanced Opportunity)</t>
        </is>
      </c>
    </row>
    <row r="247">
      <c r="A247" s="23" t="n">
        <v>2</v>
      </c>
      <c r="B247" s="23" t="n">
        <v>243</v>
      </c>
      <c r="C247" s="23" t="n">
        <v>1243</v>
      </c>
      <c r="D247" s="23" t="inlineStr">
        <is>
          <t>1380200020</t>
        </is>
      </c>
      <c r="E247" s="11" t="inlineStr">
        <is>
          <t>National Capital Region (NCR)</t>
        </is>
      </c>
      <c r="F247" s="11" t="inlineStr">
        <is>
          <t>Fourth District (Not a Province)</t>
        </is>
      </c>
      <c r="G247" s="11" t="inlineStr">
        <is>
          <t>City of Las Piñas</t>
        </is>
      </c>
      <c r="H247" s="11" t="inlineStr">
        <is>
          <t>Talon Singko</t>
        </is>
      </c>
      <c r="I247" s="24" t="n">
        <v>14.4233</v>
      </c>
      <c r="J247" s="24" t="n">
        <v>120.995983</v>
      </c>
      <c r="K247" s="23" t="inlineStr">
        <is>
          <t>U</t>
        </is>
      </c>
      <c r="L247" s="25" t="n">
        <v>42013</v>
      </c>
      <c r="M247" s="26" t="n">
        <v>3.96</v>
      </c>
      <c r="N247" s="25">
        <f>ROUND(L247/M247, 0)</f>
        <v/>
      </c>
      <c r="O247" s="25">
        <f>ROUND(N247*'Methodology &amp; Assumptions'!$B$7, 0)</f>
        <v/>
      </c>
      <c r="P247" s="23" t="inlineStr">
        <is>
          <t>Single Carrier (Band n50, 100MHz TDD)</t>
        </is>
      </c>
      <c r="Q247" s="27">
        <f>ROUNDUP(O247/'Methodology &amp; Assumptions'!$B$8, 0)</f>
        <v/>
      </c>
      <c r="R247" s="27" t="n">
        <v>1</v>
      </c>
      <c r="S247" s="26" t="n">
        <v>1.91</v>
      </c>
      <c r="T247" s="26" t="n">
        <v>1.88</v>
      </c>
      <c r="U247" s="11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26" t="n">
        <v>62.97</v>
      </c>
      <c r="W247" s="26" t="n">
        <v>66.06</v>
      </c>
      <c r="X247" s="26">
        <f>ROUND(('Methodology &amp; Assumptions'!$B$5*V247) + ('Methodology &amp; Assumptions'!$B$6*W247), 2)</f>
        <v/>
      </c>
      <c r="Y247" s="28" t="n">
        <v>10.9</v>
      </c>
      <c r="Z247" s="11" t="inlineStr">
        <is>
          <t>Priority Tier 2 (Balanced Opportunity)</t>
        </is>
      </c>
    </row>
    <row r="248">
      <c r="A248" s="23" t="n">
        <v>2</v>
      </c>
      <c r="B248" s="23" t="n">
        <v>244</v>
      </c>
      <c r="C248" s="23" t="n">
        <v>1244</v>
      </c>
      <c r="D248" s="23" t="inlineStr">
        <is>
          <t>1380606171</t>
        </is>
      </c>
      <c r="E248" s="11" t="inlineStr">
        <is>
          <t>National Capital Region (NCR)</t>
        </is>
      </c>
      <c r="F248" s="11" t="inlineStr">
        <is>
          <t>First District (Not a Province)</t>
        </is>
      </c>
      <c r="G248" s="11" t="inlineStr">
        <is>
          <t>City of Manila</t>
        </is>
      </c>
      <c r="H248" s="11" t="inlineStr">
        <is>
          <t>Barangay 565</t>
        </is>
      </c>
      <c r="I248" s="24" t="n">
        <v>14.607324</v>
      </c>
      <c r="J248" s="24" t="n">
        <v>121.007168</v>
      </c>
      <c r="K248" s="23" t="inlineStr">
        <is>
          <t>U</t>
        </is>
      </c>
      <c r="L248" s="25" t="n">
        <v>2658</v>
      </c>
      <c r="M248" s="26" t="n">
        <v>4.57</v>
      </c>
      <c r="N248" s="25">
        <f>ROUND(L248/M248, 0)</f>
        <v/>
      </c>
      <c r="O248" s="25">
        <f>ROUND(N248*'Methodology &amp; Assumptions'!$B$7, 0)</f>
        <v/>
      </c>
      <c r="P248" s="23" t="inlineStr">
        <is>
          <t>Single Carrier (Band n50, 100MHz TDD)</t>
        </is>
      </c>
      <c r="Q248" s="27">
        <f>ROUNDUP(O248/'Methodology &amp; Assumptions'!$B$8, 0)</f>
        <v/>
      </c>
      <c r="R248" s="27" t="n">
        <v>1</v>
      </c>
      <c r="S248" s="26" t="n">
        <v>0.55</v>
      </c>
      <c r="T248" s="26" t="n">
        <v>0.47</v>
      </c>
      <c r="U248" s="11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26" t="n">
        <v>59.73</v>
      </c>
      <c r="W248" s="26" t="n">
        <v>69.3</v>
      </c>
      <c r="X248" s="26">
        <f>ROUND(('Methodology &amp; Assumptions'!$B$5*V248) + ('Methodology &amp; Assumptions'!$B$6*W248), 2)</f>
        <v/>
      </c>
      <c r="Y248" s="28" t="n">
        <v>10.9</v>
      </c>
      <c r="Z248" s="11" t="inlineStr">
        <is>
          <t>Priority Tier 2 (Balanced Opportunity)</t>
        </is>
      </c>
    </row>
    <row r="249">
      <c r="A249" s="23" t="n">
        <v>2</v>
      </c>
      <c r="B249" s="23" t="n">
        <v>245</v>
      </c>
      <c r="C249" s="23" t="n">
        <v>1245</v>
      </c>
      <c r="D249" s="23" t="inlineStr">
        <is>
          <t>1381100144</t>
        </is>
      </c>
      <c r="E249" s="11" t="inlineStr">
        <is>
          <t>National Capital Region (NCR)</t>
        </is>
      </c>
      <c r="F249" s="11" t="inlineStr">
        <is>
          <t>Fourth District (Not a Province)</t>
        </is>
      </c>
      <c r="G249" s="11" t="inlineStr">
        <is>
          <t>Pasay City</t>
        </is>
      </c>
      <c r="H249" s="11" t="inlineStr">
        <is>
          <t>Barangay 144</t>
        </is>
      </c>
      <c r="I249" s="24" t="n">
        <v>14.53946</v>
      </c>
      <c r="J249" s="24" t="n">
        <v>121.009896</v>
      </c>
      <c r="K249" s="23" t="inlineStr">
        <is>
          <t>U</t>
        </is>
      </c>
      <c r="L249" s="25" t="n">
        <v>2033</v>
      </c>
      <c r="M249" s="26" t="n">
        <v>3.57</v>
      </c>
      <c r="N249" s="25">
        <f>ROUND(L249/M249, 0)</f>
        <v/>
      </c>
      <c r="O249" s="25">
        <f>ROUND(N249*'Methodology &amp; Assumptions'!$B$7, 0)</f>
        <v/>
      </c>
      <c r="P249" s="23" t="inlineStr">
        <is>
          <t>Single Carrier (Band n50, 100MHz TDD)</t>
        </is>
      </c>
      <c r="Q249" s="27">
        <f>ROUNDUP(O249/'Methodology &amp; Assumptions'!$B$8, 0)</f>
        <v/>
      </c>
      <c r="R249" s="27" t="n">
        <v>1</v>
      </c>
      <c r="S249" s="26" t="n">
        <v>1.16</v>
      </c>
      <c r="T249" s="26" t="n">
        <v>0.58</v>
      </c>
      <c r="U249" s="11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26" t="n">
        <v>58.2</v>
      </c>
      <c r="W249" s="26" t="n">
        <v>70.84999999999999</v>
      </c>
      <c r="X249" s="26">
        <f>ROUND(('Methodology &amp; Assumptions'!$B$5*V249) + ('Methodology &amp; Assumptions'!$B$6*W249), 2)</f>
        <v/>
      </c>
      <c r="Y249" s="28" t="n">
        <v>10.9</v>
      </c>
      <c r="Z249" s="11" t="inlineStr">
        <is>
          <t>Priority Tier 2 (Balanced Opportunity)</t>
        </is>
      </c>
    </row>
    <row r="250">
      <c r="A250" s="23" t="n">
        <v>2</v>
      </c>
      <c r="B250" s="23" t="n">
        <v>246</v>
      </c>
      <c r="C250" s="23" t="n">
        <v>1246</v>
      </c>
      <c r="D250" s="23" t="inlineStr">
        <is>
          <t>1381100086</t>
        </is>
      </c>
      <c r="E250" s="11" t="inlineStr">
        <is>
          <t>National Capital Region (NCR)</t>
        </is>
      </c>
      <c r="F250" s="11" t="inlineStr">
        <is>
          <t>Fourth District (Not a Province)</t>
        </is>
      </c>
      <c r="G250" s="11" t="inlineStr">
        <is>
          <t>Pasay City</t>
        </is>
      </c>
      <c r="H250" s="11" t="inlineStr">
        <is>
          <t>Barangay 86</t>
        </is>
      </c>
      <c r="I250" s="24" t="n">
        <v>14.542687</v>
      </c>
      <c r="J250" s="24" t="n">
        <v>120.998688</v>
      </c>
      <c r="K250" s="23" t="inlineStr">
        <is>
          <t>U</t>
        </is>
      </c>
      <c r="L250" s="25" t="n">
        <v>1448</v>
      </c>
      <c r="M250" s="26" t="n">
        <v>2.74</v>
      </c>
      <c r="N250" s="25">
        <f>ROUND(L250/M250, 0)</f>
        <v/>
      </c>
      <c r="O250" s="25">
        <f>ROUND(N250*'Methodology &amp; Assumptions'!$B$7, 0)</f>
        <v/>
      </c>
      <c r="P250" s="23" t="inlineStr">
        <is>
          <t>Single Carrier (Band n50, 100MHz TDD)</t>
        </is>
      </c>
      <c r="Q250" s="27">
        <f>ROUNDUP(O250/'Methodology &amp; Assumptions'!$B$8, 0)</f>
        <v/>
      </c>
      <c r="R250" s="27" t="n">
        <v>1</v>
      </c>
      <c r="S250" s="26" t="n">
        <v>0.5</v>
      </c>
      <c r="T250" s="26" t="n">
        <v>0.14</v>
      </c>
      <c r="U250" s="11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26" t="n">
        <v>58.12</v>
      </c>
      <c r="W250" s="26" t="n">
        <v>70.91</v>
      </c>
      <c r="X250" s="26">
        <f>ROUND(('Methodology &amp; Assumptions'!$B$5*V250) + ('Methodology &amp; Assumptions'!$B$6*W250), 2)</f>
        <v/>
      </c>
      <c r="Y250" s="28" t="n">
        <v>10.9</v>
      </c>
      <c r="Z250" s="11" t="inlineStr">
        <is>
          <t>Priority Tier 2 (Balanced Opportunity)</t>
        </is>
      </c>
    </row>
    <row r="251">
      <c r="A251" s="23" t="n">
        <v>2</v>
      </c>
      <c r="B251" s="23" t="n">
        <v>247</v>
      </c>
      <c r="C251" s="23" t="n">
        <v>1247</v>
      </c>
      <c r="D251" s="23" t="inlineStr">
        <is>
          <t>1380610044</t>
        </is>
      </c>
      <c r="E251" s="11" t="inlineStr">
        <is>
          <t>National Capital Region (NCR)</t>
        </is>
      </c>
      <c r="F251" s="11" t="inlineStr">
        <is>
          <t>First District (Not a Province)</t>
        </is>
      </c>
      <c r="G251" s="11" t="inlineStr">
        <is>
          <t>City of Manila</t>
        </is>
      </c>
      <c r="H251" s="11" t="inlineStr">
        <is>
          <t>Barangay 729</t>
        </is>
      </c>
      <c r="I251" s="24" t="n">
        <v>14.56268</v>
      </c>
      <c r="J251" s="24" t="n">
        <v>120.995727</v>
      </c>
      <c r="K251" s="23" t="inlineStr">
        <is>
          <t>U</t>
        </is>
      </c>
      <c r="L251" s="25" t="n">
        <v>1775</v>
      </c>
      <c r="M251" s="26" t="n">
        <v>3.28</v>
      </c>
      <c r="N251" s="25">
        <f>ROUND(L251/M251, 0)</f>
        <v/>
      </c>
      <c r="O251" s="25">
        <f>ROUND(N251*'Methodology &amp; Assumptions'!$B$7, 0)</f>
        <v/>
      </c>
      <c r="P251" s="23" t="inlineStr">
        <is>
          <t>Single Carrier (Band n50, 100MHz TDD)</t>
        </is>
      </c>
      <c r="Q251" s="27">
        <f>ROUNDUP(O251/'Methodology &amp; Assumptions'!$B$8, 0)</f>
        <v/>
      </c>
      <c r="R251" s="27" t="n">
        <v>1</v>
      </c>
      <c r="S251" s="26" t="n">
        <v>1.05</v>
      </c>
      <c r="T251" s="26" t="n">
        <v>0.04</v>
      </c>
      <c r="U251" s="11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26" t="n">
        <v>57.63</v>
      </c>
      <c r="W251" s="26" t="n">
        <v>71.41</v>
      </c>
      <c r="X251" s="26">
        <f>ROUND(('Methodology &amp; Assumptions'!$B$5*V251) + ('Methodology &amp; Assumptions'!$B$6*W251), 2)</f>
        <v/>
      </c>
      <c r="Y251" s="28" t="n">
        <v>10.9</v>
      </c>
      <c r="Z251" s="11" t="inlineStr">
        <is>
          <t>Priority Tier 2 (Balanced Opportunity)</t>
        </is>
      </c>
    </row>
    <row r="252">
      <c r="A252" s="23" t="n">
        <v>2</v>
      </c>
      <c r="B252" s="23" t="n">
        <v>248</v>
      </c>
      <c r="C252" s="23" t="n">
        <v>1248</v>
      </c>
      <c r="D252" s="23" t="inlineStr">
        <is>
          <t>0405619059</t>
        </is>
      </c>
      <c r="E252" s="11" t="inlineStr">
        <is>
          <t>Region IV-A (CALABARZON)</t>
        </is>
      </c>
      <c r="F252" s="11" t="inlineStr">
        <is>
          <t>Quezon</t>
        </is>
      </c>
      <c r="G252" s="11" t="inlineStr">
        <is>
          <t>Gumaca</t>
        </is>
      </c>
      <c r="H252" s="11" t="inlineStr">
        <is>
          <t>Villa Nava</t>
        </is>
      </c>
      <c r="I252" s="24" t="n">
        <v>13.917231</v>
      </c>
      <c r="J252" s="24" t="n">
        <v>122.100238</v>
      </c>
      <c r="K252" s="23" t="inlineStr">
        <is>
          <t>R</t>
        </is>
      </c>
      <c r="L252" s="25" t="n">
        <v>3091</v>
      </c>
      <c r="M252" s="26" t="n">
        <v>3.8</v>
      </c>
      <c r="N252" s="25">
        <f>ROUND(L252/M252, 0)</f>
        <v/>
      </c>
      <c r="O252" s="25">
        <f>ROUND(N252*'Methodology &amp; Assumptions'!$B$7, 0)</f>
        <v/>
      </c>
      <c r="P252" s="23" t="inlineStr">
        <is>
          <t>Single Carrier (Band n50, 100MHz TDD)</t>
        </is>
      </c>
      <c r="Q252" s="27">
        <f>ROUNDUP(O252/'Methodology &amp; Assumptions'!$B$8, 0)</f>
        <v/>
      </c>
      <c r="R252" s="27" t="n">
        <v>1</v>
      </c>
      <c r="S252" s="26" t="n">
        <v>1.03</v>
      </c>
      <c r="T252" s="26" t="n">
        <v>0.4</v>
      </c>
      <c r="U252" s="11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26" t="n">
        <v>84.69</v>
      </c>
      <c r="W252" s="26" t="n">
        <v>44.33</v>
      </c>
      <c r="X252" s="26">
        <f>ROUND(('Methodology &amp; Assumptions'!$B$5*V252) + ('Methodology &amp; Assumptions'!$B$6*W252), 2)</f>
        <v/>
      </c>
      <c r="Y252" s="28" t="n">
        <v>7.2</v>
      </c>
      <c r="Z252" s="11" t="inlineStr">
        <is>
          <t>Priority Tier 2 (Balanced Opportunity)</t>
        </is>
      </c>
    </row>
    <row r="253">
      <c r="A253" s="23" t="n">
        <v>2</v>
      </c>
      <c r="B253" s="23" t="n">
        <v>249</v>
      </c>
      <c r="C253" s="23" t="n">
        <v>1249</v>
      </c>
      <c r="D253" s="23" t="inlineStr">
        <is>
          <t>0401003044</t>
        </is>
      </c>
      <c r="E253" s="11" t="inlineStr">
        <is>
          <t>Region IV-A (CALABARZON)</t>
        </is>
      </c>
      <c r="F253" s="11" t="inlineStr">
        <is>
          <t>Batangas</t>
        </is>
      </c>
      <c r="G253" s="11" t="inlineStr">
        <is>
          <t>Balayan</t>
        </is>
      </c>
      <c r="H253" s="11" t="inlineStr">
        <is>
          <t>Sampaga</t>
        </is>
      </c>
      <c r="I253" s="24" t="n">
        <v>13.9428</v>
      </c>
      <c r="J253" s="24" t="n">
        <v>120.7728</v>
      </c>
      <c r="K253" s="23" t="inlineStr">
        <is>
          <t>R</t>
        </is>
      </c>
      <c r="L253" s="25" t="n">
        <v>3215</v>
      </c>
      <c r="M253" s="26" t="n">
        <v>3.6</v>
      </c>
      <c r="N253" s="25">
        <f>ROUND(L253/M253, 0)</f>
        <v/>
      </c>
      <c r="O253" s="25">
        <f>ROUND(N253*'Methodology &amp; Assumptions'!$B$7, 0)</f>
        <v/>
      </c>
      <c r="P253" s="23" t="inlineStr">
        <is>
          <t>Single Carrier (Band n50, 100MHz TDD)</t>
        </is>
      </c>
      <c r="Q253" s="27">
        <f>ROUNDUP(O253/'Methodology &amp; Assumptions'!$B$8, 0)</f>
        <v/>
      </c>
      <c r="R253" s="27" t="n">
        <v>1</v>
      </c>
      <c r="S253" s="26" t="n">
        <v>1.6</v>
      </c>
      <c r="T253" s="26" t="n">
        <v>0.33</v>
      </c>
      <c r="U253" s="11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26" t="n">
        <v>82.59999999999999</v>
      </c>
      <c r="W253" s="26" t="n">
        <v>46.42</v>
      </c>
      <c r="X253" s="26">
        <f>ROUND(('Methodology &amp; Assumptions'!$B$5*V253) + ('Methodology &amp; Assumptions'!$B$6*W253), 2)</f>
        <v/>
      </c>
      <c r="Y253" s="28" t="n">
        <v>7.2</v>
      </c>
      <c r="Z253" s="11" t="inlineStr">
        <is>
          <t>Priority Tier 2 (Balanced Opportunity)</t>
        </is>
      </c>
    </row>
    <row r="254">
      <c r="A254" s="23" t="n">
        <v>2</v>
      </c>
      <c r="B254" s="23" t="n">
        <v>250</v>
      </c>
      <c r="C254" s="23" t="n">
        <v>1250</v>
      </c>
      <c r="D254" s="23" t="inlineStr">
        <is>
          <t>0307708010</t>
        </is>
      </c>
      <c r="E254" s="11" t="inlineStr">
        <is>
          <t>Region III (Central Luzon)</t>
        </is>
      </c>
      <c r="F254" s="11" t="inlineStr">
        <is>
          <t>Aurora</t>
        </is>
      </c>
      <c r="G254" s="11" t="inlineStr">
        <is>
          <t>San Luis</t>
        </is>
      </c>
      <c r="H254" s="11" t="inlineStr">
        <is>
          <t>Dimanayat</t>
        </is>
      </c>
      <c r="I254" s="24" t="n">
        <v>15.518292</v>
      </c>
      <c r="J254" s="24" t="n">
        <v>121.422761</v>
      </c>
      <c r="K254" s="23" t="inlineStr">
        <is>
          <t>R</t>
        </is>
      </c>
      <c r="L254" s="25" t="n">
        <v>978</v>
      </c>
      <c r="M254" s="26" t="n">
        <v>3.8</v>
      </c>
      <c r="N254" s="25">
        <f>ROUND(L254/M254, 0)</f>
        <v/>
      </c>
      <c r="O254" s="25">
        <f>ROUND(N254*'Methodology &amp; Assumptions'!$B$7, 0)</f>
        <v/>
      </c>
      <c r="P254" s="23" t="inlineStr">
        <is>
          <t>Single Carrier (Band n50, 100MHz TDD)</t>
        </is>
      </c>
      <c r="Q254" s="27">
        <f>ROUNDUP(O254/'Methodology &amp; Assumptions'!$B$8, 0)</f>
        <v/>
      </c>
      <c r="R254" s="27" t="n">
        <v>1</v>
      </c>
      <c r="S254" s="26" t="n">
        <v>10.36</v>
      </c>
      <c r="T254" s="26" t="n">
        <v>25.11</v>
      </c>
      <c r="U254" s="11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26" t="n">
        <v>46.45</v>
      </c>
      <c r="W254" s="26" t="n">
        <v>82.56999999999999</v>
      </c>
      <c r="X254" s="26">
        <f>ROUND(('Methodology &amp; Assumptions'!$B$5*V254) + ('Methodology &amp; Assumptions'!$B$6*W254), 2)</f>
        <v/>
      </c>
      <c r="Y254" s="28" t="n">
        <v>8.300000000000001</v>
      </c>
      <c r="Z254" s="11" t="inlineStr">
        <is>
          <t>Priority Tier 2 (Balanced Opportunity)</t>
        </is>
      </c>
    </row>
    <row r="255">
      <c r="A255" s="23" t="n">
        <v>2</v>
      </c>
      <c r="B255" s="23" t="n">
        <v>251</v>
      </c>
      <c r="C255" s="23" t="n">
        <v>1251</v>
      </c>
      <c r="D255" s="23" t="inlineStr">
        <is>
          <t>0403413001</t>
        </is>
      </c>
      <c r="E255" s="11" t="inlineStr">
        <is>
          <t>Region IV-A (CALABARZON)</t>
        </is>
      </c>
      <c r="F255" s="11" t="inlineStr">
        <is>
          <t>Laguna</t>
        </is>
      </c>
      <c r="G255" s="11" t="inlineStr">
        <is>
          <t>Lumban</t>
        </is>
      </c>
      <c r="H255" s="11" t="inlineStr">
        <is>
          <t>Bagong Silang</t>
        </is>
      </c>
      <c r="I255" s="24" t="n">
        <v>14.292743</v>
      </c>
      <c r="J255" s="24" t="n">
        <v>121.462297</v>
      </c>
      <c r="K255" s="23" t="inlineStr">
        <is>
          <t>R</t>
        </is>
      </c>
      <c r="L255" s="25" t="n">
        <v>3248</v>
      </c>
      <c r="M255" s="26" t="n">
        <v>3.3</v>
      </c>
      <c r="N255" s="25">
        <f>ROUND(L255/M255, 0)</f>
        <v/>
      </c>
      <c r="O255" s="25">
        <f>ROUND(N255*'Methodology &amp; Assumptions'!$B$7, 0)</f>
        <v/>
      </c>
      <c r="P255" s="23" t="inlineStr">
        <is>
          <t>Single Carrier (Band n50, 100MHz TDD)</t>
        </is>
      </c>
      <c r="Q255" s="27">
        <f>ROUNDUP(O255/'Methodology &amp; Assumptions'!$B$8, 0)</f>
        <v/>
      </c>
      <c r="R255" s="27" t="n">
        <v>1</v>
      </c>
      <c r="S255" s="26" t="n">
        <v>0.35</v>
      </c>
      <c r="T255" s="26" t="n">
        <v>0.02</v>
      </c>
      <c r="U255" s="11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26" t="n">
        <v>85.45999999999999</v>
      </c>
      <c r="W255" s="26" t="n">
        <v>43.55</v>
      </c>
      <c r="X255" s="26">
        <f>ROUND(('Methodology &amp; Assumptions'!$B$5*V255) + ('Methodology &amp; Assumptions'!$B$6*W255), 2)</f>
        <v/>
      </c>
      <c r="Y255" s="28" t="n">
        <v>7.2</v>
      </c>
      <c r="Z255" s="11" t="inlineStr">
        <is>
          <t>Priority Tier 2 (Balanced Opportunity)</t>
        </is>
      </c>
    </row>
    <row r="256">
      <c r="A256" s="23" t="n">
        <v>2</v>
      </c>
      <c r="B256" s="23" t="n">
        <v>252</v>
      </c>
      <c r="C256" s="23" t="n">
        <v>1252</v>
      </c>
      <c r="D256" s="23" t="inlineStr">
        <is>
          <t>0102934034</t>
        </is>
      </c>
      <c r="E256" s="11" t="inlineStr">
        <is>
          <t>Region I (Ilocos Region)</t>
        </is>
      </c>
      <c r="F256" s="11" t="inlineStr">
        <is>
          <t>Ilocos Sur</t>
        </is>
      </c>
      <c r="G256" s="11" t="inlineStr">
        <is>
          <t>City of Vigan</t>
        </is>
      </c>
      <c r="H256" s="11" t="inlineStr">
        <is>
          <t>San Julian Norte</t>
        </is>
      </c>
      <c r="I256" s="24" t="n">
        <v>17.57325</v>
      </c>
      <c r="J256" s="24" t="n">
        <v>120.39975</v>
      </c>
      <c r="K256" s="23" t="inlineStr">
        <is>
          <t>R</t>
        </is>
      </c>
      <c r="L256" s="25" t="n">
        <v>2931</v>
      </c>
      <c r="M256" s="26" t="n">
        <v>3.8</v>
      </c>
      <c r="N256" s="25">
        <f>ROUND(L256/M256, 0)</f>
        <v/>
      </c>
      <c r="O256" s="25">
        <f>ROUND(N256*'Methodology &amp; Assumptions'!$B$7, 0)</f>
        <v/>
      </c>
      <c r="P256" s="23" t="inlineStr">
        <is>
          <t>Single Carrier (Band n50, 100MHz TDD)</t>
        </is>
      </c>
      <c r="Q256" s="27">
        <f>ROUNDUP(O256/'Methodology &amp; Assumptions'!$B$8, 0)</f>
        <v/>
      </c>
      <c r="R256" s="27" t="n">
        <v>1</v>
      </c>
      <c r="S256" s="26" t="n">
        <v>2.47</v>
      </c>
      <c r="T256" s="26" t="n">
        <v>0.89</v>
      </c>
      <c r="U256" s="11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26" t="n">
        <v>78.23999999999999</v>
      </c>
      <c r="W256" s="26" t="n">
        <v>50.75</v>
      </c>
      <c r="X256" s="26">
        <f>ROUND(('Methodology &amp; Assumptions'!$B$5*V256) + ('Methodology &amp; Assumptions'!$B$6*W256), 2)</f>
        <v/>
      </c>
      <c r="Y256" s="28" t="n">
        <v>8.300000000000001</v>
      </c>
      <c r="Z256" s="11" t="inlineStr">
        <is>
          <t>Priority Tier 2 (Balanced Opportunity)</t>
        </is>
      </c>
    </row>
    <row r="257">
      <c r="A257" s="23" t="n">
        <v>2</v>
      </c>
      <c r="B257" s="23" t="n">
        <v>253</v>
      </c>
      <c r="C257" s="23" t="n">
        <v>1253</v>
      </c>
      <c r="D257" s="23" t="inlineStr">
        <is>
          <t>1705205027</t>
        </is>
      </c>
      <c r="E257" s="11" t="inlineStr">
        <is>
          <t>MIMAROPA Region</t>
        </is>
      </c>
      <c r="F257" s="11" t="inlineStr">
        <is>
          <t>Oriental Mindoro</t>
        </is>
      </c>
      <c r="G257" s="11" t="inlineStr">
        <is>
          <t>City of Calapan</t>
        </is>
      </c>
      <c r="H257" s="11" t="inlineStr">
        <is>
          <t>Ilaya</t>
        </is>
      </c>
      <c r="I257" s="24" t="n">
        <v>13.411761</v>
      </c>
      <c r="J257" s="24" t="n">
        <v>121.183716</v>
      </c>
      <c r="K257" s="23" t="inlineStr">
        <is>
          <t>U</t>
        </is>
      </c>
      <c r="L257" s="25" t="n">
        <v>4014</v>
      </c>
      <c r="M257" s="26" t="n">
        <v>3.9</v>
      </c>
      <c r="N257" s="25">
        <f>ROUND(L257/M257, 0)</f>
        <v/>
      </c>
      <c r="O257" s="25">
        <f>ROUND(N257*'Methodology &amp; Assumptions'!$B$7, 0)</f>
        <v/>
      </c>
      <c r="P257" s="23" t="inlineStr">
        <is>
          <t>Single Carrier (Band n50, 100MHz TDD)</t>
        </is>
      </c>
      <c r="Q257" s="27">
        <f>ROUNDUP(O257/'Methodology &amp; Assumptions'!$B$8, 0)</f>
        <v/>
      </c>
      <c r="R257" s="27" t="n">
        <v>1</v>
      </c>
      <c r="S257" s="26" t="n">
        <v>1.79</v>
      </c>
      <c r="T257" s="26" t="n">
        <v>4.39</v>
      </c>
      <c r="U257" s="11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26" t="n">
        <v>72.48</v>
      </c>
      <c r="W257" s="26" t="n">
        <v>56.52</v>
      </c>
      <c r="X257" s="26">
        <f>ROUND(('Methodology &amp; Assumptions'!$B$5*V257) + ('Methodology &amp; Assumptions'!$B$6*W257), 2)</f>
        <v/>
      </c>
      <c r="Y257" s="28" t="n">
        <v>15</v>
      </c>
      <c r="Z257" s="11" t="inlineStr">
        <is>
          <t>Priority Tier 2 (Balanced Opportunity)</t>
        </is>
      </c>
    </row>
    <row r="258">
      <c r="A258" s="23" t="n">
        <v>2</v>
      </c>
      <c r="B258" s="23" t="n">
        <v>254</v>
      </c>
      <c r="C258" s="23" t="n">
        <v>1254</v>
      </c>
      <c r="D258" s="23" t="inlineStr">
        <is>
          <t>1381100134</t>
        </is>
      </c>
      <c r="E258" s="11" t="inlineStr">
        <is>
          <t>National Capital Region (NCR)</t>
        </is>
      </c>
      <c r="F258" s="11" t="inlineStr">
        <is>
          <t>Fourth District (Not a Province)</t>
        </is>
      </c>
      <c r="G258" s="11" t="inlineStr">
        <is>
          <t>Pasay City</t>
        </is>
      </c>
      <c r="H258" s="11" t="inlineStr">
        <is>
          <t>Barangay 134</t>
        </is>
      </c>
      <c r="I258" s="24" t="n">
        <v>14.54507</v>
      </c>
      <c r="J258" s="24" t="n">
        <v>121.008072</v>
      </c>
      <c r="K258" s="23" t="inlineStr">
        <is>
          <t>U</t>
        </is>
      </c>
      <c r="L258" s="25" t="n">
        <v>1867</v>
      </c>
      <c r="M258" s="26" t="n">
        <v>3.56</v>
      </c>
      <c r="N258" s="25">
        <f>ROUND(L258/M258, 0)</f>
        <v/>
      </c>
      <c r="O258" s="25">
        <f>ROUND(N258*'Methodology &amp; Assumptions'!$B$7, 0)</f>
        <v/>
      </c>
      <c r="P258" s="23" t="inlineStr">
        <is>
          <t>Single Carrier (Band n50, 100MHz TDD)</t>
        </is>
      </c>
      <c r="Q258" s="27">
        <f>ROUNDUP(O258/'Methodology &amp; Assumptions'!$B$8, 0)</f>
        <v/>
      </c>
      <c r="R258" s="27" t="n">
        <v>1</v>
      </c>
      <c r="S258" s="26" t="n">
        <v>0.63</v>
      </c>
      <c r="T258" s="26" t="n">
        <v>0.47</v>
      </c>
      <c r="U258" s="11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26" t="n">
        <v>57.91</v>
      </c>
      <c r="W258" s="26" t="n">
        <v>71.09</v>
      </c>
      <c r="X258" s="26">
        <f>ROUND(('Methodology &amp; Assumptions'!$B$5*V258) + ('Methodology &amp; Assumptions'!$B$6*W258), 2)</f>
        <v/>
      </c>
      <c r="Y258" s="28" t="n">
        <v>10.9</v>
      </c>
      <c r="Z258" s="11" t="inlineStr">
        <is>
          <t>Priority Tier 2 (Balanced Opportunity)</t>
        </is>
      </c>
    </row>
    <row r="259">
      <c r="A259" s="23" t="n">
        <v>2</v>
      </c>
      <c r="B259" s="23" t="n">
        <v>255</v>
      </c>
      <c r="C259" s="23" t="n">
        <v>1255</v>
      </c>
      <c r="D259" s="23" t="inlineStr">
        <is>
          <t>0102934039</t>
        </is>
      </c>
      <c r="E259" s="11" t="inlineStr">
        <is>
          <t>Region I (Ilocos Region)</t>
        </is>
      </c>
      <c r="F259" s="11" t="inlineStr">
        <is>
          <t>Ilocos Sur</t>
        </is>
      </c>
      <c r="G259" s="11" t="inlineStr">
        <is>
          <t>City of Vigan</t>
        </is>
      </c>
      <c r="H259" s="11" t="inlineStr">
        <is>
          <t>Barangay VIII</t>
        </is>
      </c>
      <c r="I259" s="24" t="n">
        <v>17.574056</v>
      </c>
      <c r="J259" s="24" t="n">
        <v>120.390856</v>
      </c>
      <c r="K259" s="23" t="inlineStr">
        <is>
          <t>U</t>
        </is>
      </c>
      <c r="L259" s="25" t="n">
        <v>1234</v>
      </c>
      <c r="M259" s="26" t="n">
        <v>3.8</v>
      </c>
      <c r="N259" s="25">
        <f>ROUND(L259/M259, 0)</f>
        <v/>
      </c>
      <c r="O259" s="25">
        <f>ROUND(N259*'Methodology &amp; Assumptions'!$B$7, 0)</f>
        <v/>
      </c>
      <c r="P259" s="23" t="inlineStr">
        <is>
          <t>Single Carrier (Band n50, 100MHz TDD)</t>
        </is>
      </c>
      <c r="Q259" s="27">
        <f>ROUNDUP(O259/'Methodology &amp; Assumptions'!$B$8, 0)</f>
        <v/>
      </c>
      <c r="R259" s="27" t="n">
        <v>1</v>
      </c>
      <c r="S259" s="26" t="n">
        <v>2.17</v>
      </c>
      <c r="T259" s="26" t="n">
        <v>0.7</v>
      </c>
      <c r="U259" s="11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26" t="n">
        <v>57.62</v>
      </c>
      <c r="W259" s="26" t="n">
        <v>71.39</v>
      </c>
      <c r="X259" s="26">
        <f>ROUND(('Methodology &amp; Assumptions'!$B$5*V259) + ('Methodology &amp; Assumptions'!$B$6*W259), 2)</f>
        <v/>
      </c>
      <c r="Y259" s="28" t="n">
        <v>8.300000000000001</v>
      </c>
      <c r="Z259" s="11" t="inlineStr">
        <is>
          <t>Priority Tier 2 (Balanced Opportunity)</t>
        </is>
      </c>
    </row>
    <row r="260">
      <c r="A260" s="23" t="n">
        <v>2</v>
      </c>
      <c r="B260" s="23" t="n">
        <v>256</v>
      </c>
      <c r="C260" s="23" t="n">
        <v>1256</v>
      </c>
      <c r="D260" s="23" t="inlineStr">
        <is>
          <t>1380200009</t>
        </is>
      </c>
      <c r="E260" s="11" t="inlineStr">
        <is>
          <t>National Capital Region (NCR)</t>
        </is>
      </c>
      <c r="F260" s="11" t="inlineStr">
        <is>
          <t>Fourth District (Not a Province)</t>
        </is>
      </c>
      <c r="G260" s="11" t="inlineStr">
        <is>
          <t>City of Las Piñas</t>
        </is>
      </c>
      <c r="H260" s="11" t="inlineStr">
        <is>
          <t>Zapote</t>
        </is>
      </c>
      <c r="I260" s="24" t="n">
        <v>14.465524</v>
      </c>
      <c r="J260" s="24" t="n">
        <v>120.968236</v>
      </c>
      <c r="K260" s="23" t="inlineStr">
        <is>
          <t>U</t>
        </is>
      </c>
      <c r="L260" s="25" t="n">
        <v>19994</v>
      </c>
      <c r="M260" s="26" t="n">
        <v>3.82</v>
      </c>
      <c r="N260" s="25">
        <f>ROUND(L260/M260, 0)</f>
        <v/>
      </c>
      <c r="O260" s="25">
        <f>ROUND(N260*'Methodology &amp; Assumptions'!$B$7, 0)</f>
        <v/>
      </c>
      <c r="P260" s="23" t="inlineStr">
        <is>
          <t>Single Carrier (Band n50, 100MHz TDD)</t>
        </is>
      </c>
      <c r="Q260" s="27">
        <f>ROUNDUP(O260/'Methodology &amp; Assumptions'!$B$8, 0)</f>
        <v/>
      </c>
      <c r="R260" s="27" t="n">
        <v>1</v>
      </c>
      <c r="S260" s="26" t="n">
        <v>0.42</v>
      </c>
      <c r="T260" s="26" t="n">
        <v>0.03</v>
      </c>
      <c r="U260" s="11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26" t="n">
        <v>68.54000000000001</v>
      </c>
      <c r="W260" s="26" t="n">
        <v>60.42</v>
      </c>
      <c r="X260" s="26">
        <f>ROUND(('Methodology &amp; Assumptions'!$B$5*V260) + ('Methodology &amp; Assumptions'!$B$6*W260), 2)</f>
        <v/>
      </c>
      <c r="Y260" s="28" t="n">
        <v>10.9</v>
      </c>
      <c r="Z260" s="11" t="inlineStr">
        <is>
          <t>Priority Tier 2 (Balanced Opportunity)</t>
        </is>
      </c>
    </row>
    <row r="261">
      <c r="A261" s="23" t="n">
        <v>2</v>
      </c>
      <c r="B261" s="23" t="n">
        <v>257</v>
      </c>
      <c r="C261" s="23" t="n">
        <v>1257</v>
      </c>
      <c r="D261" s="23" t="inlineStr">
        <is>
          <t>0600402008</t>
        </is>
      </c>
      <c r="E261" s="11" t="inlineStr">
        <is>
          <t>Region VI (Western Visayas)</t>
        </is>
      </c>
      <c r="F261" s="11" t="inlineStr">
        <is>
          <t>Aklan</t>
        </is>
      </c>
      <c r="G261" s="11" t="inlineStr">
        <is>
          <t>Balete</t>
        </is>
      </c>
      <c r="H261" s="11" t="inlineStr">
        <is>
          <t>Guanko</t>
        </is>
      </c>
      <c r="I261" s="24" t="n">
        <v>11.473488</v>
      </c>
      <c r="J261" s="24" t="n">
        <v>122.384425</v>
      </c>
      <c r="K261" s="23" t="inlineStr">
        <is>
          <t>R</t>
        </is>
      </c>
      <c r="L261" s="25" t="n">
        <v>1216</v>
      </c>
      <c r="M261" s="26" t="n">
        <v>3.9</v>
      </c>
      <c r="N261" s="25">
        <f>ROUND(L261/M261, 0)</f>
        <v/>
      </c>
      <c r="O261" s="25">
        <f>ROUND(N261*'Methodology &amp; Assumptions'!$B$7, 0)</f>
        <v/>
      </c>
      <c r="P261" s="23" t="inlineStr">
        <is>
          <t>Single Carrier (Band n50, 100MHz TDD)</t>
        </is>
      </c>
      <c r="Q261" s="27">
        <f>ROUNDUP(O261/'Methodology &amp; Assumptions'!$B$8, 0)</f>
        <v/>
      </c>
      <c r="R261" s="27" t="n">
        <v>1</v>
      </c>
      <c r="S261" s="26" t="n">
        <v>9.359999999999999</v>
      </c>
      <c r="T261" s="26" t="n">
        <v>9.130000000000001</v>
      </c>
      <c r="U261" s="11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26" t="n">
        <v>50.94</v>
      </c>
      <c r="W261" s="26" t="n">
        <v>78.02</v>
      </c>
      <c r="X261" s="26">
        <f>ROUND(('Methodology &amp; Assumptions'!$B$5*V261) + ('Methodology &amp; Assumptions'!$B$6*W261), 2)</f>
        <v/>
      </c>
      <c r="Y261" s="28" t="n">
        <v>23.7</v>
      </c>
      <c r="Z261" s="11" t="inlineStr">
        <is>
          <t>Priority Tier 2 (Balanced Opportunity)</t>
        </is>
      </c>
    </row>
    <row r="262">
      <c r="A262" s="23" t="n">
        <v>2</v>
      </c>
      <c r="B262" s="23" t="n">
        <v>258</v>
      </c>
      <c r="C262" s="23" t="n">
        <v>1258</v>
      </c>
      <c r="D262" s="23" t="inlineStr">
        <is>
          <t>0201505025</t>
        </is>
      </c>
      <c r="E262" s="11" t="inlineStr">
        <is>
          <t>Region II (Cagayan Valley)</t>
        </is>
      </c>
      <c r="F262" s="11" t="inlineStr">
        <is>
          <t>Cagayan</t>
        </is>
      </c>
      <c r="G262" s="11" t="inlineStr">
        <is>
          <t>Aparri</t>
        </is>
      </c>
      <c r="H262" s="11" t="inlineStr">
        <is>
          <t>Fuga Island</t>
        </is>
      </c>
      <c r="I262" s="24" t="n">
        <v>18.874616</v>
      </c>
      <c r="J262" s="24" t="n">
        <v>121.286254</v>
      </c>
      <c r="K262" s="23" t="inlineStr">
        <is>
          <t>R</t>
        </is>
      </c>
      <c r="L262" s="25" t="n">
        <v>1994</v>
      </c>
      <c r="M262" s="26" t="n">
        <v>3.9</v>
      </c>
      <c r="N262" s="25">
        <f>ROUND(L262/M262, 0)</f>
        <v/>
      </c>
      <c r="O262" s="25">
        <f>ROUND(N262*'Methodology &amp; Assumptions'!$B$7, 0)</f>
        <v/>
      </c>
      <c r="P262" s="23" t="inlineStr">
        <is>
          <t>Single Carrier (Band n50, 100MHz TDD)</t>
        </is>
      </c>
      <c r="Q262" s="27">
        <f>ROUNDUP(O262/'Methodology &amp; Assumptions'!$B$8, 0)</f>
        <v/>
      </c>
      <c r="R262" s="27" t="n">
        <v>1</v>
      </c>
      <c r="S262" s="26" t="n">
        <v>35.56</v>
      </c>
      <c r="T262" s="26" t="n">
        <v>31.9</v>
      </c>
      <c r="U262" s="11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26" t="n">
        <v>50.35</v>
      </c>
      <c r="W262" s="26" t="n">
        <v>78.62</v>
      </c>
      <c r="X262" s="26">
        <f>ROUND(('Methodology &amp; Assumptions'!$B$5*V262) + ('Methodology &amp; Assumptions'!$B$6*W262), 2)</f>
        <v/>
      </c>
      <c r="Y262" s="28" t="n">
        <v>8.300000000000001</v>
      </c>
      <c r="Z262" s="11" t="inlineStr">
        <is>
          <t>Priority Tier 2 (Balanced Opportunity)</t>
        </is>
      </c>
    </row>
    <row r="263">
      <c r="A263" s="23" t="n">
        <v>2</v>
      </c>
      <c r="B263" s="23" t="n">
        <v>259</v>
      </c>
      <c r="C263" s="23" t="n">
        <v>1259</v>
      </c>
      <c r="D263" s="23" t="inlineStr">
        <is>
          <t>0402111018</t>
        </is>
      </c>
      <c r="E263" s="11" t="inlineStr">
        <is>
          <t>Region IV-A (CALABARZON)</t>
        </is>
      </c>
      <c r="F263" s="11" t="inlineStr">
        <is>
          <t>Cavite</t>
        </is>
      </c>
      <c r="G263" s="11" t="inlineStr">
        <is>
          <t>Kawit</t>
        </is>
      </c>
      <c r="H263" s="11" t="inlineStr">
        <is>
          <t>Pulvorista</t>
        </is>
      </c>
      <c r="I263" s="24" t="n">
        <v>14.457615</v>
      </c>
      <c r="J263" s="24" t="n">
        <v>120.922858</v>
      </c>
      <c r="K263" s="23" t="inlineStr">
        <is>
          <t>U</t>
        </is>
      </c>
      <c r="L263" s="25" t="n">
        <v>12519</v>
      </c>
      <c r="M263" s="26" t="n">
        <v>3.4</v>
      </c>
      <c r="N263" s="25">
        <f>ROUND(L263/M263, 0)</f>
        <v/>
      </c>
      <c r="O263" s="25">
        <f>ROUND(N263*'Methodology &amp; Assumptions'!$B$7, 0)</f>
        <v/>
      </c>
      <c r="P263" s="23" t="inlineStr">
        <is>
          <t>Single Carrier (Band n50, 100MHz TDD)</t>
        </is>
      </c>
      <c r="Q263" s="27">
        <f>ROUNDUP(O263/'Methodology &amp; Assumptions'!$B$8, 0)</f>
        <v/>
      </c>
      <c r="R263" s="27" t="n">
        <v>1</v>
      </c>
      <c r="S263" s="26" t="n">
        <v>3.04</v>
      </c>
      <c r="T263" s="26" t="n">
        <v>0.88</v>
      </c>
      <c r="U263" s="11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26" t="n">
        <v>70.72</v>
      </c>
      <c r="W263" s="26" t="n">
        <v>58.22</v>
      </c>
      <c r="X263" s="26">
        <f>ROUND(('Methodology &amp; Assumptions'!$B$5*V263) + ('Methodology &amp; Assumptions'!$B$6*W263), 2)</f>
        <v/>
      </c>
      <c r="Y263" s="28" t="n">
        <v>7.2</v>
      </c>
      <c r="Z263" s="11" t="inlineStr">
        <is>
          <t>Priority Tier 2 (Balanced Opportunity)</t>
        </is>
      </c>
    </row>
    <row r="264">
      <c r="A264" s="23" t="n">
        <v>2</v>
      </c>
      <c r="B264" s="23" t="n">
        <v>260</v>
      </c>
      <c r="C264" s="23" t="n">
        <v>1260</v>
      </c>
      <c r="D264" s="23" t="inlineStr">
        <is>
          <t>1380500025</t>
        </is>
      </c>
      <c r="E264" s="11" t="inlineStr">
        <is>
          <t>National Capital Region (NCR)</t>
        </is>
      </c>
      <c r="F264" s="11" t="inlineStr">
        <is>
          <t>Second District (Not a Province)</t>
        </is>
      </c>
      <c r="G264" s="11" t="inlineStr">
        <is>
          <t>City of Mandaluyong</t>
        </is>
      </c>
      <c r="H264" s="11" t="inlineStr">
        <is>
          <t>San Jose</t>
        </is>
      </c>
      <c r="I264" s="24" t="n">
        <v>14.58093</v>
      </c>
      <c r="J264" s="24" t="n">
        <v>121.0296</v>
      </c>
      <c r="K264" s="23" t="inlineStr">
        <is>
          <t>U</t>
        </is>
      </c>
      <c r="L264" s="25" t="n">
        <v>7888</v>
      </c>
      <c r="M264" s="26" t="n">
        <v>3.31</v>
      </c>
      <c r="N264" s="25">
        <f>ROUND(L264/M264, 0)</f>
        <v/>
      </c>
      <c r="O264" s="25">
        <f>ROUND(N264*'Methodology &amp; Assumptions'!$B$7, 0)</f>
        <v/>
      </c>
      <c r="P264" s="23" t="inlineStr">
        <is>
          <t>Single Carrier (Band n50, 100MHz TDD)</t>
        </is>
      </c>
      <c r="Q264" s="27">
        <f>ROUNDUP(O264/'Methodology &amp; Assumptions'!$B$8, 0)</f>
        <v/>
      </c>
      <c r="R264" s="27" t="n">
        <v>1</v>
      </c>
      <c r="S264" s="26" t="n">
        <v>0.34</v>
      </c>
      <c r="T264" s="26" t="n">
        <v>0.33</v>
      </c>
      <c r="U264" s="11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26" t="n">
        <v>69.09</v>
      </c>
      <c r="W264" s="26" t="n">
        <v>59.85</v>
      </c>
      <c r="X264" s="26">
        <f>ROUND(('Methodology &amp; Assumptions'!$B$5*V264) + ('Methodology &amp; Assumptions'!$B$6*W264), 2)</f>
        <v/>
      </c>
      <c r="Y264" s="28" t="n">
        <v>10.9</v>
      </c>
      <c r="Z264" s="11" t="inlineStr">
        <is>
          <t>Priority Tier 2 (Balanced Opportunity)</t>
        </is>
      </c>
    </row>
    <row r="265">
      <c r="A265" s="23" t="n">
        <v>2</v>
      </c>
      <c r="B265" s="23" t="n">
        <v>261</v>
      </c>
      <c r="C265" s="23" t="n">
        <v>1261</v>
      </c>
      <c r="D265" s="23" t="inlineStr">
        <is>
          <t>1380601260</t>
        </is>
      </c>
      <c r="E265" s="11" t="inlineStr">
        <is>
          <t>National Capital Region (NCR)</t>
        </is>
      </c>
      <c r="F265" s="11" t="inlineStr">
        <is>
          <t>First District (Not a Province)</t>
        </is>
      </c>
      <c r="G265" s="11" t="inlineStr">
        <is>
          <t>City of Manila</t>
        </is>
      </c>
      <c r="H265" s="11" t="inlineStr">
        <is>
          <t>Barangay 259</t>
        </is>
      </c>
      <c r="I265" s="24" t="n">
        <v>14.608206</v>
      </c>
      <c r="J265" s="24" t="n">
        <v>120.976465</v>
      </c>
      <c r="K265" s="23" t="inlineStr">
        <is>
          <t>U</t>
        </is>
      </c>
      <c r="L265" s="25" t="n">
        <v>2014</v>
      </c>
      <c r="M265" s="26" t="n">
        <v>3.67</v>
      </c>
      <c r="N265" s="25">
        <f>ROUND(L265/M265, 0)</f>
        <v/>
      </c>
      <c r="O265" s="25">
        <f>ROUND(N265*'Methodology &amp; Assumptions'!$B$7, 0)</f>
        <v/>
      </c>
      <c r="P265" s="23" t="inlineStr">
        <is>
          <t>Single Carrier (Band n50, 100MHz TDD)</t>
        </is>
      </c>
      <c r="Q265" s="27">
        <f>ROUNDUP(O265/'Methodology &amp; Assumptions'!$B$8, 0)</f>
        <v/>
      </c>
      <c r="R265" s="27" t="n">
        <v>1</v>
      </c>
      <c r="S265" s="26" t="n">
        <v>0.75</v>
      </c>
      <c r="T265" s="26" t="n">
        <v>0.09</v>
      </c>
      <c r="U265" s="11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26" t="n">
        <v>58.77</v>
      </c>
      <c r="W265" s="26" t="n">
        <v>70.18000000000001</v>
      </c>
      <c r="X265" s="26">
        <f>ROUND(('Methodology &amp; Assumptions'!$B$5*V265) + ('Methodology &amp; Assumptions'!$B$6*W265), 2)</f>
        <v/>
      </c>
      <c r="Y265" s="28" t="n">
        <v>10.9</v>
      </c>
      <c r="Z265" s="11" t="inlineStr">
        <is>
          <t>Priority Tier 2 (Balanced Opportunity)</t>
        </is>
      </c>
    </row>
    <row r="266">
      <c r="A266" s="23" t="n">
        <v>2</v>
      </c>
      <c r="B266" s="23" t="n">
        <v>262</v>
      </c>
      <c r="C266" s="23" t="n">
        <v>1262</v>
      </c>
      <c r="D266" s="23" t="inlineStr">
        <is>
          <t>1380612007</t>
        </is>
      </c>
      <c r="E266" s="11" t="inlineStr">
        <is>
          <t>National Capital Region (NCR)</t>
        </is>
      </c>
      <c r="F266" s="11" t="inlineStr">
        <is>
          <t>First District (Not a Province)</t>
        </is>
      </c>
      <c r="G266" s="11" t="inlineStr">
        <is>
          <t>City of Manila</t>
        </is>
      </c>
      <c r="H266" s="11" t="inlineStr">
        <is>
          <t>Barangay 839</t>
        </is>
      </c>
      <c r="I266" s="24" t="n">
        <v>14.58987</v>
      </c>
      <c r="J266" s="24" t="n">
        <v>121.0128</v>
      </c>
      <c r="K266" s="23" t="inlineStr">
        <is>
          <t>U</t>
        </is>
      </c>
      <c r="L266" s="25" t="n">
        <v>2052</v>
      </c>
      <c r="M266" s="26" t="n">
        <v>3.54</v>
      </c>
      <c r="N266" s="25">
        <f>ROUND(L266/M266, 0)</f>
        <v/>
      </c>
      <c r="O266" s="25">
        <f>ROUND(N266*'Methodology &amp; Assumptions'!$B$7, 0)</f>
        <v/>
      </c>
      <c r="P266" s="23" t="inlineStr">
        <is>
          <t>Single Carrier (Band n50, 100MHz TDD)</t>
        </is>
      </c>
      <c r="Q266" s="27">
        <f>ROUNDUP(O266/'Methodology &amp; Assumptions'!$B$8, 0)</f>
        <v/>
      </c>
      <c r="R266" s="27" t="n">
        <v>1</v>
      </c>
      <c r="S266" s="26" t="n">
        <v>1.24</v>
      </c>
      <c r="T266" s="26" t="n">
        <v>0.8</v>
      </c>
      <c r="U266" s="11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26" t="n">
        <v>58.21</v>
      </c>
      <c r="W266" s="26" t="n">
        <v>70.73999999999999</v>
      </c>
      <c r="X266" s="26">
        <f>ROUND(('Methodology &amp; Assumptions'!$B$5*V266) + ('Methodology &amp; Assumptions'!$B$6*W266), 2)</f>
        <v/>
      </c>
      <c r="Y266" s="28" t="n">
        <v>10.9</v>
      </c>
      <c r="Z266" s="11" t="inlineStr">
        <is>
          <t>Priority Tier 2 (Balanced Opportunity)</t>
        </is>
      </c>
    </row>
    <row r="267">
      <c r="A267" s="23" t="n">
        <v>2</v>
      </c>
      <c r="B267" s="23" t="n">
        <v>263</v>
      </c>
      <c r="C267" s="23" t="n">
        <v>1263</v>
      </c>
      <c r="D267" s="23" t="inlineStr">
        <is>
          <t>1102505001</t>
        </is>
      </c>
      <c r="E267" s="11" t="inlineStr">
        <is>
          <t>Region XI (Davao Region)</t>
        </is>
      </c>
      <c r="F267" s="11" t="inlineStr">
        <is>
          <t>Davao Oriental</t>
        </is>
      </c>
      <c r="G267" s="11" t="inlineStr">
        <is>
          <t>Cateel</t>
        </is>
      </c>
      <c r="H267" s="11" t="inlineStr">
        <is>
          <t>Abijod</t>
        </is>
      </c>
      <c r="I267" s="24" t="n">
        <v>7.813996</v>
      </c>
      <c r="J267" s="24" t="n">
        <v>126.241388</v>
      </c>
      <c r="K267" s="23" t="inlineStr">
        <is>
          <t>R</t>
        </is>
      </c>
      <c r="L267" s="25" t="n">
        <v>2136</v>
      </c>
      <c r="M267" s="26" t="n">
        <v>3.6</v>
      </c>
      <c r="N267" s="25">
        <f>ROUND(L267/M267, 0)</f>
        <v/>
      </c>
      <c r="O267" s="25">
        <f>ROUND(N267*'Methodology &amp; Assumptions'!$B$7, 0)</f>
        <v/>
      </c>
      <c r="P267" s="23" t="inlineStr">
        <is>
          <t>Single Carrier (Band n50, 100MHz TDD)</t>
        </is>
      </c>
      <c r="Q267" s="27">
        <f>ROUNDUP(O267/'Methodology &amp; Assumptions'!$B$8, 0)</f>
        <v/>
      </c>
      <c r="R267" s="27" t="n">
        <v>1</v>
      </c>
      <c r="S267" s="26" t="n">
        <v>20.46</v>
      </c>
      <c r="T267" s="26" t="n">
        <v>19.09</v>
      </c>
      <c r="U267" s="11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26" t="n">
        <v>53.76</v>
      </c>
      <c r="W267" s="26" t="n">
        <v>75.17</v>
      </c>
      <c r="X267" s="26">
        <f>ROUND(('Methodology &amp; Assumptions'!$B$5*V267) + ('Methodology &amp; Assumptions'!$B$6*W267), 2)</f>
        <v/>
      </c>
      <c r="Y267" s="28" t="n">
        <v>17.4</v>
      </c>
      <c r="Z267" s="11" t="inlineStr">
        <is>
          <t>Priority Tier 2 (Balanced Opportunity)</t>
        </is>
      </c>
    </row>
    <row r="268">
      <c r="A268" s="23" t="n">
        <v>2</v>
      </c>
      <c r="B268" s="23" t="n">
        <v>264</v>
      </c>
      <c r="C268" s="23" t="n">
        <v>1264</v>
      </c>
      <c r="D268" s="23" t="inlineStr">
        <is>
          <t>1380605017</t>
        </is>
      </c>
      <c r="E268" s="11" t="inlineStr">
        <is>
          <t>National Capital Region (NCR)</t>
        </is>
      </c>
      <c r="F268" s="11" t="inlineStr">
        <is>
          <t>First District (Not a Province)</t>
        </is>
      </c>
      <c r="G268" s="11" t="inlineStr">
        <is>
          <t>City of Manila</t>
        </is>
      </c>
      <c r="H268" s="11" t="inlineStr">
        <is>
          <t>Barangay 315</t>
        </is>
      </c>
      <c r="I268" s="24" t="n">
        <v>14.608554</v>
      </c>
      <c r="J268" s="24" t="n">
        <v>120.984885</v>
      </c>
      <c r="K268" s="23" t="inlineStr">
        <is>
          <t>U</t>
        </is>
      </c>
      <c r="L268" s="25" t="n">
        <v>2150</v>
      </c>
      <c r="M268" s="26" t="n">
        <v>3.79</v>
      </c>
      <c r="N268" s="25">
        <f>ROUND(L268/M268, 0)</f>
        <v/>
      </c>
      <c r="O268" s="25">
        <f>ROUND(N268*'Methodology &amp; Assumptions'!$B$7, 0)</f>
        <v/>
      </c>
      <c r="P268" s="23" t="inlineStr">
        <is>
          <t>Single Carrier (Band n50, 100MHz TDD)</t>
        </is>
      </c>
      <c r="Q268" s="27">
        <f>ROUNDUP(O268/'Methodology &amp; Assumptions'!$B$8, 0)</f>
        <v/>
      </c>
      <c r="R268" s="27" t="n">
        <v>1</v>
      </c>
      <c r="S268" s="26" t="n">
        <v>0.91</v>
      </c>
      <c r="T268" s="26" t="n">
        <v>0.25</v>
      </c>
      <c r="U268" s="11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26" t="n">
        <v>59.04</v>
      </c>
      <c r="W268" s="26" t="n">
        <v>69.88</v>
      </c>
      <c r="X268" s="26">
        <f>ROUND(('Methodology &amp; Assumptions'!$B$5*V268) + ('Methodology &amp; Assumptions'!$B$6*W268), 2)</f>
        <v/>
      </c>
      <c r="Y268" s="28" t="n">
        <v>10.9</v>
      </c>
      <c r="Z268" s="11" t="inlineStr">
        <is>
          <t>Priority Tier 2 (Balanced Opportunity)</t>
        </is>
      </c>
    </row>
    <row r="269">
      <c r="A269" s="23" t="n">
        <v>2</v>
      </c>
      <c r="B269" s="23" t="n">
        <v>265</v>
      </c>
      <c r="C269" s="23" t="n">
        <v>1265</v>
      </c>
      <c r="D269" s="23" t="inlineStr">
        <is>
          <t>0305412018</t>
        </is>
      </c>
      <c r="E269" s="11" t="inlineStr">
        <is>
          <t>Region III (Central Luzon)</t>
        </is>
      </c>
      <c r="F269" s="11" t="inlineStr">
        <is>
          <t>Pampanga</t>
        </is>
      </c>
      <c r="G269" s="11" t="inlineStr">
        <is>
          <t>Masantol</t>
        </is>
      </c>
      <c r="H269" s="11" t="inlineStr">
        <is>
          <t>San Isidro Matua</t>
        </is>
      </c>
      <c r="I269" s="24" t="n">
        <v>14.896071</v>
      </c>
      <c r="J269" s="24" t="n">
        <v>120.70266</v>
      </c>
      <c r="K269" s="23" t="inlineStr">
        <is>
          <t>R</t>
        </is>
      </c>
      <c r="L269" s="25" t="n">
        <v>3735</v>
      </c>
      <c r="M269" s="26" t="n">
        <v>4</v>
      </c>
      <c r="N269" s="25">
        <f>ROUND(L269/M269, 0)</f>
        <v/>
      </c>
      <c r="O269" s="25">
        <f>ROUND(N269*'Methodology &amp; Assumptions'!$B$7, 0)</f>
        <v/>
      </c>
      <c r="P269" s="23" t="inlineStr">
        <is>
          <t>Single Carrier (Band n50, 100MHz TDD)</t>
        </is>
      </c>
      <c r="Q269" s="27">
        <f>ROUNDUP(O269/'Methodology &amp; Assumptions'!$B$8, 0)</f>
        <v/>
      </c>
      <c r="R269" s="27" t="n">
        <v>1</v>
      </c>
      <c r="S269" s="26" t="n">
        <v>0.68</v>
      </c>
      <c r="T269" s="26" t="n">
        <v>2.21</v>
      </c>
      <c r="U269" s="11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26" t="n">
        <v>82.78</v>
      </c>
      <c r="W269" s="26" t="n">
        <v>46.13</v>
      </c>
      <c r="X269" s="26">
        <f>ROUND(('Methodology &amp; Assumptions'!$B$5*V269) + ('Methodology &amp; Assumptions'!$B$6*W269), 2)</f>
        <v/>
      </c>
      <c r="Y269" s="28" t="n">
        <v>8.300000000000001</v>
      </c>
      <c r="Z269" s="11" t="inlineStr">
        <is>
          <t>Priority Tier 2 (Balanced Opportunity)</t>
        </is>
      </c>
    </row>
    <row r="270">
      <c r="A270" s="23" t="n">
        <v>2</v>
      </c>
      <c r="B270" s="23" t="n">
        <v>266</v>
      </c>
      <c r="C270" s="23" t="n">
        <v>1266</v>
      </c>
      <c r="D270" s="23" t="inlineStr">
        <is>
          <t>0601909015</t>
        </is>
      </c>
      <c r="E270" s="11" t="inlineStr">
        <is>
          <t>Region VI (Western Visayas)</t>
        </is>
      </c>
      <c r="F270" s="11" t="inlineStr">
        <is>
          <t>Capiz</t>
        </is>
      </c>
      <c r="G270" s="11" t="inlineStr">
        <is>
          <t>Panay</t>
        </is>
      </c>
      <c r="H270" s="11" t="inlineStr">
        <is>
          <t>Butacal</t>
        </is>
      </c>
      <c r="I270" s="24" t="n">
        <v>11.513829</v>
      </c>
      <c r="J270" s="24" t="n">
        <v>122.912773</v>
      </c>
      <c r="K270" s="23" t="inlineStr">
        <is>
          <t>R</t>
        </is>
      </c>
      <c r="L270" s="25" t="n">
        <v>1221</v>
      </c>
      <c r="M270" s="26" t="n">
        <v>3.8</v>
      </c>
      <c r="N270" s="25">
        <f>ROUND(L270/M270, 0)</f>
        <v/>
      </c>
      <c r="O270" s="25">
        <f>ROUND(N270*'Methodology &amp; Assumptions'!$B$7, 0)</f>
        <v/>
      </c>
      <c r="P270" s="23" t="inlineStr">
        <is>
          <t>Single Carrier (Band n50, 100MHz TDD)</t>
        </is>
      </c>
      <c r="Q270" s="27">
        <f>ROUNDUP(O270/'Methodology &amp; Assumptions'!$B$8, 0)</f>
        <v/>
      </c>
      <c r="R270" s="27" t="n">
        <v>1</v>
      </c>
      <c r="S270" s="26" t="n">
        <v>9.470000000000001</v>
      </c>
      <c r="T270" s="26" t="n">
        <v>7.98</v>
      </c>
      <c r="U270" s="11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26" t="n">
        <v>51.06</v>
      </c>
      <c r="W270" s="26" t="n">
        <v>77.83</v>
      </c>
      <c r="X270" s="26">
        <f>ROUND(('Methodology &amp; Assumptions'!$B$5*V270) + ('Methodology &amp; Assumptions'!$B$6*W270), 2)</f>
        <v/>
      </c>
      <c r="Y270" s="28" t="n">
        <v>23.7</v>
      </c>
      <c r="Z270" s="11" t="inlineStr">
        <is>
          <t>Priority Tier 2 (Balanced Opportunity)</t>
        </is>
      </c>
    </row>
    <row r="271">
      <c r="A271" s="23" t="n">
        <v>2</v>
      </c>
      <c r="B271" s="23" t="n">
        <v>267</v>
      </c>
      <c r="C271" s="23" t="n">
        <v>1267</v>
      </c>
      <c r="D271" s="23" t="inlineStr">
        <is>
          <t>1381300027</t>
        </is>
      </c>
      <c r="E271" s="11" t="inlineStr">
        <is>
          <t>National Capital Region (NCR)</t>
        </is>
      </c>
      <c r="F271" s="11" t="inlineStr">
        <is>
          <t>Second District (Not a Province)</t>
        </is>
      </c>
      <c r="G271" s="11" t="inlineStr">
        <is>
          <t>Quezon City</t>
        </is>
      </c>
      <c r="H271" s="11" t="inlineStr">
        <is>
          <t>Damayan</t>
        </is>
      </c>
      <c r="I271" s="24" t="n">
        <v>14.63957</v>
      </c>
      <c r="J271" s="24" t="n">
        <v>121.015</v>
      </c>
      <c r="K271" s="23" t="inlineStr">
        <is>
          <t>U</t>
        </is>
      </c>
      <c r="L271" s="25" t="n">
        <v>7254</v>
      </c>
      <c r="M271" s="26" t="n">
        <v>3.54</v>
      </c>
      <c r="N271" s="25">
        <f>ROUND(L271/M271, 0)</f>
        <v/>
      </c>
      <c r="O271" s="25">
        <f>ROUND(N271*'Methodology &amp; Assumptions'!$B$7, 0)</f>
        <v/>
      </c>
      <c r="P271" s="23" t="inlineStr">
        <is>
          <t>Single Carrier (Band n50, 100MHz TDD)</t>
        </is>
      </c>
      <c r="Q271" s="27">
        <f>ROUNDUP(O271/'Methodology &amp; Assumptions'!$B$8, 0)</f>
        <v/>
      </c>
      <c r="R271" s="27" t="n">
        <v>1</v>
      </c>
      <c r="S271" s="26" t="n">
        <v>0.78</v>
      </c>
      <c r="T271" s="26" t="n">
        <v>0.16</v>
      </c>
      <c r="U271" s="11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26" t="n">
        <v>69.09</v>
      </c>
      <c r="W271" s="26" t="n">
        <v>59.78</v>
      </c>
      <c r="X271" s="26">
        <f>ROUND(('Methodology &amp; Assumptions'!$B$5*V271) + ('Methodology &amp; Assumptions'!$B$6*W271), 2)</f>
        <v/>
      </c>
      <c r="Y271" s="28" t="n">
        <v>10.9</v>
      </c>
      <c r="Z271" s="11" t="inlineStr">
        <is>
          <t>Priority Tier 2 (Balanced Opportunity)</t>
        </is>
      </c>
    </row>
    <row r="272">
      <c r="A272" s="23" t="n">
        <v>2</v>
      </c>
      <c r="B272" s="23" t="n">
        <v>268</v>
      </c>
      <c r="C272" s="23" t="n">
        <v>1268</v>
      </c>
      <c r="D272" s="23" t="inlineStr">
        <is>
          <t>1380500003</t>
        </is>
      </c>
      <c r="E272" s="11" t="inlineStr">
        <is>
          <t>National Capital Region (NCR)</t>
        </is>
      </c>
      <c r="F272" s="11" t="inlineStr">
        <is>
          <t>Second District (Not a Province)</t>
        </is>
      </c>
      <c r="G272" s="11" t="inlineStr">
        <is>
          <t>City of Mandaluyong</t>
        </is>
      </c>
      <c r="H272" s="11" t="inlineStr">
        <is>
          <t>Barangka Drive</t>
        </is>
      </c>
      <c r="I272" s="24" t="n">
        <v>14.570118</v>
      </c>
      <c r="J272" s="24" t="n">
        <v>121.036166</v>
      </c>
      <c r="K272" s="23" t="inlineStr">
        <is>
          <t>U</t>
        </is>
      </c>
      <c r="L272" s="25" t="n">
        <v>15782</v>
      </c>
      <c r="M272" s="26" t="n">
        <v>3.37</v>
      </c>
      <c r="N272" s="25">
        <f>ROUND(L272/M272, 0)</f>
        <v/>
      </c>
      <c r="O272" s="25">
        <f>ROUND(N272*'Methodology &amp; Assumptions'!$B$7, 0)</f>
        <v/>
      </c>
      <c r="P272" s="23" t="inlineStr">
        <is>
          <t>Single Carrier (Band n50, 100MHz TDD)</t>
        </is>
      </c>
      <c r="Q272" s="27">
        <f>ROUNDUP(O272/'Methodology &amp; Assumptions'!$B$8, 0)</f>
        <v/>
      </c>
      <c r="R272" s="27" t="n">
        <v>1</v>
      </c>
      <c r="S272" s="26" t="n">
        <v>0.91</v>
      </c>
      <c r="T272" s="26" t="n">
        <v>0.04</v>
      </c>
      <c r="U272" s="11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26" t="n">
        <v>68.55</v>
      </c>
      <c r="W272" s="26" t="n">
        <v>60.33</v>
      </c>
      <c r="X272" s="26">
        <f>ROUND(('Methodology &amp; Assumptions'!$B$5*V272) + ('Methodology &amp; Assumptions'!$B$6*W272), 2)</f>
        <v/>
      </c>
      <c r="Y272" s="28" t="n">
        <v>10.9</v>
      </c>
      <c r="Z272" s="11" t="inlineStr">
        <is>
          <t>Priority Tier 2 (Balanced Opportunity)</t>
        </is>
      </c>
    </row>
    <row r="273">
      <c r="A273" s="23" t="n">
        <v>2</v>
      </c>
      <c r="B273" s="23" t="n">
        <v>269</v>
      </c>
      <c r="C273" s="23" t="n">
        <v>1269</v>
      </c>
      <c r="D273" s="23" t="inlineStr">
        <is>
          <t>1380611049</t>
        </is>
      </c>
      <c r="E273" s="11" t="inlineStr">
        <is>
          <t>National Capital Region (NCR)</t>
        </is>
      </c>
      <c r="F273" s="11" t="inlineStr">
        <is>
          <t>First District (Not a Province)</t>
        </is>
      </c>
      <c r="G273" s="11" t="inlineStr">
        <is>
          <t>City of Manila</t>
        </is>
      </c>
      <c r="H273" s="11" t="inlineStr">
        <is>
          <t>Barangay 687</t>
        </is>
      </c>
      <c r="I273" s="24" t="n">
        <v>14.576726</v>
      </c>
      <c r="J273" s="24" t="n">
        <v>120.99322</v>
      </c>
      <c r="K273" s="23" t="inlineStr">
        <is>
          <t>U</t>
        </is>
      </c>
      <c r="L273" s="25" t="n">
        <v>2106</v>
      </c>
      <c r="M273" s="26" t="n">
        <v>3.92</v>
      </c>
      <c r="N273" s="25">
        <f>ROUND(L273/M273, 0)</f>
        <v/>
      </c>
      <c r="O273" s="25">
        <f>ROUND(N273*'Methodology &amp; Assumptions'!$B$7, 0)</f>
        <v/>
      </c>
      <c r="P273" s="23" t="inlineStr">
        <is>
          <t>Single Carrier (Band n50, 100MHz TDD)</t>
        </is>
      </c>
      <c r="Q273" s="27">
        <f>ROUNDUP(O273/'Methodology &amp; Assumptions'!$B$8, 0)</f>
        <v/>
      </c>
      <c r="R273" s="27" t="n">
        <v>1</v>
      </c>
      <c r="S273" s="26" t="n">
        <v>0.53</v>
      </c>
      <c r="T273" s="26" t="n">
        <v>0.18</v>
      </c>
      <c r="U273" s="11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26" t="n">
        <v>58.34</v>
      </c>
      <c r="W273" s="26" t="n">
        <v>70.54000000000001</v>
      </c>
      <c r="X273" s="26">
        <f>ROUND(('Methodology &amp; Assumptions'!$B$5*V273) + ('Methodology &amp; Assumptions'!$B$6*W273), 2)</f>
        <v/>
      </c>
      <c r="Y273" s="28" t="n">
        <v>10.9</v>
      </c>
      <c r="Z273" s="11" t="inlineStr">
        <is>
          <t>Priority Tier 2 (Balanced Opportunity)</t>
        </is>
      </c>
    </row>
    <row r="274">
      <c r="A274" s="23" t="n">
        <v>2</v>
      </c>
      <c r="B274" s="23" t="n">
        <v>270</v>
      </c>
      <c r="C274" s="23" t="n">
        <v>1270</v>
      </c>
      <c r="D274" s="23" t="inlineStr">
        <is>
          <t>0300803013</t>
        </is>
      </c>
      <c r="E274" s="11" t="inlineStr">
        <is>
          <t>Region III (Central Luzon)</t>
        </is>
      </c>
      <c r="F274" s="11" t="inlineStr">
        <is>
          <t>Bataan</t>
        </is>
      </c>
      <c r="G274" s="11" t="inlineStr">
        <is>
          <t>City of Balanga</t>
        </is>
      </c>
      <c r="H274" s="11" t="inlineStr">
        <is>
          <t>Poblacion</t>
        </is>
      </c>
      <c r="I274" s="24" t="n">
        <v>14.677743</v>
      </c>
      <c r="J274" s="24" t="n">
        <v>120.542488</v>
      </c>
      <c r="K274" s="23" t="inlineStr">
        <is>
          <t>U</t>
        </is>
      </c>
      <c r="L274" s="25" t="n">
        <v>769</v>
      </c>
      <c r="M274" s="26" t="n">
        <v>3.6</v>
      </c>
      <c r="N274" s="25">
        <f>ROUND(L274/M274, 0)</f>
        <v/>
      </c>
      <c r="O274" s="25">
        <f>ROUND(N274*'Methodology &amp; Assumptions'!$B$7, 0)</f>
        <v/>
      </c>
      <c r="P274" s="23" t="inlineStr">
        <is>
          <t>Single Carrier (Band n50, 100MHz TDD)</t>
        </is>
      </c>
      <c r="Q274" s="27">
        <f>ROUNDUP(O274/'Methodology &amp; Assumptions'!$B$8, 0)</f>
        <v/>
      </c>
      <c r="R274" s="27" t="n">
        <v>1</v>
      </c>
      <c r="S274" s="26" t="n">
        <v>0.73</v>
      </c>
      <c r="T274" s="26" t="n">
        <v>0.15</v>
      </c>
      <c r="U274" s="11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26" t="n">
        <v>58.76</v>
      </c>
      <c r="W274" s="26" t="n">
        <v>70.09</v>
      </c>
      <c r="X274" s="26">
        <f>ROUND(('Methodology &amp; Assumptions'!$B$5*V274) + ('Methodology &amp; Assumptions'!$B$6*W274), 2)</f>
        <v/>
      </c>
      <c r="Y274" s="28" t="n">
        <v>8.300000000000001</v>
      </c>
      <c r="Z274" s="11" t="inlineStr">
        <is>
          <t>Priority Tier 2 (Balanced Opportunity)</t>
        </is>
      </c>
    </row>
    <row r="275">
      <c r="A275" s="23" t="n">
        <v>2</v>
      </c>
      <c r="B275" s="23" t="n">
        <v>271</v>
      </c>
      <c r="C275" s="23" t="n">
        <v>1271</v>
      </c>
      <c r="D275" s="23" t="inlineStr">
        <is>
          <t>1381100041</t>
        </is>
      </c>
      <c r="E275" s="11" t="inlineStr">
        <is>
          <t>National Capital Region (NCR)</t>
        </is>
      </c>
      <c r="F275" s="11" t="inlineStr">
        <is>
          <t>Fourth District (Not a Province)</t>
        </is>
      </c>
      <c r="G275" s="11" t="inlineStr">
        <is>
          <t>Pasay City</t>
        </is>
      </c>
      <c r="H275" s="11" t="inlineStr">
        <is>
          <t>Barangay 41</t>
        </is>
      </c>
      <c r="I275" s="24" t="n">
        <v>14.560013</v>
      </c>
      <c r="J275" s="24" t="n">
        <v>120.99698</v>
      </c>
      <c r="K275" s="23" t="inlineStr">
        <is>
          <t>U</t>
        </is>
      </c>
      <c r="L275" s="25" t="n">
        <v>1502</v>
      </c>
      <c r="M275" s="26" t="n">
        <v>2.79</v>
      </c>
      <c r="N275" s="25">
        <f>ROUND(L275/M275, 0)</f>
        <v/>
      </c>
      <c r="O275" s="25">
        <f>ROUND(N275*'Methodology &amp; Assumptions'!$B$7, 0)</f>
        <v/>
      </c>
      <c r="P275" s="23" t="inlineStr">
        <is>
          <t>Single Carrier (Band n50, 100MHz TDD)</t>
        </is>
      </c>
      <c r="Q275" s="27">
        <f>ROUNDUP(O275/'Methodology &amp; Assumptions'!$B$8, 0)</f>
        <v/>
      </c>
      <c r="R275" s="27" t="n">
        <v>1</v>
      </c>
      <c r="S275" s="26" t="n">
        <v>0.9399999999999999</v>
      </c>
      <c r="T275" s="26" t="n">
        <v>0.33</v>
      </c>
      <c r="U275" s="11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26" t="n">
        <v>58.07</v>
      </c>
      <c r="W275" s="26" t="n">
        <v>70.78</v>
      </c>
      <c r="X275" s="26">
        <f>ROUND(('Methodology &amp; Assumptions'!$B$5*V275) + ('Methodology &amp; Assumptions'!$B$6*W275), 2)</f>
        <v/>
      </c>
      <c r="Y275" s="28" t="n">
        <v>10.9</v>
      </c>
      <c r="Z275" s="11" t="inlineStr">
        <is>
          <t>Priority Tier 2 (Balanced Opportunity)</t>
        </is>
      </c>
    </row>
    <row r="276">
      <c r="A276" s="23" t="n">
        <v>2</v>
      </c>
      <c r="B276" s="23" t="n">
        <v>272</v>
      </c>
      <c r="C276" s="23" t="n">
        <v>1272</v>
      </c>
      <c r="D276" s="23" t="inlineStr">
        <is>
          <t>0403428006</t>
        </is>
      </c>
      <c r="E276" s="11" t="inlineStr">
        <is>
          <t>Region IV-A (CALABARZON)</t>
        </is>
      </c>
      <c r="F276" s="11" t="inlineStr">
        <is>
          <t>Laguna</t>
        </is>
      </c>
      <c r="G276" s="11" t="inlineStr">
        <is>
          <t>City of Santa Rosa</t>
        </is>
      </c>
      <c r="H276" s="11" t="inlineStr">
        <is>
          <t>Don Jose</t>
        </is>
      </c>
      <c r="I276" s="24" t="n">
        <v>14.25637</v>
      </c>
      <c r="J276" s="24" t="n">
        <v>121.065921</v>
      </c>
      <c r="K276" s="23" t="inlineStr">
        <is>
          <t>U</t>
        </is>
      </c>
      <c r="L276" s="25" t="n">
        <v>19774</v>
      </c>
      <c r="M276" s="26" t="n">
        <v>3.3</v>
      </c>
      <c r="N276" s="25">
        <f>ROUND(L276/M276, 0)</f>
        <v/>
      </c>
      <c r="O276" s="25">
        <f>ROUND(N276*'Methodology &amp; Assumptions'!$B$7, 0)</f>
        <v/>
      </c>
      <c r="P276" s="23" t="inlineStr">
        <is>
          <t>Single Carrier (Band n50, 100MHz TDD)</t>
        </is>
      </c>
      <c r="Q276" s="27">
        <f>ROUNDUP(O276/'Methodology &amp; Assumptions'!$B$8, 0)</f>
        <v/>
      </c>
      <c r="R276" s="27" t="n">
        <v>1</v>
      </c>
      <c r="S276" s="26" t="n">
        <v>1.49</v>
      </c>
      <c r="T276" s="26" t="n">
        <v>0.36</v>
      </c>
      <c r="U276" s="11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26" t="n">
        <v>75.81999999999999</v>
      </c>
      <c r="W276" s="26" t="n">
        <v>53.03</v>
      </c>
      <c r="X276" s="26">
        <f>ROUND(('Methodology &amp; Assumptions'!$B$5*V276) + ('Methodology &amp; Assumptions'!$B$6*W276), 2)</f>
        <v/>
      </c>
      <c r="Y276" s="28" t="n">
        <v>7.2</v>
      </c>
      <c r="Z276" s="11" t="inlineStr">
        <is>
          <t>Priority Tier 2 (Balanced Opportunity)</t>
        </is>
      </c>
    </row>
    <row r="277">
      <c r="A277" s="23" t="n">
        <v>2</v>
      </c>
      <c r="B277" s="23" t="n">
        <v>273</v>
      </c>
      <c r="C277" s="23" t="n">
        <v>1273</v>
      </c>
      <c r="D277" s="23" t="inlineStr">
        <is>
          <t>0405811016</t>
        </is>
      </c>
      <c r="E277" s="11" t="inlineStr">
        <is>
          <t>Region IV-A (CALABARZON)</t>
        </is>
      </c>
      <c r="F277" s="11" t="inlineStr">
        <is>
          <t>Rizal</t>
        </is>
      </c>
      <c r="G277" s="11" t="inlineStr">
        <is>
          <t>San Mateo</t>
        </is>
      </c>
      <c r="H277" s="11" t="inlineStr">
        <is>
          <t>Silangan</t>
        </is>
      </c>
      <c r="I277" s="24" t="n">
        <v>14.697822</v>
      </c>
      <c r="J277" s="24" t="n">
        <v>121.110554</v>
      </c>
      <c r="K277" s="23" t="inlineStr">
        <is>
          <t>U</t>
        </is>
      </c>
      <c r="L277" s="25" t="n">
        <v>56529</v>
      </c>
      <c r="M277" s="26" t="n">
        <v>3.6</v>
      </c>
      <c r="N277" s="25">
        <f>ROUND(L277/M277, 0)</f>
        <v/>
      </c>
      <c r="O277" s="25">
        <f>ROUND(N277*'Methodology &amp; Assumptions'!$B$7, 0)</f>
        <v/>
      </c>
      <c r="P277" s="23" t="inlineStr">
        <is>
          <t>Single Carrier (Band n50, 100MHz TDD)</t>
        </is>
      </c>
      <c r="Q277" s="27">
        <f>ROUNDUP(O277/'Methodology &amp; Assumptions'!$B$8, 0)</f>
        <v/>
      </c>
      <c r="R277" s="27" t="n">
        <v>1</v>
      </c>
      <c r="S277" s="26" t="n">
        <v>1.1</v>
      </c>
      <c r="T277" s="26" t="n">
        <v>1.09</v>
      </c>
      <c r="U277" s="11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26" t="n">
        <v>75.56999999999999</v>
      </c>
      <c r="W277" s="26" t="n">
        <v>53.26</v>
      </c>
      <c r="X277" s="26">
        <f>ROUND(('Methodology &amp; Assumptions'!$B$5*V277) + ('Methodology &amp; Assumptions'!$B$6*W277), 2)</f>
        <v/>
      </c>
      <c r="Y277" s="28" t="n">
        <v>7.2</v>
      </c>
      <c r="Z277" s="11" t="inlineStr">
        <is>
          <t>Priority Tier 2 (Balanced Opportunity)</t>
        </is>
      </c>
    </row>
    <row r="278">
      <c r="A278" s="23" t="n">
        <v>2</v>
      </c>
      <c r="B278" s="23" t="n">
        <v>274</v>
      </c>
      <c r="C278" s="23" t="n">
        <v>1274</v>
      </c>
      <c r="D278" s="23" t="inlineStr">
        <is>
          <t>1380611025</t>
        </is>
      </c>
      <c r="E278" s="11" t="inlineStr">
        <is>
          <t>National Capital Region (NCR)</t>
        </is>
      </c>
      <c r="F278" s="11" t="inlineStr">
        <is>
          <t>First District (Not a Province)</t>
        </is>
      </c>
      <c r="G278" s="11" t="inlineStr">
        <is>
          <t>City of Manila</t>
        </is>
      </c>
      <c r="H278" s="11" t="inlineStr">
        <is>
          <t>Barangay 811</t>
        </is>
      </c>
      <c r="I278" s="24" t="n">
        <v>14.577695</v>
      </c>
      <c r="J278" s="24" t="n">
        <v>120.998301</v>
      </c>
      <c r="K278" s="23" t="inlineStr">
        <is>
          <t>U</t>
        </is>
      </c>
      <c r="L278" s="25" t="n">
        <v>2242</v>
      </c>
      <c r="M278" s="26" t="n">
        <v>4.19</v>
      </c>
      <c r="N278" s="25">
        <f>ROUND(L278/M278, 0)</f>
        <v/>
      </c>
      <c r="O278" s="25">
        <f>ROUND(N278*'Methodology &amp; Assumptions'!$B$7, 0)</f>
        <v/>
      </c>
      <c r="P278" s="23" t="inlineStr">
        <is>
          <t>Single Carrier (Band n50, 100MHz TDD)</t>
        </is>
      </c>
      <c r="Q278" s="27">
        <f>ROUNDUP(O278/'Methodology &amp; Assumptions'!$B$8, 0)</f>
        <v/>
      </c>
      <c r="R278" s="27" t="n">
        <v>1</v>
      </c>
      <c r="S278" s="26" t="n">
        <v>0.77</v>
      </c>
      <c r="T278" s="26" t="n">
        <v>0.09</v>
      </c>
      <c r="U278" s="11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26" t="n">
        <v>58.23</v>
      </c>
      <c r="W278" s="26" t="n">
        <v>70.59</v>
      </c>
      <c r="X278" s="26">
        <f>ROUND(('Methodology &amp; Assumptions'!$B$5*V278) + ('Methodology &amp; Assumptions'!$B$6*W278), 2)</f>
        <v/>
      </c>
      <c r="Y278" s="28" t="n">
        <v>10.9</v>
      </c>
      <c r="Z278" s="11" t="inlineStr">
        <is>
          <t>Priority Tier 2 (Balanced Opportunity)</t>
        </is>
      </c>
    </row>
    <row r="279">
      <c r="A279" s="23" t="n">
        <v>2</v>
      </c>
      <c r="B279" s="23" t="n">
        <v>275</v>
      </c>
      <c r="C279" s="23" t="n">
        <v>1275</v>
      </c>
      <c r="D279" s="23" t="inlineStr">
        <is>
          <t>0201522009</t>
        </is>
      </c>
      <c r="E279" s="11" t="inlineStr">
        <is>
          <t>Region II (Cagayan Valley)</t>
        </is>
      </c>
      <c r="F279" s="11" t="inlineStr">
        <is>
          <t>Cagayan</t>
        </is>
      </c>
      <c r="G279" s="11" t="inlineStr">
        <is>
          <t>Sanchez-Mira</t>
        </is>
      </c>
      <c r="H279" s="11" t="inlineStr">
        <is>
          <t>Kittag</t>
        </is>
      </c>
      <c r="I279" s="24" t="n">
        <v>18.519416</v>
      </c>
      <c r="J279" s="24" t="n">
        <v>121.208736</v>
      </c>
      <c r="K279" s="23" t="inlineStr">
        <is>
          <t>R</t>
        </is>
      </c>
      <c r="L279" s="25" t="n">
        <v>341</v>
      </c>
      <c r="M279" s="26" t="n">
        <v>3.9</v>
      </c>
      <c r="N279" s="25">
        <f>ROUND(L279/M279, 0)</f>
        <v/>
      </c>
      <c r="O279" s="25">
        <f>ROUND(N279*'Methodology &amp; Assumptions'!$B$7, 0)</f>
        <v/>
      </c>
      <c r="P279" s="23" t="inlineStr">
        <is>
          <t>Single Carrier (Band n50, 100MHz TDD)</t>
        </is>
      </c>
      <c r="Q279" s="27">
        <f>ROUNDUP(O279/'Methodology &amp; Assumptions'!$B$8, 0)</f>
        <v/>
      </c>
      <c r="R279" s="27" t="n">
        <v>1</v>
      </c>
      <c r="S279" s="26" t="n">
        <v>5.21</v>
      </c>
      <c r="T279" s="26" t="n">
        <v>5.16</v>
      </c>
      <c r="U279" s="11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26" t="n">
        <v>46.51</v>
      </c>
      <c r="W279" s="26" t="n">
        <v>82.31</v>
      </c>
      <c r="X279" s="26">
        <f>ROUND(('Methodology &amp; Assumptions'!$B$5*V279) + ('Methodology &amp; Assumptions'!$B$6*W279), 2)</f>
        <v/>
      </c>
      <c r="Y279" s="28" t="n">
        <v>8.300000000000001</v>
      </c>
      <c r="Z279" s="11" t="inlineStr">
        <is>
          <t>Priority Tier 2 (Balanced Opportunity)</t>
        </is>
      </c>
    </row>
    <row r="280">
      <c r="A280" s="23" t="n">
        <v>2</v>
      </c>
      <c r="B280" s="23" t="n">
        <v>276</v>
      </c>
      <c r="C280" s="23" t="n">
        <v>1276</v>
      </c>
      <c r="D280" s="23" t="inlineStr">
        <is>
          <t>0506204013</t>
        </is>
      </c>
      <c r="E280" s="11" t="inlineStr">
        <is>
          <t>Region V (Bicol Region)</t>
        </is>
      </c>
      <c r="F280" s="11" t="inlineStr">
        <is>
          <t>Sorsogon</t>
        </is>
      </c>
      <c r="G280" s="11" t="inlineStr">
        <is>
          <t>Bulusan</t>
        </is>
      </c>
      <c r="H280" s="11" t="inlineStr">
        <is>
          <t>Salvacion</t>
        </is>
      </c>
      <c r="I280" s="24" t="n">
        <v>12.657844</v>
      </c>
      <c r="J280" s="24" t="n">
        <v>124.073295</v>
      </c>
      <c r="K280" s="23" t="inlineStr">
        <is>
          <t>R</t>
        </is>
      </c>
      <c r="L280" s="25" t="n">
        <v>488</v>
      </c>
      <c r="M280" s="26" t="n">
        <v>4</v>
      </c>
      <c r="N280" s="25">
        <f>ROUND(L280/M280, 0)</f>
        <v/>
      </c>
      <c r="O280" s="25">
        <f>ROUND(N280*'Methodology &amp; Assumptions'!$B$7, 0)</f>
        <v/>
      </c>
      <c r="P280" s="23" t="inlineStr">
        <is>
          <t>Single Carrier (Band n50, 100MHz TDD)</t>
        </is>
      </c>
      <c r="Q280" s="27">
        <f>ROUNDUP(O280/'Methodology &amp; Assumptions'!$B$8, 0)</f>
        <v/>
      </c>
      <c r="R280" s="27" t="n">
        <v>1</v>
      </c>
      <c r="S280" s="26" t="n">
        <v>3.77</v>
      </c>
      <c r="T280" s="26" t="n">
        <v>2.42</v>
      </c>
      <c r="U280" s="11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26" t="n">
        <v>52.54</v>
      </c>
      <c r="W280" s="26" t="n">
        <v>76.25</v>
      </c>
      <c r="X280" s="26">
        <f>ROUND(('Methodology &amp; Assumptions'!$B$5*V280) + ('Methodology &amp; Assumptions'!$B$6*W280), 2)</f>
        <v/>
      </c>
      <c r="Y280" s="28" t="n">
        <v>23.7</v>
      </c>
      <c r="Z280" s="11" t="inlineStr">
        <is>
          <t>Priority Tier 2 (Balanced Opportunity)</t>
        </is>
      </c>
    </row>
    <row r="281">
      <c r="A281" s="23" t="n">
        <v>2</v>
      </c>
      <c r="B281" s="23" t="n">
        <v>277</v>
      </c>
      <c r="C281" s="23" t="n">
        <v>1277</v>
      </c>
      <c r="D281" s="23" t="inlineStr">
        <is>
          <t>0403410008</t>
        </is>
      </c>
      <c r="E281" s="11" t="inlineStr">
        <is>
          <t>Region IV-A (CALABARZON)</t>
        </is>
      </c>
      <c r="F281" s="11" t="inlineStr">
        <is>
          <t>Laguna</t>
        </is>
      </c>
      <c r="G281" s="11" t="inlineStr">
        <is>
          <t>Liliw</t>
        </is>
      </c>
      <c r="H281" s="11" t="inlineStr">
        <is>
          <t>Calumpang</t>
        </is>
      </c>
      <c r="I281" s="24" t="n">
        <v>14.182375</v>
      </c>
      <c r="J281" s="24" t="n">
        <v>121.412361</v>
      </c>
      <c r="K281" s="23" t="inlineStr">
        <is>
          <t>R</t>
        </is>
      </c>
      <c r="L281" s="25" t="n">
        <v>4088</v>
      </c>
      <c r="M281" s="26" t="n">
        <v>3.3</v>
      </c>
      <c r="N281" s="25">
        <f>ROUND(L281/M281, 0)</f>
        <v/>
      </c>
      <c r="O281" s="25">
        <f>ROUND(N281*'Methodology &amp; Assumptions'!$B$7, 0)</f>
        <v/>
      </c>
      <c r="P281" s="23" t="inlineStr">
        <is>
          <t>Single Carrier (Band n50, 100MHz TDD)</t>
        </is>
      </c>
      <c r="Q281" s="27">
        <f>ROUNDUP(O281/'Methodology &amp; Assumptions'!$B$8, 0)</f>
        <v/>
      </c>
      <c r="R281" s="27" t="n">
        <v>1</v>
      </c>
      <c r="S281" s="26" t="n">
        <v>2.67</v>
      </c>
      <c r="T281" s="26" t="n">
        <v>1.67</v>
      </c>
      <c r="U281" s="11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26" t="n">
        <v>79.03</v>
      </c>
      <c r="W281" s="26" t="n">
        <v>49.75</v>
      </c>
      <c r="X281" s="26">
        <f>ROUND(('Methodology &amp; Assumptions'!$B$5*V281) + ('Methodology &amp; Assumptions'!$B$6*W281), 2)</f>
        <v/>
      </c>
      <c r="Y281" s="28" t="n">
        <v>7.2</v>
      </c>
      <c r="Z281" s="11" t="inlineStr">
        <is>
          <t>Priority Tier 2 (Balanced Opportunity)</t>
        </is>
      </c>
    </row>
    <row r="282">
      <c r="A282" s="23" t="n">
        <v>2</v>
      </c>
      <c r="B282" s="23" t="n">
        <v>278</v>
      </c>
      <c r="C282" s="23" t="n">
        <v>1278</v>
      </c>
      <c r="D282" s="23" t="inlineStr">
        <is>
          <t>0300809027</t>
        </is>
      </c>
      <c r="E282" s="11" t="inlineStr">
        <is>
          <t>Region III (Central Luzon)</t>
        </is>
      </c>
      <c r="F282" s="11" t="inlineStr">
        <is>
          <t>Bataan</t>
        </is>
      </c>
      <c r="G282" s="11" t="inlineStr">
        <is>
          <t>Orani</t>
        </is>
      </c>
      <c r="H282" s="11" t="inlineStr">
        <is>
          <t>Maria Fe</t>
        </is>
      </c>
      <c r="I282" s="24" t="n">
        <v>14.790713</v>
      </c>
      <c r="J282" s="24" t="n">
        <v>120.537403</v>
      </c>
      <c r="K282" s="23" t="inlineStr">
        <is>
          <t>R</t>
        </is>
      </c>
      <c r="L282" s="25" t="n">
        <v>2290</v>
      </c>
      <c r="M282" s="26" t="n">
        <v>3.6</v>
      </c>
      <c r="N282" s="25">
        <f>ROUND(L282/M282, 0)</f>
        <v/>
      </c>
      <c r="O282" s="25">
        <f>ROUND(N282*'Methodology &amp; Assumptions'!$B$7, 0)</f>
        <v/>
      </c>
      <c r="P282" s="23" t="inlineStr">
        <is>
          <t>Single Carrier (Band n50, 100MHz TDD)</t>
        </is>
      </c>
      <c r="Q282" s="27">
        <f>ROUNDUP(O282/'Methodology &amp; Assumptions'!$B$8, 0)</f>
        <v/>
      </c>
      <c r="R282" s="27" t="n">
        <v>1</v>
      </c>
      <c r="S282" s="26" t="n">
        <v>1.27</v>
      </c>
      <c r="T282" s="26" t="n">
        <v>0.17</v>
      </c>
      <c r="U282" s="11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26" t="n">
        <v>78.06999999999999</v>
      </c>
      <c r="W282" s="26" t="n">
        <v>50.72</v>
      </c>
      <c r="X282" s="26">
        <f>ROUND(('Methodology &amp; Assumptions'!$B$5*V282) + ('Methodology &amp; Assumptions'!$B$6*W282), 2)</f>
        <v/>
      </c>
      <c r="Y282" s="28" t="n">
        <v>8.300000000000001</v>
      </c>
      <c r="Z282" s="11" t="inlineStr">
        <is>
          <t>Priority Tier 2 (Balanced Opportunity)</t>
        </is>
      </c>
    </row>
    <row r="283">
      <c r="A283" s="23" t="n">
        <v>2</v>
      </c>
      <c r="B283" s="23" t="n">
        <v>279</v>
      </c>
      <c r="C283" s="23" t="n">
        <v>1279</v>
      </c>
      <c r="D283" s="23" t="inlineStr">
        <is>
          <t>1403206003</t>
        </is>
      </c>
      <c r="E283" s="11" t="inlineStr">
        <is>
          <t>Cordillera Administrative Region (CAR)</t>
        </is>
      </c>
      <c r="F283" s="11" t="inlineStr">
        <is>
          <t>Kalinga</t>
        </is>
      </c>
      <c r="G283" s="11" t="inlineStr">
        <is>
          <t>Lubuagan</t>
        </is>
      </c>
      <c r="H283" s="11" t="inlineStr">
        <is>
          <t>Mabongtot</t>
        </is>
      </c>
      <c r="I283" s="24" t="n">
        <v>17.20192</v>
      </c>
      <c r="J283" s="24" t="n">
        <v>121.112435</v>
      </c>
      <c r="K283" s="23" t="inlineStr">
        <is>
          <t>R</t>
        </is>
      </c>
      <c r="L283" s="25" t="n">
        <v>601</v>
      </c>
      <c r="M283" s="26" t="n">
        <v>4.3</v>
      </c>
      <c r="N283" s="25">
        <f>ROUND(L283/M283, 0)</f>
        <v/>
      </c>
      <c r="O283" s="25">
        <f>ROUND(N283*'Methodology &amp; Assumptions'!$B$7, 0)</f>
        <v/>
      </c>
      <c r="P283" s="23" t="inlineStr">
        <is>
          <t>Single Carrier (Band n50, 100MHz TDD)</t>
        </is>
      </c>
      <c r="Q283" s="27">
        <f>ROUNDUP(O283/'Methodology &amp; Assumptions'!$B$8, 0)</f>
        <v/>
      </c>
      <c r="R283" s="27" t="n">
        <v>1</v>
      </c>
      <c r="S283" s="26" t="n">
        <v>7.89</v>
      </c>
      <c r="T283" s="26" t="n">
        <v>1.46</v>
      </c>
      <c r="U283" s="11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26" t="n">
        <v>49.86</v>
      </c>
      <c r="W283" s="26" t="n">
        <v>78.92</v>
      </c>
      <c r="X283" s="26">
        <f>ROUND(('Methodology &amp; Assumptions'!$B$5*V283) + ('Methodology &amp; Assumptions'!$B$6*W283), 2)</f>
        <v/>
      </c>
      <c r="Y283" s="28" t="n">
        <v>10.9</v>
      </c>
      <c r="Z283" s="11" t="inlineStr">
        <is>
          <t>Priority Tier 2 (Balanced Opportunity)</t>
        </is>
      </c>
    </row>
    <row r="284">
      <c r="A284" s="23" t="n">
        <v>2</v>
      </c>
      <c r="B284" s="23" t="n">
        <v>280</v>
      </c>
      <c r="C284" s="23" t="n">
        <v>1280</v>
      </c>
      <c r="D284" s="23" t="inlineStr">
        <is>
          <t>1403209018</t>
        </is>
      </c>
      <c r="E284" s="11" t="inlineStr">
        <is>
          <t>Cordillera Administrative Region (CAR)</t>
        </is>
      </c>
      <c r="F284" s="11" t="inlineStr">
        <is>
          <t>Kalinga</t>
        </is>
      </c>
      <c r="G284" s="11" t="inlineStr">
        <is>
          <t>Pinukpuk</t>
        </is>
      </c>
      <c r="H284" s="11" t="inlineStr">
        <is>
          <t>Mapaco</t>
        </is>
      </c>
      <c r="I284" s="24" t="n">
        <v>17.600677</v>
      </c>
      <c r="J284" s="24" t="n">
        <v>121.366742</v>
      </c>
      <c r="K284" s="23" t="inlineStr">
        <is>
          <t>R</t>
        </is>
      </c>
      <c r="L284" s="25" t="n">
        <v>932</v>
      </c>
      <c r="M284" s="26" t="n">
        <v>4.3</v>
      </c>
      <c r="N284" s="25">
        <f>ROUND(L284/M284, 0)</f>
        <v/>
      </c>
      <c r="O284" s="25">
        <f>ROUND(N284*'Methodology &amp; Assumptions'!$B$7, 0)</f>
        <v/>
      </c>
      <c r="P284" s="23" t="inlineStr">
        <is>
          <t>Single Carrier (Band n50, 100MHz TDD)</t>
        </is>
      </c>
      <c r="Q284" s="27">
        <f>ROUNDUP(O284/'Methodology &amp; Assumptions'!$B$8, 0)</f>
        <v/>
      </c>
      <c r="R284" s="27" t="n">
        <v>1</v>
      </c>
      <c r="S284" s="26" t="n">
        <v>5.4</v>
      </c>
      <c r="T284" s="26" t="n">
        <v>4.58</v>
      </c>
      <c r="U284" s="11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26" t="n">
        <v>49.37</v>
      </c>
      <c r="W284" s="26" t="n">
        <v>79.41</v>
      </c>
      <c r="X284" s="26">
        <f>ROUND(('Methodology &amp; Assumptions'!$B$5*V284) + ('Methodology &amp; Assumptions'!$B$6*W284), 2)</f>
        <v/>
      </c>
      <c r="Y284" s="28" t="n">
        <v>10.9</v>
      </c>
      <c r="Z284" s="11" t="inlineStr">
        <is>
          <t>Priority Tier 2 (Balanced Opportunity)</t>
        </is>
      </c>
    </row>
    <row r="285">
      <c r="A285" s="23" t="n">
        <v>2</v>
      </c>
      <c r="B285" s="23" t="n">
        <v>281</v>
      </c>
      <c r="C285" s="23" t="n">
        <v>1281</v>
      </c>
      <c r="D285" s="23" t="inlineStr">
        <is>
          <t>0600407013</t>
        </is>
      </c>
      <c r="E285" s="11" t="inlineStr">
        <is>
          <t>Region VI (Western Visayas)</t>
        </is>
      </c>
      <c r="F285" s="11" t="inlineStr">
        <is>
          <t>Aklan</t>
        </is>
      </c>
      <c r="G285" s="11" t="inlineStr">
        <is>
          <t>Kalibo</t>
        </is>
      </c>
      <c r="H285" s="11" t="inlineStr">
        <is>
          <t>Poblacion</t>
        </is>
      </c>
      <c r="I285" s="24" t="n">
        <v>11.710547</v>
      </c>
      <c r="J285" s="24" t="n">
        <v>122.36554</v>
      </c>
      <c r="K285" s="23" t="inlineStr">
        <is>
          <t>U</t>
        </is>
      </c>
      <c r="L285" s="25" t="n">
        <v>12369</v>
      </c>
      <c r="M285" s="26" t="n">
        <v>3.9</v>
      </c>
      <c r="N285" s="25">
        <f>ROUND(L285/M285, 0)</f>
        <v/>
      </c>
      <c r="O285" s="25">
        <f>ROUND(N285*'Methodology &amp; Assumptions'!$B$7, 0)</f>
        <v/>
      </c>
      <c r="P285" s="23" t="inlineStr">
        <is>
          <t>Single Carrier (Band n50, 100MHz TDD)</t>
        </is>
      </c>
      <c r="Q285" s="27">
        <f>ROUNDUP(O285/'Methodology &amp; Assumptions'!$B$8, 0)</f>
        <v/>
      </c>
      <c r="R285" s="27" t="n">
        <v>1</v>
      </c>
      <c r="S285" s="26" t="n">
        <v>1.46</v>
      </c>
      <c r="T285" s="26" t="n">
        <v>0.2</v>
      </c>
      <c r="U285" s="11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26" t="n">
        <v>78.51000000000001</v>
      </c>
      <c r="W285" s="26" t="n">
        <v>50.26</v>
      </c>
      <c r="X285" s="26">
        <f>ROUND(('Methodology &amp; Assumptions'!$B$5*V285) + ('Methodology &amp; Assumptions'!$B$6*W285), 2)</f>
        <v/>
      </c>
      <c r="Y285" s="28" t="n">
        <v>23.7</v>
      </c>
      <c r="Z285" s="11" t="inlineStr">
        <is>
          <t>Priority Tier 2 (Balanced Opportunity)</t>
        </is>
      </c>
    </row>
    <row r="286">
      <c r="A286" s="23" t="n">
        <v>2</v>
      </c>
      <c r="B286" s="23" t="n">
        <v>282</v>
      </c>
      <c r="C286" s="23" t="n">
        <v>1282</v>
      </c>
      <c r="D286" s="23" t="inlineStr">
        <is>
          <t>1380614090</t>
        </is>
      </c>
      <c r="E286" s="11" t="inlineStr">
        <is>
          <t>National Capital Region (NCR)</t>
        </is>
      </c>
      <c r="F286" s="11" t="inlineStr">
        <is>
          <t>First District (Not a Province)</t>
        </is>
      </c>
      <c r="G286" s="11" t="inlineStr">
        <is>
          <t>City of Manila</t>
        </is>
      </c>
      <c r="H286" s="11" t="inlineStr">
        <is>
          <t>Barangay 897</t>
        </is>
      </c>
      <c r="I286" s="24" t="n">
        <v>14.58747</v>
      </c>
      <c r="J286" s="24" t="n">
        <v>121.0182</v>
      </c>
      <c r="K286" s="23" t="inlineStr">
        <is>
          <t>U</t>
        </is>
      </c>
      <c r="L286" s="25" t="n">
        <v>2184</v>
      </c>
      <c r="M286" s="26" t="n">
        <v>3.59</v>
      </c>
      <c r="N286" s="25">
        <f>ROUND(L286/M286, 0)</f>
        <v/>
      </c>
      <c r="O286" s="25">
        <f>ROUND(N286*'Methodology &amp; Assumptions'!$B$7, 0)</f>
        <v/>
      </c>
      <c r="P286" s="23" t="inlineStr">
        <is>
          <t>Single Carrier (Band n50, 100MHz TDD)</t>
        </is>
      </c>
      <c r="Q286" s="27">
        <f>ROUNDUP(O286/'Methodology &amp; Assumptions'!$B$8, 0)</f>
        <v/>
      </c>
      <c r="R286" s="27" t="n">
        <v>1</v>
      </c>
      <c r="S286" s="26" t="n">
        <v>1.14</v>
      </c>
      <c r="T286" s="26" t="n">
        <v>0.3</v>
      </c>
      <c r="U286" s="11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26" t="n">
        <v>59.53</v>
      </c>
      <c r="W286" s="26" t="n">
        <v>69.23</v>
      </c>
      <c r="X286" s="26">
        <f>ROUND(('Methodology &amp; Assumptions'!$B$5*V286) + ('Methodology &amp; Assumptions'!$B$6*W286), 2)</f>
        <v/>
      </c>
      <c r="Y286" s="28" t="n">
        <v>10.9</v>
      </c>
      <c r="Z286" s="11" t="inlineStr">
        <is>
          <t>Priority Tier 2 (Balanced Opportunity)</t>
        </is>
      </c>
    </row>
    <row r="287">
      <c r="A287" s="23" t="n">
        <v>2</v>
      </c>
      <c r="B287" s="23" t="n">
        <v>283</v>
      </c>
      <c r="C287" s="23" t="n">
        <v>1283</v>
      </c>
      <c r="D287" s="23" t="inlineStr">
        <is>
          <t>0301411002</t>
        </is>
      </c>
      <c r="E287" s="11" t="inlineStr">
        <is>
          <t>Region III (Central Luzon)</t>
        </is>
      </c>
      <c r="F287" s="11" t="inlineStr">
        <is>
          <t>Bulacan</t>
        </is>
      </c>
      <c r="G287" s="11" t="inlineStr">
        <is>
          <t>Marilao</t>
        </is>
      </c>
      <c r="H287" s="11" t="inlineStr">
        <is>
          <t>Abangan Sur</t>
        </is>
      </c>
      <c r="I287" s="24" t="n">
        <v>14.767586</v>
      </c>
      <c r="J287" s="24" t="n">
        <v>120.939456</v>
      </c>
      <c r="K287" s="23" t="inlineStr">
        <is>
          <t>U</t>
        </is>
      </c>
      <c r="L287" s="25" t="n">
        <v>11075</v>
      </c>
      <c r="M287" s="26" t="n">
        <v>3.5</v>
      </c>
      <c r="N287" s="25">
        <f>ROUND(L287/M287, 0)</f>
        <v/>
      </c>
      <c r="O287" s="25">
        <f>ROUND(N287*'Methodology &amp; Assumptions'!$B$7, 0)</f>
        <v/>
      </c>
      <c r="P287" s="23" t="inlineStr">
        <is>
          <t>Single Carrier (Band n50, 100MHz TDD)</t>
        </is>
      </c>
      <c r="Q287" s="27">
        <f>ROUNDUP(O287/'Methodology &amp; Assumptions'!$B$8, 0)</f>
        <v/>
      </c>
      <c r="R287" s="27" t="n">
        <v>1</v>
      </c>
      <c r="S287" s="26" t="n">
        <v>0.36</v>
      </c>
      <c r="T287" s="26" t="n">
        <v>0.3</v>
      </c>
      <c r="U287" s="11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26" t="n">
        <v>78.43000000000001</v>
      </c>
      <c r="W287" s="26" t="n">
        <v>50.31</v>
      </c>
      <c r="X287" s="26">
        <f>ROUND(('Methodology &amp; Assumptions'!$B$5*V287) + ('Methodology &amp; Assumptions'!$B$6*W287), 2)</f>
        <v/>
      </c>
      <c r="Y287" s="28" t="n">
        <v>8.300000000000001</v>
      </c>
      <c r="Z287" s="11" t="inlineStr">
        <is>
          <t>Priority Tier 2 (Balanced Opportunity)</t>
        </is>
      </c>
    </row>
    <row r="288">
      <c r="A288" s="23" t="n">
        <v>2</v>
      </c>
      <c r="B288" s="23" t="n">
        <v>284</v>
      </c>
      <c r="C288" s="23" t="n">
        <v>1284</v>
      </c>
      <c r="D288" s="23" t="inlineStr">
        <is>
          <t>0405803006</t>
        </is>
      </c>
      <c r="E288" s="11" t="inlineStr">
        <is>
          <t>Region IV-A (CALABARZON)</t>
        </is>
      </c>
      <c r="F288" s="11" t="inlineStr">
        <is>
          <t>Rizal</t>
        </is>
      </c>
      <c r="G288" s="11" t="inlineStr">
        <is>
          <t>Baras</t>
        </is>
      </c>
      <c r="H288" s="11" t="inlineStr">
        <is>
          <t>Concepcion</t>
        </is>
      </c>
      <c r="I288" s="24" t="n">
        <v>14.581936</v>
      </c>
      <c r="J288" s="24" t="n">
        <v>121.177024</v>
      </c>
      <c r="K288" s="23" t="inlineStr">
        <is>
          <t>R</t>
        </is>
      </c>
      <c r="L288" s="25" t="n">
        <v>1095</v>
      </c>
      <c r="M288" s="26" t="n">
        <v>3.6</v>
      </c>
      <c r="N288" s="25">
        <f>ROUND(L288/M288, 0)</f>
        <v/>
      </c>
      <c r="O288" s="25">
        <f>ROUND(N288*'Methodology &amp; Assumptions'!$B$7, 0)</f>
        <v/>
      </c>
      <c r="P288" s="23" t="inlineStr">
        <is>
          <t>Single Carrier (Band n50, 100MHz TDD)</t>
        </is>
      </c>
      <c r="Q288" s="27">
        <f>ROUNDUP(O288/'Methodology &amp; Assumptions'!$B$8, 0)</f>
        <v/>
      </c>
      <c r="R288" s="27" t="n">
        <v>1</v>
      </c>
      <c r="S288" s="26" t="n">
        <v>0.77</v>
      </c>
      <c r="T288" s="26" t="n">
        <v>0.17</v>
      </c>
      <c r="U288" s="11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26" t="n">
        <v>68.76000000000001</v>
      </c>
      <c r="W288" s="26" t="n">
        <v>59.99</v>
      </c>
      <c r="X288" s="26">
        <f>ROUND(('Methodology &amp; Assumptions'!$B$5*V288) + ('Methodology &amp; Assumptions'!$B$6*W288), 2)</f>
        <v/>
      </c>
      <c r="Y288" s="28" t="n">
        <v>7.2</v>
      </c>
      <c r="Z288" s="11" t="inlineStr">
        <is>
          <t>Priority Tier 2 (Balanced Opportunity)</t>
        </is>
      </c>
    </row>
    <row r="289">
      <c r="A289" s="23" t="n">
        <v>2</v>
      </c>
      <c r="B289" s="23" t="n">
        <v>285</v>
      </c>
      <c r="C289" s="23" t="n">
        <v>1285</v>
      </c>
      <c r="D289" s="23" t="inlineStr">
        <is>
          <t>1401109002</t>
        </is>
      </c>
      <c r="E289" s="11" t="inlineStr">
        <is>
          <t>Cordillera Administrative Region (CAR)</t>
        </is>
      </c>
      <c r="F289" s="11" t="inlineStr">
        <is>
          <t>Benguet</t>
        </is>
      </c>
      <c r="G289" s="11" t="inlineStr">
        <is>
          <t>Kibungan</t>
        </is>
      </c>
      <c r="H289" s="11" t="inlineStr">
        <is>
          <t>Lubo</t>
        </is>
      </c>
      <c r="I289" s="24" t="n">
        <v>16.66147</v>
      </c>
      <c r="J289" s="24" t="n">
        <v>120.73229</v>
      </c>
      <c r="K289" s="23" t="inlineStr">
        <is>
          <t>R</t>
        </is>
      </c>
      <c r="L289" s="25" t="n">
        <v>1437</v>
      </c>
      <c r="M289" s="26" t="n">
        <v>3.5</v>
      </c>
      <c r="N289" s="25">
        <f>ROUND(L289/M289, 0)</f>
        <v/>
      </c>
      <c r="O289" s="25">
        <f>ROUND(N289*'Methodology &amp; Assumptions'!$B$7, 0)</f>
        <v/>
      </c>
      <c r="P289" s="23" t="inlineStr">
        <is>
          <t>Single Carrier (Band n50, 100MHz TDD)</t>
        </is>
      </c>
      <c r="Q289" s="27">
        <f>ROUNDUP(O289/'Methodology &amp; Assumptions'!$B$8, 0)</f>
        <v/>
      </c>
      <c r="R289" s="27" t="n">
        <v>1</v>
      </c>
      <c r="S289" s="26" t="n">
        <v>5.33</v>
      </c>
      <c r="T289" s="26" t="n">
        <v>4.29</v>
      </c>
      <c r="U289" s="11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26" t="n">
        <v>55.69</v>
      </c>
      <c r="W289" s="26" t="n">
        <v>73.06</v>
      </c>
      <c r="X289" s="26">
        <f>ROUND(('Methodology &amp; Assumptions'!$B$5*V289) + ('Methodology &amp; Assumptions'!$B$6*W289), 2)</f>
        <v/>
      </c>
      <c r="Y289" s="28" t="n">
        <v>10.9</v>
      </c>
      <c r="Z289" s="11" t="inlineStr">
        <is>
          <t>Priority Tier 2 (Balanced Opportunity)</t>
        </is>
      </c>
    </row>
    <row r="290">
      <c r="A290" s="23" t="n">
        <v>2</v>
      </c>
      <c r="B290" s="23" t="n">
        <v>286</v>
      </c>
      <c r="C290" s="23" t="n">
        <v>1286</v>
      </c>
      <c r="D290" s="23" t="inlineStr">
        <is>
          <t>1403211016</t>
        </is>
      </c>
      <c r="E290" s="11" t="inlineStr">
        <is>
          <t>Cordillera Administrative Region (CAR)</t>
        </is>
      </c>
      <c r="F290" s="11" t="inlineStr">
        <is>
          <t>Kalinga</t>
        </is>
      </c>
      <c r="G290" s="11" t="inlineStr">
        <is>
          <t>Rizal</t>
        </is>
      </c>
      <c r="H290" s="11" t="inlineStr">
        <is>
          <t>Bulbol</t>
        </is>
      </c>
      <c r="I290" s="24" t="n">
        <v>17.541426</v>
      </c>
      <c r="J290" s="24" t="n">
        <v>121.508028</v>
      </c>
      <c r="K290" s="23" t="inlineStr">
        <is>
          <t>R</t>
        </is>
      </c>
      <c r="L290" s="25" t="n">
        <v>1062</v>
      </c>
      <c r="M290" s="26" t="n">
        <v>3.6</v>
      </c>
      <c r="N290" s="25">
        <f>ROUND(L290/M290, 0)</f>
        <v/>
      </c>
      <c r="O290" s="25">
        <f>ROUND(N290*'Methodology &amp; Assumptions'!$B$7, 0)</f>
        <v/>
      </c>
      <c r="P290" s="23" t="inlineStr">
        <is>
          <t>Single Carrier (Band n50, 100MHz TDD)</t>
        </is>
      </c>
      <c r="Q290" s="27">
        <f>ROUNDUP(O290/'Methodology &amp; Assumptions'!$B$8, 0)</f>
        <v/>
      </c>
      <c r="R290" s="27" t="n">
        <v>1</v>
      </c>
      <c r="S290" s="26" t="n">
        <v>8.369999999999999</v>
      </c>
      <c r="T290" s="26" t="n">
        <v>7.18</v>
      </c>
      <c r="U290" s="11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26" t="n">
        <v>48.21</v>
      </c>
      <c r="W290" s="26" t="n">
        <v>80.52</v>
      </c>
      <c r="X290" s="26">
        <f>ROUND(('Methodology &amp; Assumptions'!$B$5*V290) + ('Methodology &amp; Assumptions'!$B$6*W290), 2)</f>
        <v/>
      </c>
      <c r="Y290" s="28" t="n">
        <v>10.9</v>
      </c>
      <c r="Z290" s="11" t="inlineStr">
        <is>
          <t>Priority Tier 2 (Balanced Opportunity)</t>
        </is>
      </c>
    </row>
    <row r="291">
      <c r="A291" s="23" t="n">
        <v>2</v>
      </c>
      <c r="B291" s="23" t="n">
        <v>287</v>
      </c>
      <c r="C291" s="23" t="n">
        <v>1287</v>
      </c>
      <c r="D291" s="23" t="inlineStr">
        <is>
          <t>1380500026</t>
        </is>
      </c>
      <c r="E291" s="11" t="inlineStr">
        <is>
          <t>National Capital Region (NCR)</t>
        </is>
      </c>
      <c r="F291" s="11" t="inlineStr">
        <is>
          <t>Second District (Not a Province)</t>
        </is>
      </c>
      <c r="G291" s="11" t="inlineStr">
        <is>
          <t>City of Mandaluyong</t>
        </is>
      </c>
      <c r="H291" s="11" t="inlineStr">
        <is>
          <t>Vergara</t>
        </is>
      </c>
      <c r="I291" s="24" t="n">
        <v>14.57807</v>
      </c>
      <c r="J291" s="24" t="n">
        <v>121.0255</v>
      </c>
      <c r="K291" s="23" t="inlineStr">
        <is>
          <t>U</t>
        </is>
      </c>
      <c r="L291" s="25" t="n">
        <v>4740</v>
      </c>
      <c r="M291" s="26" t="n">
        <v>3.88</v>
      </c>
      <c r="N291" s="25">
        <f>ROUND(L291/M291, 0)</f>
        <v/>
      </c>
      <c r="O291" s="25">
        <f>ROUND(N291*'Methodology &amp; Assumptions'!$B$7, 0)</f>
        <v/>
      </c>
      <c r="P291" s="23" t="inlineStr">
        <is>
          <t>Single Carrier (Band n50, 100MHz TDD)</t>
        </is>
      </c>
      <c r="Q291" s="27">
        <f>ROUNDUP(O291/'Methodology &amp; Assumptions'!$B$8, 0)</f>
        <v/>
      </c>
      <c r="R291" s="27" t="n">
        <v>1</v>
      </c>
      <c r="S291" s="26" t="n">
        <v>0.68</v>
      </c>
      <c r="T291" s="26" t="n">
        <v>0.62</v>
      </c>
      <c r="U291" s="11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26" t="n">
        <v>69.09</v>
      </c>
      <c r="W291" s="26" t="n">
        <v>59.63</v>
      </c>
      <c r="X291" s="26">
        <f>ROUND(('Methodology &amp; Assumptions'!$B$5*V291) + ('Methodology &amp; Assumptions'!$B$6*W291), 2)</f>
        <v/>
      </c>
      <c r="Y291" s="28" t="n">
        <v>10.9</v>
      </c>
      <c r="Z291" s="11" t="inlineStr">
        <is>
          <t>Priority Tier 2 (Balanced Opportunity)</t>
        </is>
      </c>
    </row>
    <row r="292">
      <c r="A292" s="23" t="n">
        <v>2</v>
      </c>
      <c r="B292" s="23" t="n">
        <v>288</v>
      </c>
      <c r="C292" s="23" t="n">
        <v>1288</v>
      </c>
      <c r="D292" s="23" t="inlineStr">
        <is>
          <t>1380610028</t>
        </is>
      </c>
      <c r="E292" s="11" t="inlineStr">
        <is>
          <t>National Capital Region (NCR)</t>
        </is>
      </c>
      <c r="F292" s="11" t="inlineStr">
        <is>
          <t>First District (Not a Province)</t>
        </is>
      </c>
      <c r="G292" s="11" t="inlineStr">
        <is>
          <t>City of Manila</t>
        </is>
      </c>
      <c r="H292" s="11" t="inlineStr">
        <is>
          <t>Barangay 713</t>
        </is>
      </c>
      <c r="I292" s="24" t="n">
        <v>14.567227</v>
      </c>
      <c r="J292" s="24" t="n">
        <v>120.991127</v>
      </c>
      <c r="K292" s="23" t="inlineStr">
        <is>
          <t>U</t>
        </is>
      </c>
      <c r="L292" s="25" t="n">
        <v>2091</v>
      </c>
      <c r="M292" s="26" t="n">
        <v>3.99</v>
      </c>
      <c r="N292" s="25">
        <f>ROUND(L292/M292, 0)</f>
        <v/>
      </c>
      <c r="O292" s="25">
        <f>ROUND(N292*'Methodology &amp; Assumptions'!$B$7, 0)</f>
        <v/>
      </c>
      <c r="P292" s="23" t="inlineStr">
        <is>
          <t>Single Carrier (Band n50, 100MHz TDD)</t>
        </is>
      </c>
      <c r="Q292" s="27">
        <f>ROUNDUP(O292/'Methodology &amp; Assumptions'!$B$8, 0)</f>
        <v/>
      </c>
      <c r="R292" s="27" t="n">
        <v>1</v>
      </c>
      <c r="S292" s="26" t="n">
        <v>0.63</v>
      </c>
      <c r="T292" s="26" t="n">
        <v>0.4</v>
      </c>
      <c r="U292" s="11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26" t="n">
        <v>57.91</v>
      </c>
      <c r="W292" s="26" t="n">
        <v>70.81</v>
      </c>
      <c r="X292" s="26">
        <f>ROUND(('Methodology &amp; Assumptions'!$B$5*V292) + ('Methodology &amp; Assumptions'!$B$6*W292), 2)</f>
        <v/>
      </c>
      <c r="Y292" s="28" t="n">
        <v>10.9</v>
      </c>
      <c r="Z292" s="11" t="inlineStr">
        <is>
          <t>Priority Tier 2 (Balanced Opportunity)</t>
        </is>
      </c>
    </row>
    <row r="293">
      <c r="A293" s="23" t="n">
        <v>2</v>
      </c>
      <c r="B293" s="23" t="n">
        <v>289</v>
      </c>
      <c r="C293" s="23" t="n">
        <v>1289</v>
      </c>
      <c r="D293" s="23" t="inlineStr">
        <is>
          <t>1403209019</t>
        </is>
      </c>
      <c r="E293" s="11" t="inlineStr">
        <is>
          <t>Cordillera Administrative Region (CAR)</t>
        </is>
      </c>
      <c r="F293" s="11" t="inlineStr">
        <is>
          <t>Kalinga</t>
        </is>
      </c>
      <c r="G293" s="11" t="inlineStr">
        <is>
          <t>Pinukpuk</t>
        </is>
      </c>
      <c r="H293" s="11" t="inlineStr">
        <is>
          <t>Pakawit</t>
        </is>
      </c>
      <c r="I293" s="24" t="n">
        <v>17.566813</v>
      </c>
      <c r="J293" s="24" t="n">
        <v>121.379892</v>
      </c>
      <c r="K293" s="23" t="inlineStr">
        <is>
          <t>R</t>
        </is>
      </c>
      <c r="L293" s="25" t="n">
        <v>1030</v>
      </c>
      <c r="M293" s="26" t="n">
        <v>4.3</v>
      </c>
      <c r="N293" s="25">
        <f>ROUND(L293/M293, 0)</f>
        <v/>
      </c>
      <c r="O293" s="25">
        <f>ROUND(N293*'Methodology &amp; Assumptions'!$B$7, 0)</f>
        <v/>
      </c>
      <c r="P293" s="23" t="inlineStr">
        <is>
          <t>Single Carrier (Band n50, 100MHz TDD)</t>
        </is>
      </c>
      <c r="Q293" s="27">
        <f>ROUNDUP(O293/'Methodology &amp; Assumptions'!$B$8, 0)</f>
        <v/>
      </c>
      <c r="R293" s="27" t="n">
        <v>1</v>
      </c>
      <c r="S293" s="26" t="n">
        <v>4.29</v>
      </c>
      <c r="T293" s="26" t="n">
        <v>5.51</v>
      </c>
      <c r="U293" s="11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26" t="n">
        <v>52.05</v>
      </c>
      <c r="W293" s="26" t="n">
        <v>76.67</v>
      </c>
      <c r="X293" s="26">
        <f>ROUND(('Methodology &amp; Assumptions'!$B$5*V293) + ('Methodology &amp; Assumptions'!$B$6*W293), 2)</f>
        <v/>
      </c>
      <c r="Y293" s="28" t="n">
        <v>10.9</v>
      </c>
      <c r="Z293" s="11" t="inlineStr">
        <is>
          <t>Priority Tier 2 (Balanced Opportunity)</t>
        </is>
      </c>
    </row>
    <row r="294">
      <c r="A294" s="23" t="n">
        <v>2</v>
      </c>
      <c r="B294" s="23" t="n">
        <v>290</v>
      </c>
      <c r="C294" s="23" t="n">
        <v>1290</v>
      </c>
      <c r="D294" s="23" t="inlineStr">
        <is>
          <t>0803748046</t>
        </is>
      </c>
      <c r="E294" s="11" t="inlineStr">
        <is>
          <t>Region VIII (Eastern Visayas)</t>
        </is>
      </c>
      <c r="F294" s="11" t="inlineStr">
        <is>
          <t>Leyte</t>
        </is>
      </c>
      <c r="G294" s="11" t="inlineStr">
        <is>
          <t>Tanauan</t>
        </is>
      </c>
      <c r="H294" s="11" t="inlineStr">
        <is>
          <t>San Roque</t>
        </is>
      </c>
      <c r="I294" s="24" t="n">
        <v>11.107883</v>
      </c>
      <c r="J294" s="24" t="n">
        <v>125.019747</v>
      </c>
      <c r="K294" s="23" t="inlineStr">
        <is>
          <t>R</t>
        </is>
      </c>
      <c r="L294" s="25" t="n">
        <v>3634</v>
      </c>
      <c r="M294" s="26" t="n">
        <v>3.8</v>
      </c>
      <c r="N294" s="25">
        <f>ROUND(L294/M294, 0)</f>
        <v/>
      </c>
      <c r="O294" s="25">
        <f>ROUND(N294*'Methodology &amp; Assumptions'!$B$7, 0)</f>
        <v/>
      </c>
      <c r="P294" s="23" t="inlineStr">
        <is>
          <t>Single Carrier (Band n50, 100MHz TDD)</t>
        </is>
      </c>
      <c r="Q294" s="27">
        <f>ROUNDUP(O294/'Methodology &amp; Assumptions'!$B$8, 0)</f>
        <v/>
      </c>
      <c r="R294" s="27" t="n">
        <v>1</v>
      </c>
      <c r="S294" s="26" t="n">
        <v>0.29</v>
      </c>
      <c r="T294" s="26" t="n">
        <v>0.21</v>
      </c>
      <c r="U294" s="11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26" t="n">
        <v>88.06</v>
      </c>
      <c r="W294" s="26" t="n">
        <v>40.64</v>
      </c>
      <c r="X294" s="26">
        <f>ROUND(('Methodology &amp; Assumptions'!$B$5*V294) + ('Methodology &amp; Assumptions'!$B$6*W294), 2)</f>
        <v/>
      </c>
      <c r="Y294" s="28" t="n">
        <v>23.7</v>
      </c>
      <c r="Z294" s="11" t="inlineStr">
        <is>
          <t>Priority Tier 2 (Balanced Opportunity)</t>
        </is>
      </c>
    </row>
    <row r="295">
      <c r="A295" s="23" t="n">
        <v>2</v>
      </c>
      <c r="B295" s="23" t="n">
        <v>291</v>
      </c>
      <c r="C295" s="23" t="n">
        <v>1291</v>
      </c>
      <c r="D295" s="23" t="inlineStr">
        <is>
          <t>0402120034</t>
        </is>
      </c>
      <c r="E295" s="11" t="inlineStr">
        <is>
          <t>Region IV-A (CALABARZON)</t>
        </is>
      </c>
      <c r="F295" s="11" t="inlineStr">
        <is>
          <t>Cavite</t>
        </is>
      </c>
      <c r="G295" s="11" t="inlineStr">
        <is>
          <t>Tanza</t>
        </is>
      </c>
      <c r="H295" s="11" t="inlineStr">
        <is>
          <t>Daang Amaya II</t>
        </is>
      </c>
      <c r="I295" s="24" t="n">
        <v>14.396073</v>
      </c>
      <c r="J295" s="24" t="n">
        <v>120.853592</v>
      </c>
      <c r="K295" s="23" t="inlineStr">
        <is>
          <t>U</t>
        </is>
      </c>
      <c r="L295" s="25" t="n">
        <v>7228</v>
      </c>
      <c r="M295" s="26" t="n">
        <v>3.4</v>
      </c>
      <c r="N295" s="25">
        <f>ROUND(L295/M295, 0)</f>
        <v/>
      </c>
      <c r="O295" s="25">
        <f>ROUND(N295*'Methodology &amp; Assumptions'!$B$7, 0)</f>
        <v/>
      </c>
      <c r="P295" s="23" t="inlineStr">
        <is>
          <t>Single Carrier (Band n50, 100MHz TDD)</t>
        </is>
      </c>
      <c r="Q295" s="27">
        <f>ROUNDUP(O295/'Methodology &amp; Assumptions'!$B$8, 0)</f>
        <v/>
      </c>
      <c r="R295" s="27" t="n">
        <v>1</v>
      </c>
      <c r="S295" s="26" t="n">
        <v>0.9399999999999999</v>
      </c>
      <c r="T295" s="26" t="n">
        <v>0.34</v>
      </c>
      <c r="U295" s="11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26" t="n">
        <v>77.87</v>
      </c>
      <c r="W295" s="26" t="n">
        <v>50.82</v>
      </c>
      <c r="X295" s="26">
        <f>ROUND(('Methodology &amp; Assumptions'!$B$5*V295) + ('Methodology &amp; Assumptions'!$B$6*W295), 2)</f>
        <v/>
      </c>
      <c r="Y295" s="28" t="n">
        <v>7.2</v>
      </c>
      <c r="Z295" s="11" t="inlineStr">
        <is>
          <t>Priority Tier 2 (Balanced Opportunity)</t>
        </is>
      </c>
    </row>
    <row r="296">
      <c r="A296" s="23" t="n">
        <v>2</v>
      </c>
      <c r="B296" s="23" t="n">
        <v>292</v>
      </c>
      <c r="C296" s="23" t="n">
        <v>1292</v>
      </c>
      <c r="D296" s="23" t="inlineStr">
        <is>
          <t>1380611041</t>
        </is>
      </c>
      <c r="E296" s="11" t="inlineStr">
        <is>
          <t>National Capital Region (NCR)</t>
        </is>
      </c>
      <c r="F296" s="11" t="inlineStr">
        <is>
          <t>First District (Not a Province)</t>
        </is>
      </c>
      <c r="G296" s="11" t="inlineStr">
        <is>
          <t>City of Manila</t>
        </is>
      </c>
      <c r="H296" s="11" t="inlineStr">
        <is>
          <t>Barangay 826</t>
        </is>
      </c>
      <c r="I296" s="24" t="n">
        <v>14.584733</v>
      </c>
      <c r="J296" s="24" t="n">
        <v>120.99855</v>
      </c>
      <c r="K296" s="23" t="inlineStr">
        <is>
          <t>U</t>
        </is>
      </c>
      <c r="L296" s="25" t="n">
        <v>2048</v>
      </c>
      <c r="M296" s="26" t="n">
        <v>3.76</v>
      </c>
      <c r="N296" s="25">
        <f>ROUND(L296/M296, 0)</f>
        <v/>
      </c>
      <c r="O296" s="25">
        <f>ROUND(N296*'Methodology &amp; Assumptions'!$B$7, 0)</f>
        <v/>
      </c>
      <c r="P296" s="23" t="inlineStr">
        <is>
          <t>Single Carrier (Band n50, 100MHz TDD)</t>
        </is>
      </c>
      <c r="Q296" s="27">
        <f>ROUNDUP(O296/'Methodology &amp; Assumptions'!$B$8, 0)</f>
        <v/>
      </c>
      <c r="R296" s="27" t="n">
        <v>1</v>
      </c>
      <c r="S296" s="26" t="n">
        <v>0.46</v>
      </c>
      <c r="T296" s="26" t="n">
        <v>0.26</v>
      </c>
      <c r="U296" s="11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26" t="n">
        <v>58.55</v>
      </c>
      <c r="W296" s="26" t="n">
        <v>70.14</v>
      </c>
      <c r="X296" s="26">
        <f>ROUND(('Methodology &amp; Assumptions'!$B$5*V296) + ('Methodology &amp; Assumptions'!$B$6*W296), 2)</f>
        <v/>
      </c>
      <c r="Y296" s="28" t="n">
        <v>10.9</v>
      </c>
      <c r="Z296" s="11" t="inlineStr">
        <is>
          <t>Priority Tier 2 (Balanced Opportunity)</t>
        </is>
      </c>
    </row>
    <row r="297">
      <c r="A297" s="23" t="n">
        <v>2</v>
      </c>
      <c r="B297" s="23" t="n">
        <v>293</v>
      </c>
      <c r="C297" s="23" t="n">
        <v>1293</v>
      </c>
      <c r="D297" s="23" t="inlineStr">
        <is>
          <t>1380614067</t>
        </is>
      </c>
      <c r="E297" s="11" t="inlineStr">
        <is>
          <t>National Capital Region (NCR)</t>
        </is>
      </c>
      <c r="F297" s="11" t="inlineStr">
        <is>
          <t>First District (Not a Province)</t>
        </is>
      </c>
      <c r="G297" s="11" t="inlineStr">
        <is>
          <t>City of Manila</t>
        </is>
      </c>
      <c r="H297" s="11" t="inlineStr">
        <is>
          <t>Barangay 874</t>
        </is>
      </c>
      <c r="I297" s="24" t="n">
        <v>14.577358</v>
      </c>
      <c r="J297" s="24" t="n">
        <v>121.011528</v>
      </c>
      <c r="K297" s="23" t="inlineStr">
        <is>
          <t>U</t>
        </is>
      </c>
      <c r="L297" s="25" t="n">
        <v>2030</v>
      </c>
      <c r="M297" s="26" t="n">
        <v>3.47</v>
      </c>
      <c r="N297" s="25">
        <f>ROUND(L297/M297, 0)</f>
        <v/>
      </c>
      <c r="O297" s="25">
        <f>ROUND(N297*'Methodology &amp; Assumptions'!$B$7, 0)</f>
        <v/>
      </c>
      <c r="P297" s="23" t="inlineStr">
        <is>
          <t>Single Carrier (Band n50, 100MHz TDD)</t>
        </is>
      </c>
      <c r="Q297" s="27">
        <f>ROUNDUP(O297/'Methodology &amp; Assumptions'!$B$8, 0)</f>
        <v/>
      </c>
      <c r="R297" s="27" t="n">
        <v>1</v>
      </c>
      <c r="S297" s="26" t="n">
        <v>1.23</v>
      </c>
      <c r="T297" s="26" t="n">
        <v>0.22</v>
      </c>
      <c r="U297" s="11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26" t="n">
        <v>58.47</v>
      </c>
      <c r="W297" s="26" t="n">
        <v>70.22</v>
      </c>
      <c r="X297" s="26">
        <f>ROUND(('Methodology &amp; Assumptions'!$B$5*V297) + ('Methodology &amp; Assumptions'!$B$6*W297), 2)</f>
        <v/>
      </c>
      <c r="Y297" s="28" t="n">
        <v>10.9</v>
      </c>
      <c r="Z297" s="11" t="inlineStr">
        <is>
          <t>Priority Tier 2 (Balanced Opportunity)</t>
        </is>
      </c>
    </row>
    <row r="298">
      <c r="A298" s="23" t="n">
        <v>2</v>
      </c>
      <c r="B298" s="23" t="n">
        <v>294</v>
      </c>
      <c r="C298" s="23" t="n">
        <v>1294</v>
      </c>
      <c r="D298" s="23" t="inlineStr">
        <is>
          <t>0300809005</t>
        </is>
      </c>
      <c r="E298" s="11" t="inlineStr">
        <is>
          <t>Region III (Central Luzon)</t>
        </is>
      </c>
      <c r="F298" s="11" t="inlineStr">
        <is>
          <t>Bataan</t>
        </is>
      </c>
      <c r="G298" s="11" t="inlineStr">
        <is>
          <t>Orani</t>
        </is>
      </c>
      <c r="H298" s="11" t="inlineStr">
        <is>
          <t>Paking-Carbonero</t>
        </is>
      </c>
      <c r="I298" s="24" t="n">
        <v>14.806182</v>
      </c>
      <c r="J298" s="24" t="n">
        <v>120.537624</v>
      </c>
      <c r="K298" s="23" t="inlineStr">
        <is>
          <t>R</t>
        </is>
      </c>
      <c r="L298" s="25" t="n">
        <v>968</v>
      </c>
      <c r="M298" s="26" t="n">
        <v>3.6</v>
      </c>
      <c r="N298" s="25">
        <f>ROUND(L298/M298, 0)</f>
        <v/>
      </c>
      <c r="O298" s="25">
        <f>ROUND(N298*'Methodology &amp; Assumptions'!$B$7, 0)</f>
        <v/>
      </c>
      <c r="P298" s="23" t="inlineStr">
        <is>
          <t>Single Carrier (Band n50, 100MHz TDD)</t>
        </is>
      </c>
      <c r="Q298" s="27">
        <f>ROUNDUP(O298/'Methodology &amp; Assumptions'!$B$8, 0)</f>
        <v/>
      </c>
      <c r="R298" s="27" t="n">
        <v>1</v>
      </c>
      <c r="S298" s="26" t="n">
        <v>0.47</v>
      </c>
      <c r="T298" s="26" t="n">
        <v>0.48</v>
      </c>
      <c r="U298" s="11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26" t="n">
        <v>67.8</v>
      </c>
      <c r="W298" s="26" t="n">
        <v>60.87</v>
      </c>
      <c r="X298" s="26">
        <f>ROUND(('Methodology &amp; Assumptions'!$B$5*V298) + ('Methodology &amp; Assumptions'!$B$6*W298), 2)</f>
        <v/>
      </c>
      <c r="Y298" s="28" t="n">
        <v>8.300000000000001</v>
      </c>
      <c r="Z298" s="11" t="inlineStr">
        <is>
          <t>Priority Tier 2 (Balanced Opportunity)</t>
        </is>
      </c>
    </row>
    <row r="299">
      <c r="A299" s="23" t="n">
        <v>2</v>
      </c>
      <c r="B299" s="23" t="n">
        <v>295</v>
      </c>
      <c r="C299" s="23" t="n">
        <v>1295</v>
      </c>
      <c r="D299" s="23" t="inlineStr">
        <is>
          <t>0401029032</t>
        </is>
      </c>
      <c r="E299" s="11" t="inlineStr">
        <is>
          <t>Region IV-A (CALABARZON)</t>
        </is>
      </c>
      <c r="F299" s="11" t="inlineStr">
        <is>
          <t>Batangas</t>
        </is>
      </c>
      <c r="G299" s="11" t="inlineStr">
        <is>
          <t>Taal</t>
        </is>
      </c>
      <c r="H299" s="11" t="inlineStr">
        <is>
          <t>Poblacion 8</t>
        </is>
      </c>
      <c r="I299" s="24" t="n">
        <v>13.877103</v>
      </c>
      <c r="J299" s="24" t="n">
        <v>120.926674</v>
      </c>
      <c r="K299" s="23" t="inlineStr">
        <is>
          <t>R</t>
        </is>
      </c>
      <c r="L299" s="25" t="n">
        <v>1335</v>
      </c>
      <c r="M299" s="26" t="n">
        <v>3.6</v>
      </c>
      <c r="N299" s="25">
        <f>ROUND(L299/M299, 0)</f>
        <v/>
      </c>
      <c r="O299" s="25">
        <f>ROUND(N299*'Methodology &amp; Assumptions'!$B$7, 0)</f>
        <v/>
      </c>
      <c r="P299" s="23" t="inlineStr">
        <is>
          <t>Single Carrier (Band n50, 100MHz TDD)</t>
        </is>
      </c>
      <c r="Q299" s="27">
        <f>ROUNDUP(O299/'Methodology &amp; Assumptions'!$B$8, 0)</f>
        <v/>
      </c>
      <c r="R299" s="27" t="n">
        <v>1</v>
      </c>
      <c r="S299" s="26" t="n">
        <v>1.06</v>
      </c>
      <c r="T299" s="26" t="n">
        <v>1.67</v>
      </c>
      <c r="U299" s="11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26" t="n">
        <v>70.11</v>
      </c>
      <c r="W299" s="26" t="n">
        <v>58.55</v>
      </c>
      <c r="X299" s="26">
        <f>ROUND(('Methodology &amp; Assumptions'!$B$5*V299) + ('Methodology &amp; Assumptions'!$B$6*W299), 2)</f>
        <v/>
      </c>
      <c r="Y299" s="28" t="n">
        <v>7.2</v>
      </c>
      <c r="Z299" s="11" t="inlineStr">
        <is>
          <t>Priority Tier 2 (Balanced Opportunity)</t>
        </is>
      </c>
    </row>
    <row r="300">
      <c r="A300" s="23" t="n">
        <v>2</v>
      </c>
      <c r="B300" s="23" t="n">
        <v>296</v>
      </c>
      <c r="C300" s="23" t="n">
        <v>1296</v>
      </c>
      <c r="D300" s="23" t="inlineStr">
        <is>
          <t>1380612008</t>
        </is>
      </c>
      <c r="E300" s="11" t="inlineStr">
        <is>
          <t>National Capital Region (NCR)</t>
        </is>
      </c>
      <c r="F300" s="11" t="inlineStr">
        <is>
          <t>First District (Not a Province)</t>
        </is>
      </c>
      <c r="G300" s="11" t="inlineStr">
        <is>
          <t>City of Manila</t>
        </is>
      </c>
      <c r="H300" s="11" t="inlineStr">
        <is>
          <t>Barangay 840</t>
        </is>
      </c>
      <c r="I300" s="24" t="n">
        <v>14.591436</v>
      </c>
      <c r="J300" s="24" t="n">
        <v>121.010909</v>
      </c>
      <c r="K300" s="23" t="inlineStr">
        <is>
          <t>U</t>
        </is>
      </c>
      <c r="L300" s="25" t="n">
        <v>2820</v>
      </c>
      <c r="M300" s="26" t="n">
        <v>4.46</v>
      </c>
      <c r="N300" s="25">
        <f>ROUND(L300/M300, 0)</f>
        <v/>
      </c>
      <c r="O300" s="25">
        <f>ROUND(N300*'Methodology &amp; Assumptions'!$B$7, 0)</f>
        <v/>
      </c>
      <c r="P300" s="23" t="inlineStr">
        <is>
          <t>Single Carrier (Band n50, 100MHz TDD)</t>
        </is>
      </c>
      <c r="Q300" s="27">
        <f>ROUNDUP(O300/'Methodology &amp; Assumptions'!$B$8, 0)</f>
        <v/>
      </c>
      <c r="R300" s="27" t="n">
        <v>1</v>
      </c>
      <c r="S300" s="26" t="n">
        <v>1.17</v>
      </c>
      <c r="T300" s="26" t="n">
        <v>1.01</v>
      </c>
      <c r="U300" s="11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26" t="n">
        <v>60.16</v>
      </c>
      <c r="W300" s="26" t="n">
        <v>68.48999999999999</v>
      </c>
      <c r="X300" s="26">
        <f>ROUND(('Methodology &amp; Assumptions'!$B$5*V300) + ('Methodology &amp; Assumptions'!$B$6*W300), 2)</f>
        <v/>
      </c>
      <c r="Y300" s="28" t="n">
        <v>10.9</v>
      </c>
      <c r="Z300" s="11" t="inlineStr">
        <is>
          <t>Priority Tier 2 (Balanced Opportunity)</t>
        </is>
      </c>
    </row>
    <row r="301">
      <c r="A301" s="23" t="n">
        <v>2</v>
      </c>
      <c r="B301" s="23" t="n">
        <v>297</v>
      </c>
      <c r="C301" s="23" t="n">
        <v>1297</v>
      </c>
      <c r="D301" s="23" t="inlineStr">
        <is>
          <t>0506211007</t>
        </is>
      </c>
      <c r="E301" s="11" t="inlineStr">
        <is>
          <t>Region V (Bicol Region)</t>
        </is>
      </c>
      <c r="F301" s="11" t="inlineStr">
        <is>
          <t>Sorsogon</t>
        </is>
      </c>
      <c r="G301" s="11" t="inlineStr">
        <is>
          <t>Magallanes</t>
        </is>
      </c>
      <c r="H301" s="11" t="inlineStr">
        <is>
          <t>Biga</t>
        </is>
      </c>
      <c r="I301" s="24" t="n">
        <v>12.835075</v>
      </c>
      <c r="J301" s="24" t="n">
        <v>123.797759</v>
      </c>
      <c r="K301" s="23" t="inlineStr">
        <is>
          <t>R</t>
        </is>
      </c>
      <c r="L301" s="25" t="n">
        <v>1330</v>
      </c>
      <c r="M301" s="26" t="n">
        <v>4</v>
      </c>
      <c r="N301" s="25">
        <f>ROUND(L301/M301, 0)</f>
        <v/>
      </c>
      <c r="O301" s="25">
        <f>ROUND(N301*'Methodology &amp; Assumptions'!$B$7, 0)</f>
        <v/>
      </c>
      <c r="P301" s="23" t="inlineStr">
        <is>
          <t>Single Carrier (Band n50, 100MHz TDD)</t>
        </is>
      </c>
      <c r="Q301" s="27">
        <f>ROUNDUP(O301/'Methodology &amp; Assumptions'!$B$8, 0)</f>
        <v/>
      </c>
      <c r="R301" s="27" t="n">
        <v>1</v>
      </c>
      <c r="S301" s="26" t="n">
        <v>4.8</v>
      </c>
      <c r="T301" s="26" t="n">
        <v>3.91</v>
      </c>
      <c r="U301" s="11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26" t="n">
        <v>56.96</v>
      </c>
      <c r="W301" s="26" t="n">
        <v>71.7</v>
      </c>
      <c r="X301" s="26">
        <f>ROUND(('Methodology &amp; Assumptions'!$B$5*V301) + ('Methodology &amp; Assumptions'!$B$6*W301), 2)</f>
        <v/>
      </c>
      <c r="Y301" s="28" t="n">
        <v>23.7</v>
      </c>
      <c r="Z301" s="11" t="inlineStr">
        <is>
          <t>Priority Tier 2 (Balanced Opportunity)</t>
        </is>
      </c>
    </row>
    <row r="302">
      <c r="A302" s="23" t="n">
        <v>2</v>
      </c>
      <c r="B302" s="23" t="n">
        <v>298</v>
      </c>
      <c r="C302" s="23" t="n">
        <v>1298</v>
      </c>
      <c r="D302" s="23" t="inlineStr">
        <is>
          <t>0403420007</t>
        </is>
      </c>
      <c r="E302" s="11" t="inlineStr">
        <is>
          <t>Region IV-A (CALABARZON)</t>
        </is>
      </c>
      <c r="F302" s="11" t="inlineStr">
        <is>
          <t>Laguna</t>
        </is>
      </c>
      <c r="G302" s="11" t="inlineStr">
        <is>
          <t>Pakil</t>
        </is>
      </c>
      <c r="H302" s="11" t="inlineStr">
        <is>
          <t>Gonzales</t>
        </is>
      </c>
      <c r="I302" s="24" t="n">
        <v>14.384291</v>
      </c>
      <c r="J302" s="24" t="n">
        <v>121.477375</v>
      </c>
      <c r="K302" s="23" t="inlineStr">
        <is>
          <t>R</t>
        </is>
      </c>
      <c r="L302" s="25" t="n">
        <v>2865</v>
      </c>
      <c r="M302" s="26" t="n">
        <v>3.3</v>
      </c>
      <c r="N302" s="25">
        <f>ROUND(L302/M302, 0)</f>
        <v/>
      </c>
      <c r="O302" s="25">
        <f>ROUND(N302*'Methodology &amp; Assumptions'!$B$7, 0)</f>
        <v/>
      </c>
      <c r="P302" s="23" t="inlineStr">
        <is>
          <t>Single Carrier (Band n50, 100MHz TDD)</t>
        </is>
      </c>
      <c r="Q302" s="27">
        <f>ROUNDUP(O302/'Methodology &amp; Assumptions'!$B$8, 0)</f>
        <v/>
      </c>
      <c r="R302" s="27" t="n">
        <v>1</v>
      </c>
      <c r="S302" s="26" t="n">
        <v>0.58</v>
      </c>
      <c r="T302" s="26" t="n">
        <v>0.19</v>
      </c>
      <c r="U302" s="11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26" t="n">
        <v>85.45999999999999</v>
      </c>
      <c r="W302" s="26" t="n">
        <v>43.18</v>
      </c>
      <c r="X302" s="26">
        <f>ROUND(('Methodology &amp; Assumptions'!$B$5*V302) + ('Methodology &amp; Assumptions'!$B$6*W302), 2)</f>
        <v/>
      </c>
      <c r="Y302" s="28" t="n">
        <v>7.2</v>
      </c>
      <c r="Z302" s="11" t="inlineStr">
        <is>
          <t>Priority Tier 2 (Balanced Opportunity)</t>
        </is>
      </c>
    </row>
    <row r="303">
      <c r="A303" s="23" t="n">
        <v>2</v>
      </c>
      <c r="B303" s="23" t="n">
        <v>299</v>
      </c>
      <c r="C303" s="23" t="n">
        <v>1299</v>
      </c>
      <c r="D303" s="23" t="inlineStr">
        <is>
          <t>0506203038</t>
        </is>
      </c>
      <c r="E303" s="11" t="inlineStr">
        <is>
          <t>Region V (Bicol Region)</t>
        </is>
      </c>
      <c r="F303" s="11" t="inlineStr">
        <is>
          <t>Sorsogon</t>
        </is>
      </c>
      <c r="G303" s="11" t="inlineStr">
        <is>
          <t>Bulan</t>
        </is>
      </c>
      <c r="H303" s="11" t="inlineStr">
        <is>
          <t>Obrero</t>
        </is>
      </c>
      <c r="I303" s="24" t="n">
        <v>12.667778</v>
      </c>
      <c r="J303" s="24" t="n">
        <v>123.878678</v>
      </c>
      <c r="K303" s="23" t="inlineStr">
        <is>
          <t>R</t>
        </is>
      </c>
      <c r="L303" s="25" t="n">
        <v>2985</v>
      </c>
      <c r="M303" s="26" t="n">
        <v>4</v>
      </c>
      <c r="N303" s="25">
        <f>ROUND(L303/M303, 0)</f>
        <v/>
      </c>
      <c r="O303" s="25">
        <f>ROUND(N303*'Methodology &amp; Assumptions'!$B$7, 0)</f>
        <v/>
      </c>
      <c r="P303" s="23" t="inlineStr">
        <is>
          <t>Single Carrier (Band n50, 100MHz TDD)</t>
        </is>
      </c>
      <c r="Q303" s="27">
        <f>ROUNDUP(O303/'Methodology &amp; Assumptions'!$B$8, 0)</f>
        <v/>
      </c>
      <c r="R303" s="27" t="n">
        <v>1</v>
      </c>
      <c r="S303" s="26" t="n">
        <v>0.67</v>
      </c>
      <c r="T303" s="26" t="n">
        <v>0.33</v>
      </c>
      <c r="U303" s="11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26" t="n">
        <v>84.17</v>
      </c>
      <c r="W303" s="26" t="n">
        <v>44.48</v>
      </c>
      <c r="X303" s="26">
        <f>ROUND(('Methodology &amp; Assumptions'!$B$5*V303) + ('Methodology &amp; Assumptions'!$B$6*W303), 2)</f>
        <v/>
      </c>
      <c r="Y303" s="28" t="n">
        <v>23.7</v>
      </c>
      <c r="Z303" s="11" t="inlineStr">
        <is>
          <t>Priority Tier 2 (Balanced Opportunity)</t>
        </is>
      </c>
    </row>
    <row r="304">
      <c r="A304" s="23" t="n">
        <v>2</v>
      </c>
      <c r="B304" s="23" t="n">
        <v>300</v>
      </c>
      <c r="C304" s="23" t="n">
        <v>1300</v>
      </c>
      <c r="D304" s="23" t="inlineStr">
        <is>
          <t>0604515021</t>
        </is>
      </c>
      <c r="E304" s="11" t="inlineStr">
        <is>
          <t>Region VI (Western Visayas)</t>
        </is>
      </c>
      <c r="F304" s="11" t="inlineStr">
        <is>
          <t>Negros Occidental</t>
        </is>
      </c>
      <c r="G304" s="11" t="inlineStr">
        <is>
          <t>City of Kabankalan</t>
        </is>
      </c>
      <c r="H304" s="11" t="inlineStr">
        <is>
          <t>Barangay 1</t>
        </is>
      </c>
      <c r="I304" s="24" t="n">
        <v>9.995189</v>
      </c>
      <c r="J304" s="24" t="n">
        <v>122.817865</v>
      </c>
      <c r="K304" s="23" t="inlineStr">
        <is>
          <t>U</t>
        </is>
      </c>
      <c r="L304" s="25" t="n">
        <v>6557</v>
      </c>
      <c r="M304" s="26" t="n">
        <v>3.7</v>
      </c>
      <c r="N304" s="25">
        <f>ROUND(L304/M304, 0)</f>
        <v/>
      </c>
      <c r="O304" s="25">
        <f>ROUND(N304*'Methodology &amp; Assumptions'!$B$7, 0)</f>
        <v/>
      </c>
      <c r="P304" s="23" t="inlineStr">
        <is>
          <t>Single Carrier (Band n50, 100MHz TDD)</t>
        </is>
      </c>
      <c r="Q304" s="27">
        <f>ROUNDUP(O304/'Methodology &amp; Assumptions'!$B$8, 0)</f>
        <v/>
      </c>
      <c r="R304" s="27" t="n">
        <v>1</v>
      </c>
      <c r="S304" s="26" t="n">
        <v>0.57</v>
      </c>
      <c r="T304" s="26" t="n">
        <v>0.26</v>
      </c>
      <c r="U304" s="11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26" t="n">
        <v>80.86</v>
      </c>
      <c r="W304" s="26" t="n">
        <v>47.78</v>
      </c>
      <c r="X304" s="26">
        <f>ROUND(('Methodology &amp; Assumptions'!$B$5*V304) + ('Methodology &amp; Assumptions'!$B$6*W304), 2)</f>
        <v/>
      </c>
      <c r="Y304" s="28" t="n">
        <v>23.7</v>
      </c>
      <c r="Z304" s="11" t="inlineStr">
        <is>
          <t>Priority Tier 2 (Balanced Opportunity)</t>
        </is>
      </c>
    </row>
    <row r="305">
      <c r="A305" s="23" t="n">
        <v>2</v>
      </c>
      <c r="B305" s="23" t="n">
        <v>301</v>
      </c>
      <c r="C305" s="23" t="n">
        <v>1301</v>
      </c>
      <c r="D305" s="23" t="inlineStr">
        <is>
          <t>0203135020</t>
        </is>
      </c>
      <c r="E305" s="11" t="inlineStr">
        <is>
          <t>Region II (Cagayan Valley)</t>
        </is>
      </c>
      <c r="F305" s="11" t="inlineStr">
        <is>
          <t>Isabela</t>
        </is>
      </c>
      <c r="G305" s="11" t="inlineStr">
        <is>
          <t>City of Santiago</t>
        </is>
      </c>
      <c r="H305" s="11" t="inlineStr">
        <is>
          <t>Malvar</t>
        </is>
      </c>
      <c r="I305" s="24" t="n">
        <v>16.686115</v>
      </c>
      <c r="J305" s="24" t="n">
        <v>121.553364</v>
      </c>
      <c r="K305" s="23" t="inlineStr">
        <is>
          <t>U</t>
        </is>
      </c>
      <c r="L305" s="25" t="n">
        <v>5125</v>
      </c>
      <c r="M305" s="26" t="n">
        <v>3.8</v>
      </c>
      <c r="N305" s="25">
        <f>ROUND(L305/M305, 0)</f>
        <v/>
      </c>
      <c r="O305" s="25">
        <f>ROUND(N305*'Methodology &amp; Assumptions'!$B$7, 0)</f>
        <v/>
      </c>
      <c r="P305" s="23" t="inlineStr">
        <is>
          <t>Single Carrier (Band n50, 100MHz TDD)</t>
        </is>
      </c>
      <c r="Q305" s="27">
        <f>ROUNDUP(O305/'Methodology &amp; Assumptions'!$B$8, 0)</f>
        <v/>
      </c>
      <c r="R305" s="27" t="n">
        <v>1</v>
      </c>
      <c r="S305" s="26" t="n">
        <v>2.84</v>
      </c>
      <c r="T305" s="26" t="n">
        <v>0.18</v>
      </c>
      <c r="U305" s="11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26" t="n">
        <v>71.45999999999999</v>
      </c>
      <c r="W305" s="26" t="n">
        <v>57.18</v>
      </c>
      <c r="X305" s="26">
        <f>ROUND(('Methodology &amp; Assumptions'!$B$5*V305) + ('Methodology &amp; Assumptions'!$B$6*W305), 2)</f>
        <v/>
      </c>
      <c r="Y305" s="28" t="n">
        <v>8.300000000000001</v>
      </c>
      <c r="Z305" s="11" t="inlineStr">
        <is>
          <t>Priority Tier 2 (Balanced Opportunity)</t>
        </is>
      </c>
    </row>
    <row r="306">
      <c r="A306" s="23" t="n">
        <v>2</v>
      </c>
      <c r="B306" s="23" t="n">
        <v>302</v>
      </c>
      <c r="C306" s="23" t="n">
        <v>1302</v>
      </c>
      <c r="D306" s="23" t="inlineStr">
        <is>
          <t>1381600017</t>
        </is>
      </c>
      <c r="E306" s="11" t="inlineStr">
        <is>
          <t>National Capital Region (NCR)</t>
        </is>
      </c>
      <c r="F306" s="11" t="inlineStr">
        <is>
          <t>Third District (Not a Province)</t>
        </is>
      </c>
      <c r="G306" s="11" t="inlineStr">
        <is>
          <t>City of Valenzuela</t>
        </is>
      </c>
      <c r="H306" s="11" t="inlineStr">
        <is>
          <t>Malinta</t>
        </is>
      </c>
      <c r="I306" s="24" t="n">
        <v>14.688624</v>
      </c>
      <c r="J306" s="24" t="n">
        <v>120.964371</v>
      </c>
      <c r="K306" s="23" t="inlineStr">
        <is>
          <t>U</t>
        </is>
      </c>
      <c r="L306" s="25" t="n">
        <v>53486</v>
      </c>
      <c r="M306" s="26" t="n">
        <v>3.64</v>
      </c>
      <c r="N306" s="25">
        <f>ROUND(L306/M306, 0)</f>
        <v/>
      </c>
      <c r="O306" s="25">
        <f>ROUND(N306*'Methodology &amp; Assumptions'!$B$7, 0)</f>
        <v/>
      </c>
      <c r="P306" s="23" t="inlineStr">
        <is>
          <t>Single Carrier (Band n50, 100MHz TDD)</t>
        </is>
      </c>
      <c r="Q306" s="27">
        <f>ROUNDUP(O306/'Methodology &amp; Assumptions'!$B$8, 0)</f>
        <v/>
      </c>
      <c r="R306" s="27" t="n">
        <v>1</v>
      </c>
      <c r="S306" s="26" t="n">
        <v>0.88</v>
      </c>
      <c r="T306" s="26" t="n">
        <v>0.33</v>
      </c>
      <c r="U306" s="11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26" t="n">
        <v>66.02</v>
      </c>
      <c r="W306" s="26" t="n">
        <v>62.62</v>
      </c>
      <c r="X306" s="26">
        <f>ROUND(('Methodology &amp; Assumptions'!$B$5*V306) + ('Methodology &amp; Assumptions'!$B$6*W306), 2)</f>
        <v/>
      </c>
      <c r="Y306" s="28" t="n">
        <v>10.9</v>
      </c>
      <c r="Z306" s="11" t="inlineStr">
        <is>
          <t>Priority Tier 2 (Balanced Opportunity)</t>
        </is>
      </c>
    </row>
    <row r="307">
      <c r="A307" s="23" t="n">
        <v>2</v>
      </c>
      <c r="B307" s="23" t="n">
        <v>303</v>
      </c>
      <c r="C307" s="23" t="n">
        <v>1303</v>
      </c>
      <c r="D307" s="23" t="inlineStr">
        <is>
          <t>1908702011</t>
        </is>
      </c>
      <c r="E307" s="11" t="inlineStr">
        <is>
          <t>Bangsamoro Autonomous Region In Muslim Mindanao (BARMM)</t>
        </is>
      </c>
      <c r="F307" s="11" t="inlineStr">
        <is>
          <t>Maguindanao del Norte</t>
        </is>
      </c>
      <c r="G307" s="11" t="inlineStr">
        <is>
          <t>Buldon</t>
        </is>
      </c>
      <c r="H307" s="11" t="inlineStr">
        <is>
          <t>Nuyo</t>
        </is>
      </c>
      <c r="I307" s="24" t="n">
        <v>7.425092</v>
      </c>
      <c r="J307" s="24" t="n">
        <v>124.453143</v>
      </c>
      <c r="K307" s="23" t="inlineStr">
        <is>
          <t>R</t>
        </is>
      </c>
      <c r="L307" s="25" t="n">
        <v>6458</v>
      </c>
      <c r="M307" s="26" t="n">
        <v>4.3</v>
      </c>
      <c r="N307" s="25">
        <f>ROUND(L307/M307, 0)</f>
        <v/>
      </c>
      <c r="O307" s="25">
        <f>ROUND(N307*'Methodology &amp; Assumptions'!$B$7, 0)</f>
        <v/>
      </c>
      <c r="P307" s="23" t="inlineStr">
        <is>
          <t>Single Carrier (Band n50, 100MHz TDD)</t>
        </is>
      </c>
      <c r="Q307" s="27">
        <f>ROUNDUP(O307/'Methodology &amp; Assumptions'!$B$8, 0)</f>
        <v/>
      </c>
      <c r="R307" s="27" t="n">
        <v>1</v>
      </c>
      <c r="S307" s="26" t="n">
        <v>45.25</v>
      </c>
      <c r="T307" s="26" t="n">
        <v>36.89</v>
      </c>
      <c r="U307" s="11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26" t="n">
        <v>59.06</v>
      </c>
      <c r="W307" s="26" t="n">
        <v>69.59</v>
      </c>
      <c r="X307" s="26">
        <f>ROUND(('Methodology &amp; Assumptions'!$B$5*V307) + ('Methodology &amp; Assumptions'!$B$6*W307), 2)</f>
        <v/>
      </c>
      <c r="Y307" s="28" t="n">
        <v>11</v>
      </c>
      <c r="Z307" s="11" t="inlineStr">
        <is>
          <t>Priority Tier 2 (Balanced Opportunity)</t>
        </is>
      </c>
    </row>
    <row r="308">
      <c r="A308" s="23" t="n">
        <v>2</v>
      </c>
      <c r="B308" s="23" t="n">
        <v>304</v>
      </c>
      <c r="C308" s="23" t="n">
        <v>1304</v>
      </c>
      <c r="D308" s="23" t="inlineStr">
        <is>
          <t>0600412013</t>
        </is>
      </c>
      <c r="E308" s="11" t="inlineStr">
        <is>
          <t>Region VI (Western Visayas)</t>
        </is>
      </c>
      <c r="F308" s="11" t="inlineStr">
        <is>
          <t>Aklan</t>
        </is>
      </c>
      <c r="G308" s="11" t="inlineStr">
        <is>
          <t>Malay</t>
        </is>
      </c>
      <c r="H308" s="11" t="inlineStr">
        <is>
          <t>Napaan</t>
        </is>
      </c>
      <c r="I308" s="24" t="n">
        <v>11.863142</v>
      </c>
      <c r="J308" s="24" t="n">
        <v>121.975749</v>
      </c>
      <c r="K308" s="23" t="inlineStr">
        <is>
          <t>R</t>
        </is>
      </c>
      <c r="L308" s="25" t="n">
        <v>968</v>
      </c>
      <c r="M308" s="26" t="n">
        <v>3.9</v>
      </c>
      <c r="N308" s="25">
        <f>ROUND(L308/M308, 0)</f>
        <v/>
      </c>
      <c r="O308" s="25">
        <f>ROUND(N308*'Methodology &amp; Assumptions'!$B$7, 0)</f>
        <v/>
      </c>
      <c r="P308" s="23" t="inlineStr">
        <is>
          <t>Single Carrier (Band n50, 100MHz TDD)</t>
        </is>
      </c>
      <c r="Q308" s="27">
        <f>ROUNDUP(O308/'Methodology &amp; Assumptions'!$B$8, 0)</f>
        <v/>
      </c>
      <c r="R308" s="27" t="n">
        <v>1</v>
      </c>
      <c r="S308" s="26" t="n">
        <v>10.02</v>
      </c>
      <c r="T308" s="26" t="n">
        <v>5.08</v>
      </c>
      <c r="U308" s="11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26" t="n">
        <v>48.47</v>
      </c>
      <c r="W308" s="26" t="n">
        <v>80.17</v>
      </c>
      <c r="X308" s="26">
        <f>ROUND(('Methodology &amp; Assumptions'!$B$5*V308) + ('Methodology &amp; Assumptions'!$B$6*W308), 2)</f>
        <v/>
      </c>
      <c r="Y308" s="28" t="n">
        <v>23.7</v>
      </c>
      <c r="Z308" s="11" t="inlineStr">
        <is>
          <t>Priority Tier 2 (Balanced Opportunity)</t>
        </is>
      </c>
    </row>
    <row r="309">
      <c r="A309" s="23" t="n">
        <v>2</v>
      </c>
      <c r="B309" s="23" t="n">
        <v>305</v>
      </c>
      <c r="C309" s="23" t="n">
        <v>1305</v>
      </c>
      <c r="D309" s="23" t="inlineStr">
        <is>
          <t>0405627030</t>
        </is>
      </c>
      <c r="E309" s="11" t="inlineStr">
        <is>
          <t>Region IV-A (CALABARZON)</t>
        </is>
      </c>
      <c r="F309" s="11" t="inlineStr">
        <is>
          <t>Quezon</t>
        </is>
      </c>
      <c r="G309" s="11" t="inlineStr">
        <is>
          <t>Mauban</t>
        </is>
      </c>
      <c r="H309" s="11" t="inlineStr">
        <is>
          <t>San Jose</t>
        </is>
      </c>
      <c r="I309" s="24" t="n">
        <v>14.107231</v>
      </c>
      <c r="J309" s="24" t="n">
        <v>121.791499</v>
      </c>
      <c r="K309" s="23" t="inlineStr">
        <is>
          <t>R</t>
        </is>
      </c>
      <c r="L309" s="25" t="n">
        <v>596</v>
      </c>
      <c r="M309" s="26" t="n">
        <v>3.8</v>
      </c>
      <c r="N309" s="25">
        <f>ROUND(L309/M309, 0)</f>
        <v/>
      </c>
      <c r="O309" s="25">
        <f>ROUND(N309*'Methodology &amp; Assumptions'!$B$7, 0)</f>
        <v/>
      </c>
      <c r="P309" s="23" t="inlineStr">
        <is>
          <t>Single Carrier (Band n50, 100MHz TDD)</t>
        </is>
      </c>
      <c r="Q309" s="27">
        <f>ROUNDUP(O309/'Methodology &amp; Assumptions'!$B$8, 0)</f>
        <v/>
      </c>
      <c r="R309" s="27" t="n">
        <v>1</v>
      </c>
      <c r="S309" s="26" t="n">
        <v>11.09</v>
      </c>
      <c r="T309" s="26" t="n">
        <v>10.59</v>
      </c>
      <c r="U309" s="11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26" t="n">
        <v>42.22</v>
      </c>
      <c r="W309" s="26" t="n">
        <v>86.42</v>
      </c>
      <c r="X309" s="26">
        <f>ROUND(('Methodology &amp; Assumptions'!$B$5*V309) + ('Methodology &amp; Assumptions'!$B$6*W309), 2)</f>
        <v/>
      </c>
      <c r="Y309" s="28" t="n">
        <v>7.2</v>
      </c>
      <c r="Z309" s="11" t="inlineStr">
        <is>
          <t>Priority Tier 2 (Balanced Opportunity)</t>
        </is>
      </c>
    </row>
    <row r="310">
      <c r="A310" s="23" t="n">
        <v>2</v>
      </c>
      <c r="B310" s="23" t="n">
        <v>306</v>
      </c>
      <c r="C310" s="23" t="n">
        <v>1306</v>
      </c>
      <c r="D310" s="23" t="inlineStr">
        <is>
          <t>0702232016</t>
        </is>
      </c>
      <c r="E310" s="11" t="inlineStr">
        <is>
          <t>Region VII (Central Visayas)</t>
        </is>
      </c>
      <c r="F310" s="11" t="inlineStr">
        <is>
          <t>Cebu</t>
        </is>
      </c>
      <c r="G310" s="11" t="inlineStr">
        <is>
          <t>Minglanilla</t>
        </is>
      </c>
      <c r="H310" s="11" t="inlineStr">
        <is>
          <t>Tunghaan</t>
        </is>
      </c>
      <c r="I310" s="24" t="n">
        <v>10.245492</v>
      </c>
      <c r="J310" s="24" t="n">
        <v>123.780817</v>
      </c>
      <c r="K310" s="23" t="inlineStr">
        <is>
          <t>U</t>
        </is>
      </c>
      <c r="L310" s="25" t="n">
        <v>16912</v>
      </c>
      <c r="M310" s="26" t="n">
        <v>3.8</v>
      </c>
      <c r="N310" s="25">
        <f>ROUND(L310/M310, 0)</f>
        <v/>
      </c>
      <c r="O310" s="25">
        <f>ROUND(N310*'Methodology &amp; Assumptions'!$B$7, 0)</f>
        <v/>
      </c>
      <c r="P310" s="23" t="inlineStr">
        <is>
          <t>Single Carrier (Band n50, 100MHz TDD)</t>
        </is>
      </c>
      <c r="Q310" s="27">
        <f>ROUNDUP(O310/'Methodology &amp; Assumptions'!$B$8, 0)</f>
        <v/>
      </c>
      <c r="R310" s="27" t="n">
        <v>1</v>
      </c>
      <c r="S310" s="26" t="n">
        <v>1.15</v>
      </c>
      <c r="T310" s="26" t="n">
        <v>0.57</v>
      </c>
      <c r="U310" s="11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26" t="n">
        <v>79.68000000000001</v>
      </c>
      <c r="W310" s="26" t="n">
        <v>48.93</v>
      </c>
      <c r="X310" s="26">
        <f>ROUND(('Methodology &amp; Assumptions'!$B$5*V310) + ('Methodology &amp; Assumptions'!$B$6*W310), 2)</f>
        <v/>
      </c>
      <c r="Y310" s="28" t="n">
        <v>23.7</v>
      </c>
      <c r="Z310" s="11" t="inlineStr">
        <is>
          <t>Priority Tier 2 (Balanced Opportunity)</t>
        </is>
      </c>
    </row>
    <row r="311">
      <c r="A311" s="23" t="n">
        <v>2</v>
      </c>
      <c r="B311" s="23" t="n">
        <v>307</v>
      </c>
      <c r="C311" s="23" t="n">
        <v>1307</v>
      </c>
      <c r="D311" s="23" t="inlineStr">
        <is>
          <t>1381300089</t>
        </is>
      </c>
      <c r="E311" s="11" t="inlineStr">
        <is>
          <t>National Capital Region (NCR)</t>
        </is>
      </c>
      <c r="F311" s="11" t="inlineStr">
        <is>
          <t>Second District (Not a Province)</t>
        </is>
      </c>
      <c r="G311" s="11" t="inlineStr">
        <is>
          <t>Quezon City</t>
        </is>
      </c>
      <c r="H311" s="11" t="inlineStr">
        <is>
          <t>Ramon Magsaysay</t>
        </is>
      </c>
      <c r="I311" s="24" t="n">
        <v>14.659203</v>
      </c>
      <c r="J311" s="24" t="n">
        <v>121.021885</v>
      </c>
      <c r="K311" s="23" t="inlineStr">
        <is>
          <t>U</t>
        </is>
      </c>
      <c r="L311" s="25" t="n">
        <v>16641</v>
      </c>
      <c r="M311" s="26" t="n">
        <v>3.38</v>
      </c>
      <c r="N311" s="25">
        <f>ROUND(L311/M311, 0)</f>
        <v/>
      </c>
      <c r="O311" s="25">
        <f>ROUND(N311*'Methodology &amp; Assumptions'!$B$7, 0)</f>
        <v/>
      </c>
      <c r="P311" s="23" t="inlineStr">
        <is>
          <t>Single Carrier (Band n50, 100MHz TDD)</t>
        </is>
      </c>
      <c r="Q311" s="27">
        <f>ROUNDUP(O311/'Methodology &amp; Assumptions'!$B$8, 0)</f>
        <v/>
      </c>
      <c r="R311" s="27" t="n">
        <v>1</v>
      </c>
      <c r="S311" s="26" t="n">
        <v>0.4</v>
      </c>
      <c r="T311" s="26" t="n">
        <v>0.04</v>
      </c>
      <c r="U311" s="11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26" t="n">
        <v>68.68000000000001</v>
      </c>
      <c r="W311" s="26" t="n">
        <v>59.93</v>
      </c>
      <c r="X311" s="26">
        <f>ROUND(('Methodology &amp; Assumptions'!$B$5*V311) + ('Methodology &amp; Assumptions'!$B$6*W311), 2)</f>
        <v/>
      </c>
      <c r="Y311" s="28" t="n">
        <v>10.9</v>
      </c>
      <c r="Z311" s="11" t="inlineStr">
        <is>
          <t>Priority Tier 2 (Balanced Opportunity)</t>
        </is>
      </c>
    </row>
    <row r="312">
      <c r="A312" s="23" t="n">
        <v>2</v>
      </c>
      <c r="B312" s="23" t="n">
        <v>308</v>
      </c>
      <c r="C312" s="23" t="n">
        <v>1308</v>
      </c>
      <c r="D312" s="23" t="inlineStr">
        <is>
          <t>0401003009</t>
        </is>
      </c>
      <c r="E312" s="11" t="inlineStr">
        <is>
          <t>Region IV-A (CALABARZON)</t>
        </is>
      </c>
      <c r="F312" s="11" t="inlineStr">
        <is>
          <t>Batangas</t>
        </is>
      </c>
      <c r="G312" s="11" t="inlineStr">
        <is>
          <t>Balayan</t>
        </is>
      </c>
      <c r="H312" s="11" t="inlineStr">
        <is>
          <t>Barangay 4</t>
        </is>
      </c>
      <c r="I312" s="24" t="n">
        <v>13.936161</v>
      </c>
      <c r="J312" s="24" t="n">
        <v>120.72799</v>
      </c>
      <c r="K312" s="23" t="inlineStr">
        <is>
          <t>U</t>
        </is>
      </c>
      <c r="L312" s="25" t="n">
        <v>2105</v>
      </c>
      <c r="M312" s="26" t="n">
        <v>3.6</v>
      </c>
      <c r="N312" s="25">
        <f>ROUND(L312/M312, 0)</f>
        <v/>
      </c>
      <c r="O312" s="25">
        <f>ROUND(N312*'Methodology &amp; Assumptions'!$B$7, 0)</f>
        <v/>
      </c>
      <c r="P312" s="23" t="inlineStr">
        <is>
          <t>Single Carrier (Band n50, 100MHz TDD)</t>
        </is>
      </c>
      <c r="Q312" s="27">
        <f>ROUNDUP(O312/'Methodology &amp; Assumptions'!$B$8, 0)</f>
        <v/>
      </c>
      <c r="R312" s="27" t="n">
        <v>1</v>
      </c>
      <c r="S312" s="26" t="n">
        <v>0.82</v>
      </c>
      <c r="T312" s="26" t="n">
        <v>0.08</v>
      </c>
      <c r="U312" s="11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26" t="n">
        <v>70.8</v>
      </c>
      <c r="W312" s="26" t="n">
        <v>57.8</v>
      </c>
      <c r="X312" s="26">
        <f>ROUND(('Methodology &amp; Assumptions'!$B$5*V312) + ('Methodology &amp; Assumptions'!$B$6*W312), 2)</f>
        <v/>
      </c>
      <c r="Y312" s="28" t="n">
        <v>7.2</v>
      </c>
      <c r="Z312" s="11" t="inlineStr">
        <is>
          <t>Priority Tier 2 (Balanced Opportunity)</t>
        </is>
      </c>
    </row>
    <row r="313">
      <c r="A313" s="23" t="n">
        <v>2</v>
      </c>
      <c r="B313" s="23" t="n">
        <v>309</v>
      </c>
      <c r="C313" s="23" t="n">
        <v>1309</v>
      </c>
      <c r="D313" s="23" t="inlineStr">
        <is>
          <t>1381100133</t>
        </is>
      </c>
      <c r="E313" s="11" t="inlineStr">
        <is>
          <t>National Capital Region (NCR)</t>
        </is>
      </c>
      <c r="F313" s="11" t="inlineStr">
        <is>
          <t>Fourth District (Not a Province)</t>
        </is>
      </c>
      <c r="G313" s="11" t="inlineStr">
        <is>
          <t>Pasay City</t>
        </is>
      </c>
      <c r="H313" s="11" t="inlineStr">
        <is>
          <t>Barangay 133</t>
        </is>
      </c>
      <c r="I313" s="24" t="n">
        <v>14.543828</v>
      </c>
      <c r="J313" s="24" t="n">
        <v>121.00624</v>
      </c>
      <c r="K313" s="23" t="inlineStr">
        <is>
          <t>U</t>
        </is>
      </c>
      <c r="L313" s="25" t="n">
        <v>2140</v>
      </c>
      <c r="M313" s="26" t="n">
        <v>3.81</v>
      </c>
      <c r="N313" s="25">
        <f>ROUND(L313/M313, 0)</f>
        <v/>
      </c>
      <c r="O313" s="25">
        <f>ROUND(N313*'Methodology &amp; Assumptions'!$B$7, 0)</f>
        <v/>
      </c>
      <c r="P313" s="23" t="inlineStr">
        <is>
          <t>Single Carrier (Band n50, 100MHz TDD)</t>
        </is>
      </c>
      <c r="Q313" s="27">
        <f>ROUNDUP(O313/'Methodology &amp; Assumptions'!$B$8, 0)</f>
        <v/>
      </c>
      <c r="R313" s="27" t="n">
        <v>1</v>
      </c>
      <c r="S313" s="26" t="n">
        <v>0.86</v>
      </c>
      <c r="T313" s="26" t="n">
        <v>0.58</v>
      </c>
      <c r="U313" s="11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26" t="n">
        <v>59.01</v>
      </c>
      <c r="W313" s="26" t="n">
        <v>69.58</v>
      </c>
      <c r="X313" s="26">
        <f>ROUND(('Methodology &amp; Assumptions'!$B$5*V313) + ('Methodology &amp; Assumptions'!$B$6*W313), 2)</f>
        <v/>
      </c>
      <c r="Y313" s="28" t="n">
        <v>10.9</v>
      </c>
      <c r="Z313" s="11" t="inlineStr">
        <is>
          <t>Priority Tier 2 (Balanced Opportunity)</t>
        </is>
      </c>
    </row>
    <row r="314">
      <c r="A314" s="23" t="n">
        <v>2</v>
      </c>
      <c r="B314" s="23" t="n">
        <v>310</v>
      </c>
      <c r="C314" s="23" t="n">
        <v>1310</v>
      </c>
      <c r="D314" s="23" t="inlineStr">
        <is>
          <t>0403417043</t>
        </is>
      </c>
      <c r="E314" s="11" t="inlineStr">
        <is>
          <t>Region IV-A (CALABARZON)</t>
        </is>
      </c>
      <c r="F314" s="11" t="inlineStr">
        <is>
          <t>Laguna</t>
        </is>
      </c>
      <c r="G314" s="11" t="inlineStr">
        <is>
          <t>Nagcarlan</t>
        </is>
      </c>
      <c r="H314" s="11" t="inlineStr">
        <is>
          <t>Silangan Ilaya</t>
        </is>
      </c>
      <c r="I314" s="24" t="n">
        <v>14.131901</v>
      </c>
      <c r="J314" s="24" t="n">
        <v>121.419208</v>
      </c>
      <c r="K314" s="23" t="inlineStr">
        <is>
          <t>R</t>
        </is>
      </c>
      <c r="L314" s="25" t="n">
        <v>2614</v>
      </c>
      <c r="M314" s="26" t="n">
        <v>3.3</v>
      </c>
      <c r="N314" s="25">
        <f>ROUND(L314/M314, 0)</f>
        <v/>
      </c>
      <c r="O314" s="25">
        <f>ROUND(N314*'Methodology &amp; Assumptions'!$B$7, 0)</f>
        <v/>
      </c>
      <c r="P314" s="23" t="inlineStr">
        <is>
          <t>Single Carrier (Band n50, 100MHz TDD)</t>
        </is>
      </c>
      <c r="Q314" s="27">
        <f>ROUNDUP(O314/'Methodology &amp; Assumptions'!$B$8, 0)</f>
        <v/>
      </c>
      <c r="R314" s="27" t="n">
        <v>1</v>
      </c>
      <c r="S314" s="26" t="n">
        <v>0.73</v>
      </c>
      <c r="T314" s="26" t="n">
        <v>0.41</v>
      </c>
      <c r="U314" s="11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26" t="n">
        <v>84.75</v>
      </c>
      <c r="W314" s="26" t="n">
        <v>43.83</v>
      </c>
      <c r="X314" s="26">
        <f>ROUND(('Methodology &amp; Assumptions'!$B$5*V314) + ('Methodology &amp; Assumptions'!$B$6*W314), 2)</f>
        <v/>
      </c>
      <c r="Y314" s="28" t="n">
        <v>7.2</v>
      </c>
      <c r="Z314" s="11" t="inlineStr">
        <is>
          <t>Priority Tier 2 (Balanced Opportunity)</t>
        </is>
      </c>
    </row>
    <row r="315">
      <c r="A315" s="23" t="n">
        <v>2</v>
      </c>
      <c r="B315" s="23" t="n">
        <v>311</v>
      </c>
      <c r="C315" s="23" t="n">
        <v>1311</v>
      </c>
      <c r="D315" s="23" t="inlineStr">
        <is>
          <t>0405804019</t>
        </is>
      </c>
      <c r="E315" s="11" t="inlineStr">
        <is>
          <t>Region IV-A (CALABARZON)</t>
        </is>
      </c>
      <c r="F315" s="11" t="inlineStr">
        <is>
          <t>Rizal</t>
        </is>
      </c>
      <c r="G315" s="11" t="inlineStr">
        <is>
          <t>Binangonan</t>
        </is>
      </c>
      <c r="H315" s="11" t="inlineStr">
        <is>
          <t>Kinagatan</t>
        </is>
      </c>
      <c r="I315" s="24" t="n">
        <v>14.47688</v>
      </c>
      <c r="J315" s="24" t="n">
        <v>121.195679</v>
      </c>
      <c r="K315" s="23" t="inlineStr">
        <is>
          <t>R</t>
        </is>
      </c>
      <c r="L315" s="25" t="n">
        <v>1407</v>
      </c>
      <c r="M315" s="26" t="n">
        <v>3.6</v>
      </c>
      <c r="N315" s="25">
        <f>ROUND(L315/M315, 0)</f>
        <v/>
      </c>
      <c r="O315" s="25">
        <f>ROUND(N315*'Methodology &amp; Assumptions'!$B$7, 0)</f>
        <v/>
      </c>
      <c r="P315" s="23" t="inlineStr">
        <is>
          <t>Single Carrier (Band n50, 100MHz TDD)</t>
        </is>
      </c>
      <c r="Q315" s="27">
        <f>ROUNDUP(O315/'Methodology &amp; Assumptions'!$B$8, 0)</f>
        <v/>
      </c>
      <c r="R315" s="27" t="n">
        <v>1</v>
      </c>
      <c r="S315" s="26" t="n">
        <v>0.55</v>
      </c>
      <c r="T315" s="26" t="n">
        <v>0.52</v>
      </c>
      <c r="U315" s="11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26" t="n">
        <v>71.59</v>
      </c>
      <c r="W315" s="26" t="n">
        <v>56.99</v>
      </c>
      <c r="X315" s="26">
        <f>ROUND(('Methodology &amp; Assumptions'!$B$5*V315) + ('Methodology &amp; Assumptions'!$B$6*W315), 2)</f>
        <v/>
      </c>
      <c r="Y315" s="28" t="n">
        <v>7.2</v>
      </c>
      <c r="Z315" s="11" t="inlineStr">
        <is>
          <t>Priority Tier 2 (Balanced Opportunity)</t>
        </is>
      </c>
    </row>
    <row r="316">
      <c r="A316" s="23" t="n">
        <v>2</v>
      </c>
      <c r="B316" s="23" t="n">
        <v>312</v>
      </c>
      <c r="C316" s="23" t="n">
        <v>1312</v>
      </c>
      <c r="D316" s="23" t="inlineStr">
        <is>
          <t>1380612023</t>
        </is>
      </c>
      <c r="E316" s="11" t="inlineStr">
        <is>
          <t>National Capital Region (NCR)</t>
        </is>
      </c>
      <c r="F316" s="11" t="inlineStr">
        <is>
          <t>First District (Not a Province)</t>
        </is>
      </c>
      <c r="G316" s="11" t="inlineStr">
        <is>
          <t>City of Manila</t>
        </is>
      </c>
      <c r="H316" s="11" t="inlineStr">
        <is>
          <t>Barangay 855</t>
        </is>
      </c>
      <c r="I316" s="24" t="n">
        <v>14.585128</v>
      </c>
      <c r="J316" s="24" t="n">
        <v>121.003046</v>
      </c>
      <c r="K316" s="23" t="inlineStr">
        <is>
          <t>U</t>
        </is>
      </c>
      <c r="L316" s="25" t="n">
        <v>2319</v>
      </c>
      <c r="M316" s="26" t="n">
        <v>4.39</v>
      </c>
      <c r="N316" s="25">
        <f>ROUND(L316/M316, 0)</f>
        <v/>
      </c>
      <c r="O316" s="25">
        <f>ROUND(N316*'Methodology &amp; Assumptions'!$B$7, 0)</f>
        <v/>
      </c>
      <c r="P316" s="23" t="inlineStr">
        <is>
          <t>Single Carrier (Band n50, 100MHz TDD)</t>
        </is>
      </c>
      <c r="Q316" s="27">
        <f>ROUNDUP(O316/'Methodology &amp; Assumptions'!$B$8, 0)</f>
        <v/>
      </c>
      <c r="R316" s="27" t="n">
        <v>1</v>
      </c>
      <c r="S316" s="26" t="n">
        <v>0.09</v>
      </c>
      <c r="T316" s="26" t="n">
        <v>0.07000000000000001</v>
      </c>
      <c r="U316" s="11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26" t="n">
        <v>58.02</v>
      </c>
      <c r="W316" s="26" t="n">
        <v>70.56</v>
      </c>
      <c r="X316" s="26">
        <f>ROUND(('Methodology &amp; Assumptions'!$B$5*V316) + ('Methodology &amp; Assumptions'!$B$6*W316), 2)</f>
        <v/>
      </c>
      <c r="Y316" s="28" t="n">
        <v>10.9</v>
      </c>
      <c r="Z316" s="11" t="inlineStr">
        <is>
          <t>Priority Tier 2 (Balanced Opportunity)</t>
        </is>
      </c>
    </row>
    <row r="317">
      <c r="A317" s="23" t="n">
        <v>2</v>
      </c>
      <c r="B317" s="23" t="n">
        <v>313</v>
      </c>
      <c r="C317" s="23" t="n">
        <v>1313</v>
      </c>
      <c r="D317" s="23" t="inlineStr">
        <is>
          <t>0600409009</t>
        </is>
      </c>
      <c r="E317" s="11" t="inlineStr">
        <is>
          <t>Region VI (Western Visayas)</t>
        </is>
      </c>
      <c r="F317" s="11" t="inlineStr">
        <is>
          <t>Aklan</t>
        </is>
      </c>
      <c r="G317" s="11" t="inlineStr">
        <is>
          <t>Libacao</t>
        </is>
      </c>
      <c r="H317" s="11" t="inlineStr">
        <is>
          <t>Dalagsa-an</t>
        </is>
      </c>
      <c r="I317" s="24" t="n">
        <v>11.342743</v>
      </c>
      <c r="J317" s="24" t="n">
        <v>122.237027</v>
      </c>
      <c r="K317" s="23" t="inlineStr">
        <is>
          <t>R</t>
        </is>
      </c>
      <c r="L317" s="25" t="n">
        <v>2150</v>
      </c>
      <c r="M317" s="26" t="n">
        <v>3.9</v>
      </c>
      <c r="N317" s="25">
        <f>ROUND(L317/M317, 0)</f>
        <v/>
      </c>
      <c r="O317" s="25">
        <f>ROUND(N317*'Methodology &amp; Assumptions'!$B$7, 0)</f>
        <v/>
      </c>
      <c r="P317" s="23" t="inlineStr">
        <is>
          <t>Single Carrier (Band n50, 100MHz TDD)</t>
        </is>
      </c>
      <c r="Q317" s="27">
        <f>ROUNDUP(O317/'Methodology &amp; Assumptions'!$B$8, 0)</f>
        <v/>
      </c>
      <c r="R317" s="27" t="n">
        <v>1</v>
      </c>
      <c r="S317" s="26" t="n">
        <v>28.22</v>
      </c>
      <c r="T317" s="26" t="n">
        <v>28.15</v>
      </c>
      <c r="U317" s="11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26" t="n">
        <v>52.94</v>
      </c>
      <c r="W317" s="26" t="n">
        <v>75.64</v>
      </c>
      <c r="X317" s="26">
        <f>ROUND(('Methodology &amp; Assumptions'!$B$5*V317) + ('Methodology &amp; Assumptions'!$B$6*W317), 2)</f>
        <v/>
      </c>
      <c r="Y317" s="28" t="n">
        <v>23.7</v>
      </c>
      <c r="Z317" s="11" t="inlineStr">
        <is>
          <t>Priority Tier 2 (Balanced Opportunity)</t>
        </is>
      </c>
    </row>
    <row r="318">
      <c r="A318" s="23" t="n">
        <v>2</v>
      </c>
      <c r="B318" s="23" t="n">
        <v>314</v>
      </c>
      <c r="C318" s="23" t="n">
        <v>1314</v>
      </c>
      <c r="D318" s="23" t="inlineStr">
        <is>
          <t>0603023008</t>
        </is>
      </c>
      <c r="E318" s="11" t="inlineStr">
        <is>
          <t>Region VI (Western Visayas)</t>
        </is>
      </c>
      <c r="F318" s="11" t="inlineStr">
        <is>
          <t>Iloilo</t>
        </is>
      </c>
      <c r="G318" s="11" t="inlineStr">
        <is>
          <t>Janiuay</t>
        </is>
      </c>
      <c r="H318" s="11" t="inlineStr">
        <is>
          <t>Barasalon</t>
        </is>
      </c>
      <c r="I318" s="24" t="n">
        <v>11.022</v>
      </c>
      <c r="J318" s="24" t="n">
        <v>122.3499</v>
      </c>
      <c r="K318" s="23" t="inlineStr">
        <is>
          <t>R</t>
        </is>
      </c>
      <c r="L318" s="25" t="n">
        <v>1539</v>
      </c>
      <c r="M318" s="26" t="n">
        <v>3.8</v>
      </c>
      <c r="N318" s="25">
        <f>ROUND(L318/M318, 0)</f>
        <v/>
      </c>
      <c r="O318" s="25">
        <f>ROUND(N318*'Methodology &amp; Assumptions'!$B$7, 0)</f>
        <v/>
      </c>
      <c r="P318" s="23" t="inlineStr">
        <is>
          <t>Single Carrier (Band n50, 100MHz TDD)</t>
        </is>
      </c>
      <c r="Q318" s="27">
        <f>ROUNDUP(O318/'Methodology &amp; Assumptions'!$B$8, 0)</f>
        <v/>
      </c>
      <c r="R318" s="27" t="n">
        <v>1</v>
      </c>
      <c r="S318" s="26" t="n">
        <v>19.75</v>
      </c>
      <c r="T318" s="26" t="n">
        <v>18.26</v>
      </c>
      <c r="U318" s="11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26" t="n">
        <v>48.58</v>
      </c>
      <c r="W318" s="26" t="n">
        <v>80.01000000000001</v>
      </c>
      <c r="X318" s="26">
        <f>ROUND(('Methodology &amp; Assumptions'!$B$5*V318) + ('Methodology &amp; Assumptions'!$B$6*W318), 2)</f>
        <v/>
      </c>
      <c r="Y318" s="28" t="n">
        <v>23.7</v>
      </c>
      <c r="Z318" s="11" t="inlineStr">
        <is>
          <t>Priority Tier 2 (Balanced Opportunity)</t>
        </is>
      </c>
    </row>
    <row r="319">
      <c r="A319" s="23" t="n">
        <v>2</v>
      </c>
      <c r="B319" s="23" t="n">
        <v>315</v>
      </c>
      <c r="C319" s="23" t="n">
        <v>1315</v>
      </c>
      <c r="D319" s="23" t="inlineStr">
        <is>
          <t>0402117006</t>
        </is>
      </c>
      <c r="E319" s="11" t="inlineStr">
        <is>
          <t>Region IV-A (CALABARZON)</t>
        </is>
      </c>
      <c r="F319" s="11" t="inlineStr">
        <is>
          <t>Cavite</t>
        </is>
      </c>
      <c r="G319" s="11" t="inlineStr">
        <is>
          <t>Rosario</t>
        </is>
      </c>
      <c r="H319" s="11" t="inlineStr">
        <is>
          <t>Ligtong II</t>
        </is>
      </c>
      <c r="I319" s="24" t="n">
        <v>14.42627</v>
      </c>
      <c r="J319" s="24" t="n">
        <v>120.871636</v>
      </c>
      <c r="K319" s="23" t="inlineStr">
        <is>
          <t>R</t>
        </is>
      </c>
      <c r="L319" s="25" t="n">
        <v>1997</v>
      </c>
      <c r="M319" s="26" t="n">
        <v>3.4</v>
      </c>
      <c r="N319" s="25">
        <f>ROUND(L319/M319, 0)</f>
        <v/>
      </c>
      <c r="O319" s="25">
        <f>ROUND(N319*'Methodology &amp; Assumptions'!$B$7, 0)</f>
        <v/>
      </c>
      <c r="P319" s="23" t="inlineStr">
        <is>
          <t>Single Carrier (Band n50, 100MHz TDD)</t>
        </is>
      </c>
      <c r="Q319" s="27">
        <f>ROUNDUP(O319/'Methodology &amp; Assumptions'!$B$8, 0)</f>
        <v/>
      </c>
      <c r="R319" s="27" t="n">
        <v>1</v>
      </c>
      <c r="S319" s="26" t="n">
        <v>1.28</v>
      </c>
      <c r="T319" s="26" t="n">
        <v>1.25</v>
      </c>
      <c r="U319" s="11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26" t="n">
        <v>76.34</v>
      </c>
      <c r="W319" s="26" t="n">
        <v>52.23</v>
      </c>
      <c r="X319" s="26">
        <f>ROUND(('Methodology &amp; Assumptions'!$B$5*V319) + ('Methodology &amp; Assumptions'!$B$6*W319), 2)</f>
        <v/>
      </c>
      <c r="Y319" s="28" t="n">
        <v>7.2</v>
      </c>
      <c r="Z319" s="11" t="inlineStr">
        <is>
          <t>Priority Tier 2 (Balanced Opportunity)</t>
        </is>
      </c>
    </row>
    <row r="320">
      <c r="A320" s="23" t="n">
        <v>2</v>
      </c>
      <c r="B320" s="23" t="n">
        <v>316</v>
      </c>
      <c r="C320" s="23" t="n">
        <v>1316</v>
      </c>
      <c r="D320" s="23" t="inlineStr">
        <is>
          <t>1380700002</t>
        </is>
      </c>
      <c r="E320" s="11" t="inlineStr">
        <is>
          <t>National Capital Region (NCR)</t>
        </is>
      </c>
      <c r="F320" s="11" t="inlineStr">
        <is>
          <t>Second District (Not a Province)</t>
        </is>
      </c>
      <c r="G320" s="11" t="inlineStr">
        <is>
          <t>City of Marikina</t>
        </is>
      </c>
      <c r="H320" s="11" t="inlineStr">
        <is>
          <t>Calumpang</t>
        </is>
      </c>
      <c r="I320" s="24" t="n">
        <v>14.624147</v>
      </c>
      <c r="J320" s="24" t="n">
        <v>121.093405</v>
      </c>
      <c r="K320" s="23" t="inlineStr">
        <is>
          <t>U</t>
        </is>
      </c>
      <c r="L320" s="25" t="n">
        <v>15914</v>
      </c>
      <c r="M320" s="26" t="n">
        <v>3.87</v>
      </c>
      <c r="N320" s="25">
        <f>ROUND(L320/M320, 0)</f>
        <v/>
      </c>
      <c r="O320" s="25">
        <f>ROUND(N320*'Methodology &amp; Assumptions'!$B$7, 0)</f>
        <v/>
      </c>
      <c r="P320" s="23" t="inlineStr">
        <is>
          <t>Single Carrier (Band n50, 100MHz TDD)</t>
        </is>
      </c>
      <c r="Q320" s="27">
        <f>ROUNDUP(O320/'Methodology &amp; Assumptions'!$B$8, 0)</f>
        <v/>
      </c>
      <c r="R320" s="27" t="n">
        <v>1</v>
      </c>
      <c r="S320" s="26" t="n">
        <v>1.44</v>
      </c>
      <c r="T320" s="26" t="n">
        <v>0.58</v>
      </c>
      <c r="U320" s="11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26" t="n">
        <v>66.81</v>
      </c>
      <c r="W320" s="26" t="n">
        <v>61.75</v>
      </c>
      <c r="X320" s="26">
        <f>ROUND(('Methodology &amp; Assumptions'!$B$5*V320) + ('Methodology &amp; Assumptions'!$B$6*W320), 2)</f>
        <v/>
      </c>
      <c r="Y320" s="28" t="n">
        <v>10.9</v>
      </c>
      <c r="Z320" s="11" t="inlineStr">
        <is>
          <t>Priority Tier 2 (Balanced Opportunity)</t>
        </is>
      </c>
    </row>
    <row r="321">
      <c r="A321" s="23" t="n">
        <v>2</v>
      </c>
      <c r="B321" s="23" t="n">
        <v>317</v>
      </c>
      <c r="C321" s="23" t="n">
        <v>1317</v>
      </c>
      <c r="D321" s="23" t="inlineStr">
        <is>
          <t>1908713023</t>
        </is>
      </c>
      <c r="E321" s="11" t="inlineStr">
        <is>
          <t>Bangsamoro Autonomous Region In Muslim Mindanao (BARMM)</t>
        </is>
      </c>
      <c r="F321" s="11" t="inlineStr">
        <is>
          <t>Maguindanao del Norte</t>
        </is>
      </c>
      <c r="G321" s="11" t="inlineStr">
        <is>
          <t>Upi</t>
        </is>
      </c>
      <c r="H321" s="11" t="inlineStr">
        <is>
          <t>Tinungkaan</t>
        </is>
      </c>
      <c r="I321" s="24" t="n">
        <v>7.106315</v>
      </c>
      <c r="J321" s="24" t="n">
        <v>124.147632</v>
      </c>
      <c r="K321" s="23" t="inlineStr">
        <is>
          <t>R</t>
        </is>
      </c>
      <c r="L321" s="25" t="n">
        <v>5842</v>
      </c>
      <c r="M321" s="26" t="n">
        <v>4.3</v>
      </c>
      <c r="N321" s="25">
        <f>ROUND(L321/M321, 0)</f>
        <v/>
      </c>
      <c r="O321" s="25">
        <f>ROUND(N321*'Methodology &amp; Assumptions'!$B$7, 0)</f>
        <v/>
      </c>
      <c r="P321" s="23" t="inlineStr">
        <is>
          <t>Single Carrier (Band n50, 100MHz TDD)</t>
        </is>
      </c>
      <c r="Q321" s="27">
        <f>ROUNDUP(O321/'Methodology &amp; Assumptions'!$B$8, 0)</f>
        <v/>
      </c>
      <c r="R321" s="27" t="n">
        <v>1</v>
      </c>
      <c r="S321" s="26" t="n">
        <v>72.42</v>
      </c>
      <c r="T321" s="26" t="n">
        <v>72.29000000000001</v>
      </c>
      <c r="U321" s="11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26" t="n">
        <v>59.06</v>
      </c>
      <c r="W321" s="26" t="n">
        <v>69.5</v>
      </c>
      <c r="X321" s="26">
        <f>ROUND(('Methodology &amp; Assumptions'!$B$5*V321) + ('Methodology &amp; Assumptions'!$B$6*W321), 2)</f>
        <v/>
      </c>
      <c r="Y321" s="28" t="n">
        <v>11</v>
      </c>
      <c r="Z321" s="11" t="inlineStr">
        <is>
          <t>Priority Tier 2 (Balanced Opportunity)</t>
        </is>
      </c>
    </row>
    <row r="322">
      <c r="A322" s="23" t="n">
        <v>2</v>
      </c>
      <c r="B322" s="23" t="n">
        <v>318</v>
      </c>
      <c r="C322" s="23" t="n">
        <v>1318</v>
      </c>
      <c r="D322" s="23" t="inlineStr">
        <is>
          <t>1380614025</t>
        </is>
      </c>
      <c r="E322" s="11" t="inlineStr">
        <is>
          <t>National Capital Region (NCR)</t>
        </is>
      </c>
      <c r="F322" s="11" t="inlineStr">
        <is>
          <t>First District (Not a Province)</t>
        </is>
      </c>
      <c r="G322" s="11" t="inlineStr">
        <is>
          <t>City of Manila</t>
        </is>
      </c>
      <c r="H322" s="11" t="inlineStr">
        <is>
          <t>Barangay 769</t>
        </is>
      </c>
      <c r="I322" s="24" t="n">
        <v>14.568976</v>
      </c>
      <c r="J322" s="24" t="n">
        <v>121.002395</v>
      </c>
      <c r="K322" s="23" t="inlineStr">
        <is>
          <t>U</t>
        </is>
      </c>
      <c r="L322" s="25" t="n">
        <v>2317</v>
      </c>
      <c r="M322" s="26" t="n">
        <v>4.33</v>
      </c>
      <c r="N322" s="25">
        <f>ROUND(L322/M322, 0)</f>
        <v/>
      </c>
      <c r="O322" s="25">
        <f>ROUND(N322*'Methodology &amp; Assumptions'!$B$7, 0)</f>
        <v/>
      </c>
      <c r="P322" s="23" t="inlineStr">
        <is>
          <t>Single Carrier (Band n50, 100MHz TDD)</t>
        </is>
      </c>
      <c r="Q322" s="27">
        <f>ROUNDUP(O322/'Methodology &amp; Assumptions'!$B$8, 0)</f>
        <v/>
      </c>
      <c r="R322" s="27" t="n">
        <v>1</v>
      </c>
      <c r="S322" s="26" t="n">
        <v>0.9399999999999999</v>
      </c>
      <c r="T322" s="26" t="n">
        <v>0.29</v>
      </c>
      <c r="U322" s="11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26" t="n">
        <v>57.84</v>
      </c>
      <c r="W322" s="26" t="n">
        <v>70.70999999999999</v>
      </c>
      <c r="X322" s="26">
        <f>ROUND(('Methodology &amp; Assumptions'!$B$5*V322) + ('Methodology &amp; Assumptions'!$B$6*W322), 2)</f>
        <v/>
      </c>
      <c r="Y322" s="28" t="n">
        <v>10.9</v>
      </c>
      <c r="Z322" s="11" t="inlineStr">
        <is>
          <t>Priority Tier 2 (Balanced Opportunity)</t>
        </is>
      </c>
    </row>
    <row r="323">
      <c r="A323" s="23" t="n">
        <v>2</v>
      </c>
      <c r="B323" s="23" t="n">
        <v>319</v>
      </c>
      <c r="C323" s="23" t="n">
        <v>1319</v>
      </c>
      <c r="D323" s="23" t="inlineStr">
        <is>
          <t>0102934005</t>
        </is>
      </c>
      <c r="E323" s="11" t="inlineStr">
        <is>
          <t>Region I (Ilocos Region)</t>
        </is>
      </c>
      <c r="F323" s="11" t="inlineStr">
        <is>
          <t>Ilocos Sur</t>
        </is>
      </c>
      <c r="G323" s="11" t="inlineStr">
        <is>
          <t>City of Vigan</t>
        </is>
      </c>
      <c r="H323" s="11" t="inlineStr">
        <is>
          <t>Barangay III</t>
        </is>
      </c>
      <c r="I323" s="24" t="n">
        <v>17.573722</v>
      </c>
      <c r="J323" s="24" t="n">
        <v>120.387144</v>
      </c>
      <c r="K323" s="23" t="inlineStr">
        <is>
          <t>U</t>
        </is>
      </c>
      <c r="L323" s="25" t="n">
        <v>1150</v>
      </c>
      <c r="M323" s="26" t="n">
        <v>3.8</v>
      </c>
      <c r="N323" s="25">
        <f>ROUND(L323/M323, 0)</f>
        <v/>
      </c>
      <c r="O323" s="25">
        <f>ROUND(N323*'Methodology &amp; Assumptions'!$B$7, 0)</f>
        <v/>
      </c>
      <c r="P323" s="23" t="inlineStr">
        <is>
          <t>Single Carrier (Band n50, 100MHz TDD)</t>
        </is>
      </c>
      <c r="Q323" s="27">
        <f>ROUNDUP(O323/'Methodology &amp; Assumptions'!$B$8, 0)</f>
        <v/>
      </c>
      <c r="R323" s="27" t="n">
        <v>1</v>
      </c>
      <c r="S323" s="26" t="n">
        <v>2.24</v>
      </c>
      <c r="T323" s="26" t="n">
        <v>0.87</v>
      </c>
      <c r="U323" s="11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26" t="n">
        <v>56.65</v>
      </c>
      <c r="W323" s="26" t="n">
        <v>71.92</v>
      </c>
      <c r="X323" s="26">
        <f>ROUND(('Methodology &amp; Assumptions'!$B$5*V323) + ('Methodology &amp; Assumptions'!$B$6*W323), 2)</f>
        <v/>
      </c>
      <c r="Y323" s="28" t="n">
        <v>8.300000000000001</v>
      </c>
      <c r="Z323" s="11" t="inlineStr">
        <is>
          <t>Priority Tier 2 (Balanced Opportunity)</t>
        </is>
      </c>
    </row>
    <row r="324">
      <c r="A324" s="23" t="n">
        <v>2</v>
      </c>
      <c r="B324" s="23" t="n">
        <v>320</v>
      </c>
      <c r="C324" s="23" t="n">
        <v>1320</v>
      </c>
      <c r="D324" s="23" t="inlineStr">
        <is>
          <t>1381200019</t>
        </is>
      </c>
      <c r="E324" s="11" t="inlineStr">
        <is>
          <t>National Capital Region (NCR)</t>
        </is>
      </c>
      <c r="F324" s="11" t="inlineStr">
        <is>
          <t>Second District (Not a Province)</t>
        </is>
      </c>
      <c r="G324" s="11" t="inlineStr">
        <is>
          <t>City of Pasig</t>
        </is>
      </c>
      <c r="H324" s="11" t="inlineStr">
        <is>
          <t>San Antonio</t>
        </is>
      </c>
      <c r="I324" s="24" t="n">
        <v>14.577656</v>
      </c>
      <c r="J324" s="24" t="n">
        <v>121.060227</v>
      </c>
      <c r="K324" s="23" t="inlineStr">
        <is>
          <t>U</t>
        </is>
      </c>
      <c r="L324" s="25" t="n">
        <v>14904</v>
      </c>
      <c r="M324" s="26" t="n">
        <v>3.59</v>
      </c>
      <c r="N324" s="25">
        <f>ROUND(L324/M324, 0)</f>
        <v/>
      </c>
      <c r="O324" s="25">
        <f>ROUND(N324*'Methodology &amp; Assumptions'!$B$7, 0)</f>
        <v/>
      </c>
      <c r="P324" s="23" t="inlineStr">
        <is>
          <t>Single Carrier (Band n50, 100MHz TDD)</t>
        </is>
      </c>
      <c r="Q324" s="27">
        <f>ROUNDUP(O324/'Methodology &amp; Assumptions'!$B$8, 0)</f>
        <v/>
      </c>
      <c r="R324" s="27" t="n">
        <v>1</v>
      </c>
      <c r="S324" s="26" t="n">
        <v>1.1</v>
      </c>
      <c r="T324" s="26" t="n">
        <v>0.29</v>
      </c>
      <c r="U324" s="11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26" t="n">
        <v>68.09</v>
      </c>
      <c r="W324" s="26" t="n">
        <v>60.45</v>
      </c>
      <c r="X324" s="26">
        <f>ROUND(('Methodology &amp; Assumptions'!$B$5*V324) + ('Methodology &amp; Assumptions'!$B$6*W324), 2)</f>
        <v/>
      </c>
      <c r="Y324" s="28" t="n">
        <v>10.9</v>
      </c>
      <c r="Z324" s="11" t="inlineStr">
        <is>
          <t>Priority Tier 2 (Balanced Opportunity)</t>
        </is>
      </c>
    </row>
    <row r="325">
      <c r="A325" s="23" t="n">
        <v>2</v>
      </c>
      <c r="B325" s="23" t="n">
        <v>321</v>
      </c>
      <c r="C325" s="23" t="n">
        <v>1321</v>
      </c>
      <c r="D325" s="23" t="inlineStr">
        <is>
          <t>1380606173</t>
        </is>
      </c>
      <c r="E325" s="11" t="inlineStr">
        <is>
          <t>National Capital Region (NCR)</t>
        </is>
      </c>
      <c r="F325" s="11" t="inlineStr">
        <is>
          <t>First District (Not a Province)</t>
        </is>
      </c>
      <c r="G325" s="11" t="inlineStr">
        <is>
          <t>City of Manila</t>
        </is>
      </c>
      <c r="H325" s="11" t="inlineStr">
        <is>
          <t>Barangay 567</t>
        </is>
      </c>
      <c r="I325" s="24" t="n">
        <v>14.607712</v>
      </c>
      <c r="J325" s="24" t="n">
        <v>121.005702</v>
      </c>
      <c r="K325" s="23" t="inlineStr">
        <is>
          <t>U</t>
        </is>
      </c>
      <c r="L325" s="25" t="n">
        <v>2437</v>
      </c>
      <c r="M325" s="26" t="n">
        <v>4.17</v>
      </c>
      <c r="N325" s="25">
        <f>ROUND(L325/M325, 0)</f>
        <v/>
      </c>
      <c r="O325" s="25">
        <f>ROUND(N325*'Methodology &amp; Assumptions'!$B$7, 0)</f>
        <v/>
      </c>
      <c r="P325" s="23" t="inlineStr">
        <is>
          <t>Single Carrier (Band n50, 100MHz TDD)</t>
        </is>
      </c>
      <c r="Q325" s="27">
        <f>ROUNDUP(O325/'Methodology &amp; Assumptions'!$B$8, 0)</f>
        <v/>
      </c>
      <c r="R325" s="27" t="n">
        <v>1</v>
      </c>
      <c r="S325" s="26" t="n">
        <v>0.42</v>
      </c>
      <c r="T325" s="26" t="n">
        <v>0.39</v>
      </c>
      <c r="U325" s="11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26" t="n">
        <v>59.84</v>
      </c>
      <c r="W325" s="26" t="n">
        <v>68.70999999999999</v>
      </c>
      <c r="X325" s="26">
        <f>ROUND(('Methodology &amp; Assumptions'!$B$5*V325) + ('Methodology &amp; Assumptions'!$B$6*W325), 2)</f>
        <v/>
      </c>
      <c r="Y325" s="28" t="n">
        <v>10.9</v>
      </c>
      <c r="Z325" s="11" t="inlineStr">
        <is>
          <t>Priority Tier 2 (Balanced Opportunity)</t>
        </is>
      </c>
    </row>
    <row r="326">
      <c r="A326" s="23" t="n">
        <v>2</v>
      </c>
      <c r="B326" s="23" t="n">
        <v>322</v>
      </c>
      <c r="C326" s="23" t="n">
        <v>1322</v>
      </c>
      <c r="D326" s="23" t="inlineStr">
        <is>
          <t>1108601006</t>
        </is>
      </c>
      <c r="E326" s="11" t="inlineStr">
        <is>
          <t>Region XI (Davao Region)</t>
        </is>
      </c>
      <c r="F326" s="11" t="inlineStr">
        <is>
          <t>Davao Occidental</t>
        </is>
      </c>
      <c r="G326" s="11" t="inlineStr">
        <is>
          <t>Don Marcelino</t>
        </is>
      </c>
      <c r="H326" s="11" t="inlineStr">
        <is>
          <t>Talagutong</t>
        </is>
      </c>
      <c r="I326" s="24" t="n">
        <v>6.240583</v>
      </c>
      <c r="J326" s="24" t="n">
        <v>125.664216</v>
      </c>
      <c r="K326" s="23" t="inlineStr">
        <is>
          <t>U</t>
        </is>
      </c>
      <c r="L326" s="25" t="n">
        <v>7486</v>
      </c>
      <c r="M326" s="26" t="n">
        <v>3.6</v>
      </c>
      <c r="N326" s="25">
        <f>ROUND(L326/M326, 0)</f>
        <v/>
      </c>
      <c r="O326" s="25">
        <f>ROUND(N326*'Methodology &amp; Assumptions'!$B$7, 0)</f>
        <v/>
      </c>
      <c r="P326" s="23" t="inlineStr">
        <is>
          <t>Single Carrier (Band n50, 100MHz TDD)</t>
        </is>
      </c>
      <c r="Q326" s="27">
        <f>ROUNDUP(O326/'Methodology &amp; Assumptions'!$B$8, 0)</f>
        <v/>
      </c>
      <c r="R326" s="27" t="n">
        <v>1</v>
      </c>
      <c r="S326" s="26" t="n">
        <v>45.28</v>
      </c>
      <c r="T326" s="26" t="n">
        <v>44.39</v>
      </c>
      <c r="U326" s="11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26" t="n">
        <v>54.62</v>
      </c>
      <c r="W326" s="26" t="n">
        <v>73.93000000000001</v>
      </c>
      <c r="X326" s="26">
        <f>ROUND(('Methodology &amp; Assumptions'!$B$5*V326) + ('Methodology &amp; Assumptions'!$B$6*W326), 2)</f>
        <v/>
      </c>
      <c r="Y326" s="28" t="n">
        <v>17.4</v>
      </c>
      <c r="Z326" s="11" t="inlineStr">
        <is>
          <t>Priority Tier 2 (Balanced Opportunity)</t>
        </is>
      </c>
    </row>
    <row r="327">
      <c r="A327" s="23" t="n">
        <v>2</v>
      </c>
      <c r="B327" s="23" t="n">
        <v>323</v>
      </c>
      <c r="C327" s="23" t="n">
        <v>1323</v>
      </c>
      <c r="D327" s="23" t="inlineStr">
        <is>
          <t>1102403028</t>
        </is>
      </c>
      <c r="E327" s="11" t="inlineStr">
        <is>
          <t>Region XI (Davao Region)</t>
        </is>
      </c>
      <c r="F327" s="11" t="inlineStr">
        <is>
          <t>Davao del Sur</t>
        </is>
      </c>
      <c r="G327" s="11" t="inlineStr">
        <is>
          <t>City of Digos</t>
        </is>
      </c>
      <c r="H327" s="11" t="inlineStr">
        <is>
          <t>Zone 1</t>
        </is>
      </c>
      <c r="I327" s="24" t="n">
        <v>6.75644</v>
      </c>
      <c r="J327" s="24" t="n">
        <v>125.36184</v>
      </c>
      <c r="K327" s="23" t="inlineStr">
        <is>
          <t>U</t>
        </is>
      </c>
      <c r="L327" s="25" t="n">
        <v>17556</v>
      </c>
      <c r="M327" s="26" t="n">
        <v>3.4</v>
      </c>
      <c r="N327" s="25">
        <f>ROUND(L327/M327, 0)</f>
        <v/>
      </c>
      <c r="O327" s="25">
        <f>ROUND(N327*'Methodology &amp; Assumptions'!$B$7, 0)</f>
        <v/>
      </c>
      <c r="P327" s="23" t="inlineStr">
        <is>
          <t>Single Carrier (Band n50, 100MHz TDD)</t>
        </is>
      </c>
      <c r="Q327" s="27">
        <f>ROUNDUP(O327/'Methodology &amp; Assumptions'!$B$8, 0)</f>
        <v/>
      </c>
      <c r="R327" s="27" t="n">
        <v>1</v>
      </c>
      <c r="S327" s="26" t="n">
        <v>0.66</v>
      </c>
      <c r="T327" s="26" t="n">
        <v>1.29</v>
      </c>
      <c r="U327" s="11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26" t="n">
        <v>79.87</v>
      </c>
      <c r="W327" s="26" t="n">
        <v>48.66</v>
      </c>
      <c r="X327" s="26">
        <f>ROUND(('Methodology &amp; Assumptions'!$B$5*V327) + ('Methodology &amp; Assumptions'!$B$6*W327), 2)</f>
        <v/>
      </c>
      <c r="Y327" s="28" t="n">
        <v>17.4</v>
      </c>
      <c r="Z327" s="11" t="inlineStr">
        <is>
          <t>Priority Tier 2 (Balanced Opportunity)</t>
        </is>
      </c>
    </row>
    <row r="328">
      <c r="A328" s="23" t="n">
        <v>2</v>
      </c>
      <c r="B328" s="23" t="n">
        <v>324</v>
      </c>
      <c r="C328" s="23" t="n">
        <v>1324</v>
      </c>
      <c r="D328" s="23" t="inlineStr">
        <is>
          <t>1380610039</t>
        </is>
      </c>
      <c r="E328" s="11" t="inlineStr">
        <is>
          <t>National Capital Region (NCR)</t>
        </is>
      </c>
      <c r="F328" s="11" t="inlineStr">
        <is>
          <t>First District (Not a Province)</t>
        </is>
      </c>
      <c r="G328" s="11" t="inlineStr">
        <is>
          <t>City of Manila</t>
        </is>
      </c>
      <c r="H328" s="11" t="inlineStr">
        <is>
          <t>Barangay 724</t>
        </is>
      </c>
      <c r="I328" s="24" t="n">
        <v>14.56994</v>
      </c>
      <c r="J328" s="24" t="n">
        <v>120.994106</v>
      </c>
      <c r="K328" s="23" t="inlineStr">
        <is>
          <t>U</t>
        </is>
      </c>
      <c r="L328" s="25" t="n">
        <v>2459</v>
      </c>
      <c r="M328" s="26" t="n">
        <v>4.14</v>
      </c>
      <c r="N328" s="25">
        <f>ROUND(L328/M328, 0)</f>
        <v/>
      </c>
      <c r="O328" s="25">
        <f>ROUND(N328*'Methodology &amp; Assumptions'!$B$7, 0)</f>
        <v/>
      </c>
      <c r="P328" s="23" t="inlineStr">
        <is>
          <t>Single Carrier (Band n50, 100MHz TDD)</t>
        </is>
      </c>
      <c r="Q328" s="27">
        <f>ROUNDUP(O328/'Methodology &amp; Assumptions'!$B$8, 0)</f>
        <v/>
      </c>
      <c r="R328" s="27" t="n">
        <v>1</v>
      </c>
      <c r="S328" s="26" t="n">
        <v>0.23</v>
      </c>
      <c r="T328" s="26" t="n">
        <v>0.26</v>
      </c>
      <c r="U328" s="11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26" t="n">
        <v>60.16</v>
      </c>
      <c r="W328" s="26" t="n">
        <v>68.36</v>
      </c>
      <c r="X328" s="26">
        <f>ROUND(('Methodology &amp; Assumptions'!$B$5*V328) + ('Methodology &amp; Assumptions'!$B$6*W328), 2)</f>
        <v/>
      </c>
      <c r="Y328" s="28" t="n">
        <v>10.9</v>
      </c>
      <c r="Z328" s="11" t="inlineStr">
        <is>
          <t>Priority Tier 2 (Balanced Opportunity)</t>
        </is>
      </c>
    </row>
    <row r="329">
      <c r="A329" s="23" t="n">
        <v>2</v>
      </c>
      <c r="B329" s="23" t="n">
        <v>325</v>
      </c>
      <c r="C329" s="23" t="n">
        <v>1325</v>
      </c>
      <c r="D329" s="23" t="inlineStr">
        <is>
          <t>1381000013</t>
        </is>
      </c>
      <c r="E329" s="11" t="inlineStr">
        <is>
          <t>National Capital Region (NCR)</t>
        </is>
      </c>
      <c r="F329" s="11" t="inlineStr">
        <is>
          <t>Fourth District (Not a Province)</t>
        </is>
      </c>
      <c r="G329" s="11" t="inlineStr">
        <is>
          <t>City of Parañaque</t>
        </is>
      </c>
      <c r="H329" s="11" t="inlineStr">
        <is>
          <t>San Isidro</t>
        </is>
      </c>
      <c r="I329" s="24" t="n">
        <v>14.469222</v>
      </c>
      <c r="J329" s="24" t="n">
        <v>121.011229</v>
      </c>
      <c r="K329" s="23" t="inlineStr">
        <is>
          <t>U</t>
        </is>
      </c>
      <c r="L329" s="25" t="n">
        <v>78765</v>
      </c>
      <c r="M329" s="26" t="n">
        <v>3.18</v>
      </c>
      <c r="N329" s="25">
        <f>ROUND(L329/M329, 0)</f>
        <v/>
      </c>
      <c r="O329" s="25">
        <f>ROUND(N329*'Methodology &amp; Assumptions'!$B$7, 0)</f>
        <v/>
      </c>
      <c r="P329" s="23" t="inlineStr">
        <is>
          <t>Single Carrier (Band n50, 100MHz TDD)</t>
        </is>
      </c>
      <c r="Q329" s="27">
        <f>ROUNDUP(O329/'Methodology &amp; Assumptions'!$B$8, 0)</f>
        <v/>
      </c>
      <c r="R329" s="27" t="n">
        <v>1</v>
      </c>
      <c r="S329" s="26" t="n">
        <v>2.24</v>
      </c>
      <c r="T329" s="26" t="n">
        <v>0.05</v>
      </c>
      <c r="U329" s="11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26" t="n">
        <v>59.98</v>
      </c>
      <c r="W329" s="26" t="n">
        <v>68.54000000000001</v>
      </c>
      <c r="X329" s="26">
        <f>ROUND(('Methodology &amp; Assumptions'!$B$5*V329) + ('Methodology &amp; Assumptions'!$B$6*W329), 2)</f>
        <v/>
      </c>
      <c r="Y329" s="28" t="n">
        <v>10.9</v>
      </c>
      <c r="Z329" s="11" t="inlineStr">
        <is>
          <t>Priority Tier 2 (Balanced Opportunity)</t>
        </is>
      </c>
    </row>
    <row r="330">
      <c r="A330" s="23" t="n">
        <v>2</v>
      </c>
      <c r="B330" s="23" t="n">
        <v>326</v>
      </c>
      <c r="C330" s="23" t="n">
        <v>1326</v>
      </c>
      <c r="D330" s="23" t="inlineStr">
        <is>
          <t>0500511007</t>
        </is>
      </c>
      <c r="E330" s="11" t="inlineStr">
        <is>
          <t>Region V (Bicol Region)</t>
        </is>
      </c>
      <c r="F330" s="11" t="inlineStr">
        <is>
          <t>Albay</t>
        </is>
      </c>
      <c r="G330" s="11" t="inlineStr">
        <is>
          <t>Manito</t>
        </is>
      </c>
      <c r="H330" s="11" t="inlineStr">
        <is>
          <t>Cawayan</t>
        </is>
      </c>
      <c r="I330" s="24" t="n">
        <v>13.054004</v>
      </c>
      <c r="J330" s="24" t="n">
        <v>123.857874</v>
      </c>
      <c r="K330" s="23" t="inlineStr">
        <is>
          <t>R</t>
        </is>
      </c>
      <c r="L330" s="25" t="n">
        <v>1873</v>
      </c>
      <c r="M330" s="26" t="n">
        <v>4.1</v>
      </c>
      <c r="N330" s="25">
        <f>ROUND(L330/M330, 0)</f>
        <v/>
      </c>
      <c r="O330" s="25">
        <f>ROUND(N330*'Methodology &amp; Assumptions'!$B$7, 0)</f>
        <v/>
      </c>
      <c r="P330" s="23" t="inlineStr">
        <is>
          <t>Single Carrier (Band n50, 100MHz TDD)</t>
        </is>
      </c>
      <c r="Q330" s="27">
        <f>ROUNDUP(O330/'Methodology &amp; Assumptions'!$B$8, 0)</f>
        <v/>
      </c>
      <c r="R330" s="27" t="n">
        <v>1</v>
      </c>
      <c r="S330" s="26" t="n">
        <v>7.88</v>
      </c>
      <c r="T330" s="26" t="n">
        <v>7.22</v>
      </c>
      <c r="U330" s="11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26" t="n">
        <v>56.55</v>
      </c>
      <c r="W330" s="26" t="n">
        <v>71.97</v>
      </c>
      <c r="X330" s="26">
        <f>ROUND(('Methodology &amp; Assumptions'!$B$5*V330) + ('Methodology &amp; Assumptions'!$B$6*W330), 2)</f>
        <v/>
      </c>
      <c r="Y330" s="28" t="n">
        <v>23.7</v>
      </c>
      <c r="Z330" s="11" t="inlineStr">
        <is>
          <t>Priority Tier 2 (Balanced Opportunity)</t>
        </is>
      </c>
    </row>
    <row r="331">
      <c r="A331" s="23" t="n">
        <v>2</v>
      </c>
      <c r="B331" s="23" t="n">
        <v>327</v>
      </c>
      <c r="C331" s="23" t="n">
        <v>1327</v>
      </c>
      <c r="D331" s="23" t="inlineStr">
        <is>
          <t>0604528025</t>
        </is>
      </c>
      <c r="E331" s="11" t="inlineStr">
        <is>
          <t>Region VI (Western Visayas)</t>
        </is>
      </c>
      <c r="F331" s="11" t="inlineStr">
        <is>
          <t>Negros Occidental</t>
        </is>
      </c>
      <c r="G331" s="11" t="inlineStr">
        <is>
          <t>City of Talisay</t>
        </is>
      </c>
      <c r="H331" s="11" t="inlineStr">
        <is>
          <t>Zone 9</t>
        </is>
      </c>
      <c r="I331" s="24" t="n">
        <v>10.735805</v>
      </c>
      <c r="J331" s="24" t="n">
        <v>122.967897</v>
      </c>
      <c r="K331" s="23" t="inlineStr">
        <is>
          <t>R</t>
        </is>
      </c>
      <c r="L331" s="25" t="n">
        <v>996</v>
      </c>
      <c r="M331" s="26" t="n">
        <v>3.7</v>
      </c>
      <c r="N331" s="25">
        <f>ROUND(L331/M331, 0)</f>
        <v/>
      </c>
      <c r="O331" s="25">
        <f>ROUND(N331*'Methodology &amp; Assumptions'!$B$7, 0)</f>
        <v/>
      </c>
      <c r="P331" s="23" t="inlineStr">
        <is>
          <t>Single Carrier (Band n50, 100MHz TDD)</t>
        </is>
      </c>
      <c r="Q331" s="27">
        <f>ROUNDUP(O331/'Methodology &amp; Assumptions'!$B$8, 0)</f>
        <v/>
      </c>
      <c r="R331" s="27" t="n">
        <v>1</v>
      </c>
      <c r="S331" s="26" t="n">
        <v>0.54</v>
      </c>
      <c r="T331" s="26" t="n">
        <v>0.18</v>
      </c>
      <c r="U331" s="11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26" t="n">
        <v>69.67</v>
      </c>
      <c r="W331" s="26" t="n">
        <v>58.84</v>
      </c>
      <c r="X331" s="26">
        <f>ROUND(('Methodology &amp; Assumptions'!$B$5*V331) + ('Methodology &amp; Assumptions'!$B$6*W331), 2)</f>
        <v/>
      </c>
      <c r="Y331" s="28" t="n">
        <v>23.7</v>
      </c>
      <c r="Z331" s="11" t="inlineStr">
        <is>
          <t>Priority Tier 2 (Balanced Opportunity)</t>
        </is>
      </c>
    </row>
    <row r="332">
      <c r="A332" s="23" t="n">
        <v>2</v>
      </c>
      <c r="B332" s="23" t="n">
        <v>328</v>
      </c>
      <c r="C332" s="23" t="n">
        <v>1328</v>
      </c>
      <c r="D332" s="23" t="inlineStr">
        <is>
          <t>1381000012</t>
        </is>
      </c>
      <c r="E332" s="11" t="inlineStr">
        <is>
          <t>National Capital Region (NCR)</t>
        </is>
      </c>
      <c r="F332" s="11" t="inlineStr">
        <is>
          <t>Fourth District (Not a Province)</t>
        </is>
      </c>
      <c r="G332" s="11" t="inlineStr">
        <is>
          <t>City of Parañaque</t>
        </is>
      </c>
      <c r="H332" s="11" t="inlineStr">
        <is>
          <t>San Antonio</t>
        </is>
      </c>
      <c r="I332" s="24" t="n">
        <v>14.469527</v>
      </c>
      <c r="J332" s="24" t="n">
        <v>121.024127</v>
      </c>
      <c r="K332" s="23" t="inlineStr">
        <is>
          <t>U</t>
        </is>
      </c>
      <c r="L332" s="25" t="n">
        <v>73832</v>
      </c>
      <c r="M332" s="26" t="n">
        <v>3.52</v>
      </c>
      <c r="N332" s="25">
        <f>ROUND(L332/M332, 0)</f>
        <v/>
      </c>
      <c r="O332" s="25">
        <f>ROUND(N332*'Methodology &amp; Assumptions'!$B$7, 0)</f>
        <v/>
      </c>
      <c r="P332" s="23" t="inlineStr">
        <is>
          <t>Single Carrier (Band n50, 100MHz TDD)</t>
        </is>
      </c>
      <c r="Q332" s="27">
        <f>ROUNDUP(O332/'Methodology &amp; Assumptions'!$B$8, 0)</f>
        <v/>
      </c>
      <c r="R332" s="27" t="n">
        <v>1</v>
      </c>
      <c r="S332" s="26" t="n">
        <v>1.83</v>
      </c>
      <c r="T332" s="26" t="n">
        <v>0.29</v>
      </c>
      <c r="U332" s="11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26" t="n">
        <v>61.74</v>
      </c>
      <c r="W332" s="26" t="n">
        <v>66.77</v>
      </c>
      <c r="X332" s="26">
        <f>ROUND(('Methodology &amp; Assumptions'!$B$5*V332) + ('Methodology &amp; Assumptions'!$B$6*W332), 2)</f>
        <v/>
      </c>
      <c r="Y332" s="28" t="n">
        <v>10.9</v>
      </c>
      <c r="Z332" s="11" t="inlineStr">
        <is>
          <t>Priority Tier 2 (Balanced Opportunity)</t>
        </is>
      </c>
    </row>
    <row r="333">
      <c r="A333" s="23" t="n">
        <v>2</v>
      </c>
      <c r="B333" s="23" t="n">
        <v>329</v>
      </c>
      <c r="C333" s="23" t="n">
        <v>1329</v>
      </c>
      <c r="D333" s="23" t="inlineStr">
        <is>
          <t>1380606203</t>
        </is>
      </c>
      <c r="E333" s="11" t="inlineStr">
        <is>
          <t>National Capital Region (NCR)</t>
        </is>
      </c>
      <c r="F333" s="11" t="inlineStr">
        <is>
          <t>First District (Not a Province)</t>
        </is>
      </c>
      <c r="G333" s="11" t="inlineStr">
        <is>
          <t>City of Manila</t>
        </is>
      </c>
      <c r="H333" s="11" t="inlineStr">
        <is>
          <t>Barangay 596</t>
        </is>
      </c>
      <c r="I333" s="24" t="n">
        <v>14.601595</v>
      </c>
      <c r="J333" s="24" t="n">
        <v>121.017562</v>
      </c>
      <c r="K333" s="23" t="inlineStr">
        <is>
          <t>U</t>
        </is>
      </c>
      <c r="L333" s="25" t="n">
        <v>2467</v>
      </c>
      <c r="M333" s="26" t="n">
        <v>4.3</v>
      </c>
      <c r="N333" s="25">
        <f>ROUND(L333/M333, 0)</f>
        <v/>
      </c>
      <c r="O333" s="25">
        <f>ROUND(N333*'Methodology &amp; Assumptions'!$B$7, 0)</f>
        <v/>
      </c>
      <c r="P333" s="23" t="inlineStr">
        <is>
          <t>Single Carrier (Band n50, 100MHz TDD)</t>
        </is>
      </c>
      <c r="Q333" s="27">
        <f>ROUNDUP(O333/'Methodology &amp; Assumptions'!$B$8, 0)</f>
        <v/>
      </c>
      <c r="R333" s="27" t="n">
        <v>1</v>
      </c>
      <c r="S333" s="26" t="n">
        <v>1.4</v>
      </c>
      <c r="T333" s="26" t="n">
        <v>0.25</v>
      </c>
      <c r="U333" s="11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26" t="n">
        <v>57.39</v>
      </c>
      <c r="W333" s="26" t="n">
        <v>71.12</v>
      </c>
      <c r="X333" s="26">
        <f>ROUND(('Methodology &amp; Assumptions'!$B$5*V333) + ('Methodology &amp; Assumptions'!$B$6*W333), 2)</f>
        <v/>
      </c>
      <c r="Y333" s="28" t="n">
        <v>10.9</v>
      </c>
      <c r="Z333" s="11" t="inlineStr">
        <is>
          <t>Priority Tier 2 (Balanced Opportunity)</t>
        </is>
      </c>
    </row>
    <row r="334">
      <c r="A334" s="23" t="n">
        <v>2</v>
      </c>
      <c r="B334" s="23" t="n">
        <v>330</v>
      </c>
      <c r="C334" s="23" t="n">
        <v>1330</v>
      </c>
      <c r="D334" s="23" t="inlineStr">
        <is>
          <t>0305417014</t>
        </is>
      </c>
      <c r="E334" s="11" t="inlineStr">
        <is>
          <t>Region III (Central Luzon)</t>
        </is>
      </c>
      <c r="F334" s="11" t="inlineStr">
        <is>
          <t>Pampanga</t>
        </is>
      </c>
      <c r="G334" s="11" t="inlineStr">
        <is>
          <t>San Luis</t>
        </is>
      </c>
      <c r="H334" s="11" t="inlineStr">
        <is>
          <t>Santa Monica</t>
        </is>
      </c>
      <c r="I334" s="24" t="n">
        <v>15.036713</v>
      </c>
      <c r="J334" s="24" t="n">
        <v>120.789231</v>
      </c>
      <c r="K334" s="23" t="inlineStr">
        <is>
          <t>R</t>
        </is>
      </c>
      <c r="L334" s="25" t="n">
        <v>3403</v>
      </c>
      <c r="M334" s="26" t="n">
        <v>4</v>
      </c>
      <c r="N334" s="25">
        <f>ROUND(L334/M334, 0)</f>
        <v/>
      </c>
      <c r="O334" s="25">
        <f>ROUND(N334*'Methodology &amp; Assumptions'!$B$7, 0)</f>
        <v/>
      </c>
      <c r="P334" s="23" t="inlineStr">
        <is>
          <t>Single Carrier (Band n50, 100MHz TDD)</t>
        </is>
      </c>
      <c r="Q334" s="27">
        <f>ROUNDUP(O334/'Methodology &amp; Assumptions'!$B$8, 0)</f>
        <v/>
      </c>
      <c r="R334" s="27" t="n">
        <v>1</v>
      </c>
      <c r="S334" s="26" t="n">
        <v>0.27</v>
      </c>
      <c r="T334" s="26" t="n">
        <v>0.14</v>
      </c>
      <c r="U334" s="11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26" t="n">
        <v>85.63</v>
      </c>
      <c r="W334" s="26" t="n">
        <v>42.84</v>
      </c>
      <c r="X334" s="26">
        <f>ROUND(('Methodology &amp; Assumptions'!$B$5*V334) + ('Methodology &amp; Assumptions'!$B$6*W334), 2)</f>
        <v/>
      </c>
      <c r="Y334" s="28" t="n">
        <v>8.300000000000001</v>
      </c>
      <c r="Z334" s="11" t="inlineStr">
        <is>
          <t>Priority Tier 2 (Balanced Opportunity)</t>
        </is>
      </c>
    </row>
    <row r="335">
      <c r="A335" s="23" t="n">
        <v>2</v>
      </c>
      <c r="B335" s="23" t="n">
        <v>331</v>
      </c>
      <c r="C335" s="23" t="n">
        <v>1331</v>
      </c>
      <c r="D335" s="23" t="inlineStr">
        <is>
          <t>0103314051</t>
        </is>
      </c>
      <c r="E335" s="11" t="inlineStr">
        <is>
          <t>Region I (Ilocos Region)</t>
        </is>
      </c>
      <c r="F335" s="11" t="inlineStr">
        <is>
          <t>La Union</t>
        </is>
      </c>
      <c r="G335" s="11" t="inlineStr">
        <is>
          <t>City of San Fernando</t>
        </is>
      </c>
      <c r="H335" s="11" t="inlineStr">
        <is>
          <t>San Agustin</t>
        </is>
      </c>
      <c r="I335" s="24" t="n">
        <v>16.606037</v>
      </c>
      <c r="J335" s="24" t="n">
        <v>120.298778</v>
      </c>
      <c r="K335" s="23" t="inlineStr">
        <is>
          <t>R</t>
        </is>
      </c>
      <c r="L335" s="25" t="n">
        <v>2277</v>
      </c>
      <c r="M335" s="26" t="n">
        <v>3.7</v>
      </c>
      <c r="N335" s="25">
        <f>ROUND(L335/M335, 0)</f>
        <v/>
      </c>
      <c r="O335" s="25">
        <f>ROUND(N335*'Methodology &amp; Assumptions'!$B$7, 0)</f>
        <v/>
      </c>
      <c r="P335" s="23" t="inlineStr">
        <is>
          <t>Single Carrier (Band n50, 100MHz TDD)</t>
        </is>
      </c>
      <c r="Q335" s="27">
        <f>ROUNDUP(O335/'Methodology &amp; Assumptions'!$B$8, 0)</f>
        <v/>
      </c>
      <c r="R335" s="27" t="n">
        <v>1</v>
      </c>
      <c r="S335" s="26" t="n">
        <v>2.04</v>
      </c>
      <c r="T335" s="26" t="n">
        <v>1.11</v>
      </c>
      <c r="U335" s="11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26" t="n">
        <v>74.58</v>
      </c>
      <c r="W335" s="26" t="n">
        <v>53.91</v>
      </c>
      <c r="X335" s="26">
        <f>ROUND(('Methodology &amp; Assumptions'!$B$5*V335) + ('Methodology &amp; Assumptions'!$B$6*W335), 2)</f>
        <v/>
      </c>
      <c r="Y335" s="28" t="n">
        <v>8.300000000000001</v>
      </c>
      <c r="Z335" s="11" t="inlineStr">
        <is>
          <t>Priority Tier 2 (Balanced Opportunity)</t>
        </is>
      </c>
    </row>
    <row r="336">
      <c r="A336" s="23" t="n">
        <v>2</v>
      </c>
      <c r="B336" s="23" t="n">
        <v>332</v>
      </c>
      <c r="C336" s="23" t="n">
        <v>1332</v>
      </c>
      <c r="D336" s="23" t="inlineStr">
        <is>
          <t>1380614029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773</t>
        </is>
      </c>
      <c r="I336" s="24" t="n">
        <v>14.573823</v>
      </c>
      <c r="J336" s="24" t="n">
        <v>121.007498</v>
      </c>
      <c r="K336" s="23" t="inlineStr">
        <is>
          <t>U</t>
        </is>
      </c>
      <c r="L336" s="25" t="n">
        <v>2656</v>
      </c>
      <c r="M336" s="26" t="n">
        <v>4.31</v>
      </c>
      <c r="N336" s="25">
        <f>ROUND(L336/M336, 0)</f>
        <v/>
      </c>
      <c r="O336" s="25">
        <f>ROUND(N336*'Methodology &amp; Assumptions'!$B$7, 0)</f>
        <v/>
      </c>
      <c r="P336" s="23" t="inlineStr">
        <is>
          <t>Single Carrier (Band n50, 100MHz TDD)</t>
        </is>
      </c>
      <c r="Q336" s="27">
        <f>ROUNDUP(O336/'Methodology &amp; Assumptions'!$B$8, 0)</f>
        <v/>
      </c>
      <c r="R336" s="27" t="n">
        <v>1</v>
      </c>
      <c r="S336" s="26" t="n">
        <v>1.28</v>
      </c>
      <c r="T336" s="26" t="n">
        <v>0.5</v>
      </c>
      <c r="U336" s="11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26" t="n">
        <v>59.23</v>
      </c>
      <c r="W336" s="26" t="n">
        <v>69.25</v>
      </c>
      <c r="X336" s="26">
        <f>ROUND(('Methodology &amp; Assumptions'!$B$5*V336) + ('Methodology &amp; Assumptions'!$B$6*W336), 2)</f>
        <v/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2</v>
      </c>
      <c r="B337" s="23" t="n">
        <v>333</v>
      </c>
      <c r="C337" s="23" t="n">
        <v>1333</v>
      </c>
      <c r="D337" s="23" t="inlineStr">
        <is>
          <t>1380611009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675</t>
        </is>
      </c>
      <c r="I337" s="24" t="n">
        <v>14.577721</v>
      </c>
      <c r="J337" s="24" t="n">
        <v>120.990114</v>
      </c>
      <c r="K337" s="23" t="inlineStr">
        <is>
          <t>U</t>
        </is>
      </c>
      <c r="L337" s="25" t="n">
        <v>2044</v>
      </c>
      <c r="M337" s="26" t="n">
        <v>3.92</v>
      </c>
      <c r="N337" s="25">
        <f>ROUND(L337/M337, 0)</f>
        <v/>
      </c>
      <c r="O337" s="25">
        <f>ROUND(N337*'Methodology &amp; Assumptions'!$B$7, 0)</f>
        <v/>
      </c>
      <c r="P337" s="23" t="inlineStr">
        <is>
          <t>Single Carrier (Band n50, 100MHz TDD)</t>
        </is>
      </c>
      <c r="Q337" s="27">
        <f>ROUNDUP(O337/'Methodology &amp; Assumptions'!$B$8, 0)</f>
        <v/>
      </c>
      <c r="R337" s="27" t="n">
        <v>1</v>
      </c>
      <c r="S337" s="26" t="n">
        <v>0.77</v>
      </c>
      <c r="T337" s="26" t="n">
        <v>0.22</v>
      </c>
      <c r="U337" s="11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26" t="n">
        <v>57.91</v>
      </c>
      <c r="W337" s="26" t="n">
        <v>70.58</v>
      </c>
      <c r="X337" s="26">
        <f>ROUND(('Methodology &amp; Assumptions'!$B$5*V337) + ('Methodology &amp; Assumptions'!$B$6*W337), 2)</f>
        <v/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2</v>
      </c>
      <c r="B338" s="23" t="n">
        <v>334</v>
      </c>
      <c r="C338" s="23" t="n">
        <v>1334</v>
      </c>
      <c r="D338" s="23" t="inlineStr">
        <is>
          <t>0702223031</t>
        </is>
      </c>
      <c r="E338" s="11" t="inlineStr">
        <is>
          <t>Region VII (Central Visayas)</t>
        </is>
      </c>
      <c r="F338" s="11" t="inlineStr">
        <is>
          <t>Cebu</t>
        </is>
      </c>
      <c r="G338" s="11" t="inlineStr">
        <is>
          <t>Danao City</t>
        </is>
      </c>
      <c r="H338" s="11" t="inlineStr">
        <is>
          <t>Poblacion</t>
        </is>
      </c>
      <c r="I338" s="24" t="n">
        <v>10.517552</v>
      </c>
      <c r="J338" s="24" t="n">
        <v>124.024234</v>
      </c>
      <c r="K338" s="23" t="inlineStr">
        <is>
          <t>U</t>
        </is>
      </c>
      <c r="L338" s="25" t="n">
        <v>9928</v>
      </c>
      <c r="M338" s="26" t="n">
        <v>3.8</v>
      </c>
      <c r="N338" s="25">
        <f>ROUND(L338/M338, 0)</f>
        <v/>
      </c>
      <c r="O338" s="25">
        <f>ROUND(N338*'Methodology &amp; Assumptions'!$B$7, 0)</f>
        <v/>
      </c>
      <c r="P338" s="23" t="inlineStr">
        <is>
          <t>Single Carrier (Band n50, 100MHz TDD)</t>
        </is>
      </c>
      <c r="Q338" s="27">
        <f>ROUNDUP(O338/'Methodology &amp; Assumptions'!$B$8, 0)</f>
        <v/>
      </c>
      <c r="R338" s="27" t="n">
        <v>1</v>
      </c>
      <c r="S338" s="26" t="n">
        <v>0.53</v>
      </c>
      <c r="T338" s="26" t="n">
        <v>0.14</v>
      </c>
      <c r="U338" s="11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26" t="n">
        <v>80.86</v>
      </c>
      <c r="W338" s="26" t="n">
        <v>47.6</v>
      </c>
      <c r="X338" s="26">
        <f>ROUND(('Methodology &amp; Assumptions'!$B$5*V338) + ('Methodology &amp; Assumptions'!$B$6*W338), 2)</f>
        <v/>
      </c>
      <c r="Y338" s="28" t="n">
        <v>23.7</v>
      </c>
      <c r="Z338" s="11" t="inlineStr">
        <is>
          <t>Priority Tier 2 (Balanced Opportunity)</t>
        </is>
      </c>
    </row>
    <row r="339">
      <c r="A339" s="23" t="n">
        <v>2</v>
      </c>
      <c r="B339" s="23" t="n">
        <v>335</v>
      </c>
      <c r="C339" s="23" t="n">
        <v>1335</v>
      </c>
      <c r="D339" s="23" t="inlineStr">
        <is>
          <t>1380602005</t>
        </is>
      </c>
      <c r="E339" s="11" t="inlineStr">
        <is>
          <t>National Capital Region (NCR)</t>
        </is>
      </c>
      <c r="F339" s="11" t="inlineStr">
        <is>
          <t>First District (Not a Province)</t>
        </is>
      </c>
      <c r="G339" s="11" t="inlineStr">
        <is>
          <t>City of Manila</t>
        </is>
      </c>
      <c r="H339" s="11" t="inlineStr">
        <is>
          <t>Barangay 291</t>
        </is>
      </c>
      <c r="I339" s="24" t="n">
        <v>14.597361</v>
      </c>
      <c r="J339" s="24" t="n">
        <v>120.977205</v>
      </c>
      <c r="K339" s="23" t="inlineStr">
        <is>
          <t>U</t>
        </is>
      </c>
      <c r="L339" s="25" t="n">
        <v>2537</v>
      </c>
      <c r="M339" s="26" t="n">
        <v>4.55</v>
      </c>
      <c r="N339" s="25">
        <f>ROUND(L339/M339, 0)</f>
        <v/>
      </c>
      <c r="O339" s="25">
        <f>ROUND(N339*'Methodology &amp; Assumptions'!$B$7, 0)</f>
        <v/>
      </c>
      <c r="P339" s="23" t="inlineStr">
        <is>
          <t>Single Carrier (Band n50, 100MHz TDD)</t>
        </is>
      </c>
      <c r="Q339" s="27">
        <f>ROUNDUP(O339/'Methodology &amp; Assumptions'!$B$8, 0)</f>
        <v/>
      </c>
      <c r="R339" s="27" t="n">
        <v>1</v>
      </c>
      <c r="S339" s="26" t="n">
        <v>1.08</v>
      </c>
      <c r="T339" s="26" t="n">
        <v>0.39</v>
      </c>
      <c r="U339" s="11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26" t="n">
        <v>58.08</v>
      </c>
      <c r="W339" s="26" t="n">
        <v>70.39</v>
      </c>
      <c r="X339" s="26">
        <f>ROUND(('Methodology &amp; Assumptions'!$B$5*V339) + ('Methodology &amp; Assumptions'!$B$6*W339), 2)</f>
        <v/>
      </c>
      <c r="Y339" s="28" t="n">
        <v>10.9</v>
      </c>
      <c r="Z339" s="11" t="inlineStr">
        <is>
          <t>Priority Tier 2 (Balanced Opportunity)</t>
        </is>
      </c>
    </row>
    <row r="340">
      <c r="A340" s="23" t="n">
        <v>2</v>
      </c>
      <c r="B340" s="23" t="n">
        <v>336</v>
      </c>
      <c r="C340" s="23" t="n">
        <v>1336</v>
      </c>
      <c r="D340" s="23" t="inlineStr">
        <is>
          <t>1108211014</t>
        </is>
      </c>
      <c r="E340" s="11" t="inlineStr">
        <is>
          <t>Region XI (Davao Region)</t>
        </is>
      </c>
      <c r="F340" s="11" t="inlineStr">
        <is>
          <t>Davao de Oro</t>
        </is>
      </c>
      <c r="G340" s="11" t="inlineStr">
        <is>
          <t>Pantukan</t>
        </is>
      </c>
      <c r="H340" s="11" t="inlineStr">
        <is>
          <t>Tag-Ugpo</t>
        </is>
      </c>
      <c r="I340" s="24" t="n">
        <v>7.216139</v>
      </c>
      <c r="J340" s="24" t="n">
        <v>126.067595</v>
      </c>
      <c r="K340" s="23" t="inlineStr">
        <is>
          <t>U</t>
        </is>
      </c>
      <c r="L340" s="25" t="n">
        <v>4093</v>
      </c>
      <c r="M340" s="26" t="n">
        <v>3.7</v>
      </c>
      <c r="N340" s="25">
        <f>ROUND(L340/M340, 0)</f>
        <v/>
      </c>
      <c r="O340" s="25">
        <f>ROUND(N340*'Methodology &amp; Assumptions'!$B$7, 0)</f>
        <v/>
      </c>
      <c r="P340" s="23" t="inlineStr">
        <is>
          <t>Single Carrier (Band n50, 100MHz TDD)</t>
        </is>
      </c>
      <c r="Q340" s="27">
        <f>ROUNDUP(O340/'Methodology &amp; Assumptions'!$B$8, 0)</f>
        <v/>
      </c>
      <c r="R340" s="27" t="n">
        <v>1</v>
      </c>
      <c r="S340" s="26" t="n">
        <v>20.7</v>
      </c>
      <c r="T340" s="26" t="n">
        <v>19.7</v>
      </c>
      <c r="U340" s="11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26" t="n">
        <v>54.62</v>
      </c>
      <c r="W340" s="26" t="n">
        <v>73.84</v>
      </c>
      <c r="X340" s="26">
        <f>ROUND(('Methodology &amp; Assumptions'!$B$5*V340) + ('Methodology &amp; Assumptions'!$B$6*W340), 2)</f>
        <v/>
      </c>
      <c r="Y340" s="28" t="n">
        <v>17.4</v>
      </c>
      <c r="Z340" s="11" t="inlineStr">
        <is>
          <t>Priority Tier 2 (Balanced Opportunity)</t>
        </is>
      </c>
    </row>
    <row r="341">
      <c r="A341" s="23" t="n">
        <v>2</v>
      </c>
      <c r="B341" s="23" t="n">
        <v>337</v>
      </c>
      <c r="C341" s="23" t="n">
        <v>1337</v>
      </c>
      <c r="D341" s="23" t="inlineStr">
        <is>
          <t>0103314047</t>
        </is>
      </c>
      <c r="E341" s="11" t="inlineStr">
        <is>
          <t>Region I (Ilocos Region)</t>
        </is>
      </c>
      <c r="F341" s="11" t="inlineStr">
        <is>
          <t>La Union</t>
        </is>
      </c>
      <c r="G341" s="11" t="inlineStr">
        <is>
          <t>City of San Fernando</t>
        </is>
      </c>
      <c r="H341" s="11" t="inlineStr">
        <is>
          <t>Poro</t>
        </is>
      </c>
      <c r="I341" s="24" t="n">
        <v>16.606756</v>
      </c>
      <c r="J341" s="24" t="n">
        <v>120.304809</v>
      </c>
      <c r="K341" s="23" t="inlineStr">
        <is>
          <t>U</t>
        </is>
      </c>
      <c r="L341" s="25" t="n">
        <v>6819</v>
      </c>
      <c r="M341" s="26" t="n">
        <v>3.7</v>
      </c>
      <c r="N341" s="25">
        <f>ROUND(L341/M341, 0)</f>
        <v/>
      </c>
      <c r="O341" s="25">
        <f>ROUND(N341*'Methodology &amp; Assumptions'!$B$7, 0)</f>
        <v/>
      </c>
      <c r="P341" s="23" t="inlineStr">
        <is>
          <t>Single Carrier (Band n50, 100MHz TDD)</t>
        </is>
      </c>
      <c r="Q341" s="27">
        <f>ROUNDUP(O341/'Methodology &amp; Assumptions'!$B$8, 0)</f>
        <v/>
      </c>
      <c r="R341" s="27" t="n">
        <v>1</v>
      </c>
      <c r="S341" s="26" t="n">
        <v>1.42</v>
      </c>
      <c r="T341" s="26" t="n">
        <v>0.58</v>
      </c>
      <c r="U341" s="11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26" t="n">
        <v>76.23</v>
      </c>
      <c r="W341" s="26" t="n">
        <v>52.22</v>
      </c>
      <c r="X341" s="26">
        <f>ROUND(('Methodology &amp; Assumptions'!$B$5*V341) + ('Methodology &amp; Assumptions'!$B$6*W341), 2)</f>
        <v/>
      </c>
      <c r="Y341" s="28" t="n">
        <v>8.300000000000001</v>
      </c>
      <c r="Z341" s="11" t="inlineStr">
        <is>
          <t>Priority Tier 2 (Balanced Opportunity)</t>
        </is>
      </c>
    </row>
    <row r="342">
      <c r="A342" s="23" t="n">
        <v>2</v>
      </c>
      <c r="B342" s="23" t="n">
        <v>338</v>
      </c>
      <c r="C342" s="23" t="n">
        <v>1338</v>
      </c>
      <c r="D342" s="23" t="inlineStr">
        <is>
          <t>0301403014</t>
        </is>
      </c>
      <c r="E342" s="11" t="inlineStr">
        <is>
          <t>Region III (Central Luzon)</t>
        </is>
      </c>
      <c r="F342" s="11" t="inlineStr">
        <is>
          <t>Bulacan</t>
        </is>
      </c>
      <c r="G342" s="11" t="inlineStr">
        <is>
          <t>Baliuag</t>
        </is>
      </c>
      <c r="H342" s="11" t="inlineStr">
        <is>
          <t>Poblacion</t>
        </is>
      </c>
      <c r="I342" s="24" t="n">
        <v>14.952963</v>
      </c>
      <c r="J342" s="24" t="n">
        <v>120.902644</v>
      </c>
      <c r="K342" s="23" t="inlineStr">
        <is>
          <t>U</t>
        </is>
      </c>
      <c r="L342" s="25" t="n">
        <v>11052</v>
      </c>
      <c r="M342" s="26" t="n">
        <v>3.5</v>
      </c>
      <c r="N342" s="25">
        <f>ROUND(L342/M342, 0)</f>
        <v/>
      </c>
      <c r="O342" s="25">
        <f>ROUND(N342*'Methodology &amp; Assumptions'!$B$7, 0)</f>
        <v/>
      </c>
      <c r="P342" s="23" t="inlineStr">
        <is>
          <t>Single Carrier (Band n50, 100MHz TDD)</t>
        </is>
      </c>
      <c r="Q342" s="27">
        <f>ROUNDUP(O342/'Methodology &amp; Assumptions'!$B$8, 0)</f>
        <v/>
      </c>
      <c r="R342" s="27" t="n">
        <v>1</v>
      </c>
      <c r="S342" s="26" t="n">
        <v>1.66</v>
      </c>
      <c r="T342" s="26" t="n">
        <v>0.1</v>
      </c>
      <c r="U342" s="11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26" t="n">
        <v>75.37</v>
      </c>
      <c r="W342" s="26" t="n">
        <v>53.07</v>
      </c>
      <c r="X342" s="26">
        <f>ROUND(('Methodology &amp; Assumptions'!$B$5*V342) + ('Methodology &amp; Assumptions'!$B$6*W342), 2)</f>
        <v/>
      </c>
      <c r="Y342" s="28" t="n">
        <v>8.300000000000001</v>
      </c>
      <c r="Z342" s="11" t="inlineStr">
        <is>
          <t>Priority Tier 2 (Balanced Opportunity)</t>
        </is>
      </c>
    </row>
    <row r="343">
      <c r="A343" s="23" t="n">
        <v>2</v>
      </c>
      <c r="B343" s="23" t="n">
        <v>339</v>
      </c>
      <c r="C343" s="23" t="n">
        <v>1339</v>
      </c>
      <c r="D343" s="23" t="inlineStr">
        <is>
          <t>1380601223</t>
        </is>
      </c>
      <c r="E343" s="11" t="inlineStr">
        <is>
          <t>National Capital Region (NCR)</t>
        </is>
      </c>
      <c r="F343" s="11" t="inlineStr">
        <is>
          <t>First District (Not a Province)</t>
        </is>
      </c>
      <c r="G343" s="11" t="inlineStr">
        <is>
          <t>City of Manila</t>
        </is>
      </c>
      <c r="H343" s="11" t="inlineStr">
        <is>
          <t>Barangay 222</t>
        </is>
      </c>
      <c r="I343" s="24" t="n">
        <v>14.619257</v>
      </c>
      <c r="J343" s="24" t="n">
        <v>120.975763</v>
      </c>
      <c r="K343" s="23" t="inlineStr">
        <is>
          <t>U</t>
        </is>
      </c>
      <c r="L343" s="25" t="n">
        <v>1760</v>
      </c>
      <c r="M343" s="26" t="n">
        <v>3.09</v>
      </c>
      <c r="N343" s="25">
        <f>ROUND(L343/M343, 0)</f>
        <v/>
      </c>
      <c r="O343" s="25">
        <f>ROUND(N343*'Methodology &amp; Assumptions'!$B$7, 0)</f>
        <v/>
      </c>
      <c r="P343" s="23" t="inlineStr">
        <is>
          <t>Single Carrier (Band n50, 100MHz TDD)</t>
        </is>
      </c>
      <c r="Q343" s="27">
        <f>ROUNDUP(O343/'Methodology &amp; Assumptions'!$B$8, 0)</f>
        <v/>
      </c>
      <c r="R343" s="27" t="n">
        <v>1</v>
      </c>
      <c r="S343" s="26" t="n">
        <v>0.82</v>
      </c>
      <c r="T343" s="26" t="n">
        <v>0.23</v>
      </c>
      <c r="U343" s="11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26" t="n">
        <v>59.41</v>
      </c>
      <c r="W343" s="26" t="n">
        <v>69.03</v>
      </c>
      <c r="X343" s="26">
        <f>ROUND(('Methodology &amp; Assumptions'!$B$5*V343) + ('Methodology &amp; Assumptions'!$B$6*W343), 2)</f>
        <v/>
      </c>
      <c r="Y343" s="28" t="n">
        <v>10.9</v>
      </c>
      <c r="Z343" s="11" t="inlineStr">
        <is>
          <t>Priority Tier 2 (Balanced Opportunity)</t>
        </is>
      </c>
    </row>
    <row r="344">
      <c r="A344" s="23" t="n">
        <v>2</v>
      </c>
      <c r="B344" s="23" t="n">
        <v>340</v>
      </c>
      <c r="C344" s="23" t="n">
        <v>1340</v>
      </c>
      <c r="D344" s="23" t="inlineStr">
        <is>
          <t>1380606133</t>
        </is>
      </c>
      <c r="E344" s="11" t="inlineStr">
        <is>
          <t>National Capital Region (NCR)</t>
        </is>
      </c>
      <c r="F344" s="11" t="inlineStr">
        <is>
          <t>First District (Not a Province)</t>
        </is>
      </c>
      <c r="G344" s="11" t="inlineStr">
        <is>
          <t>City of Manila</t>
        </is>
      </c>
      <c r="H344" s="11" t="inlineStr">
        <is>
          <t>Barangay 527</t>
        </is>
      </c>
      <c r="I344" s="24" t="n">
        <v>14.613518</v>
      </c>
      <c r="J344" s="24" t="n">
        <v>121.002815</v>
      </c>
      <c r="K344" s="23" t="inlineStr">
        <is>
          <t>U</t>
        </is>
      </c>
      <c r="L344" s="25" t="n">
        <v>2424</v>
      </c>
      <c r="M344" s="26" t="n">
        <v>4.36</v>
      </c>
      <c r="N344" s="25">
        <f>ROUND(L344/M344, 0)</f>
        <v/>
      </c>
      <c r="O344" s="25">
        <f>ROUND(N344*'Methodology &amp; Assumptions'!$B$7, 0)</f>
        <v/>
      </c>
      <c r="P344" s="23" t="inlineStr">
        <is>
          <t>Single Carrier (Band n50, 100MHz TDD)</t>
        </is>
      </c>
      <c r="Q344" s="27">
        <f>ROUNDUP(O344/'Methodology &amp; Assumptions'!$B$8, 0)</f>
        <v/>
      </c>
      <c r="R344" s="27" t="n">
        <v>1</v>
      </c>
      <c r="S344" s="26" t="n">
        <v>0.3</v>
      </c>
      <c r="T344" s="26" t="n">
        <v>0.21</v>
      </c>
      <c r="U344" s="11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26" t="n">
        <v>58.98</v>
      </c>
      <c r="W344" s="26" t="n">
        <v>69.45999999999999</v>
      </c>
      <c r="X344" s="26">
        <f>ROUND(('Methodology &amp; Assumptions'!$B$5*V344) + ('Methodology &amp; Assumptions'!$B$6*W344), 2)</f>
        <v/>
      </c>
      <c r="Y344" s="28" t="n">
        <v>10.9</v>
      </c>
      <c r="Z344" s="11" t="inlineStr">
        <is>
          <t>Priority Tier 2 (Balanced Opportunity)</t>
        </is>
      </c>
    </row>
    <row r="345">
      <c r="A345" s="23" t="n">
        <v>2</v>
      </c>
      <c r="B345" s="23" t="n">
        <v>341</v>
      </c>
      <c r="C345" s="23" t="n">
        <v>1341</v>
      </c>
      <c r="D345" s="23" t="inlineStr">
        <is>
          <t>1380606018</t>
        </is>
      </c>
      <c r="E345" s="11" t="inlineStr">
        <is>
          <t>National Capital Region (NCR)</t>
        </is>
      </c>
      <c r="F345" s="11" t="inlineStr">
        <is>
          <t>First District (Not a Province)</t>
        </is>
      </c>
      <c r="G345" s="11" t="inlineStr">
        <is>
          <t>City of Manila</t>
        </is>
      </c>
      <c r="H345" s="11" t="inlineStr">
        <is>
          <t>Barangay 412</t>
        </is>
      </c>
      <c r="I345" s="24" t="n">
        <v>14.600878</v>
      </c>
      <c r="J345" s="24" t="n">
        <v>120.994622</v>
      </c>
      <c r="K345" s="23" t="inlineStr">
        <is>
          <t>U</t>
        </is>
      </c>
      <c r="L345" s="25" t="n">
        <v>2015</v>
      </c>
      <c r="M345" s="26" t="n">
        <v>3.92</v>
      </c>
      <c r="N345" s="25">
        <f>ROUND(L345/M345, 0)</f>
        <v/>
      </c>
      <c r="O345" s="25">
        <f>ROUND(N345*'Methodology &amp; Assumptions'!$B$7, 0)</f>
        <v/>
      </c>
      <c r="P345" s="23" t="inlineStr">
        <is>
          <t>Single Carrier (Band n50, 100MHz TDD)</t>
        </is>
      </c>
      <c r="Q345" s="27">
        <f>ROUNDUP(O345/'Methodology &amp; Assumptions'!$B$8, 0)</f>
        <v/>
      </c>
      <c r="R345" s="27" t="n">
        <v>1</v>
      </c>
      <c r="S345" s="26" t="n">
        <v>0.45</v>
      </c>
      <c r="T345" s="26" t="n">
        <v>0.13</v>
      </c>
      <c r="U345" s="11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26" t="n">
        <v>57.59</v>
      </c>
      <c r="W345" s="26" t="n">
        <v>70.86</v>
      </c>
      <c r="X345" s="26">
        <f>ROUND(('Methodology &amp; Assumptions'!$B$5*V345) + ('Methodology &amp; Assumptions'!$B$6*W345), 2)</f>
        <v/>
      </c>
      <c r="Y345" s="28" t="n">
        <v>10.9</v>
      </c>
      <c r="Z345" s="11" t="inlineStr">
        <is>
          <t>Priority Tier 2 (Balanced Opportunity)</t>
        </is>
      </c>
    </row>
    <row r="346">
      <c r="A346" s="23" t="n">
        <v>2</v>
      </c>
      <c r="B346" s="23" t="n">
        <v>342</v>
      </c>
      <c r="C346" s="23" t="n">
        <v>1342</v>
      </c>
      <c r="D346" s="23" t="inlineStr">
        <is>
          <t>1108601011</t>
        </is>
      </c>
      <c r="E346" s="11" t="inlineStr">
        <is>
          <t>Region XI (Davao Region)</t>
        </is>
      </c>
      <c r="F346" s="11" t="inlineStr">
        <is>
          <t>Davao Occidental</t>
        </is>
      </c>
      <c r="G346" s="11" t="inlineStr">
        <is>
          <t>Don Marcelino</t>
        </is>
      </c>
      <c r="H346" s="11" t="inlineStr">
        <is>
          <t>Lapuan</t>
        </is>
      </c>
      <c r="I346" s="24" t="n">
        <v>6.153625</v>
      </c>
      <c r="J346" s="24" t="n">
        <v>125.642353</v>
      </c>
      <c r="K346" s="23" t="inlineStr">
        <is>
          <t>U</t>
        </is>
      </c>
      <c r="L346" s="25" t="n">
        <v>5455</v>
      </c>
      <c r="M346" s="26" t="n">
        <v>3.6</v>
      </c>
      <c r="N346" s="25">
        <f>ROUND(L346/M346, 0)</f>
        <v/>
      </c>
      <c r="O346" s="25">
        <f>ROUND(N346*'Methodology &amp; Assumptions'!$B$7, 0)</f>
        <v/>
      </c>
      <c r="P346" s="23" t="inlineStr">
        <is>
          <t>Single Carrier (Band n50, 100MHz TDD)</t>
        </is>
      </c>
      <c r="Q346" s="27">
        <f>ROUNDUP(O346/'Methodology &amp; Assumptions'!$B$8, 0)</f>
        <v/>
      </c>
      <c r="R346" s="27" t="n">
        <v>1</v>
      </c>
      <c r="S346" s="26" t="n">
        <v>40.64</v>
      </c>
      <c r="T346" s="26" t="n">
        <v>43.76</v>
      </c>
      <c r="U346" s="11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26" t="n">
        <v>54.62</v>
      </c>
      <c r="W346" s="26" t="n">
        <v>73.83</v>
      </c>
      <c r="X346" s="26">
        <f>ROUND(('Methodology &amp; Assumptions'!$B$5*V346) + ('Methodology &amp; Assumptions'!$B$6*W346), 2)</f>
        <v/>
      </c>
      <c r="Y346" s="28" t="n">
        <v>17.4</v>
      </c>
      <c r="Z346" s="11" t="inlineStr">
        <is>
          <t>Priority Tier 2 (Balanced Opportunity)</t>
        </is>
      </c>
    </row>
    <row r="347">
      <c r="A347" s="23" t="n">
        <v>2</v>
      </c>
      <c r="B347" s="23" t="n">
        <v>343</v>
      </c>
      <c r="C347" s="23" t="n">
        <v>1343</v>
      </c>
      <c r="D347" s="23" t="inlineStr">
        <is>
          <t>1907003014</t>
        </is>
      </c>
      <c r="E347" s="11" t="inlineStr">
        <is>
          <t>Bangsamoro Autonomous Region In Muslim Mindanao (BARMM)</t>
        </is>
      </c>
      <c r="F347" s="11" t="inlineStr">
        <is>
          <t>Tawi-Tawi</t>
        </is>
      </c>
      <c r="G347" s="11" t="inlineStr">
        <is>
          <t>Mapun</t>
        </is>
      </c>
      <c r="H347" s="11" t="inlineStr">
        <is>
          <t>Liyubud</t>
        </is>
      </c>
      <c r="I347" s="24" t="n">
        <v>7.038286</v>
      </c>
      <c r="J347" s="24" t="n">
        <v>118.515698</v>
      </c>
      <c r="K347" s="23" t="inlineStr">
        <is>
          <t>R</t>
        </is>
      </c>
      <c r="L347" s="25" t="n">
        <v>3686</v>
      </c>
      <c r="M347" s="26" t="n">
        <v>5.8</v>
      </c>
      <c r="N347" s="25">
        <f>ROUND(L347/M347, 0)</f>
        <v/>
      </c>
      <c r="O347" s="25">
        <f>ROUND(N347*'Methodology &amp; Assumptions'!$B$7, 0)</f>
        <v/>
      </c>
      <c r="P347" s="23" t="inlineStr">
        <is>
          <t>Single Carrier (Band n50, 100MHz TDD)</t>
        </is>
      </c>
      <c r="Q347" s="27">
        <f>ROUNDUP(O347/'Methodology &amp; Assumptions'!$B$8, 0)</f>
        <v/>
      </c>
      <c r="R347" s="27" t="n">
        <v>1</v>
      </c>
      <c r="S347" s="26" t="n">
        <v>999</v>
      </c>
      <c r="T347" s="26" t="n">
        <v>999</v>
      </c>
      <c r="U347" s="11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26" t="n">
        <v>51.51</v>
      </c>
      <c r="W347" s="26" t="n">
        <v>76.94</v>
      </c>
      <c r="X347" s="26">
        <f>ROUND(('Methodology &amp; Assumptions'!$B$5*V347) + ('Methodology &amp; Assumptions'!$B$6*W347), 2)</f>
        <v/>
      </c>
      <c r="Y347" s="28" t="n">
        <v>11</v>
      </c>
      <c r="Z347" s="11" t="inlineStr">
        <is>
          <t>Priority Tier 2 (Balanced Opportunity)</t>
        </is>
      </c>
    </row>
    <row r="348">
      <c r="A348" s="23" t="n">
        <v>2</v>
      </c>
      <c r="B348" s="23" t="n">
        <v>344</v>
      </c>
      <c r="C348" s="23" t="n">
        <v>1344</v>
      </c>
      <c r="D348" s="23" t="inlineStr">
        <is>
          <t>0600417006</t>
        </is>
      </c>
      <c r="E348" s="11" t="inlineStr">
        <is>
          <t>Region VI (Western Visayas)</t>
        </is>
      </c>
      <c r="F348" s="11" t="inlineStr">
        <is>
          <t>Aklan</t>
        </is>
      </c>
      <c r="G348" s="11" t="inlineStr">
        <is>
          <t>Tangalan</t>
        </is>
      </c>
      <c r="H348" s="11" t="inlineStr">
        <is>
          <t>Lanipga</t>
        </is>
      </c>
      <c r="I348" s="24" t="n">
        <v>11.7305</v>
      </c>
      <c r="J348" s="24" t="n">
        <v>122.237027</v>
      </c>
      <c r="K348" s="23" t="inlineStr">
        <is>
          <t>R</t>
        </is>
      </c>
      <c r="L348" s="25" t="n">
        <v>342</v>
      </c>
      <c r="M348" s="26" t="n">
        <v>3.9</v>
      </c>
      <c r="N348" s="25">
        <f>ROUND(L348/M348, 0)</f>
        <v/>
      </c>
      <c r="O348" s="25">
        <f>ROUND(N348*'Methodology &amp; Assumptions'!$B$7, 0)</f>
        <v/>
      </c>
      <c r="P348" s="23" t="inlineStr">
        <is>
          <t>Single Carrier (Band n50, 100MHz TDD)</t>
        </is>
      </c>
      <c r="Q348" s="27">
        <f>ROUNDUP(O348/'Methodology &amp; Assumptions'!$B$8, 0)</f>
        <v/>
      </c>
      <c r="R348" s="27" t="n">
        <v>1</v>
      </c>
      <c r="S348" s="26" t="n">
        <v>6.35</v>
      </c>
      <c r="T348" s="26" t="n">
        <v>2.55</v>
      </c>
      <c r="U348" s="11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26" t="n">
        <v>49.7</v>
      </c>
      <c r="W348" s="26" t="n">
        <v>78.75</v>
      </c>
      <c r="X348" s="26">
        <f>ROUND(('Methodology &amp; Assumptions'!$B$5*V348) + ('Methodology &amp; Assumptions'!$B$6*W348), 2)</f>
        <v/>
      </c>
      <c r="Y348" s="28" t="n">
        <v>23.7</v>
      </c>
      <c r="Z348" s="11" t="inlineStr">
        <is>
          <t>Priority Tier 2 (Balanced Opportunity)</t>
        </is>
      </c>
    </row>
    <row r="349">
      <c r="A349" s="23" t="n">
        <v>2</v>
      </c>
      <c r="B349" s="23" t="n">
        <v>345</v>
      </c>
      <c r="C349" s="23" t="n">
        <v>1345</v>
      </c>
      <c r="D349" s="23" t="inlineStr">
        <is>
          <t>0301412018</t>
        </is>
      </c>
      <c r="E349" s="11" t="inlineStr">
        <is>
          <t>Region III (Central Luzon)</t>
        </is>
      </c>
      <c r="F349" s="11" t="inlineStr">
        <is>
          <t>Bulacan</t>
        </is>
      </c>
      <c r="G349" s="11" t="inlineStr">
        <is>
          <t>City of Meycauayan</t>
        </is>
      </c>
      <c r="H349" s="11" t="inlineStr">
        <is>
          <t>Pantoc</t>
        </is>
      </c>
      <c r="I349" s="24" t="n">
        <v>14.767351</v>
      </c>
      <c r="J349" s="24" t="n">
        <v>120.98431</v>
      </c>
      <c r="K349" s="23" t="inlineStr">
        <is>
          <t>U</t>
        </is>
      </c>
      <c r="L349" s="25" t="n">
        <v>13146</v>
      </c>
      <c r="M349" s="26" t="n">
        <v>3.5</v>
      </c>
      <c r="N349" s="25">
        <f>ROUND(L349/M349, 0)</f>
        <v/>
      </c>
      <c r="O349" s="25">
        <f>ROUND(N349*'Methodology &amp; Assumptions'!$B$7, 0)</f>
        <v/>
      </c>
      <c r="P349" s="23" t="inlineStr">
        <is>
          <t>Single Carrier (Band n50, 100MHz TDD)</t>
        </is>
      </c>
      <c r="Q349" s="27">
        <f>ROUNDUP(O349/'Methodology &amp; Assumptions'!$B$8, 0)</f>
        <v/>
      </c>
      <c r="R349" s="27" t="n">
        <v>1</v>
      </c>
      <c r="S349" s="26" t="n">
        <v>0.6899999999999999</v>
      </c>
      <c r="T349" s="26" t="n">
        <v>1.36</v>
      </c>
      <c r="U349" s="11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26" t="n">
        <v>78.43000000000001</v>
      </c>
      <c r="W349" s="26" t="n">
        <v>49.99</v>
      </c>
      <c r="X349" s="26">
        <f>ROUND(('Methodology &amp; Assumptions'!$B$5*V349) + ('Methodology &amp; Assumptions'!$B$6*W349), 2)</f>
        <v/>
      </c>
      <c r="Y349" s="28" t="n">
        <v>8.300000000000001</v>
      </c>
      <c r="Z349" s="11" t="inlineStr">
        <is>
          <t>Priority Tier 2 (Balanced Opportunity)</t>
        </is>
      </c>
    </row>
    <row r="350">
      <c r="A350" s="23" t="n">
        <v>2</v>
      </c>
      <c r="B350" s="23" t="n">
        <v>346</v>
      </c>
      <c r="C350" s="23" t="n">
        <v>1346</v>
      </c>
      <c r="D350" s="23" t="inlineStr">
        <is>
          <t>0403418004</t>
        </is>
      </c>
      <c r="E350" s="11" t="inlineStr">
        <is>
          <t>Region IV-A (CALABARZON)</t>
        </is>
      </c>
      <c r="F350" s="11" t="inlineStr">
        <is>
          <t>Laguna</t>
        </is>
      </c>
      <c r="G350" s="11" t="inlineStr">
        <is>
          <t>Paete</t>
        </is>
      </c>
      <c r="H350" s="11" t="inlineStr">
        <is>
          <t>Ibaba del Norte</t>
        </is>
      </c>
      <c r="I350" s="24" t="n">
        <v>14.364369</v>
      </c>
      <c r="J350" s="24" t="n">
        <v>121.480846</v>
      </c>
      <c r="K350" s="23" t="inlineStr">
        <is>
          <t>R</t>
        </is>
      </c>
      <c r="L350" s="25" t="n">
        <v>3407</v>
      </c>
      <c r="M350" s="26" t="n">
        <v>3.3</v>
      </c>
      <c r="N350" s="25">
        <f>ROUND(L350/M350, 0)</f>
        <v/>
      </c>
      <c r="O350" s="25">
        <f>ROUND(N350*'Methodology &amp; Assumptions'!$B$7, 0)</f>
        <v/>
      </c>
      <c r="P350" s="23" t="inlineStr">
        <is>
          <t>Single Carrier (Band n50, 100MHz TDD)</t>
        </is>
      </c>
      <c r="Q350" s="27">
        <f>ROUNDUP(O350/'Methodology &amp; Assumptions'!$B$8, 0)</f>
        <v/>
      </c>
      <c r="R350" s="27" t="n">
        <v>1</v>
      </c>
      <c r="S350" s="26" t="n">
        <v>0.62</v>
      </c>
      <c r="T350" s="26" t="n">
        <v>0.21</v>
      </c>
      <c r="U350" s="11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26" t="n">
        <v>88.08</v>
      </c>
      <c r="W350" s="26" t="n">
        <v>40.32</v>
      </c>
      <c r="X350" s="26">
        <f>ROUND(('Methodology &amp; Assumptions'!$B$5*V350) + ('Methodology &amp; Assumptions'!$B$6*W350), 2)</f>
        <v/>
      </c>
      <c r="Y350" s="28" t="n">
        <v>7.2</v>
      </c>
      <c r="Z350" s="11" t="inlineStr">
        <is>
          <t>Priority Tier 2 (Balanced Opportunity)</t>
        </is>
      </c>
    </row>
    <row r="351">
      <c r="A351" s="23" t="n">
        <v>2</v>
      </c>
      <c r="B351" s="23" t="n">
        <v>347</v>
      </c>
      <c r="C351" s="23" t="n">
        <v>1347</v>
      </c>
      <c r="D351" s="23" t="inlineStr">
        <is>
          <t>1380606007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401</t>
        </is>
      </c>
      <c r="I351" s="24" t="n">
        <v>14.604168</v>
      </c>
      <c r="J351" s="24" t="n">
        <v>120.992292</v>
      </c>
      <c r="K351" s="23" t="inlineStr">
        <is>
          <t>U</t>
        </is>
      </c>
      <c r="L351" s="25" t="n">
        <v>2112</v>
      </c>
      <c r="M351" s="26" t="n">
        <v>3.65</v>
      </c>
      <c r="N351" s="25">
        <f>ROUND(L351/M351, 0)</f>
        <v/>
      </c>
      <c r="O351" s="25">
        <f>ROUND(N351*'Methodology &amp; Assumptions'!$B$7, 0)</f>
        <v/>
      </c>
      <c r="P351" s="23" t="inlineStr">
        <is>
          <t>Single Carrier (Band n50, 100MHz TDD)</t>
        </is>
      </c>
      <c r="Q351" s="27">
        <f>ROUNDUP(O351/'Methodology &amp; Assumptions'!$B$8, 0)</f>
        <v/>
      </c>
      <c r="R351" s="27" t="n">
        <v>1</v>
      </c>
      <c r="S351" s="26" t="n">
        <v>0.17</v>
      </c>
      <c r="T351" s="26" t="n">
        <v>0.15</v>
      </c>
      <c r="U351" s="11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26" t="n">
        <v>59.73</v>
      </c>
      <c r="W351" s="26" t="n">
        <v>68.64</v>
      </c>
      <c r="X351" s="26">
        <f>ROUND(('Methodology &amp; Assumptions'!$B$5*V351) + ('Methodology &amp; Assumptions'!$B$6*W351), 2)</f>
        <v/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2</v>
      </c>
      <c r="B352" s="23" t="n">
        <v>348</v>
      </c>
      <c r="C352" s="23" t="n">
        <v>1348</v>
      </c>
      <c r="D352" s="23" t="inlineStr">
        <is>
          <t>1380606127</t>
        </is>
      </c>
      <c r="E352" s="11" t="inlineStr">
        <is>
          <t>National Capital Region (NCR)</t>
        </is>
      </c>
      <c r="F352" s="11" t="inlineStr">
        <is>
          <t>First District (Not a Province)</t>
        </is>
      </c>
      <c r="G352" s="11" t="inlineStr">
        <is>
          <t>City of Manila</t>
        </is>
      </c>
      <c r="H352" s="11" t="inlineStr">
        <is>
          <t>Barangay 521</t>
        </is>
      </c>
      <c r="I352" s="24" t="n">
        <v>14.612378</v>
      </c>
      <c r="J352" s="24" t="n">
        <v>120.997595</v>
      </c>
      <c r="K352" s="23" t="inlineStr">
        <is>
          <t>U</t>
        </is>
      </c>
      <c r="L352" s="25" t="n">
        <v>1582</v>
      </c>
      <c r="M352" s="26" t="n">
        <v>3.08</v>
      </c>
      <c r="N352" s="25">
        <f>ROUND(L352/M352, 0)</f>
        <v/>
      </c>
      <c r="O352" s="25">
        <f>ROUND(N352*'Methodology &amp; Assumptions'!$B$7, 0)</f>
        <v/>
      </c>
      <c r="P352" s="23" t="inlineStr">
        <is>
          <t>Single Carrier (Band n50, 100MHz TDD)</t>
        </is>
      </c>
      <c r="Q352" s="27">
        <f>ROUNDUP(O352/'Methodology &amp; Assumptions'!$B$8, 0)</f>
        <v/>
      </c>
      <c r="R352" s="27" t="n">
        <v>1</v>
      </c>
      <c r="S352" s="26" t="n">
        <v>0.68</v>
      </c>
      <c r="T352" s="26" t="n">
        <v>0.23</v>
      </c>
      <c r="U352" s="11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26" t="n">
        <v>57.59</v>
      </c>
      <c r="W352" s="26" t="n">
        <v>70.79000000000001</v>
      </c>
      <c r="X352" s="26">
        <f>ROUND(('Methodology &amp; Assumptions'!$B$5*V352) + ('Methodology &amp; Assumptions'!$B$6*W352), 2)</f>
        <v/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2</v>
      </c>
      <c r="B353" s="23" t="n">
        <v>349</v>
      </c>
      <c r="C353" s="23" t="n">
        <v>1349</v>
      </c>
      <c r="D353" s="23" t="inlineStr">
        <is>
          <t>1004326011</t>
        </is>
      </c>
      <c r="E353" s="11" t="inlineStr">
        <is>
          <t>Region X (Northern Mindanao)</t>
        </is>
      </c>
      <c r="F353" s="11" t="inlineStr">
        <is>
          <t>Misamis Oriental</t>
        </is>
      </c>
      <c r="G353" s="11" t="inlineStr">
        <is>
          <t>Villanueva</t>
        </is>
      </c>
      <c r="H353" s="11" t="inlineStr">
        <is>
          <t>Looc</t>
        </is>
      </c>
      <c r="I353" s="24" t="n">
        <v>8.591803000000001</v>
      </c>
      <c r="J353" s="24" t="n">
        <v>124.772611</v>
      </c>
      <c r="K353" s="23" t="inlineStr">
        <is>
          <t>R</t>
        </is>
      </c>
      <c r="L353" s="25" t="n">
        <v>5071</v>
      </c>
      <c r="M353" s="26" t="n">
        <v>3.9</v>
      </c>
      <c r="N353" s="25">
        <f>ROUND(L353/M353, 0)</f>
        <v/>
      </c>
      <c r="O353" s="25">
        <f>ROUND(N353*'Methodology &amp; Assumptions'!$B$7, 0)</f>
        <v/>
      </c>
      <c r="P353" s="23" t="inlineStr">
        <is>
          <t>Single Carrier (Band n50, 100MHz TDD)</t>
        </is>
      </c>
      <c r="Q353" s="27">
        <f>ROUNDUP(O353/'Methodology &amp; Assumptions'!$B$8, 0)</f>
        <v/>
      </c>
      <c r="R353" s="27" t="n">
        <v>1</v>
      </c>
      <c r="S353" s="26" t="n">
        <v>0.35</v>
      </c>
      <c r="T353" s="26" t="n">
        <v>0.24</v>
      </c>
      <c r="U353" s="11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26" t="n">
        <v>87.06999999999999</v>
      </c>
      <c r="W353" s="26" t="n">
        <v>41.3</v>
      </c>
      <c r="X353" s="26">
        <f>ROUND(('Methodology &amp; Assumptions'!$B$5*V353) + ('Methodology &amp; Assumptions'!$B$6*W353), 2)</f>
        <v/>
      </c>
      <c r="Y353" s="28" t="n">
        <v>17.4</v>
      </c>
      <c r="Z353" s="11" t="inlineStr">
        <is>
          <t>Priority Tier 2 (Balanced Opportunity)</t>
        </is>
      </c>
    </row>
    <row r="354">
      <c r="A354" s="23" t="n">
        <v>2</v>
      </c>
      <c r="B354" s="23" t="n">
        <v>350</v>
      </c>
      <c r="C354" s="23" t="n">
        <v>1350</v>
      </c>
      <c r="D354" s="23" t="inlineStr">
        <is>
          <t>0402108015</t>
        </is>
      </c>
      <c r="E354" s="11" t="inlineStr">
        <is>
          <t>Region IV-A (CALABARZON)</t>
        </is>
      </c>
      <c r="F354" s="11" t="inlineStr">
        <is>
          <t>Cavite</t>
        </is>
      </c>
      <c r="G354" s="11" t="inlineStr">
        <is>
          <t>City of General Trias</t>
        </is>
      </c>
      <c r="H354" s="11" t="inlineStr">
        <is>
          <t>Manggahan</t>
        </is>
      </c>
      <c r="I354" s="24" t="n">
        <v>14.290728</v>
      </c>
      <c r="J354" s="24" t="n">
        <v>120.910724</v>
      </c>
      <c r="K354" s="23" t="inlineStr">
        <is>
          <t>U</t>
        </is>
      </c>
      <c r="L354" s="25" t="n">
        <v>20805</v>
      </c>
      <c r="M354" s="26" t="n">
        <v>3.4</v>
      </c>
      <c r="N354" s="25">
        <f>ROUND(L354/M354, 0)</f>
        <v/>
      </c>
      <c r="O354" s="25">
        <f>ROUND(N354*'Methodology &amp; Assumptions'!$B$7, 0)</f>
        <v/>
      </c>
      <c r="P354" s="23" t="inlineStr">
        <is>
          <t>Single Carrier (Band n50, 100MHz TDD)</t>
        </is>
      </c>
      <c r="Q354" s="27">
        <f>ROUNDUP(O354/'Methodology &amp; Assumptions'!$B$8, 0)</f>
        <v/>
      </c>
      <c r="R354" s="27" t="n">
        <v>1</v>
      </c>
      <c r="S354" s="26" t="n">
        <v>0.39</v>
      </c>
      <c r="T354" s="26" t="n">
        <v>0.16</v>
      </c>
      <c r="U354" s="11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26" t="n">
        <v>78.26000000000001</v>
      </c>
      <c r="W354" s="26" t="n">
        <v>50.1</v>
      </c>
      <c r="X354" s="26">
        <f>ROUND(('Methodology &amp; Assumptions'!$B$5*V354) + ('Methodology &amp; Assumptions'!$B$6*W354), 2)</f>
        <v/>
      </c>
      <c r="Y354" s="28" t="n">
        <v>7.2</v>
      </c>
      <c r="Z354" s="11" t="inlineStr">
        <is>
          <t>Priority Tier 2 (Balanced Opportunity)</t>
        </is>
      </c>
    </row>
    <row r="355">
      <c r="A355" s="23" t="n">
        <v>2</v>
      </c>
      <c r="B355" s="23" t="n">
        <v>351</v>
      </c>
      <c r="C355" s="23" t="n">
        <v>1351</v>
      </c>
      <c r="D355" s="23" t="inlineStr">
        <is>
          <t>1381300061</t>
        </is>
      </c>
      <c r="E355" s="11" t="inlineStr">
        <is>
          <t>National Capital Region (NCR)</t>
        </is>
      </c>
      <c r="F355" s="11" t="inlineStr">
        <is>
          <t>Second District (Not a Province)</t>
        </is>
      </c>
      <c r="G355" s="11" t="inlineStr">
        <is>
          <t>Quezon City</t>
        </is>
      </c>
      <c r="H355" s="11" t="inlineStr">
        <is>
          <t>Mariblo</t>
        </is>
      </c>
      <c r="I355" s="24" t="n">
        <v>14.6352</v>
      </c>
      <c r="J355" s="24" t="n">
        <v>121.0176</v>
      </c>
      <c r="K355" s="23" t="inlineStr">
        <is>
          <t>U</t>
        </is>
      </c>
      <c r="L355" s="25" t="n">
        <v>3630</v>
      </c>
      <c r="M355" s="26" t="n">
        <v>3.74</v>
      </c>
      <c r="N355" s="25">
        <f>ROUND(L355/M355, 0)</f>
        <v/>
      </c>
      <c r="O355" s="25">
        <f>ROUND(N355*'Methodology &amp; Assumptions'!$B$7, 0)</f>
        <v/>
      </c>
      <c r="P355" s="23" t="inlineStr">
        <is>
          <t>Single Carrier (Band n50, 100MHz TDD)</t>
        </is>
      </c>
      <c r="Q355" s="27">
        <f>ROUNDUP(O355/'Methodology &amp; Assumptions'!$B$8, 0)</f>
        <v/>
      </c>
      <c r="R355" s="27" t="n">
        <v>1</v>
      </c>
      <c r="S355" s="26" t="n">
        <v>1.28</v>
      </c>
      <c r="T355" s="26" t="n">
        <v>0.59</v>
      </c>
      <c r="U355" s="11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26" t="n">
        <v>67.42</v>
      </c>
      <c r="W355" s="26" t="n">
        <v>60.94</v>
      </c>
      <c r="X355" s="26">
        <f>ROUND(('Methodology &amp; Assumptions'!$B$5*V355) + ('Methodology &amp; Assumptions'!$B$6*W355), 2)</f>
        <v/>
      </c>
      <c r="Y355" s="28" t="n">
        <v>10.9</v>
      </c>
      <c r="Z355" s="11" t="inlineStr">
        <is>
          <t>Priority Tier 2 (Balanced Opportunity)</t>
        </is>
      </c>
    </row>
    <row r="356">
      <c r="A356" s="23" t="n">
        <v>2</v>
      </c>
      <c r="B356" s="23" t="n">
        <v>352</v>
      </c>
      <c r="C356" s="23" t="n">
        <v>1352</v>
      </c>
      <c r="D356" s="23" t="inlineStr">
        <is>
          <t>1705320005</t>
        </is>
      </c>
      <c r="E356" s="11" t="inlineStr">
        <is>
          <t>MIMAROPA Region</t>
        </is>
      </c>
      <c r="F356" s="11" t="inlineStr">
        <is>
          <t>Palawan</t>
        </is>
      </c>
      <c r="G356" s="11" t="inlineStr">
        <is>
          <t>Taytay</t>
        </is>
      </c>
      <c r="H356" s="11" t="inlineStr">
        <is>
          <t>Bato</t>
        </is>
      </c>
      <c r="I356" s="24" t="n">
        <v>10.708862</v>
      </c>
      <c r="J356" s="24" t="n">
        <v>119.479124</v>
      </c>
      <c r="K356" s="23" t="inlineStr">
        <is>
          <t>R</t>
        </is>
      </c>
      <c r="L356" s="25" t="n">
        <v>4263</v>
      </c>
      <c r="M356" s="26" t="n">
        <v>3.9</v>
      </c>
      <c r="N356" s="25">
        <f>ROUND(L356/M356, 0)</f>
        <v/>
      </c>
      <c r="O356" s="25">
        <f>ROUND(N356*'Methodology &amp; Assumptions'!$B$7, 0)</f>
        <v/>
      </c>
      <c r="P356" s="23" t="inlineStr">
        <is>
          <t>Single Carrier (Band n50, 100MHz TDD)</t>
        </is>
      </c>
      <c r="Q356" s="27">
        <f>ROUNDUP(O356/'Methodology &amp; Assumptions'!$B$8, 0)</f>
        <v/>
      </c>
      <c r="R356" s="27" t="n">
        <v>1</v>
      </c>
      <c r="S356" s="26" t="n">
        <v>1.36</v>
      </c>
      <c r="T356" s="26" t="n">
        <v>1.34</v>
      </c>
      <c r="U356" s="11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26" t="n">
        <v>84.73</v>
      </c>
      <c r="W356" s="26" t="n">
        <v>43.62</v>
      </c>
      <c r="X356" s="26">
        <f>ROUND(('Methodology &amp; Assumptions'!$B$5*V356) + ('Methodology &amp; Assumptions'!$B$6*W356), 2)</f>
        <v/>
      </c>
      <c r="Y356" s="28" t="n">
        <v>15</v>
      </c>
      <c r="Z356" s="11" t="inlineStr">
        <is>
          <t>Priority Tier 2 (Balanced Opportunity)</t>
        </is>
      </c>
    </row>
    <row r="357">
      <c r="A357" s="23" t="n">
        <v>2</v>
      </c>
      <c r="B357" s="23" t="n">
        <v>353</v>
      </c>
      <c r="C357" s="23" t="n">
        <v>1353</v>
      </c>
      <c r="D357" s="23" t="inlineStr">
        <is>
          <t>1381300130</t>
        </is>
      </c>
      <c r="E357" s="11" t="inlineStr">
        <is>
          <t>National Capital Region (NCR)</t>
        </is>
      </c>
      <c r="F357" s="11" t="inlineStr">
        <is>
          <t>Second District (Not a Province)</t>
        </is>
      </c>
      <c r="G357" s="11" t="inlineStr">
        <is>
          <t>Quezon City</t>
        </is>
      </c>
      <c r="H357" s="11" t="inlineStr">
        <is>
          <t>Veterans Village</t>
        </is>
      </c>
      <c r="I357" s="24" t="n">
        <v>14.653708</v>
      </c>
      <c r="J357" s="24" t="n">
        <v>121.024197</v>
      </c>
      <c r="K357" s="23" t="inlineStr">
        <is>
          <t>U</t>
        </is>
      </c>
      <c r="L357" s="25" t="n">
        <v>13070</v>
      </c>
      <c r="M357" s="26" t="n">
        <v>3.79</v>
      </c>
      <c r="N357" s="25">
        <f>ROUND(L357/M357, 0)</f>
        <v/>
      </c>
      <c r="O357" s="25">
        <f>ROUND(N357*'Methodology &amp; Assumptions'!$B$7, 0)</f>
        <v/>
      </c>
      <c r="P357" s="23" t="inlineStr">
        <is>
          <t>Single Carrier (Band n50, 100MHz TDD)</t>
        </is>
      </c>
      <c r="Q357" s="27">
        <f>ROUNDUP(O357/'Methodology &amp; Assumptions'!$B$8, 0)</f>
        <v/>
      </c>
      <c r="R357" s="27" t="n">
        <v>1</v>
      </c>
      <c r="S357" s="26" t="n">
        <v>1.06</v>
      </c>
      <c r="T357" s="26" t="n">
        <v>0.53</v>
      </c>
      <c r="U357" s="11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26" t="n">
        <v>68.25</v>
      </c>
      <c r="W357" s="26" t="n">
        <v>60.08</v>
      </c>
      <c r="X357" s="26">
        <f>ROUND(('Methodology &amp; Assumptions'!$B$5*V357) + ('Methodology &amp; Assumptions'!$B$6*W357), 2)</f>
        <v/>
      </c>
      <c r="Y357" s="28" t="n">
        <v>10.9</v>
      </c>
      <c r="Z357" s="11" t="inlineStr">
        <is>
          <t>Priority Tier 2 (Balanced Opportunity)</t>
        </is>
      </c>
    </row>
    <row r="358">
      <c r="A358" s="23" t="n">
        <v>2</v>
      </c>
      <c r="B358" s="23" t="n">
        <v>354</v>
      </c>
      <c r="C358" s="23" t="n">
        <v>1354</v>
      </c>
      <c r="D358" s="23" t="inlineStr">
        <is>
          <t>0600402006</t>
        </is>
      </c>
      <c r="E358" s="11" t="inlineStr">
        <is>
          <t>Region VI (Western Visayas)</t>
        </is>
      </c>
      <c r="F358" s="11" t="inlineStr">
        <is>
          <t>Aklan</t>
        </is>
      </c>
      <c r="G358" s="11" t="inlineStr">
        <is>
          <t>Balete</t>
        </is>
      </c>
      <c r="H358" s="11" t="inlineStr">
        <is>
          <t>Feliciano</t>
        </is>
      </c>
      <c r="I358" s="24" t="n">
        <v>11.53019</v>
      </c>
      <c r="J358" s="24" t="n">
        <v>122.367428</v>
      </c>
      <c r="K358" s="23" t="inlineStr">
        <is>
          <t>U</t>
        </is>
      </c>
      <c r="L358" s="25" t="n">
        <v>2950</v>
      </c>
      <c r="M358" s="26" t="n">
        <v>3.9</v>
      </c>
      <c r="N358" s="25">
        <f>ROUND(L358/M358, 0)</f>
        <v/>
      </c>
      <c r="O358" s="25">
        <f>ROUND(N358*'Methodology &amp; Assumptions'!$B$7, 0)</f>
        <v/>
      </c>
      <c r="P358" s="23" t="inlineStr">
        <is>
          <t>Single Carrier (Band n50, 100MHz TDD)</t>
        </is>
      </c>
      <c r="Q358" s="27">
        <f>ROUNDUP(O358/'Methodology &amp; Assumptions'!$B$8, 0)</f>
        <v/>
      </c>
      <c r="R358" s="27" t="n">
        <v>1</v>
      </c>
      <c r="S358" s="26" t="n">
        <v>3.13</v>
      </c>
      <c r="T358" s="26" t="n">
        <v>3</v>
      </c>
      <c r="U358" s="11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26" t="n">
        <v>66.02</v>
      </c>
      <c r="W358" s="26" t="n">
        <v>62.32</v>
      </c>
      <c r="X358" s="26">
        <f>ROUND(('Methodology &amp; Assumptions'!$B$5*V358) + ('Methodology &amp; Assumptions'!$B$6*W358), 2)</f>
        <v/>
      </c>
      <c r="Y358" s="28" t="n">
        <v>23.7</v>
      </c>
      <c r="Z358" s="11" t="inlineStr">
        <is>
          <t>Priority Tier 2 (Balanced Opportunity)</t>
        </is>
      </c>
    </row>
    <row r="359">
      <c r="A359" s="23" t="n">
        <v>2</v>
      </c>
      <c r="B359" s="23" t="n">
        <v>355</v>
      </c>
      <c r="C359" s="23" t="n">
        <v>1355</v>
      </c>
      <c r="D359" s="23" t="inlineStr">
        <is>
          <t>0301402003</t>
        </is>
      </c>
      <c r="E359" s="11" t="inlineStr">
        <is>
          <t>Region III (Central Luzon)</t>
        </is>
      </c>
      <c r="F359" s="11" t="inlineStr">
        <is>
          <t>Bulacan</t>
        </is>
      </c>
      <c r="G359" s="11" t="inlineStr">
        <is>
          <t>Balagtas</t>
        </is>
      </c>
      <c r="H359" s="11" t="inlineStr">
        <is>
          <t>Borol 1st</t>
        </is>
      </c>
      <c r="I359" s="24" t="n">
        <v>14.82369</v>
      </c>
      <c r="J359" s="24" t="n">
        <v>120.904767</v>
      </c>
      <c r="K359" s="23" t="inlineStr">
        <is>
          <t>U</t>
        </is>
      </c>
      <c r="L359" s="25" t="n">
        <v>11268</v>
      </c>
      <c r="M359" s="26" t="n">
        <v>3.5</v>
      </c>
      <c r="N359" s="25">
        <f>ROUND(L359/M359, 0)</f>
        <v/>
      </c>
      <c r="O359" s="25">
        <f>ROUND(N359*'Methodology &amp; Assumptions'!$B$7, 0)</f>
        <v/>
      </c>
      <c r="P359" s="23" t="inlineStr">
        <is>
          <t>Single Carrier (Band n50, 100MHz TDD)</t>
        </is>
      </c>
      <c r="Q359" s="27">
        <f>ROUNDUP(O359/'Methodology &amp; Assumptions'!$B$8, 0)</f>
        <v/>
      </c>
      <c r="R359" s="27" t="n">
        <v>1</v>
      </c>
      <c r="S359" s="26" t="n">
        <v>3.48</v>
      </c>
      <c r="T359" s="26" t="n">
        <v>0.25</v>
      </c>
      <c r="U359" s="11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26" t="n">
        <v>69.90000000000001</v>
      </c>
      <c r="W359" s="26" t="n">
        <v>58.43</v>
      </c>
      <c r="X359" s="26">
        <f>ROUND(('Methodology &amp; Assumptions'!$B$5*V359) + ('Methodology &amp; Assumptions'!$B$6*W359), 2)</f>
        <v/>
      </c>
      <c r="Y359" s="28" t="n">
        <v>8.300000000000001</v>
      </c>
      <c r="Z359" s="11" t="inlineStr">
        <is>
          <t>Priority Tier 2 (Balanced Opportunity)</t>
        </is>
      </c>
    </row>
    <row r="360">
      <c r="A360" s="23" t="n">
        <v>2</v>
      </c>
      <c r="B360" s="23" t="n">
        <v>356</v>
      </c>
      <c r="C360" s="23" t="n">
        <v>1356</v>
      </c>
      <c r="D360" s="23" t="inlineStr">
        <is>
          <t>0603015011</t>
        </is>
      </c>
      <c r="E360" s="11" t="inlineStr">
        <is>
          <t>Region VI (Western Visayas)</t>
        </is>
      </c>
      <c r="F360" s="11" t="inlineStr">
        <is>
          <t>Iloilo</t>
        </is>
      </c>
      <c r="G360" s="11" t="inlineStr">
        <is>
          <t>Concepcion</t>
        </is>
      </c>
      <c r="H360" s="11" t="inlineStr">
        <is>
          <t>Igbon</t>
        </is>
      </c>
      <c r="I360" s="24" t="n">
        <v>11.219241</v>
      </c>
      <c r="J360" s="24" t="n">
        <v>123.177972</v>
      </c>
      <c r="K360" s="23" t="inlineStr">
        <is>
          <t>R</t>
        </is>
      </c>
      <c r="L360" s="25" t="n">
        <v>2506</v>
      </c>
      <c r="M360" s="26" t="n">
        <v>3.8</v>
      </c>
      <c r="N360" s="25">
        <f>ROUND(L360/M360, 0)</f>
        <v/>
      </c>
      <c r="O360" s="25">
        <f>ROUND(N360*'Methodology &amp; Assumptions'!$B$7, 0)</f>
        <v/>
      </c>
      <c r="P360" s="23" t="inlineStr">
        <is>
          <t>Single Carrier (Band n50, 100MHz TDD)</t>
        </is>
      </c>
      <c r="Q360" s="27">
        <f>ROUNDUP(O360/'Methodology &amp; Assumptions'!$B$8, 0)</f>
        <v/>
      </c>
      <c r="R360" s="27" t="n">
        <v>1</v>
      </c>
      <c r="S360" s="26" t="n">
        <v>18.02</v>
      </c>
      <c r="T360" s="26" t="n">
        <v>11.2</v>
      </c>
      <c r="U360" s="11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26" t="n">
        <v>56.28</v>
      </c>
      <c r="W360" s="26" t="n">
        <v>72.03</v>
      </c>
      <c r="X360" s="26">
        <f>ROUND(('Methodology &amp; Assumptions'!$B$5*V360) + ('Methodology &amp; Assumptions'!$B$6*W360), 2)</f>
        <v/>
      </c>
      <c r="Y360" s="28" t="n">
        <v>23.7</v>
      </c>
      <c r="Z360" s="11" t="inlineStr">
        <is>
          <t>Priority Tier 2 (Balanced Opportunity)</t>
        </is>
      </c>
    </row>
    <row r="361">
      <c r="A361" s="23" t="n">
        <v>2</v>
      </c>
      <c r="B361" s="23" t="n">
        <v>357</v>
      </c>
      <c r="C361" s="23" t="n">
        <v>1357</v>
      </c>
      <c r="D361" s="23" t="inlineStr">
        <is>
          <t>1403209023</t>
        </is>
      </c>
      <c r="E361" s="11" t="inlineStr">
        <is>
          <t>Cordillera Administrative Region (CAR)</t>
        </is>
      </c>
      <c r="F361" s="11" t="inlineStr">
        <is>
          <t>Kalinga</t>
        </is>
      </c>
      <c r="G361" s="11" t="inlineStr">
        <is>
          <t>Pinukpuk</t>
        </is>
      </c>
      <c r="H361" s="11" t="inlineStr">
        <is>
          <t>Pinococ</t>
        </is>
      </c>
      <c r="I361" s="24" t="n">
        <v>17.602163</v>
      </c>
      <c r="J361" s="24" t="n">
        <v>121.366074</v>
      </c>
      <c r="K361" s="23" t="inlineStr">
        <is>
          <t>R</t>
        </is>
      </c>
      <c r="L361" s="25" t="n">
        <v>800</v>
      </c>
      <c r="M361" s="26" t="n">
        <v>4.3</v>
      </c>
      <c r="N361" s="25">
        <f>ROUND(L361/M361, 0)</f>
        <v/>
      </c>
      <c r="O361" s="25">
        <f>ROUND(N361*'Methodology &amp; Assumptions'!$B$7, 0)</f>
        <v/>
      </c>
      <c r="P361" s="23" t="inlineStr">
        <is>
          <t>Single Carrier (Band n50, 100MHz TDD)</t>
        </is>
      </c>
      <c r="Q361" s="27">
        <f>ROUNDUP(O361/'Methodology &amp; Assumptions'!$B$8, 0)</f>
        <v/>
      </c>
      <c r="R361" s="27" t="n">
        <v>1</v>
      </c>
      <c r="S361" s="26" t="n">
        <v>5.27</v>
      </c>
      <c r="T361" s="26" t="n">
        <v>4.59</v>
      </c>
      <c r="U361" s="11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26" t="n">
        <v>48.6</v>
      </c>
      <c r="W361" s="26" t="n">
        <v>79.70999999999999</v>
      </c>
      <c r="X361" s="26">
        <f>ROUND(('Methodology &amp; Assumptions'!$B$5*V361) + ('Methodology &amp; Assumptions'!$B$6*W361), 2)</f>
        <v/>
      </c>
      <c r="Y361" s="28" t="n">
        <v>10.9</v>
      </c>
      <c r="Z361" s="11" t="inlineStr">
        <is>
          <t>Priority Tier 2 (Balanced Opportunity)</t>
        </is>
      </c>
    </row>
    <row r="362">
      <c r="A362" s="23" t="n">
        <v>2</v>
      </c>
      <c r="B362" s="23" t="n">
        <v>358</v>
      </c>
      <c r="C362" s="23" t="n">
        <v>1358</v>
      </c>
      <c r="D362" s="23" t="inlineStr">
        <is>
          <t>0401005085</t>
        </is>
      </c>
      <c r="E362" s="11" t="inlineStr">
        <is>
          <t>Region IV-A (CALABARZON)</t>
        </is>
      </c>
      <c r="F362" s="11" t="inlineStr">
        <is>
          <t>Batangas</t>
        </is>
      </c>
      <c r="G362" s="11" t="inlineStr">
        <is>
          <t>Batangas City</t>
        </is>
      </c>
      <c r="H362" s="11" t="inlineStr">
        <is>
          <t>San Agustin Silangan, Isla Verde</t>
        </is>
      </c>
      <c r="I362" s="24" t="n">
        <v>13.554754</v>
      </c>
      <c r="J362" s="24" t="n">
        <v>121.070773</v>
      </c>
      <c r="K362" s="23" t="inlineStr">
        <is>
          <t>R</t>
        </is>
      </c>
      <c r="L362" s="25" t="n">
        <v>741</v>
      </c>
      <c r="M362" s="26" t="n">
        <v>3.6</v>
      </c>
      <c r="N362" s="25">
        <f>ROUND(L362/M362, 0)</f>
        <v/>
      </c>
      <c r="O362" s="25">
        <f>ROUND(N362*'Methodology &amp; Assumptions'!$B$7, 0)</f>
        <v/>
      </c>
      <c r="P362" s="23" t="inlineStr">
        <is>
          <t>Single Carrier (Band n50, 100MHz TDD)</t>
        </is>
      </c>
      <c r="Q362" s="27">
        <f>ROUNDUP(O362/'Methodology &amp; Assumptions'!$B$8, 0)</f>
        <v/>
      </c>
      <c r="R362" s="27" t="n">
        <v>1</v>
      </c>
      <c r="S362" s="26" t="n">
        <v>8.199999999999999</v>
      </c>
      <c r="T362" s="26" t="n">
        <v>13.79</v>
      </c>
      <c r="U362" s="11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26" t="n">
        <v>46.51</v>
      </c>
      <c r="W362" s="26" t="n">
        <v>81.81</v>
      </c>
      <c r="X362" s="26">
        <f>ROUND(('Methodology &amp; Assumptions'!$B$5*V362) + ('Methodology &amp; Assumptions'!$B$6*W362), 2)</f>
        <v/>
      </c>
      <c r="Y362" s="28" t="n">
        <v>7.2</v>
      </c>
      <c r="Z362" s="11" t="inlineStr">
        <is>
          <t>Priority Tier 2 (Balanced Opportunity)</t>
        </is>
      </c>
    </row>
    <row r="363">
      <c r="A363" s="23" t="n">
        <v>2</v>
      </c>
      <c r="B363" s="23" t="n">
        <v>359</v>
      </c>
      <c r="C363" s="23" t="n">
        <v>1359</v>
      </c>
      <c r="D363" s="23" t="inlineStr">
        <is>
          <t>1908804005</t>
        </is>
      </c>
      <c r="E363" s="11" t="inlineStr">
        <is>
          <t>Bangsamoro Autonomous Region In Muslim Mindanao (BARMM)</t>
        </is>
      </c>
      <c r="F363" s="11" t="inlineStr">
        <is>
          <t>Maguindanao del Sur</t>
        </is>
      </c>
      <c r="G363" s="11" t="inlineStr">
        <is>
          <t>Datu Anggal Midtimbang</t>
        </is>
      </c>
      <c r="H363" s="11" t="inlineStr">
        <is>
          <t>Nunangan</t>
        </is>
      </c>
      <c r="I363" s="24" t="n">
        <v>6.933331</v>
      </c>
      <c r="J363" s="24" t="n">
        <v>124.333333</v>
      </c>
      <c r="K363" s="23" t="inlineStr">
        <is>
          <t>R</t>
        </is>
      </c>
      <c r="L363" s="25" t="n">
        <v>4564</v>
      </c>
      <c r="M363" s="26" t="n">
        <v>4.7</v>
      </c>
      <c r="N363" s="25">
        <f>ROUND(L363/M363, 0)</f>
        <v/>
      </c>
      <c r="O363" s="25">
        <f>ROUND(N363*'Methodology &amp; Assumptions'!$B$7, 0)</f>
        <v/>
      </c>
      <c r="P363" s="23" t="inlineStr">
        <is>
          <t>Single Carrier (Band n50, 100MHz TDD)</t>
        </is>
      </c>
      <c r="Q363" s="27">
        <f>ROUNDUP(O363/'Methodology &amp; Assumptions'!$B$8, 0)</f>
        <v/>
      </c>
      <c r="R363" s="27" t="n">
        <v>1</v>
      </c>
      <c r="S363" s="26" t="n">
        <v>46.32</v>
      </c>
      <c r="T363" s="26" t="n">
        <v>46.25</v>
      </c>
      <c r="U363" s="11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26" t="n">
        <v>59.06</v>
      </c>
      <c r="W363" s="26" t="n">
        <v>69.23999999999999</v>
      </c>
      <c r="X363" s="26">
        <f>ROUND(('Methodology &amp; Assumptions'!$B$5*V363) + ('Methodology &amp; Assumptions'!$B$6*W363), 2)</f>
        <v/>
      </c>
      <c r="Y363" s="28" t="n">
        <v>11</v>
      </c>
      <c r="Z363" s="11" t="inlineStr">
        <is>
          <t>Priority Tier 2 (Balanced Opportunity)</t>
        </is>
      </c>
    </row>
    <row r="364">
      <c r="A364" s="23" t="n">
        <v>2</v>
      </c>
      <c r="B364" s="23" t="n">
        <v>360</v>
      </c>
      <c r="C364" s="23" t="n">
        <v>1360</v>
      </c>
      <c r="D364" s="23" t="inlineStr">
        <is>
          <t>1380611024</t>
        </is>
      </c>
      <c r="E364" s="11" t="inlineStr">
        <is>
          <t>National Capital Region (NCR)</t>
        </is>
      </c>
      <c r="F364" s="11" t="inlineStr">
        <is>
          <t>First District (Not a Province)</t>
        </is>
      </c>
      <c r="G364" s="11" t="inlineStr">
        <is>
          <t>City of Manila</t>
        </is>
      </c>
      <c r="H364" s="11" t="inlineStr">
        <is>
          <t>Barangay 810</t>
        </is>
      </c>
      <c r="I364" s="24" t="n">
        <v>14.575246</v>
      </c>
      <c r="J364" s="24" t="n">
        <v>120.999353</v>
      </c>
      <c r="K364" s="23" t="inlineStr">
        <is>
          <t>U</t>
        </is>
      </c>
      <c r="L364" s="25" t="n">
        <v>2073</v>
      </c>
      <c r="M364" s="26" t="n">
        <v>3.73</v>
      </c>
      <c r="N364" s="25">
        <f>ROUND(L364/M364, 0)</f>
        <v/>
      </c>
      <c r="O364" s="25">
        <f>ROUND(N364*'Methodology &amp; Assumptions'!$B$7, 0)</f>
        <v/>
      </c>
      <c r="P364" s="23" t="inlineStr">
        <is>
          <t>Single Carrier (Band n50, 100MHz TDD)</t>
        </is>
      </c>
      <c r="Q364" s="27">
        <f>ROUNDUP(O364/'Methodology &amp; Assumptions'!$B$8, 0)</f>
        <v/>
      </c>
      <c r="R364" s="27" t="n">
        <v>1</v>
      </c>
      <c r="S364" s="26" t="n">
        <v>0.66</v>
      </c>
      <c r="T364" s="26" t="n">
        <v>0.34</v>
      </c>
      <c r="U364" s="11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26" t="n">
        <v>58.98</v>
      </c>
      <c r="W364" s="26" t="n">
        <v>69.31999999999999</v>
      </c>
      <c r="X364" s="26">
        <f>ROUND(('Methodology &amp; Assumptions'!$B$5*V364) + ('Methodology &amp; Assumptions'!$B$6*W364), 2)</f>
        <v/>
      </c>
      <c r="Y364" s="28" t="n">
        <v>10.9</v>
      </c>
      <c r="Z364" s="11" t="inlineStr">
        <is>
          <t>Priority Tier 2 (Balanced Opportunity)</t>
        </is>
      </c>
    </row>
    <row r="365">
      <c r="A365" s="23" t="n">
        <v>2</v>
      </c>
      <c r="B365" s="23" t="n">
        <v>361</v>
      </c>
      <c r="C365" s="23" t="n">
        <v>1361</v>
      </c>
      <c r="D365" s="23" t="inlineStr">
        <is>
          <t>0307112017</t>
        </is>
      </c>
      <c r="E365" s="11" t="inlineStr">
        <is>
          <t>Region III (Central Luzon)</t>
        </is>
      </c>
      <c r="F365" s="11" t="inlineStr">
        <is>
          <t>Zambales</t>
        </is>
      </c>
      <c r="G365" s="11" t="inlineStr">
        <is>
          <t>San Narciso</t>
        </is>
      </c>
      <c r="H365" s="11" t="inlineStr">
        <is>
          <t>Omaya</t>
        </is>
      </c>
      <c r="I365" s="24" t="n">
        <v>15.015405</v>
      </c>
      <c r="J365" s="24" t="n">
        <v>120.15027</v>
      </c>
      <c r="K365" s="23" t="inlineStr">
        <is>
          <t>R</t>
        </is>
      </c>
      <c r="L365" s="25" t="n">
        <v>641</v>
      </c>
      <c r="M365" s="26" t="n">
        <v>3.8</v>
      </c>
      <c r="N365" s="25">
        <f>ROUND(L365/M365, 0)</f>
        <v/>
      </c>
      <c r="O365" s="25">
        <f>ROUND(N365*'Methodology &amp; Assumptions'!$B$7, 0)</f>
        <v/>
      </c>
      <c r="P365" s="23" t="inlineStr">
        <is>
          <t>Single Carrier (Band n50, 100MHz TDD)</t>
        </is>
      </c>
      <c r="Q365" s="27">
        <f>ROUNDUP(O365/'Methodology &amp; Assumptions'!$B$8, 0)</f>
        <v/>
      </c>
      <c r="R365" s="27" t="n">
        <v>1</v>
      </c>
      <c r="S365" s="26" t="n">
        <v>4.01</v>
      </c>
      <c r="T365" s="26" t="n">
        <v>4.6</v>
      </c>
      <c r="U365" s="11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26" t="n">
        <v>51.4</v>
      </c>
      <c r="W365" s="26" t="n">
        <v>76.89</v>
      </c>
      <c r="X365" s="26">
        <f>ROUND(('Methodology &amp; Assumptions'!$B$5*V365) + ('Methodology &amp; Assumptions'!$B$6*W365), 2)</f>
        <v/>
      </c>
      <c r="Y365" s="28" t="n">
        <v>8.300000000000001</v>
      </c>
      <c r="Z365" s="11" t="inlineStr">
        <is>
          <t>Priority Tier 2 (Balanced Opportunity)</t>
        </is>
      </c>
    </row>
    <row r="366">
      <c r="A366" s="23" t="n">
        <v>2</v>
      </c>
      <c r="B366" s="23" t="n">
        <v>362</v>
      </c>
      <c r="C366" s="23" t="n">
        <v>1362</v>
      </c>
      <c r="D366" s="23" t="inlineStr">
        <is>
          <t>0301410034</t>
        </is>
      </c>
      <c r="E366" s="11" t="inlineStr">
        <is>
          <t>Region III (Central Luzon)</t>
        </is>
      </c>
      <c r="F366" s="11" t="inlineStr">
        <is>
          <t>Bulacan</t>
        </is>
      </c>
      <c r="G366" s="11" t="inlineStr">
        <is>
          <t>City of Malolos</t>
        </is>
      </c>
      <c r="H366" s="11" t="inlineStr">
        <is>
          <t>Mojon</t>
        </is>
      </c>
      <c r="I366" s="24" t="n">
        <v>14.860908</v>
      </c>
      <c r="J366" s="24" t="n">
        <v>120.817374</v>
      </c>
      <c r="K366" s="23" t="inlineStr">
        <is>
          <t>U</t>
        </is>
      </c>
      <c r="L366" s="25" t="n">
        <v>16901</v>
      </c>
      <c r="M366" s="26" t="n">
        <v>3.5</v>
      </c>
      <c r="N366" s="25">
        <f>ROUND(L366/M366, 0)</f>
        <v/>
      </c>
      <c r="O366" s="25">
        <f>ROUND(N366*'Methodology &amp; Assumptions'!$B$7, 0)</f>
        <v/>
      </c>
      <c r="P366" s="23" t="inlineStr">
        <is>
          <t>Single Carrier (Band n50, 100MHz TDD)</t>
        </is>
      </c>
      <c r="Q366" s="27">
        <f>ROUNDUP(O366/'Methodology &amp; Assumptions'!$B$8, 0)</f>
        <v/>
      </c>
      <c r="R366" s="27" t="n">
        <v>1</v>
      </c>
      <c r="S366" s="26" t="n">
        <v>0.64</v>
      </c>
      <c r="T366" s="26" t="n">
        <v>0.12</v>
      </c>
      <c r="U366" s="11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26" t="n">
        <v>78.43000000000001</v>
      </c>
      <c r="W366" s="26" t="n">
        <v>49.85</v>
      </c>
      <c r="X366" s="26">
        <f>ROUND(('Methodology &amp; Assumptions'!$B$5*V366) + ('Methodology &amp; Assumptions'!$B$6*W366), 2)</f>
        <v/>
      </c>
      <c r="Y366" s="28" t="n">
        <v>8.300000000000001</v>
      </c>
      <c r="Z366" s="11" t="inlineStr">
        <is>
          <t>Priority Tier 2 (Balanced Opportunity)</t>
        </is>
      </c>
    </row>
    <row r="367">
      <c r="A367" s="23" t="n">
        <v>2</v>
      </c>
      <c r="B367" s="23" t="n">
        <v>363</v>
      </c>
      <c r="C367" s="23" t="n">
        <v>1363</v>
      </c>
      <c r="D367" s="23" t="inlineStr">
        <is>
          <t>0205002021</t>
        </is>
      </c>
      <c r="E367" s="11" t="inlineStr">
        <is>
          <t>Region II (Cagayan Valley)</t>
        </is>
      </c>
      <c r="F367" s="11" t="inlineStr">
        <is>
          <t>Nueva Vizcaya</t>
        </is>
      </c>
      <c r="G367" s="11" t="inlineStr">
        <is>
          <t>Aritao</t>
        </is>
      </c>
      <c r="H367" s="11" t="inlineStr">
        <is>
          <t>Latar-Nocnoc-San Francisco</t>
        </is>
      </c>
      <c r="I367" s="24" t="n">
        <v>16.255143</v>
      </c>
      <c r="J367" s="24" t="n">
        <v>121.085102</v>
      </c>
      <c r="K367" s="23" t="inlineStr">
        <is>
          <t>R</t>
        </is>
      </c>
      <c r="L367" s="25" t="n">
        <v>708</v>
      </c>
      <c r="M367" s="26" t="n">
        <v>3.8</v>
      </c>
      <c r="N367" s="25">
        <f>ROUND(L367/M367, 0)</f>
        <v/>
      </c>
      <c r="O367" s="25">
        <f>ROUND(N367*'Methodology &amp; Assumptions'!$B$7, 0)</f>
        <v/>
      </c>
      <c r="P367" s="23" t="inlineStr">
        <is>
          <t>Single Carrier (Band n50, 100MHz TDD)</t>
        </is>
      </c>
      <c r="Q367" s="27">
        <f>ROUNDUP(O367/'Methodology &amp; Assumptions'!$B$8, 0)</f>
        <v/>
      </c>
      <c r="R367" s="27" t="n">
        <v>1</v>
      </c>
      <c r="S367" s="26" t="n">
        <v>5.7</v>
      </c>
      <c r="T367" s="26" t="n">
        <v>6.96</v>
      </c>
      <c r="U367" s="11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26" t="n">
        <v>49</v>
      </c>
      <c r="W367" s="26" t="n">
        <v>79.27</v>
      </c>
      <c r="X367" s="26">
        <f>ROUND(('Methodology &amp; Assumptions'!$B$5*V367) + ('Methodology &amp; Assumptions'!$B$6*W367), 2)</f>
        <v/>
      </c>
      <c r="Y367" s="28" t="n">
        <v>8.300000000000001</v>
      </c>
      <c r="Z367" s="11" t="inlineStr">
        <is>
          <t>Priority Tier 2 (Balanced Opportunity)</t>
        </is>
      </c>
    </row>
    <row r="368">
      <c r="A368" s="23" t="n">
        <v>2</v>
      </c>
      <c r="B368" s="23" t="n">
        <v>364</v>
      </c>
      <c r="C368" s="23" t="n">
        <v>1364</v>
      </c>
      <c r="D368" s="23" t="inlineStr">
        <is>
          <t>0301403027</t>
        </is>
      </c>
      <c r="E368" s="11" t="inlineStr">
        <is>
          <t>Region III (Central Luzon)</t>
        </is>
      </c>
      <c r="F368" s="11" t="inlineStr">
        <is>
          <t>Bulacan</t>
        </is>
      </c>
      <c r="G368" s="11" t="inlineStr">
        <is>
          <t>Baliuag</t>
        </is>
      </c>
      <c r="H368" s="11" t="inlineStr">
        <is>
          <t>Tibag</t>
        </is>
      </c>
      <c r="I368" s="24" t="n">
        <v>14.958876</v>
      </c>
      <c r="J368" s="24" t="n">
        <v>120.906156</v>
      </c>
      <c r="K368" s="23" t="inlineStr">
        <is>
          <t>U</t>
        </is>
      </c>
      <c r="L368" s="25" t="n">
        <v>3114</v>
      </c>
      <c r="M368" s="26" t="n">
        <v>3.5</v>
      </c>
      <c r="N368" s="25">
        <f>ROUND(L368/M368, 0)</f>
        <v/>
      </c>
      <c r="O368" s="25">
        <f>ROUND(N368*'Methodology &amp; Assumptions'!$B$7, 0)</f>
        <v/>
      </c>
      <c r="P368" s="23" t="inlineStr">
        <is>
          <t>Single Carrier (Band n50, 100MHz TDD)</t>
        </is>
      </c>
      <c r="Q368" s="27">
        <f>ROUNDUP(O368/'Methodology &amp; Assumptions'!$B$8, 0)</f>
        <v/>
      </c>
      <c r="R368" s="27" t="n">
        <v>1</v>
      </c>
      <c r="S368" s="26" t="n">
        <v>1.46</v>
      </c>
      <c r="T368" s="26" t="n">
        <v>0.2</v>
      </c>
      <c r="U368" s="11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26" t="n">
        <v>76.11</v>
      </c>
      <c r="W368" s="26" t="n">
        <v>52.15</v>
      </c>
      <c r="X368" s="26">
        <f>ROUND(('Methodology &amp; Assumptions'!$B$5*V368) + ('Methodology &amp; Assumptions'!$B$6*W368), 2)</f>
        <v/>
      </c>
      <c r="Y368" s="28" t="n">
        <v>8.300000000000001</v>
      </c>
      <c r="Z368" s="11" t="inlineStr">
        <is>
          <t>Priority Tier 2 (Balanced Opportunity)</t>
        </is>
      </c>
    </row>
    <row r="369">
      <c r="A369" s="23" t="n">
        <v>2</v>
      </c>
      <c r="B369" s="23" t="n">
        <v>365</v>
      </c>
      <c r="C369" s="23" t="n">
        <v>1365</v>
      </c>
      <c r="D369" s="23" t="inlineStr">
        <is>
          <t>1381200012</t>
        </is>
      </c>
      <c r="E369" s="11" t="inlineStr">
        <is>
          <t>National Capital Region (NCR)</t>
        </is>
      </c>
      <c r="F369" s="11" t="inlineStr">
        <is>
          <t>Second District (Not a Province)</t>
        </is>
      </c>
      <c r="G369" s="11" t="inlineStr">
        <is>
          <t>City of Pasig</t>
        </is>
      </c>
      <c r="H369" s="11" t="inlineStr">
        <is>
          <t>Maybunga</t>
        </is>
      </c>
      <c r="I369" s="24" t="n">
        <v>14.578462</v>
      </c>
      <c r="J369" s="24" t="n">
        <v>121.081509</v>
      </c>
      <c r="K369" s="23" t="inlineStr">
        <is>
          <t>U</t>
        </is>
      </c>
      <c r="L369" s="25" t="n">
        <v>50069</v>
      </c>
      <c r="M369" s="26" t="n">
        <v>3.11</v>
      </c>
      <c r="N369" s="25">
        <f>ROUND(L369/M369, 0)</f>
        <v/>
      </c>
      <c r="O369" s="25">
        <f>ROUND(N369*'Methodology &amp; Assumptions'!$B$7, 0)</f>
        <v/>
      </c>
      <c r="P369" s="23" t="inlineStr">
        <is>
          <t>Single Carrier (Band n50, 100MHz TDD)</t>
        </is>
      </c>
      <c r="Q369" s="27">
        <f>ROUNDUP(O369/'Methodology &amp; Assumptions'!$B$8, 0)</f>
        <v/>
      </c>
      <c r="R369" s="27" t="n">
        <v>1</v>
      </c>
      <c r="S369" s="26" t="n">
        <v>0.44</v>
      </c>
      <c r="T369" s="26" t="n">
        <v>0.31</v>
      </c>
      <c r="U369" s="11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26" t="n">
        <v>65.97</v>
      </c>
      <c r="W369" s="26" t="n">
        <v>62.3</v>
      </c>
      <c r="X369" s="26">
        <f>ROUND(('Methodology &amp; Assumptions'!$B$5*V369) + ('Methodology &amp; Assumptions'!$B$6*W369), 2)</f>
        <v/>
      </c>
      <c r="Y369" s="28" t="n">
        <v>10.9</v>
      </c>
      <c r="Z369" s="11" t="inlineStr">
        <is>
          <t>Priority Tier 2 (Balanced Opportunity)</t>
        </is>
      </c>
    </row>
    <row r="370">
      <c r="A370" s="23" t="n">
        <v>2</v>
      </c>
      <c r="B370" s="23" t="n">
        <v>366</v>
      </c>
      <c r="C370" s="23" t="n">
        <v>1366</v>
      </c>
      <c r="D370" s="23" t="inlineStr">
        <is>
          <t>1908702008</t>
        </is>
      </c>
      <c r="E370" s="11" t="inlineStr">
        <is>
          <t>Bangsamoro Autonomous Region In Muslim Mindanao (BARMM)</t>
        </is>
      </c>
      <c r="F370" s="11" t="inlineStr">
        <is>
          <t>Maguindanao del Norte</t>
        </is>
      </c>
      <c r="G370" s="11" t="inlineStr">
        <is>
          <t>Buldon</t>
        </is>
      </c>
      <c r="H370" s="11" t="inlineStr">
        <is>
          <t>Kulimpang</t>
        </is>
      </c>
      <c r="I370" s="24" t="n">
        <v>7.513004</v>
      </c>
      <c r="J370" s="24" t="n">
        <v>124.426975</v>
      </c>
      <c r="K370" s="23" t="inlineStr">
        <is>
          <t>R</t>
        </is>
      </c>
      <c r="L370" s="25" t="n">
        <v>5281</v>
      </c>
      <c r="M370" s="26" t="n">
        <v>4.3</v>
      </c>
      <c r="N370" s="25">
        <f>ROUND(L370/M370, 0)</f>
        <v/>
      </c>
      <c r="O370" s="25">
        <f>ROUND(N370*'Methodology &amp; Assumptions'!$B$7, 0)</f>
        <v/>
      </c>
      <c r="P370" s="23" t="inlineStr">
        <is>
          <t>Single Carrier (Band n50, 100MHz TDD)</t>
        </is>
      </c>
      <c r="Q370" s="27">
        <f>ROUNDUP(O370/'Methodology &amp; Assumptions'!$B$8, 0)</f>
        <v/>
      </c>
      <c r="R370" s="27" t="n">
        <v>1</v>
      </c>
      <c r="S370" s="26" t="n">
        <v>53.42</v>
      </c>
      <c r="T370" s="26" t="n">
        <v>42.92</v>
      </c>
      <c r="U370" s="11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26" t="n">
        <v>59.06</v>
      </c>
      <c r="W370" s="26" t="n">
        <v>69.2</v>
      </c>
      <c r="X370" s="26">
        <f>ROUND(('Methodology &amp; Assumptions'!$B$5*V370) + ('Methodology &amp; Assumptions'!$B$6*W370), 2)</f>
        <v/>
      </c>
      <c r="Y370" s="28" t="n">
        <v>11</v>
      </c>
      <c r="Z370" s="11" t="inlineStr">
        <is>
          <t>Priority Tier 2 (Balanced Opportunity)</t>
        </is>
      </c>
    </row>
    <row r="371">
      <c r="A371" s="23" t="n">
        <v>2</v>
      </c>
      <c r="B371" s="23" t="n">
        <v>367</v>
      </c>
      <c r="C371" s="23" t="n">
        <v>1367</v>
      </c>
      <c r="D371" s="23" t="inlineStr">
        <is>
          <t>1380606168</t>
        </is>
      </c>
      <c r="E371" s="11" t="inlineStr">
        <is>
          <t>National Capital Region (NCR)</t>
        </is>
      </c>
      <c r="F371" s="11" t="inlineStr">
        <is>
          <t>First District (Not a Province)</t>
        </is>
      </c>
      <c r="G371" s="11" t="inlineStr">
        <is>
          <t>City of Manila</t>
        </is>
      </c>
      <c r="H371" s="11" t="inlineStr">
        <is>
          <t>Barangay 562</t>
        </is>
      </c>
      <c r="I371" s="24" t="n">
        <v>14.609626</v>
      </c>
      <c r="J371" s="24" t="n">
        <v>121.006362</v>
      </c>
      <c r="K371" s="23" t="inlineStr">
        <is>
          <t>U</t>
        </is>
      </c>
      <c r="L371" s="25" t="n">
        <v>2261</v>
      </c>
      <c r="M371" s="26" t="n">
        <v>4.22</v>
      </c>
      <c r="N371" s="25">
        <f>ROUND(L371/M371, 0)</f>
        <v/>
      </c>
      <c r="O371" s="25">
        <f>ROUND(N371*'Methodology &amp; Assumptions'!$B$7, 0)</f>
        <v/>
      </c>
      <c r="P371" s="23" t="inlineStr">
        <is>
          <t>Single Carrier (Band n50, 100MHz TDD)</t>
        </is>
      </c>
      <c r="Q371" s="27">
        <f>ROUNDUP(O371/'Methodology &amp; Assumptions'!$B$8, 0)</f>
        <v/>
      </c>
      <c r="R371" s="27" t="n">
        <v>1</v>
      </c>
      <c r="S371" s="26" t="n">
        <v>0.32</v>
      </c>
      <c r="T371" s="26" t="n">
        <v>0.21</v>
      </c>
      <c r="U371" s="11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26" t="n">
        <v>58.34</v>
      </c>
      <c r="W371" s="26" t="n">
        <v>69.93000000000001</v>
      </c>
      <c r="X371" s="26">
        <f>ROUND(('Methodology &amp; Assumptions'!$B$5*V371) + ('Methodology &amp; Assumptions'!$B$6*W371), 2)</f>
        <v/>
      </c>
      <c r="Y371" s="28" t="n">
        <v>10.9</v>
      </c>
      <c r="Z371" s="11" t="inlineStr">
        <is>
          <t>Priority Tier 2 (Balanced Opportunity)</t>
        </is>
      </c>
    </row>
    <row r="372">
      <c r="A372" s="23" t="n">
        <v>2</v>
      </c>
      <c r="B372" s="23" t="n">
        <v>368</v>
      </c>
      <c r="C372" s="23" t="n">
        <v>1368</v>
      </c>
      <c r="D372" s="23" t="inlineStr">
        <is>
          <t>1900707021</t>
        </is>
      </c>
      <c r="E372" s="11" t="inlineStr">
        <is>
          <t>Bangsamoro Autonomous Region In Muslim Mindanao (BARMM)</t>
        </is>
      </c>
      <c r="F372" s="11" t="inlineStr">
        <is>
          <t>Basilan</t>
        </is>
      </c>
      <c r="G372" s="11" t="inlineStr">
        <is>
          <t>Tuburan</t>
        </is>
      </c>
      <c r="H372" s="11" t="inlineStr">
        <is>
          <t>Duga-a</t>
        </is>
      </c>
      <c r="I372" s="24" t="n">
        <v>6.608805</v>
      </c>
      <c r="J372" s="24" t="n">
        <v>122.259717</v>
      </c>
      <c r="K372" s="23" t="inlineStr">
        <is>
          <t>R</t>
        </is>
      </c>
      <c r="L372" s="25" t="n">
        <v>4167</v>
      </c>
      <c r="M372" s="26" t="n">
        <v>5.1</v>
      </c>
      <c r="N372" s="25">
        <f>ROUND(L372/M372, 0)</f>
        <v/>
      </c>
      <c r="O372" s="25">
        <f>ROUND(N372*'Methodology &amp; Assumptions'!$B$7, 0)</f>
        <v/>
      </c>
      <c r="P372" s="23" t="inlineStr">
        <is>
          <t>Single Carrier (Band n50, 100MHz TDD)</t>
        </is>
      </c>
      <c r="Q372" s="27">
        <f>ROUNDUP(O372/'Methodology &amp; Assumptions'!$B$8, 0)</f>
        <v/>
      </c>
      <c r="R372" s="27" t="n">
        <v>1</v>
      </c>
      <c r="S372" s="26" t="n">
        <v>39.32</v>
      </c>
      <c r="T372" s="26" t="n">
        <v>39.29</v>
      </c>
      <c r="U372" s="11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26" t="n">
        <v>57.29</v>
      </c>
      <c r="W372" s="26" t="n">
        <v>70.95999999999999</v>
      </c>
      <c r="X372" s="26">
        <f>ROUND(('Methodology &amp; Assumptions'!$B$5*V372) + ('Methodology &amp; Assumptions'!$B$6*W372), 2)</f>
        <v/>
      </c>
      <c r="Y372" s="28" t="n">
        <v>11</v>
      </c>
      <c r="Z372" s="11" t="inlineStr">
        <is>
          <t>Priority Tier 2 (Balanced Opportunity)</t>
        </is>
      </c>
    </row>
    <row r="373">
      <c r="A373" s="23" t="n">
        <v>2</v>
      </c>
      <c r="B373" s="23" t="n">
        <v>369</v>
      </c>
      <c r="C373" s="23" t="n">
        <v>1369</v>
      </c>
      <c r="D373" s="23" t="inlineStr">
        <is>
          <t>0300803018</t>
        </is>
      </c>
      <c r="E373" s="11" t="inlineStr">
        <is>
          <t>Region III (Central Luzon)</t>
        </is>
      </c>
      <c r="F373" s="11" t="inlineStr">
        <is>
          <t>Bataan</t>
        </is>
      </c>
      <c r="G373" s="11" t="inlineStr">
        <is>
          <t>City of Balanga</t>
        </is>
      </c>
      <c r="H373" s="11" t="inlineStr">
        <is>
          <t>Camacho</t>
        </is>
      </c>
      <c r="I373" s="24" t="n">
        <v>14.683732</v>
      </c>
      <c r="J373" s="24" t="n">
        <v>120.523585</v>
      </c>
      <c r="K373" s="23" t="inlineStr">
        <is>
          <t>R</t>
        </is>
      </c>
      <c r="L373" s="25" t="n">
        <v>4015</v>
      </c>
      <c r="M373" s="26" t="n">
        <v>3.6</v>
      </c>
      <c r="N373" s="25">
        <f>ROUND(L373/M373, 0)</f>
        <v/>
      </c>
      <c r="O373" s="25">
        <f>ROUND(N373*'Methodology &amp; Assumptions'!$B$7, 0)</f>
        <v/>
      </c>
      <c r="P373" s="23" t="inlineStr">
        <is>
          <t>Single Carrier (Band n50, 100MHz TDD)</t>
        </is>
      </c>
      <c r="Q373" s="27">
        <f>ROUNDUP(O373/'Methodology &amp; Assumptions'!$B$8, 0)</f>
        <v/>
      </c>
      <c r="R373" s="27" t="n">
        <v>1</v>
      </c>
      <c r="S373" s="26" t="n">
        <v>1.75</v>
      </c>
      <c r="T373" s="26" t="n">
        <v>0.46</v>
      </c>
      <c r="U373" s="11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26" t="n">
        <v>82.27</v>
      </c>
      <c r="W373" s="26" t="n">
        <v>45.96</v>
      </c>
      <c r="X373" s="26">
        <f>ROUND(('Methodology &amp; Assumptions'!$B$5*V373) + ('Methodology &amp; Assumptions'!$B$6*W373), 2)</f>
        <v/>
      </c>
      <c r="Y373" s="28" t="n">
        <v>8.300000000000001</v>
      </c>
      <c r="Z373" s="11" t="inlineStr">
        <is>
          <t>Priority Tier 2 (Balanced Opportunity)</t>
        </is>
      </c>
    </row>
    <row r="374">
      <c r="A374" s="23" t="n">
        <v>2</v>
      </c>
      <c r="B374" s="23" t="n">
        <v>370</v>
      </c>
      <c r="C374" s="23" t="n">
        <v>1370</v>
      </c>
      <c r="D374" s="23" t="inlineStr">
        <is>
          <t>0301411010</t>
        </is>
      </c>
      <c r="E374" s="11" t="inlineStr">
        <is>
          <t>Region III (Central Luzon)</t>
        </is>
      </c>
      <c r="F374" s="11" t="inlineStr">
        <is>
          <t>Bulacan</t>
        </is>
      </c>
      <c r="G374" s="11" t="inlineStr">
        <is>
          <t>Marilao</t>
        </is>
      </c>
      <c r="H374" s="11" t="inlineStr">
        <is>
          <t>Poblacion II</t>
        </is>
      </c>
      <c r="I374" s="24" t="n">
        <v>14.75893</v>
      </c>
      <c r="J374" s="24" t="n">
        <v>120.944014</v>
      </c>
      <c r="K374" s="23" t="inlineStr">
        <is>
          <t>U</t>
        </is>
      </c>
      <c r="L374" s="25" t="n">
        <v>5193</v>
      </c>
      <c r="M374" s="26" t="n">
        <v>3.5</v>
      </c>
      <c r="N374" s="25">
        <f>ROUND(L374/M374, 0)</f>
        <v/>
      </c>
      <c r="O374" s="25">
        <f>ROUND(N374*'Methodology &amp; Assumptions'!$B$7, 0)</f>
        <v/>
      </c>
      <c r="P374" s="23" t="inlineStr">
        <is>
          <t>Single Carrier (Band n50, 100MHz TDD)</t>
        </is>
      </c>
      <c r="Q374" s="27">
        <f>ROUNDUP(O374/'Methodology &amp; Assumptions'!$B$8, 0)</f>
        <v/>
      </c>
      <c r="R374" s="27" t="n">
        <v>1</v>
      </c>
      <c r="S374" s="26" t="n">
        <v>1.34</v>
      </c>
      <c r="T374" s="26" t="n">
        <v>0.55</v>
      </c>
      <c r="U374" s="11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26" t="n">
        <v>76.55</v>
      </c>
      <c r="W374" s="26" t="n">
        <v>51.69</v>
      </c>
      <c r="X374" s="26">
        <f>ROUND(('Methodology &amp; Assumptions'!$B$5*V374) + ('Methodology &amp; Assumptions'!$B$6*W374), 2)</f>
        <v/>
      </c>
      <c r="Y374" s="28" t="n">
        <v>8.300000000000001</v>
      </c>
      <c r="Z374" s="11" t="inlineStr">
        <is>
          <t>Priority Tier 2 (Balanced Opportunity)</t>
        </is>
      </c>
    </row>
    <row r="375">
      <c r="A375" s="23" t="n">
        <v>2</v>
      </c>
      <c r="B375" s="23" t="n">
        <v>371</v>
      </c>
      <c r="C375" s="23" t="n">
        <v>1371</v>
      </c>
      <c r="D375" s="23" t="inlineStr">
        <is>
          <t>1380612009</t>
        </is>
      </c>
      <c r="E375" s="11" t="inlineStr">
        <is>
          <t>National Capital Region (NCR)</t>
        </is>
      </c>
      <c r="F375" s="11" t="inlineStr">
        <is>
          <t>First District (Not a Province)</t>
        </is>
      </c>
      <c r="G375" s="11" t="inlineStr">
        <is>
          <t>City of Manila</t>
        </is>
      </c>
      <c r="H375" s="11" t="inlineStr">
        <is>
          <t>Barangay 841</t>
        </is>
      </c>
      <c r="I375" s="24" t="n">
        <v>14.586104</v>
      </c>
      <c r="J375" s="24" t="n">
        <v>121.000179</v>
      </c>
      <c r="K375" s="23" t="inlineStr">
        <is>
          <t>U</t>
        </is>
      </c>
      <c r="L375" s="25" t="n">
        <v>2541</v>
      </c>
      <c r="M375" s="26" t="n">
        <v>4.64</v>
      </c>
      <c r="N375" s="25">
        <f>ROUND(L375/M375, 0)</f>
        <v/>
      </c>
      <c r="O375" s="25">
        <f>ROUND(N375*'Methodology &amp; Assumptions'!$B$7, 0)</f>
        <v/>
      </c>
      <c r="P375" s="23" t="inlineStr">
        <is>
          <t>Single Carrier (Band n50, 100MHz TDD)</t>
        </is>
      </c>
      <c r="Q375" s="27">
        <f>ROUNDUP(O375/'Methodology &amp; Assumptions'!$B$8, 0)</f>
        <v/>
      </c>
      <c r="R375" s="27" t="n">
        <v>1</v>
      </c>
      <c r="S375" s="26" t="n">
        <v>0.34</v>
      </c>
      <c r="T375" s="26" t="n">
        <v>0.25</v>
      </c>
      <c r="U375" s="11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26" t="n">
        <v>58.66</v>
      </c>
      <c r="W375" s="26" t="n">
        <v>69.59</v>
      </c>
      <c r="X375" s="26">
        <f>ROUND(('Methodology &amp; Assumptions'!$B$5*V375) + ('Methodology &amp; Assumptions'!$B$6*W375), 2)</f>
        <v/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2</v>
      </c>
      <c r="B376" s="23" t="n">
        <v>372</v>
      </c>
      <c r="C376" s="23" t="n">
        <v>1372</v>
      </c>
      <c r="D376" s="23" t="inlineStr">
        <is>
          <t>0702241018</t>
        </is>
      </c>
      <c r="E376" s="11" t="inlineStr">
        <is>
          <t>Region VII (Central Visayas)</t>
        </is>
      </c>
      <c r="F376" s="11" t="inlineStr">
        <is>
          <t>Cebu</t>
        </is>
      </c>
      <c r="G376" s="11" t="inlineStr">
        <is>
          <t>San Fernando</t>
        </is>
      </c>
      <c r="H376" s="11" t="inlineStr">
        <is>
          <t>Poblacion South</t>
        </is>
      </c>
      <c r="I376" s="24" t="n">
        <v>10.159781</v>
      </c>
      <c r="J376" s="24" t="n">
        <v>123.704808</v>
      </c>
      <c r="K376" s="23" t="inlineStr">
        <is>
          <t>U</t>
        </is>
      </c>
      <c r="L376" s="25" t="n">
        <v>9150</v>
      </c>
      <c r="M376" s="26" t="n">
        <v>3.8</v>
      </c>
      <c r="N376" s="25">
        <f>ROUND(L376/M376, 0)</f>
        <v/>
      </c>
      <c r="O376" s="25">
        <f>ROUND(N376*'Methodology &amp; Assumptions'!$B$7, 0)</f>
        <v/>
      </c>
      <c r="P376" s="23" t="inlineStr">
        <is>
          <t>Single Carrier (Band n50, 100MHz TDD)</t>
        </is>
      </c>
      <c r="Q376" s="27">
        <f>ROUNDUP(O376/'Methodology &amp; Assumptions'!$B$8, 0)</f>
        <v/>
      </c>
      <c r="R376" s="27" t="n">
        <v>1</v>
      </c>
      <c r="S376" s="26" t="n">
        <v>0.45</v>
      </c>
      <c r="T376" s="26" t="n">
        <v>0.34</v>
      </c>
      <c r="U376" s="11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26" t="n">
        <v>80.86</v>
      </c>
      <c r="W376" s="26" t="n">
        <v>47.37</v>
      </c>
      <c r="X376" s="26">
        <f>ROUND(('Methodology &amp; Assumptions'!$B$5*V376) + ('Methodology &amp; Assumptions'!$B$6*W376), 2)</f>
        <v/>
      </c>
      <c r="Y376" s="28" t="n">
        <v>23.7</v>
      </c>
      <c r="Z376" s="11" t="inlineStr">
        <is>
          <t>Priority Tier 2 (Balanced Opportunity)</t>
        </is>
      </c>
    </row>
    <row r="377">
      <c r="A377" s="23" t="n">
        <v>2</v>
      </c>
      <c r="B377" s="23" t="n">
        <v>373</v>
      </c>
      <c r="C377" s="23" t="n">
        <v>1373</v>
      </c>
      <c r="D377" s="23" t="inlineStr">
        <is>
          <t>1380614056</t>
        </is>
      </c>
      <c r="E377" s="11" t="inlineStr">
        <is>
          <t>National Capital Region (NCR)</t>
        </is>
      </c>
      <c r="F377" s="11" t="inlineStr">
        <is>
          <t>First District (Not a Province)</t>
        </is>
      </c>
      <c r="G377" s="11" t="inlineStr">
        <is>
          <t>City of Manila</t>
        </is>
      </c>
      <c r="H377" s="11" t="inlineStr">
        <is>
          <t>Barangay 800</t>
        </is>
      </c>
      <c r="I377" s="24" t="n">
        <v>14.615152</v>
      </c>
      <c r="J377" s="24" t="n">
        <v>120.965302</v>
      </c>
      <c r="K377" s="23" t="inlineStr">
        <is>
          <t>U</t>
        </is>
      </c>
      <c r="L377" s="25" t="n">
        <v>1541</v>
      </c>
      <c r="M377" s="26" t="n">
        <v>3.58</v>
      </c>
      <c r="N377" s="25">
        <f>ROUND(L377/M377, 0)</f>
        <v/>
      </c>
      <c r="O377" s="25">
        <f>ROUND(N377*'Methodology &amp; Assumptions'!$B$7, 0)</f>
        <v/>
      </c>
      <c r="P377" s="23" t="inlineStr">
        <is>
          <t>Single Carrier (Band n50, 100MHz TDD)</t>
        </is>
      </c>
      <c r="Q377" s="27">
        <f>ROUNDUP(O377/'Methodology &amp; Assumptions'!$B$8, 0)</f>
        <v/>
      </c>
      <c r="R377" s="27" t="n">
        <v>1</v>
      </c>
      <c r="S377" s="26" t="n">
        <v>0.42</v>
      </c>
      <c r="T377" s="26" t="n">
        <v>0.4</v>
      </c>
      <c r="U377" s="11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26" t="n">
        <v>54.91</v>
      </c>
      <c r="W377" s="26" t="n">
        <v>73.31</v>
      </c>
      <c r="X377" s="26">
        <f>ROUND(('Methodology &amp; Assumptions'!$B$5*V377) + ('Methodology &amp; Assumptions'!$B$6*W377), 2)</f>
        <v/>
      </c>
      <c r="Y377" s="28" t="n">
        <v>10.9</v>
      </c>
      <c r="Z377" s="11" t="inlineStr">
        <is>
          <t>Priority Tier 2 (Balanced Opportunity)</t>
        </is>
      </c>
    </row>
    <row r="378">
      <c r="A378" s="23" t="n">
        <v>2</v>
      </c>
      <c r="B378" s="23" t="n">
        <v>374</v>
      </c>
      <c r="C378" s="23" t="n">
        <v>1374</v>
      </c>
      <c r="D378" s="23" t="inlineStr">
        <is>
          <t>0403403024</t>
        </is>
      </c>
      <c r="E378" s="11" t="inlineStr">
        <is>
          <t>Region IV-A (CALABARZON)</t>
        </is>
      </c>
      <c r="F378" s="11" t="inlineStr">
        <is>
          <t>Laguna</t>
        </is>
      </c>
      <c r="G378" s="11" t="inlineStr">
        <is>
          <t>City of Biñan</t>
        </is>
      </c>
      <c r="H378" s="11" t="inlineStr">
        <is>
          <t>Timbao</t>
        </is>
      </c>
      <c r="I378" s="24" t="n">
        <v>14.282748</v>
      </c>
      <c r="J378" s="24" t="n">
        <v>121.05449</v>
      </c>
      <c r="K378" s="23" t="inlineStr">
        <is>
          <t>U</t>
        </is>
      </c>
      <c r="L378" s="25" t="n">
        <v>16951</v>
      </c>
      <c r="M378" s="26" t="n">
        <v>3.3</v>
      </c>
      <c r="N378" s="25">
        <f>ROUND(L378/M378, 0)</f>
        <v/>
      </c>
      <c r="O378" s="25">
        <f>ROUND(N378*'Methodology &amp; Assumptions'!$B$7, 0)</f>
        <v/>
      </c>
      <c r="P378" s="23" t="inlineStr">
        <is>
          <t>Single Carrier (Band n50, 100MHz TDD)</t>
        </is>
      </c>
      <c r="Q378" s="27">
        <f>ROUNDUP(O378/'Methodology &amp; Assumptions'!$B$8, 0)</f>
        <v/>
      </c>
      <c r="R378" s="27" t="n">
        <v>1</v>
      </c>
      <c r="S378" s="26" t="n">
        <v>1.46</v>
      </c>
      <c r="T378" s="26" t="n">
        <v>3.01</v>
      </c>
      <c r="U378" s="11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26" t="n">
        <v>72.42</v>
      </c>
      <c r="W378" s="26" t="n">
        <v>55.77</v>
      </c>
      <c r="X378" s="26">
        <f>ROUND(('Methodology &amp; Assumptions'!$B$5*V378) + ('Methodology &amp; Assumptions'!$B$6*W378), 2)</f>
        <v/>
      </c>
      <c r="Y378" s="28" t="n">
        <v>7.2</v>
      </c>
      <c r="Z378" s="11" t="inlineStr">
        <is>
          <t>Priority Tier 2 (Balanced Opportunity)</t>
        </is>
      </c>
    </row>
    <row r="379">
      <c r="A379" s="23" t="n">
        <v>2</v>
      </c>
      <c r="B379" s="23" t="n">
        <v>375</v>
      </c>
      <c r="C379" s="23" t="n">
        <v>1375</v>
      </c>
      <c r="D379" s="23" t="inlineStr">
        <is>
          <t>1381200013</t>
        </is>
      </c>
      <c r="E379" s="11" t="inlineStr">
        <is>
          <t>National Capital Region (NCR)</t>
        </is>
      </c>
      <c r="F379" s="11" t="inlineStr">
        <is>
          <t>Second District (Not a Province)</t>
        </is>
      </c>
      <c r="G379" s="11" t="inlineStr">
        <is>
          <t>City of Pasig</t>
        </is>
      </c>
      <c r="H379" s="11" t="inlineStr">
        <is>
          <t>Oranbo</t>
        </is>
      </c>
      <c r="I379" s="24" t="n">
        <v>14.573544</v>
      </c>
      <c r="J379" s="24" t="n">
        <v>121.064137</v>
      </c>
      <c r="K379" s="23" t="inlineStr">
        <is>
          <t>U</t>
        </is>
      </c>
      <c r="L379" s="25" t="n">
        <v>3374</v>
      </c>
      <c r="M379" s="26" t="n">
        <v>3.54</v>
      </c>
      <c r="N379" s="25">
        <f>ROUND(L379/M379, 0)</f>
        <v/>
      </c>
      <c r="O379" s="25">
        <f>ROUND(N379*'Methodology &amp; Assumptions'!$B$7, 0)</f>
        <v/>
      </c>
      <c r="P379" s="23" t="inlineStr">
        <is>
          <t>Single Carrier (Band n50, 100MHz TDD)</t>
        </is>
      </c>
      <c r="Q379" s="27">
        <f>ROUNDUP(O379/'Methodology &amp; Assumptions'!$B$8, 0)</f>
        <v/>
      </c>
      <c r="R379" s="27" t="n">
        <v>1</v>
      </c>
      <c r="S379" s="26" t="n">
        <v>1.16</v>
      </c>
      <c r="T379" s="26" t="n">
        <v>0.13</v>
      </c>
      <c r="U379" s="11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26" t="n">
        <v>67.88</v>
      </c>
      <c r="W379" s="26" t="n">
        <v>60.32</v>
      </c>
      <c r="X379" s="26">
        <f>ROUND(('Methodology &amp; Assumptions'!$B$5*V379) + ('Methodology &amp; Assumptions'!$B$6*W379), 2)</f>
        <v/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2</v>
      </c>
      <c r="B380" s="23" t="n">
        <v>376</v>
      </c>
      <c r="C380" s="23" t="n">
        <v>1376</v>
      </c>
      <c r="D380" s="23" t="inlineStr">
        <is>
          <t>1380601173</t>
        </is>
      </c>
      <c r="E380" s="11" t="inlineStr">
        <is>
          <t>National Capital Region (NCR)</t>
        </is>
      </c>
      <c r="F380" s="11" t="inlineStr">
        <is>
          <t>First District (Not a Province)</t>
        </is>
      </c>
      <c r="G380" s="11" t="inlineStr">
        <is>
          <t>City of Manila</t>
        </is>
      </c>
      <c r="H380" s="11" t="inlineStr">
        <is>
          <t>Barangay 173</t>
        </is>
      </c>
      <c r="I380" s="24" t="n">
        <v>14.628422</v>
      </c>
      <c r="J380" s="24" t="n">
        <v>120.972632</v>
      </c>
      <c r="K380" s="23" t="inlineStr">
        <is>
          <t>U</t>
        </is>
      </c>
      <c r="L380" s="25" t="n">
        <v>1704</v>
      </c>
      <c r="M380" s="26" t="n">
        <v>3.75</v>
      </c>
      <c r="N380" s="25">
        <f>ROUND(L380/M380, 0)</f>
        <v/>
      </c>
      <c r="O380" s="25">
        <f>ROUND(N380*'Methodology &amp; Assumptions'!$B$7, 0)</f>
        <v/>
      </c>
      <c r="P380" s="23" t="inlineStr">
        <is>
          <t>Single Carrier (Band n50, 100MHz TDD)</t>
        </is>
      </c>
      <c r="Q380" s="27">
        <f>ROUNDUP(O380/'Methodology &amp; Assumptions'!$B$8, 0)</f>
        <v/>
      </c>
      <c r="R380" s="27" t="n">
        <v>1</v>
      </c>
      <c r="S380" s="26" t="n">
        <v>0.19</v>
      </c>
      <c r="T380" s="26" t="n">
        <v>0.19</v>
      </c>
      <c r="U380" s="11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26" t="n">
        <v>55.66</v>
      </c>
      <c r="W380" s="26" t="n">
        <v>72.54000000000001</v>
      </c>
      <c r="X380" s="26">
        <f>ROUND(('Methodology &amp; Assumptions'!$B$5*V380) + ('Methodology &amp; Assumptions'!$B$6*W380), 2)</f>
        <v/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2</v>
      </c>
      <c r="B381" s="23" t="n">
        <v>377</v>
      </c>
      <c r="C381" s="23" t="n">
        <v>1377</v>
      </c>
      <c r="D381" s="23" t="inlineStr">
        <is>
          <t>1907005004</t>
        </is>
      </c>
      <c r="E381" s="11" t="inlineStr">
        <is>
          <t>Bangsamoro Autonomous Region In Muslim Mindanao (BARMM)</t>
        </is>
      </c>
      <c r="F381" s="11" t="inlineStr">
        <is>
          <t>Tawi-Tawi</t>
        </is>
      </c>
      <c r="G381" s="11" t="inlineStr">
        <is>
          <t>Sitangkai</t>
        </is>
      </c>
      <c r="H381" s="11" t="inlineStr">
        <is>
          <t>Sitangkai Poblacion</t>
        </is>
      </c>
      <c r="I381" s="24" t="n">
        <v>4.662138</v>
      </c>
      <c r="J381" s="24" t="n">
        <v>119.393182</v>
      </c>
      <c r="K381" s="23" t="inlineStr">
        <is>
          <t>R</t>
        </is>
      </c>
      <c r="L381" s="25" t="n">
        <v>4093</v>
      </c>
      <c r="M381" s="26" t="n">
        <v>5.8</v>
      </c>
      <c r="N381" s="25">
        <f>ROUND(L381/M381, 0)</f>
        <v/>
      </c>
      <c r="O381" s="25">
        <f>ROUND(N381*'Methodology &amp; Assumptions'!$B$7, 0)</f>
        <v/>
      </c>
      <c r="P381" s="23" t="inlineStr">
        <is>
          <t>Single Carrier (Band n50, 100MHz TDD)</t>
        </is>
      </c>
      <c r="Q381" s="27">
        <f>ROUNDUP(O381/'Methodology &amp; Assumptions'!$B$8, 0)</f>
        <v/>
      </c>
      <c r="R381" s="27" t="n">
        <v>1</v>
      </c>
      <c r="S381" s="26" t="n">
        <v>999</v>
      </c>
      <c r="T381" s="26" t="n">
        <v>999</v>
      </c>
      <c r="U381" s="11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26" t="n">
        <v>53.76</v>
      </c>
      <c r="W381" s="26" t="n">
        <v>74.45</v>
      </c>
      <c r="X381" s="26">
        <f>ROUND(('Methodology &amp; Assumptions'!$B$5*V381) + ('Methodology &amp; Assumptions'!$B$6*W381), 2)</f>
        <v/>
      </c>
      <c r="Y381" s="28" t="n">
        <v>11</v>
      </c>
      <c r="Z381" s="11" t="inlineStr">
        <is>
          <t>Priority Tier 2 (Balanced Opportunity)</t>
        </is>
      </c>
    </row>
    <row r="382">
      <c r="A382" s="23" t="n">
        <v>2</v>
      </c>
      <c r="B382" s="23" t="n">
        <v>378</v>
      </c>
      <c r="C382" s="23" t="n">
        <v>1378</v>
      </c>
      <c r="D382" s="23" t="inlineStr">
        <is>
          <t>0604528042</t>
        </is>
      </c>
      <c r="E382" s="11" t="inlineStr">
        <is>
          <t>Region VI (Western Visayas)</t>
        </is>
      </c>
      <c r="F382" s="11" t="inlineStr">
        <is>
          <t>Negros Occidental</t>
        </is>
      </c>
      <c r="G382" s="11" t="inlineStr">
        <is>
          <t>City of Talisay</t>
        </is>
      </c>
      <c r="H382" s="11" t="inlineStr">
        <is>
          <t>Zone 3</t>
        </is>
      </c>
      <c r="I382" s="24" t="n">
        <v>10.741668</v>
      </c>
      <c r="J382" s="24" t="n">
        <v>122.964889</v>
      </c>
      <c r="K382" s="23" t="inlineStr">
        <is>
          <t>U</t>
        </is>
      </c>
      <c r="L382" s="25" t="n">
        <v>6901</v>
      </c>
      <c r="M382" s="26" t="n">
        <v>3.7</v>
      </c>
      <c r="N382" s="25">
        <f>ROUND(L382/M382, 0)</f>
        <v/>
      </c>
      <c r="O382" s="25">
        <f>ROUND(N382*'Methodology &amp; Assumptions'!$B$7, 0)</f>
        <v/>
      </c>
      <c r="P382" s="23" t="inlineStr">
        <is>
          <t>Single Carrier (Band n50, 100MHz TDD)</t>
        </is>
      </c>
      <c r="Q382" s="27">
        <f>ROUNDUP(O382/'Methodology &amp; Assumptions'!$B$8, 0)</f>
        <v/>
      </c>
      <c r="R382" s="27" t="n">
        <v>1</v>
      </c>
      <c r="S382" s="26" t="n">
        <v>0.33</v>
      </c>
      <c r="T382" s="26" t="n">
        <v>0.24</v>
      </c>
      <c r="U382" s="11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26" t="n">
        <v>80.86</v>
      </c>
      <c r="W382" s="26" t="n">
        <v>47.33</v>
      </c>
      <c r="X382" s="26">
        <f>ROUND(('Methodology &amp; Assumptions'!$B$5*V382) + ('Methodology &amp; Assumptions'!$B$6*W382), 2)</f>
        <v/>
      </c>
      <c r="Y382" s="28" t="n">
        <v>23.7</v>
      </c>
      <c r="Z382" s="11" t="inlineStr">
        <is>
          <t>Priority Tier 2 (Balanced Opportunity)</t>
        </is>
      </c>
    </row>
    <row r="383">
      <c r="A383" s="23" t="n">
        <v>2</v>
      </c>
      <c r="B383" s="23" t="n">
        <v>379</v>
      </c>
      <c r="C383" s="23" t="n">
        <v>1379</v>
      </c>
      <c r="D383" s="23" t="inlineStr">
        <is>
          <t>0501709013</t>
        </is>
      </c>
      <c r="E383" s="11" t="inlineStr">
        <is>
          <t>Region V (Bicol Region)</t>
        </is>
      </c>
      <c r="F383" s="11" t="inlineStr">
        <is>
          <t>Camarines Sur</t>
        </is>
      </c>
      <c r="G383" s="11" t="inlineStr">
        <is>
          <t>Camaligan</t>
        </is>
      </c>
      <c r="H383" s="11" t="inlineStr">
        <is>
          <t>San Roque</t>
        </is>
      </c>
      <c r="I383" s="24" t="n">
        <v>13.620247</v>
      </c>
      <c r="J383" s="24" t="n">
        <v>123.1742</v>
      </c>
      <c r="K383" s="23" t="inlineStr">
        <is>
          <t>U</t>
        </is>
      </c>
      <c r="L383" s="25" t="n">
        <v>3091</v>
      </c>
      <c r="M383" s="26" t="n">
        <v>4.2</v>
      </c>
      <c r="N383" s="25">
        <f>ROUND(L383/M383, 0)</f>
        <v/>
      </c>
      <c r="O383" s="25">
        <f>ROUND(N383*'Methodology &amp; Assumptions'!$B$7, 0)</f>
        <v/>
      </c>
      <c r="P383" s="23" t="inlineStr">
        <is>
          <t>Single Carrier (Band n50, 100MHz TDD)</t>
        </is>
      </c>
      <c r="Q383" s="27">
        <f>ROUNDUP(O383/'Methodology &amp; Assumptions'!$B$8, 0)</f>
        <v/>
      </c>
      <c r="R383" s="27" t="n">
        <v>1</v>
      </c>
      <c r="S383" s="26" t="n">
        <v>0.24</v>
      </c>
      <c r="T383" s="26" t="n">
        <v>1.25</v>
      </c>
      <c r="U383" s="11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26" t="n">
        <v>79.29000000000001</v>
      </c>
      <c r="W383" s="26" t="n">
        <v>48.89</v>
      </c>
      <c r="X383" s="26">
        <f>ROUND(('Methodology &amp; Assumptions'!$B$5*V383) + ('Methodology &amp; Assumptions'!$B$6*W383), 2)</f>
        <v/>
      </c>
      <c r="Y383" s="28" t="n">
        <v>23.7</v>
      </c>
      <c r="Z383" s="11" t="inlineStr">
        <is>
          <t>Priority Tier 2 (Balanced Opportunity)</t>
        </is>
      </c>
    </row>
    <row r="384">
      <c r="A384" s="23" t="n">
        <v>2</v>
      </c>
      <c r="B384" s="23" t="n">
        <v>380</v>
      </c>
      <c r="C384" s="23" t="n">
        <v>1380</v>
      </c>
      <c r="D384" s="23" t="inlineStr">
        <is>
          <t>1380601204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203</t>
        </is>
      </c>
      <c r="I384" s="24" t="n">
        <v>14.62891</v>
      </c>
      <c r="J384" s="24" t="n">
        <v>120.979217</v>
      </c>
      <c r="K384" s="23" t="inlineStr">
        <is>
          <t>U</t>
        </is>
      </c>
      <c r="L384" s="25" t="n">
        <v>2014</v>
      </c>
      <c r="M384" s="26" t="n">
        <v>3.98</v>
      </c>
      <c r="N384" s="25">
        <f>ROUND(L384/M384, 0)</f>
        <v/>
      </c>
      <c r="O384" s="25">
        <f>ROUND(N384*'Methodology &amp; Assumptions'!$B$7, 0)</f>
        <v/>
      </c>
      <c r="P384" s="23" t="inlineStr">
        <is>
          <t>Single Carrier (Band n50, 100MHz TDD)</t>
        </is>
      </c>
      <c r="Q384" s="27">
        <f>ROUNDUP(O384/'Methodology &amp; Assumptions'!$B$8, 0)</f>
        <v/>
      </c>
      <c r="R384" s="27" t="n">
        <v>1</v>
      </c>
      <c r="S384" s="26" t="n">
        <v>0.67</v>
      </c>
      <c r="T384" s="26" t="n">
        <v>0.24</v>
      </c>
      <c r="U384" s="11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26" t="n">
        <v>57.37</v>
      </c>
      <c r="W384" s="26" t="n">
        <v>70.8</v>
      </c>
      <c r="X384" s="26">
        <f>ROUND(('Methodology &amp; Assumptions'!$B$5*V384) + ('Methodology &amp; Assumptions'!$B$6*W384), 2)</f>
        <v/>
      </c>
      <c r="Y384" s="28" t="n">
        <v>10.9</v>
      </c>
      <c r="Z384" s="11" t="inlineStr">
        <is>
          <t>Priority Tier 2 (Balanced Opportunity)</t>
        </is>
      </c>
    </row>
    <row r="385">
      <c r="A385" s="23" t="n">
        <v>2</v>
      </c>
      <c r="B385" s="23" t="n">
        <v>381</v>
      </c>
      <c r="C385" s="23" t="n">
        <v>1381</v>
      </c>
      <c r="D385" s="23" t="inlineStr">
        <is>
          <t>1380601164</t>
        </is>
      </c>
      <c r="E385" s="11" t="inlineStr">
        <is>
          <t>National Capital Region (NCR)</t>
        </is>
      </c>
      <c r="F385" s="11" t="inlineStr">
        <is>
          <t>First District (Not a Province)</t>
        </is>
      </c>
      <c r="G385" s="11" t="inlineStr">
        <is>
          <t>City of Manila</t>
        </is>
      </c>
      <c r="H385" s="11" t="inlineStr">
        <is>
          <t>Barangay 164</t>
        </is>
      </c>
      <c r="I385" s="24" t="n">
        <v>14.625231</v>
      </c>
      <c r="J385" s="24" t="n">
        <v>120.974282</v>
      </c>
      <c r="K385" s="23" t="inlineStr">
        <is>
          <t>U</t>
        </is>
      </c>
      <c r="L385" s="25" t="n">
        <v>1824</v>
      </c>
      <c r="M385" s="26" t="n">
        <v>4.4</v>
      </c>
      <c r="N385" s="25">
        <f>ROUND(L385/M385, 0)</f>
        <v/>
      </c>
      <c r="O385" s="25">
        <f>ROUND(N385*'Methodology &amp; Assumptions'!$B$7, 0)</f>
        <v/>
      </c>
      <c r="P385" s="23" t="inlineStr">
        <is>
          <t>Single Carrier (Band n50, 100MHz TDD)</t>
        </is>
      </c>
      <c r="Q385" s="27">
        <f>ROUNDUP(O385/'Methodology &amp; Assumptions'!$B$8, 0)</f>
        <v/>
      </c>
      <c r="R385" s="27" t="n">
        <v>1</v>
      </c>
      <c r="S385" s="26" t="n">
        <v>0.21</v>
      </c>
      <c r="T385" s="26" t="n">
        <v>0.21</v>
      </c>
      <c r="U385" s="11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26" t="n">
        <v>54.37</v>
      </c>
      <c r="W385" s="26" t="n">
        <v>73.81</v>
      </c>
      <c r="X385" s="26">
        <f>ROUND(('Methodology &amp; Assumptions'!$B$5*V385) + ('Methodology &amp; Assumptions'!$B$6*W385), 2)</f>
        <v/>
      </c>
      <c r="Y385" s="28" t="n">
        <v>10.9</v>
      </c>
      <c r="Z385" s="11" t="inlineStr">
        <is>
          <t>Priority Tier 2 (Balanced Opportunity)</t>
        </is>
      </c>
    </row>
    <row r="386">
      <c r="A386" s="23" t="n">
        <v>2</v>
      </c>
      <c r="B386" s="23" t="n">
        <v>382</v>
      </c>
      <c r="C386" s="23" t="n">
        <v>1382</v>
      </c>
      <c r="D386" s="23" t="inlineStr">
        <is>
          <t>0506203032</t>
        </is>
      </c>
      <c r="E386" s="11" t="inlineStr">
        <is>
          <t>Region V (Bicol Region)</t>
        </is>
      </c>
      <c r="F386" s="11" t="inlineStr">
        <is>
          <t>Sorsogon</t>
        </is>
      </c>
      <c r="G386" s="11" t="inlineStr">
        <is>
          <t>Bulan</t>
        </is>
      </c>
      <c r="H386" s="11" t="inlineStr">
        <is>
          <t>Managanaga</t>
        </is>
      </c>
      <c r="I386" s="24" t="n">
        <v>12.671642</v>
      </c>
      <c r="J386" s="24" t="n">
        <v>123.877452</v>
      </c>
      <c r="K386" s="23" t="inlineStr">
        <is>
          <t>R</t>
        </is>
      </c>
      <c r="L386" s="25" t="n">
        <v>3413</v>
      </c>
      <c r="M386" s="26" t="n">
        <v>4</v>
      </c>
      <c r="N386" s="25">
        <f>ROUND(L386/M386, 0)</f>
        <v/>
      </c>
      <c r="O386" s="25">
        <f>ROUND(N386*'Methodology &amp; Assumptions'!$B$7, 0)</f>
        <v/>
      </c>
      <c r="P386" s="23" t="inlineStr">
        <is>
          <t>Single Carrier (Band n50, 100MHz TDD)</t>
        </is>
      </c>
      <c r="Q386" s="27">
        <f>ROUNDUP(O386/'Methodology &amp; Assumptions'!$B$8, 0)</f>
        <v/>
      </c>
      <c r="R386" s="27" t="n">
        <v>1</v>
      </c>
      <c r="S386" s="26" t="n">
        <v>0.54</v>
      </c>
      <c r="T386" s="26" t="n">
        <v>0.53</v>
      </c>
      <c r="U386" s="11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26" t="n">
        <v>87.41</v>
      </c>
      <c r="W386" s="26" t="n">
        <v>40.74</v>
      </c>
      <c r="X386" s="26">
        <f>ROUND(('Methodology &amp; Assumptions'!$B$5*V386) + ('Methodology &amp; Assumptions'!$B$6*W386), 2)</f>
        <v/>
      </c>
      <c r="Y386" s="28" t="n">
        <v>23.7</v>
      </c>
      <c r="Z386" s="11" t="inlineStr">
        <is>
          <t>Priority Tier 2 (Balanced Opportunity)</t>
        </is>
      </c>
    </row>
    <row r="387">
      <c r="A387" s="23" t="n">
        <v>2</v>
      </c>
      <c r="B387" s="23" t="n">
        <v>383</v>
      </c>
      <c r="C387" s="23" t="n">
        <v>1383</v>
      </c>
      <c r="D387" s="23" t="inlineStr">
        <is>
          <t>0304902028</t>
        </is>
      </c>
      <c r="E387" s="11" t="inlineStr">
        <is>
          <t>Region III (Central Luzon)</t>
        </is>
      </c>
      <c r="F387" s="11" t="inlineStr">
        <is>
          <t>Nueva Ecija</t>
        </is>
      </c>
      <c r="G387" s="11" t="inlineStr">
        <is>
          <t>Bongabon</t>
        </is>
      </c>
      <c r="H387" s="11" t="inlineStr">
        <is>
          <t>Tulay na Bato</t>
        </is>
      </c>
      <c r="I387" s="24" t="n">
        <v>15.626661</v>
      </c>
      <c r="J387" s="24" t="n">
        <v>121.140299</v>
      </c>
      <c r="K387" s="23" t="inlineStr">
        <is>
          <t>R</t>
        </is>
      </c>
      <c r="L387" s="25" t="n">
        <v>2497</v>
      </c>
      <c r="M387" s="26" t="n">
        <v>3.5</v>
      </c>
      <c r="N387" s="25">
        <f>ROUND(L387/M387, 0)</f>
        <v/>
      </c>
      <c r="O387" s="25">
        <f>ROUND(N387*'Methodology &amp; Assumptions'!$B$7, 0)</f>
        <v/>
      </c>
      <c r="P387" s="23" t="inlineStr">
        <is>
          <t>Single Carrier (Band n50, 100MHz TDD)</t>
        </is>
      </c>
      <c r="Q387" s="27">
        <f>ROUNDUP(O387/'Methodology &amp; Assumptions'!$B$8, 0)</f>
        <v/>
      </c>
      <c r="R387" s="27" t="n">
        <v>1</v>
      </c>
      <c r="S387" s="26" t="n">
        <v>0.73</v>
      </c>
      <c r="T387" s="26" t="n">
        <v>0.73</v>
      </c>
      <c r="U387" s="11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26" t="n">
        <v>82.2</v>
      </c>
      <c r="W387" s="26" t="n">
        <v>45.96</v>
      </c>
      <c r="X387" s="26">
        <f>ROUND(('Methodology &amp; Assumptions'!$B$5*V387) + ('Methodology &amp; Assumptions'!$B$6*W387), 2)</f>
        <v/>
      </c>
      <c r="Y387" s="28" t="n">
        <v>8.300000000000001</v>
      </c>
      <c r="Z387" s="11" t="inlineStr">
        <is>
          <t>Priority Tier 2 (Balanced Opportunity)</t>
        </is>
      </c>
    </row>
    <row r="388">
      <c r="A388" s="23" t="n">
        <v>2</v>
      </c>
      <c r="B388" s="23" t="n">
        <v>384</v>
      </c>
      <c r="C388" s="23" t="n">
        <v>1384</v>
      </c>
      <c r="D388" s="23" t="inlineStr">
        <is>
          <t>1907001003</t>
        </is>
      </c>
      <c r="E388" s="11" t="inlineStr">
        <is>
          <t>Bangsamoro Autonomous Region In Muslim Mindanao (BARMM)</t>
        </is>
      </c>
      <c r="F388" s="11" t="inlineStr">
        <is>
          <t>Tawi-Tawi</t>
        </is>
      </c>
      <c r="G388" s="11" t="inlineStr">
        <is>
          <t>Panglima Sugala</t>
        </is>
      </c>
      <c r="H388" s="11" t="inlineStr">
        <is>
          <t>Buan</t>
        </is>
      </c>
      <c r="I388" s="24" t="n">
        <v>5.16435</v>
      </c>
      <c r="J388" s="24" t="n">
        <v>120.002987</v>
      </c>
      <c r="K388" s="23" t="inlineStr">
        <is>
          <t>R</t>
        </is>
      </c>
      <c r="L388" s="25" t="n">
        <v>4393</v>
      </c>
      <c r="M388" s="26" t="n">
        <v>5.8</v>
      </c>
      <c r="N388" s="25">
        <f>ROUND(L388/M388, 0)</f>
        <v/>
      </c>
      <c r="O388" s="25">
        <f>ROUND(N388*'Methodology &amp; Assumptions'!$B$7, 0)</f>
        <v/>
      </c>
      <c r="P388" s="23" t="inlineStr">
        <is>
          <t>Single Carrier (Band n50, 100MHz TDD)</t>
        </is>
      </c>
      <c r="Q388" s="27">
        <f>ROUNDUP(O388/'Methodology &amp; Assumptions'!$B$8, 0)</f>
        <v/>
      </c>
      <c r="R388" s="27" t="n">
        <v>1</v>
      </c>
      <c r="S388" s="26" t="n">
        <v>999</v>
      </c>
      <c r="T388" s="26" t="n">
        <v>999</v>
      </c>
      <c r="U388" s="11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26" t="n">
        <v>55.36</v>
      </c>
      <c r="W388" s="26" t="n">
        <v>72.8</v>
      </c>
      <c r="X388" s="26">
        <f>ROUND(('Methodology &amp; Assumptions'!$B$5*V388) + ('Methodology &amp; Assumptions'!$B$6*W388), 2)</f>
        <v/>
      </c>
      <c r="Y388" s="28" t="n">
        <v>11</v>
      </c>
      <c r="Z388" s="11" t="inlineStr">
        <is>
          <t>Priority Tier 2 (Balanced Opportunity)</t>
        </is>
      </c>
    </row>
    <row r="389">
      <c r="A389" s="23" t="n">
        <v>2</v>
      </c>
      <c r="B389" s="23" t="n">
        <v>385</v>
      </c>
      <c r="C389" s="23" t="n">
        <v>1385</v>
      </c>
      <c r="D389" s="23" t="inlineStr">
        <is>
          <t>0307708009</t>
        </is>
      </c>
      <c r="E389" s="11" t="inlineStr">
        <is>
          <t>Region III (Central Luzon)</t>
        </is>
      </c>
      <c r="F389" s="11" t="inlineStr">
        <is>
          <t>Aurora</t>
        </is>
      </c>
      <c r="G389" s="11" t="inlineStr">
        <is>
          <t>San Luis</t>
        </is>
      </c>
      <c r="H389" s="11" t="inlineStr">
        <is>
          <t>Dikapinisan</t>
        </is>
      </c>
      <c r="I389" s="24" t="n">
        <v>15.581969</v>
      </c>
      <c r="J389" s="24" t="n">
        <v>121.479895</v>
      </c>
      <c r="K389" s="23" t="inlineStr">
        <is>
          <t>R</t>
        </is>
      </c>
      <c r="L389" s="25" t="n">
        <v>1359</v>
      </c>
      <c r="M389" s="26" t="n">
        <v>3.8</v>
      </c>
      <c r="N389" s="25">
        <f>ROUND(L389/M389, 0)</f>
        <v/>
      </c>
      <c r="O389" s="25">
        <f>ROUND(N389*'Methodology &amp; Assumptions'!$B$7, 0)</f>
        <v/>
      </c>
      <c r="P389" s="23" t="inlineStr">
        <is>
          <t>Single Carrier (Band n50, 100MHz TDD)</t>
        </is>
      </c>
      <c r="Q389" s="27">
        <f>ROUNDUP(O389/'Methodology &amp; Assumptions'!$B$8, 0)</f>
        <v/>
      </c>
      <c r="R389" s="27" t="n">
        <v>1</v>
      </c>
      <c r="S389" s="26" t="n">
        <v>18.39</v>
      </c>
      <c r="T389" s="26" t="n">
        <v>17.92</v>
      </c>
      <c r="U389" s="11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26" t="n">
        <v>45.37</v>
      </c>
      <c r="W389" s="26" t="n">
        <v>82.79000000000001</v>
      </c>
      <c r="X389" s="26">
        <f>ROUND(('Methodology &amp; Assumptions'!$B$5*V389) + ('Methodology &amp; Assumptions'!$B$6*W389), 2)</f>
        <v/>
      </c>
      <c r="Y389" s="28" t="n">
        <v>8.300000000000001</v>
      </c>
      <c r="Z389" s="11" t="inlineStr">
        <is>
          <t>Priority Tier 2 (Balanced Opportunity)</t>
        </is>
      </c>
    </row>
    <row r="390">
      <c r="A390" s="23" t="n">
        <v>2</v>
      </c>
      <c r="B390" s="23" t="n">
        <v>386</v>
      </c>
      <c r="C390" s="23" t="n">
        <v>1386</v>
      </c>
      <c r="D390" s="23" t="inlineStr">
        <is>
          <t>0403404017</t>
        </is>
      </c>
      <c r="E390" s="11" t="inlineStr">
        <is>
          <t>Region IV-A (CALABARZON)</t>
        </is>
      </c>
      <c r="F390" s="11" t="inlineStr">
        <is>
          <t>Laguna</t>
        </is>
      </c>
      <c r="G390" s="11" t="inlineStr">
        <is>
          <t>City of Cabuyao</t>
        </is>
      </c>
      <c r="H390" s="11" t="inlineStr">
        <is>
          <t>Barangay Uno</t>
        </is>
      </c>
      <c r="I390" s="24" t="n">
        <v>14.28361</v>
      </c>
      <c r="J390" s="24" t="n">
        <v>121.122665</v>
      </c>
      <c r="K390" s="23" t="inlineStr">
        <is>
          <t>U</t>
        </is>
      </c>
      <c r="L390" s="25" t="n">
        <v>4045</v>
      </c>
      <c r="M390" s="26" t="n">
        <v>3.3</v>
      </c>
      <c r="N390" s="25">
        <f>ROUND(L390/M390, 0)</f>
        <v/>
      </c>
      <c r="O390" s="25">
        <f>ROUND(N390*'Methodology &amp; Assumptions'!$B$7, 0)</f>
        <v/>
      </c>
      <c r="P390" s="23" t="inlineStr">
        <is>
          <t>Single Carrier (Band n50, 100MHz TDD)</t>
        </is>
      </c>
      <c r="Q390" s="27">
        <f>ROUNDUP(O390/'Methodology &amp; Assumptions'!$B$8, 0)</f>
        <v/>
      </c>
      <c r="R390" s="27" t="n">
        <v>1</v>
      </c>
      <c r="S390" s="26" t="n">
        <v>1.07</v>
      </c>
      <c r="T390" s="26" t="n">
        <v>0.97</v>
      </c>
      <c r="U390" s="11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26" t="n">
        <v>77.37</v>
      </c>
      <c r="W390" s="26" t="n">
        <v>50.77</v>
      </c>
      <c r="X390" s="26">
        <f>ROUND(('Methodology &amp; Assumptions'!$B$5*V390) + ('Methodology &amp; Assumptions'!$B$6*W390), 2)</f>
        <v/>
      </c>
      <c r="Y390" s="28" t="n">
        <v>7.2</v>
      </c>
      <c r="Z390" s="11" t="inlineStr">
        <is>
          <t>Priority Tier 2 (Balanced Opportunity)</t>
        </is>
      </c>
    </row>
    <row r="391">
      <c r="A391" s="23" t="n">
        <v>2</v>
      </c>
      <c r="B391" s="23" t="n">
        <v>387</v>
      </c>
      <c r="C391" s="23" t="n">
        <v>1387</v>
      </c>
      <c r="D391" s="23" t="inlineStr">
        <is>
          <t>1380700011</t>
        </is>
      </c>
      <c r="E391" s="11" t="inlineStr">
        <is>
          <t>National Capital Region (NCR)</t>
        </is>
      </c>
      <c r="F391" s="11" t="inlineStr">
        <is>
          <t>Second District (Not a Province)</t>
        </is>
      </c>
      <c r="G391" s="11" t="inlineStr">
        <is>
          <t>City of Marikina</t>
        </is>
      </c>
      <c r="H391" s="11" t="inlineStr">
        <is>
          <t>Tañong</t>
        </is>
      </c>
      <c r="I391" s="24" t="n">
        <v>14.634594</v>
      </c>
      <c r="J391" s="24" t="n">
        <v>121.08578</v>
      </c>
      <c r="K391" s="23" t="inlineStr">
        <is>
          <t>U</t>
        </is>
      </c>
      <c r="L391" s="25" t="n">
        <v>9415</v>
      </c>
      <c r="M391" s="26" t="n">
        <v>4.03</v>
      </c>
      <c r="N391" s="25">
        <f>ROUND(L391/M391, 0)</f>
        <v/>
      </c>
      <c r="O391" s="25">
        <f>ROUND(N391*'Methodology &amp; Assumptions'!$B$7, 0)</f>
        <v/>
      </c>
      <c r="P391" s="23" t="inlineStr">
        <is>
          <t>Single Carrier (Band n50, 100MHz TDD)</t>
        </is>
      </c>
      <c r="Q391" s="27">
        <f>ROUNDUP(O391/'Methodology &amp; Assumptions'!$B$8, 0)</f>
        <v/>
      </c>
      <c r="R391" s="27" t="n">
        <v>1</v>
      </c>
      <c r="S391" s="26" t="n">
        <v>0.95</v>
      </c>
      <c r="T391" s="26" t="n">
        <v>0.95</v>
      </c>
      <c r="U391" s="11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26" t="n">
        <v>68.69</v>
      </c>
      <c r="W391" s="26" t="n">
        <v>59.45</v>
      </c>
      <c r="X391" s="26">
        <f>ROUND(('Methodology &amp; Assumptions'!$B$5*V391) + ('Methodology &amp; Assumptions'!$B$6*W391), 2)</f>
        <v/>
      </c>
      <c r="Y391" s="28" t="n">
        <v>10.9</v>
      </c>
      <c r="Z391" s="11" t="inlineStr">
        <is>
          <t>Priority Tier 2 (Balanced Opportunity)</t>
        </is>
      </c>
    </row>
    <row r="392">
      <c r="A392" s="23" t="n">
        <v>2</v>
      </c>
      <c r="B392" s="23" t="n">
        <v>388</v>
      </c>
      <c r="C392" s="23" t="n">
        <v>1388</v>
      </c>
      <c r="D392" s="23" t="inlineStr">
        <is>
          <t>0201529029</t>
        </is>
      </c>
      <c r="E392" s="11" t="inlineStr">
        <is>
          <t>Region II (Cagayan Valley)</t>
        </is>
      </c>
      <c r="F392" s="11" t="inlineStr">
        <is>
          <t>Cagayan</t>
        </is>
      </c>
      <c r="G392" s="11" t="inlineStr">
        <is>
          <t>Tuguegarao City</t>
        </is>
      </c>
      <c r="H392" s="11" t="inlineStr">
        <is>
          <t>Namabbalan Norte</t>
        </is>
      </c>
      <c r="I392" s="24" t="n">
        <v>17.554091</v>
      </c>
      <c r="J392" s="24" t="n">
        <v>121.80786</v>
      </c>
      <c r="K392" s="23" t="inlineStr">
        <is>
          <t>R</t>
        </is>
      </c>
      <c r="L392" s="25" t="n">
        <v>1566</v>
      </c>
      <c r="M392" s="26" t="n">
        <v>3.9</v>
      </c>
      <c r="N392" s="25">
        <f>ROUND(L392/M392, 0)</f>
        <v/>
      </c>
      <c r="O392" s="25">
        <f>ROUND(N392*'Methodology &amp; Assumptions'!$B$7, 0)</f>
        <v/>
      </c>
      <c r="P392" s="23" t="inlineStr">
        <is>
          <t>Single Carrier (Band n50, 100MHz TDD)</t>
        </is>
      </c>
      <c r="Q392" s="27">
        <f>ROUNDUP(O392/'Methodology &amp; Assumptions'!$B$8, 0)</f>
        <v/>
      </c>
      <c r="R392" s="27" t="n">
        <v>1</v>
      </c>
      <c r="S392" s="26" t="n">
        <v>10.43</v>
      </c>
      <c r="T392" s="26" t="n">
        <v>2.63</v>
      </c>
      <c r="U392" s="11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26" t="n">
        <v>51.14</v>
      </c>
      <c r="W392" s="26" t="n">
        <v>77</v>
      </c>
      <c r="X392" s="26">
        <f>ROUND(('Methodology &amp; Assumptions'!$B$5*V392) + ('Methodology &amp; Assumptions'!$B$6*W392), 2)</f>
        <v/>
      </c>
      <c r="Y392" s="28" t="n">
        <v>8.300000000000001</v>
      </c>
      <c r="Z392" s="11" t="inlineStr">
        <is>
          <t>Priority Tier 2 (Balanced Opportunity)</t>
        </is>
      </c>
    </row>
    <row r="393">
      <c r="A393" s="23" t="n">
        <v>2</v>
      </c>
      <c r="B393" s="23" t="n">
        <v>389</v>
      </c>
      <c r="C393" s="23" t="n">
        <v>1389</v>
      </c>
      <c r="D393" s="23" t="inlineStr">
        <is>
          <t>1004324010</t>
        </is>
      </c>
      <c r="E393" s="11" t="inlineStr">
        <is>
          <t>Region X (Northern Mindanao)</t>
        </is>
      </c>
      <c r="F393" s="11" t="inlineStr">
        <is>
          <t>Misamis Oriental</t>
        </is>
      </c>
      <c r="G393" s="11" t="inlineStr">
        <is>
          <t>Tagoloan</t>
        </is>
      </c>
      <c r="H393" s="11" t="inlineStr">
        <is>
          <t>Sugbongcogon</t>
        </is>
      </c>
      <c r="I393" s="24" t="n">
        <v>8.527799999999999</v>
      </c>
      <c r="J393" s="24" t="n">
        <v>124.7477</v>
      </c>
      <c r="K393" s="23" t="inlineStr">
        <is>
          <t>U</t>
        </is>
      </c>
      <c r="L393" s="25" t="n">
        <v>4752</v>
      </c>
      <c r="M393" s="26" t="n">
        <v>3.9</v>
      </c>
      <c r="N393" s="25">
        <f>ROUND(L393/M393, 0)</f>
        <v/>
      </c>
      <c r="O393" s="25">
        <f>ROUND(N393*'Methodology &amp; Assumptions'!$B$7, 0)</f>
        <v/>
      </c>
      <c r="P393" s="23" t="inlineStr">
        <is>
          <t>Single Carrier (Band n50, 100MHz TDD)</t>
        </is>
      </c>
      <c r="Q393" s="27">
        <f>ROUNDUP(O393/'Methodology &amp; Assumptions'!$B$8, 0)</f>
        <v/>
      </c>
      <c r="R393" s="27" t="n">
        <v>1</v>
      </c>
      <c r="S393" s="26" t="n">
        <v>1.28</v>
      </c>
      <c r="T393" s="26" t="n">
        <v>0.91</v>
      </c>
      <c r="U393" s="11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26" t="n">
        <v>78.19</v>
      </c>
      <c r="W393" s="26" t="n">
        <v>49.93</v>
      </c>
      <c r="X393" s="26">
        <f>ROUND(('Methodology &amp; Assumptions'!$B$5*V393) + ('Methodology &amp; Assumptions'!$B$6*W393), 2)</f>
        <v/>
      </c>
      <c r="Y393" s="28" t="n">
        <v>17.4</v>
      </c>
      <c r="Z393" s="11" t="inlineStr">
        <is>
          <t>Priority Tier 2 (Balanced Opportunity)</t>
        </is>
      </c>
    </row>
    <row r="394">
      <c r="A394" s="23" t="n">
        <v>2</v>
      </c>
      <c r="B394" s="23" t="n">
        <v>390</v>
      </c>
      <c r="C394" s="23" t="n">
        <v>1390</v>
      </c>
      <c r="D394" s="23" t="inlineStr">
        <is>
          <t>1108602014</t>
        </is>
      </c>
      <c r="E394" s="11" t="inlineStr">
        <is>
          <t>Region XI (Davao Region)</t>
        </is>
      </c>
      <c r="F394" s="11" t="inlineStr">
        <is>
          <t>Davao Occidental</t>
        </is>
      </c>
      <c r="G394" s="11" t="inlineStr">
        <is>
          <t>Jose Abad Santos</t>
        </is>
      </c>
      <c r="H394" s="11" t="inlineStr">
        <is>
          <t>Culaman</t>
        </is>
      </c>
      <c r="I394" s="24" t="n">
        <v>5.960746</v>
      </c>
      <c r="J394" s="24" t="n">
        <v>125.620484</v>
      </c>
      <c r="K394" s="23" t="inlineStr">
        <is>
          <t>R</t>
        </is>
      </c>
      <c r="L394" s="25" t="n">
        <v>3519</v>
      </c>
      <c r="M394" s="26" t="n">
        <v>3.6</v>
      </c>
      <c r="N394" s="25">
        <f>ROUND(L394/M394, 0)</f>
        <v/>
      </c>
      <c r="O394" s="25">
        <f>ROUND(N394*'Methodology &amp; Assumptions'!$B$7, 0)</f>
        <v/>
      </c>
      <c r="P394" s="23" t="inlineStr">
        <is>
          <t>Single Carrier (Band n50, 100MHz TDD)</t>
        </is>
      </c>
      <c r="Q394" s="27">
        <f>ROUNDUP(O394/'Methodology &amp; Assumptions'!$B$8, 0)</f>
        <v/>
      </c>
      <c r="R394" s="27" t="n">
        <v>1</v>
      </c>
      <c r="S394" s="26" t="n">
        <v>41.13</v>
      </c>
      <c r="T394" s="26" t="n">
        <v>49.98</v>
      </c>
      <c r="U394" s="11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26" t="n">
        <v>61.82</v>
      </c>
      <c r="W394" s="26" t="n">
        <v>66.28</v>
      </c>
      <c r="X394" s="26">
        <f>ROUND(('Methodology &amp; Assumptions'!$B$5*V394) + ('Methodology &amp; Assumptions'!$B$6*W394), 2)</f>
        <v/>
      </c>
      <c r="Y394" s="28" t="n">
        <v>17.4</v>
      </c>
      <c r="Z394" s="11" t="inlineStr">
        <is>
          <t>Priority Tier 2 (Balanced Opportunity)</t>
        </is>
      </c>
    </row>
    <row r="395">
      <c r="A395" s="23" t="n">
        <v>2</v>
      </c>
      <c r="B395" s="23" t="n">
        <v>391</v>
      </c>
      <c r="C395" s="23" t="n">
        <v>1391</v>
      </c>
      <c r="D395" s="23" t="inlineStr">
        <is>
          <t>1908708006</t>
        </is>
      </c>
      <c r="E395" s="11" t="inlineStr">
        <is>
          <t>Bangsamoro Autonomous Region In Muslim Mindanao (BARMM)</t>
        </is>
      </c>
      <c r="F395" s="11" t="inlineStr">
        <is>
          <t>Maguindanao del Norte</t>
        </is>
      </c>
      <c r="G395" s="11" t="inlineStr">
        <is>
          <t>Northern Kabuntalan</t>
        </is>
      </c>
      <c r="H395" s="11" t="inlineStr">
        <is>
          <t>Kapimpilan</t>
        </is>
      </c>
      <c r="I395" s="24" t="n">
        <v>7.166557</v>
      </c>
      <c r="J395" s="24" t="n">
        <v>124.383765</v>
      </c>
      <c r="K395" s="23" t="inlineStr">
        <is>
          <t>R</t>
        </is>
      </c>
      <c r="L395" s="25" t="n">
        <v>3410</v>
      </c>
      <c r="M395" s="26" t="n">
        <v>4.3</v>
      </c>
      <c r="N395" s="25">
        <f>ROUND(L395/M395, 0)</f>
        <v/>
      </c>
      <c r="O395" s="25">
        <f>ROUND(N395*'Methodology &amp; Assumptions'!$B$7, 0)</f>
        <v/>
      </c>
      <c r="P395" s="23" t="inlineStr">
        <is>
          <t>Single Carrier (Band n50, 100MHz TDD)</t>
        </is>
      </c>
      <c r="Q395" s="27">
        <f>ROUNDUP(O395/'Methodology &amp; Assumptions'!$B$8, 0)</f>
        <v/>
      </c>
      <c r="R395" s="27" t="n">
        <v>1</v>
      </c>
      <c r="S395" s="26" t="n">
        <v>45.74</v>
      </c>
      <c r="T395" s="26" t="n">
        <v>45.64</v>
      </c>
      <c r="U395" s="11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26" t="n">
        <v>56.54</v>
      </c>
      <c r="W395" s="26" t="n">
        <v>71.55</v>
      </c>
      <c r="X395" s="26">
        <f>ROUND(('Methodology &amp; Assumptions'!$B$5*V395) + ('Methodology &amp; Assumptions'!$B$6*W395), 2)</f>
        <v/>
      </c>
      <c r="Y395" s="28" t="n">
        <v>11</v>
      </c>
      <c r="Z395" s="11" t="inlineStr">
        <is>
          <t>Priority Tier 2 (Balanced Opportunity)</t>
        </is>
      </c>
    </row>
    <row r="396">
      <c r="A396" s="23" t="n">
        <v>2</v>
      </c>
      <c r="B396" s="23" t="n">
        <v>392</v>
      </c>
      <c r="C396" s="23" t="n">
        <v>1392</v>
      </c>
      <c r="D396" s="23" t="inlineStr">
        <is>
          <t>0405804027</t>
        </is>
      </c>
      <c r="E396" s="11" t="inlineStr">
        <is>
          <t>Region IV-A (CALABARZON)</t>
        </is>
      </c>
      <c r="F396" s="11" t="inlineStr">
        <is>
          <t>Rizal</t>
        </is>
      </c>
      <c r="G396" s="11" t="inlineStr">
        <is>
          <t>Binangonan</t>
        </is>
      </c>
      <c r="H396" s="11" t="inlineStr">
        <is>
          <t>Pantok</t>
        </is>
      </c>
      <c r="I396" s="24" t="n">
        <v>14.49415</v>
      </c>
      <c r="J396" s="24" t="n">
        <v>121.1805</v>
      </c>
      <c r="K396" s="23" t="inlineStr">
        <is>
          <t>U</t>
        </is>
      </c>
      <c r="L396" s="25" t="n">
        <v>16083</v>
      </c>
      <c r="M396" s="26" t="n">
        <v>3.6</v>
      </c>
      <c r="N396" s="25">
        <f>ROUND(L396/M396, 0)</f>
        <v/>
      </c>
      <c r="O396" s="25">
        <f>ROUND(N396*'Methodology &amp; Assumptions'!$B$7, 0)</f>
        <v/>
      </c>
      <c r="P396" s="23" t="inlineStr">
        <is>
          <t>Single Carrier (Band n50, 100MHz TDD)</t>
        </is>
      </c>
      <c r="Q396" s="27">
        <f>ROUNDUP(O396/'Methodology &amp; Assumptions'!$B$8, 0)</f>
        <v/>
      </c>
      <c r="R396" s="27" t="n">
        <v>1</v>
      </c>
      <c r="S396" s="26" t="n">
        <v>0.14</v>
      </c>
      <c r="T396" s="26" t="n">
        <v>0.08</v>
      </c>
      <c r="U396" s="11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26" t="n">
        <v>78.26000000000001</v>
      </c>
      <c r="W396" s="26" t="n">
        <v>49.82</v>
      </c>
      <c r="X396" s="26">
        <f>ROUND(('Methodology &amp; Assumptions'!$B$5*V396) + ('Methodology &amp; Assumptions'!$B$6*W396), 2)</f>
        <v/>
      </c>
      <c r="Y396" s="28" t="n">
        <v>7.2</v>
      </c>
      <c r="Z396" s="11" t="inlineStr">
        <is>
          <t>Priority Tier 2 (Balanced Opportunity)</t>
        </is>
      </c>
    </row>
    <row r="397">
      <c r="A397" s="23" t="n">
        <v>2</v>
      </c>
      <c r="B397" s="23" t="n">
        <v>393</v>
      </c>
      <c r="C397" s="23" t="n">
        <v>1393</v>
      </c>
      <c r="D397" s="23" t="inlineStr">
        <is>
          <t>1381100131</t>
        </is>
      </c>
      <c r="E397" s="11" t="inlineStr">
        <is>
          <t>National Capital Region (NCR)</t>
        </is>
      </c>
      <c r="F397" s="11" t="inlineStr">
        <is>
          <t>Fourth District (Not a Province)</t>
        </is>
      </c>
      <c r="G397" s="11" t="inlineStr">
        <is>
          <t>Pasay City</t>
        </is>
      </c>
      <c r="H397" s="11" t="inlineStr">
        <is>
          <t>Barangay 131</t>
        </is>
      </c>
      <c r="I397" s="24" t="n">
        <v>14.545998</v>
      </c>
      <c r="J397" s="24" t="n">
        <v>121.006859</v>
      </c>
      <c r="K397" s="23" t="inlineStr">
        <is>
          <t>U</t>
        </is>
      </c>
      <c r="L397" s="25" t="n">
        <v>1605</v>
      </c>
      <c r="M397" s="26" t="n">
        <v>3.28</v>
      </c>
      <c r="N397" s="25">
        <f>ROUND(L397/M397, 0)</f>
        <v/>
      </c>
      <c r="O397" s="25">
        <f>ROUND(N397*'Methodology &amp; Assumptions'!$B$7, 0)</f>
        <v/>
      </c>
      <c r="P397" s="23" t="inlineStr">
        <is>
          <t>Single Carrier (Band n50, 100MHz TDD)</t>
        </is>
      </c>
      <c r="Q397" s="27">
        <f>ROUNDUP(O397/'Methodology &amp; Assumptions'!$B$8, 0)</f>
        <v/>
      </c>
      <c r="R397" s="27" t="n">
        <v>1</v>
      </c>
      <c r="S397" s="26" t="n">
        <v>0.64</v>
      </c>
      <c r="T397" s="26" t="n">
        <v>0.45</v>
      </c>
      <c r="U397" s="11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26" t="n">
        <v>56.84</v>
      </c>
      <c r="W397" s="26" t="n">
        <v>71.23999999999999</v>
      </c>
      <c r="X397" s="26">
        <f>ROUND(('Methodology &amp; Assumptions'!$B$5*V397) + ('Methodology &amp; Assumptions'!$B$6*W397), 2)</f>
        <v/>
      </c>
      <c r="Y397" s="28" t="n">
        <v>10.9</v>
      </c>
      <c r="Z397" s="11" t="inlineStr">
        <is>
          <t>Priority Tier 2 (Balanced Opportunity)</t>
        </is>
      </c>
    </row>
    <row r="398">
      <c r="A398" s="23" t="n">
        <v>2</v>
      </c>
      <c r="B398" s="23" t="n">
        <v>394</v>
      </c>
      <c r="C398" s="23" t="n">
        <v>1394</v>
      </c>
      <c r="D398" s="23" t="inlineStr">
        <is>
          <t>0301410020</t>
        </is>
      </c>
      <c r="E398" s="11" t="inlineStr">
        <is>
          <t>Region III (Central Luzon)</t>
        </is>
      </c>
      <c r="F398" s="11" t="inlineStr">
        <is>
          <t>Bulacan</t>
        </is>
      </c>
      <c r="G398" s="11" t="inlineStr">
        <is>
          <t>City of Malolos</t>
        </is>
      </c>
      <c r="H398" s="11" t="inlineStr">
        <is>
          <t>Caniogan</t>
        </is>
      </c>
      <c r="I398" s="24" t="n">
        <v>14.848168</v>
      </c>
      <c r="J398" s="24" t="n">
        <v>120.821544</v>
      </c>
      <c r="K398" s="23" t="inlineStr">
        <is>
          <t>U</t>
        </is>
      </c>
      <c r="L398" s="25" t="n">
        <v>5455</v>
      </c>
      <c r="M398" s="26" t="n">
        <v>3.5</v>
      </c>
      <c r="N398" s="25">
        <f>ROUND(L398/M398, 0)</f>
        <v/>
      </c>
      <c r="O398" s="25">
        <f>ROUND(N398*'Methodology &amp; Assumptions'!$B$7, 0)</f>
        <v/>
      </c>
      <c r="P398" s="23" t="inlineStr">
        <is>
          <t>Single Carrier (Band n50, 100MHz TDD)</t>
        </is>
      </c>
      <c r="Q398" s="27">
        <f>ROUNDUP(O398/'Methodology &amp; Assumptions'!$B$8, 0)</f>
        <v/>
      </c>
      <c r="R398" s="27" t="n">
        <v>1</v>
      </c>
      <c r="S398" s="26" t="n">
        <v>0.89</v>
      </c>
      <c r="T398" s="26" t="n">
        <v>0.21</v>
      </c>
      <c r="U398" s="11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26" t="n">
        <v>78.23999999999999</v>
      </c>
      <c r="W398" s="26" t="n">
        <v>49.83</v>
      </c>
      <c r="X398" s="26">
        <f>ROUND(('Methodology &amp; Assumptions'!$B$5*V398) + ('Methodology &amp; Assumptions'!$B$6*W398), 2)</f>
        <v/>
      </c>
      <c r="Y398" s="28" t="n">
        <v>8.300000000000001</v>
      </c>
      <c r="Z398" s="11" t="inlineStr">
        <is>
          <t>Priority Tier 2 (Balanced Opportunity)</t>
        </is>
      </c>
    </row>
    <row r="399">
      <c r="A399" s="23" t="n">
        <v>2</v>
      </c>
      <c r="B399" s="23" t="n">
        <v>395</v>
      </c>
      <c r="C399" s="23" t="n">
        <v>1395</v>
      </c>
      <c r="D399" s="23" t="inlineStr">
        <is>
          <t>1381200009</t>
        </is>
      </c>
      <c r="E399" s="11" t="inlineStr">
        <is>
          <t>National Capital Region (NCR)</t>
        </is>
      </c>
      <c r="F399" s="11" t="inlineStr">
        <is>
          <t>Second District (Not a Province)</t>
        </is>
      </c>
      <c r="G399" s="11" t="inlineStr">
        <is>
          <t>City of Pasig</t>
        </is>
      </c>
      <c r="H399" s="11" t="inlineStr">
        <is>
          <t>Kapitolyo</t>
        </is>
      </c>
      <c r="I399" s="24" t="n">
        <v>14.571492</v>
      </c>
      <c r="J399" s="24" t="n">
        <v>121.059321</v>
      </c>
      <c r="K399" s="23" t="inlineStr">
        <is>
          <t>U</t>
        </is>
      </c>
      <c r="L399" s="25" t="n">
        <v>10211</v>
      </c>
      <c r="M399" s="26" t="n">
        <v>3.36</v>
      </c>
      <c r="N399" s="25">
        <f>ROUND(L399/M399, 0)</f>
        <v/>
      </c>
      <c r="O399" s="25">
        <f>ROUND(N399*'Methodology &amp; Assumptions'!$B$7, 0)</f>
        <v/>
      </c>
      <c r="P399" s="23" t="inlineStr">
        <is>
          <t>Single Carrier (Band n50, 100MHz TDD)</t>
        </is>
      </c>
      <c r="Q399" s="27">
        <f>ROUNDUP(O399/'Methodology &amp; Assumptions'!$B$8, 0)</f>
        <v/>
      </c>
      <c r="R399" s="27" t="n">
        <v>1</v>
      </c>
      <c r="S399" s="26" t="n">
        <v>1.49</v>
      </c>
      <c r="T399" s="26" t="n">
        <v>0.39</v>
      </c>
      <c r="U399" s="11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26" t="n">
        <v>66.63</v>
      </c>
      <c r="W399" s="26" t="n">
        <v>61.44</v>
      </c>
      <c r="X399" s="26">
        <f>ROUND(('Methodology &amp; Assumptions'!$B$5*V399) + ('Methodology &amp; Assumptions'!$B$6*W399), 2)</f>
        <v/>
      </c>
      <c r="Y399" s="28" t="n">
        <v>10.9</v>
      </c>
      <c r="Z399" s="11" t="inlineStr">
        <is>
          <t>Priority Tier 2 (Balanced Opportunity)</t>
        </is>
      </c>
    </row>
    <row r="400">
      <c r="A400" s="23" t="n">
        <v>2</v>
      </c>
      <c r="B400" s="23" t="n">
        <v>396</v>
      </c>
      <c r="C400" s="23" t="n">
        <v>1396</v>
      </c>
      <c r="D400" s="23" t="inlineStr">
        <is>
          <t>1380900016</t>
        </is>
      </c>
      <c r="E400" s="11" t="inlineStr">
        <is>
          <t>National Capital Region (NCR)</t>
        </is>
      </c>
      <c r="F400" s="11" t="inlineStr">
        <is>
          <t>Third District (Not a Province)</t>
        </is>
      </c>
      <c r="G400" s="11" t="inlineStr">
        <is>
          <t>City of Navotas</t>
        </is>
      </c>
      <c r="H400" s="11" t="inlineStr">
        <is>
          <t>NBBS Proper</t>
        </is>
      </c>
      <c r="I400" s="24" t="n">
        <v>14.642649</v>
      </c>
      <c r="J400" s="24" t="n">
        <v>120.955071</v>
      </c>
      <c r="K400" s="23" t="inlineStr">
        <is>
          <t>U</t>
        </is>
      </c>
      <c r="L400" s="25" t="n">
        <v>18689</v>
      </c>
      <c r="M400" s="26" t="n">
        <v>3.49</v>
      </c>
      <c r="N400" s="25">
        <f>ROUND(L400/M400, 0)</f>
        <v/>
      </c>
      <c r="O400" s="25">
        <f>ROUND(N400*'Methodology &amp; Assumptions'!$B$7, 0)</f>
        <v/>
      </c>
      <c r="P400" s="23" t="inlineStr">
        <is>
          <t>Single Carrier (Band n50, 100MHz TDD)</t>
        </is>
      </c>
      <c r="Q400" s="27">
        <f>ROUNDUP(O400/'Methodology &amp; Assumptions'!$B$8, 0)</f>
        <v/>
      </c>
      <c r="R400" s="27" t="n">
        <v>1</v>
      </c>
      <c r="S400" s="26" t="n">
        <v>1.75</v>
      </c>
      <c r="T400" s="26" t="n">
        <v>0.37</v>
      </c>
      <c r="U400" s="11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26" t="n">
        <v>65.11</v>
      </c>
      <c r="W400" s="26" t="n">
        <v>62.94</v>
      </c>
      <c r="X400" s="26">
        <f>ROUND(('Methodology &amp; Assumptions'!$B$5*V400) + ('Methodology &amp; Assumptions'!$B$6*W400), 2)</f>
        <v/>
      </c>
      <c r="Y400" s="28" t="n">
        <v>10.9</v>
      </c>
      <c r="Z400" s="11" t="inlineStr">
        <is>
          <t>Priority Tier 2 (Balanced Opportunity)</t>
        </is>
      </c>
    </row>
    <row r="401">
      <c r="A401" s="23" t="n">
        <v>2</v>
      </c>
      <c r="B401" s="23" t="n">
        <v>397</v>
      </c>
      <c r="C401" s="23" t="n">
        <v>1397</v>
      </c>
      <c r="D401" s="23" t="inlineStr">
        <is>
          <t>0604513013</t>
        </is>
      </c>
      <c r="E401" s="11" t="inlineStr">
        <is>
          <t>Region VI (Western Visayas)</t>
        </is>
      </c>
      <c r="F401" s="11" t="inlineStr">
        <is>
          <t>Negros Occidental</t>
        </is>
      </c>
      <c r="G401" s="11" t="inlineStr">
        <is>
          <t>Ilog</t>
        </is>
      </c>
      <c r="H401" s="11" t="inlineStr">
        <is>
          <t>Pinggot</t>
        </is>
      </c>
      <c r="I401" s="24" t="n">
        <v>9.637665</v>
      </c>
      <c r="J401" s="24" t="n">
        <v>122.695874</v>
      </c>
      <c r="K401" s="23" t="inlineStr">
        <is>
          <t>R</t>
        </is>
      </c>
      <c r="L401" s="25" t="n">
        <v>3513</v>
      </c>
      <c r="M401" s="26" t="n">
        <v>3.7</v>
      </c>
      <c r="N401" s="25">
        <f>ROUND(L401/M401, 0)</f>
        <v/>
      </c>
      <c r="O401" s="25">
        <f>ROUND(N401*'Methodology &amp; Assumptions'!$B$7, 0)</f>
        <v/>
      </c>
      <c r="P401" s="23" t="inlineStr">
        <is>
          <t>Single Carrier (Band n50, 100MHz TDD)</t>
        </is>
      </c>
      <c r="Q401" s="27">
        <f>ROUNDUP(O401/'Methodology &amp; Assumptions'!$B$8, 0)</f>
        <v/>
      </c>
      <c r="R401" s="27" t="n">
        <v>1</v>
      </c>
      <c r="S401" s="26" t="n">
        <v>27.42</v>
      </c>
      <c r="T401" s="26" t="n">
        <v>21.84</v>
      </c>
      <c r="U401" s="11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26" t="n">
        <v>62.81</v>
      </c>
      <c r="W401" s="26" t="n">
        <v>65.25</v>
      </c>
      <c r="X401" s="26">
        <f>ROUND(('Methodology &amp; Assumptions'!$B$5*V401) + ('Methodology &amp; Assumptions'!$B$6*W401), 2)</f>
        <v/>
      </c>
      <c r="Y401" s="28" t="n">
        <v>23.7</v>
      </c>
      <c r="Z401" s="11" t="inlineStr">
        <is>
          <t>Priority Tier 2 (Balanced Opportunity)</t>
        </is>
      </c>
    </row>
    <row r="402">
      <c r="A402" s="23" t="n">
        <v>2</v>
      </c>
      <c r="B402" s="23" t="n">
        <v>398</v>
      </c>
      <c r="C402" s="23" t="n">
        <v>1398</v>
      </c>
      <c r="D402" s="23" t="inlineStr">
        <is>
          <t>1380601147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147</t>
        </is>
      </c>
      <c r="I402" s="24" t="n">
        <v>14.622045</v>
      </c>
      <c r="J402" s="24" t="n">
        <v>120.971426</v>
      </c>
      <c r="K402" s="23" t="inlineStr">
        <is>
          <t>U</t>
        </is>
      </c>
      <c r="L402" s="25" t="n">
        <v>2023</v>
      </c>
      <c r="M402" s="26" t="n">
        <v>4.38</v>
      </c>
      <c r="N402" s="25">
        <f>ROUND(L402/M402, 0)</f>
        <v/>
      </c>
      <c r="O402" s="25">
        <f>ROUND(N402*'Methodology &amp; Assumptions'!$B$7, 0)</f>
        <v/>
      </c>
      <c r="P402" s="23" t="inlineStr">
        <is>
          <t>Single Carrier (Band n50, 100MHz TDD)</t>
        </is>
      </c>
      <c r="Q402" s="27">
        <f>ROUNDUP(O402/'Methodology &amp; Assumptions'!$B$8, 0)</f>
        <v/>
      </c>
      <c r="R402" s="27" t="n">
        <v>1</v>
      </c>
      <c r="S402" s="26" t="n">
        <v>0.57</v>
      </c>
      <c r="T402" s="26" t="n">
        <v>0.08</v>
      </c>
      <c r="U402" s="11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26" t="n">
        <v>55.98</v>
      </c>
      <c r="W402" s="26" t="n">
        <v>72.05</v>
      </c>
      <c r="X402" s="26">
        <f>ROUND(('Methodology &amp; Assumptions'!$B$5*V402) + ('Methodology &amp; Assumptions'!$B$6*W402), 2)</f>
        <v/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2</v>
      </c>
      <c r="B403" s="23" t="n">
        <v>399</v>
      </c>
      <c r="C403" s="23" t="n">
        <v>1399</v>
      </c>
      <c r="D403" s="23" t="inlineStr">
        <is>
          <t>0806022044</t>
        </is>
      </c>
      <c r="E403" s="11" t="inlineStr">
        <is>
          <t>Region VIII (Eastern Visayas)</t>
        </is>
      </c>
      <c r="F403" s="11" t="inlineStr">
        <is>
          <t>Samar</t>
        </is>
      </c>
      <c r="G403" s="11" t="inlineStr">
        <is>
          <t>Paranas</t>
        </is>
      </c>
      <c r="H403" s="11" t="inlineStr">
        <is>
          <t>Tenani</t>
        </is>
      </c>
      <c r="I403" s="24" t="n">
        <v>11.792056</v>
      </c>
      <c r="J403" s="24" t="n">
        <v>125.137879</v>
      </c>
      <c r="K403" s="23" t="inlineStr">
        <is>
          <t>R</t>
        </is>
      </c>
      <c r="L403" s="25" t="n">
        <v>2204</v>
      </c>
      <c r="M403" s="26" t="n">
        <v>4.1</v>
      </c>
      <c r="N403" s="25">
        <f>ROUND(L403/M403, 0)</f>
        <v/>
      </c>
      <c r="O403" s="25">
        <f>ROUND(N403*'Methodology &amp; Assumptions'!$B$7, 0)</f>
        <v/>
      </c>
      <c r="P403" s="23" t="inlineStr">
        <is>
          <t>Single Carrier (Band n50, 100MHz TDD)</t>
        </is>
      </c>
      <c r="Q403" s="27">
        <f>ROUNDUP(O403/'Methodology &amp; Assumptions'!$B$8, 0)</f>
        <v/>
      </c>
      <c r="R403" s="27" t="n">
        <v>1</v>
      </c>
      <c r="S403" s="26" t="n">
        <v>63.18</v>
      </c>
      <c r="T403" s="26" t="n">
        <v>65.95</v>
      </c>
      <c r="U403" s="11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26" t="n">
        <v>52.53</v>
      </c>
      <c r="W403" s="26" t="n">
        <v>75.5</v>
      </c>
      <c r="X403" s="26">
        <f>ROUND(('Methodology &amp; Assumptions'!$B$5*V403) + ('Methodology &amp; Assumptions'!$B$6*W403), 2)</f>
        <v/>
      </c>
      <c r="Y403" s="28" t="n">
        <v>23.7</v>
      </c>
      <c r="Z403" s="11" t="inlineStr">
        <is>
          <t>Priority Tier 2 (Balanced Opportunity)</t>
        </is>
      </c>
    </row>
    <row r="404">
      <c r="A404" s="23" t="n">
        <v>2</v>
      </c>
      <c r="B404" s="23" t="n">
        <v>400</v>
      </c>
      <c r="C404" s="23" t="n">
        <v>1400</v>
      </c>
      <c r="D404" s="23" t="inlineStr">
        <is>
          <t>0102820018</t>
        </is>
      </c>
      <c r="E404" s="11" t="inlineStr">
        <is>
          <t>Region I (Ilocos Region)</t>
        </is>
      </c>
      <c r="F404" s="11" t="inlineStr">
        <is>
          <t>Ilocos Norte</t>
        </is>
      </c>
      <c r="G404" s="11" t="inlineStr">
        <is>
          <t>San Nicolas</t>
        </is>
      </c>
      <c r="H404" s="11" t="inlineStr">
        <is>
          <t>San Paulo</t>
        </is>
      </c>
      <c r="I404" s="24" t="n">
        <v>18.166272</v>
      </c>
      <c r="J404" s="24" t="n">
        <v>120.595178</v>
      </c>
      <c r="K404" s="23" t="inlineStr">
        <is>
          <t>R</t>
        </is>
      </c>
      <c r="L404" s="25" t="n">
        <v>959</v>
      </c>
      <c r="M404" s="26" t="n">
        <v>3.7</v>
      </c>
      <c r="N404" s="25">
        <f>ROUND(L404/M404, 0)</f>
        <v/>
      </c>
      <c r="O404" s="25">
        <f>ROUND(N404*'Methodology &amp; Assumptions'!$B$7, 0)</f>
        <v/>
      </c>
      <c r="P404" s="23" t="inlineStr">
        <is>
          <t>Single Carrier (Band n50, 100MHz TDD)</t>
        </is>
      </c>
      <c r="Q404" s="27">
        <f>ROUNDUP(O404/'Methodology &amp; Assumptions'!$B$8, 0)</f>
        <v/>
      </c>
      <c r="R404" s="27" t="n">
        <v>1</v>
      </c>
      <c r="S404" s="26" t="n">
        <v>0.49</v>
      </c>
      <c r="T404" s="26" t="n">
        <v>0.51</v>
      </c>
      <c r="U404" s="11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26" t="n">
        <v>67.48</v>
      </c>
      <c r="W404" s="26" t="n">
        <v>60.54</v>
      </c>
      <c r="X404" s="26">
        <f>ROUND(('Methodology &amp; Assumptions'!$B$5*V404) + ('Methodology &amp; Assumptions'!$B$6*W404), 2)</f>
        <v/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2</v>
      </c>
      <c r="B405" s="23" t="n">
        <v>401</v>
      </c>
      <c r="C405" s="23" t="n">
        <v>1401</v>
      </c>
      <c r="D405" s="23" t="inlineStr">
        <is>
          <t>1403209005</t>
        </is>
      </c>
      <c r="E405" s="11" t="inlineStr">
        <is>
          <t>Cordillera Administrative Region (CAR)</t>
        </is>
      </c>
      <c r="F405" s="11" t="inlineStr">
        <is>
          <t>Kalinga</t>
        </is>
      </c>
      <c r="G405" s="11" t="inlineStr">
        <is>
          <t>Pinukpuk</t>
        </is>
      </c>
      <c r="H405" s="11" t="inlineStr">
        <is>
          <t>Ba-ay</t>
        </is>
      </c>
      <c r="I405" s="24" t="n">
        <v>17.572841</v>
      </c>
      <c r="J405" s="24" t="n">
        <v>121.297104</v>
      </c>
      <c r="K405" s="23" t="inlineStr">
        <is>
          <t>R</t>
        </is>
      </c>
      <c r="L405" s="25" t="n">
        <v>525</v>
      </c>
      <c r="M405" s="26" t="n">
        <v>4.3</v>
      </c>
      <c r="N405" s="25">
        <f>ROUND(L405/M405, 0)</f>
        <v/>
      </c>
      <c r="O405" s="25">
        <f>ROUND(N405*'Methodology &amp; Assumptions'!$B$7, 0)</f>
        <v/>
      </c>
      <c r="P405" s="23" t="inlineStr">
        <is>
          <t>Single Carrier (Band n50, 100MHz TDD)</t>
        </is>
      </c>
      <c r="Q405" s="27">
        <f>ROUNDUP(O405/'Methodology &amp; Assumptions'!$B$8, 0)</f>
        <v/>
      </c>
      <c r="R405" s="27" t="n">
        <v>1</v>
      </c>
      <c r="S405" s="26" t="n">
        <v>4.94</v>
      </c>
      <c r="T405" s="26" t="n">
        <v>12.58</v>
      </c>
      <c r="U405" s="11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26" t="n">
        <v>47.13</v>
      </c>
      <c r="W405" s="26" t="n">
        <v>80.90000000000001</v>
      </c>
      <c r="X405" s="26">
        <f>ROUND(('Methodology &amp; Assumptions'!$B$5*V405) + ('Methodology &amp; Assumptions'!$B$6*W405), 2)</f>
        <v/>
      </c>
      <c r="Y405" s="28" t="n">
        <v>10.9</v>
      </c>
      <c r="Z405" s="11" t="inlineStr">
        <is>
          <t>Priority Tier 2 (Balanced Opportunity)</t>
        </is>
      </c>
    </row>
    <row r="406">
      <c r="A406" s="23" t="n">
        <v>2</v>
      </c>
      <c r="B406" s="23" t="n">
        <v>402</v>
      </c>
      <c r="C406" s="23" t="n">
        <v>1402</v>
      </c>
      <c r="D406" s="23" t="inlineStr">
        <is>
          <t>0102814002</t>
        </is>
      </c>
      <c r="E406" s="11" t="inlineStr">
        <is>
          <t>Region I (Ilocos Region)</t>
        </is>
      </c>
      <c r="F406" s="11" t="inlineStr">
        <is>
          <t>Ilocos Norte</t>
        </is>
      </c>
      <c r="G406" s="11" t="inlineStr">
        <is>
          <t>Nueva Era</t>
        </is>
      </c>
      <c r="H406" s="11" t="inlineStr">
        <is>
          <t>Barangobong</t>
        </is>
      </c>
      <c r="I406" s="24" t="n">
        <v>17.752147</v>
      </c>
      <c r="J406" s="24" t="n">
        <v>120.539423</v>
      </c>
      <c r="K406" s="23" t="inlineStr">
        <is>
          <t>R</t>
        </is>
      </c>
      <c r="L406" s="25" t="n">
        <v>450</v>
      </c>
      <c r="M406" s="26" t="n">
        <v>3.7</v>
      </c>
      <c r="N406" s="25">
        <f>ROUND(L406/M406, 0)</f>
        <v/>
      </c>
      <c r="O406" s="25">
        <f>ROUND(N406*'Methodology &amp; Assumptions'!$B$7, 0)</f>
        <v/>
      </c>
      <c r="P406" s="23" t="inlineStr">
        <is>
          <t>Single Carrier (Band n50, 100MHz TDD)</t>
        </is>
      </c>
      <c r="Q406" s="27">
        <f>ROUNDUP(O406/'Methodology &amp; Assumptions'!$B$8, 0)</f>
        <v/>
      </c>
      <c r="R406" s="27" t="n">
        <v>1</v>
      </c>
      <c r="S406" s="26" t="n">
        <v>9.380000000000001</v>
      </c>
      <c r="T406" s="26" t="n">
        <v>8.380000000000001</v>
      </c>
      <c r="U406" s="11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26" t="n">
        <v>42.98</v>
      </c>
      <c r="W406" s="26" t="n">
        <v>85.04000000000001</v>
      </c>
      <c r="X406" s="26">
        <f>ROUND(('Methodology &amp; Assumptions'!$B$5*V406) + ('Methodology &amp; Assumptions'!$B$6*W406), 2)</f>
        <v/>
      </c>
      <c r="Y406" s="28" t="n">
        <v>8.300000000000001</v>
      </c>
      <c r="Z406" s="11" t="inlineStr">
        <is>
          <t>Priority Tier 2 (Balanced Opportunity)</t>
        </is>
      </c>
    </row>
    <row r="407">
      <c r="A407" s="23" t="n">
        <v>2</v>
      </c>
      <c r="B407" s="23" t="n">
        <v>403</v>
      </c>
      <c r="C407" s="23" t="n">
        <v>1403</v>
      </c>
      <c r="D407" s="23" t="inlineStr">
        <is>
          <t>0301402005</t>
        </is>
      </c>
      <c r="E407" s="11" t="inlineStr">
        <is>
          <t>Region III (Central Luzon)</t>
        </is>
      </c>
      <c r="F407" s="11" t="inlineStr">
        <is>
          <t>Bulacan</t>
        </is>
      </c>
      <c r="G407" s="11" t="inlineStr">
        <is>
          <t>Balagtas</t>
        </is>
      </c>
      <c r="H407" s="11" t="inlineStr">
        <is>
          <t>Longos</t>
        </is>
      </c>
      <c r="I407" s="24" t="n">
        <v>14.819617</v>
      </c>
      <c r="J407" s="24" t="n">
        <v>120.910498</v>
      </c>
      <c r="K407" s="23" t="inlineStr">
        <is>
          <t>R</t>
        </is>
      </c>
      <c r="L407" s="25" t="n">
        <v>2834</v>
      </c>
      <c r="M407" s="26" t="n">
        <v>3.5</v>
      </c>
      <c r="N407" s="25">
        <f>ROUND(L407/M407, 0)</f>
        <v/>
      </c>
      <c r="O407" s="25">
        <f>ROUND(N407*'Methodology &amp; Assumptions'!$B$7, 0)</f>
        <v/>
      </c>
      <c r="P407" s="23" t="inlineStr">
        <is>
          <t>Single Carrier (Band n50, 100MHz TDD)</t>
        </is>
      </c>
      <c r="Q407" s="27">
        <f>ROUNDUP(O407/'Methodology &amp; Assumptions'!$B$8, 0)</f>
        <v/>
      </c>
      <c r="R407" s="27" t="n">
        <v>1</v>
      </c>
      <c r="S407" s="26" t="n">
        <v>4.18</v>
      </c>
      <c r="T407" s="26" t="n">
        <v>0.37</v>
      </c>
      <c r="U407" s="11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26" t="n">
        <v>75.37</v>
      </c>
      <c r="W407" s="26" t="n">
        <v>52.64</v>
      </c>
      <c r="X407" s="26">
        <f>ROUND(('Methodology &amp; Assumptions'!$B$5*V407) + ('Methodology &amp; Assumptions'!$B$6*W407), 2)</f>
        <v/>
      </c>
      <c r="Y407" s="28" t="n">
        <v>8.300000000000001</v>
      </c>
      <c r="Z407" s="11" t="inlineStr">
        <is>
          <t>Priority Tier 2 (Balanced Opportunity)</t>
        </is>
      </c>
    </row>
    <row r="408">
      <c r="A408" s="23" t="n">
        <v>2</v>
      </c>
      <c r="B408" s="23" t="n">
        <v>404</v>
      </c>
      <c r="C408" s="23" t="n">
        <v>1404</v>
      </c>
      <c r="D408" s="23" t="inlineStr">
        <is>
          <t>0305412019</t>
        </is>
      </c>
      <c r="E408" s="11" t="inlineStr">
        <is>
          <t>Region III (Central Luzon)</t>
        </is>
      </c>
      <c r="F408" s="11" t="inlineStr">
        <is>
          <t>Pampanga</t>
        </is>
      </c>
      <c r="G408" s="11" t="inlineStr">
        <is>
          <t>Masantol</t>
        </is>
      </c>
      <c r="H408" s="11" t="inlineStr">
        <is>
          <t>San Nicolas</t>
        </is>
      </c>
      <c r="I408" s="24" t="n">
        <v>14.891868</v>
      </c>
      <c r="J408" s="24" t="n">
        <v>120.709128</v>
      </c>
      <c r="K408" s="23" t="inlineStr">
        <is>
          <t>R</t>
        </is>
      </c>
      <c r="L408" s="25" t="n">
        <v>3980</v>
      </c>
      <c r="M408" s="26" t="n">
        <v>4</v>
      </c>
      <c r="N408" s="25">
        <f>ROUND(L408/M408, 0)</f>
        <v/>
      </c>
      <c r="O408" s="25">
        <f>ROUND(N408*'Methodology &amp; Assumptions'!$B$7, 0)</f>
        <v/>
      </c>
      <c r="P408" s="23" t="inlineStr">
        <is>
          <t>Single Carrier (Band n50, 100MHz TDD)</t>
        </is>
      </c>
      <c r="Q408" s="27">
        <f>ROUNDUP(O408/'Methodology &amp; Assumptions'!$B$8, 0)</f>
        <v/>
      </c>
      <c r="R408" s="27" t="n">
        <v>1</v>
      </c>
      <c r="S408" s="26" t="n">
        <v>0.26</v>
      </c>
      <c r="T408" s="26" t="n">
        <v>1.38</v>
      </c>
      <c r="U408" s="11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26" t="n">
        <v>85.63</v>
      </c>
      <c r="W408" s="26" t="n">
        <v>42.35</v>
      </c>
      <c r="X408" s="26">
        <f>ROUND(('Methodology &amp; Assumptions'!$B$5*V408) + ('Methodology &amp; Assumptions'!$B$6*W408), 2)</f>
        <v/>
      </c>
      <c r="Y408" s="28" t="n">
        <v>8.300000000000001</v>
      </c>
      <c r="Z408" s="11" t="inlineStr">
        <is>
          <t>Priority Tier 2 (Balanced Opportunity)</t>
        </is>
      </c>
    </row>
    <row r="409">
      <c r="A409" s="23" t="n">
        <v>2</v>
      </c>
      <c r="B409" s="23" t="n">
        <v>405</v>
      </c>
      <c r="C409" s="23" t="n">
        <v>1405</v>
      </c>
      <c r="D409" s="23" t="inlineStr">
        <is>
          <t>0403421006</t>
        </is>
      </c>
      <c r="E409" s="11" t="inlineStr">
        <is>
          <t>Region IV-A (CALABARZON)</t>
        </is>
      </c>
      <c r="F409" s="11" t="inlineStr">
        <is>
          <t>Laguna</t>
        </is>
      </c>
      <c r="G409" s="11" t="inlineStr">
        <is>
          <t>Pangil</t>
        </is>
      </c>
      <c r="H409" s="11" t="inlineStr">
        <is>
          <t>Natividad</t>
        </is>
      </c>
      <c r="I409" s="24" t="n">
        <v>14.405767</v>
      </c>
      <c r="J409" s="24" t="n">
        <v>121.470494</v>
      </c>
      <c r="K409" s="23" t="inlineStr">
        <is>
          <t>R</t>
        </is>
      </c>
      <c r="L409" s="25" t="n">
        <v>2814</v>
      </c>
      <c r="M409" s="26" t="n">
        <v>3.3</v>
      </c>
      <c r="N409" s="25">
        <f>ROUND(L409/M409, 0)</f>
        <v/>
      </c>
      <c r="O409" s="25">
        <f>ROUND(N409*'Methodology &amp; Assumptions'!$B$7, 0)</f>
        <v/>
      </c>
      <c r="P409" s="23" t="inlineStr">
        <is>
          <t>Single Carrier (Band n50, 100MHz TDD)</t>
        </is>
      </c>
      <c r="Q409" s="27">
        <f>ROUNDUP(O409/'Methodology &amp; Assumptions'!$B$8, 0)</f>
        <v/>
      </c>
      <c r="R409" s="27" t="n">
        <v>1</v>
      </c>
      <c r="S409" s="26" t="n">
        <v>0.86</v>
      </c>
      <c r="T409" s="26" t="n">
        <v>0.03</v>
      </c>
      <c r="U409" s="11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26" t="n">
        <v>85.37</v>
      </c>
      <c r="W409" s="26" t="n">
        <v>42.61</v>
      </c>
      <c r="X409" s="26">
        <f>ROUND(('Methodology &amp; Assumptions'!$B$5*V409) + ('Methodology &amp; Assumptions'!$B$6*W409), 2)</f>
        <v/>
      </c>
      <c r="Y409" s="28" t="n">
        <v>7.2</v>
      </c>
      <c r="Z409" s="11" t="inlineStr">
        <is>
          <t>Priority Tier 2 (Balanced Opportunity)</t>
        </is>
      </c>
    </row>
    <row r="410">
      <c r="A410" s="23" t="n">
        <v>2</v>
      </c>
      <c r="B410" s="23" t="n">
        <v>406</v>
      </c>
      <c r="C410" s="23" t="n">
        <v>1406</v>
      </c>
      <c r="D410" s="23" t="inlineStr">
        <is>
          <t>1380604018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285</t>
        </is>
      </c>
      <c r="I410" s="24" t="n">
        <v>14.597763</v>
      </c>
      <c r="J410" s="24" t="n">
        <v>120.970461</v>
      </c>
      <c r="K410" s="23" t="inlineStr">
        <is>
          <t>U</t>
        </is>
      </c>
      <c r="L410" s="25" t="n">
        <v>2091</v>
      </c>
      <c r="M410" s="26" t="n">
        <v>4.03</v>
      </c>
      <c r="N410" s="25">
        <f>ROUND(L410/M410, 0)</f>
        <v/>
      </c>
      <c r="O410" s="25">
        <f>ROUND(N410*'Methodology &amp; Assumptions'!$B$7, 0)</f>
        <v/>
      </c>
      <c r="P410" s="23" t="inlineStr">
        <is>
          <t>Single Carrier (Band n50, 100MHz TDD)</t>
        </is>
      </c>
      <c r="Q410" s="27">
        <f>ROUNDUP(O410/'Methodology &amp; Assumptions'!$B$8, 0)</f>
        <v/>
      </c>
      <c r="R410" s="27" t="n">
        <v>1</v>
      </c>
      <c r="S410" s="26" t="n">
        <v>1.01</v>
      </c>
      <c r="T410" s="26" t="n">
        <v>1</v>
      </c>
      <c r="U410" s="11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26" t="n">
        <v>57.17</v>
      </c>
      <c r="W410" s="26" t="n">
        <v>70.81999999999999</v>
      </c>
      <c r="X410" s="26">
        <f>ROUND(('Methodology &amp; Assumptions'!$B$5*V410) + ('Methodology &amp; Assumptions'!$B$6*W410), 2)</f>
        <v/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2</v>
      </c>
      <c r="B411" s="23" t="n">
        <v>407</v>
      </c>
      <c r="C411" s="23" t="n">
        <v>1407</v>
      </c>
      <c r="D411" s="23" t="inlineStr">
        <is>
          <t>0405619025</t>
        </is>
      </c>
      <c r="E411" s="11" t="inlineStr">
        <is>
          <t>Region IV-A (CALABARZON)</t>
        </is>
      </c>
      <c r="F411" s="11" t="inlineStr">
        <is>
          <t>Quezon</t>
        </is>
      </c>
      <c r="G411" s="11" t="inlineStr">
        <is>
          <t>Gumaca</t>
        </is>
      </c>
      <c r="H411" s="11" t="inlineStr">
        <is>
          <t>Laguna</t>
        </is>
      </c>
      <c r="I411" s="24" t="n">
        <v>13.872377</v>
      </c>
      <c r="J411" s="24" t="n">
        <v>122.132931</v>
      </c>
      <c r="K411" s="23" t="inlineStr">
        <is>
          <t>R</t>
        </is>
      </c>
      <c r="L411" s="25" t="n">
        <v>491</v>
      </c>
      <c r="M411" s="26" t="n">
        <v>3.8</v>
      </c>
      <c r="N411" s="25">
        <f>ROUND(L411/M411, 0)</f>
        <v/>
      </c>
      <c r="O411" s="25">
        <f>ROUND(N411*'Methodology &amp; Assumptions'!$B$7, 0)</f>
        <v/>
      </c>
      <c r="P411" s="23" t="inlineStr">
        <is>
          <t>Single Carrier (Band n50, 100MHz TDD)</t>
        </is>
      </c>
      <c r="Q411" s="27">
        <f>ROUNDUP(O411/'Methodology &amp; Assumptions'!$B$8, 0)</f>
        <v/>
      </c>
      <c r="R411" s="27" t="n">
        <v>1</v>
      </c>
      <c r="S411" s="26" t="n">
        <v>6.23</v>
      </c>
      <c r="T411" s="26" t="n">
        <v>2.13</v>
      </c>
      <c r="U411" s="11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26" t="n">
        <v>46.24</v>
      </c>
      <c r="W411" s="26" t="n">
        <v>81.75</v>
      </c>
      <c r="X411" s="26">
        <f>ROUND(('Methodology &amp; Assumptions'!$B$5*V411) + ('Methodology &amp; Assumptions'!$B$6*W411), 2)</f>
        <v/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2</v>
      </c>
      <c r="B412" s="23" t="n">
        <v>408</v>
      </c>
      <c r="C412" s="23" t="n">
        <v>1408</v>
      </c>
      <c r="D412" s="23" t="inlineStr">
        <is>
          <t>0305416024</t>
        </is>
      </c>
      <c r="E412" s="11" t="inlineStr">
        <is>
          <t>Region III (Central Luzon)</t>
        </is>
      </c>
      <c r="F412" s="11" t="inlineStr">
        <is>
          <t>Pampanga</t>
        </is>
      </c>
      <c r="G412" s="11" t="inlineStr">
        <is>
          <t>City of San Fernando</t>
        </is>
      </c>
      <c r="H412" s="11" t="inlineStr">
        <is>
          <t>San Agustin</t>
        </is>
      </c>
      <c r="I412" s="24" t="n">
        <v>16.606037</v>
      </c>
      <c r="J412" s="24" t="n">
        <v>120.298778</v>
      </c>
      <c r="K412" s="23" t="inlineStr">
        <is>
          <t>U</t>
        </is>
      </c>
      <c r="L412" s="25" t="n">
        <v>23914</v>
      </c>
      <c r="M412" s="26" t="n">
        <v>4</v>
      </c>
      <c r="N412" s="25">
        <f>ROUND(L412/M412, 0)</f>
        <v/>
      </c>
      <c r="O412" s="25">
        <f>ROUND(N412*'Methodology &amp; Assumptions'!$B$7, 0)</f>
        <v/>
      </c>
      <c r="P412" s="23" t="inlineStr">
        <is>
          <t>Single Carrier (Band n50, 100MHz TDD)</t>
        </is>
      </c>
      <c r="Q412" s="27">
        <f>ROUNDUP(O412/'Methodology &amp; Assumptions'!$B$8, 0)</f>
        <v/>
      </c>
      <c r="R412" s="27" t="n">
        <v>1</v>
      </c>
      <c r="S412" s="26" t="n">
        <v>2.04</v>
      </c>
      <c r="T412" s="26" t="n">
        <v>1.11</v>
      </c>
      <c r="U412" s="11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26" t="n">
        <v>74.05</v>
      </c>
      <c r="W412" s="26" t="n">
        <v>53.91</v>
      </c>
      <c r="X412" s="26">
        <f>ROUND(('Methodology &amp; Assumptions'!$B$5*V412) + ('Methodology &amp; Assumptions'!$B$6*W412), 2)</f>
        <v/>
      </c>
      <c r="Y412" s="28" t="n">
        <v>8.300000000000001</v>
      </c>
      <c r="Z412" s="11" t="inlineStr">
        <is>
          <t>Priority Tier 2 (Balanced Opportunity)</t>
        </is>
      </c>
    </row>
    <row r="413">
      <c r="A413" s="23" t="n">
        <v>2</v>
      </c>
      <c r="B413" s="23" t="n">
        <v>409</v>
      </c>
      <c r="C413" s="23" t="n">
        <v>1409</v>
      </c>
      <c r="D413" s="23" t="inlineStr">
        <is>
          <t>0201501001</t>
        </is>
      </c>
      <c r="E413" s="11" t="inlineStr">
        <is>
          <t>Region II (Cagayan Valley)</t>
        </is>
      </c>
      <c r="F413" s="11" t="inlineStr">
        <is>
          <t>Cagayan</t>
        </is>
      </c>
      <c r="G413" s="11" t="inlineStr">
        <is>
          <t>Abulug</t>
        </is>
      </c>
      <c r="H413" s="11" t="inlineStr">
        <is>
          <t>Alinunu</t>
        </is>
      </c>
      <c r="I413" s="24" t="n">
        <v>18.2607</v>
      </c>
      <c r="J413" s="24" t="n">
        <v>121.2712</v>
      </c>
      <c r="K413" s="23" t="inlineStr">
        <is>
          <t>R</t>
        </is>
      </c>
      <c r="L413" s="25" t="n">
        <v>1211</v>
      </c>
      <c r="M413" s="26" t="n">
        <v>3.9</v>
      </c>
      <c r="N413" s="25">
        <f>ROUND(L413/M413, 0)</f>
        <v/>
      </c>
      <c r="O413" s="25">
        <f>ROUND(N413*'Methodology &amp; Assumptions'!$B$7, 0)</f>
        <v/>
      </c>
      <c r="P413" s="23" t="inlineStr">
        <is>
          <t>Single Carrier (Band n50, 100MHz TDD)</t>
        </is>
      </c>
      <c r="Q413" s="27">
        <f>ROUNDUP(O413/'Methodology &amp; Assumptions'!$B$8, 0)</f>
        <v/>
      </c>
      <c r="R413" s="27" t="n">
        <v>1</v>
      </c>
      <c r="S413" s="26" t="n">
        <v>11.1</v>
      </c>
      <c r="T413" s="26" t="n">
        <v>10.12</v>
      </c>
      <c r="U413" s="11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26" t="n">
        <v>47.35</v>
      </c>
      <c r="W413" s="26" t="n">
        <v>80.61</v>
      </c>
      <c r="X413" s="26">
        <f>ROUND(('Methodology &amp; Assumptions'!$B$5*V413) + ('Methodology &amp; Assumptions'!$B$6*W413), 2)</f>
        <v/>
      </c>
      <c r="Y413" s="28" t="n">
        <v>8.300000000000001</v>
      </c>
      <c r="Z413" s="11" t="inlineStr">
        <is>
          <t>Priority Tier 2 (Balanced Opportunity)</t>
        </is>
      </c>
    </row>
    <row r="414">
      <c r="A414" s="23" t="n">
        <v>2</v>
      </c>
      <c r="B414" s="23" t="n">
        <v>410</v>
      </c>
      <c r="C414" s="23" t="n">
        <v>1410</v>
      </c>
      <c r="D414" s="23" t="inlineStr">
        <is>
          <t>0600410013</t>
        </is>
      </c>
      <c r="E414" s="11" t="inlineStr">
        <is>
          <t>Region VI (Western Visayas)</t>
        </is>
      </c>
      <c r="F414" s="11" t="inlineStr">
        <is>
          <t>Aklan</t>
        </is>
      </c>
      <c r="G414" s="11" t="inlineStr">
        <is>
          <t>Madalag</t>
        </is>
      </c>
      <c r="H414" s="11" t="inlineStr">
        <is>
          <t>Maria Cristina</t>
        </is>
      </c>
      <c r="I414" s="24" t="n">
        <v>11.459248</v>
      </c>
      <c r="J414" s="24" t="n">
        <v>122.196937</v>
      </c>
      <c r="K414" s="23" t="inlineStr">
        <is>
          <t>R</t>
        </is>
      </c>
      <c r="L414" s="25" t="n">
        <v>1171</v>
      </c>
      <c r="M414" s="26" t="n">
        <v>3.9</v>
      </c>
      <c r="N414" s="25">
        <f>ROUND(L414/M414, 0)</f>
        <v/>
      </c>
      <c r="O414" s="25">
        <f>ROUND(N414*'Methodology &amp; Assumptions'!$B$7, 0)</f>
        <v/>
      </c>
      <c r="P414" s="23" t="inlineStr">
        <is>
          <t>Single Carrier (Band n50, 100MHz TDD)</t>
        </is>
      </c>
      <c r="Q414" s="27">
        <f>ROUNDUP(O414/'Methodology &amp; Assumptions'!$B$8, 0)</f>
        <v/>
      </c>
      <c r="R414" s="27" t="n">
        <v>1</v>
      </c>
      <c r="S414" s="26" t="n">
        <v>21.2</v>
      </c>
      <c r="T414" s="26" t="n">
        <v>21.68</v>
      </c>
      <c r="U414" s="11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26" t="n">
        <v>45.33</v>
      </c>
      <c r="W414" s="26" t="n">
        <v>82.63</v>
      </c>
      <c r="X414" s="26">
        <f>ROUND(('Methodology &amp; Assumptions'!$B$5*V414) + ('Methodology &amp; Assumptions'!$B$6*W414), 2)</f>
        <v/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2</v>
      </c>
      <c r="B415" s="23" t="n">
        <v>411</v>
      </c>
      <c r="C415" s="23" t="n">
        <v>1411</v>
      </c>
      <c r="D415" s="23" t="inlineStr">
        <is>
          <t>0401030016</t>
        </is>
      </c>
      <c r="E415" s="11" t="inlineStr">
        <is>
          <t>Region IV-A (CALABARZON)</t>
        </is>
      </c>
      <c r="F415" s="11" t="inlineStr">
        <is>
          <t>Batangas</t>
        </is>
      </c>
      <c r="G415" s="11" t="inlineStr">
        <is>
          <t>Talisay</t>
        </is>
      </c>
      <c r="H415" s="11" t="inlineStr">
        <is>
          <t>Poblacion Barangay 6</t>
        </is>
      </c>
      <c r="I415" s="24" t="n">
        <v>14.0269</v>
      </c>
      <c r="J415" s="24" t="n">
        <v>120.9948</v>
      </c>
      <c r="K415" s="23" t="inlineStr">
        <is>
          <t>R</t>
        </is>
      </c>
      <c r="L415" s="25" t="n">
        <v>421</v>
      </c>
      <c r="M415" s="26" t="n">
        <v>3.6</v>
      </c>
      <c r="N415" s="25">
        <f>ROUND(L415/M415, 0)</f>
        <v/>
      </c>
      <c r="O415" s="25">
        <f>ROUND(N415*'Methodology &amp; Assumptions'!$B$7, 0)</f>
        <v/>
      </c>
      <c r="P415" s="23" t="inlineStr">
        <is>
          <t>Single Carrier (Band n50, 100MHz TDD)</t>
        </is>
      </c>
      <c r="Q415" s="27">
        <f>ROUNDUP(O415/'Methodology &amp; Assumptions'!$B$8, 0)</f>
        <v/>
      </c>
      <c r="R415" s="27" t="n">
        <v>1</v>
      </c>
      <c r="S415" s="26" t="n">
        <v>7.2</v>
      </c>
      <c r="T415" s="26" t="n">
        <v>9.6</v>
      </c>
      <c r="U415" s="11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26" t="n">
        <v>44.59</v>
      </c>
      <c r="W415" s="26" t="n">
        <v>83.36</v>
      </c>
      <c r="X415" s="26">
        <f>ROUND(('Methodology &amp; Assumptions'!$B$5*V415) + ('Methodology &amp; Assumptions'!$B$6*W415), 2)</f>
        <v/>
      </c>
      <c r="Y415" s="28" t="n">
        <v>7.2</v>
      </c>
      <c r="Z415" s="11" t="inlineStr">
        <is>
          <t>Priority Tier 2 (Balanced Opportunity)</t>
        </is>
      </c>
    </row>
    <row r="416">
      <c r="A416" s="23" t="n">
        <v>2</v>
      </c>
      <c r="B416" s="23" t="n">
        <v>412</v>
      </c>
      <c r="C416" s="23" t="n">
        <v>1412</v>
      </c>
      <c r="D416" s="23" t="inlineStr">
        <is>
          <t>0403422016</t>
        </is>
      </c>
      <c r="E416" s="11" t="inlineStr">
        <is>
          <t>Region IV-A (CALABARZON)</t>
        </is>
      </c>
      <c r="F416" s="11" t="inlineStr">
        <is>
          <t>Laguna</t>
        </is>
      </c>
      <c r="G416" s="11" t="inlineStr">
        <is>
          <t>Pila</t>
        </is>
      </c>
      <c r="H416" s="11" t="inlineStr">
        <is>
          <t>Santa Clara Norte</t>
        </is>
      </c>
      <c r="I416" s="24" t="n">
        <v>14.233121</v>
      </c>
      <c r="J416" s="24" t="n">
        <v>121.367028</v>
      </c>
      <c r="K416" s="23" t="inlineStr">
        <is>
          <t>R</t>
        </is>
      </c>
      <c r="L416" s="25" t="n">
        <v>2742</v>
      </c>
      <c r="M416" s="26" t="n">
        <v>3.3</v>
      </c>
      <c r="N416" s="25">
        <f>ROUND(L416/M416, 0)</f>
        <v/>
      </c>
      <c r="O416" s="25">
        <f>ROUND(N416*'Methodology &amp; Assumptions'!$B$7, 0)</f>
        <v/>
      </c>
      <c r="P416" s="23" t="inlineStr">
        <is>
          <t>Single Carrier (Band n50, 100MHz TDD)</t>
        </is>
      </c>
      <c r="Q416" s="27">
        <f>ROUNDUP(O416/'Methodology &amp; Assumptions'!$B$8, 0)</f>
        <v/>
      </c>
      <c r="R416" s="27" t="n">
        <v>1</v>
      </c>
      <c r="S416" s="26" t="n">
        <v>0.46</v>
      </c>
      <c r="T416" s="26" t="n">
        <v>0.28</v>
      </c>
      <c r="U416" s="11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26" t="n">
        <v>85.45999999999999</v>
      </c>
      <c r="W416" s="26" t="n">
        <v>42.48</v>
      </c>
      <c r="X416" s="26">
        <f>ROUND(('Methodology &amp; Assumptions'!$B$5*V416) + ('Methodology &amp; Assumptions'!$B$6*W416), 2)</f>
        <v/>
      </c>
      <c r="Y416" s="28" t="n">
        <v>7.2</v>
      </c>
      <c r="Z416" s="11" t="inlineStr">
        <is>
          <t>Priority Tier 2 (Balanced Opportunity)</t>
        </is>
      </c>
    </row>
    <row r="417">
      <c r="A417" s="23" t="n">
        <v>2</v>
      </c>
      <c r="B417" s="23" t="n">
        <v>413</v>
      </c>
      <c r="C417" s="23" t="n">
        <v>1413</v>
      </c>
      <c r="D417" s="23" t="inlineStr">
        <is>
          <t>0203108031</t>
        </is>
      </c>
      <c r="E417" s="11" t="inlineStr">
        <is>
          <t>Region II (Cagayan Valley)</t>
        </is>
      </c>
      <c r="F417" s="11" t="inlineStr">
        <is>
          <t>Isabela</t>
        </is>
      </c>
      <c r="G417" s="11" t="inlineStr">
        <is>
          <t>City of Cauayan</t>
        </is>
      </c>
      <c r="H417" s="11" t="inlineStr">
        <is>
          <t>District I</t>
        </is>
      </c>
      <c r="I417" s="24" t="n">
        <v>16.931796</v>
      </c>
      <c r="J417" s="24" t="n">
        <v>121.769633</v>
      </c>
      <c r="K417" s="23" t="inlineStr">
        <is>
          <t>U</t>
        </is>
      </c>
      <c r="L417" s="25" t="n">
        <v>11763</v>
      </c>
      <c r="M417" s="26" t="n">
        <v>3.8</v>
      </c>
      <c r="N417" s="25">
        <f>ROUND(L417/M417, 0)</f>
        <v/>
      </c>
      <c r="O417" s="25">
        <f>ROUND(N417*'Methodology &amp; Assumptions'!$B$7, 0)</f>
        <v/>
      </c>
      <c r="P417" s="23" t="inlineStr">
        <is>
          <t>Single Carrier (Band n50, 100MHz TDD)</t>
        </is>
      </c>
      <c r="Q417" s="27">
        <f>ROUNDUP(O417/'Methodology &amp; Assumptions'!$B$8, 0)</f>
        <v/>
      </c>
      <c r="R417" s="27" t="n">
        <v>1</v>
      </c>
      <c r="S417" s="26" t="n">
        <v>0.6</v>
      </c>
      <c r="T417" s="26" t="n">
        <v>0.44</v>
      </c>
      <c r="U417" s="11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26" t="n">
        <v>78.43000000000001</v>
      </c>
      <c r="W417" s="26" t="n">
        <v>49.51</v>
      </c>
      <c r="X417" s="26">
        <f>ROUND(('Methodology &amp; Assumptions'!$B$5*V417) + ('Methodology &amp; Assumptions'!$B$6*W417), 2)</f>
        <v/>
      </c>
      <c r="Y417" s="28" t="n">
        <v>8.300000000000001</v>
      </c>
      <c r="Z417" s="11" t="inlineStr">
        <is>
          <t>Priority Tier 2 (Balanced Opportunity)</t>
        </is>
      </c>
    </row>
    <row r="418">
      <c r="A418" s="23" t="n">
        <v>2</v>
      </c>
      <c r="B418" s="23" t="n">
        <v>414</v>
      </c>
      <c r="C418" s="23" t="n">
        <v>1414</v>
      </c>
      <c r="D418" s="23" t="inlineStr">
        <is>
          <t>1108603041</t>
        </is>
      </c>
      <c r="E418" s="11" t="inlineStr">
        <is>
          <t>Region XI (Davao Region)</t>
        </is>
      </c>
      <c r="F418" s="11" t="inlineStr">
        <is>
          <t>Davao Occidental</t>
        </is>
      </c>
      <c r="G418" s="11" t="inlineStr">
        <is>
          <t>Malita</t>
        </is>
      </c>
      <c r="H418" s="11" t="inlineStr">
        <is>
          <t>Pangaleon</t>
        </is>
      </c>
      <c r="I418" s="24" t="n">
        <v>6.301767</v>
      </c>
      <c r="J418" s="24" t="n">
        <v>125.505576</v>
      </c>
      <c r="K418" s="23" t="inlineStr">
        <is>
          <t>R</t>
        </is>
      </c>
      <c r="L418" s="25" t="n">
        <v>2435</v>
      </c>
      <c r="M418" s="26" t="n">
        <v>3.6</v>
      </c>
      <c r="N418" s="25">
        <f>ROUND(L418/M418, 0)</f>
        <v/>
      </c>
      <c r="O418" s="25">
        <f>ROUND(N418*'Methodology &amp; Assumptions'!$B$7, 0)</f>
        <v/>
      </c>
      <c r="P418" s="23" t="inlineStr">
        <is>
          <t>Single Carrier (Band n50, 100MHz TDD)</t>
        </is>
      </c>
      <c r="Q418" s="27">
        <f>ROUNDUP(O418/'Methodology &amp; Assumptions'!$B$8, 0)</f>
        <v/>
      </c>
      <c r="R418" s="27" t="n">
        <v>1</v>
      </c>
      <c r="S418" s="26" t="n">
        <v>27.93</v>
      </c>
      <c r="T418" s="26" t="n">
        <v>25.88</v>
      </c>
      <c r="U418" s="11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26" t="n">
        <v>56.37</v>
      </c>
      <c r="W418" s="26" t="n">
        <v>71.56999999999999</v>
      </c>
      <c r="X418" s="26">
        <f>ROUND(('Methodology &amp; Assumptions'!$B$5*V418) + ('Methodology &amp; Assumptions'!$B$6*W418), 2)</f>
        <v/>
      </c>
      <c r="Y418" s="28" t="n">
        <v>17.4</v>
      </c>
      <c r="Z418" s="11" t="inlineStr">
        <is>
          <t>Priority Tier 2 (Balanced Opportunity)</t>
        </is>
      </c>
    </row>
    <row r="419">
      <c r="A419" s="23" t="n">
        <v>2</v>
      </c>
      <c r="B419" s="23" t="n">
        <v>415</v>
      </c>
      <c r="C419" s="23" t="n">
        <v>1415</v>
      </c>
      <c r="D419" s="23" t="inlineStr">
        <is>
          <t>0402120004</t>
        </is>
      </c>
      <c r="E419" s="11" t="inlineStr">
        <is>
          <t>Region IV-A (CALABARZON)</t>
        </is>
      </c>
      <c r="F419" s="11" t="inlineStr">
        <is>
          <t>Cavite</t>
        </is>
      </c>
      <c r="G419" s="11" t="inlineStr">
        <is>
          <t>Tanza</t>
        </is>
      </c>
      <c r="H419" s="11" t="inlineStr">
        <is>
          <t>Biwas</t>
        </is>
      </c>
      <c r="I419" s="24" t="n">
        <v>14.398897</v>
      </c>
      <c r="J419" s="24" t="n">
        <v>120.855447</v>
      </c>
      <c r="K419" s="23" t="inlineStr">
        <is>
          <t>U</t>
        </is>
      </c>
      <c r="L419" s="25" t="n">
        <v>7357</v>
      </c>
      <c r="M419" s="26" t="n">
        <v>3.4</v>
      </c>
      <c r="N419" s="25">
        <f>ROUND(L419/M419, 0)</f>
        <v/>
      </c>
      <c r="O419" s="25">
        <f>ROUND(N419*'Methodology &amp; Assumptions'!$B$7, 0)</f>
        <v/>
      </c>
      <c r="P419" s="23" t="inlineStr">
        <is>
          <t>Single Carrier (Band n50, 100MHz TDD)</t>
        </is>
      </c>
      <c r="Q419" s="27">
        <f>ROUNDUP(O419/'Methodology &amp; Assumptions'!$B$8, 0)</f>
        <v/>
      </c>
      <c r="R419" s="27" t="n">
        <v>1</v>
      </c>
      <c r="S419" s="26" t="n">
        <v>0.71</v>
      </c>
      <c r="T419" s="26" t="n">
        <v>0.65</v>
      </c>
      <c r="U419" s="11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26" t="n">
        <v>78.26000000000001</v>
      </c>
      <c r="W419" s="26" t="n">
        <v>49.66</v>
      </c>
      <c r="X419" s="26">
        <f>ROUND(('Methodology &amp; Assumptions'!$B$5*V419) + ('Methodology &amp; Assumptions'!$B$6*W419), 2)</f>
        <v/>
      </c>
      <c r="Y419" s="28" t="n">
        <v>7.2</v>
      </c>
      <c r="Z419" s="11" t="inlineStr">
        <is>
          <t>Priority Tier 2 (Balanced Opportunity)</t>
        </is>
      </c>
    </row>
    <row r="420">
      <c r="A420" s="23" t="n">
        <v>2</v>
      </c>
      <c r="B420" s="23" t="n">
        <v>416</v>
      </c>
      <c r="C420" s="23" t="n">
        <v>1416</v>
      </c>
      <c r="D420" s="23" t="inlineStr">
        <is>
          <t>0403405055</t>
        </is>
      </c>
      <c r="E420" s="11" t="inlineStr">
        <is>
          <t>Region IV-A (CALABARZON)</t>
        </is>
      </c>
      <c r="F420" s="11" t="inlineStr">
        <is>
          <t>Laguna</t>
        </is>
      </c>
      <c r="G420" s="11" t="inlineStr">
        <is>
          <t>City of Calamba</t>
        </is>
      </c>
      <c r="H420" s="11" t="inlineStr">
        <is>
          <t>San Juan</t>
        </is>
      </c>
      <c r="I420" s="24" t="n">
        <v>14.217403</v>
      </c>
      <c r="J420" s="24" t="n">
        <v>121.175709</v>
      </c>
      <c r="K420" s="23" t="inlineStr">
        <is>
          <t>R</t>
        </is>
      </c>
      <c r="L420" s="25" t="n">
        <v>5290</v>
      </c>
      <c r="M420" s="26" t="n">
        <v>3.3</v>
      </c>
      <c r="N420" s="25">
        <f>ROUND(L420/M420, 0)</f>
        <v/>
      </c>
      <c r="O420" s="25">
        <f>ROUND(N420*'Methodology &amp; Assumptions'!$B$7, 0)</f>
        <v/>
      </c>
      <c r="P420" s="23" t="inlineStr">
        <is>
          <t>Single Carrier (Band n50, 100MHz TDD)</t>
        </is>
      </c>
      <c r="Q420" s="27">
        <f>ROUNDUP(O420/'Methodology &amp; Assumptions'!$B$8, 0)</f>
        <v/>
      </c>
      <c r="R420" s="27" t="n">
        <v>1</v>
      </c>
      <c r="S420" s="26" t="n">
        <v>3.9</v>
      </c>
      <c r="T420" s="26" t="n">
        <v>0.12</v>
      </c>
      <c r="U420" s="11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26" t="n">
        <v>76.04000000000001</v>
      </c>
      <c r="W420" s="26" t="n">
        <v>51.87</v>
      </c>
      <c r="X420" s="26">
        <f>ROUND(('Methodology &amp; Assumptions'!$B$5*V420) + ('Methodology &amp; Assumptions'!$B$6*W420), 2)</f>
        <v/>
      </c>
      <c r="Y420" s="28" t="n">
        <v>7.2</v>
      </c>
      <c r="Z420" s="11" t="inlineStr">
        <is>
          <t>Priority Tier 2 (Balanced Opportunity)</t>
        </is>
      </c>
    </row>
    <row r="421">
      <c r="A421" s="23" t="n">
        <v>2</v>
      </c>
      <c r="B421" s="23" t="n">
        <v>417</v>
      </c>
      <c r="C421" s="23" t="n">
        <v>1417</v>
      </c>
      <c r="D421" s="23" t="inlineStr">
        <is>
          <t>0604531006</t>
        </is>
      </c>
      <c r="E421" s="11" t="inlineStr">
        <is>
          <t>Region VI (Western Visayas)</t>
        </is>
      </c>
      <c r="F421" s="11" t="inlineStr">
        <is>
          <t>Negros Occidental</t>
        </is>
      </c>
      <c r="G421" s="11" t="inlineStr">
        <is>
          <t>City of Victorias</t>
        </is>
      </c>
      <c r="H421" s="11" t="inlineStr">
        <is>
          <t>Barangay III</t>
        </is>
      </c>
      <c r="I421" s="24" t="n">
        <v>10.902112</v>
      </c>
      <c r="J421" s="24" t="n">
        <v>123.070706</v>
      </c>
      <c r="K421" s="23" t="inlineStr">
        <is>
          <t>R</t>
        </is>
      </c>
      <c r="L421" s="25" t="n">
        <v>1523</v>
      </c>
      <c r="M421" s="26" t="n">
        <v>3.7</v>
      </c>
      <c r="N421" s="25">
        <f>ROUND(L421/M421, 0)</f>
        <v/>
      </c>
      <c r="O421" s="25">
        <f>ROUND(N421*'Methodology &amp; Assumptions'!$B$7, 0)</f>
        <v/>
      </c>
      <c r="P421" s="23" t="inlineStr">
        <is>
          <t>Single Carrier (Band n50, 100MHz TDD)</t>
        </is>
      </c>
      <c r="Q421" s="27">
        <f>ROUNDUP(O421/'Methodology &amp; Assumptions'!$B$8, 0)</f>
        <v/>
      </c>
      <c r="R421" s="27" t="n">
        <v>1</v>
      </c>
      <c r="S421" s="26" t="n">
        <v>0.27</v>
      </c>
      <c r="T421" s="26" t="n">
        <v>0.24</v>
      </c>
      <c r="U421" s="11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26" t="n">
        <v>74.03</v>
      </c>
      <c r="W421" s="26" t="n">
        <v>53.9</v>
      </c>
      <c r="X421" s="26">
        <f>ROUND(('Methodology &amp; Assumptions'!$B$5*V421) + ('Methodology &amp; Assumptions'!$B$6*W421), 2)</f>
        <v/>
      </c>
      <c r="Y421" s="28" t="n">
        <v>23.7</v>
      </c>
      <c r="Z421" s="11" t="inlineStr">
        <is>
          <t>Priority Tier 2 (Balanced Opportunity)</t>
        </is>
      </c>
    </row>
    <row r="422">
      <c r="A422" s="23" t="n">
        <v>2</v>
      </c>
      <c r="B422" s="23" t="n">
        <v>418</v>
      </c>
      <c r="C422" s="23" t="n">
        <v>1418</v>
      </c>
      <c r="D422" s="23" t="inlineStr">
        <is>
          <t>1908706009</t>
        </is>
      </c>
      <c r="E422" s="11" t="inlineStr">
        <is>
          <t>Bangsamoro Autonomous Region In Muslim Mindanao (BARMM)</t>
        </is>
      </c>
      <c r="F422" s="11" t="inlineStr">
        <is>
          <t>Maguindanao del Norte</t>
        </is>
      </c>
      <c r="G422" s="11" t="inlineStr">
        <is>
          <t>Kabuntalan</t>
        </is>
      </c>
      <c r="H422" s="11" t="inlineStr">
        <is>
          <t>Lower Taviran</t>
        </is>
      </c>
      <c r="I422" s="24" t="n">
        <v>7.139235</v>
      </c>
      <c r="J422" s="24" t="n">
        <v>124.32826</v>
      </c>
      <c r="K422" s="23" t="inlineStr">
        <is>
          <t>R</t>
        </is>
      </c>
      <c r="L422" s="25" t="n">
        <v>4891</v>
      </c>
      <c r="M422" s="26" t="n">
        <v>4.3</v>
      </c>
      <c r="N422" s="25">
        <f>ROUND(L422/M422, 0)</f>
        <v/>
      </c>
      <c r="O422" s="25">
        <f>ROUND(N422*'Methodology &amp; Assumptions'!$B$7, 0)</f>
        <v/>
      </c>
      <c r="P422" s="23" t="inlineStr">
        <is>
          <t>Single Carrier (Band n50, 100MHz TDD)</t>
        </is>
      </c>
      <c r="Q422" s="27">
        <f>ROUNDUP(O422/'Methodology &amp; Assumptions'!$B$8, 0)</f>
        <v/>
      </c>
      <c r="R422" s="27" t="n">
        <v>1</v>
      </c>
      <c r="S422" s="26" t="n">
        <v>52.17</v>
      </c>
      <c r="T422" s="26" t="n">
        <v>52.07</v>
      </c>
      <c r="U422" s="11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26" t="n">
        <v>59.06</v>
      </c>
      <c r="W422" s="26" t="n">
        <v>68.86</v>
      </c>
      <c r="X422" s="26">
        <f>ROUND(('Methodology &amp; Assumptions'!$B$5*V422) + ('Methodology &amp; Assumptions'!$B$6*W422), 2)</f>
        <v/>
      </c>
      <c r="Y422" s="28" t="n">
        <v>11</v>
      </c>
      <c r="Z422" s="11" t="inlineStr">
        <is>
          <t>Priority Tier 2 (Balanced Opportunity)</t>
        </is>
      </c>
    </row>
    <row r="423">
      <c r="A423" s="23" t="n">
        <v>2</v>
      </c>
      <c r="B423" s="23" t="n">
        <v>419</v>
      </c>
      <c r="C423" s="23" t="n">
        <v>1419</v>
      </c>
      <c r="D423" s="23" t="inlineStr">
        <is>
          <t>1380612039</t>
        </is>
      </c>
      <c r="E423" s="11" t="inlineStr">
        <is>
          <t>National Capital Region (NCR)</t>
        </is>
      </c>
      <c r="F423" s="11" t="inlineStr">
        <is>
          <t>First District (Not a Province)</t>
        </is>
      </c>
      <c r="G423" s="11" t="inlineStr">
        <is>
          <t>City of Manila</t>
        </is>
      </c>
      <c r="H423" s="11" t="inlineStr">
        <is>
          <t>Barangay 869</t>
        </is>
      </c>
      <c r="I423" s="24" t="n">
        <v>14.580229</v>
      </c>
      <c r="J423" s="24" t="n">
        <v>121.004517</v>
      </c>
      <c r="K423" s="23" t="inlineStr">
        <is>
          <t>U</t>
        </is>
      </c>
      <c r="L423" s="25" t="n">
        <v>2078</v>
      </c>
      <c r="M423" s="26" t="n">
        <v>4.04</v>
      </c>
      <c r="N423" s="25">
        <f>ROUND(L423/M423, 0)</f>
        <v/>
      </c>
      <c r="O423" s="25">
        <f>ROUND(N423*'Methodology &amp; Assumptions'!$B$7, 0)</f>
        <v/>
      </c>
      <c r="P423" s="23" t="inlineStr">
        <is>
          <t>Single Carrier (Band n50, 100MHz TDD)</t>
        </is>
      </c>
      <c r="Q423" s="27">
        <f>ROUNDUP(O423/'Methodology &amp; Assumptions'!$B$8, 0)</f>
        <v/>
      </c>
      <c r="R423" s="27" t="n">
        <v>1</v>
      </c>
      <c r="S423" s="26" t="n">
        <v>0.5</v>
      </c>
      <c r="T423" s="26" t="n">
        <v>0.18</v>
      </c>
      <c r="U423" s="11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26" t="n">
        <v>57.59</v>
      </c>
      <c r="W423" s="26" t="n">
        <v>70.34</v>
      </c>
      <c r="X423" s="26">
        <f>ROUND(('Methodology &amp; Assumptions'!$B$5*V423) + ('Methodology &amp; Assumptions'!$B$6*W423), 2)</f>
        <v/>
      </c>
      <c r="Y423" s="28" t="n">
        <v>10.9</v>
      </c>
      <c r="Z423" s="11" t="inlineStr">
        <is>
          <t>Priority Tier 2 (Balanced Opportunity)</t>
        </is>
      </c>
    </row>
    <row r="424">
      <c r="A424" s="23" t="n">
        <v>2</v>
      </c>
      <c r="B424" s="23" t="n">
        <v>420</v>
      </c>
      <c r="C424" s="23" t="n">
        <v>1420</v>
      </c>
      <c r="D424" s="23" t="inlineStr">
        <is>
          <t>1380605056</t>
        </is>
      </c>
      <c r="E424" s="11" t="inlineStr">
        <is>
          <t>National Capital Region (NCR)</t>
        </is>
      </c>
      <c r="F424" s="11" t="inlineStr">
        <is>
          <t>First District (Not a Province)</t>
        </is>
      </c>
      <c r="G424" s="11" t="inlineStr">
        <is>
          <t>City of Manila</t>
        </is>
      </c>
      <c r="H424" s="11" t="inlineStr">
        <is>
          <t>Barangay 354</t>
        </is>
      </c>
      <c r="I424" s="24" t="n">
        <v>14.619031</v>
      </c>
      <c r="J424" s="24" t="n">
        <v>120.981457</v>
      </c>
      <c r="K424" s="23" t="inlineStr">
        <is>
          <t>U</t>
        </is>
      </c>
      <c r="L424" s="25" t="n">
        <v>2200</v>
      </c>
      <c r="M424" s="26" t="n">
        <v>4.29</v>
      </c>
      <c r="N424" s="25">
        <f>ROUND(L424/M424, 0)</f>
        <v/>
      </c>
      <c r="O424" s="25">
        <f>ROUND(N424*'Methodology &amp; Assumptions'!$B$7, 0)</f>
        <v/>
      </c>
      <c r="P424" s="23" t="inlineStr">
        <is>
          <t>Single Carrier (Band n50, 100MHz TDD)</t>
        </is>
      </c>
      <c r="Q424" s="27">
        <f>ROUNDUP(O424/'Methodology &amp; Assumptions'!$B$8, 0)</f>
        <v/>
      </c>
      <c r="R424" s="27" t="n">
        <v>1</v>
      </c>
      <c r="S424" s="26" t="n">
        <v>0.32</v>
      </c>
      <c r="T424" s="26" t="n">
        <v>0.14</v>
      </c>
      <c r="U424" s="11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26" t="n">
        <v>57.59</v>
      </c>
      <c r="W424" s="26" t="n">
        <v>70.31999999999999</v>
      </c>
      <c r="X424" s="26">
        <f>ROUND(('Methodology &amp; Assumptions'!$B$5*V424) + ('Methodology &amp; Assumptions'!$B$6*W424), 2)</f>
        <v/>
      </c>
      <c r="Y424" s="28" t="n">
        <v>10.9</v>
      </c>
      <c r="Z424" s="11" t="inlineStr">
        <is>
          <t>Priority Tier 2 (Balanced Opportunity)</t>
        </is>
      </c>
    </row>
    <row r="425">
      <c r="A425" s="23" t="n">
        <v>2</v>
      </c>
      <c r="B425" s="23" t="n">
        <v>421</v>
      </c>
      <c r="C425" s="23" t="n">
        <v>1421</v>
      </c>
      <c r="D425" s="23" t="inlineStr">
        <is>
          <t>0105536013</t>
        </is>
      </c>
      <c r="E425" s="11" t="inlineStr">
        <is>
          <t>Region I (Ilocos Region)</t>
        </is>
      </c>
      <c r="F425" s="11" t="inlineStr">
        <is>
          <t>Pangasinan</t>
        </is>
      </c>
      <c r="G425" s="11" t="inlineStr">
        <is>
          <t>San Nicolas</t>
        </is>
      </c>
      <c r="H425" s="11" t="inlineStr">
        <is>
          <t>Fianza</t>
        </is>
      </c>
      <c r="I425" s="24" t="n">
        <v>16.1616</v>
      </c>
      <c r="J425" s="24" t="n">
        <v>120.7788</v>
      </c>
      <c r="K425" s="23" t="inlineStr">
        <is>
          <t>R</t>
        </is>
      </c>
      <c r="L425" s="25" t="n">
        <v>988</v>
      </c>
      <c r="M425" s="26" t="n">
        <v>3.6</v>
      </c>
      <c r="N425" s="25">
        <f>ROUND(L425/M425, 0)</f>
        <v/>
      </c>
      <c r="O425" s="25">
        <f>ROUND(N425*'Methodology &amp; Assumptions'!$B$7, 0)</f>
        <v/>
      </c>
      <c r="P425" s="23" t="inlineStr">
        <is>
          <t>Single Carrier (Band n50, 100MHz TDD)</t>
        </is>
      </c>
      <c r="Q425" s="27">
        <f>ROUNDUP(O425/'Methodology &amp; Assumptions'!$B$8, 0)</f>
        <v/>
      </c>
      <c r="R425" s="27" t="n">
        <v>1</v>
      </c>
      <c r="S425" s="26" t="n">
        <v>15.54</v>
      </c>
      <c r="T425" s="26" t="n">
        <v>15.78</v>
      </c>
      <c r="U425" s="11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26" t="n">
        <v>42.66</v>
      </c>
      <c r="W425" s="26" t="n">
        <v>85.23</v>
      </c>
      <c r="X425" s="26">
        <f>ROUND(('Methodology &amp; Assumptions'!$B$5*V425) + ('Methodology &amp; Assumptions'!$B$6*W425), 2)</f>
        <v/>
      </c>
      <c r="Y425" s="28" t="n">
        <v>8.300000000000001</v>
      </c>
      <c r="Z425" s="11" t="inlineStr">
        <is>
          <t>Priority Tier 2 (Balanced Opportunity)</t>
        </is>
      </c>
    </row>
    <row r="426">
      <c r="A426" s="23" t="n">
        <v>2</v>
      </c>
      <c r="B426" s="23" t="n">
        <v>422</v>
      </c>
      <c r="C426" s="23" t="n">
        <v>1422</v>
      </c>
      <c r="D426" s="23" t="inlineStr">
        <is>
          <t>0402117002</t>
        </is>
      </c>
      <c r="E426" s="11" t="inlineStr">
        <is>
          <t>Region IV-A (CALABARZON)</t>
        </is>
      </c>
      <c r="F426" s="11" t="inlineStr">
        <is>
          <t>Cavite</t>
        </is>
      </c>
      <c r="G426" s="11" t="inlineStr">
        <is>
          <t>Rosario</t>
        </is>
      </c>
      <c r="H426" s="11" t="inlineStr">
        <is>
          <t>Bagbag I</t>
        </is>
      </c>
      <c r="I426" s="24" t="n">
        <v>14.422671</v>
      </c>
      <c r="J426" s="24" t="n">
        <v>120.867651</v>
      </c>
      <c r="K426" s="23" t="inlineStr">
        <is>
          <t>U</t>
        </is>
      </c>
      <c r="L426" s="25" t="n">
        <v>6350</v>
      </c>
      <c r="M426" s="26" t="n">
        <v>3.4</v>
      </c>
      <c r="N426" s="25">
        <f>ROUND(L426/M426, 0)</f>
        <v/>
      </c>
      <c r="O426" s="25">
        <f>ROUND(N426*'Methodology &amp; Assumptions'!$B$7, 0)</f>
        <v/>
      </c>
      <c r="P426" s="23" t="inlineStr">
        <is>
          <t>Single Carrier (Band n50, 100MHz TDD)</t>
        </is>
      </c>
      <c r="Q426" s="27">
        <f>ROUNDUP(O426/'Methodology &amp; Assumptions'!$B$8, 0)</f>
        <v/>
      </c>
      <c r="R426" s="27" t="n">
        <v>1</v>
      </c>
      <c r="S426" s="26" t="n">
        <v>1.82</v>
      </c>
      <c r="T426" s="26" t="n">
        <v>1.61</v>
      </c>
      <c r="U426" s="11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26" t="n">
        <v>74.63</v>
      </c>
      <c r="W426" s="26" t="n">
        <v>53.26</v>
      </c>
      <c r="X426" s="26">
        <f>ROUND(('Methodology &amp; Assumptions'!$B$5*V426) + ('Methodology &amp; Assumptions'!$B$6*W426), 2)</f>
        <v/>
      </c>
      <c r="Y426" s="28" t="n">
        <v>7.2</v>
      </c>
      <c r="Z426" s="11" t="inlineStr">
        <is>
          <t>Priority Tier 2 (Balanced Opportunity)</t>
        </is>
      </c>
    </row>
    <row r="427">
      <c r="A427" s="23" t="n">
        <v>2</v>
      </c>
      <c r="B427" s="23" t="n">
        <v>423</v>
      </c>
      <c r="C427" s="23" t="n">
        <v>1423</v>
      </c>
      <c r="D427" s="23" t="inlineStr">
        <is>
          <t>0702218014</t>
        </is>
      </c>
      <c r="E427" s="11" t="inlineStr">
        <is>
          <t>Region VII (Central Visayas)</t>
        </is>
      </c>
      <c r="F427" s="11" t="inlineStr">
        <is>
          <t>Cebu</t>
        </is>
      </c>
      <c r="G427" s="11" t="inlineStr">
        <is>
          <t>Compostela</t>
        </is>
      </c>
      <c r="H427" s="11" t="inlineStr">
        <is>
          <t>Poblacion</t>
        </is>
      </c>
      <c r="I427" s="24" t="n">
        <v>10.45393</v>
      </c>
      <c r="J427" s="24" t="n">
        <v>124.012245</v>
      </c>
      <c r="K427" s="23" t="inlineStr">
        <is>
          <t>U</t>
        </is>
      </c>
      <c r="L427" s="25" t="n">
        <v>12857</v>
      </c>
      <c r="M427" s="26" t="n">
        <v>3.8</v>
      </c>
      <c r="N427" s="25">
        <f>ROUND(L427/M427, 0)</f>
        <v/>
      </c>
      <c r="O427" s="25">
        <f>ROUND(N427*'Methodology &amp; Assumptions'!$B$7, 0)</f>
        <v/>
      </c>
      <c r="P427" s="23" t="inlineStr">
        <is>
          <t>Single Carrier (Band n50, 100MHz TDD)</t>
        </is>
      </c>
      <c r="Q427" s="27">
        <f>ROUNDUP(O427/'Methodology &amp; Assumptions'!$B$8, 0)</f>
        <v/>
      </c>
      <c r="R427" s="27" t="n">
        <v>1</v>
      </c>
      <c r="S427" s="26" t="n">
        <v>0.2</v>
      </c>
      <c r="T427" s="26" t="n">
        <v>0.22</v>
      </c>
      <c r="U427" s="11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26" t="n">
        <v>80.86</v>
      </c>
      <c r="W427" s="26" t="n">
        <v>47.01</v>
      </c>
      <c r="X427" s="26">
        <f>ROUND(('Methodology &amp; Assumptions'!$B$5*V427) + ('Methodology &amp; Assumptions'!$B$6*W427), 2)</f>
        <v/>
      </c>
      <c r="Y427" s="28" t="n">
        <v>23.7</v>
      </c>
      <c r="Z427" s="11" t="inlineStr">
        <is>
          <t>Priority Tier 2 (Balanced Opportunity)</t>
        </is>
      </c>
    </row>
    <row r="428">
      <c r="A428" s="23" t="n">
        <v>2</v>
      </c>
      <c r="B428" s="23" t="n">
        <v>424</v>
      </c>
      <c r="C428" s="23" t="n">
        <v>1424</v>
      </c>
      <c r="D428" s="23" t="inlineStr">
        <is>
          <t>0301404010</t>
        </is>
      </c>
      <c r="E428" s="11" t="inlineStr">
        <is>
          <t>Region III (Central Luzon)</t>
        </is>
      </c>
      <c r="F428" s="11" t="inlineStr">
        <is>
          <t>Bulacan</t>
        </is>
      </c>
      <c r="G428" s="11" t="inlineStr">
        <is>
          <t>Bocaue</t>
        </is>
      </c>
      <c r="H428" s="11" t="inlineStr">
        <is>
          <t>Caingin</t>
        </is>
      </c>
      <c r="I428" s="24" t="n">
        <v>14.801026</v>
      </c>
      <c r="J428" s="24" t="n">
        <v>120.925016</v>
      </c>
      <c r="K428" s="23" t="inlineStr">
        <is>
          <t>R</t>
        </is>
      </c>
      <c r="L428" s="25" t="n">
        <v>5031</v>
      </c>
      <c r="M428" s="26" t="n">
        <v>3.5</v>
      </c>
      <c r="N428" s="25">
        <f>ROUND(L428/M428, 0)</f>
        <v/>
      </c>
      <c r="O428" s="25">
        <f>ROUND(N428*'Methodology &amp; Assumptions'!$B$7, 0)</f>
        <v/>
      </c>
      <c r="P428" s="23" t="inlineStr">
        <is>
          <t>Single Carrier (Band n50, 100MHz TDD)</t>
        </is>
      </c>
      <c r="Q428" s="27">
        <f>ROUNDUP(O428/'Methodology &amp; Assumptions'!$B$8, 0)</f>
        <v/>
      </c>
      <c r="R428" s="27" t="n">
        <v>1</v>
      </c>
      <c r="S428" s="26" t="n">
        <v>2.65</v>
      </c>
      <c r="T428" s="26" t="n">
        <v>0.22</v>
      </c>
      <c r="U428" s="11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26" t="n">
        <v>79.25</v>
      </c>
      <c r="W428" s="26" t="n">
        <v>48.6</v>
      </c>
      <c r="X428" s="26">
        <f>ROUND(('Methodology &amp; Assumptions'!$B$5*V428) + ('Methodology &amp; Assumptions'!$B$6*W428), 2)</f>
        <v/>
      </c>
      <c r="Y428" s="28" t="n">
        <v>8.300000000000001</v>
      </c>
      <c r="Z428" s="11" t="inlineStr">
        <is>
          <t>Priority Tier 2 (Balanced Opportunity)</t>
        </is>
      </c>
    </row>
    <row r="429">
      <c r="A429" s="23" t="n">
        <v>2</v>
      </c>
      <c r="B429" s="23" t="n">
        <v>425</v>
      </c>
      <c r="C429" s="23" t="n">
        <v>1425</v>
      </c>
      <c r="D429" s="23" t="inlineStr">
        <is>
          <t>0301408011</t>
        </is>
      </c>
      <c r="E429" s="11" t="inlineStr">
        <is>
          <t>Region III (Central Luzon)</t>
        </is>
      </c>
      <c r="F429" s="11" t="inlineStr">
        <is>
          <t>Bulacan</t>
        </is>
      </c>
      <c r="G429" s="11" t="inlineStr">
        <is>
          <t>Guiguinto</t>
        </is>
      </c>
      <c r="H429" s="11" t="inlineStr">
        <is>
          <t>Tabang</t>
        </is>
      </c>
      <c r="I429" s="24" t="n">
        <v>14.824856</v>
      </c>
      <c r="J429" s="24" t="n">
        <v>120.866387</v>
      </c>
      <c r="K429" s="23" t="inlineStr">
        <is>
          <t>U</t>
        </is>
      </c>
      <c r="L429" s="25" t="n">
        <v>11984</v>
      </c>
      <c r="M429" s="26" t="n">
        <v>3.5</v>
      </c>
      <c r="N429" s="25">
        <f>ROUND(L429/M429, 0)</f>
        <v/>
      </c>
      <c r="O429" s="25">
        <f>ROUND(N429*'Methodology &amp; Assumptions'!$B$7, 0)</f>
        <v/>
      </c>
      <c r="P429" s="23" t="inlineStr">
        <is>
          <t>Single Carrier (Band n50, 100MHz TDD)</t>
        </is>
      </c>
      <c r="Q429" s="27">
        <f>ROUNDUP(O429/'Methodology &amp; Assumptions'!$B$8, 0)</f>
        <v/>
      </c>
      <c r="R429" s="27" t="n">
        <v>1</v>
      </c>
      <c r="S429" s="26" t="n">
        <v>0.83</v>
      </c>
      <c r="T429" s="26" t="n">
        <v>0.8100000000000001</v>
      </c>
      <c r="U429" s="11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26" t="n">
        <v>78.43000000000001</v>
      </c>
      <c r="W429" s="26" t="n">
        <v>49.43</v>
      </c>
      <c r="X429" s="26">
        <f>ROUND(('Methodology &amp; Assumptions'!$B$5*V429) + ('Methodology &amp; Assumptions'!$B$6*W429), 2)</f>
        <v/>
      </c>
      <c r="Y429" s="28" t="n">
        <v>8.300000000000001</v>
      </c>
      <c r="Z429" s="11" t="inlineStr">
        <is>
          <t>Priority Tier 2 (Balanced Opportunity)</t>
        </is>
      </c>
    </row>
    <row r="430">
      <c r="A430" s="23" t="n">
        <v>2</v>
      </c>
      <c r="B430" s="23" t="n">
        <v>426</v>
      </c>
      <c r="C430" s="23" t="n">
        <v>1426</v>
      </c>
      <c r="D430" s="23" t="inlineStr">
        <is>
          <t>1380606167</t>
        </is>
      </c>
      <c r="E430" s="11" t="inlineStr">
        <is>
          <t>National Capital Region (NCR)</t>
        </is>
      </c>
      <c r="F430" s="11" t="inlineStr">
        <is>
          <t>First District (Not a Province)</t>
        </is>
      </c>
      <c r="G430" s="11" t="inlineStr">
        <is>
          <t>City of Manila</t>
        </is>
      </c>
      <c r="H430" s="11" t="inlineStr">
        <is>
          <t>Barangay 561</t>
        </is>
      </c>
      <c r="I430" s="24" t="n">
        <v>14.609981</v>
      </c>
      <c r="J430" s="24" t="n">
        <v>121.006515</v>
      </c>
      <c r="K430" s="23" t="inlineStr">
        <is>
          <t>U</t>
        </is>
      </c>
      <c r="L430" s="25" t="n">
        <v>2387</v>
      </c>
      <c r="M430" s="26" t="n">
        <v>4.42</v>
      </c>
      <c r="N430" s="25">
        <f>ROUND(L430/M430, 0)</f>
        <v/>
      </c>
      <c r="O430" s="25">
        <f>ROUND(N430*'Methodology &amp; Assumptions'!$B$7, 0)</f>
        <v/>
      </c>
      <c r="P430" s="23" t="inlineStr">
        <is>
          <t>Single Carrier (Band n50, 100MHz TDD)</t>
        </is>
      </c>
      <c r="Q430" s="27">
        <f>ROUNDUP(O430/'Methodology &amp; Assumptions'!$B$8, 0)</f>
        <v/>
      </c>
      <c r="R430" s="27" t="n">
        <v>1</v>
      </c>
      <c r="S430" s="26" t="n">
        <v>0.31</v>
      </c>
      <c r="T430" s="26" t="n">
        <v>0.18</v>
      </c>
      <c r="U430" s="11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26" t="n">
        <v>58.44</v>
      </c>
      <c r="W430" s="26" t="n">
        <v>69.41</v>
      </c>
      <c r="X430" s="26">
        <f>ROUND(('Methodology &amp; Assumptions'!$B$5*V430) + ('Methodology &amp; Assumptions'!$B$6*W430), 2)</f>
        <v/>
      </c>
      <c r="Y430" s="28" t="n">
        <v>10.9</v>
      </c>
      <c r="Z430" s="11" t="inlineStr">
        <is>
          <t>Priority Tier 2 (Balanced Opportunity)</t>
        </is>
      </c>
    </row>
    <row r="431">
      <c r="A431" s="23" t="n">
        <v>2</v>
      </c>
      <c r="B431" s="23" t="n">
        <v>427</v>
      </c>
      <c r="C431" s="23" t="n">
        <v>1427</v>
      </c>
      <c r="D431" s="23" t="inlineStr">
        <is>
          <t>1380601180</t>
        </is>
      </c>
      <c r="E431" s="11" t="inlineStr">
        <is>
          <t>National Capital Region (NCR)</t>
        </is>
      </c>
      <c r="F431" s="11" t="inlineStr">
        <is>
          <t>First District (Not a Province)</t>
        </is>
      </c>
      <c r="G431" s="11" t="inlineStr">
        <is>
          <t>City of Manila</t>
        </is>
      </c>
      <c r="H431" s="11" t="inlineStr">
        <is>
          <t>Barangay 180</t>
        </is>
      </c>
      <c r="I431" s="24" t="n">
        <v>14.63032</v>
      </c>
      <c r="J431" s="24" t="n">
        <v>120.971922</v>
      </c>
      <c r="K431" s="23" t="inlineStr">
        <is>
          <t>U</t>
        </is>
      </c>
      <c r="L431" s="25" t="n">
        <v>2160</v>
      </c>
      <c r="M431" s="26" t="n">
        <v>4.21</v>
      </c>
      <c r="N431" s="25">
        <f>ROUND(L431/M431, 0)</f>
        <v/>
      </c>
      <c r="O431" s="25">
        <f>ROUND(N431*'Methodology &amp; Assumptions'!$B$7, 0)</f>
        <v/>
      </c>
      <c r="P431" s="23" t="inlineStr">
        <is>
          <t>Single Carrier (Band n50, 100MHz TDD)</t>
        </is>
      </c>
      <c r="Q431" s="27">
        <f>ROUNDUP(O431/'Methodology &amp; Assumptions'!$B$8, 0)</f>
        <v/>
      </c>
      <c r="R431" s="27" t="n">
        <v>1</v>
      </c>
      <c r="S431" s="26" t="n">
        <v>0.41</v>
      </c>
      <c r="T431" s="26" t="n">
        <v>0.42</v>
      </c>
      <c r="U431" s="11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26" t="n">
        <v>57.59</v>
      </c>
      <c r="W431" s="26" t="n">
        <v>70.26000000000001</v>
      </c>
      <c r="X431" s="26">
        <f>ROUND(('Methodology &amp; Assumptions'!$B$5*V431) + ('Methodology &amp; Assumptions'!$B$6*W431), 2)</f>
        <v/>
      </c>
      <c r="Y431" s="28" t="n">
        <v>10.9</v>
      </c>
      <c r="Z431" s="11" t="inlineStr">
        <is>
          <t>Priority Tier 2 (Balanced Opportunity)</t>
        </is>
      </c>
    </row>
    <row r="432">
      <c r="A432" s="23" t="n">
        <v>2</v>
      </c>
      <c r="B432" s="23" t="n">
        <v>428</v>
      </c>
      <c r="C432" s="23" t="n">
        <v>1428</v>
      </c>
      <c r="D432" s="23" t="inlineStr">
        <is>
          <t>1380608012</t>
        </is>
      </c>
      <c r="E432" s="11" t="inlineStr">
        <is>
          <t>National Capital Region (NCR)</t>
        </is>
      </c>
      <c r="F432" s="11" t="inlineStr">
        <is>
          <t>First District (Not a Province)</t>
        </is>
      </c>
      <c r="G432" s="11" t="inlineStr">
        <is>
          <t>City of Manila</t>
        </is>
      </c>
      <c r="H432" s="11" t="inlineStr">
        <is>
          <t>Barangay 670</t>
        </is>
      </c>
      <c r="I432" s="24" t="n">
        <v>14.57974</v>
      </c>
      <c r="J432" s="24" t="n">
        <v>120.9817</v>
      </c>
      <c r="K432" s="23" t="inlineStr">
        <is>
          <t>U</t>
        </is>
      </c>
      <c r="L432" s="25" t="n">
        <v>2904</v>
      </c>
      <c r="M432" s="26" t="n">
        <v>3.13</v>
      </c>
      <c r="N432" s="25">
        <f>ROUND(L432/M432, 0)</f>
        <v/>
      </c>
      <c r="O432" s="25">
        <f>ROUND(N432*'Methodology &amp; Assumptions'!$B$7, 0)</f>
        <v/>
      </c>
      <c r="P432" s="23" t="inlineStr">
        <is>
          <t>Single Carrier (Band n50, 100MHz TDD)</t>
        </is>
      </c>
      <c r="Q432" s="27">
        <f>ROUNDUP(O432/'Methodology &amp; Assumptions'!$B$8, 0)</f>
        <v/>
      </c>
      <c r="R432" s="27" t="n">
        <v>1</v>
      </c>
      <c r="S432" s="26" t="n">
        <v>1.24</v>
      </c>
      <c r="T432" s="26" t="n">
        <v>0.59</v>
      </c>
      <c r="U432" s="11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26" t="n">
        <v>67.58</v>
      </c>
      <c r="W432" s="26" t="n">
        <v>60.24</v>
      </c>
      <c r="X432" s="26">
        <f>ROUND(('Methodology &amp; Assumptions'!$B$5*V432) + ('Methodology &amp; Assumptions'!$B$6*W432), 2)</f>
        <v/>
      </c>
      <c r="Y432" s="28" t="n">
        <v>10.9</v>
      </c>
      <c r="Z432" s="11" t="inlineStr">
        <is>
          <t>Priority Tier 2 (Balanced Opportunity)</t>
        </is>
      </c>
    </row>
    <row r="433">
      <c r="A433" s="23" t="n">
        <v>2</v>
      </c>
      <c r="B433" s="23" t="n">
        <v>429</v>
      </c>
      <c r="C433" s="23" t="n">
        <v>1429</v>
      </c>
      <c r="D433" s="23" t="inlineStr">
        <is>
          <t>1381200007</t>
        </is>
      </c>
      <c r="E433" s="11" t="inlineStr">
        <is>
          <t>National Capital Region (NCR)</t>
        </is>
      </c>
      <c r="F433" s="11" t="inlineStr">
        <is>
          <t>Second District (Not a Province)</t>
        </is>
      </c>
      <c r="G433" s="11" t="inlineStr">
        <is>
          <t>City of Pasig</t>
        </is>
      </c>
      <c r="H433" s="11" t="inlineStr">
        <is>
          <t>Kalawaan</t>
        </is>
      </c>
      <c r="I433" s="24" t="n">
        <v>14.551192</v>
      </c>
      <c r="J433" s="24" t="n">
        <v>121.086757</v>
      </c>
      <c r="K433" s="23" t="inlineStr">
        <is>
          <t>U</t>
        </is>
      </c>
      <c r="L433" s="25" t="n">
        <v>33677</v>
      </c>
      <c r="M433" s="26" t="n">
        <v>3.59</v>
      </c>
      <c r="N433" s="25">
        <f>ROUND(L433/M433, 0)</f>
        <v/>
      </c>
      <c r="O433" s="25">
        <f>ROUND(N433*'Methodology &amp; Assumptions'!$B$7, 0)</f>
        <v/>
      </c>
      <c r="P433" s="23" t="inlineStr">
        <is>
          <t>Single Carrier (Band n50, 100MHz TDD)</t>
        </is>
      </c>
      <c r="Q433" s="27">
        <f>ROUNDUP(O433/'Methodology &amp; Assumptions'!$B$8, 0)</f>
        <v/>
      </c>
      <c r="R433" s="27" t="n">
        <v>1</v>
      </c>
      <c r="S433" s="26" t="n">
        <v>1.05</v>
      </c>
      <c r="T433" s="26" t="n">
        <v>0.25</v>
      </c>
      <c r="U433" s="11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26" t="n">
        <v>66.36</v>
      </c>
      <c r="W433" s="26" t="n">
        <v>61.47</v>
      </c>
      <c r="X433" s="26">
        <f>ROUND(('Methodology &amp; Assumptions'!$B$5*V433) + ('Methodology &amp; Assumptions'!$B$6*W433), 2)</f>
        <v/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2</v>
      </c>
      <c r="B434" s="23" t="n">
        <v>430</v>
      </c>
      <c r="C434" s="23" t="n">
        <v>1430</v>
      </c>
      <c r="D434" s="23" t="inlineStr">
        <is>
          <t>0205706016</t>
        </is>
      </c>
      <c r="E434" s="11" t="inlineStr">
        <is>
          <t>Region II (Cagayan Valley)</t>
        </is>
      </c>
      <c r="F434" s="11" t="inlineStr">
        <is>
          <t>Quirino</t>
        </is>
      </c>
      <c r="G434" s="11" t="inlineStr">
        <is>
          <t>Nagtipunan</t>
        </is>
      </c>
      <c r="H434" s="11" t="inlineStr">
        <is>
          <t>Asaklat</t>
        </is>
      </c>
      <c r="I434" s="24" t="n">
        <v>16.268656</v>
      </c>
      <c r="J434" s="24" t="n">
        <v>121.576957</v>
      </c>
      <c r="K434" s="23" t="inlineStr">
        <is>
          <t>R</t>
        </is>
      </c>
      <c r="L434" s="25" t="n">
        <v>1262</v>
      </c>
      <c r="M434" s="26" t="n">
        <v>3.9</v>
      </c>
      <c r="N434" s="25">
        <f>ROUND(L434/M434, 0)</f>
        <v/>
      </c>
      <c r="O434" s="25">
        <f>ROUND(N434*'Methodology &amp; Assumptions'!$B$7, 0)</f>
        <v/>
      </c>
      <c r="P434" s="23" t="inlineStr">
        <is>
          <t>Single Carrier (Band n50, 100MHz TDD)</t>
        </is>
      </c>
      <c r="Q434" s="27">
        <f>ROUNDUP(O434/'Methodology &amp; Assumptions'!$B$8, 0)</f>
        <v/>
      </c>
      <c r="R434" s="27" t="n">
        <v>1</v>
      </c>
      <c r="S434" s="26" t="n">
        <v>6.43</v>
      </c>
      <c r="T434" s="26" t="n">
        <v>7.64</v>
      </c>
      <c r="U434" s="11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26" t="n">
        <v>52.41</v>
      </c>
      <c r="W434" s="26" t="n">
        <v>75.40000000000001</v>
      </c>
      <c r="X434" s="26">
        <f>ROUND(('Methodology &amp; Assumptions'!$B$5*V434) + ('Methodology &amp; Assumptions'!$B$6*W434), 2)</f>
        <v/>
      </c>
      <c r="Y434" s="28" t="n">
        <v>8.300000000000001</v>
      </c>
      <c r="Z434" s="11" t="inlineStr">
        <is>
          <t>Priority Tier 2 (Balanced Opportunity)</t>
        </is>
      </c>
    </row>
    <row r="435">
      <c r="A435" s="23" t="n">
        <v>2</v>
      </c>
      <c r="B435" s="23" t="n">
        <v>431</v>
      </c>
      <c r="C435" s="23" t="n">
        <v>1431</v>
      </c>
      <c r="D435" s="23" t="inlineStr">
        <is>
          <t>0401012041</t>
        </is>
      </c>
      <c r="E435" s="11" t="inlineStr">
        <is>
          <t>Region IV-A (CALABARZON)</t>
        </is>
      </c>
      <c r="F435" s="11" t="inlineStr">
        <is>
          <t>Batangas</t>
        </is>
      </c>
      <c r="G435" s="11" t="inlineStr">
        <is>
          <t>Lemery</t>
        </is>
      </c>
      <c r="H435" s="11" t="inlineStr">
        <is>
          <t>Sangalang</t>
        </is>
      </c>
      <c r="I435" s="24" t="n">
        <v>13.883572</v>
      </c>
      <c r="J435" s="24" t="n">
        <v>120.911772</v>
      </c>
      <c r="K435" s="23" t="inlineStr">
        <is>
          <t>R</t>
        </is>
      </c>
      <c r="L435" s="25" t="n">
        <v>2175</v>
      </c>
      <c r="M435" s="26" t="n">
        <v>3.6</v>
      </c>
      <c r="N435" s="25">
        <f>ROUND(L435/M435, 0)</f>
        <v/>
      </c>
      <c r="O435" s="25">
        <f>ROUND(N435*'Methodology &amp; Assumptions'!$B$7, 0)</f>
        <v/>
      </c>
      <c r="P435" s="23" t="inlineStr">
        <is>
          <t>Single Carrier (Band n50, 100MHz TDD)</t>
        </is>
      </c>
      <c r="Q435" s="27">
        <f>ROUNDUP(O435/'Methodology &amp; Assumptions'!$B$8, 0)</f>
        <v/>
      </c>
      <c r="R435" s="27" t="n">
        <v>1</v>
      </c>
      <c r="S435" s="26" t="n">
        <v>1.03</v>
      </c>
      <c r="T435" s="26" t="n">
        <v>1.44</v>
      </c>
      <c r="U435" s="11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26" t="n">
        <v>77.8</v>
      </c>
      <c r="W435" s="26" t="n">
        <v>49.99</v>
      </c>
      <c r="X435" s="26">
        <f>ROUND(('Methodology &amp; Assumptions'!$B$5*V435) + ('Methodology &amp; Assumptions'!$B$6*W435), 2)</f>
        <v/>
      </c>
      <c r="Y435" s="28" t="n">
        <v>7.2</v>
      </c>
      <c r="Z435" s="11" t="inlineStr">
        <is>
          <t>Priority Tier 2 (Balanced Opportunity)</t>
        </is>
      </c>
    </row>
    <row r="436">
      <c r="A436" s="23" t="n">
        <v>2</v>
      </c>
      <c r="B436" s="23" t="n">
        <v>432</v>
      </c>
      <c r="C436" s="23" t="n">
        <v>1432</v>
      </c>
      <c r="D436" s="23" t="inlineStr">
        <is>
          <t>0301420054</t>
        </is>
      </c>
      <c r="E436" s="11" t="inlineStr">
        <is>
          <t>Region III (Central Luzon)</t>
        </is>
      </c>
      <c r="F436" s="11" t="inlineStr">
        <is>
          <t>Bulacan</t>
        </is>
      </c>
      <c r="G436" s="11" t="inlineStr">
        <is>
          <t>City of San Jose Del Monte</t>
        </is>
      </c>
      <c r="H436" s="11" t="inlineStr">
        <is>
          <t>Santa Cruz II</t>
        </is>
      </c>
      <c r="I436" s="24" t="n">
        <v>14.854456</v>
      </c>
      <c r="J436" s="24" t="n">
        <v>121.051751</v>
      </c>
      <c r="K436" s="23" t="inlineStr">
        <is>
          <t>R</t>
        </is>
      </c>
      <c r="L436" s="25" t="n">
        <v>3559</v>
      </c>
      <c r="M436" s="26" t="n">
        <v>3.5</v>
      </c>
      <c r="N436" s="25">
        <f>ROUND(L436/M436, 0)</f>
        <v/>
      </c>
      <c r="O436" s="25">
        <f>ROUND(N436*'Methodology &amp; Assumptions'!$B$7, 0)</f>
        <v/>
      </c>
      <c r="P436" s="23" t="inlineStr">
        <is>
          <t>Single Carrier (Band n50, 100MHz TDD)</t>
        </is>
      </c>
      <c r="Q436" s="27">
        <f>ROUNDUP(O436/'Methodology &amp; Assumptions'!$B$8, 0)</f>
        <v/>
      </c>
      <c r="R436" s="27" t="n">
        <v>1</v>
      </c>
      <c r="S436" s="26" t="n">
        <v>2.1</v>
      </c>
      <c r="T436" s="26" t="n">
        <v>2.85</v>
      </c>
      <c r="U436" s="11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26" t="n">
        <v>77.55</v>
      </c>
      <c r="W436" s="26" t="n">
        <v>50.25</v>
      </c>
      <c r="X436" s="26">
        <f>ROUND(('Methodology &amp; Assumptions'!$B$5*V436) + ('Methodology &amp; Assumptions'!$B$6*W436), 2)</f>
        <v/>
      </c>
      <c r="Y436" s="28" t="n">
        <v>8.300000000000001</v>
      </c>
      <c r="Z436" s="11" t="inlineStr">
        <is>
          <t>Priority Tier 2 (Balanced Opportunity)</t>
        </is>
      </c>
    </row>
    <row r="437">
      <c r="A437" s="23" t="n">
        <v>2</v>
      </c>
      <c r="B437" s="23" t="n">
        <v>433</v>
      </c>
      <c r="C437" s="23" t="n">
        <v>1433</v>
      </c>
      <c r="D437" s="23" t="inlineStr">
        <is>
          <t>1381300078</t>
        </is>
      </c>
      <c r="E437" s="11" t="inlineStr">
        <is>
          <t>National Capital Region (NCR)</t>
        </is>
      </c>
      <c r="F437" s="11" t="inlineStr">
        <is>
          <t>Second District (Not a Province)</t>
        </is>
      </c>
      <c r="G437" s="11" t="inlineStr">
        <is>
          <t>Quezon City</t>
        </is>
      </c>
      <c r="H437" s="11" t="inlineStr">
        <is>
          <t>Paraiso</t>
        </is>
      </c>
      <c r="I437" s="24" t="n">
        <v>14.63536</v>
      </c>
      <c r="J437" s="24" t="n">
        <v>121.0182</v>
      </c>
      <c r="K437" s="23" t="inlineStr">
        <is>
          <t>U</t>
        </is>
      </c>
      <c r="L437" s="25" t="n">
        <v>3584</v>
      </c>
      <c r="M437" s="26" t="n">
        <v>4.22</v>
      </c>
      <c r="N437" s="25">
        <f>ROUND(L437/M437, 0)</f>
        <v/>
      </c>
      <c r="O437" s="25">
        <f>ROUND(N437*'Methodology &amp; Assumptions'!$B$7, 0)</f>
        <v/>
      </c>
      <c r="P437" s="23" t="inlineStr">
        <is>
          <t>Single Carrier (Band n50, 100MHz TDD)</t>
        </is>
      </c>
      <c r="Q437" s="27">
        <f>ROUNDUP(O437/'Methodology &amp; Assumptions'!$B$8, 0)</f>
        <v/>
      </c>
      <c r="R437" s="27" t="n">
        <v>1</v>
      </c>
      <c r="S437" s="26" t="n">
        <v>1.22</v>
      </c>
      <c r="T437" s="26" t="n">
        <v>0.58</v>
      </c>
      <c r="U437" s="11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26" t="n">
        <v>66.97</v>
      </c>
      <c r="W437" s="26" t="n">
        <v>60.83</v>
      </c>
      <c r="X437" s="26">
        <f>ROUND(('Methodology &amp; Assumptions'!$B$5*V437) + ('Methodology &amp; Assumptions'!$B$6*W437), 2)</f>
        <v/>
      </c>
      <c r="Y437" s="28" t="n">
        <v>10.9</v>
      </c>
      <c r="Z437" s="11" t="inlineStr">
        <is>
          <t>Priority Tier 2 (Balanced Opportunity)</t>
        </is>
      </c>
    </row>
    <row r="438">
      <c r="A438" s="23" t="n">
        <v>2</v>
      </c>
      <c r="B438" s="23" t="n">
        <v>434</v>
      </c>
      <c r="C438" s="23" t="n">
        <v>1434</v>
      </c>
      <c r="D438" s="23" t="inlineStr">
        <is>
          <t>1380612025</t>
        </is>
      </c>
      <c r="E438" s="11" t="inlineStr">
        <is>
          <t>National Capital Region (NCR)</t>
        </is>
      </c>
      <c r="F438" s="11" t="inlineStr">
        <is>
          <t>First District (Not a Province)</t>
        </is>
      </c>
      <c r="G438" s="11" t="inlineStr">
        <is>
          <t>City of Manila</t>
        </is>
      </c>
      <c r="H438" s="11" t="inlineStr">
        <is>
          <t>Barangay 857</t>
        </is>
      </c>
      <c r="I438" s="24" t="n">
        <v>14.586181</v>
      </c>
      <c r="J438" s="24" t="n">
        <v>121.003584</v>
      </c>
      <c r="K438" s="23" t="inlineStr">
        <is>
          <t>U</t>
        </is>
      </c>
      <c r="L438" s="25" t="n">
        <v>1907</v>
      </c>
      <c r="M438" s="26" t="n">
        <v>3.97</v>
      </c>
      <c r="N438" s="25">
        <f>ROUND(L438/M438, 0)</f>
        <v/>
      </c>
      <c r="O438" s="25">
        <f>ROUND(N438*'Methodology &amp; Assumptions'!$B$7, 0)</f>
        <v/>
      </c>
      <c r="P438" s="23" t="inlineStr">
        <is>
          <t>Single Carrier (Band n50, 100MHz TDD)</t>
        </is>
      </c>
      <c r="Q438" s="27">
        <f>ROUNDUP(O438/'Methodology &amp; Assumptions'!$B$8, 0)</f>
        <v/>
      </c>
      <c r="R438" s="27" t="n">
        <v>1</v>
      </c>
      <c r="S438" s="26" t="n">
        <v>0.22</v>
      </c>
      <c r="T438" s="26" t="n">
        <v>0.19</v>
      </c>
      <c r="U438" s="11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26" t="n">
        <v>56.52</v>
      </c>
      <c r="W438" s="26" t="n">
        <v>71.28</v>
      </c>
      <c r="X438" s="26">
        <f>ROUND(('Methodology &amp; Assumptions'!$B$5*V438) + ('Methodology &amp; Assumptions'!$B$6*W438), 2)</f>
        <v/>
      </c>
      <c r="Y438" s="28" t="n">
        <v>10.9</v>
      </c>
      <c r="Z438" s="11" t="inlineStr">
        <is>
          <t>Priority Tier 2 (Balanced Opportunity)</t>
        </is>
      </c>
    </row>
    <row r="439">
      <c r="A439" s="23" t="n">
        <v>2</v>
      </c>
      <c r="B439" s="23" t="n">
        <v>435</v>
      </c>
      <c r="C439" s="23" t="n">
        <v>1435</v>
      </c>
      <c r="D439" s="23" t="inlineStr">
        <is>
          <t>1108210013</t>
        </is>
      </c>
      <c r="E439" s="11" t="inlineStr">
        <is>
          <t>Region XI (Davao Region)</t>
        </is>
      </c>
      <c r="F439" s="11" t="inlineStr">
        <is>
          <t>Davao de Oro</t>
        </is>
      </c>
      <c r="G439" s="11" t="inlineStr">
        <is>
          <t>New Bataan</t>
        </is>
      </c>
      <c r="H439" s="11" t="inlineStr">
        <is>
          <t>Andap</t>
        </is>
      </c>
      <c r="I439" s="24" t="n">
        <v>7.534451</v>
      </c>
      <c r="J439" s="24" t="n">
        <v>126.230537</v>
      </c>
      <c r="K439" s="23" t="inlineStr">
        <is>
          <t>U</t>
        </is>
      </c>
      <c r="L439" s="25" t="n">
        <v>6839</v>
      </c>
      <c r="M439" s="26" t="n">
        <v>3.7</v>
      </c>
      <c r="N439" s="25">
        <f>ROUND(L439/M439, 0)</f>
        <v/>
      </c>
      <c r="O439" s="25">
        <f>ROUND(N439*'Methodology &amp; Assumptions'!$B$7, 0)</f>
        <v/>
      </c>
      <c r="P439" s="23" t="inlineStr">
        <is>
          <t>Single Carrier (Band n50, 100MHz TDD)</t>
        </is>
      </c>
      <c r="Q439" s="27">
        <f>ROUNDUP(O439/'Methodology &amp; Assumptions'!$B$8, 0)</f>
        <v/>
      </c>
      <c r="R439" s="27" t="n">
        <v>1</v>
      </c>
      <c r="S439" s="26" t="n">
        <v>37.82</v>
      </c>
      <c r="T439" s="26" t="n">
        <v>29.84</v>
      </c>
      <c r="U439" s="11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26" t="n">
        <v>54.62</v>
      </c>
      <c r="W439" s="26" t="n">
        <v>73.18000000000001</v>
      </c>
      <c r="X439" s="26">
        <f>ROUND(('Methodology &amp; Assumptions'!$B$5*V439) + ('Methodology &amp; Assumptions'!$B$6*W439), 2)</f>
        <v/>
      </c>
      <c r="Y439" s="28" t="n">
        <v>17.4</v>
      </c>
      <c r="Z439" s="11" t="inlineStr">
        <is>
          <t>Priority Tier 2 (Balanced Opportunity)</t>
        </is>
      </c>
    </row>
    <row r="440">
      <c r="A440" s="23" t="n">
        <v>2</v>
      </c>
      <c r="B440" s="23" t="n">
        <v>436</v>
      </c>
      <c r="C440" s="23" t="n">
        <v>1436</v>
      </c>
      <c r="D440" s="23" t="inlineStr">
        <is>
          <t>1108601003</t>
        </is>
      </c>
      <c r="E440" s="11" t="inlineStr">
        <is>
          <t>Region XI (Davao Region)</t>
        </is>
      </c>
      <c r="F440" s="11" t="inlineStr">
        <is>
          <t>Davao Occidental</t>
        </is>
      </c>
      <c r="G440" s="11" t="inlineStr">
        <is>
          <t>Don Marcelino</t>
        </is>
      </c>
      <c r="H440" s="11" t="inlineStr">
        <is>
          <t>North Lamidan</t>
        </is>
      </c>
      <c r="I440" s="24" t="n">
        <v>6.102028</v>
      </c>
      <c r="J440" s="24" t="n">
        <v>125.680609</v>
      </c>
      <c r="K440" s="23" t="inlineStr">
        <is>
          <t>R</t>
        </is>
      </c>
      <c r="L440" s="25" t="n">
        <v>2195</v>
      </c>
      <c r="M440" s="26" t="n">
        <v>3.6</v>
      </c>
      <c r="N440" s="25">
        <f>ROUND(L440/M440, 0)</f>
        <v/>
      </c>
      <c r="O440" s="25">
        <f>ROUND(N440*'Methodology &amp; Assumptions'!$B$7, 0)</f>
        <v/>
      </c>
      <c r="P440" s="23" t="inlineStr">
        <is>
          <t>Single Carrier (Band n50, 100MHz TDD)</t>
        </is>
      </c>
      <c r="Q440" s="27">
        <f>ROUNDUP(O440/'Methodology &amp; Assumptions'!$B$8, 0)</f>
        <v/>
      </c>
      <c r="R440" s="27" t="n">
        <v>1</v>
      </c>
      <c r="S440" s="26" t="n">
        <v>44.52</v>
      </c>
      <c r="T440" s="26" t="n">
        <v>49.45</v>
      </c>
      <c r="U440" s="11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26" t="n">
        <v>54.28</v>
      </c>
      <c r="W440" s="26" t="n">
        <v>73.51000000000001</v>
      </c>
      <c r="X440" s="26">
        <f>ROUND(('Methodology &amp; Assumptions'!$B$5*V440) + ('Methodology &amp; Assumptions'!$B$6*W440), 2)</f>
        <v/>
      </c>
      <c r="Y440" s="28" t="n">
        <v>17.4</v>
      </c>
      <c r="Z440" s="11" t="inlineStr">
        <is>
          <t>Priority Tier 2 (Balanced Opportunity)</t>
        </is>
      </c>
    </row>
    <row r="441">
      <c r="A441" s="23" t="n">
        <v>2</v>
      </c>
      <c r="B441" s="23" t="n">
        <v>437</v>
      </c>
      <c r="C441" s="23" t="n">
        <v>1437</v>
      </c>
      <c r="D441" s="23" t="inlineStr">
        <is>
          <t>0301420025</t>
        </is>
      </c>
      <c r="E441" s="11" t="inlineStr">
        <is>
          <t>Region III (Central Luzon)</t>
        </is>
      </c>
      <c r="F441" s="11" t="inlineStr">
        <is>
          <t>Bulacan</t>
        </is>
      </c>
      <c r="G441" s="11" t="inlineStr">
        <is>
          <t>City of San Jose Del Monte</t>
        </is>
      </c>
      <c r="H441" s="11" t="inlineStr">
        <is>
          <t>Fatima IV</t>
        </is>
      </c>
      <c r="I441" s="24" t="n">
        <v>14.843529</v>
      </c>
      <c r="J441" s="24" t="n">
        <v>121.046378</v>
      </c>
      <c r="K441" s="23" t="inlineStr">
        <is>
          <t>R</t>
        </is>
      </c>
      <c r="L441" s="25" t="n">
        <v>2217</v>
      </c>
      <c r="M441" s="26" t="n">
        <v>3.5</v>
      </c>
      <c r="N441" s="25">
        <f>ROUND(L441/M441, 0)</f>
        <v/>
      </c>
      <c r="O441" s="25">
        <f>ROUND(N441*'Methodology &amp; Assumptions'!$B$7, 0)</f>
        <v/>
      </c>
      <c r="P441" s="23" t="inlineStr">
        <is>
          <t>Single Carrier (Band n50, 100MHz TDD)</t>
        </is>
      </c>
      <c r="Q441" s="27">
        <f>ROUNDUP(O441/'Methodology &amp; Assumptions'!$B$8, 0)</f>
        <v/>
      </c>
      <c r="R441" s="27" t="n">
        <v>1</v>
      </c>
      <c r="S441" s="26" t="n">
        <v>1.02</v>
      </c>
      <c r="T441" s="26" t="n">
        <v>1.52</v>
      </c>
      <c r="U441" s="11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26" t="n">
        <v>78.91</v>
      </c>
      <c r="W441" s="26" t="n">
        <v>48.88</v>
      </c>
      <c r="X441" s="26">
        <f>ROUND(('Methodology &amp; Assumptions'!$B$5*V441) + ('Methodology &amp; Assumptions'!$B$6*W441), 2)</f>
        <v/>
      </c>
      <c r="Y441" s="28" t="n">
        <v>8.300000000000001</v>
      </c>
      <c r="Z441" s="11" t="inlineStr">
        <is>
          <t>Priority Tier 2 (Balanced Opportunity)</t>
        </is>
      </c>
    </row>
    <row r="442">
      <c r="A442" s="23" t="n">
        <v>2</v>
      </c>
      <c r="B442" s="23" t="n">
        <v>438</v>
      </c>
      <c r="C442" s="23" t="n">
        <v>1438</v>
      </c>
      <c r="D442" s="23" t="inlineStr">
        <is>
          <t>1380614036</t>
        </is>
      </c>
      <c r="E442" s="11" t="inlineStr">
        <is>
          <t>National Capital Region (NCR)</t>
        </is>
      </c>
      <c r="F442" s="11" t="inlineStr">
        <is>
          <t>First District (Not a Province)</t>
        </is>
      </c>
      <c r="G442" s="11" t="inlineStr">
        <is>
          <t>City of Manila</t>
        </is>
      </c>
      <c r="H442" s="11" t="inlineStr">
        <is>
          <t>Barangay 780</t>
        </is>
      </c>
      <c r="I442" s="24" t="n">
        <v>14.577313</v>
      </c>
      <c r="J442" s="24" t="n">
        <v>121.009305</v>
      </c>
      <c r="K442" s="23" t="inlineStr">
        <is>
          <t>U</t>
        </is>
      </c>
      <c r="L442" s="25" t="n">
        <v>2340</v>
      </c>
      <c r="M442" s="26" t="n">
        <v>4</v>
      </c>
      <c r="N442" s="25">
        <f>ROUND(L442/M442, 0)</f>
        <v/>
      </c>
      <c r="O442" s="25">
        <f>ROUND(N442*'Methodology &amp; Assumptions'!$B$7, 0)</f>
        <v/>
      </c>
      <c r="P442" s="23" t="inlineStr">
        <is>
          <t>Single Carrier (Band n50, 100MHz TDD)</t>
        </is>
      </c>
      <c r="Q442" s="27">
        <f>ROUNDUP(O442/'Methodology &amp; Assumptions'!$B$8, 0)</f>
        <v/>
      </c>
      <c r="R442" s="27" t="n">
        <v>1</v>
      </c>
      <c r="S442" s="26" t="n">
        <v>1.06</v>
      </c>
      <c r="T442" s="26" t="n">
        <v>0.35</v>
      </c>
      <c r="U442" s="11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26" t="n">
        <v>59.12</v>
      </c>
      <c r="W442" s="26" t="n">
        <v>68.66</v>
      </c>
      <c r="X442" s="26">
        <f>ROUND(('Methodology &amp; Assumptions'!$B$5*V442) + ('Methodology &amp; Assumptions'!$B$6*W442), 2)</f>
        <v/>
      </c>
      <c r="Y442" s="28" t="n">
        <v>10.9</v>
      </c>
      <c r="Z442" s="11" t="inlineStr">
        <is>
          <t>Priority Tier 2 (Balanced Opportunity)</t>
        </is>
      </c>
    </row>
    <row r="443">
      <c r="A443" s="23" t="n">
        <v>2</v>
      </c>
      <c r="B443" s="23" t="n">
        <v>439</v>
      </c>
      <c r="C443" s="23" t="n">
        <v>1439</v>
      </c>
      <c r="D443" s="23" t="inlineStr">
        <is>
          <t>1380605042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340</t>
        </is>
      </c>
      <c r="I443" s="24" t="n">
        <v>14.613539</v>
      </c>
      <c r="J443" s="24" t="n">
        <v>120.985332</v>
      </c>
      <c r="K443" s="23" t="inlineStr">
        <is>
          <t>U</t>
        </is>
      </c>
      <c r="L443" s="25" t="n">
        <v>1785</v>
      </c>
      <c r="M443" s="26" t="n">
        <v>3.53</v>
      </c>
      <c r="N443" s="25">
        <f>ROUND(L443/M443, 0)</f>
        <v/>
      </c>
      <c r="O443" s="25">
        <f>ROUND(N443*'Methodology &amp; Assumptions'!$B$7, 0)</f>
        <v/>
      </c>
      <c r="P443" s="23" t="inlineStr">
        <is>
          <t>Single Carrier (Band n50, 100MHz TDD)</t>
        </is>
      </c>
      <c r="Q443" s="27">
        <f>ROUNDUP(O443/'Methodology &amp; Assumptions'!$B$8, 0)</f>
        <v/>
      </c>
      <c r="R443" s="27" t="n">
        <v>1</v>
      </c>
      <c r="S443" s="26" t="n">
        <v>0.42</v>
      </c>
      <c r="T443" s="26" t="n">
        <v>0.2</v>
      </c>
      <c r="U443" s="11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26" t="n">
        <v>57.37</v>
      </c>
      <c r="W443" s="26" t="n">
        <v>70.41</v>
      </c>
      <c r="X443" s="26">
        <f>ROUND(('Methodology &amp; Assumptions'!$B$5*V443) + ('Methodology &amp; Assumptions'!$B$6*W443), 2)</f>
        <v/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2</v>
      </c>
      <c r="B444" s="23" t="n">
        <v>440</v>
      </c>
      <c r="C444" s="23" t="n">
        <v>1440</v>
      </c>
      <c r="D444" s="23" t="inlineStr">
        <is>
          <t>0403419012</t>
        </is>
      </c>
      <c r="E444" s="11" t="inlineStr">
        <is>
          <t>Region IV-A (CALABARZON)</t>
        </is>
      </c>
      <c r="F444" s="11" t="inlineStr">
        <is>
          <t>Laguna</t>
        </is>
      </c>
      <c r="G444" s="11" t="inlineStr">
        <is>
          <t>Pagsanjan</t>
        </is>
      </c>
      <c r="H444" s="11" t="inlineStr">
        <is>
          <t>Barangay I</t>
        </is>
      </c>
      <c r="I444" s="24" t="n">
        <v>14.277533</v>
      </c>
      <c r="J444" s="24" t="n">
        <v>121.454902</v>
      </c>
      <c r="K444" s="23" t="inlineStr">
        <is>
          <t>R</t>
        </is>
      </c>
      <c r="L444" s="25" t="n">
        <v>1628</v>
      </c>
      <c r="M444" s="26" t="n">
        <v>3.3</v>
      </c>
      <c r="N444" s="25">
        <f>ROUND(L444/M444, 0)</f>
        <v/>
      </c>
      <c r="O444" s="25">
        <f>ROUND(N444*'Methodology &amp; Assumptions'!$B$7, 0)</f>
        <v/>
      </c>
      <c r="P444" s="23" t="inlineStr">
        <is>
          <t>Single Carrier (Band n50, 100MHz TDD)</t>
        </is>
      </c>
      <c r="Q444" s="27">
        <f>ROUNDUP(O444/'Methodology &amp; Assumptions'!$B$8, 0)</f>
        <v/>
      </c>
      <c r="R444" s="27" t="n">
        <v>1</v>
      </c>
      <c r="S444" s="26" t="n">
        <v>0.67</v>
      </c>
      <c r="T444" s="26" t="n">
        <v>0.22</v>
      </c>
      <c r="U444" s="11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26" t="n">
        <v>74.95999999999999</v>
      </c>
      <c r="W444" s="26" t="n">
        <v>52.8</v>
      </c>
      <c r="X444" s="26">
        <f>ROUND(('Methodology &amp; Assumptions'!$B$5*V444) + ('Methodology &amp; Assumptions'!$B$6*W444), 2)</f>
        <v/>
      </c>
      <c r="Y444" s="28" t="n">
        <v>7.2</v>
      </c>
      <c r="Z444" s="11" t="inlineStr">
        <is>
          <t>Priority Tier 2 (Balanced Opportunity)</t>
        </is>
      </c>
    </row>
    <row r="445">
      <c r="A445" s="23" t="n">
        <v>2</v>
      </c>
      <c r="B445" s="23" t="n">
        <v>441</v>
      </c>
      <c r="C445" s="23" t="n">
        <v>1441</v>
      </c>
      <c r="D445" s="23" t="inlineStr">
        <is>
          <t>1381300031</t>
        </is>
      </c>
      <c r="E445" s="11" t="inlineStr">
        <is>
          <t>National Capital Region (NCR)</t>
        </is>
      </c>
      <c r="F445" s="11" t="inlineStr">
        <is>
          <t>Second District (Not a Province)</t>
        </is>
      </c>
      <c r="G445" s="11" t="inlineStr">
        <is>
          <t>Quezon City</t>
        </is>
      </c>
      <c r="H445" s="11" t="inlineStr">
        <is>
          <t>Doña Imelda</t>
        </is>
      </c>
      <c r="I445" s="24" t="n">
        <v>14.615276</v>
      </c>
      <c r="J445" s="24" t="n">
        <v>121.017902</v>
      </c>
      <c r="K445" s="23" t="inlineStr">
        <is>
          <t>U</t>
        </is>
      </c>
      <c r="L445" s="25" t="n">
        <v>17695</v>
      </c>
      <c r="M445" s="26" t="n">
        <v>4.03</v>
      </c>
      <c r="N445" s="25">
        <f>ROUND(L445/M445, 0)</f>
        <v/>
      </c>
      <c r="O445" s="25">
        <f>ROUND(N445*'Methodology &amp; Assumptions'!$B$7, 0)</f>
        <v/>
      </c>
      <c r="P445" s="23" t="inlineStr">
        <is>
          <t>Single Carrier (Band n50, 100MHz TDD)</t>
        </is>
      </c>
      <c r="Q445" s="27">
        <f>ROUNDUP(O445/'Methodology &amp; Assumptions'!$B$8, 0)</f>
        <v/>
      </c>
      <c r="R445" s="27" t="n">
        <v>1</v>
      </c>
      <c r="S445" s="26" t="n">
        <v>0.32</v>
      </c>
      <c r="T445" s="26" t="n">
        <v>0.27</v>
      </c>
      <c r="U445" s="11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26" t="n">
        <v>68.97</v>
      </c>
      <c r="W445" s="26" t="n">
        <v>58.79</v>
      </c>
      <c r="X445" s="26">
        <f>ROUND(('Methodology &amp; Assumptions'!$B$5*V445) + ('Methodology &amp; Assumptions'!$B$6*W445), 2)</f>
        <v/>
      </c>
      <c r="Y445" s="28" t="n">
        <v>10.9</v>
      </c>
      <c r="Z445" s="11" t="inlineStr">
        <is>
          <t>Priority Tier 2 (Balanced Opportunity)</t>
        </is>
      </c>
    </row>
    <row r="446">
      <c r="A446" s="23" t="n">
        <v>2</v>
      </c>
      <c r="B446" s="23" t="n">
        <v>442</v>
      </c>
      <c r="C446" s="23" t="n">
        <v>1442</v>
      </c>
      <c r="D446" s="23" t="inlineStr">
        <is>
          <t>1381100007</t>
        </is>
      </c>
      <c r="E446" s="11" t="inlineStr">
        <is>
          <t>National Capital Region (NCR)</t>
        </is>
      </c>
      <c r="F446" s="11" t="inlineStr">
        <is>
          <t>Fourth District (Not a Province)</t>
        </is>
      </c>
      <c r="G446" s="11" t="inlineStr">
        <is>
          <t>Pasay City</t>
        </is>
      </c>
      <c r="H446" s="11" t="inlineStr">
        <is>
          <t>Barangay 7</t>
        </is>
      </c>
      <c r="I446" s="24" t="n">
        <v>14.554682</v>
      </c>
      <c r="J446" s="24" t="n">
        <v>120.991427</v>
      </c>
      <c r="K446" s="23" t="inlineStr">
        <is>
          <t>U</t>
        </is>
      </c>
      <c r="L446" s="25" t="n">
        <v>1617</v>
      </c>
      <c r="M446" s="26" t="n">
        <v>3.11</v>
      </c>
      <c r="N446" s="25">
        <f>ROUND(L446/M446, 0)</f>
        <v/>
      </c>
      <c r="O446" s="25">
        <f>ROUND(N446*'Methodology &amp; Assumptions'!$B$7, 0)</f>
        <v/>
      </c>
      <c r="P446" s="23" t="inlineStr">
        <is>
          <t>Single Carrier (Band n50, 100MHz TDD)</t>
        </is>
      </c>
      <c r="Q446" s="27">
        <f>ROUNDUP(O446/'Methodology &amp; Assumptions'!$B$8, 0)</f>
        <v/>
      </c>
      <c r="R446" s="27" t="n">
        <v>1</v>
      </c>
      <c r="S446" s="26" t="n">
        <v>0.16</v>
      </c>
      <c r="T446" s="26" t="n">
        <v>0.16</v>
      </c>
      <c r="U446" s="11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26" t="n">
        <v>57.8</v>
      </c>
      <c r="W446" s="26" t="n">
        <v>69.95999999999999</v>
      </c>
      <c r="X446" s="26">
        <f>ROUND(('Methodology &amp; Assumptions'!$B$5*V446) + ('Methodology &amp; Assumptions'!$B$6*W446), 2)</f>
        <v/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2</v>
      </c>
      <c r="B447" s="23" t="n">
        <v>443</v>
      </c>
      <c r="C447" s="23" t="n">
        <v>1443</v>
      </c>
      <c r="D447" s="23" t="inlineStr">
        <is>
          <t>0405812009</t>
        </is>
      </c>
      <c r="E447" s="11" t="inlineStr">
        <is>
          <t>Region IV-A (CALABARZON)</t>
        </is>
      </c>
      <c r="F447" s="11" t="inlineStr">
        <is>
          <t>Rizal</t>
        </is>
      </c>
      <c r="G447" s="11" t="inlineStr">
        <is>
          <t>Tanay</t>
        </is>
      </c>
      <c r="H447" s="11" t="inlineStr">
        <is>
          <t>Pinagkamaligan</t>
        </is>
      </c>
      <c r="I447" s="24" t="n">
        <v>14.4953</v>
      </c>
      <c r="J447" s="24" t="n">
        <v>121.28615</v>
      </c>
      <c r="K447" s="23" t="inlineStr">
        <is>
          <t>R</t>
        </is>
      </c>
      <c r="L447" s="25" t="n">
        <v>3471</v>
      </c>
      <c r="M447" s="26" t="n">
        <v>3.6</v>
      </c>
      <c r="N447" s="25">
        <f>ROUND(L447/M447, 0)</f>
        <v/>
      </c>
      <c r="O447" s="25">
        <f>ROUND(N447*'Methodology &amp; Assumptions'!$B$7, 0)</f>
        <v/>
      </c>
      <c r="P447" s="23" t="inlineStr">
        <is>
          <t>Single Carrier (Band n50, 100MHz TDD)</t>
        </is>
      </c>
      <c r="Q447" s="27">
        <f>ROUNDUP(O447/'Methodology &amp; Assumptions'!$B$8, 0)</f>
        <v/>
      </c>
      <c r="R447" s="27" t="n">
        <v>1</v>
      </c>
      <c r="S447" s="26" t="n">
        <v>0.29</v>
      </c>
      <c r="T447" s="26" t="n">
        <v>0.23</v>
      </c>
      <c r="U447" s="11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26" t="n">
        <v>85.45999999999999</v>
      </c>
      <c r="W447" s="26" t="n">
        <v>42.28</v>
      </c>
      <c r="X447" s="26">
        <f>ROUND(('Methodology &amp; Assumptions'!$B$5*V447) + ('Methodology &amp; Assumptions'!$B$6*W447), 2)</f>
        <v/>
      </c>
      <c r="Y447" s="28" t="n">
        <v>7.2</v>
      </c>
      <c r="Z447" s="11" t="inlineStr">
        <is>
          <t>Priority Tier 2 (Balanced Opportunity)</t>
        </is>
      </c>
    </row>
    <row r="448">
      <c r="A448" s="23" t="n">
        <v>2</v>
      </c>
      <c r="B448" s="23" t="n">
        <v>444</v>
      </c>
      <c r="C448" s="23" t="n">
        <v>1444</v>
      </c>
      <c r="D448" s="23" t="inlineStr">
        <is>
          <t>0305408041</t>
        </is>
      </c>
      <c r="E448" s="11" t="inlineStr">
        <is>
          <t>Region III (Central Luzon)</t>
        </is>
      </c>
      <c r="F448" s="11" t="inlineStr">
        <is>
          <t>Pampanga</t>
        </is>
      </c>
      <c r="G448" s="11" t="inlineStr">
        <is>
          <t>Lubao</t>
        </is>
      </c>
      <c r="H448" s="11" t="inlineStr">
        <is>
          <t>Santa Teresa 2nd</t>
        </is>
      </c>
      <c r="I448" s="24" t="n">
        <v>14.886724</v>
      </c>
      <c r="J448" s="24" t="n">
        <v>120.563423</v>
      </c>
      <c r="K448" s="23" t="inlineStr">
        <is>
          <t>R</t>
        </is>
      </c>
      <c r="L448" s="25" t="n">
        <v>4515</v>
      </c>
      <c r="M448" s="26" t="n">
        <v>4</v>
      </c>
      <c r="N448" s="25">
        <f>ROUND(L448/M448, 0)</f>
        <v/>
      </c>
      <c r="O448" s="25">
        <f>ROUND(N448*'Methodology &amp; Assumptions'!$B$7, 0)</f>
        <v/>
      </c>
      <c r="P448" s="23" t="inlineStr">
        <is>
          <t>Single Carrier (Band n50, 100MHz TDD)</t>
        </is>
      </c>
      <c r="Q448" s="27">
        <f>ROUNDUP(O448/'Methodology &amp; Assumptions'!$B$8, 0)</f>
        <v/>
      </c>
      <c r="R448" s="27" t="n">
        <v>1</v>
      </c>
      <c r="S448" s="26" t="n">
        <v>2.88</v>
      </c>
      <c r="T448" s="26" t="n">
        <v>2.26</v>
      </c>
      <c r="U448" s="11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26" t="n">
        <v>75.06999999999999</v>
      </c>
      <c r="W448" s="26" t="n">
        <v>52.68</v>
      </c>
      <c r="X448" s="26">
        <f>ROUND(('Methodology &amp; Assumptions'!$B$5*V448) + ('Methodology &amp; Assumptions'!$B$6*W448), 2)</f>
        <v/>
      </c>
      <c r="Y448" s="28" t="n">
        <v>8.300000000000001</v>
      </c>
      <c r="Z448" s="11" t="inlineStr">
        <is>
          <t>Priority Tier 2 (Balanced Opportunity)</t>
        </is>
      </c>
    </row>
    <row r="449">
      <c r="A449" s="23" t="n">
        <v>2</v>
      </c>
      <c r="B449" s="23" t="n">
        <v>445</v>
      </c>
      <c r="C449" s="23" t="n">
        <v>1445</v>
      </c>
      <c r="D449" s="23" t="inlineStr">
        <is>
          <t>1380612017</t>
        </is>
      </c>
      <c r="E449" s="11" t="inlineStr">
        <is>
          <t>National Capital Region (NCR)</t>
        </is>
      </c>
      <c r="F449" s="11" t="inlineStr">
        <is>
          <t>First District (Not a Province)</t>
        </is>
      </c>
      <c r="G449" s="11" t="inlineStr">
        <is>
          <t>City of Manila</t>
        </is>
      </c>
      <c r="H449" s="11" t="inlineStr">
        <is>
          <t>Barangay 849</t>
        </is>
      </c>
      <c r="I449" s="24" t="n">
        <v>14.584532</v>
      </c>
      <c r="J449" s="24" t="n">
        <v>121.000221</v>
      </c>
      <c r="K449" s="23" t="inlineStr">
        <is>
          <t>U</t>
        </is>
      </c>
      <c r="L449" s="25" t="n">
        <v>1908</v>
      </c>
      <c r="M449" s="26" t="n">
        <v>3.89</v>
      </c>
      <c r="N449" s="25">
        <f>ROUND(L449/M449, 0)</f>
        <v/>
      </c>
      <c r="O449" s="25">
        <f>ROUND(N449*'Methodology &amp; Assumptions'!$B$7, 0)</f>
        <v/>
      </c>
      <c r="P449" s="23" t="inlineStr">
        <is>
          <t>Single Carrier (Band n50, 100MHz TDD)</t>
        </is>
      </c>
      <c r="Q449" s="27">
        <f>ROUNDUP(O449/'Methodology &amp; Assumptions'!$B$8, 0)</f>
        <v/>
      </c>
      <c r="R449" s="27" t="n">
        <v>1</v>
      </c>
      <c r="S449" s="26" t="n">
        <v>0.27</v>
      </c>
      <c r="T449" s="26" t="n">
        <v>0.24</v>
      </c>
      <c r="U449" s="11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26" t="n">
        <v>56.84</v>
      </c>
      <c r="W449" s="26" t="n">
        <v>70.90000000000001</v>
      </c>
      <c r="X449" s="26">
        <f>ROUND(('Methodology &amp; Assumptions'!$B$5*V449) + ('Methodology &amp; Assumptions'!$B$6*W449), 2)</f>
        <v/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2</v>
      </c>
      <c r="B450" s="23" t="n">
        <v>446</v>
      </c>
      <c r="C450" s="23" t="n">
        <v>1446</v>
      </c>
      <c r="D450" s="23" t="inlineStr">
        <is>
          <t>1380606025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419</t>
        </is>
      </c>
      <c r="I450" s="24" t="n">
        <v>14.603358</v>
      </c>
      <c r="J450" s="24" t="n">
        <v>120.998924</v>
      </c>
      <c r="K450" s="23" t="inlineStr">
        <is>
          <t>U</t>
        </is>
      </c>
      <c r="L450" s="25" t="n">
        <v>1567</v>
      </c>
      <c r="M450" s="26" t="n">
        <v>3.52</v>
      </c>
      <c r="N450" s="25">
        <f>ROUND(L450/M450, 0)</f>
        <v/>
      </c>
      <c r="O450" s="25">
        <f>ROUND(N450*'Methodology &amp; Assumptions'!$B$7, 0)</f>
        <v/>
      </c>
      <c r="P450" s="23" t="inlineStr">
        <is>
          <t>Single Carrier (Band n50, 100MHz TDD)</t>
        </is>
      </c>
      <c r="Q450" s="27">
        <f>ROUNDUP(O450/'Methodology &amp; Assumptions'!$B$8, 0)</f>
        <v/>
      </c>
      <c r="R450" s="27" t="n">
        <v>1</v>
      </c>
      <c r="S450" s="26" t="n">
        <v>0.62</v>
      </c>
      <c r="T450" s="26" t="n">
        <v>0.24</v>
      </c>
      <c r="U450" s="11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26" t="n">
        <v>55.45</v>
      </c>
      <c r="W450" s="26" t="n">
        <v>72.3</v>
      </c>
      <c r="X450" s="26">
        <f>ROUND(('Methodology &amp; Assumptions'!$B$5*V450) + ('Methodology &amp; Assumptions'!$B$6*W450), 2)</f>
        <v/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2</v>
      </c>
      <c r="B451" s="23" t="n">
        <v>447</v>
      </c>
      <c r="C451" s="23" t="n">
        <v>1447</v>
      </c>
      <c r="D451" s="23" t="inlineStr">
        <is>
          <t>1381100085</t>
        </is>
      </c>
      <c r="E451" s="11" t="inlineStr">
        <is>
          <t>National Capital Region (NCR)</t>
        </is>
      </c>
      <c r="F451" s="11" t="inlineStr">
        <is>
          <t>Fourth District (Not a Province)</t>
        </is>
      </c>
      <c r="G451" s="11" t="inlineStr">
        <is>
          <t>Pasay City</t>
        </is>
      </c>
      <c r="H451" s="11" t="inlineStr">
        <is>
          <t>Barangay 85</t>
        </is>
      </c>
      <c r="I451" s="24" t="n">
        <v>14.61769</v>
      </c>
      <c r="J451" s="24" t="n">
        <v>120.965079</v>
      </c>
      <c r="K451" s="23" t="inlineStr">
        <is>
          <t>U</t>
        </is>
      </c>
      <c r="L451" s="25" t="n">
        <v>1326</v>
      </c>
      <c r="M451" s="26" t="n">
        <v>3.2</v>
      </c>
      <c r="N451" s="25">
        <f>ROUND(L451/M451, 0)</f>
        <v/>
      </c>
      <c r="O451" s="25">
        <f>ROUND(N451*'Methodology &amp; Assumptions'!$B$7, 0)</f>
        <v/>
      </c>
      <c r="P451" s="23" t="inlineStr">
        <is>
          <t>Single Carrier (Band n50, 100MHz TDD)</t>
        </is>
      </c>
      <c r="Q451" s="27">
        <f>ROUNDUP(O451/'Methodology &amp; Assumptions'!$B$8, 0)</f>
        <v/>
      </c>
      <c r="R451" s="27" t="n">
        <v>1</v>
      </c>
      <c r="S451" s="26" t="n">
        <v>0.26</v>
      </c>
      <c r="T451" s="26" t="n">
        <v>0.14</v>
      </c>
      <c r="U451" s="11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26" t="n">
        <v>54.37</v>
      </c>
      <c r="W451" s="26" t="n">
        <v>73.37</v>
      </c>
      <c r="X451" s="26">
        <f>ROUND(('Methodology &amp; Assumptions'!$B$5*V451) + ('Methodology &amp; Assumptions'!$B$6*W451), 2)</f>
        <v/>
      </c>
      <c r="Y451" s="28" t="n">
        <v>10.9</v>
      </c>
      <c r="Z451" s="11" t="inlineStr">
        <is>
          <t>Priority Tier 2 (Balanced Opportunity)</t>
        </is>
      </c>
    </row>
    <row r="452">
      <c r="A452" s="23" t="n">
        <v>2</v>
      </c>
      <c r="B452" s="23" t="n">
        <v>448</v>
      </c>
      <c r="C452" s="23" t="n">
        <v>1448</v>
      </c>
      <c r="D452" s="23" t="inlineStr">
        <is>
          <t>1102503001</t>
        </is>
      </c>
      <c r="E452" s="11" t="inlineStr">
        <is>
          <t>Region XI (Davao Region)</t>
        </is>
      </c>
      <c r="F452" s="11" t="inlineStr">
        <is>
          <t>Davao Oriental</t>
        </is>
      </c>
      <c r="G452" s="11" t="inlineStr">
        <is>
          <t>Boston</t>
        </is>
      </c>
      <c r="H452" s="11" t="inlineStr">
        <is>
          <t>Cabasagan</t>
        </is>
      </c>
      <c r="I452" s="24" t="n">
        <v>7.835537</v>
      </c>
      <c r="J452" s="24" t="n">
        <v>126.344392</v>
      </c>
      <c r="K452" s="23" t="inlineStr">
        <is>
          <t>R</t>
        </is>
      </c>
      <c r="L452" s="25" t="n">
        <v>1983</v>
      </c>
      <c r="M452" s="26" t="n">
        <v>3.6</v>
      </c>
      <c r="N452" s="25">
        <f>ROUND(L452/M452, 0)</f>
        <v/>
      </c>
      <c r="O452" s="25">
        <f>ROUND(N452*'Methodology &amp; Assumptions'!$B$7, 0)</f>
        <v/>
      </c>
      <c r="P452" s="23" t="inlineStr">
        <is>
          <t>Single Carrier (Band n50, 100MHz TDD)</t>
        </is>
      </c>
      <c r="Q452" s="27">
        <f>ROUNDUP(O452/'Methodology &amp; Assumptions'!$B$8, 0)</f>
        <v/>
      </c>
      <c r="R452" s="27" t="n">
        <v>1</v>
      </c>
      <c r="S452" s="26" t="n">
        <v>31.76</v>
      </c>
      <c r="T452" s="26" t="n">
        <v>29.8</v>
      </c>
      <c r="U452" s="11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26" t="n">
        <v>52.41</v>
      </c>
      <c r="W452" s="26" t="n">
        <v>75.33</v>
      </c>
      <c r="X452" s="26">
        <f>ROUND(('Methodology &amp; Assumptions'!$B$5*V452) + ('Methodology &amp; Assumptions'!$B$6*W452), 2)</f>
        <v/>
      </c>
      <c r="Y452" s="28" t="n">
        <v>17.4</v>
      </c>
      <c r="Z452" s="11" t="inlineStr">
        <is>
          <t>Priority Tier 2 (Balanced Opportunity)</t>
        </is>
      </c>
    </row>
    <row r="453">
      <c r="A453" s="23" t="n">
        <v>2</v>
      </c>
      <c r="B453" s="23" t="n">
        <v>449</v>
      </c>
      <c r="C453" s="23" t="n">
        <v>1449</v>
      </c>
      <c r="D453" s="23" t="inlineStr">
        <is>
          <t>0301403030</t>
        </is>
      </c>
      <c r="E453" s="11" t="inlineStr">
        <is>
          <t>Region III (Central Luzon)</t>
        </is>
      </c>
      <c r="F453" s="11" t="inlineStr">
        <is>
          <t>Bulacan</t>
        </is>
      </c>
      <c r="G453" s="11" t="inlineStr">
        <is>
          <t>Baliuag</t>
        </is>
      </c>
      <c r="H453" s="11" t="inlineStr">
        <is>
          <t>Virgen delas Flores</t>
        </is>
      </c>
      <c r="I453" s="24" t="n">
        <v>14.948372</v>
      </c>
      <c r="J453" s="24" t="n">
        <v>120.887028</v>
      </c>
      <c r="K453" s="23" t="inlineStr">
        <is>
          <t>U</t>
        </is>
      </c>
      <c r="L453" s="25" t="n">
        <v>7686</v>
      </c>
      <c r="M453" s="26" t="n">
        <v>3.5</v>
      </c>
      <c r="N453" s="25">
        <f>ROUND(L453/M453, 0)</f>
        <v/>
      </c>
      <c r="O453" s="25">
        <f>ROUND(N453*'Methodology &amp; Assumptions'!$B$7, 0)</f>
        <v/>
      </c>
      <c r="P453" s="23" t="inlineStr">
        <is>
          <t>Single Carrier (Band n50, 100MHz TDD)</t>
        </is>
      </c>
      <c r="Q453" s="27">
        <f>ROUNDUP(O453/'Methodology &amp; Assumptions'!$B$8, 0)</f>
        <v/>
      </c>
      <c r="R453" s="27" t="n">
        <v>1</v>
      </c>
      <c r="S453" s="26" t="n">
        <v>0.11</v>
      </c>
      <c r="T453" s="26" t="n">
        <v>0.06</v>
      </c>
      <c r="U453" s="11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26" t="n">
        <v>78.43000000000001</v>
      </c>
      <c r="W453" s="26" t="n">
        <v>49.29</v>
      </c>
      <c r="X453" s="26">
        <f>ROUND(('Methodology &amp; Assumptions'!$B$5*V453) + ('Methodology &amp; Assumptions'!$B$6*W453), 2)</f>
        <v/>
      </c>
      <c r="Y453" s="28" t="n">
        <v>8.300000000000001</v>
      </c>
      <c r="Z453" s="11" t="inlineStr">
        <is>
          <t>Priority Tier 2 (Balanced Opportunity)</t>
        </is>
      </c>
    </row>
    <row r="454">
      <c r="A454" s="23" t="n">
        <v>2</v>
      </c>
      <c r="B454" s="23" t="n">
        <v>450</v>
      </c>
      <c r="C454" s="23" t="n">
        <v>1450</v>
      </c>
      <c r="D454" s="23" t="inlineStr">
        <is>
          <t>0307706004</t>
        </is>
      </c>
      <c r="E454" s="11" t="inlineStr">
        <is>
          <t>Region III (Central Luzon)</t>
        </is>
      </c>
      <c r="F454" s="11" t="inlineStr">
        <is>
          <t>Aurora</t>
        </is>
      </c>
      <c r="G454" s="11" t="inlineStr">
        <is>
          <t>Dipaculao</t>
        </is>
      </c>
      <c r="H454" s="11" t="inlineStr">
        <is>
          <t>Calaocan</t>
        </is>
      </c>
      <c r="I454" s="24" t="n">
        <v>16.123468</v>
      </c>
      <c r="J454" s="24" t="n">
        <v>121.730945</v>
      </c>
      <c r="K454" s="23" t="inlineStr">
        <is>
          <t>R</t>
        </is>
      </c>
      <c r="L454" s="25" t="n">
        <v>620</v>
      </c>
      <c r="M454" s="26" t="n">
        <v>3.8</v>
      </c>
      <c r="N454" s="25">
        <f>ROUND(L454/M454, 0)</f>
        <v/>
      </c>
      <c r="O454" s="25">
        <f>ROUND(N454*'Methodology &amp; Assumptions'!$B$7, 0)</f>
        <v/>
      </c>
      <c r="P454" s="23" t="inlineStr">
        <is>
          <t>Single Carrier (Band n50, 100MHz TDD)</t>
        </is>
      </c>
      <c r="Q454" s="27">
        <f>ROUNDUP(O454/'Methodology &amp; Assumptions'!$B$8, 0)</f>
        <v/>
      </c>
      <c r="R454" s="27" t="n">
        <v>1</v>
      </c>
      <c r="S454" s="26" t="n">
        <v>6.4</v>
      </c>
      <c r="T454" s="26" t="n">
        <v>4.25</v>
      </c>
      <c r="U454" s="11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26" t="n">
        <v>47.25</v>
      </c>
      <c r="W454" s="26" t="n">
        <v>80.44</v>
      </c>
      <c r="X454" s="26">
        <f>ROUND(('Methodology &amp; Assumptions'!$B$5*V454) + ('Methodology &amp; Assumptions'!$B$6*W454), 2)</f>
        <v/>
      </c>
      <c r="Y454" s="28" t="n">
        <v>8.300000000000001</v>
      </c>
      <c r="Z454" s="11" t="inlineStr">
        <is>
          <t>Priority Tier 2 (Balanced Opportunity)</t>
        </is>
      </c>
    </row>
    <row r="455">
      <c r="A455" s="23" t="n">
        <v>2</v>
      </c>
      <c r="B455" s="23" t="n">
        <v>451</v>
      </c>
      <c r="C455" s="23" t="n">
        <v>1451</v>
      </c>
      <c r="D455" s="23" t="inlineStr">
        <is>
          <t>1102319022</t>
        </is>
      </c>
      <c r="E455" s="11" t="inlineStr">
        <is>
          <t>Region XI (Davao Region)</t>
        </is>
      </c>
      <c r="F455" s="11" t="inlineStr">
        <is>
          <t>Davao del Norte</t>
        </is>
      </c>
      <c r="G455" s="11" t="inlineStr">
        <is>
          <t>City of Tagum</t>
        </is>
      </c>
      <c r="H455" s="11" t="inlineStr">
        <is>
          <t>Visayan Village</t>
        </is>
      </c>
      <c r="I455" s="24" t="n">
        <v>7.432427</v>
      </c>
      <c r="J455" s="24" t="n">
        <v>125.804095</v>
      </c>
      <c r="K455" s="23" t="inlineStr">
        <is>
          <t>U</t>
        </is>
      </c>
      <c r="L455" s="25" t="n">
        <v>43363</v>
      </c>
      <c r="M455" s="26" t="n">
        <v>3.7</v>
      </c>
      <c r="N455" s="25">
        <f>ROUND(L455/M455, 0)</f>
        <v/>
      </c>
      <c r="O455" s="25">
        <f>ROUND(N455*'Methodology &amp; Assumptions'!$B$7, 0)</f>
        <v/>
      </c>
      <c r="P455" s="23" t="inlineStr">
        <is>
          <t>Single Carrier (Band n50, 100MHz TDD)</t>
        </is>
      </c>
      <c r="Q455" s="27">
        <f>ROUNDUP(O455/'Methodology &amp; Assumptions'!$B$8, 0)</f>
        <v/>
      </c>
      <c r="R455" s="27" t="n">
        <v>1</v>
      </c>
      <c r="S455" s="26" t="n">
        <v>1.77</v>
      </c>
      <c r="T455" s="26" t="n">
        <v>0.64</v>
      </c>
      <c r="U455" s="11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26" t="n">
        <v>75.45</v>
      </c>
      <c r="W455" s="26" t="n">
        <v>52.23</v>
      </c>
      <c r="X455" s="26">
        <f>ROUND(('Methodology &amp; Assumptions'!$B$5*V455) + ('Methodology &amp; Assumptions'!$B$6*W455), 2)</f>
        <v/>
      </c>
      <c r="Y455" s="28" t="n">
        <v>17.4</v>
      </c>
      <c r="Z455" s="11" t="inlineStr">
        <is>
          <t>Priority Tier 2 (Balanced Opportunity)</t>
        </is>
      </c>
    </row>
    <row r="456">
      <c r="A456" s="23" t="n">
        <v>2</v>
      </c>
      <c r="B456" s="23" t="n">
        <v>452</v>
      </c>
      <c r="C456" s="23" t="n">
        <v>1452</v>
      </c>
      <c r="D456" s="23" t="inlineStr">
        <is>
          <t>1380700005</t>
        </is>
      </c>
      <c r="E456" s="11" t="inlineStr">
        <is>
          <t>National Capital Region (NCR)</t>
        </is>
      </c>
      <c r="F456" s="11" t="inlineStr">
        <is>
          <t>Second District (Not a Province)</t>
        </is>
      </c>
      <c r="G456" s="11" t="inlineStr">
        <is>
          <t>City of Marikina</t>
        </is>
      </c>
      <c r="H456" s="11" t="inlineStr">
        <is>
          <t>Malanday</t>
        </is>
      </c>
      <c r="I456" s="24" t="n">
        <v>14.650201</v>
      </c>
      <c r="J456" s="24" t="n">
        <v>121.093837</v>
      </c>
      <c r="K456" s="23" t="inlineStr">
        <is>
          <t>U</t>
        </is>
      </c>
      <c r="L456" s="25" t="n">
        <v>54134</v>
      </c>
      <c r="M456" s="26" t="n">
        <v>3.91</v>
      </c>
      <c r="N456" s="25">
        <f>ROUND(L456/M456, 0)</f>
        <v/>
      </c>
      <c r="O456" s="25">
        <f>ROUND(N456*'Methodology &amp; Assumptions'!$B$7, 0)</f>
        <v/>
      </c>
      <c r="P456" s="23" t="inlineStr">
        <is>
          <t>Single Carrier (Band n50, 100MHz TDD)</t>
        </is>
      </c>
      <c r="Q456" s="27">
        <f>ROUNDUP(O456/'Methodology &amp; Assumptions'!$B$8, 0)</f>
        <v/>
      </c>
      <c r="R456" s="27" t="n">
        <v>1</v>
      </c>
      <c r="S456" s="26" t="n">
        <v>1.2</v>
      </c>
      <c r="T456" s="26" t="n">
        <v>0.42</v>
      </c>
      <c r="U456" s="11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26" t="n">
        <v>64.92</v>
      </c>
      <c r="W456" s="26" t="n">
        <v>62.76</v>
      </c>
      <c r="X456" s="26">
        <f>ROUND(('Methodology &amp; Assumptions'!$B$5*V456) + ('Methodology &amp; Assumptions'!$B$6*W456), 2)</f>
        <v/>
      </c>
      <c r="Y456" s="28" t="n">
        <v>10.9</v>
      </c>
      <c r="Z456" s="11" t="inlineStr">
        <is>
          <t>Priority Tier 2 (Balanced Opportunity)</t>
        </is>
      </c>
    </row>
    <row r="457">
      <c r="A457" s="23" t="n">
        <v>2</v>
      </c>
      <c r="B457" s="23" t="n">
        <v>453</v>
      </c>
      <c r="C457" s="23" t="n">
        <v>1453</v>
      </c>
      <c r="D457" s="23" t="inlineStr">
        <is>
          <t>1908704011</t>
        </is>
      </c>
      <c r="E457" s="11" t="inlineStr">
        <is>
          <t>Bangsamoro Autonomous Region In Muslim Mindanao (BARMM)</t>
        </is>
      </c>
      <c r="F457" s="11" t="inlineStr">
        <is>
          <t>Maguindanao del Norte</t>
        </is>
      </c>
      <c r="G457" s="11" t="inlineStr">
        <is>
          <t>Datu Blah T. Sinsuat</t>
        </is>
      </c>
      <c r="H457" s="11" t="inlineStr">
        <is>
          <t>Sinipak</t>
        </is>
      </c>
      <c r="I457" s="24" t="n">
        <v>6.798811</v>
      </c>
      <c r="J457" s="24" t="n">
        <v>124.053004</v>
      </c>
      <c r="K457" s="23" t="inlineStr">
        <is>
          <t>R</t>
        </is>
      </c>
      <c r="L457" s="25" t="n">
        <v>3261</v>
      </c>
      <c r="M457" s="26" t="n">
        <v>4.3</v>
      </c>
      <c r="N457" s="25">
        <f>ROUND(L457/M457, 0)</f>
        <v/>
      </c>
      <c r="O457" s="25">
        <f>ROUND(N457*'Methodology &amp; Assumptions'!$B$7, 0)</f>
        <v/>
      </c>
      <c r="P457" s="23" t="inlineStr">
        <is>
          <t>Single Carrier (Band n50, 100MHz TDD)</t>
        </is>
      </c>
      <c r="Q457" s="27">
        <f>ROUNDUP(O457/'Methodology &amp; Assumptions'!$B$8, 0)</f>
        <v/>
      </c>
      <c r="R457" s="27" t="n">
        <v>1</v>
      </c>
      <c r="S457" s="26" t="n">
        <v>69.59</v>
      </c>
      <c r="T457" s="26" t="n">
        <v>69.55</v>
      </c>
      <c r="U457" s="11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26" t="n">
        <v>55.36</v>
      </c>
      <c r="W457" s="26" t="n">
        <v>72.31</v>
      </c>
      <c r="X457" s="26">
        <f>ROUND(('Methodology &amp; Assumptions'!$B$5*V457) + ('Methodology &amp; Assumptions'!$B$6*W457), 2)</f>
        <v/>
      </c>
      <c r="Y457" s="28" t="n">
        <v>11</v>
      </c>
      <c r="Z457" s="11" t="inlineStr">
        <is>
          <t>Priority Tier 2 (Balanced Opportunity)</t>
        </is>
      </c>
    </row>
    <row r="458">
      <c r="A458" s="23" t="n">
        <v>2</v>
      </c>
      <c r="B458" s="23" t="n">
        <v>454</v>
      </c>
      <c r="C458" s="23" t="n">
        <v>1454</v>
      </c>
      <c r="D458" s="23" t="inlineStr">
        <is>
          <t>1380800003</t>
        </is>
      </c>
      <c r="E458" s="11" t="inlineStr">
        <is>
          <t>National Capital Region (NCR)</t>
        </is>
      </c>
      <c r="F458" s="11" t="inlineStr">
        <is>
          <t>Fourth District (Not a Province)</t>
        </is>
      </c>
      <c r="G458" s="11" t="inlineStr">
        <is>
          <t>City of Muntinlupa</t>
        </is>
      </c>
      <c r="H458" s="11" t="inlineStr">
        <is>
          <t>Buli</t>
        </is>
      </c>
      <c r="I458" s="24" t="n">
        <v>14.442985</v>
      </c>
      <c r="J458" s="24" t="n">
        <v>121.051413</v>
      </c>
      <c r="K458" s="23" t="inlineStr">
        <is>
          <t>U</t>
        </is>
      </c>
      <c r="L458" s="25" t="n">
        <v>14802</v>
      </c>
      <c r="M458" s="26" t="n">
        <v>3.25</v>
      </c>
      <c r="N458" s="25">
        <f>ROUND(L458/M458, 0)</f>
        <v/>
      </c>
      <c r="O458" s="25">
        <f>ROUND(N458*'Methodology &amp; Assumptions'!$B$7, 0)</f>
        <v/>
      </c>
      <c r="P458" s="23" t="inlineStr">
        <is>
          <t>Single Carrier (Band n50, 100MHz TDD)</t>
        </is>
      </c>
      <c r="Q458" s="27">
        <f>ROUNDUP(O458/'Methodology &amp; Assumptions'!$B$8, 0)</f>
        <v/>
      </c>
      <c r="R458" s="27" t="n">
        <v>1</v>
      </c>
      <c r="S458" s="26" t="n">
        <v>1.13</v>
      </c>
      <c r="T458" s="26" t="n">
        <v>0.22</v>
      </c>
      <c r="U458" s="11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26" t="n">
        <v>67.75</v>
      </c>
      <c r="W458" s="26" t="n">
        <v>59.91</v>
      </c>
      <c r="X458" s="26">
        <f>ROUND(('Methodology &amp; Assumptions'!$B$5*V458) + ('Methodology &amp; Assumptions'!$B$6*W458), 2)</f>
        <v/>
      </c>
      <c r="Y458" s="28" t="n">
        <v>10.9</v>
      </c>
      <c r="Z458" s="11" t="inlineStr">
        <is>
          <t>Priority Tier 2 (Balanced Opportunity)</t>
        </is>
      </c>
    </row>
    <row r="459">
      <c r="A459" s="23" t="n">
        <v>2</v>
      </c>
      <c r="B459" s="23" t="n">
        <v>455</v>
      </c>
      <c r="C459" s="23" t="n">
        <v>1455</v>
      </c>
      <c r="D459" s="23" t="inlineStr">
        <is>
          <t>0401008015</t>
        </is>
      </c>
      <c r="E459" s="11" t="inlineStr">
        <is>
          <t>Region IV-A (CALABARZON)</t>
        </is>
      </c>
      <c r="F459" s="11" t="inlineStr">
        <is>
          <t>Batangas</t>
        </is>
      </c>
      <c r="G459" s="11" t="inlineStr">
        <is>
          <t>Calatagan</t>
        </is>
      </c>
      <c r="H459" s="11" t="inlineStr">
        <is>
          <t>Paraiso</t>
        </is>
      </c>
      <c r="I459" s="24" t="n">
        <v>13.9016</v>
      </c>
      <c r="J459" s="24" t="n">
        <v>120.6662</v>
      </c>
      <c r="K459" s="23" t="inlineStr">
        <is>
          <t>R</t>
        </is>
      </c>
      <c r="L459" s="25" t="n">
        <v>1426</v>
      </c>
      <c r="M459" s="26" t="n">
        <v>3.6</v>
      </c>
      <c r="N459" s="25">
        <f>ROUND(L459/M459, 0)</f>
        <v/>
      </c>
      <c r="O459" s="25">
        <f>ROUND(N459*'Methodology &amp; Assumptions'!$B$7, 0)</f>
        <v/>
      </c>
      <c r="P459" s="23" t="inlineStr">
        <is>
          <t>Single Carrier (Band n50, 100MHz TDD)</t>
        </is>
      </c>
      <c r="Q459" s="27">
        <f>ROUNDUP(O459/'Methodology &amp; Assumptions'!$B$8, 0)</f>
        <v/>
      </c>
      <c r="R459" s="27" t="n">
        <v>1</v>
      </c>
      <c r="S459" s="26" t="n">
        <v>4.03</v>
      </c>
      <c r="T459" s="26" t="n">
        <v>3.72</v>
      </c>
      <c r="U459" s="11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26" t="n">
        <v>58.61</v>
      </c>
      <c r="W459" s="26" t="n">
        <v>69.05</v>
      </c>
      <c r="X459" s="26">
        <f>ROUND(('Methodology &amp; Assumptions'!$B$5*V459) + ('Methodology &amp; Assumptions'!$B$6*W459), 2)</f>
        <v/>
      </c>
      <c r="Y459" s="28" t="n">
        <v>7.2</v>
      </c>
      <c r="Z459" s="11" t="inlineStr">
        <is>
          <t>Priority Tier 2 (Balanced Opportunity)</t>
        </is>
      </c>
    </row>
    <row r="460">
      <c r="A460" s="23" t="n">
        <v>2</v>
      </c>
      <c r="B460" s="23" t="n">
        <v>456</v>
      </c>
      <c r="C460" s="23" t="n">
        <v>1456</v>
      </c>
      <c r="D460" s="23" t="inlineStr">
        <is>
          <t>1380606030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424</t>
        </is>
      </c>
      <c r="I460" s="24" t="n">
        <v>14.60308</v>
      </c>
      <c r="J460" s="24" t="n">
        <v>121.0019</v>
      </c>
      <c r="K460" s="23" t="inlineStr">
        <is>
          <t>U</t>
        </is>
      </c>
      <c r="L460" s="25" t="n">
        <v>2079</v>
      </c>
      <c r="M460" s="26" t="n">
        <v>4.17</v>
      </c>
      <c r="N460" s="25">
        <f>ROUND(L460/M460, 0)</f>
        <v/>
      </c>
      <c r="O460" s="25">
        <f>ROUND(N460*'Methodology &amp; Assumptions'!$B$7, 0)</f>
        <v/>
      </c>
      <c r="P460" s="23" t="inlineStr">
        <is>
          <t>Single Carrier (Band n50, 100MHz TDD)</t>
        </is>
      </c>
      <c r="Q460" s="27">
        <f>ROUNDUP(O460/'Methodology &amp; Assumptions'!$B$8, 0)</f>
        <v/>
      </c>
      <c r="R460" s="27" t="n">
        <v>1</v>
      </c>
      <c r="S460" s="26" t="n">
        <v>0.31</v>
      </c>
      <c r="T460" s="26" t="n">
        <v>0.18</v>
      </c>
      <c r="U460" s="11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26" t="n">
        <v>57.05</v>
      </c>
      <c r="W460" s="26" t="n">
        <v>70.59999999999999</v>
      </c>
      <c r="X460" s="26">
        <f>ROUND(('Methodology &amp; Assumptions'!$B$5*V460) + ('Methodology &amp; Assumptions'!$B$6*W460), 2)</f>
        <v/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2</v>
      </c>
      <c r="B461" s="23" t="n">
        <v>457</v>
      </c>
      <c r="C461" s="23" t="n">
        <v>1457</v>
      </c>
      <c r="D461" s="23" t="inlineStr">
        <is>
          <t>1381300032</t>
        </is>
      </c>
      <c r="E461" s="11" t="inlineStr">
        <is>
          <t>National Capital Region (NCR)</t>
        </is>
      </c>
      <c r="F461" s="11" t="inlineStr">
        <is>
          <t>Second District (Not a Province)</t>
        </is>
      </c>
      <c r="G461" s="11" t="inlineStr">
        <is>
          <t>Quezon City</t>
        </is>
      </c>
      <c r="H461" s="11" t="inlineStr">
        <is>
          <t>Doña Josefa</t>
        </is>
      </c>
      <c r="I461" s="24" t="n">
        <v>14.61902</v>
      </c>
      <c r="J461" s="24" t="n">
        <v>121.0051</v>
      </c>
      <c r="K461" s="23" t="inlineStr">
        <is>
          <t>U</t>
        </is>
      </c>
      <c r="L461" s="25" t="n">
        <v>2198</v>
      </c>
      <c r="M461" s="26" t="n">
        <v>4.41</v>
      </c>
      <c r="N461" s="25">
        <f>ROUND(L461/M461, 0)</f>
        <v/>
      </c>
      <c r="O461" s="25">
        <f>ROUND(N461*'Methodology &amp; Assumptions'!$B$7, 0)</f>
        <v/>
      </c>
      <c r="P461" s="23" t="inlineStr">
        <is>
          <t>Single Carrier (Band n50, 100MHz TDD)</t>
        </is>
      </c>
      <c r="Q461" s="27">
        <f>ROUNDUP(O461/'Methodology &amp; Assumptions'!$B$8, 0)</f>
        <v/>
      </c>
      <c r="R461" s="27" t="n">
        <v>1</v>
      </c>
      <c r="S461" s="26" t="n">
        <v>0.91</v>
      </c>
      <c r="T461" s="26" t="n">
        <v>0.12</v>
      </c>
      <c r="U461" s="11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26" t="n">
        <v>56.8</v>
      </c>
      <c r="W461" s="26" t="n">
        <v>70.86</v>
      </c>
      <c r="X461" s="26">
        <f>ROUND(('Methodology &amp; Assumptions'!$B$5*V461) + ('Methodology &amp; Assumptions'!$B$6*W461), 2)</f>
        <v/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2</v>
      </c>
      <c r="B462" s="23" t="n">
        <v>458</v>
      </c>
      <c r="C462" s="23" t="n">
        <v>1458</v>
      </c>
      <c r="D462" s="23" t="inlineStr">
        <is>
          <t>0301420041</t>
        </is>
      </c>
      <c r="E462" s="11" t="inlineStr">
        <is>
          <t>Region III (Central Luzon)</t>
        </is>
      </c>
      <c r="F462" s="11" t="inlineStr">
        <is>
          <t>Bulacan</t>
        </is>
      </c>
      <c r="G462" s="11" t="inlineStr">
        <is>
          <t>City of San Jose Del Monte</t>
        </is>
      </c>
      <c r="H462" s="11" t="inlineStr">
        <is>
          <t>Minuyan Proper</t>
        </is>
      </c>
      <c r="I462" s="24" t="n">
        <v>14.842789</v>
      </c>
      <c r="J462" s="24" t="n">
        <v>121.078709</v>
      </c>
      <c r="K462" s="23" t="inlineStr">
        <is>
          <t>U</t>
        </is>
      </c>
      <c r="L462" s="25" t="n">
        <v>48261</v>
      </c>
      <c r="M462" s="26" t="n">
        <v>3.5</v>
      </c>
      <c r="N462" s="25">
        <f>ROUND(L462/M462, 0)</f>
        <v/>
      </c>
      <c r="O462" s="25">
        <f>ROUND(N462*'Methodology &amp; Assumptions'!$B$7, 0)</f>
        <v/>
      </c>
      <c r="P462" s="23" t="inlineStr">
        <is>
          <t>Single Carrier (Band n50, 100MHz TDD)</t>
        </is>
      </c>
      <c r="Q462" s="27">
        <f>ROUNDUP(O462/'Methodology &amp; Assumptions'!$B$8, 0)</f>
        <v/>
      </c>
      <c r="R462" s="27" t="n">
        <v>1</v>
      </c>
      <c r="S462" s="26" t="n">
        <v>0.62</v>
      </c>
      <c r="T462" s="26" t="n">
        <v>4.11</v>
      </c>
      <c r="U462" s="11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26" t="n">
        <v>74.43000000000001</v>
      </c>
      <c r="W462" s="26" t="n">
        <v>53.21</v>
      </c>
      <c r="X462" s="26">
        <f>ROUND(('Methodology &amp; Assumptions'!$B$5*V462) + ('Methodology &amp; Assumptions'!$B$6*W462), 2)</f>
        <v/>
      </c>
      <c r="Y462" s="28" t="n">
        <v>8.300000000000001</v>
      </c>
      <c r="Z462" s="11" t="inlineStr">
        <is>
          <t>Priority Tier 2 (Balanced Opportunity)</t>
        </is>
      </c>
    </row>
    <row r="463">
      <c r="A463" s="23" t="n">
        <v>2</v>
      </c>
      <c r="B463" s="23" t="n">
        <v>459</v>
      </c>
      <c r="C463" s="23" t="n">
        <v>1459</v>
      </c>
      <c r="D463" s="23" t="inlineStr">
        <is>
          <t>1380200014</t>
        </is>
      </c>
      <c r="E463" s="11" t="inlineStr">
        <is>
          <t>National Capital Region (NCR)</t>
        </is>
      </c>
      <c r="F463" s="11" t="inlineStr">
        <is>
          <t>Fourth District (Not a Province)</t>
        </is>
      </c>
      <c r="G463" s="11" t="inlineStr">
        <is>
          <t>City of Las Piñas</t>
        </is>
      </c>
      <c r="H463" s="11" t="inlineStr">
        <is>
          <t>Pamplona Tres</t>
        </is>
      </c>
      <c r="I463" s="24" t="n">
        <v>14.4557</v>
      </c>
      <c r="J463" s="24" t="n">
        <v>120.984271</v>
      </c>
      <c r="K463" s="23" t="inlineStr">
        <is>
          <t>U</t>
        </is>
      </c>
      <c r="L463" s="25" t="n">
        <v>37234</v>
      </c>
      <c r="M463" s="26" t="n">
        <v>3.57</v>
      </c>
      <c r="N463" s="25">
        <f>ROUND(L463/M463, 0)</f>
        <v/>
      </c>
      <c r="O463" s="25">
        <f>ROUND(N463*'Methodology &amp; Assumptions'!$B$7, 0)</f>
        <v/>
      </c>
      <c r="P463" s="23" t="inlineStr">
        <is>
          <t>Single Carrier (Band n50, 100MHz TDD)</t>
        </is>
      </c>
      <c r="Q463" s="27">
        <f>ROUNDUP(O463/'Methodology &amp; Assumptions'!$B$8, 0)</f>
        <v/>
      </c>
      <c r="R463" s="27" t="n">
        <v>1</v>
      </c>
      <c r="S463" s="26" t="n">
        <v>1.01</v>
      </c>
      <c r="T463" s="26" t="n">
        <v>0.76</v>
      </c>
      <c r="U463" s="11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26" t="n">
        <v>66.29000000000001</v>
      </c>
      <c r="W463" s="26" t="n">
        <v>61.35</v>
      </c>
      <c r="X463" s="26">
        <f>ROUND(('Methodology &amp; Assumptions'!$B$5*V463) + ('Methodology &amp; Assumptions'!$B$6*W463), 2)</f>
        <v/>
      </c>
      <c r="Y463" s="28" t="n">
        <v>10.9</v>
      </c>
      <c r="Z463" s="11" t="inlineStr">
        <is>
          <t>Priority Tier 2 (Balanced Opportunity)</t>
        </is>
      </c>
    </row>
    <row r="464">
      <c r="A464" s="23" t="n">
        <v>2</v>
      </c>
      <c r="B464" s="23" t="n">
        <v>460</v>
      </c>
      <c r="C464" s="23" t="n">
        <v>1460</v>
      </c>
      <c r="D464" s="23" t="inlineStr">
        <is>
          <t>1380614039</t>
        </is>
      </c>
      <c r="E464" s="11" t="inlineStr">
        <is>
          <t>National Capital Region (NCR)</t>
        </is>
      </c>
      <c r="F464" s="11" t="inlineStr">
        <is>
          <t>First District (Not a Province)</t>
        </is>
      </c>
      <c r="G464" s="11" t="inlineStr">
        <is>
          <t>City of Manila</t>
        </is>
      </c>
      <c r="H464" s="11" t="inlineStr">
        <is>
          <t>Barangay 783</t>
        </is>
      </c>
      <c r="I464" s="24" t="n">
        <v>14.575055</v>
      </c>
      <c r="J464" s="24" t="n">
        <v>121.011111</v>
      </c>
      <c r="K464" s="23" t="inlineStr">
        <is>
          <t>U</t>
        </is>
      </c>
      <c r="L464" s="25" t="n">
        <v>2341</v>
      </c>
      <c r="M464" s="26" t="n">
        <v>4.24</v>
      </c>
      <c r="N464" s="25">
        <f>ROUND(L464/M464, 0)</f>
        <v/>
      </c>
      <c r="O464" s="25">
        <f>ROUND(N464*'Methodology &amp; Assumptions'!$B$7, 0)</f>
        <v/>
      </c>
      <c r="P464" s="23" t="inlineStr">
        <is>
          <t>Single Carrier (Band n50, 100MHz TDD)</t>
        </is>
      </c>
      <c r="Q464" s="27">
        <f>ROUNDUP(O464/'Methodology &amp; Assumptions'!$B$8, 0)</f>
        <v/>
      </c>
      <c r="R464" s="27" t="n">
        <v>1</v>
      </c>
      <c r="S464" s="26" t="n">
        <v>1.37</v>
      </c>
      <c r="T464" s="26" t="n">
        <v>0.09</v>
      </c>
      <c r="U464" s="11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26" t="n">
        <v>56.85</v>
      </c>
      <c r="W464" s="26" t="n">
        <v>70.79000000000001</v>
      </c>
      <c r="X464" s="26">
        <f>ROUND(('Methodology &amp; Assumptions'!$B$5*V464) + ('Methodology &amp; Assumptions'!$B$6*W464), 2)</f>
        <v/>
      </c>
      <c r="Y464" s="28" t="n">
        <v>10.9</v>
      </c>
      <c r="Z464" s="11" t="inlineStr">
        <is>
          <t>Priority Tier 2 (Balanced Opportunity)</t>
        </is>
      </c>
    </row>
    <row r="465">
      <c r="A465" s="23" t="n">
        <v>2</v>
      </c>
      <c r="B465" s="23" t="n">
        <v>461</v>
      </c>
      <c r="C465" s="23" t="n">
        <v>1461</v>
      </c>
      <c r="D465" s="23" t="inlineStr">
        <is>
          <t>1380601016</t>
        </is>
      </c>
      <c r="E465" s="11" t="inlineStr">
        <is>
          <t>National Capital Region (NCR)</t>
        </is>
      </c>
      <c r="F465" s="11" t="inlineStr">
        <is>
          <t>First District (Not a Province)</t>
        </is>
      </c>
      <c r="G465" s="11" t="inlineStr">
        <is>
          <t>City of Manila</t>
        </is>
      </c>
      <c r="H465" s="11" t="inlineStr">
        <is>
          <t>Barangay 16</t>
        </is>
      </c>
      <c r="I465" s="24" t="n">
        <v>14.602047</v>
      </c>
      <c r="J465" s="24" t="n">
        <v>120.964959</v>
      </c>
      <c r="K465" s="23" t="inlineStr">
        <is>
          <t>U</t>
        </is>
      </c>
      <c r="L465" s="25" t="n">
        <v>1371</v>
      </c>
      <c r="M465" s="26" t="n">
        <v>4.04</v>
      </c>
      <c r="N465" s="25">
        <f>ROUND(L465/M465, 0)</f>
        <v/>
      </c>
      <c r="O465" s="25">
        <f>ROUND(N465*'Methodology &amp; Assumptions'!$B$7, 0)</f>
        <v/>
      </c>
      <c r="P465" s="23" t="inlineStr">
        <is>
          <t>Single Carrier (Band n50, 100MHz TDD)</t>
        </is>
      </c>
      <c r="Q465" s="27">
        <f>ROUNDUP(O465/'Methodology &amp; Assumptions'!$B$8, 0)</f>
        <v/>
      </c>
      <c r="R465" s="27" t="n">
        <v>1</v>
      </c>
      <c r="S465" s="26" t="n">
        <v>0.73</v>
      </c>
      <c r="T465" s="26" t="n">
        <v>0.73</v>
      </c>
      <c r="U465" s="11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26" t="n">
        <v>52.02</v>
      </c>
      <c r="W465" s="26" t="n">
        <v>75.63</v>
      </c>
      <c r="X465" s="26">
        <f>ROUND(('Methodology &amp; Assumptions'!$B$5*V465) + ('Methodology &amp; Assumptions'!$B$6*W465), 2)</f>
        <v/>
      </c>
      <c r="Y465" s="28" t="n">
        <v>10.9</v>
      </c>
      <c r="Z465" s="11" t="inlineStr">
        <is>
          <t>Priority Tier 2 (Balanced Opportunity)</t>
        </is>
      </c>
    </row>
    <row r="466">
      <c r="A466" s="23" t="n">
        <v>2</v>
      </c>
      <c r="B466" s="23" t="n">
        <v>462</v>
      </c>
      <c r="C466" s="23" t="n">
        <v>1462</v>
      </c>
      <c r="D466" s="23" t="inlineStr">
        <is>
          <t>1102315041</t>
        </is>
      </c>
      <c r="E466" s="11" t="inlineStr">
        <is>
          <t>Region XI (Davao Region)</t>
        </is>
      </c>
      <c r="F466" s="11" t="inlineStr">
        <is>
          <t>Davao del Norte</t>
        </is>
      </c>
      <c r="G466" s="11" t="inlineStr">
        <is>
          <t>City of Panabo</t>
        </is>
      </c>
      <c r="H466" s="11" t="inlineStr">
        <is>
          <t>San Pedro</t>
        </is>
      </c>
      <c r="I466" s="24" t="n">
        <v>7.29639</v>
      </c>
      <c r="J466" s="24" t="n">
        <v>125.71009</v>
      </c>
      <c r="K466" s="23" t="inlineStr">
        <is>
          <t>U</t>
        </is>
      </c>
      <c r="L466" s="25" t="n">
        <v>3465</v>
      </c>
      <c r="M466" s="26" t="n">
        <v>3.7</v>
      </c>
      <c r="N466" s="25">
        <f>ROUND(L466/M466, 0)</f>
        <v/>
      </c>
      <c r="O466" s="25">
        <f>ROUND(N466*'Methodology &amp; Assumptions'!$B$7, 0)</f>
        <v/>
      </c>
      <c r="P466" s="23" t="inlineStr">
        <is>
          <t>Single Carrier (Band n50, 100MHz TDD)</t>
        </is>
      </c>
      <c r="Q466" s="27">
        <f>ROUNDUP(O466/'Methodology &amp; Assumptions'!$B$8, 0)</f>
        <v/>
      </c>
      <c r="R466" s="27" t="n">
        <v>1</v>
      </c>
      <c r="S466" s="26" t="n">
        <v>3.32</v>
      </c>
      <c r="T466" s="26" t="n">
        <v>3.19</v>
      </c>
      <c r="U466" s="11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26" t="n">
        <v>68.17</v>
      </c>
      <c r="W466" s="26" t="n">
        <v>59.44</v>
      </c>
      <c r="X466" s="26">
        <f>ROUND(('Methodology &amp; Assumptions'!$B$5*V466) + ('Methodology &amp; Assumptions'!$B$6*W466), 2)</f>
        <v/>
      </c>
      <c r="Y466" s="28" t="n">
        <v>17.4</v>
      </c>
      <c r="Z466" s="11" t="inlineStr">
        <is>
          <t>Priority Tier 2 (Balanced Opportunity)</t>
        </is>
      </c>
    </row>
    <row r="467">
      <c r="A467" s="23" t="n">
        <v>2</v>
      </c>
      <c r="B467" s="23" t="n">
        <v>463</v>
      </c>
      <c r="C467" s="23" t="n">
        <v>1463</v>
      </c>
      <c r="D467" s="23" t="inlineStr">
        <is>
          <t>0501606002</t>
        </is>
      </c>
      <c r="E467" s="11" t="inlineStr">
        <is>
          <t>Region V (Bicol Region)</t>
        </is>
      </c>
      <c r="F467" s="11" t="inlineStr">
        <is>
          <t>Camarines Norte</t>
        </is>
      </c>
      <c r="G467" s="11" t="inlineStr">
        <is>
          <t>Labo</t>
        </is>
      </c>
      <c r="H467" s="11" t="inlineStr">
        <is>
          <t>Awitan</t>
        </is>
      </c>
      <c r="I467" s="24" t="n">
        <v>14.2162</v>
      </c>
      <c r="J467" s="24" t="n">
        <v>122.8332</v>
      </c>
      <c r="K467" s="23" t="inlineStr">
        <is>
          <t>R</t>
        </is>
      </c>
      <c r="L467" s="25" t="n">
        <v>720</v>
      </c>
      <c r="M467" s="26" t="n">
        <v>4</v>
      </c>
      <c r="N467" s="25">
        <f>ROUND(L467/M467, 0)</f>
        <v/>
      </c>
      <c r="O467" s="25">
        <f>ROUND(N467*'Methodology &amp; Assumptions'!$B$7, 0)</f>
        <v/>
      </c>
      <c r="P467" s="23" t="inlineStr">
        <is>
          <t>Single Carrier (Band n50, 100MHz TDD)</t>
        </is>
      </c>
      <c r="Q467" s="27">
        <f>ROUNDUP(O467/'Methodology &amp; Assumptions'!$B$8, 0)</f>
        <v/>
      </c>
      <c r="R467" s="27" t="n">
        <v>1</v>
      </c>
      <c r="S467" s="26" t="n">
        <v>4.17</v>
      </c>
      <c r="T467" s="26" t="n">
        <v>5.52</v>
      </c>
      <c r="U467" s="11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26" t="n">
        <v>53.48</v>
      </c>
      <c r="W467" s="26" t="n">
        <v>74.14</v>
      </c>
      <c r="X467" s="26">
        <f>ROUND(('Methodology &amp; Assumptions'!$B$5*V467) + ('Methodology &amp; Assumptions'!$B$6*W467), 2)</f>
        <v/>
      </c>
      <c r="Y467" s="28" t="n">
        <v>23.7</v>
      </c>
      <c r="Z467" s="11" t="inlineStr">
        <is>
          <t>Priority Tier 2 (Balanced Opportunity)</t>
        </is>
      </c>
    </row>
    <row r="468">
      <c r="A468" s="23" t="n">
        <v>2</v>
      </c>
      <c r="B468" s="23" t="n">
        <v>464</v>
      </c>
      <c r="C468" s="23" t="n">
        <v>1464</v>
      </c>
      <c r="D468" s="23" t="inlineStr">
        <is>
          <t>0205703031</t>
        </is>
      </c>
      <c r="E468" s="11" t="inlineStr">
        <is>
          <t>Region II (Cagayan Valley)</t>
        </is>
      </c>
      <c r="F468" s="11" t="inlineStr">
        <is>
          <t>Quirino</t>
        </is>
      </c>
      <c r="G468" s="11" t="inlineStr">
        <is>
          <t>Diffun</t>
        </is>
      </c>
      <c r="H468" s="11" t="inlineStr">
        <is>
          <t>Aklan Village</t>
        </is>
      </c>
      <c r="I468" s="24" t="n">
        <v>16.515114</v>
      </c>
      <c r="J468" s="24" t="n">
        <v>121.459901</v>
      </c>
      <c r="K468" s="23" t="inlineStr">
        <is>
          <t>R</t>
        </is>
      </c>
      <c r="L468" s="25" t="n">
        <v>898</v>
      </c>
      <c r="M468" s="26" t="n">
        <v>3.9</v>
      </c>
      <c r="N468" s="25">
        <f>ROUND(L468/M468, 0)</f>
        <v/>
      </c>
      <c r="O468" s="25">
        <f>ROUND(N468*'Methodology &amp; Assumptions'!$B$7, 0)</f>
        <v/>
      </c>
      <c r="P468" s="23" t="inlineStr">
        <is>
          <t>Single Carrier (Band n50, 100MHz TDD)</t>
        </is>
      </c>
      <c r="Q468" s="27">
        <f>ROUNDUP(O468/'Methodology &amp; Assumptions'!$B$8, 0)</f>
        <v/>
      </c>
      <c r="R468" s="27" t="n">
        <v>1</v>
      </c>
      <c r="S468" s="26" t="n">
        <v>7.24</v>
      </c>
      <c r="T468" s="26" t="n">
        <v>9.390000000000001</v>
      </c>
      <c r="U468" s="11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26" t="n">
        <v>48.39</v>
      </c>
      <c r="W468" s="26" t="n">
        <v>79.23</v>
      </c>
      <c r="X468" s="26">
        <f>ROUND(('Methodology &amp; Assumptions'!$B$5*V468) + ('Methodology &amp; Assumptions'!$B$6*W468), 2)</f>
        <v/>
      </c>
      <c r="Y468" s="28" t="n">
        <v>8.300000000000001</v>
      </c>
      <c r="Z468" s="11" t="inlineStr">
        <is>
          <t>Priority Tier 2 (Balanced Opportunity)</t>
        </is>
      </c>
    </row>
    <row r="469">
      <c r="A469" s="23" t="n">
        <v>2</v>
      </c>
      <c r="B469" s="23" t="n">
        <v>465</v>
      </c>
      <c r="C469" s="23" t="n">
        <v>1465</v>
      </c>
      <c r="D469" s="23" t="inlineStr">
        <is>
          <t>0301403017</t>
        </is>
      </c>
      <c r="E469" s="11" t="inlineStr">
        <is>
          <t>Region III (Central Luzon)</t>
        </is>
      </c>
      <c r="F469" s="11" t="inlineStr">
        <is>
          <t>Bulacan</t>
        </is>
      </c>
      <c r="G469" s="11" t="inlineStr">
        <is>
          <t>Baliuag</t>
        </is>
      </c>
      <c r="H469" s="11" t="inlineStr">
        <is>
          <t>San Jose</t>
        </is>
      </c>
      <c r="I469" s="24" t="n">
        <v>14.948487</v>
      </c>
      <c r="J469" s="24" t="n">
        <v>120.894286</v>
      </c>
      <c r="K469" s="23" t="inlineStr">
        <is>
          <t>U</t>
        </is>
      </c>
      <c r="L469" s="25" t="n">
        <v>7044</v>
      </c>
      <c r="M469" s="26" t="n">
        <v>3.5</v>
      </c>
      <c r="N469" s="25">
        <f>ROUND(L469/M469, 0)</f>
        <v/>
      </c>
      <c r="O469" s="25">
        <f>ROUND(N469*'Methodology &amp; Assumptions'!$B$7, 0)</f>
        <v/>
      </c>
      <c r="P469" s="23" t="inlineStr">
        <is>
          <t>Single Carrier (Band n50, 100MHz TDD)</t>
        </is>
      </c>
      <c r="Q469" s="27">
        <f>ROUNDUP(O469/'Methodology &amp; Assumptions'!$B$8, 0)</f>
        <v/>
      </c>
      <c r="R469" s="27" t="n">
        <v>1</v>
      </c>
      <c r="S469" s="26" t="n">
        <v>0.68</v>
      </c>
      <c r="T469" s="26" t="n">
        <v>0.26</v>
      </c>
      <c r="U469" s="11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26" t="n">
        <v>78.43000000000001</v>
      </c>
      <c r="W469" s="26" t="n">
        <v>49.16</v>
      </c>
      <c r="X469" s="26">
        <f>ROUND(('Methodology &amp; Assumptions'!$B$5*V469) + ('Methodology &amp; Assumptions'!$B$6*W469), 2)</f>
        <v/>
      </c>
      <c r="Y469" s="28" t="n">
        <v>8.300000000000001</v>
      </c>
      <c r="Z469" s="11" t="inlineStr">
        <is>
          <t>Priority Tier 2 (Balanced Opportunity)</t>
        </is>
      </c>
    </row>
    <row r="470">
      <c r="A470" s="23" t="n">
        <v>2</v>
      </c>
      <c r="B470" s="23" t="n">
        <v>466</v>
      </c>
      <c r="C470" s="23" t="n">
        <v>1466</v>
      </c>
      <c r="D470" s="23" t="inlineStr">
        <is>
          <t>0300810004</t>
        </is>
      </c>
      <c r="E470" s="11" t="inlineStr">
        <is>
          <t>Region III (Central Luzon)</t>
        </is>
      </c>
      <c r="F470" s="11" t="inlineStr">
        <is>
          <t>Bataan</t>
        </is>
      </c>
      <c r="G470" s="11" t="inlineStr">
        <is>
          <t>Orion</t>
        </is>
      </c>
      <c r="H470" s="11" t="inlineStr">
        <is>
          <t>Balut</t>
        </is>
      </c>
      <c r="I470" s="24" t="n">
        <v>14.804295</v>
      </c>
      <c r="J470" s="24" t="n">
        <v>120.534744</v>
      </c>
      <c r="K470" s="23" t="inlineStr">
        <is>
          <t>R</t>
        </is>
      </c>
      <c r="L470" s="25" t="n">
        <v>1461</v>
      </c>
      <c r="M470" s="26" t="n">
        <v>3.6</v>
      </c>
      <c r="N470" s="25">
        <f>ROUND(L470/M470, 0)</f>
        <v/>
      </c>
      <c r="O470" s="25">
        <f>ROUND(N470*'Methodology &amp; Assumptions'!$B$7, 0)</f>
        <v/>
      </c>
      <c r="P470" s="23" t="inlineStr">
        <is>
          <t>Single Carrier (Band n50, 100MHz TDD)</t>
        </is>
      </c>
      <c r="Q470" s="27">
        <f>ROUNDUP(O470/'Methodology &amp; Assumptions'!$B$8, 0)</f>
        <v/>
      </c>
      <c r="R470" s="27" t="n">
        <v>1</v>
      </c>
      <c r="S470" s="26" t="n">
        <v>0.3</v>
      </c>
      <c r="T470" s="26" t="n">
        <v>0.26</v>
      </c>
      <c r="U470" s="11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26" t="n">
        <v>72.23999999999999</v>
      </c>
      <c r="W470" s="26" t="n">
        <v>55.33</v>
      </c>
      <c r="X470" s="26">
        <f>ROUND(('Methodology &amp; Assumptions'!$B$5*V470) + ('Methodology &amp; Assumptions'!$B$6*W470), 2)</f>
        <v/>
      </c>
      <c r="Y470" s="28" t="n">
        <v>8.300000000000001</v>
      </c>
      <c r="Z470" s="11" t="inlineStr">
        <is>
          <t>Priority Tier 2 (Balanced Opportunity)</t>
        </is>
      </c>
    </row>
    <row r="471">
      <c r="A471" s="23" t="n">
        <v>2</v>
      </c>
      <c r="B471" s="23" t="n">
        <v>467</v>
      </c>
      <c r="C471" s="23" t="n">
        <v>1467</v>
      </c>
      <c r="D471" s="23" t="inlineStr">
        <is>
          <t>1381100010</t>
        </is>
      </c>
      <c r="E471" s="11" t="inlineStr">
        <is>
          <t>National Capital Region (NCR)</t>
        </is>
      </c>
      <c r="F471" s="11" t="inlineStr">
        <is>
          <t>Fourth District (Not a Province)</t>
        </is>
      </c>
      <c r="G471" s="11" t="inlineStr">
        <is>
          <t>Pasay City</t>
        </is>
      </c>
      <c r="H471" s="11" t="inlineStr">
        <is>
          <t>Barangay 10</t>
        </is>
      </c>
      <c r="I471" s="24" t="n">
        <v>14.552232</v>
      </c>
      <c r="J471" s="24" t="n">
        <v>120.990988</v>
      </c>
      <c r="K471" s="23" t="inlineStr">
        <is>
          <t>U</t>
        </is>
      </c>
      <c r="L471" s="25" t="n">
        <v>1427</v>
      </c>
      <c r="M471" s="26" t="n">
        <v>2.94</v>
      </c>
      <c r="N471" s="25">
        <f>ROUND(L471/M471, 0)</f>
        <v/>
      </c>
      <c r="O471" s="25">
        <f>ROUND(N471*'Methodology &amp; Assumptions'!$B$7, 0)</f>
        <v/>
      </c>
      <c r="P471" s="23" t="inlineStr">
        <is>
          <t>Single Carrier (Band n50, 100MHz TDD)</t>
        </is>
      </c>
      <c r="Q471" s="27">
        <f>ROUNDUP(O471/'Methodology &amp; Assumptions'!$B$8, 0)</f>
        <v/>
      </c>
      <c r="R471" s="27" t="n">
        <v>1</v>
      </c>
      <c r="S471" s="26" t="n">
        <v>0.14</v>
      </c>
      <c r="T471" s="26" t="n">
        <v>0.15</v>
      </c>
      <c r="U471" s="11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26" t="n">
        <v>56.73</v>
      </c>
      <c r="W471" s="26" t="n">
        <v>70.84999999999999</v>
      </c>
      <c r="X471" s="26">
        <f>ROUND(('Methodology &amp; Assumptions'!$B$5*V471) + ('Methodology &amp; Assumptions'!$B$6*W471), 2)</f>
        <v/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2</v>
      </c>
      <c r="B472" s="23" t="n">
        <v>468</v>
      </c>
      <c r="C472" s="23" t="n">
        <v>1468</v>
      </c>
      <c r="D472" s="23" t="inlineStr">
        <is>
          <t>1380601119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119</t>
        </is>
      </c>
      <c r="I472" s="24" t="n">
        <v>14.613964</v>
      </c>
      <c r="J472" s="24" t="n">
        <v>120.963128</v>
      </c>
      <c r="K472" s="23" t="inlineStr">
        <is>
          <t>U</t>
        </is>
      </c>
      <c r="L472" s="25" t="n">
        <v>1877</v>
      </c>
      <c r="M472" s="26" t="n">
        <v>4.59</v>
      </c>
      <c r="N472" s="25">
        <f>ROUND(L472/M472, 0)</f>
        <v/>
      </c>
      <c r="O472" s="25">
        <f>ROUND(N472*'Methodology &amp; Assumptions'!$B$7, 0)</f>
        <v/>
      </c>
      <c r="P472" s="23" t="inlineStr">
        <is>
          <t>Single Carrier (Band n50, 100MHz TDD)</t>
        </is>
      </c>
      <c r="Q472" s="27">
        <f>ROUNDUP(O472/'Methodology &amp; Assumptions'!$B$8, 0)</f>
        <v/>
      </c>
      <c r="R472" s="27" t="n">
        <v>1</v>
      </c>
      <c r="S472" s="26" t="n">
        <v>0.45</v>
      </c>
      <c r="T472" s="26" t="n">
        <v>0.6</v>
      </c>
      <c r="U472" s="11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26" t="n">
        <v>54.27</v>
      </c>
      <c r="W472" s="26" t="n">
        <v>73.31999999999999</v>
      </c>
      <c r="X472" s="26">
        <f>ROUND(('Methodology &amp; Assumptions'!$B$5*V472) + ('Methodology &amp; Assumptions'!$B$6*W472), 2)</f>
        <v/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2</v>
      </c>
      <c r="B473" s="23" t="n">
        <v>469</v>
      </c>
      <c r="C473" s="23" t="n">
        <v>1469</v>
      </c>
      <c r="D473" s="23" t="inlineStr">
        <is>
          <t>0402104017</t>
        </is>
      </c>
      <c r="E473" s="11" t="inlineStr">
        <is>
          <t>Region IV-A (CALABARZON)</t>
        </is>
      </c>
      <c r="F473" s="11" t="inlineStr">
        <is>
          <t>Cavite</t>
        </is>
      </c>
      <c r="G473" s="11" t="inlineStr">
        <is>
          <t>Carmona</t>
        </is>
      </c>
      <c r="H473" s="11" t="inlineStr">
        <is>
          <t>Barangay 6</t>
        </is>
      </c>
      <c r="I473" s="24" t="n">
        <v>14.314125</v>
      </c>
      <c r="J473" s="24" t="n">
        <v>121.057573</v>
      </c>
      <c r="K473" s="23" t="inlineStr">
        <is>
          <t>R</t>
        </is>
      </c>
      <c r="L473" s="25" t="n">
        <v>767</v>
      </c>
      <c r="M473" s="26" t="n">
        <v>3.4</v>
      </c>
      <c r="N473" s="25">
        <f>ROUND(L473/M473, 0)</f>
        <v/>
      </c>
      <c r="O473" s="25">
        <f>ROUND(N473*'Methodology &amp; Assumptions'!$B$7, 0)</f>
        <v/>
      </c>
      <c r="P473" s="23" t="inlineStr">
        <is>
          <t>Single Carrier (Band n50, 100MHz TDD)</t>
        </is>
      </c>
      <c r="Q473" s="27">
        <f>ROUNDUP(O473/'Methodology &amp; Assumptions'!$B$8, 0)</f>
        <v/>
      </c>
      <c r="R473" s="27" t="n">
        <v>1</v>
      </c>
      <c r="S473" s="26" t="n">
        <v>0.7</v>
      </c>
      <c r="T473" s="26" t="n">
        <v>0.33</v>
      </c>
      <c r="U473" s="11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26" t="n">
        <v>66.26000000000001</v>
      </c>
      <c r="W473" s="26" t="n">
        <v>61.3</v>
      </c>
      <c r="X473" s="26">
        <f>ROUND(('Methodology &amp; Assumptions'!$B$5*V473) + ('Methodology &amp; Assumptions'!$B$6*W473), 2)</f>
        <v/>
      </c>
      <c r="Y473" s="28" t="n">
        <v>7.2</v>
      </c>
      <c r="Z473" s="11" t="inlineStr">
        <is>
          <t>Priority Tier 2 (Balanced Opportunity)</t>
        </is>
      </c>
    </row>
    <row r="474">
      <c r="A474" s="23" t="n">
        <v>2</v>
      </c>
      <c r="B474" s="23" t="n">
        <v>470</v>
      </c>
      <c r="C474" s="23" t="n">
        <v>1470</v>
      </c>
      <c r="D474" s="23" t="inlineStr">
        <is>
          <t>1907009005</t>
        </is>
      </c>
      <c r="E474" s="11" t="inlineStr">
        <is>
          <t>Bangsamoro Autonomous Region In Muslim Mindanao (BARMM)</t>
        </is>
      </c>
      <c r="F474" s="11" t="inlineStr">
        <is>
          <t>Tawi-Tawi</t>
        </is>
      </c>
      <c r="G474" s="11" t="inlineStr">
        <is>
          <t>Languyan</t>
        </is>
      </c>
      <c r="H474" s="11" t="inlineStr">
        <is>
          <t>Languyan Proper</t>
        </is>
      </c>
      <c r="I474" s="24" t="n">
        <v>5.239225</v>
      </c>
      <c r="J474" s="24" t="n">
        <v>120.086743</v>
      </c>
      <c r="K474" s="23" t="inlineStr">
        <is>
          <t>U</t>
        </is>
      </c>
      <c r="L474" s="25" t="n">
        <v>4399</v>
      </c>
      <c r="M474" s="26" t="n">
        <v>5.8</v>
      </c>
      <c r="N474" s="25">
        <f>ROUND(L474/M474, 0)</f>
        <v/>
      </c>
      <c r="O474" s="25">
        <f>ROUND(N474*'Methodology &amp; Assumptions'!$B$7, 0)</f>
        <v/>
      </c>
      <c r="P474" s="23" t="inlineStr">
        <is>
          <t>Single Carrier (Band n50, 100MHz TDD)</t>
        </is>
      </c>
      <c r="Q474" s="27">
        <f>ROUNDUP(O474/'Methodology &amp; Assumptions'!$B$8, 0)</f>
        <v/>
      </c>
      <c r="R474" s="27" t="n">
        <v>1</v>
      </c>
      <c r="S474" s="26" t="n">
        <v>999</v>
      </c>
      <c r="T474" s="26" t="n">
        <v>999</v>
      </c>
      <c r="U474" s="11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26" t="n">
        <v>48.16</v>
      </c>
      <c r="W474" s="26" t="n">
        <v>79.40000000000001</v>
      </c>
      <c r="X474" s="26">
        <f>ROUND(('Methodology &amp; Assumptions'!$B$5*V474) + ('Methodology &amp; Assumptions'!$B$6*W474), 2)</f>
        <v/>
      </c>
      <c r="Y474" s="28" t="n">
        <v>11</v>
      </c>
      <c r="Z474" s="11" t="inlineStr">
        <is>
          <t>Priority Tier 2 (Balanced Opportunity)</t>
        </is>
      </c>
    </row>
    <row r="475">
      <c r="A475" s="23" t="n">
        <v>2</v>
      </c>
      <c r="B475" s="23" t="n">
        <v>471</v>
      </c>
      <c r="C475" s="23" t="n">
        <v>1471</v>
      </c>
      <c r="D475" s="23" t="inlineStr">
        <is>
          <t>0403403003</t>
        </is>
      </c>
      <c r="E475" s="11" t="inlineStr">
        <is>
          <t>Region IV-A (CALABARZON)</t>
        </is>
      </c>
      <c r="F475" s="11" t="inlineStr">
        <is>
          <t>Laguna</t>
        </is>
      </c>
      <c r="G475" s="11" t="inlineStr">
        <is>
          <t>City of Biñan</t>
        </is>
      </c>
      <c r="H475" s="11" t="inlineStr">
        <is>
          <t>Santo Tomas</t>
        </is>
      </c>
      <c r="I475" s="24" t="n">
        <v>14.31119</v>
      </c>
      <c r="J475" s="24" t="n">
        <v>121.06401</v>
      </c>
      <c r="K475" s="23" t="inlineStr">
        <is>
          <t>U</t>
        </is>
      </c>
      <c r="L475" s="25" t="n">
        <v>61000</v>
      </c>
      <c r="M475" s="26" t="n">
        <v>3.3</v>
      </c>
      <c r="N475" s="25">
        <f>ROUND(L475/M475, 0)</f>
        <v/>
      </c>
      <c r="O475" s="25">
        <f>ROUND(N475*'Methodology &amp; Assumptions'!$B$7, 0)</f>
        <v/>
      </c>
      <c r="P475" s="23" t="inlineStr">
        <is>
          <t>Single Carrier (Band n50, 100MHz TDD)</t>
        </is>
      </c>
      <c r="Q475" s="27">
        <f>ROUNDUP(O475/'Methodology &amp; Assumptions'!$B$8, 0)</f>
        <v/>
      </c>
      <c r="R475" s="27" t="n">
        <v>1</v>
      </c>
      <c r="S475" s="26" t="n">
        <v>0.08</v>
      </c>
      <c r="T475" s="26" t="n">
        <v>0.11</v>
      </c>
      <c r="U475" s="11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26" t="n">
        <v>76.2</v>
      </c>
      <c r="W475" s="26" t="n">
        <v>51.33</v>
      </c>
      <c r="X475" s="26">
        <f>ROUND(('Methodology &amp; Assumptions'!$B$5*V475) + ('Methodology &amp; Assumptions'!$B$6*W475), 2)</f>
        <v/>
      </c>
      <c r="Y475" s="28" t="n">
        <v>7.2</v>
      </c>
      <c r="Z475" s="11" t="inlineStr">
        <is>
          <t>Priority Tier 2 (Balanced Opportunity)</t>
        </is>
      </c>
    </row>
    <row r="476">
      <c r="A476" s="23" t="n">
        <v>2</v>
      </c>
      <c r="B476" s="23" t="n">
        <v>472</v>
      </c>
      <c r="C476" s="23" t="n">
        <v>1472</v>
      </c>
      <c r="D476" s="23" t="inlineStr">
        <is>
          <t>1381300064</t>
        </is>
      </c>
      <c r="E476" s="11" t="inlineStr">
        <is>
          <t>National Capital Region (NCR)</t>
        </is>
      </c>
      <c r="F476" s="11" t="inlineStr">
        <is>
          <t>Second District (Not a Province)</t>
        </is>
      </c>
      <c r="G476" s="11" t="inlineStr">
        <is>
          <t>Quezon City</t>
        </is>
      </c>
      <c r="H476" s="11" t="inlineStr">
        <is>
          <t>Masambong</t>
        </is>
      </c>
      <c r="I476" s="24" t="n">
        <v>14.64134</v>
      </c>
      <c r="J476" s="24" t="n">
        <v>121.011</v>
      </c>
      <c r="K476" s="23" t="inlineStr">
        <is>
          <t>U</t>
        </is>
      </c>
      <c r="L476" s="25" t="n">
        <v>9355</v>
      </c>
      <c r="M476" s="26" t="n">
        <v>3.71</v>
      </c>
      <c r="N476" s="25">
        <f>ROUND(L476/M476, 0)</f>
        <v/>
      </c>
      <c r="O476" s="25">
        <f>ROUND(N476*'Methodology &amp; Assumptions'!$B$7, 0)</f>
        <v/>
      </c>
      <c r="P476" s="23" t="inlineStr">
        <is>
          <t>Single Carrier (Band n50, 100MHz TDD)</t>
        </is>
      </c>
      <c r="Q476" s="27">
        <f>ROUNDUP(O476/'Methodology &amp; Assumptions'!$B$8, 0)</f>
        <v/>
      </c>
      <c r="R476" s="27" t="n">
        <v>1</v>
      </c>
      <c r="S476" s="26" t="n">
        <v>0.77</v>
      </c>
      <c r="T476" s="26" t="n">
        <v>0.29</v>
      </c>
      <c r="U476" s="11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26" t="n">
        <v>69.09</v>
      </c>
      <c r="W476" s="26" t="n">
        <v>58.44</v>
      </c>
      <c r="X476" s="26">
        <f>ROUND(('Methodology &amp; Assumptions'!$B$5*V476) + ('Methodology &amp; Assumptions'!$B$6*W476), 2)</f>
        <v/>
      </c>
      <c r="Y476" s="28" t="n">
        <v>10.9</v>
      </c>
      <c r="Z476" s="11" t="inlineStr">
        <is>
          <t>Priority Tier 2 (Balanced Opportunity)</t>
        </is>
      </c>
    </row>
    <row r="477">
      <c r="A477" s="23" t="n">
        <v>2</v>
      </c>
      <c r="B477" s="23" t="n">
        <v>473</v>
      </c>
      <c r="C477" s="23" t="n">
        <v>1473</v>
      </c>
      <c r="D477" s="23" t="inlineStr">
        <is>
          <t>0405802007</t>
        </is>
      </c>
      <c r="E477" s="11" t="inlineStr">
        <is>
          <t>Region IV-A (CALABARZON)</t>
        </is>
      </c>
      <c r="F477" s="11" t="inlineStr">
        <is>
          <t>Rizal</t>
        </is>
      </c>
      <c r="G477" s="11" t="inlineStr">
        <is>
          <t>City of Antipolo</t>
        </is>
      </c>
      <c r="H477" s="11" t="inlineStr">
        <is>
          <t>San Isidro</t>
        </is>
      </c>
      <c r="I477" s="24" t="n">
        <v>14.595225</v>
      </c>
      <c r="J477" s="24" t="n">
        <v>121.185465</v>
      </c>
      <c r="K477" s="23" t="inlineStr">
        <is>
          <t>U</t>
        </is>
      </c>
      <c r="L477" s="25" t="n">
        <v>62732</v>
      </c>
      <c r="M477" s="26" t="n">
        <v>3.6</v>
      </c>
      <c r="N477" s="25">
        <f>ROUND(L477/M477, 0)</f>
        <v/>
      </c>
      <c r="O477" s="25">
        <f>ROUND(N477*'Methodology &amp; Assumptions'!$B$7, 0)</f>
        <v/>
      </c>
      <c r="P477" s="23" t="inlineStr">
        <is>
          <t>Single Carrier (Band n50, 100MHz TDD)</t>
        </is>
      </c>
      <c r="Q477" s="27">
        <f>ROUNDUP(O477/'Methodology &amp; Assumptions'!$B$8, 0)</f>
        <v/>
      </c>
      <c r="R477" s="27" t="n">
        <v>1</v>
      </c>
      <c r="S477" s="26" t="n">
        <v>1.64</v>
      </c>
      <c r="T477" s="26" t="n">
        <v>0.55</v>
      </c>
      <c r="U477" s="11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26" t="n">
        <v>73.34999999999999</v>
      </c>
      <c r="W477" s="26" t="n">
        <v>54.16</v>
      </c>
      <c r="X477" s="26">
        <f>ROUND(('Methodology &amp; Assumptions'!$B$5*V477) + ('Methodology &amp; Assumptions'!$B$6*W477), 2)</f>
        <v/>
      </c>
      <c r="Y477" s="28" t="n">
        <v>7.2</v>
      </c>
      <c r="Z477" s="11" t="inlineStr">
        <is>
          <t>Priority Tier 2 (Balanced Opportunity)</t>
        </is>
      </c>
    </row>
    <row r="478">
      <c r="A478" s="23" t="n">
        <v>2</v>
      </c>
      <c r="B478" s="23" t="n">
        <v>474</v>
      </c>
      <c r="C478" s="23" t="n">
        <v>1474</v>
      </c>
      <c r="D478" s="23" t="inlineStr">
        <is>
          <t>0403405003</t>
        </is>
      </c>
      <c r="E478" s="11" t="inlineStr">
        <is>
          <t>Region IV-A (CALABARZON)</t>
        </is>
      </c>
      <c r="F478" s="11" t="inlineStr">
        <is>
          <t>Laguna</t>
        </is>
      </c>
      <c r="G478" s="11" t="inlineStr">
        <is>
          <t>City of Calamba</t>
        </is>
      </c>
      <c r="H478" s="11" t="inlineStr">
        <is>
          <t>Banlic</t>
        </is>
      </c>
      <c r="I478" s="24" t="n">
        <v>14.228711</v>
      </c>
      <c r="J478" s="24" t="n">
        <v>121.152317</v>
      </c>
      <c r="K478" s="23" t="inlineStr">
        <is>
          <t>U</t>
        </is>
      </c>
      <c r="L478" s="25" t="n">
        <v>20098</v>
      </c>
      <c r="M478" s="26" t="n">
        <v>3.3</v>
      </c>
      <c r="N478" s="25">
        <f>ROUND(L478/M478, 0)</f>
        <v/>
      </c>
      <c r="O478" s="25">
        <f>ROUND(N478*'Methodology &amp; Assumptions'!$B$7, 0)</f>
        <v/>
      </c>
      <c r="P478" s="23" t="inlineStr">
        <is>
          <t>Single Carrier (Band n50, 100MHz TDD)</t>
        </is>
      </c>
      <c r="Q478" s="27">
        <f>ROUNDUP(O478/'Methodology &amp; Assumptions'!$B$8, 0)</f>
        <v/>
      </c>
      <c r="R478" s="27" t="n">
        <v>1</v>
      </c>
      <c r="S478" s="26" t="n">
        <v>3.14</v>
      </c>
      <c r="T478" s="26" t="n">
        <v>1.37</v>
      </c>
      <c r="U478" s="11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26" t="n">
        <v>70.5</v>
      </c>
      <c r="W478" s="26" t="n">
        <v>57.03</v>
      </c>
      <c r="X478" s="26">
        <f>ROUND(('Methodology &amp; Assumptions'!$B$5*V478) + ('Methodology &amp; Assumptions'!$B$6*W478), 2)</f>
        <v/>
      </c>
      <c r="Y478" s="28" t="n">
        <v>7.2</v>
      </c>
      <c r="Z478" s="11" t="inlineStr">
        <is>
          <t>Priority Tier 2 (Balanced Opportunity)</t>
        </is>
      </c>
    </row>
    <row r="479">
      <c r="A479" s="23" t="n">
        <v>2</v>
      </c>
      <c r="B479" s="23" t="n">
        <v>475</v>
      </c>
      <c r="C479" s="23" t="n">
        <v>1475</v>
      </c>
      <c r="D479" s="23" t="inlineStr">
        <is>
          <t>1381300091</t>
        </is>
      </c>
      <c r="E479" s="11" t="inlineStr">
        <is>
          <t>National Capital Region (NCR)</t>
        </is>
      </c>
      <c r="F479" s="11" t="inlineStr">
        <is>
          <t>Second District (Not a Province)</t>
        </is>
      </c>
      <c r="G479" s="11" t="inlineStr">
        <is>
          <t>Quezon City</t>
        </is>
      </c>
      <c r="H479" s="11" t="inlineStr">
        <is>
          <t>Sacred Heart</t>
        </is>
      </c>
      <c r="I479" s="24" t="n">
        <v>14.63045</v>
      </c>
      <c r="J479" s="24" t="n">
        <v>121.0386</v>
      </c>
      <c r="K479" s="23" t="inlineStr">
        <is>
          <t>U</t>
        </is>
      </c>
      <c r="L479" s="25" t="n">
        <v>6261</v>
      </c>
      <c r="M479" s="26" t="n">
        <v>3.28</v>
      </c>
      <c r="N479" s="25">
        <f>ROUND(L479/M479, 0)</f>
        <v/>
      </c>
      <c r="O479" s="25">
        <f>ROUND(N479*'Methodology &amp; Assumptions'!$B$7, 0)</f>
        <v/>
      </c>
      <c r="P479" s="23" t="inlineStr">
        <is>
          <t>Single Carrier (Band n50, 100MHz TDD)</t>
        </is>
      </c>
      <c r="Q479" s="27">
        <f>ROUNDUP(O479/'Methodology &amp; Assumptions'!$B$8, 0)</f>
        <v/>
      </c>
      <c r="R479" s="27" t="n">
        <v>1</v>
      </c>
      <c r="S479" s="26" t="n">
        <v>1.26</v>
      </c>
      <c r="T479" s="26" t="n">
        <v>0.21</v>
      </c>
      <c r="U479" s="11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26" t="n">
        <v>67.48999999999999</v>
      </c>
      <c r="W479" s="26" t="n">
        <v>60.03</v>
      </c>
      <c r="X479" s="26">
        <f>ROUND(('Methodology &amp; Assumptions'!$B$5*V479) + ('Methodology &amp; Assumptions'!$B$6*W479), 2)</f>
        <v/>
      </c>
      <c r="Y479" s="28" t="n">
        <v>10.9</v>
      </c>
      <c r="Z479" s="11" t="inlineStr">
        <is>
          <t>Priority Tier 2 (Balanced Opportunity)</t>
        </is>
      </c>
    </row>
    <row r="480">
      <c r="A480" s="23" t="n">
        <v>2</v>
      </c>
      <c r="B480" s="23" t="n">
        <v>476</v>
      </c>
      <c r="C480" s="23" t="n">
        <v>1476</v>
      </c>
      <c r="D480" s="23" t="inlineStr">
        <is>
          <t>1381300132</t>
        </is>
      </c>
      <c r="E480" s="11" t="inlineStr">
        <is>
          <t>National Capital Region (NCR)</t>
        </is>
      </c>
      <c r="F480" s="11" t="inlineStr">
        <is>
          <t>Second District (Not a Province)</t>
        </is>
      </c>
      <c r="G480" s="11" t="inlineStr">
        <is>
          <t>Quezon City</t>
        </is>
      </c>
      <c r="H480" s="11" t="inlineStr">
        <is>
          <t>West Kamias</t>
        </is>
      </c>
      <c r="I480" s="24" t="n">
        <v>14.62874</v>
      </c>
      <c r="J480" s="24" t="n">
        <v>121.0474</v>
      </c>
      <c r="K480" s="23" t="inlineStr">
        <is>
          <t>U</t>
        </is>
      </c>
      <c r="L480" s="25" t="n">
        <v>4546</v>
      </c>
      <c r="M480" s="26" t="n">
        <v>3.47</v>
      </c>
      <c r="N480" s="25">
        <f>ROUND(L480/M480, 0)</f>
        <v/>
      </c>
      <c r="O480" s="25">
        <f>ROUND(N480*'Methodology &amp; Assumptions'!$B$7, 0)</f>
        <v/>
      </c>
      <c r="P480" s="23" t="inlineStr">
        <is>
          <t>Single Carrier (Band n50, 100MHz TDD)</t>
        </is>
      </c>
      <c r="Q480" s="27">
        <f>ROUNDUP(O480/'Methodology &amp; Assumptions'!$B$8, 0)</f>
        <v/>
      </c>
      <c r="R480" s="27" t="n">
        <v>1</v>
      </c>
      <c r="S480" s="26" t="n">
        <v>1.48</v>
      </c>
      <c r="T480" s="26" t="n">
        <v>0.28</v>
      </c>
      <c r="U480" s="11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26" t="n">
        <v>66.69</v>
      </c>
      <c r="W480" s="26" t="n">
        <v>60.83</v>
      </c>
      <c r="X480" s="26">
        <f>ROUND(('Methodology &amp; Assumptions'!$B$5*V480) + ('Methodology &amp; Assumptions'!$B$6*W480), 2)</f>
        <v/>
      </c>
      <c r="Y480" s="28" t="n">
        <v>10.9</v>
      </c>
      <c r="Z480" s="11" t="inlineStr">
        <is>
          <t>Priority Tier 2 (Balanced Opportunity)</t>
        </is>
      </c>
    </row>
    <row r="481">
      <c r="A481" s="23" t="n">
        <v>2</v>
      </c>
      <c r="B481" s="23" t="n">
        <v>477</v>
      </c>
      <c r="C481" s="23" t="n">
        <v>1477</v>
      </c>
      <c r="D481" s="23" t="inlineStr">
        <is>
          <t>1380606187</t>
        </is>
      </c>
      <c r="E481" s="11" t="inlineStr">
        <is>
          <t>National Capital Region (NCR)</t>
        </is>
      </c>
      <c r="F481" s="11" t="inlineStr">
        <is>
          <t>First District (Not a Province)</t>
        </is>
      </c>
      <c r="G481" s="11" t="inlineStr">
        <is>
          <t>City of Manila</t>
        </is>
      </c>
      <c r="H481" s="11" t="inlineStr">
        <is>
          <t>Barangay 581</t>
        </is>
      </c>
      <c r="I481" s="24" t="n">
        <v>14.605243</v>
      </c>
      <c r="J481" s="24" t="n">
        <v>121.01061</v>
      </c>
      <c r="K481" s="23" t="inlineStr">
        <is>
          <t>U</t>
        </is>
      </c>
      <c r="L481" s="25" t="n">
        <v>2212</v>
      </c>
      <c r="M481" s="26" t="n">
        <v>4.28</v>
      </c>
      <c r="N481" s="25">
        <f>ROUND(L481/M481, 0)</f>
        <v/>
      </c>
      <c r="O481" s="25">
        <f>ROUND(N481*'Methodology &amp; Assumptions'!$B$7, 0)</f>
        <v/>
      </c>
      <c r="P481" s="23" t="inlineStr">
        <is>
          <t>Single Carrier (Band n50, 100MHz TDD)</t>
        </is>
      </c>
      <c r="Q481" s="27">
        <f>ROUNDUP(O481/'Methodology &amp; Assumptions'!$B$8, 0)</f>
        <v/>
      </c>
      <c r="R481" s="27" t="n">
        <v>1</v>
      </c>
      <c r="S481" s="26" t="n">
        <v>0.74</v>
      </c>
      <c r="T481" s="26" t="n">
        <v>0.32</v>
      </c>
      <c r="U481" s="11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26" t="n">
        <v>57.69</v>
      </c>
      <c r="W481" s="26" t="n">
        <v>69.81999999999999</v>
      </c>
      <c r="X481" s="26">
        <f>ROUND(('Methodology &amp; Assumptions'!$B$5*V481) + ('Methodology &amp; Assumptions'!$B$6*W481), 2)</f>
        <v/>
      </c>
      <c r="Y481" s="28" t="n">
        <v>10.9</v>
      </c>
      <c r="Z481" s="11" t="inlineStr">
        <is>
          <t>Priority Tier 2 (Balanced Opportunity)</t>
        </is>
      </c>
    </row>
    <row r="482">
      <c r="A482" s="23" t="n">
        <v>2</v>
      </c>
      <c r="B482" s="23" t="n">
        <v>478</v>
      </c>
      <c r="C482" s="23" t="n">
        <v>1478</v>
      </c>
      <c r="D482" s="23" t="inlineStr">
        <is>
          <t>1003508027</t>
        </is>
      </c>
      <c r="E482" s="11" t="inlineStr">
        <is>
          <t>Region X (Northern Mindanao)</t>
        </is>
      </c>
      <c r="F482" s="11" t="inlineStr">
        <is>
          <t>Lanao del Norte</t>
        </is>
      </c>
      <c r="G482" s="11" t="inlineStr">
        <is>
          <t>Kolambugan</t>
        </is>
      </c>
      <c r="H482" s="11" t="inlineStr">
        <is>
          <t>Sucodan</t>
        </is>
      </c>
      <c r="I482" s="24" t="n">
        <v>8.0825</v>
      </c>
      <c r="J482" s="24" t="n">
        <v>123.8758</v>
      </c>
      <c r="K482" s="23" t="inlineStr">
        <is>
          <t>R</t>
        </is>
      </c>
      <c r="L482" s="25" t="n">
        <v>826</v>
      </c>
      <c r="M482" s="26" t="n">
        <v>4.2</v>
      </c>
      <c r="N482" s="25">
        <f>ROUND(L482/M482, 0)</f>
        <v/>
      </c>
      <c r="O482" s="25">
        <f>ROUND(N482*'Methodology &amp; Assumptions'!$B$7, 0)</f>
        <v/>
      </c>
      <c r="P482" s="23" t="inlineStr">
        <is>
          <t>Single Carrier (Band n50, 100MHz TDD)</t>
        </is>
      </c>
      <c r="Q482" s="27">
        <f>ROUNDUP(O482/'Methodology &amp; Assumptions'!$B$8, 0)</f>
        <v/>
      </c>
      <c r="R482" s="27" t="n">
        <v>1</v>
      </c>
      <c r="S482" s="26" t="n">
        <v>9.52</v>
      </c>
      <c r="T482" s="26" t="n">
        <v>2.17</v>
      </c>
      <c r="U482" s="11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26" t="n">
        <v>46.46</v>
      </c>
      <c r="W482" s="26" t="n">
        <v>81.06</v>
      </c>
      <c r="X482" s="26">
        <f>ROUND(('Methodology &amp; Assumptions'!$B$5*V482) + ('Methodology &amp; Assumptions'!$B$6*W482), 2)</f>
        <v/>
      </c>
      <c r="Y482" s="28" t="n">
        <v>17.4</v>
      </c>
      <c r="Z482" s="11" t="inlineStr">
        <is>
          <t>Priority Tier 2 (Balanced Opportunity)</t>
        </is>
      </c>
    </row>
    <row r="483">
      <c r="A483" s="23" t="n">
        <v>2</v>
      </c>
      <c r="B483" s="23" t="n">
        <v>479</v>
      </c>
      <c r="C483" s="23" t="n">
        <v>1479</v>
      </c>
      <c r="D483" s="23" t="inlineStr">
        <is>
          <t>0301414008</t>
        </is>
      </c>
      <c r="E483" s="11" t="inlineStr">
        <is>
          <t>Region III (Central Luzon)</t>
        </is>
      </c>
      <c r="F483" s="11" t="inlineStr">
        <is>
          <t>Bulacan</t>
        </is>
      </c>
      <c r="G483" s="11" t="inlineStr">
        <is>
          <t>Obando</t>
        </is>
      </c>
      <c r="H483" s="11" t="inlineStr">
        <is>
          <t>Paliwas</t>
        </is>
      </c>
      <c r="I483" s="24" t="n">
        <v>14.712765</v>
      </c>
      <c r="J483" s="24" t="n">
        <v>120.935182</v>
      </c>
      <c r="K483" s="23" t="inlineStr">
        <is>
          <t>U</t>
        </is>
      </c>
      <c r="L483" s="25" t="n">
        <v>5749</v>
      </c>
      <c r="M483" s="26" t="n">
        <v>3.5</v>
      </c>
      <c r="N483" s="25">
        <f>ROUND(L483/M483, 0)</f>
        <v/>
      </c>
      <c r="O483" s="25">
        <f>ROUND(N483*'Methodology &amp; Assumptions'!$B$7, 0)</f>
        <v/>
      </c>
      <c r="P483" s="23" t="inlineStr">
        <is>
          <t>Single Carrier (Band n50, 100MHz TDD)</t>
        </is>
      </c>
      <c r="Q483" s="27">
        <f>ROUNDUP(O483/'Methodology &amp; Assumptions'!$B$8, 0)</f>
        <v/>
      </c>
      <c r="R483" s="27" t="n">
        <v>1</v>
      </c>
      <c r="S483" s="26" t="n">
        <v>0.4</v>
      </c>
      <c r="T483" s="26" t="n">
        <v>2.42</v>
      </c>
      <c r="U483" s="11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26" t="n">
        <v>76.72</v>
      </c>
      <c r="W483" s="26" t="n">
        <v>50.78</v>
      </c>
      <c r="X483" s="26">
        <f>ROUND(('Methodology &amp; Assumptions'!$B$5*V483) + ('Methodology &amp; Assumptions'!$B$6*W483), 2)</f>
        <v/>
      </c>
      <c r="Y483" s="28" t="n">
        <v>8.300000000000001</v>
      </c>
      <c r="Z483" s="11" t="inlineStr">
        <is>
          <t>Priority Tier 2 (Balanced Opportunity)</t>
        </is>
      </c>
    </row>
    <row r="484">
      <c r="A484" s="23" t="n">
        <v>2</v>
      </c>
      <c r="B484" s="23" t="n">
        <v>480</v>
      </c>
      <c r="C484" s="23" t="n">
        <v>1480</v>
      </c>
      <c r="D484" s="23" t="inlineStr">
        <is>
          <t>1380606177</t>
        </is>
      </c>
      <c r="E484" s="11" t="inlineStr">
        <is>
          <t>National Capital Region (NCR)</t>
        </is>
      </c>
      <c r="F484" s="11" t="inlineStr">
        <is>
          <t>First District (Not a Province)</t>
        </is>
      </c>
      <c r="G484" s="11" t="inlineStr">
        <is>
          <t>City of Manila</t>
        </is>
      </c>
      <c r="H484" s="11" t="inlineStr">
        <is>
          <t>Barangay 571</t>
        </is>
      </c>
      <c r="I484" s="24" t="n">
        <v>14.60464</v>
      </c>
      <c r="J484" s="24" t="n">
        <v>121.005408</v>
      </c>
      <c r="K484" s="23" t="inlineStr">
        <is>
          <t>U</t>
        </is>
      </c>
      <c r="L484" s="25" t="n">
        <v>2452</v>
      </c>
      <c r="M484" s="26" t="n">
        <v>4.49</v>
      </c>
      <c r="N484" s="25">
        <f>ROUND(L484/M484, 0)</f>
        <v/>
      </c>
      <c r="O484" s="25">
        <f>ROUND(N484*'Methodology &amp; Assumptions'!$B$7, 0)</f>
        <v/>
      </c>
      <c r="P484" s="23" t="inlineStr">
        <is>
          <t>Single Carrier (Band n50, 100MHz TDD)</t>
        </is>
      </c>
      <c r="Q484" s="27">
        <f>ROUNDUP(O484/'Methodology &amp; Assumptions'!$B$8, 0)</f>
        <v/>
      </c>
      <c r="R484" s="27" t="n">
        <v>1</v>
      </c>
      <c r="S484" s="26" t="n">
        <v>0.3</v>
      </c>
      <c r="T484" s="26" t="n">
        <v>0.21</v>
      </c>
      <c r="U484" s="11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26" t="n">
        <v>58.66</v>
      </c>
      <c r="W484" s="26" t="n">
        <v>68.84</v>
      </c>
      <c r="X484" s="26">
        <f>ROUND(('Methodology &amp; Assumptions'!$B$5*V484) + ('Methodology &amp; Assumptions'!$B$6*W484), 2)</f>
        <v/>
      </c>
      <c r="Y484" s="28" t="n">
        <v>10.9</v>
      </c>
      <c r="Z484" s="11" t="inlineStr">
        <is>
          <t>Priority Tier 2 (Balanced Opportunity)</t>
        </is>
      </c>
    </row>
    <row r="485">
      <c r="A485" s="23" t="n">
        <v>2</v>
      </c>
      <c r="B485" s="23" t="n">
        <v>481</v>
      </c>
      <c r="C485" s="23" t="n">
        <v>1481</v>
      </c>
      <c r="D485" s="23" t="inlineStr">
        <is>
          <t>1380601217</t>
        </is>
      </c>
      <c r="E485" s="11" t="inlineStr">
        <is>
          <t>National Capital Region (NCR)</t>
        </is>
      </c>
      <c r="F485" s="11" t="inlineStr">
        <is>
          <t>First District (Not a Province)</t>
        </is>
      </c>
      <c r="G485" s="11" t="inlineStr">
        <is>
          <t>City of Manila</t>
        </is>
      </c>
      <c r="H485" s="11" t="inlineStr">
        <is>
          <t>Barangay 216</t>
        </is>
      </c>
      <c r="I485" s="24" t="n">
        <v>14.624612</v>
      </c>
      <c r="J485" s="24" t="n">
        <v>120.978018</v>
      </c>
      <c r="K485" s="23" t="inlineStr">
        <is>
          <t>U</t>
        </is>
      </c>
      <c r="L485" s="25" t="n">
        <v>2237</v>
      </c>
      <c r="M485" s="26" t="n">
        <v>4.61</v>
      </c>
      <c r="N485" s="25">
        <f>ROUND(L485/M485, 0)</f>
        <v/>
      </c>
      <c r="O485" s="25">
        <f>ROUND(N485*'Methodology &amp; Assumptions'!$B$7, 0)</f>
        <v/>
      </c>
      <c r="P485" s="23" t="inlineStr">
        <is>
          <t>Single Carrier (Band n50, 100MHz TDD)</t>
        </is>
      </c>
      <c r="Q485" s="27">
        <f>ROUNDUP(O485/'Methodology &amp; Assumptions'!$B$8, 0)</f>
        <v/>
      </c>
      <c r="R485" s="27" t="n">
        <v>1</v>
      </c>
      <c r="S485" s="26" t="n">
        <v>0.5600000000000001</v>
      </c>
      <c r="T485" s="26" t="n">
        <v>0.16</v>
      </c>
      <c r="U485" s="11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26" t="n">
        <v>56.73</v>
      </c>
      <c r="W485" s="26" t="n">
        <v>70.76000000000001</v>
      </c>
      <c r="X485" s="26">
        <f>ROUND(('Methodology &amp; Assumptions'!$B$5*V485) + ('Methodology &amp; Assumptions'!$B$6*W485), 2)</f>
        <v/>
      </c>
      <c r="Y485" s="28" t="n">
        <v>10.9</v>
      </c>
      <c r="Z485" s="11" t="inlineStr">
        <is>
          <t>Priority Tier 2 (Balanced Opportunity)</t>
        </is>
      </c>
    </row>
    <row r="486">
      <c r="A486" s="23" t="n">
        <v>2</v>
      </c>
      <c r="B486" s="23" t="n">
        <v>482</v>
      </c>
      <c r="C486" s="23" t="n">
        <v>1482</v>
      </c>
      <c r="D486" s="23" t="inlineStr">
        <is>
          <t>1380601062</t>
        </is>
      </c>
      <c r="E486" s="11" t="inlineStr">
        <is>
          <t>National Capital Region (NCR)</t>
        </is>
      </c>
      <c r="F486" s="11" t="inlineStr">
        <is>
          <t>First District (Not a Province)</t>
        </is>
      </c>
      <c r="G486" s="11" t="inlineStr">
        <is>
          <t>City of Manila</t>
        </is>
      </c>
      <c r="H486" s="11" t="inlineStr">
        <is>
          <t>Barangay 62</t>
        </is>
      </c>
      <c r="I486" s="24" t="n">
        <v>14.611377</v>
      </c>
      <c r="J486" s="24" t="n">
        <v>120.96703</v>
      </c>
      <c r="K486" s="23" t="inlineStr">
        <is>
          <t>U</t>
        </is>
      </c>
      <c r="L486" s="25" t="n">
        <v>1877</v>
      </c>
      <c r="M486" s="26" t="n">
        <v>4.3</v>
      </c>
      <c r="N486" s="25">
        <f>ROUND(L486/M486, 0)</f>
        <v/>
      </c>
      <c r="O486" s="25">
        <f>ROUND(N486*'Methodology &amp; Assumptions'!$B$7, 0)</f>
        <v/>
      </c>
      <c r="P486" s="23" t="inlineStr">
        <is>
          <t>Single Carrier (Band n50, 100MHz TDD)</t>
        </is>
      </c>
      <c r="Q486" s="27">
        <f>ROUNDUP(O486/'Methodology &amp; Assumptions'!$B$8, 0)</f>
        <v/>
      </c>
      <c r="R486" s="27" t="n">
        <v>1</v>
      </c>
      <c r="S486" s="26" t="n">
        <v>0.59</v>
      </c>
      <c r="T486" s="26" t="n">
        <v>0.28</v>
      </c>
      <c r="U486" s="11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26" t="n">
        <v>55.12</v>
      </c>
      <c r="W486" s="26" t="n">
        <v>72.37</v>
      </c>
      <c r="X486" s="26">
        <f>ROUND(('Methodology &amp; Assumptions'!$B$5*V486) + ('Methodology &amp; Assumptions'!$B$6*W486), 2)</f>
        <v/>
      </c>
      <c r="Y486" s="28" t="n">
        <v>10.9</v>
      </c>
      <c r="Z486" s="11" t="inlineStr">
        <is>
          <t>Priority Tier 2 (Balanced Opportunity)</t>
        </is>
      </c>
    </row>
    <row r="487">
      <c r="A487" s="23" t="n">
        <v>2</v>
      </c>
      <c r="B487" s="23" t="n">
        <v>483</v>
      </c>
      <c r="C487" s="23" t="n">
        <v>1483</v>
      </c>
      <c r="D487" s="23" t="inlineStr">
        <is>
          <t>1208006003</t>
        </is>
      </c>
      <c r="E487" s="11" t="inlineStr">
        <is>
          <t>Region XII (SOCCSKSARGEN)</t>
        </is>
      </c>
      <c r="F487" s="11" t="inlineStr">
        <is>
          <t>Sarangani</t>
        </is>
      </c>
      <c r="G487" s="11" t="inlineStr">
        <is>
          <t>Malapatan</t>
        </is>
      </c>
      <c r="H487" s="11" t="inlineStr">
        <is>
          <t>Kinam</t>
        </is>
      </c>
      <c r="I487" s="24" t="n">
        <v>6.042856</v>
      </c>
      <c r="J487" s="24" t="n">
        <v>125.467237</v>
      </c>
      <c r="K487" s="23" t="inlineStr">
        <is>
          <t>U</t>
        </is>
      </c>
      <c r="L487" s="25" t="n">
        <v>12767</v>
      </c>
      <c r="M487" s="26" t="n">
        <v>3.9</v>
      </c>
      <c r="N487" s="25">
        <f>ROUND(L487/M487, 0)</f>
        <v/>
      </c>
      <c r="O487" s="25">
        <f>ROUND(N487*'Methodology &amp; Assumptions'!$B$7, 0)</f>
        <v/>
      </c>
      <c r="P487" s="23" t="inlineStr">
        <is>
          <t>Single Carrier (Band n50, 100MHz TDD)</t>
        </is>
      </c>
      <c r="Q487" s="27">
        <f>ROUNDUP(O487/'Methodology &amp; Assumptions'!$B$8, 0)</f>
        <v/>
      </c>
      <c r="R487" s="27" t="n">
        <v>1</v>
      </c>
      <c r="S487" s="26" t="n">
        <v>22.03</v>
      </c>
      <c r="T487" s="26" t="n">
        <v>30.81</v>
      </c>
      <c r="U487" s="11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26" t="n">
        <v>54.62</v>
      </c>
      <c r="W487" s="26" t="n">
        <v>72.89</v>
      </c>
      <c r="X487" s="26">
        <f>ROUND(('Methodology &amp; Assumptions'!$B$5*V487) + ('Methodology &amp; Assumptions'!$B$6*W487), 2)</f>
        <v/>
      </c>
      <c r="Y487" s="28" t="n">
        <v>17.4</v>
      </c>
      <c r="Z487" s="11" t="inlineStr">
        <is>
          <t>Priority Tier 2 (Balanced Opportunity)</t>
        </is>
      </c>
    </row>
    <row r="488">
      <c r="A488" s="23" t="n">
        <v>2</v>
      </c>
      <c r="B488" s="23" t="n">
        <v>484</v>
      </c>
      <c r="C488" s="23" t="n">
        <v>1484</v>
      </c>
      <c r="D488" s="23" t="inlineStr">
        <is>
          <t>0205015001</t>
        </is>
      </c>
      <c r="E488" s="11" t="inlineStr">
        <is>
          <t>Region II (Cagayan Valley)</t>
        </is>
      </c>
      <c r="F488" s="11" t="inlineStr">
        <is>
          <t>Nueva Vizcaya</t>
        </is>
      </c>
      <c r="G488" s="11" t="inlineStr">
        <is>
          <t>Alfonso Castaneda</t>
        </is>
      </c>
      <c r="H488" s="11" t="inlineStr">
        <is>
          <t>Abuyo</t>
        </is>
      </c>
      <c r="I488" s="24" t="n">
        <v>15.9</v>
      </c>
      <c r="J488" s="24" t="n">
        <v>121.233333</v>
      </c>
      <c r="K488" s="23" t="inlineStr">
        <is>
          <t>R</t>
        </is>
      </c>
      <c r="L488" s="25" t="n">
        <v>1613</v>
      </c>
      <c r="M488" s="26" t="n">
        <v>3.8</v>
      </c>
      <c r="N488" s="25">
        <f>ROUND(L488/M488, 0)</f>
        <v/>
      </c>
      <c r="O488" s="25">
        <f>ROUND(N488*'Methodology &amp; Assumptions'!$B$7, 0)</f>
        <v/>
      </c>
      <c r="P488" s="23" t="inlineStr">
        <is>
          <t>Single Carrier (Band n50, 100MHz TDD)</t>
        </is>
      </c>
      <c r="Q488" s="27">
        <f>ROUNDUP(O488/'Methodology &amp; Assumptions'!$B$8, 0)</f>
        <v/>
      </c>
      <c r="R488" s="27" t="n">
        <v>1</v>
      </c>
      <c r="S488" s="26" t="n">
        <v>14.06</v>
      </c>
      <c r="T488" s="26" t="n">
        <v>11.58</v>
      </c>
      <c r="U488" s="11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26" t="n">
        <v>48.32</v>
      </c>
      <c r="W488" s="26" t="n">
        <v>79.16</v>
      </c>
      <c r="X488" s="26">
        <f>ROUND(('Methodology &amp; Assumptions'!$B$5*V488) + ('Methodology &amp; Assumptions'!$B$6*W488), 2)</f>
        <v/>
      </c>
      <c r="Y488" s="28" t="n">
        <v>8.300000000000001</v>
      </c>
      <c r="Z488" s="11" t="inlineStr">
        <is>
          <t>Priority Tier 2 (Balanced Opportunity)</t>
        </is>
      </c>
    </row>
    <row r="489">
      <c r="A489" s="23" t="n">
        <v>2</v>
      </c>
      <c r="B489" s="23" t="n">
        <v>485</v>
      </c>
      <c r="C489" s="23" t="n">
        <v>1485</v>
      </c>
      <c r="D489" s="23" t="inlineStr">
        <is>
          <t>0103307033</t>
        </is>
      </c>
      <c r="E489" s="11" t="inlineStr">
        <is>
          <t>Region I (Ilocos Region)</t>
        </is>
      </c>
      <c r="F489" s="11" t="inlineStr">
        <is>
          <t>La Union</t>
        </is>
      </c>
      <c r="G489" s="11" t="inlineStr">
        <is>
          <t>Bauang</t>
        </is>
      </c>
      <c r="H489" s="11" t="inlineStr">
        <is>
          <t>Quinavite</t>
        </is>
      </c>
      <c r="I489" s="24" t="n">
        <v>16.532906</v>
      </c>
      <c r="J489" s="24" t="n">
        <v>120.32981</v>
      </c>
      <c r="K489" s="23" t="inlineStr">
        <is>
          <t>R</t>
        </is>
      </c>
      <c r="L489" s="25" t="n">
        <v>3893</v>
      </c>
      <c r="M489" s="26" t="n">
        <v>3.7</v>
      </c>
      <c r="N489" s="25">
        <f>ROUND(L489/M489, 0)</f>
        <v/>
      </c>
      <c r="O489" s="25">
        <f>ROUND(N489*'Methodology &amp; Assumptions'!$B$7, 0)</f>
        <v/>
      </c>
      <c r="P489" s="23" t="inlineStr">
        <is>
          <t>Single Carrier (Band n50, 100MHz TDD)</t>
        </is>
      </c>
      <c r="Q489" s="27">
        <f>ROUNDUP(O489/'Methodology &amp; Assumptions'!$B$8, 0)</f>
        <v/>
      </c>
      <c r="R489" s="27" t="n">
        <v>1</v>
      </c>
      <c r="S489" s="26" t="n">
        <v>0.14</v>
      </c>
      <c r="T489" s="26" t="n">
        <v>0.09</v>
      </c>
      <c r="U489" s="11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26" t="n">
        <v>85.63</v>
      </c>
      <c r="W489" s="26" t="n">
        <v>41.83</v>
      </c>
      <c r="X489" s="26">
        <f>ROUND(('Methodology &amp; Assumptions'!$B$5*V489) + ('Methodology &amp; Assumptions'!$B$6*W489), 2)</f>
        <v/>
      </c>
      <c r="Y489" s="28" t="n">
        <v>8.300000000000001</v>
      </c>
      <c r="Z489" s="11" t="inlineStr">
        <is>
          <t>Priority Tier 2 (Balanced Opportunity)</t>
        </is>
      </c>
    </row>
    <row r="490">
      <c r="A490" s="23" t="n">
        <v>2</v>
      </c>
      <c r="B490" s="23" t="n">
        <v>486</v>
      </c>
      <c r="C490" s="23" t="n">
        <v>1486</v>
      </c>
      <c r="D490" s="23" t="inlineStr">
        <is>
          <t>0401006042</t>
        </is>
      </c>
      <c r="E490" s="11" t="inlineStr">
        <is>
          <t>Region IV-A (CALABARZON)</t>
        </is>
      </c>
      <c r="F490" s="11" t="inlineStr">
        <is>
          <t>Batangas</t>
        </is>
      </c>
      <c r="G490" s="11" t="inlineStr">
        <is>
          <t>Bauan</t>
        </is>
      </c>
      <c r="H490" s="11" t="inlineStr">
        <is>
          <t>Santo Domingo</t>
        </is>
      </c>
      <c r="I490" s="24" t="n">
        <v>13.786453</v>
      </c>
      <c r="J490" s="24" t="n">
        <v>121.000537</v>
      </c>
      <c r="K490" s="23" t="inlineStr">
        <is>
          <t>U</t>
        </is>
      </c>
      <c r="L490" s="25" t="n">
        <v>2782</v>
      </c>
      <c r="M490" s="26" t="n">
        <v>3.6</v>
      </c>
      <c r="N490" s="25">
        <f>ROUND(L490/M490, 0)</f>
        <v/>
      </c>
      <c r="O490" s="25">
        <f>ROUND(N490*'Methodology &amp; Assumptions'!$B$7, 0)</f>
        <v/>
      </c>
      <c r="P490" s="23" t="inlineStr">
        <is>
          <t>Single Carrier (Band n50, 100MHz TDD)</t>
        </is>
      </c>
      <c r="Q490" s="27">
        <f>ROUNDUP(O490/'Methodology &amp; Assumptions'!$B$8, 0)</f>
        <v/>
      </c>
      <c r="R490" s="27" t="n">
        <v>1</v>
      </c>
      <c r="S490" s="26" t="n">
        <v>0.9399999999999999</v>
      </c>
      <c r="T490" s="26" t="n">
        <v>0.92</v>
      </c>
      <c r="U490" s="11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26" t="n">
        <v>76.5</v>
      </c>
      <c r="W490" s="26" t="n">
        <v>50.95</v>
      </c>
      <c r="X490" s="26">
        <f>ROUND(('Methodology &amp; Assumptions'!$B$5*V490) + ('Methodology &amp; Assumptions'!$B$6*W490), 2)</f>
        <v/>
      </c>
      <c r="Y490" s="28" t="n">
        <v>7.2</v>
      </c>
      <c r="Z490" s="11" t="inlineStr">
        <is>
          <t>Priority Tier 2 (Balanced Opportunity)</t>
        </is>
      </c>
    </row>
    <row r="491">
      <c r="A491" s="23" t="n">
        <v>2</v>
      </c>
      <c r="B491" s="23" t="n">
        <v>487</v>
      </c>
      <c r="C491" s="23" t="n">
        <v>1487</v>
      </c>
      <c r="D491" s="23" t="inlineStr">
        <is>
          <t>1380612014</t>
        </is>
      </c>
      <c r="E491" s="11" t="inlineStr">
        <is>
          <t>National Capital Region (NCR)</t>
        </is>
      </c>
      <c r="F491" s="11" t="inlineStr">
        <is>
          <t>First District (Not a Province)</t>
        </is>
      </c>
      <c r="G491" s="11" t="inlineStr">
        <is>
          <t>City of Manila</t>
        </is>
      </c>
      <c r="H491" s="11" t="inlineStr">
        <is>
          <t>Barangay 846</t>
        </is>
      </c>
      <c r="I491" s="24" t="n">
        <v>14.588896</v>
      </c>
      <c r="J491" s="24" t="n">
        <v>121.00256</v>
      </c>
      <c r="K491" s="23" t="inlineStr">
        <is>
          <t>U</t>
        </is>
      </c>
      <c r="L491" s="25" t="n">
        <v>1996</v>
      </c>
      <c r="M491" s="26" t="n">
        <v>4.04</v>
      </c>
      <c r="N491" s="25">
        <f>ROUND(L491/M491, 0)</f>
        <v/>
      </c>
      <c r="O491" s="25">
        <f>ROUND(N491*'Methodology &amp; Assumptions'!$B$7, 0)</f>
        <v/>
      </c>
      <c r="P491" s="23" t="inlineStr">
        <is>
          <t>Single Carrier (Band n50, 100MHz TDD)</t>
        </is>
      </c>
      <c r="Q491" s="27">
        <f>ROUNDUP(O491/'Methodology &amp; Assumptions'!$B$8, 0)</f>
        <v/>
      </c>
      <c r="R491" s="27" t="n">
        <v>1</v>
      </c>
      <c r="S491" s="26" t="n">
        <v>0.5</v>
      </c>
      <c r="T491" s="26" t="n">
        <v>0.18</v>
      </c>
      <c r="U491" s="11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26" t="n">
        <v>56.95</v>
      </c>
      <c r="W491" s="26" t="n">
        <v>70.52</v>
      </c>
      <c r="X491" s="26">
        <f>ROUND(('Methodology &amp; Assumptions'!$B$5*V491) + ('Methodology &amp; Assumptions'!$B$6*W491), 2)</f>
        <v/>
      </c>
      <c r="Y491" s="28" t="n">
        <v>10.9</v>
      </c>
      <c r="Z491" s="11" t="inlineStr">
        <is>
          <t>Priority Tier 2 (Balanced Opportunity)</t>
        </is>
      </c>
    </row>
    <row r="492">
      <c r="A492" s="23" t="n">
        <v>2</v>
      </c>
      <c r="B492" s="23" t="n">
        <v>488</v>
      </c>
      <c r="C492" s="23" t="n">
        <v>1488</v>
      </c>
      <c r="D492" s="23" t="inlineStr">
        <is>
          <t>0500510007</t>
        </is>
      </c>
      <c r="E492" s="11" t="inlineStr">
        <is>
          <t>Region V (Bicol Region)</t>
        </is>
      </c>
      <c r="F492" s="11" t="inlineStr">
        <is>
          <t>Albay</t>
        </is>
      </c>
      <c r="G492" s="11" t="inlineStr">
        <is>
          <t>Malinao</t>
        </is>
      </c>
      <c r="H492" s="11" t="inlineStr">
        <is>
          <t>Bulang</t>
        </is>
      </c>
      <c r="I492" s="24" t="n">
        <v>13.375217</v>
      </c>
      <c r="J492" s="24" t="n">
        <v>123.64555</v>
      </c>
      <c r="K492" s="23" t="inlineStr">
        <is>
          <t>R</t>
        </is>
      </c>
      <c r="L492" s="25" t="n">
        <v>1018</v>
      </c>
      <c r="M492" s="26" t="n">
        <v>4.1</v>
      </c>
      <c r="N492" s="25">
        <f>ROUND(L492/M492, 0)</f>
        <v/>
      </c>
      <c r="O492" s="25">
        <f>ROUND(N492*'Methodology &amp; Assumptions'!$B$7, 0)</f>
        <v/>
      </c>
      <c r="P492" s="23" t="inlineStr">
        <is>
          <t>Single Carrier (Band n50, 100MHz TDD)</t>
        </is>
      </c>
      <c r="Q492" s="27">
        <f>ROUNDUP(O492/'Methodology &amp; Assumptions'!$B$8, 0)</f>
        <v/>
      </c>
      <c r="R492" s="27" t="n">
        <v>1</v>
      </c>
      <c r="S492" s="26" t="n">
        <v>4.21</v>
      </c>
      <c r="T492" s="26" t="n">
        <v>4.18</v>
      </c>
      <c r="U492" s="11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26" t="n">
        <v>55.41</v>
      </c>
      <c r="W492" s="26" t="n">
        <v>72.04000000000001</v>
      </c>
      <c r="X492" s="26">
        <f>ROUND(('Methodology &amp; Assumptions'!$B$5*V492) + ('Methodology &amp; Assumptions'!$B$6*W492), 2)</f>
        <v/>
      </c>
      <c r="Y492" s="28" t="n">
        <v>23.7</v>
      </c>
      <c r="Z492" s="11" t="inlineStr">
        <is>
          <t>Priority Tier 2 (Balanced Opportunity)</t>
        </is>
      </c>
    </row>
    <row r="493">
      <c r="A493" s="23" t="n">
        <v>2</v>
      </c>
      <c r="B493" s="23" t="n">
        <v>489</v>
      </c>
      <c r="C493" s="23" t="n">
        <v>1489</v>
      </c>
      <c r="D493" s="23" t="inlineStr">
        <is>
          <t>1381600007</t>
        </is>
      </c>
      <c r="E493" s="11" t="inlineStr">
        <is>
          <t>National Capital Region (NCR)</t>
        </is>
      </c>
      <c r="F493" s="11" t="inlineStr">
        <is>
          <t>Third District (Not a Province)</t>
        </is>
      </c>
      <c r="G493" s="11" t="inlineStr">
        <is>
          <t>City of Valenzuela</t>
        </is>
      </c>
      <c r="H493" s="11" t="inlineStr">
        <is>
          <t>Canumay West</t>
        </is>
      </c>
      <c r="I493" s="24" t="n">
        <v>14.70685</v>
      </c>
      <c r="J493" s="24" t="n">
        <v>120.985</v>
      </c>
      <c r="K493" s="23" t="inlineStr">
        <is>
          <t>U</t>
        </is>
      </c>
      <c r="L493" s="25" t="n">
        <v>26517</v>
      </c>
      <c r="M493" s="26" t="n">
        <v>3.25</v>
      </c>
      <c r="N493" s="25">
        <f>ROUND(L493/M493, 0)</f>
        <v/>
      </c>
      <c r="O493" s="25">
        <f>ROUND(N493*'Methodology &amp; Assumptions'!$B$7, 0)</f>
        <v/>
      </c>
      <c r="P493" s="23" t="inlineStr">
        <is>
          <t>Single Carrier (Band n50, 100MHz TDD)</t>
        </is>
      </c>
      <c r="Q493" s="27">
        <f>ROUNDUP(O493/'Methodology &amp; Assumptions'!$B$8, 0)</f>
        <v/>
      </c>
      <c r="R493" s="27" t="n">
        <v>1</v>
      </c>
      <c r="S493" s="26" t="n">
        <v>0.91</v>
      </c>
      <c r="T493" s="26" t="n">
        <v>0.17</v>
      </c>
      <c r="U493" s="11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26" t="n">
        <v>67.25</v>
      </c>
      <c r="W493" s="26" t="n">
        <v>60.2</v>
      </c>
      <c r="X493" s="26">
        <f>ROUND(('Methodology &amp; Assumptions'!$B$5*V493) + ('Methodology &amp; Assumptions'!$B$6*W493), 2)</f>
        <v/>
      </c>
      <c r="Y493" s="28" t="n">
        <v>10.9</v>
      </c>
      <c r="Z493" s="11" t="inlineStr">
        <is>
          <t>Priority Tier 2 (Balanced Opportunity)</t>
        </is>
      </c>
    </row>
    <row r="494">
      <c r="A494" s="23" t="n">
        <v>2</v>
      </c>
      <c r="B494" s="23" t="n">
        <v>490</v>
      </c>
      <c r="C494" s="23" t="n">
        <v>1490</v>
      </c>
      <c r="D494" s="23" t="inlineStr">
        <is>
          <t>1381100162</t>
        </is>
      </c>
      <c r="E494" s="11" t="inlineStr">
        <is>
          <t>National Capital Region (NCR)</t>
        </is>
      </c>
      <c r="F494" s="11" t="inlineStr">
        <is>
          <t>Fourth District (Not a Province)</t>
        </is>
      </c>
      <c r="G494" s="11" t="inlineStr">
        <is>
          <t>Pasay City</t>
        </is>
      </c>
      <c r="H494" s="11" t="inlineStr">
        <is>
          <t>Barangay 162</t>
        </is>
      </c>
      <c r="I494" s="24" t="n">
        <v>14.536206</v>
      </c>
      <c r="J494" s="24" t="n">
        <v>121.006989</v>
      </c>
      <c r="K494" s="23" t="inlineStr">
        <is>
          <t>U</t>
        </is>
      </c>
      <c r="L494" s="25" t="n">
        <v>2062</v>
      </c>
      <c r="M494" s="26" t="n">
        <v>3.41</v>
      </c>
      <c r="N494" s="25">
        <f>ROUND(L494/M494, 0)</f>
        <v/>
      </c>
      <c r="O494" s="25">
        <f>ROUND(N494*'Methodology &amp; Assumptions'!$B$7, 0)</f>
        <v/>
      </c>
      <c r="P494" s="23" t="inlineStr">
        <is>
          <t>Single Carrier (Band n50, 100MHz TDD)</t>
        </is>
      </c>
      <c r="Q494" s="27">
        <f>ROUNDUP(O494/'Methodology &amp; Assumptions'!$B$8, 0)</f>
        <v/>
      </c>
      <c r="R494" s="27" t="n">
        <v>1</v>
      </c>
      <c r="S494" s="26" t="n">
        <v>1.41</v>
      </c>
      <c r="T494" s="26" t="n">
        <v>0.42</v>
      </c>
      <c r="U494" s="11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26" t="n">
        <v>58.44</v>
      </c>
      <c r="W494" s="26" t="n">
        <v>68.98999999999999</v>
      </c>
      <c r="X494" s="26">
        <f>ROUND(('Methodology &amp; Assumptions'!$B$5*V494) + ('Methodology &amp; Assumptions'!$B$6*W494), 2)</f>
        <v/>
      </c>
      <c r="Y494" s="28" t="n">
        <v>10.9</v>
      </c>
      <c r="Z494" s="11" t="inlineStr">
        <is>
          <t>Priority Tier 2 (Balanced Opportunity)</t>
        </is>
      </c>
    </row>
    <row r="495">
      <c r="A495" s="23" t="n">
        <v>2</v>
      </c>
      <c r="B495" s="23" t="n">
        <v>491</v>
      </c>
      <c r="C495" s="23" t="n">
        <v>1491</v>
      </c>
      <c r="D495" s="23" t="inlineStr">
        <is>
          <t>0506216030</t>
        </is>
      </c>
      <c r="E495" s="11" t="inlineStr">
        <is>
          <t>Region V (Bicol Region)</t>
        </is>
      </c>
      <c r="F495" s="11" t="inlineStr">
        <is>
          <t>Sorsogon</t>
        </is>
      </c>
      <c r="G495" s="11" t="inlineStr">
        <is>
          <t>City of Sorsogon</t>
        </is>
      </c>
      <c r="H495" s="11" t="inlineStr">
        <is>
          <t>Sampaloc</t>
        </is>
      </c>
      <c r="I495" s="24" t="n">
        <v>12.969828</v>
      </c>
      <c r="J495" s="24" t="n">
        <v>124.008517</v>
      </c>
      <c r="K495" s="23" t="inlineStr">
        <is>
          <t>R</t>
        </is>
      </c>
      <c r="L495" s="25" t="n">
        <v>4685</v>
      </c>
      <c r="M495" s="26" t="n">
        <v>4</v>
      </c>
      <c r="N495" s="25">
        <f>ROUND(L495/M495, 0)</f>
        <v/>
      </c>
      <c r="O495" s="25">
        <f>ROUND(N495*'Methodology &amp; Assumptions'!$B$7, 0)</f>
        <v/>
      </c>
      <c r="P495" s="23" t="inlineStr">
        <is>
          <t>Single Carrier (Band n50, 100MHz TDD)</t>
        </is>
      </c>
      <c r="Q495" s="27">
        <f>ROUNDUP(O495/'Methodology &amp; Assumptions'!$B$8, 0)</f>
        <v/>
      </c>
      <c r="R495" s="27" t="n">
        <v>1</v>
      </c>
      <c r="S495" s="26" t="n">
        <v>0.5600000000000001</v>
      </c>
      <c r="T495" s="26" t="n">
        <v>0.44</v>
      </c>
      <c r="U495" s="11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26" t="n">
        <v>88.06</v>
      </c>
      <c r="W495" s="26" t="n">
        <v>39.36</v>
      </c>
      <c r="X495" s="26">
        <f>ROUND(('Methodology &amp; Assumptions'!$B$5*V495) + ('Methodology &amp; Assumptions'!$B$6*W495), 2)</f>
        <v/>
      </c>
      <c r="Y495" s="28" t="n">
        <v>23.7</v>
      </c>
      <c r="Z495" s="11" t="inlineStr">
        <is>
          <t>Priority Tier 2 (Balanced Opportunity)</t>
        </is>
      </c>
    </row>
    <row r="496">
      <c r="A496" s="23" t="n">
        <v>2</v>
      </c>
      <c r="B496" s="23" t="n">
        <v>492</v>
      </c>
      <c r="C496" s="23" t="n">
        <v>1492</v>
      </c>
      <c r="D496" s="23" t="inlineStr">
        <is>
          <t>1381600023</t>
        </is>
      </c>
      <c r="E496" s="11" t="inlineStr">
        <is>
          <t>National Capital Region (NCR)</t>
        </is>
      </c>
      <c r="F496" s="11" t="inlineStr">
        <is>
          <t>Third District (Not a Province)</t>
        </is>
      </c>
      <c r="G496" s="11" t="inlineStr">
        <is>
          <t>City of Valenzuela</t>
        </is>
      </c>
      <c r="H496" s="11" t="inlineStr">
        <is>
          <t>Paso De Blas</t>
        </is>
      </c>
      <c r="I496" s="24" t="n">
        <v>14.70775</v>
      </c>
      <c r="J496" s="24" t="n">
        <v>120.9925</v>
      </c>
      <c r="K496" s="23" t="inlineStr">
        <is>
          <t>U</t>
        </is>
      </c>
      <c r="L496" s="25" t="n">
        <v>12882</v>
      </c>
      <c r="M496" s="26" t="n">
        <v>3.22</v>
      </c>
      <c r="N496" s="25">
        <f>ROUND(L496/M496, 0)</f>
        <v/>
      </c>
      <c r="O496" s="25">
        <f>ROUND(N496*'Methodology &amp; Assumptions'!$B$7, 0)</f>
        <v/>
      </c>
      <c r="P496" s="23" t="inlineStr">
        <is>
          <t>Single Carrier (Band n50, 100MHz TDD)</t>
        </is>
      </c>
      <c r="Q496" s="27">
        <f>ROUNDUP(O496/'Methodology &amp; Assumptions'!$B$8, 0)</f>
        <v/>
      </c>
      <c r="R496" s="27" t="n">
        <v>1</v>
      </c>
      <c r="S496" s="26" t="n">
        <v>1.55</v>
      </c>
      <c r="T496" s="26" t="n">
        <v>0.14</v>
      </c>
      <c r="U496" s="11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26" t="n">
        <v>66.41</v>
      </c>
      <c r="W496" s="26" t="n">
        <v>61</v>
      </c>
      <c r="X496" s="26">
        <f>ROUND(('Methodology &amp; Assumptions'!$B$5*V496) + ('Methodology &amp; Assumptions'!$B$6*W496), 2)</f>
        <v/>
      </c>
      <c r="Y496" s="28" t="n">
        <v>10.9</v>
      </c>
      <c r="Z496" s="11" t="inlineStr">
        <is>
          <t>Priority Tier 2 (Balanced Opportunity)</t>
        </is>
      </c>
    </row>
    <row r="497">
      <c r="A497" s="23" t="n">
        <v>2</v>
      </c>
      <c r="B497" s="23" t="n">
        <v>493</v>
      </c>
      <c r="C497" s="23" t="n">
        <v>1493</v>
      </c>
      <c r="D497" s="23" t="inlineStr">
        <is>
          <t>0301407013</t>
        </is>
      </c>
      <c r="E497" s="11" t="inlineStr">
        <is>
          <t>Region III (Central Luzon)</t>
        </is>
      </c>
      <c r="F497" s="11" t="inlineStr">
        <is>
          <t>Bulacan</t>
        </is>
      </c>
      <c r="G497" s="11" t="inlineStr">
        <is>
          <t>Calumpit</t>
        </is>
      </c>
      <c r="H497" s="11" t="inlineStr">
        <is>
          <t>Iba Este</t>
        </is>
      </c>
      <c r="I497" s="24" t="n">
        <v>14.890026</v>
      </c>
      <c r="J497" s="24" t="n">
        <v>120.767311</v>
      </c>
      <c r="K497" s="23" t="inlineStr">
        <is>
          <t>U</t>
        </is>
      </c>
      <c r="L497" s="25" t="n">
        <v>4349</v>
      </c>
      <c r="M497" s="26" t="n">
        <v>3.5</v>
      </c>
      <c r="N497" s="25">
        <f>ROUND(L497/M497, 0)</f>
        <v/>
      </c>
      <c r="O497" s="25">
        <f>ROUND(N497*'Methodology &amp; Assumptions'!$B$7, 0)</f>
        <v/>
      </c>
      <c r="P497" s="23" t="inlineStr">
        <is>
          <t>Single Carrier (Band n50, 100MHz TDD)</t>
        </is>
      </c>
      <c r="Q497" s="27">
        <f>ROUNDUP(O497/'Methodology &amp; Assumptions'!$B$8, 0)</f>
        <v/>
      </c>
      <c r="R497" s="27" t="n">
        <v>1</v>
      </c>
      <c r="S497" s="26" t="n">
        <v>1.82</v>
      </c>
      <c r="T497" s="26" t="n">
        <v>1.22</v>
      </c>
      <c r="U497" s="11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26" t="n">
        <v>74.81999999999999</v>
      </c>
      <c r="W497" s="26" t="n">
        <v>52.55</v>
      </c>
      <c r="X497" s="26">
        <f>ROUND(('Methodology &amp; Assumptions'!$B$5*V497) + ('Methodology &amp; Assumptions'!$B$6*W497), 2)</f>
        <v/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2</v>
      </c>
      <c r="B498" s="23" t="n">
        <v>494</v>
      </c>
      <c r="C498" s="23" t="n">
        <v>1494</v>
      </c>
      <c r="D498" s="23" t="inlineStr">
        <is>
          <t>1381200027</t>
        </is>
      </c>
      <c r="E498" s="11" t="inlineStr">
        <is>
          <t>National Capital Region (NCR)</t>
        </is>
      </c>
      <c r="F498" s="11" t="inlineStr">
        <is>
          <t>Second District (Not a Province)</t>
        </is>
      </c>
      <c r="G498" s="11" t="inlineStr">
        <is>
          <t>City of Pasig</t>
        </is>
      </c>
      <c r="H498" s="11" t="inlineStr">
        <is>
          <t>Santolan</t>
        </is>
      </c>
      <c r="I498" s="24" t="n">
        <v>14.611999</v>
      </c>
      <c r="J498" s="24" t="n">
        <v>121.086759</v>
      </c>
      <c r="K498" s="23" t="inlineStr">
        <is>
          <t>U</t>
        </is>
      </c>
      <c r="L498" s="25" t="n">
        <v>61308</v>
      </c>
      <c r="M498" s="26" t="n">
        <v>3.32</v>
      </c>
      <c r="N498" s="25">
        <f>ROUND(L498/M498, 0)</f>
        <v/>
      </c>
      <c r="O498" s="25">
        <f>ROUND(N498*'Methodology &amp; Assumptions'!$B$7, 0)</f>
        <v/>
      </c>
      <c r="P498" s="23" t="inlineStr">
        <is>
          <t>Single Carrier (Band n50, 100MHz TDD)</t>
        </is>
      </c>
      <c r="Q498" s="27">
        <f>ROUNDUP(O498/'Methodology &amp; Assumptions'!$B$8, 0)</f>
        <v/>
      </c>
      <c r="R498" s="27" t="n">
        <v>1</v>
      </c>
      <c r="S498" s="26" t="n">
        <v>0.68</v>
      </c>
      <c r="T498" s="26" t="n">
        <v>0.62</v>
      </c>
      <c r="U498" s="11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26" t="n">
        <v>65.67</v>
      </c>
      <c r="W498" s="26" t="n">
        <v>61.72</v>
      </c>
      <c r="X498" s="26">
        <f>ROUND(('Methodology &amp; Assumptions'!$B$5*V498) + ('Methodology &amp; Assumptions'!$B$6*W498), 2)</f>
        <v/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2</v>
      </c>
      <c r="B499" s="23" t="n">
        <v>495</v>
      </c>
      <c r="C499" s="23" t="n">
        <v>1495</v>
      </c>
      <c r="D499" s="23" t="inlineStr">
        <is>
          <t>1380606064</t>
        </is>
      </c>
      <c r="E499" s="11" t="inlineStr">
        <is>
          <t>National Capital Region (NCR)</t>
        </is>
      </c>
      <c r="F499" s="11" t="inlineStr">
        <is>
          <t>First District (Not a Province)</t>
        </is>
      </c>
      <c r="G499" s="11" t="inlineStr">
        <is>
          <t>City of Manila</t>
        </is>
      </c>
      <c r="H499" s="11" t="inlineStr">
        <is>
          <t>Barangay 458</t>
        </is>
      </c>
      <c r="I499" s="24" t="n">
        <v>14.604925</v>
      </c>
      <c r="J499" s="24" t="n">
        <v>120.993087</v>
      </c>
      <c r="K499" s="23" t="inlineStr">
        <is>
          <t>U</t>
        </is>
      </c>
      <c r="L499" s="25" t="n">
        <v>1649</v>
      </c>
      <c r="M499" s="26" t="n">
        <v>3.06</v>
      </c>
      <c r="N499" s="25">
        <f>ROUND(L499/M499, 0)</f>
        <v/>
      </c>
      <c r="O499" s="25">
        <f>ROUND(N499*'Methodology &amp; Assumptions'!$B$7, 0)</f>
        <v/>
      </c>
      <c r="P499" s="23" t="inlineStr">
        <is>
          <t>Single Carrier (Band n50, 100MHz TDD)</t>
        </is>
      </c>
      <c r="Q499" s="27">
        <f>ROUNDUP(O499/'Methodology &amp; Assumptions'!$B$8, 0)</f>
        <v/>
      </c>
      <c r="R499" s="27" t="n">
        <v>1</v>
      </c>
      <c r="S499" s="26" t="n">
        <v>0.29</v>
      </c>
      <c r="T499" s="26" t="n">
        <v>0.27</v>
      </c>
      <c r="U499" s="11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26" t="n">
        <v>58.44</v>
      </c>
      <c r="W499" s="26" t="n">
        <v>68.94</v>
      </c>
      <c r="X499" s="26">
        <f>ROUND(('Methodology &amp; Assumptions'!$B$5*V499) + ('Methodology &amp; Assumptions'!$B$6*W499), 2)</f>
        <v/>
      </c>
      <c r="Y499" s="28" t="n">
        <v>10.9</v>
      </c>
      <c r="Z499" s="11" t="inlineStr">
        <is>
          <t>Priority Tier 2 (Balanced Opportunity)</t>
        </is>
      </c>
    </row>
    <row r="500">
      <c r="A500" s="23" t="n">
        <v>2</v>
      </c>
      <c r="B500" s="23" t="n">
        <v>496</v>
      </c>
      <c r="C500" s="23" t="n">
        <v>1496</v>
      </c>
      <c r="D500" s="23" t="inlineStr">
        <is>
          <t>1380606076</t>
        </is>
      </c>
      <c r="E500" s="11" t="inlineStr">
        <is>
          <t>National Capital Region (NCR)</t>
        </is>
      </c>
      <c r="F500" s="11" t="inlineStr">
        <is>
          <t>First District (Not a Province)</t>
        </is>
      </c>
      <c r="G500" s="11" t="inlineStr">
        <is>
          <t>City of Manila</t>
        </is>
      </c>
      <c r="H500" s="11" t="inlineStr">
        <is>
          <t>Barangay 470</t>
        </is>
      </c>
      <c r="I500" s="24" t="n">
        <v>14.61311</v>
      </c>
      <c r="J500" s="24" t="n">
        <v>120.9882</v>
      </c>
      <c r="K500" s="23" t="inlineStr">
        <is>
          <t>U</t>
        </is>
      </c>
      <c r="L500" s="25" t="n">
        <v>1487</v>
      </c>
      <c r="M500" s="26" t="n">
        <v>3.14</v>
      </c>
      <c r="N500" s="25">
        <f>ROUND(L500/M500, 0)</f>
        <v/>
      </c>
      <c r="O500" s="25">
        <f>ROUND(N500*'Methodology &amp; Assumptions'!$B$7, 0)</f>
        <v/>
      </c>
      <c r="P500" s="23" t="inlineStr">
        <is>
          <t>Single Carrier (Band n50, 100MHz TDD)</t>
        </is>
      </c>
      <c r="Q500" s="27">
        <f>ROUNDUP(O500/'Methodology &amp; Assumptions'!$B$8, 0)</f>
        <v/>
      </c>
      <c r="R500" s="27" t="n">
        <v>1</v>
      </c>
      <c r="S500" s="26" t="n">
        <v>0.6899999999999999</v>
      </c>
      <c r="T500" s="26" t="n">
        <v>0.24</v>
      </c>
      <c r="U500" s="11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26" t="n">
        <v>56.3</v>
      </c>
      <c r="W500" s="26" t="n">
        <v>71.08</v>
      </c>
      <c r="X500" s="26">
        <f>ROUND(('Methodology &amp; Assumptions'!$B$5*V500) + ('Methodology &amp; Assumptions'!$B$6*W500), 2)</f>
        <v/>
      </c>
      <c r="Y500" s="28" t="n">
        <v>10.9</v>
      </c>
      <c r="Z500" s="11" t="inlineStr">
        <is>
          <t>Priority Tier 2 (Balanced Opportunity)</t>
        </is>
      </c>
    </row>
    <row r="501">
      <c r="A501" s="23" t="n">
        <v>2</v>
      </c>
      <c r="B501" s="23" t="n">
        <v>497</v>
      </c>
      <c r="C501" s="23" t="n">
        <v>1497</v>
      </c>
      <c r="D501" s="23" t="inlineStr">
        <is>
          <t>0403417007</t>
        </is>
      </c>
      <c r="E501" s="11" t="inlineStr">
        <is>
          <t>Region IV-A (CALABARZON)</t>
        </is>
      </c>
      <c r="F501" s="11" t="inlineStr">
        <is>
          <t>Laguna</t>
        </is>
      </c>
      <c r="G501" s="11" t="inlineStr">
        <is>
          <t>Nagcarlan</t>
        </is>
      </c>
      <c r="H501" s="11" t="inlineStr">
        <is>
          <t>Bambang</t>
        </is>
      </c>
      <c r="I501" s="24" t="n">
        <v>14.130562</v>
      </c>
      <c r="J501" s="24" t="n">
        <v>121.415356</v>
      </c>
      <c r="K501" s="23" t="inlineStr">
        <is>
          <t>R</t>
        </is>
      </c>
      <c r="L501" s="25" t="n">
        <v>2381</v>
      </c>
      <c r="M501" s="26" t="n">
        <v>3.3</v>
      </c>
      <c r="N501" s="25">
        <f>ROUND(L501/M501, 0)</f>
        <v/>
      </c>
      <c r="O501" s="25">
        <f>ROUND(N501*'Methodology &amp; Assumptions'!$B$7, 0)</f>
        <v/>
      </c>
      <c r="P501" s="23" t="inlineStr">
        <is>
          <t>Single Carrier (Band n50, 100MHz TDD)</t>
        </is>
      </c>
      <c r="Q501" s="27">
        <f>ROUNDUP(O501/'Methodology &amp; Assumptions'!$B$8, 0)</f>
        <v/>
      </c>
      <c r="R501" s="27" t="n">
        <v>1</v>
      </c>
      <c r="S501" s="26" t="n">
        <v>0.75</v>
      </c>
      <c r="T501" s="26" t="n">
        <v>0.14</v>
      </c>
      <c r="U501" s="11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26" t="n">
        <v>82.45999999999999</v>
      </c>
      <c r="W501" s="26" t="n">
        <v>44.88</v>
      </c>
      <c r="X501" s="26">
        <f>ROUND(('Methodology &amp; Assumptions'!$B$5*V501) + ('Methodology &amp; Assumptions'!$B$6*W501), 2)</f>
        <v/>
      </c>
      <c r="Y501" s="28" t="n">
        <v>7.2</v>
      </c>
      <c r="Z501" s="11" t="inlineStr">
        <is>
          <t>Priority Tier 2 (Balanced Opportunity)</t>
        </is>
      </c>
    </row>
    <row r="502">
      <c r="A502" s="23" t="n">
        <v>2</v>
      </c>
      <c r="B502" s="23" t="n">
        <v>498</v>
      </c>
      <c r="C502" s="23" t="n">
        <v>1498</v>
      </c>
      <c r="D502" s="23" t="inlineStr">
        <is>
          <t>1004324006</t>
        </is>
      </c>
      <c r="E502" s="11" t="inlineStr">
        <is>
          <t>Region X (Northern Mindanao)</t>
        </is>
      </c>
      <c r="F502" s="11" t="inlineStr">
        <is>
          <t>Misamis Oriental</t>
        </is>
      </c>
      <c r="G502" s="11" t="inlineStr">
        <is>
          <t>Tagoloan</t>
        </is>
      </c>
      <c r="H502" s="11" t="inlineStr">
        <is>
          <t>Poblacion</t>
        </is>
      </c>
      <c r="I502" s="24" t="n">
        <v>8.538212</v>
      </c>
      <c r="J502" s="24" t="n">
        <v>124.750921</v>
      </c>
      <c r="K502" s="23" t="inlineStr">
        <is>
          <t>U</t>
        </is>
      </c>
      <c r="L502" s="25" t="n">
        <v>10662</v>
      </c>
      <c r="M502" s="26" t="n">
        <v>3.9</v>
      </c>
      <c r="N502" s="25">
        <f>ROUND(L502/M502, 0)</f>
        <v/>
      </c>
      <c r="O502" s="25">
        <f>ROUND(N502*'Methodology &amp; Assumptions'!$B$7, 0)</f>
        <v/>
      </c>
      <c r="P502" s="23" t="inlineStr">
        <is>
          <t>Single Carrier (Band n50, 100MHz TDD)</t>
        </is>
      </c>
      <c r="Q502" s="27">
        <f>ROUNDUP(O502/'Methodology &amp; Assumptions'!$B$8, 0)</f>
        <v/>
      </c>
      <c r="R502" s="27" t="n">
        <v>1</v>
      </c>
      <c r="S502" s="26" t="n">
        <v>0.2</v>
      </c>
      <c r="T502" s="26" t="n">
        <v>0.2</v>
      </c>
      <c r="U502" s="11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26" t="n">
        <v>79.87</v>
      </c>
      <c r="W502" s="26" t="n">
        <v>47.48</v>
      </c>
      <c r="X502" s="26">
        <f>ROUND(('Methodology &amp; Assumptions'!$B$5*V502) + ('Methodology &amp; Assumptions'!$B$6*W502), 2)</f>
        <v/>
      </c>
      <c r="Y502" s="28" t="n">
        <v>17.4</v>
      </c>
      <c r="Z502" s="11" t="inlineStr">
        <is>
          <t>Priority Tier 2 (Balanced Opportunity)</t>
        </is>
      </c>
    </row>
    <row r="503">
      <c r="A503" s="23" t="n">
        <v>2</v>
      </c>
      <c r="B503" s="23" t="n">
        <v>499</v>
      </c>
      <c r="C503" s="23" t="n">
        <v>1499</v>
      </c>
      <c r="D503" s="23" t="inlineStr">
        <is>
          <t>1381300101</t>
        </is>
      </c>
      <c r="E503" s="11" t="inlineStr">
        <is>
          <t>National Capital Region (NCR)</t>
        </is>
      </c>
      <c r="F503" s="11" t="inlineStr">
        <is>
          <t>Second District (Not a Province)</t>
        </is>
      </c>
      <c r="G503" s="11" t="inlineStr">
        <is>
          <t>Quezon City</t>
        </is>
      </c>
      <c r="H503" s="11" t="inlineStr">
        <is>
          <t>San Martin De Porres</t>
        </is>
      </c>
      <c r="I503" s="24" t="n">
        <v>14.61714</v>
      </c>
      <c r="J503" s="24" t="n">
        <v>121.0491</v>
      </c>
      <c r="K503" s="23" t="inlineStr">
        <is>
          <t>U</t>
        </is>
      </c>
      <c r="L503" s="25" t="n">
        <v>12012</v>
      </c>
      <c r="M503" s="26" t="n">
        <v>3.45</v>
      </c>
      <c r="N503" s="25">
        <f>ROUND(L503/M503, 0)</f>
        <v/>
      </c>
      <c r="O503" s="25">
        <f>ROUND(N503*'Methodology &amp; Assumptions'!$B$7, 0)</f>
        <v/>
      </c>
      <c r="P503" s="23" t="inlineStr">
        <is>
          <t>Single Carrier (Band n50, 100MHz TDD)</t>
        </is>
      </c>
      <c r="Q503" s="27">
        <f>ROUNDUP(O503/'Methodology &amp; Assumptions'!$B$8, 0)</f>
        <v/>
      </c>
      <c r="R503" s="27" t="n">
        <v>1</v>
      </c>
      <c r="S503" s="26" t="n">
        <v>0.98</v>
      </c>
      <c r="T503" s="26" t="n">
        <v>0.71</v>
      </c>
      <c r="U503" s="11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26" t="n">
        <v>68.56</v>
      </c>
      <c r="W503" s="26" t="n">
        <v>58.77</v>
      </c>
      <c r="X503" s="26">
        <f>ROUND(('Methodology &amp; Assumptions'!$B$5*V503) + ('Methodology &amp; Assumptions'!$B$6*W503), 2)</f>
        <v/>
      </c>
      <c r="Y503" s="28" t="n">
        <v>10.9</v>
      </c>
      <c r="Z503" s="11" t="inlineStr">
        <is>
          <t>Priority Tier 2 (Balanced Opportunity)</t>
        </is>
      </c>
    </row>
    <row r="504">
      <c r="A504" s="23" t="n">
        <v>2</v>
      </c>
      <c r="B504" s="23" t="n">
        <v>500</v>
      </c>
      <c r="C504" s="23" t="n">
        <v>1500</v>
      </c>
      <c r="D504" s="23" t="inlineStr">
        <is>
          <t>1381600018</t>
        </is>
      </c>
      <c r="E504" s="11" t="inlineStr">
        <is>
          <t>National Capital Region (NCR)</t>
        </is>
      </c>
      <c r="F504" s="11" t="inlineStr">
        <is>
          <t>Third District (Not a Province)</t>
        </is>
      </c>
      <c r="G504" s="11" t="inlineStr">
        <is>
          <t>City of Valenzuela</t>
        </is>
      </c>
      <c r="H504" s="11" t="inlineStr">
        <is>
          <t>Mapulang Lupa</t>
        </is>
      </c>
      <c r="I504" s="24" t="n">
        <v>14.702523</v>
      </c>
      <c r="J504" s="24" t="n">
        <v>121.000724</v>
      </c>
      <c r="K504" s="23" t="inlineStr">
        <is>
          <t>U</t>
        </is>
      </c>
      <c r="L504" s="25" t="n">
        <v>30775</v>
      </c>
      <c r="M504" s="26" t="n">
        <v>3.46</v>
      </c>
      <c r="N504" s="25">
        <f>ROUND(L504/M504, 0)</f>
        <v/>
      </c>
      <c r="O504" s="25">
        <f>ROUND(N504*'Methodology &amp; Assumptions'!$B$7, 0)</f>
        <v/>
      </c>
      <c r="P504" s="23" t="inlineStr">
        <is>
          <t>Single Carrier (Band n50, 100MHz TDD)</t>
        </is>
      </c>
      <c r="Q504" s="27">
        <f>ROUNDUP(O504/'Methodology &amp; Assumptions'!$B$8, 0)</f>
        <v/>
      </c>
      <c r="R504" s="27" t="n">
        <v>1</v>
      </c>
      <c r="S504" s="26" t="n">
        <v>0.7</v>
      </c>
      <c r="T504" s="26" t="n">
        <v>0.08</v>
      </c>
      <c r="U504" s="11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26" t="n">
        <v>67.3</v>
      </c>
      <c r="W504" s="26" t="n">
        <v>60.05</v>
      </c>
      <c r="X504" s="26">
        <f>ROUND(('Methodology &amp; Assumptions'!$B$5*V504) + ('Methodology &amp; Assumptions'!$B$6*W504), 2)</f>
        <v/>
      </c>
      <c r="Y504" s="28" t="n">
        <v>10.9</v>
      </c>
      <c r="Z504" s="11" t="inlineStr">
        <is>
          <t>Priority Tier 2 (Balanced Opportunity)</t>
        </is>
      </c>
    </row>
    <row r="505">
      <c r="A505" s="23" t="n">
        <v>2</v>
      </c>
      <c r="B505" s="23" t="n">
        <v>501</v>
      </c>
      <c r="C505" s="23" t="n">
        <v>1501</v>
      </c>
      <c r="D505" s="23" t="inlineStr">
        <is>
          <t>1381300128</t>
        </is>
      </c>
      <c r="E505" s="11" t="inlineStr">
        <is>
          <t>National Capital Region (NCR)</t>
        </is>
      </c>
      <c r="F505" s="11" t="inlineStr">
        <is>
          <t>Second District (Not a Province)</t>
        </is>
      </c>
      <c r="G505" s="11" t="inlineStr">
        <is>
          <t>Quezon City</t>
        </is>
      </c>
      <c r="H505" s="11" t="inlineStr">
        <is>
          <t>Valencia</t>
        </is>
      </c>
      <c r="I505" s="24" t="n">
        <v>14.60797</v>
      </c>
      <c r="J505" s="24" t="n">
        <v>121.0395</v>
      </c>
      <c r="K505" s="23" t="inlineStr">
        <is>
          <t>U</t>
        </is>
      </c>
      <c r="L505" s="25" t="n">
        <v>14525</v>
      </c>
      <c r="M505" s="26" t="n">
        <v>4.63</v>
      </c>
      <c r="N505" s="25">
        <f>ROUND(L505/M505, 0)</f>
        <v/>
      </c>
      <c r="O505" s="25">
        <f>ROUND(N505*'Methodology &amp; Assumptions'!$B$7, 0)</f>
        <v/>
      </c>
      <c r="P505" s="23" t="inlineStr">
        <is>
          <t>Single Carrier (Band n50, 100MHz TDD)</t>
        </is>
      </c>
      <c r="Q505" s="27">
        <f>ROUNDUP(O505/'Methodology &amp; Assumptions'!$B$8, 0)</f>
        <v/>
      </c>
      <c r="R505" s="27" t="n">
        <v>1</v>
      </c>
      <c r="S505" s="26" t="n">
        <v>2.1</v>
      </c>
      <c r="T505" s="26" t="n">
        <v>0.06</v>
      </c>
      <c r="U505" s="11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26" t="n">
        <v>64.52</v>
      </c>
      <c r="W505" s="26" t="n">
        <v>62.82</v>
      </c>
      <c r="X505" s="26">
        <f>ROUND(('Methodology &amp; Assumptions'!$B$5*V505) + ('Methodology &amp; Assumptions'!$B$6*W505), 2)</f>
        <v/>
      </c>
      <c r="Y505" s="28" t="n">
        <v>10.9</v>
      </c>
      <c r="Z505" s="11" t="inlineStr">
        <is>
          <t>Priority Tier 2 (Balanced Opportunity)</t>
        </is>
      </c>
    </row>
    <row r="506">
      <c r="A506" s="23" t="n">
        <v>2</v>
      </c>
      <c r="B506" s="23" t="n">
        <v>502</v>
      </c>
      <c r="C506" s="23" t="n">
        <v>1502</v>
      </c>
      <c r="D506" s="23" t="inlineStr">
        <is>
          <t>1380606006</t>
        </is>
      </c>
      <c r="E506" s="11" t="inlineStr">
        <is>
          <t>National Capital Region (NCR)</t>
        </is>
      </c>
      <c r="F506" s="11" t="inlineStr">
        <is>
          <t>First District (Not a Province)</t>
        </is>
      </c>
      <c r="G506" s="11" t="inlineStr">
        <is>
          <t>City of Manila</t>
        </is>
      </c>
      <c r="H506" s="11" t="inlineStr">
        <is>
          <t>Barangay 400</t>
        </is>
      </c>
      <c r="I506" s="24" t="n">
        <v>14.603688</v>
      </c>
      <c r="J506" s="24" t="n">
        <v>120.990612</v>
      </c>
      <c r="K506" s="23" t="inlineStr">
        <is>
          <t>U</t>
        </is>
      </c>
      <c r="L506" s="25" t="n">
        <v>1458</v>
      </c>
      <c r="M506" s="26" t="n">
        <v>2.69</v>
      </c>
      <c r="N506" s="25">
        <f>ROUND(L506/M506, 0)</f>
        <v/>
      </c>
      <c r="O506" s="25">
        <f>ROUND(N506*'Methodology &amp; Assumptions'!$B$7, 0)</f>
        <v/>
      </c>
      <c r="P506" s="23" t="inlineStr">
        <is>
          <t>Single Carrier (Band n50, 100MHz TDD)</t>
        </is>
      </c>
      <c r="Q506" s="27">
        <f>ROUNDUP(O506/'Methodology &amp; Assumptions'!$B$8, 0)</f>
        <v/>
      </c>
      <c r="R506" s="27" t="n">
        <v>1</v>
      </c>
      <c r="S506" s="26" t="n">
        <v>0.09</v>
      </c>
      <c r="T506" s="26" t="n">
        <v>0.09</v>
      </c>
      <c r="U506" s="11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26" t="n">
        <v>58.55</v>
      </c>
      <c r="W506" s="26" t="n">
        <v>68.79000000000001</v>
      </c>
      <c r="X506" s="26">
        <f>ROUND(('Methodology &amp; Assumptions'!$B$5*V506) + ('Methodology &amp; Assumptions'!$B$6*W506), 2)</f>
        <v/>
      </c>
      <c r="Y506" s="28" t="n">
        <v>10.9</v>
      </c>
      <c r="Z506" s="11" t="inlineStr">
        <is>
          <t>Priority Tier 2 (Balanced Opportunity)</t>
        </is>
      </c>
    </row>
    <row r="507">
      <c r="A507" s="23" t="n">
        <v>2</v>
      </c>
      <c r="B507" s="23" t="n">
        <v>503</v>
      </c>
      <c r="C507" s="23" t="n">
        <v>1503</v>
      </c>
      <c r="D507" s="23" t="inlineStr">
        <is>
          <t>1381300119</t>
        </is>
      </c>
      <c r="E507" s="11" t="inlineStr">
        <is>
          <t>National Capital Region (NCR)</t>
        </is>
      </c>
      <c r="F507" s="11" t="inlineStr">
        <is>
          <t>Second District (Not a Province)</t>
        </is>
      </c>
      <c r="G507" s="11" t="inlineStr">
        <is>
          <t>Quezon City</t>
        </is>
      </c>
      <c r="H507" s="11" t="inlineStr">
        <is>
          <t>Talipapa</t>
        </is>
      </c>
      <c r="I507" s="24" t="n">
        <v>14.68745</v>
      </c>
      <c r="J507" s="24" t="n">
        <v>121.0254</v>
      </c>
      <c r="K507" s="23" t="inlineStr">
        <is>
          <t>U</t>
        </is>
      </c>
      <c r="L507" s="25" t="n">
        <v>39244</v>
      </c>
      <c r="M507" s="26" t="n">
        <v>3.94</v>
      </c>
      <c r="N507" s="25">
        <f>ROUND(L507/M507, 0)</f>
        <v/>
      </c>
      <c r="O507" s="25">
        <f>ROUND(N507*'Methodology &amp; Assumptions'!$B$7, 0)</f>
        <v/>
      </c>
      <c r="P507" s="23" t="inlineStr">
        <is>
          <t>Single Carrier (Band n50, 100MHz TDD)</t>
        </is>
      </c>
      <c r="Q507" s="27">
        <f>ROUNDUP(O507/'Methodology &amp; Assumptions'!$B$8, 0)</f>
        <v/>
      </c>
      <c r="R507" s="27" t="n">
        <v>1</v>
      </c>
      <c r="S507" s="26" t="n">
        <v>0.89</v>
      </c>
      <c r="T507" s="26" t="n">
        <v>0.12</v>
      </c>
      <c r="U507" s="11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26" t="n">
        <v>66.86</v>
      </c>
      <c r="W507" s="26" t="n">
        <v>60.46</v>
      </c>
      <c r="X507" s="26">
        <f>ROUND(('Methodology &amp; Assumptions'!$B$5*V507) + ('Methodology &amp; Assumptions'!$B$6*W507), 2)</f>
        <v/>
      </c>
      <c r="Y507" s="28" t="n">
        <v>10.9</v>
      </c>
      <c r="Z507" s="11" t="inlineStr">
        <is>
          <t>Priority Tier 2 (Balanced Opportunity)</t>
        </is>
      </c>
    </row>
    <row r="508">
      <c r="A508" s="23" t="n">
        <v>2</v>
      </c>
      <c r="B508" s="23" t="n">
        <v>504</v>
      </c>
      <c r="C508" s="23" t="n">
        <v>1504</v>
      </c>
      <c r="D508" s="23" t="inlineStr">
        <is>
          <t>1705305003</t>
        </is>
      </c>
      <c r="E508" s="11" t="inlineStr">
        <is>
          <t>MIMAROPA Region</t>
        </is>
      </c>
      <c r="F508" s="11" t="inlineStr">
        <is>
          <t>Palawan</t>
        </is>
      </c>
      <c r="G508" s="11" t="inlineStr">
        <is>
          <t>Bataraza</t>
        </is>
      </c>
      <c r="H508" s="11" t="inlineStr">
        <is>
          <t>Buliluyan</t>
        </is>
      </c>
      <c r="I508" s="24" t="n">
        <v>8.357941</v>
      </c>
      <c r="J508" s="24" t="n">
        <v>117.185317</v>
      </c>
      <c r="K508" s="23" t="inlineStr">
        <is>
          <t>R</t>
        </is>
      </c>
      <c r="L508" s="25" t="n">
        <v>2485</v>
      </c>
      <c r="M508" s="26" t="n">
        <v>3.9</v>
      </c>
      <c r="N508" s="25">
        <f>ROUND(L508/M508, 0)</f>
        <v/>
      </c>
      <c r="O508" s="25">
        <f>ROUND(N508*'Methodology &amp; Assumptions'!$B$7, 0)</f>
        <v/>
      </c>
      <c r="P508" s="23" t="inlineStr">
        <is>
          <t>Single Carrier (Band n50, 100MHz TDD)</t>
        </is>
      </c>
      <c r="Q508" s="27">
        <f>ROUNDUP(O508/'Methodology &amp; Assumptions'!$B$8, 0)</f>
        <v/>
      </c>
      <c r="R508" s="27" t="n">
        <v>1</v>
      </c>
      <c r="S508" s="26" t="n">
        <v>229.22</v>
      </c>
      <c r="T508" s="26" t="n">
        <v>231.51</v>
      </c>
      <c r="U508" s="11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26" t="n">
        <v>53.55</v>
      </c>
      <c r="W508" s="26" t="n">
        <v>73.77</v>
      </c>
      <c r="X508" s="26">
        <f>ROUND(('Methodology &amp; Assumptions'!$B$5*V508) + ('Methodology &amp; Assumptions'!$B$6*W508), 2)</f>
        <v/>
      </c>
      <c r="Y508" s="28" t="n">
        <v>15</v>
      </c>
      <c r="Z508" s="11" t="inlineStr">
        <is>
          <t>Priority Tier 2 (Balanced Opportunity)</t>
        </is>
      </c>
    </row>
    <row r="509">
      <c r="A509" s="23" t="n">
        <v>2</v>
      </c>
      <c r="B509" s="23" t="n">
        <v>505</v>
      </c>
      <c r="C509" s="23" t="n">
        <v>1505</v>
      </c>
      <c r="D509" s="23" t="inlineStr">
        <is>
          <t>0405607084</t>
        </is>
      </c>
      <c r="E509" s="11" t="inlineStr">
        <is>
          <t>Region IV-A (CALABARZON)</t>
        </is>
      </c>
      <c r="F509" s="11" t="inlineStr">
        <is>
          <t>Quezon</t>
        </is>
      </c>
      <c r="G509" s="11" t="inlineStr">
        <is>
          <t>Calauag</t>
        </is>
      </c>
      <c r="H509" s="11" t="inlineStr">
        <is>
          <t>Tamis</t>
        </is>
      </c>
      <c r="I509" s="24" t="n">
        <v>14.190077</v>
      </c>
      <c r="J509" s="24" t="n">
        <v>122.25872</v>
      </c>
      <c r="K509" s="23" t="inlineStr">
        <is>
          <t>R</t>
        </is>
      </c>
      <c r="L509" s="25" t="n">
        <v>612</v>
      </c>
      <c r="M509" s="26" t="n">
        <v>3.8</v>
      </c>
      <c r="N509" s="25">
        <f>ROUND(L509/M509, 0)</f>
        <v/>
      </c>
      <c r="O509" s="25">
        <f>ROUND(N509*'Methodology &amp; Assumptions'!$B$7, 0)</f>
        <v/>
      </c>
      <c r="P509" s="23" t="inlineStr">
        <is>
          <t>Single Carrier (Band n50, 100MHz TDD)</t>
        </is>
      </c>
      <c r="Q509" s="27">
        <f>ROUNDUP(O509/'Methodology &amp; Assumptions'!$B$8, 0)</f>
        <v/>
      </c>
      <c r="R509" s="27" t="n">
        <v>1</v>
      </c>
      <c r="S509" s="26" t="n">
        <v>7.44</v>
      </c>
      <c r="T509" s="26" t="n">
        <v>13.32</v>
      </c>
      <c r="U509" s="11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26" t="n">
        <v>45.74</v>
      </c>
      <c r="W509" s="26" t="n">
        <v>81.59</v>
      </c>
      <c r="X509" s="26">
        <f>ROUND(('Methodology &amp; Assumptions'!$B$5*V509) + ('Methodology &amp; Assumptions'!$B$6*W509), 2)</f>
        <v/>
      </c>
      <c r="Y509" s="28" t="n">
        <v>7.2</v>
      </c>
      <c r="Z509" s="11" t="inlineStr">
        <is>
          <t>Priority Tier 2 (Balanced Opportunity)</t>
        </is>
      </c>
    </row>
    <row r="510">
      <c r="A510" s="23" t="n">
        <v>2</v>
      </c>
      <c r="B510" s="23" t="n">
        <v>506</v>
      </c>
      <c r="C510" s="23" t="n">
        <v>1506</v>
      </c>
      <c r="D510" s="23" t="inlineStr">
        <is>
          <t>1705320021</t>
        </is>
      </c>
      <c r="E510" s="11" t="inlineStr">
        <is>
          <t>MIMAROPA Region</t>
        </is>
      </c>
      <c r="F510" s="11" t="inlineStr">
        <is>
          <t>Palawan</t>
        </is>
      </c>
      <c r="G510" s="11" t="inlineStr">
        <is>
          <t>Taytay</t>
        </is>
      </c>
      <c r="H510" s="11" t="inlineStr">
        <is>
          <t>Pularaquen</t>
        </is>
      </c>
      <c r="I510" s="24" t="n">
        <v>10.960229</v>
      </c>
      <c r="J510" s="24" t="n">
        <v>119.486603</v>
      </c>
      <c r="K510" s="23" t="inlineStr">
        <is>
          <t>R</t>
        </is>
      </c>
      <c r="L510" s="25" t="n">
        <v>3467</v>
      </c>
      <c r="M510" s="26" t="n">
        <v>3.9</v>
      </c>
      <c r="N510" s="25">
        <f>ROUND(L510/M510, 0)</f>
        <v/>
      </c>
      <c r="O510" s="25">
        <f>ROUND(N510*'Methodology &amp; Assumptions'!$B$7, 0)</f>
        <v/>
      </c>
      <c r="P510" s="23" t="inlineStr">
        <is>
          <t>Single Carrier (Band n50, 100MHz TDD)</t>
        </is>
      </c>
      <c r="Q510" s="27">
        <f>ROUNDUP(O510/'Methodology &amp; Assumptions'!$B$8, 0)</f>
        <v/>
      </c>
      <c r="R510" s="27" t="n">
        <v>1</v>
      </c>
      <c r="S510" s="26" t="n">
        <v>0.2</v>
      </c>
      <c r="T510" s="26" t="n">
        <v>15.46</v>
      </c>
      <c r="U510" s="11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26" t="n">
        <v>85.83</v>
      </c>
      <c r="W510" s="26" t="n">
        <v>41.48</v>
      </c>
      <c r="X510" s="26">
        <f>ROUND(('Methodology &amp; Assumptions'!$B$5*V510) + ('Methodology &amp; Assumptions'!$B$6*W510), 2)</f>
        <v/>
      </c>
      <c r="Y510" s="28" t="n">
        <v>15</v>
      </c>
      <c r="Z510" s="11" t="inlineStr">
        <is>
          <t>Priority Tier 2 (Balanced Opportunity)</t>
        </is>
      </c>
    </row>
    <row r="511">
      <c r="A511" s="23" t="n">
        <v>2</v>
      </c>
      <c r="B511" s="23" t="n">
        <v>507</v>
      </c>
      <c r="C511" s="23" t="n">
        <v>1507</v>
      </c>
      <c r="D511" s="23" t="inlineStr">
        <is>
          <t>0403419016</t>
        </is>
      </c>
      <c r="E511" s="11" t="inlineStr">
        <is>
          <t>Region IV-A (CALABARZON)</t>
        </is>
      </c>
      <c r="F511" s="11" t="inlineStr">
        <is>
          <t>Laguna</t>
        </is>
      </c>
      <c r="G511" s="11" t="inlineStr">
        <is>
          <t>Pagsanjan</t>
        </is>
      </c>
      <c r="H511" s="11" t="inlineStr">
        <is>
          <t>San Isidro</t>
        </is>
      </c>
      <c r="I511" s="24" t="n">
        <v>14.282383</v>
      </c>
      <c r="J511" s="24" t="n">
        <v>121.457446</v>
      </c>
      <c r="K511" s="23" t="inlineStr">
        <is>
          <t>R</t>
        </is>
      </c>
      <c r="L511" s="25" t="n">
        <v>3022</v>
      </c>
      <c r="M511" s="26" t="n">
        <v>3.3</v>
      </c>
      <c r="N511" s="25">
        <f>ROUND(L511/M511, 0)</f>
        <v/>
      </c>
      <c r="O511" s="25">
        <f>ROUND(N511*'Methodology &amp; Assumptions'!$B$7, 0)</f>
        <v/>
      </c>
      <c r="P511" s="23" t="inlineStr">
        <is>
          <t>Single Carrier (Band n50, 100MHz TDD)</t>
        </is>
      </c>
      <c r="Q511" s="27">
        <f>ROUNDUP(O511/'Methodology &amp; Assumptions'!$B$8, 0)</f>
        <v/>
      </c>
      <c r="R511" s="27" t="n">
        <v>1</v>
      </c>
      <c r="S511" s="26" t="n">
        <v>1.25</v>
      </c>
      <c r="T511" s="26" t="n">
        <v>0.03</v>
      </c>
      <c r="U511" s="11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26" t="n">
        <v>83.90000000000001</v>
      </c>
      <c r="W511" s="26" t="n">
        <v>43.41</v>
      </c>
      <c r="X511" s="26">
        <f>ROUND(('Methodology &amp; Assumptions'!$B$5*V511) + ('Methodology &amp; Assumptions'!$B$6*W511), 2)</f>
        <v/>
      </c>
      <c r="Y511" s="28" t="n">
        <v>7.2</v>
      </c>
      <c r="Z511" s="11" t="inlineStr">
        <is>
          <t>Priority Tier 2 (Balanced Opportunity)</t>
        </is>
      </c>
    </row>
    <row r="512">
      <c r="A512" s="23" t="n">
        <v>2</v>
      </c>
      <c r="B512" s="23" t="n">
        <v>508</v>
      </c>
      <c r="C512" s="23" t="n">
        <v>1508</v>
      </c>
      <c r="D512" s="23" t="inlineStr">
        <is>
          <t>0301420040</t>
        </is>
      </c>
      <c r="E512" s="11" t="inlineStr">
        <is>
          <t>Region III (Central Luzon)</t>
        </is>
      </c>
      <c r="F512" s="11" t="inlineStr">
        <is>
          <t>Bulacan</t>
        </is>
      </c>
      <c r="G512" s="11" t="inlineStr">
        <is>
          <t>City of San Jose Del Monte</t>
        </is>
      </c>
      <c r="H512" s="11" t="inlineStr">
        <is>
          <t>Minuyan V</t>
        </is>
      </c>
      <c r="I512" s="24" t="n">
        <v>14.842669</v>
      </c>
      <c r="J512" s="24" t="n">
        <v>121.078719</v>
      </c>
      <c r="K512" s="23" t="inlineStr">
        <is>
          <t>R</t>
        </is>
      </c>
      <c r="L512" s="25" t="n">
        <v>2300</v>
      </c>
      <c r="M512" s="26" t="n">
        <v>3.5</v>
      </c>
      <c r="N512" s="25">
        <f>ROUND(L512/M512, 0)</f>
        <v/>
      </c>
      <c r="O512" s="25">
        <f>ROUND(N512*'Methodology &amp; Assumptions'!$B$7, 0)</f>
        <v/>
      </c>
      <c r="P512" s="23" t="inlineStr">
        <is>
          <t>Single Carrier (Band n50, 100MHz TDD)</t>
        </is>
      </c>
      <c r="Q512" s="27">
        <f>ROUNDUP(O512/'Methodology &amp; Assumptions'!$B$8, 0)</f>
        <v/>
      </c>
      <c r="R512" s="27" t="n">
        <v>1</v>
      </c>
      <c r="S512" s="26" t="n">
        <v>0.63</v>
      </c>
      <c r="T512" s="26" t="n">
        <v>4.1</v>
      </c>
      <c r="U512" s="11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26" t="n">
        <v>77.72</v>
      </c>
      <c r="W512" s="26" t="n">
        <v>49.59</v>
      </c>
      <c r="X512" s="26">
        <f>ROUND(('Methodology &amp; Assumptions'!$B$5*V512) + ('Methodology &amp; Assumptions'!$B$6*W512), 2)</f>
        <v/>
      </c>
      <c r="Y512" s="28" t="n">
        <v>8.300000000000001</v>
      </c>
      <c r="Z512" s="11" t="inlineStr">
        <is>
          <t>Priority Tier 2 (Balanced Opportunity)</t>
        </is>
      </c>
    </row>
    <row r="513">
      <c r="A513" s="23" t="n">
        <v>2</v>
      </c>
      <c r="B513" s="23" t="n">
        <v>509</v>
      </c>
      <c r="C513" s="23" t="n">
        <v>1509</v>
      </c>
      <c r="D513" s="23" t="inlineStr">
        <is>
          <t>0506210007</t>
        </is>
      </c>
      <c r="E513" s="11" t="inlineStr">
        <is>
          <t>Region V (Bicol Region)</t>
        </is>
      </c>
      <c r="F513" s="11" t="inlineStr">
        <is>
          <t>Sorsogon</t>
        </is>
      </c>
      <c r="G513" s="11" t="inlineStr">
        <is>
          <t>Juban</t>
        </is>
      </c>
      <c r="H513" s="11" t="inlineStr">
        <is>
          <t>Calateo</t>
        </is>
      </c>
      <c r="I513" s="24" t="n">
        <v>12.806063</v>
      </c>
      <c r="J513" s="24" t="n">
        <v>123.943816</v>
      </c>
      <c r="K513" s="23" t="inlineStr">
        <is>
          <t>R</t>
        </is>
      </c>
      <c r="L513" s="25" t="n">
        <v>771</v>
      </c>
      <c r="M513" s="26" t="n">
        <v>4</v>
      </c>
      <c r="N513" s="25">
        <f>ROUND(L513/M513, 0)</f>
        <v/>
      </c>
      <c r="O513" s="25">
        <f>ROUND(N513*'Methodology &amp; Assumptions'!$B$7, 0)</f>
        <v/>
      </c>
      <c r="P513" s="23" t="inlineStr">
        <is>
          <t>Single Carrier (Band n50, 100MHz TDD)</t>
        </is>
      </c>
      <c r="Q513" s="27">
        <f>ROUNDUP(O513/'Methodology &amp; Assumptions'!$B$8, 0)</f>
        <v/>
      </c>
      <c r="R513" s="27" t="n">
        <v>1</v>
      </c>
      <c r="S513" s="26" t="n">
        <v>6.1</v>
      </c>
      <c r="T513" s="26" t="n">
        <v>1.8</v>
      </c>
      <c r="U513" s="11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26" t="n">
        <v>54.15</v>
      </c>
      <c r="W513" s="26" t="n">
        <v>73.14</v>
      </c>
      <c r="X513" s="26">
        <f>ROUND(('Methodology &amp; Assumptions'!$B$5*V513) + ('Methodology &amp; Assumptions'!$B$6*W513), 2)</f>
        <v/>
      </c>
      <c r="Y513" s="28" t="n">
        <v>23.7</v>
      </c>
      <c r="Z513" s="11" t="inlineStr">
        <is>
          <t>Priority Tier 2 (Balanced Opportunity)</t>
        </is>
      </c>
    </row>
    <row r="514">
      <c r="A514" s="23" t="n">
        <v>2</v>
      </c>
      <c r="B514" s="23" t="n">
        <v>510</v>
      </c>
      <c r="C514" s="23" t="n">
        <v>1510</v>
      </c>
      <c r="D514" s="23" t="inlineStr">
        <is>
          <t>0301420056</t>
        </is>
      </c>
      <c r="E514" s="11" t="inlineStr">
        <is>
          <t>Region III (Central Luzon)</t>
        </is>
      </c>
      <c r="F514" s="11" t="inlineStr">
        <is>
          <t>Bulacan</t>
        </is>
      </c>
      <c r="G514" s="11" t="inlineStr">
        <is>
          <t>City of San Jose Del Monte</t>
        </is>
      </c>
      <c r="H514" s="11" t="inlineStr">
        <is>
          <t>Santa Cruz IV</t>
        </is>
      </c>
      <c r="I514" s="24" t="n">
        <v>14.858669</v>
      </c>
      <c r="J514" s="24" t="n">
        <v>121.05198</v>
      </c>
      <c r="K514" s="23" t="inlineStr">
        <is>
          <t>R</t>
        </is>
      </c>
      <c r="L514" s="25" t="n">
        <v>3319</v>
      </c>
      <c r="M514" s="26" t="n">
        <v>3.5</v>
      </c>
      <c r="N514" s="25">
        <f>ROUND(L514/M514, 0)</f>
        <v/>
      </c>
      <c r="O514" s="25">
        <f>ROUND(N514*'Methodology &amp; Assumptions'!$B$7, 0)</f>
        <v/>
      </c>
      <c r="P514" s="23" t="inlineStr">
        <is>
          <t>Single Carrier (Band n50, 100MHz TDD)</t>
        </is>
      </c>
      <c r="Q514" s="27">
        <f>ROUNDUP(O514/'Methodology &amp; Assumptions'!$B$8, 0)</f>
        <v/>
      </c>
      <c r="R514" s="27" t="n">
        <v>1</v>
      </c>
      <c r="S514" s="26" t="n">
        <v>2.45</v>
      </c>
      <c r="T514" s="26" t="n">
        <v>3.3</v>
      </c>
      <c r="U514" s="11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26" t="n">
        <v>76.41</v>
      </c>
      <c r="W514" s="26" t="n">
        <v>50.87</v>
      </c>
      <c r="X514" s="26">
        <f>ROUND(('Methodology &amp; Assumptions'!$B$5*V514) + ('Methodology &amp; Assumptions'!$B$6*W514), 2)</f>
        <v/>
      </c>
      <c r="Y514" s="28" t="n">
        <v>8.300000000000001</v>
      </c>
      <c r="Z514" s="11" t="inlineStr">
        <is>
          <t>Priority Tier 2 (Balanced Opportunity)</t>
        </is>
      </c>
    </row>
    <row r="515">
      <c r="A515" s="23" t="n">
        <v>2</v>
      </c>
      <c r="B515" s="23" t="n">
        <v>511</v>
      </c>
      <c r="C515" s="23" t="n">
        <v>1511</v>
      </c>
      <c r="D515" s="23" t="inlineStr">
        <is>
          <t>1380606062</t>
        </is>
      </c>
      <c r="E515" s="11" t="inlineStr">
        <is>
          <t>National Capital Region (NCR)</t>
        </is>
      </c>
      <c r="F515" s="11" t="inlineStr">
        <is>
          <t>First District (Not a Province)</t>
        </is>
      </c>
      <c r="G515" s="11" t="inlineStr">
        <is>
          <t>City of Manila</t>
        </is>
      </c>
      <c r="H515" s="11" t="inlineStr">
        <is>
          <t>Barangay 456</t>
        </is>
      </c>
      <c r="I515" s="24" t="n">
        <v>14.609179</v>
      </c>
      <c r="J515" s="24" t="n">
        <v>120.994474</v>
      </c>
      <c r="K515" s="23" t="inlineStr">
        <is>
          <t>U</t>
        </is>
      </c>
      <c r="L515" s="25" t="n">
        <v>1589</v>
      </c>
      <c r="M515" s="26" t="n">
        <v>3.25</v>
      </c>
      <c r="N515" s="25">
        <f>ROUND(L515/M515, 0)</f>
        <v/>
      </c>
      <c r="O515" s="25">
        <f>ROUND(N515*'Methodology &amp; Assumptions'!$B$7, 0)</f>
        <v/>
      </c>
      <c r="P515" s="23" t="inlineStr">
        <is>
          <t>Single Carrier (Band n50, 100MHz TDD)</t>
        </is>
      </c>
      <c r="Q515" s="27">
        <f>ROUNDUP(O515/'Methodology &amp; Assumptions'!$B$8, 0)</f>
        <v/>
      </c>
      <c r="R515" s="27" t="n">
        <v>1</v>
      </c>
      <c r="S515" s="26" t="n">
        <v>0.76</v>
      </c>
      <c r="T515" s="26" t="n">
        <v>0.17</v>
      </c>
      <c r="U515" s="11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26" t="n">
        <v>56.84</v>
      </c>
      <c r="W515" s="26" t="n">
        <v>70.44</v>
      </c>
      <c r="X515" s="26">
        <f>ROUND(('Methodology &amp; Assumptions'!$B$5*V515) + ('Methodology &amp; Assumptions'!$B$6*W515), 2)</f>
        <v/>
      </c>
      <c r="Y515" s="28" t="n">
        <v>10.9</v>
      </c>
      <c r="Z515" s="11" t="inlineStr">
        <is>
          <t>Priority Tier 2 (Balanced Opportunity)</t>
        </is>
      </c>
    </row>
    <row r="516">
      <c r="A516" s="23" t="n">
        <v>2</v>
      </c>
      <c r="B516" s="23" t="n">
        <v>512</v>
      </c>
      <c r="C516" s="23" t="n">
        <v>1512</v>
      </c>
      <c r="D516" s="23" t="inlineStr">
        <is>
          <t>1380200016</t>
        </is>
      </c>
      <c r="E516" s="11" t="inlineStr">
        <is>
          <t>National Capital Region (NCR)</t>
        </is>
      </c>
      <c r="F516" s="11" t="inlineStr">
        <is>
          <t>Fourth District (Not a Province)</t>
        </is>
      </c>
      <c r="G516" s="11" t="inlineStr">
        <is>
          <t>City of Las Piñas</t>
        </is>
      </c>
      <c r="H516" s="11" t="inlineStr">
        <is>
          <t>Pulang Lupa Dos</t>
        </is>
      </c>
      <c r="I516" s="24" t="n">
        <v>14.46055</v>
      </c>
      <c r="J516" s="24" t="n">
        <v>120.980542</v>
      </c>
      <c r="K516" s="23" t="inlineStr">
        <is>
          <t>U</t>
        </is>
      </c>
      <c r="L516" s="25" t="n">
        <v>32788</v>
      </c>
      <c r="M516" s="26" t="n">
        <v>3.8</v>
      </c>
      <c r="N516" s="25">
        <f>ROUND(L516/M516, 0)</f>
        <v/>
      </c>
      <c r="O516" s="25">
        <f>ROUND(N516*'Methodology &amp; Assumptions'!$B$7, 0)</f>
        <v/>
      </c>
      <c r="P516" s="23" t="inlineStr">
        <is>
          <t>Single Carrier (Band n50, 100MHz TDD)</t>
        </is>
      </c>
      <c r="Q516" s="27">
        <f>ROUNDUP(O516/'Methodology &amp; Assumptions'!$B$8, 0)</f>
        <v/>
      </c>
      <c r="R516" s="27" t="n">
        <v>1</v>
      </c>
      <c r="S516" s="26" t="n">
        <v>0.66</v>
      </c>
      <c r="T516" s="26" t="n">
        <v>0.66</v>
      </c>
      <c r="U516" s="11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26" t="n">
        <v>67.37</v>
      </c>
      <c r="W516" s="26" t="n">
        <v>59.9</v>
      </c>
      <c r="X516" s="26">
        <f>ROUND(('Methodology &amp; Assumptions'!$B$5*V516) + ('Methodology &amp; Assumptions'!$B$6*W516), 2)</f>
        <v/>
      </c>
      <c r="Y516" s="28" t="n">
        <v>10.9</v>
      </c>
      <c r="Z516" s="11" t="inlineStr">
        <is>
          <t>Priority Tier 2 (Balanced Opportunity)</t>
        </is>
      </c>
    </row>
    <row r="517">
      <c r="A517" s="23" t="n">
        <v>2</v>
      </c>
      <c r="B517" s="23" t="n">
        <v>513</v>
      </c>
      <c r="C517" s="23" t="n">
        <v>1513</v>
      </c>
      <c r="D517" s="23" t="inlineStr">
        <is>
          <t>1380601002</t>
        </is>
      </c>
      <c r="E517" s="11" t="inlineStr">
        <is>
          <t>National Capital Region (NCR)</t>
        </is>
      </c>
      <c r="F517" s="11" t="inlineStr">
        <is>
          <t>First District (Not a Province)</t>
        </is>
      </c>
      <c r="G517" s="11" t="inlineStr">
        <is>
          <t>City of Manila</t>
        </is>
      </c>
      <c r="H517" s="11" t="inlineStr">
        <is>
          <t>Barangay 2</t>
        </is>
      </c>
      <c r="I517" s="24" t="n">
        <v>14.60439</v>
      </c>
      <c r="J517" s="24" t="n">
        <v>120.9677</v>
      </c>
      <c r="K517" s="23" t="inlineStr">
        <is>
          <t>U</t>
        </is>
      </c>
      <c r="L517" s="25" t="n">
        <v>1666</v>
      </c>
      <c r="M517" s="26" t="n">
        <v>3.54</v>
      </c>
      <c r="N517" s="25">
        <f>ROUND(L517/M517, 0)</f>
        <v/>
      </c>
      <c r="O517" s="25">
        <f>ROUND(N517*'Methodology &amp; Assumptions'!$B$7, 0)</f>
        <v/>
      </c>
      <c r="P517" s="23" t="inlineStr">
        <is>
          <t>Single Carrier (Band n50, 100MHz TDD)</t>
        </is>
      </c>
      <c r="Q517" s="27">
        <f>ROUNDUP(O517/'Methodology &amp; Assumptions'!$B$8, 0)</f>
        <v/>
      </c>
      <c r="R517" s="27" t="n">
        <v>1</v>
      </c>
      <c r="S517" s="26" t="n">
        <v>0.34</v>
      </c>
      <c r="T517" s="26" t="n">
        <v>0.34</v>
      </c>
      <c r="U517" s="11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26" t="n">
        <v>56.2</v>
      </c>
      <c r="W517" s="26" t="n">
        <v>71.06</v>
      </c>
      <c r="X517" s="26">
        <f>ROUND(('Methodology &amp; Assumptions'!$B$5*V517) + ('Methodology &amp; Assumptions'!$B$6*W517), 2)</f>
        <v/>
      </c>
      <c r="Y517" s="28" t="n">
        <v>10.9</v>
      </c>
      <c r="Z517" s="11" t="inlineStr">
        <is>
          <t>Priority Tier 2 (Balanced Opportunity)</t>
        </is>
      </c>
    </row>
    <row r="518">
      <c r="A518" s="23" t="n">
        <v>2</v>
      </c>
      <c r="B518" s="23" t="n">
        <v>514</v>
      </c>
      <c r="C518" s="23" t="n">
        <v>1514</v>
      </c>
      <c r="D518" s="23" t="inlineStr">
        <is>
          <t>0600402010</t>
        </is>
      </c>
      <c r="E518" s="11" t="inlineStr">
        <is>
          <t>Region VI (Western Visayas)</t>
        </is>
      </c>
      <c r="F518" s="11" t="inlineStr">
        <is>
          <t>Aklan</t>
        </is>
      </c>
      <c r="G518" s="11" t="inlineStr">
        <is>
          <t>Balete</t>
        </is>
      </c>
      <c r="H518" s="11" t="inlineStr">
        <is>
          <t>Oquendo</t>
        </is>
      </c>
      <c r="I518" s="24" t="n">
        <v>11.47008</v>
      </c>
      <c r="J518" s="24" t="n">
        <v>122.35886</v>
      </c>
      <c r="K518" s="23" t="inlineStr">
        <is>
          <t>R</t>
        </is>
      </c>
      <c r="L518" s="25" t="n">
        <v>1064</v>
      </c>
      <c r="M518" s="26" t="n">
        <v>3.9</v>
      </c>
      <c r="N518" s="25">
        <f>ROUND(L518/M518, 0)</f>
        <v/>
      </c>
      <c r="O518" s="25">
        <f>ROUND(N518*'Methodology &amp; Assumptions'!$B$7, 0)</f>
        <v/>
      </c>
      <c r="P518" s="23" t="inlineStr">
        <is>
          <t>Single Carrier (Band n50, 100MHz TDD)</t>
        </is>
      </c>
      <c r="Q518" s="27">
        <f>ROUNDUP(O518/'Methodology &amp; Assumptions'!$B$8, 0)</f>
        <v/>
      </c>
      <c r="R518" s="27" t="n">
        <v>1</v>
      </c>
      <c r="S518" s="26" t="n">
        <v>9.859999999999999</v>
      </c>
      <c r="T518" s="26" t="n">
        <v>9.710000000000001</v>
      </c>
      <c r="U518" s="11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26" t="n">
        <v>49.39</v>
      </c>
      <c r="W518" s="26" t="n">
        <v>77.88</v>
      </c>
      <c r="X518" s="26">
        <f>ROUND(('Methodology &amp; Assumptions'!$B$5*V518) + ('Methodology &amp; Assumptions'!$B$6*W518), 2)</f>
        <v/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2</v>
      </c>
      <c r="B519" s="23" t="n">
        <v>515</v>
      </c>
      <c r="C519" s="23" t="n">
        <v>1515</v>
      </c>
      <c r="D519" s="23" t="inlineStr">
        <is>
          <t>1381300075</t>
        </is>
      </c>
      <c r="E519" s="11" t="inlineStr">
        <is>
          <t>National Capital Region (NCR)</t>
        </is>
      </c>
      <c r="F519" s="11" t="inlineStr">
        <is>
          <t>Second District (Not a Province)</t>
        </is>
      </c>
      <c r="G519" s="11" t="inlineStr">
        <is>
          <t>Quezon City</t>
        </is>
      </c>
      <c r="H519" s="11" t="inlineStr">
        <is>
          <t>Paligsahan</t>
        </is>
      </c>
      <c r="I519" s="24" t="n">
        <v>14.6319</v>
      </c>
      <c r="J519" s="24" t="n">
        <v>121.0213</v>
      </c>
      <c r="K519" s="23" t="inlineStr">
        <is>
          <t>U</t>
        </is>
      </c>
      <c r="L519" s="25" t="n">
        <v>5627</v>
      </c>
      <c r="M519" s="26" t="n">
        <v>2.8</v>
      </c>
      <c r="N519" s="25">
        <f>ROUND(L519/M519, 0)</f>
        <v/>
      </c>
      <c r="O519" s="25">
        <f>ROUND(N519*'Methodology &amp; Assumptions'!$B$7, 0)</f>
        <v/>
      </c>
      <c r="P519" s="23" t="inlineStr">
        <is>
          <t>Single Carrier (Band n50, 100MHz TDD)</t>
        </is>
      </c>
      <c r="Q519" s="27">
        <f>ROUNDUP(O519/'Methodology &amp; Assumptions'!$B$8, 0)</f>
        <v/>
      </c>
      <c r="R519" s="27" t="n">
        <v>1</v>
      </c>
      <c r="S519" s="26" t="n">
        <v>1.06</v>
      </c>
      <c r="T519" s="26" t="n">
        <v>0.82</v>
      </c>
      <c r="U519" s="11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26" t="n">
        <v>68.27</v>
      </c>
      <c r="W519" s="26" t="n">
        <v>58.97</v>
      </c>
      <c r="X519" s="26">
        <f>ROUND(('Methodology &amp; Assumptions'!$B$5*V519) + ('Methodology &amp; Assumptions'!$B$6*W519), 2)</f>
        <v/>
      </c>
      <c r="Y519" s="28" t="n">
        <v>10.9</v>
      </c>
      <c r="Z519" s="11" t="inlineStr">
        <is>
          <t>Priority Tier 2 (Balanced Opportunity)</t>
        </is>
      </c>
    </row>
    <row r="520">
      <c r="A520" s="23" t="n">
        <v>2</v>
      </c>
      <c r="B520" s="23" t="n">
        <v>516</v>
      </c>
      <c r="C520" s="23" t="n">
        <v>1516</v>
      </c>
      <c r="D520" s="23" t="inlineStr">
        <is>
          <t>0405627034</t>
        </is>
      </c>
      <c r="E520" s="11" t="inlineStr">
        <is>
          <t>Region IV-A (CALABARZON)</t>
        </is>
      </c>
      <c r="F520" s="11" t="inlineStr">
        <is>
          <t>Quezon</t>
        </is>
      </c>
      <c r="G520" s="11" t="inlineStr">
        <is>
          <t>Mauban</t>
        </is>
      </c>
      <c r="H520" s="11" t="inlineStr">
        <is>
          <t>San Roque</t>
        </is>
      </c>
      <c r="I520" s="24" t="n">
        <v>14.223457</v>
      </c>
      <c r="J520" s="24" t="n">
        <v>121.699061</v>
      </c>
      <c r="K520" s="23" t="inlineStr">
        <is>
          <t>R</t>
        </is>
      </c>
      <c r="L520" s="25" t="n">
        <v>160</v>
      </c>
      <c r="M520" s="26" t="n">
        <v>3.8</v>
      </c>
      <c r="N520" s="25">
        <f>ROUND(L520/M520, 0)</f>
        <v/>
      </c>
      <c r="O520" s="25">
        <f>ROUND(N520*'Methodology &amp; Assumptions'!$B$7, 0)</f>
        <v/>
      </c>
      <c r="P520" s="23" t="inlineStr">
        <is>
          <t>Single Carrier (Band n50, 100MHz TDD)</t>
        </is>
      </c>
      <c r="Q520" s="27">
        <f>ROUNDUP(O520/'Methodology &amp; Assumptions'!$B$8, 0)</f>
        <v/>
      </c>
      <c r="R520" s="27" t="n">
        <v>1</v>
      </c>
      <c r="S520" s="26" t="n">
        <v>5.48</v>
      </c>
      <c r="T520" s="26" t="n">
        <v>19.02</v>
      </c>
      <c r="U520" s="11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26" t="n">
        <v>44.52</v>
      </c>
      <c r="W520" s="26" t="n">
        <v>82.73</v>
      </c>
      <c r="X520" s="26">
        <f>ROUND(('Methodology &amp; Assumptions'!$B$5*V520) + ('Methodology &amp; Assumptions'!$B$6*W520), 2)</f>
        <v/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2</v>
      </c>
      <c r="B521" s="23" t="n">
        <v>517</v>
      </c>
      <c r="C521" s="23" t="n">
        <v>1517</v>
      </c>
      <c r="D521" s="23" t="inlineStr">
        <is>
          <t>1403201001</t>
        </is>
      </c>
      <c r="E521" s="11" t="inlineStr">
        <is>
          <t>Cordillera Administrative Region (CAR)</t>
        </is>
      </c>
      <c r="F521" s="11" t="inlineStr">
        <is>
          <t>Kalinga</t>
        </is>
      </c>
      <c r="G521" s="11" t="inlineStr">
        <is>
          <t>Balbalan</t>
        </is>
      </c>
      <c r="H521" s="11" t="inlineStr">
        <is>
          <t>Ababa-an</t>
        </is>
      </c>
      <c r="I521" s="24" t="n">
        <v>17.525057</v>
      </c>
      <c r="J521" s="24" t="n">
        <v>121.293488</v>
      </c>
      <c r="K521" s="23" t="inlineStr">
        <is>
          <t>R</t>
        </is>
      </c>
      <c r="L521" s="25" t="n">
        <v>420</v>
      </c>
      <c r="M521" s="26" t="n">
        <v>4.3</v>
      </c>
      <c r="N521" s="25">
        <f>ROUND(L521/M521, 0)</f>
        <v/>
      </c>
      <c r="O521" s="25">
        <f>ROUND(N521*'Methodology &amp; Assumptions'!$B$7, 0)</f>
        <v/>
      </c>
      <c r="P521" s="23" t="inlineStr">
        <is>
          <t>Single Carrier (Band n50, 100MHz TDD)</t>
        </is>
      </c>
      <c r="Q521" s="27">
        <f>ROUNDUP(O521/'Methodology &amp; Assumptions'!$B$8, 0)</f>
        <v/>
      </c>
      <c r="R521" s="27" t="n">
        <v>1</v>
      </c>
      <c r="S521" s="26" t="n">
        <v>6.14</v>
      </c>
      <c r="T521" s="26" t="n">
        <v>12.55</v>
      </c>
      <c r="U521" s="11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26" t="n">
        <v>44.41</v>
      </c>
      <c r="W521" s="26" t="n">
        <v>82.84</v>
      </c>
      <c r="X521" s="26">
        <f>ROUND(('Methodology &amp; Assumptions'!$B$5*V521) + ('Methodology &amp; Assumptions'!$B$6*W521), 2)</f>
        <v/>
      </c>
      <c r="Y521" s="28" t="n">
        <v>10.9</v>
      </c>
      <c r="Z521" s="11" t="inlineStr">
        <is>
          <t>Priority Tier 2 (Balanced Opportunity)</t>
        </is>
      </c>
    </row>
    <row r="522">
      <c r="A522" s="23" t="n">
        <v>2</v>
      </c>
      <c r="B522" s="23" t="n">
        <v>518</v>
      </c>
      <c r="C522" s="23" t="n">
        <v>1518</v>
      </c>
      <c r="D522" s="23" t="inlineStr">
        <is>
          <t>0301416001</t>
        </is>
      </c>
      <c r="E522" s="11" t="inlineStr">
        <is>
          <t>Region III (Central Luzon)</t>
        </is>
      </c>
      <c r="F522" s="11" t="inlineStr">
        <is>
          <t>Bulacan</t>
        </is>
      </c>
      <c r="G522" s="11" t="inlineStr">
        <is>
          <t>Paombong</t>
        </is>
      </c>
      <c r="H522" s="11" t="inlineStr">
        <is>
          <t>Binakod</t>
        </is>
      </c>
      <c r="I522" s="24" t="n">
        <v>14.781263</v>
      </c>
      <c r="J522" s="24" t="n">
        <v>120.783649</v>
      </c>
      <c r="K522" s="23" t="inlineStr">
        <is>
          <t>R</t>
        </is>
      </c>
      <c r="L522" s="25" t="n">
        <v>1971</v>
      </c>
      <c r="M522" s="26" t="n">
        <v>3.5</v>
      </c>
      <c r="N522" s="25">
        <f>ROUND(L522/M522, 0)</f>
        <v/>
      </c>
      <c r="O522" s="25">
        <f>ROUND(N522*'Methodology &amp; Assumptions'!$B$7, 0)</f>
        <v/>
      </c>
      <c r="P522" s="23" t="inlineStr">
        <is>
          <t>Single Carrier (Band n50, 100MHz TDD)</t>
        </is>
      </c>
      <c r="Q522" s="27">
        <f>ROUNDUP(O522/'Methodology &amp; Assumptions'!$B$8, 0)</f>
        <v/>
      </c>
      <c r="R522" s="27" t="n">
        <v>1</v>
      </c>
      <c r="S522" s="26" t="n">
        <v>5.55</v>
      </c>
      <c r="T522" s="26" t="n">
        <v>8.539999999999999</v>
      </c>
      <c r="U522" s="11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26" t="n">
        <v>61.46</v>
      </c>
      <c r="W522" s="26" t="n">
        <v>65.77</v>
      </c>
      <c r="X522" s="26">
        <f>ROUND(('Methodology &amp; Assumptions'!$B$5*V522) + ('Methodology &amp; Assumptions'!$B$6*W522), 2)</f>
        <v/>
      </c>
      <c r="Y522" s="28" t="n">
        <v>8.300000000000001</v>
      </c>
      <c r="Z522" s="11" t="inlineStr">
        <is>
          <t>Priority Tier 2 (Balanced Opportunity)</t>
        </is>
      </c>
    </row>
    <row r="523">
      <c r="A523" s="23" t="n">
        <v>2</v>
      </c>
      <c r="B523" s="23" t="n">
        <v>519</v>
      </c>
      <c r="C523" s="23" t="n">
        <v>1519</v>
      </c>
      <c r="D523" s="23" t="inlineStr">
        <is>
          <t>1380606172</t>
        </is>
      </c>
      <c r="E523" s="11" t="inlineStr">
        <is>
          <t>National Capital Region (NCR)</t>
        </is>
      </c>
      <c r="F523" s="11" t="inlineStr">
        <is>
          <t>First District (Not a Province)</t>
        </is>
      </c>
      <c r="G523" s="11" t="inlineStr">
        <is>
          <t>City of Manila</t>
        </is>
      </c>
      <c r="H523" s="11" t="inlineStr">
        <is>
          <t>Barangay 566</t>
        </is>
      </c>
      <c r="I523" s="24" t="n">
        <v>14.608325</v>
      </c>
      <c r="J523" s="24" t="n">
        <v>121.008064</v>
      </c>
      <c r="K523" s="23" t="inlineStr">
        <is>
          <t>U</t>
        </is>
      </c>
      <c r="L523" s="25" t="n">
        <v>2177</v>
      </c>
      <c r="M523" s="26" t="n">
        <v>4.24</v>
      </c>
      <c r="N523" s="25">
        <f>ROUND(L523/M523, 0)</f>
        <v/>
      </c>
      <c r="O523" s="25">
        <f>ROUND(N523*'Methodology &amp; Assumptions'!$B$7, 0)</f>
        <v/>
      </c>
      <c r="P523" s="23" t="inlineStr">
        <is>
          <t>Single Carrier (Band n50, 100MHz TDD)</t>
        </is>
      </c>
      <c r="Q523" s="27">
        <f>ROUNDUP(O523/'Methodology &amp; Assumptions'!$B$8, 0)</f>
        <v/>
      </c>
      <c r="R523" s="27" t="n">
        <v>1</v>
      </c>
      <c r="S523" s="26" t="n">
        <v>0.55</v>
      </c>
      <c r="T523" s="26" t="n">
        <v>0.43</v>
      </c>
      <c r="U523" s="11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26" t="n">
        <v>57.59</v>
      </c>
      <c r="W523" s="26" t="n">
        <v>69.64</v>
      </c>
      <c r="X523" s="26">
        <f>ROUND(('Methodology &amp; Assumptions'!$B$5*V523) + ('Methodology &amp; Assumptions'!$B$6*W523), 2)</f>
        <v/>
      </c>
      <c r="Y523" s="28" t="n">
        <v>10.9</v>
      </c>
      <c r="Z523" s="11" t="inlineStr">
        <is>
          <t>Priority Tier 2 (Balanced Opportunity)</t>
        </is>
      </c>
    </row>
    <row r="524">
      <c r="A524" s="23" t="n">
        <v>2</v>
      </c>
      <c r="B524" s="23" t="n">
        <v>520</v>
      </c>
      <c r="C524" s="23" t="n">
        <v>1520</v>
      </c>
      <c r="D524" s="23" t="inlineStr">
        <is>
          <t>1380601082</t>
        </is>
      </c>
      <c r="E524" s="11" t="inlineStr">
        <is>
          <t>National Capital Region (NCR)</t>
        </is>
      </c>
      <c r="F524" s="11" t="inlineStr">
        <is>
          <t>First District (Not a Province)</t>
        </is>
      </c>
      <c r="G524" s="11" t="inlineStr">
        <is>
          <t>City of Manila</t>
        </is>
      </c>
      <c r="H524" s="11" t="inlineStr">
        <is>
          <t>Barangay 82</t>
        </is>
      </c>
      <c r="I524" s="24" t="n">
        <v>14.539466</v>
      </c>
      <c r="J524" s="24" t="n">
        <v>120.999261</v>
      </c>
      <c r="K524" s="23" t="inlineStr">
        <is>
          <t>U</t>
        </is>
      </c>
      <c r="L524" s="25" t="n">
        <v>2662</v>
      </c>
      <c r="M524" s="26" t="n">
        <v>5.48</v>
      </c>
      <c r="N524" s="25">
        <f>ROUND(L524/M524, 0)</f>
        <v/>
      </c>
      <c r="O524" s="25">
        <f>ROUND(N524*'Methodology &amp; Assumptions'!$B$7, 0)</f>
        <v/>
      </c>
      <c r="P524" s="23" t="inlineStr">
        <is>
          <t>Single Carrier (Band n50, 100MHz TDD)</t>
        </is>
      </c>
      <c r="Q524" s="27">
        <f>ROUNDUP(O524/'Methodology &amp; Assumptions'!$B$8, 0)</f>
        <v/>
      </c>
      <c r="R524" s="27" t="n">
        <v>1</v>
      </c>
      <c r="S524" s="26" t="n">
        <v>0.77</v>
      </c>
      <c r="T524" s="26" t="n">
        <v>0.24</v>
      </c>
      <c r="U524" s="11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26" t="n">
        <v>56.73</v>
      </c>
      <c r="W524" s="26" t="n">
        <v>70.48</v>
      </c>
      <c r="X524" s="26">
        <f>ROUND(('Methodology &amp; Assumptions'!$B$5*V524) + ('Methodology &amp; Assumptions'!$B$6*W524), 2)</f>
        <v/>
      </c>
      <c r="Y524" s="28" t="n">
        <v>10.9</v>
      </c>
      <c r="Z524" s="11" t="inlineStr">
        <is>
          <t>Priority Tier 2 (Balanced Opportunity)</t>
        </is>
      </c>
    </row>
    <row r="525">
      <c r="A525" s="23" t="n">
        <v>2</v>
      </c>
      <c r="B525" s="23" t="n">
        <v>521</v>
      </c>
      <c r="C525" s="23" t="n">
        <v>1521</v>
      </c>
      <c r="D525" s="23" t="inlineStr">
        <is>
          <t>1381100023</t>
        </is>
      </c>
      <c r="E525" s="11" t="inlineStr">
        <is>
          <t>National Capital Region (NCR)</t>
        </is>
      </c>
      <c r="F525" s="11" t="inlineStr">
        <is>
          <t>Fourth District (Not a Province)</t>
        </is>
      </c>
      <c r="G525" s="11" t="inlineStr">
        <is>
          <t>Pasay City</t>
        </is>
      </c>
      <c r="H525" s="11" t="inlineStr">
        <is>
          <t>Barangay 23</t>
        </is>
      </c>
      <c r="I525" s="24" t="n">
        <v>14.554156</v>
      </c>
      <c r="J525" s="24" t="n">
        <v>120.993726</v>
      </c>
      <c r="K525" s="23" t="inlineStr">
        <is>
          <t>U</t>
        </is>
      </c>
      <c r="L525" s="25" t="n">
        <v>1591</v>
      </c>
      <c r="M525" s="26" t="n">
        <v>3.34</v>
      </c>
      <c r="N525" s="25">
        <f>ROUND(L525/M525, 0)</f>
        <v/>
      </c>
      <c r="O525" s="25">
        <f>ROUND(N525*'Methodology &amp; Assumptions'!$B$7, 0)</f>
        <v/>
      </c>
      <c r="P525" s="23" t="inlineStr">
        <is>
          <t>Single Carrier (Band n50, 100MHz TDD)</t>
        </is>
      </c>
      <c r="Q525" s="27">
        <f>ROUNDUP(O525/'Methodology &amp; Assumptions'!$B$8, 0)</f>
        <v/>
      </c>
      <c r="R525" s="27" t="n">
        <v>1</v>
      </c>
      <c r="S525" s="26" t="n">
        <v>0.24</v>
      </c>
      <c r="T525" s="26" t="n">
        <v>0.21</v>
      </c>
      <c r="U525" s="11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26" t="n">
        <v>56.41</v>
      </c>
      <c r="W525" s="26" t="n">
        <v>70.81999999999999</v>
      </c>
      <c r="X525" s="26">
        <f>ROUND(('Methodology &amp; Assumptions'!$B$5*V525) + ('Methodology &amp; Assumptions'!$B$6*W525), 2)</f>
        <v/>
      </c>
      <c r="Y525" s="28" t="n">
        <v>10.9</v>
      </c>
      <c r="Z525" s="11" t="inlineStr">
        <is>
          <t>Priority Tier 2 (Balanced Opportunity)</t>
        </is>
      </c>
    </row>
    <row r="526">
      <c r="A526" s="23" t="n">
        <v>2</v>
      </c>
      <c r="B526" s="23" t="n">
        <v>522</v>
      </c>
      <c r="C526" s="23" t="n">
        <v>1522</v>
      </c>
      <c r="D526" s="23" t="inlineStr">
        <is>
          <t>0405610046</t>
        </is>
      </c>
      <c r="E526" s="11" t="inlineStr">
        <is>
          <t>Region IV-A (CALABARZON)</t>
        </is>
      </c>
      <c r="F526" s="11" t="inlineStr">
        <is>
          <t>Quezon</t>
        </is>
      </c>
      <c r="G526" s="11" t="inlineStr">
        <is>
          <t>Catanauan</t>
        </is>
      </c>
      <c r="H526" s="11" t="inlineStr">
        <is>
          <t>Barangay 10</t>
        </is>
      </c>
      <c r="I526" s="24" t="n">
        <v>13.598427</v>
      </c>
      <c r="J526" s="24" t="n">
        <v>122.323289</v>
      </c>
      <c r="K526" s="23" t="inlineStr">
        <is>
          <t>R</t>
        </is>
      </c>
      <c r="L526" s="25" t="n">
        <v>3707</v>
      </c>
      <c r="M526" s="26" t="n">
        <v>3.8</v>
      </c>
      <c r="N526" s="25">
        <f>ROUND(L526/M526, 0)</f>
        <v/>
      </c>
      <c r="O526" s="25">
        <f>ROUND(N526*'Methodology &amp; Assumptions'!$B$7, 0)</f>
        <v/>
      </c>
      <c r="P526" s="23" t="inlineStr">
        <is>
          <t>Single Carrier (Band n50, 100MHz TDD)</t>
        </is>
      </c>
      <c r="Q526" s="27">
        <f>ROUNDUP(O526/'Methodology &amp; Assumptions'!$B$8, 0)</f>
        <v/>
      </c>
      <c r="R526" s="27" t="n">
        <v>1</v>
      </c>
      <c r="S526" s="26" t="n">
        <v>1.32</v>
      </c>
      <c r="T526" s="26" t="n">
        <v>0.12</v>
      </c>
      <c r="U526" s="11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26" t="n">
        <v>83.62</v>
      </c>
      <c r="W526" s="26" t="n">
        <v>43.58</v>
      </c>
      <c r="X526" s="26">
        <f>ROUND(('Methodology &amp; Assumptions'!$B$5*V526) + ('Methodology &amp; Assumptions'!$B$6*W526), 2)</f>
        <v/>
      </c>
      <c r="Y526" s="28" t="n">
        <v>7.2</v>
      </c>
      <c r="Z526" s="11" t="inlineStr">
        <is>
          <t>Priority Tier 2 (Balanced Opportunity)</t>
        </is>
      </c>
    </row>
    <row r="527">
      <c r="A527" s="23" t="n">
        <v>2</v>
      </c>
      <c r="B527" s="23" t="n">
        <v>523</v>
      </c>
      <c r="C527" s="23" t="n">
        <v>1523</v>
      </c>
      <c r="D527" s="23" t="inlineStr">
        <is>
          <t>1380614019</t>
        </is>
      </c>
      <c r="E527" s="11" t="inlineStr">
        <is>
          <t>National Capital Region (NCR)</t>
        </is>
      </c>
      <c r="F527" s="11" t="inlineStr">
        <is>
          <t>First District (Not a Province)</t>
        </is>
      </c>
      <c r="G527" s="11" t="inlineStr">
        <is>
          <t>City of Manila</t>
        </is>
      </c>
      <c r="H527" s="11" t="inlineStr">
        <is>
          <t>Barangay 763</t>
        </is>
      </c>
      <c r="I527" s="24" t="n">
        <v>14.568822</v>
      </c>
      <c r="J527" s="24" t="n">
        <v>121.004591</v>
      </c>
      <c r="K527" s="23" t="inlineStr">
        <is>
          <t>U</t>
        </is>
      </c>
      <c r="L527" s="25" t="n">
        <v>1984</v>
      </c>
      <c r="M527" s="26" t="n">
        <v>3.41</v>
      </c>
      <c r="N527" s="25">
        <f>ROUND(L527/M527, 0)</f>
        <v/>
      </c>
      <c r="O527" s="25">
        <f>ROUND(N527*'Methodology &amp; Assumptions'!$B$7, 0)</f>
        <v/>
      </c>
      <c r="P527" s="23" t="inlineStr">
        <is>
          <t>Single Carrier (Band n50, 100MHz TDD)</t>
        </is>
      </c>
      <c r="Q527" s="27">
        <f>ROUNDUP(O527/'Methodology &amp; Assumptions'!$B$8, 0)</f>
        <v/>
      </c>
      <c r="R527" s="27" t="n">
        <v>1</v>
      </c>
      <c r="S527" s="26" t="n">
        <v>1.17</v>
      </c>
      <c r="T527" s="26" t="n">
        <v>0.1</v>
      </c>
      <c r="U527" s="11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26" t="n">
        <v>58.47</v>
      </c>
      <c r="W527" s="26" t="n">
        <v>68.73</v>
      </c>
      <c r="X527" s="26">
        <f>ROUND(('Methodology &amp; Assumptions'!$B$5*V527) + ('Methodology &amp; Assumptions'!$B$6*W527), 2)</f>
        <v/>
      </c>
      <c r="Y527" s="28" t="n">
        <v>10.9</v>
      </c>
      <c r="Z527" s="11" t="inlineStr">
        <is>
          <t>Priority Tier 2 (Balanced Opportunity)</t>
        </is>
      </c>
    </row>
    <row r="528">
      <c r="A528" s="23" t="n">
        <v>2</v>
      </c>
      <c r="B528" s="23" t="n">
        <v>524</v>
      </c>
      <c r="C528" s="23" t="n">
        <v>1524</v>
      </c>
      <c r="D528" s="23" t="inlineStr">
        <is>
          <t>0304902029</t>
        </is>
      </c>
      <c r="E528" s="11" t="inlineStr">
        <is>
          <t>Region III (Central Luzon)</t>
        </is>
      </c>
      <c r="F528" s="11" t="inlineStr">
        <is>
          <t>Nueva Ecija</t>
        </is>
      </c>
      <c r="G528" s="11" t="inlineStr">
        <is>
          <t>Bongabon</t>
        </is>
      </c>
      <c r="H528" s="11" t="inlineStr">
        <is>
          <t>Vega</t>
        </is>
      </c>
      <c r="I528" s="24" t="n">
        <v>15.623064</v>
      </c>
      <c r="J528" s="24" t="n">
        <v>121.144583</v>
      </c>
      <c r="K528" s="23" t="inlineStr">
        <is>
          <t>U</t>
        </is>
      </c>
      <c r="L528" s="25" t="n">
        <v>6716</v>
      </c>
      <c r="M528" s="26" t="n">
        <v>3.5</v>
      </c>
      <c r="N528" s="25">
        <f>ROUND(L528/M528, 0)</f>
        <v/>
      </c>
      <c r="O528" s="25">
        <f>ROUND(N528*'Methodology &amp; Assumptions'!$B$7, 0)</f>
        <v/>
      </c>
      <c r="P528" s="23" t="inlineStr">
        <is>
          <t>Single Carrier (Band n50, 100MHz TDD)</t>
        </is>
      </c>
      <c r="Q528" s="27">
        <f>ROUNDUP(O528/'Methodology &amp; Assumptions'!$B$8, 0)</f>
        <v/>
      </c>
      <c r="R528" s="27" t="n">
        <v>1</v>
      </c>
      <c r="S528" s="26" t="n">
        <v>0.24</v>
      </c>
      <c r="T528" s="26" t="n">
        <v>0.25</v>
      </c>
      <c r="U528" s="11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26" t="n">
        <v>78.43000000000001</v>
      </c>
      <c r="W528" s="26" t="n">
        <v>48.74</v>
      </c>
      <c r="X528" s="26">
        <f>ROUND(('Methodology &amp; Assumptions'!$B$5*V528) + ('Methodology &amp; Assumptions'!$B$6*W528), 2)</f>
        <v/>
      </c>
      <c r="Y528" s="28" t="n">
        <v>8.300000000000001</v>
      </c>
      <c r="Z528" s="11" t="inlineStr">
        <is>
          <t>Priority Tier 2 (Balanced Opportunity)</t>
        </is>
      </c>
    </row>
    <row r="529">
      <c r="A529" s="23" t="n">
        <v>2</v>
      </c>
      <c r="B529" s="23" t="n">
        <v>525</v>
      </c>
      <c r="C529" s="23" t="n">
        <v>1525</v>
      </c>
      <c r="D529" s="23" t="inlineStr">
        <is>
          <t>0402120009</t>
        </is>
      </c>
      <c r="E529" s="11" t="inlineStr">
        <is>
          <t>Region IV-A (CALABARZON)</t>
        </is>
      </c>
      <c r="F529" s="11" t="inlineStr">
        <is>
          <t>Cavite</t>
        </is>
      </c>
      <c r="G529" s="11" t="inlineStr">
        <is>
          <t>Tanza</t>
        </is>
      </c>
      <c r="H529" s="11" t="inlineStr">
        <is>
          <t>Daang Amaya I</t>
        </is>
      </c>
      <c r="I529" s="24" t="n">
        <v>14.391758</v>
      </c>
      <c r="J529" s="24" t="n">
        <v>120.854014</v>
      </c>
      <c r="K529" s="23" t="inlineStr">
        <is>
          <t>U</t>
        </is>
      </c>
      <c r="L529" s="25" t="n">
        <v>5047</v>
      </c>
      <c r="M529" s="26" t="n">
        <v>3.4</v>
      </c>
      <c r="N529" s="25">
        <f>ROUND(L529/M529, 0)</f>
        <v/>
      </c>
      <c r="O529" s="25">
        <f>ROUND(N529*'Methodology &amp; Assumptions'!$B$7, 0)</f>
        <v/>
      </c>
      <c r="P529" s="23" t="inlineStr">
        <is>
          <t>Single Carrier (Band n50, 100MHz TDD)</t>
        </is>
      </c>
      <c r="Q529" s="27">
        <f>ROUNDUP(O529/'Methodology &amp; Assumptions'!$B$8, 0)</f>
        <v/>
      </c>
      <c r="R529" s="27" t="n">
        <v>1</v>
      </c>
      <c r="S529" s="26" t="n">
        <v>1.12</v>
      </c>
      <c r="T529" s="26" t="n">
        <v>0.17</v>
      </c>
      <c r="U529" s="11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26" t="n">
        <v>77.17</v>
      </c>
      <c r="W529" s="26" t="n">
        <v>49.98</v>
      </c>
      <c r="X529" s="26">
        <f>ROUND(('Methodology &amp; Assumptions'!$B$5*V529) + ('Methodology &amp; Assumptions'!$B$6*W529), 2)</f>
        <v/>
      </c>
      <c r="Y529" s="28" t="n">
        <v>7.2</v>
      </c>
      <c r="Z529" s="11" t="inlineStr">
        <is>
          <t>Priority Tier 2 (Balanced Opportunity)</t>
        </is>
      </c>
    </row>
    <row r="530">
      <c r="A530" s="23" t="n">
        <v>2</v>
      </c>
      <c r="B530" s="23" t="n">
        <v>526</v>
      </c>
      <c r="C530" s="23" t="n">
        <v>1526</v>
      </c>
      <c r="D530" s="23" t="inlineStr">
        <is>
          <t>1381300076</t>
        </is>
      </c>
      <c r="E530" s="11" t="inlineStr">
        <is>
          <t>National Capital Region (NCR)</t>
        </is>
      </c>
      <c r="F530" s="11" t="inlineStr">
        <is>
          <t>Second District (Not a Province)</t>
        </is>
      </c>
      <c r="G530" s="11" t="inlineStr">
        <is>
          <t>Quezon City</t>
        </is>
      </c>
      <c r="H530" s="11" t="inlineStr">
        <is>
          <t>Paltok</t>
        </is>
      </c>
      <c r="I530" s="24" t="n">
        <v>14.64324</v>
      </c>
      <c r="J530" s="24" t="n">
        <v>121.0222</v>
      </c>
      <c r="K530" s="23" t="inlineStr">
        <is>
          <t>U</t>
        </is>
      </c>
      <c r="L530" s="25" t="n">
        <v>18657</v>
      </c>
      <c r="M530" s="26" t="n">
        <v>4.28</v>
      </c>
      <c r="N530" s="25">
        <f>ROUND(L530/M530, 0)</f>
        <v/>
      </c>
      <c r="O530" s="25">
        <f>ROUND(N530*'Methodology &amp; Assumptions'!$B$7, 0)</f>
        <v/>
      </c>
      <c r="P530" s="23" t="inlineStr">
        <is>
          <t>Single Carrier (Band n50, 100MHz TDD)</t>
        </is>
      </c>
      <c r="Q530" s="27">
        <f>ROUNDUP(O530/'Methodology &amp; Assumptions'!$B$8, 0)</f>
        <v/>
      </c>
      <c r="R530" s="27" t="n">
        <v>1</v>
      </c>
      <c r="S530" s="26" t="n">
        <v>0.8</v>
      </c>
      <c r="T530" s="26" t="n">
        <v>0.24</v>
      </c>
      <c r="U530" s="11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26" t="n">
        <v>68.98999999999999</v>
      </c>
      <c r="W530" s="26" t="n">
        <v>58.16</v>
      </c>
      <c r="X530" s="26">
        <f>ROUND(('Methodology &amp; Assumptions'!$B$5*V530) + ('Methodology &amp; Assumptions'!$B$6*W530), 2)</f>
        <v/>
      </c>
      <c r="Y530" s="28" t="n">
        <v>10.9</v>
      </c>
      <c r="Z530" s="11" t="inlineStr">
        <is>
          <t>Priority Tier 2 (Balanced Opportunity)</t>
        </is>
      </c>
    </row>
    <row r="531">
      <c r="A531" s="23" t="n">
        <v>2</v>
      </c>
      <c r="B531" s="23" t="n">
        <v>527</v>
      </c>
      <c r="C531" s="23" t="n">
        <v>1527</v>
      </c>
      <c r="D531" s="23" t="inlineStr">
        <is>
          <t>1380900017</t>
        </is>
      </c>
      <c r="E531" s="11" t="inlineStr">
        <is>
          <t>National Capital Region (NCR)</t>
        </is>
      </c>
      <c r="F531" s="11" t="inlineStr">
        <is>
          <t>Third District (Not a Province)</t>
        </is>
      </c>
      <c r="G531" s="11" t="inlineStr">
        <is>
          <t>City of Navotas</t>
        </is>
      </c>
      <c r="H531" s="11" t="inlineStr">
        <is>
          <t>Tangos North</t>
        </is>
      </c>
      <c r="I531" s="24" t="n">
        <v>14.67433</v>
      </c>
      <c r="J531" s="24" t="n">
        <v>120.930978</v>
      </c>
      <c r="K531" s="23" t="inlineStr">
        <is>
          <t>U</t>
        </is>
      </c>
      <c r="L531" s="25" t="n">
        <v>17384</v>
      </c>
      <c r="M531" s="26" t="n">
        <v>3.52</v>
      </c>
      <c r="N531" s="25">
        <f>ROUND(L531/M531, 0)</f>
        <v/>
      </c>
      <c r="O531" s="25">
        <f>ROUND(N531*'Methodology &amp; Assumptions'!$B$7, 0)</f>
        <v/>
      </c>
      <c r="P531" s="23" t="inlineStr">
        <is>
          <t>Single Carrier (Band n50, 100MHz TDD)</t>
        </is>
      </c>
      <c r="Q531" s="27">
        <f>ROUNDUP(O531/'Methodology &amp; Assumptions'!$B$8, 0)</f>
        <v/>
      </c>
      <c r="R531" s="27" t="n">
        <v>1</v>
      </c>
      <c r="S531" s="26" t="n">
        <v>1.19</v>
      </c>
      <c r="T531" s="26" t="n">
        <v>1.19</v>
      </c>
      <c r="U531" s="11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26" t="n">
        <v>67.33</v>
      </c>
      <c r="W531" s="26" t="n">
        <v>59.83</v>
      </c>
      <c r="X531" s="26">
        <f>ROUND(('Methodology &amp; Assumptions'!$B$5*V531) + ('Methodology &amp; Assumptions'!$B$6*W531), 2)</f>
        <v/>
      </c>
      <c r="Y531" s="28" t="n">
        <v>10.9</v>
      </c>
      <c r="Z531" s="11" t="inlineStr">
        <is>
          <t>Priority Tier 2 (Balanced Opportunity)</t>
        </is>
      </c>
    </row>
    <row r="532">
      <c r="A532" s="23" t="n">
        <v>2</v>
      </c>
      <c r="B532" s="23" t="n">
        <v>528</v>
      </c>
      <c r="C532" s="23" t="n">
        <v>1528</v>
      </c>
      <c r="D532" s="23" t="inlineStr">
        <is>
          <t>1380601268</t>
        </is>
      </c>
      <c r="E532" s="11" t="inlineStr">
        <is>
          <t>National Capital Region (NCR)</t>
        </is>
      </c>
      <c r="F532" s="11" t="inlineStr">
        <is>
          <t>First District (Not a Province)</t>
        </is>
      </c>
      <c r="G532" s="11" t="inlineStr">
        <is>
          <t>City of Manila</t>
        </is>
      </c>
      <c r="H532" s="11" t="inlineStr">
        <is>
          <t>Barangay 267</t>
        </is>
      </c>
      <c r="I532" s="24" t="n">
        <v>14.612285</v>
      </c>
      <c r="J532" s="24" t="n">
        <v>120.979646</v>
      </c>
      <c r="K532" s="23" t="inlineStr">
        <is>
          <t>U</t>
        </is>
      </c>
      <c r="L532" s="25" t="n">
        <v>1780</v>
      </c>
      <c r="M532" s="26" t="n">
        <v>3.47</v>
      </c>
      <c r="N532" s="25">
        <f>ROUND(L532/M532, 0)</f>
        <v/>
      </c>
      <c r="O532" s="25">
        <f>ROUND(N532*'Methodology &amp; Assumptions'!$B$7, 0)</f>
        <v/>
      </c>
      <c r="P532" s="23" t="inlineStr">
        <is>
          <t>Single Carrier (Band n50, 100MHz TDD)</t>
        </is>
      </c>
      <c r="Q532" s="27">
        <f>ROUNDUP(O532/'Methodology &amp; Assumptions'!$B$8, 0)</f>
        <v/>
      </c>
      <c r="R532" s="27" t="n">
        <v>1</v>
      </c>
      <c r="S532" s="26" t="n">
        <v>0.58</v>
      </c>
      <c r="T532" s="26" t="n">
        <v>0.33</v>
      </c>
      <c r="U532" s="11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26" t="n">
        <v>57.59</v>
      </c>
      <c r="W532" s="26" t="n">
        <v>69.56999999999999</v>
      </c>
      <c r="X532" s="26">
        <f>ROUND(('Methodology &amp; Assumptions'!$B$5*V532) + ('Methodology &amp; Assumptions'!$B$6*W532), 2)</f>
        <v/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2</v>
      </c>
      <c r="B533" s="23" t="n">
        <v>529</v>
      </c>
      <c r="C533" s="23" t="n">
        <v>1529</v>
      </c>
      <c r="D533" s="23" t="inlineStr">
        <is>
          <t>1381100091</t>
        </is>
      </c>
      <c r="E533" s="11" t="inlineStr">
        <is>
          <t>National Capital Region (NCR)</t>
        </is>
      </c>
      <c r="F533" s="11" t="inlineStr">
        <is>
          <t>Fourth District (Not a Province)</t>
        </is>
      </c>
      <c r="G533" s="11" t="inlineStr">
        <is>
          <t>Pasay City</t>
        </is>
      </c>
      <c r="H533" s="11" t="inlineStr">
        <is>
          <t>Barangay 91</t>
        </is>
      </c>
      <c r="I533" s="24" t="n">
        <v>14.54642</v>
      </c>
      <c r="J533" s="24" t="n">
        <v>120.997721</v>
      </c>
      <c r="K533" s="23" t="inlineStr">
        <is>
          <t>U</t>
        </is>
      </c>
      <c r="L533" s="25" t="n">
        <v>1825</v>
      </c>
      <c r="M533" s="26" t="n">
        <v>3.94</v>
      </c>
      <c r="N533" s="25">
        <f>ROUND(L533/M533, 0)</f>
        <v/>
      </c>
      <c r="O533" s="25">
        <f>ROUND(N533*'Methodology &amp; Assumptions'!$B$7, 0)</f>
        <v/>
      </c>
      <c r="P533" s="23" t="inlineStr">
        <is>
          <t>Single Carrier (Band n50, 100MHz TDD)</t>
        </is>
      </c>
      <c r="Q533" s="27">
        <f>ROUNDUP(O533/'Methodology &amp; Assumptions'!$B$8, 0)</f>
        <v/>
      </c>
      <c r="R533" s="27" t="n">
        <v>1</v>
      </c>
      <c r="S533" s="26" t="n">
        <v>0.41</v>
      </c>
      <c r="T533" s="26" t="n">
        <v>0.18</v>
      </c>
      <c r="U533" s="11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26" t="n">
        <v>55.98</v>
      </c>
      <c r="W533" s="26" t="n">
        <v>71.18000000000001</v>
      </c>
      <c r="X533" s="26">
        <f>ROUND(('Methodology &amp; Assumptions'!$B$5*V533) + ('Methodology &amp; Assumptions'!$B$6*W533), 2)</f>
        <v/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2</v>
      </c>
      <c r="B534" s="23" t="n">
        <v>530</v>
      </c>
      <c r="C534" s="23" t="n">
        <v>1530</v>
      </c>
      <c r="D534" s="23" t="inlineStr">
        <is>
          <t>0401005076</t>
        </is>
      </c>
      <c r="E534" s="11" t="inlineStr">
        <is>
          <t>Region IV-A (CALABARZON)</t>
        </is>
      </c>
      <c r="F534" s="11" t="inlineStr">
        <is>
          <t>Batangas</t>
        </is>
      </c>
      <c r="G534" s="11" t="inlineStr">
        <is>
          <t>Batangas City</t>
        </is>
      </c>
      <c r="H534" s="11" t="inlineStr">
        <is>
          <t>Barangay 7</t>
        </is>
      </c>
      <c r="I534" s="24" t="n">
        <v>13.760567</v>
      </c>
      <c r="J534" s="24" t="n">
        <v>121.059667</v>
      </c>
      <c r="K534" s="23" t="inlineStr">
        <is>
          <t>U</t>
        </is>
      </c>
      <c r="L534" s="25" t="n">
        <v>464</v>
      </c>
      <c r="M534" s="26" t="n">
        <v>3.6</v>
      </c>
      <c r="N534" s="25">
        <f>ROUND(L534/M534, 0)</f>
        <v/>
      </c>
      <c r="O534" s="25">
        <f>ROUND(N534*'Methodology &amp; Assumptions'!$B$7, 0)</f>
        <v/>
      </c>
      <c r="P534" s="23" t="inlineStr">
        <is>
          <t>Single Carrier (Band n50, 100MHz TDD)</t>
        </is>
      </c>
      <c r="Q534" s="27">
        <f>ROUNDUP(O534/'Methodology &amp; Assumptions'!$B$8, 0)</f>
        <v/>
      </c>
      <c r="R534" s="27" t="n">
        <v>1</v>
      </c>
      <c r="S534" s="26" t="n">
        <v>0.36</v>
      </c>
      <c r="T534" s="26" t="n">
        <v>0.33</v>
      </c>
      <c r="U534" s="11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26" t="n">
        <v>55.9</v>
      </c>
      <c r="W534" s="26" t="n">
        <v>71.26000000000001</v>
      </c>
      <c r="X534" s="26">
        <f>ROUND(('Methodology &amp; Assumptions'!$B$5*V534) + ('Methodology &amp; Assumptions'!$B$6*W534), 2)</f>
        <v/>
      </c>
      <c r="Y534" s="28" t="n">
        <v>7.2</v>
      </c>
      <c r="Z534" s="11" t="inlineStr">
        <is>
          <t>Priority Tier 2 (Balanced Opportunity)</t>
        </is>
      </c>
    </row>
    <row r="535">
      <c r="A535" s="23" t="n">
        <v>2</v>
      </c>
      <c r="B535" s="23" t="n">
        <v>531</v>
      </c>
      <c r="C535" s="23" t="n">
        <v>1531</v>
      </c>
      <c r="D535" s="23" t="inlineStr">
        <is>
          <t>0205009011</t>
        </is>
      </c>
      <c r="E535" s="11" t="inlineStr">
        <is>
          <t>Region II (Cagayan Valley)</t>
        </is>
      </c>
      <c r="F535" s="11" t="inlineStr">
        <is>
          <t>Nueva Vizcaya</t>
        </is>
      </c>
      <c r="G535" s="11" t="inlineStr">
        <is>
          <t>Kasibu</t>
        </is>
      </c>
      <c r="H535" s="11" t="inlineStr">
        <is>
          <t>Dine</t>
        </is>
      </c>
      <c r="I535" s="24" t="n">
        <v>16.345619</v>
      </c>
      <c r="J535" s="24" t="n">
        <v>121.359793</v>
      </c>
      <c r="K535" s="23" t="inlineStr">
        <is>
          <t>R</t>
        </is>
      </c>
      <c r="L535" s="25" t="n">
        <v>1215</v>
      </c>
      <c r="M535" s="26" t="n">
        <v>3.8</v>
      </c>
      <c r="N535" s="25">
        <f>ROUND(L535/M535, 0)</f>
        <v/>
      </c>
      <c r="O535" s="25">
        <f>ROUND(N535*'Methodology &amp; Assumptions'!$B$7, 0)</f>
        <v/>
      </c>
      <c r="P535" s="23" t="inlineStr">
        <is>
          <t>Single Carrier (Band n50, 100MHz TDD)</t>
        </is>
      </c>
      <c r="Q535" s="27">
        <f>ROUNDUP(O535/'Methodology &amp; Assumptions'!$B$8, 0)</f>
        <v/>
      </c>
      <c r="R535" s="27" t="n">
        <v>1</v>
      </c>
      <c r="S535" s="26" t="n">
        <v>7.7</v>
      </c>
      <c r="T535" s="26" t="n">
        <v>25.48</v>
      </c>
      <c r="U535" s="11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26" t="n">
        <v>50.81</v>
      </c>
      <c r="W535" s="26" t="n">
        <v>76.34</v>
      </c>
      <c r="X535" s="26">
        <f>ROUND(('Methodology &amp; Assumptions'!$B$5*V535) + ('Methodology &amp; Assumptions'!$B$6*W535), 2)</f>
        <v/>
      </c>
      <c r="Y535" s="28" t="n">
        <v>8.300000000000001</v>
      </c>
      <c r="Z535" s="11" t="inlineStr">
        <is>
          <t>Priority Tier 2 (Balanced Opportunity)</t>
        </is>
      </c>
    </row>
    <row r="536">
      <c r="A536" s="23" t="n">
        <v>2</v>
      </c>
      <c r="B536" s="23" t="n">
        <v>532</v>
      </c>
      <c r="C536" s="23" t="n">
        <v>1532</v>
      </c>
      <c r="D536" s="23" t="inlineStr">
        <is>
          <t>1380700001</t>
        </is>
      </c>
      <c r="E536" s="11" t="inlineStr">
        <is>
          <t>National Capital Region (NCR)</t>
        </is>
      </c>
      <c r="F536" s="11" t="inlineStr">
        <is>
          <t>Second District (Not a Province)</t>
        </is>
      </c>
      <c r="G536" s="11" t="inlineStr">
        <is>
          <t>City of Marikina</t>
        </is>
      </c>
      <c r="H536" s="11" t="inlineStr">
        <is>
          <t>Barangka</t>
        </is>
      </c>
      <c r="I536" s="24" t="n">
        <v>14.633019</v>
      </c>
      <c r="J536" s="24" t="n">
        <v>121.082193</v>
      </c>
      <c r="K536" s="23" t="inlineStr">
        <is>
          <t>U</t>
        </is>
      </c>
      <c r="L536" s="25" t="n">
        <v>16144</v>
      </c>
      <c r="M536" s="26" t="n">
        <v>3.7</v>
      </c>
      <c r="N536" s="25">
        <f>ROUND(L536/M536, 0)</f>
        <v/>
      </c>
      <c r="O536" s="25">
        <f>ROUND(N536*'Methodology &amp; Assumptions'!$B$7, 0)</f>
        <v/>
      </c>
      <c r="P536" s="23" t="inlineStr">
        <is>
          <t>Single Carrier (Band n50, 100MHz TDD)</t>
        </is>
      </c>
      <c r="Q536" s="27">
        <f>ROUNDUP(O536/'Methodology &amp; Assumptions'!$B$8, 0)</f>
        <v/>
      </c>
      <c r="R536" s="27" t="n">
        <v>1</v>
      </c>
      <c r="S536" s="26" t="n">
        <v>1.37</v>
      </c>
      <c r="T536" s="26" t="n">
        <v>0.89</v>
      </c>
      <c r="U536" s="11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26" t="n">
        <v>66.98</v>
      </c>
      <c r="W536" s="26" t="n">
        <v>60.15</v>
      </c>
      <c r="X536" s="26">
        <f>ROUND(('Methodology &amp; Assumptions'!$B$5*V536) + ('Methodology &amp; Assumptions'!$B$6*W536), 2)</f>
        <v/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2</v>
      </c>
      <c r="B537" s="23" t="n">
        <v>533</v>
      </c>
      <c r="C537" s="23" t="n">
        <v>1533</v>
      </c>
      <c r="D537" s="23" t="inlineStr">
        <is>
          <t>0401019011</t>
        </is>
      </c>
      <c r="E537" s="11" t="inlineStr">
        <is>
          <t>Region IV-A (CALABARZON)</t>
        </is>
      </c>
      <c r="F537" s="11" t="inlineStr">
        <is>
          <t>Batangas</t>
        </is>
      </c>
      <c r="G537" s="11" t="inlineStr">
        <is>
          <t>Nasugbu</t>
        </is>
      </c>
      <c r="H537" s="11" t="inlineStr">
        <is>
          <t>Barangay 6</t>
        </is>
      </c>
      <c r="I537" s="24" t="n">
        <v>14.070136</v>
      </c>
      <c r="J537" s="24" t="n">
        <v>120.638263</v>
      </c>
      <c r="K537" s="23" t="inlineStr">
        <is>
          <t>R</t>
        </is>
      </c>
      <c r="L537" s="25" t="n">
        <v>2744</v>
      </c>
      <c r="M537" s="26" t="n">
        <v>3.6</v>
      </c>
      <c r="N537" s="25">
        <f>ROUND(L537/M537, 0)</f>
        <v/>
      </c>
      <c r="O537" s="25">
        <f>ROUND(N537*'Methodology &amp; Assumptions'!$B$7, 0)</f>
        <v/>
      </c>
      <c r="P537" s="23" t="inlineStr">
        <is>
          <t>Single Carrier (Band n50, 100MHz TDD)</t>
        </is>
      </c>
      <c r="Q537" s="27">
        <f>ROUNDUP(O537/'Methodology &amp; Assumptions'!$B$8, 0)</f>
        <v/>
      </c>
      <c r="R537" s="27" t="n">
        <v>1</v>
      </c>
      <c r="S537" s="26" t="n">
        <v>0.46</v>
      </c>
      <c r="T537" s="26" t="n">
        <v>0.23</v>
      </c>
      <c r="U537" s="11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26" t="n">
        <v>83.77</v>
      </c>
      <c r="W537" s="26" t="n">
        <v>43.35</v>
      </c>
      <c r="X537" s="26">
        <f>ROUND(('Methodology &amp; Assumptions'!$B$5*V537) + ('Methodology &amp; Assumptions'!$B$6*W537), 2)</f>
        <v/>
      </c>
      <c r="Y537" s="28" t="n">
        <v>7.2</v>
      </c>
      <c r="Z537" s="11" t="inlineStr">
        <is>
          <t>Priority Tier 2 (Balanced Opportunity)</t>
        </is>
      </c>
    </row>
    <row r="538">
      <c r="A538" s="23" t="n">
        <v>2</v>
      </c>
      <c r="B538" s="23" t="n">
        <v>534</v>
      </c>
      <c r="C538" s="23" t="n">
        <v>1534</v>
      </c>
      <c r="D538" s="23" t="inlineStr">
        <is>
          <t>0403403026</t>
        </is>
      </c>
      <c r="E538" s="11" t="inlineStr">
        <is>
          <t>Region IV-A (CALABARZON)</t>
        </is>
      </c>
      <c r="F538" s="11" t="inlineStr">
        <is>
          <t>Laguna</t>
        </is>
      </c>
      <c r="G538" s="11" t="inlineStr">
        <is>
          <t>City of Biñan</t>
        </is>
      </c>
      <c r="H538" s="11" t="inlineStr">
        <is>
          <t>Zapote</t>
        </is>
      </c>
      <c r="I538" s="24" t="n">
        <v>14.316473</v>
      </c>
      <c r="J538" s="24" t="n">
        <v>121.08013</v>
      </c>
      <c r="K538" s="23" t="inlineStr">
        <is>
          <t>U</t>
        </is>
      </c>
      <c r="L538" s="25" t="n">
        <v>16096</v>
      </c>
      <c r="M538" s="26" t="n">
        <v>3.3</v>
      </c>
      <c r="N538" s="25">
        <f>ROUND(L538/M538, 0)</f>
        <v/>
      </c>
      <c r="O538" s="25">
        <f>ROUND(N538*'Methodology &amp; Assumptions'!$B$7, 0)</f>
        <v/>
      </c>
      <c r="P538" s="23" t="inlineStr">
        <is>
          <t>Single Carrier (Band n50, 100MHz TDD)</t>
        </is>
      </c>
      <c r="Q538" s="27">
        <f>ROUNDUP(O538/'Methodology &amp; Assumptions'!$B$8, 0)</f>
        <v/>
      </c>
      <c r="R538" s="27" t="n">
        <v>1</v>
      </c>
      <c r="S538" s="26" t="n">
        <v>1.86</v>
      </c>
      <c r="T538" s="26" t="n">
        <v>1.08</v>
      </c>
      <c r="U538" s="11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26" t="n">
        <v>74.51000000000001</v>
      </c>
      <c r="W538" s="26" t="n">
        <v>52.61</v>
      </c>
      <c r="X538" s="26">
        <f>ROUND(('Methodology &amp; Assumptions'!$B$5*V538) + ('Methodology &amp; Assumptions'!$B$6*W538), 2)</f>
        <v/>
      </c>
      <c r="Y538" s="28" t="n">
        <v>7.2</v>
      </c>
      <c r="Z538" s="11" t="inlineStr">
        <is>
          <t>Priority Tier 2 (Balanced Opportunity)</t>
        </is>
      </c>
    </row>
    <row r="539">
      <c r="A539" s="23" t="n">
        <v>2</v>
      </c>
      <c r="B539" s="23" t="n">
        <v>535</v>
      </c>
      <c r="C539" s="23" t="n">
        <v>1535</v>
      </c>
      <c r="D539" s="23" t="inlineStr">
        <is>
          <t>0401019007</t>
        </is>
      </c>
      <c r="E539" s="11" t="inlineStr">
        <is>
          <t>Region IV-A (CALABARZON)</t>
        </is>
      </c>
      <c r="F539" s="11" t="inlineStr">
        <is>
          <t>Batangas</t>
        </is>
      </c>
      <c r="G539" s="11" t="inlineStr">
        <is>
          <t>Nasugbu</t>
        </is>
      </c>
      <c r="H539" s="11" t="inlineStr">
        <is>
          <t>Barangay 2</t>
        </is>
      </c>
      <c r="I539" s="24" t="n">
        <v>14.075829</v>
      </c>
      <c r="J539" s="24" t="n">
        <v>120.632182</v>
      </c>
      <c r="K539" s="23" t="inlineStr">
        <is>
          <t>U</t>
        </is>
      </c>
      <c r="L539" s="25" t="n">
        <v>1481</v>
      </c>
      <c r="M539" s="26" t="n">
        <v>3.6</v>
      </c>
      <c r="N539" s="25">
        <f>ROUND(L539/M539, 0)</f>
        <v/>
      </c>
      <c r="O539" s="25">
        <f>ROUND(N539*'Methodology &amp; Assumptions'!$B$7, 0)</f>
        <v/>
      </c>
      <c r="P539" s="23" t="inlineStr">
        <is>
          <t>Single Carrier (Band n50, 100MHz TDD)</t>
        </is>
      </c>
      <c r="Q539" s="27">
        <f>ROUNDUP(O539/'Methodology &amp; Assumptions'!$B$8, 0)</f>
        <v/>
      </c>
      <c r="R539" s="27" t="n">
        <v>1</v>
      </c>
      <c r="S539" s="26" t="n">
        <v>0.6</v>
      </c>
      <c r="T539" s="26" t="n">
        <v>0.18</v>
      </c>
      <c r="U539" s="11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26" t="n">
        <v>65.04000000000001</v>
      </c>
      <c r="W539" s="26" t="n">
        <v>62.09</v>
      </c>
      <c r="X539" s="26">
        <f>ROUND(('Methodology &amp; Assumptions'!$B$5*V539) + ('Methodology &amp; Assumptions'!$B$6*W539), 2)</f>
        <v/>
      </c>
      <c r="Y539" s="28" t="n">
        <v>7.2</v>
      </c>
      <c r="Z539" s="11" t="inlineStr">
        <is>
          <t>Priority Tier 2 (Balanced Opportunity)</t>
        </is>
      </c>
    </row>
    <row r="540">
      <c r="A540" s="23" t="n">
        <v>2</v>
      </c>
      <c r="B540" s="23" t="n">
        <v>536</v>
      </c>
      <c r="C540" s="23" t="n">
        <v>1536</v>
      </c>
      <c r="D540" s="23" t="inlineStr">
        <is>
          <t>0600406025</t>
        </is>
      </c>
      <c r="E540" s="11" t="inlineStr">
        <is>
          <t>Region VI (Western Visayas)</t>
        </is>
      </c>
      <c r="F540" s="11" t="inlineStr">
        <is>
          <t>Aklan</t>
        </is>
      </c>
      <c r="G540" s="11" t="inlineStr">
        <is>
          <t>Ibajay</t>
        </is>
      </c>
      <c r="H540" s="11" t="inlineStr">
        <is>
          <t>Polo</t>
        </is>
      </c>
      <c r="I540" s="24" t="n">
        <v>11.754353</v>
      </c>
      <c r="J540" s="24" t="n">
        <v>122.193246</v>
      </c>
      <c r="K540" s="23" t="inlineStr">
        <is>
          <t>R</t>
        </is>
      </c>
      <c r="L540" s="25" t="n">
        <v>1288</v>
      </c>
      <c r="M540" s="26" t="n">
        <v>3.9</v>
      </c>
      <c r="N540" s="25">
        <f>ROUND(L540/M540, 0)</f>
        <v/>
      </c>
      <c r="O540" s="25">
        <f>ROUND(N540*'Methodology &amp; Assumptions'!$B$7, 0)</f>
        <v/>
      </c>
      <c r="P540" s="23" t="inlineStr">
        <is>
          <t>Single Carrier (Band n50, 100MHz TDD)</t>
        </is>
      </c>
      <c r="Q540" s="27">
        <f>ROUNDUP(O540/'Methodology &amp; Assumptions'!$B$8, 0)</f>
        <v/>
      </c>
      <c r="R540" s="27" t="n">
        <v>1</v>
      </c>
      <c r="S540" s="26" t="n">
        <v>11.71</v>
      </c>
      <c r="T540" s="26" t="n">
        <v>2.28</v>
      </c>
      <c r="U540" s="11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26" t="n">
        <v>49.09</v>
      </c>
      <c r="W540" s="26" t="n">
        <v>78.02</v>
      </c>
      <c r="X540" s="26">
        <f>ROUND(('Methodology &amp; Assumptions'!$B$5*V540) + ('Methodology &amp; Assumptions'!$B$6*W540), 2)</f>
        <v/>
      </c>
      <c r="Y540" s="28" t="n">
        <v>23.7</v>
      </c>
      <c r="Z540" s="11" t="inlineStr">
        <is>
          <t>Priority Tier 2 (Balanced Opportunity)</t>
        </is>
      </c>
    </row>
    <row r="541">
      <c r="A541" s="23" t="n">
        <v>2</v>
      </c>
      <c r="B541" s="23" t="n">
        <v>537</v>
      </c>
      <c r="C541" s="23" t="n">
        <v>1537</v>
      </c>
      <c r="D541" s="23" t="inlineStr">
        <is>
          <t>0403418005</t>
        </is>
      </c>
      <c r="E541" s="11" t="inlineStr">
        <is>
          <t>Region IV-A (CALABARZON)</t>
        </is>
      </c>
      <c r="F541" s="11" t="inlineStr">
        <is>
          <t>Laguna</t>
        </is>
      </c>
      <c r="G541" s="11" t="inlineStr">
        <is>
          <t>Paete</t>
        </is>
      </c>
      <c r="H541" s="11" t="inlineStr">
        <is>
          <t>Ibaba del Sur</t>
        </is>
      </c>
      <c r="I541" s="24" t="n">
        <v>14.363884</v>
      </c>
      <c r="J541" s="24" t="n">
        <v>121.478714</v>
      </c>
      <c r="K541" s="23" t="inlineStr">
        <is>
          <t>R</t>
        </is>
      </c>
      <c r="L541" s="25" t="n">
        <v>2496</v>
      </c>
      <c r="M541" s="26" t="n">
        <v>3.3</v>
      </c>
      <c r="N541" s="25">
        <f>ROUND(L541/M541, 0)</f>
        <v/>
      </c>
      <c r="O541" s="25">
        <f>ROUND(N541*'Methodology &amp; Assumptions'!$B$7, 0)</f>
        <v/>
      </c>
      <c r="P541" s="23" t="inlineStr">
        <is>
          <t>Single Carrier (Band n50, 100MHz TDD)</t>
        </is>
      </c>
      <c r="Q541" s="27">
        <f>ROUNDUP(O541/'Methodology &amp; Assumptions'!$B$8, 0)</f>
        <v/>
      </c>
      <c r="R541" s="27" t="n">
        <v>1</v>
      </c>
      <c r="S541" s="26" t="n">
        <v>0.64</v>
      </c>
      <c r="T541" s="26" t="n">
        <v>0.02</v>
      </c>
      <c r="U541" s="11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26" t="n">
        <v>86.18000000000001</v>
      </c>
      <c r="W541" s="26" t="n">
        <v>40.93</v>
      </c>
      <c r="X541" s="26">
        <f>ROUND(('Methodology &amp; Assumptions'!$B$5*V541) + ('Methodology &amp; Assumptions'!$B$6*W541), 2)</f>
        <v/>
      </c>
      <c r="Y541" s="28" t="n">
        <v>7.2</v>
      </c>
      <c r="Z541" s="11" t="inlineStr">
        <is>
          <t>Priority Tier 2 (Balanced Opportunity)</t>
        </is>
      </c>
    </row>
    <row r="542">
      <c r="A542" s="23" t="n">
        <v>2</v>
      </c>
      <c r="B542" s="23" t="n">
        <v>538</v>
      </c>
      <c r="C542" s="23" t="n">
        <v>1538</v>
      </c>
      <c r="D542" s="23" t="inlineStr">
        <is>
          <t>0401012001</t>
        </is>
      </c>
      <c r="E542" s="11" t="inlineStr">
        <is>
          <t>Region IV-A (CALABARZON)</t>
        </is>
      </c>
      <c r="F542" s="11" t="inlineStr">
        <is>
          <t>Batangas</t>
        </is>
      </c>
      <c r="G542" s="11" t="inlineStr">
        <is>
          <t>Lemery</t>
        </is>
      </c>
      <c r="H542" s="11" t="inlineStr">
        <is>
          <t>Anak-Dagat</t>
        </is>
      </c>
      <c r="I542" s="24" t="n">
        <v>13.880219</v>
      </c>
      <c r="J542" s="24" t="n">
        <v>120.91125</v>
      </c>
      <c r="K542" s="23" t="inlineStr">
        <is>
          <t>R</t>
        </is>
      </c>
      <c r="L542" s="25" t="n">
        <v>1756</v>
      </c>
      <c r="M542" s="26" t="n">
        <v>3.6</v>
      </c>
      <c r="N542" s="25">
        <f>ROUND(L542/M542, 0)</f>
        <v/>
      </c>
      <c r="O542" s="25">
        <f>ROUND(N542*'Methodology &amp; Assumptions'!$B$7, 0)</f>
        <v/>
      </c>
      <c r="P542" s="23" t="inlineStr">
        <is>
          <t>Single Carrier (Band n50, 100MHz TDD)</t>
        </is>
      </c>
      <c r="Q542" s="27">
        <f>ROUNDUP(O542/'Methodology &amp; Assumptions'!$B$8, 0)</f>
        <v/>
      </c>
      <c r="R542" s="27" t="n">
        <v>1</v>
      </c>
      <c r="S542" s="26" t="n">
        <v>0.79</v>
      </c>
      <c r="T542" s="26" t="n">
        <v>1.8</v>
      </c>
      <c r="U542" s="11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26" t="n">
        <v>74.73999999999999</v>
      </c>
      <c r="W542" s="26" t="n">
        <v>52.35</v>
      </c>
      <c r="X542" s="26">
        <f>ROUND(('Methodology &amp; Assumptions'!$B$5*V542) + ('Methodology &amp; Assumptions'!$B$6*W542), 2)</f>
        <v/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2</v>
      </c>
      <c r="B543" s="23" t="n">
        <v>539</v>
      </c>
      <c r="C543" s="23" t="n">
        <v>1539</v>
      </c>
      <c r="D543" s="23" t="inlineStr">
        <is>
          <t>0403405002</t>
        </is>
      </c>
      <c r="E543" s="11" t="inlineStr">
        <is>
          <t>Region IV-A (CALABARZON)</t>
        </is>
      </c>
      <c r="F543" s="11" t="inlineStr">
        <is>
          <t>Laguna</t>
        </is>
      </c>
      <c r="G543" s="11" t="inlineStr">
        <is>
          <t>City of Calamba</t>
        </is>
      </c>
      <c r="H543" s="11" t="inlineStr">
        <is>
          <t>Banadero</t>
        </is>
      </c>
      <c r="I543" s="24" t="n">
        <v>14.216868</v>
      </c>
      <c r="J543" s="24" t="n">
        <v>121.166821</v>
      </c>
      <c r="K543" s="23" t="inlineStr">
        <is>
          <t>U</t>
        </is>
      </c>
      <c r="L543" s="25" t="n">
        <v>13863</v>
      </c>
      <c r="M543" s="26" t="n">
        <v>3.3</v>
      </c>
      <c r="N543" s="25">
        <f>ROUND(L543/M543, 0)</f>
        <v/>
      </c>
      <c r="O543" s="25">
        <f>ROUND(N543*'Methodology &amp; Assumptions'!$B$7, 0)</f>
        <v/>
      </c>
      <c r="P543" s="23" t="inlineStr">
        <is>
          <t>Single Carrier (Band n50, 100MHz TDD)</t>
        </is>
      </c>
      <c r="Q543" s="27">
        <f>ROUNDUP(O543/'Methodology &amp; Assumptions'!$B$8, 0)</f>
        <v/>
      </c>
      <c r="R543" s="27" t="n">
        <v>1</v>
      </c>
      <c r="S543" s="26" t="n">
        <v>3.12</v>
      </c>
      <c r="T543" s="26" t="n">
        <v>0.4</v>
      </c>
      <c r="U543" s="11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26" t="n">
        <v>70.54000000000001</v>
      </c>
      <c r="W543" s="26" t="n">
        <v>56.56</v>
      </c>
      <c r="X543" s="26">
        <f>ROUND(('Methodology &amp; Assumptions'!$B$5*V543) + ('Methodology &amp; Assumptions'!$B$6*W543), 2)</f>
        <v/>
      </c>
      <c r="Y543" s="28" t="n">
        <v>7.2</v>
      </c>
      <c r="Z543" s="11" t="inlineStr">
        <is>
          <t>Priority Tier 2 (Balanced Opportunity)</t>
        </is>
      </c>
    </row>
    <row r="544">
      <c r="A544" s="23" t="n">
        <v>2</v>
      </c>
      <c r="B544" s="23" t="n">
        <v>540</v>
      </c>
      <c r="C544" s="23" t="n">
        <v>1540</v>
      </c>
      <c r="D544" s="23" t="inlineStr">
        <is>
          <t>0806022022</t>
        </is>
      </c>
      <c r="E544" s="11" t="inlineStr">
        <is>
          <t>Region VIII (Eastern Visayas)</t>
        </is>
      </c>
      <c r="F544" s="11" t="inlineStr">
        <is>
          <t>Samar</t>
        </is>
      </c>
      <c r="G544" s="11" t="inlineStr">
        <is>
          <t>Paranas</t>
        </is>
      </c>
      <c r="H544" s="11" t="inlineStr">
        <is>
          <t>Pabanog</t>
        </is>
      </c>
      <c r="I544" s="24" t="n">
        <v>11.737431</v>
      </c>
      <c r="J544" s="24" t="n">
        <v>125.077355</v>
      </c>
      <c r="K544" s="23" t="inlineStr">
        <is>
          <t>R</t>
        </is>
      </c>
      <c r="L544" s="25" t="n">
        <v>1894</v>
      </c>
      <c r="M544" s="26" t="n">
        <v>4.1</v>
      </c>
      <c r="N544" s="25">
        <f>ROUND(L544/M544, 0)</f>
        <v/>
      </c>
      <c r="O544" s="25">
        <f>ROUND(N544*'Methodology &amp; Assumptions'!$B$7, 0)</f>
        <v/>
      </c>
      <c r="P544" s="23" t="inlineStr">
        <is>
          <t>Single Carrier (Band n50, 100MHz TDD)</t>
        </is>
      </c>
      <c r="Q544" s="27">
        <f>ROUNDUP(O544/'Methodology &amp; Assumptions'!$B$8, 0)</f>
        <v/>
      </c>
      <c r="R544" s="27" t="n">
        <v>1</v>
      </c>
      <c r="S544" s="26" t="n">
        <v>55.95</v>
      </c>
      <c r="T544" s="26" t="n">
        <v>58.84</v>
      </c>
      <c r="U544" s="11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26" t="n">
        <v>50.3</v>
      </c>
      <c r="W544" s="26" t="n">
        <v>76.81</v>
      </c>
      <c r="X544" s="26">
        <f>ROUND(('Methodology &amp; Assumptions'!$B$5*V544) + ('Methodology &amp; Assumptions'!$B$6*W544), 2)</f>
        <v/>
      </c>
      <c r="Y544" s="28" t="n">
        <v>23.7</v>
      </c>
      <c r="Z544" s="11" t="inlineStr">
        <is>
          <t>Priority Tier 2 (Balanced Opportunity)</t>
        </is>
      </c>
    </row>
    <row r="545">
      <c r="A545" s="23" t="n">
        <v>2</v>
      </c>
      <c r="B545" s="23" t="n">
        <v>541</v>
      </c>
      <c r="C545" s="23" t="n">
        <v>1541</v>
      </c>
      <c r="D545" s="23" t="inlineStr">
        <is>
          <t>0603030036</t>
        </is>
      </c>
      <c r="E545" s="11" t="inlineStr">
        <is>
          <t>Region VI (Western Visayas)</t>
        </is>
      </c>
      <c r="F545" s="11" t="inlineStr">
        <is>
          <t>Iloilo</t>
        </is>
      </c>
      <c r="G545" s="11" t="inlineStr">
        <is>
          <t>Miagao</t>
        </is>
      </c>
      <c r="H545" s="11" t="inlineStr">
        <is>
          <t>Dalije</t>
        </is>
      </c>
      <c r="I545" s="24" t="n">
        <v>10.6886</v>
      </c>
      <c r="J545" s="24" t="n">
        <v>122.1273</v>
      </c>
      <c r="K545" s="23" t="inlineStr">
        <is>
          <t>R</t>
        </is>
      </c>
      <c r="L545" s="25" t="n">
        <v>1651</v>
      </c>
      <c r="M545" s="26" t="n">
        <v>3.8</v>
      </c>
      <c r="N545" s="25">
        <f>ROUND(L545/M545, 0)</f>
        <v/>
      </c>
      <c r="O545" s="25">
        <f>ROUND(N545*'Methodology &amp; Assumptions'!$B$7, 0)</f>
        <v/>
      </c>
      <c r="P545" s="23" t="inlineStr">
        <is>
          <t>Single Carrier (Band n50, 100MHz TDD)</t>
        </is>
      </c>
      <c r="Q545" s="27">
        <f>ROUNDUP(O545/'Methodology &amp; Assumptions'!$B$8, 0)</f>
        <v/>
      </c>
      <c r="R545" s="27" t="n">
        <v>1</v>
      </c>
      <c r="S545" s="26" t="n">
        <v>22.25</v>
      </c>
      <c r="T545" s="26" t="n">
        <v>9.32</v>
      </c>
      <c r="U545" s="11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26" t="n">
        <v>49.39</v>
      </c>
      <c r="W545" s="26" t="n">
        <v>77.72</v>
      </c>
      <c r="X545" s="26">
        <f>ROUND(('Methodology &amp; Assumptions'!$B$5*V545) + ('Methodology &amp; Assumptions'!$B$6*W545), 2)</f>
        <v/>
      </c>
      <c r="Y545" s="28" t="n">
        <v>23.7</v>
      </c>
      <c r="Z545" s="11" t="inlineStr">
        <is>
          <t>Priority Tier 2 (Balanced Opportunity)</t>
        </is>
      </c>
    </row>
    <row r="546">
      <c r="A546" s="23" t="n">
        <v>2</v>
      </c>
      <c r="B546" s="23" t="n">
        <v>542</v>
      </c>
      <c r="C546" s="23" t="n">
        <v>1542</v>
      </c>
      <c r="D546" s="23" t="inlineStr">
        <is>
          <t>0405623029</t>
        </is>
      </c>
      <c r="E546" s="11" t="inlineStr">
        <is>
          <t>Region IV-A (CALABARZON)</t>
        </is>
      </c>
      <c r="F546" s="11" t="inlineStr">
        <is>
          <t>Quezon</t>
        </is>
      </c>
      <c r="G546" s="11" t="inlineStr">
        <is>
          <t>Lucban</t>
        </is>
      </c>
      <c r="H546" s="11" t="inlineStr">
        <is>
          <t>Barangay 1</t>
        </is>
      </c>
      <c r="I546" s="24" t="n">
        <v>14.117661</v>
      </c>
      <c r="J546" s="24" t="n">
        <v>121.558079</v>
      </c>
      <c r="K546" s="23" t="inlineStr">
        <is>
          <t>R</t>
        </is>
      </c>
      <c r="L546" s="25" t="n">
        <v>2486</v>
      </c>
      <c r="M546" s="26" t="n">
        <v>3.8</v>
      </c>
      <c r="N546" s="25">
        <f>ROUND(L546/M546, 0)</f>
        <v/>
      </c>
      <c r="O546" s="25">
        <f>ROUND(N546*'Methodology &amp; Assumptions'!$B$7, 0)</f>
        <v/>
      </c>
      <c r="P546" s="23" t="inlineStr">
        <is>
          <t>Single Carrier (Band n50, 100MHz TDD)</t>
        </is>
      </c>
      <c r="Q546" s="27">
        <f>ROUNDUP(O546/'Methodology &amp; Assumptions'!$B$8, 0)</f>
        <v/>
      </c>
      <c r="R546" s="27" t="n">
        <v>1</v>
      </c>
      <c r="S546" s="26" t="n">
        <v>0.43</v>
      </c>
      <c r="T546" s="26" t="n">
        <v>0.39</v>
      </c>
      <c r="U546" s="11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26" t="n">
        <v>80.18000000000001</v>
      </c>
      <c r="W546" s="26" t="n">
        <v>46.91</v>
      </c>
      <c r="X546" s="26">
        <f>ROUND(('Methodology &amp; Assumptions'!$B$5*V546) + ('Methodology &amp; Assumptions'!$B$6*W546), 2)</f>
        <v/>
      </c>
      <c r="Y546" s="28" t="n">
        <v>7.2</v>
      </c>
      <c r="Z546" s="11" t="inlineStr">
        <is>
          <t>Priority Tier 2 (Balanced Opportunity)</t>
        </is>
      </c>
    </row>
    <row r="547">
      <c r="A547" s="23" t="n">
        <v>2</v>
      </c>
      <c r="B547" s="23" t="n">
        <v>543</v>
      </c>
      <c r="C547" s="23" t="n">
        <v>1543</v>
      </c>
      <c r="D547" s="23" t="inlineStr">
        <is>
          <t>1380605066</t>
        </is>
      </c>
      <c r="E547" s="11" t="inlineStr">
        <is>
          <t>National Capital Region (NCR)</t>
        </is>
      </c>
      <c r="F547" s="11" t="inlineStr">
        <is>
          <t>First District (Not a Province)</t>
        </is>
      </c>
      <c r="G547" s="11" t="inlineStr">
        <is>
          <t>City of Manila</t>
        </is>
      </c>
      <c r="H547" s="11" t="inlineStr">
        <is>
          <t>Barangay 364</t>
        </is>
      </c>
      <c r="I547" s="24" t="n">
        <v>14.623334</v>
      </c>
      <c r="J547" s="24" t="n">
        <v>120.98575</v>
      </c>
      <c r="K547" s="23" t="inlineStr">
        <is>
          <t>U</t>
        </is>
      </c>
      <c r="L547" s="25" t="n">
        <v>2057</v>
      </c>
      <c r="M547" s="26" t="n">
        <v>3.84</v>
      </c>
      <c r="N547" s="25">
        <f>ROUND(L547/M547, 0)</f>
        <v/>
      </c>
      <c r="O547" s="25">
        <f>ROUND(N547*'Methodology &amp; Assumptions'!$B$7, 0)</f>
        <v/>
      </c>
      <c r="P547" s="23" t="inlineStr">
        <is>
          <t>Single Carrier (Band n50, 100MHz TDD)</t>
        </is>
      </c>
      <c r="Q547" s="27">
        <f>ROUNDUP(O547/'Methodology &amp; Assumptions'!$B$8, 0)</f>
        <v/>
      </c>
      <c r="R547" s="27" t="n">
        <v>1</v>
      </c>
      <c r="S547" s="26" t="n">
        <v>0.82</v>
      </c>
      <c r="T547" s="26" t="n">
        <v>0.31</v>
      </c>
      <c r="U547" s="11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26" t="n">
        <v>58.23</v>
      </c>
      <c r="W547" s="26" t="n">
        <v>68.84</v>
      </c>
      <c r="X547" s="26">
        <f>ROUND(('Methodology &amp; Assumptions'!$B$5*V547) + ('Methodology &amp; Assumptions'!$B$6*W547), 2)</f>
        <v/>
      </c>
      <c r="Y547" s="28" t="n">
        <v>10.9</v>
      </c>
      <c r="Z547" s="11" t="inlineStr">
        <is>
          <t>Priority Tier 2 (Balanced Opportunity)</t>
        </is>
      </c>
    </row>
    <row r="548">
      <c r="A548" s="23" t="n">
        <v>2</v>
      </c>
      <c r="B548" s="23" t="n">
        <v>544</v>
      </c>
      <c r="C548" s="23" t="n">
        <v>1544</v>
      </c>
      <c r="D548" s="23" t="inlineStr">
        <is>
          <t>0401005066</t>
        </is>
      </c>
      <c r="E548" s="11" t="inlineStr">
        <is>
          <t>Region IV-A (CALABARZON)</t>
        </is>
      </c>
      <c r="F548" s="11" t="inlineStr">
        <is>
          <t>Batangas</t>
        </is>
      </c>
      <c r="G548" s="11" t="inlineStr">
        <is>
          <t>Batangas City</t>
        </is>
      </c>
      <c r="H548" s="11" t="inlineStr">
        <is>
          <t>Barangay 2</t>
        </is>
      </c>
      <c r="I548" s="24" t="n">
        <v>13.755331</v>
      </c>
      <c r="J548" s="24" t="n">
        <v>121.060384</v>
      </c>
      <c r="K548" s="23" t="inlineStr">
        <is>
          <t>U</t>
        </is>
      </c>
      <c r="L548" s="25" t="n">
        <v>516</v>
      </c>
      <c r="M548" s="26" t="n">
        <v>3.6</v>
      </c>
      <c r="N548" s="25">
        <f>ROUND(L548/M548, 0)</f>
        <v/>
      </c>
      <c r="O548" s="25">
        <f>ROUND(N548*'Methodology &amp; Assumptions'!$B$7, 0)</f>
        <v/>
      </c>
      <c r="P548" s="23" t="inlineStr">
        <is>
          <t>Single Carrier (Band n50, 100MHz TDD)</t>
        </is>
      </c>
      <c r="Q548" s="27">
        <f>ROUNDUP(O548/'Methodology &amp; Assumptions'!$B$8, 0)</f>
        <v/>
      </c>
      <c r="R548" s="27" t="n">
        <v>1</v>
      </c>
      <c r="S548" s="26" t="n">
        <v>0.87</v>
      </c>
      <c r="T548" s="26" t="n">
        <v>0.23</v>
      </c>
      <c r="U548" s="11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26" t="n">
        <v>56.24</v>
      </c>
      <c r="W548" s="26" t="n">
        <v>70.84</v>
      </c>
      <c r="X548" s="26">
        <f>ROUND(('Methodology &amp; Assumptions'!$B$5*V548) + ('Methodology &amp; Assumptions'!$B$6*W548), 2)</f>
        <v/>
      </c>
      <c r="Y548" s="28" t="n">
        <v>7.2</v>
      </c>
      <c r="Z548" s="11" t="inlineStr">
        <is>
          <t>Priority Tier 2 (Balanced Opportunity)</t>
        </is>
      </c>
    </row>
    <row r="549">
      <c r="A549" s="23" t="n">
        <v>2</v>
      </c>
      <c r="B549" s="23" t="n">
        <v>545</v>
      </c>
      <c r="C549" s="23" t="n">
        <v>1545</v>
      </c>
      <c r="D549" s="23" t="inlineStr">
        <is>
          <t>1108601013</t>
        </is>
      </c>
      <c r="E549" s="11" t="inlineStr">
        <is>
          <t>Region XI (Davao Region)</t>
        </is>
      </c>
      <c r="F549" s="11" t="inlineStr">
        <is>
          <t>Davao Occidental</t>
        </is>
      </c>
      <c r="G549" s="11" t="inlineStr">
        <is>
          <t>Don Marcelino</t>
        </is>
      </c>
      <c r="H549" s="11" t="inlineStr">
        <is>
          <t>Mabuhay</t>
        </is>
      </c>
      <c r="I549" s="24" t="n">
        <v>6.13216</v>
      </c>
      <c r="J549" s="24" t="n">
        <v>125.63688</v>
      </c>
      <c r="K549" s="23" t="inlineStr">
        <is>
          <t>R</t>
        </is>
      </c>
      <c r="L549" s="25" t="n">
        <v>2305</v>
      </c>
      <c r="M549" s="26" t="n">
        <v>3.6</v>
      </c>
      <c r="N549" s="25">
        <f>ROUND(L549/M549, 0)</f>
        <v/>
      </c>
      <c r="O549" s="25">
        <f>ROUND(N549*'Methodology &amp; Assumptions'!$B$7, 0)</f>
        <v/>
      </c>
      <c r="P549" s="23" t="inlineStr">
        <is>
          <t>Single Carrier (Band n50, 100MHz TDD)</t>
        </is>
      </c>
      <c r="Q549" s="27">
        <f>ROUNDUP(O549/'Methodology &amp; Assumptions'!$B$8, 0)</f>
        <v/>
      </c>
      <c r="R549" s="27" t="n">
        <v>1</v>
      </c>
      <c r="S549" s="26" t="n">
        <v>39.79</v>
      </c>
      <c r="T549" s="26" t="n">
        <v>43.85</v>
      </c>
      <c r="U549" s="11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26" t="n">
        <v>55.22</v>
      </c>
      <c r="W549" s="26" t="n">
        <v>71.84999999999999</v>
      </c>
      <c r="X549" s="26">
        <f>ROUND(('Methodology &amp; Assumptions'!$B$5*V549) + ('Methodology &amp; Assumptions'!$B$6*W549), 2)</f>
        <v/>
      </c>
      <c r="Y549" s="28" t="n">
        <v>17.4</v>
      </c>
      <c r="Z549" s="11" t="inlineStr">
        <is>
          <t>Priority Tier 2 (Balanced Opportunity)</t>
        </is>
      </c>
    </row>
    <row r="550">
      <c r="A550" s="23" t="n">
        <v>2</v>
      </c>
      <c r="B550" s="23" t="n">
        <v>546</v>
      </c>
      <c r="C550" s="23" t="n">
        <v>1546</v>
      </c>
      <c r="D550" s="23" t="inlineStr">
        <is>
          <t>0307702022</t>
        </is>
      </c>
      <c r="E550" s="11" t="inlineStr">
        <is>
          <t>Region III (Central Luzon)</t>
        </is>
      </c>
      <c r="F550" s="11" t="inlineStr">
        <is>
          <t>Aurora</t>
        </is>
      </c>
      <c r="G550" s="11" t="inlineStr">
        <is>
          <t>Casiguran</t>
        </is>
      </c>
      <c r="H550" s="11" t="inlineStr">
        <is>
          <t>Ditinagyan</t>
        </is>
      </c>
      <c r="I550" s="24" t="n">
        <v>16.234979</v>
      </c>
      <c r="J550" s="24" t="n">
        <v>121.935934</v>
      </c>
      <c r="K550" s="23" t="inlineStr">
        <is>
          <t>R</t>
        </is>
      </c>
      <c r="L550" s="25" t="n">
        <v>404</v>
      </c>
      <c r="M550" s="26" t="n">
        <v>3.8</v>
      </c>
      <c r="N550" s="25">
        <f>ROUND(L550/M550, 0)</f>
        <v/>
      </c>
      <c r="O550" s="25">
        <f>ROUND(N550*'Methodology &amp; Assumptions'!$B$7, 0)</f>
        <v/>
      </c>
      <c r="P550" s="23" t="inlineStr">
        <is>
          <t>Single Carrier (Band n50, 100MHz TDD)</t>
        </is>
      </c>
      <c r="Q550" s="27">
        <f>ROUNDUP(O550/'Methodology &amp; Assumptions'!$B$8, 0)</f>
        <v/>
      </c>
      <c r="R550" s="27" t="n">
        <v>1</v>
      </c>
      <c r="S550" s="26" t="n">
        <v>11.69</v>
      </c>
      <c r="T550" s="26" t="n">
        <v>9.73</v>
      </c>
      <c r="U550" s="11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26" t="n">
        <v>40.12</v>
      </c>
      <c r="W550" s="26" t="n">
        <v>86.97</v>
      </c>
      <c r="X550" s="26">
        <f>ROUND(('Methodology &amp; Assumptions'!$B$5*V550) + ('Methodology &amp; Assumptions'!$B$6*W550), 2)</f>
        <v/>
      </c>
      <c r="Y550" s="28" t="n">
        <v>8.300000000000001</v>
      </c>
      <c r="Z550" s="11" t="inlineStr">
        <is>
          <t>Priority Tier 2 (Balanced Opportunity)</t>
        </is>
      </c>
    </row>
    <row r="551">
      <c r="A551" s="23" t="n">
        <v>2</v>
      </c>
      <c r="B551" s="23" t="n">
        <v>547</v>
      </c>
      <c r="C551" s="23" t="n">
        <v>1547</v>
      </c>
      <c r="D551" s="23" t="inlineStr">
        <is>
          <t>0401005095</t>
        </is>
      </c>
      <c r="E551" s="11" t="inlineStr">
        <is>
          <t>Region IV-A (CALABARZON)</t>
        </is>
      </c>
      <c r="F551" s="11" t="inlineStr">
        <is>
          <t>Batangas</t>
        </is>
      </c>
      <c r="G551" s="11" t="inlineStr">
        <is>
          <t>Batangas City</t>
        </is>
      </c>
      <c r="H551" s="11" t="inlineStr">
        <is>
          <t>Santa Clara</t>
        </is>
      </c>
      <c r="I551" s="24" t="n">
        <v>13.753764</v>
      </c>
      <c r="J551" s="24" t="n">
        <v>121.044837</v>
      </c>
      <c r="K551" s="23" t="inlineStr">
        <is>
          <t>U</t>
        </is>
      </c>
      <c r="L551" s="25" t="n">
        <v>13224</v>
      </c>
      <c r="M551" s="26" t="n">
        <v>3.6</v>
      </c>
      <c r="N551" s="25">
        <f>ROUND(L551/M551, 0)</f>
        <v/>
      </c>
      <c r="O551" s="25">
        <f>ROUND(N551*'Methodology &amp; Assumptions'!$B$7, 0)</f>
        <v/>
      </c>
      <c r="P551" s="23" t="inlineStr">
        <is>
          <t>Single Carrier (Band n50, 100MHz TDD)</t>
        </is>
      </c>
      <c r="Q551" s="27">
        <f>ROUNDUP(O551/'Methodology &amp; Assumptions'!$B$8, 0)</f>
        <v/>
      </c>
      <c r="R551" s="27" t="n">
        <v>1</v>
      </c>
      <c r="S551" s="26" t="n">
        <v>1.61</v>
      </c>
      <c r="T551" s="26" t="n">
        <v>1.48</v>
      </c>
      <c r="U551" s="11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26" t="n">
        <v>75.38</v>
      </c>
      <c r="W551" s="26" t="n">
        <v>51.67</v>
      </c>
      <c r="X551" s="26">
        <f>ROUND(('Methodology &amp; Assumptions'!$B$5*V551) + ('Methodology &amp; Assumptions'!$B$6*W551), 2)</f>
        <v/>
      </c>
      <c r="Y551" s="28" t="n">
        <v>7.2</v>
      </c>
      <c r="Z551" s="11" t="inlineStr">
        <is>
          <t>Priority Tier 2 (Balanced Opportunity)</t>
        </is>
      </c>
    </row>
    <row r="552">
      <c r="A552" s="23" t="n">
        <v>2</v>
      </c>
      <c r="B552" s="23" t="n">
        <v>548</v>
      </c>
      <c r="C552" s="23" t="n">
        <v>1548</v>
      </c>
      <c r="D552" s="23" t="inlineStr">
        <is>
          <t>0405608008</t>
        </is>
      </c>
      <c r="E552" s="11" t="inlineStr">
        <is>
          <t>Region IV-A (CALABARZON)</t>
        </is>
      </c>
      <c r="F552" s="11" t="inlineStr">
        <is>
          <t>Quezon</t>
        </is>
      </c>
      <c r="G552" s="11" t="inlineStr">
        <is>
          <t>Candelaria</t>
        </is>
      </c>
      <c r="H552" s="11" t="inlineStr">
        <is>
          <t>Malabanban Norte</t>
        </is>
      </c>
      <c r="I552" s="24" t="n">
        <v>13.928024</v>
      </c>
      <c r="J552" s="24" t="n">
        <v>121.429319</v>
      </c>
      <c r="K552" s="23" t="inlineStr">
        <is>
          <t>U</t>
        </is>
      </c>
      <c r="L552" s="25" t="n">
        <v>12010</v>
      </c>
      <c r="M552" s="26" t="n">
        <v>3.8</v>
      </c>
      <c r="N552" s="25">
        <f>ROUND(L552/M552, 0)</f>
        <v/>
      </c>
      <c r="O552" s="25">
        <f>ROUND(N552*'Methodology &amp; Assumptions'!$B$7, 0)</f>
        <v/>
      </c>
      <c r="P552" s="23" t="inlineStr">
        <is>
          <t>Single Carrier (Band n50, 100MHz TDD)</t>
        </is>
      </c>
      <c r="Q552" s="27">
        <f>ROUNDUP(O552/'Methodology &amp; Assumptions'!$B$8, 0)</f>
        <v/>
      </c>
      <c r="R552" s="27" t="n">
        <v>1</v>
      </c>
      <c r="S552" s="26" t="n">
        <v>0.98</v>
      </c>
      <c r="T552" s="26" t="n">
        <v>0.21</v>
      </c>
      <c r="U552" s="11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26" t="n">
        <v>77.72</v>
      </c>
      <c r="W552" s="26" t="n">
        <v>49.3</v>
      </c>
      <c r="X552" s="26">
        <f>ROUND(('Methodology &amp; Assumptions'!$B$5*V552) + ('Methodology &amp; Assumptions'!$B$6*W552), 2)</f>
        <v/>
      </c>
      <c r="Y552" s="28" t="n">
        <v>7.2</v>
      </c>
      <c r="Z552" s="11" t="inlineStr">
        <is>
          <t>Priority Tier 2 (Balanced Opportunity)</t>
        </is>
      </c>
    </row>
    <row r="553">
      <c r="A553" s="23" t="n">
        <v>2</v>
      </c>
      <c r="B553" s="23" t="n">
        <v>549</v>
      </c>
      <c r="C553" s="23" t="n">
        <v>1549</v>
      </c>
      <c r="D553" s="23" t="inlineStr">
        <is>
          <t>1380614100</t>
        </is>
      </c>
      <c r="E553" s="11" t="inlineStr">
        <is>
          <t>National Capital Region (NCR)</t>
        </is>
      </c>
      <c r="F553" s="11" t="inlineStr">
        <is>
          <t>First District (Not a Province)</t>
        </is>
      </c>
      <c r="G553" s="11" t="inlineStr">
        <is>
          <t>City of Manila</t>
        </is>
      </c>
      <c r="H553" s="11" t="inlineStr">
        <is>
          <t>Barangay 808</t>
        </is>
      </c>
      <c r="I553" s="24" t="n">
        <v>14.577631</v>
      </c>
      <c r="J553" s="24" t="n">
        <v>120.998822</v>
      </c>
      <c r="K553" s="23" t="inlineStr">
        <is>
          <t>U</t>
        </is>
      </c>
      <c r="L553" s="25" t="n">
        <v>2330</v>
      </c>
      <c r="M553" s="26" t="n">
        <v>4.36</v>
      </c>
      <c r="N553" s="25">
        <f>ROUND(L553/M553, 0)</f>
        <v/>
      </c>
      <c r="O553" s="25">
        <f>ROUND(N553*'Methodology &amp; Assumptions'!$B$7, 0)</f>
        <v/>
      </c>
      <c r="P553" s="23" t="inlineStr">
        <is>
          <t>Single Carrier (Band n50, 100MHz TDD)</t>
        </is>
      </c>
      <c r="Q553" s="27">
        <f>ROUNDUP(O553/'Methodology &amp; Assumptions'!$B$8, 0)</f>
        <v/>
      </c>
      <c r="R553" s="27" t="n">
        <v>1</v>
      </c>
      <c r="S553" s="26" t="n">
        <v>0.79</v>
      </c>
      <c r="T553" s="26" t="n">
        <v>0.15</v>
      </c>
      <c r="U553" s="11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26" t="n">
        <v>58.23</v>
      </c>
      <c r="W553" s="26" t="n">
        <v>68.78</v>
      </c>
      <c r="X553" s="26">
        <f>ROUND(('Methodology &amp; Assumptions'!$B$5*V553) + ('Methodology &amp; Assumptions'!$B$6*W553), 2)</f>
        <v/>
      </c>
      <c r="Y553" s="28" t="n">
        <v>10.9</v>
      </c>
      <c r="Z553" s="11" t="inlineStr">
        <is>
          <t>Priority Tier 2 (Balanced Opportunity)</t>
        </is>
      </c>
    </row>
    <row r="554">
      <c r="A554" s="23" t="n">
        <v>2</v>
      </c>
      <c r="B554" s="23" t="n">
        <v>550</v>
      </c>
      <c r="C554" s="23" t="n">
        <v>1550</v>
      </c>
      <c r="D554" s="23" t="inlineStr">
        <is>
          <t>1102504018</t>
        </is>
      </c>
      <c r="E554" s="11" t="inlineStr">
        <is>
          <t>Region XI (Davao Region)</t>
        </is>
      </c>
      <c r="F554" s="11" t="inlineStr">
        <is>
          <t>Davao Oriental</t>
        </is>
      </c>
      <c r="G554" s="11" t="inlineStr">
        <is>
          <t>Caraga</t>
        </is>
      </c>
      <c r="H554" s="11" t="inlineStr">
        <is>
          <t>Sobrecarey</t>
        </is>
      </c>
      <c r="I554" s="24" t="n">
        <v>7.29427</v>
      </c>
      <c r="J554" s="24" t="n">
        <v>126.33971</v>
      </c>
      <c r="K554" s="23" t="inlineStr">
        <is>
          <t>U</t>
        </is>
      </c>
      <c r="L554" s="25" t="n">
        <v>5177</v>
      </c>
      <c r="M554" s="26" t="n">
        <v>3.6</v>
      </c>
      <c r="N554" s="25">
        <f>ROUND(L554/M554, 0)</f>
        <v/>
      </c>
      <c r="O554" s="25">
        <f>ROUND(N554*'Methodology &amp; Assumptions'!$B$7, 0)</f>
        <v/>
      </c>
      <c r="P554" s="23" t="inlineStr">
        <is>
          <t>Single Carrier (Band n50, 100MHz TDD)</t>
        </is>
      </c>
      <c r="Q554" s="27">
        <f>ROUNDUP(O554/'Methodology &amp; Assumptions'!$B$8, 0)</f>
        <v/>
      </c>
      <c r="R554" s="27" t="n">
        <v>1</v>
      </c>
      <c r="S554" s="26" t="n">
        <v>39.88</v>
      </c>
      <c r="T554" s="26" t="n">
        <v>39.8</v>
      </c>
      <c r="U554" s="11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26" t="n">
        <v>54.62</v>
      </c>
      <c r="W554" s="26" t="n">
        <v>72.41</v>
      </c>
      <c r="X554" s="26">
        <f>ROUND(('Methodology &amp; Assumptions'!$B$5*V554) + ('Methodology &amp; Assumptions'!$B$6*W554), 2)</f>
        <v/>
      </c>
      <c r="Y554" s="28" t="n">
        <v>17.4</v>
      </c>
      <c r="Z554" s="11" t="inlineStr">
        <is>
          <t>Priority Tier 2 (Balanced Opportunity)</t>
        </is>
      </c>
    </row>
    <row r="555">
      <c r="A555" s="23" t="n">
        <v>2</v>
      </c>
      <c r="B555" s="23" t="n">
        <v>551</v>
      </c>
      <c r="C555" s="23" t="n">
        <v>1551</v>
      </c>
      <c r="D555" s="23" t="inlineStr">
        <is>
          <t>1380601047</t>
        </is>
      </c>
      <c r="E555" s="11" t="inlineStr">
        <is>
          <t>National Capital Region (NCR)</t>
        </is>
      </c>
      <c r="F555" s="11" t="inlineStr">
        <is>
          <t>First District (Not a Province)</t>
        </is>
      </c>
      <c r="G555" s="11" t="inlineStr">
        <is>
          <t>City of Manila</t>
        </is>
      </c>
      <c r="H555" s="11" t="inlineStr">
        <is>
          <t>Barangay 47</t>
        </is>
      </c>
      <c r="I555" s="24" t="n">
        <v>14.609092</v>
      </c>
      <c r="J555" s="24" t="n">
        <v>120.964841</v>
      </c>
      <c r="K555" s="23" t="inlineStr">
        <is>
          <t>U</t>
        </is>
      </c>
      <c r="L555" s="25" t="n">
        <v>1677</v>
      </c>
      <c r="M555" s="26" t="n">
        <v>4.32</v>
      </c>
      <c r="N555" s="25">
        <f>ROUND(L555/M555, 0)</f>
        <v/>
      </c>
      <c r="O555" s="25">
        <f>ROUND(N555*'Methodology &amp; Assumptions'!$B$7, 0)</f>
        <v/>
      </c>
      <c r="P555" s="23" t="inlineStr">
        <is>
          <t>Single Carrier (Band n50, 100MHz TDD)</t>
        </is>
      </c>
      <c r="Q555" s="27">
        <f>ROUNDUP(O555/'Methodology &amp; Assumptions'!$B$8, 0)</f>
        <v/>
      </c>
      <c r="R555" s="27" t="n">
        <v>1</v>
      </c>
      <c r="S555" s="26" t="n">
        <v>0.58</v>
      </c>
      <c r="T555" s="26" t="n">
        <v>0.46</v>
      </c>
      <c r="U555" s="11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26" t="n">
        <v>53.52</v>
      </c>
      <c r="W555" s="26" t="n">
        <v>73.5</v>
      </c>
      <c r="X555" s="26">
        <f>ROUND(('Methodology &amp; Assumptions'!$B$5*V555) + ('Methodology &amp; Assumptions'!$B$6*W555), 2)</f>
        <v/>
      </c>
      <c r="Y555" s="28" t="n">
        <v>10.9</v>
      </c>
      <c r="Z555" s="11" t="inlineStr">
        <is>
          <t>Priority Tier 2 (Balanced Opportunity)</t>
        </is>
      </c>
    </row>
    <row r="556">
      <c r="A556" s="23" t="n">
        <v>2</v>
      </c>
      <c r="B556" s="23" t="n">
        <v>552</v>
      </c>
      <c r="C556" s="23" t="n">
        <v>1552</v>
      </c>
      <c r="D556" s="23" t="inlineStr">
        <is>
          <t>0105543023</t>
        </is>
      </c>
      <c r="E556" s="11" t="inlineStr">
        <is>
          <t>Region I (Ilocos Region)</t>
        </is>
      </c>
      <c r="F556" s="11" t="inlineStr">
        <is>
          <t>Pangasinan</t>
        </is>
      </c>
      <c r="G556" s="11" t="inlineStr">
        <is>
          <t>Tayug</t>
        </is>
      </c>
      <c r="H556" s="11" t="inlineStr">
        <is>
          <t>Trenchera</t>
        </is>
      </c>
      <c r="I556" s="24" t="n">
        <v>16.02285</v>
      </c>
      <c r="J556" s="24" t="n">
        <v>120.75015</v>
      </c>
      <c r="K556" s="23" t="inlineStr">
        <is>
          <t>R</t>
        </is>
      </c>
      <c r="L556" s="25" t="n">
        <v>4345</v>
      </c>
      <c r="M556" s="26" t="n">
        <v>3.6</v>
      </c>
      <c r="N556" s="25">
        <f>ROUND(L556/M556, 0)</f>
        <v/>
      </c>
      <c r="O556" s="25">
        <f>ROUND(N556*'Methodology &amp; Assumptions'!$B$7, 0)</f>
        <v/>
      </c>
      <c r="P556" s="23" t="inlineStr">
        <is>
          <t>Single Carrier (Band n50, 100MHz TDD)</t>
        </is>
      </c>
      <c r="Q556" s="27">
        <f>ROUNDUP(O556/'Methodology &amp; Assumptions'!$B$8, 0)</f>
        <v/>
      </c>
      <c r="R556" s="27" t="n">
        <v>1</v>
      </c>
      <c r="S556" s="26" t="n">
        <v>0.52</v>
      </c>
      <c r="T556" s="26" t="n">
        <v>0.37</v>
      </c>
      <c r="U556" s="11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26" t="n">
        <v>85.63</v>
      </c>
      <c r="W556" s="26" t="n">
        <v>41.37</v>
      </c>
      <c r="X556" s="26">
        <f>ROUND(('Methodology &amp; Assumptions'!$B$5*V556) + ('Methodology &amp; Assumptions'!$B$6*W556), 2)</f>
        <v/>
      </c>
      <c r="Y556" s="28" t="n">
        <v>8.300000000000001</v>
      </c>
      <c r="Z556" s="11" t="inlineStr">
        <is>
          <t>Priority Tier 2 (Balanced Opportunity)</t>
        </is>
      </c>
    </row>
    <row r="557">
      <c r="A557" s="23" t="n">
        <v>2</v>
      </c>
      <c r="B557" s="23" t="n">
        <v>553</v>
      </c>
      <c r="C557" s="23" t="n">
        <v>1553</v>
      </c>
      <c r="D557" s="23" t="inlineStr">
        <is>
          <t>0402117020</t>
        </is>
      </c>
      <c r="E557" s="11" t="inlineStr">
        <is>
          <t>Region IV-A (CALABARZON)</t>
        </is>
      </c>
      <c r="F557" s="11" t="inlineStr">
        <is>
          <t>Cavite</t>
        </is>
      </c>
      <c r="G557" s="11" t="inlineStr">
        <is>
          <t>Rosario</t>
        </is>
      </c>
      <c r="H557" s="11" t="inlineStr">
        <is>
          <t>Wawa II</t>
        </is>
      </c>
      <c r="I557" s="24" t="n">
        <v>14.414191</v>
      </c>
      <c r="J557" s="24" t="n">
        <v>120.847722</v>
      </c>
      <c r="K557" s="23" t="inlineStr">
        <is>
          <t>U</t>
        </is>
      </c>
      <c r="L557" s="25" t="n">
        <v>6185</v>
      </c>
      <c r="M557" s="26" t="n">
        <v>3.4</v>
      </c>
      <c r="N557" s="25">
        <f>ROUND(L557/M557, 0)</f>
        <v/>
      </c>
      <c r="O557" s="25">
        <f>ROUND(N557*'Methodology &amp; Assumptions'!$B$7, 0)</f>
        <v/>
      </c>
      <c r="P557" s="23" t="inlineStr">
        <is>
          <t>Single Carrier (Band n50, 100MHz TDD)</t>
        </is>
      </c>
      <c r="Q557" s="27">
        <f>ROUNDUP(O557/'Methodology &amp; Assumptions'!$B$8, 0)</f>
        <v/>
      </c>
      <c r="R557" s="27" t="n">
        <v>1</v>
      </c>
      <c r="S557" s="26" t="n">
        <v>2.35</v>
      </c>
      <c r="T557" s="26" t="n">
        <v>2.45</v>
      </c>
      <c r="U557" s="11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26" t="n">
        <v>69.34</v>
      </c>
      <c r="W557" s="26" t="n">
        <v>57.66</v>
      </c>
      <c r="X557" s="26">
        <f>ROUND(('Methodology &amp; Assumptions'!$B$5*V557) + ('Methodology &amp; Assumptions'!$B$6*W557), 2)</f>
        <v/>
      </c>
      <c r="Y557" s="28" t="n">
        <v>7.2</v>
      </c>
      <c r="Z557" s="11" t="inlineStr">
        <is>
          <t>Priority Tier 2 (Balanced Opportunity)</t>
        </is>
      </c>
    </row>
    <row r="558">
      <c r="A558" s="23" t="n">
        <v>2</v>
      </c>
      <c r="B558" s="23" t="n">
        <v>554</v>
      </c>
      <c r="C558" s="23" t="n">
        <v>1554</v>
      </c>
      <c r="D558" s="23" t="inlineStr">
        <is>
          <t>1381300058</t>
        </is>
      </c>
      <c r="E558" s="11" t="inlineStr">
        <is>
          <t>National Capital Region (NCR)</t>
        </is>
      </c>
      <c r="F558" s="11" t="inlineStr">
        <is>
          <t>Second District (Not a Province)</t>
        </is>
      </c>
      <c r="G558" s="11" t="inlineStr">
        <is>
          <t>Quezon City</t>
        </is>
      </c>
      <c r="H558" s="11" t="inlineStr">
        <is>
          <t>Manresa</t>
        </is>
      </c>
      <c r="I558" s="24" t="n">
        <v>14.64154</v>
      </c>
      <c r="J558" s="24" t="n">
        <v>121.0032</v>
      </c>
      <c r="K558" s="23" t="inlineStr">
        <is>
          <t>U</t>
        </is>
      </c>
      <c r="L558" s="25" t="n">
        <v>21729</v>
      </c>
      <c r="M558" s="26" t="n">
        <v>3.56</v>
      </c>
      <c r="N558" s="25">
        <f>ROUND(L558/M558, 0)</f>
        <v/>
      </c>
      <c r="O558" s="25">
        <f>ROUND(N558*'Methodology &amp; Assumptions'!$B$7, 0)</f>
        <v/>
      </c>
      <c r="P558" s="23" t="inlineStr">
        <is>
          <t>Single Carrier (Band n50, 100MHz TDD)</t>
        </is>
      </c>
      <c r="Q558" s="27">
        <f>ROUNDUP(O558/'Methodology &amp; Assumptions'!$B$8, 0)</f>
        <v/>
      </c>
      <c r="R558" s="27" t="n">
        <v>1</v>
      </c>
      <c r="S558" s="26" t="n">
        <v>0.46</v>
      </c>
      <c r="T558" s="26" t="n">
        <v>0.42</v>
      </c>
      <c r="U558" s="11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26" t="n">
        <v>68.17</v>
      </c>
      <c r="W558" s="26" t="n">
        <v>58.84</v>
      </c>
      <c r="X558" s="26">
        <f>ROUND(('Methodology &amp; Assumptions'!$B$5*V558) + ('Methodology &amp; Assumptions'!$B$6*W558), 2)</f>
        <v/>
      </c>
      <c r="Y558" s="28" t="n">
        <v>10.9</v>
      </c>
      <c r="Z558" s="11" t="inlineStr">
        <is>
          <t>Priority Tier 2 (Balanced Opportunity)</t>
        </is>
      </c>
    </row>
    <row r="559">
      <c r="A559" s="23" t="n">
        <v>2</v>
      </c>
      <c r="B559" s="23" t="n">
        <v>555</v>
      </c>
      <c r="C559" s="23" t="n">
        <v>1555</v>
      </c>
      <c r="D559" s="23" t="inlineStr">
        <is>
          <t>1381000009</t>
        </is>
      </c>
      <c r="E559" s="11" t="inlineStr">
        <is>
          <t>National Capital Region (NCR)</t>
        </is>
      </c>
      <c r="F559" s="11" t="inlineStr">
        <is>
          <t>Fourth District (Not a Province)</t>
        </is>
      </c>
      <c r="G559" s="11" t="inlineStr">
        <is>
          <t>City of Parañaque</t>
        </is>
      </c>
      <c r="H559" s="11" t="inlineStr">
        <is>
          <t>Marcelo Green Village</t>
        </is>
      </c>
      <c r="I559" s="24" t="n">
        <v>14.476417</v>
      </c>
      <c r="J559" s="24" t="n">
        <v>121.040043</v>
      </c>
      <c r="K559" s="23" t="inlineStr">
        <is>
          <t>U</t>
        </is>
      </c>
      <c r="L559" s="25" t="n">
        <v>34237</v>
      </c>
      <c r="M559" s="26" t="n">
        <v>3.71</v>
      </c>
      <c r="N559" s="25">
        <f>ROUND(L559/M559, 0)</f>
        <v/>
      </c>
      <c r="O559" s="25">
        <f>ROUND(N559*'Methodology &amp; Assumptions'!$B$7, 0)</f>
        <v/>
      </c>
      <c r="P559" s="23" t="inlineStr">
        <is>
          <t>Single Carrier (Band n50, 100MHz TDD)</t>
        </is>
      </c>
      <c r="Q559" s="27">
        <f>ROUNDUP(O559/'Methodology &amp; Assumptions'!$B$8, 0)</f>
        <v/>
      </c>
      <c r="R559" s="27" t="n">
        <v>1</v>
      </c>
      <c r="S559" s="26" t="n">
        <v>0.95</v>
      </c>
      <c r="T559" s="26" t="n">
        <v>0.73</v>
      </c>
      <c r="U559" s="11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26" t="n">
        <v>66.77</v>
      </c>
      <c r="W559" s="26" t="n">
        <v>60.23</v>
      </c>
      <c r="X559" s="26">
        <f>ROUND(('Methodology &amp; Assumptions'!$B$5*V559) + ('Methodology &amp; Assumptions'!$B$6*W559), 2)</f>
        <v/>
      </c>
      <c r="Y559" s="28" t="n">
        <v>10.9</v>
      </c>
      <c r="Z559" s="11" t="inlineStr">
        <is>
          <t>Priority Tier 2 (Balanced Opportunity)</t>
        </is>
      </c>
    </row>
    <row r="560">
      <c r="A560" s="23" t="n">
        <v>2</v>
      </c>
      <c r="B560" s="23" t="n">
        <v>556</v>
      </c>
      <c r="C560" s="23" t="n">
        <v>1556</v>
      </c>
      <c r="D560" s="23" t="inlineStr">
        <is>
          <t>0803739018</t>
        </is>
      </c>
      <c r="E560" s="11" t="inlineStr">
        <is>
          <t>Region VIII (Eastern Visayas)</t>
        </is>
      </c>
      <c r="F560" s="11" t="inlineStr">
        <is>
          <t>Leyte</t>
        </is>
      </c>
      <c r="G560" s="11" t="inlineStr">
        <is>
          <t>Palo</t>
        </is>
      </c>
      <c r="H560" s="11" t="inlineStr">
        <is>
          <t>Naga-naga</t>
        </is>
      </c>
      <c r="I560" s="24" t="n">
        <v>11.154771</v>
      </c>
      <c r="J560" s="24" t="n">
        <v>124.991015</v>
      </c>
      <c r="K560" s="23" t="inlineStr">
        <is>
          <t>R</t>
        </is>
      </c>
      <c r="L560" s="25" t="n">
        <v>2731</v>
      </c>
      <c r="M560" s="26" t="n">
        <v>3.8</v>
      </c>
      <c r="N560" s="25">
        <f>ROUND(L560/M560, 0)</f>
        <v/>
      </c>
      <c r="O560" s="25">
        <f>ROUND(N560*'Methodology &amp; Assumptions'!$B$7, 0)</f>
        <v/>
      </c>
      <c r="P560" s="23" t="inlineStr">
        <is>
          <t>Single Carrier (Band n50, 100MHz TDD)</t>
        </is>
      </c>
      <c r="Q560" s="27">
        <f>ROUNDUP(O560/'Methodology &amp; Assumptions'!$B$8, 0)</f>
        <v/>
      </c>
      <c r="R560" s="27" t="n">
        <v>1</v>
      </c>
      <c r="S560" s="26" t="n">
        <v>1.16</v>
      </c>
      <c r="T560" s="26" t="n">
        <v>0.43</v>
      </c>
      <c r="U560" s="11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26" t="n">
        <v>82.15000000000001</v>
      </c>
      <c r="W560" s="26" t="n">
        <v>44.84</v>
      </c>
      <c r="X560" s="26">
        <f>ROUND(('Methodology &amp; Assumptions'!$B$5*V560) + ('Methodology &amp; Assumptions'!$B$6*W560), 2)</f>
        <v/>
      </c>
      <c r="Y560" s="28" t="n">
        <v>23.7</v>
      </c>
      <c r="Z560" s="11" t="inlineStr">
        <is>
          <t>Priority Tier 2 (Balanced Opportunity)</t>
        </is>
      </c>
    </row>
    <row r="561">
      <c r="A561" s="23" t="n">
        <v>2</v>
      </c>
      <c r="B561" s="23" t="n">
        <v>557</v>
      </c>
      <c r="C561" s="23" t="n">
        <v>1557</v>
      </c>
      <c r="D561" s="23" t="inlineStr">
        <is>
          <t>0306916096</t>
        </is>
      </c>
      <c r="E561" s="11" t="inlineStr">
        <is>
          <t>Region III (Central Luzon)</t>
        </is>
      </c>
      <c r="F561" s="11" t="inlineStr">
        <is>
          <t>Tarlac</t>
        </is>
      </c>
      <c r="G561" s="11" t="inlineStr">
        <is>
          <t>City of Tarlac</t>
        </is>
      </c>
      <c r="H561" s="11" t="inlineStr">
        <is>
          <t>Matadero</t>
        </is>
      </c>
      <c r="I561" s="24" t="n">
        <v>15.484248</v>
      </c>
      <c r="J561" s="24" t="n">
        <v>120.602162</v>
      </c>
      <c r="K561" s="23" t="inlineStr">
        <is>
          <t>U</t>
        </is>
      </c>
      <c r="L561" s="25" t="n">
        <v>2278</v>
      </c>
      <c r="M561" s="26" t="n">
        <v>3.9</v>
      </c>
      <c r="N561" s="25">
        <f>ROUND(L561/M561, 0)</f>
        <v/>
      </c>
      <c r="O561" s="25">
        <f>ROUND(N561*'Methodology &amp; Assumptions'!$B$7, 0)</f>
        <v/>
      </c>
      <c r="P561" s="23" t="inlineStr">
        <is>
          <t>Single Carrier (Band n50, 100MHz TDD)</t>
        </is>
      </c>
      <c r="Q561" s="27">
        <f>ROUNDUP(O561/'Methodology &amp; Assumptions'!$B$8, 0)</f>
        <v/>
      </c>
      <c r="R561" s="27" t="n">
        <v>1</v>
      </c>
      <c r="S561" s="26" t="n">
        <v>1.11</v>
      </c>
      <c r="T561" s="26" t="n">
        <v>0.29</v>
      </c>
      <c r="U561" s="11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26" t="n">
        <v>69.75</v>
      </c>
      <c r="W561" s="26" t="n">
        <v>57.23</v>
      </c>
      <c r="X561" s="26">
        <f>ROUND(('Methodology &amp; Assumptions'!$B$5*V561) + ('Methodology &amp; Assumptions'!$B$6*W561), 2)</f>
        <v/>
      </c>
      <c r="Y561" s="28" t="n">
        <v>8.300000000000001</v>
      </c>
      <c r="Z561" s="11" t="inlineStr">
        <is>
          <t>Priority Tier 2 (Balanced Opportunity)</t>
        </is>
      </c>
    </row>
    <row r="562">
      <c r="A562" s="23" t="n">
        <v>2</v>
      </c>
      <c r="B562" s="23" t="n">
        <v>558</v>
      </c>
      <c r="C562" s="23" t="n">
        <v>1558</v>
      </c>
      <c r="D562" s="23" t="inlineStr">
        <is>
          <t>1381300118</t>
        </is>
      </c>
      <c r="E562" s="11" t="inlineStr">
        <is>
          <t>National Capital Region (NCR)</t>
        </is>
      </c>
      <c r="F562" s="11" t="inlineStr">
        <is>
          <t>Second District (Not a Province)</t>
        </is>
      </c>
      <c r="G562" s="11" t="inlineStr">
        <is>
          <t>Quezon City</t>
        </is>
      </c>
      <c r="H562" s="11" t="inlineStr">
        <is>
          <t>Talayan</t>
        </is>
      </c>
      <c r="I562" s="24" t="n">
        <v>14.63269</v>
      </c>
      <c r="J562" s="24" t="n">
        <v>121.01172</v>
      </c>
      <c r="K562" s="23" t="inlineStr">
        <is>
          <t>U</t>
        </is>
      </c>
      <c r="L562" s="25" t="n">
        <v>4832</v>
      </c>
      <c r="M562" s="26" t="n">
        <v>4.01</v>
      </c>
      <c r="N562" s="25">
        <f>ROUND(L562/M562, 0)</f>
        <v/>
      </c>
      <c r="O562" s="25">
        <f>ROUND(N562*'Methodology &amp; Assumptions'!$B$7, 0)</f>
        <v/>
      </c>
      <c r="P562" s="23" t="inlineStr">
        <is>
          <t>Single Carrier (Band n50, 100MHz TDD)</t>
        </is>
      </c>
      <c r="Q562" s="27">
        <f>ROUNDUP(O562/'Methodology &amp; Assumptions'!$B$8, 0)</f>
        <v/>
      </c>
      <c r="R562" s="27" t="n">
        <v>1</v>
      </c>
      <c r="S562" s="26" t="n">
        <v>1.29</v>
      </c>
      <c r="T562" s="26" t="n">
        <v>0.82</v>
      </c>
      <c r="U562" s="11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26" t="n">
        <v>67.39</v>
      </c>
      <c r="W562" s="26" t="n">
        <v>59.59</v>
      </c>
      <c r="X562" s="26">
        <f>ROUND(('Methodology &amp; Assumptions'!$B$5*V562) + ('Methodology &amp; Assumptions'!$B$6*W562), 2)</f>
        <v/>
      </c>
      <c r="Y562" s="28" t="n">
        <v>10.9</v>
      </c>
      <c r="Z562" s="11" t="inlineStr">
        <is>
          <t>Priority Tier 2 (Balanced Opportunity)</t>
        </is>
      </c>
    </row>
    <row r="563">
      <c r="A563" s="23" t="n">
        <v>2</v>
      </c>
      <c r="B563" s="23" t="n">
        <v>559</v>
      </c>
      <c r="C563" s="23" t="n">
        <v>1559</v>
      </c>
      <c r="D563" s="23" t="inlineStr">
        <is>
          <t>1380500008</t>
        </is>
      </c>
      <c r="E563" s="11" t="inlineStr">
        <is>
          <t>National Capital Region (NCR)</t>
        </is>
      </c>
      <c r="F563" s="11" t="inlineStr">
        <is>
          <t>Second District (Not a Province)</t>
        </is>
      </c>
      <c r="G563" s="11" t="inlineStr">
        <is>
          <t>City of Mandaluyong</t>
        </is>
      </c>
      <c r="H563" s="11" t="inlineStr">
        <is>
          <t>Buayang Bato</t>
        </is>
      </c>
      <c r="I563" s="24" t="n">
        <v>14.568909</v>
      </c>
      <c r="J563" s="24" t="n">
        <v>121.051108</v>
      </c>
      <c r="K563" s="23" t="inlineStr">
        <is>
          <t>U</t>
        </is>
      </c>
      <c r="L563" s="25" t="n">
        <v>5086</v>
      </c>
      <c r="M563" s="26" t="n">
        <v>3.63</v>
      </c>
      <c r="N563" s="25">
        <f>ROUND(L563/M563, 0)</f>
        <v/>
      </c>
      <c r="O563" s="25">
        <f>ROUND(N563*'Methodology &amp; Assumptions'!$B$7, 0)</f>
        <v/>
      </c>
      <c r="P563" s="23" t="inlineStr">
        <is>
          <t>Single Carrier (Band n50, 100MHz TDD)</t>
        </is>
      </c>
      <c r="Q563" s="27">
        <f>ROUNDUP(O563/'Methodology &amp; Assumptions'!$B$8, 0)</f>
        <v/>
      </c>
      <c r="R563" s="27" t="n">
        <v>1</v>
      </c>
      <c r="S563" s="26" t="n">
        <v>1.5</v>
      </c>
      <c r="T563" s="26" t="n">
        <v>0.14</v>
      </c>
      <c r="U563" s="11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26" t="n">
        <v>66.59999999999999</v>
      </c>
      <c r="W563" s="26" t="n">
        <v>60.39</v>
      </c>
      <c r="X563" s="26">
        <f>ROUND(('Methodology &amp; Assumptions'!$B$5*V563) + ('Methodology &amp; Assumptions'!$B$6*W563), 2)</f>
        <v/>
      </c>
      <c r="Y563" s="28" t="n">
        <v>10.9</v>
      </c>
      <c r="Z563" s="11" t="inlineStr">
        <is>
          <t>Priority Tier 2 (Balanced Opportunity)</t>
        </is>
      </c>
    </row>
    <row r="564">
      <c r="A564" s="23" t="n">
        <v>2</v>
      </c>
      <c r="B564" s="23" t="n">
        <v>560</v>
      </c>
      <c r="C564" s="23" t="n">
        <v>1560</v>
      </c>
      <c r="D564" s="23" t="inlineStr">
        <is>
          <t>1208001008</t>
        </is>
      </c>
      <c r="E564" s="11" t="inlineStr">
        <is>
          <t>Region XII (SOCCSKSARGEN)</t>
        </is>
      </c>
      <c r="F564" s="11" t="inlineStr">
        <is>
          <t>Sarangani</t>
        </is>
      </c>
      <c r="G564" s="11" t="inlineStr">
        <is>
          <t>Alabel</t>
        </is>
      </c>
      <c r="H564" s="11" t="inlineStr">
        <is>
          <t>Pag-asa</t>
        </is>
      </c>
      <c r="I564" s="24" t="n">
        <v>6.133142</v>
      </c>
      <c r="J564" s="24" t="n">
        <v>125.445321</v>
      </c>
      <c r="K564" s="23" t="inlineStr">
        <is>
          <t>U</t>
        </is>
      </c>
      <c r="L564" s="25" t="n">
        <v>8455</v>
      </c>
      <c r="M564" s="26" t="n">
        <v>3.9</v>
      </c>
      <c r="N564" s="25">
        <f>ROUND(L564/M564, 0)</f>
        <v/>
      </c>
      <c r="O564" s="25">
        <f>ROUND(N564*'Methodology &amp; Assumptions'!$B$7, 0)</f>
        <v/>
      </c>
      <c r="P564" s="23" t="inlineStr">
        <is>
          <t>Single Carrier (Band n50, 100MHz TDD)</t>
        </is>
      </c>
      <c r="Q564" s="27">
        <f>ROUNDUP(O564/'Methodology &amp; Assumptions'!$B$8, 0)</f>
        <v/>
      </c>
      <c r="R564" s="27" t="n">
        <v>1</v>
      </c>
      <c r="S564" s="26" t="n">
        <v>18.76</v>
      </c>
      <c r="T564" s="26" t="n">
        <v>23.71</v>
      </c>
      <c r="U564" s="11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26" t="n">
        <v>54.62</v>
      </c>
      <c r="W564" s="26" t="n">
        <v>72.36</v>
      </c>
      <c r="X564" s="26">
        <f>ROUND(('Methodology &amp; Assumptions'!$B$5*V564) + ('Methodology &amp; Assumptions'!$B$6*W564), 2)</f>
        <v/>
      </c>
      <c r="Y564" s="28" t="n">
        <v>17.4</v>
      </c>
      <c r="Z564" s="11" t="inlineStr">
        <is>
          <t>Priority Tier 2 (Balanced Opportunity)</t>
        </is>
      </c>
    </row>
    <row r="565">
      <c r="A565" s="23" t="n">
        <v>2</v>
      </c>
      <c r="B565" s="23" t="n">
        <v>561</v>
      </c>
      <c r="C565" s="23" t="n">
        <v>1561</v>
      </c>
      <c r="D565" s="23" t="inlineStr">
        <is>
          <t>0205704021</t>
        </is>
      </c>
      <c r="E565" s="11" t="inlineStr">
        <is>
          <t>Region II (Cagayan Valley)</t>
        </is>
      </c>
      <c r="F565" s="11" t="inlineStr">
        <is>
          <t>Quirino</t>
        </is>
      </c>
      <c r="G565" s="11" t="inlineStr">
        <is>
          <t>Maddela</t>
        </is>
      </c>
      <c r="H565" s="11" t="inlineStr">
        <is>
          <t>San Dionisio I</t>
        </is>
      </c>
      <c r="I565" s="24" t="n">
        <v>16.40054</v>
      </c>
      <c r="J565" s="24" t="n">
        <v>121.879031</v>
      </c>
      <c r="K565" s="23" t="inlineStr">
        <is>
          <t>R</t>
        </is>
      </c>
      <c r="L565" s="25" t="n">
        <v>561</v>
      </c>
      <c r="M565" s="26" t="n">
        <v>3.9</v>
      </c>
      <c r="N565" s="25">
        <f>ROUND(L565/M565, 0)</f>
        <v/>
      </c>
      <c r="O565" s="25">
        <f>ROUND(N565*'Methodology &amp; Assumptions'!$B$7, 0)</f>
        <v/>
      </c>
      <c r="P565" s="23" t="inlineStr">
        <is>
          <t>Single Carrier (Band n50, 100MHz TDD)</t>
        </is>
      </c>
      <c r="Q565" s="27">
        <f>ROUNDUP(O565/'Methodology &amp; Assumptions'!$B$8, 0)</f>
        <v/>
      </c>
      <c r="R565" s="27" t="n">
        <v>1</v>
      </c>
      <c r="S565" s="26" t="n">
        <v>17.91</v>
      </c>
      <c r="T565" s="26" t="n">
        <v>21.59</v>
      </c>
      <c r="U565" s="11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26" t="n">
        <v>38.44</v>
      </c>
      <c r="W565" s="26" t="n">
        <v>88.54000000000001</v>
      </c>
      <c r="X565" s="26">
        <f>ROUND(('Methodology &amp; Assumptions'!$B$5*V565) + ('Methodology &amp; Assumptions'!$B$6*W565), 2)</f>
        <v/>
      </c>
      <c r="Y565" s="28" t="n">
        <v>8.300000000000001</v>
      </c>
      <c r="Z565" s="11" t="inlineStr">
        <is>
          <t>Priority Tier 2 (Balanced Opportunity)</t>
        </is>
      </c>
    </row>
    <row r="566">
      <c r="A566" s="23" t="n">
        <v>2</v>
      </c>
      <c r="B566" s="23" t="n">
        <v>562</v>
      </c>
      <c r="C566" s="23" t="n">
        <v>1562</v>
      </c>
      <c r="D566" s="23" t="inlineStr">
        <is>
          <t>0604528027</t>
        </is>
      </c>
      <c r="E566" s="11" t="inlineStr">
        <is>
          <t>Region VI (Western Visayas)</t>
        </is>
      </c>
      <c r="F566" s="11" t="inlineStr">
        <is>
          <t>Negros Occidental</t>
        </is>
      </c>
      <c r="G566" s="11" t="inlineStr">
        <is>
          <t>City of Talisay</t>
        </is>
      </c>
      <c r="H566" s="11" t="inlineStr">
        <is>
          <t>Zone 6</t>
        </is>
      </c>
      <c r="I566" s="24" t="n">
        <v>10.737705</v>
      </c>
      <c r="J566" s="24" t="n">
        <v>122.965562</v>
      </c>
      <c r="K566" s="23" t="inlineStr">
        <is>
          <t>R</t>
        </is>
      </c>
      <c r="L566" s="25" t="n">
        <v>1655</v>
      </c>
      <c r="M566" s="26" t="n">
        <v>3.7</v>
      </c>
      <c r="N566" s="25">
        <f>ROUND(L566/M566, 0)</f>
        <v/>
      </c>
      <c r="O566" s="25">
        <f>ROUND(N566*'Methodology &amp; Assumptions'!$B$7, 0)</f>
        <v/>
      </c>
      <c r="P566" s="23" t="inlineStr">
        <is>
          <t>Single Carrier (Band n50, 100MHz TDD)</t>
        </is>
      </c>
      <c r="Q566" s="27">
        <f>ROUNDUP(O566/'Methodology &amp; Assumptions'!$B$8, 0)</f>
        <v/>
      </c>
      <c r="R566" s="27" t="n">
        <v>1</v>
      </c>
      <c r="S566" s="26" t="n">
        <v>0.4</v>
      </c>
      <c r="T566" s="26" t="n">
        <v>0.25</v>
      </c>
      <c r="U566" s="11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26" t="n">
        <v>75.04000000000001</v>
      </c>
      <c r="W566" s="26" t="n">
        <v>51.92</v>
      </c>
      <c r="X566" s="26">
        <f>ROUND(('Methodology &amp; Assumptions'!$B$5*V566) + ('Methodology &amp; Assumptions'!$B$6*W566), 2)</f>
        <v/>
      </c>
      <c r="Y566" s="28" t="n">
        <v>23.7</v>
      </c>
      <c r="Z566" s="11" t="inlineStr">
        <is>
          <t>Priority Tier 2 (Balanced Opportunity)</t>
        </is>
      </c>
    </row>
    <row r="567">
      <c r="A567" s="23" t="n">
        <v>2</v>
      </c>
      <c r="B567" s="23" t="n">
        <v>563</v>
      </c>
      <c r="C567" s="23" t="n">
        <v>1563</v>
      </c>
      <c r="D567" s="23" t="inlineStr">
        <is>
          <t>0105527061</t>
        </is>
      </c>
      <c r="E567" s="11" t="inlineStr">
        <is>
          <t>Region I (Ilocos Region)</t>
        </is>
      </c>
      <c r="F567" s="11" t="inlineStr">
        <is>
          <t>Pangasinan</t>
        </is>
      </c>
      <c r="G567" s="11" t="inlineStr">
        <is>
          <t>Mangatarem</t>
        </is>
      </c>
      <c r="H567" s="11" t="inlineStr">
        <is>
          <t>Pacalat</t>
        </is>
      </c>
      <c r="I567" s="24" t="n">
        <v>15.7246</v>
      </c>
      <c r="J567" s="24" t="n">
        <v>120.2336</v>
      </c>
      <c r="K567" s="23" t="inlineStr">
        <is>
          <t>R</t>
        </is>
      </c>
      <c r="L567" s="25" t="n">
        <v>1026</v>
      </c>
      <c r="M567" s="26" t="n">
        <v>3.6</v>
      </c>
      <c r="N567" s="25">
        <f>ROUND(L567/M567, 0)</f>
        <v/>
      </c>
      <c r="O567" s="25">
        <f>ROUND(N567*'Methodology &amp; Assumptions'!$B$7, 0)</f>
        <v/>
      </c>
      <c r="P567" s="23" t="inlineStr">
        <is>
          <t>Single Carrier (Band n50, 100MHz TDD)</t>
        </is>
      </c>
      <c r="Q567" s="27">
        <f>ROUNDUP(O567/'Methodology &amp; Assumptions'!$B$8, 0)</f>
        <v/>
      </c>
      <c r="R567" s="27" t="n">
        <v>1</v>
      </c>
      <c r="S567" s="26" t="n">
        <v>10.77</v>
      </c>
      <c r="T567" s="26" t="n">
        <v>19.83</v>
      </c>
      <c r="U567" s="11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26" t="n">
        <v>46.95</v>
      </c>
      <c r="W567" s="26" t="n">
        <v>80.02</v>
      </c>
      <c r="X567" s="26">
        <f>ROUND(('Methodology &amp; Assumptions'!$B$5*V567) + ('Methodology &amp; Assumptions'!$B$6*W567), 2)</f>
        <v/>
      </c>
      <c r="Y567" s="28" t="n">
        <v>8.300000000000001</v>
      </c>
      <c r="Z567" s="11" t="inlineStr">
        <is>
          <t>Priority Tier 2 (Balanced Opportunity)</t>
        </is>
      </c>
    </row>
    <row r="568">
      <c r="A568" s="23" t="n">
        <v>2</v>
      </c>
      <c r="B568" s="23" t="n">
        <v>564</v>
      </c>
      <c r="C568" s="23" t="n">
        <v>1564</v>
      </c>
      <c r="D568" s="23" t="inlineStr">
        <is>
          <t>0301415018</t>
        </is>
      </c>
      <c r="E568" s="11" t="inlineStr">
        <is>
          <t>Region III (Central Luzon)</t>
        </is>
      </c>
      <c r="F568" s="11" t="inlineStr">
        <is>
          <t>Bulacan</t>
        </is>
      </c>
      <c r="G568" s="11" t="inlineStr">
        <is>
          <t>Pandi</t>
        </is>
      </c>
      <c r="H568" s="11" t="inlineStr">
        <is>
          <t>San Roque</t>
        </is>
      </c>
      <c r="I568" s="24" t="n">
        <v>14.858096</v>
      </c>
      <c r="J568" s="24" t="n">
        <v>120.956305</v>
      </c>
      <c r="K568" s="23" t="inlineStr">
        <is>
          <t>R</t>
        </is>
      </c>
      <c r="L568" s="25" t="n">
        <v>3025</v>
      </c>
      <c r="M568" s="26" t="n">
        <v>3.5</v>
      </c>
      <c r="N568" s="25">
        <f>ROUND(L568/M568, 0)</f>
        <v/>
      </c>
      <c r="O568" s="25">
        <f>ROUND(N568*'Methodology &amp; Assumptions'!$B$7, 0)</f>
        <v/>
      </c>
      <c r="P568" s="23" t="inlineStr">
        <is>
          <t>Single Carrier (Band n50, 100MHz TDD)</t>
        </is>
      </c>
      <c r="Q568" s="27">
        <f>ROUNDUP(O568/'Methodology &amp; Assumptions'!$B$8, 0)</f>
        <v/>
      </c>
      <c r="R568" s="27" t="n">
        <v>1</v>
      </c>
      <c r="S568" s="26" t="n">
        <v>0.65</v>
      </c>
      <c r="T568" s="26" t="n">
        <v>0.08</v>
      </c>
      <c r="U568" s="11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26" t="n">
        <v>85.63</v>
      </c>
      <c r="W568" s="26" t="n">
        <v>41.3</v>
      </c>
      <c r="X568" s="26">
        <f>ROUND(('Methodology &amp; Assumptions'!$B$5*V568) + ('Methodology &amp; Assumptions'!$B$6*W568), 2)</f>
        <v/>
      </c>
      <c r="Y568" s="28" t="n">
        <v>8.300000000000001</v>
      </c>
      <c r="Z568" s="11" t="inlineStr">
        <is>
          <t>Priority Tier 2 (Balanced Opportunity)</t>
        </is>
      </c>
    </row>
    <row r="569">
      <c r="A569" s="23" t="n">
        <v>2</v>
      </c>
      <c r="B569" s="23" t="n">
        <v>565</v>
      </c>
      <c r="C569" s="23" t="n">
        <v>1565</v>
      </c>
      <c r="D569" s="23" t="inlineStr">
        <is>
          <t>1380500023</t>
        </is>
      </c>
      <c r="E569" s="11" t="inlineStr">
        <is>
          <t>National Capital Region (NCR)</t>
        </is>
      </c>
      <c r="F569" s="11" t="inlineStr">
        <is>
          <t>Second District (Not a Province)</t>
        </is>
      </c>
      <c r="G569" s="11" t="inlineStr">
        <is>
          <t>City of Mandaluyong</t>
        </is>
      </c>
      <c r="H569" s="11" t="inlineStr">
        <is>
          <t>Pleasant Hills</t>
        </is>
      </c>
      <c r="I569" s="24" t="n">
        <v>14.58654</v>
      </c>
      <c r="J569" s="24" t="n">
        <v>121.0415</v>
      </c>
      <c r="K569" s="23" t="inlineStr">
        <is>
          <t>U</t>
        </is>
      </c>
      <c r="L569" s="25" t="n">
        <v>6097</v>
      </c>
      <c r="M569" s="26" t="n">
        <v>3.59</v>
      </c>
      <c r="N569" s="25">
        <f>ROUND(L569/M569, 0)</f>
        <v/>
      </c>
      <c r="O569" s="25">
        <f>ROUND(N569*'Methodology &amp; Assumptions'!$B$7, 0)</f>
        <v/>
      </c>
      <c r="P569" s="23" t="inlineStr">
        <is>
          <t>Single Carrier (Band n50, 100MHz TDD)</t>
        </is>
      </c>
      <c r="Q569" s="27">
        <f>ROUNDUP(O569/'Methodology &amp; Assumptions'!$B$8, 0)</f>
        <v/>
      </c>
      <c r="R569" s="27" t="n">
        <v>1</v>
      </c>
      <c r="S569" s="26" t="n">
        <v>0.53</v>
      </c>
      <c r="T569" s="26" t="n">
        <v>0.15</v>
      </c>
      <c r="U569" s="11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26" t="n">
        <v>69.09</v>
      </c>
      <c r="W569" s="26" t="n">
        <v>57.85</v>
      </c>
      <c r="X569" s="26">
        <f>ROUND(('Methodology &amp; Assumptions'!$B$5*V569) + ('Methodology &amp; Assumptions'!$B$6*W569), 2)</f>
        <v/>
      </c>
      <c r="Y569" s="28" t="n">
        <v>10.9</v>
      </c>
      <c r="Z569" s="11" t="inlineStr">
        <is>
          <t>Priority Tier 2 (Balanced Opportunity)</t>
        </is>
      </c>
    </row>
    <row r="570">
      <c r="A570" s="23" t="n">
        <v>2</v>
      </c>
      <c r="B570" s="23" t="n">
        <v>566</v>
      </c>
      <c r="C570" s="23" t="n">
        <v>1566</v>
      </c>
      <c r="D570" s="23" t="inlineStr">
        <is>
          <t>1705320031</t>
        </is>
      </c>
      <c r="E570" s="11" t="inlineStr">
        <is>
          <t>MIMAROPA Region</t>
        </is>
      </c>
      <c r="F570" s="11" t="inlineStr">
        <is>
          <t>Palawan</t>
        </is>
      </c>
      <c r="G570" s="11" t="inlineStr">
        <is>
          <t>Taytay</t>
        </is>
      </c>
      <c r="H570" s="11" t="inlineStr">
        <is>
          <t>Paglaum</t>
        </is>
      </c>
      <c r="I570" s="24" t="n">
        <v>10.653937</v>
      </c>
      <c r="J570" s="24" t="n">
        <v>119.503849</v>
      </c>
      <c r="K570" s="23" t="inlineStr">
        <is>
          <t>R</t>
        </is>
      </c>
      <c r="L570" s="25" t="n">
        <v>2540</v>
      </c>
      <c r="M570" s="26" t="n">
        <v>3.9</v>
      </c>
      <c r="N570" s="25">
        <f>ROUND(L570/M570, 0)</f>
        <v/>
      </c>
      <c r="O570" s="25">
        <f>ROUND(N570*'Methodology &amp; Assumptions'!$B$7, 0)</f>
        <v/>
      </c>
      <c r="P570" s="23" t="inlineStr">
        <is>
          <t>Single Carrier (Band n50, 100MHz TDD)</t>
        </is>
      </c>
      <c r="Q570" s="27">
        <f>ROUNDUP(O570/'Methodology &amp; Assumptions'!$B$8, 0)</f>
        <v/>
      </c>
      <c r="R570" s="27" t="n">
        <v>1</v>
      </c>
      <c r="S570" s="26" t="n">
        <v>6.68</v>
      </c>
      <c r="T570" s="26" t="n">
        <v>4.9</v>
      </c>
      <c r="U570" s="11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26" t="n">
        <v>61.77</v>
      </c>
      <c r="W570" s="26" t="n">
        <v>65.17</v>
      </c>
      <c r="X570" s="26">
        <f>ROUND(('Methodology &amp; Assumptions'!$B$5*V570) + ('Methodology &amp; Assumptions'!$B$6*W570), 2)</f>
        <v/>
      </c>
      <c r="Y570" s="28" t="n">
        <v>15</v>
      </c>
      <c r="Z570" s="11" t="inlineStr">
        <is>
          <t>Priority Tier 2 (Balanced Opportunity)</t>
        </is>
      </c>
    </row>
    <row r="571">
      <c r="A571" s="23" t="n">
        <v>2</v>
      </c>
      <c r="B571" s="23" t="n">
        <v>567</v>
      </c>
      <c r="C571" s="23" t="n">
        <v>1567</v>
      </c>
      <c r="D571" s="23" t="inlineStr">
        <is>
          <t>0306910025</t>
        </is>
      </c>
      <c r="E571" s="11" t="inlineStr">
        <is>
          <t>Region III (Central Luzon)</t>
        </is>
      </c>
      <c r="F571" s="11" t="inlineStr">
        <is>
          <t>Tarlac</t>
        </is>
      </c>
      <c r="G571" s="11" t="inlineStr">
        <is>
          <t>Paniqui</t>
        </is>
      </c>
      <c r="H571" s="11" t="inlineStr">
        <is>
          <t>Poblacion Sur</t>
        </is>
      </c>
      <c r="I571" s="24" t="n">
        <v>15.665556</v>
      </c>
      <c r="J571" s="24" t="n">
        <v>120.5825</v>
      </c>
      <c r="K571" s="23" t="inlineStr">
        <is>
          <t>U</t>
        </is>
      </c>
      <c r="L571" s="25" t="n">
        <v>4922</v>
      </c>
      <c r="M571" s="26" t="n">
        <v>3.9</v>
      </c>
      <c r="N571" s="25">
        <f>ROUND(L571/M571, 0)</f>
        <v/>
      </c>
      <c r="O571" s="25">
        <f>ROUND(N571*'Methodology &amp; Assumptions'!$B$7, 0)</f>
        <v/>
      </c>
      <c r="P571" s="23" t="inlineStr">
        <is>
          <t>Single Carrier (Band n50, 100MHz TDD)</t>
        </is>
      </c>
      <c r="Q571" s="27">
        <f>ROUNDUP(O571/'Methodology &amp; Assumptions'!$B$8, 0)</f>
        <v/>
      </c>
      <c r="R571" s="27" t="n">
        <v>1</v>
      </c>
      <c r="S571" s="26" t="n">
        <v>0.5600000000000001</v>
      </c>
      <c r="T571" s="26" t="n">
        <v>0.49</v>
      </c>
      <c r="U571" s="11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26" t="n">
        <v>78.43000000000001</v>
      </c>
      <c r="W571" s="26" t="n">
        <v>48.48</v>
      </c>
      <c r="X571" s="26">
        <f>ROUND(('Methodology &amp; Assumptions'!$B$5*V571) + ('Methodology &amp; Assumptions'!$B$6*W571), 2)</f>
        <v/>
      </c>
      <c r="Y571" s="28" t="n">
        <v>8.300000000000001</v>
      </c>
      <c r="Z571" s="11" t="inlineStr">
        <is>
          <t>Priority Tier 2 (Balanced Opportunity)</t>
        </is>
      </c>
    </row>
    <row r="572">
      <c r="A572" s="23" t="n">
        <v>2</v>
      </c>
      <c r="B572" s="23" t="n">
        <v>568</v>
      </c>
      <c r="C572" s="23" t="n">
        <v>1568</v>
      </c>
      <c r="D572" s="23" t="inlineStr">
        <is>
          <t>0402123011</t>
        </is>
      </c>
      <c r="E572" s="11" t="inlineStr">
        <is>
          <t>Region IV-A (CALABARZON)</t>
        </is>
      </c>
      <c r="F572" s="11" t="inlineStr">
        <is>
          <t>Cavite</t>
        </is>
      </c>
      <c r="G572" s="11" t="inlineStr">
        <is>
          <t>Gen. Mariano Alvarez</t>
        </is>
      </c>
      <c r="H572" s="11" t="inlineStr">
        <is>
          <t>Francisco Reyes</t>
        </is>
      </c>
      <c r="I572" s="24" t="n">
        <v>14.328639</v>
      </c>
      <c r="J572" s="24" t="n">
        <v>121.03268</v>
      </c>
      <c r="K572" s="23" t="inlineStr">
        <is>
          <t>U</t>
        </is>
      </c>
      <c r="L572" s="25" t="n">
        <v>8348</v>
      </c>
      <c r="M572" s="26" t="n">
        <v>3.4</v>
      </c>
      <c r="N572" s="25">
        <f>ROUND(L572/M572, 0)</f>
        <v/>
      </c>
      <c r="O572" s="25">
        <f>ROUND(N572*'Methodology &amp; Assumptions'!$B$7, 0)</f>
        <v/>
      </c>
      <c r="P572" s="23" t="inlineStr">
        <is>
          <t>Single Carrier (Band n50, 100MHz TDD)</t>
        </is>
      </c>
      <c r="Q572" s="27">
        <f>ROUNDUP(O572/'Methodology &amp; Assumptions'!$B$8, 0)</f>
        <v/>
      </c>
      <c r="R572" s="27" t="n">
        <v>1</v>
      </c>
      <c r="S572" s="26" t="n">
        <v>1.94</v>
      </c>
      <c r="T572" s="26" t="n">
        <v>1.96</v>
      </c>
      <c r="U572" s="11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26" t="n">
        <v>74.23</v>
      </c>
      <c r="W572" s="26" t="n">
        <v>52.69</v>
      </c>
      <c r="X572" s="26">
        <f>ROUND(('Methodology &amp; Assumptions'!$B$5*V572) + ('Methodology &amp; Assumptions'!$B$6*W572), 2)</f>
        <v/>
      </c>
      <c r="Y572" s="28" t="n">
        <v>7.2</v>
      </c>
      <c r="Z572" s="11" t="inlineStr">
        <is>
          <t>Priority Tier 2 (Balanced Opportunity)</t>
        </is>
      </c>
    </row>
    <row r="573">
      <c r="A573" s="23" t="n">
        <v>2</v>
      </c>
      <c r="B573" s="23" t="n">
        <v>569</v>
      </c>
      <c r="C573" s="23" t="n">
        <v>1569</v>
      </c>
      <c r="D573" s="23" t="inlineStr">
        <is>
          <t>0405647010</t>
        </is>
      </c>
      <c r="E573" s="11" t="inlineStr">
        <is>
          <t>Region IV-A (CALABARZON)</t>
        </is>
      </c>
      <c r="F573" s="11" t="inlineStr">
        <is>
          <t>Quezon</t>
        </is>
      </c>
      <c r="G573" s="11" t="inlineStr">
        <is>
          <t>City of Tayabas</t>
        </is>
      </c>
      <c r="H573" s="11" t="inlineStr">
        <is>
          <t>Angustias Zone IV</t>
        </is>
      </c>
      <c r="I573" s="24" t="n">
        <v>14.032091</v>
      </c>
      <c r="J573" s="24" t="n">
        <v>121.588481</v>
      </c>
      <c r="K573" s="23" t="inlineStr">
        <is>
          <t>R</t>
        </is>
      </c>
      <c r="L573" s="25" t="n">
        <v>1208</v>
      </c>
      <c r="M573" s="26" t="n">
        <v>3.8</v>
      </c>
      <c r="N573" s="25">
        <f>ROUND(L573/M573, 0)</f>
        <v/>
      </c>
      <c r="O573" s="25">
        <f>ROUND(N573*'Methodology &amp; Assumptions'!$B$7, 0)</f>
        <v/>
      </c>
      <c r="P573" s="23" t="inlineStr">
        <is>
          <t>Single Carrier (Band n50, 100MHz TDD)</t>
        </is>
      </c>
      <c r="Q573" s="27">
        <f>ROUNDUP(O573/'Methodology &amp; Assumptions'!$B$8, 0)</f>
        <v/>
      </c>
      <c r="R573" s="27" t="n">
        <v>1</v>
      </c>
      <c r="S573" s="26" t="n">
        <v>1.07</v>
      </c>
      <c r="T573" s="26" t="n">
        <v>0.06</v>
      </c>
      <c r="U573" s="11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26" t="n">
        <v>68.29000000000001</v>
      </c>
      <c r="W573" s="26" t="n">
        <v>58.63</v>
      </c>
      <c r="X573" s="26">
        <f>ROUND(('Methodology &amp; Assumptions'!$B$5*V573) + ('Methodology &amp; Assumptions'!$B$6*W573), 2)</f>
        <v/>
      </c>
      <c r="Y573" s="28" t="n">
        <v>7.2</v>
      </c>
      <c r="Z573" s="11" t="inlineStr">
        <is>
          <t>Priority Tier 2 (Balanced Opportunity)</t>
        </is>
      </c>
    </row>
    <row r="574">
      <c r="A574" s="23" t="n">
        <v>2</v>
      </c>
      <c r="B574" s="23" t="n">
        <v>570</v>
      </c>
      <c r="C574" s="23" t="n">
        <v>1570</v>
      </c>
      <c r="D574" s="23" t="inlineStr">
        <is>
          <t>0604515020</t>
        </is>
      </c>
      <c r="E574" s="11" t="inlineStr">
        <is>
          <t>Region VI (Western Visayas)</t>
        </is>
      </c>
      <c r="F574" s="11" t="inlineStr">
        <is>
          <t>Negros Occidental</t>
        </is>
      </c>
      <c r="G574" s="11" t="inlineStr">
        <is>
          <t>City of Kabankalan</t>
        </is>
      </c>
      <c r="H574" s="11" t="inlineStr">
        <is>
          <t>Barangay 9</t>
        </is>
      </c>
      <c r="I574" s="24" t="n">
        <v>9.983831</v>
      </c>
      <c r="J574" s="24" t="n">
        <v>122.818116</v>
      </c>
      <c r="K574" s="23" t="inlineStr">
        <is>
          <t>R</t>
        </is>
      </c>
      <c r="L574" s="25" t="n">
        <v>3197</v>
      </c>
      <c r="M574" s="26" t="n">
        <v>3.7</v>
      </c>
      <c r="N574" s="25">
        <f>ROUND(L574/M574, 0)</f>
        <v/>
      </c>
      <c r="O574" s="25">
        <f>ROUND(N574*'Methodology &amp; Assumptions'!$B$7, 0)</f>
        <v/>
      </c>
      <c r="P574" s="23" t="inlineStr">
        <is>
          <t>Single Carrier (Band n50, 100MHz TDD)</t>
        </is>
      </c>
      <c r="Q574" s="27">
        <f>ROUNDUP(O574/'Methodology &amp; Assumptions'!$B$8, 0)</f>
        <v/>
      </c>
      <c r="R574" s="27" t="n">
        <v>1</v>
      </c>
      <c r="S574" s="26" t="n">
        <v>0.99</v>
      </c>
      <c r="T574" s="26" t="n">
        <v>0.2</v>
      </c>
      <c r="U574" s="11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26" t="n">
        <v>87.16</v>
      </c>
      <c r="W574" s="26" t="n">
        <v>39.75</v>
      </c>
      <c r="X574" s="26">
        <f>ROUND(('Methodology &amp; Assumptions'!$B$5*V574) + ('Methodology &amp; Assumptions'!$B$6*W574), 2)</f>
        <v/>
      </c>
      <c r="Y574" s="28" t="n">
        <v>23.7</v>
      </c>
      <c r="Z574" s="11" t="inlineStr">
        <is>
          <t>Priority Tier 2 (Balanced Opportunity)</t>
        </is>
      </c>
    </row>
    <row r="575">
      <c r="A575" s="23" t="n">
        <v>2</v>
      </c>
      <c r="B575" s="23" t="n">
        <v>571</v>
      </c>
      <c r="C575" s="23" t="n">
        <v>1571</v>
      </c>
      <c r="D575" s="23" t="inlineStr">
        <is>
          <t>0401003029</t>
        </is>
      </c>
      <c r="E575" s="11" t="inlineStr">
        <is>
          <t>Region IV-A (CALABARZON)</t>
        </is>
      </c>
      <c r="F575" s="11" t="inlineStr">
        <is>
          <t>Batangas</t>
        </is>
      </c>
      <c r="G575" s="11" t="inlineStr">
        <is>
          <t>Balayan</t>
        </is>
      </c>
      <c r="H575" s="11" t="inlineStr">
        <is>
          <t>Gumamela</t>
        </is>
      </c>
      <c r="I575" s="24" t="n">
        <v>13.9458</v>
      </c>
      <c r="J575" s="24" t="n">
        <v>120.7434</v>
      </c>
      <c r="K575" s="23" t="inlineStr">
        <is>
          <t>R</t>
        </is>
      </c>
      <c r="L575" s="25" t="n">
        <v>3142</v>
      </c>
      <c r="M575" s="26" t="n">
        <v>3.6</v>
      </c>
      <c r="N575" s="25">
        <f>ROUND(L575/M575, 0)</f>
        <v/>
      </c>
      <c r="O575" s="25">
        <f>ROUND(N575*'Methodology &amp; Assumptions'!$B$7, 0)</f>
        <v/>
      </c>
      <c r="P575" s="23" t="inlineStr">
        <is>
          <t>Single Carrier (Band n50, 100MHz TDD)</t>
        </is>
      </c>
      <c r="Q575" s="27">
        <f>ROUNDUP(O575/'Methodology &amp; Assumptions'!$B$8, 0)</f>
        <v/>
      </c>
      <c r="R575" s="27" t="n">
        <v>1</v>
      </c>
      <c r="S575" s="26" t="n">
        <v>1.67</v>
      </c>
      <c r="T575" s="26" t="n">
        <v>0.06</v>
      </c>
      <c r="U575" s="11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26" t="n">
        <v>82.36</v>
      </c>
      <c r="W575" s="26" t="n">
        <v>44.55</v>
      </c>
      <c r="X575" s="26">
        <f>ROUND(('Methodology &amp; Assumptions'!$B$5*V575) + ('Methodology &amp; Assumptions'!$B$6*W575), 2)</f>
        <v/>
      </c>
      <c r="Y575" s="28" t="n">
        <v>7.2</v>
      </c>
      <c r="Z575" s="11" t="inlineStr">
        <is>
          <t>Priority Tier 2 (Balanced Opportunity)</t>
        </is>
      </c>
    </row>
    <row r="576">
      <c r="A576" s="23" t="n">
        <v>2</v>
      </c>
      <c r="B576" s="23" t="n">
        <v>572</v>
      </c>
      <c r="C576" s="23" t="n">
        <v>1572</v>
      </c>
      <c r="D576" s="23" t="inlineStr">
        <is>
          <t>1381300049</t>
        </is>
      </c>
      <c r="E576" s="11" t="inlineStr">
        <is>
          <t>National Capital Region (NCR)</t>
        </is>
      </c>
      <c r="F576" s="11" t="inlineStr">
        <is>
          <t>Second District (Not a Province)</t>
        </is>
      </c>
      <c r="G576" s="11" t="inlineStr">
        <is>
          <t>Quezon City</t>
        </is>
      </c>
      <c r="H576" s="11" t="inlineStr">
        <is>
          <t>Katipunan</t>
        </is>
      </c>
      <c r="I576" s="24" t="n">
        <v>14.65576</v>
      </c>
      <c r="J576" s="24" t="n">
        <v>121.0176</v>
      </c>
      <c r="K576" s="23" t="inlineStr">
        <is>
          <t>U</t>
        </is>
      </c>
      <c r="L576" s="25" t="n">
        <v>10837</v>
      </c>
      <c r="M576" s="26" t="n">
        <v>4.29</v>
      </c>
      <c r="N576" s="25">
        <f>ROUND(L576/M576, 0)</f>
        <v/>
      </c>
      <c r="O576" s="25">
        <f>ROUND(N576*'Methodology &amp; Assumptions'!$B$7, 0)</f>
        <v/>
      </c>
      <c r="P576" s="23" t="inlineStr">
        <is>
          <t>Single Carrier (Band n50, 100MHz TDD)</t>
        </is>
      </c>
      <c r="Q576" s="27">
        <f>ROUNDUP(O576/'Methodology &amp; Assumptions'!$B$8, 0)</f>
        <v/>
      </c>
      <c r="R576" s="27" t="n">
        <v>1</v>
      </c>
      <c r="S576" s="26" t="n">
        <v>0.82</v>
      </c>
      <c r="T576" s="26" t="n">
        <v>0.15</v>
      </c>
      <c r="U576" s="11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26" t="n">
        <v>69.09</v>
      </c>
      <c r="W576" s="26" t="n">
        <v>57.8</v>
      </c>
      <c r="X576" s="26">
        <f>ROUND(('Methodology &amp; Assumptions'!$B$5*V576) + ('Methodology &amp; Assumptions'!$B$6*W576), 2)</f>
        <v/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2</v>
      </c>
      <c r="B577" s="23" t="n">
        <v>573</v>
      </c>
      <c r="C577" s="23" t="n">
        <v>1573</v>
      </c>
      <c r="D577" s="23" t="inlineStr">
        <is>
          <t>0401019045</t>
        </is>
      </c>
      <c r="E577" s="11" t="inlineStr">
        <is>
          <t>Region IV-A (CALABARZON)</t>
        </is>
      </c>
      <c r="F577" s="11" t="inlineStr">
        <is>
          <t>Batangas</t>
        </is>
      </c>
      <c r="G577" s="11" t="inlineStr">
        <is>
          <t>Nasugbu</t>
        </is>
      </c>
      <c r="H577" s="11" t="inlineStr">
        <is>
          <t>Talangan</t>
        </is>
      </c>
      <c r="I577" s="24" t="n">
        <v>14.084692</v>
      </c>
      <c r="J577" s="24" t="n">
        <v>120.635809</v>
      </c>
      <c r="K577" s="23" t="inlineStr">
        <is>
          <t>R</t>
        </is>
      </c>
      <c r="L577" s="25" t="n">
        <v>2844</v>
      </c>
      <c r="M577" s="26" t="n">
        <v>3.6</v>
      </c>
      <c r="N577" s="25">
        <f>ROUND(L577/M577, 0)</f>
        <v/>
      </c>
      <c r="O577" s="25">
        <f>ROUND(N577*'Methodology &amp; Assumptions'!$B$7, 0)</f>
        <v/>
      </c>
      <c r="P577" s="23" t="inlineStr">
        <is>
          <t>Single Carrier (Band n50, 100MHz TDD)</t>
        </is>
      </c>
      <c r="Q577" s="27">
        <f>ROUNDUP(O577/'Methodology &amp; Assumptions'!$B$8, 0)</f>
        <v/>
      </c>
      <c r="R577" s="27" t="n">
        <v>1</v>
      </c>
      <c r="S577" s="26" t="n">
        <v>1.56</v>
      </c>
      <c r="T577" s="26" t="n">
        <v>0.92</v>
      </c>
      <c r="U577" s="11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26" t="n">
        <v>81.93000000000001</v>
      </c>
      <c r="W577" s="26" t="n">
        <v>44.94</v>
      </c>
      <c r="X577" s="26">
        <f>ROUND(('Methodology &amp; Assumptions'!$B$5*V577) + ('Methodology &amp; Assumptions'!$B$6*W577), 2)</f>
        <v/>
      </c>
      <c r="Y577" s="28" t="n">
        <v>7.2</v>
      </c>
      <c r="Z577" s="11" t="inlineStr">
        <is>
          <t>Priority Tier 2 (Balanced Opportunity)</t>
        </is>
      </c>
    </row>
    <row r="578">
      <c r="A578" s="23" t="n">
        <v>2</v>
      </c>
      <c r="B578" s="23" t="n">
        <v>574</v>
      </c>
      <c r="C578" s="23" t="n">
        <v>1574</v>
      </c>
      <c r="D578" s="23" t="inlineStr">
        <is>
          <t>1380610013</t>
        </is>
      </c>
      <c r="E578" s="11" t="inlineStr">
        <is>
          <t>National Capital Region (NCR)</t>
        </is>
      </c>
      <c r="F578" s="11" t="inlineStr">
        <is>
          <t>First District (Not a Province)</t>
        </is>
      </c>
      <c r="G578" s="11" t="inlineStr">
        <is>
          <t>City of Manila</t>
        </is>
      </c>
      <c r="H578" s="11" t="inlineStr">
        <is>
          <t>Barangay 698</t>
        </is>
      </c>
      <c r="I578" s="24" t="n">
        <v>14.572385</v>
      </c>
      <c r="J578" s="24" t="n">
        <v>120.985691</v>
      </c>
      <c r="K578" s="23" t="inlineStr">
        <is>
          <t>U</t>
        </is>
      </c>
      <c r="L578" s="25" t="n">
        <v>1759</v>
      </c>
      <c r="M578" s="26" t="n">
        <v>3.17</v>
      </c>
      <c r="N578" s="25">
        <f>ROUND(L578/M578, 0)</f>
        <v/>
      </c>
      <c r="O578" s="25">
        <f>ROUND(N578*'Methodology &amp; Assumptions'!$B$7, 0)</f>
        <v/>
      </c>
      <c r="P578" s="23" t="inlineStr">
        <is>
          <t>Single Carrier (Band n50, 100MHz TDD)</t>
        </is>
      </c>
      <c r="Q578" s="27">
        <f>ROUNDUP(O578/'Methodology &amp; Assumptions'!$B$8, 0)</f>
        <v/>
      </c>
      <c r="R578" s="27" t="n">
        <v>1</v>
      </c>
      <c r="S578" s="26" t="n">
        <v>0.92</v>
      </c>
      <c r="T578" s="26" t="n">
        <v>0.48</v>
      </c>
      <c r="U578" s="11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26" t="n">
        <v>58.57</v>
      </c>
      <c r="W578" s="26" t="n">
        <v>68.3</v>
      </c>
      <c r="X578" s="26">
        <f>ROUND(('Methodology &amp; Assumptions'!$B$5*V578) + ('Methodology &amp; Assumptions'!$B$6*W578), 2)</f>
        <v/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2</v>
      </c>
      <c r="B579" s="23" t="n">
        <v>575</v>
      </c>
      <c r="C579" s="23" t="n">
        <v>1575</v>
      </c>
      <c r="D579" s="23" t="inlineStr">
        <is>
          <t>0103315012</t>
        </is>
      </c>
      <c r="E579" s="11" t="inlineStr">
        <is>
          <t>Region I (Ilocos Region)</t>
        </is>
      </c>
      <c r="F579" s="11" t="inlineStr">
        <is>
          <t>La Union</t>
        </is>
      </c>
      <c r="G579" s="11" t="inlineStr">
        <is>
          <t>San Gabriel</t>
        </is>
      </c>
      <c r="H579" s="11" t="inlineStr">
        <is>
          <t>Lacong</t>
        </is>
      </c>
      <c r="I579" s="24" t="n">
        <v>16.720407</v>
      </c>
      <c r="J579" s="24" t="n">
        <v>120.414512</v>
      </c>
      <c r="K579" s="23" t="inlineStr">
        <is>
          <t>R</t>
        </is>
      </c>
      <c r="L579" s="25" t="n">
        <v>1545</v>
      </c>
      <c r="M579" s="26" t="n">
        <v>3.7</v>
      </c>
      <c r="N579" s="25">
        <f>ROUND(L579/M579, 0)</f>
        <v/>
      </c>
      <c r="O579" s="25">
        <f>ROUND(N579*'Methodology &amp; Assumptions'!$B$7, 0)</f>
        <v/>
      </c>
      <c r="P579" s="23" t="inlineStr">
        <is>
          <t>Single Carrier (Band n50, 100MHz TDD)</t>
        </is>
      </c>
      <c r="Q579" s="27">
        <f>ROUNDUP(O579/'Methodology &amp; Assumptions'!$B$8, 0)</f>
        <v/>
      </c>
      <c r="R579" s="27" t="n">
        <v>1</v>
      </c>
      <c r="S579" s="26" t="n">
        <v>5.22</v>
      </c>
      <c r="T579" s="26" t="n">
        <v>4.46</v>
      </c>
      <c r="U579" s="11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26" t="n">
        <v>57.22</v>
      </c>
      <c r="W579" s="26" t="n">
        <v>69.66</v>
      </c>
      <c r="X579" s="26">
        <f>ROUND(('Methodology &amp; Assumptions'!$B$5*V579) + ('Methodology &amp; Assumptions'!$B$6*W579), 2)</f>
        <v/>
      </c>
      <c r="Y579" s="28" t="n">
        <v>8.300000000000001</v>
      </c>
      <c r="Z579" s="11" t="inlineStr">
        <is>
          <t>Priority Tier 2 (Balanced Opportunity)</t>
        </is>
      </c>
    </row>
    <row r="580">
      <c r="A580" s="23" t="n">
        <v>2</v>
      </c>
      <c r="B580" s="23" t="n">
        <v>576</v>
      </c>
      <c r="C580" s="23" t="n">
        <v>1576</v>
      </c>
      <c r="D580" s="23" t="inlineStr">
        <is>
          <t>1381100044</t>
        </is>
      </c>
      <c r="E580" s="11" t="inlineStr">
        <is>
          <t>National Capital Region (NCR)</t>
        </is>
      </c>
      <c r="F580" s="11" t="inlineStr">
        <is>
          <t>Fourth District (Not a Province)</t>
        </is>
      </c>
      <c r="G580" s="11" t="inlineStr">
        <is>
          <t>Pasay City</t>
        </is>
      </c>
      <c r="H580" s="11" t="inlineStr">
        <is>
          <t>Barangay 44</t>
        </is>
      </c>
      <c r="I580" s="24" t="n">
        <v>14.557749</v>
      </c>
      <c r="J580" s="24" t="n">
        <v>120.997278</v>
      </c>
      <c r="K580" s="23" t="inlineStr">
        <is>
          <t>U</t>
        </is>
      </c>
      <c r="L580" s="25" t="n">
        <v>1506</v>
      </c>
      <c r="M580" s="26" t="n">
        <v>3.27</v>
      </c>
      <c r="N580" s="25">
        <f>ROUND(L580/M580, 0)</f>
        <v/>
      </c>
      <c r="O580" s="25">
        <f>ROUND(N580*'Methodology &amp; Assumptions'!$B$7, 0)</f>
        <v/>
      </c>
      <c r="P580" s="23" t="inlineStr">
        <is>
          <t>Single Carrier (Band n50, 100MHz TDD)</t>
        </is>
      </c>
      <c r="Q580" s="27">
        <f>ROUNDUP(O580/'Methodology &amp; Assumptions'!$B$8, 0)</f>
        <v/>
      </c>
      <c r="R580" s="27" t="n">
        <v>1</v>
      </c>
      <c r="S580" s="26" t="n">
        <v>0.78</v>
      </c>
      <c r="T580" s="26" t="n">
        <v>0.11</v>
      </c>
      <c r="U580" s="11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26" t="n">
        <v>55.87</v>
      </c>
      <c r="W580" s="26" t="n">
        <v>71.01000000000001</v>
      </c>
      <c r="X580" s="26">
        <f>ROUND(('Methodology &amp; Assumptions'!$B$5*V580) + ('Methodology &amp; Assumptions'!$B$6*W580), 2)</f>
        <v/>
      </c>
      <c r="Y580" s="28" t="n">
        <v>10.9</v>
      </c>
      <c r="Z580" s="11" t="inlineStr">
        <is>
          <t>Priority Tier 2 (Balanced Opportunity)</t>
        </is>
      </c>
    </row>
    <row r="581">
      <c r="A581" s="23" t="n">
        <v>2</v>
      </c>
      <c r="B581" s="23" t="n">
        <v>577</v>
      </c>
      <c r="C581" s="23" t="n">
        <v>1577</v>
      </c>
      <c r="D581" s="23" t="inlineStr">
        <is>
          <t>0403421004</t>
        </is>
      </c>
      <c r="E581" s="11" t="inlineStr">
        <is>
          <t>Region IV-A (CALABARZON)</t>
        </is>
      </c>
      <c r="F581" s="11" t="inlineStr">
        <is>
          <t>Laguna</t>
        </is>
      </c>
      <c r="G581" s="11" t="inlineStr">
        <is>
          <t>Pangil</t>
        </is>
      </c>
      <c r="H581" s="11" t="inlineStr">
        <is>
          <t>Isla</t>
        </is>
      </c>
      <c r="I581" s="24" t="n">
        <v>14.400415</v>
      </c>
      <c r="J581" s="24" t="n">
        <v>121.469639</v>
      </c>
      <c r="K581" s="23" t="inlineStr">
        <is>
          <t>R</t>
        </is>
      </c>
      <c r="L581" s="25" t="n">
        <v>3151</v>
      </c>
      <c r="M581" s="26" t="n">
        <v>3.3</v>
      </c>
      <c r="N581" s="25">
        <f>ROUND(L581/M581, 0)</f>
        <v/>
      </c>
      <c r="O581" s="25">
        <f>ROUND(N581*'Methodology &amp; Assumptions'!$B$7, 0)</f>
        <v/>
      </c>
      <c r="P581" s="23" t="inlineStr">
        <is>
          <t>Single Carrier (Band n50, 100MHz TDD)</t>
        </is>
      </c>
      <c r="Q581" s="27">
        <f>ROUNDUP(O581/'Methodology &amp; Assumptions'!$B$8, 0)</f>
        <v/>
      </c>
      <c r="R581" s="27" t="n">
        <v>1</v>
      </c>
      <c r="S581" s="26" t="n">
        <v>0.96</v>
      </c>
      <c r="T581" s="26" t="n">
        <v>0.57</v>
      </c>
      <c r="U581" s="11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26" t="n">
        <v>85.01000000000001</v>
      </c>
      <c r="W581" s="26" t="n">
        <v>41.85</v>
      </c>
      <c r="X581" s="26">
        <f>ROUND(('Methodology &amp; Assumptions'!$B$5*V581) + ('Methodology &amp; Assumptions'!$B$6*W581), 2)</f>
        <v/>
      </c>
      <c r="Y581" s="28" t="n">
        <v>7.2</v>
      </c>
      <c r="Z581" s="11" t="inlineStr">
        <is>
          <t>Priority Tier 2 (Balanced Opportunity)</t>
        </is>
      </c>
    </row>
    <row r="582">
      <c r="A582" s="23" t="n">
        <v>2</v>
      </c>
      <c r="B582" s="23" t="n">
        <v>578</v>
      </c>
      <c r="C582" s="23" t="n">
        <v>1578</v>
      </c>
      <c r="D582" s="23" t="inlineStr">
        <is>
          <t>1381200006</t>
        </is>
      </c>
      <c r="E582" s="11" t="inlineStr">
        <is>
          <t>National Capital Region (NCR)</t>
        </is>
      </c>
      <c r="F582" s="11" t="inlineStr">
        <is>
          <t>Second District (Not a Province)</t>
        </is>
      </c>
      <c r="G582" s="11" t="inlineStr">
        <is>
          <t>City of Pasig</t>
        </is>
      </c>
      <c r="H582" s="11" t="inlineStr">
        <is>
          <t>Dela Paz</t>
        </is>
      </c>
      <c r="I582" s="24" t="n">
        <v>14.613529</v>
      </c>
      <c r="J582" s="24" t="n">
        <v>121.095783</v>
      </c>
      <c r="K582" s="23" t="inlineStr">
        <is>
          <t>U</t>
        </is>
      </c>
      <c r="L582" s="25" t="n">
        <v>20484</v>
      </c>
      <c r="M582" s="26" t="n">
        <v>3.21</v>
      </c>
      <c r="N582" s="25">
        <f>ROUND(L582/M582, 0)</f>
        <v/>
      </c>
      <c r="O582" s="25">
        <f>ROUND(N582*'Methodology &amp; Assumptions'!$B$7, 0)</f>
        <v/>
      </c>
      <c r="P582" s="23" t="inlineStr">
        <is>
          <t>Single Carrier (Band n50, 100MHz TDD)</t>
        </is>
      </c>
      <c r="Q582" s="27">
        <f>ROUNDUP(O582/'Methodology &amp; Assumptions'!$B$8, 0)</f>
        <v/>
      </c>
      <c r="R582" s="27" t="n">
        <v>1</v>
      </c>
      <c r="S582" s="26" t="n">
        <v>1.59</v>
      </c>
      <c r="T582" s="26" t="n">
        <v>0.05</v>
      </c>
      <c r="U582" s="11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26" t="n">
        <v>65.25</v>
      </c>
      <c r="W582" s="26" t="n">
        <v>61.62</v>
      </c>
      <c r="X582" s="26">
        <f>ROUND(('Methodology &amp; Assumptions'!$B$5*V582) + ('Methodology &amp; Assumptions'!$B$6*W582), 2)</f>
        <v/>
      </c>
      <c r="Y582" s="28" t="n">
        <v>10.9</v>
      </c>
      <c r="Z582" s="11" t="inlineStr">
        <is>
          <t>Priority Tier 2 (Balanced Opportunity)</t>
        </is>
      </c>
    </row>
    <row r="583">
      <c r="A583" s="23" t="n">
        <v>2</v>
      </c>
      <c r="B583" s="23" t="n">
        <v>579</v>
      </c>
      <c r="C583" s="23" t="n">
        <v>1579</v>
      </c>
      <c r="D583" s="23" t="inlineStr">
        <is>
          <t>1380200006</t>
        </is>
      </c>
      <c r="E583" s="11" t="inlineStr">
        <is>
          <t>National Capital Region (NCR)</t>
        </is>
      </c>
      <c r="F583" s="11" t="inlineStr">
        <is>
          <t>Fourth District (Not a Province)</t>
        </is>
      </c>
      <c r="G583" s="11" t="inlineStr">
        <is>
          <t>City of Las Piñas</t>
        </is>
      </c>
      <c r="H583" s="11" t="inlineStr">
        <is>
          <t>Pamplona Uno</t>
        </is>
      </c>
      <c r="I583" s="24" t="n">
        <v>14.458431</v>
      </c>
      <c r="J583" s="24" t="n">
        <v>120.970211</v>
      </c>
      <c r="K583" s="23" t="inlineStr">
        <is>
          <t>U</t>
        </is>
      </c>
      <c r="L583" s="25" t="n">
        <v>19658</v>
      </c>
      <c r="M583" s="26" t="n">
        <v>3.72</v>
      </c>
      <c r="N583" s="25">
        <f>ROUND(L583/M583, 0)</f>
        <v/>
      </c>
      <c r="O583" s="25">
        <f>ROUND(N583*'Methodology &amp; Assumptions'!$B$7, 0)</f>
        <v/>
      </c>
      <c r="P583" s="23" t="inlineStr">
        <is>
          <t>Single Carrier (Band n50, 100MHz TDD)</t>
        </is>
      </c>
      <c r="Q583" s="27">
        <f>ROUNDUP(O583/'Methodology &amp; Assumptions'!$B$8, 0)</f>
        <v/>
      </c>
      <c r="R583" s="27" t="n">
        <v>1</v>
      </c>
      <c r="S583" s="26" t="n">
        <v>0.39</v>
      </c>
      <c r="T583" s="26" t="n">
        <v>0.14</v>
      </c>
      <c r="U583" s="11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26" t="n">
        <v>68.52</v>
      </c>
      <c r="W583" s="26" t="n">
        <v>58.32</v>
      </c>
      <c r="X583" s="26">
        <f>ROUND(('Methodology &amp; Assumptions'!$B$5*V583) + ('Methodology &amp; Assumptions'!$B$6*W583), 2)</f>
        <v/>
      </c>
      <c r="Y583" s="28" t="n">
        <v>10.9</v>
      </c>
      <c r="Z583" s="11" t="inlineStr">
        <is>
          <t>Priority Tier 2 (Balanced Opportunity)</t>
        </is>
      </c>
    </row>
    <row r="584">
      <c r="A584" s="23" t="n">
        <v>2</v>
      </c>
      <c r="B584" s="23" t="n">
        <v>580</v>
      </c>
      <c r="C584" s="23" t="n">
        <v>1580</v>
      </c>
      <c r="D584" s="23" t="inlineStr">
        <is>
          <t>1380614077</t>
        </is>
      </c>
      <c r="E584" s="11" t="inlineStr">
        <is>
          <t>National Capital Region (NCR)</t>
        </is>
      </c>
      <c r="F584" s="11" t="inlineStr">
        <is>
          <t>First District (Not a Province)</t>
        </is>
      </c>
      <c r="G584" s="11" t="inlineStr">
        <is>
          <t>City of Manila</t>
        </is>
      </c>
      <c r="H584" s="11" t="inlineStr">
        <is>
          <t>Barangay 884</t>
        </is>
      </c>
      <c r="I584" s="24" t="n">
        <v>14.58072</v>
      </c>
      <c r="J584" s="24" t="n">
        <v>121.0136</v>
      </c>
      <c r="K584" s="23" t="inlineStr">
        <is>
          <t>U</t>
        </is>
      </c>
      <c r="L584" s="25" t="n">
        <v>2341</v>
      </c>
      <c r="M584" s="26" t="n">
        <v>4.17</v>
      </c>
      <c r="N584" s="25">
        <f>ROUND(L584/M584, 0)</f>
        <v/>
      </c>
      <c r="O584" s="25">
        <f>ROUND(N584*'Methodology &amp; Assumptions'!$B$7, 0)</f>
        <v/>
      </c>
      <c r="P584" s="23" t="inlineStr">
        <is>
          <t>Single Carrier (Band n50, 100MHz TDD)</t>
        </is>
      </c>
      <c r="Q584" s="27">
        <f>ROUNDUP(O584/'Methodology &amp; Assumptions'!$B$8, 0)</f>
        <v/>
      </c>
      <c r="R584" s="27" t="n">
        <v>1</v>
      </c>
      <c r="S584" s="26" t="n">
        <v>1.24</v>
      </c>
      <c r="T584" s="26" t="n">
        <v>0.12</v>
      </c>
      <c r="U584" s="11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26" t="n">
        <v>57.69</v>
      </c>
      <c r="W584" s="26" t="n">
        <v>69.16</v>
      </c>
      <c r="X584" s="26">
        <f>ROUND(('Methodology &amp; Assumptions'!$B$5*V584) + ('Methodology &amp; Assumptions'!$B$6*W584), 2)</f>
        <v/>
      </c>
      <c r="Y584" s="28" t="n">
        <v>10.9</v>
      </c>
      <c r="Z584" s="11" t="inlineStr">
        <is>
          <t>Priority Tier 2 (Balanced Opportunity)</t>
        </is>
      </c>
    </row>
    <row r="585">
      <c r="A585" s="23" t="n">
        <v>2</v>
      </c>
      <c r="B585" s="23" t="n">
        <v>581</v>
      </c>
      <c r="C585" s="23" t="n">
        <v>1581</v>
      </c>
      <c r="D585" s="23" t="inlineStr">
        <is>
          <t>1381100098</t>
        </is>
      </c>
      <c r="E585" s="11" t="inlineStr">
        <is>
          <t>National Capital Region (NCR)</t>
        </is>
      </c>
      <c r="F585" s="11" t="inlineStr">
        <is>
          <t>Fourth District (Not a Province)</t>
        </is>
      </c>
      <c r="G585" s="11" t="inlineStr">
        <is>
          <t>Pasay City</t>
        </is>
      </c>
      <c r="H585" s="11" t="inlineStr">
        <is>
          <t>Barangay 98</t>
        </is>
      </c>
      <c r="I585" s="24" t="n">
        <v>14.538674</v>
      </c>
      <c r="J585" s="24" t="n">
        <v>121.002329</v>
      </c>
      <c r="K585" s="23" t="inlineStr">
        <is>
          <t>U</t>
        </is>
      </c>
      <c r="L585" s="25" t="n">
        <v>1411</v>
      </c>
      <c r="M585" s="26" t="n">
        <v>3.1</v>
      </c>
      <c r="N585" s="25">
        <f>ROUND(L585/M585, 0)</f>
        <v/>
      </c>
      <c r="O585" s="25">
        <f>ROUND(N585*'Methodology &amp; Assumptions'!$B$7, 0)</f>
        <v/>
      </c>
      <c r="P585" s="23" t="inlineStr">
        <is>
          <t>Single Carrier (Band n50, 100MHz TDD)</t>
        </is>
      </c>
      <c r="Q585" s="27">
        <f>ROUNDUP(O585/'Methodology &amp; Assumptions'!$B$8, 0)</f>
        <v/>
      </c>
      <c r="R585" s="27" t="n">
        <v>1</v>
      </c>
      <c r="S585" s="26" t="n">
        <v>1.07</v>
      </c>
      <c r="T585" s="26" t="n">
        <v>0.17</v>
      </c>
      <c r="U585" s="11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26" t="n">
        <v>54.77</v>
      </c>
      <c r="W585" s="26" t="n">
        <v>72.06</v>
      </c>
      <c r="X585" s="26">
        <f>ROUND(('Methodology &amp; Assumptions'!$B$5*V585) + ('Methodology &amp; Assumptions'!$B$6*W585), 2)</f>
        <v/>
      </c>
      <c r="Y585" s="28" t="n">
        <v>10.9</v>
      </c>
      <c r="Z585" s="11" t="inlineStr">
        <is>
          <t>Priority Tier 2 (Balanced Opportunity)</t>
        </is>
      </c>
    </row>
    <row r="586">
      <c r="A586" s="23" t="n">
        <v>2</v>
      </c>
      <c r="B586" s="23" t="n">
        <v>582</v>
      </c>
      <c r="C586" s="23" t="n">
        <v>1582</v>
      </c>
      <c r="D586" s="23" t="inlineStr">
        <is>
          <t>0301421050</t>
        </is>
      </c>
      <c r="E586" s="11" t="inlineStr">
        <is>
          <t>Region III (Central Luzon)</t>
        </is>
      </c>
      <c r="F586" s="11" t="inlineStr">
        <is>
          <t>Bulacan</t>
        </is>
      </c>
      <c r="G586" s="11" t="inlineStr">
        <is>
          <t>San Miguel</t>
        </is>
      </c>
      <c r="H586" s="11" t="inlineStr">
        <is>
          <t>Santa Rita Matanda</t>
        </is>
      </c>
      <c r="I586" s="24" t="n">
        <v>15.13001</v>
      </c>
      <c r="J586" s="24" t="n">
        <v>120.958041</v>
      </c>
      <c r="K586" s="23" t="inlineStr">
        <is>
          <t>R</t>
        </is>
      </c>
      <c r="L586" s="25" t="n">
        <v>3118</v>
      </c>
      <c r="M586" s="26" t="n">
        <v>3.5</v>
      </c>
      <c r="N586" s="25">
        <f>ROUND(L586/M586, 0)</f>
        <v/>
      </c>
      <c r="O586" s="25">
        <f>ROUND(N586*'Methodology &amp; Assumptions'!$B$7, 0)</f>
        <v/>
      </c>
      <c r="P586" s="23" t="inlineStr">
        <is>
          <t>Single Carrier (Band n50, 100MHz TDD)</t>
        </is>
      </c>
      <c r="Q586" s="27">
        <f>ROUNDUP(O586/'Methodology &amp; Assumptions'!$B$8, 0)</f>
        <v/>
      </c>
      <c r="R586" s="27" t="n">
        <v>1</v>
      </c>
      <c r="S586" s="26" t="n">
        <v>0.68</v>
      </c>
      <c r="T586" s="26" t="n">
        <v>0.01</v>
      </c>
      <c r="U586" s="11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26" t="n">
        <v>85.63</v>
      </c>
      <c r="W586" s="26" t="n">
        <v>41.18</v>
      </c>
      <c r="X586" s="26">
        <f>ROUND(('Methodology &amp; Assumptions'!$B$5*V586) + ('Methodology &amp; Assumptions'!$B$6*W586), 2)</f>
        <v/>
      </c>
      <c r="Y586" s="28" t="n">
        <v>8.300000000000001</v>
      </c>
      <c r="Z586" s="11" t="inlineStr">
        <is>
          <t>Priority Tier 2 (Balanced Opportunity)</t>
        </is>
      </c>
    </row>
    <row r="587">
      <c r="A587" s="23" t="n">
        <v>2</v>
      </c>
      <c r="B587" s="23" t="n">
        <v>583</v>
      </c>
      <c r="C587" s="23" t="n">
        <v>1583</v>
      </c>
      <c r="D587" s="23" t="inlineStr">
        <is>
          <t>0306916018</t>
        </is>
      </c>
      <c r="E587" s="11" t="inlineStr">
        <is>
          <t>Region III (Central Luzon)</t>
        </is>
      </c>
      <c r="F587" s="11" t="inlineStr">
        <is>
          <t>Tarlac</t>
        </is>
      </c>
      <c r="G587" s="11" t="inlineStr">
        <is>
          <t>City of Tarlac</t>
        </is>
      </c>
      <c r="H587" s="11" t="inlineStr">
        <is>
          <t>Binauganan</t>
        </is>
      </c>
      <c r="I587" s="24" t="n">
        <v>15.476533</v>
      </c>
      <c r="J587" s="24" t="n">
        <v>120.602768</v>
      </c>
      <c r="K587" s="23" t="inlineStr">
        <is>
          <t>U</t>
        </is>
      </c>
      <c r="L587" s="25" t="n">
        <v>6040</v>
      </c>
      <c r="M587" s="26" t="n">
        <v>3.9</v>
      </c>
      <c r="N587" s="25">
        <f>ROUND(L587/M587, 0)</f>
        <v/>
      </c>
      <c r="O587" s="25">
        <f>ROUND(N587*'Methodology &amp; Assumptions'!$B$7, 0)</f>
        <v/>
      </c>
      <c r="P587" s="23" t="inlineStr">
        <is>
          <t>Single Carrier (Band n50, 100MHz TDD)</t>
        </is>
      </c>
      <c r="Q587" s="27">
        <f>ROUNDUP(O587/'Methodology &amp; Assumptions'!$B$8, 0)</f>
        <v/>
      </c>
      <c r="R587" s="27" t="n">
        <v>1</v>
      </c>
      <c r="S587" s="26" t="n">
        <v>1.1</v>
      </c>
      <c r="T587" s="26" t="n">
        <v>0.64</v>
      </c>
      <c r="U587" s="11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26" t="n">
        <v>77.43000000000001</v>
      </c>
      <c r="W587" s="26" t="n">
        <v>49.38</v>
      </c>
      <c r="X587" s="26">
        <f>ROUND(('Methodology &amp; Assumptions'!$B$5*V587) + ('Methodology &amp; Assumptions'!$B$6*W587), 2)</f>
        <v/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2</v>
      </c>
      <c r="B588" s="23" t="n">
        <v>584</v>
      </c>
      <c r="C588" s="23" t="n">
        <v>1584</v>
      </c>
      <c r="D588" s="23" t="inlineStr">
        <is>
          <t>1381300018</t>
        </is>
      </c>
      <c r="E588" s="11" t="inlineStr">
        <is>
          <t>National Capital Region (NCR)</t>
        </is>
      </c>
      <c r="F588" s="11" t="inlineStr">
        <is>
          <t>Second District (Not a Province)</t>
        </is>
      </c>
      <c r="G588" s="11" t="inlineStr">
        <is>
          <t>Quezon City</t>
        </is>
      </c>
      <c r="H588" s="11" t="inlineStr">
        <is>
          <t>Bungad</t>
        </is>
      </c>
      <c r="I588" s="24" t="n">
        <v>14.651059</v>
      </c>
      <c r="J588" s="24" t="n">
        <v>121.024469</v>
      </c>
      <c r="K588" s="23" t="inlineStr">
        <is>
          <t>U</t>
        </is>
      </c>
      <c r="L588" s="25" t="n">
        <v>7791</v>
      </c>
      <c r="M588" s="26" t="n">
        <v>3.85</v>
      </c>
      <c r="N588" s="25">
        <f>ROUND(L588/M588, 0)</f>
        <v/>
      </c>
      <c r="O588" s="25">
        <f>ROUND(N588*'Methodology &amp; Assumptions'!$B$7, 0)</f>
        <v/>
      </c>
      <c r="P588" s="23" t="inlineStr">
        <is>
          <t>Single Carrier (Band n50, 100MHz TDD)</t>
        </is>
      </c>
      <c r="Q588" s="27">
        <f>ROUNDUP(O588/'Methodology &amp; Assumptions'!$B$8, 0)</f>
        <v/>
      </c>
      <c r="R588" s="27" t="n">
        <v>1</v>
      </c>
      <c r="S588" s="26" t="n">
        <v>1.07</v>
      </c>
      <c r="T588" s="26" t="n">
        <v>0.6899999999999999</v>
      </c>
      <c r="U588" s="11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26" t="n">
        <v>68.2</v>
      </c>
      <c r="W588" s="26" t="n">
        <v>58.63</v>
      </c>
      <c r="X588" s="26">
        <f>ROUND(('Methodology &amp; Assumptions'!$B$5*V588) + ('Methodology &amp; Assumptions'!$B$6*W588), 2)</f>
        <v/>
      </c>
      <c r="Y588" s="28" t="n">
        <v>10.9</v>
      </c>
      <c r="Z588" s="11" t="inlineStr">
        <is>
          <t>Priority Tier 2 (Balanced Opportunity)</t>
        </is>
      </c>
    </row>
    <row r="589">
      <c r="A589" s="23" t="n">
        <v>2</v>
      </c>
      <c r="B589" s="23" t="n">
        <v>585</v>
      </c>
      <c r="C589" s="23" t="n">
        <v>1585</v>
      </c>
      <c r="D589" s="23" t="inlineStr">
        <is>
          <t>1380601207</t>
        </is>
      </c>
      <c r="E589" s="11" t="inlineStr">
        <is>
          <t>National Capital Region (NCR)</t>
        </is>
      </c>
      <c r="F589" s="11" t="inlineStr">
        <is>
          <t>First District (Not a Province)</t>
        </is>
      </c>
      <c r="G589" s="11" t="inlineStr">
        <is>
          <t>City of Manila</t>
        </is>
      </c>
      <c r="H589" s="11" t="inlineStr">
        <is>
          <t>Barangay 206</t>
        </is>
      </c>
      <c r="I589" s="24" t="n">
        <v>14.629893</v>
      </c>
      <c r="J589" s="24" t="n">
        <v>120.980449</v>
      </c>
      <c r="K589" s="23" t="inlineStr">
        <is>
          <t>U</t>
        </is>
      </c>
      <c r="L589" s="25" t="n">
        <v>2487</v>
      </c>
      <c r="M589" s="26" t="n">
        <v>5.12</v>
      </c>
      <c r="N589" s="25">
        <f>ROUND(L589/M589, 0)</f>
        <v/>
      </c>
      <c r="O589" s="25">
        <f>ROUND(N589*'Methodology &amp; Assumptions'!$B$7, 0)</f>
        <v/>
      </c>
      <c r="P589" s="23" t="inlineStr">
        <is>
          <t>Single Carrier (Band n50, 100MHz TDD)</t>
        </is>
      </c>
      <c r="Q589" s="27">
        <f>ROUNDUP(O589/'Methodology &amp; Assumptions'!$B$8, 0)</f>
        <v/>
      </c>
      <c r="R589" s="27" t="n">
        <v>1</v>
      </c>
      <c r="S589" s="26" t="n">
        <v>0.84</v>
      </c>
      <c r="T589" s="26" t="n">
        <v>0.21</v>
      </c>
      <c r="U589" s="11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26" t="n">
        <v>56.73</v>
      </c>
      <c r="W589" s="26" t="n">
        <v>70.09</v>
      </c>
      <c r="X589" s="26">
        <f>ROUND(('Methodology &amp; Assumptions'!$B$5*V589) + ('Methodology &amp; Assumptions'!$B$6*W589), 2)</f>
        <v/>
      </c>
      <c r="Y589" s="28" t="n">
        <v>10.9</v>
      </c>
      <c r="Z589" s="11" t="inlineStr">
        <is>
          <t>Priority Tier 2 (Balanced Opportunity)</t>
        </is>
      </c>
    </row>
    <row r="590">
      <c r="A590" s="23" t="n">
        <v>2</v>
      </c>
      <c r="B590" s="23" t="n">
        <v>586</v>
      </c>
      <c r="C590" s="23" t="n">
        <v>1586</v>
      </c>
      <c r="D590" s="23" t="inlineStr">
        <is>
          <t>1380614101</t>
        </is>
      </c>
      <c r="E590" s="11" t="inlineStr">
        <is>
          <t>National Capital Region (NCR)</t>
        </is>
      </c>
      <c r="F590" s="11" t="inlineStr">
        <is>
          <t>First District (Not a Province)</t>
        </is>
      </c>
      <c r="G590" s="11" t="inlineStr">
        <is>
          <t>City of Manila</t>
        </is>
      </c>
      <c r="H590" s="11" t="inlineStr">
        <is>
          <t>Barangay 818-A</t>
        </is>
      </c>
      <c r="I590" s="24" t="n">
        <v>14.581894</v>
      </c>
      <c r="J590" s="24" t="n">
        <v>121.00416</v>
      </c>
      <c r="K590" s="23" t="inlineStr">
        <is>
          <t>U</t>
        </is>
      </c>
      <c r="L590" s="25" t="n">
        <v>1659</v>
      </c>
      <c r="M590" s="26" t="n">
        <v>4.01</v>
      </c>
      <c r="N590" s="25">
        <f>ROUND(L590/M590, 0)</f>
        <v/>
      </c>
      <c r="O590" s="25">
        <f>ROUND(N590*'Methodology &amp; Assumptions'!$B$7, 0)</f>
        <v/>
      </c>
      <c r="P590" s="23" t="inlineStr">
        <is>
          <t>Single Carrier (Band n50, 100MHz TDD)</t>
        </is>
      </c>
      <c r="Q590" s="27">
        <f>ROUNDUP(O590/'Methodology &amp; Assumptions'!$B$8, 0)</f>
        <v/>
      </c>
      <c r="R590" s="27" t="n">
        <v>1</v>
      </c>
      <c r="S590" s="26" t="n">
        <v>0.32</v>
      </c>
      <c r="T590" s="26" t="n">
        <v>0.32</v>
      </c>
      <c r="U590" s="11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26" t="n">
        <v>54.37</v>
      </c>
      <c r="W590" s="26" t="n">
        <v>72.45</v>
      </c>
      <c r="X590" s="26">
        <f>ROUND(('Methodology &amp; Assumptions'!$B$5*V590) + ('Methodology &amp; Assumptions'!$B$6*W590), 2)</f>
        <v/>
      </c>
      <c r="Y590" s="28" t="n">
        <v>10.9</v>
      </c>
      <c r="Z590" s="11" t="inlineStr">
        <is>
          <t>Priority Tier 2 (Balanced Opportunity)</t>
        </is>
      </c>
    </row>
    <row r="591">
      <c r="A591" s="23" t="n">
        <v>2</v>
      </c>
      <c r="B591" s="23" t="n">
        <v>587</v>
      </c>
      <c r="C591" s="23" t="n">
        <v>1587</v>
      </c>
      <c r="D591" s="23" t="inlineStr">
        <is>
          <t>0403405045</t>
        </is>
      </c>
      <c r="E591" s="11" t="inlineStr">
        <is>
          <t>Region IV-A (CALABARZON)</t>
        </is>
      </c>
      <c r="F591" s="11" t="inlineStr">
        <is>
          <t>Laguna</t>
        </is>
      </c>
      <c r="G591" s="11" t="inlineStr">
        <is>
          <t>City of Calamba</t>
        </is>
      </c>
      <c r="H591" s="11" t="inlineStr">
        <is>
          <t>Prinza</t>
        </is>
      </c>
      <c r="I591" s="24" t="n">
        <v>14.195531</v>
      </c>
      <c r="J591" s="24" t="n">
        <v>121.136687</v>
      </c>
      <c r="K591" s="23" t="inlineStr">
        <is>
          <t>U</t>
        </is>
      </c>
      <c r="L591" s="25" t="n">
        <v>5792</v>
      </c>
      <c r="M591" s="26" t="n">
        <v>3.3</v>
      </c>
      <c r="N591" s="25">
        <f>ROUND(L591/M591, 0)</f>
        <v/>
      </c>
      <c r="O591" s="25">
        <f>ROUND(N591*'Methodology &amp; Assumptions'!$B$7, 0)</f>
        <v/>
      </c>
      <c r="P591" s="23" t="inlineStr">
        <is>
          <t>Single Carrier (Band n50, 100MHz TDD)</t>
        </is>
      </c>
      <c r="Q591" s="27">
        <f>ROUNDUP(O591/'Methodology &amp; Assumptions'!$B$8, 0)</f>
        <v/>
      </c>
      <c r="R591" s="27" t="n">
        <v>1</v>
      </c>
      <c r="S591" s="26" t="n">
        <v>1.04</v>
      </c>
      <c r="T591" s="26" t="n">
        <v>0.26</v>
      </c>
      <c r="U591" s="11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26" t="n">
        <v>77.5</v>
      </c>
      <c r="W591" s="26" t="n">
        <v>49.3</v>
      </c>
      <c r="X591" s="26">
        <f>ROUND(('Methodology &amp; Assumptions'!$B$5*V591) + ('Methodology &amp; Assumptions'!$B$6*W591), 2)</f>
        <v/>
      </c>
      <c r="Y591" s="28" t="n">
        <v>7.2</v>
      </c>
      <c r="Z591" s="11" t="inlineStr">
        <is>
          <t>Priority Tier 2 (Balanced Opportunity)</t>
        </is>
      </c>
    </row>
    <row r="592">
      <c r="A592" s="23" t="n">
        <v>2</v>
      </c>
      <c r="B592" s="23" t="n">
        <v>588</v>
      </c>
      <c r="C592" s="23" t="n">
        <v>1588</v>
      </c>
      <c r="D592" s="23" t="inlineStr">
        <is>
          <t>0301420018</t>
        </is>
      </c>
      <c r="E592" s="11" t="inlineStr">
        <is>
          <t>Region III (Central Luzon)</t>
        </is>
      </c>
      <c r="F592" s="11" t="inlineStr">
        <is>
          <t>Bulacan</t>
        </is>
      </c>
      <c r="G592" s="11" t="inlineStr">
        <is>
          <t>City of San Jose Del Monte</t>
        </is>
      </c>
      <c r="H592" s="11" t="inlineStr">
        <is>
          <t>Santo Niño I</t>
        </is>
      </c>
      <c r="I592" s="24" t="n">
        <v>14.857461</v>
      </c>
      <c r="J592" s="24" t="n">
        <v>121.065757</v>
      </c>
      <c r="K592" s="23" t="inlineStr">
        <is>
          <t>R</t>
        </is>
      </c>
      <c r="L592" s="25" t="n">
        <v>2728</v>
      </c>
      <c r="M592" s="26" t="n">
        <v>3.5</v>
      </c>
      <c r="N592" s="25">
        <f>ROUND(L592/M592, 0)</f>
        <v/>
      </c>
      <c r="O592" s="25">
        <f>ROUND(N592*'Methodology &amp; Assumptions'!$B$7, 0)</f>
        <v/>
      </c>
      <c r="P592" s="23" t="inlineStr">
        <is>
          <t>Single Carrier (Band n50, 100MHz TDD)</t>
        </is>
      </c>
      <c r="Q592" s="27">
        <f>ROUNDUP(O592/'Methodology &amp; Assumptions'!$B$8, 0)</f>
        <v/>
      </c>
      <c r="R592" s="27" t="n">
        <v>1</v>
      </c>
      <c r="S592" s="26" t="n">
        <v>1.92</v>
      </c>
      <c r="T592" s="26" t="n">
        <v>3.91</v>
      </c>
      <c r="U592" s="11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26" t="n">
        <v>76.89</v>
      </c>
      <c r="W592" s="26" t="n">
        <v>49.92</v>
      </c>
      <c r="X592" s="26">
        <f>ROUND(('Methodology &amp; Assumptions'!$B$5*V592) + ('Methodology &amp; Assumptions'!$B$6*W592), 2)</f>
        <v/>
      </c>
      <c r="Y592" s="28" t="n">
        <v>8.300000000000001</v>
      </c>
      <c r="Z592" s="11" t="inlineStr">
        <is>
          <t>Priority Tier 2 (Balanced Opportunity)</t>
        </is>
      </c>
    </row>
    <row r="593">
      <c r="A593" s="23" t="n">
        <v>2</v>
      </c>
      <c r="B593" s="23" t="n">
        <v>589</v>
      </c>
      <c r="C593" s="23" t="n">
        <v>1589</v>
      </c>
      <c r="D593" s="23" t="inlineStr">
        <is>
          <t>1206506008</t>
        </is>
      </c>
      <c r="E593" s="11" t="inlineStr">
        <is>
          <t>Region XII (SOCCSKSARGEN)</t>
        </is>
      </c>
      <c r="F593" s="11" t="inlineStr">
        <is>
          <t>Sultan Kudarat</t>
        </is>
      </c>
      <c r="G593" s="11" t="inlineStr">
        <is>
          <t>Lebak</t>
        </is>
      </c>
      <c r="H593" s="11" t="inlineStr">
        <is>
          <t>Kalamongog</t>
        </is>
      </c>
      <c r="I593" s="24" t="n">
        <v>6.732222</v>
      </c>
      <c r="J593" s="24" t="n">
        <v>124.083611</v>
      </c>
      <c r="K593" s="23" t="inlineStr">
        <is>
          <t>R</t>
        </is>
      </c>
      <c r="L593" s="25" t="n">
        <v>2967</v>
      </c>
      <c r="M593" s="26" t="n">
        <v>3.8</v>
      </c>
      <c r="N593" s="25">
        <f>ROUND(L593/M593, 0)</f>
        <v/>
      </c>
      <c r="O593" s="25">
        <f>ROUND(N593*'Methodology &amp; Assumptions'!$B$7, 0)</f>
        <v/>
      </c>
      <c r="P593" s="23" t="inlineStr">
        <is>
          <t>Single Carrier (Band n50, 100MHz TDD)</t>
        </is>
      </c>
      <c r="Q593" s="27">
        <f>ROUNDUP(O593/'Methodology &amp; Assumptions'!$B$8, 0)</f>
        <v/>
      </c>
      <c r="R593" s="27" t="n">
        <v>1</v>
      </c>
      <c r="S593" s="26" t="n">
        <v>65.31999999999999</v>
      </c>
      <c r="T593" s="26" t="n">
        <v>65.28</v>
      </c>
      <c r="U593" s="11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26" t="n">
        <v>59.6</v>
      </c>
      <c r="W593" s="26" t="n">
        <v>67.20999999999999</v>
      </c>
      <c r="X593" s="26">
        <f>ROUND(('Methodology &amp; Assumptions'!$B$5*V593) + ('Methodology &amp; Assumptions'!$B$6*W593), 2)</f>
        <v/>
      </c>
      <c r="Y593" s="28" t="n">
        <v>17.4</v>
      </c>
      <c r="Z593" s="11" t="inlineStr">
        <is>
          <t>Priority Tier 2 (Balanced Opportunity)</t>
        </is>
      </c>
    </row>
    <row r="594">
      <c r="A594" s="23" t="n">
        <v>2</v>
      </c>
      <c r="B594" s="23" t="n">
        <v>590</v>
      </c>
      <c r="C594" s="23" t="n">
        <v>1590</v>
      </c>
      <c r="D594" s="23" t="inlineStr">
        <is>
          <t>1380614047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791</t>
        </is>
      </c>
      <c r="I594" s="24" t="n">
        <v>14.577677</v>
      </c>
      <c r="J594" s="24" t="n">
        <v>121.006451</v>
      </c>
      <c r="K594" s="23" t="inlineStr">
        <is>
          <t>U</t>
        </is>
      </c>
      <c r="L594" s="25" t="n">
        <v>2060</v>
      </c>
      <c r="M594" s="26" t="n">
        <v>4.07</v>
      </c>
      <c r="N594" s="25">
        <f>ROUND(L594/M594, 0)</f>
        <v/>
      </c>
      <c r="O594" s="25">
        <f>ROUND(N594*'Methodology &amp; Assumptions'!$B$7, 0)</f>
        <v/>
      </c>
      <c r="P594" s="23" t="inlineStr">
        <is>
          <t>Single Carrier (Band n50, 100MHz TDD)</t>
        </is>
      </c>
      <c r="Q594" s="27">
        <f>ROUNDUP(O594/'Methodology &amp; Assumptions'!$B$8, 0)</f>
        <v/>
      </c>
      <c r="R594" s="27" t="n">
        <v>1</v>
      </c>
      <c r="S594" s="26" t="n">
        <v>0.85</v>
      </c>
      <c r="T594" s="26" t="n">
        <v>0.24</v>
      </c>
      <c r="U594" s="11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26" t="n">
        <v>57.36</v>
      </c>
      <c r="W594" s="26" t="n">
        <v>69.43000000000001</v>
      </c>
      <c r="X594" s="26">
        <f>ROUND(('Methodology &amp; Assumptions'!$B$5*V594) + ('Methodology &amp; Assumptions'!$B$6*W594), 2)</f>
        <v/>
      </c>
      <c r="Y594" s="28" t="n">
        <v>10.9</v>
      </c>
      <c r="Z594" s="11" t="inlineStr">
        <is>
          <t>Priority Tier 2 (Balanced Opportunity)</t>
        </is>
      </c>
    </row>
    <row r="595">
      <c r="A595" s="23" t="n">
        <v>2</v>
      </c>
      <c r="B595" s="23" t="n">
        <v>591</v>
      </c>
      <c r="C595" s="23" t="n">
        <v>1591</v>
      </c>
      <c r="D595" s="23" t="inlineStr">
        <is>
          <t>1102506007</t>
        </is>
      </c>
      <c r="E595" s="11" t="inlineStr">
        <is>
          <t>Region XI (Davao Region)</t>
        </is>
      </c>
      <c r="F595" s="11" t="inlineStr">
        <is>
          <t>Davao Oriental</t>
        </is>
      </c>
      <c r="G595" s="11" t="inlineStr">
        <is>
          <t>Governor Generoso</t>
        </is>
      </c>
      <c r="H595" s="11" t="inlineStr">
        <is>
          <t>Monserrat</t>
        </is>
      </c>
      <c r="I595" s="24" t="n">
        <v>6.591377</v>
      </c>
      <c r="J595" s="24" t="n">
        <v>126.105646</v>
      </c>
      <c r="K595" s="23" t="inlineStr">
        <is>
          <t>R</t>
        </is>
      </c>
      <c r="L595" s="25" t="n">
        <v>2052</v>
      </c>
      <c r="M595" s="26" t="n">
        <v>3.6</v>
      </c>
      <c r="N595" s="25">
        <f>ROUND(L595/M595, 0)</f>
        <v/>
      </c>
      <c r="O595" s="25">
        <f>ROUND(N595*'Methodology &amp; Assumptions'!$B$7, 0)</f>
        <v/>
      </c>
      <c r="P595" s="23" t="inlineStr">
        <is>
          <t>Single Carrier (Band n50, 100MHz TDD)</t>
        </is>
      </c>
      <c r="Q595" s="27">
        <f>ROUNDUP(O595/'Methodology &amp; Assumptions'!$B$8, 0)</f>
        <v/>
      </c>
      <c r="R595" s="27" t="n">
        <v>1</v>
      </c>
      <c r="S595" s="26" t="n">
        <v>35.44</v>
      </c>
      <c r="T595" s="26" t="n">
        <v>31.94</v>
      </c>
      <c r="U595" s="11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26" t="n">
        <v>53.03</v>
      </c>
      <c r="W595" s="26" t="n">
        <v>73.76000000000001</v>
      </c>
      <c r="X595" s="26">
        <f>ROUND(('Methodology &amp; Assumptions'!$B$5*V595) + ('Methodology &amp; Assumptions'!$B$6*W595), 2)</f>
        <v/>
      </c>
      <c r="Y595" s="28" t="n">
        <v>17.4</v>
      </c>
      <c r="Z595" s="11" t="inlineStr">
        <is>
          <t>Priority Tier 2 (Balanced Opportunity)</t>
        </is>
      </c>
    </row>
    <row r="596">
      <c r="A596" s="23" t="n">
        <v>2</v>
      </c>
      <c r="B596" s="23" t="n">
        <v>592</v>
      </c>
      <c r="C596" s="23" t="n">
        <v>1592</v>
      </c>
      <c r="D596" s="23" t="inlineStr">
        <is>
          <t>1380500022</t>
        </is>
      </c>
      <c r="E596" s="11" t="inlineStr">
        <is>
          <t>National Capital Region (NCR)</t>
        </is>
      </c>
      <c r="F596" s="11" t="inlineStr">
        <is>
          <t>Second District (Not a Province)</t>
        </is>
      </c>
      <c r="G596" s="11" t="inlineStr">
        <is>
          <t>City of Mandaluyong</t>
        </is>
      </c>
      <c r="H596" s="11" t="inlineStr">
        <is>
          <t>Plainview</t>
        </is>
      </c>
      <c r="I596" s="24" t="n">
        <v>14.57676</v>
      </c>
      <c r="J596" s="24" t="n">
        <v>121.0378</v>
      </c>
      <c r="K596" s="23" t="inlineStr">
        <is>
          <t>U</t>
        </is>
      </c>
      <c r="L596" s="25" t="n">
        <v>33472</v>
      </c>
      <c r="M596" s="26" t="n">
        <v>3.09</v>
      </c>
      <c r="N596" s="25">
        <f>ROUND(L596/M596, 0)</f>
        <v/>
      </c>
      <c r="O596" s="25">
        <f>ROUND(N596*'Methodology &amp; Assumptions'!$B$7, 0)</f>
        <v/>
      </c>
      <c r="P596" s="23" t="inlineStr">
        <is>
          <t>Single Carrier (Band n50, 100MHz TDD)</t>
        </is>
      </c>
      <c r="Q596" s="27">
        <f>ROUNDUP(O596/'Methodology &amp; Assumptions'!$B$8, 0)</f>
        <v/>
      </c>
      <c r="R596" s="27" t="n">
        <v>1</v>
      </c>
      <c r="S596" s="26" t="n">
        <v>1.3</v>
      </c>
      <c r="T596" s="26" t="n">
        <v>0.11</v>
      </c>
      <c r="U596" s="11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26" t="n">
        <v>65.11</v>
      </c>
      <c r="W596" s="26" t="n">
        <v>61.68</v>
      </c>
      <c r="X596" s="26">
        <f>ROUND(('Methodology &amp; Assumptions'!$B$5*V596) + ('Methodology &amp; Assumptions'!$B$6*W596), 2)</f>
        <v/>
      </c>
      <c r="Y596" s="28" t="n">
        <v>10.9</v>
      </c>
      <c r="Z596" s="11" t="inlineStr">
        <is>
          <t>Priority Tier 2 (Balanced Opportunity)</t>
        </is>
      </c>
    </row>
    <row r="597">
      <c r="A597" s="23" t="n">
        <v>2</v>
      </c>
      <c r="B597" s="23" t="n">
        <v>593</v>
      </c>
      <c r="C597" s="23" t="n">
        <v>1593</v>
      </c>
      <c r="D597" s="23" t="inlineStr">
        <is>
          <t>1380601160</t>
        </is>
      </c>
      <c r="E597" s="11" t="inlineStr">
        <is>
          <t>National Capital Region (NCR)</t>
        </is>
      </c>
      <c r="F597" s="11" t="inlineStr">
        <is>
          <t>First District (Not a Province)</t>
        </is>
      </c>
      <c r="G597" s="11" t="inlineStr">
        <is>
          <t>City of Manila</t>
        </is>
      </c>
      <c r="H597" s="11" t="inlineStr">
        <is>
          <t>Barangay 160</t>
        </is>
      </c>
      <c r="I597" s="24" t="n">
        <v>14.620067</v>
      </c>
      <c r="J597" s="24" t="n">
        <v>120.973786</v>
      </c>
      <c r="K597" s="23" t="inlineStr">
        <is>
          <t>U</t>
        </is>
      </c>
      <c r="L597" s="25" t="n">
        <v>1399</v>
      </c>
      <c r="M597" s="26" t="n">
        <v>2.93</v>
      </c>
      <c r="N597" s="25">
        <f>ROUND(L597/M597, 0)</f>
        <v/>
      </c>
      <c r="O597" s="25">
        <f>ROUND(N597*'Methodology &amp; Assumptions'!$B$7, 0)</f>
        <v/>
      </c>
      <c r="P597" s="23" t="inlineStr">
        <is>
          <t>Single Carrier (Band n50, 100MHz TDD)</t>
        </is>
      </c>
      <c r="Q597" s="27">
        <f>ROUNDUP(O597/'Methodology &amp; Assumptions'!$B$8, 0)</f>
        <v/>
      </c>
      <c r="R597" s="27" t="n">
        <v>1</v>
      </c>
      <c r="S597" s="26" t="n">
        <v>0.76</v>
      </c>
      <c r="T597" s="26" t="n">
        <v>0.28</v>
      </c>
      <c r="U597" s="11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26" t="n">
        <v>56.41</v>
      </c>
      <c r="W597" s="26" t="n">
        <v>70.37</v>
      </c>
      <c r="X597" s="26">
        <f>ROUND(('Methodology &amp; Assumptions'!$B$5*V597) + ('Methodology &amp; Assumptions'!$B$6*W597), 2)</f>
        <v/>
      </c>
      <c r="Y597" s="28" t="n">
        <v>10.9</v>
      </c>
      <c r="Z597" s="11" t="inlineStr">
        <is>
          <t>Priority Tier 2 (Balanced Opportunity)</t>
        </is>
      </c>
    </row>
    <row r="598">
      <c r="A598" s="23" t="n">
        <v>2</v>
      </c>
      <c r="B598" s="23" t="n">
        <v>594</v>
      </c>
      <c r="C598" s="23" t="n">
        <v>1594</v>
      </c>
      <c r="D598" s="23" t="inlineStr">
        <is>
          <t>0401029049</t>
        </is>
      </c>
      <c r="E598" s="11" t="inlineStr">
        <is>
          <t>Region IV-A (CALABARZON)</t>
        </is>
      </c>
      <c r="F598" s="11" t="inlineStr">
        <is>
          <t>Batangas</t>
        </is>
      </c>
      <c r="G598" s="11" t="inlineStr">
        <is>
          <t>Taal</t>
        </is>
      </c>
      <c r="H598" s="11" t="inlineStr">
        <is>
          <t>Tatlong Maria</t>
        </is>
      </c>
      <c r="I598" s="24" t="n">
        <v>13.884538</v>
      </c>
      <c r="J598" s="24" t="n">
        <v>120.9195</v>
      </c>
      <c r="K598" s="23" t="inlineStr">
        <is>
          <t>R</t>
        </is>
      </c>
      <c r="L598" s="25" t="n">
        <v>1253</v>
      </c>
      <c r="M598" s="26" t="n">
        <v>3.6</v>
      </c>
      <c r="N598" s="25">
        <f>ROUND(L598/M598, 0)</f>
        <v/>
      </c>
      <c r="O598" s="25">
        <f>ROUND(N598*'Methodology &amp; Assumptions'!$B$7, 0)</f>
        <v/>
      </c>
      <c r="P598" s="23" t="inlineStr">
        <is>
          <t>Single Carrier (Band n50, 100MHz TDD)</t>
        </is>
      </c>
      <c r="Q598" s="27">
        <f>ROUNDUP(O598/'Methodology &amp; Assumptions'!$B$8, 0)</f>
        <v/>
      </c>
      <c r="R598" s="27" t="n">
        <v>1</v>
      </c>
      <c r="S598" s="26" t="n">
        <v>1.01</v>
      </c>
      <c r="T598" s="26" t="n">
        <v>1.41</v>
      </c>
      <c r="U598" s="11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26" t="n">
        <v>69.52</v>
      </c>
      <c r="W598" s="26" t="n">
        <v>57.24</v>
      </c>
      <c r="X598" s="26">
        <f>ROUND(('Methodology &amp; Assumptions'!$B$5*V598) + ('Methodology &amp; Assumptions'!$B$6*W598), 2)</f>
        <v/>
      </c>
      <c r="Y598" s="28" t="n">
        <v>7.2</v>
      </c>
      <c r="Z598" s="11" t="inlineStr">
        <is>
          <t>Priority Tier 2 (Balanced Opportunity)</t>
        </is>
      </c>
    </row>
    <row r="599">
      <c r="A599" s="23" t="n">
        <v>2</v>
      </c>
      <c r="B599" s="23" t="n">
        <v>595</v>
      </c>
      <c r="C599" s="23" t="n">
        <v>1595</v>
      </c>
      <c r="D599" s="23" t="inlineStr">
        <is>
          <t>1705306024</t>
        </is>
      </c>
      <c r="E599" s="11" t="inlineStr">
        <is>
          <t>MIMAROPA Region</t>
        </is>
      </c>
      <c r="F599" s="11" t="inlineStr">
        <is>
          <t>Palawan</t>
        </is>
      </c>
      <c r="G599" s="11" t="inlineStr">
        <is>
          <t>Brooke'S Point</t>
        </is>
      </c>
      <c r="H599" s="11" t="inlineStr">
        <is>
          <t>Samareñana</t>
        </is>
      </c>
      <c r="I599" s="24" t="n">
        <v>8.721158000000001</v>
      </c>
      <c r="J599" s="24" t="n">
        <v>117.737201</v>
      </c>
      <c r="K599" s="23" t="inlineStr">
        <is>
          <t>R</t>
        </is>
      </c>
      <c r="L599" s="25" t="n">
        <v>4265</v>
      </c>
      <c r="M599" s="26" t="n">
        <v>3.9</v>
      </c>
      <c r="N599" s="25">
        <f>ROUND(L599/M599, 0)</f>
        <v/>
      </c>
      <c r="O599" s="25">
        <f>ROUND(N599*'Methodology &amp; Assumptions'!$B$7, 0)</f>
        <v/>
      </c>
      <c r="P599" s="23" t="inlineStr">
        <is>
          <t>Single Carrier (Band n50, 100MHz TDD)</t>
        </is>
      </c>
      <c r="Q599" s="27">
        <f>ROUNDUP(O599/'Methodology &amp; Assumptions'!$B$8, 0)</f>
        <v/>
      </c>
      <c r="R599" s="27" t="n">
        <v>1</v>
      </c>
      <c r="S599" s="26" t="n">
        <v>157.51</v>
      </c>
      <c r="T599" s="26" t="n">
        <v>159.81</v>
      </c>
      <c r="U599" s="11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26" t="n">
        <v>61.44</v>
      </c>
      <c r="W599" s="26" t="n">
        <v>65.33</v>
      </c>
      <c r="X599" s="26">
        <f>ROUND(('Methodology &amp; Assumptions'!$B$5*V599) + ('Methodology &amp; Assumptions'!$B$6*W599), 2)</f>
        <v/>
      </c>
      <c r="Y599" s="28" t="n">
        <v>15</v>
      </c>
      <c r="Z599" s="11" t="inlineStr">
        <is>
          <t>Priority Tier 2 (Balanced Opportunity)</t>
        </is>
      </c>
    </row>
    <row r="600">
      <c r="A600" s="23" t="n">
        <v>2</v>
      </c>
      <c r="B600" s="23" t="n">
        <v>596</v>
      </c>
      <c r="C600" s="23" t="n">
        <v>1596</v>
      </c>
      <c r="D600" s="23" t="inlineStr">
        <is>
          <t>0402108006</t>
        </is>
      </c>
      <c r="E600" s="11" t="inlineStr">
        <is>
          <t>Region IV-A (CALABARZON)</t>
        </is>
      </c>
      <c r="F600" s="11" t="inlineStr">
        <is>
          <t>Cavite</t>
        </is>
      </c>
      <c r="G600" s="11" t="inlineStr">
        <is>
          <t>City of General Trias</t>
        </is>
      </c>
      <c r="H600" s="11" t="inlineStr">
        <is>
          <t>San Gabriel Pob.</t>
        </is>
      </c>
      <c r="I600" s="24" t="n">
        <v>14.388778</v>
      </c>
      <c r="J600" s="24" t="n">
        <v>120.883626</v>
      </c>
      <c r="K600" s="23" t="inlineStr">
        <is>
          <t>R</t>
        </is>
      </c>
      <c r="L600" s="25" t="n">
        <v>1677</v>
      </c>
      <c r="M600" s="26" t="n">
        <v>3.4</v>
      </c>
      <c r="N600" s="25">
        <f>ROUND(L600/M600, 0)</f>
        <v/>
      </c>
      <c r="O600" s="25">
        <f>ROUND(N600*'Methodology &amp; Assumptions'!$B$7, 0)</f>
        <v/>
      </c>
      <c r="P600" s="23" t="inlineStr">
        <is>
          <t>Single Carrier (Band n50, 100MHz TDD)</t>
        </is>
      </c>
      <c r="Q600" s="27">
        <f>ROUNDUP(O600/'Methodology &amp; Assumptions'!$B$8, 0)</f>
        <v/>
      </c>
      <c r="R600" s="27" t="n">
        <v>1</v>
      </c>
      <c r="S600" s="26" t="n">
        <v>1.47</v>
      </c>
      <c r="T600" s="26" t="n">
        <v>1.77</v>
      </c>
      <c r="U600" s="11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26" t="n">
        <v>72.56</v>
      </c>
      <c r="W600" s="26" t="n">
        <v>54.17</v>
      </c>
      <c r="X600" s="26">
        <f>ROUND(('Methodology &amp; Assumptions'!$B$5*V600) + ('Methodology &amp; Assumptions'!$B$6*W600), 2)</f>
        <v/>
      </c>
      <c r="Y600" s="28" t="n">
        <v>7.2</v>
      </c>
      <c r="Z600" s="11" t="inlineStr">
        <is>
          <t>Priority Tier 2 (Balanced Opportunity)</t>
        </is>
      </c>
    </row>
    <row r="601">
      <c r="A601" s="23" t="n">
        <v>2</v>
      </c>
      <c r="B601" s="23" t="n">
        <v>597</v>
      </c>
      <c r="C601" s="23" t="n">
        <v>1597</v>
      </c>
      <c r="D601" s="23" t="inlineStr">
        <is>
          <t>0402117009</t>
        </is>
      </c>
      <c r="E601" s="11" t="inlineStr">
        <is>
          <t>Region IV-A (CALABARZON)</t>
        </is>
      </c>
      <c r="F601" s="11" t="inlineStr">
        <is>
          <t>Cavite</t>
        </is>
      </c>
      <c r="G601" s="11" t="inlineStr">
        <is>
          <t>Rosario</t>
        </is>
      </c>
      <c r="H601" s="11" t="inlineStr">
        <is>
          <t>Sapa I</t>
        </is>
      </c>
      <c r="I601" s="24" t="n">
        <v>14.412422</v>
      </c>
      <c r="J601" s="24" t="n">
        <v>120.847382</v>
      </c>
      <c r="K601" s="23" t="inlineStr">
        <is>
          <t>R</t>
        </is>
      </c>
      <c r="L601" s="25" t="n">
        <v>2056</v>
      </c>
      <c r="M601" s="26" t="n">
        <v>3.4</v>
      </c>
      <c r="N601" s="25">
        <f>ROUND(L601/M601, 0)</f>
        <v/>
      </c>
      <c r="O601" s="25">
        <f>ROUND(N601*'Methodology &amp; Assumptions'!$B$7, 0)</f>
        <v/>
      </c>
      <c r="P601" s="23" t="inlineStr">
        <is>
          <t>Single Carrier (Band n50, 100MHz TDD)</t>
        </is>
      </c>
      <c r="Q601" s="27">
        <f>ROUNDUP(O601/'Methodology &amp; Assumptions'!$B$8, 0)</f>
        <v/>
      </c>
      <c r="R601" s="27" t="n">
        <v>1</v>
      </c>
      <c r="S601" s="26" t="n">
        <v>2.23</v>
      </c>
      <c r="T601" s="26" t="n">
        <v>2.27</v>
      </c>
      <c r="U601" s="11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26" t="n">
        <v>70.13</v>
      </c>
      <c r="W601" s="26" t="n">
        <v>56.61</v>
      </c>
      <c r="X601" s="26">
        <f>ROUND(('Methodology &amp; Assumptions'!$B$5*V601) + ('Methodology &amp; Assumptions'!$B$6*W601), 2)</f>
        <v/>
      </c>
      <c r="Y601" s="28" t="n">
        <v>7.2</v>
      </c>
      <c r="Z601" s="11" t="inlineStr">
        <is>
          <t>Priority Tier 2 (Balanced Opportunity)</t>
        </is>
      </c>
    </row>
    <row r="602">
      <c r="A602" s="23" t="n">
        <v>2</v>
      </c>
      <c r="B602" s="23" t="n">
        <v>598</v>
      </c>
      <c r="C602" s="23" t="n">
        <v>1598</v>
      </c>
      <c r="D602" s="23" t="inlineStr">
        <is>
          <t>1381300084</t>
        </is>
      </c>
      <c r="E602" s="11" t="inlineStr">
        <is>
          <t>National Capital Region (NCR)</t>
        </is>
      </c>
      <c r="F602" s="11" t="inlineStr">
        <is>
          <t>Second District (Not a Province)</t>
        </is>
      </c>
      <c r="G602" s="11" t="inlineStr">
        <is>
          <t>Quezon City</t>
        </is>
      </c>
      <c r="H602" s="11" t="inlineStr">
        <is>
          <t>Project 6</t>
        </is>
      </c>
      <c r="I602" s="24" t="n">
        <v>14.66294</v>
      </c>
      <c r="J602" s="24" t="n">
        <v>121.041</v>
      </c>
      <c r="K602" s="23" t="inlineStr">
        <is>
          <t>U</t>
        </is>
      </c>
      <c r="L602" s="25" t="n">
        <v>12595</v>
      </c>
      <c r="M602" s="26" t="n">
        <v>3.14</v>
      </c>
      <c r="N602" s="25">
        <f>ROUND(L602/M602, 0)</f>
        <v/>
      </c>
      <c r="O602" s="25">
        <f>ROUND(N602*'Methodology &amp; Assumptions'!$B$7, 0)</f>
        <v/>
      </c>
      <c r="P602" s="23" t="inlineStr">
        <is>
          <t>Single Carrier (Band n50, 100MHz TDD)</t>
        </is>
      </c>
      <c r="Q602" s="27">
        <f>ROUNDUP(O602/'Methodology &amp; Assumptions'!$B$8, 0)</f>
        <v/>
      </c>
      <c r="R602" s="27" t="n">
        <v>1</v>
      </c>
      <c r="S602" s="26" t="n">
        <v>0.4</v>
      </c>
      <c r="T602" s="26" t="n">
        <v>0.37</v>
      </c>
      <c r="U602" s="11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26" t="n">
        <v>69.09</v>
      </c>
      <c r="W602" s="26" t="n">
        <v>57.65</v>
      </c>
      <c r="X602" s="26">
        <f>ROUND(('Methodology &amp; Assumptions'!$B$5*V602) + ('Methodology &amp; Assumptions'!$B$6*W602), 2)</f>
        <v/>
      </c>
      <c r="Y602" s="28" t="n">
        <v>10.9</v>
      </c>
      <c r="Z602" s="11" t="inlineStr">
        <is>
          <t>Priority Tier 2 (Balanced Opportunity)</t>
        </is>
      </c>
    </row>
    <row r="603">
      <c r="A603" s="23" t="n">
        <v>2</v>
      </c>
      <c r="B603" s="23" t="n">
        <v>599</v>
      </c>
      <c r="C603" s="23" t="n">
        <v>1599</v>
      </c>
      <c r="D603" s="23" t="inlineStr">
        <is>
          <t>1381100064</t>
        </is>
      </c>
      <c r="E603" s="11" t="inlineStr">
        <is>
          <t>National Capital Region (NCR)</t>
        </is>
      </c>
      <c r="F603" s="11" t="inlineStr">
        <is>
          <t>Fourth District (Not a Province)</t>
        </is>
      </c>
      <c r="G603" s="11" t="inlineStr">
        <is>
          <t>Pasay City</t>
        </is>
      </c>
      <c r="H603" s="11" t="inlineStr">
        <is>
          <t>Barangay 64</t>
        </is>
      </c>
      <c r="I603" s="24" t="n">
        <v>14.549102</v>
      </c>
      <c r="J603" s="24" t="n">
        <v>121.001703</v>
      </c>
      <c r="K603" s="23" t="inlineStr">
        <is>
          <t>U</t>
        </is>
      </c>
      <c r="L603" s="25" t="n">
        <v>1646</v>
      </c>
      <c r="M603" s="26" t="n">
        <v>3.32</v>
      </c>
      <c r="N603" s="25">
        <f>ROUND(L603/M603, 0)</f>
        <v/>
      </c>
      <c r="O603" s="25">
        <f>ROUND(N603*'Methodology &amp; Assumptions'!$B$7, 0)</f>
        <v/>
      </c>
      <c r="P603" s="23" t="inlineStr">
        <is>
          <t>Single Carrier (Band n50, 100MHz TDD)</t>
        </is>
      </c>
      <c r="Q603" s="27">
        <f>ROUNDUP(O603/'Methodology &amp; Assumptions'!$B$8, 0)</f>
        <v/>
      </c>
      <c r="R603" s="27" t="n">
        <v>1</v>
      </c>
      <c r="S603" s="26" t="n">
        <v>0.93</v>
      </c>
      <c r="T603" s="26" t="n">
        <v>0.2</v>
      </c>
      <c r="U603" s="11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26" t="n">
        <v>56.7</v>
      </c>
      <c r="W603" s="26" t="n">
        <v>70.04000000000001</v>
      </c>
      <c r="X603" s="26">
        <f>ROUND(('Methodology &amp; Assumptions'!$B$5*V603) + ('Methodology &amp; Assumptions'!$B$6*W603), 2)</f>
        <v/>
      </c>
      <c r="Y603" s="28" t="n">
        <v>10.9</v>
      </c>
      <c r="Z603" s="11" t="inlineStr">
        <is>
          <t>Priority Tier 2 (Balanced Opportunity)</t>
        </is>
      </c>
    </row>
    <row r="604">
      <c r="A604" s="23" t="n">
        <v>2</v>
      </c>
      <c r="B604" s="23" t="n">
        <v>600</v>
      </c>
      <c r="C604" s="23" t="n">
        <v>1600</v>
      </c>
      <c r="D604" s="23" t="inlineStr">
        <is>
          <t>1381100118</t>
        </is>
      </c>
      <c r="E604" s="11" t="inlineStr">
        <is>
          <t>National Capital Region (NCR)</t>
        </is>
      </c>
      <c r="F604" s="11" t="inlineStr">
        <is>
          <t>Fourth District (Not a Province)</t>
        </is>
      </c>
      <c r="G604" s="11" t="inlineStr">
        <is>
          <t>Pasay City</t>
        </is>
      </c>
      <c r="H604" s="11" t="inlineStr">
        <is>
          <t>Barangay 118</t>
        </is>
      </c>
      <c r="I604" s="24" t="n">
        <v>14.539191</v>
      </c>
      <c r="J604" s="24" t="n">
        <v>121.003689</v>
      </c>
      <c r="K604" s="23" t="inlineStr">
        <is>
          <t>U</t>
        </is>
      </c>
      <c r="L604" s="25" t="n">
        <v>1513</v>
      </c>
      <c r="M604" s="26" t="n">
        <v>3.5</v>
      </c>
      <c r="N604" s="25">
        <f>ROUND(L604/M604, 0)</f>
        <v/>
      </c>
      <c r="O604" s="25">
        <f>ROUND(N604*'Methodology &amp; Assumptions'!$B$7, 0)</f>
        <v/>
      </c>
      <c r="P604" s="23" t="inlineStr">
        <is>
          <t>Single Carrier (Band n50, 100MHz TDD)</t>
        </is>
      </c>
      <c r="Q604" s="27">
        <f>ROUNDUP(O604/'Methodology &amp; Assumptions'!$B$8, 0)</f>
        <v/>
      </c>
      <c r="R604" s="27" t="n">
        <v>1</v>
      </c>
      <c r="S604" s="26" t="n">
        <v>1.16</v>
      </c>
      <c r="T604" s="26" t="n">
        <v>0.19</v>
      </c>
      <c r="U604" s="11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26" t="n">
        <v>53.79</v>
      </c>
      <c r="W604" s="26" t="n">
        <v>72.94</v>
      </c>
      <c r="X604" s="26">
        <f>ROUND(('Methodology &amp; Assumptions'!$B$5*V604) + ('Methodology &amp; Assumptions'!$B$6*W604), 2)</f>
        <v/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2</v>
      </c>
      <c r="B605" s="23" t="n">
        <v>601</v>
      </c>
      <c r="C605" s="23" t="n">
        <v>1601</v>
      </c>
      <c r="D605" s="23" t="inlineStr">
        <is>
          <t>0401033013</t>
        </is>
      </c>
      <c r="E605" s="11" t="inlineStr">
        <is>
          <t>Region IV-A (CALABARZON)</t>
        </is>
      </c>
      <c r="F605" s="11" t="inlineStr">
        <is>
          <t>Batangas</t>
        </is>
      </c>
      <c r="G605" s="11" t="inlineStr">
        <is>
          <t>Tingloy</t>
        </is>
      </c>
      <c r="H605" s="11" t="inlineStr">
        <is>
          <t>San Juan</t>
        </is>
      </c>
      <c r="I605" s="24" t="n">
        <v>13.6431</v>
      </c>
      <c r="J605" s="24" t="n">
        <v>120.8778</v>
      </c>
      <c r="K605" s="23" t="inlineStr">
        <is>
          <t>R</t>
        </is>
      </c>
      <c r="L605" s="25" t="n">
        <v>2472</v>
      </c>
      <c r="M605" s="26" t="n">
        <v>3.6</v>
      </c>
      <c r="N605" s="25">
        <f>ROUND(L605/M605, 0)</f>
        <v/>
      </c>
      <c r="O605" s="25">
        <f>ROUND(N605*'Methodology &amp; Assumptions'!$B$7, 0)</f>
        <v/>
      </c>
      <c r="P605" s="23" t="inlineStr">
        <is>
          <t>Single Carrier (Band n50, 100MHz TDD)</t>
        </is>
      </c>
      <c r="Q605" s="27">
        <f>ROUNDUP(O605/'Methodology &amp; Assumptions'!$B$8, 0)</f>
        <v/>
      </c>
      <c r="R605" s="27" t="n">
        <v>1</v>
      </c>
      <c r="S605" s="26" t="n">
        <v>5.42</v>
      </c>
      <c r="T605" s="26" t="n">
        <v>15.59</v>
      </c>
      <c r="U605" s="11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26" t="n">
        <v>68.22</v>
      </c>
      <c r="W605" s="26" t="n">
        <v>58.5</v>
      </c>
      <c r="X605" s="26">
        <f>ROUND(('Methodology &amp; Assumptions'!$B$5*V605) + ('Methodology &amp; Assumptions'!$B$6*W605), 2)</f>
        <v/>
      </c>
      <c r="Y605" s="28" t="n">
        <v>7.2</v>
      </c>
      <c r="Z605" s="11" t="inlineStr">
        <is>
          <t>Priority Tier 2 (Balanced Opportunity)</t>
        </is>
      </c>
    </row>
    <row r="606">
      <c r="A606" s="23" t="n">
        <v>2</v>
      </c>
      <c r="B606" s="23" t="n">
        <v>602</v>
      </c>
      <c r="C606" s="23" t="n">
        <v>1602</v>
      </c>
      <c r="D606" s="23" t="inlineStr">
        <is>
          <t>1381300083</t>
        </is>
      </c>
      <c r="E606" s="11" t="inlineStr">
        <is>
          <t>National Capital Region (NCR)</t>
        </is>
      </c>
      <c r="F606" s="11" t="inlineStr">
        <is>
          <t>Second District (Not a Province)</t>
        </is>
      </c>
      <c r="G606" s="11" t="inlineStr">
        <is>
          <t>Quezon City</t>
        </is>
      </c>
      <c r="H606" s="11" t="inlineStr">
        <is>
          <t>Pinagkaisahan</t>
        </is>
      </c>
      <c r="I606" s="24" t="n">
        <v>14.62797</v>
      </c>
      <c r="J606" s="24" t="n">
        <v>121.0466</v>
      </c>
      <c r="K606" s="23" t="inlineStr">
        <is>
          <t>U</t>
        </is>
      </c>
      <c r="L606" s="25" t="n">
        <v>5903</v>
      </c>
      <c r="M606" s="26" t="n">
        <v>3.65</v>
      </c>
      <c r="N606" s="25">
        <f>ROUND(L606/M606, 0)</f>
        <v/>
      </c>
      <c r="O606" s="25">
        <f>ROUND(N606*'Methodology &amp; Assumptions'!$B$7, 0)</f>
        <v/>
      </c>
      <c r="P606" s="23" t="inlineStr">
        <is>
          <t>Single Carrier (Band n50, 100MHz TDD)</t>
        </is>
      </c>
      <c r="Q606" s="27">
        <f>ROUNDUP(O606/'Methodology &amp; Assumptions'!$B$8, 0)</f>
        <v/>
      </c>
      <c r="R606" s="27" t="n">
        <v>1</v>
      </c>
      <c r="S606" s="26" t="n">
        <v>1.49</v>
      </c>
      <c r="T606" s="26" t="n">
        <v>0.31</v>
      </c>
      <c r="U606" s="11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26" t="n">
        <v>66.64</v>
      </c>
      <c r="W606" s="26" t="n">
        <v>60.08</v>
      </c>
      <c r="X606" s="26">
        <f>ROUND(('Methodology &amp; Assumptions'!$B$5*V606) + ('Methodology &amp; Assumptions'!$B$6*W606), 2)</f>
        <v/>
      </c>
      <c r="Y606" s="28" t="n">
        <v>10.9</v>
      </c>
      <c r="Z606" s="11" t="inlineStr">
        <is>
          <t>Priority Tier 2 (Balanced Opportunity)</t>
        </is>
      </c>
    </row>
    <row r="607">
      <c r="A607" s="23" t="n">
        <v>2</v>
      </c>
      <c r="B607" s="23" t="n">
        <v>603</v>
      </c>
      <c r="C607" s="23" t="n">
        <v>1603</v>
      </c>
      <c r="D607" s="23" t="inlineStr">
        <is>
          <t>1404408001</t>
        </is>
      </c>
      <c r="E607" s="11" t="inlineStr">
        <is>
          <t>Cordillera Administrative Region (CAR)</t>
        </is>
      </c>
      <c r="F607" s="11" t="inlineStr">
        <is>
          <t>Mountain Province</t>
        </is>
      </c>
      <c r="G607" s="11" t="inlineStr">
        <is>
          <t>Sadanga</t>
        </is>
      </c>
      <c r="H607" s="11" t="inlineStr">
        <is>
          <t>Anabel</t>
        </is>
      </c>
      <c r="I607" s="24" t="n">
        <v>17.1332</v>
      </c>
      <c r="J607" s="24" t="n">
        <v>121.061</v>
      </c>
      <c r="K607" s="23" t="inlineStr">
        <is>
          <t>R</t>
        </is>
      </c>
      <c r="L607" s="25" t="n">
        <v>806</v>
      </c>
      <c r="M607" s="26" t="n">
        <v>3.7</v>
      </c>
      <c r="N607" s="25">
        <f>ROUND(L607/M607, 0)</f>
        <v/>
      </c>
      <c r="O607" s="25">
        <f>ROUND(N607*'Methodology &amp; Assumptions'!$B$7, 0)</f>
        <v/>
      </c>
      <c r="P607" s="23" t="inlineStr">
        <is>
          <t>Single Carrier (Band n50, 100MHz TDD)</t>
        </is>
      </c>
      <c r="Q607" s="27">
        <f>ROUNDUP(O607/'Methodology &amp; Assumptions'!$B$8, 0)</f>
        <v/>
      </c>
      <c r="R607" s="27" t="n">
        <v>1</v>
      </c>
      <c r="S607" s="26" t="n">
        <v>4.15</v>
      </c>
      <c r="T607" s="26" t="n">
        <v>0.5</v>
      </c>
      <c r="U607" s="11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26" t="n">
        <v>58.84</v>
      </c>
      <c r="W607" s="26" t="n">
        <v>67.89</v>
      </c>
      <c r="X607" s="26">
        <f>ROUND(('Methodology &amp; Assumptions'!$B$5*V607) + ('Methodology &amp; Assumptions'!$B$6*W607), 2)</f>
        <v/>
      </c>
      <c r="Y607" s="28" t="n">
        <v>10.9</v>
      </c>
      <c r="Z607" s="11" t="inlineStr">
        <is>
          <t>Priority Tier 2 (Balanced Opportunity)</t>
        </is>
      </c>
    </row>
    <row r="608">
      <c r="A608" s="23" t="n">
        <v>2</v>
      </c>
      <c r="B608" s="23" t="n">
        <v>604</v>
      </c>
      <c r="C608" s="23" t="n">
        <v>1604</v>
      </c>
      <c r="D608" s="23" t="inlineStr">
        <is>
          <t>1380606081</t>
        </is>
      </c>
      <c r="E608" s="11" t="inlineStr">
        <is>
          <t>National Capital Region (NCR)</t>
        </is>
      </c>
      <c r="F608" s="11" t="inlineStr">
        <is>
          <t>First District (Not a Province)</t>
        </is>
      </c>
      <c r="G608" s="11" t="inlineStr">
        <is>
          <t>City of Manila</t>
        </is>
      </c>
      <c r="H608" s="11" t="inlineStr">
        <is>
          <t>Barangay 475</t>
        </is>
      </c>
      <c r="I608" s="24" t="n">
        <v>14.612902</v>
      </c>
      <c r="J608" s="24" t="n">
        <v>120.994085</v>
      </c>
      <c r="K608" s="23" t="inlineStr">
        <is>
          <t>U</t>
        </is>
      </c>
      <c r="L608" s="25" t="n">
        <v>1701</v>
      </c>
      <c r="M608" s="26" t="n">
        <v>3.45</v>
      </c>
      <c r="N608" s="25">
        <f>ROUND(L608/M608, 0)</f>
        <v/>
      </c>
      <c r="O608" s="25">
        <f>ROUND(N608*'Methodology &amp; Assumptions'!$B$7, 0)</f>
        <v/>
      </c>
      <c r="P608" s="23" t="inlineStr">
        <is>
          <t>Single Carrier (Band n50, 100MHz TDD)</t>
        </is>
      </c>
      <c r="Q608" s="27">
        <f>ROUNDUP(O608/'Methodology &amp; Assumptions'!$B$8, 0)</f>
        <v/>
      </c>
      <c r="R608" s="27" t="n">
        <v>1</v>
      </c>
      <c r="S608" s="26" t="n">
        <v>1.06</v>
      </c>
      <c r="T608" s="26" t="n">
        <v>0.38</v>
      </c>
      <c r="U608" s="11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26" t="n">
        <v>56.09</v>
      </c>
      <c r="W608" s="26" t="n">
        <v>70.63</v>
      </c>
      <c r="X608" s="26">
        <f>ROUND(('Methodology &amp; Assumptions'!$B$5*V608) + ('Methodology &amp; Assumptions'!$B$6*W608), 2)</f>
        <v/>
      </c>
      <c r="Y608" s="28" t="n">
        <v>10.9</v>
      </c>
      <c r="Z608" s="11" t="inlineStr">
        <is>
          <t>Priority Tier 2 (Balanced Opportunity)</t>
        </is>
      </c>
    </row>
    <row r="609">
      <c r="A609" s="23" t="n">
        <v>2</v>
      </c>
      <c r="B609" s="23" t="n">
        <v>605</v>
      </c>
      <c r="C609" s="23" t="n">
        <v>1605</v>
      </c>
      <c r="D609" s="23" t="inlineStr">
        <is>
          <t>0205704023</t>
        </is>
      </c>
      <c r="E609" s="11" t="inlineStr">
        <is>
          <t>Region II (Cagayan Valley)</t>
        </is>
      </c>
      <c r="F609" s="11" t="inlineStr">
        <is>
          <t>Quirino</t>
        </is>
      </c>
      <c r="G609" s="11" t="inlineStr">
        <is>
          <t>Maddela</t>
        </is>
      </c>
      <c r="H609" s="11" t="inlineStr">
        <is>
          <t>San Martin</t>
        </is>
      </c>
      <c r="I609" s="24" t="n">
        <v>16.332553</v>
      </c>
      <c r="J609" s="24" t="n">
        <v>121.787924</v>
      </c>
      <c r="K609" s="23" t="inlineStr">
        <is>
          <t>R</t>
        </is>
      </c>
      <c r="L609" s="25" t="n">
        <v>958</v>
      </c>
      <c r="M609" s="26" t="n">
        <v>3.9</v>
      </c>
      <c r="N609" s="25">
        <f>ROUND(L609/M609, 0)</f>
        <v/>
      </c>
      <c r="O609" s="25">
        <f>ROUND(N609*'Methodology &amp; Assumptions'!$B$7, 0)</f>
        <v/>
      </c>
      <c r="P609" s="23" t="inlineStr">
        <is>
          <t>Single Carrier (Band n50, 100MHz TDD)</t>
        </is>
      </c>
      <c r="Q609" s="27">
        <f>ROUNDUP(O609/'Methodology &amp; Assumptions'!$B$8, 0)</f>
        <v/>
      </c>
      <c r="R609" s="27" t="n">
        <v>1</v>
      </c>
      <c r="S609" s="26" t="n">
        <v>11.53</v>
      </c>
      <c r="T609" s="26" t="n">
        <v>11.28</v>
      </c>
      <c r="U609" s="11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26" t="n">
        <v>44.83</v>
      </c>
      <c r="W609" s="26" t="n">
        <v>81.90000000000001</v>
      </c>
      <c r="X609" s="26">
        <f>ROUND(('Methodology &amp; Assumptions'!$B$5*V609) + ('Methodology &amp; Assumptions'!$B$6*W609), 2)</f>
        <v/>
      </c>
      <c r="Y609" s="28" t="n">
        <v>8.300000000000001</v>
      </c>
      <c r="Z609" s="11" t="inlineStr">
        <is>
          <t>Priority Tier 2 (Balanced Opportunity)</t>
        </is>
      </c>
    </row>
    <row r="610">
      <c r="A610" s="23" t="n">
        <v>2</v>
      </c>
      <c r="B610" s="23" t="n">
        <v>606</v>
      </c>
      <c r="C610" s="23" t="n">
        <v>1606</v>
      </c>
      <c r="D610" s="23" t="inlineStr">
        <is>
          <t>0301407008</t>
        </is>
      </c>
      <c r="E610" s="11" t="inlineStr">
        <is>
          <t>Region III (Central Luzon)</t>
        </is>
      </c>
      <c r="F610" s="11" t="inlineStr">
        <is>
          <t>Bulacan</t>
        </is>
      </c>
      <c r="G610" s="11" t="inlineStr">
        <is>
          <t>Calumpit</t>
        </is>
      </c>
      <c r="H610" s="11" t="inlineStr">
        <is>
          <t>Caniogan</t>
        </is>
      </c>
      <c r="I610" s="24" t="n">
        <v>14.908238</v>
      </c>
      <c r="J610" s="24" t="n">
        <v>120.772476</v>
      </c>
      <c r="K610" s="23" t="inlineStr">
        <is>
          <t>U</t>
        </is>
      </c>
      <c r="L610" s="25" t="n">
        <v>4714</v>
      </c>
      <c r="M610" s="26" t="n">
        <v>3.5</v>
      </c>
      <c r="N610" s="25">
        <f>ROUND(L610/M610, 0)</f>
        <v/>
      </c>
      <c r="O610" s="25">
        <f>ROUND(N610*'Methodology &amp; Assumptions'!$B$7, 0)</f>
        <v/>
      </c>
      <c r="P610" s="23" t="inlineStr">
        <is>
          <t>Single Carrier (Band n50, 100MHz TDD)</t>
        </is>
      </c>
      <c r="Q610" s="27">
        <f>ROUNDUP(O610/'Methodology &amp; Assumptions'!$B$8, 0)</f>
        <v/>
      </c>
      <c r="R610" s="27" t="n">
        <v>1</v>
      </c>
      <c r="S610" s="26" t="n">
        <v>0.54</v>
      </c>
      <c r="T610" s="26" t="n">
        <v>0.3</v>
      </c>
      <c r="U610" s="11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26" t="n">
        <v>78.43000000000001</v>
      </c>
      <c r="W610" s="26" t="n">
        <v>48.26</v>
      </c>
      <c r="X610" s="26">
        <f>ROUND(('Methodology &amp; Assumptions'!$B$5*V610) + ('Methodology &amp; Assumptions'!$B$6*W610), 2)</f>
        <v/>
      </c>
      <c r="Y610" s="28" t="n">
        <v>8.300000000000001</v>
      </c>
      <c r="Z610" s="11" t="inlineStr">
        <is>
          <t>Priority Tier 2 (Balanced Opportunity)</t>
        </is>
      </c>
    </row>
    <row r="611">
      <c r="A611" s="23" t="n">
        <v>2</v>
      </c>
      <c r="B611" s="23" t="n">
        <v>607</v>
      </c>
      <c r="C611" s="23" t="n">
        <v>1607</v>
      </c>
      <c r="D611" s="23" t="inlineStr">
        <is>
          <t>0702207030</t>
        </is>
      </c>
      <c r="E611" s="11" t="inlineStr">
        <is>
          <t>Region VII (Central Visayas)</t>
        </is>
      </c>
      <c r="F611" s="11" t="inlineStr">
        <is>
          <t>Cebu</t>
        </is>
      </c>
      <c r="G611" s="11" t="inlineStr">
        <is>
          <t>Badian</t>
        </is>
      </c>
      <c r="H611" s="11" t="inlineStr">
        <is>
          <t>Zaragosa</t>
        </is>
      </c>
      <c r="I611" s="24" t="n">
        <v>9.882409000000001</v>
      </c>
      <c r="J611" s="24" t="n">
        <v>123.383051</v>
      </c>
      <c r="K611" s="23" t="inlineStr">
        <is>
          <t>R</t>
        </is>
      </c>
      <c r="L611" s="25" t="n">
        <v>2105</v>
      </c>
      <c r="M611" s="26" t="n">
        <v>3.8</v>
      </c>
      <c r="N611" s="25">
        <f>ROUND(L611/M611, 0)</f>
        <v/>
      </c>
      <c r="O611" s="25">
        <f>ROUND(N611*'Methodology &amp; Assumptions'!$B$7, 0)</f>
        <v/>
      </c>
      <c r="P611" s="23" t="inlineStr">
        <is>
          <t>Single Carrier (Band n50, 100MHz TDD)</t>
        </is>
      </c>
      <c r="Q611" s="27">
        <f>ROUNDUP(O611/'Methodology &amp; Assumptions'!$B$8, 0)</f>
        <v/>
      </c>
      <c r="R611" s="27" t="n">
        <v>1</v>
      </c>
      <c r="S611" s="26" t="n">
        <v>6.39</v>
      </c>
      <c r="T611" s="26" t="n">
        <v>1.91</v>
      </c>
      <c r="U611" s="11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26" t="n">
        <v>64.72</v>
      </c>
      <c r="W611" s="26" t="n">
        <v>61.98</v>
      </c>
      <c r="X611" s="26">
        <f>ROUND(('Methodology &amp; Assumptions'!$B$5*V611) + ('Methodology &amp; Assumptions'!$B$6*W611), 2)</f>
        <v/>
      </c>
      <c r="Y611" s="28" t="n">
        <v>23.7</v>
      </c>
      <c r="Z611" s="11" t="inlineStr">
        <is>
          <t>Priority Tier 2 (Balanced Opportunity)</t>
        </is>
      </c>
    </row>
    <row r="612">
      <c r="A612" s="23" t="n">
        <v>2</v>
      </c>
      <c r="B612" s="23" t="n">
        <v>608</v>
      </c>
      <c r="C612" s="23" t="n">
        <v>1608</v>
      </c>
      <c r="D612" s="23" t="inlineStr">
        <is>
          <t>1380614087</t>
        </is>
      </c>
      <c r="E612" s="11" t="inlineStr">
        <is>
          <t>National Capital Region (NCR)</t>
        </is>
      </c>
      <c r="F612" s="11" t="inlineStr">
        <is>
          <t>First District (Not a Province)</t>
        </is>
      </c>
      <c r="G612" s="11" t="inlineStr">
        <is>
          <t>City of Manila</t>
        </is>
      </c>
      <c r="H612" s="11" t="inlineStr">
        <is>
          <t>Barangay 894</t>
        </is>
      </c>
      <c r="I612" s="24" t="n">
        <v>14.588428</v>
      </c>
      <c r="J612" s="24" t="n">
        <v>121.02025</v>
      </c>
      <c r="K612" s="23" t="inlineStr">
        <is>
          <t>U</t>
        </is>
      </c>
      <c r="L612" s="25" t="n">
        <v>1724</v>
      </c>
      <c r="M612" s="26" t="n">
        <v>3.72</v>
      </c>
      <c r="N612" s="25">
        <f>ROUND(L612/M612, 0)</f>
        <v/>
      </c>
      <c r="O612" s="25">
        <f>ROUND(N612*'Methodology &amp; Assumptions'!$B$7, 0)</f>
        <v/>
      </c>
      <c r="P612" s="23" t="inlineStr">
        <is>
          <t>Single Carrier (Band n50, 100MHz TDD)</t>
        </is>
      </c>
      <c r="Q612" s="27">
        <f>ROUNDUP(O612/'Methodology &amp; Assumptions'!$B$8, 0)</f>
        <v/>
      </c>
      <c r="R612" s="27" t="n">
        <v>1</v>
      </c>
      <c r="S612" s="26" t="n">
        <v>1</v>
      </c>
      <c r="T612" s="26" t="n">
        <v>0.25</v>
      </c>
      <c r="U612" s="11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26" t="n">
        <v>55.38</v>
      </c>
      <c r="W612" s="26" t="n">
        <v>71.31</v>
      </c>
      <c r="X612" s="26">
        <f>ROUND(('Methodology &amp; Assumptions'!$B$5*V612) + ('Methodology &amp; Assumptions'!$B$6*W612), 2)</f>
        <v/>
      </c>
      <c r="Y612" s="28" t="n">
        <v>10.9</v>
      </c>
      <c r="Z612" s="11" t="inlineStr">
        <is>
          <t>Priority Tier 2 (Balanced Opportunity)</t>
        </is>
      </c>
    </row>
    <row r="613">
      <c r="A613" s="23" t="n">
        <v>2</v>
      </c>
      <c r="B613" s="23" t="n">
        <v>609</v>
      </c>
      <c r="C613" s="23" t="n">
        <v>1609</v>
      </c>
      <c r="D613" s="23" t="inlineStr">
        <is>
          <t>1705313006</t>
        </is>
      </c>
      <c r="E613" s="11" t="inlineStr">
        <is>
          <t>MIMAROPA Region</t>
        </is>
      </c>
      <c r="F613" s="11" t="inlineStr">
        <is>
          <t>Palawan</t>
        </is>
      </c>
      <c r="G613" s="11" t="inlineStr">
        <is>
          <t>Linapacan</t>
        </is>
      </c>
      <c r="H613" s="11" t="inlineStr">
        <is>
          <t>Maroyogroyog</t>
        </is>
      </c>
      <c r="I613" s="24" t="n">
        <v>11.471956</v>
      </c>
      <c r="J613" s="24" t="n">
        <v>119.773355</v>
      </c>
      <c r="K613" s="23" t="inlineStr">
        <is>
          <t>R</t>
        </is>
      </c>
      <c r="L613" s="25" t="n">
        <v>2167</v>
      </c>
      <c r="M613" s="26" t="n">
        <v>3.9</v>
      </c>
      <c r="N613" s="25">
        <f>ROUND(L613/M613, 0)</f>
        <v/>
      </c>
      <c r="O613" s="25">
        <f>ROUND(N613*'Methodology &amp; Assumptions'!$B$7, 0)</f>
        <v/>
      </c>
      <c r="P613" s="23" t="inlineStr">
        <is>
          <t>Single Carrier (Band n50, 100MHz TDD)</t>
        </is>
      </c>
      <c r="Q613" s="27">
        <f>ROUNDUP(O613/'Methodology &amp; Assumptions'!$B$8, 0)</f>
        <v/>
      </c>
      <c r="R613" s="27" t="n">
        <v>1</v>
      </c>
      <c r="S613" s="26" t="n">
        <v>30.05</v>
      </c>
      <c r="T613" s="26" t="n">
        <v>77.8</v>
      </c>
      <c r="U613" s="11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26" t="n">
        <v>51.02</v>
      </c>
      <c r="W613" s="26" t="n">
        <v>75.68000000000001</v>
      </c>
      <c r="X613" s="26">
        <f>ROUND(('Methodology &amp; Assumptions'!$B$5*V613) + ('Methodology &amp; Assumptions'!$B$6*W613), 2)</f>
        <v/>
      </c>
      <c r="Y613" s="28" t="n">
        <v>15</v>
      </c>
      <c r="Z613" s="11" t="inlineStr">
        <is>
          <t>Priority Tier 2 (Balanced Opportunity)</t>
        </is>
      </c>
    </row>
    <row r="614">
      <c r="A614" s="23" t="n">
        <v>2</v>
      </c>
      <c r="B614" s="23" t="n">
        <v>610</v>
      </c>
      <c r="C614" s="23" t="n">
        <v>1610</v>
      </c>
      <c r="D614" s="23" t="inlineStr">
        <is>
          <t>0702223040</t>
        </is>
      </c>
      <c r="E614" s="11" t="inlineStr">
        <is>
          <t>Region VII (Central Visayas)</t>
        </is>
      </c>
      <c r="F614" s="11" t="inlineStr">
        <is>
          <t>Cebu</t>
        </is>
      </c>
      <c r="G614" s="11" t="inlineStr">
        <is>
          <t>Danao City</t>
        </is>
      </c>
      <c r="H614" s="11" t="inlineStr">
        <is>
          <t>Suba</t>
        </is>
      </c>
      <c r="I614" s="24" t="n">
        <v>10.524986</v>
      </c>
      <c r="J614" s="24" t="n">
        <v>124.028773</v>
      </c>
      <c r="K614" s="23" t="inlineStr">
        <is>
          <t>U</t>
        </is>
      </c>
      <c r="L614" s="25" t="n">
        <v>7790</v>
      </c>
      <c r="M614" s="26" t="n">
        <v>3.8</v>
      </c>
      <c r="N614" s="25">
        <f>ROUND(L614/M614, 0)</f>
        <v/>
      </c>
      <c r="O614" s="25">
        <f>ROUND(N614*'Methodology &amp; Assumptions'!$B$7, 0)</f>
        <v/>
      </c>
      <c r="P614" s="23" t="inlineStr">
        <is>
          <t>Single Carrier (Band n50, 100MHz TDD)</t>
        </is>
      </c>
      <c r="Q614" s="27">
        <f>ROUNDUP(O614/'Methodology &amp; Assumptions'!$B$8, 0)</f>
        <v/>
      </c>
      <c r="R614" s="27" t="n">
        <v>1</v>
      </c>
      <c r="S614" s="26" t="n">
        <v>0.44</v>
      </c>
      <c r="T614" s="26" t="n">
        <v>0.29</v>
      </c>
      <c r="U614" s="11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26" t="n">
        <v>80.86</v>
      </c>
      <c r="W614" s="26" t="n">
        <v>45.82</v>
      </c>
      <c r="X614" s="26">
        <f>ROUND(('Methodology &amp; Assumptions'!$B$5*V614) + ('Methodology &amp; Assumptions'!$B$6*W614), 2)</f>
        <v/>
      </c>
      <c r="Y614" s="28" t="n">
        <v>23.7</v>
      </c>
      <c r="Z614" s="11" t="inlineStr">
        <is>
          <t>Priority Tier 2 (Balanced Opportunity)</t>
        </is>
      </c>
    </row>
    <row r="615">
      <c r="A615" s="23" t="n">
        <v>2</v>
      </c>
      <c r="B615" s="23" t="n">
        <v>611</v>
      </c>
      <c r="C615" s="23" t="n">
        <v>1611</v>
      </c>
      <c r="D615" s="23" t="inlineStr">
        <is>
          <t>0301420050</t>
        </is>
      </c>
      <c r="E615" s="11" t="inlineStr">
        <is>
          <t>Region III (Central Luzon)</t>
        </is>
      </c>
      <c r="F615" s="11" t="inlineStr">
        <is>
          <t>Bulacan</t>
        </is>
      </c>
      <c r="G615" s="11" t="inlineStr">
        <is>
          <t>City of San Jose Del Monte</t>
        </is>
      </c>
      <c r="H615" s="11" t="inlineStr">
        <is>
          <t>San Rafael III</t>
        </is>
      </c>
      <c r="I615" s="24" t="n">
        <v>14.853346</v>
      </c>
      <c r="J615" s="24" t="n">
        <v>121.045087</v>
      </c>
      <c r="K615" s="23" t="inlineStr">
        <is>
          <t>R</t>
        </is>
      </c>
      <c r="L615" s="25" t="n">
        <v>2841</v>
      </c>
      <c r="M615" s="26" t="n">
        <v>3.5</v>
      </c>
      <c r="N615" s="25">
        <f>ROUND(L615/M615, 0)</f>
        <v/>
      </c>
      <c r="O615" s="25">
        <f>ROUND(N615*'Methodology &amp; Assumptions'!$B$7, 0)</f>
        <v/>
      </c>
      <c r="P615" s="23" t="inlineStr">
        <is>
          <t>Single Carrier (Band n50, 100MHz TDD)</t>
        </is>
      </c>
      <c r="Q615" s="27">
        <f>ROUNDUP(O615/'Methodology &amp; Assumptions'!$B$8, 0)</f>
        <v/>
      </c>
      <c r="R615" s="27" t="n">
        <v>1</v>
      </c>
      <c r="S615" s="26" t="n">
        <v>1.52</v>
      </c>
      <c r="T615" s="26" t="n">
        <v>2.56</v>
      </c>
      <c r="U615" s="11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26" t="n">
        <v>79.38</v>
      </c>
      <c r="W615" s="26" t="n">
        <v>47.29</v>
      </c>
      <c r="X615" s="26">
        <f>ROUND(('Methodology &amp; Assumptions'!$B$5*V615) + ('Methodology &amp; Assumptions'!$B$6*W615), 2)</f>
        <v/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2</v>
      </c>
      <c r="B616" s="23" t="n">
        <v>612</v>
      </c>
      <c r="C616" s="23" t="n">
        <v>1612</v>
      </c>
      <c r="D616" s="23" t="inlineStr">
        <is>
          <t>0301407001</t>
        </is>
      </c>
      <c r="E616" s="11" t="inlineStr">
        <is>
          <t>Region III (Central Luzon)</t>
        </is>
      </c>
      <c r="F616" s="11" t="inlineStr">
        <is>
          <t>Bulacan</t>
        </is>
      </c>
      <c r="G616" s="11" t="inlineStr">
        <is>
          <t>Calumpit</t>
        </is>
      </c>
      <c r="H616" s="11" t="inlineStr">
        <is>
          <t>Balite</t>
        </is>
      </c>
      <c r="I616" s="24" t="n">
        <v>14.898674</v>
      </c>
      <c r="J616" s="24" t="n">
        <v>120.78536</v>
      </c>
      <c r="K616" s="23" t="inlineStr">
        <is>
          <t>U</t>
        </is>
      </c>
      <c r="L616" s="25" t="n">
        <v>5243</v>
      </c>
      <c r="M616" s="26" t="n">
        <v>3.5</v>
      </c>
      <c r="N616" s="25">
        <f>ROUND(L616/M616, 0)</f>
        <v/>
      </c>
      <c r="O616" s="25">
        <f>ROUND(N616*'Methodology &amp; Assumptions'!$B$7, 0)</f>
        <v/>
      </c>
      <c r="P616" s="23" t="inlineStr">
        <is>
          <t>Single Carrier (Band n50, 100MHz TDD)</t>
        </is>
      </c>
      <c r="Q616" s="27">
        <f>ROUNDUP(O616/'Methodology &amp; Assumptions'!$B$8, 0)</f>
        <v/>
      </c>
      <c r="R616" s="27" t="n">
        <v>1</v>
      </c>
      <c r="S616" s="26" t="n">
        <v>2.07</v>
      </c>
      <c r="T616" s="26" t="n">
        <v>0.73</v>
      </c>
      <c r="U616" s="11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26" t="n">
        <v>73.95</v>
      </c>
      <c r="W616" s="26" t="n">
        <v>52.74</v>
      </c>
      <c r="X616" s="26">
        <f>ROUND(('Methodology &amp; Assumptions'!$B$5*V616) + ('Methodology &amp; Assumptions'!$B$6*W616), 2)</f>
        <v/>
      </c>
      <c r="Y616" s="28" t="n">
        <v>8.300000000000001</v>
      </c>
      <c r="Z616" s="11" t="inlineStr">
        <is>
          <t>Priority Tier 2 (Balanced Opportunity)</t>
        </is>
      </c>
    </row>
    <row r="617">
      <c r="A617" s="23" t="n">
        <v>2</v>
      </c>
      <c r="B617" s="23" t="n">
        <v>613</v>
      </c>
      <c r="C617" s="23" t="n">
        <v>1613</v>
      </c>
      <c r="D617" s="23" t="inlineStr">
        <is>
          <t>0403404018</t>
        </is>
      </c>
      <c r="E617" s="11" t="inlineStr">
        <is>
          <t>Region IV-A (CALABARZON)</t>
        </is>
      </c>
      <c r="F617" s="11" t="inlineStr">
        <is>
          <t>Laguna</t>
        </is>
      </c>
      <c r="G617" s="11" t="inlineStr">
        <is>
          <t>City of Cabuyao</t>
        </is>
      </c>
      <c r="H617" s="11" t="inlineStr">
        <is>
          <t>Barangay Dos</t>
        </is>
      </c>
      <c r="I617" s="24" t="n">
        <v>14.278811</v>
      </c>
      <c r="J617" s="24" t="n">
        <v>121.124855</v>
      </c>
      <c r="K617" s="23" t="inlineStr">
        <is>
          <t>U</t>
        </is>
      </c>
      <c r="L617" s="25" t="n">
        <v>1724</v>
      </c>
      <c r="M617" s="26" t="n">
        <v>3.3</v>
      </c>
      <c r="N617" s="25">
        <f>ROUND(L617/M617, 0)</f>
        <v/>
      </c>
      <c r="O617" s="25">
        <f>ROUND(N617*'Methodology &amp; Assumptions'!$B$7, 0)</f>
        <v/>
      </c>
      <c r="P617" s="23" t="inlineStr">
        <is>
          <t>Single Carrier (Band n50, 100MHz TDD)</t>
        </is>
      </c>
      <c r="Q617" s="27">
        <f>ROUNDUP(O617/'Methodology &amp; Assumptions'!$B$8, 0)</f>
        <v/>
      </c>
      <c r="R617" s="27" t="n">
        <v>1</v>
      </c>
      <c r="S617" s="26" t="n">
        <v>1.65</v>
      </c>
      <c r="T617" s="26" t="n">
        <v>0.78</v>
      </c>
      <c r="U617" s="11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26" t="n">
        <v>65.72</v>
      </c>
      <c r="W617" s="26" t="n">
        <v>60.95</v>
      </c>
      <c r="X617" s="26">
        <f>ROUND(('Methodology &amp; Assumptions'!$B$5*V617) + ('Methodology &amp; Assumptions'!$B$6*W617), 2)</f>
        <v/>
      </c>
      <c r="Y617" s="28" t="n">
        <v>7.2</v>
      </c>
      <c r="Z617" s="11" t="inlineStr">
        <is>
          <t>Priority Tier 2 (Balanced Opportunity)</t>
        </is>
      </c>
    </row>
    <row r="618">
      <c r="A618" s="23" t="n">
        <v>2</v>
      </c>
      <c r="B618" s="23" t="n">
        <v>614</v>
      </c>
      <c r="C618" s="23" t="n">
        <v>1614</v>
      </c>
      <c r="D618" s="23" t="inlineStr">
        <is>
          <t>1003502012</t>
        </is>
      </c>
      <c r="E618" s="11" t="inlineStr">
        <is>
          <t>Region X (Northern Mindanao)</t>
        </is>
      </c>
      <c r="F618" s="11" t="inlineStr">
        <is>
          <t>Lanao del Norte</t>
        </is>
      </c>
      <c r="G618" s="11" t="inlineStr">
        <is>
          <t>Baloi</t>
        </is>
      </c>
      <c r="H618" s="11" t="inlineStr">
        <is>
          <t>Landa</t>
        </is>
      </c>
      <c r="I618" s="24" t="n">
        <v>8.1136</v>
      </c>
      <c r="J618" s="24" t="n">
        <v>124.2589</v>
      </c>
      <c r="K618" s="23" t="inlineStr">
        <is>
          <t>R</t>
        </is>
      </c>
      <c r="L618" s="25" t="n">
        <v>3451</v>
      </c>
      <c r="M618" s="26" t="n">
        <v>4.2</v>
      </c>
      <c r="N618" s="25">
        <f>ROUND(L618/M618, 0)</f>
        <v/>
      </c>
      <c r="O618" s="25">
        <f>ROUND(N618*'Methodology &amp; Assumptions'!$B$7, 0)</f>
        <v/>
      </c>
      <c r="P618" s="23" t="inlineStr">
        <is>
          <t>Single Carrier (Band n50, 100MHz TDD)</t>
        </is>
      </c>
      <c r="Q618" s="27">
        <f>ROUNDUP(O618/'Methodology &amp; Assumptions'!$B$8, 0)</f>
        <v/>
      </c>
      <c r="R618" s="27" t="n">
        <v>1</v>
      </c>
      <c r="S618" s="26" t="n">
        <v>11.64</v>
      </c>
      <c r="T618" s="26" t="n">
        <v>2.76</v>
      </c>
      <c r="U618" s="11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26" t="n">
        <v>63.87</v>
      </c>
      <c r="W618" s="26" t="n">
        <v>62.81</v>
      </c>
      <c r="X618" s="26">
        <f>ROUND(('Methodology &amp; Assumptions'!$B$5*V618) + ('Methodology &amp; Assumptions'!$B$6*W618), 2)</f>
        <v/>
      </c>
      <c r="Y618" s="28" t="n">
        <v>17.4</v>
      </c>
      <c r="Z618" s="11" t="inlineStr">
        <is>
          <t>Priority Tier 2 (Balanced Opportunity)</t>
        </is>
      </c>
    </row>
    <row r="619">
      <c r="A619" s="23" t="n">
        <v>2</v>
      </c>
      <c r="B619" s="23" t="n">
        <v>615</v>
      </c>
      <c r="C619" s="23" t="n">
        <v>1615</v>
      </c>
      <c r="D619" s="23" t="inlineStr">
        <is>
          <t>0603014004</t>
        </is>
      </c>
      <c r="E619" s="11" t="inlineStr">
        <is>
          <t>Region VI (Western Visayas)</t>
        </is>
      </c>
      <c r="F619" s="11" t="inlineStr">
        <is>
          <t>Iloilo</t>
        </is>
      </c>
      <c r="G619" s="11" t="inlineStr">
        <is>
          <t>Carles</t>
        </is>
      </c>
      <c r="H619" s="11" t="inlineStr">
        <is>
          <t>Bancal</t>
        </is>
      </c>
      <c r="I619" s="24" t="n">
        <v>11.559247</v>
      </c>
      <c r="J619" s="24" t="n">
        <v>123.237797</v>
      </c>
      <c r="K619" s="23" t="inlineStr">
        <is>
          <t>U</t>
        </is>
      </c>
      <c r="L619" s="25" t="n">
        <v>5945</v>
      </c>
      <c r="M619" s="26" t="n">
        <v>3.8</v>
      </c>
      <c r="N619" s="25">
        <f>ROUND(L619/M619, 0)</f>
        <v/>
      </c>
      <c r="O619" s="25">
        <f>ROUND(N619*'Methodology &amp; Assumptions'!$B$7, 0)</f>
        <v/>
      </c>
      <c r="P619" s="23" t="inlineStr">
        <is>
          <t>Single Carrier (Band n50, 100MHz TDD)</t>
        </is>
      </c>
      <c r="Q619" s="27">
        <f>ROUNDUP(O619/'Methodology &amp; Assumptions'!$B$8, 0)</f>
        <v/>
      </c>
      <c r="R619" s="27" t="n">
        <v>1</v>
      </c>
      <c r="S619" s="26" t="n">
        <v>16.54</v>
      </c>
      <c r="T619" s="26" t="n">
        <v>17.41</v>
      </c>
      <c r="U619" s="11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26" t="n">
        <v>55.61</v>
      </c>
      <c r="W619" s="26" t="n">
        <v>71.06999999999999</v>
      </c>
      <c r="X619" s="26">
        <f>ROUND(('Methodology &amp; Assumptions'!$B$5*V619) + ('Methodology &amp; Assumptions'!$B$6*W619), 2)</f>
        <v/>
      </c>
      <c r="Y619" s="28" t="n">
        <v>23.7</v>
      </c>
      <c r="Z619" s="11" t="inlineStr">
        <is>
          <t>Priority Tier 2 (Balanced Opportunity)</t>
        </is>
      </c>
    </row>
    <row r="620">
      <c r="A620" s="23" t="n">
        <v>2</v>
      </c>
      <c r="B620" s="23" t="n">
        <v>616</v>
      </c>
      <c r="C620" s="23" t="n">
        <v>1616</v>
      </c>
      <c r="D620" s="23" t="inlineStr">
        <is>
          <t>1381100089</t>
        </is>
      </c>
      <c r="E620" s="11" t="inlineStr">
        <is>
          <t>National Capital Region (NCR)</t>
        </is>
      </c>
      <c r="F620" s="11" t="inlineStr">
        <is>
          <t>Fourth District (Not a Province)</t>
        </is>
      </c>
      <c r="G620" s="11" t="inlineStr">
        <is>
          <t>Pasay City</t>
        </is>
      </c>
      <c r="H620" s="11" t="inlineStr">
        <is>
          <t>Barangay 89</t>
        </is>
      </c>
      <c r="I620" s="24" t="n">
        <v>14.543767</v>
      </c>
      <c r="J620" s="24" t="n">
        <v>120.998376</v>
      </c>
      <c r="K620" s="23" t="inlineStr">
        <is>
          <t>U</t>
        </is>
      </c>
      <c r="L620" s="25" t="n">
        <v>1432</v>
      </c>
      <c r="M620" s="26" t="n">
        <v>3.21</v>
      </c>
      <c r="N620" s="25">
        <f>ROUND(L620/M620, 0)</f>
        <v/>
      </c>
      <c r="O620" s="25">
        <f>ROUND(N620*'Methodology &amp; Assumptions'!$B$7, 0)</f>
        <v/>
      </c>
      <c r="P620" s="23" t="inlineStr">
        <is>
          <t>Single Carrier (Band n50, 100MHz TDD)</t>
        </is>
      </c>
      <c r="Q620" s="27">
        <f>ROUNDUP(O620/'Methodology &amp; Assumptions'!$B$8, 0)</f>
        <v/>
      </c>
      <c r="R620" s="27" t="n">
        <v>1</v>
      </c>
      <c r="S620" s="26" t="n">
        <v>0.43</v>
      </c>
      <c r="T620" s="26" t="n">
        <v>0.24</v>
      </c>
      <c r="U620" s="11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26" t="n">
        <v>55.45</v>
      </c>
      <c r="W620" s="26" t="n">
        <v>71.23</v>
      </c>
      <c r="X620" s="26">
        <f>ROUND(('Methodology &amp; Assumptions'!$B$5*V620) + ('Methodology &amp; Assumptions'!$B$6*W620), 2)</f>
        <v/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2</v>
      </c>
      <c r="B621" s="23" t="n">
        <v>617</v>
      </c>
      <c r="C621" s="23" t="n">
        <v>1617</v>
      </c>
      <c r="D621" s="23" t="inlineStr">
        <is>
          <t>0402117007</t>
        </is>
      </c>
      <c r="E621" s="11" t="inlineStr">
        <is>
          <t>Region IV-A (CALABARZON)</t>
        </is>
      </c>
      <c r="F621" s="11" t="inlineStr">
        <is>
          <t>Cavite</t>
        </is>
      </c>
      <c r="G621" s="11" t="inlineStr">
        <is>
          <t>Rosario</t>
        </is>
      </c>
      <c r="H621" s="11" t="inlineStr">
        <is>
          <t>Muzon I</t>
        </is>
      </c>
      <c r="I621" s="24" t="n">
        <v>14.421047</v>
      </c>
      <c r="J621" s="24" t="n">
        <v>120.854093</v>
      </c>
      <c r="K621" s="23" t="inlineStr">
        <is>
          <t>R</t>
        </is>
      </c>
      <c r="L621" s="25" t="n">
        <v>4091</v>
      </c>
      <c r="M621" s="26" t="n">
        <v>3.4</v>
      </c>
      <c r="N621" s="25">
        <f>ROUND(L621/M621, 0)</f>
        <v/>
      </c>
      <c r="O621" s="25">
        <f>ROUND(N621*'Methodology &amp; Assumptions'!$B$7, 0)</f>
        <v/>
      </c>
      <c r="P621" s="23" t="inlineStr">
        <is>
          <t>Single Carrier (Band n50, 100MHz TDD)</t>
        </is>
      </c>
      <c r="Q621" s="27">
        <f>ROUNDUP(O621/'Methodology &amp; Assumptions'!$B$8, 0)</f>
        <v/>
      </c>
      <c r="R621" s="27" t="n">
        <v>1</v>
      </c>
      <c r="S621" s="26" t="n">
        <v>2.68</v>
      </c>
      <c r="T621" s="26" t="n">
        <v>2.87</v>
      </c>
      <c r="U621" s="11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26" t="n">
        <v>75.5</v>
      </c>
      <c r="W621" s="26" t="n">
        <v>51.17</v>
      </c>
      <c r="X621" s="26">
        <f>ROUND(('Methodology &amp; Assumptions'!$B$5*V621) + ('Methodology &amp; Assumptions'!$B$6*W621), 2)</f>
        <v/>
      </c>
      <c r="Y621" s="28" t="n">
        <v>7.2</v>
      </c>
      <c r="Z621" s="11" t="inlineStr">
        <is>
          <t>Priority Tier 2 (Balanced Opportunity)</t>
        </is>
      </c>
    </row>
    <row r="622">
      <c r="A622" s="23" t="n">
        <v>2</v>
      </c>
      <c r="B622" s="23" t="n">
        <v>618</v>
      </c>
      <c r="C622" s="23" t="n">
        <v>1618</v>
      </c>
      <c r="D622" s="23" t="inlineStr">
        <is>
          <t>1381000014</t>
        </is>
      </c>
      <c r="E622" s="11" t="inlineStr">
        <is>
          <t>National Capital Region (NCR)</t>
        </is>
      </c>
      <c r="F622" s="11" t="inlineStr">
        <is>
          <t>Fourth District (Not a Province)</t>
        </is>
      </c>
      <c r="G622" s="11" t="inlineStr">
        <is>
          <t>City of Parañaque</t>
        </is>
      </c>
      <c r="H622" s="11" t="inlineStr">
        <is>
          <t>San Martin De Porres</t>
        </is>
      </c>
      <c r="I622" s="24" t="n">
        <v>14.49427</v>
      </c>
      <c r="J622" s="24" t="n">
        <v>121.042587</v>
      </c>
      <c r="K622" s="23" t="inlineStr">
        <is>
          <t>U</t>
        </is>
      </c>
      <c r="L622" s="25" t="n">
        <v>15377</v>
      </c>
      <c r="M622" s="26" t="n">
        <v>3.17</v>
      </c>
      <c r="N622" s="25">
        <f>ROUND(L622/M622, 0)</f>
        <v/>
      </c>
      <c r="O622" s="25">
        <f>ROUND(N622*'Methodology &amp; Assumptions'!$B$7, 0)</f>
        <v/>
      </c>
      <c r="P622" s="23" t="inlineStr">
        <is>
          <t>Single Carrier (Band n50, 100MHz TDD)</t>
        </is>
      </c>
      <c r="Q622" s="27">
        <f>ROUNDUP(O622/'Methodology &amp; Assumptions'!$B$8, 0)</f>
        <v/>
      </c>
      <c r="R622" s="27" t="n">
        <v>1</v>
      </c>
      <c r="S622" s="26" t="n">
        <v>0.89</v>
      </c>
      <c r="T622" s="26" t="n">
        <v>0.21</v>
      </c>
      <c r="U622" s="11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26" t="n">
        <v>68.55</v>
      </c>
      <c r="W622" s="26" t="n">
        <v>58.12</v>
      </c>
      <c r="X622" s="26">
        <f>ROUND(('Methodology &amp; Assumptions'!$B$5*V622) + ('Methodology &amp; Assumptions'!$B$6*W622), 2)</f>
        <v/>
      </c>
      <c r="Y622" s="28" t="n">
        <v>10.9</v>
      </c>
      <c r="Z622" s="11" t="inlineStr">
        <is>
          <t>Priority Tier 2 (Balanced Opportunity)</t>
        </is>
      </c>
    </row>
    <row r="623">
      <c r="A623" s="23" t="n">
        <v>2</v>
      </c>
      <c r="B623" s="23" t="n">
        <v>619</v>
      </c>
      <c r="C623" s="23" t="n">
        <v>1619</v>
      </c>
      <c r="D623" s="23" t="inlineStr">
        <is>
          <t>0102908002</t>
        </is>
      </c>
      <c r="E623" s="11" t="inlineStr">
        <is>
          <t>Region I (Ilocos Region)</t>
        </is>
      </c>
      <c r="F623" s="11" t="inlineStr">
        <is>
          <t>Ilocos Sur</t>
        </is>
      </c>
      <c r="G623" s="11" t="inlineStr">
        <is>
          <t>Cervantes</t>
        </is>
      </c>
      <c r="H623" s="11" t="inlineStr">
        <is>
          <t>Comillas North</t>
        </is>
      </c>
      <c r="I623" s="24" t="n">
        <v>16.943769</v>
      </c>
      <c r="J623" s="24" t="n">
        <v>120.746091</v>
      </c>
      <c r="K623" s="23" t="inlineStr">
        <is>
          <t>R</t>
        </is>
      </c>
      <c r="L623" s="25" t="n">
        <v>2377</v>
      </c>
      <c r="M623" s="26" t="n">
        <v>3.8</v>
      </c>
      <c r="N623" s="25">
        <f>ROUND(L623/M623, 0)</f>
        <v/>
      </c>
      <c r="O623" s="25">
        <f>ROUND(N623*'Methodology &amp; Assumptions'!$B$7, 0)</f>
        <v/>
      </c>
      <c r="P623" s="23" t="inlineStr">
        <is>
          <t>Single Carrier (Band n50, 100MHz TDD)</t>
        </is>
      </c>
      <c r="Q623" s="27">
        <f>ROUNDUP(O623/'Methodology &amp; Assumptions'!$B$8, 0)</f>
        <v/>
      </c>
      <c r="R623" s="27" t="n">
        <v>1</v>
      </c>
      <c r="S623" s="26" t="n">
        <v>5.24</v>
      </c>
      <c r="T623" s="26" t="n">
        <v>0.65</v>
      </c>
      <c r="U623" s="11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26" t="n">
        <v>67.5</v>
      </c>
      <c r="W623" s="26" t="n">
        <v>59.16</v>
      </c>
      <c r="X623" s="26">
        <f>ROUND(('Methodology &amp; Assumptions'!$B$5*V623) + ('Methodology &amp; Assumptions'!$B$6*W623), 2)</f>
        <v/>
      </c>
      <c r="Y623" s="28" t="n">
        <v>8.300000000000001</v>
      </c>
      <c r="Z623" s="11" t="inlineStr">
        <is>
          <t>Priority Tier 2 (Balanced Opportunity)</t>
        </is>
      </c>
    </row>
    <row r="624">
      <c r="A624" s="23" t="n">
        <v>2</v>
      </c>
      <c r="B624" s="23" t="n">
        <v>620</v>
      </c>
      <c r="C624" s="23" t="n">
        <v>1620</v>
      </c>
      <c r="D624" s="23" t="inlineStr">
        <is>
          <t>0301420057</t>
        </is>
      </c>
      <c r="E624" s="11" t="inlineStr">
        <is>
          <t>Region III (Central Luzon)</t>
        </is>
      </c>
      <c r="F624" s="11" t="inlineStr">
        <is>
          <t>Bulacan</t>
        </is>
      </c>
      <c r="G624" s="11" t="inlineStr">
        <is>
          <t>City of San Jose Del Monte</t>
        </is>
      </c>
      <c r="H624" s="11" t="inlineStr">
        <is>
          <t>Santa Cruz V</t>
        </is>
      </c>
      <c r="I624" s="24" t="n">
        <v>14.856297</v>
      </c>
      <c r="J624" s="24" t="n">
        <v>121.049033</v>
      </c>
      <c r="K624" s="23" t="inlineStr">
        <is>
          <t>R</t>
        </is>
      </c>
      <c r="L624" s="25" t="n">
        <v>3984</v>
      </c>
      <c r="M624" s="26" t="n">
        <v>3.5</v>
      </c>
      <c r="N624" s="25">
        <f>ROUND(L624/M624, 0)</f>
        <v/>
      </c>
      <c r="O624" s="25">
        <f>ROUND(N624*'Methodology &amp; Assumptions'!$B$7, 0)</f>
        <v/>
      </c>
      <c r="P624" s="23" t="inlineStr">
        <is>
          <t>Single Carrier (Band n50, 100MHz TDD)</t>
        </is>
      </c>
      <c r="Q624" s="27">
        <f>ROUNDUP(O624/'Methodology &amp; Assumptions'!$B$8, 0)</f>
        <v/>
      </c>
      <c r="R624" s="27" t="n">
        <v>1</v>
      </c>
      <c r="S624" s="26" t="n">
        <v>2.04</v>
      </c>
      <c r="T624" s="26" t="n">
        <v>2.96</v>
      </c>
      <c r="U624" s="11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26" t="n">
        <v>77.75</v>
      </c>
      <c r="W624" s="26" t="n">
        <v>48.9</v>
      </c>
      <c r="X624" s="26">
        <f>ROUND(('Methodology &amp; Assumptions'!$B$5*V624) + ('Methodology &amp; Assumptions'!$B$6*W624), 2)</f>
        <v/>
      </c>
      <c r="Y624" s="28" t="n">
        <v>8.300000000000001</v>
      </c>
      <c r="Z624" s="11" t="inlineStr">
        <is>
          <t>Priority Tier 2 (Balanced Opportunity)</t>
        </is>
      </c>
    </row>
    <row r="625">
      <c r="A625" s="23" t="n">
        <v>2</v>
      </c>
      <c r="B625" s="23" t="n">
        <v>621</v>
      </c>
      <c r="C625" s="23" t="n">
        <v>1621</v>
      </c>
      <c r="D625" s="23" t="inlineStr">
        <is>
          <t>0402123009</t>
        </is>
      </c>
      <c r="E625" s="11" t="inlineStr">
        <is>
          <t>Region IV-A (CALABARZON)</t>
        </is>
      </c>
      <c r="F625" s="11" t="inlineStr">
        <is>
          <t>Cavite</t>
        </is>
      </c>
      <c r="G625" s="11" t="inlineStr">
        <is>
          <t>Gen. Mariano Alvarez</t>
        </is>
      </c>
      <c r="H625" s="11" t="inlineStr">
        <is>
          <t>Epifanio Malia</t>
        </is>
      </c>
      <c r="I625" s="24" t="n">
        <v>14.31214</v>
      </c>
      <c r="J625" s="24" t="n">
        <v>121.023347</v>
      </c>
      <c r="K625" s="23" t="inlineStr">
        <is>
          <t>R</t>
        </is>
      </c>
      <c r="L625" s="25" t="n">
        <v>4369</v>
      </c>
      <c r="M625" s="26" t="n">
        <v>3.4</v>
      </c>
      <c r="N625" s="25">
        <f>ROUND(L625/M625, 0)</f>
        <v/>
      </c>
      <c r="O625" s="25">
        <f>ROUND(N625*'Methodology &amp; Assumptions'!$B$7, 0)</f>
        <v/>
      </c>
      <c r="P625" s="23" t="inlineStr">
        <is>
          <t>Single Carrier (Band n50, 100MHz TDD)</t>
        </is>
      </c>
      <c r="Q625" s="27">
        <f>ROUNDUP(O625/'Methodology &amp; Assumptions'!$B$8, 0)</f>
        <v/>
      </c>
      <c r="R625" s="27" t="n">
        <v>1</v>
      </c>
      <c r="S625" s="26" t="n">
        <v>2</v>
      </c>
      <c r="T625" s="26" t="n">
        <v>2.88</v>
      </c>
      <c r="U625" s="11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26" t="n">
        <v>77.72</v>
      </c>
      <c r="W625" s="26" t="n">
        <v>48.92</v>
      </c>
      <c r="X625" s="26">
        <f>ROUND(('Methodology &amp; Assumptions'!$B$5*V625) + ('Methodology &amp; Assumptions'!$B$6*W625), 2)</f>
        <v/>
      </c>
      <c r="Y625" s="28" t="n">
        <v>7.2</v>
      </c>
      <c r="Z625" s="11" t="inlineStr">
        <is>
          <t>Priority Tier 2 (Balanced Opportunity)</t>
        </is>
      </c>
    </row>
    <row r="626">
      <c r="A626" s="23" t="n">
        <v>2</v>
      </c>
      <c r="B626" s="23" t="n">
        <v>622</v>
      </c>
      <c r="C626" s="23" t="n">
        <v>1622</v>
      </c>
      <c r="D626" s="23" t="inlineStr">
        <is>
          <t>0405808002</t>
        </is>
      </c>
      <c r="E626" s="11" t="inlineStr">
        <is>
          <t>Region IV-A (CALABARZON)</t>
        </is>
      </c>
      <c r="F626" s="11" t="inlineStr">
        <is>
          <t>Rizal</t>
        </is>
      </c>
      <c r="G626" s="11" t="inlineStr">
        <is>
          <t>Rodriguez</t>
        </is>
      </c>
      <c r="H626" s="11" t="inlineStr">
        <is>
          <t>Burgos</t>
        </is>
      </c>
      <c r="I626" s="24" t="n">
        <v>14.71869</v>
      </c>
      <c r="J626" s="24" t="n">
        <v>121.1406</v>
      </c>
      <c r="K626" s="23" t="inlineStr">
        <is>
          <t>U</t>
        </is>
      </c>
      <c r="L626" s="25" t="n">
        <v>49247</v>
      </c>
      <c r="M626" s="26" t="n">
        <v>3.6</v>
      </c>
      <c r="N626" s="25">
        <f>ROUND(L626/M626, 0)</f>
        <v/>
      </c>
      <c r="O626" s="25">
        <f>ROUND(N626*'Methodology &amp; Assumptions'!$B$7, 0)</f>
        <v/>
      </c>
      <c r="P626" s="23" t="inlineStr">
        <is>
          <t>Single Carrier (Band n50, 100MHz TDD)</t>
        </is>
      </c>
      <c r="Q626" s="27">
        <f>ROUNDUP(O626/'Methodology &amp; Assumptions'!$B$8, 0)</f>
        <v/>
      </c>
      <c r="R626" s="27" t="n">
        <v>1</v>
      </c>
      <c r="S626" s="26" t="n">
        <v>1.21</v>
      </c>
      <c r="T626" s="26" t="n">
        <v>0.32</v>
      </c>
      <c r="U626" s="11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26" t="n">
        <v>75.45</v>
      </c>
      <c r="W626" s="26" t="n">
        <v>51.19</v>
      </c>
      <c r="X626" s="26">
        <f>ROUND(('Methodology &amp; Assumptions'!$B$5*V626) + ('Methodology &amp; Assumptions'!$B$6*W626), 2)</f>
        <v/>
      </c>
      <c r="Y626" s="28" t="n">
        <v>7.2</v>
      </c>
      <c r="Z626" s="11" t="inlineStr">
        <is>
          <t>Priority Tier 2 (Balanced Opportunity)</t>
        </is>
      </c>
    </row>
    <row r="627">
      <c r="A627" s="23" t="n">
        <v>2</v>
      </c>
      <c r="B627" s="23" t="n">
        <v>623</v>
      </c>
      <c r="C627" s="23" t="n">
        <v>1623</v>
      </c>
      <c r="D627" s="23" t="inlineStr">
        <is>
          <t>1908706002</t>
        </is>
      </c>
      <c r="E627" s="11" t="inlineStr">
        <is>
          <t>Bangsamoro Autonomous Region In Muslim Mindanao (BARMM)</t>
        </is>
      </c>
      <c r="F627" s="11" t="inlineStr">
        <is>
          <t>Maguindanao del Norte</t>
        </is>
      </c>
      <c r="G627" s="11" t="inlineStr">
        <is>
          <t>Kabuntalan</t>
        </is>
      </c>
      <c r="H627" s="11" t="inlineStr">
        <is>
          <t>Buterin</t>
        </is>
      </c>
      <c r="I627" s="24" t="n">
        <v>7.086847</v>
      </c>
      <c r="J627" s="24" t="n">
        <v>124.364328</v>
      </c>
      <c r="K627" s="23" t="inlineStr">
        <is>
          <t>R</t>
        </is>
      </c>
      <c r="L627" s="25" t="n">
        <v>3136</v>
      </c>
      <c r="M627" s="26" t="n">
        <v>4.3</v>
      </c>
      <c r="N627" s="25">
        <f>ROUND(L627/M627, 0)</f>
        <v/>
      </c>
      <c r="O627" s="25">
        <f>ROUND(N627*'Methodology &amp; Assumptions'!$B$7, 0)</f>
        <v/>
      </c>
      <c r="P627" s="23" t="inlineStr">
        <is>
          <t>Single Carrier (Band n50, 100MHz TDD)</t>
        </is>
      </c>
      <c r="Q627" s="27">
        <f>ROUNDUP(O627/'Methodology &amp; Assumptions'!$B$8, 0)</f>
        <v/>
      </c>
      <c r="R627" s="27" t="n">
        <v>1</v>
      </c>
      <c r="S627" s="26" t="n">
        <v>49.42</v>
      </c>
      <c r="T627" s="26" t="n">
        <v>48.77</v>
      </c>
      <c r="U627" s="11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26" t="n">
        <v>54.51</v>
      </c>
      <c r="W627" s="26" t="n">
        <v>72.14</v>
      </c>
      <c r="X627" s="26">
        <f>ROUND(('Methodology &amp; Assumptions'!$B$5*V627) + ('Methodology &amp; Assumptions'!$B$6*W627), 2)</f>
        <v/>
      </c>
      <c r="Y627" s="28" t="n">
        <v>11</v>
      </c>
      <c r="Z627" s="11" t="inlineStr">
        <is>
          <t>Priority Tier 2 (Balanced Opportunity)</t>
        </is>
      </c>
    </row>
    <row r="628">
      <c r="A628" s="23" t="n">
        <v>2</v>
      </c>
      <c r="B628" s="23" t="n">
        <v>624</v>
      </c>
      <c r="C628" s="23" t="n">
        <v>1624</v>
      </c>
      <c r="D628" s="23" t="inlineStr">
        <is>
          <t>0102901011</t>
        </is>
      </c>
      <c r="E628" s="11" t="inlineStr">
        <is>
          <t>Region I (Ilocos Region)</t>
        </is>
      </c>
      <c r="F628" s="11" t="inlineStr">
        <is>
          <t>Ilocos Sur</t>
        </is>
      </c>
      <c r="G628" s="11" t="inlineStr">
        <is>
          <t>Alilem</t>
        </is>
      </c>
      <c r="H628" s="11" t="inlineStr">
        <is>
          <t>Dalawa</t>
        </is>
      </c>
      <c r="I628" s="24" t="n">
        <v>16.898557</v>
      </c>
      <c r="J628" s="24" t="n">
        <v>120.519136</v>
      </c>
      <c r="K628" s="23" t="inlineStr">
        <is>
          <t>R</t>
        </is>
      </c>
      <c r="L628" s="25" t="n">
        <v>1448</v>
      </c>
      <c r="M628" s="26" t="n">
        <v>3.8</v>
      </c>
      <c r="N628" s="25">
        <f>ROUND(L628/M628, 0)</f>
        <v/>
      </c>
      <c r="O628" s="25">
        <f>ROUND(N628*'Methodology &amp; Assumptions'!$B$7, 0)</f>
        <v/>
      </c>
      <c r="P628" s="23" t="inlineStr">
        <is>
          <t>Single Carrier (Band n50, 100MHz TDD)</t>
        </is>
      </c>
      <c r="Q628" s="27">
        <f>ROUNDUP(O628/'Methodology &amp; Assumptions'!$B$8, 0)</f>
        <v/>
      </c>
      <c r="R628" s="27" t="n">
        <v>1</v>
      </c>
      <c r="S628" s="26" t="n">
        <v>8.640000000000001</v>
      </c>
      <c r="T628" s="26" t="n">
        <v>6</v>
      </c>
      <c r="U628" s="11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26" t="n">
        <v>51.89</v>
      </c>
      <c r="W628" s="26" t="n">
        <v>74.75</v>
      </c>
      <c r="X628" s="26">
        <f>ROUND(('Methodology &amp; Assumptions'!$B$5*V628) + ('Methodology &amp; Assumptions'!$B$6*W628), 2)</f>
        <v/>
      </c>
      <c r="Y628" s="28" t="n">
        <v>8.300000000000001</v>
      </c>
      <c r="Z628" s="11" t="inlineStr">
        <is>
          <t>Priority Tier 2 (Balanced Opportunity)</t>
        </is>
      </c>
    </row>
    <row r="629">
      <c r="A629" s="23" t="n">
        <v>2</v>
      </c>
      <c r="B629" s="23" t="n">
        <v>625</v>
      </c>
      <c r="C629" s="23" t="n">
        <v>1625</v>
      </c>
      <c r="D629" s="23" t="inlineStr">
        <is>
          <t>0702232017</t>
        </is>
      </c>
      <c r="E629" s="11" t="inlineStr">
        <is>
          <t>Region VII (Central Visayas)</t>
        </is>
      </c>
      <c r="F629" s="11" t="inlineStr">
        <is>
          <t>Cebu</t>
        </is>
      </c>
      <c r="G629" s="11" t="inlineStr">
        <is>
          <t>Minglanilla</t>
        </is>
      </c>
      <c r="H629" s="11" t="inlineStr">
        <is>
          <t>Tungkop</t>
        </is>
      </c>
      <c r="I629" s="24" t="n">
        <v>10.232959</v>
      </c>
      <c r="J629" s="24" t="n">
        <v>123.785081</v>
      </c>
      <c r="K629" s="23" t="inlineStr">
        <is>
          <t>U</t>
        </is>
      </c>
      <c r="L629" s="25" t="n">
        <v>14574</v>
      </c>
      <c r="M629" s="26" t="n">
        <v>3.8</v>
      </c>
      <c r="N629" s="25">
        <f>ROUND(L629/M629, 0)</f>
        <v/>
      </c>
      <c r="O629" s="25">
        <f>ROUND(N629*'Methodology &amp; Assumptions'!$B$7, 0)</f>
        <v/>
      </c>
      <c r="P629" s="23" t="inlineStr">
        <is>
          <t>Single Carrier (Band n50, 100MHz TDD)</t>
        </is>
      </c>
      <c r="Q629" s="27">
        <f>ROUNDUP(O629/'Methodology &amp; Assumptions'!$B$8, 0)</f>
        <v/>
      </c>
      <c r="R629" s="27" t="n">
        <v>1</v>
      </c>
      <c r="S629" s="26" t="n">
        <v>1.02</v>
      </c>
      <c r="T629" s="26" t="n">
        <v>0.23</v>
      </c>
      <c r="U629" s="11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26" t="n">
        <v>80.18000000000001</v>
      </c>
      <c r="W629" s="26" t="n">
        <v>46.45</v>
      </c>
      <c r="X629" s="26">
        <f>ROUND(('Methodology &amp; Assumptions'!$B$5*V629) + ('Methodology &amp; Assumptions'!$B$6*W629), 2)</f>
        <v/>
      </c>
      <c r="Y629" s="28" t="n">
        <v>23.7</v>
      </c>
      <c r="Z629" s="11" t="inlineStr">
        <is>
          <t>Priority Tier 2 (Balanced Opportunity)</t>
        </is>
      </c>
    </row>
    <row r="630">
      <c r="A630" s="23" t="n">
        <v>2</v>
      </c>
      <c r="B630" s="23" t="n">
        <v>626</v>
      </c>
      <c r="C630" s="23" t="n">
        <v>1626</v>
      </c>
      <c r="D630" s="23" t="inlineStr">
        <is>
          <t>0306916056</t>
        </is>
      </c>
      <c r="E630" s="11" t="inlineStr">
        <is>
          <t>Region III (Central Luzon)</t>
        </is>
      </c>
      <c r="F630" s="11" t="inlineStr">
        <is>
          <t>Tarlac</t>
        </is>
      </c>
      <c r="G630" s="11" t="inlineStr">
        <is>
          <t>City of Tarlac</t>
        </is>
      </c>
      <c r="H630" s="11" t="inlineStr">
        <is>
          <t>Paraiso</t>
        </is>
      </c>
      <c r="I630" s="24" t="n">
        <v>15.442948</v>
      </c>
      <c r="J630" s="24" t="n">
        <v>120.599854</v>
      </c>
      <c r="K630" s="23" t="inlineStr">
        <is>
          <t>R</t>
        </is>
      </c>
      <c r="L630" s="25" t="n">
        <v>3583</v>
      </c>
      <c r="M630" s="26" t="n">
        <v>3.9</v>
      </c>
      <c r="N630" s="25">
        <f>ROUND(L630/M630, 0)</f>
        <v/>
      </c>
      <c r="O630" s="25">
        <f>ROUND(N630*'Methodology &amp; Assumptions'!$B$7, 0)</f>
        <v/>
      </c>
      <c r="P630" s="23" t="inlineStr">
        <is>
          <t>Single Carrier (Band n50, 100MHz TDD)</t>
        </is>
      </c>
      <c r="Q630" s="27">
        <f>ROUNDUP(O630/'Methodology &amp; Assumptions'!$B$8, 0)</f>
        <v/>
      </c>
      <c r="R630" s="27" t="n">
        <v>1</v>
      </c>
      <c r="S630" s="26" t="n">
        <v>2.61</v>
      </c>
      <c r="T630" s="26" t="n">
        <v>0.23</v>
      </c>
      <c r="U630" s="11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26" t="n">
        <v>79.40000000000001</v>
      </c>
      <c r="W630" s="26" t="n">
        <v>47.22</v>
      </c>
      <c r="X630" s="26">
        <f>ROUND(('Methodology &amp; Assumptions'!$B$5*V630) + ('Methodology &amp; Assumptions'!$B$6*W630), 2)</f>
        <v/>
      </c>
      <c r="Y630" s="28" t="n">
        <v>8.300000000000001</v>
      </c>
      <c r="Z630" s="11" t="inlineStr">
        <is>
          <t>Priority Tier 2 (Balanced Opportunity)</t>
        </is>
      </c>
    </row>
    <row r="631">
      <c r="A631" s="23" t="n">
        <v>2</v>
      </c>
      <c r="B631" s="23" t="n">
        <v>627</v>
      </c>
      <c r="C631" s="23" t="n">
        <v>1627</v>
      </c>
      <c r="D631" s="23" t="inlineStr">
        <is>
          <t>0403426025</t>
        </is>
      </c>
      <c r="E631" s="11" t="inlineStr">
        <is>
          <t>Region IV-A (CALABARZON)</t>
        </is>
      </c>
      <c r="F631" s="11" t="inlineStr">
        <is>
          <t>Laguna</t>
        </is>
      </c>
      <c r="G631" s="11" t="inlineStr">
        <is>
          <t>Santa Cruz</t>
        </is>
      </c>
      <c r="H631" s="11" t="inlineStr">
        <is>
          <t>Santo Angel Norte</t>
        </is>
      </c>
      <c r="I631" s="24" t="n">
        <v>14.288122</v>
      </c>
      <c r="J631" s="24" t="n">
        <v>121.407913</v>
      </c>
      <c r="K631" s="23" t="inlineStr">
        <is>
          <t>U</t>
        </is>
      </c>
      <c r="L631" s="25" t="n">
        <v>5938</v>
      </c>
      <c r="M631" s="26" t="n">
        <v>3.3</v>
      </c>
      <c r="N631" s="25">
        <f>ROUND(L631/M631, 0)</f>
        <v/>
      </c>
      <c r="O631" s="25">
        <f>ROUND(N631*'Methodology &amp; Assumptions'!$B$7, 0)</f>
        <v/>
      </c>
      <c r="P631" s="23" t="inlineStr">
        <is>
          <t>Single Carrier (Band n50, 100MHz TDD)</t>
        </is>
      </c>
      <c r="Q631" s="27">
        <f>ROUNDUP(O631/'Methodology &amp; Assumptions'!$B$8, 0)</f>
        <v/>
      </c>
      <c r="R631" s="27" t="n">
        <v>1</v>
      </c>
      <c r="S631" s="26" t="n">
        <v>1.15</v>
      </c>
      <c r="T631" s="26" t="n">
        <v>1.11</v>
      </c>
      <c r="U631" s="11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26" t="n">
        <v>77.08</v>
      </c>
      <c r="W631" s="26" t="n">
        <v>49.54</v>
      </c>
      <c r="X631" s="26">
        <f>ROUND(('Methodology &amp; Assumptions'!$B$5*V631) + ('Methodology &amp; Assumptions'!$B$6*W631), 2)</f>
        <v/>
      </c>
      <c r="Y631" s="28" t="n">
        <v>7.2</v>
      </c>
      <c r="Z631" s="11" t="inlineStr">
        <is>
          <t>Priority Tier 2 (Balanced Opportunity)</t>
        </is>
      </c>
    </row>
    <row r="632">
      <c r="A632" s="23" t="n">
        <v>2</v>
      </c>
      <c r="B632" s="23" t="n">
        <v>628</v>
      </c>
      <c r="C632" s="23" t="n">
        <v>1628</v>
      </c>
      <c r="D632" s="23" t="inlineStr">
        <is>
          <t>0201509009</t>
        </is>
      </c>
      <c r="E632" s="11" t="inlineStr">
        <is>
          <t>Region II (Cagayan Valley)</t>
        </is>
      </c>
      <c r="F632" s="11" t="inlineStr">
        <is>
          <t>Cagayan</t>
        </is>
      </c>
      <c r="G632" s="11" t="inlineStr">
        <is>
          <t>Calayan</t>
        </is>
      </c>
      <c r="H632" s="11" t="inlineStr">
        <is>
          <t>Babuyan Claro</t>
        </is>
      </c>
      <c r="I632" s="24" t="n">
        <v>19.487158</v>
      </c>
      <c r="J632" s="24" t="n">
        <v>121.950212</v>
      </c>
      <c r="K632" s="23" t="inlineStr">
        <is>
          <t>R</t>
        </is>
      </c>
      <c r="L632" s="25" t="n">
        <v>1964</v>
      </c>
      <c r="M632" s="26" t="n">
        <v>3.9</v>
      </c>
      <c r="N632" s="25">
        <f>ROUND(L632/M632, 0)</f>
        <v/>
      </c>
      <c r="O632" s="25">
        <f>ROUND(N632*'Methodology &amp; Assumptions'!$B$7, 0)</f>
        <v/>
      </c>
      <c r="P632" s="23" t="inlineStr">
        <is>
          <t>Single Carrier (Band n50, 100MHz TDD)</t>
        </is>
      </c>
      <c r="Q632" s="27">
        <f>ROUNDUP(O632/'Methodology &amp; Assumptions'!$B$8, 0)</f>
        <v/>
      </c>
      <c r="R632" s="27" t="n">
        <v>1</v>
      </c>
      <c r="S632" s="26" t="n">
        <v>114.63</v>
      </c>
      <c r="T632" s="26" t="n">
        <v>111.57</v>
      </c>
      <c r="U632" s="11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26" t="n">
        <v>50.13</v>
      </c>
      <c r="W632" s="26" t="n">
        <v>76.48999999999999</v>
      </c>
      <c r="X632" s="26">
        <f>ROUND(('Methodology &amp; Assumptions'!$B$5*V632) + ('Methodology &amp; Assumptions'!$B$6*W632), 2)</f>
        <v/>
      </c>
      <c r="Y632" s="28" t="n">
        <v>8.300000000000001</v>
      </c>
      <c r="Z632" s="11" t="inlineStr">
        <is>
          <t>Priority Tier 2 (Balanced Opportunity)</t>
        </is>
      </c>
    </row>
    <row r="633">
      <c r="A633" s="23" t="n">
        <v>2</v>
      </c>
      <c r="B633" s="23" t="n">
        <v>629</v>
      </c>
      <c r="C633" s="23" t="n">
        <v>1629</v>
      </c>
      <c r="D633" s="23" t="inlineStr">
        <is>
          <t>0102807001</t>
        </is>
      </c>
      <c r="E633" s="11" t="inlineStr">
        <is>
          <t>Region I (Ilocos Region)</t>
        </is>
      </c>
      <c r="F633" s="11" t="inlineStr">
        <is>
          <t>Ilocos Norte</t>
        </is>
      </c>
      <c r="G633" s="11" t="inlineStr">
        <is>
          <t>Carasi</t>
        </is>
      </c>
      <c r="H633" s="11" t="inlineStr">
        <is>
          <t>Angset</t>
        </is>
      </c>
      <c r="I633" s="24" t="n">
        <v>18.281045</v>
      </c>
      <c r="J633" s="24" t="n">
        <v>120.907304</v>
      </c>
      <c r="K633" s="23" t="inlineStr">
        <is>
          <t>R</t>
        </is>
      </c>
      <c r="L633" s="25" t="n">
        <v>179</v>
      </c>
      <c r="M633" s="26" t="n">
        <v>3.7</v>
      </c>
      <c r="N633" s="25">
        <f>ROUND(L633/M633, 0)</f>
        <v/>
      </c>
      <c r="O633" s="25">
        <f>ROUND(N633*'Methodology &amp; Assumptions'!$B$7, 0)</f>
        <v/>
      </c>
      <c r="P633" s="23" t="inlineStr">
        <is>
          <t>Single Carrier (Band n50, 100MHz TDD)</t>
        </is>
      </c>
      <c r="Q633" s="27">
        <f>ROUNDUP(O633/'Methodology &amp; Assumptions'!$B$8, 0)</f>
        <v/>
      </c>
      <c r="R633" s="27" t="n">
        <v>1</v>
      </c>
      <c r="S633" s="26" t="n">
        <v>24.08</v>
      </c>
      <c r="T633" s="26" t="n">
        <v>23.7</v>
      </c>
      <c r="U633" s="11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26" t="n">
        <v>39.05</v>
      </c>
      <c r="W633" s="26" t="n">
        <v>87.56999999999999</v>
      </c>
      <c r="X633" s="26">
        <f>ROUND(('Methodology &amp; Assumptions'!$B$5*V633) + ('Methodology &amp; Assumptions'!$B$6*W633), 2)</f>
        <v/>
      </c>
      <c r="Y633" s="28" t="n">
        <v>8.300000000000001</v>
      </c>
      <c r="Z633" s="11" t="inlineStr">
        <is>
          <t>Priority Tier 2 (Balanced Opportunity)</t>
        </is>
      </c>
    </row>
    <row r="634">
      <c r="A634" s="23" t="n">
        <v>2</v>
      </c>
      <c r="B634" s="23" t="n">
        <v>630</v>
      </c>
      <c r="C634" s="23" t="n">
        <v>1630</v>
      </c>
      <c r="D634" s="23" t="inlineStr">
        <is>
          <t>0301408015</t>
        </is>
      </c>
      <c r="E634" s="11" t="inlineStr">
        <is>
          <t>Region III (Central Luzon)</t>
        </is>
      </c>
      <c r="F634" s="11" t="inlineStr">
        <is>
          <t>Bulacan</t>
        </is>
      </c>
      <c r="G634" s="11" t="inlineStr">
        <is>
          <t>Guiguinto</t>
        </is>
      </c>
      <c r="H634" s="11" t="inlineStr">
        <is>
          <t>Tuktukan</t>
        </is>
      </c>
      <c r="I634" s="24" t="n">
        <v>14.827757</v>
      </c>
      <c r="J634" s="24" t="n">
        <v>120.8916</v>
      </c>
      <c r="K634" s="23" t="inlineStr">
        <is>
          <t>U</t>
        </is>
      </c>
      <c r="L634" s="25" t="n">
        <v>12398</v>
      </c>
      <c r="M634" s="26" t="n">
        <v>3.5</v>
      </c>
      <c r="N634" s="25">
        <f>ROUND(L634/M634, 0)</f>
        <v/>
      </c>
      <c r="O634" s="25">
        <f>ROUND(N634*'Methodology &amp; Assumptions'!$B$7, 0)</f>
        <v/>
      </c>
      <c r="P634" s="23" t="inlineStr">
        <is>
          <t>Single Carrier (Band n50, 100MHz TDD)</t>
        </is>
      </c>
      <c r="Q634" s="27">
        <f>ROUNDUP(O634/'Methodology &amp; Assumptions'!$B$8, 0)</f>
        <v/>
      </c>
      <c r="R634" s="27" t="n">
        <v>1</v>
      </c>
      <c r="S634" s="26" t="n">
        <v>2.02</v>
      </c>
      <c r="T634" s="26" t="n">
        <v>0.01</v>
      </c>
      <c r="U634" s="11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26" t="n">
        <v>74.13</v>
      </c>
      <c r="W634" s="26" t="n">
        <v>52.47</v>
      </c>
      <c r="X634" s="26">
        <f>ROUND(('Methodology &amp; Assumptions'!$B$5*V634) + ('Methodology &amp; Assumptions'!$B$6*W634), 2)</f>
        <v/>
      </c>
      <c r="Y634" s="28" t="n">
        <v>8.300000000000001</v>
      </c>
      <c r="Z634" s="11" t="inlineStr">
        <is>
          <t>Priority Tier 2 (Balanced Opportunity)</t>
        </is>
      </c>
    </row>
    <row r="635">
      <c r="A635" s="23" t="n">
        <v>2</v>
      </c>
      <c r="B635" s="23" t="n">
        <v>631</v>
      </c>
      <c r="C635" s="23" t="n">
        <v>1631</v>
      </c>
      <c r="D635" s="23" t="inlineStr">
        <is>
          <t>1381000003</t>
        </is>
      </c>
      <c r="E635" s="11" t="inlineStr">
        <is>
          <t>National Capital Region (NCR)</t>
        </is>
      </c>
      <c r="F635" s="11" t="inlineStr">
        <is>
          <t>Fourth District (Not a Province)</t>
        </is>
      </c>
      <c r="G635" s="11" t="inlineStr">
        <is>
          <t>City of Parañaque</t>
        </is>
      </c>
      <c r="H635" s="11" t="inlineStr">
        <is>
          <t>La Huerta</t>
        </is>
      </c>
      <c r="I635" s="24" t="n">
        <v>14.500702</v>
      </c>
      <c r="J635" s="24" t="n">
        <v>120.991251</v>
      </c>
      <c r="K635" s="23" t="inlineStr">
        <is>
          <t>U</t>
        </is>
      </c>
      <c r="L635" s="25" t="n">
        <v>11850</v>
      </c>
      <c r="M635" s="26" t="n">
        <v>3.9</v>
      </c>
      <c r="N635" s="25">
        <f>ROUND(L635/M635, 0)</f>
        <v/>
      </c>
      <c r="O635" s="25">
        <f>ROUND(N635*'Methodology &amp; Assumptions'!$B$7, 0)</f>
        <v/>
      </c>
      <c r="P635" s="23" t="inlineStr">
        <is>
          <t>Single Carrier (Band n50, 100MHz TDD)</t>
        </is>
      </c>
      <c r="Q635" s="27">
        <f>ROUNDUP(O635/'Methodology &amp; Assumptions'!$B$8, 0)</f>
        <v/>
      </c>
      <c r="R635" s="27" t="n">
        <v>1</v>
      </c>
      <c r="S635" s="26" t="n">
        <v>0.3</v>
      </c>
      <c r="T635" s="26" t="n">
        <v>0.15</v>
      </c>
      <c r="U635" s="11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26" t="n">
        <v>69.09</v>
      </c>
      <c r="W635" s="26" t="n">
        <v>57.5</v>
      </c>
      <c r="X635" s="26">
        <f>ROUND(('Methodology &amp; Assumptions'!$B$5*V635) + ('Methodology &amp; Assumptions'!$B$6*W635), 2)</f>
        <v/>
      </c>
      <c r="Y635" s="28" t="n">
        <v>10.9</v>
      </c>
      <c r="Z635" s="11" t="inlineStr">
        <is>
          <t>Priority Tier 2 (Balanced Opportunity)</t>
        </is>
      </c>
    </row>
    <row r="636">
      <c r="A636" s="23" t="n">
        <v>2</v>
      </c>
      <c r="B636" s="23" t="n">
        <v>632</v>
      </c>
      <c r="C636" s="23" t="n">
        <v>1632</v>
      </c>
      <c r="D636" s="23" t="inlineStr">
        <is>
          <t>1380606228</t>
        </is>
      </c>
      <c r="E636" s="11" t="inlineStr">
        <is>
          <t>National Capital Region (NCR)</t>
        </is>
      </c>
      <c r="F636" s="11" t="inlineStr">
        <is>
          <t>First District (Not a Province)</t>
        </is>
      </c>
      <c r="G636" s="11" t="inlineStr">
        <is>
          <t>City of Manila</t>
        </is>
      </c>
      <c r="H636" s="11" t="inlineStr">
        <is>
          <t>Barangay 621</t>
        </is>
      </c>
      <c r="I636" s="24" t="n">
        <v>14.596322</v>
      </c>
      <c r="J636" s="24" t="n">
        <v>121.013861</v>
      </c>
      <c r="K636" s="23" t="inlineStr">
        <is>
          <t>U</t>
        </is>
      </c>
      <c r="L636" s="25" t="n">
        <v>2070</v>
      </c>
      <c r="M636" s="26" t="n">
        <v>4.07</v>
      </c>
      <c r="N636" s="25">
        <f>ROUND(L636/M636, 0)</f>
        <v/>
      </c>
      <c r="O636" s="25">
        <f>ROUND(N636*'Methodology &amp; Assumptions'!$B$7, 0)</f>
        <v/>
      </c>
      <c r="P636" s="23" t="inlineStr">
        <is>
          <t>Single Carrier (Band n50, 100MHz TDD)</t>
        </is>
      </c>
      <c r="Q636" s="27">
        <f>ROUNDUP(O636/'Methodology &amp; Assumptions'!$B$8, 0)</f>
        <v/>
      </c>
      <c r="R636" s="27" t="n">
        <v>1</v>
      </c>
      <c r="S636" s="26" t="n">
        <v>1.19</v>
      </c>
      <c r="T636" s="26" t="n">
        <v>0.7</v>
      </c>
      <c r="U636" s="11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26" t="n">
        <v>56.15</v>
      </c>
      <c r="W636" s="26" t="n">
        <v>70.45</v>
      </c>
      <c r="X636" s="26">
        <f>ROUND(('Methodology &amp; Assumptions'!$B$5*V636) + ('Methodology &amp; Assumptions'!$B$6*W636), 2)</f>
        <v/>
      </c>
      <c r="Y636" s="28" t="n">
        <v>10.9</v>
      </c>
      <c r="Z636" s="11" t="inlineStr">
        <is>
          <t>Priority Tier 2 (Balanced Opportunity)</t>
        </is>
      </c>
    </row>
    <row r="637">
      <c r="A637" s="23" t="n">
        <v>2</v>
      </c>
      <c r="B637" s="23" t="n">
        <v>633</v>
      </c>
      <c r="C637" s="23" t="n">
        <v>1633</v>
      </c>
      <c r="D637" s="23" t="inlineStr">
        <is>
          <t>1380606209</t>
        </is>
      </c>
      <c r="E637" s="11" t="inlineStr">
        <is>
          <t>National Capital Region (NCR)</t>
        </is>
      </c>
      <c r="F637" s="11" t="inlineStr">
        <is>
          <t>First District (Not a Province)</t>
        </is>
      </c>
      <c r="G637" s="11" t="inlineStr">
        <is>
          <t>City of Manila</t>
        </is>
      </c>
      <c r="H637" s="11" t="inlineStr">
        <is>
          <t>Barangay 602</t>
        </is>
      </c>
      <c r="I637" s="24" t="n">
        <v>14.59588</v>
      </c>
      <c r="J637" s="24" t="n">
        <v>121.0252</v>
      </c>
      <c r="K637" s="23" t="inlineStr">
        <is>
          <t>U</t>
        </is>
      </c>
      <c r="L637" s="25" t="n">
        <v>2027</v>
      </c>
      <c r="M637" s="26" t="n">
        <v>3.82</v>
      </c>
      <c r="N637" s="25">
        <f>ROUND(L637/M637, 0)</f>
        <v/>
      </c>
      <c r="O637" s="25">
        <f>ROUND(N637*'Methodology &amp; Assumptions'!$B$7, 0)</f>
        <v/>
      </c>
      <c r="P637" s="23" t="inlineStr">
        <is>
          <t>Single Carrier (Band n50, 100MHz TDD)</t>
        </is>
      </c>
      <c r="Q637" s="27">
        <f>ROUNDUP(O637/'Methodology &amp; Assumptions'!$B$8, 0)</f>
        <v/>
      </c>
      <c r="R637" s="27" t="n">
        <v>1</v>
      </c>
      <c r="S637" s="26" t="n">
        <v>1.4</v>
      </c>
      <c r="T637" s="26" t="n">
        <v>0.31</v>
      </c>
      <c r="U637" s="11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26" t="n">
        <v>56.01</v>
      </c>
      <c r="W637" s="26" t="n">
        <v>70.58</v>
      </c>
      <c r="X637" s="26">
        <f>ROUND(('Methodology &amp; Assumptions'!$B$5*V637) + ('Methodology &amp; Assumptions'!$B$6*W637), 2)</f>
        <v/>
      </c>
      <c r="Y637" s="28" t="n">
        <v>10.9</v>
      </c>
      <c r="Z637" s="11" t="inlineStr">
        <is>
          <t>Priority Tier 2 (Balanced Opportunity)</t>
        </is>
      </c>
    </row>
    <row r="638">
      <c r="A638" s="23" t="n">
        <v>2</v>
      </c>
      <c r="B638" s="23" t="n">
        <v>634</v>
      </c>
      <c r="C638" s="23" t="n">
        <v>1634</v>
      </c>
      <c r="D638" s="23" t="inlineStr">
        <is>
          <t>1108605002</t>
        </is>
      </c>
      <c r="E638" s="11" t="inlineStr">
        <is>
          <t>Region XI (Davao Region)</t>
        </is>
      </c>
      <c r="F638" s="11" t="inlineStr">
        <is>
          <t>Davao Occidental</t>
        </is>
      </c>
      <c r="G638" s="11" t="inlineStr">
        <is>
          <t>Sarangani</t>
        </is>
      </c>
      <c r="H638" s="11" t="inlineStr">
        <is>
          <t>Konel</t>
        </is>
      </c>
      <c r="I638" s="24" t="n">
        <v>5.419929</v>
      </c>
      <c r="J638" s="24" t="n">
        <v>125.374053</v>
      </c>
      <c r="K638" s="23" t="inlineStr">
        <is>
          <t>R</t>
        </is>
      </c>
      <c r="L638" s="25" t="n">
        <v>2140</v>
      </c>
      <c r="M638" s="26" t="n">
        <v>3.9</v>
      </c>
      <c r="N638" s="25">
        <f>ROUND(L638/M638, 0)</f>
        <v/>
      </c>
      <c r="O638" s="25">
        <f>ROUND(N638*'Methodology &amp; Assumptions'!$B$7, 0)</f>
        <v/>
      </c>
      <c r="P638" s="23" t="inlineStr">
        <is>
          <t>Single Carrier (Band n50, 100MHz TDD)</t>
        </is>
      </c>
      <c r="Q638" s="27">
        <f>ROUNDUP(O638/'Methodology &amp; Assumptions'!$B$8, 0)</f>
        <v/>
      </c>
      <c r="R638" s="27" t="n">
        <v>1</v>
      </c>
      <c r="S638" s="26" t="n">
        <v>76.88</v>
      </c>
      <c r="T638" s="26" t="n">
        <v>80.45</v>
      </c>
      <c r="U638" s="11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26" t="n">
        <v>55.03</v>
      </c>
      <c r="W638" s="26" t="n">
        <v>71.56999999999999</v>
      </c>
      <c r="X638" s="26">
        <f>ROUND(('Methodology &amp; Assumptions'!$B$5*V638) + ('Methodology &amp; Assumptions'!$B$6*W638), 2)</f>
        <v/>
      </c>
      <c r="Y638" s="28" t="n">
        <v>17.4</v>
      </c>
      <c r="Z638" s="11" t="inlineStr">
        <is>
          <t>Priority Tier 2 (Balanced Opportunity)</t>
        </is>
      </c>
    </row>
    <row r="639">
      <c r="A639" s="23" t="n">
        <v>2</v>
      </c>
      <c r="B639" s="23" t="n">
        <v>635</v>
      </c>
      <c r="C639" s="23" t="n">
        <v>1635</v>
      </c>
      <c r="D639" s="23" t="inlineStr">
        <is>
          <t>0506209009</t>
        </is>
      </c>
      <c r="E639" s="11" t="inlineStr">
        <is>
          <t>Region V (Bicol Region)</t>
        </is>
      </c>
      <c r="F639" s="11" t="inlineStr">
        <is>
          <t>Sorsogon</t>
        </is>
      </c>
      <c r="G639" s="11" t="inlineStr">
        <is>
          <t>Irosin</t>
        </is>
      </c>
      <c r="H639" s="11" t="inlineStr">
        <is>
          <t>Cawayan</t>
        </is>
      </c>
      <c r="I639" s="24" t="n">
        <v>12.695158</v>
      </c>
      <c r="J639" s="24" t="n">
        <v>124.069507</v>
      </c>
      <c r="K639" s="23" t="inlineStr">
        <is>
          <t>R</t>
        </is>
      </c>
      <c r="L639" s="25" t="n">
        <v>474</v>
      </c>
      <c r="M639" s="26" t="n">
        <v>4</v>
      </c>
      <c r="N639" s="25">
        <f>ROUND(L639/M639, 0)</f>
        <v/>
      </c>
      <c r="O639" s="25">
        <f>ROUND(N639*'Methodology &amp; Assumptions'!$B$7, 0)</f>
        <v/>
      </c>
      <c r="P639" s="23" t="inlineStr">
        <is>
          <t>Single Carrier (Band n50, 100MHz TDD)</t>
        </is>
      </c>
      <c r="Q639" s="27">
        <f>ROUNDUP(O639/'Methodology &amp; Assumptions'!$B$8, 0)</f>
        <v/>
      </c>
      <c r="R639" s="27" t="n">
        <v>1</v>
      </c>
      <c r="S639" s="26" t="n">
        <v>3.76</v>
      </c>
      <c r="T639" s="26" t="n">
        <v>2.43</v>
      </c>
      <c r="U639" s="11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26" t="n">
        <v>52.36</v>
      </c>
      <c r="W639" s="26" t="n">
        <v>74.23999999999999</v>
      </c>
      <c r="X639" s="26">
        <f>ROUND(('Methodology &amp; Assumptions'!$B$5*V639) + ('Methodology &amp; Assumptions'!$B$6*W639), 2)</f>
        <v/>
      </c>
      <c r="Y639" s="28" t="n">
        <v>23.7</v>
      </c>
      <c r="Z639" s="11" t="inlineStr">
        <is>
          <t>Priority Tier 2 (Balanced Opportunity)</t>
        </is>
      </c>
    </row>
    <row r="640">
      <c r="A640" s="23" t="n">
        <v>2</v>
      </c>
      <c r="B640" s="23" t="n">
        <v>636</v>
      </c>
      <c r="C640" s="23" t="n">
        <v>1636</v>
      </c>
      <c r="D640" s="23" t="inlineStr">
        <is>
          <t>0301403016</t>
        </is>
      </c>
      <c r="E640" s="11" t="inlineStr">
        <is>
          <t>Region III (Central Luzon)</t>
        </is>
      </c>
      <c r="F640" s="11" t="inlineStr">
        <is>
          <t>Bulacan</t>
        </is>
      </c>
      <c r="G640" s="11" t="inlineStr">
        <is>
          <t>Baliuag</t>
        </is>
      </c>
      <c r="H640" s="11" t="inlineStr">
        <is>
          <t>Sabang</t>
        </is>
      </c>
      <c r="I640" s="24" t="n">
        <v>14.96523</v>
      </c>
      <c r="J640" s="24" t="n">
        <v>120.909812</v>
      </c>
      <c r="K640" s="23" t="inlineStr">
        <is>
          <t>U</t>
        </is>
      </c>
      <c r="L640" s="25" t="n">
        <v>13115</v>
      </c>
      <c r="M640" s="26" t="n">
        <v>3.5</v>
      </c>
      <c r="N640" s="25">
        <f>ROUND(L640/M640, 0)</f>
        <v/>
      </c>
      <c r="O640" s="25">
        <f>ROUND(N640*'Methodology &amp; Assumptions'!$B$7, 0)</f>
        <v/>
      </c>
      <c r="P640" s="23" t="inlineStr">
        <is>
          <t>Single Carrier (Band n50, 100MHz TDD)</t>
        </is>
      </c>
      <c r="Q640" s="27">
        <f>ROUNDUP(O640/'Methodology &amp; Assumptions'!$B$8, 0)</f>
        <v/>
      </c>
      <c r="R640" s="27" t="n">
        <v>1</v>
      </c>
      <c r="S640" s="26" t="n">
        <v>0.86</v>
      </c>
      <c r="T640" s="26" t="n">
        <v>0.54</v>
      </c>
      <c r="U640" s="11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26" t="n">
        <v>78.34999999999999</v>
      </c>
      <c r="W640" s="26" t="n">
        <v>48.24</v>
      </c>
      <c r="X640" s="26">
        <f>ROUND(('Methodology &amp; Assumptions'!$B$5*V640) + ('Methodology &amp; Assumptions'!$B$6*W640), 2)</f>
        <v/>
      </c>
      <c r="Y640" s="28" t="n">
        <v>8.300000000000001</v>
      </c>
      <c r="Z640" s="11" t="inlineStr">
        <is>
          <t>Priority Tier 2 (Balanced Opportunity)</t>
        </is>
      </c>
    </row>
    <row r="641">
      <c r="A641" s="23" t="n">
        <v>2</v>
      </c>
      <c r="B641" s="23" t="n">
        <v>637</v>
      </c>
      <c r="C641" s="23" t="n">
        <v>1637</v>
      </c>
      <c r="D641" s="23" t="inlineStr">
        <is>
          <t>1004321004</t>
        </is>
      </c>
      <c r="E641" s="11" t="inlineStr">
        <is>
          <t>Region X (Northern Mindanao)</t>
        </is>
      </c>
      <c r="F641" s="11" t="inlineStr">
        <is>
          <t>Misamis Oriental</t>
        </is>
      </c>
      <c r="G641" s="11" t="inlineStr">
        <is>
          <t>Opol</t>
        </is>
      </c>
      <c r="H641" s="11" t="inlineStr">
        <is>
          <t>Bonbon</t>
        </is>
      </c>
      <c r="I641" s="24" t="n">
        <v>8.525128</v>
      </c>
      <c r="J641" s="24" t="n">
        <v>124.570953</v>
      </c>
      <c r="K641" s="23" t="inlineStr">
        <is>
          <t>R</t>
        </is>
      </c>
      <c r="L641" s="25" t="n">
        <v>3283</v>
      </c>
      <c r="M641" s="26" t="n">
        <v>3.9</v>
      </c>
      <c r="N641" s="25">
        <f>ROUND(L641/M641, 0)</f>
        <v/>
      </c>
      <c r="O641" s="25">
        <f>ROUND(N641*'Methodology &amp; Assumptions'!$B$7, 0)</f>
        <v/>
      </c>
      <c r="P641" s="23" t="inlineStr">
        <is>
          <t>Single Carrier (Band n50, 100MHz TDD)</t>
        </is>
      </c>
      <c r="Q641" s="27">
        <f>ROUNDUP(O641/'Methodology &amp; Assumptions'!$B$8, 0)</f>
        <v/>
      </c>
      <c r="R641" s="27" t="n">
        <v>1</v>
      </c>
      <c r="S641" s="26" t="n">
        <v>0.68</v>
      </c>
      <c r="T641" s="26" t="n">
        <v>0.15</v>
      </c>
      <c r="U641" s="11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26" t="n">
        <v>86.83</v>
      </c>
      <c r="W641" s="26" t="n">
        <v>39.74</v>
      </c>
      <c r="X641" s="26">
        <f>ROUND(('Methodology &amp; Assumptions'!$B$5*V641) + ('Methodology &amp; Assumptions'!$B$6*W641), 2)</f>
        <v/>
      </c>
      <c r="Y641" s="28" t="n">
        <v>17.4</v>
      </c>
      <c r="Z641" s="11" t="inlineStr">
        <is>
          <t>Priority Tier 2 (Balanced Opportunity)</t>
        </is>
      </c>
    </row>
    <row r="642">
      <c r="A642" s="23" t="n">
        <v>2</v>
      </c>
      <c r="B642" s="23" t="n">
        <v>638</v>
      </c>
      <c r="C642" s="23" t="n">
        <v>1638</v>
      </c>
      <c r="D642" s="23" t="inlineStr">
        <is>
          <t>0102805018</t>
        </is>
      </c>
      <c r="E642" s="11" t="inlineStr">
        <is>
          <t>Region I (Ilocos Region)</t>
        </is>
      </c>
      <c r="F642" s="11" t="inlineStr">
        <is>
          <t>Ilocos Norte</t>
        </is>
      </c>
      <c r="G642" s="11" t="inlineStr">
        <is>
          <t>City of Batac</t>
        </is>
      </c>
      <c r="H642" s="11" t="inlineStr">
        <is>
          <t>Valdez Pob.</t>
        </is>
      </c>
      <c r="I642" s="24" t="n">
        <v>18.054328</v>
      </c>
      <c r="J642" s="24" t="n">
        <v>120.566045</v>
      </c>
      <c r="K642" s="23" t="inlineStr">
        <is>
          <t>R</t>
        </is>
      </c>
      <c r="L642" s="25" t="n">
        <v>820</v>
      </c>
      <c r="M642" s="26" t="n">
        <v>3.7</v>
      </c>
      <c r="N642" s="25">
        <f>ROUND(L642/M642, 0)</f>
        <v/>
      </c>
      <c r="O642" s="25">
        <f>ROUND(N642*'Methodology &amp; Assumptions'!$B$7, 0)</f>
        <v/>
      </c>
      <c r="P642" s="23" t="inlineStr">
        <is>
          <t>Single Carrier (Band n50, 100MHz TDD)</t>
        </is>
      </c>
      <c r="Q642" s="27">
        <f>ROUNDUP(O642/'Methodology &amp; Assumptions'!$B$8, 0)</f>
        <v/>
      </c>
      <c r="R642" s="27" t="n">
        <v>1</v>
      </c>
      <c r="S642" s="26" t="n">
        <v>1.48</v>
      </c>
      <c r="T642" s="26" t="n">
        <v>0.92</v>
      </c>
      <c r="U642" s="11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26" t="n">
        <v>63.86</v>
      </c>
      <c r="W642" s="26" t="n">
        <v>62.69</v>
      </c>
      <c r="X642" s="26">
        <f>ROUND(('Methodology &amp; Assumptions'!$B$5*V642) + ('Methodology &amp; Assumptions'!$B$6*W642), 2)</f>
        <v/>
      </c>
      <c r="Y642" s="28" t="n">
        <v>8.300000000000001</v>
      </c>
      <c r="Z642" s="11" t="inlineStr">
        <is>
          <t>Priority Tier 2 (Balanced Opportunity)</t>
        </is>
      </c>
    </row>
    <row r="643">
      <c r="A643" s="23" t="n">
        <v>2</v>
      </c>
      <c r="B643" s="23" t="n">
        <v>639</v>
      </c>
      <c r="C643" s="23" t="n">
        <v>1639</v>
      </c>
      <c r="D643" s="23" t="inlineStr">
        <is>
          <t>1380601261</t>
        </is>
      </c>
      <c r="E643" s="11" t="inlineStr">
        <is>
          <t>National Capital Region (NCR)</t>
        </is>
      </c>
      <c r="F643" s="11" t="inlineStr">
        <is>
          <t>First District (Not a Province)</t>
        </is>
      </c>
      <c r="G643" s="11" t="inlineStr">
        <is>
          <t>City of Manila</t>
        </is>
      </c>
      <c r="H643" s="11" t="inlineStr">
        <is>
          <t>Barangay 260</t>
        </is>
      </c>
      <c r="I643" s="24" t="n">
        <v>14.60559</v>
      </c>
      <c r="J643" s="24" t="n">
        <v>120.9778</v>
      </c>
      <c r="K643" s="23" t="inlineStr">
        <is>
          <t>U</t>
        </is>
      </c>
      <c r="L643" s="25" t="n">
        <v>1935</v>
      </c>
      <c r="M643" s="26" t="n">
        <v>3.99</v>
      </c>
      <c r="N643" s="25">
        <f>ROUND(L643/M643, 0)</f>
        <v/>
      </c>
      <c r="O643" s="25">
        <f>ROUND(N643*'Methodology &amp; Assumptions'!$B$7, 0)</f>
        <v/>
      </c>
      <c r="P643" s="23" t="inlineStr">
        <is>
          <t>Single Carrier (Band n50, 100MHz TDD)</t>
        </is>
      </c>
      <c r="Q643" s="27">
        <f>ROUNDUP(O643/'Methodology &amp; Assumptions'!$B$8, 0)</f>
        <v/>
      </c>
      <c r="R643" s="27" t="n">
        <v>1</v>
      </c>
      <c r="S643" s="26" t="n">
        <v>0.89</v>
      </c>
      <c r="T643" s="26" t="n">
        <v>0.3</v>
      </c>
      <c r="U643" s="11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26" t="n">
        <v>56.56</v>
      </c>
      <c r="W643" s="26" t="n">
        <v>70</v>
      </c>
      <c r="X643" s="26">
        <f>ROUND(('Methodology &amp; Assumptions'!$B$5*V643) + ('Methodology &amp; Assumptions'!$B$6*W643), 2)</f>
        <v/>
      </c>
      <c r="Y643" s="28" t="n">
        <v>10.9</v>
      </c>
      <c r="Z643" s="11" t="inlineStr">
        <is>
          <t>Priority Tier 2 (Balanced Opportunity)</t>
        </is>
      </c>
    </row>
    <row r="644">
      <c r="A644" s="23" t="n">
        <v>2</v>
      </c>
      <c r="B644" s="23" t="n">
        <v>640</v>
      </c>
      <c r="C644" s="23" t="n">
        <v>1640</v>
      </c>
      <c r="D644" s="23" t="inlineStr">
        <is>
          <t>0205706004</t>
        </is>
      </c>
      <c r="E644" s="11" t="inlineStr">
        <is>
          <t>Region II (Cagayan Valley)</t>
        </is>
      </c>
      <c r="F644" s="11" t="inlineStr">
        <is>
          <t>Quirino</t>
        </is>
      </c>
      <c r="G644" s="11" t="inlineStr">
        <is>
          <t>Nagtipunan</t>
        </is>
      </c>
      <c r="H644" s="11" t="inlineStr">
        <is>
          <t>Guino</t>
        </is>
      </c>
      <c r="I644" s="24" t="n">
        <v>16.141652</v>
      </c>
      <c r="J644" s="24" t="n">
        <v>121.365591</v>
      </c>
      <c r="K644" s="23" t="inlineStr">
        <is>
          <t>R</t>
        </is>
      </c>
      <c r="L644" s="25" t="n">
        <v>1563</v>
      </c>
      <c r="M644" s="26" t="n">
        <v>3.9</v>
      </c>
      <c r="N644" s="25">
        <f>ROUND(L644/M644, 0)</f>
        <v/>
      </c>
      <c r="O644" s="25">
        <f>ROUND(N644*'Methodology &amp; Assumptions'!$B$7, 0)</f>
        <v/>
      </c>
      <c r="P644" s="23" t="inlineStr">
        <is>
          <t>Single Carrier (Band n50, 100MHz TDD)</t>
        </is>
      </c>
      <c r="Q644" s="27">
        <f>ROUNDUP(O644/'Methodology &amp; Assumptions'!$B$8, 0)</f>
        <v/>
      </c>
      <c r="R644" s="27" t="n">
        <v>1</v>
      </c>
      <c r="S644" s="26" t="n">
        <v>16.45</v>
      </c>
      <c r="T644" s="26" t="n">
        <v>31.67</v>
      </c>
      <c r="U644" s="11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26" t="n">
        <v>46.78</v>
      </c>
      <c r="W644" s="26" t="n">
        <v>79.78</v>
      </c>
      <c r="X644" s="26">
        <f>ROUND(('Methodology &amp; Assumptions'!$B$5*V644) + ('Methodology &amp; Assumptions'!$B$6*W644), 2)</f>
        <v/>
      </c>
      <c r="Y644" s="28" t="n">
        <v>8.300000000000001</v>
      </c>
      <c r="Z644" s="11" t="inlineStr">
        <is>
          <t>Priority Tier 2 (Balanced Opportunity)</t>
        </is>
      </c>
    </row>
    <row r="645">
      <c r="A645" s="23" t="n">
        <v>2</v>
      </c>
      <c r="B645" s="23" t="n">
        <v>641</v>
      </c>
      <c r="C645" s="23" t="n">
        <v>1641</v>
      </c>
      <c r="D645" s="23" t="inlineStr">
        <is>
          <t>0300811019</t>
        </is>
      </c>
      <c r="E645" s="11" t="inlineStr">
        <is>
          <t>Region III (Central Luzon)</t>
        </is>
      </c>
      <c r="F645" s="11" t="inlineStr">
        <is>
          <t>Bataan</t>
        </is>
      </c>
      <c r="G645" s="11" t="inlineStr">
        <is>
          <t>Pilar</t>
        </is>
      </c>
      <c r="H645" s="11" t="inlineStr">
        <is>
          <t>Panilao</t>
        </is>
      </c>
      <c r="I645" s="24" t="n">
        <v>14.670109</v>
      </c>
      <c r="J645" s="24" t="n">
        <v>120.54982</v>
      </c>
      <c r="K645" s="23" t="inlineStr">
        <is>
          <t>U</t>
        </is>
      </c>
      <c r="L645" s="25" t="n">
        <v>6118</v>
      </c>
      <c r="M645" s="26" t="n">
        <v>3.6</v>
      </c>
      <c r="N645" s="25">
        <f>ROUND(L645/M645, 0)</f>
        <v/>
      </c>
      <c r="O645" s="25">
        <f>ROUND(N645*'Methodology &amp; Assumptions'!$B$7, 0)</f>
        <v/>
      </c>
      <c r="P645" s="23" t="inlineStr">
        <is>
          <t>Single Carrier (Band n50, 100MHz TDD)</t>
        </is>
      </c>
      <c r="Q645" s="27">
        <f>ROUNDUP(O645/'Methodology &amp; Assumptions'!$B$8, 0)</f>
        <v/>
      </c>
      <c r="R645" s="27" t="n">
        <v>1</v>
      </c>
      <c r="S645" s="26" t="n">
        <v>1.59</v>
      </c>
      <c r="T645" s="26" t="n">
        <v>0.09</v>
      </c>
      <c r="U645" s="11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26" t="n">
        <v>75.64</v>
      </c>
      <c r="W645" s="26" t="n">
        <v>50.91</v>
      </c>
      <c r="X645" s="26">
        <f>ROUND(('Methodology &amp; Assumptions'!$B$5*V645) + ('Methodology &amp; Assumptions'!$B$6*W645), 2)</f>
        <v/>
      </c>
      <c r="Y645" s="28" t="n">
        <v>8.300000000000001</v>
      </c>
      <c r="Z645" s="11" t="inlineStr">
        <is>
          <t>Priority Tier 2 (Balanced Opportunity)</t>
        </is>
      </c>
    </row>
    <row r="646">
      <c r="A646" s="23" t="n">
        <v>2</v>
      </c>
      <c r="B646" s="23" t="n">
        <v>642</v>
      </c>
      <c r="C646" s="23" t="n">
        <v>1642</v>
      </c>
      <c r="D646" s="23" t="inlineStr">
        <is>
          <t>1381100017</t>
        </is>
      </c>
      <c r="E646" s="11" t="inlineStr">
        <is>
          <t>National Capital Region (NCR)</t>
        </is>
      </c>
      <c r="F646" s="11" t="inlineStr">
        <is>
          <t>Fourth District (Not a Province)</t>
        </is>
      </c>
      <c r="G646" s="11" t="inlineStr">
        <is>
          <t>Pasay City</t>
        </is>
      </c>
      <c r="H646" s="11" t="inlineStr">
        <is>
          <t>Barangay 17</t>
        </is>
      </c>
      <c r="I646" s="24" t="n">
        <v>14.558242</v>
      </c>
      <c r="J646" s="24" t="n">
        <v>120.992877</v>
      </c>
      <c r="K646" s="23" t="inlineStr">
        <is>
          <t>U</t>
        </is>
      </c>
      <c r="L646" s="25" t="n">
        <v>1109</v>
      </c>
      <c r="M646" s="26" t="n">
        <v>2.5</v>
      </c>
      <c r="N646" s="25">
        <f>ROUND(L646/M646, 0)</f>
        <v/>
      </c>
      <c r="O646" s="25">
        <f>ROUND(N646*'Methodology &amp; Assumptions'!$B$7, 0)</f>
        <v/>
      </c>
      <c r="P646" s="23" t="inlineStr">
        <is>
          <t>Single Carrier (Band n50, 100MHz TDD)</t>
        </is>
      </c>
      <c r="Q646" s="27">
        <f>ROUNDUP(O646/'Methodology &amp; Assumptions'!$B$8, 0)</f>
        <v/>
      </c>
      <c r="R646" s="27" t="n">
        <v>1</v>
      </c>
      <c r="S646" s="26" t="n">
        <v>0.5600000000000001</v>
      </c>
      <c r="T646" s="26" t="n">
        <v>0.42</v>
      </c>
      <c r="U646" s="11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26" t="n">
        <v>55.34</v>
      </c>
      <c r="W646" s="26" t="n">
        <v>71.2</v>
      </c>
      <c r="X646" s="26">
        <f>ROUND(('Methodology &amp; Assumptions'!$B$5*V646) + ('Methodology &amp; Assumptions'!$B$6*W646), 2)</f>
        <v/>
      </c>
      <c r="Y646" s="28" t="n">
        <v>10.9</v>
      </c>
      <c r="Z646" s="11" t="inlineStr">
        <is>
          <t>Priority Tier 2 (Balanced Opportunity)</t>
        </is>
      </c>
    </row>
    <row r="647">
      <c r="A647" s="23" t="n">
        <v>2</v>
      </c>
      <c r="B647" s="23" t="n">
        <v>643</v>
      </c>
      <c r="C647" s="23" t="n">
        <v>1643</v>
      </c>
      <c r="D647" s="23" t="inlineStr">
        <is>
          <t>0402111005</t>
        </is>
      </c>
      <c r="E647" s="11" t="inlineStr">
        <is>
          <t>Region IV-A (CALABARZON)</t>
        </is>
      </c>
      <c r="F647" s="11" t="inlineStr">
        <is>
          <t>Cavite</t>
        </is>
      </c>
      <c r="G647" s="11" t="inlineStr">
        <is>
          <t>Kawit</t>
        </is>
      </c>
      <c r="H647" s="11" t="inlineStr">
        <is>
          <t>Panamitan</t>
        </is>
      </c>
      <c r="I647" s="24" t="n">
        <v>14.439572</v>
      </c>
      <c r="J647" s="24" t="n">
        <v>120.89782</v>
      </c>
      <c r="K647" s="23" t="inlineStr">
        <is>
          <t>R</t>
        </is>
      </c>
      <c r="L647" s="25" t="n">
        <v>3577</v>
      </c>
      <c r="M647" s="26" t="n">
        <v>3.4</v>
      </c>
      <c r="N647" s="25">
        <f>ROUND(L647/M647, 0)</f>
        <v/>
      </c>
      <c r="O647" s="25">
        <f>ROUND(N647*'Methodology &amp; Assumptions'!$B$7, 0)</f>
        <v/>
      </c>
      <c r="P647" s="23" t="inlineStr">
        <is>
          <t>Single Carrier (Band n50, 100MHz TDD)</t>
        </is>
      </c>
      <c r="Q647" s="27">
        <f>ROUNDUP(O647/'Methodology &amp; Assumptions'!$B$8, 0)</f>
        <v/>
      </c>
      <c r="R647" s="27" t="n">
        <v>1</v>
      </c>
      <c r="S647" s="26" t="n">
        <v>1.95</v>
      </c>
      <c r="T647" s="26" t="n">
        <v>0.6899999999999999</v>
      </c>
      <c r="U647" s="11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26" t="n">
        <v>81.40000000000001</v>
      </c>
      <c r="W647" s="26" t="n">
        <v>45.12</v>
      </c>
      <c r="X647" s="26">
        <f>ROUND(('Methodology &amp; Assumptions'!$B$5*V647) + ('Methodology &amp; Assumptions'!$B$6*W647), 2)</f>
        <v/>
      </c>
      <c r="Y647" s="28" t="n">
        <v>7.2</v>
      </c>
      <c r="Z647" s="11" t="inlineStr">
        <is>
          <t>Priority Tier 2 (Balanced Opportunity)</t>
        </is>
      </c>
    </row>
    <row r="648">
      <c r="A648" s="23" t="n">
        <v>2</v>
      </c>
      <c r="B648" s="23" t="n">
        <v>644</v>
      </c>
      <c r="C648" s="23" t="n">
        <v>1644</v>
      </c>
      <c r="D648" s="23" t="inlineStr">
        <is>
          <t>0402111021</t>
        </is>
      </c>
      <c r="E648" s="11" t="inlineStr">
        <is>
          <t>Region IV-A (CALABARZON)</t>
        </is>
      </c>
      <c r="F648" s="11" t="inlineStr">
        <is>
          <t>Cavite</t>
        </is>
      </c>
      <c r="G648" s="11" t="inlineStr">
        <is>
          <t>Kawit</t>
        </is>
      </c>
      <c r="H648" s="11" t="inlineStr">
        <is>
          <t>Tabon III</t>
        </is>
      </c>
      <c r="I648" s="24" t="n">
        <v>14.437803</v>
      </c>
      <c r="J648" s="24" t="n">
        <v>120.902282</v>
      </c>
      <c r="K648" s="23" t="inlineStr">
        <is>
          <t>R</t>
        </is>
      </c>
      <c r="L648" s="25" t="n">
        <v>2424</v>
      </c>
      <c r="M648" s="26" t="n">
        <v>3.4</v>
      </c>
      <c r="N648" s="25">
        <f>ROUND(L648/M648, 0)</f>
        <v/>
      </c>
      <c r="O648" s="25">
        <f>ROUND(N648*'Methodology &amp; Assumptions'!$B$7, 0)</f>
        <v/>
      </c>
      <c r="P648" s="23" t="inlineStr">
        <is>
          <t>Single Carrier (Band n50, 100MHz TDD)</t>
        </is>
      </c>
      <c r="Q648" s="27">
        <f>ROUNDUP(O648/'Methodology &amp; Assumptions'!$B$8, 0)</f>
        <v/>
      </c>
      <c r="R648" s="27" t="n">
        <v>1</v>
      </c>
      <c r="S648" s="26" t="n">
        <v>2.27</v>
      </c>
      <c r="T648" s="26" t="n">
        <v>0.33</v>
      </c>
      <c r="U648" s="11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26" t="n">
        <v>76.98999999999999</v>
      </c>
      <c r="W648" s="26" t="n">
        <v>49.53</v>
      </c>
      <c r="X648" s="26">
        <f>ROUND(('Methodology &amp; Assumptions'!$B$5*V648) + ('Methodology &amp; Assumptions'!$B$6*W648), 2)</f>
        <v/>
      </c>
      <c r="Y648" s="28" t="n">
        <v>7.2</v>
      </c>
      <c r="Z648" s="11" t="inlineStr">
        <is>
          <t>Priority Tier 2 (Balanced Opportunity)</t>
        </is>
      </c>
    </row>
    <row r="649">
      <c r="A649" s="23" t="n">
        <v>2</v>
      </c>
      <c r="B649" s="23" t="n">
        <v>645</v>
      </c>
      <c r="C649" s="23" t="n">
        <v>1645</v>
      </c>
      <c r="D649" s="23" t="inlineStr">
        <is>
          <t>0402120037</t>
        </is>
      </c>
      <c r="E649" s="11" t="inlineStr">
        <is>
          <t>Region IV-A (CALABARZON)</t>
        </is>
      </c>
      <c r="F649" s="11" t="inlineStr">
        <is>
          <t>Cavite</t>
        </is>
      </c>
      <c r="G649" s="11" t="inlineStr">
        <is>
          <t>Tanza</t>
        </is>
      </c>
      <c r="H649" s="11" t="inlineStr">
        <is>
          <t>Julugan III</t>
        </is>
      </c>
      <c r="I649" s="24" t="n">
        <v>14.407923</v>
      </c>
      <c r="J649" s="24" t="n">
        <v>120.84365</v>
      </c>
      <c r="K649" s="23" t="inlineStr">
        <is>
          <t>R</t>
        </is>
      </c>
      <c r="L649" s="25" t="n">
        <v>2229</v>
      </c>
      <c r="M649" s="26" t="n">
        <v>3.4</v>
      </c>
      <c r="N649" s="25">
        <f>ROUND(L649/M649, 0)</f>
        <v/>
      </c>
      <c r="O649" s="25">
        <f>ROUND(N649*'Methodology &amp; Assumptions'!$B$7, 0)</f>
        <v/>
      </c>
      <c r="P649" s="23" t="inlineStr">
        <is>
          <t>Single Carrier (Band n50, 100MHz TDD)</t>
        </is>
      </c>
      <c r="Q649" s="27">
        <f>ROUNDUP(O649/'Methodology &amp; Assumptions'!$B$8, 0)</f>
        <v/>
      </c>
      <c r="R649" s="27" t="n">
        <v>1</v>
      </c>
      <c r="S649" s="26" t="n">
        <v>2.26</v>
      </c>
      <c r="T649" s="26" t="n">
        <v>2.01</v>
      </c>
      <c r="U649" s="11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26" t="n">
        <v>71.68000000000001</v>
      </c>
      <c r="W649" s="26" t="n">
        <v>54.83</v>
      </c>
      <c r="X649" s="26">
        <f>ROUND(('Methodology &amp; Assumptions'!$B$5*V649) + ('Methodology &amp; Assumptions'!$B$6*W649), 2)</f>
        <v/>
      </c>
      <c r="Y649" s="28" t="n">
        <v>7.2</v>
      </c>
      <c r="Z649" s="11" t="inlineStr">
        <is>
          <t>Priority Tier 2 (Balanced Opportunity)</t>
        </is>
      </c>
    </row>
    <row r="650">
      <c r="A650" s="23" t="n">
        <v>2</v>
      </c>
      <c r="B650" s="23" t="n">
        <v>646</v>
      </c>
      <c r="C650" s="23" t="n">
        <v>1646</v>
      </c>
      <c r="D650" s="23" t="inlineStr">
        <is>
          <t>1381400016</t>
        </is>
      </c>
      <c r="E650" s="11" t="inlineStr">
        <is>
          <t>National Capital Region (NCR)</t>
        </is>
      </c>
      <c r="F650" s="11" t="inlineStr">
        <is>
          <t>Second District (Not a Province)</t>
        </is>
      </c>
      <c r="G650" s="11" t="inlineStr">
        <is>
          <t>City of San Juan</t>
        </is>
      </c>
      <c r="H650" s="11" t="inlineStr">
        <is>
          <t>Salapan</t>
        </is>
      </c>
      <c r="I650" s="24" t="n">
        <v>14.61291</v>
      </c>
      <c r="J650" s="24" t="n">
        <v>121.0248</v>
      </c>
      <c r="K650" s="23" t="inlineStr">
        <is>
          <t>U</t>
        </is>
      </c>
      <c r="L650" s="25" t="n">
        <v>9046</v>
      </c>
      <c r="M650" s="26" t="n">
        <v>3.71</v>
      </c>
      <c r="N650" s="25">
        <f>ROUND(L650/M650, 0)</f>
        <v/>
      </c>
      <c r="O650" s="25">
        <f>ROUND(N650*'Methodology &amp; Assumptions'!$B$7, 0)</f>
        <v/>
      </c>
      <c r="P650" s="23" t="inlineStr">
        <is>
          <t>Single Carrier (Band n50, 100MHz TDD)</t>
        </is>
      </c>
      <c r="Q650" s="27">
        <f>ROUNDUP(O650/'Methodology &amp; Assumptions'!$B$8, 0)</f>
        <v/>
      </c>
      <c r="R650" s="27" t="n">
        <v>1</v>
      </c>
      <c r="S650" s="26" t="n">
        <v>1.08</v>
      </c>
      <c r="T650" s="26" t="n">
        <v>0.28</v>
      </c>
      <c r="U650" s="11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26" t="n">
        <v>68.17</v>
      </c>
      <c r="W650" s="26" t="n">
        <v>58.36</v>
      </c>
      <c r="X650" s="26">
        <f>ROUND(('Methodology &amp; Assumptions'!$B$5*V650) + ('Methodology &amp; Assumptions'!$B$6*W650), 2)</f>
        <v/>
      </c>
      <c r="Y650" s="28" t="n">
        <v>10.9</v>
      </c>
      <c r="Z650" s="11" t="inlineStr">
        <is>
          <t>Priority Tier 2 (Balanced Opportunity)</t>
        </is>
      </c>
    </row>
    <row r="651">
      <c r="A651" s="23" t="n">
        <v>2</v>
      </c>
      <c r="B651" s="23" t="n">
        <v>647</v>
      </c>
      <c r="C651" s="23" t="n">
        <v>1647</v>
      </c>
      <c r="D651" s="23" t="inlineStr">
        <is>
          <t>0405647058</t>
        </is>
      </c>
      <c r="E651" s="11" t="inlineStr">
        <is>
          <t>Region IV-A (CALABARZON)</t>
        </is>
      </c>
      <c r="F651" s="11" t="inlineStr">
        <is>
          <t>Quezon</t>
        </is>
      </c>
      <c r="G651" s="11" t="inlineStr">
        <is>
          <t>City of Tayabas</t>
        </is>
      </c>
      <c r="H651" s="11" t="inlineStr">
        <is>
          <t>San Roque Zone II</t>
        </is>
      </c>
      <c r="I651" s="24" t="n">
        <v>14.027476</v>
      </c>
      <c r="J651" s="24" t="n">
        <v>121.592903</v>
      </c>
      <c r="K651" s="23" t="inlineStr">
        <is>
          <t>R</t>
        </is>
      </c>
      <c r="L651" s="25" t="n">
        <v>869</v>
      </c>
      <c r="M651" s="26" t="n">
        <v>3.8</v>
      </c>
      <c r="N651" s="25">
        <f>ROUND(L651/M651, 0)</f>
        <v/>
      </c>
      <c r="O651" s="25">
        <f>ROUND(N651*'Methodology &amp; Assumptions'!$B$7, 0)</f>
        <v/>
      </c>
      <c r="P651" s="23" t="inlineStr">
        <is>
          <t>Single Carrier (Band n50, 100MHz TDD)</t>
        </is>
      </c>
      <c r="Q651" s="27">
        <f>ROUNDUP(O651/'Methodology &amp; Assumptions'!$B$8, 0)</f>
        <v/>
      </c>
      <c r="R651" s="27" t="n">
        <v>1</v>
      </c>
      <c r="S651" s="26" t="n">
        <v>0.42</v>
      </c>
      <c r="T651" s="26" t="n">
        <v>0.1</v>
      </c>
      <c r="U651" s="11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26" t="n">
        <v>66.36</v>
      </c>
      <c r="W651" s="26" t="n">
        <v>60.16</v>
      </c>
      <c r="X651" s="26">
        <f>ROUND(('Methodology &amp; Assumptions'!$B$5*V651) + ('Methodology &amp; Assumptions'!$B$6*W651), 2)</f>
        <v/>
      </c>
      <c r="Y651" s="28" t="n">
        <v>7.2</v>
      </c>
      <c r="Z651" s="11" t="inlineStr">
        <is>
          <t>Priority Tier 2 (Balanced Opportunity)</t>
        </is>
      </c>
    </row>
    <row r="652">
      <c r="A652" s="23" t="n">
        <v>2</v>
      </c>
      <c r="B652" s="23" t="n">
        <v>648</v>
      </c>
      <c r="C652" s="23" t="n">
        <v>1648</v>
      </c>
      <c r="D652" s="23" t="inlineStr">
        <is>
          <t>1381100029</t>
        </is>
      </c>
      <c r="E652" s="11" t="inlineStr">
        <is>
          <t>National Capital Region (NCR)</t>
        </is>
      </c>
      <c r="F652" s="11" t="inlineStr">
        <is>
          <t>Fourth District (Not a Province)</t>
        </is>
      </c>
      <c r="G652" s="11" t="inlineStr">
        <is>
          <t>Pasay City</t>
        </is>
      </c>
      <c r="H652" s="11" t="inlineStr">
        <is>
          <t>Barangay 29</t>
        </is>
      </c>
      <c r="I652" s="24" t="n">
        <v>14.549799</v>
      </c>
      <c r="J652" s="24" t="n">
        <v>120.994563</v>
      </c>
      <c r="K652" s="23" t="inlineStr">
        <is>
          <t>U</t>
        </is>
      </c>
      <c r="L652" s="25" t="n">
        <v>1634</v>
      </c>
      <c r="M652" s="26" t="n">
        <v>3.24</v>
      </c>
      <c r="N652" s="25">
        <f>ROUND(L652/M652, 0)</f>
        <v/>
      </c>
      <c r="O652" s="25">
        <f>ROUND(N652*'Methodology &amp; Assumptions'!$B$7, 0)</f>
        <v/>
      </c>
      <c r="P652" s="23" t="inlineStr">
        <is>
          <t>Single Carrier (Band n50, 100MHz TDD)</t>
        </is>
      </c>
      <c r="Q652" s="27">
        <f>ROUNDUP(O652/'Methodology &amp; Assumptions'!$B$8, 0)</f>
        <v/>
      </c>
      <c r="R652" s="27" t="n">
        <v>1</v>
      </c>
      <c r="S652" s="26" t="n">
        <v>0.49</v>
      </c>
      <c r="T652" s="26" t="n">
        <v>0.2</v>
      </c>
      <c r="U652" s="11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26" t="n">
        <v>57.27</v>
      </c>
      <c r="W652" s="26" t="n">
        <v>69.26000000000001</v>
      </c>
      <c r="X652" s="26">
        <f>ROUND(('Methodology &amp; Assumptions'!$B$5*V652) + ('Methodology &amp; Assumptions'!$B$6*W652), 2)</f>
        <v/>
      </c>
      <c r="Y652" s="28" t="n">
        <v>10.9</v>
      </c>
      <c r="Z652" s="11" t="inlineStr">
        <is>
          <t>Priority Tier 2 (Balanced Opportunity)</t>
        </is>
      </c>
    </row>
    <row r="653">
      <c r="A653" s="23" t="n">
        <v>2</v>
      </c>
      <c r="B653" s="23" t="n">
        <v>649</v>
      </c>
      <c r="C653" s="23" t="n">
        <v>1649</v>
      </c>
      <c r="D653" s="23" t="inlineStr">
        <is>
          <t>0103314057</t>
        </is>
      </c>
      <c r="E653" s="11" t="inlineStr">
        <is>
          <t>Region I (Ilocos Region)</t>
        </is>
      </c>
      <c r="F653" s="11" t="inlineStr">
        <is>
          <t>La Union</t>
        </is>
      </c>
      <c r="G653" s="11" t="inlineStr">
        <is>
          <t>City of San Fernando</t>
        </is>
      </c>
      <c r="H653" s="11" t="inlineStr">
        <is>
          <t>Sevilla</t>
        </is>
      </c>
      <c r="I653" s="24" t="n">
        <v>16.595894</v>
      </c>
      <c r="J653" s="24" t="n">
        <v>120.320971</v>
      </c>
      <c r="K653" s="23" t="inlineStr">
        <is>
          <t>U</t>
        </is>
      </c>
      <c r="L653" s="25" t="n">
        <v>11353</v>
      </c>
      <c r="M653" s="26" t="n">
        <v>3.7</v>
      </c>
      <c r="N653" s="25">
        <f>ROUND(L653/M653, 0)</f>
        <v/>
      </c>
      <c r="O653" s="25">
        <f>ROUND(N653*'Methodology &amp; Assumptions'!$B$7, 0)</f>
        <v/>
      </c>
      <c r="P653" s="23" t="inlineStr">
        <is>
          <t>Single Carrier (Band n50, 100MHz TDD)</t>
        </is>
      </c>
      <c r="Q653" s="27">
        <f>ROUNDUP(O653/'Methodology &amp; Assumptions'!$B$8, 0)</f>
        <v/>
      </c>
      <c r="R653" s="27" t="n">
        <v>1</v>
      </c>
      <c r="S653" s="26" t="n">
        <v>0.92</v>
      </c>
      <c r="T653" s="26" t="n">
        <v>0.21</v>
      </c>
      <c r="U653" s="11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26" t="n">
        <v>78.14</v>
      </c>
      <c r="W653" s="26" t="n">
        <v>48.35</v>
      </c>
      <c r="X653" s="26">
        <f>ROUND(('Methodology &amp; Assumptions'!$B$5*V653) + ('Methodology &amp; Assumptions'!$B$6*W653), 2)</f>
        <v/>
      </c>
      <c r="Y653" s="28" t="n">
        <v>8.300000000000001</v>
      </c>
      <c r="Z653" s="11" t="inlineStr">
        <is>
          <t>Priority Tier 2 (Balanced Opportunity)</t>
        </is>
      </c>
    </row>
    <row r="654">
      <c r="A654" s="23" t="n">
        <v>2</v>
      </c>
      <c r="B654" s="23" t="n">
        <v>650</v>
      </c>
      <c r="C654" s="23" t="n">
        <v>1650</v>
      </c>
      <c r="D654" s="23" t="inlineStr">
        <is>
          <t>1381000002</t>
        </is>
      </c>
      <c r="E654" s="11" t="inlineStr">
        <is>
          <t>National Capital Region (NCR)</t>
        </is>
      </c>
      <c r="F654" s="11" t="inlineStr">
        <is>
          <t>Fourth District (Not a Province)</t>
        </is>
      </c>
      <c r="G654" s="11" t="inlineStr">
        <is>
          <t>City of Parañaque</t>
        </is>
      </c>
      <c r="H654" s="11" t="inlineStr">
        <is>
          <t>Don Galo</t>
        </is>
      </c>
      <c r="I654" s="24" t="n">
        <v>14.505262</v>
      </c>
      <c r="J654" s="24" t="n">
        <v>120.991153</v>
      </c>
      <c r="K654" s="23" t="inlineStr">
        <is>
          <t>U</t>
        </is>
      </c>
      <c r="L654" s="25" t="n">
        <v>12397</v>
      </c>
      <c r="M654" s="26" t="n">
        <v>3.03</v>
      </c>
      <c r="N654" s="25">
        <f>ROUND(L654/M654, 0)</f>
        <v/>
      </c>
      <c r="O654" s="25">
        <f>ROUND(N654*'Methodology &amp; Assumptions'!$B$7, 0)</f>
        <v/>
      </c>
      <c r="P654" s="23" t="inlineStr">
        <is>
          <t>Single Carrier (Band n50, 100MHz TDD)</t>
        </is>
      </c>
      <c r="Q654" s="27">
        <f>ROUNDUP(O654/'Methodology &amp; Assumptions'!$B$8, 0)</f>
        <v/>
      </c>
      <c r="R654" s="27" t="n">
        <v>1</v>
      </c>
      <c r="S654" s="26" t="n">
        <v>0.8</v>
      </c>
      <c r="T654" s="26" t="n">
        <v>0.29</v>
      </c>
      <c r="U654" s="11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26" t="n">
        <v>69.09</v>
      </c>
      <c r="W654" s="26" t="n">
        <v>57.41</v>
      </c>
      <c r="X654" s="26">
        <f>ROUND(('Methodology &amp; Assumptions'!$B$5*V654) + ('Methodology &amp; Assumptions'!$B$6*W654), 2)</f>
        <v/>
      </c>
      <c r="Y654" s="28" t="n">
        <v>10.9</v>
      </c>
      <c r="Z654" s="11" t="inlineStr">
        <is>
          <t>Priority Tier 2 (Balanced Opportunity)</t>
        </is>
      </c>
    </row>
    <row r="655">
      <c r="A655" s="23" t="n">
        <v>2</v>
      </c>
      <c r="B655" s="23" t="n">
        <v>651</v>
      </c>
      <c r="C655" s="23" t="n">
        <v>1651</v>
      </c>
      <c r="D655" s="23" t="inlineStr">
        <is>
          <t>1380610060</t>
        </is>
      </c>
      <c r="E655" s="11" t="inlineStr">
        <is>
          <t>National Capital Region (NCR)</t>
        </is>
      </c>
      <c r="F655" s="11" t="inlineStr">
        <is>
          <t>First District (Not a Province)</t>
        </is>
      </c>
      <c r="G655" s="11" t="inlineStr">
        <is>
          <t>City of Manila</t>
        </is>
      </c>
      <c r="H655" s="11" t="inlineStr">
        <is>
          <t>Barangay 735</t>
        </is>
      </c>
      <c r="I655" s="24" t="n">
        <v>14.575245</v>
      </c>
      <c r="J655" s="24" t="n">
        <v>120.997612</v>
      </c>
      <c r="K655" s="23" t="inlineStr">
        <is>
          <t>U</t>
        </is>
      </c>
      <c r="L655" s="25" t="n">
        <v>2038</v>
      </c>
      <c r="M655" s="26" t="n">
        <v>4.33</v>
      </c>
      <c r="N655" s="25">
        <f>ROUND(L655/M655, 0)</f>
        <v/>
      </c>
      <c r="O655" s="25">
        <f>ROUND(N655*'Methodology &amp; Assumptions'!$B$7, 0)</f>
        <v/>
      </c>
      <c r="P655" s="23" t="inlineStr">
        <is>
          <t>Single Carrier (Band n50, 100MHz TDD)</t>
        </is>
      </c>
      <c r="Q655" s="27">
        <f>ROUNDUP(O655/'Methodology &amp; Assumptions'!$B$8, 0)</f>
        <v/>
      </c>
      <c r="R655" s="27" t="n">
        <v>1</v>
      </c>
      <c r="S655" s="26" t="n">
        <v>0.51</v>
      </c>
      <c r="T655" s="26" t="n">
        <v>0.2</v>
      </c>
      <c r="U655" s="11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26" t="n">
        <v>56.2</v>
      </c>
      <c r="W655" s="26" t="n">
        <v>70.3</v>
      </c>
      <c r="X655" s="26">
        <f>ROUND(('Methodology &amp; Assumptions'!$B$5*V655) + ('Methodology &amp; Assumptions'!$B$6*W655), 2)</f>
        <v/>
      </c>
      <c r="Y655" s="28" t="n">
        <v>10.9</v>
      </c>
      <c r="Z655" s="11" t="inlineStr">
        <is>
          <t>Priority Tier 2 (Balanced Opportunity)</t>
        </is>
      </c>
    </row>
    <row r="656">
      <c r="A656" s="23" t="n">
        <v>2</v>
      </c>
      <c r="B656" s="23" t="n">
        <v>652</v>
      </c>
      <c r="C656" s="23" t="n">
        <v>1652</v>
      </c>
      <c r="D656" s="23" t="inlineStr">
        <is>
          <t>0203110005</t>
        </is>
      </c>
      <c r="E656" s="11" t="inlineStr">
        <is>
          <t>Region II (Cagayan Valley)</t>
        </is>
      </c>
      <c r="F656" s="11" t="inlineStr">
        <is>
          <t>Isabela</t>
        </is>
      </c>
      <c r="G656" s="11" t="inlineStr">
        <is>
          <t>Dinapigue</t>
        </is>
      </c>
      <c r="H656" s="11" t="inlineStr">
        <is>
          <t>Digumased</t>
        </is>
      </c>
      <c r="I656" s="24" t="n">
        <v>16.525545</v>
      </c>
      <c r="J656" s="24" t="n">
        <v>122.262361</v>
      </c>
      <c r="K656" s="23" t="inlineStr">
        <is>
          <t>R</t>
        </is>
      </c>
      <c r="L656" s="25" t="n">
        <v>3023</v>
      </c>
      <c r="M656" s="26" t="n">
        <v>3.8</v>
      </c>
      <c r="N656" s="25">
        <f>ROUND(L656/M656, 0)</f>
        <v/>
      </c>
      <c r="O656" s="25">
        <f>ROUND(N656*'Methodology &amp; Assumptions'!$B$7, 0)</f>
        <v/>
      </c>
      <c r="P656" s="23" t="inlineStr">
        <is>
          <t>Single Carrier (Band n50, 100MHz TDD)</t>
        </is>
      </c>
      <c r="Q656" s="27">
        <f>ROUNDUP(O656/'Methodology &amp; Assumptions'!$B$8, 0)</f>
        <v/>
      </c>
      <c r="R656" s="27" t="n">
        <v>1</v>
      </c>
      <c r="S656" s="26" t="n">
        <v>0.17</v>
      </c>
      <c r="T656" s="26" t="n">
        <v>0.29</v>
      </c>
      <c r="U656" s="11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26" t="n">
        <v>84.91</v>
      </c>
      <c r="W656" s="26" t="n">
        <v>41.57</v>
      </c>
      <c r="X656" s="26">
        <f>ROUND(('Methodology &amp; Assumptions'!$B$5*V656) + ('Methodology &amp; Assumptions'!$B$6*W656), 2)</f>
        <v/>
      </c>
      <c r="Y656" s="28" t="n">
        <v>8.300000000000001</v>
      </c>
      <c r="Z656" s="11" t="inlineStr">
        <is>
          <t>Priority Tier 2 (Balanced Opportunity)</t>
        </is>
      </c>
    </row>
    <row r="657">
      <c r="A657" s="23" t="n">
        <v>2</v>
      </c>
      <c r="B657" s="23" t="n">
        <v>653</v>
      </c>
      <c r="C657" s="23" t="n">
        <v>1653</v>
      </c>
      <c r="D657" s="23" t="inlineStr">
        <is>
          <t>1381300115</t>
        </is>
      </c>
      <c r="E657" s="11" t="inlineStr">
        <is>
          <t>National Capital Region (NCR)</t>
        </is>
      </c>
      <c r="F657" s="11" t="inlineStr">
        <is>
          <t>Second District (Not a Province)</t>
        </is>
      </c>
      <c r="G657" s="11" t="inlineStr">
        <is>
          <t>Quezon City</t>
        </is>
      </c>
      <c r="H657" s="11" t="inlineStr">
        <is>
          <t>Socorro</t>
        </is>
      </c>
      <c r="I657" s="24" t="n">
        <v>14.61297</v>
      </c>
      <c r="J657" s="24" t="n">
        <v>121.0624</v>
      </c>
      <c r="K657" s="23" t="inlineStr">
        <is>
          <t>U</t>
        </is>
      </c>
      <c r="L657" s="25" t="n">
        <v>25177</v>
      </c>
      <c r="M657" s="26" t="n">
        <v>3.46</v>
      </c>
      <c r="N657" s="25">
        <f>ROUND(L657/M657, 0)</f>
        <v/>
      </c>
      <c r="O657" s="25">
        <f>ROUND(N657*'Methodology &amp; Assumptions'!$B$7, 0)</f>
        <v/>
      </c>
      <c r="P657" s="23" t="inlineStr">
        <is>
          <t>Single Carrier (Band n50, 100MHz TDD)</t>
        </is>
      </c>
      <c r="Q657" s="27">
        <f>ROUNDUP(O657/'Methodology &amp; Assumptions'!$B$8, 0)</f>
        <v/>
      </c>
      <c r="R657" s="27" t="n">
        <v>1</v>
      </c>
      <c r="S657" s="26" t="n">
        <v>0.93</v>
      </c>
      <c r="T657" s="26" t="n">
        <v>0.05</v>
      </c>
      <c r="U657" s="11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26" t="n">
        <v>67.42</v>
      </c>
      <c r="W657" s="26" t="n">
        <v>59.06</v>
      </c>
      <c r="X657" s="26">
        <f>ROUND(('Methodology &amp; Assumptions'!$B$5*V657) + ('Methodology &amp; Assumptions'!$B$6*W657), 2)</f>
        <v/>
      </c>
      <c r="Y657" s="28" t="n">
        <v>10.9</v>
      </c>
      <c r="Z657" s="11" t="inlineStr">
        <is>
          <t>Priority Tier 2 (Balanced Opportunity)</t>
        </is>
      </c>
    </row>
    <row r="658">
      <c r="A658" s="23" t="n">
        <v>2</v>
      </c>
      <c r="B658" s="23" t="n">
        <v>654</v>
      </c>
      <c r="C658" s="23" t="n">
        <v>1654</v>
      </c>
      <c r="D658" s="23" t="inlineStr">
        <is>
          <t>0401029033</t>
        </is>
      </c>
      <c r="E658" s="11" t="inlineStr">
        <is>
          <t>Region IV-A (CALABARZON)</t>
        </is>
      </c>
      <c r="F658" s="11" t="inlineStr">
        <is>
          <t>Batangas</t>
        </is>
      </c>
      <c r="G658" s="11" t="inlineStr">
        <is>
          <t>Taal</t>
        </is>
      </c>
      <c r="H658" s="11" t="inlineStr">
        <is>
          <t>Poblacion 9</t>
        </is>
      </c>
      <c r="I658" s="24" t="n">
        <v>13.875159</v>
      </c>
      <c r="J658" s="24" t="n">
        <v>120.919859</v>
      </c>
      <c r="K658" s="23" t="inlineStr">
        <is>
          <t>R</t>
        </is>
      </c>
      <c r="L658" s="25" t="n">
        <v>862</v>
      </c>
      <c r="M658" s="26" t="n">
        <v>3.6</v>
      </c>
      <c r="N658" s="25">
        <f>ROUND(L658/M658, 0)</f>
        <v/>
      </c>
      <c r="O658" s="25">
        <f>ROUND(N658*'Methodology &amp; Assumptions'!$B$7, 0)</f>
        <v/>
      </c>
      <c r="P658" s="23" t="inlineStr">
        <is>
          <t>Single Carrier (Band n50, 100MHz TDD)</t>
        </is>
      </c>
      <c r="Q658" s="27">
        <f>ROUNDUP(O658/'Methodology &amp; Assumptions'!$B$8, 0)</f>
        <v/>
      </c>
      <c r="R658" s="27" t="n">
        <v>1</v>
      </c>
      <c r="S658" s="26" t="n">
        <v>0.32</v>
      </c>
      <c r="T658" s="26" t="n">
        <v>2.29</v>
      </c>
      <c r="U658" s="11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26" t="n">
        <v>65.33</v>
      </c>
      <c r="W658" s="26" t="n">
        <v>61.14</v>
      </c>
      <c r="X658" s="26">
        <f>ROUND(('Methodology &amp; Assumptions'!$B$5*V658) + ('Methodology &amp; Assumptions'!$B$6*W658), 2)</f>
        <v/>
      </c>
      <c r="Y658" s="28" t="n">
        <v>7.2</v>
      </c>
      <c r="Z658" s="11" t="inlineStr">
        <is>
          <t>Priority Tier 2 (Balanced Opportunity)</t>
        </is>
      </c>
    </row>
    <row r="659">
      <c r="A659" s="23" t="n">
        <v>2</v>
      </c>
      <c r="B659" s="23" t="n">
        <v>655</v>
      </c>
      <c r="C659" s="23" t="n">
        <v>1655</v>
      </c>
      <c r="D659" s="23" t="inlineStr">
        <is>
          <t>1380601004</t>
        </is>
      </c>
      <c r="E659" s="11" t="inlineStr">
        <is>
          <t>National Capital Region (NCR)</t>
        </is>
      </c>
      <c r="F659" s="11" t="inlineStr">
        <is>
          <t>First District (Not a Province)</t>
        </is>
      </c>
      <c r="G659" s="11" t="inlineStr">
        <is>
          <t>City of Manila</t>
        </is>
      </c>
      <c r="H659" s="11" t="inlineStr">
        <is>
          <t>Barangay 4</t>
        </is>
      </c>
      <c r="I659" s="24" t="n">
        <v>14.6068</v>
      </c>
      <c r="J659" s="24" t="n">
        <v>120.965768</v>
      </c>
      <c r="K659" s="23" t="inlineStr">
        <is>
          <t>U</t>
        </is>
      </c>
      <c r="L659" s="25" t="n">
        <v>1717</v>
      </c>
      <c r="M659" s="26" t="n">
        <v>4.59</v>
      </c>
      <c r="N659" s="25">
        <f>ROUND(L659/M659, 0)</f>
        <v/>
      </c>
      <c r="O659" s="25">
        <f>ROUND(N659*'Methodology &amp; Assumptions'!$B$7, 0)</f>
        <v/>
      </c>
      <c r="P659" s="23" t="inlineStr">
        <is>
          <t>Single Carrier (Band n50, 100MHz TDD)</t>
        </is>
      </c>
      <c r="Q659" s="27">
        <f>ROUNDUP(O659/'Methodology &amp; Assumptions'!$B$8, 0)</f>
        <v/>
      </c>
      <c r="R659" s="27" t="n">
        <v>1</v>
      </c>
      <c r="S659" s="26" t="n">
        <v>0.42</v>
      </c>
      <c r="T659" s="26" t="n">
        <v>0.42</v>
      </c>
      <c r="U659" s="11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26" t="n">
        <v>53.09</v>
      </c>
      <c r="W659" s="26" t="n">
        <v>73.39</v>
      </c>
      <c r="X659" s="26">
        <f>ROUND(('Methodology &amp; Assumptions'!$B$5*V659) + ('Methodology &amp; Assumptions'!$B$6*W659), 2)</f>
        <v/>
      </c>
      <c r="Y659" s="28" t="n">
        <v>10.9</v>
      </c>
      <c r="Z659" s="11" t="inlineStr">
        <is>
          <t>Priority Tier 2 (Balanced Opportunity)</t>
        </is>
      </c>
    </row>
    <row r="660">
      <c r="A660" s="23" t="n">
        <v>2</v>
      </c>
      <c r="B660" s="23" t="n">
        <v>656</v>
      </c>
      <c r="C660" s="23" t="n">
        <v>1656</v>
      </c>
      <c r="D660" s="23" t="inlineStr">
        <is>
          <t>0205703033</t>
        </is>
      </c>
      <c r="E660" s="11" t="inlineStr">
        <is>
          <t>Region II (Cagayan Valley)</t>
        </is>
      </c>
      <c r="F660" s="11" t="inlineStr">
        <is>
          <t>Quirino</t>
        </is>
      </c>
      <c r="G660" s="11" t="inlineStr">
        <is>
          <t>Diffun</t>
        </is>
      </c>
      <c r="H660" s="11" t="inlineStr">
        <is>
          <t>Don Faustino Pagaduan</t>
        </is>
      </c>
      <c r="I660" s="24" t="n">
        <v>16.610889</v>
      </c>
      <c r="J660" s="24" t="n">
        <v>121.43419</v>
      </c>
      <c r="K660" s="23" t="inlineStr">
        <is>
          <t>R</t>
        </is>
      </c>
      <c r="L660" s="25" t="n">
        <v>521</v>
      </c>
      <c r="M660" s="26" t="n">
        <v>3.9</v>
      </c>
      <c r="N660" s="25">
        <f>ROUND(L660/M660, 0)</f>
        <v/>
      </c>
      <c r="O660" s="25">
        <f>ROUND(N660*'Methodology &amp; Assumptions'!$B$7, 0)</f>
        <v/>
      </c>
      <c r="P660" s="23" t="inlineStr">
        <is>
          <t>Single Carrier (Band n50, 100MHz TDD)</t>
        </is>
      </c>
      <c r="Q660" s="27">
        <f>ROUNDUP(O660/'Methodology &amp; Assumptions'!$B$8, 0)</f>
        <v/>
      </c>
      <c r="R660" s="27" t="n">
        <v>1</v>
      </c>
      <c r="S660" s="26" t="n">
        <v>7.51</v>
      </c>
      <c r="T660" s="26" t="n">
        <v>4.85</v>
      </c>
      <c r="U660" s="11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26" t="n">
        <v>44.95</v>
      </c>
      <c r="W660" s="26" t="n">
        <v>81.52</v>
      </c>
      <c r="X660" s="26">
        <f>ROUND(('Methodology &amp; Assumptions'!$B$5*V660) + ('Methodology &amp; Assumptions'!$B$6*W660), 2)</f>
        <v/>
      </c>
      <c r="Y660" s="28" t="n">
        <v>8.300000000000001</v>
      </c>
      <c r="Z660" s="11" t="inlineStr">
        <is>
          <t>Priority Tier 2 (Balanced Opportunity)</t>
        </is>
      </c>
    </row>
    <row r="661">
      <c r="A661" s="23" t="n">
        <v>2</v>
      </c>
      <c r="B661" s="23" t="n">
        <v>657</v>
      </c>
      <c r="C661" s="23" t="n">
        <v>1657</v>
      </c>
      <c r="D661" s="23" t="inlineStr">
        <is>
          <t>1381300096</t>
        </is>
      </c>
      <c r="E661" s="11" t="inlineStr">
        <is>
          <t>National Capital Region (NCR)</t>
        </is>
      </c>
      <c r="F661" s="11" t="inlineStr">
        <is>
          <t>Second District (Not a Province)</t>
        </is>
      </c>
      <c r="G661" s="11" t="inlineStr">
        <is>
          <t>Quezon City</t>
        </is>
      </c>
      <c r="H661" s="11" t="inlineStr">
        <is>
          <t>San Antonio</t>
        </is>
      </c>
      <c r="I661" s="24" t="n">
        <v>14.65457</v>
      </c>
      <c r="J661" s="24" t="n">
        <v>121.0188</v>
      </c>
      <c r="K661" s="23" t="inlineStr">
        <is>
          <t>U</t>
        </is>
      </c>
      <c r="L661" s="25" t="n">
        <v>22880</v>
      </c>
      <c r="M661" s="26" t="n">
        <v>3.62</v>
      </c>
      <c r="N661" s="25">
        <f>ROUND(L661/M661, 0)</f>
        <v/>
      </c>
      <c r="O661" s="25">
        <f>ROUND(N661*'Methodology &amp; Assumptions'!$B$7, 0)</f>
        <v/>
      </c>
      <c r="P661" s="23" t="inlineStr">
        <is>
          <t>Single Carrier (Band n50, 100MHz TDD)</t>
        </is>
      </c>
      <c r="Q661" s="27">
        <f>ROUNDUP(O661/'Methodology &amp; Assumptions'!$B$8, 0)</f>
        <v/>
      </c>
      <c r="R661" s="27" t="n">
        <v>1</v>
      </c>
      <c r="S661" s="26" t="n">
        <v>0.91</v>
      </c>
      <c r="T661" s="26" t="n">
        <v>0.04</v>
      </c>
      <c r="U661" s="11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26" t="n">
        <v>67.84</v>
      </c>
      <c r="W661" s="26" t="n">
        <v>58.63</v>
      </c>
      <c r="X661" s="26">
        <f>ROUND(('Methodology &amp; Assumptions'!$B$5*V661) + ('Methodology &amp; Assumptions'!$B$6*W661), 2)</f>
        <v/>
      </c>
      <c r="Y661" s="28" t="n">
        <v>10.9</v>
      </c>
      <c r="Z661" s="11" t="inlineStr">
        <is>
          <t>Priority Tier 2 (Balanced Opportunity)</t>
        </is>
      </c>
    </row>
    <row r="662">
      <c r="A662" s="23" t="n">
        <v>2</v>
      </c>
      <c r="B662" s="23" t="n">
        <v>658</v>
      </c>
      <c r="C662" s="23" t="n">
        <v>1658</v>
      </c>
      <c r="D662" s="23" t="inlineStr">
        <is>
          <t>1380601130</t>
        </is>
      </c>
      <c r="E662" s="11" t="inlineStr">
        <is>
          <t>National Capital Region (NCR)</t>
        </is>
      </c>
      <c r="F662" s="11" t="inlineStr">
        <is>
          <t>First District (Not a Province)</t>
        </is>
      </c>
      <c r="G662" s="11" t="inlineStr">
        <is>
          <t>City of Manila</t>
        </is>
      </c>
      <c r="H662" s="11" t="inlineStr">
        <is>
          <t>Barangay 130</t>
        </is>
      </c>
      <c r="I662" s="24" t="n">
        <v>14.628927</v>
      </c>
      <c r="J662" s="24" t="n">
        <v>120.963948</v>
      </c>
      <c r="K662" s="23" t="inlineStr">
        <is>
          <t>U</t>
        </is>
      </c>
      <c r="L662" s="25" t="n">
        <v>1398</v>
      </c>
      <c r="M662" s="26" t="n">
        <v>3.52</v>
      </c>
      <c r="N662" s="25">
        <f>ROUND(L662/M662, 0)</f>
        <v/>
      </c>
      <c r="O662" s="25">
        <f>ROUND(N662*'Methodology &amp; Assumptions'!$B$7, 0)</f>
        <v/>
      </c>
      <c r="P662" s="23" t="inlineStr">
        <is>
          <t>Single Carrier (Band n50, 100MHz TDD)</t>
        </is>
      </c>
      <c r="Q662" s="27">
        <f>ROUNDUP(O662/'Methodology &amp; Assumptions'!$B$8, 0)</f>
        <v/>
      </c>
      <c r="R662" s="27" t="n">
        <v>1</v>
      </c>
      <c r="S662" s="26" t="n">
        <v>1.04</v>
      </c>
      <c r="T662" s="26" t="n">
        <v>0.29</v>
      </c>
      <c r="U662" s="11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26" t="n">
        <v>53.09</v>
      </c>
      <c r="W662" s="26" t="n">
        <v>73.37</v>
      </c>
      <c r="X662" s="26">
        <f>ROUND(('Methodology &amp; Assumptions'!$B$5*V662) + ('Methodology &amp; Assumptions'!$B$6*W662), 2)</f>
        <v/>
      </c>
      <c r="Y662" s="28" t="n">
        <v>10.9</v>
      </c>
      <c r="Z662" s="11" t="inlineStr">
        <is>
          <t>Priority Tier 2 (Balanced Opportunity)</t>
        </is>
      </c>
    </row>
    <row r="663">
      <c r="A663" s="23" t="n">
        <v>2</v>
      </c>
      <c r="B663" s="23" t="n">
        <v>659</v>
      </c>
      <c r="C663" s="23" t="n">
        <v>1659</v>
      </c>
      <c r="D663" s="23" t="inlineStr">
        <is>
          <t>1907005023</t>
        </is>
      </c>
      <c r="E663" s="11" t="inlineStr">
        <is>
          <t>Bangsamoro Autonomous Region In Muslim Mindanao (BARMM)</t>
        </is>
      </c>
      <c r="F663" s="11" t="inlineStr">
        <is>
          <t>Tawi-Tawi</t>
        </is>
      </c>
      <c r="G663" s="11" t="inlineStr">
        <is>
          <t>Sitangkai</t>
        </is>
      </c>
      <c r="H663" s="11" t="inlineStr">
        <is>
          <t>Panglima Alari</t>
        </is>
      </c>
      <c r="I663" s="24" t="n">
        <v>4.664</v>
      </c>
      <c r="J663" s="24" t="n">
        <v>119.399</v>
      </c>
      <c r="K663" s="23" t="inlineStr">
        <is>
          <t>U</t>
        </is>
      </c>
      <c r="L663" s="25" t="n">
        <v>9227</v>
      </c>
      <c r="M663" s="26" t="n">
        <v>5.8</v>
      </c>
      <c r="N663" s="25">
        <f>ROUND(L663/M663, 0)</f>
        <v/>
      </c>
      <c r="O663" s="25">
        <f>ROUND(N663*'Methodology &amp; Assumptions'!$B$7, 0)</f>
        <v/>
      </c>
      <c r="P663" s="23" t="inlineStr">
        <is>
          <t>Single Carrier (Band n50, 100MHz TDD)</t>
        </is>
      </c>
      <c r="Q663" s="27">
        <f>ROUNDUP(O663/'Methodology &amp; Assumptions'!$B$8, 0)</f>
        <v/>
      </c>
      <c r="R663" s="27" t="n">
        <v>1</v>
      </c>
      <c r="S663" s="26" t="n">
        <v>999</v>
      </c>
      <c r="T663" s="26" t="n">
        <v>999</v>
      </c>
      <c r="U663" s="11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26" t="n">
        <v>51.86</v>
      </c>
      <c r="W663" s="26" t="n">
        <v>74.61</v>
      </c>
      <c r="X663" s="26">
        <f>ROUND(('Methodology &amp; Assumptions'!$B$5*V663) + ('Methodology &amp; Assumptions'!$B$6*W663), 2)</f>
        <v/>
      </c>
      <c r="Y663" s="28" t="n">
        <v>11</v>
      </c>
      <c r="Z663" s="11" t="inlineStr">
        <is>
          <t>Priority Tier 2 (Balanced Opportunity)</t>
        </is>
      </c>
    </row>
    <row r="664">
      <c r="A664" s="23" t="n">
        <v>2</v>
      </c>
      <c r="B664" s="23" t="n">
        <v>660</v>
      </c>
      <c r="C664" s="23" t="n">
        <v>1660</v>
      </c>
      <c r="D664" s="23" t="inlineStr">
        <is>
          <t>1402706036</t>
        </is>
      </c>
      <c r="E664" s="11" t="inlineStr">
        <is>
          <t>Cordillera Administrative Region (CAR)</t>
        </is>
      </c>
      <c r="F664" s="11" t="inlineStr">
        <is>
          <t>Ifugao</t>
        </is>
      </c>
      <c r="G664" s="11" t="inlineStr">
        <is>
          <t>Mayoyao</t>
        </is>
      </c>
      <c r="H664" s="11" t="inlineStr">
        <is>
          <t>Epeng</t>
        </is>
      </c>
      <c r="I664" s="24" t="n">
        <v>16.967867</v>
      </c>
      <c r="J664" s="24" t="n">
        <v>121.182533</v>
      </c>
      <c r="K664" s="23" t="inlineStr">
        <is>
          <t>R</t>
        </is>
      </c>
      <c r="L664" s="25" t="n">
        <v>497</v>
      </c>
      <c r="M664" s="26" t="n">
        <v>3.9</v>
      </c>
      <c r="N664" s="25">
        <f>ROUND(L664/M664, 0)</f>
        <v/>
      </c>
      <c r="O664" s="25">
        <f>ROUND(N664*'Methodology &amp; Assumptions'!$B$7, 0)</f>
        <v/>
      </c>
      <c r="P664" s="23" t="inlineStr">
        <is>
          <t>Single Carrier (Band n50, 100MHz TDD)</t>
        </is>
      </c>
      <c r="Q664" s="27">
        <f>ROUNDUP(O664/'Methodology &amp; Assumptions'!$B$8, 0)</f>
        <v/>
      </c>
      <c r="R664" s="27" t="n">
        <v>1</v>
      </c>
      <c r="S664" s="26" t="n">
        <v>4.2</v>
      </c>
      <c r="T664" s="26" t="n">
        <v>13.69</v>
      </c>
      <c r="U664" s="11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26" t="n">
        <v>48.58</v>
      </c>
      <c r="W664" s="26" t="n">
        <v>77.87</v>
      </c>
      <c r="X664" s="26">
        <f>ROUND(('Methodology &amp; Assumptions'!$B$5*V664) + ('Methodology &amp; Assumptions'!$B$6*W664), 2)</f>
        <v/>
      </c>
      <c r="Y664" s="28" t="n">
        <v>10.9</v>
      </c>
      <c r="Z664" s="11" t="inlineStr">
        <is>
          <t>Priority Tier 2 (Balanced Opportunity)</t>
        </is>
      </c>
    </row>
    <row r="665">
      <c r="A665" s="23" t="n">
        <v>2</v>
      </c>
      <c r="B665" s="23" t="n">
        <v>661</v>
      </c>
      <c r="C665" s="23" t="n">
        <v>1661</v>
      </c>
      <c r="D665" s="23" t="inlineStr">
        <is>
          <t>0501603027</t>
        </is>
      </c>
      <c r="E665" s="11" t="inlineStr">
        <is>
          <t>Region V (Bicol Region)</t>
        </is>
      </c>
      <c r="F665" s="11" t="inlineStr">
        <is>
          <t>Camarines Norte</t>
        </is>
      </c>
      <c r="G665" s="11" t="inlineStr">
        <is>
          <t>Daet</t>
        </is>
      </c>
      <c r="H665" s="11" t="inlineStr">
        <is>
          <t>Barangay IV</t>
        </is>
      </c>
      <c r="I665" s="24" t="n">
        <v>14.117478</v>
      </c>
      <c r="J665" s="24" t="n">
        <v>122.948914</v>
      </c>
      <c r="K665" s="23" t="inlineStr">
        <is>
          <t>U</t>
        </is>
      </c>
      <c r="L665" s="25" t="n">
        <v>7810</v>
      </c>
      <c r="M665" s="26" t="n">
        <v>4</v>
      </c>
      <c r="N665" s="25">
        <f>ROUND(L665/M665, 0)</f>
        <v/>
      </c>
      <c r="O665" s="25">
        <f>ROUND(N665*'Methodology &amp; Assumptions'!$B$7, 0)</f>
        <v/>
      </c>
      <c r="P665" s="23" t="inlineStr">
        <is>
          <t>Single Carrier (Band n50, 100MHz TDD)</t>
        </is>
      </c>
      <c r="Q665" s="27">
        <f>ROUNDUP(O665/'Methodology &amp; Assumptions'!$B$8, 0)</f>
        <v/>
      </c>
      <c r="R665" s="27" t="n">
        <v>1</v>
      </c>
      <c r="S665" s="26" t="n">
        <v>0.61</v>
      </c>
      <c r="T665" s="26" t="n">
        <v>1.16</v>
      </c>
      <c r="U665" s="11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26" t="n">
        <v>80.86</v>
      </c>
      <c r="W665" s="26" t="n">
        <v>45.59</v>
      </c>
      <c r="X665" s="26">
        <f>ROUND(('Methodology &amp; Assumptions'!$B$5*V665) + ('Methodology &amp; Assumptions'!$B$6*W665), 2)</f>
        <v/>
      </c>
      <c r="Y665" s="28" t="n">
        <v>23.7</v>
      </c>
      <c r="Z665" s="11" t="inlineStr">
        <is>
          <t>Priority Tier 2 (Balanced Opportunity)</t>
        </is>
      </c>
    </row>
    <row r="666">
      <c r="A666" s="23" t="n">
        <v>2</v>
      </c>
      <c r="B666" s="23" t="n">
        <v>662</v>
      </c>
      <c r="C666" s="23" t="n">
        <v>1662</v>
      </c>
      <c r="D666" s="23" t="inlineStr">
        <is>
          <t>0304901021</t>
        </is>
      </c>
      <c r="E666" s="11" t="inlineStr">
        <is>
          <t>Region III (Central Luzon)</t>
        </is>
      </c>
      <c r="F666" s="11" t="inlineStr">
        <is>
          <t>Nueva Ecija</t>
        </is>
      </c>
      <c r="G666" s="11" t="inlineStr">
        <is>
          <t>Aliaga</t>
        </is>
      </c>
      <c r="H666" s="11" t="inlineStr">
        <is>
          <t>Poblacion East I</t>
        </is>
      </c>
      <c r="I666" s="24" t="n">
        <v>15.506185</v>
      </c>
      <c r="J666" s="24" t="n">
        <v>120.857072</v>
      </c>
      <c r="K666" s="23" t="inlineStr">
        <is>
          <t>R</t>
        </is>
      </c>
      <c r="L666" s="25" t="n">
        <v>2597</v>
      </c>
      <c r="M666" s="26" t="n">
        <v>3.5</v>
      </c>
      <c r="N666" s="25">
        <f>ROUND(L666/M666, 0)</f>
        <v/>
      </c>
      <c r="O666" s="25">
        <f>ROUND(N666*'Methodology &amp; Assumptions'!$B$7, 0)</f>
        <v/>
      </c>
      <c r="P666" s="23" t="inlineStr">
        <is>
          <t>Single Carrier (Band n50, 100MHz TDD)</t>
        </is>
      </c>
      <c r="Q666" s="27">
        <f>ROUNDUP(O666/'Methodology &amp; Assumptions'!$B$8, 0)</f>
        <v/>
      </c>
      <c r="R666" s="27" t="n">
        <v>1</v>
      </c>
      <c r="S666" s="26" t="n">
        <v>1.55</v>
      </c>
      <c r="T666" s="26" t="n">
        <v>0.55</v>
      </c>
      <c r="U666" s="11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26" t="n">
        <v>80.52</v>
      </c>
      <c r="W666" s="26" t="n">
        <v>45.92</v>
      </c>
      <c r="X666" s="26">
        <f>ROUND(('Methodology &amp; Assumptions'!$B$5*V666) + ('Methodology &amp; Assumptions'!$B$6*W666), 2)</f>
        <v/>
      </c>
      <c r="Y666" s="28" t="n">
        <v>8.300000000000001</v>
      </c>
      <c r="Z666" s="11" t="inlineStr">
        <is>
          <t>Priority Tier 2 (Balanced Opportunity)</t>
        </is>
      </c>
    </row>
    <row r="667">
      <c r="A667" s="23" t="n">
        <v>2</v>
      </c>
      <c r="B667" s="23" t="n">
        <v>663</v>
      </c>
      <c r="C667" s="23" t="n">
        <v>1663</v>
      </c>
      <c r="D667" s="23" t="inlineStr">
        <is>
          <t>0304928020</t>
        </is>
      </c>
      <c r="E667" s="11" t="inlineStr">
        <is>
          <t>Region III (Central Luzon)</t>
        </is>
      </c>
      <c r="F667" s="11" t="inlineStr">
        <is>
          <t>Nueva Ecija</t>
        </is>
      </c>
      <c r="G667" s="11" t="inlineStr">
        <is>
          <t>Santa Rosa</t>
        </is>
      </c>
      <c r="H667" s="11" t="inlineStr">
        <is>
          <t>Valenzuela</t>
        </is>
      </c>
      <c r="I667" s="24" t="n">
        <v>15.430261</v>
      </c>
      <c r="J667" s="24" t="n">
        <v>120.937322</v>
      </c>
      <c r="K667" s="23" t="inlineStr">
        <is>
          <t>U</t>
        </is>
      </c>
      <c r="L667" s="25" t="n">
        <v>2923</v>
      </c>
      <c r="M667" s="26" t="n">
        <v>3.5</v>
      </c>
      <c r="N667" s="25">
        <f>ROUND(L667/M667, 0)</f>
        <v/>
      </c>
      <c r="O667" s="25">
        <f>ROUND(N667*'Methodology &amp; Assumptions'!$B$7, 0)</f>
        <v/>
      </c>
      <c r="P667" s="23" t="inlineStr">
        <is>
          <t>Single Carrier (Band n50, 100MHz TDD)</t>
        </is>
      </c>
      <c r="Q667" s="27">
        <f>ROUNDUP(O667/'Methodology &amp; Assumptions'!$B$8, 0)</f>
        <v/>
      </c>
      <c r="R667" s="27" t="n">
        <v>1</v>
      </c>
      <c r="S667" s="26" t="n">
        <v>0.59</v>
      </c>
      <c r="T667" s="26" t="n">
        <v>0.2</v>
      </c>
      <c r="U667" s="11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26" t="n">
        <v>78.43000000000001</v>
      </c>
      <c r="W667" s="26" t="n">
        <v>48</v>
      </c>
      <c r="X667" s="26">
        <f>ROUND(('Methodology &amp; Assumptions'!$B$5*V667) + ('Methodology &amp; Assumptions'!$B$6*W667), 2)</f>
        <v/>
      </c>
      <c r="Y667" s="28" t="n">
        <v>8.300000000000001</v>
      </c>
      <c r="Z667" s="11" t="inlineStr">
        <is>
          <t>Priority Tier 2 (Balanced Opportunity)</t>
        </is>
      </c>
    </row>
    <row r="668">
      <c r="A668" s="23" t="n">
        <v>2</v>
      </c>
      <c r="B668" s="23" t="n">
        <v>664</v>
      </c>
      <c r="C668" s="23" t="n">
        <v>1664</v>
      </c>
      <c r="D668" s="23" t="inlineStr">
        <is>
          <t>1381300125</t>
        </is>
      </c>
      <c r="E668" s="11" t="inlineStr">
        <is>
          <t>National Capital Region (NCR)</t>
        </is>
      </c>
      <c r="F668" s="11" t="inlineStr">
        <is>
          <t>Second District (Not a Province)</t>
        </is>
      </c>
      <c r="G668" s="11" t="inlineStr">
        <is>
          <t>Quezon City</t>
        </is>
      </c>
      <c r="H668" s="11" t="inlineStr">
        <is>
          <t>U.P. Village</t>
        </is>
      </c>
      <c r="I668" s="24" t="n">
        <v>14.64804</v>
      </c>
      <c r="J668" s="24" t="n">
        <v>121.058279</v>
      </c>
      <c r="K668" s="23" t="inlineStr">
        <is>
          <t>U</t>
        </is>
      </c>
      <c r="L668" s="25" t="n">
        <v>3257</v>
      </c>
      <c r="M668" s="26" t="n">
        <v>3.69</v>
      </c>
      <c r="N668" s="25">
        <f>ROUND(L668/M668, 0)</f>
        <v/>
      </c>
      <c r="O668" s="25">
        <f>ROUND(N668*'Methodology &amp; Assumptions'!$B$7, 0)</f>
        <v/>
      </c>
      <c r="P668" s="23" t="inlineStr">
        <is>
          <t>Single Carrier (Band n50, 100MHz TDD)</t>
        </is>
      </c>
      <c r="Q668" s="27">
        <f>ROUNDUP(O668/'Methodology &amp; Assumptions'!$B$8, 0)</f>
        <v/>
      </c>
      <c r="R668" s="27" t="n">
        <v>1</v>
      </c>
      <c r="S668" s="26" t="n">
        <v>0.66</v>
      </c>
      <c r="T668" s="26" t="n">
        <v>0.64</v>
      </c>
      <c r="U668" s="11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26" t="n">
        <v>69.09</v>
      </c>
      <c r="W668" s="26" t="n">
        <v>57.34</v>
      </c>
      <c r="X668" s="26">
        <f>ROUND(('Methodology &amp; Assumptions'!$B$5*V668) + ('Methodology &amp; Assumptions'!$B$6*W668), 2)</f>
        <v/>
      </c>
      <c r="Y668" s="28" t="n">
        <v>10.9</v>
      </c>
      <c r="Z668" s="11" t="inlineStr">
        <is>
          <t>Priority Tier 2 (Balanced Opportunity)</t>
        </is>
      </c>
    </row>
    <row r="669">
      <c r="A669" s="23" t="n">
        <v>2</v>
      </c>
      <c r="B669" s="23" t="n">
        <v>665</v>
      </c>
      <c r="C669" s="23" t="n">
        <v>1665</v>
      </c>
      <c r="D669" s="23" t="inlineStr">
        <is>
          <t>1380601233</t>
        </is>
      </c>
      <c r="E669" s="11" t="inlineStr">
        <is>
          <t>National Capital Region (NCR)</t>
        </is>
      </c>
      <c r="F669" s="11" t="inlineStr">
        <is>
          <t>First District (Not a Province)</t>
        </is>
      </c>
      <c r="G669" s="11" t="inlineStr">
        <is>
          <t>City of Manila</t>
        </is>
      </c>
      <c r="H669" s="11" t="inlineStr">
        <is>
          <t>Barangay 232</t>
        </is>
      </c>
      <c r="I669" s="24" t="n">
        <v>14.619309</v>
      </c>
      <c r="J669" s="24" t="n">
        <v>120.974794</v>
      </c>
      <c r="K669" s="23" t="inlineStr">
        <is>
          <t>U</t>
        </is>
      </c>
      <c r="L669" s="25" t="n">
        <v>1871</v>
      </c>
      <c r="M669" s="26" t="n">
        <v>4.02</v>
      </c>
      <c r="N669" s="25">
        <f>ROUND(L669/M669, 0)</f>
        <v/>
      </c>
      <c r="O669" s="25">
        <f>ROUND(N669*'Methodology &amp; Assumptions'!$B$7, 0)</f>
        <v/>
      </c>
      <c r="P669" s="23" t="inlineStr">
        <is>
          <t>Single Carrier (Band n50, 100MHz TDD)</t>
        </is>
      </c>
      <c r="Q669" s="27">
        <f>ROUNDUP(O669/'Methodology &amp; Assumptions'!$B$8, 0)</f>
        <v/>
      </c>
      <c r="R669" s="27" t="n">
        <v>1</v>
      </c>
      <c r="S669" s="26" t="n">
        <v>0.85</v>
      </c>
      <c r="T669" s="26" t="n">
        <v>0.33</v>
      </c>
      <c r="U669" s="11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26" t="n">
        <v>56.04</v>
      </c>
      <c r="W669" s="26" t="n">
        <v>70.39</v>
      </c>
      <c r="X669" s="26">
        <f>ROUND(('Methodology &amp; Assumptions'!$B$5*V669) + ('Methodology &amp; Assumptions'!$B$6*W669), 2)</f>
        <v/>
      </c>
      <c r="Y669" s="28" t="n">
        <v>10.9</v>
      </c>
      <c r="Z669" s="11" t="inlineStr">
        <is>
          <t>Priority Tier 2 (Balanced Opportunity)</t>
        </is>
      </c>
    </row>
    <row r="670">
      <c r="A670" s="23" t="n">
        <v>2</v>
      </c>
      <c r="B670" s="23" t="n">
        <v>666</v>
      </c>
      <c r="C670" s="23" t="n">
        <v>1666</v>
      </c>
      <c r="D670" s="23" t="inlineStr">
        <is>
          <t>0702223042</t>
        </is>
      </c>
      <c r="E670" s="11" t="inlineStr">
        <is>
          <t>Region VII (Central Visayas)</t>
        </is>
      </c>
      <c r="F670" s="11" t="inlineStr">
        <is>
          <t>Cebu</t>
        </is>
      </c>
      <c r="G670" s="11" t="inlineStr">
        <is>
          <t>Danao City</t>
        </is>
      </c>
      <c r="H670" s="11" t="inlineStr">
        <is>
          <t>Taytay</t>
        </is>
      </c>
      <c r="I670" s="24" t="n">
        <v>10.53249</v>
      </c>
      <c r="J670" s="24" t="n">
        <v>124.02742</v>
      </c>
      <c r="K670" s="23" t="inlineStr">
        <is>
          <t>R</t>
        </is>
      </c>
      <c r="L670" s="25" t="n">
        <v>4744</v>
      </c>
      <c r="M670" s="26" t="n">
        <v>3.8</v>
      </c>
      <c r="N670" s="25">
        <f>ROUND(L670/M670, 0)</f>
        <v/>
      </c>
      <c r="O670" s="25">
        <f>ROUND(N670*'Methodology &amp; Assumptions'!$B$7, 0)</f>
        <v/>
      </c>
      <c r="P670" s="23" t="inlineStr">
        <is>
          <t>Single Carrier (Band n50, 100MHz TDD)</t>
        </is>
      </c>
      <c r="Q670" s="27">
        <f>ROUNDUP(O670/'Methodology &amp; Assumptions'!$B$8, 0)</f>
        <v/>
      </c>
      <c r="R670" s="27" t="n">
        <v>1</v>
      </c>
      <c r="S670" s="26" t="n">
        <v>1.19</v>
      </c>
      <c r="T670" s="26" t="n">
        <v>0.24</v>
      </c>
      <c r="U670" s="11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26" t="n">
        <v>86.70999999999999</v>
      </c>
      <c r="W670" s="26" t="n">
        <v>39.71</v>
      </c>
      <c r="X670" s="26">
        <f>ROUND(('Methodology &amp; Assumptions'!$B$5*V670) + ('Methodology &amp; Assumptions'!$B$6*W670), 2)</f>
        <v/>
      </c>
      <c r="Y670" s="28" t="n">
        <v>23.7</v>
      </c>
      <c r="Z670" s="11" t="inlineStr">
        <is>
          <t>Priority Tier 2 (Balanced Opportunity)</t>
        </is>
      </c>
    </row>
    <row r="671">
      <c r="A671" s="23" t="n">
        <v>2</v>
      </c>
      <c r="B671" s="23" t="n">
        <v>667</v>
      </c>
      <c r="C671" s="23" t="n">
        <v>1667</v>
      </c>
      <c r="D671" s="23" t="inlineStr">
        <is>
          <t>0403425002</t>
        </is>
      </c>
      <c r="E671" s="11" t="inlineStr">
        <is>
          <t>Region IV-A (CALABARZON)</t>
        </is>
      </c>
      <c r="F671" s="11" t="inlineStr">
        <is>
          <t>Laguna</t>
        </is>
      </c>
      <c r="G671" s="11" t="inlineStr">
        <is>
          <t>City of San Pedro</t>
        </is>
      </c>
      <c r="H671" s="11" t="inlineStr">
        <is>
          <t>Cuyab</t>
        </is>
      </c>
      <c r="I671" s="24" t="n">
        <v>14.371495</v>
      </c>
      <c r="J671" s="24" t="n">
        <v>121.05918</v>
      </c>
      <c r="K671" s="23" t="inlineStr">
        <is>
          <t>U</t>
        </is>
      </c>
      <c r="L671" s="25" t="n">
        <v>23482</v>
      </c>
      <c r="M671" s="26" t="n">
        <v>3.3</v>
      </c>
      <c r="N671" s="25">
        <f>ROUND(L671/M671, 0)</f>
        <v/>
      </c>
      <c r="O671" s="25">
        <f>ROUND(N671*'Methodology &amp; Assumptions'!$B$7, 0)</f>
        <v/>
      </c>
      <c r="P671" s="23" t="inlineStr">
        <is>
          <t>Single Carrier (Band n50, 100MHz TDD)</t>
        </is>
      </c>
      <c r="Q671" s="27">
        <f>ROUNDUP(O671/'Methodology &amp; Assumptions'!$B$8, 0)</f>
        <v/>
      </c>
      <c r="R671" s="27" t="n">
        <v>1</v>
      </c>
      <c r="S671" s="26" t="n">
        <v>2.49</v>
      </c>
      <c r="T671" s="26" t="n">
        <v>0.96</v>
      </c>
      <c r="U671" s="11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26" t="n">
        <v>72.41</v>
      </c>
      <c r="W671" s="26" t="n">
        <v>54.02</v>
      </c>
      <c r="X671" s="26">
        <f>ROUND(('Methodology &amp; Assumptions'!$B$5*V671) + ('Methodology &amp; Assumptions'!$B$6*W671), 2)</f>
        <v/>
      </c>
      <c r="Y671" s="28" t="n">
        <v>7.2</v>
      </c>
      <c r="Z671" s="11" t="inlineStr">
        <is>
          <t>Priority Tier 2 (Balanced Opportunity)</t>
        </is>
      </c>
    </row>
    <row r="672">
      <c r="A672" s="23" t="n">
        <v>2</v>
      </c>
      <c r="B672" s="23" t="n">
        <v>668</v>
      </c>
      <c r="C672" s="23" t="n">
        <v>1668</v>
      </c>
      <c r="D672" s="23" t="inlineStr">
        <is>
          <t>1380601235</t>
        </is>
      </c>
      <c r="E672" s="11" t="inlineStr">
        <is>
          <t>National Capital Region (NCR)</t>
        </is>
      </c>
      <c r="F672" s="11" t="inlineStr">
        <is>
          <t>First District (Not a Province)</t>
        </is>
      </c>
      <c r="G672" s="11" t="inlineStr">
        <is>
          <t>City of Manila</t>
        </is>
      </c>
      <c r="H672" s="11" t="inlineStr">
        <is>
          <t>Barangay 234</t>
        </is>
      </c>
      <c r="I672" s="24" t="n">
        <v>14.616426</v>
      </c>
      <c r="J672" s="24" t="n">
        <v>120.975981</v>
      </c>
      <c r="K672" s="23" t="inlineStr">
        <is>
          <t>U</t>
        </is>
      </c>
      <c r="L672" s="25" t="n">
        <v>2013</v>
      </c>
      <c r="M672" s="26" t="n">
        <v>3.83</v>
      </c>
      <c r="N672" s="25">
        <f>ROUND(L672/M672, 0)</f>
        <v/>
      </c>
      <c r="O672" s="25">
        <f>ROUND(N672*'Methodology &amp; Assumptions'!$B$7, 0)</f>
        <v/>
      </c>
      <c r="P672" s="23" t="inlineStr">
        <is>
          <t>Single Carrier (Band n50, 100MHz TDD)</t>
        </is>
      </c>
      <c r="Q672" s="27">
        <f>ROUNDUP(O672/'Methodology &amp; Assumptions'!$B$8, 0)</f>
        <v/>
      </c>
      <c r="R672" s="27" t="n">
        <v>1</v>
      </c>
      <c r="S672" s="26" t="n">
        <v>0.74</v>
      </c>
      <c r="T672" s="26" t="n">
        <v>0.14</v>
      </c>
      <c r="U672" s="11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26" t="n">
        <v>58.02</v>
      </c>
      <c r="W672" s="26" t="n">
        <v>68.41</v>
      </c>
      <c r="X672" s="26">
        <f>ROUND(('Methodology &amp; Assumptions'!$B$5*V672) + ('Methodology &amp; Assumptions'!$B$6*W672), 2)</f>
        <v/>
      </c>
      <c r="Y672" s="28" t="n">
        <v>10.9</v>
      </c>
      <c r="Z672" s="11" t="inlineStr">
        <is>
          <t>Priority Tier 2 (Balanced Opportunity)</t>
        </is>
      </c>
    </row>
    <row r="673">
      <c r="A673" s="23" t="n">
        <v>2</v>
      </c>
      <c r="B673" s="23" t="n">
        <v>669</v>
      </c>
      <c r="C673" s="23" t="n">
        <v>1669</v>
      </c>
      <c r="D673" s="23" t="inlineStr">
        <is>
          <t>1380610057</t>
        </is>
      </c>
      <c r="E673" s="11" t="inlineStr">
        <is>
          <t>National Capital Region (NCR)</t>
        </is>
      </c>
      <c r="F673" s="11" t="inlineStr">
        <is>
          <t>First District (Not a Province)</t>
        </is>
      </c>
      <c r="G673" s="11" t="inlineStr">
        <is>
          <t>City of Manila</t>
        </is>
      </c>
      <c r="H673" s="11" t="inlineStr">
        <is>
          <t>Barangay 743</t>
        </is>
      </c>
      <c r="I673" s="24" t="n">
        <v>14.572833</v>
      </c>
      <c r="J673" s="24" t="n">
        <v>120.994812</v>
      </c>
      <c r="K673" s="23" t="inlineStr">
        <is>
          <t>U</t>
        </is>
      </c>
      <c r="L673" s="25" t="n">
        <v>2028</v>
      </c>
      <c r="M673" s="26" t="n">
        <v>4.32</v>
      </c>
      <c r="N673" s="25">
        <f>ROUND(L673/M673, 0)</f>
        <v/>
      </c>
      <c r="O673" s="25">
        <f>ROUND(N673*'Methodology &amp; Assumptions'!$B$7, 0)</f>
        <v/>
      </c>
      <c r="P673" s="23" t="inlineStr">
        <is>
          <t>Single Carrier (Band n50, 100MHz TDD)</t>
        </is>
      </c>
      <c r="Q673" s="27">
        <f>ROUNDUP(O673/'Methodology &amp; Assumptions'!$B$8, 0)</f>
        <v/>
      </c>
      <c r="R673" s="27" t="n">
        <v>1</v>
      </c>
      <c r="S673" s="26" t="n">
        <v>0.11</v>
      </c>
      <c r="T673" s="26" t="n">
        <v>0.19</v>
      </c>
      <c r="U673" s="11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26" t="n">
        <v>56.2</v>
      </c>
      <c r="W673" s="26" t="n">
        <v>70.22</v>
      </c>
      <c r="X673" s="26">
        <f>ROUND(('Methodology &amp; Assumptions'!$B$5*V673) + ('Methodology &amp; Assumptions'!$B$6*W673), 2)</f>
        <v/>
      </c>
      <c r="Y673" s="28" t="n">
        <v>10.9</v>
      </c>
      <c r="Z673" s="11" t="inlineStr">
        <is>
          <t>Priority Tier 2 (Balanced Opportunity)</t>
        </is>
      </c>
    </row>
    <row r="674">
      <c r="A674" s="23" t="n">
        <v>2</v>
      </c>
      <c r="B674" s="23" t="n">
        <v>670</v>
      </c>
      <c r="C674" s="23" t="n">
        <v>1670</v>
      </c>
      <c r="D674" s="23" t="inlineStr">
        <is>
          <t>0401001010</t>
        </is>
      </c>
      <c r="E674" s="11" t="inlineStr">
        <is>
          <t>Region IV-A (CALABARZON)</t>
        </is>
      </c>
      <c r="F674" s="11" t="inlineStr">
        <is>
          <t>Batangas</t>
        </is>
      </c>
      <c r="G674" s="11" t="inlineStr">
        <is>
          <t>Agoncillo</t>
        </is>
      </c>
      <c r="H674" s="11" t="inlineStr">
        <is>
          <t>Mabini</t>
        </is>
      </c>
      <c r="I674" s="24" t="n">
        <v>13.987952</v>
      </c>
      <c r="J674" s="24" t="n">
        <v>120.93026</v>
      </c>
      <c r="K674" s="23" t="inlineStr">
        <is>
          <t>R</t>
        </is>
      </c>
      <c r="L674" s="25" t="n">
        <v>1347</v>
      </c>
      <c r="M674" s="26" t="n">
        <v>3.6</v>
      </c>
      <c r="N674" s="25">
        <f>ROUND(L674/M674, 0)</f>
        <v/>
      </c>
      <c r="O674" s="25">
        <f>ROUND(N674*'Methodology &amp; Assumptions'!$B$7, 0)</f>
        <v/>
      </c>
      <c r="P674" s="23" t="inlineStr">
        <is>
          <t>Single Carrier (Band n50, 100MHz TDD)</t>
        </is>
      </c>
      <c r="Q674" s="27">
        <f>ROUNDUP(O674/'Methodology &amp; Assumptions'!$B$8, 0)</f>
        <v/>
      </c>
      <c r="R674" s="27" t="n">
        <v>1</v>
      </c>
      <c r="S674" s="26" t="n">
        <v>5.73</v>
      </c>
      <c r="T674" s="26" t="n">
        <v>9.91</v>
      </c>
      <c r="U674" s="11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26" t="n">
        <v>54.9</v>
      </c>
      <c r="W674" s="26" t="n">
        <v>71.48999999999999</v>
      </c>
      <c r="X674" s="26">
        <f>ROUND(('Methodology &amp; Assumptions'!$B$5*V674) + ('Methodology &amp; Assumptions'!$B$6*W674), 2)</f>
        <v/>
      </c>
      <c r="Y674" s="28" t="n">
        <v>7.2</v>
      </c>
      <c r="Z674" s="11" t="inlineStr">
        <is>
          <t>Priority Tier 2 (Balanced Opportunity)</t>
        </is>
      </c>
    </row>
    <row r="675">
      <c r="A675" s="23" t="n">
        <v>2</v>
      </c>
      <c r="B675" s="23" t="n">
        <v>671</v>
      </c>
      <c r="C675" s="23" t="n">
        <v>1671</v>
      </c>
      <c r="D675" s="23" t="inlineStr">
        <is>
          <t>1102501007</t>
        </is>
      </c>
      <c r="E675" s="11" t="inlineStr">
        <is>
          <t>Region XI (Davao Region)</t>
        </is>
      </c>
      <c r="F675" s="11" t="inlineStr">
        <is>
          <t>Davao Oriental</t>
        </is>
      </c>
      <c r="G675" s="11" t="inlineStr">
        <is>
          <t>Baganga</t>
        </is>
      </c>
      <c r="H675" s="11" t="inlineStr">
        <is>
          <t>Campawan</t>
        </is>
      </c>
      <c r="I675" s="24" t="n">
        <v>7.678207</v>
      </c>
      <c r="J675" s="24" t="n">
        <v>126.425613</v>
      </c>
      <c r="K675" s="23" t="inlineStr">
        <is>
          <t>R</t>
        </is>
      </c>
      <c r="L675" s="25" t="n">
        <v>2164</v>
      </c>
      <c r="M675" s="26" t="n">
        <v>3.6</v>
      </c>
      <c r="N675" s="25">
        <f>ROUND(L675/M675, 0)</f>
        <v/>
      </c>
      <c r="O675" s="25">
        <f>ROUND(N675*'Methodology &amp; Assumptions'!$B$7, 0)</f>
        <v/>
      </c>
      <c r="P675" s="23" t="inlineStr">
        <is>
          <t>Single Carrier (Band n50, 100MHz TDD)</t>
        </is>
      </c>
      <c r="Q675" s="27">
        <f>ROUNDUP(O675/'Methodology &amp; Assumptions'!$B$8, 0)</f>
        <v/>
      </c>
      <c r="R675" s="27" t="n">
        <v>1</v>
      </c>
      <c r="S675" s="26" t="n">
        <v>43.95</v>
      </c>
      <c r="T675" s="26" t="n">
        <v>43.6</v>
      </c>
      <c r="U675" s="11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26" t="n">
        <v>53.97</v>
      </c>
      <c r="W675" s="26" t="n">
        <v>72.43000000000001</v>
      </c>
      <c r="X675" s="26">
        <f>ROUND(('Methodology &amp; Assumptions'!$B$5*V675) + ('Methodology &amp; Assumptions'!$B$6*W675), 2)</f>
        <v/>
      </c>
      <c r="Y675" s="28" t="n">
        <v>17.4</v>
      </c>
      <c r="Z675" s="11" t="inlineStr">
        <is>
          <t>Priority Tier 2 (Balanced Opportunity)</t>
        </is>
      </c>
    </row>
    <row r="676">
      <c r="A676" s="23" t="n">
        <v>2</v>
      </c>
      <c r="B676" s="23" t="n">
        <v>672</v>
      </c>
      <c r="C676" s="23" t="n">
        <v>1672</v>
      </c>
      <c r="D676" s="23" t="inlineStr">
        <is>
          <t>1402701007</t>
        </is>
      </c>
      <c r="E676" s="11" t="inlineStr">
        <is>
          <t>Cordillera Administrative Region (CAR)</t>
        </is>
      </c>
      <c r="F676" s="11" t="inlineStr">
        <is>
          <t>Ifugao</t>
        </is>
      </c>
      <c r="G676" s="11" t="inlineStr">
        <is>
          <t>Banaue</t>
        </is>
      </c>
      <c r="H676" s="11" t="inlineStr">
        <is>
          <t>Banao</t>
        </is>
      </c>
      <c r="I676" s="24" t="n">
        <v>16.881281</v>
      </c>
      <c r="J676" s="24" t="n">
        <v>121.189097</v>
      </c>
      <c r="K676" s="23" t="inlineStr">
        <is>
          <t>R</t>
        </is>
      </c>
      <c r="L676" s="25" t="n">
        <v>517</v>
      </c>
      <c r="M676" s="26" t="n">
        <v>3.9</v>
      </c>
      <c r="N676" s="25">
        <f>ROUND(L676/M676, 0)</f>
        <v/>
      </c>
      <c r="O676" s="25">
        <f>ROUND(N676*'Methodology &amp; Assumptions'!$B$7, 0)</f>
        <v/>
      </c>
      <c r="P676" s="23" t="inlineStr">
        <is>
          <t>Single Carrier (Band n50, 100MHz TDD)</t>
        </is>
      </c>
      <c r="Q676" s="27">
        <f>ROUNDUP(O676/'Methodology &amp; Assumptions'!$B$8, 0)</f>
        <v/>
      </c>
      <c r="R676" s="27" t="n">
        <v>1</v>
      </c>
      <c r="S676" s="26" t="n">
        <v>3.94</v>
      </c>
      <c r="T676" s="26" t="n">
        <v>11.34</v>
      </c>
      <c r="U676" s="11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26" t="n">
        <v>49.32</v>
      </c>
      <c r="W676" s="26" t="n">
        <v>77.06999999999999</v>
      </c>
      <c r="X676" s="26">
        <f>ROUND(('Methodology &amp; Assumptions'!$B$5*V676) + ('Methodology &amp; Assumptions'!$B$6*W676), 2)</f>
        <v/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2</v>
      </c>
      <c r="B677" s="23" t="n">
        <v>673</v>
      </c>
      <c r="C677" s="23" t="n">
        <v>1673</v>
      </c>
      <c r="D677" s="23" t="inlineStr">
        <is>
          <t>0403429021</t>
        </is>
      </c>
      <c r="E677" s="11" t="inlineStr">
        <is>
          <t>Region IV-A (CALABARZON)</t>
        </is>
      </c>
      <c r="F677" s="11" t="inlineStr">
        <is>
          <t>Laguna</t>
        </is>
      </c>
      <c r="G677" s="11" t="inlineStr">
        <is>
          <t>Siniloan</t>
        </is>
      </c>
      <c r="H677" s="11" t="inlineStr">
        <is>
          <t>Salubungan</t>
        </is>
      </c>
      <c r="I677" s="24" t="n">
        <v>14.421386</v>
      </c>
      <c r="J677" s="24" t="n">
        <v>121.447295</v>
      </c>
      <c r="K677" s="23" t="inlineStr">
        <is>
          <t>R</t>
        </is>
      </c>
      <c r="L677" s="25" t="n">
        <v>2134</v>
      </c>
      <c r="M677" s="26" t="n">
        <v>3.3</v>
      </c>
      <c r="N677" s="25">
        <f>ROUND(L677/M677, 0)</f>
        <v/>
      </c>
      <c r="O677" s="25">
        <f>ROUND(N677*'Methodology &amp; Assumptions'!$B$7, 0)</f>
        <v/>
      </c>
      <c r="P677" s="23" t="inlineStr">
        <is>
          <t>Single Carrier (Band n50, 100MHz TDD)</t>
        </is>
      </c>
      <c r="Q677" s="27">
        <f>ROUNDUP(O677/'Methodology &amp; Assumptions'!$B$8, 0)</f>
        <v/>
      </c>
      <c r="R677" s="27" t="n">
        <v>1</v>
      </c>
      <c r="S677" s="26" t="n">
        <v>1.6</v>
      </c>
      <c r="T677" s="26" t="n">
        <v>1.51</v>
      </c>
      <c r="U677" s="11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26" t="n">
        <v>77.12</v>
      </c>
      <c r="W677" s="26" t="n">
        <v>49.26</v>
      </c>
      <c r="X677" s="26">
        <f>ROUND(('Methodology &amp; Assumptions'!$B$5*V677) + ('Methodology &amp; Assumptions'!$B$6*W677), 2)</f>
        <v/>
      </c>
      <c r="Y677" s="28" t="n">
        <v>7.2</v>
      </c>
      <c r="Z677" s="11" t="inlineStr">
        <is>
          <t>Priority Tier 2 (Balanced Opportunity)</t>
        </is>
      </c>
    </row>
    <row r="678">
      <c r="A678" s="23" t="n">
        <v>2</v>
      </c>
      <c r="B678" s="23" t="n">
        <v>674</v>
      </c>
      <c r="C678" s="23" t="n">
        <v>1674</v>
      </c>
      <c r="D678" s="23" t="inlineStr">
        <is>
          <t>0102934035</t>
        </is>
      </c>
      <c r="E678" s="11" t="inlineStr">
        <is>
          <t>Region I (Ilocos Region)</t>
        </is>
      </c>
      <c r="F678" s="11" t="inlineStr">
        <is>
          <t>Ilocos Sur</t>
        </is>
      </c>
      <c r="G678" s="11" t="inlineStr">
        <is>
          <t>City of Vigan</t>
        </is>
      </c>
      <c r="H678" s="11" t="inlineStr">
        <is>
          <t>San Julian Sur</t>
        </is>
      </c>
      <c r="I678" s="24" t="n">
        <v>17.56814</v>
      </c>
      <c r="J678" s="24" t="n">
        <v>120.394708</v>
      </c>
      <c r="K678" s="23" t="inlineStr">
        <is>
          <t>R</t>
        </is>
      </c>
      <c r="L678" s="25" t="n">
        <v>1387</v>
      </c>
      <c r="M678" s="26" t="n">
        <v>3.8</v>
      </c>
      <c r="N678" s="25">
        <f>ROUND(L678/M678, 0)</f>
        <v/>
      </c>
      <c r="O678" s="25">
        <f>ROUND(N678*'Methodology &amp; Assumptions'!$B$7, 0)</f>
        <v/>
      </c>
      <c r="P678" s="23" t="inlineStr">
        <is>
          <t>Single Carrier (Band n50, 100MHz TDD)</t>
        </is>
      </c>
      <c r="Q678" s="27">
        <f>ROUNDUP(O678/'Methodology &amp; Assumptions'!$B$8, 0)</f>
        <v/>
      </c>
      <c r="R678" s="27" t="n">
        <v>1</v>
      </c>
      <c r="S678" s="26" t="n">
        <v>2.87</v>
      </c>
      <c r="T678" s="26" t="n">
        <v>1.4</v>
      </c>
      <c r="U678" s="11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26" t="n">
        <v>63.9</v>
      </c>
      <c r="W678" s="26" t="n">
        <v>62.48</v>
      </c>
      <c r="X678" s="26">
        <f>ROUND(('Methodology &amp; Assumptions'!$B$5*V678) + ('Methodology &amp; Assumptions'!$B$6*W678), 2)</f>
        <v/>
      </c>
      <c r="Y678" s="28" t="n">
        <v>8.300000000000001</v>
      </c>
      <c r="Z678" s="11" t="inlineStr">
        <is>
          <t>Priority Tier 2 (Balanced Opportunity)</t>
        </is>
      </c>
    </row>
    <row r="679">
      <c r="A679" s="23" t="n">
        <v>2</v>
      </c>
      <c r="B679" s="23" t="n">
        <v>675</v>
      </c>
      <c r="C679" s="23" t="n">
        <v>1675</v>
      </c>
      <c r="D679" s="23" t="inlineStr">
        <is>
          <t>1907005025</t>
        </is>
      </c>
      <c r="E679" s="11" t="inlineStr">
        <is>
          <t>Bangsamoro Autonomous Region In Muslim Mindanao (BARMM)</t>
        </is>
      </c>
      <c r="F679" s="11" t="inlineStr">
        <is>
          <t>Tawi-Tawi</t>
        </is>
      </c>
      <c r="G679" s="11" t="inlineStr">
        <is>
          <t>Sitangkai</t>
        </is>
      </c>
      <c r="H679" s="11" t="inlineStr">
        <is>
          <t>Sipangkot</t>
        </is>
      </c>
      <c r="I679" s="24" t="n">
        <v>4.887941</v>
      </c>
      <c r="J679" s="24" t="n">
        <v>119.403421</v>
      </c>
      <c r="K679" s="23" t="inlineStr">
        <is>
          <t>U</t>
        </is>
      </c>
      <c r="L679" s="25" t="n">
        <v>7560</v>
      </c>
      <c r="M679" s="26" t="n">
        <v>5.8</v>
      </c>
      <c r="N679" s="25">
        <f>ROUND(L679/M679, 0)</f>
        <v/>
      </c>
      <c r="O679" s="25">
        <f>ROUND(N679*'Methodology &amp; Assumptions'!$B$7, 0)</f>
        <v/>
      </c>
      <c r="P679" s="23" t="inlineStr">
        <is>
          <t>Single Carrier (Band n50, 100MHz TDD)</t>
        </is>
      </c>
      <c r="Q679" s="27">
        <f>ROUNDUP(O679/'Methodology &amp; Assumptions'!$B$8, 0)</f>
        <v/>
      </c>
      <c r="R679" s="27" t="n">
        <v>1</v>
      </c>
      <c r="S679" s="26" t="n">
        <v>999</v>
      </c>
      <c r="T679" s="26" t="n">
        <v>999</v>
      </c>
      <c r="U679" s="11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26" t="n">
        <v>51.86</v>
      </c>
      <c r="W679" s="26" t="n">
        <v>74.5</v>
      </c>
      <c r="X679" s="26">
        <f>ROUND(('Methodology &amp; Assumptions'!$B$5*V679) + ('Methodology &amp; Assumptions'!$B$6*W679), 2)</f>
        <v/>
      </c>
      <c r="Y679" s="28" t="n">
        <v>11</v>
      </c>
      <c r="Z679" s="11" t="inlineStr">
        <is>
          <t>Priority Tier 2 (Balanced Opportunity)</t>
        </is>
      </c>
    </row>
    <row r="680">
      <c r="A680" s="23" t="n">
        <v>2</v>
      </c>
      <c r="B680" s="23" t="n">
        <v>676</v>
      </c>
      <c r="C680" s="23" t="n">
        <v>1676</v>
      </c>
      <c r="D680" s="23" t="inlineStr">
        <is>
          <t>0601902004</t>
        </is>
      </c>
      <c r="E680" s="11" t="inlineStr">
        <is>
          <t>Region VI (Western Visayas)</t>
        </is>
      </c>
      <c r="F680" s="11" t="inlineStr">
        <is>
          <t>Capiz</t>
        </is>
      </c>
      <c r="G680" s="11" t="inlineStr">
        <is>
          <t>Dao</t>
        </is>
      </c>
      <c r="H680" s="11" t="inlineStr">
        <is>
          <t>Balucuan</t>
        </is>
      </c>
      <c r="I680" s="24" t="n">
        <v>11.397045</v>
      </c>
      <c r="J680" s="24" t="n">
        <v>122.680029</v>
      </c>
      <c r="K680" s="23" t="inlineStr">
        <is>
          <t>R</t>
        </is>
      </c>
      <c r="L680" s="25" t="n">
        <v>3516</v>
      </c>
      <c r="M680" s="26" t="n">
        <v>3.8</v>
      </c>
      <c r="N680" s="25">
        <f>ROUND(L680/M680, 0)</f>
        <v/>
      </c>
      <c r="O680" s="25">
        <f>ROUND(N680*'Methodology &amp; Assumptions'!$B$7, 0)</f>
        <v/>
      </c>
      <c r="P680" s="23" t="inlineStr">
        <is>
          <t>Single Carrier (Band n50, 100MHz TDD)</t>
        </is>
      </c>
      <c r="Q680" s="27">
        <f>ROUNDUP(O680/'Methodology &amp; Assumptions'!$B$8, 0)</f>
        <v/>
      </c>
      <c r="R680" s="27" t="n">
        <v>1</v>
      </c>
      <c r="S680" s="26" t="n">
        <v>0.62</v>
      </c>
      <c r="T680" s="26" t="n">
        <v>0.49</v>
      </c>
      <c r="U680" s="11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26" t="n">
        <v>88.06</v>
      </c>
      <c r="W680" s="26" t="n">
        <v>38.28</v>
      </c>
      <c r="X680" s="26">
        <f>ROUND(('Methodology &amp; Assumptions'!$B$5*V680) + ('Methodology &amp; Assumptions'!$B$6*W680), 2)</f>
        <v/>
      </c>
      <c r="Y680" s="28" t="n">
        <v>23.7</v>
      </c>
      <c r="Z680" s="11" t="inlineStr">
        <is>
          <t>Priority Tier 2 (Balanced Opportunity)</t>
        </is>
      </c>
    </row>
    <row r="681">
      <c r="A681" s="23" t="n">
        <v>2</v>
      </c>
      <c r="B681" s="23" t="n">
        <v>677</v>
      </c>
      <c r="C681" s="23" t="n">
        <v>1677</v>
      </c>
      <c r="D681" s="23" t="inlineStr">
        <is>
          <t>1380500005</t>
        </is>
      </c>
      <c r="E681" s="11" t="inlineStr">
        <is>
          <t>National Capital Region (NCR)</t>
        </is>
      </c>
      <c r="F681" s="11" t="inlineStr">
        <is>
          <t>Second District (Not a Province)</t>
        </is>
      </c>
      <c r="G681" s="11" t="inlineStr">
        <is>
          <t>City of Mandaluyong</t>
        </is>
      </c>
      <c r="H681" s="11" t="inlineStr">
        <is>
          <t>Barangka Ilaya</t>
        </is>
      </c>
      <c r="I681" s="24" t="n">
        <v>14.56922</v>
      </c>
      <c r="J681" s="24" t="n">
        <v>121.045</v>
      </c>
      <c r="K681" s="23" t="inlineStr">
        <is>
          <t>U</t>
        </is>
      </c>
      <c r="L681" s="25" t="n">
        <v>24467</v>
      </c>
      <c r="M681" s="26" t="n">
        <v>3.07</v>
      </c>
      <c r="N681" s="25">
        <f>ROUND(L681/M681, 0)</f>
        <v/>
      </c>
      <c r="O681" s="25">
        <f>ROUND(N681*'Methodology &amp; Assumptions'!$B$7, 0)</f>
        <v/>
      </c>
      <c r="P681" s="23" t="inlineStr">
        <is>
          <t>Single Carrier (Band n50, 100MHz TDD)</t>
        </is>
      </c>
      <c r="Q681" s="27">
        <f>ROUNDUP(O681/'Methodology &amp; Assumptions'!$B$8, 0)</f>
        <v/>
      </c>
      <c r="R681" s="27" t="n">
        <v>1</v>
      </c>
      <c r="S681" s="26" t="n">
        <v>1.62</v>
      </c>
      <c r="T681" s="26" t="n">
        <v>0.11</v>
      </c>
      <c r="U681" s="11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26" t="n">
        <v>64.65000000000001</v>
      </c>
      <c r="W681" s="26" t="n">
        <v>61.7</v>
      </c>
      <c r="X681" s="26">
        <f>ROUND(('Methodology &amp; Assumptions'!$B$5*V681) + ('Methodology &amp; Assumptions'!$B$6*W681), 2)</f>
        <v/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2</v>
      </c>
      <c r="B682" s="23" t="n">
        <v>678</v>
      </c>
      <c r="C682" s="23" t="n">
        <v>1678</v>
      </c>
      <c r="D682" s="23" t="inlineStr">
        <is>
          <t>1381300131</t>
        </is>
      </c>
      <c r="E682" s="11" t="inlineStr">
        <is>
          <t>National Capital Region (NCR)</t>
        </is>
      </c>
      <c r="F682" s="11" t="inlineStr">
        <is>
          <t>Second District (Not a Province)</t>
        </is>
      </c>
      <c r="G682" s="11" t="inlineStr">
        <is>
          <t>Quezon City</t>
        </is>
      </c>
      <c r="H682" s="11" t="inlineStr">
        <is>
          <t>Villa Maria Clara</t>
        </is>
      </c>
      <c r="I682" s="24" t="n">
        <v>14.61571</v>
      </c>
      <c r="J682" s="24" t="n">
        <v>121.0676</v>
      </c>
      <c r="K682" s="23" t="inlineStr">
        <is>
          <t>U</t>
        </is>
      </c>
      <c r="L682" s="25" t="n">
        <v>2807</v>
      </c>
      <c r="M682" s="26" t="n">
        <v>4</v>
      </c>
      <c r="N682" s="25">
        <f>ROUND(L682/M682, 0)</f>
        <v/>
      </c>
      <c r="O682" s="25">
        <f>ROUND(N682*'Methodology &amp; Assumptions'!$B$7, 0)</f>
        <v/>
      </c>
      <c r="P682" s="23" t="inlineStr">
        <is>
          <t>Single Carrier (Band n50, 100MHz TDD)</t>
        </is>
      </c>
      <c r="Q682" s="27">
        <f>ROUNDUP(O682/'Methodology &amp; Assumptions'!$B$8, 0)</f>
        <v/>
      </c>
      <c r="R682" s="27" t="n">
        <v>1</v>
      </c>
      <c r="S682" s="26" t="n">
        <v>1.16</v>
      </c>
      <c r="T682" s="26" t="n">
        <v>0.2</v>
      </c>
      <c r="U682" s="11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26" t="n">
        <v>62.34</v>
      </c>
      <c r="W682" s="26" t="n">
        <v>64</v>
      </c>
      <c r="X682" s="26">
        <f>ROUND(('Methodology &amp; Assumptions'!$B$5*V682) + ('Methodology &amp; Assumptions'!$B$6*W682), 2)</f>
        <v/>
      </c>
      <c r="Y682" s="28" t="n">
        <v>10.9</v>
      </c>
      <c r="Z682" s="11" t="inlineStr">
        <is>
          <t>Priority Tier 2 (Balanced Opportunity)</t>
        </is>
      </c>
    </row>
    <row r="683">
      <c r="A683" s="23" t="n">
        <v>2</v>
      </c>
      <c r="B683" s="23" t="n">
        <v>679</v>
      </c>
      <c r="C683" s="23" t="n">
        <v>1679</v>
      </c>
      <c r="D683" s="23" t="inlineStr">
        <is>
          <t>1908713006</t>
        </is>
      </c>
      <c r="E683" s="11" t="inlineStr">
        <is>
          <t>Bangsamoro Autonomous Region In Muslim Mindanao (BARMM)</t>
        </is>
      </c>
      <c r="F683" s="11" t="inlineStr">
        <is>
          <t>Maguindanao del Norte</t>
        </is>
      </c>
      <c r="G683" s="11" t="inlineStr">
        <is>
          <t>Upi</t>
        </is>
      </c>
      <c r="H683" s="11" t="inlineStr">
        <is>
          <t>Bungcog</t>
        </is>
      </c>
      <c r="I683" s="24" t="n">
        <v>7.109093</v>
      </c>
      <c r="J683" s="24" t="n">
        <v>124.114245</v>
      </c>
      <c r="K683" s="23" t="inlineStr">
        <is>
          <t>R</t>
        </is>
      </c>
      <c r="L683" s="25" t="n">
        <v>5316</v>
      </c>
      <c r="M683" s="26" t="n">
        <v>4.3</v>
      </c>
      <c r="N683" s="25">
        <f>ROUND(L683/M683, 0)</f>
        <v/>
      </c>
      <c r="O683" s="25">
        <f>ROUND(N683*'Methodology &amp; Assumptions'!$B$7, 0)</f>
        <v/>
      </c>
      <c r="P683" s="23" t="inlineStr">
        <is>
          <t>Single Carrier (Band n50, 100MHz TDD)</t>
        </is>
      </c>
      <c r="Q683" s="27">
        <f>ROUNDUP(O683/'Methodology &amp; Assumptions'!$B$8, 0)</f>
        <v/>
      </c>
      <c r="R683" s="27" t="n">
        <v>1</v>
      </c>
      <c r="S683" s="26" t="n">
        <v>76.02</v>
      </c>
      <c r="T683" s="26" t="n">
        <v>75.92</v>
      </c>
      <c r="U683" s="11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26" t="n">
        <v>59.06</v>
      </c>
      <c r="W683" s="26" t="n">
        <v>67.28</v>
      </c>
      <c r="X683" s="26">
        <f>ROUND(('Methodology &amp; Assumptions'!$B$5*V683) + ('Methodology &amp; Assumptions'!$B$6*W683), 2)</f>
        <v/>
      </c>
      <c r="Y683" s="28" t="n">
        <v>11</v>
      </c>
      <c r="Z683" s="11" t="inlineStr">
        <is>
          <t>Priority Tier 2 (Balanced Opportunity)</t>
        </is>
      </c>
    </row>
    <row r="684">
      <c r="A684" s="23" t="n">
        <v>2</v>
      </c>
      <c r="B684" s="23" t="n">
        <v>680</v>
      </c>
      <c r="C684" s="23" t="n">
        <v>1680</v>
      </c>
      <c r="D684" s="23" t="inlineStr">
        <is>
          <t>0600406010</t>
        </is>
      </c>
      <c r="E684" s="11" t="inlineStr">
        <is>
          <t>Region VI (Western Visayas)</t>
        </is>
      </c>
      <c r="F684" s="11" t="inlineStr">
        <is>
          <t>Aklan</t>
        </is>
      </c>
      <c r="G684" s="11" t="inlineStr">
        <is>
          <t>Ibajay</t>
        </is>
      </c>
      <c r="H684" s="11" t="inlineStr">
        <is>
          <t>Bugtongbato</t>
        </is>
      </c>
      <c r="I684" s="24" t="n">
        <v>11.753723</v>
      </c>
      <c r="J684" s="24" t="n">
        <v>122.193611</v>
      </c>
      <c r="K684" s="23" t="inlineStr">
        <is>
          <t>R</t>
        </is>
      </c>
      <c r="L684" s="25" t="n">
        <v>1761</v>
      </c>
      <c r="M684" s="26" t="n">
        <v>3.9</v>
      </c>
      <c r="N684" s="25">
        <f>ROUND(L684/M684, 0)</f>
        <v/>
      </c>
      <c r="O684" s="25">
        <f>ROUND(N684*'Methodology &amp; Assumptions'!$B$7, 0)</f>
        <v/>
      </c>
      <c r="P684" s="23" t="inlineStr">
        <is>
          <t>Single Carrier (Band n50, 100MHz TDD)</t>
        </is>
      </c>
      <c r="Q684" s="27">
        <f>ROUNDUP(O684/'Methodology &amp; Assumptions'!$B$8, 0)</f>
        <v/>
      </c>
      <c r="R684" s="27" t="n">
        <v>1</v>
      </c>
      <c r="S684" s="26" t="n">
        <v>11.65</v>
      </c>
      <c r="T684" s="26" t="n">
        <v>2.3</v>
      </c>
      <c r="U684" s="11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26" t="n">
        <v>52.91</v>
      </c>
      <c r="W684" s="26" t="n">
        <v>73.43000000000001</v>
      </c>
      <c r="X684" s="26">
        <f>ROUND(('Methodology &amp; Assumptions'!$B$5*V684) + ('Methodology &amp; Assumptions'!$B$6*W684), 2)</f>
        <v/>
      </c>
      <c r="Y684" s="28" t="n">
        <v>23.7</v>
      </c>
      <c r="Z684" s="11" t="inlineStr">
        <is>
          <t>Priority Tier 2 (Balanced Opportunity)</t>
        </is>
      </c>
    </row>
    <row r="685">
      <c r="A685" s="23" t="n">
        <v>2</v>
      </c>
      <c r="B685" s="23" t="n">
        <v>681</v>
      </c>
      <c r="C685" s="23" t="n">
        <v>1681</v>
      </c>
      <c r="D685" s="23" t="inlineStr">
        <is>
          <t>1908709011</t>
        </is>
      </c>
      <c r="E685" s="11" t="inlineStr">
        <is>
          <t>Bangsamoro Autonomous Region In Muslim Mindanao (BARMM)</t>
        </is>
      </c>
      <c r="F685" s="11" t="inlineStr">
        <is>
          <t>Maguindanao del Norte</t>
        </is>
      </c>
      <c r="G685" s="11" t="inlineStr">
        <is>
          <t>Parang</t>
        </is>
      </c>
      <c r="H685" s="11" t="inlineStr">
        <is>
          <t>Limbayan</t>
        </is>
      </c>
      <c r="I685" s="24" t="n">
        <v>7.306857</v>
      </c>
      <c r="J685" s="24" t="n">
        <v>124.027939</v>
      </c>
      <c r="K685" s="23" t="inlineStr">
        <is>
          <t>R</t>
        </is>
      </c>
      <c r="L685" s="25" t="n">
        <v>5270</v>
      </c>
      <c r="M685" s="26" t="n">
        <v>4.3</v>
      </c>
      <c r="N685" s="25">
        <f>ROUND(L685/M685, 0)</f>
        <v/>
      </c>
      <c r="O685" s="25">
        <f>ROUND(N685*'Methodology &amp; Assumptions'!$B$7, 0)</f>
        <v/>
      </c>
      <c r="P685" s="23" t="inlineStr">
        <is>
          <t>Single Carrier (Band n50, 100MHz TDD)</t>
        </is>
      </c>
      <c r="Q685" s="27">
        <f>ROUNDUP(O685/'Methodology &amp; Assumptions'!$B$8, 0)</f>
        <v/>
      </c>
      <c r="R685" s="27" t="n">
        <v>1</v>
      </c>
      <c r="S685" s="26" t="n">
        <v>82.77</v>
      </c>
      <c r="T685" s="26" t="n">
        <v>71.06999999999999</v>
      </c>
      <c r="U685" s="11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26" t="n">
        <v>59.06</v>
      </c>
      <c r="W685" s="26" t="n">
        <v>67.27</v>
      </c>
      <c r="X685" s="26">
        <f>ROUND(('Methodology &amp; Assumptions'!$B$5*V685) + ('Methodology &amp; Assumptions'!$B$6*W685), 2)</f>
        <v/>
      </c>
      <c r="Y685" s="28" t="n">
        <v>11</v>
      </c>
      <c r="Z685" s="11" t="inlineStr">
        <is>
          <t>Priority Tier 2 (Balanced Opportunity)</t>
        </is>
      </c>
    </row>
    <row r="686">
      <c r="A686" s="23" t="n">
        <v>2</v>
      </c>
      <c r="B686" s="23" t="n">
        <v>682</v>
      </c>
      <c r="C686" s="23" t="n">
        <v>1682</v>
      </c>
      <c r="D686" s="23" t="inlineStr">
        <is>
          <t>1381100128</t>
        </is>
      </c>
      <c r="E686" s="11" t="inlineStr">
        <is>
          <t>National Capital Region (NCR)</t>
        </is>
      </c>
      <c r="F686" s="11" t="inlineStr">
        <is>
          <t>Fourth District (Not a Province)</t>
        </is>
      </c>
      <c r="G686" s="11" t="inlineStr">
        <is>
          <t>Pasay City</t>
        </is>
      </c>
      <c r="H686" s="11" t="inlineStr">
        <is>
          <t>Barangay 128</t>
        </is>
      </c>
      <c r="I686" s="24" t="n">
        <v>14.548536</v>
      </c>
      <c r="J686" s="24" t="n">
        <v>121.006932</v>
      </c>
      <c r="K686" s="23" t="inlineStr">
        <is>
          <t>U</t>
        </is>
      </c>
      <c r="L686" s="25" t="n">
        <v>1444</v>
      </c>
      <c r="M686" s="26" t="n">
        <v>2.95</v>
      </c>
      <c r="N686" s="25">
        <f>ROUND(L686/M686, 0)</f>
        <v/>
      </c>
      <c r="O686" s="25">
        <f>ROUND(N686*'Methodology &amp; Assumptions'!$B$7, 0)</f>
        <v/>
      </c>
      <c r="P686" s="23" t="inlineStr">
        <is>
          <t>Single Carrier (Band n50, 100MHz TDD)</t>
        </is>
      </c>
      <c r="Q686" s="27">
        <f>ROUNDUP(O686/'Methodology &amp; Assumptions'!$B$8, 0)</f>
        <v/>
      </c>
      <c r="R686" s="27" t="n">
        <v>1</v>
      </c>
      <c r="S686" s="26" t="n">
        <v>0.5</v>
      </c>
      <c r="T686" s="26" t="n">
        <v>0.21</v>
      </c>
      <c r="U686" s="11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26" t="n">
        <v>56.84</v>
      </c>
      <c r="W686" s="26" t="n">
        <v>69.48</v>
      </c>
      <c r="X686" s="26">
        <f>ROUND(('Methodology &amp; Assumptions'!$B$5*V686) + ('Methodology &amp; Assumptions'!$B$6*W686), 2)</f>
        <v/>
      </c>
      <c r="Y686" s="28" t="n">
        <v>10.9</v>
      </c>
      <c r="Z686" s="11" t="inlineStr">
        <is>
          <t>Priority Tier 2 (Balanced Opportunity)</t>
        </is>
      </c>
    </row>
    <row r="687">
      <c r="A687" s="23" t="n">
        <v>2</v>
      </c>
      <c r="B687" s="23" t="n">
        <v>683</v>
      </c>
      <c r="C687" s="23" t="n">
        <v>1683</v>
      </c>
      <c r="D687" s="23" t="inlineStr">
        <is>
          <t>1380610047</t>
        </is>
      </c>
      <c r="E687" s="11" t="inlineStr">
        <is>
          <t>National Capital Region (NCR)</t>
        </is>
      </c>
      <c r="F687" s="11" t="inlineStr">
        <is>
          <t>First District (Not a Province)</t>
        </is>
      </c>
      <c r="G687" s="11" t="inlineStr">
        <is>
          <t>City of Manila</t>
        </is>
      </c>
      <c r="H687" s="11" t="inlineStr">
        <is>
          <t>Barangay 732</t>
        </is>
      </c>
      <c r="I687" s="24" t="n">
        <v>14.569845</v>
      </c>
      <c r="J687" s="24" t="n">
        <v>120.997356</v>
      </c>
      <c r="K687" s="23" t="inlineStr">
        <is>
          <t>U</t>
        </is>
      </c>
      <c r="L687" s="25" t="n">
        <v>1983</v>
      </c>
      <c r="M687" s="26" t="n">
        <v>4.09</v>
      </c>
      <c r="N687" s="25">
        <f>ROUND(L687/M687, 0)</f>
        <v/>
      </c>
      <c r="O687" s="25">
        <f>ROUND(N687*'Methodology &amp; Assumptions'!$B$7, 0)</f>
        <v/>
      </c>
      <c r="P687" s="23" t="inlineStr">
        <is>
          <t>Single Carrier (Band n50, 100MHz TDD)</t>
        </is>
      </c>
      <c r="Q687" s="27">
        <f>ROUNDUP(O687/'Methodology &amp; Assumptions'!$B$8, 0)</f>
        <v/>
      </c>
      <c r="R687" s="27" t="n">
        <v>1</v>
      </c>
      <c r="S687" s="26" t="n">
        <v>0.41</v>
      </c>
      <c r="T687" s="26" t="n">
        <v>0.28</v>
      </c>
      <c r="U687" s="11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26" t="n">
        <v>56.73</v>
      </c>
      <c r="W687" s="26" t="n">
        <v>69.58</v>
      </c>
      <c r="X687" s="26">
        <f>ROUND(('Methodology &amp; Assumptions'!$B$5*V687) + ('Methodology &amp; Assumptions'!$B$6*W687), 2)</f>
        <v/>
      </c>
      <c r="Y687" s="28" t="n">
        <v>10.9</v>
      </c>
      <c r="Z687" s="11" t="inlineStr">
        <is>
          <t>Priority Tier 2 (Balanced Opportunity)</t>
        </is>
      </c>
    </row>
    <row r="688">
      <c r="A688" s="23" t="n">
        <v>2</v>
      </c>
      <c r="B688" s="23" t="n">
        <v>684</v>
      </c>
      <c r="C688" s="23" t="n">
        <v>1684</v>
      </c>
      <c r="D688" s="23" t="inlineStr">
        <is>
          <t>0600410020</t>
        </is>
      </c>
      <c r="E688" s="11" t="inlineStr">
        <is>
          <t>Region VI (Western Visayas)</t>
        </is>
      </c>
      <c r="F688" s="11" t="inlineStr">
        <is>
          <t>Aklan</t>
        </is>
      </c>
      <c r="G688" s="11" t="inlineStr">
        <is>
          <t>Madalag</t>
        </is>
      </c>
      <c r="H688" s="11" t="inlineStr">
        <is>
          <t>Poblacion</t>
        </is>
      </c>
      <c r="I688" s="24" t="n">
        <v>11.469426</v>
      </c>
      <c r="J688" s="24" t="n">
        <v>122.186551</v>
      </c>
      <c r="K688" s="23" t="inlineStr">
        <is>
          <t>R</t>
        </is>
      </c>
      <c r="L688" s="25" t="n">
        <v>1870</v>
      </c>
      <c r="M688" s="26" t="n">
        <v>3.9</v>
      </c>
      <c r="N688" s="25">
        <f>ROUND(L688/M688, 0)</f>
        <v/>
      </c>
      <c r="O688" s="25">
        <f>ROUND(N688*'Methodology &amp; Assumptions'!$B$7, 0)</f>
        <v/>
      </c>
      <c r="P688" s="23" t="inlineStr">
        <is>
          <t>Single Carrier (Band n50, 100MHz TDD)</t>
        </is>
      </c>
      <c r="Q688" s="27">
        <f>ROUNDUP(O688/'Methodology &amp; Assumptions'!$B$8, 0)</f>
        <v/>
      </c>
      <c r="R688" s="27" t="n">
        <v>1</v>
      </c>
      <c r="S688" s="26" t="n">
        <v>20.87</v>
      </c>
      <c r="T688" s="26" t="n">
        <v>22.08</v>
      </c>
      <c r="U688" s="11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26" t="n">
        <v>50.81</v>
      </c>
      <c r="W688" s="26" t="n">
        <v>75.52</v>
      </c>
      <c r="X688" s="26">
        <f>ROUND(('Methodology &amp; Assumptions'!$B$5*V688) + ('Methodology &amp; Assumptions'!$B$6*W688), 2)</f>
        <v/>
      </c>
      <c r="Y688" s="28" t="n">
        <v>23.7</v>
      </c>
      <c r="Z688" s="11" t="inlineStr">
        <is>
          <t>Priority Tier 2 (Balanced Opportunity)</t>
        </is>
      </c>
    </row>
    <row r="689">
      <c r="A689" s="23" t="n">
        <v>2</v>
      </c>
      <c r="B689" s="23" t="n">
        <v>685</v>
      </c>
      <c r="C689" s="23" t="n">
        <v>1685</v>
      </c>
      <c r="D689" s="23" t="inlineStr">
        <is>
          <t>0405622008</t>
        </is>
      </c>
      <c r="E689" s="11" t="inlineStr">
        <is>
          <t>Region IV-A (CALABARZON)</t>
        </is>
      </c>
      <c r="F689" s="11" t="inlineStr">
        <is>
          <t>Quezon</t>
        </is>
      </c>
      <c r="G689" s="11" t="inlineStr">
        <is>
          <t>Lopez</t>
        </is>
      </c>
      <c r="H689" s="11" t="inlineStr">
        <is>
          <t>Talolong</t>
        </is>
      </c>
      <c r="I689" s="24" t="n">
        <v>13.881779</v>
      </c>
      <c r="J689" s="24" t="n">
        <v>122.265053</v>
      </c>
      <c r="K689" s="23" t="inlineStr">
        <is>
          <t>U</t>
        </is>
      </c>
      <c r="L689" s="25" t="n">
        <v>3786</v>
      </c>
      <c r="M689" s="26" t="n">
        <v>3.8</v>
      </c>
      <c r="N689" s="25">
        <f>ROUND(L689/M689, 0)</f>
        <v/>
      </c>
      <c r="O689" s="25">
        <f>ROUND(N689*'Methodology &amp; Assumptions'!$B$7, 0)</f>
        <v/>
      </c>
      <c r="P689" s="23" t="inlineStr">
        <is>
          <t>Single Carrier (Band n50, 100MHz TDD)</t>
        </is>
      </c>
      <c r="Q689" s="27">
        <f>ROUNDUP(O689/'Methodology &amp; Assumptions'!$B$8, 0)</f>
        <v/>
      </c>
      <c r="R689" s="27" t="n">
        <v>1</v>
      </c>
      <c r="S689" s="26" t="n">
        <v>0.68</v>
      </c>
      <c r="T689" s="26" t="n">
        <v>0.47</v>
      </c>
      <c r="U689" s="11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26" t="n">
        <v>78.26000000000001</v>
      </c>
      <c r="W689" s="26" t="n">
        <v>48.04</v>
      </c>
      <c r="X689" s="26">
        <f>ROUND(('Methodology &amp; Assumptions'!$B$5*V689) + ('Methodology &amp; Assumptions'!$B$6*W689), 2)</f>
        <v/>
      </c>
      <c r="Y689" s="28" t="n">
        <v>7.2</v>
      </c>
      <c r="Z689" s="11" t="inlineStr">
        <is>
          <t>Priority Tier 2 (Balanced Opportunity)</t>
        </is>
      </c>
    </row>
    <row r="690">
      <c r="A690" s="23" t="n">
        <v>2</v>
      </c>
      <c r="B690" s="23" t="n">
        <v>686</v>
      </c>
      <c r="C690" s="23" t="n">
        <v>1686</v>
      </c>
      <c r="D690" s="23" t="inlineStr">
        <is>
          <t>1908709003</t>
        </is>
      </c>
      <c r="E690" s="11" t="inlineStr">
        <is>
          <t>Bangsamoro Autonomous Region In Muslim Mindanao (BARMM)</t>
        </is>
      </c>
      <c r="F690" s="11" t="inlineStr">
        <is>
          <t>Maguindanao del Norte</t>
        </is>
      </c>
      <c r="G690" s="11" t="inlineStr">
        <is>
          <t>Parang</t>
        </is>
      </c>
      <c r="H690" s="11" t="inlineStr">
        <is>
          <t>Cotongan</t>
        </is>
      </c>
      <c r="I690" s="24" t="n">
        <v>7.318597</v>
      </c>
      <c r="J690" s="24" t="n">
        <v>124.025154</v>
      </c>
      <c r="K690" s="23" t="inlineStr">
        <is>
          <t>R</t>
        </is>
      </c>
      <c r="L690" s="25" t="n">
        <v>4067</v>
      </c>
      <c r="M690" s="26" t="n">
        <v>4.3</v>
      </c>
      <c r="N690" s="25">
        <f>ROUND(L690/M690, 0)</f>
        <v/>
      </c>
      <c r="O690" s="25">
        <f>ROUND(N690*'Methodology &amp; Assumptions'!$B$7, 0)</f>
        <v/>
      </c>
      <c r="P690" s="23" t="inlineStr">
        <is>
          <t>Single Carrier (Band n50, 100MHz TDD)</t>
        </is>
      </c>
      <c r="Q690" s="27">
        <f>ROUNDUP(O690/'Methodology &amp; Assumptions'!$B$8, 0)</f>
        <v/>
      </c>
      <c r="R690" s="27" t="n">
        <v>1</v>
      </c>
      <c r="S690" s="26" t="n">
        <v>81.64</v>
      </c>
      <c r="T690" s="26" t="n">
        <v>69.76000000000001</v>
      </c>
      <c r="U690" s="11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26" t="n">
        <v>59.06</v>
      </c>
      <c r="W690" s="26" t="n">
        <v>67.23999999999999</v>
      </c>
      <c r="X690" s="26">
        <f>ROUND(('Methodology &amp; Assumptions'!$B$5*V690) + ('Methodology &amp; Assumptions'!$B$6*W690), 2)</f>
        <v/>
      </c>
      <c r="Y690" s="28" t="n">
        <v>11</v>
      </c>
      <c r="Z690" s="11" t="inlineStr">
        <is>
          <t>Priority Tier 2 (Balanced Opportunity)</t>
        </is>
      </c>
    </row>
    <row r="691">
      <c r="A691" s="23" t="n">
        <v>2</v>
      </c>
      <c r="B691" s="23" t="n">
        <v>687</v>
      </c>
      <c r="C691" s="23" t="n">
        <v>1687</v>
      </c>
      <c r="D691" s="23" t="inlineStr">
        <is>
          <t>1380610029</t>
        </is>
      </c>
      <c r="E691" s="11" t="inlineStr">
        <is>
          <t>National Capital Region (NCR)</t>
        </is>
      </c>
      <c r="F691" s="11" t="inlineStr">
        <is>
          <t>First District (Not a Province)</t>
        </is>
      </c>
      <c r="G691" s="11" t="inlineStr">
        <is>
          <t>City of Manila</t>
        </is>
      </c>
      <c r="H691" s="11" t="inlineStr">
        <is>
          <t>Barangay 714</t>
        </is>
      </c>
      <c r="I691" s="24" t="n">
        <v>14.569244</v>
      </c>
      <c r="J691" s="24" t="n">
        <v>120.991223</v>
      </c>
      <c r="K691" s="23" t="inlineStr">
        <is>
          <t>U</t>
        </is>
      </c>
      <c r="L691" s="25" t="n">
        <v>1617</v>
      </c>
      <c r="M691" s="26" t="n">
        <v>3.58</v>
      </c>
      <c r="N691" s="25">
        <f>ROUND(L691/M691, 0)</f>
        <v/>
      </c>
      <c r="O691" s="25">
        <f>ROUND(N691*'Methodology &amp; Assumptions'!$B$7, 0)</f>
        <v/>
      </c>
      <c r="P691" s="23" t="inlineStr">
        <is>
          <t>Single Carrier (Band n50, 100MHz TDD)</t>
        </is>
      </c>
      <c r="Q691" s="27">
        <f>ROUNDUP(O691/'Methodology &amp; Assumptions'!$B$8, 0)</f>
        <v/>
      </c>
      <c r="R691" s="27" t="n">
        <v>1</v>
      </c>
      <c r="S691" s="26" t="n">
        <v>0.45</v>
      </c>
      <c r="T691" s="26" t="n">
        <v>0.17</v>
      </c>
      <c r="U691" s="11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26" t="n">
        <v>55.66</v>
      </c>
      <c r="W691" s="26" t="n">
        <v>70.64</v>
      </c>
      <c r="X691" s="26">
        <f>ROUND(('Methodology &amp; Assumptions'!$B$5*V691) + ('Methodology &amp; Assumptions'!$B$6*W691), 2)</f>
        <v/>
      </c>
      <c r="Y691" s="28" t="n">
        <v>10.9</v>
      </c>
      <c r="Z691" s="11" t="inlineStr">
        <is>
          <t>Priority Tier 2 (Balanced Opportunity)</t>
        </is>
      </c>
    </row>
    <row r="692">
      <c r="A692" s="23" t="n">
        <v>2</v>
      </c>
      <c r="B692" s="23" t="n">
        <v>688</v>
      </c>
      <c r="C692" s="23" t="n">
        <v>1688</v>
      </c>
      <c r="D692" s="23" t="inlineStr">
        <is>
          <t>1381100028</t>
        </is>
      </c>
      <c r="E692" s="11" t="inlineStr">
        <is>
          <t>National Capital Region (NCR)</t>
        </is>
      </c>
      <c r="F692" s="11" t="inlineStr">
        <is>
          <t>Fourth District (Not a Province)</t>
        </is>
      </c>
      <c r="G692" s="11" t="inlineStr">
        <is>
          <t>Pasay City</t>
        </is>
      </c>
      <c r="H692" s="11" t="inlineStr">
        <is>
          <t>Barangay 28</t>
        </is>
      </c>
      <c r="I692" s="24" t="n">
        <v>14.55196</v>
      </c>
      <c r="J692" s="24" t="n">
        <v>120.99457</v>
      </c>
      <c r="K692" s="23" t="inlineStr">
        <is>
          <t>U</t>
        </is>
      </c>
      <c r="L692" s="25" t="n">
        <v>1077</v>
      </c>
      <c r="M692" s="26" t="n">
        <v>2.74</v>
      </c>
      <c r="N692" s="25">
        <f>ROUND(L692/M692, 0)</f>
        <v/>
      </c>
      <c r="O692" s="25">
        <f>ROUND(N692*'Methodology &amp; Assumptions'!$B$7, 0)</f>
        <v/>
      </c>
      <c r="P692" s="23" t="inlineStr">
        <is>
          <t>Single Carrier (Band n50, 100MHz TDD)</t>
        </is>
      </c>
      <c r="Q692" s="27">
        <f>ROUNDUP(O692/'Methodology &amp; Assumptions'!$B$8, 0)</f>
        <v/>
      </c>
      <c r="R692" s="27" t="n">
        <v>1</v>
      </c>
      <c r="S692" s="26" t="n">
        <v>0.34</v>
      </c>
      <c r="T692" s="26" t="n">
        <v>0.26</v>
      </c>
      <c r="U692" s="11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26" t="n">
        <v>53.73</v>
      </c>
      <c r="W692" s="26" t="n">
        <v>72.56</v>
      </c>
      <c r="X692" s="26">
        <f>ROUND(('Methodology &amp; Assumptions'!$B$5*V692) + ('Methodology &amp; Assumptions'!$B$6*W692), 2)</f>
        <v/>
      </c>
      <c r="Y692" s="28" t="n">
        <v>10.9</v>
      </c>
      <c r="Z692" s="11" t="inlineStr">
        <is>
          <t>Priority Tier 2 (Balanced Opportunity)</t>
        </is>
      </c>
    </row>
    <row r="693">
      <c r="A693" s="23" t="n">
        <v>2</v>
      </c>
      <c r="B693" s="23" t="n">
        <v>689</v>
      </c>
      <c r="C693" s="23" t="n">
        <v>1689</v>
      </c>
      <c r="D693" s="23" t="inlineStr">
        <is>
          <t>0102814009</t>
        </is>
      </c>
      <c r="E693" s="11" t="inlineStr">
        <is>
          <t>Region I (Ilocos Region)</t>
        </is>
      </c>
      <c r="F693" s="11" t="inlineStr">
        <is>
          <t>Ilocos Norte</t>
        </is>
      </c>
      <c r="G693" s="11" t="inlineStr">
        <is>
          <t>Nueva Era</t>
        </is>
      </c>
      <c r="H693" s="11" t="inlineStr">
        <is>
          <t>Poblacion</t>
        </is>
      </c>
      <c r="I693" s="24" t="n">
        <v>17.916972</v>
      </c>
      <c r="J693" s="24" t="n">
        <v>120.663626</v>
      </c>
      <c r="K693" s="23" t="inlineStr">
        <is>
          <t>R</t>
        </is>
      </c>
      <c r="L693" s="25" t="n">
        <v>3255</v>
      </c>
      <c r="M693" s="26" t="n">
        <v>3.7</v>
      </c>
      <c r="N693" s="25">
        <f>ROUND(L693/M693, 0)</f>
        <v/>
      </c>
      <c r="O693" s="25">
        <f>ROUND(N693*'Methodology &amp; Assumptions'!$B$7, 0)</f>
        <v/>
      </c>
      <c r="P693" s="23" t="inlineStr">
        <is>
          <t>Single Carrier (Band n50, 100MHz TDD)</t>
        </is>
      </c>
      <c r="Q693" s="27">
        <f>ROUNDUP(O693/'Methodology &amp; Assumptions'!$B$8, 0)</f>
        <v/>
      </c>
      <c r="R693" s="27" t="n">
        <v>1</v>
      </c>
      <c r="S693" s="26" t="n">
        <v>0.5</v>
      </c>
      <c r="T693" s="26" t="n">
        <v>0.2</v>
      </c>
      <c r="U693" s="11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26" t="n">
        <v>85.63</v>
      </c>
      <c r="W693" s="26" t="n">
        <v>40.64</v>
      </c>
      <c r="X693" s="26">
        <f>ROUND(('Methodology &amp; Assumptions'!$B$5*V693) + ('Methodology &amp; Assumptions'!$B$6*W693), 2)</f>
        <v/>
      </c>
      <c r="Y693" s="28" t="n">
        <v>8.300000000000001</v>
      </c>
      <c r="Z693" s="11" t="inlineStr">
        <is>
          <t>Priority Tier 2 (Balanced Opportunity)</t>
        </is>
      </c>
    </row>
    <row r="694">
      <c r="A694" s="23" t="n">
        <v>2</v>
      </c>
      <c r="B694" s="23" t="n">
        <v>690</v>
      </c>
      <c r="C694" s="23" t="n">
        <v>1690</v>
      </c>
      <c r="D694" s="23" t="inlineStr">
        <is>
          <t>0403430001</t>
        </is>
      </c>
      <c r="E694" s="11" t="inlineStr">
        <is>
          <t>Region IV-A (CALABARZON)</t>
        </is>
      </c>
      <c r="F694" s="11" t="inlineStr">
        <is>
          <t>Laguna</t>
        </is>
      </c>
      <c r="G694" s="11" t="inlineStr">
        <is>
          <t>Victoria</t>
        </is>
      </c>
      <c r="H694" s="11" t="inlineStr">
        <is>
          <t>Banca-banca</t>
        </is>
      </c>
      <c r="I694" s="24" t="n">
        <v>14.20751</v>
      </c>
      <c r="J694" s="24" t="n">
        <v>121.350057</v>
      </c>
      <c r="K694" s="23" t="inlineStr">
        <is>
          <t>R</t>
        </is>
      </c>
      <c r="L694" s="25" t="n">
        <v>4281</v>
      </c>
      <c r="M694" s="26" t="n">
        <v>3.3</v>
      </c>
      <c r="N694" s="25">
        <f>ROUND(L694/M694, 0)</f>
        <v/>
      </c>
      <c r="O694" s="25">
        <f>ROUND(N694*'Methodology &amp; Assumptions'!$B$7, 0)</f>
        <v/>
      </c>
      <c r="P694" s="23" t="inlineStr">
        <is>
          <t>Single Carrier (Band n50, 100MHz TDD)</t>
        </is>
      </c>
      <c r="Q694" s="27">
        <f>ROUNDUP(O694/'Methodology &amp; Assumptions'!$B$8, 0)</f>
        <v/>
      </c>
      <c r="R694" s="27" t="n">
        <v>1</v>
      </c>
      <c r="S694" s="26" t="n">
        <v>0.3</v>
      </c>
      <c r="T694" s="26" t="n">
        <v>0.01</v>
      </c>
      <c r="U694" s="11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26" t="n">
        <v>85.45999999999999</v>
      </c>
      <c r="W694" s="26" t="n">
        <v>40.82</v>
      </c>
      <c r="X694" s="26">
        <f>ROUND(('Methodology &amp; Assumptions'!$B$5*V694) + ('Methodology &amp; Assumptions'!$B$6*W694), 2)</f>
        <v/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2</v>
      </c>
      <c r="B695" s="23" t="n">
        <v>691</v>
      </c>
      <c r="C695" s="23" t="n">
        <v>1691</v>
      </c>
      <c r="D695" s="23" t="inlineStr">
        <is>
          <t>0603043019</t>
        </is>
      </c>
      <c r="E695" s="11" t="inlineStr">
        <is>
          <t>Region VI (Western Visayas)</t>
        </is>
      </c>
      <c r="F695" s="11" t="inlineStr">
        <is>
          <t>Iloilo</t>
        </is>
      </c>
      <c r="G695" s="11" t="inlineStr">
        <is>
          <t>Santa Barbara</t>
        </is>
      </c>
      <c r="H695" s="11" t="inlineStr">
        <is>
          <t>Bolong Oeste</t>
        </is>
      </c>
      <c r="I695" s="24" t="n">
        <v>10.814706</v>
      </c>
      <c r="J695" s="24" t="n">
        <v>122.530412</v>
      </c>
      <c r="K695" s="23" t="inlineStr">
        <is>
          <t>R</t>
        </is>
      </c>
      <c r="L695" s="25" t="n">
        <v>2985</v>
      </c>
      <c r="M695" s="26" t="n">
        <v>3.8</v>
      </c>
      <c r="N695" s="25">
        <f>ROUND(L695/M695, 0)</f>
        <v/>
      </c>
      <c r="O695" s="25">
        <f>ROUND(N695*'Methodology &amp; Assumptions'!$B$7, 0)</f>
        <v/>
      </c>
      <c r="P695" s="23" t="inlineStr">
        <is>
          <t>Single Carrier (Band n50, 100MHz TDD)</t>
        </is>
      </c>
      <c r="Q695" s="27">
        <f>ROUNDUP(O695/'Methodology &amp; Assumptions'!$B$8, 0)</f>
        <v/>
      </c>
      <c r="R695" s="27" t="n">
        <v>1</v>
      </c>
      <c r="S695" s="26" t="n">
        <v>1.48</v>
      </c>
      <c r="T695" s="26" t="n">
        <v>1.48</v>
      </c>
      <c r="U695" s="11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26" t="n">
        <v>82.98999999999999</v>
      </c>
      <c r="W695" s="26" t="n">
        <v>43.29</v>
      </c>
      <c r="X695" s="26">
        <f>ROUND(('Methodology &amp; Assumptions'!$B$5*V695) + ('Methodology &amp; Assumptions'!$B$6*W695), 2)</f>
        <v/>
      </c>
      <c r="Y695" s="28" t="n">
        <v>23.7</v>
      </c>
      <c r="Z695" s="11" t="inlineStr">
        <is>
          <t>Priority Tier 2 (Balanced Opportunity)</t>
        </is>
      </c>
    </row>
    <row r="696">
      <c r="A696" s="23" t="n">
        <v>2</v>
      </c>
      <c r="B696" s="23" t="n">
        <v>692</v>
      </c>
      <c r="C696" s="23" t="n">
        <v>1692</v>
      </c>
      <c r="D696" s="23" t="inlineStr">
        <is>
          <t>0403426017</t>
        </is>
      </c>
      <c r="E696" s="11" t="inlineStr">
        <is>
          <t>Region IV-A (CALABARZON)</t>
        </is>
      </c>
      <c r="F696" s="11" t="inlineStr">
        <is>
          <t>Laguna</t>
        </is>
      </c>
      <c r="G696" s="11" t="inlineStr">
        <is>
          <t>Santa Cruz</t>
        </is>
      </c>
      <c r="H696" s="11" t="inlineStr">
        <is>
          <t>Barangay IV</t>
        </is>
      </c>
      <c r="I696" s="24" t="n">
        <v>14.288148</v>
      </c>
      <c r="J696" s="24" t="n">
        <v>121.41526</v>
      </c>
      <c r="K696" s="23" t="inlineStr">
        <is>
          <t>U</t>
        </is>
      </c>
      <c r="L696" s="25" t="n">
        <v>1071</v>
      </c>
      <c r="M696" s="26" t="n">
        <v>3.3</v>
      </c>
      <c r="N696" s="25">
        <f>ROUND(L696/M696, 0)</f>
        <v/>
      </c>
      <c r="O696" s="25">
        <f>ROUND(N696*'Methodology &amp; Assumptions'!$B$7, 0)</f>
        <v/>
      </c>
      <c r="P696" s="23" t="inlineStr">
        <is>
          <t>Single Carrier (Band n50, 100MHz TDD)</t>
        </is>
      </c>
      <c r="Q696" s="27">
        <f>ROUNDUP(O696/'Methodology &amp; Assumptions'!$B$8, 0)</f>
        <v/>
      </c>
      <c r="R696" s="27" t="n">
        <v>1</v>
      </c>
      <c r="S696" s="26" t="n">
        <v>1.03</v>
      </c>
      <c r="T696" s="26" t="n">
        <v>0.82</v>
      </c>
      <c r="U696" s="11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26" t="n">
        <v>61.58</v>
      </c>
      <c r="W696" s="26" t="n">
        <v>64.70999999999999</v>
      </c>
      <c r="X696" s="26">
        <f>ROUND(('Methodology &amp; Assumptions'!$B$5*V696) + ('Methodology &amp; Assumptions'!$B$6*W696), 2)</f>
        <v/>
      </c>
      <c r="Y696" s="28" t="n">
        <v>7.2</v>
      </c>
      <c r="Z696" s="11" t="inlineStr">
        <is>
          <t>Priority Tier 2 (Balanced Opportunity)</t>
        </is>
      </c>
    </row>
    <row r="697">
      <c r="A697" s="23" t="n">
        <v>2</v>
      </c>
      <c r="B697" s="23" t="n">
        <v>693</v>
      </c>
      <c r="C697" s="23" t="n">
        <v>1693</v>
      </c>
      <c r="D697" s="23" t="inlineStr">
        <is>
          <t>1380614059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803</t>
        </is>
      </c>
      <c r="I697" s="24" t="n">
        <v>14.572297</v>
      </c>
      <c r="J697" s="24" t="n">
        <v>121.000796</v>
      </c>
      <c r="K697" s="23" t="inlineStr">
        <is>
          <t>U</t>
        </is>
      </c>
      <c r="L697" s="25" t="n">
        <v>1830</v>
      </c>
      <c r="M697" s="26" t="n">
        <v>4.12</v>
      </c>
      <c r="N697" s="25">
        <f>ROUND(L697/M697, 0)</f>
        <v/>
      </c>
      <c r="O697" s="25">
        <f>ROUND(N697*'Methodology &amp; Assumptions'!$B$7, 0)</f>
        <v/>
      </c>
      <c r="P697" s="23" t="inlineStr">
        <is>
          <t>Single Carrier (Band n50, 100MHz TDD)</t>
        </is>
      </c>
      <c r="Q697" s="27">
        <f>ROUNDUP(O697/'Methodology &amp; Assumptions'!$B$8, 0)</f>
        <v/>
      </c>
      <c r="R697" s="27" t="n">
        <v>1</v>
      </c>
      <c r="S697" s="26" t="n">
        <v>0.71</v>
      </c>
      <c r="T697" s="26" t="n">
        <v>0.47</v>
      </c>
      <c r="U697" s="11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26" t="n">
        <v>55.34</v>
      </c>
      <c r="W697" s="26" t="n">
        <v>70.95</v>
      </c>
      <c r="X697" s="26">
        <f>ROUND(('Methodology &amp; Assumptions'!$B$5*V697) + ('Methodology &amp; Assumptions'!$B$6*W697), 2)</f>
        <v/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2</v>
      </c>
      <c r="B698" s="23" t="n">
        <v>694</v>
      </c>
      <c r="C698" s="23" t="n">
        <v>1694</v>
      </c>
      <c r="D698" s="23" t="inlineStr">
        <is>
          <t>1908704010</t>
        </is>
      </c>
      <c r="E698" s="11" t="inlineStr">
        <is>
          <t>Bangsamoro Autonomous Region In Muslim Mindanao (BARMM)</t>
        </is>
      </c>
      <c r="F698" s="11" t="inlineStr">
        <is>
          <t>Maguindanao del Norte</t>
        </is>
      </c>
      <c r="G698" s="11" t="inlineStr">
        <is>
          <t>Datu Blah T. Sinsuat</t>
        </is>
      </c>
      <c r="H698" s="11" t="inlineStr">
        <is>
          <t>Sedem</t>
        </is>
      </c>
      <c r="I698" s="24" t="n">
        <v>6.781753</v>
      </c>
      <c r="J698" s="24" t="n">
        <v>123.982101</v>
      </c>
      <c r="K698" s="23" t="inlineStr">
        <is>
          <t>R</t>
        </is>
      </c>
      <c r="L698" s="25" t="n">
        <v>2947</v>
      </c>
      <c r="M698" s="26" t="n">
        <v>4.3</v>
      </c>
      <c r="N698" s="25">
        <f>ROUND(L698/M698, 0)</f>
        <v/>
      </c>
      <c r="O698" s="25">
        <f>ROUND(N698*'Methodology &amp; Assumptions'!$B$7, 0)</f>
        <v/>
      </c>
      <c r="P698" s="23" t="inlineStr">
        <is>
          <t>Single Carrier (Band n50, 100MHz TDD)</t>
        </is>
      </c>
      <c r="Q698" s="27">
        <f>ROUNDUP(O698/'Methodology &amp; Assumptions'!$B$8, 0)</f>
        <v/>
      </c>
      <c r="R698" s="27" t="n">
        <v>1</v>
      </c>
      <c r="S698" s="26" t="n">
        <v>77.04000000000001</v>
      </c>
      <c r="T698" s="26" t="n">
        <v>77</v>
      </c>
      <c r="U698" s="11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26" t="n">
        <v>53.11</v>
      </c>
      <c r="W698" s="26" t="n">
        <v>73.17</v>
      </c>
      <c r="X698" s="26">
        <f>ROUND(('Methodology &amp; Assumptions'!$B$5*V698) + ('Methodology &amp; Assumptions'!$B$6*W698), 2)</f>
        <v/>
      </c>
      <c r="Y698" s="28" t="n">
        <v>11</v>
      </c>
      <c r="Z698" s="11" t="inlineStr">
        <is>
          <t>Priority Tier 2 (Balanced Opportunity)</t>
        </is>
      </c>
    </row>
    <row r="699">
      <c r="A699" s="23" t="n">
        <v>2</v>
      </c>
      <c r="B699" s="23" t="n">
        <v>695</v>
      </c>
      <c r="C699" s="23" t="n">
        <v>1695</v>
      </c>
      <c r="D699" s="23" t="inlineStr">
        <is>
          <t>0405803005</t>
        </is>
      </c>
      <c r="E699" s="11" t="inlineStr">
        <is>
          <t>Region IV-A (CALABARZON)</t>
        </is>
      </c>
      <c r="F699" s="11" t="inlineStr">
        <is>
          <t>Rizal</t>
        </is>
      </c>
      <c r="G699" s="11" t="inlineStr">
        <is>
          <t>Baras</t>
        </is>
      </c>
      <c r="H699" s="11" t="inlineStr">
        <is>
          <t>Santiago</t>
        </is>
      </c>
      <c r="I699" s="24" t="n">
        <v>14.536374</v>
      </c>
      <c r="J699" s="24" t="n">
        <v>121.274067</v>
      </c>
      <c r="K699" s="23" t="inlineStr">
        <is>
          <t>R</t>
        </is>
      </c>
      <c r="L699" s="25" t="n">
        <v>3964</v>
      </c>
      <c r="M699" s="26" t="n">
        <v>3.6</v>
      </c>
      <c r="N699" s="25">
        <f>ROUND(L699/M699, 0)</f>
        <v/>
      </c>
      <c r="O699" s="25">
        <f>ROUND(N699*'Methodology &amp; Assumptions'!$B$7, 0)</f>
        <v/>
      </c>
      <c r="P699" s="23" t="inlineStr">
        <is>
          <t>Single Carrier (Band n50, 100MHz TDD)</t>
        </is>
      </c>
      <c r="Q699" s="27">
        <f>ROUNDUP(O699/'Methodology &amp; Assumptions'!$B$8, 0)</f>
        <v/>
      </c>
      <c r="R699" s="27" t="n">
        <v>1</v>
      </c>
      <c r="S699" s="26" t="n">
        <v>1.33</v>
      </c>
      <c r="T699" s="26" t="n">
        <v>1.73</v>
      </c>
      <c r="U699" s="11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26" t="n">
        <v>83.59</v>
      </c>
      <c r="W699" s="26" t="n">
        <v>42.67</v>
      </c>
      <c r="X699" s="26">
        <f>ROUND(('Methodology &amp; Assumptions'!$B$5*V699) + ('Methodology &amp; Assumptions'!$B$6*W699), 2)</f>
        <v/>
      </c>
      <c r="Y699" s="28" t="n">
        <v>7.2</v>
      </c>
      <c r="Z699" s="11" t="inlineStr">
        <is>
          <t>Priority Tier 2 (Balanced Opportunity)</t>
        </is>
      </c>
    </row>
    <row r="700">
      <c r="A700" s="23" t="n">
        <v>2</v>
      </c>
      <c r="B700" s="23" t="n">
        <v>696</v>
      </c>
      <c r="C700" s="23" t="n">
        <v>1696</v>
      </c>
      <c r="D700" s="23" t="inlineStr">
        <is>
          <t>0306916083</t>
        </is>
      </c>
      <c r="E700" s="11" t="inlineStr">
        <is>
          <t>Region III (Central Luzon)</t>
        </is>
      </c>
      <c r="F700" s="11" t="inlineStr">
        <is>
          <t>Tarlac</t>
        </is>
      </c>
      <c r="G700" s="11" t="inlineStr">
        <is>
          <t>City of Tarlac</t>
        </is>
      </c>
      <c r="H700" s="11" t="inlineStr">
        <is>
          <t>Sepung Calzada</t>
        </is>
      </c>
      <c r="I700" s="24" t="n">
        <v>15.504081</v>
      </c>
      <c r="J700" s="24" t="n">
        <v>120.601103</v>
      </c>
      <c r="K700" s="23" t="inlineStr">
        <is>
          <t>U</t>
        </is>
      </c>
      <c r="L700" s="25" t="n">
        <v>5024</v>
      </c>
      <c r="M700" s="26" t="n">
        <v>3.9</v>
      </c>
      <c r="N700" s="25">
        <f>ROUND(L700/M700, 0)</f>
        <v/>
      </c>
      <c r="O700" s="25">
        <f>ROUND(N700*'Methodology &amp; Assumptions'!$B$7, 0)</f>
        <v/>
      </c>
      <c r="P700" s="23" t="inlineStr">
        <is>
          <t>Single Carrier (Band n50, 100MHz TDD)</t>
        </is>
      </c>
      <c r="Q700" s="27">
        <f>ROUNDUP(O700/'Methodology &amp; Assumptions'!$B$8, 0)</f>
        <v/>
      </c>
      <c r="R700" s="27" t="n">
        <v>1</v>
      </c>
      <c r="S700" s="26" t="n">
        <v>2.82</v>
      </c>
      <c r="T700" s="26" t="n">
        <v>0.48</v>
      </c>
      <c r="U700" s="11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26" t="n">
        <v>71.53</v>
      </c>
      <c r="W700" s="26" t="n">
        <v>54.73</v>
      </c>
      <c r="X700" s="26">
        <f>ROUND(('Methodology &amp; Assumptions'!$B$5*V700) + ('Methodology &amp; Assumptions'!$B$6*W700), 2)</f>
        <v/>
      </c>
      <c r="Y700" s="28" t="n">
        <v>8.300000000000001</v>
      </c>
      <c r="Z700" s="11" t="inlineStr">
        <is>
          <t>Priority Tier 2 (Balanced Opportunity)</t>
        </is>
      </c>
    </row>
    <row r="701">
      <c r="A701" s="23" t="n">
        <v>2</v>
      </c>
      <c r="B701" s="23" t="n">
        <v>697</v>
      </c>
      <c r="C701" s="23" t="n">
        <v>1697</v>
      </c>
      <c r="D701" s="23" t="inlineStr">
        <is>
          <t>1381100173</t>
        </is>
      </c>
      <c r="E701" s="11" t="inlineStr">
        <is>
          <t>National Capital Region (NCR)</t>
        </is>
      </c>
      <c r="F701" s="11" t="inlineStr">
        <is>
          <t>Fourth District (Not a Province)</t>
        </is>
      </c>
      <c r="G701" s="11" t="inlineStr">
        <is>
          <t>Pasay City</t>
        </is>
      </c>
      <c r="H701" s="11" t="inlineStr">
        <is>
          <t>Barangay 173</t>
        </is>
      </c>
      <c r="I701" s="24" t="n">
        <v>14.534223</v>
      </c>
      <c r="J701" s="24" t="n">
        <v>121.01113</v>
      </c>
      <c r="K701" s="23" t="inlineStr">
        <is>
          <t>U</t>
        </is>
      </c>
      <c r="L701" s="25" t="n">
        <v>1708</v>
      </c>
      <c r="M701" s="26" t="n">
        <v>3.15</v>
      </c>
      <c r="N701" s="25">
        <f>ROUND(L701/M701, 0)</f>
        <v/>
      </c>
      <c r="O701" s="25">
        <f>ROUND(N701*'Methodology &amp; Assumptions'!$B$7, 0)</f>
        <v/>
      </c>
      <c r="P701" s="23" t="inlineStr">
        <is>
          <t>Single Carrier (Band n50, 100MHz TDD)</t>
        </is>
      </c>
      <c r="Q701" s="27">
        <f>ROUNDUP(O701/'Methodology &amp; Assumptions'!$B$8, 0)</f>
        <v/>
      </c>
      <c r="R701" s="27" t="n">
        <v>1</v>
      </c>
      <c r="S701" s="26" t="n">
        <v>1.45</v>
      </c>
      <c r="T701" s="26" t="n">
        <v>0.71</v>
      </c>
      <c r="U701" s="11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26" t="n">
        <v>56.26</v>
      </c>
      <c r="W701" s="26" t="n">
        <v>70.01000000000001</v>
      </c>
      <c r="X701" s="26">
        <f>ROUND(('Methodology &amp; Assumptions'!$B$5*V701) + ('Methodology &amp; Assumptions'!$B$6*W701), 2)</f>
        <v/>
      </c>
      <c r="Y701" s="28" t="n">
        <v>10.9</v>
      </c>
      <c r="Z701" s="11" t="inlineStr">
        <is>
          <t>Priority Tier 2 (Balanced Opportunity)</t>
        </is>
      </c>
    </row>
    <row r="702">
      <c r="A702" s="23" t="n">
        <v>2</v>
      </c>
      <c r="B702" s="23" t="n">
        <v>698</v>
      </c>
      <c r="C702" s="23" t="n">
        <v>1698</v>
      </c>
      <c r="D702" s="23" t="inlineStr">
        <is>
          <t>1705320006</t>
        </is>
      </c>
      <c r="E702" s="11" t="inlineStr">
        <is>
          <t>MIMAROPA Region</t>
        </is>
      </c>
      <c r="F702" s="11" t="inlineStr">
        <is>
          <t>Palawan</t>
        </is>
      </c>
      <c r="G702" s="11" t="inlineStr">
        <is>
          <t>Taytay</t>
        </is>
      </c>
      <c r="H702" s="11" t="inlineStr">
        <is>
          <t>Beton</t>
        </is>
      </c>
      <c r="I702" s="24" t="n">
        <v>10.81148</v>
      </c>
      <c r="J702" s="24" t="n">
        <v>119.631772</v>
      </c>
      <c r="K702" s="23" t="inlineStr">
        <is>
          <t>R</t>
        </is>
      </c>
      <c r="L702" s="25" t="n">
        <v>1744</v>
      </c>
      <c r="M702" s="26" t="n">
        <v>3.9</v>
      </c>
      <c r="N702" s="25">
        <f>ROUND(L702/M702, 0)</f>
        <v/>
      </c>
      <c r="O702" s="25">
        <f>ROUND(N702*'Methodology &amp; Assumptions'!$B$7, 0)</f>
        <v/>
      </c>
      <c r="P702" s="23" t="inlineStr">
        <is>
          <t>Single Carrier (Band n50, 100MHz TDD)</t>
        </is>
      </c>
      <c r="Q702" s="27">
        <f>ROUNDUP(O702/'Methodology &amp; Assumptions'!$B$8, 0)</f>
        <v/>
      </c>
      <c r="R702" s="27" t="n">
        <v>1</v>
      </c>
      <c r="S702" s="26" t="n">
        <v>13.72</v>
      </c>
      <c r="T702" s="26" t="n">
        <v>13.62</v>
      </c>
      <c r="U702" s="11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26" t="n">
        <v>48.6</v>
      </c>
      <c r="W702" s="26" t="n">
        <v>77.67</v>
      </c>
      <c r="X702" s="26">
        <f>ROUND(('Methodology &amp; Assumptions'!$B$5*V702) + ('Methodology &amp; Assumptions'!$B$6*W702), 2)</f>
        <v/>
      </c>
      <c r="Y702" s="28" t="n">
        <v>15</v>
      </c>
      <c r="Z702" s="11" t="inlineStr">
        <is>
          <t>Priority Tier 2 (Balanced Opportunity)</t>
        </is>
      </c>
    </row>
    <row r="703">
      <c r="A703" s="23" t="n">
        <v>2</v>
      </c>
      <c r="B703" s="23" t="n">
        <v>699</v>
      </c>
      <c r="C703" s="23" t="n">
        <v>1699</v>
      </c>
      <c r="D703" s="23" t="inlineStr">
        <is>
          <t>1705314003</t>
        </is>
      </c>
      <c r="E703" s="11" t="inlineStr">
        <is>
          <t>MIMAROPA Region</t>
        </is>
      </c>
      <c r="F703" s="11" t="inlineStr">
        <is>
          <t>Palawan</t>
        </is>
      </c>
      <c r="G703" s="11" t="inlineStr">
        <is>
          <t>Magsaysay</t>
        </is>
      </c>
      <c r="H703" s="11" t="inlineStr">
        <is>
          <t>Canipo</t>
        </is>
      </c>
      <c r="I703" s="24" t="n">
        <v>10.986662</v>
      </c>
      <c r="J703" s="24" t="n">
        <v>120.949705</v>
      </c>
      <c r="K703" s="23" t="inlineStr">
        <is>
          <t>R</t>
        </is>
      </c>
      <c r="L703" s="25" t="n">
        <v>1221</v>
      </c>
      <c r="M703" s="26" t="n">
        <v>3.9</v>
      </c>
      <c r="N703" s="25">
        <f>ROUND(L703/M703, 0)</f>
        <v/>
      </c>
      <c r="O703" s="25">
        <f>ROUND(N703*'Methodology &amp; Assumptions'!$B$7, 0)</f>
        <v/>
      </c>
      <c r="P703" s="23" t="inlineStr">
        <is>
          <t>Single Carrier (Band n50, 100MHz TDD)</t>
        </is>
      </c>
      <c r="Q703" s="27">
        <f>ROUNDUP(O703/'Methodology &amp; Assumptions'!$B$8, 0)</f>
        <v/>
      </c>
      <c r="R703" s="27" t="n">
        <v>1</v>
      </c>
      <c r="S703" s="26" t="n">
        <v>110.77</v>
      </c>
      <c r="T703" s="26" t="n">
        <v>110.72</v>
      </c>
      <c r="U703" s="11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26" t="n">
        <v>45.96</v>
      </c>
      <c r="W703" s="26" t="n">
        <v>80.31</v>
      </c>
      <c r="X703" s="26">
        <f>ROUND(('Methodology &amp; Assumptions'!$B$5*V703) + ('Methodology &amp; Assumptions'!$B$6*W703), 2)</f>
        <v/>
      </c>
      <c r="Y703" s="28" t="n">
        <v>15</v>
      </c>
      <c r="Z703" s="11" t="inlineStr">
        <is>
          <t>Priority Tier 2 (Balanced Opportunity)</t>
        </is>
      </c>
    </row>
    <row r="704">
      <c r="A704" s="23" t="n">
        <v>2</v>
      </c>
      <c r="B704" s="23" t="n">
        <v>700</v>
      </c>
      <c r="C704" s="23" t="n">
        <v>1700</v>
      </c>
      <c r="D704" s="23" t="inlineStr">
        <is>
          <t>0301420043</t>
        </is>
      </c>
      <c r="E704" s="11" t="inlineStr">
        <is>
          <t>Region III (Central Luzon)</t>
        </is>
      </c>
      <c r="F704" s="11" t="inlineStr">
        <is>
          <t>Bulacan</t>
        </is>
      </c>
      <c r="G704" s="11" t="inlineStr">
        <is>
          <t>City of San Jose Del Monte</t>
        </is>
      </c>
      <c r="H704" s="11" t="inlineStr">
        <is>
          <t>Poblacion I</t>
        </is>
      </c>
      <c r="I704" s="24" t="n">
        <v>14.808496</v>
      </c>
      <c r="J704" s="24" t="n">
        <v>121.045823</v>
      </c>
      <c r="K704" s="23" t="inlineStr">
        <is>
          <t>U</t>
        </is>
      </c>
      <c r="L704" s="25" t="n">
        <v>5871</v>
      </c>
      <c r="M704" s="26" t="n">
        <v>3.5</v>
      </c>
      <c r="N704" s="25">
        <f>ROUND(L704/M704, 0)</f>
        <v/>
      </c>
      <c r="O704" s="25">
        <f>ROUND(N704*'Methodology &amp; Assumptions'!$B$7, 0)</f>
        <v/>
      </c>
      <c r="P704" s="23" t="inlineStr">
        <is>
          <t>Single Carrier (Band n50, 100MHz TDD)</t>
        </is>
      </c>
      <c r="Q704" s="27">
        <f>ROUNDUP(O704/'Methodology &amp; Assumptions'!$B$8, 0)</f>
        <v/>
      </c>
      <c r="R704" s="27" t="n">
        <v>1</v>
      </c>
      <c r="S704" s="26" t="n">
        <v>1.27</v>
      </c>
      <c r="T704" s="26" t="n">
        <v>0.3</v>
      </c>
      <c r="U704" s="11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26" t="n">
        <v>76.81</v>
      </c>
      <c r="W704" s="26" t="n">
        <v>49.44</v>
      </c>
      <c r="X704" s="26">
        <f>ROUND(('Methodology &amp; Assumptions'!$B$5*V704) + ('Methodology &amp; Assumptions'!$B$6*W704), 2)</f>
        <v/>
      </c>
      <c r="Y704" s="28" t="n">
        <v>8.300000000000001</v>
      </c>
      <c r="Z704" s="11" t="inlineStr">
        <is>
          <t>Priority Tier 2 (Balanced Opportunity)</t>
        </is>
      </c>
    </row>
    <row r="705">
      <c r="A705" s="23" t="n">
        <v>2</v>
      </c>
      <c r="B705" s="23" t="n">
        <v>701</v>
      </c>
      <c r="C705" s="23" t="n">
        <v>1701</v>
      </c>
      <c r="D705" s="23" t="inlineStr">
        <is>
          <t>1380606074</t>
        </is>
      </c>
      <c r="E705" s="11" t="inlineStr">
        <is>
          <t>National Capital Region (NCR)</t>
        </is>
      </c>
      <c r="F705" s="11" t="inlineStr">
        <is>
          <t>First District (Not a Province)</t>
        </is>
      </c>
      <c r="G705" s="11" t="inlineStr">
        <is>
          <t>City of Manila</t>
        </is>
      </c>
      <c r="H705" s="11" t="inlineStr">
        <is>
          <t>Barangay 468</t>
        </is>
      </c>
      <c r="I705" s="24" t="n">
        <v>14.606578</v>
      </c>
      <c r="J705" s="24" t="n">
        <v>120.988087</v>
      </c>
      <c r="K705" s="23" t="inlineStr">
        <is>
          <t>U</t>
        </is>
      </c>
      <c r="L705" s="25" t="n">
        <v>1364</v>
      </c>
      <c r="M705" s="26" t="n">
        <v>3</v>
      </c>
      <c r="N705" s="25">
        <f>ROUND(L705/M705, 0)</f>
        <v/>
      </c>
      <c r="O705" s="25">
        <f>ROUND(N705*'Methodology &amp; Assumptions'!$B$7, 0)</f>
        <v/>
      </c>
      <c r="P705" s="23" t="inlineStr">
        <is>
          <t>Single Carrier (Band n50, 100MHz TDD)</t>
        </is>
      </c>
      <c r="Q705" s="27">
        <f>ROUNDUP(O705/'Methodology &amp; Assumptions'!$B$8, 0)</f>
        <v/>
      </c>
      <c r="R705" s="27" t="n">
        <v>1</v>
      </c>
      <c r="S705" s="26" t="n">
        <v>0.51</v>
      </c>
      <c r="T705" s="26" t="n">
        <v>0.23</v>
      </c>
      <c r="U705" s="11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26" t="n">
        <v>55.66</v>
      </c>
      <c r="W705" s="26" t="n">
        <v>70.58</v>
      </c>
      <c r="X705" s="26">
        <f>ROUND(('Methodology &amp; Assumptions'!$B$5*V705) + ('Methodology &amp; Assumptions'!$B$6*W705), 2)</f>
        <v/>
      </c>
      <c r="Y705" s="28" t="n">
        <v>10.9</v>
      </c>
      <c r="Z705" s="11" t="inlineStr">
        <is>
          <t>Priority Tier 2 (Balanced Opportunity)</t>
        </is>
      </c>
    </row>
    <row r="706">
      <c r="A706" s="23" t="n">
        <v>2</v>
      </c>
      <c r="B706" s="23" t="n">
        <v>702</v>
      </c>
      <c r="C706" s="23" t="n">
        <v>1702</v>
      </c>
      <c r="D706" s="23" t="inlineStr">
        <is>
          <t>1380606082</t>
        </is>
      </c>
      <c r="E706" s="11" t="inlineStr">
        <is>
          <t>National Capital Region (NCR)</t>
        </is>
      </c>
      <c r="F706" s="11" t="inlineStr">
        <is>
          <t>First District (Not a Province)</t>
        </is>
      </c>
      <c r="G706" s="11" t="inlineStr">
        <is>
          <t>City of Manila</t>
        </is>
      </c>
      <c r="H706" s="11" t="inlineStr">
        <is>
          <t>Barangay 476</t>
        </is>
      </c>
      <c r="I706" s="24" t="n">
        <v>14.612486</v>
      </c>
      <c r="J706" s="24" t="n">
        <v>120.99347</v>
      </c>
      <c r="K706" s="23" t="inlineStr">
        <is>
          <t>U</t>
        </is>
      </c>
      <c r="L706" s="25" t="n">
        <v>1213</v>
      </c>
      <c r="M706" s="26" t="n">
        <v>2.54</v>
      </c>
      <c r="N706" s="25">
        <f>ROUND(L706/M706, 0)</f>
        <v/>
      </c>
      <c r="O706" s="25">
        <f>ROUND(N706*'Methodology &amp; Assumptions'!$B$7, 0)</f>
        <v/>
      </c>
      <c r="P706" s="23" t="inlineStr">
        <is>
          <t>Single Carrier (Band n50, 100MHz TDD)</t>
        </is>
      </c>
      <c r="Q706" s="27">
        <f>ROUNDUP(O706/'Methodology &amp; Assumptions'!$B$8, 0)</f>
        <v/>
      </c>
      <c r="R706" s="27" t="n">
        <v>1</v>
      </c>
      <c r="S706" s="26" t="n">
        <v>1.07</v>
      </c>
      <c r="T706" s="26" t="n">
        <v>0.32</v>
      </c>
      <c r="U706" s="11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26" t="n">
        <v>55.53</v>
      </c>
      <c r="W706" s="26" t="n">
        <v>70.70999999999999</v>
      </c>
      <c r="X706" s="26">
        <f>ROUND(('Methodology &amp; Assumptions'!$B$5*V706) + ('Methodology &amp; Assumptions'!$B$6*W706), 2)</f>
        <v/>
      </c>
      <c r="Y706" s="28" t="n">
        <v>10.9</v>
      </c>
      <c r="Z706" s="11" t="inlineStr">
        <is>
          <t>Priority Tier 2 (Balanced Opportunity)</t>
        </is>
      </c>
    </row>
    <row r="707">
      <c r="A707" s="23" t="n">
        <v>2</v>
      </c>
      <c r="B707" s="23" t="n">
        <v>703</v>
      </c>
      <c r="C707" s="23" t="n">
        <v>1703</v>
      </c>
      <c r="D707" s="23" t="inlineStr">
        <is>
          <t>1380601224</t>
        </is>
      </c>
      <c r="E707" s="11" t="inlineStr">
        <is>
          <t>National Capital Region (NCR)</t>
        </is>
      </c>
      <c r="F707" s="11" t="inlineStr">
        <is>
          <t>First District (Not a Province)</t>
        </is>
      </c>
      <c r="G707" s="11" t="inlineStr">
        <is>
          <t>City of Manila</t>
        </is>
      </c>
      <c r="H707" s="11" t="inlineStr">
        <is>
          <t>Barangay 223</t>
        </is>
      </c>
      <c r="I707" s="24" t="n">
        <v>14.619433</v>
      </c>
      <c r="J707" s="24" t="n">
        <v>120.978115</v>
      </c>
      <c r="K707" s="23" t="inlineStr">
        <is>
          <t>U</t>
        </is>
      </c>
      <c r="L707" s="25" t="n">
        <v>1583</v>
      </c>
      <c r="M707" s="26" t="n">
        <v>3.61</v>
      </c>
      <c r="N707" s="25">
        <f>ROUND(L707/M707, 0)</f>
        <v/>
      </c>
      <c r="O707" s="25">
        <f>ROUND(N707*'Methodology &amp; Assumptions'!$B$7, 0)</f>
        <v/>
      </c>
      <c r="P707" s="23" t="inlineStr">
        <is>
          <t>Single Carrier (Band n50, 100MHz TDD)</t>
        </is>
      </c>
      <c r="Q707" s="27">
        <f>ROUNDUP(O707/'Methodology &amp; Assumptions'!$B$8, 0)</f>
        <v/>
      </c>
      <c r="R707" s="27" t="n">
        <v>1</v>
      </c>
      <c r="S707" s="26" t="n">
        <v>0.61</v>
      </c>
      <c r="T707" s="26" t="n">
        <v>0.04</v>
      </c>
      <c r="U707" s="11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26" t="n">
        <v>55.23</v>
      </c>
      <c r="W707" s="26" t="n">
        <v>71.01000000000001</v>
      </c>
      <c r="X707" s="26">
        <f>ROUND(('Methodology &amp; Assumptions'!$B$5*V707) + ('Methodology &amp; Assumptions'!$B$6*W707), 2)</f>
        <v/>
      </c>
      <c r="Y707" s="28" t="n">
        <v>10.9</v>
      </c>
      <c r="Z707" s="11" t="inlineStr">
        <is>
          <t>Priority Tier 2 (Balanced Opportunity)</t>
        </is>
      </c>
    </row>
    <row r="708">
      <c r="A708" s="23" t="n">
        <v>2</v>
      </c>
      <c r="B708" s="23" t="n">
        <v>704</v>
      </c>
      <c r="C708" s="23" t="n">
        <v>1704</v>
      </c>
      <c r="D708" s="23" t="inlineStr">
        <is>
          <t>0506212001</t>
        </is>
      </c>
      <c r="E708" s="11" t="inlineStr">
        <is>
          <t>Region V (Bicol Region)</t>
        </is>
      </c>
      <c r="F708" s="11" t="inlineStr">
        <is>
          <t>Sorsogon</t>
        </is>
      </c>
      <c r="G708" s="11" t="inlineStr">
        <is>
          <t>Matnog</t>
        </is>
      </c>
      <c r="H708" s="11" t="inlineStr">
        <is>
          <t>Balocawe</t>
        </is>
      </c>
      <c r="I708" s="24" t="n">
        <v>12.591045</v>
      </c>
      <c r="J708" s="24" t="n">
        <v>124.036131</v>
      </c>
      <c r="K708" s="23" t="inlineStr">
        <is>
          <t>R</t>
        </is>
      </c>
      <c r="L708" s="25" t="n">
        <v>1026</v>
      </c>
      <c r="M708" s="26" t="n">
        <v>4</v>
      </c>
      <c r="N708" s="25">
        <f>ROUND(L708/M708, 0)</f>
        <v/>
      </c>
      <c r="O708" s="25">
        <f>ROUND(N708*'Methodology &amp; Assumptions'!$B$7, 0)</f>
        <v/>
      </c>
      <c r="P708" s="23" t="inlineStr">
        <is>
          <t>Single Carrier (Band n50, 100MHz TDD)</t>
        </is>
      </c>
      <c r="Q708" s="27">
        <f>ROUNDUP(O708/'Methodology &amp; Assumptions'!$B$8, 0)</f>
        <v/>
      </c>
      <c r="R708" s="27" t="n">
        <v>1</v>
      </c>
      <c r="S708" s="26" t="n">
        <v>4.96</v>
      </c>
      <c r="T708" s="26" t="n">
        <v>2.97</v>
      </c>
      <c r="U708" s="11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26" t="n">
        <v>54.35</v>
      </c>
      <c r="W708" s="26" t="n">
        <v>71.89</v>
      </c>
      <c r="X708" s="26">
        <f>ROUND(('Methodology &amp; Assumptions'!$B$5*V708) + ('Methodology &amp; Assumptions'!$B$6*W708), 2)</f>
        <v/>
      </c>
      <c r="Y708" s="28" t="n">
        <v>23.7</v>
      </c>
      <c r="Z708" s="11" t="inlineStr">
        <is>
          <t>Priority Tier 2 (Balanced Opportunity)</t>
        </is>
      </c>
    </row>
    <row r="709">
      <c r="A709" s="23" t="n">
        <v>2</v>
      </c>
      <c r="B709" s="23" t="n">
        <v>705</v>
      </c>
      <c r="C709" s="23" t="n">
        <v>1705</v>
      </c>
      <c r="D709" s="23" t="inlineStr">
        <is>
          <t>1381200011</t>
        </is>
      </c>
      <c r="E709" s="11" t="inlineStr">
        <is>
          <t>National Capital Region (NCR)</t>
        </is>
      </c>
      <c r="F709" s="11" t="inlineStr">
        <is>
          <t>Second District (Not a Province)</t>
        </is>
      </c>
      <c r="G709" s="11" t="inlineStr">
        <is>
          <t>City of Pasig</t>
        </is>
      </c>
      <c r="H709" s="11" t="inlineStr">
        <is>
          <t>Manggahan</t>
        </is>
      </c>
      <c r="I709" s="24" t="n">
        <v>14.598093</v>
      </c>
      <c r="J709" s="24" t="n">
        <v>121.091616</v>
      </c>
      <c r="K709" s="23" t="inlineStr">
        <is>
          <t>U</t>
        </is>
      </c>
      <c r="L709" s="25" t="n">
        <v>90884</v>
      </c>
      <c r="M709" s="26" t="n">
        <v>3.09</v>
      </c>
      <c r="N709" s="25">
        <f>ROUND(L709/M709, 0)</f>
        <v/>
      </c>
      <c r="O709" s="25">
        <f>ROUND(N709*'Methodology &amp; Assumptions'!$B$7, 0)</f>
        <v/>
      </c>
      <c r="P709" s="23" t="inlineStr">
        <is>
          <t>Single Carrier (Band n50, 100MHz TDD)</t>
        </is>
      </c>
      <c r="Q709" s="27">
        <f>ROUNDUP(O709/'Methodology &amp; Assumptions'!$B$8, 0)</f>
        <v/>
      </c>
      <c r="R709" s="27" t="n">
        <v>1</v>
      </c>
      <c r="S709" s="26" t="n">
        <v>0.19</v>
      </c>
      <c r="T709" s="26" t="n">
        <v>0.13</v>
      </c>
      <c r="U709" s="11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26" t="n">
        <v>64.66</v>
      </c>
      <c r="W709" s="26" t="n">
        <v>61.55</v>
      </c>
      <c r="X709" s="26">
        <f>ROUND(('Methodology &amp; Assumptions'!$B$5*V709) + ('Methodology &amp; Assumptions'!$B$6*W709), 2)</f>
        <v/>
      </c>
      <c r="Y709" s="28" t="n">
        <v>10.9</v>
      </c>
      <c r="Z709" s="11" t="inlineStr">
        <is>
          <t>Priority Tier 2 (Balanced Opportunity)</t>
        </is>
      </c>
    </row>
    <row r="710">
      <c r="A710" s="23" t="n">
        <v>2</v>
      </c>
      <c r="B710" s="23" t="n">
        <v>706</v>
      </c>
      <c r="C710" s="23" t="n">
        <v>1706</v>
      </c>
      <c r="D710" s="23" t="inlineStr">
        <is>
          <t>1381300041</t>
        </is>
      </c>
      <c r="E710" s="11" t="inlineStr">
        <is>
          <t>National Capital Region (NCR)</t>
        </is>
      </c>
      <c r="F710" s="11" t="inlineStr">
        <is>
          <t>Second District (Not a Province)</t>
        </is>
      </c>
      <c r="G710" s="11" t="inlineStr">
        <is>
          <t>Quezon City</t>
        </is>
      </c>
      <c r="H710" s="11" t="inlineStr">
        <is>
          <t>Fairview</t>
        </is>
      </c>
      <c r="I710" s="24" t="n">
        <v>14.6998</v>
      </c>
      <c r="J710" s="24" t="n">
        <v>121.0639</v>
      </c>
      <c r="K710" s="23" t="inlineStr">
        <is>
          <t>U</t>
        </is>
      </c>
      <c r="L710" s="25" t="n">
        <v>63913</v>
      </c>
      <c r="M710" s="26" t="n">
        <v>4.05</v>
      </c>
      <c r="N710" s="25">
        <f>ROUND(L710/M710, 0)</f>
        <v/>
      </c>
      <c r="O710" s="25">
        <f>ROUND(N710*'Methodology &amp; Assumptions'!$B$7, 0)</f>
        <v/>
      </c>
      <c r="P710" s="23" t="inlineStr">
        <is>
          <t>Single Carrier (Band n50, 100MHz TDD)</t>
        </is>
      </c>
      <c r="Q710" s="27">
        <f>ROUNDUP(O710/'Methodology &amp; Assumptions'!$B$8, 0)</f>
        <v/>
      </c>
      <c r="R710" s="27" t="n">
        <v>1</v>
      </c>
      <c r="S710" s="26" t="n">
        <v>1.51</v>
      </c>
      <c r="T710" s="26" t="n">
        <v>0.75</v>
      </c>
      <c r="U710" s="11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26" t="n">
        <v>63.5</v>
      </c>
      <c r="W710" s="26" t="n">
        <v>62.72</v>
      </c>
      <c r="X710" s="26">
        <f>ROUND(('Methodology &amp; Assumptions'!$B$5*V710) + ('Methodology &amp; Assumptions'!$B$6*W710), 2)</f>
        <v/>
      </c>
      <c r="Y710" s="28" t="n">
        <v>10.9</v>
      </c>
      <c r="Z710" s="11" t="inlineStr">
        <is>
          <t>Priority Tier 2 (Balanced Opportunity)</t>
        </is>
      </c>
    </row>
    <row r="711">
      <c r="A711" s="23" t="n">
        <v>2</v>
      </c>
      <c r="B711" s="23" t="n">
        <v>707</v>
      </c>
      <c r="C711" s="23" t="n">
        <v>1707</v>
      </c>
      <c r="D711" s="23" t="inlineStr">
        <is>
          <t>1381100175</t>
        </is>
      </c>
      <c r="E711" s="11" t="inlineStr">
        <is>
          <t>National Capital Region (NCR)</t>
        </is>
      </c>
      <c r="F711" s="11" t="inlineStr">
        <is>
          <t>Fourth District (Not a Province)</t>
        </is>
      </c>
      <c r="G711" s="11" t="inlineStr">
        <is>
          <t>Pasay City</t>
        </is>
      </c>
      <c r="H711" s="11" t="inlineStr">
        <is>
          <t>Barangay 175</t>
        </is>
      </c>
      <c r="I711" s="24" t="n">
        <v>14.53254</v>
      </c>
      <c r="J711" s="24" t="n">
        <v>121.011522</v>
      </c>
      <c r="K711" s="23" t="inlineStr">
        <is>
          <t>U</t>
        </is>
      </c>
      <c r="L711" s="25" t="n">
        <v>1959</v>
      </c>
      <c r="M711" s="26" t="n">
        <v>3.63</v>
      </c>
      <c r="N711" s="25">
        <f>ROUND(L711/M711, 0)</f>
        <v/>
      </c>
      <c r="O711" s="25">
        <f>ROUND(N711*'Methodology &amp; Assumptions'!$B$7, 0)</f>
        <v/>
      </c>
      <c r="P711" s="23" t="inlineStr">
        <is>
          <t>Single Carrier (Band n50, 100MHz TDD)</t>
        </is>
      </c>
      <c r="Q711" s="27">
        <f>ROUNDUP(O711/'Methodology &amp; Assumptions'!$B$8, 0)</f>
        <v/>
      </c>
      <c r="R711" s="27" t="n">
        <v>1</v>
      </c>
      <c r="S711" s="26" t="n">
        <v>1.26</v>
      </c>
      <c r="T711" s="26" t="n">
        <v>0.63</v>
      </c>
      <c r="U711" s="11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26" t="n">
        <v>56.85</v>
      </c>
      <c r="W711" s="26" t="n">
        <v>69.36</v>
      </c>
      <c r="X711" s="26">
        <f>ROUND(('Methodology &amp; Assumptions'!$B$5*V711) + ('Methodology &amp; Assumptions'!$B$6*W711), 2)</f>
        <v/>
      </c>
      <c r="Y711" s="28" t="n">
        <v>10.9</v>
      </c>
      <c r="Z711" s="11" t="inlineStr">
        <is>
          <t>Priority Tier 2 (Balanced Opportunity)</t>
        </is>
      </c>
    </row>
    <row r="712">
      <c r="A712" s="23" t="n">
        <v>2</v>
      </c>
      <c r="B712" s="23" t="n">
        <v>708</v>
      </c>
      <c r="C712" s="23" t="n">
        <v>1708</v>
      </c>
      <c r="D712" s="23" t="inlineStr">
        <is>
          <t>0105535008</t>
        </is>
      </c>
      <c r="E712" s="11" t="inlineStr">
        <is>
          <t>Region I (Ilocos Region)</t>
        </is>
      </c>
      <c r="F712" s="11" t="inlineStr">
        <is>
          <t>Pangasinan</t>
        </is>
      </c>
      <c r="G712" s="11" t="inlineStr">
        <is>
          <t>San Manuel</t>
        </is>
      </c>
      <c r="H712" s="11" t="inlineStr">
        <is>
          <t>Guiset Sur</t>
        </is>
      </c>
      <c r="I712" s="24" t="n">
        <v>16.063455</v>
      </c>
      <c r="J712" s="24" t="n">
        <v>120.666412</v>
      </c>
      <c r="K712" s="23" t="inlineStr">
        <is>
          <t>R</t>
        </is>
      </c>
      <c r="L712" s="25" t="n">
        <v>4860</v>
      </c>
      <c r="M712" s="26" t="n">
        <v>3.6</v>
      </c>
      <c r="N712" s="25">
        <f>ROUND(L712/M712, 0)</f>
        <v/>
      </c>
      <c r="O712" s="25">
        <f>ROUND(N712*'Methodology &amp; Assumptions'!$B$7, 0)</f>
        <v/>
      </c>
      <c r="P712" s="23" t="inlineStr">
        <is>
          <t>Single Carrier (Band n50, 100MHz TDD)</t>
        </is>
      </c>
      <c r="Q712" s="27">
        <f>ROUNDUP(O712/'Methodology &amp; Assumptions'!$B$8, 0)</f>
        <v/>
      </c>
      <c r="R712" s="27" t="n">
        <v>1</v>
      </c>
      <c r="S712" s="26" t="n">
        <v>0.36</v>
      </c>
      <c r="T712" s="26" t="n">
        <v>0.45</v>
      </c>
      <c r="U712" s="11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26" t="n">
        <v>85.63</v>
      </c>
      <c r="W712" s="26" t="n">
        <v>40.56</v>
      </c>
      <c r="X712" s="26">
        <f>ROUND(('Methodology &amp; Assumptions'!$B$5*V712) + ('Methodology &amp; Assumptions'!$B$6*W712), 2)</f>
        <v/>
      </c>
      <c r="Y712" s="28" t="n">
        <v>8.300000000000001</v>
      </c>
      <c r="Z712" s="11" t="inlineStr">
        <is>
          <t>Priority Tier 2 (Balanced Opportunity)</t>
        </is>
      </c>
    </row>
    <row r="713">
      <c r="A713" s="23" t="n">
        <v>2</v>
      </c>
      <c r="B713" s="23" t="n">
        <v>709</v>
      </c>
      <c r="C713" s="23" t="n">
        <v>1709</v>
      </c>
      <c r="D713" s="23" t="inlineStr">
        <is>
          <t>0301420049</t>
        </is>
      </c>
      <c r="E713" s="11" t="inlineStr">
        <is>
          <t>Region III (Central Luzon)</t>
        </is>
      </c>
      <c r="F713" s="11" t="inlineStr">
        <is>
          <t>Bulacan</t>
        </is>
      </c>
      <c r="G713" s="11" t="inlineStr">
        <is>
          <t>City of San Jose Del Monte</t>
        </is>
      </c>
      <c r="H713" s="11" t="inlineStr">
        <is>
          <t>San Rafael I</t>
        </is>
      </c>
      <c r="I713" s="24" t="n">
        <v>14.848415</v>
      </c>
      <c r="J713" s="24" t="n">
        <v>121.04466</v>
      </c>
      <c r="K713" s="23" t="inlineStr">
        <is>
          <t>U</t>
        </is>
      </c>
      <c r="L713" s="25" t="n">
        <v>3514</v>
      </c>
      <c r="M713" s="26" t="n">
        <v>3.5</v>
      </c>
      <c r="N713" s="25">
        <f>ROUND(L713/M713, 0)</f>
        <v/>
      </c>
      <c r="O713" s="25">
        <f>ROUND(N713*'Methodology &amp; Assumptions'!$B$7, 0)</f>
        <v/>
      </c>
      <c r="P713" s="23" t="inlineStr">
        <is>
          <t>Single Carrier (Band n50, 100MHz TDD)</t>
        </is>
      </c>
      <c r="Q713" s="27">
        <f>ROUNDUP(O713/'Methodology &amp; Assumptions'!$B$8, 0)</f>
        <v/>
      </c>
      <c r="R713" s="27" t="n">
        <v>1</v>
      </c>
      <c r="S713" s="26" t="n">
        <v>1.08</v>
      </c>
      <c r="T713" s="26" t="n">
        <v>2.01</v>
      </c>
      <c r="U713" s="11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26" t="n">
        <v>74</v>
      </c>
      <c r="W713" s="26" t="n">
        <v>52.21</v>
      </c>
      <c r="X713" s="26">
        <f>ROUND(('Methodology &amp; Assumptions'!$B$5*V713) + ('Methodology &amp; Assumptions'!$B$6*W713), 2)</f>
        <v/>
      </c>
      <c r="Y713" s="28" t="n">
        <v>8.300000000000001</v>
      </c>
      <c r="Z713" s="11" t="inlineStr">
        <is>
          <t>Priority Tier 2 (Balanced Opportunity)</t>
        </is>
      </c>
    </row>
    <row r="714">
      <c r="A714" s="23" t="n">
        <v>2</v>
      </c>
      <c r="B714" s="23" t="n">
        <v>710</v>
      </c>
      <c r="C714" s="23" t="n">
        <v>1710</v>
      </c>
      <c r="D714" s="23" t="inlineStr">
        <is>
          <t>1380612016</t>
        </is>
      </c>
      <c r="E714" s="11" t="inlineStr">
        <is>
          <t>National Capital Region (NCR)</t>
        </is>
      </c>
      <c r="F714" s="11" t="inlineStr">
        <is>
          <t>First District (Not a Province)</t>
        </is>
      </c>
      <c r="G714" s="11" t="inlineStr">
        <is>
          <t>City of Manila</t>
        </is>
      </c>
      <c r="H714" s="11" t="inlineStr">
        <is>
          <t>Barangay 848</t>
        </is>
      </c>
      <c r="I714" s="24" t="n">
        <v>14.591906</v>
      </c>
      <c r="J714" s="24" t="n">
        <v>121.004204</v>
      </c>
      <c r="K714" s="23" t="inlineStr">
        <is>
          <t>U</t>
        </is>
      </c>
      <c r="L714" s="25" t="n">
        <v>1589</v>
      </c>
      <c r="M714" s="26" t="n">
        <v>3.4</v>
      </c>
      <c r="N714" s="25">
        <f>ROUND(L714/M714, 0)</f>
        <v/>
      </c>
      <c r="O714" s="25">
        <f>ROUND(N714*'Methodology &amp; Assumptions'!$B$7, 0)</f>
        <v/>
      </c>
      <c r="P714" s="23" t="inlineStr">
        <is>
          <t>Single Carrier (Band n50, 100MHz TDD)</t>
        </is>
      </c>
      <c r="Q714" s="27">
        <f>ROUNDUP(O714/'Methodology &amp; Assumptions'!$B$8, 0)</f>
        <v/>
      </c>
      <c r="R714" s="27" t="n">
        <v>1</v>
      </c>
      <c r="S714" s="26" t="n">
        <v>0.85</v>
      </c>
      <c r="T714" s="26" t="n">
        <v>0.32</v>
      </c>
      <c r="U714" s="11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26" t="n">
        <v>56.06</v>
      </c>
      <c r="W714" s="26" t="n">
        <v>70.14</v>
      </c>
      <c r="X714" s="26">
        <f>ROUND(('Methodology &amp; Assumptions'!$B$5*V714) + ('Methodology &amp; Assumptions'!$B$6*W714), 2)</f>
        <v/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2</v>
      </c>
      <c r="B715" s="23" t="n">
        <v>711</v>
      </c>
      <c r="C715" s="23" t="n">
        <v>1711</v>
      </c>
      <c r="D715" s="23" t="inlineStr">
        <is>
          <t>1380606198</t>
        </is>
      </c>
      <c r="E715" s="11" t="inlineStr">
        <is>
          <t>National Capital Region (NCR)</t>
        </is>
      </c>
      <c r="F715" s="11" t="inlineStr">
        <is>
          <t>First District (Not a Province)</t>
        </is>
      </c>
      <c r="G715" s="11" t="inlineStr">
        <is>
          <t>City of Manila</t>
        </is>
      </c>
      <c r="H715" s="11" t="inlineStr">
        <is>
          <t>Barangay 591</t>
        </is>
      </c>
      <c r="I715" s="24" t="n">
        <v>14.59886</v>
      </c>
      <c r="J715" s="24" t="n">
        <v>121.013967</v>
      </c>
      <c r="K715" s="23" t="inlineStr">
        <is>
          <t>U</t>
        </is>
      </c>
      <c r="L715" s="25" t="n">
        <v>2085</v>
      </c>
      <c r="M715" s="26" t="n">
        <v>4.44</v>
      </c>
      <c r="N715" s="25">
        <f>ROUND(L715/M715, 0)</f>
        <v/>
      </c>
      <c r="O715" s="25">
        <f>ROUND(N715*'Methodology &amp; Assumptions'!$B$7, 0)</f>
        <v/>
      </c>
      <c r="P715" s="23" t="inlineStr">
        <is>
          <t>Single Carrier (Band n50, 100MHz TDD)</t>
        </is>
      </c>
      <c r="Q715" s="27">
        <f>ROUNDUP(O715/'Methodology &amp; Assumptions'!$B$8, 0)</f>
        <v/>
      </c>
      <c r="R715" s="27" t="n">
        <v>1</v>
      </c>
      <c r="S715" s="26" t="n">
        <v>1.08</v>
      </c>
      <c r="T715" s="26" t="n">
        <v>0.43</v>
      </c>
      <c r="U715" s="11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26" t="n">
        <v>55.29</v>
      </c>
      <c r="W715" s="26" t="n">
        <v>70.90000000000001</v>
      </c>
      <c r="X715" s="26">
        <f>ROUND(('Methodology &amp; Assumptions'!$B$5*V715) + ('Methodology &amp; Assumptions'!$B$6*W715), 2)</f>
        <v/>
      </c>
      <c r="Y715" s="28" t="n">
        <v>10.9</v>
      </c>
      <c r="Z715" s="11" t="inlineStr">
        <is>
          <t>Priority Tier 2 (Balanced Opportunity)</t>
        </is>
      </c>
    </row>
    <row r="716">
      <c r="A716" s="23" t="n">
        <v>2</v>
      </c>
      <c r="B716" s="23" t="n">
        <v>712</v>
      </c>
      <c r="C716" s="23" t="n">
        <v>1712</v>
      </c>
      <c r="D716" s="23" t="inlineStr">
        <is>
          <t>1108604022</t>
        </is>
      </c>
      <c r="E716" s="11" t="inlineStr">
        <is>
          <t>Region XI (Davao Region)</t>
        </is>
      </c>
      <c r="F716" s="11" t="inlineStr">
        <is>
          <t>Davao Occidental</t>
        </is>
      </c>
      <c r="G716" s="11" t="inlineStr">
        <is>
          <t>Santa Maria</t>
        </is>
      </c>
      <c r="H716" s="11" t="inlineStr">
        <is>
          <t>Datu Intan</t>
        </is>
      </c>
      <c r="I716" s="24" t="n">
        <v>6.485861</v>
      </c>
      <c r="J716" s="24" t="n">
        <v>125.404212</v>
      </c>
      <c r="K716" s="23" t="inlineStr">
        <is>
          <t>R</t>
        </is>
      </c>
      <c r="L716" s="25" t="n">
        <v>1659</v>
      </c>
      <c r="M716" s="26" t="n">
        <v>3.6</v>
      </c>
      <c r="N716" s="25">
        <f>ROUND(L716/M716, 0)</f>
        <v/>
      </c>
      <c r="O716" s="25">
        <f>ROUND(N716*'Methodology &amp; Assumptions'!$B$7, 0)</f>
        <v/>
      </c>
      <c r="P716" s="23" t="inlineStr">
        <is>
          <t>Single Carrier (Band n50, 100MHz TDD)</t>
        </is>
      </c>
      <c r="Q716" s="27">
        <f>ROUNDUP(O716/'Methodology &amp; Assumptions'!$B$8, 0)</f>
        <v/>
      </c>
      <c r="R716" s="27" t="n">
        <v>1</v>
      </c>
      <c r="S716" s="26" t="n">
        <v>9.56</v>
      </c>
      <c r="T716" s="26" t="n">
        <v>5.88</v>
      </c>
      <c r="U716" s="11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26" t="n">
        <v>54.66</v>
      </c>
      <c r="W716" s="26" t="n">
        <v>71.55</v>
      </c>
      <c r="X716" s="26">
        <f>ROUND(('Methodology &amp; Assumptions'!$B$5*V716) + ('Methodology &amp; Assumptions'!$B$6*W716), 2)</f>
        <v/>
      </c>
      <c r="Y716" s="28" t="n">
        <v>17.4</v>
      </c>
      <c r="Z716" s="11" t="inlineStr">
        <is>
          <t>Priority Tier 2 (Balanced Opportunity)</t>
        </is>
      </c>
    </row>
    <row r="717">
      <c r="A717" s="23" t="n">
        <v>2</v>
      </c>
      <c r="B717" s="23" t="n">
        <v>713</v>
      </c>
      <c r="C717" s="23" t="n">
        <v>1713</v>
      </c>
      <c r="D717" s="23" t="inlineStr">
        <is>
          <t>1102403029</t>
        </is>
      </c>
      <c r="E717" s="11" t="inlineStr">
        <is>
          <t>Region XI (Davao Region)</t>
        </is>
      </c>
      <c r="F717" s="11" t="inlineStr">
        <is>
          <t>Davao del Sur</t>
        </is>
      </c>
      <c r="G717" s="11" t="inlineStr">
        <is>
          <t>City of Digos</t>
        </is>
      </c>
      <c r="H717" s="11" t="inlineStr">
        <is>
          <t>Zone 2</t>
        </is>
      </c>
      <c r="I717" s="24" t="n">
        <v>6.753</v>
      </c>
      <c r="J717" s="24" t="n">
        <v>125.34825</v>
      </c>
      <c r="K717" s="23" t="inlineStr">
        <is>
          <t>U</t>
        </is>
      </c>
      <c r="L717" s="25" t="n">
        <v>7839</v>
      </c>
      <c r="M717" s="26" t="n">
        <v>3.4</v>
      </c>
      <c r="N717" s="25">
        <f>ROUND(L717/M717, 0)</f>
        <v/>
      </c>
      <c r="O717" s="25">
        <f>ROUND(N717*'Methodology &amp; Assumptions'!$B$7, 0)</f>
        <v/>
      </c>
      <c r="P717" s="23" t="inlineStr">
        <is>
          <t>Single Carrier (Band n50, 100MHz TDD)</t>
        </is>
      </c>
      <c r="Q717" s="27">
        <f>ROUNDUP(O717/'Methodology &amp; Assumptions'!$B$8, 0)</f>
        <v/>
      </c>
      <c r="R717" s="27" t="n">
        <v>1</v>
      </c>
      <c r="S717" s="26" t="n">
        <v>0.89</v>
      </c>
      <c r="T717" s="26" t="n">
        <v>1.75</v>
      </c>
      <c r="U717" s="11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26" t="n">
        <v>79.67</v>
      </c>
      <c r="W717" s="26" t="n">
        <v>46.5</v>
      </c>
      <c r="X717" s="26">
        <f>ROUND(('Methodology &amp; Assumptions'!$B$5*V717) + ('Methodology &amp; Assumptions'!$B$6*W717), 2)</f>
        <v/>
      </c>
      <c r="Y717" s="28" t="n">
        <v>17.4</v>
      </c>
      <c r="Z717" s="11" t="inlineStr">
        <is>
          <t>Priority Tier 2 (Balanced Opportunity)</t>
        </is>
      </c>
    </row>
    <row r="718">
      <c r="A718" s="23" t="n">
        <v>2</v>
      </c>
      <c r="B718" s="23" t="n">
        <v>714</v>
      </c>
      <c r="C718" s="23" t="n">
        <v>1714</v>
      </c>
      <c r="D718" s="23" t="inlineStr">
        <is>
          <t>0405630022</t>
        </is>
      </c>
      <c r="E718" s="11" t="inlineStr">
        <is>
          <t>Region IV-A (CALABARZON)</t>
        </is>
      </c>
      <c r="F718" s="11" t="inlineStr">
        <is>
          <t>Quezon</t>
        </is>
      </c>
      <c r="G718" s="11" t="inlineStr">
        <is>
          <t>Pagbilao</t>
        </is>
      </c>
      <c r="H718" s="11" t="inlineStr">
        <is>
          <t>Barangay 4 Parang</t>
        </is>
      </c>
      <c r="I718" s="24" t="n">
        <v>13.970425</v>
      </c>
      <c r="J718" s="24" t="n">
        <v>121.68932</v>
      </c>
      <c r="K718" s="23" t="inlineStr">
        <is>
          <t>R</t>
        </is>
      </c>
      <c r="L718" s="25" t="n">
        <v>2057</v>
      </c>
      <c r="M718" s="26" t="n">
        <v>3.8</v>
      </c>
      <c r="N718" s="25">
        <f>ROUND(L718/M718, 0)</f>
        <v/>
      </c>
      <c r="O718" s="25">
        <f>ROUND(N718*'Methodology &amp; Assumptions'!$B$7, 0)</f>
        <v/>
      </c>
      <c r="P718" s="23" t="inlineStr">
        <is>
          <t>Single Carrier (Band n50, 100MHz TDD)</t>
        </is>
      </c>
      <c r="Q718" s="27">
        <f>ROUNDUP(O718/'Methodology &amp; Assumptions'!$B$8, 0)</f>
        <v/>
      </c>
      <c r="R718" s="27" t="n">
        <v>1</v>
      </c>
      <c r="S718" s="26" t="n">
        <v>0.8100000000000001</v>
      </c>
      <c r="T718" s="26" t="n">
        <v>0.23</v>
      </c>
      <c r="U718" s="11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26" t="n">
        <v>76.48</v>
      </c>
      <c r="W718" s="26" t="n">
        <v>49.69</v>
      </c>
      <c r="X718" s="26">
        <f>ROUND(('Methodology &amp; Assumptions'!$B$5*V718) + ('Methodology &amp; Assumptions'!$B$6*W718), 2)</f>
        <v/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2</v>
      </c>
      <c r="B719" s="23" t="n">
        <v>715</v>
      </c>
      <c r="C719" s="23" t="n">
        <v>1715</v>
      </c>
      <c r="D719" s="23" t="inlineStr">
        <is>
          <t>1102412019</t>
        </is>
      </c>
      <c r="E719" s="11" t="inlineStr">
        <is>
          <t>Region XI (Davao Region)</t>
        </is>
      </c>
      <c r="F719" s="11" t="inlineStr">
        <is>
          <t>Davao del Sur</t>
        </is>
      </c>
      <c r="G719" s="11" t="inlineStr">
        <is>
          <t>Santa Cruz</t>
        </is>
      </c>
      <c r="H719" s="11" t="inlineStr">
        <is>
          <t>Zone II</t>
        </is>
      </c>
      <c r="I719" s="24" t="n">
        <v>6.875424</v>
      </c>
      <c r="J719" s="24" t="n">
        <v>125.385021</v>
      </c>
      <c r="K719" s="23" t="inlineStr">
        <is>
          <t>U</t>
        </is>
      </c>
      <c r="L719" s="25" t="n">
        <v>6310</v>
      </c>
      <c r="M719" s="26" t="n">
        <v>3.4</v>
      </c>
      <c r="N719" s="25">
        <f>ROUND(L719/M719, 0)</f>
        <v/>
      </c>
      <c r="O719" s="25">
        <f>ROUND(N719*'Methodology &amp; Assumptions'!$B$7, 0)</f>
        <v/>
      </c>
      <c r="P719" s="23" t="inlineStr">
        <is>
          <t>Single Carrier (Band n50, 100MHz TDD)</t>
        </is>
      </c>
      <c r="Q719" s="27">
        <f>ROUNDUP(O719/'Methodology &amp; Assumptions'!$B$8, 0)</f>
        <v/>
      </c>
      <c r="R719" s="27" t="n">
        <v>1</v>
      </c>
      <c r="S719" s="26" t="n">
        <v>4.66</v>
      </c>
      <c r="T719" s="26" t="n">
        <v>4.58</v>
      </c>
      <c r="U719" s="11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26" t="n">
        <v>65.48999999999999</v>
      </c>
      <c r="W719" s="26" t="n">
        <v>60.7</v>
      </c>
      <c r="X719" s="26">
        <f>ROUND(('Methodology &amp; Assumptions'!$B$5*V719) + ('Methodology &amp; Assumptions'!$B$6*W719), 2)</f>
        <v/>
      </c>
      <c r="Y719" s="28" t="n">
        <v>17.4</v>
      </c>
      <c r="Z719" s="11" t="inlineStr">
        <is>
          <t>Priority Tier 2 (Balanced Opportunity)</t>
        </is>
      </c>
    </row>
    <row r="720">
      <c r="A720" s="23" t="n">
        <v>2</v>
      </c>
      <c r="B720" s="23" t="n">
        <v>716</v>
      </c>
      <c r="C720" s="23" t="n">
        <v>1716</v>
      </c>
      <c r="D720" s="23" t="inlineStr">
        <is>
          <t>1380800007</t>
        </is>
      </c>
      <c r="E720" s="11" t="inlineStr">
        <is>
          <t>National Capital Region (NCR)</t>
        </is>
      </c>
      <c r="F720" s="11" t="inlineStr">
        <is>
          <t>Fourth District (Not a Province)</t>
        </is>
      </c>
      <c r="G720" s="11" t="inlineStr">
        <is>
          <t>City of Muntinlupa</t>
        </is>
      </c>
      <c r="H720" s="11" t="inlineStr">
        <is>
          <t>Sucat</t>
        </is>
      </c>
      <c r="I720" s="24" t="n">
        <v>14.456682</v>
      </c>
      <c r="J720" s="24" t="n">
        <v>121.053739</v>
      </c>
      <c r="K720" s="23" t="inlineStr">
        <is>
          <t>U</t>
        </is>
      </c>
      <c r="L720" s="25" t="n">
        <v>59601</v>
      </c>
      <c r="M720" s="26" t="n">
        <v>3.51</v>
      </c>
      <c r="N720" s="25">
        <f>ROUND(L720/M720, 0)</f>
        <v/>
      </c>
      <c r="O720" s="25">
        <f>ROUND(N720*'Methodology &amp; Assumptions'!$B$7, 0)</f>
        <v/>
      </c>
      <c r="P720" s="23" t="inlineStr">
        <is>
          <t>Single Carrier (Band n50, 100MHz TDD)</t>
        </is>
      </c>
      <c r="Q720" s="27">
        <f>ROUNDUP(O720/'Methodology &amp; Assumptions'!$B$8, 0)</f>
        <v/>
      </c>
      <c r="R720" s="27" t="n">
        <v>1</v>
      </c>
      <c r="S720" s="26" t="n">
        <v>1.85</v>
      </c>
      <c r="T720" s="26" t="n">
        <v>0.6899999999999999</v>
      </c>
      <c r="U720" s="11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26" t="n">
        <v>62.11</v>
      </c>
      <c r="W720" s="26" t="n">
        <v>64.06999999999999</v>
      </c>
      <c r="X720" s="26">
        <f>ROUND(('Methodology &amp; Assumptions'!$B$5*V720) + ('Methodology &amp; Assumptions'!$B$6*W720), 2)</f>
        <v/>
      </c>
      <c r="Y720" s="28" t="n">
        <v>10.9</v>
      </c>
      <c r="Z720" s="11" t="inlineStr">
        <is>
          <t>Priority Tier 2 (Balanced Opportunity)</t>
        </is>
      </c>
    </row>
    <row r="721">
      <c r="A721" s="23" t="n">
        <v>2</v>
      </c>
      <c r="B721" s="23" t="n">
        <v>717</v>
      </c>
      <c r="C721" s="23" t="n">
        <v>1717</v>
      </c>
      <c r="D721" s="23" t="inlineStr">
        <is>
          <t>1102501015</t>
        </is>
      </c>
      <c r="E721" s="11" t="inlineStr">
        <is>
          <t>Region XI (Davao Region)</t>
        </is>
      </c>
      <c r="F721" s="11" t="inlineStr">
        <is>
          <t>Davao Oriental</t>
        </is>
      </c>
      <c r="G721" s="11" t="inlineStr">
        <is>
          <t>Baganga</t>
        </is>
      </c>
      <c r="H721" s="11" t="inlineStr">
        <is>
          <t>San Isidro</t>
        </is>
      </c>
      <c r="I721" s="24" t="n">
        <v>7.65243</v>
      </c>
      <c r="J721" s="24" t="n">
        <v>126.46328</v>
      </c>
      <c r="K721" s="23" t="inlineStr">
        <is>
          <t>R</t>
        </is>
      </c>
      <c r="L721" s="25" t="n">
        <v>2186</v>
      </c>
      <c r="M721" s="26" t="n">
        <v>3.6</v>
      </c>
      <c r="N721" s="25">
        <f>ROUND(L721/M721, 0)</f>
        <v/>
      </c>
      <c r="O721" s="25">
        <f>ROUND(N721*'Methodology &amp; Assumptions'!$B$7, 0)</f>
        <v/>
      </c>
      <c r="P721" s="23" t="inlineStr">
        <is>
          <t>Single Carrier (Band n50, 100MHz TDD)</t>
        </is>
      </c>
      <c r="Q721" s="27">
        <f>ROUNDUP(O721/'Methodology &amp; Assumptions'!$B$8, 0)</f>
        <v/>
      </c>
      <c r="R721" s="27" t="n">
        <v>1</v>
      </c>
      <c r="S721" s="26" t="n">
        <v>48.89</v>
      </c>
      <c r="T721" s="26" t="n">
        <v>48.61</v>
      </c>
      <c r="U721" s="11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26" t="n">
        <v>54.18</v>
      </c>
      <c r="W721" s="26" t="n">
        <v>71.98999999999999</v>
      </c>
      <c r="X721" s="26">
        <f>ROUND(('Methodology &amp; Assumptions'!$B$5*V721) + ('Methodology &amp; Assumptions'!$B$6*W721), 2)</f>
        <v/>
      </c>
      <c r="Y721" s="28" t="n">
        <v>17.4</v>
      </c>
      <c r="Z721" s="11" t="inlineStr">
        <is>
          <t>Priority Tier 2 (Balanced Opportunity)</t>
        </is>
      </c>
    </row>
    <row r="722">
      <c r="A722" s="23" t="n">
        <v>2</v>
      </c>
      <c r="B722" s="23" t="n">
        <v>718</v>
      </c>
      <c r="C722" s="23" t="n">
        <v>1718</v>
      </c>
      <c r="D722" s="23" t="inlineStr">
        <is>
          <t>1600308018</t>
        </is>
      </c>
      <c r="E722" s="11" t="inlineStr">
        <is>
          <t>Region XIII (Caraga)</t>
        </is>
      </c>
      <c r="F722" s="11" t="inlineStr">
        <is>
          <t>Agusan del Sur</t>
        </is>
      </c>
      <c r="G722" s="11" t="inlineStr">
        <is>
          <t>San Francisco</t>
        </is>
      </c>
      <c r="H722" s="11" t="inlineStr">
        <is>
          <t>Barangay 4</t>
        </is>
      </c>
      <c r="I722" s="24" t="n">
        <v>8.505925</v>
      </c>
      <c r="J722" s="24" t="n">
        <v>125.9794</v>
      </c>
      <c r="K722" s="23" t="inlineStr">
        <is>
          <t>U</t>
        </is>
      </c>
      <c r="L722" s="25" t="n">
        <v>3397</v>
      </c>
      <c r="M722" s="26" t="n">
        <v>3.9</v>
      </c>
      <c r="N722" s="25">
        <f>ROUND(L722/M722, 0)</f>
        <v/>
      </c>
      <c r="O722" s="25">
        <f>ROUND(N722*'Methodology &amp; Assumptions'!$B$7, 0)</f>
        <v/>
      </c>
      <c r="P722" s="23" t="inlineStr">
        <is>
          <t>Single Carrier (Band n50, 100MHz TDD)</t>
        </is>
      </c>
      <c r="Q722" s="27">
        <f>ROUNDUP(O722/'Methodology &amp; Assumptions'!$B$8, 0)</f>
        <v/>
      </c>
      <c r="R722" s="27" t="n">
        <v>1</v>
      </c>
      <c r="S722" s="26" t="n">
        <v>0.51</v>
      </c>
      <c r="T722" s="26" t="n">
        <v>0.3</v>
      </c>
      <c r="U722" s="11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26" t="n">
        <v>79.87</v>
      </c>
      <c r="W722" s="26" t="n">
        <v>46.29</v>
      </c>
      <c r="X722" s="26">
        <f>ROUND(('Methodology &amp; Assumptions'!$B$5*V722) + ('Methodology &amp; Assumptions'!$B$6*W722), 2)</f>
        <v/>
      </c>
      <c r="Y722" s="28" t="n">
        <v>17.4</v>
      </c>
      <c r="Z722" s="11" t="inlineStr">
        <is>
          <t>Priority Tier 2 (Balanced Opportunity)</t>
        </is>
      </c>
    </row>
    <row r="723">
      <c r="A723" s="23" t="n">
        <v>2</v>
      </c>
      <c r="B723" s="23" t="n">
        <v>719</v>
      </c>
      <c r="C723" s="23" t="n">
        <v>1719</v>
      </c>
      <c r="D723" s="23" t="inlineStr">
        <is>
          <t>1908711008</t>
        </is>
      </c>
      <c r="E723" s="11" t="inlineStr">
        <is>
          <t>Bangsamoro Autonomous Region In Muslim Mindanao (BARMM)</t>
        </is>
      </c>
      <c r="F723" s="11" t="inlineStr">
        <is>
          <t>Maguindanao del Norte</t>
        </is>
      </c>
      <c r="G723" s="11" t="inlineStr">
        <is>
          <t>Sultan Mastura</t>
        </is>
      </c>
      <c r="H723" s="11" t="inlineStr">
        <is>
          <t>Simuay/Seashore</t>
        </is>
      </c>
      <c r="I723" s="24" t="n">
        <v>7.289196</v>
      </c>
      <c r="J723" s="24" t="n">
        <v>124.221316</v>
      </c>
      <c r="K723" s="23" t="inlineStr">
        <is>
          <t>R</t>
        </is>
      </c>
      <c r="L723" s="25" t="n">
        <v>4505</v>
      </c>
      <c r="M723" s="26" t="n">
        <v>4.3</v>
      </c>
      <c r="N723" s="25">
        <f>ROUND(L723/M723, 0)</f>
        <v/>
      </c>
      <c r="O723" s="25">
        <f>ROUND(N723*'Methodology &amp; Assumptions'!$B$7, 0)</f>
        <v/>
      </c>
      <c r="P723" s="23" t="inlineStr">
        <is>
          <t>Single Carrier (Band n50, 100MHz TDD)</t>
        </is>
      </c>
      <c r="Q723" s="27">
        <f>ROUNDUP(O723/'Methodology &amp; Assumptions'!$B$8, 0)</f>
        <v/>
      </c>
      <c r="R723" s="27" t="n">
        <v>1</v>
      </c>
      <c r="S723" s="26" t="n">
        <v>64.2</v>
      </c>
      <c r="T723" s="26" t="n">
        <v>61.31</v>
      </c>
      <c r="U723" s="11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26" t="n">
        <v>59.06</v>
      </c>
      <c r="W723" s="26" t="n">
        <v>67.09999999999999</v>
      </c>
      <c r="X723" s="26">
        <f>ROUND(('Methodology &amp; Assumptions'!$B$5*V723) + ('Methodology &amp; Assumptions'!$B$6*W723), 2)</f>
        <v/>
      </c>
      <c r="Y723" s="28" t="n">
        <v>11</v>
      </c>
      <c r="Z723" s="11" t="inlineStr">
        <is>
          <t>Priority Tier 2 (Balanced Opportunity)</t>
        </is>
      </c>
    </row>
    <row r="724">
      <c r="A724" s="23" t="n">
        <v>2</v>
      </c>
      <c r="B724" s="23" t="n">
        <v>720</v>
      </c>
      <c r="C724" s="23" t="n">
        <v>1720</v>
      </c>
      <c r="D724" s="23" t="inlineStr">
        <is>
          <t>0306918007</t>
        </is>
      </c>
      <c r="E724" s="11" t="inlineStr">
        <is>
          <t>Region III (Central Luzon)</t>
        </is>
      </c>
      <c r="F724" s="11" t="inlineStr">
        <is>
          <t>Tarlac</t>
        </is>
      </c>
      <c r="G724" s="11" t="inlineStr">
        <is>
          <t>San Jose</t>
        </is>
      </c>
      <c r="H724" s="11" t="inlineStr">
        <is>
          <t>Maamot</t>
        </is>
      </c>
      <c r="I724" s="24" t="n">
        <v>15.436397</v>
      </c>
      <c r="J724" s="24" t="n">
        <v>120.354694</v>
      </c>
      <c r="K724" s="23" t="inlineStr">
        <is>
          <t>R</t>
        </is>
      </c>
      <c r="L724" s="25" t="n">
        <v>2740</v>
      </c>
      <c r="M724" s="26" t="n">
        <v>3.9</v>
      </c>
      <c r="N724" s="25">
        <f>ROUND(L724/M724, 0)</f>
        <v/>
      </c>
      <c r="O724" s="25">
        <f>ROUND(N724*'Methodology &amp; Assumptions'!$B$7, 0)</f>
        <v/>
      </c>
      <c r="P724" s="23" t="inlineStr">
        <is>
          <t>Single Carrier (Band n50, 100MHz TDD)</t>
        </is>
      </c>
      <c r="Q724" s="27">
        <f>ROUNDUP(O724/'Methodology &amp; Assumptions'!$B$8, 0)</f>
        <v/>
      </c>
      <c r="R724" s="27" t="n">
        <v>1</v>
      </c>
      <c r="S724" s="26" t="n">
        <v>21.8</v>
      </c>
      <c r="T724" s="26" t="n">
        <v>20.84</v>
      </c>
      <c r="U724" s="11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26" t="n">
        <v>56.63</v>
      </c>
      <c r="W724" s="26" t="n">
        <v>69.53</v>
      </c>
      <c r="X724" s="26">
        <f>ROUND(('Methodology &amp; Assumptions'!$B$5*V724) + ('Methodology &amp; Assumptions'!$B$6*W724), 2)</f>
        <v/>
      </c>
      <c r="Y724" s="28" t="n">
        <v>8.300000000000001</v>
      </c>
      <c r="Z724" s="11" t="inlineStr">
        <is>
          <t>Priority Tier 2 (Balanced Opportunity)</t>
        </is>
      </c>
    </row>
    <row r="725">
      <c r="A725" s="23" t="n">
        <v>2</v>
      </c>
      <c r="B725" s="23" t="n">
        <v>721</v>
      </c>
      <c r="C725" s="23" t="n">
        <v>1721</v>
      </c>
      <c r="D725" s="23" t="inlineStr">
        <is>
          <t>0401005059</t>
        </is>
      </c>
      <c r="E725" s="11" t="inlineStr">
        <is>
          <t>Region IV-A (CALABARZON)</t>
        </is>
      </c>
      <c r="F725" s="11" t="inlineStr">
        <is>
          <t>Batangas</t>
        </is>
      </c>
      <c r="G725" s="11" t="inlineStr">
        <is>
          <t>Batangas City</t>
        </is>
      </c>
      <c r="H725" s="11" t="inlineStr">
        <is>
          <t>Barangay 13</t>
        </is>
      </c>
      <c r="I725" s="24" t="n">
        <v>13.759917</v>
      </c>
      <c r="J725" s="24" t="n">
        <v>121.056263</v>
      </c>
      <c r="K725" s="23" t="inlineStr">
        <is>
          <t>U</t>
        </is>
      </c>
      <c r="L725" s="25" t="n">
        <v>358</v>
      </c>
      <c r="M725" s="26" t="n">
        <v>3.6</v>
      </c>
      <c r="N725" s="25">
        <f>ROUND(L725/M725, 0)</f>
        <v/>
      </c>
      <c r="O725" s="25">
        <f>ROUND(N725*'Methodology &amp; Assumptions'!$B$7, 0)</f>
        <v/>
      </c>
      <c r="P725" s="23" t="inlineStr">
        <is>
          <t>Single Carrier (Band n50, 100MHz TDD)</t>
        </is>
      </c>
      <c r="Q725" s="27">
        <f>ROUNDUP(O725/'Methodology &amp; Assumptions'!$B$8, 0)</f>
        <v/>
      </c>
      <c r="R725" s="27" t="n">
        <v>1</v>
      </c>
      <c r="S725" s="26" t="n">
        <v>0.28</v>
      </c>
      <c r="T725" s="26" t="n">
        <v>0.27</v>
      </c>
      <c r="U725" s="11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26" t="n">
        <v>54.92</v>
      </c>
      <c r="W725" s="26" t="n">
        <v>71.23999999999999</v>
      </c>
      <c r="X725" s="26">
        <f>ROUND(('Methodology &amp; Assumptions'!$B$5*V725) + ('Methodology &amp; Assumptions'!$B$6*W725), 2)</f>
        <v/>
      </c>
      <c r="Y725" s="28" t="n">
        <v>7.2</v>
      </c>
      <c r="Z725" s="11" t="inlineStr">
        <is>
          <t>Priority Tier 2 (Balanced Opportunity)</t>
        </is>
      </c>
    </row>
    <row r="726">
      <c r="A726" s="23" t="n">
        <v>2</v>
      </c>
      <c r="B726" s="23" t="n">
        <v>722</v>
      </c>
      <c r="C726" s="23" t="n">
        <v>1722</v>
      </c>
      <c r="D726" s="23" t="inlineStr">
        <is>
          <t>0401005067</t>
        </is>
      </c>
      <c r="E726" s="11" t="inlineStr">
        <is>
          <t>Region IV-A (CALABARZON)</t>
        </is>
      </c>
      <c r="F726" s="11" t="inlineStr">
        <is>
          <t>Batangas</t>
        </is>
      </c>
      <c r="G726" s="11" t="inlineStr">
        <is>
          <t>Batangas City</t>
        </is>
      </c>
      <c r="H726" s="11" t="inlineStr">
        <is>
          <t>Barangay 20</t>
        </is>
      </c>
      <c r="I726" s="24" t="n">
        <v>13.754302</v>
      </c>
      <c r="J726" s="24" t="n">
        <v>121.053934</v>
      </c>
      <c r="K726" s="23" t="inlineStr">
        <is>
          <t>U</t>
        </is>
      </c>
      <c r="L726" s="25" t="n">
        <v>394</v>
      </c>
      <c r="M726" s="26" t="n">
        <v>3.6</v>
      </c>
      <c r="N726" s="25">
        <f>ROUND(L726/M726, 0)</f>
        <v/>
      </c>
      <c r="O726" s="25">
        <f>ROUND(N726*'Methodology &amp; Assumptions'!$B$7, 0)</f>
        <v/>
      </c>
      <c r="P726" s="23" t="inlineStr">
        <is>
          <t>Single Carrier (Band n50, 100MHz TDD)</t>
        </is>
      </c>
      <c r="Q726" s="27">
        <f>ROUNDUP(O726/'Methodology &amp; Assumptions'!$B$8, 0)</f>
        <v/>
      </c>
      <c r="R726" s="27" t="n">
        <v>1</v>
      </c>
      <c r="S726" s="26" t="n">
        <v>0.95</v>
      </c>
      <c r="T726" s="26" t="n">
        <v>0.52</v>
      </c>
      <c r="U726" s="11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26" t="n">
        <v>54.84</v>
      </c>
      <c r="W726" s="26" t="n">
        <v>71.3</v>
      </c>
      <c r="X726" s="26">
        <f>ROUND(('Methodology &amp; Assumptions'!$B$5*V726) + ('Methodology &amp; Assumptions'!$B$6*W726), 2)</f>
        <v/>
      </c>
      <c r="Y726" s="28" t="n">
        <v>7.2</v>
      </c>
      <c r="Z726" s="11" t="inlineStr">
        <is>
          <t>Priority Tier 2 (Balanced Opportunity)</t>
        </is>
      </c>
    </row>
    <row r="727">
      <c r="A727" s="23" t="n">
        <v>2</v>
      </c>
      <c r="B727" s="23" t="n">
        <v>723</v>
      </c>
      <c r="C727" s="23" t="n">
        <v>1723</v>
      </c>
      <c r="D727" s="23" t="inlineStr">
        <is>
          <t>0601909024</t>
        </is>
      </c>
      <c r="E727" s="11" t="inlineStr">
        <is>
          <t>Region VI (Western Visayas)</t>
        </is>
      </c>
      <c r="F727" s="11" t="inlineStr">
        <is>
          <t>Capiz</t>
        </is>
      </c>
      <c r="G727" s="11" t="inlineStr">
        <is>
          <t>Panay</t>
        </is>
      </c>
      <c r="H727" s="11" t="inlineStr">
        <is>
          <t>Jamul-awon</t>
        </is>
      </c>
      <c r="I727" s="24" t="n">
        <v>11.533673</v>
      </c>
      <c r="J727" s="24" t="n">
        <v>122.863328</v>
      </c>
      <c r="K727" s="23" t="inlineStr">
        <is>
          <t>R</t>
        </is>
      </c>
      <c r="L727" s="25" t="n">
        <v>831</v>
      </c>
      <c r="M727" s="26" t="n">
        <v>3.8</v>
      </c>
      <c r="N727" s="25">
        <f>ROUND(L727/M727, 0)</f>
        <v/>
      </c>
      <c r="O727" s="25">
        <f>ROUND(N727*'Methodology &amp; Assumptions'!$B$7, 0)</f>
        <v/>
      </c>
      <c r="P727" s="23" t="inlineStr">
        <is>
          <t>Single Carrier (Band n50, 100MHz TDD)</t>
        </is>
      </c>
      <c r="Q727" s="27">
        <f>ROUNDUP(O727/'Methodology &amp; Assumptions'!$B$8, 0)</f>
        <v/>
      </c>
      <c r="R727" s="27" t="n">
        <v>1</v>
      </c>
      <c r="S727" s="26" t="n">
        <v>6.98</v>
      </c>
      <c r="T727" s="26" t="n">
        <v>5.98</v>
      </c>
      <c r="U727" s="11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26" t="n">
        <v>50.33</v>
      </c>
      <c r="W727" s="26" t="n">
        <v>75.81</v>
      </c>
      <c r="X727" s="26">
        <f>ROUND(('Methodology &amp; Assumptions'!$B$5*V727) + ('Methodology &amp; Assumptions'!$B$6*W727), 2)</f>
        <v/>
      </c>
      <c r="Y727" s="28" t="n">
        <v>23.7</v>
      </c>
      <c r="Z727" s="11" t="inlineStr">
        <is>
          <t>Priority Tier 2 (Balanced Opportunity)</t>
        </is>
      </c>
    </row>
    <row r="728">
      <c r="A728" s="23" t="n">
        <v>2</v>
      </c>
      <c r="B728" s="23" t="n">
        <v>724</v>
      </c>
      <c r="C728" s="23" t="n">
        <v>1724</v>
      </c>
      <c r="D728" s="23" t="inlineStr">
        <is>
          <t>0500504011</t>
        </is>
      </c>
      <c r="E728" s="11" t="inlineStr">
        <is>
          <t>Region V (Bicol Region)</t>
        </is>
      </c>
      <c r="F728" s="11" t="inlineStr">
        <is>
          <t>Albay</t>
        </is>
      </c>
      <c r="G728" s="11" t="inlineStr">
        <is>
          <t>Guinobatan</t>
        </is>
      </c>
      <c r="H728" s="11" t="inlineStr">
        <is>
          <t>Doña Mercedes</t>
        </is>
      </c>
      <c r="I728" s="24" t="n">
        <v>13.142162</v>
      </c>
      <c r="J728" s="24" t="n">
        <v>123.5812</v>
      </c>
      <c r="K728" s="23" t="inlineStr">
        <is>
          <t>R</t>
        </is>
      </c>
      <c r="L728" s="25" t="n">
        <v>1476</v>
      </c>
      <c r="M728" s="26" t="n">
        <v>4.1</v>
      </c>
      <c r="N728" s="25">
        <f>ROUND(L728/M728, 0)</f>
        <v/>
      </c>
      <c r="O728" s="25">
        <f>ROUND(N728*'Methodology &amp; Assumptions'!$B$7, 0)</f>
        <v/>
      </c>
      <c r="P728" s="23" t="inlineStr">
        <is>
          <t>Single Carrier (Band n50, 100MHz TDD)</t>
        </is>
      </c>
      <c r="Q728" s="27">
        <f>ROUNDUP(O728/'Methodology &amp; Assumptions'!$B$8, 0)</f>
        <v/>
      </c>
      <c r="R728" s="27" t="n">
        <v>1</v>
      </c>
      <c r="S728" s="26" t="n">
        <v>2.42</v>
      </c>
      <c r="T728" s="26" t="n">
        <v>5.82</v>
      </c>
      <c r="U728" s="11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26" t="n">
        <v>63.26</v>
      </c>
      <c r="W728" s="26" t="n">
        <v>62.85</v>
      </c>
      <c r="X728" s="26">
        <f>ROUND(('Methodology &amp; Assumptions'!$B$5*V728) + ('Methodology &amp; Assumptions'!$B$6*W728), 2)</f>
        <v/>
      </c>
      <c r="Y728" s="28" t="n">
        <v>23.7</v>
      </c>
      <c r="Z728" s="11" t="inlineStr">
        <is>
          <t>Priority Tier 2 (Balanced Opportunity)</t>
        </is>
      </c>
    </row>
    <row r="729">
      <c r="A729" s="23" t="n">
        <v>2</v>
      </c>
      <c r="B729" s="23" t="n">
        <v>725</v>
      </c>
      <c r="C729" s="23" t="n">
        <v>1725</v>
      </c>
      <c r="D729" s="23" t="inlineStr">
        <is>
          <t>1380601158</t>
        </is>
      </c>
      <c r="E729" s="11" t="inlineStr">
        <is>
          <t>National Capital Region (NCR)</t>
        </is>
      </c>
      <c r="F729" s="11" t="inlineStr">
        <is>
          <t>First District (Not a Province)</t>
        </is>
      </c>
      <c r="G729" s="11" t="inlineStr">
        <is>
          <t>City of Manila</t>
        </is>
      </c>
      <c r="H729" s="11" t="inlineStr">
        <is>
          <t>Barangay 158</t>
        </is>
      </c>
      <c r="I729" s="24" t="n">
        <v>14.620834</v>
      </c>
      <c r="J729" s="24" t="n">
        <v>120.972395</v>
      </c>
      <c r="K729" s="23" t="inlineStr">
        <is>
          <t>U</t>
        </is>
      </c>
      <c r="L729" s="25" t="n">
        <v>2037</v>
      </c>
      <c r="M729" s="26" t="n">
        <v>4.41</v>
      </c>
      <c r="N729" s="25">
        <f>ROUND(L729/M729, 0)</f>
        <v/>
      </c>
      <c r="O729" s="25">
        <f>ROUND(N729*'Methodology &amp; Assumptions'!$B$7, 0)</f>
        <v/>
      </c>
      <c r="P729" s="23" t="inlineStr">
        <is>
          <t>Single Carrier (Band n50, 100MHz TDD)</t>
        </is>
      </c>
      <c r="Q729" s="27">
        <f>ROUNDUP(O729/'Methodology &amp; Assumptions'!$B$8, 0)</f>
        <v/>
      </c>
      <c r="R729" s="27" t="n">
        <v>1</v>
      </c>
      <c r="S729" s="26" t="n">
        <v>0.68</v>
      </c>
      <c r="T729" s="26" t="n">
        <v>0.13</v>
      </c>
      <c r="U729" s="11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26" t="n">
        <v>55.98</v>
      </c>
      <c r="W729" s="26" t="n">
        <v>70.13</v>
      </c>
      <c r="X729" s="26">
        <f>ROUND(('Methodology &amp; Assumptions'!$B$5*V729) + ('Methodology &amp; Assumptions'!$B$6*W729), 2)</f>
        <v/>
      </c>
      <c r="Y729" s="28" t="n">
        <v>10.9</v>
      </c>
      <c r="Z729" s="11" t="inlineStr">
        <is>
          <t>Priority Tier 2 (Balanced Opportunity)</t>
        </is>
      </c>
    </row>
    <row r="730">
      <c r="A730" s="23" t="n">
        <v>2</v>
      </c>
      <c r="B730" s="23" t="n">
        <v>726</v>
      </c>
      <c r="C730" s="23" t="n">
        <v>1726</v>
      </c>
      <c r="D730" s="23" t="inlineStr">
        <is>
          <t>1380604016</t>
        </is>
      </c>
      <c r="E730" s="11" t="inlineStr">
        <is>
          <t>National Capital Region (NCR)</t>
        </is>
      </c>
      <c r="F730" s="11" t="inlineStr">
        <is>
          <t>First District (Not a Province)</t>
        </is>
      </c>
      <c r="G730" s="11" t="inlineStr">
        <is>
          <t>City of Manila</t>
        </is>
      </c>
      <c r="H730" s="11" t="inlineStr">
        <is>
          <t>Barangay 283</t>
        </is>
      </c>
      <c r="I730" s="24" t="n">
        <v>14.597282</v>
      </c>
      <c r="J730" s="24" t="n">
        <v>120.968631</v>
      </c>
      <c r="K730" s="23" t="inlineStr">
        <is>
          <t>U</t>
        </is>
      </c>
      <c r="L730" s="25" t="n">
        <v>1364</v>
      </c>
      <c r="M730" s="26" t="n">
        <v>3.7</v>
      </c>
      <c r="N730" s="25">
        <f>ROUND(L730/M730, 0)</f>
        <v/>
      </c>
      <c r="O730" s="25">
        <f>ROUND(N730*'Methodology &amp; Assumptions'!$B$7, 0)</f>
        <v/>
      </c>
      <c r="P730" s="23" t="inlineStr">
        <is>
          <t>Single Carrier (Band n50, 100MHz TDD)</t>
        </is>
      </c>
      <c r="Q730" s="27">
        <f>ROUNDUP(O730/'Methodology &amp; Assumptions'!$B$8, 0)</f>
        <v/>
      </c>
      <c r="R730" s="27" t="n">
        <v>1</v>
      </c>
      <c r="S730" s="26" t="n">
        <v>0.87</v>
      </c>
      <c r="T730" s="26" t="n">
        <v>1.06</v>
      </c>
      <c r="U730" s="11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26" t="n">
        <v>52.88</v>
      </c>
      <c r="W730" s="26" t="n">
        <v>73.23999999999999</v>
      </c>
      <c r="X730" s="26">
        <f>ROUND(('Methodology &amp; Assumptions'!$B$5*V730) + ('Methodology &amp; Assumptions'!$B$6*W730), 2)</f>
        <v/>
      </c>
      <c r="Y730" s="28" t="n">
        <v>10.9</v>
      </c>
      <c r="Z730" s="11" t="inlineStr">
        <is>
          <t>Priority Tier 2 (Balanced Opportunity)</t>
        </is>
      </c>
    </row>
    <row r="731">
      <c r="A731" s="23" t="n">
        <v>2</v>
      </c>
      <c r="B731" s="23" t="n">
        <v>727</v>
      </c>
      <c r="C731" s="23" t="n">
        <v>1727</v>
      </c>
      <c r="D731" s="23" t="inlineStr">
        <is>
          <t>0402111010</t>
        </is>
      </c>
      <c r="E731" s="11" t="inlineStr">
        <is>
          <t>Region IV-A (CALABARZON)</t>
        </is>
      </c>
      <c r="F731" s="11" t="inlineStr">
        <is>
          <t>Cavite</t>
        </is>
      </c>
      <c r="G731" s="11" t="inlineStr">
        <is>
          <t>Kawit</t>
        </is>
      </c>
      <c r="H731" s="11" t="inlineStr">
        <is>
          <t>Tabon I</t>
        </is>
      </c>
      <c r="I731" s="24" t="n">
        <v>14.438317</v>
      </c>
      <c r="J731" s="24" t="n">
        <v>120.904076</v>
      </c>
      <c r="K731" s="23" t="inlineStr">
        <is>
          <t>U</t>
        </is>
      </c>
      <c r="L731" s="25" t="n">
        <v>5537</v>
      </c>
      <c r="M731" s="26" t="n">
        <v>3.4</v>
      </c>
      <c r="N731" s="25">
        <f>ROUND(L731/M731, 0)</f>
        <v/>
      </c>
      <c r="O731" s="25">
        <f>ROUND(N731*'Methodology &amp; Assumptions'!$B$7, 0)</f>
        <v/>
      </c>
      <c r="P731" s="23" t="inlineStr">
        <is>
          <t>Single Carrier (Band n50, 100MHz TDD)</t>
        </is>
      </c>
      <c r="Q731" s="27">
        <f>ROUNDUP(O731/'Methodology &amp; Assumptions'!$B$8, 0)</f>
        <v/>
      </c>
      <c r="R731" s="27" t="n">
        <v>1</v>
      </c>
      <c r="S731" s="26" t="n">
        <v>2.47</v>
      </c>
      <c r="T731" s="26" t="n">
        <v>0.43</v>
      </c>
      <c r="U731" s="11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26" t="n">
        <v>72.45999999999999</v>
      </c>
      <c r="W731" s="26" t="n">
        <v>53.64</v>
      </c>
      <c r="X731" s="26">
        <f>ROUND(('Methodology &amp; Assumptions'!$B$5*V731) + ('Methodology &amp; Assumptions'!$B$6*W731), 2)</f>
        <v/>
      </c>
      <c r="Y731" s="28" t="n">
        <v>7.2</v>
      </c>
      <c r="Z731" s="11" t="inlineStr">
        <is>
          <t>Priority Tier 2 (Balanced Opportunity)</t>
        </is>
      </c>
    </row>
    <row r="732">
      <c r="A732" s="23" t="n">
        <v>2</v>
      </c>
      <c r="B732" s="23" t="n">
        <v>728</v>
      </c>
      <c r="C732" s="23" t="n">
        <v>1728</v>
      </c>
      <c r="D732" s="23" t="inlineStr">
        <is>
          <t>1381300065</t>
        </is>
      </c>
      <c r="E732" s="11" t="inlineStr">
        <is>
          <t>National Capital Region (NCR)</t>
        </is>
      </c>
      <c r="F732" s="11" t="inlineStr">
        <is>
          <t>Second District (Not a Province)</t>
        </is>
      </c>
      <c r="G732" s="11" t="inlineStr">
        <is>
          <t>Quezon City</t>
        </is>
      </c>
      <c r="H732" s="11" t="inlineStr">
        <is>
          <t>Santo Domingo</t>
        </is>
      </c>
      <c r="I732" s="24" t="n">
        <v>14.633257</v>
      </c>
      <c r="J732" s="24" t="n">
        <v>121.005895</v>
      </c>
      <c r="K732" s="23" t="inlineStr">
        <is>
          <t>U</t>
        </is>
      </c>
      <c r="L732" s="25" t="n">
        <v>11702</v>
      </c>
      <c r="M732" s="26" t="n">
        <v>3.63</v>
      </c>
      <c r="N732" s="25">
        <f>ROUND(L732/M732, 0)</f>
        <v/>
      </c>
      <c r="O732" s="25">
        <f>ROUND(N732*'Methodology &amp; Assumptions'!$B$7, 0)</f>
        <v/>
      </c>
      <c r="P732" s="23" t="inlineStr">
        <is>
          <t>Single Carrier (Band n50, 100MHz TDD)</t>
        </is>
      </c>
      <c r="Q732" s="27">
        <f>ROUNDUP(O732/'Methodology &amp; Assumptions'!$B$8, 0)</f>
        <v/>
      </c>
      <c r="R732" s="27" t="n">
        <v>1</v>
      </c>
      <c r="S732" s="26" t="n">
        <v>0.74</v>
      </c>
      <c r="T732" s="26" t="n">
        <v>0.52</v>
      </c>
      <c r="U732" s="11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26" t="n">
        <v>69.09</v>
      </c>
      <c r="W732" s="26" t="n">
        <v>57</v>
      </c>
      <c r="X732" s="26">
        <f>ROUND(('Methodology &amp; Assumptions'!$B$5*V732) + ('Methodology &amp; Assumptions'!$B$6*W732), 2)</f>
        <v/>
      </c>
      <c r="Y732" s="28" t="n">
        <v>10.9</v>
      </c>
      <c r="Z732" s="11" t="inlineStr">
        <is>
          <t>Priority Tier 2 (Balanced Opportunity)</t>
        </is>
      </c>
    </row>
    <row r="733">
      <c r="A733" s="23" t="n">
        <v>2</v>
      </c>
      <c r="B733" s="23" t="n">
        <v>729</v>
      </c>
      <c r="C733" s="23" t="n">
        <v>1729</v>
      </c>
      <c r="D733" s="23" t="inlineStr">
        <is>
          <t>1380605048</t>
        </is>
      </c>
      <c r="E733" s="11" t="inlineStr">
        <is>
          <t>National Capital Region (NCR)</t>
        </is>
      </c>
      <c r="F733" s="11" t="inlineStr">
        <is>
          <t>First District (Not a Province)</t>
        </is>
      </c>
      <c r="G733" s="11" t="inlineStr">
        <is>
          <t>City of Manila</t>
        </is>
      </c>
      <c r="H733" s="11" t="inlineStr">
        <is>
          <t>Barangay 346</t>
        </is>
      </c>
      <c r="I733" s="24" t="n">
        <v>14.618676</v>
      </c>
      <c r="J733" s="24" t="n">
        <v>120.98376</v>
      </c>
      <c r="K733" s="23" t="inlineStr">
        <is>
          <t>U</t>
        </is>
      </c>
      <c r="L733" s="25" t="n">
        <v>1501</v>
      </c>
      <c r="M733" s="26" t="n">
        <v>3.32</v>
      </c>
      <c r="N733" s="25">
        <f>ROUND(L733/M733, 0)</f>
        <v/>
      </c>
      <c r="O733" s="25">
        <f>ROUND(N733*'Methodology &amp; Assumptions'!$B$7, 0)</f>
        <v/>
      </c>
      <c r="P733" s="23" t="inlineStr">
        <is>
          <t>Single Carrier (Band n50, 100MHz TDD)</t>
        </is>
      </c>
      <c r="Q733" s="27">
        <f>ROUNDUP(O733/'Methodology &amp; Assumptions'!$B$8, 0)</f>
        <v/>
      </c>
      <c r="R733" s="27" t="n">
        <v>1</v>
      </c>
      <c r="S733" s="26" t="n">
        <v>0.26</v>
      </c>
      <c r="T733" s="26" t="n">
        <v>0.1</v>
      </c>
      <c r="U733" s="11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26" t="n">
        <v>55.66</v>
      </c>
      <c r="W733" s="26" t="n">
        <v>70.45</v>
      </c>
      <c r="X733" s="26">
        <f>ROUND(('Methodology &amp; Assumptions'!$B$5*V733) + ('Methodology &amp; Assumptions'!$B$6*W733), 2)</f>
        <v/>
      </c>
      <c r="Y733" s="28" t="n">
        <v>10.9</v>
      </c>
      <c r="Z733" s="11" t="inlineStr">
        <is>
          <t>Priority Tier 2 (Balanced Opportunity)</t>
        </is>
      </c>
    </row>
    <row r="734">
      <c r="A734" s="23" t="n">
        <v>2</v>
      </c>
      <c r="B734" s="23" t="n">
        <v>730</v>
      </c>
      <c r="C734" s="23" t="n">
        <v>1730</v>
      </c>
      <c r="D734" s="23" t="inlineStr">
        <is>
          <t>1380601015</t>
        </is>
      </c>
      <c r="E734" s="11" t="inlineStr">
        <is>
          <t>National Capital Region (NCR)</t>
        </is>
      </c>
      <c r="F734" s="11" t="inlineStr">
        <is>
          <t>First District (Not a Province)</t>
        </is>
      </c>
      <c r="G734" s="11" t="inlineStr">
        <is>
          <t>City of Manila</t>
        </is>
      </c>
      <c r="H734" s="11" t="inlineStr">
        <is>
          <t>Barangay 15</t>
        </is>
      </c>
      <c r="I734" s="24" t="n">
        <v>14.602892</v>
      </c>
      <c r="J734" s="24" t="n">
        <v>120.965151</v>
      </c>
      <c r="K734" s="23" t="inlineStr">
        <is>
          <t>U</t>
        </is>
      </c>
      <c r="L734" s="25" t="n">
        <v>1104</v>
      </c>
      <c r="M734" s="26" t="n">
        <v>3.29</v>
      </c>
      <c r="N734" s="25">
        <f>ROUND(L734/M734, 0)</f>
        <v/>
      </c>
      <c r="O734" s="25">
        <f>ROUND(N734*'Methodology &amp; Assumptions'!$B$7, 0)</f>
        <v/>
      </c>
      <c r="P734" s="23" t="inlineStr">
        <is>
          <t>Single Carrier (Band n50, 100MHz TDD)</t>
        </is>
      </c>
      <c r="Q734" s="27">
        <f>ROUNDUP(O734/'Methodology &amp; Assumptions'!$B$8, 0)</f>
        <v/>
      </c>
      <c r="R734" s="27" t="n">
        <v>1</v>
      </c>
      <c r="S734" s="26" t="n">
        <v>0.65</v>
      </c>
      <c r="T734" s="26" t="n">
        <v>0.65</v>
      </c>
      <c r="U734" s="11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26" t="n">
        <v>51.91</v>
      </c>
      <c r="W734" s="26" t="n">
        <v>74.18000000000001</v>
      </c>
      <c r="X734" s="26">
        <f>ROUND(('Methodology &amp; Assumptions'!$B$5*V734) + ('Methodology &amp; Assumptions'!$B$6*W734), 2)</f>
        <v/>
      </c>
      <c r="Y734" s="28" t="n">
        <v>10.9</v>
      </c>
      <c r="Z734" s="11" t="inlineStr">
        <is>
          <t>Priority Tier 2 (Balanced Opportunity)</t>
        </is>
      </c>
    </row>
    <row r="735">
      <c r="A735" s="23" t="n">
        <v>2</v>
      </c>
      <c r="B735" s="23" t="n">
        <v>731</v>
      </c>
      <c r="C735" s="23" t="n">
        <v>1731</v>
      </c>
      <c r="D735" s="23" t="inlineStr">
        <is>
          <t>1381300045</t>
        </is>
      </c>
      <c r="E735" s="11" t="inlineStr">
        <is>
          <t>National Capital Region (NCR)</t>
        </is>
      </c>
      <c r="F735" s="11" t="inlineStr">
        <is>
          <t>Second District (Not a Province)</t>
        </is>
      </c>
      <c r="G735" s="11" t="inlineStr">
        <is>
          <t>Quezon City</t>
        </is>
      </c>
      <c r="H735" s="11" t="inlineStr">
        <is>
          <t>Immaculate Concepcion</t>
        </is>
      </c>
      <c r="I735" s="24" t="n">
        <v>14.6228</v>
      </c>
      <c r="J735" s="24" t="n">
        <v>121.0435</v>
      </c>
      <c r="K735" s="23" t="inlineStr">
        <is>
          <t>U</t>
        </is>
      </c>
      <c r="L735" s="25" t="n">
        <v>8633</v>
      </c>
      <c r="M735" s="26" t="n">
        <v>3.66</v>
      </c>
      <c r="N735" s="25">
        <f>ROUND(L735/M735, 0)</f>
        <v/>
      </c>
      <c r="O735" s="25">
        <f>ROUND(N735*'Methodology &amp; Assumptions'!$B$7, 0)</f>
        <v/>
      </c>
      <c r="P735" s="23" t="inlineStr">
        <is>
          <t>Single Carrier (Band n50, 100MHz TDD)</t>
        </is>
      </c>
      <c r="Q735" s="27">
        <f>ROUNDUP(O735/'Methodology &amp; Assumptions'!$B$8, 0)</f>
        <v/>
      </c>
      <c r="R735" s="27" t="n">
        <v>1</v>
      </c>
      <c r="S735" s="26" t="n">
        <v>1.56</v>
      </c>
      <c r="T735" s="26" t="n">
        <v>0.41</v>
      </c>
      <c r="U735" s="11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26" t="n">
        <v>66.39</v>
      </c>
      <c r="W735" s="26" t="n">
        <v>59.7</v>
      </c>
      <c r="X735" s="26">
        <f>ROUND(('Methodology &amp; Assumptions'!$B$5*V735) + ('Methodology &amp; Assumptions'!$B$6*W735), 2)</f>
        <v/>
      </c>
      <c r="Y735" s="28" t="n">
        <v>10.9</v>
      </c>
      <c r="Z735" s="11" t="inlineStr">
        <is>
          <t>Priority Tier 2 (Balanced Opportunity)</t>
        </is>
      </c>
    </row>
    <row r="736">
      <c r="A736" s="23" t="n">
        <v>2</v>
      </c>
      <c r="B736" s="23" t="n">
        <v>732</v>
      </c>
      <c r="C736" s="23" t="n">
        <v>1732</v>
      </c>
      <c r="D736" s="23" t="inlineStr">
        <is>
          <t>0803748041</t>
        </is>
      </c>
      <c r="E736" s="11" t="inlineStr">
        <is>
          <t>Region VIII (Eastern Visayas)</t>
        </is>
      </c>
      <c r="F736" s="11" t="inlineStr">
        <is>
          <t>Leyte</t>
        </is>
      </c>
      <c r="G736" s="11" t="inlineStr">
        <is>
          <t>Tanauan</t>
        </is>
      </c>
      <c r="H736" s="11" t="inlineStr">
        <is>
          <t>Canramos</t>
        </is>
      </c>
      <c r="I736" s="24" t="n">
        <v>11.108903</v>
      </c>
      <c r="J736" s="24" t="n">
        <v>125.01426</v>
      </c>
      <c r="K736" s="23" t="inlineStr">
        <is>
          <t>R</t>
        </is>
      </c>
      <c r="L736" s="25" t="n">
        <v>3407</v>
      </c>
      <c r="M736" s="26" t="n">
        <v>3.8</v>
      </c>
      <c r="N736" s="25">
        <f>ROUND(L736/M736, 0)</f>
        <v/>
      </c>
      <c r="O736" s="25">
        <f>ROUND(N736*'Methodology &amp; Assumptions'!$B$7, 0)</f>
        <v/>
      </c>
      <c r="P736" s="23" t="inlineStr">
        <is>
          <t>Single Carrier (Band n50, 100MHz TDD)</t>
        </is>
      </c>
      <c r="Q736" s="27">
        <f>ROUNDUP(O736/'Methodology &amp; Assumptions'!$B$8, 0)</f>
        <v/>
      </c>
      <c r="R736" s="27" t="n">
        <v>1</v>
      </c>
      <c r="S736" s="26" t="n">
        <v>0.73</v>
      </c>
      <c r="T736" s="26" t="n">
        <v>0.71</v>
      </c>
      <c r="U736" s="11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26" t="n">
        <v>88.06</v>
      </c>
      <c r="W736" s="26" t="n">
        <v>38.01</v>
      </c>
      <c r="X736" s="26">
        <f>ROUND(('Methodology &amp; Assumptions'!$B$5*V736) + ('Methodology &amp; Assumptions'!$B$6*W736), 2)</f>
        <v/>
      </c>
      <c r="Y736" s="28" t="n">
        <v>23.7</v>
      </c>
      <c r="Z736" s="11" t="inlineStr">
        <is>
          <t>Priority Tier 2 (Balanced Opportunity)</t>
        </is>
      </c>
    </row>
    <row r="737">
      <c r="A737" s="23" t="n">
        <v>2</v>
      </c>
      <c r="B737" s="23" t="n">
        <v>733</v>
      </c>
      <c r="C737" s="23" t="n">
        <v>1733</v>
      </c>
      <c r="D737" s="23" t="inlineStr">
        <is>
          <t>1381300104</t>
        </is>
      </c>
      <c r="E737" s="11" t="inlineStr">
        <is>
          <t>National Capital Region (NCR)</t>
        </is>
      </c>
      <c r="F737" s="11" t="inlineStr">
        <is>
          <t>Second District (Not a Province)</t>
        </is>
      </c>
      <c r="G737" s="11" t="inlineStr">
        <is>
          <t>Quezon City</t>
        </is>
      </c>
      <c r="H737" s="11" t="inlineStr">
        <is>
          <t>Santa Cruz</t>
        </is>
      </c>
      <c r="I737" s="24" t="n">
        <v>14.63478</v>
      </c>
      <c r="J737" s="24" t="n">
        <v>121.0179</v>
      </c>
      <c r="K737" s="23" t="inlineStr">
        <is>
          <t>U</t>
        </is>
      </c>
      <c r="L737" s="25" t="n">
        <v>4061</v>
      </c>
      <c r="M737" s="26" t="n">
        <v>3.23</v>
      </c>
      <c r="N737" s="25">
        <f>ROUND(L737/M737, 0)</f>
        <v/>
      </c>
      <c r="O737" s="25">
        <f>ROUND(N737*'Methodology &amp; Assumptions'!$B$7, 0)</f>
        <v/>
      </c>
      <c r="P737" s="23" t="inlineStr">
        <is>
          <t>Single Carrier (Band n50, 100MHz TDD)</t>
        </is>
      </c>
      <c r="Q737" s="27">
        <f>ROUNDUP(O737/'Methodology &amp; Assumptions'!$B$8, 0)</f>
        <v/>
      </c>
      <c r="R737" s="27" t="n">
        <v>1</v>
      </c>
      <c r="S737" s="26" t="n">
        <v>1.26</v>
      </c>
      <c r="T737" s="26" t="n">
        <v>0.64</v>
      </c>
      <c r="U737" s="11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26" t="n">
        <v>67.48999999999999</v>
      </c>
      <c r="W737" s="26" t="n">
        <v>58.57</v>
      </c>
      <c r="X737" s="26">
        <f>ROUND(('Methodology &amp; Assumptions'!$B$5*V737) + ('Methodology &amp; Assumptions'!$B$6*W737), 2)</f>
        <v/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2</v>
      </c>
      <c r="B738" s="23" t="n">
        <v>734</v>
      </c>
      <c r="C738" s="23" t="n">
        <v>1734</v>
      </c>
      <c r="D738" s="23" t="inlineStr">
        <is>
          <t>0102906016</t>
        </is>
      </c>
      <c r="E738" s="11" t="inlineStr">
        <is>
          <t>Region I (Ilocos Region)</t>
        </is>
      </c>
      <c r="F738" s="11" t="inlineStr">
        <is>
          <t>Ilocos Sur</t>
        </is>
      </c>
      <c r="G738" s="11" t="inlineStr">
        <is>
          <t>City of Candon</t>
        </is>
      </c>
      <c r="H738" s="11" t="inlineStr">
        <is>
          <t>Calaoaan</t>
        </is>
      </c>
      <c r="I738" s="24" t="n">
        <v>17.165962</v>
      </c>
      <c r="J738" s="24" t="n">
        <v>120.445845</v>
      </c>
      <c r="K738" s="23" t="inlineStr">
        <is>
          <t>R</t>
        </is>
      </c>
      <c r="L738" s="25" t="n">
        <v>2658</v>
      </c>
      <c r="M738" s="26" t="n">
        <v>3.8</v>
      </c>
      <c r="N738" s="25">
        <f>ROUND(L738/M738, 0)</f>
        <v/>
      </c>
      <c r="O738" s="25">
        <f>ROUND(N738*'Methodology &amp; Assumptions'!$B$7, 0)</f>
        <v/>
      </c>
      <c r="P738" s="23" t="inlineStr">
        <is>
          <t>Single Carrier (Band n50, 100MHz TDD)</t>
        </is>
      </c>
      <c r="Q738" s="27">
        <f>ROUNDUP(O738/'Methodology &amp; Assumptions'!$B$8, 0)</f>
        <v/>
      </c>
      <c r="R738" s="27" t="n">
        <v>1</v>
      </c>
      <c r="S738" s="26" t="n">
        <v>2.88</v>
      </c>
      <c r="T738" s="26" t="n">
        <v>0.58</v>
      </c>
      <c r="U738" s="11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26" t="n">
        <v>74.7</v>
      </c>
      <c r="W738" s="26" t="n">
        <v>51.34</v>
      </c>
      <c r="X738" s="26">
        <f>ROUND(('Methodology &amp; Assumptions'!$B$5*V738) + ('Methodology &amp; Assumptions'!$B$6*W738), 2)</f>
        <v/>
      </c>
      <c r="Y738" s="28" t="n">
        <v>8.300000000000001</v>
      </c>
      <c r="Z738" s="11" t="inlineStr">
        <is>
          <t>Priority Tier 2 (Balanced Opportunity)</t>
        </is>
      </c>
    </row>
    <row r="739">
      <c r="A739" s="23" t="n">
        <v>2</v>
      </c>
      <c r="B739" s="23" t="n">
        <v>735</v>
      </c>
      <c r="C739" s="23" t="n">
        <v>1735</v>
      </c>
      <c r="D739" s="23" t="inlineStr">
        <is>
          <t>0604515025</t>
        </is>
      </c>
      <c r="E739" s="11" t="inlineStr">
        <is>
          <t>Region VI (Western Visayas)</t>
        </is>
      </c>
      <c r="F739" s="11" t="inlineStr">
        <is>
          <t>Negros Occidental</t>
        </is>
      </c>
      <c r="G739" s="11" t="inlineStr">
        <is>
          <t>City of Kabankalan</t>
        </is>
      </c>
      <c r="H739" s="11" t="inlineStr">
        <is>
          <t>Barangay 4</t>
        </is>
      </c>
      <c r="I739" s="24" t="n">
        <v>9.991212000000001</v>
      </c>
      <c r="J739" s="24" t="n">
        <v>122.818162</v>
      </c>
      <c r="K739" s="23" t="inlineStr">
        <is>
          <t>R</t>
        </is>
      </c>
      <c r="L739" s="25" t="n">
        <v>1475</v>
      </c>
      <c r="M739" s="26" t="n">
        <v>3.7</v>
      </c>
      <c r="N739" s="25">
        <f>ROUND(L739/M739, 0)</f>
        <v/>
      </c>
      <c r="O739" s="25">
        <f>ROUND(N739*'Methodology &amp; Assumptions'!$B$7, 0)</f>
        <v/>
      </c>
      <c r="P739" s="23" t="inlineStr">
        <is>
          <t>Single Carrier (Band n50, 100MHz TDD)</t>
        </is>
      </c>
      <c r="Q739" s="27">
        <f>ROUNDUP(O739/'Methodology &amp; Assumptions'!$B$8, 0)</f>
        <v/>
      </c>
      <c r="R739" s="27" t="n">
        <v>1</v>
      </c>
      <c r="S739" s="26" t="n">
        <v>0.46</v>
      </c>
      <c r="T739" s="26" t="n">
        <v>0.13</v>
      </c>
      <c r="U739" s="11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26" t="n">
        <v>73.62</v>
      </c>
      <c r="W739" s="26" t="n">
        <v>52.41</v>
      </c>
      <c r="X739" s="26">
        <f>ROUND(('Methodology &amp; Assumptions'!$B$5*V739) + ('Methodology &amp; Assumptions'!$B$6*W739), 2)</f>
        <v/>
      </c>
      <c r="Y739" s="28" t="n">
        <v>23.7</v>
      </c>
      <c r="Z739" s="11" t="inlineStr">
        <is>
          <t>Priority Tier 2 (Balanced Opportunity)</t>
        </is>
      </c>
    </row>
    <row r="740">
      <c r="A740" s="23" t="n">
        <v>2</v>
      </c>
      <c r="B740" s="23" t="n">
        <v>736</v>
      </c>
      <c r="C740" s="23" t="n">
        <v>1736</v>
      </c>
      <c r="D740" s="23" t="inlineStr">
        <is>
          <t>1102319025</t>
        </is>
      </c>
      <c r="E740" s="11" t="inlineStr">
        <is>
          <t>Region XI (Davao Region)</t>
        </is>
      </c>
      <c r="F740" s="11" t="inlineStr">
        <is>
          <t>Davao del Norte</t>
        </is>
      </c>
      <c r="G740" s="11" t="inlineStr">
        <is>
          <t>City of Tagum</t>
        </is>
      </c>
      <c r="H740" s="11" t="inlineStr">
        <is>
          <t>Magugpo South</t>
        </is>
      </c>
      <c r="I740" s="24" t="n">
        <v>7.447537</v>
      </c>
      <c r="J740" s="24" t="n">
        <v>125.794798</v>
      </c>
      <c r="K740" s="23" t="inlineStr">
        <is>
          <t>U</t>
        </is>
      </c>
      <c r="L740" s="25" t="n">
        <v>11757</v>
      </c>
      <c r="M740" s="26" t="n">
        <v>3.7</v>
      </c>
      <c r="N740" s="25">
        <f>ROUND(L740/M740, 0)</f>
        <v/>
      </c>
      <c r="O740" s="25">
        <f>ROUND(N740*'Methodology &amp; Assumptions'!$B$7, 0)</f>
        <v/>
      </c>
      <c r="P740" s="23" t="inlineStr">
        <is>
          <t>Single Carrier (Band n50, 100MHz TDD)</t>
        </is>
      </c>
      <c r="Q740" s="27">
        <f>ROUNDUP(O740/'Methodology &amp; Assumptions'!$B$8, 0)</f>
        <v/>
      </c>
      <c r="R740" s="27" t="n">
        <v>1</v>
      </c>
      <c r="S740" s="26" t="n">
        <v>2.92</v>
      </c>
      <c r="T740" s="26" t="n">
        <v>1.33</v>
      </c>
      <c r="U740" s="11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26" t="n">
        <v>72.66</v>
      </c>
      <c r="W740" s="26" t="n">
        <v>53.38</v>
      </c>
      <c r="X740" s="26">
        <f>ROUND(('Methodology &amp; Assumptions'!$B$5*V740) + ('Methodology &amp; Assumptions'!$B$6*W740), 2)</f>
        <v/>
      </c>
      <c r="Y740" s="28" t="n">
        <v>17.4</v>
      </c>
      <c r="Z740" s="11" t="inlineStr">
        <is>
          <t>Priority Tier 2 (Balanced Opportunity)</t>
        </is>
      </c>
    </row>
    <row r="741">
      <c r="A741" s="23" t="n">
        <v>2</v>
      </c>
      <c r="B741" s="23" t="n">
        <v>737</v>
      </c>
      <c r="C741" s="23" t="n">
        <v>1737</v>
      </c>
      <c r="D741" s="23" t="inlineStr">
        <is>
          <t>0103314028</t>
        </is>
      </c>
      <c r="E741" s="11" t="inlineStr">
        <is>
          <t>Region I (Ilocos Region)</t>
        </is>
      </c>
      <c r="F741" s="11" t="inlineStr">
        <is>
          <t>La Union</t>
        </is>
      </c>
      <c r="G741" s="11" t="inlineStr">
        <is>
          <t>City of San Fernando</t>
        </is>
      </c>
      <c r="H741" s="11" t="inlineStr">
        <is>
          <t>Ilocanos Sur</t>
        </is>
      </c>
      <c r="I741" s="24" t="n">
        <v>16.617593</v>
      </c>
      <c r="J741" s="24" t="n">
        <v>120.312899</v>
      </c>
      <c r="K741" s="23" t="inlineStr">
        <is>
          <t>U</t>
        </is>
      </c>
      <c r="L741" s="25" t="n">
        <v>2674</v>
      </c>
      <c r="M741" s="26" t="n">
        <v>3.7</v>
      </c>
      <c r="N741" s="25">
        <f>ROUND(L741/M741, 0)</f>
        <v/>
      </c>
      <c r="O741" s="25">
        <f>ROUND(N741*'Methodology &amp; Assumptions'!$B$7, 0)</f>
        <v/>
      </c>
      <c r="P741" s="23" t="inlineStr">
        <is>
          <t>Single Carrier (Band n50, 100MHz TDD)</t>
        </is>
      </c>
      <c r="Q741" s="27">
        <f>ROUNDUP(O741/'Methodology &amp; Assumptions'!$B$8, 0)</f>
        <v/>
      </c>
      <c r="R741" s="27" t="n">
        <v>1</v>
      </c>
      <c r="S741" s="26" t="n">
        <v>1.65</v>
      </c>
      <c r="T741" s="26" t="n">
        <v>0.42</v>
      </c>
      <c r="U741" s="11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26" t="n">
        <v>72.31999999999999</v>
      </c>
      <c r="W741" s="26" t="n">
        <v>53.72</v>
      </c>
      <c r="X741" s="26">
        <f>ROUND(('Methodology &amp; Assumptions'!$B$5*V741) + ('Methodology &amp; Assumptions'!$B$6*W741), 2)</f>
        <v/>
      </c>
      <c r="Y741" s="28" t="n">
        <v>8.300000000000001</v>
      </c>
      <c r="Z741" s="11" t="inlineStr">
        <is>
          <t>Priority Tier 2 (Balanced Opportunity)</t>
        </is>
      </c>
    </row>
    <row r="742">
      <c r="A742" s="23" t="n">
        <v>2</v>
      </c>
      <c r="B742" s="23" t="n">
        <v>738</v>
      </c>
      <c r="C742" s="23" t="n">
        <v>1738</v>
      </c>
      <c r="D742" s="23" t="inlineStr">
        <is>
          <t>1381300001</t>
        </is>
      </c>
      <c r="E742" s="11" t="inlineStr">
        <is>
          <t>National Capital Region (NCR)</t>
        </is>
      </c>
      <c r="F742" s="11" t="inlineStr">
        <is>
          <t>Second District (Not a Province)</t>
        </is>
      </c>
      <c r="G742" s="11" t="inlineStr">
        <is>
          <t>Quezon City</t>
        </is>
      </c>
      <c r="H742" s="11" t="inlineStr">
        <is>
          <t>Alicia</t>
        </is>
      </c>
      <c r="I742" s="24" t="n">
        <v>14.660118</v>
      </c>
      <c r="J742" s="24" t="n">
        <v>121.025757</v>
      </c>
      <c r="K742" s="23" t="inlineStr">
        <is>
          <t>U</t>
        </is>
      </c>
      <c r="L742" s="25" t="n">
        <v>6298</v>
      </c>
      <c r="M742" s="26" t="n">
        <v>3.86</v>
      </c>
      <c r="N742" s="25">
        <f>ROUND(L742/M742, 0)</f>
        <v/>
      </c>
      <c r="O742" s="25">
        <f>ROUND(N742*'Methodology &amp; Assumptions'!$B$7, 0)</f>
        <v/>
      </c>
      <c r="P742" s="23" t="inlineStr">
        <is>
          <t>Single Carrier (Band n50, 100MHz TDD)</t>
        </is>
      </c>
      <c r="Q742" s="27">
        <f>ROUNDUP(O742/'Methodology &amp; Assumptions'!$B$8, 0)</f>
        <v/>
      </c>
      <c r="R742" s="27" t="n">
        <v>1</v>
      </c>
      <c r="S742" s="26" t="n">
        <v>0.62</v>
      </c>
      <c r="T742" s="26" t="n">
        <v>0.2</v>
      </c>
      <c r="U742" s="11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26" t="n">
        <v>69.09</v>
      </c>
      <c r="W742" s="26" t="n">
        <v>56.95</v>
      </c>
      <c r="X742" s="26">
        <f>ROUND(('Methodology &amp; Assumptions'!$B$5*V742) + ('Methodology &amp; Assumptions'!$B$6*W742), 2)</f>
        <v/>
      </c>
      <c r="Y742" s="28" t="n">
        <v>10.9</v>
      </c>
      <c r="Z742" s="11" t="inlineStr">
        <is>
          <t>Priority Tier 2 (Balanced Opportunity)</t>
        </is>
      </c>
    </row>
    <row r="743">
      <c r="A743" s="23" t="n">
        <v>2</v>
      </c>
      <c r="B743" s="23" t="n">
        <v>739</v>
      </c>
      <c r="C743" s="23" t="n">
        <v>1739</v>
      </c>
      <c r="D743" s="23" t="inlineStr">
        <is>
          <t>1206302013</t>
        </is>
      </c>
      <c r="E743" s="11" t="inlineStr">
        <is>
          <t>Region XII (SOCCSKSARGEN)</t>
        </is>
      </c>
      <c r="F743" s="11" t="inlineStr">
        <is>
          <t>South Cotabato</t>
        </is>
      </c>
      <c r="G743" s="11" t="inlineStr">
        <is>
          <t>Banga</t>
        </is>
      </c>
      <c r="H743" s="11" t="inlineStr">
        <is>
          <t>Lampari</t>
        </is>
      </c>
      <c r="I743" s="24" t="n">
        <v>6.287455</v>
      </c>
      <c r="J743" s="24" t="n">
        <v>124.87897</v>
      </c>
      <c r="K743" s="23" t="inlineStr">
        <is>
          <t>R</t>
        </is>
      </c>
      <c r="L743" s="25" t="n">
        <v>2769</v>
      </c>
      <c r="M743" s="26" t="n">
        <v>3.6</v>
      </c>
      <c r="N743" s="25">
        <f>ROUND(L743/M743, 0)</f>
        <v/>
      </c>
      <c r="O743" s="25">
        <f>ROUND(N743*'Methodology &amp; Assumptions'!$B$7, 0)</f>
        <v/>
      </c>
      <c r="P743" s="23" t="inlineStr">
        <is>
          <t>Single Carrier (Band n50, 100MHz TDD)</t>
        </is>
      </c>
      <c r="Q743" s="27">
        <f>ROUNDUP(O743/'Methodology &amp; Assumptions'!$B$8, 0)</f>
        <v/>
      </c>
      <c r="R743" s="27" t="n">
        <v>1</v>
      </c>
      <c r="S743" s="26" t="n">
        <v>9.130000000000001</v>
      </c>
      <c r="T743" s="26" t="n">
        <v>11.16</v>
      </c>
      <c r="U743" s="11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26" t="n">
        <v>64.66</v>
      </c>
      <c r="W743" s="26" t="n">
        <v>61.39</v>
      </c>
      <c r="X743" s="26">
        <f>ROUND(('Methodology &amp; Assumptions'!$B$5*V743) + ('Methodology &amp; Assumptions'!$B$6*W743), 2)</f>
        <v/>
      </c>
      <c r="Y743" s="28" t="n">
        <v>17.4</v>
      </c>
      <c r="Z743" s="11" t="inlineStr">
        <is>
          <t>Priority Tier 2 (Balanced Opportunity)</t>
        </is>
      </c>
    </row>
    <row r="744">
      <c r="A744" s="23" t="n">
        <v>2</v>
      </c>
      <c r="B744" s="23" t="n">
        <v>740</v>
      </c>
      <c r="C744" s="23" t="n">
        <v>1740</v>
      </c>
      <c r="D744" s="23" t="inlineStr">
        <is>
          <t>1380606129</t>
        </is>
      </c>
      <c r="E744" s="11" t="inlineStr">
        <is>
          <t>National Capital Region (NCR)</t>
        </is>
      </c>
      <c r="F744" s="11" t="inlineStr">
        <is>
          <t>First District (Not a Province)</t>
        </is>
      </c>
      <c r="G744" s="11" t="inlineStr">
        <is>
          <t>City of Manila</t>
        </is>
      </c>
      <c r="H744" s="11" t="inlineStr">
        <is>
          <t>Barangay 523</t>
        </is>
      </c>
      <c r="I744" s="24" t="n">
        <v>14.613358</v>
      </c>
      <c r="J744" s="24" t="n">
        <v>120.998963</v>
      </c>
      <c r="K744" s="23" t="inlineStr">
        <is>
          <t>U</t>
        </is>
      </c>
      <c r="L744" s="25" t="n">
        <v>1299</v>
      </c>
      <c r="M744" s="26" t="n">
        <v>2.58</v>
      </c>
      <c r="N744" s="25">
        <f>ROUND(L744/M744, 0)</f>
        <v/>
      </c>
      <c r="O744" s="25">
        <f>ROUND(N744*'Methodology &amp; Assumptions'!$B$7, 0)</f>
        <v/>
      </c>
      <c r="P744" s="23" t="inlineStr">
        <is>
          <t>Single Carrier (Band n50, 100MHz TDD)</t>
        </is>
      </c>
      <c r="Q744" s="27">
        <f>ROUNDUP(O744/'Methodology &amp; Assumptions'!$B$8, 0)</f>
        <v/>
      </c>
      <c r="R744" s="27" t="n">
        <v>1</v>
      </c>
      <c r="S744" s="26" t="n">
        <v>0.58</v>
      </c>
      <c r="T744" s="26" t="n">
        <v>0.14</v>
      </c>
      <c r="U744" s="11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26" t="n">
        <v>57.27</v>
      </c>
      <c r="W744" s="26" t="n">
        <v>68.78</v>
      </c>
      <c r="X744" s="26">
        <f>ROUND(('Methodology &amp; Assumptions'!$B$5*V744) + ('Methodology &amp; Assumptions'!$B$6*W744), 2)</f>
        <v/>
      </c>
      <c r="Y744" s="28" t="n">
        <v>10.9</v>
      </c>
      <c r="Z744" s="11" t="inlineStr">
        <is>
          <t>Priority Tier 2 (Balanced Opportunity)</t>
        </is>
      </c>
    </row>
    <row r="745">
      <c r="A745" s="23" t="n">
        <v>2</v>
      </c>
      <c r="B745" s="23" t="n">
        <v>741</v>
      </c>
      <c r="C745" s="23" t="n">
        <v>1741</v>
      </c>
      <c r="D745" s="23" t="inlineStr">
        <is>
          <t>0304904010</t>
        </is>
      </c>
      <c r="E745" s="11" t="inlineStr">
        <is>
          <t>Region III (Central Luzon)</t>
        </is>
      </c>
      <c r="F745" s="11" t="inlineStr">
        <is>
          <t>Nueva Ecija</t>
        </is>
      </c>
      <c r="G745" s="11" t="inlineStr">
        <is>
          <t>Cabiao</t>
        </is>
      </c>
      <c r="H745" s="11" t="inlineStr">
        <is>
          <t>Palasinan</t>
        </is>
      </c>
      <c r="I745" s="24" t="n">
        <v>15.253548</v>
      </c>
      <c r="J745" s="24" t="n">
        <v>120.856756</v>
      </c>
      <c r="K745" s="23" t="inlineStr">
        <is>
          <t>R</t>
        </is>
      </c>
      <c r="L745" s="25" t="n">
        <v>3900</v>
      </c>
      <c r="M745" s="26" t="n">
        <v>3.5</v>
      </c>
      <c r="N745" s="25">
        <f>ROUND(L745/M745, 0)</f>
        <v/>
      </c>
      <c r="O745" s="25">
        <f>ROUND(N745*'Methodology &amp; Assumptions'!$B$7, 0)</f>
        <v/>
      </c>
      <c r="P745" s="23" t="inlineStr">
        <is>
          <t>Single Carrier (Band n50, 100MHz TDD)</t>
        </is>
      </c>
      <c r="Q745" s="27">
        <f>ROUNDUP(O745/'Methodology &amp; Assumptions'!$B$8, 0)</f>
        <v/>
      </c>
      <c r="R745" s="27" t="n">
        <v>1</v>
      </c>
      <c r="S745" s="26" t="n">
        <v>1.48</v>
      </c>
      <c r="T745" s="26" t="n">
        <v>0.39</v>
      </c>
      <c r="U745" s="11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26" t="n">
        <v>83.20999999999999</v>
      </c>
      <c r="W745" s="26" t="n">
        <v>42.8</v>
      </c>
      <c r="X745" s="26">
        <f>ROUND(('Methodology &amp; Assumptions'!$B$5*V745) + ('Methodology &amp; Assumptions'!$B$6*W745), 2)</f>
        <v/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2</v>
      </c>
      <c r="B746" s="23" t="n">
        <v>742</v>
      </c>
      <c r="C746" s="23" t="n">
        <v>1742</v>
      </c>
      <c r="D746" s="23" t="inlineStr">
        <is>
          <t>0403425007</t>
        </is>
      </c>
      <c r="E746" s="11" t="inlineStr">
        <is>
          <t>Region IV-A (CALABARZON)</t>
        </is>
      </c>
      <c r="F746" s="11" t="inlineStr">
        <is>
          <t>Laguna</t>
        </is>
      </c>
      <c r="G746" s="11" t="inlineStr">
        <is>
          <t>City of San Pedro</t>
        </is>
      </c>
      <c r="H746" s="11" t="inlineStr">
        <is>
          <t>Laram</t>
        </is>
      </c>
      <c r="I746" s="24" t="n">
        <v>14.329419</v>
      </c>
      <c r="J746" s="24" t="n">
        <v>121.023159</v>
      </c>
      <c r="K746" s="23" t="inlineStr">
        <is>
          <t>U</t>
        </is>
      </c>
      <c r="L746" s="25" t="n">
        <v>7165</v>
      </c>
      <c r="M746" s="26" t="n">
        <v>3.3</v>
      </c>
      <c r="N746" s="25">
        <f>ROUND(L746/M746, 0)</f>
        <v/>
      </c>
      <c r="O746" s="25">
        <f>ROUND(N746*'Methodology &amp; Assumptions'!$B$7, 0)</f>
        <v/>
      </c>
      <c r="P746" s="23" t="inlineStr">
        <is>
          <t>Single Carrier (Band n50, 100MHz TDD)</t>
        </is>
      </c>
      <c r="Q746" s="27">
        <f>ROUNDUP(O746/'Methodology &amp; Assumptions'!$B$8, 0)</f>
        <v/>
      </c>
      <c r="R746" s="27" t="n">
        <v>1</v>
      </c>
      <c r="S746" s="26" t="n">
        <v>2.49</v>
      </c>
      <c r="T746" s="26" t="n">
        <v>2.51</v>
      </c>
      <c r="U746" s="11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26" t="n">
        <v>68.91</v>
      </c>
      <c r="W746" s="26" t="n">
        <v>57.11</v>
      </c>
      <c r="X746" s="26">
        <f>ROUND(('Methodology &amp; Assumptions'!$B$5*V746) + ('Methodology &amp; Assumptions'!$B$6*W746), 2)</f>
        <v/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2</v>
      </c>
      <c r="B747" s="23" t="n">
        <v>743</v>
      </c>
      <c r="C747" s="23" t="n">
        <v>1743</v>
      </c>
      <c r="D747" s="23" t="inlineStr">
        <is>
          <t>1380607009</t>
        </is>
      </c>
      <c r="E747" s="11" t="inlineStr">
        <is>
          <t>National Capital Region (NCR)</t>
        </is>
      </c>
      <c r="F747" s="11" t="inlineStr">
        <is>
          <t>First District (Not a Province)</t>
        </is>
      </c>
      <c r="G747" s="11" t="inlineStr">
        <is>
          <t>City of Manila</t>
        </is>
      </c>
      <c r="H747" s="11" t="inlineStr">
        <is>
          <t>Barangay 645</t>
        </is>
      </c>
      <c r="I747" s="24" t="n">
        <v>14.592635</v>
      </c>
      <c r="J747" s="24" t="n">
        <v>120.99088</v>
      </c>
      <c r="K747" s="23" t="inlineStr">
        <is>
          <t>U</t>
        </is>
      </c>
      <c r="L747" s="25" t="n">
        <v>1716</v>
      </c>
      <c r="M747" s="26" t="n">
        <v>3.58</v>
      </c>
      <c r="N747" s="25">
        <f>ROUND(L747/M747, 0)</f>
        <v/>
      </c>
      <c r="O747" s="25">
        <f>ROUND(N747*'Methodology &amp; Assumptions'!$B$7, 0)</f>
        <v/>
      </c>
      <c r="P747" s="23" t="inlineStr">
        <is>
          <t>Single Carrier (Band n50, 100MHz TDD)</t>
        </is>
      </c>
      <c r="Q747" s="27">
        <f>ROUNDUP(O747/'Methodology &amp; Assumptions'!$B$8, 0)</f>
        <v/>
      </c>
      <c r="R747" s="27" t="n">
        <v>1</v>
      </c>
      <c r="S747" s="26" t="n">
        <v>0.74</v>
      </c>
      <c r="T747" s="26" t="n">
        <v>0.61</v>
      </c>
      <c r="U747" s="11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26" t="n">
        <v>56.52</v>
      </c>
      <c r="W747" s="26" t="n">
        <v>69.48</v>
      </c>
      <c r="X747" s="26">
        <f>ROUND(('Methodology &amp; Assumptions'!$B$5*V747) + ('Methodology &amp; Assumptions'!$B$6*W747), 2)</f>
        <v/>
      </c>
      <c r="Y747" s="28" t="n">
        <v>10.9</v>
      </c>
      <c r="Z747" s="11" t="inlineStr">
        <is>
          <t>Priority Tier 2 (Balanced Opportunity)</t>
        </is>
      </c>
    </row>
    <row r="748">
      <c r="A748" s="23" t="n">
        <v>2</v>
      </c>
      <c r="B748" s="23" t="n">
        <v>744</v>
      </c>
      <c r="C748" s="23" t="n">
        <v>1744</v>
      </c>
      <c r="D748" s="23" t="inlineStr">
        <is>
          <t>1381300051</t>
        </is>
      </c>
      <c r="E748" s="11" t="inlineStr">
        <is>
          <t>National Capital Region (NCR)</t>
        </is>
      </c>
      <c r="F748" s="11" t="inlineStr">
        <is>
          <t>Second District (Not a Province)</t>
        </is>
      </c>
      <c r="G748" s="11" t="inlineStr">
        <is>
          <t>Quezon City</t>
        </is>
      </c>
      <c r="H748" s="11" t="inlineStr">
        <is>
          <t>Krus Na Ligas</t>
        </is>
      </c>
      <c r="I748" s="24" t="n">
        <v>14.64424</v>
      </c>
      <c r="J748" s="24" t="n">
        <v>121.0635</v>
      </c>
      <c r="K748" s="23" t="inlineStr">
        <is>
          <t>U</t>
        </is>
      </c>
      <c r="L748" s="25" t="n">
        <v>21898</v>
      </c>
      <c r="M748" s="26" t="n">
        <v>4.15</v>
      </c>
      <c r="N748" s="25">
        <f>ROUND(L748/M748, 0)</f>
        <v/>
      </c>
      <c r="O748" s="25">
        <f>ROUND(N748*'Methodology &amp; Assumptions'!$B$7, 0)</f>
        <v/>
      </c>
      <c r="P748" s="23" t="inlineStr">
        <is>
          <t>Single Carrier (Band n50, 100MHz TDD)</t>
        </is>
      </c>
      <c r="Q748" s="27">
        <f>ROUNDUP(O748/'Methodology &amp; Assumptions'!$B$8, 0)</f>
        <v/>
      </c>
      <c r="R748" s="27" t="n">
        <v>1</v>
      </c>
      <c r="S748" s="26" t="n">
        <v>1.12</v>
      </c>
      <c r="T748" s="26" t="n">
        <v>0.84</v>
      </c>
      <c r="U748" s="11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26" t="n">
        <v>67.44</v>
      </c>
      <c r="W748" s="26" t="n">
        <v>58.53</v>
      </c>
      <c r="X748" s="26">
        <f>ROUND(('Methodology &amp; Assumptions'!$B$5*V748) + ('Methodology &amp; Assumptions'!$B$6*W748), 2)</f>
        <v/>
      </c>
      <c r="Y748" s="28" t="n">
        <v>10.9</v>
      </c>
      <c r="Z748" s="11" t="inlineStr">
        <is>
          <t>Priority Tier 2 (Balanced Opportunity)</t>
        </is>
      </c>
    </row>
    <row r="749">
      <c r="A749" s="23" t="n">
        <v>2</v>
      </c>
      <c r="B749" s="23" t="n">
        <v>745</v>
      </c>
      <c r="C749" s="23" t="n">
        <v>1745</v>
      </c>
      <c r="D749" s="23" t="inlineStr">
        <is>
          <t>1380606200</t>
        </is>
      </c>
      <c r="E749" s="11" t="inlineStr">
        <is>
          <t>National Capital Region (NCR)</t>
        </is>
      </c>
      <c r="F749" s="11" t="inlineStr">
        <is>
          <t>First District (Not a Province)</t>
        </is>
      </c>
      <c r="G749" s="11" t="inlineStr">
        <is>
          <t>City of Manila</t>
        </is>
      </c>
      <c r="H749" s="11" t="inlineStr">
        <is>
          <t>Barangay 593</t>
        </is>
      </c>
      <c r="I749" s="24" t="n">
        <v>14.601465</v>
      </c>
      <c r="J749" s="24" t="n">
        <v>121.010989</v>
      </c>
      <c r="K749" s="23" t="inlineStr">
        <is>
          <t>U</t>
        </is>
      </c>
      <c r="L749" s="25" t="n">
        <v>1628</v>
      </c>
      <c r="M749" s="26" t="n">
        <v>4.16</v>
      </c>
      <c r="N749" s="25">
        <f>ROUND(L749/M749, 0)</f>
        <v/>
      </c>
      <c r="O749" s="25">
        <f>ROUND(N749*'Methodology &amp; Assumptions'!$B$7, 0)</f>
        <v/>
      </c>
      <c r="P749" s="23" t="inlineStr">
        <is>
          <t>Single Carrier (Band n50, 100MHz TDD)</t>
        </is>
      </c>
      <c r="Q749" s="27">
        <f>ROUNDUP(O749/'Methodology &amp; Assumptions'!$B$8, 0)</f>
        <v/>
      </c>
      <c r="R749" s="27" t="n">
        <v>1</v>
      </c>
      <c r="S749" s="26" t="n">
        <v>0.7</v>
      </c>
      <c r="T749" s="26" t="n">
        <v>0.11</v>
      </c>
      <c r="U749" s="11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26" t="n">
        <v>53.62</v>
      </c>
      <c r="W749" s="26" t="n">
        <v>72.36</v>
      </c>
      <c r="X749" s="26">
        <f>ROUND(('Methodology &amp; Assumptions'!$B$5*V749) + ('Methodology &amp; Assumptions'!$B$6*W749), 2)</f>
        <v/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2</v>
      </c>
      <c r="B750" s="23" t="n">
        <v>746</v>
      </c>
      <c r="C750" s="23" t="n">
        <v>1746</v>
      </c>
      <c r="D750" s="23" t="inlineStr">
        <is>
          <t>1600308019</t>
        </is>
      </c>
      <c r="E750" s="11" t="inlineStr">
        <is>
          <t>Region XIII (Caraga)</t>
        </is>
      </c>
      <c r="F750" s="11" t="inlineStr">
        <is>
          <t>Agusan del Sur</t>
        </is>
      </c>
      <c r="G750" s="11" t="inlineStr">
        <is>
          <t>San Francisco</t>
        </is>
      </c>
      <c r="H750" s="11" t="inlineStr">
        <is>
          <t>Barangay 5</t>
        </is>
      </c>
      <c r="I750" s="24" t="n">
        <v>8.503878</v>
      </c>
      <c r="J750" s="24" t="n">
        <v>125.9788</v>
      </c>
      <c r="K750" s="23" t="inlineStr">
        <is>
          <t>U</t>
        </is>
      </c>
      <c r="L750" s="25" t="n">
        <v>6068</v>
      </c>
      <c r="M750" s="26" t="n">
        <v>3.9</v>
      </c>
      <c r="N750" s="25">
        <f>ROUND(L750/M750, 0)</f>
        <v/>
      </c>
      <c r="O750" s="25">
        <f>ROUND(N750*'Methodology &amp; Assumptions'!$B$7, 0)</f>
        <v/>
      </c>
      <c r="P750" s="23" t="inlineStr">
        <is>
          <t>Single Carrier (Band n50, 100MHz TDD)</t>
        </is>
      </c>
      <c r="Q750" s="27">
        <f>ROUNDUP(O750/'Methodology &amp; Assumptions'!$B$8, 0)</f>
        <v/>
      </c>
      <c r="R750" s="27" t="n">
        <v>1</v>
      </c>
      <c r="S750" s="26" t="n">
        <v>0.64</v>
      </c>
      <c r="T750" s="26" t="n">
        <v>0.17</v>
      </c>
      <c r="U750" s="11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26" t="n">
        <v>79.87</v>
      </c>
      <c r="W750" s="26" t="n">
        <v>46.1</v>
      </c>
      <c r="X750" s="26">
        <f>ROUND(('Methodology &amp; Assumptions'!$B$5*V750) + ('Methodology &amp; Assumptions'!$B$6*W750), 2)</f>
        <v/>
      </c>
      <c r="Y750" s="28" t="n">
        <v>17.4</v>
      </c>
      <c r="Z750" s="11" t="inlineStr">
        <is>
          <t>Priority Tier 2 (Balanced Opportunity)</t>
        </is>
      </c>
    </row>
    <row r="751">
      <c r="A751" s="23" t="n">
        <v>2</v>
      </c>
      <c r="B751" s="23" t="n">
        <v>747</v>
      </c>
      <c r="C751" s="23" t="n">
        <v>1747</v>
      </c>
      <c r="D751" s="23" t="inlineStr">
        <is>
          <t>0506212021</t>
        </is>
      </c>
      <c r="E751" s="11" t="inlineStr">
        <is>
          <t>Region V (Bicol Region)</t>
        </is>
      </c>
      <c r="F751" s="11" t="inlineStr">
        <is>
          <t>Sorsogon</t>
        </is>
      </c>
      <c r="G751" s="11" t="inlineStr">
        <is>
          <t>Matnog</t>
        </is>
      </c>
      <c r="H751" s="11" t="inlineStr">
        <is>
          <t>Genablan Oriental</t>
        </is>
      </c>
      <c r="I751" s="24" t="n">
        <v>12.569193</v>
      </c>
      <c r="J751" s="24" t="n">
        <v>124.033325</v>
      </c>
      <c r="K751" s="23" t="inlineStr">
        <is>
          <t>R</t>
        </is>
      </c>
      <c r="L751" s="25" t="n">
        <v>1116</v>
      </c>
      <c r="M751" s="26" t="n">
        <v>4</v>
      </c>
      <c r="N751" s="25">
        <f>ROUND(L751/M751, 0)</f>
        <v/>
      </c>
      <c r="O751" s="25">
        <f>ROUND(N751*'Methodology &amp; Assumptions'!$B$7, 0)</f>
        <v/>
      </c>
      <c r="P751" s="23" t="inlineStr">
        <is>
          <t>Single Carrier (Band n50, 100MHz TDD)</t>
        </is>
      </c>
      <c r="Q751" s="27">
        <f>ROUNDUP(O751/'Methodology &amp; Assumptions'!$B$8, 0)</f>
        <v/>
      </c>
      <c r="R751" s="27" t="n">
        <v>1</v>
      </c>
      <c r="S751" s="26" t="n">
        <v>5.57</v>
      </c>
      <c r="T751" s="26" t="n">
        <v>5.01</v>
      </c>
      <c r="U751" s="11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26" t="n">
        <v>54.07</v>
      </c>
      <c r="W751" s="26" t="n">
        <v>71.90000000000001</v>
      </c>
      <c r="X751" s="26">
        <f>ROUND(('Methodology &amp; Assumptions'!$B$5*V751) + ('Methodology &amp; Assumptions'!$B$6*W751), 2)</f>
        <v/>
      </c>
      <c r="Y751" s="28" t="n">
        <v>23.7</v>
      </c>
      <c r="Z751" s="11" t="inlineStr">
        <is>
          <t>Priority Tier 2 (Balanced Opportunity)</t>
        </is>
      </c>
    </row>
    <row r="752">
      <c r="A752" s="23" t="n">
        <v>2</v>
      </c>
      <c r="B752" s="23" t="n">
        <v>748</v>
      </c>
      <c r="C752" s="23" t="n">
        <v>1748</v>
      </c>
      <c r="D752" s="23" t="inlineStr">
        <is>
          <t>1381300052</t>
        </is>
      </c>
      <c r="E752" s="11" t="inlineStr">
        <is>
          <t>National Capital Region (NCR)</t>
        </is>
      </c>
      <c r="F752" s="11" t="inlineStr">
        <is>
          <t>Second District (Not a Province)</t>
        </is>
      </c>
      <c r="G752" s="11" t="inlineStr">
        <is>
          <t>Quezon City</t>
        </is>
      </c>
      <c r="H752" s="11" t="inlineStr">
        <is>
          <t>Laging Handa</t>
        </is>
      </c>
      <c r="I752" s="24" t="n">
        <v>14.6323</v>
      </c>
      <c r="J752" s="24" t="n">
        <v>121.0327</v>
      </c>
      <c r="K752" s="23" t="inlineStr">
        <is>
          <t>U</t>
        </is>
      </c>
      <c r="L752" s="25" t="n">
        <v>4963</v>
      </c>
      <c r="M752" s="26" t="n">
        <v>3.39</v>
      </c>
      <c r="N752" s="25">
        <f>ROUND(L752/M752, 0)</f>
        <v/>
      </c>
      <c r="O752" s="25">
        <f>ROUND(N752*'Methodology &amp; Assumptions'!$B$7, 0)</f>
        <v/>
      </c>
      <c r="P752" s="23" t="inlineStr">
        <is>
          <t>Single Carrier (Band n50, 100MHz TDD)</t>
        </is>
      </c>
      <c r="Q752" s="27">
        <f>ROUNDUP(O752/'Methodology &amp; Assumptions'!$B$8, 0)</f>
        <v/>
      </c>
      <c r="R752" s="27" t="n">
        <v>1</v>
      </c>
      <c r="S752" s="26" t="n">
        <v>0.67</v>
      </c>
      <c r="T752" s="26" t="n">
        <v>0.73</v>
      </c>
      <c r="U752" s="11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26" t="n">
        <v>69.09</v>
      </c>
      <c r="W752" s="26" t="n">
        <v>56.85</v>
      </c>
      <c r="X752" s="26">
        <f>ROUND(('Methodology &amp; Assumptions'!$B$5*V752) + ('Methodology &amp; Assumptions'!$B$6*W752), 2)</f>
        <v/>
      </c>
      <c r="Y752" s="28" t="n">
        <v>10.9</v>
      </c>
      <c r="Z752" s="11" t="inlineStr">
        <is>
          <t>Priority Tier 2 (Balanced Opportunity)</t>
        </is>
      </c>
    </row>
    <row r="753">
      <c r="A753" s="23" t="n">
        <v>2</v>
      </c>
      <c r="B753" s="23" t="n">
        <v>749</v>
      </c>
      <c r="C753" s="23" t="n">
        <v>1749</v>
      </c>
      <c r="D753" s="23" t="inlineStr">
        <is>
          <t>0403425014</t>
        </is>
      </c>
      <c r="E753" s="11" t="inlineStr">
        <is>
          <t>Region IV-A (CALABARZON)</t>
        </is>
      </c>
      <c r="F753" s="11" t="inlineStr">
        <is>
          <t>Laguna</t>
        </is>
      </c>
      <c r="G753" s="11" t="inlineStr">
        <is>
          <t>City of San Pedro</t>
        </is>
      </c>
      <c r="H753" s="11" t="inlineStr">
        <is>
          <t>San Antonio</t>
        </is>
      </c>
      <c r="I753" s="24" t="n">
        <v>14.362041</v>
      </c>
      <c r="J753" s="24" t="n">
        <v>121.034875</v>
      </c>
      <c r="K753" s="23" t="inlineStr">
        <is>
          <t>U</t>
        </is>
      </c>
      <c r="L753" s="25" t="n">
        <v>65077</v>
      </c>
      <c r="M753" s="26" t="n">
        <v>3.3</v>
      </c>
      <c r="N753" s="25">
        <f>ROUND(L753/M753, 0)</f>
        <v/>
      </c>
      <c r="O753" s="25">
        <f>ROUND(N753*'Methodology &amp; Assumptions'!$B$7, 0)</f>
        <v/>
      </c>
      <c r="P753" s="23" t="inlineStr">
        <is>
          <t>Single Carrier (Band n50, 100MHz TDD)</t>
        </is>
      </c>
      <c r="Q753" s="27">
        <f>ROUNDUP(O753/'Methodology &amp; Assumptions'!$B$8, 0)</f>
        <v/>
      </c>
      <c r="R753" s="27" t="n">
        <v>1</v>
      </c>
      <c r="S753" s="26" t="n">
        <v>0.03</v>
      </c>
      <c r="T753" s="26" t="n">
        <v>0.07000000000000001</v>
      </c>
      <c r="U753" s="11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26" t="n">
        <v>76.06</v>
      </c>
      <c r="W753" s="26" t="n">
        <v>49.86</v>
      </c>
      <c r="X753" s="26">
        <f>ROUND(('Methodology &amp; Assumptions'!$B$5*V753) + ('Methodology &amp; Assumptions'!$B$6*W753), 2)</f>
        <v/>
      </c>
      <c r="Y753" s="28" t="n">
        <v>7.2</v>
      </c>
      <c r="Z753" s="11" t="inlineStr">
        <is>
          <t>Priority Tier 2 (Balanced Opportunity)</t>
        </is>
      </c>
    </row>
    <row r="754">
      <c r="A754" s="23" t="n">
        <v>2</v>
      </c>
      <c r="B754" s="23" t="n">
        <v>750</v>
      </c>
      <c r="C754" s="23" t="n">
        <v>1750</v>
      </c>
      <c r="D754" s="23" t="inlineStr">
        <is>
          <t>1381300129</t>
        </is>
      </c>
      <c r="E754" s="11" t="inlineStr">
        <is>
          <t>National Capital Region (NCR)</t>
        </is>
      </c>
      <c r="F754" s="11" t="inlineStr">
        <is>
          <t>Second District (Not a Province)</t>
        </is>
      </c>
      <c r="G754" s="11" t="inlineStr">
        <is>
          <t>Quezon City</t>
        </is>
      </c>
      <c r="H754" s="11" t="inlineStr">
        <is>
          <t>Vasra</t>
        </is>
      </c>
      <c r="I754" s="24" t="n">
        <v>14.659214</v>
      </c>
      <c r="J754" s="24" t="n">
        <v>121.046403</v>
      </c>
      <c r="K754" s="23" t="inlineStr">
        <is>
          <t>U</t>
        </is>
      </c>
      <c r="L754" s="25" t="n">
        <v>7883</v>
      </c>
      <c r="M754" s="26" t="n">
        <v>3.87</v>
      </c>
      <c r="N754" s="25">
        <f>ROUND(L754/M754, 0)</f>
        <v/>
      </c>
      <c r="O754" s="25">
        <f>ROUND(N754*'Methodology &amp; Assumptions'!$B$7, 0)</f>
        <v/>
      </c>
      <c r="P754" s="23" t="inlineStr">
        <is>
          <t>Single Carrier (Band n50, 100MHz TDD)</t>
        </is>
      </c>
      <c r="Q754" s="27">
        <f>ROUNDUP(O754/'Methodology &amp; Assumptions'!$B$8, 0)</f>
        <v/>
      </c>
      <c r="R754" s="27" t="n">
        <v>1</v>
      </c>
      <c r="S754" s="26" t="n">
        <v>0.42</v>
      </c>
      <c r="T754" s="26" t="n">
        <v>0.29</v>
      </c>
      <c r="U754" s="11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26" t="n">
        <v>69.09</v>
      </c>
      <c r="W754" s="26" t="n">
        <v>56.82</v>
      </c>
      <c r="X754" s="26">
        <f>ROUND(('Methodology &amp; Assumptions'!$B$5*V754) + ('Methodology &amp; Assumptions'!$B$6*W754), 2)</f>
        <v/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2</v>
      </c>
      <c r="B755" s="23" t="n">
        <v>751</v>
      </c>
      <c r="C755" s="23" t="n">
        <v>1751</v>
      </c>
      <c r="D755" s="23" t="inlineStr">
        <is>
          <t>1001321014</t>
        </is>
      </c>
      <c r="E755" s="11" t="inlineStr">
        <is>
          <t>Region X (Northern Mindanao)</t>
        </is>
      </c>
      <c r="F755" s="11" t="inlineStr">
        <is>
          <t>Bukidnon</t>
        </is>
      </c>
      <c r="G755" s="11" t="inlineStr">
        <is>
          <t>City of Valencia</t>
        </is>
      </c>
      <c r="H755" s="11" t="inlineStr">
        <is>
          <t>Lourdes</t>
        </is>
      </c>
      <c r="I755" s="24" t="n">
        <v>7.895566</v>
      </c>
      <c r="J755" s="24" t="n">
        <v>124.951474</v>
      </c>
      <c r="K755" s="23" t="inlineStr">
        <is>
          <t>R</t>
        </is>
      </c>
      <c r="L755" s="25" t="n">
        <v>2187</v>
      </c>
      <c r="M755" s="26" t="n">
        <v>3.8</v>
      </c>
      <c r="N755" s="25">
        <f>ROUND(L755/M755, 0)</f>
        <v/>
      </c>
      <c r="O755" s="25">
        <f>ROUND(N755*'Methodology &amp; Assumptions'!$B$7, 0)</f>
        <v/>
      </c>
      <c r="P755" s="23" t="inlineStr">
        <is>
          <t>Single Carrier (Band n50, 100MHz TDD)</t>
        </is>
      </c>
      <c r="Q755" s="27">
        <f>ROUNDUP(O755/'Methodology &amp; Assumptions'!$B$8, 0)</f>
        <v/>
      </c>
      <c r="R755" s="27" t="n">
        <v>1</v>
      </c>
      <c r="S755" s="26" t="n">
        <v>5.85</v>
      </c>
      <c r="T755" s="26" t="n">
        <v>0.22</v>
      </c>
      <c r="U755" s="11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26" t="n">
        <v>65.67</v>
      </c>
      <c r="W755" s="26" t="n">
        <v>60.26</v>
      </c>
      <c r="X755" s="26">
        <f>ROUND(('Methodology &amp; Assumptions'!$B$5*V755) + ('Methodology &amp; Assumptions'!$B$6*W755), 2)</f>
        <v/>
      </c>
      <c r="Y755" s="28" t="n">
        <v>17.4</v>
      </c>
      <c r="Z755" s="11" t="inlineStr">
        <is>
          <t>Priority Tier 2 (Balanced Opportunity)</t>
        </is>
      </c>
    </row>
    <row r="756">
      <c r="A756" s="23" t="n">
        <v>2</v>
      </c>
      <c r="B756" s="23" t="n">
        <v>752</v>
      </c>
      <c r="C756" s="23" t="n">
        <v>1752</v>
      </c>
      <c r="D756" s="23" t="inlineStr">
        <is>
          <t>1380603009</t>
        </is>
      </c>
      <c r="E756" s="11" t="inlineStr">
        <is>
          <t>National Capital Region (NCR)</t>
        </is>
      </c>
      <c r="F756" s="11" t="inlineStr">
        <is>
          <t>First District (Not a Province)</t>
        </is>
      </c>
      <c r="G756" s="11" t="inlineStr">
        <is>
          <t>City of Manila</t>
        </is>
      </c>
      <c r="H756" s="11" t="inlineStr">
        <is>
          <t>Barangay 389</t>
        </is>
      </c>
      <c r="I756" s="24" t="n">
        <v>14.597296</v>
      </c>
      <c r="J756" s="24" t="n">
        <v>120.989739</v>
      </c>
      <c r="K756" s="23" t="inlineStr">
        <is>
          <t>U</t>
        </is>
      </c>
      <c r="L756" s="25" t="n">
        <v>1788</v>
      </c>
      <c r="M756" s="26" t="n">
        <v>4.06</v>
      </c>
      <c r="N756" s="25">
        <f>ROUND(L756/M756, 0)</f>
        <v/>
      </c>
      <c r="O756" s="25">
        <f>ROUND(N756*'Methodology &amp; Assumptions'!$B$7, 0)</f>
        <v/>
      </c>
      <c r="P756" s="23" t="inlineStr">
        <is>
          <t>Single Carrier (Band n50, 100MHz TDD)</t>
        </is>
      </c>
      <c r="Q756" s="27">
        <f>ROUNDUP(O756/'Methodology &amp; Assumptions'!$B$8, 0)</f>
        <v/>
      </c>
      <c r="R756" s="27" t="n">
        <v>1</v>
      </c>
      <c r="S756" s="26" t="n">
        <v>0.67</v>
      </c>
      <c r="T756" s="26" t="n">
        <v>0.38</v>
      </c>
      <c r="U756" s="11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26" t="n">
        <v>55.23</v>
      </c>
      <c r="W756" s="26" t="n">
        <v>70.69</v>
      </c>
      <c r="X756" s="26">
        <f>ROUND(('Methodology &amp; Assumptions'!$B$5*V756) + ('Methodology &amp; Assumptions'!$B$6*W756), 2)</f>
        <v/>
      </c>
      <c r="Y756" s="28" t="n">
        <v>10.9</v>
      </c>
      <c r="Z756" s="11" t="inlineStr">
        <is>
          <t>Priority Tier 2 (Balanced Opportunity)</t>
        </is>
      </c>
    </row>
    <row r="757">
      <c r="A757" s="23" t="n">
        <v>2</v>
      </c>
      <c r="B757" s="23" t="n">
        <v>753</v>
      </c>
      <c r="C757" s="23" t="n">
        <v>1753</v>
      </c>
      <c r="D757" s="23" t="inlineStr">
        <is>
          <t>0102917004</t>
        </is>
      </c>
      <c r="E757" s="11" t="inlineStr">
        <is>
          <t>Region I (Ilocos Region)</t>
        </is>
      </c>
      <c r="F757" s="11" t="inlineStr">
        <is>
          <t>Ilocos Sur</t>
        </is>
      </c>
      <c r="G757" s="11" t="inlineStr">
        <is>
          <t>San Emilio</t>
        </is>
      </c>
      <c r="H757" s="11" t="inlineStr">
        <is>
          <t>Matibuey</t>
        </is>
      </c>
      <c r="I757" s="24" t="n">
        <v>17.212035</v>
      </c>
      <c r="J757" s="24" t="n">
        <v>120.66202</v>
      </c>
      <c r="K757" s="23" t="inlineStr">
        <is>
          <t>R</t>
        </is>
      </c>
      <c r="L757" s="25" t="n">
        <v>1080</v>
      </c>
      <c r="M757" s="26" t="n">
        <v>3.8</v>
      </c>
      <c r="N757" s="25">
        <f>ROUND(L757/M757, 0)</f>
        <v/>
      </c>
      <c r="O757" s="25">
        <f>ROUND(N757*'Methodology &amp; Assumptions'!$B$7, 0)</f>
        <v/>
      </c>
      <c r="P757" s="23" t="inlineStr">
        <is>
          <t>Single Carrier (Band n50, 100MHz TDD)</t>
        </is>
      </c>
      <c r="Q757" s="27">
        <f>ROUNDUP(O757/'Methodology &amp; Assumptions'!$B$8, 0)</f>
        <v/>
      </c>
      <c r="R757" s="27" t="n">
        <v>1</v>
      </c>
      <c r="S757" s="26" t="n">
        <v>8.51</v>
      </c>
      <c r="T757" s="26" t="n">
        <v>0.9399999999999999</v>
      </c>
      <c r="U757" s="11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26" t="n">
        <v>52.36</v>
      </c>
      <c r="W757" s="26" t="n">
        <v>73.56</v>
      </c>
      <c r="X757" s="26">
        <f>ROUND(('Methodology &amp; Assumptions'!$B$5*V757) + ('Methodology &amp; Assumptions'!$B$6*W757), 2)</f>
        <v/>
      </c>
      <c r="Y757" s="28" t="n">
        <v>8.300000000000001</v>
      </c>
      <c r="Z757" s="11" t="inlineStr">
        <is>
          <t>Priority Tier 2 (Balanced Opportunity)</t>
        </is>
      </c>
    </row>
    <row r="758">
      <c r="A758" s="23" t="n">
        <v>2</v>
      </c>
      <c r="B758" s="23" t="n">
        <v>754</v>
      </c>
      <c r="C758" s="23" t="n">
        <v>1754</v>
      </c>
      <c r="D758" s="23" t="inlineStr">
        <is>
          <t>0305412021</t>
        </is>
      </c>
      <c r="E758" s="11" t="inlineStr">
        <is>
          <t>Region III (Central Luzon)</t>
        </is>
      </c>
      <c r="F758" s="11" t="inlineStr">
        <is>
          <t>Pampanga</t>
        </is>
      </c>
      <c r="G758" s="11" t="inlineStr">
        <is>
          <t>Masantol</t>
        </is>
      </c>
      <c r="H758" s="11" t="inlineStr">
        <is>
          <t>Sta. Cruz</t>
        </is>
      </c>
      <c r="I758" s="24" t="n">
        <v>14.805077</v>
      </c>
      <c r="J758" s="24" t="n">
        <v>120.685609</v>
      </c>
      <c r="K758" s="23" t="inlineStr">
        <is>
          <t>R</t>
        </is>
      </c>
      <c r="L758" s="25" t="n">
        <v>2602</v>
      </c>
      <c r="M758" s="26" t="n">
        <v>4</v>
      </c>
      <c r="N758" s="25">
        <f>ROUND(L758/M758, 0)</f>
        <v/>
      </c>
      <c r="O758" s="25">
        <f>ROUND(N758*'Methodology &amp; Assumptions'!$B$7, 0)</f>
        <v/>
      </c>
      <c r="P758" s="23" t="inlineStr">
        <is>
          <t>Single Carrier (Band n50, 100MHz TDD)</t>
        </is>
      </c>
      <c r="Q758" s="27">
        <f>ROUNDUP(O758/'Methodology &amp; Assumptions'!$B$8, 0)</f>
        <v/>
      </c>
      <c r="R758" s="27" t="n">
        <v>1</v>
      </c>
      <c r="S758" s="26" t="n">
        <v>8.029999999999999</v>
      </c>
      <c r="T758" s="26" t="n">
        <v>8.859999999999999</v>
      </c>
      <c r="U758" s="11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26" t="n">
        <v>61.2</v>
      </c>
      <c r="W758" s="26" t="n">
        <v>64.7</v>
      </c>
      <c r="X758" s="26">
        <f>ROUND(('Methodology &amp; Assumptions'!$B$5*V758) + ('Methodology &amp; Assumptions'!$B$6*W758), 2)</f>
        <v/>
      </c>
      <c r="Y758" s="28" t="n">
        <v>8.300000000000001</v>
      </c>
      <c r="Z758" s="11" t="inlineStr">
        <is>
          <t>Priority Tier 2 (Balanced Opportunity)</t>
        </is>
      </c>
    </row>
    <row r="759">
      <c r="A759" s="23" t="n">
        <v>2</v>
      </c>
      <c r="B759" s="23" t="n">
        <v>755</v>
      </c>
      <c r="C759" s="23" t="n">
        <v>1755</v>
      </c>
      <c r="D759" s="23" t="inlineStr">
        <is>
          <t>1380614063</t>
        </is>
      </c>
      <c r="E759" s="11" t="inlineStr">
        <is>
          <t>National Capital Region (NCR)</t>
        </is>
      </c>
      <c r="F759" s="11" t="inlineStr">
        <is>
          <t>First District (Not a Province)</t>
        </is>
      </c>
      <c r="G759" s="11" t="inlineStr">
        <is>
          <t>City of Manila</t>
        </is>
      </c>
      <c r="H759" s="11" t="inlineStr">
        <is>
          <t>Barangay 807</t>
        </is>
      </c>
      <c r="I759" s="24" t="n">
        <v>14.570955</v>
      </c>
      <c r="J759" s="24" t="n">
        <v>121.000871</v>
      </c>
      <c r="K759" s="23" t="inlineStr">
        <is>
          <t>U</t>
        </is>
      </c>
      <c r="L759" s="25" t="n">
        <v>2066</v>
      </c>
      <c r="M759" s="26" t="n">
        <v>4.62</v>
      </c>
      <c r="N759" s="25">
        <f>ROUND(L759/M759, 0)</f>
        <v/>
      </c>
      <c r="O759" s="25">
        <f>ROUND(N759*'Methodology &amp; Assumptions'!$B$7, 0)</f>
        <v/>
      </c>
      <c r="P759" s="23" t="inlineStr">
        <is>
          <t>Single Carrier (Band n50, 100MHz TDD)</t>
        </is>
      </c>
      <c r="Q759" s="27">
        <f>ROUNDUP(O759/'Methodology &amp; Assumptions'!$B$8, 0)</f>
        <v/>
      </c>
      <c r="R759" s="27" t="n">
        <v>1</v>
      </c>
      <c r="S759" s="26" t="n">
        <v>0.72</v>
      </c>
      <c r="T759" s="26" t="n">
        <v>0.5</v>
      </c>
      <c r="U759" s="11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26" t="n">
        <v>55.45</v>
      </c>
      <c r="W759" s="26" t="n">
        <v>70.45</v>
      </c>
      <c r="X759" s="26">
        <f>ROUND(('Methodology &amp; Assumptions'!$B$5*V759) + ('Methodology &amp; Assumptions'!$B$6*W759), 2)</f>
        <v/>
      </c>
      <c r="Y759" s="28" t="n">
        <v>10.9</v>
      </c>
      <c r="Z759" s="11" t="inlineStr">
        <is>
          <t>Priority Tier 2 (Balanced Opportunity)</t>
        </is>
      </c>
    </row>
    <row r="760">
      <c r="A760" s="23" t="n">
        <v>2</v>
      </c>
      <c r="B760" s="23" t="n">
        <v>756</v>
      </c>
      <c r="C760" s="23" t="n">
        <v>1756</v>
      </c>
      <c r="D760" s="23" t="inlineStr">
        <is>
          <t>1705320026</t>
        </is>
      </c>
      <c r="E760" s="11" t="inlineStr">
        <is>
          <t>MIMAROPA Region</t>
        </is>
      </c>
      <c r="F760" s="11" t="inlineStr">
        <is>
          <t>Palawan</t>
        </is>
      </c>
      <c r="G760" s="11" t="inlineStr">
        <is>
          <t>Taytay</t>
        </is>
      </c>
      <c r="H760" s="11" t="inlineStr">
        <is>
          <t>Baras</t>
        </is>
      </c>
      <c r="I760" s="24" t="n">
        <v>10.681414</v>
      </c>
      <c r="J760" s="24" t="n">
        <v>119.6368</v>
      </c>
      <c r="K760" s="23" t="inlineStr">
        <is>
          <t>R</t>
        </is>
      </c>
      <c r="L760" s="25" t="n">
        <v>980</v>
      </c>
      <c r="M760" s="26" t="n">
        <v>3.9</v>
      </c>
      <c r="N760" s="25">
        <f>ROUND(L760/M760, 0)</f>
        <v/>
      </c>
      <c r="O760" s="25">
        <f>ROUND(N760*'Methodology &amp; Assumptions'!$B$7, 0)</f>
        <v/>
      </c>
      <c r="P760" s="23" t="inlineStr">
        <is>
          <t>Single Carrier (Band n50, 100MHz TDD)</t>
        </is>
      </c>
      <c r="Q760" s="27">
        <f>ROUNDUP(O760/'Methodology &amp; Assumptions'!$B$8, 0)</f>
        <v/>
      </c>
      <c r="R760" s="27" t="n">
        <v>1</v>
      </c>
      <c r="S760" s="26" t="n">
        <v>7.32</v>
      </c>
      <c r="T760" s="26" t="n">
        <v>15.94</v>
      </c>
      <c r="U760" s="11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26" t="n">
        <v>48.37</v>
      </c>
      <c r="W760" s="26" t="n">
        <v>77.52</v>
      </c>
      <c r="X760" s="26">
        <f>ROUND(('Methodology &amp; Assumptions'!$B$5*V760) + ('Methodology &amp; Assumptions'!$B$6*W760), 2)</f>
        <v/>
      </c>
      <c r="Y760" s="28" t="n">
        <v>15</v>
      </c>
      <c r="Z760" s="11" t="inlineStr">
        <is>
          <t>Priority Tier 2 (Balanced Opportunity)</t>
        </is>
      </c>
    </row>
    <row r="761">
      <c r="A761" s="23" t="n">
        <v>2</v>
      </c>
      <c r="B761" s="23" t="n">
        <v>757</v>
      </c>
      <c r="C761" s="23" t="n">
        <v>1757</v>
      </c>
      <c r="D761" s="23" t="inlineStr">
        <is>
          <t>1908709004</t>
        </is>
      </c>
      <c r="E761" s="11" t="inlineStr">
        <is>
          <t>Bangsamoro Autonomous Region In Muslim Mindanao (BARMM)</t>
        </is>
      </c>
      <c r="F761" s="11" t="inlineStr">
        <is>
          <t>Maguindanao del Norte</t>
        </is>
      </c>
      <c r="G761" s="11" t="inlineStr">
        <is>
          <t>Parang</t>
        </is>
      </c>
      <c r="H761" s="11" t="inlineStr">
        <is>
          <t>Datu Macarimbang Biruar</t>
        </is>
      </c>
      <c r="I761" s="24" t="n">
        <v>7.329387</v>
      </c>
      <c r="J761" s="24" t="n">
        <v>124.03351</v>
      </c>
      <c r="K761" s="23" t="inlineStr">
        <is>
          <t>R</t>
        </is>
      </c>
      <c r="L761" s="25" t="n">
        <v>3883</v>
      </c>
      <c r="M761" s="26" t="n">
        <v>4.3</v>
      </c>
      <c r="N761" s="25">
        <f>ROUND(L761/M761, 0)</f>
        <v/>
      </c>
      <c r="O761" s="25">
        <f>ROUND(N761*'Methodology &amp; Assumptions'!$B$7, 0)</f>
        <v/>
      </c>
      <c r="P761" s="23" t="inlineStr">
        <is>
          <t>Single Carrier (Band n50, 100MHz TDD)</t>
        </is>
      </c>
      <c r="Q761" s="27">
        <f>ROUNDUP(O761/'Methodology &amp; Assumptions'!$B$8, 0)</f>
        <v/>
      </c>
      <c r="R761" s="27" t="n">
        <v>1</v>
      </c>
      <c r="S761" s="26" t="n">
        <v>80.2</v>
      </c>
      <c r="T761" s="26" t="n">
        <v>69.06</v>
      </c>
      <c r="U761" s="11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26" t="n">
        <v>59.06</v>
      </c>
      <c r="W761" s="26" t="n">
        <v>66.83</v>
      </c>
      <c r="X761" s="26">
        <f>ROUND(('Methodology &amp; Assumptions'!$B$5*V761) + ('Methodology &amp; Assumptions'!$B$6*W761), 2)</f>
        <v/>
      </c>
      <c r="Y761" s="28" t="n">
        <v>11</v>
      </c>
      <c r="Z761" s="11" t="inlineStr">
        <is>
          <t>Priority Tier 2 (Balanced Opportunity)</t>
        </is>
      </c>
    </row>
    <row r="762">
      <c r="A762" s="23" t="n">
        <v>2</v>
      </c>
      <c r="B762" s="23" t="n">
        <v>758</v>
      </c>
      <c r="C762" s="23" t="n">
        <v>1758</v>
      </c>
      <c r="D762" s="23" t="inlineStr">
        <is>
          <t>1705205016</t>
        </is>
      </c>
      <c r="E762" s="11" t="inlineStr">
        <is>
          <t>MIMAROPA Region</t>
        </is>
      </c>
      <c r="F762" s="11" t="inlineStr">
        <is>
          <t>Oriental Mindoro</t>
        </is>
      </c>
      <c r="G762" s="11" t="inlineStr">
        <is>
          <t>City of Calapan</t>
        </is>
      </c>
      <c r="H762" s="11" t="inlineStr">
        <is>
          <t>Camilmil</t>
        </is>
      </c>
      <c r="I762" s="24" t="n">
        <v>13.405569</v>
      </c>
      <c r="J762" s="24" t="n">
        <v>121.175401</v>
      </c>
      <c r="K762" s="23" t="inlineStr">
        <is>
          <t>U</t>
        </is>
      </c>
      <c r="L762" s="25" t="n">
        <v>4121</v>
      </c>
      <c r="M762" s="26" t="n">
        <v>3.9</v>
      </c>
      <c r="N762" s="25">
        <f>ROUND(L762/M762, 0)</f>
        <v/>
      </c>
      <c r="O762" s="25">
        <f>ROUND(N762*'Methodology &amp; Assumptions'!$B$7, 0)</f>
        <v/>
      </c>
      <c r="P762" s="23" t="inlineStr">
        <is>
          <t>Single Carrier (Band n50, 100MHz TDD)</t>
        </is>
      </c>
      <c r="Q762" s="27">
        <f>ROUNDUP(O762/'Methodology &amp; Assumptions'!$B$8, 0)</f>
        <v/>
      </c>
      <c r="R762" s="27" t="n">
        <v>1</v>
      </c>
      <c r="S762" s="26" t="n">
        <v>2.91</v>
      </c>
      <c r="T762" s="26" t="n">
        <v>3.39</v>
      </c>
      <c r="U762" s="11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26" t="n">
        <v>68.81</v>
      </c>
      <c r="W762" s="26" t="n">
        <v>57.04</v>
      </c>
      <c r="X762" s="26">
        <f>ROUND(('Methodology &amp; Assumptions'!$B$5*V762) + ('Methodology &amp; Assumptions'!$B$6*W762), 2)</f>
        <v/>
      </c>
      <c r="Y762" s="28" t="n">
        <v>15</v>
      </c>
      <c r="Z762" s="11" t="inlineStr">
        <is>
          <t>Priority Tier 2 (Balanced Opportunity)</t>
        </is>
      </c>
    </row>
    <row r="763">
      <c r="A763" s="23" t="n">
        <v>2</v>
      </c>
      <c r="B763" s="23" t="n">
        <v>759</v>
      </c>
      <c r="C763" s="23" t="n">
        <v>1759</v>
      </c>
      <c r="D763" s="23" t="inlineStr">
        <is>
          <t>1380200010</t>
        </is>
      </c>
      <c r="E763" s="11" t="inlineStr">
        <is>
          <t>National Capital Region (NCR)</t>
        </is>
      </c>
      <c r="F763" s="11" t="inlineStr">
        <is>
          <t>Fourth District (Not a Province)</t>
        </is>
      </c>
      <c r="G763" s="11" t="inlineStr">
        <is>
          <t>City of Las Piñas</t>
        </is>
      </c>
      <c r="H763" s="11" t="inlineStr">
        <is>
          <t>Almanza Dos</t>
        </is>
      </c>
      <c r="I763" s="24" t="n">
        <v>14.41845</v>
      </c>
      <c r="J763" s="24" t="n">
        <v>121.017843</v>
      </c>
      <c r="K763" s="23" t="inlineStr">
        <is>
          <t>U</t>
        </is>
      </c>
      <c r="L763" s="25" t="n">
        <v>36679</v>
      </c>
      <c r="M763" s="26" t="n">
        <v>3.61</v>
      </c>
      <c r="N763" s="25">
        <f>ROUND(L763/M763, 0)</f>
        <v/>
      </c>
      <c r="O763" s="25">
        <f>ROUND(N763*'Methodology &amp; Assumptions'!$B$7, 0)</f>
        <v/>
      </c>
      <c r="P763" s="23" t="inlineStr">
        <is>
          <t>Single Carrier (Band n50, 100MHz TDD)</t>
        </is>
      </c>
      <c r="Q763" s="27">
        <f>ROUNDUP(O763/'Methodology &amp; Assumptions'!$B$8, 0)</f>
        <v/>
      </c>
      <c r="R763" s="27" t="n">
        <v>1</v>
      </c>
      <c r="S763" s="26" t="n">
        <v>1.13</v>
      </c>
      <c r="T763" s="26" t="n">
        <v>0.97</v>
      </c>
      <c r="U763" s="11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26" t="n">
        <v>65.90000000000001</v>
      </c>
      <c r="W763" s="26" t="n">
        <v>59.97</v>
      </c>
      <c r="X763" s="26">
        <f>ROUND(('Methodology &amp; Assumptions'!$B$5*V763) + ('Methodology &amp; Assumptions'!$B$6*W763), 2)</f>
        <v/>
      </c>
      <c r="Y763" s="28" t="n">
        <v>10.9</v>
      </c>
      <c r="Z763" s="11" t="inlineStr">
        <is>
          <t>Priority Tier 2 (Balanced Opportunity)</t>
        </is>
      </c>
    </row>
    <row r="764">
      <c r="A764" s="23" t="n">
        <v>2</v>
      </c>
      <c r="B764" s="23" t="n">
        <v>760</v>
      </c>
      <c r="C764" s="23" t="n">
        <v>1760</v>
      </c>
      <c r="D764" s="23" t="inlineStr">
        <is>
          <t>1381400012</t>
        </is>
      </c>
      <c r="E764" s="11" t="inlineStr">
        <is>
          <t>National Capital Region (NCR)</t>
        </is>
      </c>
      <c r="F764" s="11" t="inlineStr">
        <is>
          <t>Second District (Not a Province)</t>
        </is>
      </c>
      <c r="G764" s="11" t="inlineStr">
        <is>
          <t>City of San Juan</t>
        </is>
      </c>
      <c r="H764" s="11" t="inlineStr">
        <is>
          <t>Pasadeña</t>
        </is>
      </c>
      <c r="I764" s="24" t="n">
        <v>14.609405</v>
      </c>
      <c r="J764" s="24" t="n">
        <v>121.03427</v>
      </c>
      <c r="K764" s="23" t="inlineStr">
        <is>
          <t>U</t>
        </is>
      </c>
      <c r="L764" s="25" t="n">
        <v>4643</v>
      </c>
      <c r="M764" s="26" t="n">
        <v>4.49</v>
      </c>
      <c r="N764" s="25">
        <f>ROUND(L764/M764, 0)</f>
        <v/>
      </c>
      <c r="O764" s="25">
        <f>ROUND(N764*'Methodology &amp; Assumptions'!$B$7, 0)</f>
        <v/>
      </c>
      <c r="P764" s="23" t="inlineStr">
        <is>
          <t>Single Carrier (Band n50, 100MHz TDD)</t>
        </is>
      </c>
      <c r="Q764" s="27">
        <f>ROUNDUP(O764/'Methodology &amp; Assumptions'!$B$8, 0)</f>
        <v/>
      </c>
      <c r="R764" s="27" t="n">
        <v>1</v>
      </c>
      <c r="S764" s="26" t="n">
        <v>2.17</v>
      </c>
      <c r="T764" s="26" t="n">
        <v>0.33</v>
      </c>
      <c r="U764" s="11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26" t="n">
        <v>64.28</v>
      </c>
      <c r="W764" s="26" t="n">
        <v>61.57</v>
      </c>
      <c r="X764" s="26">
        <f>ROUND(('Methodology &amp; Assumptions'!$B$5*V764) + ('Methodology &amp; Assumptions'!$B$6*W764), 2)</f>
        <v/>
      </c>
      <c r="Y764" s="28" t="n">
        <v>10.9</v>
      </c>
      <c r="Z764" s="11" t="inlineStr">
        <is>
          <t>Priority Tier 2 (Balanced Opportunity)</t>
        </is>
      </c>
    </row>
    <row r="765">
      <c r="A765" s="23" t="n">
        <v>2</v>
      </c>
      <c r="B765" s="23" t="n">
        <v>761</v>
      </c>
      <c r="C765" s="23" t="n">
        <v>1761</v>
      </c>
      <c r="D765" s="23" t="inlineStr">
        <is>
          <t>0102805023</t>
        </is>
      </c>
      <c r="E765" s="11" t="inlineStr">
        <is>
          <t>Region I (Ilocos Region)</t>
        </is>
      </c>
      <c r="F765" s="11" t="inlineStr">
        <is>
          <t>Ilocos Norte</t>
        </is>
      </c>
      <c r="G765" s="11" t="inlineStr">
        <is>
          <t>City of Batac</t>
        </is>
      </c>
      <c r="H765" s="11" t="inlineStr">
        <is>
          <t>Ablan Pob.</t>
        </is>
      </c>
      <c r="I765" s="24" t="n">
        <v>18.05698</v>
      </c>
      <c r="J765" s="24" t="n">
        <v>120.566045</v>
      </c>
      <c r="K765" s="23" t="inlineStr">
        <is>
          <t>R</t>
        </is>
      </c>
      <c r="L765" s="25" t="n">
        <v>751</v>
      </c>
      <c r="M765" s="26" t="n">
        <v>3.7</v>
      </c>
      <c r="N765" s="25">
        <f>ROUND(L765/M765, 0)</f>
        <v/>
      </c>
      <c r="O765" s="25">
        <f>ROUND(N765*'Methodology &amp; Assumptions'!$B$7, 0)</f>
        <v/>
      </c>
      <c r="P765" s="23" t="inlineStr">
        <is>
          <t>Single Carrier (Band n50, 100MHz TDD)</t>
        </is>
      </c>
      <c r="Q765" s="27">
        <f>ROUNDUP(O765/'Methodology &amp; Assumptions'!$B$8, 0)</f>
        <v/>
      </c>
      <c r="R765" s="27" t="n">
        <v>1</v>
      </c>
      <c r="S765" s="26" t="n">
        <v>1.47</v>
      </c>
      <c r="T765" s="26" t="n">
        <v>0.88</v>
      </c>
      <c r="U765" s="11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26" t="n">
        <v>63.28</v>
      </c>
      <c r="W765" s="26" t="n">
        <v>62.59</v>
      </c>
      <c r="X765" s="26">
        <f>ROUND(('Methodology &amp; Assumptions'!$B$5*V765) + ('Methodology &amp; Assumptions'!$B$6*W765), 2)</f>
        <v/>
      </c>
      <c r="Y765" s="28" t="n">
        <v>8.300000000000001</v>
      </c>
      <c r="Z765" s="11" t="inlineStr">
        <is>
          <t>Priority Tier 2 (Balanced Opportunity)</t>
        </is>
      </c>
    </row>
    <row r="766">
      <c r="A766" s="23" t="n">
        <v>2</v>
      </c>
      <c r="B766" s="23" t="n">
        <v>762</v>
      </c>
      <c r="C766" s="23" t="n">
        <v>1762</v>
      </c>
      <c r="D766" s="23" t="inlineStr">
        <is>
          <t>1908709025</t>
        </is>
      </c>
      <c r="E766" s="11" t="inlineStr">
        <is>
          <t>Bangsamoro Autonomous Region In Muslim Mindanao (BARMM)</t>
        </is>
      </c>
      <c r="F766" s="11" t="inlineStr">
        <is>
          <t>Maguindanao del Norte</t>
        </is>
      </c>
      <c r="G766" s="11" t="inlineStr">
        <is>
          <t>Parang</t>
        </is>
      </c>
      <c r="H766" s="11" t="inlineStr">
        <is>
          <t>Tuca-Maror</t>
        </is>
      </c>
      <c r="I766" s="24" t="n">
        <v>7.371826</v>
      </c>
      <c r="J766" s="24" t="n">
        <v>124.067268</v>
      </c>
      <c r="K766" s="23" t="inlineStr">
        <is>
          <t>R</t>
        </is>
      </c>
      <c r="L766" s="25" t="n">
        <v>4924</v>
      </c>
      <c r="M766" s="26" t="n">
        <v>4.3</v>
      </c>
      <c r="N766" s="25">
        <f>ROUND(L766/M766, 0)</f>
        <v/>
      </c>
      <c r="O766" s="25">
        <f>ROUND(N766*'Methodology &amp; Assumptions'!$B$7, 0)</f>
        <v/>
      </c>
      <c r="P766" s="23" t="inlineStr">
        <is>
          <t>Single Carrier (Band n50, 100MHz TDD)</t>
        </is>
      </c>
      <c r="Q766" s="27">
        <f>ROUNDUP(O766/'Methodology &amp; Assumptions'!$B$8, 0)</f>
        <v/>
      </c>
      <c r="R766" s="27" t="n">
        <v>1</v>
      </c>
      <c r="S766" s="26" t="n">
        <v>74.54000000000001</v>
      </c>
      <c r="T766" s="26" t="n">
        <v>66.62</v>
      </c>
      <c r="U766" s="11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26" t="n">
        <v>59.06</v>
      </c>
      <c r="W766" s="26" t="n">
        <v>66.81</v>
      </c>
      <c r="X766" s="26">
        <f>ROUND(('Methodology &amp; Assumptions'!$B$5*V766) + ('Methodology &amp; Assumptions'!$B$6*W766), 2)</f>
        <v/>
      </c>
      <c r="Y766" s="28" t="n">
        <v>11</v>
      </c>
      <c r="Z766" s="11" t="inlineStr">
        <is>
          <t>Priority Tier 2 (Balanced Opportunity)</t>
        </is>
      </c>
    </row>
    <row r="767">
      <c r="A767" s="23" t="n">
        <v>2</v>
      </c>
      <c r="B767" s="23" t="n">
        <v>763</v>
      </c>
      <c r="C767" s="23" t="n">
        <v>1763</v>
      </c>
      <c r="D767" s="23" t="inlineStr">
        <is>
          <t>1380601150</t>
        </is>
      </c>
      <c r="E767" s="11" t="inlineStr">
        <is>
          <t>National Capital Region (NCR)</t>
        </is>
      </c>
      <c r="F767" s="11" t="inlineStr">
        <is>
          <t>First District (Not a Province)</t>
        </is>
      </c>
      <c r="G767" s="11" t="inlineStr">
        <is>
          <t>City of Manila</t>
        </is>
      </c>
      <c r="H767" s="11" t="inlineStr">
        <is>
          <t>Barangay 150</t>
        </is>
      </c>
      <c r="I767" s="24" t="n">
        <v>14.66606</v>
      </c>
      <c r="J767" s="24" t="n">
        <v>120.9972</v>
      </c>
      <c r="K767" s="23" t="inlineStr">
        <is>
          <t>U</t>
        </is>
      </c>
      <c r="L767" s="25" t="n">
        <v>1922</v>
      </c>
      <c r="M767" s="26" t="n">
        <v>4.11</v>
      </c>
      <c r="N767" s="25">
        <f>ROUND(L767/M767, 0)</f>
        <v/>
      </c>
      <c r="O767" s="25">
        <f>ROUND(N767*'Methodology &amp; Assumptions'!$B$7, 0)</f>
        <v/>
      </c>
      <c r="P767" s="23" t="inlineStr">
        <is>
          <t>Single Carrier (Band n50, 100MHz TDD)</t>
        </is>
      </c>
      <c r="Q767" s="27">
        <f>ROUNDUP(O767/'Methodology &amp; Assumptions'!$B$8, 0)</f>
        <v/>
      </c>
      <c r="R767" s="27" t="n">
        <v>1</v>
      </c>
      <c r="S767" s="26" t="n">
        <v>1.01</v>
      </c>
      <c r="T767" s="26" t="n">
        <v>0.66</v>
      </c>
      <c r="U767" s="11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26" t="n">
        <v>55.44</v>
      </c>
      <c r="W767" s="26" t="n">
        <v>70.43000000000001</v>
      </c>
      <c r="X767" s="26">
        <f>ROUND(('Methodology &amp; Assumptions'!$B$5*V767) + ('Methodology &amp; Assumptions'!$B$6*W767), 2)</f>
        <v/>
      </c>
      <c r="Y767" s="28" t="n">
        <v>10.9</v>
      </c>
      <c r="Z767" s="11" t="inlineStr">
        <is>
          <t>Priority Tier 2 (Balanced Opportunity)</t>
        </is>
      </c>
    </row>
    <row r="768">
      <c r="A768" s="23" t="n">
        <v>2</v>
      </c>
      <c r="B768" s="23" t="n">
        <v>764</v>
      </c>
      <c r="C768" s="23" t="n">
        <v>1764</v>
      </c>
      <c r="D768" s="23" t="inlineStr">
        <is>
          <t>1381100152</t>
        </is>
      </c>
      <c r="E768" s="11" t="inlineStr">
        <is>
          <t>National Capital Region (NCR)</t>
        </is>
      </c>
      <c r="F768" s="11" t="inlineStr">
        <is>
          <t>Fourth District (Not a Province)</t>
        </is>
      </c>
      <c r="G768" s="11" t="inlineStr">
        <is>
          <t>Pasay City</t>
        </is>
      </c>
      <c r="H768" s="11" t="inlineStr">
        <is>
          <t>Barangay 152</t>
        </is>
      </c>
      <c r="I768" s="24" t="n">
        <v>14.537567</v>
      </c>
      <c r="J768" s="24" t="n">
        <v>121.006511</v>
      </c>
      <c r="K768" s="23" t="inlineStr">
        <is>
          <t>U</t>
        </is>
      </c>
      <c r="L768" s="25" t="n">
        <v>1521</v>
      </c>
      <c r="M768" s="26" t="n">
        <v>3.2</v>
      </c>
      <c r="N768" s="25">
        <f>ROUND(L768/M768, 0)</f>
        <v/>
      </c>
      <c r="O768" s="25">
        <f>ROUND(N768*'Methodology &amp; Assumptions'!$B$7, 0)</f>
        <v/>
      </c>
      <c r="P768" s="23" t="inlineStr">
        <is>
          <t>Single Carrier (Band n50, 100MHz TDD)</t>
        </is>
      </c>
      <c r="Q768" s="27">
        <f>ROUNDUP(O768/'Methodology &amp; Assumptions'!$B$8, 0)</f>
        <v/>
      </c>
      <c r="R768" s="27" t="n">
        <v>1</v>
      </c>
      <c r="S768" s="26" t="n">
        <v>1.45</v>
      </c>
      <c r="T768" s="26" t="n">
        <v>0.34</v>
      </c>
      <c r="U768" s="11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26" t="n">
        <v>53.98</v>
      </c>
      <c r="W768" s="26" t="n">
        <v>71.88</v>
      </c>
      <c r="X768" s="26">
        <f>ROUND(('Methodology &amp; Assumptions'!$B$5*V768) + ('Methodology &amp; Assumptions'!$B$6*W768), 2)</f>
        <v/>
      </c>
      <c r="Y768" s="28" t="n">
        <v>10.9</v>
      </c>
      <c r="Z768" s="11" t="inlineStr">
        <is>
          <t>Priority Tier 2 (Balanced Opportunity)</t>
        </is>
      </c>
    </row>
    <row r="769">
      <c r="A769" s="23" t="n">
        <v>2</v>
      </c>
      <c r="B769" s="23" t="n">
        <v>765</v>
      </c>
      <c r="C769" s="23" t="n">
        <v>1765</v>
      </c>
      <c r="D769" s="23" t="inlineStr">
        <is>
          <t>0402106003</t>
        </is>
      </c>
      <c r="E769" s="11" t="inlineStr">
        <is>
          <t>Region IV-A (CALABARZON)</t>
        </is>
      </c>
      <c r="F769" s="11" t="inlineStr">
        <is>
          <t>Cavite</t>
        </is>
      </c>
      <c r="G769" s="11" t="inlineStr">
        <is>
          <t>City of Dasmariñas</t>
        </is>
      </c>
      <c r="H769" s="11" t="inlineStr">
        <is>
          <t>Burol</t>
        </is>
      </c>
      <c r="I769" s="24" t="n">
        <v>14.329344</v>
      </c>
      <c r="J769" s="24" t="n">
        <v>120.949059</v>
      </c>
      <c r="K769" s="23" t="inlineStr">
        <is>
          <t>U</t>
        </is>
      </c>
      <c r="L769" s="25" t="n">
        <v>12529</v>
      </c>
      <c r="M769" s="26" t="n">
        <v>3.4</v>
      </c>
      <c r="N769" s="25">
        <f>ROUND(L769/M769, 0)</f>
        <v/>
      </c>
      <c r="O769" s="25">
        <f>ROUND(N769*'Methodology &amp; Assumptions'!$B$7, 0)</f>
        <v/>
      </c>
      <c r="P769" s="23" t="inlineStr">
        <is>
          <t>Single Carrier (Band n50, 100MHz TDD)</t>
        </is>
      </c>
      <c r="Q769" s="27">
        <f>ROUNDUP(O769/'Methodology &amp; Assumptions'!$B$8, 0)</f>
        <v/>
      </c>
      <c r="R769" s="27" t="n">
        <v>1</v>
      </c>
      <c r="S769" s="26" t="n">
        <v>2.57</v>
      </c>
      <c r="T769" s="26" t="n">
        <v>3.11</v>
      </c>
      <c r="U769" s="11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26" t="n">
        <v>68.66</v>
      </c>
      <c r="W769" s="26" t="n">
        <v>57.18</v>
      </c>
      <c r="X769" s="26">
        <f>ROUND(('Methodology &amp; Assumptions'!$B$5*V769) + ('Methodology &amp; Assumptions'!$B$6*W769), 2)</f>
        <v/>
      </c>
      <c r="Y769" s="28" t="n">
        <v>7.2</v>
      </c>
      <c r="Z769" s="11" t="inlineStr">
        <is>
          <t>Priority Tier 2 (Balanced Opportunity)</t>
        </is>
      </c>
    </row>
    <row r="770">
      <c r="A770" s="23" t="n">
        <v>2</v>
      </c>
      <c r="B770" s="23" t="n">
        <v>766</v>
      </c>
      <c r="C770" s="23" t="n">
        <v>1766</v>
      </c>
      <c r="D770" s="23" t="inlineStr">
        <is>
          <t>0405647006</t>
        </is>
      </c>
      <c r="E770" s="11" t="inlineStr">
        <is>
          <t>Region IV-A (CALABARZON)</t>
        </is>
      </c>
      <c r="F770" s="11" t="inlineStr">
        <is>
          <t>Quezon</t>
        </is>
      </c>
      <c r="G770" s="11" t="inlineStr">
        <is>
          <t>City of Tayabas</t>
        </is>
      </c>
      <c r="H770" s="11" t="inlineStr">
        <is>
          <t>Angeles Zone IV</t>
        </is>
      </c>
      <c r="I770" s="24" t="n">
        <v>14.03042</v>
      </c>
      <c r="J770" s="24" t="n">
        <v>121.596512</v>
      </c>
      <c r="K770" s="23" t="inlineStr">
        <is>
          <t>R</t>
        </is>
      </c>
      <c r="L770" s="25" t="n">
        <v>919</v>
      </c>
      <c r="M770" s="26" t="n">
        <v>3.8</v>
      </c>
      <c r="N770" s="25">
        <f>ROUND(L770/M770, 0)</f>
        <v/>
      </c>
      <c r="O770" s="25">
        <f>ROUND(N770*'Methodology &amp; Assumptions'!$B$7, 0)</f>
        <v/>
      </c>
      <c r="P770" s="23" t="inlineStr">
        <is>
          <t>Single Carrier (Band n50, 100MHz TDD)</t>
        </is>
      </c>
      <c r="Q770" s="27">
        <f>ROUNDUP(O770/'Methodology &amp; Assumptions'!$B$8, 0)</f>
        <v/>
      </c>
      <c r="R770" s="27" t="n">
        <v>1</v>
      </c>
      <c r="S770" s="26" t="n">
        <v>0.8100000000000001</v>
      </c>
      <c r="T770" s="26" t="n">
        <v>0.59</v>
      </c>
      <c r="U770" s="11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26" t="n">
        <v>66.8</v>
      </c>
      <c r="W770" s="26" t="n">
        <v>59.05</v>
      </c>
      <c r="X770" s="26">
        <f>ROUND(('Methodology &amp; Assumptions'!$B$5*V770) + ('Methodology &amp; Assumptions'!$B$6*W770), 2)</f>
        <v/>
      </c>
      <c r="Y770" s="28" t="n">
        <v>7.2</v>
      </c>
      <c r="Z770" s="11" t="inlineStr">
        <is>
          <t>Priority Tier 2 (Balanced Opportunity)</t>
        </is>
      </c>
    </row>
    <row r="771">
      <c r="A771" s="23" t="n">
        <v>2</v>
      </c>
      <c r="B771" s="23" t="n">
        <v>767</v>
      </c>
      <c r="C771" s="23" t="n">
        <v>1767</v>
      </c>
      <c r="D771" s="23" t="inlineStr">
        <is>
          <t>0301410045</t>
        </is>
      </c>
      <c r="E771" s="11" t="inlineStr">
        <is>
          <t>Region III (Central Luzon)</t>
        </is>
      </c>
      <c r="F771" s="11" t="inlineStr">
        <is>
          <t>Bulacan</t>
        </is>
      </c>
      <c r="G771" s="11" t="inlineStr">
        <is>
          <t>City of Malolos</t>
        </is>
      </c>
      <c r="H771" s="11" t="inlineStr">
        <is>
          <t>San Vicente</t>
        </is>
      </c>
      <c r="I771" s="24" t="n">
        <v>14.843157</v>
      </c>
      <c r="J771" s="24" t="n">
        <v>120.816009</v>
      </c>
      <c r="K771" s="23" t="inlineStr">
        <is>
          <t>U</t>
        </is>
      </c>
      <c r="L771" s="25" t="n">
        <v>2511</v>
      </c>
      <c r="M771" s="26" t="n">
        <v>3.5</v>
      </c>
      <c r="N771" s="25">
        <f>ROUND(L771/M771, 0)</f>
        <v/>
      </c>
      <c r="O771" s="25">
        <f>ROUND(N771*'Methodology &amp; Assumptions'!$B$7, 0)</f>
        <v/>
      </c>
      <c r="P771" s="23" t="inlineStr">
        <is>
          <t>Single Carrier (Band n50, 100MHz TDD)</t>
        </is>
      </c>
      <c r="Q771" s="27">
        <f>ROUNDUP(O771/'Methodology &amp; Assumptions'!$B$8, 0)</f>
        <v/>
      </c>
      <c r="R771" s="27" t="n">
        <v>1</v>
      </c>
      <c r="S771" s="26" t="n">
        <v>0.51</v>
      </c>
      <c r="T771" s="26" t="n">
        <v>0.92</v>
      </c>
      <c r="U771" s="11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26" t="n">
        <v>75.11</v>
      </c>
      <c r="W771" s="26" t="n">
        <v>50.7</v>
      </c>
      <c r="X771" s="26">
        <f>ROUND(('Methodology &amp; Assumptions'!$B$5*V771) + ('Methodology &amp; Assumptions'!$B$6*W771), 2)</f>
        <v/>
      </c>
      <c r="Y771" s="28" t="n">
        <v>8.300000000000001</v>
      </c>
      <c r="Z771" s="11" t="inlineStr">
        <is>
          <t>Priority Tier 2 (Balanced Opportunity)</t>
        </is>
      </c>
    </row>
    <row r="772">
      <c r="A772" s="23" t="n">
        <v>2</v>
      </c>
      <c r="B772" s="23" t="n">
        <v>768</v>
      </c>
      <c r="C772" s="23" t="n">
        <v>1768</v>
      </c>
      <c r="D772" s="23" t="inlineStr">
        <is>
          <t>1380601232</t>
        </is>
      </c>
      <c r="E772" s="11" t="inlineStr">
        <is>
          <t>National Capital Region (NCR)</t>
        </is>
      </c>
      <c r="F772" s="11" t="inlineStr">
        <is>
          <t>First District (Not a Province)</t>
        </is>
      </c>
      <c r="G772" s="11" t="inlineStr">
        <is>
          <t>City of Manila</t>
        </is>
      </c>
      <c r="H772" s="11" t="inlineStr">
        <is>
          <t>Barangay 231</t>
        </is>
      </c>
      <c r="I772" s="24" t="n">
        <v>14.620425</v>
      </c>
      <c r="J772" s="24" t="n">
        <v>120.976829</v>
      </c>
      <c r="K772" s="23" t="inlineStr">
        <is>
          <t>U</t>
        </is>
      </c>
      <c r="L772" s="25" t="n">
        <v>1389</v>
      </c>
      <c r="M772" s="26" t="n">
        <v>3.6</v>
      </c>
      <c r="N772" s="25">
        <f>ROUND(L772/M772, 0)</f>
        <v/>
      </c>
      <c r="O772" s="25">
        <f>ROUND(N772*'Methodology &amp; Assumptions'!$B$7, 0)</f>
        <v/>
      </c>
      <c r="P772" s="23" t="inlineStr">
        <is>
          <t>Single Carrier (Band n50, 100MHz TDD)</t>
        </is>
      </c>
      <c r="Q772" s="27">
        <f>ROUNDUP(O772/'Methodology &amp; Assumptions'!$B$8, 0)</f>
        <v/>
      </c>
      <c r="R772" s="27" t="n">
        <v>1</v>
      </c>
      <c r="S772" s="26" t="n">
        <v>0.78</v>
      </c>
      <c r="T772" s="26" t="n">
        <v>0.14</v>
      </c>
      <c r="U772" s="11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26" t="n">
        <v>53.52</v>
      </c>
      <c r="W772" s="26" t="n">
        <v>72.31</v>
      </c>
      <c r="X772" s="26">
        <f>ROUND(('Methodology &amp; Assumptions'!$B$5*V772) + ('Methodology &amp; Assumptions'!$B$6*W772), 2)</f>
        <v/>
      </c>
      <c r="Y772" s="28" t="n">
        <v>10.9</v>
      </c>
      <c r="Z772" s="11" t="inlineStr">
        <is>
          <t>Priority Tier 2 (Balanced Opportunity)</t>
        </is>
      </c>
    </row>
    <row r="773">
      <c r="A773" s="23" t="n">
        <v>2</v>
      </c>
      <c r="B773" s="23" t="n">
        <v>769</v>
      </c>
      <c r="C773" s="23" t="n">
        <v>1769</v>
      </c>
      <c r="D773" s="23" t="inlineStr">
        <is>
          <t>0405810005</t>
        </is>
      </c>
      <c r="E773" s="11" t="inlineStr">
        <is>
          <t>Region IV-A (CALABARZON)</t>
        </is>
      </c>
      <c r="F773" s="11" t="inlineStr">
        <is>
          <t>Rizal</t>
        </is>
      </c>
      <c r="G773" s="11" t="inlineStr">
        <is>
          <t>Pililla</t>
        </is>
      </c>
      <c r="H773" s="11" t="inlineStr">
        <is>
          <t>Imatong</t>
        </is>
      </c>
      <c r="I773" s="24" t="n">
        <v>14.82222</v>
      </c>
      <c r="J773" s="24" t="n">
        <v>121.30705</v>
      </c>
      <c r="K773" s="23" t="inlineStr">
        <is>
          <t>R</t>
        </is>
      </c>
      <c r="L773" s="25" t="n">
        <v>916</v>
      </c>
      <c r="M773" s="26" t="n">
        <v>3.6</v>
      </c>
      <c r="N773" s="25">
        <f>ROUND(L773/M773, 0)</f>
        <v/>
      </c>
      <c r="O773" s="25">
        <f>ROUND(N773*'Methodology &amp; Assumptions'!$B$7, 0)</f>
        <v/>
      </c>
      <c r="P773" s="23" t="inlineStr">
        <is>
          <t>Single Carrier (Band n50, 100MHz TDD)</t>
        </is>
      </c>
      <c r="Q773" s="27">
        <f>ROUNDUP(O773/'Methodology &amp; Assumptions'!$B$8, 0)</f>
        <v/>
      </c>
      <c r="R773" s="27" t="n">
        <v>1</v>
      </c>
      <c r="S773" s="26" t="n">
        <v>18.89</v>
      </c>
      <c r="T773" s="26" t="n">
        <v>17.67</v>
      </c>
      <c r="U773" s="11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26" t="n">
        <v>41.88</v>
      </c>
      <c r="W773" s="26" t="n">
        <v>83.95</v>
      </c>
      <c r="X773" s="26">
        <f>ROUND(('Methodology &amp; Assumptions'!$B$5*V773) + ('Methodology &amp; Assumptions'!$B$6*W773), 2)</f>
        <v/>
      </c>
      <c r="Y773" s="28" t="n">
        <v>7.2</v>
      </c>
      <c r="Z773" s="11" t="inlineStr">
        <is>
          <t>Priority Tier 2 (Balanced Opportunity)</t>
        </is>
      </c>
    </row>
    <row r="774">
      <c r="A774" s="23" t="n">
        <v>2</v>
      </c>
      <c r="B774" s="23" t="n">
        <v>770</v>
      </c>
      <c r="C774" s="23" t="n">
        <v>1770</v>
      </c>
      <c r="D774" s="23" t="inlineStr">
        <is>
          <t>0304904015</t>
        </is>
      </c>
      <c r="E774" s="11" t="inlineStr">
        <is>
          <t>Region III (Central Luzon)</t>
        </is>
      </c>
      <c r="F774" s="11" t="inlineStr">
        <is>
          <t>Nueva Ecija</t>
        </is>
      </c>
      <c r="G774" s="11" t="inlineStr">
        <is>
          <t>Cabiao</t>
        </is>
      </c>
      <c r="H774" s="11" t="inlineStr">
        <is>
          <t>San Gregorio</t>
        </is>
      </c>
      <c r="I774" s="24" t="n">
        <v>15.255315</v>
      </c>
      <c r="J774" s="24" t="n">
        <v>120.859696</v>
      </c>
      <c r="K774" s="23" t="inlineStr">
        <is>
          <t>R</t>
        </is>
      </c>
      <c r="L774" s="25" t="n">
        <v>2344</v>
      </c>
      <c r="M774" s="26" t="n">
        <v>3.5</v>
      </c>
      <c r="N774" s="25">
        <f>ROUND(L774/M774, 0)</f>
        <v/>
      </c>
      <c r="O774" s="25">
        <f>ROUND(N774*'Methodology &amp; Assumptions'!$B$7, 0)</f>
        <v/>
      </c>
      <c r="P774" s="23" t="inlineStr">
        <is>
          <t>Single Carrier (Band n50, 100MHz TDD)</t>
        </is>
      </c>
      <c r="Q774" s="27">
        <f>ROUNDUP(O774/'Methodology &amp; Assumptions'!$B$8, 0)</f>
        <v/>
      </c>
      <c r="R774" s="27" t="n">
        <v>1</v>
      </c>
      <c r="S774" s="26" t="n">
        <v>1.12</v>
      </c>
      <c r="T774" s="26" t="n">
        <v>0.25</v>
      </c>
      <c r="U774" s="11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26" t="n">
        <v>79.73</v>
      </c>
      <c r="W774" s="26" t="n">
        <v>46.06</v>
      </c>
      <c r="X774" s="26">
        <f>ROUND(('Methodology &amp; Assumptions'!$B$5*V774) + ('Methodology &amp; Assumptions'!$B$6*W774), 2)</f>
        <v/>
      </c>
      <c r="Y774" s="28" t="n">
        <v>8.300000000000001</v>
      </c>
      <c r="Z774" s="11" t="inlineStr">
        <is>
          <t>Priority Tier 2 (Balanced Opportunity)</t>
        </is>
      </c>
    </row>
    <row r="775">
      <c r="A775" s="23" t="n">
        <v>2</v>
      </c>
      <c r="B775" s="23" t="n">
        <v>771</v>
      </c>
      <c r="C775" s="23" t="n">
        <v>1771</v>
      </c>
      <c r="D775" s="23" t="inlineStr">
        <is>
          <t>1381300029</t>
        </is>
      </c>
      <c r="E775" s="11" t="inlineStr">
        <is>
          <t>National Capital Region (NCR)</t>
        </is>
      </c>
      <c r="F775" s="11" t="inlineStr">
        <is>
          <t>Second District (Not a Province)</t>
        </is>
      </c>
      <c r="G775" s="11" t="inlineStr">
        <is>
          <t>Quezon City</t>
        </is>
      </c>
      <c r="H775" s="11" t="inlineStr">
        <is>
          <t>Del Monte</t>
        </is>
      </c>
      <c r="I775" s="24" t="n">
        <v>14.643532</v>
      </c>
      <c r="J775" s="24" t="n">
        <v>121.014514</v>
      </c>
      <c r="K775" s="23" t="inlineStr">
        <is>
          <t>U</t>
        </is>
      </c>
      <c r="L775" s="25" t="n">
        <v>10819</v>
      </c>
      <c r="M775" s="26" t="n">
        <v>3.97</v>
      </c>
      <c r="N775" s="25">
        <f>ROUND(L775/M775, 0)</f>
        <v/>
      </c>
      <c r="O775" s="25">
        <f>ROUND(N775*'Methodology &amp; Assumptions'!$B$7, 0)</f>
        <v/>
      </c>
      <c r="P775" s="23" t="inlineStr">
        <is>
          <t>Single Carrier (Band n50, 100MHz TDD)</t>
        </is>
      </c>
      <c r="Q775" s="27">
        <f>ROUNDUP(O775/'Methodology &amp; Assumptions'!$B$8, 0)</f>
        <v/>
      </c>
      <c r="R775" s="27" t="n">
        <v>1</v>
      </c>
      <c r="S775" s="26" t="n">
        <v>0.36</v>
      </c>
      <c r="T775" s="26" t="n">
        <v>0.33</v>
      </c>
      <c r="U775" s="11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26" t="n">
        <v>69.09</v>
      </c>
      <c r="W775" s="26" t="n">
        <v>56.71</v>
      </c>
      <c r="X775" s="26">
        <f>ROUND(('Methodology &amp; Assumptions'!$B$5*V775) + ('Methodology &amp; Assumptions'!$B$6*W775), 2)</f>
        <v/>
      </c>
      <c r="Y775" s="28" t="n">
        <v>10.9</v>
      </c>
      <c r="Z775" s="11" t="inlineStr">
        <is>
          <t>Priority Tier 2 (Balanced Opportunity)</t>
        </is>
      </c>
    </row>
    <row r="776">
      <c r="A776" s="23" t="n">
        <v>2</v>
      </c>
      <c r="B776" s="23" t="n">
        <v>772</v>
      </c>
      <c r="C776" s="23" t="n">
        <v>1772</v>
      </c>
      <c r="D776" s="23" t="inlineStr">
        <is>
          <t>1381100181</t>
        </is>
      </c>
      <c r="E776" s="11" t="inlineStr">
        <is>
          <t>National Capital Region (NCR)</t>
        </is>
      </c>
      <c r="F776" s="11" t="inlineStr">
        <is>
          <t>Fourth District (Not a Province)</t>
        </is>
      </c>
      <c r="G776" s="11" t="inlineStr">
        <is>
          <t>Pasay City</t>
        </is>
      </c>
      <c r="H776" s="11" t="inlineStr">
        <is>
          <t>Barangay 181</t>
        </is>
      </c>
      <c r="I776" s="24" t="n">
        <v>14.530458</v>
      </c>
      <c r="J776" s="24" t="n">
        <v>121.011065</v>
      </c>
      <c r="K776" s="23" t="inlineStr">
        <is>
          <t>U</t>
        </is>
      </c>
      <c r="L776" s="25" t="n">
        <v>1918</v>
      </c>
      <c r="M776" s="26" t="n">
        <v>4.09</v>
      </c>
      <c r="N776" s="25">
        <f>ROUND(L776/M776, 0)</f>
        <v/>
      </c>
      <c r="O776" s="25">
        <f>ROUND(N776*'Methodology &amp; Assumptions'!$B$7, 0)</f>
        <v/>
      </c>
      <c r="P776" s="23" t="inlineStr">
        <is>
          <t>Single Carrier (Band n50, 100MHz TDD)</t>
        </is>
      </c>
      <c r="Q776" s="27">
        <f>ROUNDUP(O776/'Methodology &amp; Assumptions'!$B$8, 0)</f>
        <v/>
      </c>
      <c r="R776" s="27" t="n">
        <v>1</v>
      </c>
      <c r="S776" s="26" t="n">
        <v>1.07</v>
      </c>
      <c r="T776" s="26" t="n">
        <v>0.4</v>
      </c>
      <c r="U776" s="11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26" t="n">
        <v>55.33</v>
      </c>
      <c r="W776" s="26" t="n">
        <v>70.47</v>
      </c>
      <c r="X776" s="26">
        <f>ROUND(('Methodology &amp; Assumptions'!$B$5*V776) + ('Methodology &amp; Assumptions'!$B$6*W776), 2)</f>
        <v/>
      </c>
      <c r="Y776" s="28" t="n">
        <v>10.9</v>
      </c>
      <c r="Z776" s="11" t="inlineStr">
        <is>
          <t>Priority Tier 2 (Balanced Opportunity)</t>
        </is>
      </c>
    </row>
    <row r="777">
      <c r="A777" s="23" t="n">
        <v>2</v>
      </c>
      <c r="B777" s="23" t="n">
        <v>773</v>
      </c>
      <c r="C777" s="23" t="n">
        <v>1773</v>
      </c>
      <c r="D777" s="23" t="inlineStr">
        <is>
          <t>0300810013</t>
        </is>
      </c>
      <c r="E777" s="11" t="inlineStr">
        <is>
          <t>Region III (Central Luzon)</t>
        </is>
      </c>
      <c r="F777" s="11" t="inlineStr">
        <is>
          <t>Bataan</t>
        </is>
      </c>
      <c r="G777" s="11" t="inlineStr">
        <is>
          <t>Orion</t>
        </is>
      </c>
      <c r="H777" s="11" t="inlineStr">
        <is>
          <t>Daang Pare</t>
        </is>
      </c>
      <c r="I777" s="24" t="n">
        <v>14.616806</v>
      </c>
      <c r="J777" s="24" t="n">
        <v>120.573298</v>
      </c>
      <c r="K777" s="23" t="inlineStr">
        <is>
          <t>U</t>
        </is>
      </c>
      <c r="L777" s="25" t="n">
        <v>8415</v>
      </c>
      <c r="M777" s="26" t="n">
        <v>3.6</v>
      </c>
      <c r="N777" s="25">
        <f>ROUND(L777/M777, 0)</f>
        <v/>
      </c>
      <c r="O777" s="25">
        <f>ROUND(N777*'Methodology &amp; Assumptions'!$B$7, 0)</f>
        <v/>
      </c>
      <c r="P777" s="23" t="inlineStr">
        <is>
          <t>Single Carrier (Band n50, 100MHz TDD)</t>
        </is>
      </c>
      <c r="Q777" s="27">
        <f>ROUNDUP(O777/'Methodology &amp; Assumptions'!$B$8, 0)</f>
        <v/>
      </c>
      <c r="R777" s="27" t="n">
        <v>1</v>
      </c>
      <c r="S777" s="26" t="n">
        <v>0.64</v>
      </c>
      <c r="T777" s="26" t="n">
        <v>0.5600000000000001</v>
      </c>
      <c r="U777" s="11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26" t="n">
        <v>78.43000000000001</v>
      </c>
      <c r="W777" s="26" t="n">
        <v>47.34</v>
      </c>
      <c r="X777" s="26">
        <f>ROUND(('Methodology &amp; Assumptions'!$B$5*V777) + ('Methodology &amp; Assumptions'!$B$6*W777), 2)</f>
        <v/>
      </c>
      <c r="Y777" s="28" t="n">
        <v>8.300000000000001</v>
      </c>
      <c r="Z777" s="11" t="inlineStr">
        <is>
          <t>Priority Tier 2 (Balanced Opportunity)</t>
        </is>
      </c>
    </row>
    <row r="778">
      <c r="A778" s="23" t="n">
        <v>2</v>
      </c>
      <c r="B778" s="23" t="n">
        <v>774</v>
      </c>
      <c r="C778" s="23" t="n">
        <v>1774</v>
      </c>
      <c r="D778" s="23" t="inlineStr">
        <is>
          <t>1908713004</t>
        </is>
      </c>
      <c r="E778" s="11" t="inlineStr">
        <is>
          <t>Bangsamoro Autonomous Region In Muslim Mindanao (BARMM)</t>
        </is>
      </c>
      <c r="F778" s="11" t="inlineStr">
        <is>
          <t>Maguindanao del Norte</t>
        </is>
      </c>
      <c r="G778" s="11" t="inlineStr">
        <is>
          <t>Upi</t>
        </is>
      </c>
      <c r="H778" s="11" t="inlineStr">
        <is>
          <t>Borongotan</t>
        </is>
      </c>
      <c r="I778" s="24" t="n">
        <v>7.009102</v>
      </c>
      <c r="J778" s="24" t="n">
        <v>124.189347</v>
      </c>
      <c r="K778" s="23" t="inlineStr">
        <is>
          <t>R</t>
        </is>
      </c>
      <c r="L778" s="25" t="n">
        <v>8927</v>
      </c>
      <c r="M778" s="26" t="n">
        <v>4.3</v>
      </c>
      <c r="N778" s="25">
        <f>ROUND(L778/M778, 0)</f>
        <v/>
      </c>
      <c r="O778" s="25">
        <f>ROUND(N778*'Methodology &amp; Assumptions'!$B$7, 0)</f>
        <v/>
      </c>
      <c r="P778" s="23" t="inlineStr">
        <is>
          <t>Single Carrier (Band n50, 100MHz TDD)</t>
        </is>
      </c>
      <c r="Q778" s="27">
        <f>ROUNDUP(O778/'Methodology &amp; Assumptions'!$B$8, 0)</f>
        <v/>
      </c>
      <c r="R778" s="27" t="n">
        <v>1</v>
      </c>
      <c r="S778" s="26" t="n">
        <v>64.18000000000001</v>
      </c>
      <c r="T778" s="26" t="n">
        <v>64.12</v>
      </c>
      <c r="U778" s="11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26" t="n">
        <v>59.06</v>
      </c>
      <c r="W778" s="26" t="n">
        <v>66.73</v>
      </c>
      <c r="X778" s="26">
        <f>ROUND(('Methodology &amp; Assumptions'!$B$5*V778) + ('Methodology &amp; Assumptions'!$B$6*W778), 2)</f>
        <v/>
      </c>
      <c r="Y778" s="28" t="n">
        <v>11</v>
      </c>
      <c r="Z778" s="11" t="inlineStr">
        <is>
          <t>Priority Tier 2 (Balanced Opportunity)</t>
        </is>
      </c>
    </row>
    <row r="779">
      <c r="A779" s="23" t="n">
        <v>2</v>
      </c>
      <c r="B779" s="23" t="n">
        <v>775</v>
      </c>
      <c r="C779" s="23" t="n">
        <v>1775</v>
      </c>
      <c r="D779" s="23" t="inlineStr">
        <is>
          <t>0205008008</t>
        </is>
      </c>
      <c r="E779" s="11" t="inlineStr">
        <is>
          <t>Region II (Cagayan Valley)</t>
        </is>
      </c>
      <c r="F779" s="11" t="inlineStr">
        <is>
          <t>Nueva Vizcaya</t>
        </is>
      </c>
      <c r="G779" s="11" t="inlineStr">
        <is>
          <t>Dupax del Sur</t>
        </is>
      </c>
      <c r="H779" s="11" t="inlineStr">
        <is>
          <t>Ganao</t>
        </is>
      </c>
      <c r="I779" s="24" t="n">
        <v>16.165882</v>
      </c>
      <c r="J779" s="24" t="n">
        <v>121.180465</v>
      </c>
      <c r="K779" s="23" t="inlineStr">
        <is>
          <t>R</t>
        </is>
      </c>
      <c r="L779" s="25" t="n">
        <v>1373</v>
      </c>
      <c r="M779" s="26" t="n">
        <v>3.8</v>
      </c>
      <c r="N779" s="25">
        <f>ROUND(L779/M779, 0)</f>
        <v/>
      </c>
      <c r="O779" s="25">
        <f>ROUND(N779*'Methodology &amp; Assumptions'!$B$7, 0)</f>
        <v/>
      </c>
      <c r="P779" s="23" t="inlineStr">
        <is>
          <t>Single Carrier (Band n50, 100MHz TDD)</t>
        </is>
      </c>
      <c r="Q779" s="27">
        <f>ROUNDUP(O779/'Methodology &amp; Assumptions'!$B$8, 0)</f>
        <v/>
      </c>
      <c r="R779" s="27" t="n">
        <v>1</v>
      </c>
      <c r="S779" s="26" t="n">
        <v>0.02</v>
      </c>
      <c r="T779" s="26" t="n">
        <v>20.88</v>
      </c>
      <c r="U779" s="11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26" t="n">
        <v>70.65000000000001</v>
      </c>
      <c r="W779" s="26" t="n">
        <v>55.1</v>
      </c>
      <c r="X779" s="26">
        <f>ROUND(('Methodology &amp; Assumptions'!$B$5*V779) + ('Methodology &amp; Assumptions'!$B$6*W779), 2)</f>
        <v/>
      </c>
      <c r="Y779" s="28" t="n">
        <v>8.300000000000001</v>
      </c>
      <c r="Z779" s="11" t="inlineStr">
        <is>
          <t>Priority Tier 2 (Balanced Opportunity)</t>
        </is>
      </c>
    </row>
    <row r="780">
      <c r="A780" s="23" t="n">
        <v>2</v>
      </c>
      <c r="B780" s="23" t="n">
        <v>776</v>
      </c>
      <c r="C780" s="23" t="n">
        <v>1776</v>
      </c>
      <c r="D780" s="23" t="inlineStr">
        <is>
          <t>0201505004</t>
        </is>
      </c>
      <c r="E780" s="11" t="inlineStr">
        <is>
          <t>Region II (Cagayan Valley)</t>
        </is>
      </c>
      <c r="F780" s="11" t="inlineStr">
        <is>
          <t>Cagayan</t>
        </is>
      </c>
      <c r="G780" s="11" t="inlineStr">
        <is>
          <t>Aparri</t>
        </is>
      </c>
      <c r="H780" s="11" t="inlineStr">
        <is>
          <t>Bisagu</t>
        </is>
      </c>
      <c r="I780" s="24" t="n">
        <v>18.347843</v>
      </c>
      <c r="J780" s="24" t="n">
        <v>121.618382</v>
      </c>
      <c r="K780" s="23" t="inlineStr">
        <is>
          <t>R</t>
        </is>
      </c>
      <c r="L780" s="25" t="n">
        <v>1830</v>
      </c>
      <c r="M780" s="26" t="n">
        <v>3.9</v>
      </c>
      <c r="N780" s="25">
        <f>ROUND(L780/M780, 0)</f>
        <v/>
      </c>
      <c r="O780" s="25">
        <f>ROUND(N780*'Methodology &amp; Assumptions'!$B$7, 0)</f>
        <v/>
      </c>
      <c r="P780" s="23" t="inlineStr">
        <is>
          <t>Single Carrier (Band n50, 100MHz TDD)</t>
        </is>
      </c>
      <c r="Q780" s="27">
        <f>ROUNDUP(O780/'Methodology &amp; Assumptions'!$B$8, 0)</f>
        <v/>
      </c>
      <c r="R780" s="27" t="n">
        <v>1</v>
      </c>
      <c r="S780" s="26" t="n">
        <v>2.09</v>
      </c>
      <c r="T780" s="26" t="n">
        <v>8.300000000000001</v>
      </c>
      <c r="U780" s="11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26" t="n">
        <v>66.25</v>
      </c>
      <c r="W780" s="26" t="n">
        <v>59.51</v>
      </c>
      <c r="X780" s="26">
        <f>ROUND(('Methodology &amp; Assumptions'!$B$5*V780) + ('Methodology &amp; Assumptions'!$B$6*W780), 2)</f>
        <v/>
      </c>
      <c r="Y780" s="28" t="n">
        <v>8.300000000000001</v>
      </c>
      <c r="Z780" s="11" t="inlineStr">
        <is>
          <t>Priority Tier 2 (Balanced Opportunity)</t>
        </is>
      </c>
    </row>
    <row r="781">
      <c r="A781" s="23" t="n">
        <v>2</v>
      </c>
      <c r="B781" s="23" t="n">
        <v>777</v>
      </c>
      <c r="C781" s="23" t="n">
        <v>1777</v>
      </c>
      <c r="D781" s="23" t="inlineStr">
        <is>
          <t>0300809018</t>
        </is>
      </c>
      <c r="E781" s="11" t="inlineStr">
        <is>
          <t>Region III (Central Luzon)</t>
        </is>
      </c>
      <c r="F781" s="11" t="inlineStr">
        <is>
          <t>Bataan</t>
        </is>
      </c>
      <c r="G781" s="11" t="inlineStr">
        <is>
          <t>Orani</t>
        </is>
      </c>
      <c r="H781" s="11" t="inlineStr">
        <is>
          <t>Silahis</t>
        </is>
      </c>
      <c r="I781" s="24" t="n">
        <v>14.801083</v>
      </c>
      <c r="J781" s="24" t="n">
        <v>120.539559</v>
      </c>
      <c r="K781" s="23" t="inlineStr">
        <is>
          <t>R</t>
        </is>
      </c>
      <c r="L781" s="25" t="n">
        <v>609</v>
      </c>
      <c r="M781" s="26" t="n">
        <v>3.6</v>
      </c>
      <c r="N781" s="25">
        <f>ROUND(L781/M781, 0)</f>
        <v/>
      </c>
      <c r="O781" s="25">
        <f>ROUND(N781*'Methodology &amp; Assumptions'!$B$7, 0)</f>
        <v/>
      </c>
      <c r="P781" s="23" t="inlineStr">
        <is>
          <t>Single Carrier (Band n50, 100MHz TDD)</t>
        </is>
      </c>
      <c r="Q781" s="27">
        <f>ROUNDUP(O781/'Methodology &amp; Assumptions'!$B$8, 0)</f>
        <v/>
      </c>
      <c r="R781" s="27" t="n">
        <v>1</v>
      </c>
      <c r="S781" s="26" t="n">
        <v>0.36</v>
      </c>
      <c r="T781" s="26" t="n">
        <v>0.33</v>
      </c>
      <c r="U781" s="11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26" t="n">
        <v>64.55</v>
      </c>
      <c r="W781" s="26" t="n">
        <v>61.2</v>
      </c>
      <c r="X781" s="26">
        <f>ROUND(('Methodology &amp; Assumptions'!$B$5*V781) + ('Methodology &amp; Assumptions'!$B$6*W781), 2)</f>
        <v/>
      </c>
      <c r="Y781" s="28" t="n">
        <v>8.300000000000001</v>
      </c>
      <c r="Z781" s="11" t="inlineStr">
        <is>
          <t>Priority Tier 2 (Balanced Opportunity)</t>
        </is>
      </c>
    </row>
    <row r="782">
      <c r="A782" s="23" t="n">
        <v>2</v>
      </c>
      <c r="B782" s="23" t="n">
        <v>778</v>
      </c>
      <c r="C782" s="23" t="n">
        <v>1778</v>
      </c>
      <c r="D782" s="23" t="inlineStr">
        <is>
          <t>0401005064</t>
        </is>
      </c>
      <c r="E782" s="11" t="inlineStr">
        <is>
          <t>Region IV-A (CALABARZON)</t>
        </is>
      </c>
      <c r="F782" s="11" t="inlineStr">
        <is>
          <t>Batangas</t>
        </is>
      </c>
      <c r="G782" s="11" t="inlineStr">
        <is>
          <t>Batangas City</t>
        </is>
      </c>
      <c r="H782" s="11" t="inlineStr">
        <is>
          <t>Barangay 18</t>
        </is>
      </c>
      <c r="I782" s="24" t="n">
        <v>13.753262</v>
      </c>
      <c r="J782" s="24" t="n">
        <v>121.056801</v>
      </c>
      <c r="K782" s="23" t="inlineStr">
        <is>
          <t>U</t>
        </is>
      </c>
      <c r="L782" s="25" t="n">
        <v>338</v>
      </c>
      <c r="M782" s="26" t="n">
        <v>3.6</v>
      </c>
      <c r="N782" s="25">
        <f>ROUND(L782/M782, 0)</f>
        <v/>
      </c>
      <c r="O782" s="25">
        <f>ROUND(N782*'Methodology &amp; Assumptions'!$B$7, 0)</f>
        <v/>
      </c>
      <c r="P782" s="23" t="inlineStr">
        <is>
          <t>Single Carrier (Band n50, 100MHz TDD)</t>
        </is>
      </c>
      <c r="Q782" s="27">
        <f>ROUNDUP(O782/'Methodology &amp; Assumptions'!$B$8, 0)</f>
        <v/>
      </c>
      <c r="R782" s="27" t="n">
        <v>1</v>
      </c>
      <c r="S782" s="26" t="n">
        <v>1.01</v>
      </c>
      <c r="T782" s="26" t="n">
        <v>0.37</v>
      </c>
      <c r="U782" s="11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26" t="n">
        <v>54.05</v>
      </c>
      <c r="W782" s="26" t="n">
        <v>71.7</v>
      </c>
      <c r="X782" s="26">
        <f>ROUND(('Methodology &amp; Assumptions'!$B$5*V782) + ('Methodology &amp; Assumptions'!$B$6*W782), 2)</f>
        <v/>
      </c>
      <c r="Y782" s="28" t="n">
        <v>7.2</v>
      </c>
      <c r="Z782" s="11" t="inlineStr">
        <is>
          <t>Priority Tier 2 (Balanced Opportunity)</t>
        </is>
      </c>
    </row>
    <row r="783">
      <c r="A783" s="23" t="n">
        <v>2</v>
      </c>
      <c r="B783" s="23" t="n">
        <v>779</v>
      </c>
      <c r="C783" s="23" t="n">
        <v>1779</v>
      </c>
      <c r="D783" s="23" t="inlineStr">
        <is>
          <t>1381600026</t>
        </is>
      </c>
      <c r="E783" s="11" t="inlineStr">
        <is>
          <t>National Capital Region (NCR)</t>
        </is>
      </c>
      <c r="F783" s="11" t="inlineStr">
        <is>
          <t>Third District (Not a Province)</t>
        </is>
      </c>
      <c r="G783" s="11" t="inlineStr">
        <is>
          <t>City of Valenzuela</t>
        </is>
      </c>
      <c r="H783" s="11" t="inlineStr">
        <is>
          <t>Pulo</t>
        </is>
      </c>
      <c r="I783" s="24" t="n">
        <v>14.707747</v>
      </c>
      <c r="J783" s="24" t="n">
        <v>120.94751</v>
      </c>
      <c r="K783" s="23" t="inlineStr">
        <is>
          <t>U</t>
        </is>
      </c>
      <c r="L783" s="25" t="n">
        <v>1147</v>
      </c>
      <c r="M783" s="26" t="n">
        <v>3.36</v>
      </c>
      <c r="N783" s="25">
        <f>ROUND(L783/M783, 0)</f>
        <v/>
      </c>
      <c r="O783" s="25">
        <f>ROUND(N783*'Methodology &amp; Assumptions'!$B$7, 0)</f>
        <v/>
      </c>
      <c r="P783" s="23" t="inlineStr">
        <is>
          <t>Single Carrier (Band n50, 100MHz TDD)</t>
        </is>
      </c>
      <c r="Q783" s="27">
        <f>ROUNDUP(O783/'Methodology &amp; Assumptions'!$B$8, 0)</f>
        <v/>
      </c>
      <c r="R783" s="27" t="n">
        <v>1</v>
      </c>
      <c r="S783" s="26" t="n">
        <v>1.18</v>
      </c>
      <c r="T783" s="26" t="n">
        <v>1.32</v>
      </c>
      <c r="U783" s="11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26" t="n">
        <v>50.71</v>
      </c>
      <c r="W783" s="26" t="n">
        <v>75.04000000000001</v>
      </c>
      <c r="X783" s="26">
        <f>ROUND(('Methodology &amp; Assumptions'!$B$5*V783) + ('Methodology &amp; Assumptions'!$B$6*W783), 2)</f>
        <v/>
      </c>
      <c r="Y783" s="28" t="n">
        <v>10.9</v>
      </c>
      <c r="Z783" s="11" t="inlineStr">
        <is>
          <t>Priority Tier 2 (Balanced Opportunity)</t>
        </is>
      </c>
    </row>
    <row r="784">
      <c r="A784" s="23" t="n">
        <v>2</v>
      </c>
      <c r="B784" s="23" t="n">
        <v>780</v>
      </c>
      <c r="C784" s="23" t="n">
        <v>1780</v>
      </c>
      <c r="D784" s="23" t="inlineStr">
        <is>
          <t>0601912026</t>
        </is>
      </c>
      <c r="E784" s="11" t="inlineStr">
        <is>
          <t>Region VI (Western Visayas)</t>
        </is>
      </c>
      <c r="F784" s="11" t="inlineStr">
        <is>
          <t>Capiz</t>
        </is>
      </c>
      <c r="G784" s="11" t="inlineStr">
        <is>
          <t>Pontevedra</t>
        </is>
      </c>
      <c r="H784" s="11" t="inlineStr">
        <is>
          <t>Tacas</t>
        </is>
      </c>
      <c r="I784" s="24" t="n">
        <v>11.478668</v>
      </c>
      <c r="J784" s="24" t="n">
        <v>122.832811</v>
      </c>
      <c r="K784" s="23" t="inlineStr">
        <is>
          <t>R</t>
        </is>
      </c>
      <c r="L784" s="25" t="n">
        <v>4684</v>
      </c>
      <c r="M784" s="26" t="n">
        <v>3.8</v>
      </c>
      <c r="N784" s="25">
        <f>ROUND(L784/M784, 0)</f>
        <v/>
      </c>
      <c r="O784" s="25">
        <f>ROUND(N784*'Methodology &amp; Assumptions'!$B$7, 0)</f>
        <v/>
      </c>
      <c r="P784" s="23" t="inlineStr">
        <is>
          <t>Single Carrier (Band n50, 100MHz TDD)</t>
        </is>
      </c>
      <c r="Q784" s="27">
        <f>ROUNDUP(O784/'Methodology &amp; Assumptions'!$B$8, 0)</f>
        <v/>
      </c>
      <c r="R784" s="27" t="n">
        <v>1</v>
      </c>
      <c r="S784" s="26" t="n">
        <v>0.15</v>
      </c>
      <c r="T784" s="26" t="n">
        <v>0.11</v>
      </c>
      <c r="U784" s="11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26" t="n">
        <v>88.06</v>
      </c>
      <c r="W784" s="26" t="n">
        <v>37.68</v>
      </c>
      <c r="X784" s="26">
        <f>ROUND(('Methodology &amp; Assumptions'!$B$5*V784) + ('Methodology &amp; Assumptions'!$B$6*W784), 2)</f>
        <v/>
      </c>
      <c r="Y784" s="28" t="n">
        <v>23.7</v>
      </c>
      <c r="Z784" s="11" t="inlineStr">
        <is>
          <t>Priority Tier 2 (Balanced Opportunity)</t>
        </is>
      </c>
    </row>
    <row r="785">
      <c r="A785" s="23" t="n">
        <v>2</v>
      </c>
      <c r="B785" s="23" t="n">
        <v>781</v>
      </c>
      <c r="C785" s="23" t="n">
        <v>1781</v>
      </c>
      <c r="D785" s="23" t="inlineStr">
        <is>
          <t>0600401010</t>
        </is>
      </c>
      <c r="E785" s="11" t="inlineStr">
        <is>
          <t>Region VI (Western Visayas)</t>
        </is>
      </c>
      <c r="F785" s="11" t="inlineStr">
        <is>
          <t>Aklan</t>
        </is>
      </c>
      <c r="G785" s="11" t="inlineStr">
        <is>
          <t>Altavas</t>
        </is>
      </c>
      <c r="H785" s="11" t="inlineStr">
        <is>
          <t>Odiong</t>
        </is>
      </c>
      <c r="I785" s="24" t="n">
        <v>11.517452</v>
      </c>
      <c r="J785" s="24" t="n">
        <v>122.460232</v>
      </c>
      <c r="K785" s="23" t="inlineStr">
        <is>
          <t>R</t>
        </is>
      </c>
      <c r="L785" s="25" t="n">
        <v>3364</v>
      </c>
      <c r="M785" s="26" t="n">
        <v>3.9</v>
      </c>
      <c r="N785" s="25">
        <f>ROUND(L785/M785, 0)</f>
        <v/>
      </c>
      <c r="O785" s="25">
        <f>ROUND(N785*'Methodology &amp; Assumptions'!$B$7, 0)</f>
        <v/>
      </c>
      <c r="P785" s="23" t="inlineStr">
        <is>
          <t>Single Carrier (Band n50, 100MHz TDD)</t>
        </is>
      </c>
      <c r="Q785" s="27">
        <f>ROUNDUP(O785/'Methodology &amp; Assumptions'!$B$8, 0)</f>
        <v/>
      </c>
      <c r="R785" s="27" t="n">
        <v>1</v>
      </c>
      <c r="S785" s="26" t="n">
        <v>3.43</v>
      </c>
      <c r="T785" s="26" t="n">
        <v>1.84</v>
      </c>
      <c r="U785" s="11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26" t="n">
        <v>79.3</v>
      </c>
      <c r="W785" s="26" t="n">
        <v>46.45</v>
      </c>
      <c r="X785" s="26">
        <f>ROUND(('Methodology &amp; Assumptions'!$B$5*V785) + ('Methodology &amp; Assumptions'!$B$6*W785), 2)</f>
        <v/>
      </c>
      <c r="Y785" s="28" t="n">
        <v>23.7</v>
      </c>
      <c r="Z785" s="11" t="inlineStr">
        <is>
          <t>Priority Tier 2 (Balanced Opportunity)</t>
        </is>
      </c>
    </row>
    <row r="786">
      <c r="A786" s="23" t="n">
        <v>2</v>
      </c>
      <c r="B786" s="23" t="n">
        <v>782</v>
      </c>
      <c r="C786" s="23" t="n">
        <v>1782</v>
      </c>
      <c r="D786" s="23" t="inlineStr">
        <is>
          <t>0301412024</t>
        </is>
      </c>
      <c r="E786" s="11" t="inlineStr">
        <is>
          <t>Region III (Central Luzon)</t>
        </is>
      </c>
      <c r="F786" s="11" t="inlineStr">
        <is>
          <t>Bulacan</t>
        </is>
      </c>
      <c r="G786" s="11" t="inlineStr">
        <is>
          <t>City of Meycauayan</t>
        </is>
      </c>
      <c r="H786" s="11" t="inlineStr">
        <is>
          <t>Ubihan</t>
        </is>
      </c>
      <c r="I786" s="24" t="n">
        <v>14.754423</v>
      </c>
      <c r="J786" s="24" t="n">
        <v>120.921668</v>
      </c>
      <c r="K786" s="23" t="inlineStr">
        <is>
          <t>R</t>
        </is>
      </c>
      <c r="L786" s="25" t="n">
        <v>2383</v>
      </c>
      <c r="M786" s="26" t="n">
        <v>3.5</v>
      </c>
      <c r="N786" s="25">
        <f>ROUND(L786/M786, 0)</f>
        <v/>
      </c>
      <c r="O786" s="25">
        <f>ROUND(N786*'Methodology &amp; Assumptions'!$B$7, 0)</f>
        <v/>
      </c>
      <c r="P786" s="23" t="inlineStr">
        <is>
          <t>Single Carrier (Band n50, 100MHz TDD)</t>
        </is>
      </c>
      <c r="Q786" s="27">
        <f>ROUNDUP(O786/'Methodology &amp; Assumptions'!$B$8, 0)</f>
        <v/>
      </c>
      <c r="R786" s="27" t="n">
        <v>1</v>
      </c>
      <c r="S786" s="26" t="n">
        <v>2.73</v>
      </c>
      <c r="T786" s="26" t="n">
        <v>2.59</v>
      </c>
      <c r="U786" s="11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26" t="n">
        <v>71.01000000000001</v>
      </c>
      <c r="W786" s="26" t="n">
        <v>54.74</v>
      </c>
      <c r="X786" s="26">
        <f>ROUND(('Methodology &amp; Assumptions'!$B$5*V786) + ('Methodology &amp; Assumptions'!$B$6*W786), 2)</f>
        <v/>
      </c>
      <c r="Y786" s="28" t="n">
        <v>8.300000000000001</v>
      </c>
      <c r="Z786" s="11" t="inlineStr">
        <is>
          <t>Priority Tier 2 (Balanced Opportunity)</t>
        </is>
      </c>
    </row>
    <row r="787">
      <c r="A787" s="23" t="n">
        <v>2</v>
      </c>
      <c r="B787" s="23" t="n">
        <v>783</v>
      </c>
      <c r="C787" s="23" t="n">
        <v>1783</v>
      </c>
      <c r="D787" s="23" t="inlineStr">
        <is>
          <t>1380605043</t>
        </is>
      </c>
      <c r="E787" s="11" t="inlineStr">
        <is>
          <t>National Capital Region (NCR)</t>
        </is>
      </c>
      <c r="F787" s="11" t="inlineStr">
        <is>
          <t>First District (Not a Province)</t>
        </is>
      </c>
      <c r="G787" s="11" t="inlineStr">
        <is>
          <t>City of Manila</t>
        </is>
      </c>
      <c r="H787" s="11" t="inlineStr">
        <is>
          <t>Barangay 341</t>
        </is>
      </c>
      <c r="I787" s="24" t="n">
        <v>14.616713</v>
      </c>
      <c r="J787" s="24" t="n">
        <v>120.985593</v>
      </c>
      <c r="K787" s="23" t="inlineStr">
        <is>
          <t>U</t>
        </is>
      </c>
      <c r="L787" s="25" t="n">
        <v>1615</v>
      </c>
      <c r="M787" s="26" t="n">
        <v>3.66</v>
      </c>
      <c r="N787" s="25">
        <f>ROUND(L787/M787, 0)</f>
        <v/>
      </c>
      <c r="O787" s="25">
        <f>ROUND(N787*'Methodology &amp; Assumptions'!$B$7, 0)</f>
        <v/>
      </c>
      <c r="P787" s="23" t="inlineStr">
        <is>
          <t>Single Carrier (Band n50, 100MHz TDD)</t>
        </is>
      </c>
      <c r="Q787" s="27">
        <f>ROUNDUP(O787/'Methodology &amp; Assumptions'!$B$8, 0)</f>
        <v/>
      </c>
      <c r="R787" s="27" t="n">
        <v>1</v>
      </c>
      <c r="S787" s="26" t="n">
        <v>0.29</v>
      </c>
      <c r="T787" s="26" t="n">
        <v>0.28</v>
      </c>
      <c r="U787" s="11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26" t="n">
        <v>55.23</v>
      </c>
      <c r="W787" s="26" t="n">
        <v>70.5</v>
      </c>
      <c r="X787" s="26">
        <f>ROUND(('Methodology &amp; Assumptions'!$B$5*V787) + ('Methodology &amp; Assumptions'!$B$6*W787), 2)</f>
        <v/>
      </c>
      <c r="Y787" s="28" t="n">
        <v>10.9</v>
      </c>
      <c r="Z787" s="11" t="inlineStr">
        <is>
          <t>Priority Tier 2 (Balanced Opportunity)</t>
        </is>
      </c>
    </row>
    <row r="788">
      <c r="A788" s="23" t="n">
        <v>2</v>
      </c>
      <c r="B788" s="23" t="n">
        <v>784</v>
      </c>
      <c r="C788" s="23" t="n">
        <v>1784</v>
      </c>
      <c r="D788" s="23" t="inlineStr">
        <is>
          <t>0603036001</t>
        </is>
      </c>
      <c r="E788" s="11" t="inlineStr">
        <is>
          <t>Region VI (Western Visayas)</t>
        </is>
      </c>
      <c r="F788" s="11" t="inlineStr">
        <is>
          <t>Iloilo</t>
        </is>
      </c>
      <c r="G788" s="11" t="inlineStr">
        <is>
          <t>Pavia</t>
        </is>
      </c>
      <c r="H788" s="11" t="inlineStr">
        <is>
          <t>Aganan</t>
        </is>
      </c>
      <c r="I788" s="24" t="n">
        <v>10.771021</v>
      </c>
      <c r="J788" s="24" t="n">
        <v>122.536158</v>
      </c>
      <c r="K788" s="23" t="inlineStr">
        <is>
          <t>U</t>
        </is>
      </c>
      <c r="L788" s="25" t="n">
        <v>5042</v>
      </c>
      <c r="M788" s="26" t="n">
        <v>3.8</v>
      </c>
      <c r="N788" s="25">
        <f>ROUND(L788/M788, 0)</f>
        <v/>
      </c>
      <c r="O788" s="25">
        <f>ROUND(N788*'Methodology &amp; Assumptions'!$B$7, 0)</f>
        <v/>
      </c>
      <c r="P788" s="23" t="inlineStr">
        <is>
          <t>Single Carrier (Band n50, 100MHz TDD)</t>
        </is>
      </c>
      <c r="Q788" s="27">
        <f>ROUNDUP(O788/'Methodology &amp; Assumptions'!$B$8, 0)</f>
        <v/>
      </c>
      <c r="R788" s="27" t="n">
        <v>1</v>
      </c>
      <c r="S788" s="26" t="n">
        <v>0.87</v>
      </c>
      <c r="T788" s="26" t="n">
        <v>3.69</v>
      </c>
      <c r="U788" s="11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26" t="n">
        <v>77.26000000000001</v>
      </c>
      <c r="W788" s="26" t="n">
        <v>48.45</v>
      </c>
      <c r="X788" s="26">
        <f>ROUND(('Methodology &amp; Assumptions'!$B$5*V788) + ('Methodology &amp; Assumptions'!$B$6*W788), 2)</f>
        <v/>
      </c>
      <c r="Y788" s="28" t="n">
        <v>23.7</v>
      </c>
      <c r="Z788" s="11" t="inlineStr">
        <is>
          <t>Priority Tier 2 (Balanced Opportunity)</t>
        </is>
      </c>
    </row>
    <row r="789">
      <c r="A789" s="23" t="n">
        <v>2</v>
      </c>
      <c r="B789" s="23" t="n">
        <v>785</v>
      </c>
      <c r="C789" s="23" t="n">
        <v>1785</v>
      </c>
      <c r="D789" s="23" t="inlineStr">
        <is>
          <t>0402123019</t>
        </is>
      </c>
      <c r="E789" s="11" t="inlineStr">
        <is>
          <t>Region IV-A (CALABARZON)</t>
        </is>
      </c>
      <c r="F789" s="11" t="inlineStr">
        <is>
          <t>Cavite</t>
        </is>
      </c>
      <c r="G789" s="11" t="inlineStr">
        <is>
          <t>Gen. Mariano Alvarez</t>
        </is>
      </c>
      <c r="H789" s="11" t="inlineStr">
        <is>
          <t>Macario Dacon</t>
        </is>
      </c>
      <c r="I789" s="24" t="n">
        <v>14.310557</v>
      </c>
      <c r="J789" s="24" t="n">
        <v>121.020967</v>
      </c>
      <c r="K789" s="23" t="inlineStr">
        <is>
          <t>U</t>
        </is>
      </c>
      <c r="L789" s="25" t="n">
        <v>5454</v>
      </c>
      <c r="M789" s="26" t="n">
        <v>3.4</v>
      </c>
      <c r="N789" s="25">
        <f>ROUND(L789/M789, 0)</f>
        <v/>
      </c>
      <c r="O789" s="25">
        <f>ROUND(N789*'Methodology &amp; Assumptions'!$B$7, 0)</f>
        <v/>
      </c>
      <c r="P789" s="23" t="inlineStr">
        <is>
          <t>Single Carrier (Band n50, 100MHz TDD)</t>
        </is>
      </c>
      <c r="Q789" s="27">
        <f>ROUNDUP(O789/'Methodology &amp; Assumptions'!$B$8, 0)</f>
        <v/>
      </c>
      <c r="R789" s="27" t="n">
        <v>1</v>
      </c>
      <c r="S789" s="26" t="n">
        <v>2.25</v>
      </c>
      <c r="T789" s="26" t="n">
        <v>3.13</v>
      </c>
      <c r="U789" s="11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26" t="n">
        <v>69.68000000000001</v>
      </c>
      <c r="W789" s="26" t="n">
        <v>56.04</v>
      </c>
      <c r="X789" s="26">
        <f>ROUND(('Methodology &amp; Assumptions'!$B$5*V789) + ('Methodology &amp; Assumptions'!$B$6*W789), 2)</f>
        <v/>
      </c>
      <c r="Y789" s="28" t="n">
        <v>7.2</v>
      </c>
      <c r="Z789" s="11" t="inlineStr">
        <is>
          <t>Priority Tier 2 (Balanced Opportunity)</t>
        </is>
      </c>
    </row>
    <row r="790">
      <c r="A790" s="23" t="n">
        <v>2</v>
      </c>
      <c r="B790" s="23" t="n">
        <v>786</v>
      </c>
      <c r="C790" s="23" t="n">
        <v>1786</v>
      </c>
      <c r="D790" s="23" t="inlineStr">
        <is>
          <t>1381100127</t>
        </is>
      </c>
      <c r="E790" s="11" t="inlineStr">
        <is>
          <t>National Capital Region (NCR)</t>
        </is>
      </c>
      <c r="F790" s="11" t="inlineStr">
        <is>
          <t>Fourth District (Not a Province)</t>
        </is>
      </c>
      <c r="G790" s="11" t="inlineStr">
        <is>
          <t>Pasay City</t>
        </is>
      </c>
      <c r="H790" s="11" t="inlineStr">
        <is>
          <t>Barangay 127</t>
        </is>
      </c>
      <c r="I790" s="24" t="n">
        <v>14.549602</v>
      </c>
      <c r="J790" s="24" t="n">
        <v>121.006949</v>
      </c>
      <c r="K790" s="23" t="inlineStr">
        <is>
          <t>U</t>
        </is>
      </c>
      <c r="L790" s="25" t="n">
        <v>1770</v>
      </c>
      <c r="M790" s="26" t="n">
        <v>3.79</v>
      </c>
      <c r="N790" s="25">
        <f>ROUND(L790/M790, 0)</f>
        <v/>
      </c>
      <c r="O790" s="25">
        <f>ROUND(N790*'Methodology &amp; Assumptions'!$B$7, 0)</f>
        <v/>
      </c>
      <c r="P790" s="23" t="inlineStr">
        <is>
          <t>Single Carrier (Band n50, 100MHz TDD)</t>
        </is>
      </c>
      <c r="Q790" s="27">
        <f>ROUNDUP(O790/'Methodology &amp; Assumptions'!$B$8, 0)</f>
        <v/>
      </c>
      <c r="R790" s="27" t="n">
        <v>1</v>
      </c>
      <c r="S790" s="26" t="n">
        <v>0.48</v>
      </c>
      <c r="T790" s="26" t="n">
        <v>0.1</v>
      </c>
      <c r="U790" s="11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26" t="n">
        <v>56.09</v>
      </c>
      <c r="W790" s="26" t="n">
        <v>69.62</v>
      </c>
      <c r="X790" s="26">
        <f>ROUND(('Methodology &amp; Assumptions'!$B$5*V790) + ('Methodology &amp; Assumptions'!$B$6*W790), 2)</f>
        <v/>
      </c>
      <c r="Y790" s="28" t="n">
        <v>10.9</v>
      </c>
      <c r="Z790" s="11" t="inlineStr">
        <is>
          <t>Priority Tier 2 (Balanced Opportunity)</t>
        </is>
      </c>
    </row>
    <row r="791">
      <c r="A791" s="23" t="n">
        <v>2</v>
      </c>
      <c r="B791" s="23" t="n">
        <v>787</v>
      </c>
      <c r="C791" s="23" t="n">
        <v>1787</v>
      </c>
      <c r="D791" s="23" t="inlineStr">
        <is>
          <t>1380605019</t>
        </is>
      </c>
      <c r="E791" s="11" t="inlineStr">
        <is>
          <t>National Capital Region (NCR)</t>
        </is>
      </c>
      <c r="F791" s="11" t="inlineStr">
        <is>
          <t>First District (Not a Province)</t>
        </is>
      </c>
      <c r="G791" s="11" t="inlineStr">
        <is>
          <t>City of Manila</t>
        </is>
      </c>
      <c r="H791" s="11" t="inlineStr">
        <is>
          <t>Barangay 317</t>
        </is>
      </c>
      <c r="I791" s="24" t="n">
        <v>14.611351</v>
      </c>
      <c r="J791" s="24" t="n">
        <v>120.98517</v>
      </c>
      <c r="K791" s="23" t="inlineStr">
        <is>
          <t>U</t>
        </is>
      </c>
      <c r="L791" s="25" t="n">
        <v>1573</v>
      </c>
      <c r="M791" s="26" t="n">
        <v>3.56</v>
      </c>
      <c r="N791" s="25">
        <f>ROUND(L791/M791, 0)</f>
        <v/>
      </c>
      <c r="O791" s="25">
        <f>ROUND(N791*'Methodology &amp; Assumptions'!$B$7, 0)</f>
        <v/>
      </c>
      <c r="P791" s="23" t="inlineStr">
        <is>
          <t>Single Carrier (Band n50, 100MHz TDD)</t>
        </is>
      </c>
      <c r="Q791" s="27">
        <f>ROUNDUP(O791/'Methodology &amp; Assumptions'!$B$8, 0)</f>
        <v/>
      </c>
      <c r="R791" s="27" t="n">
        <v>1</v>
      </c>
      <c r="S791" s="26" t="n">
        <v>0.62</v>
      </c>
      <c r="T791" s="26" t="n">
        <v>0.14</v>
      </c>
      <c r="U791" s="11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26" t="n">
        <v>55.34</v>
      </c>
      <c r="W791" s="26" t="n">
        <v>70.36</v>
      </c>
      <c r="X791" s="26">
        <f>ROUND(('Methodology &amp; Assumptions'!$B$5*V791) + ('Methodology &amp; Assumptions'!$B$6*W791), 2)</f>
        <v/>
      </c>
      <c r="Y791" s="28" t="n">
        <v>10.9</v>
      </c>
      <c r="Z791" s="11" t="inlineStr">
        <is>
          <t>Priority Tier 2 (Balanced Opportunity)</t>
        </is>
      </c>
    </row>
    <row r="792">
      <c r="A792" s="23" t="n">
        <v>2</v>
      </c>
      <c r="B792" s="23" t="n">
        <v>788</v>
      </c>
      <c r="C792" s="23" t="n">
        <v>1788</v>
      </c>
      <c r="D792" s="23" t="inlineStr">
        <is>
          <t>0401003010</t>
        </is>
      </c>
      <c r="E792" s="11" t="inlineStr">
        <is>
          <t>Region IV-A (CALABARZON)</t>
        </is>
      </c>
      <c r="F792" s="11" t="inlineStr">
        <is>
          <t>Batangas</t>
        </is>
      </c>
      <c r="G792" s="11" t="inlineStr">
        <is>
          <t>Balayan</t>
        </is>
      </c>
      <c r="H792" s="11" t="inlineStr">
        <is>
          <t>Barangay 5</t>
        </is>
      </c>
      <c r="I792" s="24" t="n">
        <v>13.933913</v>
      </c>
      <c r="J792" s="24" t="n">
        <v>120.731403</v>
      </c>
      <c r="K792" s="23" t="inlineStr">
        <is>
          <t>U</t>
        </is>
      </c>
      <c r="L792" s="25" t="n">
        <v>1892</v>
      </c>
      <c r="M792" s="26" t="n">
        <v>3.6</v>
      </c>
      <c r="N792" s="25">
        <f>ROUND(L792/M792, 0)</f>
        <v/>
      </c>
      <c r="O792" s="25">
        <f>ROUND(N792*'Methodology &amp; Assumptions'!$B$7, 0)</f>
        <v/>
      </c>
      <c r="P792" s="23" t="inlineStr">
        <is>
          <t>Single Carrier (Band n50, 100MHz TDD)</t>
        </is>
      </c>
      <c r="Q792" s="27">
        <f>ROUNDUP(O792/'Methodology &amp; Assumptions'!$B$8, 0)</f>
        <v/>
      </c>
      <c r="R792" s="27" t="n">
        <v>1</v>
      </c>
      <c r="S792" s="26" t="n">
        <v>1.12</v>
      </c>
      <c r="T792" s="26" t="n">
        <v>0.48</v>
      </c>
      <c r="U792" s="11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26" t="n">
        <v>67.76000000000001</v>
      </c>
      <c r="W792" s="26" t="n">
        <v>57.92</v>
      </c>
      <c r="X792" s="26">
        <f>ROUND(('Methodology &amp; Assumptions'!$B$5*V792) + ('Methodology &amp; Assumptions'!$B$6*W792), 2)</f>
        <v/>
      </c>
      <c r="Y792" s="28" t="n">
        <v>7.2</v>
      </c>
      <c r="Z792" s="11" t="inlineStr">
        <is>
          <t>Priority Tier 2 (Balanced Opportunity)</t>
        </is>
      </c>
    </row>
    <row r="793">
      <c r="A793" s="23" t="n">
        <v>2</v>
      </c>
      <c r="B793" s="23" t="n">
        <v>789</v>
      </c>
      <c r="C793" s="23" t="n">
        <v>1789</v>
      </c>
      <c r="D793" s="23" t="inlineStr">
        <is>
          <t>1380614002</t>
        </is>
      </c>
      <c r="E793" s="11" t="inlineStr">
        <is>
          <t>National Capital Region (NCR)</t>
        </is>
      </c>
      <c r="F793" s="11" t="inlineStr">
        <is>
          <t>First District (Not a Province)</t>
        </is>
      </c>
      <c r="G793" s="11" t="inlineStr">
        <is>
          <t>City of Manila</t>
        </is>
      </c>
      <c r="H793" s="11" t="inlineStr">
        <is>
          <t>Barangay 745</t>
        </is>
      </c>
      <c r="I793" s="24" t="n">
        <v>14.567566</v>
      </c>
      <c r="J793" s="24" t="n">
        <v>120.998207</v>
      </c>
      <c r="K793" s="23" t="inlineStr">
        <is>
          <t>U</t>
        </is>
      </c>
      <c r="L793" s="25" t="n">
        <v>1826</v>
      </c>
      <c r="M793" s="26" t="n">
        <v>4.06</v>
      </c>
      <c r="N793" s="25">
        <f>ROUND(L793/M793, 0)</f>
        <v/>
      </c>
      <c r="O793" s="25">
        <f>ROUND(N793*'Methodology &amp; Assumptions'!$B$7, 0)</f>
        <v/>
      </c>
      <c r="P793" s="23" t="inlineStr">
        <is>
          <t>Single Carrier (Band n50, 100MHz TDD)</t>
        </is>
      </c>
      <c r="Q793" s="27">
        <f>ROUNDUP(O793/'Methodology &amp; Assumptions'!$B$8, 0)</f>
        <v/>
      </c>
      <c r="R793" s="27" t="n">
        <v>1</v>
      </c>
      <c r="S793" s="26" t="n">
        <v>0.65</v>
      </c>
      <c r="T793" s="26" t="n">
        <v>0.52</v>
      </c>
      <c r="U793" s="11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26" t="n">
        <v>55.55</v>
      </c>
      <c r="W793" s="26" t="n">
        <v>70.12</v>
      </c>
      <c r="X793" s="26">
        <f>ROUND(('Methodology &amp; Assumptions'!$B$5*V793) + ('Methodology &amp; Assumptions'!$B$6*W793), 2)</f>
        <v/>
      </c>
      <c r="Y793" s="28" t="n">
        <v>10.9</v>
      </c>
      <c r="Z793" s="11" t="inlineStr">
        <is>
          <t>Priority Tier 2 (Balanced Opportunity)</t>
        </is>
      </c>
    </row>
    <row r="794">
      <c r="A794" s="23" t="n">
        <v>2</v>
      </c>
      <c r="B794" s="23" t="n">
        <v>790</v>
      </c>
      <c r="C794" s="23" t="n">
        <v>1790</v>
      </c>
      <c r="D794" s="23" t="inlineStr">
        <is>
          <t>0403423009</t>
        </is>
      </c>
      <c r="E794" s="11" t="inlineStr">
        <is>
          <t>Region IV-A (CALABARZON)</t>
        </is>
      </c>
      <c r="F794" s="11" t="inlineStr">
        <is>
          <t>Laguna</t>
        </is>
      </c>
      <c r="G794" s="11" t="inlineStr">
        <is>
          <t>Rizal</t>
        </is>
      </c>
      <c r="H794" s="11" t="inlineStr">
        <is>
          <t>Tala</t>
        </is>
      </c>
      <c r="I794" s="24" t="n">
        <v>14.109533</v>
      </c>
      <c r="J794" s="24" t="n">
        <v>121.393007</v>
      </c>
      <c r="K794" s="23" t="inlineStr">
        <is>
          <t>R</t>
        </is>
      </c>
      <c r="L794" s="25" t="n">
        <v>2885</v>
      </c>
      <c r="M794" s="26" t="n">
        <v>3.6</v>
      </c>
      <c r="N794" s="25">
        <f>ROUND(L794/M794, 0)</f>
        <v/>
      </c>
      <c r="O794" s="25">
        <f>ROUND(N794*'Methodology &amp; Assumptions'!$B$7, 0)</f>
        <v/>
      </c>
      <c r="P794" s="23" t="inlineStr">
        <is>
          <t>Single Carrier (Band n50, 100MHz TDD)</t>
        </is>
      </c>
      <c r="Q794" s="27">
        <f>ROUNDUP(O794/'Methodology &amp; Assumptions'!$B$8, 0)</f>
        <v/>
      </c>
      <c r="R794" s="27" t="n">
        <v>1</v>
      </c>
      <c r="S794" s="26" t="n">
        <v>0.11</v>
      </c>
      <c r="T794" s="26" t="n">
        <v>0.09</v>
      </c>
      <c r="U794" s="11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26" t="n">
        <v>87.59</v>
      </c>
      <c r="W794" s="26" t="n">
        <v>38.08</v>
      </c>
      <c r="X794" s="26">
        <f>ROUND(('Methodology &amp; Assumptions'!$B$5*V794) + ('Methodology &amp; Assumptions'!$B$6*W794), 2)</f>
        <v/>
      </c>
      <c r="Y794" s="28" t="n">
        <v>7.2</v>
      </c>
      <c r="Z794" s="11" t="inlineStr">
        <is>
          <t>Priority Tier 2 (Balanced Opportunity)</t>
        </is>
      </c>
    </row>
    <row r="795">
      <c r="A795" s="23" t="n">
        <v>2</v>
      </c>
      <c r="B795" s="23" t="n">
        <v>791</v>
      </c>
      <c r="C795" s="23" t="n">
        <v>1791</v>
      </c>
      <c r="D795" s="23" t="inlineStr">
        <is>
          <t>0403417034</t>
        </is>
      </c>
      <c r="E795" s="11" t="inlineStr">
        <is>
          <t>Region IV-A (CALABARZON)</t>
        </is>
      </c>
      <c r="F795" s="11" t="inlineStr">
        <is>
          <t>Laguna</t>
        </is>
      </c>
      <c r="G795" s="11" t="inlineStr">
        <is>
          <t>Nagcarlan</t>
        </is>
      </c>
      <c r="H795" s="11" t="inlineStr">
        <is>
          <t>Poblacion II</t>
        </is>
      </c>
      <c r="I795" s="24" t="n">
        <v>14.133669</v>
      </c>
      <c r="J795" s="24" t="n">
        <v>121.415002</v>
      </c>
      <c r="K795" s="23" t="inlineStr">
        <is>
          <t>U</t>
        </is>
      </c>
      <c r="L795" s="25" t="n">
        <v>3627</v>
      </c>
      <c r="M795" s="26" t="n">
        <v>3.3</v>
      </c>
      <c r="N795" s="25">
        <f>ROUND(L795/M795, 0)</f>
        <v/>
      </c>
      <c r="O795" s="25">
        <f>ROUND(N795*'Methodology &amp; Assumptions'!$B$7, 0)</f>
        <v/>
      </c>
      <c r="P795" s="23" t="inlineStr">
        <is>
          <t>Single Carrier (Band n50, 100MHz TDD)</t>
        </is>
      </c>
      <c r="Q795" s="27">
        <f>ROUNDUP(O795/'Methodology &amp; Assumptions'!$B$8, 0)</f>
        <v/>
      </c>
      <c r="R795" s="27" t="n">
        <v>1</v>
      </c>
      <c r="S795" s="26" t="n">
        <v>0.4</v>
      </c>
      <c r="T795" s="26" t="n">
        <v>0.13</v>
      </c>
      <c r="U795" s="11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26" t="n">
        <v>78.26000000000001</v>
      </c>
      <c r="W795" s="26" t="n">
        <v>47.41</v>
      </c>
      <c r="X795" s="26">
        <f>ROUND(('Methodology &amp; Assumptions'!$B$5*V795) + ('Methodology &amp; Assumptions'!$B$6*W795), 2)</f>
        <v/>
      </c>
      <c r="Y795" s="28" t="n">
        <v>7.2</v>
      </c>
      <c r="Z795" s="11" t="inlineStr">
        <is>
          <t>Priority Tier 2 (Balanced Opportunity)</t>
        </is>
      </c>
    </row>
    <row r="796">
      <c r="A796" s="23" t="n">
        <v>2</v>
      </c>
      <c r="B796" s="23" t="n">
        <v>792</v>
      </c>
      <c r="C796" s="23" t="n">
        <v>1792</v>
      </c>
      <c r="D796" s="23" t="inlineStr">
        <is>
          <t>1381100199</t>
        </is>
      </c>
      <c r="E796" s="11" t="inlineStr">
        <is>
          <t>National Capital Region (NCR)</t>
        </is>
      </c>
      <c r="F796" s="11" t="inlineStr">
        <is>
          <t>Fourth District (Not a Province)</t>
        </is>
      </c>
      <c r="G796" s="11" t="inlineStr">
        <is>
          <t>Pasay City</t>
        </is>
      </c>
      <c r="H796" s="11" t="inlineStr">
        <is>
          <t>Barangay 199</t>
        </is>
      </c>
      <c r="I796" s="24" t="n">
        <v>14.509095</v>
      </c>
      <c r="J796" s="24" t="n">
        <v>121.000851</v>
      </c>
      <c r="K796" s="23" t="inlineStr">
        <is>
          <t>U</t>
        </is>
      </c>
      <c r="L796" s="25" t="n">
        <v>2316</v>
      </c>
      <c r="M796" s="26" t="n">
        <v>3.57</v>
      </c>
      <c r="N796" s="25">
        <f>ROUND(L796/M796, 0)</f>
        <v/>
      </c>
      <c r="O796" s="25">
        <f>ROUND(N796*'Methodology &amp; Assumptions'!$B$7, 0)</f>
        <v/>
      </c>
      <c r="P796" s="23" t="inlineStr">
        <is>
          <t>Single Carrier (Band n50, 100MHz TDD)</t>
        </is>
      </c>
      <c r="Q796" s="27">
        <f>ROUNDUP(O796/'Methodology &amp; Assumptions'!$B$8, 0)</f>
        <v/>
      </c>
      <c r="R796" s="27" t="n">
        <v>1</v>
      </c>
      <c r="S796" s="26" t="n">
        <v>0.86</v>
      </c>
      <c r="T796" s="26" t="n">
        <v>0.35</v>
      </c>
      <c r="U796" s="11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26" t="n">
        <v>61.82</v>
      </c>
      <c r="W796" s="26" t="n">
        <v>63.84</v>
      </c>
      <c r="X796" s="26">
        <f>ROUND(('Methodology &amp; Assumptions'!$B$5*V796) + ('Methodology &amp; Assumptions'!$B$6*W796), 2)</f>
        <v/>
      </c>
      <c r="Y796" s="28" t="n">
        <v>10.9</v>
      </c>
      <c r="Z796" s="11" t="inlineStr">
        <is>
          <t>Priority Tier 2 (Balanced Opportunity)</t>
        </is>
      </c>
    </row>
    <row r="797">
      <c r="A797" s="23" t="n">
        <v>2</v>
      </c>
      <c r="B797" s="23" t="n">
        <v>793</v>
      </c>
      <c r="C797" s="23" t="n">
        <v>1793</v>
      </c>
      <c r="D797" s="23" t="inlineStr">
        <is>
          <t>1402706025</t>
        </is>
      </c>
      <c r="E797" s="11" t="inlineStr">
        <is>
          <t>Cordillera Administrative Region (CAR)</t>
        </is>
      </c>
      <c r="F797" s="11" t="inlineStr">
        <is>
          <t>Ifugao</t>
        </is>
      </c>
      <c r="G797" s="11" t="inlineStr">
        <is>
          <t>Mayoyao</t>
        </is>
      </c>
      <c r="H797" s="11" t="inlineStr">
        <is>
          <t>Nalbu</t>
        </is>
      </c>
      <c r="I797" s="24" t="n">
        <v>16.9245</v>
      </c>
      <c r="J797" s="24" t="n">
        <v>121.2155</v>
      </c>
      <c r="K797" s="23" t="inlineStr">
        <is>
          <t>R</t>
        </is>
      </c>
      <c r="L797" s="25" t="n">
        <v>284</v>
      </c>
      <c r="M797" s="26" t="n">
        <v>3.9</v>
      </c>
      <c r="N797" s="25">
        <f>ROUND(L797/M797, 0)</f>
        <v/>
      </c>
      <c r="O797" s="25">
        <f>ROUND(N797*'Methodology &amp; Assumptions'!$B$7, 0)</f>
        <v/>
      </c>
      <c r="P797" s="23" t="inlineStr">
        <is>
          <t>Single Carrier (Band n50, 100MHz TDD)</t>
        </is>
      </c>
      <c r="Q797" s="27">
        <f>ROUNDUP(O797/'Methodology &amp; Assumptions'!$B$8, 0)</f>
        <v/>
      </c>
      <c r="R797" s="27" t="n">
        <v>1</v>
      </c>
      <c r="S797" s="26" t="n">
        <v>3.77</v>
      </c>
      <c r="T797" s="26" t="n">
        <v>16.21</v>
      </c>
      <c r="U797" s="11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26" t="n">
        <v>47.74</v>
      </c>
      <c r="W797" s="26" t="n">
        <v>77.93000000000001</v>
      </c>
      <c r="X797" s="26">
        <f>ROUND(('Methodology &amp; Assumptions'!$B$5*V797) + ('Methodology &amp; Assumptions'!$B$6*W797), 2)</f>
        <v/>
      </c>
      <c r="Y797" s="28" t="n">
        <v>10.9</v>
      </c>
      <c r="Z797" s="11" t="inlineStr">
        <is>
          <t>Priority Tier 2 (Balanced Opportunity)</t>
        </is>
      </c>
    </row>
    <row r="798">
      <c r="A798" s="23" t="n">
        <v>2</v>
      </c>
      <c r="B798" s="23" t="n">
        <v>794</v>
      </c>
      <c r="C798" s="23" t="n">
        <v>1794</v>
      </c>
      <c r="D798" s="23" t="inlineStr">
        <is>
          <t>0603043061</t>
        </is>
      </c>
      <c r="E798" s="11" t="inlineStr">
        <is>
          <t>Region VI (Western Visayas)</t>
        </is>
      </c>
      <c r="F798" s="11" t="inlineStr">
        <is>
          <t>Iloilo</t>
        </is>
      </c>
      <c r="G798" s="11" t="inlineStr">
        <is>
          <t>Santa Barbara</t>
        </is>
      </c>
      <c r="H798" s="11" t="inlineStr">
        <is>
          <t>Barangay Zone VI</t>
        </is>
      </c>
      <c r="I798" s="24" t="n">
        <v>10.823194</v>
      </c>
      <c r="J798" s="24" t="n">
        <v>122.537184</v>
      </c>
      <c r="K798" s="23" t="inlineStr">
        <is>
          <t>R</t>
        </is>
      </c>
      <c r="L798" s="25" t="n">
        <v>3583</v>
      </c>
      <c r="M798" s="26" t="n">
        <v>3.8</v>
      </c>
      <c r="N798" s="25">
        <f>ROUND(L798/M798, 0)</f>
        <v/>
      </c>
      <c r="O798" s="25">
        <f>ROUND(N798*'Methodology &amp; Assumptions'!$B$7, 0)</f>
        <v/>
      </c>
      <c r="P798" s="23" t="inlineStr">
        <is>
          <t>Single Carrier (Band n50, 100MHz TDD)</t>
        </is>
      </c>
      <c r="Q798" s="27">
        <f>ROUNDUP(O798/'Methodology &amp; Assumptions'!$B$8, 0)</f>
        <v/>
      </c>
      <c r="R798" s="27" t="n">
        <v>1</v>
      </c>
      <c r="S798" s="26" t="n">
        <v>0.54</v>
      </c>
      <c r="T798" s="26" t="n">
        <v>0.55</v>
      </c>
      <c r="U798" s="11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26" t="n">
        <v>88.06</v>
      </c>
      <c r="W798" s="26" t="n">
        <v>37.59</v>
      </c>
      <c r="X798" s="26">
        <f>ROUND(('Methodology &amp; Assumptions'!$B$5*V798) + ('Methodology &amp; Assumptions'!$B$6*W798), 2)</f>
        <v/>
      </c>
      <c r="Y798" s="28" t="n">
        <v>23.7</v>
      </c>
      <c r="Z798" s="11" t="inlineStr">
        <is>
          <t>Priority Tier 2 (Balanced Opportunity)</t>
        </is>
      </c>
    </row>
    <row r="799">
      <c r="A799" s="23" t="n">
        <v>2</v>
      </c>
      <c r="B799" s="23" t="n">
        <v>795</v>
      </c>
      <c r="C799" s="23" t="n">
        <v>1795</v>
      </c>
      <c r="D799" s="23" t="inlineStr">
        <is>
          <t>0803740022</t>
        </is>
      </c>
      <c r="E799" s="11" t="inlineStr">
        <is>
          <t>Region VIII (Eastern Visayas)</t>
        </is>
      </c>
      <c r="F799" s="11" t="inlineStr">
        <is>
          <t>Leyte</t>
        </is>
      </c>
      <c r="G799" s="11" t="inlineStr">
        <is>
          <t>Palompon</t>
        </is>
      </c>
      <c r="H799" s="11" t="inlineStr">
        <is>
          <t>Mazawalo Pob.</t>
        </is>
      </c>
      <c r="I799" s="24" t="n">
        <v>11.046642</v>
      </c>
      <c r="J799" s="24" t="n">
        <v>124.385489</v>
      </c>
      <c r="K799" s="23" t="inlineStr">
        <is>
          <t>R</t>
        </is>
      </c>
      <c r="L799" s="25" t="n">
        <v>4628</v>
      </c>
      <c r="M799" s="26" t="n">
        <v>3.8</v>
      </c>
      <c r="N799" s="25">
        <f>ROUND(L799/M799, 0)</f>
        <v/>
      </c>
      <c r="O799" s="25">
        <f>ROUND(N799*'Methodology &amp; Assumptions'!$B$7, 0)</f>
        <v/>
      </c>
      <c r="P799" s="23" t="inlineStr">
        <is>
          <t>Single Carrier (Band n50, 100MHz TDD)</t>
        </is>
      </c>
      <c r="Q799" s="27">
        <f>ROUNDUP(O799/'Methodology &amp; Assumptions'!$B$8, 0)</f>
        <v/>
      </c>
      <c r="R799" s="27" t="n">
        <v>1</v>
      </c>
      <c r="S799" s="26" t="n">
        <v>0.5600000000000001</v>
      </c>
      <c r="T799" s="26" t="n">
        <v>0.34</v>
      </c>
      <c r="U799" s="11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26" t="n">
        <v>88.06</v>
      </c>
      <c r="W799" s="26" t="n">
        <v>37.58</v>
      </c>
      <c r="X799" s="26">
        <f>ROUND(('Methodology &amp; Assumptions'!$B$5*V799) + ('Methodology &amp; Assumptions'!$B$6*W799), 2)</f>
        <v/>
      </c>
      <c r="Y799" s="28" t="n">
        <v>23.7</v>
      </c>
      <c r="Z799" s="11" t="inlineStr">
        <is>
          <t>Priority Tier 2 (Balanced Opportunity)</t>
        </is>
      </c>
    </row>
    <row r="800">
      <c r="A800" s="23" t="n">
        <v>2</v>
      </c>
      <c r="B800" s="23" t="n">
        <v>796</v>
      </c>
      <c r="C800" s="23" t="n">
        <v>1796</v>
      </c>
      <c r="D800" s="23" t="inlineStr">
        <is>
          <t>0300804008</t>
        </is>
      </c>
      <c r="E800" s="11" t="inlineStr">
        <is>
          <t>Region III (Central Luzon)</t>
        </is>
      </c>
      <c r="F800" s="11" t="inlineStr">
        <is>
          <t>Bataan</t>
        </is>
      </c>
      <c r="G800" s="11" t="inlineStr">
        <is>
          <t>Dinalupihan</t>
        </is>
      </c>
      <c r="H800" s="11" t="inlineStr">
        <is>
          <t>Daang Bago</t>
        </is>
      </c>
      <c r="I800" s="24" t="n">
        <v>14.855969</v>
      </c>
      <c r="J800" s="24" t="n">
        <v>120.479824</v>
      </c>
      <c r="K800" s="23" t="inlineStr">
        <is>
          <t>R</t>
        </is>
      </c>
      <c r="L800" s="25" t="n">
        <v>3392</v>
      </c>
      <c r="M800" s="26" t="n">
        <v>3.6</v>
      </c>
      <c r="N800" s="25">
        <f>ROUND(L800/M800, 0)</f>
        <v/>
      </c>
      <c r="O800" s="25">
        <f>ROUND(N800*'Methodology &amp; Assumptions'!$B$7, 0)</f>
        <v/>
      </c>
      <c r="P800" s="23" t="inlineStr">
        <is>
          <t>Single Carrier (Band n50, 100MHz TDD)</t>
        </is>
      </c>
      <c r="Q800" s="27">
        <f>ROUNDUP(O800/'Methodology &amp; Assumptions'!$B$8, 0)</f>
        <v/>
      </c>
      <c r="R800" s="27" t="n">
        <v>1</v>
      </c>
      <c r="S800" s="26" t="n">
        <v>1.46</v>
      </c>
      <c r="T800" s="26" t="n">
        <v>0.2</v>
      </c>
      <c r="U800" s="11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26" t="n">
        <v>83.28</v>
      </c>
      <c r="W800" s="26" t="n">
        <v>42.35</v>
      </c>
      <c r="X800" s="26">
        <f>ROUND(('Methodology &amp; Assumptions'!$B$5*V800) + ('Methodology &amp; Assumptions'!$B$6*W800), 2)</f>
        <v/>
      </c>
      <c r="Y800" s="28" t="n">
        <v>8.300000000000001</v>
      </c>
      <c r="Z800" s="11" t="inlineStr">
        <is>
          <t>Priority Tier 2 (Balanced Opportunity)</t>
        </is>
      </c>
    </row>
    <row r="801">
      <c r="A801" s="23" t="n">
        <v>2</v>
      </c>
      <c r="B801" s="23" t="n">
        <v>797</v>
      </c>
      <c r="C801" s="23" t="n">
        <v>1797</v>
      </c>
      <c r="D801" s="23" t="inlineStr">
        <is>
          <t>0405811015</t>
        </is>
      </c>
      <c r="E801" s="11" t="inlineStr">
        <is>
          <t>Region IV-A (CALABARZON)</t>
        </is>
      </c>
      <c r="F801" s="11" t="inlineStr">
        <is>
          <t>Rizal</t>
        </is>
      </c>
      <c r="G801" s="11" t="inlineStr">
        <is>
          <t>San Mateo</t>
        </is>
      </c>
      <c r="H801" s="11" t="inlineStr">
        <is>
          <t>Santo Niño</t>
        </is>
      </c>
      <c r="I801" s="24" t="n">
        <v>14.66914</v>
      </c>
      <c r="J801" s="24" t="n">
        <v>121.1345</v>
      </c>
      <c r="K801" s="23" t="inlineStr">
        <is>
          <t>U</t>
        </is>
      </c>
      <c r="L801" s="25" t="n">
        <v>12224</v>
      </c>
      <c r="M801" s="26" t="n">
        <v>3.6</v>
      </c>
      <c r="N801" s="25">
        <f>ROUND(L801/M801, 0)</f>
        <v/>
      </c>
      <c r="O801" s="25">
        <f>ROUND(N801*'Methodology &amp; Assumptions'!$B$7, 0)</f>
        <v/>
      </c>
      <c r="P801" s="23" t="inlineStr">
        <is>
          <t>Single Carrier (Band n50, 100MHz TDD)</t>
        </is>
      </c>
      <c r="Q801" s="27">
        <f>ROUNDUP(O801/'Methodology &amp; Assumptions'!$B$8, 0)</f>
        <v/>
      </c>
      <c r="R801" s="27" t="n">
        <v>1</v>
      </c>
      <c r="S801" s="26" t="n">
        <v>2.36</v>
      </c>
      <c r="T801" s="26" t="n">
        <v>0.38</v>
      </c>
      <c r="U801" s="11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26" t="n">
        <v>72.8</v>
      </c>
      <c r="W801" s="26" t="n">
        <v>52.83</v>
      </c>
      <c r="X801" s="26">
        <f>ROUND(('Methodology &amp; Assumptions'!$B$5*V801) + ('Methodology &amp; Assumptions'!$B$6*W801), 2)</f>
        <v/>
      </c>
      <c r="Y801" s="28" t="n">
        <v>7.2</v>
      </c>
      <c r="Z801" s="11" t="inlineStr">
        <is>
          <t>Priority Tier 2 (Balanced Opportunity)</t>
        </is>
      </c>
    </row>
    <row r="802">
      <c r="A802" s="23" t="n">
        <v>2</v>
      </c>
      <c r="B802" s="23" t="n">
        <v>798</v>
      </c>
      <c r="C802" s="23" t="n">
        <v>1798</v>
      </c>
      <c r="D802" s="23" t="inlineStr">
        <is>
          <t>1108605004</t>
        </is>
      </c>
      <c r="E802" s="11" t="inlineStr">
        <is>
          <t>Region XI (Davao Region)</t>
        </is>
      </c>
      <c r="F802" s="11" t="inlineStr">
        <is>
          <t>Davao Occidental</t>
        </is>
      </c>
      <c r="G802" s="11" t="inlineStr">
        <is>
          <t>Sarangani</t>
        </is>
      </c>
      <c r="H802" s="11" t="inlineStr">
        <is>
          <t>Mabila</t>
        </is>
      </c>
      <c r="I802" s="24" t="n">
        <v>5.400236</v>
      </c>
      <c r="J802" s="24" t="n">
        <v>125.406953</v>
      </c>
      <c r="K802" s="23" t="inlineStr">
        <is>
          <t>U</t>
        </is>
      </c>
      <c r="L802" s="25" t="n">
        <v>5248</v>
      </c>
      <c r="M802" s="26" t="n">
        <v>3.9</v>
      </c>
      <c r="N802" s="25">
        <f>ROUND(L802/M802, 0)</f>
        <v/>
      </c>
      <c r="O802" s="25">
        <f>ROUND(N802*'Methodology &amp; Assumptions'!$B$7, 0)</f>
        <v/>
      </c>
      <c r="P802" s="23" t="inlineStr">
        <is>
          <t>Single Carrier (Band n50, 100MHz TDD)</t>
        </is>
      </c>
      <c r="Q802" s="27">
        <f>ROUNDUP(O802/'Methodology &amp; Assumptions'!$B$8, 0)</f>
        <v/>
      </c>
      <c r="R802" s="27" t="n">
        <v>1</v>
      </c>
      <c r="S802" s="26" t="n">
        <v>79.65000000000001</v>
      </c>
      <c r="T802" s="26" t="n">
        <v>83.55</v>
      </c>
      <c r="U802" s="11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26" t="n">
        <v>57.24</v>
      </c>
      <c r="W802" s="26" t="n">
        <v>68.40000000000001</v>
      </c>
      <c r="X802" s="26">
        <f>ROUND(('Methodology &amp; Assumptions'!$B$5*V802) + ('Methodology &amp; Assumptions'!$B$6*W802), 2)</f>
        <v/>
      </c>
      <c r="Y802" s="28" t="n">
        <v>17.4</v>
      </c>
      <c r="Z802" s="11" t="inlineStr">
        <is>
          <t>Priority Tier 2 (Balanced Opportunity)</t>
        </is>
      </c>
    </row>
    <row r="803">
      <c r="A803" s="23" t="n">
        <v>2</v>
      </c>
      <c r="B803" s="23" t="n">
        <v>799</v>
      </c>
      <c r="C803" s="23" t="n">
        <v>1799</v>
      </c>
      <c r="D803" s="23" t="inlineStr">
        <is>
          <t>1403214008</t>
        </is>
      </c>
      <c r="E803" s="11" t="inlineStr">
        <is>
          <t>Cordillera Administrative Region (CAR)</t>
        </is>
      </c>
      <c r="F803" s="11" t="inlineStr">
        <is>
          <t>Kalinga</t>
        </is>
      </c>
      <c r="G803" s="11" t="inlineStr">
        <is>
          <t>Tanudan</t>
        </is>
      </c>
      <c r="H803" s="11" t="inlineStr">
        <is>
          <t>Upper Lubo</t>
        </is>
      </c>
      <c r="I803" s="24" t="n">
        <v>17.261922</v>
      </c>
      <c r="J803" s="24" t="n">
        <v>121.195626</v>
      </c>
      <c r="K803" s="23" t="inlineStr">
        <is>
          <t>R</t>
        </is>
      </c>
      <c r="L803" s="25" t="n">
        <v>333</v>
      </c>
      <c r="M803" s="26" t="n">
        <v>4.3</v>
      </c>
      <c r="N803" s="25">
        <f>ROUND(L803/M803, 0)</f>
        <v/>
      </c>
      <c r="O803" s="25">
        <f>ROUND(N803*'Methodology &amp; Assumptions'!$B$7, 0)</f>
        <v/>
      </c>
      <c r="P803" s="23" t="inlineStr">
        <is>
          <t>Single Carrier (Band n50, 100MHz TDD)</t>
        </is>
      </c>
      <c r="Q803" s="27">
        <f>ROUNDUP(O803/'Methodology &amp; Assumptions'!$B$8, 0)</f>
        <v/>
      </c>
      <c r="R803" s="27" t="n">
        <v>1</v>
      </c>
      <c r="S803" s="26" t="n">
        <v>4.97</v>
      </c>
      <c r="T803" s="26" t="n">
        <v>4.14</v>
      </c>
      <c r="U803" s="11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26" t="n">
        <v>45.58</v>
      </c>
      <c r="W803" s="26" t="n">
        <v>80.06</v>
      </c>
      <c r="X803" s="26">
        <f>ROUND(('Methodology &amp; Assumptions'!$B$5*V803) + ('Methodology &amp; Assumptions'!$B$6*W803), 2)</f>
        <v/>
      </c>
      <c r="Y803" s="28" t="n">
        <v>10.9</v>
      </c>
      <c r="Z803" s="11" t="inlineStr">
        <is>
          <t>Priority Tier 2 (Balanced Opportunity)</t>
        </is>
      </c>
    </row>
    <row r="804">
      <c r="A804" s="23" t="n">
        <v>2</v>
      </c>
      <c r="B804" s="23" t="n">
        <v>800</v>
      </c>
      <c r="C804" s="23" t="n">
        <v>1800</v>
      </c>
      <c r="D804" s="23" t="inlineStr">
        <is>
          <t>0600407001</t>
        </is>
      </c>
      <c r="E804" s="11" t="inlineStr">
        <is>
          <t>Region VI (Western Visayas)</t>
        </is>
      </c>
      <c r="F804" s="11" t="inlineStr">
        <is>
          <t>Aklan</t>
        </is>
      </c>
      <c r="G804" s="11" t="inlineStr">
        <is>
          <t>Kalibo</t>
        </is>
      </c>
      <c r="H804" s="11" t="inlineStr">
        <is>
          <t>Andagaw</t>
        </is>
      </c>
      <c r="I804" s="24" t="n">
        <v>11.704115</v>
      </c>
      <c r="J804" s="24" t="n">
        <v>122.375666</v>
      </c>
      <c r="K804" s="23" t="inlineStr">
        <is>
          <t>U</t>
        </is>
      </c>
      <c r="L804" s="25" t="n">
        <v>15878</v>
      </c>
      <c r="M804" s="26" t="n">
        <v>3.9</v>
      </c>
      <c r="N804" s="25">
        <f>ROUND(L804/M804, 0)</f>
        <v/>
      </c>
      <c r="O804" s="25">
        <f>ROUND(N804*'Methodology &amp; Assumptions'!$B$7, 0)</f>
        <v/>
      </c>
      <c r="P804" s="23" t="inlineStr">
        <is>
          <t>Single Carrier (Band n50, 100MHz TDD)</t>
        </is>
      </c>
      <c r="Q804" s="27">
        <f>ROUNDUP(O804/'Methodology &amp; Assumptions'!$B$8, 0)</f>
        <v/>
      </c>
      <c r="R804" s="27" t="n">
        <v>1</v>
      </c>
      <c r="S804" s="26" t="n">
        <v>1.19</v>
      </c>
      <c r="T804" s="26" t="n">
        <v>0.93</v>
      </c>
      <c r="U804" s="11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26" t="n">
        <v>79.5</v>
      </c>
      <c r="W804" s="26" t="n">
        <v>46.11</v>
      </c>
      <c r="X804" s="26">
        <f>ROUND(('Methodology &amp; Assumptions'!$B$5*V804) + ('Methodology &amp; Assumptions'!$B$6*W804), 2)</f>
        <v/>
      </c>
      <c r="Y804" s="28" t="n">
        <v>23.7</v>
      </c>
      <c r="Z804" s="11" t="inlineStr">
        <is>
          <t>Priority Tier 2 (Balanced Opportunity)</t>
        </is>
      </c>
    </row>
    <row r="805">
      <c r="A805" s="23" t="n">
        <v>2</v>
      </c>
      <c r="B805" s="23" t="n">
        <v>801</v>
      </c>
      <c r="C805" s="23" t="n">
        <v>1801</v>
      </c>
      <c r="D805" s="23" t="inlineStr">
        <is>
          <t>1381300008</t>
        </is>
      </c>
      <c r="E805" s="11" t="inlineStr">
        <is>
          <t>National Capital Region (NCR)</t>
        </is>
      </c>
      <c r="F805" s="11" t="inlineStr">
        <is>
          <t>Second District (Not a Province)</t>
        </is>
      </c>
      <c r="G805" s="11" t="inlineStr">
        <is>
          <t>Quezon City</t>
        </is>
      </c>
      <c r="H805" s="11" t="inlineStr">
        <is>
          <t>Bagong Lipunan Ng Crame</t>
        </is>
      </c>
      <c r="I805" s="24" t="n">
        <v>14.61382</v>
      </c>
      <c r="J805" s="24" t="n">
        <v>121.0506</v>
      </c>
      <c r="K805" s="23" t="inlineStr">
        <is>
          <t>U</t>
        </is>
      </c>
      <c r="L805" s="25" t="n">
        <v>14944</v>
      </c>
      <c r="M805" s="26" t="n">
        <v>3.7</v>
      </c>
      <c r="N805" s="25">
        <f>ROUND(L805/M805, 0)</f>
        <v/>
      </c>
      <c r="O805" s="25">
        <f>ROUND(N805*'Methodology &amp; Assumptions'!$B$7, 0)</f>
        <v/>
      </c>
      <c r="P805" s="23" t="inlineStr">
        <is>
          <t>Single Carrier (Band n50, 100MHz TDD)</t>
        </is>
      </c>
      <c r="Q805" s="27">
        <f>ROUNDUP(O805/'Methodology &amp; Assumptions'!$B$8, 0)</f>
        <v/>
      </c>
      <c r="R805" s="27" t="n">
        <v>1</v>
      </c>
      <c r="S805" s="26" t="n">
        <v>1.03</v>
      </c>
      <c r="T805" s="26" t="n">
        <v>1</v>
      </c>
      <c r="U805" s="11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26" t="n">
        <v>68.38</v>
      </c>
      <c r="W805" s="26" t="n">
        <v>57.24</v>
      </c>
      <c r="X805" s="26">
        <f>ROUND(('Methodology &amp; Assumptions'!$B$5*V805) + ('Methodology &amp; Assumptions'!$B$6*W805), 2)</f>
        <v/>
      </c>
      <c r="Y805" s="28" t="n">
        <v>10.9</v>
      </c>
      <c r="Z805" s="11" t="inlineStr">
        <is>
          <t>Priority Tier 2 (Balanced Opportunity)</t>
        </is>
      </c>
    </row>
    <row r="806">
      <c r="A806" s="23" t="n">
        <v>2</v>
      </c>
      <c r="B806" s="23" t="n">
        <v>802</v>
      </c>
      <c r="C806" s="23" t="n">
        <v>1802</v>
      </c>
      <c r="D806" s="23" t="inlineStr">
        <is>
          <t>0631000001</t>
        </is>
      </c>
      <c r="E806" s="11" t="inlineStr">
        <is>
          <t>Region VI (Western Visayas)</t>
        </is>
      </c>
      <c r="F806" s="11" t="inlineStr">
        <is>
          <t>Iloilo</t>
        </is>
      </c>
      <c r="G806" s="11" t="inlineStr">
        <is>
          <t>City of Iloilo</t>
        </is>
      </c>
      <c r="H806" s="11" t="inlineStr">
        <is>
          <t>Santa Cruz</t>
        </is>
      </c>
      <c r="I806" s="24" t="n">
        <v>10.92438</v>
      </c>
      <c r="J806" s="24" t="n">
        <v>122.558213</v>
      </c>
      <c r="K806" s="23" t="inlineStr">
        <is>
          <t>R</t>
        </is>
      </c>
      <c r="L806" s="25" t="n">
        <v>3947</v>
      </c>
      <c r="M806" s="26" t="n">
        <v>4.2</v>
      </c>
      <c r="N806" s="25">
        <f>ROUND(L806/M806, 0)</f>
        <v/>
      </c>
      <c r="O806" s="25">
        <f>ROUND(N806*'Methodology &amp; Assumptions'!$B$7, 0)</f>
        <v/>
      </c>
      <c r="P806" s="23" t="inlineStr">
        <is>
          <t>Single Carrier (Band n50, 100MHz TDD)</t>
        </is>
      </c>
      <c r="Q806" s="27">
        <f>ROUNDUP(O806/'Methodology &amp; Assumptions'!$B$8, 0)</f>
        <v/>
      </c>
      <c r="R806" s="27" t="n">
        <v>1</v>
      </c>
      <c r="S806" s="26" t="n">
        <v>0.97</v>
      </c>
      <c r="T806" s="26" t="n">
        <v>0.96</v>
      </c>
      <c r="U806" s="11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26" t="n">
        <v>87.54000000000001</v>
      </c>
      <c r="W806" s="26" t="n">
        <v>38.05</v>
      </c>
      <c r="X806" s="26">
        <f>ROUND(('Methodology &amp; Assumptions'!$B$5*V806) + ('Methodology &amp; Assumptions'!$B$6*W806), 2)</f>
        <v/>
      </c>
      <c r="Y806" s="28" t="n">
        <v>23.7</v>
      </c>
      <c r="Z806" s="11" t="inlineStr">
        <is>
          <t>Priority Tier 2 (Balanced Opportunity)</t>
        </is>
      </c>
    </row>
    <row r="807">
      <c r="A807" s="23" t="n">
        <v>2</v>
      </c>
      <c r="B807" s="23" t="n">
        <v>803</v>
      </c>
      <c r="C807" s="23" t="n">
        <v>1803</v>
      </c>
      <c r="D807" s="23" t="inlineStr">
        <is>
          <t>0631000029</t>
        </is>
      </c>
      <c r="E807" s="11" t="inlineStr">
        <is>
          <t>Region VI (Western Visayas)</t>
        </is>
      </c>
      <c r="F807" s="11" t="inlineStr">
        <is>
          <t>Iloilo</t>
        </is>
      </c>
      <c r="G807" s="11" t="inlineStr">
        <is>
          <t>City of Iloilo</t>
        </is>
      </c>
      <c r="H807" s="11" t="inlineStr">
        <is>
          <t>Caingin</t>
        </is>
      </c>
      <c r="I807" s="24" t="n">
        <v>10.92438</v>
      </c>
      <c r="J807" s="24" t="n">
        <v>122.558213</v>
      </c>
      <c r="K807" s="23" t="inlineStr">
        <is>
          <t>R</t>
        </is>
      </c>
      <c r="L807" s="25" t="n">
        <v>4860</v>
      </c>
      <c r="M807" s="26" t="n">
        <v>4.2</v>
      </c>
      <c r="N807" s="25">
        <f>ROUND(L807/M807, 0)</f>
        <v/>
      </c>
      <c r="O807" s="25">
        <f>ROUND(N807*'Methodology &amp; Assumptions'!$B$7, 0)</f>
        <v/>
      </c>
      <c r="P807" s="23" t="inlineStr">
        <is>
          <t>Single Carrier (Band n50, 100MHz TDD)</t>
        </is>
      </c>
      <c r="Q807" s="27">
        <f>ROUNDUP(O807/'Methodology &amp; Assumptions'!$B$8, 0)</f>
        <v/>
      </c>
      <c r="R807" s="27" t="n">
        <v>1</v>
      </c>
      <c r="S807" s="26" t="n">
        <v>0.97</v>
      </c>
      <c r="T807" s="26" t="n">
        <v>0.96</v>
      </c>
      <c r="U807" s="11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26" t="n">
        <v>87.54000000000001</v>
      </c>
      <c r="W807" s="26" t="n">
        <v>38.05</v>
      </c>
      <c r="X807" s="26">
        <f>ROUND(('Methodology &amp; Assumptions'!$B$5*V807) + ('Methodology &amp; Assumptions'!$B$6*W807), 2)</f>
        <v/>
      </c>
      <c r="Y807" s="28" t="n">
        <v>23.7</v>
      </c>
      <c r="Z807" s="11" t="inlineStr">
        <is>
          <t>Priority Tier 2 (Balanced Opportunity)</t>
        </is>
      </c>
    </row>
    <row r="808">
      <c r="A808" s="23" t="n">
        <v>2</v>
      </c>
      <c r="B808" s="23" t="n">
        <v>804</v>
      </c>
      <c r="C808" s="23" t="n">
        <v>1804</v>
      </c>
      <c r="D808" s="23" t="inlineStr">
        <is>
          <t>0631000115</t>
        </is>
      </c>
      <c r="E808" s="11" t="inlineStr">
        <is>
          <t>Region VI (Western Visayas)</t>
        </is>
      </c>
      <c r="F808" s="11" t="inlineStr">
        <is>
          <t>Iloilo</t>
        </is>
      </c>
      <c r="G808" s="11" t="inlineStr">
        <is>
          <t>City of Iloilo</t>
        </is>
      </c>
      <c r="H808" s="11" t="inlineStr">
        <is>
          <t>Navais</t>
        </is>
      </c>
      <c r="I808" s="24" t="n">
        <v>10.92438</v>
      </c>
      <c r="J808" s="24" t="n">
        <v>122.558213</v>
      </c>
      <c r="K808" s="23" t="inlineStr">
        <is>
          <t>R</t>
        </is>
      </c>
      <c r="L808" s="25" t="n">
        <v>4686</v>
      </c>
      <c r="M808" s="26" t="n">
        <v>4.2</v>
      </c>
      <c r="N808" s="25">
        <f>ROUND(L808/M808, 0)</f>
        <v/>
      </c>
      <c r="O808" s="25">
        <f>ROUND(N808*'Methodology &amp; Assumptions'!$B$7, 0)</f>
        <v/>
      </c>
      <c r="P808" s="23" t="inlineStr">
        <is>
          <t>Single Carrier (Band n50, 100MHz TDD)</t>
        </is>
      </c>
      <c r="Q808" s="27">
        <f>ROUNDUP(O808/'Methodology &amp; Assumptions'!$B$8, 0)</f>
        <v/>
      </c>
      <c r="R808" s="27" t="n">
        <v>1</v>
      </c>
      <c r="S808" s="26" t="n">
        <v>0.97</v>
      </c>
      <c r="T808" s="26" t="n">
        <v>0.96</v>
      </c>
      <c r="U808" s="11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26" t="n">
        <v>87.54000000000001</v>
      </c>
      <c r="W808" s="26" t="n">
        <v>38.05</v>
      </c>
      <c r="X808" s="26">
        <f>ROUND(('Methodology &amp; Assumptions'!$B$5*V808) + ('Methodology &amp; Assumptions'!$B$6*W808), 2)</f>
        <v/>
      </c>
      <c r="Y808" s="28" t="n">
        <v>23.7</v>
      </c>
      <c r="Z808" s="11" t="inlineStr">
        <is>
          <t>Priority Tier 2 (Balanced Opportunity)</t>
        </is>
      </c>
    </row>
    <row r="809">
      <c r="A809" s="23" t="n">
        <v>2</v>
      </c>
      <c r="B809" s="23" t="n">
        <v>805</v>
      </c>
      <c r="C809" s="23" t="n">
        <v>1805</v>
      </c>
      <c r="D809" s="23" t="inlineStr">
        <is>
          <t>0631000118</t>
        </is>
      </c>
      <c r="E809" s="11" t="inlineStr">
        <is>
          <t>Region VI (Western Visayas)</t>
        </is>
      </c>
      <c r="F809" s="11" t="inlineStr">
        <is>
          <t>Iloilo</t>
        </is>
      </c>
      <c r="G809" s="11" t="inlineStr">
        <is>
          <t>City of Iloilo</t>
        </is>
      </c>
      <c r="H809" s="11" t="inlineStr">
        <is>
          <t>North Baluarte</t>
        </is>
      </c>
      <c r="I809" s="24" t="n">
        <v>10.92438</v>
      </c>
      <c r="J809" s="24" t="n">
        <v>122.558213</v>
      </c>
      <c r="K809" s="23" t="inlineStr">
        <is>
          <t>R</t>
        </is>
      </c>
      <c r="L809" s="25" t="n">
        <v>5050</v>
      </c>
      <c r="M809" s="26" t="n">
        <v>4.2</v>
      </c>
      <c r="N809" s="25">
        <f>ROUND(L809/M809, 0)</f>
        <v/>
      </c>
      <c r="O809" s="25">
        <f>ROUND(N809*'Methodology &amp; Assumptions'!$B$7, 0)</f>
        <v/>
      </c>
      <c r="P809" s="23" t="inlineStr">
        <is>
          <t>Single Carrier (Band n50, 100MHz TDD)</t>
        </is>
      </c>
      <c r="Q809" s="27">
        <f>ROUNDUP(O809/'Methodology &amp; Assumptions'!$B$8, 0)</f>
        <v/>
      </c>
      <c r="R809" s="27" t="n">
        <v>1</v>
      </c>
      <c r="S809" s="26" t="n">
        <v>0.97</v>
      </c>
      <c r="T809" s="26" t="n">
        <v>0.96</v>
      </c>
      <c r="U809" s="11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26" t="n">
        <v>87.54000000000001</v>
      </c>
      <c r="W809" s="26" t="n">
        <v>38.05</v>
      </c>
      <c r="X809" s="26">
        <f>ROUND(('Methodology &amp; Assumptions'!$B$5*V809) + ('Methodology &amp; Assumptions'!$B$6*W809), 2)</f>
        <v/>
      </c>
      <c r="Y809" s="28" t="n">
        <v>23.7</v>
      </c>
      <c r="Z809" s="11" t="inlineStr">
        <is>
          <t>Priority Tier 2 (Balanced Opportunity)</t>
        </is>
      </c>
    </row>
    <row r="810">
      <c r="A810" s="23" t="n">
        <v>2</v>
      </c>
      <c r="B810" s="23" t="n">
        <v>806</v>
      </c>
      <c r="C810" s="23" t="n">
        <v>1806</v>
      </c>
      <c r="D810" s="23" t="inlineStr">
        <is>
          <t>0631000167</t>
        </is>
      </c>
      <c r="E810" s="11" t="inlineStr">
        <is>
          <t>Region VI (Western Visayas)</t>
        </is>
      </c>
      <c r="F810" s="11" t="inlineStr">
        <is>
          <t>Iloilo</t>
        </is>
      </c>
      <c r="G810" s="11" t="inlineStr">
        <is>
          <t>City of Iloilo</t>
        </is>
      </c>
      <c r="H810" s="11" t="inlineStr">
        <is>
          <t>Santo Niño Norte</t>
        </is>
      </c>
      <c r="I810" s="24" t="n">
        <v>10.92438</v>
      </c>
      <c r="J810" s="24" t="n">
        <v>122.558213</v>
      </c>
      <c r="K810" s="23" t="inlineStr">
        <is>
          <t>R</t>
        </is>
      </c>
      <c r="L810" s="25" t="n">
        <v>4060</v>
      </c>
      <c r="M810" s="26" t="n">
        <v>4.2</v>
      </c>
      <c r="N810" s="25">
        <f>ROUND(L810/M810, 0)</f>
        <v/>
      </c>
      <c r="O810" s="25">
        <f>ROUND(N810*'Methodology &amp; Assumptions'!$B$7, 0)</f>
        <v/>
      </c>
      <c r="P810" s="23" t="inlineStr">
        <is>
          <t>Single Carrier (Band n50, 100MHz TDD)</t>
        </is>
      </c>
      <c r="Q810" s="27">
        <f>ROUNDUP(O810/'Methodology &amp; Assumptions'!$B$8, 0)</f>
        <v/>
      </c>
      <c r="R810" s="27" t="n">
        <v>1</v>
      </c>
      <c r="S810" s="26" t="n">
        <v>0.97</v>
      </c>
      <c r="T810" s="26" t="n">
        <v>0.96</v>
      </c>
      <c r="U810" s="11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26" t="n">
        <v>87.54000000000001</v>
      </c>
      <c r="W810" s="26" t="n">
        <v>38.05</v>
      </c>
      <c r="X810" s="26">
        <f>ROUND(('Methodology &amp; Assumptions'!$B$5*V810) + ('Methodology &amp; Assumptions'!$B$6*W810), 2)</f>
        <v/>
      </c>
      <c r="Y810" s="28" t="n">
        <v>23.7</v>
      </c>
      <c r="Z810" s="11" t="inlineStr">
        <is>
          <t>Priority Tier 2 (Balanced Opportunity)</t>
        </is>
      </c>
    </row>
    <row r="811">
      <c r="A811" s="23" t="n">
        <v>2</v>
      </c>
      <c r="B811" s="23" t="n">
        <v>807</v>
      </c>
      <c r="C811" s="23" t="n">
        <v>1807</v>
      </c>
      <c r="D811" s="23" t="inlineStr">
        <is>
          <t>0631000194</t>
        </is>
      </c>
      <c r="E811" s="11" t="inlineStr">
        <is>
          <t>Region VI (Western Visayas)</t>
        </is>
      </c>
      <c r="F811" s="11" t="inlineStr">
        <is>
          <t>Iloilo</t>
        </is>
      </c>
      <c r="G811" s="11" t="inlineStr">
        <is>
          <t>City of Iloilo</t>
        </is>
      </c>
      <c r="H811" s="11" t="inlineStr">
        <is>
          <t>Yulo Drive</t>
        </is>
      </c>
      <c r="I811" s="24" t="n">
        <v>10.92438</v>
      </c>
      <c r="J811" s="24" t="n">
        <v>122.558213</v>
      </c>
      <c r="K811" s="23" t="inlineStr">
        <is>
          <t>R</t>
        </is>
      </c>
      <c r="L811" s="25" t="n">
        <v>4035</v>
      </c>
      <c r="M811" s="26" t="n">
        <v>4.2</v>
      </c>
      <c r="N811" s="25">
        <f>ROUND(L811/M811, 0)</f>
        <v/>
      </c>
      <c r="O811" s="25">
        <f>ROUND(N811*'Methodology &amp; Assumptions'!$B$7, 0)</f>
        <v/>
      </c>
      <c r="P811" s="23" t="inlineStr">
        <is>
          <t>Single Carrier (Band n50, 100MHz TDD)</t>
        </is>
      </c>
      <c r="Q811" s="27">
        <f>ROUNDUP(O811/'Methodology &amp; Assumptions'!$B$8, 0)</f>
        <v/>
      </c>
      <c r="R811" s="27" t="n">
        <v>1</v>
      </c>
      <c r="S811" s="26" t="n">
        <v>0.97</v>
      </c>
      <c r="T811" s="26" t="n">
        <v>0.96</v>
      </c>
      <c r="U811" s="11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26" t="n">
        <v>87.54000000000001</v>
      </c>
      <c r="W811" s="26" t="n">
        <v>38.05</v>
      </c>
      <c r="X811" s="26">
        <f>ROUND(('Methodology &amp; Assumptions'!$B$5*V811) + ('Methodology &amp; Assumptions'!$B$6*W811), 2)</f>
        <v/>
      </c>
      <c r="Y811" s="28" t="n">
        <v>23.7</v>
      </c>
      <c r="Z811" s="11" t="inlineStr">
        <is>
          <t>Priority Tier 2 (Balanced Opportunity)</t>
        </is>
      </c>
    </row>
    <row r="812">
      <c r="A812" s="23" t="n">
        <v>2</v>
      </c>
      <c r="B812" s="23" t="n">
        <v>808</v>
      </c>
      <c r="C812" s="23" t="n">
        <v>1808</v>
      </c>
      <c r="D812" s="23" t="inlineStr">
        <is>
          <t>0631000199</t>
        </is>
      </c>
      <c r="E812" s="11" t="inlineStr">
        <is>
          <t>Region VI (Western Visayas)</t>
        </is>
      </c>
      <c r="F812" s="11" t="inlineStr">
        <is>
          <t>Iloilo</t>
        </is>
      </c>
      <c r="G812" s="11" t="inlineStr">
        <is>
          <t>City of Iloilo</t>
        </is>
      </c>
      <c r="H812" s="11" t="inlineStr">
        <is>
          <t>San Isidro</t>
        </is>
      </c>
      <c r="I812" s="24" t="n">
        <v>10.92438</v>
      </c>
      <c r="J812" s="24" t="n">
        <v>122.558213</v>
      </c>
      <c r="K812" s="23" t="inlineStr">
        <is>
          <t>R</t>
        </is>
      </c>
      <c r="L812" s="25" t="n">
        <v>4452</v>
      </c>
      <c r="M812" s="26" t="n">
        <v>4.2</v>
      </c>
      <c r="N812" s="25">
        <f>ROUND(L812/M812, 0)</f>
        <v/>
      </c>
      <c r="O812" s="25">
        <f>ROUND(N812*'Methodology &amp; Assumptions'!$B$7, 0)</f>
        <v/>
      </c>
      <c r="P812" s="23" t="inlineStr">
        <is>
          <t>Single Carrier (Band n50, 100MHz TDD)</t>
        </is>
      </c>
      <c r="Q812" s="27">
        <f>ROUNDUP(O812/'Methodology &amp; Assumptions'!$B$8, 0)</f>
        <v/>
      </c>
      <c r="R812" s="27" t="n">
        <v>1</v>
      </c>
      <c r="S812" s="26" t="n">
        <v>0.97</v>
      </c>
      <c r="T812" s="26" t="n">
        <v>0.96</v>
      </c>
      <c r="U812" s="11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26" t="n">
        <v>87.54000000000001</v>
      </c>
      <c r="W812" s="26" t="n">
        <v>38.05</v>
      </c>
      <c r="X812" s="26">
        <f>ROUND(('Methodology &amp; Assumptions'!$B$5*V812) + ('Methodology &amp; Assumptions'!$B$6*W812), 2)</f>
        <v/>
      </c>
      <c r="Y812" s="28" t="n">
        <v>23.7</v>
      </c>
      <c r="Z812" s="11" t="inlineStr">
        <is>
          <t>Priority Tier 2 (Balanced Opportunity)</t>
        </is>
      </c>
    </row>
    <row r="813">
      <c r="A813" s="23" t="n">
        <v>2</v>
      </c>
      <c r="B813" s="23" t="n">
        <v>809</v>
      </c>
      <c r="C813" s="23" t="n">
        <v>1809</v>
      </c>
      <c r="D813" s="23" t="inlineStr">
        <is>
          <t>0405647039</t>
        </is>
      </c>
      <c r="E813" s="11" t="inlineStr">
        <is>
          <t>Region IV-A (CALABARZON)</t>
        </is>
      </c>
      <c r="F813" s="11" t="inlineStr">
        <is>
          <t>Quezon</t>
        </is>
      </c>
      <c r="G813" s="11" t="inlineStr">
        <is>
          <t>City of Tayabas</t>
        </is>
      </c>
      <c r="H813" s="11" t="inlineStr">
        <is>
          <t>Lita</t>
        </is>
      </c>
      <c r="I813" s="24" t="n">
        <v>14.01848</v>
      </c>
      <c r="J813" s="24" t="n">
        <v>121.59632</v>
      </c>
      <c r="K813" s="23" t="inlineStr">
        <is>
          <t>R</t>
        </is>
      </c>
      <c r="L813" s="25" t="n">
        <v>3641</v>
      </c>
      <c r="M813" s="26" t="n">
        <v>3.8</v>
      </c>
      <c r="N813" s="25">
        <f>ROUND(L813/M813, 0)</f>
        <v/>
      </c>
      <c r="O813" s="25">
        <f>ROUND(N813*'Methodology &amp; Assumptions'!$B$7, 0)</f>
        <v/>
      </c>
      <c r="P813" s="23" t="inlineStr">
        <is>
          <t>Single Carrier (Band n50, 100MHz TDD)</t>
        </is>
      </c>
      <c r="Q813" s="27">
        <f>ROUNDUP(O813/'Methodology &amp; Assumptions'!$B$8, 0)</f>
        <v/>
      </c>
      <c r="R813" s="27" t="n">
        <v>1</v>
      </c>
      <c r="S813" s="26" t="n">
        <v>0.66</v>
      </c>
      <c r="T813" s="26" t="n">
        <v>0.22</v>
      </c>
      <c r="U813" s="11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26" t="n">
        <v>85.45999999999999</v>
      </c>
      <c r="W813" s="26" t="n">
        <v>40.14</v>
      </c>
      <c r="X813" s="26">
        <f>ROUND(('Methodology &amp; Assumptions'!$B$5*V813) + ('Methodology &amp; Assumptions'!$B$6*W813), 2)</f>
        <v/>
      </c>
      <c r="Y813" s="28" t="n">
        <v>7.2</v>
      </c>
      <c r="Z813" s="11" t="inlineStr">
        <is>
          <t>Priority Tier 2 (Balanced Opportunity)</t>
        </is>
      </c>
    </row>
    <row r="814">
      <c r="A814" s="23" t="n">
        <v>2</v>
      </c>
      <c r="B814" s="23" t="n">
        <v>810</v>
      </c>
      <c r="C814" s="23" t="n">
        <v>1810</v>
      </c>
      <c r="D814" s="23" t="inlineStr">
        <is>
          <t>0402123012</t>
        </is>
      </c>
      <c r="E814" s="11" t="inlineStr">
        <is>
          <t>Region IV-A (CALABARZON)</t>
        </is>
      </c>
      <c r="F814" s="11" t="inlineStr">
        <is>
          <t>Cavite</t>
        </is>
      </c>
      <c r="G814" s="11" t="inlineStr">
        <is>
          <t>Gen. Mariano Alvarez</t>
        </is>
      </c>
      <c r="H814" s="11" t="inlineStr">
        <is>
          <t>Fiorello Calimag</t>
        </is>
      </c>
      <c r="I814" s="24" t="n">
        <v>14.31756</v>
      </c>
      <c r="J814" s="24" t="n">
        <v>121.025097</v>
      </c>
      <c r="K814" s="23" t="inlineStr">
        <is>
          <t>R</t>
        </is>
      </c>
      <c r="L814" s="25" t="n">
        <v>2756</v>
      </c>
      <c r="M814" s="26" t="n">
        <v>3.4</v>
      </c>
      <c r="N814" s="25">
        <f>ROUND(L814/M814, 0)</f>
        <v/>
      </c>
      <c r="O814" s="25">
        <f>ROUND(N814*'Methodology &amp; Assumptions'!$B$7, 0)</f>
        <v/>
      </c>
      <c r="P814" s="23" t="inlineStr">
        <is>
          <t>Single Carrier (Band n50, 100MHz TDD)</t>
        </is>
      </c>
      <c r="Q814" s="27">
        <f>ROUNDUP(O814/'Methodology &amp; Assumptions'!$B$8, 0)</f>
        <v/>
      </c>
      <c r="R814" s="27" t="n">
        <v>1</v>
      </c>
      <c r="S814" s="26" t="n">
        <v>1.95</v>
      </c>
      <c r="T814" s="26" t="n">
        <v>2.79</v>
      </c>
      <c r="U814" s="11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26" t="n">
        <v>77.72</v>
      </c>
      <c r="W814" s="26" t="n">
        <v>47.88</v>
      </c>
      <c r="X814" s="26">
        <f>ROUND(('Methodology &amp; Assumptions'!$B$5*V814) + ('Methodology &amp; Assumptions'!$B$6*W814), 2)</f>
        <v/>
      </c>
      <c r="Y814" s="28" t="n">
        <v>7.2</v>
      </c>
      <c r="Z814" s="11" t="inlineStr">
        <is>
          <t>Priority Tier 2 (Balanced Opportunity)</t>
        </is>
      </c>
    </row>
    <row r="815">
      <c r="A815" s="23" t="n">
        <v>2</v>
      </c>
      <c r="B815" s="23" t="n">
        <v>811</v>
      </c>
      <c r="C815" s="23" t="n">
        <v>1811</v>
      </c>
      <c r="D815" s="23" t="inlineStr">
        <is>
          <t>0403405028</t>
        </is>
      </c>
      <c r="E815" s="11" t="inlineStr">
        <is>
          <t>Region IV-A (CALABARZON)</t>
        </is>
      </c>
      <c r="F815" s="11" t="inlineStr">
        <is>
          <t>Laguna</t>
        </is>
      </c>
      <c r="G815" s="11" t="inlineStr">
        <is>
          <t>City of Calamba</t>
        </is>
      </c>
      <c r="H815" s="11" t="inlineStr">
        <is>
          <t>Mapagong</t>
        </is>
      </c>
      <c r="I815" s="24" t="n">
        <v>14.217622</v>
      </c>
      <c r="J815" s="24" t="n">
        <v>121.130297</v>
      </c>
      <c r="K815" s="23" t="inlineStr">
        <is>
          <t>U</t>
        </is>
      </c>
      <c r="L815" s="25" t="n">
        <v>7952</v>
      </c>
      <c r="M815" s="26" t="n">
        <v>3.3</v>
      </c>
      <c r="N815" s="25">
        <f>ROUND(L815/M815, 0)</f>
        <v/>
      </c>
      <c r="O815" s="25">
        <f>ROUND(N815*'Methodology &amp; Assumptions'!$B$7, 0)</f>
        <v/>
      </c>
      <c r="P815" s="23" t="inlineStr">
        <is>
          <t>Single Carrier (Band n50, 100MHz TDD)</t>
        </is>
      </c>
      <c r="Q815" s="27">
        <f>ROUNDUP(O815/'Methodology &amp; Assumptions'!$B$8, 0)</f>
        <v/>
      </c>
      <c r="R815" s="27" t="n">
        <v>1</v>
      </c>
      <c r="S815" s="26" t="n">
        <v>1.09</v>
      </c>
      <c r="T815" s="26" t="n">
        <v>0.73</v>
      </c>
      <c r="U815" s="11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26" t="n">
        <v>77.31</v>
      </c>
      <c r="W815" s="26" t="n">
        <v>48.3</v>
      </c>
      <c r="X815" s="26">
        <f>ROUND(('Methodology &amp; Assumptions'!$B$5*V815) + ('Methodology &amp; Assumptions'!$B$6*W815), 2)</f>
        <v/>
      </c>
      <c r="Y815" s="28" t="n">
        <v>7.2</v>
      </c>
      <c r="Z815" s="11" t="inlineStr">
        <is>
          <t>Priority Tier 2 (Balanced Opportunity)</t>
        </is>
      </c>
    </row>
    <row r="816">
      <c r="A816" s="23" t="n">
        <v>2</v>
      </c>
      <c r="B816" s="23" t="n">
        <v>812</v>
      </c>
      <c r="C816" s="23" t="n">
        <v>1812</v>
      </c>
      <c r="D816" s="23" t="inlineStr">
        <is>
          <t>0504120006</t>
        </is>
      </c>
      <c r="E816" s="11" t="inlineStr">
        <is>
          <t>Region V (Bicol Region)</t>
        </is>
      </c>
      <c r="F816" s="11" t="inlineStr">
        <is>
          <t>Masbate</t>
        </is>
      </c>
      <c r="G816" s="11" t="inlineStr">
        <is>
          <t>San Pascual</t>
        </is>
      </c>
      <c r="H816" s="11" t="inlineStr">
        <is>
          <t>Iniwaran</t>
        </is>
      </c>
      <c r="I816" s="24" t="n">
        <v>13.153385</v>
      </c>
      <c r="J816" s="24" t="n">
        <v>122.873838</v>
      </c>
      <c r="K816" s="23" t="inlineStr">
        <is>
          <t>R</t>
        </is>
      </c>
      <c r="L816" s="25" t="n">
        <v>2365</v>
      </c>
      <c r="M816" s="26" t="n">
        <v>4.1</v>
      </c>
      <c r="N816" s="25">
        <f>ROUND(L816/M816, 0)</f>
        <v/>
      </c>
      <c r="O816" s="25">
        <f>ROUND(N816*'Methodology &amp; Assumptions'!$B$7, 0)</f>
        <v/>
      </c>
      <c r="P816" s="23" t="inlineStr">
        <is>
          <t>Single Carrier (Band n50, 100MHz TDD)</t>
        </is>
      </c>
      <c r="Q816" s="27">
        <f>ROUNDUP(O816/'Methodology &amp; Assumptions'!$B$8, 0)</f>
        <v/>
      </c>
      <c r="R816" s="27" t="n">
        <v>1</v>
      </c>
      <c r="S816" s="26" t="n">
        <v>20.91</v>
      </c>
      <c r="T816" s="26" t="n">
        <v>42.64</v>
      </c>
      <c r="U816" s="11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26" t="n">
        <v>53.75</v>
      </c>
      <c r="W816" s="26" t="n">
        <v>71.86</v>
      </c>
      <c r="X816" s="26">
        <f>ROUND(('Methodology &amp; Assumptions'!$B$5*V816) + ('Methodology &amp; Assumptions'!$B$6*W816), 2)</f>
        <v/>
      </c>
      <c r="Y816" s="28" t="n">
        <v>23.7</v>
      </c>
      <c r="Z816" s="11" t="inlineStr">
        <is>
          <t>Priority Tier 2 (Balanced Opportunity)</t>
        </is>
      </c>
    </row>
    <row r="817">
      <c r="A817" s="23" t="n">
        <v>2</v>
      </c>
      <c r="B817" s="23" t="n">
        <v>813</v>
      </c>
      <c r="C817" s="23" t="n">
        <v>1813</v>
      </c>
      <c r="D817" s="23" t="inlineStr">
        <is>
          <t>0205009023</t>
        </is>
      </c>
      <c r="E817" s="11" t="inlineStr">
        <is>
          <t>Region II (Cagayan Valley)</t>
        </is>
      </c>
      <c r="F817" s="11" t="inlineStr">
        <is>
          <t>Nueva Vizcaya</t>
        </is>
      </c>
      <c r="G817" s="11" t="inlineStr">
        <is>
          <t>Kasibu</t>
        </is>
      </c>
      <c r="H817" s="11" t="inlineStr">
        <is>
          <t>Tadji</t>
        </is>
      </c>
      <c r="I817" s="24" t="n">
        <v>16.438376</v>
      </c>
      <c r="J817" s="24" t="n">
        <v>121.371316</v>
      </c>
      <c r="K817" s="23" t="inlineStr">
        <is>
          <t>R</t>
        </is>
      </c>
      <c r="L817" s="25" t="n">
        <v>1104</v>
      </c>
      <c r="M817" s="26" t="n">
        <v>3.8</v>
      </c>
      <c r="N817" s="25">
        <f>ROUND(L817/M817, 0)</f>
        <v/>
      </c>
      <c r="O817" s="25">
        <f>ROUND(N817*'Methodology &amp; Assumptions'!$B$7, 0)</f>
        <v/>
      </c>
      <c r="P817" s="23" t="inlineStr">
        <is>
          <t>Single Carrier (Band n50, 100MHz TDD)</t>
        </is>
      </c>
      <c r="Q817" s="27">
        <f>ROUNDUP(O817/'Methodology &amp; Assumptions'!$B$8, 0)</f>
        <v/>
      </c>
      <c r="R817" s="27" t="n">
        <v>1</v>
      </c>
      <c r="S817" s="26" t="n">
        <v>8.68</v>
      </c>
      <c r="T817" s="26" t="n">
        <v>18.39</v>
      </c>
      <c r="U817" s="11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26" t="n">
        <v>48.93</v>
      </c>
      <c r="W817" s="26" t="n">
        <v>76.68000000000001</v>
      </c>
      <c r="X817" s="26">
        <f>ROUND(('Methodology &amp; Assumptions'!$B$5*V817) + ('Methodology &amp; Assumptions'!$B$6*W817), 2)</f>
        <v/>
      </c>
      <c r="Y817" s="28" t="n">
        <v>8.300000000000001</v>
      </c>
      <c r="Z817" s="11" t="inlineStr">
        <is>
          <t>Priority Tier 2 (Balanced Opportunity)</t>
        </is>
      </c>
    </row>
    <row r="818">
      <c r="A818" s="23" t="n">
        <v>2</v>
      </c>
      <c r="B818" s="23" t="n">
        <v>814</v>
      </c>
      <c r="C818" s="23" t="n">
        <v>1814</v>
      </c>
      <c r="D818" s="23" t="inlineStr">
        <is>
          <t>1381400005</t>
        </is>
      </c>
      <c r="E818" s="11" t="inlineStr">
        <is>
          <t>National Capital Region (NCR)</t>
        </is>
      </c>
      <c r="F818" s="11" t="inlineStr">
        <is>
          <t>Second District (Not a Province)</t>
        </is>
      </c>
      <c r="G818" s="11" t="inlineStr">
        <is>
          <t>City of San Juan</t>
        </is>
      </c>
      <c r="H818" s="11" t="inlineStr">
        <is>
          <t>Ermitaño</t>
        </is>
      </c>
      <c r="I818" s="24" t="n">
        <v>14.61193</v>
      </c>
      <c r="J818" s="24" t="n">
        <v>121.0307</v>
      </c>
      <c r="K818" s="23" t="inlineStr">
        <is>
          <t>U</t>
        </is>
      </c>
      <c r="L818" s="25" t="n">
        <v>3680</v>
      </c>
      <c r="M818" s="26" t="n">
        <v>3.41</v>
      </c>
      <c r="N818" s="25">
        <f>ROUND(L818/M818, 0)</f>
        <v/>
      </c>
      <c r="O818" s="25">
        <f>ROUND(N818*'Methodology &amp; Assumptions'!$B$7, 0)</f>
        <v/>
      </c>
      <c r="P818" s="23" t="inlineStr">
        <is>
          <t>Single Carrier (Band n50, 100MHz TDD)</t>
        </is>
      </c>
      <c r="Q818" s="27">
        <f>ROUNDUP(O818/'Methodology &amp; Assumptions'!$B$8, 0)</f>
        <v/>
      </c>
      <c r="R818" s="27" t="n">
        <v>1</v>
      </c>
      <c r="S818" s="26" t="n">
        <v>1.71</v>
      </c>
      <c r="T818" s="26" t="n">
        <v>0.1</v>
      </c>
      <c r="U818" s="11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26" t="n">
        <v>65.87</v>
      </c>
      <c r="W818" s="26" t="n">
        <v>59.7</v>
      </c>
      <c r="X818" s="26">
        <f>ROUND(('Methodology &amp; Assumptions'!$B$5*V818) + ('Methodology &amp; Assumptions'!$B$6*W818), 2)</f>
        <v/>
      </c>
      <c r="Y818" s="28" t="n">
        <v>10.9</v>
      </c>
      <c r="Z818" s="11" t="inlineStr">
        <is>
          <t>Priority Tier 2 (Balanced Opportunity)</t>
        </is>
      </c>
    </row>
    <row r="819">
      <c r="A819" s="23" t="n">
        <v>2</v>
      </c>
      <c r="B819" s="23" t="n">
        <v>815</v>
      </c>
      <c r="C819" s="23" t="n">
        <v>1815</v>
      </c>
      <c r="D819" s="23" t="inlineStr">
        <is>
          <t>0105526025</t>
        </is>
      </c>
      <c r="E819" s="11" t="inlineStr">
        <is>
          <t>Region I (Ilocos Region)</t>
        </is>
      </c>
      <c r="F819" s="11" t="inlineStr">
        <is>
          <t>Pangasinan</t>
        </is>
      </c>
      <c r="G819" s="11" t="inlineStr">
        <is>
          <t>Mangaldan</t>
        </is>
      </c>
      <c r="H819" s="11" t="inlineStr">
        <is>
          <t>Poblacion</t>
        </is>
      </c>
      <c r="I819" s="24" t="n">
        <v>16.07103</v>
      </c>
      <c r="J819" s="24" t="n">
        <v>120.4055</v>
      </c>
      <c r="K819" s="23" t="inlineStr">
        <is>
          <t>U</t>
        </is>
      </c>
      <c r="L819" s="25" t="n">
        <v>4206</v>
      </c>
      <c r="M819" s="26" t="n">
        <v>3.6</v>
      </c>
      <c r="N819" s="25">
        <f>ROUND(L819/M819, 0)</f>
        <v/>
      </c>
      <c r="O819" s="25">
        <f>ROUND(N819*'Methodology &amp; Assumptions'!$B$7, 0)</f>
        <v/>
      </c>
      <c r="P819" s="23" t="inlineStr">
        <is>
          <t>Single Carrier (Band n50, 100MHz TDD)</t>
        </is>
      </c>
      <c r="Q819" s="27">
        <f>ROUNDUP(O819/'Methodology &amp; Assumptions'!$B$8, 0)</f>
        <v/>
      </c>
      <c r="R819" s="27" t="n">
        <v>1</v>
      </c>
      <c r="S819" s="26" t="n">
        <v>0.5</v>
      </c>
      <c r="T819" s="26" t="n">
        <v>0.21</v>
      </c>
      <c r="U819" s="11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26" t="n">
        <v>78.43000000000001</v>
      </c>
      <c r="W819" s="26" t="n">
        <v>47.13</v>
      </c>
      <c r="X819" s="26">
        <f>ROUND(('Methodology &amp; Assumptions'!$B$5*V819) + ('Methodology &amp; Assumptions'!$B$6*W819), 2)</f>
        <v/>
      </c>
      <c r="Y819" s="28" t="n">
        <v>8.300000000000001</v>
      </c>
      <c r="Z819" s="11" t="inlineStr">
        <is>
          <t>Priority Tier 2 (Balanced Opportunity)</t>
        </is>
      </c>
    </row>
    <row r="820">
      <c r="A820" s="23" t="n">
        <v>2</v>
      </c>
      <c r="B820" s="23" t="n">
        <v>816</v>
      </c>
      <c r="C820" s="23" t="n">
        <v>1816</v>
      </c>
      <c r="D820" s="23" t="inlineStr">
        <is>
          <t>1380602009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295</t>
        </is>
      </c>
      <c r="I820" s="24" t="n">
        <v>14.602681</v>
      </c>
      <c r="J820" s="24" t="n">
        <v>120.977056</v>
      </c>
      <c r="K820" s="23" t="inlineStr">
        <is>
          <t>U</t>
        </is>
      </c>
      <c r="L820" s="25" t="n">
        <v>1417</v>
      </c>
      <c r="M820" s="26" t="n">
        <v>3</v>
      </c>
      <c r="N820" s="25">
        <f>ROUND(L820/M820, 0)</f>
        <v/>
      </c>
      <c r="O820" s="25">
        <f>ROUND(N820*'Methodology &amp; Assumptions'!$B$7, 0)</f>
        <v/>
      </c>
      <c r="P820" s="23" t="inlineStr">
        <is>
          <t>Single Carrier (Band n50, 100MHz TDD)</t>
        </is>
      </c>
      <c r="Q820" s="27">
        <f>ROUNDUP(O820/'Methodology &amp; Assumptions'!$B$8, 0)</f>
        <v/>
      </c>
      <c r="R820" s="27" t="n">
        <v>1</v>
      </c>
      <c r="S820" s="26" t="n">
        <v>0.92</v>
      </c>
      <c r="T820" s="26" t="n">
        <v>0.41</v>
      </c>
      <c r="U820" s="11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26" t="n">
        <v>56.01</v>
      </c>
      <c r="W820" s="26" t="n">
        <v>69.54000000000001</v>
      </c>
      <c r="X820" s="26">
        <f>ROUND(('Methodology &amp; Assumptions'!$B$5*V820) + ('Methodology &amp; Assumptions'!$B$6*W820), 2)</f>
        <v/>
      </c>
      <c r="Y820" s="28" t="n">
        <v>10.9</v>
      </c>
      <c r="Z820" s="11" t="inlineStr">
        <is>
          <t>Priority Tier 2 (Balanced Opportunity)</t>
        </is>
      </c>
    </row>
    <row r="821">
      <c r="A821" s="23" t="n">
        <v>2</v>
      </c>
      <c r="B821" s="23" t="n">
        <v>817</v>
      </c>
      <c r="C821" s="23" t="n">
        <v>1817</v>
      </c>
      <c r="D821" s="23" t="inlineStr">
        <is>
          <t>1208002009</t>
        </is>
      </c>
      <c r="E821" s="11" t="inlineStr">
        <is>
          <t>Region XII (SOCCSKSARGEN)</t>
        </is>
      </c>
      <c r="F821" s="11" t="inlineStr">
        <is>
          <t>Sarangani</t>
        </is>
      </c>
      <c r="G821" s="11" t="inlineStr">
        <is>
          <t>Glan</t>
        </is>
      </c>
      <c r="H821" s="11" t="inlineStr">
        <is>
          <t>Congan</t>
        </is>
      </c>
      <c r="I821" s="24" t="n">
        <v>5.841815</v>
      </c>
      <c r="J821" s="24" t="n">
        <v>125.313701</v>
      </c>
      <c r="K821" s="23" t="inlineStr">
        <is>
          <t>R</t>
        </is>
      </c>
      <c r="L821" s="25" t="n">
        <v>2344</v>
      </c>
      <c r="M821" s="26" t="n">
        <v>3.9</v>
      </c>
      <c r="N821" s="25">
        <f>ROUND(L821/M821, 0)</f>
        <v/>
      </c>
      <c r="O821" s="25">
        <f>ROUND(N821*'Methodology &amp; Assumptions'!$B$7, 0)</f>
        <v/>
      </c>
      <c r="P821" s="23" t="inlineStr">
        <is>
          <t>Single Carrier (Band n50, 100MHz TDD)</t>
        </is>
      </c>
      <c r="Q821" s="27">
        <f>ROUNDUP(O821/'Methodology &amp; Assumptions'!$B$8, 0)</f>
        <v/>
      </c>
      <c r="R821" s="27" t="n">
        <v>1</v>
      </c>
      <c r="S821" s="26" t="n">
        <v>29.53</v>
      </c>
      <c r="T821" s="26" t="n">
        <v>33.86</v>
      </c>
      <c r="U821" s="11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26" t="n">
        <v>53.97</v>
      </c>
      <c r="W821" s="26" t="n">
        <v>71.59</v>
      </c>
      <c r="X821" s="26">
        <f>ROUND(('Methodology &amp; Assumptions'!$B$5*V821) + ('Methodology &amp; Assumptions'!$B$6*W821), 2)</f>
        <v/>
      </c>
      <c r="Y821" s="28" t="n">
        <v>17.4</v>
      </c>
      <c r="Z821" s="11" t="inlineStr">
        <is>
          <t>Priority Tier 2 (Balanced Opportunity)</t>
        </is>
      </c>
    </row>
    <row r="822">
      <c r="A822" s="23" t="n">
        <v>2</v>
      </c>
      <c r="B822" s="23" t="n">
        <v>818</v>
      </c>
      <c r="C822" s="23" t="n">
        <v>1818</v>
      </c>
      <c r="D822" s="23" t="inlineStr">
        <is>
          <t>1003514033</t>
        </is>
      </c>
      <c r="E822" s="11" t="inlineStr">
        <is>
          <t>Region X (Northern Mindanao)</t>
        </is>
      </c>
      <c r="F822" s="11" t="inlineStr">
        <is>
          <t>Lanao del Norte</t>
        </is>
      </c>
      <c r="G822" s="11" t="inlineStr">
        <is>
          <t>Munai</t>
        </is>
      </c>
      <c r="H822" s="11" t="inlineStr">
        <is>
          <t>Tamparan</t>
        </is>
      </c>
      <c r="I822" s="24" t="n">
        <v>8.0435</v>
      </c>
      <c r="J822" s="24" t="n">
        <v>124.0756</v>
      </c>
      <c r="K822" s="23" t="inlineStr">
        <is>
          <t>R</t>
        </is>
      </c>
      <c r="L822" s="25" t="n">
        <v>1989</v>
      </c>
      <c r="M822" s="26" t="n">
        <v>4.2</v>
      </c>
      <c r="N822" s="25">
        <f>ROUND(L822/M822, 0)</f>
        <v/>
      </c>
      <c r="O822" s="25">
        <f>ROUND(N822*'Methodology &amp; Assumptions'!$B$7, 0)</f>
        <v/>
      </c>
      <c r="P822" s="23" t="inlineStr">
        <is>
          <t>Single Carrier (Band n50, 100MHz TDD)</t>
        </is>
      </c>
      <c r="Q822" s="27">
        <f>ROUNDUP(O822/'Methodology &amp; Assumptions'!$B$8, 0)</f>
        <v/>
      </c>
      <c r="R822" s="27" t="n">
        <v>1</v>
      </c>
      <c r="S822" s="26" t="n">
        <v>22.19</v>
      </c>
      <c r="T822" s="26" t="n">
        <v>15.78</v>
      </c>
      <c r="U822" s="11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26" t="n">
        <v>50.01</v>
      </c>
      <c r="W822" s="26" t="n">
        <v>75.55</v>
      </c>
      <c r="X822" s="26">
        <f>ROUND(('Methodology &amp; Assumptions'!$B$5*V822) + ('Methodology &amp; Assumptions'!$B$6*W822), 2)</f>
        <v/>
      </c>
      <c r="Y822" s="28" t="n">
        <v>17.4</v>
      </c>
      <c r="Z822" s="11" t="inlineStr">
        <is>
          <t>Priority Tier 2 (Balanced Opportunity)</t>
        </is>
      </c>
    </row>
    <row r="823">
      <c r="A823" s="23" t="n">
        <v>2</v>
      </c>
      <c r="B823" s="23" t="n">
        <v>819</v>
      </c>
      <c r="C823" s="23" t="n">
        <v>1819</v>
      </c>
      <c r="D823" s="23" t="inlineStr">
        <is>
          <t>0702234027</t>
        </is>
      </c>
      <c r="E823" s="11" t="inlineStr">
        <is>
          <t>Region VII (Central Visayas)</t>
        </is>
      </c>
      <c r="F823" s="11" t="inlineStr">
        <is>
          <t>Cebu</t>
        </is>
      </c>
      <c r="G823" s="11" t="inlineStr">
        <is>
          <t>City of Naga</t>
        </is>
      </c>
      <c r="H823" s="11" t="inlineStr">
        <is>
          <t>Tuyan</t>
        </is>
      </c>
      <c r="I823" s="24" t="n">
        <v>10.228202</v>
      </c>
      <c r="J823" s="24" t="n">
        <v>123.767439</v>
      </c>
      <c r="K823" s="23" t="inlineStr">
        <is>
          <t>U</t>
        </is>
      </c>
      <c r="L823" s="25" t="n">
        <v>13748</v>
      </c>
      <c r="M823" s="26" t="n">
        <v>3.8</v>
      </c>
      <c r="N823" s="25">
        <f>ROUND(L823/M823, 0)</f>
        <v/>
      </c>
      <c r="O823" s="25">
        <f>ROUND(N823*'Methodology &amp; Assumptions'!$B$7, 0)</f>
        <v/>
      </c>
      <c r="P823" s="23" t="inlineStr">
        <is>
          <t>Single Carrier (Band n50, 100MHz TDD)</t>
        </is>
      </c>
      <c r="Q823" s="27">
        <f>ROUNDUP(O823/'Methodology &amp; Assumptions'!$B$8, 0)</f>
        <v/>
      </c>
      <c r="R823" s="27" t="n">
        <v>1</v>
      </c>
      <c r="S823" s="26" t="n">
        <v>0.9399999999999999</v>
      </c>
      <c r="T823" s="26" t="n">
        <v>0.03</v>
      </c>
      <c r="U823" s="11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26" t="n">
        <v>80.5</v>
      </c>
      <c r="W823" s="26" t="n">
        <v>45.04</v>
      </c>
      <c r="X823" s="26">
        <f>ROUND(('Methodology &amp; Assumptions'!$B$5*V823) + ('Methodology &amp; Assumptions'!$B$6*W823), 2)</f>
        <v/>
      </c>
      <c r="Y823" s="28" t="n">
        <v>23.7</v>
      </c>
      <c r="Z823" s="11" t="inlineStr">
        <is>
          <t>Priority Tier 2 (Balanced Opportunity)</t>
        </is>
      </c>
    </row>
    <row r="824">
      <c r="A824" s="23" t="n">
        <v>2</v>
      </c>
      <c r="B824" s="23" t="n">
        <v>820</v>
      </c>
      <c r="C824" s="23" t="n">
        <v>1820</v>
      </c>
      <c r="D824" s="23" t="inlineStr">
        <is>
          <t>0300809023</t>
        </is>
      </c>
      <c r="E824" s="11" t="inlineStr">
        <is>
          <t>Region III (Central Luzon)</t>
        </is>
      </c>
      <c r="F824" s="11" t="inlineStr">
        <is>
          <t>Bataan</t>
        </is>
      </c>
      <c r="G824" s="11" t="inlineStr">
        <is>
          <t>Orani</t>
        </is>
      </c>
      <c r="H824" s="11" t="inlineStr">
        <is>
          <t>Tugatog</t>
        </is>
      </c>
      <c r="I824" s="24" t="n">
        <v>14.801394</v>
      </c>
      <c r="J824" s="24" t="n">
        <v>120.528602</v>
      </c>
      <c r="K824" s="23" t="inlineStr">
        <is>
          <t>U</t>
        </is>
      </c>
      <c r="L824" s="25" t="n">
        <v>8501</v>
      </c>
      <c r="M824" s="26" t="n">
        <v>3.6</v>
      </c>
      <c r="N824" s="25">
        <f>ROUND(L824/M824, 0)</f>
        <v/>
      </c>
      <c r="O824" s="25">
        <f>ROUND(N824*'Methodology &amp; Assumptions'!$B$7, 0)</f>
        <v/>
      </c>
      <c r="P824" s="23" t="inlineStr">
        <is>
          <t>Single Carrier (Band n50, 100MHz TDD)</t>
        </is>
      </c>
      <c r="Q824" s="27">
        <f>ROUNDUP(O824/'Methodology &amp; Assumptions'!$B$8, 0)</f>
        <v/>
      </c>
      <c r="R824" s="27" t="n">
        <v>1</v>
      </c>
      <c r="S824" s="26" t="n">
        <v>0.84</v>
      </c>
      <c r="T824" s="26" t="n">
        <v>0.13</v>
      </c>
      <c r="U824" s="11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26" t="n">
        <v>78.43000000000001</v>
      </c>
      <c r="W824" s="26" t="n">
        <v>47.11</v>
      </c>
      <c r="X824" s="26">
        <f>ROUND(('Methodology &amp; Assumptions'!$B$5*V824) + ('Methodology &amp; Assumptions'!$B$6*W824), 2)</f>
        <v/>
      </c>
      <c r="Y824" s="28" t="n">
        <v>8.300000000000001</v>
      </c>
      <c r="Z824" s="11" t="inlineStr">
        <is>
          <t>Priority Tier 2 (Balanced Opportunity)</t>
        </is>
      </c>
    </row>
    <row r="825">
      <c r="A825" s="23" t="n">
        <v>2</v>
      </c>
      <c r="B825" s="23" t="n">
        <v>821</v>
      </c>
      <c r="C825" s="23" t="n">
        <v>1821</v>
      </c>
      <c r="D825" s="23" t="inlineStr">
        <is>
          <t>1381300020</t>
        </is>
      </c>
      <c r="E825" s="11" t="inlineStr">
        <is>
          <t>National Capital Region (NCR)</t>
        </is>
      </c>
      <c r="F825" s="11" t="inlineStr">
        <is>
          <t>Second District (Not a Province)</t>
        </is>
      </c>
      <c r="G825" s="11" t="inlineStr">
        <is>
          <t>Quezon City</t>
        </is>
      </c>
      <c r="H825" s="11" t="inlineStr">
        <is>
          <t>Central</t>
        </is>
      </c>
      <c r="I825" s="24" t="n">
        <v>14.64257</v>
      </c>
      <c r="J825" s="24" t="n">
        <v>121.05</v>
      </c>
      <c r="K825" s="23" t="inlineStr">
        <is>
          <t>U</t>
        </is>
      </c>
      <c r="L825" s="25" t="n">
        <v>20031</v>
      </c>
      <c r="M825" s="26" t="n">
        <v>3.79</v>
      </c>
      <c r="N825" s="25">
        <f>ROUND(L825/M825, 0)</f>
        <v/>
      </c>
      <c r="O825" s="25">
        <f>ROUND(N825*'Methodology &amp; Assumptions'!$B$7, 0)</f>
        <v/>
      </c>
      <c r="P825" s="23" t="inlineStr">
        <is>
          <t>Single Carrier (Band n50, 100MHz TDD)</t>
        </is>
      </c>
      <c r="Q825" s="27">
        <f>ROUNDUP(O825/'Methodology &amp; Assumptions'!$B$8, 0)</f>
        <v/>
      </c>
      <c r="R825" s="27" t="n">
        <v>1</v>
      </c>
      <c r="S825" s="26" t="n">
        <v>0.42</v>
      </c>
      <c r="T825" s="26" t="n">
        <v>0.35</v>
      </c>
      <c r="U825" s="11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26" t="n">
        <v>68.52</v>
      </c>
      <c r="W825" s="26" t="n">
        <v>57.02</v>
      </c>
      <c r="X825" s="26">
        <f>ROUND(('Methodology &amp; Assumptions'!$B$5*V825) + ('Methodology &amp; Assumptions'!$B$6*W825), 2)</f>
        <v/>
      </c>
      <c r="Y825" s="28" t="n">
        <v>10.9</v>
      </c>
      <c r="Z825" s="11" t="inlineStr">
        <is>
          <t>Priority Tier 2 (Balanced Opportunity)</t>
        </is>
      </c>
    </row>
    <row r="826">
      <c r="A826" s="23" t="n">
        <v>2</v>
      </c>
      <c r="B826" s="23" t="n">
        <v>822</v>
      </c>
      <c r="C826" s="23" t="n">
        <v>1822</v>
      </c>
      <c r="D826" s="23" t="inlineStr">
        <is>
          <t>0401006022</t>
        </is>
      </c>
      <c r="E826" s="11" t="inlineStr">
        <is>
          <t>Region IV-A (CALABARZON)</t>
        </is>
      </c>
      <c r="F826" s="11" t="inlineStr">
        <is>
          <t>Batangas</t>
        </is>
      </c>
      <c r="G826" s="11" t="inlineStr">
        <is>
          <t>Bauan</t>
        </is>
      </c>
      <c r="H826" s="11" t="inlineStr">
        <is>
          <t>Manghinao Proper</t>
        </is>
      </c>
      <c r="I826" s="24" t="n">
        <v>13.794195</v>
      </c>
      <c r="J826" s="24" t="n">
        <v>120.997461</v>
      </c>
      <c r="K826" s="23" t="inlineStr">
        <is>
          <t>U</t>
        </is>
      </c>
      <c r="L826" s="25" t="n">
        <v>11200</v>
      </c>
      <c r="M826" s="26" t="n">
        <v>3.6</v>
      </c>
      <c r="N826" s="25">
        <f>ROUND(L826/M826, 0)</f>
        <v/>
      </c>
      <c r="O826" s="25">
        <f>ROUND(N826*'Methodology &amp; Assumptions'!$B$7, 0)</f>
        <v/>
      </c>
      <c r="P826" s="23" t="inlineStr">
        <is>
          <t>Single Carrier (Band n50, 100MHz TDD)</t>
        </is>
      </c>
      <c r="Q826" s="27">
        <f>ROUNDUP(O826/'Methodology &amp; Assumptions'!$B$8, 0)</f>
        <v/>
      </c>
      <c r="R826" s="27" t="n">
        <v>1</v>
      </c>
      <c r="S826" s="26" t="n">
        <v>0.59</v>
      </c>
      <c r="T826" s="26" t="n">
        <v>0.32</v>
      </c>
      <c r="U826" s="11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26" t="n">
        <v>78.26000000000001</v>
      </c>
      <c r="W826" s="26" t="n">
        <v>47.26</v>
      </c>
      <c r="X826" s="26">
        <f>ROUND(('Methodology &amp; Assumptions'!$B$5*V826) + ('Methodology &amp; Assumptions'!$B$6*W826), 2)</f>
        <v/>
      </c>
      <c r="Y826" s="28" t="n">
        <v>7.2</v>
      </c>
      <c r="Z826" s="11" t="inlineStr">
        <is>
          <t>Priority Tier 2 (Balanced Opportunity)</t>
        </is>
      </c>
    </row>
    <row r="827">
      <c r="A827" s="23" t="n">
        <v>2</v>
      </c>
      <c r="B827" s="23" t="n">
        <v>823</v>
      </c>
      <c r="C827" s="23" t="n">
        <v>1823</v>
      </c>
      <c r="D827" s="23" t="inlineStr">
        <is>
          <t>1381100072</t>
        </is>
      </c>
      <c r="E827" s="11" t="inlineStr">
        <is>
          <t>National Capital Region (NCR)</t>
        </is>
      </c>
      <c r="F827" s="11" t="inlineStr">
        <is>
          <t>Fourth District (Not a Province)</t>
        </is>
      </c>
      <c r="G827" s="11" t="inlineStr">
        <is>
          <t>Pasay City</t>
        </is>
      </c>
      <c r="H827" s="11" t="inlineStr">
        <is>
          <t>Barangay 72</t>
        </is>
      </c>
      <c r="I827" s="24" t="n">
        <v>14.544777</v>
      </c>
      <c r="J827" s="24" t="n">
        <v>120.996887</v>
      </c>
      <c r="K827" s="23" t="inlineStr">
        <is>
          <t>U</t>
        </is>
      </c>
      <c r="L827" s="25" t="n">
        <v>1470</v>
      </c>
      <c r="M827" s="26" t="n">
        <v>3.2</v>
      </c>
      <c r="N827" s="25">
        <f>ROUND(L827/M827, 0)</f>
        <v/>
      </c>
      <c r="O827" s="25">
        <f>ROUND(N827*'Methodology &amp; Assumptions'!$B$7, 0)</f>
        <v/>
      </c>
      <c r="P827" s="23" t="inlineStr">
        <is>
          <t>Single Carrier (Band n50, 100MHz TDD)</t>
        </is>
      </c>
      <c r="Q827" s="27">
        <f>ROUNDUP(O827/'Methodology &amp; Assumptions'!$B$8, 0)</f>
        <v/>
      </c>
      <c r="R827" s="27" t="n">
        <v>1</v>
      </c>
      <c r="S827" s="26" t="n">
        <v>0.27</v>
      </c>
      <c r="T827" s="26" t="n">
        <v>0.29</v>
      </c>
      <c r="U827" s="11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26" t="n">
        <v>55.87</v>
      </c>
      <c r="W827" s="26" t="n">
        <v>69.65000000000001</v>
      </c>
      <c r="X827" s="26">
        <f>ROUND(('Methodology &amp; Assumptions'!$B$5*V827) + ('Methodology &amp; Assumptions'!$B$6*W827), 2)</f>
        <v/>
      </c>
      <c r="Y827" s="28" t="n">
        <v>10.9</v>
      </c>
      <c r="Z827" s="11" t="inlineStr">
        <is>
          <t>Priority Tier 2 (Balanced Opportunity)</t>
        </is>
      </c>
    </row>
    <row r="828">
      <c r="A828" s="23" t="n">
        <v>2</v>
      </c>
      <c r="B828" s="23" t="n">
        <v>824</v>
      </c>
      <c r="C828" s="23" t="n">
        <v>1824</v>
      </c>
      <c r="D828" s="23" t="inlineStr">
        <is>
          <t>1381701002</t>
        </is>
      </c>
      <c r="E828" s="11" t="inlineStr">
        <is>
          <t>National Capital Region (NCR)</t>
        </is>
      </c>
      <c r="F828" s="11" t="inlineStr">
        <is>
          <t>Fourth District (Not a Province)</t>
        </is>
      </c>
      <c r="G828" s="11" t="inlineStr">
        <is>
          <t>Pateros</t>
        </is>
      </c>
      <c r="H828" s="11" t="inlineStr">
        <is>
          <t>Magtanggol</t>
        </is>
      </c>
      <c r="I828" s="24" t="n">
        <v>14.54837</v>
      </c>
      <c r="J828" s="24" t="n">
        <v>121.0697</v>
      </c>
      <c r="K828" s="23" t="inlineStr">
        <is>
          <t>U</t>
        </is>
      </c>
      <c r="L828" s="25" t="n">
        <v>1452</v>
      </c>
      <c r="M828" s="26" t="n">
        <v>3.43</v>
      </c>
      <c r="N828" s="25">
        <f>ROUND(L828/M828, 0)</f>
        <v/>
      </c>
      <c r="O828" s="25">
        <f>ROUND(N828*'Methodology &amp; Assumptions'!$B$7, 0)</f>
        <v/>
      </c>
      <c r="P828" s="23" t="inlineStr">
        <is>
          <t>Single Carrier (Band n50, 100MHz TDD)</t>
        </is>
      </c>
      <c r="Q828" s="27">
        <f>ROUNDUP(O828/'Methodology &amp; Assumptions'!$B$8, 0)</f>
        <v/>
      </c>
      <c r="R828" s="27" t="n">
        <v>1</v>
      </c>
      <c r="S828" s="26" t="n">
        <v>0.44</v>
      </c>
      <c r="T828" s="26" t="n">
        <v>0.22</v>
      </c>
      <c r="U828" s="11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26" t="n">
        <v>54.7</v>
      </c>
      <c r="W828" s="26" t="n">
        <v>70.83</v>
      </c>
      <c r="X828" s="26">
        <f>ROUND(('Methodology &amp; Assumptions'!$B$5*V828) + ('Methodology &amp; Assumptions'!$B$6*W828), 2)</f>
        <v/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2</v>
      </c>
      <c r="B829" s="23" t="n">
        <v>825</v>
      </c>
      <c r="C829" s="23" t="n">
        <v>1825</v>
      </c>
      <c r="D829" s="23" t="inlineStr">
        <is>
          <t>0103304004</t>
        </is>
      </c>
      <c r="E829" s="11" t="inlineStr">
        <is>
          <t>Region I (Ilocos Region)</t>
        </is>
      </c>
      <c r="F829" s="11" t="inlineStr">
        <is>
          <t>La Union</t>
        </is>
      </c>
      <c r="G829" s="11" t="inlineStr">
        <is>
          <t>Bagulin</t>
        </is>
      </c>
      <c r="H829" s="11" t="inlineStr">
        <is>
          <t>Cardiz</t>
        </is>
      </c>
      <c r="I829" s="24" t="n">
        <v>16.624364</v>
      </c>
      <c r="J829" s="24" t="n">
        <v>120.496986</v>
      </c>
      <c r="K829" s="23" t="inlineStr">
        <is>
          <t>R</t>
        </is>
      </c>
      <c r="L829" s="25" t="n">
        <v>1434</v>
      </c>
      <c r="M829" s="26" t="n">
        <v>3.7</v>
      </c>
      <c r="N829" s="25">
        <f>ROUND(L829/M829, 0)</f>
        <v/>
      </c>
      <c r="O829" s="25">
        <f>ROUND(N829*'Methodology &amp; Assumptions'!$B$7, 0)</f>
        <v/>
      </c>
      <c r="P829" s="23" t="inlineStr">
        <is>
          <t>Single Carrier (Band n50, 100MHz TDD)</t>
        </is>
      </c>
      <c r="Q829" s="27">
        <f>ROUNDUP(O829/'Methodology &amp; Assumptions'!$B$8, 0)</f>
        <v/>
      </c>
      <c r="R829" s="27" t="n">
        <v>1</v>
      </c>
      <c r="S829" s="26" t="n">
        <v>12.36</v>
      </c>
      <c r="T829" s="26" t="n">
        <v>12.23</v>
      </c>
      <c r="U829" s="11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26" t="n">
        <v>51.18</v>
      </c>
      <c r="W829" s="26" t="n">
        <v>74.34</v>
      </c>
      <c r="X829" s="26">
        <f>ROUND(('Methodology &amp; Assumptions'!$B$5*V829) + ('Methodology &amp; Assumptions'!$B$6*W829), 2)</f>
        <v/>
      </c>
      <c r="Y829" s="28" t="n">
        <v>8.300000000000001</v>
      </c>
      <c r="Z829" s="11" t="inlineStr">
        <is>
          <t>Priority Tier 2 (Balanced Opportunity)</t>
        </is>
      </c>
    </row>
    <row r="830">
      <c r="A830" s="23" t="n">
        <v>2</v>
      </c>
      <c r="B830" s="23" t="n">
        <v>826</v>
      </c>
      <c r="C830" s="23" t="n">
        <v>1826</v>
      </c>
      <c r="D830" s="23" t="inlineStr">
        <is>
          <t>0600406013</t>
        </is>
      </c>
      <c r="E830" s="11" t="inlineStr">
        <is>
          <t>Region VI (Western Visayas)</t>
        </is>
      </c>
      <c r="F830" s="11" t="inlineStr">
        <is>
          <t>Aklan</t>
        </is>
      </c>
      <c r="G830" s="11" t="inlineStr">
        <is>
          <t>Ibajay</t>
        </is>
      </c>
      <c r="H830" s="11" t="inlineStr">
        <is>
          <t>Colongcolong</t>
        </is>
      </c>
      <c r="I830" s="24" t="n">
        <v>11.753681</v>
      </c>
      <c r="J830" s="24" t="n">
        <v>122.193761</v>
      </c>
      <c r="K830" s="23" t="inlineStr">
        <is>
          <t>R</t>
        </is>
      </c>
      <c r="L830" s="25" t="n">
        <v>1174</v>
      </c>
      <c r="M830" s="26" t="n">
        <v>3.9</v>
      </c>
      <c r="N830" s="25">
        <f>ROUND(L830/M830, 0)</f>
        <v/>
      </c>
      <c r="O830" s="25">
        <f>ROUND(N830*'Methodology &amp; Assumptions'!$B$7, 0)</f>
        <v/>
      </c>
      <c r="P830" s="23" t="inlineStr">
        <is>
          <t>Single Carrier (Band n50, 100MHz TDD)</t>
        </is>
      </c>
      <c r="Q830" s="27">
        <f>ROUNDUP(O830/'Methodology &amp; Assumptions'!$B$8, 0)</f>
        <v/>
      </c>
      <c r="R830" s="27" t="n">
        <v>1</v>
      </c>
      <c r="S830" s="26" t="n">
        <v>11.63</v>
      </c>
      <c r="T830" s="26" t="n">
        <v>2.29</v>
      </c>
      <c r="U830" s="11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26" t="n">
        <v>48.26</v>
      </c>
      <c r="W830" s="26" t="n">
        <v>77.26000000000001</v>
      </c>
      <c r="X830" s="26">
        <f>ROUND(('Methodology &amp; Assumptions'!$B$5*V830) + ('Methodology &amp; Assumptions'!$B$6*W830), 2)</f>
        <v/>
      </c>
      <c r="Y830" s="28" t="n">
        <v>23.7</v>
      </c>
      <c r="Z830" s="11" t="inlineStr">
        <is>
          <t>Priority Tier 2 (Balanced Opportunity)</t>
        </is>
      </c>
    </row>
    <row r="831">
      <c r="A831" s="23" t="n">
        <v>2</v>
      </c>
      <c r="B831" s="23" t="n">
        <v>827</v>
      </c>
      <c r="C831" s="23" t="n">
        <v>1827</v>
      </c>
      <c r="D831" s="23" t="inlineStr">
        <is>
          <t>0401019012</t>
        </is>
      </c>
      <c r="E831" s="11" t="inlineStr">
        <is>
          <t>Region IV-A (CALABARZON)</t>
        </is>
      </c>
      <c r="F831" s="11" t="inlineStr">
        <is>
          <t>Batangas</t>
        </is>
      </c>
      <c r="G831" s="11" t="inlineStr">
        <is>
          <t>Nasugbu</t>
        </is>
      </c>
      <c r="H831" s="11" t="inlineStr">
        <is>
          <t>Barangay 7</t>
        </is>
      </c>
      <c r="I831" s="24" t="n">
        <v>14.070375</v>
      </c>
      <c r="J831" s="24" t="n">
        <v>120.634458</v>
      </c>
      <c r="K831" s="23" t="inlineStr">
        <is>
          <t>R</t>
        </is>
      </c>
      <c r="L831" s="25" t="n">
        <v>1477</v>
      </c>
      <c r="M831" s="26" t="n">
        <v>3.6</v>
      </c>
      <c r="N831" s="25">
        <f>ROUND(L831/M831, 0)</f>
        <v/>
      </c>
      <c r="O831" s="25">
        <f>ROUND(N831*'Methodology &amp; Assumptions'!$B$7, 0)</f>
        <v/>
      </c>
      <c r="P831" s="23" t="inlineStr">
        <is>
          <t>Single Carrier (Band n50, 100MHz TDD)</t>
        </is>
      </c>
      <c r="Q831" s="27">
        <f>ROUNDUP(O831/'Methodology &amp; Assumptions'!$B$8, 0)</f>
        <v/>
      </c>
      <c r="R831" s="27" t="n">
        <v>1</v>
      </c>
      <c r="S831" s="26" t="n">
        <v>0.06</v>
      </c>
      <c r="T831" s="26" t="n">
        <v>0.04</v>
      </c>
      <c r="U831" s="11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26" t="n">
        <v>72.23999999999999</v>
      </c>
      <c r="W831" s="26" t="n">
        <v>53.27</v>
      </c>
      <c r="X831" s="26">
        <f>ROUND(('Methodology &amp; Assumptions'!$B$5*V831) + ('Methodology &amp; Assumptions'!$B$6*W831), 2)</f>
        <v/>
      </c>
      <c r="Y831" s="28" t="n">
        <v>7.2</v>
      </c>
      <c r="Z831" s="11" t="inlineStr">
        <is>
          <t>Priority Tier 2 (Balanced Opportunity)</t>
        </is>
      </c>
    </row>
    <row r="832">
      <c r="A832" s="23" t="n">
        <v>2</v>
      </c>
      <c r="B832" s="23" t="n">
        <v>828</v>
      </c>
      <c r="C832" s="23" t="n">
        <v>1828</v>
      </c>
      <c r="D832" s="23" t="inlineStr">
        <is>
          <t>0402123001</t>
        </is>
      </c>
      <c r="E832" s="11" t="inlineStr">
        <is>
          <t>Region IV-A (CALABARZON)</t>
        </is>
      </c>
      <c r="F832" s="11" t="inlineStr">
        <is>
          <t>Cavite</t>
        </is>
      </c>
      <c r="G832" s="11" t="inlineStr">
        <is>
          <t>Gen. Mariano Alvarez</t>
        </is>
      </c>
      <c r="H832" s="11" t="inlineStr">
        <is>
          <t>Aldiano Olaes</t>
        </is>
      </c>
      <c r="I832" s="24" t="n">
        <v>14.308401</v>
      </c>
      <c r="J832" s="24" t="n">
        <v>121.01129</v>
      </c>
      <c r="K832" s="23" t="inlineStr">
        <is>
          <t>U</t>
        </is>
      </c>
      <c r="L832" s="25" t="n">
        <v>10058</v>
      </c>
      <c r="M832" s="26" t="n">
        <v>3.4</v>
      </c>
      <c r="N832" s="25">
        <f>ROUND(L832/M832, 0)</f>
        <v/>
      </c>
      <c r="O832" s="25">
        <f>ROUND(N832*'Methodology &amp; Assumptions'!$B$7, 0)</f>
        <v/>
      </c>
      <c r="P832" s="23" t="inlineStr">
        <is>
          <t>Single Carrier (Band n50, 100MHz TDD)</t>
        </is>
      </c>
      <c r="Q832" s="27">
        <f>ROUNDUP(O832/'Methodology &amp; Assumptions'!$B$8, 0)</f>
        <v/>
      </c>
      <c r="R832" s="27" t="n">
        <v>1</v>
      </c>
      <c r="S832" s="26" t="n">
        <v>3.05</v>
      </c>
      <c r="T832" s="26" t="n">
        <v>4.18</v>
      </c>
      <c r="U832" s="11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26" t="n">
        <v>67.19</v>
      </c>
      <c r="W832" s="26" t="n">
        <v>58.31</v>
      </c>
      <c r="X832" s="26">
        <f>ROUND(('Methodology &amp; Assumptions'!$B$5*V832) + ('Methodology &amp; Assumptions'!$B$6*W832), 2)</f>
        <v/>
      </c>
      <c r="Y832" s="28" t="n">
        <v>7.2</v>
      </c>
      <c r="Z832" s="11" t="inlineStr">
        <is>
          <t>Priority Tier 2 (Balanced Opportunity)</t>
        </is>
      </c>
    </row>
    <row r="833">
      <c r="A833" s="23" t="n">
        <v>2</v>
      </c>
      <c r="B833" s="23" t="n">
        <v>829</v>
      </c>
      <c r="C833" s="23" t="n">
        <v>1829</v>
      </c>
      <c r="D833" s="23" t="inlineStr">
        <is>
          <t>1380300009</t>
        </is>
      </c>
      <c r="E833" s="11" t="inlineStr">
        <is>
          <t>National Capital Region (NCR)</t>
        </is>
      </c>
      <c r="F833" s="11" t="inlineStr">
        <is>
          <t>Fourth District (Not a Province)</t>
        </is>
      </c>
      <c r="G833" s="11" t="inlineStr">
        <is>
          <t>City of Makati</t>
        </is>
      </c>
      <c r="H833" s="11" t="inlineStr">
        <is>
          <t>Guadalupe Nuevo</t>
        </is>
      </c>
      <c r="I833" s="24" t="n">
        <v>14.56084</v>
      </c>
      <c r="J833" s="24" t="n">
        <v>121.0447</v>
      </c>
      <c r="K833" s="23" t="inlineStr">
        <is>
          <t>U</t>
        </is>
      </c>
      <c r="L833" s="25" t="n">
        <v>21596</v>
      </c>
      <c r="M833" s="26" t="n">
        <v>3.54</v>
      </c>
      <c r="N833" s="25">
        <f>ROUND(L833/M833, 0)</f>
        <v/>
      </c>
      <c r="O833" s="25">
        <f>ROUND(N833*'Methodology &amp; Assumptions'!$B$7, 0)</f>
        <v/>
      </c>
      <c r="P833" s="23" t="inlineStr">
        <is>
          <t>Single Carrier (Band n50, 100MHz TDD)</t>
        </is>
      </c>
      <c r="Q833" s="27">
        <f>ROUNDUP(O833/'Methodology &amp; Assumptions'!$B$8, 0)</f>
        <v/>
      </c>
      <c r="R833" s="27" t="n">
        <v>1</v>
      </c>
      <c r="S833" s="26" t="n">
        <v>1.83</v>
      </c>
      <c r="T833" s="26" t="n">
        <v>0.26</v>
      </c>
      <c r="U833" s="11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26" t="n">
        <v>64.5</v>
      </c>
      <c r="W833" s="26" t="n">
        <v>60.99</v>
      </c>
      <c r="X833" s="26">
        <f>ROUND(('Methodology &amp; Assumptions'!$B$5*V833) + ('Methodology &amp; Assumptions'!$B$6*W833), 2)</f>
        <v/>
      </c>
      <c r="Y833" s="28" t="n">
        <v>10.9</v>
      </c>
      <c r="Z833" s="11" t="inlineStr">
        <is>
          <t>Priority Tier 2 (Balanced Opportunity)</t>
        </is>
      </c>
    </row>
    <row r="834">
      <c r="A834" s="23" t="n">
        <v>2</v>
      </c>
      <c r="B834" s="23" t="n">
        <v>830</v>
      </c>
      <c r="C834" s="23" t="n">
        <v>1830</v>
      </c>
      <c r="D834" s="23" t="inlineStr">
        <is>
          <t>0401005055</t>
        </is>
      </c>
      <c r="E834" s="11" t="inlineStr">
        <is>
          <t>Region IV-A (CALABARZON)</t>
        </is>
      </c>
      <c r="F834" s="11" t="inlineStr">
        <is>
          <t>Batangas</t>
        </is>
      </c>
      <c r="G834" s="11" t="inlineStr">
        <is>
          <t>Batangas City</t>
        </is>
      </c>
      <c r="H834" s="11" t="inlineStr">
        <is>
          <t>Barangay 1</t>
        </is>
      </c>
      <c r="I834" s="24" t="n">
        <v>13.754147</v>
      </c>
      <c r="J834" s="24" t="n">
        <v>121.059667</v>
      </c>
      <c r="K834" s="23" t="inlineStr">
        <is>
          <t>U</t>
        </is>
      </c>
      <c r="L834" s="25" t="n">
        <v>794</v>
      </c>
      <c r="M834" s="26" t="n">
        <v>3.6</v>
      </c>
      <c r="N834" s="25">
        <f>ROUND(L834/M834, 0)</f>
        <v/>
      </c>
      <c r="O834" s="25">
        <f>ROUND(N834*'Methodology &amp; Assumptions'!$B$7, 0)</f>
        <v/>
      </c>
      <c r="P834" s="23" t="inlineStr">
        <is>
          <t>Single Carrier (Band n50, 100MHz TDD)</t>
        </is>
      </c>
      <c r="Q834" s="27">
        <f>ROUNDUP(O834/'Methodology &amp; Assumptions'!$B$8, 0)</f>
        <v/>
      </c>
      <c r="R834" s="27" t="n">
        <v>1</v>
      </c>
      <c r="S834" s="26" t="n">
        <v>0.96</v>
      </c>
      <c r="T834" s="26" t="n">
        <v>0.26</v>
      </c>
      <c r="U834" s="11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26" t="n">
        <v>58.38</v>
      </c>
      <c r="W834" s="26" t="n">
        <v>67.13</v>
      </c>
      <c r="X834" s="26">
        <f>ROUND(('Methodology &amp; Assumptions'!$B$5*V834) + ('Methodology &amp; Assumptions'!$B$6*W834), 2)</f>
        <v/>
      </c>
      <c r="Y834" s="28" t="n">
        <v>7.2</v>
      </c>
      <c r="Z834" s="11" t="inlineStr">
        <is>
          <t>Priority Tier 2 (Balanced Opportunity)</t>
        </is>
      </c>
    </row>
    <row r="835">
      <c r="A835" s="23" t="n">
        <v>2</v>
      </c>
      <c r="B835" s="23" t="n">
        <v>831</v>
      </c>
      <c r="C835" s="23" t="n">
        <v>1831</v>
      </c>
      <c r="D835" s="23" t="inlineStr">
        <is>
          <t>1380606146</t>
        </is>
      </c>
      <c r="E835" s="11" t="inlineStr">
        <is>
          <t>National Capital Region (NCR)</t>
        </is>
      </c>
      <c r="F835" s="11" t="inlineStr">
        <is>
          <t>First District (Not a Province)</t>
        </is>
      </c>
      <c r="G835" s="11" t="inlineStr">
        <is>
          <t>City of Manila</t>
        </is>
      </c>
      <c r="H835" s="11" t="inlineStr">
        <is>
          <t>Barangay 540</t>
        </is>
      </c>
      <c r="I835" s="24" t="n">
        <v>14.612435</v>
      </c>
      <c r="J835" s="24" t="n">
        <v>121.0047</v>
      </c>
      <c r="K835" s="23" t="inlineStr">
        <is>
          <t>U</t>
        </is>
      </c>
      <c r="L835" s="25" t="n">
        <v>2024</v>
      </c>
      <c r="M835" s="26" t="n">
        <v>4.42</v>
      </c>
      <c r="N835" s="25">
        <f>ROUND(L835/M835, 0)</f>
        <v/>
      </c>
      <c r="O835" s="25">
        <f>ROUND(N835*'Methodology &amp; Assumptions'!$B$7, 0)</f>
        <v/>
      </c>
      <c r="P835" s="23" t="inlineStr">
        <is>
          <t>Single Carrier (Band n50, 100MHz TDD)</t>
        </is>
      </c>
      <c r="Q835" s="27">
        <f>ROUNDUP(O835/'Methodology &amp; Assumptions'!$B$8, 0)</f>
        <v/>
      </c>
      <c r="R835" s="27" t="n">
        <v>1</v>
      </c>
      <c r="S835" s="26" t="n">
        <v>0.19</v>
      </c>
      <c r="T835" s="26" t="n">
        <v>0.15</v>
      </c>
      <c r="U835" s="11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26" t="n">
        <v>55.77</v>
      </c>
      <c r="W835" s="26" t="n">
        <v>69.73</v>
      </c>
      <c r="X835" s="26">
        <f>ROUND(('Methodology &amp; Assumptions'!$B$5*V835) + ('Methodology &amp; Assumptions'!$B$6*W835), 2)</f>
        <v/>
      </c>
      <c r="Y835" s="28" t="n">
        <v>10.9</v>
      </c>
      <c r="Z835" s="11" t="inlineStr">
        <is>
          <t>Priority Tier 2 (Balanced Opportunity)</t>
        </is>
      </c>
    </row>
    <row r="836">
      <c r="A836" s="23" t="n">
        <v>2</v>
      </c>
      <c r="B836" s="23" t="n">
        <v>832</v>
      </c>
      <c r="C836" s="23" t="n">
        <v>1832</v>
      </c>
      <c r="D836" s="23" t="inlineStr">
        <is>
          <t>1606805008</t>
        </is>
      </c>
      <c r="E836" s="11" t="inlineStr">
        <is>
          <t>Region XIII (Caraga)</t>
        </is>
      </c>
      <c r="F836" s="11" t="inlineStr">
        <is>
          <t>Surigao del Sur</t>
        </is>
      </c>
      <c r="G836" s="11" t="inlineStr">
        <is>
          <t>Cantilan</t>
        </is>
      </c>
      <c r="H836" s="11" t="inlineStr">
        <is>
          <t>General Island</t>
        </is>
      </c>
      <c r="I836" s="24" t="n">
        <v>9.414486</v>
      </c>
      <c r="J836" s="24" t="n">
        <v>126.003856</v>
      </c>
      <c r="K836" s="23" t="inlineStr">
        <is>
          <t>R</t>
        </is>
      </c>
      <c r="L836" s="25" t="n">
        <v>971</v>
      </c>
      <c r="M836" s="26" t="n">
        <v>4.1</v>
      </c>
      <c r="N836" s="25">
        <f>ROUND(L836/M836, 0)</f>
        <v/>
      </c>
      <c r="O836" s="25">
        <f>ROUND(N836*'Methodology &amp; Assumptions'!$B$7, 0)</f>
        <v/>
      </c>
      <c r="P836" s="23" t="inlineStr">
        <is>
          <t>Single Carrier (Band n50, 100MHz TDD)</t>
        </is>
      </c>
      <c r="Q836" s="27">
        <f>ROUNDUP(O836/'Methodology &amp; Assumptions'!$B$8, 0)</f>
        <v/>
      </c>
      <c r="R836" s="27" t="n">
        <v>1</v>
      </c>
      <c r="S836" s="26" t="n">
        <v>7.97</v>
      </c>
      <c r="T836" s="26" t="n">
        <v>7.97</v>
      </c>
      <c r="U836" s="11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26" t="n">
        <v>48.98</v>
      </c>
      <c r="W836" s="26" t="n">
        <v>76.52</v>
      </c>
      <c r="X836" s="26">
        <f>ROUND(('Methodology &amp; Assumptions'!$B$5*V836) + ('Methodology &amp; Assumptions'!$B$6*W836), 2)</f>
        <v/>
      </c>
      <c r="Y836" s="28" t="n">
        <v>17.4</v>
      </c>
      <c r="Z836" s="11" t="inlineStr">
        <is>
          <t>Priority Tier 2 (Balanced Opportunity)</t>
        </is>
      </c>
    </row>
    <row r="837">
      <c r="A837" s="23" t="n">
        <v>2</v>
      </c>
      <c r="B837" s="23" t="n">
        <v>833</v>
      </c>
      <c r="C837" s="23" t="n">
        <v>1833</v>
      </c>
      <c r="D837" s="23" t="inlineStr">
        <is>
          <t>0304928029</t>
        </is>
      </c>
      <c r="E837" s="11" t="inlineStr">
        <is>
          <t>Region III (Central Luzon)</t>
        </is>
      </c>
      <c r="F837" s="11" t="inlineStr">
        <is>
          <t>Nueva Ecija</t>
        </is>
      </c>
      <c r="G837" s="11" t="inlineStr">
        <is>
          <t>Santa Rosa</t>
        </is>
      </c>
      <c r="H837" s="11" t="inlineStr">
        <is>
          <t>Lourdes</t>
        </is>
      </c>
      <c r="I837" s="24" t="n">
        <v>15.427531</v>
      </c>
      <c r="J837" s="24" t="n">
        <v>120.925925</v>
      </c>
      <c r="K837" s="23" t="inlineStr">
        <is>
          <t>R</t>
        </is>
      </c>
      <c r="L837" s="25" t="n">
        <v>2937</v>
      </c>
      <c r="M837" s="26" t="n">
        <v>3.5</v>
      </c>
      <c r="N837" s="25">
        <f>ROUND(L837/M837, 0)</f>
        <v/>
      </c>
      <c r="O837" s="25">
        <f>ROUND(N837*'Methodology &amp; Assumptions'!$B$7, 0)</f>
        <v/>
      </c>
      <c r="P837" s="23" t="inlineStr">
        <is>
          <t>Single Carrier (Band n50, 100MHz TDD)</t>
        </is>
      </c>
      <c r="Q837" s="27">
        <f>ROUNDUP(O837/'Methodology &amp; Assumptions'!$B$8, 0)</f>
        <v/>
      </c>
      <c r="R837" s="27" t="n">
        <v>1</v>
      </c>
      <c r="S837" s="26" t="n">
        <v>0.18</v>
      </c>
      <c r="T837" s="26" t="n">
        <v>0.19</v>
      </c>
      <c r="U837" s="11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26" t="n">
        <v>85.63</v>
      </c>
      <c r="W837" s="26" t="n">
        <v>39.84</v>
      </c>
      <c r="X837" s="26">
        <f>ROUND(('Methodology &amp; Assumptions'!$B$5*V837) + ('Methodology &amp; Assumptions'!$B$6*W837), 2)</f>
        <v/>
      </c>
      <c r="Y837" s="28" t="n">
        <v>8.300000000000001</v>
      </c>
      <c r="Z837" s="11" t="inlineStr">
        <is>
          <t>Priority Tier 2 (Balanced Opportunity)</t>
        </is>
      </c>
    </row>
    <row r="838">
      <c r="A838" s="23" t="n">
        <v>2</v>
      </c>
      <c r="B838" s="23" t="n">
        <v>834</v>
      </c>
      <c r="C838" s="23" t="n">
        <v>1834</v>
      </c>
      <c r="D838" s="23" t="inlineStr">
        <is>
          <t>0603034029</t>
        </is>
      </c>
      <c r="E838" s="11" t="inlineStr">
        <is>
          <t>Region VI (Western Visayas)</t>
        </is>
      </c>
      <c r="F838" s="11" t="inlineStr">
        <is>
          <t>Iloilo</t>
        </is>
      </c>
      <c r="G838" s="11" t="inlineStr">
        <is>
          <t>Oton</t>
        </is>
      </c>
      <c r="H838" s="11" t="inlineStr">
        <is>
          <t>San Nicolas</t>
        </is>
      </c>
      <c r="I838" s="24" t="n">
        <v>10.692516</v>
      </c>
      <c r="J838" s="24" t="n">
        <v>122.495056</v>
      </c>
      <c r="K838" s="23" t="inlineStr">
        <is>
          <t>R</t>
        </is>
      </c>
      <c r="L838" s="25" t="n">
        <v>3239</v>
      </c>
      <c r="M838" s="26" t="n">
        <v>3.8</v>
      </c>
      <c r="N838" s="25">
        <f>ROUND(L838/M838, 0)</f>
        <v/>
      </c>
      <c r="O838" s="25">
        <f>ROUND(N838*'Methodology &amp; Assumptions'!$B$7, 0)</f>
        <v/>
      </c>
      <c r="P838" s="23" t="inlineStr">
        <is>
          <t>Single Carrier (Band n50, 100MHz TDD)</t>
        </is>
      </c>
      <c r="Q838" s="27">
        <f>ROUNDUP(O838/'Methodology &amp; Assumptions'!$B$8, 0)</f>
        <v/>
      </c>
      <c r="R838" s="27" t="n">
        <v>1</v>
      </c>
      <c r="S838" s="26" t="n">
        <v>1.62</v>
      </c>
      <c r="T838" s="26" t="n">
        <v>0.12</v>
      </c>
      <c r="U838" s="11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26" t="n">
        <v>84.48</v>
      </c>
      <c r="W838" s="26" t="n">
        <v>41</v>
      </c>
      <c r="X838" s="26">
        <f>ROUND(('Methodology &amp; Assumptions'!$B$5*V838) + ('Methodology &amp; Assumptions'!$B$6*W838), 2)</f>
        <v/>
      </c>
      <c r="Y838" s="28" t="n">
        <v>23.7</v>
      </c>
      <c r="Z838" s="11" t="inlineStr">
        <is>
          <t>Priority Tier 2 (Balanced Opportunity)</t>
        </is>
      </c>
    </row>
    <row r="839">
      <c r="A839" s="23" t="n">
        <v>2</v>
      </c>
      <c r="B839" s="23" t="n">
        <v>835</v>
      </c>
      <c r="C839" s="23" t="n">
        <v>1835</v>
      </c>
      <c r="D839" s="23" t="inlineStr">
        <is>
          <t>0301420036</t>
        </is>
      </c>
      <c r="E839" s="11" t="inlineStr">
        <is>
          <t>Region III (Central Luzon)</t>
        </is>
      </c>
      <c r="F839" s="11" t="inlineStr">
        <is>
          <t>Bulacan</t>
        </is>
      </c>
      <c r="G839" s="11" t="inlineStr">
        <is>
          <t>City of San Jose Del Monte</t>
        </is>
      </c>
      <c r="H839" s="11" t="inlineStr">
        <is>
          <t>Maharlika</t>
        </is>
      </c>
      <c r="I839" s="24" t="n">
        <v>14.794961</v>
      </c>
      <c r="J839" s="24" t="n">
        <v>121.072211</v>
      </c>
      <c r="K839" s="23" t="inlineStr">
        <is>
          <t>U</t>
        </is>
      </c>
      <c r="L839" s="25" t="n">
        <v>3195</v>
      </c>
      <c r="M839" s="26" t="n">
        <v>3.5</v>
      </c>
      <c r="N839" s="25">
        <f>ROUND(L839/M839, 0)</f>
        <v/>
      </c>
      <c r="O839" s="25">
        <f>ROUND(N839*'Methodology &amp; Assumptions'!$B$7, 0)</f>
        <v/>
      </c>
      <c r="P839" s="23" t="inlineStr">
        <is>
          <t>Single Carrier (Band n50, 100MHz TDD)</t>
        </is>
      </c>
      <c r="Q839" s="27">
        <f>ROUNDUP(O839/'Methodology &amp; Assumptions'!$B$8, 0)</f>
        <v/>
      </c>
      <c r="R839" s="27" t="n">
        <v>1</v>
      </c>
      <c r="S839" s="26" t="n">
        <v>0.39</v>
      </c>
      <c r="T839" s="26" t="n">
        <v>0.28</v>
      </c>
      <c r="U839" s="11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26" t="n">
        <v>78.43000000000001</v>
      </c>
      <c r="W839" s="26" t="n">
        <v>47.05</v>
      </c>
      <c r="X839" s="26">
        <f>ROUND(('Methodology &amp; Assumptions'!$B$5*V839) + ('Methodology &amp; Assumptions'!$B$6*W839), 2)</f>
        <v/>
      </c>
      <c r="Y839" s="28" t="n">
        <v>8.300000000000001</v>
      </c>
      <c r="Z839" s="11" t="inlineStr">
        <is>
          <t>Priority Tier 2 (Balanced Opportunity)</t>
        </is>
      </c>
    </row>
    <row r="840">
      <c r="A840" s="23" t="n">
        <v>2</v>
      </c>
      <c r="B840" s="23" t="n">
        <v>836</v>
      </c>
      <c r="C840" s="23" t="n">
        <v>1836</v>
      </c>
      <c r="D840" s="23" t="inlineStr">
        <is>
          <t>0301406013</t>
        </is>
      </c>
      <c r="E840" s="11" t="inlineStr">
        <is>
          <t>Region III (Central Luzon)</t>
        </is>
      </c>
      <c r="F840" s="11" t="inlineStr">
        <is>
          <t>Bulacan</t>
        </is>
      </c>
      <c r="G840" s="11" t="inlineStr">
        <is>
          <t>Bustos</t>
        </is>
      </c>
      <c r="H840" s="11" t="inlineStr">
        <is>
          <t>Tanawan</t>
        </is>
      </c>
      <c r="I840" s="24" t="n">
        <v>14.952296</v>
      </c>
      <c r="J840" s="24" t="n">
        <v>120.924089</v>
      </c>
      <c r="K840" s="23" t="inlineStr">
        <is>
          <t>U</t>
        </is>
      </c>
      <c r="L840" s="25" t="n">
        <v>2855</v>
      </c>
      <c r="M840" s="26" t="n">
        <v>3.5</v>
      </c>
      <c r="N840" s="25">
        <f>ROUND(L840/M840, 0)</f>
        <v/>
      </c>
      <c r="O840" s="25">
        <f>ROUND(N840*'Methodology &amp; Assumptions'!$B$7, 0)</f>
        <v/>
      </c>
      <c r="P840" s="23" t="inlineStr">
        <is>
          <t>Single Carrier (Band n50, 100MHz TDD)</t>
        </is>
      </c>
      <c r="Q840" s="27">
        <f>ROUNDUP(O840/'Methodology &amp; Assumptions'!$B$8, 0)</f>
        <v/>
      </c>
      <c r="R840" s="27" t="n">
        <v>1</v>
      </c>
      <c r="S840" s="26" t="n">
        <v>0.64</v>
      </c>
      <c r="T840" s="26" t="n">
        <v>0.15</v>
      </c>
      <c r="U840" s="11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26" t="n">
        <v>78.36</v>
      </c>
      <c r="W840" s="26" t="n">
        <v>47.11</v>
      </c>
      <c r="X840" s="26">
        <f>ROUND(('Methodology &amp; Assumptions'!$B$5*V840) + ('Methodology &amp; Assumptions'!$B$6*W840), 2)</f>
        <v/>
      </c>
      <c r="Y840" s="28" t="n">
        <v>8.300000000000001</v>
      </c>
      <c r="Z840" s="11" t="inlineStr">
        <is>
          <t>Priority Tier 2 (Balanced Opportunity)</t>
        </is>
      </c>
    </row>
    <row r="841">
      <c r="A841" s="23" t="n">
        <v>2</v>
      </c>
      <c r="B841" s="23" t="n">
        <v>837</v>
      </c>
      <c r="C841" s="23" t="n">
        <v>1837</v>
      </c>
      <c r="D841" s="23" t="inlineStr">
        <is>
          <t>0401003012</t>
        </is>
      </c>
      <c r="E841" s="11" t="inlineStr">
        <is>
          <t>Region IV-A (CALABARZON)</t>
        </is>
      </c>
      <c r="F841" s="11" t="inlineStr">
        <is>
          <t>Batangas</t>
        </is>
      </c>
      <c r="G841" s="11" t="inlineStr">
        <is>
          <t>Balayan</t>
        </is>
      </c>
      <c r="H841" s="11" t="inlineStr">
        <is>
          <t>Barangay 7</t>
        </is>
      </c>
      <c r="I841" s="24" t="n">
        <v>13.941722</v>
      </c>
      <c r="J841" s="24" t="n">
        <v>120.733199</v>
      </c>
      <c r="K841" s="23" t="inlineStr">
        <is>
          <t>R</t>
        </is>
      </c>
      <c r="L841" s="25" t="n">
        <v>341</v>
      </c>
      <c r="M841" s="26" t="n">
        <v>3.6</v>
      </c>
      <c r="N841" s="25">
        <f>ROUND(L841/M841, 0)</f>
        <v/>
      </c>
      <c r="O841" s="25">
        <f>ROUND(N841*'Methodology &amp; Assumptions'!$B$7, 0)</f>
        <v/>
      </c>
      <c r="P841" s="23" t="inlineStr">
        <is>
          <t>Single Carrier (Band n50, 100MHz TDD)</t>
        </is>
      </c>
      <c r="Q841" s="27">
        <f>ROUNDUP(O841/'Methodology &amp; Assumptions'!$B$8, 0)</f>
        <v/>
      </c>
      <c r="R841" s="27" t="n">
        <v>1</v>
      </c>
      <c r="S841" s="26" t="n">
        <v>0.58</v>
      </c>
      <c r="T841" s="26" t="n">
        <v>0.22</v>
      </c>
      <c r="U841" s="11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26" t="n">
        <v>61.9</v>
      </c>
      <c r="W841" s="26" t="n">
        <v>63.58</v>
      </c>
      <c r="X841" s="26">
        <f>ROUND(('Methodology &amp; Assumptions'!$B$5*V841) + ('Methodology &amp; Assumptions'!$B$6*W841), 2)</f>
        <v/>
      </c>
      <c r="Y841" s="28" t="n">
        <v>7.2</v>
      </c>
      <c r="Z841" s="11" t="inlineStr">
        <is>
          <t>Priority Tier 2 (Balanced Opportunity)</t>
        </is>
      </c>
    </row>
    <row r="842">
      <c r="A842" s="23" t="n">
        <v>2</v>
      </c>
      <c r="B842" s="23" t="n">
        <v>838</v>
      </c>
      <c r="C842" s="23" t="n">
        <v>1838</v>
      </c>
      <c r="D842" s="23" t="inlineStr">
        <is>
          <t>1381100124</t>
        </is>
      </c>
      <c r="E842" s="11" t="inlineStr">
        <is>
          <t>National Capital Region (NCR)</t>
        </is>
      </c>
      <c r="F842" s="11" t="inlineStr">
        <is>
          <t>Fourth District (Not a Province)</t>
        </is>
      </c>
      <c r="G842" s="11" t="inlineStr">
        <is>
          <t>Pasay City</t>
        </is>
      </c>
      <c r="H842" s="11" t="inlineStr">
        <is>
          <t>Barangay 124</t>
        </is>
      </c>
      <c r="I842" s="24" t="n">
        <v>14.545729</v>
      </c>
      <c r="J842" s="24" t="n">
        <v>121.005102</v>
      </c>
      <c r="K842" s="23" t="inlineStr">
        <is>
          <t>U</t>
        </is>
      </c>
      <c r="L842" s="25" t="n">
        <v>1722</v>
      </c>
      <c r="M842" s="26" t="n">
        <v>3.66</v>
      </c>
      <c r="N842" s="25">
        <f>ROUND(L842/M842, 0)</f>
        <v/>
      </c>
      <c r="O842" s="25">
        <f>ROUND(N842*'Methodology &amp; Assumptions'!$B$7, 0)</f>
        <v/>
      </c>
      <c r="P842" s="23" t="inlineStr">
        <is>
          <t>Single Carrier (Band n50, 100MHz TDD)</t>
        </is>
      </c>
      <c r="Q842" s="27">
        <f>ROUNDUP(O842/'Methodology &amp; Assumptions'!$B$8, 0)</f>
        <v/>
      </c>
      <c r="R842" s="27" t="n">
        <v>1</v>
      </c>
      <c r="S842" s="26" t="n">
        <v>0.8100000000000001</v>
      </c>
      <c r="T842" s="26" t="n">
        <v>0.34</v>
      </c>
      <c r="U842" s="11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26" t="n">
        <v>56.2</v>
      </c>
      <c r="W842" s="26" t="n">
        <v>69.29000000000001</v>
      </c>
      <c r="X842" s="26">
        <f>ROUND(('Methodology &amp; Assumptions'!$B$5*V842) + ('Methodology &amp; Assumptions'!$B$6*W842), 2)</f>
        <v/>
      </c>
      <c r="Y842" s="28" t="n">
        <v>10.9</v>
      </c>
      <c r="Z842" s="11" t="inlineStr">
        <is>
          <t>Priority Tier 2 (Balanced Opportunity)</t>
        </is>
      </c>
    </row>
    <row r="843">
      <c r="A843" s="23" t="n">
        <v>2</v>
      </c>
      <c r="B843" s="23" t="n">
        <v>839</v>
      </c>
      <c r="C843" s="23" t="n">
        <v>1839</v>
      </c>
      <c r="D843" s="23" t="inlineStr">
        <is>
          <t>1380603008</t>
        </is>
      </c>
      <c r="E843" s="11" t="inlineStr">
        <is>
          <t>National Capital Region (NCR)</t>
        </is>
      </c>
      <c r="F843" s="11" t="inlineStr">
        <is>
          <t>First District (Not a Province)</t>
        </is>
      </c>
      <c r="G843" s="11" t="inlineStr">
        <is>
          <t>City of Manila</t>
        </is>
      </c>
      <c r="H843" s="11" t="inlineStr">
        <is>
          <t>Barangay 388</t>
        </is>
      </c>
      <c r="I843" s="24" t="n">
        <v>14.59833</v>
      </c>
      <c r="J843" s="24" t="n">
        <v>120.987991</v>
      </c>
      <c r="K843" s="23" t="inlineStr">
        <is>
          <t>U</t>
        </is>
      </c>
      <c r="L843" s="25" t="n">
        <v>1553</v>
      </c>
      <c r="M843" s="26" t="n">
        <v>3.67</v>
      </c>
      <c r="N843" s="25">
        <f>ROUND(L843/M843, 0)</f>
        <v/>
      </c>
      <c r="O843" s="25">
        <f>ROUND(N843*'Methodology &amp; Assumptions'!$B$7, 0)</f>
        <v/>
      </c>
      <c r="P843" s="23" t="inlineStr">
        <is>
          <t>Single Carrier (Band n50, 100MHz TDD)</t>
        </is>
      </c>
      <c r="Q843" s="27">
        <f>ROUNDUP(O843/'Methodology &amp; Assumptions'!$B$8, 0)</f>
        <v/>
      </c>
      <c r="R843" s="27" t="n">
        <v>1</v>
      </c>
      <c r="S843" s="26" t="n">
        <v>0.63</v>
      </c>
      <c r="T843" s="26" t="n">
        <v>0.37</v>
      </c>
      <c r="U843" s="11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26" t="n">
        <v>54.7</v>
      </c>
      <c r="W843" s="26" t="n">
        <v>70.79000000000001</v>
      </c>
      <c r="X843" s="26">
        <f>ROUND(('Methodology &amp; Assumptions'!$B$5*V843) + ('Methodology &amp; Assumptions'!$B$6*W843), 2)</f>
        <v/>
      </c>
      <c r="Y843" s="28" t="n">
        <v>10.9</v>
      </c>
      <c r="Z843" s="11" t="inlineStr">
        <is>
          <t>Priority Tier 2 (Balanced Opportunity)</t>
        </is>
      </c>
    </row>
    <row r="844">
      <c r="A844" s="23" t="n">
        <v>2</v>
      </c>
      <c r="B844" s="23" t="n">
        <v>840</v>
      </c>
      <c r="C844" s="23" t="n">
        <v>1840</v>
      </c>
      <c r="D844" s="23" t="inlineStr">
        <is>
          <t>1606803016</t>
        </is>
      </c>
      <c r="E844" s="11" t="inlineStr">
        <is>
          <t>Region XIII (Caraga)</t>
        </is>
      </c>
      <c r="F844" s="11" t="inlineStr">
        <is>
          <t>Surigao del Sur</t>
        </is>
      </c>
      <c r="G844" s="11" t="inlineStr">
        <is>
          <t>City of Bislig</t>
        </is>
      </c>
      <c r="H844" s="11" t="inlineStr">
        <is>
          <t>San Jose</t>
        </is>
      </c>
      <c r="I844" s="24" t="n">
        <v>8.119125</v>
      </c>
      <c r="J844" s="24" t="n">
        <v>126.2963</v>
      </c>
      <c r="K844" s="23" t="inlineStr">
        <is>
          <t>R</t>
        </is>
      </c>
      <c r="L844" s="25" t="n">
        <v>4834</v>
      </c>
      <c r="M844" s="26" t="n">
        <v>4.1</v>
      </c>
      <c r="N844" s="25">
        <f>ROUND(L844/M844, 0)</f>
        <v/>
      </c>
      <c r="O844" s="25">
        <f>ROUND(N844*'Methodology &amp; Assumptions'!$B$7, 0)</f>
        <v/>
      </c>
      <c r="P844" s="23" t="inlineStr">
        <is>
          <t>Single Carrier (Band n50, 100MHz TDD)</t>
        </is>
      </c>
      <c r="Q844" s="27">
        <f>ROUNDUP(O844/'Methodology &amp; Assumptions'!$B$8, 0)</f>
        <v/>
      </c>
      <c r="R844" s="27" t="n">
        <v>1</v>
      </c>
      <c r="S844" s="26" t="n">
        <v>26.96</v>
      </c>
      <c r="T844" s="26" t="n">
        <v>26.9</v>
      </c>
      <c r="U844" s="11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26" t="n">
        <v>61.82</v>
      </c>
      <c r="W844" s="26" t="n">
        <v>63.65</v>
      </c>
      <c r="X844" s="26">
        <f>ROUND(('Methodology &amp; Assumptions'!$B$5*V844) + ('Methodology &amp; Assumptions'!$B$6*W844), 2)</f>
        <v/>
      </c>
      <c r="Y844" s="28" t="n">
        <v>17.4</v>
      </c>
      <c r="Z844" s="11" t="inlineStr">
        <is>
          <t>Priority Tier 2 (Balanced Opportunity)</t>
        </is>
      </c>
    </row>
    <row r="845">
      <c r="A845" s="23" t="n">
        <v>2</v>
      </c>
      <c r="B845" s="23" t="n">
        <v>841</v>
      </c>
      <c r="C845" s="23" t="n">
        <v>1841</v>
      </c>
      <c r="D845" s="23" t="inlineStr">
        <is>
          <t>0306916085</t>
        </is>
      </c>
      <c r="E845" s="11" t="inlineStr">
        <is>
          <t>Region III (Central Luzon)</t>
        </is>
      </c>
      <c r="F845" s="11" t="inlineStr">
        <is>
          <t>Tarlac</t>
        </is>
      </c>
      <c r="G845" s="11" t="inlineStr">
        <is>
          <t>City of Tarlac</t>
        </is>
      </c>
      <c r="H845" s="11" t="inlineStr">
        <is>
          <t>Suizo</t>
        </is>
      </c>
      <c r="I845" s="24" t="n">
        <v>15.461206</v>
      </c>
      <c r="J845" s="24" t="n">
        <v>120.602914</v>
      </c>
      <c r="K845" s="23" t="inlineStr">
        <is>
          <t>R</t>
        </is>
      </c>
      <c r="L845" s="25" t="n">
        <v>4138</v>
      </c>
      <c r="M845" s="26" t="n">
        <v>3.9</v>
      </c>
      <c r="N845" s="25">
        <f>ROUND(L845/M845, 0)</f>
        <v/>
      </c>
      <c r="O845" s="25">
        <f>ROUND(N845*'Methodology &amp; Assumptions'!$B$7, 0)</f>
        <v/>
      </c>
      <c r="P845" s="23" t="inlineStr">
        <is>
          <t>Single Carrier (Band n50, 100MHz TDD)</t>
        </is>
      </c>
      <c r="Q845" s="27">
        <f>ROUNDUP(O845/'Methodology &amp; Assumptions'!$B$8, 0)</f>
        <v/>
      </c>
      <c r="R845" s="27" t="n">
        <v>1</v>
      </c>
      <c r="S845" s="26" t="n">
        <v>2.4</v>
      </c>
      <c r="T845" s="26" t="n">
        <v>0.43</v>
      </c>
      <c r="U845" s="11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26" t="n">
        <v>80.06</v>
      </c>
      <c r="W845" s="26" t="n">
        <v>45.39</v>
      </c>
      <c r="X845" s="26">
        <f>ROUND(('Methodology &amp; Assumptions'!$B$5*V845) + ('Methodology &amp; Assumptions'!$B$6*W845), 2)</f>
        <v/>
      </c>
      <c r="Y845" s="28" t="n">
        <v>8.300000000000001</v>
      </c>
      <c r="Z845" s="11" t="inlineStr">
        <is>
          <t>Priority Tier 2 (Balanced Opportunity)</t>
        </is>
      </c>
    </row>
    <row r="846">
      <c r="A846" s="23" t="n">
        <v>2</v>
      </c>
      <c r="B846" s="23" t="n">
        <v>842</v>
      </c>
      <c r="C846" s="23" t="n">
        <v>1842</v>
      </c>
      <c r="D846" s="23" t="inlineStr">
        <is>
          <t>1401101003</t>
        </is>
      </c>
      <c r="E846" s="11" t="inlineStr">
        <is>
          <t>Cordillera Administrative Region (CAR)</t>
        </is>
      </c>
      <c r="F846" s="11" t="inlineStr">
        <is>
          <t>Benguet</t>
        </is>
      </c>
      <c r="G846" s="11" t="inlineStr">
        <is>
          <t>Atok</t>
        </is>
      </c>
      <c r="H846" s="11" t="inlineStr">
        <is>
          <t>Cattubo</t>
        </is>
      </c>
      <c r="I846" s="24" t="n">
        <v>16.62787</v>
      </c>
      <c r="J846" s="24" t="n">
        <v>120.72923</v>
      </c>
      <c r="K846" s="23" t="inlineStr">
        <is>
          <t>R</t>
        </is>
      </c>
      <c r="L846" s="25" t="n">
        <v>2747</v>
      </c>
      <c r="M846" s="26" t="n">
        <v>3.5</v>
      </c>
      <c r="N846" s="25">
        <f>ROUND(L846/M846, 0)</f>
        <v/>
      </c>
      <c r="O846" s="25">
        <f>ROUND(N846*'Methodology &amp; Assumptions'!$B$7, 0)</f>
        <v/>
      </c>
      <c r="P846" s="23" t="inlineStr">
        <is>
          <t>Single Carrier (Band n50, 100MHz TDD)</t>
        </is>
      </c>
      <c r="Q846" s="27">
        <f>ROUNDUP(O846/'Methodology &amp; Assumptions'!$B$8, 0)</f>
        <v/>
      </c>
      <c r="R846" s="27" t="n">
        <v>1</v>
      </c>
      <c r="S846" s="26" t="n">
        <v>4.09</v>
      </c>
      <c r="T846" s="26" t="n">
        <v>3.95</v>
      </c>
      <c r="U846" s="11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26" t="n">
        <v>70.01000000000001</v>
      </c>
      <c r="W846" s="26" t="n">
        <v>55.43</v>
      </c>
      <c r="X846" s="26">
        <f>ROUND(('Methodology &amp; Assumptions'!$B$5*V846) + ('Methodology &amp; Assumptions'!$B$6*W846), 2)</f>
        <v/>
      </c>
      <c r="Y846" s="28" t="n">
        <v>10.9</v>
      </c>
      <c r="Z846" s="11" t="inlineStr">
        <is>
          <t>Priority Tier 2 (Balanced Opportunity)</t>
        </is>
      </c>
    </row>
    <row r="847">
      <c r="A847" s="23" t="n">
        <v>2</v>
      </c>
      <c r="B847" s="23" t="n">
        <v>843</v>
      </c>
      <c r="C847" s="23" t="n">
        <v>1843</v>
      </c>
      <c r="D847" s="23" t="inlineStr">
        <is>
          <t>1381300011</t>
        </is>
      </c>
      <c r="E847" s="11" t="inlineStr">
        <is>
          <t>National Capital Region (NCR)</t>
        </is>
      </c>
      <c r="F847" s="11" t="inlineStr">
        <is>
          <t>Second District (Not a Province)</t>
        </is>
      </c>
      <c r="G847" s="11" t="inlineStr">
        <is>
          <t>Quezon City</t>
        </is>
      </c>
      <c r="H847" s="11" t="inlineStr">
        <is>
          <t>Bagumbayan</t>
        </is>
      </c>
      <c r="I847" s="24" t="n">
        <v>14.6083</v>
      </c>
      <c r="J847" s="24" t="n">
        <v>121.0825</v>
      </c>
      <c r="K847" s="23" t="inlineStr">
        <is>
          <t>U</t>
        </is>
      </c>
      <c r="L847" s="25" t="n">
        <v>24092</v>
      </c>
      <c r="M847" s="26" t="n">
        <v>3.74</v>
      </c>
      <c r="N847" s="25">
        <f>ROUND(L847/M847, 0)</f>
        <v/>
      </c>
      <c r="O847" s="25">
        <f>ROUND(N847*'Methodology &amp; Assumptions'!$B$7, 0)</f>
        <v/>
      </c>
      <c r="P847" s="23" t="inlineStr">
        <is>
          <t>Single Carrier (Band n50, 100MHz TDD)</t>
        </is>
      </c>
      <c r="Q847" s="27">
        <f>ROUNDUP(O847/'Methodology &amp; Assumptions'!$B$8, 0)</f>
        <v/>
      </c>
      <c r="R847" s="27" t="n">
        <v>1</v>
      </c>
      <c r="S847" s="26" t="n">
        <v>0.09</v>
      </c>
      <c r="T847" s="26" t="n">
        <v>0.35</v>
      </c>
      <c r="U847" s="11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26" t="n">
        <v>68.04000000000001</v>
      </c>
      <c r="W847" s="26" t="n">
        <v>57.4</v>
      </c>
      <c r="X847" s="26">
        <f>ROUND(('Methodology &amp; Assumptions'!$B$5*V847) + ('Methodology &amp; Assumptions'!$B$6*W847), 2)</f>
        <v/>
      </c>
      <c r="Y847" s="28" t="n">
        <v>10.9</v>
      </c>
      <c r="Z847" s="11" t="inlineStr">
        <is>
          <t>Priority Tier 2 (Balanced Opportunity)</t>
        </is>
      </c>
    </row>
    <row r="848">
      <c r="A848" s="23" t="n">
        <v>2</v>
      </c>
      <c r="B848" s="23" t="n">
        <v>844</v>
      </c>
      <c r="C848" s="23" t="n">
        <v>1844</v>
      </c>
      <c r="D848" s="23" t="inlineStr">
        <is>
          <t>0102906041</t>
        </is>
      </c>
      <c r="E848" s="11" t="inlineStr">
        <is>
          <t>Region I (Ilocos Region)</t>
        </is>
      </c>
      <c r="F848" s="11" t="inlineStr">
        <is>
          <t>Ilocos Sur</t>
        </is>
      </c>
      <c r="G848" s="11" t="inlineStr">
        <is>
          <t>City of Candon</t>
        </is>
      </c>
      <c r="H848" s="11" t="inlineStr">
        <is>
          <t>San Pedro</t>
        </is>
      </c>
      <c r="I848" s="24" t="n">
        <v>14.352861</v>
      </c>
      <c r="J848" s="24" t="n">
        <v>121.045835</v>
      </c>
      <c r="K848" s="23" t="inlineStr">
        <is>
          <t>R</t>
        </is>
      </c>
      <c r="L848" s="25" t="n">
        <v>731</v>
      </c>
      <c r="M848" s="26" t="n">
        <v>3.8</v>
      </c>
      <c r="N848" s="25">
        <f>ROUND(L848/M848, 0)</f>
        <v/>
      </c>
      <c r="O848" s="25">
        <f>ROUND(N848*'Methodology &amp; Assumptions'!$B$7, 0)</f>
        <v/>
      </c>
      <c r="P848" s="23" t="inlineStr">
        <is>
          <t>Single Carrier (Band n50, 100MHz TDD)</t>
        </is>
      </c>
      <c r="Q848" s="27">
        <f>ROUNDUP(O848/'Methodology &amp; Assumptions'!$B$8, 0)</f>
        <v/>
      </c>
      <c r="R848" s="27" t="n">
        <v>1</v>
      </c>
      <c r="S848" s="26" t="n">
        <v>1.11</v>
      </c>
      <c r="T848" s="26" t="n">
        <v>0.26</v>
      </c>
      <c r="U848" s="11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26" t="n">
        <v>64.27</v>
      </c>
      <c r="W848" s="26" t="n">
        <v>61.17</v>
      </c>
      <c r="X848" s="26">
        <f>ROUND(('Methodology &amp; Assumptions'!$B$5*V848) + ('Methodology &amp; Assumptions'!$B$6*W848), 2)</f>
        <v/>
      </c>
      <c r="Y848" s="28" t="n">
        <v>8.300000000000001</v>
      </c>
      <c r="Z848" s="11" t="inlineStr">
        <is>
          <t>Priority Tier 2 (Balanced Opportunity)</t>
        </is>
      </c>
    </row>
    <row r="849">
      <c r="A849" s="23" t="n">
        <v>2</v>
      </c>
      <c r="B849" s="23" t="n">
        <v>845</v>
      </c>
      <c r="C849" s="23" t="n">
        <v>1845</v>
      </c>
      <c r="D849" s="23" t="inlineStr">
        <is>
          <t>1380605072</t>
        </is>
      </c>
      <c r="E849" s="11" t="inlineStr">
        <is>
          <t>National Capital Region (NCR)</t>
        </is>
      </c>
      <c r="F849" s="11" t="inlineStr">
        <is>
          <t>First District (Not a Province)</t>
        </is>
      </c>
      <c r="G849" s="11" t="inlineStr">
        <is>
          <t>City of Manila</t>
        </is>
      </c>
      <c r="H849" s="11" t="inlineStr">
        <is>
          <t>Barangay 369</t>
        </is>
      </c>
      <c r="I849" s="24" t="n">
        <v>14.62302</v>
      </c>
      <c r="J849" s="24" t="n">
        <v>120.987274</v>
      </c>
      <c r="K849" s="23" t="inlineStr">
        <is>
          <t>U</t>
        </is>
      </c>
      <c r="L849" s="25" t="n">
        <v>1785</v>
      </c>
      <c r="M849" s="26" t="n">
        <v>3.69</v>
      </c>
      <c r="N849" s="25">
        <f>ROUND(L849/M849, 0)</f>
        <v/>
      </c>
      <c r="O849" s="25">
        <f>ROUND(N849*'Methodology &amp; Assumptions'!$B$7, 0)</f>
        <v/>
      </c>
      <c r="P849" s="23" t="inlineStr">
        <is>
          <t>Single Carrier (Band n50, 100MHz TDD)</t>
        </is>
      </c>
      <c r="Q849" s="27">
        <f>ROUNDUP(O849/'Methodology &amp; Assumptions'!$B$8, 0)</f>
        <v/>
      </c>
      <c r="R849" s="27" t="n">
        <v>1</v>
      </c>
      <c r="S849" s="26" t="n">
        <v>0.87</v>
      </c>
      <c r="T849" s="26" t="n">
        <v>0.43</v>
      </c>
      <c r="U849" s="11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26" t="n">
        <v>56.53</v>
      </c>
      <c r="W849" s="26" t="n">
        <v>68.91</v>
      </c>
      <c r="X849" s="26">
        <f>ROUND(('Methodology &amp; Assumptions'!$B$5*V849) + ('Methodology &amp; Assumptions'!$B$6*W849), 2)</f>
        <v/>
      </c>
      <c r="Y849" s="28" t="n">
        <v>10.9</v>
      </c>
      <c r="Z849" s="11" t="inlineStr">
        <is>
          <t>Priority Tier 2 (Balanced Opportunity)</t>
        </is>
      </c>
    </row>
    <row r="850">
      <c r="A850" s="23" t="n">
        <v>2</v>
      </c>
      <c r="B850" s="23" t="n">
        <v>846</v>
      </c>
      <c r="C850" s="23" t="n">
        <v>1846</v>
      </c>
      <c r="D850" s="23" t="inlineStr">
        <is>
          <t>1380606175</t>
        </is>
      </c>
      <c r="E850" s="11" t="inlineStr">
        <is>
          <t>National Capital Region (NCR)</t>
        </is>
      </c>
      <c r="F850" s="11" t="inlineStr">
        <is>
          <t>First District (Not a Province)</t>
        </is>
      </c>
      <c r="G850" s="11" t="inlineStr">
        <is>
          <t>City of Manila</t>
        </is>
      </c>
      <c r="H850" s="11" t="inlineStr">
        <is>
          <t>Barangay 569</t>
        </is>
      </c>
      <c r="I850" s="24" t="n">
        <v>14.604596</v>
      </c>
      <c r="J850" s="24" t="n">
        <v>121.008734</v>
      </c>
      <c r="K850" s="23" t="inlineStr">
        <is>
          <t>U</t>
        </is>
      </c>
      <c r="L850" s="25" t="n">
        <v>2107</v>
      </c>
      <c r="M850" s="26" t="n">
        <v>4.48</v>
      </c>
      <c r="N850" s="25">
        <f>ROUND(L850/M850, 0)</f>
        <v/>
      </c>
      <c r="O850" s="25">
        <f>ROUND(N850*'Methodology &amp; Assumptions'!$B$7, 0)</f>
        <v/>
      </c>
      <c r="P850" s="23" t="inlineStr">
        <is>
          <t>Single Carrier (Band n50, 100MHz TDD)</t>
        </is>
      </c>
      <c r="Q850" s="27">
        <f>ROUNDUP(O850/'Methodology &amp; Assumptions'!$B$8, 0)</f>
        <v/>
      </c>
      <c r="R850" s="27" t="n">
        <v>1</v>
      </c>
      <c r="S850" s="26" t="n">
        <v>0.53</v>
      </c>
      <c r="T850" s="26" t="n">
        <v>0.3</v>
      </c>
      <c r="U850" s="11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26" t="n">
        <v>56.2</v>
      </c>
      <c r="W850" s="26" t="n">
        <v>69.23999999999999</v>
      </c>
      <c r="X850" s="26">
        <f>ROUND(('Methodology &amp; Assumptions'!$B$5*V850) + ('Methodology &amp; Assumptions'!$B$6*W850), 2)</f>
        <v/>
      </c>
      <c r="Y850" s="28" t="n">
        <v>10.9</v>
      </c>
      <c r="Z850" s="11" t="inlineStr">
        <is>
          <t>Priority Tier 2 (Balanced Opportunity)</t>
        </is>
      </c>
    </row>
    <row r="851">
      <c r="A851" s="23" t="n">
        <v>2</v>
      </c>
      <c r="B851" s="23" t="n">
        <v>847</v>
      </c>
      <c r="C851" s="23" t="n">
        <v>1847</v>
      </c>
      <c r="D851" s="23" t="inlineStr">
        <is>
          <t>0401005060</t>
        </is>
      </c>
      <c r="E851" s="11" t="inlineStr">
        <is>
          <t>Region IV-A (CALABARZON)</t>
        </is>
      </c>
      <c r="F851" s="11" t="inlineStr">
        <is>
          <t>Batangas</t>
        </is>
      </c>
      <c r="G851" s="11" t="inlineStr">
        <is>
          <t>Batangas City</t>
        </is>
      </c>
      <c r="H851" s="11" t="inlineStr">
        <is>
          <t>Barangay 14</t>
        </is>
      </c>
      <c r="I851" s="24" t="n">
        <v>13.759139</v>
      </c>
      <c r="J851" s="24" t="n">
        <v>121.056084</v>
      </c>
      <c r="K851" s="23" t="inlineStr">
        <is>
          <t>U</t>
        </is>
      </c>
      <c r="L851" s="25" t="n">
        <v>240</v>
      </c>
      <c r="M851" s="26" t="n">
        <v>3.6</v>
      </c>
      <c r="N851" s="25">
        <f>ROUND(L851/M851, 0)</f>
        <v/>
      </c>
      <c r="O851" s="25">
        <f>ROUND(N851*'Methodology &amp; Assumptions'!$B$7, 0)</f>
        <v/>
      </c>
      <c r="P851" s="23" t="inlineStr">
        <is>
          <t>Single Carrier (Band n50, 100MHz TDD)</t>
        </is>
      </c>
      <c r="Q851" s="27">
        <f>ROUNDUP(O851/'Methodology &amp; Assumptions'!$B$8, 0)</f>
        <v/>
      </c>
      <c r="R851" s="27" t="n">
        <v>1</v>
      </c>
      <c r="S851" s="26" t="n">
        <v>0.37</v>
      </c>
      <c r="T851" s="26" t="n">
        <v>0.36</v>
      </c>
      <c r="U851" s="11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26" t="n">
        <v>53.83</v>
      </c>
      <c r="W851" s="26" t="n">
        <v>71.59999999999999</v>
      </c>
      <c r="X851" s="26">
        <f>ROUND(('Methodology &amp; Assumptions'!$B$5*V851) + ('Methodology &amp; Assumptions'!$B$6*W851), 2)</f>
        <v/>
      </c>
      <c r="Y851" s="28" t="n">
        <v>7.2</v>
      </c>
      <c r="Z851" s="11" t="inlineStr">
        <is>
          <t>Priority Tier 2 (Balanced Opportunity)</t>
        </is>
      </c>
    </row>
    <row r="852">
      <c r="A852" s="23" t="n">
        <v>2</v>
      </c>
      <c r="B852" s="23" t="n">
        <v>848</v>
      </c>
      <c r="C852" s="23" t="n">
        <v>1848</v>
      </c>
      <c r="D852" s="23" t="inlineStr">
        <is>
          <t>1381400007</t>
        </is>
      </c>
      <c r="E852" s="11" t="inlineStr">
        <is>
          <t>National Capital Region (NCR)</t>
        </is>
      </c>
      <c r="F852" s="11" t="inlineStr">
        <is>
          <t>Second District (Not a Province)</t>
        </is>
      </c>
      <c r="G852" s="11" t="inlineStr">
        <is>
          <t>City of San Juan</t>
        </is>
      </c>
      <c r="H852" s="11" t="inlineStr">
        <is>
          <t>Isabelita</t>
        </is>
      </c>
      <c r="I852" s="24" t="n">
        <v>14.603687</v>
      </c>
      <c r="J852" s="24" t="n">
        <v>121.030604</v>
      </c>
      <c r="K852" s="23" t="inlineStr">
        <is>
          <t>U</t>
        </is>
      </c>
      <c r="L852" s="25" t="n">
        <v>1694</v>
      </c>
      <c r="M852" s="26" t="n">
        <v>3.66</v>
      </c>
      <c r="N852" s="25">
        <f>ROUND(L852/M852, 0)</f>
        <v/>
      </c>
      <c r="O852" s="25">
        <f>ROUND(N852*'Methodology &amp; Assumptions'!$B$7, 0)</f>
        <v/>
      </c>
      <c r="P852" s="23" t="inlineStr">
        <is>
          <t>Single Carrier (Band n50, 100MHz TDD)</t>
        </is>
      </c>
      <c r="Q852" s="27">
        <f>ROUNDUP(O852/'Methodology &amp; Assumptions'!$B$8, 0)</f>
        <v/>
      </c>
      <c r="R852" s="27" t="n">
        <v>1</v>
      </c>
      <c r="S852" s="26" t="n">
        <v>1.77</v>
      </c>
      <c r="T852" s="26" t="n">
        <v>0.04</v>
      </c>
      <c r="U852" s="11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26" t="n">
        <v>52.54</v>
      </c>
      <c r="W852" s="26" t="n">
        <v>72.91</v>
      </c>
      <c r="X852" s="26">
        <f>ROUND(('Methodology &amp; Assumptions'!$B$5*V852) + ('Methodology &amp; Assumptions'!$B$6*W852), 2)</f>
        <v/>
      </c>
      <c r="Y852" s="28" t="n">
        <v>10.9</v>
      </c>
      <c r="Z852" s="11" t="inlineStr">
        <is>
          <t>Priority Tier 2 (Balanced Opportunity)</t>
        </is>
      </c>
    </row>
    <row r="853">
      <c r="A853" s="23" t="n">
        <v>2</v>
      </c>
      <c r="B853" s="23" t="n">
        <v>849</v>
      </c>
      <c r="C853" s="23" t="n">
        <v>1849</v>
      </c>
      <c r="D853" s="23" t="inlineStr">
        <is>
          <t>0301402002</t>
        </is>
      </c>
      <c r="E853" s="11" t="inlineStr">
        <is>
          <t>Region III (Central Luzon)</t>
        </is>
      </c>
      <c r="F853" s="11" t="inlineStr">
        <is>
          <t>Bulacan</t>
        </is>
      </c>
      <c r="G853" s="11" t="inlineStr">
        <is>
          <t>Balagtas</t>
        </is>
      </c>
      <c r="H853" s="11" t="inlineStr">
        <is>
          <t>Borol 2nd</t>
        </is>
      </c>
      <c r="I853" s="24" t="n">
        <v>14.829267</v>
      </c>
      <c r="J853" s="24" t="n">
        <v>120.904977</v>
      </c>
      <c r="K853" s="23" t="inlineStr">
        <is>
          <t>U</t>
        </is>
      </c>
      <c r="L853" s="25" t="n">
        <v>8738</v>
      </c>
      <c r="M853" s="26" t="n">
        <v>3.5</v>
      </c>
      <c r="N853" s="25">
        <f>ROUND(L853/M853, 0)</f>
        <v/>
      </c>
      <c r="O853" s="25">
        <f>ROUND(N853*'Methodology &amp; Assumptions'!$B$7, 0)</f>
        <v/>
      </c>
      <c r="P853" s="23" t="inlineStr">
        <is>
          <t>Single Carrier (Band n50, 100MHz TDD)</t>
        </is>
      </c>
      <c r="Q853" s="27">
        <f>ROUNDUP(O853/'Methodology &amp; Assumptions'!$B$8, 0)</f>
        <v/>
      </c>
      <c r="R853" s="27" t="n">
        <v>1</v>
      </c>
      <c r="S853" s="26" t="n">
        <v>3.45</v>
      </c>
      <c r="T853" s="26" t="n">
        <v>0.38</v>
      </c>
      <c r="U853" s="11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26" t="n">
        <v>69.95999999999999</v>
      </c>
      <c r="W853" s="26" t="n">
        <v>55.47</v>
      </c>
      <c r="X853" s="26">
        <f>ROUND(('Methodology &amp; Assumptions'!$B$5*V853) + ('Methodology &amp; Assumptions'!$B$6*W853), 2)</f>
        <v/>
      </c>
      <c r="Y853" s="28" t="n">
        <v>8.300000000000001</v>
      </c>
      <c r="Z853" s="11" t="inlineStr">
        <is>
          <t>Priority Tier 2 (Balanced Opportunity)</t>
        </is>
      </c>
    </row>
    <row r="854">
      <c r="A854" s="23" t="n">
        <v>2</v>
      </c>
      <c r="B854" s="23" t="n">
        <v>850</v>
      </c>
      <c r="C854" s="23" t="n">
        <v>1850</v>
      </c>
      <c r="D854" s="23" t="inlineStr">
        <is>
          <t>1380900015</t>
        </is>
      </c>
      <c r="E854" s="11" t="inlineStr">
        <is>
          <t>National Capital Region (NCR)</t>
        </is>
      </c>
      <c r="F854" s="11" t="inlineStr">
        <is>
          <t>Third District (Not a Province)</t>
        </is>
      </c>
      <c r="G854" s="11" t="inlineStr">
        <is>
          <t>City of Navotas</t>
        </is>
      </c>
      <c r="H854" s="11" t="inlineStr">
        <is>
          <t>NBBS Dagat-dagatan</t>
        </is>
      </c>
      <c r="I854" s="24" t="n">
        <v>14.646701</v>
      </c>
      <c r="J854" s="24" t="n">
        <v>120.959708</v>
      </c>
      <c r="K854" s="23" t="inlineStr">
        <is>
          <t>U</t>
        </is>
      </c>
      <c r="L854" s="25" t="n">
        <v>33389</v>
      </c>
      <c r="M854" s="26" t="n">
        <v>3.52</v>
      </c>
      <c r="N854" s="25">
        <f>ROUND(L854/M854, 0)</f>
        <v/>
      </c>
      <c r="O854" s="25">
        <f>ROUND(N854*'Methodology &amp; Assumptions'!$B$7, 0)</f>
        <v/>
      </c>
      <c r="P854" s="23" t="inlineStr">
        <is>
          <t>Single Carrier (Band n50, 100MHz TDD)</t>
        </is>
      </c>
      <c r="Q854" s="27">
        <f>ROUNDUP(O854/'Methodology &amp; Assumptions'!$B$8, 0)</f>
        <v/>
      </c>
      <c r="R854" s="27" t="n">
        <v>1</v>
      </c>
      <c r="S854" s="26" t="n">
        <v>1.45</v>
      </c>
      <c r="T854" s="26" t="n">
        <v>0.46</v>
      </c>
      <c r="U854" s="11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26" t="n">
        <v>64.84999999999999</v>
      </c>
      <c r="W854" s="26" t="n">
        <v>60.57</v>
      </c>
      <c r="X854" s="26">
        <f>ROUND(('Methodology &amp; Assumptions'!$B$5*V854) + ('Methodology &amp; Assumptions'!$B$6*W854), 2)</f>
        <v/>
      </c>
      <c r="Y854" s="28" t="n">
        <v>10.9</v>
      </c>
      <c r="Z854" s="11" t="inlineStr">
        <is>
          <t>Priority Tier 2 (Balanced Opportunity)</t>
        </is>
      </c>
    </row>
    <row r="855">
      <c r="A855" s="23" t="n">
        <v>2</v>
      </c>
      <c r="B855" s="23" t="n">
        <v>851</v>
      </c>
      <c r="C855" s="23" t="n">
        <v>1851</v>
      </c>
      <c r="D855" s="23" t="inlineStr">
        <is>
          <t>1380611031</t>
        </is>
      </c>
      <c r="E855" s="11" t="inlineStr">
        <is>
          <t>National Capital Region (NCR)</t>
        </is>
      </c>
      <c r="F855" s="11" t="inlineStr">
        <is>
          <t>First District (Not a Province)</t>
        </is>
      </c>
      <c r="G855" s="11" t="inlineStr">
        <is>
          <t>City of Manila</t>
        </is>
      </c>
      <c r="H855" s="11" t="inlineStr">
        <is>
          <t>Barangay 817</t>
        </is>
      </c>
      <c r="I855" s="24" t="n">
        <v>14.579508</v>
      </c>
      <c r="J855" s="24" t="n">
        <v>121.001649</v>
      </c>
      <c r="K855" s="23" t="inlineStr">
        <is>
          <t>U</t>
        </is>
      </c>
      <c r="L855" s="25" t="n">
        <v>1395</v>
      </c>
      <c r="M855" s="26" t="n">
        <v>3.24</v>
      </c>
      <c r="N855" s="25">
        <f>ROUND(L855/M855, 0)</f>
        <v/>
      </c>
      <c r="O855" s="25">
        <f>ROUND(N855*'Methodology &amp; Assumptions'!$B$7, 0)</f>
        <v/>
      </c>
      <c r="P855" s="23" t="inlineStr">
        <is>
          <t>Single Carrier (Band n50, 100MHz TDD)</t>
        </is>
      </c>
      <c r="Q855" s="27">
        <f>ROUNDUP(O855/'Methodology &amp; Assumptions'!$B$8, 0)</f>
        <v/>
      </c>
      <c r="R855" s="27" t="n">
        <v>1</v>
      </c>
      <c r="S855" s="26" t="n">
        <v>0.5600000000000001</v>
      </c>
      <c r="T855" s="26" t="n">
        <v>0.37</v>
      </c>
      <c r="U855" s="11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26" t="n">
        <v>54.91</v>
      </c>
      <c r="W855" s="26" t="n">
        <v>70.52</v>
      </c>
      <c r="X855" s="26">
        <f>ROUND(('Methodology &amp; Assumptions'!$B$5*V855) + ('Methodology &amp; Assumptions'!$B$6*W855), 2)</f>
        <v/>
      </c>
      <c r="Y855" s="28" t="n">
        <v>10.9</v>
      </c>
      <c r="Z855" s="11" t="inlineStr">
        <is>
          <t>Priority Tier 2 (Balanced Opportunity)</t>
        </is>
      </c>
    </row>
    <row r="856">
      <c r="A856" s="23" t="n">
        <v>2</v>
      </c>
      <c r="B856" s="23" t="n">
        <v>852</v>
      </c>
      <c r="C856" s="23" t="n">
        <v>1852</v>
      </c>
      <c r="D856" s="23" t="inlineStr">
        <is>
          <t>0500507009</t>
        </is>
      </c>
      <c r="E856" s="11" t="inlineStr">
        <is>
          <t>Region V (Bicol Region)</t>
        </is>
      </c>
      <c r="F856" s="11" t="inlineStr">
        <is>
          <t>Albay</t>
        </is>
      </c>
      <c r="G856" s="11" t="inlineStr">
        <is>
          <t>Libon</t>
        </is>
      </c>
      <c r="H856" s="11" t="inlineStr">
        <is>
          <t>Zone VI</t>
        </is>
      </c>
      <c r="I856" s="24" t="n">
        <v>13.307093</v>
      </c>
      <c r="J856" s="24" t="n">
        <v>123.413123</v>
      </c>
      <c r="K856" s="23" t="inlineStr">
        <is>
          <t>R</t>
        </is>
      </c>
      <c r="L856" s="25" t="n">
        <v>561</v>
      </c>
      <c r="M856" s="26" t="n">
        <v>4.1</v>
      </c>
      <c r="N856" s="25">
        <f>ROUND(L856/M856, 0)</f>
        <v/>
      </c>
      <c r="O856" s="25">
        <f>ROUND(N856*'Methodology &amp; Assumptions'!$B$7, 0)</f>
        <v/>
      </c>
      <c r="P856" s="23" t="inlineStr">
        <is>
          <t>Single Carrier (Band n50, 100MHz TDD)</t>
        </is>
      </c>
      <c r="Q856" s="27">
        <f>ROUNDUP(O856/'Methodology &amp; Assumptions'!$B$8, 0)</f>
        <v/>
      </c>
      <c r="R856" s="27" t="n">
        <v>1</v>
      </c>
      <c r="S856" s="26" t="n">
        <v>2.93</v>
      </c>
      <c r="T856" s="26" t="n">
        <v>2.32</v>
      </c>
      <c r="U856" s="11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26" t="n">
        <v>54.89</v>
      </c>
      <c r="W856" s="26" t="n">
        <v>70.52</v>
      </c>
      <c r="X856" s="26">
        <f>ROUND(('Methodology &amp; Assumptions'!$B$5*V856) + ('Methodology &amp; Assumptions'!$B$6*W856), 2)</f>
        <v/>
      </c>
      <c r="Y856" s="28" t="n">
        <v>23.7</v>
      </c>
      <c r="Z856" s="11" t="inlineStr">
        <is>
          <t>Priority Tier 2 (Balanced Opportunity)</t>
        </is>
      </c>
    </row>
    <row r="857">
      <c r="A857" s="23" t="n">
        <v>2</v>
      </c>
      <c r="B857" s="23" t="n">
        <v>853</v>
      </c>
      <c r="C857" s="23" t="n">
        <v>1853</v>
      </c>
      <c r="D857" s="23" t="inlineStr">
        <is>
          <t>1102315020</t>
        </is>
      </c>
      <c r="E857" s="11" t="inlineStr">
        <is>
          <t>Region XI (Davao Region)</t>
        </is>
      </c>
      <c r="F857" s="11" t="inlineStr">
        <is>
          <t>Davao del Norte</t>
        </is>
      </c>
      <c r="G857" s="11" t="inlineStr">
        <is>
          <t>City of Panabo</t>
        </is>
      </c>
      <c r="H857" s="11" t="inlineStr">
        <is>
          <t>Malativas</t>
        </is>
      </c>
      <c r="I857" s="24" t="n">
        <v>7.293904</v>
      </c>
      <c r="J857" s="24" t="n">
        <v>125.690303</v>
      </c>
      <c r="K857" s="23" t="inlineStr">
        <is>
          <t>R</t>
        </is>
      </c>
      <c r="L857" s="25" t="n">
        <v>2625</v>
      </c>
      <c r="M857" s="26" t="n">
        <v>3.7</v>
      </c>
      <c r="N857" s="25">
        <f>ROUND(L857/M857, 0)</f>
        <v/>
      </c>
      <c r="O857" s="25">
        <f>ROUND(N857*'Methodology &amp; Assumptions'!$B$7, 0)</f>
        <v/>
      </c>
      <c r="P857" s="23" t="inlineStr">
        <is>
          <t>Single Carrier (Band n50, 100MHz TDD)</t>
        </is>
      </c>
      <c r="Q857" s="27">
        <f>ROUNDUP(O857/'Methodology &amp; Assumptions'!$B$8, 0)</f>
        <v/>
      </c>
      <c r="R857" s="27" t="n">
        <v>1</v>
      </c>
      <c r="S857" s="26" t="n">
        <v>1.34</v>
      </c>
      <c r="T857" s="26" t="n">
        <v>1.29</v>
      </c>
      <c r="U857" s="11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26" t="n">
        <v>80.77</v>
      </c>
      <c r="W857" s="26" t="n">
        <v>44.62</v>
      </c>
      <c r="X857" s="26">
        <f>ROUND(('Methodology &amp; Assumptions'!$B$5*V857) + ('Methodology &amp; Assumptions'!$B$6*W857), 2)</f>
        <v/>
      </c>
      <c r="Y857" s="28" t="n">
        <v>17.4</v>
      </c>
      <c r="Z857" s="11" t="inlineStr">
        <is>
          <t>Priority Tier 2 (Balanced Opportunity)</t>
        </is>
      </c>
    </row>
    <row r="858">
      <c r="A858" s="23" t="n">
        <v>2</v>
      </c>
      <c r="B858" s="23" t="n">
        <v>854</v>
      </c>
      <c r="C858" s="23" t="n">
        <v>1854</v>
      </c>
      <c r="D858" s="23" t="inlineStr">
        <is>
          <t>1908705019</t>
        </is>
      </c>
      <c r="E858" s="11" t="inlineStr">
        <is>
          <t>Bangsamoro Autonomous Region In Muslim Mindanao (BARMM)</t>
        </is>
      </c>
      <c r="F858" s="11" t="inlineStr">
        <is>
          <t>Maguindanao del Norte</t>
        </is>
      </c>
      <c r="G858" s="11" t="inlineStr">
        <is>
          <t>Datu Odin Sinsuat</t>
        </is>
      </c>
      <c r="H858" s="11" t="inlineStr">
        <is>
          <t>Labungan</t>
        </is>
      </c>
      <c r="I858" s="24" t="n">
        <v>7.111227</v>
      </c>
      <c r="J858" s="24" t="n">
        <v>124.253274</v>
      </c>
      <c r="K858" s="23" t="inlineStr">
        <is>
          <t>R</t>
        </is>
      </c>
      <c r="L858" s="25" t="n">
        <v>6968</v>
      </c>
      <c r="M858" s="26" t="n">
        <v>4.3</v>
      </c>
      <c r="N858" s="25">
        <f>ROUND(L858/M858, 0)</f>
        <v/>
      </c>
      <c r="O858" s="25">
        <f>ROUND(N858*'Methodology &amp; Assumptions'!$B$7, 0)</f>
        <v/>
      </c>
      <c r="P858" s="23" t="inlineStr">
        <is>
          <t>Single Carrier (Band n50, 100MHz TDD)</t>
        </is>
      </c>
      <c r="Q858" s="27">
        <f>ROUNDUP(O858/'Methodology &amp; Assumptions'!$B$8, 0)</f>
        <v/>
      </c>
      <c r="R858" s="27" t="n">
        <v>1</v>
      </c>
      <c r="S858" s="26" t="n">
        <v>60.82</v>
      </c>
      <c r="T858" s="26" t="n">
        <v>60.64</v>
      </c>
      <c r="U858" s="11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26" t="n">
        <v>59.06</v>
      </c>
      <c r="W858" s="26" t="n">
        <v>66.34</v>
      </c>
      <c r="X858" s="26">
        <f>ROUND(('Methodology &amp; Assumptions'!$B$5*V858) + ('Methodology &amp; Assumptions'!$B$6*W858), 2)</f>
        <v/>
      </c>
      <c r="Y858" s="28" t="n">
        <v>11</v>
      </c>
      <c r="Z858" s="11" t="inlineStr">
        <is>
          <t>Priority Tier 2 (Balanced Opportunity)</t>
        </is>
      </c>
    </row>
    <row r="859">
      <c r="A859" s="23" t="n">
        <v>2</v>
      </c>
      <c r="B859" s="23" t="n">
        <v>855</v>
      </c>
      <c r="C859" s="23" t="n">
        <v>1855</v>
      </c>
      <c r="D859" s="23" t="inlineStr">
        <is>
          <t>1381300040</t>
        </is>
      </c>
      <c r="E859" s="11" t="inlineStr">
        <is>
          <t>National Capital Region (NCR)</t>
        </is>
      </c>
      <c r="F859" s="11" t="inlineStr">
        <is>
          <t>Second District (Not a Province)</t>
        </is>
      </c>
      <c r="G859" s="11" t="inlineStr">
        <is>
          <t>Quezon City</t>
        </is>
      </c>
      <c r="H859" s="11" t="inlineStr">
        <is>
          <t>Escopa IV</t>
        </is>
      </c>
      <c r="I859" s="24" t="n">
        <v>14.625314</v>
      </c>
      <c r="J859" s="24" t="n">
        <v>121.073873</v>
      </c>
      <c r="K859" s="23" t="inlineStr">
        <is>
          <t>U</t>
        </is>
      </c>
      <c r="L859" s="25" t="n">
        <v>1911</v>
      </c>
      <c r="M859" s="26" t="n">
        <v>3.9</v>
      </c>
      <c r="N859" s="25">
        <f>ROUND(L859/M859, 0)</f>
        <v/>
      </c>
      <c r="O859" s="25">
        <f>ROUND(N859*'Methodology &amp; Assumptions'!$B$7, 0)</f>
        <v/>
      </c>
      <c r="P859" s="23" t="inlineStr">
        <is>
          <t>Single Carrier (Band n50, 100MHz TDD)</t>
        </is>
      </c>
      <c r="Q859" s="27">
        <f>ROUNDUP(O859/'Methodology &amp; Assumptions'!$B$8, 0)</f>
        <v/>
      </c>
      <c r="R859" s="27" t="n">
        <v>1</v>
      </c>
      <c r="S859" s="26" t="n">
        <v>0.53</v>
      </c>
      <c r="T859" s="26" t="n">
        <v>0.52</v>
      </c>
      <c r="U859" s="11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26" t="n">
        <v>56.84</v>
      </c>
      <c r="W859" s="26" t="n">
        <v>68.56</v>
      </c>
      <c r="X859" s="26">
        <f>ROUND(('Methodology &amp; Assumptions'!$B$5*V859) + ('Methodology &amp; Assumptions'!$B$6*W859), 2)</f>
        <v/>
      </c>
      <c r="Y859" s="28" t="n">
        <v>10.9</v>
      </c>
      <c r="Z859" s="11" t="inlineStr">
        <is>
          <t>Priority Tier 2 (Balanced Opportunity)</t>
        </is>
      </c>
    </row>
    <row r="860">
      <c r="A860" s="23" t="n">
        <v>2</v>
      </c>
      <c r="B860" s="23" t="n">
        <v>856</v>
      </c>
      <c r="C860" s="23" t="n">
        <v>1856</v>
      </c>
      <c r="D860" s="23" t="inlineStr">
        <is>
          <t>1402701009</t>
        </is>
      </c>
      <c r="E860" s="11" t="inlineStr">
        <is>
          <t>Cordillera Administrative Region (CAR)</t>
        </is>
      </c>
      <c r="F860" s="11" t="inlineStr">
        <is>
          <t>Ifugao</t>
        </is>
      </c>
      <c r="G860" s="11" t="inlineStr">
        <is>
          <t>Banaue</t>
        </is>
      </c>
      <c r="H860" s="11" t="inlineStr">
        <is>
          <t>Cambulo</t>
        </is>
      </c>
      <c r="I860" s="24" t="n">
        <v>16.976186</v>
      </c>
      <c r="J860" s="24" t="n">
        <v>121.10631</v>
      </c>
      <c r="K860" s="23" t="inlineStr">
        <is>
          <t>R</t>
        </is>
      </c>
      <c r="L860" s="25" t="n">
        <v>1156</v>
      </c>
      <c r="M860" s="26" t="n">
        <v>3.9</v>
      </c>
      <c r="N860" s="25">
        <f>ROUND(L860/M860, 0)</f>
        <v/>
      </c>
      <c r="O860" s="25">
        <f>ROUND(N860*'Methodology &amp; Assumptions'!$B$7, 0)</f>
        <v/>
      </c>
      <c r="P860" s="23" t="inlineStr">
        <is>
          <t>Single Carrier (Band n50, 100MHz TDD)</t>
        </is>
      </c>
      <c r="Q860" s="27">
        <f>ROUNDUP(O860/'Methodology &amp; Assumptions'!$B$8, 0)</f>
        <v/>
      </c>
      <c r="R860" s="27" t="n">
        <v>1</v>
      </c>
      <c r="S860" s="26" t="n">
        <v>8.720000000000001</v>
      </c>
      <c r="T860" s="26" t="n">
        <v>5.76</v>
      </c>
      <c r="U860" s="11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26" t="n">
        <v>48.02</v>
      </c>
      <c r="W860" s="26" t="n">
        <v>77.37</v>
      </c>
      <c r="X860" s="26">
        <f>ROUND(('Methodology &amp; Assumptions'!$B$5*V860) + ('Methodology &amp; Assumptions'!$B$6*W860), 2)</f>
        <v/>
      </c>
      <c r="Y860" s="28" t="n">
        <v>10.9</v>
      </c>
      <c r="Z860" s="11" t="inlineStr">
        <is>
          <t>Priority Tier 2 (Balanced Opportunity)</t>
        </is>
      </c>
    </row>
    <row r="861">
      <c r="A861" s="23" t="n">
        <v>2</v>
      </c>
      <c r="B861" s="23" t="n">
        <v>857</v>
      </c>
      <c r="C861" s="23" t="n">
        <v>1857</v>
      </c>
      <c r="D861" s="23" t="inlineStr">
        <is>
          <t>0405808005</t>
        </is>
      </c>
      <c r="E861" s="11" t="inlineStr">
        <is>
          <t>Region IV-A (CALABARZON)</t>
        </is>
      </c>
      <c r="F861" s="11" t="inlineStr">
        <is>
          <t>Rizal</t>
        </is>
      </c>
      <c r="G861" s="11" t="inlineStr">
        <is>
          <t>Rodriguez</t>
        </is>
      </c>
      <c r="H861" s="11" t="inlineStr">
        <is>
          <t>Manggahan</t>
        </is>
      </c>
      <c r="I861" s="24" t="n">
        <v>14.72421</v>
      </c>
      <c r="J861" s="24" t="n">
        <v>121.1429</v>
      </c>
      <c r="K861" s="23" t="inlineStr">
        <is>
          <t>U</t>
        </is>
      </c>
      <c r="L861" s="25" t="n">
        <v>17089</v>
      </c>
      <c r="M861" s="26" t="n">
        <v>3.6</v>
      </c>
      <c r="N861" s="25">
        <f>ROUND(L861/M861, 0)</f>
        <v/>
      </c>
      <c r="O861" s="25">
        <f>ROUND(N861*'Methodology &amp; Assumptions'!$B$7, 0)</f>
        <v/>
      </c>
      <c r="P861" s="23" t="inlineStr">
        <is>
          <t>Single Carrier (Band n50, 100MHz TDD)</t>
        </is>
      </c>
      <c r="Q861" s="27">
        <f>ROUNDUP(O861/'Methodology &amp; Assumptions'!$B$8, 0)</f>
        <v/>
      </c>
      <c r="R861" s="27" t="n">
        <v>1</v>
      </c>
      <c r="S861" s="26" t="n">
        <v>0.55</v>
      </c>
      <c r="T861" s="26" t="n">
        <v>0.33</v>
      </c>
      <c r="U861" s="11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26" t="n">
        <v>78.26000000000001</v>
      </c>
      <c r="W861" s="26" t="n">
        <v>47.13</v>
      </c>
      <c r="X861" s="26">
        <f>ROUND(('Methodology &amp; Assumptions'!$B$5*V861) + ('Methodology &amp; Assumptions'!$B$6*W861), 2)</f>
        <v/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2</v>
      </c>
      <c r="B862" s="23" t="n">
        <v>858</v>
      </c>
      <c r="C862" s="23" t="n">
        <v>1858</v>
      </c>
      <c r="D862" s="23" t="inlineStr">
        <is>
          <t>1380614021</t>
        </is>
      </c>
      <c r="E862" s="11" t="inlineStr">
        <is>
          <t>National Capital Region (NCR)</t>
        </is>
      </c>
      <c r="F862" s="11" t="inlineStr">
        <is>
          <t>First District (Not a Province)</t>
        </is>
      </c>
      <c r="G862" s="11" t="inlineStr">
        <is>
          <t>City of Manila</t>
        </is>
      </c>
      <c r="H862" s="11" t="inlineStr">
        <is>
          <t>Barangay 765</t>
        </is>
      </c>
      <c r="I862" s="24" t="n">
        <v>14.569839</v>
      </c>
      <c r="J862" s="24" t="n">
        <v>121.005652</v>
      </c>
      <c r="K862" s="23" t="inlineStr">
        <is>
          <t>U</t>
        </is>
      </c>
      <c r="L862" s="25" t="n">
        <v>2215</v>
      </c>
      <c r="M862" s="26" t="n">
        <v>4.09</v>
      </c>
      <c r="N862" s="25">
        <f>ROUND(L862/M862, 0)</f>
        <v/>
      </c>
      <c r="O862" s="25">
        <f>ROUND(N862*'Methodology &amp; Assumptions'!$B$7, 0)</f>
        <v/>
      </c>
      <c r="P862" s="23" t="inlineStr">
        <is>
          <t>Single Carrier (Band n50, 100MHz TDD)</t>
        </is>
      </c>
      <c r="Q862" s="27">
        <f>ROUNDUP(O862/'Methodology &amp; Assumptions'!$B$8, 0)</f>
        <v/>
      </c>
      <c r="R862" s="27" t="n">
        <v>1</v>
      </c>
      <c r="S862" s="26" t="n">
        <v>1.25</v>
      </c>
      <c r="T862" s="26" t="n">
        <v>0.15</v>
      </c>
      <c r="U862" s="11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26" t="n">
        <v>56.87</v>
      </c>
      <c r="W862" s="26" t="n">
        <v>68.5</v>
      </c>
      <c r="X862" s="26">
        <f>ROUND(('Methodology &amp; Assumptions'!$B$5*V862) + ('Methodology &amp; Assumptions'!$B$6*W862), 2)</f>
        <v/>
      </c>
      <c r="Y862" s="28" t="n">
        <v>10.9</v>
      </c>
      <c r="Z862" s="11" t="inlineStr">
        <is>
          <t>Priority Tier 2 (Balanced Opportunity)</t>
        </is>
      </c>
    </row>
    <row r="863">
      <c r="A863" s="23" t="n">
        <v>2</v>
      </c>
      <c r="B863" s="23" t="n">
        <v>859</v>
      </c>
      <c r="C863" s="23" t="n">
        <v>1859</v>
      </c>
      <c r="D863" s="23" t="inlineStr">
        <is>
          <t>1380601035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35</t>
        </is>
      </c>
      <c r="I863" s="24" t="n">
        <v>14.63804</v>
      </c>
      <c r="J863" s="24" t="n">
        <v>120.9725</v>
      </c>
      <c r="K863" s="23" t="inlineStr">
        <is>
          <t>U</t>
        </is>
      </c>
      <c r="L863" s="25" t="n">
        <v>2289</v>
      </c>
      <c r="M863" s="26" t="n">
        <v>4.67</v>
      </c>
      <c r="N863" s="25">
        <f>ROUND(L863/M863, 0)</f>
        <v/>
      </c>
      <c r="O863" s="25">
        <f>ROUND(N863*'Methodology &amp; Assumptions'!$B$7, 0)</f>
        <v/>
      </c>
      <c r="P863" s="23" t="inlineStr">
        <is>
          <t>Single Carrier (Band n50, 100MHz TDD)</t>
        </is>
      </c>
      <c r="Q863" s="27">
        <f>ROUNDUP(O863/'Methodology &amp; Assumptions'!$B$8, 0)</f>
        <v/>
      </c>
      <c r="R863" s="27" t="n">
        <v>1</v>
      </c>
      <c r="S863" s="26" t="n">
        <v>1.24</v>
      </c>
      <c r="T863" s="26" t="n">
        <v>0.8</v>
      </c>
      <c r="U863" s="11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26" t="n">
        <v>55.3</v>
      </c>
      <c r="W863" s="26" t="n">
        <v>70.08</v>
      </c>
      <c r="X863" s="26">
        <f>ROUND(('Methodology &amp; Assumptions'!$B$5*V863) + ('Methodology &amp; Assumptions'!$B$6*W863), 2)</f>
        <v/>
      </c>
      <c r="Y863" s="28" t="n">
        <v>10.9</v>
      </c>
      <c r="Z863" s="11" t="inlineStr">
        <is>
          <t>Priority Tier 2 (Balanced Opportunity)</t>
        </is>
      </c>
    </row>
    <row r="864">
      <c r="A864" s="23" t="n">
        <v>2</v>
      </c>
      <c r="B864" s="23" t="n">
        <v>860</v>
      </c>
      <c r="C864" s="23" t="n">
        <v>1860</v>
      </c>
      <c r="D864" s="23" t="inlineStr">
        <is>
          <t>1380601142</t>
        </is>
      </c>
      <c r="E864" s="11" t="inlineStr">
        <is>
          <t>National Capital Region (NCR)</t>
        </is>
      </c>
      <c r="F864" s="11" t="inlineStr">
        <is>
          <t>First District (Not a Province)</t>
        </is>
      </c>
      <c r="G864" s="11" t="inlineStr">
        <is>
          <t>City of Manila</t>
        </is>
      </c>
      <c r="H864" s="11" t="inlineStr">
        <is>
          <t>Barangay 142</t>
        </is>
      </c>
      <c r="I864" s="24" t="n">
        <v>14.633283</v>
      </c>
      <c r="J864" s="24" t="n">
        <v>120.967076</v>
      </c>
      <c r="K864" s="23" t="inlineStr">
        <is>
          <t>U</t>
        </is>
      </c>
      <c r="L864" s="25" t="n">
        <v>1721</v>
      </c>
      <c r="M864" s="26" t="n">
        <v>3.99</v>
      </c>
      <c r="N864" s="25">
        <f>ROUND(L864/M864, 0)</f>
        <v/>
      </c>
      <c r="O864" s="25">
        <f>ROUND(N864*'Methodology &amp; Assumptions'!$B$7, 0)</f>
        <v/>
      </c>
      <c r="P864" s="23" t="inlineStr">
        <is>
          <t>Single Carrier (Band n50, 100MHz TDD)</t>
        </is>
      </c>
      <c r="Q864" s="27">
        <f>ROUNDUP(O864/'Methodology &amp; Assumptions'!$B$8, 0)</f>
        <v/>
      </c>
      <c r="R864" s="27" t="n">
        <v>1</v>
      </c>
      <c r="S864" s="26" t="n">
        <v>0.98</v>
      </c>
      <c r="T864" s="26" t="n">
        <v>0.4</v>
      </c>
      <c r="U864" s="11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26" t="n">
        <v>54.37</v>
      </c>
      <c r="W864" s="26" t="n">
        <v>71.01000000000001</v>
      </c>
      <c r="X864" s="26">
        <f>ROUND(('Methodology &amp; Assumptions'!$B$5*V864) + ('Methodology &amp; Assumptions'!$B$6*W864), 2)</f>
        <v/>
      </c>
      <c r="Y864" s="28" t="n">
        <v>10.9</v>
      </c>
      <c r="Z864" s="11" t="inlineStr">
        <is>
          <t>Priority Tier 2 (Balanced Opportunity)</t>
        </is>
      </c>
    </row>
    <row r="865">
      <c r="A865" s="23" t="n">
        <v>2</v>
      </c>
      <c r="B865" s="23" t="n">
        <v>861</v>
      </c>
      <c r="C865" s="23" t="n">
        <v>1861</v>
      </c>
      <c r="D865" s="23" t="inlineStr">
        <is>
          <t>0201515021</t>
        </is>
      </c>
      <c r="E865" s="11" t="inlineStr">
        <is>
          <t>Region II (Cagayan Valley)</t>
        </is>
      </c>
      <c r="F865" s="11" t="inlineStr">
        <is>
          <t>Cagayan</t>
        </is>
      </c>
      <c r="G865" s="11" t="inlineStr">
        <is>
          <t>Iguig</t>
        </is>
      </c>
      <c r="H865" s="11" t="inlineStr">
        <is>
          <t>San Lorenzo</t>
        </is>
      </c>
      <c r="I865" s="24" t="n">
        <v>17.7785</v>
      </c>
      <c r="J865" s="24" t="n">
        <v>121.7597</v>
      </c>
      <c r="K865" s="23" t="inlineStr">
        <is>
          <t>R</t>
        </is>
      </c>
      <c r="L865" s="25" t="n">
        <v>482</v>
      </c>
      <c r="M865" s="26" t="n">
        <v>3.9</v>
      </c>
      <c r="N865" s="25">
        <f>ROUND(L865/M865, 0)</f>
        <v/>
      </c>
      <c r="O865" s="25">
        <f>ROUND(N865*'Methodology &amp; Assumptions'!$B$7, 0)</f>
        <v/>
      </c>
      <c r="P865" s="23" t="inlineStr">
        <is>
          <t>Single Carrier (Band n50, 100MHz TDD)</t>
        </is>
      </c>
      <c r="Q865" s="27">
        <f>ROUNDUP(O865/'Methodology &amp; Assumptions'!$B$8, 0)</f>
        <v/>
      </c>
      <c r="R865" s="27" t="n">
        <v>1</v>
      </c>
      <c r="S865" s="26" t="n">
        <v>7.5</v>
      </c>
      <c r="T865" s="26" t="n">
        <v>2.92</v>
      </c>
      <c r="U865" s="11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26" t="n">
        <v>44.64</v>
      </c>
      <c r="W865" s="26" t="n">
        <v>80.73999999999999</v>
      </c>
      <c r="X865" s="26">
        <f>ROUND(('Methodology &amp; Assumptions'!$B$5*V865) + ('Methodology &amp; Assumptions'!$B$6*W865), 2)</f>
        <v/>
      </c>
      <c r="Y865" s="28" t="n">
        <v>8.300000000000001</v>
      </c>
      <c r="Z865" s="11" t="inlineStr">
        <is>
          <t>Priority Tier 2 (Balanced Opportunity)</t>
        </is>
      </c>
    </row>
    <row r="866">
      <c r="A866" s="23" t="n">
        <v>2</v>
      </c>
      <c r="B866" s="23" t="n">
        <v>862</v>
      </c>
      <c r="C866" s="23" t="n">
        <v>1862</v>
      </c>
      <c r="D866" s="23" t="inlineStr">
        <is>
          <t>0304902008</t>
        </is>
      </c>
      <c r="E866" s="11" t="inlineStr">
        <is>
          <t>Region III (Central Luzon)</t>
        </is>
      </c>
      <c r="F866" s="11" t="inlineStr">
        <is>
          <t>Nueva Ecija</t>
        </is>
      </c>
      <c r="G866" s="11" t="inlineStr">
        <is>
          <t>Bongabon</t>
        </is>
      </c>
      <c r="H866" s="11" t="inlineStr">
        <is>
          <t>Curva</t>
        </is>
      </c>
      <c r="I866" s="24" t="n">
        <v>15.623784</v>
      </c>
      <c r="J866" s="24" t="n">
        <v>121.137306</v>
      </c>
      <c r="K866" s="23" t="inlineStr">
        <is>
          <t>R</t>
        </is>
      </c>
      <c r="L866" s="25" t="n">
        <v>4163</v>
      </c>
      <c r="M866" s="26" t="n">
        <v>3.5</v>
      </c>
      <c r="N866" s="25">
        <f>ROUND(L866/M866, 0)</f>
        <v/>
      </c>
      <c r="O866" s="25">
        <f>ROUND(N866*'Methodology &amp; Assumptions'!$B$7, 0)</f>
        <v/>
      </c>
      <c r="P866" s="23" t="inlineStr">
        <is>
          <t>Single Carrier (Band n50, 100MHz TDD)</t>
        </is>
      </c>
      <c r="Q866" s="27">
        <f>ROUNDUP(O866/'Methodology &amp; Assumptions'!$B$8, 0)</f>
        <v/>
      </c>
      <c r="R866" s="27" t="n">
        <v>1</v>
      </c>
      <c r="S866" s="26" t="n">
        <v>0.99</v>
      </c>
      <c r="T866" s="26" t="n">
        <v>0.99</v>
      </c>
      <c r="U866" s="11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26" t="n">
        <v>85.06</v>
      </c>
      <c r="W866" s="26" t="n">
        <v>40.3</v>
      </c>
      <c r="X866" s="26">
        <f>ROUND(('Methodology &amp; Assumptions'!$B$5*V866) + ('Methodology &amp; Assumptions'!$B$6*W866), 2)</f>
        <v/>
      </c>
      <c r="Y866" s="28" t="n">
        <v>8.300000000000001</v>
      </c>
      <c r="Z866" s="11" t="inlineStr">
        <is>
          <t>Priority Tier 2 (Balanced Opportunity)</t>
        </is>
      </c>
    </row>
    <row r="867">
      <c r="A867" s="23" t="n">
        <v>2</v>
      </c>
      <c r="B867" s="23" t="n">
        <v>863</v>
      </c>
      <c r="C867" s="23" t="n">
        <v>1863</v>
      </c>
      <c r="D867" s="23" t="inlineStr">
        <is>
          <t>0401012032</t>
        </is>
      </c>
      <c r="E867" s="11" t="inlineStr">
        <is>
          <t>Region IV-A (CALABARZON)</t>
        </is>
      </c>
      <c r="F867" s="11" t="inlineStr">
        <is>
          <t>Batangas</t>
        </is>
      </c>
      <c r="G867" s="11" t="inlineStr">
        <is>
          <t>Lemery</t>
        </is>
      </c>
      <c r="H867" s="11" t="inlineStr">
        <is>
          <t>District I</t>
        </is>
      </c>
      <c r="I867" s="24" t="n">
        <v>13.877417</v>
      </c>
      <c r="J867" s="24" t="n">
        <v>120.915196</v>
      </c>
      <c r="K867" s="23" t="inlineStr">
        <is>
          <t>R</t>
        </is>
      </c>
      <c r="L867" s="25" t="n">
        <v>1364</v>
      </c>
      <c r="M867" s="26" t="n">
        <v>3.6</v>
      </c>
      <c r="N867" s="25">
        <f>ROUND(L867/M867, 0)</f>
        <v/>
      </c>
      <c r="O867" s="25">
        <f>ROUND(N867*'Methodology &amp; Assumptions'!$B$7, 0)</f>
        <v/>
      </c>
      <c r="P867" s="23" t="inlineStr">
        <is>
          <t>Single Carrier (Band n50, 100MHz TDD)</t>
        </is>
      </c>
      <c r="Q867" s="27">
        <f>ROUNDUP(O867/'Methodology &amp; Assumptions'!$B$8, 0)</f>
        <v/>
      </c>
      <c r="R867" s="27" t="n">
        <v>1</v>
      </c>
      <c r="S867" s="26" t="n">
        <v>0.27</v>
      </c>
      <c r="T867" s="26" t="n">
        <v>2.13</v>
      </c>
      <c r="U867" s="11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26" t="n">
        <v>70.11</v>
      </c>
      <c r="W867" s="26" t="n">
        <v>55.25</v>
      </c>
      <c r="X867" s="26">
        <f>ROUND(('Methodology &amp; Assumptions'!$B$5*V867) + ('Methodology &amp; Assumptions'!$B$6*W867), 2)</f>
        <v/>
      </c>
      <c r="Y867" s="28" t="n">
        <v>7.2</v>
      </c>
      <c r="Z867" s="11" t="inlineStr">
        <is>
          <t>Priority Tier 2 (Balanced Opportunity)</t>
        </is>
      </c>
    </row>
    <row r="868">
      <c r="A868" s="23" t="n">
        <v>2</v>
      </c>
      <c r="B868" s="23" t="n">
        <v>864</v>
      </c>
      <c r="C868" s="23" t="n">
        <v>1864</v>
      </c>
      <c r="D868" s="23" t="inlineStr">
        <is>
          <t>0403404009</t>
        </is>
      </c>
      <c r="E868" s="11" t="inlineStr">
        <is>
          <t>Region IV-A (CALABARZON)</t>
        </is>
      </c>
      <c r="F868" s="11" t="inlineStr">
        <is>
          <t>Laguna</t>
        </is>
      </c>
      <c r="G868" s="11" t="inlineStr">
        <is>
          <t>City of Cabuyao</t>
        </is>
      </c>
      <c r="H868" s="11" t="inlineStr">
        <is>
          <t>Mamatid</t>
        </is>
      </c>
      <c r="I868" s="24" t="n">
        <v>14.235441</v>
      </c>
      <c r="J868" s="24" t="n">
        <v>121.158219</v>
      </c>
      <c r="K868" s="23" t="inlineStr">
        <is>
          <t>U</t>
        </is>
      </c>
      <c r="L868" s="25" t="n">
        <v>66959</v>
      </c>
      <c r="M868" s="26" t="n">
        <v>3.3</v>
      </c>
      <c r="N868" s="25">
        <f>ROUND(L868/M868, 0)</f>
        <v/>
      </c>
      <c r="O868" s="25">
        <f>ROUND(N868*'Methodology &amp; Assumptions'!$B$7, 0)</f>
        <v/>
      </c>
      <c r="P868" s="23" t="inlineStr">
        <is>
          <t>Single Carrier (Band n50, 100MHz TDD)</t>
        </is>
      </c>
      <c r="Q868" s="27">
        <f>ROUNDUP(O868/'Methodology &amp; Assumptions'!$B$8, 0)</f>
        <v/>
      </c>
      <c r="R868" s="27" t="n">
        <v>1</v>
      </c>
      <c r="S868" s="26" t="n">
        <v>2.79</v>
      </c>
      <c r="T868" s="26" t="n">
        <v>2.18</v>
      </c>
      <c r="U868" s="11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26" t="n">
        <v>65.7</v>
      </c>
      <c r="W868" s="26" t="n">
        <v>59.65</v>
      </c>
      <c r="X868" s="26">
        <f>ROUND(('Methodology &amp; Assumptions'!$B$5*V868) + ('Methodology &amp; Assumptions'!$B$6*W868), 2)</f>
        <v/>
      </c>
      <c r="Y868" s="28" t="n">
        <v>7.2</v>
      </c>
      <c r="Z868" s="11" t="inlineStr">
        <is>
          <t>Priority Tier 2 (Balanced Opportunity)</t>
        </is>
      </c>
    </row>
    <row r="869">
      <c r="A869" s="23" t="n">
        <v>2</v>
      </c>
      <c r="B869" s="23" t="n">
        <v>865</v>
      </c>
      <c r="C869" s="23" t="n">
        <v>1865</v>
      </c>
      <c r="D869" s="23" t="inlineStr">
        <is>
          <t>1380800001</t>
        </is>
      </c>
      <c r="E869" s="11" t="inlineStr">
        <is>
          <t>National Capital Region (NCR)</t>
        </is>
      </c>
      <c r="F869" s="11" t="inlineStr">
        <is>
          <t>Fourth District (Not a Province)</t>
        </is>
      </c>
      <c r="G869" s="11" t="inlineStr">
        <is>
          <t>City of Muntinlupa</t>
        </is>
      </c>
      <c r="H869" s="11" t="inlineStr">
        <is>
          <t>Alabang</t>
        </is>
      </c>
      <c r="I869" s="24" t="n">
        <v>14.41904</v>
      </c>
      <c r="J869" s="24" t="n">
        <v>121.0447</v>
      </c>
      <c r="K869" s="23" t="inlineStr">
        <is>
          <t>U</t>
        </is>
      </c>
      <c r="L869" s="25" t="n">
        <v>69215</v>
      </c>
      <c r="M869" s="26" t="n">
        <v>3.66</v>
      </c>
      <c r="N869" s="25">
        <f>ROUND(L869/M869, 0)</f>
        <v/>
      </c>
      <c r="O869" s="25">
        <f>ROUND(N869*'Methodology &amp; Assumptions'!$B$7, 0)</f>
        <v/>
      </c>
      <c r="P869" s="23" t="inlineStr">
        <is>
          <t>Single Carrier (Band n50, 100MHz TDD)</t>
        </is>
      </c>
      <c r="Q869" s="27">
        <f>ROUNDUP(O869/'Methodology &amp; Assumptions'!$B$8, 0)</f>
        <v/>
      </c>
      <c r="R869" s="27" t="n">
        <v>1</v>
      </c>
      <c r="S869" s="26" t="n">
        <v>0.22</v>
      </c>
      <c r="T869" s="26" t="n">
        <v>0.14</v>
      </c>
      <c r="U869" s="11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26" t="n">
        <v>65.62</v>
      </c>
      <c r="W869" s="26" t="n">
        <v>59.74</v>
      </c>
      <c r="X869" s="26">
        <f>ROUND(('Methodology &amp; Assumptions'!$B$5*V869) + ('Methodology &amp; Assumptions'!$B$6*W869), 2)</f>
        <v/>
      </c>
      <c r="Y869" s="28" t="n">
        <v>10.9</v>
      </c>
      <c r="Z869" s="11" t="inlineStr">
        <is>
          <t>Priority Tier 2 (Balanced Opportunity)</t>
        </is>
      </c>
    </row>
    <row r="870">
      <c r="A870" s="23" t="n">
        <v>2</v>
      </c>
      <c r="B870" s="23" t="n">
        <v>866</v>
      </c>
      <c r="C870" s="23" t="n">
        <v>1866</v>
      </c>
      <c r="D870" s="23" t="inlineStr">
        <is>
          <t>1380612024</t>
        </is>
      </c>
      <c r="E870" s="11" t="inlineStr">
        <is>
          <t>National Capital Region (NCR)</t>
        </is>
      </c>
      <c r="F870" s="11" t="inlineStr">
        <is>
          <t>First District (Not a Province)</t>
        </is>
      </c>
      <c r="G870" s="11" t="inlineStr">
        <is>
          <t>City of Manila</t>
        </is>
      </c>
      <c r="H870" s="11" t="inlineStr">
        <is>
          <t>Barangay 856</t>
        </is>
      </c>
      <c r="I870" s="24" t="n">
        <v>14.587309</v>
      </c>
      <c r="J870" s="24" t="n">
        <v>121.002509</v>
      </c>
      <c r="K870" s="23" t="inlineStr">
        <is>
          <t>U</t>
        </is>
      </c>
      <c r="L870" s="25" t="n">
        <v>1733</v>
      </c>
      <c r="M870" s="26" t="n">
        <v>4.16</v>
      </c>
      <c r="N870" s="25">
        <f>ROUND(L870/M870, 0)</f>
        <v/>
      </c>
      <c r="O870" s="25">
        <f>ROUND(N870*'Methodology &amp; Assumptions'!$B$7, 0)</f>
        <v/>
      </c>
      <c r="P870" s="23" t="inlineStr">
        <is>
          <t>Single Carrier (Band n50, 100MHz TDD)</t>
        </is>
      </c>
      <c r="Q870" s="27">
        <f>ROUNDUP(O870/'Methodology &amp; Assumptions'!$B$8, 0)</f>
        <v/>
      </c>
      <c r="R870" s="27" t="n">
        <v>1</v>
      </c>
      <c r="S870" s="26" t="n">
        <v>0.32</v>
      </c>
      <c r="T870" s="26" t="n">
        <v>0.05</v>
      </c>
      <c r="U870" s="11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26" t="n">
        <v>54.48</v>
      </c>
      <c r="W870" s="26" t="n">
        <v>70.88</v>
      </c>
      <c r="X870" s="26">
        <f>ROUND(('Methodology &amp; Assumptions'!$B$5*V870) + ('Methodology &amp; Assumptions'!$B$6*W870), 2)</f>
        <v/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2</v>
      </c>
      <c r="B871" s="23" t="n">
        <v>867</v>
      </c>
      <c r="C871" s="23" t="n">
        <v>1867</v>
      </c>
      <c r="D871" s="23" t="inlineStr">
        <is>
          <t>1381100058</t>
        </is>
      </c>
      <c r="E871" s="11" t="inlineStr">
        <is>
          <t>National Capital Region (NCR)</t>
        </is>
      </c>
      <c r="F871" s="11" t="inlineStr">
        <is>
          <t>Fourth District (Not a Province)</t>
        </is>
      </c>
      <c r="G871" s="11" t="inlineStr">
        <is>
          <t>Pasay City</t>
        </is>
      </c>
      <c r="H871" s="11" t="inlineStr">
        <is>
          <t>Barangay 58</t>
        </is>
      </c>
      <c r="I871" s="24" t="n">
        <v>14.549873</v>
      </c>
      <c r="J871" s="24" t="n">
        <v>120.999062</v>
      </c>
      <c r="K871" s="23" t="inlineStr">
        <is>
          <t>U</t>
        </is>
      </c>
      <c r="L871" s="25" t="n">
        <v>1527</v>
      </c>
      <c r="M871" s="26" t="n">
        <v>3.67</v>
      </c>
      <c r="N871" s="25">
        <f>ROUND(L871/M871, 0)</f>
        <v/>
      </c>
      <c r="O871" s="25">
        <f>ROUND(N871*'Methodology &amp; Assumptions'!$B$7, 0)</f>
        <v/>
      </c>
      <c r="P871" s="23" t="inlineStr">
        <is>
          <t>Single Carrier (Band n50, 100MHz TDD)</t>
        </is>
      </c>
      <c r="Q871" s="27">
        <f>ROUNDUP(O871/'Methodology &amp; Assumptions'!$B$8, 0)</f>
        <v/>
      </c>
      <c r="R871" s="27" t="n">
        <v>1</v>
      </c>
      <c r="S871" s="26" t="n">
        <v>0.77</v>
      </c>
      <c r="T871" s="26" t="n">
        <v>0.17</v>
      </c>
      <c r="U871" s="11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26" t="n">
        <v>54.48</v>
      </c>
      <c r="W871" s="26" t="n">
        <v>70.88</v>
      </c>
      <c r="X871" s="26">
        <f>ROUND(('Methodology &amp; Assumptions'!$B$5*V871) + ('Methodology &amp; Assumptions'!$B$6*W871), 2)</f>
        <v/>
      </c>
      <c r="Y871" s="28" t="n">
        <v>10.9</v>
      </c>
      <c r="Z871" s="11" t="inlineStr">
        <is>
          <t>Priority Tier 2 (Balanced Opportunity)</t>
        </is>
      </c>
    </row>
    <row r="872">
      <c r="A872" s="23" t="n">
        <v>2</v>
      </c>
      <c r="B872" s="23" t="n">
        <v>868</v>
      </c>
      <c r="C872" s="23" t="n">
        <v>1868</v>
      </c>
      <c r="D872" s="23" t="inlineStr">
        <is>
          <t>0600414003</t>
        </is>
      </c>
      <c r="E872" s="11" t="inlineStr">
        <is>
          <t>Region VI (Western Visayas)</t>
        </is>
      </c>
      <c r="F872" s="11" t="inlineStr">
        <is>
          <t>Aklan</t>
        </is>
      </c>
      <c r="G872" s="11" t="inlineStr">
        <is>
          <t>Nabas</t>
        </is>
      </c>
      <c r="H872" s="11" t="inlineStr">
        <is>
          <t>Buenafortuna</t>
        </is>
      </c>
      <c r="I872" s="24" t="n">
        <v>11.823158</v>
      </c>
      <c r="J872" s="24" t="n">
        <v>122.055335</v>
      </c>
      <c r="K872" s="23" t="inlineStr">
        <is>
          <t>R</t>
        </is>
      </c>
      <c r="L872" s="25" t="n">
        <v>1432</v>
      </c>
      <c r="M872" s="26" t="n">
        <v>3.9</v>
      </c>
      <c r="N872" s="25">
        <f>ROUND(L872/M872, 0)</f>
        <v/>
      </c>
      <c r="O872" s="25">
        <f>ROUND(N872*'Methodology &amp; Assumptions'!$B$7, 0)</f>
        <v/>
      </c>
      <c r="P872" s="23" t="inlineStr">
        <is>
          <t>Single Carrier (Band n50, 100MHz TDD)</t>
        </is>
      </c>
      <c r="Q872" s="27">
        <f>ROUNDUP(O872/'Methodology &amp; Assumptions'!$B$8, 0)</f>
        <v/>
      </c>
      <c r="R872" s="27" t="n">
        <v>1</v>
      </c>
      <c r="S872" s="26" t="n">
        <v>18.32</v>
      </c>
      <c r="T872" s="26" t="n">
        <v>2.39</v>
      </c>
      <c r="U872" s="11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26" t="n">
        <v>47.36</v>
      </c>
      <c r="W872" s="26" t="n">
        <v>78</v>
      </c>
      <c r="X872" s="26">
        <f>ROUND(('Methodology &amp; Assumptions'!$B$5*V872) + ('Methodology &amp; Assumptions'!$B$6*W872), 2)</f>
        <v/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2</v>
      </c>
      <c r="B873" s="23" t="n">
        <v>869</v>
      </c>
      <c r="C873" s="23" t="n">
        <v>1869</v>
      </c>
      <c r="D873" s="23" t="inlineStr">
        <is>
          <t>0304907011</t>
        </is>
      </c>
      <c r="E873" s="11" t="inlineStr">
        <is>
          <t>Region III (Central Luzon)</t>
        </is>
      </c>
      <c r="F873" s="11" t="inlineStr">
        <is>
          <t>Nueva Ecija</t>
        </is>
      </c>
      <c r="G873" s="11" t="inlineStr">
        <is>
          <t>Gabaldon</t>
        </is>
      </c>
      <c r="H873" s="11" t="inlineStr">
        <is>
          <t>Malinao</t>
        </is>
      </c>
      <c r="I873" s="24" t="n">
        <v>15.484018</v>
      </c>
      <c r="J873" s="24" t="n">
        <v>121.332991</v>
      </c>
      <c r="K873" s="23" t="inlineStr">
        <is>
          <t>R</t>
        </is>
      </c>
      <c r="L873" s="25" t="n">
        <v>2759</v>
      </c>
      <c r="M873" s="26" t="n">
        <v>3.5</v>
      </c>
      <c r="N873" s="25">
        <f>ROUND(L873/M873, 0)</f>
        <v/>
      </c>
      <c r="O873" s="25">
        <f>ROUND(N873*'Methodology &amp; Assumptions'!$B$7, 0)</f>
        <v/>
      </c>
      <c r="P873" s="23" t="inlineStr">
        <is>
          <t>Single Carrier (Band n50, 100MHz TDD)</t>
        </is>
      </c>
      <c r="Q873" s="27">
        <f>ROUNDUP(O873/'Methodology &amp; Assumptions'!$B$8, 0)</f>
        <v/>
      </c>
      <c r="R873" s="27" t="n">
        <v>1</v>
      </c>
      <c r="S873" s="26" t="n">
        <v>0.02</v>
      </c>
      <c r="T873" s="26" t="n">
        <v>23.28</v>
      </c>
      <c r="U873" s="11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26" t="n">
        <v>84.48</v>
      </c>
      <c r="W873" s="26" t="n">
        <v>40.85</v>
      </c>
      <c r="X873" s="26">
        <f>ROUND(('Methodology &amp; Assumptions'!$B$5*V873) + ('Methodology &amp; Assumptions'!$B$6*W873), 2)</f>
        <v/>
      </c>
      <c r="Y873" s="28" t="n">
        <v>8.300000000000001</v>
      </c>
      <c r="Z873" s="11" t="inlineStr">
        <is>
          <t>Priority Tier 2 (Balanced Opportunity)</t>
        </is>
      </c>
    </row>
    <row r="874">
      <c r="A874" s="23" t="n">
        <v>2</v>
      </c>
      <c r="B874" s="23" t="n">
        <v>870</v>
      </c>
      <c r="C874" s="23" t="n">
        <v>1870</v>
      </c>
      <c r="D874" s="23" t="inlineStr">
        <is>
          <t>0401005044</t>
        </is>
      </c>
      <c r="E874" s="11" t="inlineStr">
        <is>
          <t>Region IV-A (CALABARZON)</t>
        </is>
      </c>
      <c r="F874" s="11" t="inlineStr">
        <is>
          <t>Batangas</t>
        </is>
      </c>
      <c r="G874" s="11" t="inlineStr">
        <is>
          <t>Batangas City</t>
        </is>
      </c>
      <c r="H874" s="11" t="inlineStr">
        <is>
          <t>Malitam</t>
        </is>
      </c>
      <c r="I874" s="24" t="n">
        <v>13.747531</v>
      </c>
      <c r="J874" s="24" t="n">
        <v>121.055333</v>
      </c>
      <c r="K874" s="23" t="inlineStr">
        <is>
          <t>U</t>
        </is>
      </c>
      <c r="L874" s="25" t="n">
        <v>8817</v>
      </c>
      <c r="M874" s="26" t="n">
        <v>3.6</v>
      </c>
      <c r="N874" s="25">
        <f>ROUND(L874/M874, 0)</f>
        <v/>
      </c>
      <c r="O874" s="25">
        <f>ROUND(N874*'Methodology &amp; Assumptions'!$B$7, 0)</f>
        <v/>
      </c>
      <c r="P874" s="23" t="inlineStr">
        <is>
          <t>Single Carrier (Band n50, 100MHz TDD)</t>
        </is>
      </c>
      <c r="Q874" s="27">
        <f>ROUNDUP(O874/'Methodology &amp; Assumptions'!$B$8, 0)</f>
        <v/>
      </c>
      <c r="R874" s="27" t="n">
        <v>1</v>
      </c>
      <c r="S874" s="26" t="n">
        <v>1.66</v>
      </c>
      <c r="T874" s="26" t="n">
        <v>1.02</v>
      </c>
      <c r="U874" s="11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26" t="n">
        <v>75.22</v>
      </c>
      <c r="W874" s="26" t="n">
        <v>50.12</v>
      </c>
      <c r="X874" s="26">
        <f>ROUND(('Methodology &amp; Assumptions'!$B$5*V874) + ('Methodology &amp; Assumptions'!$B$6*W874), 2)</f>
        <v/>
      </c>
      <c r="Y874" s="28" t="n">
        <v>7.2</v>
      </c>
      <c r="Z874" s="11" t="inlineStr">
        <is>
          <t>Priority Tier 2 (Balanced Opportunity)</t>
        </is>
      </c>
    </row>
    <row r="875">
      <c r="A875" s="23" t="n">
        <v>2</v>
      </c>
      <c r="B875" s="23" t="n">
        <v>871</v>
      </c>
      <c r="C875" s="23" t="n">
        <v>1871</v>
      </c>
      <c r="D875" s="23" t="inlineStr">
        <is>
          <t>0401019014</t>
        </is>
      </c>
      <c r="E875" s="11" t="inlineStr">
        <is>
          <t>Region IV-A (CALABARZON)</t>
        </is>
      </c>
      <c r="F875" s="11" t="inlineStr">
        <is>
          <t>Batangas</t>
        </is>
      </c>
      <c r="G875" s="11" t="inlineStr">
        <is>
          <t>Nasugbu</t>
        </is>
      </c>
      <c r="H875" s="11" t="inlineStr">
        <is>
          <t>Barangay 9</t>
        </is>
      </c>
      <c r="I875" s="24" t="n">
        <v>14.077916</v>
      </c>
      <c r="J875" s="24" t="n">
        <v>120.631135</v>
      </c>
      <c r="K875" s="23" t="inlineStr">
        <is>
          <t>U</t>
        </is>
      </c>
      <c r="L875" s="25" t="n">
        <v>768</v>
      </c>
      <c r="M875" s="26" t="n">
        <v>3.6</v>
      </c>
      <c r="N875" s="25">
        <f>ROUND(L875/M875, 0)</f>
        <v/>
      </c>
      <c r="O875" s="25">
        <f>ROUND(N875*'Methodology &amp; Assumptions'!$B$7, 0)</f>
        <v/>
      </c>
      <c r="P875" s="23" t="inlineStr">
        <is>
          <t>Single Carrier (Band n50, 100MHz TDD)</t>
        </is>
      </c>
      <c r="Q875" s="27">
        <f>ROUNDUP(O875/'Methodology &amp; Assumptions'!$B$8, 0)</f>
        <v/>
      </c>
      <c r="R875" s="27" t="n">
        <v>1</v>
      </c>
      <c r="S875" s="26" t="n">
        <v>0.86</v>
      </c>
      <c r="T875" s="26" t="n">
        <v>0.09</v>
      </c>
      <c r="U875" s="11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26" t="n">
        <v>58.57</v>
      </c>
      <c r="W875" s="26" t="n">
        <v>66.77</v>
      </c>
      <c r="X875" s="26">
        <f>ROUND(('Methodology &amp; Assumptions'!$B$5*V875) + ('Methodology &amp; Assumptions'!$B$6*W875), 2)</f>
        <v/>
      </c>
      <c r="Y875" s="28" t="n">
        <v>7.2</v>
      </c>
      <c r="Z875" s="11" t="inlineStr">
        <is>
          <t>Priority Tier 2 (Balanced Opportunity)</t>
        </is>
      </c>
    </row>
    <row r="876">
      <c r="A876" s="23" t="n">
        <v>2</v>
      </c>
      <c r="B876" s="23" t="n">
        <v>872</v>
      </c>
      <c r="C876" s="23" t="n">
        <v>1872</v>
      </c>
      <c r="D876" s="23" t="inlineStr">
        <is>
          <t>1380606121</t>
        </is>
      </c>
      <c r="E876" s="11" t="inlineStr">
        <is>
          <t>National Capital Region (NCR)</t>
        </is>
      </c>
      <c r="F876" s="11" t="inlineStr">
        <is>
          <t>First District (Not a Province)</t>
        </is>
      </c>
      <c r="G876" s="11" t="inlineStr">
        <is>
          <t>City of Manila</t>
        </is>
      </c>
      <c r="H876" s="11" t="inlineStr">
        <is>
          <t>Barangay 515</t>
        </is>
      </c>
      <c r="I876" s="24" t="n">
        <v>14.619633</v>
      </c>
      <c r="J876" s="24" t="n">
        <v>120.996717</v>
      </c>
      <c r="K876" s="23" t="inlineStr">
        <is>
          <t>U</t>
        </is>
      </c>
      <c r="L876" s="25" t="n">
        <v>2289</v>
      </c>
      <c r="M876" s="26" t="n">
        <v>4.51</v>
      </c>
      <c r="N876" s="25">
        <f>ROUND(L876/M876, 0)</f>
        <v/>
      </c>
      <c r="O876" s="25">
        <f>ROUND(N876*'Methodology &amp; Assumptions'!$B$7, 0)</f>
        <v/>
      </c>
      <c r="P876" s="23" t="inlineStr">
        <is>
          <t>Single Carrier (Band n50, 100MHz TDD)</t>
        </is>
      </c>
      <c r="Q876" s="27">
        <f>ROUNDUP(O876/'Methodology &amp; Assumptions'!$B$8, 0)</f>
        <v/>
      </c>
      <c r="R876" s="27" t="n">
        <v>1</v>
      </c>
      <c r="S876" s="26" t="n">
        <v>1.23</v>
      </c>
      <c r="T876" s="26" t="n">
        <v>0.61</v>
      </c>
      <c r="U876" s="11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26" t="n">
        <v>55.9</v>
      </c>
      <c r="W876" s="26" t="n">
        <v>69.44</v>
      </c>
      <c r="X876" s="26">
        <f>ROUND(('Methodology &amp; Assumptions'!$B$5*V876) + ('Methodology &amp; Assumptions'!$B$6*W876), 2)</f>
        <v/>
      </c>
      <c r="Y876" s="28" t="n">
        <v>10.9</v>
      </c>
      <c r="Z876" s="11" t="inlineStr">
        <is>
          <t>Priority Tier 2 (Balanced Opportunity)</t>
        </is>
      </c>
    </row>
    <row r="877">
      <c r="A877" s="23" t="n">
        <v>2</v>
      </c>
      <c r="B877" s="23" t="n">
        <v>873</v>
      </c>
      <c r="C877" s="23" t="n">
        <v>1873</v>
      </c>
      <c r="D877" s="23" t="inlineStr">
        <is>
          <t>1381100090</t>
        </is>
      </c>
      <c r="E877" s="11" t="inlineStr">
        <is>
          <t>National Capital Region (NCR)</t>
        </is>
      </c>
      <c r="F877" s="11" t="inlineStr">
        <is>
          <t>Fourth District (Not a Province)</t>
        </is>
      </c>
      <c r="G877" s="11" t="inlineStr">
        <is>
          <t>Pasay City</t>
        </is>
      </c>
      <c r="H877" s="11" t="inlineStr">
        <is>
          <t>Barangay 90</t>
        </is>
      </c>
      <c r="I877" s="24" t="n">
        <v>14.545811</v>
      </c>
      <c r="J877" s="24" t="n">
        <v>120.99804</v>
      </c>
      <c r="K877" s="23" t="inlineStr">
        <is>
          <t>U</t>
        </is>
      </c>
      <c r="L877" s="25" t="n">
        <v>1506</v>
      </c>
      <c r="M877" s="26" t="n">
        <v>3.67</v>
      </c>
      <c r="N877" s="25">
        <f>ROUND(L877/M877, 0)</f>
        <v/>
      </c>
      <c r="O877" s="25">
        <f>ROUND(N877*'Methodology &amp; Assumptions'!$B$7, 0)</f>
        <v/>
      </c>
      <c r="P877" s="23" t="inlineStr">
        <is>
          <t>Single Carrier (Band n50, 100MHz TDD)</t>
        </is>
      </c>
      <c r="Q877" s="27">
        <f>ROUNDUP(O877/'Methodology &amp; Assumptions'!$B$8, 0)</f>
        <v/>
      </c>
      <c r="R877" s="27" t="n">
        <v>1</v>
      </c>
      <c r="S877" s="26" t="n">
        <v>0.41</v>
      </c>
      <c r="T877" s="26" t="n">
        <v>0.22</v>
      </c>
      <c r="U877" s="11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26" t="n">
        <v>54.27</v>
      </c>
      <c r="W877" s="26" t="n">
        <v>71.08</v>
      </c>
      <c r="X877" s="26">
        <f>ROUND(('Methodology &amp; Assumptions'!$B$5*V877) + ('Methodology &amp; Assumptions'!$B$6*W877), 2)</f>
        <v/>
      </c>
      <c r="Y877" s="28" t="n">
        <v>10.9</v>
      </c>
      <c r="Z877" s="11" t="inlineStr">
        <is>
          <t>Priority Tier 2 (Balanced Opportunity)</t>
        </is>
      </c>
    </row>
    <row r="878">
      <c r="A878" s="23" t="n">
        <v>2</v>
      </c>
      <c r="B878" s="23" t="n">
        <v>874</v>
      </c>
      <c r="C878" s="23" t="n">
        <v>1874</v>
      </c>
      <c r="D878" s="23" t="inlineStr">
        <is>
          <t>0102916012</t>
        </is>
      </c>
      <c r="E878" s="11" t="inlineStr">
        <is>
          <t>Region I (Ilocos Region)</t>
        </is>
      </c>
      <c r="F878" s="11" t="inlineStr">
        <is>
          <t>Ilocos Sur</t>
        </is>
      </c>
      <c r="G878" s="11" t="inlineStr">
        <is>
          <t>Salcedo</t>
        </is>
      </c>
      <c r="H878" s="11" t="inlineStr">
        <is>
          <t>Kinmarin</t>
        </is>
      </c>
      <c r="I878" s="24" t="n">
        <v>17.114804</v>
      </c>
      <c r="J878" s="24" t="n">
        <v>120.57108</v>
      </c>
      <c r="K878" s="23" t="inlineStr">
        <is>
          <t>R</t>
        </is>
      </c>
      <c r="L878" s="25" t="n">
        <v>377</v>
      </c>
      <c r="M878" s="26" t="n">
        <v>3.8</v>
      </c>
      <c r="N878" s="25">
        <f>ROUND(L878/M878, 0)</f>
        <v/>
      </c>
      <c r="O878" s="25">
        <f>ROUND(N878*'Methodology &amp; Assumptions'!$B$7, 0)</f>
        <v/>
      </c>
      <c r="P878" s="23" t="inlineStr">
        <is>
          <t>Single Carrier (Band n50, 100MHz TDD)</t>
        </is>
      </c>
      <c r="Q878" s="27">
        <f>ROUNDUP(O878/'Methodology &amp; Assumptions'!$B$8, 0)</f>
        <v/>
      </c>
      <c r="R878" s="27" t="n">
        <v>1</v>
      </c>
      <c r="S878" s="26" t="n">
        <v>5.26</v>
      </c>
      <c r="T878" s="26" t="n">
        <v>9.050000000000001</v>
      </c>
      <c r="U878" s="11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26" t="n">
        <v>46.87</v>
      </c>
      <c r="W878" s="26" t="n">
        <v>78.47</v>
      </c>
      <c r="X878" s="26">
        <f>ROUND(('Methodology &amp; Assumptions'!$B$5*V878) + ('Methodology &amp; Assumptions'!$B$6*W878), 2)</f>
        <v/>
      </c>
      <c r="Y878" s="28" t="n">
        <v>8.300000000000001</v>
      </c>
      <c r="Z878" s="11" t="inlineStr">
        <is>
          <t>Priority Tier 2 (Balanced Opportunity)</t>
        </is>
      </c>
    </row>
    <row r="879">
      <c r="A879" s="23" t="n">
        <v>2</v>
      </c>
      <c r="B879" s="23" t="n">
        <v>875</v>
      </c>
      <c r="C879" s="23" t="n">
        <v>1875</v>
      </c>
      <c r="D879" s="23" t="inlineStr">
        <is>
          <t>0604528020</t>
        </is>
      </c>
      <c r="E879" s="11" t="inlineStr">
        <is>
          <t>Region VI (Western Visayas)</t>
        </is>
      </c>
      <c r="F879" s="11" t="inlineStr">
        <is>
          <t>Negros Occidental</t>
        </is>
      </c>
      <c r="G879" s="11" t="inlineStr">
        <is>
          <t>City of Talisay</t>
        </is>
      </c>
      <c r="H879" s="11" t="inlineStr">
        <is>
          <t>Zone 5</t>
        </is>
      </c>
      <c r="I879" s="24" t="n">
        <v>10.740867</v>
      </c>
      <c r="J879" s="24" t="n">
        <v>122.962984</v>
      </c>
      <c r="K879" s="23" t="inlineStr">
        <is>
          <t>R</t>
        </is>
      </c>
      <c r="L879" s="25" t="n">
        <v>2248</v>
      </c>
      <c r="M879" s="26" t="n">
        <v>3.7</v>
      </c>
      <c r="N879" s="25">
        <f>ROUND(L879/M879, 0)</f>
        <v/>
      </c>
      <c r="O879" s="25">
        <f>ROUND(N879*'Methodology &amp; Assumptions'!$B$7, 0)</f>
        <v/>
      </c>
      <c r="P879" s="23" t="inlineStr">
        <is>
          <t>Single Carrier (Band n50, 100MHz TDD)</t>
        </is>
      </c>
      <c r="Q879" s="27">
        <f>ROUNDUP(O879/'Methodology &amp; Assumptions'!$B$8, 0)</f>
        <v/>
      </c>
      <c r="R879" s="27" t="n">
        <v>1</v>
      </c>
      <c r="S879" s="26" t="n">
        <v>0.29</v>
      </c>
      <c r="T879" s="26" t="n">
        <v>0.26</v>
      </c>
      <c r="U879" s="11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26" t="n">
        <v>79.91</v>
      </c>
      <c r="W879" s="26" t="n">
        <v>45.41</v>
      </c>
      <c r="X879" s="26">
        <f>ROUND(('Methodology &amp; Assumptions'!$B$5*V879) + ('Methodology &amp; Assumptions'!$B$6*W879), 2)</f>
        <v/>
      </c>
      <c r="Y879" s="28" t="n">
        <v>23.7</v>
      </c>
      <c r="Z879" s="11" t="inlineStr">
        <is>
          <t>Priority Tier 2 (Balanced Opportunity)</t>
        </is>
      </c>
    </row>
    <row r="880">
      <c r="A880" s="23" t="n">
        <v>2</v>
      </c>
      <c r="B880" s="23" t="n">
        <v>876</v>
      </c>
      <c r="C880" s="23" t="n">
        <v>1876</v>
      </c>
      <c r="D880" s="23" t="inlineStr">
        <is>
          <t>0403428010</t>
        </is>
      </c>
      <c r="E880" s="11" t="inlineStr">
        <is>
          <t>Region IV-A (CALABARZON)</t>
        </is>
      </c>
      <c r="F880" s="11" t="inlineStr">
        <is>
          <t>Laguna</t>
        </is>
      </c>
      <c r="G880" s="11" t="inlineStr">
        <is>
          <t>City of Santa Rosa</t>
        </is>
      </c>
      <c r="H880" s="11" t="inlineStr">
        <is>
          <t>Malitlit</t>
        </is>
      </c>
      <c r="I880" s="24" t="n">
        <v>14.268931</v>
      </c>
      <c r="J880" s="24" t="n">
        <v>121.111253</v>
      </c>
      <c r="K880" s="23" t="inlineStr">
        <is>
          <t>U</t>
        </is>
      </c>
      <c r="L880" s="25" t="n">
        <v>30071</v>
      </c>
      <c r="M880" s="26" t="n">
        <v>3.3</v>
      </c>
      <c r="N880" s="25">
        <f>ROUND(L880/M880, 0)</f>
        <v/>
      </c>
      <c r="O880" s="25">
        <f>ROUND(N880*'Methodology &amp; Assumptions'!$B$7, 0)</f>
        <v/>
      </c>
      <c r="P880" s="23" t="inlineStr">
        <is>
          <t>Single Carrier (Band n50, 100MHz TDD)</t>
        </is>
      </c>
      <c r="Q880" s="27">
        <f>ROUNDUP(O880/'Methodology &amp; Assumptions'!$B$8, 0)</f>
        <v/>
      </c>
      <c r="R880" s="27" t="n">
        <v>1</v>
      </c>
      <c r="S880" s="26" t="n">
        <v>2.57</v>
      </c>
      <c r="T880" s="26" t="n">
        <v>1.06</v>
      </c>
      <c r="U880" s="11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26" t="n">
        <v>71.67</v>
      </c>
      <c r="W880" s="26" t="n">
        <v>53.66</v>
      </c>
      <c r="X880" s="26">
        <f>ROUND(('Methodology &amp; Assumptions'!$B$5*V880) + ('Methodology &amp; Assumptions'!$B$6*W880), 2)</f>
        <v/>
      </c>
      <c r="Y880" s="28" t="n">
        <v>7.2</v>
      </c>
      <c r="Z880" s="11" t="inlineStr">
        <is>
          <t>Priority Tier 2 (Balanced Opportunity)</t>
        </is>
      </c>
    </row>
    <row r="881">
      <c r="A881" s="23" t="n">
        <v>2</v>
      </c>
      <c r="B881" s="23" t="n">
        <v>877</v>
      </c>
      <c r="C881" s="23" t="n">
        <v>1877</v>
      </c>
      <c r="D881" s="23" t="inlineStr">
        <is>
          <t>0402103050</t>
        </is>
      </c>
      <c r="E881" s="11" t="inlineStr">
        <is>
          <t>Region IV-A (CALABARZON)</t>
        </is>
      </c>
      <c r="F881" s="11" t="inlineStr">
        <is>
          <t>Cavite</t>
        </is>
      </c>
      <c r="G881" s="11" t="inlineStr">
        <is>
          <t>City of Bacoor</t>
        </is>
      </c>
      <c r="H881" s="11" t="inlineStr">
        <is>
          <t>Molino VII</t>
        </is>
      </c>
      <c r="I881" s="24" t="n">
        <v>14.402677</v>
      </c>
      <c r="J881" s="24" t="n">
        <v>120.99643</v>
      </c>
      <c r="K881" s="23" t="inlineStr">
        <is>
          <t>U</t>
        </is>
      </c>
      <c r="L881" s="25" t="n">
        <v>13562</v>
      </c>
      <c r="M881" s="26" t="n">
        <v>3.4</v>
      </c>
      <c r="N881" s="25">
        <f>ROUND(L881/M881, 0)</f>
        <v/>
      </c>
      <c r="O881" s="25">
        <f>ROUND(N881*'Methodology &amp; Assumptions'!$B$7, 0)</f>
        <v/>
      </c>
      <c r="P881" s="23" t="inlineStr">
        <is>
          <t>Single Carrier (Band n50, 100MHz TDD)</t>
        </is>
      </c>
      <c r="Q881" s="27">
        <f>ROUNDUP(O881/'Methodology &amp; Assumptions'!$B$8, 0)</f>
        <v/>
      </c>
      <c r="R881" s="27" t="n">
        <v>1</v>
      </c>
      <c r="S881" s="26" t="n">
        <v>2.16</v>
      </c>
      <c r="T881" s="26" t="n">
        <v>3.29</v>
      </c>
      <c r="U881" s="11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26" t="n">
        <v>69.98999999999999</v>
      </c>
      <c r="W881" s="26" t="n">
        <v>55.33</v>
      </c>
      <c r="X881" s="26">
        <f>ROUND(('Methodology &amp; Assumptions'!$B$5*V881) + ('Methodology &amp; Assumptions'!$B$6*W881), 2)</f>
        <v/>
      </c>
      <c r="Y881" s="28" t="n">
        <v>7.2</v>
      </c>
      <c r="Z881" s="11" t="inlineStr">
        <is>
          <t>Priority Tier 2 (Balanced Opportunity)</t>
        </is>
      </c>
    </row>
    <row r="882">
      <c r="A882" s="23" t="n">
        <v>2</v>
      </c>
      <c r="B882" s="23" t="n">
        <v>878</v>
      </c>
      <c r="C882" s="23" t="n">
        <v>1878</v>
      </c>
      <c r="D882" s="23" t="inlineStr">
        <is>
          <t>0401029023</t>
        </is>
      </c>
      <c r="E882" s="11" t="inlineStr">
        <is>
          <t>Region IV-A (CALABARZON)</t>
        </is>
      </c>
      <c r="F882" s="11" t="inlineStr">
        <is>
          <t>Batangas</t>
        </is>
      </c>
      <c r="G882" s="11" t="inlineStr">
        <is>
          <t>Taal</t>
        </is>
      </c>
      <c r="H882" s="11" t="inlineStr">
        <is>
          <t>Poblacion 1</t>
        </is>
      </c>
      <c r="I882" s="24" t="n">
        <v>13.879</v>
      </c>
      <c r="J882" s="24" t="n">
        <v>120.9204</v>
      </c>
      <c r="K882" s="23" t="inlineStr">
        <is>
          <t>R</t>
        </is>
      </c>
      <c r="L882" s="25" t="n">
        <v>393</v>
      </c>
      <c r="M882" s="26" t="n">
        <v>3.6</v>
      </c>
      <c r="N882" s="25">
        <f>ROUND(L882/M882, 0)</f>
        <v/>
      </c>
      <c r="O882" s="25">
        <f>ROUND(N882*'Methodology &amp; Assumptions'!$B$7, 0)</f>
        <v/>
      </c>
      <c r="P882" s="23" t="inlineStr">
        <is>
          <t>Single Carrier (Band n50, 100MHz TDD)</t>
        </is>
      </c>
      <c r="Q882" s="27">
        <f>ROUNDUP(O882/'Methodology &amp; Assumptions'!$B$8, 0)</f>
        <v/>
      </c>
      <c r="R882" s="27" t="n">
        <v>1</v>
      </c>
      <c r="S882" s="26" t="n">
        <v>0.51</v>
      </c>
      <c r="T882" s="26" t="n">
        <v>1.91</v>
      </c>
      <c r="U882" s="11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26" t="n">
        <v>62.45</v>
      </c>
      <c r="W882" s="26" t="n">
        <v>62.88</v>
      </c>
      <c r="X882" s="26">
        <f>ROUND(('Methodology &amp; Assumptions'!$B$5*V882) + ('Methodology &amp; Assumptions'!$B$6*W882), 2)</f>
        <v/>
      </c>
      <c r="Y882" s="28" t="n">
        <v>7.2</v>
      </c>
      <c r="Z882" s="11" t="inlineStr">
        <is>
          <t>Priority Tier 2 (Balanced Opportunity)</t>
        </is>
      </c>
    </row>
    <row r="883">
      <c r="A883" s="23" t="n">
        <v>2</v>
      </c>
      <c r="B883" s="23" t="n">
        <v>879</v>
      </c>
      <c r="C883" s="23" t="n">
        <v>1879</v>
      </c>
      <c r="D883" s="23" t="inlineStr">
        <is>
          <t>1380605041</t>
        </is>
      </c>
      <c r="E883" s="11" t="inlineStr">
        <is>
          <t>National Capital Region (NCR)</t>
        </is>
      </c>
      <c r="F883" s="11" t="inlineStr">
        <is>
          <t>First District (Not a Province)</t>
        </is>
      </c>
      <c r="G883" s="11" t="inlineStr">
        <is>
          <t>City of Manila</t>
        </is>
      </c>
      <c r="H883" s="11" t="inlineStr">
        <is>
          <t>Barangay 339</t>
        </is>
      </c>
      <c r="I883" s="24" t="n">
        <v>14.61384</v>
      </c>
      <c r="J883" s="24" t="n">
        <v>120.983689</v>
      </c>
      <c r="K883" s="23" t="inlineStr">
        <is>
          <t>U</t>
        </is>
      </c>
      <c r="L883" s="25" t="n">
        <v>1551</v>
      </c>
      <c r="M883" s="26" t="n">
        <v>3.79</v>
      </c>
      <c r="N883" s="25">
        <f>ROUND(L883/M883, 0)</f>
        <v/>
      </c>
      <c r="O883" s="25">
        <f>ROUND(N883*'Methodology &amp; Assumptions'!$B$7, 0)</f>
        <v/>
      </c>
      <c r="P883" s="23" t="inlineStr">
        <is>
          <t>Single Carrier (Band n50, 100MHz TDD)</t>
        </is>
      </c>
      <c r="Q883" s="27">
        <f>ROUNDUP(O883/'Methodology &amp; Assumptions'!$B$8, 0)</f>
        <v/>
      </c>
      <c r="R883" s="27" t="n">
        <v>1</v>
      </c>
      <c r="S883" s="26" t="n">
        <v>0.31</v>
      </c>
      <c r="T883" s="26" t="n">
        <v>0.25</v>
      </c>
      <c r="U883" s="11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26" t="n">
        <v>54.27</v>
      </c>
      <c r="W883" s="26" t="n">
        <v>71.06</v>
      </c>
      <c r="X883" s="26">
        <f>ROUND(('Methodology &amp; Assumptions'!$B$5*V883) + ('Methodology &amp; Assumptions'!$B$6*W883), 2)</f>
        <v/>
      </c>
      <c r="Y883" s="28" t="n">
        <v>10.9</v>
      </c>
      <c r="Z883" s="11" t="inlineStr">
        <is>
          <t>Priority Tier 2 (Balanced Opportunity)</t>
        </is>
      </c>
    </row>
    <row r="884">
      <c r="A884" s="23" t="n">
        <v>2</v>
      </c>
      <c r="B884" s="23" t="n">
        <v>880</v>
      </c>
      <c r="C884" s="23" t="n">
        <v>1880</v>
      </c>
      <c r="D884" s="23" t="inlineStr">
        <is>
          <t>1380601148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148</t>
        </is>
      </c>
      <c r="I884" s="24" t="n">
        <v>14.623747</v>
      </c>
      <c r="J884" s="24" t="n">
        <v>120.970483</v>
      </c>
      <c r="K884" s="23" t="inlineStr">
        <is>
          <t>U</t>
        </is>
      </c>
      <c r="L884" s="25" t="n">
        <v>1827</v>
      </c>
      <c r="M884" s="26" t="n">
        <v>4.52</v>
      </c>
      <c r="N884" s="25">
        <f>ROUND(L884/M884, 0)</f>
        <v/>
      </c>
      <c r="O884" s="25">
        <f>ROUND(N884*'Methodology &amp; Assumptions'!$B$7, 0)</f>
        <v/>
      </c>
      <c r="P884" s="23" t="inlineStr">
        <is>
          <t>Single Carrier (Band n50, 100MHz TDD)</t>
        </is>
      </c>
      <c r="Q884" s="27">
        <f>ROUNDUP(O884/'Methodology &amp; Assumptions'!$B$8, 0)</f>
        <v/>
      </c>
      <c r="R884" s="27" t="n">
        <v>1</v>
      </c>
      <c r="S884" s="26" t="n">
        <v>0.46</v>
      </c>
      <c r="T884" s="26" t="n">
        <v>0.24</v>
      </c>
      <c r="U884" s="11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26" t="n">
        <v>54.05</v>
      </c>
      <c r="W884" s="26" t="n">
        <v>71.26000000000001</v>
      </c>
      <c r="X884" s="26">
        <f>ROUND(('Methodology &amp; Assumptions'!$B$5*V884) + ('Methodology &amp; Assumptions'!$B$6*W884), 2)</f>
        <v/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2</v>
      </c>
      <c r="B885" s="23" t="n">
        <v>881</v>
      </c>
      <c r="C885" s="23" t="n">
        <v>1881</v>
      </c>
      <c r="D885" s="23" t="inlineStr">
        <is>
          <t>0702234024</t>
        </is>
      </c>
      <c r="E885" s="11" t="inlineStr">
        <is>
          <t>Region VII (Central Visayas)</t>
        </is>
      </c>
      <c r="F885" s="11" t="inlineStr">
        <is>
          <t>Cebu</t>
        </is>
      </c>
      <c r="G885" s="11" t="inlineStr">
        <is>
          <t>City of Naga</t>
        </is>
      </c>
      <c r="H885" s="11" t="inlineStr">
        <is>
          <t>Tangke</t>
        </is>
      </c>
      <c r="I885" s="24" t="n">
        <v>10.216476</v>
      </c>
      <c r="J885" s="24" t="n">
        <v>123.753644</v>
      </c>
      <c r="K885" s="23" t="inlineStr">
        <is>
          <t>U</t>
        </is>
      </c>
      <c r="L885" s="25" t="n">
        <v>5288</v>
      </c>
      <c r="M885" s="26" t="n">
        <v>3.8</v>
      </c>
      <c r="N885" s="25">
        <f>ROUND(L885/M885, 0)</f>
        <v/>
      </c>
      <c r="O885" s="25">
        <f>ROUND(N885*'Methodology &amp; Assumptions'!$B$7, 0)</f>
        <v/>
      </c>
      <c r="P885" s="23" t="inlineStr">
        <is>
          <t>Single Carrier (Band n50, 100MHz TDD)</t>
        </is>
      </c>
      <c r="Q885" s="27">
        <f>ROUNDUP(O885/'Methodology &amp; Assumptions'!$B$8, 0)</f>
        <v/>
      </c>
      <c r="R885" s="27" t="n">
        <v>1</v>
      </c>
      <c r="S885" s="26" t="n">
        <v>2.81</v>
      </c>
      <c r="T885" s="26" t="n">
        <v>0.68</v>
      </c>
      <c r="U885" s="11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26" t="n">
        <v>74</v>
      </c>
      <c r="W885" s="26" t="n">
        <v>51.3</v>
      </c>
      <c r="X885" s="26">
        <f>ROUND(('Methodology &amp; Assumptions'!$B$5*V885) + ('Methodology &amp; Assumptions'!$B$6*W885), 2)</f>
        <v/>
      </c>
      <c r="Y885" s="28" t="n">
        <v>23.7</v>
      </c>
      <c r="Z885" s="11" t="inlineStr">
        <is>
          <t>Priority Tier 2 (Balanced Opportunity)</t>
        </is>
      </c>
    </row>
    <row r="886">
      <c r="A886" s="23" t="n">
        <v>2</v>
      </c>
      <c r="B886" s="23" t="n">
        <v>882</v>
      </c>
      <c r="C886" s="23" t="n">
        <v>1882</v>
      </c>
      <c r="D886" s="23" t="inlineStr">
        <is>
          <t>1381000016</t>
        </is>
      </c>
      <c r="E886" s="11" t="inlineStr">
        <is>
          <t>National Capital Region (NCR)</t>
        </is>
      </c>
      <c r="F886" s="11" t="inlineStr">
        <is>
          <t>Fourth District (Not a Province)</t>
        </is>
      </c>
      <c r="G886" s="11" t="inlineStr">
        <is>
          <t>City of Parañaque</t>
        </is>
      </c>
      <c r="H886" s="11" t="inlineStr">
        <is>
          <t>Vitalez</t>
        </is>
      </c>
      <c r="I886" s="24" t="n">
        <v>14.50829</v>
      </c>
      <c r="J886" s="24" t="n">
        <v>121.006164</v>
      </c>
      <c r="K886" s="23" t="inlineStr">
        <is>
          <t>U</t>
        </is>
      </c>
      <c r="L886" s="25" t="n">
        <v>5477</v>
      </c>
      <c r="M886" s="26" t="n">
        <v>2.63</v>
      </c>
      <c r="N886" s="25">
        <f>ROUND(L886/M886, 0)</f>
        <v/>
      </c>
      <c r="O886" s="25">
        <f>ROUND(N886*'Methodology &amp; Assumptions'!$B$7, 0)</f>
        <v/>
      </c>
      <c r="P886" s="23" t="inlineStr">
        <is>
          <t>Single Carrier (Band n50, 100MHz TDD)</t>
        </is>
      </c>
      <c r="Q886" s="27">
        <f>ROUNDUP(O886/'Methodology &amp; Assumptions'!$B$8, 0)</f>
        <v/>
      </c>
      <c r="R886" s="27" t="n">
        <v>1</v>
      </c>
      <c r="S886" s="26" t="n">
        <v>1.17</v>
      </c>
      <c r="T886" s="26" t="n">
        <v>0.64</v>
      </c>
      <c r="U886" s="11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26" t="n">
        <v>67.81999999999999</v>
      </c>
      <c r="W886" s="26" t="n">
        <v>57.49</v>
      </c>
      <c r="X886" s="26">
        <f>ROUND(('Methodology &amp; Assumptions'!$B$5*V886) + ('Methodology &amp; Assumptions'!$B$6*W886), 2)</f>
        <v/>
      </c>
      <c r="Y886" s="28" t="n">
        <v>10.9</v>
      </c>
      <c r="Z886" s="11" t="inlineStr">
        <is>
          <t>Priority Tier 2 (Balanced Opportunity)</t>
        </is>
      </c>
    </row>
    <row r="887">
      <c r="A887" s="23" t="n">
        <v>2</v>
      </c>
      <c r="B887" s="23" t="n">
        <v>883</v>
      </c>
      <c r="C887" s="23" t="n">
        <v>1883</v>
      </c>
      <c r="D887" s="23" t="inlineStr">
        <is>
          <t>0401029027</t>
        </is>
      </c>
      <c r="E887" s="11" t="inlineStr">
        <is>
          <t>Region IV-A (CALABARZON)</t>
        </is>
      </c>
      <c r="F887" s="11" t="inlineStr">
        <is>
          <t>Batangas</t>
        </is>
      </c>
      <c r="G887" s="11" t="inlineStr">
        <is>
          <t>Taal</t>
        </is>
      </c>
      <c r="H887" s="11" t="inlineStr">
        <is>
          <t>Poblacion 3</t>
        </is>
      </c>
      <c r="I887" s="24" t="n">
        <v>13.876217</v>
      </c>
      <c r="J887" s="24" t="n">
        <v>120.923804</v>
      </c>
      <c r="K887" s="23" t="inlineStr">
        <is>
          <t>R</t>
        </is>
      </c>
      <c r="L887" s="25" t="n">
        <v>731</v>
      </c>
      <c r="M887" s="26" t="n">
        <v>3.6</v>
      </c>
      <c r="N887" s="25">
        <f>ROUND(L887/M887, 0)</f>
        <v/>
      </c>
      <c r="O887" s="25">
        <f>ROUND(N887*'Methodology &amp; Assumptions'!$B$7, 0)</f>
        <v/>
      </c>
      <c r="P887" s="23" t="inlineStr">
        <is>
          <t>Single Carrier (Band n50, 100MHz TDD)</t>
        </is>
      </c>
      <c r="Q887" s="27">
        <f>ROUNDUP(O887/'Methodology &amp; Assumptions'!$B$8, 0)</f>
        <v/>
      </c>
      <c r="R887" s="27" t="n">
        <v>1</v>
      </c>
      <c r="S887" s="26" t="n">
        <v>0.74</v>
      </c>
      <c r="T887" s="26" t="n">
        <v>1.93</v>
      </c>
      <c r="U887" s="11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26" t="n">
        <v>65.48999999999999</v>
      </c>
      <c r="W887" s="26" t="n">
        <v>59.8</v>
      </c>
      <c r="X887" s="26">
        <f>ROUND(('Methodology &amp; Assumptions'!$B$5*V887) + ('Methodology &amp; Assumptions'!$B$6*W887), 2)</f>
        <v/>
      </c>
      <c r="Y887" s="28" t="n">
        <v>7.2</v>
      </c>
      <c r="Z887" s="11" t="inlineStr">
        <is>
          <t>Priority Tier 2 (Balanced Opportunity)</t>
        </is>
      </c>
    </row>
    <row r="888">
      <c r="A888" s="23" t="n">
        <v>2</v>
      </c>
      <c r="B888" s="23" t="n">
        <v>884</v>
      </c>
      <c r="C888" s="23" t="n">
        <v>1884</v>
      </c>
      <c r="D888" s="23" t="inlineStr">
        <is>
          <t>1380606032</t>
        </is>
      </c>
      <c r="E888" s="11" t="inlineStr">
        <is>
          <t>National Capital Region (NCR)</t>
        </is>
      </c>
      <c r="F888" s="11" t="inlineStr">
        <is>
          <t>First District (Not a Province)</t>
        </is>
      </c>
      <c r="G888" s="11" t="inlineStr">
        <is>
          <t>City of Manila</t>
        </is>
      </c>
      <c r="H888" s="11" t="inlineStr">
        <is>
          <t>Barangay 426</t>
        </is>
      </c>
      <c r="I888" s="24" t="n">
        <v>14.602205</v>
      </c>
      <c r="J888" s="24" t="n">
        <v>121.008039</v>
      </c>
      <c r="K888" s="23" t="inlineStr">
        <is>
          <t>U</t>
        </is>
      </c>
      <c r="L888" s="25" t="n">
        <v>1529</v>
      </c>
      <c r="M888" s="26" t="n">
        <v>3.53</v>
      </c>
      <c r="N888" s="25">
        <f>ROUND(L888/M888, 0)</f>
        <v/>
      </c>
      <c r="O888" s="25">
        <f>ROUND(N888*'Methodology &amp; Assumptions'!$B$7, 0)</f>
        <v/>
      </c>
      <c r="P888" s="23" t="inlineStr">
        <is>
          <t>Single Carrier (Band n50, 100MHz TDD)</t>
        </is>
      </c>
      <c r="Q888" s="27">
        <f>ROUNDUP(O888/'Methodology &amp; Assumptions'!$B$8, 0)</f>
        <v/>
      </c>
      <c r="R888" s="27" t="n">
        <v>1</v>
      </c>
      <c r="S888" s="26" t="n">
        <v>0.38</v>
      </c>
      <c r="T888" s="26" t="n">
        <v>0.05</v>
      </c>
      <c r="U888" s="11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26" t="n">
        <v>55.02</v>
      </c>
      <c r="W888" s="26" t="n">
        <v>70.28</v>
      </c>
      <c r="X888" s="26">
        <f>ROUND(('Methodology &amp; Assumptions'!$B$5*V888) + ('Methodology &amp; Assumptions'!$B$6*W888), 2)</f>
        <v/>
      </c>
      <c r="Y888" s="28" t="n">
        <v>10.9</v>
      </c>
      <c r="Z888" s="11" t="inlineStr">
        <is>
          <t>Priority Tier 2 (Balanced Opportunity)</t>
        </is>
      </c>
    </row>
    <row r="889">
      <c r="A889" s="23" t="n">
        <v>2</v>
      </c>
      <c r="B889" s="23" t="n">
        <v>885</v>
      </c>
      <c r="C889" s="23" t="n">
        <v>1885</v>
      </c>
      <c r="D889" s="23" t="inlineStr">
        <is>
          <t>0401005078</t>
        </is>
      </c>
      <c r="E889" s="11" t="inlineStr">
        <is>
          <t>Region IV-A (CALABARZON)</t>
        </is>
      </c>
      <c r="F889" s="11" t="inlineStr">
        <is>
          <t>Batangas</t>
        </is>
      </c>
      <c r="G889" s="11" t="inlineStr">
        <is>
          <t>Batangas City</t>
        </is>
      </c>
      <c r="H889" s="11" t="inlineStr">
        <is>
          <t>Barangay 9</t>
        </is>
      </c>
      <c r="I889" s="24" t="n">
        <v>13.757457</v>
      </c>
      <c r="J889" s="24" t="n">
        <v>121.05895</v>
      </c>
      <c r="K889" s="23" t="inlineStr">
        <is>
          <t>U</t>
        </is>
      </c>
      <c r="L889" s="25" t="n">
        <v>265</v>
      </c>
      <c r="M889" s="26" t="n">
        <v>3.6</v>
      </c>
      <c r="N889" s="25">
        <f>ROUND(L889/M889, 0)</f>
        <v/>
      </c>
      <c r="O889" s="25">
        <f>ROUND(N889*'Methodology &amp; Assumptions'!$B$7, 0)</f>
        <v/>
      </c>
      <c r="P889" s="23" t="inlineStr">
        <is>
          <t>Single Carrier (Band n50, 100MHz TDD)</t>
        </is>
      </c>
      <c r="Q889" s="27">
        <f>ROUNDUP(O889/'Methodology &amp; Assumptions'!$B$8, 0)</f>
        <v/>
      </c>
      <c r="R889" s="27" t="n">
        <v>1</v>
      </c>
      <c r="S889" s="26" t="n">
        <v>0.59</v>
      </c>
      <c r="T889" s="26" t="n">
        <v>0.13</v>
      </c>
      <c r="U889" s="11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26" t="n">
        <v>54.05</v>
      </c>
      <c r="W889" s="26" t="n">
        <v>71.25</v>
      </c>
      <c r="X889" s="26">
        <f>ROUND(('Methodology &amp; Assumptions'!$B$5*V889) + ('Methodology &amp; Assumptions'!$B$6*W889), 2)</f>
        <v/>
      </c>
      <c r="Y889" s="28" t="n">
        <v>7.2</v>
      </c>
      <c r="Z889" s="11" t="inlineStr">
        <is>
          <t>Priority Tier 2 (Balanced Opportunity)</t>
        </is>
      </c>
    </row>
    <row r="890">
      <c r="A890" s="23" t="n">
        <v>2</v>
      </c>
      <c r="B890" s="23" t="n">
        <v>886</v>
      </c>
      <c r="C890" s="23" t="n">
        <v>1886</v>
      </c>
      <c r="D890" s="23" t="inlineStr">
        <is>
          <t>1400108013</t>
        </is>
      </c>
      <c r="E890" s="11" t="inlineStr">
        <is>
          <t>Cordillera Administrative Region (CAR)</t>
        </is>
      </c>
      <c r="F890" s="11" t="inlineStr">
        <is>
          <t>Abra</t>
        </is>
      </c>
      <c r="G890" s="11" t="inlineStr">
        <is>
          <t>La Paz</t>
        </is>
      </c>
      <c r="H890" s="11" t="inlineStr">
        <is>
          <t>Udangan</t>
        </is>
      </c>
      <c r="I890" s="24" t="n">
        <v>17.672637</v>
      </c>
      <c r="J890" s="24" t="n">
        <v>120.608068</v>
      </c>
      <c r="K890" s="23" t="inlineStr">
        <is>
          <t>R</t>
        </is>
      </c>
      <c r="L890" s="25" t="n">
        <v>549</v>
      </c>
      <c r="M890" s="26" t="n">
        <v>3.8</v>
      </c>
      <c r="N890" s="25">
        <f>ROUND(L890/M890, 0)</f>
        <v/>
      </c>
      <c r="O890" s="25">
        <f>ROUND(N890*'Methodology &amp; Assumptions'!$B$7, 0)</f>
        <v/>
      </c>
      <c r="P890" s="23" t="inlineStr">
        <is>
          <t>Single Carrier (Band n50, 100MHz TDD)</t>
        </is>
      </c>
      <c r="Q890" s="27">
        <f>ROUNDUP(O890/'Methodology &amp; Assumptions'!$B$8, 0)</f>
        <v/>
      </c>
      <c r="R890" s="27" t="n">
        <v>1</v>
      </c>
      <c r="S890" s="26" t="n">
        <v>6.31</v>
      </c>
      <c r="T890" s="26" t="n">
        <v>4.34</v>
      </c>
      <c r="U890" s="11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26" t="n">
        <v>48.31</v>
      </c>
      <c r="W890" s="26" t="n">
        <v>76.97</v>
      </c>
      <c r="X890" s="26">
        <f>ROUND(('Methodology &amp; Assumptions'!$B$5*V890) + ('Methodology &amp; Assumptions'!$B$6*W890), 2)</f>
        <v/>
      </c>
      <c r="Y890" s="28" t="n">
        <v>10.9</v>
      </c>
      <c r="Z890" s="11" t="inlineStr">
        <is>
          <t>Priority Tier 2 (Balanced Opportunity)</t>
        </is>
      </c>
    </row>
    <row r="891">
      <c r="A891" s="23" t="n">
        <v>2</v>
      </c>
      <c r="B891" s="23" t="n">
        <v>887</v>
      </c>
      <c r="C891" s="23" t="n">
        <v>1887</v>
      </c>
      <c r="D891" s="23" t="inlineStr">
        <is>
          <t>0301420023</t>
        </is>
      </c>
      <c r="E891" s="11" t="inlineStr">
        <is>
          <t>Region III (Central Luzon)</t>
        </is>
      </c>
      <c r="F891" s="11" t="inlineStr">
        <is>
          <t>Bulacan</t>
        </is>
      </c>
      <c r="G891" s="11" t="inlineStr">
        <is>
          <t>City of San Jose Del Monte</t>
        </is>
      </c>
      <c r="H891" s="11" t="inlineStr">
        <is>
          <t>Fatima II</t>
        </is>
      </c>
      <c r="I891" s="24" t="n">
        <v>14.843772</v>
      </c>
      <c r="J891" s="24" t="n">
        <v>121.043957</v>
      </c>
      <c r="K891" s="23" t="inlineStr">
        <is>
          <t>R</t>
        </is>
      </c>
      <c r="L891" s="25" t="n">
        <v>1976</v>
      </c>
      <c r="M891" s="26" t="n">
        <v>3.5</v>
      </c>
      <c r="N891" s="25">
        <f>ROUND(L891/M891, 0)</f>
        <v/>
      </c>
      <c r="O891" s="25">
        <f>ROUND(N891*'Methodology &amp; Assumptions'!$B$7, 0)</f>
        <v/>
      </c>
      <c r="P891" s="23" t="inlineStr">
        <is>
          <t>Single Carrier (Band n50, 100MHz TDD)</t>
        </is>
      </c>
      <c r="Q891" s="27">
        <f>ROUNDUP(O891/'Methodology &amp; Assumptions'!$B$8, 0)</f>
        <v/>
      </c>
      <c r="R891" s="27" t="n">
        <v>1</v>
      </c>
      <c r="S891" s="26" t="n">
        <v>0.77</v>
      </c>
      <c r="T891" s="26" t="n">
        <v>1.49</v>
      </c>
      <c r="U891" s="11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26" t="n">
        <v>77.44</v>
      </c>
      <c r="W891" s="26" t="n">
        <v>47.81</v>
      </c>
      <c r="X891" s="26">
        <f>ROUND(('Methodology &amp; Assumptions'!$B$5*V891) + ('Methodology &amp; Assumptions'!$B$6*W891), 2)</f>
        <v/>
      </c>
      <c r="Y891" s="28" t="n">
        <v>8.300000000000001</v>
      </c>
      <c r="Z891" s="11" t="inlineStr">
        <is>
          <t>Priority Tier 2 (Balanced Opportunity)</t>
        </is>
      </c>
    </row>
    <row r="892">
      <c r="A892" s="23" t="n">
        <v>2</v>
      </c>
      <c r="B892" s="23" t="n">
        <v>888</v>
      </c>
      <c r="C892" s="23" t="n">
        <v>1888</v>
      </c>
      <c r="D892" s="23" t="inlineStr">
        <is>
          <t>1381000007</t>
        </is>
      </c>
      <c r="E892" s="11" t="inlineStr">
        <is>
          <t>National Capital Region (NCR)</t>
        </is>
      </c>
      <c r="F892" s="11" t="inlineStr">
        <is>
          <t>Fourth District (Not a Province)</t>
        </is>
      </c>
      <c r="G892" s="11" t="inlineStr">
        <is>
          <t>City of Parañaque</t>
        </is>
      </c>
      <c r="H892" s="11" t="inlineStr">
        <is>
          <t>B. F. Homes</t>
        </is>
      </c>
      <c r="I892" s="24" t="n">
        <v>14.446022</v>
      </c>
      <c r="J892" s="24" t="n">
        <v>121.027278</v>
      </c>
      <c r="K892" s="23" t="inlineStr">
        <is>
          <t>U</t>
        </is>
      </c>
      <c r="L892" s="25" t="n">
        <v>96523</v>
      </c>
      <c r="M892" s="26" t="n">
        <v>3.52</v>
      </c>
      <c r="N892" s="25">
        <f>ROUND(L892/M892, 0)</f>
        <v/>
      </c>
      <c r="O892" s="25">
        <f>ROUND(N892*'Methodology &amp; Assumptions'!$B$7, 0)</f>
        <v/>
      </c>
      <c r="P892" s="23" t="inlineStr">
        <is>
          <t>Single Carrier (Band n50, 100MHz TDD)</t>
        </is>
      </c>
      <c r="Q892" s="27">
        <f>ROUNDUP(O892/'Methodology &amp; Assumptions'!$B$8, 0)</f>
        <v/>
      </c>
      <c r="R892" s="27" t="n">
        <v>1</v>
      </c>
      <c r="S892" s="26" t="n">
        <v>1.48</v>
      </c>
      <c r="T892" s="26" t="n">
        <v>1.47</v>
      </c>
      <c r="U892" s="11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26" t="n">
        <v>62.41</v>
      </c>
      <c r="W892" s="26" t="n">
        <v>62.85</v>
      </c>
      <c r="X892" s="26">
        <f>ROUND(('Methodology &amp; Assumptions'!$B$5*V892) + ('Methodology &amp; Assumptions'!$B$6*W892), 2)</f>
        <v/>
      </c>
      <c r="Y892" s="28" t="n">
        <v>10.9</v>
      </c>
      <c r="Z892" s="11" t="inlineStr">
        <is>
          <t>Priority Tier 2 (Balanced Opportunity)</t>
        </is>
      </c>
    </row>
    <row r="893">
      <c r="A893" s="23" t="n">
        <v>2</v>
      </c>
      <c r="B893" s="23" t="n">
        <v>889</v>
      </c>
      <c r="C893" s="23" t="n">
        <v>1889</v>
      </c>
      <c r="D893" s="23" t="inlineStr">
        <is>
          <t>0300805013</t>
        </is>
      </c>
      <c r="E893" s="11" t="inlineStr">
        <is>
          <t>Region III (Central Luzon)</t>
        </is>
      </c>
      <c r="F893" s="11" t="inlineStr">
        <is>
          <t>Bataan</t>
        </is>
      </c>
      <c r="G893" s="11" t="inlineStr">
        <is>
          <t>Hermosa</t>
        </is>
      </c>
      <c r="H893" s="11" t="inlineStr">
        <is>
          <t>Mambog - Mandama</t>
        </is>
      </c>
      <c r="I893" s="24" t="n">
        <v>14.831137</v>
      </c>
      <c r="J893" s="24" t="n">
        <v>120.49326</v>
      </c>
      <c r="K893" s="23" t="inlineStr">
        <is>
          <t>R</t>
        </is>
      </c>
      <c r="L893" s="25" t="n">
        <v>3864</v>
      </c>
      <c r="M893" s="26" t="n">
        <v>3.6</v>
      </c>
      <c r="N893" s="25">
        <f>ROUND(L893/M893, 0)</f>
        <v/>
      </c>
      <c r="O893" s="25">
        <f>ROUND(N893*'Methodology &amp; Assumptions'!$B$7, 0)</f>
        <v/>
      </c>
      <c r="P893" s="23" t="inlineStr">
        <is>
          <t>Single Carrier (Band n50, 100MHz TDD)</t>
        </is>
      </c>
      <c r="Q893" s="27">
        <f>ROUNDUP(O893/'Methodology &amp; Assumptions'!$B$8, 0)</f>
        <v/>
      </c>
      <c r="R893" s="27" t="n">
        <v>1</v>
      </c>
      <c r="S893" s="26" t="n">
        <v>0.67</v>
      </c>
      <c r="T893" s="26" t="n">
        <v>0.32</v>
      </c>
      <c r="U893" s="11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26" t="n">
        <v>85.63</v>
      </c>
      <c r="W893" s="26" t="n">
        <v>39.61</v>
      </c>
      <c r="X893" s="26">
        <f>ROUND(('Methodology &amp; Assumptions'!$B$5*V893) + ('Methodology &amp; Assumptions'!$B$6*W893), 2)</f>
        <v/>
      </c>
      <c r="Y893" s="28" t="n">
        <v>8.300000000000001</v>
      </c>
      <c r="Z893" s="11" t="inlineStr">
        <is>
          <t>Priority Tier 2 (Balanced Opportunity)</t>
        </is>
      </c>
    </row>
    <row r="894">
      <c r="A894" s="23" t="n">
        <v>2</v>
      </c>
      <c r="B894" s="23" t="n">
        <v>890</v>
      </c>
      <c r="C894" s="23" t="n">
        <v>1890</v>
      </c>
      <c r="D894" s="23" t="inlineStr">
        <is>
          <t>0405806027</t>
        </is>
      </c>
      <c r="E894" s="11" t="inlineStr">
        <is>
          <t>Region IV-A (CALABARZON)</t>
        </is>
      </c>
      <c r="F894" s="11" t="inlineStr">
        <is>
          <t>Rizal</t>
        </is>
      </c>
      <c r="G894" s="11" t="inlineStr">
        <is>
          <t>Cardona</t>
        </is>
      </c>
      <c r="H894" s="11" t="inlineStr">
        <is>
          <t>San Roque</t>
        </is>
      </c>
      <c r="I894" s="24" t="n">
        <v>14.48375</v>
      </c>
      <c r="J894" s="24" t="n">
        <v>121.22798</v>
      </c>
      <c r="K894" s="23" t="inlineStr">
        <is>
          <t>R</t>
        </is>
      </c>
      <c r="L894" s="25" t="n">
        <v>2945</v>
      </c>
      <c r="M894" s="26" t="n">
        <v>3.6</v>
      </c>
      <c r="N894" s="25">
        <f>ROUND(L894/M894, 0)</f>
        <v/>
      </c>
      <c r="O894" s="25">
        <f>ROUND(N894*'Methodology &amp; Assumptions'!$B$7, 0)</f>
        <v/>
      </c>
      <c r="P894" s="23" t="inlineStr">
        <is>
          <t>Single Carrier (Band n50, 100MHz TDD)</t>
        </is>
      </c>
      <c r="Q894" s="27">
        <f>ROUNDUP(O894/'Methodology &amp; Assumptions'!$B$8, 0)</f>
        <v/>
      </c>
      <c r="R894" s="27" t="n">
        <v>1</v>
      </c>
      <c r="S894" s="26" t="n">
        <v>0.3</v>
      </c>
      <c r="T894" s="26" t="n">
        <v>0.01</v>
      </c>
      <c r="U894" s="11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26" t="n">
        <v>85.45999999999999</v>
      </c>
      <c r="W894" s="26" t="n">
        <v>39.78</v>
      </c>
      <c r="X894" s="26">
        <f>ROUND(('Methodology &amp; Assumptions'!$B$5*V894) + ('Methodology &amp; Assumptions'!$B$6*W894), 2)</f>
        <v/>
      </c>
      <c r="Y894" s="28" t="n">
        <v>7.2</v>
      </c>
      <c r="Z894" s="11" t="inlineStr">
        <is>
          <t>Priority Tier 2 (Balanced Opportunity)</t>
        </is>
      </c>
    </row>
    <row r="895">
      <c r="A895" s="23" t="n">
        <v>2</v>
      </c>
      <c r="B895" s="23" t="n">
        <v>891</v>
      </c>
      <c r="C895" s="23" t="n">
        <v>1891</v>
      </c>
      <c r="D895" s="23" t="inlineStr">
        <is>
          <t>0201505038</t>
        </is>
      </c>
      <c r="E895" s="11" t="inlineStr">
        <is>
          <t>Region II (Cagayan Valley)</t>
        </is>
      </c>
      <c r="F895" s="11" t="inlineStr">
        <is>
          <t>Cagayan</t>
        </is>
      </c>
      <c r="G895" s="11" t="inlineStr">
        <is>
          <t>Aparri</t>
        </is>
      </c>
      <c r="H895" s="11" t="inlineStr">
        <is>
          <t>San Antonio</t>
        </is>
      </c>
      <c r="I895" s="24" t="n">
        <v>18.3589</v>
      </c>
      <c r="J895" s="24" t="n">
        <v>121.6412</v>
      </c>
      <c r="K895" s="23" t="inlineStr">
        <is>
          <t>U</t>
        </is>
      </c>
      <c r="L895" s="25" t="n">
        <v>4084</v>
      </c>
      <c r="M895" s="26" t="n">
        <v>3.9</v>
      </c>
      <c r="N895" s="25">
        <f>ROUND(L895/M895, 0)</f>
        <v/>
      </c>
      <c r="O895" s="25">
        <f>ROUND(N895*'Methodology &amp; Assumptions'!$B$7, 0)</f>
        <v/>
      </c>
      <c r="P895" s="23" t="inlineStr">
        <is>
          <t>Single Carrier (Band n50, 100MHz TDD)</t>
        </is>
      </c>
      <c r="Q895" s="27">
        <f>ROUNDUP(O895/'Methodology &amp; Assumptions'!$B$8, 0)</f>
        <v/>
      </c>
      <c r="R895" s="27" t="n">
        <v>1</v>
      </c>
      <c r="S895" s="26" t="n">
        <v>0.61</v>
      </c>
      <c r="T895" s="26" t="n">
        <v>10.91</v>
      </c>
      <c r="U895" s="11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26" t="n">
        <v>75.84999999999999</v>
      </c>
      <c r="W895" s="26" t="n">
        <v>49.39</v>
      </c>
      <c r="X895" s="26">
        <f>ROUND(('Methodology &amp; Assumptions'!$B$5*V895) + ('Methodology &amp; Assumptions'!$B$6*W895), 2)</f>
        <v/>
      </c>
      <c r="Y895" s="28" t="n">
        <v>8.300000000000001</v>
      </c>
      <c r="Z895" s="11" t="inlineStr">
        <is>
          <t>Priority Tier 2 (Balanced Opportunity)</t>
        </is>
      </c>
    </row>
    <row r="896">
      <c r="A896" s="23" t="n">
        <v>2</v>
      </c>
      <c r="B896" s="23" t="n">
        <v>892</v>
      </c>
      <c r="C896" s="23" t="n">
        <v>1892</v>
      </c>
      <c r="D896" s="23" t="inlineStr">
        <is>
          <t>1381200017</t>
        </is>
      </c>
      <c r="E896" s="11" t="inlineStr">
        <is>
          <t>National Capital Region (NCR)</t>
        </is>
      </c>
      <c r="F896" s="11" t="inlineStr">
        <is>
          <t>Second District (Not a Province)</t>
        </is>
      </c>
      <c r="G896" s="11" t="inlineStr">
        <is>
          <t>City of Pasig</t>
        </is>
      </c>
      <c r="H896" s="11" t="inlineStr">
        <is>
          <t>Rosario</t>
        </is>
      </c>
      <c r="I896" s="24" t="n">
        <v>14.586065</v>
      </c>
      <c r="J896" s="24" t="n">
        <v>121.084677</v>
      </c>
      <c r="K896" s="23" t="inlineStr">
        <is>
          <t>U</t>
        </is>
      </c>
      <c r="L896" s="25" t="n">
        <v>80002</v>
      </c>
      <c r="M896" s="26" t="n">
        <v>3</v>
      </c>
      <c r="N896" s="25">
        <f>ROUND(L896/M896, 0)</f>
        <v/>
      </c>
      <c r="O896" s="25">
        <f>ROUND(N896*'Methodology &amp; Assumptions'!$B$7, 0)</f>
        <v/>
      </c>
      <c r="P896" s="23" t="inlineStr">
        <is>
          <t>Single Carrier (Band n50, 100MHz TDD)</t>
        </is>
      </c>
      <c r="Q896" s="27">
        <f>ROUNDUP(O896/'Methodology &amp; Assumptions'!$B$8, 0)</f>
        <v/>
      </c>
      <c r="R896" s="27" t="n">
        <v>1</v>
      </c>
      <c r="S896" s="26" t="n">
        <v>1.12</v>
      </c>
      <c r="T896" s="26" t="n">
        <v>0.5</v>
      </c>
      <c r="U896" s="11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26" t="n">
        <v>63.8</v>
      </c>
      <c r="W896" s="26" t="n">
        <v>61.45</v>
      </c>
      <c r="X896" s="26">
        <f>ROUND(('Methodology &amp; Assumptions'!$B$5*V896) + ('Methodology &amp; Assumptions'!$B$6*W896), 2)</f>
        <v/>
      </c>
      <c r="Y896" s="28" t="n">
        <v>10.9</v>
      </c>
      <c r="Z896" s="11" t="inlineStr">
        <is>
          <t>Priority Tier 2 (Balanced Opportunity)</t>
        </is>
      </c>
    </row>
    <row r="897">
      <c r="A897" s="23" t="n">
        <v>2</v>
      </c>
      <c r="B897" s="23" t="n">
        <v>893</v>
      </c>
      <c r="C897" s="23" t="n">
        <v>1893</v>
      </c>
      <c r="D897" s="23" t="inlineStr">
        <is>
          <t>0501705012</t>
        </is>
      </c>
      <c r="E897" s="11" t="inlineStr">
        <is>
          <t>Region V (Bicol Region)</t>
        </is>
      </c>
      <c r="F897" s="11" t="inlineStr">
        <is>
          <t>Camarines Sur</t>
        </is>
      </c>
      <c r="G897" s="11" t="inlineStr">
        <is>
          <t>Buhi</t>
        </is>
      </c>
      <c r="H897" s="11" t="inlineStr">
        <is>
          <t>Ibayugan</t>
        </is>
      </c>
      <c r="I897" s="24" t="n">
        <v>13.48467</v>
      </c>
      <c r="J897" s="24" t="n">
        <v>123.513948</v>
      </c>
      <c r="K897" s="23" t="inlineStr">
        <is>
          <t>R</t>
        </is>
      </c>
      <c r="L897" s="25" t="n">
        <v>1957</v>
      </c>
      <c r="M897" s="26" t="n">
        <v>4.2</v>
      </c>
      <c r="N897" s="25">
        <f>ROUND(L897/M897, 0)</f>
        <v/>
      </c>
      <c r="O897" s="25">
        <f>ROUND(N897*'Methodology &amp; Assumptions'!$B$7, 0)</f>
        <v/>
      </c>
      <c r="P897" s="23" t="inlineStr">
        <is>
          <t>Single Carrier (Band n50, 100MHz TDD)</t>
        </is>
      </c>
      <c r="Q897" s="27">
        <f>ROUNDUP(O897/'Methodology &amp; Assumptions'!$B$8, 0)</f>
        <v/>
      </c>
      <c r="R897" s="27" t="n">
        <v>1</v>
      </c>
      <c r="S897" s="26" t="n">
        <v>7.62</v>
      </c>
      <c r="T897" s="26" t="n">
        <v>7.82</v>
      </c>
      <c r="U897" s="11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26" t="n">
        <v>57.12</v>
      </c>
      <c r="W897" s="26" t="n">
        <v>68.12</v>
      </c>
      <c r="X897" s="26">
        <f>ROUND(('Methodology &amp; Assumptions'!$B$5*V897) + ('Methodology &amp; Assumptions'!$B$6*W897), 2)</f>
        <v/>
      </c>
      <c r="Y897" s="28" t="n">
        <v>23.7</v>
      </c>
      <c r="Z897" s="11" t="inlineStr">
        <is>
          <t>Priority Tier 2 (Balanced Opportunity)</t>
        </is>
      </c>
    </row>
    <row r="898">
      <c r="A898" s="23" t="n">
        <v>2</v>
      </c>
      <c r="B898" s="23" t="n">
        <v>894</v>
      </c>
      <c r="C898" s="23" t="n">
        <v>1894</v>
      </c>
      <c r="D898" s="23" t="inlineStr">
        <is>
          <t>0401005061</t>
        </is>
      </c>
      <c r="E898" s="11" t="inlineStr">
        <is>
          <t>Region IV-A (CALABARZON)</t>
        </is>
      </c>
      <c r="F898" s="11" t="inlineStr">
        <is>
          <t>Batangas</t>
        </is>
      </c>
      <c r="G898" s="11" t="inlineStr">
        <is>
          <t>Batangas City</t>
        </is>
      </c>
      <c r="H898" s="11" t="inlineStr">
        <is>
          <t>Barangay 15</t>
        </is>
      </c>
      <c r="I898" s="24" t="n">
        <v>13.757941</v>
      </c>
      <c r="J898" s="24" t="n">
        <v>121.056622</v>
      </c>
      <c r="K898" s="23" t="inlineStr">
        <is>
          <t>U</t>
        </is>
      </c>
      <c r="L898" s="25" t="n">
        <v>202</v>
      </c>
      <c r="M898" s="26" t="n">
        <v>3.6</v>
      </c>
      <c r="N898" s="25">
        <f>ROUND(L898/M898, 0)</f>
        <v/>
      </c>
      <c r="O898" s="25">
        <f>ROUND(N898*'Methodology &amp; Assumptions'!$B$7, 0)</f>
        <v/>
      </c>
      <c r="P898" s="23" t="inlineStr">
        <is>
          <t>Single Carrier (Band n50, 100MHz TDD)</t>
        </is>
      </c>
      <c r="Q898" s="27">
        <f>ROUNDUP(O898/'Methodology &amp; Assumptions'!$B$8, 0)</f>
        <v/>
      </c>
      <c r="R898" s="27" t="n">
        <v>1</v>
      </c>
      <c r="S898" s="26" t="n">
        <v>0.49</v>
      </c>
      <c r="T898" s="26" t="n">
        <v>0.25</v>
      </c>
      <c r="U898" s="11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26" t="n">
        <v>53.51</v>
      </c>
      <c r="W898" s="26" t="n">
        <v>71.73999999999999</v>
      </c>
      <c r="X898" s="26">
        <f>ROUND(('Methodology &amp; Assumptions'!$B$5*V898) + ('Methodology &amp; Assumptions'!$B$6*W898), 2)</f>
        <v/>
      </c>
      <c r="Y898" s="28" t="n">
        <v>7.2</v>
      </c>
      <c r="Z898" s="11" t="inlineStr">
        <is>
          <t>Priority Tier 2 (Balanced Opportunity)</t>
        </is>
      </c>
    </row>
    <row r="899">
      <c r="A899" s="23" t="n">
        <v>2</v>
      </c>
      <c r="B899" s="23" t="n">
        <v>895</v>
      </c>
      <c r="C899" s="23" t="n">
        <v>1895</v>
      </c>
      <c r="D899" s="23" t="inlineStr">
        <is>
          <t>0205703010</t>
        </is>
      </c>
      <c r="E899" s="11" t="inlineStr">
        <is>
          <t>Region II (Cagayan Valley)</t>
        </is>
      </c>
      <c r="F899" s="11" t="inlineStr">
        <is>
          <t>Quirino</t>
        </is>
      </c>
      <c r="G899" s="11" t="inlineStr">
        <is>
          <t>Diffun</t>
        </is>
      </c>
      <c r="H899" s="11" t="inlineStr">
        <is>
          <t>Don Mariano Perez, Sr.</t>
        </is>
      </c>
      <c r="I899" s="24" t="n">
        <v>16.453598</v>
      </c>
      <c r="J899" s="24" t="n">
        <v>121.405615</v>
      </c>
      <c r="K899" s="23" t="inlineStr">
        <is>
          <t>R</t>
        </is>
      </c>
      <c r="L899" s="25" t="n">
        <v>712</v>
      </c>
      <c r="M899" s="26" t="n">
        <v>3.9</v>
      </c>
      <c r="N899" s="25">
        <f>ROUND(L899/M899, 0)</f>
        <v/>
      </c>
      <c r="O899" s="25">
        <f>ROUND(N899*'Methodology &amp; Assumptions'!$B$7, 0)</f>
        <v/>
      </c>
      <c r="P899" s="23" t="inlineStr">
        <is>
          <t>Single Carrier (Band n50, 100MHz TDD)</t>
        </is>
      </c>
      <c r="Q899" s="27">
        <f>ROUNDUP(O899/'Methodology &amp; Assumptions'!$B$8, 0)</f>
        <v/>
      </c>
      <c r="R899" s="27" t="n">
        <v>1</v>
      </c>
      <c r="S899" s="26" t="n">
        <v>11.11</v>
      </c>
      <c r="T899" s="26" t="n">
        <v>16.69</v>
      </c>
      <c r="U899" s="11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26" t="n">
        <v>43.22</v>
      </c>
      <c r="W899" s="26" t="n">
        <v>82.02</v>
      </c>
      <c r="X899" s="26">
        <f>ROUND(('Methodology &amp; Assumptions'!$B$5*V899) + ('Methodology &amp; Assumptions'!$B$6*W899), 2)</f>
        <v/>
      </c>
      <c r="Y899" s="28" t="n">
        <v>8.300000000000001</v>
      </c>
      <c r="Z899" s="11" t="inlineStr">
        <is>
          <t>Priority Tier 2 (Balanced Opportunity)</t>
        </is>
      </c>
    </row>
    <row r="900">
      <c r="A900" s="23" t="n">
        <v>2</v>
      </c>
      <c r="B900" s="23" t="n">
        <v>896</v>
      </c>
      <c r="C900" s="23" t="n">
        <v>1896</v>
      </c>
      <c r="D900" s="23" t="inlineStr">
        <is>
          <t>0304932027</t>
        </is>
      </c>
      <c r="E900" s="11" t="inlineStr">
        <is>
          <t>Region III (Central Luzon)</t>
        </is>
      </c>
      <c r="F900" s="11" t="inlineStr">
        <is>
          <t>Nueva Ecija</t>
        </is>
      </c>
      <c r="G900" s="11" t="inlineStr">
        <is>
          <t>Zaragoza</t>
        </is>
      </c>
      <c r="H900" s="11" t="inlineStr">
        <is>
          <t>Santo Rosario Young</t>
        </is>
      </c>
      <c r="I900" s="24" t="n">
        <v>15.446111</v>
      </c>
      <c r="J900" s="24" t="n">
        <v>120.783611</v>
      </c>
      <c r="K900" s="23" t="inlineStr">
        <is>
          <t>R</t>
        </is>
      </c>
      <c r="L900" s="25" t="n">
        <v>4233</v>
      </c>
      <c r="M900" s="26" t="n">
        <v>3.5</v>
      </c>
      <c r="N900" s="25">
        <f>ROUND(L900/M900, 0)</f>
        <v/>
      </c>
      <c r="O900" s="25">
        <f>ROUND(N900*'Methodology &amp; Assumptions'!$B$7, 0)</f>
        <v/>
      </c>
      <c r="P900" s="23" t="inlineStr">
        <is>
          <t>Single Carrier (Band n50, 100MHz TDD)</t>
        </is>
      </c>
      <c r="Q900" s="27">
        <f>ROUNDUP(O900/'Methodology &amp; Assumptions'!$B$8, 0)</f>
        <v/>
      </c>
      <c r="R900" s="27" t="n">
        <v>1</v>
      </c>
      <c r="S900" s="26" t="n">
        <v>0.93</v>
      </c>
      <c r="T900" s="26" t="n">
        <v>0.07000000000000001</v>
      </c>
      <c r="U900" s="11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26" t="n">
        <v>85.29000000000001</v>
      </c>
      <c r="W900" s="26" t="n">
        <v>39.94</v>
      </c>
      <c r="X900" s="26">
        <f>ROUND(('Methodology &amp; Assumptions'!$B$5*V900) + ('Methodology &amp; Assumptions'!$B$6*W900), 2)</f>
        <v/>
      </c>
      <c r="Y900" s="28" t="n">
        <v>8.300000000000001</v>
      </c>
      <c r="Z900" s="11" t="inlineStr">
        <is>
          <t>Priority Tier 2 (Balanced Opportunity)</t>
        </is>
      </c>
    </row>
    <row r="901">
      <c r="A901" s="23" t="n">
        <v>2</v>
      </c>
      <c r="B901" s="23" t="n">
        <v>897</v>
      </c>
      <c r="C901" s="23" t="n">
        <v>1897</v>
      </c>
      <c r="D901" s="23" t="inlineStr">
        <is>
          <t>1380500004</t>
        </is>
      </c>
      <c r="E901" s="11" t="inlineStr">
        <is>
          <t>National Capital Region (NCR)</t>
        </is>
      </c>
      <c r="F901" s="11" t="inlineStr">
        <is>
          <t>Second District (Not a Province)</t>
        </is>
      </c>
      <c r="G901" s="11" t="inlineStr">
        <is>
          <t>City of Mandaluyong</t>
        </is>
      </c>
      <c r="H901" s="11" t="inlineStr">
        <is>
          <t>Barangka Ibaba</t>
        </is>
      </c>
      <c r="I901" s="24" t="n">
        <v>14.57156</v>
      </c>
      <c r="J901" s="24" t="n">
        <v>121.0411</v>
      </c>
      <c r="K901" s="23" t="inlineStr">
        <is>
          <t>U</t>
        </is>
      </c>
      <c r="L901" s="25" t="n">
        <v>9473</v>
      </c>
      <c r="M901" s="26" t="n">
        <v>3.39</v>
      </c>
      <c r="N901" s="25">
        <f>ROUND(L901/M901, 0)</f>
        <v/>
      </c>
      <c r="O901" s="25">
        <f>ROUND(N901*'Methodology &amp; Assumptions'!$B$7, 0)</f>
        <v/>
      </c>
      <c r="P901" s="23" t="inlineStr">
        <is>
          <t>Single Carrier (Band n50, 100MHz TDD)</t>
        </is>
      </c>
      <c r="Q901" s="27">
        <f>ROUNDUP(O901/'Methodology &amp; Assumptions'!$B$8, 0)</f>
        <v/>
      </c>
      <c r="R901" s="27" t="n">
        <v>1</v>
      </c>
      <c r="S901" s="26" t="n">
        <v>1.46</v>
      </c>
      <c r="T901" s="26" t="n">
        <v>0.22</v>
      </c>
      <c r="U901" s="11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26" t="n">
        <v>66.76000000000001</v>
      </c>
      <c r="W901" s="26" t="n">
        <v>58.47</v>
      </c>
      <c r="X901" s="26">
        <f>ROUND(('Methodology &amp; Assumptions'!$B$5*V901) + ('Methodology &amp; Assumptions'!$B$6*W901), 2)</f>
        <v/>
      </c>
      <c r="Y901" s="28" t="n">
        <v>10.9</v>
      </c>
      <c r="Z901" s="11" t="inlineStr">
        <is>
          <t>Priority Tier 2 (Balanced Opportunity)</t>
        </is>
      </c>
    </row>
    <row r="902">
      <c r="A902" s="23" t="n">
        <v>2</v>
      </c>
      <c r="B902" s="23" t="n">
        <v>898</v>
      </c>
      <c r="C902" s="23" t="n">
        <v>1898</v>
      </c>
      <c r="D902" s="23" t="inlineStr">
        <is>
          <t>0403411001</t>
        </is>
      </c>
      <c r="E902" s="11" t="inlineStr">
        <is>
          <t>Region IV-A (CALABARZON)</t>
        </is>
      </c>
      <c r="F902" s="11" t="inlineStr">
        <is>
          <t>Laguna</t>
        </is>
      </c>
      <c r="G902" s="11" t="inlineStr">
        <is>
          <t>Los Baños</t>
        </is>
      </c>
      <c r="H902" s="11" t="inlineStr">
        <is>
          <t>Anos</t>
        </is>
      </c>
      <c r="I902" s="24" t="n">
        <v>14.18125</v>
      </c>
      <c r="J902" s="24" t="n">
        <v>121.232256</v>
      </c>
      <c r="K902" s="23" t="inlineStr">
        <is>
          <t>U</t>
        </is>
      </c>
      <c r="L902" s="25" t="n">
        <v>9663</v>
      </c>
      <c r="M902" s="26" t="n">
        <v>3.3</v>
      </c>
      <c r="N902" s="25">
        <f>ROUND(L902/M902, 0)</f>
        <v/>
      </c>
      <c r="O902" s="25">
        <f>ROUND(N902*'Methodology &amp; Assumptions'!$B$7, 0)</f>
        <v/>
      </c>
      <c r="P902" s="23" t="inlineStr">
        <is>
          <t>Single Carrier (Band n50, 100MHz TDD)</t>
        </is>
      </c>
      <c r="Q902" s="27">
        <f>ROUNDUP(O902/'Methodology &amp; Assumptions'!$B$8, 0)</f>
        <v/>
      </c>
      <c r="R902" s="27" t="n">
        <v>1</v>
      </c>
      <c r="S902" s="26" t="n">
        <v>1.11</v>
      </c>
      <c r="T902" s="26" t="n">
        <v>0.03</v>
      </c>
      <c r="U902" s="11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26" t="n">
        <v>77.22</v>
      </c>
      <c r="W902" s="26" t="n">
        <v>47.99</v>
      </c>
      <c r="X902" s="26">
        <f>ROUND(('Methodology &amp; Assumptions'!$B$5*V902) + ('Methodology &amp; Assumptions'!$B$6*W902), 2)</f>
        <v/>
      </c>
      <c r="Y902" s="28" t="n">
        <v>7.2</v>
      </c>
      <c r="Z902" s="11" t="inlineStr">
        <is>
          <t>Priority Tier 2 (Balanced Opportunity)</t>
        </is>
      </c>
    </row>
    <row r="903">
      <c r="A903" s="23" t="n">
        <v>2</v>
      </c>
      <c r="B903" s="23" t="n">
        <v>899</v>
      </c>
      <c r="C903" s="23" t="n">
        <v>1899</v>
      </c>
      <c r="D903" s="23" t="inlineStr">
        <is>
          <t>1381000008</t>
        </is>
      </c>
      <c r="E903" s="11" t="inlineStr">
        <is>
          <t>National Capital Region (NCR)</t>
        </is>
      </c>
      <c r="F903" s="11" t="inlineStr">
        <is>
          <t>Fourth District (Not a Province)</t>
        </is>
      </c>
      <c r="G903" s="11" t="inlineStr">
        <is>
          <t>City of Parañaque</t>
        </is>
      </c>
      <c r="H903" s="11" t="inlineStr">
        <is>
          <t>Don Bosco</t>
        </is>
      </c>
      <c r="I903" s="24" t="n">
        <v>14.481863</v>
      </c>
      <c r="J903" s="24" t="n">
        <v>121.037474</v>
      </c>
      <c r="K903" s="23" t="inlineStr">
        <is>
          <t>U</t>
        </is>
      </c>
      <c r="L903" s="25" t="n">
        <v>56113</v>
      </c>
      <c r="M903" s="26" t="n">
        <v>3.63</v>
      </c>
      <c r="N903" s="25">
        <f>ROUND(L903/M903, 0)</f>
        <v/>
      </c>
      <c r="O903" s="25">
        <f>ROUND(N903*'Methodology &amp; Assumptions'!$B$7, 0)</f>
        <v/>
      </c>
      <c r="P903" s="23" t="inlineStr">
        <is>
          <t>Single Carrier (Band n50, 100MHz TDD)</t>
        </is>
      </c>
      <c r="Q903" s="27">
        <f>ROUNDUP(O903/'Methodology &amp; Assumptions'!$B$8, 0)</f>
        <v/>
      </c>
      <c r="R903" s="27" t="n">
        <v>1</v>
      </c>
      <c r="S903" s="26" t="n">
        <v>0.92</v>
      </c>
      <c r="T903" s="26" t="n">
        <v>0.33</v>
      </c>
      <c r="U903" s="11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26" t="n">
        <v>65.75</v>
      </c>
      <c r="W903" s="26" t="n">
        <v>59.44</v>
      </c>
      <c r="X903" s="26">
        <f>ROUND(('Methodology &amp; Assumptions'!$B$5*V903) + ('Methodology &amp; Assumptions'!$B$6*W903), 2)</f>
        <v/>
      </c>
      <c r="Y903" s="28" t="n">
        <v>10.9</v>
      </c>
      <c r="Z903" s="11" t="inlineStr">
        <is>
          <t>Priority Tier 2 (Balanced Opportunity)</t>
        </is>
      </c>
    </row>
    <row r="904">
      <c r="A904" s="23" t="n">
        <v>2</v>
      </c>
      <c r="B904" s="23" t="n">
        <v>900</v>
      </c>
      <c r="C904" s="23" t="n">
        <v>1900</v>
      </c>
      <c r="D904" s="23" t="inlineStr">
        <is>
          <t>1380500006</t>
        </is>
      </c>
      <c r="E904" s="11" t="inlineStr">
        <is>
          <t>National Capital Region (NCR)</t>
        </is>
      </c>
      <c r="F904" s="11" t="inlineStr">
        <is>
          <t>Second District (Not a Province)</t>
        </is>
      </c>
      <c r="G904" s="11" t="inlineStr">
        <is>
          <t>City of Mandaluyong</t>
        </is>
      </c>
      <c r="H904" s="11" t="inlineStr">
        <is>
          <t>Barangka Itaas</t>
        </is>
      </c>
      <c r="I904" s="24" t="n">
        <v>14.571543</v>
      </c>
      <c r="J904" s="24" t="n">
        <v>121.041134</v>
      </c>
      <c r="K904" s="23" t="inlineStr">
        <is>
          <t>U</t>
        </is>
      </c>
      <c r="L904" s="25" t="n">
        <v>11354</v>
      </c>
      <c r="M904" s="26" t="n">
        <v>3.12</v>
      </c>
      <c r="N904" s="25">
        <f>ROUND(L904/M904, 0)</f>
        <v/>
      </c>
      <c r="O904" s="25">
        <f>ROUND(N904*'Methodology &amp; Assumptions'!$B$7, 0)</f>
        <v/>
      </c>
      <c r="P904" s="23" t="inlineStr">
        <is>
          <t>Single Carrier (Band n50, 100MHz TDD)</t>
        </is>
      </c>
      <c r="Q904" s="27">
        <f>ROUNDUP(O904/'Methodology &amp; Assumptions'!$B$8, 0)</f>
        <v/>
      </c>
      <c r="R904" s="27" t="n">
        <v>1</v>
      </c>
      <c r="S904" s="26" t="n">
        <v>1.46</v>
      </c>
      <c r="T904" s="26" t="n">
        <v>0.22</v>
      </c>
      <c r="U904" s="11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26" t="n">
        <v>66.75</v>
      </c>
      <c r="W904" s="26" t="n">
        <v>58.44</v>
      </c>
      <c r="X904" s="26">
        <f>ROUND(('Methodology &amp; Assumptions'!$B$5*V904) + ('Methodology &amp; Assumptions'!$B$6*W904), 2)</f>
        <v/>
      </c>
      <c r="Y904" s="28" t="n">
        <v>10.9</v>
      </c>
      <c r="Z904" s="11" t="inlineStr">
        <is>
          <t>Priority Tier 2 (Balanced Opportunity)</t>
        </is>
      </c>
    </row>
    <row r="905">
      <c r="A905" s="23" t="n">
        <v>2</v>
      </c>
      <c r="B905" s="23" t="n">
        <v>901</v>
      </c>
      <c r="C905" s="23" t="n">
        <v>1901</v>
      </c>
      <c r="D905" s="23" t="inlineStr">
        <is>
          <t>1381600008</t>
        </is>
      </c>
      <c r="E905" s="11" t="inlineStr">
        <is>
          <t>National Capital Region (NCR)</t>
        </is>
      </c>
      <c r="F905" s="11" t="inlineStr">
        <is>
          <t>Third District (Not a Province)</t>
        </is>
      </c>
      <c r="G905" s="11" t="inlineStr">
        <is>
          <t>City of Valenzuela</t>
        </is>
      </c>
      <c r="H905" s="11" t="inlineStr">
        <is>
          <t>Karuhatan</t>
        </is>
      </c>
      <c r="I905" s="24" t="n">
        <v>14.68953</v>
      </c>
      <c r="J905" s="24" t="n">
        <v>120.9778</v>
      </c>
      <c r="K905" s="23" t="inlineStr">
        <is>
          <t>U</t>
        </is>
      </c>
      <c r="L905" s="25" t="n">
        <v>42845</v>
      </c>
      <c r="M905" s="26" t="n">
        <v>3.4</v>
      </c>
      <c r="N905" s="25">
        <f>ROUND(L905/M905, 0)</f>
        <v/>
      </c>
      <c r="O905" s="25">
        <f>ROUND(N905*'Methodology &amp; Assumptions'!$B$7, 0)</f>
        <v/>
      </c>
      <c r="P905" s="23" t="inlineStr">
        <is>
          <t>Single Carrier (Band n50, 100MHz TDD)</t>
        </is>
      </c>
      <c r="Q905" s="27">
        <f>ROUNDUP(O905/'Methodology &amp; Assumptions'!$B$8, 0)</f>
        <v/>
      </c>
      <c r="R905" s="27" t="n">
        <v>1</v>
      </c>
      <c r="S905" s="26" t="n">
        <v>1.22</v>
      </c>
      <c r="T905" s="26" t="n">
        <v>0.17</v>
      </c>
      <c r="U905" s="11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26" t="n">
        <v>65.06999999999999</v>
      </c>
      <c r="W905" s="26" t="n">
        <v>60.1</v>
      </c>
      <c r="X905" s="26">
        <f>ROUND(('Methodology &amp; Assumptions'!$B$5*V905) + ('Methodology &amp; Assumptions'!$B$6*W905), 2)</f>
        <v/>
      </c>
      <c r="Y905" s="28" t="n">
        <v>10.9</v>
      </c>
      <c r="Z905" s="11" t="inlineStr">
        <is>
          <t>Priority Tier 2 (Balanced Opportunity)</t>
        </is>
      </c>
    </row>
    <row r="906">
      <c r="A906" s="23" t="n">
        <v>2</v>
      </c>
      <c r="B906" s="23" t="n">
        <v>902</v>
      </c>
      <c r="C906" s="23" t="n">
        <v>1902</v>
      </c>
      <c r="D906" s="23" t="inlineStr">
        <is>
          <t>1208004013</t>
        </is>
      </c>
      <c r="E906" s="11" t="inlineStr">
        <is>
          <t>Region XII (SOCCSKSARGEN)</t>
        </is>
      </c>
      <c r="F906" s="11" t="inlineStr">
        <is>
          <t>Sarangani</t>
        </is>
      </c>
      <c r="G906" s="11" t="inlineStr">
        <is>
          <t>Maasim</t>
        </is>
      </c>
      <c r="H906" s="11" t="inlineStr">
        <is>
          <t>Pananag</t>
        </is>
      </c>
      <c r="I906" s="24" t="n">
        <v>5.922484</v>
      </c>
      <c r="J906" s="24" t="n">
        <v>124.867935</v>
      </c>
      <c r="K906" s="23" t="inlineStr">
        <is>
          <t>R</t>
        </is>
      </c>
      <c r="L906" s="25" t="n">
        <v>1725</v>
      </c>
      <c r="M906" s="26" t="n">
        <v>3.9</v>
      </c>
      <c r="N906" s="25">
        <f>ROUND(L906/M906, 0)</f>
        <v/>
      </c>
      <c r="O906" s="25">
        <f>ROUND(N906*'Methodology &amp; Assumptions'!$B$7, 0)</f>
        <v/>
      </c>
      <c r="P906" s="23" t="inlineStr">
        <is>
          <t>Single Carrier (Band n50, 100MHz TDD)</t>
        </is>
      </c>
      <c r="Q906" s="27">
        <f>ROUNDUP(O906/'Methodology &amp; Assumptions'!$B$8, 0)</f>
        <v/>
      </c>
      <c r="R906" s="27" t="n">
        <v>1</v>
      </c>
      <c r="S906" s="26" t="n">
        <v>34.48</v>
      </c>
      <c r="T906" s="26" t="n">
        <v>37.67</v>
      </c>
      <c r="U906" s="11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26" t="n">
        <v>49.07</v>
      </c>
      <c r="W906" s="26" t="n">
        <v>76.11</v>
      </c>
      <c r="X906" s="26">
        <f>ROUND(('Methodology &amp; Assumptions'!$B$5*V906) + ('Methodology &amp; Assumptions'!$B$6*W906), 2)</f>
        <v/>
      </c>
      <c r="Y906" s="28" t="n">
        <v>17.4</v>
      </c>
      <c r="Z906" s="11" t="inlineStr">
        <is>
          <t>Priority Tier 2 (Balanced Opportunity)</t>
        </is>
      </c>
    </row>
    <row r="907">
      <c r="A907" s="23" t="n">
        <v>2</v>
      </c>
      <c r="B907" s="23" t="n">
        <v>903</v>
      </c>
      <c r="C907" s="23" t="n">
        <v>1903</v>
      </c>
      <c r="D907" s="23" t="inlineStr">
        <is>
          <t>0304913020</t>
        </is>
      </c>
      <c r="E907" s="11" t="inlineStr">
        <is>
          <t>Region III (Central Luzon)</t>
        </is>
      </c>
      <c r="F907" s="11" t="inlineStr">
        <is>
          <t>Nueva Ecija</t>
        </is>
      </c>
      <c r="G907" s="11" t="inlineStr">
        <is>
          <t>Laur</t>
        </is>
      </c>
      <c r="H907" s="11" t="inlineStr">
        <is>
          <t>San Juan</t>
        </is>
      </c>
      <c r="I907" s="24" t="n">
        <v>15.566702</v>
      </c>
      <c r="J907" s="24" t="n">
        <v>121.205269</v>
      </c>
      <c r="K907" s="23" t="inlineStr">
        <is>
          <t>R</t>
        </is>
      </c>
      <c r="L907" s="25" t="n">
        <v>2654</v>
      </c>
      <c r="M907" s="26" t="n">
        <v>3.5</v>
      </c>
      <c r="N907" s="25">
        <f>ROUND(L907/M907, 0)</f>
        <v/>
      </c>
      <c r="O907" s="25">
        <f>ROUND(N907*'Methodology &amp; Assumptions'!$B$7, 0)</f>
        <v/>
      </c>
      <c r="P907" s="23" t="inlineStr">
        <is>
          <t>Single Carrier (Band n50, 100MHz TDD)</t>
        </is>
      </c>
      <c r="Q907" s="27">
        <f>ROUNDUP(O907/'Methodology &amp; Assumptions'!$B$8, 0)</f>
        <v/>
      </c>
      <c r="R907" s="27" t="n">
        <v>1</v>
      </c>
      <c r="S907" s="26" t="n">
        <v>0.03</v>
      </c>
      <c r="T907" s="26" t="n">
        <v>7.84</v>
      </c>
      <c r="U907" s="11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26" t="n">
        <v>83.5</v>
      </c>
      <c r="W907" s="26" t="n">
        <v>41.66</v>
      </c>
      <c r="X907" s="26">
        <f>ROUND(('Methodology &amp; Assumptions'!$B$5*V907) + ('Methodology &amp; Assumptions'!$B$6*W907), 2)</f>
        <v/>
      </c>
      <c r="Y907" s="28" t="n">
        <v>8.300000000000001</v>
      </c>
      <c r="Z907" s="11" t="inlineStr">
        <is>
          <t>Priority Tier 2 (Balanced Opportunity)</t>
        </is>
      </c>
    </row>
    <row r="908">
      <c r="A908" s="23" t="n">
        <v>2</v>
      </c>
      <c r="B908" s="23" t="n">
        <v>904</v>
      </c>
      <c r="C908" s="23" t="n">
        <v>1904</v>
      </c>
      <c r="D908" s="23" t="inlineStr">
        <is>
          <t>0304927003</t>
        </is>
      </c>
      <c r="E908" s="11" t="inlineStr">
        <is>
          <t>Region III (Central Luzon)</t>
        </is>
      </c>
      <c r="F908" s="11" t="inlineStr">
        <is>
          <t>Nueva Ecija</t>
        </is>
      </c>
      <c r="G908" s="11" t="inlineStr">
        <is>
          <t>San Leonardo</t>
        </is>
      </c>
      <c r="H908" s="11" t="inlineStr">
        <is>
          <t>Burgos District</t>
        </is>
      </c>
      <c r="I908" s="24" t="n">
        <v>15.371569</v>
      </c>
      <c r="J908" s="24" t="n">
        <v>120.944606</v>
      </c>
      <c r="K908" s="23" t="inlineStr">
        <is>
          <t>R</t>
        </is>
      </c>
      <c r="L908" s="25" t="n">
        <v>2367</v>
      </c>
      <c r="M908" s="26" t="n">
        <v>3.5</v>
      </c>
      <c r="N908" s="25">
        <f>ROUND(L908/M908, 0)</f>
        <v/>
      </c>
      <c r="O908" s="25">
        <f>ROUND(N908*'Methodology &amp; Assumptions'!$B$7, 0)</f>
        <v/>
      </c>
      <c r="P908" s="23" t="inlineStr">
        <is>
          <t>Single Carrier (Band n50, 100MHz TDD)</t>
        </is>
      </c>
      <c r="Q908" s="27">
        <f>ROUNDUP(O908/'Methodology &amp; Assumptions'!$B$8, 0)</f>
        <v/>
      </c>
      <c r="R908" s="27" t="n">
        <v>1</v>
      </c>
      <c r="S908" s="26" t="n">
        <v>0.92</v>
      </c>
      <c r="T908" s="26" t="n">
        <v>0.47</v>
      </c>
      <c r="U908" s="11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26" t="n">
        <v>80.73</v>
      </c>
      <c r="W908" s="26" t="n">
        <v>44.43</v>
      </c>
      <c r="X908" s="26">
        <f>ROUND(('Methodology &amp; Assumptions'!$B$5*V908) + ('Methodology &amp; Assumptions'!$B$6*W908), 2)</f>
        <v/>
      </c>
      <c r="Y908" s="28" t="n">
        <v>8.300000000000001</v>
      </c>
      <c r="Z908" s="11" t="inlineStr">
        <is>
          <t>Priority Tier 2 (Balanced Opportunity)</t>
        </is>
      </c>
    </row>
    <row r="909">
      <c r="A909" s="23" t="n">
        <v>2</v>
      </c>
      <c r="B909" s="23" t="n">
        <v>905</v>
      </c>
      <c r="C909" s="23" t="n">
        <v>1905</v>
      </c>
      <c r="D909" s="23" t="inlineStr">
        <is>
          <t>1908712003</t>
        </is>
      </c>
      <c r="E909" s="11" t="inlineStr">
        <is>
          <t>Bangsamoro Autonomous Region In Muslim Mindanao (BARMM)</t>
        </is>
      </c>
      <c r="F909" s="11" t="inlineStr">
        <is>
          <t>Maguindanao del Norte</t>
        </is>
      </c>
      <c r="G909" s="11" t="inlineStr">
        <is>
          <t>Talitay</t>
        </is>
      </c>
      <c r="H909" s="11" t="inlineStr">
        <is>
          <t>Kiladap</t>
        </is>
      </c>
      <c r="I909" s="24" t="n">
        <v>7.025905</v>
      </c>
      <c r="J909" s="24" t="n">
        <v>124.372667</v>
      </c>
      <c r="K909" s="23" t="inlineStr">
        <is>
          <t>R</t>
        </is>
      </c>
      <c r="L909" s="25" t="n">
        <v>3337</v>
      </c>
      <c r="M909" s="26" t="n">
        <v>4.3</v>
      </c>
      <c r="N909" s="25">
        <f>ROUND(L909/M909, 0)</f>
        <v/>
      </c>
      <c r="O909" s="25">
        <f>ROUND(N909*'Methodology &amp; Assumptions'!$B$7, 0)</f>
        <v/>
      </c>
      <c r="P909" s="23" t="inlineStr">
        <is>
          <t>Single Carrier (Band n50, 100MHz TDD)</t>
        </is>
      </c>
      <c r="Q909" s="27">
        <f>ROUNDUP(O909/'Methodology &amp; Assumptions'!$B$8, 0)</f>
        <v/>
      </c>
      <c r="R909" s="27" t="n">
        <v>1</v>
      </c>
      <c r="S909" s="26" t="n">
        <v>50.01</v>
      </c>
      <c r="T909" s="26" t="n">
        <v>48.85</v>
      </c>
      <c r="U909" s="11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26" t="n">
        <v>56.01</v>
      </c>
      <c r="W909" s="26" t="n">
        <v>69.16</v>
      </c>
      <c r="X909" s="26">
        <f>ROUND(('Methodology &amp; Assumptions'!$B$5*V909) + ('Methodology &amp; Assumptions'!$B$6*W909), 2)</f>
        <v/>
      </c>
      <c r="Y909" s="28" t="n">
        <v>11</v>
      </c>
      <c r="Z909" s="11" t="inlineStr">
        <is>
          <t>Priority Tier 2 (Balanced Opportunity)</t>
        </is>
      </c>
    </row>
    <row r="910">
      <c r="A910" s="23" t="n">
        <v>2</v>
      </c>
      <c r="B910" s="23" t="n">
        <v>906</v>
      </c>
      <c r="C910" s="23" t="n">
        <v>1906</v>
      </c>
      <c r="D910" s="23" t="inlineStr">
        <is>
          <t>0401005020</t>
        </is>
      </c>
      <c r="E910" s="11" t="inlineStr">
        <is>
          <t>Region IV-A (CALABARZON)</t>
        </is>
      </c>
      <c r="F910" s="11" t="inlineStr">
        <is>
          <t>Batangas</t>
        </is>
      </c>
      <c r="G910" s="11" t="inlineStr">
        <is>
          <t>Batangas City</t>
        </is>
      </c>
      <c r="H910" s="11" t="inlineStr">
        <is>
          <t>Cuta</t>
        </is>
      </c>
      <c r="I910" s="24" t="n">
        <v>13.7478</v>
      </c>
      <c r="J910" s="24" t="n">
        <v>121.0507</v>
      </c>
      <c r="K910" s="23" t="inlineStr">
        <is>
          <t>U</t>
        </is>
      </c>
      <c r="L910" s="25" t="n">
        <v>14489</v>
      </c>
      <c r="M910" s="26" t="n">
        <v>3.6</v>
      </c>
      <c r="N910" s="25">
        <f>ROUND(L910/M910, 0)</f>
        <v/>
      </c>
      <c r="O910" s="25">
        <f>ROUND(N910*'Methodology &amp; Assumptions'!$B$7, 0)</f>
        <v/>
      </c>
      <c r="P910" s="23" t="inlineStr">
        <is>
          <t>Single Carrier (Band n50, 100MHz TDD)</t>
        </is>
      </c>
      <c r="Q910" s="27">
        <f>ROUNDUP(O910/'Methodology &amp; Assumptions'!$B$8, 0)</f>
        <v/>
      </c>
      <c r="R910" s="27" t="n">
        <v>1</v>
      </c>
      <c r="S910" s="26" t="n">
        <v>1.75</v>
      </c>
      <c r="T910" s="26" t="n">
        <v>1.25</v>
      </c>
      <c r="U910" s="11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26" t="n">
        <v>74.89</v>
      </c>
      <c r="W910" s="26" t="n">
        <v>50.26</v>
      </c>
      <c r="X910" s="26">
        <f>ROUND(('Methodology &amp; Assumptions'!$B$5*V910) + ('Methodology &amp; Assumptions'!$B$6*W910), 2)</f>
        <v/>
      </c>
      <c r="Y910" s="28" t="n">
        <v>7.2</v>
      </c>
      <c r="Z910" s="11" t="inlineStr">
        <is>
          <t>Priority Tier 2 (Balanced Opportunity)</t>
        </is>
      </c>
    </row>
    <row r="911">
      <c r="A911" s="23" t="n">
        <v>2</v>
      </c>
      <c r="B911" s="23" t="n">
        <v>907</v>
      </c>
      <c r="C911" s="23" t="n">
        <v>1907</v>
      </c>
      <c r="D911" s="23" t="inlineStr">
        <is>
          <t>0102902008</t>
        </is>
      </c>
      <c r="E911" s="11" t="inlineStr">
        <is>
          <t>Region I (Ilocos Region)</t>
        </is>
      </c>
      <c r="F911" s="11" t="inlineStr">
        <is>
          <t>Ilocos Sur</t>
        </is>
      </c>
      <c r="G911" s="11" t="inlineStr">
        <is>
          <t>Banayoyo</t>
        </is>
      </c>
      <c r="H911" s="11" t="inlineStr">
        <is>
          <t>Elefante</t>
        </is>
      </c>
      <c r="I911" s="24" t="n">
        <v>17.245098</v>
      </c>
      <c r="J911" s="24" t="n">
        <v>120.502692</v>
      </c>
      <c r="K911" s="23" t="inlineStr">
        <is>
          <t>R</t>
        </is>
      </c>
      <c r="L911" s="25" t="n">
        <v>630</v>
      </c>
      <c r="M911" s="26" t="n">
        <v>3.8</v>
      </c>
      <c r="N911" s="25">
        <f>ROUND(L911/M911, 0)</f>
        <v/>
      </c>
      <c r="O911" s="25">
        <f>ROUND(N911*'Methodology &amp; Assumptions'!$B$7, 0)</f>
        <v/>
      </c>
      <c r="P911" s="23" t="inlineStr">
        <is>
          <t>Single Carrier (Band n50, 100MHz TDD)</t>
        </is>
      </c>
      <c r="Q911" s="27">
        <f>ROUNDUP(O911/'Methodology &amp; Assumptions'!$B$8, 0)</f>
        <v/>
      </c>
      <c r="R911" s="27" t="n">
        <v>1</v>
      </c>
      <c r="S911" s="26" t="n">
        <v>2.29</v>
      </c>
      <c r="T911" s="26" t="n">
        <v>0.26</v>
      </c>
      <c r="U911" s="11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26" t="n">
        <v>59.23</v>
      </c>
      <c r="W911" s="26" t="n">
        <v>65.91</v>
      </c>
      <c r="X911" s="26">
        <f>ROUND(('Methodology &amp; Assumptions'!$B$5*V911) + ('Methodology &amp; Assumptions'!$B$6*W911), 2)</f>
        <v/>
      </c>
      <c r="Y911" s="28" t="n">
        <v>8.300000000000001</v>
      </c>
      <c r="Z911" s="11" t="inlineStr">
        <is>
          <t>Priority Tier 2 (Balanced Opportunity)</t>
        </is>
      </c>
    </row>
    <row r="912">
      <c r="A912" s="23" t="n">
        <v>2</v>
      </c>
      <c r="B912" s="23" t="n">
        <v>908</v>
      </c>
      <c r="C912" s="23" t="n">
        <v>1908</v>
      </c>
      <c r="D912" s="23" t="inlineStr">
        <is>
          <t>0601913014</t>
        </is>
      </c>
      <c r="E912" s="11" t="inlineStr">
        <is>
          <t>Region VI (Western Visayas)</t>
        </is>
      </c>
      <c r="F912" s="11" t="inlineStr">
        <is>
          <t>Capiz</t>
        </is>
      </c>
      <c r="G912" s="11" t="inlineStr">
        <is>
          <t>President Roxas</t>
        </is>
      </c>
      <c r="H912" s="11" t="inlineStr">
        <is>
          <t>Pandan</t>
        </is>
      </c>
      <c r="I912" s="24" t="n">
        <v>11.474977</v>
      </c>
      <c r="J912" s="24" t="n">
        <v>122.916258</v>
      </c>
      <c r="K912" s="23" t="inlineStr">
        <is>
          <t>R</t>
        </is>
      </c>
      <c r="L912" s="25" t="n">
        <v>720</v>
      </c>
      <c r="M912" s="26" t="n">
        <v>3.8</v>
      </c>
      <c r="N912" s="25">
        <f>ROUND(L912/M912, 0)</f>
        <v/>
      </c>
      <c r="O912" s="25">
        <f>ROUND(N912*'Methodology &amp; Assumptions'!$B$7, 0)</f>
        <v/>
      </c>
      <c r="P912" s="23" t="inlineStr">
        <is>
          <t>Single Carrier (Band n50, 100MHz TDD)</t>
        </is>
      </c>
      <c r="Q912" s="27">
        <f>ROUNDUP(O912/'Methodology &amp; Assumptions'!$B$8, 0)</f>
        <v/>
      </c>
      <c r="R912" s="27" t="n">
        <v>1</v>
      </c>
      <c r="S912" s="26" t="n">
        <v>8.98</v>
      </c>
      <c r="T912" s="26" t="n">
        <v>4.61</v>
      </c>
      <c r="U912" s="11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26" t="n">
        <v>47.48</v>
      </c>
      <c r="W912" s="26" t="n">
        <v>77.66</v>
      </c>
      <c r="X912" s="26">
        <f>ROUND(('Methodology &amp; Assumptions'!$B$5*V912) + ('Methodology &amp; Assumptions'!$B$6*W912), 2)</f>
        <v/>
      </c>
      <c r="Y912" s="28" t="n">
        <v>23.7</v>
      </c>
      <c r="Z912" s="11" t="inlineStr">
        <is>
          <t>Priority Tier 2 (Balanced Opportunity)</t>
        </is>
      </c>
    </row>
    <row r="913">
      <c r="A913" s="23" t="n">
        <v>2</v>
      </c>
      <c r="B913" s="23" t="n">
        <v>909</v>
      </c>
      <c r="C913" s="23" t="n">
        <v>1909</v>
      </c>
      <c r="D913" s="23" t="inlineStr">
        <is>
          <t>1381300050</t>
        </is>
      </c>
      <c r="E913" s="11" t="inlineStr">
        <is>
          <t>National Capital Region (NCR)</t>
        </is>
      </c>
      <c r="F913" s="11" t="inlineStr">
        <is>
          <t>Second District (Not a Province)</t>
        </is>
      </c>
      <c r="G913" s="11" t="inlineStr">
        <is>
          <t>Quezon City</t>
        </is>
      </c>
      <c r="H913" s="11" t="inlineStr">
        <is>
          <t>Kaunlaran</t>
        </is>
      </c>
      <c r="I913" s="24" t="n">
        <v>14.6197</v>
      </c>
      <c r="J913" s="24" t="n">
        <v>121.0458</v>
      </c>
      <c r="K913" s="23" t="inlineStr">
        <is>
          <t>U</t>
        </is>
      </c>
      <c r="L913" s="25" t="n">
        <v>14602</v>
      </c>
      <c r="M913" s="26" t="n">
        <v>3.8</v>
      </c>
      <c r="N913" s="25">
        <f>ROUND(L913/M913, 0)</f>
        <v/>
      </c>
      <c r="O913" s="25">
        <f>ROUND(N913*'Methodology &amp; Assumptions'!$B$7, 0)</f>
        <v/>
      </c>
      <c r="P913" s="23" t="inlineStr">
        <is>
          <t>Single Carrier (Band n50, 100MHz TDD)</t>
        </is>
      </c>
      <c r="Q913" s="27">
        <f>ROUNDUP(O913/'Methodology &amp; Assumptions'!$B$8, 0)</f>
        <v/>
      </c>
      <c r="R913" s="27" t="n">
        <v>1</v>
      </c>
      <c r="S913" s="26" t="n">
        <v>1.28</v>
      </c>
      <c r="T913" s="26" t="n">
        <v>0.35</v>
      </c>
      <c r="U913" s="11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26" t="n">
        <v>67.41</v>
      </c>
      <c r="W913" s="26" t="n">
        <v>57.71</v>
      </c>
      <c r="X913" s="26">
        <f>ROUND(('Methodology &amp; Assumptions'!$B$5*V913) + ('Methodology &amp; Assumptions'!$B$6*W913), 2)</f>
        <v/>
      </c>
      <c r="Y913" s="28" t="n">
        <v>10.9</v>
      </c>
      <c r="Z913" s="11" t="inlineStr">
        <is>
          <t>Priority Tier 2 (Balanced Opportunity)</t>
        </is>
      </c>
    </row>
    <row r="914">
      <c r="A914" s="23" t="n">
        <v>2</v>
      </c>
      <c r="B914" s="23" t="n">
        <v>910</v>
      </c>
      <c r="C914" s="23" t="n">
        <v>1910</v>
      </c>
      <c r="D914" s="23" t="inlineStr">
        <is>
          <t>1908701012</t>
        </is>
      </c>
      <c r="E914" s="11" t="inlineStr">
        <is>
          <t>Bangsamoro Autonomous Region In Muslim Mindanao (BARMM)</t>
        </is>
      </c>
      <c r="F914" s="11" t="inlineStr">
        <is>
          <t>Maguindanao del Norte</t>
        </is>
      </c>
      <c r="G914" s="11" t="inlineStr">
        <is>
          <t>Barira</t>
        </is>
      </c>
      <c r="H914" s="11" t="inlineStr">
        <is>
          <t>Panggao</t>
        </is>
      </c>
      <c r="I914" s="24" t="n">
        <v>7.48266</v>
      </c>
      <c r="J914" s="24" t="n">
        <v>124.308826</v>
      </c>
      <c r="K914" s="23" t="inlineStr">
        <is>
          <t>R</t>
        </is>
      </c>
      <c r="L914" s="25" t="n">
        <v>3009</v>
      </c>
      <c r="M914" s="26" t="n">
        <v>4.3</v>
      </c>
      <c r="N914" s="25">
        <f>ROUND(L914/M914, 0)</f>
        <v/>
      </c>
      <c r="O914" s="25">
        <f>ROUND(N914*'Methodology &amp; Assumptions'!$B$7, 0)</f>
        <v/>
      </c>
      <c r="P914" s="23" t="inlineStr">
        <is>
          <t>Single Carrier (Band n50, 100MHz TDD)</t>
        </is>
      </c>
      <c r="Q914" s="27">
        <f>ROUNDUP(O914/'Methodology &amp; Assumptions'!$B$8, 0)</f>
        <v/>
      </c>
      <c r="R914" s="27" t="n">
        <v>1</v>
      </c>
      <c r="S914" s="26" t="n">
        <v>58.76</v>
      </c>
      <c r="T914" s="26" t="n">
        <v>53.92</v>
      </c>
      <c r="U914" s="11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26" t="n">
        <v>53.54</v>
      </c>
      <c r="W914" s="26" t="n">
        <v>71.56999999999999</v>
      </c>
      <c r="X914" s="26">
        <f>ROUND(('Methodology &amp; Assumptions'!$B$5*V914) + ('Methodology &amp; Assumptions'!$B$6*W914), 2)</f>
        <v/>
      </c>
      <c r="Y914" s="28" t="n">
        <v>11</v>
      </c>
      <c r="Z914" s="11" t="inlineStr">
        <is>
          <t>Priority Tier 2 (Balanced Opportunity)</t>
        </is>
      </c>
    </row>
    <row r="915">
      <c r="A915" s="23" t="n">
        <v>2</v>
      </c>
      <c r="B915" s="23" t="n">
        <v>911</v>
      </c>
      <c r="C915" s="23" t="n">
        <v>1911</v>
      </c>
      <c r="D915" s="23" t="inlineStr">
        <is>
          <t>0401019039</t>
        </is>
      </c>
      <c r="E915" s="11" t="inlineStr">
        <is>
          <t>Region IV-A (CALABARZON)</t>
        </is>
      </c>
      <c r="F915" s="11" t="inlineStr">
        <is>
          <t>Batangas</t>
        </is>
      </c>
      <c r="G915" s="11" t="inlineStr">
        <is>
          <t>Nasugbu</t>
        </is>
      </c>
      <c r="H915" s="11" t="inlineStr">
        <is>
          <t>Pantalan</t>
        </is>
      </c>
      <c r="I915" s="24" t="n">
        <v>14.092846</v>
      </c>
      <c r="J915" s="24" t="n">
        <v>120.632933</v>
      </c>
      <c r="K915" s="23" t="inlineStr">
        <is>
          <t>R</t>
        </is>
      </c>
      <c r="L915" s="25" t="n">
        <v>3962</v>
      </c>
      <c r="M915" s="26" t="n">
        <v>3.6</v>
      </c>
      <c r="N915" s="25">
        <f>ROUND(L915/M915, 0)</f>
        <v/>
      </c>
      <c r="O915" s="25">
        <f>ROUND(N915*'Methodology &amp; Assumptions'!$B$7, 0)</f>
        <v/>
      </c>
      <c r="P915" s="23" t="inlineStr">
        <is>
          <t>Single Carrier (Band n50, 100MHz TDD)</t>
        </is>
      </c>
      <c r="Q915" s="27">
        <f>ROUNDUP(O915/'Methodology &amp; Assumptions'!$B$8, 0)</f>
        <v/>
      </c>
      <c r="R915" s="27" t="n">
        <v>1</v>
      </c>
      <c r="S915" s="26" t="n">
        <v>2.46</v>
      </c>
      <c r="T915" s="26" t="n">
        <v>1.64</v>
      </c>
      <c r="U915" s="11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26" t="n">
        <v>79.7</v>
      </c>
      <c r="W915" s="26" t="n">
        <v>45.4</v>
      </c>
      <c r="X915" s="26">
        <f>ROUND(('Methodology &amp; Assumptions'!$B$5*V915) + ('Methodology &amp; Assumptions'!$B$6*W915), 2)</f>
        <v/>
      </c>
      <c r="Y915" s="28" t="n">
        <v>7.2</v>
      </c>
      <c r="Z915" s="11" t="inlineStr">
        <is>
          <t>Priority Tier 2 (Balanced Opportunity)</t>
        </is>
      </c>
    </row>
    <row r="916">
      <c r="A916" s="23" t="n">
        <v>2</v>
      </c>
      <c r="B916" s="23" t="n">
        <v>912</v>
      </c>
      <c r="C916" s="23" t="n">
        <v>1912</v>
      </c>
      <c r="D916" s="23" t="inlineStr">
        <is>
          <t>0306910016</t>
        </is>
      </c>
      <c r="E916" s="11" t="inlineStr">
        <is>
          <t>Region III (Central Luzon)</t>
        </is>
      </c>
      <c r="F916" s="11" t="inlineStr">
        <is>
          <t>Tarlac</t>
        </is>
      </c>
      <c r="G916" s="11" t="inlineStr">
        <is>
          <t>Paniqui</t>
        </is>
      </c>
      <c r="H916" s="11" t="inlineStr">
        <is>
          <t>Estacion</t>
        </is>
      </c>
      <c r="I916" s="24" t="n">
        <v>15.67287</v>
      </c>
      <c r="J916" s="24" t="n">
        <v>120.5871</v>
      </c>
      <c r="K916" s="23" t="inlineStr">
        <is>
          <t>U</t>
        </is>
      </c>
      <c r="L916" s="25" t="n">
        <v>4960</v>
      </c>
      <c r="M916" s="26" t="n">
        <v>3.9</v>
      </c>
      <c r="N916" s="25">
        <f>ROUND(L916/M916, 0)</f>
        <v/>
      </c>
      <c r="O916" s="25">
        <f>ROUND(N916*'Methodology &amp; Assumptions'!$B$7, 0)</f>
        <v/>
      </c>
      <c r="P916" s="23" t="inlineStr">
        <is>
          <t>Single Carrier (Band n50, 100MHz TDD)</t>
        </is>
      </c>
      <c r="Q916" s="27">
        <f>ROUNDUP(O916/'Methodology &amp; Assumptions'!$B$8, 0)</f>
        <v/>
      </c>
      <c r="R916" s="27" t="n">
        <v>1</v>
      </c>
      <c r="S916" s="26" t="n">
        <v>0.54</v>
      </c>
      <c r="T916" s="26" t="n">
        <v>0.25</v>
      </c>
      <c r="U916" s="11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26" t="n">
        <v>78.43000000000001</v>
      </c>
      <c r="W916" s="26" t="n">
        <v>46.66</v>
      </c>
      <c r="X916" s="26">
        <f>ROUND(('Methodology &amp; Assumptions'!$B$5*V916) + ('Methodology &amp; Assumptions'!$B$6*W916), 2)</f>
        <v/>
      </c>
      <c r="Y916" s="28" t="n">
        <v>8.300000000000001</v>
      </c>
      <c r="Z916" s="11" t="inlineStr">
        <is>
          <t>Priority Tier 2 (Balanced Opportunity)</t>
        </is>
      </c>
    </row>
    <row r="917">
      <c r="A917" s="23" t="n">
        <v>2</v>
      </c>
      <c r="B917" s="23" t="n">
        <v>913</v>
      </c>
      <c r="C917" s="23" t="n">
        <v>1913</v>
      </c>
      <c r="D917" s="23" t="inlineStr">
        <is>
          <t>1381300028</t>
        </is>
      </c>
      <c r="E917" s="11" t="inlineStr">
        <is>
          <t>National Capital Region (NCR)</t>
        </is>
      </c>
      <c r="F917" s="11" t="inlineStr">
        <is>
          <t>Second District (Not a Province)</t>
        </is>
      </c>
      <c r="G917" s="11" t="inlineStr">
        <is>
          <t>Quezon City</t>
        </is>
      </c>
      <c r="H917" s="11" t="inlineStr">
        <is>
          <t>Damayang Lagi</t>
        </is>
      </c>
      <c r="I917" s="24" t="n">
        <v>14.620136</v>
      </c>
      <c r="J917" s="24" t="n">
        <v>121.019243</v>
      </c>
      <c r="K917" s="23" t="inlineStr">
        <is>
          <t>U</t>
        </is>
      </c>
      <c r="L917" s="25" t="n">
        <v>19920</v>
      </c>
      <c r="M917" s="26" t="n">
        <v>3.72</v>
      </c>
      <c r="N917" s="25">
        <f>ROUND(L917/M917, 0)</f>
        <v/>
      </c>
      <c r="O917" s="25">
        <f>ROUND(N917*'Methodology &amp; Assumptions'!$B$7, 0)</f>
        <v/>
      </c>
      <c r="P917" s="23" t="inlineStr">
        <is>
          <t>Single Carrier (Band n50, 100MHz TDD)</t>
        </is>
      </c>
      <c r="Q917" s="27">
        <f>ROUNDUP(O917/'Methodology &amp; Assumptions'!$B$8, 0)</f>
        <v/>
      </c>
      <c r="R917" s="27" t="n">
        <v>1</v>
      </c>
      <c r="S917" s="26" t="n">
        <v>0.47</v>
      </c>
      <c r="T917" s="26" t="n">
        <v>0.46</v>
      </c>
      <c r="U917" s="11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26" t="n">
        <v>68.48</v>
      </c>
      <c r="W917" s="26" t="n">
        <v>56.61</v>
      </c>
      <c r="X917" s="26">
        <f>ROUND(('Methodology &amp; Assumptions'!$B$5*V917) + ('Methodology &amp; Assumptions'!$B$6*W917), 2)</f>
        <v/>
      </c>
      <c r="Y917" s="28" t="n">
        <v>10.9</v>
      </c>
      <c r="Z917" s="11" t="inlineStr">
        <is>
          <t>Priority Tier 2 (Balanced Opportunity)</t>
        </is>
      </c>
    </row>
    <row r="918">
      <c r="A918" s="23" t="n">
        <v>2</v>
      </c>
      <c r="B918" s="23" t="n">
        <v>914</v>
      </c>
      <c r="C918" s="23" t="n">
        <v>1914</v>
      </c>
      <c r="D918" s="23" t="inlineStr">
        <is>
          <t>1381100125</t>
        </is>
      </c>
      <c r="E918" s="11" t="inlineStr">
        <is>
          <t>National Capital Region (NCR)</t>
        </is>
      </c>
      <c r="F918" s="11" t="inlineStr">
        <is>
          <t>Fourth District (Not a Province)</t>
        </is>
      </c>
      <c r="G918" s="11" t="inlineStr">
        <is>
          <t>Pasay City</t>
        </is>
      </c>
      <c r="H918" s="11" t="inlineStr">
        <is>
          <t>Barangay 125</t>
        </is>
      </c>
      <c r="I918" s="24" t="n">
        <v>14.544943</v>
      </c>
      <c r="J918" s="24" t="n">
        <v>121.00518</v>
      </c>
      <c r="K918" s="23" t="inlineStr">
        <is>
          <t>U</t>
        </is>
      </c>
      <c r="L918" s="25" t="n">
        <v>1554</v>
      </c>
      <c r="M918" s="26" t="n">
        <v>3.33</v>
      </c>
      <c r="N918" s="25">
        <f>ROUND(L918/M918, 0)</f>
        <v/>
      </c>
      <c r="O918" s="25">
        <f>ROUND(N918*'Methodology &amp; Assumptions'!$B$7, 0)</f>
        <v/>
      </c>
      <c r="P918" s="23" t="inlineStr">
        <is>
          <t>Single Carrier (Band n50, 100MHz TDD)</t>
        </is>
      </c>
      <c r="Q918" s="27">
        <f>ROUNDUP(O918/'Methodology &amp; Assumptions'!$B$8, 0)</f>
        <v/>
      </c>
      <c r="R918" s="27" t="n">
        <v>1</v>
      </c>
      <c r="S918" s="26" t="n">
        <v>0.86</v>
      </c>
      <c r="T918" s="26" t="n">
        <v>0.42</v>
      </c>
      <c r="U918" s="11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26" t="n">
        <v>56.03</v>
      </c>
      <c r="W918" s="26" t="n">
        <v>69.06</v>
      </c>
      <c r="X918" s="26">
        <f>ROUND(('Methodology &amp; Assumptions'!$B$5*V918) + ('Methodology &amp; Assumptions'!$B$6*W918), 2)</f>
        <v/>
      </c>
      <c r="Y918" s="28" t="n">
        <v>10.9</v>
      </c>
      <c r="Z918" s="11" t="inlineStr">
        <is>
          <t>Priority Tier 2 (Balanced Opportunity)</t>
        </is>
      </c>
    </row>
    <row r="919">
      <c r="A919" s="23" t="n">
        <v>2</v>
      </c>
      <c r="B919" s="23" t="n">
        <v>915</v>
      </c>
      <c r="C919" s="23" t="n">
        <v>1915</v>
      </c>
      <c r="D919" s="23" t="inlineStr">
        <is>
          <t>1380606019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413</t>
        </is>
      </c>
      <c r="I919" s="24" t="n">
        <v>14.601698</v>
      </c>
      <c r="J919" s="24" t="n">
        <v>120.994854</v>
      </c>
      <c r="K919" s="23" t="inlineStr">
        <is>
          <t>U</t>
        </is>
      </c>
      <c r="L919" s="25" t="n">
        <v>1907</v>
      </c>
      <c r="M919" s="26" t="n">
        <v>4.17</v>
      </c>
      <c r="N919" s="25">
        <f>ROUND(L919/M919, 0)</f>
        <v/>
      </c>
      <c r="O919" s="25">
        <f>ROUND(N919*'Methodology &amp; Assumptions'!$B$7, 0)</f>
        <v/>
      </c>
      <c r="P919" s="23" t="inlineStr">
        <is>
          <t>Single Carrier (Band n50, 100MHz TDD)</t>
        </is>
      </c>
      <c r="Q919" s="27">
        <f>ROUNDUP(O919/'Methodology &amp; Assumptions'!$B$8, 0)</f>
        <v/>
      </c>
      <c r="R919" s="27" t="n">
        <v>1</v>
      </c>
      <c r="S919" s="26" t="n">
        <v>0.42</v>
      </c>
      <c r="T919" s="26" t="n">
        <v>0.16</v>
      </c>
      <c r="U919" s="11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26" t="n">
        <v>55.77</v>
      </c>
      <c r="W919" s="26" t="n">
        <v>69.34</v>
      </c>
      <c r="X919" s="26">
        <f>ROUND(('Methodology &amp; Assumptions'!$B$5*V919) + ('Methodology &amp; Assumptions'!$B$6*W919), 2)</f>
        <v/>
      </c>
      <c r="Y919" s="28" t="n">
        <v>10.9</v>
      </c>
      <c r="Z919" s="11" t="inlineStr">
        <is>
          <t>Priority Tier 2 (Balanced Opportunity)</t>
        </is>
      </c>
    </row>
    <row r="920">
      <c r="A920" s="23" t="n">
        <v>2</v>
      </c>
      <c r="B920" s="23" t="n">
        <v>916</v>
      </c>
      <c r="C920" s="23" t="n">
        <v>1916</v>
      </c>
      <c r="D920" s="23" t="inlineStr">
        <is>
          <t>0200901002</t>
        </is>
      </c>
      <c r="E920" s="11" t="inlineStr">
        <is>
          <t>Region II (Cagayan Valley)</t>
        </is>
      </c>
      <c r="F920" s="11" t="inlineStr">
        <is>
          <t>Batanes</t>
        </is>
      </c>
      <c r="G920" s="11" t="inlineStr">
        <is>
          <t>Basco</t>
        </is>
      </c>
      <c r="H920" s="11" t="inlineStr">
        <is>
          <t>Ihubok I</t>
        </is>
      </c>
      <c r="I920" s="24" t="n">
        <v>20.446133</v>
      </c>
      <c r="J920" s="24" t="n">
        <v>121.968691</v>
      </c>
      <c r="K920" s="23" t="inlineStr">
        <is>
          <t>U</t>
        </is>
      </c>
      <c r="L920" s="25" t="n">
        <v>1778</v>
      </c>
      <c r="M920" s="26" t="n">
        <v>3</v>
      </c>
      <c r="N920" s="25">
        <f>ROUND(L920/M920, 0)</f>
        <v/>
      </c>
      <c r="O920" s="25">
        <f>ROUND(N920*'Methodology &amp; Assumptions'!$B$7, 0)</f>
        <v/>
      </c>
      <c r="P920" s="23" t="inlineStr">
        <is>
          <t>Single Carrier (Band n50, 100MHz TDD)</t>
        </is>
      </c>
      <c r="Q920" s="27">
        <f>ROUNDUP(O920/'Methodology &amp; Assumptions'!$B$8, 0)</f>
        <v/>
      </c>
      <c r="R920" s="27" t="n">
        <v>1</v>
      </c>
      <c r="S920" s="26" t="n">
        <v>223.5</v>
      </c>
      <c r="T920" s="26" t="n">
        <v>217.02</v>
      </c>
      <c r="U920" s="11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26" t="n">
        <v>48.48</v>
      </c>
      <c r="W920" s="26" t="n">
        <v>76.62</v>
      </c>
      <c r="X920" s="26">
        <f>ROUND(('Methodology &amp; Assumptions'!$B$5*V920) + ('Methodology &amp; Assumptions'!$B$6*W920), 2)</f>
        <v/>
      </c>
      <c r="Y920" s="28" t="n">
        <v>8.300000000000001</v>
      </c>
      <c r="Z920" s="11" t="inlineStr">
        <is>
          <t>Priority Tier 2 (Balanced Opportunity)</t>
        </is>
      </c>
    </row>
    <row r="921">
      <c r="A921" s="23" t="n">
        <v>2</v>
      </c>
      <c r="B921" s="23" t="n">
        <v>917</v>
      </c>
      <c r="C921" s="23" t="n">
        <v>1917</v>
      </c>
      <c r="D921" s="23" t="inlineStr">
        <is>
          <t>0301406002</t>
        </is>
      </c>
      <c r="E921" s="11" t="inlineStr">
        <is>
          <t>Region III (Central Luzon)</t>
        </is>
      </c>
      <c r="F921" s="11" t="inlineStr">
        <is>
          <t>Bulacan</t>
        </is>
      </c>
      <c r="G921" s="11" t="inlineStr">
        <is>
          <t>Bustos</t>
        </is>
      </c>
      <c r="H921" s="11" t="inlineStr">
        <is>
          <t>Bonga Menor</t>
        </is>
      </c>
      <c r="I921" s="24" t="n">
        <v>14.950516</v>
      </c>
      <c r="J921" s="24" t="n">
        <v>120.933731</v>
      </c>
      <c r="K921" s="23" t="inlineStr">
        <is>
          <t>U</t>
        </is>
      </c>
      <c r="L921" s="25" t="n">
        <v>5541</v>
      </c>
      <c r="M921" s="26" t="n">
        <v>3.5</v>
      </c>
      <c r="N921" s="25">
        <f>ROUND(L921/M921, 0)</f>
        <v/>
      </c>
      <c r="O921" s="25">
        <f>ROUND(N921*'Methodology &amp; Assumptions'!$B$7, 0)</f>
        <v/>
      </c>
      <c r="P921" s="23" t="inlineStr">
        <is>
          <t>Single Carrier (Band n50, 100MHz TDD)</t>
        </is>
      </c>
      <c r="Q921" s="27">
        <f>ROUNDUP(O921/'Methodology &amp; Assumptions'!$B$8, 0)</f>
        <v/>
      </c>
      <c r="R921" s="27" t="n">
        <v>1</v>
      </c>
      <c r="S921" s="26" t="n">
        <v>1.7</v>
      </c>
      <c r="T921" s="26" t="n">
        <v>0.91</v>
      </c>
      <c r="U921" s="11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26" t="n">
        <v>75.25</v>
      </c>
      <c r="W921" s="26" t="n">
        <v>49.84</v>
      </c>
      <c r="X921" s="26">
        <f>ROUND(('Methodology &amp; Assumptions'!$B$5*V921) + ('Methodology &amp; Assumptions'!$B$6*W921), 2)</f>
        <v/>
      </c>
      <c r="Y921" s="28" t="n">
        <v>8.300000000000001</v>
      </c>
      <c r="Z921" s="11" t="inlineStr">
        <is>
          <t>Priority Tier 2 (Balanced Opportunity)</t>
        </is>
      </c>
    </row>
    <row r="922">
      <c r="A922" s="23" t="n">
        <v>2</v>
      </c>
      <c r="B922" s="23" t="n">
        <v>918</v>
      </c>
      <c r="C922" s="23" t="n">
        <v>1918</v>
      </c>
      <c r="D922" s="23" t="inlineStr">
        <is>
          <t>1380606124</t>
        </is>
      </c>
      <c r="E922" s="11" t="inlineStr">
        <is>
          <t>National Capital Region (NCR)</t>
        </is>
      </c>
      <c r="F922" s="11" t="inlineStr">
        <is>
          <t>First District (Not a Province)</t>
        </is>
      </c>
      <c r="G922" s="11" t="inlineStr">
        <is>
          <t>City of Manila</t>
        </is>
      </c>
      <c r="H922" s="11" t="inlineStr">
        <is>
          <t>Barangay 518</t>
        </is>
      </c>
      <c r="I922" s="24" t="n">
        <v>14.620007</v>
      </c>
      <c r="J922" s="24" t="n">
        <v>120.994171</v>
      </c>
      <c r="K922" s="23" t="inlineStr">
        <is>
          <t>U</t>
        </is>
      </c>
      <c r="L922" s="25" t="n">
        <v>2019</v>
      </c>
      <c r="M922" s="26" t="n">
        <v>3.82</v>
      </c>
      <c r="N922" s="25">
        <f>ROUND(L922/M922, 0)</f>
        <v/>
      </c>
      <c r="O922" s="25">
        <f>ROUND(N922*'Methodology &amp; Assumptions'!$B$7, 0)</f>
        <v/>
      </c>
      <c r="P922" s="23" t="inlineStr">
        <is>
          <t>Single Carrier (Band n50, 100MHz TDD)</t>
        </is>
      </c>
      <c r="Q922" s="27">
        <f>ROUNDUP(O922/'Methodology &amp; Assumptions'!$B$8, 0)</f>
        <v/>
      </c>
      <c r="R922" s="27" t="n">
        <v>1</v>
      </c>
      <c r="S922" s="26" t="n">
        <v>1.28</v>
      </c>
      <c r="T922" s="26" t="n">
        <v>0.76</v>
      </c>
      <c r="U922" s="11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26" t="n">
        <v>56.46</v>
      </c>
      <c r="W922" s="26" t="n">
        <v>68.63</v>
      </c>
      <c r="X922" s="26">
        <f>ROUND(('Methodology &amp; Assumptions'!$B$5*V922) + ('Methodology &amp; Assumptions'!$B$6*W922), 2)</f>
        <v/>
      </c>
      <c r="Y922" s="28" t="n">
        <v>10.9</v>
      </c>
      <c r="Z922" s="11" t="inlineStr">
        <is>
          <t>Priority Tier 2 (Balanced Opportunity)</t>
        </is>
      </c>
    </row>
    <row r="923">
      <c r="A923" s="23" t="n">
        <v>2</v>
      </c>
      <c r="B923" s="23" t="n">
        <v>919</v>
      </c>
      <c r="C923" s="23" t="n">
        <v>1919</v>
      </c>
      <c r="D923" s="23" t="inlineStr">
        <is>
          <t>1380606233</t>
        </is>
      </c>
      <c r="E923" s="11" t="inlineStr">
        <is>
          <t>National Capital Region (NCR)</t>
        </is>
      </c>
      <c r="F923" s="11" t="inlineStr">
        <is>
          <t>First District (Not a Province)</t>
        </is>
      </c>
      <c r="G923" s="11" t="inlineStr">
        <is>
          <t>City of Manila</t>
        </is>
      </c>
      <c r="H923" s="11" t="inlineStr">
        <is>
          <t>Barangay 626</t>
        </is>
      </c>
      <c r="I923" s="24" t="n">
        <v>14.600983</v>
      </c>
      <c r="J923" s="24" t="n">
        <v>121.005197</v>
      </c>
      <c r="K923" s="23" t="inlineStr">
        <is>
          <t>U</t>
        </is>
      </c>
      <c r="L923" s="25" t="n">
        <v>1502</v>
      </c>
      <c r="M923" s="26" t="n">
        <v>3.65</v>
      </c>
      <c r="N923" s="25">
        <f>ROUND(L923/M923, 0)</f>
        <v/>
      </c>
      <c r="O923" s="25">
        <f>ROUND(N923*'Methodology &amp; Assumptions'!$B$7, 0)</f>
        <v/>
      </c>
      <c r="P923" s="23" t="inlineStr">
        <is>
          <t>Single Carrier (Band n50, 100MHz TDD)</t>
        </is>
      </c>
      <c r="Q923" s="27">
        <f>ROUNDUP(O923/'Methodology &amp; Assumptions'!$B$8, 0)</f>
        <v/>
      </c>
      <c r="R923" s="27" t="n">
        <v>1</v>
      </c>
      <c r="S923" s="26" t="n">
        <v>0.14</v>
      </c>
      <c r="T923" s="26" t="n">
        <v>0.11</v>
      </c>
      <c r="U923" s="11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26" t="n">
        <v>54.27</v>
      </c>
      <c r="W923" s="26" t="n">
        <v>70.81</v>
      </c>
      <c r="X923" s="26">
        <f>ROUND(('Methodology &amp; Assumptions'!$B$5*V923) + ('Methodology &amp; Assumptions'!$B$6*W923), 2)</f>
        <v/>
      </c>
      <c r="Y923" s="28" t="n">
        <v>10.9</v>
      </c>
      <c r="Z923" s="11" t="inlineStr">
        <is>
          <t>Priority Tier 2 (Balanced Opportunity)</t>
        </is>
      </c>
    </row>
    <row r="924">
      <c r="A924" s="23" t="n">
        <v>2</v>
      </c>
      <c r="B924" s="23" t="n">
        <v>920</v>
      </c>
      <c r="C924" s="23" t="n">
        <v>1920</v>
      </c>
      <c r="D924" s="23" t="inlineStr">
        <is>
          <t>0102929002</t>
        </is>
      </c>
      <c r="E924" s="11" t="inlineStr">
        <is>
          <t>Region I (Ilocos Region)</t>
        </is>
      </c>
      <c r="F924" s="11" t="inlineStr">
        <is>
          <t>Ilocos Sur</t>
        </is>
      </c>
      <c r="G924" s="11" t="inlineStr">
        <is>
          <t>Sigay</t>
        </is>
      </c>
      <c r="H924" s="11" t="inlineStr">
        <is>
          <t>Mabileg</t>
        </is>
      </c>
      <c r="I924" s="24" t="n">
        <v>17.096858</v>
      </c>
      <c r="J924" s="24" t="n">
        <v>120.603462</v>
      </c>
      <c r="K924" s="23" t="inlineStr">
        <is>
          <t>R</t>
        </is>
      </c>
      <c r="L924" s="25" t="n">
        <v>321</v>
      </c>
      <c r="M924" s="26" t="n">
        <v>3.8</v>
      </c>
      <c r="N924" s="25">
        <f>ROUND(L924/M924, 0)</f>
        <v/>
      </c>
      <c r="O924" s="25">
        <f>ROUND(N924*'Methodology &amp; Assumptions'!$B$7, 0)</f>
        <v/>
      </c>
      <c r="P924" s="23" t="inlineStr">
        <is>
          <t>Single Carrier (Band n50, 100MHz TDD)</t>
        </is>
      </c>
      <c r="Q924" s="27">
        <f>ROUNDUP(O924/'Methodology &amp; Assumptions'!$B$8, 0)</f>
        <v/>
      </c>
      <c r="R924" s="27" t="n">
        <v>1</v>
      </c>
      <c r="S924" s="26" t="n">
        <v>2.02</v>
      </c>
      <c r="T924" s="26" t="n">
        <v>6.91</v>
      </c>
      <c r="U924" s="11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26" t="n">
        <v>53.94</v>
      </c>
      <c r="W924" s="26" t="n">
        <v>71.14</v>
      </c>
      <c r="X924" s="26">
        <f>ROUND(('Methodology &amp; Assumptions'!$B$5*V924) + ('Methodology &amp; Assumptions'!$B$6*W924), 2)</f>
        <v/>
      </c>
      <c r="Y924" s="28" t="n">
        <v>8.300000000000001</v>
      </c>
      <c r="Z924" s="11" t="inlineStr">
        <is>
          <t>Priority Tier 2 (Balanced Opportunity)</t>
        </is>
      </c>
    </row>
    <row r="925">
      <c r="A925" s="23" t="n">
        <v>2</v>
      </c>
      <c r="B925" s="23" t="n">
        <v>921</v>
      </c>
      <c r="C925" s="23" t="n">
        <v>1921</v>
      </c>
      <c r="D925" s="23" t="inlineStr">
        <is>
          <t>0304902024</t>
        </is>
      </c>
      <c r="E925" s="11" t="inlineStr">
        <is>
          <t>Region III (Central Luzon)</t>
        </is>
      </c>
      <c r="F925" s="11" t="inlineStr">
        <is>
          <t>Nueva Ecija</t>
        </is>
      </c>
      <c r="G925" s="11" t="inlineStr">
        <is>
          <t>Bongabon</t>
        </is>
      </c>
      <c r="H925" s="11" t="inlineStr">
        <is>
          <t>Sinipit</t>
        </is>
      </c>
      <c r="I925" s="24" t="n">
        <v>15.635712</v>
      </c>
      <c r="J925" s="24" t="n">
        <v>121.144677</v>
      </c>
      <c r="K925" s="23" t="inlineStr">
        <is>
          <t>R</t>
        </is>
      </c>
      <c r="L925" s="25" t="n">
        <v>2771</v>
      </c>
      <c r="M925" s="26" t="n">
        <v>3.5</v>
      </c>
      <c r="N925" s="25">
        <f>ROUND(L925/M925, 0)</f>
        <v/>
      </c>
      <c r="O925" s="25">
        <f>ROUND(N925*'Methodology &amp; Assumptions'!$B$7, 0)</f>
        <v/>
      </c>
      <c r="P925" s="23" t="inlineStr">
        <is>
          <t>Single Carrier (Band n50, 100MHz TDD)</t>
        </is>
      </c>
      <c r="Q925" s="27">
        <f>ROUNDUP(O925/'Methodology &amp; Assumptions'!$B$8, 0)</f>
        <v/>
      </c>
      <c r="R925" s="27" t="n">
        <v>1</v>
      </c>
      <c r="S925" s="26" t="n">
        <v>1.31</v>
      </c>
      <c r="T925" s="26" t="n">
        <v>0.22</v>
      </c>
      <c r="U925" s="11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26" t="n">
        <v>83.01000000000001</v>
      </c>
      <c r="W925" s="26" t="n">
        <v>42.04</v>
      </c>
      <c r="X925" s="26">
        <f>ROUND(('Methodology &amp; Assumptions'!$B$5*V925) + ('Methodology &amp; Assumptions'!$B$6*W925), 2)</f>
        <v/>
      </c>
      <c r="Y925" s="28" t="n">
        <v>8.300000000000001</v>
      </c>
      <c r="Z925" s="11" t="inlineStr">
        <is>
          <t>Priority Tier 2 (Balanced Opportunity)</t>
        </is>
      </c>
    </row>
    <row r="926">
      <c r="A926" s="23" t="n">
        <v>2</v>
      </c>
      <c r="B926" s="23" t="n">
        <v>922</v>
      </c>
      <c r="C926" s="23" t="n">
        <v>1922</v>
      </c>
      <c r="D926" s="23" t="inlineStr">
        <is>
          <t>0405630007</t>
        </is>
      </c>
      <c r="E926" s="11" t="inlineStr">
        <is>
          <t>Region IV-A (CALABARZON)</t>
        </is>
      </c>
      <c r="F926" s="11" t="inlineStr">
        <is>
          <t>Quezon</t>
        </is>
      </c>
      <c r="G926" s="11" t="inlineStr">
        <is>
          <t>Pagbilao</t>
        </is>
      </c>
      <c r="H926" s="11" t="inlineStr">
        <is>
          <t>Bukal</t>
        </is>
      </c>
      <c r="I926" s="24" t="n">
        <v>13.972624</v>
      </c>
      <c r="J926" s="24" t="n">
        <v>121.680806</v>
      </c>
      <c r="K926" s="23" t="inlineStr">
        <is>
          <t>U</t>
        </is>
      </c>
      <c r="L926" s="25" t="n">
        <v>9000</v>
      </c>
      <c r="M926" s="26" t="n">
        <v>3.8</v>
      </c>
      <c r="N926" s="25">
        <f>ROUND(L926/M926, 0)</f>
        <v/>
      </c>
      <c r="O926" s="25">
        <f>ROUND(N926*'Methodology &amp; Assumptions'!$B$7, 0)</f>
        <v/>
      </c>
      <c r="P926" s="23" t="inlineStr">
        <is>
          <t>Single Carrier (Band n50, 100MHz TDD)</t>
        </is>
      </c>
      <c r="Q926" s="27">
        <f>ROUNDUP(O926/'Methodology &amp; Assumptions'!$B$8, 0)</f>
        <v/>
      </c>
      <c r="R926" s="27" t="n">
        <v>1</v>
      </c>
      <c r="S926" s="26" t="n">
        <v>0.16</v>
      </c>
      <c r="T926" s="26" t="n">
        <v>0.38</v>
      </c>
      <c r="U926" s="11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26" t="n">
        <v>78.26000000000001</v>
      </c>
      <c r="W926" s="26" t="n">
        <v>46.8</v>
      </c>
      <c r="X926" s="26">
        <f>ROUND(('Methodology &amp; Assumptions'!$B$5*V926) + ('Methodology &amp; Assumptions'!$B$6*W926), 2)</f>
        <v/>
      </c>
      <c r="Y926" s="28" t="n">
        <v>7.2</v>
      </c>
      <c r="Z926" s="11" t="inlineStr">
        <is>
          <t>Priority Tier 2 (Balanced Opportunity)</t>
        </is>
      </c>
    </row>
    <row r="927">
      <c r="A927" s="23" t="n">
        <v>2</v>
      </c>
      <c r="B927" s="23" t="n">
        <v>923</v>
      </c>
      <c r="C927" s="23" t="n">
        <v>1923</v>
      </c>
      <c r="D927" s="23" t="inlineStr">
        <is>
          <t>0405811004</t>
        </is>
      </c>
      <c r="E927" s="11" t="inlineStr">
        <is>
          <t>Region IV-A (CALABARZON)</t>
        </is>
      </c>
      <c r="F927" s="11" t="inlineStr">
        <is>
          <t>Rizal</t>
        </is>
      </c>
      <c r="G927" s="11" t="inlineStr">
        <is>
          <t>San Mateo</t>
        </is>
      </c>
      <c r="H927" s="11" t="inlineStr">
        <is>
          <t>Guinayang</t>
        </is>
      </c>
      <c r="I927" s="24" t="n">
        <v>14.70716</v>
      </c>
      <c r="J927" s="24" t="n">
        <v>121.1315</v>
      </c>
      <c r="K927" s="23" t="inlineStr">
        <is>
          <t>U</t>
        </is>
      </c>
      <c r="L927" s="25" t="n">
        <v>9449</v>
      </c>
      <c r="M927" s="26" t="n">
        <v>3.6</v>
      </c>
      <c r="N927" s="25">
        <f>ROUND(L927/M927, 0)</f>
        <v/>
      </c>
      <c r="O927" s="25">
        <f>ROUND(N927*'Methodology &amp; Assumptions'!$B$7, 0)</f>
        <v/>
      </c>
      <c r="P927" s="23" t="inlineStr">
        <is>
          <t>Single Carrier (Band n50, 100MHz TDD)</t>
        </is>
      </c>
      <c r="Q927" s="27">
        <f>ROUNDUP(O927/'Methodology &amp; Assumptions'!$B$8, 0)</f>
        <v/>
      </c>
      <c r="R927" s="27" t="n">
        <v>1</v>
      </c>
      <c r="S927" s="26" t="n">
        <v>2.78</v>
      </c>
      <c r="T927" s="26" t="n">
        <v>0.29</v>
      </c>
      <c r="U927" s="11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26" t="n">
        <v>71.48</v>
      </c>
      <c r="W927" s="26" t="n">
        <v>53.57</v>
      </c>
      <c r="X927" s="26">
        <f>ROUND(('Methodology &amp; Assumptions'!$B$5*V927) + ('Methodology &amp; Assumptions'!$B$6*W927), 2)</f>
        <v/>
      </c>
      <c r="Y927" s="28" t="n">
        <v>7.2</v>
      </c>
      <c r="Z927" s="11" t="inlineStr">
        <is>
          <t>Priority Tier 2 (Balanced Opportunity)</t>
        </is>
      </c>
    </row>
    <row r="928">
      <c r="A928" s="23" t="n">
        <v>2</v>
      </c>
      <c r="B928" s="23" t="n">
        <v>924</v>
      </c>
      <c r="C928" s="23" t="n">
        <v>1924</v>
      </c>
      <c r="D928" s="23" t="inlineStr">
        <is>
          <t>0405647055</t>
        </is>
      </c>
      <c r="E928" s="11" t="inlineStr">
        <is>
          <t>Region IV-A (CALABARZON)</t>
        </is>
      </c>
      <c r="F928" s="11" t="inlineStr">
        <is>
          <t>Quezon</t>
        </is>
      </c>
      <c r="G928" s="11" t="inlineStr">
        <is>
          <t>City of Tayabas</t>
        </is>
      </c>
      <c r="H928" s="11" t="inlineStr">
        <is>
          <t>San Isidro Zone III</t>
        </is>
      </c>
      <c r="I928" s="24" t="n">
        <v>14.028617</v>
      </c>
      <c r="J928" s="24" t="n">
        <v>121.58777</v>
      </c>
      <c r="K928" s="23" t="inlineStr">
        <is>
          <t>R</t>
        </is>
      </c>
      <c r="L928" s="25" t="n">
        <v>1042</v>
      </c>
      <c r="M928" s="26" t="n">
        <v>3.8</v>
      </c>
      <c r="N928" s="25">
        <f>ROUND(L928/M928, 0)</f>
        <v/>
      </c>
      <c r="O928" s="25">
        <f>ROUND(N928*'Methodology &amp; Assumptions'!$B$7, 0)</f>
        <v/>
      </c>
      <c r="P928" s="23" t="inlineStr">
        <is>
          <t>Single Carrier (Band n50, 100MHz TDD)</t>
        </is>
      </c>
      <c r="Q928" s="27">
        <f>ROUNDUP(O928/'Methodology &amp; Assumptions'!$B$8, 0)</f>
        <v/>
      </c>
      <c r="R928" s="27" t="n">
        <v>1</v>
      </c>
      <c r="S928" s="26" t="n">
        <v>0.82</v>
      </c>
      <c r="T928" s="26" t="n">
        <v>0.2</v>
      </c>
      <c r="U928" s="11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26" t="n">
        <v>67.78</v>
      </c>
      <c r="W928" s="26" t="n">
        <v>57.28</v>
      </c>
      <c r="X928" s="26">
        <f>ROUND(('Methodology &amp; Assumptions'!$B$5*V928) + ('Methodology &amp; Assumptions'!$B$6*W928), 2)</f>
        <v/>
      </c>
      <c r="Y928" s="28" t="n">
        <v>7.2</v>
      </c>
      <c r="Z928" s="11" t="inlineStr">
        <is>
          <t>Priority Tier 2 (Balanced Opportunity)</t>
        </is>
      </c>
    </row>
    <row r="929">
      <c r="A929" s="23" t="n">
        <v>2</v>
      </c>
      <c r="B929" s="23" t="n">
        <v>925</v>
      </c>
      <c r="C929" s="23" t="n">
        <v>1925</v>
      </c>
      <c r="D929" s="23" t="inlineStr">
        <is>
          <t>1380601250</t>
        </is>
      </c>
      <c r="E929" s="11" t="inlineStr">
        <is>
          <t>National Capital Region (NCR)</t>
        </is>
      </c>
      <c r="F929" s="11" t="inlineStr">
        <is>
          <t>First District (Not a Province)</t>
        </is>
      </c>
      <c r="G929" s="11" t="inlineStr">
        <is>
          <t>City of Manila</t>
        </is>
      </c>
      <c r="H929" s="11" t="inlineStr">
        <is>
          <t>Barangay 249</t>
        </is>
      </c>
      <c r="I929" s="24" t="n">
        <v>14.616358</v>
      </c>
      <c r="J929" s="24" t="n">
        <v>120.978245</v>
      </c>
      <c r="K929" s="23" t="inlineStr">
        <is>
          <t>U</t>
        </is>
      </c>
      <c r="L929" s="25" t="n">
        <v>1750</v>
      </c>
      <c r="M929" s="26" t="n">
        <v>4.16</v>
      </c>
      <c r="N929" s="25">
        <f>ROUND(L929/M929, 0)</f>
        <v/>
      </c>
      <c r="O929" s="25">
        <f>ROUND(N929*'Methodology &amp; Assumptions'!$B$7, 0)</f>
        <v/>
      </c>
      <c r="P929" s="23" t="inlineStr">
        <is>
          <t>Single Carrier (Band n50, 100MHz TDD)</t>
        </is>
      </c>
      <c r="Q929" s="27">
        <f>ROUNDUP(O929/'Methodology &amp; Assumptions'!$B$8, 0)</f>
        <v/>
      </c>
      <c r="R929" s="27" t="n">
        <v>1</v>
      </c>
      <c r="S929" s="26" t="n">
        <v>0.5</v>
      </c>
      <c r="T929" s="26" t="n">
        <v>0.13</v>
      </c>
      <c r="U929" s="11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26" t="n">
        <v>54.59</v>
      </c>
      <c r="W929" s="26" t="n">
        <v>70.47</v>
      </c>
      <c r="X929" s="26">
        <f>ROUND(('Methodology &amp; Assumptions'!$B$5*V929) + ('Methodology &amp; Assumptions'!$B$6*W929), 2)</f>
        <v/>
      </c>
      <c r="Y929" s="28" t="n">
        <v>10.9</v>
      </c>
      <c r="Z929" s="11" t="inlineStr">
        <is>
          <t>Priority Tier 2 (Balanced Opportunity)</t>
        </is>
      </c>
    </row>
    <row r="930">
      <c r="A930" s="23" t="n">
        <v>2</v>
      </c>
      <c r="B930" s="23" t="n">
        <v>926</v>
      </c>
      <c r="C930" s="23" t="n">
        <v>1926</v>
      </c>
      <c r="D930" s="23" t="inlineStr">
        <is>
          <t>1380601206</t>
        </is>
      </c>
      <c r="E930" s="11" t="inlineStr">
        <is>
          <t>National Capital Region (NCR)</t>
        </is>
      </c>
      <c r="F930" s="11" t="inlineStr">
        <is>
          <t>First District (Not a Province)</t>
        </is>
      </c>
      <c r="G930" s="11" t="inlineStr">
        <is>
          <t>City of Manila</t>
        </is>
      </c>
      <c r="H930" s="11" t="inlineStr">
        <is>
          <t>Barangay 205</t>
        </is>
      </c>
      <c r="I930" s="24" t="n">
        <v>14.630106</v>
      </c>
      <c r="J930" s="24" t="n">
        <v>120.97867</v>
      </c>
      <c r="K930" s="23" t="inlineStr">
        <is>
          <t>U</t>
        </is>
      </c>
      <c r="L930" s="25" t="n">
        <v>1832</v>
      </c>
      <c r="M930" s="26" t="n">
        <v>4.37</v>
      </c>
      <c r="N930" s="25">
        <f>ROUND(L930/M930, 0)</f>
        <v/>
      </c>
      <c r="O930" s="25">
        <f>ROUND(N930*'Methodology &amp; Assumptions'!$B$7, 0)</f>
        <v/>
      </c>
      <c r="P930" s="23" t="inlineStr">
        <is>
          <t>Single Carrier (Band n50, 100MHz TDD)</t>
        </is>
      </c>
      <c r="Q930" s="27">
        <f>ROUNDUP(O930/'Methodology &amp; Assumptions'!$B$8, 0)</f>
        <v/>
      </c>
      <c r="R930" s="27" t="n">
        <v>1</v>
      </c>
      <c r="S930" s="26" t="n">
        <v>0.68</v>
      </c>
      <c r="T930" s="26" t="n">
        <v>0.3</v>
      </c>
      <c r="U930" s="11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26" t="n">
        <v>54.59</v>
      </c>
      <c r="W930" s="26" t="n">
        <v>70.47</v>
      </c>
      <c r="X930" s="26">
        <f>ROUND(('Methodology &amp; Assumptions'!$B$5*V930) + ('Methodology &amp; Assumptions'!$B$6*W930), 2)</f>
        <v/>
      </c>
      <c r="Y930" s="28" t="n">
        <v>10.9</v>
      </c>
      <c r="Z930" s="11" t="inlineStr">
        <is>
          <t>Priority Tier 2 (Balanced Opportunity)</t>
        </is>
      </c>
    </row>
    <row r="931">
      <c r="A931" s="23" t="n">
        <v>2</v>
      </c>
      <c r="B931" s="23" t="n">
        <v>927</v>
      </c>
      <c r="C931" s="23" t="n">
        <v>1927</v>
      </c>
      <c r="D931" s="23" t="inlineStr">
        <is>
          <t>0803722005</t>
        </is>
      </c>
      <c r="E931" s="11" t="inlineStr">
        <is>
          <t>Region VIII (Eastern Visayas)</t>
        </is>
      </c>
      <c r="F931" s="11" t="inlineStr">
        <is>
          <t>Leyte</t>
        </is>
      </c>
      <c r="G931" s="11" t="inlineStr">
        <is>
          <t>Isabel</t>
        </is>
      </c>
      <c r="H931" s="11" t="inlineStr">
        <is>
          <t>Benog</t>
        </is>
      </c>
      <c r="I931" s="24" t="n">
        <v>10.893932</v>
      </c>
      <c r="J931" s="24" t="n">
        <v>124.483586</v>
      </c>
      <c r="K931" s="23" t="inlineStr">
        <is>
          <t>R</t>
        </is>
      </c>
      <c r="L931" s="25" t="n">
        <v>627</v>
      </c>
      <c r="M931" s="26" t="n">
        <v>3.8</v>
      </c>
      <c r="N931" s="25">
        <f>ROUND(L931/M931, 0)</f>
        <v/>
      </c>
      <c r="O931" s="25">
        <f>ROUND(N931*'Methodology &amp; Assumptions'!$B$7, 0)</f>
        <v/>
      </c>
      <c r="P931" s="23" t="inlineStr">
        <is>
          <t>Single Carrier (Band n50, 100MHz TDD)</t>
        </is>
      </c>
      <c r="Q931" s="27">
        <f>ROUNDUP(O931/'Methodology &amp; Assumptions'!$B$8, 0)</f>
        <v/>
      </c>
      <c r="R931" s="27" t="n">
        <v>1</v>
      </c>
      <c r="S931" s="26" t="n">
        <v>5.99</v>
      </c>
      <c r="T931" s="26" t="n">
        <v>2.03</v>
      </c>
      <c r="U931" s="11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26" t="n">
        <v>50</v>
      </c>
      <c r="W931" s="26" t="n">
        <v>75.06</v>
      </c>
      <c r="X931" s="26">
        <f>ROUND(('Methodology &amp; Assumptions'!$B$5*V931) + ('Methodology &amp; Assumptions'!$B$6*W931), 2)</f>
        <v/>
      </c>
      <c r="Y931" s="28" t="n">
        <v>23.7</v>
      </c>
      <c r="Z931" s="11" t="inlineStr">
        <is>
          <t>Priority Tier 2 (Balanced Opportunity)</t>
        </is>
      </c>
    </row>
    <row r="932">
      <c r="A932" s="23" t="n">
        <v>2</v>
      </c>
      <c r="B932" s="23" t="n">
        <v>928</v>
      </c>
      <c r="C932" s="23" t="n">
        <v>1928</v>
      </c>
      <c r="D932" s="23" t="inlineStr">
        <is>
          <t>0306910004</t>
        </is>
      </c>
      <c r="E932" s="11" t="inlineStr">
        <is>
          <t>Region III (Central Luzon)</t>
        </is>
      </c>
      <c r="F932" s="11" t="inlineStr">
        <is>
          <t>Tarlac</t>
        </is>
      </c>
      <c r="G932" s="11" t="inlineStr">
        <is>
          <t>Paniqui</t>
        </is>
      </c>
      <c r="H932" s="11" t="inlineStr">
        <is>
          <t>Apulid</t>
        </is>
      </c>
      <c r="I932" s="24" t="n">
        <v>15.682778</v>
      </c>
      <c r="J932" s="24" t="n">
        <v>120.58</v>
      </c>
      <c r="K932" s="23" t="inlineStr">
        <is>
          <t>R</t>
        </is>
      </c>
      <c r="L932" s="25" t="n">
        <v>4025</v>
      </c>
      <c r="M932" s="26" t="n">
        <v>3.9</v>
      </c>
      <c r="N932" s="25">
        <f>ROUND(L932/M932, 0)</f>
        <v/>
      </c>
      <c r="O932" s="25">
        <f>ROUND(N932*'Methodology &amp; Assumptions'!$B$7, 0)</f>
        <v/>
      </c>
      <c r="P932" s="23" t="inlineStr">
        <is>
          <t>Single Carrier (Band n50, 100MHz TDD)</t>
        </is>
      </c>
      <c r="Q932" s="27">
        <f>ROUNDUP(O932/'Methodology &amp; Assumptions'!$B$8, 0)</f>
        <v/>
      </c>
      <c r="R932" s="27" t="n">
        <v>1</v>
      </c>
      <c r="S932" s="26" t="n">
        <v>1.81</v>
      </c>
      <c r="T932" s="26" t="n">
        <v>0.38</v>
      </c>
      <c r="U932" s="11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26" t="n">
        <v>82.06</v>
      </c>
      <c r="W932" s="26" t="n">
        <v>42.99</v>
      </c>
      <c r="X932" s="26">
        <f>ROUND(('Methodology &amp; Assumptions'!$B$5*V932) + ('Methodology &amp; Assumptions'!$B$6*W932), 2)</f>
        <v/>
      </c>
      <c r="Y932" s="28" t="n">
        <v>8.300000000000001</v>
      </c>
      <c r="Z932" s="11" t="inlineStr">
        <is>
          <t>Priority Tier 2 (Balanced Opportunity)</t>
        </is>
      </c>
    </row>
    <row r="933">
      <c r="A933" s="23" t="n">
        <v>2</v>
      </c>
      <c r="B933" s="23" t="n">
        <v>929</v>
      </c>
      <c r="C933" s="23" t="n">
        <v>1929</v>
      </c>
      <c r="D933" s="23" t="inlineStr">
        <is>
          <t>0402106080</t>
        </is>
      </c>
      <c r="E933" s="11" t="inlineStr">
        <is>
          <t>Region IV-A (CALABARZON)</t>
        </is>
      </c>
      <c r="F933" s="11" t="inlineStr">
        <is>
          <t>Cavite</t>
        </is>
      </c>
      <c r="G933" s="11" t="inlineStr">
        <is>
          <t>City of Dasmariñas</t>
        </is>
      </c>
      <c r="H933" s="11" t="inlineStr">
        <is>
          <t>H-2</t>
        </is>
      </c>
      <c r="I933" s="24" t="n">
        <v>14.331147</v>
      </c>
      <c r="J933" s="24" t="n">
        <v>120.958624</v>
      </c>
      <c r="K933" s="23" t="inlineStr">
        <is>
          <t>U</t>
        </is>
      </c>
      <c r="L933" s="25" t="n">
        <v>9797</v>
      </c>
      <c r="M933" s="26" t="n">
        <v>3.4</v>
      </c>
      <c r="N933" s="25">
        <f>ROUND(L933/M933, 0)</f>
        <v/>
      </c>
      <c r="O933" s="25">
        <f>ROUND(N933*'Methodology &amp; Assumptions'!$B$7, 0)</f>
        <v/>
      </c>
      <c r="P933" s="23" t="inlineStr">
        <is>
          <t>Single Carrier (Band n50, 100MHz TDD)</t>
        </is>
      </c>
      <c r="Q933" s="27">
        <f>ROUNDUP(O933/'Methodology &amp; Assumptions'!$B$8, 0)</f>
        <v/>
      </c>
      <c r="R933" s="27" t="n">
        <v>1</v>
      </c>
      <c r="S933" s="26" t="n">
        <v>2.22</v>
      </c>
      <c r="T933" s="26" t="n">
        <v>3.32</v>
      </c>
      <c r="U933" s="11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26" t="n">
        <v>69.79000000000001</v>
      </c>
      <c r="W933" s="26" t="n">
        <v>55.25</v>
      </c>
      <c r="X933" s="26">
        <f>ROUND(('Methodology &amp; Assumptions'!$B$5*V933) + ('Methodology &amp; Assumptions'!$B$6*W933), 2)</f>
        <v/>
      </c>
      <c r="Y933" s="28" t="n">
        <v>7.2</v>
      </c>
      <c r="Z933" s="11" t="inlineStr">
        <is>
          <t>Priority Tier 2 (Balanced Opportunity)</t>
        </is>
      </c>
    </row>
    <row r="934">
      <c r="A934" s="23" t="n">
        <v>2</v>
      </c>
      <c r="B934" s="23" t="n">
        <v>930</v>
      </c>
      <c r="C934" s="23" t="n">
        <v>1930</v>
      </c>
      <c r="D934" s="23" t="inlineStr">
        <is>
          <t>1381100059</t>
        </is>
      </c>
      <c r="E934" s="11" t="inlineStr">
        <is>
          <t>National Capital Region (NCR)</t>
        </is>
      </c>
      <c r="F934" s="11" t="inlineStr">
        <is>
          <t>Fourth District (Not a Province)</t>
        </is>
      </c>
      <c r="G934" s="11" t="inlineStr">
        <is>
          <t>Pasay City</t>
        </is>
      </c>
      <c r="H934" s="11" t="inlineStr">
        <is>
          <t>Barangay 59</t>
        </is>
      </c>
      <c r="I934" s="24" t="n">
        <v>14.548762</v>
      </c>
      <c r="J934" s="24" t="n">
        <v>120.998754</v>
      </c>
      <c r="K934" s="23" t="inlineStr">
        <is>
          <t>U</t>
        </is>
      </c>
      <c r="L934" s="25" t="n">
        <v>1514</v>
      </c>
      <c r="M934" s="26" t="n">
        <v>3.79</v>
      </c>
      <c r="N934" s="25">
        <f>ROUND(L934/M934, 0)</f>
        <v/>
      </c>
      <c r="O934" s="25">
        <f>ROUND(N934*'Methodology &amp; Assumptions'!$B$7, 0)</f>
        <v/>
      </c>
      <c r="P934" s="23" t="inlineStr">
        <is>
          <t>Single Carrier (Band n50, 100MHz TDD)</t>
        </is>
      </c>
      <c r="Q934" s="27">
        <f>ROUNDUP(O934/'Methodology &amp; Assumptions'!$B$8, 0)</f>
        <v/>
      </c>
      <c r="R934" s="27" t="n">
        <v>1</v>
      </c>
      <c r="S934" s="26" t="n">
        <v>0.66</v>
      </c>
      <c r="T934" s="26" t="n">
        <v>0.12</v>
      </c>
      <c r="U934" s="11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26" t="n">
        <v>53.95</v>
      </c>
      <c r="W934" s="26" t="n">
        <v>71.09999999999999</v>
      </c>
      <c r="X934" s="26">
        <f>ROUND(('Methodology &amp; Assumptions'!$B$5*V934) + ('Methodology &amp; Assumptions'!$B$6*W934), 2)</f>
        <v/>
      </c>
      <c r="Y934" s="28" t="n">
        <v>10.9</v>
      </c>
      <c r="Z934" s="11" t="inlineStr">
        <is>
          <t>Priority Tier 2 (Balanced Opportunity)</t>
        </is>
      </c>
    </row>
    <row r="935">
      <c r="A935" s="23" t="n">
        <v>2</v>
      </c>
      <c r="B935" s="23" t="n">
        <v>931</v>
      </c>
      <c r="C935" s="23" t="n">
        <v>1931</v>
      </c>
      <c r="D935" s="23" t="inlineStr">
        <is>
          <t>1906603010</t>
        </is>
      </c>
      <c r="E935" s="11" t="inlineStr">
        <is>
          <t>Bangsamoro Autonomous Region In Muslim Mindanao (BARMM)</t>
        </is>
      </c>
      <c r="F935" s="11" t="inlineStr">
        <is>
          <t>Sulu</t>
        </is>
      </c>
      <c r="G935" s="11" t="inlineStr">
        <is>
          <t>Kalingalan Caluang</t>
        </is>
      </c>
      <c r="H935" s="11" t="inlineStr">
        <is>
          <t>Pang</t>
        </is>
      </c>
      <c r="I935" s="24" t="n">
        <v>5.94481</v>
      </c>
      <c r="J935" s="24" t="n">
        <v>121.27125</v>
      </c>
      <c r="K935" s="23" t="inlineStr">
        <is>
          <t>U</t>
        </is>
      </c>
      <c r="L935" s="25" t="n">
        <v>5469</v>
      </c>
      <c r="M935" s="26" t="n">
        <v>4.3</v>
      </c>
      <c r="N935" s="25">
        <f>ROUND(L935/M935, 0)</f>
        <v/>
      </c>
      <c r="O935" s="25">
        <f>ROUND(N935*'Methodology &amp; Assumptions'!$B$7, 0)</f>
        <v/>
      </c>
      <c r="P935" s="23" t="inlineStr">
        <is>
          <t>Single Carrier (Band n50, 100MHz TDD)</t>
        </is>
      </c>
      <c r="Q935" s="27">
        <f>ROUNDUP(O935/'Methodology &amp; Assumptions'!$B$8, 0)</f>
        <v/>
      </c>
      <c r="R935" s="27" t="n">
        <v>1</v>
      </c>
      <c r="S935" s="26" t="n">
        <v>139.25</v>
      </c>
      <c r="T935" s="26" t="n">
        <v>139.24</v>
      </c>
      <c r="U935" s="11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26" t="n">
        <v>51.86</v>
      </c>
      <c r="W935" s="26" t="n">
        <v>73.18000000000001</v>
      </c>
      <c r="X935" s="26">
        <f>ROUND(('Methodology &amp; Assumptions'!$B$5*V935) + ('Methodology &amp; Assumptions'!$B$6*W935), 2)</f>
        <v/>
      </c>
      <c r="Y935" s="28" t="n">
        <v>11</v>
      </c>
      <c r="Z935" s="11" t="inlineStr">
        <is>
          <t>Priority Tier 2 (Balanced Opportunity)</t>
        </is>
      </c>
    </row>
    <row r="936">
      <c r="A936" s="23" t="n">
        <v>2</v>
      </c>
      <c r="B936" s="23" t="n">
        <v>932</v>
      </c>
      <c r="C936" s="23" t="n">
        <v>1932</v>
      </c>
      <c r="D936" s="23" t="inlineStr">
        <is>
          <t>1908713001</t>
        </is>
      </c>
      <c r="E936" s="11" t="inlineStr">
        <is>
          <t>Bangsamoro Autonomous Region In Muslim Mindanao (BARMM)</t>
        </is>
      </c>
      <c r="F936" s="11" t="inlineStr">
        <is>
          <t>Maguindanao del Norte</t>
        </is>
      </c>
      <c r="G936" s="11" t="inlineStr">
        <is>
          <t>Upi</t>
        </is>
      </c>
      <c r="H936" s="11" t="inlineStr">
        <is>
          <t>Bantek</t>
        </is>
      </c>
      <c r="I936" s="24" t="n">
        <v>6.948062</v>
      </c>
      <c r="J936" s="24" t="n">
        <v>124.06971</v>
      </c>
      <c r="K936" s="23" t="inlineStr">
        <is>
          <t>R</t>
        </is>
      </c>
      <c r="L936" s="25" t="n">
        <v>3237</v>
      </c>
      <c r="M936" s="26" t="n">
        <v>4.3</v>
      </c>
      <c r="N936" s="25">
        <f>ROUND(L936/M936, 0)</f>
        <v/>
      </c>
      <c r="O936" s="25">
        <f>ROUND(N936*'Methodology &amp; Assumptions'!$B$7, 0)</f>
        <v/>
      </c>
      <c r="P936" s="23" t="inlineStr">
        <is>
          <t>Single Carrier (Band n50, 100MHz TDD)</t>
        </is>
      </c>
      <c r="Q936" s="27">
        <f>ROUNDUP(O936/'Methodology &amp; Assumptions'!$B$8, 0)</f>
        <v/>
      </c>
      <c r="R936" s="27" t="n">
        <v>1</v>
      </c>
      <c r="S936" s="26" t="n">
        <v>72.59999999999999</v>
      </c>
      <c r="T936" s="26" t="n">
        <v>72.54000000000001</v>
      </c>
      <c r="U936" s="11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26" t="n">
        <v>55.26</v>
      </c>
      <c r="W936" s="26" t="n">
        <v>69.76000000000001</v>
      </c>
      <c r="X936" s="26">
        <f>ROUND(('Methodology &amp; Assumptions'!$B$5*V936) + ('Methodology &amp; Assumptions'!$B$6*W936), 2)</f>
        <v/>
      </c>
      <c r="Y936" s="28" t="n">
        <v>11</v>
      </c>
      <c r="Z936" s="11" t="inlineStr">
        <is>
          <t>Priority Tier 2 (Balanced Opportunity)</t>
        </is>
      </c>
    </row>
    <row r="937">
      <c r="A937" s="23" t="n">
        <v>2</v>
      </c>
      <c r="B937" s="23" t="n">
        <v>933</v>
      </c>
      <c r="C937" s="23" t="n">
        <v>1933</v>
      </c>
      <c r="D937" s="23" t="inlineStr">
        <is>
          <t>1380614094</t>
        </is>
      </c>
      <c r="E937" s="11" t="inlineStr">
        <is>
          <t>National Capital Region (NCR)</t>
        </is>
      </c>
      <c r="F937" s="11" t="inlineStr">
        <is>
          <t>First District (Not a Province)</t>
        </is>
      </c>
      <c r="G937" s="11" t="inlineStr">
        <is>
          <t>City of Manila</t>
        </is>
      </c>
      <c r="H937" s="11" t="inlineStr">
        <is>
          <t>Barangay 901</t>
        </is>
      </c>
      <c r="I937" s="24" t="n">
        <v>14.586714</v>
      </c>
      <c r="J937" s="24" t="n">
        <v>121.010965</v>
      </c>
      <c r="K937" s="23" t="inlineStr">
        <is>
          <t>U</t>
        </is>
      </c>
      <c r="L937" s="25" t="n">
        <v>1616</v>
      </c>
      <c r="M937" s="26" t="n">
        <v>3.75</v>
      </c>
      <c r="N937" s="25">
        <f>ROUND(L937/M937, 0)</f>
        <v/>
      </c>
      <c r="O937" s="25">
        <f>ROUND(N937*'Methodology &amp; Assumptions'!$B$7, 0)</f>
        <v/>
      </c>
      <c r="P937" s="23" t="inlineStr">
        <is>
          <t>Single Carrier (Band n50, 100MHz TDD)</t>
        </is>
      </c>
      <c r="Q937" s="27">
        <f>ROUNDUP(O937/'Methodology &amp; Assumptions'!$B$8, 0)</f>
        <v/>
      </c>
      <c r="R937" s="27" t="n">
        <v>1</v>
      </c>
      <c r="S937" s="26" t="n">
        <v>0.92</v>
      </c>
      <c r="T937" s="26" t="n">
        <v>0.61</v>
      </c>
      <c r="U937" s="11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26" t="n">
        <v>54.61</v>
      </c>
      <c r="W937" s="26" t="n">
        <v>70.41</v>
      </c>
      <c r="X937" s="26">
        <f>ROUND(('Methodology &amp; Assumptions'!$B$5*V937) + ('Methodology &amp; Assumptions'!$B$6*W937), 2)</f>
        <v/>
      </c>
      <c r="Y937" s="28" t="n">
        <v>10.9</v>
      </c>
      <c r="Z937" s="11" t="inlineStr">
        <is>
          <t>Priority Tier 2 (Balanced Opportunity)</t>
        </is>
      </c>
    </row>
    <row r="938">
      <c r="A938" s="23" t="n">
        <v>2</v>
      </c>
      <c r="B938" s="23" t="n">
        <v>934</v>
      </c>
      <c r="C938" s="23" t="n">
        <v>1934</v>
      </c>
      <c r="D938" s="23" t="inlineStr">
        <is>
          <t>0300810020</t>
        </is>
      </c>
      <c r="E938" s="11" t="inlineStr">
        <is>
          <t>Region III (Central Luzon)</t>
        </is>
      </c>
      <c r="F938" s="11" t="inlineStr">
        <is>
          <t>Bataan</t>
        </is>
      </c>
      <c r="G938" s="11" t="inlineStr">
        <is>
          <t>Orion</t>
        </is>
      </c>
      <c r="H938" s="11" t="inlineStr">
        <is>
          <t>Puting Buhangin</t>
        </is>
      </c>
      <c r="I938" s="24" t="n">
        <v>14.583282</v>
      </c>
      <c r="J938" s="24" t="n">
        <v>120.58976</v>
      </c>
      <c r="K938" s="23" t="inlineStr">
        <is>
          <t>R</t>
        </is>
      </c>
      <c r="L938" s="25" t="n">
        <v>3189</v>
      </c>
      <c r="M938" s="26" t="n">
        <v>3.6</v>
      </c>
      <c r="N938" s="25">
        <f>ROUND(L938/M938, 0)</f>
        <v/>
      </c>
      <c r="O938" s="25">
        <f>ROUND(N938*'Methodology &amp; Assumptions'!$B$7, 0)</f>
        <v/>
      </c>
      <c r="P938" s="23" t="inlineStr">
        <is>
          <t>Single Carrier (Band n50, 100MHz TDD)</t>
        </is>
      </c>
      <c r="Q938" s="27">
        <f>ROUNDUP(O938/'Methodology &amp; Assumptions'!$B$8, 0)</f>
        <v/>
      </c>
      <c r="R938" s="27" t="n">
        <v>1</v>
      </c>
      <c r="S938" s="26" t="n">
        <v>1.19</v>
      </c>
      <c r="T938" s="26" t="n">
        <v>0.3</v>
      </c>
      <c r="U938" s="11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26" t="n">
        <v>84.29000000000001</v>
      </c>
      <c r="W938" s="26" t="n">
        <v>40.71</v>
      </c>
      <c r="X938" s="26">
        <f>ROUND(('Methodology &amp; Assumptions'!$B$5*V938) + ('Methodology &amp; Assumptions'!$B$6*W938), 2)</f>
        <v/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2</v>
      </c>
      <c r="B939" s="23" t="n">
        <v>935</v>
      </c>
      <c r="C939" s="23" t="n">
        <v>1935</v>
      </c>
      <c r="D939" s="23" t="inlineStr">
        <is>
          <t>0402115012</t>
        </is>
      </c>
      <c r="E939" s="11" t="inlineStr">
        <is>
          <t>Region IV-A (CALABARZON)</t>
        </is>
      </c>
      <c r="F939" s="11" t="inlineStr">
        <is>
          <t>Cavite</t>
        </is>
      </c>
      <c r="G939" s="11" t="inlineStr">
        <is>
          <t>Naic</t>
        </is>
      </c>
      <c r="H939" s="11" t="inlineStr">
        <is>
          <t>Ibayo Estacion</t>
        </is>
      </c>
      <c r="I939" s="24" t="n">
        <v>14.323488</v>
      </c>
      <c r="J939" s="24" t="n">
        <v>120.765077</v>
      </c>
      <c r="K939" s="23" t="inlineStr">
        <is>
          <t>U</t>
        </is>
      </c>
      <c r="L939" s="25" t="n">
        <v>5324</v>
      </c>
      <c r="M939" s="26" t="n">
        <v>3.4</v>
      </c>
      <c r="N939" s="25">
        <f>ROUND(L939/M939, 0)</f>
        <v/>
      </c>
      <c r="O939" s="25">
        <f>ROUND(N939*'Methodology &amp; Assumptions'!$B$7, 0)</f>
        <v/>
      </c>
      <c r="P939" s="23" t="inlineStr">
        <is>
          <t>Single Carrier (Band n50, 100MHz TDD)</t>
        </is>
      </c>
      <c r="Q939" s="27">
        <f>ROUNDUP(O939/'Methodology &amp; Assumptions'!$B$8, 0)</f>
        <v/>
      </c>
      <c r="R939" s="27" t="n">
        <v>1</v>
      </c>
      <c r="S939" s="26" t="n">
        <v>0.74</v>
      </c>
      <c r="T939" s="26" t="n">
        <v>0.73</v>
      </c>
      <c r="U939" s="11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26" t="n">
        <v>78.26000000000001</v>
      </c>
      <c r="W939" s="26" t="n">
        <v>46.75</v>
      </c>
      <c r="X939" s="26">
        <f>ROUND(('Methodology &amp; Assumptions'!$B$5*V939) + ('Methodology &amp; Assumptions'!$B$6*W939), 2)</f>
        <v/>
      </c>
      <c r="Y939" s="28" t="n">
        <v>7.2</v>
      </c>
      <c r="Z939" s="11" t="inlineStr">
        <is>
          <t>Priority Tier 2 (Balanced Opportunity)</t>
        </is>
      </c>
    </row>
    <row r="940">
      <c r="A940" s="23" t="n">
        <v>2</v>
      </c>
      <c r="B940" s="23" t="n">
        <v>936</v>
      </c>
      <c r="C940" s="23" t="n">
        <v>1936</v>
      </c>
      <c r="D940" s="23" t="inlineStr">
        <is>
          <t>0401005056</t>
        </is>
      </c>
      <c r="E940" s="11" t="inlineStr">
        <is>
          <t>Region IV-A (CALABARZON)</t>
        </is>
      </c>
      <c r="F940" s="11" t="inlineStr">
        <is>
          <t>Batangas</t>
        </is>
      </c>
      <c r="G940" s="11" t="inlineStr">
        <is>
          <t>Batangas City</t>
        </is>
      </c>
      <c r="H940" s="11" t="inlineStr">
        <is>
          <t>Barangay 10</t>
        </is>
      </c>
      <c r="I940" s="24" t="n">
        <v>13.759482</v>
      </c>
      <c r="J940" s="24" t="n">
        <v>121.058234</v>
      </c>
      <c r="K940" s="23" t="inlineStr">
        <is>
          <t>U</t>
        </is>
      </c>
      <c r="L940" s="25" t="n">
        <v>271</v>
      </c>
      <c r="M940" s="26" t="n">
        <v>3.6</v>
      </c>
      <c r="N940" s="25">
        <f>ROUND(L940/M940, 0)</f>
        <v/>
      </c>
      <c r="O940" s="25">
        <f>ROUND(N940*'Methodology &amp; Assumptions'!$B$7, 0)</f>
        <v/>
      </c>
      <c r="P940" s="23" t="inlineStr">
        <is>
          <t>Single Carrier (Band n50, 100MHz TDD)</t>
        </is>
      </c>
      <c r="Q940" s="27">
        <f>ROUNDUP(O940/'Methodology &amp; Assumptions'!$B$8, 0)</f>
        <v/>
      </c>
      <c r="R940" s="27" t="n">
        <v>1</v>
      </c>
      <c r="S940" s="26" t="n">
        <v>0.35</v>
      </c>
      <c r="T940" s="26" t="n">
        <v>0.32</v>
      </c>
      <c r="U940" s="11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26" t="n">
        <v>54.05</v>
      </c>
      <c r="W940" s="26" t="n">
        <v>70.95</v>
      </c>
      <c r="X940" s="26">
        <f>ROUND(('Methodology &amp; Assumptions'!$B$5*V940) + ('Methodology &amp; Assumptions'!$B$6*W940), 2)</f>
        <v/>
      </c>
      <c r="Y940" s="28" t="n">
        <v>7.2</v>
      </c>
      <c r="Z940" s="11" t="inlineStr">
        <is>
          <t>Priority Tier 2 (Balanced Opportunity)</t>
        </is>
      </c>
    </row>
    <row r="941">
      <c r="A941" s="23" t="n">
        <v>2</v>
      </c>
      <c r="B941" s="23" t="n">
        <v>937</v>
      </c>
      <c r="C941" s="23" t="n">
        <v>1937</v>
      </c>
      <c r="D941" s="23" t="inlineStr">
        <is>
          <t>0402117011</t>
        </is>
      </c>
      <c r="E941" s="11" t="inlineStr">
        <is>
          <t>Region IV-A (CALABARZON)</t>
        </is>
      </c>
      <c r="F941" s="11" t="inlineStr">
        <is>
          <t>Cavite</t>
        </is>
      </c>
      <c r="G941" s="11" t="inlineStr">
        <is>
          <t>Rosario</t>
        </is>
      </c>
      <c r="H941" s="11" t="inlineStr">
        <is>
          <t>Wawa I</t>
        </is>
      </c>
      <c r="I941" s="24" t="n">
        <v>14.413236</v>
      </c>
      <c r="J941" s="24" t="n">
        <v>120.846538</v>
      </c>
      <c r="K941" s="23" t="inlineStr">
        <is>
          <t>U</t>
        </is>
      </c>
      <c r="L941" s="25" t="n">
        <v>5802</v>
      </c>
      <c r="M941" s="26" t="n">
        <v>3.4</v>
      </c>
      <c r="N941" s="25">
        <f>ROUND(L941/M941, 0)</f>
        <v/>
      </c>
      <c r="O941" s="25">
        <f>ROUND(N941*'Methodology &amp; Assumptions'!$B$7, 0)</f>
        <v/>
      </c>
      <c r="P941" s="23" t="inlineStr">
        <is>
          <t>Single Carrier (Band n50, 100MHz TDD)</t>
        </is>
      </c>
      <c r="Q941" s="27">
        <f>ROUNDUP(O941/'Methodology &amp; Assumptions'!$B$8, 0)</f>
        <v/>
      </c>
      <c r="R941" s="27" t="n">
        <v>1</v>
      </c>
      <c r="S941" s="26" t="n">
        <v>2.36</v>
      </c>
      <c r="T941" s="26" t="n">
        <v>2.39</v>
      </c>
      <c r="U941" s="11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26" t="n">
        <v>69.31</v>
      </c>
      <c r="W941" s="26" t="n">
        <v>55.67</v>
      </c>
      <c r="X941" s="26">
        <f>ROUND(('Methodology &amp; Assumptions'!$B$5*V941) + ('Methodology &amp; Assumptions'!$B$6*W941), 2)</f>
        <v/>
      </c>
      <c r="Y941" s="28" t="n">
        <v>7.2</v>
      </c>
      <c r="Z941" s="11" t="inlineStr">
        <is>
          <t>Priority Tier 2 (Balanced Opportunity)</t>
        </is>
      </c>
    </row>
    <row r="942">
      <c r="A942" s="23" t="n">
        <v>2</v>
      </c>
      <c r="B942" s="23" t="n">
        <v>938</v>
      </c>
      <c r="C942" s="23" t="n">
        <v>1938</v>
      </c>
      <c r="D942" s="23" t="inlineStr">
        <is>
          <t>1381300009</t>
        </is>
      </c>
      <c r="E942" s="11" t="inlineStr">
        <is>
          <t>National Capital Region (NCR)</t>
        </is>
      </c>
      <c r="F942" s="11" t="inlineStr">
        <is>
          <t>Second District (Not a Province)</t>
        </is>
      </c>
      <c r="G942" s="11" t="inlineStr">
        <is>
          <t>Quezon City</t>
        </is>
      </c>
      <c r="H942" s="11" t="inlineStr">
        <is>
          <t>Bagong Pag-asa</t>
        </is>
      </c>
      <c r="I942" s="24" t="n">
        <v>14.662702</v>
      </c>
      <c r="J942" s="24" t="n">
        <v>121.03325</v>
      </c>
      <c r="K942" s="23" t="inlineStr">
        <is>
          <t>U</t>
        </is>
      </c>
      <c r="L942" s="25" t="n">
        <v>28022</v>
      </c>
      <c r="M942" s="26" t="n">
        <v>3.51</v>
      </c>
      <c r="N942" s="25">
        <f>ROUND(L942/M942, 0)</f>
        <v/>
      </c>
      <c r="O942" s="25">
        <f>ROUND(N942*'Methodology &amp; Assumptions'!$B$7, 0)</f>
        <v/>
      </c>
      <c r="P942" s="23" t="inlineStr">
        <is>
          <t>Single Carrier (Band n50, 100MHz TDD)</t>
        </is>
      </c>
      <c r="Q942" s="27">
        <f>ROUNDUP(O942/'Methodology &amp; Assumptions'!$B$8, 0)</f>
        <v/>
      </c>
      <c r="R942" s="27" t="n">
        <v>1</v>
      </c>
      <c r="S942" s="26" t="n">
        <v>0.15</v>
      </c>
      <c r="T942" s="26" t="n">
        <v>0.36</v>
      </c>
      <c r="U942" s="11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26" t="n">
        <v>67.55</v>
      </c>
      <c r="W942" s="26" t="n">
        <v>57.43</v>
      </c>
      <c r="X942" s="26">
        <f>ROUND(('Methodology &amp; Assumptions'!$B$5*V942) + ('Methodology &amp; Assumptions'!$B$6*W942), 2)</f>
        <v/>
      </c>
      <c r="Y942" s="28" t="n">
        <v>10.9</v>
      </c>
      <c r="Z942" s="11" t="inlineStr">
        <is>
          <t>Priority Tier 2 (Balanced Opportunity)</t>
        </is>
      </c>
    </row>
    <row r="943">
      <c r="A943" s="23" t="n">
        <v>2</v>
      </c>
      <c r="B943" s="23" t="n">
        <v>939</v>
      </c>
      <c r="C943" s="23" t="n">
        <v>1939</v>
      </c>
      <c r="D943" s="23" t="inlineStr">
        <is>
          <t>0604507012</t>
        </is>
      </c>
      <c r="E943" s="11" t="inlineStr">
        <is>
          <t>Region VI (Western Visayas)</t>
        </is>
      </c>
      <c r="F943" s="11" t="inlineStr">
        <is>
          <t>Negros Occidental</t>
        </is>
      </c>
      <c r="G943" s="11" t="inlineStr">
        <is>
          <t>Cauayan</t>
        </is>
      </c>
      <c r="H943" s="11" t="inlineStr">
        <is>
          <t>Camindangan</t>
        </is>
      </c>
      <c r="I943" s="24" t="n">
        <v>9.845731000000001</v>
      </c>
      <c r="J943" s="24" t="n">
        <v>122.548983</v>
      </c>
      <c r="K943" s="23" t="inlineStr">
        <is>
          <t>R</t>
        </is>
      </c>
      <c r="L943" s="25" t="n">
        <v>2781</v>
      </c>
      <c r="M943" s="26" t="n">
        <v>3.7</v>
      </c>
      <c r="N943" s="25">
        <f>ROUND(L943/M943, 0)</f>
        <v/>
      </c>
      <c r="O943" s="25">
        <f>ROUND(N943*'Methodology &amp; Assumptions'!$B$7, 0)</f>
        <v/>
      </c>
      <c r="P943" s="23" t="inlineStr">
        <is>
          <t>Single Carrier (Band n50, 100MHz TDD)</t>
        </is>
      </c>
      <c r="Q943" s="27">
        <f>ROUNDUP(O943/'Methodology &amp; Assumptions'!$B$8, 0)</f>
        <v/>
      </c>
      <c r="R943" s="27" t="n">
        <v>1</v>
      </c>
      <c r="S943" s="26" t="n">
        <v>19.31</v>
      </c>
      <c r="T943" s="26" t="n">
        <v>17.83</v>
      </c>
      <c r="U943" s="11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26" t="n">
        <v>59.12</v>
      </c>
      <c r="W943" s="26" t="n">
        <v>65.84999999999999</v>
      </c>
      <c r="X943" s="26">
        <f>ROUND(('Methodology &amp; Assumptions'!$B$5*V943) + ('Methodology &amp; Assumptions'!$B$6*W943), 2)</f>
        <v/>
      </c>
      <c r="Y943" s="28" t="n">
        <v>23.7</v>
      </c>
      <c r="Z943" s="11" t="inlineStr">
        <is>
          <t>Priority Tier 2 (Balanced Opportunity)</t>
        </is>
      </c>
    </row>
    <row r="944">
      <c r="A944" s="23" t="n">
        <v>2</v>
      </c>
      <c r="B944" s="23" t="n">
        <v>940</v>
      </c>
      <c r="C944" s="23" t="n">
        <v>1940</v>
      </c>
      <c r="D944" s="23" t="inlineStr">
        <is>
          <t>1380606145</t>
        </is>
      </c>
      <c r="E944" s="11" t="inlineStr">
        <is>
          <t>National Capital Region (NCR)</t>
        </is>
      </c>
      <c r="F944" s="11" t="inlineStr">
        <is>
          <t>First District (Not a Province)</t>
        </is>
      </c>
      <c r="G944" s="11" t="inlineStr">
        <is>
          <t>City of Manila</t>
        </is>
      </c>
      <c r="H944" s="11" t="inlineStr">
        <is>
          <t>Barangay 539</t>
        </is>
      </c>
      <c r="I944" s="24" t="n">
        <v>14.611494</v>
      </c>
      <c r="J944" s="24" t="n">
        <v>121.004851</v>
      </c>
      <c r="K944" s="23" t="inlineStr">
        <is>
          <t>U</t>
        </is>
      </c>
      <c r="L944" s="25" t="n">
        <v>2015</v>
      </c>
      <c r="M944" s="26" t="n">
        <v>4.31</v>
      </c>
      <c r="N944" s="25">
        <f>ROUND(L944/M944, 0)</f>
        <v/>
      </c>
      <c r="O944" s="25">
        <f>ROUND(N944*'Methodology &amp; Assumptions'!$B$7, 0)</f>
        <v/>
      </c>
      <c r="P944" s="23" t="inlineStr">
        <is>
          <t>Single Carrier (Band n50, 100MHz TDD)</t>
        </is>
      </c>
      <c r="Q944" s="27">
        <f>ROUNDUP(O944/'Methodology &amp; Assumptions'!$B$8, 0)</f>
        <v/>
      </c>
      <c r="R944" s="27" t="n">
        <v>1</v>
      </c>
      <c r="S944" s="26" t="n">
        <v>0.13</v>
      </c>
      <c r="T944" s="26" t="n">
        <v>0.06</v>
      </c>
      <c r="U944" s="11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26" t="n">
        <v>56.09</v>
      </c>
      <c r="W944" s="26" t="n">
        <v>68.89</v>
      </c>
      <c r="X944" s="26">
        <f>ROUND(('Methodology &amp; Assumptions'!$B$5*V944) + ('Methodology &amp; Assumptions'!$B$6*W944), 2)</f>
        <v/>
      </c>
      <c r="Y944" s="28" t="n">
        <v>10.9</v>
      </c>
      <c r="Z944" s="11" t="inlineStr">
        <is>
          <t>Priority Tier 2 (Balanced Opportunity)</t>
        </is>
      </c>
    </row>
    <row r="945">
      <c r="A945" s="23" t="n">
        <v>2</v>
      </c>
      <c r="B945" s="23" t="n">
        <v>941</v>
      </c>
      <c r="C945" s="23" t="n">
        <v>1941</v>
      </c>
      <c r="D945" s="23" t="inlineStr">
        <is>
          <t>1380601230</t>
        </is>
      </c>
      <c r="E945" s="11" t="inlineStr">
        <is>
          <t>National Capital Region (NCR)</t>
        </is>
      </c>
      <c r="F945" s="11" t="inlineStr">
        <is>
          <t>First District (Not a Province)</t>
        </is>
      </c>
      <c r="G945" s="11" t="inlineStr">
        <is>
          <t>City of Manila</t>
        </is>
      </c>
      <c r="H945" s="11" t="inlineStr">
        <is>
          <t>Barangay 229</t>
        </is>
      </c>
      <c r="I945" s="24" t="n">
        <v>14.618056</v>
      </c>
      <c r="J945" s="24" t="n">
        <v>120.976944</v>
      </c>
      <c r="K945" s="23" t="inlineStr">
        <is>
          <t>U</t>
        </is>
      </c>
      <c r="L945" s="25" t="n">
        <v>1825</v>
      </c>
      <c r="M945" s="26" t="n">
        <v>4.37</v>
      </c>
      <c r="N945" s="25">
        <f>ROUND(L945/M945, 0)</f>
        <v/>
      </c>
      <c r="O945" s="25">
        <f>ROUND(N945*'Methodology &amp; Assumptions'!$B$7, 0)</f>
        <v/>
      </c>
      <c r="P945" s="23" t="inlineStr">
        <is>
          <t>Single Carrier (Band n50, 100MHz TDD)</t>
        </is>
      </c>
      <c r="Q945" s="27">
        <f>ROUNDUP(O945/'Methodology &amp; Assumptions'!$B$8, 0)</f>
        <v/>
      </c>
      <c r="R945" s="27" t="n">
        <v>1</v>
      </c>
      <c r="S945" s="26" t="n">
        <v>0.66</v>
      </c>
      <c r="T945" s="26" t="n">
        <v>0.13</v>
      </c>
      <c r="U945" s="11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26" t="n">
        <v>54.48</v>
      </c>
      <c r="W945" s="26" t="n">
        <v>70.48</v>
      </c>
      <c r="X945" s="26">
        <f>ROUND(('Methodology &amp; Assumptions'!$B$5*V945) + ('Methodology &amp; Assumptions'!$B$6*W945), 2)</f>
        <v/>
      </c>
      <c r="Y945" s="28" t="n">
        <v>10.9</v>
      </c>
      <c r="Z945" s="11" t="inlineStr">
        <is>
          <t>Priority Tier 2 (Balanced Opportunity)</t>
        </is>
      </c>
    </row>
    <row r="946">
      <c r="A946" s="23" t="n">
        <v>2</v>
      </c>
      <c r="B946" s="23" t="n">
        <v>942</v>
      </c>
      <c r="C946" s="23" t="n">
        <v>1942</v>
      </c>
      <c r="D946" s="23" t="inlineStr">
        <is>
          <t>0403410014</t>
        </is>
      </c>
      <c r="E946" s="11" t="inlineStr">
        <is>
          <t>Region IV-A (CALABARZON)</t>
        </is>
      </c>
      <c r="F946" s="11" t="inlineStr">
        <is>
          <t>Laguna</t>
        </is>
      </c>
      <c r="G946" s="11" t="inlineStr">
        <is>
          <t>Liliw</t>
        </is>
      </c>
      <c r="H946" s="11" t="inlineStr">
        <is>
          <t>Ibabang San Roque</t>
        </is>
      </c>
      <c r="I946" s="24" t="n">
        <v>14.13352</v>
      </c>
      <c r="J946" s="24" t="n">
        <v>121.445897</v>
      </c>
      <c r="K946" s="23" t="inlineStr">
        <is>
          <t>R</t>
        </is>
      </c>
      <c r="L946" s="25" t="n">
        <v>2292</v>
      </c>
      <c r="M946" s="26" t="n">
        <v>3.3</v>
      </c>
      <c r="N946" s="25">
        <f>ROUND(L946/M946, 0)</f>
        <v/>
      </c>
      <c r="O946" s="25">
        <f>ROUND(N946*'Methodology &amp; Assumptions'!$B$7, 0)</f>
        <v/>
      </c>
      <c r="P946" s="23" t="inlineStr">
        <is>
          <t>Single Carrier (Band n50, 100MHz TDD)</t>
        </is>
      </c>
      <c r="Q946" s="27">
        <f>ROUNDUP(O946/'Methodology &amp; Assumptions'!$B$8, 0)</f>
        <v/>
      </c>
      <c r="R946" s="27" t="n">
        <v>1</v>
      </c>
      <c r="S946" s="26" t="n">
        <v>1.08</v>
      </c>
      <c r="T946" s="26" t="n">
        <v>0.06</v>
      </c>
      <c r="U946" s="11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26" t="n">
        <v>80.55</v>
      </c>
      <c r="W946" s="26" t="n">
        <v>44.38</v>
      </c>
      <c r="X946" s="26">
        <f>ROUND(('Methodology &amp; Assumptions'!$B$5*V946) + ('Methodology &amp; Assumptions'!$B$6*W946), 2)</f>
        <v/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2</v>
      </c>
      <c r="B947" s="23" t="n">
        <v>943</v>
      </c>
      <c r="C947" s="23" t="n">
        <v>1943</v>
      </c>
      <c r="D947" s="23" t="inlineStr">
        <is>
          <t>0405814003</t>
        </is>
      </c>
      <c r="E947" s="11" t="inlineStr">
        <is>
          <t>Region IV-A (CALABARZON)</t>
        </is>
      </c>
      <c r="F947" s="11" t="inlineStr">
        <is>
          <t>Rizal</t>
        </is>
      </c>
      <c r="G947" s="11" t="inlineStr">
        <is>
          <t>Teresa</t>
        </is>
      </c>
      <c r="H947" s="11" t="inlineStr">
        <is>
          <t>Dalig</t>
        </is>
      </c>
      <c r="I947" s="24" t="n">
        <v>14.56008</v>
      </c>
      <c r="J947" s="24" t="n">
        <v>121.2123</v>
      </c>
      <c r="K947" s="23" t="inlineStr">
        <is>
          <t>U</t>
        </is>
      </c>
      <c r="L947" s="25" t="n">
        <v>15028</v>
      </c>
      <c r="M947" s="26" t="n">
        <v>3.6</v>
      </c>
      <c r="N947" s="25">
        <f>ROUND(L947/M947, 0)</f>
        <v/>
      </c>
      <c r="O947" s="25">
        <f>ROUND(N947*'Methodology &amp; Assumptions'!$B$7, 0)</f>
        <v/>
      </c>
      <c r="P947" s="23" t="inlineStr">
        <is>
          <t>Single Carrier (Band n50, 100MHz TDD)</t>
        </is>
      </c>
      <c r="Q947" s="27">
        <f>ROUNDUP(O947/'Methodology &amp; Assumptions'!$B$8, 0)</f>
        <v/>
      </c>
      <c r="R947" s="27" t="n">
        <v>1</v>
      </c>
      <c r="S947" s="26" t="n">
        <v>0.91</v>
      </c>
      <c r="T947" s="26" t="n">
        <v>0.21</v>
      </c>
      <c r="U947" s="11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26" t="n">
        <v>77.98999999999999</v>
      </c>
      <c r="W947" s="26" t="n">
        <v>46.96</v>
      </c>
      <c r="X947" s="26">
        <f>ROUND(('Methodology &amp; Assumptions'!$B$5*V947) + ('Methodology &amp; Assumptions'!$B$6*W947), 2)</f>
        <v/>
      </c>
      <c r="Y947" s="28" t="n">
        <v>7.2</v>
      </c>
      <c r="Z947" s="11" t="inlineStr">
        <is>
          <t>Priority Tier 2 (Balanced Opportunity)</t>
        </is>
      </c>
    </row>
    <row r="948">
      <c r="A948" s="23" t="n">
        <v>2</v>
      </c>
      <c r="B948" s="23" t="n">
        <v>944</v>
      </c>
      <c r="C948" s="23" t="n">
        <v>1944</v>
      </c>
      <c r="D948" s="23" t="inlineStr">
        <is>
          <t>0402106063</t>
        </is>
      </c>
      <c r="E948" s="11" t="inlineStr">
        <is>
          <t>Region IV-A (CALABARZON)</t>
        </is>
      </c>
      <c r="F948" s="11" t="inlineStr">
        <is>
          <t>Cavite</t>
        </is>
      </c>
      <c r="G948" s="11" t="inlineStr">
        <is>
          <t>City of Dasmariñas</t>
        </is>
      </c>
      <c r="H948" s="11" t="inlineStr">
        <is>
          <t>Sampaloc IV</t>
        </is>
      </c>
      <c r="I948" s="24" t="n">
        <v>14.305142</v>
      </c>
      <c r="J948" s="24" t="n">
        <v>120.971668</v>
      </c>
      <c r="K948" s="23" t="inlineStr">
        <is>
          <t>U</t>
        </is>
      </c>
      <c r="L948" s="25" t="n">
        <v>43875</v>
      </c>
      <c r="M948" s="26" t="n">
        <v>3.4</v>
      </c>
      <c r="N948" s="25">
        <f>ROUND(L948/M948, 0)</f>
        <v/>
      </c>
      <c r="O948" s="25">
        <f>ROUND(N948*'Methodology &amp; Assumptions'!$B$7, 0)</f>
        <v/>
      </c>
      <c r="P948" s="23" t="inlineStr">
        <is>
          <t>Single Carrier (Band n50, 100MHz TDD)</t>
        </is>
      </c>
      <c r="Q948" s="27">
        <f>ROUNDUP(O948/'Methodology &amp; Assumptions'!$B$8, 0)</f>
        <v/>
      </c>
      <c r="R948" s="27" t="n">
        <v>1</v>
      </c>
      <c r="S948" s="26" t="n">
        <v>1.04</v>
      </c>
      <c r="T948" s="26" t="n">
        <v>1.63</v>
      </c>
      <c r="U948" s="11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26" t="n">
        <v>76.23999999999999</v>
      </c>
      <c r="W948" s="26" t="n">
        <v>48.69</v>
      </c>
      <c r="X948" s="26">
        <f>ROUND(('Methodology &amp; Assumptions'!$B$5*V948) + ('Methodology &amp; Assumptions'!$B$6*W948), 2)</f>
        <v/>
      </c>
      <c r="Y948" s="28" t="n">
        <v>7.2</v>
      </c>
      <c r="Z948" s="11" t="inlineStr">
        <is>
          <t>Priority Tier 2 (Balanced Opportunity)</t>
        </is>
      </c>
    </row>
    <row r="949">
      <c r="A949" s="23" t="n">
        <v>2</v>
      </c>
      <c r="B949" s="23" t="n">
        <v>945</v>
      </c>
      <c r="C949" s="23" t="n">
        <v>1945</v>
      </c>
      <c r="D949" s="23" t="inlineStr">
        <is>
          <t>0402104013</t>
        </is>
      </c>
      <c r="E949" s="11" t="inlineStr">
        <is>
          <t>Region IV-A (CALABARZON)</t>
        </is>
      </c>
      <c r="F949" s="11" t="inlineStr">
        <is>
          <t>Cavite</t>
        </is>
      </c>
      <c r="G949" s="11" t="inlineStr">
        <is>
          <t>Carmona</t>
        </is>
      </c>
      <c r="H949" s="11" t="inlineStr">
        <is>
          <t>Barangay 2</t>
        </is>
      </c>
      <c r="I949" s="24" t="n">
        <v>14.313389</v>
      </c>
      <c r="J949" s="24" t="n">
        <v>121.058134</v>
      </c>
      <c r="K949" s="23" t="inlineStr">
        <is>
          <t>R</t>
        </is>
      </c>
      <c r="L949" s="25" t="n">
        <v>705</v>
      </c>
      <c r="M949" s="26" t="n">
        <v>3.4</v>
      </c>
      <c r="N949" s="25">
        <f>ROUND(L949/M949, 0)</f>
        <v/>
      </c>
      <c r="O949" s="25">
        <f>ROUND(N949*'Methodology &amp; Assumptions'!$B$7, 0)</f>
        <v/>
      </c>
      <c r="P949" s="23" t="inlineStr">
        <is>
          <t>Single Carrier (Band n50, 100MHz TDD)</t>
        </is>
      </c>
      <c r="Q949" s="27">
        <f>ROUNDUP(O949/'Methodology &amp; Assumptions'!$B$8, 0)</f>
        <v/>
      </c>
      <c r="R949" s="27" t="n">
        <v>1</v>
      </c>
      <c r="S949" s="26" t="n">
        <v>0.61</v>
      </c>
      <c r="T949" s="26" t="n">
        <v>0.32</v>
      </c>
      <c r="U949" s="11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26" t="n">
        <v>65.59999999999999</v>
      </c>
      <c r="W949" s="26" t="n">
        <v>59.33</v>
      </c>
      <c r="X949" s="26">
        <f>ROUND(('Methodology &amp; Assumptions'!$B$5*V949) + ('Methodology &amp; Assumptions'!$B$6*W949), 2)</f>
        <v/>
      </c>
      <c r="Y949" s="28" t="n">
        <v>7.2</v>
      </c>
      <c r="Z949" s="11" t="inlineStr">
        <is>
          <t>Priority Tier 2 (Balanced Opportunity)</t>
        </is>
      </c>
    </row>
    <row r="950">
      <c r="A950" s="23" t="n">
        <v>2</v>
      </c>
      <c r="B950" s="23" t="n">
        <v>946</v>
      </c>
      <c r="C950" s="23" t="n">
        <v>1946</v>
      </c>
      <c r="D950" s="23" t="inlineStr">
        <is>
          <t>1380611026</t>
        </is>
      </c>
      <c r="E950" s="11" t="inlineStr">
        <is>
          <t>National Capital Region (NCR)</t>
        </is>
      </c>
      <c r="F950" s="11" t="inlineStr">
        <is>
          <t>First District (Not a Province)</t>
        </is>
      </c>
      <c r="G950" s="11" t="inlineStr">
        <is>
          <t>City of Manila</t>
        </is>
      </c>
      <c r="H950" s="11" t="inlineStr">
        <is>
          <t>Barangay 812</t>
        </is>
      </c>
      <c r="I950" s="24" t="n">
        <v>14.577728</v>
      </c>
      <c r="J950" s="24" t="n">
        <v>121.002533</v>
      </c>
      <c r="K950" s="23" t="inlineStr">
        <is>
          <t>U</t>
        </is>
      </c>
      <c r="L950" s="25" t="n">
        <v>1722</v>
      </c>
      <c r="M950" s="26" t="n">
        <v>3.69</v>
      </c>
      <c r="N950" s="25">
        <f>ROUND(L950/M950, 0)</f>
        <v/>
      </c>
      <c r="O950" s="25">
        <f>ROUND(N950*'Methodology &amp; Assumptions'!$B$7, 0)</f>
        <v/>
      </c>
      <c r="P950" s="23" t="inlineStr">
        <is>
          <t>Single Carrier (Band n50, 100MHz TDD)</t>
        </is>
      </c>
      <c r="Q950" s="27">
        <f>ROUNDUP(O950/'Methodology &amp; Assumptions'!$B$8, 0)</f>
        <v/>
      </c>
      <c r="R950" s="27" t="n">
        <v>1</v>
      </c>
      <c r="S950" s="26" t="n">
        <v>0.74</v>
      </c>
      <c r="T950" s="26" t="n">
        <v>0.45</v>
      </c>
      <c r="U950" s="11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26" t="n">
        <v>56.09</v>
      </c>
      <c r="W950" s="26" t="n">
        <v>68.84999999999999</v>
      </c>
      <c r="X950" s="26">
        <f>ROUND(('Methodology &amp; Assumptions'!$B$5*V950) + ('Methodology &amp; Assumptions'!$B$6*W950), 2)</f>
        <v/>
      </c>
      <c r="Y950" s="28" t="n">
        <v>10.9</v>
      </c>
      <c r="Z950" s="11" t="inlineStr">
        <is>
          <t>Priority Tier 2 (Balanced Opportunity)</t>
        </is>
      </c>
    </row>
    <row r="951">
      <c r="A951" s="23" t="n">
        <v>2</v>
      </c>
      <c r="B951" s="23" t="n">
        <v>947</v>
      </c>
      <c r="C951" s="23" t="n">
        <v>1947</v>
      </c>
      <c r="D951" s="23" t="inlineStr">
        <is>
          <t>1380601098</t>
        </is>
      </c>
      <c r="E951" s="11" t="inlineStr">
        <is>
          <t>National Capital Region (NCR)</t>
        </is>
      </c>
      <c r="F951" s="11" t="inlineStr">
        <is>
          <t>First District (Not a Province)</t>
        </is>
      </c>
      <c r="G951" s="11" t="inlineStr">
        <is>
          <t>City of Manila</t>
        </is>
      </c>
      <c r="H951" s="11" t="inlineStr">
        <is>
          <t>Barangay 98</t>
        </is>
      </c>
      <c r="I951" s="24" t="n">
        <v>14.58271</v>
      </c>
      <c r="J951" s="24" t="n">
        <v>121.0168</v>
      </c>
      <c r="K951" s="23" t="inlineStr">
        <is>
          <t>U</t>
        </is>
      </c>
      <c r="L951" s="25" t="n">
        <v>1877</v>
      </c>
      <c r="M951" s="26" t="n">
        <v>4.2</v>
      </c>
      <c r="N951" s="25">
        <f>ROUND(L951/M951, 0)</f>
        <v/>
      </c>
      <c r="O951" s="25">
        <f>ROUND(N951*'Methodology &amp; Assumptions'!$B$7, 0)</f>
        <v/>
      </c>
      <c r="P951" s="23" t="inlineStr">
        <is>
          <t>Single Carrier (Band n50, 100MHz TDD)</t>
        </is>
      </c>
      <c r="Q951" s="27">
        <f>ROUNDUP(O951/'Methodology &amp; Assumptions'!$B$8, 0)</f>
        <v/>
      </c>
      <c r="R951" s="27" t="n">
        <v>1</v>
      </c>
      <c r="S951" s="26" t="n">
        <v>1.22</v>
      </c>
      <c r="T951" s="26" t="n">
        <v>0.26</v>
      </c>
      <c r="U951" s="11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26" t="n">
        <v>54.01</v>
      </c>
      <c r="W951" s="26" t="n">
        <v>70.90000000000001</v>
      </c>
      <c r="X951" s="26">
        <f>ROUND(('Methodology &amp; Assumptions'!$B$5*V951) + ('Methodology &amp; Assumptions'!$B$6*W951), 2)</f>
        <v/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2</v>
      </c>
      <c r="B952" s="23" t="n">
        <v>948</v>
      </c>
      <c r="C952" s="23" t="n">
        <v>1948</v>
      </c>
      <c r="D952" s="23" t="inlineStr">
        <is>
          <t>0105533014</t>
        </is>
      </c>
      <c r="E952" s="11" t="inlineStr">
        <is>
          <t>Region I (Ilocos Region)</t>
        </is>
      </c>
      <c r="F952" s="11" t="inlineStr">
        <is>
          <t>Pangasinan</t>
        </is>
      </c>
      <c r="G952" s="11" t="inlineStr">
        <is>
          <t>San Fabian</t>
        </is>
      </c>
      <c r="H952" s="11" t="inlineStr">
        <is>
          <t>Longos</t>
        </is>
      </c>
      <c r="I952" s="24" t="n">
        <v>16.109451</v>
      </c>
      <c r="J952" s="24" t="n">
        <v>120.395785</v>
      </c>
      <c r="K952" s="23" t="inlineStr">
        <is>
          <t>R</t>
        </is>
      </c>
      <c r="L952" s="25" t="n">
        <v>2872</v>
      </c>
      <c r="M952" s="26" t="n">
        <v>3.6</v>
      </c>
      <c r="N952" s="25">
        <f>ROUND(L952/M952, 0)</f>
        <v/>
      </c>
      <c r="O952" s="25">
        <f>ROUND(N952*'Methodology &amp; Assumptions'!$B$7, 0)</f>
        <v/>
      </c>
      <c r="P952" s="23" t="inlineStr">
        <is>
          <t>Single Carrier (Band n50, 100MHz TDD)</t>
        </is>
      </c>
      <c r="Q952" s="27">
        <f>ROUNDUP(O952/'Methodology &amp; Assumptions'!$B$8, 0)</f>
        <v/>
      </c>
      <c r="R952" s="27" t="n">
        <v>1</v>
      </c>
      <c r="S952" s="26" t="n">
        <v>0.8</v>
      </c>
      <c r="T952" s="26" t="n">
        <v>0.02</v>
      </c>
      <c r="U952" s="11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26" t="n">
        <v>84.91</v>
      </c>
      <c r="W952" s="26" t="n">
        <v>39.98</v>
      </c>
      <c r="X952" s="26">
        <f>ROUND(('Methodology &amp; Assumptions'!$B$5*V952) + ('Methodology &amp; Assumptions'!$B$6*W952), 2)</f>
        <v/>
      </c>
      <c r="Y952" s="28" t="n">
        <v>8.300000000000001</v>
      </c>
      <c r="Z952" s="11" t="inlineStr">
        <is>
          <t>Priority Tier 2 (Balanced Opportunity)</t>
        </is>
      </c>
    </row>
    <row r="953">
      <c r="A953" s="23" t="n">
        <v>2</v>
      </c>
      <c r="B953" s="23" t="n">
        <v>949</v>
      </c>
      <c r="C953" s="23" t="n">
        <v>1949</v>
      </c>
      <c r="D953" s="23" t="inlineStr">
        <is>
          <t>1380200012</t>
        </is>
      </c>
      <c r="E953" s="11" t="inlineStr">
        <is>
          <t>National Capital Region (NCR)</t>
        </is>
      </c>
      <c r="F953" s="11" t="inlineStr">
        <is>
          <t>Fourth District (Not a Province)</t>
        </is>
      </c>
      <c r="G953" s="11" t="inlineStr">
        <is>
          <t>City of Las Piñas</t>
        </is>
      </c>
      <c r="H953" s="11" t="inlineStr">
        <is>
          <t>Manuyo Dos</t>
        </is>
      </c>
      <c r="I953" s="24" t="n">
        <v>14.470958</v>
      </c>
      <c r="J953" s="24" t="n">
        <v>120.991787</v>
      </c>
      <c r="K953" s="23" t="inlineStr">
        <is>
          <t>U</t>
        </is>
      </c>
      <c r="L953" s="25" t="n">
        <v>51459</v>
      </c>
      <c r="M953" s="26" t="n">
        <v>3.95</v>
      </c>
      <c r="N953" s="25">
        <f>ROUND(L953/M953, 0)</f>
        <v/>
      </c>
      <c r="O953" s="25">
        <f>ROUND(N953*'Methodology &amp; Assumptions'!$B$7, 0)</f>
        <v/>
      </c>
      <c r="P953" s="23" t="inlineStr">
        <is>
          <t>Single Carrier (Band n50, 100MHz TDD)</t>
        </is>
      </c>
      <c r="Q953" s="27">
        <f>ROUNDUP(O953/'Methodology &amp; Assumptions'!$B$8, 0)</f>
        <v/>
      </c>
      <c r="R953" s="27" t="n">
        <v>1</v>
      </c>
      <c r="S953" s="26" t="n">
        <v>1.02</v>
      </c>
      <c r="T953" s="26" t="n">
        <v>0.59</v>
      </c>
      <c r="U953" s="11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26" t="n">
        <v>65.77</v>
      </c>
      <c r="W953" s="26" t="n">
        <v>59.13</v>
      </c>
      <c r="X953" s="26">
        <f>ROUND(('Methodology &amp; Assumptions'!$B$5*V953) + ('Methodology &amp; Assumptions'!$B$6*W953), 2)</f>
        <v/>
      </c>
      <c r="Y953" s="28" t="n">
        <v>10.9</v>
      </c>
      <c r="Z953" s="11" t="inlineStr">
        <is>
          <t>Priority Tier 2 (Balanced Opportunity)</t>
        </is>
      </c>
    </row>
    <row r="954">
      <c r="A954" s="23" t="n">
        <v>2</v>
      </c>
      <c r="B954" s="23" t="n">
        <v>950</v>
      </c>
      <c r="C954" s="23" t="n">
        <v>1950</v>
      </c>
      <c r="D954" s="23" t="inlineStr">
        <is>
          <t>0401019004</t>
        </is>
      </c>
      <c r="E954" s="11" t="inlineStr">
        <is>
          <t>Region IV-A (CALABARZON)</t>
        </is>
      </c>
      <c r="F954" s="11" t="inlineStr">
        <is>
          <t>Batangas</t>
        </is>
      </c>
      <c r="G954" s="11" t="inlineStr">
        <is>
          <t>Nasugbu</t>
        </is>
      </c>
      <c r="H954" s="11" t="inlineStr">
        <is>
          <t>Barangay 10</t>
        </is>
      </c>
      <c r="I954" s="24" t="n">
        <v>14.07849</v>
      </c>
      <c r="J954" s="24" t="n">
        <v>120.629338</v>
      </c>
      <c r="K954" s="23" t="inlineStr">
        <is>
          <t>U</t>
        </is>
      </c>
      <c r="L954" s="25" t="n">
        <v>937</v>
      </c>
      <c r="M954" s="26" t="n">
        <v>3.6</v>
      </c>
      <c r="N954" s="25">
        <f>ROUND(L954/M954, 0)</f>
        <v/>
      </c>
      <c r="O954" s="25">
        <f>ROUND(N954*'Methodology &amp; Assumptions'!$B$7, 0)</f>
        <v/>
      </c>
      <c r="P954" s="23" t="inlineStr">
        <is>
          <t>Single Carrier (Band n50, 100MHz TDD)</t>
        </is>
      </c>
      <c r="Q954" s="27">
        <f>ROUNDUP(O954/'Methodology &amp; Assumptions'!$B$8, 0)</f>
        <v/>
      </c>
      <c r="R954" s="27" t="n">
        <v>1</v>
      </c>
      <c r="S954" s="26" t="n">
        <v>1</v>
      </c>
      <c r="T954" s="26" t="n">
        <v>0.12</v>
      </c>
      <c r="U954" s="11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26" t="n">
        <v>59.54</v>
      </c>
      <c r="W954" s="26" t="n">
        <v>65.37</v>
      </c>
      <c r="X954" s="26">
        <f>ROUND(('Methodology &amp; Assumptions'!$B$5*V954) + ('Methodology &amp; Assumptions'!$B$6*W954), 2)</f>
        <v/>
      </c>
      <c r="Y954" s="28" t="n">
        <v>7.2</v>
      </c>
      <c r="Z954" s="11" t="inlineStr">
        <is>
          <t>Priority Tier 2 (Balanced Opportunity)</t>
        </is>
      </c>
    </row>
    <row r="955">
      <c r="A955" s="23" t="n">
        <v>2</v>
      </c>
      <c r="B955" s="23" t="n">
        <v>951</v>
      </c>
      <c r="C955" s="23" t="n">
        <v>1951</v>
      </c>
      <c r="D955" s="23" t="inlineStr">
        <is>
          <t>1381200002</t>
        </is>
      </c>
      <c r="E955" s="11" t="inlineStr">
        <is>
          <t>National Capital Region (NCR)</t>
        </is>
      </c>
      <c r="F955" s="11" t="inlineStr">
        <is>
          <t>Second District (Not a Province)</t>
        </is>
      </c>
      <c r="G955" s="11" t="inlineStr">
        <is>
          <t>City of Pasig</t>
        </is>
      </c>
      <c r="H955" s="11" t="inlineStr">
        <is>
          <t>Bagong Katipunan</t>
        </is>
      </c>
      <c r="I955" s="24" t="n">
        <v>14.558632</v>
      </c>
      <c r="J955" s="24" t="n">
        <v>121.075226</v>
      </c>
      <c r="K955" s="23" t="inlineStr">
        <is>
          <t>U</t>
        </is>
      </c>
      <c r="L955" s="25" t="n">
        <v>945</v>
      </c>
      <c r="M955" s="26" t="n">
        <v>3.03</v>
      </c>
      <c r="N955" s="25">
        <f>ROUND(L955/M955, 0)</f>
        <v/>
      </c>
      <c r="O955" s="25">
        <f>ROUND(N955*'Methodology &amp; Assumptions'!$B$7, 0)</f>
        <v/>
      </c>
      <c r="P955" s="23" t="inlineStr">
        <is>
          <t>Single Carrier (Band n50, 100MHz TDD)</t>
        </is>
      </c>
      <c r="Q955" s="27">
        <f>ROUNDUP(O955/'Methodology &amp; Assumptions'!$B$8, 0)</f>
        <v/>
      </c>
      <c r="R955" s="27" t="n">
        <v>1</v>
      </c>
      <c r="S955" s="26" t="n">
        <v>0.68</v>
      </c>
      <c r="T955" s="26" t="n">
        <v>0.28</v>
      </c>
      <c r="U955" s="11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26" t="n">
        <v>51.16</v>
      </c>
      <c r="W955" s="26" t="n">
        <v>73.73999999999999</v>
      </c>
      <c r="X955" s="26">
        <f>ROUND(('Methodology &amp; Assumptions'!$B$5*V955) + ('Methodology &amp; Assumptions'!$B$6*W955), 2)</f>
        <v/>
      </c>
      <c r="Y955" s="28" t="n">
        <v>10.9</v>
      </c>
      <c r="Z955" s="11" t="inlineStr">
        <is>
          <t>Priority Tier 2 (Balanced Opportunity)</t>
        </is>
      </c>
    </row>
    <row r="956">
      <c r="A956" s="23" t="n">
        <v>2</v>
      </c>
      <c r="B956" s="23" t="n">
        <v>952</v>
      </c>
      <c r="C956" s="23" t="n">
        <v>1952</v>
      </c>
      <c r="D956" s="23" t="inlineStr">
        <is>
          <t>0105533017</t>
        </is>
      </c>
      <c r="E956" s="11" t="inlineStr">
        <is>
          <t>Region I (Ilocos Region)</t>
        </is>
      </c>
      <c r="F956" s="11" t="inlineStr">
        <is>
          <t>Pangasinan</t>
        </is>
      </c>
      <c r="G956" s="11" t="inlineStr">
        <is>
          <t>San Fabian</t>
        </is>
      </c>
      <c r="H956" s="11" t="inlineStr">
        <is>
          <t>Nibaliw East</t>
        </is>
      </c>
      <c r="I956" s="24" t="n">
        <v>16.125867</v>
      </c>
      <c r="J956" s="24" t="n">
        <v>120.399919</v>
      </c>
      <c r="K956" s="23" t="inlineStr">
        <is>
          <t>R</t>
        </is>
      </c>
      <c r="L956" s="25" t="n">
        <v>2555</v>
      </c>
      <c r="M956" s="26" t="n">
        <v>3.6</v>
      </c>
      <c r="N956" s="25">
        <f>ROUND(L956/M956, 0)</f>
        <v/>
      </c>
      <c r="O956" s="25">
        <f>ROUND(N956*'Methodology &amp; Assumptions'!$B$7, 0)</f>
        <v/>
      </c>
      <c r="P956" s="23" t="inlineStr">
        <is>
          <t>Single Carrier (Band n50, 100MHz TDD)</t>
        </is>
      </c>
      <c r="Q956" s="27">
        <f>ROUNDUP(O956/'Methodology &amp; Assumptions'!$B$8, 0)</f>
        <v/>
      </c>
      <c r="R956" s="27" t="n">
        <v>1</v>
      </c>
      <c r="S956" s="26" t="n">
        <v>1.11</v>
      </c>
      <c r="T956" s="26" t="n">
        <v>0.45</v>
      </c>
      <c r="U956" s="11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26" t="n">
        <v>81.06</v>
      </c>
      <c r="W956" s="26" t="n">
        <v>43.83</v>
      </c>
      <c r="X956" s="26">
        <f>ROUND(('Methodology &amp; Assumptions'!$B$5*V956) + ('Methodology &amp; Assumptions'!$B$6*W956), 2)</f>
        <v/>
      </c>
      <c r="Y956" s="28" t="n">
        <v>8.300000000000001</v>
      </c>
      <c r="Z956" s="11" t="inlineStr">
        <is>
          <t>Priority Tier 2 (Balanced Opportunity)</t>
        </is>
      </c>
    </row>
    <row r="957">
      <c r="A957" s="23" t="n">
        <v>2</v>
      </c>
      <c r="B957" s="23" t="n">
        <v>953</v>
      </c>
      <c r="C957" s="23" t="n">
        <v>1953</v>
      </c>
      <c r="D957" s="23" t="inlineStr">
        <is>
          <t>0402120005</t>
        </is>
      </c>
      <c r="E957" s="11" t="inlineStr">
        <is>
          <t>Region IV-A (CALABARZON)</t>
        </is>
      </c>
      <c r="F957" s="11" t="inlineStr">
        <is>
          <t>Cavite</t>
        </is>
      </c>
      <c r="G957" s="11" t="inlineStr">
        <is>
          <t>Tanza</t>
        </is>
      </c>
      <c r="H957" s="11" t="inlineStr">
        <is>
          <t>Bucal</t>
        </is>
      </c>
      <c r="I957" s="24" t="n">
        <v>14.391397</v>
      </c>
      <c r="J957" s="24" t="n">
        <v>120.862837</v>
      </c>
      <c r="K957" s="23" t="inlineStr">
        <is>
          <t>U</t>
        </is>
      </c>
      <c r="L957" s="25" t="n">
        <v>17246</v>
      </c>
      <c r="M957" s="26" t="n">
        <v>3.4</v>
      </c>
      <c r="N957" s="25">
        <f>ROUND(L957/M957, 0)</f>
        <v/>
      </c>
      <c r="O957" s="25">
        <f>ROUND(N957*'Methodology &amp; Assumptions'!$B$7, 0)</f>
        <v/>
      </c>
      <c r="P957" s="23" t="inlineStr">
        <is>
          <t>Single Carrier (Band n50, 100MHz TDD)</t>
        </is>
      </c>
      <c r="Q957" s="27">
        <f>ROUNDUP(O957/'Methodology &amp; Assumptions'!$B$8, 0)</f>
        <v/>
      </c>
      <c r="R957" s="27" t="n">
        <v>1</v>
      </c>
      <c r="S957" s="26" t="n">
        <v>0.59</v>
      </c>
      <c r="T957" s="26" t="n">
        <v>0.5</v>
      </c>
      <c r="U957" s="11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26" t="n">
        <v>78.26000000000001</v>
      </c>
      <c r="W957" s="26" t="n">
        <v>46.63</v>
      </c>
      <c r="X957" s="26">
        <f>ROUND(('Methodology &amp; Assumptions'!$B$5*V957) + ('Methodology &amp; Assumptions'!$B$6*W957), 2)</f>
        <v/>
      </c>
      <c r="Y957" s="28" t="n">
        <v>7.2</v>
      </c>
      <c r="Z957" s="11" t="inlineStr">
        <is>
          <t>Priority Tier 2 (Balanced Opportunity)</t>
        </is>
      </c>
    </row>
    <row r="958">
      <c r="A958" s="23" t="n">
        <v>2</v>
      </c>
      <c r="B958" s="23" t="n">
        <v>954</v>
      </c>
      <c r="C958" s="23" t="n">
        <v>1954</v>
      </c>
      <c r="D958" s="23" t="inlineStr">
        <is>
          <t>0403405054</t>
        </is>
      </c>
      <c r="E958" s="11" t="inlineStr">
        <is>
          <t>Region IV-A (CALABARZON)</t>
        </is>
      </c>
      <c r="F958" s="11" t="inlineStr">
        <is>
          <t>Laguna</t>
        </is>
      </c>
      <c r="G958" s="11" t="inlineStr">
        <is>
          <t>City of Calamba</t>
        </is>
      </c>
      <c r="H958" s="11" t="inlineStr">
        <is>
          <t>San Jose</t>
        </is>
      </c>
      <c r="I958" s="24" t="n">
        <v>14.21308</v>
      </c>
      <c r="J958" s="24" t="n">
        <v>121.171084</v>
      </c>
      <c r="K958" s="23" t="inlineStr">
        <is>
          <t>U</t>
        </is>
      </c>
      <c r="L958" s="25" t="n">
        <v>4452</v>
      </c>
      <c r="M958" s="26" t="n">
        <v>3.3</v>
      </c>
      <c r="N958" s="25">
        <f>ROUND(L958/M958, 0)</f>
        <v/>
      </c>
      <c r="O958" s="25">
        <f>ROUND(N958*'Methodology &amp; Assumptions'!$B$7, 0)</f>
        <v/>
      </c>
      <c r="P958" s="23" t="inlineStr">
        <is>
          <t>Single Carrier (Band n50, 100MHz TDD)</t>
        </is>
      </c>
      <c r="Q958" s="27">
        <f>ROUNDUP(O958/'Methodology &amp; Assumptions'!$B$8, 0)</f>
        <v/>
      </c>
      <c r="R958" s="27" t="n">
        <v>1</v>
      </c>
      <c r="S958" s="26" t="n">
        <v>3.21</v>
      </c>
      <c r="T958" s="26" t="n">
        <v>0.23</v>
      </c>
      <c r="U958" s="11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26" t="n">
        <v>70.31999999999999</v>
      </c>
      <c r="W958" s="26" t="n">
        <v>54.57</v>
      </c>
      <c r="X958" s="26">
        <f>ROUND(('Methodology &amp; Assumptions'!$B$5*V958) + ('Methodology &amp; Assumptions'!$B$6*W958), 2)</f>
        <v/>
      </c>
      <c r="Y958" s="28" t="n">
        <v>7.2</v>
      </c>
      <c r="Z958" s="11" t="inlineStr">
        <is>
          <t>Priority Tier 2 (Balanced Opportunity)</t>
        </is>
      </c>
    </row>
    <row r="959">
      <c r="A959" s="23" t="n">
        <v>2</v>
      </c>
      <c r="B959" s="23" t="n">
        <v>955</v>
      </c>
      <c r="C959" s="23" t="n">
        <v>1955</v>
      </c>
      <c r="D959" s="23" t="inlineStr">
        <is>
          <t>1381100054</t>
        </is>
      </c>
      <c r="E959" s="11" t="inlineStr">
        <is>
          <t>National Capital Region (NCR)</t>
        </is>
      </c>
      <c r="F959" s="11" t="inlineStr">
        <is>
          <t>Fourth District (Not a Province)</t>
        </is>
      </c>
      <c r="G959" s="11" t="inlineStr">
        <is>
          <t>Pasay City</t>
        </is>
      </c>
      <c r="H959" s="11" t="inlineStr">
        <is>
          <t>Barangay 54</t>
        </is>
      </c>
      <c r="I959" s="24" t="n">
        <v>14.552137</v>
      </c>
      <c r="J959" s="24" t="n">
        <v>121.000596</v>
      </c>
      <c r="K959" s="23" t="inlineStr">
        <is>
          <t>U</t>
        </is>
      </c>
      <c r="L959" s="25" t="n">
        <v>1499</v>
      </c>
      <c r="M959" s="26" t="n">
        <v>3.47</v>
      </c>
      <c r="N959" s="25">
        <f>ROUND(L959/M959, 0)</f>
        <v/>
      </c>
      <c r="O959" s="25">
        <f>ROUND(N959*'Methodology &amp; Assumptions'!$B$7, 0)</f>
        <v/>
      </c>
      <c r="P959" s="23" t="inlineStr">
        <is>
          <t>Single Carrier (Band n50, 100MHz TDD)</t>
        </is>
      </c>
      <c r="Q959" s="27">
        <f>ROUNDUP(O959/'Methodology &amp; Assumptions'!$B$8, 0)</f>
        <v/>
      </c>
      <c r="R959" s="27" t="n">
        <v>1</v>
      </c>
      <c r="S959" s="26" t="n">
        <v>0.96</v>
      </c>
      <c r="T959" s="26" t="n">
        <v>0.3</v>
      </c>
      <c r="U959" s="11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26" t="n">
        <v>54.54</v>
      </c>
      <c r="W959" s="26" t="n">
        <v>70.34</v>
      </c>
      <c r="X959" s="26">
        <f>ROUND(('Methodology &amp; Assumptions'!$B$5*V959) + ('Methodology &amp; Assumptions'!$B$6*W959), 2)</f>
        <v/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2</v>
      </c>
      <c r="B960" s="23" t="n">
        <v>956</v>
      </c>
      <c r="C960" s="23" t="n">
        <v>1956</v>
      </c>
      <c r="D960" s="23" t="inlineStr">
        <is>
          <t>0806010013</t>
        </is>
      </c>
      <c r="E960" s="11" t="inlineStr">
        <is>
          <t>Region VIII (Eastern Visayas)</t>
        </is>
      </c>
      <c r="F960" s="11" t="inlineStr">
        <is>
          <t>Samar</t>
        </is>
      </c>
      <c r="G960" s="11" t="inlineStr">
        <is>
          <t>Marabut</t>
        </is>
      </c>
      <c r="H960" s="11" t="inlineStr">
        <is>
          <t>Tagalag</t>
        </is>
      </c>
      <c r="I960" s="24" t="n">
        <v>11.256865</v>
      </c>
      <c r="J960" s="24" t="n">
        <v>125.212099</v>
      </c>
      <c r="K960" s="23" t="inlineStr">
        <is>
          <t>R</t>
        </is>
      </c>
      <c r="L960" s="25" t="n">
        <v>977</v>
      </c>
      <c r="M960" s="26" t="n">
        <v>4.1</v>
      </c>
      <c r="N960" s="25">
        <f>ROUND(L960/M960, 0)</f>
        <v/>
      </c>
      <c r="O960" s="25">
        <f>ROUND(N960*'Methodology &amp; Assumptions'!$B$7, 0)</f>
        <v/>
      </c>
      <c r="P960" s="23" t="inlineStr">
        <is>
          <t>Single Carrier (Band n50, 100MHz TDD)</t>
        </is>
      </c>
      <c r="Q960" s="27">
        <f>ROUNDUP(O960/'Methodology &amp; Assumptions'!$B$8, 0)</f>
        <v/>
      </c>
      <c r="R960" s="27" t="n">
        <v>1</v>
      </c>
      <c r="S960" s="26" t="n">
        <v>22.65</v>
      </c>
      <c r="T960" s="26" t="n">
        <v>21.7</v>
      </c>
      <c r="U960" s="11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26" t="n">
        <v>46.03</v>
      </c>
      <c r="W960" s="26" t="n">
        <v>78.84</v>
      </c>
      <c r="X960" s="26">
        <f>ROUND(('Methodology &amp; Assumptions'!$B$5*V960) + ('Methodology &amp; Assumptions'!$B$6*W960), 2)</f>
        <v/>
      </c>
      <c r="Y960" s="28" t="n">
        <v>23.7</v>
      </c>
      <c r="Z960" s="11" t="inlineStr">
        <is>
          <t>Priority Tier 2 (Balanced Opportunity)</t>
        </is>
      </c>
    </row>
    <row r="961">
      <c r="A961" s="23" t="n">
        <v>2</v>
      </c>
      <c r="B961" s="23" t="n">
        <v>957</v>
      </c>
      <c r="C961" s="23" t="n">
        <v>1957</v>
      </c>
      <c r="D961" s="23" t="inlineStr">
        <is>
          <t>0405808006</t>
        </is>
      </c>
      <c r="E961" s="11" t="inlineStr">
        <is>
          <t>Region IV-A (CALABARZON)</t>
        </is>
      </c>
      <c r="F961" s="11" t="inlineStr">
        <is>
          <t>Rizal</t>
        </is>
      </c>
      <c r="G961" s="11" t="inlineStr">
        <is>
          <t>Rodriguez</t>
        </is>
      </c>
      <c r="H961" s="11" t="inlineStr">
        <is>
          <t>Mascap</t>
        </is>
      </c>
      <c r="I961" s="24" t="n">
        <v>14.76331</v>
      </c>
      <c r="J961" s="24" t="n">
        <v>121.1831</v>
      </c>
      <c r="K961" s="23" t="inlineStr">
        <is>
          <t>R</t>
        </is>
      </c>
      <c r="L961" s="25" t="n">
        <v>4507</v>
      </c>
      <c r="M961" s="26" t="n">
        <v>3.6</v>
      </c>
      <c r="N961" s="25">
        <f>ROUND(L961/M961, 0)</f>
        <v/>
      </c>
      <c r="O961" s="25">
        <f>ROUND(N961*'Methodology &amp; Assumptions'!$B$7, 0)</f>
        <v/>
      </c>
      <c r="P961" s="23" t="inlineStr">
        <is>
          <t>Single Carrier (Band n50, 100MHz TDD)</t>
        </is>
      </c>
      <c r="Q961" s="27">
        <f>ROUNDUP(O961/'Methodology &amp; Assumptions'!$B$8, 0)</f>
        <v/>
      </c>
      <c r="R961" s="27" t="n">
        <v>1</v>
      </c>
      <c r="S961" s="26" t="n">
        <v>4.26</v>
      </c>
      <c r="T961" s="26" t="n">
        <v>2.87</v>
      </c>
      <c r="U961" s="11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26" t="n">
        <v>71.81</v>
      </c>
      <c r="W961" s="26" t="n">
        <v>53.04</v>
      </c>
      <c r="X961" s="26">
        <f>ROUND(('Methodology &amp; Assumptions'!$B$5*V961) + ('Methodology &amp; Assumptions'!$B$6*W961), 2)</f>
        <v/>
      </c>
      <c r="Y961" s="28" t="n">
        <v>7.2</v>
      </c>
      <c r="Z961" s="11" t="inlineStr">
        <is>
          <t>Priority Tier 2 (Balanced Opportunity)</t>
        </is>
      </c>
    </row>
    <row r="962">
      <c r="A962" s="23" t="n">
        <v>2</v>
      </c>
      <c r="B962" s="23" t="n">
        <v>958</v>
      </c>
      <c r="C962" s="23" t="n">
        <v>1958</v>
      </c>
      <c r="D962" s="23" t="inlineStr">
        <is>
          <t>1380601086</t>
        </is>
      </c>
      <c r="E962" s="11" t="inlineStr">
        <is>
          <t>National Capital Region (NCR)</t>
        </is>
      </c>
      <c r="F962" s="11" t="inlineStr">
        <is>
          <t>First District (Not a Province)</t>
        </is>
      </c>
      <c r="G962" s="11" t="inlineStr">
        <is>
          <t>City of Manila</t>
        </is>
      </c>
      <c r="H962" s="11" t="inlineStr">
        <is>
          <t>Barangay 86</t>
        </is>
      </c>
      <c r="I962" s="24" t="n">
        <v>14.617237</v>
      </c>
      <c r="J962" s="24" t="n">
        <v>120.969034</v>
      </c>
      <c r="K962" s="23" t="inlineStr">
        <is>
          <t>U</t>
        </is>
      </c>
      <c r="L962" s="25" t="n">
        <v>1662</v>
      </c>
      <c r="M962" s="26" t="n">
        <v>4.01</v>
      </c>
      <c r="N962" s="25">
        <f>ROUND(L962/M962, 0)</f>
        <v/>
      </c>
      <c r="O962" s="25">
        <f>ROUND(N962*'Methodology &amp; Assumptions'!$B$7, 0)</f>
        <v/>
      </c>
      <c r="P962" s="23" t="inlineStr">
        <is>
          <t>Single Carrier (Band n50, 100MHz TDD)</t>
        </is>
      </c>
      <c r="Q962" s="27">
        <f>ROUNDUP(O962/'Methodology &amp; Assumptions'!$B$8, 0)</f>
        <v/>
      </c>
      <c r="R962" s="27" t="n">
        <v>1</v>
      </c>
      <c r="S962" s="26" t="n">
        <v>0.68</v>
      </c>
      <c r="T962" s="26" t="n">
        <v>0.15</v>
      </c>
      <c r="U962" s="11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26" t="n">
        <v>54.37</v>
      </c>
      <c r="W962" s="26" t="n">
        <v>70.48</v>
      </c>
      <c r="X962" s="26">
        <f>ROUND(('Methodology &amp; Assumptions'!$B$5*V962) + ('Methodology &amp; Assumptions'!$B$6*W962), 2)</f>
        <v/>
      </c>
      <c r="Y962" s="28" t="n">
        <v>10.9</v>
      </c>
      <c r="Z962" s="11" t="inlineStr">
        <is>
          <t>Priority Tier 2 (Balanced Opportunity)</t>
        </is>
      </c>
    </row>
    <row r="963">
      <c r="A963" s="23" t="n">
        <v>2</v>
      </c>
      <c r="B963" s="23" t="n">
        <v>959</v>
      </c>
      <c r="C963" s="23" t="n">
        <v>1959</v>
      </c>
      <c r="D963" s="23" t="inlineStr">
        <is>
          <t>1908816005</t>
        </is>
      </c>
      <c r="E963" s="11" t="inlineStr">
        <is>
          <t>Bangsamoro Autonomous Region In Muslim Mindanao (BARMM)</t>
        </is>
      </c>
      <c r="F963" s="11" t="inlineStr">
        <is>
          <t>Maguindanao del Sur</t>
        </is>
      </c>
      <c r="G963" s="11" t="inlineStr">
        <is>
          <t>Pagalungan</t>
        </is>
      </c>
      <c r="H963" s="11" t="inlineStr">
        <is>
          <t>Galakit</t>
        </is>
      </c>
      <c r="I963" s="24" t="n">
        <v>7.048839</v>
      </c>
      <c r="J963" s="24" t="n">
        <v>124.72435</v>
      </c>
      <c r="K963" s="23" t="inlineStr">
        <is>
          <t>R</t>
        </is>
      </c>
      <c r="L963" s="25" t="n">
        <v>2798</v>
      </c>
      <c r="M963" s="26" t="n">
        <v>4.7</v>
      </c>
      <c r="N963" s="25">
        <f>ROUND(L963/M963, 0)</f>
        <v/>
      </c>
      <c r="O963" s="25">
        <f>ROUND(N963*'Methodology &amp; Assumptions'!$B$7, 0)</f>
        <v/>
      </c>
      <c r="P963" s="23" t="inlineStr">
        <is>
          <t>Single Carrier (Band n50, 100MHz TDD)</t>
        </is>
      </c>
      <c r="Q963" s="27">
        <f>ROUNDUP(O963/'Methodology &amp; Assumptions'!$B$8, 0)</f>
        <v/>
      </c>
      <c r="R963" s="27" t="n">
        <v>1</v>
      </c>
      <c r="S963" s="26" t="n">
        <v>18.88</v>
      </c>
      <c r="T963" s="26" t="n">
        <v>11.69</v>
      </c>
      <c r="U963" s="11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26" t="n">
        <v>50.12</v>
      </c>
      <c r="W963" s="26" t="n">
        <v>74.73999999999999</v>
      </c>
      <c r="X963" s="26">
        <f>ROUND(('Methodology &amp; Assumptions'!$B$5*V963) + ('Methodology &amp; Assumptions'!$B$6*W963), 2)</f>
        <v/>
      </c>
      <c r="Y963" s="28" t="n">
        <v>11</v>
      </c>
      <c r="Z963" s="11" t="inlineStr">
        <is>
          <t>Priority Tier 2 (Balanced Opportunity)</t>
        </is>
      </c>
    </row>
    <row r="964">
      <c r="A964" s="23" t="n">
        <v>2</v>
      </c>
      <c r="B964" s="23" t="n">
        <v>960</v>
      </c>
      <c r="C964" s="23" t="n">
        <v>1960</v>
      </c>
      <c r="D964" s="23" t="inlineStr">
        <is>
          <t>0806407016</t>
        </is>
      </c>
      <c r="E964" s="11" t="inlineStr">
        <is>
          <t>Region VIII (Eastern Visayas)</t>
        </is>
      </c>
      <c r="F964" s="11" t="inlineStr">
        <is>
          <t>Southern Leyte</t>
        </is>
      </c>
      <c r="G964" s="11" t="inlineStr">
        <is>
          <t>City of Maasin</t>
        </is>
      </c>
      <c r="H964" s="11" t="inlineStr">
        <is>
          <t>Cagnituan</t>
        </is>
      </c>
      <c r="I964" s="24" t="n">
        <v>10.153288</v>
      </c>
      <c r="J964" s="24" t="n">
        <v>124.920338</v>
      </c>
      <c r="K964" s="23" t="inlineStr">
        <is>
          <t>R</t>
        </is>
      </c>
      <c r="L964" s="25" t="n">
        <v>360</v>
      </c>
      <c r="M964" s="26" t="n">
        <v>4.1</v>
      </c>
      <c r="N964" s="25">
        <f>ROUND(L964/M964, 0)</f>
        <v/>
      </c>
      <c r="O964" s="25">
        <f>ROUND(N964*'Methodology &amp; Assumptions'!$B$7, 0)</f>
        <v/>
      </c>
      <c r="P964" s="23" t="inlineStr">
        <is>
          <t>Single Carrier (Band n50, 100MHz TDD)</t>
        </is>
      </c>
      <c r="Q964" s="27">
        <f>ROUNDUP(O964/'Methodology &amp; Assumptions'!$B$8, 0)</f>
        <v/>
      </c>
      <c r="R964" s="27" t="n">
        <v>1</v>
      </c>
      <c r="S964" s="26" t="n">
        <v>5.31</v>
      </c>
      <c r="T964" s="26" t="n">
        <v>4.88</v>
      </c>
      <c r="U964" s="11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26" t="n">
        <v>48.6</v>
      </c>
      <c r="W964" s="26" t="n">
        <v>76.25</v>
      </c>
      <c r="X964" s="26">
        <f>ROUND(('Methodology &amp; Assumptions'!$B$5*V964) + ('Methodology &amp; Assumptions'!$B$6*W964), 2)</f>
        <v/>
      </c>
      <c r="Y964" s="28" t="n">
        <v>23.7</v>
      </c>
      <c r="Z964" s="11" t="inlineStr">
        <is>
          <t>Priority Tier 2 (Balanced Opportunity)</t>
        </is>
      </c>
    </row>
    <row r="965">
      <c r="A965" s="23" t="n">
        <v>2</v>
      </c>
      <c r="B965" s="23" t="n">
        <v>961</v>
      </c>
      <c r="C965" s="23" t="n">
        <v>1961</v>
      </c>
      <c r="D965" s="23" t="inlineStr">
        <is>
          <t>0502011023</t>
        </is>
      </c>
      <c r="E965" s="11" t="inlineStr">
        <is>
          <t>Region V (Bicol Region)</t>
        </is>
      </c>
      <c r="F965" s="11" t="inlineStr">
        <is>
          <t>Catanduanes</t>
        </is>
      </c>
      <c r="G965" s="11" t="inlineStr">
        <is>
          <t>Virac</t>
        </is>
      </c>
      <c r="H965" s="11" t="inlineStr">
        <is>
          <t>Dugui Too</t>
        </is>
      </c>
      <c r="I965" s="24" t="n">
        <v>13.664135</v>
      </c>
      <c r="J965" s="24" t="n">
        <v>124.208808</v>
      </c>
      <c r="K965" s="23" t="inlineStr">
        <is>
          <t>R</t>
        </is>
      </c>
      <c r="L965" s="25" t="n">
        <v>1416</v>
      </c>
      <c r="M965" s="26" t="n">
        <v>4.2</v>
      </c>
      <c r="N965" s="25">
        <f>ROUND(L965/M965, 0)</f>
        <v/>
      </c>
      <c r="O965" s="25">
        <f>ROUND(N965*'Methodology &amp; Assumptions'!$B$7, 0)</f>
        <v/>
      </c>
      <c r="P965" s="23" t="inlineStr">
        <is>
          <t>Single Carrier (Band n50, 100MHz TDD)</t>
        </is>
      </c>
      <c r="Q965" s="27">
        <f>ROUNDUP(O965/'Methodology &amp; Assumptions'!$B$8, 0)</f>
        <v/>
      </c>
      <c r="R965" s="27" t="n">
        <v>1</v>
      </c>
      <c r="S965" s="26" t="n">
        <v>39.27</v>
      </c>
      <c r="T965" s="26" t="n">
        <v>61.27</v>
      </c>
      <c r="U965" s="11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26" t="n">
        <v>46.45</v>
      </c>
      <c r="W965" s="26" t="n">
        <v>78.42</v>
      </c>
      <c r="X965" s="26">
        <f>ROUND(('Methodology &amp; Assumptions'!$B$5*V965) + ('Methodology &amp; Assumptions'!$B$6*W965), 2)</f>
        <v/>
      </c>
      <c r="Y965" s="28" t="n">
        <v>23.7</v>
      </c>
      <c r="Z965" s="11" t="inlineStr">
        <is>
          <t>Priority Tier 2 (Balanced Opportunity)</t>
        </is>
      </c>
    </row>
    <row r="966">
      <c r="A966" s="23" t="n">
        <v>2</v>
      </c>
      <c r="B966" s="23" t="n">
        <v>962</v>
      </c>
      <c r="C966" s="23" t="n">
        <v>1962</v>
      </c>
      <c r="D966" s="23" t="inlineStr">
        <is>
          <t>1102319003</t>
        </is>
      </c>
      <c r="E966" s="11" t="inlineStr">
        <is>
          <t>Region XI (Davao Region)</t>
        </is>
      </c>
      <c r="F966" s="11" t="inlineStr">
        <is>
          <t>Davao del Norte</t>
        </is>
      </c>
      <c r="G966" s="11" t="inlineStr">
        <is>
          <t>City of Tagum</t>
        </is>
      </c>
      <c r="H966" s="11" t="inlineStr">
        <is>
          <t>Bincungan</t>
        </is>
      </c>
      <c r="I966" s="24" t="n">
        <v>7.377198</v>
      </c>
      <c r="J966" s="24" t="n">
        <v>125.754534</v>
      </c>
      <c r="K966" s="23" t="inlineStr">
        <is>
          <t>R</t>
        </is>
      </c>
      <c r="L966" s="25" t="n">
        <v>4113</v>
      </c>
      <c r="M966" s="26" t="n">
        <v>3.7</v>
      </c>
      <c r="N966" s="25">
        <f>ROUND(L966/M966, 0)</f>
        <v/>
      </c>
      <c r="O966" s="25">
        <f>ROUND(N966*'Methodology &amp; Assumptions'!$B$7, 0)</f>
        <v/>
      </c>
      <c r="P966" s="23" t="inlineStr">
        <is>
          <t>Single Carrier (Band n50, 100MHz TDD)</t>
        </is>
      </c>
      <c r="Q966" s="27">
        <f>ROUNDUP(O966/'Methodology &amp; Assumptions'!$B$8, 0)</f>
        <v/>
      </c>
      <c r="R966" s="27" t="n">
        <v>1</v>
      </c>
      <c r="S966" s="26" t="n">
        <v>0.64</v>
      </c>
      <c r="T966" s="26" t="n">
        <v>0.37</v>
      </c>
      <c r="U966" s="11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26" t="n">
        <v>87.06999999999999</v>
      </c>
      <c r="W966" s="26" t="n">
        <v>37.75</v>
      </c>
      <c r="X966" s="26">
        <f>ROUND(('Methodology &amp; Assumptions'!$B$5*V966) + ('Methodology &amp; Assumptions'!$B$6*W966), 2)</f>
        <v/>
      </c>
      <c r="Y966" s="28" t="n">
        <v>17.4</v>
      </c>
      <c r="Z966" s="11" t="inlineStr">
        <is>
          <t>Priority Tier 2 (Balanced Opportunity)</t>
        </is>
      </c>
    </row>
    <row r="967">
      <c r="A967" s="23" t="n">
        <v>2</v>
      </c>
      <c r="B967" s="23" t="n">
        <v>963</v>
      </c>
      <c r="C967" s="23" t="n">
        <v>1963</v>
      </c>
      <c r="D967" s="23" t="inlineStr">
        <is>
          <t>0301404018</t>
        </is>
      </c>
      <c r="E967" s="11" t="inlineStr">
        <is>
          <t>Region III (Central Luzon)</t>
        </is>
      </c>
      <c r="F967" s="11" t="inlineStr">
        <is>
          <t>Bulacan</t>
        </is>
      </c>
      <c r="G967" s="11" t="inlineStr">
        <is>
          <t>Bocaue</t>
        </is>
      </c>
      <c r="H967" s="11" t="inlineStr">
        <is>
          <t>Turo</t>
        </is>
      </c>
      <c r="I967" s="24" t="n">
        <v>14.806961</v>
      </c>
      <c r="J967" s="24" t="n">
        <v>120.938554</v>
      </c>
      <c r="K967" s="23" t="inlineStr">
        <is>
          <t>U</t>
        </is>
      </c>
      <c r="L967" s="25" t="n">
        <v>12401</v>
      </c>
      <c r="M967" s="26" t="n">
        <v>3.5</v>
      </c>
      <c r="N967" s="25">
        <f>ROUND(L967/M967, 0)</f>
        <v/>
      </c>
      <c r="O967" s="25">
        <f>ROUND(N967*'Methodology &amp; Assumptions'!$B$7, 0)</f>
        <v/>
      </c>
      <c r="P967" s="23" t="inlineStr">
        <is>
          <t>Single Carrier (Band n50, 100MHz TDD)</t>
        </is>
      </c>
      <c r="Q967" s="27">
        <f>ROUNDUP(O967/'Methodology &amp; Assumptions'!$B$8, 0)</f>
        <v/>
      </c>
      <c r="R967" s="27" t="n">
        <v>1</v>
      </c>
      <c r="S967" s="26" t="n">
        <v>2.03</v>
      </c>
      <c r="T967" s="26" t="n">
        <v>1.11</v>
      </c>
      <c r="U967" s="11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26" t="n">
        <v>74.08</v>
      </c>
      <c r="W967" s="26" t="n">
        <v>50.74</v>
      </c>
      <c r="X967" s="26">
        <f>ROUND(('Methodology &amp; Assumptions'!$B$5*V967) + ('Methodology &amp; Assumptions'!$B$6*W967), 2)</f>
        <v/>
      </c>
      <c r="Y967" s="28" t="n">
        <v>8.300000000000001</v>
      </c>
      <c r="Z967" s="11" t="inlineStr">
        <is>
          <t>Priority Tier 2 (Balanced Opportunity)</t>
        </is>
      </c>
    </row>
    <row r="968">
      <c r="A968" s="23" t="n">
        <v>2</v>
      </c>
      <c r="B968" s="23" t="n">
        <v>964</v>
      </c>
      <c r="C968" s="23" t="n">
        <v>1964</v>
      </c>
      <c r="D968" s="23" t="inlineStr">
        <is>
          <t>0306916075</t>
        </is>
      </c>
      <c r="E968" s="11" t="inlineStr">
        <is>
          <t>Region III (Central Luzon)</t>
        </is>
      </c>
      <c r="F968" s="11" t="inlineStr">
        <is>
          <t>Tarlac</t>
        </is>
      </c>
      <c r="G968" s="11" t="inlineStr">
        <is>
          <t>City of Tarlac</t>
        </is>
      </c>
      <c r="H968" s="11" t="inlineStr">
        <is>
          <t>San Vicente</t>
        </is>
      </c>
      <c r="I968" s="24" t="n">
        <v>15.476106</v>
      </c>
      <c r="J968" s="24" t="n">
        <v>120.586799</v>
      </c>
      <c r="K968" s="23" t="inlineStr">
        <is>
          <t>U</t>
        </is>
      </c>
      <c r="L968" s="25" t="n">
        <v>18884</v>
      </c>
      <c r="M968" s="26" t="n">
        <v>3.9</v>
      </c>
      <c r="N968" s="25">
        <f>ROUND(L968/M968, 0)</f>
        <v/>
      </c>
      <c r="O968" s="25">
        <f>ROUND(N968*'Methodology &amp; Assumptions'!$B$7, 0)</f>
        <v/>
      </c>
      <c r="P968" s="23" t="inlineStr">
        <is>
          <t>Single Carrier (Band n50, 100MHz TDD)</t>
        </is>
      </c>
      <c r="Q968" s="27">
        <f>ROUNDUP(O968/'Methodology &amp; Assumptions'!$B$8, 0)</f>
        <v/>
      </c>
      <c r="R968" s="27" t="n">
        <v>1</v>
      </c>
      <c r="S968" s="26" t="n">
        <v>2.75</v>
      </c>
      <c r="T968" s="26" t="n">
        <v>0.14</v>
      </c>
      <c r="U968" s="11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26" t="n">
        <v>71.76000000000001</v>
      </c>
      <c r="W968" s="26" t="n">
        <v>53.07</v>
      </c>
      <c r="X968" s="26">
        <f>ROUND(('Methodology &amp; Assumptions'!$B$5*V968) + ('Methodology &amp; Assumptions'!$B$6*W968), 2)</f>
        <v/>
      </c>
      <c r="Y968" s="28" t="n">
        <v>8.300000000000001</v>
      </c>
      <c r="Z968" s="11" t="inlineStr">
        <is>
          <t>Priority Tier 2 (Balanced Opportunity)</t>
        </is>
      </c>
    </row>
    <row r="969">
      <c r="A969" s="23" t="n">
        <v>2</v>
      </c>
      <c r="B969" s="23" t="n">
        <v>965</v>
      </c>
      <c r="C969" s="23" t="n">
        <v>1965</v>
      </c>
      <c r="D969" s="23" t="inlineStr">
        <is>
          <t>1401113004</t>
        </is>
      </c>
      <c r="E969" s="11" t="inlineStr">
        <is>
          <t>Cordillera Administrative Region (CAR)</t>
        </is>
      </c>
      <c r="F969" s="11" t="inlineStr">
        <is>
          <t>Benguet</t>
        </is>
      </c>
      <c r="G969" s="11" t="inlineStr">
        <is>
          <t>Tuba</t>
        </is>
      </c>
      <c r="H969" s="11" t="inlineStr">
        <is>
          <t>Camp 4</t>
        </is>
      </c>
      <c r="I969" s="24" t="n">
        <v>16.3274</v>
      </c>
      <c r="J969" s="24" t="n">
        <v>120.60853</v>
      </c>
      <c r="K969" s="23" t="inlineStr">
        <is>
          <t>U</t>
        </is>
      </c>
      <c r="L969" s="25" t="n">
        <v>7022</v>
      </c>
      <c r="M969" s="26" t="n">
        <v>3.5</v>
      </c>
      <c r="N969" s="25">
        <f>ROUND(L969/M969, 0)</f>
        <v/>
      </c>
      <c r="O969" s="25">
        <f>ROUND(N969*'Methodology &amp; Assumptions'!$B$7, 0)</f>
        <v/>
      </c>
      <c r="P969" s="23" t="inlineStr">
        <is>
          <t>Single Carrier (Band n50, 100MHz TDD)</t>
        </is>
      </c>
      <c r="Q969" s="27">
        <f>ROUNDUP(O969/'Methodology &amp; Assumptions'!$B$8, 0)</f>
        <v/>
      </c>
      <c r="R969" s="27" t="n">
        <v>1</v>
      </c>
      <c r="S969" s="26" t="n">
        <v>2.04</v>
      </c>
      <c r="T969" s="26" t="n">
        <v>7.7</v>
      </c>
      <c r="U969" s="11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26" t="n">
        <v>70.95</v>
      </c>
      <c r="W969" s="26" t="n">
        <v>53.88</v>
      </c>
      <c r="X969" s="26">
        <f>ROUND(('Methodology &amp; Assumptions'!$B$5*V969) + ('Methodology &amp; Assumptions'!$B$6*W969), 2)</f>
        <v/>
      </c>
      <c r="Y969" s="28" t="n">
        <v>10.9</v>
      </c>
      <c r="Z969" s="11" t="inlineStr">
        <is>
          <t>Priority Tier 2 (Balanced Opportunity)</t>
        </is>
      </c>
    </row>
    <row r="970">
      <c r="A970" s="23" t="n">
        <v>2</v>
      </c>
      <c r="B970" s="23" t="n">
        <v>966</v>
      </c>
      <c r="C970" s="23" t="n">
        <v>1966</v>
      </c>
      <c r="D970" s="23" t="inlineStr">
        <is>
          <t>0203109013</t>
        </is>
      </c>
      <c r="E970" s="11" t="inlineStr">
        <is>
          <t>Region II (Cagayan Valley)</t>
        </is>
      </c>
      <c r="F970" s="11" t="inlineStr">
        <is>
          <t>Isabela</t>
        </is>
      </c>
      <c r="G970" s="11" t="inlineStr">
        <is>
          <t>Cordon</t>
        </is>
      </c>
      <c r="H970" s="11" t="inlineStr">
        <is>
          <t>Quirino</t>
        </is>
      </c>
      <c r="I970" s="24" t="n">
        <v>17.175501</v>
      </c>
      <c r="J970" s="24" t="n">
        <v>121.742343</v>
      </c>
      <c r="K970" s="23" t="inlineStr">
        <is>
          <t>R</t>
        </is>
      </c>
      <c r="L970" s="25" t="n">
        <v>2847</v>
      </c>
      <c r="M970" s="26" t="n">
        <v>3.8</v>
      </c>
      <c r="N970" s="25">
        <f>ROUND(L970/M970, 0)</f>
        <v/>
      </c>
      <c r="O970" s="25">
        <f>ROUND(N970*'Methodology &amp; Assumptions'!$B$7, 0)</f>
        <v/>
      </c>
      <c r="P970" s="23" t="inlineStr">
        <is>
          <t>Single Carrier (Band n50, 100MHz TDD)</t>
        </is>
      </c>
      <c r="Q970" s="27">
        <f>ROUNDUP(O970/'Methodology &amp; Assumptions'!$B$8, 0)</f>
        <v/>
      </c>
      <c r="R970" s="27" t="n">
        <v>1</v>
      </c>
      <c r="S970" s="26" t="n">
        <v>4.47</v>
      </c>
      <c r="T970" s="26" t="n">
        <v>8.82</v>
      </c>
      <c r="U970" s="11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26" t="n">
        <v>69.36</v>
      </c>
      <c r="W970" s="26" t="n">
        <v>55.47</v>
      </c>
      <c r="X970" s="26">
        <f>ROUND(('Methodology &amp; Assumptions'!$B$5*V970) + ('Methodology &amp; Assumptions'!$B$6*W970), 2)</f>
        <v/>
      </c>
      <c r="Y970" s="28" t="n">
        <v>8.300000000000001</v>
      </c>
      <c r="Z970" s="11" t="inlineStr">
        <is>
          <t>Priority Tier 2 (Balanced Opportunity)</t>
        </is>
      </c>
    </row>
    <row r="971">
      <c r="A971" s="23" t="n">
        <v>2</v>
      </c>
      <c r="B971" s="23" t="n">
        <v>967</v>
      </c>
      <c r="C971" s="23" t="n">
        <v>1967</v>
      </c>
      <c r="D971" s="23" t="inlineStr">
        <is>
          <t>0401029030</t>
        </is>
      </c>
      <c r="E971" s="11" t="inlineStr">
        <is>
          <t>Region IV-A (CALABARZON)</t>
        </is>
      </c>
      <c r="F971" s="11" t="inlineStr">
        <is>
          <t>Batangas</t>
        </is>
      </c>
      <c r="G971" s="11" t="inlineStr">
        <is>
          <t>Taal</t>
        </is>
      </c>
      <c r="H971" s="11" t="inlineStr">
        <is>
          <t>Poblacion 6</t>
        </is>
      </c>
      <c r="I971" s="24" t="n">
        <v>13.8776</v>
      </c>
      <c r="J971" s="24" t="n">
        <v>120.9208</v>
      </c>
      <c r="K971" s="23" t="inlineStr">
        <is>
          <t>R</t>
        </is>
      </c>
      <c r="L971" s="25" t="n">
        <v>914</v>
      </c>
      <c r="M971" s="26" t="n">
        <v>3.6</v>
      </c>
      <c r="N971" s="25">
        <f>ROUND(L971/M971, 0)</f>
        <v/>
      </c>
      <c r="O971" s="25">
        <f>ROUND(N971*'Methodology &amp; Assumptions'!$B$7, 0)</f>
        <v/>
      </c>
      <c r="P971" s="23" t="inlineStr">
        <is>
          <t>Single Carrier (Band n50, 100MHz TDD)</t>
        </is>
      </c>
      <c r="Q971" s="27">
        <f>ROUNDUP(O971/'Methodology &amp; Assumptions'!$B$8, 0)</f>
        <v/>
      </c>
      <c r="R971" s="27" t="n">
        <v>1</v>
      </c>
      <c r="S971" s="26" t="n">
        <v>0.46</v>
      </c>
      <c r="T971" s="26" t="n">
        <v>2.02</v>
      </c>
      <c r="U971" s="11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26" t="n">
        <v>65.18000000000001</v>
      </c>
      <c r="W971" s="26" t="n">
        <v>59.65</v>
      </c>
      <c r="X971" s="26">
        <f>ROUND(('Methodology &amp; Assumptions'!$B$5*V971) + ('Methodology &amp; Assumptions'!$B$6*W971), 2)</f>
        <v/>
      </c>
      <c r="Y971" s="28" t="n">
        <v>7.2</v>
      </c>
      <c r="Z971" s="11" t="inlineStr">
        <is>
          <t>Priority Tier 2 (Balanced Opportunity)</t>
        </is>
      </c>
    </row>
    <row r="972">
      <c r="A972" s="23" t="n">
        <v>2</v>
      </c>
      <c r="B972" s="23" t="n">
        <v>968</v>
      </c>
      <c r="C972" s="23" t="n">
        <v>1968</v>
      </c>
      <c r="D972" s="23" t="inlineStr">
        <is>
          <t>0201513056</t>
        </is>
      </c>
      <c r="E972" s="11" t="inlineStr">
        <is>
          <t>Region II (Cagayan Valley)</t>
        </is>
      </c>
      <c r="F972" s="11" t="inlineStr">
        <is>
          <t>Cagayan</t>
        </is>
      </c>
      <c r="G972" s="11" t="inlineStr">
        <is>
          <t>Gattaran</t>
        </is>
      </c>
      <c r="H972" s="11" t="inlineStr">
        <is>
          <t>Bolos Point</t>
        </is>
      </c>
      <c r="I972" s="24" t="n">
        <v>18.073711</v>
      </c>
      <c r="J972" s="24" t="n">
        <v>122.106467</v>
      </c>
      <c r="K972" s="23" t="inlineStr">
        <is>
          <t>R</t>
        </is>
      </c>
      <c r="L972" s="25" t="n">
        <v>945</v>
      </c>
      <c r="M972" s="26" t="n">
        <v>3.9</v>
      </c>
      <c r="N972" s="25">
        <f>ROUND(L972/M972, 0)</f>
        <v/>
      </c>
      <c r="O972" s="25">
        <f>ROUND(N972*'Methodology &amp; Assumptions'!$B$7, 0)</f>
        <v/>
      </c>
      <c r="P972" s="23" t="inlineStr">
        <is>
          <t>Single Carrier (Band n50, 100MHz TDD)</t>
        </is>
      </c>
      <c r="Q972" s="27">
        <f>ROUNDUP(O972/'Methodology &amp; Assumptions'!$B$8, 0)</f>
        <v/>
      </c>
      <c r="R972" s="27" t="n">
        <v>1</v>
      </c>
      <c r="S972" s="26" t="n">
        <v>23.95</v>
      </c>
      <c r="T972" s="26" t="n">
        <v>23.83</v>
      </c>
      <c r="U972" s="11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26" t="n">
        <v>41.69</v>
      </c>
      <c r="W972" s="26" t="n">
        <v>83.13</v>
      </c>
      <c r="X972" s="26">
        <f>ROUND(('Methodology &amp; Assumptions'!$B$5*V972) + ('Methodology &amp; Assumptions'!$B$6*W972), 2)</f>
        <v/>
      </c>
      <c r="Y972" s="28" t="n">
        <v>8.300000000000001</v>
      </c>
      <c r="Z972" s="11" t="inlineStr">
        <is>
          <t>Priority Tier 2 (Balanced Opportunity)</t>
        </is>
      </c>
    </row>
    <row r="973">
      <c r="A973" s="23" t="n">
        <v>2</v>
      </c>
      <c r="B973" s="23" t="n">
        <v>969</v>
      </c>
      <c r="C973" s="23" t="n">
        <v>1969</v>
      </c>
      <c r="D973" s="23" t="inlineStr">
        <is>
          <t>0401009014</t>
        </is>
      </c>
      <c r="E973" s="11" t="inlineStr">
        <is>
          <t>Region IV-A (CALABARZON)</t>
        </is>
      </c>
      <c r="F973" s="11" t="inlineStr">
        <is>
          <t>Batangas</t>
        </is>
      </c>
      <c r="G973" s="11" t="inlineStr">
        <is>
          <t>Cuenca</t>
        </is>
      </c>
      <c r="H973" s="11" t="inlineStr">
        <is>
          <t>San Isidro</t>
        </is>
      </c>
      <c r="I973" s="24" t="n">
        <v>13.904116</v>
      </c>
      <c r="J973" s="24" t="n">
        <v>121.05071</v>
      </c>
      <c r="K973" s="23" t="inlineStr">
        <is>
          <t>R</t>
        </is>
      </c>
      <c r="L973" s="25" t="n">
        <v>2641</v>
      </c>
      <c r="M973" s="26" t="n">
        <v>3.6</v>
      </c>
      <c r="N973" s="25">
        <f>ROUND(L973/M973, 0)</f>
        <v/>
      </c>
      <c r="O973" s="25">
        <f>ROUND(N973*'Methodology &amp; Assumptions'!$B$7, 0)</f>
        <v/>
      </c>
      <c r="P973" s="23" t="inlineStr">
        <is>
          <t>Single Carrier (Band n50, 100MHz TDD)</t>
        </is>
      </c>
      <c r="Q973" s="27">
        <f>ROUNDUP(O973/'Methodology &amp; Assumptions'!$B$8, 0)</f>
        <v/>
      </c>
      <c r="R973" s="27" t="n">
        <v>1</v>
      </c>
      <c r="S973" s="26" t="n">
        <v>0.67</v>
      </c>
      <c r="T973" s="26" t="n">
        <v>0.67</v>
      </c>
      <c r="U973" s="11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26" t="n">
        <v>82.79000000000001</v>
      </c>
      <c r="W973" s="26" t="n">
        <v>42.02</v>
      </c>
      <c r="X973" s="26">
        <f>ROUND(('Methodology &amp; Assumptions'!$B$5*V973) + ('Methodology &amp; Assumptions'!$B$6*W973), 2)</f>
        <v/>
      </c>
      <c r="Y973" s="28" t="n">
        <v>7.2</v>
      </c>
      <c r="Z973" s="11" t="inlineStr">
        <is>
          <t>Priority Tier 2 (Balanced Opportunity)</t>
        </is>
      </c>
    </row>
    <row r="974">
      <c r="A974" s="23" t="n">
        <v>2</v>
      </c>
      <c r="B974" s="23" t="n">
        <v>970</v>
      </c>
      <c r="C974" s="23" t="n">
        <v>1970</v>
      </c>
      <c r="D974" s="23" t="inlineStr">
        <is>
          <t>0301406010</t>
        </is>
      </c>
      <c r="E974" s="11" t="inlineStr">
        <is>
          <t>Region III (Central Luzon)</t>
        </is>
      </c>
      <c r="F974" s="11" t="inlineStr">
        <is>
          <t>Bulacan</t>
        </is>
      </c>
      <c r="G974" s="11" t="inlineStr">
        <is>
          <t>Bustos</t>
        </is>
      </c>
      <c r="H974" s="11" t="inlineStr">
        <is>
          <t>Poblacion</t>
        </is>
      </c>
      <c r="I974" s="24" t="n">
        <v>14.955594</v>
      </c>
      <c r="J974" s="24" t="n">
        <v>120.909471</v>
      </c>
      <c r="K974" s="23" t="inlineStr">
        <is>
          <t>U</t>
        </is>
      </c>
      <c r="L974" s="25" t="n">
        <v>8636</v>
      </c>
      <c r="M974" s="26" t="n">
        <v>3.5</v>
      </c>
      <c r="N974" s="25">
        <f>ROUND(L974/M974, 0)</f>
        <v/>
      </c>
      <c r="O974" s="25">
        <f>ROUND(N974*'Methodology &amp; Assumptions'!$B$7, 0)</f>
        <v/>
      </c>
      <c r="P974" s="23" t="inlineStr">
        <is>
          <t>Single Carrier (Band n50, 100MHz TDD)</t>
        </is>
      </c>
      <c r="Q974" s="27">
        <f>ROUNDUP(O974/'Methodology &amp; Assumptions'!$B$8, 0)</f>
        <v/>
      </c>
      <c r="R974" s="27" t="n">
        <v>1</v>
      </c>
      <c r="S974" s="26" t="n">
        <v>0.98</v>
      </c>
      <c r="T974" s="26" t="n">
        <v>0.03</v>
      </c>
      <c r="U974" s="11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26" t="n">
        <v>77.89</v>
      </c>
      <c r="W974" s="26" t="n">
        <v>46.91</v>
      </c>
      <c r="X974" s="26">
        <f>ROUND(('Methodology &amp; Assumptions'!$B$5*V974) + ('Methodology &amp; Assumptions'!$B$6*W974), 2)</f>
        <v/>
      </c>
      <c r="Y974" s="28" t="n">
        <v>8.300000000000001</v>
      </c>
      <c r="Z974" s="11" t="inlineStr">
        <is>
          <t>Priority Tier 2 (Balanced Opportunity)</t>
        </is>
      </c>
    </row>
    <row r="975">
      <c r="A975" s="23" t="n">
        <v>2</v>
      </c>
      <c r="B975" s="23" t="n">
        <v>971</v>
      </c>
      <c r="C975" s="23" t="n">
        <v>1971</v>
      </c>
      <c r="D975" s="23" t="inlineStr">
        <is>
          <t>1402709005</t>
        </is>
      </c>
      <c r="E975" s="11" t="inlineStr">
        <is>
          <t>Cordillera Administrative Region (CAR)</t>
        </is>
      </c>
      <c r="F975" s="11" t="inlineStr">
        <is>
          <t>Ifugao</t>
        </is>
      </c>
      <c r="G975" s="11" t="inlineStr">
        <is>
          <t>Hingyon</t>
        </is>
      </c>
      <c r="H975" s="11" t="inlineStr">
        <is>
          <t>Mompolia</t>
        </is>
      </c>
      <c r="I975" s="24" t="n">
        <v>16.854195</v>
      </c>
      <c r="J975" s="24" t="n">
        <v>121.111856</v>
      </c>
      <c r="K975" s="23" t="inlineStr">
        <is>
          <t>R</t>
        </is>
      </c>
      <c r="L975" s="25" t="n">
        <v>1271</v>
      </c>
      <c r="M975" s="26" t="n">
        <v>3.9</v>
      </c>
      <c r="N975" s="25">
        <f>ROUND(L975/M975, 0)</f>
        <v/>
      </c>
      <c r="O975" s="25">
        <f>ROUND(N975*'Methodology &amp; Assumptions'!$B$7, 0)</f>
        <v/>
      </c>
      <c r="P975" s="23" t="inlineStr">
        <is>
          <t>Single Carrier (Band n50, 100MHz TDD)</t>
        </is>
      </c>
      <c r="Q975" s="27">
        <f>ROUNDUP(O975/'Methodology &amp; Assumptions'!$B$8, 0)</f>
        <v/>
      </c>
      <c r="R975" s="27" t="n">
        <v>1</v>
      </c>
      <c r="S975" s="26" t="n">
        <v>2.59</v>
      </c>
      <c r="T975" s="26" t="n">
        <v>2.73</v>
      </c>
      <c r="U975" s="11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26" t="n">
        <v>62.61</v>
      </c>
      <c r="W975" s="26" t="n">
        <v>62.2</v>
      </c>
      <c r="X975" s="26">
        <f>ROUND(('Methodology &amp; Assumptions'!$B$5*V975) + ('Methodology &amp; Assumptions'!$B$6*W975), 2)</f>
        <v/>
      </c>
      <c r="Y975" s="28" t="n">
        <v>10.9</v>
      </c>
      <c r="Z975" s="11" t="inlineStr">
        <is>
          <t>Priority Tier 2 (Balanced Opportunity)</t>
        </is>
      </c>
    </row>
    <row r="976">
      <c r="A976" s="23" t="n">
        <v>2</v>
      </c>
      <c r="B976" s="23" t="n">
        <v>972</v>
      </c>
      <c r="C976" s="23" t="n">
        <v>1972</v>
      </c>
      <c r="D976" s="23" t="inlineStr">
        <is>
          <t>1380612002</t>
        </is>
      </c>
      <c r="E976" s="11" t="inlineStr">
        <is>
          <t>National Capital Region (NCR)</t>
        </is>
      </c>
      <c r="F976" s="11" t="inlineStr">
        <is>
          <t>First District (Not a Province)</t>
        </is>
      </c>
      <c r="G976" s="11" t="inlineStr">
        <is>
          <t>City of Manila</t>
        </is>
      </c>
      <c r="H976" s="11" t="inlineStr">
        <is>
          <t>Barangay 834</t>
        </is>
      </c>
      <c r="I976" s="24" t="n">
        <v>14.59274</v>
      </c>
      <c r="J976" s="24" t="n">
        <v>121.0045</v>
      </c>
      <c r="K976" s="23" t="inlineStr">
        <is>
          <t>U</t>
        </is>
      </c>
      <c r="L976" s="25" t="n">
        <v>1918</v>
      </c>
      <c r="M976" s="26" t="n">
        <v>4.38</v>
      </c>
      <c r="N976" s="25">
        <f>ROUND(L976/M976, 0)</f>
        <v/>
      </c>
      <c r="O976" s="25">
        <f>ROUND(N976*'Methodology &amp; Assumptions'!$B$7, 0)</f>
        <v/>
      </c>
      <c r="P976" s="23" t="inlineStr">
        <is>
          <t>Single Carrier (Band n50, 100MHz TDD)</t>
        </is>
      </c>
      <c r="Q976" s="27">
        <f>ROUNDUP(O976/'Methodology &amp; Assumptions'!$B$8, 0)</f>
        <v/>
      </c>
      <c r="R976" s="27" t="n">
        <v>1</v>
      </c>
      <c r="S976" s="26" t="n">
        <v>0.95</v>
      </c>
      <c r="T976" s="26" t="n">
        <v>0.31</v>
      </c>
      <c r="U976" s="11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26" t="n">
        <v>54.72</v>
      </c>
      <c r="W976" s="26" t="n">
        <v>70.08</v>
      </c>
      <c r="X976" s="26">
        <f>ROUND(('Methodology &amp; Assumptions'!$B$5*V976) + ('Methodology &amp; Assumptions'!$B$6*W976), 2)</f>
        <v/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2</v>
      </c>
      <c r="B977" s="23" t="n">
        <v>973</v>
      </c>
      <c r="C977" s="23" t="n">
        <v>1973</v>
      </c>
      <c r="D977" s="23" t="inlineStr">
        <is>
          <t>1381100047</t>
        </is>
      </c>
      <c r="E977" s="11" t="inlineStr">
        <is>
          <t>National Capital Region (NCR)</t>
        </is>
      </c>
      <c r="F977" s="11" t="inlineStr">
        <is>
          <t>Fourth District (Not a Province)</t>
        </is>
      </c>
      <c r="G977" s="11" t="inlineStr">
        <is>
          <t>Pasay City</t>
        </is>
      </c>
      <c r="H977" s="11" t="inlineStr">
        <is>
          <t>Barangay 47</t>
        </is>
      </c>
      <c r="I977" s="24" t="n">
        <v>14.555703</v>
      </c>
      <c r="J977" s="24" t="n">
        <v>120.997858</v>
      </c>
      <c r="K977" s="23" t="inlineStr">
        <is>
          <t>U</t>
        </is>
      </c>
      <c r="L977" s="25" t="n">
        <v>1277</v>
      </c>
      <c r="M977" s="26" t="n">
        <v>3.19</v>
      </c>
      <c r="N977" s="25">
        <f>ROUND(L977/M977, 0)</f>
        <v/>
      </c>
      <c r="O977" s="25">
        <f>ROUND(N977*'Methodology &amp; Assumptions'!$B$7, 0)</f>
        <v/>
      </c>
      <c r="P977" s="23" t="inlineStr">
        <is>
          <t>Single Carrier (Band n50, 100MHz TDD)</t>
        </is>
      </c>
      <c r="Q977" s="27">
        <f>ROUNDUP(O977/'Methodology &amp; Assumptions'!$B$8, 0)</f>
        <v/>
      </c>
      <c r="R977" s="27" t="n">
        <v>1</v>
      </c>
      <c r="S977" s="26" t="n">
        <v>0.71</v>
      </c>
      <c r="T977" s="26" t="n">
        <v>0.17</v>
      </c>
      <c r="U977" s="11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26" t="n">
        <v>53.95</v>
      </c>
      <c r="W977" s="26" t="n">
        <v>70.86</v>
      </c>
      <c r="X977" s="26">
        <f>ROUND(('Methodology &amp; Assumptions'!$B$5*V977) + ('Methodology &amp; Assumptions'!$B$6*W977), 2)</f>
        <v/>
      </c>
      <c r="Y977" s="28" t="n">
        <v>10.9</v>
      </c>
      <c r="Z977" s="11" t="inlineStr">
        <is>
          <t>Priority Tier 2 (Balanced Opportunity)</t>
        </is>
      </c>
    </row>
    <row r="978">
      <c r="A978" s="23" t="n">
        <v>2</v>
      </c>
      <c r="B978" s="23" t="n">
        <v>974</v>
      </c>
      <c r="C978" s="23" t="n">
        <v>1974</v>
      </c>
      <c r="D978" s="23" t="inlineStr">
        <is>
          <t>1380605003</t>
        </is>
      </c>
      <c r="E978" s="11" t="inlineStr">
        <is>
          <t>National Capital Region (NCR)</t>
        </is>
      </c>
      <c r="F978" s="11" t="inlineStr">
        <is>
          <t>First District (Not a Province)</t>
        </is>
      </c>
      <c r="G978" s="11" t="inlineStr">
        <is>
          <t>City of Manila</t>
        </is>
      </c>
      <c r="H978" s="11" t="inlineStr">
        <is>
          <t>Barangay 299</t>
        </is>
      </c>
      <c r="I978" s="24" t="n">
        <v>14.6038</v>
      </c>
      <c r="J978" s="24" t="n">
        <v>120.9779</v>
      </c>
      <c r="K978" s="23" t="inlineStr">
        <is>
          <t>U</t>
        </is>
      </c>
      <c r="L978" s="25" t="n">
        <v>1447</v>
      </c>
      <c r="M978" s="26" t="n">
        <v>3.7</v>
      </c>
      <c r="N978" s="25">
        <f>ROUND(L978/M978, 0)</f>
        <v/>
      </c>
      <c r="O978" s="25">
        <f>ROUND(N978*'Methodology &amp; Assumptions'!$B$7, 0)</f>
        <v/>
      </c>
      <c r="P978" s="23" t="inlineStr">
        <is>
          <t>Single Carrier (Band n50, 100MHz TDD)</t>
        </is>
      </c>
      <c r="Q978" s="27">
        <f>ROUNDUP(O978/'Methodology &amp; Assumptions'!$B$8, 0)</f>
        <v/>
      </c>
      <c r="R978" s="27" t="n">
        <v>1</v>
      </c>
      <c r="S978" s="26" t="n">
        <v>0.95</v>
      </c>
      <c r="T978" s="26" t="n">
        <v>0.29</v>
      </c>
      <c r="U978" s="11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26" t="n">
        <v>53.22</v>
      </c>
      <c r="W978" s="26" t="n">
        <v>71.56999999999999</v>
      </c>
      <c r="X978" s="26">
        <f>ROUND(('Methodology &amp; Assumptions'!$B$5*V978) + ('Methodology &amp; Assumptions'!$B$6*W978), 2)</f>
        <v/>
      </c>
      <c r="Y978" s="28" t="n">
        <v>10.9</v>
      </c>
      <c r="Z978" s="11" t="inlineStr">
        <is>
          <t>Priority Tier 2 (Balanced Opportunity)</t>
        </is>
      </c>
    </row>
    <row r="979">
      <c r="A979" s="23" t="n">
        <v>2</v>
      </c>
      <c r="B979" s="23" t="n">
        <v>975</v>
      </c>
      <c r="C979" s="23" t="n">
        <v>1975</v>
      </c>
      <c r="D979" s="23" t="inlineStr">
        <is>
          <t>1380614028</t>
        </is>
      </c>
      <c r="E979" s="11" t="inlineStr">
        <is>
          <t>National Capital Region (NCR)</t>
        </is>
      </c>
      <c r="F979" s="11" t="inlineStr">
        <is>
          <t>First District (Not a Province)</t>
        </is>
      </c>
      <c r="G979" s="11" t="inlineStr">
        <is>
          <t>City of Manila</t>
        </is>
      </c>
      <c r="H979" s="11" t="inlineStr">
        <is>
          <t>Barangay 772</t>
        </is>
      </c>
      <c r="I979" s="24" t="n">
        <v>14.573319</v>
      </c>
      <c r="J979" s="24" t="n">
        <v>121.006629</v>
      </c>
      <c r="K979" s="23" t="inlineStr">
        <is>
          <t>U</t>
        </is>
      </c>
      <c r="L979" s="25" t="n">
        <v>2439</v>
      </c>
      <c r="M979" s="26" t="n">
        <v>4.65</v>
      </c>
      <c r="N979" s="25">
        <f>ROUND(L979/M979, 0)</f>
        <v/>
      </c>
      <c r="O979" s="25">
        <f>ROUND(N979*'Methodology &amp; Assumptions'!$B$7, 0)</f>
        <v/>
      </c>
      <c r="P979" s="23" t="inlineStr">
        <is>
          <t>Single Carrier (Band n50, 100MHz TDD)</t>
        </is>
      </c>
      <c r="Q979" s="27">
        <f>ROUNDUP(O979/'Methodology &amp; Assumptions'!$B$8, 0)</f>
        <v/>
      </c>
      <c r="R979" s="27" t="n">
        <v>1</v>
      </c>
      <c r="S979" s="26" t="n">
        <v>1.3</v>
      </c>
      <c r="T979" s="26" t="n">
        <v>0.55</v>
      </c>
      <c r="U979" s="11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26" t="n">
        <v>56.16</v>
      </c>
      <c r="W979" s="26" t="n">
        <v>68.63</v>
      </c>
      <c r="X979" s="26">
        <f>ROUND(('Methodology &amp; Assumptions'!$B$5*V979) + ('Methodology &amp; Assumptions'!$B$6*W979), 2)</f>
        <v/>
      </c>
      <c r="Y979" s="28" t="n">
        <v>10.9</v>
      </c>
      <c r="Z979" s="11" t="inlineStr">
        <is>
          <t>Priority Tier 2 (Balanced Opportunity)</t>
        </is>
      </c>
    </row>
    <row r="980">
      <c r="A980" s="23" t="n">
        <v>2</v>
      </c>
      <c r="B980" s="23" t="n">
        <v>976</v>
      </c>
      <c r="C980" s="23" t="n">
        <v>1976</v>
      </c>
      <c r="D980" s="23" t="inlineStr">
        <is>
          <t>1380606119</t>
        </is>
      </c>
      <c r="E980" s="11" t="inlineStr">
        <is>
          <t>National Capital Region (NCR)</t>
        </is>
      </c>
      <c r="F980" s="11" t="inlineStr">
        <is>
          <t>First District (Not a Province)</t>
        </is>
      </c>
      <c r="G980" s="11" t="inlineStr">
        <is>
          <t>City of Manila</t>
        </is>
      </c>
      <c r="H980" s="11" t="inlineStr">
        <is>
          <t>Barangay 513</t>
        </is>
      </c>
      <c r="I980" s="24" t="n">
        <v>14.616913</v>
      </c>
      <c r="J980" s="24" t="n">
        <v>120.998028</v>
      </c>
      <c r="K980" s="23" t="inlineStr">
        <is>
          <t>U</t>
        </is>
      </c>
      <c r="L980" s="25" t="n">
        <v>1929</v>
      </c>
      <c r="M980" s="26" t="n">
        <v>4.69</v>
      </c>
      <c r="N980" s="25">
        <f>ROUND(L980/M980, 0)</f>
        <v/>
      </c>
      <c r="O980" s="25">
        <f>ROUND(N980*'Methodology &amp; Assumptions'!$B$7, 0)</f>
        <v/>
      </c>
      <c r="P980" s="23" t="inlineStr">
        <is>
          <t>Single Carrier (Band n50, 100MHz TDD)</t>
        </is>
      </c>
      <c r="Q980" s="27">
        <f>ROUNDUP(O980/'Methodology &amp; Assumptions'!$B$8, 0)</f>
        <v/>
      </c>
      <c r="R980" s="27" t="n">
        <v>1</v>
      </c>
      <c r="S980" s="26" t="n">
        <v>0.91</v>
      </c>
      <c r="T980" s="26" t="n">
        <v>0.28</v>
      </c>
      <c r="U980" s="11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26" t="n">
        <v>54.02</v>
      </c>
      <c r="W980" s="26" t="n">
        <v>70.75</v>
      </c>
      <c r="X980" s="26">
        <f>ROUND(('Methodology &amp; Assumptions'!$B$5*V980) + ('Methodology &amp; Assumptions'!$B$6*W980), 2)</f>
        <v/>
      </c>
      <c r="Y980" s="28" t="n">
        <v>10.9</v>
      </c>
      <c r="Z980" s="11" t="inlineStr">
        <is>
          <t>Priority Tier 2 (Balanced Opportunity)</t>
        </is>
      </c>
    </row>
    <row r="981">
      <c r="A981" s="23" t="n">
        <v>2</v>
      </c>
      <c r="B981" s="23" t="n">
        <v>977</v>
      </c>
      <c r="C981" s="23" t="n">
        <v>1977</v>
      </c>
      <c r="D981" s="23" t="inlineStr">
        <is>
          <t>0600405002</t>
        </is>
      </c>
      <c r="E981" s="11" t="inlineStr">
        <is>
          <t>Region VI (Western Visayas)</t>
        </is>
      </c>
      <c r="F981" s="11" t="inlineStr">
        <is>
          <t>Aklan</t>
        </is>
      </c>
      <c r="G981" s="11" t="inlineStr">
        <is>
          <t>Buruanga</t>
        </is>
      </c>
      <c r="H981" s="11" t="inlineStr">
        <is>
          <t>Bagongbayan</t>
        </is>
      </c>
      <c r="I981" s="24" t="n">
        <v>11.770184</v>
      </c>
      <c r="J981" s="24" t="n">
        <v>121.859108</v>
      </c>
      <c r="K981" s="23" t="inlineStr">
        <is>
          <t>R</t>
        </is>
      </c>
      <c r="L981" s="25" t="n">
        <v>1018</v>
      </c>
      <c r="M981" s="26" t="n">
        <v>3.9</v>
      </c>
      <c r="N981" s="25">
        <f>ROUND(L981/M981, 0)</f>
        <v/>
      </c>
      <c r="O981" s="25">
        <f>ROUND(N981*'Methodology &amp; Assumptions'!$B$7, 0)</f>
        <v/>
      </c>
      <c r="P981" s="23" t="inlineStr">
        <is>
          <t>Single Carrier (Band n50, 100MHz TDD)</t>
        </is>
      </c>
      <c r="Q981" s="27">
        <f>ROUNDUP(O981/'Methodology &amp; Assumptions'!$B$8, 0)</f>
        <v/>
      </c>
      <c r="R981" s="27" t="n">
        <v>1</v>
      </c>
      <c r="S981" s="26" t="n">
        <v>21.94</v>
      </c>
      <c r="T981" s="26" t="n">
        <v>19.6</v>
      </c>
      <c r="U981" s="11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26" t="n">
        <v>46.74</v>
      </c>
      <c r="W981" s="26" t="n">
        <v>78.04000000000001</v>
      </c>
      <c r="X981" s="26">
        <f>ROUND(('Methodology &amp; Assumptions'!$B$5*V981) + ('Methodology &amp; Assumptions'!$B$6*W981), 2)</f>
        <v/>
      </c>
      <c r="Y981" s="28" t="n">
        <v>23.7</v>
      </c>
      <c r="Z981" s="11" t="inlineStr">
        <is>
          <t>Priority Tier 2 (Balanced Opportunity)</t>
        </is>
      </c>
    </row>
    <row r="982">
      <c r="A982" s="23" t="n">
        <v>2</v>
      </c>
      <c r="B982" s="23" t="n">
        <v>978</v>
      </c>
      <c r="C982" s="23" t="n">
        <v>1978</v>
      </c>
      <c r="D982" s="23" t="inlineStr">
        <is>
          <t>1381100164</t>
        </is>
      </c>
      <c r="E982" s="11" t="inlineStr">
        <is>
          <t>National Capital Region (NCR)</t>
        </is>
      </c>
      <c r="F982" s="11" t="inlineStr">
        <is>
          <t>Fourth District (Not a Province)</t>
        </is>
      </c>
      <c r="G982" s="11" t="inlineStr">
        <is>
          <t>Pasay City</t>
        </is>
      </c>
      <c r="H982" s="11" t="inlineStr">
        <is>
          <t>Barangay 164</t>
        </is>
      </c>
      <c r="I982" s="24" t="n">
        <v>14.532887</v>
      </c>
      <c r="J982" s="24" t="n">
        <v>121.008305</v>
      </c>
      <c r="K982" s="23" t="inlineStr">
        <is>
          <t>U</t>
        </is>
      </c>
      <c r="L982" s="25" t="n">
        <v>1799</v>
      </c>
      <c r="M982" s="26" t="n">
        <v>3.66</v>
      </c>
      <c r="N982" s="25">
        <f>ROUND(L982/M982, 0)</f>
        <v/>
      </c>
      <c r="O982" s="25">
        <f>ROUND(N982*'Methodology &amp; Assumptions'!$B$7, 0)</f>
        <v/>
      </c>
      <c r="P982" s="23" t="inlineStr">
        <is>
          <t>Single Carrier (Band n50, 100MHz TDD)</t>
        </is>
      </c>
      <c r="Q982" s="27">
        <f>ROUNDUP(O982/'Methodology &amp; Assumptions'!$B$8, 0)</f>
        <v/>
      </c>
      <c r="R982" s="27" t="n">
        <v>1</v>
      </c>
      <c r="S982" s="26" t="n">
        <v>1.32</v>
      </c>
      <c r="T982" s="26" t="n">
        <v>0.49</v>
      </c>
      <c r="U982" s="11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26" t="n">
        <v>55.11</v>
      </c>
      <c r="W982" s="26" t="n">
        <v>69.66</v>
      </c>
      <c r="X982" s="26">
        <f>ROUND(('Methodology &amp; Assumptions'!$B$5*V982) + ('Methodology &amp; Assumptions'!$B$6*W982), 2)</f>
        <v/>
      </c>
      <c r="Y982" s="28" t="n">
        <v>10.9</v>
      </c>
      <c r="Z982" s="11" t="inlineStr">
        <is>
          <t>Priority Tier 2 (Balanced Opportunity)</t>
        </is>
      </c>
    </row>
    <row r="983">
      <c r="A983" s="23" t="n">
        <v>2</v>
      </c>
      <c r="B983" s="23" t="n">
        <v>979</v>
      </c>
      <c r="C983" s="23" t="n">
        <v>1979</v>
      </c>
      <c r="D983" s="23" t="inlineStr">
        <is>
          <t>0405622006</t>
        </is>
      </c>
      <c r="E983" s="11" t="inlineStr">
        <is>
          <t>Region IV-A (CALABARZON)</t>
        </is>
      </c>
      <c r="F983" s="11" t="inlineStr">
        <is>
          <t>Quezon</t>
        </is>
      </c>
      <c r="G983" s="11" t="inlineStr">
        <is>
          <t>Lopez</t>
        </is>
      </c>
      <c r="H983" s="11" t="inlineStr">
        <is>
          <t>Gomez</t>
        </is>
      </c>
      <c r="I983" s="24" t="n">
        <v>13.886285</v>
      </c>
      <c r="J983" s="24" t="n">
        <v>122.258972</v>
      </c>
      <c r="K983" s="23" t="inlineStr">
        <is>
          <t>U</t>
        </is>
      </c>
      <c r="L983" s="25" t="n">
        <v>3496</v>
      </c>
      <c r="M983" s="26" t="n">
        <v>3.8</v>
      </c>
      <c r="N983" s="25">
        <f>ROUND(L983/M983, 0)</f>
        <v/>
      </c>
      <c r="O983" s="25">
        <f>ROUND(N983*'Methodology &amp; Assumptions'!$B$7, 0)</f>
        <v/>
      </c>
      <c r="P983" s="23" t="inlineStr">
        <is>
          <t>Single Carrier (Band n50, 100MHz TDD)</t>
        </is>
      </c>
      <c r="Q983" s="27">
        <f>ROUNDUP(O983/'Methodology &amp; Assumptions'!$B$8, 0)</f>
        <v/>
      </c>
      <c r="R983" s="27" t="n">
        <v>1</v>
      </c>
      <c r="S983" s="26" t="n">
        <v>0.36</v>
      </c>
      <c r="T983" s="26" t="n">
        <v>0.31</v>
      </c>
      <c r="U983" s="11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26" t="n">
        <v>78.26000000000001</v>
      </c>
      <c r="W983" s="26" t="n">
        <v>46.49</v>
      </c>
      <c r="X983" s="26">
        <f>ROUND(('Methodology &amp; Assumptions'!$B$5*V983) + ('Methodology &amp; Assumptions'!$B$6*W983), 2)</f>
        <v/>
      </c>
      <c r="Y983" s="28" t="n">
        <v>7.2</v>
      </c>
      <c r="Z983" s="11" t="inlineStr">
        <is>
          <t>Priority Tier 2 (Balanced Opportunity)</t>
        </is>
      </c>
    </row>
    <row r="984">
      <c r="A984" s="23" t="n">
        <v>2</v>
      </c>
      <c r="B984" s="23" t="n">
        <v>980</v>
      </c>
      <c r="C984" s="23" t="n">
        <v>1980</v>
      </c>
      <c r="D984" s="23" t="inlineStr">
        <is>
          <t>0803708074</t>
        </is>
      </c>
      <c r="E984" s="11" t="inlineStr">
        <is>
          <t>Region VIII (Eastern Visayas)</t>
        </is>
      </c>
      <c r="F984" s="11" t="inlineStr">
        <is>
          <t>Leyte</t>
        </is>
      </c>
      <c r="G984" s="11" t="inlineStr">
        <is>
          <t>City of Baybay</t>
        </is>
      </c>
      <c r="H984" s="11" t="inlineStr">
        <is>
          <t>Poblacion Zone 18</t>
        </is>
      </c>
      <c r="I984" s="24" t="n">
        <v>10.670709</v>
      </c>
      <c r="J984" s="24" t="n">
        <v>124.805201</v>
      </c>
      <c r="K984" s="23" t="inlineStr">
        <is>
          <t>R</t>
        </is>
      </c>
      <c r="L984" s="25" t="n">
        <v>1637</v>
      </c>
      <c r="M984" s="26" t="n">
        <v>3.8</v>
      </c>
      <c r="N984" s="25">
        <f>ROUND(L984/M984, 0)</f>
        <v/>
      </c>
      <c r="O984" s="25">
        <f>ROUND(N984*'Methodology &amp; Assumptions'!$B$7, 0)</f>
        <v/>
      </c>
      <c r="P984" s="23" t="inlineStr">
        <is>
          <t>Single Carrier (Band n50, 100MHz TDD)</t>
        </is>
      </c>
      <c r="Q984" s="27">
        <f>ROUNDUP(O984/'Methodology &amp; Assumptions'!$B$8, 0)</f>
        <v/>
      </c>
      <c r="R984" s="27" t="n">
        <v>1</v>
      </c>
      <c r="S984" s="26" t="n">
        <v>1.05</v>
      </c>
      <c r="T984" s="26" t="n">
        <v>0.27</v>
      </c>
      <c r="U984" s="11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26" t="n">
        <v>73.73999999999999</v>
      </c>
      <c r="W984" s="26" t="n">
        <v>50.99</v>
      </c>
      <c r="X984" s="26">
        <f>ROUND(('Methodology &amp; Assumptions'!$B$5*V984) + ('Methodology &amp; Assumptions'!$B$6*W984), 2)</f>
        <v/>
      </c>
      <c r="Y984" s="28" t="n">
        <v>23.7</v>
      </c>
      <c r="Z984" s="11" t="inlineStr">
        <is>
          <t>Priority Tier 2 (Balanced Opportunity)</t>
        </is>
      </c>
    </row>
    <row r="985">
      <c r="A985" s="23" t="n">
        <v>2</v>
      </c>
      <c r="B985" s="23" t="n">
        <v>981</v>
      </c>
      <c r="C985" s="23" t="n">
        <v>1981</v>
      </c>
      <c r="D985" s="23" t="inlineStr">
        <is>
          <t>0301420001</t>
        </is>
      </c>
      <c r="E985" s="11" t="inlineStr">
        <is>
          <t>Region III (Central Luzon)</t>
        </is>
      </c>
      <c r="F985" s="11" t="inlineStr">
        <is>
          <t>Bulacan</t>
        </is>
      </c>
      <c r="G985" s="11" t="inlineStr">
        <is>
          <t>City of San Jose Del Monte</t>
        </is>
      </c>
      <c r="H985" s="11" t="inlineStr">
        <is>
          <t>Bagong Buhay I</t>
        </is>
      </c>
      <c r="I985" s="24" t="n">
        <v>14.855686</v>
      </c>
      <c r="J985" s="24" t="n">
        <v>121.058705</v>
      </c>
      <c r="K985" s="23" t="inlineStr">
        <is>
          <t>U</t>
        </is>
      </c>
      <c r="L985" s="25" t="n">
        <v>7593</v>
      </c>
      <c r="M985" s="26" t="n">
        <v>3.5</v>
      </c>
      <c r="N985" s="25">
        <f>ROUND(L985/M985, 0)</f>
        <v/>
      </c>
      <c r="O985" s="25">
        <f>ROUND(N985*'Methodology &amp; Assumptions'!$B$7, 0)</f>
        <v/>
      </c>
      <c r="P985" s="23" t="inlineStr">
        <is>
          <t>Single Carrier (Band n50, 100MHz TDD)</t>
        </is>
      </c>
      <c r="Q985" s="27">
        <f>ROUNDUP(O985/'Methodology &amp; Assumptions'!$B$8, 0)</f>
        <v/>
      </c>
      <c r="R985" s="27" t="n">
        <v>1</v>
      </c>
      <c r="S985" s="26" t="n">
        <v>2.52</v>
      </c>
      <c r="T985" s="26" t="n">
        <v>3.31</v>
      </c>
      <c r="U985" s="11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26" t="n">
        <v>68.98</v>
      </c>
      <c r="W985" s="26" t="n">
        <v>55.75</v>
      </c>
      <c r="X985" s="26">
        <f>ROUND(('Methodology &amp; Assumptions'!$B$5*V985) + ('Methodology &amp; Assumptions'!$B$6*W985), 2)</f>
        <v/>
      </c>
      <c r="Y985" s="28" t="n">
        <v>8.300000000000001</v>
      </c>
      <c r="Z985" s="11" t="inlineStr">
        <is>
          <t>Priority Tier 2 (Balanced Opportunity)</t>
        </is>
      </c>
    </row>
    <row r="986">
      <c r="A986" s="23" t="n">
        <v>2</v>
      </c>
      <c r="B986" s="23" t="n">
        <v>982</v>
      </c>
      <c r="C986" s="23" t="n">
        <v>1982</v>
      </c>
      <c r="D986" s="23" t="inlineStr">
        <is>
          <t>1102505004</t>
        </is>
      </c>
      <c r="E986" s="11" t="inlineStr">
        <is>
          <t>Region XI (Davao Region)</t>
        </is>
      </c>
      <c r="F986" s="11" t="inlineStr">
        <is>
          <t>Davao Oriental</t>
        </is>
      </c>
      <c r="G986" s="11" t="inlineStr">
        <is>
          <t>Cateel</t>
        </is>
      </c>
      <c r="H986" s="11" t="inlineStr">
        <is>
          <t>Aragon</t>
        </is>
      </c>
      <c r="I986" s="24" t="n">
        <v>7.754864</v>
      </c>
      <c r="J986" s="24" t="n">
        <v>126.346633</v>
      </c>
      <c r="K986" s="23" t="inlineStr">
        <is>
          <t>R</t>
        </is>
      </c>
      <c r="L986" s="25" t="n">
        <v>2252</v>
      </c>
      <c r="M986" s="26" t="n">
        <v>3.6</v>
      </c>
      <c r="N986" s="25">
        <f>ROUND(L986/M986, 0)</f>
        <v/>
      </c>
      <c r="O986" s="25">
        <f>ROUND(N986*'Methodology &amp; Assumptions'!$B$7, 0)</f>
        <v/>
      </c>
      <c r="P986" s="23" t="inlineStr">
        <is>
          <t>Single Carrier (Band n50, 100MHz TDD)</t>
        </is>
      </c>
      <c r="Q986" s="27">
        <f>ROUNDUP(O986/'Methodology &amp; Assumptions'!$B$8, 0)</f>
        <v/>
      </c>
      <c r="R986" s="27" t="n">
        <v>1</v>
      </c>
      <c r="S986" s="26" t="n">
        <v>33</v>
      </c>
      <c r="T986" s="26" t="n">
        <v>32.16</v>
      </c>
      <c r="U986" s="11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26" t="n">
        <v>54.81</v>
      </c>
      <c r="W986" s="26" t="n">
        <v>69.94</v>
      </c>
      <c r="X986" s="26">
        <f>ROUND(('Methodology &amp; Assumptions'!$B$5*V986) + ('Methodology &amp; Assumptions'!$B$6*W986), 2)</f>
        <v/>
      </c>
      <c r="Y986" s="28" t="n">
        <v>17.4</v>
      </c>
      <c r="Z986" s="11" t="inlineStr">
        <is>
          <t>Priority Tier 2 (Balanced Opportunity)</t>
        </is>
      </c>
    </row>
    <row r="987">
      <c r="A987" s="23" t="n">
        <v>2</v>
      </c>
      <c r="B987" s="23" t="n">
        <v>983</v>
      </c>
      <c r="C987" s="23" t="n">
        <v>1983</v>
      </c>
      <c r="D987" s="23" t="inlineStr">
        <is>
          <t>1380606214</t>
        </is>
      </c>
      <c r="E987" s="11" t="inlineStr">
        <is>
          <t>National Capital Region (NCR)</t>
        </is>
      </c>
      <c r="F987" s="11" t="inlineStr">
        <is>
          <t>First District (Not a Province)</t>
        </is>
      </c>
      <c r="G987" s="11" t="inlineStr">
        <is>
          <t>City of Manila</t>
        </is>
      </c>
      <c r="H987" s="11" t="inlineStr">
        <is>
          <t>Barangay 607</t>
        </is>
      </c>
      <c r="I987" s="24" t="n">
        <v>14.59354</v>
      </c>
      <c r="J987" s="24" t="n">
        <v>121.024809</v>
      </c>
      <c r="K987" s="23" t="inlineStr">
        <is>
          <t>U</t>
        </is>
      </c>
      <c r="L987" s="25" t="n">
        <v>1443</v>
      </c>
      <c r="M987" s="26" t="n">
        <v>3.17</v>
      </c>
      <c r="N987" s="25">
        <f>ROUND(L987/M987, 0)</f>
        <v/>
      </c>
      <c r="O987" s="25">
        <f>ROUND(N987*'Methodology &amp; Assumptions'!$B$7, 0)</f>
        <v/>
      </c>
      <c r="P987" s="23" t="inlineStr">
        <is>
          <t>Single Carrier (Band n50, 100MHz TDD)</t>
        </is>
      </c>
      <c r="Q987" s="27">
        <f>ROUNDUP(O987/'Methodology &amp; Assumptions'!$B$8, 0)</f>
        <v/>
      </c>
      <c r="R987" s="27" t="n">
        <v>1</v>
      </c>
      <c r="S987" s="26" t="n">
        <v>1.16</v>
      </c>
      <c r="T987" s="26" t="n">
        <v>0.24</v>
      </c>
      <c r="U987" s="11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26" t="n">
        <v>54.45</v>
      </c>
      <c r="W987" s="26" t="n">
        <v>70.3</v>
      </c>
      <c r="X987" s="26">
        <f>ROUND(('Methodology &amp; Assumptions'!$B$5*V987) + ('Methodology &amp; Assumptions'!$B$6*W987), 2)</f>
        <v/>
      </c>
      <c r="Y987" s="28" t="n">
        <v>10.9</v>
      </c>
      <c r="Z987" s="11" t="inlineStr">
        <is>
          <t>Priority Tier 2 (Balanced Opportunity)</t>
        </is>
      </c>
    </row>
    <row r="988">
      <c r="A988" s="23" t="n">
        <v>2</v>
      </c>
      <c r="B988" s="23" t="n">
        <v>984</v>
      </c>
      <c r="C988" s="23" t="n">
        <v>1984</v>
      </c>
      <c r="D988" s="23" t="inlineStr">
        <is>
          <t>0306906036</t>
        </is>
      </c>
      <c r="E988" s="11" t="inlineStr">
        <is>
          <t>Region III (Central Luzon)</t>
        </is>
      </c>
      <c r="F988" s="11" t="inlineStr">
        <is>
          <t>Tarlac</t>
        </is>
      </c>
      <c r="G988" s="11" t="inlineStr">
        <is>
          <t>Gerona</t>
        </is>
      </c>
      <c r="H988" s="11" t="inlineStr">
        <is>
          <t>San Antonio</t>
        </is>
      </c>
      <c r="I988" s="24" t="n">
        <v>15.598056</v>
      </c>
      <c r="J988" s="24" t="n">
        <v>120.604722</v>
      </c>
      <c r="K988" s="23" t="inlineStr">
        <is>
          <t>R</t>
        </is>
      </c>
      <c r="L988" s="25" t="n">
        <v>3323</v>
      </c>
      <c r="M988" s="26" t="n">
        <v>3.9</v>
      </c>
      <c r="N988" s="25">
        <f>ROUND(L988/M988, 0)</f>
        <v/>
      </c>
      <c r="O988" s="25">
        <f>ROUND(N988*'Methodology &amp; Assumptions'!$B$7, 0)</f>
        <v/>
      </c>
      <c r="P988" s="23" t="inlineStr">
        <is>
          <t>Single Carrier (Band n50, 100MHz TDD)</t>
        </is>
      </c>
      <c r="Q988" s="27">
        <f>ROUNDUP(O988/'Methodology &amp; Assumptions'!$B$8, 0)</f>
        <v/>
      </c>
      <c r="R988" s="27" t="n">
        <v>1</v>
      </c>
      <c r="S988" s="26" t="n">
        <v>0.16</v>
      </c>
      <c r="T988" s="26" t="n">
        <v>0.17</v>
      </c>
      <c r="U988" s="11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26" t="n">
        <v>85.63</v>
      </c>
      <c r="W988" s="26" t="n">
        <v>39.09</v>
      </c>
      <c r="X988" s="26">
        <f>ROUND(('Methodology &amp; Assumptions'!$B$5*V988) + ('Methodology &amp; Assumptions'!$B$6*W988), 2)</f>
        <v/>
      </c>
      <c r="Y988" s="28" t="n">
        <v>8.300000000000001</v>
      </c>
      <c r="Z988" s="11" t="inlineStr">
        <is>
          <t>Priority Tier 2 (Balanced Opportunity)</t>
        </is>
      </c>
    </row>
    <row r="989">
      <c r="A989" s="23" t="n">
        <v>2</v>
      </c>
      <c r="B989" s="23" t="n">
        <v>985</v>
      </c>
      <c r="C989" s="23" t="n">
        <v>1985</v>
      </c>
      <c r="D989" s="23" t="inlineStr">
        <is>
          <t>1380612013</t>
        </is>
      </c>
      <c r="E989" s="11" t="inlineStr">
        <is>
          <t>National Capital Region (NCR)</t>
        </is>
      </c>
      <c r="F989" s="11" t="inlineStr">
        <is>
          <t>First District (Not a Province)</t>
        </is>
      </c>
      <c r="G989" s="11" t="inlineStr">
        <is>
          <t>City of Manila</t>
        </is>
      </c>
      <c r="H989" s="11" t="inlineStr">
        <is>
          <t>Barangay 845</t>
        </is>
      </c>
      <c r="I989" s="24" t="n">
        <v>14.588572</v>
      </c>
      <c r="J989" s="24" t="n">
        <v>121.001612</v>
      </c>
      <c r="K989" s="23" t="inlineStr">
        <is>
          <t>U</t>
        </is>
      </c>
      <c r="L989" s="25" t="n">
        <v>1527</v>
      </c>
      <c r="M989" s="26" t="n">
        <v>3.88</v>
      </c>
      <c r="N989" s="25">
        <f>ROUND(L989/M989, 0)</f>
        <v/>
      </c>
      <c r="O989" s="25">
        <f>ROUND(N989*'Methodology &amp; Assumptions'!$B$7, 0)</f>
        <v/>
      </c>
      <c r="P989" s="23" t="inlineStr">
        <is>
          <t>Single Carrier (Band n50, 100MHz TDD)</t>
        </is>
      </c>
      <c r="Q989" s="27">
        <f>ROUNDUP(O989/'Methodology &amp; Assumptions'!$B$8, 0)</f>
        <v/>
      </c>
      <c r="R989" s="27" t="n">
        <v>1</v>
      </c>
      <c r="S989" s="26" t="n">
        <v>0.48</v>
      </c>
      <c r="T989" s="26" t="n">
        <v>0.14</v>
      </c>
      <c r="U989" s="11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26" t="n">
        <v>53.73</v>
      </c>
      <c r="W989" s="26" t="n">
        <v>70.98</v>
      </c>
      <c r="X989" s="26">
        <f>ROUND(('Methodology &amp; Assumptions'!$B$5*V989) + ('Methodology &amp; Assumptions'!$B$6*W989), 2)</f>
        <v/>
      </c>
      <c r="Y989" s="28" t="n">
        <v>10.9</v>
      </c>
      <c r="Z989" s="11" t="inlineStr">
        <is>
          <t>Priority Tier 2 (Balanced Opportunity)</t>
        </is>
      </c>
    </row>
    <row r="990">
      <c r="A990" s="23" t="n">
        <v>2</v>
      </c>
      <c r="B990" s="23" t="n">
        <v>986</v>
      </c>
      <c r="C990" s="23" t="n">
        <v>1986</v>
      </c>
      <c r="D990" s="23" t="inlineStr">
        <is>
          <t>1908822004</t>
        </is>
      </c>
      <c r="E990" s="11" t="inlineStr">
        <is>
          <t>Bangsamoro Autonomous Region In Muslim Mindanao (BARMM)</t>
        </is>
      </c>
      <c r="F990" s="11" t="inlineStr">
        <is>
          <t>Maguindanao del Sur</t>
        </is>
      </c>
      <c r="G990" s="11" t="inlineStr">
        <is>
          <t>South Upi</t>
        </is>
      </c>
      <c r="H990" s="11" t="inlineStr">
        <is>
          <t>Kigan</t>
        </is>
      </c>
      <c r="I990" s="24" t="n">
        <v>6.877472</v>
      </c>
      <c r="J990" s="24" t="n">
        <v>124.208808</v>
      </c>
      <c r="K990" s="23" t="inlineStr">
        <is>
          <t>R</t>
        </is>
      </c>
      <c r="L990" s="25" t="n">
        <v>3234</v>
      </c>
      <c r="M990" s="26" t="n">
        <v>4.7</v>
      </c>
      <c r="N990" s="25">
        <f>ROUND(L990/M990, 0)</f>
        <v/>
      </c>
      <c r="O990" s="25">
        <f>ROUND(N990*'Methodology &amp; Assumptions'!$B$7, 0)</f>
        <v/>
      </c>
      <c r="P990" s="23" t="inlineStr">
        <is>
          <t>Single Carrier (Band n50, 100MHz TDD)</t>
        </is>
      </c>
      <c r="Q990" s="27">
        <f>ROUNDUP(O990/'Methodology &amp; Assumptions'!$B$8, 0)</f>
        <v/>
      </c>
      <c r="R990" s="27" t="n">
        <v>1</v>
      </c>
      <c r="S990" s="26" t="n">
        <v>55.4</v>
      </c>
      <c r="T990" s="26" t="n">
        <v>55.35</v>
      </c>
      <c r="U990" s="11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26" t="n">
        <v>53.11</v>
      </c>
      <c r="W990" s="26" t="n">
        <v>71.59999999999999</v>
      </c>
      <c r="X990" s="26">
        <f>ROUND(('Methodology &amp; Assumptions'!$B$5*V990) + ('Methodology &amp; Assumptions'!$B$6*W990), 2)</f>
        <v/>
      </c>
      <c r="Y990" s="28" t="n">
        <v>11</v>
      </c>
      <c r="Z990" s="11" t="inlineStr">
        <is>
          <t>Priority Tier 2 (Balanced Opportunity)</t>
        </is>
      </c>
    </row>
    <row r="991">
      <c r="A991" s="23" t="n">
        <v>2</v>
      </c>
      <c r="B991" s="23" t="n">
        <v>987</v>
      </c>
      <c r="C991" s="23" t="n">
        <v>1987</v>
      </c>
      <c r="D991" s="23" t="inlineStr">
        <is>
          <t>0603023006</t>
        </is>
      </c>
      <c r="E991" s="11" t="inlineStr">
        <is>
          <t>Region VI (Western Visayas)</t>
        </is>
      </c>
      <c r="F991" s="11" t="inlineStr">
        <is>
          <t>Iloilo</t>
        </is>
      </c>
      <c r="G991" s="11" t="inlineStr">
        <is>
          <t>Janiuay</t>
        </is>
      </c>
      <c r="H991" s="11" t="inlineStr">
        <is>
          <t>Atimonan</t>
        </is>
      </c>
      <c r="I991" s="24" t="n">
        <v>11.0428</v>
      </c>
      <c r="J991" s="24" t="n">
        <v>122.3446</v>
      </c>
      <c r="K991" s="23" t="inlineStr">
        <is>
          <t>R</t>
        </is>
      </c>
      <c r="L991" s="25" t="n">
        <v>1066</v>
      </c>
      <c r="M991" s="26" t="n">
        <v>3.8</v>
      </c>
      <c r="N991" s="25">
        <f>ROUND(L991/M991, 0)</f>
        <v/>
      </c>
      <c r="O991" s="25">
        <f>ROUND(N991*'Methodology &amp; Assumptions'!$B$7, 0)</f>
        <v/>
      </c>
      <c r="P991" s="23" t="inlineStr">
        <is>
          <t>Single Carrier (Band n50, 100MHz TDD)</t>
        </is>
      </c>
      <c r="Q991" s="27">
        <f>ROUNDUP(O991/'Methodology &amp; Assumptions'!$B$8, 0)</f>
        <v/>
      </c>
      <c r="R991" s="27" t="n">
        <v>1</v>
      </c>
      <c r="S991" s="26" t="n">
        <v>21.35</v>
      </c>
      <c r="T991" s="26" t="n">
        <v>19.98</v>
      </c>
      <c r="U991" s="11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26" t="n">
        <v>44.72</v>
      </c>
      <c r="W991" s="26" t="n">
        <v>80</v>
      </c>
      <c r="X991" s="26">
        <f>ROUND(('Methodology &amp; Assumptions'!$B$5*V991) + ('Methodology &amp; Assumptions'!$B$6*W991), 2)</f>
        <v/>
      </c>
      <c r="Y991" s="28" t="n">
        <v>23.7</v>
      </c>
      <c r="Z991" s="11" t="inlineStr">
        <is>
          <t>Priority Tier 2 (Balanced Opportunity)</t>
        </is>
      </c>
    </row>
    <row r="992">
      <c r="A992" s="23" t="n">
        <v>2</v>
      </c>
      <c r="B992" s="23" t="n">
        <v>988</v>
      </c>
      <c r="C992" s="23" t="n">
        <v>1988</v>
      </c>
      <c r="D992" s="23" t="inlineStr">
        <is>
          <t>1381200015</t>
        </is>
      </c>
      <c r="E992" s="11" t="inlineStr">
        <is>
          <t>National Capital Region (NCR)</t>
        </is>
      </c>
      <c r="F992" s="11" t="inlineStr">
        <is>
          <t>Second District (Not a Province)</t>
        </is>
      </c>
      <c r="G992" s="11" t="inlineStr">
        <is>
          <t>City of Pasig</t>
        </is>
      </c>
      <c r="H992" s="11" t="inlineStr">
        <is>
          <t>Pinagbuhatan</t>
        </is>
      </c>
      <c r="I992" s="24" t="n">
        <v>14.557168</v>
      </c>
      <c r="J992" s="24" t="n">
        <v>121.090931</v>
      </c>
      <c r="K992" s="23" t="inlineStr">
        <is>
          <t>U</t>
        </is>
      </c>
      <c r="L992" s="25" t="n">
        <v>173576</v>
      </c>
      <c r="M992" s="26" t="n">
        <v>3.55</v>
      </c>
      <c r="N992" s="25">
        <f>ROUND(L992/M992, 0)</f>
        <v/>
      </c>
      <c r="O992" s="25">
        <f>ROUND(N992*'Methodology &amp; Assumptions'!$B$7, 0)</f>
        <v/>
      </c>
      <c r="P992" s="23" t="inlineStr">
        <is>
          <t>Single Carrier (Band n50, 100MHz TDD)</t>
        </is>
      </c>
      <c r="Q992" s="27">
        <f>ROUNDUP(O992/'Methodology &amp; Assumptions'!$B$8, 0)</f>
        <v/>
      </c>
      <c r="R992" s="27" t="n">
        <v>1</v>
      </c>
      <c r="S992" s="26" t="n">
        <v>0.98</v>
      </c>
      <c r="T992" s="26" t="n">
        <v>0.26</v>
      </c>
      <c r="U992" s="11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26" t="n">
        <v>63.05</v>
      </c>
      <c r="W992" s="26" t="n">
        <v>61.65</v>
      </c>
      <c r="X992" s="26">
        <f>ROUND(('Methodology &amp; Assumptions'!$B$5*V992) + ('Methodology &amp; Assumptions'!$B$6*W992), 2)</f>
        <v/>
      </c>
      <c r="Y992" s="28" t="n">
        <v>10.9</v>
      </c>
      <c r="Z992" s="11" t="inlineStr">
        <is>
          <t>Priority Tier 2 (Balanced Opportunity)</t>
        </is>
      </c>
    </row>
    <row r="993">
      <c r="A993" s="23" t="n">
        <v>2</v>
      </c>
      <c r="B993" s="23" t="n">
        <v>989</v>
      </c>
      <c r="C993" s="23" t="n">
        <v>1989</v>
      </c>
      <c r="D993" s="23" t="inlineStr">
        <is>
          <t>1907004014</t>
        </is>
      </c>
      <c r="E993" s="11" t="inlineStr">
        <is>
          <t>Bangsamoro Autonomous Region In Muslim Mindanao (BARMM)</t>
        </is>
      </c>
      <c r="F993" s="11" t="inlineStr">
        <is>
          <t>Tawi-Tawi</t>
        </is>
      </c>
      <c r="G993" s="11" t="inlineStr">
        <is>
          <t>Simunul</t>
        </is>
      </c>
      <c r="H993" s="11" t="inlineStr">
        <is>
          <t>Timundon</t>
        </is>
      </c>
      <c r="I993" s="24" t="n">
        <v>4.816404</v>
      </c>
      <c r="J993" s="24" t="n">
        <v>119.838914</v>
      </c>
      <c r="K993" s="23" t="inlineStr">
        <is>
          <t>R</t>
        </is>
      </c>
      <c r="L993" s="25" t="n">
        <v>5264</v>
      </c>
      <c r="M993" s="26" t="n">
        <v>5.8</v>
      </c>
      <c r="N993" s="25">
        <f>ROUND(L993/M993, 0)</f>
        <v/>
      </c>
      <c r="O993" s="25">
        <f>ROUND(N993*'Methodology &amp; Assumptions'!$B$7, 0)</f>
        <v/>
      </c>
      <c r="P993" s="23" t="inlineStr">
        <is>
          <t>Single Carrier (Band n50, 100MHz TDD)</t>
        </is>
      </c>
      <c r="Q993" s="27">
        <f>ROUNDUP(O993/'Methodology &amp; Assumptions'!$B$8, 0)</f>
        <v/>
      </c>
      <c r="R993" s="27" t="n">
        <v>1</v>
      </c>
      <c r="S993" s="26" t="n">
        <v>999</v>
      </c>
      <c r="T993" s="26" t="n">
        <v>999</v>
      </c>
      <c r="U993" s="11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26" t="n">
        <v>59.06</v>
      </c>
      <c r="W993" s="26" t="n">
        <v>65.64</v>
      </c>
      <c r="X993" s="26">
        <f>ROUND(('Methodology &amp; Assumptions'!$B$5*V993) + ('Methodology &amp; Assumptions'!$B$6*W993), 2)</f>
        <v/>
      </c>
      <c r="Y993" s="28" t="n">
        <v>11</v>
      </c>
      <c r="Z993" s="11" t="inlineStr">
        <is>
          <t>Priority Tier 2 (Balanced Opportunity)</t>
        </is>
      </c>
    </row>
    <row r="994">
      <c r="A994" s="23" t="n">
        <v>2</v>
      </c>
      <c r="B994" s="23" t="n">
        <v>990</v>
      </c>
      <c r="C994" s="23" t="n">
        <v>1990</v>
      </c>
      <c r="D994" s="23" t="inlineStr">
        <is>
          <t>1908810006</t>
        </is>
      </c>
      <c r="E994" s="11" t="inlineStr">
        <is>
          <t>Bangsamoro Autonomous Region In Muslim Mindanao (BARMM)</t>
        </is>
      </c>
      <c r="F994" s="11" t="inlineStr">
        <is>
          <t>Maguindanao del Sur</t>
        </is>
      </c>
      <c r="G994" s="11" t="inlineStr">
        <is>
          <t>Datu Unsay</t>
        </is>
      </c>
      <c r="H994" s="11" t="inlineStr">
        <is>
          <t>Meta</t>
        </is>
      </c>
      <c r="I994" s="24" t="n">
        <v>6.912223</v>
      </c>
      <c r="J994" s="24" t="n">
        <v>124.453097</v>
      </c>
      <c r="K994" s="23" t="inlineStr">
        <is>
          <t>R</t>
        </is>
      </c>
      <c r="L994" s="25" t="n">
        <v>3810</v>
      </c>
      <c r="M994" s="26" t="n">
        <v>4.7</v>
      </c>
      <c r="N994" s="25">
        <f>ROUND(L994/M994, 0)</f>
        <v/>
      </c>
      <c r="O994" s="25">
        <f>ROUND(N994*'Methodology &amp; Assumptions'!$B$7, 0)</f>
        <v/>
      </c>
      <c r="P994" s="23" t="inlineStr">
        <is>
          <t>Single Carrier (Band n50, 100MHz TDD)</t>
        </is>
      </c>
      <c r="Q994" s="27">
        <f>ROUNDUP(O994/'Methodology &amp; Assumptions'!$B$8, 0)</f>
        <v/>
      </c>
      <c r="R994" s="27" t="n">
        <v>1</v>
      </c>
      <c r="S994" s="26" t="n">
        <v>34.71</v>
      </c>
      <c r="T994" s="26" t="n">
        <v>34.64</v>
      </c>
      <c r="U994" s="11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26" t="n">
        <v>57.08</v>
      </c>
      <c r="W994" s="26" t="n">
        <v>67.62</v>
      </c>
      <c r="X994" s="26">
        <f>ROUND(('Methodology &amp; Assumptions'!$B$5*V994) + ('Methodology &amp; Assumptions'!$B$6*W994), 2)</f>
        <v/>
      </c>
      <c r="Y994" s="28" t="n">
        <v>11</v>
      </c>
      <c r="Z994" s="11" t="inlineStr">
        <is>
          <t>Priority Tier 2 (Balanced Opportunity)</t>
        </is>
      </c>
    </row>
    <row r="995">
      <c r="A995" s="23" t="n">
        <v>2</v>
      </c>
      <c r="B995" s="23" t="n">
        <v>991</v>
      </c>
      <c r="C995" s="23" t="n">
        <v>1991</v>
      </c>
      <c r="D995" s="23" t="inlineStr">
        <is>
          <t>1380614054</t>
        </is>
      </c>
      <c r="E995" s="11" t="inlineStr">
        <is>
          <t>National Capital Region (NCR)</t>
        </is>
      </c>
      <c r="F995" s="11" t="inlineStr">
        <is>
          <t>First District (Not a Province)</t>
        </is>
      </c>
      <c r="G995" s="11" t="inlineStr">
        <is>
          <t>City of Manila</t>
        </is>
      </c>
      <c r="H995" s="11" t="inlineStr">
        <is>
          <t>Barangay 798</t>
        </is>
      </c>
      <c r="I995" s="24" t="n">
        <v>14.574212</v>
      </c>
      <c r="J995" s="24" t="n">
        <v>121.000486</v>
      </c>
      <c r="K995" s="23" t="inlineStr">
        <is>
          <t>U</t>
        </is>
      </c>
      <c r="L995" s="25" t="n">
        <v>1586</v>
      </c>
      <c r="M995" s="26" t="n">
        <v>3.8</v>
      </c>
      <c r="N995" s="25">
        <f>ROUND(L995/M995, 0)</f>
        <v/>
      </c>
      <c r="O995" s="25">
        <f>ROUND(N995*'Methodology &amp; Assumptions'!$B$7, 0)</f>
        <v/>
      </c>
      <c r="P995" s="23" t="inlineStr">
        <is>
          <t>Single Carrier (Band n50, 100MHz TDD)</t>
        </is>
      </c>
      <c r="Q995" s="27">
        <f>ROUNDUP(O995/'Methodology &amp; Assumptions'!$B$8, 0)</f>
        <v/>
      </c>
      <c r="R995" s="27" t="n">
        <v>1</v>
      </c>
      <c r="S995" s="26" t="n">
        <v>0.72</v>
      </c>
      <c r="T995" s="26" t="n">
        <v>0.49</v>
      </c>
      <c r="U995" s="11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26" t="n">
        <v>54.48</v>
      </c>
      <c r="W995" s="26" t="n">
        <v>70.22</v>
      </c>
      <c r="X995" s="26">
        <f>ROUND(('Methodology &amp; Assumptions'!$B$5*V995) + ('Methodology &amp; Assumptions'!$B$6*W995), 2)</f>
        <v/>
      </c>
      <c r="Y995" s="28" t="n">
        <v>10.9</v>
      </c>
      <c r="Z995" s="11" t="inlineStr">
        <is>
          <t>Priority Tier 2 (Balanced Opportunity)</t>
        </is>
      </c>
    </row>
    <row r="996">
      <c r="A996" s="23" t="n">
        <v>2</v>
      </c>
      <c r="B996" s="23" t="n">
        <v>992</v>
      </c>
      <c r="C996" s="23" t="n">
        <v>1992</v>
      </c>
      <c r="D996" s="23" t="inlineStr">
        <is>
          <t>1381100080</t>
        </is>
      </c>
      <c r="E996" s="11" t="inlineStr">
        <is>
          <t>National Capital Region (NCR)</t>
        </is>
      </c>
      <c r="F996" s="11" t="inlineStr">
        <is>
          <t>Fourth District (Not a Province)</t>
        </is>
      </c>
      <c r="G996" s="11" t="inlineStr">
        <is>
          <t>Pasay City</t>
        </is>
      </c>
      <c r="H996" s="11" t="inlineStr">
        <is>
          <t>Barangay 80</t>
        </is>
      </c>
      <c r="I996" s="24" t="n">
        <v>14.538333</v>
      </c>
      <c r="J996" s="24" t="n">
        <v>120.999653</v>
      </c>
      <c r="K996" s="23" t="inlineStr">
        <is>
          <t>U</t>
        </is>
      </c>
      <c r="L996" s="25" t="n">
        <v>1261</v>
      </c>
      <c r="M996" s="26" t="n">
        <v>3.17</v>
      </c>
      <c r="N996" s="25">
        <f>ROUND(L996/M996, 0)</f>
        <v/>
      </c>
      <c r="O996" s="25">
        <f>ROUND(N996*'Methodology &amp; Assumptions'!$B$7, 0)</f>
        <v/>
      </c>
      <c r="P996" s="23" t="inlineStr">
        <is>
          <t>Single Carrier (Band n50, 100MHz TDD)</t>
        </is>
      </c>
      <c r="Q996" s="27">
        <f>ROUNDUP(O996/'Methodology &amp; Assumptions'!$B$8, 0)</f>
        <v/>
      </c>
      <c r="R996" s="27" t="n">
        <v>1</v>
      </c>
      <c r="S996" s="26" t="n">
        <v>0.89</v>
      </c>
      <c r="T996" s="26" t="n">
        <v>0.13</v>
      </c>
      <c r="U996" s="11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26" t="n">
        <v>53.66</v>
      </c>
      <c r="W996" s="26" t="n">
        <v>71.04000000000001</v>
      </c>
      <c r="X996" s="26">
        <f>ROUND(('Methodology &amp; Assumptions'!$B$5*V996) + ('Methodology &amp; Assumptions'!$B$6*W996), 2)</f>
        <v/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2</v>
      </c>
      <c r="B997" s="23" t="n">
        <v>993</v>
      </c>
      <c r="C997" s="23" t="n">
        <v>1993</v>
      </c>
      <c r="D997" s="23" t="inlineStr">
        <is>
          <t>0403414005</t>
        </is>
      </c>
      <c r="E997" s="11" t="inlineStr">
        <is>
          <t>Region IV-A (CALABARZON)</t>
        </is>
      </c>
      <c r="F997" s="11" t="inlineStr">
        <is>
          <t>Laguna</t>
        </is>
      </c>
      <c r="G997" s="11" t="inlineStr">
        <is>
          <t>Mabitac</t>
        </is>
      </c>
      <c r="H997" s="11" t="inlineStr">
        <is>
          <t>Nanguma</t>
        </is>
      </c>
      <c r="I997" s="24" t="n">
        <v>14.444614</v>
      </c>
      <c r="J997" s="24" t="n">
        <v>121.422578</v>
      </c>
      <c r="K997" s="23" t="inlineStr">
        <is>
          <t>R</t>
        </is>
      </c>
      <c r="L997" s="25" t="n">
        <v>2749</v>
      </c>
      <c r="M997" s="26" t="n">
        <v>3.3</v>
      </c>
      <c r="N997" s="25">
        <f>ROUND(L997/M997, 0)</f>
        <v/>
      </c>
      <c r="O997" s="25">
        <f>ROUND(N997*'Methodology &amp; Assumptions'!$B$7, 0)</f>
        <v/>
      </c>
      <c r="P997" s="23" t="inlineStr">
        <is>
          <t>Single Carrier (Band n50, 100MHz TDD)</t>
        </is>
      </c>
      <c r="Q997" s="27">
        <f>ROUNDUP(O997/'Methodology &amp; Assumptions'!$B$8, 0)</f>
        <v/>
      </c>
      <c r="R997" s="27" t="n">
        <v>1</v>
      </c>
      <c r="S997" s="26" t="n">
        <v>1.72</v>
      </c>
      <c r="T997" s="26" t="n">
        <v>0.09</v>
      </c>
      <c r="U997" s="11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26" t="n">
        <v>84.8</v>
      </c>
      <c r="W997" s="26" t="n">
        <v>39.89</v>
      </c>
      <c r="X997" s="26">
        <f>ROUND(('Methodology &amp; Assumptions'!$B$5*V997) + ('Methodology &amp; Assumptions'!$B$6*W997), 2)</f>
        <v/>
      </c>
      <c r="Y997" s="28" t="n">
        <v>7.2</v>
      </c>
      <c r="Z997" s="11" t="inlineStr">
        <is>
          <t>Priority Tier 2 (Balanced Opportunity)</t>
        </is>
      </c>
    </row>
    <row r="998">
      <c r="A998" s="23" t="n">
        <v>2</v>
      </c>
      <c r="B998" s="23" t="n">
        <v>994</v>
      </c>
      <c r="C998" s="23" t="n">
        <v>1994</v>
      </c>
      <c r="D998" s="23" t="inlineStr">
        <is>
          <t>0803738016</t>
        </is>
      </c>
      <c r="E998" s="11" t="inlineStr">
        <is>
          <t>Region VIII (Eastern Visayas)</t>
        </is>
      </c>
      <c r="F998" s="11" t="inlineStr">
        <is>
          <t>Leyte</t>
        </is>
      </c>
      <c r="G998" s="11" t="inlineStr">
        <is>
          <t>Ormoc City</t>
        </is>
      </c>
      <c r="H998" s="11" t="inlineStr">
        <is>
          <t>Cogon Combado</t>
        </is>
      </c>
      <c r="I998" s="24" t="n">
        <v>11.017184</v>
      </c>
      <c r="J998" s="24" t="n">
        <v>124.603604</v>
      </c>
      <c r="K998" s="23" t="inlineStr">
        <is>
          <t>U</t>
        </is>
      </c>
      <c r="L998" s="25" t="n">
        <v>6006</v>
      </c>
      <c r="M998" s="26" t="n">
        <v>3.8</v>
      </c>
      <c r="N998" s="25">
        <f>ROUND(L998/M998, 0)</f>
        <v/>
      </c>
      <c r="O998" s="25">
        <f>ROUND(N998*'Methodology &amp; Assumptions'!$B$7, 0)</f>
        <v/>
      </c>
      <c r="P998" s="23" t="inlineStr">
        <is>
          <t>Single Carrier (Band n50, 100MHz TDD)</t>
        </is>
      </c>
      <c r="Q998" s="27">
        <f>ROUNDUP(O998/'Methodology &amp; Assumptions'!$B$8, 0)</f>
        <v/>
      </c>
      <c r="R998" s="27" t="n">
        <v>1</v>
      </c>
      <c r="S998" s="26" t="n">
        <v>0.64</v>
      </c>
      <c r="T998" s="26" t="n">
        <v>0.22</v>
      </c>
      <c r="U998" s="11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26" t="n">
        <v>80.86</v>
      </c>
      <c r="W998" s="26" t="n">
        <v>43.82</v>
      </c>
      <c r="X998" s="26">
        <f>ROUND(('Methodology &amp; Assumptions'!$B$5*V998) + ('Methodology &amp; Assumptions'!$B$6*W998), 2)</f>
        <v/>
      </c>
      <c r="Y998" s="28" t="n">
        <v>23.7</v>
      </c>
      <c r="Z998" s="11" t="inlineStr">
        <is>
          <t>Priority Tier 2 (Balanced Opportunity)</t>
        </is>
      </c>
    </row>
    <row r="999">
      <c r="A999" s="23" t="n">
        <v>2</v>
      </c>
      <c r="B999" s="23" t="n">
        <v>995</v>
      </c>
      <c r="C999" s="23" t="n">
        <v>1995</v>
      </c>
      <c r="D999" s="23" t="inlineStr">
        <is>
          <t>0702219016</t>
        </is>
      </c>
      <c r="E999" s="11" t="inlineStr">
        <is>
          <t>Region VII (Central Visayas)</t>
        </is>
      </c>
      <c r="F999" s="11" t="inlineStr">
        <is>
          <t>Cebu</t>
        </is>
      </c>
      <c r="G999" s="11" t="inlineStr">
        <is>
          <t>Consolacion</t>
        </is>
      </c>
      <c r="H999" s="11" t="inlineStr">
        <is>
          <t>Pulpogan</t>
        </is>
      </c>
      <c r="I999" s="24" t="n">
        <v>10.38563</v>
      </c>
      <c r="J999" s="24" t="n">
        <v>123.956753</v>
      </c>
      <c r="K999" s="23" t="inlineStr">
        <is>
          <t>U</t>
        </is>
      </c>
      <c r="L999" s="25" t="n">
        <v>15032</v>
      </c>
      <c r="M999" s="26" t="n">
        <v>3.8</v>
      </c>
      <c r="N999" s="25">
        <f>ROUND(L999/M999, 0)</f>
        <v/>
      </c>
      <c r="O999" s="25">
        <f>ROUND(N999*'Methodology &amp; Assumptions'!$B$7, 0)</f>
        <v/>
      </c>
      <c r="P999" s="23" t="inlineStr">
        <is>
          <t>Single Carrier (Band n50, 100MHz TDD)</t>
        </is>
      </c>
      <c r="Q999" s="27">
        <f>ROUNDUP(O999/'Methodology &amp; Assumptions'!$B$8, 0)</f>
        <v/>
      </c>
      <c r="R999" s="27" t="n">
        <v>1</v>
      </c>
      <c r="S999" s="26" t="n">
        <v>1.04</v>
      </c>
      <c r="T999" s="26" t="n">
        <v>1.06</v>
      </c>
      <c r="U999" s="11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26" t="n">
        <v>80.09999999999999</v>
      </c>
      <c r="W999" s="26" t="n">
        <v>44.58</v>
      </c>
      <c r="X999" s="26">
        <f>ROUND(('Methodology &amp; Assumptions'!$B$5*V999) + ('Methodology &amp; Assumptions'!$B$6*W999), 2)</f>
        <v/>
      </c>
      <c r="Y999" s="28" t="n">
        <v>23.7</v>
      </c>
      <c r="Z999" s="11" t="inlineStr">
        <is>
          <t>Priority Tier 2 (Balanced Opportunity)</t>
        </is>
      </c>
    </row>
    <row r="1000">
      <c r="A1000" s="23" t="n">
        <v>2</v>
      </c>
      <c r="B1000" s="23" t="n">
        <v>996</v>
      </c>
      <c r="C1000" s="23" t="n">
        <v>1996</v>
      </c>
      <c r="D1000" s="23" t="inlineStr">
        <is>
          <t>0201529019</t>
        </is>
      </c>
      <c r="E1000" s="11" t="inlineStr">
        <is>
          <t>Region II (Cagayan Valley)</t>
        </is>
      </c>
      <c r="F1000" s="11" t="inlineStr">
        <is>
          <t>Cagayan</t>
        </is>
      </c>
      <c r="G1000" s="11" t="inlineStr">
        <is>
          <t>Tuguegarao City</t>
        </is>
      </c>
      <c r="H1000" s="11" t="inlineStr">
        <is>
          <t>Caritan Norte</t>
        </is>
      </c>
      <c r="I1000" s="24" t="n">
        <v>17.628577</v>
      </c>
      <c r="J1000" s="24" t="n">
        <v>121.720971</v>
      </c>
      <c r="K1000" s="23" t="inlineStr">
        <is>
          <t>R</t>
        </is>
      </c>
      <c r="L1000" s="25" t="n">
        <v>3683</v>
      </c>
      <c r="M1000" s="26" t="n">
        <v>3.9</v>
      </c>
      <c r="N1000" s="25">
        <f>ROUND(L1000/M1000, 0)</f>
        <v/>
      </c>
      <c r="O1000" s="25">
        <f>ROUND(N1000*'Methodology &amp; Assumptions'!$B$7, 0)</f>
        <v/>
      </c>
      <c r="P1000" s="23" t="inlineStr">
        <is>
          <t>Single Carrier (Band n50, 100MHz TDD)</t>
        </is>
      </c>
      <c r="Q1000" s="27">
        <f>ROUNDUP(O1000/'Methodology &amp; Assumptions'!$B$8, 0)</f>
        <v/>
      </c>
      <c r="R1000" s="27" t="n">
        <v>1</v>
      </c>
      <c r="S1000" s="26" t="n">
        <v>3.76</v>
      </c>
      <c r="T1000" s="26" t="n">
        <v>0.24</v>
      </c>
      <c r="U1000" s="11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26" t="n">
        <v>76.5</v>
      </c>
      <c r="W1000" s="26" t="n">
        <v>48.19</v>
      </c>
      <c r="X1000" s="26">
        <f>ROUND(('Methodology &amp; Assumptions'!$B$5*V1000) + ('Methodology &amp; Assumptions'!$B$6*W1000), 2)</f>
        <v/>
      </c>
      <c r="Y1000" s="28" t="n">
        <v>8.300000000000001</v>
      </c>
      <c r="Z1000" s="11" t="inlineStr">
        <is>
          <t>Priority Tier 2 (Balanced Opportunity)</t>
        </is>
      </c>
    </row>
    <row r="1001">
      <c r="A1001" s="23" t="n">
        <v>2</v>
      </c>
      <c r="B1001" s="23" t="n">
        <v>997</v>
      </c>
      <c r="C1001" s="23" t="n">
        <v>1997</v>
      </c>
      <c r="D1001" s="23" t="inlineStr">
        <is>
          <t>1381300111</t>
        </is>
      </c>
      <c r="E1001" s="11" t="inlineStr">
        <is>
          <t>National Capital Region (NCR)</t>
        </is>
      </c>
      <c r="F1001" s="11" t="inlineStr">
        <is>
          <t>Second District (Not a Province)</t>
        </is>
      </c>
      <c r="G1001" s="11" t="inlineStr">
        <is>
          <t>Quezon City</t>
        </is>
      </c>
      <c r="H1001" s="11" t="inlineStr">
        <is>
          <t>Sauyo</t>
        </is>
      </c>
      <c r="I1001" s="24" t="n">
        <v>14.68957</v>
      </c>
      <c r="J1001" s="24" t="n">
        <v>121.0336</v>
      </c>
      <c r="K1001" s="23" t="inlineStr">
        <is>
          <t>U</t>
        </is>
      </c>
      <c r="L1001" s="25" t="n">
        <v>77274</v>
      </c>
      <c r="M1001" s="26" t="n">
        <v>3.76</v>
      </c>
      <c r="N1001" s="25">
        <f>ROUND(L1001/M1001, 0)</f>
        <v/>
      </c>
      <c r="O1001" s="25">
        <f>ROUND(N1001*'Methodology &amp; Assumptions'!$B$7, 0)</f>
        <v/>
      </c>
      <c r="P1001" s="23" t="inlineStr">
        <is>
          <t>Single Carrier (Band n50, 100MHz TDD)</t>
        </is>
      </c>
      <c r="Q1001" s="27">
        <f>ROUNDUP(O1001/'Methodology &amp; Assumptions'!$B$8, 0)</f>
        <v/>
      </c>
      <c r="R1001" s="27" t="n">
        <v>1</v>
      </c>
      <c r="S1001" s="26" t="n">
        <v>0.62</v>
      </c>
      <c r="T1001" s="26" t="n">
        <v>0.49</v>
      </c>
      <c r="U1001" s="11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26" t="n">
        <v>65.44</v>
      </c>
      <c r="W1001" s="26" t="n">
        <v>59.24</v>
      </c>
      <c r="X1001" s="26">
        <f>ROUND(('Methodology &amp; Assumptions'!$B$5*V1001) + ('Methodology &amp; Assumptions'!$B$6*W1001), 2)</f>
        <v/>
      </c>
      <c r="Y1001" s="28" t="n">
        <v>10.9</v>
      </c>
      <c r="Z1001" s="11" t="inlineStr">
        <is>
          <t>Priority Tier 2 (Balanced Opportunity)</t>
        </is>
      </c>
    </row>
    <row r="1002">
      <c r="A1002" s="23" t="n">
        <v>2</v>
      </c>
      <c r="B1002" s="23" t="n">
        <v>998</v>
      </c>
      <c r="C1002" s="23" t="n">
        <v>1998</v>
      </c>
      <c r="D1002" s="23" t="inlineStr">
        <is>
          <t>1108604014</t>
        </is>
      </c>
      <c r="E1002" s="11" t="inlineStr">
        <is>
          <t>Region XI (Davao Region)</t>
        </is>
      </c>
      <c r="F1002" s="11" t="inlineStr">
        <is>
          <t>Davao Occidental</t>
        </is>
      </c>
      <c r="G1002" s="11" t="inlineStr">
        <is>
          <t>Santa Maria</t>
        </is>
      </c>
      <c r="H1002" s="11" t="inlineStr">
        <is>
          <t>San Juan</t>
        </is>
      </c>
      <c r="I1002" s="24" t="n">
        <v>6.466899</v>
      </c>
      <c r="J1002" s="24" t="n">
        <v>125.41861</v>
      </c>
      <c r="K1002" s="23" t="inlineStr">
        <is>
          <t>R</t>
        </is>
      </c>
      <c r="L1002" s="25" t="n">
        <v>1641</v>
      </c>
      <c r="M1002" s="26" t="n">
        <v>3.6</v>
      </c>
      <c r="N1002" s="25">
        <f>ROUND(L1002/M1002, 0)</f>
        <v/>
      </c>
      <c r="O1002" s="25">
        <f>ROUND(N1002*'Methodology &amp; Assumptions'!$B$7, 0)</f>
        <v/>
      </c>
      <c r="P1002" s="23" t="inlineStr">
        <is>
          <t>Single Carrier (Band n50, 100MHz TDD)</t>
        </is>
      </c>
      <c r="Q1002" s="27">
        <f>ROUNDUP(O1002/'Methodology &amp; Assumptions'!$B$8, 0)</f>
        <v/>
      </c>
      <c r="R1002" s="27" t="n">
        <v>1</v>
      </c>
      <c r="S1002" s="26" t="n">
        <v>11.04</v>
      </c>
      <c r="T1002" s="26" t="n">
        <v>8.06</v>
      </c>
      <c r="U1002" s="11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26" t="n">
        <v>53.05</v>
      </c>
      <c r="W1002" s="26" t="n">
        <v>71.63</v>
      </c>
      <c r="X1002" s="26">
        <f>ROUND(('Methodology &amp; Assumptions'!$B$5*V1002) + ('Methodology &amp; Assumptions'!$B$6*W1002), 2)</f>
        <v/>
      </c>
      <c r="Y1002" s="28" t="n">
        <v>17.4</v>
      </c>
      <c r="Z1002" s="11" t="inlineStr">
        <is>
          <t>Priority Tier 2 (Balanced Opportunity)</t>
        </is>
      </c>
    </row>
    <row r="1003">
      <c r="A1003" s="23" t="n">
        <v>2</v>
      </c>
      <c r="B1003" s="23" t="n">
        <v>999</v>
      </c>
      <c r="C1003" s="23" t="n">
        <v>1999</v>
      </c>
      <c r="D1003" s="23" t="inlineStr">
        <is>
          <t>1400112006</t>
        </is>
      </c>
      <c r="E1003" s="11" t="inlineStr">
        <is>
          <t>Cordillera Administrative Region (CAR)</t>
        </is>
      </c>
      <c r="F1003" s="11" t="inlineStr">
        <is>
          <t>Abra</t>
        </is>
      </c>
      <c r="G1003" s="11" t="inlineStr">
        <is>
          <t>Langiden</t>
        </is>
      </c>
      <c r="H1003" s="11" t="inlineStr">
        <is>
          <t>Malapaao</t>
        </is>
      </c>
      <c r="I1003" s="24" t="n">
        <v>17.62642</v>
      </c>
      <c r="J1003" s="24" t="n">
        <v>120.5523</v>
      </c>
      <c r="K1003" s="23" t="inlineStr">
        <is>
          <t>R</t>
        </is>
      </c>
      <c r="L1003" s="25" t="n">
        <v>821</v>
      </c>
      <c r="M1003" s="26" t="n">
        <v>3.8</v>
      </c>
      <c r="N1003" s="25">
        <f>ROUND(L1003/M1003, 0)</f>
        <v/>
      </c>
      <c r="O1003" s="25">
        <f>ROUND(N1003*'Methodology &amp; Assumptions'!$B$7, 0)</f>
        <v/>
      </c>
      <c r="P1003" s="23" t="inlineStr">
        <is>
          <t>Single Carrier (Band n50, 100MHz TDD)</t>
        </is>
      </c>
      <c r="Q1003" s="27">
        <f>ROUNDUP(O1003/'Methodology &amp; Assumptions'!$B$8, 0)</f>
        <v/>
      </c>
      <c r="R1003" s="27" t="n">
        <v>1</v>
      </c>
      <c r="S1003" s="26" t="n">
        <v>7.86</v>
      </c>
      <c r="T1003" s="26" t="n">
        <v>7</v>
      </c>
      <c r="U1003" s="11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26" t="n">
        <v>48.85</v>
      </c>
      <c r="W1003" s="26" t="n">
        <v>75.81999999999999</v>
      </c>
      <c r="X1003" s="26">
        <f>ROUND(('Methodology &amp; Assumptions'!$B$5*V1003) + ('Methodology &amp; Assumptions'!$B$6*W1003), 2)</f>
        <v/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2</v>
      </c>
      <c r="B1004" s="23" t="n">
        <v>1000</v>
      </c>
      <c r="C1004" s="23" t="n">
        <v>2000</v>
      </c>
      <c r="D1004" s="23" t="inlineStr">
        <is>
          <t>1380614076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883</t>
        </is>
      </c>
      <c r="I1004" s="24" t="n">
        <v>14.579492</v>
      </c>
      <c r="J1004" s="24" t="n">
        <v>121.014289</v>
      </c>
      <c r="K1004" s="23" t="inlineStr">
        <is>
          <t>U</t>
        </is>
      </c>
      <c r="L1004" s="25" t="n">
        <v>2239</v>
      </c>
      <c r="M1004" s="26" t="n">
        <v>4.32</v>
      </c>
      <c r="N1004" s="25">
        <f>ROUND(L1004/M1004, 0)</f>
        <v/>
      </c>
      <c r="O1004" s="25">
        <f>ROUND(N1004*'Methodology &amp; Assumptions'!$B$7, 0)</f>
        <v/>
      </c>
      <c r="P1004" s="23" t="inlineStr">
        <is>
          <t>Single Carrier (Band n50, 100MHz TDD)</t>
        </is>
      </c>
      <c r="Q1004" s="27">
        <f>ROUNDUP(O1004/'Methodology &amp; Assumptions'!$B$8, 0)</f>
        <v/>
      </c>
      <c r="R1004" s="27" t="n">
        <v>1</v>
      </c>
      <c r="S1004" s="26" t="n">
        <v>1.35</v>
      </c>
      <c r="T1004" s="26" t="n">
        <v>0.27</v>
      </c>
      <c r="U1004" s="11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26" t="n">
        <v>55.74</v>
      </c>
      <c r="W1004" s="26" t="n">
        <v>68.92</v>
      </c>
      <c r="X1004" s="26">
        <f>ROUND(('Methodology &amp; Assumptions'!$B$5*V1004) + ('Methodology &amp; Assumptions'!$B$6*W1004), 2)</f>
        <v/>
      </c>
      <c r="Y1004" s="28" t="n">
        <v>10.9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3 (2,001 - 3,000)</t>
        </is>
      </c>
    </row>
    <row r="2">
      <c r="A2" s="2" t="inlineStr">
        <is>
          <t>Dynamic Hybrid deployment rollout schedule (1,000 sites), linked to live parameters in 'Methodology &amp; Assumptions'.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3</v>
      </c>
      <c r="B5" s="23" t="n">
        <v>1</v>
      </c>
      <c r="C5" s="23" t="n">
        <v>2001</v>
      </c>
      <c r="D5" s="23" t="inlineStr">
        <is>
          <t>1380606134</t>
        </is>
      </c>
      <c r="E5" s="11" t="inlineStr">
        <is>
          <t>National Capital Region (NCR)</t>
        </is>
      </c>
      <c r="F5" s="11" t="inlineStr">
        <is>
          <t>First District (Not a Province)</t>
        </is>
      </c>
      <c r="G5" s="11" t="inlineStr">
        <is>
          <t>City of Manila</t>
        </is>
      </c>
      <c r="H5" s="11" t="inlineStr">
        <is>
          <t>Barangay 528</t>
        </is>
      </c>
      <c r="I5" s="24" t="n">
        <v>14.615369</v>
      </c>
      <c r="J5" s="24" t="n">
        <v>121.000414</v>
      </c>
      <c r="K5" s="23" t="inlineStr">
        <is>
          <t>U</t>
        </is>
      </c>
      <c r="L5" s="25" t="n">
        <v>1510</v>
      </c>
      <c r="M5" s="26" t="n">
        <v>3.91</v>
      </c>
      <c r="N5" s="25">
        <f>ROUND(L5/M5, 0)</f>
        <v/>
      </c>
      <c r="O5" s="25">
        <f>ROUND(N5*'Methodology &amp; Assumptions'!$B$7, 0)</f>
        <v/>
      </c>
      <c r="P5" s="23" t="inlineStr">
        <is>
          <t>Single Carrier (Band n50, 100MHz TDD)</t>
        </is>
      </c>
      <c r="Q5" s="27">
        <f>ROUNDUP(O5/'Methodology &amp; Assumptions'!$B$8, 0)</f>
        <v/>
      </c>
      <c r="R5" s="27" t="n">
        <v>1</v>
      </c>
      <c r="S5" s="26" t="n">
        <v>0.61</v>
      </c>
      <c r="T5" s="26" t="n">
        <v>0.27</v>
      </c>
      <c r="U5" s="11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26" t="n">
        <v>53.52</v>
      </c>
      <c r="W5" s="26" t="n">
        <v>71.15000000000001</v>
      </c>
      <c r="X5" s="26">
        <f>ROUND(('Methodology &amp; Assumptions'!$B$5*V5) + ('Methodology &amp; Assumptions'!$B$6*W5), 2)</f>
        <v/>
      </c>
      <c r="Y5" s="28" t="n">
        <v>10.9</v>
      </c>
      <c r="Z5" s="11" t="inlineStr">
        <is>
          <t>Priority Tier 2 (Balanced Opportunity)</t>
        </is>
      </c>
    </row>
    <row r="6">
      <c r="A6" s="23" t="n">
        <v>3</v>
      </c>
      <c r="B6" s="23" t="n">
        <v>2</v>
      </c>
      <c r="C6" s="23" t="n">
        <v>2002</v>
      </c>
      <c r="D6" s="23" t="inlineStr">
        <is>
          <t>0403410018</t>
        </is>
      </c>
      <c r="E6" s="11" t="inlineStr">
        <is>
          <t>Region IV-A (CALABARZON)</t>
        </is>
      </c>
      <c r="F6" s="11" t="inlineStr">
        <is>
          <t>Laguna</t>
        </is>
      </c>
      <c r="G6" s="11" t="inlineStr">
        <is>
          <t>Liliw</t>
        </is>
      </c>
      <c r="H6" s="11" t="inlineStr">
        <is>
          <t>Ilayang Palina</t>
        </is>
      </c>
      <c r="I6" s="24" t="n">
        <v>14.137028</v>
      </c>
      <c r="J6" s="24" t="n">
        <v>121.430394</v>
      </c>
      <c r="K6" s="23" t="inlineStr">
        <is>
          <t>R</t>
        </is>
      </c>
      <c r="L6" s="25" t="n">
        <v>2517</v>
      </c>
      <c r="M6" s="26" t="n">
        <v>3.3</v>
      </c>
      <c r="N6" s="25">
        <f>ROUND(L6/M6, 0)</f>
        <v/>
      </c>
      <c r="O6" s="25">
        <f>ROUND(N6*'Methodology &amp; Assumptions'!$B$7, 0)</f>
        <v/>
      </c>
      <c r="P6" s="23" t="inlineStr">
        <is>
          <t>Single Carrier (Band n50, 100MHz TDD)</t>
        </is>
      </c>
      <c r="Q6" s="27">
        <f>ROUNDUP(O6/'Methodology &amp; Assumptions'!$B$8, 0)</f>
        <v/>
      </c>
      <c r="R6" s="27" t="n">
        <v>1</v>
      </c>
      <c r="S6" s="26" t="n">
        <v>0.64</v>
      </c>
      <c r="T6" s="26" t="n">
        <v>0.39</v>
      </c>
      <c r="U6" s="11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26" t="n">
        <v>83.77</v>
      </c>
      <c r="W6" s="26" t="n">
        <v>40.87</v>
      </c>
      <c r="X6" s="26">
        <f>ROUND(('Methodology &amp; Assumptions'!$B$5*V6) + ('Methodology &amp; Assumptions'!$B$6*W6), 2)</f>
        <v/>
      </c>
      <c r="Y6" s="28" t="n">
        <v>7.2</v>
      </c>
      <c r="Z6" s="11" t="inlineStr">
        <is>
          <t>Priority Tier 2 (Balanced Opportunity)</t>
        </is>
      </c>
    </row>
    <row r="7">
      <c r="A7" s="23" t="n">
        <v>3</v>
      </c>
      <c r="B7" s="23" t="n">
        <v>3</v>
      </c>
      <c r="C7" s="23" t="n">
        <v>2003</v>
      </c>
      <c r="D7" s="23" t="inlineStr">
        <is>
          <t>1908824007</t>
        </is>
      </c>
      <c r="E7" s="11" t="inlineStr">
        <is>
          <t>Bangsamoro Autonomous Region In Muslim Mindanao (BARMM)</t>
        </is>
      </c>
      <c r="F7" s="11" t="inlineStr">
        <is>
          <t>Maguindanao del Sur</t>
        </is>
      </c>
      <c r="G7" s="11" t="inlineStr">
        <is>
          <t>Talayan</t>
        </is>
      </c>
      <c r="H7" s="11" t="inlineStr">
        <is>
          <t>Katibpuan</t>
        </is>
      </c>
      <c r="I7" s="24" t="n">
        <v>6.888491</v>
      </c>
      <c r="J7" s="24" t="n">
        <v>124.297718</v>
      </c>
      <c r="K7" s="23" t="inlineStr">
        <is>
          <t>R</t>
        </is>
      </c>
      <c r="L7" s="25" t="n">
        <v>3559</v>
      </c>
      <c r="M7" s="26" t="n">
        <v>4.7</v>
      </c>
      <c r="N7" s="25">
        <f>ROUND(L7/M7, 0)</f>
        <v/>
      </c>
      <c r="O7" s="25">
        <f>ROUND(N7*'Methodology &amp; Assumptions'!$B$7, 0)</f>
        <v/>
      </c>
      <c r="P7" s="23" t="inlineStr">
        <is>
          <t>Single Carrier (Band n50, 100MHz TDD)</t>
        </is>
      </c>
      <c r="Q7" s="27">
        <f>ROUNDUP(O7/'Methodology &amp; Assumptions'!$B$8, 0)</f>
        <v/>
      </c>
      <c r="R7" s="27" t="n">
        <v>1</v>
      </c>
      <c r="S7" s="26" t="n">
        <v>47.02</v>
      </c>
      <c r="T7" s="26" t="n">
        <v>46.96</v>
      </c>
      <c r="U7" s="11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26" t="n">
        <v>55.36</v>
      </c>
      <c r="W7" s="26" t="n">
        <v>69.27</v>
      </c>
      <c r="X7" s="26">
        <f>ROUND(('Methodology &amp; Assumptions'!$B$5*V7) + ('Methodology &amp; Assumptions'!$B$6*W7), 2)</f>
        <v/>
      </c>
      <c r="Y7" s="28" t="n">
        <v>11</v>
      </c>
      <c r="Z7" s="11" t="inlineStr">
        <is>
          <t>Priority Tier 2 (Balanced Opportunity)</t>
        </is>
      </c>
    </row>
    <row r="8">
      <c r="A8" s="23" t="n">
        <v>3</v>
      </c>
      <c r="B8" s="23" t="n">
        <v>4</v>
      </c>
      <c r="C8" s="23" t="n">
        <v>2004</v>
      </c>
      <c r="D8" s="23" t="inlineStr">
        <is>
          <t>1381100174</t>
        </is>
      </c>
      <c r="E8" s="11" t="inlineStr">
        <is>
          <t>National Capital Region (NCR)</t>
        </is>
      </c>
      <c r="F8" s="11" t="inlineStr">
        <is>
          <t>Fourth District (Not a Province)</t>
        </is>
      </c>
      <c r="G8" s="11" t="inlineStr">
        <is>
          <t>Pasay City</t>
        </is>
      </c>
      <c r="H8" s="11" t="inlineStr">
        <is>
          <t>Barangay 174</t>
        </is>
      </c>
      <c r="I8" s="24" t="n">
        <v>14.533705</v>
      </c>
      <c r="J8" s="24" t="n">
        <v>121.010832</v>
      </c>
      <c r="K8" s="23" t="inlineStr">
        <is>
          <t>U</t>
        </is>
      </c>
      <c r="L8" s="25" t="n">
        <v>1710</v>
      </c>
      <c r="M8" s="26" t="n">
        <v>3.56</v>
      </c>
      <c r="N8" s="25">
        <f>ROUND(L8/M8, 0)</f>
        <v/>
      </c>
      <c r="O8" s="25">
        <f>ROUND(N8*'Methodology &amp; Assumptions'!$B$7, 0)</f>
        <v/>
      </c>
      <c r="P8" s="23" t="inlineStr">
        <is>
          <t>Single Carrier (Band n50, 100MHz TDD)</t>
        </is>
      </c>
      <c r="Q8" s="27">
        <f>ROUNDUP(O8/'Methodology &amp; Assumptions'!$B$8, 0)</f>
        <v/>
      </c>
      <c r="R8" s="27" t="n">
        <v>1</v>
      </c>
      <c r="S8" s="26" t="n">
        <v>1.41</v>
      </c>
      <c r="T8" s="26" t="n">
        <v>0.75</v>
      </c>
      <c r="U8" s="11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26" t="n">
        <v>54.38</v>
      </c>
      <c r="W8" s="26" t="n">
        <v>70.26000000000001</v>
      </c>
      <c r="X8" s="26">
        <f>ROUND(('Methodology &amp; Assumptions'!$B$5*V8) + ('Methodology &amp; Assumptions'!$B$6*W8), 2)</f>
        <v/>
      </c>
      <c r="Y8" s="28" t="n">
        <v>10.9</v>
      </c>
      <c r="Z8" s="11" t="inlineStr">
        <is>
          <t>Priority Tier 2 (Balanced Opportunity)</t>
        </is>
      </c>
    </row>
    <row r="9">
      <c r="A9" s="23" t="n">
        <v>3</v>
      </c>
      <c r="B9" s="23" t="n">
        <v>5</v>
      </c>
      <c r="C9" s="23" t="n">
        <v>2005</v>
      </c>
      <c r="D9" s="23" t="inlineStr">
        <is>
          <t>0201521026</t>
        </is>
      </c>
      <c r="E9" s="11" t="inlineStr">
        <is>
          <t>Region II (Cagayan Valley)</t>
        </is>
      </c>
      <c r="F9" s="11" t="inlineStr">
        <is>
          <t>Cagayan</t>
        </is>
      </c>
      <c r="G9" s="11" t="inlineStr">
        <is>
          <t>Rizal</t>
        </is>
      </c>
      <c r="H9" s="11" t="inlineStr">
        <is>
          <t>Battut</t>
        </is>
      </c>
      <c r="I9" s="24" t="n">
        <v>17.828537</v>
      </c>
      <c r="J9" s="24" t="n">
        <v>121.346498</v>
      </c>
      <c r="K9" s="23" t="inlineStr">
        <is>
          <t>R</t>
        </is>
      </c>
      <c r="L9" s="25" t="n">
        <v>523</v>
      </c>
      <c r="M9" s="26" t="n">
        <v>3.6</v>
      </c>
      <c r="N9" s="25">
        <f>ROUND(L9/M9, 0)</f>
        <v/>
      </c>
      <c r="O9" s="25">
        <f>ROUND(N9*'Methodology &amp; Assumptions'!$B$7, 0)</f>
        <v/>
      </c>
      <c r="P9" s="23" t="inlineStr">
        <is>
          <t>Single Carrier (Band n50, 100MHz TDD)</t>
        </is>
      </c>
      <c r="Q9" s="27">
        <f>ROUNDUP(O9/'Methodology &amp; Assumptions'!$B$8, 0)</f>
        <v/>
      </c>
      <c r="R9" s="27" t="n">
        <v>1</v>
      </c>
      <c r="S9" s="26" t="n">
        <v>4.24</v>
      </c>
      <c r="T9" s="26" t="n">
        <v>3.29</v>
      </c>
      <c r="U9" s="11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26" t="n">
        <v>52.83</v>
      </c>
      <c r="W9" s="26" t="n">
        <v>71.81999999999999</v>
      </c>
      <c r="X9" s="26">
        <f>ROUND(('Methodology &amp; Assumptions'!$B$5*V9) + ('Methodology &amp; Assumptions'!$B$6*W9), 2)</f>
        <v/>
      </c>
      <c r="Y9" s="28" t="n">
        <v>8.300000000000001</v>
      </c>
      <c r="Z9" s="11" t="inlineStr">
        <is>
          <t>Priority Tier 2 (Balanced Opportunity)</t>
        </is>
      </c>
    </row>
    <row r="10">
      <c r="A10" s="23" t="n">
        <v>3</v>
      </c>
      <c r="B10" s="23" t="n">
        <v>6</v>
      </c>
      <c r="C10" s="23" t="n">
        <v>2006</v>
      </c>
      <c r="D10" s="23" t="inlineStr">
        <is>
          <t>0307708008</t>
        </is>
      </c>
      <c r="E10" s="11" t="inlineStr">
        <is>
          <t>Region III (Central Luzon)</t>
        </is>
      </c>
      <c r="F10" s="11" t="inlineStr">
        <is>
          <t>Aurora</t>
        </is>
      </c>
      <c r="G10" s="11" t="inlineStr">
        <is>
          <t>San Luis</t>
        </is>
      </c>
      <c r="H10" s="11" t="inlineStr">
        <is>
          <t>Dibut</t>
        </is>
      </c>
      <c r="I10" s="24" t="n">
        <v>15.654161</v>
      </c>
      <c r="J10" s="24" t="n">
        <v>121.548418</v>
      </c>
      <c r="K10" s="23" t="inlineStr">
        <is>
          <t>R</t>
        </is>
      </c>
      <c r="L10" s="25" t="n">
        <v>577</v>
      </c>
      <c r="M10" s="26" t="n">
        <v>3.8</v>
      </c>
      <c r="N10" s="25">
        <f>ROUND(L10/M10, 0)</f>
        <v/>
      </c>
      <c r="O10" s="25">
        <f>ROUND(N10*'Methodology &amp; Assumptions'!$B$7, 0)</f>
        <v/>
      </c>
      <c r="P10" s="23" t="inlineStr">
        <is>
          <t>Single Carrier (Band n50, 100MHz TDD)</t>
        </is>
      </c>
      <c r="Q10" s="27">
        <f>ROUNDUP(O10/'Methodology &amp; Assumptions'!$B$8, 0)</f>
        <v/>
      </c>
      <c r="R10" s="27" t="n">
        <v>1</v>
      </c>
      <c r="S10" s="26" t="n">
        <v>10.06</v>
      </c>
      <c r="T10" s="26" t="n">
        <v>10.84</v>
      </c>
      <c r="U10" s="11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26" t="n">
        <v>43.46</v>
      </c>
      <c r="W10" s="26" t="n">
        <v>81.18000000000001</v>
      </c>
      <c r="X10" s="26">
        <f>ROUND(('Methodology &amp; Assumptions'!$B$5*V10) + ('Methodology &amp; Assumptions'!$B$6*W10), 2)</f>
        <v/>
      </c>
      <c r="Y10" s="28" t="n">
        <v>8.300000000000001</v>
      </c>
      <c r="Z10" s="11" t="inlineStr">
        <is>
          <t>Priority Tier 2 (Balanced Opportunity)</t>
        </is>
      </c>
    </row>
    <row r="11">
      <c r="A11" s="23" t="n">
        <v>3</v>
      </c>
      <c r="B11" s="23" t="n">
        <v>7</v>
      </c>
      <c r="C11" s="23" t="n">
        <v>2007</v>
      </c>
      <c r="D11" s="23" t="inlineStr">
        <is>
          <t>0304930052</t>
        </is>
      </c>
      <c r="E11" s="11" t="inlineStr">
        <is>
          <t>Region III (Central Luzon)</t>
        </is>
      </c>
      <c r="F11" s="11" t="inlineStr">
        <is>
          <t>Nueva Ecija</t>
        </is>
      </c>
      <c r="G11" s="11" t="inlineStr">
        <is>
          <t>Talavera</t>
        </is>
      </c>
      <c r="H11" s="11" t="inlineStr">
        <is>
          <t>San Ricardo</t>
        </is>
      </c>
      <c r="I11" s="24" t="n">
        <v>15.589465</v>
      </c>
      <c r="J11" s="24" t="n">
        <v>120.923077</v>
      </c>
      <c r="K11" s="23" t="inlineStr">
        <is>
          <t>R</t>
        </is>
      </c>
      <c r="L11" s="25" t="n">
        <v>3018</v>
      </c>
      <c r="M11" s="26" t="n">
        <v>3.5</v>
      </c>
      <c r="N11" s="25">
        <f>ROUND(L11/M11, 0)</f>
        <v/>
      </c>
      <c r="O11" s="25">
        <f>ROUND(N11*'Methodology &amp; Assumptions'!$B$7, 0)</f>
        <v/>
      </c>
      <c r="P11" s="23" t="inlineStr">
        <is>
          <t>Single Carrier (Band n50, 100MHz TDD)</t>
        </is>
      </c>
      <c r="Q11" s="27">
        <f>ROUNDUP(O11/'Methodology &amp; Assumptions'!$B$8, 0)</f>
        <v/>
      </c>
      <c r="R11" s="27" t="n">
        <v>1</v>
      </c>
      <c r="S11" s="26" t="n">
        <v>0.93</v>
      </c>
      <c r="T11" s="26" t="n">
        <v>0.37</v>
      </c>
      <c r="U11" s="11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26" t="n">
        <v>85.31</v>
      </c>
      <c r="W11" s="26" t="n">
        <v>39.32</v>
      </c>
      <c r="X11" s="26">
        <f>ROUND(('Methodology &amp; Assumptions'!$B$5*V11) + ('Methodology &amp; Assumptions'!$B$6*W11), 2)</f>
        <v/>
      </c>
      <c r="Y11" s="28" t="n">
        <v>8.300000000000001</v>
      </c>
      <c r="Z11" s="11" t="inlineStr">
        <is>
          <t>Priority Tier 2 (Balanced Opportunity)</t>
        </is>
      </c>
    </row>
    <row r="12">
      <c r="A12" s="23" t="n">
        <v>3</v>
      </c>
      <c r="B12" s="23" t="n">
        <v>8</v>
      </c>
      <c r="C12" s="23" t="n">
        <v>2008</v>
      </c>
      <c r="D12" s="23" t="inlineStr">
        <is>
          <t>0102820016</t>
        </is>
      </c>
      <c r="E12" s="11" t="inlineStr">
        <is>
          <t>Region I (Ilocos Region)</t>
        </is>
      </c>
      <c r="F12" s="11" t="inlineStr">
        <is>
          <t>Ilocos Norte</t>
        </is>
      </c>
      <c r="G12" s="11" t="inlineStr">
        <is>
          <t>San Nicolas</t>
        </is>
      </c>
      <c r="H12" s="11" t="inlineStr">
        <is>
          <t>San Miguel</t>
        </is>
      </c>
      <c r="I12" s="24" t="n">
        <v>18.168722</v>
      </c>
      <c r="J12" s="24" t="n">
        <v>120.60201</v>
      </c>
      <c r="K12" s="23" t="inlineStr">
        <is>
          <t>R</t>
        </is>
      </c>
      <c r="L12" s="25" t="n">
        <v>1725</v>
      </c>
      <c r="M12" s="26" t="n">
        <v>3.7</v>
      </c>
      <c r="N12" s="25">
        <f>ROUND(L12/M12, 0)</f>
        <v/>
      </c>
      <c r="O12" s="25">
        <f>ROUND(N12*'Methodology &amp; Assumptions'!$B$7, 0)</f>
        <v/>
      </c>
      <c r="P12" s="23" t="inlineStr">
        <is>
          <t>Single Carrier (Band n50, 100MHz TDD)</t>
        </is>
      </c>
      <c r="Q12" s="27">
        <f>ROUNDUP(O12/'Methodology &amp; Assumptions'!$B$8, 0)</f>
        <v/>
      </c>
      <c r="R12" s="27" t="n">
        <v>1</v>
      </c>
      <c r="S12" s="26" t="n">
        <v>0.93</v>
      </c>
      <c r="T12" s="26" t="n">
        <v>0.96</v>
      </c>
      <c r="U12" s="11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26" t="n">
        <v>73.86</v>
      </c>
      <c r="W12" s="26" t="n">
        <v>50.77</v>
      </c>
      <c r="X12" s="26">
        <f>ROUND(('Methodology &amp; Assumptions'!$B$5*V12) + ('Methodology &amp; Assumptions'!$B$6*W12), 2)</f>
        <v/>
      </c>
      <c r="Y12" s="28" t="n">
        <v>8.300000000000001</v>
      </c>
      <c r="Z12" s="11" t="inlineStr">
        <is>
          <t>Priority Tier 2 (Balanced Opportunity)</t>
        </is>
      </c>
    </row>
    <row r="13">
      <c r="A13" s="23" t="n">
        <v>3</v>
      </c>
      <c r="B13" s="23" t="n">
        <v>9</v>
      </c>
      <c r="C13" s="23" t="n">
        <v>2009</v>
      </c>
      <c r="D13" s="23" t="inlineStr">
        <is>
          <t>0702234022</t>
        </is>
      </c>
      <c r="E13" s="11" t="inlineStr">
        <is>
          <t>Region VII (Central Visayas)</t>
        </is>
      </c>
      <c r="F13" s="11" t="inlineStr">
        <is>
          <t>Cebu</t>
        </is>
      </c>
      <c r="G13" s="11" t="inlineStr">
        <is>
          <t>City of Naga</t>
        </is>
      </c>
      <c r="H13" s="11" t="inlineStr">
        <is>
          <t>South Poblacion</t>
        </is>
      </c>
      <c r="I13" s="24" t="n">
        <v>10.207186</v>
      </c>
      <c r="J13" s="24" t="n">
        <v>123.755461</v>
      </c>
      <c r="K13" s="23" t="inlineStr">
        <is>
          <t>U</t>
        </is>
      </c>
      <c r="L13" s="25" t="n">
        <v>7068</v>
      </c>
      <c r="M13" s="26" t="n">
        <v>3.8</v>
      </c>
      <c r="N13" s="25">
        <f>ROUND(L13/M13, 0)</f>
        <v/>
      </c>
      <c r="O13" s="25">
        <f>ROUND(N13*'Methodology &amp; Assumptions'!$B$7, 0)</f>
        <v/>
      </c>
      <c r="P13" s="23" t="inlineStr">
        <is>
          <t>Single Carrier (Band n50, 100MHz TDD)</t>
        </is>
      </c>
      <c r="Q13" s="27">
        <f>ROUNDUP(O13/'Methodology &amp; Assumptions'!$B$8, 0)</f>
        <v/>
      </c>
      <c r="R13" s="27" t="n">
        <v>1</v>
      </c>
      <c r="S13" s="26" t="n">
        <v>3.3</v>
      </c>
      <c r="T13" s="26" t="n">
        <v>0.28</v>
      </c>
      <c r="U13" s="11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26" t="n">
        <v>72.73</v>
      </c>
      <c r="W13" s="26" t="n">
        <v>51.9</v>
      </c>
      <c r="X13" s="26">
        <f>ROUND(('Methodology &amp; Assumptions'!$B$5*V13) + ('Methodology &amp; Assumptions'!$B$6*W13), 2)</f>
        <v/>
      </c>
      <c r="Y13" s="28" t="n">
        <v>23.7</v>
      </c>
      <c r="Z13" s="11" t="inlineStr">
        <is>
          <t>Priority Tier 2 (Balanced Opportunity)</t>
        </is>
      </c>
    </row>
    <row r="14">
      <c r="A14" s="23" t="n">
        <v>3</v>
      </c>
      <c r="B14" s="23" t="n">
        <v>10</v>
      </c>
      <c r="C14" s="23" t="n">
        <v>2010</v>
      </c>
      <c r="D14" s="23" t="inlineStr">
        <is>
          <t>1381300021</t>
        </is>
      </c>
      <c r="E14" s="11" t="inlineStr">
        <is>
          <t>National Capital Region (NCR)</t>
        </is>
      </c>
      <c r="F14" s="11" t="inlineStr">
        <is>
          <t>Second District (Not a Province)</t>
        </is>
      </c>
      <c r="G14" s="11" t="inlineStr">
        <is>
          <t>Quezon City</t>
        </is>
      </c>
      <c r="H14" s="11" t="inlineStr">
        <is>
          <t>Claro</t>
        </is>
      </c>
      <c r="I14" s="24" t="n">
        <v>14.646362</v>
      </c>
      <c r="J14" s="24" t="n">
        <v>121.041589</v>
      </c>
      <c r="K14" s="23" t="inlineStr">
        <is>
          <t>U</t>
        </is>
      </c>
      <c r="L14" s="25" t="n">
        <v>3996</v>
      </c>
      <c r="M14" s="26" t="n">
        <v>3.44</v>
      </c>
      <c r="N14" s="25">
        <f>ROUND(L14/M14, 0)</f>
        <v/>
      </c>
      <c r="O14" s="25">
        <f>ROUND(N14*'Methodology &amp; Assumptions'!$B$7, 0)</f>
        <v/>
      </c>
      <c r="P14" s="23" t="inlineStr">
        <is>
          <t>Single Carrier (Band n50, 100MHz TDD)</t>
        </is>
      </c>
      <c r="Q14" s="27">
        <f>ROUNDUP(O14/'Methodology &amp; Assumptions'!$B$8, 0)</f>
        <v/>
      </c>
      <c r="R14" s="27" t="n">
        <v>1</v>
      </c>
      <c r="S14" s="26" t="n">
        <v>0.49</v>
      </c>
      <c r="T14" s="26" t="n">
        <v>0.09</v>
      </c>
      <c r="U14" s="11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26" t="n">
        <v>69.09</v>
      </c>
      <c r="W14" s="26" t="n">
        <v>55.53</v>
      </c>
      <c r="X14" s="26">
        <f>ROUND(('Methodology &amp; Assumptions'!$B$5*V14) + ('Methodology &amp; Assumptions'!$B$6*W14), 2)</f>
        <v/>
      </c>
      <c r="Y14" s="28" t="n">
        <v>10.9</v>
      </c>
      <c r="Z14" s="11" t="inlineStr">
        <is>
          <t>Priority Tier 2 (Balanced Opportunity)</t>
        </is>
      </c>
    </row>
    <row r="15">
      <c r="A15" s="23" t="n">
        <v>3</v>
      </c>
      <c r="B15" s="23" t="n">
        <v>11</v>
      </c>
      <c r="C15" s="23" t="n">
        <v>2011</v>
      </c>
      <c r="D15" s="23" t="inlineStr">
        <is>
          <t>1380601205</t>
        </is>
      </c>
      <c r="E15" s="11" t="inlineStr">
        <is>
          <t>National Capital Region (NCR)</t>
        </is>
      </c>
      <c r="F15" s="11" t="inlineStr">
        <is>
          <t>First District (Not a Province)</t>
        </is>
      </c>
      <c r="G15" s="11" t="inlineStr">
        <is>
          <t>City of Manila</t>
        </is>
      </c>
      <c r="H15" s="11" t="inlineStr">
        <is>
          <t>Barangay 204</t>
        </is>
      </c>
      <c r="I15" s="24" t="n">
        <v>14.627614</v>
      </c>
      <c r="J15" s="24" t="n">
        <v>120.976887</v>
      </c>
      <c r="K15" s="23" t="inlineStr">
        <is>
          <t>U</t>
        </is>
      </c>
      <c r="L15" s="25" t="n">
        <v>1932</v>
      </c>
      <c r="M15" s="26" t="n">
        <v>4.1</v>
      </c>
      <c r="N15" s="25">
        <f>ROUND(L15/M15, 0)</f>
        <v/>
      </c>
      <c r="O15" s="25">
        <f>ROUND(N15*'Methodology &amp; Assumptions'!$B$7, 0)</f>
        <v/>
      </c>
      <c r="P15" s="23" t="inlineStr">
        <is>
          <t>Single Carrier (Band n50, 100MHz TDD)</t>
        </is>
      </c>
      <c r="Q15" s="27">
        <f>ROUNDUP(O15/'Methodology &amp; Assumptions'!$B$8, 0)</f>
        <v/>
      </c>
      <c r="R15" s="27" t="n">
        <v>1</v>
      </c>
      <c r="S15" s="26" t="n">
        <v>0.39</v>
      </c>
      <c r="T15" s="26" t="n">
        <v>0.17</v>
      </c>
      <c r="U15" s="11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26" t="n">
        <v>56.2</v>
      </c>
      <c r="W15" s="26" t="n">
        <v>68.43000000000001</v>
      </c>
      <c r="X15" s="26">
        <f>ROUND(('Methodology &amp; Assumptions'!$B$5*V15) + ('Methodology &amp; Assumptions'!$B$6*W15), 2)</f>
        <v/>
      </c>
      <c r="Y15" s="28" t="n">
        <v>10.9</v>
      </c>
      <c r="Z15" s="11" t="inlineStr">
        <is>
          <t>Priority Tier 2 (Balanced Opportunity)</t>
        </is>
      </c>
    </row>
    <row r="16">
      <c r="A16" s="23" t="n">
        <v>3</v>
      </c>
      <c r="B16" s="23" t="n">
        <v>12</v>
      </c>
      <c r="C16" s="23" t="n">
        <v>2012</v>
      </c>
      <c r="D16" s="23" t="inlineStr">
        <is>
          <t>1003514013</t>
        </is>
      </c>
      <c r="E16" s="11" t="inlineStr">
        <is>
          <t>Region X (Northern Mindanao)</t>
        </is>
      </c>
      <c r="F16" s="11" t="inlineStr">
        <is>
          <t>Lanao del Norte</t>
        </is>
      </c>
      <c r="G16" s="11" t="inlineStr">
        <is>
          <t>Munai</t>
        </is>
      </c>
      <c r="H16" s="11" t="inlineStr">
        <is>
          <t>Lininding</t>
        </is>
      </c>
      <c r="I16" s="24" t="n">
        <v>7.996</v>
      </c>
      <c r="J16" s="24" t="n">
        <v>124.0978</v>
      </c>
      <c r="K16" s="23" t="inlineStr">
        <is>
          <t>R</t>
        </is>
      </c>
      <c r="L16" s="25" t="n">
        <v>1863</v>
      </c>
      <c r="M16" s="26" t="n">
        <v>4.2</v>
      </c>
      <c r="N16" s="25">
        <f>ROUND(L16/M16, 0)</f>
        <v/>
      </c>
      <c r="O16" s="25">
        <f>ROUND(N16*'Methodology &amp; Assumptions'!$B$7, 0)</f>
        <v/>
      </c>
      <c r="P16" s="23" t="inlineStr">
        <is>
          <t>Single Carrier (Band n50, 100MHz TDD)</t>
        </is>
      </c>
      <c r="Q16" s="27">
        <f>ROUNDUP(O16/'Methodology &amp; Assumptions'!$B$8, 0)</f>
        <v/>
      </c>
      <c r="R16" s="27" t="n">
        <v>1</v>
      </c>
      <c r="S16" s="26" t="n">
        <v>19.5</v>
      </c>
      <c r="T16" s="26" t="n">
        <v>18.2</v>
      </c>
      <c r="U16" s="11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26" t="n">
        <v>49.07</v>
      </c>
      <c r="W16" s="26" t="n">
        <v>75.54000000000001</v>
      </c>
      <c r="X16" s="26">
        <f>ROUND(('Methodology &amp; Assumptions'!$B$5*V16) + ('Methodology &amp; Assumptions'!$B$6*W16), 2)</f>
        <v/>
      </c>
      <c r="Y16" s="28" t="n">
        <v>17.4</v>
      </c>
      <c r="Z16" s="11" t="inlineStr">
        <is>
          <t>Priority Tier 2 (Balanced Opportunity)</t>
        </is>
      </c>
    </row>
    <row r="17">
      <c r="A17" s="23" t="n">
        <v>3</v>
      </c>
      <c r="B17" s="23" t="n">
        <v>13</v>
      </c>
      <c r="C17" s="23" t="n">
        <v>2013</v>
      </c>
      <c r="D17" s="23" t="inlineStr">
        <is>
          <t>0403429007</t>
        </is>
      </c>
      <c r="E17" s="11" t="inlineStr">
        <is>
          <t>Region IV-A (CALABARZON)</t>
        </is>
      </c>
      <c r="F17" s="11" t="inlineStr">
        <is>
          <t>Laguna</t>
        </is>
      </c>
      <c r="G17" s="11" t="inlineStr">
        <is>
          <t>Siniloan</t>
        </is>
      </c>
      <c r="H17" s="11" t="inlineStr">
        <is>
          <t>Halayhayin</t>
        </is>
      </c>
      <c r="I17" s="24" t="n">
        <v>14.424067</v>
      </c>
      <c r="J17" s="24" t="n">
        <v>121.448593</v>
      </c>
      <c r="K17" s="23" t="inlineStr">
        <is>
          <t>U</t>
        </is>
      </c>
      <c r="L17" s="25" t="n">
        <v>5313</v>
      </c>
      <c r="M17" s="26" t="n">
        <v>3.3</v>
      </c>
      <c r="N17" s="25">
        <f>ROUND(L17/M17, 0)</f>
        <v/>
      </c>
      <c r="O17" s="25">
        <f>ROUND(N17*'Methodology &amp; Assumptions'!$B$7, 0)</f>
        <v/>
      </c>
      <c r="P17" s="23" t="inlineStr">
        <is>
          <t>Single Carrier (Band n50, 100MHz TDD)</t>
        </is>
      </c>
      <c r="Q17" s="27">
        <f>ROUNDUP(O17/'Methodology &amp; Assumptions'!$B$8, 0)</f>
        <v/>
      </c>
      <c r="R17" s="27" t="n">
        <v>1</v>
      </c>
      <c r="S17" s="26" t="n">
        <v>1.28</v>
      </c>
      <c r="T17" s="26" t="n">
        <v>1.18</v>
      </c>
      <c r="U17" s="11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26" t="n">
        <v>76.58</v>
      </c>
      <c r="W17" s="26" t="n">
        <v>48.02</v>
      </c>
      <c r="X17" s="26">
        <f>ROUND(('Methodology &amp; Assumptions'!$B$5*V17) + ('Methodology &amp; Assumptions'!$B$6*W17), 2)</f>
        <v/>
      </c>
      <c r="Y17" s="28" t="n">
        <v>7.2</v>
      </c>
      <c r="Z17" s="11" t="inlineStr">
        <is>
          <t>Priority Tier 2 (Balanced Opportunity)</t>
        </is>
      </c>
    </row>
    <row r="18">
      <c r="A18" s="23" t="n">
        <v>3</v>
      </c>
      <c r="B18" s="23" t="n">
        <v>14</v>
      </c>
      <c r="C18" s="23" t="n">
        <v>2014</v>
      </c>
      <c r="D18" s="23" t="inlineStr">
        <is>
          <t>1908705016</t>
        </is>
      </c>
      <c r="E18" s="11" t="inlineStr">
        <is>
          <t>Bangsamoro Autonomous Region In Muslim Mindanao (BARMM)</t>
        </is>
      </c>
      <c r="F18" s="11" t="inlineStr">
        <is>
          <t>Maguindanao del Norte</t>
        </is>
      </c>
      <c r="G18" s="11" t="inlineStr">
        <is>
          <t>Datu Odin Sinsuat</t>
        </is>
      </c>
      <c r="H18" s="11" t="inlineStr">
        <is>
          <t>Kenebeka</t>
        </is>
      </c>
      <c r="I18" s="24" t="n">
        <v>7.031466</v>
      </c>
      <c r="J18" s="24" t="n">
        <v>124.250496</v>
      </c>
      <c r="K18" s="23" t="inlineStr">
        <is>
          <t>R</t>
        </is>
      </c>
      <c r="L18" s="25" t="n">
        <v>3364</v>
      </c>
      <c r="M18" s="26" t="n">
        <v>4.3</v>
      </c>
      <c r="N18" s="25">
        <f>ROUND(L18/M18, 0)</f>
        <v/>
      </c>
      <c r="O18" s="25">
        <f>ROUND(N18*'Methodology &amp; Assumptions'!$B$7, 0)</f>
        <v/>
      </c>
      <c r="P18" s="23" t="inlineStr">
        <is>
          <t>Single Carrier (Band n50, 100MHz TDD)</t>
        </is>
      </c>
      <c r="Q18" s="27">
        <f>ROUNDUP(O18/'Methodology &amp; Assumptions'!$B$8, 0)</f>
        <v/>
      </c>
      <c r="R18" s="27" t="n">
        <v>1</v>
      </c>
      <c r="S18" s="26" t="n">
        <v>60.22</v>
      </c>
      <c r="T18" s="26" t="n">
        <v>60.15</v>
      </c>
      <c r="U18" s="11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26" t="n">
        <v>56.22</v>
      </c>
      <c r="W18" s="26" t="n">
        <v>68.39</v>
      </c>
      <c r="X18" s="26">
        <f>ROUND(('Methodology &amp; Assumptions'!$B$5*V18) + ('Methodology &amp; Assumptions'!$B$6*W18), 2)</f>
        <v/>
      </c>
      <c r="Y18" s="28" t="n">
        <v>11</v>
      </c>
      <c r="Z18" s="11" t="inlineStr">
        <is>
          <t>Priority Tier 2 (Balanced Opportunity)</t>
        </is>
      </c>
    </row>
    <row r="19">
      <c r="A19" s="23" t="n">
        <v>3</v>
      </c>
      <c r="B19" s="23" t="n">
        <v>15</v>
      </c>
      <c r="C19" s="23" t="n">
        <v>2015</v>
      </c>
      <c r="D19" s="23" t="inlineStr">
        <is>
          <t>1381100113</t>
        </is>
      </c>
      <c r="E19" s="11" t="inlineStr">
        <is>
          <t>National Capital Region (NCR)</t>
        </is>
      </c>
      <c r="F19" s="11" t="inlineStr">
        <is>
          <t>Fourth District (Not a Province)</t>
        </is>
      </c>
      <c r="G19" s="11" t="inlineStr">
        <is>
          <t>Pasay City</t>
        </is>
      </c>
      <c r="H19" s="11" t="inlineStr">
        <is>
          <t>Barangay 113</t>
        </is>
      </c>
      <c r="I19" s="24" t="n">
        <v>14.541222</v>
      </c>
      <c r="J19" s="24" t="n">
        <v>121.002987</v>
      </c>
      <c r="K19" s="23" t="inlineStr">
        <is>
          <t>U</t>
        </is>
      </c>
      <c r="L19" s="25" t="n">
        <v>1677</v>
      </c>
      <c r="M19" s="26" t="n">
        <v>3.66</v>
      </c>
      <c r="N19" s="25">
        <f>ROUND(L19/M19, 0)</f>
        <v/>
      </c>
      <c r="O19" s="25">
        <f>ROUND(N19*'Methodology &amp; Assumptions'!$B$7, 0)</f>
        <v/>
      </c>
      <c r="P19" s="23" t="inlineStr">
        <is>
          <t>Single Carrier (Band n50, 100MHz TDD)</t>
        </is>
      </c>
      <c r="Q19" s="27">
        <f>ROUNDUP(O19/'Methodology &amp; Assumptions'!$B$8, 0)</f>
        <v/>
      </c>
      <c r="R19" s="27" t="n">
        <v>1</v>
      </c>
      <c r="S19" s="26" t="n">
        <v>0.99</v>
      </c>
      <c r="T19" s="26" t="n">
        <v>0.31</v>
      </c>
      <c r="U19" s="11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26" t="n">
        <v>55.19</v>
      </c>
      <c r="W19" s="26" t="n">
        <v>69.42</v>
      </c>
      <c r="X19" s="26">
        <f>ROUND(('Methodology &amp; Assumptions'!$B$5*V19) + ('Methodology &amp; Assumptions'!$B$6*W19), 2)</f>
        <v/>
      </c>
      <c r="Y19" s="28" t="n">
        <v>10.9</v>
      </c>
      <c r="Z19" s="11" t="inlineStr">
        <is>
          <t>Priority Tier 2 (Balanced Opportunity)</t>
        </is>
      </c>
    </row>
    <row r="20">
      <c r="A20" s="23" t="n">
        <v>3</v>
      </c>
      <c r="B20" s="23" t="n">
        <v>16</v>
      </c>
      <c r="C20" s="23" t="n">
        <v>2016</v>
      </c>
      <c r="D20" s="23" t="inlineStr">
        <is>
          <t>0401005072</t>
        </is>
      </c>
      <c r="E20" s="11" t="inlineStr">
        <is>
          <t>Region IV-A (CALABARZON)</t>
        </is>
      </c>
      <c r="F20" s="11" t="inlineStr">
        <is>
          <t>Batangas</t>
        </is>
      </c>
      <c r="G20" s="11" t="inlineStr">
        <is>
          <t>Batangas City</t>
        </is>
      </c>
      <c r="H20" s="11" t="inlineStr">
        <is>
          <t>Barangay 3</t>
        </is>
      </c>
      <c r="I20" s="24" t="n">
        <v>13.75638</v>
      </c>
      <c r="J20" s="24" t="n">
        <v>121.060921</v>
      </c>
      <c r="K20" s="23" t="inlineStr">
        <is>
          <t>U</t>
        </is>
      </c>
      <c r="L20" s="25" t="n">
        <v>269</v>
      </c>
      <c r="M20" s="26" t="n">
        <v>3.6</v>
      </c>
      <c r="N20" s="25">
        <f>ROUND(L20/M20, 0)</f>
        <v/>
      </c>
      <c r="O20" s="25">
        <f>ROUND(N20*'Methodology &amp; Assumptions'!$B$7, 0)</f>
        <v/>
      </c>
      <c r="P20" s="23" t="inlineStr">
        <is>
          <t>Single Carrier (Band n50, 100MHz TDD)</t>
        </is>
      </c>
      <c r="Q20" s="27">
        <f>ROUNDUP(O20/'Methodology &amp; Assumptions'!$B$8, 0)</f>
        <v/>
      </c>
      <c r="R20" s="27" t="n">
        <v>1</v>
      </c>
      <c r="S20" s="26" t="n">
        <v>0.8</v>
      </c>
      <c r="T20" s="26" t="n">
        <v>0.25</v>
      </c>
      <c r="U20" s="11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26" t="n">
        <v>54.05</v>
      </c>
      <c r="W20" s="26" t="n">
        <v>70.54000000000001</v>
      </c>
      <c r="X20" s="26">
        <f>ROUND(('Methodology &amp; Assumptions'!$B$5*V20) + ('Methodology &amp; Assumptions'!$B$6*W20), 2)</f>
        <v/>
      </c>
      <c r="Y20" s="28" t="n">
        <v>7.2</v>
      </c>
      <c r="Z20" s="11" t="inlineStr">
        <is>
          <t>Priority Tier 2 (Balanced Opportunity)</t>
        </is>
      </c>
    </row>
    <row r="21">
      <c r="A21" s="23" t="n">
        <v>3</v>
      </c>
      <c r="B21" s="23" t="n">
        <v>17</v>
      </c>
      <c r="C21" s="23" t="n">
        <v>2017</v>
      </c>
      <c r="D21" s="23" t="inlineStr">
        <is>
          <t>1003502027</t>
        </is>
      </c>
      <c r="E21" s="11" t="inlineStr">
        <is>
          <t>Region X (Northern Mindanao)</t>
        </is>
      </c>
      <c r="F21" s="11" t="inlineStr">
        <is>
          <t>Lanao del Norte</t>
        </is>
      </c>
      <c r="G21" s="11" t="inlineStr">
        <is>
          <t>Baloi</t>
        </is>
      </c>
      <c r="H21" s="11" t="inlineStr">
        <is>
          <t>Sarip-Alawi</t>
        </is>
      </c>
      <c r="I21" s="24" t="n">
        <v>8.1112</v>
      </c>
      <c r="J21" s="24" t="n">
        <v>124.243</v>
      </c>
      <c r="K21" s="23" t="inlineStr">
        <is>
          <t>R</t>
        </is>
      </c>
      <c r="L21" s="25" t="n">
        <v>3403</v>
      </c>
      <c r="M21" s="26" t="n">
        <v>4.2</v>
      </c>
      <c r="N21" s="25">
        <f>ROUND(L21/M21, 0)</f>
        <v/>
      </c>
      <c r="O21" s="25">
        <f>ROUND(N21*'Methodology &amp; Assumptions'!$B$7, 0)</f>
        <v/>
      </c>
      <c r="P21" s="23" t="inlineStr">
        <is>
          <t>Single Carrier (Band n50, 100MHz TDD)</t>
        </is>
      </c>
      <c r="Q21" s="27">
        <f>ROUNDUP(O21/'Methodology &amp; Assumptions'!$B$8, 0)</f>
        <v/>
      </c>
      <c r="R21" s="27" t="n">
        <v>1</v>
      </c>
      <c r="S21" s="26" t="n">
        <v>11.77</v>
      </c>
      <c r="T21" s="26" t="n">
        <v>1.32</v>
      </c>
      <c r="U21" s="11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26" t="n">
        <v>66.83</v>
      </c>
      <c r="W21" s="26" t="n">
        <v>57.76</v>
      </c>
      <c r="X21" s="26">
        <f>ROUND(('Methodology &amp; Assumptions'!$B$5*V21) + ('Methodology &amp; Assumptions'!$B$6*W21), 2)</f>
        <v/>
      </c>
      <c r="Y21" s="28" t="n">
        <v>17.4</v>
      </c>
      <c r="Z21" s="11" t="inlineStr">
        <is>
          <t>Priority Tier 2 (Balanced Opportunity)</t>
        </is>
      </c>
    </row>
    <row r="22">
      <c r="A22" s="23" t="n">
        <v>3</v>
      </c>
      <c r="B22" s="23" t="n">
        <v>18</v>
      </c>
      <c r="C22" s="23" t="n">
        <v>2018</v>
      </c>
      <c r="D22" s="23" t="inlineStr">
        <is>
          <t>1908815006</t>
        </is>
      </c>
      <c r="E22" s="11" t="inlineStr">
        <is>
          <t>Bangsamoro Autonomous Region In Muslim Mindanao (BARMM)</t>
        </is>
      </c>
      <c r="F22" s="11" t="inlineStr">
        <is>
          <t>Maguindanao del Sur</t>
        </is>
      </c>
      <c r="G22" s="11" t="inlineStr">
        <is>
          <t>Pagagawan</t>
        </is>
      </c>
      <c r="H22" s="11" t="inlineStr">
        <is>
          <t>Maridagao</t>
        </is>
      </c>
      <c r="I22" s="24" t="n">
        <v>7.163111</v>
      </c>
      <c r="J22" s="24" t="n">
        <v>124.718822</v>
      </c>
      <c r="K22" s="23" t="inlineStr">
        <is>
          <t>R</t>
        </is>
      </c>
      <c r="L22" s="25" t="n">
        <v>3398</v>
      </c>
      <c r="M22" s="26" t="n">
        <v>4.7</v>
      </c>
      <c r="N22" s="25">
        <f>ROUND(L22/M22, 0)</f>
        <v/>
      </c>
      <c r="O22" s="25">
        <f>ROUND(N22*'Methodology &amp; Assumptions'!$B$7, 0)</f>
        <v/>
      </c>
      <c r="P22" s="23" t="inlineStr">
        <is>
          <t>Single Carrier (Band n50, 100MHz TDD)</t>
        </is>
      </c>
      <c r="Q22" s="27">
        <f>ROUNDUP(O22/'Methodology &amp; Assumptions'!$B$8, 0)</f>
        <v/>
      </c>
      <c r="R22" s="27" t="n">
        <v>1</v>
      </c>
      <c r="S22" s="26" t="n">
        <v>9.66</v>
      </c>
      <c r="T22" s="26" t="n">
        <v>8.960000000000001</v>
      </c>
      <c r="U22" s="11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26" t="n">
        <v>59.29</v>
      </c>
      <c r="W22" s="26" t="n">
        <v>65.3</v>
      </c>
      <c r="X22" s="26">
        <f>ROUND(('Methodology &amp; Assumptions'!$B$5*V22) + ('Methodology &amp; Assumptions'!$B$6*W22), 2)</f>
        <v/>
      </c>
      <c r="Y22" s="28" t="n">
        <v>11</v>
      </c>
      <c r="Z22" s="11" t="inlineStr">
        <is>
          <t>Priority Tier 2 (Balanced Opportunity)</t>
        </is>
      </c>
    </row>
    <row r="23">
      <c r="A23" s="23" t="n">
        <v>3</v>
      </c>
      <c r="B23" s="23" t="n">
        <v>19</v>
      </c>
      <c r="C23" s="23" t="n">
        <v>2019</v>
      </c>
      <c r="D23" s="23" t="inlineStr">
        <is>
          <t>1404401010</t>
        </is>
      </c>
      <c r="E23" s="11" t="inlineStr">
        <is>
          <t>Cordillera Administrative Region (CAR)</t>
        </is>
      </c>
      <c r="F23" s="11" t="inlineStr">
        <is>
          <t>Mountain Province</t>
        </is>
      </c>
      <c r="G23" s="11" t="inlineStr">
        <is>
          <t>Barlig</t>
        </is>
      </c>
      <c r="H23" s="11" t="inlineStr">
        <is>
          <t>Ogo-og</t>
        </is>
      </c>
      <c r="I23" s="24" t="n">
        <v>17.04455</v>
      </c>
      <c r="J23" s="24" t="n">
        <v>121.186403</v>
      </c>
      <c r="K23" s="23" t="inlineStr">
        <is>
          <t>R</t>
        </is>
      </c>
      <c r="L23" s="25" t="n">
        <v>461</v>
      </c>
      <c r="M23" s="26" t="n">
        <v>3.7</v>
      </c>
      <c r="N23" s="25">
        <f>ROUND(L23/M23, 0)</f>
        <v/>
      </c>
      <c r="O23" s="25">
        <f>ROUND(N23*'Methodology &amp; Assumptions'!$B$7, 0)</f>
        <v/>
      </c>
      <c r="P23" s="23" t="inlineStr">
        <is>
          <t>Single Carrier (Band n50, 100MHz TDD)</t>
        </is>
      </c>
      <c r="Q23" s="27">
        <f>ROUNDUP(O23/'Methodology &amp; Assumptions'!$B$8, 0)</f>
        <v/>
      </c>
      <c r="R23" s="27" t="n">
        <v>1</v>
      </c>
      <c r="S23" s="26" t="n">
        <v>8.85</v>
      </c>
      <c r="T23" s="26" t="n">
        <v>15.79</v>
      </c>
      <c r="U23" s="11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26" t="n">
        <v>45.07</v>
      </c>
      <c r="W23" s="26" t="n">
        <v>79.51000000000001</v>
      </c>
      <c r="X23" s="26">
        <f>ROUND(('Methodology &amp; Assumptions'!$B$5*V23) + ('Methodology &amp; Assumptions'!$B$6*W23), 2)</f>
        <v/>
      </c>
      <c r="Y23" s="28" t="n">
        <v>10.9</v>
      </c>
      <c r="Z23" s="11" t="inlineStr">
        <is>
          <t>Priority Tier 2 (Balanced Opportunity)</t>
        </is>
      </c>
    </row>
    <row r="24">
      <c r="A24" s="23" t="n">
        <v>3</v>
      </c>
      <c r="B24" s="23" t="n">
        <v>20</v>
      </c>
      <c r="C24" s="23" t="n">
        <v>2020</v>
      </c>
      <c r="D24" s="23" t="inlineStr">
        <is>
          <t>0601917052</t>
        </is>
      </c>
      <c r="E24" s="11" t="inlineStr">
        <is>
          <t>Region VI (Western Visayas)</t>
        </is>
      </c>
      <c r="F24" s="11" t="inlineStr">
        <is>
          <t>Capiz</t>
        </is>
      </c>
      <c r="G24" s="11" t="inlineStr">
        <is>
          <t>Tapaz</t>
        </is>
      </c>
      <c r="H24" s="11" t="inlineStr">
        <is>
          <t>Siya</t>
        </is>
      </c>
      <c r="I24" s="24" t="n">
        <v>11.220647</v>
      </c>
      <c r="J24" s="24" t="n">
        <v>122.365241</v>
      </c>
      <c r="K24" s="23" t="inlineStr">
        <is>
          <t>R</t>
        </is>
      </c>
      <c r="L24" s="25" t="n">
        <v>827</v>
      </c>
      <c r="M24" s="26" t="n">
        <v>3.8</v>
      </c>
      <c r="N24" s="25">
        <f>ROUND(L24/M24, 0)</f>
        <v/>
      </c>
      <c r="O24" s="25">
        <f>ROUND(N24*'Methodology &amp; Assumptions'!$B$7, 0)</f>
        <v/>
      </c>
      <c r="P24" s="23" t="inlineStr">
        <is>
          <t>Single Carrier (Band n50, 100MHz TDD)</t>
        </is>
      </c>
      <c r="Q24" s="27">
        <f>ROUNDUP(O24/'Methodology &amp; Assumptions'!$B$8, 0)</f>
        <v/>
      </c>
      <c r="R24" s="27" t="n">
        <v>1</v>
      </c>
      <c r="S24" s="26" t="n">
        <v>32.63</v>
      </c>
      <c r="T24" s="26" t="n">
        <v>21.21</v>
      </c>
      <c r="U24" s="11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26" t="n">
        <v>42.8</v>
      </c>
      <c r="W24" s="26" t="n">
        <v>81.79000000000001</v>
      </c>
      <c r="X24" s="26">
        <f>ROUND(('Methodology &amp; Assumptions'!$B$5*V24) + ('Methodology &amp; Assumptions'!$B$6*W24), 2)</f>
        <v/>
      </c>
      <c r="Y24" s="28" t="n">
        <v>23.7</v>
      </c>
      <c r="Z24" s="11" t="inlineStr">
        <is>
          <t>Priority Tier 2 (Balanced Opportunity)</t>
        </is>
      </c>
    </row>
    <row r="25">
      <c r="A25" s="23" t="n">
        <v>3</v>
      </c>
      <c r="B25" s="23" t="n">
        <v>21</v>
      </c>
      <c r="C25" s="23" t="n">
        <v>2021</v>
      </c>
      <c r="D25" s="23" t="inlineStr">
        <is>
          <t>0301403013</t>
        </is>
      </c>
      <c r="E25" s="11" t="inlineStr">
        <is>
          <t>Region III (Central Luzon)</t>
        </is>
      </c>
      <c r="F25" s="11" t="inlineStr">
        <is>
          <t>Bulacan</t>
        </is>
      </c>
      <c r="G25" s="11" t="inlineStr">
        <is>
          <t>Baliuag</t>
        </is>
      </c>
      <c r="H25" s="11" t="inlineStr">
        <is>
          <t>Pinagbarilan</t>
        </is>
      </c>
      <c r="I25" s="24" t="n">
        <v>14.950534</v>
      </c>
      <c r="J25" s="24" t="n">
        <v>120.88397</v>
      </c>
      <c r="K25" s="23" t="inlineStr">
        <is>
          <t>U</t>
        </is>
      </c>
      <c r="L25" s="25" t="n">
        <v>6878</v>
      </c>
      <c r="M25" s="26" t="n">
        <v>3.5</v>
      </c>
      <c r="N25" s="25">
        <f>ROUND(L25/M25, 0)</f>
        <v/>
      </c>
      <c r="O25" s="25">
        <f>ROUND(N25*'Methodology &amp; Assumptions'!$B$7, 0)</f>
        <v/>
      </c>
      <c r="P25" s="23" t="inlineStr">
        <is>
          <t>Single Carrier (Band n50, 100MHz TDD)</t>
        </is>
      </c>
      <c r="Q25" s="27">
        <f>ROUNDUP(O25/'Methodology &amp; Assumptions'!$B$8, 0)</f>
        <v/>
      </c>
      <c r="R25" s="27" t="n">
        <v>1</v>
      </c>
      <c r="S25" s="26" t="n">
        <v>0.51</v>
      </c>
      <c r="T25" s="26" t="n">
        <v>0.03</v>
      </c>
      <c r="U25" s="11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26" t="n">
        <v>78.43000000000001</v>
      </c>
      <c r="W25" s="26" t="n">
        <v>46.13</v>
      </c>
      <c r="X25" s="26">
        <f>ROUND(('Methodology &amp; Assumptions'!$B$5*V25) + ('Methodology &amp; Assumptions'!$B$6*W25), 2)</f>
        <v/>
      </c>
      <c r="Y25" s="28" t="n">
        <v>8.300000000000001</v>
      </c>
      <c r="Z25" s="11" t="inlineStr">
        <is>
          <t>Priority Tier 2 (Balanced Opportunity)</t>
        </is>
      </c>
    </row>
    <row r="26">
      <c r="A26" s="23" t="n">
        <v>3</v>
      </c>
      <c r="B26" s="23" t="n">
        <v>22</v>
      </c>
      <c r="C26" s="23" t="n">
        <v>2022</v>
      </c>
      <c r="D26" s="23" t="inlineStr">
        <is>
          <t>0402117016</t>
        </is>
      </c>
      <c r="E26" s="11" t="inlineStr">
        <is>
          <t>Region IV-A (CALABARZON)</t>
        </is>
      </c>
      <c r="F26" s="11" t="inlineStr">
        <is>
          <t>Cavite</t>
        </is>
      </c>
      <c r="G26" s="11" t="inlineStr">
        <is>
          <t>Rosario</t>
        </is>
      </c>
      <c r="H26" s="11" t="inlineStr">
        <is>
          <t>Sapa II</t>
        </is>
      </c>
      <c r="I26" s="24" t="n">
        <v>14.41827</v>
      </c>
      <c r="J26" s="24" t="n">
        <v>120.84918</v>
      </c>
      <c r="K26" s="23" t="inlineStr">
        <is>
          <t>U</t>
        </is>
      </c>
      <c r="L26" s="25" t="n">
        <v>7136</v>
      </c>
      <c r="M26" s="26" t="n">
        <v>3.4</v>
      </c>
      <c r="N26" s="25">
        <f>ROUND(L26/M26, 0)</f>
        <v/>
      </c>
      <c r="O26" s="25">
        <f>ROUND(N26*'Methodology &amp; Assumptions'!$B$7, 0)</f>
        <v/>
      </c>
      <c r="P26" s="23" t="inlineStr">
        <is>
          <t>Single Carrier (Band n50, 100MHz TDD)</t>
        </is>
      </c>
      <c r="Q26" s="27">
        <f>ROUNDUP(O26/'Methodology &amp; Assumptions'!$B$8, 0)</f>
        <v/>
      </c>
      <c r="R26" s="27" t="n">
        <v>1</v>
      </c>
      <c r="S26" s="26" t="n">
        <v>2.63</v>
      </c>
      <c r="T26" s="26" t="n">
        <v>2.81</v>
      </c>
      <c r="U26" s="11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26" t="n">
        <v>68.47</v>
      </c>
      <c r="W26" s="26" t="n">
        <v>56.1</v>
      </c>
      <c r="X26" s="26">
        <f>ROUND(('Methodology &amp; Assumptions'!$B$5*V26) + ('Methodology &amp; Assumptions'!$B$6*W26), 2)</f>
        <v/>
      </c>
      <c r="Y26" s="28" t="n">
        <v>7.2</v>
      </c>
      <c r="Z26" s="11" t="inlineStr">
        <is>
          <t>Priority Tier 2 (Balanced Opportunity)</t>
        </is>
      </c>
    </row>
    <row r="27">
      <c r="A27" s="23" t="n">
        <v>3</v>
      </c>
      <c r="B27" s="23" t="n">
        <v>23</v>
      </c>
      <c r="C27" s="23" t="n">
        <v>2023</v>
      </c>
      <c r="D27" s="23" t="inlineStr">
        <is>
          <t>1380606186</t>
        </is>
      </c>
      <c r="E27" s="11" t="inlineStr">
        <is>
          <t>National Capital Region (NCR)</t>
        </is>
      </c>
      <c r="F27" s="11" t="inlineStr">
        <is>
          <t>First District (Not a Province)</t>
        </is>
      </c>
      <c r="G27" s="11" t="inlineStr">
        <is>
          <t>City of Manila</t>
        </is>
      </c>
      <c r="H27" s="11" t="inlineStr">
        <is>
          <t>Barangay 580</t>
        </is>
      </c>
      <c r="I27" s="24" t="n">
        <v>14.60409</v>
      </c>
      <c r="J27" s="24" t="n">
        <v>121.007168</v>
      </c>
      <c r="K27" s="23" t="inlineStr">
        <is>
          <t>U</t>
        </is>
      </c>
      <c r="L27" s="25" t="n">
        <v>1889</v>
      </c>
      <c r="M27" s="26" t="n">
        <v>4.36</v>
      </c>
      <c r="N27" s="25">
        <f>ROUND(L27/M27, 0)</f>
        <v/>
      </c>
      <c r="O27" s="25">
        <f>ROUND(N27*'Methodology &amp; Assumptions'!$B$7, 0)</f>
        <v/>
      </c>
      <c r="P27" s="23" t="inlineStr">
        <is>
          <t>Single Carrier (Band n50, 100MHz TDD)</t>
        </is>
      </c>
      <c r="Q27" s="27">
        <f>ROUNDUP(O27/'Methodology &amp; Assumptions'!$B$8, 0)</f>
        <v/>
      </c>
      <c r="R27" s="27" t="n">
        <v>1</v>
      </c>
      <c r="S27" s="26" t="n">
        <v>0.36</v>
      </c>
      <c r="T27" s="26" t="n">
        <v>0.22</v>
      </c>
      <c r="U27" s="11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26" t="n">
        <v>55.02</v>
      </c>
      <c r="W27" s="26" t="n">
        <v>69.55</v>
      </c>
      <c r="X27" s="26">
        <f>ROUND(('Methodology &amp; Assumptions'!$B$5*V27) + ('Methodology &amp; Assumptions'!$B$6*W27), 2)</f>
        <v/>
      </c>
      <c r="Y27" s="28" t="n">
        <v>10.9</v>
      </c>
      <c r="Z27" s="11" t="inlineStr">
        <is>
          <t>Priority Tier 2 (Balanced Opportunity)</t>
        </is>
      </c>
    </row>
    <row r="28">
      <c r="A28" s="23" t="n">
        <v>3</v>
      </c>
      <c r="B28" s="23" t="n">
        <v>24</v>
      </c>
      <c r="C28" s="23" t="n">
        <v>2024</v>
      </c>
      <c r="D28" s="23" t="inlineStr">
        <is>
          <t>1380603014</t>
        </is>
      </c>
      <c r="E28" s="11" t="inlineStr">
        <is>
          <t>National Capital Region (NCR)</t>
        </is>
      </c>
      <c r="F28" s="11" t="inlineStr">
        <is>
          <t>First District (Not a Province)</t>
        </is>
      </c>
      <c r="G28" s="11" t="inlineStr">
        <is>
          <t>City of Manila</t>
        </is>
      </c>
      <c r="H28" s="11" t="inlineStr">
        <is>
          <t>Barangay 394</t>
        </is>
      </c>
      <c r="I28" s="24" t="n">
        <v>14.599908</v>
      </c>
      <c r="J28" s="24" t="n">
        <v>120.984943</v>
      </c>
      <c r="K28" s="23" t="inlineStr">
        <is>
          <t>U</t>
        </is>
      </c>
      <c r="L28" s="25" t="n">
        <v>1487</v>
      </c>
      <c r="M28" s="26" t="n">
        <v>4.2</v>
      </c>
      <c r="N28" s="25">
        <f>ROUND(L28/M28, 0)</f>
        <v/>
      </c>
      <c r="O28" s="25">
        <f>ROUND(N28*'Methodology &amp; Assumptions'!$B$7, 0)</f>
        <v/>
      </c>
      <c r="P28" s="23" t="inlineStr">
        <is>
          <t>Single Carrier (Band n50, 100MHz TDD)</t>
        </is>
      </c>
      <c r="Q28" s="27">
        <f>ROUNDUP(O28/'Methodology &amp; Assumptions'!$B$8, 0)</f>
        <v/>
      </c>
      <c r="R28" s="27" t="n">
        <v>1</v>
      </c>
      <c r="S28" s="26" t="n">
        <v>0.76</v>
      </c>
      <c r="T28" s="26" t="n">
        <v>0.32</v>
      </c>
      <c r="U28" s="11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26" t="n">
        <v>52.45</v>
      </c>
      <c r="W28" s="26" t="n">
        <v>72.12</v>
      </c>
      <c r="X28" s="26">
        <f>ROUND(('Methodology &amp; Assumptions'!$B$5*V28) + ('Methodology &amp; Assumptions'!$B$6*W28), 2)</f>
        <v/>
      </c>
      <c r="Y28" s="28" t="n">
        <v>10.9</v>
      </c>
      <c r="Z28" s="11" t="inlineStr">
        <is>
          <t>Priority Tier 2 (Balanced Opportunity)</t>
        </is>
      </c>
    </row>
    <row r="29">
      <c r="A29" s="23" t="n">
        <v>3</v>
      </c>
      <c r="B29" s="23" t="n">
        <v>25</v>
      </c>
      <c r="C29" s="23" t="n">
        <v>2025</v>
      </c>
      <c r="D29" s="23" t="inlineStr">
        <is>
          <t>0403423001</t>
        </is>
      </c>
      <c r="E29" s="11" t="inlineStr">
        <is>
          <t>Region IV-A (CALABARZON)</t>
        </is>
      </c>
      <c r="F29" s="11" t="inlineStr">
        <is>
          <t>Laguna</t>
        </is>
      </c>
      <c r="G29" s="11" t="inlineStr">
        <is>
          <t>Rizal</t>
        </is>
      </c>
      <c r="H29" s="11" t="inlineStr">
        <is>
          <t>Antipolo</t>
        </is>
      </c>
      <c r="I29" s="24" t="n">
        <v>14.111331</v>
      </c>
      <c r="J29" s="24" t="n">
        <v>121.383033</v>
      </c>
      <c r="K29" s="23" t="inlineStr">
        <is>
          <t>R</t>
        </is>
      </c>
      <c r="L29" s="25" t="n">
        <v>2871</v>
      </c>
      <c r="M29" s="26" t="n">
        <v>3.6</v>
      </c>
      <c r="N29" s="25">
        <f>ROUND(L29/M29, 0)</f>
        <v/>
      </c>
      <c r="O29" s="25">
        <f>ROUND(N29*'Methodology &amp; Assumptions'!$B$7, 0)</f>
        <v/>
      </c>
      <c r="P29" s="23" t="inlineStr">
        <is>
          <t>Single Carrier (Band n50, 100MHz TDD)</t>
        </is>
      </c>
      <c r="Q29" s="27">
        <f>ROUNDUP(O29/'Methodology &amp; Assumptions'!$B$8, 0)</f>
        <v/>
      </c>
      <c r="R29" s="27" t="n">
        <v>1</v>
      </c>
      <c r="S29" s="26" t="n">
        <v>1.05</v>
      </c>
      <c r="T29" s="26" t="n">
        <v>0.1</v>
      </c>
      <c r="U29" s="11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26" t="n">
        <v>86.67</v>
      </c>
      <c r="W29" s="26" t="n">
        <v>37.87</v>
      </c>
      <c r="X29" s="26">
        <f>ROUND(('Methodology &amp; Assumptions'!$B$5*V29) + ('Methodology &amp; Assumptions'!$B$6*W29), 2)</f>
        <v/>
      </c>
      <c r="Y29" s="28" t="n">
        <v>7.2</v>
      </c>
      <c r="Z29" s="11" t="inlineStr">
        <is>
          <t>Priority Tier 2 (Balanced Opportunity)</t>
        </is>
      </c>
    </row>
    <row r="30">
      <c r="A30" s="23" t="n">
        <v>3</v>
      </c>
      <c r="B30" s="23" t="n">
        <v>26</v>
      </c>
      <c r="C30" s="23" t="n">
        <v>2026</v>
      </c>
      <c r="D30" s="23" t="inlineStr">
        <is>
          <t>0403406015</t>
        </is>
      </c>
      <c r="E30" s="11" t="inlineStr">
        <is>
          <t>Region IV-A (CALABARZON)</t>
        </is>
      </c>
      <c r="F30" s="11" t="inlineStr">
        <is>
          <t>Laguna</t>
        </is>
      </c>
      <c r="G30" s="11" t="inlineStr">
        <is>
          <t>Calauan</t>
        </is>
      </c>
      <c r="H30" s="11" t="inlineStr">
        <is>
          <t>Prinza</t>
        </is>
      </c>
      <c r="I30" s="24" t="n">
        <v>14.142377</v>
      </c>
      <c r="J30" s="24" t="n">
        <v>121.316587</v>
      </c>
      <c r="K30" s="23" t="inlineStr">
        <is>
          <t>R</t>
        </is>
      </c>
      <c r="L30" s="25" t="n">
        <v>3113</v>
      </c>
      <c r="M30" s="26" t="n">
        <v>3.3</v>
      </c>
      <c r="N30" s="25">
        <f>ROUND(L30/M30, 0)</f>
        <v/>
      </c>
      <c r="O30" s="25">
        <f>ROUND(N30*'Methodology &amp; Assumptions'!$B$7, 0)</f>
        <v/>
      </c>
      <c r="P30" s="23" t="inlineStr">
        <is>
          <t>Single Carrier (Band n50, 100MHz TDD)</t>
        </is>
      </c>
      <c r="Q30" s="27">
        <f>ROUNDUP(O30/'Methodology &amp; Assumptions'!$B$8, 0)</f>
        <v/>
      </c>
      <c r="R30" s="27" t="n">
        <v>1</v>
      </c>
      <c r="S30" s="26" t="n">
        <v>0.5</v>
      </c>
      <c r="T30" s="26" t="n">
        <v>0.41</v>
      </c>
      <c r="U30" s="11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26" t="n">
        <v>85.45999999999999</v>
      </c>
      <c r="W30" s="26" t="n">
        <v>39.08</v>
      </c>
      <c r="X30" s="26">
        <f>ROUND(('Methodology &amp; Assumptions'!$B$5*V30) + ('Methodology &amp; Assumptions'!$B$6*W30), 2)</f>
        <v/>
      </c>
      <c r="Y30" s="28" t="n">
        <v>7.2</v>
      </c>
      <c r="Z30" s="11" t="inlineStr">
        <is>
          <t>Priority Tier 2 (Balanced Opportunity)</t>
        </is>
      </c>
    </row>
    <row r="31">
      <c r="A31" s="23" t="n">
        <v>3</v>
      </c>
      <c r="B31" s="23" t="n">
        <v>27</v>
      </c>
      <c r="C31" s="23" t="n">
        <v>2027</v>
      </c>
      <c r="D31" s="23" t="inlineStr">
        <is>
          <t>0402117015</t>
        </is>
      </c>
      <c r="E31" s="11" t="inlineStr">
        <is>
          <t>Region IV-A (CALABARZON)</t>
        </is>
      </c>
      <c r="F31" s="11" t="inlineStr">
        <is>
          <t>Cavite</t>
        </is>
      </c>
      <c r="G31" s="11" t="inlineStr">
        <is>
          <t>Rosario</t>
        </is>
      </c>
      <c r="H31" s="11" t="inlineStr">
        <is>
          <t>Muzon II</t>
        </is>
      </c>
      <c r="I31" s="24" t="n">
        <v>14.420829</v>
      </c>
      <c r="J31" s="24" t="n">
        <v>120.854011</v>
      </c>
      <c r="K31" s="23" t="inlineStr">
        <is>
          <t>R</t>
        </is>
      </c>
      <c r="L31" s="25" t="n">
        <v>2960</v>
      </c>
      <c r="M31" s="26" t="n">
        <v>3.4</v>
      </c>
      <c r="N31" s="25">
        <f>ROUND(L31/M31, 0)</f>
        <v/>
      </c>
      <c r="O31" s="25">
        <f>ROUND(N31*'Methodology &amp; Assumptions'!$B$7, 0)</f>
        <v/>
      </c>
      <c r="P31" s="23" t="inlineStr">
        <is>
          <t>Single Carrier (Band n50, 100MHz TDD)</t>
        </is>
      </c>
      <c r="Q31" s="27">
        <f>ROUNDUP(O31/'Methodology &amp; Assumptions'!$B$8, 0)</f>
        <v/>
      </c>
      <c r="R31" s="27" t="n">
        <v>1</v>
      </c>
      <c r="S31" s="26" t="n">
        <v>2.66</v>
      </c>
      <c r="T31" s="26" t="n">
        <v>2.87</v>
      </c>
      <c r="U31" s="11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26" t="n">
        <v>75.56</v>
      </c>
      <c r="W31" s="26" t="n">
        <v>48.98</v>
      </c>
      <c r="X31" s="26">
        <f>ROUND(('Methodology &amp; Assumptions'!$B$5*V31) + ('Methodology &amp; Assumptions'!$B$6*W31), 2)</f>
        <v/>
      </c>
      <c r="Y31" s="28" t="n">
        <v>7.2</v>
      </c>
      <c r="Z31" s="11" t="inlineStr">
        <is>
          <t>Priority Tier 2 (Balanced Opportunity)</t>
        </is>
      </c>
    </row>
    <row r="32">
      <c r="A32" s="23" t="n">
        <v>3</v>
      </c>
      <c r="B32" s="23" t="n">
        <v>28</v>
      </c>
      <c r="C32" s="23" t="n">
        <v>2028</v>
      </c>
      <c r="D32" s="23" t="inlineStr">
        <is>
          <t>1381300023</t>
        </is>
      </c>
      <c r="E32" s="11" t="inlineStr">
        <is>
          <t>National Capital Region (NCR)</t>
        </is>
      </c>
      <c r="F32" s="11" t="inlineStr">
        <is>
          <t>Second District (Not a Province)</t>
        </is>
      </c>
      <c r="G32" s="11" t="inlineStr">
        <is>
          <t>Quezon City</t>
        </is>
      </c>
      <c r="H32" s="11" t="inlineStr">
        <is>
          <t>New Era</t>
        </is>
      </c>
      <c r="I32" s="24" t="n">
        <v>14.66472</v>
      </c>
      <c r="J32" s="24" t="n">
        <v>121.0595</v>
      </c>
      <c r="K32" s="23" t="inlineStr">
        <is>
          <t>U</t>
        </is>
      </c>
      <c r="L32" s="25" t="n">
        <v>14987</v>
      </c>
      <c r="M32" s="26" t="n">
        <v>4.29</v>
      </c>
      <c r="N32" s="25">
        <f>ROUND(L32/M32, 0)</f>
        <v/>
      </c>
      <c r="O32" s="25">
        <f>ROUND(N32*'Methodology &amp; Assumptions'!$B$7, 0)</f>
        <v/>
      </c>
      <c r="P32" s="23" t="inlineStr">
        <is>
          <t>Single Carrier (Band n50, 100MHz TDD)</t>
        </is>
      </c>
      <c r="Q32" s="27">
        <f>ROUNDUP(O32/'Methodology &amp; Assumptions'!$B$8, 0)</f>
        <v/>
      </c>
      <c r="R32" s="27" t="n">
        <v>1</v>
      </c>
      <c r="S32" s="26" t="n">
        <v>1.34</v>
      </c>
      <c r="T32" s="26" t="n">
        <v>0.3</v>
      </c>
      <c r="U32" s="11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26" t="n">
        <v>67.2</v>
      </c>
      <c r="W32" s="26" t="n">
        <v>57.33</v>
      </c>
      <c r="X32" s="26">
        <f>ROUND(('Methodology &amp; Assumptions'!$B$5*V32) + ('Methodology &amp; Assumptions'!$B$6*W32), 2)</f>
        <v/>
      </c>
      <c r="Y32" s="28" t="n">
        <v>10.9</v>
      </c>
      <c r="Z32" s="11" t="inlineStr">
        <is>
          <t>Priority Tier 2 (Balanced Opportunity)</t>
        </is>
      </c>
    </row>
    <row r="33">
      <c r="A33" s="23" t="n">
        <v>3</v>
      </c>
      <c r="B33" s="23" t="n">
        <v>29</v>
      </c>
      <c r="C33" s="23" t="n">
        <v>2029</v>
      </c>
      <c r="D33" s="23" t="inlineStr">
        <is>
          <t>0102934009</t>
        </is>
      </c>
      <c r="E33" s="11" t="inlineStr">
        <is>
          <t>Region I (Ilocos Region)</t>
        </is>
      </c>
      <c r="F33" s="11" t="inlineStr">
        <is>
          <t>Ilocos Sur</t>
        </is>
      </c>
      <c r="G33" s="11" t="inlineStr">
        <is>
          <t>City of Vigan</t>
        </is>
      </c>
      <c r="H33" s="11" t="inlineStr">
        <is>
          <t>Barraca</t>
        </is>
      </c>
      <c r="I33" s="24" t="n">
        <v>17.574056</v>
      </c>
      <c r="J33" s="24" t="n">
        <v>120.390856</v>
      </c>
      <c r="K33" s="23" t="inlineStr">
        <is>
          <t>R</t>
        </is>
      </c>
      <c r="L33" s="25" t="n">
        <v>300</v>
      </c>
      <c r="M33" s="26" t="n">
        <v>3.8</v>
      </c>
      <c r="N33" s="25">
        <f>ROUND(L33/M33, 0)</f>
        <v/>
      </c>
      <c r="O33" s="25">
        <f>ROUND(N33*'Methodology &amp; Assumptions'!$B$7, 0)</f>
        <v/>
      </c>
      <c r="P33" s="23" t="inlineStr">
        <is>
          <t>Single Carrier (Band n50, 100MHz TDD)</t>
        </is>
      </c>
      <c r="Q33" s="27">
        <f>ROUNDUP(O33/'Methodology &amp; Assumptions'!$B$8, 0)</f>
        <v/>
      </c>
      <c r="R33" s="27" t="n">
        <v>1</v>
      </c>
      <c r="S33" s="26" t="n">
        <v>2.17</v>
      </c>
      <c r="T33" s="26" t="n">
        <v>0.7</v>
      </c>
      <c r="U33" s="11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26" t="n">
        <v>56.8</v>
      </c>
      <c r="W33" s="26" t="n">
        <v>67.73999999999999</v>
      </c>
      <c r="X33" s="26">
        <f>ROUND(('Methodology &amp; Assumptions'!$B$5*V33) + ('Methodology &amp; Assumptions'!$B$6*W33), 2)</f>
        <v/>
      </c>
      <c r="Y33" s="28" t="n">
        <v>8.300000000000001</v>
      </c>
      <c r="Z33" s="11" t="inlineStr">
        <is>
          <t>Priority Tier 2 (Balanced Opportunity)</t>
        </is>
      </c>
    </row>
    <row r="34">
      <c r="A34" s="23" t="n">
        <v>3</v>
      </c>
      <c r="B34" s="23" t="n">
        <v>30</v>
      </c>
      <c r="C34" s="23" t="n">
        <v>2030</v>
      </c>
      <c r="D34" s="23" t="inlineStr">
        <is>
          <t>0102934007</t>
        </is>
      </c>
      <c r="E34" s="11" t="inlineStr">
        <is>
          <t>Region I (Ilocos Region)</t>
        </is>
      </c>
      <c r="F34" s="11" t="inlineStr">
        <is>
          <t>Ilocos Sur</t>
        </is>
      </c>
      <c r="G34" s="11" t="inlineStr">
        <is>
          <t>City of Vigan</t>
        </is>
      </c>
      <c r="H34" s="11" t="inlineStr">
        <is>
          <t>Barangay V</t>
        </is>
      </c>
      <c r="I34" s="24" t="n">
        <v>17.573087</v>
      </c>
      <c r="J34" s="24" t="n">
        <v>120.388945</v>
      </c>
      <c r="K34" s="23" t="inlineStr">
        <is>
          <t>U</t>
        </is>
      </c>
      <c r="L34" s="25" t="n">
        <v>706</v>
      </c>
      <c r="M34" s="26" t="n">
        <v>3.8</v>
      </c>
      <c r="N34" s="25">
        <f>ROUND(L34/M34, 0)</f>
        <v/>
      </c>
      <c r="O34" s="25">
        <f>ROUND(N34*'Methodology &amp; Assumptions'!$B$7, 0)</f>
        <v/>
      </c>
      <c r="P34" s="23" t="inlineStr">
        <is>
          <t>Single Carrier (Band n50, 100MHz TDD)</t>
        </is>
      </c>
      <c r="Q34" s="27">
        <f>ROUNDUP(O34/'Methodology &amp; Assumptions'!$B$8, 0)</f>
        <v/>
      </c>
      <c r="R34" s="27" t="n">
        <v>1</v>
      </c>
      <c r="S34" s="26" t="n">
        <v>2.29</v>
      </c>
      <c r="T34" s="26" t="n">
        <v>0.85</v>
      </c>
      <c r="U34" s="11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26" t="n">
        <v>52.7</v>
      </c>
      <c r="W34" s="26" t="n">
        <v>71.84999999999999</v>
      </c>
      <c r="X34" s="26">
        <f>ROUND(('Methodology &amp; Assumptions'!$B$5*V34) + ('Methodology &amp; Assumptions'!$B$6*W34), 2)</f>
        <v/>
      </c>
      <c r="Y34" s="28" t="n">
        <v>8.300000000000001</v>
      </c>
      <c r="Z34" s="11" t="inlineStr">
        <is>
          <t>Priority Tier 2 (Balanced Opportunity)</t>
        </is>
      </c>
    </row>
    <row r="35">
      <c r="A35" s="23" t="n">
        <v>3</v>
      </c>
      <c r="B35" s="23" t="n">
        <v>31</v>
      </c>
      <c r="C35" s="23" t="n">
        <v>2031</v>
      </c>
      <c r="D35" s="23" t="inlineStr">
        <is>
          <t>0304930055</t>
        </is>
      </c>
      <c r="E35" s="11" t="inlineStr">
        <is>
          <t>Region III (Central Luzon)</t>
        </is>
      </c>
      <c r="F35" s="11" t="inlineStr">
        <is>
          <t>Nueva Ecija</t>
        </is>
      </c>
      <c r="G35" s="11" t="inlineStr">
        <is>
          <t>Talavera</t>
        </is>
      </c>
      <c r="H35" s="11" t="inlineStr">
        <is>
          <t>Tabacao</t>
        </is>
      </c>
      <c r="I35" s="24" t="n">
        <v>15.587137</v>
      </c>
      <c r="J35" s="24" t="n">
        <v>120.921231</v>
      </c>
      <c r="K35" s="23" t="inlineStr">
        <is>
          <t>R</t>
        </is>
      </c>
      <c r="L35" s="25" t="n">
        <v>4856</v>
      </c>
      <c r="M35" s="26" t="n">
        <v>3.5</v>
      </c>
      <c r="N35" s="25">
        <f>ROUND(L35/M35, 0)</f>
        <v/>
      </c>
      <c r="O35" s="25">
        <f>ROUND(N35*'Methodology &amp; Assumptions'!$B$7, 0)</f>
        <v/>
      </c>
      <c r="P35" s="23" t="inlineStr">
        <is>
          <t>Single Carrier (Band n50, 100MHz TDD)</t>
        </is>
      </c>
      <c r="Q35" s="27">
        <f>ROUNDUP(O35/'Methodology &amp; Assumptions'!$B$8, 0)</f>
        <v/>
      </c>
      <c r="R35" s="27" t="n">
        <v>1</v>
      </c>
      <c r="S35" s="26" t="n">
        <v>0.61</v>
      </c>
      <c r="T35" s="26" t="n">
        <v>0.28</v>
      </c>
      <c r="U35" s="11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26" t="n">
        <v>85.63</v>
      </c>
      <c r="W35" s="26" t="n">
        <v>38.88</v>
      </c>
      <c r="X35" s="26">
        <f>ROUND(('Methodology &amp; Assumptions'!$B$5*V35) + ('Methodology &amp; Assumptions'!$B$6*W35), 2)</f>
        <v/>
      </c>
      <c r="Y35" s="28" t="n">
        <v>8.300000000000001</v>
      </c>
      <c r="Z35" s="11" t="inlineStr">
        <is>
          <t>Priority Tier 2 (Balanced Opportunity)</t>
        </is>
      </c>
    </row>
    <row r="36">
      <c r="A36" s="23" t="n">
        <v>3</v>
      </c>
      <c r="B36" s="23" t="n">
        <v>32</v>
      </c>
      <c r="C36" s="23" t="n">
        <v>2032</v>
      </c>
      <c r="D36" s="23" t="inlineStr">
        <is>
          <t>0401012014</t>
        </is>
      </c>
      <c r="E36" s="11" t="inlineStr">
        <is>
          <t>Region IV-A (CALABARZON)</t>
        </is>
      </c>
      <c r="F36" s="11" t="inlineStr">
        <is>
          <t>Batangas</t>
        </is>
      </c>
      <c r="G36" s="11" t="inlineStr">
        <is>
          <t>Lemery</t>
        </is>
      </c>
      <c r="H36" s="11" t="inlineStr">
        <is>
          <t>Lucky</t>
        </is>
      </c>
      <c r="I36" s="24" t="n">
        <v>13.8797</v>
      </c>
      <c r="J36" s="24" t="n">
        <v>120.9142</v>
      </c>
      <c r="K36" s="23" t="inlineStr">
        <is>
          <t>R</t>
        </is>
      </c>
      <c r="L36" s="25" t="n">
        <v>955</v>
      </c>
      <c r="M36" s="26" t="n">
        <v>3.6</v>
      </c>
      <c r="N36" s="25">
        <f>ROUND(L36/M36, 0)</f>
        <v/>
      </c>
      <c r="O36" s="25">
        <f>ROUND(N36*'Methodology &amp; Assumptions'!$B$7, 0)</f>
        <v/>
      </c>
      <c r="P36" s="23" t="inlineStr">
        <is>
          <t>Single Carrier (Band n50, 100MHz TDD)</t>
        </is>
      </c>
      <c r="Q36" s="27">
        <f>ROUNDUP(O36/'Methodology &amp; Assumptions'!$B$8, 0)</f>
        <v/>
      </c>
      <c r="R36" s="27" t="n">
        <v>1</v>
      </c>
      <c r="S36" s="26" t="n">
        <v>0.53</v>
      </c>
      <c r="T36" s="26" t="n">
        <v>1.87</v>
      </c>
      <c r="U36" s="11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26" t="n">
        <v>67.56</v>
      </c>
      <c r="W36" s="26" t="n">
        <v>56.95</v>
      </c>
      <c r="X36" s="26">
        <f>ROUND(('Methodology &amp; Assumptions'!$B$5*V36) + ('Methodology &amp; Assumptions'!$B$6*W36), 2)</f>
        <v/>
      </c>
      <c r="Y36" s="28" t="n">
        <v>7.2</v>
      </c>
      <c r="Z36" s="11" t="inlineStr">
        <is>
          <t>Priority Tier 2 (Balanced Opportunity)</t>
        </is>
      </c>
    </row>
    <row r="37">
      <c r="A37" s="23" t="n">
        <v>3</v>
      </c>
      <c r="B37" s="23" t="n">
        <v>33</v>
      </c>
      <c r="C37" s="23" t="n">
        <v>2033</v>
      </c>
      <c r="D37" s="23" t="inlineStr">
        <is>
          <t>1380611001</t>
        </is>
      </c>
      <c r="E37" s="11" t="inlineStr">
        <is>
          <t>National Capital Region (NCR)</t>
        </is>
      </c>
      <c r="F37" s="11" t="inlineStr">
        <is>
          <t>First District (Not a Province)</t>
        </is>
      </c>
      <c r="G37" s="11" t="inlineStr">
        <is>
          <t>City of Manila</t>
        </is>
      </c>
      <c r="H37" s="11" t="inlineStr">
        <is>
          <t>Barangay 662</t>
        </is>
      </c>
      <c r="I37" s="24" t="n">
        <v>14.58893</v>
      </c>
      <c r="J37" s="24" t="n">
        <v>120.993612</v>
      </c>
      <c r="K37" s="23" t="inlineStr">
        <is>
          <t>U</t>
        </is>
      </c>
      <c r="L37" s="25" t="n">
        <v>1753</v>
      </c>
      <c r="M37" s="26" t="n">
        <v>3.89</v>
      </c>
      <c r="N37" s="25">
        <f>ROUND(L37/M37, 0)</f>
        <v/>
      </c>
      <c r="O37" s="25">
        <f>ROUND(N37*'Methodology &amp; Assumptions'!$B$7, 0)</f>
        <v/>
      </c>
      <c r="P37" s="23" t="inlineStr">
        <is>
          <t>Single Carrier (Band n50, 100MHz TDD)</t>
        </is>
      </c>
      <c r="Q37" s="27">
        <f>ROUNDUP(O37/'Methodology &amp; Assumptions'!$B$8, 0)</f>
        <v/>
      </c>
      <c r="R37" s="27" t="n">
        <v>1</v>
      </c>
      <c r="S37" s="26" t="n">
        <v>1.02</v>
      </c>
      <c r="T37" s="26" t="n">
        <v>0.75</v>
      </c>
      <c r="U37" s="11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26" t="n">
        <v>54.87</v>
      </c>
      <c r="W37" s="26" t="n">
        <v>69.65000000000001</v>
      </c>
      <c r="X37" s="26">
        <f>ROUND(('Methodology &amp; Assumptions'!$B$5*V37) + ('Methodology &amp; Assumptions'!$B$6*W37), 2)</f>
        <v/>
      </c>
      <c r="Y37" s="28" t="n">
        <v>10.9</v>
      </c>
      <c r="Z37" s="11" t="inlineStr">
        <is>
          <t>Priority Tier 2 (Balanced Opportunity)</t>
        </is>
      </c>
    </row>
    <row r="38">
      <c r="A38" s="23" t="n">
        <v>3</v>
      </c>
      <c r="B38" s="23" t="n">
        <v>34</v>
      </c>
      <c r="C38" s="23" t="n">
        <v>2034</v>
      </c>
      <c r="D38" s="23" t="inlineStr">
        <is>
          <t>1380606236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629</t>
        </is>
      </c>
      <c r="I38" s="24" t="n">
        <v>14.601392</v>
      </c>
      <c r="J38" s="24" t="n">
        <v>121.008794</v>
      </c>
      <c r="K38" s="23" t="inlineStr">
        <is>
          <t>U</t>
        </is>
      </c>
      <c r="L38" s="25" t="n">
        <v>1640</v>
      </c>
      <c r="M38" s="26" t="n">
        <v>4.07</v>
      </c>
      <c r="N38" s="25">
        <f>ROUND(L38/M38, 0)</f>
        <v/>
      </c>
      <c r="O38" s="25">
        <f>ROUND(N38*'Methodology &amp; Assumptions'!$B$7, 0)</f>
        <v/>
      </c>
      <c r="P38" s="23" t="inlineStr">
        <is>
          <t>Single Carrier (Band n50, 100MHz TDD)</t>
        </is>
      </c>
      <c r="Q38" s="27">
        <f>ROUNDUP(O38/'Methodology &amp; Assumptions'!$B$8, 0)</f>
        <v/>
      </c>
      <c r="R38" s="27" t="n">
        <v>1</v>
      </c>
      <c r="S38" s="26" t="n">
        <v>0.46</v>
      </c>
      <c r="T38" s="26" t="n">
        <v>0.15</v>
      </c>
      <c r="U38" s="11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26" t="n">
        <v>54.05</v>
      </c>
      <c r="W38" s="26" t="n">
        <v>70.45999999999999</v>
      </c>
      <c r="X38" s="26">
        <f>ROUND(('Methodology &amp; Assumptions'!$B$5*V38) + ('Methodology &amp; Assumptions'!$B$6*W38), 2)</f>
        <v/>
      </c>
      <c r="Y38" s="28" t="n">
        <v>10.9</v>
      </c>
      <c r="Z38" s="11" t="inlineStr">
        <is>
          <t>Priority Tier 2 (Balanced Opportunity)</t>
        </is>
      </c>
    </row>
    <row r="39">
      <c r="A39" s="23" t="n">
        <v>3</v>
      </c>
      <c r="B39" s="23" t="n">
        <v>35</v>
      </c>
      <c r="C39" s="23" t="n">
        <v>2035</v>
      </c>
      <c r="D39" s="23" t="inlineStr">
        <is>
          <t>0403413008</t>
        </is>
      </c>
      <c r="E39" s="11" t="inlineStr">
        <is>
          <t>Region IV-A (CALABARZON)</t>
        </is>
      </c>
      <c r="F39" s="11" t="inlineStr">
        <is>
          <t>Laguna</t>
        </is>
      </c>
      <c r="G39" s="11" t="inlineStr">
        <is>
          <t>Lumban</t>
        </is>
      </c>
      <c r="H39" s="11" t="inlineStr">
        <is>
          <t>Maytalang I</t>
        </is>
      </c>
      <c r="I39" s="24" t="n">
        <v>14.30113</v>
      </c>
      <c r="J39" s="24" t="n">
        <v>121.453526</v>
      </c>
      <c r="K39" s="23" t="inlineStr">
        <is>
          <t>U</t>
        </is>
      </c>
      <c r="L39" s="25" t="n">
        <v>4369</v>
      </c>
      <c r="M39" s="26" t="n">
        <v>3.3</v>
      </c>
      <c r="N39" s="25">
        <f>ROUND(L39/M39, 0)</f>
        <v/>
      </c>
      <c r="O39" s="25">
        <f>ROUND(N39*'Methodology &amp; Assumptions'!$B$7, 0)</f>
        <v/>
      </c>
      <c r="P39" s="23" t="inlineStr">
        <is>
          <t>Single Carrier (Band n50, 100MHz TDD)</t>
        </is>
      </c>
      <c r="Q39" s="27">
        <f>ROUNDUP(O39/'Methodology &amp; Assumptions'!$B$8, 0)</f>
        <v/>
      </c>
      <c r="R39" s="27" t="n">
        <v>1</v>
      </c>
      <c r="S39" s="26" t="n">
        <v>1.01</v>
      </c>
      <c r="T39" s="26" t="n">
        <v>1.14</v>
      </c>
      <c r="U39" s="11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26" t="n">
        <v>77.61</v>
      </c>
      <c r="W39" s="26" t="n">
        <v>46.9</v>
      </c>
      <c r="X39" s="26">
        <f>ROUND(('Methodology &amp; Assumptions'!$B$5*V39) + ('Methodology &amp; Assumptions'!$B$6*W39), 2)</f>
        <v/>
      </c>
      <c r="Y39" s="28" t="n">
        <v>7.2</v>
      </c>
      <c r="Z39" s="11" t="inlineStr">
        <is>
          <t>Priority Tier 2 (Balanced Opportunity)</t>
        </is>
      </c>
    </row>
    <row r="40">
      <c r="A40" s="23" t="n">
        <v>3</v>
      </c>
      <c r="B40" s="23" t="n">
        <v>36</v>
      </c>
      <c r="C40" s="23" t="n">
        <v>2036</v>
      </c>
      <c r="D40" s="23" t="inlineStr">
        <is>
          <t>1380606120</t>
        </is>
      </c>
      <c r="E40" s="11" t="inlineStr">
        <is>
          <t>National Capital Region (NCR)</t>
        </is>
      </c>
      <c r="F40" s="11" t="inlineStr">
        <is>
          <t>First District (Not a Province)</t>
        </is>
      </c>
      <c r="G40" s="11" t="inlineStr">
        <is>
          <t>City of Manila</t>
        </is>
      </c>
      <c r="H40" s="11" t="inlineStr">
        <is>
          <t>Barangay 514</t>
        </is>
      </c>
      <c r="I40" s="24" t="n">
        <v>14.618977</v>
      </c>
      <c r="J40" s="24" t="n">
        <v>120.995165</v>
      </c>
      <c r="K40" s="23" t="inlineStr">
        <is>
          <t>U</t>
        </is>
      </c>
      <c r="L40" s="25" t="n">
        <v>2196</v>
      </c>
      <c r="M40" s="26" t="n">
        <v>4.3</v>
      </c>
      <c r="N40" s="25">
        <f>ROUND(L40/M40, 0)</f>
        <v/>
      </c>
      <c r="O40" s="25">
        <f>ROUND(N40*'Methodology &amp; Assumptions'!$B$7, 0)</f>
        <v/>
      </c>
      <c r="P40" s="23" t="inlineStr">
        <is>
          <t>Single Carrier (Band n50, 100MHz TDD)</t>
        </is>
      </c>
      <c r="Q40" s="27">
        <f>ROUNDUP(O40/'Methodology &amp; Assumptions'!$B$8, 0)</f>
        <v/>
      </c>
      <c r="R40" s="27" t="n">
        <v>1</v>
      </c>
      <c r="S40" s="26" t="n">
        <v>1.29</v>
      </c>
      <c r="T40" s="26" t="n">
        <v>0.61</v>
      </c>
      <c r="U40" s="11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26" t="n">
        <v>55.79</v>
      </c>
      <c r="W40" s="26" t="n">
        <v>68.70999999999999</v>
      </c>
      <c r="X40" s="26">
        <f>ROUND(('Methodology &amp; Assumptions'!$B$5*V40) + ('Methodology &amp; Assumptions'!$B$6*W40), 2)</f>
        <v/>
      </c>
      <c r="Y40" s="28" t="n">
        <v>10.9</v>
      </c>
      <c r="Z40" s="11" t="inlineStr">
        <is>
          <t>Priority Tier 2 (Balanced Opportunity)</t>
        </is>
      </c>
    </row>
    <row r="41">
      <c r="A41" s="23" t="n">
        <v>3</v>
      </c>
      <c r="B41" s="23" t="n">
        <v>37</v>
      </c>
      <c r="C41" s="23" t="n">
        <v>2037</v>
      </c>
      <c r="D41" s="23" t="inlineStr">
        <is>
          <t>1381100039</t>
        </is>
      </c>
      <c r="E41" s="11" t="inlineStr">
        <is>
          <t>National Capital Region (NCR)</t>
        </is>
      </c>
      <c r="F41" s="11" t="inlineStr">
        <is>
          <t>Fourth District (Not a Province)</t>
        </is>
      </c>
      <c r="G41" s="11" t="inlineStr">
        <is>
          <t>Pasay City</t>
        </is>
      </c>
      <c r="H41" s="11" t="inlineStr">
        <is>
          <t>Barangay 39</t>
        </is>
      </c>
      <c r="I41" s="24" t="n">
        <v>14.549614</v>
      </c>
      <c r="J41" s="24" t="n">
        <v>120.996576</v>
      </c>
      <c r="K41" s="23" t="inlineStr">
        <is>
          <t>U</t>
        </is>
      </c>
      <c r="L41" s="25" t="n">
        <v>1224</v>
      </c>
      <c r="M41" s="26" t="n">
        <v>3.21</v>
      </c>
      <c r="N41" s="25">
        <f>ROUND(L41/M41, 0)</f>
        <v/>
      </c>
      <c r="O41" s="25">
        <f>ROUND(N41*'Methodology &amp; Assumptions'!$B$7, 0)</f>
        <v/>
      </c>
      <c r="P41" s="23" t="inlineStr">
        <is>
          <t>Single Carrier (Band n50, 100MHz TDD)</t>
        </is>
      </c>
      <c r="Q41" s="27">
        <f>ROUNDUP(O41/'Methodology &amp; Assumptions'!$B$8, 0)</f>
        <v/>
      </c>
      <c r="R41" s="27" t="n">
        <v>1</v>
      </c>
      <c r="S41" s="26" t="n">
        <v>0.61</v>
      </c>
      <c r="T41" s="26" t="n">
        <v>0.22</v>
      </c>
      <c r="U41" s="11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26" t="n">
        <v>53.3</v>
      </c>
      <c r="W41" s="26" t="n">
        <v>71.2</v>
      </c>
      <c r="X41" s="26">
        <f>ROUND(('Methodology &amp; Assumptions'!$B$5*V41) + ('Methodology &amp; Assumptions'!$B$6*W41), 2)</f>
        <v/>
      </c>
      <c r="Y41" s="28" t="n">
        <v>10.9</v>
      </c>
      <c r="Z41" s="11" t="inlineStr">
        <is>
          <t>Priority Tier 2 (Balanced Opportunity)</t>
        </is>
      </c>
    </row>
    <row r="42">
      <c r="A42" s="23" t="n">
        <v>3</v>
      </c>
      <c r="B42" s="23" t="n">
        <v>38</v>
      </c>
      <c r="C42" s="23" t="n">
        <v>2038</v>
      </c>
      <c r="D42" s="23" t="inlineStr">
        <is>
          <t>0401005069</t>
        </is>
      </c>
      <c r="E42" s="11" t="inlineStr">
        <is>
          <t>Region IV-A (CALABARZON)</t>
        </is>
      </c>
      <c r="F42" s="11" t="inlineStr">
        <is>
          <t>Batangas</t>
        </is>
      </c>
      <c r="G42" s="11" t="inlineStr">
        <is>
          <t>Batangas City</t>
        </is>
      </c>
      <c r="H42" s="11" t="inlineStr">
        <is>
          <t>Barangay 22</t>
        </is>
      </c>
      <c r="I42" s="24" t="n">
        <v>13.756671</v>
      </c>
      <c r="J42" s="24" t="n">
        <v>121.055368</v>
      </c>
      <c r="K42" s="23" t="inlineStr">
        <is>
          <t>U</t>
        </is>
      </c>
      <c r="L42" s="25" t="n">
        <v>97</v>
      </c>
      <c r="M42" s="26" t="n">
        <v>3.6</v>
      </c>
      <c r="N42" s="25">
        <f>ROUND(L42/M42, 0)</f>
        <v/>
      </c>
      <c r="O42" s="25">
        <f>ROUND(N42*'Methodology &amp; Assumptions'!$B$7, 0)</f>
        <v/>
      </c>
      <c r="P42" s="23" t="inlineStr">
        <is>
          <t>Single Carrier (Band n50, 100MHz TDD)</t>
        </is>
      </c>
      <c r="Q42" s="27">
        <f>ROUNDUP(O42/'Methodology &amp; Assumptions'!$B$8, 0)</f>
        <v/>
      </c>
      <c r="R42" s="27" t="n">
        <v>1</v>
      </c>
      <c r="S42" s="26" t="n">
        <v>0.65</v>
      </c>
      <c r="T42" s="26" t="n">
        <v>0.32</v>
      </c>
      <c r="U42" s="11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26" t="n">
        <v>52.53</v>
      </c>
      <c r="W42" s="26" t="n">
        <v>71.97</v>
      </c>
      <c r="X42" s="26">
        <f>ROUND(('Methodology &amp; Assumptions'!$B$5*V42) + ('Methodology &amp; Assumptions'!$B$6*W42), 2)</f>
        <v/>
      </c>
      <c r="Y42" s="28" t="n">
        <v>7.2</v>
      </c>
      <c r="Z42" s="11" t="inlineStr">
        <is>
          <t>Priority Tier 2 (Balanced Opportunity)</t>
        </is>
      </c>
    </row>
    <row r="43">
      <c r="A43" s="23" t="n">
        <v>3</v>
      </c>
      <c r="B43" s="23" t="n">
        <v>39</v>
      </c>
      <c r="C43" s="23" t="n">
        <v>2039</v>
      </c>
      <c r="D43" s="23" t="inlineStr">
        <is>
          <t>0300803027</t>
        </is>
      </c>
      <c r="E43" s="11" t="inlineStr">
        <is>
          <t>Region III (Central Luzon)</t>
        </is>
      </c>
      <c r="F43" s="11" t="inlineStr">
        <is>
          <t>Bataan</t>
        </is>
      </c>
      <c r="G43" s="11" t="inlineStr">
        <is>
          <t>City of Balanga</t>
        </is>
      </c>
      <c r="H43" s="11" t="inlineStr">
        <is>
          <t>Lote</t>
        </is>
      </c>
      <c r="I43" s="24" t="n">
        <v>14.68819</v>
      </c>
      <c r="J43" s="24" t="n">
        <v>120.550601</v>
      </c>
      <c r="K43" s="23" t="inlineStr">
        <is>
          <t>R</t>
        </is>
      </c>
      <c r="L43" s="25" t="n">
        <v>2789</v>
      </c>
      <c r="M43" s="26" t="n">
        <v>3.6</v>
      </c>
      <c r="N43" s="25">
        <f>ROUND(L43/M43, 0)</f>
        <v/>
      </c>
      <c r="O43" s="25">
        <f>ROUND(N43*'Methodology &amp; Assumptions'!$B$7, 0)</f>
        <v/>
      </c>
      <c r="P43" s="23" t="inlineStr">
        <is>
          <t>Single Carrier (Band n50, 100MHz TDD)</t>
        </is>
      </c>
      <c r="Q43" s="27">
        <f>ROUNDUP(O43/'Methodology &amp; Assumptions'!$B$8, 0)</f>
        <v/>
      </c>
      <c r="R43" s="27" t="n">
        <v>1</v>
      </c>
      <c r="S43" s="26" t="n">
        <v>0.76</v>
      </c>
      <c r="T43" s="26" t="n">
        <v>0.53</v>
      </c>
      <c r="U43" s="11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26" t="n">
        <v>84.15000000000001</v>
      </c>
      <c r="W43" s="26" t="n">
        <v>40.33</v>
      </c>
      <c r="X43" s="26">
        <f>ROUND(('Methodology &amp; Assumptions'!$B$5*V43) + ('Methodology &amp; Assumptions'!$B$6*W43), 2)</f>
        <v/>
      </c>
      <c r="Y43" s="28" t="n">
        <v>8.300000000000001</v>
      </c>
      <c r="Z43" s="11" t="inlineStr">
        <is>
          <t>Priority Tier 2 (Balanced Opportunity)</t>
        </is>
      </c>
    </row>
    <row r="44">
      <c r="A44" s="23" t="n">
        <v>3</v>
      </c>
      <c r="B44" s="23" t="n">
        <v>40</v>
      </c>
      <c r="C44" s="23" t="n">
        <v>2040</v>
      </c>
      <c r="D44" s="23" t="inlineStr">
        <is>
          <t>0103314015</t>
        </is>
      </c>
      <c r="E44" s="11" t="inlineStr">
        <is>
          <t>Region I (Ilocos Region)</t>
        </is>
      </c>
      <c r="F44" s="11" t="inlineStr">
        <is>
          <t>La Union</t>
        </is>
      </c>
      <c r="G44" s="11" t="inlineStr">
        <is>
          <t>City of San Fernando</t>
        </is>
      </c>
      <c r="H44" s="11" t="inlineStr">
        <is>
          <t>Cabaroan</t>
        </is>
      </c>
      <c r="I44" s="24" t="n">
        <v>16.619116</v>
      </c>
      <c r="J44" s="24" t="n">
        <v>120.330745</v>
      </c>
      <c r="K44" s="23" t="inlineStr">
        <is>
          <t>R</t>
        </is>
      </c>
      <c r="L44" s="25" t="n">
        <v>3672</v>
      </c>
      <c r="M44" s="26" t="n">
        <v>3.7</v>
      </c>
      <c r="N44" s="25">
        <f>ROUND(L44/M44, 0)</f>
        <v/>
      </c>
      <c r="O44" s="25">
        <f>ROUND(N44*'Methodology &amp; Assumptions'!$B$7, 0)</f>
        <v/>
      </c>
      <c r="P44" s="23" t="inlineStr">
        <is>
          <t>Single Carrier (Band n50, 100MHz TDD)</t>
        </is>
      </c>
      <c r="Q44" s="27">
        <f>ROUNDUP(O44/'Methodology &amp; Assumptions'!$B$8, 0)</f>
        <v/>
      </c>
      <c r="R44" s="27" t="n">
        <v>1</v>
      </c>
      <c r="S44" s="26" t="n">
        <v>2.22</v>
      </c>
      <c r="T44" s="26" t="n">
        <v>1.45</v>
      </c>
      <c r="U44" s="11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26" t="n">
        <v>80.66</v>
      </c>
      <c r="W44" s="26" t="n">
        <v>43.82</v>
      </c>
      <c r="X44" s="26">
        <f>ROUND(('Methodology &amp; Assumptions'!$B$5*V44) + ('Methodology &amp; Assumptions'!$B$6*W44), 2)</f>
        <v/>
      </c>
      <c r="Y44" s="28" t="n">
        <v>8.300000000000001</v>
      </c>
      <c r="Z44" s="11" t="inlineStr">
        <is>
          <t>Priority Tier 2 (Balanced Opportunity)</t>
        </is>
      </c>
    </row>
    <row r="45">
      <c r="A45" s="23" t="n">
        <v>3</v>
      </c>
      <c r="B45" s="23" t="n">
        <v>41</v>
      </c>
      <c r="C45" s="23" t="n">
        <v>2041</v>
      </c>
      <c r="D45" s="23" t="inlineStr">
        <is>
          <t>0105526013</t>
        </is>
      </c>
      <c r="E45" s="11" t="inlineStr">
        <is>
          <t>Region I (Ilocos Region)</t>
        </is>
      </c>
      <c r="F45" s="11" t="inlineStr">
        <is>
          <t>Pangasinan</t>
        </is>
      </c>
      <c r="G45" s="11" t="inlineStr">
        <is>
          <t>Mangaldan</t>
        </is>
      </c>
      <c r="H45" s="11" t="inlineStr">
        <is>
          <t>Guiguilonen</t>
        </is>
      </c>
      <c r="I45" s="24" t="n">
        <v>16.07141</v>
      </c>
      <c r="J45" s="24" t="n">
        <v>120.4074</v>
      </c>
      <c r="K45" s="23" t="inlineStr">
        <is>
          <t>U</t>
        </is>
      </c>
      <c r="L45" s="25" t="n">
        <v>3480</v>
      </c>
      <c r="M45" s="26" t="n">
        <v>3.6</v>
      </c>
      <c r="N45" s="25">
        <f>ROUND(L45/M45, 0)</f>
        <v/>
      </c>
      <c r="O45" s="25">
        <f>ROUND(N45*'Methodology &amp; Assumptions'!$B$7, 0)</f>
        <v/>
      </c>
      <c r="P45" s="23" t="inlineStr">
        <is>
          <t>Single Carrier (Band n50, 100MHz TDD)</t>
        </is>
      </c>
      <c r="Q45" s="27">
        <f>ROUNDUP(O45/'Methodology &amp; Assumptions'!$B$8, 0)</f>
        <v/>
      </c>
      <c r="R45" s="27" t="n">
        <v>1</v>
      </c>
      <c r="S45" s="26" t="n">
        <v>0.68</v>
      </c>
      <c r="T45" s="26" t="n">
        <v>0.42</v>
      </c>
      <c r="U45" s="11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26" t="n">
        <v>78.43000000000001</v>
      </c>
      <c r="W45" s="26" t="n">
        <v>46.05</v>
      </c>
      <c r="X45" s="26">
        <f>ROUND(('Methodology &amp; Assumptions'!$B$5*V45) + ('Methodology &amp; Assumptions'!$B$6*W45), 2)</f>
        <v/>
      </c>
      <c r="Y45" s="28" t="n">
        <v>8.300000000000001</v>
      </c>
      <c r="Z45" s="11" t="inlineStr">
        <is>
          <t>Priority Tier 2 (Balanced Opportunity)</t>
        </is>
      </c>
    </row>
    <row r="46">
      <c r="A46" s="23" t="n">
        <v>3</v>
      </c>
      <c r="B46" s="23" t="n">
        <v>42</v>
      </c>
      <c r="C46" s="23" t="n">
        <v>2042</v>
      </c>
      <c r="D46" s="23" t="inlineStr">
        <is>
          <t>0604528004</t>
        </is>
      </c>
      <c r="E46" s="11" t="inlineStr">
        <is>
          <t>Region VI (Western Visayas)</t>
        </is>
      </c>
      <c r="F46" s="11" t="inlineStr">
        <is>
          <t>Negros Occidental</t>
        </is>
      </c>
      <c r="G46" s="11" t="inlineStr">
        <is>
          <t>City of Talisay</t>
        </is>
      </c>
      <c r="H46" s="11" t="inlineStr">
        <is>
          <t>Zone 4</t>
        </is>
      </c>
      <c r="I46" s="24" t="n">
        <v>10.739812</v>
      </c>
      <c r="J46" s="24" t="n">
        <v>122.965702</v>
      </c>
      <c r="K46" s="23" t="inlineStr">
        <is>
          <t>R</t>
        </is>
      </c>
      <c r="L46" s="25" t="n">
        <v>971</v>
      </c>
      <c r="M46" s="26" t="n">
        <v>3.7</v>
      </c>
      <c r="N46" s="25">
        <f>ROUND(L46/M46, 0)</f>
        <v/>
      </c>
      <c r="O46" s="25">
        <f>ROUND(N46*'Methodology &amp; Assumptions'!$B$7, 0)</f>
        <v/>
      </c>
      <c r="P46" s="23" t="inlineStr">
        <is>
          <t>Single Carrier (Band n50, 100MHz TDD)</t>
        </is>
      </c>
      <c r="Q46" s="27">
        <f>ROUNDUP(O46/'Methodology &amp; Assumptions'!$B$8, 0)</f>
        <v/>
      </c>
      <c r="R46" s="27" t="n">
        <v>1</v>
      </c>
      <c r="S46" s="26" t="n">
        <v>0.24</v>
      </c>
      <c r="T46" s="26" t="n">
        <v>0.21</v>
      </c>
      <c r="U46" s="11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26" t="n">
        <v>69.47</v>
      </c>
      <c r="W46" s="26" t="n">
        <v>55.02</v>
      </c>
      <c r="X46" s="26">
        <f>ROUND(('Methodology &amp; Assumptions'!$B$5*V46) + ('Methodology &amp; Assumptions'!$B$6*W46), 2)</f>
        <v/>
      </c>
      <c r="Y46" s="28" t="n">
        <v>23.7</v>
      </c>
      <c r="Z46" s="11" t="inlineStr">
        <is>
          <t>Priority Tier 2 (Balanced Opportunity)</t>
        </is>
      </c>
    </row>
    <row r="47">
      <c r="A47" s="23" t="n">
        <v>3</v>
      </c>
      <c r="B47" s="23" t="n">
        <v>43</v>
      </c>
      <c r="C47" s="23" t="n">
        <v>2043</v>
      </c>
      <c r="D47" s="23" t="inlineStr">
        <is>
          <t>1908705020</t>
        </is>
      </c>
      <c r="E47" s="11" t="inlineStr">
        <is>
          <t>Bangsamoro Autonomous Region In Muslim Mindanao (BARMM)</t>
        </is>
      </c>
      <c r="F47" s="11" t="inlineStr">
        <is>
          <t>Maguindanao del Norte</t>
        </is>
      </c>
      <c r="G47" s="11" t="inlineStr">
        <is>
          <t>Datu Odin Sinsuat</t>
        </is>
      </c>
      <c r="H47" s="11" t="inlineStr">
        <is>
          <t>Linek</t>
        </is>
      </c>
      <c r="I47" s="24" t="n">
        <v>7.079173</v>
      </c>
      <c r="J47" s="24" t="n">
        <v>124.227624</v>
      </c>
      <c r="K47" s="23" t="inlineStr">
        <is>
          <t>R</t>
        </is>
      </c>
      <c r="L47" s="25" t="n">
        <v>4505</v>
      </c>
      <c r="M47" s="26" t="n">
        <v>4.3</v>
      </c>
      <c r="N47" s="25">
        <f>ROUND(L47/M47, 0)</f>
        <v/>
      </c>
      <c r="O47" s="25">
        <f>ROUND(N47*'Methodology &amp; Assumptions'!$B$7, 0)</f>
        <v/>
      </c>
      <c r="P47" s="23" t="inlineStr">
        <is>
          <t>Single Carrier (Band n50, 100MHz TDD)</t>
        </is>
      </c>
      <c r="Q47" s="27">
        <f>ROUNDUP(O47/'Methodology &amp; Assumptions'!$B$8, 0)</f>
        <v/>
      </c>
      <c r="R47" s="27" t="n">
        <v>1</v>
      </c>
      <c r="S47" s="26" t="n">
        <v>64.28</v>
      </c>
      <c r="T47" s="26" t="n">
        <v>63.85</v>
      </c>
      <c r="U47" s="11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26" t="n">
        <v>59.06</v>
      </c>
      <c r="W47" s="26" t="n">
        <v>65.42</v>
      </c>
      <c r="X47" s="26">
        <f>ROUND(('Methodology &amp; Assumptions'!$B$5*V47) + ('Methodology &amp; Assumptions'!$B$6*W47), 2)</f>
        <v/>
      </c>
      <c r="Y47" s="28" t="n">
        <v>11</v>
      </c>
      <c r="Z47" s="11" t="inlineStr">
        <is>
          <t>Priority Tier 2 (Balanced Opportunity)</t>
        </is>
      </c>
    </row>
    <row r="48">
      <c r="A48" s="23" t="n">
        <v>3</v>
      </c>
      <c r="B48" s="23" t="n">
        <v>44</v>
      </c>
      <c r="C48" s="23" t="n">
        <v>2044</v>
      </c>
      <c r="D48" s="23" t="inlineStr">
        <is>
          <t>1380606234</t>
        </is>
      </c>
      <c r="E48" s="11" t="inlineStr">
        <is>
          <t>National Capital Region (NCR)</t>
        </is>
      </c>
      <c r="F48" s="11" t="inlineStr">
        <is>
          <t>First District (Not a Province)</t>
        </is>
      </c>
      <c r="G48" s="11" t="inlineStr">
        <is>
          <t>City of Manila</t>
        </is>
      </c>
      <c r="H48" s="11" t="inlineStr">
        <is>
          <t>Barangay 627</t>
        </is>
      </c>
      <c r="I48" s="24" t="n">
        <v>14.601258</v>
      </c>
      <c r="J48" s="24" t="n">
        <v>121.007139</v>
      </c>
      <c r="K48" s="23" t="inlineStr">
        <is>
          <t>U</t>
        </is>
      </c>
      <c r="L48" s="25" t="n">
        <v>1618</v>
      </c>
      <c r="M48" s="26" t="n">
        <v>4.02</v>
      </c>
      <c r="N48" s="25">
        <f>ROUND(L48/M48, 0)</f>
        <v/>
      </c>
      <c r="O48" s="25">
        <f>ROUND(N48*'Methodology &amp; Assumptions'!$B$7, 0)</f>
        <v/>
      </c>
      <c r="P48" s="23" t="inlineStr">
        <is>
          <t>Single Carrier (Band n50, 100MHz TDD)</t>
        </is>
      </c>
      <c r="Q48" s="27">
        <f>ROUNDUP(O48/'Methodology &amp; Assumptions'!$B$8, 0)</f>
        <v/>
      </c>
      <c r="R48" s="27" t="n">
        <v>1</v>
      </c>
      <c r="S48" s="26" t="n">
        <v>0.29</v>
      </c>
      <c r="T48" s="26" t="n">
        <v>0.1</v>
      </c>
      <c r="U48" s="11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26" t="n">
        <v>54.05</v>
      </c>
      <c r="W48" s="26" t="n">
        <v>70.43000000000001</v>
      </c>
      <c r="X48" s="26">
        <f>ROUND(('Methodology &amp; Assumptions'!$B$5*V48) + ('Methodology &amp; Assumptions'!$B$6*W48), 2)</f>
        <v/>
      </c>
      <c r="Y48" s="28" t="n">
        <v>10.9</v>
      </c>
      <c r="Z48" s="11" t="inlineStr">
        <is>
          <t>Priority Tier 2 (Balanced Opportunity)</t>
        </is>
      </c>
    </row>
    <row r="49">
      <c r="A49" s="23" t="n">
        <v>3</v>
      </c>
      <c r="B49" s="23" t="n">
        <v>45</v>
      </c>
      <c r="C49" s="23" t="n">
        <v>2045</v>
      </c>
      <c r="D49" s="23" t="inlineStr">
        <is>
          <t>0702227008</t>
        </is>
      </c>
      <c r="E49" s="11" t="inlineStr">
        <is>
          <t>Region VII (Central Visayas)</t>
        </is>
      </c>
      <c r="F49" s="11" t="inlineStr">
        <is>
          <t>Cebu</t>
        </is>
      </c>
      <c r="G49" s="11" t="inlineStr">
        <is>
          <t>Liloan</t>
        </is>
      </c>
      <c r="H49" s="11" t="inlineStr">
        <is>
          <t>Poblacion</t>
        </is>
      </c>
      <c r="I49" s="24" t="n">
        <v>10.397885</v>
      </c>
      <c r="J49" s="24" t="n">
        <v>124.000509</v>
      </c>
      <c r="K49" s="23" t="inlineStr">
        <is>
          <t>U</t>
        </is>
      </c>
      <c r="L49" s="25" t="n">
        <v>17033</v>
      </c>
      <c r="M49" s="26" t="n">
        <v>3.8</v>
      </c>
      <c r="N49" s="25">
        <f>ROUND(L49/M49, 0)</f>
        <v/>
      </c>
      <c r="O49" s="25">
        <f>ROUND(N49*'Methodology &amp; Assumptions'!$B$7, 0)</f>
        <v/>
      </c>
      <c r="P49" s="23" t="inlineStr">
        <is>
          <t>Single Carrier (Band n50, 100MHz TDD)</t>
        </is>
      </c>
      <c r="Q49" s="27">
        <f>ROUNDUP(O49/'Methodology &amp; Assumptions'!$B$8, 0)</f>
        <v/>
      </c>
      <c r="R49" s="27" t="n">
        <v>1</v>
      </c>
      <c r="S49" s="26" t="n">
        <v>1.11</v>
      </c>
      <c r="T49" s="26" t="n">
        <v>0.02</v>
      </c>
      <c r="U49" s="11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26" t="n">
        <v>79.81</v>
      </c>
      <c r="W49" s="26" t="n">
        <v>44.65</v>
      </c>
      <c r="X49" s="26">
        <f>ROUND(('Methodology &amp; Assumptions'!$B$5*V49) + ('Methodology &amp; Assumptions'!$B$6*W49), 2)</f>
        <v/>
      </c>
      <c r="Y49" s="28" t="n">
        <v>23.7</v>
      </c>
      <c r="Z49" s="11" t="inlineStr">
        <is>
          <t>Priority Tier 2 (Balanced Opportunity)</t>
        </is>
      </c>
    </row>
    <row r="50">
      <c r="A50" s="23" t="n">
        <v>3</v>
      </c>
      <c r="B50" s="23" t="n">
        <v>46</v>
      </c>
      <c r="C50" s="23" t="n">
        <v>2046</v>
      </c>
      <c r="D50" s="23" t="inlineStr">
        <is>
          <t>0205007002</t>
        </is>
      </c>
      <c r="E50" s="11" t="inlineStr">
        <is>
          <t>Region II (Cagayan Valley)</t>
        </is>
      </c>
      <c r="F50" s="11" t="inlineStr">
        <is>
          <t>Nueva Vizcaya</t>
        </is>
      </c>
      <c r="G50" s="11" t="inlineStr">
        <is>
          <t>Dupax del Norte</t>
        </is>
      </c>
      <c r="H50" s="11" t="inlineStr">
        <is>
          <t>Belance</t>
        </is>
      </c>
      <c r="I50" s="24" t="n">
        <v>16.196156</v>
      </c>
      <c r="J50" s="24" t="n">
        <v>121.23874</v>
      </c>
      <c r="K50" s="23" t="inlineStr">
        <is>
          <t>R</t>
        </is>
      </c>
      <c r="L50" s="25" t="n">
        <v>3949</v>
      </c>
      <c r="M50" s="26" t="n">
        <v>3.8</v>
      </c>
      <c r="N50" s="25">
        <f>ROUND(L50/M50, 0)</f>
        <v/>
      </c>
      <c r="O50" s="25">
        <f>ROUND(N50*'Methodology &amp; Assumptions'!$B$7, 0)</f>
        <v/>
      </c>
      <c r="P50" s="23" t="inlineStr">
        <is>
          <t>Single Carrier (Band n50, 100MHz TDD)</t>
        </is>
      </c>
      <c r="Q50" s="27">
        <f>ROUNDUP(O50/'Methodology &amp; Assumptions'!$B$8, 0)</f>
        <v/>
      </c>
      <c r="R50" s="27" t="n">
        <v>1</v>
      </c>
      <c r="S50" s="26" t="n">
        <v>2.16</v>
      </c>
      <c r="T50" s="26" t="n">
        <v>22.79</v>
      </c>
      <c r="U50" s="11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26" t="n">
        <v>77.36</v>
      </c>
      <c r="W50" s="26" t="n">
        <v>47.09</v>
      </c>
      <c r="X50" s="26">
        <f>ROUND(('Methodology &amp; Assumptions'!$B$5*V50) + ('Methodology &amp; Assumptions'!$B$6*W50), 2)</f>
        <v/>
      </c>
      <c r="Y50" s="28" t="n">
        <v>8.300000000000001</v>
      </c>
      <c r="Z50" s="11" t="inlineStr">
        <is>
          <t>Priority Tier 2 (Balanced Opportunity)</t>
        </is>
      </c>
    </row>
    <row r="51">
      <c r="A51" s="23" t="n">
        <v>3</v>
      </c>
      <c r="B51" s="23" t="n">
        <v>47</v>
      </c>
      <c r="C51" s="23" t="n">
        <v>2047</v>
      </c>
      <c r="D51" s="23" t="inlineStr">
        <is>
          <t>1381300137</t>
        </is>
      </c>
      <c r="E51" s="11" t="inlineStr">
        <is>
          <t>National Capital Region (NCR)</t>
        </is>
      </c>
      <c r="F51" s="11" t="inlineStr">
        <is>
          <t>Second District (Not a Province)</t>
        </is>
      </c>
      <c r="G51" s="11" t="inlineStr">
        <is>
          <t>Quezon City</t>
        </is>
      </c>
      <c r="H51" s="11" t="inlineStr">
        <is>
          <t>Sangandaan</t>
        </is>
      </c>
      <c r="I51" s="24" t="n">
        <v>14.67414</v>
      </c>
      <c r="J51" s="24" t="n">
        <v>121.0206</v>
      </c>
      <c r="K51" s="23" t="inlineStr">
        <is>
          <t>U</t>
        </is>
      </c>
      <c r="L51" s="25" t="n">
        <v>22847</v>
      </c>
      <c r="M51" s="26" t="n">
        <v>3.84</v>
      </c>
      <c r="N51" s="25">
        <f>ROUND(L51/M51, 0)</f>
        <v/>
      </c>
      <c r="O51" s="25">
        <f>ROUND(N51*'Methodology &amp; Assumptions'!$B$7, 0)</f>
        <v/>
      </c>
      <c r="P51" s="23" t="inlineStr">
        <is>
          <t>Single Carrier (Band n50, 100MHz TDD)</t>
        </is>
      </c>
      <c r="Q51" s="27">
        <f>ROUNDUP(O51/'Methodology &amp; Assumptions'!$B$8, 0)</f>
        <v/>
      </c>
      <c r="R51" s="27" t="n">
        <v>1</v>
      </c>
      <c r="S51" s="26" t="n">
        <v>1.03</v>
      </c>
      <c r="T51" s="26" t="n">
        <v>0.58</v>
      </c>
      <c r="U51" s="11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26" t="n">
        <v>67.48</v>
      </c>
      <c r="W51" s="26" t="n">
        <v>56.97</v>
      </c>
      <c r="X51" s="26">
        <f>ROUND(('Methodology &amp; Assumptions'!$B$5*V51) + ('Methodology &amp; Assumptions'!$B$6*W51), 2)</f>
        <v/>
      </c>
      <c r="Y51" s="28" t="n">
        <v>10.9</v>
      </c>
      <c r="Z51" s="11" t="inlineStr">
        <is>
          <t>Priority Tier 2 (Balanced Opportunity)</t>
        </is>
      </c>
    </row>
    <row r="52">
      <c r="A52" s="23" t="n">
        <v>3</v>
      </c>
      <c r="B52" s="23" t="n">
        <v>48</v>
      </c>
      <c r="C52" s="23" t="n">
        <v>2048</v>
      </c>
      <c r="D52" s="23" t="inlineStr">
        <is>
          <t>0102805017</t>
        </is>
      </c>
      <c r="E52" s="11" t="inlineStr">
        <is>
          <t>Region I (Ilocos Region)</t>
        </is>
      </c>
      <c r="F52" s="11" t="inlineStr">
        <is>
          <t>Ilocos Norte</t>
        </is>
      </c>
      <c r="G52" s="11" t="inlineStr">
        <is>
          <t>City of Batac</t>
        </is>
      </c>
      <c r="H52" s="11" t="inlineStr">
        <is>
          <t>Caunayan</t>
        </is>
      </c>
      <c r="I52" s="24" t="n">
        <v>18.056656</v>
      </c>
      <c r="J52" s="24" t="n">
        <v>120.560289</v>
      </c>
      <c r="K52" s="23" t="inlineStr">
        <is>
          <t>U</t>
        </is>
      </c>
      <c r="L52" s="25" t="n">
        <v>1122</v>
      </c>
      <c r="M52" s="26" t="n">
        <v>3.7</v>
      </c>
      <c r="N52" s="25">
        <f>ROUND(L52/M52, 0)</f>
        <v/>
      </c>
      <c r="O52" s="25">
        <f>ROUND(N52*'Methodology &amp; Assumptions'!$B$7, 0)</f>
        <v/>
      </c>
      <c r="P52" s="23" t="inlineStr">
        <is>
          <t>Single Carrier (Band n50, 100MHz TDD)</t>
        </is>
      </c>
      <c r="Q52" s="27">
        <f>ROUNDUP(O52/'Methodology &amp; Assumptions'!$B$8, 0)</f>
        <v/>
      </c>
      <c r="R52" s="27" t="n">
        <v>1</v>
      </c>
      <c r="S52" s="26" t="n">
        <v>0.86</v>
      </c>
      <c r="T52" s="26" t="n">
        <v>0.29</v>
      </c>
      <c r="U52" s="11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26" t="n">
        <v>61.63</v>
      </c>
      <c r="W52" s="26" t="n">
        <v>62.82</v>
      </c>
      <c r="X52" s="26">
        <f>ROUND(('Methodology &amp; Assumptions'!$B$5*V52) + ('Methodology &amp; Assumptions'!$B$6*W52), 2)</f>
        <v/>
      </c>
      <c r="Y52" s="28" t="n">
        <v>8.300000000000001</v>
      </c>
      <c r="Z52" s="11" t="inlineStr">
        <is>
          <t>Priority Tier 2 (Balanced Opportunity)</t>
        </is>
      </c>
    </row>
    <row r="53">
      <c r="A53" s="23" t="n">
        <v>3</v>
      </c>
      <c r="B53" s="23" t="n">
        <v>49</v>
      </c>
      <c r="C53" s="23" t="n">
        <v>2049</v>
      </c>
      <c r="D53" s="23" t="inlineStr">
        <is>
          <t>1380601065</t>
        </is>
      </c>
      <c r="E53" s="11" t="inlineStr">
        <is>
          <t>National Capital Region (NCR)</t>
        </is>
      </c>
      <c r="F53" s="11" t="inlineStr">
        <is>
          <t>First District (Not a Province)</t>
        </is>
      </c>
      <c r="G53" s="11" t="inlineStr">
        <is>
          <t>City of Manila</t>
        </is>
      </c>
      <c r="H53" s="11" t="inlineStr">
        <is>
          <t>Barangay 65</t>
        </is>
      </c>
      <c r="I53" s="24" t="n">
        <v>14.613358</v>
      </c>
      <c r="J53" s="24" t="n">
        <v>120.968452</v>
      </c>
      <c r="K53" s="23" t="inlineStr">
        <is>
          <t>U</t>
        </is>
      </c>
      <c r="L53" s="25" t="n">
        <v>1721</v>
      </c>
      <c r="M53" s="26" t="n">
        <v>4.28</v>
      </c>
      <c r="N53" s="25">
        <f>ROUND(L53/M53, 0)</f>
        <v/>
      </c>
      <c r="O53" s="25">
        <f>ROUND(N53*'Methodology &amp; Assumptions'!$B$7, 0)</f>
        <v/>
      </c>
      <c r="P53" s="23" t="inlineStr">
        <is>
          <t>Single Carrier (Band n50, 100MHz TDD)</t>
        </is>
      </c>
      <c r="Q53" s="27">
        <f>ROUNDUP(O53/'Methodology &amp; Assumptions'!$B$8, 0)</f>
        <v/>
      </c>
      <c r="R53" s="27" t="n">
        <v>1</v>
      </c>
      <c r="S53" s="26" t="n">
        <v>0.74</v>
      </c>
      <c r="T53" s="26" t="n">
        <v>0.4</v>
      </c>
      <c r="U53" s="11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26" t="n">
        <v>54.05</v>
      </c>
      <c r="W53" s="26" t="n">
        <v>70.40000000000001</v>
      </c>
      <c r="X53" s="26">
        <f>ROUND(('Methodology &amp; Assumptions'!$B$5*V53) + ('Methodology &amp; Assumptions'!$B$6*W53), 2)</f>
        <v/>
      </c>
      <c r="Y53" s="28" t="n">
        <v>10.9</v>
      </c>
      <c r="Z53" s="11" t="inlineStr">
        <is>
          <t>Priority Tier 2 (Balanced Opportunity)</t>
        </is>
      </c>
    </row>
    <row r="54">
      <c r="A54" s="23" t="n">
        <v>3</v>
      </c>
      <c r="B54" s="23" t="n">
        <v>50</v>
      </c>
      <c r="C54" s="23" t="n">
        <v>2050</v>
      </c>
      <c r="D54" s="23" t="inlineStr">
        <is>
          <t>0402118016</t>
        </is>
      </c>
      <c r="E54" s="11" t="inlineStr">
        <is>
          <t>Region IV-A (CALABARZON)</t>
        </is>
      </c>
      <c r="F54" s="11" t="inlineStr">
        <is>
          <t>Cavite</t>
        </is>
      </c>
      <c r="G54" s="11" t="inlineStr">
        <is>
          <t>Silang</t>
        </is>
      </c>
      <c r="H54" s="11" t="inlineStr">
        <is>
          <t>Inchican</t>
        </is>
      </c>
      <c r="I54" s="24" t="n">
        <v>14.251611</v>
      </c>
      <c r="J54" s="24" t="n">
        <v>121.053103</v>
      </c>
      <c r="K54" s="23" t="inlineStr">
        <is>
          <t>U</t>
        </is>
      </c>
      <c r="L54" s="25" t="n">
        <v>6206</v>
      </c>
      <c r="M54" s="26" t="n">
        <v>3.4</v>
      </c>
      <c r="N54" s="25">
        <f>ROUND(L54/M54, 0)</f>
        <v/>
      </c>
      <c r="O54" s="25">
        <f>ROUND(N54*'Methodology &amp; Assumptions'!$B$7, 0)</f>
        <v/>
      </c>
      <c r="P54" s="23" t="inlineStr">
        <is>
          <t>Single Carrier (Band n50, 100MHz TDD)</t>
        </is>
      </c>
      <c r="Q54" s="27">
        <f>ROUNDUP(O54/'Methodology &amp; Assumptions'!$B$8, 0)</f>
        <v/>
      </c>
      <c r="R54" s="27" t="n">
        <v>1</v>
      </c>
      <c r="S54" s="26" t="n">
        <v>0.02</v>
      </c>
      <c r="T54" s="26" t="n">
        <v>1.09</v>
      </c>
      <c r="U54" s="11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26" t="n">
        <v>78.26000000000001</v>
      </c>
      <c r="W54" s="26" t="n">
        <v>46.18</v>
      </c>
      <c r="X54" s="26">
        <f>ROUND(('Methodology &amp; Assumptions'!$B$5*V54) + ('Methodology &amp; Assumptions'!$B$6*W54), 2)</f>
        <v/>
      </c>
      <c r="Y54" s="28" t="n">
        <v>7.2</v>
      </c>
      <c r="Z54" s="11" t="inlineStr">
        <is>
          <t>Priority Tier 2 (Balanced Opportunity)</t>
        </is>
      </c>
    </row>
    <row r="55">
      <c r="A55" s="23" t="n">
        <v>3</v>
      </c>
      <c r="B55" s="23" t="n">
        <v>51</v>
      </c>
      <c r="C55" s="23" t="n">
        <v>2051</v>
      </c>
      <c r="D55" s="23" t="inlineStr">
        <is>
          <t>0402108013</t>
        </is>
      </c>
      <c r="E55" s="11" t="inlineStr">
        <is>
          <t>Region IV-A (CALABARZON)</t>
        </is>
      </c>
      <c r="F55" s="11" t="inlineStr">
        <is>
          <t>Cavite</t>
        </is>
      </c>
      <c r="G55" s="11" t="inlineStr">
        <is>
          <t>City of General Trias</t>
        </is>
      </c>
      <c r="H55" s="11" t="inlineStr">
        <is>
          <t>Corregidor Pob.</t>
        </is>
      </c>
      <c r="I55" s="24" t="n">
        <v>14.385859</v>
      </c>
      <c r="J55" s="24" t="n">
        <v>120.879124</v>
      </c>
      <c r="K55" s="23" t="inlineStr">
        <is>
          <t>R</t>
        </is>
      </c>
      <c r="L55" s="25" t="n">
        <v>1180</v>
      </c>
      <c r="M55" s="26" t="n">
        <v>3.4</v>
      </c>
      <c r="N55" s="25">
        <f>ROUND(L55/M55, 0)</f>
        <v/>
      </c>
      <c r="O55" s="25">
        <f>ROUND(N55*'Methodology &amp; Assumptions'!$B$7, 0)</f>
        <v/>
      </c>
      <c r="P55" s="23" t="inlineStr">
        <is>
          <t>Single Carrier (Band n50, 100MHz TDD)</t>
        </is>
      </c>
      <c r="Q55" s="27">
        <f>ROUNDUP(O55/'Methodology &amp; Assumptions'!$B$8, 0)</f>
        <v/>
      </c>
      <c r="R55" s="27" t="n">
        <v>1</v>
      </c>
      <c r="S55" s="26" t="n">
        <v>1.56</v>
      </c>
      <c r="T55" s="26" t="n">
        <v>1.73</v>
      </c>
      <c r="U55" s="11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26" t="n">
        <v>67.45999999999999</v>
      </c>
      <c r="W55" s="26" t="n">
        <v>56.97</v>
      </c>
      <c r="X55" s="26">
        <f>ROUND(('Methodology &amp; Assumptions'!$B$5*V55) + ('Methodology &amp; Assumptions'!$B$6*W55), 2)</f>
        <v/>
      </c>
      <c r="Y55" s="28" t="n">
        <v>7.2</v>
      </c>
      <c r="Z55" s="11" t="inlineStr">
        <is>
          <t>Priority Tier 2 (Balanced Opportunity)</t>
        </is>
      </c>
    </row>
    <row r="56">
      <c r="A56" s="23" t="n">
        <v>3</v>
      </c>
      <c r="B56" s="23" t="n">
        <v>52</v>
      </c>
      <c r="C56" s="23" t="n">
        <v>2052</v>
      </c>
      <c r="D56" s="23" t="inlineStr">
        <is>
          <t>1401112005</t>
        </is>
      </c>
      <c r="E56" s="11" t="inlineStr">
        <is>
          <t>Cordillera Administrative Region (CAR)</t>
        </is>
      </c>
      <c r="F56" s="11" t="inlineStr">
        <is>
          <t>Benguet</t>
        </is>
      </c>
      <c r="G56" s="11" t="inlineStr">
        <is>
          <t>Sablan</t>
        </is>
      </c>
      <c r="H56" s="11" t="inlineStr">
        <is>
          <t>Banengbeng</t>
        </is>
      </c>
      <c r="I56" s="24" t="n">
        <v>16.50996</v>
      </c>
      <c r="J56" s="24" t="n">
        <v>120.5487</v>
      </c>
      <c r="K56" s="23" t="inlineStr">
        <is>
          <t>R</t>
        </is>
      </c>
      <c r="L56" s="25" t="n">
        <v>913</v>
      </c>
      <c r="M56" s="26" t="n">
        <v>3.5</v>
      </c>
      <c r="N56" s="25">
        <f>ROUND(L56/M56, 0)</f>
        <v/>
      </c>
      <c r="O56" s="25">
        <f>ROUND(N56*'Methodology &amp; Assumptions'!$B$7, 0)</f>
        <v/>
      </c>
      <c r="P56" s="23" t="inlineStr">
        <is>
          <t>Single Carrier (Band n50, 100MHz TDD)</t>
        </is>
      </c>
      <c r="Q56" s="27">
        <f>ROUNDUP(O56/'Methodology &amp; Assumptions'!$B$8, 0)</f>
        <v/>
      </c>
      <c r="R56" s="27" t="n">
        <v>1</v>
      </c>
      <c r="S56" s="26" t="n">
        <v>6.79</v>
      </c>
      <c r="T56" s="26" t="n">
        <v>4.99</v>
      </c>
      <c r="U56" s="11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26" t="n">
        <v>51.44</v>
      </c>
      <c r="W56" s="26" t="n">
        <v>73.01000000000001</v>
      </c>
      <c r="X56" s="26">
        <f>ROUND(('Methodology &amp; Assumptions'!$B$5*V56) + ('Methodology &amp; Assumptions'!$B$6*W56), 2)</f>
        <v/>
      </c>
      <c r="Y56" s="28" t="n">
        <v>10.9</v>
      </c>
      <c r="Z56" s="11" t="inlineStr">
        <is>
          <t>Priority Tier 2 (Balanced Opportunity)</t>
        </is>
      </c>
    </row>
    <row r="57">
      <c r="A57" s="23" t="n">
        <v>3</v>
      </c>
      <c r="B57" s="23" t="n">
        <v>53</v>
      </c>
      <c r="C57" s="23" t="n">
        <v>2053</v>
      </c>
      <c r="D57" s="23" t="inlineStr">
        <is>
          <t>1408103006</t>
        </is>
      </c>
      <c r="E57" s="11" t="inlineStr">
        <is>
          <t>Cordillera Administrative Region (CAR)</t>
        </is>
      </c>
      <c r="F57" s="11" t="inlineStr">
        <is>
          <t>Apayao</t>
        </is>
      </c>
      <c r="G57" s="11" t="inlineStr">
        <is>
          <t>Flora</t>
        </is>
      </c>
      <c r="H57" s="11" t="inlineStr">
        <is>
          <t>Balluyan</t>
        </is>
      </c>
      <c r="I57" s="24" t="n">
        <v>18.01113</v>
      </c>
      <c r="J57" s="24" t="n">
        <v>121.382751</v>
      </c>
      <c r="K57" s="23" t="inlineStr">
        <is>
          <t>R</t>
        </is>
      </c>
      <c r="L57" s="25" t="n">
        <v>1415</v>
      </c>
      <c r="M57" s="26" t="n">
        <v>4.2</v>
      </c>
      <c r="N57" s="25">
        <f>ROUND(L57/M57, 0)</f>
        <v/>
      </c>
      <c r="O57" s="25">
        <f>ROUND(N57*'Methodology &amp; Assumptions'!$B$7, 0)</f>
        <v/>
      </c>
      <c r="P57" s="23" t="inlineStr">
        <is>
          <t>Single Carrier (Band n50, 100MHz TDD)</t>
        </is>
      </c>
      <c r="Q57" s="27">
        <f>ROUNDUP(O57/'Methodology &amp; Assumptions'!$B$8, 0)</f>
        <v/>
      </c>
      <c r="R57" s="27" t="n">
        <v>1</v>
      </c>
      <c r="S57" s="26" t="n">
        <v>13.34</v>
      </c>
      <c r="T57" s="26" t="n">
        <v>6.84</v>
      </c>
      <c r="U57" s="11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26" t="n">
        <v>44.96</v>
      </c>
      <c r="W57" s="26" t="n">
        <v>79.48</v>
      </c>
      <c r="X57" s="26">
        <f>ROUND(('Methodology &amp; Assumptions'!$B$5*V57) + ('Methodology &amp; Assumptions'!$B$6*W57), 2)</f>
        <v/>
      </c>
      <c r="Y57" s="28" t="n">
        <v>10.9</v>
      </c>
      <c r="Z57" s="11" t="inlineStr">
        <is>
          <t>Priority Tier 2 (Balanced Opportunity)</t>
        </is>
      </c>
    </row>
    <row r="58">
      <c r="A58" s="23" t="n">
        <v>3</v>
      </c>
      <c r="B58" s="23" t="n">
        <v>54</v>
      </c>
      <c r="C58" s="23" t="n">
        <v>2054</v>
      </c>
      <c r="D58" s="23" t="inlineStr">
        <is>
          <t>1380614008</t>
        </is>
      </c>
      <c r="E58" s="11" t="inlineStr">
        <is>
          <t>National Capital Region (NCR)</t>
        </is>
      </c>
      <c r="F58" s="11" t="inlineStr">
        <is>
          <t>First District (Not a Province)</t>
        </is>
      </c>
      <c r="G58" s="11" t="inlineStr">
        <is>
          <t>City of Manila</t>
        </is>
      </c>
      <c r="H58" s="11" t="inlineStr">
        <is>
          <t>Barangay 751</t>
        </is>
      </c>
      <c r="I58" s="24" t="n">
        <v>14.569504</v>
      </c>
      <c r="J58" s="24" t="n">
        <v>120.99892</v>
      </c>
      <c r="K58" s="23" t="inlineStr">
        <is>
          <t>U</t>
        </is>
      </c>
      <c r="L58" s="25" t="n">
        <v>1175</v>
      </c>
      <c r="M58" s="26" t="n">
        <v>2.58</v>
      </c>
      <c r="N58" s="25">
        <f>ROUND(L58/M58, 0)</f>
        <v/>
      </c>
      <c r="O58" s="25">
        <f>ROUND(N58*'Methodology &amp; Assumptions'!$B$7, 0)</f>
        <v/>
      </c>
      <c r="P58" s="23" t="inlineStr">
        <is>
          <t>Single Carrier (Band n50, 100MHz TDD)</t>
        </is>
      </c>
      <c r="Q58" s="27">
        <f>ROUNDUP(O58/'Methodology &amp; Assumptions'!$B$8, 0)</f>
        <v/>
      </c>
      <c r="R58" s="27" t="n">
        <v>1</v>
      </c>
      <c r="S58" s="26" t="n">
        <v>0.58</v>
      </c>
      <c r="T58" s="26" t="n">
        <v>0.4</v>
      </c>
      <c r="U58" s="11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26" t="n">
        <v>55.77</v>
      </c>
      <c r="W58" s="26" t="n">
        <v>68.66</v>
      </c>
      <c r="X58" s="26">
        <f>ROUND(('Methodology &amp; Assumptions'!$B$5*V58) + ('Methodology &amp; Assumptions'!$B$6*W58), 2)</f>
        <v/>
      </c>
      <c r="Y58" s="28" t="n">
        <v>10.9</v>
      </c>
      <c r="Z58" s="11" t="inlineStr">
        <is>
          <t>Priority Tier 2 (Balanced Opportunity)</t>
        </is>
      </c>
    </row>
    <row r="59">
      <c r="A59" s="23" t="n">
        <v>3</v>
      </c>
      <c r="B59" s="23" t="n">
        <v>55</v>
      </c>
      <c r="C59" s="23" t="n">
        <v>2055</v>
      </c>
      <c r="D59" s="23" t="inlineStr">
        <is>
          <t>1380603015</t>
        </is>
      </c>
      <c r="E59" s="11" t="inlineStr">
        <is>
          <t>National Capital Region (NCR)</t>
        </is>
      </c>
      <c r="F59" s="11" t="inlineStr">
        <is>
          <t>First District (Not a Province)</t>
        </is>
      </c>
      <c r="G59" s="11" t="inlineStr">
        <is>
          <t>City of Manila</t>
        </is>
      </c>
      <c r="H59" s="11" t="inlineStr">
        <is>
          <t>Barangay 306</t>
        </is>
      </c>
      <c r="I59" s="24" t="n">
        <v>14.59746</v>
      </c>
      <c r="J59" s="24" t="n">
        <v>120.9824</v>
      </c>
      <c r="K59" s="23" t="inlineStr">
        <is>
          <t>U</t>
        </is>
      </c>
      <c r="L59" s="25" t="n">
        <v>1273</v>
      </c>
      <c r="M59" s="26" t="n">
        <v>3.26</v>
      </c>
      <c r="N59" s="25">
        <f>ROUND(L59/M59, 0)</f>
        <v/>
      </c>
      <c r="O59" s="25">
        <f>ROUND(N59*'Methodology &amp; Assumptions'!$B$7, 0)</f>
        <v/>
      </c>
      <c r="P59" s="23" t="inlineStr">
        <is>
          <t>Single Carrier (Band n50, 100MHz TDD)</t>
        </is>
      </c>
      <c r="Q59" s="27">
        <f>ROUNDUP(O59/'Methodology &amp; Assumptions'!$B$8, 0)</f>
        <v/>
      </c>
      <c r="R59" s="27" t="n">
        <v>1</v>
      </c>
      <c r="S59" s="26" t="n">
        <v>0.79</v>
      </c>
      <c r="T59" s="26" t="n">
        <v>0.16</v>
      </c>
      <c r="U59" s="11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26" t="n">
        <v>53.62</v>
      </c>
      <c r="W59" s="26" t="n">
        <v>70.79000000000001</v>
      </c>
      <c r="X59" s="26">
        <f>ROUND(('Methodology &amp; Assumptions'!$B$5*V59) + ('Methodology &amp; Assumptions'!$B$6*W59), 2)</f>
        <v/>
      </c>
      <c r="Y59" s="28" t="n">
        <v>10.9</v>
      </c>
      <c r="Z59" s="11" t="inlineStr">
        <is>
          <t>Priority Tier 2 (Balanced Opportunity)</t>
        </is>
      </c>
    </row>
    <row r="60">
      <c r="A60" s="23" t="n">
        <v>3</v>
      </c>
      <c r="B60" s="23" t="n">
        <v>56</v>
      </c>
      <c r="C60" s="23" t="n">
        <v>2056</v>
      </c>
      <c r="D60" s="23" t="inlineStr">
        <is>
          <t>0401005062</t>
        </is>
      </c>
      <c r="E60" s="11" t="inlineStr">
        <is>
          <t>Region IV-A (CALABARZON)</t>
        </is>
      </c>
      <c r="F60" s="11" t="inlineStr">
        <is>
          <t>Batangas</t>
        </is>
      </c>
      <c r="G60" s="11" t="inlineStr">
        <is>
          <t>Batangas City</t>
        </is>
      </c>
      <c r="H60" s="11" t="inlineStr">
        <is>
          <t>Barangay 16</t>
        </is>
      </c>
      <c r="I60" s="24" t="n">
        <v>13.756828</v>
      </c>
      <c r="J60" s="24" t="n">
        <v>121.057697</v>
      </c>
      <c r="K60" s="23" t="inlineStr">
        <is>
          <t>U</t>
        </is>
      </c>
      <c r="L60" s="25" t="n">
        <v>104</v>
      </c>
      <c r="M60" s="26" t="n">
        <v>3.6</v>
      </c>
      <c r="N60" s="25">
        <f>ROUND(L60/M60, 0)</f>
        <v/>
      </c>
      <c r="O60" s="25">
        <f>ROUND(N60*'Methodology &amp; Assumptions'!$B$7, 0)</f>
        <v/>
      </c>
      <c r="P60" s="23" t="inlineStr">
        <is>
          <t>Single Carrier (Band n50, 100MHz TDD)</t>
        </is>
      </c>
      <c r="Q60" s="27">
        <f>ROUNDUP(O60/'Methodology &amp; Assumptions'!$B$8, 0)</f>
        <v/>
      </c>
      <c r="R60" s="27" t="n">
        <v>1</v>
      </c>
      <c r="S60" s="26" t="n">
        <v>0.62</v>
      </c>
      <c r="T60" s="26" t="n">
        <v>0.08</v>
      </c>
      <c r="U60" s="11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26" t="n">
        <v>52.64</v>
      </c>
      <c r="W60" s="26" t="n">
        <v>71.79000000000001</v>
      </c>
      <c r="X60" s="26">
        <f>ROUND(('Methodology &amp; Assumptions'!$B$5*V60) + ('Methodology &amp; Assumptions'!$B$6*W60), 2)</f>
        <v/>
      </c>
      <c r="Y60" s="28" t="n">
        <v>7.2</v>
      </c>
      <c r="Z60" s="11" t="inlineStr">
        <is>
          <t>Priority Tier 2 (Balanced Opportunity)</t>
        </is>
      </c>
    </row>
    <row r="61">
      <c r="A61" s="23" t="n">
        <v>3</v>
      </c>
      <c r="B61" s="23" t="n">
        <v>57</v>
      </c>
      <c r="C61" s="23" t="n">
        <v>2057</v>
      </c>
      <c r="D61" s="23" t="inlineStr">
        <is>
          <t>0105533024</t>
        </is>
      </c>
      <c r="E61" s="11" t="inlineStr">
        <is>
          <t>Region I (Ilocos Region)</t>
        </is>
      </c>
      <c r="F61" s="11" t="inlineStr">
        <is>
          <t>Pangasinan</t>
        </is>
      </c>
      <c r="G61" s="11" t="inlineStr">
        <is>
          <t>San Fabian</t>
        </is>
      </c>
      <c r="H61" s="11" t="inlineStr">
        <is>
          <t>Tempra-Guilig</t>
        </is>
      </c>
      <c r="I61" s="24" t="n">
        <v>16.125633</v>
      </c>
      <c r="J61" s="24" t="n">
        <v>120.410267</v>
      </c>
      <c r="K61" s="23" t="inlineStr">
        <is>
          <t>R</t>
        </is>
      </c>
      <c r="L61" s="25" t="n">
        <v>3955</v>
      </c>
      <c r="M61" s="26" t="n">
        <v>3.6</v>
      </c>
      <c r="N61" s="25">
        <f>ROUND(L61/M61, 0)</f>
        <v/>
      </c>
      <c r="O61" s="25">
        <f>ROUND(N61*'Methodology &amp; Assumptions'!$B$7, 0)</f>
        <v/>
      </c>
      <c r="P61" s="23" t="inlineStr">
        <is>
          <t>Single Carrier (Band n50, 100MHz TDD)</t>
        </is>
      </c>
      <c r="Q61" s="27">
        <f>ROUNDUP(O61/'Methodology &amp; Assumptions'!$B$8, 0)</f>
        <v/>
      </c>
      <c r="R61" s="27" t="n">
        <v>1</v>
      </c>
      <c r="S61" s="26" t="n">
        <v>1.6</v>
      </c>
      <c r="T61" s="26" t="n">
        <v>0.42</v>
      </c>
      <c r="U61" s="11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26" t="n">
        <v>82.78</v>
      </c>
      <c r="W61" s="26" t="n">
        <v>41.63</v>
      </c>
      <c r="X61" s="26">
        <f>ROUND(('Methodology &amp; Assumptions'!$B$5*V61) + ('Methodology &amp; Assumptions'!$B$6*W61), 2)</f>
        <v/>
      </c>
      <c r="Y61" s="28" t="n">
        <v>8.300000000000001</v>
      </c>
      <c r="Z61" s="11" t="inlineStr">
        <is>
          <t>Priority Tier 2 (Balanced Opportunity)</t>
        </is>
      </c>
    </row>
    <row r="62">
      <c r="A62" s="23" t="n">
        <v>3</v>
      </c>
      <c r="B62" s="23" t="n">
        <v>58</v>
      </c>
      <c r="C62" s="23" t="n">
        <v>2058</v>
      </c>
      <c r="D62" s="23" t="inlineStr">
        <is>
          <t>0401003048</t>
        </is>
      </c>
      <c r="E62" s="11" t="inlineStr">
        <is>
          <t>Region IV-A (CALABARZON)</t>
        </is>
      </c>
      <c r="F62" s="11" t="inlineStr">
        <is>
          <t>Batangas</t>
        </is>
      </c>
      <c r="G62" s="11" t="inlineStr">
        <is>
          <t>Balayan</t>
        </is>
      </c>
      <c r="H62" s="11" t="inlineStr">
        <is>
          <t>Santol</t>
        </is>
      </c>
      <c r="I62" s="24" t="n">
        <v>13.9386</v>
      </c>
      <c r="J62" s="24" t="n">
        <v>120.7103</v>
      </c>
      <c r="K62" s="23" t="inlineStr">
        <is>
          <t>R</t>
        </is>
      </c>
      <c r="L62" s="25" t="n">
        <v>4267</v>
      </c>
      <c r="M62" s="26" t="n">
        <v>3.6</v>
      </c>
      <c r="N62" s="25">
        <f>ROUND(L62/M62, 0)</f>
        <v/>
      </c>
      <c r="O62" s="25">
        <f>ROUND(N62*'Methodology &amp; Assumptions'!$B$7, 0)</f>
        <v/>
      </c>
      <c r="P62" s="23" t="inlineStr">
        <is>
          <t>Single Carrier (Band n50, 100MHz TDD)</t>
        </is>
      </c>
      <c r="Q62" s="27">
        <f>ROUNDUP(O62/'Methodology &amp; Assumptions'!$B$8, 0)</f>
        <v/>
      </c>
      <c r="R62" s="27" t="n">
        <v>1</v>
      </c>
      <c r="S62" s="26" t="n">
        <v>2</v>
      </c>
      <c r="T62" s="26" t="n">
        <v>1.34</v>
      </c>
      <c r="U62" s="11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26" t="n">
        <v>81.23</v>
      </c>
      <c r="W62" s="26" t="n">
        <v>43.16</v>
      </c>
      <c r="X62" s="26">
        <f>ROUND(('Methodology &amp; Assumptions'!$B$5*V62) + ('Methodology &amp; Assumptions'!$B$6*W62), 2)</f>
        <v/>
      </c>
      <c r="Y62" s="28" t="n">
        <v>7.2</v>
      </c>
      <c r="Z62" s="11" t="inlineStr">
        <is>
          <t>Priority Tier 2 (Balanced Opportunity)</t>
        </is>
      </c>
    </row>
    <row r="63">
      <c r="A63" s="23" t="n">
        <v>3</v>
      </c>
      <c r="B63" s="23" t="n">
        <v>59</v>
      </c>
      <c r="C63" s="23" t="n">
        <v>2059</v>
      </c>
      <c r="D63" s="23" t="inlineStr">
        <is>
          <t>0601912009</t>
        </is>
      </c>
      <c r="E63" s="11" t="inlineStr">
        <is>
          <t>Region VI (Western Visayas)</t>
        </is>
      </c>
      <c r="F63" s="11" t="inlineStr">
        <is>
          <t>Capiz</t>
        </is>
      </c>
      <c r="G63" s="11" t="inlineStr">
        <is>
          <t>Pontevedra</t>
        </is>
      </c>
      <c r="H63" s="11" t="inlineStr">
        <is>
          <t>Gabuc</t>
        </is>
      </c>
      <c r="I63" s="24" t="n">
        <v>11.453412</v>
      </c>
      <c r="J63" s="24" t="n">
        <v>122.883361</v>
      </c>
      <c r="K63" s="23" t="inlineStr">
        <is>
          <t>R</t>
        </is>
      </c>
      <c r="L63" s="25" t="n">
        <v>646</v>
      </c>
      <c r="M63" s="26" t="n">
        <v>3.8</v>
      </c>
      <c r="N63" s="25">
        <f>ROUND(L63/M63, 0)</f>
        <v/>
      </c>
      <c r="O63" s="25">
        <f>ROUND(N63*'Methodology &amp; Assumptions'!$B$7, 0)</f>
        <v/>
      </c>
      <c r="P63" s="23" t="inlineStr">
        <is>
          <t>Single Carrier (Band n50, 100MHz TDD)</t>
        </is>
      </c>
      <c r="Q63" s="27">
        <f>ROUNDUP(O63/'Methodology &amp; Assumptions'!$B$8, 0)</f>
        <v/>
      </c>
      <c r="R63" s="27" t="n">
        <v>1</v>
      </c>
      <c r="S63" s="26" t="n">
        <v>6.03</v>
      </c>
      <c r="T63" s="26" t="n">
        <v>4.02</v>
      </c>
      <c r="U63" s="11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26" t="n">
        <v>50.04</v>
      </c>
      <c r="W63" s="26" t="n">
        <v>74.34999999999999</v>
      </c>
      <c r="X63" s="26">
        <f>ROUND(('Methodology &amp; Assumptions'!$B$5*V63) + ('Methodology &amp; Assumptions'!$B$6*W63), 2)</f>
        <v/>
      </c>
      <c r="Y63" s="28" t="n">
        <v>23.7</v>
      </c>
      <c r="Z63" s="11" t="inlineStr">
        <is>
          <t>Priority Tier 2 (Balanced Opportunity)</t>
        </is>
      </c>
    </row>
    <row r="64">
      <c r="A64" s="23" t="n">
        <v>3</v>
      </c>
      <c r="B64" s="23" t="n">
        <v>60</v>
      </c>
      <c r="C64" s="23" t="n">
        <v>2060</v>
      </c>
      <c r="D64" s="23" t="inlineStr">
        <is>
          <t>0203108059</t>
        </is>
      </c>
      <c r="E64" s="11" t="inlineStr">
        <is>
          <t>Region II (Cagayan Valley)</t>
        </is>
      </c>
      <c r="F64" s="11" t="inlineStr">
        <is>
          <t>Isabela</t>
        </is>
      </c>
      <c r="G64" s="11" t="inlineStr">
        <is>
          <t>City of Cauayan</t>
        </is>
      </c>
      <c r="H64" s="11" t="inlineStr">
        <is>
          <t>San Fermin</t>
        </is>
      </c>
      <c r="I64" s="24" t="n">
        <v>16.93865</v>
      </c>
      <c r="J64" s="24" t="n">
        <v>121.761543</v>
      </c>
      <c r="K64" s="23" t="inlineStr">
        <is>
          <t>U</t>
        </is>
      </c>
      <c r="L64" s="25" t="n">
        <v>12480</v>
      </c>
      <c r="M64" s="26" t="n">
        <v>3.8</v>
      </c>
      <c r="N64" s="25">
        <f>ROUND(L64/M64, 0)</f>
        <v/>
      </c>
      <c r="O64" s="25">
        <f>ROUND(N64*'Methodology &amp; Assumptions'!$B$7, 0)</f>
        <v/>
      </c>
      <c r="P64" s="23" t="inlineStr">
        <is>
          <t>Single Carrier (Band n50, 100MHz TDD)</t>
        </is>
      </c>
      <c r="Q64" s="27">
        <f>ROUNDUP(O64/'Methodology &amp; Assumptions'!$B$8, 0)</f>
        <v/>
      </c>
      <c r="R64" s="27" t="n">
        <v>1</v>
      </c>
      <c r="S64" s="26" t="n">
        <v>0.55</v>
      </c>
      <c r="T64" s="26" t="n">
        <v>0.54</v>
      </c>
      <c r="U64" s="11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26" t="n">
        <v>78.43000000000001</v>
      </c>
      <c r="W64" s="26" t="n">
        <v>45.94</v>
      </c>
      <c r="X64" s="26">
        <f>ROUND(('Methodology &amp; Assumptions'!$B$5*V64) + ('Methodology &amp; Assumptions'!$B$6*W64), 2)</f>
        <v/>
      </c>
      <c r="Y64" s="28" t="n">
        <v>8.300000000000001</v>
      </c>
      <c r="Z64" s="11" t="inlineStr">
        <is>
          <t>Priority Tier 2 (Balanced Opportunity)</t>
        </is>
      </c>
    </row>
    <row r="65">
      <c r="A65" s="23" t="n">
        <v>3</v>
      </c>
      <c r="B65" s="23" t="n">
        <v>61</v>
      </c>
      <c r="C65" s="23" t="n">
        <v>2061</v>
      </c>
      <c r="D65" s="23" t="inlineStr">
        <is>
          <t>0402108031</t>
        </is>
      </c>
      <c r="E65" s="11" t="inlineStr">
        <is>
          <t>Region IV-A (CALABARZON)</t>
        </is>
      </c>
      <c r="F65" s="11" t="inlineStr">
        <is>
          <t>Cavite</t>
        </is>
      </c>
      <c r="G65" s="11" t="inlineStr">
        <is>
          <t>City of General Trias</t>
        </is>
      </c>
      <c r="H65" s="11" t="inlineStr">
        <is>
          <t>Bacao II</t>
        </is>
      </c>
      <c r="I65" s="24" t="n">
        <v>14.408866</v>
      </c>
      <c r="J65" s="24" t="n">
        <v>120.883591</v>
      </c>
      <c r="K65" s="23" t="inlineStr">
        <is>
          <t>U</t>
        </is>
      </c>
      <c r="L65" s="25" t="n">
        <v>9416</v>
      </c>
      <c r="M65" s="26" t="n">
        <v>3.4</v>
      </c>
      <c r="N65" s="25">
        <f>ROUND(L65/M65, 0)</f>
        <v/>
      </c>
      <c r="O65" s="25">
        <f>ROUND(N65*'Methodology &amp; Assumptions'!$B$7, 0)</f>
        <v/>
      </c>
      <c r="P65" s="23" t="inlineStr">
        <is>
          <t>Single Carrier (Band n50, 100MHz TDD)</t>
        </is>
      </c>
      <c r="Q65" s="27">
        <f>ROUNDUP(O65/'Methodology &amp; Assumptions'!$B$8, 0)</f>
        <v/>
      </c>
      <c r="R65" s="27" t="n">
        <v>1</v>
      </c>
      <c r="S65" s="26" t="n">
        <v>2.3</v>
      </c>
      <c r="T65" s="26" t="n">
        <v>0.61</v>
      </c>
      <c r="U65" s="11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26" t="n">
        <v>73.02</v>
      </c>
      <c r="W65" s="26" t="n">
        <v>51.36</v>
      </c>
      <c r="X65" s="26">
        <f>ROUND(('Methodology &amp; Assumptions'!$B$5*V65) + ('Methodology &amp; Assumptions'!$B$6*W65), 2)</f>
        <v/>
      </c>
      <c r="Y65" s="28" t="n">
        <v>7.2</v>
      </c>
      <c r="Z65" s="11" t="inlineStr">
        <is>
          <t>Priority Tier 2 (Balanced Opportunity)</t>
        </is>
      </c>
    </row>
    <row r="66">
      <c r="A66" s="23" t="n">
        <v>3</v>
      </c>
      <c r="B66" s="23" t="n">
        <v>62</v>
      </c>
      <c r="C66" s="23" t="n">
        <v>2062</v>
      </c>
      <c r="D66" s="23" t="inlineStr">
        <is>
          <t>1381100115</t>
        </is>
      </c>
      <c r="E66" s="11" t="inlineStr">
        <is>
          <t>National Capital Region (NCR)</t>
        </is>
      </c>
      <c r="F66" s="11" t="inlineStr">
        <is>
          <t>Fourth District (Not a Province)</t>
        </is>
      </c>
      <c r="G66" s="11" t="inlineStr">
        <is>
          <t>Pasay City</t>
        </is>
      </c>
      <c r="H66" s="11" t="inlineStr">
        <is>
          <t>Barangay 115</t>
        </is>
      </c>
      <c r="I66" s="24" t="n">
        <v>14.541732</v>
      </c>
      <c r="J66" s="24" t="n">
        <v>121.005034</v>
      </c>
      <c r="K66" s="23" t="inlineStr">
        <is>
          <t>U</t>
        </is>
      </c>
      <c r="L66" s="25" t="n">
        <v>1279</v>
      </c>
      <c r="M66" s="26" t="n">
        <v>3.17</v>
      </c>
      <c r="N66" s="25">
        <f>ROUND(L66/M66, 0)</f>
        <v/>
      </c>
      <c r="O66" s="25">
        <f>ROUND(N66*'Methodology &amp; Assumptions'!$B$7, 0)</f>
        <v/>
      </c>
      <c r="P66" s="23" t="inlineStr">
        <is>
          <t>Single Carrier (Band n50, 100MHz TDD)</t>
        </is>
      </c>
      <c r="Q66" s="27">
        <f>ROUNDUP(O66/'Methodology &amp; Assumptions'!$B$8, 0)</f>
        <v/>
      </c>
      <c r="R66" s="27" t="n">
        <v>1</v>
      </c>
      <c r="S66" s="26" t="n">
        <v>1.13</v>
      </c>
      <c r="T66" s="26" t="n">
        <v>0.5</v>
      </c>
      <c r="U66" s="11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26" t="n">
        <v>52.96</v>
      </c>
      <c r="W66" s="26" t="n">
        <v>71.42</v>
      </c>
      <c r="X66" s="26">
        <f>ROUND(('Methodology &amp; Assumptions'!$B$5*V66) + ('Methodology &amp; Assumptions'!$B$6*W66), 2)</f>
        <v/>
      </c>
      <c r="Y66" s="28" t="n">
        <v>10.9</v>
      </c>
      <c r="Z66" s="11" t="inlineStr">
        <is>
          <t>Priority Tier 2 (Balanced Opportunity)</t>
        </is>
      </c>
    </row>
    <row r="67">
      <c r="A67" s="23" t="n">
        <v>3</v>
      </c>
      <c r="B67" s="23" t="n">
        <v>63</v>
      </c>
      <c r="C67" s="23" t="n">
        <v>2063</v>
      </c>
      <c r="D67" s="23" t="inlineStr">
        <is>
          <t>0105546032</t>
        </is>
      </c>
      <c r="E67" s="11" t="inlineStr">
        <is>
          <t>Region I (Ilocos Region)</t>
        </is>
      </c>
      <c r="F67" s="11" t="inlineStr">
        <is>
          <t>Pangasinan</t>
        </is>
      </c>
      <c r="G67" s="11" t="inlineStr">
        <is>
          <t>City of Urdaneta</t>
        </is>
      </c>
      <c r="H67" s="11" t="inlineStr">
        <is>
          <t>Poblacion</t>
        </is>
      </c>
      <c r="I67" s="24" t="n">
        <v>15.976842</v>
      </c>
      <c r="J67" s="24" t="n">
        <v>120.567834</v>
      </c>
      <c r="K67" s="23" t="inlineStr">
        <is>
          <t>U</t>
        </is>
      </c>
      <c r="L67" s="25" t="n">
        <v>7343</v>
      </c>
      <c r="M67" s="26" t="n">
        <v>3.6</v>
      </c>
      <c r="N67" s="25">
        <f>ROUND(L67/M67, 0)</f>
        <v/>
      </c>
      <c r="O67" s="25">
        <f>ROUND(N67*'Methodology &amp; Assumptions'!$B$7, 0)</f>
        <v/>
      </c>
      <c r="P67" s="23" t="inlineStr">
        <is>
          <t>Single Carrier (Band n50, 100MHz TDD)</t>
        </is>
      </c>
      <c r="Q67" s="27">
        <f>ROUNDUP(O67/'Methodology &amp; Assumptions'!$B$8, 0)</f>
        <v/>
      </c>
      <c r="R67" s="27" t="n">
        <v>1</v>
      </c>
      <c r="S67" s="26" t="n">
        <v>2</v>
      </c>
      <c r="T67" s="26" t="n">
        <v>0.23</v>
      </c>
      <c r="U67" s="11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26" t="n">
        <v>74.17</v>
      </c>
      <c r="W67" s="26" t="n">
        <v>50.18</v>
      </c>
      <c r="X67" s="26">
        <f>ROUND(('Methodology &amp; Assumptions'!$B$5*V67) + ('Methodology &amp; Assumptions'!$B$6*W67), 2)</f>
        <v/>
      </c>
      <c r="Y67" s="28" t="n">
        <v>8.300000000000001</v>
      </c>
      <c r="Z67" s="11" t="inlineStr">
        <is>
          <t>Priority Tier 2 (Balanced Opportunity)</t>
        </is>
      </c>
    </row>
    <row r="68">
      <c r="A68" s="23" t="n">
        <v>3</v>
      </c>
      <c r="B68" s="23" t="n">
        <v>64</v>
      </c>
      <c r="C68" s="23" t="n">
        <v>2064</v>
      </c>
      <c r="D68" s="23" t="inlineStr">
        <is>
          <t>0102805022</t>
        </is>
      </c>
      <c r="E68" s="11" t="inlineStr">
        <is>
          <t>Region I (Ilocos Region)</t>
        </is>
      </c>
      <c r="F68" s="11" t="inlineStr">
        <is>
          <t>Ilocos Norte</t>
        </is>
      </c>
      <c r="G68" s="11" t="inlineStr">
        <is>
          <t>City of Batac</t>
        </is>
      </c>
      <c r="H68" s="11" t="inlineStr">
        <is>
          <t>Acosta Pob.</t>
        </is>
      </c>
      <c r="I68" s="24" t="n">
        <v>18.05239</v>
      </c>
      <c r="J68" s="24" t="n">
        <v>120.558131</v>
      </c>
      <c r="K68" s="23" t="inlineStr">
        <is>
          <t>R</t>
        </is>
      </c>
      <c r="L68" s="25" t="n">
        <v>1074</v>
      </c>
      <c r="M68" s="26" t="n">
        <v>3.7</v>
      </c>
      <c r="N68" s="25">
        <f>ROUND(L68/M68, 0)</f>
        <v/>
      </c>
      <c r="O68" s="25">
        <f>ROUND(N68*'Methodology &amp; Assumptions'!$B$7, 0)</f>
        <v/>
      </c>
      <c r="P68" s="23" t="inlineStr">
        <is>
          <t>Single Carrier (Band n50, 100MHz TDD)</t>
        </is>
      </c>
      <c r="Q68" s="27">
        <f>ROUNDUP(O68/'Methodology &amp; Assumptions'!$B$8, 0)</f>
        <v/>
      </c>
      <c r="R68" s="27" t="n">
        <v>1</v>
      </c>
      <c r="S68" s="26" t="n">
        <v>0.77</v>
      </c>
      <c r="T68" s="26" t="n">
        <v>0.38</v>
      </c>
      <c r="U68" s="11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26" t="n">
        <v>68.45</v>
      </c>
      <c r="W68" s="26" t="n">
        <v>55.91</v>
      </c>
      <c r="X68" s="26">
        <f>ROUND(('Methodology &amp; Assumptions'!$B$5*V68) + ('Methodology &amp; Assumptions'!$B$6*W68), 2)</f>
        <v/>
      </c>
      <c r="Y68" s="28" t="n">
        <v>8.300000000000001</v>
      </c>
      <c r="Z68" s="11" t="inlineStr">
        <is>
          <t>Priority Tier 2 (Balanced Opportunity)</t>
        </is>
      </c>
    </row>
    <row r="69">
      <c r="A69" s="23" t="n">
        <v>3</v>
      </c>
      <c r="B69" s="23" t="n">
        <v>65</v>
      </c>
      <c r="C69" s="23" t="n">
        <v>2065</v>
      </c>
      <c r="D69" s="23" t="inlineStr">
        <is>
          <t>1381000006</t>
        </is>
      </c>
      <c r="E69" s="11" t="inlineStr">
        <is>
          <t>National Capital Region (NCR)</t>
        </is>
      </c>
      <c r="F69" s="11" t="inlineStr">
        <is>
          <t>Fourth District (Not a Province)</t>
        </is>
      </c>
      <c r="G69" s="11" t="inlineStr">
        <is>
          <t>City of Parañaque</t>
        </is>
      </c>
      <c r="H69" s="11" t="inlineStr">
        <is>
          <t>Tambo</t>
        </is>
      </c>
      <c r="I69" s="24" t="n">
        <v>14.515181</v>
      </c>
      <c r="J69" s="24" t="n">
        <v>120.993263</v>
      </c>
      <c r="K69" s="23" t="inlineStr">
        <is>
          <t>U</t>
        </is>
      </c>
      <c r="L69" s="25" t="n">
        <v>35356</v>
      </c>
      <c r="M69" s="26" t="n">
        <v>3.68</v>
      </c>
      <c r="N69" s="25">
        <f>ROUND(L69/M69, 0)</f>
        <v/>
      </c>
      <c r="O69" s="25">
        <f>ROUND(N69*'Methodology &amp; Assumptions'!$B$7, 0)</f>
        <v/>
      </c>
      <c r="P69" s="23" t="inlineStr">
        <is>
          <t>Single Carrier (Band n50, 100MHz TDD)</t>
        </is>
      </c>
      <c r="Q69" s="27">
        <f>ROUNDUP(O69/'Methodology &amp; Assumptions'!$B$8, 0)</f>
        <v/>
      </c>
      <c r="R69" s="27" t="n">
        <v>1</v>
      </c>
      <c r="S69" s="26" t="n">
        <v>0.7</v>
      </c>
      <c r="T69" s="26" t="n">
        <v>0.3</v>
      </c>
      <c r="U69" s="11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26" t="n">
        <v>67.12</v>
      </c>
      <c r="W69" s="26" t="n">
        <v>57.23</v>
      </c>
      <c r="X69" s="26">
        <f>ROUND(('Methodology &amp; Assumptions'!$B$5*V69) + ('Methodology &amp; Assumptions'!$B$6*W69), 2)</f>
        <v/>
      </c>
      <c r="Y69" s="28" t="n">
        <v>10.9</v>
      </c>
      <c r="Z69" s="11" t="inlineStr">
        <is>
          <t>Priority Tier 2 (Balanced Opportunity)</t>
        </is>
      </c>
    </row>
    <row r="70">
      <c r="A70" s="23" t="n">
        <v>3</v>
      </c>
      <c r="B70" s="23" t="n">
        <v>66</v>
      </c>
      <c r="C70" s="23" t="n">
        <v>2066</v>
      </c>
      <c r="D70" s="23" t="inlineStr">
        <is>
          <t>1381600004</t>
        </is>
      </c>
      <c r="E70" s="11" t="inlineStr">
        <is>
          <t>National Capital Region (NCR)</t>
        </is>
      </c>
      <c r="F70" s="11" t="inlineStr">
        <is>
          <t>Third District (Not a Province)</t>
        </is>
      </c>
      <c r="G70" s="11" t="inlineStr">
        <is>
          <t>City of Valenzuela</t>
        </is>
      </c>
      <c r="H70" s="11" t="inlineStr">
        <is>
          <t>Parada</t>
        </is>
      </c>
      <c r="I70" s="24" t="n">
        <v>14.695842</v>
      </c>
      <c r="J70" s="24" t="n">
        <v>120.989182</v>
      </c>
      <c r="K70" s="23" t="inlineStr">
        <is>
          <t>U</t>
        </is>
      </c>
      <c r="L70" s="25" t="n">
        <v>21602</v>
      </c>
      <c r="M70" s="26" t="n">
        <v>3.28</v>
      </c>
      <c r="N70" s="25">
        <f>ROUND(L70/M70, 0)</f>
        <v/>
      </c>
      <c r="O70" s="25">
        <f>ROUND(N70*'Methodology &amp; Assumptions'!$B$7, 0)</f>
        <v/>
      </c>
      <c r="P70" s="23" t="inlineStr">
        <is>
          <t>Single Carrier (Band n50, 100MHz TDD)</t>
        </is>
      </c>
      <c r="Q70" s="27">
        <f>ROUNDUP(O70/'Methodology &amp; Assumptions'!$B$8, 0)</f>
        <v/>
      </c>
      <c r="R70" s="27" t="n">
        <v>1</v>
      </c>
      <c r="S70" s="26" t="n">
        <v>1.1</v>
      </c>
      <c r="T70" s="26" t="n">
        <v>0.88</v>
      </c>
      <c r="U70" s="11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26" t="n">
        <v>67.01000000000001</v>
      </c>
      <c r="W70" s="26" t="n">
        <v>57.34</v>
      </c>
      <c r="X70" s="26">
        <f>ROUND(('Methodology &amp; Assumptions'!$B$5*V70) + ('Methodology &amp; Assumptions'!$B$6*W70), 2)</f>
        <v/>
      </c>
      <c r="Y70" s="28" t="n">
        <v>10.9</v>
      </c>
      <c r="Z70" s="11" t="inlineStr">
        <is>
          <t>Priority Tier 2 (Balanced Opportunity)</t>
        </is>
      </c>
    </row>
    <row r="71">
      <c r="A71" s="23" t="n">
        <v>3</v>
      </c>
      <c r="B71" s="23" t="n">
        <v>67</v>
      </c>
      <c r="C71" s="23" t="n">
        <v>2067</v>
      </c>
      <c r="D71" s="23" t="inlineStr">
        <is>
          <t>0704624002</t>
        </is>
      </c>
      <c r="E71" s="11" t="inlineStr">
        <is>
          <t>Region VII (Central Visayas)</t>
        </is>
      </c>
      <c r="F71" s="11" t="inlineStr">
        <is>
          <t>Negros Oriental</t>
        </is>
      </c>
      <c r="G71" s="11" t="inlineStr">
        <is>
          <t>Vallehermoso</t>
        </is>
      </c>
      <c r="H71" s="11" t="inlineStr">
        <is>
          <t>Bairan</t>
        </is>
      </c>
      <c r="I71" s="24" t="n">
        <v>10.3965</v>
      </c>
      <c r="J71" s="24" t="n">
        <v>123.30943</v>
      </c>
      <c r="K71" s="23" t="inlineStr">
        <is>
          <t>R</t>
        </is>
      </c>
      <c r="L71" s="25" t="n">
        <v>635</v>
      </c>
      <c r="M71" s="26" t="n">
        <v>3.8</v>
      </c>
      <c r="N71" s="25">
        <f>ROUND(L71/M71, 0)</f>
        <v/>
      </c>
      <c r="O71" s="25">
        <f>ROUND(N71*'Methodology &amp; Assumptions'!$B$7, 0)</f>
        <v/>
      </c>
      <c r="P71" s="23" t="inlineStr">
        <is>
          <t>Single Carrier (Band n50, 100MHz TDD)</t>
        </is>
      </c>
      <c r="Q71" s="27">
        <f>ROUNDUP(O71/'Methodology &amp; Assumptions'!$B$8, 0)</f>
        <v/>
      </c>
      <c r="R71" s="27" t="n">
        <v>1</v>
      </c>
      <c r="S71" s="26" t="n">
        <v>3.19</v>
      </c>
      <c r="T71" s="26" t="n">
        <v>3.23</v>
      </c>
      <c r="U71" s="11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26" t="n">
        <v>55.13</v>
      </c>
      <c r="W71" s="26" t="n">
        <v>69.23</v>
      </c>
      <c r="X71" s="26">
        <f>ROUND(('Methodology &amp; Assumptions'!$B$5*V71) + ('Methodology &amp; Assumptions'!$B$6*W71), 2)</f>
        <v/>
      </c>
      <c r="Y71" s="28" t="n">
        <v>23.7</v>
      </c>
      <c r="Z71" s="11" t="inlineStr">
        <is>
          <t>Priority Tier 2 (Balanced Opportunity)</t>
        </is>
      </c>
    </row>
    <row r="72">
      <c r="A72" s="23" t="n">
        <v>3</v>
      </c>
      <c r="B72" s="23" t="n">
        <v>68</v>
      </c>
      <c r="C72" s="23" t="n">
        <v>2068</v>
      </c>
      <c r="D72" s="23" t="inlineStr">
        <is>
          <t>0102817009</t>
        </is>
      </c>
      <c r="E72" s="11" t="inlineStr">
        <is>
          <t>Region I (Ilocos Region)</t>
        </is>
      </c>
      <c r="F72" s="11" t="inlineStr">
        <is>
          <t>Ilocos Norte</t>
        </is>
      </c>
      <c r="G72" s="11" t="inlineStr">
        <is>
          <t>Pasuquin</t>
        </is>
      </c>
      <c r="H72" s="11" t="inlineStr">
        <is>
          <t>Davila</t>
        </is>
      </c>
      <c r="I72" s="24" t="n">
        <v>18.466899</v>
      </c>
      <c r="J72" s="24" t="n">
        <v>120.57802</v>
      </c>
      <c r="K72" s="23" t="inlineStr">
        <is>
          <t>R</t>
        </is>
      </c>
      <c r="L72" s="25" t="n">
        <v>4050</v>
      </c>
      <c r="M72" s="26" t="n">
        <v>3.7</v>
      </c>
      <c r="N72" s="25">
        <f>ROUND(L72/M72, 0)</f>
        <v/>
      </c>
      <c r="O72" s="25">
        <f>ROUND(N72*'Methodology &amp; Assumptions'!$B$7, 0)</f>
        <v/>
      </c>
      <c r="P72" s="23" t="inlineStr">
        <is>
          <t>Single Carrier (Band n50, 100MHz TDD)</t>
        </is>
      </c>
      <c r="Q72" s="27">
        <f>ROUNDUP(O72/'Methodology &amp; Assumptions'!$B$8, 0)</f>
        <v/>
      </c>
      <c r="R72" s="27" t="n">
        <v>1</v>
      </c>
      <c r="S72" s="26" t="n">
        <v>0.93</v>
      </c>
      <c r="T72" s="26" t="n">
        <v>0.22</v>
      </c>
      <c r="U72" s="11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26" t="n">
        <v>85.3</v>
      </c>
      <c r="W72" s="26" t="n">
        <v>39.04</v>
      </c>
      <c r="X72" s="26">
        <f>ROUND(('Methodology &amp; Assumptions'!$B$5*V72) + ('Methodology &amp; Assumptions'!$B$6*W72), 2)</f>
        <v/>
      </c>
      <c r="Y72" s="28" t="n">
        <v>8.300000000000001</v>
      </c>
      <c r="Z72" s="11" t="inlineStr">
        <is>
          <t>Priority Tier 2 (Balanced Opportunity)</t>
        </is>
      </c>
    </row>
    <row r="73">
      <c r="A73" s="23" t="n">
        <v>3</v>
      </c>
      <c r="B73" s="23" t="n">
        <v>69</v>
      </c>
      <c r="C73" s="23" t="n">
        <v>2069</v>
      </c>
      <c r="D73" s="23" t="inlineStr">
        <is>
          <t>1401109004</t>
        </is>
      </c>
      <c r="E73" s="11" t="inlineStr">
        <is>
          <t>Cordillera Administrative Region (CAR)</t>
        </is>
      </c>
      <c r="F73" s="11" t="inlineStr">
        <is>
          <t>Benguet</t>
        </is>
      </c>
      <c r="G73" s="11" t="inlineStr">
        <is>
          <t>Kibungan</t>
        </is>
      </c>
      <c r="H73" s="11" t="inlineStr">
        <is>
          <t>Palina</t>
        </is>
      </c>
      <c r="I73" s="24" t="n">
        <v>16.75321</v>
      </c>
      <c r="J73" s="24" t="n">
        <v>120.68328</v>
      </c>
      <c r="K73" s="23" t="inlineStr">
        <is>
          <t>R</t>
        </is>
      </c>
      <c r="L73" s="25" t="n">
        <v>1481</v>
      </c>
      <c r="M73" s="26" t="n">
        <v>3.5</v>
      </c>
      <c r="N73" s="25">
        <f>ROUND(L73/M73, 0)</f>
        <v/>
      </c>
      <c r="O73" s="25">
        <f>ROUND(N73*'Methodology &amp; Assumptions'!$B$7, 0)</f>
        <v/>
      </c>
      <c r="P73" s="23" t="inlineStr">
        <is>
          <t>Single Carrier (Band n50, 100MHz TDD)</t>
        </is>
      </c>
      <c r="Q73" s="27">
        <f>ROUNDUP(O73/'Methodology &amp; Assumptions'!$B$8, 0)</f>
        <v/>
      </c>
      <c r="R73" s="27" t="n">
        <v>1</v>
      </c>
      <c r="S73" s="26" t="n">
        <v>2.36</v>
      </c>
      <c r="T73" s="26" t="n">
        <v>9.789999999999999</v>
      </c>
      <c r="U73" s="11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26" t="n">
        <v>62.71</v>
      </c>
      <c r="W73" s="26" t="n">
        <v>61.63</v>
      </c>
      <c r="X73" s="26">
        <f>ROUND(('Methodology &amp; Assumptions'!$B$5*V73) + ('Methodology &amp; Assumptions'!$B$6*W73), 2)</f>
        <v/>
      </c>
      <c r="Y73" s="28" t="n">
        <v>10.9</v>
      </c>
      <c r="Z73" s="11" t="inlineStr">
        <is>
          <t>Priority Tier 2 (Balanced Opportunity)</t>
        </is>
      </c>
    </row>
    <row r="74">
      <c r="A74" s="23" t="n">
        <v>3</v>
      </c>
      <c r="B74" s="23" t="n">
        <v>70</v>
      </c>
      <c r="C74" s="23" t="n">
        <v>2070</v>
      </c>
      <c r="D74" s="23" t="inlineStr">
        <is>
          <t>1380601076</t>
        </is>
      </c>
      <c r="E74" s="11" t="inlineStr">
        <is>
          <t>National Capital Region (NCR)</t>
        </is>
      </c>
      <c r="F74" s="11" t="inlineStr">
        <is>
          <t>First District (Not a Province)</t>
        </is>
      </c>
      <c r="G74" s="11" t="inlineStr">
        <is>
          <t>City of Manila</t>
        </is>
      </c>
      <c r="H74" s="11" t="inlineStr">
        <is>
          <t>Barangay 76</t>
        </is>
      </c>
      <c r="I74" s="24" t="n">
        <v>14.615082</v>
      </c>
      <c r="J74" s="24" t="n">
        <v>120.967554</v>
      </c>
      <c r="K74" s="23" t="inlineStr">
        <is>
          <t>U</t>
        </is>
      </c>
      <c r="L74" s="25" t="n">
        <v>1745</v>
      </c>
      <c r="M74" s="26" t="n">
        <v>3.92</v>
      </c>
      <c r="N74" s="25">
        <f>ROUND(L74/M74, 0)</f>
        <v/>
      </c>
      <c r="O74" s="25">
        <f>ROUND(N74*'Methodology &amp; Assumptions'!$B$7, 0)</f>
        <v/>
      </c>
      <c r="P74" s="23" t="inlineStr">
        <is>
          <t>Single Carrier (Band n50, 100MHz TDD)</t>
        </is>
      </c>
      <c r="Q74" s="27">
        <f>ROUNDUP(O74/'Methodology &amp; Assumptions'!$B$8, 0)</f>
        <v/>
      </c>
      <c r="R74" s="27" t="n">
        <v>1</v>
      </c>
      <c r="S74" s="26" t="n">
        <v>0.61</v>
      </c>
      <c r="T74" s="26" t="n">
        <v>0.4</v>
      </c>
      <c r="U74" s="11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26" t="n">
        <v>55.45</v>
      </c>
      <c r="W74" s="26" t="n">
        <v>68.89</v>
      </c>
      <c r="X74" s="26">
        <f>ROUND(('Methodology &amp; Assumptions'!$B$5*V74) + ('Methodology &amp; Assumptions'!$B$6*W74), 2)</f>
        <v/>
      </c>
      <c r="Y74" s="28" t="n">
        <v>10.9</v>
      </c>
      <c r="Z74" s="11" t="inlineStr">
        <is>
          <t>Priority Tier 2 (Balanced Opportunity)</t>
        </is>
      </c>
    </row>
    <row r="75">
      <c r="A75" s="23" t="n">
        <v>3</v>
      </c>
      <c r="B75" s="23" t="n">
        <v>71</v>
      </c>
      <c r="C75" s="23" t="n">
        <v>2071</v>
      </c>
      <c r="D75" s="23" t="inlineStr">
        <is>
          <t>1380605070</t>
        </is>
      </c>
      <c r="E75" s="11" t="inlineStr">
        <is>
          <t>National Capital Region (NCR)</t>
        </is>
      </c>
      <c r="F75" s="11" t="inlineStr">
        <is>
          <t>First District (Not a Province)</t>
        </is>
      </c>
      <c r="G75" s="11" t="inlineStr">
        <is>
          <t>City of Manila</t>
        </is>
      </c>
      <c r="H75" s="11" t="inlineStr">
        <is>
          <t>Barangay 367</t>
        </is>
      </c>
      <c r="I75" s="24" t="n">
        <v>14.625165</v>
      </c>
      <c r="J75" s="24" t="n">
        <v>120.985041</v>
      </c>
      <c r="K75" s="23" t="inlineStr">
        <is>
          <t>U</t>
        </is>
      </c>
      <c r="L75" s="25" t="n">
        <v>2063</v>
      </c>
      <c r="M75" s="26" t="n">
        <v>4.46</v>
      </c>
      <c r="N75" s="25">
        <f>ROUND(L75/M75, 0)</f>
        <v/>
      </c>
      <c r="O75" s="25">
        <f>ROUND(N75*'Methodology &amp; Assumptions'!$B$7, 0)</f>
        <v/>
      </c>
      <c r="P75" s="23" t="inlineStr">
        <is>
          <t>Single Carrier (Band n50, 100MHz TDD)</t>
        </is>
      </c>
      <c r="Q75" s="27">
        <f>ROUNDUP(O75/'Methodology &amp; Assumptions'!$B$8, 0)</f>
        <v/>
      </c>
      <c r="R75" s="27" t="n">
        <v>1</v>
      </c>
      <c r="S75" s="26" t="n">
        <v>0.99</v>
      </c>
      <c r="T75" s="26" t="n">
        <v>0.21</v>
      </c>
      <c r="U75" s="11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26" t="n">
        <v>55.4</v>
      </c>
      <c r="W75" s="26" t="n">
        <v>68.93000000000001</v>
      </c>
      <c r="X75" s="26">
        <f>ROUND(('Methodology &amp; Assumptions'!$B$5*V75) + ('Methodology &amp; Assumptions'!$B$6*W75), 2)</f>
        <v/>
      </c>
      <c r="Y75" s="28" t="n">
        <v>10.9</v>
      </c>
      <c r="Z75" s="11" t="inlineStr">
        <is>
          <t>Priority Tier 2 (Balanced Opportunity)</t>
        </is>
      </c>
    </row>
    <row r="76">
      <c r="A76" s="23" t="n">
        <v>3</v>
      </c>
      <c r="B76" s="23" t="n">
        <v>72</v>
      </c>
      <c r="C76" s="23" t="n">
        <v>2072</v>
      </c>
      <c r="D76" s="23" t="inlineStr">
        <is>
          <t>1380605001</t>
        </is>
      </c>
      <c r="E76" s="11" t="inlineStr">
        <is>
          <t>National Capital Region (NCR)</t>
        </is>
      </c>
      <c r="F76" s="11" t="inlineStr">
        <is>
          <t>First District (Not a Province)</t>
        </is>
      </c>
      <c r="G76" s="11" t="inlineStr">
        <is>
          <t>City of Manila</t>
        </is>
      </c>
      <c r="H76" s="11" t="inlineStr">
        <is>
          <t>Barangay 297</t>
        </is>
      </c>
      <c r="I76" s="24" t="n">
        <v>14.60028</v>
      </c>
      <c r="J76" s="24" t="n">
        <v>120.9774</v>
      </c>
      <c r="K76" s="23" t="inlineStr">
        <is>
          <t>U</t>
        </is>
      </c>
      <c r="L76" s="25" t="n">
        <v>2015</v>
      </c>
      <c r="M76" s="26" t="n">
        <v>4.24</v>
      </c>
      <c r="N76" s="25">
        <f>ROUND(L76/M76, 0)</f>
        <v/>
      </c>
      <c r="O76" s="25">
        <f>ROUND(N76*'Methodology &amp; Assumptions'!$B$7, 0)</f>
        <v/>
      </c>
      <c r="P76" s="23" t="inlineStr">
        <is>
          <t>Single Carrier (Band n50, 100MHz TDD)</t>
        </is>
      </c>
      <c r="Q76" s="27">
        <f>ROUNDUP(O76/'Methodology &amp; Assumptions'!$B$8, 0)</f>
        <v/>
      </c>
      <c r="R76" s="27" t="n">
        <v>1</v>
      </c>
      <c r="S76" s="26" t="n">
        <v>1.1</v>
      </c>
      <c r="T76" s="26" t="n">
        <v>0.37</v>
      </c>
      <c r="U76" s="11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26" t="n">
        <v>55.3</v>
      </c>
      <c r="W76" s="26" t="n">
        <v>69.05</v>
      </c>
      <c r="X76" s="26">
        <f>ROUND(('Methodology &amp; Assumptions'!$B$5*V76) + ('Methodology &amp; Assumptions'!$B$6*W76), 2)</f>
        <v/>
      </c>
      <c r="Y76" s="28" t="n">
        <v>10.9</v>
      </c>
      <c r="Z76" s="11" t="inlineStr">
        <is>
          <t>Priority Tier 2 (Balanced Opportunity)</t>
        </is>
      </c>
    </row>
    <row r="77">
      <c r="A77" s="23" t="n">
        <v>3</v>
      </c>
      <c r="B77" s="23" t="n">
        <v>73</v>
      </c>
      <c r="C77" s="23" t="n">
        <v>2073</v>
      </c>
      <c r="D77" s="23" t="inlineStr">
        <is>
          <t>1381300116</t>
        </is>
      </c>
      <c r="E77" s="11" t="inlineStr">
        <is>
          <t>National Capital Region (NCR)</t>
        </is>
      </c>
      <c r="F77" s="11" t="inlineStr">
        <is>
          <t>Second District (Not a Province)</t>
        </is>
      </c>
      <c r="G77" s="11" t="inlineStr">
        <is>
          <t>Quezon City</t>
        </is>
      </c>
      <c r="H77" s="11" t="inlineStr">
        <is>
          <t>South Triangle</t>
        </is>
      </c>
      <c r="I77" s="24" t="n">
        <v>14.63783</v>
      </c>
      <c r="J77" s="24" t="n">
        <v>121.0374</v>
      </c>
      <c r="K77" s="23" t="inlineStr">
        <is>
          <t>U</t>
        </is>
      </c>
      <c r="L77" s="25" t="n">
        <v>15070</v>
      </c>
      <c r="M77" s="26" t="n">
        <v>2.9</v>
      </c>
      <c r="N77" s="25">
        <f>ROUND(L77/M77, 0)</f>
        <v/>
      </c>
      <c r="O77" s="25">
        <f>ROUND(N77*'Methodology &amp; Assumptions'!$B$7, 0)</f>
        <v/>
      </c>
      <c r="P77" s="23" t="inlineStr">
        <is>
          <t>Single Carrier (Band n50, 100MHz TDD)</t>
        </is>
      </c>
      <c r="Q77" s="27">
        <f>ROUNDUP(O77/'Methodology &amp; Assumptions'!$B$8, 0)</f>
        <v/>
      </c>
      <c r="R77" s="27" t="n">
        <v>1</v>
      </c>
      <c r="S77" s="26" t="n">
        <v>0.57</v>
      </c>
      <c r="T77" s="26" t="n">
        <v>0.42</v>
      </c>
      <c r="U77" s="11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26" t="n">
        <v>68.56</v>
      </c>
      <c r="W77" s="26" t="n">
        <v>55.76</v>
      </c>
      <c r="X77" s="26">
        <f>ROUND(('Methodology &amp; Assumptions'!$B$5*V77) + ('Methodology &amp; Assumptions'!$B$6*W77), 2)</f>
        <v/>
      </c>
      <c r="Y77" s="28" t="n">
        <v>10.9</v>
      </c>
      <c r="Z77" s="11" t="inlineStr">
        <is>
          <t>Priority Tier 2 (Balanced Opportunity)</t>
        </is>
      </c>
    </row>
    <row r="78">
      <c r="A78" s="23" t="n">
        <v>3</v>
      </c>
      <c r="B78" s="23" t="n">
        <v>74</v>
      </c>
      <c r="C78" s="23" t="n">
        <v>2074</v>
      </c>
      <c r="D78" s="23" t="inlineStr">
        <is>
          <t>0601917030</t>
        </is>
      </c>
      <c r="E78" s="11" t="inlineStr">
        <is>
          <t>Region VI (Western Visayas)</t>
        </is>
      </c>
      <c r="F78" s="11" t="inlineStr">
        <is>
          <t>Capiz</t>
        </is>
      </c>
      <c r="G78" s="11" t="inlineStr">
        <is>
          <t>Tapaz</t>
        </is>
      </c>
      <c r="H78" s="11" t="inlineStr">
        <is>
          <t>Minan</t>
        </is>
      </c>
      <c r="I78" s="24" t="n">
        <v>11.195188</v>
      </c>
      <c r="J78" s="24" t="n">
        <v>122.287918</v>
      </c>
      <c r="K78" s="23" t="inlineStr">
        <is>
          <t>R</t>
        </is>
      </c>
      <c r="L78" s="25" t="n">
        <v>555</v>
      </c>
      <c r="M78" s="26" t="n">
        <v>3.8</v>
      </c>
      <c r="N78" s="25">
        <f>ROUND(L78/M78, 0)</f>
        <v/>
      </c>
      <c r="O78" s="25">
        <f>ROUND(N78*'Methodology &amp; Assumptions'!$B$7, 0)</f>
        <v/>
      </c>
      <c r="P78" s="23" t="inlineStr">
        <is>
          <t>Single Carrier (Band n50, 100MHz TDD)</t>
        </is>
      </c>
      <c r="Q78" s="27">
        <f>ROUNDUP(O78/'Methodology &amp; Assumptions'!$B$8, 0)</f>
        <v/>
      </c>
      <c r="R78" s="27" t="n">
        <v>1</v>
      </c>
      <c r="S78" s="26" t="n">
        <v>37.11</v>
      </c>
      <c r="T78" s="26" t="n">
        <v>29.98</v>
      </c>
      <c r="U78" s="11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26" t="n">
        <v>40.67</v>
      </c>
      <c r="W78" s="26" t="n">
        <v>83.65000000000001</v>
      </c>
      <c r="X78" s="26">
        <f>ROUND(('Methodology &amp; Assumptions'!$B$5*V78) + ('Methodology &amp; Assumptions'!$B$6*W78), 2)</f>
        <v/>
      </c>
      <c r="Y78" s="28" t="n">
        <v>23.7</v>
      </c>
      <c r="Z78" s="11" t="inlineStr">
        <is>
          <t>Priority Tier 2 (Balanced Opportunity)</t>
        </is>
      </c>
    </row>
    <row r="79">
      <c r="A79" s="23" t="n">
        <v>3</v>
      </c>
      <c r="B79" s="23" t="n">
        <v>75</v>
      </c>
      <c r="C79" s="23" t="n">
        <v>2075</v>
      </c>
      <c r="D79" s="23" t="inlineStr">
        <is>
          <t>0604530016</t>
        </is>
      </c>
      <c r="E79" s="11" t="inlineStr">
        <is>
          <t>Region VI (Western Visayas)</t>
        </is>
      </c>
      <c r="F79" s="11" t="inlineStr">
        <is>
          <t>Negros Occidental</t>
        </is>
      </c>
      <c r="G79" s="11" t="inlineStr">
        <is>
          <t>Valladolid</t>
        </is>
      </c>
      <c r="H79" s="11" t="inlineStr">
        <is>
          <t>Sagua Banua</t>
        </is>
      </c>
      <c r="I79" s="24" t="n">
        <v>10.453168</v>
      </c>
      <c r="J79" s="24" t="n">
        <v>122.825028</v>
      </c>
      <c r="K79" s="23" t="inlineStr">
        <is>
          <t>R</t>
        </is>
      </c>
      <c r="L79" s="25" t="n">
        <v>3539</v>
      </c>
      <c r="M79" s="26" t="n">
        <v>3.7</v>
      </c>
      <c r="N79" s="25">
        <f>ROUND(L79/M79, 0)</f>
        <v/>
      </c>
      <c r="O79" s="25">
        <f>ROUND(N79*'Methodology &amp; Assumptions'!$B$7, 0)</f>
        <v/>
      </c>
      <c r="P79" s="23" t="inlineStr">
        <is>
          <t>Single Carrier (Band n50, 100MHz TDD)</t>
        </is>
      </c>
      <c r="Q79" s="27">
        <f>ROUNDUP(O79/'Methodology &amp; Assumptions'!$B$8, 0)</f>
        <v/>
      </c>
      <c r="R79" s="27" t="n">
        <v>1</v>
      </c>
      <c r="S79" s="26" t="n">
        <v>1.44</v>
      </c>
      <c r="T79" s="26" t="n">
        <v>0.09</v>
      </c>
      <c r="U79" s="11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26" t="n">
        <v>85.79000000000001</v>
      </c>
      <c r="W79" s="26" t="n">
        <v>38.51</v>
      </c>
      <c r="X79" s="26">
        <f>ROUND(('Methodology &amp; Assumptions'!$B$5*V79) + ('Methodology &amp; Assumptions'!$B$6*W79), 2)</f>
        <v/>
      </c>
      <c r="Y79" s="28" t="n">
        <v>23.7</v>
      </c>
      <c r="Z79" s="11" t="inlineStr">
        <is>
          <t>Priority Tier 2 (Balanced Opportunity)</t>
        </is>
      </c>
    </row>
    <row r="80">
      <c r="A80" s="23" t="n">
        <v>3</v>
      </c>
      <c r="B80" s="23" t="n">
        <v>76</v>
      </c>
      <c r="C80" s="23" t="n">
        <v>2076</v>
      </c>
      <c r="D80" s="23" t="inlineStr">
        <is>
          <t>0402120040</t>
        </is>
      </c>
      <c r="E80" s="11" t="inlineStr">
        <is>
          <t>Region IV-A (CALABARZON)</t>
        </is>
      </c>
      <c r="F80" s="11" t="inlineStr">
        <is>
          <t>Cavite</t>
        </is>
      </c>
      <c r="G80" s="11" t="inlineStr">
        <is>
          <t>Tanza</t>
        </is>
      </c>
      <c r="H80" s="11" t="inlineStr">
        <is>
          <t>Julugan VI</t>
        </is>
      </c>
      <c r="I80" s="24" t="n">
        <v>14.39929</v>
      </c>
      <c r="J80" s="24" t="n">
        <v>120.843729</v>
      </c>
      <c r="K80" s="23" t="inlineStr">
        <is>
          <t>R</t>
        </is>
      </c>
      <c r="L80" s="25" t="n">
        <v>5236</v>
      </c>
      <c r="M80" s="26" t="n">
        <v>3.4</v>
      </c>
      <c r="N80" s="25">
        <f>ROUND(L80/M80, 0)</f>
        <v/>
      </c>
      <c r="O80" s="25">
        <f>ROUND(N80*'Methodology &amp; Assumptions'!$B$7, 0)</f>
        <v/>
      </c>
      <c r="P80" s="23" t="inlineStr">
        <is>
          <t>Single Carrier (Band n50, 100MHz TDD)</t>
        </is>
      </c>
      <c r="Q80" s="27">
        <f>ROUNDUP(O80/'Methodology &amp; Assumptions'!$B$8, 0)</f>
        <v/>
      </c>
      <c r="R80" s="27" t="n">
        <v>1</v>
      </c>
      <c r="S80" s="26" t="n">
        <v>1.98</v>
      </c>
      <c r="T80" s="26" t="n">
        <v>1.18</v>
      </c>
      <c r="U80" s="11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26" t="n">
        <v>81.3</v>
      </c>
      <c r="W80" s="26" t="n">
        <v>43</v>
      </c>
      <c r="X80" s="26">
        <f>ROUND(('Methodology &amp; Assumptions'!$B$5*V80) + ('Methodology &amp; Assumptions'!$B$6*W80), 2)</f>
        <v/>
      </c>
      <c r="Y80" s="28" t="n">
        <v>7.2</v>
      </c>
      <c r="Z80" s="11" t="inlineStr">
        <is>
          <t>Priority Tier 2 (Balanced Opportunity)</t>
        </is>
      </c>
    </row>
    <row r="81">
      <c r="A81" s="23" t="n">
        <v>3</v>
      </c>
      <c r="B81" s="23" t="n">
        <v>77</v>
      </c>
      <c r="C81" s="23" t="n">
        <v>2077</v>
      </c>
      <c r="D81" s="23" t="inlineStr">
        <is>
          <t>1380300020</t>
        </is>
      </c>
      <c r="E81" s="11" t="inlineStr">
        <is>
          <t>National Capital Region (NCR)</t>
        </is>
      </c>
      <c r="F81" s="11" t="inlineStr">
        <is>
          <t>Fourth District (Not a Province)</t>
        </is>
      </c>
      <c r="G81" s="11" t="inlineStr">
        <is>
          <t>City of Makati</t>
        </is>
      </c>
      <c r="H81" s="11" t="inlineStr">
        <is>
          <t>Poblacion</t>
        </is>
      </c>
      <c r="I81" s="24" t="n">
        <v>14.57011</v>
      </c>
      <c r="J81" s="24" t="n">
        <v>121.03</v>
      </c>
      <c r="K81" s="23" t="inlineStr">
        <is>
          <t>U</t>
        </is>
      </c>
      <c r="L81" s="25" t="n">
        <v>17088</v>
      </c>
      <c r="M81" s="26" t="n">
        <v>3.47</v>
      </c>
      <c r="N81" s="25">
        <f>ROUND(L81/M81, 0)</f>
        <v/>
      </c>
      <c r="O81" s="25">
        <f>ROUND(N81*'Methodology &amp; Assumptions'!$B$7, 0)</f>
        <v/>
      </c>
      <c r="P81" s="23" t="inlineStr">
        <is>
          <t>Single Carrier (Band n50, 100MHz TDD)</t>
        </is>
      </c>
      <c r="Q81" s="27">
        <f>ROUNDUP(O81/'Methodology &amp; Assumptions'!$B$8, 0)</f>
        <v/>
      </c>
      <c r="R81" s="27" t="n">
        <v>1</v>
      </c>
      <c r="S81" s="26" t="n">
        <v>0.44</v>
      </c>
      <c r="T81" s="26" t="n">
        <v>0.18</v>
      </c>
      <c r="U81" s="11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26" t="n">
        <v>68.69</v>
      </c>
      <c r="W81" s="26" t="n">
        <v>55.61</v>
      </c>
      <c r="X81" s="26">
        <f>ROUND(('Methodology &amp; Assumptions'!$B$5*V81) + ('Methodology &amp; Assumptions'!$B$6*W81), 2)</f>
        <v/>
      </c>
      <c r="Y81" s="28" t="n">
        <v>10.9</v>
      </c>
      <c r="Z81" s="11" t="inlineStr">
        <is>
          <t>Priority Tier 2 (Balanced Opportunity)</t>
        </is>
      </c>
    </row>
    <row r="82">
      <c r="A82" s="23" t="n">
        <v>3</v>
      </c>
      <c r="B82" s="23" t="n">
        <v>78</v>
      </c>
      <c r="C82" s="23" t="n">
        <v>2078</v>
      </c>
      <c r="D82" s="23" t="inlineStr">
        <is>
          <t>1102506012</t>
        </is>
      </c>
      <c r="E82" s="11" t="inlineStr">
        <is>
          <t>Region XI (Davao Region)</t>
        </is>
      </c>
      <c r="F82" s="11" t="inlineStr">
        <is>
          <t>Davao Oriental</t>
        </is>
      </c>
      <c r="G82" s="11" t="inlineStr">
        <is>
          <t>Governor Generoso</t>
        </is>
      </c>
      <c r="H82" s="11" t="inlineStr">
        <is>
          <t>Sergio Osmeña</t>
        </is>
      </c>
      <c r="I82" s="24" t="n">
        <v>6.66378</v>
      </c>
      <c r="J82" s="24" t="n">
        <v>126.143678</v>
      </c>
      <c r="K82" s="23" t="inlineStr">
        <is>
          <t>R</t>
        </is>
      </c>
      <c r="L82" s="25" t="n">
        <v>2020</v>
      </c>
      <c r="M82" s="26" t="n">
        <v>3.6</v>
      </c>
      <c r="N82" s="25">
        <f>ROUND(L82/M82, 0)</f>
        <v/>
      </c>
      <c r="O82" s="25">
        <f>ROUND(N82*'Methodology &amp; Assumptions'!$B$7, 0)</f>
        <v/>
      </c>
      <c r="P82" s="23" t="inlineStr">
        <is>
          <t>Single Carrier (Band n50, 100MHz TDD)</t>
        </is>
      </c>
      <c r="Q82" s="27">
        <f>ROUNDUP(O82/'Methodology &amp; Assumptions'!$B$8, 0)</f>
        <v/>
      </c>
      <c r="R82" s="27" t="n">
        <v>1</v>
      </c>
      <c r="S82" s="26" t="n">
        <v>29.65</v>
      </c>
      <c r="T82" s="26" t="n">
        <v>24.14</v>
      </c>
      <c r="U82" s="11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26" t="n">
        <v>52.72</v>
      </c>
      <c r="W82" s="26" t="n">
        <v>71.56999999999999</v>
      </c>
      <c r="X82" s="26">
        <f>ROUND(('Methodology &amp; Assumptions'!$B$5*V82) + ('Methodology &amp; Assumptions'!$B$6*W82), 2)</f>
        <v/>
      </c>
      <c r="Y82" s="28" t="n">
        <v>17.4</v>
      </c>
      <c r="Z82" s="11" t="inlineStr">
        <is>
          <t>Priority Tier 2 (Balanced Opportunity)</t>
        </is>
      </c>
    </row>
    <row r="83">
      <c r="A83" s="23" t="n">
        <v>3</v>
      </c>
      <c r="B83" s="23" t="n">
        <v>79</v>
      </c>
      <c r="C83" s="23" t="n">
        <v>2079</v>
      </c>
      <c r="D83" s="23" t="inlineStr">
        <is>
          <t>0301402011</t>
        </is>
      </c>
      <c r="E83" s="11" t="inlineStr">
        <is>
          <t>Region III (Central Luzon)</t>
        </is>
      </c>
      <c r="F83" s="11" t="inlineStr">
        <is>
          <t>Bulacan</t>
        </is>
      </c>
      <c r="G83" s="11" t="inlineStr">
        <is>
          <t>Balagtas</t>
        </is>
      </c>
      <c r="H83" s="11" t="inlineStr">
        <is>
          <t>Wawa</t>
        </is>
      </c>
      <c r="I83" s="24" t="n">
        <v>14.81765</v>
      </c>
      <c r="J83" s="24" t="n">
        <v>120.906207</v>
      </c>
      <c r="K83" s="23" t="inlineStr">
        <is>
          <t>U</t>
        </is>
      </c>
      <c r="L83" s="25" t="n">
        <v>5090</v>
      </c>
      <c r="M83" s="26" t="n">
        <v>3.5</v>
      </c>
      <c r="N83" s="25">
        <f>ROUND(L83/M83, 0)</f>
        <v/>
      </c>
      <c r="O83" s="25">
        <f>ROUND(N83*'Methodology &amp; Assumptions'!$B$7, 0)</f>
        <v/>
      </c>
      <c r="P83" s="23" t="inlineStr">
        <is>
          <t>Single Carrier (Band n50, 100MHz TDD)</t>
        </is>
      </c>
      <c r="Q83" s="27">
        <f>ROUNDUP(O83/'Methodology &amp; Assumptions'!$B$8, 0)</f>
        <v/>
      </c>
      <c r="R83" s="27" t="n">
        <v>1</v>
      </c>
      <c r="S83" s="26" t="n">
        <v>3.8</v>
      </c>
      <c r="T83" s="26" t="n">
        <v>0.04</v>
      </c>
      <c r="U83" s="11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26" t="n">
        <v>69.22</v>
      </c>
      <c r="W83" s="26" t="n">
        <v>55.06</v>
      </c>
      <c r="X83" s="26">
        <f>ROUND(('Methodology &amp; Assumptions'!$B$5*V83) + ('Methodology &amp; Assumptions'!$B$6*W83), 2)</f>
        <v/>
      </c>
      <c r="Y83" s="28" t="n">
        <v>8.300000000000001</v>
      </c>
      <c r="Z83" s="11" t="inlineStr">
        <is>
          <t>Priority Tier 2 (Balanced Opportunity)</t>
        </is>
      </c>
    </row>
    <row r="84">
      <c r="A84" s="23" t="n">
        <v>3</v>
      </c>
      <c r="B84" s="23" t="n">
        <v>80</v>
      </c>
      <c r="C84" s="23" t="n">
        <v>2080</v>
      </c>
      <c r="D84" s="23" t="inlineStr">
        <is>
          <t>0305412027</t>
        </is>
      </c>
      <c r="E84" s="11" t="inlineStr">
        <is>
          <t>Region III (Central Luzon)</t>
        </is>
      </c>
      <c r="F84" s="11" t="inlineStr">
        <is>
          <t>Pampanga</t>
        </is>
      </c>
      <c r="G84" s="11" t="inlineStr">
        <is>
          <t>Masantol</t>
        </is>
      </c>
      <c r="H84" s="11" t="inlineStr">
        <is>
          <t>Sapang Kawayan</t>
        </is>
      </c>
      <c r="I84" s="24" t="n">
        <v>14.805071</v>
      </c>
      <c r="J84" s="24" t="n">
        <v>120.685631</v>
      </c>
      <c r="K84" s="23" t="inlineStr">
        <is>
          <t>U</t>
        </is>
      </c>
      <c r="L84" s="25" t="n">
        <v>3449</v>
      </c>
      <c r="M84" s="26" t="n">
        <v>4</v>
      </c>
      <c r="N84" s="25">
        <f>ROUND(L84/M84, 0)</f>
        <v/>
      </c>
      <c r="O84" s="25">
        <f>ROUND(N84*'Methodology &amp; Assumptions'!$B$7, 0)</f>
        <v/>
      </c>
      <c r="P84" s="23" t="inlineStr">
        <is>
          <t>Single Carrier (Band n50, 100MHz TDD)</t>
        </is>
      </c>
      <c r="Q84" s="27">
        <f>ROUNDUP(O84/'Methodology &amp; Assumptions'!$B$8, 0)</f>
        <v/>
      </c>
      <c r="R84" s="27" t="n">
        <v>1</v>
      </c>
      <c r="S84" s="26" t="n">
        <v>8.029999999999999</v>
      </c>
      <c r="T84" s="26" t="n">
        <v>8.859999999999999</v>
      </c>
      <c r="U84" s="11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26" t="n">
        <v>59.49</v>
      </c>
      <c r="W84" s="26" t="n">
        <v>64.79000000000001</v>
      </c>
      <c r="X84" s="26">
        <f>ROUND(('Methodology &amp; Assumptions'!$B$5*V84) + ('Methodology &amp; Assumptions'!$B$6*W84), 2)</f>
        <v/>
      </c>
      <c r="Y84" s="28" t="n">
        <v>8.300000000000001</v>
      </c>
      <c r="Z84" s="11" t="inlineStr">
        <is>
          <t>Priority Tier 2 (Balanced Opportunity)</t>
        </is>
      </c>
    </row>
    <row r="85">
      <c r="A85" s="23" t="n">
        <v>3</v>
      </c>
      <c r="B85" s="23" t="n">
        <v>81</v>
      </c>
      <c r="C85" s="23" t="n">
        <v>2081</v>
      </c>
      <c r="D85" s="23" t="inlineStr">
        <is>
          <t>1908706010</t>
        </is>
      </c>
      <c r="E85" s="11" t="inlineStr">
        <is>
          <t>Bangsamoro Autonomous Region In Muslim Mindanao (BARMM)</t>
        </is>
      </c>
      <c r="F85" s="11" t="inlineStr">
        <is>
          <t>Maguindanao del Norte</t>
        </is>
      </c>
      <c r="G85" s="11" t="inlineStr">
        <is>
          <t>Kabuntalan</t>
        </is>
      </c>
      <c r="H85" s="11" t="inlineStr">
        <is>
          <t>Maitong</t>
        </is>
      </c>
      <c r="I85" s="24" t="n">
        <v>7.093165</v>
      </c>
      <c r="J85" s="24" t="n">
        <v>124.414278</v>
      </c>
      <c r="K85" s="23" t="inlineStr">
        <is>
          <t>R</t>
        </is>
      </c>
      <c r="L85" s="25" t="n">
        <v>3868</v>
      </c>
      <c r="M85" s="26" t="n">
        <v>4.3</v>
      </c>
      <c r="N85" s="25">
        <f>ROUND(L85/M85, 0)</f>
        <v/>
      </c>
      <c r="O85" s="25">
        <f>ROUND(N85*'Methodology &amp; Assumptions'!$B$7, 0)</f>
        <v/>
      </c>
      <c r="P85" s="23" t="inlineStr">
        <is>
          <t>Single Carrier (Band n50, 100MHz TDD)</t>
        </is>
      </c>
      <c r="Q85" s="27">
        <f>ROUNDUP(O85/'Methodology &amp; Assumptions'!$B$8, 0)</f>
        <v/>
      </c>
      <c r="R85" s="27" t="n">
        <v>1</v>
      </c>
      <c r="S85" s="26" t="n">
        <v>43.92</v>
      </c>
      <c r="T85" s="26" t="n">
        <v>43.21</v>
      </c>
      <c r="U85" s="11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26" t="n">
        <v>59.06</v>
      </c>
      <c r="W85" s="26" t="n">
        <v>65.22</v>
      </c>
      <c r="X85" s="26">
        <f>ROUND(('Methodology &amp; Assumptions'!$B$5*V85) + ('Methodology &amp; Assumptions'!$B$6*W85), 2)</f>
        <v/>
      </c>
      <c r="Y85" s="28" t="n">
        <v>11</v>
      </c>
      <c r="Z85" s="11" t="inlineStr">
        <is>
          <t>Priority Tier 2 (Balanced Opportunity)</t>
        </is>
      </c>
    </row>
    <row r="86">
      <c r="A86" s="23" t="n">
        <v>3</v>
      </c>
      <c r="B86" s="23" t="n">
        <v>82</v>
      </c>
      <c r="C86" s="23" t="n">
        <v>2082</v>
      </c>
      <c r="D86" s="23" t="inlineStr">
        <is>
          <t>1380606022</t>
        </is>
      </c>
      <c r="E86" s="11" t="inlineStr">
        <is>
          <t>National Capital Region (NCR)</t>
        </is>
      </c>
      <c r="F86" s="11" t="inlineStr">
        <is>
          <t>First District (Not a Province)</t>
        </is>
      </c>
      <c r="G86" s="11" t="inlineStr">
        <is>
          <t>City of Manila</t>
        </is>
      </c>
      <c r="H86" s="11" t="inlineStr">
        <is>
          <t>Barangay 416</t>
        </is>
      </c>
      <c r="I86" s="24" t="n">
        <v>14.601869</v>
      </c>
      <c r="J86" s="24" t="n">
        <v>120.993108</v>
      </c>
      <c r="K86" s="23" t="inlineStr">
        <is>
          <t>U</t>
        </is>
      </c>
      <c r="L86" s="25" t="n">
        <v>1099</v>
      </c>
      <c r="M86" s="26" t="n">
        <v>2.77</v>
      </c>
      <c r="N86" s="25">
        <f>ROUND(L86/M86, 0)</f>
        <v/>
      </c>
      <c r="O86" s="25">
        <f>ROUND(N86*'Methodology &amp; Assumptions'!$B$7, 0)</f>
        <v/>
      </c>
      <c r="P86" s="23" t="inlineStr">
        <is>
          <t>Single Carrier (Band n50, 100MHz TDD)</t>
        </is>
      </c>
      <c r="Q86" s="27">
        <f>ROUNDUP(O86/'Methodology &amp; Assumptions'!$B$8, 0)</f>
        <v/>
      </c>
      <c r="R86" s="27" t="n">
        <v>1</v>
      </c>
      <c r="S86" s="26" t="n">
        <v>0.25</v>
      </c>
      <c r="T86" s="26" t="n">
        <v>0.05</v>
      </c>
      <c r="U86" s="11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26" t="n">
        <v>53.84</v>
      </c>
      <c r="W86" s="26" t="n">
        <v>70.45</v>
      </c>
      <c r="X86" s="26">
        <f>ROUND(('Methodology &amp; Assumptions'!$B$5*V86) + ('Methodology &amp; Assumptions'!$B$6*W86), 2)</f>
        <v/>
      </c>
      <c r="Y86" s="28" t="n">
        <v>10.9</v>
      </c>
      <c r="Z86" s="11" t="inlineStr">
        <is>
          <t>Priority Tier 2 (Balanced Opportunity)</t>
        </is>
      </c>
    </row>
    <row r="87">
      <c r="A87" s="23" t="n">
        <v>3</v>
      </c>
      <c r="B87" s="23" t="n">
        <v>83</v>
      </c>
      <c r="C87" s="23" t="n">
        <v>2083</v>
      </c>
      <c r="D87" s="23" t="inlineStr">
        <is>
          <t>0403418001</t>
        </is>
      </c>
      <c r="E87" s="11" t="inlineStr">
        <is>
          <t>Region IV-A (CALABARZON)</t>
        </is>
      </c>
      <c r="F87" s="11" t="inlineStr">
        <is>
          <t>Laguna</t>
        </is>
      </c>
      <c r="G87" s="11" t="inlineStr">
        <is>
          <t>Paete</t>
        </is>
      </c>
      <c r="H87" s="11" t="inlineStr">
        <is>
          <t>Bagumbayan</t>
        </is>
      </c>
      <c r="I87" s="24" t="n">
        <v>14.370169</v>
      </c>
      <c r="J87" s="24" t="n">
        <v>121.480984</v>
      </c>
      <c r="K87" s="23" t="inlineStr">
        <is>
          <t>U</t>
        </is>
      </c>
      <c r="L87" s="25" t="n">
        <v>6032</v>
      </c>
      <c r="M87" s="26" t="n">
        <v>3.3</v>
      </c>
      <c r="N87" s="25">
        <f>ROUND(L87/M87, 0)</f>
        <v/>
      </c>
      <c r="O87" s="25">
        <f>ROUND(N87*'Methodology &amp; Assumptions'!$B$7, 0)</f>
        <v/>
      </c>
      <c r="P87" s="23" t="inlineStr">
        <is>
          <t>Single Carrier (Band n50, 100MHz TDD)</t>
        </is>
      </c>
      <c r="Q87" s="27">
        <f>ROUNDUP(O87/'Methodology &amp; Assumptions'!$B$8, 0)</f>
        <v/>
      </c>
      <c r="R87" s="27" t="n">
        <v>1</v>
      </c>
      <c r="S87" s="26" t="n">
        <v>1.07</v>
      </c>
      <c r="T87" s="26" t="n">
        <v>0.23</v>
      </c>
      <c r="U87" s="11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26" t="n">
        <v>80</v>
      </c>
      <c r="W87" s="26" t="n">
        <v>44.26</v>
      </c>
      <c r="X87" s="26">
        <f>ROUND(('Methodology &amp; Assumptions'!$B$5*V87) + ('Methodology &amp; Assumptions'!$B$6*W87), 2)</f>
        <v/>
      </c>
      <c r="Y87" s="28" t="n">
        <v>7.2</v>
      </c>
      <c r="Z87" s="11" t="inlineStr">
        <is>
          <t>Priority Tier 2 (Balanced Opportunity)</t>
        </is>
      </c>
    </row>
    <row r="88">
      <c r="A88" s="23" t="n">
        <v>3</v>
      </c>
      <c r="B88" s="23" t="n">
        <v>84</v>
      </c>
      <c r="C88" s="23" t="n">
        <v>2084</v>
      </c>
      <c r="D88" s="23" t="inlineStr">
        <is>
          <t>0702227014</t>
        </is>
      </c>
      <c r="E88" s="11" t="inlineStr">
        <is>
          <t>Region VII (Central Visayas)</t>
        </is>
      </c>
      <c r="F88" s="11" t="inlineStr">
        <is>
          <t>Cebu</t>
        </is>
      </c>
      <c r="G88" s="11" t="inlineStr">
        <is>
          <t>Liloan</t>
        </is>
      </c>
      <c r="H88" s="11" t="inlineStr">
        <is>
          <t>Yati</t>
        </is>
      </c>
      <c r="I88" s="24" t="n">
        <v>10.388979</v>
      </c>
      <c r="J88" s="24" t="n">
        <v>123.981657</v>
      </c>
      <c r="K88" s="23" t="inlineStr">
        <is>
          <t>U</t>
        </is>
      </c>
      <c r="L88" s="25" t="n">
        <v>37883</v>
      </c>
      <c r="M88" s="26" t="n">
        <v>3.8</v>
      </c>
      <c r="N88" s="25">
        <f>ROUND(L88/M88, 0)</f>
        <v/>
      </c>
      <c r="O88" s="25">
        <f>ROUND(N88*'Methodology &amp; Assumptions'!$B$7, 0)</f>
        <v/>
      </c>
      <c r="P88" s="23" t="inlineStr">
        <is>
          <t>Single Carrier (Band n50, 100MHz TDD)</t>
        </is>
      </c>
      <c r="Q88" s="27">
        <f>ROUNDUP(O88/'Methodology &amp; Assumptions'!$B$8, 0)</f>
        <v/>
      </c>
      <c r="R88" s="27" t="n">
        <v>1</v>
      </c>
      <c r="S88" s="26" t="n">
        <v>2.72</v>
      </c>
      <c r="T88" s="26" t="n">
        <v>0.21</v>
      </c>
      <c r="U88" s="11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26" t="n">
        <v>73.73</v>
      </c>
      <c r="W88" s="26" t="n">
        <v>50.51</v>
      </c>
      <c r="X88" s="26">
        <f>ROUND(('Methodology &amp; Assumptions'!$B$5*V88) + ('Methodology &amp; Assumptions'!$B$6*W88), 2)</f>
        <v/>
      </c>
      <c r="Y88" s="28" t="n">
        <v>23.7</v>
      </c>
      <c r="Z88" s="11" t="inlineStr">
        <is>
          <t>Priority Tier 2 (Balanced Opportunity)</t>
        </is>
      </c>
    </row>
    <row r="89">
      <c r="A89" s="23" t="n">
        <v>3</v>
      </c>
      <c r="B89" s="23" t="n">
        <v>85</v>
      </c>
      <c r="C89" s="23" t="n">
        <v>2085</v>
      </c>
      <c r="D89" s="23" t="inlineStr">
        <is>
          <t>1381400001</t>
        </is>
      </c>
      <c r="E89" s="11" t="inlineStr">
        <is>
          <t>National Capital Region (NCR)</t>
        </is>
      </c>
      <c r="F89" s="11" t="inlineStr">
        <is>
          <t>Second District (Not a Province)</t>
        </is>
      </c>
      <c r="G89" s="11" t="inlineStr">
        <is>
          <t>City of San Juan</t>
        </is>
      </c>
      <c r="H89" s="11" t="inlineStr">
        <is>
          <t>Addition Hills</t>
        </is>
      </c>
      <c r="I89" s="24" t="n">
        <v>14.59478</v>
      </c>
      <c r="J89" s="24" t="n">
        <v>121.0421</v>
      </c>
      <c r="K89" s="23" t="inlineStr">
        <is>
          <t>U</t>
        </is>
      </c>
      <c r="L89" s="25" t="n">
        <v>5436</v>
      </c>
      <c r="M89" s="26" t="n">
        <v>4.57</v>
      </c>
      <c r="N89" s="25">
        <f>ROUND(L89/M89, 0)</f>
        <v/>
      </c>
      <c r="O89" s="25">
        <f>ROUND(N89*'Methodology &amp; Assumptions'!$B$7, 0)</f>
        <v/>
      </c>
      <c r="P89" s="23" t="inlineStr">
        <is>
          <t>Single Carrier (Band n50, 100MHz TDD)</t>
        </is>
      </c>
      <c r="Q89" s="27">
        <f>ROUNDUP(O89/'Methodology &amp; Assumptions'!$B$8, 0)</f>
        <v/>
      </c>
      <c r="R89" s="27" t="n">
        <v>1</v>
      </c>
      <c r="S89" s="26" t="n">
        <v>0.8</v>
      </c>
      <c r="T89" s="26" t="n">
        <v>0.31</v>
      </c>
      <c r="U89" s="11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26" t="n">
        <v>69.09</v>
      </c>
      <c r="W89" s="26" t="n">
        <v>55.14</v>
      </c>
      <c r="X89" s="26">
        <f>ROUND(('Methodology &amp; Assumptions'!$B$5*V89) + ('Methodology &amp; Assumptions'!$B$6*W89), 2)</f>
        <v/>
      </c>
      <c r="Y89" s="28" t="n">
        <v>10.9</v>
      </c>
      <c r="Z89" s="11" t="inlineStr">
        <is>
          <t>Priority Tier 2 (Balanced Opportunity)</t>
        </is>
      </c>
    </row>
    <row r="90">
      <c r="A90" s="23" t="n">
        <v>3</v>
      </c>
      <c r="B90" s="23" t="n">
        <v>86</v>
      </c>
      <c r="C90" s="23" t="n">
        <v>2086</v>
      </c>
      <c r="D90" s="23" t="inlineStr">
        <is>
          <t>1908824012</t>
        </is>
      </c>
      <c r="E90" s="11" t="inlineStr">
        <is>
          <t>Bangsamoro Autonomous Region In Muslim Mindanao (BARMM)</t>
        </is>
      </c>
      <c r="F90" s="11" t="inlineStr">
        <is>
          <t>Maguindanao del Sur</t>
        </is>
      </c>
      <c r="G90" s="11" t="inlineStr">
        <is>
          <t>Talayan</t>
        </is>
      </c>
      <c r="H90" s="11" t="inlineStr">
        <is>
          <t>Talayan</t>
        </is>
      </c>
      <c r="I90" s="24" t="n">
        <v>6.888491</v>
      </c>
      <c r="J90" s="24" t="n">
        <v>124.297718</v>
      </c>
      <c r="K90" s="23" t="inlineStr">
        <is>
          <t>U</t>
        </is>
      </c>
      <c r="L90" s="25" t="n">
        <v>5829</v>
      </c>
      <c r="M90" s="26" t="n">
        <v>4.7</v>
      </c>
      <c r="N90" s="25">
        <f>ROUND(L90/M90, 0)</f>
        <v/>
      </c>
      <c r="O90" s="25">
        <f>ROUND(N90*'Methodology &amp; Assumptions'!$B$7, 0)</f>
        <v/>
      </c>
      <c r="P90" s="23" t="inlineStr">
        <is>
          <t>Single Carrier (Band n50, 100MHz TDD)</t>
        </is>
      </c>
      <c r="Q90" s="27">
        <f>ROUNDUP(O90/'Methodology &amp; Assumptions'!$B$8, 0)</f>
        <v/>
      </c>
      <c r="R90" s="27" t="n">
        <v>1</v>
      </c>
      <c r="S90" s="26" t="n">
        <v>47.02</v>
      </c>
      <c r="T90" s="26" t="n">
        <v>46.96</v>
      </c>
      <c r="U90" s="11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26" t="n">
        <v>51.86</v>
      </c>
      <c r="W90" s="26" t="n">
        <v>72.39</v>
      </c>
      <c r="X90" s="26">
        <f>ROUND(('Methodology &amp; Assumptions'!$B$5*V90) + ('Methodology &amp; Assumptions'!$B$6*W90), 2)</f>
        <v/>
      </c>
      <c r="Y90" s="28" t="n">
        <v>11</v>
      </c>
      <c r="Z90" s="11" t="inlineStr">
        <is>
          <t>Priority Tier 2 (Balanced Opportunity)</t>
        </is>
      </c>
    </row>
    <row r="91">
      <c r="A91" s="23" t="n">
        <v>3</v>
      </c>
      <c r="B91" s="23" t="n">
        <v>87</v>
      </c>
      <c r="C91" s="23" t="n">
        <v>2087</v>
      </c>
      <c r="D91" s="23" t="inlineStr">
        <is>
          <t>0405622057</t>
        </is>
      </c>
      <c r="E91" s="11" t="inlineStr">
        <is>
          <t>Region IV-A (CALABARZON)</t>
        </is>
      </c>
      <c r="F91" s="11" t="inlineStr">
        <is>
          <t>Quezon</t>
        </is>
      </c>
      <c r="G91" s="11" t="inlineStr">
        <is>
          <t>Lopez</t>
        </is>
      </c>
      <c r="H91" s="11" t="inlineStr">
        <is>
          <t>Pisipis</t>
        </is>
      </c>
      <c r="I91" s="24" t="n">
        <v>13.896903</v>
      </c>
      <c r="J91" s="24" t="n">
        <v>122.368835</v>
      </c>
      <c r="K91" s="23" t="inlineStr">
        <is>
          <t>R</t>
        </is>
      </c>
      <c r="L91" s="25" t="n">
        <v>717</v>
      </c>
      <c r="M91" s="26" t="n">
        <v>3.8</v>
      </c>
      <c r="N91" s="25">
        <f>ROUND(L91/M91, 0)</f>
        <v/>
      </c>
      <c r="O91" s="25">
        <f>ROUND(N91*'Methodology &amp; Assumptions'!$B$7, 0)</f>
        <v/>
      </c>
      <c r="P91" s="23" t="inlineStr">
        <is>
          <t>Single Carrier (Band n50, 100MHz TDD)</t>
        </is>
      </c>
      <c r="Q91" s="27">
        <f>ROUNDUP(O91/'Methodology &amp; Assumptions'!$B$8, 0)</f>
        <v/>
      </c>
      <c r="R91" s="27" t="n">
        <v>1</v>
      </c>
      <c r="S91" s="26" t="n">
        <v>8.44</v>
      </c>
      <c r="T91" s="26" t="n">
        <v>5.84</v>
      </c>
      <c r="U91" s="11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26" t="n">
        <v>45.74</v>
      </c>
      <c r="W91" s="26" t="n">
        <v>78.48999999999999</v>
      </c>
      <c r="X91" s="26">
        <f>ROUND(('Methodology &amp; Assumptions'!$B$5*V91) + ('Methodology &amp; Assumptions'!$B$6*W91), 2)</f>
        <v/>
      </c>
      <c r="Y91" s="28" t="n">
        <v>7.2</v>
      </c>
      <c r="Z91" s="11" t="inlineStr">
        <is>
          <t>Priority Tier 2 (Balanced Opportunity)</t>
        </is>
      </c>
    </row>
    <row r="92">
      <c r="A92" s="23" t="n">
        <v>3</v>
      </c>
      <c r="B92" s="23" t="n">
        <v>88</v>
      </c>
      <c r="C92" s="23" t="n">
        <v>2088</v>
      </c>
      <c r="D92" s="23" t="inlineStr">
        <is>
          <t>0405808008</t>
        </is>
      </c>
      <c r="E92" s="11" t="inlineStr">
        <is>
          <t>Region IV-A (CALABARZON)</t>
        </is>
      </c>
      <c r="F92" s="11" t="inlineStr">
        <is>
          <t>Rizal</t>
        </is>
      </c>
      <c r="G92" s="11" t="inlineStr">
        <is>
          <t>Rodriguez</t>
        </is>
      </c>
      <c r="H92" s="11" t="inlineStr">
        <is>
          <t>Rosario</t>
        </is>
      </c>
      <c r="I92" s="24" t="n">
        <v>14.73014</v>
      </c>
      <c r="J92" s="24" t="n">
        <v>121.1413</v>
      </c>
      <c r="K92" s="23" t="inlineStr">
        <is>
          <t>U</t>
        </is>
      </c>
      <c r="L92" s="25" t="n">
        <v>6573</v>
      </c>
      <c r="M92" s="26" t="n">
        <v>3.6</v>
      </c>
      <c r="N92" s="25">
        <f>ROUND(L92/M92, 0)</f>
        <v/>
      </c>
      <c r="O92" s="25">
        <f>ROUND(N92*'Methodology &amp; Assumptions'!$B$7, 0)</f>
        <v/>
      </c>
      <c r="P92" s="23" t="inlineStr">
        <is>
          <t>Single Carrier (Band n50, 100MHz TDD)</t>
        </is>
      </c>
      <c r="Q92" s="27">
        <f>ROUNDUP(O92/'Methodology &amp; Assumptions'!$B$8, 0)</f>
        <v/>
      </c>
      <c r="R92" s="27" t="n">
        <v>1</v>
      </c>
      <c r="S92" s="26" t="n">
        <v>0.31</v>
      </c>
      <c r="T92" s="26" t="n">
        <v>0.31</v>
      </c>
      <c r="U92" s="11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26" t="n">
        <v>78.26000000000001</v>
      </c>
      <c r="W92" s="26" t="n">
        <v>45.96</v>
      </c>
      <c r="X92" s="26">
        <f>ROUND(('Methodology &amp; Assumptions'!$B$5*V92) + ('Methodology &amp; Assumptions'!$B$6*W92), 2)</f>
        <v/>
      </c>
      <c r="Y92" s="28" t="n">
        <v>7.2</v>
      </c>
      <c r="Z92" s="11" t="inlineStr">
        <is>
          <t>Priority Tier 2 (Balanced Opportunity)</t>
        </is>
      </c>
    </row>
    <row r="93">
      <c r="A93" s="23" t="n">
        <v>3</v>
      </c>
      <c r="B93" s="23" t="n">
        <v>89</v>
      </c>
      <c r="C93" s="23" t="n">
        <v>2089</v>
      </c>
      <c r="D93" s="23" t="inlineStr">
        <is>
          <t>1380601212</t>
        </is>
      </c>
      <c r="E93" s="11" t="inlineStr">
        <is>
          <t>National Capital Region (NCR)</t>
        </is>
      </c>
      <c r="F93" s="11" t="inlineStr">
        <is>
          <t>First District (Not a Province)</t>
        </is>
      </c>
      <c r="G93" s="11" t="inlineStr">
        <is>
          <t>City of Manila</t>
        </is>
      </c>
      <c r="H93" s="11" t="inlineStr">
        <is>
          <t>Barangay 211</t>
        </is>
      </c>
      <c r="I93" s="24" t="n">
        <v>14.625666</v>
      </c>
      <c r="J93" s="24" t="n">
        <v>120.982326</v>
      </c>
      <c r="K93" s="23" t="inlineStr">
        <is>
          <t>U</t>
        </is>
      </c>
      <c r="L93" s="25" t="n">
        <v>2102</v>
      </c>
      <c r="M93" s="26" t="n">
        <v>4.63</v>
      </c>
      <c r="N93" s="25">
        <f>ROUND(L93/M93, 0)</f>
        <v/>
      </c>
      <c r="O93" s="25">
        <f>ROUND(N93*'Methodology &amp; Assumptions'!$B$7, 0)</f>
        <v/>
      </c>
      <c r="P93" s="23" t="inlineStr">
        <is>
          <t>Single Carrier (Band n50, 100MHz TDD)</t>
        </is>
      </c>
      <c r="Q93" s="27">
        <f>ROUNDUP(O93/'Methodology &amp; Assumptions'!$B$8, 0)</f>
        <v/>
      </c>
      <c r="R93" s="27" t="n">
        <v>1</v>
      </c>
      <c r="S93" s="26" t="n">
        <v>0.98</v>
      </c>
      <c r="T93" s="26" t="n">
        <v>0.16</v>
      </c>
      <c r="U93" s="11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26" t="n">
        <v>55.14</v>
      </c>
      <c r="W93" s="26" t="n">
        <v>69.08</v>
      </c>
      <c r="X93" s="26">
        <f>ROUND(('Methodology &amp; Assumptions'!$B$5*V93) + ('Methodology &amp; Assumptions'!$B$6*W93), 2)</f>
        <v/>
      </c>
      <c r="Y93" s="28" t="n">
        <v>10.9</v>
      </c>
      <c r="Z93" s="11" t="inlineStr">
        <is>
          <t>Priority Tier 2 (Balanced Opportunity)</t>
        </is>
      </c>
    </row>
    <row r="94">
      <c r="A94" s="23" t="n">
        <v>3</v>
      </c>
      <c r="B94" s="23" t="n">
        <v>90</v>
      </c>
      <c r="C94" s="23" t="n">
        <v>2090</v>
      </c>
      <c r="D94" s="23" t="inlineStr">
        <is>
          <t>0304902009</t>
        </is>
      </c>
      <c r="E94" s="11" t="inlineStr">
        <is>
          <t>Region III (Central Luzon)</t>
        </is>
      </c>
      <c r="F94" s="11" t="inlineStr">
        <is>
          <t>Nueva Ecija</t>
        </is>
      </c>
      <c r="G94" s="11" t="inlineStr">
        <is>
          <t>Bongabon</t>
        </is>
      </c>
      <c r="H94" s="11" t="inlineStr">
        <is>
          <t>Kaingin</t>
        </is>
      </c>
      <c r="I94" s="24" t="n">
        <v>15.623784</v>
      </c>
      <c r="J94" s="24" t="n">
        <v>121.137306</v>
      </c>
      <c r="K94" s="23" t="inlineStr">
        <is>
          <t>R</t>
        </is>
      </c>
      <c r="L94" s="25" t="n">
        <v>2981</v>
      </c>
      <c r="M94" s="26" t="n">
        <v>3.5</v>
      </c>
      <c r="N94" s="25">
        <f>ROUND(L94/M94, 0)</f>
        <v/>
      </c>
      <c r="O94" s="25">
        <f>ROUND(N94*'Methodology &amp; Assumptions'!$B$7, 0)</f>
        <v/>
      </c>
      <c r="P94" s="23" t="inlineStr">
        <is>
          <t>Single Carrier (Band n50, 100MHz TDD)</t>
        </is>
      </c>
      <c r="Q94" s="27">
        <f>ROUNDUP(O94/'Methodology &amp; Assumptions'!$B$8, 0)</f>
        <v/>
      </c>
      <c r="R94" s="27" t="n">
        <v>1</v>
      </c>
      <c r="S94" s="26" t="n">
        <v>0.99</v>
      </c>
      <c r="T94" s="26" t="n">
        <v>0.99</v>
      </c>
      <c r="U94" s="11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26" t="n">
        <v>85.06</v>
      </c>
      <c r="W94" s="26" t="n">
        <v>39.13</v>
      </c>
      <c r="X94" s="26">
        <f>ROUND(('Methodology &amp; Assumptions'!$B$5*V94) + ('Methodology &amp; Assumptions'!$B$6*W94), 2)</f>
        <v/>
      </c>
      <c r="Y94" s="28" t="n">
        <v>8.300000000000001</v>
      </c>
      <c r="Z94" s="11" t="inlineStr">
        <is>
          <t>Priority Tier 2 (Balanced Opportunity)</t>
        </is>
      </c>
    </row>
    <row r="95">
      <c r="A95" s="23" t="n">
        <v>3</v>
      </c>
      <c r="B95" s="23" t="n">
        <v>91</v>
      </c>
      <c r="C95" s="23" t="n">
        <v>2091</v>
      </c>
      <c r="D95" s="23" t="inlineStr">
        <is>
          <t>0504102005</t>
        </is>
      </c>
      <c r="E95" s="11" t="inlineStr">
        <is>
          <t>Region V (Bicol Region)</t>
        </is>
      </c>
      <c r="F95" s="11" t="inlineStr">
        <is>
          <t>Masbate</t>
        </is>
      </c>
      <c r="G95" s="11" t="inlineStr">
        <is>
          <t>Baleno</t>
        </is>
      </c>
      <c r="H95" s="11" t="inlineStr">
        <is>
          <t>Cagpandan</t>
        </is>
      </c>
      <c r="I95" s="24" t="n">
        <v>12.409563</v>
      </c>
      <c r="J95" s="24" t="n">
        <v>123.460774</v>
      </c>
      <c r="K95" s="23" t="inlineStr">
        <is>
          <t>R</t>
        </is>
      </c>
      <c r="L95" s="25" t="n">
        <v>1191</v>
      </c>
      <c r="M95" s="26" t="n">
        <v>4.1</v>
      </c>
      <c r="N95" s="25">
        <f>ROUND(L95/M95, 0)</f>
        <v/>
      </c>
      <c r="O95" s="25">
        <f>ROUND(N95*'Methodology &amp; Assumptions'!$B$7, 0)</f>
        <v/>
      </c>
      <c r="P95" s="23" t="inlineStr">
        <is>
          <t>Single Carrier (Band n50, 100MHz TDD)</t>
        </is>
      </c>
      <c r="Q95" s="27">
        <f>ROUNDUP(O95/'Methodology &amp; Assumptions'!$B$8, 0)</f>
        <v/>
      </c>
      <c r="R95" s="27" t="n">
        <v>1</v>
      </c>
      <c r="S95" s="26" t="n">
        <v>7.97</v>
      </c>
      <c r="T95" s="26" t="n">
        <v>5</v>
      </c>
      <c r="U95" s="11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26" t="n">
        <v>51.4</v>
      </c>
      <c r="W95" s="26" t="n">
        <v>72.81</v>
      </c>
      <c r="X95" s="26">
        <f>ROUND(('Methodology &amp; Assumptions'!$B$5*V95) + ('Methodology &amp; Assumptions'!$B$6*W95), 2)</f>
        <v/>
      </c>
      <c r="Y95" s="28" t="n">
        <v>23.7</v>
      </c>
      <c r="Z95" s="11" t="inlineStr">
        <is>
          <t>Priority Tier 2 (Balanced Opportunity)</t>
        </is>
      </c>
    </row>
    <row r="96">
      <c r="A96" s="23" t="n">
        <v>3</v>
      </c>
      <c r="B96" s="23" t="n">
        <v>92</v>
      </c>
      <c r="C96" s="23" t="n">
        <v>2092</v>
      </c>
      <c r="D96" s="23" t="inlineStr">
        <is>
          <t>1908822002</t>
        </is>
      </c>
      <c r="E96" s="11" t="inlineStr">
        <is>
          <t>Bangsamoro Autonomous Region In Muslim Mindanao (BARMM)</t>
        </is>
      </c>
      <c r="F96" s="11" t="inlineStr">
        <is>
          <t>Maguindanao del Sur</t>
        </is>
      </c>
      <c r="G96" s="11" t="inlineStr">
        <is>
          <t>South Upi</t>
        </is>
      </c>
      <c r="H96" s="11" t="inlineStr">
        <is>
          <t>Bongo</t>
        </is>
      </c>
      <c r="I96" s="24" t="n">
        <v>6.851032</v>
      </c>
      <c r="J96" s="24" t="n">
        <v>124.197688</v>
      </c>
      <c r="K96" s="23" t="inlineStr">
        <is>
          <t>R</t>
        </is>
      </c>
      <c r="L96" s="25" t="n">
        <v>2565</v>
      </c>
      <c r="M96" s="26" t="n">
        <v>4.7</v>
      </c>
      <c r="N96" s="25">
        <f>ROUND(L96/M96, 0)</f>
        <v/>
      </c>
      <c r="O96" s="25">
        <f>ROUND(N96*'Methodology &amp; Assumptions'!$B$7, 0)</f>
        <v/>
      </c>
      <c r="P96" s="23" t="inlineStr">
        <is>
          <t>Single Carrier (Band n50, 100MHz TDD)</t>
        </is>
      </c>
      <c r="Q96" s="27">
        <f>ROUNDUP(O96/'Methodology &amp; Assumptions'!$B$8, 0)</f>
        <v/>
      </c>
      <c r="R96" s="27" t="n">
        <v>1</v>
      </c>
      <c r="S96" s="26" t="n">
        <v>55.52</v>
      </c>
      <c r="T96" s="26" t="n">
        <v>55.47</v>
      </c>
      <c r="U96" s="11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26" t="n">
        <v>48.62</v>
      </c>
      <c r="W96" s="26" t="n">
        <v>75.58</v>
      </c>
      <c r="X96" s="26">
        <f>ROUND(('Methodology &amp; Assumptions'!$B$5*V96) + ('Methodology &amp; Assumptions'!$B$6*W96), 2)</f>
        <v/>
      </c>
      <c r="Y96" s="28" t="n">
        <v>11</v>
      </c>
      <c r="Z96" s="11" t="inlineStr">
        <is>
          <t>Priority Tier 2 (Balanced Opportunity)</t>
        </is>
      </c>
    </row>
    <row r="97">
      <c r="A97" s="23" t="n">
        <v>3</v>
      </c>
      <c r="B97" s="23" t="n">
        <v>93</v>
      </c>
      <c r="C97" s="23" t="n">
        <v>2093</v>
      </c>
      <c r="D97" s="23" t="inlineStr">
        <is>
          <t>0102903003</t>
        </is>
      </c>
      <c r="E97" s="11" t="inlineStr">
        <is>
          <t>Region I (Ilocos Region)</t>
        </is>
      </c>
      <c r="F97" s="11" t="inlineStr">
        <is>
          <t>Ilocos Sur</t>
        </is>
      </c>
      <c r="G97" s="11" t="inlineStr">
        <is>
          <t>Bantay</t>
        </is>
      </c>
      <c r="H97" s="11" t="inlineStr">
        <is>
          <t>Balaleng</t>
        </is>
      </c>
      <c r="I97" s="24" t="n">
        <v>17.58854</v>
      </c>
      <c r="J97" s="24" t="n">
        <v>120.38912</v>
      </c>
      <c r="K97" s="23" t="inlineStr">
        <is>
          <t>U</t>
        </is>
      </c>
      <c r="L97" s="25" t="n">
        <v>3074</v>
      </c>
      <c r="M97" s="26" t="n">
        <v>3.8</v>
      </c>
      <c r="N97" s="25">
        <f>ROUND(L97/M97, 0)</f>
        <v/>
      </c>
      <c r="O97" s="25">
        <f>ROUND(N97*'Methodology &amp; Assumptions'!$B$7, 0)</f>
        <v/>
      </c>
      <c r="P97" s="23" t="inlineStr">
        <is>
          <t>Single Carrier (Band n50, 100MHz TDD)</t>
        </is>
      </c>
      <c r="Q97" s="27">
        <f>ROUNDUP(O97/'Methodology &amp; Assumptions'!$B$8, 0)</f>
        <v/>
      </c>
      <c r="R97" s="27" t="n">
        <v>1</v>
      </c>
      <c r="S97" s="26" t="n">
        <v>0.58</v>
      </c>
      <c r="T97" s="26" t="n">
        <v>0.38</v>
      </c>
      <c r="U97" s="11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26" t="n">
        <v>78.14</v>
      </c>
      <c r="W97" s="26" t="n">
        <v>46.03</v>
      </c>
      <c r="X97" s="26">
        <f>ROUND(('Methodology &amp; Assumptions'!$B$5*V97) + ('Methodology &amp; Assumptions'!$B$6*W97), 2)</f>
        <v/>
      </c>
      <c r="Y97" s="28" t="n">
        <v>8.300000000000001</v>
      </c>
      <c r="Z97" s="11" t="inlineStr">
        <is>
          <t>Priority Tier 2 (Balanced Opportunity)</t>
        </is>
      </c>
    </row>
    <row r="98">
      <c r="A98" s="23" t="n">
        <v>3</v>
      </c>
      <c r="B98" s="23" t="n">
        <v>94</v>
      </c>
      <c r="C98" s="23" t="n">
        <v>2094</v>
      </c>
      <c r="D98" s="23" t="inlineStr">
        <is>
          <t>1705205026</t>
        </is>
      </c>
      <c r="E98" s="11" t="inlineStr">
        <is>
          <t>MIMAROPA Region</t>
        </is>
      </c>
      <c r="F98" s="11" t="inlineStr">
        <is>
          <t>Oriental Mindoro</t>
        </is>
      </c>
      <c r="G98" s="11" t="inlineStr">
        <is>
          <t>City of Calapan</t>
        </is>
      </c>
      <c r="H98" s="11" t="inlineStr">
        <is>
          <t>Ibaba West</t>
        </is>
      </c>
      <c r="I98" s="24" t="n">
        <v>13.414465</v>
      </c>
      <c r="J98" s="24" t="n">
        <v>121.176075</v>
      </c>
      <c r="K98" s="23" t="inlineStr">
        <is>
          <t>R</t>
        </is>
      </c>
      <c r="L98" s="25" t="n">
        <v>2793</v>
      </c>
      <c r="M98" s="26" t="n">
        <v>3.9</v>
      </c>
      <c r="N98" s="25">
        <f>ROUND(L98/M98, 0)</f>
        <v/>
      </c>
      <c r="O98" s="25">
        <f>ROUND(N98*'Methodology &amp; Assumptions'!$B$7, 0)</f>
        <v/>
      </c>
      <c r="P98" s="23" t="inlineStr">
        <is>
          <t>Single Carrier (Band n50, 100MHz TDD)</t>
        </is>
      </c>
      <c r="Q98" s="27">
        <f>ROUNDUP(O98/'Methodology &amp; Assumptions'!$B$8, 0)</f>
        <v/>
      </c>
      <c r="R98" s="27" t="n">
        <v>1</v>
      </c>
      <c r="S98" s="26" t="n">
        <v>2.28</v>
      </c>
      <c r="T98" s="26" t="n">
        <v>4.35</v>
      </c>
      <c r="U98" s="11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26" t="n">
        <v>72.64</v>
      </c>
      <c r="W98" s="26" t="n">
        <v>51.54</v>
      </c>
      <c r="X98" s="26">
        <f>ROUND(('Methodology &amp; Assumptions'!$B$5*V98) + ('Methodology &amp; Assumptions'!$B$6*W98), 2)</f>
        <v/>
      </c>
      <c r="Y98" s="28" t="n">
        <v>15</v>
      </c>
      <c r="Z98" s="11" t="inlineStr">
        <is>
          <t>Priority Tier 2 (Balanced Opportunity)</t>
        </is>
      </c>
    </row>
    <row r="99">
      <c r="A99" s="23" t="n">
        <v>3</v>
      </c>
      <c r="B99" s="23" t="n">
        <v>95</v>
      </c>
      <c r="C99" s="23" t="n">
        <v>2095</v>
      </c>
      <c r="D99" s="23" t="inlineStr">
        <is>
          <t>0307702013</t>
        </is>
      </c>
      <c r="E99" s="11" t="inlineStr">
        <is>
          <t>Region III (Central Luzon)</t>
        </is>
      </c>
      <c r="F99" s="11" t="inlineStr">
        <is>
          <t>Aurora</t>
        </is>
      </c>
      <c r="G99" s="11" t="inlineStr">
        <is>
          <t>Casiguran</t>
        </is>
      </c>
      <c r="H99" s="11" t="inlineStr">
        <is>
          <t>Dibet</t>
        </is>
      </c>
      <c r="I99" s="24" t="n">
        <v>16.223324</v>
      </c>
      <c r="J99" s="24" t="n">
        <v>122.06085</v>
      </c>
      <c r="K99" s="23" t="inlineStr">
        <is>
          <t>R</t>
        </is>
      </c>
      <c r="L99" s="25" t="n">
        <v>849</v>
      </c>
      <c r="M99" s="26" t="n">
        <v>3.8</v>
      </c>
      <c r="N99" s="25">
        <f>ROUND(L99/M99, 0)</f>
        <v/>
      </c>
      <c r="O99" s="25">
        <f>ROUND(N99*'Methodology &amp; Assumptions'!$B$7, 0)</f>
        <v/>
      </c>
      <c r="P99" s="23" t="inlineStr">
        <is>
          <t>Single Carrier (Band n50, 100MHz TDD)</t>
        </is>
      </c>
      <c r="Q99" s="27">
        <f>ROUNDUP(O99/'Methodology &amp; Assumptions'!$B$8, 0)</f>
        <v/>
      </c>
      <c r="R99" s="27" t="n">
        <v>1</v>
      </c>
      <c r="S99" s="26" t="n">
        <v>2.73</v>
      </c>
      <c r="T99" s="26" t="n">
        <v>0.13</v>
      </c>
      <c r="U99" s="11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26" t="n">
        <v>59.67</v>
      </c>
      <c r="W99" s="26" t="n">
        <v>64.52</v>
      </c>
      <c r="X99" s="26">
        <f>ROUND(('Methodology &amp; Assumptions'!$B$5*V99) + ('Methodology &amp; Assumptions'!$B$6*W99), 2)</f>
        <v/>
      </c>
      <c r="Y99" s="28" t="n">
        <v>8.300000000000001</v>
      </c>
      <c r="Z99" s="11" t="inlineStr">
        <is>
          <t>Priority Tier 2 (Balanced Opportunity)</t>
        </is>
      </c>
    </row>
    <row r="100">
      <c r="A100" s="23" t="n">
        <v>3</v>
      </c>
      <c r="B100" s="23" t="n">
        <v>96</v>
      </c>
      <c r="C100" s="23" t="n">
        <v>2096</v>
      </c>
      <c r="D100" s="23" t="inlineStr">
        <is>
          <t>0300807010</t>
        </is>
      </c>
      <c r="E100" s="11" t="inlineStr">
        <is>
          <t>Region III (Central Luzon)</t>
        </is>
      </c>
      <c r="F100" s="11" t="inlineStr">
        <is>
          <t>Bataan</t>
        </is>
      </c>
      <c r="G100" s="11" t="inlineStr">
        <is>
          <t>Mariveles</t>
        </is>
      </c>
      <c r="H100" s="11" t="inlineStr">
        <is>
          <t>San Isidro</t>
        </is>
      </c>
      <c r="I100" s="24" t="n">
        <v>14.433552</v>
      </c>
      <c r="J100" s="24" t="n">
        <v>120.483233</v>
      </c>
      <c r="K100" s="23" t="inlineStr">
        <is>
          <t>U</t>
        </is>
      </c>
      <c r="L100" s="25" t="n">
        <v>6806</v>
      </c>
      <c r="M100" s="26" t="n">
        <v>3.6</v>
      </c>
      <c r="N100" s="25">
        <f>ROUND(L100/M100, 0)</f>
        <v/>
      </c>
      <c r="O100" s="25">
        <f>ROUND(N100*'Methodology &amp; Assumptions'!$B$7, 0)</f>
        <v/>
      </c>
      <c r="P100" s="23" t="inlineStr">
        <is>
          <t>Single Carrier (Band n50, 100MHz TDD)</t>
        </is>
      </c>
      <c r="Q100" s="27">
        <f>ROUNDUP(O100/'Methodology &amp; Assumptions'!$B$8, 0)</f>
        <v/>
      </c>
      <c r="R100" s="27" t="n">
        <v>1</v>
      </c>
      <c r="S100" s="26" t="n">
        <v>1.5</v>
      </c>
      <c r="T100" s="26" t="n">
        <v>0.17</v>
      </c>
      <c r="U100" s="11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26" t="n">
        <v>75.95</v>
      </c>
      <c r="W100" s="26" t="n">
        <v>48.21</v>
      </c>
      <c r="X100" s="26">
        <f>ROUND(('Methodology &amp; Assumptions'!$B$5*V100) + ('Methodology &amp; Assumptions'!$B$6*W100), 2)</f>
        <v/>
      </c>
      <c r="Y100" s="28" t="n">
        <v>8.300000000000001</v>
      </c>
      <c r="Z100" s="11" t="inlineStr">
        <is>
          <t>Priority Tier 2 (Balanced Opportunity)</t>
        </is>
      </c>
    </row>
    <row r="101">
      <c r="A101" s="23" t="n">
        <v>3</v>
      </c>
      <c r="B101" s="23" t="n">
        <v>97</v>
      </c>
      <c r="C101" s="23" t="n">
        <v>2097</v>
      </c>
      <c r="D101" s="23" t="inlineStr">
        <is>
          <t>0103306001</t>
        </is>
      </c>
      <c r="E101" s="11" t="inlineStr">
        <is>
          <t>Region I (Ilocos Region)</t>
        </is>
      </c>
      <c r="F101" s="11" t="inlineStr">
        <is>
          <t>La Union</t>
        </is>
      </c>
      <c r="G101" s="11" t="inlineStr">
        <is>
          <t>Bangar</t>
        </is>
      </c>
      <c r="H101" s="11" t="inlineStr">
        <is>
          <t>Agdeppa</t>
        </is>
      </c>
      <c r="I101" s="24" t="n">
        <v>16.893183</v>
      </c>
      <c r="J101" s="24" t="n">
        <v>120.416399</v>
      </c>
      <c r="K101" s="23" t="inlineStr">
        <is>
          <t>R</t>
        </is>
      </c>
      <c r="L101" s="25" t="n">
        <v>1328</v>
      </c>
      <c r="M101" s="26" t="n">
        <v>3.7</v>
      </c>
      <c r="N101" s="25">
        <f>ROUND(L101/M101, 0)</f>
        <v/>
      </c>
      <c r="O101" s="25">
        <f>ROUND(N101*'Methodology &amp; Assumptions'!$B$7, 0)</f>
        <v/>
      </c>
      <c r="P101" s="23" t="inlineStr">
        <is>
          <t>Single Carrier (Band n50, 100MHz TDD)</t>
        </is>
      </c>
      <c r="Q101" s="27">
        <f>ROUNDUP(O101/'Methodology &amp; Assumptions'!$B$8, 0)</f>
        <v/>
      </c>
      <c r="R101" s="27" t="n">
        <v>1</v>
      </c>
      <c r="S101" s="26" t="n">
        <v>0.91</v>
      </c>
      <c r="T101" s="26" t="n">
        <v>0.74</v>
      </c>
      <c r="U101" s="11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26" t="n">
        <v>70.48</v>
      </c>
      <c r="W101" s="26" t="n">
        <v>53.69</v>
      </c>
      <c r="X101" s="26">
        <f>ROUND(('Methodology &amp; Assumptions'!$B$5*V101) + ('Methodology &amp; Assumptions'!$B$6*W101), 2)</f>
        <v/>
      </c>
      <c r="Y101" s="28" t="n">
        <v>8.300000000000001</v>
      </c>
      <c r="Z101" s="11" t="inlineStr">
        <is>
          <t>Priority Tier 2 (Balanced Opportunity)</t>
        </is>
      </c>
    </row>
    <row r="102">
      <c r="A102" s="23" t="n">
        <v>3</v>
      </c>
      <c r="B102" s="23" t="n">
        <v>98</v>
      </c>
      <c r="C102" s="23" t="n">
        <v>2098</v>
      </c>
      <c r="D102" s="23" t="inlineStr">
        <is>
          <t>0401029028</t>
        </is>
      </c>
      <c r="E102" s="11" t="inlineStr">
        <is>
          <t>Region IV-A (CALABARZON)</t>
        </is>
      </c>
      <c r="F102" s="11" t="inlineStr">
        <is>
          <t>Batangas</t>
        </is>
      </c>
      <c r="G102" s="11" t="inlineStr">
        <is>
          <t>Taal</t>
        </is>
      </c>
      <c r="H102" s="11" t="inlineStr">
        <is>
          <t>Poblacion 4</t>
        </is>
      </c>
      <c r="I102" s="24" t="n">
        <v>13.879</v>
      </c>
      <c r="J102" s="24" t="n">
        <v>120.9189</v>
      </c>
      <c r="K102" s="23" t="inlineStr">
        <is>
          <t>R</t>
        </is>
      </c>
      <c r="L102" s="25" t="n">
        <v>310</v>
      </c>
      <c r="M102" s="26" t="n">
        <v>3.6</v>
      </c>
      <c r="N102" s="25">
        <f>ROUND(L102/M102, 0)</f>
        <v/>
      </c>
      <c r="O102" s="25">
        <f>ROUND(N102*'Methodology &amp; Assumptions'!$B$7, 0)</f>
        <v/>
      </c>
      <c r="P102" s="23" t="inlineStr">
        <is>
          <t>Single Carrier (Band n50, 100MHz TDD)</t>
        </is>
      </c>
      <c r="Q102" s="27">
        <f>ROUNDUP(O102/'Methodology &amp; Assumptions'!$B$8, 0)</f>
        <v/>
      </c>
      <c r="R102" s="27" t="n">
        <v>1</v>
      </c>
      <c r="S102" s="26" t="n">
        <v>0.41</v>
      </c>
      <c r="T102" s="26" t="n">
        <v>1.98</v>
      </c>
      <c r="U102" s="11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26" t="n">
        <v>61.69</v>
      </c>
      <c r="W102" s="26" t="n">
        <v>62.47</v>
      </c>
      <c r="X102" s="26">
        <f>ROUND(('Methodology &amp; Assumptions'!$B$5*V102) + ('Methodology &amp; Assumptions'!$B$6*W102), 2)</f>
        <v/>
      </c>
      <c r="Y102" s="28" t="n">
        <v>7.2</v>
      </c>
      <c r="Z102" s="11" t="inlineStr">
        <is>
          <t>Priority Tier 2 (Balanced Opportunity)</t>
        </is>
      </c>
    </row>
    <row r="103">
      <c r="A103" s="23" t="n">
        <v>3</v>
      </c>
      <c r="B103" s="23" t="n">
        <v>99</v>
      </c>
      <c r="C103" s="23" t="n">
        <v>2099</v>
      </c>
      <c r="D103" s="23" t="inlineStr">
        <is>
          <t>1381100107</t>
        </is>
      </c>
      <c r="E103" s="11" t="inlineStr">
        <is>
          <t>National Capital Region (NCR)</t>
        </is>
      </c>
      <c r="F103" s="11" t="inlineStr">
        <is>
          <t>Fourth District (Not a Province)</t>
        </is>
      </c>
      <c r="G103" s="11" t="inlineStr">
        <is>
          <t>Pasay City</t>
        </is>
      </c>
      <c r="H103" s="11" t="inlineStr">
        <is>
          <t>Barangay 107</t>
        </is>
      </c>
      <c r="I103" s="24" t="n">
        <v>14.546719</v>
      </c>
      <c r="J103" s="24" t="n">
        <v>121.002222</v>
      </c>
      <c r="K103" s="23" t="inlineStr">
        <is>
          <t>U</t>
        </is>
      </c>
      <c r="L103" s="25" t="n">
        <v>1489</v>
      </c>
      <c r="M103" s="26" t="n">
        <v>3.49</v>
      </c>
      <c r="N103" s="25">
        <f>ROUND(L103/M103, 0)</f>
        <v/>
      </c>
      <c r="O103" s="25">
        <f>ROUND(N103*'Methodology &amp; Assumptions'!$B$7, 0)</f>
        <v/>
      </c>
      <c r="P103" s="23" t="inlineStr">
        <is>
          <t>Single Carrier (Band n50, 100MHz TDD)</t>
        </is>
      </c>
      <c r="Q103" s="27">
        <f>ROUNDUP(O103/'Methodology &amp; Assumptions'!$B$8, 0)</f>
        <v/>
      </c>
      <c r="R103" s="27" t="n">
        <v>1</v>
      </c>
      <c r="S103" s="26" t="n">
        <v>0.87</v>
      </c>
      <c r="T103" s="26" t="n">
        <v>0.21</v>
      </c>
      <c r="U103" s="11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26" t="n">
        <v>54.69</v>
      </c>
      <c r="W103" s="26" t="n">
        <v>69.47</v>
      </c>
      <c r="X103" s="26">
        <f>ROUND(('Methodology &amp; Assumptions'!$B$5*V103) + ('Methodology &amp; Assumptions'!$B$6*W103), 2)</f>
        <v/>
      </c>
      <c r="Y103" s="28" t="n">
        <v>10.9</v>
      </c>
      <c r="Z103" s="11" t="inlineStr">
        <is>
          <t>Priority Tier 2 (Balanced Opportunity)</t>
        </is>
      </c>
    </row>
    <row r="104">
      <c r="A104" s="23" t="n">
        <v>3</v>
      </c>
      <c r="B104" s="23" t="n">
        <v>100</v>
      </c>
      <c r="C104" s="23" t="n">
        <v>2100</v>
      </c>
      <c r="D104" s="23" t="inlineStr">
        <is>
          <t>0631000105</t>
        </is>
      </c>
      <c r="E104" s="11" t="inlineStr">
        <is>
          <t>Region VI (Western Visayas)</t>
        </is>
      </c>
      <c r="F104" s="11" t="inlineStr">
        <is>
          <t>Iloilo</t>
        </is>
      </c>
      <c r="G104" s="11" t="inlineStr">
        <is>
          <t>City of Iloilo</t>
        </is>
      </c>
      <c r="H104" s="11" t="inlineStr">
        <is>
          <t>Mansaya-Lapuz</t>
        </is>
      </c>
      <c r="I104" s="24" t="n">
        <v>10.92438</v>
      </c>
      <c r="J104" s="24" t="n">
        <v>122.558213</v>
      </c>
      <c r="K104" s="23" t="inlineStr">
        <is>
          <t>R</t>
        </is>
      </c>
      <c r="L104" s="25" t="n">
        <v>3468</v>
      </c>
      <c r="M104" s="26" t="n">
        <v>4.2</v>
      </c>
      <c r="N104" s="25">
        <f>ROUND(L104/M104, 0)</f>
        <v/>
      </c>
      <c r="O104" s="25">
        <f>ROUND(N104*'Methodology &amp; Assumptions'!$B$7, 0)</f>
        <v/>
      </c>
      <c r="P104" s="23" t="inlineStr">
        <is>
          <t>Single Carrier (Band n50, 100MHz TDD)</t>
        </is>
      </c>
      <c r="Q104" s="27">
        <f>ROUNDUP(O104/'Methodology &amp; Assumptions'!$B$8, 0)</f>
        <v/>
      </c>
      <c r="R104" s="27" t="n">
        <v>1</v>
      </c>
      <c r="S104" s="26" t="n">
        <v>0.97</v>
      </c>
      <c r="T104" s="26" t="n">
        <v>0.96</v>
      </c>
      <c r="U104" s="11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26" t="n">
        <v>86.09</v>
      </c>
      <c r="W104" s="26" t="n">
        <v>38.05</v>
      </c>
      <c r="X104" s="26">
        <f>ROUND(('Methodology &amp; Assumptions'!$B$5*V104) + ('Methodology &amp; Assumptions'!$B$6*W104), 2)</f>
        <v/>
      </c>
      <c r="Y104" s="28" t="n">
        <v>23.7</v>
      </c>
      <c r="Z104" s="11" t="inlineStr">
        <is>
          <t>Priority Tier 2 (Balanced Opportunity)</t>
        </is>
      </c>
    </row>
    <row r="105">
      <c r="A105" s="23" t="n">
        <v>3</v>
      </c>
      <c r="B105" s="23" t="n">
        <v>101</v>
      </c>
      <c r="C105" s="23" t="n">
        <v>2101</v>
      </c>
      <c r="D105" s="23" t="inlineStr">
        <is>
          <t>0304911060</t>
        </is>
      </c>
      <c r="E105" s="11" t="inlineStr">
        <is>
          <t>Region III (Central Luzon)</t>
        </is>
      </c>
      <c r="F105" s="11" t="inlineStr">
        <is>
          <t>Nueva Ecija</t>
        </is>
      </c>
      <c r="G105" s="11" t="inlineStr">
        <is>
          <t>Guimba</t>
        </is>
      </c>
      <c r="H105" s="11" t="inlineStr">
        <is>
          <t>Santa Veronica District</t>
        </is>
      </c>
      <c r="I105" s="24" t="n">
        <v>15.663175</v>
      </c>
      <c r="J105" s="24" t="n">
        <v>120.765885</v>
      </c>
      <c r="K105" s="23" t="inlineStr">
        <is>
          <t>U</t>
        </is>
      </c>
      <c r="L105" s="25" t="n">
        <v>4221</v>
      </c>
      <c r="M105" s="26" t="n">
        <v>3.5</v>
      </c>
      <c r="N105" s="25">
        <f>ROUND(L105/M105, 0)</f>
        <v/>
      </c>
      <c r="O105" s="25">
        <f>ROUND(N105*'Methodology &amp; Assumptions'!$B$7, 0)</f>
        <v/>
      </c>
      <c r="P105" s="23" t="inlineStr">
        <is>
          <t>Single Carrier (Band n50, 100MHz TDD)</t>
        </is>
      </c>
      <c r="Q105" s="27">
        <f>ROUNDUP(O105/'Methodology &amp; Assumptions'!$B$8, 0)</f>
        <v/>
      </c>
      <c r="R105" s="27" t="n">
        <v>1</v>
      </c>
      <c r="S105" s="26" t="n">
        <v>0.58</v>
      </c>
      <c r="T105" s="26" t="n">
        <v>1.07</v>
      </c>
      <c r="U105" s="11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26" t="n">
        <v>78.43000000000001</v>
      </c>
      <c r="W105" s="26" t="n">
        <v>45.7</v>
      </c>
      <c r="X105" s="26">
        <f>ROUND(('Methodology &amp; Assumptions'!$B$5*V105) + ('Methodology &amp; Assumptions'!$B$6*W105), 2)</f>
        <v/>
      </c>
      <c r="Y105" s="28" t="n">
        <v>8.300000000000001</v>
      </c>
      <c r="Z105" s="11" t="inlineStr">
        <is>
          <t>Priority Tier 2 (Balanced Opportunity)</t>
        </is>
      </c>
    </row>
    <row r="106">
      <c r="A106" s="23" t="n">
        <v>3</v>
      </c>
      <c r="B106" s="23" t="n">
        <v>102</v>
      </c>
      <c r="C106" s="23" t="n">
        <v>2102</v>
      </c>
      <c r="D106" s="23" t="inlineStr">
        <is>
          <t>0401005034</t>
        </is>
      </c>
      <c r="E106" s="11" t="inlineStr">
        <is>
          <t>Region IV-A (CALABARZON)</t>
        </is>
      </c>
      <c r="F106" s="11" t="inlineStr">
        <is>
          <t>Batangas</t>
        </is>
      </c>
      <c r="G106" s="11" t="inlineStr">
        <is>
          <t>Batangas City</t>
        </is>
      </c>
      <c r="H106" s="11" t="inlineStr">
        <is>
          <t>Kumintang Ibaba</t>
        </is>
      </c>
      <c r="I106" s="24" t="n">
        <v>13.765711</v>
      </c>
      <c r="J106" s="24" t="n">
        <v>121.066829</v>
      </c>
      <c r="K106" s="23" t="inlineStr">
        <is>
          <t>U</t>
        </is>
      </c>
      <c r="L106" s="25" t="n">
        <v>9434</v>
      </c>
      <c r="M106" s="26" t="n">
        <v>3.6</v>
      </c>
      <c r="N106" s="25">
        <f>ROUND(L106/M106, 0)</f>
        <v/>
      </c>
      <c r="O106" s="25">
        <f>ROUND(N106*'Methodology &amp; Assumptions'!$B$7, 0)</f>
        <v/>
      </c>
      <c r="P106" s="23" t="inlineStr">
        <is>
          <t>Single Carrier (Band n50, 100MHz TDD)</t>
        </is>
      </c>
      <c r="Q106" s="27">
        <f>ROUNDUP(O106/'Methodology &amp; Assumptions'!$B$8, 0)</f>
        <v/>
      </c>
      <c r="R106" s="27" t="n">
        <v>1</v>
      </c>
      <c r="S106" s="26" t="n">
        <v>1.14</v>
      </c>
      <c r="T106" s="26" t="n">
        <v>0.23</v>
      </c>
      <c r="U106" s="11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26" t="n">
        <v>77.11</v>
      </c>
      <c r="W106" s="26" t="n">
        <v>47.04</v>
      </c>
      <c r="X106" s="26">
        <f>ROUND(('Methodology &amp; Assumptions'!$B$5*V106) + ('Methodology &amp; Assumptions'!$B$6*W106), 2)</f>
        <v/>
      </c>
      <c r="Y106" s="28" t="n">
        <v>7.2</v>
      </c>
      <c r="Z106" s="11" t="inlineStr">
        <is>
          <t>Priority Tier 2 (Balanced Opportunity)</t>
        </is>
      </c>
    </row>
    <row r="107">
      <c r="A107" s="23" t="n">
        <v>3</v>
      </c>
      <c r="B107" s="23" t="n">
        <v>103</v>
      </c>
      <c r="C107" s="23" t="n">
        <v>2103</v>
      </c>
      <c r="D107" s="23" t="inlineStr">
        <is>
          <t>1381600014</t>
        </is>
      </c>
      <c r="E107" s="11" t="inlineStr">
        <is>
          <t>National Capital Region (NCR)</t>
        </is>
      </c>
      <c r="F107" s="11" t="inlineStr">
        <is>
          <t>Third District (Not a Province)</t>
        </is>
      </c>
      <c r="G107" s="11" t="inlineStr">
        <is>
          <t>City of Valenzuela</t>
        </is>
      </c>
      <c r="H107" s="11" t="inlineStr">
        <is>
          <t>Lingunan</t>
        </is>
      </c>
      <c r="I107" s="24" t="n">
        <v>14.71869</v>
      </c>
      <c r="J107" s="24" t="n">
        <v>120.9762</v>
      </c>
      <c r="K107" s="23" t="inlineStr">
        <is>
          <t>U</t>
        </is>
      </c>
      <c r="L107" s="25" t="n">
        <v>25423</v>
      </c>
      <c r="M107" s="26" t="n">
        <v>3.33</v>
      </c>
      <c r="N107" s="25">
        <f>ROUND(L107/M107, 0)</f>
        <v/>
      </c>
      <c r="O107" s="25">
        <f>ROUND(N107*'Methodology &amp; Assumptions'!$B$7, 0)</f>
        <v/>
      </c>
      <c r="P107" s="23" t="inlineStr">
        <is>
          <t>Single Carrier (Band n50, 100MHz TDD)</t>
        </is>
      </c>
      <c r="Q107" s="27">
        <f>ROUNDUP(O107/'Methodology &amp; Assumptions'!$B$8, 0)</f>
        <v/>
      </c>
      <c r="R107" s="27" t="n">
        <v>1</v>
      </c>
      <c r="S107" s="26" t="n">
        <v>2.08</v>
      </c>
      <c r="T107" s="26" t="n">
        <v>0.33</v>
      </c>
      <c r="U107" s="11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26" t="n">
        <v>63.13</v>
      </c>
      <c r="W107" s="26" t="n">
        <v>61</v>
      </c>
      <c r="X107" s="26">
        <f>ROUND(('Methodology &amp; Assumptions'!$B$5*V107) + ('Methodology &amp; Assumptions'!$B$6*W107), 2)</f>
        <v/>
      </c>
      <c r="Y107" s="28" t="n">
        <v>10.9</v>
      </c>
      <c r="Z107" s="11" t="inlineStr">
        <is>
          <t>Priority Tier 2 (Balanced Opportunity)</t>
        </is>
      </c>
    </row>
    <row r="108">
      <c r="A108" s="23" t="n">
        <v>3</v>
      </c>
      <c r="B108" s="23" t="n">
        <v>104</v>
      </c>
      <c r="C108" s="23" t="n">
        <v>2104</v>
      </c>
      <c r="D108" s="23" t="inlineStr">
        <is>
          <t>0500511008</t>
        </is>
      </c>
      <c r="E108" s="11" t="inlineStr">
        <is>
          <t>Region V (Bicol Region)</t>
        </is>
      </c>
      <c r="F108" s="11" t="inlineStr">
        <is>
          <t>Albay</t>
        </is>
      </c>
      <c r="G108" s="11" t="inlineStr">
        <is>
          <t>Manito</t>
        </is>
      </c>
      <c r="H108" s="11" t="inlineStr">
        <is>
          <t>Cawit</t>
        </is>
      </c>
      <c r="I108" s="24" t="n">
        <v>12.874893</v>
      </c>
      <c r="J108" s="24" t="n">
        <v>123.96725</v>
      </c>
      <c r="K108" s="23" t="inlineStr">
        <is>
          <t>R</t>
        </is>
      </c>
      <c r="L108" s="25" t="n">
        <v>1143</v>
      </c>
      <c r="M108" s="26" t="n">
        <v>4.1</v>
      </c>
      <c r="N108" s="25">
        <f>ROUND(L108/M108, 0)</f>
        <v/>
      </c>
      <c r="O108" s="25">
        <f>ROUND(N108*'Methodology &amp; Assumptions'!$B$7, 0)</f>
        <v/>
      </c>
      <c r="P108" s="23" t="inlineStr">
        <is>
          <t>Single Carrier (Band n50, 100MHz TDD)</t>
        </is>
      </c>
      <c r="Q108" s="27">
        <f>ROUNDUP(O108/'Methodology &amp; Assumptions'!$B$8, 0)</f>
        <v/>
      </c>
      <c r="R108" s="27" t="n">
        <v>1</v>
      </c>
      <c r="S108" s="26" t="n">
        <v>5.05</v>
      </c>
      <c r="T108" s="26" t="n">
        <v>3.84</v>
      </c>
      <c r="U108" s="11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26" t="n">
        <v>54.91</v>
      </c>
      <c r="W108" s="26" t="n">
        <v>69.23999999999999</v>
      </c>
      <c r="X108" s="26">
        <f>ROUND(('Methodology &amp; Assumptions'!$B$5*V108) + ('Methodology &amp; Assumptions'!$B$6*W108), 2)</f>
        <v/>
      </c>
      <c r="Y108" s="28" t="n">
        <v>23.7</v>
      </c>
      <c r="Z108" s="11" t="inlineStr">
        <is>
          <t>Priority Tier 2 (Balanced Opportunity)</t>
        </is>
      </c>
    </row>
    <row r="109">
      <c r="A109" s="23" t="n">
        <v>3</v>
      </c>
      <c r="B109" s="23" t="n">
        <v>105</v>
      </c>
      <c r="C109" s="23" t="n">
        <v>2105</v>
      </c>
      <c r="D109" s="23" t="inlineStr">
        <is>
          <t>0401033014</t>
        </is>
      </c>
      <c r="E109" s="11" t="inlineStr">
        <is>
          <t>Region IV-A (CALABARZON)</t>
        </is>
      </c>
      <c r="F109" s="11" t="inlineStr">
        <is>
          <t>Batangas</t>
        </is>
      </c>
      <c r="G109" s="11" t="inlineStr">
        <is>
          <t>Tingloy</t>
        </is>
      </c>
      <c r="H109" s="11" t="inlineStr">
        <is>
          <t>San Pedro</t>
        </is>
      </c>
      <c r="I109" s="24" t="n">
        <v>13.6519</v>
      </c>
      <c r="J109" s="24" t="n">
        <v>120.9151</v>
      </c>
      <c r="K109" s="23" t="inlineStr">
        <is>
          <t>R</t>
        </is>
      </c>
      <c r="L109" s="25" t="n">
        <v>516</v>
      </c>
      <c r="M109" s="26" t="n">
        <v>3.6</v>
      </c>
      <c r="N109" s="25">
        <f>ROUND(L109/M109, 0)</f>
        <v/>
      </c>
      <c r="O109" s="25">
        <f>ROUND(N109*'Methodology &amp; Assumptions'!$B$7, 0)</f>
        <v/>
      </c>
      <c r="P109" s="23" t="inlineStr">
        <is>
          <t>Single Carrier (Band n50, 100MHz TDD)</t>
        </is>
      </c>
      <c r="Q109" s="27">
        <f>ROUNDUP(O109/'Methodology &amp; Assumptions'!$B$8, 0)</f>
        <v/>
      </c>
      <c r="R109" s="27" t="n">
        <v>1</v>
      </c>
      <c r="S109" s="26" t="n">
        <v>4.7</v>
      </c>
      <c r="T109" s="26" t="n">
        <v>16.18</v>
      </c>
      <c r="U109" s="11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26" t="n">
        <v>51.71</v>
      </c>
      <c r="W109" s="26" t="n">
        <v>72.43000000000001</v>
      </c>
      <c r="X109" s="26">
        <f>ROUND(('Methodology &amp; Assumptions'!$B$5*V109) + ('Methodology &amp; Assumptions'!$B$6*W109), 2)</f>
        <v/>
      </c>
      <c r="Y109" s="28" t="n">
        <v>7.2</v>
      </c>
      <c r="Z109" s="11" t="inlineStr">
        <is>
          <t>Priority Tier 2 (Balanced Opportunity)</t>
        </is>
      </c>
    </row>
    <row r="110">
      <c r="A110" s="23" t="n">
        <v>3</v>
      </c>
      <c r="B110" s="23" t="n">
        <v>106</v>
      </c>
      <c r="C110" s="23" t="n">
        <v>2106</v>
      </c>
      <c r="D110" s="23" t="inlineStr">
        <is>
          <t>1004303002</t>
        </is>
      </c>
      <c r="E110" s="11" t="inlineStr">
        <is>
          <t>Region X (Northern Mindanao)</t>
        </is>
      </c>
      <c r="F110" s="11" t="inlineStr">
        <is>
          <t>Misamis Oriental</t>
        </is>
      </c>
      <c r="G110" s="11" t="inlineStr">
        <is>
          <t>Balingoan</t>
        </is>
      </c>
      <c r="H110" s="11" t="inlineStr">
        <is>
          <t>Dahilig</t>
        </is>
      </c>
      <c r="I110" s="24" t="n">
        <v>8.9107</v>
      </c>
      <c r="J110" s="24" t="n">
        <v>124.9015</v>
      </c>
      <c r="K110" s="23" t="inlineStr">
        <is>
          <t>R</t>
        </is>
      </c>
      <c r="L110" s="25" t="n">
        <v>335</v>
      </c>
      <c r="M110" s="26" t="n">
        <v>3.9</v>
      </c>
      <c r="N110" s="25">
        <f>ROUND(L110/M110, 0)</f>
        <v/>
      </c>
      <c r="O110" s="25">
        <f>ROUND(N110*'Methodology &amp; Assumptions'!$B$7, 0)</f>
        <v/>
      </c>
      <c r="P110" s="23" t="inlineStr">
        <is>
          <t>Single Carrier (Band n50, 100MHz TDD)</t>
        </is>
      </c>
      <c r="Q110" s="27">
        <f>ROUNDUP(O110/'Methodology &amp; Assumptions'!$B$8, 0)</f>
        <v/>
      </c>
      <c r="R110" s="27" t="n">
        <v>1</v>
      </c>
      <c r="S110" s="26" t="n">
        <v>7.82</v>
      </c>
      <c r="T110" s="26" t="n">
        <v>7.3</v>
      </c>
      <c r="U110" s="11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26" t="n">
        <v>47.07</v>
      </c>
      <c r="W110" s="26" t="n">
        <v>77.06999999999999</v>
      </c>
      <c r="X110" s="26">
        <f>ROUND(('Methodology &amp; Assumptions'!$B$5*V110) + ('Methodology &amp; Assumptions'!$B$6*W110), 2)</f>
        <v/>
      </c>
      <c r="Y110" s="28" t="n">
        <v>17.4</v>
      </c>
      <c r="Z110" s="11" t="inlineStr">
        <is>
          <t>Priority Tier 2 (Balanced Opportunity)</t>
        </is>
      </c>
    </row>
    <row r="111">
      <c r="A111" s="23" t="n">
        <v>3</v>
      </c>
      <c r="B111" s="23" t="n">
        <v>107</v>
      </c>
      <c r="C111" s="23" t="n">
        <v>2107</v>
      </c>
      <c r="D111" s="23" t="inlineStr">
        <is>
          <t>1402706018</t>
        </is>
      </c>
      <c r="E111" s="11" t="inlineStr">
        <is>
          <t>Cordillera Administrative Region (CAR)</t>
        </is>
      </c>
      <c r="F111" s="11" t="inlineStr">
        <is>
          <t>Ifugao</t>
        </is>
      </c>
      <c r="G111" s="11" t="inlineStr">
        <is>
          <t>Mayoyao</t>
        </is>
      </c>
      <c r="H111" s="11" t="inlineStr">
        <is>
          <t>Langayan</t>
        </is>
      </c>
      <c r="I111" s="24" t="n">
        <v>16.926105</v>
      </c>
      <c r="J111" s="24" t="n">
        <v>121.239193</v>
      </c>
      <c r="K111" s="23" t="inlineStr">
        <is>
          <t>R</t>
        </is>
      </c>
      <c r="L111" s="25" t="n">
        <v>487</v>
      </c>
      <c r="M111" s="26" t="n">
        <v>3.9</v>
      </c>
      <c r="N111" s="25">
        <f>ROUND(L111/M111, 0)</f>
        <v/>
      </c>
      <c r="O111" s="25">
        <f>ROUND(N111*'Methodology &amp; Assumptions'!$B$7, 0)</f>
        <v/>
      </c>
      <c r="P111" s="23" t="inlineStr">
        <is>
          <t>Single Carrier (Band n50, 100MHz TDD)</t>
        </is>
      </c>
      <c r="Q111" s="27">
        <f>ROUNDUP(O111/'Methodology &amp; Assumptions'!$B$8, 0)</f>
        <v/>
      </c>
      <c r="R111" s="27" t="n">
        <v>1</v>
      </c>
      <c r="S111" s="26" t="n">
        <v>5.48</v>
      </c>
      <c r="T111" s="26" t="n">
        <v>18.45</v>
      </c>
      <c r="U111" s="11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26" t="n">
        <v>46.35</v>
      </c>
      <c r="W111" s="26" t="n">
        <v>77.8</v>
      </c>
      <c r="X111" s="26">
        <f>ROUND(('Methodology &amp; Assumptions'!$B$5*V111) + ('Methodology &amp; Assumptions'!$B$6*W111), 2)</f>
        <v/>
      </c>
      <c r="Y111" s="28" t="n">
        <v>10.9</v>
      </c>
      <c r="Z111" s="11" t="inlineStr">
        <is>
          <t>Priority Tier 2 (Balanced Opportunity)</t>
        </is>
      </c>
    </row>
    <row r="112">
      <c r="A112" s="23" t="n">
        <v>3</v>
      </c>
      <c r="B112" s="23" t="n">
        <v>108</v>
      </c>
      <c r="C112" s="23" t="n">
        <v>2108</v>
      </c>
      <c r="D112" s="23" t="inlineStr">
        <is>
          <t>0102906018</t>
        </is>
      </c>
      <c r="E112" s="11" t="inlineStr">
        <is>
          <t>Region I (Ilocos Region)</t>
        </is>
      </c>
      <c r="F112" s="11" t="inlineStr">
        <is>
          <t>Ilocos Sur</t>
        </is>
      </c>
      <c r="G112" s="11" t="inlineStr">
        <is>
          <t>City of Candon</t>
        </is>
      </c>
      <c r="H112" s="11" t="inlineStr">
        <is>
          <t>Caterman</t>
        </is>
      </c>
      <c r="I112" s="24" t="n">
        <v>17.187404</v>
      </c>
      <c r="J112" s="24" t="n">
        <v>120.446718</v>
      </c>
      <c r="K112" s="23" t="inlineStr">
        <is>
          <t>R</t>
        </is>
      </c>
      <c r="L112" s="25" t="n">
        <v>2703</v>
      </c>
      <c r="M112" s="26" t="n">
        <v>3.8</v>
      </c>
      <c r="N112" s="25">
        <f>ROUND(L112/M112, 0)</f>
        <v/>
      </c>
      <c r="O112" s="25">
        <f>ROUND(N112*'Methodology &amp; Assumptions'!$B$7, 0)</f>
        <v/>
      </c>
      <c r="P112" s="23" t="inlineStr">
        <is>
          <t>Single Carrier (Band n50, 100MHz TDD)</t>
        </is>
      </c>
      <c r="Q112" s="27">
        <f>ROUNDUP(O112/'Methodology &amp; Assumptions'!$B$8, 0)</f>
        <v/>
      </c>
      <c r="R112" s="27" t="n">
        <v>1</v>
      </c>
      <c r="S112" s="26" t="n">
        <v>0.49</v>
      </c>
      <c r="T112" s="26" t="n">
        <v>0.01</v>
      </c>
      <c r="U112" s="11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26" t="n">
        <v>82.09999999999999</v>
      </c>
      <c r="W112" s="26" t="n">
        <v>42.03</v>
      </c>
      <c r="X112" s="26">
        <f>ROUND(('Methodology &amp; Assumptions'!$B$5*V112) + ('Methodology &amp; Assumptions'!$B$6*W112), 2)</f>
        <v/>
      </c>
      <c r="Y112" s="28" t="n">
        <v>8.300000000000001</v>
      </c>
      <c r="Z112" s="11" t="inlineStr">
        <is>
          <t>Priority Tier 2 (Balanced Opportunity)</t>
        </is>
      </c>
    </row>
    <row r="113">
      <c r="A113" s="23" t="n">
        <v>3</v>
      </c>
      <c r="B113" s="23" t="n">
        <v>109</v>
      </c>
      <c r="C113" s="23" t="n">
        <v>2109</v>
      </c>
      <c r="D113" s="23" t="inlineStr">
        <is>
          <t>0301404008</t>
        </is>
      </c>
      <c r="E113" s="11" t="inlineStr">
        <is>
          <t>Region III (Central Luzon)</t>
        </is>
      </c>
      <c r="F113" s="11" t="inlineStr">
        <is>
          <t>Bulacan</t>
        </is>
      </c>
      <c r="G113" s="11" t="inlineStr">
        <is>
          <t>Bocaue</t>
        </is>
      </c>
      <c r="H113" s="11" t="inlineStr">
        <is>
          <t>Bundukan</t>
        </is>
      </c>
      <c r="I113" s="24" t="n">
        <v>14.788451</v>
      </c>
      <c r="J113" s="24" t="n">
        <v>120.942579</v>
      </c>
      <c r="K113" s="23" t="inlineStr">
        <is>
          <t>U</t>
        </is>
      </c>
      <c r="L113" s="25" t="n">
        <v>11633</v>
      </c>
      <c r="M113" s="26" t="n">
        <v>3.5</v>
      </c>
      <c r="N113" s="25">
        <f>ROUND(L113/M113, 0)</f>
        <v/>
      </c>
      <c r="O113" s="25">
        <f>ROUND(N113*'Methodology &amp; Assumptions'!$B$7, 0)</f>
        <v/>
      </c>
      <c r="P113" s="23" t="inlineStr">
        <is>
          <t>Single Carrier (Band n50, 100MHz TDD)</t>
        </is>
      </c>
      <c r="Q113" s="27">
        <f>ROUNDUP(O113/'Methodology &amp; Assumptions'!$B$8, 0)</f>
        <v/>
      </c>
      <c r="R113" s="27" t="n">
        <v>1</v>
      </c>
      <c r="S113" s="26" t="n">
        <v>1.25</v>
      </c>
      <c r="T113" s="26" t="n">
        <v>1.11</v>
      </c>
      <c r="U113" s="11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26" t="n">
        <v>76.84999999999999</v>
      </c>
      <c r="W113" s="26" t="n">
        <v>47.26</v>
      </c>
      <c r="X113" s="26">
        <f>ROUND(('Methodology &amp; Assumptions'!$B$5*V113) + ('Methodology &amp; Assumptions'!$B$6*W113), 2)</f>
        <v/>
      </c>
      <c r="Y113" s="28" t="n">
        <v>8.300000000000001</v>
      </c>
      <c r="Z113" s="11" t="inlineStr">
        <is>
          <t>Priority Tier 2 (Balanced Opportunity)</t>
        </is>
      </c>
    </row>
    <row r="114">
      <c r="A114" s="23" t="n">
        <v>3</v>
      </c>
      <c r="B114" s="23" t="n">
        <v>110</v>
      </c>
      <c r="C114" s="23" t="n">
        <v>2110</v>
      </c>
      <c r="D114" s="23" t="inlineStr">
        <is>
          <t>0402116016</t>
        </is>
      </c>
      <c r="E114" s="11" t="inlineStr">
        <is>
          <t>Region IV-A (CALABARZON)</t>
        </is>
      </c>
      <c r="F114" s="11" t="inlineStr">
        <is>
          <t>Cavite</t>
        </is>
      </c>
      <c r="G114" s="11" t="inlineStr">
        <is>
          <t>Noveleta</t>
        </is>
      </c>
      <c r="H114" s="11" t="inlineStr">
        <is>
          <t>Santa Rosa II</t>
        </is>
      </c>
      <c r="I114" s="24" t="n">
        <v>14.42151</v>
      </c>
      <c r="J114" s="24" t="n">
        <v>120.88385</v>
      </c>
      <c r="K114" s="23" t="inlineStr">
        <is>
          <t>R</t>
        </is>
      </c>
      <c r="L114" s="25" t="n">
        <v>1300</v>
      </c>
      <c r="M114" s="26" t="n">
        <v>3.4</v>
      </c>
      <c r="N114" s="25">
        <f>ROUND(L114/M114, 0)</f>
        <v/>
      </c>
      <c r="O114" s="25">
        <f>ROUND(N114*'Methodology &amp; Assumptions'!$B$7, 0)</f>
        <v/>
      </c>
      <c r="P114" s="23" t="inlineStr">
        <is>
          <t>Single Carrier (Band n50, 100MHz TDD)</t>
        </is>
      </c>
      <c r="Q114" s="27">
        <f>ROUNDUP(O114/'Methodology &amp; Assumptions'!$B$8, 0)</f>
        <v/>
      </c>
      <c r="R114" s="27" t="n">
        <v>1</v>
      </c>
      <c r="S114" s="26" t="n">
        <v>0.9</v>
      </c>
      <c r="T114" s="26" t="n">
        <v>0.26</v>
      </c>
      <c r="U114" s="11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26" t="n">
        <v>71.16</v>
      </c>
      <c r="W114" s="26" t="n">
        <v>52.97</v>
      </c>
      <c r="X114" s="26">
        <f>ROUND(('Methodology &amp; Assumptions'!$B$5*V114) + ('Methodology &amp; Assumptions'!$B$6*W114), 2)</f>
        <v/>
      </c>
      <c r="Y114" s="28" t="n">
        <v>7.2</v>
      </c>
      <c r="Z114" s="11" t="inlineStr">
        <is>
          <t>Priority Tier 2 (Balanced Opportunity)</t>
        </is>
      </c>
    </row>
    <row r="115">
      <c r="A115" s="23" t="n">
        <v>3</v>
      </c>
      <c r="B115" s="23" t="n">
        <v>111</v>
      </c>
      <c r="C115" s="23" t="n">
        <v>2111</v>
      </c>
      <c r="D115" s="23" t="inlineStr">
        <is>
          <t>0806002005</t>
        </is>
      </c>
      <c r="E115" s="11" t="inlineStr">
        <is>
          <t>Region VIII (Eastern Visayas)</t>
        </is>
      </c>
      <c r="F115" s="11" t="inlineStr">
        <is>
          <t>Samar</t>
        </is>
      </c>
      <c r="G115" s="11" t="inlineStr">
        <is>
          <t>Basey</t>
        </is>
      </c>
      <c r="H115" s="11" t="inlineStr">
        <is>
          <t>Basiao</t>
        </is>
      </c>
      <c r="I115" s="24" t="n">
        <v>11.299519</v>
      </c>
      <c r="J115" s="24" t="n">
        <v>125.217594</v>
      </c>
      <c r="K115" s="23" t="inlineStr">
        <is>
          <t>R</t>
        </is>
      </c>
      <c r="L115" s="25" t="n">
        <v>1455</v>
      </c>
      <c r="M115" s="26" t="n">
        <v>4.1</v>
      </c>
      <c r="N115" s="25">
        <f>ROUND(L115/M115, 0)</f>
        <v/>
      </c>
      <c r="O115" s="25">
        <f>ROUND(N115*'Methodology &amp; Assumptions'!$B$7, 0)</f>
        <v/>
      </c>
      <c r="P115" s="23" t="inlineStr">
        <is>
          <t>Single Carrier (Band n50, 100MHz TDD)</t>
        </is>
      </c>
      <c r="Q115" s="27">
        <f>ROUNDUP(O115/'Methodology &amp; Assumptions'!$B$8, 0)</f>
        <v/>
      </c>
      <c r="R115" s="27" t="n">
        <v>1</v>
      </c>
      <c r="S115" s="26" t="n">
        <v>24.39</v>
      </c>
      <c r="T115" s="26" t="n">
        <v>23.93</v>
      </c>
      <c r="U115" s="11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26" t="n">
        <v>46.95</v>
      </c>
      <c r="W115" s="26" t="n">
        <v>77.16</v>
      </c>
      <c r="X115" s="26">
        <f>ROUND(('Methodology &amp; Assumptions'!$B$5*V115) + ('Methodology &amp; Assumptions'!$B$6*W115), 2)</f>
        <v/>
      </c>
      <c r="Y115" s="28" t="n">
        <v>23.7</v>
      </c>
      <c r="Z115" s="11" t="inlineStr">
        <is>
          <t>Priority Tier 2 (Balanced Opportunity)</t>
        </is>
      </c>
    </row>
    <row r="116">
      <c r="A116" s="23" t="n">
        <v>3</v>
      </c>
      <c r="B116" s="23" t="n">
        <v>112</v>
      </c>
      <c r="C116" s="23" t="n">
        <v>2112</v>
      </c>
      <c r="D116" s="23" t="inlineStr">
        <is>
          <t>0604503001</t>
        </is>
      </c>
      <c r="E116" s="11" t="inlineStr">
        <is>
          <t>Region VI (Western Visayas)</t>
        </is>
      </c>
      <c r="F116" s="11" t="inlineStr">
        <is>
          <t>Negros Occidental</t>
        </is>
      </c>
      <c r="G116" s="11" t="inlineStr">
        <is>
          <t>Binalbagan</t>
        </is>
      </c>
      <c r="H116" s="11" t="inlineStr">
        <is>
          <t>Amontay</t>
        </is>
      </c>
      <c r="I116" s="24" t="n">
        <v>10.130241</v>
      </c>
      <c r="J116" s="24" t="n">
        <v>123.079598</v>
      </c>
      <c r="K116" s="23" t="inlineStr">
        <is>
          <t>R</t>
        </is>
      </c>
      <c r="L116" s="25" t="n">
        <v>3162</v>
      </c>
      <c r="M116" s="26" t="n">
        <v>3.7</v>
      </c>
      <c r="N116" s="25">
        <f>ROUND(L116/M116, 0)</f>
        <v/>
      </c>
      <c r="O116" s="25">
        <f>ROUND(N116*'Methodology &amp; Assumptions'!$B$7, 0)</f>
        <v/>
      </c>
      <c r="P116" s="23" t="inlineStr">
        <is>
          <t>Single Carrier (Band n50, 100MHz TDD)</t>
        </is>
      </c>
      <c r="Q116" s="27">
        <f>ROUNDUP(O116/'Methodology &amp; Assumptions'!$B$8, 0)</f>
        <v/>
      </c>
      <c r="R116" s="27" t="n">
        <v>1</v>
      </c>
      <c r="S116" s="26" t="n">
        <v>20.91</v>
      </c>
      <c r="T116" s="26" t="n">
        <v>15.33</v>
      </c>
      <c r="U116" s="11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26" t="n">
        <v>62.16</v>
      </c>
      <c r="W116" s="26" t="n">
        <v>61.94</v>
      </c>
      <c r="X116" s="26">
        <f>ROUND(('Methodology &amp; Assumptions'!$B$5*V116) + ('Methodology &amp; Assumptions'!$B$6*W116), 2)</f>
        <v/>
      </c>
      <c r="Y116" s="28" t="n">
        <v>23.7</v>
      </c>
      <c r="Z116" s="11" t="inlineStr">
        <is>
          <t>Priority Tier 2 (Balanced Opportunity)</t>
        </is>
      </c>
    </row>
    <row r="117">
      <c r="A117" s="23" t="n">
        <v>3</v>
      </c>
      <c r="B117" s="23" t="n">
        <v>113</v>
      </c>
      <c r="C117" s="23" t="n">
        <v>2113</v>
      </c>
      <c r="D117" s="23" t="inlineStr">
        <is>
          <t>0201528033</t>
        </is>
      </c>
      <c r="E117" s="11" t="inlineStr">
        <is>
          <t>Region II (Cagayan Valley)</t>
        </is>
      </c>
      <c r="F117" s="11" t="inlineStr">
        <is>
          <t>Cagayan</t>
        </is>
      </c>
      <c r="G117" s="11" t="inlineStr">
        <is>
          <t>Tuao</t>
        </is>
      </c>
      <c r="H117" s="11" t="inlineStr">
        <is>
          <t>Malalinta</t>
        </is>
      </c>
      <c r="I117" s="24" t="n">
        <v>17.6605</v>
      </c>
      <c r="J117" s="24" t="n">
        <v>121.4884</v>
      </c>
      <c r="K117" s="23" t="inlineStr">
        <is>
          <t>R</t>
        </is>
      </c>
      <c r="L117" s="25" t="n">
        <v>970</v>
      </c>
      <c r="M117" s="26" t="n">
        <v>3.9</v>
      </c>
      <c r="N117" s="25">
        <f>ROUND(L117/M117, 0)</f>
        <v/>
      </c>
      <c r="O117" s="25">
        <f>ROUND(N117*'Methodology &amp; Assumptions'!$B$7, 0)</f>
        <v/>
      </c>
      <c r="P117" s="23" t="inlineStr">
        <is>
          <t>Single Carrier (Band n50, 100MHz TDD)</t>
        </is>
      </c>
      <c r="Q117" s="27">
        <f>ROUNDUP(O117/'Methodology &amp; Assumptions'!$B$8, 0)</f>
        <v/>
      </c>
      <c r="R117" s="27" t="n">
        <v>1</v>
      </c>
      <c r="S117" s="26" t="n">
        <v>2.75</v>
      </c>
      <c r="T117" s="26" t="n">
        <v>6.18</v>
      </c>
      <c r="U117" s="11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26" t="n">
        <v>56.97</v>
      </c>
      <c r="W117" s="26" t="n">
        <v>67.12</v>
      </c>
      <c r="X117" s="26">
        <f>ROUND(('Methodology &amp; Assumptions'!$B$5*V117) + ('Methodology &amp; Assumptions'!$B$6*W117), 2)</f>
        <v/>
      </c>
      <c r="Y117" s="28" t="n">
        <v>8.300000000000001</v>
      </c>
      <c r="Z117" s="11" t="inlineStr">
        <is>
          <t>Priority Tier 2 (Balanced Opportunity)</t>
        </is>
      </c>
    </row>
    <row r="118">
      <c r="A118" s="23" t="n">
        <v>3</v>
      </c>
      <c r="B118" s="23" t="n">
        <v>114</v>
      </c>
      <c r="C118" s="23" t="n">
        <v>2114</v>
      </c>
      <c r="D118" s="23" t="inlineStr">
        <is>
          <t>1380606056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450</t>
        </is>
      </c>
      <c r="I118" s="24" t="n">
        <v>14.611475</v>
      </c>
      <c r="J118" s="24" t="n">
        <v>120.996971</v>
      </c>
      <c r="K118" s="23" t="inlineStr">
        <is>
          <t>U</t>
        </is>
      </c>
      <c r="L118" s="25" t="n">
        <v>1603</v>
      </c>
      <c r="M118" s="26" t="n">
        <v>4.21</v>
      </c>
      <c r="N118" s="25">
        <f>ROUND(L118/M118, 0)</f>
        <v/>
      </c>
      <c r="O118" s="25">
        <f>ROUND(N118*'Methodology &amp; Assumptions'!$B$7, 0)</f>
        <v/>
      </c>
      <c r="P118" s="23" t="inlineStr">
        <is>
          <t>Single Carrier (Band n50, 100MHz TDD)</t>
        </is>
      </c>
      <c r="Q118" s="27">
        <f>ROUNDUP(O118/'Methodology &amp; Assumptions'!$B$8, 0)</f>
        <v/>
      </c>
      <c r="R118" s="27" t="n">
        <v>1</v>
      </c>
      <c r="S118" s="26" t="n">
        <v>0.73</v>
      </c>
      <c r="T118" s="26" t="n">
        <v>0.34</v>
      </c>
      <c r="U118" s="11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26" t="n">
        <v>53.3</v>
      </c>
      <c r="W118" s="26" t="n">
        <v>70.79000000000001</v>
      </c>
      <c r="X118" s="26">
        <f>ROUND(('Methodology &amp; Assumptions'!$B$5*V118) + ('Methodology &amp; Assumptions'!$B$6*W118), 2)</f>
        <v/>
      </c>
      <c r="Y118" s="28" t="n">
        <v>10.9</v>
      </c>
      <c r="Z118" s="11" t="inlineStr">
        <is>
          <t>Priority Tier 2 (Balanced Opportunity)</t>
        </is>
      </c>
    </row>
    <row r="119">
      <c r="A119" s="23" t="n">
        <v>3</v>
      </c>
      <c r="B119" s="23" t="n">
        <v>115</v>
      </c>
      <c r="C119" s="23" t="n">
        <v>2115</v>
      </c>
      <c r="D119" s="23" t="inlineStr">
        <is>
          <t>1380300017</t>
        </is>
      </c>
      <c r="E119" s="11" t="inlineStr">
        <is>
          <t>National Capital Region (NCR)</t>
        </is>
      </c>
      <c r="F119" s="11" t="inlineStr">
        <is>
          <t>Fourth District (Not a Province)</t>
        </is>
      </c>
      <c r="G119" s="11" t="inlineStr">
        <is>
          <t>City of Makati</t>
        </is>
      </c>
      <c r="H119" s="11" t="inlineStr">
        <is>
          <t>Pinagkaisahan</t>
        </is>
      </c>
      <c r="I119" s="24" t="n">
        <v>14.55827</v>
      </c>
      <c r="J119" s="24" t="n">
        <v>121.0409</v>
      </c>
      <c r="K119" s="23" t="inlineStr">
        <is>
          <t>U</t>
        </is>
      </c>
      <c r="L119" s="25" t="n">
        <v>5323</v>
      </c>
      <c r="M119" s="26" t="n">
        <v>3.59</v>
      </c>
      <c r="N119" s="25">
        <f>ROUND(L119/M119, 0)</f>
        <v/>
      </c>
      <c r="O119" s="25">
        <f>ROUND(N119*'Methodology &amp; Assumptions'!$B$7, 0)</f>
        <v/>
      </c>
      <c r="P119" s="23" t="inlineStr">
        <is>
          <t>Single Carrier (Band n50, 100MHz TDD)</t>
        </is>
      </c>
      <c r="Q119" s="27">
        <f>ROUNDUP(O119/'Methodology &amp; Assumptions'!$B$8, 0)</f>
        <v/>
      </c>
      <c r="R119" s="27" t="n">
        <v>1</v>
      </c>
      <c r="S119" s="26" t="n">
        <v>1.51</v>
      </c>
      <c r="T119" s="26" t="n">
        <v>0.59</v>
      </c>
      <c r="U119" s="11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26" t="n">
        <v>66.56</v>
      </c>
      <c r="W119" s="26" t="n">
        <v>57.52</v>
      </c>
      <c r="X119" s="26">
        <f>ROUND(('Methodology &amp; Assumptions'!$B$5*V119) + ('Methodology &amp; Assumptions'!$B$6*W119), 2)</f>
        <v/>
      </c>
      <c r="Y119" s="28" t="n">
        <v>10.9</v>
      </c>
      <c r="Z119" s="11" t="inlineStr">
        <is>
          <t>Priority Tier 2 (Balanced Opportunity)</t>
        </is>
      </c>
    </row>
    <row r="120">
      <c r="A120" s="23" t="n">
        <v>3</v>
      </c>
      <c r="B120" s="23" t="n">
        <v>116</v>
      </c>
      <c r="C120" s="23" t="n">
        <v>2116</v>
      </c>
      <c r="D120" s="23" t="inlineStr">
        <is>
          <t>1380601157</t>
        </is>
      </c>
      <c r="E120" s="11" t="inlineStr">
        <is>
          <t>National Capital Region (NCR)</t>
        </is>
      </c>
      <c r="F120" s="11" t="inlineStr">
        <is>
          <t>First District (Not a Province)</t>
        </is>
      </c>
      <c r="G120" s="11" t="inlineStr">
        <is>
          <t>City of Manila</t>
        </is>
      </c>
      <c r="H120" s="11" t="inlineStr">
        <is>
          <t>Barangay 157</t>
        </is>
      </c>
      <c r="I120" s="24" t="n">
        <v>14.619169</v>
      </c>
      <c r="J120" s="24" t="n">
        <v>120.973187</v>
      </c>
      <c r="K120" s="23" t="inlineStr">
        <is>
          <t>U</t>
        </is>
      </c>
      <c r="L120" s="25" t="n">
        <v>1409</v>
      </c>
      <c r="M120" s="26" t="n">
        <v>3.91</v>
      </c>
      <c r="N120" s="25">
        <f>ROUND(L120/M120, 0)</f>
        <v/>
      </c>
      <c r="O120" s="25">
        <f>ROUND(N120*'Methodology &amp; Assumptions'!$B$7, 0)</f>
        <v/>
      </c>
      <c r="P120" s="23" t="inlineStr">
        <is>
          <t>Single Carrier (Band n50, 100MHz TDD)</t>
        </is>
      </c>
      <c r="Q120" s="27">
        <f>ROUNDUP(O120/'Methodology &amp; Assumptions'!$B$8, 0)</f>
        <v/>
      </c>
      <c r="R120" s="27" t="n">
        <v>1</v>
      </c>
      <c r="S120" s="26" t="n">
        <v>0.86</v>
      </c>
      <c r="T120" s="26" t="n">
        <v>0.3</v>
      </c>
      <c r="U120" s="11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26" t="n">
        <v>52.61</v>
      </c>
      <c r="W120" s="26" t="n">
        <v>71.47</v>
      </c>
      <c r="X120" s="26">
        <f>ROUND(('Methodology &amp; Assumptions'!$B$5*V120) + ('Methodology &amp; Assumptions'!$B$6*W120), 2)</f>
        <v/>
      </c>
      <c r="Y120" s="28" t="n">
        <v>10.9</v>
      </c>
      <c r="Z120" s="11" t="inlineStr">
        <is>
          <t>Priority Tier 2 (Balanced Opportunity)</t>
        </is>
      </c>
    </row>
    <row r="121">
      <c r="A121" s="23" t="n">
        <v>3</v>
      </c>
      <c r="B121" s="23" t="n">
        <v>117</v>
      </c>
      <c r="C121" s="23" t="n">
        <v>2117</v>
      </c>
      <c r="D121" s="23" t="inlineStr">
        <is>
          <t>0304928001</t>
        </is>
      </c>
      <c r="E121" s="11" t="inlineStr">
        <is>
          <t>Region III (Central Luzon)</t>
        </is>
      </c>
      <c r="F121" s="11" t="inlineStr">
        <is>
          <t>Nueva Ecija</t>
        </is>
      </c>
      <c r="G121" s="11" t="inlineStr">
        <is>
          <t>Santa Rosa</t>
        </is>
      </c>
      <c r="H121" s="11" t="inlineStr">
        <is>
          <t>Cojuangco</t>
        </is>
      </c>
      <c r="I121" s="24" t="n">
        <v>15.425008</v>
      </c>
      <c r="J121" s="24" t="n">
        <v>120.936903</v>
      </c>
      <c r="K121" s="23" t="inlineStr">
        <is>
          <t>U</t>
        </is>
      </c>
      <c r="L121" s="25" t="n">
        <v>2838</v>
      </c>
      <c r="M121" s="26" t="n">
        <v>3.5</v>
      </c>
      <c r="N121" s="25">
        <f>ROUND(L121/M121, 0)</f>
        <v/>
      </c>
      <c r="O121" s="25">
        <f>ROUND(N121*'Methodology &amp; Assumptions'!$B$7, 0)</f>
        <v/>
      </c>
      <c r="P121" s="23" t="inlineStr">
        <is>
          <t>Single Carrier (Band n50, 100MHz TDD)</t>
        </is>
      </c>
      <c r="Q121" s="27">
        <f>ROUNDUP(O121/'Methodology &amp; Assumptions'!$B$8, 0)</f>
        <v/>
      </c>
      <c r="R121" s="27" t="n">
        <v>1</v>
      </c>
      <c r="S121" s="26" t="n">
        <v>0.02</v>
      </c>
      <c r="T121" s="26" t="n">
        <v>0.02</v>
      </c>
      <c r="U121" s="11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26" t="n">
        <v>78.14</v>
      </c>
      <c r="W121" s="26" t="n">
        <v>45.91</v>
      </c>
      <c r="X121" s="26">
        <f>ROUND(('Methodology &amp; Assumptions'!$B$5*V121) + ('Methodology &amp; Assumptions'!$B$6*W121), 2)</f>
        <v/>
      </c>
      <c r="Y121" s="28" t="n">
        <v>8.300000000000001</v>
      </c>
      <c r="Z121" s="11" t="inlineStr">
        <is>
          <t>Priority Tier 2 (Balanced Opportunity)</t>
        </is>
      </c>
    </row>
    <row r="122">
      <c r="A122" s="23" t="n">
        <v>3</v>
      </c>
      <c r="B122" s="23" t="n">
        <v>118</v>
      </c>
      <c r="C122" s="23" t="n">
        <v>2118</v>
      </c>
      <c r="D122" s="23" t="inlineStr">
        <is>
          <t>1380603016</t>
        </is>
      </c>
      <c r="E122" s="11" t="inlineStr">
        <is>
          <t>National Capital Region (NCR)</t>
        </is>
      </c>
      <c r="F122" s="11" t="inlineStr">
        <is>
          <t>First District (Not a Province)</t>
        </is>
      </c>
      <c r="G122" s="11" t="inlineStr">
        <is>
          <t>City of Manila</t>
        </is>
      </c>
      <c r="H122" s="11" t="inlineStr">
        <is>
          <t>Barangay 307</t>
        </is>
      </c>
      <c r="I122" s="24" t="n">
        <v>14.599721</v>
      </c>
      <c r="J122" s="24" t="n">
        <v>120.98285</v>
      </c>
      <c r="K122" s="23" t="inlineStr">
        <is>
          <t>U</t>
        </is>
      </c>
      <c r="L122" s="25" t="n">
        <v>1399</v>
      </c>
      <c r="M122" s="26" t="n">
        <v>3.44</v>
      </c>
      <c r="N122" s="25">
        <f>ROUND(L122/M122, 0)</f>
        <v/>
      </c>
      <c r="O122" s="25">
        <f>ROUND(N122*'Methodology &amp; Assumptions'!$B$7, 0)</f>
        <v/>
      </c>
      <c r="P122" s="23" t="inlineStr">
        <is>
          <t>Single Carrier (Band n50, 100MHz TDD)</t>
        </is>
      </c>
      <c r="Q122" s="27">
        <f>ROUNDUP(O122/'Methodology &amp; Assumptions'!$B$8, 0)</f>
        <v/>
      </c>
      <c r="R122" s="27" t="n">
        <v>1</v>
      </c>
      <c r="S122" s="26" t="n">
        <v>0.97</v>
      </c>
      <c r="T122" s="26" t="n">
        <v>0.12</v>
      </c>
      <c r="U122" s="11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26" t="n">
        <v>53.65</v>
      </c>
      <c r="W122" s="26" t="n">
        <v>70.41</v>
      </c>
      <c r="X122" s="26">
        <f>ROUND(('Methodology &amp; Assumptions'!$B$5*V122) + ('Methodology &amp; Assumptions'!$B$6*W122), 2)</f>
        <v/>
      </c>
      <c r="Y122" s="28" t="n">
        <v>10.9</v>
      </c>
      <c r="Z122" s="11" t="inlineStr">
        <is>
          <t>Priority Tier 2 (Balanced Opportunity)</t>
        </is>
      </c>
    </row>
    <row r="123">
      <c r="A123" s="23" t="n">
        <v>3</v>
      </c>
      <c r="B123" s="23" t="n">
        <v>119</v>
      </c>
      <c r="C123" s="23" t="n">
        <v>2119</v>
      </c>
      <c r="D123" s="23" t="inlineStr">
        <is>
          <t>1380601156</t>
        </is>
      </c>
      <c r="E123" s="11" t="inlineStr">
        <is>
          <t>National Capital Region (NCR)</t>
        </is>
      </c>
      <c r="F123" s="11" t="inlineStr">
        <is>
          <t>First District (Not a Province)</t>
        </is>
      </c>
      <c r="G123" s="11" t="inlineStr">
        <is>
          <t>City of Manila</t>
        </is>
      </c>
      <c r="H123" s="11" t="inlineStr">
        <is>
          <t>Barangay 156</t>
        </is>
      </c>
      <c r="I123" s="24" t="n">
        <v>14.617734</v>
      </c>
      <c r="J123" s="24" t="n">
        <v>120.972488</v>
      </c>
      <c r="K123" s="23" t="inlineStr">
        <is>
          <t>U</t>
        </is>
      </c>
      <c r="L123" s="25" t="n">
        <v>1627</v>
      </c>
      <c r="M123" s="26" t="n">
        <v>4.05</v>
      </c>
      <c r="N123" s="25">
        <f>ROUND(L123/M123, 0)</f>
        <v/>
      </c>
      <c r="O123" s="25">
        <f>ROUND(N123*'Methodology &amp; Assumptions'!$B$7, 0)</f>
        <v/>
      </c>
      <c r="P123" s="23" t="inlineStr">
        <is>
          <t>Single Carrier (Band n50, 100MHz TDD)</t>
        </is>
      </c>
      <c r="Q123" s="27">
        <f>ROUNDUP(O123/'Methodology &amp; Assumptions'!$B$8, 0)</f>
        <v/>
      </c>
      <c r="R123" s="27" t="n">
        <v>1</v>
      </c>
      <c r="S123" s="26" t="n">
        <v>1.02</v>
      </c>
      <c r="T123" s="26" t="n">
        <v>0.2</v>
      </c>
      <c r="U123" s="11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26" t="n">
        <v>53.37</v>
      </c>
      <c r="W123" s="26" t="n">
        <v>70.7</v>
      </c>
      <c r="X123" s="26">
        <f>ROUND(('Methodology &amp; Assumptions'!$B$5*V123) + ('Methodology &amp; Assumptions'!$B$6*W123), 2)</f>
        <v/>
      </c>
      <c r="Y123" s="28" t="n">
        <v>10.9</v>
      </c>
      <c r="Z123" s="11" t="inlineStr">
        <is>
          <t>Priority Tier 2 (Balanced Opportunity)</t>
        </is>
      </c>
    </row>
    <row r="124">
      <c r="A124" s="23" t="n">
        <v>3</v>
      </c>
      <c r="B124" s="23" t="n">
        <v>120</v>
      </c>
      <c r="C124" s="23" t="n">
        <v>2120</v>
      </c>
      <c r="D124" s="23" t="inlineStr">
        <is>
          <t>1402701005</t>
        </is>
      </c>
      <c r="E124" s="11" t="inlineStr">
        <is>
          <t>Cordillera Administrative Region (CAR)</t>
        </is>
      </c>
      <c r="F124" s="11" t="inlineStr">
        <is>
          <t>Ifugao</t>
        </is>
      </c>
      <c r="G124" s="11" t="inlineStr">
        <is>
          <t>Banaue</t>
        </is>
      </c>
      <c r="H124" s="11" t="inlineStr">
        <is>
          <t>Bocos</t>
        </is>
      </c>
      <c r="I124" s="24" t="n">
        <v>16.91637</v>
      </c>
      <c r="J124" s="24" t="n">
        <v>121.063091</v>
      </c>
      <c r="K124" s="23" t="inlineStr">
        <is>
          <t>R</t>
        </is>
      </c>
      <c r="L124" s="25" t="n">
        <v>2621</v>
      </c>
      <c r="M124" s="26" t="n">
        <v>3.9</v>
      </c>
      <c r="N124" s="25">
        <f>ROUND(L124/M124, 0)</f>
        <v/>
      </c>
      <c r="O124" s="25">
        <f>ROUND(N124*'Methodology &amp; Assumptions'!$B$7, 0)</f>
        <v/>
      </c>
      <c r="P124" s="23" t="inlineStr">
        <is>
          <t>Single Carrier (Band n50, 100MHz TDD)</t>
        </is>
      </c>
      <c r="Q124" s="27">
        <f>ROUNDUP(O124/'Methodology &amp; Assumptions'!$B$8, 0)</f>
        <v/>
      </c>
      <c r="R124" s="27" t="n">
        <v>1</v>
      </c>
      <c r="S124" s="26" t="n">
        <v>0.65</v>
      </c>
      <c r="T124" s="26" t="n">
        <v>0.44</v>
      </c>
      <c r="U124" s="11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26" t="n">
        <v>79.68000000000001</v>
      </c>
      <c r="W124" s="26" t="n">
        <v>44.36</v>
      </c>
      <c r="X124" s="26">
        <f>ROUND(('Methodology &amp; Assumptions'!$B$5*V124) + ('Methodology &amp; Assumptions'!$B$6*W124), 2)</f>
        <v/>
      </c>
      <c r="Y124" s="28" t="n">
        <v>10.9</v>
      </c>
      <c r="Z124" s="11" t="inlineStr">
        <is>
          <t>Priority Tier 2 (Balanced Opportunity)</t>
        </is>
      </c>
    </row>
    <row r="125">
      <c r="A125" s="23" t="n">
        <v>3</v>
      </c>
      <c r="B125" s="23" t="n">
        <v>121</v>
      </c>
      <c r="C125" s="23" t="n">
        <v>2121</v>
      </c>
      <c r="D125" s="23" t="inlineStr">
        <is>
          <t>0401005012</t>
        </is>
      </c>
      <c r="E125" s="11" t="inlineStr">
        <is>
          <t>Region IV-A (CALABARZON)</t>
        </is>
      </c>
      <c r="F125" s="11" t="inlineStr">
        <is>
          <t>Batangas</t>
        </is>
      </c>
      <c r="G125" s="11" t="inlineStr">
        <is>
          <t>Batangas City</t>
        </is>
      </c>
      <c r="H125" s="11" t="inlineStr">
        <is>
          <t>Bolbok</t>
        </is>
      </c>
      <c r="I125" s="24" t="n">
        <v>13.772581</v>
      </c>
      <c r="J125" s="24" t="n">
        <v>121.049298</v>
      </c>
      <c r="K125" s="23" t="inlineStr">
        <is>
          <t>U</t>
        </is>
      </c>
      <c r="L125" s="25" t="n">
        <v>13167</v>
      </c>
      <c r="M125" s="26" t="n">
        <v>3.6</v>
      </c>
      <c r="N125" s="25">
        <f>ROUND(L125/M125, 0)</f>
        <v/>
      </c>
      <c r="O125" s="25">
        <f>ROUND(N125*'Methodology &amp; Assumptions'!$B$7, 0)</f>
        <v/>
      </c>
      <c r="P125" s="23" t="inlineStr">
        <is>
          <t>Single Carrier (Band n50, 100MHz TDD)</t>
        </is>
      </c>
      <c r="Q125" s="27">
        <f>ROUNDUP(O125/'Methodology &amp; Assumptions'!$B$8, 0)</f>
        <v/>
      </c>
      <c r="R125" s="27" t="n">
        <v>1</v>
      </c>
      <c r="S125" s="26" t="n">
        <v>1.4</v>
      </c>
      <c r="T125" s="26" t="n">
        <v>0.26</v>
      </c>
      <c r="U125" s="11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26" t="n">
        <v>76.14</v>
      </c>
      <c r="W125" s="26" t="n">
        <v>47.91</v>
      </c>
      <c r="X125" s="26">
        <f>ROUND(('Methodology &amp; Assumptions'!$B$5*V125) + ('Methodology &amp; Assumptions'!$B$6*W125), 2)</f>
        <v/>
      </c>
      <c r="Y125" s="28" t="n">
        <v>7.2</v>
      </c>
      <c r="Z125" s="11" t="inlineStr">
        <is>
          <t>Priority Tier 2 (Balanced Opportunity)</t>
        </is>
      </c>
    </row>
    <row r="126">
      <c r="A126" s="23" t="n">
        <v>3</v>
      </c>
      <c r="B126" s="23" t="n">
        <v>122</v>
      </c>
      <c r="C126" s="23" t="n">
        <v>2122</v>
      </c>
      <c r="D126" s="23" t="inlineStr">
        <is>
          <t>0500502002</t>
        </is>
      </c>
      <c r="E126" s="11" t="inlineStr">
        <is>
          <t>Region V (Bicol Region)</t>
        </is>
      </c>
      <c r="F126" s="11" t="inlineStr">
        <is>
          <t>Albay</t>
        </is>
      </c>
      <c r="G126" s="11" t="inlineStr">
        <is>
          <t>Camalig</t>
        </is>
      </c>
      <c r="H126" s="11" t="inlineStr">
        <is>
          <t>Baligang</t>
        </is>
      </c>
      <c r="I126" s="24" t="n">
        <v>13.278417</v>
      </c>
      <c r="J126" s="24" t="n">
        <v>123.328657</v>
      </c>
      <c r="K126" s="23" t="inlineStr">
        <is>
          <t>R</t>
        </is>
      </c>
      <c r="L126" s="25" t="n">
        <v>3858</v>
      </c>
      <c r="M126" s="26" t="n">
        <v>4.1</v>
      </c>
      <c r="N126" s="25">
        <f>ROUND(L126/M126, 0)</f>
        <v/>
      </c>
      <c r="O126" s="25">
        <f>ROUND(N126*'Methodology &amp; Assumptions'!$B$7, 0)</f>
        <v/>
      </c>
      <c r="P126" s="23" t="inlineStr">
        <is>
          <t>Single Carrier (Band n50, 100MHz TDD)</t>
        </is>
      </c>
      <c r="Q126" s="27">
        <f>ROUNDUP(O126/'Methodology &amp; Assumptions'!$B$8, 0)</f>
        <v/>
      </c>
      <c r="R126" s="27" t="n">
        <v>1</v>
      </c>
      <c r="S126" s="26" t="n">
        <v>5.33</v>
      </c>
      <c r="T126" s="26" t="n">
        <v>9.25</v>
      </c>
      <c r="U126" s="11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26" t="n">
        <v>72.53</v>
      </c>
      <c r="W126" s="26" t="n">
        <v>51.52</v>
      </c>
      <c r="X126" s="26">
        <f>ROUND(('Methodology &amp; Assumptions'!$B$5*V126) + ('Methodology &amp; Assumptions'!$B$6*W126), 2)</f>
        <v/>
      </c>
      <c r="Y126" s="28" t="n">
        <v>23.7</v>
      </c>
      <c r="Z126" s="11" t="inlineStr">
        <is>
          <t>Priority Tier 2 (Balanced Opportunity)</t>
        </is>
      </c>
    </row>
    <row r="127">
      <c r="A127" s="23" t="n">
        <v>3</v>
      </c>
      <c r="B127" s="23" t="n">
        <v>123</v>
      </c>
      <c r="C127" s="23" t="n">
        <v>2123</v>
      </c>
      <c r="D127" s="23" t="inlineStr">
        <is>
          <t>0405637019</t>
        </is>
      </c>
      <c r="E127" s="11" t="inlineStr">
        <is>
          <t>Region IV-A (CALABARZON)</t>
        </is>
      </c>
      <c r="F127" s="11" t="inlineStr">
        <is>
          <t>Quezon</t>
        </is>
      </c>
      <c r="G127" s="11" t="inlineStr">
        <is>
          <t>Quezon</t>
        </is>
      </c>
      <c r="H127" s="11" t="inlineStr">
        <is>
          <t>Silangan</t>
        </is>
      </c>
      <c r="I127" s="24" t="n">
        <v>14.629</v>
      </c>
      <c r="J127" s="24" t="n">
        <v>121.0561</v>
      </c>
      <c r="K127" s="23" t="inlineStr">
        <is>
          <t>R</t>
        </is>
      </c>
      <c r="L127" s="25" t="n">
        <v>803</v>
      </c>
      <c r="M127" s="26" t="n">
        <v>3.8</v>
      </c>
      <c r="N127" s="25">
        <f>ROUND(L127/M127, 0)</f>
        <v/>
      </c>
      <c r="O127" s="25">
        <f>ROUND(N127*'Methodology &amp; Assumptions'!$B$7, 0)</f>
        <v/>
      </c>
      <c r="P127" s="23" t="inlineStr">
        <is>
          <t>Single Carrier (Band n50, 100MHz TDD)</t>
        </is>
      </c>
      <c r="Q127" s="27">
        <f>ROUNDUP(O127/'Methodology &amp; Assumptions'!$B$8, 0)</f>
        <v/>
      </c>
      <c r="R127" s="27" t="n">
        <v>1</v>
      </c>
      <c r="S127" s="26" t="n">
        <v>1.02</v>
      </c>
      <c r="T127" s="26" t="n">
        <v>0.45</v>
      </c>
      <c r="U127" s="11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26" t="n">
        <v>67.65000000000001</v>
      </c>
      <c r="W127" s="26" t="n">
        <v>56.39</v>
      </c>
      <c r="X127" s="26">
        <f>ROUND(('Methodology &amp; Assumptions'!$B$5*V127) + ('Methodology &amp; Assumptions'!$B$6*W127), 2)</f>
        <v/>
      </c>
      <c r="Y127" s="28" t="n">
        <v>7.2</v>
      </c>
      <c r="Z127" s="11" t="inlineStr">
        <is>
          <t>Priority Tier 2 (Balanced Opportunity)</t>
        </is>
      </c>
    </row>
    <row r="128">
      <c r="A128" s="23" t="n">
        <v>3</v>
      </c>
      <c r="B128" s="23" t="n">
        <v>124</v>
      </c>
      <c r="C128" s="23" t="n">
        <v>2124</v>
      </c>
      <c r="D128" s="23" t="inlineStr">
        <is>
          <t>0604521020</t>
        </is>
      </c>
      <c r="E128" s="11" t="inlineStr">
        <is>
          <t>Region VI (Western Visayas)</t>
        </is>
      </c>
      <c r="F128" s="11" t="inlineStr">
        <is>
          <t>Negros Occidental</t>
        </is>
      </c>
      <c r="G128" s="11" t="inlineStr">
        <is>
          <t>Pontevedra</t>
        </is>
      </c>
      <c r="H128" s="11" t="inlineStr">
        <is>
          <t>San Juan</t>
        </is>
      </c>
      <c r="I128" s="24" t="n">
        <v>10.379225</v>
      </c>
      <c r="J128" s="24" t="n">
        <v>122.867217</v>
      </c>
      <c r="K128" s="23" t="inlineStr">
        <is>
          <t>R</t>
        </is>
      </c>
      <c r="L128" s="25" t="n">
        <v>4711</v>
      </c>
      <c r="M128" s="26" t="n">
        <v>3.7</v>
      </c>
      <c r="N128" s="25">
        <f>ROUND(L128/M128, 0)</f>
        <v/>
      </c>
      <c r="O128" s="25">
        <f>ROUND(N128*'Methodology &amp; Assumptions'!$B$7, 0)</f>
        <v/>
      </c>
      <c r="P128" s="23" t="inlineStr">
        <is>
          <t>Single Carrier (Band n50, 100MHz TDD)</t>
        </is>
      </c>
      <c r="Q128" s="27">
        <f>ROUNDUP(O128/'Methodology &amp; Assumptions'!$B$8, 0)</f>
        <v/>
      </c>
      <c r="R128" s="27" t="n">
        <v>1</v>
      </c>
      <c r="S128" s="26" t="n">
        <v>0.72</v>
      </c>
      <c r="T128" s="26" t="n">
        <v>0.11</v>
      </c>
      <c r="U128" s="11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26" t="n">
        <v>88.06</v>
      </c>
      <c r="W128" s="26" t="n">
        <v>35.96</v>
      </c>
      <c r="X128" s="26">
        <f>ROUND(('Methodology &amp; Assumptions'!$B$5*V128) + ('Methodology &amp; Assumptions'!$B$6*W128), 2)</f>
        <v/>
      </c>
      <c r="Y128" s="28" t="n">
        <v>23.7</v>
      </c>
      <c r="Z128" s="11" t="inlineStr">
        <is>
          <t>Priority Tier 2 (Balanced Opportunity)</t>
        </is>
      </c>
    </row>
    <row r="129">
      <c r="A129" s="23" t="n">
        <v>3</v>
      </c>
      <c r="B129" s="23" t="n">
        <v>125</v>
      </c>
      <c r="C129" s="23" t="n">
        <v>2125</v>
      </c>
      <c r="D129" s="23" t="inlineStr">
        <is>
          <t>1004321015</t>
        </is>
      </c>
      <c r="E129" s="11" t="inlineStr">
        <is>
          <t>Region X (Northern Mindanao)</t>
        </is>
      </c>
      <c r="F129" s="11" t="inlineStr">
        <is>
          <t>Misamis Oriental</t>
        </is>
      </c>
      <c r="G129" s="11" t="inlineStr">
        <is>
          <t>Opol</t>
        </is>
      </c>
      <c r="H129" s="11" t="inlineStr">
        <is>
          <t>Taboc</t>
        </is>
      </c>
      <c r="I129" s="24" t="n">
        <v>8.515771000000001</v>
      </c>
      <c r="J129" s="24" t="n">
        <v>124.57865</v>
      </c>
      <c r="K129" s="23" t="inlineStr">
        <is>
          <t>U</t>
        </is>
      </c>
      <c r="L129" s="25" t="n">
        <v>4039</v>
      </c>
      <c r="M129" s="26" t="n">
        <v>3.9</v>
      </c>
      <c r="N129" s="25">
        <f>ROUND(L129/M129, 0)</f>
        <v/>
      </c>
      <c r="O129" s="25">
        <f>ROUND(N129*'Methodology &amp; Assumptions'!$B$7, 0)</f>
        <v/>
      </c>
      <c r="P129" s="23" t="inlineStr">
        <is>
          <t>Single Carrier (Band n50, 100MHz TDD)</t>
        </is>
      </c>
      <c r="Q129" s="27">
        <f>ROUNDUP(O129/'Methodology &amp; Assumptions'!$B$8, 0)</f>
        <v/>
      </c>
      <c r="R129" s="27" t="n">
        <v>1</v>
      </c>
      <c r="S129" s="26" t="n">
        <v>0.66</v>
      </c>
      <c r="T129" s="26" t="n">
        <v>0.2</v>
      </c>
      <c r="U129" s="11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26" t="n">
        <v>79.87</v>
      </c>
      <c r="W129" s="26" t="n">
        <v>44.16</v>
      </c>
      <c r="X129" s="26">
        <f>ROUND(('Methodology &amp; Assumptions'!$B$5*V129) + ('Methodology &amp; Assumptions'!$B$6*W129), 2)</f>
        <v/>
      </c>
      <c r="Y129" s="28" t="n">
        <v>17.4</v>
      </c>
      <c r="Z129" s="11" t="inlineStr">
        <is>
          <t>Priority Tier 2 (Balanced Opportunity)</t>
        </is>
      </c>
    </row>
    <row r="130">
      <c r="A130" s="23" t="n">
        <v>3</v>
      </c>
      <c r="B130" s="23" t="n">
        <v>126</v>
      </c>
      <c r="C130" s="23" t="n">
        <v>2126</v>
      </c>
      <c r="D130" s="23" t="inlineStr">
        <is>
          <t>0300807015</t>
        </is>
      </c>
      <c r="E130" s="11" t="inlineStr">
        <is>
          <t>Region III (Central Luzon)</t>
        </is>
      </c>
      <c r="F130" s="11" t="inlineStr">
        <is>
          <t>Bataan</t>
        </is>
      </c>
      <c r="G130" s="11" t="inlineStr">
        <is>
          <t>Mariveles</t>
        </is>
      </c>
      <c r="H130" s="11" t="inlineStr">
        <is>
          <t>Camaya</t>
        </is>
      </c>
      <c r="I130" s="24" t="n">
        <v>14.437998</v>
      </c>
      <c r="J130" s="24" t="n">
        <v>120.484884</v>
      </c>
      <c r="K130" s="23" t="inlineStr">
        <is>
          <t>U</t>
        </is>
      </c>
      <c r="L130" s="25" t="n">
        <v>19642</v>
      </c>
      <c r="M130" s="26" t="n">
        <v>3.6</v>
      </c>
      <c r="N130" s="25">
        <f>ROUND(L130/M130, 0)</f>
        <v/>
      </c>
      <c r="O130" s="25">
        <f>ROUND(N130*'Methodology &amp; Assumptions'!$B$7, 0)</f>
        <v/>
      </c>
      <c r="P130" s="23" t="inlineStr">
        <is>
          <t>Single Carrier (Band n50, 100MHz TDD)</t>
        </is>
      </c>
      <c r="Q130" s="27">
        <f>ROUNDUP(O130/'Methodology &amp; Assumptions'!$B$8, 0)</f>
        <v/>
      </c>
      <c r="R130" s="27" t="n">
        <v>1</v>
      </c>
      <c r="S130" s="26" t="n">
        <v>1.66</v>
      </c>
      <c r="T130" s="26" t="n">
        <v>0.46</v>
      </c>
      <c r="U130" s="11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26" t="n">
        <v>75.38</v>
      </c>
      <c r="W130" s="26" t="n">
        <v>48.63</v>
      </c>
      <c r="X130" s="26">
        <f>ROUND(('Methodology &amp; Assumptions'!$B$5*V130) + ('Methodology &amp; Assumptions'!$B$6*W130), 2)</f>
        <v/>
      </c>
      <c r="Y130" s="28" t="n">
        <v>8.300000000000001</v>
      </c>
      <c r="Z130" s="11" t="inlineStr">
        <is>
          <t>Priority Tier 2 (Balanced Opportunity)</t>
        </is>
      </c>
    </row>
    <row r="131">
      <c r="A131" s="23" t="n">
        <v>3</v>
      </c>
      <c r="B131" s="23" t="n">
        <v>127</v>
      </c>
      <c r="C131" s="23" t="n">
        <v>2127</v>
      </c>
      <c r="D131" s="23" t="inlineStr">
        <is>
          <t>0402106020</t>
        </is>
      </c>
      <c r="E131" s="11" t="inlineStr">
        <is>
          <t>Region IV-A (CALABARZON)</t>
        </is>
      </c>
      <c r="F131" s="11" t="inlineStr">
        <is>
          <t>Cavite</t>
        </is>
      </c>
      <c r="G131" s="11" t="inlineStr">
        <is>
          <t>City of Dasmariñas</t>
        </is>
      </c>
      <c r="H131" s="11" t="inlineStr">
        <is>
          <t>Datu Esmael</t>
        </is>
      </c>
      <c r="I131" s="24" t="n">
        <v>14.333878</v>
      </c>
      <c r="J131" s="24" t="n">
        <v>120.958543</v>
      </c>
      <c r="K131" s="23" t="inlineStr">
        <is>
          <t>U</t>
        </is>
      </c>
      <c r="L131" s="25" t="n">
        <v>8389</v>
      </c>
      <c r="M131" s="26" t="n">
        <v>3.4</v>
      </c>
      <c r="N131" s="25">
        <f>ROUND(L131/M131, 0)</f>
        <v/>
      </c>
      <c r="O131" s="25">
        <f>ROUND(N131*'Methodology &amp; Assumptions'!$B$7, 0)</f>
        <v/>
      </c>
      <c r="P131" s="23" t="inlineStr">
        <is>
          <t>Single Carrier (Band n50, 100MHz TDD)</t>
        </is>
      </c>
      <c r="Q131" s="27">
        <f>ROUNDUP(O131/'Methodology &amp; Assumptions'!$B$8, 0)</f>
        <v/>
      </c>
      <c r="R131" s="27" t="n">
        <v>1</v>
      </c>
      <c r="S131" s="26" t="n">
        <v>2.51</v>
      </c>
      <c r="T131" s="26" t="n">
        <v>3.62</v>
      </c>
      <c r="U131" s="11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26" t="n">
        <v>68.84999999999999</v>
      </c>
      <c r="W131" s="26" t="n">
        <v>55.17</v>
      </c>
      <c r="X131" s="26">
        <f>ROUND(('Methodology &amp; Assumptions'!$B$5*V131) + ('Methodology &amp; Assumptions'!$B$6*W131), 2)</f>
        <v/>
      </c>
      <c r="Y131" s="28" t="n">
        <v>7.2</v>
      </c>
      <c r="Z131" s="11" t="inlineStr">
        <is>
          <t>Priority Tier 2 (Balanced Opportunity)</t>
        </is>
      </c>
    </row>
    <row r="132">
      <c r="A132" s="23" t="n">
        <v>3</v>
      </c>
      <c r="B132" s="23" t="n">
        <v>128</v>
      </c>
      <c r="C132" s="23" t="n">
        <v>2128</v>
      </c>
      <c r="D132" s="23" t="inlineStr">
        <is>
          <t>1380606125</t>
        </is>
      </c>
      <c r="E132" s="11" t="inlineStr">
        <is>
          <t>National Capital Region (NCR)</t>
        </is>
      </c>
      <c r="F132" s="11" t="inlineStr">
        <is>
          <t>First District (Not a Province)</t>
        </is>
      </c>
      <c r="G132" s="11" t="inlineStr">
        <is>
          <t>City of Manila</t>
        </is>
      </c>
      <c r="H132" s="11" t="inlineStr">
        <is>
          <t>Barangay 519</t>
        </is>
      </c>
      <c r="I132" s="24" t="n">
        <v>14.6166</v>
      </c>
      <c r="J132" s="24" t="n">
        <v>120.99689</v>
      </c>
      <c r="K132" s="23" t="inlineStr">
        <is>
          <t>U</t>
        </is>
      </c>
      <c r="L132" s="25" t="n">
        <v>1385</v>
      </c>
      <c r="M132" s="26" t="n">
        <v>3.06</v>
      </c>
      <c r="N132" s="25">
        <f>ROUND(L132/M132, 0)</f>
        <v/>
      </c>
      <c r="O132" s="25">
        <f>ROUND(N132*'Methodology &amp; Assumptions'!$B$7, 0)</f>
        <v/>
      </c>
      <c r="P132" s="23" t="inlineStr">
        <is>
          <t>Single Carrier (Band n50, 100MHz TDD)</t>
        </is>
      </c>
      <c r="Q132" s="27">
        <f>ROUNDUP(O132/'Methodology &amp; Assumptions'!$B$8, 0)</f>
        <v/>
      </c>
      <c r="R132" s="27" t="n">
        <v>1</v>
      </c>
      <c r="S132" s="26" t="n">
        <v>0.97</v>
      </c>
      <c r="T132" s="26" t="n">
        <v>0.28</v>
      </c>
      <c r="U132" s="11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26" t="n">
        <v>55.16</v>
      </c>
      <c r="W132" s="26" t="n">
        <v>68.84999999999999</v>
      </c>
      <c r="X132" s="26">
        <f>ROUND(('Methodology &amp; Assumptions'!$B$5*V132) + ('Methodology &amp; Assumptions'!$B$6*W132), 2)</f>
        <v/>
      </c>
      <c r="Y132" s="28" t="n">
        <v>10.9</v>
      </c>
      <c r="Z132" s="11" t="inlineStr">
        <is>
          <t>Priority Tier 2 (Balanced Opportunity)</t>
        </is>
      </c>
    </row>
    <row r="133">
      <c r="A133" s="23" t="n">
        <v>3</v>
      </c>
      <c r="B133" s="23" t="n">
        <v>129</v>
      </c>
      <c r="C133" s="23" t="n">
        <v>2129</v>
      </c>
      <c r="D133" s="23" t="inlineStr">
        <is>
          <t>0307101032</t>
        </is>
      </c>
      <c r="E133" s="11" t="inlineStr">
        <is>
          <t>Region III (Central Luzon)</t>
        </is>
      </c>
      <c r="F133" s="11" t="inlineStr">
        <is>
          <t>Zambales</t>
        </is>
      </c>
      <c r="G133" s="11" t="inlineStr">
        <is>
          <t>Botolan</t>
        </is>
      </c>
      <c r="H133" s="11" t="inlineStr">
        <is>
          <t>Owaog-Nebloc</t>
        </is>
      </c>
      <c r="I133" s="24" t="n">
        <v>15.243098</v>
      </c>
      <c r="J133" s="24" t="n">
        <v>120.13273</v>
      </c>
      <c r="K133" s="23" t="inlineStr">
        <is>
          <t>R</t>
        </is>
      </c>
      <c r="L133" s="25" t="n">
        <v>440</v>
      </c>
      <c r="M133" s="26" t="n">
        <v>3.8</v>
      </c>
      <c r="N133" s="25">
        <f>ROUND(L133/M133, 0)</f>
        <v/>
      </c>
      <c r="O133" s="25">
        <f>ROUND(N133*'Methodology &amp; Assumptions'!$B$7, 0)</f>
        <v/>
      </c>
      <c r="P133" s="23" t="inlineStr">
        <is>
          <t>Single Carrier (Band n50, 100MHz TDD)</t>
        </is>
      </c>
      <c r="Q133" s="27">
        <f>ROUNDUP(O133/'Methodology &amp; Assumptions'!$B$8, 0)</f>
        <v/>
      </c>
      <c r="R133" s="27" t="n">
        <v>1</v>
      </c>
      <c r="S133" s="26" t="n">
        <v>12.25</v>
      </c>
      <c r="T133" s="26" t="n">
        <v>10.48</v>
      </c>
      <c r="U133" s="11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26" t="n">
        <v>39.89</v>
      </c>
      <c r="W133" s="26" t="n">
        <v>84.13</v>
      </c>
      <c r="X133" s="26">
        <f>ROUND(('Methodology &amp; Assumptions'!$B$5*V133) + ('Methodology &amp; Assumptions'!$B$6*W133), 2)</f>
        <v/>
      </c>
      <c r="Y133" s="28" t="n">
        <v>8.300000000000001</v>
      </c>
      <c r="Z133" s="11" t="inlineStr">
        <is>
          <t>Priority Tier 2 (Balanced Opportunity)</t>
        </is>
      </c>
    </row>
    <row r="134">
      <c r="A134" s="23" t="n">
        <v>3</v>
      </c>
      <c r="B134" s="23" t="n">
        <v>130</v>
      </c>
      <c r="C134" s="23" t="n">
        <v>2130</v>
      </c>
      <c r="D134" s="23" t="inlineStr">
        <is>
          <t>0301419021</t>
        </is>
      </c>
      <c r="E134" s="11" t="inlineStr">
        <is>
          <t>Region III (Central Luzon)</t>
        </is>
      </c>
      <c r="F134" s="11" t="inlineStr">
        <is>
          <t>Bulacan</t>
        </is>
      </c>
      <c r="G134" s="11" t="inlineStr">
        <is>
          <t>San Ildefonso</t>
        </is>
      </c>
      <c r="H134" s="11" t="inlineStr">
        <is>
          <t>Matimbubong</t>
        </is>
      </c>
      <c r="I134" s="24" t="n">
        <v>15.067322</v>
      </c>
      <c r="J134" s="24" t="n">
        <v>120.944993</v>
      </c>
      <c r="K134" s="23" t="inlineStr">
        <is>
          <t>R</t>
        </is>
      </c>
      <c r="L134" s="25" t="n">
        <v>2933</v>
      </c>
      <c r="M134" s="26" t="n">
        <v>3.5</v>
      </c>
      <c r="N134" s="25">
        <f>ROUND(L134/M134, 0)</f>
        <v/>
      </c>
      <c r="O134" s="25">
        <f>ROUND(N134*'Methodology &amp; Assumptions'!$B$7, 0)</f>
        <v/>
      </c>
      <c r="P134" s="23" t="inlineStr">
        <is>
          <t>Single Carrier (Band n50, 100MHz TDD)</t>
        </is>
      </c>
      <c r="Q134" s="27">
        <f>ROUNDUP(O134/'Methodology &amp; Assumptions'!$B$8, 0)</f>
        <v/>
      </c>
      <c r="R134" s="27" t="n">
        <v>1</v>
      </c>
      <c r="S134" s="26" t="n">
        <v>0.77</v>
      </c>
      <c r="T134" s="26" t="n">
        <v>0.02</v>
      </c>
      <c r="U134" s="11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26" t="n">
        <v>85.63</v>
      </c>
      <c r="W134" s="26" t="n">
        <v>38.37</v>
      </c>
      <c r="X134" s="26">
        <f>ROUND(('Methodology &amp; Assumptions'!$B$5*V134) + ('Methodology &amp; Assumptions'!$B$6*W134), 2)</f>
        <v/>
      </c>
      <c r="Y134" s="28" t="n">
        <v>8.300000000000001</v>
      </c>
      <c r="Z134" s="11" t="inlineStr">
        <is>
          <t>Priority Tier 2 (Balanced Opportunity)</t>
        </is>
      </c>
    </row>
    <row r="135">
      <c r="A135" s="23" t="n">
        <v>3</v>
      </c>
      <c r="B135" s="23" t="n">
        <v>131</v>
      </c>
      <c r="C135" s="23" t="n">
        <v>2131</v>
      </c>
      <c r="D135" s="23" t="inlineStr">
        <is>
          <t>0300803017</t>
        </is>
      </c>
      <c r="E135" s="11" t="inlineStr">
        <is>
          <t>Region III (Central Luzon)</t>
        </is>
      </c>
      <c r="F135" s="11" t="inlineStr">
        <is>
          <t>Bataan</t>
        </is>
      </c>
      <c r="G135" s="11" t="inlineStr">
        <is>
          <t>City of Balanga</t>
        </is>
      </c>
      <c r="H135" s="11" t="inlineStr">
        <is>
          <t>Sibacan</t>
        </is>
      </c>
      <c r="I135" s="24" t="n">
        <v>14.689614</v>
      </c>
      <c r="J135" s="24" t="n">
        <v>120.547422</v>
      </c>
      <c r="K135" s="23" t="inlineStr">
        <is>
          <t>R</t>
        </is>
      </c>
      <c r="L135" s="25" t="n">
        <v>2889</v>
      </c>
      <c r="M135" s="26" t="n">
        <v>3.6</v>
      </c>
      <c r="N135" s="25">
        <f>ROUND(L135/M135, 0)</f>
        <v/>
      </c>
      <c r="O135" s="25">
        <f>ROUND(N135*'Methodology &amp; Assumptions'!$B$7, 0)</f>
        <v/>
      </c>
      <c r="P135" s="23" t="inlineStr">
        <is>
          <t>Single Carrier (Band n50, 100MHz TDD)</t>
        </is>
      </c>
      <c r="Q135" s="27">
        <f>ROUNDUP(O135/'Methodology &amp; Assumptions'!$B$8, 0)</f>
        <v/>
      </c>
      <c r="R135" s="27" t="n">
        <v>1</v>
      </c>
      <c r="S135" s="26" t="n">
        <v>0.7</v>
      </c>
      <c r="T135" s="26" t="n">
        <v>0.55</v>
      </c>
      <c r="U135" s="11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26" t="n">
        <v>85.13</v>
      </c>
      <c r="W135" s="26" t="n">
        <v>38.87</v>
      </c>
      <c r="X135" s="26">
        <f>ROUND(('Methodology &amp; Assumptions'!$B$5*V135) + ('Methodology &amp; Assumptions'!$B$6*W135), 2)</f>
        <v/>
      </c>
      <c r="Y135" s="28" t="n">
        <v>8.300000000000001</v>
      </c>
      <c r="Z135" s="11" t="inlineStr">
        <is>
          <t>Priority Tier 2 (Balanced Opportunity)</t>
        </is>
      </c>
    </row>
    <row r="136">
      <c r="A136" s="23" t="n">
        <v>3</v>
      </c>
      <c r="B136" s="23" t="n">
        <v>132</v>
      </c>
      <c r="C136" s="23" t="n">
        <v>2132</v>
      </c>
      <c r="D136" s="23" t="inlineStr">
        <is>
          <t>1380601153</t>
        </is>
      </c>
      <c r="E136" s="11" t="inlineStr">
        <is>
          <t>National Capital Region (NCR)</t>
        </is>
      </c>
      <c r="F136" s="11" t="inlineStr">
        <is>
          <t>First District (Not a Province)</t>
        </is>
      </c>
      <c r="G136" s="11" t="inlineStr">
        <is>
          <t>City of Manila</t>
        </is>
      </c>
      <c r="H136" s="11" t="inlineStr">
        <is>
          <t>Barangay 153</t>
        </is>
      </c>
      <c r="I136" s="24" t="n">
        <v>14.622399</v>
      </c>
      <c r="J136" s="24" t="n">
        <v>120.972754</v>
      </c>
      <c r="K136" s="23" t="inlineStr">
        <is>
          <t>U</t>
        </is>
      </c>
      <c r="L136" s="25" t="n">
        <v>1658</v>
      </c>
      <c r="M136" s="26" t="n">
        <v>4.17</v>
      </c>
      <c r="N136" s="25">
        <f>ROUND(L136/M136, 0)</f>
        <v/>
      </c>
      <c r="O136" s="25">
        <f>ROUND(N136*'Methodology &amp; Assumptions'!$B$7, 0)</f>
        <v/>
      </c>
      <c r="P136" s="23" t="inlineStr">
        <is>
          <t>Single Carrier (Band n50, 100MHz TDD)</t>
        </is>
      </c>
      <c r="Q136" s="27">
        <f>ROUNDUP(O136/'Methodology &amp; Assumptions'!$B$8, 0)</f>
        <v/>
      </c>
      <c r="R136" s="27" t="n">
        <v>1</v>
      </c>
      <c r="S136" s="26" t="n">
        <v>0.5</v>
      </c>
      <c r="T136" s="26" t="n">
        <v>0.08</v>
      </c>
      <c r="U136" s="11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26" t="n">
        <v>53.84</v>
      </c>
      <c r="W136" s="26" t="n">
        <v>70.16</v>
      </c>
      <c r="X136" s="26">
        <f>ROUND(('Methodology &amp; Assumptions'!$B$5*V136) + ('Methodology &amp; Assumptions'!$B$6*W136), 2)</f>
        <v/>
      </c>
      <c r="Y136" s="28" t="n">
        <v>10.9</v>
      </c>
      <c r="Z136" s="11" t="inlineStr">
        <is>
          <t>Priority Tier 2 (Balanced Opportunity)</t>
        </is>
      </c>
    </row>
    <row r="137">
      <c r="A137" s="23" t="n">
        <v>3</v>
      </c>
      <c r="B137" s="23" t="n">
        <v>133</v>
      </c>
      <c r="C137" s="23" t="n">
        <v>2133</v>
      </c>
      <c r="D137" s="23" t="inlineStr">
        <is>
          <t>1381100002</t>
        </is>
      </c>
      <c r="E137" s="11" t="inlineStr">
        <is>
          <t>National Capital Region (NCR)</t>
        </is>
      </c>
      <c r="F137" s="11" t="inlineStr">
        <is>
          <t>Fourth District (Not a Province)</t>
        </is>
      </c>
      <c r="G137" s="11" t="inlineStr">
        <is>
          <t>Pasay City</t>
        </is>
      </c>
      <c r="H137" s="11" t="inlineStr">
        <is>
          <t>Barangay 2</t>
        </is>
      </c>
      <c r="I137" s="24" t="n">
        <v>14.557938</v>
      </c>
      <c r="J137" s="24" t="n">
        <v>120.989988</v>
      </c>
      <c r="K137" s="23" t="inlineStr">
        <is>
          <t>U</t>
        </is>
      </c>
      <c r="L137" s="25" t="n">
        <v>1332</v>
      </c>
      <c r="M137" s="26" t="n">
        <v>3.66</v>
      </c>
      <c r="N137" s="25">
        <f>ROUND(L137/M137, 0)</f>
        <v/>
      </c>
      <c r="O137" s="25">
        <f>ROUND(N137*'Methodology &amp; Assumptions'!$B$7, 0)</f>
        <v/>
      </c>
      <c r="P137" s="23" t="inlineStr">
        <is>
          <t>Single Carrier (Band n50, 100MHz TDD)</t>
        </is>
      </c>
      <c r="Q137" s="27">
        <f>ROUNDUP(O137/'Methodology &amp; Assumptions'!$B$8, 0)</f>
        <v/>
      </c>
      <c r="R137" s="27" t="n">
        <v>1</v>
      </c>
      <c r="S137" s="26" t="n">
        <v>0.55</v>
      </c>
      <c r="T137" s="26" t="n">
        <v>0.5600000000000001</v>
      </c>
      <c r="U137" s="11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26" t="n">
        <v>52.77</v>
      </c>
      <c r="W137" s="26" t="n">
        <v>71.23999999999999</v>
      </c>
      <c r="X137" s="26">
        <f>ROUND(('Methodology &amp; Assumptions'!$B$5*V137) + ('Methodology &amp; Assumptions'!$B$6*W137), 2)</f>
        <v/>
      </c>
      <c r="Y137" s="28" t="n">
        <v>10.9</v>
      </c>
      <c r="Z137" s="11" t="inlineStr">
        <is>
          <t>Priority Tier 2 (Balanced Opportunity)</t>
        </is>
      </c>
    </row>
    <row r="138">
      <c r="A138" s="23" t="n">
        <v>3</v>
      </c>
      <c r="B138" s="23" t="n">
        <v>134</v>
      </c>
      <c r="C138" s="23" t="n">
        <v>2134</v>
      </c>
      <c r="D138" s="23" t="inlineStr">
        <is>
          <t>1381100147</t>
        </is>
      </c>
      <c r="E138" s="11" t="inlineStr">
        <is>
          <t>National Capital Region (NCR)</t>
        </is>
      </c>
      <c r="F138" s="11" t="inlineStr">
        <is>
          <t>Fourth District (Not a Province)</t>
        </is>
      </c>
      <c r="G138" s="11" t="inlineStr">
        <is>
          <t>Pasay City</t>
        </is>
      </c>
      <c r="H138" s="11" t="inlineStr">
        <is>
          <t>Barangay 147</t>
        </is>
      </c>
      <c r="I138" s="24" t="n">
        <v>14.536661</v>
      </c>
      <c r="J138" s="24" t="n">
        <v>121.002579</v>
      </c>
      <c r="K138" s="23" t="inlineStr">
        <is>
          <t>U</t>
        </is>
      </c>
      <c r="L138" s="25" t="n">
        <v>1321</v>
      </c>
      <c r="M138" s="26" t="n">
        <v>3.36</v>
      </c>
      <c r="N138" s="25">
        <f>ROUND(L138/M138, 0)</f>
        <v/>
      </c>
      <c r="O138" s="25">
        <f>ROUND(N138*'Methodology &amp; Assumptions'!$B$7, 0)</f>
        <v/>
      </c>
      <c r="P138" s="23" t="inlineStr">
        <is>
          <t>Single Carrier (Band n50, 100MHz TDD)</t>
        </is>
      </c>
      <c r="Q138" s="27">
        <f>ROUNDUP(O138/'Methodology &amp; Assumptions'!$B$8, 0)</f>
        <v/>
      </c>
      <c r="R138" s="27" t="n">
        <v>1</v>
      </c>
      <c r="S138" s="26" t="n">
        <v>1.14</v>
      </c>
      <c r="T138" s="26" t="n">
        <v>0.13</v>
      </c>
      <c r="U138" s="11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26" t="n">
        <v>52.59</v>
      </c>
      <c r="W138" s="26" t="n">
        <v>71.41</v>
      </c>
      <c r="X138" s="26">
        <f>ROUND(('Methodology &amp; Assumptions'!$B$5*V138) + ('Methodology &amp; Assumptions'!$B$6*W138), 2)</f>
        <v/>
      </c>
      <c r="Y138" s="28" t="n">
        <v>10.9</v>
      </c>
      <c r="Z138" s="11" t="inlineStr">
        <is>
          <t>Priority Tier 2 (Balanced Opportunity)</t>
        </is>
      </c>
    </row>
    <row r="139">
      <c r="A139" s="23" t="n">
        <v>3</v>
      </c>
      <c r="B139" s="23" t="n">
        <v>135</v>
      </c>
      <c r="C139" s="23" t="n">
        <v>2135</v>
      </c>
      <c r="D139" s="23" t="inlineStr">
        <is>
          <t>0405625013</t>
        </is>
      </c>
      <c r="E139" s="11" t="inlineStr">
        <is>
          <t>Region IV-A (CALABARZON)</t>
        </is>
      </c>
      <c r="F139" s="11" t="inlineStr">
        <is>
          <t>Quezon</t>
        </is>
      </c>
      <c r="G139" s="11" t="inlineStr">
        <is>
          <t>Macalelon</t>
        </is>
      </c>
      <c r="H139" s="11" t="inlineStr">
        <is>
          <t>Olongtao Ilaya</t>
        </is>
      </c>
      <c r="I139" s="24" t="n">
        <v>13.758898</v>
      </c>
      <c r="J139" s="24" t="n">
        <v>122.221447</v>
      </c>
      <c r="K139" s="23" t="inlineStr">
        <is>
          <t>R</t>
        </is>
      </c>
      <c r="L139" s="25" t="n">
        <v>747</v>
      </c>
      <c r="M139" s="26" t="n">
        <v>3.8</v>
      </c>
      <c r="N139" s="25">
        <f>ROUND(L139/M139, 0)</f>
        <v/>
      </c>
      <c r="O139" s="25">
        <f>ROUND(N139*'Methodology &amp; Assumptions'!$B$7, 0)</f>
        <v/>
      </c>
      <c r="P139" s="23" t="inlineStr">
        <is>
          <t>Single Carrier (Band n50, 100MHz TDD)</t>
        </is>
      </c>
      <c r="Q139" s="27">
        <f>ROUNDUP(O139/'Methodology &amp; Assumptions'!$B$8, 0)</f>
        <v/>
      </c>
      <c r="R139" s="27" t="n">
        <v>1</v>
      </c>
      <c r="S139" s="26" t="n">
        <v>9</v>
      </c>
      <c r="T139" s="26" t="n">
        <v>5.47</v>
      </c>
      <c r="U139" s="11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26" t="n">
        <v>45.5</v>
      </c>
      <c r="W139" s="26" t="n">
        <v>78.5</v>
      </c>
      <c r="X139" s="26">
        <f>ROUND(('Methodology &amp; Assumptions'!$B$5*V139) + ('Methodology &amp; Assumptions'!$B$6*W139), 2)</f>
        <v/>
      </c>
      <c r="Y139" s="28" t="n">
        <v>7.2</v>
      </c>
      <c r="Z139" s="11" t="inlineStr">
        <is>
          <t>Priority Tier 2 (Balanced Opportunity)</t>
        </is>
      </c>
    </row>
    <row r="140">
      <c r="A140" s="23" t="n">
        <v>3</v>
      </c>
      <c r="B140" s="23" t="n">
        <v>136</v>
      </c>
      <c r="C140" s="23" t="n">
        <v>2136</v>
      </c>
      <c r="D140" s="23" t="inlineStr">
        <is>
          <t>0401018003</t>
        </is>
      </c>
      <c r="E140" s="11" t="inlineStr">
        <is>
          <t>Region IV-A (CALABARZON)</t>
        </is>
      </c>
      <c r="F140" s="11" t="inlineStr">
        <is>
          <t>Batangas</t>
        </is>
      </c>
      <c r="G140" s="11" t="inlineStr">
        <is>
          <t>Mataasnakahoy</t>
        </is>
      </c>
      <c r="H140" s="11" t="inlineStr">
        <is>
          <t>District III</t>
        </is>
      </c>
      <c r="I140" s="24" t="n">
        <v>13.961752</v>
      </c>
      <c r="J140" s="24" t="n">
        <v>121.111606</v>
      </c>
      <c r="K140" s="23" t="inlineStr">
        <is>
          <t>R</t>
        </is>
      </c>
      <c r="L140" s="25" t="n">
        <v>3485</v>
      </c>
      <c r="M140" s="26" t="n">
        <v>3.6</v>
      </c>
      <c r="N140" s="25">
        <f>ROUND(L140/M140, 0)</f>
        <v/>
      </c>
      <c r="O140" s="25">
        <f>ROUND(N140*'Methodology &amp; Assumptions'!$B$7, 0)</f>
        <v/>
      </c>
      <c r="P140" s="23" t="inlineStr">
        <is>
          <t>Single Carrier (Band n50, 100MHz TDD)</t>
        </is>
      </c>
      <c r="Q140" s="27">
        <f>ROUNDUP(O140/'Methodology &amp; Assumptions'!$B$8, 0)</f>
        <v/>
      </c>
      <c r="R140" s="27" t="n">
        <v>1</v>
      </c>
      <c r="S140" s="26" t="n">
        <v>0.64</v>
      </c>
      <c r="T140" s="26" t="n">
        <v>2.67</v>
      </c>
      <c r="U140" s="11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26" t="n">
        <v>82.77</v>
      </c>
      <c r="W140" s="26" t="n">
        <v>41.21</v>
      </c>
      <c r="X140" s="26">
        <f>ROUND(('Methodology &amp; Assumptions'!$B$5*V140) + ('Methodology &amp; Assumptions'!$B$6*W140), 2)</f>
        <v/>
      </c>
      <c r="Y140" s="28" t="n">
        <v>7.2</v>
      </c>
      <c r="Z140" s="11" t="inlineStr">
        <is>
          <t>Priority Tier 2 (Balanced Opportunity)</t>
        </is>
      </c>
    </row>
    <row r="141">
      <c r="A141" s="23" t="n">
        <v>3</v>
      </c>
      <c r="B141" s="23" t="n">
        <v>137</v>
      </c>
      <c r="C141" s="23" t="n">
        <v>2137</v>
      </c>
      <c r="D141" s="23" t="inlineStr">
        <is>
          <t>0301404012</t>
        </is>
      </c>
      <c r="E141" s="11" t="inlineStr">
        <is>
          <t>Region III (Central Luzon)</t>
        </is>
      </c>
      <c r="F141" s="11" t="inlineStr">
        <is>
          <t>Bulacan</t>
        </is>
      </c>
      <c r="G141" s="11" t="inlineStr">
        <is>
          <t>Bocaue</t>
        </is>
      </c>
      <c r="H141" s="11" t="inlineStr">
        <is>
          <t>Igulot</t>
        </is>
      </c>
      <c r="I141" s="24" t="n">
        <v>14.790652</v>
      </c>
      <c r="J141" s="24" t="n">
        <v>120.938159</v>
      </c>
      <c r="K141" s="23" t="inlineStr">
        <is>
          <t>R</t>
        </is>
      </c>
      <c r="L141" s="25" t="n">
        <v>1956</v>
      </c>
      <c r="M141" s="26" t="n">
        <v>3.5</v>
      </c>
      <c r="N141" s="25">
        <f>ROUND(L141/M141, 0)</f>
        <v/>
      </c>
      <c r="O141" s="25">
        <f>ROUND(N141*'Methodology &amp; Assumptions'!$B$7, 0)</f>
        <v/>
      </c>
      <c r="P141" s="23" t="inlineStr">
        <is>
          <t>Single Carrier (Band n50, 100MHz TDD)</t>
        </is>
      </c>
      <c r="Q141" s="27">
        <f>ROUNDUP(O141/'Methodology &amp; Assumptions'!$B$8, 0)</f>
        <v/>
      </c>
      <c r="R141" s="27" t="n">
        <v>1</v>
      </c>
      <c r="S141" s="26" t="n">
        <v>1.28</v>
      </c>
      <c r="T141" s="26" t="n">
        <v>0.64</v>
      </c>
      <c r="U141" s="11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26" t="n">
        <v>75.56</v>
      </c>
      <c r="W141" s="26" t="n">
        <v>48.42</v>
      </c>
      <c r="X141" s="26">
        <f>ROUND(('Methodology &amp; Assumptions'!$B$5*V141) + ('Methodology &amp; Assumptions'!$B$6*W141), 2)</f>
        <v/>
      </c>
      <c r="Y141" s="28" t="n">
        <v>8.300000000000001</v>
      </c>
      <c r="Z141" s="11" t="inlineStr">
        <is>
          <t>Priority Tier 2 (Balanced Opportunity)</t>
        </is>
      </c>
    </row>
    <row r="142">
      <c r="A142" s="23" t="n">
        <v>3</v>
      </c>
      <c r="B142" s="23" t="n">
        <v>138</v>
      </c>
      <c r="C142" s="23" t="n">
        <v>2138</v>
      </c>
      <c r="D142" s="23" t="inlineStr">
        <is>
          <t>0405804041</t>
        </is>
      </c>
      <c r="E142" s="11" t="inlineStr">
        <is>
          <t>Region IV-A (CALABARZON)</t>
        </is>
      </c>
      <c r="F142" s="11" t="inlineStr">
        <is>
          <t>Rizal</t>
        </is>
      </c>
      <c r="G142" s="11" t="inlineStr">
        <is>
          <t>Binangonan</t>
        </is>
      </c>
      <c r="H142" s="11" t="inlineStr">
        <is>
          <t>San Carlos</t>
        </is>
      </c>
      <c r="I142" s="24" t="n">
        <v>14.514525</v>
      </c>
      <c r="J142" s="24" t="n">
        <v>121.166897</v>
      </c>
      <c r="K142" s="23" t="inlineStr">
        <is>
          <t>U</t>
        </is>
      </c>
      <c r="L142" s="25" t="n">
        <v>13488</v>
      </c>
      <c r="M142" s="26" t="n">
        <v>3.6</v>
      </c>
      <c r="N142" s="25">
        <f>ROUND(L142/M142, 0)</f>
        <v/>
      </c>
      <c r="O142" s="25">
        <f>ROUND(N142*'Methodology &amp; Assumptions'!$B$7, 0)</f>
        <v/>
      </c>
      <c r="P142" s="23" t="inlineStr">
        <is>
          <t>Single Carrier (Band n50, 100MHz TDD)</t>
        </is>
      </c>
      <c r="Q142" s="27">
        <f>ROUNDUP(O142/'Methodology &amp; Assumptions'!$B$8, 0)</f>
        <v/>
      </c>
      <c r="R142" s="27" t="n">
        <v>1</v>
      </c>
      <c r="S142" s="26" t="n">
        <v>1.95</v>
      </c>
      <c r="T142" s="26" t="n">
        <v>0.37</v>
      </c>
      <c r="U142" s="11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26" t="n">
        <v>74.18000000000001</v>
      </c>
      <c r="W142" s="26" t="n">
        <v>49.8</v>
      </c>
      <c r="X142" s="26">
        <f>ROUND(('Methodology &amp; Assumptions'!$B$5*V142) + ('Methodology &amp; Assumptions'!$B$6*W142), 2)</f>
        <v/>
      </c>
      <c r="Y142" s="28" t="n">
        <v>7.2</v>
      </c>
      <c r="Z142" s="11" t="inlineStr">
        <is>
          <t>Priority Tier 2 (Balanced Opportunity)</t>
        </is>
      </c>
    </row>
    <row r="143">
      <c r="A143" s="23" t="n">
        <v>3</v>
      </c>
      <c r="B143" s="23" t="n">
        <v>139</v>
      </c>
      <c r="C143" s="23" t="n">
        <v>2139</v>
      </c>
      <c r="D143" s="23" t="inlineStr">
        <is>
          <t>0301410042</t>
        </is>
      </c>
      <c r="E143" s="11" t="inlineStr">
        <is>
          <t>Region III (Central Luzon)</t>
        </is>
      </c>
      <c r="F143" s="11" t="inlineStr">
        <is>
          <t>Bulacan</t>
        </is>
      </c>
      <c r="G143" s="11" t="inlineStr">
        <is>
          <t>City of Malolos</t>
        </is>
      </c>
      <c r="H143" s="11" t="inlineStr">
        <is>
          <t>San Gabriel</t>
        </is>
      </c>
      <c r="I143" s="24" t="n">
        <v>14.847782</v>
      </c>
      <c r="J143" s="24" t="n">
        <v>120.812326</v>
      </c>
      <c r="K143" s="23" t="inlineStr">
        <is>
          <t>U</t>
        </is>
      </c>
      <c r="L143" s="25" t="n">
        <v>2103</v>
      </c>
      <c r="M143" s="26" t="n">
        <v>3.5</v>
      </c>
      <c r="N143" s="25">
        <f>ROUND(L143/M143, 0)</f>
        <v/>
      </c>
      <c r="O143" s="25">
        <f>ROUND(N143*'Methodology &amp; Assumptions'!$B$7, 0)</f>
        <v/>
      </c>
      <c r="P143" s="23" t="inlineStr">
        <is>
          <t>Single Carrier (Band n50, 100MHz TDD)</t>
        </is>
      </c>
      <c r="Q143" s="27">
        <f>ROUNDUP(O143/'Methodology &amp; Assumptions'!$B$8, 0)</f>
        <v/>
      </c>
      <c r="R143" s="27" t="n">
        <v>1</v>
      </c>
      <c r="S143" s="26" t="n">
        <v>0.83</v>
      </c>
      <c r="T143" s="26" t="n">
        <v>0.55</v>
      </c>
      <c r="U143" s="11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26" t="n">
        <v>71.31999999999999</v>
      </c>
      <c r="W143" s="26" t="n">
        <v>52.66</v>
      </c>
      <c r="X143" s="26">
        <f>ROUND(('Methodology &amp; Assumptions'!$B$5*V143) + ('Methodology &amp; Assumptions'!$B$6*W143), 2)</f>
        <v/>
      </c>
      <c r="Y143" s="28" t="n">
        <v>8.300000000000001</v>
      </c>
      <c r="Z143" s="11" t="inlineStr">
        <is>
          <t>Priority Tier 2 (Balanced Opportunity)</t>
        </is>
      </c>
    </row>
    <row r="144">
      <c r="A144" s="23" t="n">
        <v>3</v>
      </c>
      <c r="B144" s="23" t="n">
        <v>140</v>
      </c>
      <c r="C144" s="23" t="n">
        <v>2140</v>
      </c>
      <c r="D144" s="23" t="inlineStr">
        <is>
          <t>1908709009</t>
        </is>
      </c>
      <c r="E144" s="11" t="inlineStr">
        <is>
          <t>Bangsamoro Autonomous Region In Muslim Mindanao (BARMM)</t>
        </is>
      </c>
      <c r="F144" s="11" t="inlineStr">
        <is>
          <t>Maguindanao del Norte</t>
        </is>
      </c>
      <c r="G144" s="11" t="inlineStr">
        <is>
          <t>Parang</t>
        </is>
      </c>
      <c r="H144" s="11" t="inlineStr">
        <is>
          <t>Kabuan</t>
        </is>
      </c>
      <c r="I144" s="24" t="n">
        <v>7.349612</v>
      </c>
      <c r="J144" s="24" t="n">
        <v>124.368956</v>
      </c>
      <c r="K144" s="23" t="inlineStr">
        <is>
          <t>R</t>
        </is>
      </c>
      <c r="L144" s="25" t="n">
        <v>3495</v>
      </c>
      <c r="M144" s="26" t="n">
        <v>4.3</v>
      </c>
      <c r="N144" s="25">
        <f>ROUND(L144/M144, 0)</f>
        <v/>
      </c>
      <c r="O144" s="25">
        <f>ROUND(N144*'Methodology &amp; Assumptions'!$B$7, 0)</f>
        <v/>
      </c>
      <c r="P144" s="23" t="inlineStr">
        <is>
          <t>Single Carrier (Band n50, 100MHz TDD)</t>
        </is>
      </c>
      <c r="Q144" s="27">
        <f>ROUNDUP(O144/'Methodology &amp; Assumptions'!$B$8, 0)</f>
        <v/>
      </c>
      <c r="R144" s="27" t="n">
        <v>1</v>
      </c>
      <c r="S144" s="26" t="n">
        <v>49.94</v>
      </c>
      <c r="T144" s="26" t="n">
        <v>44.91</v>
      </c>
      <c r="U144" s="11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26" t="n">
        <v>57.18</v>
      </c>
      <c r="W144" s="26" t="n">
        <v>66.8</v>
      </c>
      <c r="X144" s="26">
        <f>ROUND(('Methodology &amp; Assumptions'!$B$5*V144) + ('Methodology &amp; Assumptions'!$B$6*W144), 2)</f>
        <v/>
      </c>
      <c r="Y144" s="28" t="n">
        <v>11</v>
      </c>
      <c r="Z144" s="11" t="inlineStr">
        <is>
          <t>Priority Tier 2 (Balanced Opportunity)</t>
        </is>
      </c>
    </row>
    <row r="145">
      <c r="A145" s="23" t="n">
        <v>3</v>
      </c>
      <c r="B145" s="23" t="n">
        <v>141</v>
      </c>
      <c r="C145" s="23" t="n">
        <v>2141</v>
      </c>
      <c r="D145" s="23" t="inlineStr">
        <is>
          <t>1380606040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434</t>
        </is>
      </c>
      <c r="I145" s="24" t="n">
        <v>14.605715</v>
      </c>
      <c r="J145" s="24" t="n">
        <v>120.995991</v>
      </c>
      <c r="K145" s="23" t="inlineStr">
        <is>
          <t>U</t>
        </is>
      </c>
      <c r="L145" s="25" t="n">
        <v>1582</v>
      </c>
      <c r="M145" s="26" t="n">
        <v>4.09</v>
      </c>
      <c r="N145" s="25">
        <f>ROUND(L145/M145, 0)</f>
        <v/>
      </c>
      <c r="O145" s="25">
        <f>ROUND(N145*'Methodology &amp; Assumptions'!$B$7, 0)</f>
        <v/>
      </c>
      <c r="P145" s="23" t="inlineStr">
        <is>
          <t>Single Carrier (Band n50, 100MHz TDD)</t>
        </is>
      </c>
      <c r="Q145" s="27">
        <f>ROUNDUP(O145/'Methodology &amp; Assumptions'!$B$8, 0)</f>
        <v/>
      </c>
      <c r="R145" s="27" t="n">
        <v>1</v>
      </c>
      <c r="S145" s="26" t="n">
        <v>0.59</v>
      </c>
      <c r="T145" s="26" t="n">
        <v>0.17</v>
      </c>
      <c r="U145" s="11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26" t="n">
        <v>53.52</v>
      </c>
      <c r="W145" s="26" t="n">
        <v>70.47</v>
      </c>
      <c r="X145" s="26">
        <f>ROUND(('Methodology &amp; Assumptions'!$B$5*V145) + ('Methodology &amp; Assumptions'!$B$6*W145), 2)</f>
        <v/>
      </c>
      <c r="Y145" s="28" t="n">
        <v>10.9</v>
      </c>
      <c r="Z145" s="11" t="inlineStr">
        <is>
          <t>Priority Tier 2 (Balanced Opportunity)</t>
        </is>
      </c>
    </row>
    <row r="146">
      <c r="A146" s="23" t="n">
        <v>3</v>
      </c>
      <c r="B146" s="23" t="n">
        <v>142</v>
      </c>
      <c r="C146" s="23" t="n">
        <v>2142</v>
      </c>
      <c r="D146" s="23" t="inlineStr">
        <is>
          <t>1380601083</t>
        </is>
      </c>
      <c r="E146" s="11" t="inlineStr">
        <is>
          <t>National Capital Region (NCR)</t>
        </is>
      </c>
      <c r="F146" s="11" t="inlineStr">
        <is>
          <t>First District (Not a Province)</t>
        </is>
      </c>
      <c r="G146" s="11" t="inlineStr">
        <is>
          <t>City of Manila</t>
        </is>
      </c>
      <c r="H146" s="11" t="inlineStr">
        <is>
          <t>Barangay 83</t>
        </is>
      </c>
      <c r="I146" s="24" t="n">
        <v>14.617928</v>
      </c>
      <c r="J146" s="24" t="n">
        <v>120.967144</v>
      </c>
      <c r="K146" s="23" t="inlineStr">
        <is>
          <t>U</t>
        </is>
      </c>
      <c r="L146" s="25" t="n">
        <v>1658</v>
      </c>
      <c r="M146" s="26" t="n">
        <v>4.48</v>
      </c>
      <c r="N146" s="25">
        <f>ROUND(L146/M146, 0)</f>
        <v/>
      </c>
      <c r="O146" s="25">
        <f>ROUND(N146*'Methodology &amp; Assumptions'!$B$7, 0)</f>
        <v/>
      </c>
      <c r="P146" s="23" t="inlineStr">
        <is>
          <t>Single Carrier (Band n50, 100MHz TDD)</t>
        </is>
      </c>
      <c r="Q146" s="27">
        <f>ROUNDUP(O146/'Methodology &amp; Assumptions'!$B$8, 0)</f>
        <v/>
      </c>
      <c r="R146" s="27" t="n">
        <v>1</v>
      </c>
      <c r="S146" s="26" t="n">
        <v>0.48</v>
      </c>
      <c r="T146" s="26" t="n">
        <v>0.17</v>
      </c>
      <c r="U146" s="11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26" t="n">
        <v>52.98</v>
      </c>
      <c r="W146" s="26" t="n">
        <v>71</v>
      </c>
      <c r="X146" s="26">
        <f>ROUND(('Methodology &amp; Assumptions'!$B$5*V146) + ('Methodology &amp; Assumptions'!$B$6*W146), 2)</f>
        <v/>
      </c>
      <c r="Y146" s="28" t="n">
        <v>10.9</v>
      </c>
      <c r="Z146" s="11" t="inlineStr">
        <is>
          <t>Priority Tier 2 (Balanced Opportunity)</t>
        </is>
      </c>
    </row>
    <row r="147">
      <c r="A147" s="23" t="n">
        <v>3</v>
      </c>
      <c r="B147" s="23" t="n">
        <v>143</v>
      </c>
      <c r="C147" s="23" t="n">
        <v>2143</v>
      </c>
      <c r="D147" s="23" t="inlineStr">
        <is>
          <t>1402706020</t>
        </is>
      </c>
      <c r="E147" s="11" t="inlineStr">
        <is>
          <t>Cordillera Administrative Region (CAR)</t>
        </is>
      </c>
      <c r="F147" s="11" t="inlineStr">
        <is>
          <t>Ifugao</t>
        </is>
      </c>
      <c r="G147" s="11" t="inlineStr">
        <is>
          <t>Mayoyao</t>
        </is>
      </c>
      <c r="H147" s="11" t="inlineStr">
        <is>
          <t>Maga</t>
        </is>
      </c>
      <c r="I147" s="24" t="n">
        <v>16.975853</v>
      </c>
      <c r="J147" s="24" t="n">
        <v>121.172094</v>
      </c>
      <c r="K147" s="23" t="inlineStr">
        <is>
          <t>R</t>
        </is>
      </c>
      <c r="L147" s="25" t="n">
        <v>425</v>
      </c>
      <c r="M147" s="26" t="n">
        <v>3.9</v>
      </c>
      <c r="N147" s="25">
        <f>ROUND(L147/M147, 0)</f>
        <v/>
      </c>
      <c r="O147" s="25">
        <f>ROUND(N147*'Methodology &amp; Assumptions'!$B$7, 0)</f>
        <v/>
      </c>
      <c r="P147" s="23" t="inlineStr">
        <is>
          <t>Single Carrier (Band n50, 100MHz TDD)</t>
        </is>
      </c>
      <c r="Q147" s="27">
        <f>ROUNDUP(O147/'Methodology &amp; Assumptions'!$B$8, 0)</f>
        <v/>
      </c>
      <c r="R147" s="27" t="n">
        <v>1</v>
      </c>
      <c r="S147" s="26" t="n">
        <v>5.29</v>
      </c>
      <c r="T147" s="26" t="n">
        <v>12.65</v>
      </c>
      <c r="U147" s="11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26" t="n">
        <v>46.11</v>
      </c>
      <c r="W147" s="26" t="n">
        <v>77.87</v>
      </c>
      <c r="X147" s="26">
        <f>ROUND(('Methodology &amp; Assumptions'!$B$5*V147) + ('Methodology &amp; Assumptions'!$B$6*W147), 2)</f>
        <v/>
      </c>
      <c r="Y147" s="28" t="n">
        <v>10.9</v>
      </c>
      <c r="Z147" s="11" t="inlineStr">
        <is>
          <t>Priority Tier 2 (Balanced Opportunity)</t>
        </is>
      </c>
    </row>
    <row r="148">
      <c r="A148" s="23" t="n">
        <v>3</v>
      </c>
      <c r="B148" s="23" t="n">
        <v>144</v>
      </c>
      <c r="C148" s="23" t="n">
        <v>2144</v>
      </c>
      <c r="D148" s="23" t="inlineStr">
        <is>
          <t>0300809009</t>
        </is>
      </c>
      <c r="E148" s="11" t="inlineStr">
        <is>
          <t>Region III (Central Luzon)</t>
        </is>
      </c>
      <c r="F148" s="11" t="inlineStr">
        <is>
          <t>Bataan</t>
        </is>
      </c>
      <c r="G148" s="11" t="inlineStr">
        <is>
          <t>Orani</t>
        </is>
      </c>
      <c r="H148" s="11" t="inlineStr">
        <is>
          <t>Masantol</t>
        </is>
      </c>
      <c r="I148" s="24" t="n">
        <v>14.802553</v>
      </c>
      <c r="J148" s="24" t="n">
        <v>120.535503</v>
      </c>
      <c r="K148" s="23" t="inlineStr">
        <is>
          <t>R</t>
        </is>
      </c>
      <c r="L148" s="25" t="n">
        <v>554</v>
      </c>
      <c r="M148" s="26" t="n">
        <v>3.6</v>
      </c>
      <c r="N148" s="25">
        <f>ROUND(L148/M148, 0)</f>
        <v/>
      </c>
      <c r="O148" s="25">
        <f>ROUND(N148*'Methodology &amp; Assumptions'!$B$7, 0)</f>
        <v/>
      </c>
      <c r="P148" s="23" t="inlineStr">
        <is>
          <t>Single Carrier (Band n50, 100MHz TDD)</t>
        </is>
      </c>
      <c r="Q148" s="27">
        <f>ROUNDUP(O148/'Methodology &amp; Assumptions'!$B$8, 0)</f>
        <v/>
      </c>
      <c r="R148" s="27" t="n">
        <v>1</v>
      </c>
      <c r="S148" s="26" t="n">
        <v>0.1</v>
      </c>
      <c r="T148" s="26" t="n">
        <v>0.1</v>
      </c>
      <c r="U148" s="11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26" t="n">
        <v>64.01000000000001</v>
      </c>
      <c r="W148" s="26" t="n">
        <v>59.95</v>
      </c>
      <c r="X148" s="26">
        <f>ROUND(('Methodology &amp; Assumptions'!$B$5*V148) + ('Methodology &amp; Assumptions'!$B$6*W148), 2)</f>
        <v/>
      </c>
      <c r="Y148" s="28" t="n">
        <v>8.300000000000001</v>
      </c>
      <c r="Z148" s="11" t="inlineStr">
        <is>
          <t>Priority Tier 2 (Balanced Opportunity)</t>
        </is>
      </c>
    </row>
    <row r="149">
      <c r="A149" s="23" t="n">
        <v>3</v>
      </c>
      <c r="B149" s="23" t="n">
        <v>145</v>
      </c>
      <c r="C149" s="23" t="n">
        <v>2145</v>
      </c>
      <c r="D149" s="23" t="inlineStr">
        <is>
          <t>1380606174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568</t>
        </is>
      </c>
      <c r="I149" s="24" t="n">
        <v>14.609179</v>
      </c>
      <c r="J149" s="24" t="n">
        <v>121.008995</v>
      </c>
      <c r="K149" s="23" t="inlineStr">
        <is>
          <t>U</t>
        </is>
      </c>
      <c r="L149" s="25" t="n">
        <v>1881</v>
      </c>
      <c r="M149" s="26" t="n">
        <v>4.32</v>
      </c>
      <c r="N149" s="25">
        <f>ROUND(L149/M149, 0)</f>
        <v/>
      </c>
      <c r="O149" s="25">
        <f>ROUND(N149*'Methodology &amp; Assumptions'!$B$7, 0)</f>
        <v/>
      </c>
      <c r="P149" s="23" t="inlineStr">
        <is>
          <t>Single Carrier (Band n50, 100MHz TDD)</t>
        </is>
      </c>
      <c r="Q149" s="27">
        <f>ROUNDUP(O149/'Methodology &amp; Assumptions'!$B$8, 0)</f>
        <v/>
      </c>
      <c r="R149" s="27" t="n">
        <v>1</v>
      </c>
      <c r="S149" s="26" t="n">
        <v>0.6</v>
      </c>
      <c r="T149" s="26" t="n">
        <v>0.45</v>
      </c>
      <c r="U149" s="11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26" t="n">
        <v>55.02</v>
      </c>
      <c r="W149" s="26" t="n">
        <v>68.95</v>
      </c>
      <c r="X149" s="26">
        <f>ROUND(('Methodology &amp; Assumptions'!$B$5*V149) + ('Methodology &amp; Assumptions'!$B$6*W149), 2)</f>
        <v/>
      </c>
      <c r="Y149" s="28" t="n">
        <v>10.9</v>
      </c>
      <c r="Z149" s="11" t="inlineStr">
        <is>
          <t>Priority Tier 2 (Balanced Opportunity)</t>
        </is>
      </c>
    </row>
    <row r="150">
      <c r="A150" s="23" t="n">
        <v>3</v>
      </c>
      <c r="B150" s="23" t="n">
        <v>146</v>
      </c>
      <c r="C150" s="23" t="n">
        <v>2146</v>
      </c>
      <c r="D150" s="23" t="inlineStr">
        <is>
          <t>1380612001</t>
        </is>
      </c>
      <c r="E150" s="11" t="inlineStr">
        <is>
          <t>National Capital Region (NCR)</t>
        </is>
      </c>
      <c r="F150" s="11" t="inlineStr">
        <is>
          <t>First District (Not a Province)</t>
        </is>
      </c>
      <c r="G150" s="11" t="inlineStr">
        <is>
          <t>City of Manila</t>
        </is>
      </c>
      <c r="H150" s="11" t="inlineStr">
        <is>
          <t>Barangay 833</t>
        </is>
      </c>
      <c r="I150" s="24" t="n">
        <v>14.593444</v>
      </c>
      <c r="J150" s="24" t="n">
        <v>121.003599</v>
      </c>
      <c r="K150" s="23" t="inlineStr">
        <is>
          <t>U</t>
        </is>
      </c>
      <c r="L150" s="25" t="n">
        <v>1517</v>
      </c>
      <c r="M150" s="26" t="n">
        <v>3.77</v>
      </c>
      <c r="N150" s="25">
        <f>ROUND(L150/M150, 0)</f>
        <v/>
      </c>
      <c r="O150" s="25">
        <f>ROUND(N150*'Methodology &amp; Assumptions'!$B$7, 0)</f>
        <v/>
      </c>
      <c r="P150" s="23" t="inlineStr">
        <is>
          <t>Single Carrier (Band n50, 100MHz TDD)</t>
        </is>
      </c>
      <c r="Q150" s="27">
        <f>ROUNDUP(O150/'Methodology &amp; Assumptions'!$B$8, 0)</f>
        <v/>
      </c>
      <c r="R150" s="27" t="n">
        <v>1</v>
      </c>
      <c r="S150" s="26" t="n">
        <v>0.96</v>
      </c>
      <c r="T150" s="26" t="n">
        <v>0.2</v>
      </c>
      <c r="U150" s="11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26" t="n">
        <v>53.59</v>
      </c>
      <c r="W150" s="26" t="n">
        <v>70.37</v>
      </c>
      <c r="X150" s="26">
        <f>ROUND(('Methodology &amp; Assumptions'!$B$5*V150) + ('Methodology &amp; Assumptions'!$B$6*W150), 2)</f>
        <v/>
      </c>
      <c r="Y150" s="28" t="n">
        <v>10.9</v>
      </c>
      <c r="Z150" s="11" t="inlineStr">
        <is>
          <t>Priority Tier 2 (Balanced Opportunity)</t>
        </is>
      </c>
    </row>
    <row r="151">
      <c r="A151" s="23" t="n">
        <v>3</v>
      </c>
      <c r="B151" s="23" t="n">
        <v>147</v>
      </c>
      <c r="C151" s="23" t="n">
        <v>2147</v>
      </c>
      <c r="D151" s="23" t="inlineStr">
        <is>
          <t>1380611008</t>
        </is>
      </c>
      <c r="E151" s="11" t="inlineStr">
        <is>
          <t>National Capital Region (NCR)</t>
        </is>
      </c>
      <c r="F151" s="11" t="inlineStr">
        <is>
          <t>First District (Not a Province)</t>
        </is>
      </c>
      <c r="G151" s="11" t="inlineStr">
        <is>
          <t>City of Manila</t>
        </is>
      </c>
      <c r="H151" s="11" t="inlineStr">
        <is>
          <t>Barangay 674</t>
        </is>
      </c>
      <c r="I151" s="24" t="n">
        <v>14.582606</v>
      </c>
      <c r="J151" s="24" t="n">
        <v>120.989633</v>
      </c>
      <c r="K151" s="23" t="inlineStr">
        <is>
          <t>U</t>
        </is>
      </c>
      <c r="L151" s="25" t="n">
        <v>1629</v>
      </c>
      <c r="M151" s="26" t="n">
        <v>4</v>
      </c>
      <c r="N151" s="25">
        <f>ROUND(L151/M151, 0)</f>
        <v/>
      </c>
      <c r="O151" s="25">
        <f>ROUND(N151*'Methodology &amp; Assumptions'!$B$7, 0)</f>
        <v/>
      </c>
      <c r="P151" s="23" t="inlineStr">
        <is>
          <t>Single Carrier (Band n50, 100MHz TDD)</t>
        </is>
      </c>
      <c r="Q151" s="27">
        <f>ROUNDUP(O151/'Methodology &amp; Assumptions'!$B$8, 0)</f>
        <v/>
      </c>
      <c r="R151" s="27" t="n">
        <v>1</v>
      </c>
      <c r="S151" s="26" t="n">
        <v>1.05</v>
      </c>
      <c r="T151" s="26" t="n">
        <v>0.08</v>
      </c>
      <c r="U151" s="11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26" t="n">
        <v>53.34</v>
      </c>
      <c r="W151" s="26" t="n">
        <v>70.61</v>
      </c>
      <c r="X151" s="26">
        <f>ROUND(('Methodology &amp; Assumptions'!$B$5*V151) + ('Methodology &amp; Assumptions'!$B$6*W151), 2)</f>
        <v/>
      </c>
      <c r="Y151" s="28" t="n">
        <v>10.9</v>
      </c>
      <c r="Z151" s="11" t="inlineStr">
        <is>
          <t>Priority Tier 2 (Balanced Opportunity)</t>
        </is>
      </c>
    </row>
    <row r="152">
      <c r="A152" s="23" t="n">
        <v>3</v>
      </c>
      <c r="B152" s="23" t="n">
        <v>148</v>
      </c>
      <c r="C152" s="23" t="n">
        <v>2148</v>
      </c>
      <c r="D152" s="23" t="inlineStr">
        <is>
          <t>1380601131</t>
        </is>
      </c>
      <c r="E152" s="11" t="inlineStr">
        <is>
          <t>National Capital Region (NCR)</t>
        </is>
      </c>
      <c r="F152" s="11" t="inlineStr">
        <is>
          <t>First District (Not a Province)</t>
        </is>
      </c>
      <c r="G152" s="11" t="inlineStr">
        <is>
          <t>City of Manila</t>
        </is>
      </c>
      <c r="H152" s="11" t="inlineStr">
        <is>
          <t>Barangay 131</t>
        </is>
      </c>
      <c r="I152" s="24" t="n">
        <v>14.630682</v>
      </c>
      <c r="J152" s="24" t="n">
        <v>120.965856</v>
      </c>
      <c r="K152" s="23" t="inlineStr">
        <is>
          <t>U</t>
        </is>
      </c>
      <c r="L152" s="25" t="n">
        <v>1258</v>
      </c>
      <c r="M152" s="26" t="n">
        <v>3.71</v>
      </c>
      <c r="N152" s="25">
        <f>ROUND(L152/M152, 0)</f>
        <v/>
      </c>
      <c r="O152" s="25">
        <f>ROUND(N152*'Methodology &amp; Assumptions'!$B$7, 0)</f>
        <v/>
      </c>
      <c r="P152" s="23" t="inlineStr">
        <is>
          <t>Single Carrier (Band n50, 100MHz TDD)</t>
        </is>
      </c>
      <c r="Q152" s="27">
        <f>ROUNDUP(O152/'Methodology &amp; Assumptions'!$B$8, 0)</f>
        <v/>
      </c>
      <c r="R152" s="27" t="n">
        <v>1</v>
      </c>
      <c r="S152" s="26" t="n">
        <v>0.91</v>
      </c>
      <c r="T152" s="26" t="n">
        <v>0.24</v>
      </c>
      <c r="U152" s="11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26" t="n">
        <v>51.76</v>
      </c>
      <c r="W152" s="26" t="n">
        <v>72.20999999999999</v>
      </c>
      <c r="X152" s="26">
        <f>ROUND(('Methodology &amp; Assumptions'!$B$5*V152) + ('Methodology &amp; Assumptions'!$B$6*W152), 2)</f>
        <v/>
      </c>
      <c r="Y152" s="28" t="n">
        <v>10.9</v>
      </c>
      <c r="Z152" s="11" t="inlineStr">
        <is>
          <t>Priority Tier 2 (Balanced Opportunity)</t>
        </is>
      </c>
    </row>
    <row r="153">
      <c r="A153" s="23" t="n">
        <v>3</v>
      </c>
      <c r="B153" s="23" t="n">
        <v>149</v>
      </c>
      <c r="C153" s="23" t="n">
        <v>2149</v>
      </c>
      <c r="D153" s="23" t="inlineStr">
        <is>
          <t>0401017020</t>
        </is>
      </c>
      <c r="E153" s="11" t="inlineStr">
        <is>
          <t>Region IV-A (CALABARZON)</t>
        </is>
      </c>
      <c r="F153" s="11" t="inlineStr">
        <is>
          <t>Batangas</t>
        </is>
      </c>
      <c r="G153" s="11" t="inlineStr">
        <is>
          <t>Malvar</t>
        </is>
      </c>
      <c r="H153" s="11" t="inlineStr">
        <is>
          <t>Santiago</t>
        </is>
      </c>
      <c r="I153" s="24" t="n">
        <v>14.014508</v>
      </c>
      <c r="J153" s="24" t="n">
        <v>121.162619</v>
      </c>
      <c r="K153" s="23" t="inlineStr">
        <is>
          <t>U</t>
        </is>
      </c>
      <c r="L153" s="25" t="n">
        <v>8479</v>
      </c>
      <c r="M153" s="26" t="n">
        <v>3.6</v>
      </c>
      <c r="N153" s="25">
        <f>ROUND(L153/M153, 0)</f>
        <v/>
      </c>
      <c r="O153" s="25">
        <f>ROUND(N153*'Methodology &amp; Assumptions'!$B$7, 0)</f>
        <v/>
      </c>
      <c r="P153" s="23" t="inlineStr">
        <is>
          <t>Single Carrier (Band n50, 100MHz TDD)</t>
        </is>
      </c>
      <c r="Q153" s="27">
        <f>ROUNDUP(O153/'Methodology &amp; Assumptions'!$B$8, 0)</f>
        <v/>
      </c>
      <c r="R153" s="27" t="n">
        <v>1</v>
      </c>
      <c r="S153" s="26" t="n">
        <v>0.66</v>
      </c>
      <c r="T153" s="26" t="n">
        <v>0.2</v>
      </c>
      <c r="U153" s="11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26" t="n">
        <v>78.26000000000001</v>
      </c>
      <c r="W153" s="26" t="n">
        <v>45.68</v>
      </c>
      <c r="X153" s="26">
        <f>ROUND(('Methodology &amp; Assumptions'!$B$5*V153) + ('Methodology &amp; Assumptions'!$B$6*W153), 2)</f>
        <v/>
      </c>
      <c r="Y153" s="28" t="n">
        <v>7.2</v>
      </c>
      <c r="Z153" s="11" t="inlineStr">
        <is>
          <t>Priority Tier 2 (Balanced Opportunity)</t>
        </is>
      </c>
    </row>
    <row r="154">
      <c r="A154" s="23" t="n">
        <v>3</v>
      </c>
      <c r="B154" s="23" t="n">
        <v>150</v>
      </c>
      <c r="C154" s="23" t="n">
        <v>2150</v>
      </c>
      <c r="D154" s="23" t="inlineStr">
        <is>
          <t>0405622027</t>
        </is>
      </c>
      <c r="E154" s="11" t="inlineStr">
        <is>
          <t>Region IV-A (CALABARZON)</t>
        </is>
      </c>
      <c r="F154" s="11" t="inlineStr">
        <is>
          <t>Quezon</t>
        </is>
      </c>
      <c r="G154" s="11" t="inlineStr">
        <is>
          <t>Lopez</t>
        </is>
      </c>
      <c r="H154" s="11" t="inlineStr">
        <is>
          <t>Danlagan</t>
        </is>
      </c>
      <c r="I154" s="24" t="n">
        <v>13.886389</v>
      </c>
      <c r="J154" s="24" t="n">
        <v>122.2675</v>
      </c>
      <c r="K154" s="23" t="inlineStr">
        <is>
          <t>U</t>
        </is>
      </c>
      <c r="L154" s="25" t="n">
        <v>2848</v>
      </c>
      <c r="M154" s="26" t="n">
        <v>3.8</v>
      </c>
      <c r="N154" s="25">
        <f>ROUND(L154/M154, 0)</f>
        <v/>
      </c>
      <c r="O154" s="25">
        <f>ROUND(N154*'Methodology &amp; Assumptions'!$B$7, 0)</f>
        <v/>
      </c>
      <c r="P154" s="23" t="inlineStr">
        <is>
          <t>Single Carrier (Band n50, 100MHz TDD)</t>
        </is>
      </c>
      <c r="Q154" s="27">
        <f>ROUNDUP(O154/'Methodology &amp; Assumptions'!$B$8, 0)</f>
        <v/>
      </c>
      <c r="R154" s="27" t="n">
        <v>1</v>
      </c>
      <c r="S154" s="26" t="n">
        <v>0.58</v>
      </c>
      <c r="T154" s="26" t="n">
        <v>0.05</v>
      </c>
      <c r="U154" s="11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26" t="n">
        <v>76.13</v>
      </c>
      <c r="W154" s="26" t="n">
        <v>47.81</v>
      </c>
      <c r="X154" s="26">
        <f>ROUND(('Methodology &amp; Assumptions'!$B$5*V154) + ('Methodology &amp; Assumptions'!$B$6*W154), 2)</f>
        <v/>
      </c>
      <c r="Y154" s="28" t="n">
        <v>7.2</v>
      </c>
      <c r="Z154" s="11" t="inlineStr">
        <is>
          <t>Priority Tier 2 (Balanced Opportunity)</t>
        </is>
      </c>
    </row>
    <row r="155">
      <c r="A155" s="23" t="n">
        <v>3</v>
      </c>
      <c r="B155" s="23" t="n">
        <v>151</v>
      </c>
      <c r="C155" s="23" t="n">
        <v>2151</v>
      </c>
      <c r="D155" s="23" t="inlineStr">
        <is>
          <t>0301411008</t>
        </is>
      </c>
      <c r="E155" s="11" t="inlineStr">
        <is>
          <t>Region III (Central Luzon)</t>
        </is>
      </c>
      <c r="F155" s="11" t="inlineStr">
        <is>
          <t>Bulacan</t>
        </is>
      </c>
      <c r="G155" s="11" t="inlineStr">
        <is>
          <t>Marilao</t>
        </is>
      </c>
      <c r="H155" s="11" t="inlineStr">
        <is>
          <t>Patubig</t>
        </is>
      </c>
      <c r="I155" s="24" t="n">
        <v>14.777488</v>
      </c>
      <c r="J155" s="24" t="n">
        <v>120.959519</v>
      </c>
      <c r="K155" s="23" t="inlineStr">
        <is>
          <t>U</t>
        </is>
      </c>
      <c r="L155" s="25" t="n">
        <v>8800</v>
      </c>
      <c r="M155" s="26" t="n">
        <v>3.5</v>
      </c>
      <c r="N155" s="25">
        <f>ROUND(L155/M155, 0)</f>
        <v/>
      </c>
      <c r="O155" s="25">
        <f>ROUND(N155*'Methodology &amp; Assumptions'!$B$7, 0)</f>
        <v/>
      </c>
      <c r="P155" s="23" t="inlineStr">
        <is>
          <t>Single Carrier (Band n50, 100MHz TDD)</t>
        </is>
      </c>
      <c r="Q155" s="27">
        <f>ROUNDUP(O155/'Methodology &amp; Assumptions'!$B$8, 0)</f>
        <v/>
      </c>
      <c r="R155" s="27" t="n">
        <v>1</v>
      </c>
      <c r="S155" s="26" t="n">
        <v>2.16</v>
      </c>
      <c r="T155" s="26" t="n">
        <v>0.12</v>
      </c>
      <c r="U155" s="11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26" t="n">
        <v>73.66</v>
      </c>
      <c r="W155" s="26" t="n">
        <v>50.27</v>
      </c>
      <c r="X155" s="26">
        <f>ROUND(('Methodology &amp; Assumptions'!$B$5*V155) + ('Methodology &amp; Assumptions'!$B$6*W155), 2)</f>
        <v/>
      </c>
      <c r="Y155" s="28" t="n">
        <v>8.300000000000001</v>
      </c>
      <c r="Z155" s="11" t="inlineStr">
        <is>
          <t>Priority Tier 2 (Balanced Opportunity)</t>
        </is>
      </c>
    </row>
    <row r="156">
      <c r="A156" s="23" t="n">
        <v>3</v>
      </c>
      <c r="B156" s="23" t="n">
        <v>152</v>
      </c>
      <c r="C156" s="23" t="n">
        <v>2152</v>
      </c>
      <c r="D156" s="23" t="inlineStr">
        <is>
          <t>0403406003</t>
        </is>
      </c>
      <c r="E156" s="11" t="inlineStr">
        <is>
          <t>Region IV-A (CALABARZON)</t>
        </is>
      </c>
      <c r="F156" s="11" t="inlineStr">
        <is>
          <t>Laguna</t>
        </is>
      </c>
      <c r="G156" s="11" t="inlineStr">
        <is>
          <t>Calauan</t>
        </is>
      </c>
      <c r="H156" s="11" t="inlineStr">
        <is>
          <t>Dayap</t>
        </is>
      </c>
      <c r="I156" s="24" t="n">
        <v>14.17831</v>
      </c>
      <c r="J156" s="24" t="n">
        <v>121.337617</v>
      </c>
      <c r="K156" s="23" t="inlineStr">
        <is>
          <t>U</t>
        </is>
      </c>
      <c r="L156" s="25" t="n">
        <v>23879</v>
      </c>
      <c r="M156" s="26" t="n">
        <v>3.3</v>
      </c>
      <c r="N156" s="25">
        <f>ROUND(L156/M156, 0)</f>
        <v/>
      </c>
      <c r="O156" s="25">
        <f>ROUND(N156*'Methodology &amp; Assumptions'!$B$7, 0)</f>
        <v/>
      </c>
      <c r="P156" s="23" t="inlineStr">
        <is>
          <t>Single Carrier (Band n50, 100MHz TDD)</t>
        </is>
      </c>
      <c r="Q156" s="27">
        <f>ROUNDUP(O156/'Methodology &amp; Assumptions'!$B$8, 0)</f>
        <v/>
      </c>
      <c r="R156" s="27" t="n">
        <v>1</v>
      </c>
      <c r="S156" s="26" t="n">
        <v>3.78</v>
      </c>
      <c r="T156" s="26" t="n">
        <v>0.27</v>
      </c>
      <c r="U156" s="11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26" t="n">
        <v>69.06999999999999</v>
      </c>
      <c r="W156" s="26" t="n">
        <v>54.86</v>
      </c>
      <c r="X156" s="26">
        <f>ROUND(('Methodology &amp; Assumptions'!$B$5*V156) + ('Methodology &amp; Assumptions'!$B$6*W156), 2)</f>
        <v/>
      </c>
      <c r="Y156" s="28" t="n">
        <v>7.2</v>
      </c>
      <c r="Z156" s="11" t="inlineStr">
        <is>
          <t>Priority Tier 2 (Balanced Opportunity)</t>
        </is>
      </c>
    </row>
    <row r="157">
      <c r="A157" s="23" t="n">
        <v>3</v>
      </c>
      <c r="B157" s="23" t="n">
        <v>153</v>
      </c>
      <c r="C157" s="23" t="n">
        <v>2153</v>
      </c>
      <c r="D157" s="23" t="inlineStr">
        <is>
          <t>1381300024</t>
        </is>
      </c>
      <c r="E157" s="11" t="inlineStr">
        <is>
          <t>National Capital Region (NCR)</t>
        </is>
      </c>
      <c r="F157" s="11" t="inlineStr">
        <is>
          <t>Second District (Not a Province)</t>
        </is>
      </c>
      <c r="G157" s="11" t="inlineStr">
        <is>
          <t>Quezon City</t>
        </is>
      </c>
      <c r="H157" s="11" t="inlineStr">
        <is>
          <t>Kristong Hari</t>
        </is>
      </c>
      <c r="I157" s="24" t="n">
        <v>14.624722</v>
      </c>
      <c r="J157" s="24" t="n">
        <v>121.025179</v>
      </c>
      <c r="K157" s="23" t="inlineStr">
        <is>
          <t>U</t>
        </is>
      </c>
      <c r="L157" s="25" t="n">
        <v>6260</v>
      </c>
      <c r="M157" s="26" t="n">
        <v>4.55</v>
      </c>
      <c r="N157" s="25">
        <f>ROUND(L157/M157, 0)</f>
        <v/>
      </c>
      <c r="O157" s="25">
        <f>ROUND(N157*'Methodology &amp; Assumptions'!$B$7, 0)</f>
        <v/>
      </c>
      <c r="P157" s="23" t="inlineStr">
        <is>
          <t>Single Carrier (Band n50, 100MHz TDD)</t>
        </is>
      </c>
      <c r="Q157" s="27">
        <f>ROUNDUP(O157/'Methodology &amp; Assumptions'!$B$8, 0)</f>
        <v/>
      </c>
      <c r="R157" s="27" t="n">
        <v>1</v>
      </c>
      <c r="S157" s="26" t="n">
        <v>1.29</v>
      </c>
      <c r="T157" s="26" t="n">
        <v>1.27</v>
      </c>
      <c r="U157" s="11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26" t="n">
        <v>67.37</v>
      </c>
      <c r="W157" s="26" t="n">
        <v>56.56</v>
      </c>
      <c r="X157" s="26">
        <f>ROUND(('Methodology &amp; Assumptions'!$B$5*V157) + ('Methodology &amp; Assumptions'!$B$6*W157), 2)</f>
        <v/>
      </c>
      <c r="Y157" s="28" t="n">
        <v>10.9</v>
      </c>
      <c r="Z157" s="11" t="inlineStr">
        <is>
          <t>Priority Tier 2 (Balanced Opportunity)</t>
        </is>
      </c>
    </row>
    <row r="158">
      <c r="A158" s="23" t="n">
        <v>3</v>
      </c>
      <c r="B158" s="23" t="n">
        <v>154</v>
      </c>
      <c r="C158" s="23" t="n">
        <v>2154</v>
      </c>
      <c r="D158" s="23" t="inlineStr">
        <is>
          <t>0401029024</t>
        </is>
      </c>
      <c r="E158" s="11" t="inlineStr">
        <is>
          <t>Region IV-A (CALABARZON)</t>
        </is>
      </c>
      <c r="F158" s="11" t="inlineStr">
        <is>
          <t>Batangas</t>
        </is>
      </c>
      <c r="G158" s="11" t="inlineStr">
        <is>
          <t>Taal</t>
        </is>
      </c>
      <c r="H158" s="11" t="inlineStr">
        <is>
          <t>Poblacion 10</t>
        </is>
      </c>
      <c r="I158" s="24" t="n">
        <v>13.876345</v>
      </c>
      <c r="J158" s="24" t="n">
        <v>120.920576</v>
      </c>
      <c r="K158" s="23" t="inlineStr">
        <is>
          <t>R</t>
        </is>
      </c>
      <c r="L158" s="25" t="n">
        <v>788</v>
      </c>
      <c r="M158" s="26" t="n">
        <v>3.6</v>
      </c>
      <c r="N158" s="25">
        <f>ROUND(L158/M158, 0)</f>
        <v/>
      </c>
      <c r="O158" s="25">
        <f>ROUND(N158*'Methodology &amp; Assumptions'!$B$7, 0)</f>
        <v/>
      </c>
      <c r="P158" s="23" t="inlineStr">
        <is>
          <t>Single Carrier (Band n50, 100MHz TDD)</t>
        </is>
      </c>
      <c r="Q158" s="27">
        <f>ROUNDUP(O158/'Methodology &amp; Assumptions'!$B$8, 0)</f>
        <v/>
      </c>
      <c r="R158" s="27" t="n">
        <v>1</v>
      </c>
      <c r="S158" s="26" t="n">
        <v>0.39</v>
      </c>
      <c r="T158" s="26" t="n">
        <v>2.14</v>
      </c>
      <c r="U158" s="11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26" t="n">
        <v>64.37</v>
      </c>
      <c r="W158" s="26" t="n">
        <v>59.58</v>
      </c>
      <c r="X158" s="26">
        <f>ROUND(('Methodology &amp; Assumptions'!$B$5*V158) + ('Methodology &amp; Assumptions'!$B$6*W158), 2)</f>
        <v/>
      </c>
      <c r="Y158" s="28" t="n">
        <v>7.2</v>
      </c>
      <c r="Z158" s="11" t="inlineStr">
        <is>
          <t>Priority Tier 2 (Balanced Opportunity)</t>
        </is>
      </c>
    </row>
    <row r="159">
      <c r="A159" s="23" t="n">
        <v>3</v>
      </c>
      <c r="B159" s="23" t="n">
        <v>155</v>
      </c>
      <c r="C159" s="23" t="n">
        <v>2155</v>
      </c>
      <c r="D159" s="23" t="inlineStr">
        <is>
          <t>0501712003</t>
        </is>
      </c>
      <c r="E159" s="11" t="inlineStr">
        <is>
          <t>Region V (Bicol Region)</t>
        </is>
      </c>
      <c r="F159" s="11" t="inlineStr">
        <is>
          <t>Camarines Sur</t>
        </is>
      </c>
      <c r="G159" s="11" t="inlineStr">
        <is>
          <t>Del Gallego</t>
        </is>
      </c>
      <c r="H159" s="11" t="inlineStr">
        <is>
          <t>Cabasag</t>
        </is>
      </c>
      <c r="I159" s="24" t="n">
        <v>13.938505</v>
      </c>
      <c r="J159" s="24" t="n">
        <v>122.612353</v>
      </c>
      <c r="K159" s="23" t="inlineStr">
        <is>
          <t>R</t>
        </is>
      </c>
      <c r="L159" s="25" t="n">
        <v>892</v>
      </c>
      <c r="M159" s="26" t="n">
        <v>4.2</v>
      </c>
      <c r="N159" s="25">
        <f>ROUND(L159/M159, 0)</f>
        <v/>
      </c>
      <c r="O159" s="25">
        <f>ROUND(N159*'Methodology &amp; Assumptions'!$B$7, 0)</f>
        <v/>
      </c>
      <c r="P159" s="23" t="inlineStr">
        <is>
          <t>Single Carrier (Band n50, 100MHz TDD)</t>
        </is>
      </c>
      <c r="Q159" s="27">
        <f>ROUNDUP(O159/'Methodology &amp; Assumptions'!$B$8, 0)</f>
        <v/>
      </c>
      <c r="R159" s="27" t="n">
        <v>1</v>
      </c>
      <c r="S159" s="26" t="n">
        <v>2.14</v>
      </c>
      <c r="T159" s="26" t="n">
        <v>1.9</v>
      </c>
      <c r="U159" s="11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26" t="n">
        <v>63.23</v>
      </c>
      <c r="W159" s="26" t="n">
        <v>60.72</v>
      </c>
      <c r="X159" s="26">
        <f>ROUND(('Methodology &amp; Assumptions'!$B$5*V159) + ('Methodology &amp; Assumptions'!$B$6*W159), 2)</f>
        <v/>
      </c>
      <c r="Y159" s="28" t="n">
        <v>23.7</v>
      </c>
      <c r="Z159" s="11" t="inlineStr">
        <is>
          <t>Priority Tier 2 (Balanced Opportunity)</t>
        </is>
      </c>
    </row>
    <row r="160">
      <c r="A160" s="23" t="n">
        <v>3</v>
      </c>
      <c r="B160" s="23" t="n">
        <v>156</v>
      </c>
      <c r="C160" s="23" t="n">
        <v>2156</v>
      </c>
      <c r="D160" s="23" t="inlineStr">
        <is>
          <t>1381100034</t>
        </is>
      </c>
      <c r="E160" s="11" t="inlineStr">
        <is>
          <t>National Capital Region (NCR)</t>
        </is>
      </c>
      <c r="F160" s="11" t="inlineStr">
        <is>
          <t>Fourth District (Not a Province)</t>
        </is>
      </c>
      <c r="G160" s="11" t="inlineStr">
        <is>
          <t>Pasay City</t>
        </is>
      </c>
      <c r="H160" s="11" t="inlineStr">
        <is>
          <t>Barangay 34</t>
        </is>
      </c>
      <c r="I160" s="24" t="n">
        <v>14.557054</v>
      </c>
      <c r="J160" s="24" t="n">
        <v>120.993736</v>
      </c>
      <c r="K160" s="23" t="inlineStr">
        <is>
          <t>U</t>
        </is>
      </c>
      <c r="L160" s="25" t="n">
        <v>1241</v>
      </c>
      <c r="M160" s="26" t="n">
        <v>2.93</v>
      </c>
      <c r="N160" s="25">
        <f>ROUND(L160/M160, 0)</f>
        <v/>
      </c>
      <c r="O160" s="25">
        <f>ROUND(N160*'Methodology &amp; Assumptions'!$B$7, 0)</f>
        <v/>
      </c>
      <c r="P160" s="23" t="inlineStr">
        <is>
          <t>Single Carrier (Band n50, 100MHz TDD)</t>
        </is>
      </c>
      <c r="Q160" s="27">
        <f>ROUNDUP(O160/'Methodology &amp; Assumptions'!$B$8, 0)</f>
        <v/>
      </c>
      <c r="R160" s="27" t="n">
        <v>1</v>
      </c>
      <c r="S160" s="26" t="n">
        <v>0.47</v>
      </c>
      <c r="T160" s="26" t="n">
        <v>0.31</v>
      </c>
      <c r="U160" s="11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26" t="n">
        <v>54.7</v>
      </c>
      <c r="W160" s="26" t="n">
        <v>69.25</v>
      </c>
      <c r="X160" s="26">
        <f>ROUND(('Methodology &amp; Assumptions'!$B$5*V160) + ('Methodology &amp; Assumptions'!$B$6*W160), 2)</f>
        <v/>
      </c>
      <c r="Y160" s="28" t="n">
        <v>10.9</v>
      </c>
      <c r="Z160" s="11" t="inlineStr">
        <is>
          <t>Priority Tier 2 (Balanced Opportunity)</t>
        </is>
      </c>
    </row>
    <row r="161">
      <c r="A161" s="23" t="n">
        <v>3</v>
      </c>
      <c r="B161" s="23" t="n">
        <v>157</v>
      </c>
      <c r="C161" s="23" t="n">
        <v>2157</v>
      </c>
      <c r="D161" s="23" t="inlineStr">
        <is>
          <t>1380601081</t>
        </is>
      </c>
      <c r="E161" s="11" t="inlineStr">
        <is>
          <t>National Capital Region (NCR)</t>
        </is>
      </c>
      <c r="F161" s="11" t="inlineStr">
        <is>
          <t>First District (Not a Province)</t>
        </is>
      </c>
      <c r="G161" s="11" t="inlineStr">
        <is>
          <t>City of Manila</t>
        </is>
      </c>
      <c r="H161" s="11" t="inlineStr">
        <is>
          <t>Barangay 81</t>
        </is>
      </c>
      <c r="I161" s="24" t="n">
        <v>14.615738</v>
      </c>
      <c r="J161" s="24" t="n">
        <v>120.966473</v>
      </c>
      <c r="K161" s="23" t="inlineStr">
        <is>
          <t>U</t>
        </is>
      </c>
      <c r="L161" s="25" t="n">
        <v>1848</v>
      </c>
      <c r="M161" s="26" t="n">
        <v>4.83</v>
      </c>
      <c r="N161" s="25">
        <f>ROUND(L161/M161, 0)</f>
        <v/>
      </c>
      <c r="O161" s="25">
        <f>ROUND(N161*'Methodology &amp; Assumptions'!$B$7, 0)</f>
        <v/>
      </c>
      <c r="P161" s="23" t="inlineStr">
        <is>
          <t>Single Carrier (Band n50, 100MHz TDD)</t>
        </is>
      </c>
      <c r="Q161" s="27">
        <f>ROUNDUP(O161/'Methodology &amp; Assumptions'!$B$8, 0)</f>
        <v/>
      </c>
      <c r="R161" s="27" t="n">
        <v>1</v>
      </c>
      <c r="S161" s="26" t="n">
        <v>0.47</v>
      </c>
      <c r="T161" s="26" t="n">
        <v>0.34</v>
      </c>
      <c r="U161" s="11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26" t="n">
        <v>53.41</v>
      </c>
      <c r="W161" s="26" t="n">
        <v>70.53</v>
      </c>
      <c r="X161" s="26">
        <f>ROUND(('Methodology &amp; Assumptions'!$B$5*V161) + ('Methodology &amp; Assumptions'!$B$6*W161), 2)</f>
        <v/>
      </c>
      <c r="Y161" s="28" t="n">
        <v>10.9</v>
      </c>
      <c r="Z161" s="11" t="inlineStr">
        <is>
          <t>Priority Tier 2 (Balanced Opportunity)</t>
        </is>
      </c>
    </row>
    <row r="162">
      <c r="A162" s="23" t="n">
        <v>3</v>
      </c>
      <c r="B162" s="23" t="n">
        <v>158</v>
      </c>
      <c r="C162" s="23" t="n">
        <v>2158</v>
      </c>
      <c r="D162" s="23" t="inlineStr">
        <is>
          <t>1380601151</t>
        </is>
      </c>
      <c r="E162" s="11" t="inlineStr">
        <is>
          <t>National Capital Region (NCR)</t>
        </is>
      </c>
      <c r="F162" s="11" t="inlineStr">
        <is>
          <t>First District (Not a Province)</t>
        </is>
      </c>
      <c r="G162" s="11" t="inlineStr">
        <is>
          <t>City of Manila</t>
        </is>
      </c>
      <c r="H162" s="11" t="inlineStr">
        <is>
          <t>Barangay 151</t>
        </is>
      </c>
      <c r="I162" s="24" t="n">
        <v>14.619289</v>
      </c>
      <c r="J162" s="24" t="n">
        <v>120.970559</v>
      </c>
      <c r="K162" s="23" t="inlineStr">
        <is>
          <t>U</t>
        </is>
      </c>
      <c r="L162" s="25" t="n">
        <v>1725</v>
      </c>
      <c r="M162" s="26" t="n">
        <v>4.49</v>
      </c>
      <c r="N162" s="25">
        <f>ROUND(L162/M162, 0)</f>
        <v/>
      </c>
      <c r="O162" s="25">
        <f>ROUND(N162*'Methodology &amp; Assumptions'!$B$7, 0)</f>
        <v/>
      </c>
      <c r="P162" s="23" t="inlineStr">
        <is>
          <t>Single Carrier (Band n50, 100MHz TDD)</t>
        </is>
      </c>
      <c r="Q162" s="27">
        <f>ROUNDUP(O162/'Methodology &amp; Assumptions'!$B$8, 0)</f>
        <v/>
      </c>
      <c r="R162" s="27" t="n">
        <v>1</v>
      </c>
      <c r="S162" s="26" t="n">
        <v>0.86</v>
      </c>
      <c r="T162" s="26" t="n">
        <v>0.14</v>
      </c>
      <c r="U162" s="11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26" t="n">
        <v>53.36</v>
      </c>
      <c r="W162" s="26" t="n">
        <v>70.58</v>
      </c>
      <c r="X162" s="26">
        <f>ROUND(('Methodology &amp; Assumptions'!$B$5*V162) + ('Methodology &amp; Assumptions'!$B$6*W162), 2)</f>
        <v/>
      </c>
      <c r="Y162" s="28" t="n">
        <v>10.9</v>
      </c>
      <c r="Z162" s="11" t="inlineStr">
        <is>
          <t>Priority Tier 2 (Balanced Opportunity)</t>
        </is>
      </c>
    </row>
    <row r="163">
      <c r="A163" s="23" t="n">
        <v>3</v>
      </c>
      <c r="B163" s="23" t="n">
        <v>159</v>
      </c>
      <c r="C163" s="23" t="n">
        <v>2159</v>
      </c>
      <c r="D163" s="23" t="inlineStr">
        <is>
          <t>1906619003</t>
        </is>
      </c>
      <c r="E163" s="11" t="inlineStr">
        <is>
          <t>Bangsamoro Autonomous Region In Muslim Mindanao (BARMM)</t>
        </is>
      </c>
      <c r="F163" s="11" t="inlineStr">
        <is>
          <t>Sulu</t>
        </is>
      </c>
      <c r="G163" s="11" t="inlineStr">
        <is>
          <t>Omar</t>
        </is>
      </c>
      <c r="H163" s="11" t="inlineStr">
        <is>
          <t>Capual Island</t>
        </is>
      </c>
      <c r="I163" s="24" t="n">
        <v>6.043905</v>
      </c>
      <c r="J163" s="24" t="n">
        <v>121.393414</v>
      </c>
      <c r="K163" s="23" t="inlineStr">
        <is>
          <t>U</t>
        </is>
      </c>
      <c r="L163" s="25" t="n">
        <v>8706</v>
      </c>
      <c r="M163" s="26" t="n">
        <v>6</v>
      </c>
      <c r="N163" s="25">
        <f>ROUND(L163/M163, 0)</f>
        <v/>
      </c>
      <c r="O163" s="25">
        <f>ROUND(N163*'Methodology &amp; Assumptions'!$B$7, 0)</f>
        <v/>
      </c>
      <c r="P163" s="23" t="inlineStr">
        <is>
          <t>Single Carrier (Band n50, 100MHz TDD)</t>
        </is>
      </c>
      <c r="Q163" s="27">
        <f>ROUNDUP(O163/'Methodology &amp; Assumptions'!$B$8, 0)</f>
        <v/>
      </c>
      <c r="R163" s="27" t="n">
        <v>1</v>
      </c>
      <c r="S163" s="26" t="n">
        <v>122.2</v>
      </c>
      <c r="T163" s="26" t="n">
        <v>122.19</v>
      </c>
      <c r="U163" s="11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26" t="n">
        <v>51.86</v>
      </c>
      <c r="W163" s="26" t="n">
        <v>72.09</v>
      </c>
      <c r="X163" s="26">
        <f>ROUND(('Methodology &amp; Assumptions'!$B$5*V163) + ('Methodology &amp; Assumptions'!$B$6*W163), 2)</f>
        <v/>
      </c>
      <c r="Y163" s="28" t="n">
        <v>11</v>
      </c>
      <c r="Z163" s="11" t="inlineStr">
        <is>
          <t>Priority Tier 2 (Balanced Opportunity)</t>
        </is>
      </c>
    </row>
    <row r="164">
      <c r="A164" s="23" t="n">
        <v>3</v>
      </c>
      <c r="B164" s="23" t="n">
        <v>160</v>
      </c>
      <c r="C164" s="23" t="n">
        <v>2160</v>
      </c>
      <c r="D164" s="23" t="inlineStr">
        <is>
          <t>1381300103</t>
        </is>
      </c>
      <c r="E164" s="11" t="inlineStr">
        <is>
          <t>National Capital Region (NCR)</t>
        </is>
      </c>
      <c r="F164" s="11" t="inlineStr">
        <is>
          <t>Second District (Not a Province)</t>
        </is>
      </c>
      <c r="G164" s="11" t="inlineStr">
        <is>
          <t>Quezon City</t>
        </is>
      </c>
      <c r="H164" s="11" t="inlineStr">
        <is>
          <t>San Vicente</t>
        </is>
      </c>
      <c r="I164" s="24" t="n">
        <v>14.6532</v>
      </c>
      <c r="J164" s="24" t="n">
        <v>121.0568</v>
      </c>
      <c r="K164" s="23" t="inlineStr">
        <is>
          <t>U</t>
        </is>
      </c>
      <c r="L164" s="25" t="n">
        <v>7362</v>
      </c>
      <c r="M164" s="26" t="n">
        <v>3.85</v>
      </c>
      <c r="N164" s="25">
        <f>ROUND(L164/M164, 0)</f>
        <v/>
      </c>
      <c r="O164" s="25">
        <f>ROUND(N164*'Methodology &amp; Assumptions'!$B$7, 0)</f>
        <v/>
      </c>
      <c r="P164" s="23" t="inlineStr">
        <is>
          <t>Single Carrier (Band n50, 100MHz TDD)</t>
        </is>
      </c>
      <c r="Q164" s="27">
        <f>ROUNDUP(O164/'Methodology &amp; Assumptions'!$B$8, 0)</f>
        <v/>
      </c>
      <c r="R164" s="27" t="n">
        <v>1</v>
      </c>
      <c r="S164" s="26" t="n">
        <v>1.01</v>
      </c>
      <c r="T164" s="26" t="n">
        <v>0.82</v>
      </c>
      <c r="U164" s="11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26" t="n">
        <v>68.44</v>
      </c>
      <c r="W164" s="26" t="n">
        <v>55.47</v>
      </c>
      <c r="X164" s="26">
        <f>ROUND(('Methodology &amp; Assumptions'!$B$5*V164) + ('Methodology &amp; Assumptions'!$B$6*W164), 2)</f>
        <v/>
      </c>
      <c r="Y164" s="28" t="n">
        <v>10.9</v>
      </c>
      <c r="Z164" s="11" t="inlineStr">
        <is>
          <t>Priority Tier 2 (Balanced Opportunity)</t>
        </is>
      </c>
    </row>
    <row r="165">
      <c r="A165" s="23" t="n">
        <v>3</v>
      </c>
      <c r="B165" s="23" t="n">
        <v>161</v>
      </c>
      <c r="C165" s="23" t="n">
        <v>2161</v>
      </c>
      <c r="D165" s="23" t="inlineStr">
        <is>
          <t>1380614058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802</t>
        </is>
      </c>
      <c r="I165" s="24" t="n">
        <v>14.573402</v>
      </c>
      <c r="J165" s="24" t="n">
        <v>121.001846</v>
      </c>
      <c r="K165" s="23" t="inlineStr">
        <is>
          <t>U</t>
        </is>
      </c>
      <c r="L165" s="25" t="n">
        <v>1840</v>
      </c>
      <c r="M165" s="26" t="n">
        <v>4.1</v>
      </c>
      <c r="N165" s="25">
        <f>ROUND(L165/M165, 0)</f>
        <v/>
      </c>
      <c r="O165" s="25">
        <f>ROUND(N165*'Methodology &amp; Assumptions'!$B$7, 0)</f>
        <v/>
      </c>
      <c r="P165" s="23" t="inlineStr">
        <is>
          <t>Single Carrier (Band n50, 100MHz TDD)</t>
        </is>
      </c>
      <c r="Q165" s="27">
        <f>ROUNDUP(O165/'Methodology &amp; Assumptions'!$B$8, 0)</f>
        <v/>
      </c>
      <c r="R165" s="27" t="n">
        <v>1</v>
      </c>
      <c r="S165" s="26" t="n">
        <v>0.83</v>
      </c>
      <c r="T165" s="26" t="n">
        <v>0.6</v>
      </c>
      <c r="U165" s="11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26" t="n">
        <v>55.55</v>
      </c>
      <c r="W165" s="26" t="n">
        <v>68.37</v>
      </c>
      <c r="X165" s="26">
        <f>ROUND(('Methodology &amp; Assumptions'!$B$5*V165) + ('Methodology &amp; Assumptions'!$B$6*W165), 2)</f>
        <v/>
      </c>
      <c r="Y165" s="28" t="n">
        <v>10.9</v>
      </c>
      <c r="Z165" s="11" t="inlineStr">
        <is>
          <t>Priority Tier 2 (Balanced Opportunity)</t>
        </is>
      </c>
    </row>
    <row r="166">
      <c r="A166" s="23" t="n">
        <v>3</v>
      </c>
      <c r="B166" s="23" t="n">
        <v>162</v>
      </c>
      <c r="C166" s="23" t="n">
        <v>2162</v>
      </c>
      <c r="D166" s="23" t="inlineStr">
        <is>
          <t>1380606077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471</t>
        </is>
      </c>
      <c r="I166" s="24" t="n">
        <v>14.61102</v>
      </c>
      <c r="J166" s="24" t="n">
        <v>120.9872</v>
      </c>
      <c r="K166" s="23" t="inlineStr">
        <is>
          <t>U</t>
        </is>
      </c>
      <c r="L166" s="25" t="n">
        <v>1773</v>
      </c>
      <c r="M166" s="26" t="n">
        <v>4.63</v>
      </c>
      <c r="N166" s="25">
        <f>ROUND(L166/M166, 0)</f>
        <v/>
      </c>
      <c r="O166" s="25">
        <f>ROUND(N166*'Methodology &amp; Assumptions'!$B$7, 0)</f>
        <v/>
      </c>
      <c r="P166" s="23" t="inlineStr">
        <is>
          <t>Single Carrier (Band n50, 100MHz TDD)</t>
        </is>
      </c>
      <c r="Q166" s="27">
        <f>ROUNDUP(O166/'Methodology &amp; Assumptions'!$B$8, 0)</f>
        <v/>
      </c>
      <c r="R166" s="27" t="n">
        <v>1</v>
      </c>
      <c r="S166" s="26" t="n">
        <v>0.77</v>
      </c>
      <c r="T166" s="26" t="n">
        <v>0.15</v>
      </c>
      <c r="U166" s="11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26" t="n">
        <v>53.41</v>
      </c>
      <c r="W166" s="26" t="n">
        <v>70.5</v>
      </c>
      <c r="X166" s="26">
        <f>ROUND(('Methodology &amp; Assumptions'!$B$5*V166) + ('Methodology &amp; Assumptions'!$B$6*W166), 2)</f>
        <v/>
      </c>
      <c r="Y166" s="28" t="n">
        <v>10.9</v>
      </c>
      <c r="Z166" s="11" t="inlineStr">
        <is>
          <t>Priority Tier 2 (Balanced Opportunity)</t>
        </is>
      </c>
    </row>
    <row r="167">
      <c r="A167" s="23" t="n">
        <v>3</v>
      </c>
      <c r="B167" s="23" t="n">
        <v>163</v>
      </c>
      <c r="C167" s="23" t="n">
        <v>2163</v>
      </c>
      <c r="D167" s="23" t="inlineStr">
        <is>
          <t>1908822009</t>
        </is>
      </c>
      <c r="E167" s="11" t="inlineStr">
        <is>
          <t>Bangsamoro Autonomous Region In Muslim Mindanao (BARMM)</t>
        </is>
      </c>
      <c r="F167" s="11" t="inlineStr">
        <is>
          <t>Maguindanao del Sur</t>
        </is>
      </c>
      <c r="G167" s="11" t="inlineStr">
        <is>
          <t>South Upi</t>
        </is>
      </c>
      <c r="H167" s="11" t="inlineStr">
        <is>
          <t>Pilar</t>
        </is>
      </c>
      <c r="I167" s="24" t="n">
        <v>6.851032</v>
      </c>
      <c r="J167" s="24" t="n">
        <v>124.197688</v>
      </c>
      <c r="K167" s="23" t="inlineStr">
        <is>
          <t>U</t>
        </is>
      </c>
      <c r="L167" s="25" t="n">
        <v>6086</v>
      </c>
      <c r="M167" s="26" t="n">
        <v>4.7</v>
      </c>
      <c r="N167" s="25">
        <f>ROUND(L167/M167, 0)</f>
        <v/>
      </c>
      <c r="O167" s="25">
        <f>ROUND(N167*'Methodology &amp; Assumptions'!$B$7, 0)</f>
        <v/>
      </c>
      <c r="P167" s="23" t="inlineStr">
        <is>
          <t>Single Carrier (Band n50, 100MHz TDD)</t>
        </is>
      </c>
      <c r="Q167" s="27">
        <f>ROUNDUP(O167/'Methodology &amp; Assumptions'!$B$8, 0)</f>
        <v/>
      </c>
      <c r="R167" s="27" t="n">
        <v>1</v>
      </c>
      <c r="S167" s="26" t="n">
        <v>55.52</v>
      </c>
      <c r="T167" s="26" t="n">
        <v>55.47</v>
      </c>
      <c r="U167" s="11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26" t="n">
        <v>51.86</v>
      </c>
      <c r="W167" s="26" t="n">
        <v>72.06</v>
      </c>
      <c r="X167" s="26">
        <f>ROUND(('Methodology &amp; Assumptions'!$B$5*V167) + ('Methodology &amp; Assumptions'!$B$6*W167), 2)</f>
        <v/>
      </c>
      <c r="Y167" s="28" t="n">
        <v>11</v>
      </c>
      <c r="Z167" s="11" t="inlineStr">
        <is>
          <t>Priority Tier 2 (Balanced Opportunity)</t>
        </is>
      </c>
    </row>
    <row r="168">
      <c r="A168" s="23" t="n">
        <v>3</v>
      </c>
      <c r="B168" s="23" t="n">
        <v>164</v>
      </c>
      <c r="C168" s="23" t="n">
        <v>2164</v>
      </c>
      <c r="D168" s="23" t="inlineStr">
        <is>
          <t>1381600020</t>
        </is>
      </c>
      <c r="E168" s="11" t="inlineStr">
        <is>
          <t>National Capital Region (NCR)</t>
        </is>
      </c>
      <c r="F168" s="11" t="inlineStr">
        <is>
          <t>Third District (Not a Province)</t>
        </is>
      </c>
      <c r="G168" s="11" t="inlineStr">
        <is>
          <t>City of Valenzuela</t>
        </is>
      </c>
      <c r="H168" s="11" t="inlineStr">
        <is>
          <t>Maysan</t>
        </is>
      </c>
      <c r="I168" s="24" t="n">
        <v>14.698822</v>
      </c>
      <c r="J168" s="24" t="n">
        <v>120.977711</v>
      </c>
      <c r="K168" s="23" t="inlineStr">
        <is>
          <t>U</t>
        </is>
      </c>
      <c r="L168" s="25" t="n">
        <v>23501</v>
      </c>
      <c r="M168" s="26" t="n">
        <v>3.36</v>
      </c>
      <c r="N168" s="25">
        <f>ROUND(L168/M168, 0)</f>
        <v/>
      </c>
      <c r="O168" s="25">
        <f>ROUND(N168*'Methodology &amp; Assumptions'!$B$7, 0)</f>
        <v/>
      </c>
      <c r="P168" s="23" t="inlineStr">
        <is>
          <t>Single Carrier (Band n50, 100MHz TDD)</t>
        </is>
      </c>
      <c r="Q168" s="27">
        <f>ROUNDUP(O168/'Methodology &amp; Assumptions'!$B$8, 0)</f>
        <v/>
      </c>
      <c r="R168" s="27" t="n">
        <v>1</v>
      </c>
      <c r="S168" s="26" t="n">
        <v>0.3</v>
      </c>
      <c r="T168" s="26" t="n">
        <v>0.01</v>
      </c>
      <c r="U168" s="11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26" t="n">
        <v>67.84999999999999</v>
      </c>
      <c r="W168" s="26" t="n">
        <v>56.05</v>
      </c>
      <c r="X168" s="26">
        <f>ROUND(('Methodology &amp; Assumptions'!$B$5*V168) + ('Methodology &amp; Assumptions'!$B$6*W168), 2)</f>
        <v/>
      </c>
      <c r="Y168" s="28" t="n">
        <v>10.9</v>
      </c>
      <c r="Z168" s="11" t="inlineStr">
        <is>
          <t>Priority Tier 2 (Balanced Opportunity)</t>
        </is>
      </c>
    </row>
    <row r="169">
      <c r="A169" s="23" t="n">
        <v>3</v>
      </c>
      <c r="B169" s="23" t="n">
        <v>165</v>
      </c>
      <c r="C169" s="23" t="n">
        <v>2165</v>
      </c>
      <c r="D169" s="23" t="inlineStr">
        <is>
          <t>0103314006</t>
        </is>
      </c>
      <c r="E169" s="11" t="inlineStr">
        <is>
          <t>Region I (Ilocos Region)</t>
        </is>
      </c>
      <c r="F169" s="11" t="inlineStr">
        <is>
          <t>La Union</t>
        </is>
      </c>
      <c r="G169" s="11" t="inlineStr">
        <is>
          <t>City of San Fernando</t>
        </is>
      </c>
      <c r="H169" s="11" t="inlineStr">
        <is>
          <t>Barangay I</t>
        </is>
      </c>
      <c r="I169" s="24" t="n">
        <v>16.619141</v>
      </c>
      <c r="J169" s="24" t="n">
        <v>120.318243</v>
      </c>
      <c r="K169" s="23" t="inlineStr">
        <is>
          <t>U</t>
        </is>
      </c>
      <c r="L169" s="25" t="n">
        <v>1903</v>
      </c>
      <c r="M169" s="26" t="n">
        <v>3.7</v>
      </c>
      <c r="N169" s="25">
        <f>ROUND(L169/M169, 0)</f>
        <v/>
      </c>
      <c r="O169" s="25">
        <f>ROUND(N169*'Methodology &amp; Assumptions'!$B$7, 0)</f>
        <v/>
      </c>
      <c r="P169" s="23" t="inlineStr">
        <is>
          <t>Single Carrier (Band n50, 100MHz TDD)</t>
        </is>
      </c>
      <c r="Q169" s="27">
        <f>ROUNDUP(O169/'Methodology &amp; Assumptions'!$B$8, 0)</f>
        <v/>
      </c>
      <c r="R169" s="27" t="n">
        <v>1</v>
      </c>
      <c r="S169" s="26" t="n">
        <v>1.74</v>
      </c>
      <c r="T169" s="26" t="n">
        <v>0.16</v>
      </c>
      <c r="U169" s="11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26" t="n">
        <v>65.18000000000001</v>
      </c>
      <c r="W169" s="26" t="n">
        <v>58.71</v>
      </c>
      <c r="X169" s="26">
        <f>ROUND(('Methodology &amp; Assumptions'!$B$5*V169) + ('Methodology &amp; Assumptions'!$B$6*W169), 2)</f>
        <v/>
      </c>
      <c r="Y169" s="28" t="n">
        <v>8.300000000000001</v>
      </c>
      <c r="Z169" s="11" t="inlineStr">
        <is>
          <t>Priority Tier 2 (Balanced Opportunity)</t>
        </is>
      </c>
    </row>
    <row r="170">
      <c r="A170" s="23" t="n">
        <v>3</v>
      </c>
      <c r="B170" s="23" t="n">
        <v>166</v>
      </c>
      <c r="C170" s="23" t="n">
        <v>2166</v>
      </c>
      <c r="D170" s="23" t="inlineStr">
        <is>
          <t>0205704037</t>
        </is>
      </c>
      <c r="E170" s="11" t="inlineStr">
        <is>
          <t>Region II (Cagayan Valley)</t>
        </is>
      </c>
      <c r="F170" s="11" t="inlineStr">
        <is>
          <t>Quirino</t>
        </is>
      </c>
      <c r="G170" s="11" t="inlineStr">
        <is>
          <t>Maddela</t>
        </is>
      </c>
      <c r="H170" s="11" t="inlineStr">
        <is>
          <t>Villa Jose V Ylanan</t>
        </is>
      </c>
      <c r="I170" s="24" t="n">
        <v>16.365699</v>
      </c>
      <c r="J170" s="24" t="n">
        <v>121.776531</v>
      </c>
      <c r="K170" s="23" t="inlineStr">
        <is>
          <t>R</t>
        </is>
      </c>
      <c r="L170" s="25" t="n">
        <v>467</v>
      </c>
      <c r="M170" s="26" t="n">
        <v>3.9</v>
      </c>
      <c r="N170" s="25">
        <f>ROUND(L170/M170, 0)</f>
        <v/>
      </c>
      <c r="O170" s="25">
        <f>ROUND(N170*'Methodology &amp; Assumptions'!$B$7, 0)</f>
        <v/>
      </c>
      <c r="P170" s="23" t="inlineStr">
        <is>
          <t>Single Carrier (Band n50, 100MHz TDD)</t>
        </is>
      </c>
      <c r="Q170" s="27">
        <f>ROUNDUP(O170/'Methodology &amp; Assumptions'!$B$8, 0)</f>
        <v/>
      </c>
      <c r="R170" s="27" t="n">
        <v>1</v>
      </c>
      <c r="S170" s="26" t="n">
        <v>10.79</v>
      </c>
      <c r="T170" s="26" t="n">
        <v>10.12</v>
      </c>
      <c r="U170" s="11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26" t="n">
        <v>41.51</v>
      </c>
      <c r="W170" s="26" t="n">
        <v>82.39</v>
      </c>
      <c r="X170" s="26">
        <f>ROUND(('Methodology &amp; Assumptions'!$B$5*V170) + ('Methodology &amp; Assumptions'!$B$6*W170), 2)</f>
        <v/>
      </c>
      <c r="Y170" s="28" t="n">
        <v>8.300000000000001</v>
      </c>
      <c r="Z170" s="11" t="inlineStr">
        <is>
          <t>Priority Tier 2 (Balanced Opportunity)</t>
        </is>
      </c>
    </row>
    <row r="171">
      <c r="A171" s="23" t="n">
        <v>3</v>
      </c>
      <c r="B171" s="23" t="n">
        <v>167</v>
      </c>
      <c r="C171" s="23" t="n">
        <v>2167</v>
      </c>
      <c r="D171" s="23" t="inlineStr">
        <is>
          <t>0600613020</t>
        </is>
      </c>
      <c r="E171" s="11" t="inlineStr">
        <is>
          <t>Region VI (Western Visayas)</t>
        </is>
      </c>
      <c r="F171" s="11" t="inlineStr">
        <is>
          <t>Antique</t>
        </is>
      </c>
      <c r="G171" s="11" t="inlineStr">
        <is>
          <t>San Jose</t>
        </is>
      </c>
      <c r="H171" s="11" t="inlineStr">
        <is>
          <t>Madrangca</t>
        </is>
      </c>
      <c r="I171" s="24" t="n">
        <v>10.748106</v>
      </c>
      <c r="J171" s="24" t="n">
        <v>121.93566</v>
      </c>
      <c r="K171" s="23" t="inlineStr">
        <is>
          <t>R</t>
        </is>
      </c>
      <c r="L171" s="25" t="n">
        <v>3077</v>
      </c>
      <c r="M171" s="26" t="n">
        <v>3.9</v>
      </c>
      <c r="N171" s="25">
        <f>ROUND(L171/M171, 0)</f>
        <v/>
      </c>
      <c r="O171" s="25">
        <f>ROUND(N171*'Methodology &amp; Assumptions'!$B$7, 0)</f>
        <v/>
      </c>
      <c r="P171" s="23" t="inlineStr">
        <is>
          <t>Single Carrier (Band n50, 100MHz TDD)</t>
        </is>
      </c>
      <c r="Q171" s="27">
        <f>ROUNDUP(O171/'Methodology &amp; Assumptions'!$B$8, 0)</f>
        <v/>
      </c>
      <c r="R171" s="27" t="n">
        <v>1</v>
      </c>
      <c r="S171" s="26" t="n">
        <v>1.6</v>
      </c>
      <c r="T171" s="26" t="n">
        <v>0.62</v>
      </c>
      <c r="U171" s="11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26" t="n">
        <v>82.64</v>
      </c>
      <c r="W171" s="26" t="n">
        <v>41.23</v>
      </c>
      <c r="X171" s="26">
        <f>ROUND(('Methodology &amp; Assumptions'!$B$5*V171) + ('Methodology &amp; Assumptions'!$B$6*W171), 2)</f>
        <v/>
      </c>
      <c r="Y171" s="28" t="n">
        <v>23.7</v>
      </c>
      <c r="Z171" s="11" t="inlineStr">
        <is>
          <t>Priority Tier 2 (Balanced Opportunity)</t>
        </is>
      </c>
    </row>
    <row r="172">
      <c r="A172" s="23" t="n">
        <v>3</v>
      </c>
      <c r="B172" s="23" t="n">
        <v>168</v>
      </c>
      <c r="C172" s="23" t="n">
        <v>2168</v>
      </c>
      <c r="D172" s="23" t="inlineStr">
        <is>
          <t>0304926033</t>
        </is>
      </c>
      <c r="E172" s="11" t="inlineStr">
        <is>
          <t>Region III (Central Luzon)</t>
        </is>
      </c>
      <c r="F172" s="11" t="inlineStr">
        <is>
          <t>Nueva Ecija</t>
        </is>
      </c>
      <c r="G172" s="11" t="inlineStr">
        <is>
          <t>San Jose City</t>
        </is>
      </c>
      <c r="H172" s="11" t="inlineStr">
        <is>
          <t>Sibut</t>
        </is>
      </c>
      <c r="I172" s="24" t="n">
        <v>15.79173</v>
      </c>
      <c r="J172" s="24" t="n">
        <v>121.000537</v>
      </c>
      <c r="K172" s="23" t="inlineStr">
        <is>
          <t>U</t>
        </is>
      </c>
      <c r="L172" s="25" t="n">
        <v>7055</v>
      </c>
      <c r="M172" s="26" t="n">
        <v>3.5</v>
      </c>
      <c r="N172" s="25">
        <f>ROUND(L172/M172, 0)</f>
        <v/>
      </c>
      <c r="O172" s="25">
        <f>ROUND(N172*'Methodology &amp; Assumptions'!$B$7, 0)</f>
        <v/>
      </c>
      <c r="P172" s="23" t="inlineStr">
        <is>
          <t>Single Carrier (Band n50, 100MHz TDD)</t>
        </is>
      </c>
      <c r="Q172" s="27">
        <f>ROUNDUP(O172/'Methodology &amp; Assumptions'!$B$8, 0)</f>
        <v/>
      </c>
      <c r="R172" s="27" t="n">
        <v>1</v>
      </c>
      <c r="S172" s="26" t="n">
        <v>1.4</v>
      </c>
      <c r="T172" s="26" t="n">
        <v>0.92</v>
      </c>
      <c r="U172" s="11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26" t="n">
        <v>76.31</v>
      </c>
      <c r="W172" s="26" t="n">
        <v>47.58</v>
      </c>
      <c r="X172" s="26">
        <f>ROUND(('Methodology &amp; Assumptions'!$B$5*V172) + ('Methodology &amp; Assumptions'!$B$6*W172), 2)</f>
        <v/>
      </c>
      <c r="Y172" s="28" t="n">
        <v>8.300000000000001</v>
      </c>
      <c r="Z172" s="11" t="inlineStr">
        <is>
          <t>Priority Tier 2 (Balanced Opportunity)</t>
        </is>
      </c>
    </row>
    <row r="173">
      <c r="A173" s="23" t="n">
        <v>3</v>
      </c>
      <c r="B173" s="23" t="n">
        <v>169</v>
      </c>
      <c r="C173" s="23" t="n">
        <v>2169</v>
      </c>
      <c r="D173" s="23" t="inlineStr">
        <is>
          <t>1380606023</t>
        </is>
      </c>
      <c r="E173" s="11" t="inlineStr">
        <is>
          <t>National Capital Region (NCR)</t>
        </is>
      </c>
      <c r="F173" s="11" t="inlineStr">
        <is>
          <t>First District (Not a Province)</t>
        </is>
      </c>
      <c r="G173" s="11" t="inlineStr">
        <is>
          <t>City of Manila</t>
        </is>
      </c>
      <c r="H173" s="11" t="inlineStr">
        <is>
          <t>Barangay 417</t>
        </is>
      </c>
      <c r="I173" s="24" t="n">
        <v>14.603777</v>
      </c>
      <c r="J173" s="24" t="n">
        <v>120.999397</v>
      </c>
      <c r="K173" s="23" t="inlineStr">
        <is>
          <t>U</t>
        </is>
      </c>
      <c r="L173" s="25" t="n">
        <v>1818</v>
      </c>
      <c r="M173" s="26" t="n">
        <v>4.3</v>
      </c>
      <c r="N173" s="25">
        <f>ROUND(L173/M173, 0)</f>
        <v/>
      </c>
      <c r="O173" s="25">
        <f>ROUND(N173*'Methodology &amp; Assumptions'!$B$7, 0)</f>
        <v/>
      </c>
      <c r="P173" s="23" t="inlineStr">
        <is>
          <t>Single Carrier (Band n50, 100MHz TDD)</t>
        </is>
      </c>
      <c r="Q173" s="27">
        <f>ROUNDUP(O173/'Methodology &amp; Assumptions'!$B$8, 0)</f>
        <v/>
      </c>
      <c r="R173" s="27" t="n">
        <v>1</v>
      </c>
      <c r="S173" s="26" t="n">
        <v>0.59</v>
      </c>
      <c r="T173" s="26" t="n">
        <v>0.26</v>
      </c>
      <c r="U173" s="11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26" t="n">
        <v>54.7</v>
      </c>
      <c r="W173" s="26" t="n">
        <v>69.19</v>
      </c>
      <c r="X173" s="26">
        <f>ROUND(('Methodology &amp; Assumptions'!$B$5*V173) + ('Methodology &amp; Assumptions'!$B$6*W173), 2)</f>
        <v/>
      </c>
      <c r="Y173" s="28" t="n">
        <v>10.9</v>
      </c>
      <c r="Z173" s="11" t="inlineStr">
        <is>
          <t>Priority Tier 2 (Balanced Opportunity)</t>
        </is>
      </c>
    </row>
    <row r="174">
      <c r="A174" s="23" t="n">
        <v>3</v>
      </c>
      <c r="B174" s="23" t="n">
        <v>170</v>
      </c>
      <c r="C174" s="23" t="n">
        <v>2170</v>
      </c>
      <c r="D174" s="23" t="inlineStr">
        <is>
          <t>1380611029</t>
        </is>
      </c>
      <c r="E174" s="11" t="inlineStr">
        <is>
          <t>National Capital Region (NCR)</t>
        </is>
      </c>
      <c r="F174" s="11" t="inlineStr">
        <is>
          <t>First District (Not a Province)</t>
        </is>
      </c>
      <c r="G174" s="11" t="inlineStr">
        <is>
          <t>City of Manila</t>
        </is>
      </c>
      <c r="H174" s="11" t="inlineStr">
        <is>
          <t>Barangay 815</t>
        </is>
      </c>
      <c r="I174" s="24" t="n">
        <v>14.57882</v>
      </c>
      <c r="J174" s="24" t="n">
        <v>120.9996</v>
      </c>
      <c r="K174" s="23" t="inlineStr">
        <is>
          <t>U</t>
        </is>
      </c>
      <c r="L174" s="25" t="n">
        <v>1470</v>
      </c>
      <c r="M174" s="26" t="n">
        <v>3.7</v>
      </c>
      <c r="N174" s="25">
        <f>ROUND(L174/M174, 0)</f>
        <v/>
      </c>
      <c r="O174" s="25">
        <f>ROUND(N174*'Methodology &amp; Assumptions'!$B$7, 0)</f>
        <v/>
      </c>
      <c r="P174" s="23" t="inlineStr">
        <is>
          <t>Single Carrier (Band n50, 100MHz TDD)</t>
        </is>
      </c>
      <c r="Q174" s="27">
        <f>ROUNDUP(O174/'Methodology &amp; Assumptions'!$B$8, 0)</f>
        <v/>
      </c>
      <c r="R174" s="27" t="n">
        <v>1</v>
      </c>
      <c r="S174" s="26" t="n">
        <v>0.71</v>
      </c>
      <c r="T174" s="26" t="n">
        <v>0.14</v>
      </c>
      <c r="U174" s="11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26" t="n">
        <v>53.84</v>
      </c>
      <c r="W174" s="26" t="n">
        <v>70.04000000000001</v>
      </c>
      <c r="X174" s="26">
        <f>ROUND(('Methodology &amp; Assumptions'!$B$5*V174) + ('Methodology &amp; Assumptions'!$B$6*W174), 2)</f>
        <v/>
      </c>
      <c r="Y174" s="28" t="n">
        <v>10.9</v>
      </c>
      <c r="Z174" s="11" t="inlineStr">
        <is>
          <t>Priority Tier 2 (Balanced Opportunity)</t>
        </is>
      </c>
    </row>
    <row r="175">
      <c r="A175" s="23" t="n">
        <v>3</v>
      </c>
      <c r="B175" s="23" t="n">
        <v>171</v>
      </c>
      <c r="C175" s="23" t="n">
        <v>2171</v>
      </c>
      <c r="D175" s="23" t="inlineStr">
        <is>
          <t>1380614095</t>
        </is>
      </c>
      <c r="E175" s="11" t="inlineStr">
        <is>
          <t>National Capital Region (NCR)</t>
        </is>
      </c>
      <c r="F175" s="11" t="inlineStr">
        <is>
          <t>First District (Not a Province)</t>
        </is>
      </c>
      <c r="G175" s="11" t="inlineStr">
        <is>
          <t>City of Manila</t>
        </is>
      </c>
      <c r="H175" s="11" t="inlineStr">
        <is>
          <t>Barangay 902</t>
        </is>
      </c>
      <c r="I175" s="24" t="n">
        <v>14.586552</v>
      </c>
      <c r="J175" s="24" t="n">
        <v>121.010192</v>
      </c>
      <c r="K175" s="23" t="inlineStr">
        <is>
          <t>U</t>
        </is>
      </c>
      <c r="L175" s="25" t="n">
        <v>1337</v>
      </c>
      <c r="M175" s="26" t="n">
        <v>3.39</v>
      </c>
      <c r="N175" s="25">
        <f>ROUND(L175/M175, 0)</f>
        <v/>
      </c>
      <c r="O175" s="25">
        <f>ROUND(N175*'Methodology &amp; Assumptions'!$B$7, 0)</f>
        <v/>
      </c>
      <c r="P175" s="23" t="inlineStr">
        <is>
          <t>Single Carrier (Band n50, 100MHz TDD)</t>
        </is>
      </c>
      <c r="Q175" s="27">
        <f>ROUNDUP(O175/'Methodology &amp; Assumptions'!$B$8, 0)</f>
        <v/>
      </c>
      <c r="R175" s="27" t="n">
        <v>1</v>
      </c>
      <c r="S175" s="26" t="n">
        <v>0.83</v>
      </c>
      <c r="T175" s="26" t="n">
        <v>0.63</v>
      </c>
      <c r="U175" s="11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26" t="n">
        <v>53.73</v>
      </c>
      <c r="W175" s="26" t="n">
        <v>70.14</v>
      </c>
      <c r="X175" s="26">
        <f>ROUND(('Methodology &amp; Assumptions'!$B$5*V175) + ('Methodology &amp; Assumptions'!$B$6*W175), 2)</f>
        <v/>
      </c>
      <c r="Y175" s="28" t="n">
        <v>10.9</v>
      </c>
      <c r="Z175" s="11" t="inlineStr">
        <is>
          <t>Priority Tier 2 (Balanced Opportunity)</t>
        </is>
      </c>
    </row>
    <row r="176">
      <c r="A176" s="23" t="n">
        <v>3</v>
      </c>
      <c r="B176" s="23" t="n">
        <v>172</v>
      </c>
      <c r="C176" s="23" t="n">
        <v>2172</v>
      </c>
      <c r="D176" s="23" t="inlineStr">
        <is>
          <t>0304932005</t>
        </is>
      </c>
      <c r="E176" s="11" t="inlineStr">
        <is>
          <t>Region III (Central Luzon)</t>
        </is>
      </c>
      <c r="F176" s="11" t="inlineStr">
        <is>
          <t>Nueva Ecija</t>
        </is>
      </c>
      <c r="G176" s="11" t="inlineStr">
        <is>
          <t>Zaragoza</t>
        </is>
      </c>
      <c r="H176" s="11" t="inlineStr">
        <is>
          <t>Del Pilar</t>
        </is>
      </c>
      <c r="I176" s="24" t="n">
        <v>15.451944</v>
      </c>
      <c r="J176" s="24" t="n">
        <v>120.793333</v>
      </c>
      <c r="K176" s="23" t="inlineStr">
        <is>
          <t>R</t>
        </is>
      </c>
      <c r="L176" s="25" t="n">
        <v>4083</v>
      </c>
      <c r="M176" s="26" t="n">
        <v>3.5</v>
      </c>
      <c r="N176" s="25">
        <f>ROUND(L176/M176, 0)</f>
        <v/>
      </c>
      <c r="O176" s="25">
        <f>ROUND(N176*'Methodology &amp; Assumptions'!$B$7, 0)</f>
        <v/>
      </c>
      <c r="P176" s="23" t="inlineStr">
        <is>
          <t>Single Carrier (Band n50, 100MHz TDD)</t>
        </is>
      </c>
      <c r="Q176" s="27">
        <f>ROUNDUP(O176/'Methodology &amp; Assumptions'!$B$8, 0)</f>
        <v/>
      </c>
      <c r="R176" s="27" t="n">
        <v>1</v>
      </c>
      <c r="S176" s="26" t="n">
        <v>0.35</v>
      </c>
      <c r="T176" s="26" t="n">
        <v>0.28</v>
      </c>
      <c r="U176" s="11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26" t="n">
        <v>85.63</v>
      </c>
      <c r="W176" s="26" t="n">
        <v>38.22</v>
      </c>
      <c r="X176" s="26">
        <f>ROUND(('Methodology &amp; Assumptions'!$B$5*V176) + ('Methodology &amp; Assumptions'!$B$6*W176), 2)</f>
        <v/>
      </c>
      <c r="Y176" s="28" t="n">
        <v>8.300000000000001</v>
      </c>
      <c r="Z176" s="11" t="inlineStr">
        <is>
          <t>Priority Tier 2 (Balanced Opportunity)</t>
        </is>
      </c>
    </row>
    <row r="177">
      <c r="A177" s="23" t="n">
        <v>3</v>
      </c>
      <c r="B177" s="23" t="n">
        <v>173</v>
      </c>
      <c r="C177" s="23" t="n">
        <v>2173</v>
      </c>
      <c r="D177" s="23" t="inlineStr">
        <is>
          <t>0403410002</t>
        </is>
      </c>
      <c r="E177" s="11" t="inlineStr">
        <is>
          <t>Region IV-A (CALABARZON)</t>
        </is>
      </c>
      <c r="F177" s="11" t="inlineStr">
        <is>
          <t>Laguna</t>
        </is>
      </c>
      <c r="G177" s="11" t="inlineStr">
        <is>
          <t>Liliw</t>
        </is>
      </c>
      <c r="H177" s="11" t="inlineStr">
        <is>
          <t>Bagong Anyo</t>
        </is>
      </c>
      <c r="I177" s="24" t="n">
        <v>14.13292</v>
      </c>
      <c r="J177" s="24" t="n">
        <v>121.439464</v>
      </c>
      <c r="K177" s="23" t="inlineStr">
        <is>
          <t>R</t>
        </is>
      </c>
      <c r="L177" s="25" t="n">
        <v>1236</v>
      </c>
      <c r="M177" s="26" t="n">
        <v>3.3</v>
      </c>
      <c r="N177" s="25">
        <f>ROUND(L177/M177, 0)</f>
        <v/>
      </c>
      <c r="O177" s="25">
        <f>ROUND(N177*'Methodology &amp; Assumptions'!$B$7, 0)</f>
        <v/>
      </c>
      <c r="P177" s="23" t="inlineStr">
        <is>
          <t>Single Carrier (Band n50, 100MHz TDD)</t>
        </is>
      </c>
      <c r="Q177" s="27">
        <f>ROUNDUP(O177/'Methodology &amp; Assumptions'!$B$8, 0)</f>
        <v/>
      </c>
      <c r="R177" s="27" t="n">
        <v>1</v>
      </c>
      <c r="S177" s="26" t="n">
        <v>0.51</v>
      </c>
      <c r="T177" s="26" t="n">
        <v>0.13</v>
      </c>
      <c r="U177" s="11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26" t="n">
        <v>71.04000000000001</v>
      </c>
      <c r="W177" s="26" t="n">
        <v>52.82</v>
      </c>
      <c r="X177" s="26">
        <f>ROUND(('Methodology &amp; Assumptions'!$B$5*V177) + ('Methodology &amp; Assumptions'!$B$6*W177), 2)</f>
        <v/>
      </c>
      <c r="Y177" s="28" t="n">
        <v>7.2</v>
      </c>
      <c r="Z177" s="11" t="inlineStr">
        <is>
          <t>Priority Tier 2 (Balanced Opportunity)</t>
        </is>
      </c>
    </row>
    <row r="178">
      <c r="A178" s="23" t="n">
        <v>3</v>
      </c>
      <c r="B178" s="23" t="n">
        <v>174</v>
      </c>
      <c r="C178" s="23" t="n">
        <v>2174</v>
      </c>
      <c r="D178" s="23" t="inlineStr">
        <is>
          <t>1380606212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605</t>
        </is>
      </c>
      <c r="I178" s="24" t="n">
        <v>14.595254</v>
      </c>
      <c r="J178" s="24" t="n">
        <v>121.020569</v>
      </c>
      <c r="K178" s="23" t="inlineStr">
        <is>
          <t>U</t>
        </is>
      </c>
      <c r="L178" s="25" t="n">
        <v>2242</v>
      </c>
      <c r="M178" s="26" t="n">
        <v>4.3</v>
      </c>
      <c r="N178" s="25">
        <f>ROUND(L178/M178, 0)</f>
        <v/>
      </c>
      <c r="O178" s="25">
        <f>ROUND(N178*'Methodology &amp; Assumptions'!$B$7, 0)</f>
        <v/>
      </c>
      <c r="P178" s="23" t="inlineStr">
        <is>
          <t>Single Carrier (Band n50, 100MHz TDD)</t>
        </is>
      </c>
      <c r="Q178" s="27">
        <f>ROUNDUP(O178/'Methodology &amp; Assumptions'!$B$8, 0)</f>
        <v/>
      </c>
      <c r="R178" s="27" t="n">
        <v>1</v>
      </c>
      <c r="S178" s="26" t="n">
        <v>1.52</v>
      </c>
      <c r="T178" s="26" t="n">
        <v>0.71</v>
      </c>
      <c r="U178" s="11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26" t="n">
        <v>55.34</v>
      </c>
      <c r="W178" s="26" t="n">
        <v>68.53</v>
      </c>
      <c r="X178" s="26">
        <f>ROUND(('Methodology &amp; Assumptions'!$B$5*V178) + ('Methodology &amp; Assumptions'!$B$6*W178), 2)</f>
        <v/>
      </c>
      <c r="Y178" s="28" t="n">
        <v>10.9</v>
      </c>
      <c r="Z178" s="11" t="inlineStr">
        <is>
          <t>Priority Tier 2 (Balanced Opportunity)</t>
        </is>
      </c>
    </row>
    <row r="179">
      <c r="A179" s="23" t="n">
        <v>3</v>
      </c>
      <c r="B179" s="23" t="n">
        <v>175</v>
      </c>
      <c r="C179" s="23" t="n">
        <v>2175</v>
      </c>
      <c r="D179" s="23" t="inlineStr">
        <is>
          <t>0305403009</t>
        </is>
      </c>
      <c r="E179" s="11" t="inlineStr">
        <is>
          <t>Region III (Central Luzon)</t>
        </is>
      </c>
      <c r="F179" s="11" t="inlineStr">
        <is>
          <t>Pampanga</t>
        </is>
      </c>
      <c r="G179" s="11" t="inlineStr">
        <is>
          <t>Arayat</t>
        </is>
      </c>
      <c r="H179" s="11" t="inlineStr">
        <is>
          <t>Guemasan</t>
        </is>
      </c>
      <c r="I179" s="24" t="n">
        <v>15.147344</v>
      </c>
      <c r="J179" s="24" t="n">
        <v>120.775526</v>
      </c>
      <c r="K179" s="23" t="inlineStr">
        <is>
          <t>R</t>
        </is>
      </c>
      <c r="L179" s="25" t="n">
        <v>4424</v>
      </c>
      <c r="M179" s="26" t="n">
        <v>4</v>
      </c>
      <c r="N179" s="25">
        <f>ROUND(L179/M179, 0)</f>
        <v/>
      </c>
      <c r="O179" s="25">
        <f>ROUND(N179*'Methodology &amp; Assumptions'!$B$7, 0)</f>
        <v/>
      </c>
      <c r="P179" s="23" t="inlineStr">
        <is>
          <t>Single Carrier (Band n50, 100MHz TDD)</t>
        </is>
      </c>
      <c r="Q179" s="27">
        <f>ROUNDUP(O179/'Methodology &amp; Assumptions'!$B$8, 0)</f>
        <v/>
      </c>
      <c r="R179" s="27" t="n">
        <v>1</v>
      </c>
      <c r="S179" s="26" t="n">
        <v>0.7</v>
      </c>
      <c r="T179" s="26" t="n">
        <v>0.63</v>
      </c>
      <c r="U179" s="11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26" t="n">
        <v>85.63</v>
      </c>
      <c r="W179" s="26" t="n">
        <v>38.2</v>
      </c>
      <c r="X179" s="26">
        <f>ROUND(('Methodology &amp; Assumptions'!$B$5*V179) + ('Methodology &amp; Assumptions'!$B$6*W179), 2)</f>
        <v/>
      </c>
      <c r="Y179" s="28" t="n">
        <v>8.300000000000001</v>
      </c>
      <c r="Z179" s="11" t="inlineStr">
        <is>
          <t>Priority Tier 2 (Balanced Opportunity)</t>
        </is>
      </c>
    </row>
    <row r="180">
      <c r="A180" s="23" t="n">
        <v>3</v>
      </c>
      <c r="B180" s="23" t="n">
        <v>176</v>
      </c>
      <c r="C180" s="23" t="n">
        <v>2176</v>
      </c>
      <c r="D180" s="23" t="inlineStr">
        <is>
          <t>1381300108</t>
        </is>
      </c>
      <c r="E180" s="11" t="inlineStr">
        <is>
          <t>National Capital Region (NCR)</t>
        </is>
      </c>
      <c r="F180" s="11" t="inlineStr">
        <is>
          <t>Second District (Not a Province)</t>
        </is>
      </c>
      <c r="G180" s="11" t="inlineStr">
        <is>
          <t>Quezon City</t>
        </is>
      </c>
      <c r="H180" s="11" t="inlineStr">
        <is>
          <t>Santo Cristo</t>
        </is>
      </c>
      <c r="I180" s="24" t="n">
        <v>14.660833</v>
      </c>
      <c r="J180" s="24" t="n">
        <v>121.029047</v>
      </c>
      <c r="K180" s="23" t="inlineStr">
        <is>
          <t>U</t>
        </is>
      </c>
      <c r="L180" s="25" t="n">
        <v>30809</v>
      </c>
      <c r="M180" s="26" t="n">
        <v>2.93</v>
      </c>
      <c r="N180" s="25">
        <f>ROUND(L180/M180, 0)</f>
        <v/>
      </c>
      <c r="O180" s="25">
        <f>ROUND(N180*'Methodology &amp; Assumptions'!$B$7, 0)</f>
        <v/>
      </c>
      <c r="P180" s="23" t="inlineStr">
        <is>
          <t>Single Carrier (Band n50, 100MHz TDD)</t>
        </is>
      </c>
      <c r="Q180" s="27">
        <f>ROUNDUP(O180/'Methodology &amp; Assumptions'!$B$8, 0)</f>
        <v/>
      </c>
      <c r="R180" s="27" t="n">
        <v>1</v>
      </c>
      <c r="S180" s="26" t="n">
        <v>0.39</v>
      </c>
      <c r="T180" s="26" t="n">
        <v>0.09</v>
      </c>
      <c r="U180" s="11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26" t="n">
        <v>66.91</v>
      </c>
      <c r="W180" s="26" t="n">
        <v>56.93</v>
      </c>
      <c r="X180" s="26">
        <f>ROUND(('Methodology &amp; Assumptions'!$B$5*V180) + ('Methodology &amp; Assumptions'!$B$6*W180), 2)</f>
        <v/>
      </c>
      <c r="Y180" s="28" t="n">
        <v>10.9</v>
      </c>
      <c r="Z180" s="11" t="inlineStr">
        <is>
          <t>Priority Tier 2 (Balanced Opportunity)</t>
        </is>
      </c>
    </row>
    <row r="181">
      <c r="A181" s="23" t="n">
        <v>3</v>
      </c>
      <c r="B181" s="23" t="n">
        <v>177</v>
      </c>
      <c r="C181" s="23" t="n">
        <v>2177</v>
      </c>
      <c r="D181" s="23" t="inlineStr">
        <is>
          <t>1380614045</t>
        </is>
      </c>
      <c r="E181" s="11" t="inlineStr">
        <is>
          <t>National Capital Region (NCR)</t>
        </is>
      </c>
      <c r="F181" s="11" t="inlineStr">
        <is>
          <t>First District (Not a Province)</t>
        </is>
      </c>
      <c r="G181" s="11" t="inlineStr">
        <is>
          <t>City of Manila</t>
        </is>
      </c>
      <c r="H181" s="11" t="inlineStr">
        <is>
          <t>Barangay 789</t>
        </is>
      </c>
      <c r="I181" s="24" t="n">
        <v>14.578451</v>
      </c>
      <c r="J181" s="24" t="n">
        <v>121.00448</v>
      </c>
      <c r="K181" s="23" t="inlineStr">
        <is>
          <t>U</t>
        </is>
      </c>
      <c r="L181" s="25" t="n">
        <v>1763</v>
      </c>
      <c r="M181" s="26" t="n">
        <v>4.12</v>
      </c>
      <c r="N181" s="25">
        <f>ROUND(L181/M181, 0)</f>
        <v/>
      </c>
      <c r="O181" s="25">
        <f>ROUND(N181*'Methodology &amp; Assumptions'!$B$7, 0)</f>
        <v/>
      </c>
      <c r="P181" s="23" t="inlineStr">
        <is>
          <t>Single Carrier (Band n50, 100MHz TDD)</t>
        </is>
      </c>
      <c r="Q181" s="27">
        <f>ROUNDUP(O181/'Methodology &amp; Assumptions'!$B$8, 0)</f>
        <v/>
      </c>
      <c r="R181" s="27" t="n">
        <v>1</v>
      </c>
      <c r="S181" s="26" t="n">
        <v>0.6899999999999999</v>
      </c>
      <c r="T181" s="26" t="n">
        <v>0.23</v>
      </c>
      <c r="U181" s="11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26" t="n">
        <v>54.8</v>
      </c>
      <c r="W181" s="26" t="n">
        <v>69.04000000000001</v>
      </c>
      <c r="X181" s="26">
        <f>ROUND(('Methodology &amp; Assumptions'!$B$5*V181) + ('Methodology &amp; Assumptions'!$B$6*W181), 2)</f>
        <v/>
      </c>
      <c r="Y181" s="28" t="n">
        <v>10.9</v>
      </c>
      <c r="Z181" s="11" t="inlineStr">
        <is>
          <t>Priority Tier 2 (Balanced Opportunity)</t>
        </is>
      </c>
    </row>
    <row r="182">
      <c r="A182" s="23" t="n">
        <v>3</v>
      </c>
      <c r="B182" s="23" t="n">
        <v>178</v>
      </c>
      <c r="C182" s="23" t="n">
        <v>2178</v>
      </c>
      <c r="D182" s="23" t="inlineStr">
        <is>
          <t>1380601079</t>
        </is>
      </c>
      <c r="E182" s="11" t="inlineStr">
        <is>
          <t>National Capital Region (NCR)</t>
        </is>
      </c>
      <c r="F182" s="11" t="inlineStr">
        <is>
          <t>First District (Not a Province)</t>
        </is>
      </c>
      <c r="G182" s="11" t="inlineStr">
        <is>
          <t>City of Manila</t>
        </is>
      </c>
      <c r="H182" s="11" t="inlineStr">
        <is>
          <t>Barangay 79</t>
        </is>
      </c>
      <c r="I182" s="24" t="n">
        <v>14.61632</v>
      </c>
      <c r="J182" s="24" t="n">
        <v>120.964867</v>
      </c>
      <c r="K182" s="23" t="inlineStr">
        <is>
          <t>U</t>
        </is>
      </c>
      <c r="L182" s="25" t="n">
        <v>1601</v>
      </c>
      <c r="M182" s="26" t="n">
        <v>4.97</v>
      </c>
      <c r="N182" s="25">
        <f>ROUND(L182/M182, 0)</f>
        <v/>
      </c>
      <c r="O182" s="25">
        <f>ROUND(N182*'Methodology &amp; Assumptions'!$B$7, 0)</f>
        <v/>
      </c>
      <c r="P182" s="23" t="inlineStr">
        <is>
          <t>Single Carrier (Band n50, 100MHz TDD)</t>
        </is>
      </c>
      <c r="Q182" s="27">
        <f>ROUNDUP(O182/'Methodology &amp; Assumptions'!$B$8, 0)</f>
        <v/>
      </c>
      <c r="R182" s="27" t="n">
        <v>1</v>
      </c>
      <c r="S182" s="26" t="n">
        <v>0.29</v>
      </c>
      <c r="T182" s="26" t="n">
        <v>0.28</v>
      </c>
      <c r="U182" s="11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26" t="n">
        <v>51.48</v>
      </c>
      <c r="W182" s="26" t="n">
        <v>72.34999999999999</v>
      </c>
      <c r="X182" s="26">
        <f>ROUND(('Methodology &amp; Assumptions'!$B$5*V182) + ('Methodology &amp; Assumptions'!$B$6*W182), 2)</f>
        <v/>
      </c>
      <c r="Y182" s="28" t="n">
        <v>10.9</v>
      </c>
      <c r="Z182" s="11" t="inlineStr">
        <is>
          <t>Priority Tier 2 (Balanced Opportunity)</t>
        </is>
      </c>
    </row>
    <row r="183">
      <c r="A183" s="23" t="n">
        <v>3</v>
      </c>
      <c r="B183" s="23" t="n">
        <v>179</v>
      </c>
      <c r="C183" s="23" t="n">
        <v>2179</v>
      </c>
      <c r="D183" s="23" t="inlineStr">
        <is>
          <t>0405617013</t>
        </is>
      </c>
      <c r="E183" s="11" t="inlineStr">
        <is>
          <t>Region IV-A (CALABARZON)</t>
        </is>
      </c>
      <c r="F183" s="11" t="inlineStr">
        <is>
          <t>Quezon</t>
        </is>
      </c>
      <c r="G183" s="11" t="inlineStr">
        <is>
          <t>General Nakar</t>
        </is>
      </c>
      <c r="H183" s="11" t="inlineStr">
        <is>
          <t>Pagsangahan</t>
        </is>
      </c>
      <c r="I183" s="24" t="n">
        <v>14.653831</v>
      </c>
      <c r="J183" s="24" t="n">
        <v>121.457045</v>
      </c>
      <c r="K183" s="23" t="inlineStr">
        <is>
          <t>R</t>
        </is>
      </c>
      <c r="L183" s="25" t="n">
        <v>1547</v>
      </c>
      <c r="M183" s="26" t="n">
        <v>3.8</v>
      </c>
      <c r="N183" s="25">
        <f>ROUND(L183/M183, 0)</f>
        <v/>
      </c>
      <c r="O183" s="25">
        <f>ROUND(N183*'Methodology &amp; Assumptions'!$B$7, 0)</f>
        <v/>
      </c>
      <c r="P183" s="23" t="inlineStr">
        <is>
          <t>Single Carrier (Band n50, 100MHz TDD)</t>
        </is>
      </c>
      <c r="Q183" s="27">
        <f>ROUNDUP(O183/'Methodology &amp; Assumptions'!$B$8, 0)</f>
        <v/>
      </c>
      <c r="R183" s="27" t="n">
        <v>1</v>
      </c>
      <c r="S183" s="26" t="n">
        <v>15.92</v>
      </c>
      <c r="T183" s="26" t="n">
        <v>23.54</v>
      </c>
      <c r="U183" s="11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26" t="n">
        <v>46.88</v>
      </c>
      <c r="W183" s="26" t="n">
        <v>76.95999999999999</v>
      </c>
      <c r="X183" s="26">
        <f>ROUND(('Methodology &amp; Assumptions'!$B$5*V183) + ('Methodology &amp; Assumptions'!$B$6*W183), 2)</f>
        <v/>
      </c>
      <c r="Y183" s="28" t="n">
        <v>7.2</v>
      </c>
      <c r="Z183" s="11" t="inlineStr">
        <is>
          <t>Priority Tier 2 (Balanced Opportunity)</t>
        </is>
      </c>
    </row>
    <row r="184">
      <c r="A184" s="23" t="n">
        <v>3</v>
      </c>
      <c r="B184" s="23" t="n">
        <v>180</v>
      </c>
      <c r="C184" s="23" t="n">
        <v>2180</v>
      </c>
      <c r="D184" s="23" t="inlineStr">
        <is>
          <t>0403402002</t>
        </is>
      </c>
      <c r="E184" s="11" t="inlineStr">
        <is>
          <t>Region IV-A (CALABARZON)</t>
        </is>
      </c>
      <c r="F184" s="11" t="inlineStr">
        <is>
          <t>Laguna</t>
        </is>
      </c>
      <c r="G184" s="11" t="inlineStr">
        <is>
          <t>Bay</t>
        </is>
      </c>
      <c r="H184" s="11" t="inlineStr">
        <is>
          <t>Calo</t>
        </is>
      </c>
      <c r="I184" s="24" t="n">
        <v>14.181165</v>
      </c>
      <c r="J184" s="24" t="n">
        <v>121.280153</v>
      </c>
      <c r="K184" s="23" t="inlineStr">
        <is>
          <t>R</t>
        </is>
      </c>
      <c r="L184" s="25" t="n">
        <v>4494</v>
      </c>
      <c r="M184" s="26" t="n">
        <v>3.3</v>
      </c>
      <c r="N184" s="25">
        <f>ROUND(L184/M184, 0)</f>
        <v/>
      </c>
      <c r="O184" s="25">
        <f>ROUND(N184*'Methodology &amp; Assumptions'!$B$7, 0)</f>
        <v/>
      </c>
      <c r="P184" s="23" t="inlineStr">
        <is>
          <t>Single Carrier (Band n50, 100MHz TDD)</t>
        </is>
      </c>
      <c r="Q184" s="27">
        <f>ROUNDUP(O184/'Methodology &amp; Assumptions'!$B$8, 0)</f>
        <v/>
      </c>
      <c r="R184" s="27" t="n">
        <v>1</v>
      </c>
      <c r="S184" s="26" t="n">
        <v>0.04</v>
      </c>
      <c r="T184" s="26" t="n">
        <v>0.18</v>
      </c>
      <c r="U184" s="11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26" t="n">
        <v>85.45999999999999</v>
      </c>
      <c r="W184" s="26" t="n">
        <v>38.36</v>
      </c>
      <c r="X184" s="26">
        <f>ROUND(('Methodology &amp; Assumptions'!$B$5*V184) + ('Methodology &amp; Assumptions'!$B$6*W184), 2)</f>
        <v/>
      </c>
      <c r="Y184" s="28" t="n">
        <v>7.2</v>
      </c>
      <c r="Z184" s="11" t="inlineStr">
        <is>
          <t>Priority Tier 2 (Balanced Opportunity)</t>
        </is>
      </c>
    </row>
    <row r="185">
      <c r="A185" s="23" t="n">
        <v>3</v>
      </c>
      <c r="B185" s="23" t="n">
        <v>181</v>
      </c>
      <c r="C185" s="23" t="n">
        <v>2181</v>
      </c>
      <c r="D185" s="23" t="inlineStr">
        <is>
          <t>0304928028</t>
        </is>
      </c>
      <c r="E185" s="11" t="inlineStr">
        <is>
          <t>Region III (Central Luzon)</t>
        </is>
      </c>
      <c r="F185" s="11" t="inlineStr">
        <is>
          <t>Nueva Ecija</t>
        </is>
      </c>
      <c r="G185" s="11" t="inlineStr">
        <is>
          <t>Santa Rosa</t>
        </is>
      </c>
      <c r="H185" s="11" t="inlineStr">
        <is>
          <t>Isla</t>
        </is>
      </c>
      <c r="I185" s="24" t="n">
        <v>15.418033</v>
      </c>
      <c r="J185" s="24" t="n">
        <v>120.929281</v>
      </c>
      <c r="K185" s="23" t="inlineStr">
        <is>
          <t>R</t>
        </is>
      </c>
      <c r="L185" s="25" t="n">
        <v>2736</v>
      </c>
      <c r="M185" s="26" t="n">
        <v>3.5</v>
      </c>
      <c r="N185" s="25">
        <f>ROUND(L185/M185, 0)</f>
        <v/>
      </c>
      <c r="O185" s="25">
        <f>ROUND(N185*'Methodology &amp; Assumptions'!$B$7, 0)</f>
        <v/>
      </c>
      <c r="P185" s="23" t="inlineStr">
        <is>
          <t>Single Carrier (Band n50, 100MHz TDD)</t>
        </is>
      </c>
      <c r="Q185" s="27">
        <f>ROUNDUP(O185/'Methodology &amp; Assumptions'!$B$8, 0)</f>
        <v/>
      </c>
      <c r="R185" s="27" t="n">
        <v>1</v>
      </c>
      <c r="S185" s="26" t="n">
        <v>0.77</v>
      </c>
      <c r="T185" s="26" t="n">
        <v>0.79</v>
      </c>
      <c r="U185" s="11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26" t="n">
        <v>84.48</v>
      </c>
      <c r="W185" s="26" t="n">
        <v>39.34</v>
      </c>
      <c r="X185" s="26">
        <f>ROUND(('Methodology &amp; Assumptions'!$B$5*V185) + ('Methodology &amp; Assumptions'!$B$6*W185), 2)</f>
        <v/>
      </c>
      <c r="Y185" s="28" t="n">
        <v>8.300000000000001</v>
      </c>
      <c r="Z185" s="11" t="inlineStr">
        <is>
          <t>Priority Tier 2 (Balanced Opportunity)</t>
        </is>
      </c>
    </row>
    <row r="186">
      <c r="A186" s="23" t="n">
        <v>3</v>
      </c>
      <c r="B186" s="23" t="n">
        <v>182</v>
      </c>
      <c r="C186" s="23" t="n">
        <v>2182</v>
      </c>
      <c r="D186" s="23" t="inlineStr">
        <is>
          <t>0403415019</t>
        </is>
      </c>
      <c r="E186" s="11" t="inlineStr">
        <is>
          <t>Region IV-A (CALABARZON)</t>
        </is>
      </c>
      <c r="F186" s="11" t="inlineStr">
        <is>
          <t>Laguna</t>
        </is>
      </c>
      <c r="G186" s="11" t="inlineStr">
        <is>
          <t>Magdalena</t>
        </is>
      </c>
      <c r="H186" s="11" t="inlineStr">
        <is>
          <t>Poblacion</t>
        </is>
      </c>
      <c r="I186" s="24" t="n">
        <v>14.208752</v>
      </c>
      <c r="J186" s="24" t="n">
        <v>121.430178</v>
      </c>
      <c r="K186" s="23" t="inlineStr">
        <is>
          <t>R</t>
        </is>
      </c>
      <c r="L186" s="25" t="n">
        <v>2735</v>
      </c>
      <c r="M186" s="26" t="n">
        <v>3.3</v>
      </c>
      <c r="N186" s="25">
        <f>ROUND(L186/M186, 0)</f>
        <v/>
      </c>
      <c r="O186" s="25">
        <f>ROUND(N186*'Methodology &amp; Assumptions'!$B$7, 0)</f>
        <v/>
      </c>
      <c r="P186" s="23" t="inlineStr">
        <is>
          <t>Single Carrier (Band n50, 100MHz TDD)</t>
        </is>
      </c>
      <c r="Q186" s="27">
        <f>ROUNDUP(O186/'Methodology &amp; Assumptions'!$B$8, 0)</f>
        <v/>
      </c>
      <c r="R186" s="27" t="n">
        <v>1</v>
      </c>
      <c r="S186" s="26" t="n">
        <v>1.14</v>
      </c>
      <c r="T186" s="26" t="n">
        <v>0.17</v>
      </c>
      <c r="U186" s="11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26" t="n">
        <v>84.31999999999999</v>
      </c>
      <c r="W186" s="26" t="n">
        <v>39.51</v>
      </c>
      <c r="X186" s="26">
        <f>ROUND(('Methodology &amp; Assumptions'!$B$5*V186) + ('Methodology &amp; Assumptions'!$B$6*W186), 2)</f>
        <v/>
      </c>
      <c r="Y186" s="28" t="n">
        <v>7.2</v>
      </c>
      <c r="Z186" s="11" t="inlineStr">
        <is>
          <t>Priority Tier 2 (Balanced Opportunity)</t>
        </is>
      </c>
    </row>
    <row r="187">
      <c r="A187" s="23" t="n">
        <v>3</v>
      </c>
      <c r="B187" s="23" t="n">
        <v>183</v>
      </c>
      <c r="C187" s="23" t="n">
        <v>2183</v>
      </c>
      <c r="D187" s="23" t="inlineStr">
        <is>
          <t>0301405005</t>
        </is>
      </c>
      <c r="E187" s="11" t="inlineStr">
        <is>
          <t>Region III (Central Luzon)</t>
        </is>
      </c>
      <c r="F187" s="11" t="inlineStr">
        <is>
          <t>Bulacan</t>
        </is>
      </c>
      <c r="G187" s="11" t="inlineStr">
        <is>
          <t>Bulacan</t>
        </is>
      </c>
      <c r="H187" s="11" t="inlineStr">
        <is>
          <t>Maysantol</t>
        </is>
      </c>
      <c r="I187" s="24" t="n">
        <v>14.796988</v>
      </c>
      <c r="J187" s="24" t="n">
        <v>120.87165</v>
      </c>
      <c r="K187" s="23" t="inlineStr">
        <is>
          <t>R</t>
        </is>
      </c>
      <c r="L187" s="25" t="n">
        <v>3089</v>
      </c>
      <c r="M187" s="26" t="n">
        <v>3.5</v>
      </c>
      <c r="N187" s="25">
        <f>ROUND(L187/M187, 0)</f>
        <v/>
      </c>
      <c r="O187" s="25">
        <f>ROUND(N187*'Methodology &amp; Assumptions'!$B$7, 0)</f>
        <v/>
      </c>
      <c r="P187" s="23" t="inlineStr">
        <is>
          <t>Single Carrier (Band n50, 100MHz TDD)</t>
        </is>
      </c>
      <c r="Q187" s="27">
        <f>ROUNDUP(O187/'Methodology &amp; Assumptions'!$B$8, 0)</f>
        <v/>
      </c>
      <c r="R187" s="27" t="n">
        <v>1</v>
      </c>
      <c r="S187" s="26" t="n">
        <v>0.6899999999999999</v>
      </c>
      <c r="T187" s="26" t="n">
        <v>3.48</v>
      </c>
      <c r="U187" s="11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26" t="n">
        <v>82.73</v>
      </c>
      <c r="W187" s="26" t="n">
        <v>41.08</v>
      </c>
      <c r="X187" s="26">
        <f>ROUND(('Methodology &amp; Assumptions'!$B$5*V187) + ('Methodology &amp; Assumptions'!$B$6*W187), 2)</f>
        <v/>
      </c>
      <c r="Y187" s="28" t="n">
        <v>8.300000000000001</v>
      </c>
      <c r="Z187" s="11" t="inlineStr">
        <is>
          <t>Priority Tier 2 (Balanced Opportunity)</t>
        </is>
      </c>
    </row>
    <row r="188">
      <c r="A188" s="23" t="n">
        <v>3</v>
      </c>
      <c r="B188" s="23" t="n">
        <v>184</v>
      </c>
      <c r="C188" s="23" t="n">
        <v>2184</v>
      </c>
      <c r="D188" s="23" t="inlineStr">
        <is>
          <t>0301412007</t>
        </is>
      </c>
      <c r="E188" s="11" t="inlineStr">
        <is>
          <t>Region III (Central Luzon)</t>
        </is>
      </c>
      <c r="F188" s="11" t="inlineStr">
        <is>
          <t>Bulacan</t>
        </is>
      </c>
      <c r="G188" s="11" t="inlineStr">
        <is>
          <t>City of Meycauayan</t>
        </is>
      </c>
      <c r="H188" s="11" t="inlineStr">
        <is>
          <t>Camalig</t>
        </is>
      </c>
      <c r="I188" s="24" t="n">
        <v>14.769589</v>
      </c>
      <c r="J188" s="24" t="n">
        <v>120.993344</v>
      </c>
      <c r="K188" s="23" t="inlineStr">
        <is>
          <t>U</t>
        </is>
      </c>
      <c r="L188" s="25" t="n">
        <v>8768</v>
      </c>
      <c r="M188" s="26" t="n">
        <v>3.5</v>
      </c>
      <c r="N188" s="25">
        <f>ROUND(L188/M188, 0)</f>
        <v/>
      </c>
      <c r="O188" s="25">
        <f>ROUND(N188*'Methodology &amp; Assumptions'!$B$7, 0)</f>
        <v/>
      </c>
      <c r="P188" s="23" t="inlineStr">
        <is>
          <t>Single Carrier (Band n50, 100MHz TDD)</t>
        </is>
      </c>
      <c r="Q188" s="27">
        <f>ROUNDUP(O188/'Methodology &amp; Assumptions'!$B$8, 0)</f>
        <v/>
      </c>
      <c r="R188" s="27" t="n">
        <v>1</v>
      </c>
      <c r="S188" s="26" t="n">
        <v>1.26</v>
      </c>
      <c r="T188" s="26" t="n">
        <v>2.08</v>
      </c>
      <c r="U188" s="11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26" t="n">
        <v>73.34</v>
      </c>
      <c r="W188" s="26" t="n">
        <v>50.49</v>
      </c>
      <c r="X188" s="26">
        <f>ROUND(('Methodology &amp; Assumptions'!$B$5*V188) + ('Methodology &amp; Assumptions'!$B$6*W188), 2)</f>
        <v/>
      </c>
      <c r="Y188" s="28" t="n">
        <v>8.300000000000001</v>
      </c>
      <c r="Z188" s="11" t="inlineStr">
        <is>
          <t>Priority Tier 2 (Balanced Opportunity)</t>
        </is>
      </c>
    </row>
    <row r="189">
      <c r="A189" s="23" t="n">
        <v>3</v>
      </c>
      <c r="B189" s="23" t="n">
        <v>185</v>
      </c>
      <c r="C189" s="23" t="n">
        <v>2185</v>
      </c>
      <c r="D189" s="23" t="inlineStr">
        <is>
          <t>1381300047</t>
        </is>
      </c>
      <c r="E189" s="11" t="inlineStr">
        <is>
          <t>National Capital Region (NCR)</t>
        </is>
      </c>
      <c r="F189" s="11" t="inlineStr">
        <is>
          <t>Second District (Not a Province)</t>
        </is>
      </c>
      <c r="G189" s="11" t="inlineStr">
        <is>
          <t>Quezon City</t>
        </is>
      </c>
      <c r="H189" s="11" t="inlineStr">
        <is>
          <t>Kalusugan</t>
        </is>
      </c>
      <c r="I189" s="24" t="n">
        <v>14.62566</v>
      </c>
      <c r="J189" s="24" t="n">
        <v>121.022468</v>
      </c>
      <c r="K189" s="23" t="inlineStr">
        <is>
          <t>U</t>
        </is>
      </c>
      <c r="L189" s="25" t="n">
        <v>5334</v>
      </c>
      <c r="M189" s="26" t="n">
        <v>4.41</v>
      </c>
      <c r="N189" s="25">
        <f>ROUND(L189/M189, 0)</f>
        <v/>
      </c>
      <c r="O189" s="25">
        <f>ROUND(N189*'Methodology &amp; Assumptions'!$B$7, 0)</f>
        <v/>
      </c>
      <c r="P189" s="23" t="inlineStr">
        <is>
          <t>Single Carrier (Band n50, 100MHz TDD)</t>
        </is>
      </c>
      <c r="Q189" s="27">
        <f>ROUNDUP(O189/'Methodology &amp; Assumptions'!$B$8, 0)</f>
        <v/>
      </c>
      <c r="R189" s="27" t="n">
        <v>1</v>
      </c>
      <c r="S189" s="26" t="n">
        <v>1.16</v>
      </c>
      <c r="T189" s="26" t="n">
        <v>1.13</v>
      </c>
      <c r="U189" s="11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26" t="n">
        <v>67.86</v>
      </c>
      <c r="W189" s="26" t="n">
        <v>55.96</v>
      </c>
      <c r="X189" s="26">
        <f>ROUND(('Methodology &amp; Assumptions'!$B$5*V189) + ('Methodology &amp; Assumptions'!$B$6*W189), 2)</f>
        <v/>
      </c>
      <c r="Y189" s="28" t="n">
        <v>10.9</v>
      </c>
      <c r="Z189" s="11" t="inlineStr">
        <is>
          <t>Priority Tier 2 (Balanced Opportunity)</t>
        </is>
      </c>
    </row>
    <row r="190">
      <c r="A190" s="23" t="n">
        <v>3</v>
      </c>
      <c r="B190" s="23" t="n">
        <v>186</v>
      </c>
      <c r="C190" s="23" t="n">
        <v>2186</v>
      </c>
      <c r="D190" s="23" t="inlineStr">
        <is>
          <t>1380606103</t>
        </is>
      </c>
      <c r="E190" s="11" t="inlineStr">
        <is>
          <t>National Capital Region (NCR)</t>
        </is>
      </c>
      <c r="F190" s="11" t="inlineStr">
        <is>
          <t>First District (Not a Province)</t>
        </is>
      </c>
      <c r="G190" s="11" t="inlineStr">
        <is>
          <t>City of Manila</t>
        </is>
      </c>
      <c r="H190" s="11" t="inlineStr">
        <is>
          <t>Barangay 497</t>
        </is>
      </c>
      <c r="I190" s="24" t="n">
        <v>14.622048</v>
      </c>
      <c r="J190" s="24" t="n">
        <v>120.989722</v>
      </c>
      <c r="K190" s="23" t="inlineStr">
        <is>
          <t>U</t>
        </is>
      </c>
      <c r="L190" s="25" t="n">
        <v>1601</v>
      </c>
      <c r="M190" s="26" t="n">
        <v>3.9</v>
      </c>
      <c r="N190" s="25">
        <f>ROUND(L190/M190, 0)</f>
        <v/>
      </c>
      <c r="O190" s="25">
        <f>ROUND(N190*'Methodology &amp; Assumptions'!$B$7, 0)</f>
        <v/>
      </c>
      <c r="P190" s="23" t="inlineStr">
        <is>
          <t>Single Carrier (Band n50, 100MHz TDD)</t>
        </is>
      </c>
      <c r="Q190" s="27">
        <f>ROUNDUP(O190/'Methodology &amp; Assumptions'!$B$8, 0)</f>
        <v/>
      </c>
      <c r="R190" s="27" t="n">
        <v>1</v>
      </c>
      <c r="S190" s="26" t="n">
        <v>0.96</v>
      </c>
      <c r="T190" s="26" t="n">
        <v>0.44</v>
      </c>
      <c r="U190" s="11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26" t="n">
        <v>53.8</v>
      </c>
      <c r="W190" s="26" t="n">
        <v>70</v>
      </c>
      <c r="X190" s="26">
        <f>ROUND(('Methodology &amp; Assumptions'!$B$5*V190) + ('Methodology &amp; Assumptions'!$B$6*W190), 2)</f>
        <v/>
      </c>
      <c r="Y190" s="28" t="n">
        <v>10.9</v>
      </c>
      <c r="Z190" s="11" t="inlineStr">
        <is>
          <t>Priority Tier 2 (Balanced Opportunity)</t>
        </is>
      </c>
    </row>
    <row r="191">
      <c r="A191" s="23" t="n">
        <v>3</v>
      </c>
      <c r="B191" s="23" t="n">
        <v>187</v>
      </c>
      <c r="C191" s="23" t="n">
        <v>2187</v>
      </c>
      <c r="D191" s="23" t="inlineStr">
        <is>
          <t>1380614007</t>
        </is>
      </c>
      <c r="E191" s="11" t="inlineStr">
        <is>
          <t>National Capital Region (NCR)</t>
        </is>
      </c>
      <c r="F191" s="11" t="inlineStr">
        <is>
          <t>First District (Not a Province)</t>
        </is>
      </c>
      <c r="G191" s="11" t="inlineStr">
        <is>
          <t>City of Manila</t>
        </is>
      </c>
      <c r="H191" s="11" t="inlineStr">
        <is>
          <t>Barangay 750</t>
        </is>
      </c>
      <c r="I191" s="24" t="n">
        <v>14.571424</v>
      </c>
      <c r="J191" s="24" t="n">
        <v>120.999462</v>
      </c>
      <c r="K191" s="23" t="inlineStr">
        <is>
          <t>U</t>
        </is>
      </c>
      <c r="L191" s="25" t="n">
        <v>1220</v>
      </c>
      <c r="M191" s="26" t="n">
        <v>3.25</v>
      </c>
      <c r="N191" s="25">
        <f>ROUND(L191/M191, 0)</f>
        <v/>
      </c>
      <c r="O191" s="25">
        <f>ROUND(N191*'Methodology &amp; Assumptions'!$B$7, 0)</f>
        <v/>
      </c>
      <c r="P191" s="23" t="inlineStr">
        <is>
          <t>Single Carrier (Band n50, 100MHz TDD)</t>
        </is>
      </c>
      <c r="Q191" s="27">
        <f>ROUNDUP(O191/'Methodology &amp; Assumptions'!$B$8, 0)</f>
        <v/>
      </c>
      <c r="R191" s="27" t="n">
        <v>1</v>
      </c>
      <c r="S191" s="26" t="n">
        <v>0.57</v>
      </c>
      <c r="T191" s="26" t="n">
        <v>0.34</v>
      </c>
      <c r="U191" s="11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26" t="n">
        <v>53.09</v>
      </c>
      <c r="W191" s="26" t="n">
        <v>70.70999999999999</v>
      </c>
      <c r="X191" s="26">
        <f>ROUND(('Methodology &amp; Assumptions'!$B$5*V191) + ('Methodology &amp; Assumptions'!$B$6*W191), 2)</f>
        <v/>
      </c>
      <c r="Y191" s="28" t="n">
        <v>10.9</v>
      </c>
      <c r="Z191" s="11" t="inlineStr">
        <is>
          <t>Priority Tier 2 (Balanced Opportunity)</t>
        </is>
      </c>
    </row>
    <row r="192">
      <c r="A192" s="23" t="n">
        <v>3</v>
      </c>
      <c r="B192" s="23" t="n">
        <v>188</v>
      </c>
      <c r="C192" s="23" t="n">
        <v>2188</v>
      </c>
      <c r="D192" s="23" t="inlineStr">
        <is>
          <t>0401017006</t>
        </is>
      </c>
      <c r="E192" s="11" t="inlineStr">
        <is>
          <t>Region IV-A (CALABARZON)</t>
        </is>
      </c>
      <c r="F192" s="11" t="inlineStr">
        <is>
          <t>Batangas</t>
        </is>
      </c>
      <c r="G192" s="11" t="inlineStr">
        <is>
          <t>Malvar</t>
        </is>
      </c>
      <c r="H192" s="11" t="inlineStr">
        <is>
          <t>Luta Del Sur</t>
        </is>
      </c>
      <c r="I192" s="24" t="n">
        <v>14.033827</v>
      </c>
      <c r="J192" s="24" t="n">
        <v>121.161016</v>
      </c>
      <c r="K192" s="23" t="inlineStr">
        <is>
          <t>R</t>
        </is>
      </c>
      <c r="L192" s="25" t="n">
        <v>5100</v>
      </c>
      <c r="M192" s="26" t="n">
        <v>3.6</v>
      </c>
      <c r="N192" s="25">
        <f>ROUND(L192/M192, 0)</f>
        <v/>
      </c>
      <c r="O192" s="25">
        <f>ROUND(N192*'Methodology &amp; Assumptions'!$B$7, 0)</f>
        <v/>
      </c>
      <c r="P192" s="23" t="inlineStr">
        <is>
          <t>Single Carrier (Band n50, 100MHz TDD)</t>
        </is>
      </c>
      <c r="Q192" s="27">
        <f>ROUNDUP(O192/'Methodology &amp; Assumptions'!$B$8, 0)</f>
        <v/>
      </c>
      <c r="R192" s="27" t="n">
        <v>1</v>
      </c>
      <c r="S192" s="26" t="n">
        <v>1.5</v>
      </c>
      <c r="T192" s="26" t="n">
        <v>0.11</v>
      </c>
      <c r="U192" s="11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26" t="n">
        <v>82.98999999999999</v>
      </c>
      <c r="W192" s="26" t="n">
        <v>40.8</v>
      </c>
      <c r="X192" s="26">
        <f>ROUND(('Methodology &amp; Assumptions'!$B$5*V192) + ('Methodology &amp; Assumptions'!$B$6*W192), 2)</f>
        <v/>
      </c>
      <c r="Y192" s="28" t="n">
        <v>7.2</v>
      </c>
      <c r="Z192" s="11" t="inlineStr">
        <is>
          <t>Priority Tier 2 (Balanced Opportunity)</t>
        </is>
      </c>
    </row>
    <row r="193">
      <c r="A193" s="23" t="n">
        <v>3</v>
      </c>
      <c r="B193" s="23" t="n">
        <v>189</v>
      </c>
      <c r="C193" s="23" t="n">
        <v>2189</v>
      </c>
      <c r="D193" s="23" t="inlineStr">
        <is>
          <t>1381600002</t>
        </is>
      </c>
      <c r="E193" s="11" t="inlineStr">
        <is>
          <t>National Capital Region (NCR)</t>
        </is>
      </c>
      <c r="F193" s="11" t="inlineStr">
        <is>
          <t>Third District (Not a Province)</t>
        </is>
      </c>
      <c r="G193" s="11" t="inlineStr">
        <is>
          <t>City of Valenzuela</t>
        </is>
      </c>
      <c r="H193" s="11" t="inlineStr">
        <is>
          <t>Bagbaguin</t>
        </is>
      </c>
      <c r="I193" s="24" t="n">
        <v>14.717763</v>
      </c>
      <c r="J193" s="24" t="n">
        <v>121.004368</v>
      </c>
      <c r="K193" s="23" t="inlineStr">
        <is>
          <t>U</t>
        </is>
      </c>
      <c r="L193" s="25" t="n">
        <v>15524</v>
      </c>
      <c r="M193" s="26" t="n">
        <v>3.41</v>
      </c>
      <c r="N193" s="25">
        <f>ROUND(L193/M193, 0)</f>
        <v/>
      </c>
      <c r="O193" s="25">
        <f>ROUND(N193*'Methodology &amp; Assumptions'!$B$7, 0)</f>
        <v/>
      </c>
      <c r="P193" s="23" t="inlineStr">
        <is>
          <t>Single Carrier (Band n50, 100MHz TDD)</t>
        </is>
      </c>
      <c r="Q193" s="27">
        <f>ROUNDUP(O193/'Methodology &amp; Assumptions'!$B$8, 0)</f>
        <v/>
      </c>
      <c r="R193" s="27" t="n">
        <v>1</v>
      </c>
      <c r="S193" s="26" t="n">
        <v>1.44</v>
      </c>
      <c r="T193" s="26" t="n">
        <v>0.24</v>
      </c>
      <c r="U193" s="11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26" t="n">
        <v>66.61</v>
      </c>
      <c r="W193" s="26" t="n">
        <v>57.17</v>
      </c>
      <c r="X193" s="26">
        <f>ROUND(('Methodology &amp; Assumptions'!$B$5*V193) + ('Methodology &amp; Assumptions'!$B$6*W193), 2)</f>
        <v/>
      </c>
      <c r="Y193" s="28" t="n">
        <v>10.9</v>
      </c>
      <c r="Z193" s="11" t="inlineStr">
        <is>
          <t>Priority Tier 2 (Balanced Opportunity)</t>
        </is>
      </c>
    </row>
    <row r="194">
      <c r="A194" s="23" t="n">
        <v>3</v>
      </c>
      <c r="B194" s="23" t="n">
        <v>190</v>
      </c>
      <c r="C194" s="23" t="n">
        <v>2190</v>
      </c>
      <c r="D194" s="23" t="inlineStr">
        <is>
          <t>1705305014</t>
        </is>
      </c>
      <c r="E194" s="11" t="inlineStr">
        <is>
          <t>MIMAROPA Region</t>
        </is>
      </c>
      <c r="F194" s="11" t="inlineStr">
        <is>
          <t>Palawan</t>
        </is>
      </c>
      <c r="G194" s="11" t="inlineStr">
        <is>
          <t>Bataraza</t>
        </is>
      </c>
      <c r="H194" s="11" t="inlineStr">
        <is>
          <t>Sandoval</t>
        </is>
      </c>
      <c r="I194" s="24" t="n">
        <v>8.619840999999999</v>
      </c>
      <c r="J194" s="24" t="n">
        <v>117.471182</v>
      </c>
      <c r="K194" s="23" t="inlineStr">
        <is>
          <t>R</t>
        </is>
      </c>
      <c r="L194" s="25" t="n">
        <v>4123</v>
      </c>
      <c r="M194" s="26" t="n">
        <v>3.9</v>
      </c>
      <c r="N194" s="25">
        <f>ROUND(L194/M194, 0)</f>
        <v/>
      </c>
      <c r="O194" s="25">
        <f>ROUND(N194*'Methodology &amp; Assumptions'!$B$7, 0)</f>
        <v/>
      </c>
      <c r="P194" s="23" t="inlineStr">
        <is>
          <t>Single Carrier (Band n50, 100MHz TDD)</t>
        </is>
      </c>
      <c r="Q194" s="27">
        <f>ROUNDUP(O194/'Methodology &amp; Assumptions'!$B$8, 0)</f>
        <v/>
      </c>
      <c r="R194" s="27" t="n">
        <v>1</v>
      </c>
      <c r="S194" s="26" t="n">
        <v>186.37</v>
      </c>
      <c r="T194" s="26" t="n">
        <v>188.65</v>
      </c>
      <c r="U194" s="11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26" t="n">
        <v>61.44</v>
      </c>
      <c r="W194" s="26" t="n">
        <v>62.35</v>
      </c>
      <c r="X194" s="26">
        <f>ROUND(('Methodology &amp; Assumptions'!$B$5*V194) + ('Methodology &amp; Assumptions'!$B$6*W194), 2)</f>
        <v/>
      </c>
      <c r="Y194" s="28" t="n">
        <v>15</v>
      </c>
      <c r="Z194" s="11" t="inlineStr">
        <is>
          <t>Priority Tier 2 (Balanced Opportunity)</t>
        </is>
      </c>
    </row>
    <row r="195">
      <c r="A195" s="23" t="n">
        <v>3</v>
      </c>
      <c r="B195" s="23" t="n">
        <v>191</v>
      </c>
      <c r="C195" s="23" t="n">
        <v>2191</v>
      </c>
      <c r="D195" s="23" t="inlineStr">
        <is>
          <t>1705318026</t>
        </is>
      </c>
      <c r="E195" s="11" t="inlineStr">
        <is>
          <t>MIMAROPA Region</t>
        </is>
      </c>
      <c r="F195" s="11" t="inlineStr">
        <is>
          <t>Palawan</t>
        </is>
      </c>
      <c r="G195" s="11" t="inlineStr">
        <is>
          <t>Roxas</t>
        </is>
      </c>
      <c r="H195" s="11" t="inlineStr">
        <is>
          <t>Tinitian</t>
        </is>
      </c>
      <c r="I195" s="24" t="n">
        <v>10.062945</v>
      </c>
      <c r="J195" s="24" t="n">
        <v>119.20168</v>
      </c>
      <c r="K195" s="23" t="inlineStr">
        <is>
          <t>R</t>
        </is>
      </c>
      <c r="L195" s="25" t="n">
        <v>2341</v>
      </c>
      <c r="M195" s="26" t="n">
        <v>3.9</v>
      </c>
      <c r="N195" s="25">
        <f>ROUND(L195/M195, 0)</f>
        <v/>
      </c>
      <c r="O195" s="25">
        <f>ROUND(N195*'Methodology &amp; Assumptions'!$B$7, 0)</f>
        <v/>
      </c>
      <c r="P195" s="23" t="inlineStr">
        <is>
          <t>Single Carrier (Band n50, 100MHz TDD)</t>
        </is>
      </c>
      <c r="Q195" s="27">
        <f>ROUNDUP(O195/'Methodology &amp; Assumptions'!$B$8, 0)</f>
        <v/>
      </c>
      <c r="R195" s="27" t="n">
        <v>1</v>
      </c>
      <c r="S195" s="26" t="n">
        <v>15.27</v>
      </c>
      <c r="T195" s="26" t="n">
        <v>0.43</v>
      </c>
      <c r="U195" s="11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26" t="n">
        <v>55.89</v>
      </c>
      <c r="W195" s="26" t="n">
        <v>67.89</v>
      </c>
      <c r="X195" s="26">
        <f>ROUND(('Methodology &amp; Assumptions'!$B$5*V195) + ('Methodology &amp; Assumptions'!$B$6*W195), 2)</f>
        <v/>
      </c>
      <c r="Y195" s="28" t="n">
        <v>15</v>
      </c>
      <c r="Z195" s="11" t="inlineStr">
        <is>
          <t>Priority Tier 2 (Balanced Opportunity)</t>
        </is>
      </c>
    </row>
    <row r="196">
      <c r="A196" s="23" t="n">
        <v>3</v>
      </c>
      <c r="B196" s="23" t="n">
        <v>192</v>
      </c>
      <c r="C196" s="23" t="n">
        <v>2192</v>
      </c>
      <c r="D196" s="23" t="inlineStr">
        <is>
          <t>1381100180</t>
        </is>
      </c>
      <c r="E196" s="11" t="inlineStr">
        <is>
          <t>National Capital Region (NCR)</t>
        </is>
      </c>
      <c r="F196" s="11" t="inlineStr">
        <is>
          <t>Fourth District (Not a Province)</t>
        </is>
      </c>
      <c r="G196" s="11" t="inlineStr">
        <is>
          <t>Pasay City</t>
        </is>
      </c>
      <c r="H196" s="11" t="inlineStr">
        <is>
          <t>Barangay 180</t>
        </is>
      </c>
      <c r="I196" s="24" t="n">
        <v>14.53056</v>
      </c>
      <c r="J196" s="24" t="n">
        <v>121.011952</v>
      </c>
      <c r="K196" s="23" t="inlineStr">
        <is>
          <t>U</t>
        </is>
      </c>
      <c r="L196" s="25" t="n">
        <v>1608</v>
      </c>
      <c r="M196" s="26" t="n">
        <v>4.09</v>
      </c>
      <c r="N196" s="25">
        <f>ROUND(L196/M196, 0)</f>
        <v/>
      </c>
      <c r="O196" s="25">
        <f>ROUND(N196*'Methodology &amp; Assumptions'!$B$7, 0)</f>
        <v/>
      </c>
      <c r="P196" s="23" t="inlineStr">
        <is>
          <t>Single Carrier (Band n50, 100MHz TDD)</t>
        </is>
      </c>
      <c r="Q196" s="27">
        <f>ROUNDUP(O196/'Methodology &amp; Assumptions'!$B$8, 0)</f>
        <v/>
      </c>
      <c r="R196" s="27" t="n">
        <v>1</v>
      </c>
      <c r="S196" s="26" t="n">
        <v>1.04</v>
      </c>
      <c r="T196" s="26" t="n">
        <v>0.44</v>
      </c>
      <c r="U196" s="11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26" t="n">
        <v>52.98</v>
      </c>
      <c r="W196" s="26" t="n">
        <v>70.81</v>
      </c>
      <c r="X196" s="26">
        <f>ROUND(('Methodology &amp; Assumptions'!$B$5*V196) + ('Methodology &amp; Assumptions'!$B$6*W196), 2)</f>
        <v/>
      </c>
      <c r="Y196" s="28" t="n">
        <v>10.9</v>
      </c>
      <c r="Z196" s="11" t="inlineStr">
        <is>
          <t>Priority Tier 2 (Balanced Opportunity)</t>
        </is>
      </c>
    </row>
    <row r="197">
      <c r="A197" s="23" t="n">
        <v>3</v>
      </c>
      <c r="B197" s="23" t="n">
        <v>193</v>
      </c>
      <c r="C197" s="23" t="n">
        <v>2193</v>
      </c>
      <c r="D197" s="23" t="inlineStr">
        <is>
          <t>1381300123</t>
        </is>
      </c>
      <c r="E197" s="11" t="inlineStr">
        <is>
          <t>National Capital Region (NCR)</t>
        </is>
      </c>
      <c r="F197" s="11" t="inlineStr">
        <is>
          <t>Second District (Not a Province)</t>
        </is>
      </c>
      <c r="G197" s="11" t="inlineStr">
        <is>
          <t>Quezon City</t>
        </is>
      </c>
      <c r="H197" s="11" t="inlineStr">
        <is>
          <t>Teachers Village West</t>
        </is>
      </c>
      <c r="I197" s="24" t="n">
        <v>14.645521</v>
      </c>
      <c r="J197" s="24" t="n">
        <v>121.055637</v>
      </c>
      <c r="K197" s="23" t="inlineStr">
        <is>
          <t>U</t>
        </is>
      </c>
      <c r="L197" s="25" t="n">
        <v>3289</v>
      </c>
      <c r="M197" s="26" t="n">
        <v>4.09</v>
      </c>
      <c r="N197" s="25">
        <f>ROUND(L197/M197, 0)</f>
        <v/>
      </c>
      <c r="O197" s="25">
        <f>ROUND(N197*'Methodology &amp; Assumptions'!$B$7, 0)</f>
        <v/>
      </c>
      <c r="P197" s="23" t="inlineStr">
        <is>
          <t>Single Carrier (Band n50, 100MHz TDD)</t>
        </is>
      </c>
      <c r="Q197" s="27">
        <f>ROUNDUP(O197/'Methodology &amp; Assumptions'!$B$8, 0)</f>
        <v/>
      </c>
      <c r="R197" s="27" t="n">
        <v>1</v>
      </c>
      <c r="S197" s="26" t="n">
        <v>0.28</v>
      </c>
      <c r="T197" s="26" t="n">
        <v>0.26</v>
      </c>
      <c r="U197" s="11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26" t="n">
        <v>66.91</v>
      </c>
      <c r="W197" s="26" t="n">
        <v>56.86</v>
      </c>
      <c r="X197" s="26">
        <f>ROUND(('Methodology &amp; Assumptions'!$B$5*V197) + ('Methodology &amp; Assumptions'!$B$6*W197), 2)</f>
        <v/>
      </c>
      <c r="Y197" s="28" t="n">
        <v>10.9</v>
      </c>
      <c r="Z197" s="11" t="inlineStr">
        <is>
          <t>Priority Tier 2 (Balanced Opportunity)</t>
        </is>
      </c>
    </row>
    <row r="198">
      <c r="A198" s="23" t="n">
        <v>3</v>
      </c>
      <c r="B198" s="23" t="n">
        <v>194</v>
      </c>
      <c r="C198" s="23" t="n">
        <v>2194</v>
      </c>
      <c r="D198" s="23" t="inlineStr">
        <is>
          <t>1380601189</t>
        </is>
      </c>
      <c r="E198" s="11" t="inlineStr">
        <is>
          <t>National Capital Region (NCR)</t>
        </is>
      </c>
      <c r="F198" s="11" t="inlineStr">
        <is>
          <t>First District (Not a Province)</t>
        </is>
      </c>
      <c r="G198" s="11" t="inlineStr">
        <is>
          <t>City of Manila</t>
        </is>
      </c>
      <c r="H198" s="11" t="inlineStr">
        <is>
          <t>Barangay 189</t>
        </is>
      </c>
      <c r="I198" s="24" t="n">
        <v>14.636798</v>
      </c>
      <c r="J198" s="24" t="n">
        <v>120.982194</v>
      </c>
      <c r="K198" s="23" t="inlineStr">
        <is>
          <t>U</t>
        </is>
      </c>
      <c r="L198" s="25" t="n">
        <v>1618</v>
      </c>
      <c r="M198" s="26" t="n">
        <v>4.12</v>
      </c>
      <c r="N198" s="25">
        <f>ROUND(L198/M198, 0)</f>
        <v/>
      </c>
      <c r="O198" s="25">
        <f>ROUND(N198*'Methodology &amp; Assumptions'!$B$7, 0)</f>
        <v/>
      </c>
      <c r="P198" s="23" t="inlineStr">
        <is>
          <t>Single Carrier (Band n50, 100MHz TDD)</t>
        </is>
      </c>
      <c r="Q198" s="27">
        <f>ROUNDUP(O198/'Methodology &amp; Assumptions'!$B$8, 0)</f>
        <v/>
      </c>
      <c r="R198" s="27" t="n">
        <v>1</v>
      </c>
      <c r="S198" s="26" t="n">
        <v>1.35</v>
      </c>
      <c r="T198" s="26" t="n">
        <v>0.06</v>
      </c>
      <c r="U198" s="11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26" t="n">
        <v>51.8</v>
      </c>
      <c r="W198" s="26" t="n">
        <v>71.95</v>
      </c>
      <c r="X198" s="26">
        <f>ROUND(('Methodology &amp; Assumptions'!$B$5*V198) + ('Methodology &amp; Assumptions'!$B$6*W198), 2)</f>
        <v/>
      </c>
      <c r="Y198" s="28" t="n">
        <v>10.9</v>
      </c>
      <c r="Z198" s="11" t="inlineStr">
        <is>
          <t>Priority Tier 2 (Balanced Opportunity)</t>
        </is>
      </c>
    </row>
    <row r="199">
      <c r="A199" s="23" t="n">
        <v>3</v>
      </c>
      <c r="B199" s="23" t="n">
        <v>195</v>
      </c>
      <c r="C199" s="23" t="n">
        <v>2195</v>
      </c>
      <c r="D199" s="23" t="inlineStr">
        <is>
          <t>1108602026</t>
        </is>
      </c>
      <c r="E199" s="11" t="inlineStr">
        <is>
          <t>Region XI (Davao Region)</t>
        </is>
      </c>
      <c r="F199" s="11" t="inlineStr">
        <is>
          <t>Davao Occidental</t>
        </is>
      </c>
      <c r="G199" s="11" t="inlineStr">
        <is>
          <t>Jose Abad Santos</t>
        </is>
      </c>
      <c r="H199" s="11" t="inlineStr">
        <is>
          <t>Patulang</t>
        </is>
      </c>
      <c r="I199" s="24" t="n">
        <v>5.704244</v>
      </c>
      <c r="J199" s="24" t="n">
        <v>125.4508</v>
      </c>
      <c r="K199" s="23" t="inlineStr">
        <is>
          <t>R</t>
        </is>
      </c>
      <c r="L199" s="25" t="n">
        <v>1662</v>
      </c>
      <c r="M199" s="26" t="n">
        <v>3.6</v>
      </c>
      <c r="N199" s="25">
        <f>ROUND(L199/M199, 0)</f>
        <v/>
      </c>
      <c r="O199" s="25">
        <f>ROUND(N199*'Methodology &amp; Assumptions'!$B$7, 0)</f>
        <v/>
      </c>
      <c r="P199" s="23" t="inlineStr">
        <is>
          <t>Single Carrier (Band n50, 100MHz TDD)</t>
        </is>
      </c>
      <c r="Q199" s="27">
        <f>ROUNDUP(O199/'Methodology &amp; Assumptions'!$B$8, 0)</f>
        <v/>
      </c>
      <c r="R199" s="27" t="n">
        <v>1</v>
      </c>
      <c r="S199" s="26" t="n">
        <v>48.49</v>
      </c>
      <c r="T199" s="26" t="n">
        <v>54.58</v>
      </c>
      <c r="U199" s="11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26" t="n">
        <v>49.7</v>
      </c>
      <c r="W199" s="26" t="n">
        <v>74.06</v>
      </c>
      <c r="X199" s="26">
        <f>ROUND(('Methodology &amp; Assumptions'!$B$5*V199) + ('Methodology &amp; Assumptions'!$B$6*W199), 2)</f>
        <v/>
      </c>
      <c r="Y199" s="28" t="n">
        <v>17.4</v>
      </c>
      <c r="Z199" s="11" t="inlineStr">
        <is>
          <t>Priority Tier 2 (Balanced Opportunity)</t>
        </is>
      </c>
    </row>
    <row r="200">
      <c r="A200" s="23" t="n">
        <v>3</v>
      </c>
      <c r="B200" s="23" t="n">
        <v>196</v>
      </c>
      <c r="C200" s="23" t="n">
        <v>2196</v>
      </c>
      <c r="D200" s="23" t="inlineStr">
        <is>
          <t>0405622045</t>
        </is>
      </c>
      <c r="E200" s="11" t="inlineStr">
        <is>
          <t>Region IV-A (CALABARZON)</t>
        </is>
      </c>
      <c r="F200" s="11" t="inlineStr">
        <is>
          <t>Quezon</t>
        </is>
      </c>
      <c r="G200" s="11" t="inlineStr">
        <is>
          <t>Lopez</t>
        </is>
      </c>
      <c r="H200" s="11" t="inlineStr">
        <is>
          <t>Mabini</t>
        </is>
      </c>
      <c r="I200" s="24" t="n">
        <v>13.846811</v>
      </c>
      <c r="J200" s="24" t="n">
        <v>122.214106</v>
      </c>
      <c r="K200" s="23" t="inlineStr">
        <is>
          <t>R</t>
        </is>
      </c>
      <c r="L200" s="25" t="n">
        <v>105</v>
      </c>
      <c r="M200" s="26" t="n">
        <v>3.8</v>
      </c>
      <c r="N200" s="25">
        <f>ROUND(L200/M200, 0)</f>
        <v/>
      </c>
      <c r="O200" s="25">
        <f>ROUND(N200*'Methodology &amp; Assumptions'!$B$7, 0)</f>
        <v/>
      </c>
      <c r="P200" s="23" t="inlineStr">
        <is>
          <t>Single Carrier (Band n50, 100MHz TDD)</t>
        </is>
      </c>
      <c r="Q200" s="27">
        <f>ROUNDUP(O200/'Methodology &amp; Assumptions'!$B$8, 0)</f>
        <v/>
      </c>
      <c r="R200" s="27" t="n">
        <v>1</v>
      </c>
      <c r="S200" s="26" t="n">
        <v>6.86</v>
      </c>
      <c r="T200" s="26" t="n">
        <v>4.98</v>
      </c>
      <c r="U200" s="11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26" t="n">
        <v>42.05</v>
      </c>
      <c r="W200" s="26" t="n">
        <v>81.7</v>
      </c>
      <c r="X200" s="26">
        <f>ROUND(('Methodology &amp; Assumptions'!$B$5*V200) + ('Methodology &amp; Assumptions'!$B$6*W200), 2)</f>
        <v/>
      </c>
      <c r="Y200" s="28" t="n">
        <v>7.2</v>
      </c>
      <c r="Z200" s="11" t="inlineStr">
        <is>
          <t>Priority Tier 2 (Balanced Opportunity)</t>
        </is>
      </c>
    </row>
    <row r="201">
      <c r="A201" s="23" t="n">
        <v>3</v>
      </c>
      <c r="B201" s="23" t="n">
        <v>197</v>
      </c>
      <c r="C201" s="23" t="n">
        <v>2197</v>
      </c>
      <c r="D201" s="23" t="inlineStr">
        <is>
          <t>0631000060</t>
        </is>
      </c>
      <c r="E201" s="11" t="inlineStr">
        <is>
          <t>Region VI (Western Visayas)</t>
        </is>
      </c>
      <c r="F201" s="11" t="inlineStr">
        <is>
          <t>Iloilo</t>
        </is>
      </c>
      <c r="G201" s="11" t="inlineStr">
        <is>
          <t>City of Iloilo</t>
        </is>
      </c>
      <c r="H201" s="11" t="inlineStr">
        <is>
          <t>South Fundidor</t>
        </is>
      </c>
      <c r="I201" s="24" t="n">
        <v>10.92438</v>
      </c>
      <c r="J201" s="24" t="n">
        <v>122.558213</v>
      </c>
      <c r="K201" s="23" t="inlineStr">
        <is>
          <t>R</t>
        </is>
      </c>
      <c r="L201" s="25" t="n">
        <v>3415</v>
      </c>
      <c r="M201" s="26" t="n">
        <v>4.2</v>
      </c>
      <c r="N201" s="25">
        <f>ROUND(L201/M201, 0)</f>
        <v/>
      </c>
      <c r="O201" s="25">
        <f>ROUND(N201*'Methodology &amp; Assumptions'!$B$7, 0)</f>
        <v/>
      </c>
      <c r="P201" s="23" t="inlineStr">
        <is>
          <t>Single Carrier (Band n50, 100MHz TDD)</t>
        </is>
      </c>
      <c r="Q201" s="27">
        <f>ROUNDUP(O201/'Methodology &amp; Assumptions'!$B$8, 0)</f>
        <v/>
      </c>
      <c r="R201" s="27" t="n">
        <v>1</v>
      </c>
      <c r="S201" s="26" t="n">
        <v>0.97</v>
      </c>
      <c r="T201" s="26" t="n">
        <v>0.96</v>
      </c>
      <c r="U201" s="11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26" t="n">
        <v>85.68000000000001</v>
      </c>
      <c r="W201" s="26" t="n">
        <v>38.05</v>
      </c>
      <c r="X201" s="26">
        <f>ROUND(('Methodology &amp; Assumptions'!$B$5*V201) + ('Methodology &amp; Assumptions'!$B$6*W201), 2)</f>
        <v/>
      </c>
      <c r="Y201" s="28" t="n">
        <v>23.7</v>
      </c>
      <c r="Z201" s="11" t="inlineStr">
        <is>
          <t>Priority Tier 2 (Balanced Opportunity)</t>
        </is>
      </c>
    </row>
    <row r="202">
      <c r="A202" s="23" t="n">
        <v>3</v>
      </c>
      <c r="B202" s="23" t="n">
        <v>198</v>
      </c>
      <c r="C202" s="23" t="n">
        <v>2198</v>
      </c>
      <c r="D202" s="23" t="inlineStr">
        <is>
          <t>1380601063</t>
        </is>
      </c>
      <c r="E202" s="11" t="inlineStr">
        <is>
          <t>National Capital Region (NCR)</t>
        </is>
      </c>
      <c r="F202" s="11" t="inlineStr">
        <is>
          <t>First District (Not a Province)</t>
        </is>
      </c>
      <c r="G202" s="11" t="inlineStr">
        <is>
          <t>City of Manila</t>
        </is>
      </c>
      <c r="H202" s="11" t="inlineStr">
        <is>
          <t>Barangay 63</t>
        </is>
      </c>
      <c r="I202" s="24" t="n">
        <v>14.612082</v>
      </c>
      <c r="J202" s="24" t="n">
        <v>120.968093</v>
      </c>
      <c r="K202" s="23" t="inlineStr">
        <is>
          <t>U</t>
        </is>
      </c>
      <c r="L202" s="25" t="n">
        <v>1588</v>
      </c>
      <c r="M202" s="26" t="n">
        <v>4.4</v>
      </c>
      <c r="N202" s="25">
        <f>ROUND(L202/M202, 0)</f>
        <v/>
      </c>
      <c r="O202" s="25">
        <f>ROUND(N202*'Methodology &amp; Assumptions'!$B$7, 0)</f>
        <v/>
      </c>
      <c r="P202" s="23" t="inlineStr">
        <is>
          <t>Single Carrier (Band n50, 100MHz TDD)</t>
        </is>
      </c>
      <c r="Q202" s="27">
        <f>ROUNDUP(O202/'Methodology &amp; Assumptions'!$B$8, 0)</f>
        <v/>
      </c>
      <c r="R202" s="27" t="n">
        <v>1</v>
      </c>
      <c r="S202" s="26" t="n">
        <v>0.61</v>
      </c>
      <c r="T202" s="26" t="n">
        <v>0.28</v>
      </c>
      <c r="U202" s="11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26" t="n">
        <v>52.66</v>
      </c>
      <c r="W202" s="26" t="n">
        <v>71.08</v>
      </c>
      <c r="X202" s="26">
        <f>ROUND(('Methodology &amp; Assumptions'!$B$5*V202) + ('Methodology &amp; Assumptions'!$B$6*W202), 2)</f>
        <v/>
      </c>
      <c r="Y202" s="28" t="n">
        <v>10.9</v>
      </c>
      <c r="Z202" s="11" t="inlineStr">
        <is>
          <t>Priority Tier 2 (Balanced Opportunity)</t>
        </is>
      </c>
    </row>
    <row r="203">
      <c r="A203" s="23" t="n">
        <v>3</v>
      </c>
      <c r="B203" s="23" t="n">
        <v>199</v>
      </c>
      <c r="C203" s="23" t="n">
        <v>2199</v>
      </c>
      <c r="D203" s="23" t="inlineStr">
        <is>
          <t>1907001009</t>
        </is>
      </c>
      <c r="E203" s="11" t="inlineStr">
        <is>
          <t>Bangsamoro Autonomous Region In Muslim Mindanao (BARMM)</t>
        </is>
      </c>
      <c r="F203" s="11" t="inlineStr">
        <is>
          <t>Tawi-Tawi</t>
        </is>
      </c>
      <c r="G203" s="11" t="inlineStr">
        <is>
          <t>Panglima Sugala</t>
        </is>
      </c>
      <c r="H203" s="11" t="inlineStr">
        <is>
          <t>Tungbangkaw</t>
        </is>
      </c>
      <c r="I203" s="24" t="n">
        <v>5.004732</v>
      </c>
      <c r="J203" s="24" t="n">
        <v>120.011627</v>
      </c>
      <c r="K203" s="23" t="inlineStr">
        <is>
          <t>R</t>
        </is>
      </c>
      <c r="L203" s="25" t="n">
        <v>3589</v>
      </c>
      <c r="M203" s="26" t="n">
        <v>5.8</v>
      </c>
      <c r="N203" s="25">
        <f>ROUND(L203/M203, 0)</f>
        <v/>
      </c>
      <c r="O203" s="25">
        <f>ROUND(N203*'Methodology &amp; Assumptions'!$B$7, 0)</f>
        <v/>
      </c>
      <c r="P203" s="23" t="inlineStr">
        <is>
          <t>Single Carrier (Band n50, 100MHz TDD)</t>
        </is>
      </c>
      <c r="Q203" s="27">
        <f>ROUNDUP(O203/'Methodology &amp; Assumptions'!$B$8, 0)</f>
        <v/>
      </c>
      <c r="R203" s="27" t="n">
        <v>1</v>
      </c>
      <c r="S203" s="26" t="n">
        <v>999</v>
      </c>
      <c r="T203" s="26" t="n">
        <v>999</v>
      </c>
      <c r="U203" s="11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26" t="n">
        <v>50.97</v>
      </c>
      <c r="W203" s="26" t="n">
        <v>72.77</v>
      </c>
      <c r="X203" s="26">
        <f>ROUND(('Methodology &amp; Assumptions'!$B$5*V203) + ('Methodology &amp; Assumptions'!$B$6*W203), 2)</f>
        <v/>
      </c>
      <c r="Y203" s="28" t="n">
        <v>11</v>
      </c>
      <c r="Z203" s="11" t="inlineStr">
        <is>
          <t>Priority Tier 2 (Balanced Opportunity)</t>
        </is>
      </c>
    </row>
    <row r="204">
      <c r="A204" s="23" t="n">
        <v>3</v>
      </c>
      <c r="B204" s="23" t="n">
        <v>200</v>
      </c>
      <c r="C204" s="23" t="n">
        <v>2200</v>
      </c>
      <c r="D204" s="23" t="inlineStr">
        <is>
          <t>1102407001</t>
        </is>
      </c>
      <c r="E204" s="11" t="inlineStr">
        <is>
          <t>Region XI (Davao Region)</t>
        </is>
      </c>
      <c r="F204" s="11" t="inlineStr">
        <is>
          <t>Davao del Sur</t>
        </is>
      </c>
      <c r="G204" s="11" t="inlineStr">
        <is>
          <t>Magsaysay</t>
        </is>
      </c>
      <c r="H204" s="11" t="inlineStr">
        <is>
          <t>Bacungan</t>
        </is>
      </c>
      <c r="I204" s="24" t="n">
        <v>6.750562</v>
      </c>
      <c r="J204" s="24" t="n">
        <v>125.154378</v>
      </c>
      <c r="K204" s="23" t="inlineStr">
        <is>
          <t>R</t>
        </is>
      </c>
      <c r="L204" s="25" t="n">
        <v>3027</v>
      </c>
      <c r="M204" s="26" t="n">
        <v>3.4</v>
      </c>
      <c r="N204" s="25">
        <f>ROUND(L204/M204, 0)</f>
        <v/>
      </c>
      <c r="O204" s="25">
        <f>ROUND(N204*'Methodology &amp; Assumptions'!$B$7, 0)</f>
        <v/>
      </c>
      <c r="P204" s="23" t="inlineStr">
        <is>
          <t>Single Carrier (Band n50, 100MHz TDD)</t>
        </is>
      </c>
      <c r="Q204" s="27">
        <f>ROUNDUP(O204/'Methodology &amp; Assumptions'!$B$8, 0)</f>
        <v/>
      </c>
      <c r="R204" s="27" t="n">
        <v>1</v>
      </c>
      <c r="S204" s="26" t="n">
        <v>0.41</v>
      </c>
      <c r="T204" s="26" t="n">
        <v>18.38</v>
      </c>
      <c r="U204" s="11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26" t="n">
        <v>85.3</v>
      </c>
      <c r="W204" s="26" t="n">
        <v>38.43</v>
      </c>
      <c r="X204" s="26">
        <f>ROUND(('Methodology &amp; Assumptions'!$B$5*V204) + ('Methodology &amp; Assumptions'!$B$6*W204), 2)</f>
        <v/>
      </c>
      <c r="Y204" s="28" t="n">
        <v>17.4</v>
      </c>
      <c r="Z204" s="11" t="inlineStr">
        <is>
          <t>Priority Tier 2 (Balanced Opportunity)</t>
        </is>
      </c>
    </row>
    <row r="205">
      <c r="A205" s="23" t="n">
        <v>3</v>
      </c>
      <c r="B205" s="23" t="n">
        <v>201</v>
      </c>
      <c r="C205" s="23" t="n">
        <v>2201</v>
      </c>
      <c r="D205" s="23" t="inlineStr">
        <is>
          <t>0304922005</t>
        </is>
      </c>
      <c r="E205" s="11" t="inlineStr">
        <is>
          <t>Region III (Central Luzon)</t>
        </is>
      </c>
      <c r="F205" s="11" t="inlineStr">
        <is>
          <t>Nueva Ecija</t>
        </is>
      </c>
      <c r="G205" s="11" t="inlineStr">
        <is>
          <t>Quezon</t>
        </is>
      </c>
      <c r="H205" s="11" t="inlineStr">
        <is>
          <t>Dulong Bayan</t>
        </is>
      </c>
      <c r="I205" s="24" t="n">
        <v>15.565687</v>
      </c>
      <c r="J205" s="24" t="n">
        <v>120.801075</v>
      </c>
      <c r="K205" s="23" t="inlineStr">
        <is>
          <t>U</t>
        </is>
      </c>
      <c r="L205" s="25" t="n">
        <v>4184</v>
      </c>
      <c r="M205" s="26" t="n">
        <v>3.8</v>
      </c>
      <c r="N205" s="25">
        <f>ROUND(L205/M205, 0)</f>
        <v/>
      </c>
      <c r="O205" s="25">
        <f>ROUND(N205*'Methodology &amp; Assumptions'!$B$7, 0)</f>
        <v/>
      </c>
      <c r="P205" s="23" t="inlineStr">
        <is>
          <t>Single Carrier (Band n50, 100MHz TDD)</t>
        </is>
      </c>
      <c r="Q205" s="27">
        <f>ROUNDUP(O205/'Methodology &amp; Assumptions'!$B$8, 0)</f>
        <v/>
      </c>
      <c r="R205" s="27" t="n">
        <v>1</v>
      </c>
      <c r="S205" s="26" t="n">
        <v>1.1</v>
      </c>
      <c r="T205" s="26" t="n">
        <v>0.31</v>
      </c>
      <c r="U205" s="11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26" t="n">
        <v>77.45</v>
      </c>
      <c r="W205" s="26" t="n">
        <v>46.27</v>
      </c>
      <c r="X205" s="26">
        <f>ROUND(('Methodology &amp; Assumptions'!$B$5*V205) + ('Methodology &amp; Assumptions'!$B$6*W205), 2)</f>
        <v/>
      </c>
      <c r="Y205" s="28" t="n">
        <v>8.300000000000001</v>
      </c>
      <c r="Z205" s="11" t="inlineStr">
        <is>
          <t>Priority Tier 2 (Balanced Opportunity)</t>
        </is>
      </c>
    </row>
    <row r="206">
      <c r="A206" s="23" t="n">
        <v>3</v>
      </c>
      <c r="B206" s="23" t="n">
        <v>202</v>
      </c>
      <c r="C206" s="23" t="n">
        <v>2202</v>
      </c>
      <c r="D206" s="23" t="inlineStr">
        <is>
          <t>0301420058</t>
        </is>
      </c>
      <c r="E206" s="11" t="inlineStr">
        <is>
          <t>Region III (Central Luzon)</t>
        </is>
      </c>
      <c r="F206" s="11" t="inlineStr">
        <is>
          <t>Bulacan</t>
        </is>
      </c>
      <c r="G206" s="11" t="inlineStr">
        <is>
          <t>City of San Jose Del Monte</t>
        </is>
      </c>
      <c r="H206" s="11" t="inlineStr">
        <is>
          <t>Santo Niño II</t>
        </is>
      </c>
      <c r="I206" s="24" t="n">
        <v>14.859906</v>
      </c>
      <c r="J206" s="24" t="n">
        <v>121.060025</v>
      </c>
      <c r="K206" s="23" t="inlineStr">
        <is>
          <t>R</t>
        </is>
      </c>
      <c r="L206" s="25" t="n">
        <v>3916</v>
      </c>
      <c r="M206" s="26" t="n">
        <v>3.5</v>
      </c>
      <c r="N206" s="25">
        <f>ROUND(L206/M206, 0)</f>
        <v/>
      </c>
      <c r="O206" s="25">
        <f>ROUND(N206*'Methodology &amp; Assumptions'!$B$7, 0)</f>
        <v/>
      </c>
      <c r="P206" s="23" t="inlineStr">
        <is>
          <t>Single Carrier (Band n50, 100MHz TDD)</t>
        </is>
      </c>
      <c r="Q206" s="27">
        <f>ROUNDUP(O206/'Methodology &amp; Assumptions'!$B$8, 0)</f>
        <v/>
      </c>
      <c r="R206" s="27" t="n">
        <v>1</v>
      </c>
      <c r="S206" s="26" t="n">
        <v>2.59</v>
      </c>
      <c r="T206" s="26" t="n">
        <v>3.78</v>
      </c>
      <c r="U206" s="11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26" t="n">
        <v>75.95</v>
      </c>
      <c r="W206" s="26" t="n">
        <v>47.77</v>
      </c>
      <c r="X206" s="26">
        <f>ROUND(('Methodology &amp; Assumptions'!$B$5*V206) + ('Methodology &amp; Assumptions'!$B$6*W206), 2)</f>
        <v/>
      </c>
      <c r="Y206" s="28" t="n">
        <v>8.300000000000001</v>
      </c>
      <c r="Z206" s="11" t="inlineStr">
        <is>
          <t>Priority Tier 2 (Balanced Opportunity)</t>
        </is>
      </c>
    </row>
    <row r="207">
      <c r="A207" s="23" t="n">
        <v>3</v>
      </c>
      <c r="B207" s="23" t="n">
        <v>203</v>
      </c>
      <c r="C207" s="23" t="n">
        <v>2203</v>
      </c>
      <c r="D207" s="23" t="inlineStr">
        <is>
          <t>0403425019</t>
        </is>
      </c>
      <c r="E207" s="11" t="inlineStr">
        <is>
          <t>Region IV-A (CALABARZON)</t>
        </is>
      </c>
      <c r="F207" s="11" t="inlineStr">
        <is>
          <t>Laguna</t>
        </is>
      </c>
      <c r="G207" s="11" t="inlineStr">
        <is>
          <t>City of San Pedro</t>
        </is>
      </c>
      <c r="H207" s="11" t="inlineStr">
        <is>
          <t>United Better Living</t>
        </is>
      </c>
      <c r="I207" s="24" t="n">
        <v>14.337537</v>
      </c>
      <c r="J207" s="24" t="n">
        <v>121.023942</v>
      </c>
      <c r="K207" s="23" t="inlineStr">
        <is>
          <t>U</t>
        </is>
      </c>
      <c r="L207" s="25" t="n">
        <v>6801</v>
      </c>
      <c r="M207" s="26" t="n">
        <v>3.3</v>
      </c>
      <c r="N207" s="25">
        <f>ROUND(L207/M207, 0)</f>
        <v/>
      </c>
      <c r="O207" s="25">
        <f>ROUND(N207*'Methodology &amp; Assumptions'!$B$7, 0)</f>
        <v/>
      </c>
      <c r="P207" s="23" t="inlineStr">
        <is>
          <t>Single Carrier (Band n50, 100MHz TDD)</t>
        </is>
      </c>
      <c r="Q207" s="27">
        <f>ROUNDUP(O207/'Methodology &amp; Assumptions'!$B$8, 0)</f>
        <v/>
      </c>
      <c r="R207" s="27" t="n">
        <v>1</v>
      </c>
      <c r="S207" s="26" t="n">
        <v>1.92</v>
      </c>
      <c r="T207" s="26" t="n">
        <v>1.75</v>
      </c>
      <c r="U207" s="11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26" t="n">
        <v>74.3</v>
      </c>
      <c r="W207" s="26" t="n">
        <v>49.42</v>
      </c>
      <c r="X207" s="26">
        <f>ROUND(('Methodology &amp; Assumptions'!$B$5*V207) + ('Methodology &amp; Assumptions'!$B$6*W207), 2)</f>
        <v/>
      </c>
      <c r="Y207" s="28" t="n">
        <v>7.2</v>
      </c>
      <c r="Z207" s="11" t="inlineStr">
        <is>
          <t>Priority Tier 2 (Balanced Opportunity)</t>
        </is>
      </c>
    </row>
    <row r="208">
      <c r="A208" s="23" t="n">
        <v>3</v>
      </c>
      <c r="B208" s="23" t="n">
        <v>204</v>
      </c>
      <c r="C208" s="23" t="n">
        <v>2204</v>
      </c>
      <c r="D208" s="23" t="inlineStr">
        <is>
          <t>1380601251</t>
        </is>
      </c>
      <c r="E208" s="11" t="inlineStr">
        <is>
          <t>National Capital Region (NCR)</t>
        </is>
      </c>
      <c r="F208" s="11" t="inlineStr">
        <is>
          <t>First District (Not a Province)</t>
        </is>
      </c>
      <c r="G208" s="11" t="inlineStr">
        <is>
          <t>City of Manila</t>
        </is>
      </c>
      <c r="H208" s="11" t="inlineStr">
        <is>
          <t>Barangay 250</t>
        </is>
      </c>
      <c r="I208" s="24" t="n">
        <v>14.61075</v>
      </c>
      <c r="J208" s="24" t="n">
        <v>120.977</v>
      </c>
      <c r="K208" s="23" t="inlineStr">
        <is>
          <t>U</t>
        </is>
      </c>
      <c r="L208" s="25" t="n">
        <v>1232</v>
      </c>
      <c r="M208" s="26" t="n">
        <v>3.13</v>
      </c>
      <c r="N208" s="25">
        <f>ROUND(L208/M208, 0)</f>
        <v/>
      </c>
      <c r="O208" s="25">
        <f>ROUND(N208*'Methodology &amp; Assumptions'!$B$7, 0)</f>
        <v/>
      </c>
      <c r="P208" s="23" t="inlineStr">
        <is>
          <t>Single Carrier (Band n50, 100MHz TDD)</t>
        </is>
      </c>
      <c r="Q208" s="27">
        <f>ROUNDUP(O208/'Methodology &amp; Assumptions'!$B$8, 0)</f>
        <v/>
      </c>
      <c r="R208" s="27" t="n">
        <v>1</v>
      </c>
      <c r="S208" s="26" t="n">
        <v>0.9</v>
      </c>
      <c r="T208" s="26" t="n">
        <v>0.31</v>
      </c>
      <c r="U208" s="11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26" t="n">
        <v>53.51</v>
      </c>
      <c r="W208" s="26" t="n">
        <v>70.2</v>
      </c>
      <c r="X208" s="26">
        <f>ROUND(('Methodology &amp; Assumptions'!$B$5*V208) + ('Methodology &amp; Assumptions'!$B$6*W208), 2)</f>
        <v/>
      </c>
      <c r="Y208" s="28" t="n">
        <v>10.9</v>
      </c>
      <c r="Z208" s="11" t="inlineStr">
        <is>
          <t>Priority Tier 2 (Balanced Opportunity)</t>
        </is>
      </c>
    </row>
    <row r="209">
      <c r="A209" s="23" t="n">
        <v>3</v>
      </c>
      <c r="B209" s="23" t="n">
        <v>205</v>
      </c>
      <c r="C209" s="23" t="n">
        <v>2205</v>
      </c>
      <c r="D209" s="23" t="inlineStr">
        <is>
          <t>1380601017</t>
        </is>
      </c>
      <c r="E209" s="11" t="inlineStr">
        <is>
          <t>National Capital Region (NCR)</t>
        </is>
      </c>
      <c r="F209" s="11" t="inlineStr">
        <is>
          <t>First District (Not a Province)</t>
        </is>
      </c>
      <c r="G209" s="11" t="inlineStr">
        <is>
          <t>City of Manila</t>
        </is>
      </c>
      <c r="H209" s="11" t="inlineStr">
        <is>
          <t>Barangay 17</t>
        </is>
      </c>
      <c r="I209" s="24" t="n">
        <v>14.601951</v>
      </c>
      <c r="J209" s="24" t="n">
        <v>120.964055</v>
      </c>
      <c r="K209" s="23" t="inlineStr">
        <is>
          <t>U</t>
        </is>
      </c>
      <c r="L209" s="25" t="n">
        <v>973</v>
      </c>
      <c r="M209" s="26" t="n">
        <v>4.46</v>
      </c>
      <c r="N209" s="25">
        <f>ROUND(L209/M209, 0)</f>
        <v/>
      </c>
      <c r="O209" s="25">
        <f>ROUND(N209*'Methodology &amp; Assumptions'!$B$7, 0)</f>
        <v/>
      </c>
      <c r="P209" s="23" t="inlineStr">
        <is>
          <t>Single Carrier (Band n50, 100MHz TDD)</t>
        </is>
      </c>
      <c r="Q209" s="27">
        <f>ROUNDUP(O209/'Methodology &amp; Assumptions'!$B$8, 0)</f>
        <v/>
      </c>
      <c r="R209" s="27" t="n">
        <v>1</v>
      </c>
      <c r="S209" s="26" t="n">
        <v>0.8100000000000001</v>
      </c>
      <c r="T209" s="26" t="n">
        <v>0.8100000000000001</v>
      </c>
      <c r="U209" s="11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26" t="n">
        <v>48.05</v>
      </c>
      <c r="W209" s="26" t="n">
        <v>75.67</v>
      </c>
      <c r="X209" s="26">
        <f>ROUND(('Methodology &amp; Assumptions'!$B$5*V209) + ('Methodology &amp; Assumptions'!$B$6*W209), 2)</f>
        <v/>
      </c>
      <c r="Y209" s="28" t="n">
        <v>10.9</v>
      </c>
      <c r="Z209" s="11" t="inlineStr">
        <is>
          <t>Priority Tier 2 (Balanced Opportunity)</t>
        </is>
      </c>
    </row>
    <row r="210">
      <c r="A210" s="23" t="n">
        <v>3</v>
      </c>
      <c r="B210" s="23" t="n">
        <v>206</v>
      </c>
      <c r="C210" s="23" t="n">
        <v>2206</v>
      </c>
      <c r="D210" s="23" t="inlineStr">
        <is>
          <t>0205007018</t>
        </is>
      </c>
      <c r="E210" s="11" t="inlineStr">
        <is>
          <t>Region II (Cagayan Valley)</t>
        </is>
      </c>
      <c r="F210" s="11" t="inlineStr">
        <is>
          <t>Nueva Vizcaya</t>
        </is>
      </c>
      <c r="G210" s="11" t="inlineStr">
        <is>
          <t>Dupax del Norte</t>
        </is>
      </c>
      <c r="H210" s="11" t="inlineStr">
        <is>
          <t>New Gumiad</t>
        </is>
      </c>
      <c r="I210" s="24" t="n">
        <v>16.031882</v>
      </c>
      <c r="J210" s="24" t="n">
        <v>121.302688</v>
      </c>
      <c r="K210" s="23" t="inlineStr">
        <is>
          <t>R</t>
        </is>
      </c>
      <c r="L210" s="25" t="n">
        <v>650</v>
      </c>
      <c r="M210" s="26" t="n">
        <v>3.8</v>
      </c>
      <c r="N210" s="25">
        <f>ROUND(L210/M210, 0)</f>
        <v/>
      </c>
      <c r="O210" s="25">
        <f>ROUND(N210*'Methodology &amp; Assumptions'!$B$7, 0)</f>
        <v/>
      </c>
      <c r="P210" s="23" t="inlineStr">
        <is>
          <t>Single Carrier (Band n50, 100MHz TDD)</t>
        </is>
      </c>
      <c r="Q210" s="27">
        <f>ROUNDUP(O210/'Methodology &amp; Assumptions'!$B$8, 0)</f>
        <v/>
      </c>
      <c r="R210" s="27" t="n">
        <v>1</v>
      </c>
      <c r="S210" s="26" t="n">
        <v>19.82</v>
      </c>
      <c r="T210" s="26" t="n">
        <v>25.83</v>
      </c>
      <c r="U210" s="11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26" t="n">
        <v>39.3</v>
      </c>
      <c r="W210" s="26" t="n">
        <v>84.41</v>
      </c>
      <c r="X210" s="26">
        <f>ROUND(('Methodology &amp; Assumptions'!$B$5*V210) + ('Methodology &amp; Assumptions'!$B$6*W210), 2)</f>
        <v/>
      </c>
      <c r="Y210" s="28" t="n">
        <v>8.300000000000001</v>
      </c>
      <c r="Z210" s="11" t="inlineStr">
        <is>
          <t>Priority Tier 2 (Balanced Opportunity)</t>
        </is>
      </c>
    </row>
    <row r="211">
      <c r="A211" s="23" t="n">
        <v>3</v>
      </c>
      <c r="B211" s="23" t="n">
        <v>207</v>
      </c>
      <c r="C211" s="23" t="n">
        <v>2207</v>
      </c>
      <c r="D211" s="23" t="inlineStr">
        <is>
          <t>1004322008</t>
        </is>
      </c>
      <c r="E211" s="11" t="inlineStr">
        <is>
          <t>Region X (Northern Mindanao)</t>
        </is>
      </c>
      <c r="F211" s="11" t="inlineStr">
        <is>
          <t>Misamis Oriental</t>
        </is>
      </c>
      <c r="G211" s="11" t="inlineStr">
        <is>
          <t>Salay</t>
        </is>
      </c>
      <c r="H211" s="11" t="inlineStr">
        <is>
          <t>Looc</t>
        </is>
      </c>
      <c r="I211" s="24" t="n">
        <v>8.849332</v>
      </c>
      <c r="J211" s="24" t="n">
        <v>124.789041</v>
      </c>
      <c r="K211" s="23" t="inlineStr">
        <is>
          <t>R</t>
        </is>
      </c>
      <c r="L211" s="25" t="n">
        <v>3486</v>
      </c>
      <c r="M211" s="26" t="n">
        <v>3.9</v>
      </c>
      <c r="N211" s="25">
        <f>ROUND(L211/M211, 0)</f>
        <v/>
      </c>
      <c r="O211" s="25">
        <f>ROUND(N211*'Methodology &amp; Assumptions'!$B$7, 0)</f>
        <v/>
      </c>
      <c r="P211" s="23" t="inlineStr">
        <is>
          <t>Single Carrier (Band n50, 100MHz TDD)</t>
        </is>
      </c>
      <c r="Q211" s="27">
        <f>ROUNDUP(O211/'Methodology &amp; Assumptions'!$B$8, 0)</f>
        <v/>
      </c>
      <c r="R211" s="27" t="n">
        <v>1</v>
      </c>
      <c r="S211" s="26" t="n">
        <v>0.89</v>
      </c>
      <c r="T211" s="26" t="n">
        <v>0.09</v>
      </c>
      <c r="U211" s="11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26" t="n">
        <v>86.87</v>
      </c>
      <c r="W211" s="26" t="n">
        <v>36.82</v>
      </c>
      <c r="X211" s="26">
        <f>ROUND(('Methodology &amp; Assumptions'!$B$5*V211) + ('Methodology &amp; Assumptions'!$B$6*W211), 2)</f>
        <v/>
      </c>
      <c r="Y211" s="28" t="n">
        <v>17.4</v>
      </c>
      <c r="Z211" s="11" t="inlineStr">
        <is>
          <t>Priority Tier 2 (Balanced Opportunity)</t>
        </is>
      </c>
    </row>
    <row r="212">
      <c r="A212" s="23" t="n">
        <v>3</v>
      </c>
      <c r="B212" s="23" t="n">
        <v>208</v>
      </c>
      <c r="C212" s="23" t="n">
        <v>2208</v>
      </c>
      <c r="D212" s="23" t="inlineStr">
        <is>
          <t>0403406006</t>
        </is>
      </c>
      <c r="E212" s="11" t="inlineStr">
        <is>
          <t>Region IV-A (CALABARZON)</t>
        </is>
      </c>
      <c r="F212" s="11" t="inlineStr">
        <is>
          <t>Laguna</t>
        </is>
      </c>
      <c r="G212" s="11" t="inlineStr">
        <is>
          <t>Calauan</t>
        </is>
      </c>
      <c r="H212" s="11" t="inlineStr">
        <is>
          <t>Lamot 1</t>
        </is>
      </c>
      <c r="I212" s="24" t="n">
        <v>14.147387</v>
      </c>
      <c r="J212" s="24" t="n">
        <v>121.318153</v>
      </c>
      <c r="K212" s="23" t="inlineStr">
        <is>
          <t>R</t>
        </is>
      </c>
      <c r="L212" s="25" t="n">
        <v>3215</v>
      </c>
      <c r="M212" s="26" t="n">
        <v>3.3</v>
      </c>
      <c r="N212" s="25">
        <f>ROUND(L212/M212, 0)</f>
        <v/>
      </c>
      <c r="O212" s="25">
        <f>ROUND(N212*'Methodology &amp; Assumptions'!$B$7, 0)</f>
        <v/>
      </c>
      <c r="P212" s="23" t="inlineStr">
        <is>
          <t>Single Carrier (Band n50, 100MHz TDD)</t>
        </is>
      </c>
      <c r="Q212" s="27">
        <f>ROUNDUP(O212/'Methodology &amp; Assumptions'!$B$8, 0)</f>
        <v/>
      </c>
      <c r="R212" s="27" t="n">
        <v>1</v>
      </c>
      <c r="S212" s="26" t="n">
        <v>0.49</v>
      </c>
      <c r="T212" s="26" t="n">
        <v>0.04</v>
      </c>
      <c r="U212" s="11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26" t="n">
        <v>85.45999999999999</v>
      </c>
      <c r="W212" s="26" t="n">
        <v>38.25</v>
      </c>
      <c r="X212" s="26">
        <f>ROUND(('Methodology &amp; Assumptions'!$B$5*V212) + ('Methodology &amp; Assumptions'!$B$6*W212), 2)</f>
        <v/>
      </c>
      <c r="Y212" s="28" t="n">
        <v>7.2</v>
      </c>
      <c r="Z212" s="11" t="inlineStr">
        <is>
          <t>Priority Tier 2 (Balanced Opportunity)</t>
        </is>
      </c>
    </row>
    <row r="213">
      <c r="A213" s="23" t="n">
        <v>3</v>
      </c>
      <c r="B213" s="23" t="n">
        <v>209</v>
      </c>
      <c r="C213" s="23" t="n">
        <v>2209</v>
      </c>
      <c r="D213" s="23" t="inlineStr">
        <is>
          <t>0403419009</t>
        </is>
      </c>
      <c r="E213" s="11" t="inlineStr">
        <is>
          <t>Region IV-A (CALABARZON)</t>
        </is>
      </c>
      <c r="F213" s="11" t="inlineStr">
        <is>
          <t>Laguna</t>
        </is>
      </c>
      <c r="G213" s="11" t="inlineStr">
        <is>
          <t>Pagsanjan</t>
        </is>
      </c>
      <c r="H213" s="11" t="inlineStr">
        <is>
          <t>Magdapio</t>
        </is>
      </c>
      <c r="I213" s="24" t="n">
        <v>14.269956</v>
      </c>
      <c r="J213" s="24" t="n">
        <v>121.459664</v>
      </c>
      <c r="K213" s="23" t="inlineStr">
        <is>
          <t>R</t>
        </is>
      </c>
      <c r="L213" s="25" t="n">
        <v>2560</v>
      </c>
      <c r="M213" s="26" t="n">
        <v>3.3</v>
      </c>
      <c r="N213" s="25">
        <f>ROUND(L213/M213, 0)</f>
        <v/>
      </c>
      <c r="O213" s="25">
        <f>ROUND(N213*'Methodology &amp; Assumptions'!$B$7, 0)</f>
        <v/>
      </c>
      <c r="P213" s="23" t="inlineStr">
        <is>
          <t>Single Carrier (Band n50, 100MHz TDD)</t>
        </is>
      </c>
      <c r="Q213" s="27">
        <f>ROUNDUP(O213/'Methodology &amp; Assumptions'!$B$8, 0)</f>
        <v/>
      </c>
      <c r="R213" s="27" t="n">
        <v>1</v>
      </c>
      <c r="S213" s="26" t="n">
        <v>1.09</v>
      </c>
      <c r="T213" s="26" t="n">
        <v>0.5</v>
      </c>
      <c r="U213" s="11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26" t="n">
        <v>83.25</v>
      </c>
      <c r="W213" s="26" t="n">
        <v>40.45</v>
      </c>
      <c r="X213" s="26">
        <f>ROUND(('Methodology &amp; Assumptions'!$B$5*V213) + ('Methodology &amp; Assumptions'!$B$6*W213), 2)</f>
        <v/>
      </c>
      <c r="Y213" s="28" t="n">
        <v>7.2</v>
      </c>
      <c r="Z213" s="11" t="inlineStr">
        <is>
          <t>Priority Tier 2 (Balanced Opportunity)</t>
        </is>
      </c>
    </row>
    <row r="214">
      <c r="A214" s="23" t="n">
        <v>3</v>
      </c>
      <c r="B214" s="23" t="n">
        <v>210</v>
      </c>
      <c r="C214" s="23" t="n">
        <v>2210</v>
      </c>
      <c r="D214" s="23" t="inlineStr">
        <is>
          <t>1380605036</t>
        </is>
      </c>
      <c r="E214" s="11" t="inlineStr">
        <is>
          <t>National Capital Region (NCR)</t>
        </is>
      </c>
      <c r="F214" s="11" t="inlineStr">
        <is>
          <t>First District (Not a Province)</t>
        </is>
      </c>
      <c r="G214" s="11" t="inlineStr">
        <is>
          <t>City of Manila</t>
        </is>
      </c>
      <c r="H214" s="11" t="inlineStr">
        <is>
          <t>Barangay 334</t>
        </is>
      </c>
      <c r="I214" s="24" t="n">
        <v>14.612237</v>
      </c>
      <c r="J214" s="24" t="n">
        <v>120.982153</v>
      </c>
      <c r="K214" s="23" t="inlineStr">
        <is>
          <t>U</t>
        </is>
      </c>
      <c r="L214" s="25" t="n">
        <v>1467</v>
      </c>
      <c r="M214" s="26" t="n">
        <v>3.91</v>
      </c>
      <c r="N214" s="25">
        <f>ROUND(L214/M214, 0)</f>
        <v/>
      </c>
      <c r="O214" s="25">
        <f>ROUND(N214*'Methodology &amp; Assumptions'!$B$7, 0)</f>
        <v/>
      </c>
      <c r="P214" s="23" t="inlineStr">
        <is>
          <t>Single Carrier (Band n50, 100MHz TDD)</t>
        </is>
      </c>
      <c r="Q214" s="27">
        <f>ROUNDUP(O214/'Methodology &amp; Assumptions'!$B$8, 0)</f>
        <v/>
      </c>
      <c r="R214" s="27" t="n">
        <v>1</v>
      </c>
      <c r="S214" s="26" t="n">
        <v>0.48</v>
      </c>
      <c r="T214" s="26" t="n">
        <v>0.07000000000000001</v>
      </c>
      <c r="U214" s="11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26" t="n">
        <v>53.09</v>
      </c>
      <c r="W214" s="26" t="n">
        <v>70.62</v>
      </c>
      <c r="X214" s="26">
        <f>ROUND(('Methodology &amp; Assumptions'!$B$5*V214) + ('Methodology &amp; Assumptions'!$B$6*W214), 2)</f>
        <v/>
      </c>
      <c r="Y214" s="28" t="n">
        <v>10.9</v>
      </c>
      <c r="Z214" s="11" t="inlineStr">
        <is>
          <t>Priority Tier 2 (Balanced Opportunity)</t>
        </is>
      </c>
    </row>
    <row r="215">
      <c r="A215" s="23" t="n">
        <v>3</v>
      </c>
      <c r="B215" s="23" t="n">
        <v>211</v>
      </c>
      <c r="C215" s="23" t="n">
        <v>2211</v>
      </c>
      <c r="D215" s="23" t="inlineStr">
        <is>
          <t>0304903006</t>
        </is>
      </c>
      <c r="E215" s="11" t="inlineStr">
        <is>
          <t>Region III (Central Luzon)</t>
        </is>
      </c>
      <c r="F215" s="11" t="inlineStr">
        <is>
          <t>Nueva Ecija</t>
        </is>
      </c>
      <c r="G215" s="11" t="inlineStr">
        <is>
          <t>City of Cabanatuan</t>
        </is>
      </c>
      <c r="H215" s="11" t="inlineStr">
        <is>
          <t>Bakero</t>
        </is>
      </c>
      <c r="I215" s="24" t="n">
        <v>15.585783</v>
      </c>
      <c r="J215" s="24" t="n">
        <v>120.924577</v>
      </c>
      <c r="K215" s="23" t="inlineStr">
        <is>
          <t>R</t>
        </is>
      </c>
      <c r="L215" s="25" t="n">
        <v>3661</v>
      </c>
      <c r="M215" s="26" t="n">
        <v>3.5</v>
      </c>
      <c r="N215" s="25">
        <f>ROUND(L215/M215, 0)</f>
        <v/>
      </c>
      <c r="O215" s="25">
        <f>ROUND(N215*'Methodology &amp; Assumptions'!$B$7, 0)</f>
        <v/>
      </c>
      <c r="P215" s="23" t="inlineStr">
        <is>
          <t>Single Carrier (Band n50, 100MHz TDD)</t>
        </is>
      </c>
      <c r="Q215" s="27">
        <f>ROUNDUP(O215/'Methodology &amp; Assumptions'!$B$8, 0)</f>
        <v/>
      </c>
      <c r="R215" s="27" t="n">
        <v>1</v>
      </c>
      <c r="S215" s="26" t="n">
        <v>0.71</v>
      </c>
      <c r="T215" s="26" t="n">
        <v>0.52</v>
      </c>
      <c r="U215" s="11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26" t="n">
        <v>85.63</v>
      </c>
      <c r="W215" s="26" t="n">
        <v>38.05</v>
      </c>
      <c r="X215" s="26">
        <f>ROUND(('Methodology &amp; Assumptions'!$B$5*V215) + ('Methodology &amp; Assumptions'!$B$6*W215), 2)</f>
        <v/>
      </c>
      <c r="Y215" s="28" t="n">
        <v>8.300000000000001</v>
      </c>
      <c r="Z215" s="11" t="inlineStr">
        <is>
          <t>Priority Tier 2 (Balanced Opportunity)</t>
        </is>
      </c>
    </row>
    <row r="216">
      <c r="A216" s="23" t="n">
        <v>3</v>
      </c>
      <c r="B216" s="23" t="n">
        <v>212</v>
      </c>
      <c r="C216" s="23" t="n">
        <v>2212</v>
      </c>
      <c r="D216" s="23" t="inlineStr">
        <is>
          <t>0304903017</t>
        </is>
      </c>
      <c r="E216" s="11" t="inlineStr">
        <is>
          <t>Region III (Central Luzon)</t>
        </is>
      </c>
      <c r="F216" s="11" t="inlineStr">
        <is>
          <t>Nueva Ecija</t>
        </is>
      </c>
      <c r="G216" s="11" t="inlineStr">
        <is>
          <t>City of Cabanatuan</t>
        </is>
      </c>
      <c r="H216" s="11" t="inlineStr">
        <is>
          <t>Bonifacio District</t>
        </is>
      </c>
      <c r="I216" s="24" t="n">
        <v>15.585783</v>
      </c>
      <c r="J216" s="24" t="n">
        <v>120.924577</v>
      </c>
      <c r="K216" s="23" t="inlineStr">
        <is>
          <t>R</t>
        </is>
      </c>
      <c r="L216" s="25" t="n">
        <v>3315</v>
      </c>
      <c r="M216" s="26" t="n">
        <v>3.5</v>
      </c>
      <c r="N216" s="25">
        <f>ROUND(L216/M216, 0)</f>
        <v/>
      </c>
      <c r="O216" s="25">
        <f>ROUND(N216*'Methodology &amp; Assumptions'!$B$7, 0)</f>
        <v/>
      </c>
      <c r="P216" s="23" t="inlineStr">
        <is>
          <t>Single Carrier (Band n50, 100MHz TDD)</t>
        </is>
      </c>
      <c r="Q216" s="27">
        <f>ROUNDUP(O216/'Methodology &amp; Assumptions'!$B$8, 0)</f>
        <v/>
      </c>
      <c r="R216" s="27" t="n">
        <v>1</v>
      </c>
      <c r="S216" s="26" t="n">
        <v>0.71</v>
      </c>
      <c r="T216" s="26" t="n">
        <v>0.52</v>
      </c>
      <c r="U216" s="11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26" t="n">
        <v>85.63</v>
      </c>
      <c r="W216" s="26" t="n">
        <v>38.05</v>
      </c>
      <c r="X216" s="26">
        <f>ROUND(('Methodology &amp; Assumptions'!$B$5*V216) + ('Methodology &amp; Assumptions'!$B$6*W216), 2)</f>
        <v/>
      </c>
      <c r="Y216" s="28" t="n">
        <v>8.300000000000001</v>
      </c>
      <c r="Z216" s="11" t="inlineStr">
        <is>
          <t>Priority Tier 2 (Balanced Opportunity)</t>
        </is>
      </c>
    </row>
    <row r="217">
      <c r="A217" s="23" t="n">
        <v>3</v>
      </c>
      <c r="B217" s="23" t="n">
        <v>213</v>
      </c>
      <c r="C217" s="23" t="n">
        <v>2213</v>
      </c>
      <c r="D217" s="23" t="inlineStr">
        <is>
          <t>0304903018</t>
        </is>
      </c>
      <c r="E217" s="11" t="inlineStr">
        <is>
          <t>Region III (Central Luzon)</t>
        </is>
      </c>
      <c r="F217" s="11" t="inlineStr">
        <is>
          <t>Nueva Ecija</t>
        </is>
      </c>
      <c r="G217" s="11" t="inlineStr">
        <is>
          <t>City of Cabanatuan</t>
        </is>
      </c>
      <c r="H217" s="11" t="inlineStr">
        <is>
          <t>Buliran</t>
        </is>
      </c>
      <c r="I217" s="24" t="n">
        <v>15.585783</v>
      </c>
      <c r="J217" s="24" t="n">
        <v>120.924577</v>
      </c>
      <c r="K217" s="23" t="inlineStr">
        <is>
          <t>R</t>
        </is>
      </c>
      <c r="L217" s="25" t="n">
        <v>3772</v>
      </c>
      <c r="M217" s="26" t="n">
        <v>3.5</v>
      </c>
      <c r="N217" s="25">
        <f>ROUND(L217/M217, 0)</f>
        <v/>
      </c>
      <c r="O217" s="25">
        <f>ROUND(N217*'Methodology &amp; Assumptions'!$B$7, 0)</f>
        <v/>
      </c>
      <c r="P217" s="23" t="inlineStr">
        <is>
          <t>Single Carrier (Band n50, 100MHz TDD)</t>
        </is>
      </c>
      <c r="Q217" s="27">
        <f>ROUNDUP(O217/'Methodology &amp; Assumptions'!$B$8, 0)</f>
        <v/>
      </c>
      <c r="R217" s="27" t="n">
        <v>1</v>
      </c>
      <c r="S217" s="26" t="n">
        <v>0.71</v>
      </c>
      <c r="T217" s="26" t="n">
        <v>0.52</v>
      </c>
      <c r="U217" s="11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26" t="n">
        <v>85.63</v>
      </c>
      <c r="W217" s="26" t="n">
        <v>38.05</v>
      </c>
      <c r="X217" s="26">
        <f>ROUND(('Methodology &amp; Assumptions'!$B$5*V217) + ('Methodology &amp; Assumptions'!$B$6*W217), 2)</f>
        <v/>
      </c>
      <c r="Y217" s="28" t="n">
        <v>8.300000000000001</v>
      </c>
      <c r="Z217" s="11" t="inlineStr">
        <is>
          <t>Priority Tier 2 (Balanced Opportunity)</t>
        </is>
      </c>
    </row>
    <row r="218">
      <c r="A218" s="23" t="n">
        <v>3</v>
      </c>
      <c r="B218" s="23" t="n">
        <v>214</v>
      </c>
      <c r="C218" s="23" t="n">
        <v>2214</v>
      </c>
      <c r="D218" s="23" t="inlineStr">
        <is>
          <t>0304903037</t>
        </is>
      </c>
      <c r="E218" s="11" t="inlineStr">
        <is>
          <t>Region III (Central Luzon)</t>
        </is>
      </c>
      <c r="F218" s="11" t="inlineStr">
        <is>
          <t>Nueva Ecija</t>
        </is>
      </c>
      <c r="G218" s="11" t="inlineStr">
        <is>
          <t>City of Cabanatuan</t>
        </is>
      </c>
      <c r="H218" s="11" t="inlineStr">
        <is>
          <t>Ibabao Bana</t>
        </is>
      </c>
      <c r="I218" s="24" t="n">
        <v>15.585783</v>
      </c>
      <c r="J218" s="24" t="n">
        <v>120.924577</v>
      </c>
      <c r="K218" s="23" t="inlineStr">
        <is>
          <t>R</t>
        </is>
      </c>
      <c r="L218" s="25" t="n">
        <v>2901</v>
      </c>
      <c r="M218" s="26" t="n">
        <v>3.5</v>
      </c>
      <c r="N218" s="25">
        <f>ROUND(L218/M218, 0)</f>
        <v/>
      </c>
      <c r="O218" s="25">
        <f>ROUND(N218*'Methodology &amp; Assumptions'!$B$7, 0)</f>
        <v/>
      </c>
      <c r="P218" s="23" t="inlineStr">
        <is>
          <t>Single Carrier (Band n50, 100MHz TDD)</t>
        </is>
      </c>
      <c r="Q218" s="27">
        <f>ROUNDUP(O218/'Methodology &amp; Assumptions'!$B$8, 0)</f>
        <v/>
      </c>
      <c r="R218" s="27" t="n">
        <v>1</v>
      </c>
      <c r="S218" s="26" t="n">
        <v>0.71</v>
      </c>
      <c r="T218" s="26" t="n">
        <v>0.52</v>
      </c>
      <c r="U218" s="11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26" t="n">
        <v>85.63</v>
      </c>
      <c r="W218" s="26" t="n">
        <v>38.05</v>
      </c>
      <c r="X218" s="26">
        <f>ROUND(('Methodology &amp; Assumptions'!$B$5*V218) + ('Methodology &amp; Assumptions'!$B$6*W218), 2)</f>
        <v/>
      </c>
      <c r="Y218" s="28" t="n">
        <v>8.300000000000001</v>
      </c>
      <c r="Z218" s="11" t="inlineStr">
        <is>
          <t>Priority Tier 2 (Balanced Opportunity)</t>
        </is>
      </c>
    </row>
    <row r="219">
      <c r="A219" s="23" t="n">
        <v>3</v>
      </c>
      <c r="B219" s="23" t="n">
        <v>215</v>
      </c>
      <c r="C219" s="23" t="n">
        <v>2215</v>
      </c>
      <c r="D219" s="23" t="inlineStr">
        <is>
          <t>0304903041</t>
        </is>
      </c>
      <c r="E219" s="11" t="inlineStr">
        <is>
          <t>Region III (Central Luzon)</t>
        </is>
      </c>
      <c r="F219" s="11" t="inlineStr">
        <is>
          <t>Nueva Ecija</t>
        </is>
      </c>
      <c r="G219" s="11" t="inlineStr">
        <is>
          <t>City of Cabanatuan</t>
        </is>
      </c>
      <c r="H219" s="11" t="inlineStr">
        <is>
          <t>Kalikid Norte</t>
        </is>
      </c>
      <c r="I219" s="24" t="n">
        <v>15.585783</v>
      </c>
      <c r="J219" s="24" t="n">
        <v>120.924577</v>
      </c>
      <c r="K219" s="23" t="inlineStr">
        <is>
          <t>R</t>
        </is>
      </c>
      <c r="L219" s="25" t="n">
        <v>3907</v>
      </c>
      <c r="M219" s="26" t="n">
        <v>3.5</v>
      </c>
      <c r="N219" s="25">
        <f>ROUND(L219/M219, 0)</f>
        <v/>
      </c>
      <c r="O219" s="25">
        <f>ROUND(N219*'Methodology &amp; Assumptions'!$B$7, 0)</f>
        <v/>
      </c>
      <c r="P219" s="23" t="inlineStr">
        <is>
          <t>Single Carrier (Band n50, 100MHz TDD)</t>
        </is>
      </c>
      <c r="Q219" s="27">
        <f>ROUNDUP(O219/'Methodology &amp; Assumptions'!$B$8, 0)</f>
        <v/>
      </c>
      <c r="R219" s="27" t="n">
        <v>1</v>
      </c>
      <c r="S219" s="26" t="n">
        <v>0.71</v>
      </c>
      <c r="T219" s="26" t="n">
        <v>0.52</v>
      </c>
      <c r="U219" s="11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26" t="n">
        <v>85.63</v>
      </c>
      <c r="W219" s="26" t="n">
        <v>38.05</v>
      </c>
      <c r="X219" s="26">
        <f>ROUND(('Methodology &amp; Assumptions'!$B$5*V219) + ('Methodology &amp; Assumptions'!$B$6*W219), 2)</f>
        <v/>
      </c>
      <c r="Y219" s="28" t="n">
        <v>8.300000000000001</v>
      </c>
      <c r="Z219" s="11" t="inlineStr">
        <is>
          <t>Priority Tier 2 (Balanced Opportunity)</t>
        </is>
      </c>
    </row>
    <row r="220">
      <c r="A220" s="23" t="n">
        <v>3</v>
      </c>
      <c r="B220" s="23" t="n">
        <v>216</v>
      </c>
      <c r="C220" s="23" t="n">
        <v>2216</v>
      </c>
      <c r="D220" s="23" t="inlineStr">
        <is>
          <t>0304903043</t>
        </is>
      </c>
      <c r="E220" s="11" t="inlineStr">
        <is>
          <t>Region III (Central Luzon)</t>
        </is>
      </c>
      <c r="F220" s="11" t="inlineStr">
        <is>
          <t>Nueva Ecija</t>
        </is>
      </c>
      <c r="G220" s="11" t="inlineStr">
        <is>
          <t>City of Cabanatuan</t>
        </is>
      </c>
      <c r="H220" s="11" t="inlineStr">
        <is>
          <t>Lagare</t>
        </is>
      </c>
      <c r="I220" s="24" t="n">
        <v>15.585783</v>
      </c>
      <c r="J220" s="24" t="n">
        <v>120.924577</v>
      </c>
      <c r="K220" s="23" t="inlineStr">
        <is>
          <t>R</t>
        </is>
      </c>
      <c r="L220" s="25" t="n">
        <v>2959</v>
      </c>
      <c r="M220" s="26" t="n">
        <v>3.5</v>
      </c>
      <c r="N220" s="25">
        <f>ROUND(L220/M220, 0)</f>
        <v/>
      </c>
      <c r="O220" s="25">
        <f>ROUND(N220*'Methodology &amp; Assumptions'!$B$7, 0)</f>
        <v/>
      </c>
      <c r="P220" s="23" t="inlineStr">
        <is>
          <t>Single Carrier (Band n50, 100MHz TDD)</t>
        </is>
      </c>
      <c r="Q220" s="27">
        <f>ROUNDUP(O220/'Methodology &amp; Assumptions'!$B$8, 0)</f>
        <v/>
      </c>
      <c r="R220" s="27" t="n">
        <v>1</v>
      </c>
      <c r="S220" s="26" t="n">
        <v>0.71</v>
      </c>
      <c r="T220" s="26" t="n">
        <v>0.52</v>
      </c>
      <c r="U220" s="11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26" t="n">
        <v>85.63</v>
      </c>
      <c r="W220" s="26" t="n">
        <v>38.05</v>
      </c>
      <c r="X220" s="26">
        <f>ROUND(('Methodology &amp; Assumptions'!$B$5*V220) + ('Methodology &amp; Assumptions'!$B$6*W220), 2)</f>
        <v/>
      </c>
      <c r="Y220" s="28" t="n">
        <v>8.300000000000001</v>
      </c>
      <c r="Z220" s="11" t="inlineStr">
        <is>
          <t>Priority Tier 2 (Balanced Opportunity)</t>
        </is>
      </c>
    </row>
    <row r="221">
      <c r="A221" s="23" t="n">
        <v>3</v>
      </c>
      <c r="B221" s="23" t="n">
        <v>217</v>
      </c>
      <c r="C221" s="23" t="n">
        <v>2217</v>
      </c>
      <c r="D221" s="23" t="inlineStr">
        <is>
          <t>0304903048</t>
        </is>
      </c>
      <c r="E221" s="11" t="inlineStr">
        <is>
          <t>Region III (Central Luzon)</t>
        </is>
      </c>
      <c r="F221" s="11" t="inlineStr">
        <is>
          <t>Nueva Ecija</t>
        </is>
      </c>
      <c r="G221" s="11" t="inlineStr">
        <is>
          <t>City of Cabanatuan</t>
        </is>
      </c>
      <c r="H221" s="11" t="inlineStr">
        <is>
          <t>Macatbong</t>
        </is>
      </c>
      <c r="I221" s="24" t="n">
        <v>15.585783</v>
      </c>
      <c r="J221" s="24" t="n">
        <v>120.924577</v>
      </c>
      <c r="K221" s="23" t="inlineStr">
        <is>
          <t>R</t>
        </is>
      </c>
      <c r="L221" s="25" t="n">
        <v>3949</v>
      </c>
      <c r="M221" s="26" t="n">
        <v>3.5</v>
      </c>
      <c r="N221" s="25">
        <f>ROUND(L221/M221, 0)</f>
        <v/>
      </c>
      <c r="O221" s="25">
        <f>ROUND(N221*'Methodology &amp; Assumptions'!$B$7, 0)</f>
        <v/>
      </c>
      <c r="P221" s="23" t="inlineStr">
        <is>
          <t>Single Carrier (Band n50, 100MHz TDD)</t>
        </is>
      </c>
      <c r="Q221" s="27">
        <f>ROUNDUP(O221/'Methodology &amp; Assumptions'!$B$8, 0)</f>
        <v/>
      </c>
      <c r="R221" s="27" t="n">
        <v>1</v>
      </c>
      <c r="S221" s="26" t="n">
        <v>0.71</v>
      </c>
      <c r="T221" s="26" t="n">
        <v>0.52</v>
      </c>
      <c r="U221" s="11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26" t="n">
        <v>85.63</v>
      </c>
      <c r="W221" s="26" t="n">
        <v>38.05</v>
      </c>
      <c r="X221" s="26">
        <f>ROUND(('Methodology &amp; Assumptions'!$B$5*V221) + ('Methodology &amp; Assumptions'!$B$6*W221), 2)</f>
        <v/>
      </c>
      <c r="Y221" s="28" t="n">
        <v>8.300000000000001</v>
      </c>
      <c r="Z221" s="11" t="inlineStr">
        <is>
          <t>Priority Tier 2 (Balanced Opportunity)</t>
        </is>
      </c>
    </row>
    <row r="222">
      <c r="A222" s="23" t="n">
        <v>3</v>
      </c>
      <c r="B222" s="23" t="n">
        <v>218</v>
      </c>
      <c r="C222" s="23" t="n">
        <v>2218</v>
      </c>
      <c r="D222" s="23" t="inlineStr">
        <is>
          <t>0304903052</t>
        </is>
      </c>
      <c r="E222" s="11" t="inlineStr">
        <is>
          <t>Region III (Central Luzon)</t>
        </is>
      </c>
      <c r="F222" s="11" t="inlineStr">
        <is>
          <t>Nueva Ecija</t>
        </is>
      </c>
      <c r="G222" s="11" t="inlineStr">
        <is>
          <t>City of Cabanatuan</t>
        </is>
      </c>
      <c r="H222" s="11" t="inlineStr">
        <is>
          <t>Mayapyap Norte</t>
        </is>
      </c>
      <c r="I222" s="24" t="n">
        <v>15.585783</v>
      </c>
      <c r="J222" s="24" t="n">
        <v>120.924577</v>
      </c>
      <c r="K222" s="23" t="inlineStr">
        <is>
          <t>R</t>
        </is>
      </c>
      <c r="L222" s="25" t="n">
        <v>2997</v>
      </c>
      <c r="M222" s="26" t="n">
        <v>3.5</v>
      </c>
      <c r="N222" s="25">
        <f>ROUND(L222/M222, 0)</f>
        <v/>
      </c>
      <c r="O222" s="25">
        <f>ROUND(N222*'Methodology &amp; Assumptions'!$B$7, 0)</f>
        <v/>
      </c>
      <c r="P222" s="23" t="inlineStr">
        <is>
          <t>Single Carrier (Band n50, 100MHz TDD)</t>
        </is>
      </c>
      <c r="Q222" s="27">
        <f>ROUNDUP(O222/'Methodology &amp; Assumptions'!$B$8, 0)</f>
        <v/>
      </c>
      <c r="R222" s="27" t="n">
        <v>1</v>
      </c>
      <c r="S222" s="26" t="n">
        <v>0.71</v>
      </c>
      <c r="T222" s="26" t="n">
        <v>0.52</v>
      </c>
      <c r="U222" s="11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26" t="n">
        <v>85.63</v>
      </c>
      <c r="W222" s="26" t="n">
        <v>38.05</v>
      </c>
      <c r="X222" s="26">
        <f>ROUND(('Methodology &amp; Assumptions'!$B$5*V222) + ('Methodology &amp; Assumptions'!$B$6*W222), 2)</f>
        <v/>
      </c>
      <c r="Y222" s="28" t="n">
        <v>8.300000000000001</v>
      </c>
      <c r="Z222" s="11" t="inlineStr">
        <is>
          <t>Priority Tier 2 (Balanced Opportunity)</t>
        </is>
      </c>
    </row>
    <row r="223">
      <c r="A223" s="23" t="n">
        <v>3</v>
      </c>
      <c r="B223" s="23" t="n">
        <v>219</v>
      </c>
      <c r="C223" s="23" t="n">
        <v>2219</v>
      </c>
      <c r="D223" s="23" t="inlineStr">
        <is>
          <t>0304903055</t>
        </is>
      </c>
      <c r="E223" s="11" t="inlineStr">
        <is>
          <t>Region III (Central Luzon)</t>
        </is>
      </c>
      <c r="F223" s="11" t="inlineStr">
        <is>
          <t>Nueva Ecija</t>
        </is>
      </c>
      <c r="G223" s="11" t="inlineStr">
        <is>
          <t>City of Cabanatuan</t>
        </is>
      </c>
      <c r="H223" s="11" t="inlineStr">
        <is>
          <t>Obrero</t>
        </is>
      </c>
      <c r="I223" s="24" t="n">
        <v>15.585783</v>
      </c>
      <c r="J223" s="24" t="n">
        <v>120.924577</v>
      </c>
      <c r="K223" s="23" t="inlineStr">
        <is>
          <t>R</t>
        </is>
      </c>
      <c r="L223" s="25" t="n">
        <v>4752</v>
      </c>
      <c r="M223" s="26" t="n">
        <v>3.5</v>
      </c>
      <c r="N223" s="25">
        <f>ROUND(L223/M223, 0)</f>
        <v/>
      </c>
      <c r="O223" s="25">
        <f>ROUND(N223*'Methodology &amp; Assumptions'!$B$7, 0)</f>
        <v/>
      </c>
      <c r="P223" s="23" t="inlineStr">
        <is>
          <t>Single Carrier (Band n50, 100MHz TDD)</t>
        </is>
      </c>
      <c r="Q223" s="27">
        <f>ROUNDUP(O223/'Methodology &amp; Assumptions'!$B$8, 0)</f>
        <v/>
      </c>
      <c r="R223" s="27" t="n">
        <v>1</v>
      </c>
      <c r="S223" s="26" t="n">
        <v>0.71</v>
      </c>
      <c r="T223" s="26" t="n">
        <v>0.52</v>
      </c>
      <c r="U223" s="11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26" t="n">
        <v>85.63</v>
      </c>
      <c r="W223" s="26" t="n">
        <v>38.05</v>
      </c>
      <c r="X223" s="26">
        <f>ROUND(('Methodology &amp; Assumptions'!$B$5*V223) + ('Methodology &amp; Assumptions'!$B$6*W223), 2)</f>
        <v/>
      </c>
      <c r="Y223" s="28" t="n">
        <v>8.300000000000001</v>
      </c>
      <c r="Z223" s="11" t="inlineStr">
        <is>
          <t>Priority Tier 2 (Balanced Opportunity)</t>
        </is>
      </c>
    </row>
    <row r="224">
      <c r="A224" s="23" t="n">
        <v>3</v>
      </c>
      <c r="B224" s="23" t="n">
        <v>220</v>
      </c>
      <c r="C224" s="23" t="n">
        <v>2220</v>
      </c>
      <c r="D224" s="23" t="inlineStr">
        <is>
          <t>0304903056</t>
        </is>
      </c>
      <c r="E224" s="11" t="inlineStr">
        <is>
          <t>Region III (Central Luzon)</t>
        </is>
      </c>
      <c r="F224" s="11" t="inlineStr">
        <is>
          <t>Nueva Ecija</t>
        </is>
      </c>
      <c r="G224" s="11" t="inlineStr">
        <is>
          <t>City of Cabanatuan</t>
        </is>
      </c>
      <c r="H224" s="11" t="inlineStr">
        <is>
          <t>Padre Crisostomo</t>
        </is>
      </c>
      <c r="I224" s="24" t="n">
        <v>15.585783</v>
      </c>
      <c r="J224" s="24" t="n">
        <v>120.924577</v>
      </c>
      <c r="K224" s="23" t="inlineStr">
        <is>
          <t>R</t>
        </is>
      </c>
      <c r="L224" s="25" t="n">
        <v>4685</v>
      </c>
      <c r="M224" s="26" t="n">
        <v>3.5</v>
      </c>
      <c r="N224" s="25">
        <f>ROUND(L224/M224, 0)</f>
        <v/>
      </c>
      <c r="O224" s="25">
        <f>ROUND(N224*'Methodology &amp; Assumptions'!$B$7, 0)</f>
        <v/>
      </c>
      <c r="P224" s="23" t="inlineStr">
        <is>
          <t>Single Carrier (Band n50, 100MHz TDD)</t>
        </is>
      </c>
      <c r="Q224" s="27">
        <f>ROUNDUP(O224/'Methodology &amp; Assumptions'!$B$8, 0)</f>
        <v/>
      </c>
      <c r="R224" s="27" t="n">
        <v>1</v>
      </c>
      <c r="S224" s="26" t="n">
        <v>0.71</v>
      </c>
      <c r="T224" s="26" t="n">
        <v>0.52</v>
      </c>
      <c r="U224" s="11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26" t="n">
        <v>85.63</v>
      </c>
      <c r="W224" s="26" t="n">
        <v>38.05</v>
      </c>
      <c r="X224" s="26">
        <f>ROUND(('Methodology &amp; Assumptions'!$B$5*V224) + ('Methodology &amp; Assumptions'!$B$6*W224), 2)</f>
        <v/>
      </c>
      <c r="Y224" s="28" t="n">
        <v>8.300000000000001</v>
      </c>
      <c r="Z224" s="11" t="inlineStr">
        <is>
          <t>Priority Tier 2 (Balanced Opportunity)</t>
        </is>
      </c>
    </row>
    <row r="225">
      <c r="A225" s="23" t="n">
        <v>3</v>
      </c>
      <c r="B225" s="23" t="n">
        <v>221</v>
      </c>
      <c r="C225" s="23" t="n">
        <v>2221</v>
      </c>
      <c r="D225" s="23" t="inlineStr">
        <is>
          <t>0304903057</t>
        </is>
      </c>
      <c r="E225" s="11" t="inlineStr">
        <is>
          <t>Region III (Central Luzon)</t>
        </is>
      </c>
      <c r="F225" s="11" t="inlineStr">
        <is>
          <t>Nueva Ecija</t>
        </is>
      </c>
      <c r="G225" s="11" t="inlineStr">
        <is>
          <t>City of Cabanatuan</t>
        </is>
      </c>
      <c r="H225" s="11" t="inlineStr">
        <is>
          <t>Pagas</t>
        </is>
      </c>
      <c r="I225" s="24" t="n">
        <v>15.585783</v>
      </c>
      <c r="J225" s="24" t="n">
        <v>120.924577</v>
      </c>
      <c r="K225" s="23" t="inlineStr">
        <is>
          <t>R</t>
        </is>
      </c>
      <c r="L225" s="25" t="n">
        <v>3554</v>
      </c>
      <c r="M225" s="26" t="n">
        <v>3.5</v>
      </c>
      <c r="N225" s="25">
        <f>ROUND(L225/M225, 0)</f>
        <v/>
      </c>
      <c r="O225" s="25">
        <f>ROUND(N225*'Methodology &amp; Assumptions'!$B$7, 0)</f>
        <v/>
      </c>
      <c r="P225" s="23" t="inlineStr">
        <is>
          <t>Single Carrier (Band n50, 100MHz TDD)</t>
        </is>
      </c>
      <c r="Q225" s="27">
        <f>ROUNDUP(O225/'Methodology &amp; Assumptions'!$B$8, 0)</f>
        <v/>
      </c>
      <c r="R225" s="27" t="n">
        <v>1</v>
      </c>
      <c r="S225" s="26" t="n">
        <v>0.71</v>
      </c>
      <c r="T225" s="26" t="n">
        <v>0.52</v>
      </c>
      <c r="U225" s="11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26" t="n">
        <v>85.63</v>
      </c>
      <c r="W225" s="26" t="n">
        <v>38.05</v>
      </c>
      <c r="X225" s="26">
        <f>ROUND(('Methodology &amp; Assumptions'!$B$5*V225) + ('Methodology &amp; Assumptions'!$B$6*W225), 2)</f>
        <v/>
      </c>
      <c r="Y225" s="28" t="n">
        <v>8.300000000000001</v>
      </c>
      <c r="Z225" s="11" t="inlineStr">
        <is>
          <t>Priority Tier 2 (Balanced Opportunity)</t>
        </is>
      </c>
    </row>
    <row r="226">
      <c r="A226" s="23" t="n">
        <v>3</v>
      </c>
      <c r="B226" s="23" t="n">
        <v>222</v>
      </c>
      <c r="C226" s="23" t="n">
        <v>2222</v>
      </c>
      <c r="D226" s="23" t="inlineStr">
        <is>
          <t>0304903058</t>
        </is>
      </c>
      <c r="E226" s="11" t="inlineStr">
        <is>
          <t>Region III (Central Luzon)</t>
        </is>
      </c>
      <c r="F226" s="11" t="inlineStr">
        <is>
          <t>Nueva Ecija</t>
        </is>
      </c>
      <c r="G226" s="11" t="inlineStr">
        <is>
          <t>City of Cabanatuan</t>
        </is>
      </c>
      <c r="H226" s="11" t="inlineStr">
        <is>
          <t>Palagay</t>
        </is>
      </c>
      <c r="I226" s="24" t="n">
        <v>15.585783</v>
      </c>
      <c r="J226" s="24" t="n">
        <v>120.924577</v>
      </c>
      <c r="K226" s="23" t="inlineStr">
        <is>
          <t>R</t>
        </is>
      </c>
      <c r="L226" s="25" t="n">
        <v>2886</v>
      </c>
      <c r="M226" s="26" t="n">
        <v>3.5</v>
      </c>
      <c r="N226" s="25">
        <f>ROUND(L226/M226, 0)</f>
        <v/>
      </c>
      <c r="O226" s="25">
        <f>ROUND(N226*'Methodology &amp; Assumptions'!$B$7, 0)</f>
        <v/>
      </c>
      <c r="P226" s="23" t="inlineStr">
        <is>
          <t>Single Carrier (Band n50, 100MHz TDD)</t>
        </is>
      </c>
      <c r="Q226" s="27">
        <f>ROUNDUP(O226/'Methodology &amp; Assumptions'!$B$8, 0)</f>
        <v/>
      </c>
      <c r="R226" s="27" t="n">
        <v>1</v>
      </c>
      <c r="S226" s="26" t="n">
        <v>0.71</v>
      </c>
      <c r="T226" s="26" t="n">
        <v>0.52</v>
      </c>
      <c r="U226" s="11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26" t="n">
        <v>85.63</v>
      </c>
      <c r="W226" s="26" t="n">
        <v>38.05</v>
      </c>
      <c r="X226" s="26">
        <f>ROUND(('Methodology &amp; Assumptions'!$B$5*V226) + ('Methodology &amp; Assumptions'!$B$6*W226), 2)</f>
        <v/>
      </c>
      <c r="Y226" s="28" t="n">
        <v>8.300000000000001</v>
      </c>
      <c r="Z226" s="11" t="inlineStr">
        <is>
          <t>Priority Tier 2 (Balanced Opportunity)</t>
        </is>
      </c>
    </row>
    <row r="227">
      <c r="A227" s="23" t="n">
        <v>3</v>
      </c>
      <c r="B227" s="23" t="n">
        <v>223</v>
      </c>
      <c r="C227" s="23" t="n">
        <v>2223</v>
      </c>
      <c r="D227" s="23" t="inlineStr">
        <is>
          <t>0304903059</t>
        </is>
      </c>
      <c r="E227" s="11" t="inlineStr">
        <is>
          <t>Region III (Central Luzon)</t>
        </is>
      </c>
      <c r="F227" s="11" t="inlineStr">
        <is>
          <t>Nueva Ecija</t>
        </is>
      </c>
      <c r="G227" s="11" t="inlineStr">
        <is>
          <t>City of Cabanatuan</t>
        </is>
      </c>
      <c r="H227" s="11" t="inlineStr">
        <is>
          <t>Pamaldan</t>
        </is>
      </c>
      <c r="I227" s="24" t="n">
        <v>15.585783</v>
      </c>
      <c r="J227" s="24" t="n">
        <v>120.924577</v>
      </c>
      <c r="K227" s="23" t="inlineStr">
        <is>
          <t>R</t>
        </is>
      </c>
      <c r="L227" s="25" t="n">
        <v>4581</v>
      </c>
      <c r="M227" s="26" t="n">
        <v>3.5</v>
      </c>
      <c r="N227" s="25">
        <f>ROUND(L227/M227, 0)</f>
        <v/>
      </c>
      <c r="O227" s="25">
        <f>ROUND(N227*'Methodology &amp; Assumptions'!$B$7, 0)</f>
        <v/>
      </c>
      <c r="P227" s="23" t="inlineStr">
        <is>
          <t>Single Carrier (Band n50, 100MHz TDD)</t>
        </is>
      </c>
      <c r="Q227" s="27">
        <f>ROUNDUP(O227/'Methodology &amp; Assumptions'!$B$8, 0)</f>
        <v/>
      </c>
      <c r="R227" s="27" t="n">
        <v>1</v>
      </c>
      <c r="S227" s="26" t="n">
        <v>0.71</v>
      </c>
      <c r="T227" s="26" t="n">
        <v>0.52</v>
      </c>
      <c r="U227" s="11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26" t="n">
        <v>85.63</v>
      </c>
      <c r="W227" s="26" t="n">
        <v>38.05</v>
      </c>
      <c r="X227" s="26">
        <f>ROUND(('Methodology &amp; Assumptions'!$B$5*V227) + ('Methodology &amp; Assumptions'!$B$6*W227), 2)</f>
        <v/>
      </c>
      <c r="Y227" s="28" t="n">
        <v>8.300000000000001</v>
      </c>
      <c r="Z227" s="11" t="inlineStr">
        <is>
          <t>Priority Tier 2 (Balanced Opportunity)</t>
        </is>
      </c>
    </row>
    <row r="228">
      <c r="A228" s="23" t="n">
        <v>3</v>
      </c>
      <c r="B228" s="23" t="n">
        <v>224</v>
      </c>
      <c r="C228" s="23" t="n">
        <v>2224</v>
      </c>
      <c r="D228" s="23" t="inlineStr">
        <is>
          <t>0304903060</t>
        </is>
      </c>
      <c r="E228" s="11" t="inlineStr">
        <is>
          <t>Region III (Central Luzon)</t>
        </is>
      </c>
      <c r="F228" s="11" t="inlineStr">
        <is>
          <t>Nueva Ecija</t>
        </is>
      </c>
      <c r="G228" s="11" t="inlineStr">
        <is>
          <t>City of Cabanatuan</t>
        </is>
      </c>
      <c r="H228" s="11" t="inlineStr">
        <is>
          <t>Pangatian</t>
        </is>
      </c>
      <c r="I228" s="24" t="n">
        <v>15.585783</v>
      </c>
      <c r="J228" s="24" t="n">
        <v>120.924577</v>
      </c>
      <c r="K228" s="23" t="inlineStr">
        <is>
          <t>R</t>
        </is>
      </c>
      <c r="L228" s="25" t="n">
        <v>3586</v>
      </c>
      <c r="M228" s="26" t="n">
        <v>3.5</v>
      </c>
      <c r="N228" s="25">
        <f>ROUND(L228/M228, 0)</f>
        <v/>
      </c>
      <c r="O228" s="25">
        <f>ROUND(N228*'Methodology &amp; Assumptions'!$B$7, 0)</f>
        <v/>
      </c>
      <c r="P228" s="23" t="inlineStr">
        <is>
          <t>Single Carrier (Band n50, 100MHz TDD)</t>
        </is>
      </c>
      <c r="Q228" s="27">
        <f>ROUNDUP(O228/'Methodology &amp; Assumptions'!$B$8, 0)</f>
        <v/>
      </c>
      <c r="R228" s="27" t="n">
        <v>1</v>
      </c>
      <c r="S228" s="26" t="n">
        <v>0.71</v>
      </c>
      <c r="T228" s="26" t="n">
        <v>0.52</v>
      </c>
      <c r="U228" s="11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26" t="n">
        <v>85.63</v>
      </c>
      <c r="W228" s="26" t="n">
        <v>38.05</v>
      </c>
      <c r="X228" s="26">
        <f>ROUND(('Methodology &amp; Assumptions'!$B$5*V228) + ('Methodology &amp; Assumptions'!$B$6*W228), 2)</f>
        <v/>
      </c>
      <c r="Y228" s="28" t="n">
        <v>8.300000000000001</v>
      </c>
      <c r="Z228" s="11" t="inlineStr">
        <is>
          <t>Priority Tier 2 (Balanced Opportunity)</t>
        </is>
      </c>
    </row>
    <row r="229">
      <c r="A229" s="23" t="n">
        <v>3</v>
      </c>
      <c r="B229" s="23" t="n">
        <v>225</v>
      </c>
      <c r="C229" s="23" t="n">
        <v>2225</v>
      </c>
      <c r="D229" s="23" t="inlineStr">
        <is>
          <t>0304903063</t>
        </is>
      </c>
      <c r="E229" s="11" t="inlineStr">
        <is>
          <t>Region III (Central Luzon)</t>
        </is>
      </c>
      <c r="F229" s="11" t="inlineStr">
        <is>
          <t>Nueva Ecija</t>
        </is>
      </c>
      <c r="G229" s="11" t="inlineStr">
        <is>
          <t>City of Cabanatuan</t>
        </is>
      </c>
      <c r="H229" s="11" t="inlineStr">
        <is>
          <t>Polilio</t>
        </is>
      </c>
      <c r="I229" s="24" t="n">
        <v>15.585783</v>
      </c>
      <c r="J229" s="24" t="n">
        <v>120.924577</v>
      </c>
      <c r="K229" s="23" t="inlineStr">
        <is>
          <t>R</t>
        </is>
      </c>
      <c r="L229" s="25" t="n">
        <v>3175</v>
      </c>
      <c r="M229" s="26" t="n">
        <v>3.5</v>
      </c>
      <c r="N229" s="25">
        <f>ROUND(L229/M229, 0)</f>
        <v/>
      </c>
      <c r="O229" s="25">
        <f>ROUND(N229*'Methodology &amp; Assumptions'!$B$7, 0)</f>
        <v/>
      </c>
      <c r="P229" s="23" t="inlineStr">
        <is>
          <t>Single Carrier (Band n50, 100MHz TDD)</t>
        </is>
      </c>
      <c r="Q229" s="27">
        <f>ROUNDUP(O229/'Methodology &amp; Assumptions'!$B$8, 0)</f>
        <v/>
      </c>
      <c r="R229" s="27" t="n">
        <v>1</v>
      </c>
      <c r="S229" s="26" t="n">
        <v>0.71</v>
      </c>
      <c r="T229" s="26" t="n">
        <v>0.52</v>
      </c>
      <c r="U229" s="11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26" t="n">
        <v>85.63</v>
      </c>
      <c r="W229" s="26" t="n">
        <v>38.05</v>
      </c>
      <c r="X229" s="26">
        <f>ROUND(('Methodology &amp; Assumptions'!$B$5*V229) + ('Methodology &amp; Assumptions'!$B$6*W229), 2)</f>
        <v/>
      </c>
      <c r="Y229" s="28" t="n">
        <v>8.300000000000001</v>
      </c>
      <c r="Z229" s="11" t="inlineStr">
        <is>
          <t>Priority Tier 2 (Balanced Opportunity)</t>
        </is>
      </c>
    </row>
    <row r="230">
      <c r="A230" s="23" t="n">
        <v>3</v>
      </c>
      <c r="B230" s="23" t="n">
        <v>226</v>
      </c>
      <c r="C230" s="23" t="n">
        <v>2226</v>
      </c>
      <c r="D230" s="23" t="inlineStr">
        <is>
          <t>0304903071</t>
        </is>
      </c>
      <c r="E230" s="11" t="inlineStr">
        <is>
          <t>Region III (Central Luzon)</t>
        </is>
      </c>
      <c r="F230" s="11" t="inlineStr">
        <is>
          <t>Nueva Ecija</t>
        </is>
      </c>
      <c r="G230" s="11" t="inlineStr">
        <is>
          <t>City of Cabanatuan</t>
        </is>
      </c>
      <c r="H230" s="11" t="inlineStr">
        <is>
          <t>San Josef Norte</t>
        </is>
      </c>
      <c r="I230" s="24" t="n">
        <v>15.585783</v>
      </c>
      <c r="J230" s="24" t="n">
        <v>120.924577</v>
      </c>
      <c r="K230" s="23" t="inlineStr">
        <is>
          <t>R</t>
        </is>
      </c>
      <c r="L230" s="25" t="n">
        <v>5105</v>
      </c>
      <c r="M230" s="26" t="n">
        <v>3.5</v>
      </c>
      <c r="N230" s="25">
        <f>ROUND(L230/M230, 0)</f>
        <v/>
      </c>
      <c r="O230" s="25">
        <f>ROUND(N230*'Methodology &amp; Assumptions'!$B$7, 0)</f>
        <v/>
      </c>
      <c r="P230" s="23" t="inlineStr">
        <is>
          <t>Single Carrier (Band n50, 100MHz TDD)</t>
        </is>
      </c>
      <c r="Q230" s="27">
        <f>ROUNDUP(O230/'Methodology &amp; Assumptions'!$B$8, 0)</f>
        <v/>
      </c>
      <c r="R230" s="27" t="n">
        <v>1</v>
      </c>
      <c r="S230" s="26" t="n">
        <v>0.71</v>
      </c>
      <c r="T230" s="26" t="n">
        <v>0.52</v>
      </c>
      <c r="U230" s="11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26" t="n">
        <v>85.63</v>
      </c>
      <c r="W230" s="26" t="n">
        <v>38.05</v>
      </c>
      <c r="X230" s="26">
        <f>ROUND(('Methodology &amp; Assumptions'!$B$5*V230) + ('Methodology &amp; Assumptions'!$B$6*W230), 2)</f>
        <v/>
      </c>
      <c r="Y230" s="28" t="n">
        <v>8.300000000000001</v>
      </c>
      <c r="Z230" s="11" t="inlineStr">
        <is>
          <t>Priority Tier 2 (Balanced Opportunity)</t>
        </is>
      </c>
    </row>
    <row r="231">
      <c r="A231" s="23" t="n">
        <v>3</v>
      </c>
      <c r="B231" s="23" t="n">
        <v>227</v>
      </c>
      <c r="C231" s="23" t="n">
        <v>2227</v>
      </c>
      <c r="D231" s="23" t="inlineStr">
        <is>
          <t>0304903079</t>
        </is>
      </c>
      <c r="E231" s="11" t="inlineStr">
        <is>
          <t>Region III (Central Luzon)</t>
        </is>
      </c>
      <c r="F231" s="11" t="inlineStr">
        <is>
          <t>Nueva Ecija</t>
        </is>
      </c>
      <c r="G231" s="11" t="inlineStr">
        <is>
          <t>City of Cabanatuan</t>
        </is>
      </c>
      <c r="H231" s="11" t="inlineStr">
        <is>
          <t>Sumacab Norte</t>
        </is>
      </c>
      <c r="I231" s="24" t="n">
        <v>15.585783</v>
      </c>
      <c r="J231" s="24" t="n">
        <v>120.924577</v>
      </c>
      <c r="K231" s="23" t="inlineStr">
        <is>
          <t>R</t>
        </is>
      </c>
      <c r="L231" s="25" t="n">
        <v>5307</v>
      </c>
      <c r="M231" s="26" t="n">
        <v>3.5</v>
      </c>
      <c r="N231" s="25">
        <f>ROUND(L231/M231, 0)</f>
        <v/>
      </c>
      <c r="O231" s="25">
        <f>ROUND(N231*'Methodology &amp; Assumptions'!$B$7, 0)</f>
        <v/>
      </c>
      <c r="P231" s="23" t="inlineStr">
        <is>
          <t>Single Carrier (Band n50, 100MHz TDD)</t>
        </is>
      </c>
      <c r="Q231" s="27">
        <f>ROUNDUP(O231/'Methodology &amp; Assumptions'!$B$8, 0)</f>
        <v/>
      </c>
      <c r="R231" s="27" t="n">
        <v>1</v>
      </c>
      <c r="S231" s="26" t="n">
        <v>0.71</v>
      </c>
      <c r="T231" s="26" t="n">
        <v>0.52</v>
      </c>
      <c r="U231" s="11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26" t="n">
        <v>85.63</v>
      </c>
      <c r="W231" s="26" t="n">
        <v>38.05</v>
      </c>
      <c r="X231" s="26">
        <f>ROUND(('Methodology &amp; Assumptions'!$B$5*V231) + ('Methodology &amp; Assumptions'!$B$6*W231), 2)</f>
        <v/>
      </c>
      <c r="Y231" s="28" t="n">
        <v>8.300000000000001</v>
      </c>
      <c r="Z231" s="11" t="inlineStr">
        <is>
          <t>Priority Tier 2 (Balanced Opportunity)</t>
        </is>
      </c>
    </row>
    <row r="232">
      <c r="A232" s="23" t="n">
        <v>3</v>
      </c>
      <c r="B232" s="23" t="n">
        <v>228</v>
      </c>
      <c r="C232" s="23" t="n">
        <v>2228</v>
      </c>
      <c r="D232" s="23" t="inlineStr">
        <is>
          <t>0304919011</t>
        </is>
      </c>
      <c r="E232" s="11" t="inlineStr">
        <is>
          <t>Region III (Central Luzon)</t>
        </is>
      </c>
      <c r="F232" s="11" t="inlineStr">
        <is>
          <t>Nueva Ecija</t>
        </is>
      </c>
      <c r="G232" s="11" t="inlineStr">
        <is>
          <t>City of Palayan</t>
        </is>
      </c>
      <c r="H232" s="11" t="inlineStr">
        <is>
          <t>Sapang Buho</t>
        </is>
      </c>
      <c r="I232" s="24" t="n">
        <v>15.585783</v>
      </c>
      <c r="J232" s="24" t="n">
        <v>120.924577</v>
      </c>
      <c r="K232" s="23" t="inlineStr">
        <is>
          <t>R</t>
        </is>
      </c>
      <c r="L232" s="25" t="n">
        <v>4900</v>
      </c>
      <c r="M232" s="26" t="n">
        <v>3.5</v>
      </c>
      <c r="N232" s="25">
        <f>ROUND(L232/M232, 0)</f>
        <v/>
      </c>
      <c r="O232" s="25">
        <f>ROUND(N232*'Methodology &amp; Assumptions'!$B$7, 0)</f>
        <v/>
      </c>
      <c r="P232" s="23" t="inlineStr">
        <is>
          <t>Single Carrier (Band n50, 100MHz TDD)</t>
        </is>
      </c>
      <c r="Q232" s="27">
        <f>ROUNDUP(O232/'Methodology &amp; Assumptions'!$B$8, 0)</f>
        <v/>
      </c>
      <c r="R232" s="27" t="n">
        <v>1</v>
      </c>
      <c r="S232" s="26" t="n">
        <v>0.71</v>
      </c>
      <c r="T232" s="26" t="n">
        <v>0.52</v>
      </c>
      <c r="U232" s="11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26" t="n">
        <v>85.63</v>
      </c>
      <c r="W232" s="26" t="n">
        <v>38.05</v>
      </c>
      <c r="X232" s="26">
        <f>ROUND(('Methodology &amp; Assumptions'!$B$5*V232) + ('Methodology &amp; Assumptions'!$B$6*W232), 2)</f>
        <v/>
      </c>
      <c r="Y232" s="28" t="n">
        <v>8.300000000000001</v>
      </c>
      <c r="Z232" s="11" t="inlineStr">
        <is>
          <t>Priority Tier 2 (Balanced Opportunity)</t>
        </is>
      </c>
    </row>
    <row r="233">
      <c r="A233" s="23" t="n">
        <v>3</v>
      </c>
      <c r="B233" s="23" t="n">
        <v>229</v>
      </c>
      <c r="C233" s="23" t="n">
        <v>2229</v>
      </c>
      <c r="D233" s="23" t="inlineStr">
        <is>
          <t>0304919013</t>
        </is>
      </c>
      <c r="E233" s="11" t="inlineStr">
        <is>
          <t>Region III (Central Luzon)</t>
        </is>
      </c>
      <c r="F233" s="11" t="inlineStr">
        <is>
          <t>Nueva Ecija</t>
        </is>
      </c>
      <c r="G233" s="11" t="inlineStr">
        <is>
          <t>City of Palayan</t>
        </is>
      </c>
      <c r="H233" s="11" t="inlineStr">
        <is>
          <t>Atate</t>
        </is>
      </c>
      <c r="I233" s="24" t="n">
        <v>15.585783</v>
      </c>
      <c r="J233" s="24" t="n">
        <v>120.924577</v>
      </c>
      <c r="K233" s="23" t="inlineStr">
        <is>
          <t>R</t>
        </is>
      </c>
      <c r="L233" s="25" t="n">
        <v>4297</v>
      </c>
      <c r="M233" s="26" t="n">
        <v>3.5</v>
      </c>
      <c r="N233" s="25">
        <f>ROUND(L233/M233, 0)</f>
        <v/>
      </c>
      <c r="O233" s="25">
        <f>ROUND(N233*'Methodology &amp; Assumptions'!$B$7, 0)</f>
        <v/>
      </c>
      <c r="P233" s="23" t="inlineStr">
        <is>
          <t>Single Carrier (Band n50, 100MHz TDD)</t>
        </is>
      </c>
      <c r="Q233" s="27">
        <f>ROUNDUP(O233/'Methodology &amp; Assumptions'!$B$8, 0)</f>
        <v/>
      </c>
      <c r="R233" s="27" t="n">
        <v>1</v>
      </c>
      <c r="S233" s="26" t="n">
        <v>0.71</v>
      </c>
      <c r="T233" s="26" t="n">
        <v>0.52</v>
      </c>
      <c r="U233" s="11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26" t="n">
        <v>85.63</v>
      </c>
      <c r="W233" s="26" t="n">
        <v>38.05</v>
      </c>
      <c r="X233" s="26">
        <f>ROUND(('Methodology &amp; Assumptions'!$B$5*V233) + ('Methodology &amp; Assumptions'!$B$6*W233), 2)</f>
        <v/>
      </c>
      <c r="Y233" s="28" t="n">
        <v>8.300000000000001</v>
      </c>
      <c r="Z233" s="11" t="inlineStr">
        <is>
          <t>Priority Tier 2 (Balanced Opportunity)</t>
        </is>
      </c>
    </row>
    <row r="234">
      <c r="A234" s="23" t="n">
        <v>3</v>
      </c>
      <c r="B234" s="23" t="n">
        <v>230</v>
      </c>
      <c r="C234" s="23" t="n">
        <v>2230</v>
      </c>
      <c r="D234" s="23" t="inlineStr">
        <is>
          <t>0304919014</t>
        </is>
      </c>
      <c r="E234" s="11" t="inlineStr">
        <is>
          <t>Region III (Central Luzon)</t>
        </is>
      </c>
      <c r="F234" s="11" t="inlineStr">
        <is>
          <t>Nueva Ecija</t>
        </is>
      </c>
      <c r="G234" s="11" t="inlineStr">
        <is>
          <t>City of Palayan</t>
        </is>
      </c>
      <c r="H234" s="11" t="inlineStr">
        <is>
          <t>Caballero</t>
        </is>
      </c>
      <c r="I234" s="24" t="n">
        <v>15.585783</v>
      </c>
      <c r="J234" s="24" t="n">
        <v>120.924577</v>
      </c>
      <c r="K234" s="23" t="inlineStr">
        <is>
          <t>R</t>
        </is>
      </c>
      <c r="L234" s="25" t="n">
        <v>3939</v>
      </c>
      <c r="M234" s="26" t="n">
        <v>3.5</v>
      </c>
      <c r="N234" s="25">
        <f>ROUND(L234/M234, 0)</f>
        <v/>
      </c>
      <c r="O234" s="25">
        <f>ROUND(N234*'Methodology &amp; Assumptions'!$B$7, 0)</f>
        <v/>
      </c>
      <c r="P234" s="23" t="inlineStr">
        <is>
          <t>Single Carrier (Band n50, 100MHz TDD)</t>
        </is>
      </c>
      <c r="Q234" s="27">
        <f>ROUNDUP(O234/'Methodology &amp; Assumptions'!$B$8, 0)</f>
        <v/>
      </c>
      <c r="R234" s="27" t="n">
        <v>1</v>
      </c>
      <c r="S234" s="26" t="n">
        <v>0.71</v>
      </c>
      <c r="T234" s="26" t="n">
        <v>0.52</v>
      </c>
      <c r="U234" s="11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26" t="n">
        <v>85.63</v>
      </c>
      <c r="W234" s="26" t="n">
        <v>38.05</v>
      </c>
      <c r="X234" s="26">
        <f>ROUND(('Methodology &amp; Assumptions'!$B$5*V234) + ('Methodology &amp; Assumptions'!$B$6*W234), 2)</f>
        <v/>
      </c>
      <c r="Y234" s="28" t="n">
        <v>8.300000000000001</v>
      </c>
      <c r="Z234" s="11" t="inlineStr">
        <is>
          <t>Priority Tier 2 (Balanced Opportunity)</t>
        </is>
      </c>
    </row>
    <row r="235">
      <c r="A235" s="23" t="n">
        <v>3</v>
      </c>
      <c r="B235" s="23" t="n">
        <v>231</v>
      </c>
      <c r="C235" s="23" t="n">
        <v>2231</v>
      </c>
      <c r="D235" s="23" t="inlineStr">
        <is>
          <t>0300806006</t>
        </is>
      </c>
      <c r="E235" s="11" t="inlineStr">
        <is>
          <t>Region III (Central Luzon)</t>
        </is>
      </c>
      <c r="F235" s="11" t="inlineStr">
        <is>
          <t>Bataan</t>
        </is>
      </c>
      <c r="G235" s="11" t="inlineStr">
        <is>
          <t>Limay</t>
        </is>
      </c>
      <c r="H235" s="11" t="inlineStr">
        <is>
          <t>Landing</t>
        </is>
      </c>
      <c r="I235" s="24" t="n">
        <v>14.559802</v>
      </c>
      <c r="J235" s="24" t="n">
        <v>120.598437</v>
      </c>
      <c r="K235" s="23" t="inlineStr">
        <is>
          <t>R</t>
        </is>
      </c>
      <c r="L235" s="25" t="n">
        <v>3333</v>
      </c>
      <c r="M235" s="26" t="n">
        <v>3.6</v>
      </c>
      <c r="N235" s="25">
        <f>ROUND(L235/M235, 0)</f>
        <v/>
      </c>
      <c r="O235" s="25">
        <f>ROUND(N235*'Methodology &amp; Assumptions'!$B$7, 0)</f>
        <v/>
      </c>
      <c r="P235" s="23" t="inlineStr">
        <is>
          <t>Single Carrier (Band n50, 100MHz TDD)</t>
        </is>
      </c>
      <c r="Q235" s="27">
        <f>ROUNDUP(O235/'Methodology &amp; Assumptions'!$B$8, 0)</f>
        <v/>
      </c>
      <c r="R235" s="27" t="n">
        <v>1</v>
      </c>
      <c r="S235" s="26" t="n">
        <v>1.75</v>
      </c>
      <c r="T235" s="26" t="n">
        <v>0.34</v>
      </c>
      <c r="U235" s="11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26" t="n">
        <v>82.25</v>
      </c>
      <c r="W235" s="26" t="n">
        <v>41.44</v>
      </c>
      <c r="X235" s="26">
        <f>ROUND(('Methodology &amp; Assumptions'!$B$5*V235) + ('Methodology &amp; Assumptions'!$B$6*W235), 2)</f>
        <v/>
      </c>
      <c r="Y235" s="28" t="n">
        <v>8.300000000000001</v>
      </c>
      <c r="Z235" s="11" t="inlineStr">
        <is>
          <t>Priority Tier 2 (Balanced Opportunity)</t>
        </is>
      </c>
    </row>
    <row r="236">
      <c r="A236" s="23" t="n">
        <v>3</v>
      </c>
      <c r="B236" s="23" t="n">
        <v>232</v>
      </c>
      <c r="C236" s="23" t="n">
        <v>2232</v>
      </c>
      <c r="D236" s="23" t="inlineStr">
        <is>
          <t>0301423024</t>
        </is>
      </c>
      <c r="E236" s="11" t="inlineStr">
        <is>
          <t>Region III (Central Luzon)</t>
        </is>
      </c>
      <c r="F236" s="11" t="inlineStr">
        <is>
          <t>Bulacan</t>
        </is>
      </c>
      <c r="G236" s="11" t="inlineStr">
        <is>
          <t>Santa Maria</t>
        </is>
      </c>
      <c r="H236" s="11" t="inlineStr">
        <is>
          <t>Tabing Bakod</t>
        </is>
      </c>
      <c r="I236" s="24" t="n">
        <v>14.801833</v>
      </c>
      <c r="J236" s="24" t="n">
        <v>120.954095</v>
      </c>
      <c r="K236" s="23" t="inlineStr">
        <is>
          <t>U</t>
        </is>
      </c>
      <c r="L236" s="25" t="n">
        <v>5655</v>
      </c>
      <c r="M236" s="26" t="n">
        <v>3.5</v>
      </c>
      <c r="N236" s="25">
        <f>ROUND(L236/M236, 0)</f>
        <v/>
      </c>
      <c r="O236" s="25">
        <f>ROUND(N236*'Methodology &amp; Assumptions'!$B$7, 0)</f>
        <v/>
      </c>
      <c r="P236" s="23" t="inlineStr">
        <is>
          <t>Single Carrier (Band n50, 100MHz TDD)</t>
        </is>
      </c>
      <c r="Q236" s="27">
        <f>ROUNDUP(O236/'Methodology &amp; Assumptions'!$B$8, 0)</f>
        <v/>
      </c>
      <c r="R236" s="27" t="n">
        <v>1</v>
      </c>
      <c r="S236" s="26" t="n">
        <v>0.91</v>
      </c>
      <c r="T236" s="26" t="n">
        <v>0.65</v>
      </c>
      <c r="U236" s="11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26" t="n">
        <v>78.17</v>
      </c>
      <c r="W236" s="26" t="n">
        <v>45.5</v>
      </c>
      <c r="X236" s="26">
        <f>ROUND(('Methodology &amp; Assumptions'!$B$5*V236) + ('Methodology &amp; Assumptions'!$B$6*W236), 2)</f>
        <v/>
      </c>
      <c r="Y236" s="28" t="n">
        <v>8.300000000000001</v>
      </c>
      <c r="Z236" s="11" t="inlineStr">
        <is>
          <t>Priority Tier 2 (Balanced Opportunity)</t>
        </is>
      </c>
    </row>
    <row r="237">
      <c r="A237" s="23" t="n">
        <v>3</v>
      </c>
      <c r="B237" s="23" t="n">
        <v>233</v>
      </c>
      <c r="C237" s="23" t="n">
        <v>2233</v>
      </c>
      <c r="D237" s="23" t="inlineStr">
        <is>
          <t>1381300048</t>
        </is>
      </c>
      <c r="E237" s="11" t="inlineStr">
        <is>
          <t>National Capital Region (NCR)</t>
        </is>
      </c>
      <c r="F237" s="11" t="inlineStr">
        <is>
          <t>Second District (Not a Province)</t>
        </is>
      </c>
      <c r="G237" s="11" t="inlineStr">
        <is>
          <t>Quezon City</t>
        </is>
      </c>
      <c r="H237" s="11" t="inlineStr">
        <is>
          <t>Kamuning</t>
        </is>
      </c>
      <c r="I237" s="24" t="n">
        <v>14.63025</v>
      </c>
      <c r="J237" s="24" t="n">
        <v>121.0435</v>
      </c>
      <c r="K237" s="23" t="inlineStr">
        <is>
          <t>U</t>
        </is>
      </c>
      <c r="L237" s="25" t="n">
        <v>12496</v>
      </c>
      <c r="M237" s="26" t="n">
        <v>3.79</v>
      </c>
      <c r="N237" s="25">
        <f>ROUND(L237/M237, 0)</f>
        <v/>
      </c>
      <c r="O237" s="25">
        <f>ROUND(N237*'Methodology &amp; Assumptions'!$B$7, 0)</f>
        <v/>
      </c>
      <c r="P237" s="23" t="inlineStr">
        <is>
          <t>Single Carrier (Band n50, 100MHz TDD)</t>
        </is>
      </c>
      <c r="Q237" s="27">
        <f>ROUNDUP(O237/'Methodology &amp; Assumptions'!$B$8, 0)</f>
        <v/>
      </c>
      <c r="R237" s="27" t="n">
        <v>1</v>
      </c>
      <c r="S237" s="26" t="n">
        <v>1.46</v>
      </c>
      <c r="T237" s="26" t="n">
        <v>0.23</v>
      </c>
      <c r="U237" s="11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26" t="n">
        <v>66.75</v>
      </c>
      <c r="W237" s="26" t="n">
        <v>56.93</v>
      </c>
      <c r="X237" s="26">
        <f>ROUND(('Methodology &amp; Assumptions'!$B$5*V237) + ('Methodology &amp; Assumptions'!$B$6*W237), 2)</f>
        <v/>
      </c>
      <c r="Y237" s="28" t="n">
        <v>10.9</v>
      </c>
      <c r="Z237" s="11" t="inlineStr">
        <is>
          <t>Priority Tier 2 (Balanced Opportunity)</t>
        </is>
      </c>
    </row>
    <row r="238">
      <c r="A238" s="23" t="n">
        <v>3</v>
      </c>
      <c r="B238" s="23" t="n">
        <v>234</v>
      </c>
      <c r="C238" s="23" t="n">
        <v>2234</v>
      </c>
      <c r="D238" s="23" t="inlineStr">
        <is>
          <t>0401019008</t>
        </is>
      </c>
      <c r="E238" s="11" t="inlineStr">
        <is>
          <t>Region IV-A (CALABARZON)</t>
        </is>
      </c>
      <c r="F238" s="11" t="inlineStr">
        <is>
          <t>Batangas</t>
        </is>
      </c>
      <c r="G238" s="11" t="inlineStr">
        <is>
          <t>Nasugbu</t>
        </is>
      </c>
      <c r="H238" s="11" t="inlineStr">
        <is>
          <t>Barangay 3</t>
        </is>
      </c>
      <c r="I238" s="24" t="n">
        <v>14.0724</v>
      </c>
      <c r="J238" s="24" t="n">
        <v>120.6307</v>
      </c>
      <c r="K238" s="23" t="inlineStr">
        <is>
          <t>U</t>
        </is>
      </c>
      <c r="L238" s="25" t="n">
        <v>1153</v>
      </c>
      <c r="M238" s="26" t="n">
        <v>3.6</v>
      </c>
      <c r="N238" s="25">
        <f>ROUND(L238/M238, 0)</f>
        <v/>
      </c>
      <c r="O238" s="25">
        <f>ROUND(N238*'Methodology &amp; Assumptions'!$B$7, 0)</f>
        <v/>
      </c>
      <c r="P238" s="23" t="inlineStr">
        <is>
          <t>Single Carrier (Band n50, 100MHz TDD)</t>
        </is>
      </c>
      <c r="Q238" s="27">
        <f>ROUNDUP(O238/'Methodology &amp; Assumptions'!$B$8, 0)</f>
        <v/>
      </c>
      <c r="R238" s="27" t="n">
        <v>1</v>
      </c>
      <c r="S238" s="26" t="n">
        <v>0.4</v>
      </c>
      <c r="T238" s="26" t="n">
        <v>0.27</v>
      </c>
      <c r="U238" s="11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26" t="n">
        <v>62.1</v>
      </c>
      <c r="W238" s="26" t="n">
        <v>61.58</v>
      </c>
      <c r="X238" s="26">
        <f>ROUND(('Methodology &amp; Assumptions'!$B$5*V238) + ('Methodology &amp; Assumptions'!$B$6*W238), 2)</f>
        <v/>
      </c>
      <c r="Y238" s="28" t="n">
        <v>7.2</v>
      </c>
      <c r="Z238" s="11" t="inlineStr">
        <is>
          <t>Priority Tier 2 (Balanced Opportunity)</t>
        </is>
      </c>
    </row>
    <row r="239">
      <c r="A239" s="23" t="n">
        <v>3</v>
      </c>
      <c r="B239" s="23" t="n">
        <v>235</v>
      </c>
      <c r="C239" s="23" t="n">
        <v>2235</v>
      </c>
      <c r="D239" s="23" t="inlineStr">
        <is>
          <t>1380601054</t>
        </is>
      </c>
      <c r="E239" s="11" t="inlineStr">
        <is>
          <t>National Capital Region (NCR)</t>
        </is>
      </c>
      <c r="F239" s="11" t="inlineStr">
        <is>
          <t>First District (Not a Province)</t>
        </is>
      </c>
      <c r="G239" s="11" t="inlineStr">
        <is>
          <t>City of Manila</t>
        </is>
      </c>
      <c r="H239" s="11" t="inlineStr">
        <is>
          <t>Barangay 54</t>
        </is>
      </c>
      <c r="I239" s="24" t="n">
        <v>14.616757</v>
      </c>
      <c r="J239" s="24" t="n">
        <v>120.973053</v>
      </c>
      <c r="K239" s="23" t="inlineStr">
        <is>
          <t>U</t>
        </is>
      </c>
      <c r="L239" s="25" t="n">
        <v>1818</v>
      </c>
      <c r="M239" s="26" t="n">
        <v>4.35</v>
      </c>
      <c r="N239" s="25">
        <f>ROUND(L239/M239, 0)</f>
        <v/>
      </c>
      <c r="O239" s="25">
        <f>ROUND(N239*'Methodology &amp; Assumptions'!$B$7, 0)</f>
        <v/>
      </c>
      <c r="P239" s="23" t="inlineStr">
        <is>
          <t>Single Carrier (Band n50, 100MHz TDD)</t>
        </is>
      </c>
      <c r="Q239" s="27">
        <f>ROUNDUP(O239/'Methodology &amp; Assumptions'!$B$8, 0)</f>
        <v/>
      </c>
      <c r="R239" s="27" t="n">
        <v>1</v>
      </c>
      <c r="S239" s="26" t="n">
        <v>1.06</v>
      </c>
      <c r="T239" s="26" t="n">
        <v>0.28</v>
      </c>
      <c r="U239" s="11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26" t="n">
        <v>53.65</v>
      </c>
      <c r="W239" s="26" t="n">
        <v>70.02</v>
      </c>
      <c r="X239" s="26">
        <f>ROUND(('Methodology &amp; Assumptions'!$B$5*V239) + ('Methodology &amp; Assumptions'!$B$6*W239), 2)</f>
        <v/>
      </c>
      <c r="Y239" s="28" t="n">
        <v>10.9</v>
      </c>
      <c r="Z239" s="11" t="inlineStr">
        <is>
          <t>Priority Tier 2 (Balanced Opportunity)</t>
        </is>
      </c>
    </row>
    <row r="240">
      <c r="A240" s="23" t="n">
        <v>3</v>
      </c>
      <c r="B240" s="23" t="n">
        <v>236</v>
      </c>
      <c r="C240" s="23" t="n">
        <v>2236</v>
      </c>
      <c r="D240" s="23" t="inlineStr">
        <is>
          <t>0702215009</t>
        </is>
      </c>
      <c r="E240" s="11" t="inlineStr">
        <is>
          <t>Region VII (Central Visayas)</t>
        </is>
      </c>
      <c r="F240" s="11" t="inlineStr">
        <is>
          <t>Cebu</t>
        </is>
      </c>
      <c r="G240" s="11" t="inlineStr">
        <is>
          <t>Carmen</t>
        </is>
      </c>
      <c r="H240" s="11" t="inlineStr">
        <is>
          <t>Cogon East</t>
        </is>
      </c>
      <c r="I240" s="24" t="n">
        <v>10.591184</v>
      </c>
      <c r="J240" s="24" t="n">
        <v>124.021235</v>
      </c>
      <c r="K240" s="23" t="inlineStr">
        <is>
          <t>R</t>
        </is>
      </c>
      <c r="L240" s="25" t="n">
        <v>3391</v>
      </c>
      <c r="M240" s="26" t="n">
        <v>3.8</v>
      </c>
      <c r="N240" s="25">
        <f>ROUND(L240/M240, 0)</f>
        <v/>
      </c>
      <c r="O240" s="25">
        <f>ROUND(N240*'Methodology &amp; Assumptions'!$B$7, 0)</f>
        <v/>
      </c>
      <c r="P240" s="23" t="inlineStr">
        <is>
          <t>Single Carrier (Band n50, 100MHz TDD)</t>
        </is>
      </c>
      <c r="Q240" s="27">
        <f>ROUNDUP(O240/'Methodology &amp; Assumptions'!$B$8, 0)</f>
        <v/>
      </c>
      <c r="R240" s="27" t="n">
        <v>1</v>
      </c>
      <c r="S240" s="26" t="n">
        <v>1.62</v>
      </c>
      <c r="T240" s="26" t="n">
        <v>0.34</v>
      </c>
      <c r="U240" s="11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26" t="n">
        <v>85.14</v>
      </c>
      <c r="W240" s="26" t="n">
        <v>38.52</v>
      </c>
      <c r="X240" s="26">
        <f>ROUND(('Methodology &amp; Assumptions'!$B$5*V240) + ('Methodology &amp; Assumptions'!$B$6*W240), 2)</f>
        <v/>
      </c>
      <c r="Y240" s="28" t="n">
        <v>23.7</v>
      </c>
      <c r="Z240" s="11" t="inlineStr">
        <is>
          <t>Priority Tier 2 (Balanced Opportunity)</t>
        </is>
      </c>
    </row>
    <row r="241">
      <c r="A241" s="23" t="n">
        <v>3</v>
      </c>
      <c r="B241" s="23" t="n">
        <v>237</v>
      </c>
      <c r="C241" s="23" t="n">
        <v>2237</v>
      </c>
      <c r="D241" s="23" t="inlineStr">
        <is>
          <t>0304930054</t>
        </is>
      </c>
      <c r="E241" s="11" t="inlineStr">
        <is>
          <t>Region III (Central Luzon)</t>
        </is>
      </c>
      <c r="F241" s="11" t="inlineStr">
        <is>
          <t>Nueva Ecija</t>
        </is>
      </c>
      <c r="G241" s="11" t="inlineStr">
        <is>
          <t>Talavera</t>
        </is>
      </c>
      <c r="H241" s="11" t="inlineStr">
        <is>
          <t>Sicsican Matanda</t>
        </is>
      </c>
      <c r="I241" s="24" t="n">
        <v>15.581233</v>
      </c>
      <c r="J241" s="24" t="n">
        <v>120.915832</v>
      </c>
      <c r="K241" s="23" t="inlineStr">
        <is>
          <t>R</t>
        </is>
      </c>
      <c r="L241" s="25" t="n">
        <v>2628</v>
      </c>
      <c r="M241" s="26" t="n">
        <v>3.5</v>
      </c>
      <c r="N241" s="25">
        <f>ROUND(L241/M241, 0)</f>
        <v/>
      </c>
      <c r="O241" s="25">
        <f>ROUND(N241*'Methodology &amp; Assumptions'!$B$7, 0)</f>
        <v/>
      </c>
      <c r="P241" s="23" t="inlineStr">
        <is>
          <t>Single Carrier (Band n50, 100MHz TDD)</t>
        </is>
      </c>
      <c r="Q241" s="27">
        <f>ROUNDUP(O241/'Methodology &amp; Assumptions'!$B$8, 0)</f>
        <v/>
      </c>
      <c r="R241" s="27" t="n">
        <v>1</v>
      </c>
      <c r="S241" s="26" t="n">
        <v>0.38</v>
      </c>
      <c r="T241" s="26" t="n">
        <v>0.43</v>
      </c>
      <c r="U241" s="11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26" t="n">
        <v>83.40000000000001</v>
      </c>
      <c r="W241" s="26" t="n">
        <v>40.26</v>
      </c>
      <c r="X241" s="26">
        <f>ROUND(('Methodology &amp; Assumptions'!$B$5*V241) + ('Methodology &amp; Assumptions'!$B$6*W241), 2)</f>
        <v/>
      </c>
      <c r="Y241" s="28" t="n">
        <v>8.300000000000001</v>
      </c>
      <c r="Z241" s="11" t="inlineStr">
        <is>
          <t>Priority Tier 2 (Balanced Opportunity)</t>
        </is>
      </c>
    </row>
    <row r="242">
      <c r="A242" s="23" t="n">
        <v>3</v>
      </c>
      <c r="B242" s="23" t="n">
        <v>238</v>
      </c>
      <c r="C242" s="23" t="n">
        <v>2238</v>
      </c>
      <c r="D242" s="23" t="inlineStr">
        <is>
          <t>0304908013</t>
        </is>
      </c>
      <c r="E242" s="11" t="inlineStr">
        <is>
          <t>Region III (Central Luzon)</t>
        </is>
      </c>
      <c r="F242" s="11" t="inlineStr">
        <is>
          <t>Nueva Ecija</t>
        </is>
      </c>
      <c r="G242" s="11" t="inlineStr">
        <is>
          <t>City of Gapan</t>
        </is>
      </c>
      <c r="H242" s="11" t="inlineStr">
        <is>
          <t>San Vicente</t>
        </is>
      </c>
      <c r="I242" s="24" t="n">
        <v>15.308323</v>
      </c>
      <c r="J242" s="24" t="n">
        <v>120.945871</v>
      </c>
      <c r="K242" s="23" t="inlineStr">
        <is>
          <t>U</t>
        </is>
      </c>
      <c r="L242" s="25" t="n">
        <v>9910</v>
      </c>
      <c r="M242" s="26" t="n">
        <v>3.5</v>
      </c>
      <c r="N242" s="25">
        <f>ROUND(L242/M242, 0)</f>
        <v/>
      </c>
      <c r="O242" s="25">
        <f>ROUND(N242*'Methodology &amp; Assumptions'!$B$7, 0)</f>
        <v/>
      </c>
      <c r="P242" s="23" t="inlineStr">
        <is>
          <t>Single Carrier (Band n50, 100MHz TDD)</t>
        </is>
      </c>
      <c r="Q242" s="27">
        <f>ROUNDUP(O242/'Methodology &amp; Assumptions'!$B$8, 0)</f>
        <v/>
      </c>
      <c r="R242" s="27" t="n">
        <v>1</v>
      </c>
      <c r="S242" s="26" t="n">
        <v>0.07000000000000001</v>
      </c>
      <c r="T242" s="26" t="n">
        <v>0.05</v>
      </c>
      <c r="U242" s="11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26" t="n">
        <v>78.43000000000001</v>
      </c>
      <c r="W242" s="26" t="n">
        <v>45.23</v>
      </c>
      <c r="X242" s="26">
        <f>ROUND(('Methodology &amp; Assumptions'!$B$5*V242) + ('Methodology &amp; Assumptions'!$B$6*W242), 2)</f>
        <v/>
      </c>
      <c r="Y242" s="28" t="n">
        <v>8.300000000000001</v>
      </c>
      <c r="Z242" s="11" t="inlineStr">
        <is>
          <t>Priority Tier 2 (Balanced Opportunity)</t>
        </is>
      </c>
    </row>
    <row r="243">
      <c r="A243" s="23" t="n">
        <v>3</v>
      </c>
      <c r="B243" s="23" t="n">
        <v>239</v>
      </c>
      <c r="C243" s="23" t="n">
        <v>2239</v>
      </c>
      <c r="D243" s="23" t="inlineStr">
        <is>
          <t>0301409026</t>
        </is>
      </c>
      <c r="E243" s="11" t="inlineStr">
        <is>
          <t>Region III (Central Luzon)</t>
        </is>
      </c>
      <c r="F243" s="11" t="inlineStr">
        <is>
          <t>Bulacan</t>
        </is>
      </c>
      <c r="G243" s="11" t="inlineStr">
        <is>
          <t>Hagonoy</t>
        </is>
      </c>
      <c r="H243" s="11" t="inlineStr">
        <is>
          <t>Tibaguin</t>
        </is>
      </c>
      <c r="I243" s="24" t="n">
        <v>14.772191</v>
      </c>
      <c r="J243" s="24" t="n">
        <v>120.754254</v>
      </c>
      <c r="K243" s="23" t="inlineStr">
        <is>
          <t>R</t>
        </is>
      </c>
      <c r="L243" s="25" t="n">
        <v>3449</v>
      </c>
      <c r="M243" s="26" t="n">
        <v>3.5</v>
      </c>
      <c r="N243" s="25">
        <f>ROUND(L243/M243, 0)</f>
        <v/>
      </c>
      <c r="O243" s="25">
        <f>ROUND(N243*'Methodology &amp; Assumptions'!$B$7, 0)</f>
        <v/>
      </c>
      <c r="P243" s="23" t="inlineStr">
        <is>
          <t>Single Carrier (Band n50, 100MHz TDD)</t>
        </is>
      </c>
      <c r="Q243" s="27">
        <f>ROUNDUP(O243/'Methodology &amp; Assumptions'!$B$8, 0)</f>
        <v/>
      </c>
      <c r="R243" s="27" t="n">
        <v>1</v>
      </c>
      <c r="S243" s="26" t="n">
        <v>7.46</v>
      </c>
      <c r="T243" s="26" t="n">
        <v>9.960000000000001</v>
      </c>
      <c r="U243" s="11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26" t="n">
        <v>67.27</v>
      </c>
      <c r="W243" s="26" t="n">
        <v>56.39</v>
      </c>
      <c r="X243" s="26">
        <f>ROUND(('Methodology &amp; Assumptions'!$B$5*V243) + ('Methodology &amp; Assumptions'!$B$6*W243), 2)</f>
        <v/>
      </c>
      <c r="Y243" s="28" t="n">
        <v>8.300000000000001</v>
      </c>
      <c r="Z243" s="11" t="inlineStr">
        <is>
          <t>Priority Tier 2 (Balanced Opportunity)</t>
        </is>
      </c>
    </row>
    <row r="244">
      <c r="A244" s="23" t="n">
        <v>3</v>
      </c>
      <c r="B244" s="23" t="n">
        <v>240</v>
      </c>
      <c r="C244" s="23" t="n">
        <v>2240</v>
      </c>
      <c r="D244" s="23" t="inlineStr">
        <is>
          <t>1705209034</t>
        </is>
      </c>
      <c r="E244" s="11" t="inlineStr">
        <is>
          <t>MIMAROPA Region</t>
        </is>
      </c>
      <c r="F244" s="11" t="inlineStr">
        <is>
          <t>Oriental Mindoro</t>
        </is>
      </c>
      <c r="G244" s="11" t="inlineStr">
        <is>
          <t>Pinamalayan</t>
        </is>
      </c>
      <c r="H244" s="11" t="inlineStr">
        <is>
          <t>Wawa</t>
        </is>
      </c>
      <c r="I244" s="24" t="n">
        <v>13.0347</v>
      </c>
      <c r="J244" s="24" t="n">
        <v>121.49287</v>
      </c>
      <c r="K244" s="23" t="inlineStr">
        <is>
          <t>R</t>
        </is>
      </c>
      <c r="L244" s="25" t="n">
        <v>4823</v>
      </c>
      <c r="M244" s="26" t="n">
        <v>3.9</v>
      </c>
      <c r="N244" s="25">
        <f>ROUND(L244/M244, 0)</f>
        <v/>
      </c>
      <c r="O244" s="25">
        <f>ROUND(N244*'Methodology &amp; Assumptions'!$B$7, 0)</f>
        <v/>
      </c>
      <c r="P244" s="23" t="inlineStr">
        <is>
          <t>Single Carrier (Band n50, 100MHz TDD)</t>
        </is>
      </c>
      <c r="Q244" s="27">
        <f>ROUNDUP(O244/'Methodology &amp; Assumptions'!$B$8, 0)</f>
        <v/>
      </c>
      <c r="R244" s="27" t="n">
        <v>1</v>
      </c>
      <c r="S244" s="26" t="n">
        <v>1.89</v>
      </c>
      <c r="T244" s="26" t="n">
        <v>1.4</v>
      </c>
      <c r="U244" s="11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26" t="n">
        <v>82.81999999999999</v>
      </c>
      <c r="W244" s="26" t="n">
        <v>40.82</v>
      </c>
      <c r="X244" s="26">
        <f>ROUND(('Methodology &amp; Assumptions'!$B$5*V244) + ('Methodology &amp; Assumptions'!$B$6*W244), 2)</f>
        <v/>
      </c>
      <c r="Y244" s="28" t="n">
        <v>15</v>
      </c>
      <c r="Z244" s="11" t="inlineStr">
        <is>
          <t>Priority Tier 2 (Balanced Opportunity)</t>
        </is>
      </c>
    </row>
    <row r="245">
      <c r="A245" s="23" t="n">
        <v>3</v>
      </c>
      <c r="B245" s="23" t="n">
        <v>241</v>
      </c>
      <c r="C245" s="23" t="n">
        <v>2241</v>
      </c>
      <c r="D245" s="23" t="inlineStr">
        <is>
          <t>0306902013</t>
        </is>
      </c>
      <c r="E245" s="11" t="inlineStr">
        <is>
          <t>Region III (Central Luzon)</t>
        </is>
      </c>
      <c r="F245" s="11" t="inlineStr">
        <is>
          <t>Tarlac</t>
        </is>
      </c>
      <c r="G245" s="11" t="inlineStr">
        <is>
          <t>Bamban</t>
        </is>
      </c>
      <c r="H245" s="11" t="inlineStr">
        <is>
          <t>San Roque</t>
        </is>
      </c>
      <c r="I245" s="24" t="n">
        <v>15.279673</v>
      </c>
      <c r="J245" s="24" t="n">
        <v>120.568271</v>
      </c>
      <c r="K245" s="23" t="inlineStr">
        <is>
          <t>U</t>
        </is>
      </c>
      <c r="L245" s="25" t="n">
        <v>12502</v>
      </c>
      <c r="M245" s="26" t="n">
        <v>3.9</v>
      </c>
      <c r="N245" s="25">
        <f>ROUND(L245/M245, 0)</f>
        <v/>
      </c>
      <c r="O245" s="25">
        <f>ROUND(N245*'Methodology &amp; Assumptions'!$B$7, 0)</f>
        <v/>
      </c>
      <c r="P245" s="23" t="inlineStr">
        <is>
          <t>Single Carrier (Band n50, 100MHz TDD)</t>
        </is>
      </c>
      <c r="Q245" s="27">
        <f>ROUNDUP(O245/'Methodology &amp; Assumptions'!$B$8, 0)</f>
        <v/>
      </c>
      <c r="R245" s="27" t="n">
        <v>1</v>
      </c>
      <c r="S245" s="26" t="n">
        <v>0.47</v>
      </c>
      <c r="T245" s="26" t="n">
        <v>0.27</v>
      </c>
      <c r="U245" s="11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26" t="n">
        <v>78.43000000000001</v>
      </c>
      <c r="W245" s="26" t="n">
        <v>45.21</v>
      </c>
      <c r="X245" s="26">
        <f>ROUND(('Methodology &amp; Assumptions'!$B$5*V245) + ('Methodology &amp; Assumptions'!$B$6*W245), 2)</f>
        <v/>
      </c>
      <c r="Y245" s="28" t="n">
        <v>8.300000000000001</v>
      </c>
      <c r="Z245" s="11" t="inlineStr">
        <is>
          <t>Priority Tier 2 (Balanced Opportunity)</t>
        </is>
      </c>
    </row>
    <row r="246">
      <c r="A246" s="23" t="n">
        <v>3</v>
      </c>
      <c r="B246" s="23" t="n">
        <v>242</v>
      </c>
      <c r="C246" s="23" t="n">
        <v>2242</v>
      </c>
      <c r="D246" s="23" t="inlineStr">
        <is>
          <t>0604528034</t>
        </is>
      </c>
      <c r="E246" s="11" t="inlineStr">
        <is>
          <t>Region VI (Western Visayas)</t>
        </is>
      </c>
      <c r="F246" s="11" t="inlineStr">
        <is>
          <t>Negros Occidental</t>
        </is>
      </c>
      <c r="G246" s="11" t="inlineStr">
        <is>
          <t>City of Talisay</t>
        </is>
      </c>
      <c r="H246" s="11" t="inlineStr">
        <is>
          <t>Zone 11</t>
        </is>
      </c>
      <c r="I246" s="24" t="n">
        <v>10.732405</v>
      </c>
      <c r="J246" s="24" t="n">
        <v>122.966317</v>
      </c>
      <c r="K246" s="23" t="inlineStr">
        <is>
          <t>R</t>
        </is>
      </c>
      <c r="L246" s="25" t="n">
        <v>1396</v>
      </c>
      <c r="M246" s="26" t="n">
        <v>3.7</v>
      </c>
      <c r="N246" s="25">
        <f>ROUND(L246/M246, 0)</f>
        <v/>
      </c>
      <c r="O246" s="25">
        <f>ROUND(N246*'Methodology &amp; Assumptions'!$B$7, 0)</f>
        <v/>
      </c>
      <c r="P246" s="23" t="inlineStr">
        <is>
          <t>Single Carrier (Band n50, 100MHz TDD)</t>
        </is>
      </c>
      <c r="Q246" s="27">
        <f>ROUNDUP(O246/'Methodology &amp; Assumptions'!$B$8, 0)</f>
        <v/>
      </c>
      <c r="R246" s="27" t="n">
        <v>1</v>
      </c>
      <c r="S246" s="26" t="n">
        <v>0.93</v>
      </c>
      <c r="T246" s="26" t="n">
        <v>0.16</v>
      </c>
      <c r="U246" s="11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26" t="n">
        <v>72.58</v>
      </c>
      <c r="W246" s="26" t="n">
        <v>51.06</v>
      </c>
      <c r="X246" s="26">
        <f>ROUND(('Methodology &amp; Assumptions'!$B$5*V246) + ('Methodology &amp; Assumptions'!$B$6*W246), 2)</f>
        <v/>
      </c>
      <c r="Y246" s="28" t="n">
        <v>23.7</v>
      </c>
      <c r="Z246" s="11" t="inlineStr">
        <is>
          <t>Priority Tier 2 (Balanced Opportunity)</t>
        </is>
      </c>
    </row>
    <row r="247">
      <c r="A247" s="23" t="n">
        <v>3</v>
      </c>
      <c r="B247" s="23" t="n">
        <v>243</v>
      </c>
      <c r="C247" s="23" t="n">
        <v>2243</v>
      </c>
      <c r="D247" s="23" t="inlineStr">
        <is>
          <t>1380500017</t>
        </is>
      </c>
      <c r="E247" s="11" t="inlineStr">
        <is>
          <t>National Capital Region (NCR)</t>
        </is>
      </c>
      <c r="F247" s="11" t="inlineStr">
        <is>
          <t>Second District (Not a Province)</t>
        </is>
      </c>
      <c r="G247" s="11" t="inlineStr">
        <is>
          <t>City of Mandaluyong</t>
        </is>
      </c>
      <c r="H247" s="11" t="inlineStr">
        <is>
          <t>Mauway</t>
        </is>
      </c>
      <c r="I247" s="24" t="n">
        <v>14.58189</v>
      </c>
      <c r="J247" s="24" t="n">
        <v>121.0437</v>
      </c>
      <c r="K247" s="23" t="inlineStr">
        <is>
          <t>U</t>
        </is>
      </c>
      <c r="L247" s="25" t="n">
        <v>26570</v>
      </c>
      <c r="M247" s="26" t="n">
        <v>3.5</v>
      </c>
      <c r="N247" s="25">
        <f>ROUND(L247/M247, 0)</f>
        <v/>
      </c>
      <c r="O247" s="25">
        <f>ROUND(N247*'Methodology &amp; Assumptions'!$B$7, 0)</f>
        <v/>
      </c>
      <c r="P247" s="23" t="inlineStr">
        <is>
          <t>Single Carrier (Band n50, 100MHz TDD)</t>
        </is>
      </c>
      <c r="Q247" s="27">
        <f>ROUNDUP(O247/'Methodology &amp; Assumptions'!$B$8, 0)</f>
        <v/>
      </c>
      <c r="R247" s="27" t="n">
        <v>1</v>
      </c>
      <c r="S247" s="26" t="n">
        <v>0.8100000000000001</v>
      </c>
      <c r="T247" s="26" t="n">
        <v>0.11</v>
      </c>
      <c r="U247" s="11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26" t="n">
        <v>67.66</v>
      </c>
      <c r="W247" s="26" t="n">
        <v>55.97</v>
      </c>
      <c r="X247" s="26">
        <f>ROUND(('Methodology &amp; Assumptions'!$B$5*V247) + ('Methodology &amp; Assumptions'!$B$6*W247), 2)</f>
        <v/>
      </c>
      <c r="Y247" s="28" t="n">
        <v>10.9</v>
      </c>
      <c r="Z247" s="11" t="inlineStr">
        <is>
          <t>Priority Tier 2 (Balanced Opportunity)</t>
        </is>
      </c>
    </row>
    <row r="248">
      <c r="A248" s="23" t="n">
        <v>3</v>
      </c>
      <c r="B248" s="23" t="n">
        <v>244</v>
      </c>
      <c r="C248" s="23" t="n">
        <v>2244</v>
      </c>
      <c r="D248" s="23" t="inlineStr">
        <is>
          <t>1381100163</t>
        </is>
      </c>
      <c r="E248" s="11" t="inlineStr">
        <is>
          <t>National Capital Region (NCR)</t>
        </is>
      </c>
      <c r="F248" s="11" t="inlineStr">
        <is>
          <t>Fourth District (Not a Province)</t>
        </is>
      </c>
      <c r="G248" s="11" t="inlineStr">
        <is>
          <t>Pasay City</t>
        </is>
      </c>
      <c r="H248" s="11" t="inlineStr">
        <is>
          <t>Barangay 163</t>
        </is>
      </c>
      <c r="I248" s="24" t="n">
        <v>14.534068</v>
      </c>
      <c r="J248" s="24" t="n">
        <v>121.007637</v>
      </c>
      <c r="K248" s="23" t="inlineStr">
        <is>
          <t>U</t>
        </is>
      </c>
      <c r="L248" s="25" t="n">
        <v>1487</v>
      </c>
      <c r="M248" s="26" t="n">
        <v>3.42</v>
      </c>
      <c r="N248" s="25">
        <f>ROUND(L248/M248, 0)</f>
        <v/>
      </c>
      <c r="O248" s="25">
        <f>ROUND(N248*'Methodology &amp; Assumptions'!$B$7, 0)</f>
        <v/>
      </c>
      <c r="P248" s="23" t="inlineStr">
        <is>
          <t>Single Carrier (Band n50, 100MHz TDD)</t>
        </is>
      </c>
      <c r="Q248" s="27">
        <f>ROUNDUP(O248/'Methodology &amp; Assumptions'!$B$8, 0)</f>
        <v/>
      </c>
      <c r="R248" s="27" t="n">
        <v>1</v>
      </c>
      <c r="S248" s="26" t="n">
        <v>1.32</v>
      </c>
      <c r="T248" s="26" t="n">
        <v>0.43</v>
      </c>
      <c r="U248" s="11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26" t="n">
        <v>53.19</v>
      </c>
      <c r="W248" s="26" t="n">
        <v>70.45</v>
      </c>
      <c r="X248" s="26">
        <f>ROUND(('Methodology &amp; Assumptions'!$B$5*V248) + ('Methodology &amp; Assumptions'!$B$6*W248), 2)</f>
        <v/>
      </c>
      <c r="Y248" s="28" t="n">
        <v>10.9</v>
      </c>
      <c r="Z248" s="11" t="inlineStr">
        <is>
          <t>Priority Tier 2 (Balanced Opportunity)</t>
        </is>
      </c>
    </row>
    <row r="249">
      <c r="A249" s="23" t="n">
        <v>3</v>
      </c>
      <c r="B249" s="23" t="n">
        <v>245</v>
      </c>
      <c r="C249" s="23" t="n">
        <v>2245</v>
      </c>
      <c r="D249" s="23" t="inlineStr">
        <is>
          <t>1907001011</t>
        </is>
      </c>
      <c r="E249" s="11" t="inlineStr">
        <is>
          <t>Bangsamoro Autonomous Region In Muslim Mindanao (BARMM)</t>
        </is>
      </c>
      <c r="F249" s="11" t="inlineStr">
        <is>
          <t>Tawi-Tawi</t>
        </is>
      </c>
      <c r="G249" s="11" t="inlineStr">
        <is>
          <t>Panglima Sugala</t>
        </is>
      </c>
      <c r="H249" s="11" t="inlineStr">
        <is>
          <t>Belatan Halu</t>
        </is>
      </c>
      <c r="I249" s="24" t="n">
        <v>5.004071</v>
      </c>
      <c r="J249" s="24" t="n">
        <v>119.989162</v>
      </c>
      <c r="K249" s="23" t="inlineStr">
        <is>
          <t>R</t>
        </is>
      </c>
      <c r="L249" s="25" t="n">
        <v>3579</v>
      </c>
      <c r="M249" s="26" t="n">
        <v>5.8</v>
      </c>
      <c r="N249" s="25">
        <f>ROUND(L249/M249, 0)</f>
        <v/>
      </c>
      <c r="O249" s="25">
        <f>ROUND(N249*'Methodology &amp; Assumptions'!$B$7, 0)</f>
        <v/>
      </c>
      <c r="P249" s="23" t="inlineStr">
        <is>
          <t>Single Carrier (Band n50, 100MHz TDD)</t>
        </is>
      </c>
      <c r="Q249" s="27">
        <f>ROUNDUP(O249/'Methodology &amp; Assumptions'!$B$8, 0)</f>
        <v/>
      </c>
      <c r="R249" s="27" t="n">
        <v>1</v>
      </c>
      <c r="S249" s="26" t="n">
        <v>999</v>
      </c>
      <c r="T249" s="26" t="n">
        <v>999</v>
      </c>
      <c r="U249" s="11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26" t="n">
        <v>50.87</v>
      </c>
      <c r="W249" s="26" t="n">
        <v>72.77</v>
      </c>
      <c r="X249" s="26">
        <f>ROUND(('Methodology &amp; Assumptions'!$B$5*V249) + ('Methodology &amp; Assumptions'!$B$6*W249), 2)</f>
        <v/>
      </c>
      <c r="Y249" s="28" t="n">
        <v>11</v>
      </c>
      <c r="Z249" s="11" t="inlineStr">
        <is>
          <t>Priority Tier 2 (Balanced Opportunity)</t>
        </is>
      </c>
    </row>
    <row r="250">
      <c r="A250" s="23" t="n">
        <v>3</v>
      </c>
      <c r="B250" s="23" t="n">
        <v>246</v>
      </c>
      <c r="C250" s="23" t="n">
        <v>2246</v>
      </c>
      <c r="D250" s="23" t="inlineStr">
        <is>
          <t>0631000114</t>
        </is>
      </c>
      <c r="E250" s="11" t="inlineStr">
        <is>
          <t>Region VI (Western Visayas)</t>
        </is>
      </c>
      <c r="F250" s="11" t="inlineStr">
        <is>
          <t>Iloilo</t>
        </is>
      </c>
      <c r="G250" s="11" t="inlineStr">
        <is>
          <t>City of Iloilo</t>
        </is>
      </c>
      <c r="H250" s="11" t="inlineStr">
        <is>
          <t>Nabitasan</t>
        </is>
      </c>
      <c r="I250" s="24" t="n">
        <v>10.92438</v>
      </c>
      <c r="J250" s="24" t="n">
        <v>122.558213</v>
      </c>
      <c r="K250" s="23" t="inlineStr">
        <is>
          <t>R</t>
        </is>
      </c>
      <c r="L250" s="25" t="n">
        <v>3396</v>
      </c>
      <c r="M250" s="26" t="n">
        <v>4.2</v>
      </c>
      <c r="N250" s="25">
        <f>ROUND(L250/M250, 0)</f>
        <v/>
      </c>
      <c r="O250" s="25">
        <f>ROUND(N250*'Methodology &amp; Assumptions'!$B$7, 0)</f>
        <v/>
      </c>
      <c r="P250" s="23" t="inlineStr">
        <is>
          <t>Single Carrier (Band n50, 100MHz TDD)</t>
        </is>
      </c>
      <c r="Q250" s="27">
        <f>ROUNDUP(O250/'Methodology &amp; Assumptions'!$B$8, 0)</f>
        <v/>
      </c>
      <c r="R250" s="27" t="n">
        <v>1</v>
      </c>
      <c r="S250" s="26" t="n">
        <v>0.97</v>
      </c>
      <c r="T250" s="26" t="n">
        <v>0.96</v>
      </c>
      <c r="U250" s="11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26" t="n">
        <v>85.58</v>
      </c>
      <c r="W250" s="26" t="n">
        <v>38.05</v>
      </c>
      <c r="X250" s="26">
        <f>ROUND(('Methodology &amp; Assumptions'!$B$5*V250) + ('Methodology &amp; Assumptions'!$B$6*W250), 2)</f>
        <v/>
      </c>
      <c r="Y250" s="28" t="n">
        <v>23.7</v>
      </c>
      <c r="Z250" s="11" t="inlineStr">
        <is>
          <t>Priority Tier 2 (Balanced Opportunity)</t>
        </is>
      </c>
    </row>
    <row r="251">
      <c r="A251" s="23" t="n">
        <v>3</v>
      </c>
      <c r="B251" s="23" t="n">
        <v>247</v>
      </c>
      <c r="C251" s="23" t="n">
        <v>2247</v>
      </c>
      <c r="D251" s="23" t="inlineStr">
        <is>
          <t>0301420039</t>
        </is>
      </c>
      <c r="E251" s="11" t="inlineStr">
        <is>
          <t>Region III (Central Luzon)</t>
        </is>
      </c>
      <c r="F251" s="11" t="inlineStr">
        <is>
          <t>Bulacan</t>
        </is>
      </c>
      <c r="G251" s="11" t="inlineStr">
        <is>
          <t>City of San Jose Del Monte</t>
        </is>
      </c>
      <c r="H251" s="11" t="inlineStr">
        <is>
          <t>Minuyan IV</t>
        </is>
      </c>
      <c r="I251" s="24" t="n">
        <v>14.8467</v>
      </c>
      <c r="J251" s="24" t="n">
        <v>121.0743</v>
      </c>
      <c r="K251" s="23" t="inlineStr">
        <is>
          <t>U</t>
        </is>
      </c>
      <c r="L251" s="25" t="n">
        <v>4985</v>
      </c>
      <c r="M251" s="26" t="n">
        <v>3.5</v>
      </c>
      <c r="N251" s="25">
        <f>ROUND(L251/M251, 0)</f>
        <v/>
      </c>
      <c r="O251" s="25">
        <f>ROUND(N251*'Methodology &amp; Assumptions'!$B$7, 0)</f>
        <v/>
      </c>
      <c r="P251" s="23" t="inlineStr">
        <is>
          <t>Single Carrier (Band n50, 100MHz TDD)</t>
        </is>
      </c>
      <c r="Q251" s="27">
        <f>ROUNDUP(O251/'Methodology &amp; Assumptions'!$B$8, 0)</f>
        <v/>
      </c>
      <c r="R251" s="27" t="n">
        <v>1</v>
      </c>
      <c r="S251" s="26" t="n">
        <v>0.71</v>
      </c>
      <c r="T251" s="26" t="n">
        <v>3.87</v>
      </c>
      <c r="U251" s="11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26" t="n">
        <v>75.47</v>
      </c>
      <c r="W251" s="26" t="n">
        <v>48.14</v>
      </c>
      <c r="X251" s="26">
        <f>ROUND(('Methodology &amp; Assumptions'!$B$5*V251) + ('Methodology &amp; Assumptions'!$B$6*W251), 2)</f>
        <v/>
      </c>
      <c r="Y251" s="28" t="n">
        <v>8.300000000000001</v>
      </c>
      <c r="Z251" s="11" t="inlineStr">
        <is>
          <t>Priority Tier 2 (Balanced Opportunity)</t>
        </is>
      </c>
    </row>
    <row r="252">
      <c r="A252" s="23" t="n">
        <v>3</v>
      </c>
      <c r="B252" s="23" t="n">
        <v>248</v>
      </c>
      <c r="C252" s="23" t="n">
        <v>2248</v>
      </c>
      <c r="D252" s="23" t="inlineStr">
        <is>
          <t>1380300002</t>
        </is>
      </c>
      <c r="E252" s="11" t="inlineStr">
        <is>
          <t>National Capital Region (NCR)</t>
        </is>
      </c>
      <c r="F252" s="11" t="inlineStr">
        <is>
          <t>Fourth District (Not a Province)</t>
        </is>
      </c>
      <c r="G252" s="11" t="inlineStr">
        <is>
          <t>City of Makati</t>
        </is>
      </c>
      <c r="H252" s="11" t="inlineStr">
        <is>
          <t>Bel-Air</t>
        </is>
      </c>
      <c r="I252" s="24" t="n">
        <v>14.5612</v>
      </c>
      <c r="J252" s="24" t="n">
        <v>121.0349</v>
      </c>
      <c r="K252" s="23" t="inlineStr">
        <is>
          <t>U</t>
        </is>
      </c>
      <c r="L252" s="25" t="n">
        <v>39354</v>
      </c>
      <c r="M252" s="26" t="n">
        <v>3.8</v>
      </c>
      <c r="N252" s="25">
        <f>ROUND(L252/M252, 0)</f>
        <v/>
      </c>
      <c r="O252" s="25">
        <f>ROUND(N252*'Methodology &amp; Assumptions'!$B$7, 0)</f>
        <v/>
      </c>
      <c r="P252" s="23" t="inlineStr">
        <is>
          <t>Single Carrier (Band n50, 100MHz TDD)</t>
        </is>
      </c>
      <c r="Q252" s="27">
        <f>ROUNDUP(O252/'Methodology &amp; Assumptions'!$B$8, 0)</f>
        <v/>
      </c>
      <c r="R252" s="27" t="n">
        <v>1</v>
      </c>
      <c r="S252" s="26" t="n">
        <v>0.84</v>
      </c>
      <c r="T252" s="26" t="n">
        <v>0.42</v>
      </c>
      <c r="U252" s="11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26" t="n">
        <v>66.95</v>
      </c>
      <c r="W252" s="26" t="n">
        <v>56.67</v>
      </c>
      <c r="X252" s="26">
        <f>ROUND(('Methodology &amp; Assumptions'!$B$5*V252) + ('Methodology &amp; Assumptions'!$B$6*W252), 2)</f>
        <v/>
      </c>
      <c r="Y252" s="28" t="n">
        <v>10.9</v>
      </c>
      <c r="Z252" s="11" t="inlineStr">
        <is>
          <t>Priority Tier 2 (Balanced Opportunity)</t>
        </is>
      </c>
    </row>
    <row r="253">
      <c r="A253" s="23" t="n">
        <v>3</v>
      </c>
      <c r="B253" s="23" t="n">
        <v>249</v>
      </c>
      <c r="C253" s="23" t="n">
        <v>2249</v>
      </c>
      <c r="D253" s="23" t="inlineStr">
        <is>
          <t>1381000005</t>
        </is>
      </c>
      <c r="E253" s="11" t="inlineStr">
        <is>
          <t>National Capital Region (NCR)</t>
        </is>
      </c>
      <c r="F253" s="11" t="inlineStr">
        <is>
          <t>Fourth District (Not a Province)</t>
        </is>
      </c>
      <c r="G253" s="11" t="inlineStr">
        <is>
          <t>City of Parañaque</t>
        </is>
      </c>
      <c r="H253" s="11" t="inlineStr">
        <is>
          <t>Santo Niño</t>
        </is>
      </c>
      <c r="I253" s="24" t="n">
        <v>14.502825</v>
      </c>
      <c r="J253" s="24" t="n">
        <v>120.997294</v>
      </c>
      <c r="K253" s="23" t="inlineStr">
        <is>
          <t>U</t>
        </is>
      </c>
      <c r="L253" s="25" t="n">
        <v>33329</v>
      </c>
      <c r="M253" s="26" t="n">
        <v>3.05</v>
      </c>
      <c r="N253" s="25">
        <f>ROUND(L253/M253, 0)</f>
        <v/>
      </c>
      <c r="O253" s="25">
        <f>ROUND(N253*'Methodology &amp; Assumptions'!$B$7, 0)</f>
        <v/>
      </c>
      <c r="P253" s="23" t="inlineStr">
        <is>
          <t>Single Carrier (Band n50, 100MHz TDD)</t>
        </is>
      </c>
      <c r="Q253" s="27">
        <f>ROUNDUP(O253/'Methodology &amp; Assumptions'!$B$8, 0)</f>
        <v/>
      </c>
      <c r="R253" s="27" t="n">
        <v>1</v>
      </c>
      <c r="S253" s="26" t="n">
        <v>0.91</v>
      </c>
      <c r="T253" s="26" t="n">
        <v>0.26</v>
      </c>
      <c r="U253" s="11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26" t="n">
        <v>66.56999999999999</v>
      </c>
      <c r="W253" s="26" t="n">
        <v>57.05</v>
      </c>
      <c r="X253" s="26">
        <f>ROUND(('Methodology &amp; Assumptions'!$B$5*V253) + ('Methodology &amp; Assumptions'!$B$6*W253), 2)</f>
        <v/>
      </c>
      <c r="Y253" s="28" t="n">
        <v>10.9</v>
      </c>
      <c r="Z253" s="11" t="inlineStr">
        <is>
          <t>Priority Tier 2 (Balanced Opportunity)</t>
        </is>
      </c>
    </row>
    <row r="254">
      <c r="A254" s="23" t="n">
        <v>3</v>
      </c>
      <c r="B254" s="23" t="n">
        <v>250</v>
      </c>
      <c r="C254" s="23" t="n">
        <v>2250</v>
      </c>
      <c r="D254" s="23" t="inlineStr">
        <is>
          <t>1380601149</t>
        </is>
      </c>
      <c r="E254" s="11" t="inlineStr">
        <is>
          <t>National Capital Region (NCR)</t>
        </is>
      </c>
      <c r="F254" s="11" t="inlineStr">
        <is>
          <t>First District (Not a Province)</t>
        </is>
      </c>
      <c r="G254" s="11" t="inlineStr">
        <is>
          <t>City of Manila</t>
        </is>
      </c>
      <c r="H254" s="11" t="inlineStr">
        <is>
          <t>Barangay 149</t>
        </is>
      </c>
      <c r="I254" s="24" t="n">
        <v>14.621126</v>
      </c>
      <c r="J254" s="24" t="n">
        <v>120.970631</v>
      </c>
      <c r="K254" s="23" t="inlineStr">
        <is>
          <t>U</t>
        </is>
      </c>
      <c r="L254" s="25" t="n">
        <v>1569</v>
      </c>
      <c r="M254" s="26" t="n">
        <v>4.35</v>
      </c>
      <c r="N254" s="25">
        <f>ROUND(L254/M254, 0)</f>
        <v/>
      </c>
      <c r="O254" s="25">
        <f>ROUND(N254*'Methodology &amp; Assumptions'!$B$7, 0)</f>
        <v/>
      </c>
      <c r="P254" s="23" t="inlineStr">
        <is>
          <t>Single Carrier (Band n50, 100MHz TDD)</t>
        </is>
      </c>
      <c r="Q254" s="27">
        <f>ROUNDUP(O254/'Methodology &amp; Assumptions'!$B$8, 0)</f>
        <v/>
      </c>
      <c r="R254" s="27" t="n">
        <v>1</v>
      </c>
      <c r="S254" s="26" t="n">
        <v>0.7</v>
      </c>
      <c r="T254" s="26" t="n">
        <v>0.19</v>
      </c>
      <c r="U254" s="11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26" t="n">
        <v>52.66</v>
      </c>
      <c r="W254" s="26" t="n">
        <v>70.95</v>
      </c>
      <c r="X254" s="26">
        <f>ROUND(('Methodology &amp; Assumptions'!$B$5*V254) + ('Methodology &amp; Assumptions'!$B$6*W254), 2)</f>
        <v/>
      </c>
      <c r="Y254" s="28" t="n">
        <v>10.9</v>
      </c>
      <c r="Z254" s="11" t="inlineStr">
        <is>
          <t>Priority Tier 2 (Balanced Opportunity)</t>
        </is>
      </c>
    </row>
    <row r="255">
      <c r="A255" s="23" t="n">
        <v>3</v>
      </c>
      <c r="B255" s="23" t="n">
        <v>251</v>
      </c>
      <c r="C255" s="23" t="n">
        <v>2251</v>
      </c>
      <c r="D255" s="23" t="inlineStr">
        <is>
          <t>0702211021</t>
        </is>
      </c>
      <c r="E255" s="11" t="inlineStr">
        <is>
          <t>Region VII (Central Visayas)</t>
        </is>
      </c>
      <c r="F255" s="11" t="inlineStr">
        <is>
          <t>Cebu</t>
        </is>
      </c>
      <c r="G255" s="11" t="inlineStr">
        <is>
          <t>City of Bogo</t>
        </is>
      </c>
      <c r="H255" s="11" t="inlineStr">
        <is>
          <t>Pandan</t>
        </is>
      </c>
      <c r="I255" s="24" t="n">
        <v>11.048253</v>
      </c>
      <c r="J255" s="24" t="n">
        <v>124.007072</v>
      </c>
      <c r="K255" s="23" t="inlineStr">
        <is>
          <t>R</t>
        </is>
      </c>
      <c r="L255" s="25" t="n">
        <v>1919</v>
      </c>
      <c r="M255" s="26" t="n">
        <v>3.8</v>
      </c>
      <c r="N255" s="25">
        <f>ROUND(L255/M255, 0)</f>
        <v/>
      </c>
      <c r="O255" s="25">
        <f>ROUND(N255*'Methodology &amp; Assumptions'!$B$7, 0)</f>
        <v/>
      </c>
      <c r="P255" s="23" t="inlineStr">
        <is>
          <t>Single Carrier (Band n50, 100MHz TDD)</t>
        </is>
      </c>
      <c r="Q255" s="27">
        <f>ROUNDUP(O255/'Methodology &amp; Assumptions'!$B$8, 0)</f>
        <v/>
      </c>
      <c r="R255" s="27" t="n">
        <v>1</v>
      </c>
      <c r="S255" s="26" t="n">
        <v>0.15</v>
      </c>
      <c r="T255" s="26" t="n">
        <v>0.05</v>
      </c>
      <c r="U255" s="11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26" t="n">
        <v>76.87</v>
      </c>
      <c r="W255" s="26" t="n">
        <v>46.74</v>
      </c>
      <c r="X255" s="26">
        <f>ROUND(('Methodology &amp; Assumptions'!$B$5*V255) + ('Methodology &amp; Assumptions'!$B$6*W255), 2)</f>
        <v/>
      </c>
      <c r="Y255" s="28" t="n">
        <v>23.7</v>
      </c>
      <c r="Z255" s="11" t="inlineStr">
        <is>
          <t>Priority Tier 2 (Balanced Opportunity)</t>
        </is>
      </c>
    </row>
    <row r="256">
      <c r="A256" s="23" t="n">
        <v>3</v>
      </c>
      <c r="B256" s="23" t="n">
        <v>252</v>
      </c>
      <c r="C256" s="23" t="n">
        <v>2252</v>
      </c>
      <c r="D256" s="23" t="inlineStr">
        <is>
          <t>1381000015</t>
        </is>
      </c>
      <c r="E256" s="11" t="inlineStr">
        <is>
          <t>National Capital Region (NCR)</t>
        </is>
      </c>
      <c r="F256" s="11" t="inlineStr">
        <is>
          <t>Fourth District (Not a Province)</t>
        </is>
      </c>
      <c r="G256" s="11" t="inlineStr">
        <is>
          <t>City of Parañaque</t>
        </is>
      </c>
      <c r="H256" s="11" t="inlineStr">
        <is>
          <t>Sun Valley</t>
        </is>
      </c>
      <c r="I256" s="24" t="n">
        <v>14.488269</v>
      </c>
      <c r="J256" s="24" t="n">
        <v>121.037026</v>
      </c>
      <c r="K256" s="23" t="inlineStr">
        <is>
          <t>U</t>
        </is>
      </c>
      <c r="L256" s="25" t="n">
        <v>39136</v>
      </c>
      <c r="M256" s="26" t="n">
        <v>2.7</v>
      </c>
      <c r="N256" s="25">
        <f>ROUND(L256/M256, 0)</f>
        <v/>
      </c>
      <c r="O256" s="25">
        <f>ROUND(N256*'Methodology &amp; Assumptions'!$B$7, 0)</f>
        <v/>
      </c>
      <c r="P256" s="23" t="inlineStr">
        <is>
          <t>Single Carrier (Band n50, 100MHz TDD)</t>
        </is>
      </c>
      <c r="Q256" s="27">
        <f>ROUNDUP(O256/'Methodology &amp; Assumptions'!$B$8, 0)</f>
        <v/>
      </c>
      <c r="R256" s="27" t="n">
        <v>1</v>
      </c>
      <c r="S256" s="26" t="n">
        <v>0.87</v>
      </c>
      <c r="T256" s="26" t="n">
        <v>0.48</v>
      </c>
      <c r="U256" s="11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26" t="n">
        <v>66.08</v>
      </c>
      <c r="W256" s="26" t="n">
        <v>57.53</v>
      </c>
      <c r="X256" s="26">
        <f>ROUND(('Methodology &amp; Assumptions'!$B$5*V256) + ('Methodology &amp; Assumptions'!$B$6*W256), 2)</f>
        <v/>
      </c>
      <c r="Y256" s="28" t="n">
        <v>10.9</v>
      </c>
      <c r="Z256" s="11" t="inlineStr">
        <is>
          <t>Priority Tier 2 (Balanced Opportunity)</t>
        </is>
      </c>
    </row>
    <row r="257">
      <c r="A257" s="23" t="n">
        <v>3</v>
      </c>
      <c r="B257" s="23" t="n">
        <v>253</v>
      </c>
      <c r="C257" s="23" t="n">
        <v>2253</v>
      </c>
      <c r="D257" s="23" t="inlineStr">
        <is>
          <t>1380614049</t>
        </is>
      </c>
      <c r="E257" s="11" t="inlineStr">
        <is>
          <t>National Capital Region (NCR)</t>
        </is>
      </c>
      <c r="F257" s="11" t="inlineStr">
        <is>
          <t>First District (Not a Province)</t>
        </is>
      </c>
      <c r="G257" s="11" t="inlineStr">
        <is>
          <t>City of Manila</t>
        </is>
      </c>
      <c r="H257" s="11" t="inlineStr">
        <is>
          <t>Barangay 793</t>
        </is>
      </c>
      <c r="I257" s="24" t="n">
        <v>14.579674</v>
      </c>
      <c r="J257" s="24" t="n">
        <v>121.007393</v>
      </c>
      <c r="K257" s="23" t="inlineStr">
        <is>
          <t>U</t>
        </is>
      </c>
      <c r="L257" s="25" t="n">
        <v>1735</v>
      </c>
      <c r="M257" s="26" t="n">
        <v>4.23</v>
      </c>
      <c r="N257" s="25">
        <f>ROUND(L257/M257, 0)</f>
        <v/>
      </c>
      <c r="O257" s="25">
        <f>ROUND(N257*'Methodology &amp; Assumptions'!$B$7, 0)</f>
        <v/>
      </c>
      <c r="P257" s="23" t="inlineStr">
        <is>
          <t>Single Carrier (Band n50, 100MHz TDD)</t>
        </is>
      </c>
      <c r="Q257" s="27">
        <f>ROUNDUP(O257/'Methodology &amp; Assumptions'!$B$8, 0)</f>
        <v/>
      </c>
      <c r="R257" s="27" t="n">
        <v>1</v>
      </c>
      <c r="S257" s="26" t="n">
        <v>0.72</v>
      </c>
      <c r="T257" s="26" t="n">
        <v>0.05</v>
      </c>
      <c r="U257" s="11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26" t="n">
        <v>54.27</v>
      </c>
      <c r="W257" s="26" t="n">
        <v>69.34</v>
      </c>
      <c r="X257" s="26">
        <f>ROUND(('Methodology &amp; Assumptions'!$B$5*V257) + ('Methodology &amp; Assumptions'!$B$6*W257), 2)</f>
        <v/>
      </c>
      <c r="Y257" s="28" t="n">
        <v>10.9</v>
      </c>
      <c r="Z257" s="11" t="inlineStr">
        <is>
          <t>Priority Tier 2 (Balanced Opportunity)</t>
        </is>
      </c>
    </row>
    <row r="258">
      <c r="A258" s="23" t="n">
        <v>3</v>
      </c>
      <c r="B258" s="23" t="n">
        <v>254</v>
      </c>
      <c r="C258" s="23" t="n">
        <v>2254</v>
      </c>
      <c r="D258" s="23" t="inlineStr">
        <is>
          <t>1381100033</t>
        </is>
      </c>
      <c r="E258" s="11" t="inlineStr">
        <is>
          <t>National Capital Region (NCR)</t>
        </is>
      </c>
      <c r="F258" s="11" t="inlineStr">
        <is>
          <t>Fourth District (Not a Province)</t>
        </is>
      </c>
      <c r="G258" s="11" t="inlineStr">
        <is>
          <t>Pasay City</t>
        </is>
      </c>
      <c r="H258" s="11" t="inlineStr">
        <is>
          <t>Barangay 33</t>
        </is>
      </c>
      <c r="I258" s="24" t="n">
        <v>14.55942</v>
      </c>
      <c r="J258" s="24" t="n">
        <v>120.995833</v>
      </c>
      <c r="K258" s="23" t="inlineStr">
        <is>
          <t>U</t>
        </is>
      </c>
      <c r="L258" s="25" t="n">
        <v>1018</v>
      </c>
      <c r="M258" s="26" t="n">
        <v>2.8</v>
      </c>
      <c r="N258" s="25">
        <f>ROUND(L258/M258, 0)</f>
        <v/>
      </c>
      <c r="O258" s="25">
        <f>ROUND(N258*'Methodology &amp; Assumptions'!$B$7, 0)</f>
        <v/>
      </c>
      <c r="P258" s="23" t="inlineStr">
        <is>
          <t>Single Carrier (Band n50, 100MHz TDD)</t>
        </is>
      </c>
      <c r="Q258" s="27">
        <f>ROUNDUP(O258/'Methodology &amp; Assumptions'!$B$8, 0)</f>
        <v/>
      </c>
      <c r="R258" s="27" t="n">
        <v>1</v>
      </c>
      <c r="S258" s="26" t="n">
        <v>0.8100000000000001</v>
      </c>
      <c r="T258" s="26" t="n">
        <v>0.28</v>
      </c>
      <c r="U258" s="11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26" t="n">
        <v>52.77</v>
      </c>
      <c r="W258" s="26" t="n">
        <v>70.83</v>
      </c>
      <c r="X258" s="26">
        <f>ROUND(('Methodology &amp; Assumptions'!$B$5*V258) + ('Methodology &amp; Assumptions'!$B$6*W258), 2)</f>
        <v/>
      </c>
      <c r="Y258" s="28" t="n">
        <v>10.9</v>
      </c>
      <c r="Z258" s="11" t="inlineStr">
        <is>
          <t>Priority Tier 2 (Balanced Opportunity)</t>
        </is>
      </c>
    </row>
    <row r="259">
      <c r="A259" s="23" t="n">
        <v>3</v>
      </c>
      <c r="B259" s="23" t="n">
        <v>255</v>
      </c>
      <c r="C259" s="23" t="n">
        <v>2255</v>
      </c>
      <c r="D259" s="23" t="inlineStr">
        <is>
          <t>1908711003</t>
        </is>
      </c>
      <c r="E259" s="11" t="inlineStr">
        <is>
          <t>Bangsamoro Autonomous Region In Muslim Mindanao (BARMM)</t>
        </is>
      </c>
      <c r="F259" s="11" t="inlineStr">
        <is>
          <t>Maguindanao del Norte</t>
        </is>
      </c>
      <c r="G259" s="11" t="inlineStr">
        <is>
          <t>Sultan Mastura</t>
        </is>
      </c>
      <c r="H259" s="11" t="inlineStr">
        <is>
          <t>Bungabong</t>
        </is>
      </c>
      <c r="I259" s="24" t="n">
        <v>7.316905</v>
      </c>
      <c r="J259" s="24" t="n">
        <v>124.339364</v>
      </c>
      <c r="K259" s="23" t="inlineStr">
        <is>
          <t>R</t>
        </is>
      </c>
      <c r="L259" s="25" t="n">
        <v>2814</v>
      </c>
      <c r="M259" s="26" t="n">
        <v>4.3</v>
      </c>
      <c r="N259" s="25">
        <f>ROUND(L259/M259, 0)</f>
        <v/>
      </c>
      <c r="O259" s="25">
        <f>ROUND(N259*'Methodology &amp; Assumptions'!$B$7, 0)</f>
        <v/>
      </c>
      <c r="P259" s="23" t="inlineStr">
        <is>
          <t>Single Carrier (Band n50, 100MHz TDD)</t>
        </is>
      </c>
      <c r="Q259" s="27">
        <f>ROUNDUP(O259/'Methodology &amp; Assumptions'!$B$8, 0)</f>
        <v/>
      </c>
      <c r="R259" s="27" t="n">
        <v>1</v>
      </c>
      <c r="S259" s="26" t="n">
        <v>52.03</v>
      </c>
      <c r="T259" s="26" t="n">
        <v>48.14</v>
      </c>
      <c r="U259" s="11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26" t="n">
        <v>52.04</v>
      </c>
      <c r="W259" s="26" t="n">
        <v>71.56</v>
      </c>
      <c r="X259" s="26">
        <f>ROUND(('Methodology &amp; Assumptions'!$B$5*V259) + ('Methodology &amp; Assumptions'!$B$6*W259), 2)</f>
        <v/>
      </c>
      <c r="Y259" s="28" t="n">
        <v>11</v>
      </c>
      <c r="Z259" s="11" t="inlineStr">
        <is>
          <t>Priority Tier 2 (Balanced Opportunity)</t>
        </is>
      </c>
    </row>
    <row r="260">
      <c r="A260" s="23" t="n">
        <v>3</v>
      </c>
      <c r="B260" s="23" t="n">
        <v>256</v>
      </c>
      <c r="C260" s="23" t="n">
        <v>2256</v>
      </c>
      <c r="D260" s="23" t="inlineStr">
        <is>
          <t>0306910001</t>
        </is>
      </c>
      <c r="E260" s="11" t="inlineStr">
        <is>
          <t>Region III (Central Luzon)</t>
        </is>
      </c>
      <c r="F260" s="11" t="inlineStr">
        <is>
          <t>Tarlac</t>
        </is>
      </c>
      <c r="G260" s="11" t="inlineStr">
        <is>
          <t>Paniqui</t>
        </is>
      </c>
      <c r="H260" s="11" t="inlineStr">
        <is>
          <t>Abogado</t>
        </is>
      </c>
      <c r="I260" s="24" t="n">
        <v>15.670833</v>
      </c>
      <c r="J260" s="24" t="n">
        <v>120.588889</v>
      </c>
      <c r="K260" s="23" t="inlineStr">
        <is>
          <t>R</t>
        </is>
      </c>
      <c r="L260" s="25" t="n">
        <v>4810</v>
      </c>
      <c r="M260" s="26" t="n">
        <v>3.9</v>
      </c>
      <c r="N260" s="25">
        <f>ROUND(L260/M260, 0)</f>
        <v/>
      </c>
      <c r="O260" s="25">
        <f>ROUND(N260*'Methodology &amp; Assumptions'!$B$7, 0)</f>
        <v/>
      </c>
      <c r="P260" s="23" t="inlineStr">
        <is>
          <t>Single Carrier (Band n50, 100MHz TDD)</t>
        </is>
      </c>
      <c r="Q260" s="27">
        <f>ROUNDUP(O260/'Methodology &amp; Assumptions'!$B$8, 0)</f>
        <v/>
      </c>
      <c r="R260" s="27" t="n">
        <v>1</v>
      </c>
      <c r="S260" s="26" t="n">
        <v>0.37</v>
      </c>
      <c r="T260" s="26" t="n">
        <v>0.35</v>
      </c>
      <c r="U260" s="11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26" t="n">
        <v>85.63</v>
      </c>
      <c r="W260" s="26" t="n">
        <v>37.95</v>
      </c>
      <c r="X260" s="26">
        <f>ROUND(('Methodology &amp; Assumptions'!$B$5*V260) + ('Methodology &amp; Assumptions'!$B$6*W260), 2)</f>
        <v/>
      </c>
      <c r="Y260" s="28" t="n">
        <v>8.300000000000001</v>
      </c>
      <c r="Z260" s="11" t="inlineStr">
        <is>
          <t>Priority Tier 2 (Balanced Opportunity)</t>
        </is>
      </c>
    </row>
    <row r="261">
      <c r="A261" s="23" t="n">
        <v>3</v>
      </c>
      <c r="B261" s="23" t="n">
        <v>257</v>
      </c>
      <c r="C261" s="23" t="n">
        <v>2257</v>
      </c>
      <c r="D261" s="23" t="inlineStr">
        <is>
          <t>0403419011</t>
        </is>
      </c>
      <c r="E261" s="11" t="inlineStr">
        <is>
          <t>Region IV-A (CALABARZON)</t>
        </is>
      </c>
      <c r="F261" s="11" t="inlineStr">
        <is>
          <t>Laguna</t>
        </is>
      </c>
      <c r="G261" s="11" t="inlineStr">
        <is>
          <t>Pagsanjan</t>
        </is>
      </c>
      <c r="H261" s="11" t="inlineStr">
        <is>
          <t>Pinagsanjan</t>
        </is>
      </c>
      <c r="I261" s="24" t="n">
        <v>14.270797</v>
      </c>
      <c r="J261" s="24" t="n">
        <v>121.457356</v>
      </c>
      <c r="K261" s="23" t="inlineStr">
        <is>
          <t>U</t>
        </is>
      </c>
      <c r="L261" s="25" t="n">
        <v>5628</v>
      </c>
      <c r="M261" s="26" t="n">
        <v>3.3</v>
      </c>
      <c r="N261" s="25">
        <f>ROUND(L261/M261, 0)</f>
        <v/>
      </c>
      <c r="O261" s="25">
        <f>ROUND(N261*'Methodology &amp; Assumptions'!$B$7, 0)</f>
        <v/>
      </c>
      <c r="P261" s="23" t="inlineStr">
        <is>
          <t>Single Carrier (Band n50, 100MHz TDD)</t>
        </is>
      </c>
      <c r="Q261" s="27">
        <f>ROUNDUP(O261/'Methodology &amp; Assumptions'!$B$8, 0)</f>
        <v/>
      </c>
      <c r="R261" s="27" t="n">
        <v>1</v>
      </c>
      <c r="S261" s="26" t="n">
        <v>0.82</v>
      </c>
      <c r="T261" s="26" t="n">
        <v>0.25</v>
      </c>
      <c r="U261" s="11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26" t="n">
        <v>78.26000000000001</v>
      </c>
      <c r="W261" s="26" t="n">
        <v>45.33</v>
      </c>
      <c r="X261" s="26">
        <f>ROUND(('Methodology &amp; Assumptions'!$B$5*V261) + ('Methodology &amp; Assumptions'!$B$6*W261), 2)</f>
        <v/>
      </c>
      <c r="Y261" s="28" t="n">
        <v>7.2</v>
      </c>
      <c r="Z261" s="11" t="inlineStr">
        <is>
          <t>Priority Tier 2 (Balanced Opportunity)</t>
        </is>
      </c>
    </row>
    <row r="262">
      <c r="A262" s="23" t="n">
        <v>3</v>
      </c>
      <c r="B262" s="23" t="n">
        <v>258</v>
      </c>
      <c r="C262" s="23" t="n">
        <v>2258</v>
      </c>
      <c r="D262" s="23" t="inlineStr">
        <is>
          <t>0604531007</t>
        </is>
      </c>
      <c r="E262" s="11" t="inlineStr">
        <is>
          <t>Region VI (Western Visayas)</t>
        </is>
      </c>
      <c r="F262" s="11" t="inlineStr">
        <is>
          <t>Negros Occidental</t>
        </is>
      </c>
      <c r="G262" s="11" t="inlineStr">
        <is>
          <t>City of Victorias</t>
        </is>
      </c>
      <c r="H262" s="11" t="inlineStr">
        <is>
          <t>Barangay IV</t>
        </is>
      </c>
      <c r="I262" s="24" t="n">
        <v>10.900473</v>
      </c>
      <c r="J262" s="24" t="n">
        <v>123.072088</v>
      </c>
      <c r="K262" s="23" t="inlineStr">
        <is>
          <t>R</t>
        </is>
      </c>
      <c r="L262" s="25" t="n">
        <v>1183</v>
      </c>
      <c r="M262" s="26" t="n">
        <v>3.7</v>
      </c>
      <c r="N262" s="25">
        <f>ROUND(L262/M262, 0)</f>
        <v/>
      </c>
      <c r="O262" s="25">
        <f>ROUND(N262*'Methodology &amp; Assumptions'!$B$7, 0)</f>
        <v/>
      </c>
      <c r="P262" s="23" t="inlineStr">
        <is>
          <t>Single Carrier (Band n50, 100MHz TDD)</t>
        </is>
      </c>
      <c r="Q262" s="27">
        <f>ROUNDUP(O262/'Methodology &amp; Assumptions'!$B$8, 0)</f>
        <v/>
      </c>
      <c r="R262" s="27" t="n">
        <v>1</v>
      </c>
      <c r="S262" s="26" t="n">
        <v>0.17</v>
      </c>
      <c r="T262" s="26" t="n">
        <v>0.17</v>
      </c>
      <c r="U262" s="11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26" t="n">
        <v>71.19</v>
      </c>
      <c r="W262" s="26" t="n">
        <v>52.38</v>
      </c>
      <c r="X262" s="26">
        <f>ROUND(('Methodology &amp; Assumptions'!$B$5*V262) + ('Methodology &amp; Assumptions'!$B$6*W262), 2)</f>
        <v/>
      </c>
      <c r="Y262" s="28" t="n">
        <v>23.7</v>
      </c>
      <c r="Z262" s="11" t="inlineStr">
        <is>
          <t>Priority Tier 2 (Balanced Opportunity)</t>
        </is>
      </c>
    </row>
    <row r="263">
      <c r="A263" s="23" t="n">
        <v>3</v>
      </c>
      <c r="B263" s="23" t="n">
        <v>259</v>
      </c>
      <c r="C263" s="23" t="n">
        <v>2259</v>
      </c>
      <c r="D263" s="23" t="inlineStr">
        <is>
          <t>1381300082</t>
        </is>
      </c>
      <c r="E263" s="11" t="inlineStr">
        <is>
          <t>National Capital Region (NCR)</t>
        </is>
      </c>
      <c r="F263" s="11" t="inlineStr">
        <is>
          <t>Second District (Not a Province)</t>
        </is>
      </c>
      <c r="G263" s="11" t="inlineStr">
        <is>
          <t>Quezon City</t>
        </is>
      </c>
      <c r="H263" s="11" t="inlineStr">
        <is>
          <t>Pinyahan</t>
        </is>
      </c>
      <c r="I263" s="24" t="n">
        <v>14.634331</v>
      </c>
      <c r="J263" s="24" t="n">
        <v>121.047194</v>
      </c>
      <c r="K263" s="23" t="inlineStr">
        <is>
          <t>U</t>
        </is>
      </c>
      <c r="L263" s="25" t="n">
        <v>22335</v>
      </c>
      <c r="M263" s="26" t="n">
        <v>3.58</v>
      </c>
      <c r="N263" s="25">
        <f>ROUND(L263/M263, 0)</f>
        <v/>
      </c>
      <c r="O263" s="25">
        <f>ROUND(N263*'Methodology &amp; Assumptions'!$B$7, 0)</f>
        <v/>
      </c>
      <c r="P263" s="23" t="inlineStr">
        <is>
          <t>Single Carrier (Band n50, 100MHz TDD)</t>
        </is>
      </c>
      <c r="Q263" s="27">
        <f>ROUNDUP(O263/'Methodology &amp; Assumptions'!$B$8, 0)</f>
        <v/>
      </c>
      <c r="R263" s="27" t="n">
        <v>1</v>
      </c>
      <c r="S263" s="26" t="n">
        <v>1.27</v>
      </c>
      <c r="T263" s="26" t="n">
        <v>0.07000000000000001</v>
      </c>
      <c r="U263" s="11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26" t="n">
        <v>66.45999999999999</v>
      </c>
      <c r="W263" s="26" t="n">
        <v>57.11</v>
      </c>
      <c r="X263" s="26">
        <f>ROUND(('Methodology &amp; Assumptions'!$B$5*V263) + ('Methodology &amp; Assumptions'!$B$6*W263), 2)</f>
        <v/>
      </c>
      <c r="Y263" s="28" t="n">
        <v>10.9</v>
      </c>
      <c r="Z263" s="11" t="inlineStr">
        <is>
          <t>Priority Tier 2 (Balanced Opportunity)</t>
        </is>
      </c>
    </row>
    <row r="264">
      <c r="A264" s="23" t="n">
        <v>3</v>
      </c>
      <c r="B264" s="23" t="n">
        <v>260</v>
      </c>
      <c r="C264" s="23" t="n">
        <v>2260</v>
      </c>
      <c r="D264" s="23" t="inlineStr">
        <is>
          <t>1381600019</t>
        </is>
      </c>
      <c r="E264" s="11" t="inlineStr">
        <is>
          <t>National Capital Region (NCR)</t>
        </is>
      </c>
      <c r="F264" s="11" t="inlineStr">
        <is>
          <t>Third District (Not a Province)</t>
        </is>
      </c>
      <c r="G264" s="11" t="inlineStr">
        <is>
          <t>City of Valenzuela</t>
        </is>
      </c>
      <c r="H264" s="11" t="inlineStr">
        <is>
          <t>Marulas</t>
        </is>
      </c>
      <c r="I264" s="24" t="n">
        <v>14.674595</v>
      </c>
      <c r="J264" s="24" t="n">
        <v>120.987753</v>
      </c>
      <c r="K264" s="23" t="inlineStr">
        <is>
          <t>U</t>
        </is>
      </c>
      <c r="L264" s="25" t="n">
        <v>61583</v>
      </c>
      <c r="M264" s="26" t="n">
        <v>3.5</v>
      </c>
      <c r="N264" s="25">
        <f>ROUND(L264/M264, 0)</f>
        <v/>
      </c>
      <c r="O264" s="25">
        <f>ROUND(N264*'Methodology &amp; Assumptions'!$B$7, 0)</f>
        <v/>
      </c>
      <c r="P264" s="23" t="inlineStr">
        <is>
          <t>Single Carrier (Band n50, 100MHz TDD)</t>
        </is>
      </c>
      <c r="Q264" s="27">
        <f>ROUNDUP(O264/'Methodology &amp; Assumptions'!$B$8, 0)</f>
        <v/>
      </c>
      <c r="R264" s="27" t="n">
        <v>1</v>
      </c>
      <c r="S264" s="26" t="n">
        <v>0.76</v>
      </c>
      <c r="T264" s="26" t="n">
        <v>0.65</v>
      </c>
      <c r="U264" s="11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26" t="n">
        <v>65.78</v>
      </c>
      <c r="W264" s="26" t="n">
        <v>57.78</v>
      </c>
      <c r="X264" s="26">
        <f>ROUND(('Methodology &amp; Assumptions'!$B$5*V264) + ('Methodology &amp; Assumptions'!$B$6*W264), 2)</f>
        <v/>
      </c>
      <c r="Y264" s="28" t="n">
        <v>10.9</v>
      </c>
      <c r="Z264" s="11" t="inlineStr">
        <is>
          <t>Priority Tier 2 (Balanced Opportunity)</t>
        </is>
      </c>
    </row>
    <row r="265">
      <c r="A265" s="23" t="n">
        <v>3</v>
      </c>
      <c r="B265" s="23" t="n">
        <v>261</v>
      </c>
      <c r="C265" s="23" t="n">
        <v>2261</v>
      </c>
      <c r="D265" s="23" t="inlineStr">
        <is>
          <t>0102820009</t>
        </is>
      </c>
      <c r="E265" s="11" t="inlineStr">
        <is>
          <t>Region I (Ilocos Region)</t>
        </is>
      </c>
      <c r="F265" s="11" t="inlineStr">
        <is>
          <t>Ilocos Norte</t>
        </is>
      </c>
      <c r="G265" s="11" t="inlineStr">
        <is>
          <t>San Nicolas</t>
        </is>
      </c>
      <c r="H265" s="11" t="inlineStr">
        <is>
          <t>San Gregorio</t>
        </is>
      </c>
      <c r="I265" s="24" t="n">
        <v>18.173049</v>
      </c>
      <c r="J265" s="24" t="n">
        <v>120.588682</v>
      </c>
      <c r="K265" s="23" t="inlineStr">
        <is>
          <t>R</t>
        </is>
      </c>
      <c r="L265" s="25" t="n">
        <v>2017</v>
      </c>
      <c r="M265" s="26" t="n">
        <v>3.7</v>
      </c>
      <c r="N265" s="25">
        <f>ROUND(L265/M265, 0)</f>
        <v/>
      </c>
      <c r="O265" s="25">
        <f>ROUND(N265*'Methodology &amp; Assumptions'!$B$7, 0)</f>
        <v/>
      </c>
      <c r="P265" s="23" t="inlineStr">
        <is>
          <t>Single Carrier (Band n50, 100MHz TDD)</t>
        </is>
      </c>
      <c r="Q265" s="27">
        <f>ROUNDUP(O265/'Methodology &amp; Assumptions'!$B$8, 0)</f>
        <v/>
      </c>
      <c r="R265" s="27" t="n">
        <v>1</v>
      </c>
      <c r="S265" s="26" t="n">
        <v>0.58</v>
      </c>
      <c r="T265" s="26" t="n">
        <v>0.48</v>
      </c>
      <c r="U265" s="11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26" t="n">
        <v>76.79000000000001</v>
      </c>
      <c r="W265" s="26" t="n">
        <v>46.74</v>
      </c>
      <c r="X265" s="26">
        <f>ROUND(('Methodology &amp; Assumptions'!$B$5*V265) + ('Methodology &amp; Assumptions'!$B$6*W265), 2)</f>
        <v/>
      </c>
      <c r="Y265" s="28" t="n">
        <v>8.300000000000001</v>
      </c>
      <c r="Z265" s="11" t="inlineStr">
        <is>
          <t>Priority Tier 2 (Balanced Opportunity)</t>
        </is>
      </c>
    </row>
    <row r="266">
      <c r="A266" s="23" t="n">
        <v>3</v>
      </c>
      <c r="B266" s="23" t="n">
        <v>262</v>
      </c>
      <c r="C266" s="23" t="n">
        <v>2262</v>
      </c>
      <c r="D266" s="23" t="inlineStr">
        <is>
          <t>0405811013</t>
        </is>
      </c>
      <c r="E266" s="11" t="inlineStr">
        <is>
          <t>Region IV-A (CALABARZON)</t>
        </is>
      </c>
      <c r="F266" s="11" t="inlineStr">
        <is>
          <t>Rizal</t>
        </is>
      </c>
      <c r="G266" s="11" t="inlineStr">
        <is>
          <t>San Mateo</t>
        </is>
      </c>
      <c r="H266" s="11" t="inlineStr">
        <is>
          <t>Gulod Malaya</t>
        </is>
      </c>
      <c r="I266" s="24" t="n">
        <v>14.673441</v>
      </c>
      <c r="J266" s="24" t="n">
        <v>121.133251</v>
      </c>
      <c r="K266" s="23" t="inlineStr">
        <is>
          <t>U</t>
        </is>
      </c>
      <c r="L266" s="25" t="n">
        <v>12408</v>
      </c>
      <c r="M266" s="26" t="n">
        <v>3.6</v>
      </c>
      <c r="N266" s="25">
        <f>ROUND(L266/M266, 0)</f>
        <v/>
      </c>
      <c r="O266" s="25">
        <f>ROUND(N266*'Methodology &amp; Assumptions'!$B$7, 0)</f>
        <v/>
      </c>
      <c r="P266" s="23" t="inlineStr">
        <is>
          <t>Single Carrier (Band n50, 100MHz TDD)</t>
        </is>
      </c>
      <c r="Q266" s="27">
        <f>ROUNDUP(O266/'Methodology &amp; Assumptions'!$B$8, 0)</f>
        <v/>
      </c>
      <c r="R266" s="27" t="n">
        <v>1</v>
      </c>
      <c r="S266" s="26" t="n">
        <v>2.37</v>
      </c>
      <c r="T266" s="26" t="n">
        <v>0.12</v>
      </c>
      <c r="U266" s="11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26" t="n">
        <v>72.78</v>
      </c>
      <c r="W266" s="26" t="n">
        <v>50.76</v>
      </c>
      <c r="X266" s="26">
        <f>ROUND(('Methodology &amp; Assumptions'!$B$5*V266) + ('Methodology &amp; Assumptions'!$B$6*W266), 2)</f>
        <v/>
      </c>
      <c r="Y266" s="28" t="n">
        <v>7.2</v>
      </c>
      <c r="Z266" s="11" t="inlineStr">
        <is>
          <t>Priority Tier 2 (Balanced Opportunity)</t>
        </is>
      </c>
    </row>
    <row r="267">
      <c r="A267" s="23" t="n">
        <v>3</v>
      </c>
      <c r="B267" s="23" t="n">
        <v>263</v>
      </c>
      <c r="C267" s="23" t="n">
        <v>2263</v>
      </c>
      <c r="D267" s="23" t="inlineStr">
        <is>
          <t>0300809016</t>
        </is>
      </c>
      <c r="E267" s="11" t="inlineStr">
        <is>
          <t>Region III (Central Luzon)</t>
        </is>
      </c>
      <c r="F267" s="11" t="inlineStr">
        <is>
          <t>Bataan</t>
        </is>
      </c>
      <c r="G267" s="11" t="inlineStr">
        <is>
          <t>Orani</t>
        </is>
      </c>
      <c r="H267" s="11" t="inlineStr">
        <is>
          <t>Centro I</t>
        </is>
      </c>
      <c r="I267" s="24" t="n">
        <v>14.802465</v>
      </c>
      <c r="J267" s="24" t="n">
        <v>120.536734</v>
      </c>
      <c r="K267" s="23" t="inlineStr">
        <is>
          <t>R</t>
        </is>
      </c>
      <c r="L267" s="25" t="n">
        <v>513</v>
      </c>
      <c r="M267" s="26" t="n">
        <v>3.6</v>
      </c>
      <c r="N267" s="25">
        <f>ROUND(L267/M267, 0)</f>
        <v/>
      </c>
      <c r="O267" s="25">
        <f>ROUND(N267*'Methodology &amp; Assumptions'!$B$7, 0)</f>
        <v/>
      </c>
      <c r="P267" s="23" t="inlineStr">
        <is>
          <t>Single Carrier (Band n50, 100MHz TDD)</t>
        </is>
      </c>
      <c r="Q267" s="27">
        <f>ROUNDUP(O267/'Methodology &amp; Assumptions'!$B$8, 0)</f>
        <v/>
      </c>
      <c r="R267" s="27" t="n">
        <v>1</v>
      </c>
      <c r="S267" s="26" t="n">
        <v>0.06</v>
      </c>
      <c r="T267" s="26" t="n">
        <v>0.07000000000000001</v>
      </c>
      <c r="U267" s="11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26" t="n">
        <v>63.69</v>
      </c>
      <c r="W267" s="26" t="n">
        <v>59.85</v>
      </c>
      <c r="X267" s="26">
        <f>ROUND(('Methodology &amp; Assumptions'!$B$5*V267) + ('Methodology &amp; Assumptions'!$B$6*W267), 2)</f>
        <v/>
      </c>
      <c r="Y267" s="28" t="n">
        <v>8.300000000000001</v>
      </c>
      <c r="Z267" s="11" t="inlineStr">
        <is>
          <t>Priority Tier 2 (Balanced Opportunity)</t>
        </is>
      </c>
    </row>
    <row r="268">
      <c r="A268" s="23" t="n">
        <v>3</v>
      </c>
      <c r="B268" s="23" t="n">
        <v>264</v>
      </c>
      <c r="C268" s="23" t="n">
        <v>2264</v>
      </c>
      <c r="D268" s="23" t="inlineStr">
        <is>
          <t>1380606093</t>
        </is>
      </c>
      <c r="E268" s="11" t="inlineStr">
        <is>
          <t>National Capital Region (NCR)</t>
        </is>
      </c>
      <c r="F268" s="11" t="inlineStr">
        <is>
          <t>First District (Not a Province)</t>
        </is>
      </c>
      <c r="G268" s="11" t="inlineStr">
        <is>
          <t>City of Manila</t>
        </is>
      </c>
      <c r="H268" s="11" t="inlineStr">
        <is>
          <t>Barangay 487</t>
        </is>
      </c>
      <c r="I268" s="24" t="n">
        <v>14.616257</v>
      </c>
      <c r="J268" s="24" t="n">
        <v>120.992174</v>
      </c>
      <c r="K268" s="23" t="inlineStr">
        <is>
          <t>U</t>
        </is>
      </c>
      <c r="L268" s="25" t="n">
        <v>1464</v>
      </c>
      <c r="M268" s="26" t="n">
        <v>3.33</v>
      </c>
      <c r="N268" s="25">
        <f>ROUND(L268/M268, 0)</f>
        <v/>
      </c>
      <c r="O268" s="25">
        <f>ROUND(N268*'Methodology &amp; Assumptions'!$B$7, 0)</f>
        <v/>
      </c>
      <c r="P268" s="23" t="inlineStr">
        <is>
          <t>Single Carrier (Band n50, 100MHz TDD)</t>
        </is>
      </c>
      <c r="Q268" s="27">
        <f>ROUNDUP(O268/'Methodology &amp; Assumptions'!$B$8, 0)</f>
        <v/>
      </c>
      <c r="R268" s="27" t="n">
        <v>1</v>
      </c>
      <c r="S268" s="26" t="n">
        <v>1</v>
      </c>
      <c r="T268" s="26" t="n">
        <v>0.67</v>
      </c>
      <c r="U268" s="11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26" t="n">
        <v>54.61</v>
      </c>
      <c r="W268" s="26" t="n">
        <v>68.92</v>
      </c>
      <c r="X268" s="26">
        <f>ROUND(('Methodology &amp; Assumptions'!$B$5*V268) + ('Methodology &amp; Assumptions'!$B$6*W268), 2)</f>
        <v/>
      </c>
      <c r="Y268" s="28" t="n">
        <v>10.9</v>
      </c>
      <c r="Z268" s="11" t="inlineStr">
        <is>
          <t>Priority Tier 2 (Balanced Opportunity)</t>
        </is>
      </c>
    </row>
    <row r="269">
      <c r="A269" s="23" t="n">
        <v>3</v>
      </c>
      <c r="B269" s="23" t="n">
        <v>265</v>
      </c>
      <c r="C269" s="23" t="n">
        <v>2265</v>
      </c>
      <c r="D269" s="23" t="inlineStr">
        <is>
          <t>1380605022</t>
        </is>
      </c>
      <c r="E269" s="11" t="inlineStr">
        <is>
          <t>National Capital Region (NCR)</t>
        </is>
      </c>
      <c r="F269" s="11" t="inlineStr">
        <is>
          <t>First District (Not a Province)</t>
        </is>
      </c>
      <c r="G269" s="11" t="inlineStr">
        <is>
          <t>City of Manila</t>
        </is>
      </c>
      <c r="H269" s="11" t="inlineStr">
        <is>
          <t>Barangay 320</t>
        </is>
      </c>
      <c r="I269" s="24" t="n">
        <v>14.611464</v>
      </c>
      <c r="J269" s="24" t="n">
        <v>120.98338</v>
      </c>
      <c r="K269" s="23" t="inlineStr">
        <is>
          <t>U</t>
        </is>
      </c>
      <c r="L269" s="25" t="n">
        <v>1416</v>
      </c>
      <c r="M269" s="26" t="n">
        <v>3.73</v>
      </c>
      <c r="N269" s="25">
        <f>ROUND(L269/M269, 0)</f>
        <v/>
      </c>
      <c r="O269" s="25">
        <f>ROUND(N269*'Methodology &amp; Assumptions'!$B$7, 0)</f>
        <v/>
      </c>
      <c r="P269" s="23" t="inlineStr">
        <is>
          <t>Single Carrier (Band n50, 100MHz TDD)</t>
        </is>
      </c>
      <c r="Q269" s="27">
        <f>ROUNDUP(O269/'Methodology &amp; Assumptions'!$B$8, 0)</f>
        <v/>
      </c>
      <c r="R269" s="27" t="n">
        <v>1</v>
      </c>
      <c r="S269" s="26" t="n">
        <v>0.5600000000000001</v>
      </c>
      <c r="T269" s="26" t="n">
        <v>0.09</v>
      </c>
      <c r="U269" s="11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26" t="n">
        <v>53.3</v>
      </c>
      <c r="W269" s="26" t="n">
        <v>70.23999999999999</v>
      </c>
      <c r="X269" s="26">
        <f>ROUND(('Methodology &amp; Assumptions'!$B$5*V269) + ('Methodology &amp; Assumptions'!$B$6*W269), 2)</f>
        <v/>
      </c>
      <c r="Y269" s="28" t="n">
        <v>10.9</v>
      </c>
      <c r="Z269" s="11" t="inlineStr">
        <is>
          <t>Priority Tier 2 (Balanced Opportunity)</t>
        </is>
      </c>
    </row>
    <row r="270">
      <c r="A270" s="23" t="n">
        <v>3</v>
      </c>
      <c r="B270" s="23" t="n">
        <v>266</v>
      </c>
      <c r="C270" s="23" t="n">
        <v>2266</v>
      </c>
      <c r="D270" s="23" t="inlineStr">
        <is>
          <t>1401105013</t>
        </is>
      </c>
      <c r="E270" s="11" t="inlineStr">
        <is>
          <t>Cordillera Administrative Region (CAR)</t>
        </is>
      </c>
      <c r="F270" s="11" t="inlineStr">
        <is>
          <t>Benguet</t>
        </is>
      </c>
      <c r="G270" s="11" t="inlineStr">
        <is>
          <t>Buguias</t>
        </is>
      </c>
      <c r="H270" s="11" t="inlineStr">
        <is>
          <t>Poblacion</t>
        </is>
      </c>
      <c r="I270" s="24" t="n">
        <v>16.71942</v>
      </c>
      <c r="J270" s="24" t="n">
        <v>120.82674</v>
      </c>
      <c r="K270" s="23" t="inlineStr">
        <is>
          <t>R</t>
        </is>
      </c>
      <c r="L270" s="25" t="n">
        <v>3192</v>
      </c>
      <c r="M270" s="26" t="n">
        <v>3.5</v>
      </c>
      <c r="N270" s="25">
        <f>ROUND(L270/M270, 0)</f>
        <v/>
      </c>
      <c r="O270" s="25">
        <f>ROUND(N270*'Methodology &amp; Assumptions'!$B$7, 0)</f>
        <v/>
      </c>
      <c r="P270" s="23" t="inlineStr">
        <is>
          <t>Single Carrier (Band n50, 100MHz TDD)</t>
        </is>
      </c>
      <c r="Q270" s="27">
        <f>ROUNDUP(O270/'Methodology &amp; Assumptions'!$B$8, 0)</f>
        <v/>
      </c>
      <c r="R270" s="27" t="n">
        <v>1</v>
      </c>
      <c r="S270" s="26" t="n">
        <v>0.03</v>
      </c>
      <c r="T270" s="26" t="n">
        <v>3.32</v>
      </c>
      <c r="U270" s="11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26" t="n">
        <v>85.90000000000001</v>
      </c>
      <c r="W270" s="26" t="n">
        <v>37.62</v>
      </c>
      <c r="X270" s="26">
        <f>ROUND(('Methodology &amp; Assumptions'!$B$5*V270) + ('Methodology &amp; Assumptions'!$B$6*W270), 2)</f>
        <v/>
      </c>
      <c r="Y270" s="28" t="n">
        <v>10.9</v>
      </c>
      <c r="Z270" s="11" t="inlineStr">
        <is>
          <t>Priority Tier 2 (Balanced Opportunity)</t>
        </is>
      </c>
    </row>
    <row r="271">
      <c r="A271" s="23" t="n">
        <v>3</v>
      </c>
      <c r="B271" s="23" t="n">
        <v>267</v>
      </c>
      <c r="C271" s="23" t="n">
        <v>2267</v>
      </c>
      <c r="D271" s="23" t="inlineStr">
        <is>
          <t>0405809006</t>
        </is>
      </c>
      <c r="E271" s="11" t="inlineStr">
        <is>
          <t>Region IV-A (CALABARZON)</t>
        </is>
      </c>
      <c r="F271" s="11" t="inlineStr">
        <is>
          <t>Rizal</t>
        </is>
      </c>
      <c r="G271" s="11" t="inlineStr">
        <is>
          <t>Morong</t>
        </is>
      </c>
      <c r="H271" s="11" t="inlineStr">
        <is>
          <t>San Jose</t>
        </is>
      </c>
      <c r="I271" s="24" t="n">
        <v>14.51374</v>
      </c>
      <c r="J271" s="24" t="n">
        <v>121.23792</v>
      </c>
      <c r="K271" s="23" t="inlineStr">
        <is>
          <t>R</t>
        </is>
      </c>
      <c r="L271" s="25" t="n">
        <v>4110</v>
      </c>
      <c r="M271" s="26" t="n">
        <v>3.6</v>
      </c>
      <c r="N271" s="25">
        <f>ROUND(L271/M271, 0)</f>
        <v/>
      </c>
      <c r="O271" s="25">
        <f>ROUND(N271*'Methodology &amp; Assumptions'!$B$7, 0)</f>
        <v/>
      </c>
      <c r="P271" s="23" t="inlineStr">
        <is>
          <t>Single Carrier (Band n50, 100MHz TDD)</t>
        </is>
      </c>
      <c r="Q271" s="27">
        <f>ROUNDUP(O271/'Methodology &amp; Assumptions'!$B$8, 0)</f>
        <v/>
      </c>
      <c r="R271" s="27" t="n">
        <v>1</v>
      </c>
      <c r="S271" s="26" t="n">
        <v>0.88</v>
      </c>
      <c r="T271" s="26" t="n">
        <v>0.2</v>
      </c>
      <c r="U271" s="11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26" t="n">
        <v>85.33</v>
      </c>
      <c r="W271" s="26" t="n">
        <v>38.2</v>
      </c>
      <c r="X271" s="26">
        <f>ROUND(('Methodology &amp; Assumptions'!$B$5*V271) + ('Methodology &amp; Assumptions'!$B$6*W271), 2)</f>
        <v/>
      </c>
      <c r="Y271" s="28" t="n">
        <v>7.2</v>
      </c>
      <c r="Z271" s="11" t="inlineStr">
        <is>
          <t>Priority Tier 2 (Balanced Opportunity)</t>
        </is>
      </c>
    </row>
    <row r="272">
      <c r="A272" s="23" t="n">
        <v>3</v>
      </c>
      <c r="B272" s="23" t="n">
        <v>268</v>
      </c>
      <c r="C272" s="23" t="n">
        <v>2268</v>
      </c>
      <c r="D272" s="23" t="inlineStr">
        <is>
          <t>0403429022</t>
        </is>
      </c>
      <c r="E272" s="11" t="inlineStr">
        <is>
          <t>Region IV-A (CALABARZON)</t>
        </is>
      </c>
      <c r="F272" s="11" t="inlineStr">
        <is>
          <t>Laguna</t>
        </is>
      </c>
      <c r="G272" s="11" t="inlineStr">
        <is>
          <t>Siniloan</t>
        </is>
      </c>
      <c r="H272" s="11" t="inlineStr">
        <is>
          <t>Wawa</t>
        </is>
      </c>
      <c r="I272" s="24" t="n">
        <v>14.413864</v>
      </c>
      <c r="J272" s="24" t="n">
        <v>121.444193</v>
      </c>
      <c r="K272" s="23" t="inlineStr">
        <is>
          <t>R</t>
        </is>
      </c>
      <c r="L272" s="25" t="n">
        <v>3321</v>
      </c>
      <c r="M272" s="26" t="n">
        <v>3.3</v>
      </c>
      <c r="N272" s="25">
        <f>ROUND(L272/M272, 0)</f>
        <v/>
      </c>
      <c r="O272" s="25">
        <f>ROUND(N272*'Methodology &amp; Assumptions'!$B$7, 0)</f>
        <v/>
      </c>
      <c r="P272" s="23" t="inlineStr">
        <is>
          <t>Single Carrier (Band n50, 100MHz TDD)</t>
        </is>
      </c>
      <c r="Q272" s="27">
        <f>ROUNDUP(O272/'Methodology &amp; Assumptions'!$B$8, 0)</f>
        <v/>
      </c>
      <c r="R272" s="27" t="n">
        <v>1</v>
      </c>
      <c r="S272" s="26" t="n">
        <v>2.18</v>
      </c>
      <c r="T272" s="26" t="n">
        <v>1.98</v>
      </c>
      <c r="U272" s="11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26" t="n">
        <v>80.63</v>
      </c>
      <c r="W272" s="26" t="n">
        <v>42.89</v>
      </c>
      <c r="X272" s="26">
        <f>ROUND(('Methodology &amp; Assumptions'!$B$5*V272) + ('Methodology &amp; Assumptions'!$B$6*W272), 2)</f>
        <v/>
      </c>
      <c r="Y272" s="28" t="n">
        <v>7.2</v>
      </c>
      <c r="Z272" s="11" t="inlineStr">
        <is>
          <t>Priority Tier 2 (Balanced Opportunity)</t>
        </is>
      </c>
    </row>
    <row r="273">
      <c r="A273" s="23" t="n">
        <v>3</v>
      </c>
      <c r="B273" s="23" t="n">
        <v>269</v>
      </c>
      <c r="C273" s="23" t="n">
        <v>2269</v>
      </c>
      <c r="D273" s="23" t="inlineStr">
        <is>
          <t>0304908017</t>
        </is>
      </c>
      <c r="E273" s="11" t="inlineStr">
        <is>
          <t>Region III (Central Luzon)</t>
        </is>
      </c>
      <c r="F273" s="11" t="inlineStr">
        <is>
          <t>Nueva Ecija</t>
        </is>
      </c>
      <c r="G273" s="11" t="inlineStr">
        <is>
          <t>City of Gapan</t>
        </is>
      </c>
      <c r="H273" s="11" t="inlineStr">
        <is>
          <t>Santo Niño</t>
        </is>
      </c>
      <c r="I273" s="24" t="n">
        <v>15.304128</v>
      </c>
      <c r="J273" s="24" t="n">
        <v>120.943029</v>
      </c>
      <c r="K273" s="23" t="inlineStr">
        <is>
          <t>U</t>
        </is>
      </c>
      <c r="L273" s="25" t="n">
        <v>5470</v>
      </c>
      <c r="M273" s="26" t="n">
        <v>3.5</v>
      </c>
      <c r="N273" s="25">
        <f>ROUND(L273/M273, 0)</f>
        <v/>
      </c>
      <c r="O273" s="25">
        <f>ROUND(N273*'Methodology &amp; Assumptions'!$B$7, 0)</f>
        <v/>
      </c>
      <c r="P273" s="23" t="inlineStr">
        <is>
          <t>Single Carrier (Band n50, 100MHz TDD)</t>
        </is>
      </c>
      <c r="Q273" s="27">
        <f>ROUNDUP(O273/'Methodology &amp; Assumptions'!$B$8, 0)</f>
        <v/>
      </c>
      <c r="R273" s="27" t="n">
        <v>1</v>
      </c>
      <c r="S273" s="26" t="n">
        <v>0.09</v>
      </c>
      <c r="T273" s="26" t="n">
        <v>0.09</v>
      </c>
      <c r="U273" s="11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26" t="n">
        <v>78.43000000000001</v>
      </c>
      <c r="W273" s="26" t="n">
        <v>45.08</v>
      </c>
      <c r="X273" s="26">
        <f>ROUND(('Methodology &amp; Assumptions'!$B$5*V273) + ('Methodology &amp; Assumptions'!$B$6*W273), 2)</f>
        <v/>
      </c>
      <c r="Y273" s="28" t="n">
        <v>8.300000000000001</v>
      </c>
      <c r="Z273" s="11" t="inlineStr">
        <is>
          <t>Priority Tier 2 (Balanced Opportunity)</t>
        </is>
      </c>
    </row>
    <row r="274">
      <c r="A274" s="23" t="n">
        <v>3</v>
      </c>
      <c r="B274" s="23" t="n">
        <v>270</v>
      </c>
      <c r="C274" s="23" t="n">
        <v>2270</v>
      </c>
      <c r="D274" s="23" t="inlineStr">
        <is>
          <t>1380612027</t>
        </is>
      </c>
      <c r="E274" s="11" t="inlineStr">
        <is>
          <t>National Capital Region (NCR)</t>
        </is>
      </c>
      <c r="F274" s="11" t="inlineStr">
        <is>
          <t>First District (Not a Province)</t>
        </is>
      </c>
      <c r="G274" s="11" t="inlineStr">
        <is>
          <t>City of Manila</t>
        </is>
      </c>
      <c r="H274" s="11" t="inlineStr">
        <is>
          <t>Barangay 859</t>
        </is>
      </c>
      <c r="I274" s="24" t="n">
        <v>14.586401</v>
      </c>
      <c r="J274" s="24" t="n">
        <v>121.004112</v>
      </c>
      <c r="K274" s="23" t="inlineStr">
        <is>
          <t>U</t>
        </is>
      </c>
      <c r="L274" s="25" t="n">
        <v>1377</v>
      </c>
      <c r="M274" s="26" t="n">
        <v>3.79</v>
      </c>
      <c r="N274" s="25">
        <f>ROUND(L274/M274, 0)</f>
        <v/>
      </c>
      <c r="O274" s="25">
        <f>ROUND(N274*'Methodology &amp; Assumptions'!$B$7, 0)</f>
        <v/>
      </c>
      <c r="P274" s="23" t="inlineStr">
        <is>
          <t>Single Carrier (Band n50, 100MHz TDD)</t>
        </is>
      </c>
      <c r="Q274" s="27">
        <f>ROUNDUP(O274/'Methodology &amp; Assumptions'!$B$8, 0)</f>
        <v/>
      </c>
      <c r="R274" s="27" t="n">
        <v>1</v>
      </c>
      <c r="S274" s="26" t="n">
        <v>0.27</v>
      </c>
      <c r="T274" s="26" t="n">
        <v>0.24</v>
      </c>
      <c r="U274" s="11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26" t="n">
        <v>52.77</v>
      </c>
      <c r="W274" s="26" t="n">
        <v>70.76000000000001</v>
      </c>
      <c r="X274" s="26">
        <f>ROUND(('Methodology &amp; Assumptions'!$B$5*V274) + ('Methodology &amp; Assumptions'!$B$6*W274), 2)</f>
        <v/>
      </c>
      <c r="Y274" s="28" t="n">
        <v>10.9</v>
      </c>
      <c r="Z274" s="11" t="inlineStr">
        <is>
          <t>Priority Tier 2 (Balanced Opportunity)</t>
        </is>
      </c>
    </row>
    <row r="275">
      <c r="A275" s="23" t="n">
        <v>3</v>
      </c>
      <c r="B275" s="23" t="n">
        <v>271</v>
      </c>
      <c r="C275" s="23" t="n">
        <v>2271</v>
      </c>
      <c r="D275" s="23" t="inlineStr">
        <is>
          <t>0304908016</t>
        </is>
      </c>
      <c r="E275" s="11" t="inlineStr">
        <is>
          <t>Region III (Central Luzon)</t>
        </is>
      </c>
      <c r="F275" s="11" t="inlineStr">
        <is>
          <t>Nueva Ecija</t>
        </is>
      </c>
      <c r="G275" s="11" t="inlineStr">
        <is>
          <t>City of Gapan</t>
        </is>
      </c>
      <c r="H275" s="11" t="inlineStr">
        <is>
          <t>Santo Cristo Sur</t>
        </is>
      </c>
      <c r="I275" s="24" t="n">
        <v>15.26489</v>
      </c>
      <c r="J275" s="24" t="n">
        <v>120.951208</v>
      </c>
      <c r="K275" s="23" t="inlineStr">
        <is>
          <t>R</t>
        </is>
      </c>
      <c r="L275" s="25" t="n">
        <v>4886</v>
      </c>
      <c r="M275" s="26" t="n">
        <v>3.5</v>
      </c>
      <c r="N275" s="25">
        <f>ROUND(L275/M275, 0)</f>
        <v/>
      </c>
      <c r="O275" s="25">
        <f>ROUND(N275*'Methodology &amp; Assumptions'!$B$7, 0)</f>
        <v/>
      </c>
      <c r="P275" s="23" t="inlineStr">
        <is>
          <t>Single Carrier (Band n50, 100MHz TDD)</t>
        </is>
      </c>
      <c r="Q275" s="27">
        <f>ROUNDUP(O275/'Methodology &amp; Assumptions'!$B$8, 0)</f>
        <v/>
      </c>
      <c r="R275" s="27" t="n">
        <v>1</v>
      </c>
      <c r="S275" s="26" t="n">
        <v>0.02</v>
      </c>
      <c r="T275" s="26" t="n">
        <v>0.05</v>
      </c>
      <c r="U275" s="11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26" t="n">
        <v>85.63</v>
      </c>
      <c r="W275" s="26" t="n">
        <v>37.86</v>
      </c>
      <c r="X275" s="26">
        <f>ROUND(('Methodology &amp; Assumptions'!$B$5*V275) + ('Methodology &amp; Assumptions'!$B$6*W275), 2)</f>
        <v/>
      </c>
      <c r="Y275" s="28" t="n">
        <v>8.300000000000001</v>
      </c>
      <c r="Z275" s="11" t="inlineStr">
        <is>
          <t>Priority Tier 2 (Balanced Opportunity)</t>
        </is>
      </c>
    </row>
    <row r="276">
      <c r="A276" s="23" t="n">
        <v>3</v>
      </c>
      <c r="B276" s="23" t="n">
        <v>272</v>
      </c>
      <c r="C276" s="23" t="n">
        <v>2272</v>
      </c>
      <c r="D276" s="23" t="inlineStr">
        <is>
          <t>0306903017</t>
        </is>
      </c>
      <c r="E276" s="11" t="inlineStr">
        <is>
          <t>Region III (Central Luzon)</t>
        </is>
      </c>
      <c r="F276" s="11" t="inlineStr">
        <is>
          <t>Tarlac</t>
        </is>
      </c>
      <c r="G276" s="11" t="inlineStr">
        <is>
          <t>Camiling</t>
        </is>
      </c>
      <c r="H276" s="11" t="inlineStr">
        <is>
          <t>Cacamilingan Norte</t>
        </is>
      </c>
      <c r="I276" s="24" t="n">
        <v>15.690536</v>
      </c>
      <c r="J276" s="24" t="n">
        <v>120.41917</v>
      </c>
      <c r="K276" s="23" t="inlineStr">
        <is>
          <t>R</t>
        </is>
      </c>
      <c r="L276" s="25" t="n">
        <v>2597</v>
      </c>
      <c r="M276" s="26" t="n">
        <v>3.9</v>
      </c>
      <c r="N276" s="25">
        <f>ROUND(L276/M276, 0)</f>
        <v/>
      </c>
      <c r="O276" s="25">
        <f>ROUND(N276*'Methodology &amp; Assumptions'!$B$7, 0)</f>
        <v/>
      </c>
      <c r="P276" s="23" t="inlineStr">
        <is>
          <t>Single Carrier (Band n50, 100MHz TDD)</t>
        </is>
      </c>
      <c r="Q276" s="27">
        <f>ROUNDUP(O276/'Methodology &amp; Assumptions'!$B$8, 0)</f>
        <v/>
      </c>
      <c r="R276" s="27" t="n">
        <v>1</v>
      </c>
      <c r="S276" s="26" t="n">
        <v>0.47</v>
      </c>
      <c r="T276" s="26" t="n">
        <v>0.39</v>
      </c>
      <c r="U276" s="11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26" t="n">
        <v>80.69</v>
      </c>
      <c r="W276" s="26" t="n">
        <v>42.81</v>
      </c>
      <c r="X276" s="26">
        <f>ROUND(('Methodology &amp; Assumptions'!$B$5*V276) + ('Methodology &amp; Assumptions'!$B$6*W276), 2)</f>
        <v/>
      </c>
      <c r="Y276" s="28" t="n">
        <v>8.300000000000001</v>
      </c>
      <c r="Z276" s="11" t="inlineStr">
        <is>
          <t>Priority Tier 2 (Balanced Opportunity)</t>
        </is>
      </c>
    </row>
    <row r="277">
      <c r="A277" s="23" t="n">
        <v>3</v>
      </c>
      <c r="B277" s="23" t="n">
        <v>273</v>
      </c>
      <c r="C277" s="23" t="n">
        <v>2273</v>
      </c>
      <c r="D277" s="23" t="inlineStr">
        <is>
          <t>0306916048</t>
        </is>
      </c>
      <c r="E277" s="11" t="inlineStr">
        <is>
          <t>Region III (Central Luzon)</t>
        </is>
      </c>
      <c r="F277" s="11" t="inlineStr">
        <is>
          <t>Tarlac</t>
        </is>
      </c>
      <c r="G277" s="11" t="inlineStr">
        <is>
          <t>City of Tarlac</t>
        </is>
      </c>
      <c r="H277" s="11" t="inlineStr">
        <is>
          <t>Maliwalo</t>
        </is>
      </c>
      <c r="I277" s="24" t="n">
        <v>15.484022</v>
      </c>
      <c r="J277" s="24" t="n">
        <v>120.61807</v>
      </c>
      <c r="K277" s="23" t="inlineStr">
        <is>
          <t>U</t>
        </is>
      </c>
      <c r="L277" s="25" t="n">
        <v>16799</v>
      </c>
      <c r="M277" s="26" t="n">
        <v>3.9</v>
      </c>
      <c r="N277" s="25">
        <f>ROUND(L277/M277, 0)</f>
        <v/>
      </c>
      <c r="O277" s="25">
        <f>ROUND(N277*'Methodology &amp; Assumptions'!$B$7, 0)</f>
        <v/>
      </c>
      <c r="P277" s="23" t="inlineStr">
        <is>
          <t>Single Carrier (Band n50, 100MHz TDD)</t>
        </is>
      </c>
      <c r="Q277" s="27">
        <f>ROUNDUP(O277/'Methodology &amp; Assumptions'!$B$8, 0)</f>
        <v/>
      </c>
      <c r="R277" s="27" t="n">
        <v>1</v>
      </c>
      <c r="S277" s="26" t="n">
        <v>0.74</v>
      </c>
      <c r="T277" s="26" t="n">
        <v>0.15</v>
      </c>
      <c r="U277" s="11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26" t="n">
        <v>78.43000000000001</v>
      </c>
      <c r="W277" s="26" t="n">
        <v>45.06</v>
      </c>
      <c r="X277" s="26">
        <f>ROUND(('Methodology &amp; Assumptions'!$B$5*V277) + ('Methodology &amp; Assumptions'!$B$6*W277), 2)</f>
        <v/>
      </c>
      <c r="Y277" s="28" t="n">
        <v>8.300000000000001</v>
      </c>
      <c r="Z277" s="11" t="inlineStr">
        <is>
          <t>Priority Tier 2 (Balanced Opportunity)</t>
        </is>
      </c>
    </row>
    <row r="278">
      <c r="A278" s="23" t="n">
        <v>3</v>
      </c>
      <c r="B278" s="23" t="n">
        <v>274</v>
      </c>
      <c r="C278" s="23" t="n">
        <v>2274</v>
      </c>
      <c r="D278" s="23" t="inlineStr">
        <is>
          <t>0401006002</t>
        </is>
      </c>
      <c r="E278" s="11" t="inlineStr">
        <is>
          <t>Region IV-A (CALABARZON)</t>
        </is>
      </c>
      <c r="F278" s="11" t="inlineStr">
        <is>
          <t>Batangas</t>
        </is>
      </c>
      <c r="G278" s="11" t="inlineStr">
        <is>
          <t>Bauan</t>
        </is>
      </c>
      <c r="H278" s="11" t="inlineStr">
        <is>
          <t>Aplaya</t>
        </is>
      </c>
      <c r="I278" s="24" t="n">
        <v>13.779948</v>
      </c>
      <c r="J278" s="24" t="n">
        <v>121.008562</v>
      </c>
      <c r="K278" s="23" t="inlineStr">
        <is>
          <t>U</t>
        </is>
      </c>
      <c r="L278" s="25" t="n">
        <v>8070</v>
      </c>
      <c r="M278" s="26" t="n">
        <v>3.6</v>
      </c>
      <c r="N278" s="25">
        <f>ROUND(L278/M278, 0)</f>
        <v/>
      </c>
      <c r="O278" s="25">
        <f>ROUND(N278*'Methodology &amp; Assumptions'!$B$7, 0)</f>
        <v/>
      </c>
      <c r="P278" s="23" t="inlineStr">
        <is>
          <t>Single Carrier (Band n50, 100MHz TDD)</t>
        </is>
      </c>
      <c r="Q278" s="27">
        <f>ROUNDUP(O278/'Methodology &amp; Assumptions'!$B$8, 0)</f>
        <v/>
      </c>
      <c r="R278" s="27" t="n">
        <v>1</v>
      </c>
      <c r="S278" s="26" t="n">
        <v>1.74</v>
      </c>
      <c r="T278" s="26" t="n">
        <v>1.21</v>
      </c>
      <c r="U278" s="11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26" t="n">
        <v>74.91</v>
      </c>
      <c r="W278" s="26" t="n">
        <v>48.59</v>
      </c>
      <c r="X278" s="26">
        <f>ROUND(('Methodology &amp; Assumptions'!$B$5*V278) + ('Methodology &amp; Assumptions'!$B$6*W278), 2)</f>
        <v/>
      </c>
      <c r="Y278" s="28" t="n">
        <v>7.2</v>
      </c>
      <c r="Z278" s="11" t="inlineStr">
        <is>
          <t>Priority Tier 2 (Balanced Opportunity)</t>
        </is>
      </c>
    </row>
    <row r="279">
      <c r="A279" s="23" t="n">
        <v>3</v>
      </c>
      <c r="B279" s="23" t="n">
        <v>275</v>
      </c>
      <c r="C279" s="23" t="n">
        <v>2275</v>
      </c>
      <c r="D279" s="23" t="inlineStr">
        <is>
          <t>1380500001</t>
        </is>
      </c>
      <c r="E279" s="11" t="inlineStr">
        <is>
          <t>National Capital Region (NCR)</t>
        </is>
      </c>
      <c r="F279" s="11" t="inlineStr">
        <is>
          <t>Second District (Not a Province)</t>
        </is>
      </c>
      <c r="G279" s="11" t="inlineStr">
        <is>
          <t>City of Mandaluyong</t>
        </is>
      </c>
      <c r="H279" s="11" t="inlineStr">
        <is>
          <t>Addition Hills</t>
        </is>
      </c>
      <c r="I279" s="24" t="n">
        <v>14.5856</v>
      </c>
      <c r="J279" s="24" t="n">
        <v>121.038</v>
      </c>
      <c r="K279" s="23" t="inlineStr">
        <is>
          <t>U</t>
        </is>
      </c>
      <c r="L279" s="25" t="n">
        <v>110493</v>
      </c>
      <c r="M279" s="26" t="n">
        <v>3.77</v>
      </c>
      <c r="N279" s="25">
        <f>ROUND(L279/M279, 0)</f>
        <v/>
      </c>
      <c r="O279" s="25">
        <f>ROUND(N279*'Methodology &amp; Assumptions'!$B$7, 0)</f>
        <v/>
      </c>
      <c r="P279" s="23" t="inlineStr">
        <is>
          <t>Single Carrier (Band n50, 100MHz TDD)</t>
        </is>
      </c>
      <c r="Q279" s="27">
        <f>ROUNDUP(O279/'Methodology &amp; Assumptions'!$B$8, 0)</f>
        <v/>
      </c>
      <c r="R279" s="27" t="n">
        <v>1</v>
      </c>
      <c r="S279" s="26" t="n">
        <v>0.41</v>
      </c>
      <c r="T279" s="26" t="n">
        <v>0.42</v>
      </c>
      <c r="U279" s="11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26" t="n">
        <v>64.67</v>
      </c>
      <c r="W279" s="26" t="n">
        <v>58.82</v>
      </c>
      <c r="X279" s="26">
        <f>ROUND(('Methodology &amp; Assumptions'!$B$5*V279) + ('Methodology &amp; Assumptions'!$B$6*W279), 2)</f>
        <v/>
      </c>
      <c r="Y279" s="28" t="n">
        <v>10.9</v>
      </c>
      <c r="Z279" s="11" t="inlineStr">
        <is>
          <t>Priority Tier 2 (Balanced Opportunity)</t>
        </is>
      </c>
    </row>
    <row r="280">
      <c r="A280" s="23" t="n">
        <v>3</v>
      </c>
      <c r="B280" s="23" t="n">
        <v>276</v>
      </c>
      <c r="C280" s="23" t="n">
        <v>2276</v>
      </c>
      <c r="D280" s="23" t="inlineStr">
        <is>
          <t>1381100111</t>
        </is>
      </c>
      <c r="E280" s="11" t="inlineStr">
        <is>
          <t>National Capital Region (NCR)</t>
        </is>
      </c>
      <c r="F280" s="11" t="inlineStr">
        <is>
          <t>Fourth District (Not a Province)</t>
        </is>
      </c>
      <c r="G280" s="11" t="inlineStr">
        <is>
          <t>Pasay City</t>
        </is>
      </c>
      <c r="H280" s="11" t="inlineStr">
        <is>
          <t>Barangay 111</t>
        </is>
      </c>
      <c r="I280" s="24" t="n">
        <v>14.544258</v>
      </c>
      <c r="J280" s="24" t="n">
        <v>121.00279</v>
      </c>
      <c r="K280" s="23" t="inlineStr">
        <is>
          <t>U</t>
        </is>
      </c>
      <c r="L280" s="25" t="n">
        <v>1316</v>
      </c>
      <c r="M280" s="26" t="n">
        <v>3.25</v>
      </c>
      <c r="N280" s="25">
        <f>ROUND(L280/M280, 0)</f>
        <v/>
      </c>
      <c r="O280" s="25">
        <f>ROUND(N280*'Methodology &amp; Assumptions'!$B$7, 0)</f>
        <v/>
      </c>
      <c r="P280" s="23" t="inlineStr">
        <is>
          <t>Single Carrier (Band n50, 100MHz TDD)</t>
        </is>
      </c>
      <c r="Q280" s="27">
        <f>ROUNDUP(O280/'Methodology &amp; Assumptions'!$B$8, 0)</f>
        <v/>
      </c>
      <c r="R280" s="27" t="n">
        <v>1</v>
      </c>
      <c r="S280" s="26" t="n">
        <v>0.9</v>
      </c>
      <c r="T280" s="26" t="n">
        <v>0.39</v>
      </c>
      <c r="U280" s="11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26" t="n">
        <v>53.94</v>
      </c>
      <c r="W280" s="26" t="n">
        <v>69.56999999999999</v>
      </c>
      <c r="X280" s="26">
        <f>ROUND(('Methodology &amp; Assumptions'!$B$5*V280) + ('Methodology &amp; Assumptions'!$B$6*W280), 2)</f>
        <v/>
      </c>
      <c r="Y280" s="28" t="n">
        <v>10.9</v>
      </c>
      <c r="Z280" s="11" t="inlineStr">
        <is>
          <t>Priority Tier 2 (Balanced Opportunity)</t>
        </is>
      </c>
    </row>
    <row r="281">
      <c r="A281" s="23" t="n">
        <v>3</v>
      </c>
      <c r="B281" s="23" t="n">
        <v>277</v>
      </c>
      <c r="C281" s="23" t="n">
        <v>2277</v>
      </c>
      <c r="D281" s="23" t="inlineStr">
        <is>
          <t>1408103008</t>
        </is>
      </c>
      <c r="E281" s="11" t="inlineStr">
        <is>
          <t>Cordillera Administrative Region (CAR)</t>
        </is>
      </c>
      <c r="F281" s="11" t="inlineStr">
        <is>
          <t>Apayao</t>
        </is>
      </c>
      <c r="G281" s="11" t="inlineStr">
        <is>
          <t>Flora</t>
        </is>
      </c>
      <c r="H281" s="11" t="inlineStr">
        <is>
          <t>Malayugan</t>
        </is>
      </c>
      <c r="I281" s="24" t="n">
        <v>18.052148</v>
      </c>
      <c r="J281" s="24" t="n">
        <v>121.421357</v>
      </c>
      <c r="K281" s="23" t="inlineStr">
        <is>
          <t>R</t>
        </is>
      </c>
      <c r="L281" s="25" t="n">
        <v>1277</v>
      </c>
      <c r="M281" s="26" t="n">
        <v>4.2</v>
      </c>
      <c r="N281" s="25">
        <f>ROUND(L281/M281, 0)</f>
        <v/>
      </c>
      <c r="O281" s="25">
        <f>ROUND(N281*'Methodology &amp; Assumptions'!$B$7, 0)</f>
        <v/>
      </c>
      <c r="P281" s="23" t="inlineStr">
        <is>
          <t>Single Carrier (Band n50, 100MHz TDD)</t>
        </is>
      </c>
      <c r="Q281" s="27">
        <f>ROUNDUP(O281/'Methodology &amp; Assumptions'!$B$8, 0)</f>
        <v/>
      </c>
      <c r="R281" s="27" t="n">
        <v>1</v>
      </c>
      <c r="S281" s="26" t="n">
        <v>11.4</v>
      </c>
      <c r="T281" s="26" t="n">
        <v>8.91</v>
      </c>
      <c r="U281" s="11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26" t="n">
        <v>45.71</v>
      </c>
      <c r="W281" s="26" t="n">
        <v>77.79000000000001</v>
      </c>
      <c r="X281" s="26">
        <f>ROUND(('Methodology &amp; Assumptions'!$B$5*V281) + ('Methodology &amp; Assumptions'!$B$6*W281), 2)</f>
        <v/>
      </c>
      <c r="Y281" s="28" t="n">
        <v>10.9</v>
      </c>
      <c r="Z281" s="11" t="inlineStr">
        <is>
          <t>Priority Tier 2 (Balanced Opportunity)</t>
        </is>
      </c>
    </row>
    <row r="282">
      <c r="A282" s="23" t="n">
        <v>3</v>
      </c>
      <c r="B282" s="23" t="n">
        <v>278</v>
      </c>
      <c r="C282" s="23" t="n">
        <v>2278</v>
      </c>
      <c r="D282" s="23" t="inlineStr">
        <is>
          <t>0405630011</t>
        </is>
      </c>
      <c r="E282" s="11" t="inlineStr">
        <is>
          <t>Region IV-A (CALABARZON)</t>
        </is>
      </c>
      <c r="F282" s="11" t="inlineStr">
        <is>
          <t>Quezon</t>
        </is>
      </c>
      <c r="G282" s="11" t="inlineStr">
        <is>
          <t>Pagbilao</t>
        </is>
      </c>
      <c r="H282" s="11" t="inlineStr">
        <is>
          <t>Ikirin</t>
        </is>
      </c>
      <c r="I282" s="24" t="n">
        <v>13.976194</v>
      </c>
      <c r="J282" s="24" t="n">
        <v>121.690327</v>
      </c>
      <c r="K282" s="23" t="inlineStr">
        <is>
          <t>U</t>
        </is>
      </c>
      <c r="L282" s="25" t="n">
        <v>3271</v>
      </c>
      <c r="M282" s="26" t="n">
        <v>3.8</v>
      </c>
      <c r="N282" s="25">
        <f>ROUND(L282/M282, 0)</f>
        <v/>
      </c>
      <c r="O282" s="25">
        <f>ROUND(N282*'Methodology &amp; Assumptions'!$B$7, 0)</f>
        <v/>
      </c>
      <c r="P282" s="23" t="inlineStr">
        <is>
          <t>Single Carrier (Band n50, 100MHz TDD)</t>
        </is>
      </c>
      <c r="Q282" s="27">
        <f>ROUNDUP(O282/'Methodology &amp; Assumptions'!$B$8, 0)</f>
        <v/>
      </c>
      <c r="R282" s="27" t="n">
        <v>1</v>
      </c>
      <c r="S282" s="26" t="n">
        <v>1.03</v>
      </c>
      <c r="T282" s="26" t="n">
        <v>0.34</v>
      </c>
      <c r="U282" s="11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26" t="n">
        <v>77.53</v>
      </c>
      <c r="W282" s="26" t="n">
        <v>45.95</v>
      </c>
      <c r="X282" s="26">
        <f>ROUND(('Methodology &amp; Assumptions'!$B$5*V282) + ('Methodology &amp; Assumptions'!$B$6*W282), 2)</f>
        <v/>
      </c>
      <c r="Y282" s="28" t="n">
        <v>7.2</v>
      </c>
      <c r="Z282" s="11" t="inlineStr">
        <is>
          <t>Priority Tier 2 (Balanced Opportunity)</t>
        </is>
      </c>
    </row>
    <row r="283">
      <c r="A283" s="23" t="n">
        <v>3</v>
      </c>
      <c r="B283" s="23" t="n">
        <v>279</v>
      </c>
      <c r="C283" s="23" t="n">
        <v>2279</v>
      </c>
      <c r="D283" s="23" t="inlineStr">
        <is>
          <t>0401029051</t>
        </is>
      </c>
      <c r="E283" s="11" t="inlineStr">
        <is>
          <t>Region IV-A (CALABARZON)</t>
        </is>
      </c>
      <c r="F283" s="11" t="inlineStr">
        <is>
          <t>Batangas</t>
        </is>
      </c>
      <c r="G283" s="11" t="inlineStr">
        <is>
          <t>Taal</t>
        </is>
      </c>
      <c r="H283" s="11" t="inlineStr">
        <is>
          <t>Poblacion 14</t>
        </is>
      </c>
      <c r="I283" s="24" t="n">
        <v>13.881835</v>
      </c>
      <c r="J283" s="24" t="n">
        <v>120.922728</v>
      </c>
      <c r="K283" s="23" t="inlineStr">
        <is>
          <t>R</t>
        </is>
      </c>
      <c r="L283" s="25" t="n">
        <v>512</v>
      </c>
      <c r="M283" s="26" t="n">
        <v>3.6</v>
      </c>
      <c r="N283" s="25">
        <f>ROUND(L283/M283, 0)</f>
        <v/>
      </c>
      <c r="O283" s="25">
        <f>ROUND(N283*'Methodology &amp; Assumptions'!$B$7, 0)</f>
        <v/>
      </c>
      <c r="P283" s="23" t="inlineStr">
        <is>
          <t>Single Carrier (Band n50, 100MHz TDD)</t>
        </is>
      </c>
      <c r="Q283" s="27">
        <f>ROUNDUP(O283/'Methodology &amp; Assumptions'!$B$8, 0)</f>
        <v/>
      </c>
      <c r="R283" s="27" t="n">
        <v>1</v>
      </c>
      <c r="S283" s="26" t="n">
        <v>0.91</v>
      </c>
      <c r="T283" s="26" t="n">
        <v>1.53</v>
      </c>
      <c r="U283" s="11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26" t="n">
        <v>63.25</v>
      </c>
      <c r="W283" s="26" t="n">
        <v>60.22</v>
      </c>
      <c r="X283" s="26">
        <f>ROUND(('Methodology &amp; Assumptions'!$B$5*V283) + ('Methodology &amp; Assumptions'!$B$6*W283), 2)</f>
        <v/>
      </c>
      <c r="Y283" s="28" t="n">
        <v>7.2</v>
      </c>
      <c r="Z283" s="11" t="inlineStr">
        <is>
          <t>Priority Tier 2 (Balanced Opportunity)</t>
        </is>
      </c>
    </row>
    <row r="284">
      <c r="A284" s="23" t="n">
        <v>3</v>
      </c>
      <c r="B284" s="23" t="n">
        <v>280</v>
      </c>
      <c r="C284" s="23" t="n">
        <v>2280</v>
      </c>
      <c r="D284" s="23" t="inlineStr">
        <is>
          <t>1908705008</t>
        </is>
      </c>
      <c r="E284" s="11" t="inlineStr">
        <is>
          <t>Bangsamoro Autonomous Region In Muslim Mindanao (BARMM)</t>
        </is>
      </c>
      <c r="F284" s="11" t="inlineStr">
        <is>
          <t>Maguindanao del Norte</t>
        </is>
      </c>
      <c r="G284" s="11" t="inlineStr">
        <is>
          <t>Datu Odin Sinsuat</t>
        </is>
      </c>
      <c r="H284" s="11" t="inlineStr">
        <is>
          <t>Bongued</t>
        </is>
      </c>
      <c r="I284" s="24" t="n">
        <v>7.045541</v>
      </c>
      <c r="J284" s="24" t="n">
        <v>124.356017</v>
      </c>
      <c r="K284" s="23" t="inlineStr">
        <is>
          <t>R</t>
        </is>
      </c>
      <c r="L284" s="25" t="n">
        <v>4061</v>
      </c>
      <c r="M284" s="26" t="n">
        <v>4.3</v>
      </c>
      <c r="N284" s="25">
        <f>ROUND(L284/M284, 0)</f>
        <v/>
      </c>
      <c r="O284" s="25">
        <f>ROUND(N284*'Methodology &amp; Assumptions'!$B$7, 0)</f>
        <v/>
      </c>
      <c r="P284" s="23" t="inlineStr">
        <is>
          <t>Single Carrier (Band n50, 100MHz TDD)</t>
        </is>
      </c>
      <c r="Q284" s="27">
        <f>ROUNDUP(O284/'Methodology &amp; Assumptions'!$B$8, 0)</f>
        <v/>
      </c>
      <c r="R284" s="27" t="n">
        <v>1</v>
      </c>
      <c r="S284" s="26" t="n">
        <v>51.68</v>
      </c>
      <c r="T284" s="26" t="n">
        <v>50.25</v>
      </c>
      <c r="U284" s="11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26" t="n">
        <v>59.06</v>
      </c>
      <c r="W284" s="26" t="n">
        <v>64.43000000000001</v>
      </c>
      <c r="X284" s="26">
        <f>ROUND(('Methodology &amp; Assumptions'!$B$5*V284) + ('Methodology &amp; Assumptions'!$B$6*W284), 2)</f>
        <v/>
      </c>
      <c r="Y284" s="28" t="n">
        <v>11</v>
      </c>
      <c r="Z284" s="11" t="inlineStr">
        <is>
          <t>Priority Tier 2 (Balanced Opportunity)</t>
        </is>
      </c>
    </row>
    <row r="285">
      <c r="A285" s="23" t="n">
        <v>3</v>
      </c>
      <c r="B285" s="23" t="n">
        <v>281</v>
      </c>
      <c r="C285" s="23" t="n">
        <v>2281</v>
      </c>
      <c r="D285" s="23" t="inlineStr">
        <is>
          <t>1908705004</t>
        </is>
      </c>
      <c r="E285" s="11" t="inlineStr">
        <is>
          <t>Bangsamoro Autonomous Region In Muslim Mindanao (BARMM)</t>
        </is>
      </c>
      <c r="F285" s="11" t="inlineStr">
        <is>
          <t>Maguindanao del Norte</t>
        </is>
      </c>
      <c r="G285" s="11" t="inlineStr">
        <is>
          <t>Datu Odin Sinsuat</t>
        </is>
      </c>
      <c r="H285" s="11" t="inlineStr">
        <is>
          <t>Bagoenged</t>
        </is>
      </c>
      <c r="I285" s="24" t="n">
        <v>6.985576</v>
      </c>
      <c r="J285" s="24" t="n">
        <v>124.281054</v>
      </c>
      <c r="K285" s="23" t="inlineStr">
        <is>
          <t>R</t>
        </is>
      </c>
      <c r="L285" s="25" t="n">
        <v>4600</v>
      </c>
      <c r="M285" s="26" t="n">
        <v>4.3</v>
      </c>
      <c r="N285" s="25">
        <f>ROUND(L285/M285, 0)</f>
        <v/>
      </c>
      <c r="O285" s="25">
        <f>ROUND(N285*'Methodology &amp; Assumptions'!$B$7, 0)</f>
        <v/>
      </c>
      <c r="P285" s="23" t="inlineStr">
        <is>
          <t>Single Carrier (Band n50, 100MHz TDD)</t>
        </is>
      </c>
      <c r="Q285" s="27">
        <f>ROUNDUP(O285/'Methodology &amp; Assumptions'!$B$8, 0)</f>
        <v/>
      </c>
      <c r="R285" s="27" t="n">
        <v>1</v>
      </c>
      <c r="S285" s="26" t="n">
        <v>54.41</v>
      </c>
      <c r="T285" s="26" t="n">
        <v>54.34</v>
      </c>
      <c r="U285" s="11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26" t="n">
        <v>59.06</v>
      </c>
      <c r="W285" s="26" t="n">
        <v>64.42</v>
      </c>
      <c r="X285" s="26">
        <f>ROUND(('Methodology &amp; Assumptions'!$B$5*V285) + ('Methodology &amp; Assumptions'!$B$6*W285), 2)</f>
        <v/>
      </c>
      <c r="Y285" s="28" t="n">
        <v>11</v>
      </c>
      <c r="Z285" s="11" t="inlineStr">
        <is>
          <t>Priority Tier 2 (Balanced Opportunity)</t>
        </is>
      </c>
    </row>
    <row r="286">
      <c r="A286" s="23" t="n">
        <v>3</v>
      </c>
      <c r="B286" s="23" t="n">
        <v>282</v>
      </c>
      <c r="C286" s="23" t="n">
        <v>2282</v>
      </c>
      <c r="D286" s="23" t="inlineStr">
        <is>
          <t>1401112011</t>
        </is>
      </c>
      <c r="E286" s="11" t="inlineStr">
        <is>
          <t>Cordillera Administrative Region (CAR)</t>
        </is>
      </c>
      <c r="F286" s="11" t="inlineStr">
        <is>
          <t>Benguet</t>
        </is>
      </c>
      <c r="G286" s="11" t="inlineStr">
        <is>
          <t>Sablan</t>
        </is>
      </c>
      <c r="H286" s="11" t="inlineStr">
        <is>
          <t>Poblacion</t>
        </is>
      </c>
      <c r="I286" s="24" t="n">
        <v>16.49731</v>
      </c>
      <c r="J286" s="24" t="n">
        <v>120.48723</v>
      </c>
      <c r="K286" s="23" t="inlineStr">
        <is>
          <t>R</t>
        </is>
      </c>
      <c r="L286" s="25" t="n">
        <v>2816</v>
      </c>
      <c r="M286" s="26" t="n">
        <v>3.5</v>
      </c>
      <c r="N286" s="25">
        <f>ROUND(L286/M286, 0)</f>
        <v/>
      </c>
      <c r="O286" s="25">
        <f>ROUND(N286*'Methodology &amp; Assumptions'!$B$7, 0)</f>
        <v/>
      </c>
      <c r="P286" s="23" t="inlineStr">
        <is>
          <t>Single Carrier (Band n50, 100MHz TDD)</t>
        </is>
      </c>
      <c r="Q286" s="27">
        <f>ROUNDUP(O286/'Methodology &amp; Assumptions'!$B$8, 0)</f>
        <v/>
      </c>
      <c r="R286" s="27" t="n">
        <v>1</v>
      </c>
      <c r="S286" s="26" t="n">
        <v>0.22</v>
      </c>
      <c r="T286" s="26" t="n">
        <v>0.04</v>
      </c>
      <c r="U286" s="11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26" t="n">
        <v>86.59</v>
      </c>
      <c r="W286" s="26" t="n">
        <v>36.88</v>
      </c>
      <c r="X286" s="26">
        <f>ROUND(('Methodology &amp; Assumptions'!$B$5*V286) + ('Methodology &amp; Assumptions'!$B$6*W286), 2)</f>
        <v/>
      </c>
      <c r="Y286" s="28" t="n">
        <v>10.9</v>
      </c>
      <c r="Z286" s="11" t="inlineStr">
        <is>
          <t>Priority Tier 2 (Balanced Opportunity)</t>
        </is>
      </c>
    </row>
    <row r="287">
      <c r="A287" s="23" t="n">
        <v>3</v>
      </c>
      <c r="B287" s="23" t="n">
        <v>283</v>
      </c>
      <c r="C287" s="23" t="n">
        <v>2283</v>
      </c>
      <c r="D287" s="23" t="inlineStr">
        <is>
          <t>0403429013</t>
        </is>
      </c>
      <c r="E287" s="11" t="inlineStr">
        <is>
          <t>Region IV-A (CALABARZON)</t>
        </is>
      </c>
      <c r="F287" s="11" t="inlineStr">
        <is>
          <t>Laguna</t>
        </is>
      </c>
      <c r="G287" s="11" t="inlineStr">
        <is>
          <t>Siniloan</t>
        </is>
      </c>
      <c r="H287" s="11" t="inlineStr">
        <is>
          <t>Pandeno</t>
        </is>
      </c>
      <c r="I287" s="24" t="n">
        <v>14.416121</v>
      </c>
      <c r="J287" s="24" t="n">
        <v>121.443155</v>
      </c>
      <c r="K287" s="23" t="inlineStr">
        <is>
          <t>R</t>
        </is>
      </c>
      <c r="L287" s="25" t="n">
        <v>3808</v>
      </c>
      <c r="M287" s="26" t="n">
        <v>3.3</v>
      </c>
      <c r="N287" s="25">
        <f>ROUND(L287/M287, 0)</f>
        <v/>
      </c>
      <c r="O287" s="25">
        <f>ROUND(N287*'Methodology &amp; Assumptions'!$B$7, 0)</f>
        <v/>
      </c>
      <c r="P287" s="23" t="inlineStr">
        <is>
          <t>Single Carrier (Band n50, 100MHz TDD)</t>
        </is>
      </c>
      <c r="Q287" s="27">
        <f>ROUNDUP(O287/'Methodology &amp; Assumptions'!$B$8, 0)</f>
        <v/>
      </c>
      <c r="R287" s="27" t="n">
        <v>1</v>
      </c>
      <c r="S287" s="26" t="n">
        <v>2.28</v>
      </c>
      <c r="T287" s="26" t="n">
        <v>2.09</v>
      </c>
      <c r="U287" s="11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26" t="n">
        <v>76.78</v>
      </c>
      <c r="W287" s="26" t="n">
        <v>46.67</v>
      </c>
      <c r="X287" s="26">
        <f>ROUND(('Methodology &amp; Assumptions'!$B$5*V287) + ('Methodology &amp; Assumptions'!$B$6*W287), 2)</f>
        <v/>
      </c>
      <c r="Y287" s="28" t="n">
        <v>7.2</v>
      </c>
      <c r="Z287" s="11" t="inlineStr">
        <is>
          <t>Priority Tier 2 (Balanced Opportunity)</t>
        </is>
      </c>
    </row>
    <row r="288">
      <c r="A288" s="23" t="n">
        <v>3</v>
      </c>
      <c r="B288" s="23" t="n">
        <v>284</v>
      </c>
      <c r="C288" s="23" t="n">
        <v>2284</v>
      </c>
      <c r="D288" s="23" t="inlineStr">
        <is>
          <t>0301419001</t>
        </is>
      </c>
      <c r="E288" s="11" t="inlineStr">
        <is>
          <t>Region III (Central Luzon)</t>
        </is>
      </c>
      <c r="F288" s="11" t="inlineStr">
        <is>
          <t>Bulacan</t>
        </is>
      </c>
      <c r="G288" s="11" t="inlineStr">
        <is>
          <t>San Ildefonso</t>
        </is>
      </c>
      <c r="H288" s="11" t="inlineStr">
        <is>
          <t>Akle</t>
        </is>
      </c>
      <c r="I288" s="24" t="n">
        <v>15.049722</v>
      </c>
      <c r="J288" s="24" t="n">
        <v>121.0706</v>
      </c>
      <c r="K288" s="23" t="inlineStr">
        <is>
          <t>U</t>
        </is>
      </c>
      <c r="L288" s="25" t="n">
        <v>4864</v>
      </c>
      <c r="M288" s="26" t="n">
        <v>3.5</v>
      </c>
      <c r="N288" s="25">
        <f>ROUND(L288/M288, 0)</f>
        <v/>
      </c>
      <c r="O288" s="25">
        <f>ROUND(N288*'Methodology &amp; Assumptions'!$B$7, 0)</f>
        <v/>
      </c>
      <c r="P288" s="23" t="inlineStr">
        <is>
          <t>Single Carrier (Band n50, 100MHz TDD)</t>
        </is>
      </c>
      <c r="Q288" s="27">
        <f>ROUNDUP(O288/'Methodology &amp; Assumptions'!$B$8, 0)</f>
        <v/>
      </c>
      <c r="R288" s="27" t="n">
        <v>1</v>
      </c>
      <c r="S288" s="26" t="n">
        <v>0.47</v>
      </c>
      <c r="T288" s="26" t="n">
        <v>6.37</v>
      </c>
      <c r="U288" s="11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26" t="n">
        <v>76.45</v>
      </c>
      <c r="W288" s="26" t="n">
        <v>47.01</v>
      </c>
      <c r="X288" s="26">
        <f>ROUND(('Methodology &amp; Assumptions'!$B$5*V288) + ('Methodology &amp; Assumptions'!$B$6*W288), 2)</f>
        <v/>
      </c>
      <c r="Y288" s="28" t="n">
        <v>8.300000000000001</v>
      </c>
      <c r="Z288" s="11" t="inlineStr">
        <is>
          <t>Priority Tier 2 (Balanced Opportunity)</t>
        </is>
      </c>
    </row>
    <row r="289">
      <c r="A289" s="23" t="n">
        <v>3</v>
      </c>
      <c r="B289" s="23" t="n">
        <v>285</v>
      </c>
      <c r="C289" s="23" t="n">
        <v>2285</v>
      </c>
      <c r="D289" s="23" t="inlineStr">
        <is>
          <t>1908816008</t>
        </is>
      </c>
      <c r="E289" s="11" t="inlineStr">
        <is>
          <t>Bangsamoro Autonomous Region In Muslim Mindanao (BARMM)</t>
        </is>
      </c>
      <c r="F289" s="11" t="inlineStr">
        <is>
          <t>Maguindanao del Sur</t>
        </is>
      </c>
      <c r="G289" s="11" t="inlineStr">
        <is>
          <t>Pagalungan</t>
        </is>
      </c>
      <c r="H289" s="11" t="inlineStr">
        <is>
          <t>Kilangan</t>
        </is>
      </c>
      <c r="I289" s="24" t="n">
        <v>6.999027</v>
      </c>
      <c r="J289" s="24" t="n">
        <v>124.749218</v>
      </c>
      <c r="K289" s="23" t="inlineStr">
        <is>
          <t>U</t>
        </is>
      </c>
      <c r="L289" s="25" t="n">
        <v>6210</v>
      </c>
      <c r="M289" s="26" t="n">
        <v>4.7</v>
      </c>
      <c r="N289" s="25">
        <f>ROUND(L289/M289, 0)</f>
        <v/>
      </c>
      <c r="O289" s="25">
        <f>ROUND(N289*'Methodology &amp; Assumptions'!$B$7, 0)</f>
        <v/>
      </c>
      <c r="P289" s="23" t="inlineStr">
        <is>
          <t>Single Carrier (Band n50, 100MHz TDD)</t>
        </is>
      </c>
      <c r="Q289" s="27">
        <f>ROUNDUP(O289/'Methodology &amp; Assumptions'!$B$8, 0)</f>
        <v/>
      </c>
      <c r="R289" s="27" t="n">
        <v>1</v>
      </c>
      <c r="S289" s="26" t="n">
        <v>23.25</v>
      </c>
      <c r="T289" s="26" t="n">
        <v>14.17</v>
      </c>
      <c r="U289" s="11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26" t="n">
        <v>51.86</v>
      </c>
      <c r="W289" s="26" t="n">
        <v>71.59999999999999</v>
      </c>
      <c r="X289" s="26">
        <f>ROUND(('Methodology &amp; Assumptions'!$B$5*V289) + ('Methodology &amp; Assumptions'!$B$6*W289), 2)</f>
        <v/>
      </c>
      <c r="Y289" s="28" t="n">
        <v>11</v>
      </c>
      <c r="Z289" s="11" t="inlineStr">
        <is>
          <t>Priority Tier 2 (Balanced Opportunity)</t>
        </is>
      </c>
    </row>
    <row r="290">
      <c r="A290" s="23" t="n">
        <v>3</v>
      </c>
      <c r="B290" s="23" t="n">
        <v>286</v>
      </c>
      <c r="C290" s="23" t="n">
        <v>2286</v>
      </c>
      <c r="D290" s="23" t="inlineStr">
        <is>
          <t>1906614014</t>
        </is>
      </c>
      <c r="E290" s="11" t="inlineStr">
        <is>
          <t>Bangsamoro Autonomous Region In Muslim Mindanao (BARMM)</t>
        </is>
      </c>
      <c r="F290" s="11" t="inlineStr">
        <is>
          <t>Sulu</t>
        </is>
      </c>
      <c r="G290" s="11" t="inlineStr">
        <is>
          <t>Tapul</t>
        </is>
      </c>
      <c r="H290" s="11" t="inlineStr">
        <is>
          <t>Kalang</t>
        </is>
      </c>
      <c r="I290" s="24" t="n">
        <v>5.704838</v>
      </c>
      <c r="J290" s="24" t="n">
        <v>120.881778</v>
      </c>
      <c r="K290" s="23" t="inlineStr">
        <is>
          <t>R</t>
        </is>
      </c>
      <c r="L290" s="25" t="n">
        <v>3332</v>
      </c>
      <c r="M290" s="26" t="n">
        <v>6</v>
      </c>
      <c r="N290" s="25">
        <f>ROUND(L290/M290, 0)</f>
        <v/>
      </c>
      <c r="O290" s="25">
        <f>ROUND(N290*'Methodology &amp; Assumptions'!$B$7, 0)</f>
        <v/>
      </c>
      <c r="P290" s="23" t="inlineStr">
        <is>
          <t>Single Carrier (Band n50, 100MHz TDD)</t>
        </is>
      </c>
      <c r="Q290" s="27">
        <f>ROUNDUP(O290/'Methodology &amp; Assumptions'!$B$8, 0)</f>
        <v/>
      </c>
      <c r="R290" s="27" t="n">
        <v>1</v>
      </c>
      <c r="S290" s="26" t="n">
        <v>187.94</v>
      </c>
      <c r="T290" s="26" t="n">
        <v>187.94</v>
      </c>
      <c r="U290" s="11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26" t="n">
        <v>51.46</v>
      </c>
      <c r="W290" s="26" t="n">
        <v>72</v>
      </c>
      <c r="X290" s="26">
        <f>ROUND(('Methodology &amp; Assumptions'!$B$5*V290) + ('Methodology &amp; Assumptions'!$B$6*W290), 2)</f>
        <v/>
      </c>
      <c r="Y290" s="28" t="n">
        <v>11</v>
      </c>
      <c r="Z290" s="11" t="inlineStr">
        <is>
          <t>Priority Tier 2 (Balanced Opportunity)</t>
        </is>
      </c>
    </row>
    <row r="291">
      <c r="A291" s="23" t="n">
        <v>3</v>
      </c>
      <c r="B291" s="23" t="n">
        <v>287</v>
      </c>
      <c r="C291" s="23" t="n">
        <v>2287</v>
      </c>
      <c r="D291" s="23" t="inlineStr">
        <is>
          <t>0305415018</t>
        </is>
      </c>
      <c r="E291" s="11" t="inlineStr">
        <is>
          <t>Region III (Central Luzon)</t>
        </is>
      </c>
      <c r="F291" s="11" t="inlineStr">
        <is>
          <t>Pampanga</t>
        </is>
      </c>
      <c r="G291" s="11" t="inlineStr">
        <is>
          <t>Porac</t>
        </is>
      </c>
      <c r="H291" s="11" t="inlineStr">
        <is>
          <t>Manibaug Paralaya</t>
        </is>
      </c>
      <c r="I291" s="24" t="n">
        <v>15.11332</v>
      </c>
      <c r="J291" s="24" t="n">
        <v>120.5661</v>
      </c>
      <c r="K291" s="23" t="inlineStr">
        <is>
          <t>U</t>
        </is>
      </c>
      <c r="L291" s="25" t="n">
        <v>14310</v>
      </c>
      <c r="M291" s="26" t="n">
        <v>4</v>
      </c>
      <c r="N291" s="25">
        <f>ROUND(L291/M291, 0)</f>
        <v/>
      </c>
      <c r="O291" s="25">
        <f>ROUND(N291*'Methodology &amp; Assumptions'!$B$7, 0)</f>
        <v/>
      </c>
      <c r="P291" s="23" t="inlineStr">
        <is>
          <t>Single Carrier (Band n50, 100MHz TDD)</t>
        </is>
      </c>
      <c r="Q291" s="27">
        <f>ROUNDUP(O291/'Methodology &amp; Assumptions'!$B$8, 0)</f>
        <v/>
      </c>
      <c r="R291" s="27" t="n">
        <v>1</v>
      </c>
      <c r="S291" s="26" t="n">
        <v>0.71</v>
      </c>
      <c r="T291" s="26" t="n">
        <v>0.26</v>
      </c>
      <c r="U291" s="11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26" t="n">
        <v>78.43000000000001</v>
      </c>
      <c r="W291" s="26" t="n">
        <v>45.01</v>
      </c>
      <c r="X291" s="26">
        <f>ROUND(('Methodology &amp; Assumptions'!$B$5*V291) + ('Methodology &amp; Assumptions'!$B$6*W291), 2)</f>
        <v/>
      </c>
      <c r="Y291" s="28" t="n">
        <v>8.300000000000001</v>
      </c>
      <c r="Z291" s="11" t="inlineStr">
        <is>
          <t>Priority Tier 2 (Balanced Opportunity)</t>
        </is>
      </c>
    </row>
    <row r="292">
      <c r="A292" s="23" t="n">
        <v>3</v>
      </c>
      <c r="B292" s="23" t="n">
        <v>288</v>
      </c>
      <c r="C292" s="23" t="n">
        <v>2288</v>
      </c>
      <c r="D292" s="23" t="inlineStr">
        <is>
          <t>1381100195</t>
        </is>
      </c>
      <c r="E292" s="11" t="inlineStr">
        <is>
          <t>National Capital Region (NCR)</t>
        </is>
      </c>
      <c r="F292" s="11" t="inlineStr">
        <is>
          <t>Fourth District (Not a Province)</t>
        </is>
      </c>
      <c r="G292" s="11" t="inlineStr">
        <is>
          <t>Pasay City</t>
        </is>
      </c>
      <c r="H292" s="11" t="inlineStr">
        <is>
          <t>Barangay 195</t>
        </is>
      </c>
      <c r="I292" s="24" t="n">
        <v>14.512038</v>
      </c>
      <c r="J292" s="24" t="n">
        <v>121.00547</v>
      </c>
      <c r="K292" s="23" t="inlineStr">
        <is>
          <t>U</t>
        </is>
      </c>
      <c r="L292" s="25" t="n">
        <v>2512</v>
      </c>
      <c r="M292" s="26" t="n">
        <v>3.91</v>
      </c>
      <c r="N292" s="25">
        <f>ROUND(L292/M292, 0)</f>
        <v/>
      </c>
      <c r="O292" s="25">
        <f>ROUND(N292*'Methodology &amp; Assumptions'!$B$7, 0)</f>
        <v/>
      </c>
      <c r="P292" s="23" t="inlineStr">
        <is>
          <t>Single Carrier (Band n50, 100MHz TDD)</t>
        </is>
      </c>
      <c r="Q292" s="27">
        <f>ROUNDUP(O292/'Methodology &amp; Assumptions'!$B$8, 0)</f>
        <v/>
      </c>
      <c r="R292" s="27" t="n">
        <v>1</v>
      </c>
      <c r="S292" s="26" t="n">
        <v>0.82</v>
      </c>
      <c r="T292" s="26" t="n">
        <v>0.7</v>
      </c>
      <c r="U292" s="11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26" t="n">
        <v>61.77</v>
      </c>
      <c r="W292" s="26" t="n">
        <v>61.67</v>
      </c>
      <c r="X292" s="26">
        <f>ROUND(('Methodology &amp; Assumptions'!$B$5*V292) + ('Methodology &amp; Assumptions'!$B$6*W292), 2)</f>
        <v/>
      </c>
      <c r="Y292" s="28" t="n">
        <v>10.9</v>
      </c>
      <c r="Z292" s="11" t="inlineStr">
        <is>
          <t>Priority Tier 2 (Balanced Opportunity)</t>
        </is>
      </c>
    </row>
    <row r="293">
      <c r="A293" s="23" t="n">
        <v>3</v>
      </c>
      <c r="B293" s="23" t="n">
        <v>289</v>
      </c>
      <c r="C293" s="23" t="n">
        <v>2289</v>
      </c>
      <c r="D293" s="23" t="inlineStr">
        <is>
          <t>1908707001</t>
        </is>
      </c>
      <c r="E293" s="11" t="inlineStr">
        <is>
          <t>Bangsamoro Autonomous Region In Muslim Mindanao (BARMM)</t>
        </is>
      </c>
      <c r="F293" s="11" t="inlineStr">
        <is>
          <t>Maguindanao del Norte</t>
        </is>
      </c>
      <c r="G293" s="11" t="inlineStr">
        <is>
          <t>Matanog</t>
        </is>
      </c>
      <c r="H293" s="11" t="inlineStr">
        <is>
          <t>Bayanga Norte</t>
        </is>
      </c>
      <c r="I293" s="24" t="n">
        <v>7.465996</v>
      </c>
      <c r="J293" s="24" t="n">
        <v>124.236602</v>
      </c>
      <c r="K293" s="23" t="inlineStr">
        <is>
          <t>R</t>
        </is>
      </c>
      <c r="L293" s="25" t="n">
        <v>9210</v>
      </c>
      <c r="M293" s="26" t="n">
        <v>4.3</v>
      </c>
      <c r="N293" s="25">
        <f>ROUND(L293/M293, 0)</f>
        <v/>
      </c>
      <c r="O293" s="25">
        <f>ROUND(N293*'Methodology &amp; Assumptions'!$B$7, 0)</f>
        <v/>
      </c>
      <c r="P293" s="23" t="inlineStr">
        <is>
          <t>Single Carrier (Band n50, 100MHz TDD)</t>
        </is>
      </c>
      <c r="Q293" s="27">
        <f>ROUNDUP(O293/'Methodology &amp; Assumptions'!$B$8, 0)</f>
        <v/>
      </c>
      <c r="R293" s="27" t="n">
        <v>1</v>
      </c>
      <c r="S293" s="26" t="n">
        <v>60.63</v>
      </c>
      <c r="T293" s="26" t="n">
        <v>58.92</v>
      </c>
      <c r="U293" s="11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26" t="n">
        <v>59.06</v>
      </c>
      <c r="W293" s="26" t="n">
        <v>64.38</v>
      </c>
      <c r="X293" s="26">
        <f>ROUND(('Methodology &amp; Assumptions'!$B$5*V293) + ('Methodology &amp; Assumptions'!$B$6*W293), 2)</f>
        <v/>
      </c>
      <c r="Y293" s="28" t="n">
        <v>11</v>
      </c>
      <c r="Z293" s="11" t="inlineStr">
        <is>
          <t>Priority Tier 2 (Balanced Opportunity)</t>
        </is>
      </c>
    </row>
    <row r="294">
      <c r="A294" s="23" t="n">
        <v>3</v>
      </c>
      <c r="B294" s="23" t="n">
        <v>290</v>
      </c>
      <c r="C294" s="23" t="n">
        <v>2290</v>
      </c>
      <c r="D294" s="23" t="inlineStr">
        <is>
          <t>1380605054</t>
        </is>
      </c>
      <c r="E294" s="11" t="inlineStr">
        <is>
          <t>National Capital Region (NCR)</t>
        </is>
      </c>
      <c r="F294" s="11" t="inlineStr">
        <is>
          <t>First District (Not a Province)</t>
        </is>
      </c>
      <c r="G294" s="11" t="inlineStr">
        <is>
          <t>City of Manila</t>
        </is>
      </c>
      <c r="H294" s="11" t="inlineStr">
        <is>
          <t>Barangay 352</t>
        </is>
      </c>
      <c r="I294" s="24" t="n">
        <v>14.617165</v>
      </c>
      <c r="J294" s="24" t="n">
        <v>120.988453</v>
      </c>
      <c r="K294" s="23" t="inlineStr">
        <is>
          <t>U</t>
        </is>
      </c>
      <c r="L294" s="25" t="n">
        <v>1401</v>
      </c>
      <c r="M294" s="26" t="n">
        <v>3.7</v>
      </c>
      <c r="N294" s="25">
        <f>ROUND(L294/M294, 0)</f>
        <v/>
      </c>
      <c r="O294" s="25">
        <f>ROUND(N294*'Methodology &amp; Assumptions'!$B$7, 0)</f>
        <v/>
      </c>
      <c r="P294" s="23" t="inlineStr">
        <is>
          <t>Single Carrier (Band n50, 100MHz TDD)</t>
        </is>
      </c>
      <c r="Q294" s="27">
        <f>ROUNDUP(O294/'Methodology &amp; Assumptions'!$B$8, 0)</f>
        <v/>
      </c>
      <c r="R294" s="27" t="n">
        <v>1</v>
      </c>
      <c r="S294" s="26" t="n">
        <v>0.61</v>
      </c>
      <c r="T294" s="26" t="n">
        <v>0.59</v>
      </c>
      <c r="U294" s="11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26" t="n">
        <v>53.3</v>
      </c>
      <c r="W294" s="26" t="n">
        <v>70.13</v>
      </c>
      <c r="X294" s="26">
        <f>ROUND(('Methodology &amp; Assumptions'!$B$5*V294) + ('Methodology &amp; Assumptions'!$B$6*W294), 2)</f>
        <v/>
      </c>
      <c r="Y294" s="28" t="n">
        <v>10.9</v>
      </c>
      <c r="Z294" s="11" t="inlineStr">
        <is>
          <t>Priority Tier 2 (Balanced Opportunity)</t>
        </is>
      </c>
    </row>
    <row r="295">
      <c r="A295" s="23" t="n">
        <v>3</v>
      </c>
      <c r="B295" s="23" t="n">
        <v>291</v>
      </c>
      <c r="C295" s="23" t="n">
        <v>2291</v>
      </c>
      <c r="D295" s="23" t="inlineStr">
        <is>
          <t>1908705024</t>
        </is>
      </c>
      <c r="E295" s="11" t="inlineStr">
        <is>
          <t>Bangsamoro Autonomous Region In Muslim Mindanao (BARMM)</t>
        </is>
      </c>
      <c r="F295" s="11" t="inlineStr">
        <is>
          <t>Maguindanao del Norte</t>
        </is>
      </c>
      <c r="G295" s="11" t="inlineStr">
        <is>
          <t>Datu Odin Sinsuat</t>
        </is>
      </c>
      <c r="H295" s="11" t="inlineStr">
        <is>
          <t>Nekitan</t>
        </is>
      </c>
      <c r="I295" s="24" t="n">
        <v>7.033274</v>
      </c>
      <c r="J295" s="24" t="n">
        <v>124.283832</v>
      </c>
      <c r="K295" s="23" t="inlineStr">
        <is>
          <t>R</t>
        </is>
      </c>
      <c r="L295" s="25" t="n">
        <v>4632</v>
      </c>
      <c r="M295" s="26" t="n">
        <v>4.3</v>
      </c>
      <c r="N295" s="25">
        <f>ROUND(L295/M295, 0)</f>
        <v/>
      </c>
      <c r="O295" s="25">
        <f>ROUND(N295*'Methodology &amp; Assumptions'!$B$7, 0)</f>
        <v/>
      </c>
      <c r="P295" s="23" t="inlineStr">
        <is>
          <t>Single Carrier (Band n50, 100MHz TDD)</t>
        </is>
      </c>
      <c r="Q295" s="27">
        <f>ROUNDUP(O295/'Methodology &amp; Assumptions'!$B$8, 0)</f>
        <v/>
      </c>
      <c r="R295" s="27" t="n">
        <v>1</v>
      </c>
      <c r="S295" s="26" t="n">
        <v>57.54</v>
      </c>
      <c r="T295" s="26" t="n">
        <v>57.47</v>
      </c>
      <c r="U295" s="11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26" t="n">
        <v>59.06</v>
      </c>
      <c r="W295" s="26" t="n">
        <v>64.37</v>
      </c>
      <c r="X295" s="26">
        <f>ROUND(('Methodology &amp; Assumptions'!$B$5*V295) + ('Methodology &amp; Assumptions'!$B$6*W295), 2)</f>
        <v/>
      </c>
      <c r="Y295" s="28" t="n">
        <v>11</v>
      </c>
      <c r="Z295" s="11" t="inlineStr">
        <is>
          <t>Priority Tier 2 (Balanced Opportunity)</t>
        </is>
      </c>
    </row>
    <row r="296">
      <c r="A296" s="23" t="n">
        <v>3</v>
      </c>
      <c r="B296" s="23" t="n">
        <v>292</v>
      </c>
      <c r="C296" s="23" t="n">
        <v>2292</v>
      </c>
      <c r="D296" s="23" t="inlineStr">
        <is>
          <t>1380601228</t>
        </is>
      </c>
      <c r="E296" s="11" t="inlineStr">
        <is>
          <t>National Capital Region (NCR)</t>
        </is>
      </c>
      <c r="F296" s="11" t="inlineStr">
        <is>
          <t>First District (Not a Province)</t>
        </is>
      </c>
      <c r="G296" s="11" t="inlineStr">
        <is>
          <t>City of Manila</t>
        </is>
      </c>
      <c r="H296" s="11" t="inlineStr">
        <is>
          <t>Barangay 227</t>
        </is>
      </c>
      <c r="I296" s="24" t="n">
        <v>14.62127</v>
      </c>
      <c r="J296" s="24" t="n">
        <v>120.977</v>
      </c>
      <c r="K296" s="23" t="inlineStr">
        <is>
          <t>U</t>
        </is>
      </c>
      <c r="L296" s="25" t="n">
        <v>1726</v>
      </c>
      <c r="M296" s="26" t="n">
        <v>4.6</v>
      </c>
      <c r="N296" s="25">
        <f>ROUND(L296/M296, 0)</f>
        <v/>
      </c>
      <c r="O296" s="25">
        <f>ROUND(N296*'Methodology &amp; Assumptions'!$B$7, 0)</f>
        <v/>
      </c>
      <c r="P296" s="23" t="inlineStr">
        <is>
          <t>Single Carrier (Band n50, 100MHz TDD)</t>
        </is>
      </c>
      <c r="Q296" s="27">
        <f>ROUNDUP(O296/'Methodology &amp; Assumptions'!$B$8, 0)</f>
        <v/>
      </c>
      <c r="R296" s="27" t="n">
        <v>1</v>
      </c>
      <c r="S296" s="26" t="n">
        <v>0.74</v>
      </c>
      <c r="T296" s="26" t="n">
        <v>0.15</v>
      </c>
      <c r="U296" s="11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26" t="n">
        <v>53.09</v>
      </c>
      <c r="W296" s="26" t="n">
        <v>70.34</v>
      </c>
      <c r="X296" s="26">
        <f>ROUND(('Methodology &amp; Assumptions'!$B$5*V296) + ('Methodology &amp; Assumptions'!$B$6*W296), 2)</f>
        <v/>
      </c>
      <c r="Y296" s="28" t="n">
        <v>10.9</v>
      </c>
      <c r="Z296" s="11" t="inlineStr">
        <is>
          <t>Priority Tier 2 (Balanced Opportunity)</t>
        </is>
      </c>
    </row>
    <row r="297">
      <c r="A297" s="23" t="n">
        <v>3</v>
      </c>
      <c r="B297" s="23" t="n">
        <v>293</v>
      </c>
      <c r="C297" s="23" t="n">
        <v>2293</v>
      </c>
      <c r="D297" s="23" t="inlineStr">
        <is>
          <t>0304919017</t>
        </is>
      </c>
      <c r="E297" s="11" t="inlineStr">
        <is>
          <t>Region III (Central Luzon)</t>
        </is>
      </c>
      <c r="F297" s="11" t="inlineStr">
        <is>
          <t>Nueva Ecija</t>
        </is>
      </c>
      <c r="G297" s="11" t="inlineStr">
        <is>
          <t>City of Palayan</t>
        </is>
      </c>
      <c r="H297" s="11" t="inlineStr">
        <is>
          <t>Imelda Valley</t>
        </is>
      </c>
      <c r="I297" s="24" t="n">
        <v>15.585783</v>
      </c>
      <c r="J297" s="24" t="n">
        <v>120.924577</v>
      </c>
      <c r="K297" s="23" t="inlineStr">
        <is>
          <t>R</t>
        </is>
      </c>
      <c r="L297" s="25" t="n">
        <v>2830</v>
      </c>
      <c r="M297" s="26" t="n">
        <v>3.5</v>
      </c>
      <c r="N297" s="25">
        <f>ROUND(L297/M297, 0)</f>
        <v/>
      </c>
      <c r="O297" s="25">
        <f>ROUND(N297*'Methodology &amp; Assumptions'!$B$7, 0)</f>
        <v/>
      </c>
      <c r="P297" s="23" t="inlineStr">
        <is>
          <t>Single Carrier (Band n50, 100MHz TDD)</t>
        </is>
      </c>
      <c r="Q297" s="27">
        <f>ROUNDUP(O297/'Methodology &amp; Assumptions'!$B$8, 0)</f>
        <v/>
      </c>
      <c r="R297" s="27" t="n">
        <v>1</v>
      </c>
      <c r="S297" s="26" t="n">
        <v>0.71</v>
      </c>
      <c r="T297" s="26" t="n">
        <v>0.52</v>
      </c>
      <c r="U297" s="11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26" t="n">
        <v>85.34</v>
      </c>
      <c r="W297" s="26" t="n">
        <v>38.05</v>
      </c>
      <c r="X297" s="26">
        <f>ROUND(('Methodology &amp; Assumptions'!$B$5*V297) + ('Methodology &amp; Assumptions'!$B$6*W297), 2)</f>
        <v/>
      </c>
      <c r="Y297" s="28" t="n">
        <v>8.300000000000001</v>
      </c>
      <c r="Z297" s="11" t="inlineStr">
        <is>
          <t>Priority Tier 2 (Balanced Opportunity)</t>
        </is>
      </c>
    </row>
    <row r="298">
      <c r="A298" s="23" t="n">
        <v>3</v>
      </c>
      <c r="B298" s="23" t="n">
        <v>294</v>
      </c>
      <c r="C298" s="23" t="n">
        <v>2294</v>
      </c>
      <c r="D298" s="23" t="inlineStr">
        <is>
          <t>1380200003</t>
        </is>
      </c>
      <c r="E298" s="11" t="inlineStr">
        <is>
          <t>National Capital Region (NCR)</t>
        </is>
      </c>
      <c r="F298" s="11" t="inlineStr">
        <is>
          <t>Fourth District (Not a Province)</t>
        </is>
      </c>
      <c r="G298" s="11" t="inlineStr">
        <is>
          <t>City of Las Piñas</t>
        </is>
      </c>
      <c r="H298" s="11" t="inlineStr">
        <is>
          <t>Elias Aldana</t>
        </is>
      </c>
      <c r="I298" s="24" t="n">
        <v>14.477722</v>
      </c>
      <c r="J298" s="24" t="n">
        <v>120.979893</v>
      </c>
      <c r="K298" s="23" t="inlineStr">
        <is>
          <t>U</t>
        </is>
      </c>
      <c r="L298" s="25" t="n">
        <v>11758</v>
      </c>
      <c r="M298" s="26" t="n">
        <v>3.64</v>
      </c>
      <c r="N298" s="25">
        <f>ROUND(L298/M298, 0)</f>
        <v/>
      </c>
      <c r="O298" s="25">
        <f>ROUND(N298*'Methodology &amp; Assumptions'!$B$7, 0)</f>
        <v/>
      </c>
      <c r="P298" s="23" t="inlineStr">
        <is>
          <t>Single Carrier (Band n50, 100MHz TDD)</t>
        </is>
      </c>
      <c r="Q298" s="27">
        <f>ROUNDUP(O298/'Methodology &amp; Assumptions'!$B$8, 0)</f>
        <v/>
      </c>
      <c r="R298" s="27" t="n">
        <v>1</v>
      </c>
      <c r="S298" s="26" t="n">
        <v>1.53</v>
      </c>
      <c r="T298" s="26" t="n">
        <v>0.11</v>
      </c>
      <c r="U298" s="11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26" t="n">
        <v>66.48999999999999</v>
      </c>
      <c r="W298" s="26" t="n">
        <v>56.91</v>
      </c>
      <c r="X298" s="26">
        <f>ROUND(('Methodology &amp; Assumptions'!$B$5*V298) + ('Methodology &amp; Assumptions'!$B$6*W298), 2)</f>
        <v/>
      </c>
      <c r="Y298" s="28" t="n">
        <v>10.9</v>
      </c>
      <c r="Z298" s="11" t="inlineStr">
        <is>
          <t>Priority Tier 2 (Balanced Opportunity)</t>
        </is>
      </c>
    </row>
    <row r="299">
      <c r="A299" s="23" t="n">
        <v>3</v>
      </c>
      <c r="B299" s="23" t="n">
        <v>295</v>
      </c>
      <c r="C299" s="23" t="n">
        <v>2295</v>
      </c>
      <c r="D299" s="23" t="inlineStr">
        <is>
          <t>1402711003</t>
        </is>
      </c>
      <c r="E299" s="11" t="inlineStr">
        <is>
          <t>Cordillera Administrative Region (CAR)</t>
        </is>
      </c>
      <c r="F299" s="11" t="inlineStr">
        <is>
          <t>Ifugao</t>
        </is>
      </c>
      <c r="G299" s="11" t="inlineStr">
        <is>
          <t>Asipulo</t>
        </is>
      </c>
      <c r="H299" s="11" t="inlineStr">
        <is>
          <t>Camandag</t>
        </is>
      </c>
      <c r="I299" s="24" t="n">
        <v>16.61547</v>
      </c>
      <c r="J299" s="24" t="n">
        <v>121.04882</v>
      </c>
      <c r="K299" s="23" t="inlineStr">
        <is>
          <t>R</t>
        </is>
      </c>
      <c r="L299" s="25" t="n">
        <v>4217</v>
      </c>
      <c r="M299" s="26" t="n">
        <v>3.9</v>
      </c>
      <c r="N299" s="25">
        <f>ROUND(L299/M299, 0)</f>
        <v/>
      </c>
      <c r="O299" s="25">
        <f>ROUND(N299*'Methodology &amp; Assumptions'!$B$7, 0)</f>
        <v/>
      </c>
      <c r="P299" s="23" t="inlineStr">
        <is>
          <t>Single Carrier (Band n50, 100MHz TDD)</t>
        </is>
      </c>
      <c r="Q299" s="27">
        <f>ROUNDUP(O299/'Methodology &amp; Assumptions'!$B$8, 0)</f>
        <v/>
      </c>
      <c r="R299" s="27" t="n">
        <v>1</v>
      </c>
      <c r="S299" s="26" t="n">
        <v>15.41</v>
      </c>
      <c r="T299" s="26" t="n">
        <v>16.85</v>
      </c>
      <c r="U299" s="11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26" t="n">
        <v>63.42</v>
      </c>
      <c r="W299" s="26" t="n">
        <v>59.98</v>
      </c>
      <c r="X299" s="26">
        <f>ROUND(('Methodology &amp; Assumptions'!$B$5*V299) + ('Methodology &amp; Assumptions'!$B$6*W299), 2)</f>
        <v/>
      </c>
      <c r="Y299" s="28" t="n">
        <v>10.9</v>
      </c>
      <c r="Z299" s="11" t="inlineStr">
        <is>
          <t>Priority Tier 2 (Balanced Opportunity)</t>
        </is>
      </c>
    </row>
    <row r="300">
      <c r="A300" s="23" t="n">
        <v>3</v>
      </c>
      <c r="B300" s="23" t="n">
        <v>296</v>
      </c>
      <c r="C300" s="23" t="n">
        <v>2296</v>
      </c>
      <c r="D300" s="23" t="inlineStr">
        <is>
          <t>1380606013</t>
        </is>
      </c>
      <c r="E300" s="11" t="inlineStr">
        <is>
          <t>National Capital Region (NCR)</t>
        </is>
      </c>
      <c r="F300" s="11" t="inlineStr">
        <is>
          <t>First District (Not a Province)</t>
        </is>
      </c>
      <c r="G300" s="11" t="inlineStr">
        <is>
          <t>City of Manila</t>
        </is>
      </c>
      <c r="H300" s="11" t="inlineStr">
        <is>
          <t>Barangay 407</t>
        </is>
      </c>
      <c r="I300" s="24" t="n">
        <v>14.603783</v>
      </c>
      <c r="J300" s="24" t="n">
        <v>120.995192</v>
      </c>
      <c r="K300" s="23" t="inlineStr">
        <is>
          <t>U</t>
        </is>
      </c>
      <c r="L300" s="25" t="n">
        <v>2637</v>
      </c>
      <c r="M300" s="26" t="n">
        <v>6.15</v>
      </c>
      <c r="N300" s="25">
        <f>ROUND(L300/M300, 0)</f>
        <v/>
      </c>
      <c r="O300" s="25">
        <f>ROUND(N300*'Methodology &amp; Assumptions'!$B$7, 0)</f>
        <v/>
      </c>
      <c r="P300" s="23" t="inlineStr">
        <is>
          <t>Single Carrier (Band n50, 100MHz TDD)</t>
        </is>
      </c>
      <c r="Q300" s="27">
        <f>ROUNDUP(O300/'Methodology &amp; Assumptions'!$B$8, 0)</f>
        <v/>
      </c>
      <c r="R300" s="27" t="n">
        <v>1</v>
      </c>
      <c r="S300" s="26" t="n">
        <v>0.44</v>
      </c>
      <c r="T300" s="26" t="n">
        <v>0.28</v>
      </c>
      <c r="U300" s="11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26" t="n">
        <v>54.91</v>
      </c>
      <c r="W300" s="26" t="n">
        <v>68.48999999999999</v>
      </c>
      <c r="X300" s="26">
        <f>ROUND(('Methodology &amp; Assumptions'!$B$5*V300) + ('Methodology &amp; Assumptions'!$B$6*W300), 2)</f>
        <v/>
      </c>
      <c r="Y300" s="28" t="n">
        <v>10.9</v>
      </c>
      <c r="Z300" s="11" t="inlineStr">
        <is>
          <t>Priority Tier 2 (Balanced Opportunity)</t>
        </is>
      </c>
    </row>
    <row r="301">
      <c r="A301" s="23" t="n">
        <v>3</v>
      </c>
      <c r="B301" s="23" t="n">
        <v>297</v>
      </c>
      <c r="C301" s="23" t="n">
        <v>2297</v>
      </c>
      <c r="D301" s="23" t="inlineStr">
        <is>
          <t>1380601159</t>
        </is>
      </c>
      <c r="E301" s="11" t="inlineStr">
        <is>
          <t>National Capital Region (NCR)</t>
        </is>
      </c>
      <c r="F301" s="11" t="inlineStr">
        <is>
          <t>First District (Not a Province)</t>
        </is>
      </c>
      <c r="G301" s="11" t="inlineStr">
        <is>
          <t>City of Manila</t>
        </is>
      </c>
      <c r="H301" s="11" t="inlineStr">
        <is>
          <t>Barangay 159</t>
        </is>
      </c>
      <c r="I301" s="24" t="n">
        <v>14.619078</v>
      </c>
      <c r="J301" s="24" t="n">
        <v>120.973925</v>
      </c>
      <c r="K301" s="23" t="inlineStr">
        <is>
          <t>U</t>
        </is>
      </c>
      <c r="L301" s="25" t="n">
        <v>1595</v>
      </c>
      <c r="M301" s="26" t="n">
        <v>4.08</v>
      </c>
      <c r="N301" s="25">
        <f>ROUND(L301/M301, 0)</f>
        <v/>
      </c>
      <c r="O301" s="25">
        <f>ROUND(N301*'Methodology &amp; Assumptions'!$B$7, 0)</f>
        <v/>
      </c>
      <c r="P301" s="23" t="inlineStr">
        <is>
          <t>Single Carrier (Band n50, 100MHz TDD)</t>
        </is>
      </c>
      <c r="Q301" s="27">
        <f>ROUNDUP(O301/'Methodology &amp; Assumptions'!$B$8, 0)</f>
        <v/>
      </c>
      <c r="R301" s="27" t="n">
        <v>1</v>
      </c>
      <c r="S301" s="26" t="n">
        <v>0.87</v>
      </c>
      <c r="T301" s="26" t="n">
        <v>0.37</v>
      </c>
      <c r="U301" s="11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26" t="n">
        <v>53.53</v>
      </c>
      <c r="W301" s="26" t="n">
        <v>69.88</v>
      </c>
      <c r="X301" s="26">
        <f>ROUND(('Methodology &amp; Assumptions'!$B$5*V301) + ('Methodology &amp; Assumptions'!$B$6*W301), 2)</f>
        <v/>
      </c>
      <c r="Y301" s="28" t="n">
        <v>10.9</v>
      </c>
      <c r="Z301" s="11" t="inlineStr">
        <is>
          <t>Priority Tier 2 (Balanced Opportunity)</t>
        </is>
      </c>
    </row>
    <row r="302">
      <c r="A302" s="23" t="n">
        <v>3</v>
      </c>
      <c r="B302" s="23" t="n">
        <v>298</v>
      </c>
      <c r="C302" s="23" t="n">
        <v>2298</v>
      </c>
      <c r="D302" s="23" t="inlineStr">
        <is>
          <t>1380606201</t>
        </is>
      </c>
      <c r="E302" s="11" t="inlineStr">
        <is>
          <t>National Capital Region (NCR)</t>
        </is>
      </c>
      <c r="F302" s="11" t="inlineStr">
        <is>
          <t>First District (Not a Province)</t>
        </is>
      </c>
      <c r="G302" s="11" t="inlineStr">
        <is>
          <t>City of Manila</t>
        </is>
      </c>
      <c r="H302" s="11" t="inlineStr">
        <is>
          <t>Barangay 594</t>
        </is>
      </c>
      <c r="I302" s="24" t="n">
        <v>14.603317</v>
      </c>
      <c r="J302" s="24" t="n">
        <v>121.016846</v>
      </c>
      <c r="K302" s="23" t="inlineStr">
        <is>
          <t>U</t>
        </is>
      </c>
      <c r="L302" s="25" t="n">
        <v>686</v>
      </c>
      <c r="M302" s="26" t="n">
        <v>3.67</v>
      </c>
      <c r="N302" s="25">
        <f>ROUND(L302/M302, 0)</f>
        <v/>
      </c>
      <c r="O302" s="25">
        <f>ROUND(N302*'Methodology &amp; Assumptions'!$B$7, 0)</f>
        <v/>
      </c>
      <c r="P302" s="23" t="inlineStr">
        <is>
          <t>Single Carrier (Band n50, 100MHz TDD)</t>
        </is>
      </c>
      <c r="Q302" s="27">
        <f>ROUNDUP(O302/'Methodology &amp; Assumptions'!$B$8, 0)</f>
        <v/>
      </c>
      <c r="R302" s="27" t="n">
        <v>1</v>
      </c>
      <c r="S302" s="26" t="n">
        <v>1.33</v>
      </c>
      <c r="T302" s="26" t="n">
        <v>0.11</v>
      </c>
      <c r="U302" s="11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26" t="n">
        <v>45.22</v>
      </c>
      <c r="W302" s="26" t="n">
        <v>78.18000000000001</v>
      </c>
      <c r="X302" s="26">
        <f>ROUND(('Methodology &amp; Assumptions'!$B$5*V302) + ('Methodology &amp; Assumptions'!$B$6*W302), 2)</f>
        <v/>
      </c>
      <c r="Y302" s="28" t="n">
        <v>10.9</v>
      </c>
      <c r="Z302" s="11" t="inlineStr">
        <is>
          <t>Priority Tier 2 (Balanced Opportunity)</t>
        </is>
      </c>
    </row>
    <row r="303">
      <c r="A303" s="23" t="n">
        <v>3</v>
      </c>
      <c r="B303" s="23" t="n">
        <v>299</v>
      </c>
      <c r="C303" s="23" t="n">
        <v>2299</v>
      </c>
      <c r="D303" s="23" t="inlineStr">
        <is>
          <t>0305415031</t>
        </is>
      </c>
      <c r="E303" s="11" t="inlineStr">
        <is>
          <t>Region III (Central Luzon)</t>
        </is>
      </c>
      <c r="F303" s="11" t="inlineStr">
        <is>
          <t>Pampanga</t>
        </is>
      </c>
      <c r="G303" s="11" t="inlineStr">
        <is>
          <t>Porac</t>
        </is>
      </c>
      <c r="H303" s="11" t="inlineStr">
        <is>
          <t>Sta. Cruz</t>
        </is>
      </c>
      <c r="I303" s="24" t="n">
        <v>15.116199</v>
      </c>
      <c r="J303" s="24" t="n">
        <v>120.570594</v>
      </c>
      <c r="K303" s="23" t="inlineStr">
        <is>
          <t>U</t>
        </is>
      </c>
      <c r="L303" s="25" t="n">
        <v>19760</v>
      </c>
      <c r="M303" s="26" t="n">
        <v>4</v>
      </c>
      <c r="N303" s="25">
        <f>ROUND(L303/M303, 0)</f>
        <v/>
      </c>
      <c r="O303" s="25">
        <f>ROUND(N303*'Methodology &amp; Assumptions'!$B$7, 0)</f>
        <v/>
      </c>
      <c r="P303" s="23" t="inlineStr">
        <is>
          <t>Single Carrier (Band n50, 100MHz TDD)</t>
        </is>
      </c>
      <c r="Q303" s="27">
        <f>ROUNDUP(O303/'Methodology &amp; Assumptions'!$B$8, 0)</f>
        <v/>
      </c>
      <c r="R303" s="27" t="n">
        <v>1</v>
      </c>
      <c r="S303" s="26" t="n">
        <v>0.32</v>
      </c>
      <c r="T303" s="26" t="n">
        <v>0.26</v>
      </c>
      <c r="U303" s="11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26" t="n">
        <v>78.43000000000001</v>
      </c>
      <c r="W303" s="26" t="n">
        <v>44.94</v>
      </c>
      <c r="X303" s="26">
        <f>ROUND(('Methodology &amp; Assumptions'!$B$5*V303) + ('Methodology &amp; Assumptions'!$B$6*W303), 2)</f>
        <v/>
      </c>
      <c r="Y303" s="28" t="n">
        <v>8.300000000000001</v>
      </c>
      <c r="Z303" s="11" t="inlineStr">
        <is>
          <t>Priority Tier 2 (Balanced Opportunity)</t>
        </is>
      </c>
    </row>
    <row r="304">
      <c r="A304" s="23" t="n">
        <v>3</v>
      </c>
      <c r="B304" s="23" t="n">
        <v>300</v>
      </c>
      <c r="C304" s="23" t="n">
        <v>2300</v>
      </c>
      <c r="D304" s="23" t="inlineStr">
        <is>
          <t>0601905013</t>
        </is>
      </c>
      <c r="E304" s="11" t="inlineStr">
        <is>
          <t>Region VI (Western Visayas)</t>
        </is>
      </c>
      <c r="F304" s="11" t="inlineStr">
        <is>
          <t>Capiz</t>
        </is>
      </c>
      <c r="G304" s="11" t="inlineStr">
        <is>
          <t>Ivisan</t>
        </is>
      </c>
      <c r="H304" s="11" t="inlineStr">
        <is>
          <t>Poblacion Norte</t>
        </is>
      </c>
      <c r="I304" s="24" t="n">
        <v>11.521118</v>
      </c>
      <c r="J304" s="24" t="n">
        <v>122.692011</v>
      </c>
      <c r="K304" s="23" t="inlineStr">
        <is>
          <t>R</t>
        </is>
      </c>
      <c r="L304" s="25" t="n">
        <v>2776</v>
      </c>
      <c r="M304" s="26" t="n">
        <v>3.8</v>
      </c>
      <c r="N304" s="25">
        <f>ROUND(L304/M304, 0)</f>
        <v/>
      </c>
      <c r="O304" s="25">
        <f>ROUND(N304*'Methodology &amp; Assumptions'!$B$7, 0)</f>
        <v/>
      </c>
      <c r="P304" s="23" t="inlineStr">
        <is>
          <t>Single Carrier (Band n50, 100MHz TDD)</t>
        </is>
      </c>
      <c r="Q304" s="27">
        <f>ROUNDUP(O304/'Methodology &amp; Assumptions'!$B$8, 0)</f>
        <v/>
      </c>
      <c r="R304" s="27" t="n">
        <v>1</v>
      </c>
      <c r="S304" s="26" t="n">
        <v>0.22</v>
      </c>
      <c r="T304" s="26" t="n">
        <v>0.09</v>
      </c>
      <c r="U304" s="11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26" t="n">
        <v>83.66</v>
      </c>
      <c r="W304" s="26" t="n">
        <v>39.69</v>
      </c>
      <c r="X304" s="26">
        <f>ROUND(('Methodology &amp; Assumptions'!$B$5*V304) + ('Methodology &amp; Assumptions'!$B$6*W304), 2)</f>
        <v/>
      </c>
      <c r="Y304" s="28" t="n">
        <v>23.7</v>
      </c>
      <c r="Z304" s="11" t="inlineStr">
        <is>
          <t>Priority Tier 2 (Balanced Opportunity)</t>
        </is>
      </c>
    </row>
    <row r="305">
      <c r="A305" s="23" t="n">
        <v>3</v>
      </c>
      <c r="B305" s="23" t="n">
        <v>301</v>
      </c>
      <c r="C305" s="23" t="n">
        <v>2301</v>
      </c>
      <c r="D305" s="23" t="inlineStr">
        <is>
          <t>0304902023</t>
        </is>
      </c>
      <c r="E305" s="11" t="inlineStr">
        <is>
          <t>Region III (Central Luzon)</t>
        </is>
      </c>
      <c r="F305" s="11" t="inlineStr">
        <is>
          <t>Nueva Ecija</t>
        </is>
      </c>
      <c r="G305" s="11" t="inlineStr">
        <is>
          <t>Bongabon</t>
        </is>
      </c>
      <c r="H305" s="11" t="inlineStr">
        <is>
          <t>Santor</t>
        </is>
      </c>
      <c r="I305" s="24" t="n">
        <v>15.633858</v>
      </c>
      <c r="J305" s="24" t="n">
        <v>121.142042</v>
      </c>
      <c r="K305" s="23" t="inlineStr">
        <is>
          <t>U</t>
        </is>
      </c>
      <c r="L305" s="25" t="n">
        <v>6590</v>
      </c>
      <c r="M305" s="26" t="n">
        <v>3.5</v>
      </c>
      <c r="N305" s="25">
        <f>ROUND(L305/M305, 0)</f>
        <v/>
      </c>
      <c r="O305" s="25">
        <f>ROUND(N305*'Methodology &amp; Assumptions'!$B$7, 0)</f>
        <v/>
      </c>
      <c r="P305" s="23" t="inlineStr">
        <is>
          <t>Single Carrier (Band n50, 100MHz TDD)</t>
        </is>
      </c>
      <c r="Q305" s="27">
        <f>ROUNDUP(O305/'Methodology &amp; Assumptions'!$B$8, 0)</f>
        <v/>
      </c>
      <c r="R305" s="27" t="n">
        <v>1</v>
      </c>
      <c r="S305" s="26" t="n">
        <v>1.19</v>
      </c>
      <c r="T305" s="26" t="n">
        <v>0.26</v>
      </c>
      <c r="U305" s="11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26" t="n">
        <v>77.09</v>
      </c>
      <c r="W305" s="26" t="n">
        <v>46.26</v>
      </c>
      <c r="X305" s="26">
        <f>ROUND(('Methodology &amp; Assumptions'!$B$5*V305) + ('Methodology &amp; Assumptions'!$B$6*W305), 2)</f>
        <v/>
      </c>
      <c r="Y305" s="28" t="n">
        <v>8.300000000000001</v>
      </c>
      <c r="Z305" s="11" t="inlineStr">
        <is>
          <t>Priority Tier 2 (Balanced Opportunity)</t>
        </is>
      </c>
    </row>
    <row r="306">
      <c r="A306" s="23" t="n">
        <v>3</v>
      </c>
      <c r="B306" s="23" t="n">
        <v>302</v>
      </c>
      <c r="C306" s="23" t="n">
        <v>2302</v>
      </c>
      <c r="D306" s="23" t="inlineStr">
        <is>
          <t>0403411014</t>
        </is>
      </c>
      <c r="E306" s="11" t="inlineStr">
        <is>
          <t>Region IV-A (CALABARZON)</t>
        </is>
      </c>
      <c r="F306" s="11" t="inlineStr">
        <is>
          <t>Laguna</t>
        </is>
      </c>
      <c r="G306" s="11" t="inlineStr">
        <is>
          <t>Los Baños</t>
        </is>
      </c>
      <c r="H306" s="11" t="inlineStr">
        <is>
          <t>Timugan</t>
        </is>
      </c>
      <c r="I306" s="24" t="n">
        <v>14.179407</v>
      </c>
      <c r="J306" s="24" t="n">
        <v>121.224542</v>
      </c>
      <c r="K306" s="23" t="inlineStr">
        <is>
          <t>U</t>
        </is>
      </c>
      <c r="L306" s="25" t="n">
        <v>6410</v>
      </c>
      <c r="M306" s="26" t="n">
        <v>3.3</v>
      </c>
      <c r="N306" s="25">
        <f>ROUND(L306/M306, 0)</f>
        <v/>
      </c>
      <c r="O306" s="25">
        <f>ROUND(N306*'Methodology &amp; Assumptions'!$B$7, 0)</f>
        <v/>
      </c>
      <c r="P306" s="23" t="inlineStr">
        <is>
          <t>Single Carrier (Band n50, 100MHz TDD)</t>
        </is>
      </c>
      <c r="Q306" s="27">
        <f>ROUNDUP(O306/'Methodology &amp; Assumptions'!$B$8, 0)</f>
        <v/>
      </c>
      <c r="R306" s="27" t="n">
        <v>1</v>
      </c>
      <c r="S306" s="26" t="n">
        <v>1.92</v>
      </c>
      <c r="T306" s="26" t="n">
        <v>0.01</v>
      </c>
      <c r="U306" s="11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26" t="n">
        <v>74.29000000000001</v>
      </c>
      <c r="W306" s="26" t="n">
        <v>49.07</v>
      </c>
      <c r="X306" s="26">
        <f>ROUND(('Methodology &amp; Assumptions'!$B$5*V306) + ('Methodology &amp; Assumptions'!$B$6*W306), 2)</f>
        <v/>
      </c>
      <c r="Y306" s="28" t="n">
        <v>7.2</v>
      </c>
      <c r="Z306" s="11" t="inlineStr">
        <is>
          <t>Priority Tier 2 (Balanced Opportunity)</t>
        </is>
      </c>
    </row>
    <row r="307">
      <c r="A307" s="23" t="n">
        <v>3</v>
      </c>
      <c r="B307" s="23" t="n">
        <v>303</v>
      </c>
      <c r="C307" s="23" t="n">
        <v>2303</v>
      </c>
      <c r="D307" s="23" t="inlineStr">
        <is>
          <t>0203104019</t>
        </is>
      </c>
      <c r="E307" s="11" t="inlineStr">
        <is>
          <t>Region II (Cagayan Valley)</t>
        </is>
      </c>
      <c r="F307" s="11" t="inlineStr">
        <is>
          <t>Isabela</t>
        </is>
      </c>
      <c r="G307" s="11" t="inlineStr">
        <is>
          <t>Benito Soliven</t>
        </is>
      </c>
      <c r="H307" s="11" t="inlineStr">
        <is>
          <t>San Francisco</t>
        </is>
      </c>
      <c r="I307" s="24" t="n">
        <v>16.934747</v>
      </c>
      <c r="J307" s="24" t="n">
        <v>121.924556</v>
      </c>
      <c r="K307" s="23" t="inlineStr">
        <is>
          <t>R</t>
        </is>
      </c>
      <c r="L307" s="25" t="n">
        <v>649</v>
      </c>
      <c r="M307" s="26" t="n">
        <v>3.8</v>
      </c>
      <c r="N307" s="25">
        <f>ROUND(L307/M307, 0)</f>
        <v/>
      </c>
      <c r="O307" s="25">
        <f>ROUND(N307*'Methodology &amp; Assumptions'!$B$7, 0)</f>
        <v/>
      </c>
      <c r="P307" s="23" t="inlineStr">
        <is>
          <t>Single Carrier (Band n50, 100MHz TDD)</t>
        </is>
      </c>
      <c r="Q307" s="27">
        <f>ROUNDUP(O307/'Methodology &amp; Assumptions'!$B$8, 0)</f>
        <v/>
      </c>
      <c r="R307" s="27" t="n">
        <v>1</v>
      </c>
      <c r="S307" s="26" t="n">
        <v>6.82</v>
      </c>
      <c r="T307" s="26" t="n">
        <v>12</v>
      </c>
      <c r="U307" s="11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26" t="n">
        <v>46.93</v>
      </c>
      <c r="W307" s="26" t="n">
        <v>76.44</v>
      </c>
      <c r="X307" s="26">
        <f>ROUND(('Methodology &amp; Assumptions'!$B$5*V307) + ('Methodology &amp; Assumptions'!$B$6*W307), 2)</f>
        <v/>
      </c>
      <c r="Y307" s="28" t="n">
        <v>8.300000000000001</v>
      </c>
      <c r="Z307" s="11" t="inlineStr">
        <is>
          <t>Priority Tier 2 (Balanced Opportunity)</t>
        </is>
      </c>
    </row>
    <row r="308">
      <c r="A308" s="23" t="n">
        <v>3</v>
      </c>
      <c r="B308" s="23" t="n">
        <v>304</v>
      </c>
      <c r="C308" s="23" t="n">
        <v>2304</v>
      </c>
      <c r="D308" s="23" t="inlineStr">
        <is>
          <t>0506204018</t>
        </is>
      </c>
      <c r="E308" s="11" t="inlineStr">
        <is>
          <t>Region V (Bicol Region)</t>
        </is>
      </c>
      <c r="F308" s="11" t="inlineStr">
        <is>
          <t>Sorsogon</t>
        </is>
      </c>
      <c r="G308" s="11" t="inlineStr">
        <is>
          <t>Bulusan</t>
        </is>
      </c>
      <c r="H308" s="11" t="inlineStr">
        <is>
          <t>San Jose</t>
        </is>
      </c>
      <c r="I308" s="24" t="n">
        <v>12.757015</v>
      </c>
      <c r="J308" s="24" t="n">
        <v>124.11271</v>
      </c>
      <c r="K308" s="23" t="inlineStr">
        <is>
          <t>R</t>
        </is>
      </c>
      <c r="L308" s="25" t="n">
        <v>1023</v>
      </c>
      <c r="M308" s="26" t="n">
        <v>4</v>
      </c>
      <c r="N308" s="25">
        <f>ROUND(L308/M308, 0)</f>
        <v/>
      </c>
      <c r="O308" s="25">
        <f>ROUND(N308*'Methodology &amp; Assumptions'!$B$7, 0)</f>
        <v/>
      </c>
      <c r="P308" s="23" t="inlineStr">
        <is>
          <t>Single Carrier (Band n50, 100MHz TDD)</t>
        </is>
      </c>
      <c r="Q308" s="27">
        <f>ROUNDUP(O308/'Methodology &amp; Assumptions'!$B$8, 0)</f>
        <v/>
      </c>
      <c r="R308" s="27" t="n">
        <v>1</v>
      </c>
      <c r="S308" s="26" t="n">
        <v>2.4</v>
      </c>
      <c r="T308" s="26" t="n">
        <v>1.26</v>
      </c>
      <c r="U308" s="11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26" t="n">
        <v>63.7</v>
      </c>
      <c r="W308" s="26" t="n">
        <v>59.62</v>
      </c>
      <c r="X308" s="26">
        <f>ROUND(('Methodology &amp; Assumptions'!$B$5*V308) + ('Methodology &amp; Assumptions'!$B$6*W308), 2)</f>
        <v/>
      </c>
      <c r="Y308" s="28" t="n">
        <v>23.7</v>
      </c>
      <c r="Z308" s="11" t="inlineStr">
        <is>
          <t>Priority Tier 2 (Balanced Opportunity)</t>
        </is>
      </c>
    </row>
    <row r="309">
      <c r="A309" s="23" t="n">
        <v>3</v>
      </c>
      <c r="B309" s="23" t="n">
        <v>305</v>
      </c>
      <c r="C309" s="23" t="n">
        <v>2305</v>
      </c>
      <c r="D309" s="23" t="inlineStr">
        <is>
          <t>1380606176</t>
        </is>
      </c>
      <c r="E309" s="11" t="inlineStr">
        <is>
          <t>National Capital Region (NCR)</t>
        </is>
      </c>
      <c r="F309" s="11" t="inlineStr">
        <is>
          <t>First District (Not a Province)</t>
        </is>
      </c>
      <c r="G309" s="11" t="inlineStr">
        <is>
          <t>City of Manila</t>
        </is>
      </c>
      <c r="H309" s="11" t="inlineStr">
        <is>
          <t>Barangay 570</t>
        </is>
      </c>
      <c r="I309" s="24" t="n">
        <v>14.603255</v>
      </c>
      <c r="J309" s="24" t="n">
        <v>121.007347</v>
      </c>
      <c r="K309" s="23" t="inlineStr">
        <is>
          <t>U</t>
        </is>
      </c>
      <c r="L309" s="25" t="n">
        <v>1897</v>
      </c>
      <c r="M309" s="26" t="n">
        <v>4.5</v>
      </c>
      <c r="N309" s="25">
        <f>ROUND(L309/M309, 0)</f>
        <v/>
      </c>
      <c r="O309" s="25">
        <f>ROUND(N309*'Methodology &amp; Assumptions'!$B$7, 0)</f>
        <v/>
      </c>
      <c r="P309" s="23" t="inlineStr">
        <is>
          <t>Single Carrier (Band n50, 100MHz TDD)</t>
        </is>
      </c>
      <c r="Q309" s="27">
        <f>ROUNDUP(O309/'Methodology &amp; Assumptions'!$B$8, 0)</f>
        <v/>
      </c>
      <c r="R309" s="27" t="n">
        <v>1</v>
      </c>
      <c r="S309" s="26" t="n">
        <v>0.33</v>
      </c>
      <c r="T309" s="26" t="n">
        <v>0.13</v>
      </c>
      <c r="U309" s="11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26" t="n">
        <v>54.7</v>
      </c>
      <c r="W309" s="26" t="n">
        <v>68.62</v>
      </c>
      <c r="X309" s="26">
        <f>ROUND(('Methodology &amp; Assumptions'!$B$5*V309) + ('Methodology &amp; Assumptions'!$B$6*W309), 2)</f>
        <v/>
      </c>
      <c r="Y309" s="28" t="n">
        <v>10.9</v>
      </c>
      <c r="Z309" s="11" t="inlineStr">
        <is>
          <t>Priority Tier 2 (Balanced Opportunity)</t>
        </is>
      </c>
    </row>
    <row r="310">
      <c r="A310" s="23" t="n">
        <v>3</v>
      </c>
      <c r="B310" s="23" t="n">
        <v>306</v>
      </c>
      <c r="C310" s="23" t="n">
        <v>2306</v>
      </c>
      <c r="D310" s="23" t="inlineStr">
        <is>
          <t>1381100042</t>
        </is>
      </c>
      <c r="E310" s="11" t="inlineStr">
        <is>
          <t>National Capital Region (NCR)</t>
        </is>
      </c>
      <c r="F310" s="11" t="inlineStr">
        <is>
          <t>Fourth District (Not a Province)</t>
        </is>
      </c>
      <c r="G310" s="11" t="inlineStr">
        <is>
          <t>Pasay City</t>
        </is>
      </c>
      <c r="H310" s="11" t="inlineStr">
        <is>
          <t>Barangay 42</t>
        </is>
      </c>
      <c r="I310" s="24" t="n">
        <v>14.560974</v>
      </c>
      <c r="J310" s="24" t="n">
        <v>120.998933</v>
      </c>
      <c r="K310" s="23" t="inlineStr">
        <is>
          <t>U</t>
        </is>
      </c>
      <c r="L310" s="25" t="n">
        <v>1675</v>
      </c>
      <c r="M310" s="26" t="n">
        <v>4.36</v>
      </c>
      <c r="N310" s="25">
        <f>ROUND(L310/M310, 0)</f>
        <v/>
      </c>
      <c r="O310" s="25">
        <f>ROUND(N310*'Methodology &amp; Assumptions'!$B$7, 0)</f>
        <v/>
      </c>
      <c r="P310" s="23" t="inlineStr">
        <is>
          <t>Single Carrier (Band n50, 100MHz TDD)</t>
        </is>
      </c>
      <c r="Q310" s="27">
        <f>ROUNDUP(O310/'Methodology &amp; Assumptions'!$B$8, 0)</f>
        <v/>
      </c>
      <c r="R310" s="27" t="n">
        <v>1</v>
      </c>
      <c r="S310" s="26" t="n">
        <v>1.15</v>
      </c>
      <c r="T310" s="26" t="n">
        <v>0.37</v>
      </c>
      <c r="U310" s="11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26" t="n">
        <v>52.21</v>
      </c>
      <c r="W310" s="26" t="n">
        <v>71.11</v>
      </c>
      <c r="X310" s="26">
        <f>ROUND(('Methodology &amp; Assumptions'!$B$5*V310) + ('Methodology &amp; Assumptions'!$B$6*W310), 2)</f>
        <v/>
      </c>
      <c r="Y310" s="28" t="n">
        <v>10.9</v>
      </c>
      <c r="Z310" s="11" t="inlineStr">
        <is>
          <t>Priority Tier 2 (Balanced Opportunity)</t>
        </is>
      </c>
    </row>
    <row r="311">
      <c r="A311" s="23" t="n">
        <v>3</v>
      </c>
      <c r="B311" s="23" t="n">
        <v>307</v>
      </c>
      <c r="C311" s="23" t="n">
        <v>2307</v>
      </c>
      <c r="D311" s="23" t="inlineStr">
        <is>
          <t>0304908005</t>
        </is>
      </c>
      <c r="E311" s="11" t="inlineStr">
        <is>
          <t>Region III (Central Luzon)</t>
        </is>
      </c>
      <c r="F311" s="11" t="inlineStr">
        <is>
          <t>Nueva Ecija</t>
        </is>
      </c>
      <c r="G311" s="11" t="inlineStr">
        <is>
          <t>City of Gapan</t>
        </is>
      </c>
      <c r="H311" s="11" t="inlineStr">
        <is>
          <t>Malimba</t>
        </is>
      </c>
      <c r="I311" s="24" t="n">
        <v>15.256038</v>
      </c>
      <c r="J311" s="24" t="n">
        <v>120.951339</v>
      </c>
      <c r="K311" s="23" t="inlineStr">
        <is>
          <t>R</t>
        </is>
      </c>
      <c r="L311" s="25" t="n">
        <v>4045</v>
      </c>
      <c r="M311" s="26" t="n">
        <v>3.5</v>
      </c>
      <c r="N311" s="25">
        <f>ROUND(L311/M311, 0)</f>
        <v/>
      </c>
      <c r="O311" s="25">
        <f>ROUND(N311*'Methodology &amp; Assumptions'!$B$7, 0)</f>
        <v/>
      </c>
      <c r="P311" s="23" t="inlineStr">
        <is>
          <t>Single Carrier (Band n50, 100MHz TDD)</t>
        </is>
      </c>
      <c r="Q311" s="27">
        <f>ROUNDUP(O311/'Methodology &amp; Assumptions'!$B$8, 0)</f>
        <v/>
      </c>
      <c r="R311" s="27" t="n">
        <v>1</v>
      </c>
      <c r="S311" s="26" t="n">
        <v>0.01</v>
      </c>
      <c r="T311" s="26" t="n">
        <v>0.09</v>
      </c>
      <c r="U311" s="11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26" t="n">
        <v>85.63</v>
      </c>
      <c r="W311" s="26" t="n">
        <v>37.66</v>
      </c>
      <c r="X311" s="26">
        <f>ROUND(('Methodology &amp; Assumptions'!$B$5*V311) + ('Methodology &amp; Assumptions'!$B$6*W311), 2)</f>
        <v/>
      </c>
      <c r="Y311" s="28" t="n">
        <v>8.300000000000001</v>
      </c>
      <c r="Z311" s="11" t="inlineStr">
        <is>
          <t>Priority Tier 2 (Balanced Opportunity)</t>
        </is>
      </c>
    </row>
    <row r="312">
      <c r="A312" s="23" t="n">
        <v>3</v>
      </c>
      <c r="B312" s="23" t="n">
        <v>308</v>
      </c>
      <c r="C312" s="23" t="n">
        <v>2308</v>
      </c>
      <c r="D312" s="23" t="inlineStr">
        <is>
          <t>0702232018</t>
        </is>
      </c>
      <c r="E312" s="11" t="inlineStr">
        <is>
          <t>Region VII (Central Visayas)</t>
        </is>
      </c>
      <c r="F312" s="11" t="inlineStr">
        <is>
          <t>Cebu</t>
        </is>
      </c>
      <c r="G312" s="11" t="inlineStr">
        <is>
          <t>Minglanilla</t>
        </is>
      </c>
      <c r="H312" s="11" t="inlineStr">
        <is>
          <t>Vito</t>
        </is>
      </c>
      <c r="I312" s="24" t="n">
        <v>10.254737</v>
      </c>
      <c r="J312" s="24" t="n">
        <v>123.792043</v>
      </c>
      <c r="K312" s="23" t="inlineStr">
        <is>
          <t>U</t>
        </is>
      </c>
      <c r="L312" s="25" t="n">
        <v>11385</v>
      </c>
      <c r="M312" s="26" t="n">
        <v>3.8</v>
      </c>
      <c r="N312" s="25">
        <f>ROUND(L312/M312, 0)</f>
        <v/>
      </c>
      <c r="O312" s="25">
        <f>ROUND(N312*'Methodology &amp; Assumptions'!$B$7, 0)</f>
        <v/>
      </c>
      <c r="P312" s="23" t="inlineStr">
        <is>
          <t>Single Carrier (Band n50, 100MHz TDD)</t>
        </is>
      </c>
      <c r="Q312" s="27">
        <f>ROUNDUP(O312/'Methodology &amp; Assumptions'!$B$8, 0)</f>
        <v/>
      </c>
      <c r="R312" s="27" t="n">
        <v>1</v>
      </c>
      <c r="S312" s="26" t="n">
        <v>1.15</v>
      </c>
      <c r="T312" s="26" t="n">
        <v>1.11</v>
      </c>
      <c r="U312" s="11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26" t="n">
        <v>79.67</v>
      </c>
      <c r="W312" s="26" t="n">
        <v>43.63</v>
      </c>
      <c r="X312" s="26">
        <f>ROUND(('Methodology &amp; Assumptions'!$B$5*V312) + ('Methodology &amp; Assumptions'!$B$6*W312), 2)</f>
        <v/>
      </c>
      <c r="Y312" s="28" t="n">
        <v>23.7</v>
      </c>
      <c r="Z312" s="11" t="inlineStr">
        <is>
          <t>Priority Tier 2 (Balanced Opportunity)</t>
        </is>
      </c>
    </row>
    <row r="313">
      <c r="A313" s="23" t="n">
        <v>3</v>
      </c>
      <c r="B313" s="23" t="n">
        <v>309</v>
      </c>
      <c r="C313" s="23" t="n">
        <v>2309</v>
      </c>
      <c r="D313" s="23" t="inlineStr">
        <is>
          <t>0301410012</t>
        </is>
      </c>
      <c r="E313" s="11" t="inlineStr">
        <is>
          <t>Region III (Central Luzon)</t>
        </is>
      </c>
      <c r="F313" s="11" t="inlineStr">
        <is>
          <t>Bulacan</t>
        </is>
      </c>
      <c r="G313" s="11" t="inlineStr">
        <is>
          <t>City of Malolos</t>
        </is>
      </c>
      <c r="H313" s="11" t="inlineStr">
        <is>
          <t>Bulihan</t>
        </is>
      </c>
      <c r="I313" s="24" t="n">
        <v>14.857865</v>
      </c>
      <c r="J313" s="24" t="n">
        <v>120.800758</v>
      </c>
      <c r="K313" s="23" t="inlineStr">
        <is>
          <t>U</t>
        </is>
      </c>
      <c r="L313" s="25" t="n">
        <v>16583</v>
      </c>
      <c r="M313" s="26" t="n">
        <v>3.5</v>
      </c>
      <c r="N313" s="25">
        <f>ROUND(L313/M313, 0)</f>
        <v/>
      </c>
      <c r="O313" s="25">
        <f>ROUND(N313*'Methodology &amp; Assumptions'!$B$7, 0)</f>
        <v/>
      </c>
      <c r="P313" s="23" t="inlineStr">
        <is>
          <t>Single Carrier (Band n50, 100MHz TDD)</t>
        </is>
      </c>
      <c r="Q313" s="27">
        <f>ROUNDUP(O313/'Methodology &amp; Assumptions'!$B$8, 0)</f>
        <v/>
      </c>
      <c r="R313" s="27" t="n">
        <v>1</v>
      </c>
      <c r="S313" s="26" t="n">
        <v>1.81</v>
      </c>
      <c r="T313" s="26" t="n">
        <v>0.88</v>
      </c>
      <c r="U313" s="11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26" t="n">
        <v>74.84</v>
      </c>
      <c r="W313" s="26" t="n">
        <v>48.47</v>
      </c>
      <c r="X313" s="26">
        <f>ROUND(('Methodology &amp; Assumptions'!$B$5*V313) + ('Methodology &amp; Assumptions'!$B$6*W313), 2)</f>
        <v/>
      </c>
      <c r="Y313" s="28" t="n">
        <v>8.300000000000001</v>
      </c>
      <c r="Z313" s="11" t="inlineStr">
        <is>
          <t>Priority Tier 2 (Balanced Opportunity)</t>
        </is>
      </c>
    </row>
    <row r="314">
      <c r="A314" s="23" t="n">
        <v>3</v>
      </c>
      <c r="B314" s="23" t="n">
        <v>310</v>
      </c>
      <c r="C314" s="23" t="n">
        <v>2310</v>
      </c>
      <c r="D314" s="23" t="inlineStr">
        <is>
          <t>1380500013</t>
        </is>
      </c>
      <c r="E314" s="11" t="inlineStr">
        <is>
          <t>National Capital Region (NCR)</t>
        </is>
      </c>
      <c r="F314" s="11" t="inlineStr">
        <is>
          <t>Second District (Not a Province)</t>
        </is>
      </c>
      <c r="G314" s="11" t="inlineStr">
        <is>
          <t>City of Mandaluyong</t>
        </is>
      </c>
      <c r="H314" s="11" t="inlineStr">
        <is>
          <t>Highway Hills</t>
        </is>
      </c>
      <c r="I314" s="24" t="n">
        <v>14.581228</v>
      </c>
      <c r="J314" s="24" t="n">
        <v>121.048786</v>
      </c>
      <c r="K314" s="23" t="inlineStr">
        <is>
          <t>U</t>
        </is>
      </c>
      <c r="L314" s="25" t="n">
        <v>49455</v>
      </c>
      <c r="M314" s="26" t="n">
        <v>3.38</v>
      </c>
      <c r="N314" s="25">
        <f>ROUND(L314/M314, 0)</f>
        <v/>
      </c>
      <c r="O314" s="25">
        <f>ROUND(N314*'Methodology &amp; Assumptions'!$B$7, 0)</f>
        <v/>
      </c>
      <c r="P314" s="23" t="inlineStr">
        <is>
          <t>Single Carrier (Band n50, 100MHz TDD)</t>
        </is>
      </c>
      <c r="Q314" s="27">
        <f>ROUNDUP(O314/'Methodology &amp; Assumptions'!$B$8, 0)</f>
        <v/>
      </c>
      <c r="R314" s="27" t="n">
        <v>1</v>
      </c>
      <c r="S314" s="26" t="n">
        <v>0.3</v>
      </c>
      <c r="T314" s="26" t="n">
        <v>0.12</v>
      </c>
      <c r="U314" s="11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26" t="n">
        <v>66.18000000000001</v>
      </c>
      <c r="W314" s="26" t="n">
        <v>57.11</v>
      </c>
      <c r="X314" s="26">
        <f>ROUND(('Methodology &amp; Assumptions'!$B$5*V314) + ('Methodology &amp; Assumptions'!$B$6*W314), 2)</f>
        <v/>
      </c>
      <c r="Y314" s="28" t="n">
        <v>10.9</v>
      </c>
      <c r="Z314" s="11" t="inlineStr">
        <is>
          <t>Priority Tier 2 (Balanced Opportunity)</t>
        </is>
      </c>
    </row>
    <row r="315">
      <c r="A315" s="23" t="n">
        <v>3</v>
      </c>
      <c r="B315" s="23" t="n">
        <v>311</v>
      </c>
      <c r="C315" s="23" t="n">
        <v>2311</v>
      </c>
      <c r="D315" s="23" t="inlineStr">
        <is>
          <t>1705208065</t>
        </is>
      </c>
      <c r="E315" s="11" t="inlineStr">
        <is>
          <t>MIMAROPA Region</t>
        </is>
      </c>
      <c r="F315" s="11" t="inlineStr">
        <is>
          <t>Oriental Mindoro</t>
        </is>
      </c>
      <c r="G315" s="11" t="inlineStr">
        <is>
          <t>Naujan</t>
        </is>
      </c>
      <c r="H315" s="11" t="inlineStr">
        <is>
          <t>Tigkan</t>
        </is>
      </c>
      <c r="I315" s="24" t="n">
        <v>13.286843</v>
      </c>
      <c r="J315" s="24" t="n">
        <v>121.183634</v>
      </c>
      <c r="K315" s="23" t="inlineStr">
        <is>
          <t>R</t>
        </is>
      </c>
      <c r="L315" s="25" t="n">
        <v>816</v>
      </c>
      <c r="M315" s="26" t="n">
        <v>3.9</v>
      </c>
      <c r="N315" s="25">
        <f>ROUND(L315/M315, 0)</f>
        <v/>
      </c>
      <c r="O315" s="25">
        <f>ROUND(N315*'Methodology &amp; Assumptions'!$B$7, 0)</f>
        <v/>
      </c>
      <c r="P315" s="23" t="inlineStr">
        <is>
          <t>Single Carrier (Band n50, 100MHz TDD)</t>
        </is>
      </c>
      <c r="Q315" s="27">
        <f>ROUNDUP(O315/'Methodology &amp; Assumptions'!$B$8, 0)</f>
        <v/>
      </c>
      <c r="R315" s="27" t="n">
        <v>1</v>
      </c>
      <c r="S315" s="26" t="n">
        <v>3.22</v>
      </c>
      <c r="T315" s="26" t="n">
        <v>2.16</v>
      </c>
      <c r="U315" s="11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26" t="n">
        <v>53.87</v>
      </c>
      <c r="W315" s="26" t="n">
        <v>69.43000000000001</v>
      </c>
      <c r="X315" s="26">
        <f>ROUND(('Methodology &amp; Assumptions'!$B$5*V315) + ('Methodology &amp; Assumptions'!$B$6*W315), 2)</f>
        <v/>
      </c>
      <c r="Y315" s="28" t="n">
        <v>15</v>
      </c>
      <c r="Z315" s="11" t="inlineStr">
        <is>
          <t>Priority Tier 2 (Balanced Opportunity)</t>
        </is>
      </c>
    </row>
    <row r="316">
      <c r="A316" s="23" t="n">
        <v>3</v>
      </c>
      <c r="B316" s="23" t="n">
        <v>312</v>
      </c>
      <c r="C316" s="23" t="n">
        <v>2312</v>
      </c>
      <c r="D316" s="23" t="inlineStr">
        <is>
          <t>1404403002</t>
        </is>
      </c>
      <c r="E316" s="11" t="inlineStr">
        <is>
          <t>Cordillera Administrative Region (CAR)</t>
        </is>
      </c>
      <c r="F316" s="11" t="inlineStr">
        <is>
          <t>Mountain Province</t>
        </is>
      </c>
      <c r="G316" s="11" t="inlineStr">
        <is>
          <t>Besao</t>
        </is>
      </c>
      <c r="H316" s="11" t="inlineStr">
        <is>
          <t>Ambaguio</t>
        </is>
      </c>
      <c r="I316" s="24" t="n">
        <v>17.120257</v>
      </c>
      <c r="J316" s="24" t="n">
        <v>120.846039</v>
      </c>
      <c r="K316" s="23" t="inlineStr">
        <is>
          <t>R</t>
        </is>
      </c>
      <c r="L316" s="25" t="n">
        <v>179</v>
      </c>
      <c r="M316" s="26" t="n">
        <v>3.7</v>
      </c>
      <c r="N316" s="25">
        <f>ROUND(L316/M316, 0)</f>
        <v/>
      </c>
      <c r="O316" s="25">
        <f>ROUND(N316*'Methodology &amp; Assumptions'!$B$7, 0)</f>
        <v/>
      </c>
      <c r="P316" s="23" t="inlineStr">
        <is>
          <t>Single Carrier (Band n50, 100MHz TDD)</t>
        </is>
      </c>
      <c r="Q316" s="27">
        <f>ROUNDUP(O316/'Methodology &amp; Assumptions'!$B$8, 0)</f>
        <v/>
      </c>
      <c r="R316" s="27" t="n">
        <v>1</v>
      </c>
      <c r="S316" s="26" t="n">
        <v>7.05</v>
      </c>
      <c r="T316" s="26" t="n">
        <v>7.04</v>
      </c>
      <c r="U316" s="11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26" t="n">
        <v>44.27</v>
      </c>
      <c r="W316" s="26" t="n">
        <v>79.02</v>
      </c>
      <c r="X316" s="26">
        <f>ROUND(('Methodology &amp; Assumptions'!$B$5*V316) + ('Methodology &amp; Assumptions'!$B$6*W316), 2)</f>
        <v/>
      </c>
      <c r="Y316" s="28" t="n">
        <v>10.9</v>
      </c>
      <c r="Z316" s="11" t="inlineStr">
        <is>
          <t>Priority Tier 2 (Balanced Opportunity)</t>
        </is>
      </c>
    </row>
    <row r="317">
      <c r="A317" s="23" t="n">
        <v>3</v>
      </c>
      <c r="B317" s="23" t="n">
        <v>313</v>
      </c>
      <c r="C317" s="23" t="n">
        <v>2313</v>
      </c>
      <c r="D317" s="23" t="inlineStr">
        <is>
          <t>0405814005</t>
        </is>
      </c>
      <c r="E317" s="11" t="inlineStr">
        <is>
          <t>Region IV-A (CALABARZON)</t>
        </is>
      </c>
      <c r="F317" s="11" t="inlineStr">
        <is>
          <t>Rizal</t>
        </is>
      </c>
      <c r="G317" s="11" t="inlineStr">
        <is>
          <t>Teresa</t>
        </is>
      </c>
      <c r="H317" s="11" t="inlineStr">
        <is>
          <t>May-Iba</t>
        </is>
      </c>
      <c r="I317" s="24" t="n">
        <v>14.56454</v>
      </c>
      <c r="J317" s="24" t="n">
        <v>121.20607</v>
      </c>
      <c r="K317" s="23" t="inlineStr">
        <is>
          <t>U</t>
        </is>
      </c>
      <c r="L317" s="25" t="n">
        <v>5907</v>
      </c>
      <c r="M317" s="26" t="n">
        <v>3.6</v>
      </c>
      <c r="N317" s="25">
        <f>ROUND(L317/M317, 0)</f>
        <v/>
      </c>
      <c r="O317" s="25">
        <f>ROUND(N317*'Methodology &amp; Assumptions'!$B$7, 0)</f>
        <v/>
      </c>
      <c r="P317" s="23" t="inlineStr">
        <is>
          <t>Single Carrier (Band n50, 100MHz TDD)</t>
        </is>
      </c>
      <c r="Q317" s="27">
        <f>ROUNDUP(O317/'Methodology &amp; Assumptions'!$B$8, 0)</f>
        <v/>
      </c>
      <c r="R317" s="27" t="n">
        <v>1</v>
      </c>
      <c r="S317" s="26" t="n">
        <v>1.68</v>
      </c>
      <c r="T317" s="26" t="n">
        <v>0.25</v>
      </c>
      <c r="U317" s="11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26" t="n">
        <v>75.11</v>
      </c>
      <c r="W317" s="26" t="n">
        <v>48.17</v>
      </c>
      <c r="X317" s="26">
        <f>ROUND(('Methodology &amp; Assumptions'!$B$5*V317) + ('Methodology &amp; Assumptions'!$B$6*W317), 2)</f>
        <v/>
      </c>
      <c r="Y317" s="28" t="n">
        <v>7.2</v>
      </c>
      <c r="Z317" s="11" t="inlineStr">
        <is>
          <t>Priority Tier 2 (Balanced Opportunity)</t>
        </is>
      </c>
    </row>
    <row r="318">
      <c r="A318" s="23" t="n">
        <v>3</v>
      </c>
      <c r="B318" s="23" t="n">
        <v>314</v>
      </c>
      <c r="C318" s="23" t="n">
        <v>2314</v>
      </c>
      <c r="D318" s="23" t="inlineStr">
        <is>
          <t>1380604004</t>
        </is>
      </c>
      <c r="E318" s="11" t="inlineStr">
        <is>
          <t>National Capital Region (NCR)</t>
        </is>
      </c>
      <c r="F318" s="11" t="inlineStr">
        <is>
          <t>First District (Not a Province)</t>
        </is>
      </c>
      <c r="G318" s="11" t="inlineStr">
        <is>
          <t>City of Manila</t>
        </is>
      </c>
      <c r="H318" s="11" t="inlineStr">
        <is>
          <t>Barangay 271</t>
        </is>
      </c>
      <c r="I318" s="24" t="n">
        <v>14.602297</v>
      </c>
      <c r="J318" s="24" t="n">
        <v>120.969779</v>
      </c>
      <c r="K318" s="23" t="inlineStr">
        <is>
          <t>U</t>
        </is>
      </c>
      <c r="L318" s="25" t="n">
        <v>1315</v>
      </c>
      <c r="M318" s="26" t="n">
        <v>3.46</v>
      </c>
      <c r="N318" s="25">
        <f>ROUND(L318/M318, 0)</f>
        <v/>
      </c>
      <c r="O318" s="25">
        <f>ROUND(N318*'Methodology &amp; Assumptions'!$B$7, 0)</f>
        <v/>
      </c>
      <c r="P318" s="23" t="inlineStr">
        <is>
          <t>Single Carrier (Band n50, 100MHz TDD)</t>
        </is>
      </c>
      <c r="Q318" s="27">
        <f>ROUNDUP(O318/'Methodology &amp; Assumptions'!$B$8, 0)</f>
        <v/>
      </c>
      <c r="R318" s="27" t="n">
        <v>1</v>
      </c>
      <c r="S318" s="26" t="n">
        <v>0.5</v>
      </c>
      <c r="T318" s="26" t="n">
        <v>0.49</v>
      </c>
      <c r="U318" s="11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26" t="n">
        <v>53.3</v>
      </c>
      <c r="W318" s="26" t="n">
        <v>69.98</v>
      </c>
      <c r="X318" s="26">
        <f>ROUND(('Methodology &amp; Assumptions'!$B$5*V318) + ('Methodology &amp; Assumptions'!$B$6*W318), 2)</f>
        <v/>
      </c>
      <c r="Y318" s="28" t="n">
        <v>10.9</v>
      </c>
      <c r="Z318" s="11" t="inlineStr">
        <is>
          <t>Priority Tier 2 (Balanced Opportunity)</t>
        </is>
      </c>
    </row>
    <row r="319">
      <c r="A319" s="23" t="n">
        <v>3</v>
      </c>
      <c r="B319" s="23" t="n">
        <v>315</v>
      </c>
      <c r="C319" s="23" t="n">
        <v>2315</v>
      </c>
      <c r="D319" s="23" t="inlineStr">
        <is>
          <t>1380601240</t>
        </is>
      </c>
      <c r="E319" s="11" t="inlineStr">
        <is>
          <t>National Capital Region (NCR)</t>
        </is>
      </c>
      <c r="F319" s="11" t="inlineStr">
        <is>
          <t>First District (Not a Province)</t>
        </is>
      </c>
      <c r="G319" s="11" t="inlineStr">
        <is>
          <t>City of Manila</t>
        </is>
      </c>
      <c r="H319" s="11" t="inlineStr">
        <is>
          <t>Barangay 239</t>
        </is>
      </c>
      <c r="I319" s="24" t="n">
        <v>14.6134</v>
      </c>
      <c r="J319" s="24" t="n">
        <v>120.975742</v>
      </c>
      <c r="K319" s="23" t="inlineStr">
        <is>
          <t>U</t>
        </is>
      </c>
      <c r="L319" s="25" t="n">
        <v>1631</v>
      </c>
      <c r="M319" s="26" t="n">
        <v>4.4</v>
      </c>
      <c r="N319" s="25">
        <f>ROUND(L319/M319, 0)</f>
        <v/>
      </c>
      <c r="O319" s="25">
        <f>ROUND(N319*'Methodology &amp; Assumptions'!$B$7, 0)</f>
        <v/>
      </c>
      <c r="P319" s="23" t="inlineStr">
        <is>
          <t>Single Carrier (Band n50, 100MHz TDD)</t>
        </is>
      </c>
      <c r="Q319" s="27">
        <f>ROUNDUP(O319/'Methodology &amp; Assumptions'!$B$8, 0)</f>
        <v/>
      </c>
      <c r="R319" s="27" t="n">
        <v>1</v>
      </c>
      <c r="S319" s="26" t="n">
        <v>0.84</v>
      </c>
      <c r="T319" s="26" t="n">
        <v>0.42</v>
      </c>
      <c r="U319" s="11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26" t="n">
        <v>52.98</v>
      </c>
      <c r="W319" s="26" t="n">
        <v>70.29000000000001</v>
      </c>
      <c r="X319" s="26">
        <f>ROUND(('Methodology &amp; Assumptions'!$B$5*V319) + ('Methodology &amp; Assumptions'!$B$6*W319), 2)</f>
        <v/>
      </c>
      <c r="Y319" s="28" t="n">
        <v>10.9</v>
      </c>
      <c r="Z319" s="11" t="inlineStr">
        <is>
          <t>Priority Tier 2 (Balanced Opportunity)</t>
        </is>
      </c>
    </row>
    <row r="320">
      <c r="A320" s="23" t="n">
        <v>3</v>
      </c>
      <c r="B320" s="23" t="n">
        <v>316</v>
      </c>
      <c r="C320" s="23" t="n">
        <v>2316</v>
      </c>
      <c r="D320" s="23" t="inlineStr">
        <is>
          <t>1380606241</t>
        </is>
      </c>
      <c r="E320" s="11" t="inlineStr">
        <is>
          <t>National Capital Region (NCR)</t>
        </is>
      </c>
      <c r="F320" s="11" t="inlineStr">
        <is>
          <t>First District (Not a Province)</t>
        </is>
      </c>
      <c r="G320" s="11" t="inlineStr">
        <is>
          <t>City of Manila</t>
        </is>
      </c>
      <c r="H320" s="11" t="inlineStr">
        <is>
          <t>Barangay 634</t>
        </is>
      </c>
      <c r="I320" s="24" t="n">
        <v>14.600174</v>
      </c>
      <c r="J320" s="24" t="n">
        <v>121.000477</v>
      </c>
      <c r="K320" s="23" t="inlineStr">
        <is>
          <t>U</t>
        </is>
      </c>
      <c r="L320" s="25" t="n">
        <v>960</v>
      </c>
      <c r="M320" s="26" t="n">
        <v>2.88</v>
      </c>
      <c r="N320" s="25">
        <f>ROUND(L320/M320, 0)</f>
        <v/>
      </c>
      <c r="O320" s="25">
        <f>ROUND(N320*'Methodology &amp; Assumptions'!$B$7, 0)</f>
        <v/>
      </c>
      <c r="P320" s="23" t="inlineStr">
        <is>
          <t>Single Carrier (Band n50, 100MHz TDD)</t>
        </is>
      </c>
      <c r="Q320" s="27">
        <f>ROUNDUP(O320/'Methodology &amp; Assumptions'!$B$8, 0)</f>
        <v/>
      </c>
      <c r="R320" s="27" t="n">
        <v>1</v>
      </c>
      <c r="S320" s="26" t="n">
        <v>0.48</v>
      </c>
      <c r="T320" s="26" t="n">
        <v>0.16</v>
      </c>
      <c r="U320" s="11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26" t="n">
        <v>51.8</v>
      </c>
      <c r="W320" s="26" t="n">
        <v>71.47</v>
      </c>
      <c r="X320" s="26">
        <f>ROUND(('Methodology &amp; Assumptions'!$B$5*V320) + ('Methodology &amp; Assumptions'!$B$6*W320), 2)</f>
        <v/>
      </c>
      <c r="Y320" s="28" t="n">
        <v>10.9</v>
      </c>
      <c r="Z320" s="11" t="inlineStr">
        <is>
          <t>Priority Tier 2 (Balanced Opportunity)</t>
        </is>
      </c>
    </row>
    <row r="321">
      <c r="A321" s="23" t="n">
        <v>3</v>
      </c>
      <c r="B321" s="23" t="n">
        <v>317</v>
      </c>
      <c r="C321" s="23" t="n">
        <v>2317</v>
      </c>
      <c r="D321" s="23" t="inlineStr">
        <is>
          <t>1705313009</t>
        </is>
      </c>
      <c r="E321" s="11" t="inlineStr">
        <is>
          <t>MIMAROPA Region</t>
        </is>
      </c>
      <c r="F321" s="11" t="inlineStr">
        <is>
          <t>Palawan</t>
        </is>
      </c>
      <c r="G321" s="11" t="inlineStr">
        <is>
          <t>Linapacan</t>
        </is>
      </c>
      <c r="H321" s="11" t="inlineStr">
        <is>
          <t>Pical</t>
        </is>
      </c>
      <c r="I321" s="24" t="n">
        <v>11.454724</v>
      </c>
      <c r="J321" s="24" t="n">
        <v>119.818413</v>
      </c>
      <c r="K321" s="23" t="inlineStr">
        <is>
          <t>R</t>
        </is>
      </c>
      <c r="L321" s="25" t="n">
        <v>1776</v>
      </c>
      <c r="M321" s="26" t="n">
        <v>3.9</v>
      </c>
      <c r="N321" s="25">
        <f>ROUND(L321/M321, 0)</f>
        <v/>
      </c>
      <c r="O321" s="25">
        <f>ROUND(N321*'Methodology &amp; Assumptions'!$B$7, 0)</f>
        <v/>
      </c>
      <c r="P321" s="23" t="inlineStr">
        <is>
          <t>Single Carrier (Band n50, 100MHz TDD)</t>
        </is>
      </c>
      <c r="Q321" s="27">
        <f>ROUNDUP(O321/'Methodology &amp; Assumptions'!$B$8, 0)</f>
        <v/>
      </c>
      <c r="R321" s="27" t="n">
        <v>1</v>
      </c>
      <c r="S321" s="26" t="n">
        <v>33.04</v>
      </c>
      <c r="T321" s="26" t="n">
        <v>78.03</v>
      </c>
      <c r="U321" s="11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26" t="n">
        <v>47.76</v>
      </c>
      <c r="W321" s="26" t="n">
        <v>75.53</v>
      </c>
      <c r="X321" s="26">
        <f>ROUND(('Methodology &amp; Assumptions'!$B$5*V321) + ('Methodology &amp; Assumptions'!$B$6*W321), 2)</f>
        <v/>
      </c>
      <c r="Y321" s="28" t="n">
        <v>15</v>
      </c>
      <c r="Z321" s="11" t="inlineStr">
        <is>
          <t>Priority Tier 2 (Balanced Opportunity)</t>
        </is>
      </c>
    </row>
    <row r="322">
      <c r="A322" s="23" t="n">
        <v>3</v>
      </c>
      <c r="B322" s="23" t="n">
        <v>318</v>
      </c>
      <c r="C322" s="23" t="n">
        <v>2318</v>
      </c>
      <c r="D322" s="23" t="inlineStr">
        <is>
          <t>1380601044</t>
        </is>
      </c>
      <c r="E322" s="11" t="inlineStr">
        <is>
          <t>National Capital Region (NCR)</t>
        </is>
      </c>
      <c r="F322" s="11" t="inlineStr">
        <is>
          <t>First District (Not a Province)</t>
        </is>
      </c>
      <c r="G322" s="11" t="inlineStr">
        <is>
          <t>City of Manila</t>
        </is>
      </c>
      <c r="H322" s="11" t="inlineStr">
        <is>
          <t>Barangay 44</t>
        </is>
      </c>
      <c r="I322" s="24" t="n">
        <v>14.608029</v>
      </c>
      <c r="J322" s="24" t="n">
        <v>120.96067</v>
      </c>
      <c r="K322" s="23" t="inlineStr">
        <is>
          <t>U</t>
        </is>
      </c>
      <c r="L322" s="25" t="n">
        <v>841</v>
      </c>
      <c r="M322" s="26" t="n">
        <v>4.4</v>
      </c>
      <c r="N322" s="25">
        <f>ROUND(L322/M322, 0)</f>
        <v/>
      </c>
      <c r="O322" s="25">
        <f>ROUND(N322*'Methodology &amp; Assumptions'!$B$7, 0)</f>
        <v/>
      </c>
      <c r="P322" s="23" t="inlineStr">
        <is>
          <t>Single Carrier (Band n50, 100MHz TDD)</t>
        </is>
      </c>
      <c r="Q322" s="27">
        <f>ROUNDUP(O322/'Methodology &amp; Assumptions'!$B$8, 0)</f>
        <v/>
      </c>
      <c r="R322" s="27" t="n">
        <v>1</v>
      </c>
      <c r="S322" s="26" t="n">
        <v>0.98</v>
      </c>
      <c r="T322" s="26" t="n">
        <v>0.92</v>
      </c>
      <c r="U322" s="11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26" t="n">
        <v>46.67</v>
      </c>
      <c r="W322" s="26" t="n">
        <v>76.61</v>
      </c>
      <c r="X322" s="26">
        <f>ROUND(('Methodology &amp; Assumptions'!$B$5*V322) + ('Methodology &amp; Assumptions'!$B$6*W322), 2)</f>
        <v/>
      </c>
      <c r="Y322" s="28" t="n">
        <v>10.9</v>
      </c>
      <c r="Z322" s="11" t="inlineStr">
        <is>
          <t>Priority Tier 2 (Balanced Opportunity)</t>
        </is>
      </c>
    </row>
    <row r="323">
      <c r="A323" s="23" t="n">
        <v>3</v>
      </c>
      <c r="B323" s="23" t="n">
        <v>319</v>
      </c>
      <c r="C323" s="23" t="n">
        <v>2319</v>
      </c>
      <c r="D323" s="23" t="inlineStr">
        <is>
          <t>0301421015</t>
        </is>
      </c>
      <c r="E323" s="11" t="inlineStr">
        <is>
          <t>Region III (Central Luzon)</t>
        </is>
      </c>
      <c r="F323" s="11" t="inlineStr">
        <is>
          <t>Bulacan</t>
        </is>
      </c>
      <c r="G323" s="11" t="inlineStr">
        <is>
          <t>San Miguel</t>
        </is>
      </c>
      <c r="H323" s="11" t="inlineStr">
        <is>
          <t>Bulualto</t>
        </is>
      </c>
      <c r="I323" s="24" t="n">
        <v>15.220053</v>
      </c>
      <c r="J323" s="24" t="n">
        <v>120.954448</v>
      </c>
      <c r="K323" s="23" t="inlineStr">
        <is>
          <t>R</t>
        </is>
      </c>
      <c r="L323" s="25" t="n">
        <v>3021</v>
      </c>
      <c r="M323" s="26" t="n">
        <v>3.5</v>
      </c>
      <c r="N323" s="25">
        <f>ROUND(L323/M323, 0)</f>
        <v/>
      </c>
      <c r="O323" s="25">
        <f>ROUND(N323*'Methodology &amp; Assumptions'!$B$7, 0)</f>
        <v/>
      </c>
      <c r="P323" s="23" t="inlineStr">
        <is>
          <t>Single Carrier (Band n50, 100MHz TDD)</t>
        </is>
      </c>
      <c r="Q323" s="27">
        <f>ROUNDUP(O323/'Methodology &amp; Assumptions'!$B$8, 0)</f>
        <v/>
      </c>
      <c r="R323" s="27" t="n">
        <v>1</v>
      </c>
      <c r="S323" s="26" t="n">
        <v>0.42</v>
      </c>
      <c r="T323" s="26" t="n">
        <v>0.16</v>
      </c>
      <c r="U323" s="11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26" t="n">
        <v>85.63</v>
      </c>
      <c r="W323" s="26" t="n">
        <v>37.62</v>
      </c>
      <c r="X323" s="26">
        <f>ROUND(('Methodology &amp; Assumptions'!$B$5*V323) + ('Methodology &amp; Assumptions'!$B$6*W323), 2)</f>
        <v/>
      </c>
      <c r="Y323" s="28" t="n">
        <v>8.300000000000001</v>
      </c>
      <c r="Z323" s="11" t="inlineStr">
        <is>
          <t>Priority Tier 2 (Balanced Opportunity)</t>
        </is>
      </c>
    </row>
    <row r="324">
      <c r="A324" s="23" t="n">
        <v>3</v>
      </c>
      <c r="B324" s="23" t="n">
        <v>320</v>
      </c>
      <c r="C324" s="23" t="n">
        <v>2320</v>
      </c>
      <c r="D324" s="23" t="inlineStr">
        <is>
          <t>0702234011</t>
        </is>
      </c>
      <c r="E324" s="11" t="inlineStr">
        <is>
          <t>Region VII (Central Visayas)</t>
        </is>
      </c>
      <c r="F324" s="11" t="inlineStr">
        <is>
          <t>Cebu</t>
        </is>
      </c>
      <c r="G324" s="11" t="inlineStr">
        <is>
          <t>City of Naga</t>
        </is>
      </c>
      <c r="H324" s="11" t="inlineStr">
        <is>
          <t>Inayagan</t>
        </is>
      </c>
      <c r="I324" s="24" t="n">
        <v>10.23666</v>
      </c>
      <c r="J324" s="24" t="n">
        <v>123.774416</v>
      </c>
      <c r="K324" s="23" t="inlineStr">
        <is>
          <t>U</t>
        </is>
      </c>
      <c r="L324" s="25" t="n">
        <v>10585</v>
      </c>
      <c r="M324" s="26" t="n">
        <v>3.8</v>
      </c>
      <c r="N324" s="25">
        <f>ROUND(L324/M324, 0)</f>
        <v/>
      </c>
      <c r="O324" s="25">
        <f>ROUND(N324*'Methodology &amp; Assumptions'!$B$7, 0)</f>
        <v/>
      </c>
      <c r="P324" s="23" t="inlineStr">
        <is>
          <t>Single Carrier (Band n50, 100MHz TDD)</t>
        </is>
      </c>
      <c r="Q324" s="27">
        <f>ROUNDUP(O324/'Methodology &amp; Assumptions'!$B$8, 0)</f>
        <v/>
      </c>
      <c r="R324" s="27" t="n">
        <v>1</v>
      </c>
      <c r="S324" s="26" t="n">
        <v>0.06</v>
      </c>
      <c r="T324" s="26" t="n">
        <v>0.06</v>
      </c>
      <c r="U324" s="11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26" t="n">
        <v>80.86</v>
      </c>
      <c r="W324" s="26" t="n">
        <v>42.4</v>
      </c>
      <c r="X324" s="26">
        <f>ROUND(('Methodology &amp; Assumptions'!$B$5*V324) + ('Methodology &amp; Assumptions'!$B$6*W324), 2)</f>
        <v/>
      </c>
      <c r="Y324" s="28" t="n">
        <v>23.7</v>
      </c>
      <c r="Z324" s="11" t="inlineStr">
        <is>
          <t>Priority Tier 2 (Balanced Opportunity)</t>
        </is>
      </c>
    </row>
    <row r="325">
      <c r="A325" s="23" t="n">
        <v>3</v>
      </c>
      <c r="B325" s="23" t="n">
        <v>321</v>
      </c>
      <c r="C325" s="23" t="n">
        <v>2321</v>
      </c>
      <c r="D325" s="23" t="inlineStr">
        <is>
          <t>0603034023</t>
        </is>
      </c>
      <c r="E325" s="11" t="inlineStr">
        <is>
          <t>Region VI (Western Visayas)</t>
        </is>
      </c>
      <c r="F325" s="11" t="inlineStr">
        <is>
          <t>Iloilo</t>
        </is>
      </c>
      <c r="G325" s="11" t="inlineStr">
        <is>
          <t>Oton</t>
        </is>
      </c>
      <c r="H325" s="11" t="inlineStr">
        <is>
          <t>Poblacion West</t>
        </is>
      </c>
      <c r="I325" s="24" t="n">
        <v>10.693617</v>
      </c>
      <c r="J325" s="24" t="n">
        <v>122.473368</v>
      </c>
      <c r="K325" s="23" t="inlineStr">
        <is>
          <t>U</t>
        </is>
      </c>
      <c r="L325" s="25" t="n">
        <v>3169</v>
      </c>
      <c r="M325" s="26" t="n">
        <v>3.8</v>
      </c>
      <c r="N325" s="25">
        <f>ROUND(L325/M325, 0)</f>
        <v/>
      </c>
      <c r="O325" s="25">
        <f>ROUND(N325*'Methodology &amp; Assumptions'!$B$7, 0)</f>
        <v/>
      </c>
      <c r="P325" s="23" t="inlineStr">
        <is>
          <t>Single Carrier (Band n50, 100MHz TDD)</t>
        </is>
      </c>
      <c r="Q325" s="27">
        <f>ROUNDUP(O325/'Methodology &amp; Assumptions'!$B$8, 0)</f>
        <v/>
      </c>
      <c r="R325" s="27" t="n">
        <v>1</v>
      </c>
      <c r="S325" s="26" t="n">
        <v>0.75</v>
      </c>
      <c r="T325" s="26" t="n">
        <v>0.16</v>
      </c>
      <c r="U325" s="11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26" t="n">
        <v>79.59999999999999</v>
      </c>
      <c r="W325" s="26" t="n">
        <v>43.65</v>
      </c>
      <c r="X325" s="26">
        <f>ROUND(('Methodology &amp; Assumptions'!$B$5*V325) + ('Methodology &amp; Assumptions'!$B$6*W325), 2)</f>
        <v/>
      </c>
      <c r="Y325" s="28" t="n">
        <v>23.7</v>
      </c>
      <c r="Z325" s="11" t="inlineStr">
        <is>
          <t>Priority Tier 2 (Balanced Opportunity)</t>
        </is>
      </c>
    </row>
    <row r="326">
      <c r="A326" s="23" t="n">
        <v>3</v>
      </c>
      <c r="B326" s="23" t="n">
        <v>322</v>
      </c>
      <c r="C326" s="23" t="n">
        <v>2322</v>
      </c>
      <c r="D326" s="23" t="inlineStr">
        <is>
          <t>0403403007</t>
        </is>
      </c>
      <c r="E326" s="11" t="inlineStr">
        <is>
          <t>Region IV-A (CALABARZON)</t>
        </is>
      </c>
      <c r="F326" s="11" t="inlineStr">
        <is>
          <t>Laguna</t>
        </is>
      </c>
      <c r="G326" s="11" t="inlineStr">
        <is>
          <t>City of Biñan</t>
        </is>
      </c>
      <c r="H326" s="11" t="inlineStr">
        <is>
          <t>Ganado</t>
        </is>
      </c>
      <c r="I326" s="24" t="n">
        <v>14.284724</v>
      </c>
      <c r="J326" s="24" t="n">
        <v>121.080523</v>
      </c>
      <c r="K326" s="23" t="inlineStr">
        <is>
          <t>U</t>
        </is>
      </c>
      <c r="L326" s="25" t="n">
        <v>7085</v>
      </c>
      <c r="M326" s="26" t="n">
        <v>3.3</v>
      </c>
      <c r="N326" s="25">
        <f>ROUND(L326/M326, 0)</f>
        <v/>
      </c>
      <c r="O326" s="25">
        <f>ROUND(N326*'Methodology &amp; Assumptions'!$B$7, 0)</f>
        <v/>
      </c>
      <c r="P326" s="23" t="inlineStr">
        <is>
          <t>Single Carrier (Band n50, 100MHz TDD)</t>
        </is>
      </c>
      <c r="Q326" s="27">
        <f>ROUNDUP(O326/'Methodology &amp; Assumptions'!$B$8, 0)</f>
        <v/>
      </c>
      <c r="R326" s="27" t="n">
        <v>1</v>
      </c>
      <c r="S326" s="26" t="n">
        <v>0.96</v>
      </c>
      <c r="T326" s="26" t="n">
        <v>0.71</v>
      </c>
      <c r="U326" s="11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26" t="n">
        <v>77.79000000000001</v>
      </c>
      <c r="W326" s="26" t="n">
        <v>45.46</v>
      </c>
      <c r="X326" s="26">
        <f>ROUND(('Methodology &amp; Assumptions'!$B$5*V326) + ('Methodology &amp; Assumptions'!$B$6*W326), 2)</f>
        <v/>
      </c>
      <c r="Y326" s="28" t="n">
        <v>7.2</v>
      </c>
      <c r="Z326" s="11" t="inlineStr">
        <is>
          <t>Priority Tier 2 (Balanced Opportunity)</t>
        </is>
      </c>
    </row>
    <row r="327">
      <c r="A327" s="23" t="n">
        <v>3</v>
      </c>
      <c r="B327" s="23" t="n">
        <v>323</v>
      </c>
      <c r="C327" s="23" t="n">
        <v>2323</v>
      </c>
      <c r="D327" s="23" t="inlineStr">
        <is>
          <t>0301411004</t>
        </is>
      </c>
      <c r="E327" s="11" t="inlineStr">
        <is>
          <t>Region III (Central Luzon)</t>
        </is>
      </c>
      <c r="F327" s="11" t="inlineStr">
        <is>
          <t>Bulacan</t>
        </is>
      </c>
      <c r="G327" s="11" t="inlineStr">
        <is>
          <t>Marilao</t>
        </is>
      </c>
      <c r="H327" s="11" t="inlineStr">
        <is>
          <t>Lambakin</t>
        </is>
      </c>
      <c r="I327" s="24" t="n">
        <v>14.771414</v>
      </c>
      <c r="J327" s="24" t="n">
        <v>120.978769</v>
      </c>
      <c r="K327" s="23" t="inlineStr">
        <is>
          <t>U</t>
        </is>
      </c>
      <c r="L327" s="25" t="n">
        <v>50365</v>
      </c>
      <c r="M327" s="26" t="n">
        <v>3.5</v>
      </c>
      <c r="N327" s="25">
        <f>ROUND(L327/M327, 0)</f>
        <v/>
      </c>
      <c r="O327" s="25">
        <f>ROUND(N327*'Methodology &amp; Assumptions'!$B$7, 0)</f>
        <v/>
      </c>
      <c r="P327" s="23" t="inlineStr">
        <is>
          <t>Single Carrier (Band n50, 100MHz TDD)</t>
        </is>
      </c>
      <c r="Q327" s="27">
        <f>ROUNDUP(O327/'Methodology &amp; Assumptions'!$B$8, 0)</f>
        <v/>
      </c>
      <c r="R327" s="27" t="n">
        <v>1</v>
      </c>
      <c r="S327" s="26" t="n">
        <v>1.33</v>
      </c>
      <c r="T327" s="26" t="n">
        <v>0.62</v>
      </c>
      <c r="U327" s="11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26" t="n">
        <v>75.06</v>
      </c>
      <c r="W327" s="26" t="n">
        <v>48.2</v>
      </c>
      <c r="X327" s="26">
        <f>ROUND(('Methodology &amp; Assumptions'!$B$5*V327) + ('Methodology &amp; Assumptions'!$B$6*W327), 2)</f>
        <v/>
      </c>
      <c r="Y327" s="28" t="n">
        <v>8.300000000000001</v>
      </c>
      <c r="Z327" s="11" t="inlineStr">
        <is>
          <t>Priority Tier 2 (Balanced Opportunity)</t>
        </is>
      </c>
    </row>
    <row r="328">
      <c r="A328" s="23" t="n">
        <v>3</v>
      </c>
      <c r="B328" s="23" t="n">
        <v>324</v>
      </c>
      <c r="C328" s="23" t="n">
        <v>2324</v>
      </c>
      <c r="D328" s="23" t="inlineStr">
        <is>
          <t>0402120017</t>
        </is>
      </c>
      <c r="E328" s="11" t="inlineStr">
        <is>
          <t>Region IV-A (CALABARZON)</t>
        </is>
      </c>
      <c r="F328" s="11" t="inlineStr">
        <is>
          <t>Cavite</t>
        </is>
      </c>
      <c r="G328" s="11" t="inlineStr">
        <is>
          <t>Tanza</t>
        </is>
      </c>
      <c r="H328" s="11" t="inlineStr">
        <is>
          <t>Barangay II</t>
        </is>
      </c>
      <c r="I328" s="24" t="n">
        <v>14.399647</v>
      </c>
      <c r="J328" s="24" t="n">
        <v>120.855278</v>
      </c>
      <c r="K328" s="23" t="inlineStr">
        <is>
          <t>R</t>
        </is>
      </c>
      <c r="L328" s="25" t="n">
        <v>1320</v>
      </c>
      <c r="M328" s="26" t="n">
        <v>3.4</v>
      </c>
      <c r="N328" s="25">
        <f>ROUND(L328/M328, 0)</f>
        <v/>
      </c>
      <c r="O328" s="25">
        <f>ROUND(N328*'Methodology &amp; Assumptions'!$B$7, 0)</f>
        <v/>
      </c>
      <c r="P328" s="23" t="inlineStr">
        <is>
          <t>Single Carrier (Band n50, 100MHz TDD)</t>
        </is>
      </c>
      <c r="Q328" s="27">
        <f>ROUNDUP(O328/'Methodology &amp; Assumptions'!$B$8, 0)</f>
        <v/>
      </c>
      <c r="R328" s="27" t="n">
        <v>1</v>
      </c>
      <c r="S328" s="26" t="n">
        <v>0.75</v>
      </c>
      <c r="T328" s="26" t="n">
        <v>0.72</v>
      </c>
      <c r="U328" s="11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26" t="n">
        <v>71.48</v>
      </c>
      <c r="W328" s="26" t="n">
        <v>51.78</v>
      </c>
      <c r="X328" s="26">
        <f>ROUND(('Methodology &amp; Assumptions'!$B$5*V328) + ('Methodology &amp; Assumptions'!$B$6*W328), 2)</f>
        <v/>
      </c>
      <c r="Y328" s="28" t="n">
        <v>7.2</v>
      </c>
      <c r="Z328" s="11" t="inlineStr">
        <is>
          <t>Priority Tier 2 (Balanced Opportunity)</t>
        </is>
      </c>
    </row>
    <row r="329">
      <c r="A329" s="23" t="n">
        <v>3</v>
      </c>
      <c r="B329" s="23" t="n">
        <v>325</v>
      </c>
      <c r="C329" s="23" t="n">
        <v>2325</v>
      </c>
      <c r="D329" s="23" t="inlineStr">
        <is>
          <t>0501705014</t>
        </is>
      </c>
      <c r="E329" s="11" t="inlineStr">
        <is>
          <t>Region V (Bicol Region)</t>
        </is>
      </c>
      <c r="F329" s="11" t="inlineStr">
        <is>
          <t>Camarines Sur</t>
        </is>
      </c>
      <c r="G329" s="11" t="inlineStr">
        <is>
          <t>Buhi</t>
        </is>
      </c>
      <c r="H329" s="11" t="inlineStr">
        <is>
          <t>Iraya</t>
        </is>
      </c>
      <c r="I329" s="24" t="n">
        <v>13.471474</v>
      </c>
      <c r="J329" s="24" t="n">
        <v>123.525892</v>
      </c>
      <c r="K329" s="23" t="inlineStr">
        <is>
          <t>R</t>
        </is>
      </c>
      <c r="L329" s="25" t="n">
        <v>3170</v>
      </c>
      <c r="M329" s="26" t="n">
        <v>4.2</v>
      </c>
      <c r="N329" s="25">
        <f>ROUND(L329/M329, 0)</f>
        <v/>
      </c>
      <c r="O329" s="25">
        <f>ROUND(N329*'Methodology &amp; Assumptions'!$B$7, 0)</f>
        <v/>
      </c>
      <c r="P329" s="23" t="inlineStr">
        <is>
          <t>Single Carrier (Band n50, 100MHz TDD)</t>
        </is>
      </c>
      <c r="Q329" s="27">
        <f>ROUNDUP(O329/'Methodology &amp; Assumptions'!$B$8, 0)</f>
        <v/>
      </c>
      <c r="R329" s="27" t="n">
        <v>1</v>
      </c>
      <c r="S329" s="26" t="n">
        <v>6.28</v>
      </c>
      <c r="T329" s="26" t="n">
        <v>6.51</v>
      </c>
      <c r="U329" s="11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26" t="n">
        <v>67.44</v>
      </c>
      <c r="W329" s="26" t="n">
        <v>55.82</v>
      </c>
      <c r="X329" s="26">
        <f>ROUND(('Methodology &amp; Assumptions'!$B$5*V329) + ('Methodology &amp; Assumptions'!$B$6*W329), 2)</f>
        <v/>
      </c>
      <c r="Y329" s="28" t="n">
        <v>23.7</v>
      </c>
      <c r="Z329" s="11" t="inlineStr">
        <is>
          <t>Priority Tier 2 (Balanced Opportunity)</t>
        </is>
      </c>
    </row>
    <row r="330">
      <c r="A330" s="23" t="n">
        <v>3</v>
      </c>
      <c r="B330" s="23" t="n">
        <v>326</v>
      </c>
      <c r="C330" s="23" t="n">
        <v>2326</v>
      </c>
      <c r="D330" s="23" t="inlineStr">
        <is>
          <t>1381300139</t>
        </is>
      </c>
      <c r="E330" s="11" t="inlineStr">
        <is>
          <t>National Capital Region (NCR)</t>
        </is>
      </c>
      <c r="F330" s="11" t="inlineStr">
        <is>
          <t>Second District (Not a Province)</t>
        </is>
      </c>
      <c r="G330" s="11" t="inlineStr">
        <is>
          <t>Quezon City</t>
        </is>
      </c>
      <c r="H330" s="11" t="inlineStr">
        <is>
          <t>Batasan Hills</t>
        </is>
      </c>
      <c r="I330" s="24" t="n">
        <v>14.69077</v>
      </c>
      <c r="J330" s="24" t="n">
        <v>121.095968</v>
      </c>
      <c r="K330" s="23" t="inlineStr">
        <is>
          <t>U</t>
        </is>
      </c>
      <c r="L330" s="25" t="n">
        <v>168770</v>
      </c>
      <c r="M330" s="26" t="n">
        <v>3.89</v>
      </c>
      <c r="N330" s="25">
        <f>ROUND(L330/M330, 0)</f>
        <v/>
      </c>
      <c r="O330" s="25">
        <f>ROUND(N330*'Methodology &amp; Assumptions'!$B$7, 0)</f>
        <v/>
      </c>
      <c r="P330" s="23" t="inlineStr">
        <is>
          <t>Single Carrier (Band n50, 100MHz TDD)</t>
        </is>
      </c>
      <c r="Q330" s="27">
        <f>ROUNDUP(O330/'Methodology &amp; Assumptions'!$B$8, 0)</f>
        <v/>
      </c>
      <c r="R330" s="27" t="n">
        <v>1</v>
      </c>
      <c r="S330" s="26" t="n">
        <v>0.96</v>
      </c>
      <c r="T330" s="26" t="n">
        <v>0.05</v>
      </c>
      <c r="U330" s="11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26" t="n">
        <v>63.36</v>
      </c>
      <c r="W330" s="26" t="n">
        <v>59.9</v>
      </c>
      <c r="X330" s="26">
        <f>ROUND(('Methodology &amp; Assumptions'!$B$5*V330) + ('Methodology &amp; Assumptions'!$B$6*W330), 2)</f>
        <v/>
      </c>
      <c r="Y330" s="28" t="n">
        <v>10.9</v>
      </c>
      <c r="Z330" s="11" t="inlineStr">
        <is>
          <t>Priority Tier 2 (Balanced Opportunity)</t>
        </is>
      </c>
    </row>
    <row r="331">
      <c r="A331" s="23" t="n">
        <v>3</v>
      </c>
      <c r="B331" s="23" t="n">
        <v>327</v>
      </c>
      <c r="C331" s="23" t="n">
        <v>2327</v>
      </c>
      <c r="D331" s="23" t="inlineStr">
        <is>
          <t>1908713015</t>
        </is>
      </c>
      <c r="E331" s="11" t="inlineStr">
        <is>
          <t>Bangsamoro Autonomous Region In Muslim Mindanao (BARMM)</t>
        </is>
      </c>
      <c r="F331" s="11" t="inlineStr">
        <is>
          <t>Maguindanao del Norte</t>
        </is>
      </c>
      <c r="G331" s="11" t="inlineStr">
        <is>
          <t>Upi</t>
        </is>
      </c>
      <c r="H331" s="11" t="inlineStr">
        <is>
          <t>Nangi</t>
        </is>
      </c>
      <c r="I331" s="24" t="n">
        <v>6.991972</v>
      </c>
      <c r="J331" s="24" t="n">
        <v>124.203248</v>
      </c>
      <c r="K331" s="23" t="inlineStr">
        <is>
          <t>R</t>
        </is>
      </c>
      <c r="L331" s="25" t="n">
        <v>8566</v>
      </c>
      <c r="M331" s="26" t="n">
        <v>4.3</v>
      </c>
      <c r="N331" s="25">
        <f>ROUND(L331/M331, 0)</f>
        <v/>
      </c>
      <c r="O331" s="25">
        <f>ROUND(N331*'Methodology &amp; Assumptions'!$B$7, 0)</f>
        <v/>
      </c>
      <c r="P331" s="23" t="inlineStr">
        <is>
          <t>Single Carrier (Band n50, 100MHz TDD)</t>
        </is>
      </c>
      <c r="Q331" s="27">
        <f>ROUNDUP(O331/'Methodology &amp; Assumptions'!$B$8, 0)</f>
        <v/>
      </c>
      <c r="R331" s="27" t="n">
        <v>1</v>
      </c>
      <c r="S331" s="26" t="n">
        <v>61.85</v>
      </c>
      <c r="T331" s="26" t="n">
        <v>61.79</v>
      </c>
      <c r="U331" s="11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26" t="n">
        <v>59.06</v>
      </c>
      <c r="W331" s="26" t="n">
        <v>64.20999999999999</v>
      </c>
      <c r="X331" s="26">
        <f>ROUND(('Methodology &amp; Assumptions'!$B$5*V331) + ('Methodology &amp; Assumptions'!$B$6*W331), 2)</f>
        <v/>
      </c>
      <c r="Y331" s="28" t="n">
        <v>11</v>
      </c>
      <c r="Z331" s="11" t="inlineStr">
        <is>
          <t>Priority Tier 2 (Balanced Opportunity)</t>
        </is>
      </c>
    </row>
    <row r="332">
      <c r="A332" s="23" t="n">
        <v>3</v>
      </c>
      <c r="B332" s="23" t="n">
        <v>328</v>
      </c>
      <c r="C332" s="23" t="n">
        <v>2328</v>
      </c>
      <c r="D332" s="23" t="inlineStr">
        <is>
          <t>1381100022</t>
        </is>
      </c>
      <c r="E332" s="11" t="inlineStr">
        <is>
          <t>National Capital Region (NCR)</t>
        </is>
      </c>
      <c r="F332" s="11" t="inlineStr">
        <is>
          <t>Fourth District (Not a Province)</t>
        </is>
      </c>
      <c r="G332" s="11" t="inlineStr">
        <is>
          <t>Pasay City</t>
        </is>
      </c>
      <c r="H332" s="11" t="inlineStr">
        <is>
          <t>Barangay 22</t>
        </is>
      </c>
      <c r="I332" s="24" t="n">
        <v>14.55596</v>
      </c>
      <c r="J332" s="24" t="n">
        <v>120.993547</v>
      </c>
      <c r="K332" s="23" t="inlineStr">
        <is>
          <t>U</t>
        </is>
      </c>
      <c r="L332" s="25" t="n">
        <v>1224</v>
      </c>
      <c r="M332" s="26" t="n">
        <v>3.4</v>
      </c>
      <c r="N332" s="25">
        <f>ROUND(L332/M332, 0)</f>
        <v/>
      </c>
      <c r="O332" s="25">
        <f>ROUND(N332*'Methodology &amp; Assumptions'!$B$7, 0)</f>
        <v/>
      </c>
      <c r="P332" s="23" t="inlineStr">
        <is>
          <t>Single Carrier (Band n50, 100MHz TDD)</t>
        </is>
      </c>
      <c r="Q332" s="27">
        <f>ROUNDUP(O332/'Methodology &amp; Assumptions'!$B$8, 0)</f>
        <v/>
      </c>
      <c r="R332" s="27" t="n">
        <v>1</v>
      </c>
      <c r="S332" s="26" t="n">
        <v>0.36</v>
      </c>
      <c r="T332" s="26" t="n">
        <v>0.34</v>
      </c>
      <c r="U332" s="11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26" t="n">
        <v>52.66</v>
      </c>
      <c r="W332" s="26" t="n">
        <v>70.59</v>
      </c>
      <c r="X332" s="26">
        <f>ROUND(('Methodology &amp; Assumptions'!$B$5*V332) + ('Methodology &amp; Assumptions'!$B$6*W332), 2)</f>
        <v/>
      </c>
      <c r="Y332" s="28" t="n">
        <v>10.9</v>
      </c>
      <c r="Z332" s="11" t="inlineStr">
        <is>
          <t>Priority Tier 2 (Balanced Opportunity)</t>
        </is>
      </c>
    </row>
    <row r="333">
      <c r="A333" s="23" t="n">
        <v>3</v>
      </c>
      <c r="B333" s="23" t="n">
        <v>329</v>
      </c>
      <c r="C333" s="23" t="n">
        <v>2329</v>
      </c>
      <c r="D333" s="23" t="inlineStr">
        <is>
          <t>1380604005</t>
        </is>
      </c>
      <c r="E333" s="11" t="inlineStr">
        <is>
          <t>National Capital Region (NCR)</t>
        </is>
      </c>
      <c r="F333" s="11" t="inlineStr">
        <is>
          <t>First District (Not a Province)</t>
        </is>
      </c>
      <c r="G333" s="11" t="inlineStr">
        <is>
          <t>City of Manila</t>
        </is>
      </c>
      <c r="H333" s="11" t="inlineStr">
        <is>
          <t>Barangay 272</t>
        </is>
      </c>
      <c r="I333" s="24" t="n">
        <v>14.59984</v>
      </c>
      <c r="J333" s="24" t="n">
        <v>120.967631</v>
      </c>
      <c r="K333" s="23" t="inlineStr">
        <is>
          <t>U</t>
        </is>
      </c>
      <c r="L333" s="25" t="n">
        <v>1103</v>
      </c>
      <c r="M333" s="26" t="n">
        <v>4.13</v>
      </c>
      <c r="N333" s="25">
        <f>ROUND(L333/M333, 0)</f>
        <v/>
      </c>
      <c r="O333" s="25">
        <f>ROUND(N333*'Methodology &amp; Assumptions'!$B$7, 0)</f>
        <v/>
      </c>
      <c r="P333" s="23" t="inlineStr">
        <is>
          <t>Single Carrier (Band n50, 100MHz TDD)</t>
        </is>
      </c>
      <c r="Q333" s="27">
        <f>ROUNDUP(O333/'Methodology &amp; Assumptions'!$B$8, 0)</f>
        <v/>
      </c>
      <c r="R333" s="27" t="n">
        <v>1</v>
      </c>
      <c r="S333" s="26" t="n">
        <v>0.8</v>
      </c>
      <c r="T333" s="26" t="n">
        <v>0.8</v>
      </c>
      <c r="U333" s="11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26" t="n">
        <v>49.66</v>
      </c>
      <c r="W333" s="26" t="n">
        <v>73.59</v>
      </c>
      <c r="X333" s="26">
        <f>ROUND(('Methodology &amp; Assumptions'!$B$5*V333) + ('Methodology &amp; Assumptions'!$B$6*W333), 2)</f>
        <v/>
      </c>
      <c r="Y333" s="28" t="n">
        <v>10.9</v>
      </c>
      <c r="Z333" s="11" t="inlineStr">
        <is>
          <t>Priority Tier 2 (Balanced Opportunity)</t>
        </is>
      </c>
    </row>
    <row r="334">
      <c r="A334" s="23" t="n">
        <v>3</v>
      </c>
      <c r="B334" s="23" t="n">
        <v>330</v>
      </c>
      <c r="C334" s="23" t="n">
        <v>2330</v>
      </c>
      <c r="D334" s="23" t="inlineStr">
        <is>
          <t>1907005022</t>
        </is>
      </c>
      <c r="E334" s="11" t="inlineStr">
        <is>
          <t>Bangsamoro Autonomous Region In Muslim Mindanao (BARMM)</t>
        </is>
      </c>
      <c r="F334" s="11" t="inlineStr">
        <is>
          <t>Tawi-Tawi</t>
        </is>
      </c>
      <c r="G334" s="11" t="inlineStr">
        <is>
          <t>Sitangkai</t>
        </is>
      </c>
      <c r="H334" s="11" t="inlineStr">
        <is>
          <t>North Larap</t>
        </is>
      </c>
      <c r="I334" s="24" t="n">
        <v>4.784106</v>
      </c>
      <c r="J334" s="24" t="n">
        <v>119.418336</v>
      </c>
      <c r="K334" s="23" t="inlineStr">
        <is>
          <t>R</t>
        </is>
      </c>
      <c r="L334" s="25" t="n">
        <v>3176</v>
      </c>
      <c r="M334" s="26" t="n">
        <v>5.8</v>
      </c>
      <c r="N334" s="25">
        <f>ROUND(L334/M334, 0)</f>
        <v/>
      </c>
      <c r="O334" s="25">
        <f>ROUND(N334*'Methodology &amp; Assumptions'!$B$7, 0)</f>
        <v/>
      </c>
      <c r="P334" s="23" t="inlineStr">
        <is>
          <t>Single Carrier (Band n50, 100MHz TDD)</t>
        </is>
      </c>
      <c r="Q334" s="27">
        <f>ROUNDUP(O334/'Methodology &amp; Assumptions'!$B$8, 0)</f>
        <v/>
      </c>
      <c r="R334" s="27" t="n">
        <v>1</v>
      </c>
      <c r="S334" s="26" t="n">
        <v>999</v>
      </c>
      <c r="T334" s="26" t="n">
        <v>999</v>
      </c>
      <c r="U334" s="11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26" t="n">
        <v>48.62</v>
      </c>
      <c r="W334" s="26" t="n">
        <v>74.65000000000001</v>
      </c>
      <c r="X334" s="26">
        <f>ROUND(('Methodology &amp; Assumptions'!$B$5*V334) + ('Methodology &amp; Assumptions'!$B$6*W334), 2)</f>
        <v/>
      </c>
      <c r="Y334" s="28" t="n">
        <v>11</v>
      </c>
      <c r="Z334" s="11" t="inlineStr">
        <is>
          <t>Priority Tier 2 (Balanced Opportunity)</t>
        </is>
      </c>
    </row>
    <row r="335">
      <c r="A335" s="23" t="n">
        <v>3</v>
      </c>
      <c r="B335" s="23" t="n">
        <v>331</v>
      </c>
      <c r="C335" s="23" t="n">
        <v>2331</v>
      </c>
      <c r="D335" s="23" t="inlineStr">
        <is>
          <t>1380200007</t>
        </is>
      </c>
      <c r="E335" s="11" t="inlineStr">
        <is>
          <t>National Capital Region (NCR)</t>
        </is>
      </c>
      <c r="F335" s="11" t="inlineStr">
        <is>
          <t>Fourth District (Not a Province)</t>
        </is>
      </c>
      <c r="G335" s="11" t="inlineStr">
        <is>
          <t>City of Las Piñas</t>
        </is>
      </c>
      <c r="H335" s="11" t="inlineStr">
        <is>
          <t>Pulang Lupa Uno</t>
        </is>
      </c>
      <c r="I335" s="24" t="n">
        <v>14.471709</v>
      </c>
      <c r="J335" s="24" t="n">
        <v>120.971988</v>
      </c>
      <c r="K335" s="23" t="inlineStr">
        <is>
          <t>U</t>
        </is>
      </c>
      <c r="L335" s="25" t="n">
        <v>36908</v>
      </c>
      <c r="M335" s="26" t="n">
        <v>3.82</v>
      </c>
      <c r="N335" s="25">
        <f>ROUND(L335/M335, 0)</f>
        <v/>
      </c>
      <c r="O335" s="25">
        <f>ROUND(N335*'Methodology &amp; Assumptions'!$B$7, 0)</f>
        <v/>
      </c>
      <c r="P335" s="23" t="inlineStr">
        <is>
          <t>Single Carrier (Band n50, 100MHz TDD)</t>
        </is>
      </c>
      <c r="Q335" s="27">
        <f>ROUNDUP(O335/'Methodology &amp; Assumptions'!$B$8, 0)</f>
        <v/>
      </c>
      <c r="R335" s="27" t="n">
        <v>1</v>
      </c>
      <c r="S335" s="26" t="n">
        <v>1.13</v>
      </c>
      <c r="T335" s="26" t="n">
        <v>0.59</v>
      </c>
      <c r="U335" s="11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26" t="n">
        <v>66</v>
      </c>
      <c r="W335" s="26" t="n">
        <v>57.24</v>
      </c>
      <c r="X335" s="26">
        <f>ROUND(('Methodology &amp; Assumptions'!$B$5*V335) + ('Methodology &amp; Assumptions'!$B$6*W335), 2)</f>
        <v/>
      </c>
      <c r="Y335" s="28" t="n">
        <v>10.9</v>
      </c>
      <c r="Z335" s="11" t="inlineStr">
        <is>
          <t>Priority Tier 2 (Balanced Opportunity)</t>
        </is>
      </c>
    </row>
    <row r="336">
      <c r="A336" s="23" t="n">
        <v>3</v>
      </c>
      <c r="B336" s="23" t="n">
        <v>332</v>
      </c>
      <c r="C336" s="23" t="n">
        <v>2332</v>
      </c>
      <c r="D336" s="23" t="inlineStr">
        <is>
          <t>1380609002</t>
        </is>
      </c>
      <c r="E336" s="11" t="inlineStr">
        <is>
          <t>National Capital Region (NCR)</t>
        </is>
      </c>
      <c r="F336" s="11" t="inlineStr">
        <is>
          <t>First District (Not a Province)</t>
        </is>
      </c>
      <c r="G336" s="11" t="inlineStr">
        <is>
          <t>City of Manila</t>
        </is>
      </c>
      <c r="H336" s="11" t="inlineStr">
        <is>
          <t>Barangay 655</t>
        </is>
      </c>
      <c r="I336" s="24" t="n">
        <v>14.591509</v>
      </c>
      <c r="J336" s="24" t="n">
        <v>120.974106</v>
      </c>
      <c r="K336" s="23" t="inlineStr">
        <is>
          <t>U</t>
        </is>
      </c>
      <c r="L336" s="25" t="n">
        <v>1714</v>
      </c>
      <c r="M336" s="26" t="n">
        <v>3.77</v>
      </c>
      <c r="N336" s="25">
        <f>ROUND(L336/M336, 0)</f>
        <v/>
      </c>
      <c r="O336" s="25">
        <f>ROUND(N336*'Methodology &amp; Assumptions'!$B$7, 0)</f>
        <v/>
      </c>
      <c r="P336" s="23" t="inlineStr">
        <is>
          <t>Single Carrier (Band n50, 100MHz TDD)</t>
        </is>
      </c>
      <c r="Q336" s="27">
        <f>ROUNDUP(O336/'Methodology &amp; Assumptions'!$B$8, 0)</f>
        <v/>
      </c>
      <c r="R336" s="27" t="n">
        <v>1</v>
      </c>
      <c r="S336" s="26" t="n">
        <v>1.1</v>
      </c>
      <c r="T336" s="26" t="n">
        <v>0.8</v>
      </c>
      <c r="U336" s="11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26" t="n">
        <v>54.65</v>
      </c>
      <c r="W336" s="26" t="n">
        <v>68.58</v>
      </c>
      <c r="X336" s="26">
        <f>ROUND(('Methodology &amp; Assumptions'!$B$5*V336) + ('Methodology &amp; Assumptions'!$B$6*W336), 2)</f>
        <v/>
      </c>
      <c r="Y336" s="28" t="n">
        <v>10.9</v>
      </c>
      <c r="Z336" s="11" t="inlineStr">
        <is>
          <t>Priority Tier 2 (Balanced Opportunity)</t>
        </is>
      </c>
    </row>
    <row r="337">
      <c r="A337" s="23" t="n">
        <v>3</v>
      </c>
      <c r="B337" s="23" t="n">
        <v>333</v>
      </c>
      <c r="C337" s="23" t="n">
        <v>2333</v>
      </c>
      <c r="D337" s="23" t="inlineStr">
        <is>
          <t>1380606014</t>
        </is>
      </c>
      <c r="E337" s="11" t="inlineStr">
        <is>
          <t>National Capital Region (NCR)</t>
        </is>
      </c>
      <c r="F337" s="11" t="inlineStr">
        <is>
          <t>First District (Not a Province)</t>
        </is>
      </c>
      <c r="G337" s="11" t="inlineStr">
        <is>
          <t>City of Manila</t>
        </is>
      </c>
      <c r="H337" s="11" t="inlineStr">
        <is>
          <t>Barangay 408</t>
        </is>
      </c>
      <c r="I337" s="24" t="n">
        <v>14.605277</v>
      </c>
      <c r="J337" s="24" t="n">
        <v>120.994765</v>
      </c>
      <c r="K337" s="23" t="inlineStr">
        <is>
          <t>U</t>
        </is>
      </c>
      <c r="L337" s="25" t="n">
        <v>1774</v>
      </c>
      <c r="M337" s="26" t="n">
        <v>4.32</v>
      </c>
      <c r="N337" s="25">
        <f>ROUND(L337/M337, 0)</f>
        <v/>
      </c>
      <c r="O337" s="25">
        <f>ROUND(N337*'Methodology &amp; Assumptions'!$B$7, 0)</f>
        <v/>
      </c>
      <c r="P337" s="23" t="inlineStr">
        <is>
          <t>Single Carrier (Band n50, 100MHz TDD)</t>
        </is>
      </c>
      <c r="Q337" s="27">
        <f>ROUNDUP(O337/'Methodology &amp; Assumptions'!$B$8, 0)</f>
        <v/>
      </c>
      <c r="R337" s="27" t="n">
        <v>1</v>
      </c>
      <c r="S337" s="26" t="n">
        <v>0.45</v>
      </c>
      <c r="T337" s="26" t="n">
        <v>0.29</v>
      </c>
      <c r="U337" s="11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26" t="n">
        <v>54.27</v>
      </c>
      <c r="W337" s="26" t="n">
        <v>68.95</v>
      </c>
      <c r="X337" s="26">
        <f>ROUND(('Methodology &amp; Assumptions'!$B$5*V337) + ('Methodology &amp; Assumptions'!$B$6*W337), 2)</f>
        <v/>
      </c>
      <c r="Y337" s="28" t="n">
        <v>10.9</v>
      </c>
      <c r="Z337" s="11" t="inlineStr">
        <is>
          <t>Priority Tier 2 (Balanced Opportunity)</t>
        </is>
      </c>
    </row>
    <row r="338">
      <c r="A338" s="23" t="n">
        <v>3</v>
      </c>
      <c r="B338" s="23" t="n">
        <v>334</v>
      </c>
      <c r="C338" s="23" t="n">
        <v>2334</v>
      </c>
      <c r="D338" s="23" t="inlineStr">
        <is>
          <t>1381100008</t>
        </is>
      </c>
      <c r="E338" s="11" t="inlineStr">
        <is>
          <t>National Capital Region (NCR)</t>
        </is>
      </c>
      <c r="F338" s="11" t="inlineStr">
        <is>
          <t>Fourth District (Not a Province)</t>
        </is>
      </c>
      <c r="G338" s="11" t="inlineStr">
        <is>
          <t>Pasay City</t>
        </is>
      </c>
      <c r="H338" s="11" t="inlineStr">
        <is>
          <t>Barangay 8</t>
        </is>
      </c>
      <c r="I338" s="24" t="n">
        <v>14.553557</v>
      </c>
      <c r="J338" s="24" t="n">
        <v>120.991727</v>
      </c>
      <c r="K338" s="23" t="inlineStr">
        <is>
          <t>U</t>
        </is>
      </c>
      <c r="L338" s="25" t="n">
        <v>1147</v>
      </c>
      <c r="M338" s="26" t="n">
        <v>3.13</v>
      </c>
      <c r="N338" s="25">
        <f>ROUND(L338/M338, 0)</f>
        <v/>
      </c>
      <c r="O338" s="25">
        <f>ROUND(N338*'Methodology &amp; Assumptions'!$B$7, 0)</f>
        <v/>
      </c>
      <c r="P338" s="23" t="inlineStr">
        <is>
          <t>Single Carrier (Band n50, 100MHz TDD)</t>
        </is>
      </c>
      <c r="Q338" s="27">
        <f>ROUNDUP(O338/'Methodology &amp; Assumptions'!$B$8, 0)</f>
        <v/>
      </c>
      <c r="R338" s="27" t="n">
        <v>1</v>
      </c>
      <c r="S338" s="26" t="n">
        <v>0.03</v>
      </c>
      <c r="T338" s="26" t="n">
        <v>0.04</v>
      </c>
      <c r="U338" s="11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26" t="n">
        <v>52.87</v>
      </c>
      <c r="W338" s="26" t="n">
        <v>70.34</v>
      </c>
      <c r="X338" s="26">
        <f>ROUND(('Methodology &amp; Assumptions'!$B$5*V338) + ('Methodology &amp; Assumptions'!$B$6*W338), 2)</f>
        <v/>
      </c>
      <c r="Y338" s="28" t="n">
        <v>10.9</v>
      </c>
      <c r="Z338" s="11" t="inlineStr">
        <is>
          <t>Priority Tier 2 (Balanced Opportunity)</t>
        </is>
      </c>
    </row>
    <row r="339">
      <c r="A339" s="23" t="n">
        <v>3</v>
      </c>
      <c r="B339" s="23" t="n">
        <v>335</v>
      </c>
      <c r="C339" s="23" t="n">
        <v>2335</v>
      </c>
      <c r="D339" s="23" t="inlineStr">
        <is>
          <t>0402120016</t>
        </is>
      </c>
      <c r="E339" s="11" t="inlineStr">
        <is>
          <t>Region IV-A (CALABARZON)</t>
        </is>
      </c>
      <c r="F339" s="11" t="inlineStr">
        <is>
          <t>Cavite</t>
        </is>
      </c>
      <c r="G339" s="11" t="inlineStr">
        <is>
          <t>Tanza</t>
        </is>
      </c>
      <c r="H339" s="11" t="inlineStr">
        <is>
          <t>Barangay I</t>
        </is>
      </c>
      <c r="I339" s="24" t="n">
        <v>14.400255</v>
      </c>
      <c r="J339" s="24" t="n">
        <v>120.85779</v>
      </c>
      <c r="K339" s="23" t="inlineStr">
        <is>
          <t>R</t>
        </is>
      </c>
      <c r="L339" s="25" t="n">
        <v>1513</v>
      </c>
      <c r="M339" s="26" t="n">
        <v>3.4</v>
      </c>
      <c r="N339" s="25">
        <f>ROUND(L339/M339, 0)</f>
        <v/>
      </c>
      <c r="O339" s="25">
        <f>ROUND(N339*'Methodology &amp; Assumptions'!$B$7, 0)</f>
        <v/>
      </c>
      <c r="P339" s="23" t="inlineStr">
        <is>
          <t>Single Carrier (Band n50, 100MHz TDD)</t>
        </is>
      </c>
      <c r="Q339" s="27">
        <f>ROUNDUP(O339/'Methodology &amp; Assumptions'!$B$8, 0)</f>
        <v/>
      </c>
      <c r="R339" s="27" t="n">
        <v>1</v>
      </c>
      <c r="S339" s="26" t="n">
        <v>0.51</v>
      </c>
      <c r="T339" s="26" t="n">
        <v>0.6</v>
      </c>
      <c r="U339" s="11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26" t="n">
        <v>73.43000000000001</v>
      </c>
      <c r="W339" s="26" t="n">
        <v>49.77</v>
      </c>
      <c r="X339" s="26">
        <f>ROUND(('Methodology &amp; Assumptions'!$B$5*V339) + ('Methodology &amp; Assumptions'!$B$6*W339), 2)</f>
        <v/>
      </c>
      <c r="Y339" s="28" t="n">
        <v>7.2</v>
      </c>
      <c r="Z339" s="11" t="inlineStr">
        <is>
          <t>Priority Tier 2 (Balanced Opportunity)</t>
        </is>
      </c>
    </row>
    <row r="340">
      <c r="A340" s="23" t="n">
        <v>3</v>
      </c>
      <c r="B340" s="23" t="n">
        <v>336</v>
      </c>
      <c r="C340" s="23" t="n">
        <v>2336</v>
      </c>
      <c r="D340" s="23" t="inlineStr">
        <is>
          <t>1380200004</t>
        </is>
      </c>
      <c r="E340" s="11" t="inlineStr">
        <is>
          <t>National Capital Region (NCR)</t>
        </is>
      </c>
      <c r="F340" s="11" t="inlineStr">
        <is>
          <t>Fourth District (Not a Province)</t>
        </is>
      </c>
      <c r="G340" s="11" t="inlineStr">
        <is>
          <t>City of Las Piñas</t>
        </is>
      </c>
      <c r="H340" s="11" t="inlineStr">
        <is>
          <t>Ilaya</t>
        </is>
      </c>
      <c r="I340" s="24" t="n">
        <v>14.477468</v>
      </c>
      <c r="J340" s="24" t="n">
        <v>120.981351</v>
      </c>
      <c r="K340" s="23" t="inlineStr">
        <is>
          <t>U</t>
        </is>
      </c>
      <c r="L340" s="25" t="n">
        <v>7287</v>
      </c>
      <c r="M340" s="26" t="n">
        <v>3.88</v>
      </c>
      <c r="N340" s="25">
        <f>ROUND(L340/M340, 0)</f>
        <v/>
      </c>
      <c r="O340" s="25">
        <f>ROUND(N340*'Methodology &amp; Assumptions'!$B$7, 0)</f>
        <v/>
      </c>
      <c r="P340" s="23" t="inlineStr">
        <is>
          <t>Single Carrier (Band n50, 100MHz TDD)</t>
        </is>
      </c>
      <c r="Q340" s="27">
        <f>ROUNDUP(O340/'Methodology &amp; Assumptions'!$B$8, 0)</f>
        <v/>
      </c>
      <c r="R340" s="27" t="n">
        <v>1</v>
      </c>
      <c r="S340" s="26" t="n">
        <v>1.46</v>
      </c>
      <c r="T340" s="26" t="n">
        <v>0.12</v>
      </c>
      <c r="U340" s="11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26" t="n">
        <v>66.76000000000001</v>
      </c>
      <c r="W340" s="26" t="n">
        <v>56.45</v>
      </c>
      <c r="X340" s="26">
        <f>ROUND(('Methodology &amp; Assumptions'!$B$5*V340) + ('Methodology &amp; Assumptions'!$B$6*W340), 2)</f>
        <v/>
      </c>
      <c r="Y340" s="28" t="n">
        <v>10.9</v>
      </c>
      <c r="Z340" s="11" t="inlineStr">
        <is>
          <t>Priority Tier 2 (Balanced Opportunity)</t>
        </is>
      </c>
    </row>
    <row r="341">
      <c r="A341" s="23" t="n">
        <v>3</v>
      </c>
      <c r="B341" s="23" t="n">
        <v>337</v>
      </c>
      <c r="C341" s="23" t="n">
        <v>2337</v>
      </c>
      <c r="D341" s="23" t="inlineStr">
        <is>
          <t>0601917028</t>
        </is>
      </c>
      <c r="E341" s="11" t="inlineStr">
        <is>
          <t>Region VI (Western Visayas)</t>
        </is>
      </c>
      <c r="F341" s="11" t="inlineStr">
        <is>
          <t>Capiz</t>
        </is>
      </c>
      <c r="G341" s="11" t="inlineStr">
        <is>
          <t>Tapaz</t>
        </is>
      </c>
      <c r="H341" s="11" t="inlineStr">
        <is>
          <t>Maliao</t>
        </is>
      </c>
      <c r="I341" s="24" t="n">
        <v>11.353851</v>
      </c>
      <c r="J341" s="24" t="n">
        <v>122.35911</v>
      </c>
      <c r="K341" s="23" t="inlineStr">
        <is>
          <t>R</t>
        </is>
      </c>
      <c r="L341" s="25" t="n">
        <v>850</v>
      </c>
      <c r="M341" s="26" t="n">
        <v>3.8</v>
      </c>
      <c r="N341" s="25">
        <f>ROUND(L341/M341, 0)</f>
        <v/>
      </c>
      <c r="O341" s="25">
        <f>ROUND(N341*'Methodology &amp; Assumptions'!$B$7, 0)</f>
        <v/>
      </c>
      <c r="P341" s="23" t="inlineStr">
        <is>
          <t>Single Carrier (Band n50, 100MHz TDD)</t>
        </is>
      </c>
      <c r="Q341" s="27">
        <f>ROUNDUP(O341/'Methodology &amp; Assumptions'!$B$8, 0)</f>
        <v/>
      </c>
      <c r="R341" s="27" t="n">
        <v>1</v>
      </c>
      <c r="S341" s="26" t="n">
        <v>22.68</v>
      </c>
      <c r="T341" s="26" t="n">
        <v>22.34</v>
      </c>
      <c r="U341" s="11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26" t="n">
        <v>43</v>
      </c>
      <c r="W341" s="26" t="n">
        <v>80.19</v>
      </c>
      <c r="X341" s="26">
        <f>ROUND(('Methodology &amp; Assumptions'!$B$5*V341) + ('Methodology &amp; Assumptions'!$B$6*W341), 2)</f>
        <v/>
      </c>
      <c r="Y341" s="28" t="n">
        <v>23.7</v>
      </c>
      <c r="Z341" s="11" t="inlineStr">
        <is>
          <t>Priority Tier 2 (Balanced Opportunity)</t>
        </is>
      </c>
    </row>
    <row r="342">
      <c r="A342" s="23" t="n">
        <v>3</v>
      </c>
      <c r="B342" s="23" t="n">
        <v>338</v>
      </c>
      <c r="C342" s="23" t="n">
        <v>2338</v>
      </c>
      <c r="D342" s="23" t="inlineStr">
        <is>
          <t>0201505037</t>
        </is>
      </c>
      <c r="E342" s="11" t="inlineStr">
        <is>
          <t>Region II (Cagayan Valley)</t>
        </is>
      </c>
      <c r="F342" s="11" t="inlineStr">
        <is>
          <t>Cagayan</t>
        </is>
      </c>
      <c r="G342" s="11" t="inlineStr">
        <is>
          <t>Aparri</t>
        </is>
      </c>
      <c r="H342" s="11" t="inlineStr">
        <is>
          <t>Punta</t>
        </is>
      </c>
      <c r="I342" s="24" t="n">
        <v>18.359414</v>
      </c>
      <c r="J342" s="24" t="n">
        <v>121.635406</v>
      </c>
      <c r="K342" s="23" t="inlineStr">
        <is>
          <t>U</t>
        </is>
      </c>
      <c r="L342" s="25" t="n">
        <v>4977</v>
      </c>
      <c r="M342" s="26" t="n">
        <v>3.9</v>
      </c>
      <c r="N342" s="25">
        <f>ROUND(L342/M342, 0)</f>
        <v/>
      </c>
      <c r="O342" s="25">
        <f>ROUND(N342*'Methodology &amp; Assumptions'!$B$7, 0)</f>
        <v/>
      </c>
      <c r="P342" s="23" t="inlineStr">
        <is>
          <t>Single Carrier (Band n50, 100MHz TDD)</t>
        </is>
      </c>
      <c r="Q342" s="27">
        <f>ROUNDUP(O342/'Methodology &amp; Assumptions'!$B$8, 0)</f>
        <v/>
      </c>
      <c r="R342" s="27" t="n">
        <v>1</v>
      </c>
      <c r="S342" s="26" t="n">
        <v>0.36</v>
      </c>
      <c r="T342" s="26" t="n">
        <v>10.49</v>
      </c>
      <c r="U342" s="11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26" t="n">
        <v>76.89</v>
      </c>
      <c r="W342" s="26" t="n">
        <v>46.29</v>
      </c>
      <c r="X342" s="26">
        <f>ROUND(('Methodology &amp; Assumptions'!$B$5*V342) + ('Methodology &amp; Assumptions'!$B$6*W342), 2)</f>
        <v/>
      </c>
      <c r="Y342" s="28" t="n">
        <v>8.300000000000001</v>
      </c>
      <c r="Z342" s="11" t="inlineStr">
        <is>
          <t>Priority Tier 2 (Balanced Opportunity)</t>
        </is>
      </c>
    </row>
    <row r="343">
      <c r="A343" s="23" t="n">
        <v>3</v>
      </c>
      <c r="B343" s="23" t="n">
        <v>339</v>
      </c>
      <c r="C343" s="23" t="n">
        <v>2339</v>
      </c>
      <c r="D343" s="23" t="inlineStr">
        <is>
          <t>0103315016</t>
        </is>
      </c>
      <c r="E343" s="11" t="inlineStr">
        <is>
          <t>Region I (Ilocos Region)</t>
        </is>
      </c>
      <c r="F343" s="11" t="inlineStr">
        <is>
          <t>La Union</t>
        </is>
      </c>
      <c r="G343" s="11" t="inlineStr">
        <is>
          <t>San Gabriel</t>
        </is>
      </c>
      <c r="H343" s="11" t="inlineStr">
        <is>
          <t>Lipay Sur</t>
        </is>
      </c>
      <c r="I343" s="24" t="n">
        <v>16.698135</v>
      </c>
      <c r="J343" s="24" t="n">
        <v>120.431768</v>
      </c>
      <c r="K343" s="23" t="inlineStr">
        <is>
          <t>R</t>
        </is>
      </c>
      <c r="L343" s="25" t="n">
        <v>1000</v>
      </c>
      <c r="M343" s="26" t="n">
        <v>3.7</v>
      </c>
      <c r="N343" s="25">
        <f>ROUND(L343/M343, 0)</f>
        <v/>
      </c>
      <c r="O343" s="25">
        <f>ROUND(N343*'Methodology &amp; Assumptions'!$B$7, 0)</f>
        <v/>
      </c>
      <c r="P343" s="23" t="inlineStr">
        <is>
          <t>Single Carrier (Band n50, 100MHz TDD)</t>
        </is>
      </c>
      <c r="Q343" s="27">
        <f>ROUNDUP(O343/'Methodology &amp; Assumptions'!$B$8, 0)</f>
        <v/>
      </c>
      <c r="R343" s="27" t="n">
        <v>1</v>
      </c>
      <c r="S343" s="26" t="n">
        <v>4.55</v>
      </c>
      <c r="T343" s="26" t="n">
        <v>7.51</v>
      </c>
      <c r="U343" s="11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26" t="n">
        <v>53.62</v>
      </c>
      <c r="W343" s="26" t="n">
        <v>69.55</v>
      </c>
      <c r="X343" s="26">
        <f>ROUND(('Methodology &amp; Assumptions'!$B$5*V343) + ('Methodology &amp; Assumptions'!$B$6*W343), 2)</f>
        <v/>
      </c>
      <c r="Y343" s="28" t="n">
        <v>8.300000000000001</v>
      </c>
      <c r="Z343" s="11" t="inlineStr">
        <is>
          <t>Priority Tier 2 (Balanced Opportunity)</t>
        </is>
      </c>
    </row>
    <row r="344">
      <c r="A344" s="23" t="n">
        <v>3</v>
      </c>
      <c r="B344" s="23" t="n">
        <v>340</v>
      </c>
      <c r="C344" s="23" t="n">
        <v>2340</v>
      </c>
      <c r="D344" s="23" t="inlineStr">
        <is>
          <t>0403422014</t>
        </is>
      </c>
      <c r="E344" s="11" t="inlineStr">
        <is>
          <t>Region IV-A (CALABARZON)</t>
        </is>
      </c>
      <c r="F344" s="11" t="inlineStr">
        <is>
          <t>Laguna</t>
        </is>
      </c>
      <c r="G344" s="11" t="inlineStr">
        <is>
          <t>Pila</t>
        </is>
      </c>
      <c r="H344" s="11" t="inlineStr">
        <is>
          <t>San Antonio</t>
        </is>
      </c>
      <c r="I344" s="24" t="n">
        <v>14.217349</v>
      </c>
      <c r="J344" s="24" t="n">
        <v>121.359215</v>
      </c>
      <c r="K344" s="23" t="inlineStr">
        <is>
          <t>R</t>
        </is>
      </c>
      <c r="L344" s="25" t="n">
        <v>4205</v>
      </c>
      <c r="M344" s="26" t="n">
        <v>3.3</v>
      </c>
      <c r="N344" s="25">
        <f>ROUND(L344/M344, 0)</f>
        <v/>
      </c>
      <c r="O344" s="25">
        <f>ROUND(N344*'Methodology &amp; Assumptions'!$B$7, 0)</f>
        <v/>
      </c>
      <c r="P344" s="23" t="inlineStr">
        <is>
          <t>Single Carrier (Band n50, 100MHz TDD)</t>
        </is>
      </c>
      <c r="Q344" s="27">
        <f>ROUNDUP(O344/'Methodology &amp; Assumptions'!$B$8, 0)</f>
        <v/>
      </c>
      <c r="R344" s="27" t="n">
        <v>1</v>
      </c>
      <c r="S344" s="26" t="n">
        <v>1.28</v>
      </c>
      <c r="T344" s="26" t="n">
        <v>0.11</v>
      </c>
      <c r="U344" s="11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26" t="n">
        <v>83.78</v>
      </c>
      <c r="W344" s="26" t="n">
        <v>39.38</v>
      </c>
      <c r="X344" s="26">
        <f>ROUND(('Methodology &amp; Assumptions'!$B$5*V344) + ('Methodology &amp; Assumptions'!$B$6*W344), 2)</f>
        <v/>
      </c>
      <c r="Y344" s="28" t="n">
        <v>7.2</v>
      </c>
      <c r="Z344" s="11" t="inlineStr">
        <is>
          <t>Priority Tier 2 (Balanced Opportunity)</t>
        </is>
      </c>
    </row>
    <row r="345">
      <c r="A345" s="23" t="n">
        <v>3</v>
      </c>
      <c r="B345" s="23" t="n">
        <v>341</v>
      </c>
      <c r="C345" s="23" t="n">
        <v>2341</v>
      </c>
      <c r="D345" s="23" t="inlineStr">
        <is>
          <t>0201519004</t>
        </is>
      </c>
      <c r="E345" s="11" t="inlineStr">
        <is>
          <t>Region II (Cagayan Valley)</t>
        </is>
      </c>
      <c r="F345" s="11" t="inlineStr">
        <is>
          <t>Cagayan</t>
        </is>
      </c>
      <c r="G345" s="11" t="inlineStr">
        <is>
          <t>Peñablanca</t>
        </is>
      </c>
      <c r="H345" s="11" t="inlineStr">
        <is>
          <t>Bical</t>
        </is>
      </c>
      <c r="I345" s="24" t="n">
        <v>17.5729</v>
      </c>
      <c r="J345" s="24" t="n">
        <v>121.8322</v>
      </c>
      <c r="K345" s="23" t="inlineStr">
        <is>
          <t>R</t>
        </is>
      </c>
      <c r="L345" s="25" t="n">
        <v>1936</v>
      </c>
      <c r="M345" s="26" t="n">
        <v>3.9</v>
      </c>
      <c r="N345" s="25">
        <f>ROUND(L345/M345, 0)</f>
        <v/>
      </c>
      <c r="O345" s="25">
        <f>ROUND(N345*'Methodology &amp; Assumptions'!$B$7, 0)</f>
        <v/>
      </c>
      <c r="P345" s="23" t="inlineStr">
        <is>
          <t>Single Carrier (Band n50, 100MHz TDD)</t>
        </is>
      </c>
      <c r="Q345" s="27">
        <f>ROUNDUP(O345/'Methodology &amp; Assumptions'!$B$8, 0)</f>
        <v/>
      </c>
      <c r="R345" s="27" t="n">
        <v>1</v>
      </c>
      <c r="S345" s="26" t="n">
        <v>12.15</v>
      </c>
      <c r="T345" s="26" t="n">
        <v>5.61</v>
      </c>
      <c r="U345" s="11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26" t="n">
        <v>52.33</v>
      </c>
      <c r="W345" s="26" t="n">
        <v>70.81999999999999</v>
      </c>
      <c r="X345" s="26">
        <f>ROUND(('Methodology &amp; Assumptions'!$B$5*V345) + ('Methodology &amp; Assumptions'!$B$6*W345), 2)</f>
        <v/>
      </c>
      <c r="Y345" s="28" t="n">
        <v>8.300000000000001</v>
      </c>
      <c r="Z345" s="11" t="inlineStr">
        <is>
          <t>Priority Tier 2 (Balanced Opportunity)</t>
        </is>
      </c>
    </row>
    <row r="346">
      <c r="A346" s="23" t="n">
        <v>3</v>
      </c>
      <c r="B346" s="23" t="n">
        <v>342</v>
      </c>
      <c r="C346" s="23" t="n">
        <v>2342</v>
      </c>
      <c r="D346" s="23" t="inlineStr">
        <is>
          <t>1003516013</t>
        </is>
      </c>
      <c r="E346" s="11" t="inlineStr">
        <is>
          <t>Region X (Northern Mindanao)</t>
        </is>
      </c>
      <c r="F346" s="11" t="inlineStr">
        <is>
          <t>Lanao del Norte</t>
        </is>
      </c>
      <c r="G346" s="11" t="inlineStr">
        <is>
          <t>Pantao Ragat</t>
        </is>
      </c>
      <c r="H346" s="11" t="inlineStr">
        <is>
          <t>Lomidong</t>
        </is>
      </c>
      <c r="I346" s="24" t="n">
        <v>8.0726</v>
      </c>
      <c r="J346" s="24" t="n">
        <v>124.2007</v>
      </c>
      <c r="K346" s="23" t="inlineStr">
        <is>
          <t>R</t>
        </is>
      </c>
      <c r="L346" s="25" t="n">
        <v>1672</v>
      </c>
      <c r="M346" s="26" t="n">
        <v>4.2</v>
      </c>
      <c r="N346" s="25">
        <f>ROUND(L346/M346, 0)</f>
        <v/>
      </c>
      <c r="O346" s="25">
        <f>ROUND(N346*'Methodology &amp; Assumptions'!$B$7, 0)</f>
        <v/>
      </c>
      <c r="P346" s="23" t="inlineStr">
        <is>
          <t>Single Carrier (Band n50, 100MHz TDD)</t>
        </is>
      </c>
      <c r="Q346" s="27">
        <f>ROUNDUP(O346/'Methodology &amp; Assumptions'!$B$8, 0)</f>
        <v/>
      </c>
      <c r="R346" s="27" t="n">
        <v>1</v>
      </c>
      <c r="S346" s="26" t="n">
        <v>10.68</v>
      </c>
      <c r="T346" s="26" t="n">
        <v>4.78</v>
      </c>
      <c r="U346" s="11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26" t="n">
        <v>51.57</v>
      </c>
      <c r="W346" s="26" t="n">
        <v>71.58</v>
      </c>
      <c r="X346" s="26">
        <f>ROUND(('Methodology &amp; Assumptions'!$B$5*V346) + ('Methodology &amp; Assumptions'!$B$6*W346), 2)</f>
        <v/>
      </c>
      <c r="Y346" s="28" t="n">
        <v>17.4</v>
      </c>
      <c r="Z346" s="11" t="inlineStr">
        <is>
          <t>Priority Tier 2 (Balanced Opportunity)</t>
        </is>
      </c>
    </row>
    <row r="347">
      <c r="A347" s="23" t="n">
        <v>3</v>
      </c>
      <c r="B347" s="23" t="n">
        <v>343</v>
      </c>
      <c r="C347" s="23" t="n">
        <v>2343</v>
      </c>
      <c r="D347" s="23" t="inlineStr">
        <is>
          <t>1401105002</t>
        </is>
      </c>
      <c r="E347" s="11" t="inlineStr">
        <is>
          <t>Cordillera Administrative Region (CAR)</t>
        </is>
      </c>
      <c r="F347" s="11" t="inlineStr">
        <is>
          <t>Benguet</t>
        </is>
      </c>
      <c r="G347" s="11" t="inlineStr">
        <is>
          <t>Buguias</t>
        </is>
      </c>
      <c r="H347" s="11" t="inlineStr">
        <is>
          <t>Amgaleyguey</t>
        </is>
      </c>
      <c r="I347" s="24" t="n">
        <v>16.72328</v>
      </c>
      <c r="J347" s="24" t="n">
        <v>120.78238</v>
      </c>
      <c r="K347" s="23" t="inlineStr">
        <is>
          <t>R</t>
        </is>
      </c>
      <c r="L347" s="25" t="n">
        <v>3224</v>
      </c>
      <c r="M347" s="26" t="n">
        <v>3.5</v>
      </c>
      <c r="N347" s="25">
        <f>ROUND(L347/M347, 0)</f>
        <v/>
      </c>
      <c r="O347" s="25">
        <f>ROUND(N347*'Methodology &amp; Assumptions'!$B$7, 0)</f>
        <v/>
      </c>
      <c r="P347" s="23" t="inlineStr">
        <is>
          <t>Single Carrier (Band n50, 100MHz TDD)</t>
        </is>
      </c>
      <c r="Q347" s="27">
        <f>ROUNDUP(O347/'Methodology &amp; Assumptions'!$B$8, 0)</f>
        <v/>
      </c>
      <c r="R347" s="27" t="n">
        <v>1</v>
      </c>
      <c r="S347" s="26" t="n">
        <v>0.39</v>
      </c>
      <c r="T347" s="26" t="n">
        <v>0.29</v>
      </c>
      <c r="U347" s="11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26" t="n">
        <v>86.04000000000001</v>
      </c>
      <c r="W347" s="26" t="n">
        <v>37.09</v>
      </c>
      <c r="X347" s="26">
        <f>ROUND(('Methodology &amp; Assumptions'!$B$5*V347) + ('Methodology &amp; Assumptions'!$B$6*W347), 2)</f>
        <v/>
      </c>
      <c r="Y347" s="28" t="n">
        <v>10.9</v>
      </c>
      <c r="Z347" s="11" t="inlineStr">
        <is>
          <t>Priority Tier 2 (Balanced Opportunity)</t>
        </is>
      </c>
    </row>
    <row r="348">
      <c r="A348" s="23" t="n">
        <v>3</v>
      </c>
      <c r="B348" s="23" t="n">
        <v>344</v>
      </c>
      <c r="C348" s="23" t="n">
        <v>2344</v>
      </c>
      <c r="D348" s="23" t="inlineStr">
        <is>
          <t>0105511010</t>
        </is>
      </c>
      <c r="E348" s="11" t="inlineStr">
        <is>
          <t>Region I (Ilocos Region)</t>
        </is>
      </c>
      <c r="F348" s="11" t="inlineStr">
        <is>
          <t>Pangasinan</t>
        </is>
      </c>
      <c r="G348" s="11" t="inlineStr">
        <is>
          <t>Bayambang</t>
        </is>
      </c>
      <c r="H348" s="11" t="inlineStr">
        <is>
          <t>Bacnono</t>
        </is>
      </c>
      <c r="I348" s="24" t="n">
        <v>15.822596</v>
      </c>
      <c r="J348" s="24" t="n">
        <v>120.466788</v>
      </c>
      <c r="K348" s="23" t="inlineStr">
        <is>
          <t>R</t>
        </is>
      </c>
      <c r="L348" s="25" t="n">
        <v>2315</v>
      </c>
      <c r="M348" s="26" t="n">
        <v>3.6</v>
      </c>
      <c r="N348" s="25">
        <f>ROUND(L348/M348, 0)</f>
        <v/>
      </c>
      <c r="O348" s="25">
        <f>ROUND(N348*'Methodology &amp; Assumptions'!$B$7, 0)</f>
        <v/>
      </c>
      <c r="P348" s="23" t="inlineStr">
        <is>
          <t>Single Carrier (Band n50, 100MHz TDD)</t>
        </is>
      </c>
      <c r="Q348" s="27">
        <f>ROUNDUP(O348/'Methodology &amp; Assumptions'!$B$8, 0)</f>
        <v/>
      </c>
      <c r="R348" s="27" t="n">
        <v>1</v>
      </c>
      <c r="S348" s="26" t="n">
        <v>1.44</v>
      </c>
      <c r="T348" s="26" t="n">
        <v>1.05</v>
      </c>
      <c r="U348" s="11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26" t="n">
        <v>77.65000000000001</v>
      </c>
      <c r="W348" s="26" t="n">
        <v>45.48</v>
      </c>
      <c r="X348" s="26">
        <f>ROUND(('Methodology &amp; Assumptions'!$B$5*V348) + ('Methodology &amp; Assumptions'!$B$6*W348), 2)</f>
        <v/>
      </c>
      <c r="Y348" s="28" t="n">
        <v>8.300000000000001</v>
      </c>
      <c r="Z348" s="11" t="inlineStr">
        <is>
          <t>Priority Tier 2 (Balanced Opportunity)</t>
        </is>
      </c>
    </row>
    <row r="349">
      <c r="A349" s="23" t="n">
        <v>3</v>
      </c>
      <c r="B349" s="23" t="n">
        <v>345</v>
      </c>
      <c r="C349" s="23" t="n">
        <v>2345</v>
      </c>
      <c r="D349" s="23" t="inlineStr">
        <is>
          <t>1381300071</t>
        </is>
      </c>
      <c r="E349" s="11" t="inlineStr">
        <is>
          <t>National Capital Region (NCR)</t>
        </is>
      </c>
      <c r="F349" s="11" t="inlineStr">
        <is>
          <t>Second District (Not a Province)</t>
        </is>
      </c>
      <c r="G349" s="11" t="inlineStr">
        <is>
          <t>Quezon City</t>
        </is>
      </c>
      <c r="H349" s="11" t="inlineStr">
        <is>
          <t>Obrero</t>
        </is>
      </c>
      <c r="I349" s="24" t="n">
        <v>14.62847</v>
      </c>
      <c r="J349" s="24" t="n">
        <v>121.0316</v>
      </c>
      <c r="K349" s="23" t="inlineStr">
        <is>
          <t>U</t>
        </is>
      </c>
      <c r="L349" s="25" t="n">
        <v>9639</v>
      </c>
      <c r="M349" s="26" t="n">
        <v>3.71</v>
      </c>
      <c r="N349" s="25">
        <f>ROUND(L349/M349, 0)</f>
        <v/>
      </c>
      <c r="O349" s="25">
        <f>ROUND(N349*'Methodology &amp; Assumptions'!$B$7, 0)</f>
        <v/>
      </c>
      <c r="P349" s="23" t="inlineStr">
        <is>
          <t>Single Carrier (Band n50, 100MHz TDD)</t>
        </is>
      </c>
      <c r="Q349" s="27">
        <f>ROUNDUP(O349/'Methodology &amp; Assumptions'!$B$8, 0)</f>
        <v/>
      </c>
      <c r="R349" s="27" t="n">
        <v>1</v>
      </c>
      <c r="S349" s="26" t="n">
        <v>1.02</v>
      </c>
      <c r="T349" s="26" t="n">
        <v>0.76</v>
      </c>
      <c r="U349" s="11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26" t="n">
        <v>68.40000000000001</v>
      </c>
      <c r="W349" s="26" t="n">
        <v>54.73</v>
      </c>
      <c r="X349" s="26">
        <f>ROUND(('Methodology &amp; Assumptions'!$B$5*V349) + ('Methodology &amp; Assumptions'!$B$6*W349), 2)</f>
        <v/>
      </c>
      <c r="Y349" s="28" t="n">
        <v>10.9</v>
      </c>
      <c r="Z349" s="11" t="inlineStr">
        <is>
          <t>Priority Tier 2 (Balanced Opportunity)</t>
        </is>
      </c>
    </row>
    <row r="350">
      <c r="A350" s="23" t="n">
        <v>3</v>
      </c>
      <c r="B350" s="23" t="n">
        <v>346</v>
      </c>
      <c r="C350" s="23" t="n">
        <v>2346</v>
      </c>
      <c r="D350" s="23" t="inlineStr">
        <is>
          <t>1381600011</t>
        </is>
      </c>
      <c r="E350" s="11" t="inlineStr">
        <is>
          <t>National Capital Region (NCR)</t>
        </is>
      </c>
      <c r="F350" s="11" t="inlineStr">
        <is>
          <t>Third District (Not a Province)</t>
        </is>
      </c>
      <c r="G350" s="11" t="inlineStr">
        <is>
          <t>City of Valenzuela</t>
        </is>
      </c>
      <c r="H350" s="11" t="inlineStr">
        <is>
          <t>Gen. T. De Leon</t>
        </is>
      </c>
      <c r="I350" s="24" t="n">
        <v>14.68595</v>
      </c>
      <c r="J350" s="24" t="n">
        <v>120.9956</v>
      </c>
      <c r="K350" s="23" t="inlineStr">
        <is>
          <t>U</t>
        </is>
      </c>
      <c r="L350" s="25" t="n">
        <v>99317</v>
      </c>
      <c r="M350" s="26" t="n">
        <v>3.5</v>
      </c>
      <c r="N350" s="25">
        <f>ROUND(L350/M350, 0)</f>
        <v/>
      </c>
      <c r="O350" s="25">
        <f>ROUND(N350*'Methodology &amp; Assumptions'!$B$7, 0)</f>
        <v/>
      </c>
      <c r="P350" s="23" t="inlineStr">
        <is>
          <t>Single Carrier (Band n50, 100MHz TDD)</t>
        </is>
      </c>
      <c r="Q350" s="27">
        <f>ROUNDUP(O350/'Methodology &amp; Assumptions'!$B$8, 0)</f>
        <v/>
      </c>
      <c r="R350" s="27" t="n">
        <v>1</v>
      </c>
      <c r="S350" s="26" t="n">
        <v>0.17</v>
      </c>
      <c r="T350" s="26" t="n">
        <v>0.14</v>
      </c>
      <c r="U350" s="11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26" t="n">
        <v>64.73999999999999</v>
      </c>
      <c r="W350" s="26" t="n">
        <v>58.4</v>
      </c>
      <c r="X350" s="26">
        <f>ROUND(('Methodology &amp; Assumptions'!$B$5*V350) + ('Methodology &amp; Assumptions'!$B$6*W350), 2)</f>
        <v/>
      </c>
      <c r="Y350" s="28" t="n">
        <v>10.9</v>
      </c>
      <c r="Z350" s="11" t="inlineStr">
        <is>
          <t>Priority Tier 2 (Balanced Opportunity)</t>
        </is>
      </c>
    </row>
    <row r="351">
      <c r="A351" s="23" t="n">
        <v>3</v>
      </c>
      <c r="B351" s="23" t="n">
        <v>347</v>
      </c>
      <c r="C351" s="23" t="n">
        <v>2347</v>
      </c>
      <c r="D351" s="23" t="inlineStr">
        <is>
          <t>1380610009</t>
        </is>
      </c>
      <c r="E351" s="11" t="inlineStr">
        <is>
          <t>National Capital Region (NCR)</t>
        </is>
      </c>
      <c r="F351" s="11" t="inlineStr">
        <is>
          <t>First District (Not a Province)</t>
        </is>
      </c>
      <c r="G351" s="11" t="inlineStr">
        <is>
          <t>City of Manila</t>
        </is>
      </c>
      <c r="H351" s="11" t="inlineStr">
        <is>
          <t>Barangay 694</t>
        </is>
      </c>
      <c r="I351" s="24" t="n">
        <v>14.57511</v>
      </c>
      <c r="J351" s="24" t="n">
        <v>120.9897</v>
      </c>
      <c r="K351" s="23" t="inlineStr">
        <is>
          <t>U</t>
        </is>
      </c>
      <c r="L351" s="25" t="n">
        <v>1478</v>
      </c>
      <c r="M351" s="26" t="n">
        <v>4.09</v>
      </c>
      <c r="N351" s="25">
        <f>ROUND(L351/M351, 0)</f>
        <v/>
      </c>
      <c r="O351" s="25">
        <f>ROUND(N351*'Methodology &amp; Assumptions'!$B$7, 0)</f>
        <v/>
      </c>
      <c r="P351" s="23" t="inlineStr">
        <is>
          <t>Single Carrier (Band n50, 100MHz TDD)</t>
        </is>
      </c>
      <c r="Q351" s="27">
        <f>ROUNDUP(O351/'Methodology &amp; Assumptions'!$B$8, 0)</f>
        <v/>
      </c>
      <c r="R351" s="27" t="n">
        <v>1</v>
      </c>
      <c r="S351" s="26" t="n">
        <v>0.6</v>
      </c>
      <c r="T351" s="26" t="n">
        <v>0.19</v>
      </c>
      <c r="U351" s="11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26" t="n">
        <v>52.66</v>
      </c>
      <c r="W351" s="26" t="n">
        <v>70.47</v>
      </c>
      <c r="X351" s="26">
        <f>ROUND(('Methodology &amp; Assumptions'!$B$5*V351) + ('Methodology &amp; Assumptions'!$B$6*W351), 2)</f>
        <v/>
      </c>
      <c r="Y351" s="28" t="n">
        <v>10.9</v>
      </c>
      <c r="Z351" s="11" t="inlineStr">
        <is>
          <t>Priority Tier 2 (Balanced Opportunity)</t>
        </is>
      </c>
    </row>
    <row r="352">
      <c r="A352" s="23" t="n">
        <v>3</v>
      </c>
      <c r="B352" s="23" t="n">
        <v>348</v>
      </c>
      <c r="C352" s="23" t="n">
        <v>2348</v>
      </c>
      <c r="D352" s="23" t="inlineStr">
        <is>
          <t>1381100159</t>
        </is>
      </c>
      <c r="E352" s="11" t="inlineStr">
        <is>
          <t>National Capital Region (NCR)</t>
        </is>
      </c>
      <c r="F352" s="11" t="inlineStr">
        <is>
          <t>Fourth District (Not a Province)</t>
        </is>
      </c>
      <c r="G352" s="11" t="inlineStr">
        <is>
          <t>Pasay City</t>
        </is>
      </c>
      <c r="H352" s="11" t="inlineStr">
        <is>
          <t>Barangay 159</t>
        </is>
      </c>
      <c r="I352" s="24" t="n">
        <v>14.537866</v>
      </c>
      <c r="J352" s="24" t="n">
        <v>121.009746</v>
      </c>
      <c r="K352" s="23" t="inlineStr">
        <is>
          <t>U</t>
        </is>
      </c>
      <c r="L352" s="25" t="n">
        <v>1249</v>
      </c>
      <c r="M352" s="26" t="n">
        <v>3.06</v>
      </c>
      <c r="N352" s="25">
        <f>ROUND(L352/M352, 0)</f>
        <v/>
      </c>
      <c r="O352" s="25">
        <f>ROUND(N352*'Methodology &amp; Assumptions'!$B$7, 0)</f>
        <v/>
      </c>
      <c r="P352" s="23" t="inlineStr">
        <is>
          <t>Single Carrier (Band n50, 100MHz TDD)</t>
        </is>
      </c>
      <c r="Q352" s="27">
        <f>ROUNDUP(O352/'Methodology &amp; Assumptions'!$B$8, 0)</f>
        <v/>
      </c>
      <c r="R352" s="27" t="n">
        <v>1</v>
      </c>
      <c r="S352" s="26" t="n">
        <v>1.33</v>
      </c>
      <c r="T352" s="26" t="n">
        <v>0.6899999999999999</v>
      </c>
      <c r="U352" s="11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26" t="n">
        <v>52.28</v>
      </c>
      <c r="W352" s="26" t="n">
        <v>70.86</v>
      </c>
      <c r="X352" s="26">
        <f>ROUND(('Methodology &amp; Assumptions'!$B$5*V352) + ('Methodology &amp; Assumptions'!$B$6*W352), 2)</f>
        <v/>
      </c>
      <c r="Y352" s="28" t="n">
        <v>10.9</v>
      </c>
      <c r="Z352" s="11" t="inlineStr">
        <is>
          <t>Priority Tier 2 (Balanced Opportunity)</t>
        </is>
      </c>
    </row>
    <row r="353">
      <c r="A353" s="23" t="n">
        <v>3</v>
      </c>
      <c r="B353" s="23" t="n">
        <v>349</v>
      </c>
      <c r="C353" s="23" t="n">
        <v>2349</v>
      </c>
      <c r="D353" s="23" t="inlineStr">
        <is>
          <t>0205001006</t>
        </is>
      </c>
      <c r="E353" s="11" t="inlineStr">
        <is>
          <t>Region II (Cagayan Valley)</t>
        </is>
      </c>
      <c r="F353" s="11" t="inlineStr">
        <is>
          <t>Nueva Vizcaya</t>
        </is>
      </c>
      <c r="G353" s="11" t="inlineStr">
        <is>
          <t>Ambaguio</t>
        </is>
      </c>
      <c r="H353" s="11" t="inlineStr">
        <is>
          <t>Napo</t>
        </is>
      </c>
      <c r="I353" s="24" t="n">
        <v>16.558108</v>
      </c>
      <c r="J353" s="24" t="n">
        <v>121.964261</v>
      </c>
      <c r="K353" s="23" t="inlineStr">
        <is>
          <t>R</t>
        </is>
      </c>
      <c r="L353" s="25" t="n">
        <v>1642</v>
      </c>
      <c r="M353" s="26" t="n">
        <v>3.8</v>
      </c>
      <c r="N353" s="25">
        <f>ROUND(L353/M353, 0)</f>
        <v/>
      </c>
      <c r="O353" s="25">
        <f>ROUND(N353*'Methodology &amp; Assumptions'!$B$7, 0)</f>
        <v/>
      </c>
      <c r="P353" s="23" t="inlineStr">
        <is>
          <t>Single Carrier (Band n50, 100MHz TDD)</t>
        </is>
      </c>
      <c r="Q353" s="27">
        <f>ROUNDUP(O353/'Methodology &amp; Assumptions'!$B$8, 0)</f>
        <v/>
      </c>
      <c r="R353" s="27" t="n">
        <v>1</v>
      </c>
      <c r="S353" s="26" t="n">
        <v>21.45</v>
      </c>
      <c r="T353" s="26" t="n">
        <v>27.82</v>
      </c>
      <c r="U353" s="11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26" t="n">
        <v>50.48</v>
      </c>
      <c r="W353" s="26" t="n">
        <v>72.66</v>
      </c>
      <c r="X353" s="26">
        <f>ROUND(('Methodology &amp; Assumptions'!$B$5*V353) + ('Methodology &amp; Assumptions'!$B$6*W353), 2)</f>
        <v/>
      </c>
      <c r="Y353" s="28" t="n">
        <v>8.300000000000001</v>
      </c>
      <c r="Z353" s="11" t="inlineStr">
        <is>
          <t>Priority Tier 2 (Balanced Opportunity)</t>
        </is>
      </c>
    </row>
    <row r="354">
      <c r="A354" s="23" t="n">
        <v>3</v>
      </c>
      <c r="B354" s="23" t="n">
        <v>350</v>
      </c>
      <c r="C354" s="23" t="n">
        <v>2350</v>
      </c>
      <c r="D354" s="23" t="inlineStr">
        <is>
          <t>0105527025</t>
        </is>
      </c>
      <c r="E354" s="11" t="inlineStr">
        <is>
          <t>Region I (Ilocos Region)</t>
        </is>
      </c>
      <c r="F354" s="11" t="inlineStr">
        <is>
          <t>Pangasinan</t>
        </is>
      </c>
      <c r="G354" s="11" t="inlineStr">
        <is>
          <t>Mangatarem</t>
        </is>
      </c>
      <c r="H354" s="11" t="inlineStr">
        <is>
          <t>Cacaoiten</t>
        </is>
      </c>
      <c r="I354" s="24" t="n">
        <v>15.6498</v>
      </c>
      <c r="J354" s="24" t="n">
        <v>120.2944</v>
      </c>
      <c r="K354" s="23" t="inlineStr">
        <is>
          <t>R</t>
        </is>
      </c>
      <c r="L354" s="25" t="n">
        <v>522</v>
      </c>
      <c r="M354" s="26" t="n">
        <v>3.6</v>
      </c>
      <c r="N354" s="25">
        <f>ROUND(L354/M354, 0)</f>
        <v/>
      </c>
      <c r="O354" s="25">
        <f>ROUND(N354*'Methodology &amp; Assumptions'!$B$7, 0)</f>
        <v/>
      </c>
      <c r="P354" s="23" t="inlineStr">
        <is>
          <t>Single Carrier (Band n50, 100MHz TDD)</t>
        </is>
      </c>
      <c r="Q354" s="27">
        <f>ROUNDUP(O354/'Methodology &amp; Assumptions'!$B$8, 0)</f>
        <v/>
      </c>
      <c r="R354" s="27" t="n">
        <v>1</v>
      </c>
      <c r="S354" s="26" t="n">
        <v>10.08</v>
      </c>
      <c r="T354" s="26" t="n">
        <v>12.19</v>
      </c>
      <c r="U354" s="11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26" t="n">
        <v>43.23</v>
      </c>
      <c r="W354" s="26" t="n">
        <v>79.92</v>
      </c>
      <c r="X354" s="26">
        <f>ROUND(('Methodology &amp; Assumptions'!$B$5*V354) + ('Methodology &amp; Assumptions'!$B$6*W354), 2)</f>
        <v/>
      </c>
      <c r="Y354" s="28" t="n">
        <v>8.300000000000001</v>
      </c>
      <c r="Z354" s="11" t="inlineStr">
        <is>
          <t>Priority Tier 2 (Balanced Opportunity)</t>
        </is>
      </c>
    </row>
    <row r="355">
      <c r="A355" s="23" t="n">
        <v>3</v>
      </c>
      <c r="B355" s="23" t="n">
        <v>351</v>
      </c>
      <c r="C355" s="23" t="n">
        <v>2351</v>
      </c>
      <c r="D355" s="23" t="inlineStr">
        <is>
          <t>0631000137</t>
        </is>
      </c>
      <c r="E355" s="11" t="inlineStr">
        <is>
          <t>Region VI (Western Visayas)</t>
        </is>
      </c>
      <c r="F355" s="11" t="inlineStr">
        <is>
          <t>Iloilo</t>
        </is>
      </c>
      <c r="G355" s="11" t="inlineStr">
        <is>
          <t>City of Iloilo</t>
        </is>
      </c>
      <c r="H355" s="11" t="inlineStr">
        <is>
          <t>Rizal Estanzuela</t>
        </is>
      </c>
      <c r="I355" s="24" t="n">
        <v>10.92438</v>
      </c>
      <c r="J355" s="24" t="n">
        <v>122.558213</v>
      </c>
      <c r="K355" s="23" t="inlineStr">
        <is>
          <t>R</t>
        </is>
      </c>
      <c r="L355" s="25" t="n">
        <v>3328</v>
      </c>
      <c r="M355" s="26" t="n">
        <v>4.2</v>
      </c>
      <c r="N355" s="25">
        <f>ROUND(L355/M355, 0)</f>
        <v/>
      </c>
      <c r="O355" s="25">
        <f>ROUND(N355*'Methodology &amp; Assumptions'!$B$7, 0)</f>
        <v/>
      </c>
      <c r="P355" s="23" t="inlineStr">
        <is>
          <t>Single Carrier (Band n50, 100MHz TDD)</t>
        </is>
      </c>
      <c r="Q355" s="27">
        <f>ROUNDUP(O355/'Methodology &amp; Assumptions'!$B$8, 0)</f>
        <v/>
      </c>
      <c r="R355" s="27" t="n">
        <v>1</v>
      </c>
      <c r="S355" s="26" t="n">
        <v>0.97</v>
      </c>
      <c r="T355" s="26" t="n">
        <v>0.96</v>
      </c>
      <c r="U355" s="11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26" t="n">
        <v>85.06999999999999</v>
      </c>
      <c r="W355" s="26" t="n">
        <v>38.05</v>
      </c>
      <c r="X355" s="26">
        <f>ROUND(('Methodology &amp; Assumptions'!$B$5*V355) + ('Methodology &amp; Assumptions'!$B$6*W355), 2)</f>
        <v/>
      </c>
      <c r="Y355" s="28" t="n">
        <v>23.7</v>
      </c>
      <c r="Z355" s="11" t="inlineStr">
        <is>
          <t>Priority Tier 2 (Balanced Opportunity)</t>
        </is>
      </c>
    </row>
    <row r="356">
      <c r="A356" s="23" t="n">
        <v>3</v>
      </c>
      <c r="B356" s="23" t="n">
        <v>352</v>
      </c>
      <c r="C356" s="23" t="n">
        <v>2352</v>
      </c>
      <c r="D356" s="23" t="inlineStr">
        <is>
          <t>1381300003</t>
        </is>
      </c>
      <c r="E356" s="11" t="inlineStr">
        <is>
          <t>National Capital Region (NCR)</t>
        </is>
      </c>
      <c r="F356" s="11" t="inlineStr">
        <is>
          <t>Second District (Not a Province)</t>
        </is>
      </c>
      <c r="G356" s="11" t="inlineStr">
        <is>
          <t>Quezon City</t>
        </is>
      </c>
      <c r="H356" s="11" t="inlineStr">
        <is>
          <t>Apolonio Samson</t>
        </is>
      </c>
      <c r="I356" s="24" t="n">
        <v>14.65535</v>
      </c>
      <c r="J356" s="24" t="n">
        <v>121.0117</v>
      </c>
      <c r="K356" s="23" t="inlineStr">
        <is>
          <t>U</t>
        </is>
      </c>
      <c r="L356" s="25" t="n">
        <v>34163</v>
      </c>
      <c r="M356" s="26" t="n">
        <v>3.53</v>
      </c>
      <c r="N356" s="25">
        <f>ROUND(L356/M356, 0)</f>
        <v/>
      </c>
      <c r="O356" s="25">
        <f>ROUND(N356*'Methodology &amp; Assumptions'!$B$7, 0)</f>
        <v/>
      </c>
      <c r="P356" s="23" t="inlineStr">
        <is>
          <t>Single Carrier (Band n50, 100MHz TDD)</t>
        </is>
      </c>
      <c r="Q356" s="27">
        <f>ROUNDUP(O356/'Methodology &amp; Assumptions'!$B$8, 0)</f>
        <v/>
      </c>
      <c r="R356" s="27" t="n">
        <v>1</v>
      </c>
      <c r="S356" s="26" t="n">
        <v>1.07</v>
      </c>
      <c r="T356" s="26" t="n">
        <v>0.75</v>
      </c>
      <c r="U356" s="11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26" t="n">
        <v>66.23999999999999</v>
      </c>
      <c r="W356" s="26" t="n">
        <v>56.89</v>
      </c>
      <c r="X356" s="26">
        <f>ROUND(('Methodology &amp; Assumptions'!$B$5*V356) + ('Methodology &amp; Assumptions'!$B$6*W356), 2)</f>
        <v/>
      </c>
      <c r="Y356" s="28" t="n">
        <v>10.9</v>
      </c>
      <c r="Z356" s="11" t="inlineStr">
        <is>
          <t>Priority Tier 2 (Balanced Opportunity)</t>
        </is>
      </c>
    </row>
    <row r="357">
      <c r="A357" s="23" t="n">
        <v>3</v>
      </c>
      <c r="B357" s="23" t="n">
        <v>353</v>
      </c>
      <c r="C357" s="23" t="n">
        <v>2353</v>
      </c>
      <c r="D357" s="23" t="inlineStr">
        <is>
          <t>1380601220</t>
        </is>
      </c>
      <c r="E357" s="11" t="inlineStr">
        <is>
          <t>National Capital Region (NCR)</t>
        </is>
      </c>
      <c r="F357" s="11" t="inlineStr">
        <is>
          <t>First District (Not a Province)</t>
        </is>
      </c>
      <c r="G357" s="11" t="inlineStr">
        <is>
          <t>City of Manila</t>
        </is>
      </c>
      <c r="H357" s="11" t="inlineStr">
        <is>
          <t>Barangay 219</t>
        </is>
      </c>
      <c r="I357" s="24" t="n">
        <v>14.624116</v>
      </c>
      <c r="J357" s="24" t="n">
        <v>120.979123</v>
      </c>
      <c r="K357" s="23" t="inlineStr">
        <is>
          <t>U</t>
        </is>
      </c>
      <c r="L357" s="25" t="n">
        <v>1117</v>
      </c>
      <c r="M357" s="26" t="n">
        <v>3.14</v>
      </c>
      <c r="N357" s="25">
        <f>ROUND(L357/M357, 0)</f>
        <v/>
      </c>
      <c r="O357" s="25">
        <f>ROUND(N357*'Methodology &amp; Assumptions'!$B$7, 0)</f>
        <v/>
      </c>
      <c r="P357" s="23" t="inlineStr">
        <is>
          <t>Single Carrier (Band n50, 100MHz TDD)</t>
        </is>
      </c>
      <c r="Q357" s="27">
        <f>ROUNDUP(O357/'Methodology &amp; Assumptions'!$B$8, 0)</f>
        <v/>
      </c>
      <c r="R357" s="27" t="n">
        <v>1</v>
      </c>
      <c r="S357" s="26" t="n">
        <v>0.6899999999999999</v>
      </c>
      <c r="T357" s="26" t="n">
        <v>0.2</v>
      </c>
      <c r="U357" s="11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26" t="n">
        <v>52.55</v>
      </c>
      <c r="W357" s="26" t="n">
        <v>70.56999999999999</v>
      </c>
      <c r="X357" s="26">
        <f>ROUND(('Methodology &amp; Assumptions'!$B$5*V357) + ('Methodology &amp; Assumptions'!$B$6*W357), 2)</f>
        <v/>
      </c>
      <c r="Y357" s="28" t="n">
        <v>10.9</v>
      </c>
      <c r="Z357" s="11" t="inlineStr">
        <is>
          <t>Priority Tier 2 (Balanced Opportunity)</t>
        </is>
      </c>
    </row>
    <row r="358">
      <c r="A358" s="23" t="n">
        <v>3</v>
      </c>
      <c r="B358" s="23" t="n">
        <v>354</v>
      </c>
      <c r="C358" s="23" t="n">
        <v>2354</v>
      </c>
      <c r="D358" s="23" t="inlineStr">
        <is>
          <t>0401029044</t>
        </is>
      </c>
      <c r="E358" s="11" t="inlineStr">
        <is>
          <t>Region IV-A (CALABARZON)</t>
        </is>
      </c>
      <c r="F358" s="11" t="inlineStr">
        <is>
          <t>Batangas</t>
        </is>
      </c>
      <c r="G358" s="11" t="inlineStr">
        <is>
          <t>Taal</t>
        </is>
      </c>
      <c r="H358" s="11" t="inlineStr">
        <is>
          <t>Seiran</t>
        </is>
      </c>
      <c r="I358" s="24" t="n">
        <v>13.889828</v>
      </c>
      <c r="J358" s="24" t="n">
        <v>120.923087</v>
      </c>
      <c r="K358" s="23" t="inlineStr">
        <is>
          <t>R</t>
        </is>
      </c>
      <c r="L358" s="25" t="n">
        <v>3104</v>
      </c>
      <c r="M358" s="26" t="n">
        <v>3.6</v>
      </c>
      <c r="N358" s="25">
        <f>ROUND(L358/M358, 0)</f>
        <v/>
      </c>
      <c r="O358" s="25">
        <f>ROUND(N358*'Methodology &amp; Assumptions'!$B$7, 0)</f>
        <v/>
      </c>
      <c r="P358" s="23" t="inlineStr">
        <is>
          <t>Single Carrier (Band n50, 100MHz TDD)</t>
        </is>
      </c>
      <c r="Q358" s="27">
        <f>ROUNDUP(O358/'Methodology &amp; Assumptions'!$B$8, 0)</f>
        <v/>
      </c>
      <c r="R358" s="27" t="n">
        <v>1</v>
      </c>
      <c r="S358" s="26" t="n">
        <v>0.85</v>
      </c>
      <c r="T358" s="26" t="n">
        <v>0.7</v>
      </c>
      <c r="U358" s="11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26" t="n">
        <v>85.41</v>
      </c>
      <c r="W358" s="26" t="n">
        <v>37.69</v>
      </c>
      <c r="X358" s="26">
        <f>ROUND(('Methodology &amp; Assumptions'!$B$5*V358) + ('Methodology &amp; Assumptions'!$B$6*W358), 2)</f>
        <v/>
      </c>
      <c r="Y358" s="28" t="n">
        <v>7.2</v>
      </c>
      <c r="Z358" s="11" t="inlineStr">
        <is>
          <t>Priority Tier 2 (Balanced Opportunity)</t>
        </is>
      </c>
    </row>
    <row r="359">
      <c r="A359" s="23" t="n">
        <v>3</v>
      </c>
      <c r="B359" s="23" t="n">
        <v>355</v>
      </c>
      <c r="C359" s="23" t="n">
        <v>2355</v>
      </c>
      <c r="D359" s="23" t="inlineStr">
        <is>
          <t>0301407028</t>
        </is>
      </c>
      <c r="E359" s="11" t="inlineStr">
        <is>
          <t>Region III (Central Luzon)</t>
        </is>
      </c>
      <c r="F359" s="11" t="inlineStr">
        <is>
          <t>Bulacan</t>
        </is>
      </c>
      <c r="G359" s="11" t="inlineStr">
        <is>
          <t>Calumpit</t>
        </is>
      </c>
      <c r="H359" s="11" t="inlineStr">
        <is>
          <t>Sapang Bayan</t>
        </is>
      </c>
      <c r="I359" s="24" t="n">
        <v>14.918152</v>
      </c>
      <c r="J359" s="24" t="n">
        <v>120.769939</v>
      </c>
      <c r="K359" s="23" t="inlineStr">
        <is>
          <t>R</t>
        </is>
      </c>
      <c r="L359" s="25" t="n">
        <v>3282</v>
      </c>
      <c r="M359" s="26" t="n">
        <v>3.5</v>
      </c>
      <c r="N359" s="25">
        <f>ROUND(L359/M359, 0)</f>
        <v/>
      </c>
      <c r="O359" s="25">
        <f>ROUND(N359*'Methodology &amp; Assumptions'!$B$7, 0)</f>
        <v/>
      </c>
      <c r="P359" s="23" t="inlineStr">
        <is>
          <t>Single Carrier (Band n50, 100MHz TDD)</t>
        </is>
      </c>
      <c r="Q359" s="27">
        <f>ROUNDUP(O359/'Methodology &amp; Assumptions'!$B$8, 0)</f>
        <v/>
      </c>
      <c r="R359" s="27" t="n">
        <v>1</v>
      </c>
      <c r="S359" s="26" t="n">
        <v>1.33</v>
      </c>
      <c r="T359" s="26" t="n">
        <v>0.43</v>
      </c>
      <c r="U359" s="11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26" t="n">
        <v>83.76000000000001</v>
      </c>
      <c r="W359" s="26" t="n">
        <v>39.33</v>
      </c>
      <c r="X359" s="26">
        <f>ROUND(('Methodology &amp; Assumptions'!$B$5*V359) + ('Methodology &amp; Assumptions'!$B$6*W359), 2)</f>
        <v/>
      </c>
      <c r="Y359" s="28" t="n">
        <v>8.300000000000001</v>
      </c>
      <c r="Z359" s="11" t="inlineStr">
        <is>
          <t>Priority Tier 2 (Balanced Opportunity)</t>
        </is>
      </c>
    </row>
    <row r="360">
      <c r="A360" s="23" t="n">
        <v>3</v>
      </c>
      <c r="B360" s="23" t="n">
        <v>356</v>
      </c>
      <c r="C360" s="23" t="n">
        <v>2356</v>
      </c>
      <c r="D360" s="23" t="inlineStr">
        <is>
          <t>1380614097</t>
        </is>
      </c>
      <c r="E360" s="11" t="inlineStr">
        <is>
          <t>National Capital Region (NCR)</t>
        </is>
      </c>
      <c r="F360" s="11" t="inlineStr">
        <is>
          <t>First District (Not a Province)</t>
        </is>
      </c>
      <c r="G360" s="11" t="inlineStr">
        <is>
          <t>City of Manila</t>
        </is>
      </c>
      <c r="H360" s="11" t="inlineStr">
        <is>
          <t>Barangay 904</t>
        </is>
      </c>
      <c r="I360" s="24" t="n">
        <v>14.58562</v>
      </c>
      <c r="J360" s="24" t="n">
        <v>121.011828</v>
      </c>
      <c r="K360" s="23" t="inlineStr">
        <is>
          <t>U</t>
        </is>
      </c>
      <c r="L360" s="25" t="n">
        <v>1799</v>
      </c>
      <c r="M360" s="26" t="n">
        <v>4.66</v>
      </c>
      <c r="N360" s="25">
        <f>ROUND(L360/M360, 0)</f>
        <v/>
      </c>
      <c r="O360" s="25">
        <f>ROUND(N360*'Methodology &amp; Assumptions'!$B$7, 0)</f>
        <v/>
      </c>
      <c r="P360" s="23" t="inlineStr">
        <is>
          <t>Single Carrier (Band n50, 100MHz TDD)</t>
        </is>
      </c>
      <c r="Q360" s="27">
        <f>ROUNDUP(O360/'Methodology &amp; Assumptions'!$B$8, 0)</f>
        <v/>
      </c>
      <c r="R360" s="27" t="n">
        <v>1</v>
      </c>
      <c r="S360" s="26" t="n">
        <v>0.98</v>
      </c>
      <c r="T360" s="26" t="n">
        <v>0.46</v>
      </c>
      <c r="U360" s="11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26" t="n">
        <v>52.96</v>
      </c>
      <c r="W360" s="26" t="n">
        <v>70.14</v>
      </c>
      <c r="X360" s="26">
        <f>ROUND(('Methodology &amp; Assumptions'!$B$5*V360) + ('Methodology &amp; Assumptions'!$B$6*W360), 2)</f>
        <v/>
      </c>
      <c r="Y360" s="28" t="n">
        <v>10.9</v>
      </c>
      <c r="Z360" s="11" t="inlineStr">
        <is>
          <t>Priority Tier 2 (Balanced Opportunity)</t>
        </is>
      </c>
    </row>
    <row r="361">
      <c r="A361" s="23" t="n">
        <v>3</v>
      </c>
      <c r="B361" s="23" t="n">
        <v>357</v>
      </c>
      <c r="C361" s="23" t="n">
        <v>2357</v>
      </c>
      <c r="D361" s="23" t="inlineStr">
        <is>
          <t>0205009018</t>
        </is>
      </c>
      <c r="E361" s="11" t="inlineStr">
        <is>
          <t>Region II (Cagayan Valley)</t>
        </is>
      </c>
      <c r="F361" s="11" t="inlineStr">
        <is>
          <t>Nueva Vizcaya</t>
        </is>
      </c>
      <c r="G361" s="11" t="inlineStr">
        <is>
          <t>Kasibu</t>
        </is>
      </c>
      <c r="H361" s="11" t="inlineStr">
        <is>
          <t>Pao</t>
        </is>
      </c>
      <c r="I361" s="24" t="n">
        <v>16.319556</v>
      </c>
      <c r="J361" s="24" t="n">
        <v>121.372185</v>
      </c>
      <c r="K361" s="23" t="inlineStr">
        <is>
          <t>R</t>
        </is>
      </c>
      <c r="L361" s="25" t="n">
        <v>1508</v>
      </c>
      <c r="M361" s="26" t="n">
        <v>3.8</v>
      </c>
      <c r="N361" s="25">
        <f>ROUND(L361/M361, 0)</f>
        <v/>
      </c>
      <c r="O361" s="25">
        <f>ROUND(N361*'Methodology &amp; Assumptions'!$B$7, 0)</f>
        <v/>
      </c>
      <c r="P361" s="23" t="inlineStr">
        <is>
          <t>Single Carrier (Band n50, 100MHz TDD)</t>
        </is>
      </c>
      <c r="Q361" s="27">
        <f>ROUNDUP(O361/'Methodology &amp; Assumptions'!$B$8, 0)</f>
        <v/>
      </c>
      <c r="R361" s="27" t="n">
        <v>1</v>
      </c>
      <c r="S361" s="26" t="n">
        <v>8.32</v>
      </c>
      <c r="T361" s="26" t="n">
        <v>28.63</v>
      </c>
      <c r="U361" s="11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26" t="n">
        <v>52.71</v>
      </c>
      <c r="W361" s="26" t="n">
        <v>70.39</v>
      </c>
      <c r="X361" s="26">
        <f>ROUND(('Methodology &amp; Assumptions'!$B$5*V361) + ('Methodology &amp; Assumptions'!$B$6*W361), 2)</f>
        <v/>
      </c>
      <c r="Y361" s="28" t="n">
        <v>8.300000000000001</v>
      </c>
      <c r="Z361" s="11" t="inlineStr">
        <is>
          <t>Priority Tier 2 (Balanced Opportunity)</t>
        </is>
      </c>
    </row>
    <row r="362">
      <c r="A362" s="23" t="n">
        <v>3</v>
      </c>
      <c r="B362" s="23" t="n">
        <v>358</v>
      </c>
      <c r="C362" s="23" t="n">
        <v>2358</v>
      </c>
      <c r="D362" s="23" t="inlineStr">
        <is>
          <t>0102806007</t>
        </is>
      </c>
      <c r="E362" s="11" t="inlineStr">
        <is>
          <t>Region I (Ilocos Region)</t>
        </is>
      </c>
      <c r="F362" s="11" t="inlineStr">
        <is>
          <t>Ilocos Norte</t>
        </is>
      </c>
      <c r="G362" s="11" t="inlineStr">
        <is>
          <t>Burgos</t>
        </is>
      </c>
      <c r="H362" s="11" t="inlineStr">
        <is>
          <t>Buduan</t>
        </is>
      </c>
      <c r="I362" s="24" t="n">
        <v>18.467144</v>
      </c>
      <c r="J362" s="24" t="n">
        <v>120.640188</v>
      </c>
      <c r="K362" s="23" t="inlineStr">
        <is>
          <t>R</t>
        </is>
      </c>
      <c r="L362" s="25" t="n">
        <v>954</v>
      </c>
      <c r="M362" s="26" t="n">
        <v>3.7</v>
      </c>
      <c r="N362" s="25">
        <f>ROUND(L362/M362, 0)</f>
        <v/>
      </c>
      <c r="O362" s="25">
        <f>ROUND(N362*'Methodology &amp; Assumptions'!$B$7, 0)</f>
        <v/>
      </c>
      <c r="P362" s="23" t="inlineStr">
        <is>
          <t>Single Carrier (Band n50, 100MHz TDD)</t>
        </is>
      </c>
      <c r="Q362" s="27">
        <f>ROUNDUP(O362/'Methodology &amp; Assumptions'!$B$8, 0)</f>
        <v/>
      </c>
      <c r="R362" s="27" t="n">
        <v>1</v>
      </c>
      <c r="S362" s="26" t="n">
        <v>5.18</v>
      </c>
      <c r="T362" s="26" t="n">
        <v>4.88</v>
      </c>
      <c r="U362" s="11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26" t="n">
        <v>52.08</v>
      </c>
      <c r="W362" s="26" t="n">
        <v>71.02</v>
      </c>
      <c r="X362" s="26">
        <f>ROUND(('Methodology &amp; Assumptions'!$B$5*V362) + ('Methodology &amp; Assumptions'!$B$6*W362), 2)</f>
        <v/>
      </c>
      <c r="Y362" s="28" t="n">
        <v>8.300000000000001</v>
      </c>
      <c r="Z362" s="11" t="inlineStr">
        <is>
          <t>Priority Tier 2 (Balanced Opportunity)</t>
        </is>
      </c>
    </row>
    <row r="363">
      <c r="A363" s="23" t="n">
        <v>3</v>
      </c>
      <c r="B363" s="23" t="n">
        <v>359</v>
      </c>
      <c r="C363" s="23" t="n">
        <v>2359</v>
      </c>
      <c r="D363" s="23" t="inlineStr">
        <is>
          <t>0704603015</t>
        </is>
      </c>
      <c r="E363" s="11" t="inlineStr">
        <is>
          <t>Region VII (Central Visayas)</t>
        </is>
      </c>
      <c r="F363" s="11" t="inlineStr">
        <is>
          <t>Negros Oriental</t>
        </is>
      </c>
      <c r="G363" s="11" t="inlineStr">
        <is>
          <t>Bacong</t>
        </is>
      </c>
      <c r="H363" s="11" t="inlineStr">
        <is>
          <t>Sacsac</t>
        </is>
      </c>
      <c r="I363" s="24" t="n">
        <v>9.255689</v>
      </c>
      <c r="J363" s="24" t="n">
        <v>123.2947</v>
      </c>
      <c r="K363" s="23" t="inlineStr">
        <is>
          <t>R</t>
        </is>
      </c>
      <c r="L363" s="25" t="n">
        <v>4372</v>
      </c>
      <c r="M363" s="26" t="n">
        <v>3.8</v>
      </c>
      <c r="N363" s="25">
        <f>ROUND(L363/M363, 0)</f>
        <v/>
      </c>
      <c r="O363" s="25">
        <f>ROUND(N363*'Methodology &amp; Assumptions'!$B$7, 0)</f>
        <v/>
      </c>
      <c r="P363" s="23" t="inlineStr">
        <is>
          <t>Single Carrier (Band n50, 100MHz TDD)</t>
        </is>
      </c>
      <c r="Q363" s="27">
        <f>ROUNDUP(O363/'Methodology &amp; Assumptions'!$B$8, 0)</f>
        <v/>
      </c>
      <c r="R363" s="27" t="n">
        <v>1</v>
      </c>
      <c r="S363" s="26" t="n">
        <v>0.65</v>
      </c>
      <c r="T363" s="26" t="n">
        <v>0.03</v>
      </c>
      <c r="U363" s="11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26" t="n">
        <v>88.06</v>
      </c>
      <c r="W363" s="26" t="n">
        <v>35.02</v>
      </c>
      <c r="X363" s="26">
        <f>ROUND(('Methodology &amp; Assumptions'!$B$5*V363) + ('Methodology &amp; Assumptions'!$B$6*W363), 2)</f>
        <v/>
      </c>
      <c r="Y363" s="28" t="n">
        <v>23.7</v>
      </c>
      <c r="Z363" s="11" t="inlineStr">
        <is>
          <t>Priority Tier 2 (Balanced Opportunity)</t>
        </is>
      </c>
    </row>
    <row r="364">
      <c r="A364" s="23" t="n">
        <v>3</v>
      </c>
      <c r="B364" s="23" t="n">
        <v>360</v>
      </c>
      <c r="C364" s="23" t="n">
        <v>2360</v>
      </c>
      <c r="D364" s="23" t="inlineStr">
        <is>
          <t>0702219012</t>
        </is>
      </c>
      <c r="E364" s="11" t="inlineStr">
        <is>
          <t>Region VII (Central Visayas)</t>
        </is>
      </c>
      <c r="F364" s="11" t="inlineStr">
        <is>
          <t>Cebu</t>
        </is>
      </c>
      <c r="G364" s="11" t="inlineStr">
        <is>
          <t>Consolacion</t>
        </is>
      </c>
      <c r="H364" s="11" t="inlineStr">
        <is>
          <t>Pitogo</t>
        </is>
      </c>
      <c r="I364" s="24" t="n">
        <v>10.382561</v>
      </c>
      <c r="J364" s="24" t="n">
        <v>123.971257</v>
      </c>
      <c r="K364" s="23" t="inlineStr">
        <is>
          <t>U</t>
        </is>
      </c>
      <c r="L364" s="25" t="n">
        <v>4392</v>
      </c>
      <c r="M364" s="26" t="n">
        <v>3.8</v>
      </c>
      <c r="N364" s="25">
        <f>ROUND(L364/M364, 0)</f>
        <v/>
      </c>
      <c r="O364" s="25">
        <f>ROUND(N364*'Methodology &amp; Assumptions'!$B$7, 0)</f>
        <v/>
      </c>
      <c r="P364" s="23" t="inlineStr">
        <is>
          <t>Single Carrier (Band n50, 100MHz TDD)</t>
        </is>
      </c>
      <c r="Q364" s="27">
        <f>ROUNDUP(O364/'Methodology &amp; Assumptions'!$B$8, 0)</f>
        <v/>
      </c>
      <c r="R364" s="27" t="n">
        <v>1</v>
      </c>
      <c r="S364" s="26" t="n">
        <v>1.52</v>
      </c>
      <c r="T364" s="26" t="n">
        <v>0.17</v>
      </c>
      <c r="U364" s="11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26" t="n">
        <v>78.29000000000001</v>
      </c>
      <c r="W364" s="26" t="n">
        <v>44.79</v>
      </c>
      <c r="X364" s="26">
        <f>ROUND(('Methodology &amp; Assumptions'!$B$5*V364) + ('Methodology &amp; Assumptions'!$B$6*W364), 2)</f>
        <v/>
      </c>
      <c r="Y364" s="28" t="n">
        <v>23.7</v>
      </c>
      <c r="Z364" s="11" t="inlineStr">
        <is>
          <t>Priority Tier 2 (Balanced Opportunity)</t>
        </is>
      </c>
    </row>
    <row r="365">
      <c r="A365" s="23" t="n">
        <v>3</v>
      </c>
      <c r="B365" s="23" t="n">
        <v>361</v>
      </c>
      <c r="C365" s="23" t="n">
        <v>2361</v>
      </c>
      <c r="D365" s="23" t="inlineStr">
        <is>
          <t>0401022031</t>
        </is>
      </c>
      <c r="E365" s="11" t="inlineStr">
        <is>
          <t>Region IV-A (CALABARZON)</t>
        </is>
      </c>
      <c r="F365" s="11" t="inlineStr">
        <is>
          <t>Batangas</t>
        </is>
      </c>
      <c r="G365" s="11" t="inlineStr">
        <is>
          <t>San Jose</t>
        </is>
      </c>
      <c r="H365" s="11" t="inlineStr">
        <is>
          <t>Taysan</t>
        </is>
      </c>
      <c r="I365" s="24" t="n">
        <v>13.877061</v>
      </c>
      <c r="J365" s="24" t="n">
        <v>121.100638</v>
      </c>
      <c r="K365" s="23" t="inlineStr">
        <is>
          <t>U</t>
        </is>
      </c>
      <c r="L365" s="25" t="n">
        <v>3214</v>
      </c>
      <c r="M365" s="26" t="n">
        <v>3.6</v>
      </c>
      <c r="N365" s="25">
        <f>ROUND(L365/M365, 0)</f>
        <v/>
      </c>
      <c r="O365" s="25">
        <f>ROUND(N365*'Methodology &amp; Assumptions'!$B$7, 0)</f>
        <v/>
      </c>
      <c r="P365" s="23" t="inlineStr">
        <is>
          <t>Single Carrier (Band n50, 100MHz TDD)</t>
        </is>
      </c>
      <c r="Q365" s="27">
        <f>ROUNDUP(O365/'Methodology &amp; Assumptions'!$B$8, 0)</f>
        <v/>
      </c>
      <c r="R365" s="27" t="n">
        <v>1</v>
      </c>
      <c r="S365" s="26" t="n">
        <v>0.52</v>
      </c>
      <c r="T365" s="26" t="n">
        <v>0.16</v>
      </c>
      <c r="U365" s="11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26" t="n">
        <v>78.26000000000001</v>
      </c>
      <c r="W365" s="26" t="n">
        <v>44.82</v>
      </c>
      <c r="X365" s="26">
        <f>ROUND(('Methodology &amp; Assumptions'!$B$5*V365) + ('Methodology &amp; Assumptions'!$B$6*W365), 2)</f>
        <v/>
      </c>
      <c r="Y365" s="28" t="n">
        <v>7.2</v>
      </c>
      <c r="Z365" s="11" t="inlineStr">
        <is>
          <t>Priority Tier 2 (Balanced Opportunity)</t>
        </is>
      </c>
    </row>
    <row r="366">
      <c r="A366" s="23" t="n">
        <v>3</v>
      </c>
      <c r="B366" s="23" t="n">
        <v>362</v>
      </c>
      <c r="C366" s="23" t="n">
        <v>2362</v>
      </c>
      <c r="D366" s="23" t="inlineStr">
        <is>
          <t>0304926006</t>
        </is>
      </c>
      <c r="E366" s="11" t="inlineStr">
        <is>
          <t>Region III (Central Luzon)</t>
        </is>
      </c>
      <c r="F366" s="11" t="inlineStr">
        <is>
          <t>Nueva Ecija</t>
        </is>
      </c>
      <c r="G366" s="11" t="inlineStr">
        <is>
          <t>San Jose City</t>
        </is>
      </c>
      <c r="H366" s="11" t="inlineStr">
        <is>
          <t>Calaocan</t>
        </is>
      </c>
      <c r="I366" s="24" t="n">
        <v>15.78516</v>
      </c>
      <c r="J366" s="24" t="n">
        <v>120.9886</v>
      </c>
      <c r="K366" s="23" t="inlineStr">
        <is>
          <t>U</t>
        </is>
      </c>
      <c r="L366" s="25" t="n">
        <v>6480</v>
      </c>
      <c r="M366" s="26" t="n">
        <v>3.5</v>
      </c>
      <c r="N366" s="25">
        <f>ROUND(L366/M366, 0)</f>
        <v/>
      </c>
      <c r="O366" s="25">
        <f>ROUND(N366*'Methodology &amp; Assumptions'!$B$7, 0)</f>
        <v/>
      </c>
      <c r="P366" s="23" t="inlineStr">
        <is>
          <t>Single Carrier (Band n50, 100MHz TDD)</t>
        </is>
      </c>
      <c r="Q366" s="27">
        <f>ROUNDUP(O366/'Methodology &amp; Assumptions'!$B$8, 0)</f>
        <v/>
      </c>
      <c r="R366" s="27" t="n">
        <v>1</v>
      </c>
      <c r="S366" s="26" t="n">
        <v>1.06</v>
      </c>
      <c r="T366" s="26" t="n">
        <v>0.51</v>
      </c>
      <c r="U366" s="11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26" t="n">
        <v>77.61</v>
      </c>
      <c r="W366" s="26" t="n">
        <v>45.47</v>
      </c>
      <c r="X366" s="26">
        <f>ROUND(('Methodology &amp; Assumptions'!$B$5*V366) + ('Methodology &amp; Assumptions'!$B$6*W366), 2)</f>
        <v/>
      </c>
      <c r="Y366" s="28" t="n">
        <v>8.300000000000001</v>
      </c>
      <c r="Z366" s="11" t="inlineStr">
        <is>
          <t>Priority Tier 2 (Balanced Opportunity)</t>
        </is>
      </c>
    </row>
    <row r="367">
      <c r="A367" s="23" t="n">
        <v>3</v>
      </c>
      <c r="B367" s="23" t="n">
        <v>363</v>
      </c>
      <c r="C367" s="23" t="n">
        <v>2363</v>
      </c>
      <c r="D367" s="23" t="inlineStr">
        <is>
          <t>0307701007</t>
        </is>
      </c>
      <c r="E367" s="11" t="inlineStr">
        <is>
          <t>Region III (Central Luzon)</t>
        </is>
      </c>
      <c r="F367" s="11" t="inlineStr">
        <is>
          <t>Aurora</t>
        </is>
      </c>
      <c r="G367" s="11" t="inlineStr">
        <is>
          <t>Baler</t>
        </is>
      </c>
      <c r="H367" s="11" t="inlineStr">
        <is>
          <t>Calabuanan</t>
        </is>
      </c>
      <c r="I367" s="24" t="n">
        <v>15.754377</v>
      </c>
      <c r="J367" s="24" t="n">
        <v>121.522727</v>
      </c>
      <c r="K367" s="23" t="inlineStr">
        <is>
          <t>U</t>
        </is>
      </c>
      <c r="L367" s="25" t="n">
        <v>4098</v>
      </c>
      <c r="M367" s="26" t="n">
        <v>3.8</v>
      </c>
      <c r="N367" s="25">
        <f>ROUND(L367/M367, 0)</f>
        <v/>
      </c>
      <c r="O367" s="25">
        <f>ROUND(N367*'Methodology &amp; Assumptions'!$B$7, 0)</f>
        <v/>
      </c>
      <c r="P367" s="23" t="inlineStr">
        <is>
          <t>Single Carrier (Band n50, 100MHz TDD)</t>
        </is>
      </c>
      <c r="Q367" s="27">
        <f>ROUNDUP(O367/'Methodology &amp; Assumptions'!$B$8, 0)</f>
        <v/>
      </c>
      <c r="R367" s="27" t="n">
        <v>1</v>
      </c>
      <c r="S367" s="26" t="n">
        <v>1.43</v>
      </c>
      <c r="T367" s="26" t="n">
        <v>0.32</v>
      </c>
      <c r="U367" s="11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26" t="n">
        <v>76.22</v>
      </c>
      <c r="W367" s="26" t="n">
        <v>46.87</v>
      </c>
      <c r="X367" s="26">
        <f>ROUND(('Methodology &amp; Assumptions'!$B$5*V367) + ('Methodology &amp; Assumptions'!$B$6*W367), 2)</f>
        <v/>
      </c>
      <c r="Y367" s="28" t="n">
        <v>8.300000000000001</v>
      </c>
      <c r="Z367" s="11" t="inlineStr">
        <is>
          <t>Priority Tier 2 (Balanced Opportunity)</t>
        </is>
      </c>
    </row>
    <row r="368">
      <c r="A368" s="23" t="n">
        <v>3</v>
      </c>
      <c r="B368" s="23" t="n">
        <v>364</v>
      </c>
      <c r="C368" s="23" t="n">
        <v>2364</v>
      </c>
      <c r="D368" s="23" t="inlineStr">
        <is>
          <t>1380610018</t>
        </is>
      </c>
      <c r="E368" s="11" t="inlineStr">
        <is>
          <t>National Capital Region (NCR)</t>
        </is>
      </c>
      <c r="F368" s="11" t="inlineStr">
        <is>
          <t>First District (Not a Province)</t>
        </is>
      </c>
      <c r="G368" s="11" t="inlineStr">
        <is>
          <t>City of Manila</t>
        </is>
      </c>
      <c r="H368" s="11" t="inlineStr">
        <is>
          <t>Barangay 703</t>
        </is>
      </c>
      <c r="I368" s="24" t="n">
        <v>14.571074</v>
      </c>
      <c r="J368" s="24" t="n">
        <v>120.989762</v>
      </c>
      <c r="K368" s="23" t="inlineStr">
        <is>
          <t>U</t>
        </is>
      </c>
      <c r="L368" s="25" t="n">
        <v>848</v>
      </c>
      <c r="M368" s="26" t="n">
        <v>2.66</v>
      </c>
      <c r="N368" s="25">
        <f>ROUND(L368/M368, 0)</f>
        <v/>
      </c>
      <c r="O368" s="25">
        <f>ROUND(N368*'Methodology &amp; Assumptions'!$B$7, 0)</f>
        <v/>
      </c>
      <c r="P368" s="23" t="inlineStr">
        <is>
          <t>Single Carrier (Band n50, 100MHz TDD)</t>
        </is>
      </c>
      <c r="Q368" s="27">
        <f>ROUNDUP(O368/'Methodology &amp; Assumptions'!$B$8, 0)</f>
        <v/>
      </c>
      <c r="R368" s="27" t="n">
        <v>1</v>
      </c>
      <c r="S368" s="26" t="n">
        <v>0.49</v>
      </c>
      <c r="T368" s="26" t="n">
        <v>0.19</v>
      </c>
      <c r="U368" s="11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26" t="n">
        <v>51.37</v>
      </c>
      <c r="W368" s="26" t="n">
        <v>71.7</v>
      </c>
      <c r="X368" s="26">
        <f>ROUND(('Methodology &amp; Assumptions'!$B$5*V368) + ('Methodology &amp; Assumptions'!$B$6*W368), 2)</f>
        <v/>
      </c>
      <c r="Y368" s="28" t="n">
        <v>10.9</v>
      </c>
      <c r="Z368" s="11" t="inlineStr">
        <is>
          <t>Priority Tier 2 (Balanced Opportunity)</t>
        </is>
      </c>
    </row>
    <row r="369">
      <c r="A369" s="23" t="n">
        <v>3</v>
      </c>
      <c r="B369" s="23" t="n">
        <v>365</v>
      </c>
      <c r="C369" s="23" t="n">
        <v>2365</v>
      </c>
      <c r="D369" s="23" t="inlineStr">
        <is>
          <t>0402115016</t>
        </is>
      </c>
      <c r="E369" s="11" t="inlineStr">
        <is>
          <t>Region IV-A (CALABARZON)</t>
        </is>
      </c>
      <c r="F369" s="11" t="inlineStr">
        <is>
          <t>Cavite</t>
        </is>
      </c>
      <c r="G369" s="11" t="inlineStr">
        <is>
          <t>Naic</t>
        </is>
      </c>
      <c r="H369" s="11" t="inlineStr">
        <is>
          <t>Latoria</t>
        </is>
      </c>
      <c r="I369" s="24" t="n">
        <v>14.321459</v>
      </c>
      <c r="J369" s="24" t="n">
        <v>120.761299</v>
      </c>
      <c r="K369" s="23" t="inlineStr">
        <is>
          <t>R</t>
        </is>
      </c>
      <c r="L369" s="25" t="n">
        <v>2301</v>
      </c>
      <c r="M369" s="26" t="n">
        <v>3.4</v>
      </c>
      <c r="N369" s="25">
        <f>ROUND(L369/M369, 0)</f>
        <v/>
      </c>
      <c r="O369" s="25">
        <f>ROUND(N369*'Methodology &amp; Assumptions'!$B$7, 0)</f>
        <v/>
      </c>
      <c r="P369" s="23" t="inlineStr">
        <is>
          <t>Single Carrier (Band n50, 100MHz TDD)</t>
        </is>
      </c>
      <c r="Q369" s="27">
        <f>ROUNDUP(O369/'Methodology &amp; Assumptions'!$B$8, 0)</f>
        <v/>
      </c>
      <c r="R369" s="27" t="n">
        <v>1</v>
      </c>
      <c r="S369" s="26" t="n">
        <v>1.11</v>
      </c>
      <c r="T369" s="26" t="n">
        <v>1.11</v>
      </c>
      <c r="U369" s="11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26" t="n">
        <v>79.89</v>
      </c>
      <c r="W369" s="26" t="n">
        <v>43.17</v>
      </c>
      <c r="X369" s="26">
        <f>ROUND(('Methodology &amp; Assumptions'!$B$5*V369) + ('Methodology &amp; Assumptions'!$B$6*W369), 2)</f>
        <v/>
      </c>
      <c r="Y369" s="28" t="n">
        <v>7.2</v>
      </c>
      <c r="Z369" s="11" t="inlineStr">
        <is>
          <t>Priority Tier 2 (Balanced Opportunity)</t>
        </is>
      </c>
    </row>
    <row r="370">
      <c r="A370" s="23" t="n">
        <v>3</v>
      </c>
      <c r="B370" s="23" t="n">
        <v>366</v>
      </c>
      <c r="C370" s="23" t="n">
        <v>2366</v>
      </c>
      <c r="D370" s="23" t="inlineStr">
        <is>
          <t>0405623008</t>
        </is>
      </c>
      <c r="E370" s="11" t="inlineStr">
        <is>
          <t>Region IV-A (CALABARZON)</t>
        </is>
      </c>
      <c r="F370" s="11" t="inlineStr">
        <is>
          <t>Quezon</t>
        </is>
      </c>
      <c r="G370" s="11" t="inlineStr">
        <is>
          <t>Lucban</t>
        </is>
      </c>
      <c r="H370" s="11" t="inlineStr">
        <is>
          <t>Barangay 5</t>
        </is>
      </c>
      <c r="I370" s="24" t="n">
        <v>14.112598</v>
      </c>
      <c r="J370" s="24" t="n">
        <v>121.555466</v>
      </c>
      <c r="K370" s="23" t="inlineStr">
        <is>
          <t>R</t>
        </is>
      </c>
      <c r="L370" s="25" t="n">
        <v>2399</v>
      </c>
      <c r="M370" s="26" t="n">
        <v>3.8</v>
      </c>
      <c r="N370" s="25">
        <f>ROUND(L370/M370, 0)</f>
        <v/>
      </c>
      <c r="O370" s="25">
        <f>ROUND(N370*'Methodology &amp; Assumptions'!$B$7, 0)</f>
        <v/>
      </c>
      <c r="P370" s="23" t="inlineStr">
        <is>
          <t>Single Carrier (Band n50, 100MHz TDD)</t>
        </is>
      </c>
      <c r="Q370" s="27">
        <f>ROUNDUP(O370/'Methodology &amp; Assumptions'!$B$8, 0)</f>
        <v/>
      </c>
      <c r="R370" s="27" t="n">
        <v>1</v>
      </c>
      <c r="S370" s="26" t="n">
        <v>0.32</v>
      </c>
      <c r="T370" s="26" t="n">
        <v>0.19</v>
      </c>
      <c r="U370" s="11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26" t="n">
        <v>79.42</v>
      </c>
      <c r="W370" s="26" t="n">
        <v>43.64</v>
      </c>
      <c r="X370" s="26">
        <f>ROUND(('Methodology &amp; Assumptions'!$B$5*V370) + ('Methodology &amp; Assumptions'!$B$6*W370), 2)</f>
        <v/>
      </c>
      <c r="Y370" s="28" t="n">
        <v>7.2</v>
      </c>
      <c r="Z370" s="11" t="inlineStr">
        <is>
          <t>Priority Tier 2 (Balanced Opportunity)</t>
        </is>
      </c>
    </row>
    <row r="371">
      <c r="A371" s="23" t="n">
        <v>3</v>
      </c>
      <c r="B371" s="23" t="n">
        <v>367</v>
      </c>
      <c r="C371" s="23" t="n">
        <v>2367</v>
      </c>
      <c r="D371" s="23" t="inlineStr">
        <is>
          <t>0405630019</t>
        </is>
      </c>
      <c r="E371" s="11" t="inlineStr">
        <is>
          <t>Region IV-A (CALABARZON)</t>
        </is>
      </c>
      <c r="F371" s="11" t="inlineStr">
        <is>
          <t>Quezon</t>
        </is>
      </c>
      <c r="G371" s="11" t="inlineStr">
        <is>
          <t>Pagbilao</t>
        </is>
      </c>
      <c r="H371" s="11" t="inlineStr">
        <is>
          <t>Barangay 1 Castillo</t>
        </is>
      </c>
      <c r="I371" s="24" t="n">
        <v>13.970706</v>
      </c>
      <c r="J371" s="24" t="n">
        <v>121.683344</v>
      </c>
      <c r="K371" s="23" t="inlineStr">
        <is>
          <t>R</t>
        </is>
      </c>
      <c r="L371" s="25" t="n">
        <v>1431</v>
      </c>
      <c r="M371" s="26" t="n">
        <v>3.8</v>
      </c>
      <c r="N371" s="25">
        <f>ROUND(L371/M371, 0)</f>
        <v/>
      </c>
      <c r="O371" s="25">
        <f>ROUND(N371*'Methodology &amp; Assumptions'!$B$7, 0)</f>
        <v/>
      </c>
      <c r="P371" s="23" t="inlineStr">
        <is>
          <t>Single Carrier (Band n50, 100MHz TDD)</t>
        </is>
      </c>
      <c r="Q371" s="27">
        <f>ROUNDUP(O371/'Methodology &amp; Assumptions'!$B$8, 0)</f>
        <v/>
      </c>
      <c r="R371" s="27" t="n">
        <v>1</v>
      </c>
      <c r="S371" s="26" t="n">
        <v>0.19</v>
      </c>
      <c r="T371" s="26" t="n">
        <v>0.04</v>
      </c>
      <c r="U371" s="11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26" t="n">
        <v>71.15000000000001</v>
      </c>
      <c r="W371" s="26" t="n">
        <v>51.91</v>
      </c>
      <c r="X371" s="26">
        <f>ROUND(('Methodology &amp; Assumptions'!$B$5*V371) + ('Methodology &amp; Assumptions'!$B$6*W371), 2)</f>
        <v/>
      </c>
      <c r="Y371" s="28" t="n">
        <v>7.2</v>
      </c>
      <c r="Z371" s="11" t="inlineStr">
        <is>
          <t>Priority Tier 2 (Balanced Opportunity)</t>
        </is>
      </c>
    </row>
    <row r="372">
      <c r="A372" s="23" t="n">
        <v>3</v>
      </c>
      <c r="B372" s="23" t="n">
        <v>368</v>
      </c>
      <c r="C372" s="23" t="n">
        <v>2368</v>
      </c>
      <c r="D372" s="23" t="inlineStr">
        <is>
          <t>0301416004</t>
        </is>
      </c>
      <c r="E372" s="11" t="inlineStr">
        <is>
          <t>Region III (Central Luzon)</t>
        </is>
      </c>
      <c r="F372" s="11" t="inlineStr">
        <is>
          <t>Bulacan</t>
        </is>
      </c>
      <c r="G372" s="11" t="inlineStr">
        <is>
          <t>Paombong</t>
        </is>
      </c>
      <c r="H372" s="11" t="inlineStr">
        <is>
          <t>Masukol</t>
        </is>
      </c>
      <c r="I372" s="24" t="n">
        <v>14.764331</v>
      </c>
      <c r="J372" s="24" t="n">
        <v>120.770609</v>
      </c>
      <c r="K372" s="23" t="inlineStr">
        <is>
          <t>R</t>
        </is>
      </c>
      <c r="L372" s="25" t="n">
        <v>1452</v>
      </c>
      <c r="M372" s="26" t="n">
        <v>3.5</v>
      </c>
      <c r="N372" s="25">
        <f>ROUND(L372/M372, 0)</f>
        <v/>
      </c>
      <c r="O372" s="25">
        <f>ROUND(N372*'Methodology &amp; Assumptions'!$B$7, 0)</f>
        <v/>
      </c>
      <c r="P372" s="23" t="inlineStr">
        <is>
          <t>Single Carrier (Band n50, 100MHz TDD)</t>
        </is>
      </c>
      <c r="Q372" s="27">
        <f>ROUNDUP(O372/'Methodology &amp; Assumptions'!$B$8, 0)</f>
        <v/>
      </c>
      <c r="R372" s="27" t="n">
        <v>1</v>
      </c>
      <c r="S372" s="26" t="n">
        <v>7.9</v>
      </c>
      <c r="T372" s="26" t="n">
        <v>10.84</v>
      </c>
      <c r="U372" s="11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26" t="n">
        <v>53.65</v>
      </c>
      <c r="W372" s="26" t="n">
        <v>69.41</v>
      </c>
      <c r="X372" s="26">
        <f>ROUND(('Methodology &amp; Assumptions'!$B$5*V372) + ('Methodology &amp; Assumptions'!$B$6*W372), 2)</f>
        <v/>
      </c>
      <c r="Y372" s="28" t="n">
        <v>8.300000000000001</v>
      </c>
      <c r="Z372" s="11" t="inlineStr">
        <is>
          <t>Priority Tier 2 (Balanced Opportunity)</t>
        </is>
      </c>
    </row>
    <row r="373">
      <c r="A373" s="23" t="n">
        <v>3</v>
      </c>
      <c r="B373" s="23" t="n">
        <v>369</v>
      </c>
      <c r="C373" s="23" t="n">
        <v>2369</v>
      </c>
      <c r="D373" s="23" t="inlineStr">
        <is>
          <t>0402114002</t>
        </is>
      </c>
      <c r="E373" s="11" t="inlineStr">
        <is>
          <t>Region IV-A (CALABARZON)</t>
        </is>
      </c>
      <c r="F373" s="11" t="inlineStr">
        <is>
          <t>Cavite</t>
        </is>
      </c>
      <c r="G373" s="11" t="inlineStr">
        <is>
          <t>Mendez</t>
        </is>
      </c>
      <c r="H373" s="11" t="inlineStr">
        <is>
          <t>Asis I</t>
        </is>
      </c>
      <c r="I373" s="24" t="n">
        <v>14.136994</v>
      </c>
      <c r="J373" s="24" t="n">
        <v>120.900148</v>
      </c>
      <c r="K373" s="23" t="inlineStr">
        <is>
          <t>R</t>
        </is>
      </c>
      <c r="L373" s="25" t="n">
        <v>3842</v>
      </c>
      <c r="M373" s="26" t="n">
        <v>3.4</v>
      </c>
      <c r="N373" s="25">
        <f>ROUND(L373/M373, 0)</f>
        <v/>
      </c>
      <c r="O373" s="25">
        <f>ROUND(N373*'Methodology &amp; Assumptions'!$B$7, 0)</f>
        <v/>
      </c>
      <c r="P373" s="23" t="inlineStr">
        <is>
          <t>Single Carrier (Band n50, 100MHz TDD)</t>
        </is>
      </c>
      <c r="Q373" s="27">
        <f>ROUNDUP(O373/'Methodology &amp; Assumptions'!$B$8, 0)</f>
        <v/>
      </c>
      <c r="R373" s="27" t="n">
        <v>1</v>
      </c>
      <c r="S373" s="26" t="n">
        <v>0.2</v>
      </c>
      <c r="T373" s="26" t="n">
        <v>4.85</v>
      </c>
      <c r="U373" s="11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26" t="n">
        <v>84.61</v>
      </c>
      <c r="W373" s="26" t="n">
        <v>38.43</v>
      </c>
      <c r="X373" s="26">
        <f>ROUND(('Methodology &amp; Assumptions'!$B$5*V373) + ('Methodology &amp; Assumptions'!$B$6*W373), 2)</f>
        <v/>
      </c>
      <c r="Y373" s="28" t="n">
        <v>7.2</v>
      </c>
      <c r="Z373" s="11" t="inlineStr">
        <is>
          <t>Priority Tier 2 (Balanced Opportunity)</t>
        </is>
      </c>
    </row>
    <row r="374">
      <c r="A374" s="23" t="n">
        <v>3</v>
      </c>
      <c r="B374" s="23" t="n">
        <v>370</v>
      </c>
      <c r="C374" s="23" t="n">
        <v>2370</v>
      </c>
      <c r="D374" s="23" t="inlineStr">
        <is>
          <t>1380606131</t>
        </is>
      </c>
      <c r="E374" s="11" t="inlineStr">
        <is>
          <t>National Capital Region (NCR)</t>
        </is>
      </c>
      <c r="F374" s="11" t="inlineStr">
        <is>
          <t>First District (Not a Province)</t>
        </is>
      </c>
      <c r="G374" s="11" t="inlineStr">
        <is>
          <t>City of Manila</t>
        </is>
      </c>
      <c r="H374" s="11" t="inlineStr">
        <is>
          <t>Barangay 525</t>
        </is>
      </c>
      <c r="I374" s="24" t="n">
        <v>14.613352</v>
      </c>
      <c r="J374" s="24" t="n">
        <v>121.001031</v>
      </c>
      <c r="K374" s="23" t="inlineStr">
        <is>
          <t>U</t>
        </is>
      </c>
      <c r="L374" s="25" t="n">
        <v>1673</v>
      </c>
      <c r="M374" s="26" t="n">
        <v>4.1</v>
      </c>
      <c r="N374" s="25">
        <f>ROUND(L374/M374, 0)</f>
        <v/>
      </c>
      <c r="O374" s="25">
        <f>ROUND(N374*'Methodology &amp; Assumptions'!$B$7, 0)</f>
        <v/>
      </c>
      <c r="P374" s="23" t="inlineStr">
        <is>
          <t>Single Carrier (Band n50, 100MHz TDD)</t>
        </is>
      </c>
      <c r="Q374" s="27">
        <f>ROUNDUP(O374/'Methodology &amp; Assumptions'!$B$8, 0)</f>
        <v/>
      </c>
      <c r="R374" s="27" t="n">
        <v>1</v>
      </c>
      <c r="S374" s="26" t="n">
        <v>0.4</v>
      </c>
      <c r="T374" s="26" t="n">
        <v>0.26</v>
      </c>
      <c r="U374" s="11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26" t="n">
        <v>54.16</v>
      </c>
      <c r="W374" s="26" t="n">
        <v>68.89</v>
      </c>
      <c r="X374" s="26">
        <f>ROUND(('Methodology &amp; Assumptions'!$B$5*V374) + ('Methodology &amp; Assumptions'!$B$6*W374), 2)</f>
        <v/>
      </c>
      <c r="Y374" s="28" t="n">
        <v>10.9</v>
      </c>
      <c r="Z374" s="11" t="inlineStr">
        <is>
          <t>Priority Tier 2 (Balanced Opportunity)</t>
        </is>
      </c>
    </row>
    <row r="375">
      <c r="A375" s="23" t="n">
        <v>3</v>
      </c>
      <c r="B375" s="23" t="n">
        <v>371</v>
      </c>
      <c r="C375" s="23" t="n">
        <v>2371</v>
      </c>
      <c r="D375" s="23" t="inlineStr">
        <is>
          <t>1380606080</t>
        </is>
      </c>
      <c r="E375" s="11" t="inlineStr">
        <is>
          <t>National Capital Region (NCR)</t>
        </is>
      </c>
      <c r="F375" s="11" t="inlineStr">
        <is>
          <t>First District (Not a Province)</t>
        </is>
      </c>
      <c r="G375" s="11" t="inlineStr">
        <is>
          <t>City of Manila</t>
        </is>
      </c>
      <c r="H375" s="11" t="inlineStr">
        <is>
          <t>Barangay 474</t>
        </is>
      </c>
      <c r="I375" s="24" t="n">
        <v>14.615123</v>
      </c>
      <c r="J375" s="24" t="n">
        <v>120.993136</v>
      </c>
      <c r="K375" s="23" t="inlineStr">
        <is>
          <t>U</t>
        </is>
      </c>
      <c r="L375" s="25" t="n">
        <v>1614</v>
      </c>
      <c r="M375" s="26" t="n">
        <v>3.83</v>
      </c>
      <c r="N375" s="25">
        <f>ROUND(L375/M375, 0)</f>
        <v/>
      </c>
      <c r="O375" s="25">
        <f>ROUND(N375*'Methodology &amp; Assumptions'!$B$7, 0)</f>
        <v/>
      </c>
      <c r="P375" s="23" t="inlineStr">
        <is>
          <t>Single Carrier (Band n50, 100MHz TDD)</t>
        </is>
      </c>
      <c r="Q375" s="27">
        <f>ROUNDUP(O375/'Methodology &amp; Assumptions'!$B$8, 0)</f>
        <v/>
      </c>
      <c r="R375" s="27" t="n">
        <v>1</v>
      </c>
      <c r="S375" s="26" t="n">
        <v>1.12</v>
      </c>
      <c r="T375" s="26" t="n">
        <v>0.54</v>
      </c>
      <c r="U375" s="11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26" t="n">
        <v>53.53</v>
      </c>
      <c r="W375" s="26" t="n">
        <v>69.5</v>
      </c>
      <c r="X375" s="26">
        <f>ROUND(('Methodology &amp; Assumptions'!$B$5*V375) + ('Methodology &amp; Assumptions'!$B$6*W375), 2)</f>
        <v/>
      </c>
      <c r="Y375" s="28" t="n">
        <v>10.9</v>
      </c>
      <c r="Z375" s="11" t="inlineStr">
        <is>
          <t>Priority Tier 2 (Balanced Opportunity)</t>
        </is>
      </c>
    </row>
    <row r="376">
      <c r="A376" s="23" t="n">
        <v>3</v>
      </c>
      <c r="B376" s="23" t="n">
        <v>372</v>
      </c>
      <c r="C376" s="23" t="n">
        <v>2372</v>
      </c>
      <c r="D376" s="23" t="inlineStr">
        <is>
          <t>0301423010</t>
        </is>
      </c>
      <c r="E376" s="11" t="inlineStr">
        <is>
          <t>Region III (Central Luzon)</t>
        </is>
      </c>
      <c r="F376" s="11" t="inlineStr">
        <is>
          <t>Bulacan</t>
        </is>
      </c>
      <c r="G376" s="11" t="inlineStr">
        <is>
          <t>Santa Maria</t>
        </is>
      </c>
      <c r="H376" s="11" t="inlineStr">
        <is>
          <t>Lalakhan</t>
        </is>
      </c>
      <c r="I376" s="24" t="n">
        <v>14.81625</v>
      </c>
      <c r="J376" s="24" t="n">
        <v>120.946671</v>
      </c>
      <c r="K376" s="23" t="inlineStr">
        <is>
          <t>R</t>
        </is>
      </c>
      <c r="L376" s="25" t="n">
        <v>2424</v>
      </c>
      <c r="M376" s="26" t="n">
        <v>3.5</v>
      </c>
      <c r="N376" s="25">
        <f>ROUND(L376/M376, 0)</f>
        <v/>
      </c>
      <c r="O376" s="25">
        <f>ROUND(N376*'Methodology &amp; Assumptions'!$B$7, 0)</f>
        <v/>
      </c>
      <c r="P376" s="23" t="inlineStr">
        <is>
          <t>Single Carrier (Band n50, 100MHz TDD)</t>
        </is>
      </c>
      <c r="Q376" s="27">
        <f>ROUNDUP(O376/'Methodology &amp; Assumptions'!$B$8, 0)</f>
        <v/>
      </c>
      <c r="R376" s="27" t="n">
        <v>1</v>
      </c>
      <c r="S376" s="26" t="n">
        <v>1.37</v>
      </c>
      <c r="T376" s="26" t="n">
        <v>0.24</v>
      </c>
      <c r="U376" s="11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26" t="n">
        <v>79.54000000000001</v>
      </c>
      <c r="W376" s="26" t="n">
        <v>43.48</v>
      </c>
      <c r="X376" s="26">
        <f>ROUND(('Methodology &amp; Assumptions'!$B$5*V376) + ('Methodology &amp; Assumptions'!$B$6*W376), 2)</f>
        <v/>
      </c>
      <c r="Y376" s="28" t="n">
        <v>8.300000000000001</v>
      </c>
      <c r="Z376" s="11" t="inlineStr">
        <is>
          <t>Priority Tier 2 (Balanced Opportunity)</t>
        </is>
      </c>
    </row>
    <row r="377">
      <c r="A377" s="23" t="n">
        <v>3</v>
      </c>
      <c r="B377" s="23" t="n">
        <v>373</v>
      </c>
      <c r="C377" s="23" t="n">
        <v>2373</v>
      </c>
      <c r="D377" s="23" t="inlineStr">
        <is>
          <t>1381300066</t>
        </is>
      </c>
      <c r="E377" s="11" t="inlineStr">
        <is>
          <t>National Capital Region (NCR)</t>
        </is>
      </c>
      <c r="F377" s="11" t="inlineStr">
        <is>
          <t>Second District (Not a Province)</t>
        </is>
      </c>
      <c r="G377" s="11" t="inlineStr">
        <is>
          <t>Quezon City</t>
        </is>
      </c>
      <c r="H377" s="11" t="inlineStr">
        <is>
          <t>Matandang Balara</t>
        </is>
      </c>
      <c r="I377" s="24" t="n">
        <v>14.67176</v>
      </c>
      <c r="J377" s="24" t="n">
        <v>121.0746</v>
      </c>
      <c r="K377" s="23" t="inlineStr">
        <is>
          <t>U</t>
        </is>
      </c>
      <c r="L377" s="25" t="n">
        <v>69667</v>
      </c>
      <c r="M377" s="26" t="n">
        <v>3.92</v>
      </c>
      <c r="N377" s="25">
        <f>ROUND(L377/M377, 0)</f>
        <v/>
      </c>
      <c r="O377" s="25">
        <f>ROUND(N377*'Methodology &amp; Assumptions'!$B$7, 0)</f>
        <v/>
      </c>
      <c r="P377" s="23" t="inlineStr">
        <is>
          <t>Single Carrier (Band n50, 100MHz TDD)</t>
        </is>
      </c>
      <c r="Q377" s="27">
        <f>ROUNDUP(O377/'Methodology &amp; Assumptions'!$B$8, 0)</f>
        <v/>
      </c>
      <c r="R377" s="27" t="n">
        <v>1</v>
      </c>
      <c r="S377" s="26" t="n">
        <v>0.55</v>
      </c>
      <c r="T377" s="26" t="n">
        <v>0.36</v>
      </c>
      <c r="U377" s="11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26" t="n">
        <v>65.75</v>
      </c>
      <c r="W377" s="26" t="n">
        <v>57.26</v>
      </c>
      <c r="X377" s="26">
        <f>ROUND(('Methodology &amp; Assumptions'!$B$5*V377) + ('Methodology &amp; Assumptions'!$B$6*W377), 2)</f>
        <v/>
      </c>
      <c r="Y377" s="28" t="n">
        <v>10.9</v>
      </c>
      <c r="Z377" s="11" t="inlineStr">
        <is>
          <t>Priority Tier 2 (Balanced Opportunity)</t>
        </is>
      </c>
    </row>
    <row r="378">
      <c r="A378" s="23" t="n">
        <v>3</v>
      </c>
      <c r="B378" s="23" t="n">
        <v>374</v>
      </c>
      <c r="C378" s="23" t="n">
        <v>2374</v>
      </c>
      <c r="D378" s="23" t="inlineStr">
        <is>
          <t>0102820004</t>
        </is>
      </c>
      <c r="E378" s="11" t="inlineStr">
        <is>
          <t>Region I (Ilocos Region)</t>
        </is>
      </c>
      <c r="F378" s="11" t="inlineStr">
        <is>
          <t>Ilocos Norte</t>
        </is>
      </c>
      <c r="G378" s="11" t="inlineStr">
        <is>
          <t>San Nicolas</t>
        </is>
      </c>
      <c r="H378" s="11" t="inlineStr">
        <is>
          <t>San Baltazar</t>
        </is>
      </c>
      <c r="I378" s="24" t="n">
        <v>18.173961</v>
      </c>
      <c r="J378" s="24" t="n">
        <v>120.594818</v>
      </c>
      <c r="K378" s="23" t="inlineStr">
        <is>
          <t>U</t>
        </is>
      </c>
      <c r="L378" s="25" t="n">
        <v>816</v>
      </c>
      <c r="M378" s="26" t="n">
        <v>3.7</v>
      </c>
      <c r="N378" s="25">
        <f>ROUND(L378/M378, 0)</f>
        <v/>
      </c>
      <c r="O378" s="25">
        <f>ROUND(N378*'Methodology &amp; Assumptions'!$B$7, 0)</f>
        <v/>
      </c>
      <c r="P378" s="23" t="inlineStr">
        <is>
          <t>Single Carrier (Band n50, 100MHz TDD)</t>
        </is>
      </c>
      <c r="Q378" s="27">
        <f>ROUNDUP(O378/'Methodology &amp; Assumptions'!$B$8, 0)</f>
        <v/>
      </c>
      <c r="R378" s="27" t="n">
        <v>1</v>
      </c>
      <c r="S378" s="26" t="n">
        <v>0.43</v>
      </c>
      <c r="T378" s="26" t="n">
        <v>0.26</v>
      </c>
      <c r="U378" s="11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26" t="n">
        <v>58.98</v>
      </c>
      <c r="W378" s="26" t="n">
        <v>64.05</v>
      </c>
      <c r="X378" s="26">
        <f>ROUND(('Methodology &amp; Assumptions'!$B$5*V378) + ('Methodology &amp; Assumptions'!$B$6*W378), 2)</f>
        <v/>
      </c>
      <c r="Y378" s="28" t="n">
        <v>8.300000000000001</v>
      </c>
      <c r="Z378" s="11" t="inlineStr">
        <is>
          <t>Priority Tier 2 (Balanced Opportunity)</t>
        </is>
      </c>
    </row>
    <row r="379">
      <c r="A379" s="23" t="n">
        <v>3</v>
      </c>
      <c r="B379" s="23" t="n">
        <v>375</v>
      </c>
      <c r="C379" s="23" t="n">
        <v>2375</v>
      </c>
      <c r="D379" s="23" t="inlineStr">
        <is>
          <t>1380606101</t>
        </is>
      </c>
      <c r="E379" s="11" t="inlineStr">
        <is>
          <t>National Capital Region (NCR)</t>
        </is>
      </c>
      <c r="F379" s="11" t="inlineStr">
        <is>
          <t>First District (Not a Province)</t>
        </is>
      </c>
      <c r="G379" s="11" t="inlineStr">
        <is>
          <t>City of Manila</t>
        </is>
      </c>
      <c r="H379" s="11" t="inlineStr">
        <is>
          <t>Barangay 495</t>
        </is>
      </c>
      <c r="I379" s="24" t="n">
        <v>14.623683</v>
      </c>
      <c r="J379" s="24" t="n">
        <v>120.991575</v>
      </c>
      <c r="K379" s="23" t="inlineStr">
        <is>
          <t>U</t>
        </is>
      </c>
      <c r="L379" s="25" t="n">
        <v>1443</v>
      </c>
      <c r="M379" s="26" t="n">
        <v>3.16</v>
      </c>
      <c r="N379" s="25">
        <f>ROUND(L379/M379, 0)</f>
        <v/>
      </c>
      <c r="O379" s="25">
        <f>ROUND(N379*'Methodology &amp; Assumptions'!$B$7, 0)</f>
        <v/>
      </c>
      <c r="P379" s="23" t="inlineStr">
        <is>
          <t>Single Carrier (Band n50, 100MHz TDD)</t>
        </is>
      </c>
      <c r="Q379" s="27">
        <f>ROUNDUP(O379/'Methodology &amp; Assumptions'!$B$8, 0)</f>
        <v/>
      </c>
      <c r="R379" s="27" t="n">
        <v>1</v>
      </c>
      <c r="S379" s="26" t="n">
        <v>1.23</v>
      </c>
      <c r="T379" s="26" t="n">
        <v>0.32</v>
      </c>
      <c r="U379" s="11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26" t="n">
        <v>54.27</v>
      </c>
      <c r="W379" s="26" t="n">
        <v>68.75</v>
      </c>
      <c r="X379" s="26">
        <f>ROUND(('Methodology &amp; Assumptions'!$B$5*V379) + ('Methodology &amp; Assumptions'!$B$6*W379), 2)</f>
        <v/>
      </c>
      <c r="Y379" s="28" t="n">
        <v>10.9</v>
      </c>
      <c r="Z379" s="11" t="inlineStr">
        <is>
          <t>Priority Tier 2 (Balanced Opportunity)</t>
        </is>
      </c>
    </row>
    <row r="380">
      <c r="A380" s="23" t="n">
        <v>3</v>
      </c>
      <c r="B380" s="23" t="n">
        <v>376</v>
      </c>
      <c r="C380" s="23" t="n">
        <v>2376</v>
      </c>
      <c r="D380" s="23" t="inlineStr">
        <is>
          <t>1403214015</t>
        </is>
      </c>
      <c r="E380" s="11" t="inlineStr">
        <is>
          <t>Cordillera Administrative Region (CAR)</t>
        </is>
      </c>
      <c r="F380" s="11" t="inlineStr">
        <is>
          <t>Kalinga</t>
        </is>
      </c>
      <c r="G380" s="11" t="inlineStr">
        <is>
          <t>Tanudan</t>
        </is>
      </c>
      <c r="H380" s="11" t="inlineStr">
        <is>
          <t>Dupligan</t>
        </is>
      </c>
      <c r="I380" s="24" t="n">
        <v>17.310409</v>
      </c>
      <c r="J380" s="24" t="n">
        <v>121.363749</v>
      </c>
      <c r="K380" s="23" t="inlineStr">
        <is>
          <t>R</t>
        </is>
      </c>
      <c r="L380" s="25" t="n">
        <v>1904</v>
      </c>
      <c r="M380" s="26" t="n">
        <v>4.3</v>
      </c>
      <c r="N380" s="25">
        <f>ROUND(L380/M380, 0)</f>
        <v/>
      </c>
      <c r="O380" s="25">
        <f>ROUND(N380*'Methodology &amp; Assumptions'!$B$7, 0)</f>
        <v/>
      </c>
      <c r="P380" s="23" t="inlineStr">
        <is>
          <t>Single Carrier (Band n50, 100MHz TDD)</t>
        </is>
      </c>
      <c r="Q380" s="27">
        <f>ROUNDUP(O380/'Methodology &amp; Assumptions'!$B$8, 0)</f>
        <v/>
      </c>
      <c r="R380" s="27" t="n">
        <v>1</v>
      </c>
      <c r="S380" s="26" t="n">
        <v>14.12</v>
      </c>
      <c r="T380" s="26" t="n">
        <v>10.44</v>
      </c>
      <c r="U380" s="11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26" t="n">
        <v>47.78</v>
      </c>
      <c r="W380" s="26" t="n">
        <v>75.23999999999999</v>
      </c>
      <c r="X380" s="26">
        <f>ROUND(('Methodology &amp; Assumptions'!$B$5*V380) + ('Methodology &amp; Assumptions'!$B$6*W380), 2)</f>
        <v/>
      </c>
      <c r="Y380" s="28" t="n">
        <v>10.9</v>
      </c>
      <c r="Z380" s="11" t="inlineStr">
        <is>
          <t>Priority Tier 2 (Balanced Opportunity)</t>
        </is>
      </c>
    </row>
    <row r="381">
      <c r="A381" s="23" t="n">
        <v>3</v>
      </c>
      <c r="B381" s="23" t="n">
        <v>377</v>
      </c>
      <c r="C381" s="23" t="n">
        <v>2377</v>
      </c>
      <c r="D381" s="23" t="inlineStr">
        <is>
          <t>1004322019</t>
        </is>
      </c>
      <c r="E381" s="11" t="inlineStr">
        <is>
          <t>Region X (Northern Mindanao)</t>
        </is>
      </c>
      <c r="F381" s="11" t="inlineStr">
        <is>
          <t>Misamis Oriental</t>
        </is>
      </c>
      <c r="G381" s="11" t="inlineStr">
        <is>
          <t>Salay</t>
        </is>
      </c>
      <c r="H381" s="11" t="inlineStr">
        <is>
          <t>Casulog</t>
        </is>
      </c>
      <c r="I381" s="24" t="n">
        <v>8.855596</v>
      </c>
      <c r="J381" s="24" t="n">
        <v>124.786549</v>
      </c>
      <c r="K381" s="23" t="inlineStr">
        <is>
          <t>R</t>
        </is>
      </c>
      <c r="L381" s="25" t="n">
        <v>3479</v>
      </c>
      <c r="M381" s="26" t="n">
        <v>3.9</v>
      </c>
      <c r="N381" s="25">
        <f>ROUND(L381/M381, 0)</f>
        <v/>
      </c>
      <c r="O381" s="25">
        <f>ROUND(N381*'Methodology &amp; Assumptions'!$B$7, 0)</f>
        <v/>
      </c>
      <c r="P381" s="23" t="inlineStr">
        <is>
          <t>Single Carrier (Band n50, 100MHz TDD)</t>
        </is>
      </c>
      <c r="Q381" s="27">
        <f>ROUNDUP(O381/'Methodology &amp; Assumptions'!$B$8, 0)</f>
        <v/>
      </c>
      <c r="R381" s="27" t="n">
        <v>1</v>
      </c>
      <c r="S381" s="26" t="n">
        <v>0.23</v>
      </c>
      <c r="T381" s="26" t="n">
        <v>0.35</v>
      </c>
      <c r="U381" s="11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26" t="n">
        <v>87.06999999999999</v>
      </c>
      <c r="W381" s="26" t="n">
        <v>35.93</v>
      </c>
      <c r="X381" s="26">
        <f>ROUND(('Methodology &amp; Assumptions'!$B$5*V381) + ('Methodology &amp; Assumptions'!$B$6*W381), 2)</f>
        <v/>
      </c>
      <c r="Y381" s="28" t="n">
        <v>17.4</v>
      </c>
      <c r="Z381" s="11" t="inlineStr">
        <is>
          <t>Priority Tier 2 (Balanced Opportunity)</t>
        </is>
      </c>
    </row>
    <row r="382">
      <c r="A382" s="23" t="n">
        <v>3</v>
      </c>
      <c r="B382" s="23" t="n">
        <v>378</v>
      </c>
      <c r="C382" s="23" t="n">
        <v>2378</v>
      </c>
      <c r="D382" s="23" t="inlineStr">
        <is>
          <t>1401103005</t>
        </is>
      </c>
      <c r="E382" s="11" t="inlineStr">
        <is>
          <t>Cordillera Administrative Region (CAR)</t>
        </is>
      </c>
      <c r="F382" s="11" t="inlineStr">
        <is>
          <t>Benguet</t>
        </is>
      </c>
      <c r="G382" s="11" t="inlineStr">
        <is>
          <t>Bakun</t>
        </is>
      </c>
      <c r="H382" s="11" t="inlineStr">
        <is>
          <t>Gambang</t>
        </is>
      </c>
      <c r="I382" s="24" t="n">
        <v>16.72275</v>
      </c>
      <c r="J382" s="24" t="n">
        <v>120.77914</v>
      </c>
      <c r="K382" s="23" t="inlineStr">
        <is>
          <t>R</t>
        </is>
      </c>
      <c r="L382" s="25" t="n">
        <v>3886</v>
      </c>
      <c r="M382" s="26" t="n">
        <v>3.5</v>
      </c>
      <c r="N382" s="25">
        <f>ROUND(L382/M382, 0)</f>
        <v/>
      </c>
      <c r="O382" s="25">
        <f>ROUND(N382*'Methodology &amp; Assumptions'!$B$7, 0)</f>
        <v/>
      </c>
      <c r="P382" s="23" t="inlineStr">
        <is>
          <t>Single Carrier (Band n50, 100MHz TDD)</t>
        </is>
      </c>
      <c r="Q382" s="27">
        <f>ROUNDUP(O382/'Methodology &amp; Assumptions'!$B$8, 0)</f>
        <v/>
      </c>
      <c r="R382" s="27" t="n">
        <v>1</v>
      </c>
      <c r="S382" s="26" t="n">
        <v>0.06</v>
      </c>
      <c r="T382" s="26" t="n">
        <v>0.11</v>
      </c>
      <c r="U382" s="11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26" t="n">
        <v>86.04000000000001</v>
      </c>
      <c r="W382" s="26" t="n">
        <v>36.96</v>
      </c>
      <c r="X382" s="26">
        <f>ROUND(('Methodology &amp; Assumptions'!$B$5*V382) + ('Methodology &amp; Assumptions'!$B$6*W382), 2)</f>
        <v/>
      </c>
      <c r="Y382" s="28" t="n">
        <v>10.9</v>
      </c>
      <c r="Z382" s="11" t="inlineStr">
        <is>
          <t>Priority Tier 2 (Balanced Opportunity)</t>
        </is>
      </c>
    </row>
    <row r="383">
      <c r="A383" s="23" t="n">
        <v>3</v>
      </c>
      <c r="B383" s="23" t="n">
        <v>379</v>
      </c>
      <c r="C383" s="23" t="n">
        <v>2379</v>
      </c>
      <c r="D383" s="23" t="inlineStr">
        <is>
          <t>0604531013</t>
        </is>
      </c>
      <c r="E383" s="11" t="inlineStr">
        <is>
          <t>Region VI (Western Visayas)</t>
        </is>
      </c>
      <c r="F383" s="11" t="inlineStr">
        <is>
          <t>Negros Occidental</t>
        </is>
      </c>
      <c r="G383" s="11" t="inlineStr">
        <is>
          <t>City of Victorias</t>
        </is>
      </c>
      <c r="H383" s="11" t="inlineStr">
        <is>
          <t>Barangay X</t>
        </is>
      </c>
      <c r="I383" s="24" t="n">
        <v>10.904277</v>
      </c>
      <c r="J383" s="24" t="n">
        <v>123.07649</v>
      </c>
      <c r="K383" s="23" t="inlineStr">
        <is>
          <t>U</t>
        </is>
      </c>
      <c r="L383" s="25" t="n">
        <v>5652</v>
      </c>
      <c r="M383" s="26" t="n">
        <v>3.7</v>
      </c>
      <c r="N383" s="25">
        <f>ROUND(L383/M383, 0)</f>
        <v/>
      </c>
      <c r="O383" s="25">
        <f>ROUND(N383*'Methodology &amp; Assumptions'!$B$7, 0)</f>
        <v/>
      </c>
      <c r="P383" s="23" t="inlineStr">
        <is>
          <t>Single Carrier (Band n50, 100MHz TDD)</t>
        </is>
      </c>
      <c r="Q383" s="27">
        <f>ROUNDUP(O383/'Methodology &amp; Assumptions'!$B$8, 0)</f>
        <v/>
      </c>
      <c r="R383" s="27" t="n">
        <v>1</v>
      </c>
      <c r="S383" s="26" t="n">
        <v>0.47</v>
      </c>
      <c r="T383" s="26" t="n">
        <v>0.17</v>
      </c>
      <c r="U383" s="11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26" t="n">
        <v>80.86</v>
      </c>
      <c r="W383" s="26" t="n">
        <v>42.13</v>
      </c>
      <c r="X383" s="26">
        <f>ROUND(('Methodology &amp; Assumptions'!$B$5*V383) + ('Methodology &amp; Assumptions'!$B$6*W383), 2)</f>
        <v/>
      </c>
      <c r="Y383" s="28" t="n">
        <v>23.7</v>
      </c>
      <c r="Z383" s="11" t="inlineStr">
        <is>
          <t>Priority Tier 2 (Balanced Opportunity)</t>
        </is>
      </c>
    </row>
    <row r="384">
      <c r="A384" s="23" t="n">
        <v>3</v>
      </c>
      <c r="B384" s="23" t="n">
        <v>380</v>
      </c>
      <c r="C384" s="23" t="n">
        <v>2380</v>
      </c>
      <c r="D384" s="23" t="inlineStr">
        <is>
          <t>0307706025</t>
        </is>
      </c>
      <c r="E384" s="11" t="inlineStr">
        <is>
          <t>Region III (Central Luzon)</t>
        </is>
      </c>
      <c r="F384" s="11" t="inlineStr">
        <is>
          <t>Aurora</t>
        </is>
      </c>
      <c r="G384" s="11" t="inlineStr">
        <is>
          <t>Dipaculao</t>
        </is>
      </c>
      <c r="H384" s="11" t="inlineStr">
        <is>
          <t>Diamanen</t>
        </is>
      </c>
      <c r="I384" s="24" t="n">
        <v>15.88407</v>
      </c>
      <c r="J384" s="24" t="n">
        <v>121.508451</v>
      </c>
      <c r="K384" s="23" t="inlineStr">
        <is>
          <t>R</t>
        </is>
      </c>
      <c r="L384" s="25" t="n">
        <v>298</v>
      </c>
      <c r="M384" s="26" t="n">
        <v>3.8</v>
      </c>
      <c r="N384" s="25">
        <f>ROUND(L384/M384, 0)</f>
        <v/>
      </c>
      <c r="O384" s="25">
        <f>ROUND(N384*'Methodology &amp; Assumptions'!$B$7, 0)</f>
        <v/>
      </c>
      <c r="P384" s="23" t="inlineStr">
        <is>
          <t>Single Carrier (Band n50, 100MHz TDD)</t>
        </is>
      </c>
      <c r="Q384" s="27">
        <f>ROUNDUP(O384/'Methodology &amp; Assumptions'!$B$8, 0)</f>
        <v/>
      </c>
      <c r="R384" s="27" t="n">
        <v>1</v>
      </c>
      <c r="S384" s="26" t="n">
        <v>6.12</v>
      </c>
      <c r="T384" s="26" t="n">
        <v>4.01</v>
      </c>
      <c r="U384" s="11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26" t="n">
        <v>44.81</v>
      </c>
      <c r="W384" s="26" t="n">
        <v>78.17</v>
      </c>
      <c r="X384" s="26">
        <f>ROUND(('Methodology &amp; Assumptions'!$B$5*V384) + ('Methodology &amp; Assumptions'!$B$6*W384), 2)</f>
        <v/>
      </c>
      <c r="Y384" s="28" t="n">
        <v>8.300000000000001</v>
      </c>
      <c r="Z384" s="11" t="inlineStr">
        <is>
          <t>Priority Tier 2 (Balanced Opportunity)</t>
        </is>
      </c>
    </row>
    <row r="385">
      <c r="A385" s="23" t="n">
        <v>3</v>
      </c>
      <c r="B385" s="23" t="n">
        <v>381</v>
      </c>
      <c r="C385" s="23" t="n">
        <v>2381</v>
      </c>
      <c r="D385" s="23" t="inlineStr">
        <is>
          <t>0402116013</t>
        </is>
      </c>
      <c r="E385" s="11" t="inlineStr">
        <is>
          <t>Region IV-A (CALABARZON)</t>
        </is>
      </c>
      <c r="F385" s="11" t="inlineStr">
        <is>
          <t>Cavite</t>
        </is>
      </c>
      <c r="G385" s="11" t="inlineStr">
        <is>
          <t>Noveleta</t>
        </is>
      </c>
      <c r="H385" s="11" t="inlineStr">
        <is>
          <t>San Juan II</t>
        </is>
      </c>
      <c r="I385" s="24" t="n">
        <v>14.438664</v>
      </c>
      <c r="J385" s="24" t="n">
        <v>120.885435</v>
      </c>
      <c r="K385" s="23" t="inlineStr">
        <is>
          <t>R</t>
        </is>
      </c>
      <c r="L385" s="25" t="n">
        <v>3488</v>
      </c>
      <c r="M385" s="26" t="n">
        <v>3.4</v>
      </c>
      <c r="N385" s="25">
        <f>ROUND(L385/M385, 0)</f>
        <v/>
      </c>
      <c r="O385" s="25">
        <f>ROUND(N385*'Methodology &amp; Assumptions'!$B$7, 0)</f>
        <v/>
      </c>
      <c r="P385" s="23" t="inlineStr">
        <is>
          <t>Single Carrier (Band n50, 100MHz TDD)</t>
        </is>
      </c>
      <c r="Q385" s="27">
        <f>ROUNDUP(O385/'Methodology &amp; Assumptions'!$B$8, 0)</f>
        <v/>
      </c>
      <c r="R385" s="27" t="n">
        <v>1</v>
      </c>
      <c r="S385" s="26" t="n">
        <v>1.05</v>
      </c>
      <c r="T385" s="26" t="n">
        <v>0.8100000000000001</v>
      </c>
      <c r="U385" s="11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26" t="n">
        <v>84.66</v>
      </c>
      <c r="W385" s="26" t="n">
        <v>38.29</v>
      </c>
      <c r="X385" s="26">
        <f>ROUND(('Methodology &amp; Assumptions'!$B$5*V385) + ('Methodology &amp; Assumptions'!$B$6*W385), 2)</f>
        <v/>
      </c>
      <c r="Y385" s="28" t="n">
        <v>7.2</v>
      </c>
      <c r="Z385" s="11" t="inlineStr">
        <is>
          <t>Priority Tier 2 (Balanced Opportunity)</t>
        </is>
      </c>
    </row>
    <row r="386">
      <c r="A386" s="23" t="n">
        <v>3</v>
      </c>
      <c r="B386" s="23" t="n">
        <v>382</v>
      </c>
      <c r="C386" s="23" t="n">
        <v>2382</v>
      </c>
      <c r="D386" s="23" t="inlineStr">
        <is>
          <t>0300805007</t>
        </is>
      </c>
      <c r="E386" s="11" t="inlineStr">
        <is>
          <t>Region III (Central Luzon)</t>
        </is>
      </c>
      <c r="F386" s="11" t="inlineStr">
        <is>
          <t>Bataan</t>
        </is>
      </c>
      <c r="G386" s="11" t="inlineStr">
        <is>
          <t>Hermosa</t>
        </is>
      </c>
      <c r="H386" s="11" t="inlineStr">
        <is>
          <t>Cataning</t>
        </is>
      </c>
      <c r="I386" s="24" t="n">
        <v>14.832879</v>
      </c>
      <c r="J386" s="24" t="n">
        <v>120.499947</v>
      </c>
      <c r="K386" s="23" t="inlineStr">
        <is>
          <t>R</t>
        </is>
      </c>
      <c r="L386" s="25" t="n">
        <v>3134</v>
      </c>
      <c r="M386" s="26" t="n">
        <v>3.6</v>
      </c>
      <c r="N386" s="25">
        <f>ROUND(L386/M386, 0)</f>
        <v/>
      </c>
      <c r="O386" s="25">
        <f>ROUND(N386*'Methodology &amp; Assumptions'!$B$7, 0)</f>
        <v/>
      </c>
      <c r="P386" s="23" t="inlineStr">
        <is>
          <t>Single Carrier (Band n50, 100MHz TDD)</t>
        </is>
      </c>
      <c r="Q386" s="27">
        <f>ROUNDUP(O386/'Methodology &amp; Assumptions'!$B$8, 0)</f>
        <v/>
      </c>
      <c r="R386" s="27" t="n">
        <v>1</v>
      </c>
      <c r="S386" s="26" t="n">
        <v>1.31</v>
      </c>
      <c r="T386" s="26" t="n">
        <v>0.07000000000000001</v>
      </c>
      <c r="U386" s="11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26" t="n">
        <v>83.86</v>
      </c>
      <c r="W386" s="26" t="n">
        <v>39.11</v>
      </c>
      <c r="X386" s="26">
        <f>ROUND(('Methodology &amp; Assumptions'!$B$5*V386) + ('Methodology &amp; Assumptions'!$B$6*W386), 2)</f>
        <v/>
      </c>
      <c r="Y386" s="28" t="n">
        <v>8.300000000000001</v>
      </c>
      <c r="Z386" s="11" t="inlineStr">
        <is>
          <t>Priority Tier 2 (Balanced Opportunity)</t>
        </is>
      </c>
    </row>
    <row r="387">
      <c r="A387" s="23" t="n">
        <v>3</v>
      </c>
      <c r="B387" s="23" t="n">
        <v>383</v>
      </c>
      <c r="C387" s="23" t="n">
        <v>2383</v>
      </c>
      <c r="D387" s="23" t="inlineStr">
        <is>
          <t>1380614027</t>
        </is>
      </c>
      <c r="E387" s="11" t="inlineStr">
        <is>
          <t>National Capital Region (NCR)</t>
        </is>
      </c>
      <c r="F387" s="11" t="inlineStr">
        <is>
          <t>First District (Not a Province)</t>
        </is>
      </c>
      <c r="G387" s="11" t="inlineStr">
        <is>
          <t>City of Manila</t>
        </is>
      </c>
      <c r="H387" s="11" t="inlineStr">
        <is>
          <t>Barangay 771</t>
        </is>
      </c>
      <c r="I387" s="24" t="n">
        <v>14.573922</v>
      </c>
      <c r="J387" s="24" t="n">
        <v>121.004927</v>
      </c>
      <c r="K387" s="23" t="inlineStr">
        <is>
          <t>U</t>
        </is>
      </c>
      <c r="L387" s="25" t="n">
        <v>1902</v>
      </c>
      <c r="M387" s="26" t="n">
        <v>4.26</v>
      </c>
      <c r="N387" s="25">
        <f>ROUND(L387/M387, 0)</f>
        <v/>
      </c>
      <c r="O387" s="25">
        <f>ROUND(N387*'Methodology &amp; Assumptions'!$B$7, 0)</f>
        <v/>
      </c>
      <c r="P387" s="23" t="inlineStr">
        <is>
          <t>Single Carrier (Band n50, 100MHz TDD)</t>
        </is>
      </c>
      <c r="Q387" s="27">
        <f>ROUNDUP(O387/'Methodology &amp; Assumptions'!$B$8, 0)</f>
        <v/>
      </c>
      <c r="R387" s="27" t="n">
        <v>1</v>
      </c>
      <c r="S387" s="26" t="n">
        <v>1.17</v>
      </c>
      <c r="T387" s="26" t="n">
        <v>0.6</v>
      </c>
      <c r="U387" s="11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26" t="n">
        <v>54.18</v>
      </c>
      <c r="W387" s="26" t="n">
        <v>68.78</v>
      </c>
      <c r="X387" s="26">
        <f>ROUND(('Methodology &amp; Assumptions'!$B$5*V387) + ('Methodology &amp; Assumptions'!$B$6*W387), 2)</f>
        <v/>
      </c>
      <c r="Y387" s="28" t="n">
        <v>10.9</v>
      </c>
      <c r="Z387" s="11" t="inlineStr">
        <is>
          <t>Priority Tier 2 (Balanced Opportunity)</t>
        </is>
      </c>
    </row>
    <row r="388">
      <c r="A388" s="23" t="n">
        <v>3</v>
      </c>
      <c r="B388" s="23" t="n">
        <v>384</v>
      </c>
      <c r="C388" s="23" t="n">
        <v>2384</v>
      </c>
      <c r="D388" s="23" t="inlineStr">
        <is>
          <t>0102934003</t>
        </is>
      </c>
      <c r="E388" s="11" t="inlineStr">
        <is>
          <t>Region I (Ilocos Region)</t>
        </is>
      </c>
      <c r="F388" s="11" t="inlineStr">
        <is>
          <t>Ilocos Sur</t>
        </is>
      </c>
      <c r="G388" s="11" t="inlineStr">
        <is>
          <t>City of Vigan</t>
        </is>
      </c>
      <c r="H388" s="11" t="inlineStr">
        <is>
          <t>Barangay I</t>
        </is>
      </c>
      <c r="I388" s="24" t="n">
        <v>17.574333</v>
      </c>
      <c r="J388" s="24" t="n">
        <v>120.388456</v>
      </c>
      <c r="K388" s="23" t="inlineStr">
        <is>
          <t>U</t>
        </is>
      </c>
      <c r="L388" s="25" t="n">
        <v>400</v>
      </c>
      <c r="M388" s="26" t="n">
        <v>3.8</v>
      </c>
      <c r="N388" s="25">
        <f>ROUND(L388/M388, 0)</f>
        <v/>
      </c>
      <c r="O388" s="25">
        <f>ROUND(N388*'Methodology &amp; Assumptions'!$B$7, 0)</f>
        <v/>
      </c>
      <c r="P388" s="23" t="inlineStr">
        <is>
          <t>Single Carrier (Band n50, 100MHz TDD)</t>
        </is>
      </c>
      <c r="Q388" s="27">
        <f>ROUNDUP(O388/'Methodology &amp; Assumptions'!$B$8, 0)</f>
        <v/>
      </c>
      <c r="R388" s="27" t="n">
        <v>1</v>
      </c>
      <c r="S388" s="26" t="n">
        <v>2.15</v>
      </c>
      <c r="T388" s="26" t="n">
        <v>0.75</v>
      </c>
      <c r="U388" s="11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26" t="n">
        <v>50.54</v>
      </c>
      <c r="W388" s="26" t="n">
        <v>72.42</v>
      </c>
      <c r="X388" s="26">
        <f>ROUND(('Methodology &amp; Assumptions'!$B$5*V388) + ('Methodology &amp; Assumptions'!$B$6*W388), 2)</f>
        <v/>
      </c>
      <c r="Y388" s="28" t="n">
        <v>8.300000000000001</v>
      </c>
      <c r="Z388" s="11" t="inlineStr">
        <is>
          <t>Priority Tier 2 (Balanced Opportunity)</t>
        </is>
      </c>
    </row>
    <row r="389">
      <c r="A389" s="23" t="n">
        <v>3</v>
      </c>
      <c r="B389" s="23" t="n">
        <v>385</v>
      </c>
      <c r="C389" s="23" t="n">
        <v>2385</v>
      </c>
      <c r="D389" s="23" t="inlineStr">
        <is>
          <t>0702208002</t>
        </is>
      </c>
      <c r="E389" s="11" t="inlineStr">
        <is>
          <t>Region VII (Central Visayas)</t>
        </is>
      </c>
      <c r="F389" s="11" t="inlineStr">
        <is>
          <t>Cebu</t>
        </is>
      </c>
      <c r="G389" s="11" t="inlineStr">
        <is>
          <t>Balamban</t>
        </is>
      </c>
      <c r="H389" s="11" t="inlineStr">
        <is>
          <t>Aliwanay</t>
        </is>
      </c>
      <c r="I389" s="24" t="n">
        <v>10.500992</v>
      </c>
      <c r="J389" s="24" t="n">
        <v>123.714537</v>
      </c>
      <c r="K389" s="23" t="inlineStr">
        <is>
          <t>R</t>
        </is>
      </c>
      <c r="L389" s="25" t="n">
        <v>2927</v>
      </c>
      <c r="M389" s="26" t="n">
        <v>3.8</v>
      </c>
      <c r="N389" s="25">
        <f>ROUND(L389/M389, 0)</f>
        <v/>
      </c>
      <c r="O389" s="25">
        <f>ROUND(N389*'Methodology &amp; Assumptions'!$B$7, 0)</f>
        <v/>
      </c>
      <c r="P389" s="23" t="inlineStr">
        <is>
          <t>Single Carrier (Band n50, 100MHz TDD)</t>
        </is>
      </c>
      <c r="Q389" s="27">
        <f>ROUNDUP(O389/'Methodology &amp; Assumptions'!$B$8, 0)</f>
        <v/>
      </c>
      <c r="R389" s="27" t="n">
        <v>1</v>
      </c>
      <c r="S389" s="26" t="n">
        <v>0.9</v>
      </c>
      <c r="T389" s="26" t="n">
        <v>0.2</v>
      </c>
      <c r="U389" s="11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26" t="n">
        <v>84.66</v>
      </c>
      <c r="W389" s="26" t="n">
        <v>38.28</v>
      </c>
      <c r="X389" s="26">
        <f>ROUND(('Methodology &amp; Assumptions'!$B$5*V389) + ('Methodology &amp; Assumptions'!$B$6*W389), 2)</f>
        <v/>
      </c>
      <c r="Y389" s="28" t="n">
        <v>23.7</v>
      </c>
      <c r="Z389" s="11" t="inlineStr">
        <is>
          <t>Priority Tier 2 (Balanced Opportunity)</t>
        </is>
      </c>
    </row>
    <row r="390">
      <c r="A390" s="23" t="n">
        <v>3</v>
      </c>
      <c r="B390" s="23" t="n">
        <v>386</v>
      </c>
      <c r="C390" s="23" t="n">
        <v>2386</v>
      </c>
      <c r="D390" s="23" t="inlineStr">
        <is>
          <t>0305410014</t>
        </is>
      </c>
      <c r="E390" s="11" t="inlineStr">
        <is>
          <t>Region III (Central Luzon)</t>
        </is>
      </c>
      <c r="F390" s="11" t="inlineStr">
        <is>
          <t>Pampanga</t>
        </is>
      </c>
      <c r="G390" s="11" t="inlineStr">
        <is>
          <t>Macabebe</t>
        </is>
      </c>
      <c r="H390" s="11" t="inlineStr">
        <is>
          <t>San Rafael</t>
        </is>
      </c>
      <c r="I390" s="24" t="n">
        <v>14.963496</v>
      </c>
      <c r="J390" s="24" t="n">
        <v>120.634819</v>
      </c>
      <c r="K390" s="23" t="inlineStr">
        <is>
          <t>R</t>
        </is>
      </c>
      <c r="L390" s="25" t="n">
        <v>3811</v>
      </c>
      <c r="M390" s="26" t="n">
        <v>4</v>
      </c>
      <c r="N390" s="25">
        <f>ROUND(L390/M390, 0)</f>
        <v/>
      </c>
      <c r="O390" s="25">
        <f>ROUND(N390*'Methodology &amp; Assumptions'!$B$7, 0)</f>
        <v/>
      </c>
      <c r="P390" s="23" t="inlineStr">
        <is>
          <t>Single Carrier (Band n50, 100MHz TDD)</t>
        </is>
      </c>
      <c r="Q390" s="27">
        <f>ROUNDUP(O390/'Methodology &amp; Assumptions'!$B$8, 0)</f>
        <v/>
      </c>
      <c r="R390" s="27" t="n">
        <v>1</v>
      </c>
      <c r="S390" s="26" t="n">
        <v>1.2</v>
      </c>
      <c r="T390" s="26" t="n">
        <v>0.41</v>
      </c>
      <c r="U390" s="11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26" t="n">
        <v>84.25</v>
      </c>
      <c r="W390" s="26" t="n">
        <v>38.68</v>
      </c>
      <c r="X390" s="26">
        <f>ROUND(('Methodology &amp; Assumptions'!$B$5*V390) + ('Methodology &amp; Assumptions'!$B$6*W390), 2)</f>
        <v/>
      </c>
      <c r="Y390" s="28" t="n">
        <v>8.300000000000001</v>
      </c>
      <c r="Z390" s="11" t="inlineStr">
        <is>
          <t>Priority Tier 2 (Balanced Opportunity)</t>
        </is>
      </c>
    </row>
    <row r="391">
      <c r="A391" s="23" t="n">
        <v>3</v>
      </c>
      <c r="B391" s="23" t="n">
        <v>387</v>
      </c>
      <c r="C391" s="23" t="n">
        <v>2387</v>
      </c>
      <c r="D391" s="23" t="inlineStr">
        <is>
          <t>0702214012</t>
        </is>
      </c>
      <c r="E391" s="11" t="inlineStr">
        <is>
          <t>Region VII (Central Visayas)</t>
        </is>
      </c>
      <c r="F391" s="11" t="inlineStr">
        <is>
          <t>Cebu</t>
        </is>
      </c>
      <c r="G391" s="11" t="inlineStr">
        <is>
          <t>City of Carcar</t>
        </is>
      </c>
      <c r="H391" s="11" t="inlineStr">
        <is>
          <t>Poblacion I</t>
        </is>
      </c>
      <c r="I391" s="24" t="n">
        <v>10.107018</v>
      </c>
      <c r="J391" s="24" t="n">
        <v>123.6391</v>
      </c>
      <c r="K391" s="23" t="inlineStr">
        <is>
          <t>U</t>
        </is>
      </c>
      <c r="L391" s="25" t="n">
        <v>10763</v>
      </c>
      <c r="M391" s="26" t="n">
        <v>3.8</v>
      </c>
      <c r="N391" s="25">
        <f>ROUND(L391/M391, 0)</f>
        <v/>
      </c>
      <c r="O391" s="25">
        <f>ROUND(N391*'Methodology &amp; Assumptions'!$B$7, 0)</f>
        <v/>
      </c>
      <c r="P391" s="23" t="inlineStr">
        <is>
          <t>Single Carrier (Band n50, 100MHz TDD)</t>
        </is>
      </c>
      <c r="Q391" s="27">
        <f>ROUNDUP(O391/'Methodology &amp; Assumptions'!$B$8, 0)</f>
        <v/>
      </c>
      <c r="R391" s="27" t="n">
        <v>1</v>
      </c>
      <c r="S391" s="26" t="n">
        <v>0.77</v>
      </c>
      <c r="T391" s="26" t="n">
        <v>0.44</v>
      </c>
      <c r="U391" s="11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26" t="n">
        <v>80.86</v>
      </c>
      <c r="W391" s="26" t="n">
        <v>42.09</v>
      </c>
      <c r="X391" s="26">
        <f>ROUND(('Methodology &amp; Assumptions'!$B$5*V391) + ('Methodology &amp; Assumptions'!$B$6*W391), 2)</f>
        <v/>
      </c>
      <c r="Y391" s="28" t="n">
        <v>23.7</v>
      </c>
      <c r="Z391" s="11" t="inlineStr">
        <is>
          <t>Priority Tier 2 (Balanced Opportunity)</t>
        </is>
      </c>
    </row>
    <row r="392">
      <c r="A392" s="23" t="n">
        <v>3</v>
      </c>
      <c r="B392" s="23" t="n">
        <v>388</v>
      </c>
      <c r="C392" s="23" t="n">
        <v>2388</v>
      </c>
      <c r="D392" s="23" t="inlineStr">
        <is>
          <t>0405608001</t>
        </is>
      </c>
      <c r="E392" s="11" t="inlineStr">
        <is>
          <t>Region IV-A (CALABARZON)</t>
        </is>
      </c>
      <c r="F392" s="11" t="inlineStr">
        <is>
          <t>Quezon</t>
        </is>
      </c>
      <c r="G392" s="11" t="inlineStr">
        <is>
          <t>Candelaria</t>
        </is>
      </c>
      <c r="H392" s="11" t="inlineStr">
        <is>
          <t>Poblacion</t>
        </is>
      </c>
      <c r="I392" s="24" t="n">
        <v>13.93187</v>
      </c>
      <c r="J392" s="24" t="n">
        <v>121.425539</v>
      </c>
      <c r="K392" s="23" t="inlineStr">
        <is>
          <t>U</t>
        </is>
      </c>
      <c r="L392" s="25" t="n">
        <v>5761</v>
      </c>
      <c r="M392" s="26" t="n">
        <v>3.8</v>
      </c>
      <c r="N392" s="25">
        <f>ROUND(L392/M392, 0)</f>
        <v/>
      </c>
      <c r="O392" s="25">
        <f>ROUND(N392*'Methodology &amp; Assumptions'!$B$7, 0)</f>
        <v/>
      </c>
      <c r="P392" s="23" t="inlineStr">
        <is>
          <t>Single Carrier (Band n50, 100MHz TDD)</t>
        </is>
      </c>
      <c r="Q392" s="27">
        <f>ROUNDUP(O392/'Methodology &amp; Assumptions'!$B$8, 0)</f>
        <v/>
      </c>
      <c r="R392" s="27" t="n">
        <v>1</v>
      </c>
      <c r="S392" s="26" t="n">
        <v>1.39</v>
      </c>
      <c r="T392" s="26" t="n">
        <v>0.39</v>
      </c>
      <c r="U392" s="11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26" t="n">
        <v>76.19</v>
      </c>
      <c r="W392" s="26" t="n">
        <v>46.75</v>
      </c>
      <c r="X392" s="26">
        <f>ROUND(('Methodology &amp; Assumptions'!$B$5*V392) + ('Methodology &amp; Assumptions'!$B$6*W392), 2)</f>
        <v/>
      </c>
      <c r="Y392" s="28" t="n">
        <v>7.2</v>
      </c>
      <c r="Z392" s="11" t="inlineStr">
        <is>
          <t>Priority Tier 2 (Balanced Opportunity)</t>
        </is>
      </c>
    </row>
    <row r="393">
      <c r="A393" s="23" t="n">
        <v>3</v>
      </c>
      <c r="B393" s="23" t="n">
        <v>389</v>
      </c>
      <c r="C393" s="23" t="n">
        <v>2389</v>
      </c>
      <c r="D393" s="23" t="inlineStr">
        <is>
          <t>0102815012</t>
        </is>
      </c>
      <c r="E393" s="11" t="inlineStr">
        <is>
          <t>Region I (Ilocos Region)</t>
        </is>
      </c>
      <c r="F393" s="11" t="inlineStr">
        <is>
          <t>Ilocos Norte</t>
        </is>
      </c>
      <c r="G393" s="11" t="inlineStr">
        <is>
          <t>Pagudpud</t>
        </is>
      </c>
      <c r="H393" s="11" t="inlineStr">
        <is>
          <t>Poblacion 1</t>
        </is>
      </c>
      <c r="I393" s="24" t="n">
        <v>18.559233</v>
      </c>
      <c r="J393" s="24" t="n">
        <v>120.796767</v>
      </c>
      <c r="K393" s="23" t="inlineStr">
        <is>
          <t>R</t>
        </is>
      </c>
      <c r="L393" s="25" t="n">
        <v>2710</v>
      </c>
      <c r="M393" s="26" t="n">
        <v>3.7</v>
      </c>
      <c r="N393" s="25">
        <f>ROUND(L393/M393, 0)</f>
        <v/>
      </c>
      <c r="O393" s="25">
        <f>ROUND(N393*'Methodology &amp; Assumptions'!$B$7, 0)</f>
        <v/>
      </c>
      <c r="P393" s="23" t="inlineStr">
        <is>
          <t>Single Carrier (Band n50, 100MHz TDD)</t>
        </is>
      </c>
      <c r="Q393" s="27">
        <f>ROUNDUP(O393/'Methodology &amp; Assumptions'!$B$8, 0)</f>
        <v/>
      </c>
      <c r="R393" s="27" t="n">
        <v>1</v>
      </c>
      <c r="S393" s="26" t="n">
        <v>3.87</v>
      </c>
      <c r="T393" s="26" t="n">
        <v>0.64</v>
      </c>
      <c r="U393" s="11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26" t="n">
        <v>73.48999999999999</v>
      </c>
      <c r="W393" s="26" t="n">
        <v>49.44</v>
      </c>
      <c r="X393" s="26">
        <f>ROUND(('Methodology &amp; Assumptions'!$B$5*V393) + ('Methodology &amp; Assumptions'!$B$6*W393), 2)</f>
        <v/>
      </c>
      <c r="Y393" s="28" t="n">
        <v>8.300000000000001</v>
      </c>
      <c r="Z393" s="11" t="inlineStr">
        <is>
          <t>Priority Tier 2 (Balanced Opportunity)</t>
        </is>
      </c>
    </row>
    <row r="394">
      <c r="A394" s="23" t="n">
        <v>3</v>
      </c>
      <c r="B394" s="23" t="n">
        <v>390</v>
      </c>
      <c r="C394" s="23" t="n">
        <v>2390</v>
      </c>
      <c r="D394" s="23" t="inlineStr">
        <is>
          <t>1908804006</t>
        </is>
      </c>
      <c r="E394" s="11" t="inlineStr">
        <is>
          <t>Bangsamoro Autonomous Region In Muslim Mindanao (BARMM)</t>
        </is>
      </c>
      <c r="F394" s="11" t="inlineStr">
        <is>
          <t>Maguindanao del Sur</t>
        </is>
      </c>
      <c r="G394" s="11" t="inlineStr">
        <is>
          <t>Datu Anggal Midtimbang</t>
        </is>
      </c>
      <c r="H394" s="11" t="inlineStr">
        <is>
          <t>Tugal</t>
        </is>
      </c>
      <c r="I394" s="24" t="n">
        <v>7.025147</v>
      </c>
      <c r="J394" s="24" t="n">
        <v>124.345115</v>
      </c>
      <c r="K394" s="23" t="inlineStr">
        <is>
          <t>R</t>
        </is>
      </c>
      <c r="L394" s="25" t="n">
        <v>4470</v>
      </c>
      <c r="M394" s="26" t="n">
        <v>4.7</v>
      </c>
      <c r="N394" s="25">
        <f>ROUND(L394/M394, 0)</f>
        <v/>
      </c>
      <c r="O394" s="25">
        <f>ROUND(N394*'Methodology &amp; Assumptions'!$B$7, 0)</f>
        <v/>
      </c>
      <c r="P394" s="23" t="inlineStr">
        <is>
          <t>Single Carrier (Band n50, 100MHz TDD)</t>
        </is>
      </c>
      <c r="Q394" s="27">
        <f>ROUNDUP(O394/'Methodology &amp; Assumptions'!$B$8, 0)</f>
        <v/>
      </c>
      <c r="R394" s="27" t="n">
        <v>1</v>
      </c>
      <c r="S394" s="26" t="n">
        <v>52.02</v>
      </c>
      <c r="T394" s="26" t="n">
        <v>51.85</v>
      </c>
      <c r="U394" s="11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26" t="n">
        <v>59.06</v>
      </c>
      <c r="W394" s="26" t="n">
        <v>63.89</v>
      </c>
      <c r="X394" s="26">
        <f>ROUND(('Methodology &amp; Assumptions'!$B$5*V394) + ('Methodology &amp; Assumptions'!$B$6*W394), 2)</f>
        <v/>
      </c>
      <c r="Y394" s="28" t="n">
        <v>11</v>
      </c>
      <c r="Z394" s="11" t="inlineStr">
        <is>
          <t>Priority Tier 2 (Balanced Opportunity)</t>
        </is>
      </c>
    </row>
    <row r="395">
      <c r="A395" s="23" t="n">
        <v>3</v>
      </c>
      <c r="B395" s="23" t="n">
        <v>391</v>
      </c>
      <c r="C395" s="23" t="n">
        <v>2391</v>
      </c>
      <c r="D395" s="23" t="inlineStr">
        <is>
          <t>0205001004</t>
        </is>
      </c>
      <c r="E395" s="11" t="inlineStr">
        <is>
          <t>Region II (Cagayan Valley)</t>
        </is>
      </c>
      <c r="F395" s="11" t="inlineStr">
        <is>
          <t>Nueva Vizcaya</t>
        </is>
      </c>
      <c r="G395" s="11" t="inlineStr">
        <is>
          <t>Ambaguio</t>
        </is>
      </c>
      <c r="H395" s="11" t="inlineStr">
        <is>
          <t>Camandag</t>
        </is>
      </c>
      <c r="I395" s="24" t="n">
        <v>16.615124</v>
      </c>
      <c r="J395" s="24" t="n">
        <v>121.062175</v>
      </c>
      <c r="K395" s="23" t="inlineStr">
        <is>
          <t>R</t>
        </is>
      </c>
      <c r="L395" s="25" t="n">
        <v>1574</v>
      </c>
      <c r="M395" s="26" t="n">
        <v>3.8</v>
      </c>
      <c r="N395" s="25">
        <f>ROUND(L395/M395, 0)</f>
        <v/>
      </c>
      <c r="O395" s="25">
        <f>ROUND(N395*'Methodology &amp; Assumptions'!$B$7, 0)</f>
        <v/>
      </c>
      <c r="P395" s="23" t="inlineStr">
        <is>
          <t>Single Carrier (Band n50, 100MHz TDD)</t>
        </is>
      </c>
      <c r="Q395" s="27">
        <f>ROUNDUP(O395/'Methodology &amp; Assumptions'!$B$8, 0)</f>
        <v/>
      </c>
      <c r="R395" s="27" t="n">
        <v>1</v>
      </c>
      <c r="S395" s="26" t="n">
        <v>14.03</v>
      </c>
      <c r="T395" s="26" t="n">
        <v>15.71</v>
      </c>
      <c r="U395" s="11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26" t="n">
        <v>50.64</v>
      </c>
      <c r="W395" s="26" t="n">
        <v>72.3</v>
      </c>
      <c r="X395" s="26">
        <f>ROUND(('Methodology &amp; Assumptions'!$B$5*V395) + ('Methodology &amp; Assumptions'!$B$6*W395), 2)</f>
        <v/>
      </c>
      <c r="Y395" s="28" t="n">
        <v>8.300000000000001</v>
      </c>
      <c r="Z395" s="11" t="inlineStr">
        <is>
          <t>Priority Tier 2 (Balanced Opportunity)</t>
        </is>
      </c>
    </row>
    <row r="396">
      <c r="A396" s="23" t="n">
        <v>3</v>
      </c>
      <c r="B396" s="23" t="n">
        <v>392</v>
      </c>
      <c r="C396" s="23" t="n">
        <v>2392</v>
      </c>
      <c r="D396" s="23" t="inlineStr">
        <is>
          <t>0205002022</t>
        </is>
      </c>
      <c r="E396" s="11" t="inlineStr">
        <is>
          <t>Region II (Cagayan Valley)</t>
        </is>
      </c>
      <c r="F396" s="11" t="inlineStr">
        <is>
          <t>Nueva Vizcaya</t>
        </is>
      </c>
      <c r="G396" s="11" t="inlineStr">
        <is>
          <t>Aritao</t>
        </is>
      </c>
      <c r="H396" s="11" t="inlineStr">
        <is>
          <t>Ocao-Capiniaan</t>
        </is>
      </c>
      <c r="I396" s="24" t="n">
        <v>16.213928</v>
      </c>
      <c r="J396" s="24" t="n">
        <v>121.016308</v>
      </c>
      <c r="K396" s="23" t="inlineStr">
        <is>
          <t>R</t>
        </is>
      </c>
      <c r="L396" s="25" t="n">
        <v>1053</v>
      </c>
      <c r="M396" s="26" t="n">
        <v>3.8</v>
      </c>
      <c r="N396" s="25">
        <f>ROUND(L396/M396, 0)</f>
        <v/>
      </c>
      <c r="O396" s="25">
        <f>ROUND(N396*'Methodology &amp; Assumptions'!$B$7, 0)</f>
        <v/>
      </c>
      <c r="P396" s="23" t="inlineStr">
        <is>
          <t>Single Carrier (Band n50, 100MHz TDD)</t>
        </is>
      </c>
      <c r="Q396" s="27">
        <f>ROUNDUP(O396/'Methodology &amp; Assumptions'!$B$8, 0)</f>
        <v/>
      </c>
      <c r="R396" s="27" t="n">
        <v>1</v>
      </c>
      <c r="S396" s="26" t="n">
        <v>10.49</v>
      </c>
      <c r="T396" s="26" t="n">
        <v>3.83</v>
      </c>
      <c r="U396" s="11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26" t="n">
        <v>46.95</v>
      </c>
      <c r="W396" s="26" t="n">
        <v>76</v>
      </c>
      <c r="X396" s="26">
        <f>ROUND(('Methodology &amp; Assumptions'!$B$5*V396) + ('Methodology &amp; Assumptions'!$B$6*W396), 2)</f>
        <v/>
      </c>
      <c r="Y396" s="28" t="n">
        <v>8.300000000000001</v>
      </c>
      <c r="Z396" s="11" t="inlineStr">
        <is>
          <t>Priority Tier 2 (Balanced Opportunity)</t>
        </is>
      </c>
    </row>
    <row r="397">
      <c r="A397" s="23" t="n">
        <v>3</v>
      </c>
      <c r="B397" s="23" t="n">
        <v>393</v>
      </c>
      <c r="C397" s="23" t="n">
        <v>2393</v>
      </c>
      <c r="D397" s="23" t="inlineStr">
        <is>
          <t>0305407024</t>
        </is>
      </c>
      <c r="E397" s="11" t="inlineStr">
        <is>
          <t>Region III (Central Luzon)</t>
        </is>
      </c>
      <c r="F397" s="11" t="inlineStr">
        <is>
          <t>Pampanga</t>
        </is>
      </c>
      <c r="G397" s="11" t="inlineStr">
        <is>
          <t>Guagua</t>
        </is>
      </c>
      <c r="H397" s="11" t="inlineStr">
        <is>
          <t>San Rafael</t>
        </is>
      </c>
      <c r="I397" s="24" t="n">
        <v>14.963451</v>
      </c>
      <c r="J397" s="24" t="n">
        <v>120.63487</v>
      </c>
      <c r="K397" s="23" t="inlineStr">
        <is>
          <t>R</t>
        </is>
      </c>
      <c r="L397" s="25" t="n">
        <v>4510</v>
      </c>
      <c r="M397" s="26" t="n">
        <v>4</v>
      </c>
      <c r="N397" s="25">
        <f>ROUND(L397/M397, 0)</f>
        <v/>
      </c>
      <c r="O397" s="25">
        <f>ROUND(N397*'Methodology &amp; Assumptions'!$B$7, 0)</f>
        <v/>
      </c>
      <c r="P397" s="23" t="inlineStr">
        <is>
          <t>Single Carrier (Band n50, 100MHz TDD)</t>
        </is>
      </c>
      <c r="Q397" s="27">
        <f>ROUNDUP(O397/'Methodology &amp; Assumptions'!$B$8, 0)</f>
        <v/>
      </c>
      <c r="R397" s="27" t="n">
        <v>1</v>
      </c>
      <c r="S397" s="26" t="n">
        <v>1.21</v>
      </c>
      <c r="T397" s="26" t="n">
        <v>0.42</v>
      </c>
      <c r="U397" s="11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26" t="n">
        <v>84.23</v>
      </c>
      <c r="W397" s="26" t="n">
        <v>38.7</v>
      </c>
      <c r="X397" s="26">
        <f>ROUND(('Methodology &amp; Assumptions'!$B$5*V397) + ('Methodology &amp; Assumptions'!$B$6*W397), 2)</f>
        <v/>
      </c>
      <c r="Y397" s="28" t="n">
        <v>8.300000000000001</v>
      </c>
      <c r="Z397" s="11" t="inlineStr">
        <is>
          <t>Priority Tier 2 (Balanced Opportunity)</t>
        </is>
      </c>
    </row>
    <row r="398">
      <c r="A398" s="23" t="n">
        <v>3</v>
      </c>
      <c r="B398" s="23" t="n">
        <v>394</v>
      </c>
      <c r="C398" s="23" t="n">
        <v>2394</v>
      </c>
      <c r="D398" s="23" t="inlineStr">
        <is>
          <t>1380606106</t>
        </is>
      </c>
      <c r="E398" s="11" t="inlineStr">
        <is>
          <t>National Capital Region (NCR)</t>
        </is>
      </c>
      <c r="F398" s="11" t="inlineStr">
        <is>
          <t>First District (Not a Province)</t>
        </is>
      </c>
      <c r="G398" s="11" t="inlineStr">
        <is>
          <t>City of Manila</t>
        </is>
      </c>
      <c r="H398" s="11" t="inlineStr">
        <is>
          <t>Barangay 500</t>
        </is>
      </c>
      <c r="I398" s="24" t="n">
        <v>14.620099</v>
      </c>
      <c r="J398" s="24" t="n">
        <v>120.99053</v>
      </c>
      <c r="K398" s="23" t="inlineStr">
        <is>
          <t>U</t>
        </is>
      </c>
      <c r="L398" s="25" t="n">
        <v>1404</v>
      </c>
      <c r="M398" s="26" t="n">
        <v>3.4</v>
      </c>
      <c r="N398" s="25">
        <f>ROUND(L398/M398, 0)</f>
        <v/>
      </c>
      <c r="O398" s="25">
        <f>ROUND(N398*'Methodology &amp; Assumptions'!$B$7, 0)</f>
        <v/>
      </c>
      <c r="P398" s="23" t="inlineStr">
        <is>
          <t>Single Carrier (Band n50, 100MHz TDD)</t>
        </is>
      </c>
      <c r="Q398" s="27">
        <f>ROUNDUP(O398/'Methodology &amp; Assumptions'!$B$8, 0)</f>
        <v/>
      </c>
      <c r="R398" s="27" t="n">
        <v>1</v>
      </c>
      <c r="S398" s="26" t="n">
        <v>0.92</v>
      </c>
      <c r="T398" s="26" t="n">
        <v>0.66</v>
      </c>
      <c r="U398" s="11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26" t="n">
        <v>54.09</v>
      </c>
      <c r="W398" s="26" t="n">
        <v>68.84</v>
      </c>
      <c r="X398" s="26">
        <f>ROUND(('Methodology &amp; Assumptions'!$B$5*V398) + ('Methodology &amp; Assumptions'!$B$6*W398), 2)</f>
        <v/>
      </c>
      <c r="Y398" s="28" t="n">
        <v>10.9</v>
      </c>
      <c r="Z398" s="11" t="inlineStr">
        <is>
          <t>Priority Tier 2 (Balanced Opportunity)</t>
        </is>
      </c>
    </row>
    <row r="399">
      <c r="A399" s="23" t="n">
        <v>3</v>
      </c>
      <c r="B399" s="23" t="n">
        <v>395</v>
      </c>
      <c r="C399" s="23" t="n">
        <v>2395</v>
      </c>
      <c r="D399" s="23" t="inlineStr">
        <is>
          <t>1908820009</t>
        </is>
      </c>
      <c r="E399" s="11" t="inlineStr">
        <is>
          <t>Bangsamoro Autonomous Region In Muslim Mindanao (BARMM)</t>
        </is>
      </c>
      <c r="F399" s="11" t="inlineStr">
        <is>
          <t>Maguindanao del Sur</t>
        </is>
      </c>
      <c r="G399" s="11" t="inlineStr">
        <is>
          <t>Shariff Aguak</t>
        </is>
      </c>
      <c r="H399" s="11" t="inlineStr">
        <is>
          <t>Poblacion II</t>
        </is>
      </c>
      <c r="I399" s="24" t="n">
        <v>6.85308</v>
      </c>
      <c r="J399" s="24" t="n">
        <v>124.397636</v>
      </c>
      <c r="K399" s="23" t="inlineStr">
        <is>
          <t>R</t>
        </is>
      </c>
      <c r="L399" s="25" t="n">
        <v>2856</v>
      </c>
      <c r="M399" s="26" t="n">
        <v>4.7</v>
      </c>
      <c r="N399" s="25">
        <f>ROUND(L399/M399, 0)</f>
        <v/>
      </c>
      <c r="O399" s="25">
        <f>ROUND(N399*'Methodology &amp; Assumptions'!$B$7, 0)</f>
        <v/>
      </c>
      <c r="P399" s="23" t="inlineStr">
        <is>
          <t>Single Carrier (Band n50, 100MHz TDD)</t>
        </is>
      </c>
      <c r="Q399" s="27">
        <f>ROUNDUP(O399/'Methodology &amp; Assumptions'!$B$8, 0)</f>
        <v/>
      </c>
      <c r="R399" s="27" t="n">
        <v>1</v>
      </c>
      <c r="S399" s="26" t="n">
        <v>35.47</v>
      </c>
      <c r="T399" s="26" t="n">
        <v>35.41</v>
      </c>
      <c r="U399" s="11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26" t="n">
        <v>50.54</v>
      </c>
      <c r="W399" s="26" t="n">
        <v>72.38</v>
      </c>
      <c r="X399" s="26">
        <f>ROUND(('Methodology &amp; Assumptions'!$B$5*V399) + ('Methodology &amp; Assumptions'!$B$6*W399), 2)</f>
        <v/>
      </c>
      <c r="Y399" s="28" t="n">
        <v>11</v>
      </c>
      <c r="Z399" s="11" t="inlineStr">
        <is>
          <t>Priority Tier 2 (Balanced Opportunity)</t>
        </is>
      </c>
    </row>
    <row r="400">
      <c r="A400" s="23" t="n">
        <v>3</v>
      </c>
      <c r="B400" s="23" t="n">
        <v>396</v>
      </c>
      <c r="C400" s="23" t="n">
        <v>2396</v>
      </c>
      <c r="D400" s="23" t="inlineStr">
        <is>
          <t>0402111007</t>
        </is>
      </c>
      <c r="E400" s="11" t="inlineStr">
        <is>
          <t>Region IV-A (CALABARZON)</t>
        </is>
      </c>
      <c r="F400" s="11" t="inlineStr">
        <is>
          <t>Cavite</t>
        </is>
      </c>
      <c r="G400" s="11" t="inlineStr">
        <is>
          <t>Kawit</t>
        </is>
      </c>
      <c r="H400" s="11" t="inlineStr">
        <is>
          <t>Magdalo</t>
        </is>
      </c>
      <c r="I400" s="24" t="n">
        <v>14.43499</v>
      </c>
      <c r="J400" s="24" t="n">
        <v>120.88875</v>
      </c>
      <c r="K400" s="23" t="inlineStr">
        <is>
          <t>U</t>
        </is>
      </c>
      <c r="L400" s="25" t="n">
        <v>6528</v>
      </c>
      <c r="M400" s="26" t="n">
        <v>3.4</v>
      </c>
      <c r="N400" s="25">
        <f>ROUND(L400/M400, 0)</f>
        <v/>
      </c>
      <c r="O400" s="25">
        <f>ROUND(N400*'Methodology &amp; Assumptions'!$B$7, 0)</f>
        <v/>
      </c>
      <c r="P400" s="23" t="inlineStr">
        <is>
          <t>Single Carrier (Band n50, 100MHz TDD)</t>
        </is>
      </c>
      <c r="Q400" s="27">
        <f>ROUNDUP(O400/'Methodology &amp; Assumptions'!$B$8, 0)</f>
        <v/>
      </c>
      <c r="R400" s="27" t="n">
        <v>1</v>
      </c>
      <c r="S400" s="26" t="n">
        <v>0.87</v>
      </c>
      <c r="T400" s="26" t="n">
        <v>0.59</v>
      </c>
      <c r="U400" s="11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26" t="n">
        <v>78.17</v>
      </c>
      <c r="W400" s="26" t="n">
        <v>44.73</v>
      </c>
      <c r="X400" s="26">
        <f>ROUND(('Methodology &amp; Assumptions'!$B$5*V400) + ('Methodology &amp; Assumptions'!$B$6*W400), 2)</f>
        <v/>
      </c>
      <c r="Y400" s="28" t="n">
        <v>7.2</v>
      </c>
      <c r="Z400" s="11" t="inlineStr">
        <is>
          <t>Priority Tier 2 (Balanced Opportunity)</t>
        </is>
      </c>
    </row>
    <row r="401">
      <c r="A401" s="23" t="n">
        <v>3</v>
      </c>
      <c r="B401" s="23" t="n">
        <v>397</v>
      </c>
      <c r="C401" s="23" t="n">
        <v>2397</v>
      </c>
      <c r="D401" s="23" t="inlineStr">
        <is>
          <t>1381300022</t>
        </is>
      </c>
      <c r="E401" s="11" t="inlineStr">
        <is>
          <t>National Capital Region (NCR)</t>
        </is>
      </c>
      <c r="F401" s="11" t="inlineStr">
        <is>
          <t>Second District (Not a Province)</t>
        </is>
      </c>
      <c r="G401" s="11" t="inlineStr">
        <is>
          <t>Quezon City</t>
        </is>
      </c>
      <c r="H401" s="11" t="inlineStr">
        <is>
          <t>Commonwealth</t>
        </is>
      </c>
      <c r="I401" s="24" t="n">
        <v>14.69701</v>
      </c>
      <c r="J401" s="24" t="n">
        <v>121.0881</v>
      </c>
      <c r="K401" s="23" t="inlineStr">
        <is>
          <t>U</t>
        </is>
      </c>
      <c r="L401" s="25" t="n">
        <v>215035</v>
      </c>
      <c r="M401" s="26" t="n">
        <v>3.91</v>
      </c>
      <c r="N401" s="25">
        <f>ROUND(L401/M401, 0)</f>
        <v/>
      </c>
      <c r="O401" s="25">
        <f>ROUND(N401*'Methodology &amp; Assumptions'!$B$7, 0)</f>
        <v/>
      </c>
      <c r="P401" s="23" t="inlineStr">
        <is>
          <t>Single Carrier (Band n50, 100MHz TDD)</t>
        </is>
      </c>
      <c r="Q401" s="27">
        <f>ROUNDUP(O401/'Methodology &amp; Assumptions'!$B$8, 0)</f>
        <v/>
      </c>
      <c r="R401" s="27" t="n">
        <v>1</v>
      </c>
      <c r="S401" s="26" t="n">
        <v>0.59</v>
      </c>
      <c r="T401" s="26" t="n">
        <v>0.08</v>
      </c>
      <c r="U401" s="11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26" t="n">
        <v>63.32</v>
      </c>
      <c r="W401" s="26" t="n">
        <v>59.58</v>
      </c>
      <c r="X401" s="26">
        <f>ROUND(('Methodology &amp; Assumptions'!$B$5*V401) + ('Methodology &amp; Assumptions'!$B$6*W401), 2)</f>
        <v/>
      </c>
      <c r="Y401" s="28" t="n">
        <v>10.9</v>
      </c>
      <c r="Z401" s="11" t="inlineStr">
        <is>
          <t>Priority Tier 2 (Balanced Opportunity)</t>
        </is>
      </c>
    </row>
    <row r="402">
      <c r="A402" s="23" t="n">
        <v>3</v>
      </c>
      <c r="B402" s="23" t="n">
        <v>398</v>
      </c>
      <c r="C402" s="23" t="n">
        <v>2398</v>
      </c>
      <c r="D402" s="23" t="inlineStr">
        <is>
          <t>1380606091</t>
        </is>
      </c>
      <c r="E402" s="11" t="inlineStr">
        <is>
          <t>National Capital Region (NCR)</t>
        </is>
      </c>
      <c r="F402" s="11" t="inlineStr">
        <is>
          <t>First District (Not a Province)</t>
        </is>
      </c>
      <c r="G402" s="11" t="inlineStr">
        <is>
          <t>City of Manila</t>
        </is>
      </c>
      <c r="H402" s="11" t="inlineStr">
        <is>
          <t>Barangay 485</t>
        </is>
      </c>
      <c r="I402" s="24" t="n">
        <v>14.61817</v>
      </c>
      <c r="J402" s="24" t="n">
        <v>120.9909</v>
      </c>
      <c r="K402" s="23" t="inlineStr">
        <is>
          <t>U</t>
        </is>
      </c>
      <c r="L402" s="25" t="n">
        <v>1800</v>
      </c>
      <c r="M402" s="26" t="n">
        <v>4.38</v>
      </c>
      <c r="N402" s="25">
        <f>ROUND(L402/M402, 0)</f>
        <v/>
      </c>
      <c r="O402" s="25">
        <f>ROUND(N402*'Methodology &amp; Assumptions'!$B$7, 0)</f>
        <v/>
      </c>
      <c r="P402" s="23" t="inlineStr">
        <is>
          <t>Single Carrier (Band n50, 100MHz TDD)</t>
        </is>
      </c>
      <c r="Q402" s="27">
        <f>ROUNDUP(O402/'Methodology &amp; Assumptions'!$B$8, 0)</f>
        <v/>
      </c>
      <c r="R402" s="27" t="n">
        <v>1</v>
      </c>
      <c r="S402" s="26" t="n">
        <v>0.88</v>
      </c>
      <c r="T402" s="26" t="n">
        <v>0.85</v>
      </c>
      <c r="U402" s="11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26" t="n">
        <v>54.11</v>
      </c>
      <c r="W402" s="26" t="n">
        <v>68.8</v>
      </c>
      <c r="X402" s="26">
        <f>ROUND(('Methodology &amp; Assumptions'!$B$5*V402) + ('Methodology &amp; Assumptions'!$B$6*W402), 2)</f>
        <v/>
      </c>
      <c r="Y402" s="28" t="n">
        <v>10.9</v>
      </c>
      <c r="Z402" s="11" t="inlineStr">
        <is>
          <t>Priority Tier 2 (Balanced Opportunity)</t>
        </is>
      </c>
    </row>
    <row r="403">
      <c r="A403" s="23" t="n">
        <v>3</v>
      </c>
      <c r="B403" s="23" t="n">
        <v>399</v>
      </c>
      <c r="C403" s="23" t="n">
        <v>2399</v>
      </c>
      <c r="D403" s="23" t="inlineStr">
        <is>
          <t>1380606123</t>
        </is>
      </c>
      <c r="E403" s="11" t="inlineStr">
        <is>
          <t>National Capital Region (NCR)</t>
        </is>
      </c>
      <c r="F403" s="11" t="inlineStr">
        <is>
          <t>First District (Not a Province)</t>
        </is>
      </c>
      <c r="G403" s="11" t="inlineStr">
        <is>
          <t>City of Manila</t>
        </is>
      </c>
      <c r="H403" s="11" t="inlineStr">
        <is>
          <t>Barangay 517</t>
        </is>
      </c>
      <c r="I403" s="24" t="n">
        <v>14.615486</v>
      </c>
      <c r="J403" s="24" t="n">
        <v>120.997936</v>
      </c>
      <c r="K403" s="23" t="inlineStr">
        <is>
          <t>U</t>
        </is>
      </c>
      <c r="L403" s="25" t="n">
        <v>1355</v>
      </c>
      <c r="M403" s="26" t="n">
        <v>3.89</v>
      </c>
      <c r="N403" s="25">
        <f>ROUND(L403/M403, 0)</f>
        <v/>
      </c>
      <c r="O403" s="25">
        <f>ROUND(N403*'Methodology &amp; Assumptions'!$B$7, 0)</f>
        <v/>
      </c>
      <c r="P403" s="23" t="inlineStr">
        <is>
          <t>Single Carrier (Band n50, 100MHz TDD)</t>
        </is>
      </c>
      <c r="Q403" s="27">
        <f>ROUNDUP(O403/'Methodology &amp; Assumptions'!$B$8, 0)</f>
        <v/>
      </c>
      <c r="R403" s="27" t="n">
        <v>1</v>
      </c>
      <c r="S403" s="26" t="n">
        <v>0.8</v>
      </c>
      <c r="T403" s="26" t="n">
        <v>0.13</v>
      </c>
      <c r="U403" s="11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26" t="n">
        <v>52.23</v>
      </c>
      <c r="W403" s="26" t="n">
        <v>70.66</v>
      </c>
      <c r="X403" s="26">
        <f>ROUND(('Methodology &amp; Assumptions'!$B$5*V403) + ('Methodology &amp; Assumptions'!$B$6*W403), 2)</f>
        <v/>
      </c>
      <c r="Y403" s="28" t="n">
        <v>10.9</v>
      </c>
      <c r="Z403" s="11" t="inlineStr">
        <is>
          <t>Priority Tier 2 (Balanced Opportunity)</t>
        </is>
      </c>
    </row>
    <row r="404">
      <c r="A404" s="23" t="n">
        <v>3</v>
      </c>
      <c r="B404" s="23" t="n">
        <v>400</v>
      </c>
      <c r="C404" s="23" t="n">
        <v>2400</v>
      </c>
      <c r="D404" s="23" t="inlineStr">
        <is>
          <t>0304902007</t>
        </is>
      </c>
      <c r="E404" s="11" t="inlineStr">
        <is>
          <t>Region III (Central Luzon)</t>
        </is>
      </c>
      <c r="F404" s="11" t="inlineStr">
        <is>
          <t>Nueva Ecija</t>
        </is>
      </c>
      <c r="G404" s="11" t="inlineStr">
        <is>
          <t>Bongabon</t>
        </is>
      </c>
      <c r="H404" s="11" t="inlineStr">
        <is>
          <t>Digmala</t>
        </is>
      </c>
      <c r="I404" s="24" t="n">
        <v>15.644036</v>
      </c>
      <c r="J404" s="24" t="n">
        <v>121.267525</v>
      </c>
      <c r="K404" s="23" t="inlineStr">
        <is>
          <t>R</t>
        </is>
      </c>
      <c r="L404" s="25" t="n">
        <v>1683</v>
      </c>
      <c r="M404" s="26" t="n">
        <v>3.5</v>
      </c>
      <c r="N404" s="25">
        <f>ROUND(L404/M404, 0)</f>
        <v/>
      </c>
      <c r="O404" s="25">
        <f>ROUND(N404*'Methodology &amp; Assumptions'!$B$7, 0)</f>
        <v/>
      </c>
      <c r="P404" s="23" t="inlineStr">
        <is>
          <t>Single Carrier (Band n50, 100MHz TDD)</t>
        </is>
      </c>
      <c r="Q404" s="27">
        <f>ROUNDUP(O404/'Methodology &amp; Assumptions'!$B$8, 0)</f>
        <v/>
      </c>
      <c r="R404" s="27" t="n">
        <v>1</v>
      </c>
      <c r="S404" s="26" t="n">
        <v>10.86</v>
      </c>
      <c r="T404" s="26" t="n">
        <v>12.99</v>
      </c>
      <c r="U404" s="11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26" t="n">
        <v>53.13</v>
      </c>
      <c r="W404" s="26" t="n">
        <v>69.75</v>
      </c>
      <c r="X404" s="26">
        <f>ROUND(('Methodology &amp; Assumptions'!$B$5*V404) + ('Methodology &amp; Assumptions'!$B$6*W404), 2)</f>
        <v/>
      </c>
      <c r="Y404" s="28" t="n">
        <v>8.300000000000001</v>
      </c>
      <c r="Z404" s="11" t="inlineStr">
        <is>
          <t>Priority Tier 2 (Balanced Opportunity)</t>
        </is>
      </c>
    </row>
    <row r="405">
      <c r="A405" s="23" t="n">
        <v>3</v>
      </c>
      <c r="B405" s="23" t="n">
        <v>401</v>
      </c>
      <c r="C405" s="23" t="n">
        <v>2401</v>
      </c>
      <c r="D405" s="23" t="inlineStr">
        <is>
          <t>0205706015</t>
        </is>
      </c>
      <c r="E405" s="11" t="inlineStr">
        <is>
          <t>Region II (Cagayan Valley)</t>
        </is>
      </c>
      <c r="F405" s="11" t="inlineStr">
        <is>
          <t>Quirino</t>
        </is>
      </c>
      <c r="G405" s="11" t="inlineStr">
        <is>
          <t>Nagtipunan</t>
        </is>
      </c>
      <c r="H405" s="11" t="inlineStr">
        <is>
          <t>Wasid</t>
        </is>
      </c>
      <c r="I405" s="24" t="n">
        <v>16.111823</v>
      </c>
      <c r="J405" s="24" t="n">
        <v>121.548418</v>
      </c>
      <c r="K405" s="23" t="inlineStr">
        <is>
          <t>R</t>
        </is>
      </c>
      <c r="L405" s="25" t="n">
        <v>1278</v>
      </c>
      <c r="M405" s="26" t="n">
        <v>3.9</v>
      </c>
      <c r="N405" s="25">
        <f>ROUND(L405/M405, 0)</f>
        <v/>
      </c>
      <c r="O405" s="25">
        <f>ROUND(N405*'Methodology &amp; Assumptions'!$B$7, 0)</f>
        <v/>
      </c>
      <c r="P405" s="23" t="inlineStr">
        <is>
          <t>Single Carrier (Band n50, 100MHz TDD)</t>
        </is>
      </c>
      <c r="Q405" s="27">
        <f>ROUNDUP(O405/'Methodology &amp; Assumptions'!$B$8, 0)</f>
        <v/>
      </c>
      <c r="R405" s="27" t="n">
        <v>1</v>
      </c>
      <c r="S405" s="26" t="n">
        <v>12.78</v>
      </c>
      <c r="T405" s="26" t="n">
        <v>16.79</v>
      </c>
      <c r="U405" s="11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26" t="n">
        <v>46.23</v>
      </c>
      <c r="W405" s="26" t="n">
        <v>76.66</v>
      </c>
      <c r="X405" s="26">
        <f>ROUND(('Methodology &amp; Assumptions'!$B$5*V405) + ('Methodology &amp; Assumptions'!$B$6*W405), 2)</f>
        <v/>
      </c>
      <c r="Y405" s="28" t="n">
        <v>8.300000000000001</v>
      </c>
      <c r="Z405" s="11" t="inlineStr">
        <is>
          <t>Priority Tier 2 (Balanced Opportunity)</t>
        </is>
      </c>
    </row>
    <row r="406">
      <c r="A406" s="23" t="n">
        <v>3</v>
      </c>
      <c r="B406" s="23" t="n">
        <v>402</v>
      </c>
      <c r="C406" s="23" t="n">
        <v>2402</v>
      </c>
      <c r="D406" s="23" t="inlineStr">
        <is>
          <t>0307708006</t>
        </is>
      </c>
      <c r="E406" s="11" t="inlineStr">
        <is>
          <t>Region III (Central Luzon)</t>
        </is>
      </c>
      <c r="F406" s="11" t="inlineStr">
        <is>
          <t>Aurora</t>
        </is>
      </c>
      <c r="G406" s="11" t="inlineStr">
        <is>
          <t>San Luis</t>
        </is>
      </c>
      <c r="H406" s="11" t="inlineStr">
        <is>
          <t>Dibalo</t>
        </is>
      </c>
      <c r="I406" s="24" t="n">
        <v>15.693252</v>
      </c>
      <c r="J406" s="24" t="n">
        <v>121.531291</v>
      </c>
      <c r="K406" s="23" t="inlineStr">
        <is>
          <t>R</t>
        </is>
      </c>
      <c r="L406" s="25" t="n">
        <v>135</v>
      </c>
      <c r="M406" s="26" t="n">
        <v>3.8</v>
      </c>
      <c r="N406" s="25">
        <f>ROUND(L406/M406, 0)</f>
        <v/>
      </c>
      <c r="O406" s="25">
        <f>ROUND(N406*'Methodology &amp; Assumptions'!$B$7, 0)</f>
        <v/>
      </c>
      <c r="P406" s="23" t="inlineStr">
        <is>
          <t>Single Carrier (Band n50, 100MHz TDD)</t>
        </is>
      </c>
      <c r="Q406" s="27">
        <f>ROUNDUP(O406/'Methodology &amp; Assumptions'!$B$8, 0)</f>
        <v/>
      </c>
      <c r="R406" s="27" t="n">
        <v>1</v>
      </c>
      <c r="S406" s="26" t="n">
        <v>5.43</v>
      </c>
      <c r="T406" s="26" t="n">
        <v>6.14</v>
      </c>
      <c r="U406" s="11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26" t="n">
        <v>44.54</v>
      </c>
      <c r="W406" s="26" t="n">
        <v>78.34</v>
      </c>
      <c r="X406" s="26">
        <f>ROUND(('Methodology &amp; Assumptions'!$B$5*V406) + ('Methodology &amp; Assumptions'!$B$6*W406), 2)</f>
        <v/>
      </c>
      <c r="Y406" s="28" t="n">
        <v>8.300000000000001</v>
      </c>
      <c r="Z406" s="11" t="inlineStr">
        <is>
          <t>Priority Tier 2 (Balanced Opportunity)</t>
        </is>
      </c>
    </row>
    <row r="407">
      <c r="A407" s="23" t="n">
        <v>3</v>
      </c>
      <c r="B407" s="23" t="n">
        <v>403</v>
      </c>
      <c r="C407" s="23" t="n">
        <v>2403</v>
      </c>
      <c r="D407" s="23" t="inlineStr">
        <is>
          <t>0301420032</t>
        </is>
      </c>
      <c r="E407" s="11" t="inlineStr">
        <is>
          <t>Region III (Central Luzon)</t>
        </is>
      </c>
      <c r="F407" s="11" t="inlineStr">
        <is>
          <t>Bulacan</t>
        </is>
      </c>
      <c r="G407" s="11" t="inlineStr">
        <is>
          <t>City of San Jose Del Monte</t>
        </is>
      </c>
      <c r="H407" s="11" t="inlineStr">
        <is>
          <t>Gumaoc Central</t>
        </is>
      </c>
      <c r="I407" s="24" t="n">
        <v>14.799886</v>
      </c>
      <c r="J407" s="24" t="n">
        <v>121.065581</v>
      </c>
      <c r="K407" s="23" t="inlineStr">
        <is>
          <t>R</t>
        </is>
      </c>
      <c r="L407" s="25" t="n">
        <v>4310</v>
      </c>
      <c r="M407" s="26" t="n">
        <v>3.5</v>
      </c>
      <c r="N407" s="25">
        <f>ROUND(L407/M407, 0)</f>
        <v/>
      </c>
      <c r="O407" s="25">
        <f>ROUND(N407*'Methodology &amp; Assumptions'!$B$7, 0)</f>
        <v/>
      </c>
      <c r="P407" s="23" t="inlineStr">
        <is>
          <t>Single Carrier (Band n50, 100MHz TDD)</t>
        </is>
      </c>
      <c r="Q407" s="27">
        <f>ROUNDUP(O407/'Methodology &amp; Assumptions'!$B$8, 0)</f>
        <v/>
      </c>
      <c r="R407" s="27" t="n">
        <v>1</v>
      </c>
      <c r="S407" s="26" t="n">
        <v>0.54</v>
      </c>
      <c r="T407" s="26" t="n">
        <v>0.89</v>
      </c>
      <c r="U407" s="11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26" t="n">
        <v>85.63</v>
      </c>
      <c r="W407" s="26" t="n">
        <v>37.23</v>
      </c>
      <c r="X407" s="26">
        <f>ROUND(('Methodology &amp; Assumptions'!$B$5*V407) + ('Methodology &amp; Assumptions'!$B$6*W407), 2)</f>
        <v/>
      </c>
      <c r="Y407" s="28" t="n">
        <v>8.300000000000001</v>
      </c>
      <c r="Z407" s="11" t="inlineStr">
        <is>
          <t>Priority Tier 2 (Balanced Opportunity)</t>
        </is>
      </c>
    </row>
    <row r="408">
      <c r="A408" s="23" t="n">
        <v>3</v>
      </c>
      <c r="B408" s="23" t="n">
        <v>404</v>
      </c>
      <c r="C408" s="23" t="n">
        <v>2404</v>
      </c>
      <c r="D408" s="23" t="inlineStr">
        <is>
          <t>0304919015</t>
        </is>
      </c>
      <c r="E408" s="11" t="inlineStr">
        <is>
          <t>Region III (Central Luzon)</t>
        </is>
      </c>
      <c r="F408" s="11" t="inlineStr">
        <is>
          <t>Nueva Ecija</t>
        </is>
      </c>
      <c r="G408" s="11" t="inlineStr">
        <is>
          <t>City of Palayan</t>
        </is>
      </c>
      <c r="H408" s="11" t="inlineStr">
        <is>
          <t>Caimito</t>
        </is>
      </c>
      <c r="I408" s="24" t="n">
        <v>15.585783</v>
      </c>
      <c r="J408" s="24" t="n">
        <v>120.924577</v>
      </c>
      <c r="K408" s="23" t="inlineStr">
        <is>
          <t>R</t>
        </is>
      </c>
      <c r="L408" s="25" t="n">
        <v>2783</v>
      </c>
      <c r="M408" s="26" t="n">
        <v>3.5</v>
      </c>
      <c r="N408" s="25">
        <f>ROUND(L408/M408, 0)</f>
        <v/>
      </c>
      <c r="O408" s="25">
        <f>ROUND(N408*'Methodology &amp; Assumptions'!$B$7, 0)</f>
        <v/>
      </c>
      <c r="P408" s="23" t="inlineStr">
        <is>
          <t>Single Carrier (Band n50, 100MHz TDD)</t>
        </is>
      </c>
      <c r="Q408" s="27">
        <f>ROUNDUP(O408/'Methodology &amp; Assumptions'!$B$8, 0)</f>
        <v/>
      </c>
      <c r="R408" s="27" t="n">
        <v>1</v>
      </c>
      <c r="S408" s="26" t="n">
        <v>0.71</v>
      </c>
      <c r="T408" s="26" t="n">
        <v>0.52</v>
      </c>
      <c r="U408" s="11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26" t="n">
        <v>84.8</v>
      </c>
      <c r="W408" s="26" t="n">
        <v>38.05</v>
      </c>
      <c r="X408" s="26">
        <f>ROUND(('Methodology &amp; Assumptions'!$B$5*V408) + ('Methodology &amp; Assumptions'!$B$6*W408), 2)</f>
        <v/>
      </c>
      <c r="Y408" s="28" t="n">
        <v>8.300000000000001</v>
      </c>
      <c r="Z408" s="11" t="inlineStr">
        <is>
          <t>Priority Tier 2 (Balanced Opportunity)</t>
        </is>
      </c>
    </row>
    <row r="409">
      <c r="A409" s="23" t="n">
        <v>3</v>
      </c>
      <c r="B409" s="23" t="n">
        <v>405</v>
      </c>
      <c r="C409" s="23" t="n">
        <v>2405</v>
      </c>
      <c r="D409" s="23" t="inlineStr">
        <is>
          <t>1381100109</t>
        </is>
      </c>
      <c r="E409" s="11" t="inlineStr">
        <is>
          <t>National Capital Region (NCR)</t>
        </is>
      </c>
      <c r="F409" s="11" t="inlineStr">
        <is>
          <t>Fourth District (Not a Province)</t>
        </is>
      </c>
      <c r="G409" s="11" t="inlineStr">
        <is>
          <t>Pasay City</t>
        </is>
      </c>
      <c r="H409" s="11" t="inlineStr">
        <is>
          <t>Barangay 109</t>
        </is>
      </c>
      <c r="I409" s="24" t="n">
        <v>14.546613</v>
      </c>
      <c r="J409" s="24" t="n">
        <v>121.00412</v>
      </c>
      <c r="K409" s="23" t="inlineStr">
        <is>
          <t>U</t>
        </is>
      </c>
      <c r="L409" s="25" t="n">
        <v>1299</v>
      </c>
      <c r="M409" s="26" t="n">
        <v>3.46</v>
      </c>
      <c r="N409" s="25">
        <f>ROUND(L409/M409, 0)</f>
        <v/>
      </c>
      <c r="O409" s="25">
        <f>ROUND(N409*'Methodology &amp; Assumptions'!$B$7, 0)</f>
        <v/>
      </c>
      <c r="P409" s="23" t="inlineStr">
        <is>
          <t>Single Carrier (Band n50, 100MHz TDD)</t>
        </is>
      </c>
      <c r="Q409" s="27">
        <f>ROUNDUP(O409/'Methodology &amp; Assumptions'!$B$8, 0)</f>
        <v/>
      </c>
      <c r="R409" s="27" t="n">
        <v>1</v>
      </c>
      <c r="S409" s="26" t="n">
        <v>0.86</v>
      </c>
      <c r="T409" s="26" t="n">
        <v>0.2</v>
      </c>
      <c r="U409" s="11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26" t="n">
        <v>53.03</v>
      </c>
      <c r="W409" s="26" t="n">
        <v>69.84</v>
      </c>
      <c r="X409" s="26">
        <f>ROUND(('Methodology &amp; Assumptions'!$B$5*V409) + ('Methodology &amp; Assumptions'!$B$6*W409), 2)</f>
        <v/>
      </c>
      <c r="Y409" s="28" t="n">
        <v>10.9</v>
      </c>
      <c r="Z409" s="11" t="inlineStr">
        <is>
          <t>Priority Tier 2 (Balanced Opportunity)</t>
        </is>
      </c>
    </row>
    <row r="410">
      <c r="A410" s="23" t="n">
        <v>3</v>
      </c>
      <c r="B410" s="23" t="n">
        <v>406</v>
      </c>
      <c r="C410" s="23" t="n">
        <v>2406</v>
      </c>
      <c r="D410" s="23" t="inlineStr">
        <is>
          <t>1380603006</t>
        </is>
      </c>
      <c r="E410" s="11" t="inlineStr">
        <is>
          <t>National Capital Region (NCR)</t>
        </is>
      </c>
      <c r="F410" s="11" t="inlineStr">
        <is>
          <t>First District (Not a Province)</t>
        </is>
      </c>
      <c r="G410" s="11" t="inlineStr">
        <is>
          <t>City of Manila</t>
        </is>
      </c>
      <c r="H410" s="11" t="inlineStr">
        <is>
          <t>Barangay 386</t>
        </is>
      </c>
      <c r="I410" s="24" t="n">
        <v>14.594509</v>
      </c>
      <c r="J410" s="24" t="n">
        <v>120.989783</v>
      </c>
      <c r="K410" s="23" t="inlineStr">
        <is>
          <t>U</t>
        </is>
      </c>
      <c r="L410" s="25" t="n">
        <v>1245</v>
      </c>
      <c r="M410" s="26" t="n">
        <v>3.68</v>
      </c>
      <c r="N410" s="25">
        <f>ROUND(L410/M410, 0)</f>
        <v/>
      </c>
      <c r="O410" s="25">
        <f>ROUND(N410*'Methodology &amp; Assumptions'!$B$7, 0)</f>
        <v/>
      </c>
      <c r="P410" s="23" t="inlineStr">
        <is>
          <t>Single Carrier (Band n50, 100MHz TDD)</t>
        </is>
      </c>
      <c r="Q410" s="27">
        <f>ROUNDUP(O410/'Methodology &amp; Assumptions'!$B$8, 0)</f>
        <v/>
      </c>
      <c r="R410" s="27" t="n">
        <v>1</v>
      </c>
      <c r="S410" s="26" t="n">
        <v>0.73</v>
      </c>
      <c r="T410" s="26" t="n">
        <v>0.64</v>
      </c>
      <c r="U410" s="11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26" t="n">
        <v>51.91</v>
      </c>
      <c r="W410" s="26" t="n">
        <v>70.95</v>
      </c>
      <c r="X410" s="26">
        <f>ROUND(('Methodology &amp; Assumptions'!$B$5*V410) + ('Methodology &amp; Assumptions'!$B$6*W410), 2)</f>
        <v/>
      </c>
      <c r="Y410" s="28" t="n">
        <v>10.9</v>
      </c>
      <c r="Z410" s="11" t="inlineStr">
        <is>
          <t>Priority Tier 2 (Balanced Opportunity)</t>
        </is>
      </c>
    </row>
    <row r="411">
      <c r="A411" s="23" t="n">
        <v>3</v>
      </c>
      <c r="B411" s="23" t="n">
        <v>407</v>
      </c>
      <c r="C411" s="23" t="n">
        <v>2407</v>
      </c>
      <c r="D411" s="23" t="inlineStr">
        <is>
          <t>0405808001</t>
        </is>
      </c>
      <c r="E411" s="11" t="inlineStr">
        <is>
          <t>Region IV-A (CALABARZON)</t>
        </is>
      </c>
      <c r="F411" s="11" t="inlineStr">
        <is>
          <t>Rizal</t>
        </is>
      </c>
      <c r="G411" s="11" t="inlineStr">
        <is>
          <t>Rodriguez</t>
        </is>
      </c>
      <c r="H411" s="11" t="inlineStr">
        <is>
          <t>Balite</t>
        </is>
      </c>
      <c r="I411" s="24" t="n">
        <v>14.73582</v>
      </c>
      <c r="J411" s="24" t="n">
        <v>121.14599</v>
      </c>
      <c r="K411" s="23" t="inlineStr">
        <is>
          <t>U</t>
        </is>
      </c>
      <c r="L411" s="25" t="n">
        <v>8169</v>
      </c>
      <c r="M411" s="26" t="n">
        <v>3.6</v>
      </c>
      <c r="N411" s="25">
        <f>ROUND(L411/M411, 0)</f>
        <v/>
      </c>
      <c r="O411" s="25">
        <f>ROUND(N411*'Methodology &amp; Assumptions'!$B$7, 0)</f>
        <v/>
      </c>
      <c r="P411" s="23" t="inlineStr">
        <is>
          <t>Single Carrier (Band n50, 100MHz TDD)</t>
        </is>
      </c>
      <c r="Q411" s="27">
        <f>ROUNDUP(O411/'Methodology &amp; Assumptions'!$B$8, 0)</f>
        <v/>
      </c>
      <c r="R411" s="27" t="n">
        <v>1</v>
      </c>
      <c r="S411" s="26" t="n">
        <v>0.78</v>
      </c>
      <c r="T411" s="26" t="n">
        <v>0.75</v>
      </c>
      <c r="U411" s="11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26" t="n">
        <v>78.26000000000001</v>
      </c>
      <c r="W411" s="26" t="n">
        <v>44.59</v>
      </c>
      <c r="X411" s="26">
        <f>ROUND(('Methodology &amp; Assumptions'!$B$5*V411) + ('Methodology &amp; Assumptions'!$B$6*W411), 2)</f>
        <v/>
      </c>
      <c r="Y411" s="28" t="n">
        <v>7.2</v>
      </c>
      <c r="Z411" s="11" t="inlineStr">
        <is>
          <t>Priority Tier 2 (Balanced Opportunity)</t>
        </is>
      </c>
    </row>
    <row r="412">
      <c r="A412" s="23" t="n">
        <v>3</v>
      </c>
      <c r="B412" s="23" t="n">
        <v>408</v>
      </c>
      <c r="C412" s="23" t="n">
        <v>2408</v>
      </c>
      <c r="D412" s="23" t="inlineStr">
        <is>
          <t>0603036019</t>
        </is>
      </c>
      <c r="E412" s="11" t="inlineStr">
        <is>
          <t>Region VI (Western Visayas)</t>
        </is>
      </c>
      <c r="F412" s="11" t="inlineStr">
        <is>
          <t>Iloilo</t>
        </is>
      </c>
      <c r="G412" s="11" t="inlineStr">
        <is>
          <t>Pavia</t>
        </is>
      </c>
      <c r="H412" s="11" t="inlineStr">
        <is>
          <t>Ungka II</t>
        </is>
      </c>
      <c r="I412" s="24" t="n">
        <v>10.752973</v>
      </c>
      <c r="J412" s="24" t="n">
        <v>122.53829</v>
      </c>
      <c r="K412" s="23" t="inlineStr">
        <is>
          <t>U</t>
        </is>
      </c>
      <c r="L412" s="25" t="n">
        <v>5504</v>
      </c>
      <c r="M412" s="26" t="n">
        <v>3.8</v>
      </c>
      <c r="N412" s="25">
        <f>ROUND(L412/M412, 0)</f>
        <v/>
      </c>
      <c r="O412" s="25">
        <f>ROUND(N412*'Methodology &amp; Assumptions'!$B$7, 0)</f>
        <v/>
      </c>
      <c r="P412" s="23" t="inlineStr">
        <is>
          <t>Single Carrier (Band n50, 100MHz TDD)</t>
        </is>
      </c>
      <c r="Q412" s="27">
        <f>ROUNDUP(O412/'Methodology &amp; Assumptions'!$B$8, 0)</f>
        <v/>
      </c>
      <c r="R412" s="27" t="n">
        <v>1</v>
      </c>
      <c r="S412" s="26" t="n">
        <v>2.47</v>
      </c>
      <c r="T412" s="26" t="n">
        <v>2.75</v>
      </c>
      <c r="U412" s="11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26" t="n">
        <v>71.56</v>
      </c>
      <c r="W412" s="26" t="n">
        <v>51.28</v>
      </c>
      <c r="X412" s="26">
        <f>ROUND(('Methodology &amp; Assumptions'!$B$5*V412) + ('Methodology &amp; Assumptions'!$B$6*W412), 2)</f>
        <v/>
      </c>
      <c r="Y412" s="28" t="n">
        <v>23.7</v>
      </c>
      <c r="Z412" s="11" t="inlineStr">
        <is>
          <t>Priority Tier 2 (Balanced Opportunity)</t>
        </is>
      </c>
    </row>
    <row r="413">
      <c r="A413" s="23" t="n">
        <v>3</v>
      </c>
      <c r="B413" s="23" t="n">
        <v>409</v>
      </c>
      <c r="C413" s="23" t="n">
        <v>2409</v>
      </c>
      <c r="D413" s="23" t="inlineStr">
        <is>
          <t>0300806004</t>
        </is>
      </c>
      <c r="E413" s="11" t="inlineStr">
        <is>
          <t>Region III (Central Luzon)</t>
        </is>
      </c>
      <c r="F413" s="11" t="inlineStr">
        <is>
          <t>Bataan</t>
        </is>
      </c>
      <c r="G413" s="11" t="inlineStr">
        <is>
          <t>Limay</t>
        </is>
      </c>
      <c r="H413" s="11" t="inlineStr">
        <is>
          <t>Lamao</t>
        </is>
      </c>
      <c r="I413" s="24" t="n">
        <v>14.513915</v>
      </c>
      <c r="J413" s="24" t="n">
        <v>120.609081</v>
      </c>
      <c r="K413" s="23" t="inlineStr">
        <is>
          <t>U</t>
        </is>
      </c>
      <c r="L413" s="25" t="n">
        <v>20836</v>
      </c>
      <c r="M413" s="26" t="n">
        <v>3.6</v>
      </c>
      <c r="N413" s="25">
        <f>ROUND(L413/M413, 0)</f>
        <v/>
      </c>
      <c r="O413" s="25">
        <f>ROUND(N413*'Methodology &amp; Assumptions'!$B$7, 0)</f>
        <v/>
      </c>
      <c r="P413" s="23" t="inlineStr">
        <is>
          <t>Single Carrier (Band n50, 100MHz TDD)</t>
        </is>
      </c>
      <c r="Q413" s="27">
        <f>ROUNDUP(O413/'Methodology &amp; Assumptions'!$B$8, 0)</f>
        <v/>
      </c>
      <c r="R413" s="27" t="n">
        <v>1</v>
      </c>
      <c r="S413" s="26" t="n">
        <v>6.88</v>
      </c>
      <c r="T413" s="26" t="n">
        <v>0.53</v>
      </c>
      <c r="U413" s="11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26" t="n">
        <v>64.23999999999999</v>
      </c>
      <c r="W413" s="26" t="n">
        <v>58.6</v>
      </c>
      <c r="X413" s="26">
        <f>ROUND(('Methodology &amp; Assumptions'!$B$5*V413) + ('Methodology &amp; Assumptions'!$B$6*W413), 2)</f>
        <v/>
      </c>
      <c r="Y413" s="28" t="n">
        <v>8.300000000000001</v>
      </c>
      <c r="Z413" s="11" t="inlineStr">
        <is>
          <t>Priority Tier 2 (Balanced Opportunity)</t>
        </is>
      </c>
    </row>
    <row r="414">
      <c r="A414" s="23" t="n">
        <v>3</v>
      </c>
      <c r="B414" s="23" t="n">
        <v>410</v>
      </c>
      <c r="C414" s="23" t="n">
        <v>2410</v>
      </c>
      <c r="D414" s="23" t="inlineStr">
        <is>
          <t>0600403014</t>
        </is>
      </c>
      <c r="E414" s="11" t="inlineStr">
        <is>
          <t>Region VI (Western Visayas)</t>
        </is>
      </c>
      <c r="F414" s="11" t="inlineStr">
        <is>
          <t>Aklan</t>
        </is>
      </c>
      <c r="G414" s="11" t="inlineStr">
        <is>
          <t>Banga</t>
        </is>
      </c>
      <c r="H414" s="11" t="inlineStr">
        <is>
          <t>Mambog</t>
        </is>
      </c>
      <c r="I414" s="24" t="n">
        <v>11.643753</v>
      </c>
      <c r="J414" s="24" t="n">
        <v>122.343344</v>
      </c>
      <c r="K414" s="23" t="inlineStr">
        <is>
          <t>R</t>
        </is>
      </c>
      <c r="L414" s="25" t="n">
        <v>2065</v>
      </c>
      <c r="M414" s="26" t="n">
        <v>3.9</v>
      </c>
      <c r="N414" s="25">
        <f>ROUND(L414/M414, 0)</f>
        <v/>
      </c>
      <c r="O414" s="25">
        <f>ROUND(N414*'Methodology &amp; Assumptions'!$B$7, 0)</f>
        <v/>
      </c>
      <c r="P414" s="23" t="inlineStr">
        <is>
          <t>Single Carrier (Band n50, 100MHz TDD)</t>
        </is>
      </c>
      <c r="Q414" s="27">
        <f>ROUNDUP(O414/'Methodology &amp; Assumptions'!$B$8, 0)</f>
        <v/>
      </c>
      <c r="R414" s="27" t="n">
        <v>1</v>
      </c>
      <c r="S414" s="26" t="n">
        <v>1.45</v>
      </c>
      <c r="T414" s="26" t="n">
        <v>0.43</v>
      </c>
      <c r="U414" s="11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26" t="n">
        <v>75.26000000000001</v>
      </c>
      <c r="W414" s="26" t="n">
        <v>47.56</v>
      </c>
      <c r="X414" s="26">
        <f>ROUND(('Methodology &amp; Assumptions'!$B$5*V414) + ('Methodology &amp; Assumptions'!$B$6*W414), 2)</f>
        <v/>
      </c>
      <c r="Y414" s="28" t="n">
        <v>23.7</v>
      </c>
      <c r="Z414" s="11" t="inlineStr">
        <is>
          <t>Priority Tier 2 (Balanced Opportunity)</t>
        </is>
      </c>
    </row>
    <row r="415">
      <c r="A415" s="23" t="n">
        <v>3</v>
      </c>
      <c r="B415" s="23" t="n">
        <v>411</v>
      </c>
      <c r="C415" s="23" t="n">
        <v>2411</v>
      </c>
      <c r="D415" s="23" t="inlineStr">
        <is>
          <t>0405628019</t>
        </is>
      </c>
      <c r="E415" s="11" t="inlineStr">
        <is>
          <t>Region IV-A (CALABARZON)</t>
        </is>
      </c>
      <c r="F415" s="11" t="inlineStr">
        <is>
          <t>Quezon</t>
        </is>
      </c>
      <c r="G415" s="11" t="inlineStr">
        <is>
          <t>Mulanay</t>
        </is>
      </c>
      <c r="H415" s="11" t="inlineStr">
        <is>
          <t>Ibabang Yuni</t>
        </is>
      </c>
      <c r="I415" s="24" t="n">
        <v>13.41925</v>
      </c>
      <c r="J415" s="24" t="n">
        <v>122.47551</v>
      </c>
      <c r="K415" s="23" t="inlineStr">
        <is>
          <t>R</t>
        </is>
      </c>
      <c r="L415" s="25" t="n">
        <v>2454</v>
      </c>
      <c r="M415" s="26" t="n">
        <v>3.8</v>
      </c>
      <c r="N415" s="25">
        <f>ROUND(L415/M415, 0)</f>
        <v/>
      </c>
      <c r="O415" s="25">
        <f>ROUND(N415*'Methodology &amp; Assumptions'!$B$7, 0)</f>
        <v/>
      </c>
      <c r="P415" s="23" t="inlineStr">
        <is>
          <t>Single Carrier (Band n50, 100MHz TDD)</t>
        </is>
      </c>
      <c r="Q415" s="27">
        <f>ROUNDUP(O415/'Methodology &amp; Assumptions'!$B$8, 0)</f>
        <v/>
      </c>
      <c r="R415" s="27" t="n">
        <v>1</v>
      </c>
      <c r="S415" s="26" t="n">
        <v>6.77</v>
      </c>
      <c r="T415" s="26" t="n">
        <v>14.41</v>
      </c>
      <c r="U415" s="11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26" t="n">
        <v>62.4</v>
      </c>
      <c r="W415" s="26" t="n">
        <v>60.42</v>
      </c>
      <c r="X415" s="26">
        <f>ROUND(('Methodology &amp; Assumptions'!$B$5*V415) + ('Methodology &amp; Assumptions'!$B$6*W415), 2)</f>
        <v/>
      </c>
      <c r="Y415" s="28" t="n">
        <v>7.2</v>
      </c>
      <c r="Z415" s="11" t="inlineStr">
        <is>
          <t>Priority Tier 2 (Balanced Opportunity)</t>
        </is>
      </c>
    </row>
    <row r="416">
      <c r="A416" s="23" t="n">
        <v>3</v>
      </c>
      <c r="B416" s="23" t="n">
        <v>412</v>
      </c>
      <c r="C416" s="23" t="n">
        <v>2412</v>
      </c>
      <c r="D416" s="23" t="inlineStr">
        <is>
          <t>0203131016</t>
        </is>
      </c>
      <c r="E416" s="11" t="inlineStr">
        <is>
          <t>Region II (Cagayan Valley)</t>
        </is>
      </c>
      <c r="F416" s="11" t="inlineStr">
        <is>
          <t>Isabela</t>
        </is>
      </c>
      <c r="G416" s="11" t="inlineStr">
        <is>
          <t>San Mariano</t>
        </is>
      </c>
      <c r="H416" s="11" t="inlineStr">
        <is>
          <t>Disusuan</t>
        </is>
      </c>
      <c r="I416" s="24" t="n">
        <v>16.987097</v>
      </c>
      <c r="J416" s="24" t="n">
        <v>122.058176</v>
      </c>
      <c r="K416" s="23" t="inlineStr">
        <is>
          <t>R</t>
        </is>
      </c>
      <c r="L416" s="25" t="n">
        <v>656</v>
      </c>
      <c r="M416" s="26" t="n">
        <v>3.8</v>
      </c>
      <c r="N416" s="25">
        <f>ROUND(L416/M416, 0)</f>
        <v/>
      </c>
      <c r="O416" s="25">
        <f>ROUND(N416*'Methodology &amp; Assumptions'!$B$7, 0)</f>
        <v/>
      </c>
      <c r="P416" s="23" t="inlineStr">
        <is>
          <t>Single Carrier (Band n50, 100MHz TDD)</t>
        </is>
      </c>
      <c r="Q416" s="27">
        <f>ROUNDUP(O416/'Methodology &amp; Assumptions'!$B$8, 0)</f>
        <v/>
      </c>
      <c r="R416" s="27" t="n">
        <v>1</v>
      </c>
      <c r="S416" s="26" t="n">
        <v>4.8</v>
      </c>
      <c r="T416" s="26" t="n">
        <v>21.39</v>
      </c>
      <c r="U416" s="11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26" t="n">
        <v>50.02</v>
      </c>
      <c r="W416" s="26" t="n">
        <v>72.8</v>
      </c>
      <c r="X416" s="26">
        <f>ROUND(('Methodology &amp; Assumptions'!$B$5*V416) + ('Methodology &amp; Assumptions'!$B$6*W416), 2)</f>
        <v/>
      </c>
      <c r="Y416" s="28" t="n">
        <v>8.300000000000001</v>
      </c>
      <c r="Z416" s="11" t="inlineStr">
        <is>
          <t>Priority Tier 2 (Balanced Opportunity)</t>
        </is>
      </c>
    </row>
    <row r="417">
      <c r="A417" s="23" t="n">
        <v>3</v>
      </c>
      <c r="B417" s="23" t="n">
        <v>413</v>
      </c>
      <c r="C417" s="23" t="n">
        <v>2413</v>
      </c>
      <c r="D417" s="23" t="inlineStr">
        <is>
          <t>1705314001</t>
        </is>
      </c>
      <c r="E417" s="11" t="inlineStr">
        <is>
          <t>MIMAROPA Region</t>
        </is>
      </c>
      <c r="F417" s="11" t="inlineStr">
        <is>
          <t>Palawan</t>
        </is>
      </c>
      <c r="G417" s="11" t="inlineStr">
        <is>
          <t>Magsaysay</t>
        </is>
      </c>
      <c r="H417" s="11" t="inlineStr">
        <is>
          <t>Alcoba</t>
        </is>
      </c>
      <c r="I417" s="24" t="n">
        <v>11.011476</v>
      </c>
      <c r="J417" s="24" t="n">
        <v>120.821268</v>
      </c>
      <c r="K417" s="23" t="inlineStr">
        <is>
          <t>R</t>
        </is>
      </c>
      <c r="L417" s="25" t="n">
        <v>811</v>
      </c>
      <c r="M417" s="26" t="n">
        <v>3.9</v>
      </c>
      <c r="N417" s="25">
        <f>ROUND(L417/M417, 0)</f>
        <v/>
      </c>
      <c r="O417" s="25">
        <f>ROUND(N417*'Methodology &amp; Assumptions'!$B$7, 0)</f>
        <v/>
      </c>
      <c r="P417" s="23" t="inlineStr">
        <is>
          <t>Single Carrier (Band n50, 100MHz TDD)</t>
        </is>
      </c>
      <c r="Q417" s="27">
        <f>ROUNDUP(O417/'Methodology &amp; Assumptions'!$B$8, 0)</f>
        <v/>
      </c>
      <c r="R417" s="27" t="n">
        <v>1</v>
      </c>
      <c r="S417" s="26" t="n">
        <v>125.05</v>
      </c>
      <c r="T417" s="26" t="n">
        <v>125.01</v>
      </c>
      <c r="U417" s="11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26" t="n">
        <v>42.59</v>
      </c>
      <c r="W417" s="26" t="n">
        <v>80.23999999999999</v>
      </c>
      <c r="X417" s="26">
        <f>ROUND(('Methodology &amp; Assumptions'!$B$5*V417) + ('Methodology &amp; Assumptions'!$B$6*W417), 2)</f>
        <v/>
      </c>
      <c r="Y417" s="28" t="n">
        <v>15</v>
      </c>
      <c r="Z417" s="11" t="inlineStr">
        <is>
          <t>Priority Tier 2 (Balanced Opportunity)</t>
        </is>
      </c>
    </row>
    <row r="418">
      <c r="A418" s="23" t="n">
        <v>3</v>
      </c>
      <c r="B418" s="23" t="n">
        <v>414</v>
      </c>
      <c r="C418" s="23" t="n">
        <v>2414</v>
      </c>
      <c r="D418" s="23" t="inlineStr">
        <is>
          <t>0301408009</t>
        </is>
      </c>
      <c r="E418" s="11" t="inlineStr">
        <is>
          <t>Region III (Central Luzon)</t>
        </is>
      </c>
      <c r="F418" s="11" t="inlineStr">
        <is>
          <t>Bulacan</t>
        </is>
      </c>
      <c r="G418" s="11" t="inlineStr">
        <is>
          <t>Guiguinto</t>
        </is>
      </c>
      <c r="H418" s="11" t="inlineStr">
        <is>
          <t>Santa Cruz</t>
        </is>
      </c>
      <c r="I418" s="24" t="n">
        <v>14.84247</v>
      </c>
      <c r="J418" s="24" t="n">
        <v>120.87051</v>
      </c>
      <c r="K418" s="23" t="inlineStr">
        <is>
          <t>U</t>
        </is>
      </c>
      <c r="L418" s="25" t="n">
        <v>12270</v>
      </c>
      <c r="M418" s="26" t="n">
        <v>3.5</v>
      </c>
      <c r="N418" s="25">
        <f>ROUND(L418/M418, 0)</f>
        <v/>
      </c>
      <c r="O418" s="25">
        <f>ROUND(N418*'Methodology &amp; Assumptions'!$B$7, 0)</f>
        <v/>
      </c>
      <c r="P418" s="23" t="inlineStr">
        <is>
          <t>Single Carrier (Band n50, 100MHz TDD)</t>
        </is>
      </c>
      <c r="Q418" s="27">
        <f>ROUNDUP(O418/'Methodology &amp; Assumptions'!$B$8, 0)</f>
        <v/>
      </c>
      <c r="R418" s="27" t="n">
        <v>1</v>
      </c>
      <c r="S418" s="26" t="n">
        <v>1.53</v>
      </c>
      <c r="T418" s="26" t="n">
        <v>0.97</v>
      </c>
      <c r="U418" s="11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26" t="n">
        <v>75.84999999999999</v>
      </c>
      <c r="W418" s="26" t="n">
        <v>46.95</v>
      </c>
      <c r="X418" s="26">
        <f>ROUND(('Methodology &amp; Assumptions'!$B$5*V418) + ('Methodology &amp; Assumptions'!$B$6*W418), 2)</f>
        <v/>
      </c>
      <c r="Y418" s="28" t="n">
        <v>8.300000000000001</v>
      </c>
      <c r="Z418" s="11" t="inlineStr">
        <is>
          <t>Priority Tier 2 (Balanced Opportunity)</t>
        </is>
      </c>
    </row>
    <row r="419">
      <c r="A419" s="23" t="n">
        <v>3</v>
      </c>
      <c r="B419" s="23" t="n">
        <v>415</v>
      </c>
      <c r="C419" s="23" t="n">
        <v>2415</v>
      </c>
      <c r="D419" s="23" t="inlineStr">
        <is>
          <t>0301410041</t>
        </is>
      </c>
      <c r="E419" s="11" t="inlineStr">
        <is>
          <t>Region III (Central Luzon)</t>
        </is>
      </c>
      <c r="F419" s="11" t="inlineStr">
        <is>
          <t>Bulacan</t>
        </is>
      </c>
      <c r="G419" s="11" t="inlineStr">
        <is>
          <t>City of Malolos</t>
        </is>
      </c>
      <c r="H419" s="11" t="inlineStr">
        <is>
          <t>San Agustin</t>
        </is>
      </c>
      <c r="I419" s="24" t="n">
        <v>14.847929</v>
      </c>
      <c r="J419" s="24" t="n">
        <v>120.810779</v>
      </c>
      <c r="K419" s="23" t="inlineStr">
        <is>
          <t>U</t>
        </is>
      </c>
      <c r="L419" s="25" t="n">
        <v>2033</v>
      </c>
      <c r="M419" s="26" t="n">
        <v>3.5</v>
      </c>
      <c r="N419" s="25">
        <f>ROUND(L419/M419, 0)</f>
        <v/>
      </c>
      <c r="O419" s="25">
        <f>ROUND(N419*'Methodology &amp; Assumptions'!$B$7, 0)</f>
        <v/>
      </c>
      <c r="P419" s="23" t="inlineStr">
        <is>
          <t>Single Carrier (Band n50, 100MHz TDD)</t>
        </is>
      </c>
      <c r="Q419" s="27">
        <f>ROUNDUP(O419/'Methodology &amp; Assumptions'!$B$8, 0)</f>
        <v/>
      </c>
      <c r="R419" s="27" t="n">
        <v>1</v>
      </c>
      <c r="S419" s="26" t="n">
        <v>0.87</v>
      </c>
      <c r="T419" s="26" t="n">
        <v>0.67</v>
      </c>
      <c r="U419" s="11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26" t="n">
        <v>70.58</v>
      </c>
      <c r="W419" s="26" t="n">
        <v>52.22</v>
      </c>
      <c r="X419" s="26">
        <f>ROUND(('Methodology &amp; Assumptions'!$B$5*V419) + ('Methodology &amp; Assumptions'!$B$6*W419), 2)</f>
        <v/>
      </c>
      <c r="Y419" s="28" t="n">
        <v>8.300000000000001</v>
      </c>
      <c r="Z419" s="11" t="inlineStr">
        <is>
          <t>Priority Tier 2 (Balanced Opportunity)</t>
        </is>
      </c>
    </row>
    <row r="420">
      <c r="A420" s="23" t="n">
        <v>3</v>
      </c>
      <c r="B420" s="23" t="n">
        <v>416</v>
      </c>
      <c r="C420" s="23" t="n">
        <v>2416</v>
      </c>
      <c r="D420" s="23" t="inlineStr">
        <is>
          <t>0304928003</t>
        </is>
      </c>
      <c r="E420" s="11" t="inlineStr">
        <is>
          <t>Region III (Central Luzon)</t>
        </is>
      </c>
      <c r="F420" s="11" t="inlineStr">
        <is>
          <t>Nueva Ecija</t>
        </is>
      </c>
      <c r="G420" s="11" t="inlineStr">
        <is>
          <t>Santa Rosa</t>
        </is>
      </c>
      <c r="H420" s="11" t="inlineStr">
        <is>
          <t>Liwayway</t>
        </is>
      </c>
      <c r="I420" s="24" t="n">
        <v>15.437572</v>
      </c>
      <c r="J420" s="24" t="n">
        <v>120.055036</v>
      </c>
      <c r="K420" s="23" t="inlineStr">
        <is>
          <t>R</t>
        </is>
      </c>
      <c r="L420" s="25" t="n">
        <v>4402</v>
      </c>
      <c r="M420" s="26" t="n">
        <v>3.5</v>
      </c>
      <c r="N420" s="25">
        <f>ROUND(L420/M420, 0)</f>
        <v/>
      </c>
      <c r="O420" s="25">
        <f>ROUND(N420*'Methodology &amp; Assumptions'!$B$7, 0)</f>
        <v/>
      </c>
      <c r="P420" s="23" t="inlineStr">
        <is>
          <t>Single Carrier (Band n50, 100MHz TDD)</t>
        </is>
      </c>
      <c r="Q420" s="27">
        <f>ROUNDUP(O420/'Methodology &amp; Assumptions'!$B$8, 0)</f>
        <v/>
      </c>
      <c r="R420" s="27" t="n">
        <v>1</v>
      </c>
      <c r="S420" s="26" t="n">
        <v>14.82</v>
      </c>
      <c r="T420" s="26" t="n">
        <v>9.93</v>
      </c>
      <c r="U420" s="11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26" t="n">
        <v>60.62</v>
      </c>
      <c r="W420" s="26" t="n">
        <v>62.17</v>
      </c>
      <c r="X420" s="26">
        <f>ROUND(('Methodology &amp; Assumptions'!$B$5*V420) + ('Methodology &amp; Assumptions'!$B$6*W420), 2)</f>
        <v/>
      </c>
      <c r="Y420" s="28" t="n">
        <v>8.300000000000001</v>
      </c>
      <c r="Z420" s="11" t="inlineStr">
        <is>
          <t>Priority Tier 2 (Balanced Opportunity)</t>
        </is>
      </c>
    </row>
    <row r="421">
      <c r="A421" s="23" t="n">
        <v>3</v>
      </c>
      <c r="B421" s="23" t="n">
        <v>417</v>
      </c>
      <c r="C421" s="23" t="n">
        <v>2417</v>
      </c>
      <c r="D421" s="23" t="inlineStr">
        <is>
          <t>1380605016</t>
        </is>
      </c>
      <c r="E421" s="11" t="inlineStr">
        <is>
          <t>National Capital Region (NCR)</t>
        </is>
      </c>
      <c r="F421" s="11" t="inlineStr">
        <is>
          <t>First District (Not a Province)</t>
        </is>
      </c>
      <c r="G421" s="11" t="inlineStr">
        <is>
          <t>City of Manila</t>
        </is>
      </c>
      <c r="H421" s="11" t="inlineStr">
        <is>
          <t>Barangay 314</t>
        </is>
      </c>
      <c r="I421" s="24" t="n">
        <v>14.606</v>
      </c>
      <c r="J421" s="24" t="n">
        <v>120.980354</v>
      </c>
      <c r="K421" s="23" t="inlineStr">
        <is>
          <t>U</t>
        </is>
      </c>
      <c r="L421" s="25" t="n">
        <v>1630</v>
      </c>
      <c r="M421" s="26" t="n">
        <v>4.14</v>
      </c>
      <c r="N421" s="25">
        <f>ROUND(L421/M421, 0)</f>
        <v/>
      </c>
      <c r="O421" s="25">
        <f>ROUND(N421*'Methodology &amp; Assumptions'!$B$7, 0)</f>
        <v/>
      </c>
      <c r="P421" s="23" t="inlineStr">
        <is>
          <t>Single Carrier (Band n50, 100MHz TDD)</t>
        </is>
      </c>
      <c r="Q421" s="27">
        <f>ROUNDUP(O421/'Methodology &amp; Assumptions'!$B$8, 0)</f>
        <v/>
      </c>
      <c r="R421" s="27" t="n">
        <v>1</v>
      </c>
      <c r="S421" s="26" t="n">
        <v>1.15</v>
      </c>
      <c r="T421" s="26" t="n">
        <v>0.22</v>
      </c>
      <c r="U421" s="11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26" t="n">
        <v>52.53</v>
      </c>
      <c r="W421" s="26" t="n">
        <v>70.27</v>
      </c>
      <c r="X421" s="26">
        <f>ROUND(('Methodology &amp; Assumptions'!$B$5*V421) + ('Methodology &amp; Assumptions'!$B$6*W421), 2)</f>
        <v/>
      </c>
      <c r="Y421" s="28" t="n">
        <v>10.9</v>
      </c>
      <c r="Z421" s="11" t="inlineStr">
        <is>
          <t>Priority Tier 2 (Balanced Opportunity)</t>
        </is>
      </c>
    </row>
    <row r="422">
      <c r="A422" s="23" t="n">
        <v>3</v>
      </c>
      <c r="B422" s="23" t="n">
        <v>418</v>
      </c>
      <c r="C422" s="23" t="n">
        <v>2418</v>
      </c>
      <c r="D422" s="23" t="inlineStr">
        <is>
          <t>1380611037</t>
        </is>
      </c>
      <c r="E422" s="11" t="inlineStr">
        <is>
          <t>National Capital Region (NCR)</t>
        </is>
      </c>
      <c r="F422" s="11" t="inlineStr">
        <is>
          <t>First District (Not a Province)</t>
        </is>
      </c>
      <c r="G422" s="11" t="inlineStr">
        <is>
          <t>City of Manila</t>
        </is>
      </c>
      <c r="H422" s="11" t="inlineStr">
        <is>
          <t>Barangay 822</t>
        </is>
      </c>
      <c r="I422" s="24" t="n">
        <v>14.584519</v>
      </c>
      <c r="J422" s="24" t="n">
        <v>120.999512</v>
      </c>
      <c r="K422" s="23" t="inlineStr">
        <is>
          <t>U</t>
        </is>
      </c>
      <c r="L422" s="25" t="n">
        <v>1087</v>
      </c>
      <c r="M422" s="26" t="n">
        <v>3.12</v>
      </c>
      <c r="N422" s="25">
        <f>ROUND(L422/M422, 0)</f>
        <v/>
      </c>
      <c r="O422" s="25">
        <f>ROUND(N422*'Methodology &amp; Assumptions'!$B$7, 0)</f>
        <v/>
      </c>
      <c r="P422" s="23" t="inlineStr">
        <is>
          <t>Single Carrier (Band n50, 100MHz TDD)</t>
        </is>
      </c>
      <c r="Q422" s="27">
        <f>ROUNDUP(O422/'Methodology &amp; Assumptions'!$B$8, 0)</f>
        <v/>
      </c>
      <c r="R422" s="27" t="n">
        <v>1</v>
      </c>
      <c r="S422" s="26" t="n">
        <v>0.35</v>
      </c>
      <c r="T422" s="26" t="n">
        <v>0.3</v>
      </c>
      <c r="U422" s="11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26" t="n">
        <v>52.23</v>
      </c>
      <c r="W422" s="26" t="n">
        <v>70.56</v>
      </c>
      <c r="X422" s="26">
        <f>ROUND(('Methodology &amp; Assumptions'!$B$5*V422) + ('Methodology &amp; Assumptions'!$B$6*W422), 2)</f>
        <v/>
      </c>
      <c r="Y422" s="28" t="n">
        <v>10.9</v>
      </c>
      <c r="Z422" s="11" t="inlineStr">
        <is>
          <t>Priority Tier 2 (Balanced Opportunity)</t>
        </is>
      </c>
    </row>
    <row r="423">
      <c r="A423" s="23" t="n">
        <v>3</v>
      </c>
      <c r="B423" s="23" t="n">
        <v>419</v>
      </c>
      <c r="C423" s="23" t="n">
        <v>2419</v>
      </c>
      <c r="D423" s="23" t="inlineStr">
        <is>
          <t>0403420003</t>
        </is>
      </c>
      <c r="E423" s="11" t="inlineStr">
        <is>
          <t>Region IV-A (CALABARZON)</t>
        </is>
      </c>
      <c r="F423" s="11" t="inlineStr">
        <is>
          <t>Laguna</t>
        </is>
      </c>
      <c r="G423" s="11" t="inlineStr">
        <is>
          <t>Pakil</t>
        </is>
      </c>
      <c r="H423" s="11" t="inlineStr">
        <is>
          <t>Burgos</t>
        </is>
      </c>
      <c r="I423" s="24" t="n">
        <v>14.373286</v>
      </c>
      <c r="J423" s="24" t="n">
        <v>121.47806</v>
      </c>
      <c r="K423" s="23" t="inlineStr">
        <is>
          <t>R</t>
        </is>
      </c>
      <c r="L423" s="25" t="n">
        <v>2415</v>
      </c>
      <c r="M423" s="26" t="n">
        <v>3.3</v>
      </c>
      <c r="N423" s="25">
        <f>ROUND(L423/M423, 0)</f>
        <v/>
      </c>
      <c r="O423" s="25">
        <f>ROUND(N423*'Methodology &amp; Assumptions'!$B$7, 0)</f>
        <v/>
      </c>
      <c r="P423" s="23" t="inlineStr">
        <is>
          <t>Single Carrier (Band n50, 100MHz TDD)</t>
        </is>
      </c>
      <c r="Q423" s="27">
        <f>ROUNDUP(O423/'Methodology &amp; Assumptions'!$B$8, 0)</f>
        <v/>
      </c>
      <c r="R423" s="27" t="n">
        <v>1</v>
      </c>
      <c r="S423" s="26" t="n">
        <v>0.65</v>
      </c>
      <c r="T423" s="26" t="n">
        <v>0.02</v>
      </c>
      <c r="U423" s="11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26" t="n">
        <v>82.79000000000001</v>
      </c>
      <c r="W423" s="26" t="n">
        <v>39.99</v>
      </c>
      <c r="X423" s="26">
        <f>ROUND(('Methodology &amp; Assumptions'!$B$5*V423) + ('Methodology &amp; Assumptions'!$B$6*W423), 2)</f>
        <v/>
      </c>
      <c r="Y423" s="28" t="n">
        <v>7.2</v>
      </c>
      <c r="Z423" s="11" t="inlineStr">
        <is>
          <t>Priority Tier 2 (Balanced Opportunity)</t>
        </is>
      </c>
    </row>
    <row r="424">
      <c r="A424" s="23" t="n">
        <v>3</v>
      </c>
      <c r="B424" s="23" t="n">
        <v>420</v>
      </c>
      <c r="C424" s="23" t="n">
        <v>2420</v>
      </c>
      <c r="D424" s="23" t="inlineStr">
        <is>
          <t>0405804020</t>
        </is>
      </c>
      <c r="E424" s="11" t="inlineStr">
        <is>
          <t>Region IV-A (CALABARZON)</t>
        </is>
      </c>
      <c r="F424" s="11" t="inlineStr">
        <is>
          <t>Rizal</t>
        </is>
      </c>
      <c r="G424" s="11" t="inlineStr">
        <is>
          <t>Binangonan</t>
        </is>
      </c>
      <c r="H424" s="11" t="inlineStr">
        <is>
          <t>Libis</t>
        </is>
      </c>
      <c r="I424" s="24" t="n">
        <v>14.463145</v>
      </c>
      <c r="J424" s="24" t="n">
        <v>121.190533</v>
      </c>
      <c r="K424" s="23" t="inlineStr">
        <is>
          <t>U</t>
        </is>
      </c>
      <c r="L424" s="25" t="n">
        <v>5653</v>
      </c>
      <c r="M424" s="26" t="n">
        <v>3.6</v>
      </c>
      <c r="N424" s="25">
        <f>ROUND(L424/M424, 0)</f>
        <v/>
      </c>
      <c r="O424" s="25">
        <f>ROUND(N424*'Methodology &amp; Assumptions'!$B$7, 0)</f>
        <v/>
      </c>
      <c r="P424" s="23" t="inlineStr">
        <is>
          <t>Single Carrier (Band n50, 100MHz TDD)</t>
        </is>
      </c>
      <c r="Q424" s="27">
        <f>ROUNDUP(O424/'Methodology &amp; Assumptions'!$B$8, 0)</f>
        <v/>
      </c>
      <c r="R424" s="27" t="n">
        <v>1</v>
      </c>
      <c r="S424" s="26" t="n">
        <v>1.74</v>
      </c>
      <c r="T424" s="26" t="n">
        <v>0.46</v>
      </c>
      <c r="U424" s="11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26" t="n">
        <v>74.93000000000001</v>
      </c>
      <c r="W424" s="26" t="n">
        <v>47.86</v>
      </c>
      <c r="X424" s="26">
        <f>ROUND(('Methodology &amp; Assumptions'!$B$5*V424) + ('Methodology &amp; Assumptions'!$B$6*W424), 2)</f>
        <v/>
      </c>
      <c r="Y424" s="28" t="n">
        <v>7.2</v>
      </c>
      <c r="Z424" s="11" t="inlineStr">
        <is>
          <t>Priority Tier 2 (Balanced Opportunity)</t>
        </is>
      </c>
    </row>
    <row r="425">
      <c r="A425" s="23" t="n">
        <v>3</v>
      </c>
      <c r="B425" s="23" t="n">
        <v>421</v>
      </c>
      <c r="C425" s="23" t="n">
        <v>2421</v>
      </c>
      <c r="D425" s="23" t="inlineStr">
        <is>
          <t>1381300025</t>
        </is>
      </c>
      <c r="E425" s="11" t="inlineStr">
        <is>
          <t>National Capital Region (NCR)</t>
        </is>
      </c>
      <c r="F425" s="11" t="inlineStr">
        <is>
          <t>Second District (Not a Province)</t>
        </is>
      </c>
      <c r="G425" s="11" t="inlineStr">
        <is>
          <t>Quezon City</t>
        </is>
      </c>
      <c r="H425" s="11" t="inlineStr">
        <is>
          <t>Culiat</t>
        </is>
      </c>
      <c r="I425" s="24" t="n">
        <v>14.66803</v>
      </c>
      <c r="J425" s="24" t="n">
        <v>121.0567</v>
      </c>
      <c r="K425" s="23" t="inlineStr">
        <is>
          <t>U</t>
        </is>
      </c>
      <c r="L425" s="25" t="n">
        <v>69377</v>
      </c>
      <c r="M425" s="26" t="n">
        <v>3.43</v>
      </c>
      <c r="N425" s="25">
        <f>ROUND(L425/M425, 0)</f>
        <v/>
      </c>
      <c r="O425" s="25">
        <f>ROUND(N425*'Methodology &amp; Assumptions'!$B$7, 0)</f>
        <v/>
      </c>
      <c r="P425" s="23" t="inlineStr">
        <is>
          <t>Single Carrier (Band n50, 100MHz TDD)</t>
        </is>
      </c>
      <c r="Q425" s="27">
        <f>ROUNDUP(O425/'Methodology &amp; Assumptions'!$B$8, 0)</f>
        <v/>
      </c>
      <c r="R425" s="27" t="n">
        <v>1</v>
      </c>
      <c r="S425" s="26" t="n">
        <v>0.86</v>
      </c>
      <c r="T425" s="26" t="n">
        <v>0.09</v>
      </c>
      <c r="U425" s="11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26" t="n">
        <v>65.39</v>
      </c>
      <c r="W425" s="26" t="n">
        <v>57.39</v>
      </c>
      <c r="X425" s="26">
        <f>ROUND(('Methodology &amp; Assumptions'!$B$5*V425) + ('Methodology &amp; Assumptions'!$B$6*W425), 2)</f>
        <v/>
      </c>
      <c r="Y425" s="28" t="n">
        <v>10.9</v>
      </c>
      <c r="Z425" s="11" t="inlineStr">
        <is>
          <t>Priority Tier 2 (Balanced Opportunity)</t>
        </is>
      </c>
    </row>
    <row r="426">
      <c r="A426" s="23" t="n">
        <v>3</v>
      </c>
      <c r="B426" s="23" t="n">
        <v>422</v>
      </c>
      <c r="C426" s="23" t="n">
        <v>2422</v>
      </c>
      <c r="D426" s="23" t="inlineStr">
        <is>
          <t>1204712003</t>
        </is>
      </c>
      <c r="E426" s="11" t="inlineStr">
        <is>
          <t>Region XII (SOCCSKSARGEN)</t>
        </is>
      </c>
      <c r="F426" s="11" t="inlineStr">
        <is>
          <t>Cotabato</t>
        </is>
      </c>
      <c r="G426" s="11" t="inlineStr">
        <is>
          <t>Pikit</t>
        </is>
      </c>
      <c r="H426" s="11" t="inlineStr">
        <is>
          <t>Balabak</t>
        </is>
      </c>
      <c r="I426" s="24" t="n">
        <v>7.122966</v>
      </c>
      <c r="J426" s="24" t="n">
        <v>124.720215</v>
      </c>
      <c r="K426" s="23" t="inlineStr">
        <is>
          <t>R</t>
        </is>
      </c>
      <c r="L426" s="25" t="n">
        <v>3628</v>
      </c>
      <c r="M426" s="26" t="n">
        <v>3.8</v>
      </c>
      <c r="N426" s="25">
        <f>ROUND(L426/M426, 0)</f>
        <v/>
      </c>
      <c r="O426" s="25">
        <f>ROUND(N426*'Methodology &amp; Assumptions'!$B$7, 0)</f>
        <v/>
      </c>
      <c r="P426" s="23" t="inlineStr">
        <is>
          <t>Single Carrier (Band n50, 100MHz TDD)</t>
        </is>
      </c>
      <c r="Q426" s="27">
        <f>ROUNDUP(O426/'Methodology &amp; Assumptions'!$B$8, 0)</f>
        <v/>
      </c>
      <c r="R426" s="27" t="n">
        <v>1</v>
      </c>
      <c r="S426" s="26" t="n">
        <v>12.24</v>
      </c>
      <c r="T426" s="26" t="n">
        <v>9.300000000000001</v>
      </c>
      <c r="U426" s="11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26" t="n">
        <v>64.14</v>
      </c>
      <c r="W426" s="26" t="n">
        <v>58.65</v>
      </c>
      <c r="X426" s="26">
        <f>ROUND(('Methodology &amp; Assumptions'!$B$5*V426) + ('Methodology &amp; Assumptions'!$B$6*W426), 2)</f>
        <v/>
      </c>
      <c r="Y426" s="28" t="n">
        <v>17.4</v>
      </c>
      <c r="Z426" s="11" t="inlineStr">
        <is>
          <t>Priority Tier 2 (Balanced Opportunity)</t>
        </is>
      </c>
    </row>
    <row r="427">
      <c r="A427" s="23" t="n">
        <v>3</v>
      </c>
      <c r="B427" s="23" t="n">
        <v>423</v>
      </c>
      <c r="C427" s="23" t="n">
        <v>2423</v>
      </c>
      <c r="D427" s="23" t="inlineStr">
        <is>
          <t>1705101010</t>
        </is>
      </c>
      <c r="E427" s="11" t="inlineStr">
        <is>
          <t>MIMAROPA Region</t>
        </is>
      </c>
      <c r="F427" s="11" t="inlineStr">
        <is>
          <t>Occidental Mindoro</t>
        </is>
      </c>
      <c r="G427" s="11" t="inlineStr">
        <is>
          <t>Abra De Ilog</t>
        </is>
      </c>
      <c r="H427" s="11" t="inlineStr">
        <is>
          <t>Santa Maria</t>
        </is>
      </c>
      <c r="I427" s="24" t="n">
        <v>13.489972</v>
      </c>
      <c r="J427" s="24" t="n">
        <v>120.612653</v>
      </c>
      <c r="K427" s="23" t="inlineStr">
        <is>
          <t>R</t>
        </is>
      </c>
      <c r="L427" s="25" t="n">
        <v>2156</v>
      </c>
      <c r="M427" s="26" t="n">
        <v>3.9</v>
      </c>
      <c r="N427" s="25">
        <f>ROUND(L427/M427, 0)</f>
        <v/>
      </c>
      <c r="O427" s="25">
        <f>ROUND(N427*'Methodology &amp; Assumptions'!$B$7, 0)</f>
        <v/>
      </c>
      <c r="P427" s="23" t="inlineStr">
        <is>
          <t>Single Carrier (Band n50, 100MHz TDD)</t>
        </is>
      </c>
      <c r="Q427" s="27">
        <f>ROUNDUP(O427/'Methodology &amp; Assumptions'!$B$8, 0)</f>
        <v/>
      </c>
      <c r="R427" s="27" t="n">
        <v>1</v>
      </c>
      <c r="S427" s="26" t="n">
        <v>31.75</v>
      </c>
      <c r="T427" s="26" t="n">
        <v>30.22</v>
      </c>
      <c r="U427" s="11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26" t="n">
        <v>50.91</v>
      </c>
      <c r="W427" s="26" t="n">
        <v>71.86</v>
      </c>
      <c r="X427" s="26">
        <f>ROUND(('Methodology &amp; Assumptions'!$B$5*V427) + ('Methodology &amp; Assumptions'!$B$6*W427), 2)</f>
        <v/>
      </c>
      <c r="Y427" s="28" t="n">
        <v>15</v>
      </c>
      <c r="Z427" s="11" t="inlineStr">
        <is>
          <t>Priority Tier 2 (Balanced Opportunity)</t>
        </is>
      </c>
    </row>
    <row r="428">
      <c r="A428" s="23" t="n">
        <v>3</v>
      </c>
      <c r="B428" s="23" t="n">
        <v>424</v>
      </c>
      <c r="C428" s="23" t="n">
        <v>2424</v>
      </c>
      <c r="D428" s="23" t="inlineStr">
        <is>
          <t>0501610010</t>
        </is>
      </c>
      <c r="E428" s="11" t="inlineStr">
        <is>
          <t>Region V (Bicol Region)</t>
        </is>
      </c>
      <c r="F428" s="11" t="inlineStr">
        <is>
          <t>Camarines Norte</t>
        </is>
      </c>
      <c r="G428" s="11" t="inlineStr">
        <is>
          <t>Santa Elena</t>
        </is>
      </c>
      <c r="H428" s="11" t="inlineStr">
        <is>
          <t>Villa San Isidro</t>
        </is>
      </c>
      <c r="I428" s="24" t="n">
        <v>14.1625</v>
      </c>
      <c r="J428" s="24" t="n">
        <v>122.422</v>
      </c>
      <c r="K428" s="23" t="inlineStr">
        <is>
          <t>R</t>
        </is>
      </c>
      <c r="L428" s="25" t="n">
        <v>268</v>
      </c>
      <c r="M428" s="26" t="n">
        <v>4</v>
      </c>
      <c r="N428" s="25">
        <f>ROUND(L428/M428, 0)</f>
        <v/>
      </c>
      <c r="O428" s="25">
        <f>ROUND(N428*'Methodology &amp; Assumptions'!$B$7, 0)</f>
        <v/>
      </c>
      <c r="P428" s="23" t="inlineStr">
        <is>
          <t>Single Carrier (Band n50, 100MHz TDD)</t>
        </is>
      </c>
      <c r="Q428" s="27">
        <f>ROUNDUP(O428/'Methodology &amp; Assumptions'!$B$8, 0)</f>
        <v/>
      </c>
      <c r="R428" s="27" t="n">
        <v>1</v>
      </c>
      <c r="S428" s="26" t="n">
        <v>3.74</v>
      </c>
      <c r="T428" s="26" t="n">
        <v>3.72</v>
      </c>
      <c r="U428" s="11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26" t="n">
        <v>50.89</v>
      </c>
      <c r="W428" s="26" t="n">
        <v>71.88</v>
      </c>
      <c r="X428" s="26">
        <f>ROUND(('Methodology &amp; Assumptions'!$B$5*V428) + ('Methodology &amp; Assumptions'!$B$6*W428), 2)</f>
        <v/>
      </c>
      <c r="Y428" s="28" t="n">
        <v>23.7</v>
      </c>
      <c r="Z428" s="11" t="inlineStr">
        <is>
          <t>Priority Tier 2 (Balanced Opportunity)</t>
        </is>
      </c>
    </row>
    <row r="429">
      <c r="A429" s="23" t="n">
        <v>3</v>
      </c>
      <c r="B429" s="23" t="n">
        <v>425</v>
      </c>
      <c r="C429" s="23" t="n">
        <v>2425</v>
      </c>
      <c r="D429" s="23" t="inlineStr">
        <is>
          <t>1380601132</t>
        </is>
      </c>
      <c r="E429" s="11" t="inlineStr">
        <is>
          <t>National Capital Region (NCR)</t>
        </is>
      </c>
      <c r="F429" s="11" t="inlineStr">
        <is>
          <t>First District (Not a Province)</t>
        </is>
      </c>
      <c r="G429" s="11" t="inlineStr">
        <is>
          <t>City of Manila</t>
        </is>
      </c>
      <c r="H429" s="11" t="inlineStr">
        <is>
          <t>Barangay 132</t>
        </is>
      </c>
      <c r="I429" s="24" t="n">
        <v>14.627893</v>
      </c>
      <c r="J429" s="24" t="n">
        <v>120.966333</v>
      </c>
      <c r="K429" s="23" t="inlineStr">
        <is>
          <t>U</t>
        </is>
      </c>
      <c r="L429" s="25" t="n">
        <v>1151</v>
      </c>
      <c r="M429" s="26" t="n">
        <v>4.22</v>
      </c>
      <c r="N429" s="25">
        <f>ROUND(L429/M429, 0)</f>
        <v/>
      </c>
      <c r="O429" s="25">
        <f>ROUND(N429*'Methodology &amp; Assumptions'!$B$7, 0)</f>
        <v/>
      </c>
      <c r="P429" s="23" t="inlineStr">
        <is>
          <t>Single Carrier (Band n50, 100MHz TDD)</t>
        </is>
      </c>
      <c r="Q429" s="27">
        <f>ROUNDUP(O429/'Methodology &amp; Assumptions'!$B$8, 0)</f>
        <v/>
      </c>
      <c r="R429" s="27" t="n">
        <v>1</v>
      </c>
      <c r="S429" s="26" t="n">
        <v>0.76</v>
      </c>
      <c r="T429" s="26" t="n">
        <v>0.29</v>
      </c>
      <c r="U429" s="11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26" t="n">
        <v>49.88</v>
      </c>
      <c r="W429" s="26" t="n">
        <v>72.91</v>
      </c>
      <c r="X429" s="26">
        <f>ROUND(('Methodology &amp; Assumptions'!$B$5*V429) + ('Methodology &amp; Assumptions'!$B$6*W429), 2)</f>
        <v/>
      </c>
      <c r="Y429" s="28" t="n">
        <v>10.9</v>
      </c>
      <c r="Z429" s="11" t="inlineStr">
        <is>
          <t>Priority Tier 2 (Balanced Opportunity)</t>
        </is>
      </c>
    </row>
    <row r="430">
      <c r="A430" s="23" t="n">
        <v>3</v>
      </c>
      <c r="B430" s="23" t="n">
        <v>426</v>
      </c>
      <c r="C430" s="23" t="n">
        <v>2426</v>
      </c>
      <c r="D430" s="23" t="inlineStr">
        <is>
          <t>1380601134</t>
        </is>
      </c>
      <c r="E430" s="11" t="inlineStr">
        <is>
          <t>National Capital Region (NCR)</t>
        </is>
      </c>
      <c r="F430" s="11" t="inlineStr">
        <is>
          <t>First District (Not a Province)</t>
        </is>
      </c>
      <c r="G430" s="11" t="inlineStr">
        <is>
          <t>City of Manila</t>
        </is>
      </c>
      <c r="H430" s="11" t="inlineStr">
        <is>
          <t>Barangay 134</t>
        </is>
      </c>
      <c r="I430" s="24" t="n">
        <v>14.62915</v>
      </c>
      <c r="J430" s="24" t="n">
        <v>120.965628</v>
      </c>
      <c r="K430" s="23" t="inlineStr">
        <is>
          <t>U</t>
        </is>
      </c>
      <c r="L430" s="25" t="n">
        <v>1104</v>
      </c>
      <c r="M430" s="26" t="n">
        <v>4.17</v>
      </c>
      <c r="N430" s="25">
        <f>ROUND(L430/M430, 0)</f>
        <v/>
      </c>
      <c r="O430" s="25">
        <f>ROUND(N430*'Methodology &amp; Assumptions'!$B$7, 0)</f>
        <v/>
      </c>
      <c r="P430" s="23" t="inlineStr">
        <is>
          <t>Single Carrier (Band n50, 100MHz TDD)</t>
        </is>
      </c>
      <c r="Q430" s="27">
        <f>ROUNDUP(O430/'Methodology &amp; Assumptions'!$B$8, 0)</f>
        <v/>
      </c>
      <c r="R430" s="27" t="n">
        <v>1</v>
      </c>
      <c r="S430" s="26" t="n">
        <v>0.87</v>
      </c>
      <c r="T430" s="26" t="n">
        <v>0.33</v>
      </c>
      <c r="U430" s="11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26" t="n">
        <v>49.57</v>
      </c>
      <c r="W430" s="26" t="n">
        <v>73.20999999999999</v>
      </c>
      <c r="X430" s="26">
        <f>ROUND(('Methodology &amp; Assumptions'!$B$5*V430) + ('Methodology &amp; Assumptions'!$B$6*W430), 2)</f>
        <v/>
      </c>
      <c r="Y430" s="28" t="n">
        <v>10.9</v>
      </c>
      <c r="Z430" s="11" t="inlineStr">
        <is>
          <t>Priority Tier 2 (Balanced Opportunity)</t>
        </is>
      </c>
    </row>
    <row r="431">
      <c r="A431" s="23" t="n">
        <v>3</v>
      </c>
      <c r="B431" s="23" t="n">
        <v>427</v>
      </c>
      <c r="C431" s="23" t="n">
        <v>2427</v>
      </c>
      <c r="D431" s="23" t="inlineStr">
        <is>
          <t>1908702015</t>
        </is>
      </c>
      <c r="E431" s="11" t="inlineStr">
        <is>
          <t>Bangsamoro Autonomous Region In Muslim Mindanao (BARMM)</t>
        </is>
      </c>
      <c r="F431" s="11" t="inlineStr">
        <is>
          <t>Maguindanao del Norte</t>
        </is>
      </c>
      <c r="G431" s="11" t="inlineStr">
        <is>
          <t>Buldon</t>
        </is>
      </c>
      <c r="H431" s="11" t="inlineStr">
        <is>
          <t>Rumidas</t>
        </is>
      </c>
      <c r="I431" s="24" t="n">
        <v>7.52231</v>
      </c>
      <c r="J431" s="24" t="n">
        <v>124.357655</v>
      </c>
      <c r="K431" s="23" t="inlineStr">
        <is>
          <t>R</t>
        </is>
      </c>
      <c r="L431" s="25" t="n">
        <v>4409</v>
      </c>
      <c r="M431" s="26" t="n">
        <v>4.3</v>
      </c>
      <c r="N431" s="25">
        <f>ROUND(L431/M431, 0)</f>
        <v/>
      </c>
      <c r="O431" s="25">
        <f>ROUND(N431*'Methodology &amp; Assumptions'!$B$7, 0)</f>
        <v/>
      </c>
      <c r="P431" s="23" t="inlineStr">
        <is>
          <t>Single Carrier (Band n50, 100MHz TDD)</t>
        </is>
      </c>
      <c r="Q431" s="27">
        <f>ROUNDUP(O431/'Methodology &amp; Assumptions'!$B$8, 0)</f>
        <v/>
      </c>
      <c r="R431" s="27" t="n">
        <v>1</v>
      </c>
      <c r="S431" s="26" t="n">
        <v>55</v>
      </c>
      <c r="T431" s="26" t="n">
        <v>50.32</v>
      </c>
      <c r="U431" s="11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26" t="n">
        <v>59.06</v>
      </c>
      <c r="W431" s="26" t="n">
        <v>63.71</v>
      </c>
      <c r="X431" s="26">
        <f>ROUND(('Methodology &amp; Assumptions'!$B$5*V431) + ('Methodology &amp; Assumptions'!$B$6*W431), 2)</f>
        <v/>
      </c>
      <c r="Y431" s="28" t="n">
        <v>11</v>
      </c>
      <c r="Z431" s="11" t="inlineStr">
        <is>
          <t>Priority Tier 2 (Balanced Opportunity)</t>
        </is>
      </c>
    </row>
    <row r="432">
      <c r="A432" s="23" t="n">
        <v>3</v>
      </c>
      <c r="B432" s="23" t="n">
        <v>428</v>
      </c>
      <c r="C432" s="23" t="n">
        <v>2428</v>
      </c>
      <c r="D432" s="23" t="inlineStr">
        <is>
          <t>0306902001</t>
        </is>
      </c>
      <c r="E432" s="11" t="inlineStr">
        <is>
          <t>Region III (Central Luzon)</t>
        </is>
      </c>
      <c r="F432" s="11" t="inlineStr">
        <is>
          <t>Tarlac</t>
        </is>
      </c>
      <c r="G432" s="11" t="inlineStr">
        <is>
          <t>Bamban</t>
        </is>
      </c>
      <c r="H432" s="11" t="inlineStr">
        <is>
          <t>Anupul</t>
        </is>
      </c>
      <c r="I432" s="24" t="n">
        <v>15.283383</v>
      </c>
      <c r="J432" s="24" t="n">
        <v>120.567748</v>
      </c>
      <c r="K432" s="23" t="inlineStr">
        <is>
          <t>U</t>
        </is>
      </c>
      <c r="L432" s="25" t="n">
        <v>22732</v>
      </c>
      <c r="M432" s="26" t="n">
        <v>3.9</v>
      </c>
      <c r="N432" s="25">
        <f>ROUND(L432/M432, 0)</f>
        <v/>
      </c>
      <c r="O432" s="25">
        <f>ROUND(N432*'Methodology &amp; Assumptions'!$B$7, 0)</f>
        <v/>
      </c>
      <c r="P432" s="23" t="inlineStr">
        <is>
          <t>Single Carrier (Band n50, 100MHz TDD)</t>
        </is>
      </c>
      <c r="Q432" s="27">
        <f>ROUNDUP(O432/'Methodology &amp; Assumptions'!$B$8, 0)</f>
        <v/>
      </c>
      <c r="R432" s="27" t="n">
        <v>1</v>
      </c>
      <c r="S432" s="26" t="n">
        <v>0.09</v>
      </c>
      <c r="T432" s="26" t="n">
        <v>0.04</v>
      </c>
      <c r="U432" s="11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26" t="n">
        <v>78.43000000000001</v>
      </c>
      <c r="W432" s="26" t="n">
        <v>44.31</v>
      </c>
      <c r="X432" s="26">
        <f>ROUND(('Methodology &amp; Assumptions'!$B$5*V432) + ('Methodology &amp; Assumptions'!$B$6*W432), 2)</f>
        <v/>
      </c>
      <c r="Y432" s="28" t="n">
        <v>8.300000000000001</v>
      </c>
      <c r="Z432" s="11" t="inlineStr">
        <is>
          <t>Priority Tier 2 (Balanced Opportunity)</t>
        </is>
      </c>
    </row>
    <row r="433">
      <c r="A433" s="23" t="n">
        <v>3</v>
      </c>
      <c r="B433" s="23" t="n">
        <v>429</v>
      </c>
      <c r="C433" s="23" t="n">
        <v>2429</v>
      </c>
      <c r="D433" s="23" t="inlineStr">
        <is>
          <t>1381300121</t>
        </is>
      </c>
      <c r="E433" s="11" t="inlineStr">
        <is>
          <t>National Capital Region (NCR)</t>
        </is>
      </c>
      <c r="F433" s="11" t="inlineStr">
        <is>
          <t>Second District (Not a Province)</t>
        </is>
      </c>
      <c r="G433" s="11" t="inlineStr">
        <is>
          <t>Quezon City</t>
        </is>
      </c>
      <c r="H433" s="11" t="inlineStr">
        <is>
          <t>Tatalon</t>
        </is>
      </c>
      <c r="I433" s="24" t="n">
        <v>14.623078</v>
      </c>
      <c r="J433" s="24" t="n">
        <v>121.013392</v>
      </c>
      <c r="K433" s="23" t="inlineStr">
        <is>
          <t>U</t>
        </is>
      </c>
      <c r="L433" s="25" t="n">
        <v>58286</v>
      </c>
      <c r="M433" s="26" t="n">
        <v>3.62</v>
      </c>
      <c r="N433" s="25">
        <f>ROUND(L433/M433, 0)</f>
        <v/>
      </c>
      <c r="O433" s="25">
        <f>ROUND(N433*'Methodology &amp; Assumptions'!$B$7, 0)</f>
        <v/>
      </c>
      <c r="P433" s="23" t="inlineStr">
        <is>
          <t>Single Carrier (Band n50, 100MHz TDD)</t>
        </is>
      </c>
      <c r="Q433" s="27">
        <f>ROUNDUP(O433/'Methodology &amp; Assumptions'!$B$8, 0)</f>
        <v/>
      </c>
      <c r="R433" s="27" t="n">
        <v>1</v>
      </c>
      <c r="S433" s="26" t="n">
        <v>0.6899999999999999</v>
      </c>
      <c r="T433" s="26" t="n">
        <v>0.49</v>
      </c>
      <c r="U433" s="11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26" t="n">
        <v>65.97</v>
      </c>
      <c r="W433" s="26" t="n">
        <v>56.76</v>
      </c>
      <c r="X433" s="26">
        <f>ROUND(('Methodology &amp; Assumptions'!$B$5*V433) + ('Methodology &amp; Assumptions'!$B$6*W433), 2)</f>
        <v/>
      </c>
      <c r="Y433" s="28" t="n">
        <v>10.9</v>
      </c>
      <c r="Z433" s="11" t="inlineStr">
        <is>
          <t>Priority Tier 2 (Balanced Opportunity)</t>
        </is>
      </c>
    </row>
    <row r="434">
      <c r="A434" s="23" t="n">
        <v>3</v>
      </c>
      <c r="B434" s="23" t="n">
        <v>430</v>
      </c>
      <c r="C434" s="23" t="n">
        <v>2430</v>
      </c>
      <c r="D434" s="23" t="inlineStr">
        <is>
          <t>1004323008</t>
        </is>
      </c>
      <c r="E434" s="11" t="inlineStr">
        <is>
          <t>Region X (Northern Mindanao)</t>
        </is>
      </c>
      <c r="F434" s="11" t="inlineStr">
        <is>
          <t>Misamis Oriental</t>
        </is>
      </c>
      <c r="G434" s="11" t="inlineStr">
        <is>
          <t>Sugbongcogon</t>
        </is>
      </c>
      <c r="H434" s="11" t="inlineStr">
        <is>
          <t>Poblacion</t>
        </is>
      </c>
      <c r="I434" s="24" t="n">
        <v>8.957908</v>
      </c>
      <c r="J434" s="24" t="n">
        <v>124.786562</v>
      </c>
      <c r="K434" s="23" t="inlineStr">
        <is>
          <t>R</t>
        </is>
      </c>
      <c r="L434" s="25" t="n">
        <v>3746</v>
      </c>
      <c r="M434" s="26" t="n">
        <v>3.9</v>
      </c>
      <c r="N434" s="25">
        <f>ROUND(L434/M434, 0)</f>
        <v/>
      </c>
      <c r="O434" s="25">
        <f>ROUND(N434*'Methodology &amp; Assumptions'!$B$7, 0)</f>
        <v/>
      </c>
      <c r="P434" s="23" t="inlineStr">
        <is>
          <t>Single Carrier (Band n50, 100MHz TDD)</t>
        </is>
      </c>
      <c r="Q434" s="27">
        <f>ROUNDUP(O434/'Methodology &amp; Assumptions'!$B$8, 0)</f>
        <v/>
      </c>
      <c r="R434" s="27" t="n">
        <v>1</v>
      </c>
      <c r="S434" s="26" t="n">
        <v>0.27</v>
      </c>
      <c r="T434" s="26" t="n">
        <v>0.34</v>
      </c>
      <c r="U434" s="11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26" t="n">
        <v>90.81999999999999</v>
      </c>
      <c r="W434" s="26" t="n">
        <v>31.9</v>
      </c>
      <c r="X434" s="26">
        <f>ROUND(('Methodology &amp; Assumptions'!$B$5*V434) + ('Methodology &amp; Assumptions'!$B$6*W434), 2)</f>
        <v/>
      </c>
      <c r="Y434" s="28" t="n">
        <v>17.4</v>
      </c>
      <c r="Z434" s="11" t="inlineStr">
        <is>
          <t>Priority Tier 2 (Balanced Opportunity)</t>
        </is>
      </c>
    </row>
    <row r="435">
      <c r="A435" s="23" t="n">
        <v>3</v>
      </c>
      <c r="B435" s="23" t="n">
        <v>431</v>
      </c>
      <c r="C435" s="23" t="n">
        <v>2431</v>
      </c>
      <c r="D435" s="23" t="inlineStr">
        <is>
          <t>0306904020</t>
        </is>
      </c>
      <c r="E435" s="11" t="inlineStr">
        <is>
          <t>Region III (Central Luzon)</t>
        </is>
      </c>
      <c r="F435" s="11" t="inlineStr">
        <is>
          <t>Tarlac</t>
        </is>
      </c>
      <c r="G435" s="11" t="inlineStr">
        <is>
          <t>Capas</t>
        </is>
      </c>
      <c r="H435" s="11" t="inlineStr">
        <is>
          <t>Santo Domingo 2nd</t>
        </is>
      </c>
      <c r="I435" s="24" t="n">
        <v>15.344596</v>
      </c>
      <c r="J435" s="24" t="n">
        <v>120.594172</v>
      </c>
      <c r="K435" s="23" t="inlineStr">
        <is>
          <t>U</t>
        </is>
      </c>
      <c r="L435" s="25" t="n">
        <v>7231</v>
      </c>
      <c r="M435" s="26" t="n">
        <v>3.9</v>
      </c>
      <c r="N435" s="25">
        <f>ROUND(L435/M435, 0)</f>
        <v/>
      </c>
      <c r="O435" s="25">
        <f>ROUND(N435*'Methodology &amp; Assumptions'!$B$7, 0)</f>
        <v/>
      </c>
      <c r="P435" s="23" t="inlineStr">
        <is>
          <t>Single Carrier (Band n50, 100MHz TDD)</t>
        </is>
      </c>
      <c r="Q435" s="27">
        <f>ROUNDUP(O435/'Methodology &amp; Assumptions'!$B$8, 0)</f>
        <v/>
      </c>
      <c r="R435" s="27" t="n">
        <v>1</v>
      </c>
      <c r="S435" s="26" t="n">
        <v>0.27</v>
      </c>
      <c r="T435" s="26" t="n">
        <v>0.08</v>
      </c>
      <c r="U435" s="11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26" t="n">
        <v>78.43000000000001</v>
      </c>
      <c r="W435" s="26" t="n">
        <v>44.29</v>
      </c>
      <c r="X435" s="26">
        <f>ROUND(('Methodology &amp; Assumptions'!$B$5*V435) + ('Methodology &amp; Assumptions'!$B$6*W435), 2)</f>
        <v/>
      </c>
      <c r="Y435" s="28" t="n">
        <v>8.300000000000001</v>
      </c>
      <c r="Z435" s="11" t="inlineStr">
        <is>
          <t>Priority Tier 2 (Balanced Opportunity)</t>
        </is>
      </c>
    </row>
    <row r="436">
      <c r="A436" s="23" t="n">
        <v>3</v>
      </c>
      <c r="B436" s="23" t="n">
        <v>432</v>
      </c>
      <c r="C436" s="23" t="n">
        <v>2432</v>
      </c>
      <c r="D436" s="23" t="inlineStr">
        <is>
          <t>0306902010</t>
        </is>
      </c>
      <c r="E436" s="11" t="inlineStr">
        <is>
          <t>Region III (Central Luzon)</t>
        </is>
      </c>
      <c r="F436" s="11" t="inlineStr">
        <is>
          <t>Tarlac</t>
        </is>
      </c>
      <c r="G436" s="11" t="inlineStr">
        <is>
          <t>Bamban</t>
        </is>
      </c>
      <c r="H436" s="11" t="inlineStr">
        <is>
          <t>San Nicolas</t>
        </is>
      </c>
      <c r="I436" s="24" t="n">
        <v>15.274</v>
      </c>
      <c r="J436" s="24" t="n">
        <v>120.5656</v>
      </c>
      <c r="K436" s="23" t="inlineStr">
        <is>
          <t>U</t>
        </is>
      </c>
      <c r="L436" s="25" t="n">
        <v>20628</v>
      </c>
      <c r="M436" s="26" t="n">
        <v>3.9</v>
      </c>
      <c r="N436" s="25">
        <f>ROUND(L436/M436, 0)</f>
        <v/>
      </c>
      <c r="O436" s="25">
        <f>ROUND(N436*'Methodology &amp; Assumptions'!$B$7, 0)</f>
        <v/>
      </c>
      <c r="P436" s="23" t="inlineStr">
        <is>
          <t>Single Carrier (Band n50, 100MHz TDD)</t>
        </is>
      </c>
      <c r="Q436" s="27">
        <f>ROUNDUP(O436/'Methodology &amp; Assumptions'!$B$8, 0)</f>
        <v/>
      </c>
      <c r="R436" s="27" t="n">
        <v>1</v>
      </c>
      <c r="S436" s="26" t="n">
        <v>1.14</v>
      </c>
      <c r="T436" s="26" t="n">
        <v>0.29</v>
      </c>
      <c r="U436" s="11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26" t="n">
        <v>77.29000000000001</v>
      </c>
      <c r="W436" s="26" t="n">
        <v>45.44</v>
      </c>
      <c r="X436" s="26">
        <f>ROUND(('Methodology &amp; Assumptions'!$B$5*V436) + ('Methodology &amp; Assumptions'!$B$6*W436), 2)</f>
        <v/>
      </c>
      <c r="Y436" s="28" t="n">
        <v>8.300000000000001</v>
      </c>
      <c r="Z436" s="11" t="inlineStr">
        <is>
          <t>Priority Tier 2 (Balanced Opportunity)</t>
        </is>
      </c>
    </row>
    <row r="437">
      <c r="A437" s="23" t="n">
        <v>3</v>
      </c>
      <c r="B437" s="23" t="n">
        <v>433</v>
      </c>
      <c r="C437" s="23" t="n">
        <v>2433</v>
      </c>
      <c r="D437" s="23" t="inlineStr">
        <is>
          <t>1380614062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806</t>
        </is>
      </c>
      <c r="I437" s="24" t="n">
        <v>14.571802</v>
      </c>
      <c r="J437" s="24" t="n">
        <v>121.002536</v>
      </c>
      <c r="K437" s="23" t="inlineStr">
        <is>
          <t>U</t>
        </is>
      </c>
      <c r="L437" s="25" t="n">
        <v>1604</v>
      </c>
      <c r="M437" s="26" t="n">
        <v>3.81</v>
      </c>
      <c r="N437" s="25">
        <f>ROUND(L437/M437, 0)</f>
        <v/>
      </c>
      <c r="O437" s="25">
        <f>ROUND(N437*'Methodology &amp; Assumptions'!$B$7, 0)</f>
        <v/>
      </c>
      <c r="P437" s="23" t="inlineStr">
        <is>
          <t>Single Carrier (Band n50, 100MHz TDD)</t>
        </is>
      </c>
      <c r="Q437" s="27">
        <f>ROUNDUP(O437/'Methodology &amp; Assumptions'!$B$8, 0)</f>
        <v/>
      </c>
      <c r="R437" s="27" t="n">
        <v>1</v>
      </c>
      <c r="S437" s="26" t="n">
        <v>0.89</v>
      </c>
      <c r="T437" s="26" t="n">
        <v>0.48</v>
      </c>
      <c r="U437" s="11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26" t="n">
        <v>54.39</v>
      </c>
      <c r="W437" s="26" t="n">
        <v>68.34</v>
      </c>
      <c r="X437" s="26">
        <f>ROUND(('Methodology &amp; Assumptions'!$B$5*V437) + ('Methodology &amp; Assumptions'!$B$6*W437), 2)</f>
        <v/>
      </c>
      <c r="Y437" s="28" t="n">
        <v>10.9</v>
      </c>
      <c r="Z437" s="11" t="inlineStr">
        <is>
          <t>Priority Tier 2 (Balanced Opportunity)</t>
        </is>
      </c>
    </row>
    <row r="438">
      <c r="A438" s="23" t="n">
        <v>3</v>
      </c>
      <c r="B438" s="23" t="n">
        <v>434</v>
      </c>
      <c r="C438" s="23" t="n">
        <v>2434</v>
      </c>
      <c r="D438" s="23" t="inlineStr">
        <is>
          <t>1381100104</t>
        </is>
      </c>
      <c r="E438" s="11" t="inlineStr">
        <is>
          <t>National Capital Region (NCR)</t>
        </is>
      </c>
      <c r="F438" s="11" t="inlineStr">
        <is>
          <t>Fourth District (Not a Province)</t>
        </is>
      </c>
      <c r="G438" s="11" t="inlineStr">
        <is>
          <t>Pasay City</t>
        </is>
      </c>
      <c r="H438" s="11" t="inlineStr">
        <is>
          <t>Barangay 104</t>
        </is>
      </c>
      <c r="I438" s="24" t="n">
        <v>14.545509</v>
      </c>
      <c r="J438" s="24" t="n">
        <v>121.002414</v>
      </c>
      <c r="K438" s="23" t="inlineStr">
        <is>
          <t>U</t>
        </is>
      </c>
      <c r="L438" s="25" t="n">
        <v>1306</v>
      </c>
      <c r="M438" s="26" t="n">
        <v>3.37</v>
      </c>
      <c r="N438" s="25">
        <f>ROUND(L438/M438, 0)</f>
        <v/>
      </c>
      <c r="O438" s="25">
        <f>ROUND(N438*'Methodology &amp; Assumptions'!$B$7, 0)</f>
        <v/>
      </c>
      <c r="P438" s="23" t="inlineStr">
        <is>
          <t>Single Carrier (Band n50, 100MHz TDD)</t>
        </is>
      </c>
      <c r="Q438" s="27">
        <f>ROUNDUP(O438/'Methodology &amp; Assumptions'!$B$8, 0)</f>
        <v/>
      </c>
      <c r="R438" s="27" t="n">
        <v>1</v>
      </c>
      <c r="S438" s="26" t="n">
        <v>0.87</v>
      </c>
      <c r="T438" s="26" t="n">
        <v>0.32</v>
      </c>
      <c r="U438" s="11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26" t="n">
        <v>53.43</v>
      </c>
      <c r="W438" s="26" t="n">
        <v>69.29000000000001</v>
      </c>
      <c r="X438" s="26">
        <f>ROUND(('Methodology &amp; Assumptions'!$B$5*V438) + ('Methodology &amp; Assumptions'!$B$6*W438), 2)</f>
        <v/>
      </c>
      <c r="Y438" s="28" t="n">
        <v>10.9</v>
      </c>
      <c r="Z438" s="11" t="inlineStr">
        <is>
          <t>Priority Tier 2 (Balanced Opportunity)</t>
        </is>
      </c>
    </row>
    <row r="439">
      <c r="A439" s="23" t="n">
        <v>3</v>
      </c>
      <c r="B439" s="23" t="n">
        <v>435</v>
      </c>
      <c r="C439" s="23" t="n">
        <v>2435</v>
      </c>
      <c r="D439" s="23" t="inlineStr">
        <is>
          <t>1380601247</t>
        </is>
      </c>
      <c r="E439" s="11" t="inlineStr">
        <is>
          <t>National Capital Region (NCR)</t>
        </is>
      </c>
      <c r="F439" s="11" t="inlineStr">
        <is>
          <t>First District (Not a Province)</t>
        </is>
      </c>
      <c r="G439" s="11" t="inlineStr">
        <is>
          <t>City of Manila</t>
        </is>
      </c>
      <c r="H439" s="11" t="inlineStr">
        <is>
          <t>Barangay 246</t>
        </is>
      </c>
      <c r="I439" s="24" t="n">
        <v>14.611897</v>
      </c>
      <c r="J439" s="24" t="n">
        <v>120.975981</v>
      </c>
      <c r="K439" s="23" t="inlineStr">
        <is>
          <t>U</t>
        </is>
      </c>
      <c r="L439" s="25" t="n">
        <v>1258</v>
      </c>
      <c r="M439" s="26" t="n">
        <v>3.73</v>
      </c>
      <c r="N439" s="25">
        <f>ROUND(L439/M439, 0)</f>
        <v/>
      </c>
      <c r="O439" s="25">
        <f>ROUND(N439*'Methodology &amp; Assumptions'!$B$7, 0)</f>
        <v/>
      </c>
      <c r="P439" s="23" t="inlineStr">
        <is>
          <t>Single Carrier (Band n50, 100MHz TDD)</t>
        </is>
      </c>
      <c r="Q439" s="27">
        <f>ROUNDUP(O439/'Methodology &amp; Assumptions'!$B$8, 0)</f>
        <v/>
      </c>
      <c r="R439" s="27" t="n">
        <v>1</v>
      </c>
      <c r="S439" s="26" t="n">
        <v>0.89</v>
      </c>
      <c r="T439" s="26" t="n">
        <v>0.41</v>
      </c>
      <c r="U439" s="11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26" t="n">
        <v>51.74</v>
      </c>
      <c r="W439" s="26" t="n">
        <v>70.98</v>
      </c>
      <c r="X439" s="26">
        <f>ROUND(('Methodology &amp; Assumptions'!$B$5*V439) + ('Methodology &amp; Assumptions'!$B$6*W439), 2)</f>
        <v/>
      </c>
      <c r="Y439" s="28" t="n">
        <v>10.9</v>
      </c>
      <c r="Z439" s="11" t="inlineStr">
        <is>
          <t>Priority Tier 2 (Balanced Opportunity)</t>
        </is>
      </c>
    </row>
    <row r="440">
      <c r="A440" s="23" t="n">
        <v>3</v>
      </c>
      <c r="B440" s="23" t="n">
        <v>436</v>
      </c>
      <c r="C440" s="23" t="n">
        <v>2436</v>
      </c>
      <c r="D440" s="23" t="inlineStr">
        <is>
          <t>1108604004</t>
        </is>
      </c>
      <c r="E440" s="11" t="inlineStr">
        <is>
          <t>Region XI (Davao Region)</t>
        </is>
      </c>
      <c r="F440" s="11" t="inlineStr">
        <is>
          <t>Davao Occidental</t>
        </is>
      </c>
      <c r="G440" s="11" t="inlineStr">
        <is>
          <t>Santa Maria</t>
        </is>
      </c>
      <c r="H440" s="11" t="inlineStr">
        <is>
          <t>Kidadan</t>
        </is>
      </c>
      <c r="I440" s="24" t="n">
        <v>6.510663</v>
      </c>
      <c r="J440" s="24" t="n">
        <v>125.401471</v>
      </c>
      <c r="K440" s="23" t="inlineStr">
        <is>
          <t>R</t>
        </is>
      </c>
      <c r="L440" s="25" t="n">
        <v>1168</v>
      </c>
      <c r="M440" s="26" t="n">
        <v>3.6</v>
      </c>
      <c r="N440" s="25">
        <f>ROUND(L440/M440, 0)</f>
        <v/>
      </c>
      <c r="O440" s="25">
        <f>ROUND(N440*'Methodology &amp; Assumptions'!$B$7, 0)</f>
        <v/>
      </c>
      <c r="P440" s="23" t="inlineStr">
        <is>
          <t>Single Carrier (Band n50, 100MHz TDD)</t>
        </is>
      </c>
      <c r="Q440" s="27">
        <f>ROUNDUP(O440/'Methodology &amp; Assumptions'!$B$8, 0)</f>
        <v/>
      </c>
      <c r="R440" s="27" t="n">
        <v>1</v>
      </c>
      <c r="S440" s="26" t="n">
        <v>8.640000000000001</v>
      </c>
      <c r="T440" s="26" t="n">
        <v>4.52</v>
      </c>
      <c r="U440" s="11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26" t="n">
        <v>51.08</v>
      </c>
      <c r="W440" s="26" t="n">
        <v>71.63</v>
      </c>
      <c r="X440" s="26">
        <f>ROUND(('Methodology &amp; Assumptions'!$B$5*V440) + ('Methodology &amp; Assumptions'!$B$6*W440), 2)</f>
        <v/>
      </c>
      <c r="Y440" s="28" t="n">
        <v>17.4</v>
      </c>
      <c r="Z440" s="11" t="inlineStr">
        <is>
          <t>Priority Tier 2 (Balanced Opportunity)</t>
        </is>
      </c>
    </row>
    <row r="441">
      <c r="A441" s="23" t="n">
        <v>3</v>
      </c>
      <c r="B441" s="23" t="n">
        <v>437</v>
      </c>
      <c r="C441" s="23" t="n">
        <v>2437</v>
      </c>
      <c r="D441" s="23" t="inlineStr">
        <is>
          <t>0205009008</t>
        </is>
      </c>
      <c r="E441" s="11" t="inlineStr">
        <is>
          <t>Region II (Cagayan Valley)</t>
        </is>
      </c>
      <c r="F441" s="11" t="inlineStr">
        <is>
          <t>Nueva Vizcaya</t>
        </is>
      </c>
      <c r="G441" s="11" t="inlineStr">
        <is>
          <t>Kasibu</t>
        </is>
      </c>
      <c r="H441" s="11" t="inlineStr">
        <is>
          <t>Capisaan</t>
        </is>
      </c>
      <c r="I441" s="24" t="n">
        <v>16.389013</v>
      </c>
      <c r="J441" s="24" t="n">
        <v>121.417046</v>
      </c>
      <c r="K441" s="23" t="inlineStr">
        <is>
          <t>R</t>
        </is>
      </c>
      <c r="L441" s="25" t="n">
        <v>1477</v>
      </c>
      <c r="M441" s="26" t="n">
        <v>3.8</v>
      </c>
      <c r="N441" s="25">
        <f>ROUND(L441/M441, 0)</f>
        <v/>
      </c>
      <c r="O441" s="25">
        <f>ROUND(N441*'Methodology &amp; Assumptions'!$B$7, 0)</f>
        <v/>
      </c>
      <c r="P441" s="23" t="inlineStr">
        <is>
          <t>Single Carrier (Band n50, 100MHz TDD)</t>
        </is>
      </c>
      <c r="Q441" s="27">
        <f>ROUNDUP(O441/'Methodology &amp; Assumptions'!$B$8, 0)</f>
        <v/>
      </c>
      <c r="R441" s="27" t="n">
        <v>1</v>
      </c>
      <c r="S441" s="26" t="n">
        <v>15.38</v>
      </c>
      <c r="T441" s="26" t="n">
        <v>19.85</v>
      </c>
      <c r="U441" s="11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26" t="n">
        <v>46.45</v>
      </c>
      <c r="W441" s="26" t="n">
        <v>76.26000000000001</v>
      </c>
      <c r="X441" s="26">
        <f>ROUND(('Methodology &amp; Assumptions'!$B$5*V441) + ('Methodology &amp; Assumptions'!$B$6*W441), 2)</f>
        <v/>
      </c>
      <c r="Y441" s="28" t="n">
        <v>8.300000000000001</v>
      </c>
      <c r="Z441" s="11" t="inlineStr">
        <is>
          <t>Priority Tier 2 (Balanced Opportunity)</t>
        </is>
      </c>
    </row>
    <row r="442">
      <c r="A442" s="23" t="n">
        <v>3</v>
      </c>
      <c r="B442" s="23" t="n">
        <v>438</v>
      </c>
      <c r="C442" s="23" t="n">
        <v>2438</v>
      </c>
      <c r="D442" s="23" t="inlineStr">
        <is>
          <t>1705209015</t>
        </is>
      </c>
      <c r="E442" s="11" t="inlineStr">
        <is>
          <t>MIMAROPA Region</t>
        </is>
      </c>
      <c r="F442" s="11" t="inlineStr">
        <is>
          <t>Oriental Mindoro</t>
        </is>
      </c>
      <c r="G442" s="11" t="inlineStr">
        <is>
          <t>Pinamalayan</t>
        </is>
      </c>
      <c r="H442" s="11" t="inlineStr">
        <is>
          <t>Marfrancisco</t>
        </is>
      </c>
      <c r="I442" s="24" t="n">
        <v>13.033848</v>
      </c>
      <c r="J442" s="24" t="n">
        <v>121.479584</v>
      </c>
      <c r="K442" s="23" t="inlineStr">
        <is>
          <t>U</t>
        </is>
      </c>
      <c r="L442" s="25" t="n">
        <v>6154</v>
      </c>
      <c r="M442" s="26" t="n">
        <v>3.9</v>
      </c>
      <c r="N442" s="25">
        <f>ROUND(L442/M442, 0)</f>
        <v/>
      </c>
      <c r="O442" s="25">
        <f>ROUND(N442*'Methodology &amp; Assumptions'!$B$7, 0)</f>
        <v/>
      </c>
      <c r="P442" s="23" t="inlineStr">
        <is>
          <t>Single Carrier (Band n50, 100MHz TDD)</t>
        </is>
      </c>
      <c r="Q442" s="27">
        <f>ROUNDUP(O442/'Methodology &amp; Assumptions'!$B$8, 0)</f>
        <v/>
      </c>
      <c r="R442" s="27" t="n">
        <v>1</v>
      </c>
      <c r="S442" s="26" t="n">
        <v>0.8100000000000001</v>
      </c>
      <c r="T442" s="26" t="n">
        <v>0.06</v>
      </c>
      <c r="U442" s="11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26" t="n">
        <v>79.48999999999999</v>
      </c>
      <c r="W442" s="26" t="n">
        <v>43.22</v>
      </c>
      <c r="X442" s="26">
        <f>ROUND(('Methodology &amp; Assumptions'!$B$5*V442) + ('Methodology &amp; Assumptions'!$B$6*W442), 2)</f>
        <v/>
      </c>
      <c r="Y442" s="28" t="n">
        <v>15</v>
      </c>
      <c r="Z442" s="11" t="inlineStr">
        <is>
          <t>Priority Tier 2 (Balanced Opportunity)</t>
        </is>
      </c>
    </row>
    <row r="443">
      <c r="A443" s="23" t="n">
        <v>3</v>
      </c>
      <c r="B443" s="23" t="n">
        <v>439</v>
      </c>
      <c r="C443" s="23" t="n">
        <v>2439</v>
      </c>
      <c r="D443" s="23" t="inlineStr">
        <is>
          <t>1380606222</t>
        </is>
      </c>
      <c r="E443" s="11" t="inlineStr">
        <is>
          <t>National Capital Region (NCR)</t>
        </is>
      </c>
      <c r="F443" s="11" t="inlineStr">
        <is>
          <t>First District (Not a Province)</t>
        </is>
      </c>
      <c r="G443" s="11" t="inlineStr">
        <is>
          <t>City of Manila</t>
        </is>
      </c>
      <c r="H443" s="11" t="inlineStr">
        <is>
          <t>Barangay 615</t>
        </is>
      </c>
      <c r="I443" s="24" t="n">
        <v>14.594963</v>
      </c>
      <c r="J443" s="24" t="n">
        <v>121.019046</v>
      </c>
      <c r="K443" s="23" t="inlineStr">
        <is>
          <t>U</t>
        </is>
      </c>
      <c r="L443" s="25" t="n">
        <v>1875</v>
      </c>
      <c r="M443" s="26" t="n">
        <v>4.23</v>
      </c>
      <c r="N443" s="25">
        <f>ROUND(L443/M443, 0)</f>
        <v/>
      </c>
      <c r="O443" s="25">
        <f>ROUND(N443*'Methodology &amp; Assumptions'!$B$7, 0)</f>
        <v/>
      </c>
      <c r="P443" s="23" t="inlineStr">
        <is>
          <t>Single Carrier (Band n50, 100MHz TDD)</t>
        </is>
      </c>
      <c r="Q443" s="27">
        <f>ROUNDUP(O443/'Methodology &amp; Assumptions'!$B$8, 0)</f>
        <v/>
      </c>
      <c r="R443" s="27" t="n">
        <v>1</v>
      </c>
      <c r="S443" s="26" t="n">
        <v>1.59</v>
      </c>
      <c r="T443" s="26" t="n">
        <v>0.76</v>
      </c>
      <c r="U443" s="11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26" t="n">
        <v>52.53</v>
      </c>
      <c r="W443" s="26" t="n">
        <v>70.18000000000001</v>
      </c>
      <c r="X443" s="26">
        <f>ROUND(('Methodology &amp; Assumptions'!$B$5*V443) + ('Methodology &amp; Assumptions'!$B$6*W443), 2)</f>
        <v/>
      </c>
      <c r="Y443" s="28" t="n">
        <v>10.9</v>
      </c>
      <c r="Z443" s="11" t="inlineStr">
        <is>
          <t>Priority Tier 2 (Balanced Opportunity)</t>
        </is>
      </c>
    </row>
    <row r="444">
      <c r="A444" s="23" t="n">
        <v>3</v>
      </c>
      <c r="B444" s="23" t="n">
        <v>440</v>
      </c>
      <c r="C444" s="23" t="n">
        <v>2440</v>
      </c>
      <c r="D444" s="23" t="inlineStr">
        <is>
          <t>1108602001</t>
        </is>
      </c>
      <c r="E444" s="11" t="inlineStr">
        <is>
          <t>Region XI (Davao Region)</t>
        </is>
      </c>
      <c r="F444" s="11" t="inlineStr">
        <is>
          <t>Davao Occidental</t>
        </is>
      </c>
      <c r="G444" s="11" t="inlineStr">
        <is>
          <t>Jose Abad Santos</t>
        </is>
      </c>
      <c r="H444" s="11" t="inlineStr">
        <is>
          <t>Buguis</t>
        </is>
      </c>
      <c r="I444" s="24" t="n">
        <v>5.996063</v>
      </c>
      <c r="J444" s="24" t="n">
        <v>125.620484</v>
      </c>
      <c r="K444" s="23" t="inlineStr">
        <is>
          <t>R</t>
        </is>
      </c>
      <c r="L444" s="25" t="n">
        <v>1415</v>
      </c>
      <c r="M444" s="26" t="n">
        <v>3.6</v>
      </c>
      <c r="N444" s="25">
        <f>ROUND(L444/M444, 0)</f>
        <v/>
      </c>
      <c r="O444" s="25">
        <f>ROUND(N444*'Methodology &amp; Assumptions'!$B$7, 0)</f>
        <v/>
      </c>
      <c r="P444" s="23" t="inlineStr">
        <is>
          <t>Single Carrier (Band n50, 100MHz TDD)</t>
        </is>
      </c>
      <c r="Q444" s="27">
        <f>ROUNDUP(O444/'Methodology &amp; Assumptions'!$B$8, 0)</f>
        <v/>
      </c>
      <c r="R444" s="27" t="n">
        <v>1</v>
      </c>
      <c r="S444" s="26" t="n">
        <v>39.76</v>
      </c>
      <c r="T444" s="26" t="n">
        <v>47.99</v>
      </c>
      <c r="U444" s="11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26" t="n">
        <v>47.51</v>
      </c>
      <c r="W444" s="26" t="n">
        <v>75.18000000000001</v>
      </c>
      <c r="X444" s="26">
        <f>ROUND(('Methodology &amp; Assumptions'!$B$5*V444) + ('Methodology &amp; Assumptions'!$B$6*W444), 2)</f>
        <v/>
      </c>
      <c r="Y444" s="28" t="n">
        <v>17.4</v>
      </c>
      <c r="Z444" s="11" t="inlineStr">
        <is>
          <t>Priority Tier 2 (Balanced Opportunity)</t>
        </is>
      </c>
    </row>
    <row r="445">
      <c r="A445" s="23" t="n">
        <v>3</v>
      </c>
      <c r="B445" s="23" t="n">
        <v>441</v>
      </c>
      <c r="C445" s="23" t="n">
        <v>2441</v>
      </c>
      <c r="D445" s="23" t="inlineStr">
        <is>
          <t>0102820007</t>
        </is>
      </c>
      <c r="E445" s="11" t="inlineStr">
        <is>
          <t>Region I (Ilocos Region)</t>
        </is>
      </c>
      <c r="F445" s="11" t="inlineStr">
        <is>
          <t>Ilocos Norte</t>
        </is>
      </c>
      <c r="G445" s="11" t="inlineStr">
        <is>
          <t>San Nicolas</t>
        </is>
      </c>
      <c r="H445" s="11" t="inlineStr">
        <is>
          <t>San Eugenio</t>
        </is>
      </c>
      <c r="I445" s="24" t="n">
        <v>18.167967</v>
      </c>
      <c r="J445" s="24" t="n">
        <v>120.592121</v>
      </c>
      <c r="K445" s="23" t="inlineStr">
        <is>
          <t>R</t>
        </is>
      </c>
      <c r="L445" s="25" t="n">
        <v>1037</v>
      </c>
      <c r="M445" s="26" t="n">
        <v>3.7</v>
      </c>
      <c r="N445" s="25">
        <f>ROUND(L445/M445, 0)</f>
        <v/>
      </c>
      <c r="O445" s="25">
        <f>ROUND(N445*'Methodology &amp; Assumptions'!$B$7, 0)</f>
        <v/>
      </c>
      <c r="P445" s="23" t="inlineStr">
        <is>
          <t>Single Carrier (Band n50, 100MHz TDD)</t>
        </is>
      </c>
      <c r="Q445" s="27">
        <f>ROUNDUP(O445/'Methodology &amp; Assumptions'!$B$8, 0)</f>
        <v/>
      </c>
      <c r="R445" s="27" t="n">
        <v>1</v>
      </c>
      <c r="S445" s="26" t="n">
        <v>0.3</v>
      </c>
      <c r="T445" s="26" t="n">
        <v>0.23</v>
      </c>
      <c r="U445" s="11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26" t="n">
        <v>68.13</v>
      </c>
      <c r="W445" s="26" t="n">
        <v>54.55</v>
      </c>
      <c r="X445" s="26">
        <f>ROUND(('Methodology &amp; Assumptions'!$B$5*V445) + ('Methodology &amp; Assumptions'!$B$6*W445), 2)</f>
        <v/>
      </c>
      <c r="Y445" s="28" t="n">
        <v>8.300000000000001</v>
      </c>
      <c r="Z445" s="11" t="inlineStr">
        <is>
          <t>Priority Tier 2 (Balanced Opportunity)</t>
        </is>
      </c>
    </row>
    <row r="446">
      <c r="A446" s="23" t="n">
        <v>3</v>
      </c>
      <c r="B446" s="23" t="n">
        <v>442</v>
      </c>
      <c r="C446" s="23" t="n">
        <v>2442</v>
      </c>
      <c r="D446" s="23" t="inlineStr">
        <is>
          <t>1381100151</t>
        </is>
      </c>
      <c r="E446" s="11" t="inlineStr">
        <is>
          <t>National Capital Region (NCR)</t>
        </is>
      </c>
      <c r="F446" s="11" t="inlineStr">
        <is>
          <t>Fourth District (Not a Province)</t>
        </is>
      </c>
      <c r="G446" s="11" t="inlineStr">
        <is>
          <t>Pasay City</t>
        </is>
      </c>
      <c r="H446" s="11" t="inlineStr">
        <is>
          <t>Barangay 151</t>
        </is>
      </c>
      <c r="I446" s="24" t="n">
        <v>14.536496</v>
      </c>
      <c r="J446" s="24" t="n">
        <v>121.004697</v>
      </c>
      <c r="K446" s="23" t="inlineStr">
        <is>
          <t>U</t>
        </is>
      </c>
      <c r="L446" s="25" t="n">
        <v>1123</v>
      </c>
      <c r="M446" s="26" t="n">
        <v>3.04</v>
      </c>
      <c r="N446" s="25">
        <f>ROUND(L446/M446, 0)</f>
        <v/>
      </c>
      <c r="O446" s="25">
        <f>ROUND(N446*'Methodology &amp; Assumptions'!$B$7, 0)</f>
        <v/>
      </c>
      <c r="P446" s="23" t="inlineStr">
        <is>
          <t>Single Carrier (Band n50, 100MHz TDD)</t>
        </is>
      </c>
      <c r="Q446" s="27">
        <f>ROUNDUP(O446/'Methodology &amp; Assumptions'!$B$8, 0)</f>
        <v/>
      </c>
      <c r="R446" s="27" t="n">
        <v>1</v>
      </c>
      <c r="S446" s="26" t="n">
        <v>1.26</v>
      </c>
      <c r="T446" s="26" t="n">
        <v>0.19</v>
      </c>
      <c r="U446" s="11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26" t="n">
        <v>51.4</v>
      </c>
      <c r="W446" s="26" t="n">
        <v>71.29000000000001</v>
      </c>
      <c r="X446" s="26">
        <f>ROUND(('Methodology &amp; Assumptions'!$B$5*V446) + ('Methodology &amp; Assumptions'!$B$6*W446), 2)</f>
        <v/>
      </c>
      <c r="Y446" s="28" t="n">
        <v>10.9</v>
      </c>
      <c r="Z446" s="11" t="inlineStr">
        <is>
          <t>Priority Tier 2 (Balanced Opportunity)</t>
        </is>
      </c>
    </row>
    <row r="447">
      <c r="A447" s="23" t="n">
        <v>3</v>
      </c>
      <c r="B447" s="23" t="n">
        <v>443</v>
      </c>
      <c r="C447" s="23" t="n">
        <v>2443</v>
      </c>
      <c r="D447" s="23" t="inlineStr">
        <is>
          <t>0301404009</t>
        </is>
      </c>
      <c r="E447" s="11" t="inlineStr">
        <is>
          <t>Region III (Central Luzon)</t>
        </is>
      </c>
      <c r="F447" s="11" t="inlineStr">
        <is>
          <t>Bulacan</t>
        </is>
      </c>
      <c r="G447" s="11" t="inlineStr">
        <is>
          <t>Bocaue</t>
        </is>
      </c>
      <c r="H447" s="11" t="inlineStr">
        <is>
          <t>Bunlo</t>
        </is>
      </c>
      <c r="I447" s="24" t="n">
        <v>14.784835</v>
      </c>
      <c r="J447" s="24" t="n">
        <v>120.932433</v>
      </c>
      <c r="K447" s="23" t="inlineStr">
        <is>
          <t>U</t>
        </is>
      </c>
      <c r="L447" s="25" t="n">
        <v>4200</v>
      </c>
      <c r="M447" s="26" t="n">
        <v>3.5</v>
      </c>
      <c r="N447" s="25">
        <f>ROUND(L447/M447, 0)</f>
        <v/>
      </c>
      <c r="O447" s="25">
        <f>ROUND(N447*'Methodology &amp; Assumptions'!$B$7, 0)</f>
        <v/>
      </c>
      <c r="P447" s="23" t="inlineStr">
        <is>
          <t>Single Carrier (Band n50, 100MHz TDD)</t>
        </is>
      </c>
      <c r="Q447" s="27">
        <f>ROUNDUP(O447/'Methodology &amp; Assumptions'!$B$8, 0)</f>
        <v/>
      </c>
      <c r="R447" s="27" t="n">
        <v>1</v>
      </c>
      <c r="S447" s="26" t="n">
        <v>0.6899999999999999</v>
      </c>
      <c r="T447" s="26" t="n">
        <v>0.09</v>
      </c>
      <c r="U447" s="11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26" t="n">
        <v>78.43000000000001</v>
      </c>
      <c r="W447" s="26" t="n">
        <v>44.23</v>
      </c>
      <c r="X447" s="26">
        <f>ROUND(('Methodology &amp; Assumptions'!$B$5*V447) + ('Methodology &amp; Assumptions'!$B$6*W447), 2)</f>
        <v/>
      </c>
      <c r="Y447" s="28" t="n">
        <v>8.300000000000001</v>
      </c>
      <c r="Z447" s="11" t="inlineStr">
        <is>
          <t>Priority Tier 2 (Balanced Opportunity)</t>
        </is>
      </c>
    </row>
    <row r="448">
      <c r="A448" s="23" t="n">
        <v>3</v>
      </c>
      <c r="B448" s="23" t="n">
        <v>444</v>
      </c>
      <c r="C448" s="23" t="n">
        <v>2444</v>
      </c>
      <c r="D448" s="23" t="inlineStr">
        <is>
          <t>0403425003</t>
        </is>
      </c>
      <c r="E448" s="11" t="inlineStr">
        <is>
          <t>Region IV-A (CALABARZON)</t>
        </is>
      </c>
      <c r="F448" s="11" t="inlineStr">
        <is>
          <t>Laguna</t>
        </is>
      </c>
      <c r="G448" s="11" t="inlineStr">
        <is>
          <t>City of San Pedro</t>
        </is>
      </c>
      <c r="H448" s="11" t="inlineStr">
        <is>
          <t>Estrella</t>
        </is>
      </c>
      <c r="I448" s="24" t="n">
        <v>14.335052</v>
      </c>
      <c r="J448" s="24" t="n">
        <v>121.01942</v>
      </c>
      <c r="K448" s="23" t="inlineStr">
        <is>
          <t>U</t>
        </is>
      </c>
      <c r="L448" s="25" t="n">
        <v>8797</v>
      </c>
      <c r="M448" s="26" t="n">
        <v>3.3</v>
      </c>
      <c r="N448" s="25">
        <f>ROUND(L448/M448, 0)</f>
        <v/>
      </c>
      <c r="O448" s="25">
        <f>ROUND(N448*'Methodology &amp; Assumptions'!$B$7, 0)</f>
        <v/>
      </c>
      <c r="P448" s="23" t="inlineStr">
        <is>
          <t>Single Carrier (Band n50, 100MHz TDD)</t>
        </is>
      </c>
      <c r="Q448" s="27">
        <f>ROUNDUP(O448/'Methodology &amp; Assumptions'!$B$8, 0)</f>
        <v/>
      </c>
      <c r="R448" s="27" t="n">
        <v>1</v>
      </c>
      <c r="S448" s="26" t="n">
        <v>2.32</v>
      </c>
      <c r="T448" s="26" t="n">
        <v>1.93</v>
      </c>
      <c r="U448" s="11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26" t="n">
        <v>72.94</v>
      </c>
      <c r="W448" s="26" t="n">
        <v>49.73</v>
      </c>
      <c r="X448" s="26">
        <f>ROUND(('Methodology &amp; Assumptions'!$B$5*V448) + ('Methodology &amp; Assumptions'!$B$6*W448), 2)</f>
        <v/>
      </c>
      <c r="Y448" s="28" t="n">
        <v>7.2</v>
      </c>
      <c r="Z448" s="11" t="inlineStr">
        <is>
          <t>Priority Tier 2 (Balanced Opportunity)</t>
        </is>
      </c>
    </row>
    <row r="449">
      <c r="A449" s="23" t="n">
        <v>3</v>
      </c>
      <c r="B449" s="23" t="n">
        <v>445</v>
      </c>
      <c r="C449" s="23" t="n">
        <v>2445</v>
      </c>
      <c r="D449" s="23" t="inlineStr">
        <is>
          <t>1380800006</t>
        </is>
      </c>
      <c r="E449" s="11" t="inlineStr">
        <is>
          <t>National Capital Region (NCR)</t>
        </is>
      </c>
      <c r="F449" s="11" t="inlineStr">
        <is>
          <t>Fourth District (Not a Province)</t>
        </is>
      </c>
      <c r="G449" s="11" t="inlineStr">
        <is>
          <t>City of Muntinlupa</t>
        </is>
      </c>
      <c r="H449" s="11" t="inlineStr">
        <is>
          <t>Putatan</t>
        </is>
      </c>
      <c r="I449" s="24" t="n">
        <v>14.395</v>
      </c>
      <c r="J449" s="24" t="n">
        <v>121.0483</v>
      </c>
      <c r="K449" s="23" t="inlineStr">
        <is>
          <t>U</t>
        </is>
      </c>
      <c r="L449" s="25" t="n">
        <v>102146</v>
      </c>
      <c r="M449" s="26" t="n">
        <v>4.11</v>
      </c>
      <c r="N449" s="25">
        <f>ROUND(L449/M449, 0)</f>
        <v/>
      </c>
      <c r="O449" s="25">
        <f>ROUND(N449*'Methodology &amp; Assumptions'!$B$7, 0)</f>
        <v/>
      </c>
      <c r="P449" s="23" t="inlineStr">
        <is>
          <t>Single Carrier (Band n50, 100MHz TDD)</t>
        </is>
      </c>
      <c r="Q449" s="27">
        <f>ROUNDUP(O449/'Methodology &amp; Assumptions'!$B$8, 0)</f>
        <v/>
      </c>
      <c r="R449" s="27" t="n">
        <v>1</v>
      </c>
      <c r="S449" s="26" t="n">
        <v>0.33</v>
      </c>
      <c r="T449" s="26" t="n">
        <v>0.23</v>
      </c>
      <c r="U449" s="11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26" t="n">
        <v>65.03</v>
      </c>
      <c r="W449" s="26" t="n">
        <v>57.63</v>
      </c>
      <c r="X449" s="26">
        <f>ROUND(('Methodology &amp; Assumptions'!$B$5*V449) + ('Methodology &amp; Assumptions'!$B$6*W449), 2)</f>
        <v/>
      </c>
      <c r="Y449" s="28" t="n">
        <v>10.9</v>
      </c>
      <c r="Z449" s="11" t="inlineStr">
        <is>
          <t>Priority Tier 2 (Balanced Opportunity)</t>
        </is>
      </c>
    </row>
    <row r="450">
      <c r="A450" s="23" t="n">
        <v>3</v>
      </c>
      <c r="B450" s="23" t="n">
        <v>446</v>
      </c>
      <c r="C450" s="23" t="n">
        <v>2446</v>
      </c>
      <c r="D450" s="23" t="inlineStr">
        <is>
          <t>1380606178</t>
        </is>
      </c>
      <c r="E450" s="11" t="inlineStr">
        <is>
          <t>National Capital Region (NCR)</t>
        </is>
      </c>
      <c r="F450" s="11" t="inlineStr">
        <is>
          <t>First District (Not a Province)</t>
        </is>
      </c>
      <c r="G450" s="11" t="inlineStr">
        <is>
          <t>City of Manila</t>
        </is>
      </c>
      <c r="H450" s="11" t="inlineStr">
        <is>
          <t>Barangay 572</t>
        </is>
      </c>
      <c r="I450" s="24" t="n">
        <v>14.606474</v>
      </c>
      <c r="J450" s="24" t="n">
        <v>121.006218</v>
      </c>
      <c r="K450" s="23" t="inlineStr">
        <is>
          <t>U</t>
        </is>
      </c>
      <c r="L450" s="25" t="n">
        <v>1617</v>
      </c>
      <c r="M450" s="26" t="n">
        <v>4.23</v>
      </c>
      <c r="N450" s="25">
        <f>ROUND(L450/M450, 0)</f>
        <v/>
      </c>
      <c r="O450" s="25">
        <f>ROUND(N450*'Methodology &amp; Assumptions'!$B$7, 0)</f>
        <v/>
      </c>
      <c r="P450" s="23" t="inlineStr">
        <is>
          <t>Single Carrier (Band n50, 100MHz TDD)</t>
        </is>
      </c>
      <c r="Q450" s="27">
        <f>ROUNDUP(O450/'Methodology &amp; Assumptions'!$B$8, 0)</f>
        <v/>
      </c>
      <c r="R450" s="27" t="n">
        <v>1</v>
      </c>
      <c r="S450" s="26" t="n">
        <v>0.52</v>
      </c>
      <c r="T450" s="26" t="n">
        <v>0.4</v>
      </c>
      <c r="U450" s="11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26" t="n">
        <v>53.41</v>
      </c>
      <c r="W450" s="26" t="n">
        <v>69.23999999999999</v>
      </c>
      <c r="X450" s="26">
        <f>ROUND(('Methodology &amp; Assumptions'!$B$5*V450) + ('Methodology &amp; Assumptions'!$B$6*W450), 2)</f>
        <v/>
      </c>
      <c r="Y450" s="28" t="n">
        <v>10.9</v>
      </c>
      <c r="Z450" s="11" t="inlineStr">
        <is>
          <t>Priority Tier 2 (Balanced Opportunity)</t>
        </is>
      </c>
    </row>
    <row r="451">
      <c r="A451" s="23" t="n">
        <v>3</v>
      </c>
      <c r="B451" s="23" t="n">
        <v>447</v>
      </c>
      <c r="C451" s="23" t="n">
        <v>2447</v>
      </c>
      <c r="D451" s="23" t="inlineStr">
        <is>
          <t>0205015002</t>
        </is>
      </c>
      <c r="E451" s="11" t="inlineStr">
        <is>
          <t>Region II (Cagayan Valley)</t>
        </is>
      </c>
      <c r="F451" s="11" t="inlineStr">
        <is>
          <t>Nueva Vizcaya</t>
        </is>
      </c>
      <c r="G451" s="11" t="inlineStr">
        <is>
          <t>Alfonso Castaneda</t>
        </is>
      </c>
      <c r="H451" s="11" t="inlineStr">
        <is>
          <t>Galintuja</t>
        </is>
      </c>
      <c r="I451" s="24" t="n">
        <v>15.900237</v>
      </c>
      <c r="J451" s="24" t="n">
        <v>121.377031</v>
      </c>
      <c r="K451" s="23" t="inlineStr">
        <is>
          <t>R</t>
        </is>
      </c>
      <c r="L451" s="25" t="n">
        <v>1036</v>
      </c>
      <c r="M451" s="26" t="n">
        <v>3.8</v>
      </c>
      <c r="N451" s="25">
        <f>ROUND(L451/M451, 0)</f>
        <v/>
      </c>
      <c r="O451" s="25">
        <f>ROUND(N451*'Methodology &amp; Assumptions'!$B$7, 0)</f>
        <v/>
      </c>
      <c r="P451" s="23" t="inlineStr">
        <is>
          <t>Single Carrier (Band n50, 100MHz TDD)</t>
        </is>
      </c>
      <c r="Q451" s="27">
        <f>ROUNDUP(O451/'Methodology &amp; Assumptions'!$B$8, 0)</f>
        <v/>
      </c>
      <c r="R451" s="27" t="n">
        <v>1</v>
      </c>
      <c r="S451" s="26" t="n">
        <v>15.94</v>
      </c>
      <c r="T451" s="26" t="n">
        <v>13.66</v>
      </c>
      <c r="U451" s="11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26" t="n">
        <v>42.66</v>
      </c>
      <c r="W451" s="26" t="n">
        <v>79.98999999999999</v>
      </c>
      <c r="X451" s="26">
        <f>ROUND(('Methodology &amp; Assumptions'!$B$5*V451) + ('Methodology &amp; Assumptions'!$B$6*W451), 2)</f>
        <v/>
      </c>
      <c r="Y451" s="28" t="n">
        <v>8.300000000000001</v>
      </c>
      <c r="Z451" s="11" t="inlineStr">
        <is>
          <t>Priority Tier 2 (Balanced Opportunity)</t>
        </is>
      </c>
    </row>
    <row r="452">
      <c r="A452" s="23" t="n">
        <v>3</v>
      </c>
      <c r="B452" s="23" t="n">
        <v>448</v>
      </c>
      <c r="C452" s="23" t="n">
        <v>2448</v>
      </c>
      <c r="D452" s="23" t="inlineStr">
        <is>
          <t>1380500027</t>
        </is>
      </c>
      <c r="E452" s="11" t="inlineStr">
        <is>
          <t>National Capital Region (NCR)</t>
        </is>
      </c>
      <c r="F452" s="11" t="inlineStr">
        <is>
          <t>Second District (Not a Province)</t>
        </is>
      </c>
      <c r="G452" s="11" t="inlineStr">
        <is>
          <t>City of Mandaluyong</t>
        </is>
      </c>
      <c r="H452" s="11" t="inlineStr">
        <is>
          <t>Wack-wack Greenhills</t>
        </is>
      </c>
      <c r="I452" s="24" t="n">
        <v>14.58542</v>
      </c>
      <c r="J452" s="24" t="n">
        <v>121.0556</v>
      </c>
      <c r="K452" s="23" t="inlineStr">
        <is>
          <t>U</t>
        </is>
      </c>
      <c r="L452" s="25" t="n">
        <v>13775</v>
      </c>
      <c r="M452" s="26" t="n">
        <v>3.8</v>
      </c>
      <c r="N452" s="25">
        <f>ROUND(L452/M452, 0)</f>
        <v/>
      </c>
      <c r="O452" s="25">
        <f>ROUND(N452*'Methodology &amp; Assumptions'!$B$7, 0)</f>
        <v/>
      </c>
      <c r="P452" s="23" t="inlineStr">
        <is>
          <t>Single Carrier (Band n50, 100MHz TDD)</t>
        </is>
      </c>
      <c r="Q452" s="27">
        <f>ROUNDUP(O452/'Methodology &amp; Assumptions'!$B$8, 0)</f>
        <v/>
      </c>
      <c r="R452" s="27" t="n">
        <v>1</v>
      </c>
      <c r="S452" s="26" t="n">
        <v>0.57</v>
      </c>
      <c r="T452" s="26" t="n">
        <v>0.27</v>
      </c>
      <c r="U452" s="11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26" t="n">
        <v>69.09</v>
      </c>
      <c r="W452" s="26" t="n">
        <v>53.55</v>
      </c>
      <c r="X452" s="26">
        <f>ROUND(('Methodology &amp; Assumptions'!$B$5*V452) + ('Methodology &amp; Assumptions'!$B$6*W452), 2)</f>
        <v/>
      </c>
      <c r="Y452" s="28" t="n">
        <v>10.9</v>
      </c>
      <c r="Z452" s="11" t="inlineStr">
        <is>
          <t>Priority Tier 2 (Balanced Opportunity)</t>
        </is>
      </c>
    </row>
    <row r="453">
      <c r="A453" s="23" t="n">
        <v>3</v>
      </c>
      <c r="B453" s="23" t="n">
        <v>449</v>
      </c>
      <c r="C453" s="23" t="n">
        <v>2449</v>
      </c>
      <c r="D453" s="23" t="inlineStr">
        <is>
          <t>1380606029</t>
        </is>
      </c>
      <c r="E453" s="11" t="inlineStr">
        <is>
          <t>National Capital Region (NCR)</t>
        </is>
      </c>
      <c r="F453" s="11" t="inlineStr">
        <is>
          <t>First District (Not a Province)</t>
        </is>
      </c>
      <c r="G453" s="11" t="inlineStr">
        <is>
          <t>City of Manila</t>
        </is>
      </c>
      <c r="H453" s="11" t="inlineStr">
        <is>
          <t>Barangay 423</t>
        </is>
      </c>
      <c r="I453" s="24" t="n">
        <v>14.605929</v>
      </c>
      <c r="J453" s="24" t="n">
        <v>121.001521</v>
      </c>
      <c r="K453" s="23" t="inlineStr">
        <is>
          <t>U</t>
        </is>
      </c>
      <c r="L453" s="25" t="n">
        <v>1369</v>
      </c>
      <c r="M453" s="26" t="n">
        <v>3.42</v>
      </c>
      <c r="N453" s="25">
        <f>ROUND(L453/M453, 0)</f>
        <v/>
      </c>
      <c r="O453" s="25">
        <f>ROUND(N453*'Methodology &amp; Assumptions'!$B$7, 0)</f>
        <v/>
      </c>
      <c r="P453" s="23" t="inlineStr">
        <is>
          <t>Single Carrier (Band n50, 100MHz TDD)</t>
        </is>
      </c>
      <c r="Q453" s="27">
        <f>ROUNDUP(O453/'Methodology &amp; Assumptions'!$B$8, 0)</f>
        <v/>
      </c>
      <c r="R453" s="27" t="n">
        <v>1</v>
      </c>
      <c r="S453" s="26" t="n">
        <v>0.54</v>
      </c>
      <c r="T453" s="26" t="n">
        <v>0.34</v>
      </c>
      <c r="U453" s="11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26" t="n">
        <v>53.95</v>
      </c>
      <c r="W453" s="26" t="n">
        <v>68.7</v>
      </c>
      <c r="X453" s="26">
        <f>ROUND(('Methodology &amp; Assumptions'!$B$5*V453) + ('Methodology &amp; Assumptions'!$B$6*W453), 2)</f>
        <v/>
      </c>
      <c r="Y453" s="28" t="n">
        <v>10.9</v>
      </c>
      <c r="Z453" s="11" t="inlineStr">
        <is>
          <t>Priority Tier 2 (Balanced Opportunity)</t>
        </is>
      </c>
    </row>
    <row r="454">
      <c r="A454" s="23" t="n">
        <v>3</v>
      </c>
      <c r="B454" s="23" t="n">
        <v>450</v>
      </c>
      <c r="C454" s="23" t="n">
        <v>2450</v>
      </c>
      <c r="D454" s="23" t="inlineStr">
        <is>
          <t>1381100106</t>
        </is>
      </c>
      <c r="E454" s="11" t="inlineStr">
        <is>
          <t>National Capital Region (NCR)</t>
        </is>
      </c>
      <c r="F454" s="11" t="inlineStr">
        <is>
          <t>Fourth District (Not a Province)</t>
        </is>
      </c>
      <c r="G454" s="11" t="inlineStr">
        <is>
          <t>Pasay City</t>
        </is>
      </c>
      <c r="H454" s="11" t="inlineStr">
        <is>
          <t>Barangay 106</t>
        </is>
      </c>
      <c r="I454" s="24" t="n">
        <v>14.546297</v>
      </c>
      <c r="J454" s="24" t="n">
        <v>121.001719</v>
      </c>
      <c r="K454" s="23" t="inlineStr">
        <is>
          <t>U</t>
        </is>
      </c>
      <c r="L454" s="25" t="n">
        <v>1199</v>
      </c>
      <c r="M454" s="26" t="n">
        <v>3.61</v>
      </c>
      <c r="N454" s="25">
        <f>ROUND(L454/M454, 0)</f>
        <v/>
      </c>
      <c r="O454" s="25">
        <f>ROUND(N454*'Methodology &amp; Assumptions'!$B$7, 0)</f>
        <v/>
      </c>
      <c r="P454" s="23" t="inlineStr">
        <is>
          <t>Single Carrier (Band n50, 100MHz TDD)</t>
        </is>
      </c>
      <c r="Q454" s="27">
        <f>ROUNDUP(O454/'Methodology &amp; Assumptions'!$B$8, 0)</f>
        <v/>
      </c>
      <c r="R454" s="27" t="n">
        <v>1</v>
      </c>
      <c r="S454" s="26" t="n">
        <v>0.8100000000000001</v>
      </c>
      <c r="T454" s="26" t="n">
        <v>0.28</v>
      </c>
      <c r="U454" s="11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26" t="n">
        <v>51.8</v>
      </c>
      <c r="W454" s="26" t="n">
        <v>70.84</v>
      </c>
      <c r="X454" s="26">
        <f>ROUND(('Methodology &amp; Assumptions'!$B$5*V454) + ('Methodology &amp; Assumptions'!$B$6*W454), 2)</f>
        <v/>
      </c>
      <c r="Y454" s="28" t="n">
        <v>10.9</v>
      </c>
      <c r="Z454" s="11" t="inlineStr">
        <is>
          <t>Priority Tier 2 (Balanced Opportunity)</t>
        </is>
      </c>
    </row>
    <row r="455">
      <c r="A455" s="23" t="n">
        <v>3</v>
      </c>
      <c r="B455" s="23" t="n">
        <v>451</v>
      </c>
      <c r="C455" s="23" t="n">
        <v>2451</v>
      </c>
      <c r="D455" s="23" t="inlineStr">
        <is>
          <t>0203110004</t>
        </is>
      </c>
      <c r="E455" s="11" t="inlineStr">
        <is>
          <t>Region II (Cagayan Valley)</t>
        </is>
      </c>
      <c r="F455" s="11" t="inlineStr">
        <is>
          <t>Isabela</t>
        </is>
      </c>
      <c r="G455" s="11" t="inlineStr">
        <is>
          <t>Dinapigue</t>
        </is>
      </c>
      <c r="H455" s="11" t="inlineStr">
        <is>
          <t>Dibulo</t>
        </is>
      </c>
      <c r="I455" s="24" t="n">
        <v>16.569961</v>
      </c>
      <c r="J455" s="24" t="n">
        <v>122.106467</v>
      </c>
      <c r="K455" s="23" t="inlineStr">
        <is>
          <t>R</t>
        </is>
      </c>
      <c r="L455" s="25" t="n">
        <v>1198</v>
      </c>
      <c r="M455" s="26" t="n">
        <v>3.8</v>
      </c>
      <c r="N455" s="25">
        <f>ROUND(L455/M455, 0)</f>
        <v/>
      </c>
      <c r="O455" s="25">
        <f>ROUND(N455*'Methodology &amp; Assumptions'!$B$7, 0)</f>
        <v/>
      </c>
      <c r="P455" s="23" t="inlineStr">
        <is>
          <t>Single Carrier (Band n50, 100MHz TDD)</t>
        </is>
      </c>
      <c r="Q455" s="27">
        <f>ROUNDUP(O455/'Methodology &amp; Assumptions'!$B$8, 0)</f>
        <v/>
      </c>
      <c r="R455" s="27" t="n">
        <v>1</v>
      </c>
      <c r="S455" s="26" t="n">
        <v>17.49</v>
      </c>
      <c r="T455" s="26" t="n">
        <v>14.87</v>
      </c>
      <c r="U455" s="11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26" t="n">
        <v>43.96</v>
      </c>
      <c r="W455" s="26" t="n">
        <v>78.67</v>
      </c>
      <c r="X455" s="26">
        <f>ROUND(('Methodology &amp; Assumptions'!$B$5*V455) + ('Methodology &amp; Assumptions'!$B$6*W455), 2)</f>
        <v/>
      </c>
      <c r="Y455" s="28" t="n">
        <v>8.300000000000001</v>
      </c>
      <c r="Z455" s="11" t="inlineStr">
        <is>
          <t>Priority Tier 2 (Balanced Opportunity)</t>
        </is>
      </c>
    </row>
    <row r="456">
      <c r="A456" s="23" t="n">
        <v>3</v>
      </c>
      <c r="B456" s="23" t="n">
        <v>452</v>
      </c>
      <c r="C456" s="23" t="n">
        <v>2452</v>
      </c>
      <c r="D456" s="23" t="inlineStr">
        <is>
          <t>0305413027</t>
        </is>
      </c>
      <c r="E456" s="11" t="inlineStr">
        <is>
          <t>Region III (Central Luzon)</t>
        </is>
      </c>
      <c r="F456" s="11" t="inlineStr">
        <is>
          <t>Pampanga</t>
        </is>
      </c>
      <c r="G456" s="11" t="inlineStr">
        <is>
          <t>Mexico</t>
        </is>
      </c>
      <c r="H456" s="11" t="inlineStr">
        <is>
          <t>San Carlos</t>
        </is>
      </c>
      <c r="I456" s="24" t="n">
        <v>15.07005</v>
      </c>
      <c r="J456" s="24" t="n">
        <v>120.7208</v>
      </c>
      <c r="K456" s="23" t="inlineStr">
        <is>
          <t>R</t>
        </is>
      </c>
      <c r="L456" s="25" t="n">
        <v>3264</v>
      </c>
      <c r="M456" s="26" t="n">
        <v>4</v>
      </c>
      <c r="N456" s="25">
        <f>ROUND(L456/M456, 0)</f>
        <v/>
      </c>
      <c r="O456" s="25">
        <f>ROUND(N456*'Methodology &amp; Assumptions'!$B$7, 0)</f>
        <v/>
      </c>
      <c r="P456" s="23" t="inlineStr">
        <is>
          <t>Single Carrier (Band n50, 100MHz TDD)</t>
        </is>
      </c>
      <c r="Q456" s="27">
        <f>ROUNDUP(O456/'Methodology &amp; Assumptions'!$B$8, 0)</f>
        <v/>
      </c>
      <c r="R456" s="27" t="n">
        <v>1</v>
      </c>
      <c r="S456" s="26" t="n">
        <v>1.3</v>
      </c>
      <c r="T456" s="26" t="n">
        <v>0.64</v>
      </c>
      <c r="U456" s="11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26" t="n">
        <v>83.81</v>
      </c>
      <c r="W456" s="26" t="n">
        <v>38.82</v>
      </c>
      <c r="X456" s="26">
        <f>ROUND(('Methodology &amp; Assumptions'!$B$5*V456) + ('Methodology &amp; Assumptions'!$B$6*W456), 2)</f>
        <v/>
      </c>
      <c r="Y456" s="28" t="n">
        <v>8.300000000000001</v>
      </c>
      <c r="Z456" s="11" t="inlineStr">
        <is>
          <t>Priority Tier 2 (Balanced Opportunity)</t>
        </is>
      </c>
    </row>
    <row r="457">
      <c r="A457" s="23" t="n">
        <v>3</v>
      </c>
      <c r="B457" s="23" t="n">
        <v>453</v>
      </c>
      <c r="C457" s="23" t="n">
        <v>2453</v>
      </c>
      <c r="D457" s="23" t="inlineStr">
        <is>
          <t>0301403019</t>
        </is>
      </c>
      <c r="E457" s="11" t="inlineStr">
        <is>
          <t>Region III (Central Luzon)</t>
        </is>
      </c>
      <c r="F457" s="11" t="inlineStr">
        <is>
          <t>Bulacan</t>
        </is>
      </c>
      <c r="G457" s="11" t="inlineStr">
        <is>
          <t>Baliuag</t>
        </is>
      </c>
      <c r="H457" s="11" t="inlineStr">
        <is>
          <t>Santa Barbara</t>
        </is>
      </c>
      <c r="I457" s="24" t="n">
        <v>14.941928</v>
      </c>
      <c r="J457" s="24" t="n">
        <v>120.891038</v>
      </c>
      <c r="K457" s="23" t="inlineStr">
        <is>
          <t>U</t>
        </is>
      </c>
      <c r="L457" s="25" t="n">
        <v>13210</v>
      </c>
      <c r="M457" s="26" t="n">
        <v>3.5</v>
      </c>
      <c r="N457" s="25">
        <f>ROUND(L457/M457, 0)</f>
        <v/>
      </c>
      <c r="O457" s="25">
        <f>ROUND(N457*'Methodology &amp; Assumptions'!$B$7, 0)</f>
        <v/>
      </c>
      <c r="P457" s="23" t="inlineStr">
        <is>
          <t>Single Carrier (Band n50, 100MHz TDD)</t>
        </is>
      </c>
      <c r="Q457" s="27">
        <f>ROUNDUP(O457/'Methodology &amp; Assumptions'!$B$8, 0)</f>
        <v/>
      </c>
      <c r="R457" s="27" t="n">
        <v>1</v>
      </c>
      <c r="S457" s="26" t="n">
        <v>0.75</v>
      </c>
      <c r="T457" s="26" t="n">
        <v>0.01</v>
      </c>
      <c r="U457" s="11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26" t="n">
        <v>78.43000000000001</v>
      </c>
      <c r="W457" s="26" t="n">
        <v>44.19</v>
      </c>
      <c r="X457" s="26">
        <f>ROUND(('Methodology &amp; Assumptions'!$B$5*V457) + ('Methodology &amp; Assumptions'!$B$6*W457), 2)</f>
        <v/>
      </c>
      <c r="Y457" s="28" t="n">
        <v>8.300000000000001</v>
      </c>
      <c r="Z457" s="11" t="inlineStr">
        <is>
          <t>Priority Tier 2 (Balanced Opportunity)</t>
        </is>
      </c>
    </row>
    <row r="458">
      <c r="A458" s="23" t="n">
        <v>3</v>
      </c>
      <c r="B458" s="23" t="n">
        <v>454</v>
      </c>
      <c r="C458" s="23" t="n">
        <v>2454</v>
      </c>
      <c r="D458" s="23" t="inlineStr">
        <is>
          <t>1381300012</t>
        </is>
      </c>
      <c r="E458" s="11" t="inlineStr">
        <is>
          <t>National Capital Region (NCR)</t>
        </is>
      </c>
      <c r="F458" s="11" t="inlineStr">
        <is>
          <t>Second District (Not a Province)</t>
        </is>
      </c>
      <c r="G458" s="11" t="inlineStr">
        <is>
          <t>Quezon City</t>
        </is>
      </c>
      <c r="H458" s="11" t="inlineStr">
        <is>
          <t>Bahay Toro</t>
        </is>
      </c>
      <c r="I458" s="24" t="n">
        <v>14.66434</v>
      </c>
      <c r="J458" s="24" t="n">
        <v>121.0215</v>
      </c>
      <c r="K458" s="23" t="inlineStr">
        <is>
          <t>U</t>
        </is>
      </c>
      <c r="L458" s="25" t="n">
        <v>61106</v>
      </c>
      <c r="M458" s="26" t="n">
        <v>3.54</v>
      </c>
      <c r="N458" s="25">
        <f>ROUND(L458/M458, 0)</f>
        <v/>
      </c>
      <c r="O458" s="25">
        <f>ROUND(N458*'Methodology &amp; Assumptions'!$B$7, 0)</f>
        <v/>
      </c>
      <c r="P458" s="23" t="inlineStr">
        <is>
          <t>Single Carrier (Band n50, 100MHz TDD)</t>
        </is>
      </c>
      <c r="Q458" s="27">
        <f>ROUNDUP(O458/'Methodology &amp; Assumptions'!$B$8, 0)</f>
        <v/>
      </c>
      <c r="R458" s="27" t="n">
        <v>1</v>
      </c>
      <c r="S458" s="26" t="n">
        <v>0.22</v>
      </c>
      <c r="T458" s="26" t="n">
        <v>0.12</v>
      </c>
      <c r="U458" s="11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26" t="n">
        <v>65.81999999999999</v>
      </c>
      <c r="W458" s="26" t="n">
        <v>56.79</v>
      </c>
      <c r="X458" s="26">
        <f>ROUND(('Methodology &amp; Assumptions'!$B$5*V458) + ('Methodology &amp; Assumptions'!$B$6*W458), 2)</f>
        <v/>
      </c>
      <c r="Y458" s="28" t="n">
        <v>10.9</v>
      </c>
      <c r="Z458" s="11" t="inlineStr">
        <is>
          <t>Priority Tier 2 (Balanced Opportunity)</t>
        </is>
      </c>
    </row>
    <row r="459">
      <c r="A459" s="23" t="n">
        <v>3</v>
      </c>
      <c r="B459" s="23" t="n">
        <v>455</v>
      </c>
      <c r="C459" s="23" t="n">
        <v>2455</v>
      </c>
      <c r="D459" s="23" t="inlineStr">
        <is>
          <t>0405647050</t>
        </is>
      </c>
      <c r="E459" s="11" t="inlineStr">
        <is>
          <t>Region IV-A (CALABARZON)</t>
        </is>
      </c>
      <c r="F459" s="11" t="inlineStr">
        <is>
          <t>Quezon</t>
        </is>
      </c>
      <c r="G459" s="11" t="inlineStr">
        <is>
          <t>City of Tayabas</t>
        </is>
      </c>
      <c r="H459" s="11" t="inlineStr">
        <is>
          <t>San Diego Zone II</t>
        </is>
      </c>
      <c r="I459" s="24" t="n">
        <v>14.025879</v>
      </c>
      <c r="J459" s="24" t="n">
        <v>121.593251</v>
      </c>
      <c r="K459" s="23" t="inlineStr">
        <is>
          <t>R</t>
        </is>
      </c>
      <c r="L459" s="25" t="n">
        <v>366</v>
      </c>
      <c r="M459" s="26" t="n">
        <v>3.8</v>
      </c>
      <c r="N459" s="25">
        <f>ROUND(L459/M459, 0)</f>
        <v/>
      </c>
      <c r="O459" s="25">
        <f>ROUND(N459*'Methodology &amp; Assumptions'!$B$7, 0)</f>
        <v/>
      </c>
      <c r="P459" s="23" t="inlineStr">
        <is>
          <t>Single Carrier (Band n50, 100MHz TDD)</t>
        </is>
      </c>
      <c r="Q459" s="27">
        <f>ROUNDUP(O459/'Methodology &amp; Assumptions'!$B$8, 0)</f>
        <v/>
      </c>
      <c r="R459" s="27" t="n">
        <v>1</v>
      </c>
      <c r="S459" s="26" t="n">
        <v>0.24</v>
      </c>
      <c r="T459" s="26" t="n">
        <v>0.05</v>
      </c>
      <c r="U459" s="11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26" t="n">
        <v>62.01</v>
      </c>
      <c r="W459" s="26" t="n">
        <v>60.6</v>
      </c>
      <c r="X459" s="26">
        <f>ROUND(('Methodology &amp; Assumptions'!$B$5*V459) + ('Methodology &amp; Assumptions'!$B$6*W459), 2)</f>
        <v/>
      </c>
      <c r="Y459" s="28" t="n">
        <v>7.2</v>
      </c>
      <c r="Z459" s="11" t="inlineStr">
        <is>
          <t>Priority Tier 2 (Balanced Opportunity)</t>
        </is>
      </c>
    </row>
    <row r="460">
      <c r="A460" s="23" t="n">
        <v>3</v>
      </c>
      <c r="B460" s="23" t="n">
        <v>456</v>
      </c>
      <c r="C460" s="23" t="n">
        <v>2456</v>
      </c>
      <c r="D460" s="23" t="inlineStr">
        <is>
          <t>1380614046</t>
        </is>
      </c>
      <c r="E460" s="11" t="inlineStr">
        <is>
          <t>National Capital Region (NCR)</t>
        </is>
      </c>
      <c r="F460" s="11" t="inlineStr">
        <is>
          <t>First District (Not a Province)</t>
        </is>
      </c>
      <c r="G460" s="11" t="inlineStr">
        <is>
          <t>City of Manila</t>
        </is>
      </c>
      <c r="H460" s="11" t="inlineStr">
        <is>
          <t>Barangay 790</t>
        </is>
      </c>
      <c r="I460" s="24" t="n">
        <v>14.578537</v>
      </c>
      <c r="J460" s="24" t="n">
        <v>121.006528</v>
      </c>
      <c r="K460" s="23" t="inlineStr">
        <is>
          <t>U</t>
        </is>
      </c>
      <c r="L460" s="25" t="n">
        <v>1825</v>
      </c>
      <c r="M460" s="26" t="n">
        <v>4.67</v>
      </c>
      <c r="N460" s="25">
        <f>ROUND(L460/M460, 0)</f>
        <v/>
      </c>
      <c r="O460" s="25">
        <f>ROUND(N460*'Methodology &amp; Assumptions'!$B$7, 0)</f>
        <v/>
      </c>
      <c r="P460" s="23" t="inlineStr">
        <is>
          <t>Single Carrier (Band n50, 100MHz TDD)</t>
        </is>
      </c>
      <c r="Q460" s="27">
        <f>ROUNDUP(O460/'Methodology &amp; Assumptions'!$B$8, 0)</f>
        <v/>
      </c>
      <c r="R460" s="27" t="n">
        <v>1</v>
      </c>
      <c r="S460" s="26" t="n">
        <v>0.77</v>
      </c>
      <c r="T460" s="26" t="n">
        <v>0.15</v>
      </c>
      <c r="U460" s="11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26" t="n">
        <v>53.62</v>
      </c>
      <c r="W460" s="26" t="n">
        <v>69</v>
      </c>
      <c r="X460" s="26">
        <f>ROUND(('Methodology &amp; Assumptions'!$B$5*V460) + ('Methodology &amp; Assumptions'!$B$6*W460), 2)</f>
        <v/>
      </c>
      <c r="Y460" s="28" t="n">
        <v>10.9</v>
      </c>
      <c r="Z460" s="11" t="inlineStr">
        <is>
          <t>Priority Tier 2 (Balanced Opportunity)</t>
        </is>
      </c>
    </row>
    <row r="461">
      <c r="A461" s="23" t="n">
        <v>3</v>
      </c>
      <c r="B461" s="23" t="n">
        <v>457</v>
      </c>
      <c r="C461" s="23" t="n">
        <v>2457</v>
      </c>
      <c r="D461" s="23" t="inlineStr">
        <is>
          <t>1381100084</t>
        </is>
      </c>
      <c r="E461" s="11" t="inlineStr">
        <is>
          <t>National Capital Region (NCR)</t>
        </is>
      </c>
      <c r="F461" s="11" t="inlineStr">
        <is>
          <t>Fourth District (Not a Province)</t>
        </is>
      </c>
      <c r="G461" s="11" t="inlineStr">
        <is>
          <t>Pasay City</t>
        </is>
      </c>
      <c r="H461" s="11" t="inlineStr">
        <is>
          <t>Barangay 84</t>
        </is>
      </c>
      <c r="I461" s="24" t="n">
        <v>14.540488</v>
      </c>
      <c r="J461" s="24" t="n">
        <v>120.999735</v>
      </c>
      <c r="K461" s="23" t="inlineStr">
        <is>
          <t>U</t>
        </is>
      </c>
      <c r="L461" s="25" t="n">
        <v>810</v>
      </c>
      <c r="M461" s="26" t="n">
        <v>2.65</v>
      </c>
      <c r="N461" s="25">
        <f>ROUND(L461/M461, 0)</f>
        <v/>
      </c>
      <c r="O461" s="25">
        <f>ROUND(N461*'Methodology &amp; Assumptions'!$B$7, 0)</f>
        <v/>
      </c>
      <c r="P461" s="23" t="inlineStr">
        <is>
          <t>Single Carrier (Band n50, 100MHz TDD)</t>
        </is>
      </c>
      <c r="Q461" s="27">
        <f>ROUNDUP(O461/'Methodology &amp; Assumptions'!$B$8, 0)</f>
        <v/>
      </c>
      <c r="R461" s="27" t="n">
        <v>1</v>
      </c>
      <c r="S461" s="26" t="n">
        <v>0.73</v>
      </c>
      <c r="T461" s="26" t="n">
        <v>0.13</v>
      </c>
      <c r="U461" s="11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26" t="n">
        <v>50.95</v>
      </c>
      <c r="W461" s="26" t="n">
        <v>71.67</v>
      </c>
      <c r="X461" s="26">
        <f>ROUND(('Methodology &amp; Assumptions'!$B$5*V461) + ('Methodology &amp; Assumptions'!$B$6*W461), 2)</f>
        <v/>
      </c>
      <c r="Y461" s="28" t="n">
        <v>10.9</v>
      </c>
      <c r="Z461" s="11" t="inlineStr">
        <is>
          <t>Priority Tier 2 (Balanced Opportunity)</t>
        </is>
      </c>
    </row>
    <row r="462">
      <c r="A462" s="23" t="n">
        <v>3</v>
      </c>
      <c r="B462" s="23" t="n">
        <v>458</v>
      </c>
      <c r="C462" s="23" t="n">
        <v>2458</v>
      </c>
      <c r="D462" s="23" t="inlineStr">
        <is>
          <t>1208005019</t>
        </is>
      </c>
      <c r="E462" s="11" t="inlineStr">
        <is>
          <t>Region XII (SOCCSKSARGEN)</t>
        </is>
      </c>
      <c r="F462" s="11" t="inlineStr">
        <is>
          <t>Sarangani</t>
        </is>
      </c>
      <c r="G462" s="11" t="inlineStr">
        <is>
          <t>Maitum</t>
        </is>
      </c>
      <c r="H462" s="11" t="inlineStr">
        <is>
          <t>Zion</t>
        </is>
      </c>
      <c r="I462" s="24" t="n">
        <v>6.124081</v>
      </c>
      <c r="J462" s="24" t="n">
        <v>124.486357</v>
      </c>
      <c r="K462" s="23" t="inlineStr">
        <is>
          <t>R</t>
        </is>
      </c>
      <c r="L462" s="25" t="n">
        <v>1705</v>
      </c>
      <c r="M462" s="26" t="n">
        <v>3.9</v>
      </c>
      <c r="N462" s="25">
        <f>ROUND(L462/M462, 0)</f>
        <v/>
      </c>
      <c r="O462" s="25">
        <f>ROUND(N462*'Methodology &amp; Assumptions'!$B$7, 0)</f>
        <v/>
      </c>
      <c r="P462" s="23" t="inlineStr">
        <is>
          <t>Single Carrier (Band n50, 100MHz TDD)</t>
        </is>
      </c>
      <c r="Q462" s="27">
        <f>ROUNDUP(O462/'Methodology &amp; Assumptions'!$B$8, 0)</f>
        <v/>
      </c>
      <c r="R462" s="27" t="n">
        <v>1</v>
      </c>
      <c r="S462" s="26" t="n">
        <v>56.08</v>
      </c>
      <c r="T462" s="26" t="n">
        <v>53.95</v>
      </c>
      <c r="U462" s="11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26" t="n">
        <v>48.87</v>
      </c>
      <c r="W462" s="26" t="n">
        <v>73.75</v>
      </c>
      <c r="X462" s="26">
        <f>ROUND(('Methodology &amp; Assumptions'!$B$5*V462) + ('Methodology &amp; Assumptions'!$B$6*W462), 2)</f>
        <v/>
      </c>
      <c r="Y462" s="28" t="n">
        <v>17.4</v>
      </c>
      <c r="Z462" s="11" t="inlineStr">
        <is>
          <t>Priority Tier 2 (Balanced Opportunity)</t>
        </is>
      </c>
    </row>
    <row r="463">
      <c r="A463" s="23" t="n">
        <v>3</v>
      </c>
      <c r="B463" s="23" t="n">
        <v>459</v>
      </c>
      <c r="C463" s="23" t="n">
        <v>2459</v>
      </c>
      <c r="D463" s="23" t="inlineStr">
        <is>
          <t>0306916024</t>
        </is>
      </c>
      <c r="E463" s="11" t="inlineStr">
        <is>
          <t>Region III (Central Luzon)</t>
        </is>
      </c>
      <c r="F463" s="11" t="inlineStr">
        <is>
          <t>Tarlac</t>
        </is>
      </c>
      <c r="G463" s="11" t="inlineStr">
        <is>
          <t>City of Tarlac</t>
        </is>
      </c>
      <c r="H463" s="11" t="inlineStr">
        <is>
          <t>Calingcuan</t>
        </is>
      </c>
      <c r="I463" s="24" t="n">
        <v>15.489479</v>
      </c>
      <c r="J463" s="24" t="n">
        <v>120.62114</v>
      </c>
      <c r="K463" s="23" t="inlineStr">
        <is>
          <t>R</t>
        </is>
      </c>
      <c r="L463" s="25" t="n">
        <v>3837</v>
      </c>
      <c r="M463" s="26" t="n">
        <v>3.9</v>
      </c>
      <c r="N463" s="25">
        <f>ROUND(L463/M463, 0)</f>
        <v/>
      </c>
      <c r="O463" s="25">
        <f>ROUND(N463*'Methodology &amp; Assumptions'!$B$7, 0)</f>
        <v/>
      </c>
      <c r="P463" s="23" t="inlineStr">
        <is>
          <t>Single Carrier (Band n50, 100MHz TDD)</t>
        </is>
      </c>
      <c r="Q463" s="27">
        <f>ROUNDUP(O463/'Methodology &amp; Assumptions'!$B$8, 0)</f>
        <v/>
      </c>
      <c r="R463" s="27" t="n">
        <v>1</v>
      </c>
      <c r="S463" s="26" t="n">
        <v>1.37</v>
      </c>
      <c r="T463" s="26" t="n">
        <v>0.67</v>
      </c>
      <c r="U463" s="11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26" t="n">
        <v>83.64</v>
      </c>
      <c r="W463" s="26" t="n">
        <v>38.96</v>
      </c>
      <c r="X463" s="26">
        <f>ROUND(('Methodology &amp; Assumptions'!$B$5*V463) + ('Methodology &amp; Assumptions'!$B$6*W463), 2)</f>
        <v/>
      </c>
      <c r="Y463" s="28" t="n">
        <v>8.300000000000001</v>
      </c>
      <c r="Z463" s="11" t="inlineStr">
        <is>
          <t>Priority Tier 2 (Balanced Opportunity)</t>
        </is>
      </c>
    </row>
    <row r="464">
      <c r="A464" s="23" t="n">
        <v>3</v>
      </c>
      <c r="B464" s="23" t="n">
        <v>460</v>
      </c>
      <c r="C464" s="23" t="n">
        <v>2460</v>
      </c>
      <c r="D464" s="23" t="inlineStr">
        <is>
          <t>1705205006</t>
        </is>
      </c>
      <c r="E464" s="11" t="inlineStr">
        <is>
          <t>MIMAROPA Region</t>
        </is>
      </c>
      <c r="F464" s="11" t="inlineStr">
        <is>
          <t>Oriental Mindoro</t>
        </is>
      </c>
      <c r="G464" s="11" t="inlineStr">
        <is>
          <t>City of Calapan</t>
        </is>
      </c>
      <c r="H464" s="11" t="inlineStr">
        <is>
          <t>Bayanan II</t>
        </is>
      </c>
      <c r="I464" s="24" t="n">
        <v>13.360403</v>
      </c>
      <c r="J464" s="24" t="n">
        <v>121.168546</v>
      </c>
      <c r="K464" s="23" t="inlineStr">
        <is>
          <t>R</t>
        </is>
      </c>
      <c r="L464" s="25" t="n">
        <v>3122</v>
      </c>
      <c r="M464" s="26" t="n">
        <v>3.9</v>
      </c>
      <c r="N464" s="25">
        <f>ROUND(L464/M464, 0)</f>
        <v/>
      </c>
      <c r="O464" s="25">
        <f>ROUND(N464*'Methodology &amp; Assumptions'!$B$7, 0)</f>
        <v/>
      </c>
      <c r="P464" s="23" t="inlineStr">
        <is>
          <t>Single Carrier (Band n50, 100MHz TDD)</t>
        </is>
      </c>
      <c r="Q464" s="27">
        <f>ROUNDUP(O464/'Methodology &amp; Assumptions'!$B$8, 0)</f>
        <v/>
      </c>
      <c r="R464" s="27" t="n">
        <v>1</v>
      </c>
      <c r="S464" s="26" t="n">
        <v>1.49</v>
      </c>
      <c r="T464" s="26" t="n">
        <v>0.13</v>
      </c>
      <c r="U464" s="11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26" t="n">
        <v>81.51000000000001</v>
      </c>
      <c r="W464" s="26" t="n">
        <v>41.09</v>
      </c>
      <c r="X464" s="26">
        <f>ROUND(('Methodology &amp; Assumptions'!$B$5*V464) + ('Methodology &amp; Assumptions'!$B$6*W464), 2)</f>
        <v/>
      </c>
      <c r="Y464" s="28" t="n">
        <v>15</v>
      </c>
      <c r="Z464" s="11" t="inlineStr">
        <is>
          <t>Priority Tier 2 (Balanced Opportunity)</t>
        </is>
      </c>
    </row>
    <row r="465">
      <c r="A465" s="23" t="n">
        <v>3</v>
      </c>
      <c r="B465" s="23" t="n">
        <v>461</v>
      </c>
      <c r="C465" s="23" t="n">
        <v>2461</v>
      </c>
      <c r="D465" s="23" t="inlineStr">
        <is>
          <t>1606819006</t>
        </is>
      </c>
      <c r="E465" s="11" t="inlineStr">
        <is>
          <t>Region XIII (Caraga)</t>
        </is>
      </c>
      <c r="F465" s="11" t="inlineStr">
        <is>
          <t>Surigao del Sur</t>
        </is>
      </c>
      <c r="G465" s="11" t="inlineStr">
        <is>
          <t>City of Tandag</t>
        </is>
      </c>
      <c r="H465" s="11" t="inlineStr">
        <is>
          <t>Dagocdoc</t>
        </is>
      </c>
      <c r="I465" s="24" t="n">
        <v>9.0784</v>
      </c>
      <c r="J465" s="24" t="n">
        <v>126.195</v>
      </c>
      <c r="K465" s="23" t="inlineStr">
        <is>
          <t>U</t>
        </is>
      </c>
      <c r="L465" s="25" t="n">
        <v>3793</v>
      </c>
      <c r="M465" s="26" t="n">
        <v>4.1</v>
      </c>
      <c r="N465" s="25">
        <f>ROUND(L465/M465, 0)</f>
        <v/>
      </c>
      <c r="O465" s="25">
        <f>ROUND(N465*'Methodology &amp; Assumptions'!$B$7, 0)</f>
        <v/>
      </c>
      <c r="P465" s="23" t="inlineStr">
        <is>
          <t>Single Carrier (Band n50, 100MHz TDD)</t>
        </is>
      </c>
      <c r="Q465" s="27">
        <f>ROUNDUP(O465/'Methodology &amp; Assumptions'!$B$8, 0)</f>
        <v/>
      </c>
      <c r="R465" s="27" t="n">
        <v>1</v>
      </c>
      <c r="S465" s="26" t="n">
        <v>0.3</v>
      </c>
      <c r="T465" s="26" t="n">
        <v>0.3</v>
      </c>
      <c r="U465" s="11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26" t="n">
        <v>79.87</v>
      </c>
      <c r="W465" s="26" t="n">
        <v>42.74</v>
      </c>
      <c r="X465" s="26">
        <f>ROUND(('Methodology &amp; Assumptions'!$B$5*V465) + ('Methodology &amp; Assumptions'!$B$6*W465), 2)</f>
        <v/>
      </c>
      <c r="Y465" s="28" t="n">
        <v>17.4</v>
      </c>
      <c r="Z465" s="11" t="inlineStr">
        <is>
          <t>Priority Tier 2 (Balanced Opportunity)</t>
        </is>
      </c>
    </row>
    <row r="466">
      <c r="A466" s="23" t="n">
        <v>3</v>
      </c>
      <c r="B466" s="23" t="n">
        <v>462</v>
      </c>
      <c r="C466" s="23" t="n">
        <v>2462</v>
      </c>
      <c r="D466" s="23" t="inlineStr">
        <is>
          <t>1381300038</t>
        </is>
      </c>
      <c r="E466" s="11" t="inlineStr">
        <is>
          <t>National Capital Region (NCR)</t>
        </is>
      </c>
      <c r="F466" s="11" t="inlineStr">
        <is>
          <t>Second District (Not a Province)</t>
        </is>
      </c>
      <c r="G466" s="11" t="inlineStr">
        <is>
          <t>Quezon City</t>
        </is>
      </c>
      <c r="H466" s="11" t="inlineStr">
        <is>
          <t>Escopa II</t>
        </is>
      </c>
      <c r="I466" s="24" t="n">
        <v>14.623929</v>
      </c>
      <c r="J466" s="24" t="n">
        <v>121.075174</v>
      </c>
      <c r="K466" s="23" t="inlineStr">
        <is>
          <t>U</t>
        </is>
      </c>
      <c r="L466" s="25" t="n">
        <v>1736</v>
      </c>
      <c r="M466" s="26" t="n">
        <v>3.89</v>
      </c>
      <c r="N466" s="25">
        <f>ROUND(L466/M466, 0)</f>
        <v/>
      </c>
      <c r="O466" s="25">
        <f>ROUND(N466*'Methodology &amp; Assumptions'!$B$7, 0)</f>
        <v/>
      </c>
      <c r="P466" s="23" t="inlineStr">
        <is>
          <t>Single Carrier (Band n50, 100MHz TDD)</t>
        </is>
      </c>
      <c r="Q466" s="27">
        <f>ROUNDUP(O466/'Methodology &amp; Assumptions'!$B$8, 0)</f>
        <v/>
      </c>
      <c r="R466" s="27" t="n">
        <v>1</v>
      </c>
      <c r="S466" s="26" t="n">
        <v>0.71</v>
      </c>
      <c r="T466" s="26" t="n">
        <v>0.7</v>
      </c>
      <c r="U466" s="11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26" t="n">
        <v>55.45</v>
      </c>
      <c r="W466" s="26" t="n">
        <v>67.16</v>
      </c>
      <c r="X466" s="26">
        <f>ROUND(('Methodology &amp; Assumptions'!$B$5*V466) + ('Methodology &amp; Assumptions'!$B$6*W466), 2)</f>
        <v/>
      </c>
      <c r="Y466" s="28" t="n">
        <v>10.9</v>
      </c>
      <c r="Z466" s="11" t="inlineStr">
        <is>
          <t>Priority Tier 2 (Balanced Opportunity)</t>
        </is>
      </c>
    </row>
    <row r="467">
      <c r="A467" s="23" t="n">
        <v>3</v>
      </c>
      <c r="B467" s="23" t="n">
        <v>463</v>
      </c>
      <c r="C467" s="23" t="n">
        <v>2463</v>
      </c>
      <c r="D467" s="23" t="inlineStr">
        <is>
          <t>1907004009</t>
        </is>
      </c>
      <c r="E467" s="11" t="inlineStr">
        <is>
          <t>Bangsamoro Autonomous Region In Muslim Mindanao (BARMM)</t>
        </is>
      </c>
      <c r="F467" s="11" t="inlineStr">
        <is>
          <t>Tawi-Tawi</t>
        </is>
      </c>
      <c r="G467" s="11" t="inlineStr">
        <is>
          <t>Simunul</t>
        </is>
      </c>
      <c r="H467" s="11" t="inlineStr">
        <is>
          <t>Luuk Datan</t>
        </is>
      </c>
      <c r="I467" s="24" t="n">
        <v>4.802008</v>
      </c>
      <c r="J467" s="24" t="n">
        <v>119.843697</v>
      </c>
      <c r="K467" s="23" t="inlineStr">
        <is>
          <t>R</t>
        </is>
      </c>
      <c r="L467" s="25" t="n">
        <v>2275</v>
      </c>
      <c r="M467" s="26" t="n">
        <v>5.8</v>
      </c>
      <c r="N467" s="25">
        <f>ROUND(L467/M467, 0)</f>
        <v/>
      </c>
      <c r="O467" s="25">
        <f>ROUND(N467*'Methodology &amp; Assumptions'!$B$7, 0)</f>
        <v/>
      </c>
      <c r="P467" s="23" t="inlineStr">
        <is>
          <t>Single Carrier (Band n50, 100MHz TDD)</t>
        </is>
      </c>
      <c r="Q467" s="27">
        <f>ROUNDUP(O467/'Methodology &amp; Assumptions'!$B$8, 0)</f>
        <v/>
      </c>
      <c r="R467" s="27" t="n">
        <v>1</v>
      </c>
      <c r="S467" s="26" t="n">
        <v>999</v>
      </c>
      <c r="T467" s="26" t="n">
        <v>999</v>
      </c>
      <c r="U467" s="11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26" t="n">
        <v>43.69</v>
      </c>
      <c r="W467" s="26" t="n">
        <v>78.90000000000001</v>
      </c>
      <c r="X467" s="26">
        <f>ROUND(('Methodology &amp; Assumptions'!$B$5*V467) + ('Methodology &amp; Assumptions'!$B$6*W467), 2)</f>
        <v/>
      </c>
      <c r="Y467" s="28" t="n">
        <v>11</v>
      </c>
      <c r="Z467" s="11" t="inlineStr">
        <is>
          <t>Priority Tier 2 (Balanced Opportunity)</t>
        </is>
      </c>
    </row>
    <row r="468">
      <c r="A468" s="23" t="n">
        <v>3</v>
      </c>
      <c r="B468" s="23" t="n">
        <v>464</v>
      </c>
      <c r="C468" s="23" t="n">
        <v>2464</v>
      </c>
      <c r="D468" s="23" t="inlineStr">
        <is>
          <t>0403426014</t>
        </is>
      </c>
      <c r="E468" s="11" t="inlineStr">
        <is>
          <t>Region IV-A (CALABARZON)</t>
        </is>
      </c>
      <c r="F468" s="11" t="inlineStr">
        <is>
          <t>Laguna</t>
        </is>
      </c>
      <c r="G468" s="11" t="inlineStr">
        <is>
          <t>Santa Cruz</t>
        </is>
      </c>
      <c r="H468" s="11" t="inlineStr">
        <is>
          <t>Barangay I</t>
        </is>
      </c>
      <c r="I468" s="24" t="n">
        <v>14.277522</v>
      </c>
      <c r="J468" s="24" t="n">
        <v>121.419402</v>
      </c>
      <c r="K468" s="23" t="inlineStr">
        <is>
          <t>R</t>
        </is>
      </c>
      <c r="L468" s="25" t="n">
        <v>1367</v>
      </c>
      <c r="M468" s="26" t="n">
        <v>3.3</v>
      </c>
      <c r="N468" s="25">
        <f>ROUND(L468/M468, 0)</f>
        <v/>
      </c>
      <c r="O468" s="25">
        <f>ROUND(N468*'Methodology &amp; Assumptions'!$B$7, 0)</f>
        <v/>
      </c>
      <c r="P468" s="23" t="inlineStr">
        <is>
          <t>Single Carrier (Band n50, 100MHz TDD)</t>
        </is>
      </c>
      <c r="Q468" s="27">
        <f>ROUNDUP(O468/'Methodology &amp; Assumptions'!$B$8, 0)</f>
        <v/>
      </c>
      <c r="R468" s="27" t="n">
        <v>1</v>
      </c>
      <c r="S468" s="26" t="n">
        <v>0.7</v>
      </c>
      <c r="T468" s="26" t="n">
        <v>0.35</v>
      </c>
      <c r="U468" s="11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26" t="n">
        <v>72.34999999999999</v>
      </c>
      <c r="W468" s="26" t="n">
        <v>50.24</v>
      </c>
      <c r="X468" s="26">
        <f>ROUND(('Methodology &amp; Assumptions'!$B$5*V468) + ('Methodology &amp; Assumptions'!$B$6*W468), 2)</f>
        <v/>
      </c>
      <c r="Y468" s="28" t="n">
        <v>7.2</v>
      </c>
      <c r="Z468" s="11" t="inlineStr">
        <is>
          <t>Priority Tier 2 (Balanced Opportunity)</t>
        </is>
      </c>
    </row>
    <row r="469">
      <c r="A469" s="23" t="n">
        <v>3</v>
      </c>
      <c r="B469" s="23" t="n">
        <v>465</v>
      </c>
      <c r="C469" s="23" t="n">
        <v>2465</v>
      </c>
      <c r="D469" s="23" t="inlineStr">
        <is>
          <t>0103306009</t>
        </is>
      </c>
      <c r="E469" s="11" t="inlineStr">
        <is>
          <t>Region I (Ilocos Region)</t>
        </is>
      </c>
      <c r="F469" s="11" t="inlineStr">
        <is>
          <t>La Union</t>
        </is>
      </c>
      <c r="G469" s="11" t="inlineStr">
        <is>
          <t>Bangar</t>
        </is>
      </c>
      <c r="H469" s="11" t="inlineStr">
        <is>
          <t>Consuegra</t>
        </is>
      </c>
      <c r="I469" s="24" t="n">
        <v>16.899252</v>
      </c>
      <c r="J469" s="24" t="n">
        <v>120.424551</v>
      </c>
      <c r="K469" s="23" t="inlineStr">
        <is>
          <t>R</t>
        </is>
      </c>
      <c r="L469" s="25" t="n">
        <v>1342</v>
      </c>
      <c r="M469" s="26" t="n">
        <v>3.7</v>
      </c>
      <c r="N469" s="25">
        <f>ROUND(L469/M469, 0)</f>
        <v/>
      </c>
      <c r="O469" s="25">
        <f>ROUND(N469*'Methodology &amp; Assumptions'!$B$7, 0)</f>
        <v/>
      </c>
      <c r="P469" s="23" t="inlineStr">
        <is>
          <t>Single Carrier (Band n50, 100MHz TDD)</t>
        </is>
      </c>
      <c r="Q469" s="27">
        <f>ROUNDUP(O469/'Methodology &amp; Assumptions'!$B$8, 0)</f>
        <v/>
      </c>
      <c r="R469" s="27" t="n">
        <v>1</v>
      </c>
      <c r="S469" s="26" t="n">
        <v>0.67</v>
      </c>
      <c r="T469" s="26" t="n">
        <v>0.37</v>
      </c>
      <c r="U469" s="11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26" t="n">
        <v>70.83</v>
      </c>
      <c r="W469" s="26" t="n">
        <v>51.75</v>
      </c>
      <c r="X469" s="26">
        <f>ROUND(('Methodology &amp; Assumptions'!$B$5*V469) + ('Methodology &amp; Assumptions'!$B$6*W469), 2)</f>
        <v/>
      </c>
      <c r="Y469" s="28" t="n">
        <v>8.300000000000001</v>
      </c>
      <c r="Z469" s="11" t="inlineStr">
        <is>
          <t>Priority Tier 2 (Balanced Opportunity)</t>
        </is>
      </c>
    </row>
    <row r="470">
      <c r="A470" s="23" t="n">
        <v>3</v>
      </c>
      <c r="B470" s="23" t="n">
        <v>466</v>
      </c>
      <c r="C470" s="23" t="n">
        <v>2466</v>
      </c>
      <c r="D470" s="23" t="inlineStr">
        <is>
          <t>0301410025</t>
        </is>
      </c>
      <c r="E470" s="11" t="inlineStr">
        <is>
          <t>Region III (Central Luzon)</t>
        </is>
      </c>
      <c r="F470" s="11" t="inlineStr">
        <is>
          <t>Bulacan</t>
        </is>
      </c>
      <c r="G470" s="11" t="inlineStr">
        <is>
          <t>City of Malolos</t>
        </is>
      </c>
      <c r="H470" s="11" t="inlineStr">
        <is>
          <t>Longos</t>
        </is>
      </c>
      <c r="I470" s="24" t="n">
        <v>14.87184</v>
      </c>
      <c r="J470" s="24" t="n">
        <v>120.79293</v>
      </c>
      <c r="K470" s="23" t="inlineStr">
        <is>
          <t>U</t>
        </is>
      </c>
      <c r="L470" s="25" t="n">
        <v>17769</v>
      </c>
      <c r="M470" s="26" t="n">
        <v>3.5</v>
      </c>
      <c r="N470" s="25">
        <f>ROUND(L470/M470, 0)</f>
        <v/>
      </c>
      <c r="O470" s="25">
        <f>ROUND(N470*'Methodology &amp; Assumptions'!$B$7, 0)</f>
        <v/>
      </c>
      <c r="P470" s="23" t="inlineStr">
        <is>
          <t>Single Carrier (Band n50, 100MHz TDD)</t>
        </is>
      </c>
      <c r="Q470" s="27">
        <f>ROUNDUP(O470/'Methodology &amp; Assumptions'!$B$8, 0)</f>
        <v/>
      </c>
      <c r="R470" s="27" t="n">
        <v>1</v>
      </c>
      <c r="S470" s="26" t="n">
        <v>3.22</v>
      </c>
      <c r="T470" s="26" t="n">
        <v>0.5</v>
      </c>
      <c r="U470" s="11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26" t="n">
        <v>70.48</v>
      </c>
      <c r="W470" s="26" t="n">
        <v>52.11</v>
      </c>
      <c r="X470" s="26">
        <f>ROUND(('Methodology &amp; Assumptions'!$B$5*V470) + ('Methodology &amp; Assumptions'!$B$6*W470), 2)</f>
        <v/>
      </c>
      <c r="Y470" s="28" t="n">
        <v>8.300000000000001</v>
      </c>
      <c r="Z470" s="11" t="inlineStr">
        <is>
          <t>Priority Tier 2 (Balanced Opportunity)</t>
        </is>
      </c>
    </row>
    <row r="471">
      <c r="A471" s="23" t="n">
        <v>3</v>
      </c>
      <c r="B471" s="23" t="n">
        <v>467</v>
      </c>
      <c r="C471" s="23" t="n">
        <v>2467</v>
      </c>
      <c r="D471" s="23" t="inlineStr">
        <is>
          <t>1380611017</t>
        </is>
      </c>
      <c r="E471" s="11" t="inlineStr">
        <is>
          <t>National Capital Region (NCR)</t>
        </is>
      </c>
      <c r="F471" s="11" t="inlineStr">
        <is>
          <t>First District (Not a Province)</t>
        </is>
      </c>
      <c r="G471" s="11" t="inlineStr">
        <is>
          <t>City of Manila</t>
        </is>
      </c>
      <c r="H471" s="11" t="inlineStr">
        <is>
          <t>Barangay 683</t>
        </is>
      </c>
      <c r="I471" s="24" t="n">
        <v>14.577571</v>
      </c>
      <c r="J471" s="24" t="n">
        <v>120.995643</v>
      </c>
      <c r="K471" s="23" t="inlineStr">
        <is>
          <t>U</t>
        </is>
      </c>
      <c r="L471" s="25" t="n">
        <v>869</v>
      </c>
      <c r="M471" s="26" t="n">
        <v>2.91</v>
      </c>
      <c r="N471" s="25">
        <f>ROUND(L471/M471, 0)</f>
        <v/>
      </c>
      <c r="O471" s="25">
        <f>ROUND(N471*'Methodology &amp; Assumptions'!$B$7, 0)</f>
        <v/>
      </c>
      <c r="P471" s="23" t="inlineStr">
        <is>
          <t>Single Carrier (Band n50, 100MHz TDD)</t>
        </is>
      </c>
      <c r="Q471" s="27">
        <f>ROUNDUP(O471/'Methodology &amp; Assumptions'!$B$8, 0)</f>
        <v/>
      </c>
      <c r="R471" s="27" t="n">
        <v>1</v>
      </c>
      <c r="S471" s="26" t="n">
        <v>0.63</v>
      </c>
      <c r="T471" s="26" t="n">
        <v>0.14</v>
      </c>
      <c r="U471" s="11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26" t="n">
        <v>50.73</v>
      </c>
      <c r="W471" s="26" t="n">
        <v>71.84999999999999</v>
      </c>
      <c r="X471" s="26">
        <f>ROUND(('Methodology &amp; Assumptions'!$B$5*V471) + ('Methodology &amp; Assumptions'!$B$6*W471), 2)</f>
        <v/>
      </c>
      <c r="Y471" s="28" t="n">
        <v>10.9</v>
      </c>
      <c r="Z471" s="11" t="inlineStr">
        <is>
          <t>Priority Tier 2 (Balanced Opportunity)</t>
        </is>
      </c>
    </row>
    <row r="472">
      <c r="A472" s="23" t="n">
        <v>3</v>
      </c>
      <c r="B472" s="23" t="n">
        <v>468</v>
      </c>
      <c r="C472" s="23" t="n">
        <v>2468</v>
      </c>
      <c r="D472" s="23" t="inlineStr">
        <is>
          <t>1380606073</t>
        </is>
      </c>
      <c r="E472" s="11" t="inlineStr">
        <is>
          <t>National Capital Region (NCR)</t>
        </is>
      </c>
      <c r="F472" s="11" t="inlineStr">
        <is>
          <t>First District (Not a Province)</t>
        </is>
      </c>
      <c r="G472" s="11" t="inlineStr">
        <is>
          <t>City of Manila</t>
        </is>
      </c>
      <c r="H472" s="11" t="inlineStr">
        <is>
          <t>Barangay 467</t>
        </is>
      </c>
      <c r="I472" s="24" t="n">
        <v>14.607586</v>
      </c>
      <c r="J472" s="24" t="n">
        <v>120.987101</v>
      </c>
      <c r="K472" s="23" t="inlineStr">
        <is>
          <t>U</t>
        </is>
      </c>
      <c r="L472" s="25" t="n">
        <v>1417</v>
      </c>
      <c r="M472" s="26" t="n">
        <v>3.61</v>
      </c>
      <c r="N472" s="25">
        <f>ROUND(L472/M472, 0)</f>
        <v/>
      </c>
      <c r="O472" s="25">
        <f>ROUND(N472*'Methodology &amp; Assumptions'!$B$7, 0)</f>
        <v/>
      </c>
      <c r="P472" s="23" t="inlineStr">
        <is>
          <t>Single Carrier (Band n50, 100MHz TDD)</t>
        </is>
      </c>
      <c r="Q472" s="27">
        <f>ROUNDUP(O472/'Methodology &amp; Assumptions'!$B$8, 0)</f>
        <v/>
      </c>
      <c r="R472" s="27" t="n">
        <v>1</v>
      </c>
      <c r="S472" s="26" t="n">
        <v>0.66</v>
      </c>
      <c r="T472" s="26" t="n">
        <v>0.17</v>
      </c>
      <c r="U472" s="11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26" t="n">
        <v>53.73</v>
      </c>
      <c r="W472" s="26" t="n">
        <v>68.81999999999999</v>
      </c>
      <c r="X472" s="26">
        <f>ROUND(('Methodology &amp; Assumptions'!$B$5*V472) + ('Methodology &amp; Assumptions'!$B$6*W472), 2)</f>
        <v/>
      </c>
      <c r="Y472" s="28" t="n">
        <v>10.9</v>
      </c>
      <c r="Z472" s="11" t="inlineStr">
        <is>
          <t>Priority Tier 2 (Balanced Opportunity)</t>
        </is>
      </c>
    </row>
    <row r="473">
      <c r="A473" s="23" t="n">
        <v>3</v>
      </c>
      <c r="B473" s="23" t="n">
        <v>469</v>
      </c>
      <c r="C473" s="23" t="n">
        <v>2469</v>
      </c>
      <c r="D473" s="23" t="inlineStr">
        <is>
          <t>0205702008</t>
        </is>
      </c>
      <c r="E473" s="11" t="inlineStr">
        <is>
          <t>Region II (Cagayan Valley)</t>
        </is>
      </c>
      <c r="F473" s="11" t="inlineStr">
        <is>
          <t>Quirino</t>
        </is>
      </c>
      <c r="G473" s="11" t="inlineStr">
        <is>
          <t>Cabarroguis</t>
        </is>
      </c>
      <c r="H473" s="11" t="inlineStr">
        <is>
          <t>Mangandingay</t>
        </is>
      </c>
      <c r="I473" s="24" t="n">
        <v>16.506033</v>
      </c>
      <c r="J473" s="24" t="n">
        <v>121.545564</v>
      </c>
      <c r="K473" s="23" t="inlineStr">
        <is>
          <t>R</t>
        </is>
      </c>
      <c r="L473" s="25" t="n">
        <v>3342</v>
      </c>
      <c r="M473" s="26" t="n">
        <v>3.9</v>
      </c>
      <c r="N473" s="25">
        <f>ROUND(L473/M473, 0)</f>
        <v/>
      </c>
      <c r="O473" s="25">
        <f>ROUND(N473*'Methodology &amp; Assumptions'!$B$7, 0)</f>
        <v/>
      </c>
      <c r="P473" s="23" t="inlineStr">
        <is>
          <t>Single Carrier (Band n50, 100MHz TDD)</t>
        </is>
      </c>
      <c r="Q473" s="27">
        <f>ROUNDUP(O473/'Methodology &amp; Assumptions'!$B$8, 0)</f>
        <v/>
      </c>
      <c r="R473" s="27" t="n">
        <v>1</v>
      </c>
      <c r="S473" s="26" t="n">
        <v>2.26</v>
      </c>
      <c r="T473" s="26" t="n">
        <v>1.12</v>
      </c>
      <c r="U473" s="11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26" t="n">
        <v>80.52</v>
      </c>
      <c r="W473" s="26" t="n">
        <v>42.01</v>
      </c>
      <c r="X473" s="26">
        <f>ROUND(('Methodology &amp; Assumptions'!$B$5*V473) + ('Methodology &amp; Assumptions'!$B$6*W473), 2)</f>
        <v/>
      </c>
      <c r="Y473" s="28" t="n">
        <v>8.300000000000001</v>
      </c>
      <c r="Z473" s="11" t="inlineStr">
        <is>
          <t>Priority Tier 2 (Balanced Opportunity)</t>
        </is>
      </c>
    </row>
    <row r="474">
      <c r="A474" s="23" t="n">
        <v>3</v>
      </c>
      <c r="B474" s="23" t="n">
        <v>470</v>
      </c>
      <c r="C474" s="23" t="n">
        <v>2470</v>
      </c>
      <c r="D474" s="23" t="inlineStr">
        <is>
          <t>0305415019</t>
        </is>
      </c>
      <c r="E474" s="11" t="inlineStr">
        <is>
          <t>Region III (Central Luzon)</t>
        </is>
      </c>
      <c r="F474" s="11" t="inlineStr">
        <is>
          <t>Pampanga</t>
        </is>
      </c>
      <c r="G474" s="11" t="inlineStr">
        <is>
          <t>Porac</t>
        </is>
      </c>
      <c r="H474" s="11" t="inlineStr">
        <is>
          <t>Manibaug Pasig</t>
        </is>
      </c>
      <c r="I474" s="24" t="n">
        <v>15.113325</v>
      </c>
      <c r="J474" s="24" t="n">
        <v>120.56605</v>
      </c>
      <c r="K474" s="23" t="inlineStr">
        <is>
          <t>U</t>
        </is>
      </c>
      <c r="L474" s="25" t="n">
        <v>5346</v>
      </c>
      <c r="M474" s="26" t="n">
        <v>4</v>
      </c>
      <c r="N474" s="25">
        <f>ROUND(L474/M474, 0)</f>
        <v/>
      </c>
      <c r="O474" s="25">
        <f>ROUND(N474*'Methodology &amp; Assumptions'!$B$7, 0)</f>
        <v/>
      </c>
      <c r="P474" s="23" t="inlineStr">
        <is>
          <t>Single Carrier (Band n50, 100MHz TDD)</t>
        </is>
      </c>
      <c r="Q474" s="27">
        <f>ROUNDUP(O474/'Methodology &amp; Assumptions'!$B$8, 0)</f>
        <v/>
      </c>
      <c r="R474" s="27" t="n">
        <v>1</v>
      </c>
      <c r="S474" s="26" t="n">
        <v>0.71</v>
      </c>
      <c r="T474" s="26" t="n">
        <v>0.26</v>
      </c>
      <c r="U474" s="11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26" t="n">
        <v>78.43000000000001</v>
      </c>
      <c r="W474" s="26" t="n">
        <v>44.11</v>
      </c>
      <c r="X474" s="26">
        <f>ROUND(('Methodology &amp; Assumptions'!$B$5*V474) + ('Methodology &amp; Assumptions'!$B$6*W474), 2)</f>
        <v/>
      </c>
      <c r="Y474" s="28" t="n">
        <v>8.300000000000001</v>
      </c>
      <c r="Z474" s="11" t="inlineStr">
        <is>
          <t>Priority Tier 2 (Balanced Opportunity)</t>
        </is>
      </c>
    </row>
    <row r="475">
      <c r="A475" s="23" t="n">
        <v>3</v>
      </c>
      <c r="B475" s="23" t="n">
        <v>471</v>
      </c>
      <c r="C475" s="23" t="n">
        <v>2471</v>
      </c>
      <c r="D475" s="23" t="inlineStr">
        <is>
          <t>0103307015</t>
        </is>
      </c>
      <c r="E475" s="11" t="inlineStr">
        <is>
          <t>Region I (Ilocos Region)</t>
        </is>
      </c>
      <c r="F475" s="11" t="inlineStr">
        <is>
          <t>La Union</t>
        </is>
      </c>
      <c r="G475" s="11" t="inlineStr">
        <is>
          <t>Bauang</t>
        </is>
      </c>
      <c r="H475" s="11" t="inlineStr">
        <is>
          <t>Central West</t>
        </is>
      </c>
      <c r="I475" s="24" t="n">
        <v>16.527243</v>
      </c>
      <c r="J475" s="24" t="n">
        <v>120.327291</v>
      </c>
      <c r="K475" s="23" t="inlineStr">
        <is>
          <t>U</t>
        </is>
      </c>
      <c r="L475" s="25" t="n">
        <v>4014</v>
      </c>
      <c r="M475" s="26" t="n">
        <v>3.7</v>
      </c>
      <c r="N475" s="25">
        <f>ROUND(L475/M475, 0)</f>
        <v/>
      </c>
      <c r="O475" s="25">
        <f>ROUND(N475*'Methodology &amp; Assumptions'!$B$7, 0)</f>
        <v/>
      </c>
      <c r="P475" s="23" t="inlineStr">
        <is>
          <t>Single Carrier (Band n50, 100MHz TDD)</t>
        </is>
      </c>
      <c r="Q475" s="27">
        <f>ROUNDUP(O475/'Methodology &amp; Assumptions'!$B$8, 0)</f>
        <v/>
      </c>
      <c r="R475" s="27" t="n">
        <v>1</v>
      </c>
      <c r="S475" s="26" t="n">
        <v>0.7</v>
      </c>
      <c r="T475" s="26" t="n">
        <v>0.27</v>
      </c>
      <c r="U475" s="11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26" t="n">
        <v>78.43000000000001</v>
      </c>
      <c r="W475" s="26" t="n">
        <v>44.1</v>
      </c>
      <c r="X475" s="26">
        <f>ROUND(('Methodology &amp; Assumptions'!$B$5*V475) + ('Methodology &amp; Assumptions'!$B$6*W475), 2)</f>
        <v/>
      </c>
      <c r="Y475" s="28" t="n">
        <v>8.300000000000001</v>
      </c>
      <c r="Z475" s="11" t="inlineStr">
        <is>
          <t>Priority Tier 2 (Balanced Opportunity)</t>
        </is>
      </c>
    </row>
    <row r="476">
      <c r="A476" s="23" t="n">
        <v>3</v>
      </c>
      <c r="B476" s="23" t="n">
        <v>472</v>
      </c>
      <c r="C476" s="23" t="n">
        <v>2472</v>
      </c>
      <c r="D476" s="23" t="inlineStr">
        <is>
          <t>0301404003</t>
        </is>
      </c>
      <c r="E476" s="11" t="inlineStr">
        <is>
          <t>Region III (Central Luzon)</t>
        </is>
      </c>
      <c r="F476" s="11" t="inlineStr">
        <is>
          <t>Bulacan</t>
        </is>
      </c>
      <c r="G476" s="11" t="inlineStr">
        <is>
          <t>Bocaue</t>
        </is>
      </c>
      <c r="H476" s="11" t="inlineStr">
        <is>
          <t>Bambang</t>
        </is>
      </c>
      <c r="I476" s="24" t="n">
        <v>14.791964</v>
      </c>
      <c r="J476" s="24" t="n">
        <v>120.926997</v>
      </c>
      <c r="K476" s="23" t="inlineStr">
        <is>
          <t>U</t>
        </is>
      </c>
      <c r="L476" s="25" t="n">
        <v>9241</v>
      </c>
      <c r="M476" s="26" t="n">
        <v>3.5</v>
      </c>
      <c r="N476" s="25">
        <f>ROUND(L476/M476, 0)</f>
        <v/>
      </c>
      <c r="O476" s="25">
        <f>ROUND(N476*'Methodology &amp; Assumptions'!$B$7, 0)</f>
        <v/>
      </c>
      <c r="P476" s="23" t="inlineStr">
        <is>
          <t>Single Carrier (Band n50, 100MHz TDD)</t>
        </is>
      </c>
      <c r="Q476" s="27">
        <f>ROUNDUP(O476/'Methodology &amp; Assumptions'!$B$8, 0)</f>
        <v/>
      </c>
      <c r="R476" s="27" t="n">
        <v>1</v>
      </c>
      <c r="S476" s="26" t="n">
        <v>1.67</v>
      </c>
      <c r="T476" s="26" t="n">
        <v>0.42</v>
      </c>
      <c r="U476" s="11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26" t="n">
        <v>75.34</v>
      </c>
      <c r="W476" s="26" t="n">
        <v>47.19</v>
      </c>
      <c r="X476" s="26">
        <f>ROUND(('Methodology &amp; Assumptions'!$B$5*V476) + ('Methodology &amp; Assumptions'!$B$6*W476), 2)</f>
        <v/>
      </c>
      <c r="Y476" s="28" t="n">
        <v>8.300000000000001</v>
      </c>
      <c r="Z476" s="11" t="inlineStr">
        <is>
          <t>Priority Tier 2 (Balanced Opportunity)</t>
        </is>
      </c>
    </row>
    <row r="477">
      <c r="A477" s="23" t="n">
        <v>3</v>
      </c>
      <c r="B477" s="23" t="n">
        <v>473</v>
      </c>
      <c r="C477" s="23" t="n">
        <v>2473</v>
      </c>
      <c r="D477" s="23" t="inlineStr">
        <is>
          <t>1380200002</t>
        </is>
      </c>
      <c r="E477" s="11" t="inlineStr">
        <is>
          <t>National Capital Region (NCR)</t>
        </is>
      </c>
      <c r="F477" s="11" t="inlineStr">
        <is>
          <t>Fourth District (Not a Province)</t>
        </is>
      </c>
      <c r="G477" s="11" t="inlineStr">
        <is>
          <t>City of Las Piñas</t>
        </is>
      </c>
      <c r="H477" s="11" t="inlineStr">
        <is>
          <t>Daniel Fajardo</t>
        </is>
      </c>
      <c r="I477" s="24" t="n">
        <v>14.480665</v>
      </c>
      <c r="J477" s="24" t="n">
        <v>120.981488</v>
      </c>
      <c r="K477" s="23" t="inlineStr">
        <is>
          <t>U</t>
        </is>
      </c>
      <c r="L477" s="25" t="n">
        <v>10719</v>
      </c>
      <c r="M477" s="26" t="n">
        <v>4.06</v>
      </c>
      <c r="N477" s="25">
        <f>ROUND(L477/M477, 0)</f>
        <v/>
      </c>
      <c r="O477" s="25">
        <f>ROUND(N477*'Methodology &amp; Assumptions'!$B$7, 0)</f>
        <v/>
      </c>
      <c r="P477" s="23" t="inlineStr">
        <is>
          <t>Single Carrier (Band n50, 100MHz TDD)</t>
        </is>
      </c>
      <c r="Q477" s="27">
        <f>ROUNDUP(O477/'Methodology &amp; Assumptions'!$B$8, 0)</f>
        <v/>
      </c>
      <c r="R477" s="27" t="n">
        <v>1</v>
      </c>
      <c r="S477" s="26" t="n">
        <v>1.8</v>
      </c>
      <c r="T477" s="26" t="n">
        <v>0.23</v>
      </c>
      <c r="U477" s="11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26" t="n">
        <v>65.53</v>
      </c>
      <c r="W477" s="26" t="n">
        <v>57.01</v>
      </c>
      <c r="X477" s="26">
        <f>ROUND(('Methodology &amp; Assumptions'!$B$5*V477) + ('Methodology &amp; Assumptions'!$B$6*W477), 2)</f>
        <v/>
      </c>
      <c r="Y477" s="28" t="n">
        <v>10.9</v>
      </c>
      <c r="Z477" s="11" t="inlineStr">
        <is>
          <t>Priority Tier 2 (Balanced Opportunity)</t>
        </is>
      </c>
    </row>
    <row r="478">
      <c r="A478" s="23" t="n">
        <v>3</v>
      </c>
      <c r="B478" s="23" t="n">
        <v>474</v>
      </c>
      <c r="C478" s="23" t="n">
        <v>2474</v>
      </c>
      <c r="D478" s="23" t="inlineStr">
        <is>
          <t>1003514014</t>
        </is>
      </c>
      <c r="E478" s="11" t="inlineStr">
        <is>
          <t>Region X (Northern Mindanao)</t>
        </is>
      </c>
      <c r="F478" s="11" t="inlineStr">
        <is>
          <t>Lanao del Norte</t>
        </is>
      </c>
      <c r="G478" s="11" t="inlineStr">
        <is>
          <t>Munai</t>
        </is>
      </c>
      <c r="H478" s="11" t="inlineStr">
        <is>
          <t>Lumba-Bayabao</t>
        </is>
      </c>
      <c r="I478" s="24" t="n">
        <v>8.0419</v>
      </c>
      <c r="J478" s="24" t="n">
        <v>124.0196</v>
      </c>
      <c r="K478" s="23" t="inlineStr">
        <is>
          <t>R</t>
        </is>
      </c>
      <c r="L478" s="25" t="n">
        <v>1585</v>
      </c>
      <c r="M478" s="26" t="n">
        <v>4.2</v>
      </c>
      <c r="N478" s="25">
        <f>ROUND(L478/M478, 0)</f>
        <v/>
      </c>
      <c r="O478" s="25">
        <f>ROUND(N478*'Methodology &amp; Assumptions'!$B$7, 0)</f>
        <v/>
      </c>
      <c r="P478" s="23" t="inlineStr">
        <is>
          <t>Single Carrier (Band n50, 100MHz TDD)</t>
        </is>
      </c>
      <c r="Q478" s="27">
        <f>ROUNDUP(O478/'Methodology &amp; Assumptions'!$B$8, 0)</f>
        <v/>
      </c>
      <c r="R478" s="27" t="n">
        <v>1</v>
      </c>
      <c r="S478" s="26" t="n">
        <v>24.27</v>
      </c>
      <c r="T478" s="26" t="n">
        <v>14.03</v>
      </c>
      <c r="U478" s="11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26" t="n">
        <v>46.99</v>
      </c>
      <c r="W478" s="26" t="n">
        <v>75.54000000000001</v>
      </c>
      <c r="X478" s="26">
        <f>ROUND(('Methodology &amp; Assumptions'!$B$5*V478) + ('Methodology &amp; Assumptions'!$B$6*W478), 2)</f>
        <v/>
      </c>
      <c r="Y478" s="28" t="n">
        <v>17.4</v>
      </c>
      <c r="Z478" s="11" t="inlineStr">
        <is>
          <t>Priority Tier 2 (Balanced Opportunity)</t>
        </is>
      </c>
    </row>
    <row r="479">
      <c r="A479" s="23" t="n">
        <v>3</v>
      </c>
      <c r="B479" s="23" t="n">
        <v>475</v>
      </c>
      <c r="C479" s="23" t="n">
        <v>2475</v>
      </c>
      <c r="D479" s="23" t="inlineStr">
        <is>
          <t>0307113017</t>
        </is>
      </c>
      <c r="E479" s="11" t="inlineStr">
        <is>
          <t>Region III (Central Luzon)</t>
        </is>
      </c>
      <c r="F479" s="11" t="inlineStr">
        <is>
          <t>Zambales</t>
        </is>
      </c>
      <c r="G479" s="11" t="inlineStr">
        <is>
          <t>Santa Cruz</t>
        </is>
      </c>
      <c r="H479" s="11" t="inlineStr">
        <is>
          <t>Poblacion North</t>
        </is>
      </c>
      <c r="I479" s="24" t="n">
        <v>15.76906</v>
      </c>
      <c r="J479" s="24" t="n">
        <v>119.908121</v>
      </c>
      <c r="K479" s="23" t="inlineStr">
        <is>
          <t>R</t>
        </is>
      </c>
      <c r="L479" s="25" t="n">
        <v>3317</v>
      </c>
      <c r="M479" s="26" t="n">
        <v>3.8</v>
      </c>
      <c r="N479" s="25">
        <f>ROUND(L479/M479, 0)</f>
        <v/>
      </c>
      <c r="O479" s="25">
        <f>ROUND(N479*'Methodology &amp; Assumptions'!$B$7, 0)</f>
        <v/>
      </c>
      <c r="P479" s="23" t="inlineStr">
        <is>
          <t>Single Carrier (Band n50, 100MHz TDD)</t>
        </is>
      </c>
      <c r="Q479" s="27">
        <f>ROUNDUP(O479/'Methodology &amp; Assumptions'!$B$8, 0)</f>
        <v/>
      </c>
      <c r="R479" s="27" t="n">
        <v>1</v>
      </c>
      <c r="S479" s="26" t="n">
        <v>0.19</v>
      </c>
      <c r="T479" s="26" t="n">
        <v>0.12</v>
      </c>
      <c r="U479" s="11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26" t="n">
        <v>85.63</v>
      </c>
      <c r="W479" s="26" t="n">
        <v>36.89</v>
      </c>
      <c r="X479" s="26">
        <f>ROUND(('Methodology &amp; Assumptions'!$B$5*V479) + ('Methodology &amp; Assumptions'!$B$6*W479), 2)</f>
        <v/>
      </c>
      <c r="Y479" s="28" t="n">
        <v>8.300000000000001</v>
      </c>
      <c r="Z479" s="11" t="inlineStr">
        <is>
          <t>Priority Tier 2 (Balanced Opportunity)</t>
        </is>
      </c>
    </row>
    <row r="480">
      <c r="A480" s="23" t="n">
        <v>3</v>
      </c>
      <c r="B480" s="23" t="n">
        <v>476</v>
      </c>
      <c r="C480" s="23" t="n">
        <v>2476</v>
      </c>
      <c r="D480" s="23" t="inlineStr">
        <is>
          <t>0300802016</t>
        </is>
      </c>
      <c r="E480" s="11" t="inlineStr">
        <is>
          <t>Region III (Central Luzon)</t>
        </is>
      </c>
      <c r="F480" s="11" t="inlineStr">
        <is>
          <t>Bataan</t>
        </is>
      </c>
      <c r="G480" s="11" t="inlineStr">
        <is>
          <t>Bagac</t>
        </is>
      </c>
      <c r="H480" s="11" t="inlineStr">
        <is>
          <t>Atilano L. Ricardo</t>
        </is>
      </c>
      <c r="I480" s="24" t="n">
        <v>14.605826</v>
      </c>
      <c r="J480" s="24" t="n">
        <v>120.398836</v>
      </c>
      <c r="K480" s="23" t="inlineStr">
        <is>
          <t>R</t>
        </is>
      </c>
      <c r="L480" s="25" t="n">
        <v>3467</v>
      </c>
      <c r="M480" s="26" t="n">
        <v>3.6</v>
      </c>
      <c r="N480" s="25">
        <f>ROUND(L480/M480, 0)</f>
        <v/>
      </c>
      <c r="O480" s="25">
        <f>ROUND(N480*'Methodology &amp; Assumptions'!$B$7, 0)</f>
        <v/>
      </c>
      <c r="P480" s="23" t="inlineStr">
        <is>
          <t>Single Carrier (Band n50, 100MHz TDD)</t>
        </is>
      </c>
      <c r="Q480" s="27">
        <f>ROUNDUP(O480/'Methodology &amp; Assumptions'!$B$8, 0)</f>
        <v/>
      </c>
      <c r="R480" s="27" t="n">
        <v>1</v>
      </c>
      <c r="S480" s="26" t="n">
        <v>0.09</v>
      </c>
      <c r="T480" s="26" t="n">
        <v>0.03</v>
      </c>
      <c r="U480" s="11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26" t="n">
        <v>85.63</v>
      </c>
      <c r="W480" s="26" t="n">
        <v>36.88</v>
      </c>
      <c r="X480" s="26">
        <f>ROUND(('Methodology &amp; Assumptions'!$B$5*V480) + ('Methodology &amp; Assumptions'!$B$6*W480), 2)</f>
        <v/>
      </c>
      <c r="Y480" s="28" t="n">
        <v>8.300000000000001</v>
      </c>
      <c r="Z480" s="11" t="inlineStr">
        <is>
          <t>Priority Tier 2 (Balanced Opportunity)</t>
        </is>
      </c>
    </row>
    <row r="481">
      <c r="A481" s="23" t="n">
        <v>3</v>
      </c>
      <c r="B481" s="23" t="n">
        <v>477</v>
      </c>
      <c r="C481" s="23" t="n">
        <v>2477</v>
      </c>
      <c r="D481" s="23" t="inlineStr">
        <is>
          <t>0304915023</t>
        </is>
      </c>
      <c r="E481" s="11" t="inlineStr">
        <is>
          <t>Region III (Central Luzon)</t>
        </is>
      </c>
      <c r="F481" s="11" t="inlineStr">
        <is>
          <t>Nueva Ecija</t>
        </is>
      </c>
      <c r="G481" s="11" t="inlineStr">
        <is>
          <t>Llanera</t>
        </is>
      </c>
      <c r="H481" s="11" t="inlineStr">
        <is>
          <t>Victoria</t>
        </is>
      </c>
      <c r="I481" s="24" t="n">
        <v>15.665681</v>
      </c>
      <c r="J481" s="24" t="n">
        <v>121.019219</v>
      </c>
      <c r="K481" s="23" t="inlineStr">
        <is>
          <t>R</t>
        </is>
      </c>
      <c r="L481" s="25" t="n">
        <v>3471</v>
      </c>
      <c r="M481" s="26" t="n">
        <v>3.5</v>
      </c>
      <c r="N481" s="25">
        <f>ROUND(L481/M481, 0)</f>
        <v/>
      </c>
      <c r="O481" s="25">
        <f>ROUND(N481*'Methodology &amp; Assumptions'!$B$7, 0)</f>
        <v/>
      </c>
      <c r="P481" s="23" t="inlineStr">
        <is>
          <t>Single Carrier (Band n50, 100MHz TDD)</t>
        </is>
      </c>
      <c r="Q481" s="27">
        <f>ROUNDUP(O481/'Methodology &amp; Assumptions'!$B$8, 0)</f>
        <v/>
      </c>
      <c r="R481" s="27" t="n">
        <v>1</v>
      </c>
      <c r="S481" s="26" t="n">
        <v>0.01</v>
      </c>
      <c r="T481" s="26" t="n">
        <v>4.96</v>
      </c>
      <c r="U481" s="11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26" t="n">
        <v>85.56999999999999</v>
      </c>
      <c r="W481" s="26" t="n">
        <v>36.96</v>
      </c>
      <c r="X481" s="26">
        <f>ROUND(('Methodology &amp; Assumptions'!$B$5*V481) + ('Methodology &amp; Assumptions'!$B$6*W481), 2)</f>
        <v/>
      </c>
      <c r="Y481" s="28" t="n">
        <v>8.300000000000001</v>
      </c>
      <c r="Z481" s="11" t="inlineStr">
        <is>
          <t>Priority Tier 2 (Balanced Opportunity)</t>
        </is>
      </c>
    </row>
    <row r="482">
      <c r="A482" s="23" t="n">
        <v>3</v>
      </c>
      <c r="B482" s="23" t="n">
        <v>478</v>
      </c>
      <c r="C482" s="23" t="n">
        <v>2478</v>
      </c>
      <c r="D482" s="23" t="inlineStr">
        <is>
          <t>0631000047</t>
        </is>
      </c>
      <c r="E482" s="11" t="inlineStr">
        <is>
          <t>Region VI (Western Visayas)</t>
        </is>
      </c>
      <c r="F482" s="11" t="inlineStr">
        <is>
          <t>Iloilo</t>
        </is>
      </c>
      <c r="G482" s="11" t="inlineStr">
        <is>
          <t>City of Iloilo</t>
        </is>
      </c>
      <c r="H482" s="11" t="inlineStr">
        <is>
          <t>Don Esteban-Lapuz</t>
        </is>
      </c>
      <c r="I482" s="24" t="n">
        <v>10.92438</v>
      </c>
      <c r="J482" s="24" t="n">
        <v>122.558213</v>
      </c>
      <c r="K482" s="23" t="inlineStr">
        <is>
          <t>R</t>
        </is>
      </c>
      <c r="L482" s="25" t="n">
        <v>3257</v>
      </c>
      <c r="M482" s="26" t="n">
        <v>4.2</v>
      </c>
      <c r="N482" s="25">
        <f>ROUND(L482/M482, 0)</f>
        <v/>
      </c>
      <c r="O482" s="25">
        <f>ROUND(N482*'Methodology &amp; Assumptions'!$B$7, 0)</f>
        <v/>
      </c>
      <c r="P482" s="23" t="inlineStr">
        <is>
          <t>Single Carrier (Band n50, 100MHz TDD)</t>
        </is>
      </c>
      <c r="Q482" s="27">
        <f>ROUNDUP(O482/'Methodology &amp; Assumptions'!$B$8, 0)</f>
        <v/>
      </c>
      <c r="R482" s="27" t="n">
        <v>1</v>
      </c>
      <c r="S482" s="26" t="n">
        <v>0.97</v>
      </c>
      <c r="T482" s="26" t="n">
        <v>0.96</v>
      </c>
      <c r="U482" s="11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26" t="n">
        <v>84.45999999999999</v>
      </c>
      <c r="W482" s="26" t="n">
        <v>38.05</v>
      </c>
      <c r="X482" s="26">
        <f>ROUND(('Methodology &amp; Assumptions'!$B$5*V482) + ('Methodology &amp; Assumptions'!$B$6*W482), 2)</f>
        <v/>
      </c>
      <c r="Y482" s="28" t="n">
        <v>23.7</v>
      </c>
      <c r="Z482" s="11" t="inlineStr">
        <is>
          <t>Priority Tier 2 (Balanced Opportunity)</t>
        </is>
      </c>
    </row>
    <row r="483">
      <c r="A483" s="23" t="n">
        <v>3</v>
      </c>
      <c r="B483" s="23" t="n">
        <v>479</v>
      </c>
      <c r="C483" s="23" t="n">
        <v>2479</v>
      </c>
      <c r="D483" s="23" t="inlineStr">
        <is>
          <t>1401114002</t>
        </is>
      </c>
      <c r="E483" s="11" t="inlineStr">
        <is>
          <t>Cordillera Administrative Region (CAR)</t>
        </is>
      </c>
      <c r="F483" s="11" t="inlineStr">
        <is>
          <t>Benguet</t>
        </is>
      </c>
      <c r="G483" s="11" t="inlineStr">
        <is>
          <t>Tublay</t>
        </is>
      </c>
      <c r="H483" s="11" t="inlineStr">
        <is>
          <t>Ambongdolan</t>
        </is>
      </c>
      <c r="I483" s="24" t="n">
        <v>16.53505</v>
      </c>
      <c r="J483" s="24" t="n">
        <v>120.60154</v>
      </c>
      <c r="K483" s="23" t="inlineStr">
        <is>
          <t>R</t>
        </is>
      </c>
      <c r="L483" s="25" t="n">
        <v>1083</v>
      </c>
      <c r="M483" s="26" t="n">
        <v>3.5</v>
      </c>
      <c r="N483" s="25">
        <f>ROUND(L483/M483, 0)</f>
        <v/>
      </c>
      <c r="O483" s="25">
        <f>ROUND(N483*'Methodology &amp; Assumptions'!$B$7, 0)</f>
        <v/>
      </c>
      <c r="P483" s="23" t="inlineStr">
        <is>
          <t>Single Carrier (Band n50, 100MHz TDD)</t>
        </is>
      </c>
      <c r="Q483" s="27">
        <f>ROUNDUP(O483/'Methodology &amp; Assumptions'!$B$8, 0)</f>
        <v/>
      </c>
      <c r="R483" s="27" t="n">
        <v>1</v>
      </c>
      <c r="S483" s="26" t="n">
        <v>4.57</v>
      </c>
      <c r="T483" s="26" t="n">
        <v>6.78</v>
      </c>
      <c r="U483" s="11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26" t="n">
        <v>56.41</v>
      </c>
      <c r="W483" s="26" t="n">
        <v>66.11</v>
      </c>
      <c r="X483" s="26">
        <f>ROUND(('Methodology &amp; Assumptions'!$B$5*V483) + ('Methodology &amp; Assumptions'!$B$6*W483), 2)</f>
        <v/>
      </c>
      <c r="Y483" s="28" t="n">
        <v>10.9</v>
      </c>
      <c r="Z483" s="11" t="inlineStr">
        <is>
          <t>Priority Tier 2 (Balanced Opportunity)</t>
        </is>
      </c>
    </row>
    <row r="484">
      <c r="A484" s="23" t="n">
        <v>3</v>
      </c>
      <c r="B484" s="23" t="n">
        <v>480</v>
      </c>
      <c r="C484" s="23" t="n">
        <v>2480</v>
      </c>
      <c r="D484" s="23" t="inlineStr">
        <is>
          <t>0401005063</t>
        </is>
      </c>
      <c r="E484" s="11" t="inlineStr">
        <is>
          <t>Region IV-A (CALABARZON)</t>
        </is>
      </c>
      <c r="F484" s="11" t="inlineStr">
        <is>
          <t>Batangas</t>
        </is>
      </c>
      <c r="G484" s="11" t="inlineStr">
        <is>
          <t>Batangas City</t>
        </is>
      </c>
      <c r="H484" s="11" t="inlineStr">
        <is>
          <t>Barangay 17</t>
        </is>
      </c>
      <c r="I484" s="24" t="n">
        <v>13.754988</v>
      </c>
      <c r="J484" s="24" t="n">
        <v>121.058234</v>
      </c>
      <c r="K484" s="23" t="inlineStr">
        <is>
          <t>U</t>
        </is>
      </c>
      <c r="L484" s="25" t="n">
        <v>119</v>
      </c>
      <c r="M484" s="26" t="n">
        <v>3.6</v>
      </c>
      <c r="N484" s="25">
        <f>ROUND(L484/M484, 0)</f>
        <v/>
      </c>
      <c r="O484" s="25">
        <f>ROUND(N484*'Methodology &amp; Assumptions'!$B$7, 0)</f>
        <v/>
      </c>
      <c r="P484" s="23" t="inlineStr">
        <is>
          <t>Single Carrier (Band n50, 100MHz TDD)</t>
        </is>
      </c>
      <c r="Q484" s="27">
        <f>ROUNDUP(O484/'Methodology &amp; Assumptions'!$B$8, 0)</f>
        <v/>
      </c>
      <c r="R484" s="27" t="n">
        <v>1</v>
      </c>
      <c r="S484" s="26" t="n">
        <v>0.83</v>
      </c>
      <c r="T484" s="26" t="n">
        <v>0.13</v>
      </c>
      <c r="U484" s="11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26" t="n">
        <v>52.75</v>
      </c>
      <c r="W484" s="26" t="n">
        <v>69.77</v>
      </c>
      <c r="X484" s="26">
        <f>ROUND(('Methodology &amp; Assumptions'!$B$5*V484) + ('Methodology &amp; Assumptions'!$B$6*W484), 2)</f>
        <v/>
      </c>
      <c r="Y484" s="28" t="n">
        <v>7.2</v>
      </c>
      <c r="Z484" s="11" t="inlineStr">
        <is>
          <t>Priority Tier 2 (Balanced Opportunity)</t>
        </is>
      </c>
    </row>
    <row r="485">
      <c r="A485" s="23" t="n">
        <v>3</v>
      </c>
      <c r="B485" s="23" t="n">
        <v>481</v>
      </c>
      <c r="C485" s="23" t="n">
        <v>2481</v>
      </c>
      <c r="D485" s="23" t="inlineStr">
        <is>
          <t>1380603017</t>
        </is>
      </c>
      <c r="E485" s="11" t="inlineStr">
        <is>
          <t>National Capital Region (NCR)</t>
        </is>
      </c>
      <c r="F485" s="11" t="inlineStr">
        <is>
          <t>First District (Not a Province)</t>
        </is>
      </c>
      <c r="G485" s="11" t="inlineStr">
        <is>
          <t>City of Manila</t>
        </is>
      </c>
      <c r="H485" s="11" t="inlineStr">
        <is>
          <t>Barangay 308</t>
        </is>
      </c>
      <c r="I485" s="24" t="n">
        <v>14.601819</v>
      </c>
      <c r="J485" s="24" t="n">
        <v>120.984173</v>
      </c>
      <c r="K485" s="23" t="inlineStr">
        <is>
          <t>U</t>
        </is>
      </c>
      <c r="L485" s="25" t="n">
        <v>965</v>
      </c>
      <c r="M485" s="26" t="n">
        <v>3.77</v>
      </c>
      <c r="N485" s="25">
        <f>ROUND(L485/M485, 0)</f>
        <v/>
      </c>
      <c r="O485" s="25">
        <f>ROUND(N485*'Methodology &amp; Assumptions'!$B$7, 0)</f>
        <v/>
      </c>
      <c r="P485" s="23" t="inlineStr">
        <is>
          <t>Single Carrier (Band n50, 100MHz TDD)</t>
        </is>
      </c>
      <c r="Q485" s="27">
        <f>ROUNDUP(O485/'Methodology &amp; Assumptions'!$B$8, 0)</f>
        <v/>
      </c>
      <c r="R485" s="27" t="n">
        <v>1</v>
      </c>
      <c r="S485" s="26" t="n">
        <v>0.77</v>
      </c>
      <c r="T485" s="26" t="n">
        <v>0.18</v>
      </c>
      <c r="U485" s="11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26" t="n">
        <v>49.34</v>
      </c>
      <c r="W485" s="26" t="n">
        <v>73.18000000000001</v>
      </c>
      <c r="X485" s="26">
        <f>ROUND(('Methodology &amp; Assumptions'!$B$5*V485) + ('Methodology &amp; Assumptions'!$B$6*W485), 2)</f>
        <v/>
      </c>
      <c r="Y485" s="28" t="n">
        <v>10.9</v>
      </c>
      <c r="Z485" s="11" t="inlineStr">
        <is>
          <t>Priority Tier 2 (Balanced Opportunity)</t>
        </is>
      </c>
    </row>
    <row r="486">
      <c r="A486" s="23" t="n">
        <v>3</v>
      </c>
      <c r="B486" s="23" t="n">
        <v>482</v>
      </c>
      <c r="C486" s="23" t="n">
        <v>2482</v>
      </c>
      <c r="D486" s="23" t="inlineStr">
        <is>
          <t>0806022015</t>
        </is>
      </c>
      <c r="E486" s="11" t="inlineStr">
        <is>
          <t>Region VIII (Eastern Visayas)</t>
        </is>
      </c>
      <c r="F486" s="11" t="inlineStr">
        <is>
          <t>Samar</t>
        </is>
      </c>
      <c r="G486" s="11" t="inlineStr">
        <is>
          <t>Paranas</t>
        </is>
      </c>
      <c r="H486" s="11" t="inlineStr">
        <is>
          <t>Lawaan I</t>
        </is>
      </c>
      <c r="I486" s="24" t="n">
        <v>11.880092</v>
      </c>
      <c r="J486" s="24" t="n">
        <v>125.099369</v>
      </c>
      <c r="K486" s="23" t="inlineStr">
        <is>
          <t>R</t>
        </is>
      </c>
      <c r="L486" s="25" t="n">
        <v>1499</v>
      </c>
      <c r="M486" s="26" t="n">
        <v>4.1</v>
      </c>
      <c r="N486" s="25">
        <f>ROUND(L486/M486, 0)</f>
        <v/>
      </c>
      <c r="O486" s="25">
        <f>ROUND(N486*'Methodology &amp; Assumptions'!$B$7, 0)</f>
        <v/>
      </c>
      <c r="P486" s="23" t="inlineStr">
        <is>
          <t>Single Carrier (Band n50, 100MHz TDD)</t>
        </is>
      </c>
      <c r="Q486" s="27">
        <f>ROUNDUP(O486/'Methodology &amp; Assumptions'!$B$8, 0)</f>
        <v/>
      </c>
      <c r="R486" s="27" t="n">
        <v>1</v>
      </c>
      <c r="S486" s="26" t="n">
        <v>72</v>
      </c>
      <c r="T486" s="26" t="n">
        <v>74.88</v>
      </c>
      <c r="U486" s="11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26" t="n">
        <v>47.36</v>
      </c>
      <c r="W486" s="26" t="n">
        <v>75.16</v>
      </c>
      <c r="X486" s="26">
        <f>ROUND(('Methodology &amp; Assumptions'!$B$5*V486) + ('Methodology &amp; Assumptions'!$B$6*W486), 2)</f>
        <v/>
      </c>
      <c r="Y486" s="28" t="n">
        <v>23.7</v>
      </c>
      <c r="Z486" s="11" t="inlineStr">
        <is>
          <t>Priority Tier 2 (Balanced Opportunity)</t>
        </is>
      </c>
    </row>
    <row r="487">
      <c r="A487" s="23" t="n">
        <v>3</v>
      </c>
      <c r="B487" s="23" t="n">
        <v>483</v>
      </c>
      <c r="C487" s="23" t="n">
        <v>2483</v>
      </c>
      <c r="D487" s="23" t="inlineStr">
        <is>
          <t>0103306026</t>
        </is>
      </c>
      <c r="E487" s="11" t="inlineStr">
        <is>
          <t>Region I (Ilocos Region)</t>
        </is>
      </c>
      <c r="F487" s="11" t="inlineStr">
        <is>
          <t>La Union</t>
        </is>
      </c>
      <c r="G487" s="11" t="inlineStr">
        <is>
          <t>Bangar</t>
        </is>
      </c>
      <c r="H487" s="11" t="inlineStr">
        <is>
          <t>Central East No. 2</t>
        </is>
      </c>
      <c r="I487" s="24" t="n">
        <v>16.894629</v>
      </c>
      <c r="J487" s="24" t="n">
        <v>120.42528</v>
      </c>
      <c r="K487" s="23" t="inlineStr">
        <is>
          <t>R</t>
        </is>
      </c>
      <c r="L487" s="25" t="n">
        <v>1049</v>
      </c>
      <c r="M487" s="26" t="n">
        <v>3.7</v>
      </c>
      <c r="N487" s="25">
        <f>ROUND(L487/M487, 0)</f>
        <v/>
      </c>
      <c r="O487" s="25">
        <f>ROUND(N487*'Methodology &amp; Assumptions'!$B$7, 0)</f>
        <v/>
      </c>
      <c r="P487" s="23" t="inlineStr">
        <is>
          <t>Single Carrier (Band n50, 100MHz TDD)</t>
        </is>
      </c>
      <c r="Q487" s="27">
        <f>ROUNDUP(O487/'Methodology &amp; Assumptions'!$B$8, 0)</f>
        <v/>
      </c>
      <c r="R487" s="27" t="n">
        <v>1</v>
      </c>
      <c r="S487" s="26" t="n">
        <v>0.16</v>
      </c>
      <c r="T487" s="26" t="n">
        <v>0.16</v>
      </c>
      <c r="U487" s="11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26" t="n">
        <v>68.23999999999999</v>
      </c>
      <c r="W487" s="26" t="n">
        <v>54.26</v>
      </c>
      <c r="X487" s="26">
        <f>ROUND(('Methodology &amp; Assumptions'!$B$5*V487) + ('Methodology &amp; Assumptions'!$B$6*W487), 2)</f>
        <v/>
      </c>
      <c r="Y487" s="28" t="n">
        <v>8.300000000000001</v>
      </c>
      <c r="Z487" s="11" t="inlineStr">
        <is>
          <t>Priority Tier 2 (Balanced Opportunity)</t>
        </is>
      </c>
    </row>
    <row r="488">
      <c r="A488" s="23" t="n">
        <v>3</v>
      </c>
      <c r="B488" s="23" t="n">
        <v>484</v>
      </c>
      <c r="C488" s="23" t="n">
        <v>2484</v>
      </c>
      <c r="D488" s="23" t="inlineStr">
        <is>
          <t>1380605040</t>
        </is>
      </c>
      <c r="E488" s="11" t="inlineStr">
        <is>
          <t>National Capital Region (NCR)</t>
        </is>
      </c>
      <c r="F488" s="11" t="inlineStr">
        <is>
          <t>First District (Not a Province)</t>
        </is>
      </c>
      <c r="G488" s="11" t="inlineStr">
        <is>
          <t>City of Manila</t>
        </is>
      </c>
      <c r="H488" s="11" t="inlineStr">
        <is>
          <t>Barangay 338</t>
        </is>
      </c>
      <c r="I488" s="24" t="n">
        <v>14.6148</v>
      </c>
      <c r="J488" s="24" t="n">
        <v>120.985425</v>
      </c>
      <c r="K488" s="23" t="inlineStr">
        <is>
          <t>U</t>
        </is>
      </c>
      <c r="L488" s="25" t="n">
        <v>1426</v>
      </c>
      <c r="M488" s="26" t="n">
        <v>4.06</v>
      </c>
      <c r="N488" s="25">
        <f>ROUND(L488/M488, 0)</f>
        <v/>
      </c>
      <c r="O488" s="25">
        <f>ROUND(N488*'Methodology &amp; Assumptions'!$B$7, 0)</f>
        <v/>
      </c>
      <c r="P488" s="23" t="inlineStr">
        <is>
          <t>Single Carrier (Band n50, 100MHz TDD)</t>
        </is>
      </c>
      <c r="Q488" s="27">
        <f>ROUNDUP(O488/'Methodology &amp; Assumptions'!$B$8, 0)</f>
        <v/>
      </c>
      <c r="R488" s="27" t="n">
        <v>1</v>
      </c>
      <c r="S488" s="26" t="n">
        <v>0.33</v>
      </c>
      <c r="T488" s="26" t="n">
        <v>0.33</v>
      </c>
      <c r="U488" s="11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26" t="n">
        <v>52.34</v>
      </c>
      <c r="W488" s="26" t="n">
        <v>70.16</v>
      </c>
      <c r="X488" s="26">
        <f>ROUND(('Methodology &amp; Assumptions'!$B$5*V488) + ('Methodology &amp; Assumptions'!$B$6*W488), 2)</f>
        <v/>
      </c>
      <c r="Y488" s="28" t="n">
        <v>10.9</v>
      </c>
      <c r="Z488" s="11" t="inlineStr">
        <is>
          <t>Priority Tier 2 (Balanced Opportunity)</t>
        </is>
      </c>
    </row>
    <row r="489">
      <c r="A489" s="23" t="n">
        <v>3</v>
      </c>
      <c r="B489" s="23" t="n">
        <v>485</v>
      </c>
      <c r="C489" s="23" t="n">
        <v>2485</v>
      </c>
      <c r="D489" s="23" t="inlineStr">
        <is>
          <t>1381300088</t>
        </is>
      </c>
      <c r="E489" s="11" t="inlineStr">
        <is>
          <t>National Capital Region (NCR)</t>
        </is>
      </c>
      <c r="F489" s="11" t="inlineStr">
        <is>
          <t>Second District (Not a Province)</t>
        </is>
      </c>
      <c r="G489" s="11" t="inlineStr">
        <is>
          <t>Quezon City</t>
        </is>
      </c>
      <c r="H489" s="11" t="inlineStr">
        <is>
          <t>Quirino 3-A</t>
        </is>
      </c>
      <c r="I489" s="24" t="n">
        <v>14.629229</v>
      </c>
      <c r="J489" s="24" t="n">
        <v>121.062241</v>
      </c>
      <c r="K489" s="23" t="inlineStr">
        <is>
          <t>U</t>
        </is>
      </c>
      <c r="L489" s="25" t="n">
        <v>1253</v>
      </c>
      <c r="M489" s="26" t="n">
        <v>3.88</v>
      </c>
      <c r="N489" s="25">
        <f>ROUND(L489/M489, 0)</f>
        <v/>
      </c>
      <c r="O489" s="25">
        <f>ROUND(N489*'Methodology &amp; Assumptions'!$B$7, 0)</f>
        <v/>
      </c>
      <c r="P489" s="23" t="inlineStr">
        <is>
          <t>Single Carrier (Band n50, 100MHz TDD)</t>
        </is>
      </c>
      <c r="Q489" s="27">
        <f>ROUNDUP(O489/'Methodology &amp; Assumptions'!$B$8, 0)</f>
        <v/>
      </c>
      <c r="R489" s="27" t="n">
        <v>1</v>
      </c>
      <c r="S489" s="26" t="n">
        <v>0.8</v>
      </c>
      <c r="T489" s="26" t="n">
        <v>0.06</v>
      </c>
      <c r="U489" s="11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26" t="n">
        <v>51.48</v>
      </c>
      <c r="W489" s="26" t="n">
        <v>71.01000000000001</v>
      </c>
      <c r="X489" s="26">
        <f>ROUND(('Methodology &amp; Assumptions'!$B$5*V489) + ('Methodology &amp; Assumptions'!$B$6*W489), 2)</f>
        <v/>
      </c>
      <c r="Y489" s="28" t="n">
        <v>10.9</v>
      </c>
      <c r="Z489" s="11" t="inlineStr">
        <is>
          <t>Priority Tier 2 (Balanced Opportunity)</t>
        </is>
      </c>
    </row>
    <row r="490">
      <c r="A490" s="23" t="n">
        <v>3</v>
      </c>
      <c r="B490" s="23" t="n">
        <v>486</v>
      </c>
      <c r="C490" s="23" t="n">
        <v>2486</v>
      </c>
      <c r="D490" s="23" t="inlineStr">
        <is>
          <t>1380606079</t>
        </is>
      </c>
      <c r="E490" s="11" t="inlineStr">
        <is>
          <t>National Capital Region (NCR)</t>
        </is>
      </c>
      <c r="F490" s="11" t="inlineStr">
        <is>
          <t>First District (Not a Province)</t>
        </is>
      </c>
      <c r="G490" s="11" t="inlineStr">
        <is>
          <t>City of Manila</t>
        </is>
      </c>
      <c r="H490" s="11" t="inlineStr">
        <is>
          <t>Barangay 473</t>
        </is>
      </c>
      <c r="I490" s="24" t="n">
        <v>14.613264</v>
      </c>
      <c r="J490" s="24" t="n">
        <v>120.995339</v>
      </c>
      <c r="K490" s="23" t="inlineStr">
        <is>
          <t>U</t>
        </is>
      </c>
      <c r="L490" s="25" t="n">
        <v>1395</v>
      </c>
      <c r="M490" s="26" t="n">
        <v>4.24</v>
      </c>
      <c r="N490" s="25">
        <f>ROUND(L490/M490, 0)</f>
        <v/>
      </c>
      <c r="O490" s="25">
        <f>ROUND(N490*'Methodology &amp; Assumptions'!$B$7, 0)</f>
        <v/>
      </c>
      <c r="P490" s="23" t="inlineStr">
        <is>
          <t>Single Carrier (Band n50, 100MHz TDD)</t>
        </is>
      </c>
      <c r="Q490" s="27">
        <f>ROUNDUP(O490/'Methodology &amp; Assumptions'!$B$8, 0)</f>
        <v/>
      </c>
      <c r="R490" s="27" t="n">
        <v>1</v>
      </c>
      <c r="S490" s="26" t="n">
        <v>0.9399999999999999</v>
      </c>
      <c r="T490" s="26" t="n">
        <v>0.32</v>
      </c>
      <c r="U490" s="11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26" t="n">
        <v>51.31</v>
      </c>
      <c r="W490" s="26" t="n">
        <v>71.19</v>
      </c>
      <c r="X490" s="26">
        <f>ROUND(('Methodology &amp; Assumptions'!$B$5*V490) + ('Methodology &amp; Assumptions'!$B$6*W490), 2)</f>
        <v/>
      </c>
      <c r="Y490" s="28" t="n">
        <v>10.9</v>
      </c>
      <c r="Z490" s="11" t="inlineStr">
        <is>
          <t>Priority Tier 2 (Balanced Opportunity)</t>
        </is>
      </c>
    </row>
    <row r="491">
      <c r="A491" s="23" t="n">
        <v>3</v>
      </c>
      <c r="B491" s="23" t="n">
        <v>487</v>
      </c>
      <c r="C491" s="23" t="n">
        <v>2487</v>
      </c>
      <c r="D491" s="23" t="inlineStr">
        <is>
          <t>0702241014</t>
        </is>
      </c>
      <c r="E491" s="11" t="inlineStr">
        <is>
          <t>Region VII (Central Visayas)</t>
        </is>
      </c>
      <c r="F491" s="11" t="inlineStr">
        <is>
          <t>Cebu</t>
        </is>
      </c>
      <c r="G491" s="11" t="inlineStr">
        <is>
          <t>San Fernando</t>
        </is>
      </c>
      <c r="H491" s="11" t="inlineStr">
        <is>
          <t>Panadtaran</t>
        </is>
      </c>
      <c r="I491" s="24" t="n">
        <v>10.15442</v>
      </c>
      <c r="J491" s="24" t="n">
        <v>123.70008</v>
      </c>
      <c r="K491" s="23" t="inlineStr">
        <is>
          <t>U</t>
        </is>
      </c>
      <c r="L491" s="25" t="n">
        <v>6360</v>
      </c>
      <c r="M491" s="26" t="n">
        <v>3.8</v>
      </c>
      <c r="N491" s="25">
        <f>ROUND(L491/M491, 0)</f>
        <v/>
      </c>
      <c r="O491" s="25">
        <f>ROUND(N491*'Methodology &amp; Assumptions'!$B$7, 0)</f>
        <v/>
      </c>
      <c r="P491" s="23" t="inlineStr">
        <is>
          <t>Single Carrier (Band n50, 100MHz TDD)</t>
        </is>
      </c>
      <c r="Q491" s="27">
        <f>ROUNDUP(O491/'Methodology &amp; Assumptions'!$B$8, 0)</f>
        <v/>
      </c>
      <c r="R491" s="27" t="n">
        <v>1</v>
      </c>
      <c r="S491" s="26" t="n">
        <v>1.23</v>
      </c>
      <c r="T491" s="26" t="n">
        <v>0.17</v>
      </c>
      <c r="U491" s="11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26" t="n">
        <v>79.36</v>
      </c>
      <c r="W491" s="26" t="n">
        <v>43.13</v>
      </c>
      <c r="X491" s="26">
        <f>ROUND(('Methodology &amp; Assumptions'!$B$5*V491) + ('Methodology &amp; Assumptions'!$B$6*W491), 2)</f>
        <v/>
      </c>
      <c r="Y491" s="28" t="n">
        <v>23.7</v>
      </c>
      <c r="Z491" s="11" t="inlineStr">
        <is>
          <t>Priority Tier 2 (Balanced Opportunity)</t>
        </is>
      </c>
    </row>
    <row r="492">
      <c r="A492" s="23" t="n">
        <v>3</v>
      </c>
      <c r="B492" s="23" t="n">
        <v>488</v>
      </c>
      <c r="C492" s="23" t="n">
        <v>2488</v>
      </c>
      <c r="D492" s="23" t="inlineStr">
        <is>
          <t>0103307014</t>
        </is>
      </c>
      <c r="E492" s="11" t="inlineStr">
        <is>
          <t>Region I (Ilocos Region)</t>
        </is>
      </c>
      <c r="F492" s="11" t="inlineStr">
        <is>
          <t>La Union</t>
        </is>
      </c>
      <c r="G492" s="11" t="inlineStr">
        <is>
          <t>Bauang</t>
        </is>
      </c>
      <c r="H492" s="11" t="inlineStr">
        <is>
          <t>Central East</t>
        </is>
      </c>
      <c r="I492" s="24" t="n">
        <v>16.526733</v>
      </c>
      <c r="J492" s="24" t="n">
        <v>120.331</v>
      </c>
      <c r="K492" s="23" t="inlineStr">
        <is>
          <t>U</t>
        </is>
      </c>
      <c r="L492" s="25" t="n">
        <v>4199</v>
      </c>
      <c r="M492" s="26" t="n">
        <v>3.7</v>
      </c>
      <c r="N492" s="25">
        <f>ROUND(L492/M492, 0)</f>
        <v/>
      </c>
      <c r="O492" s="25">
        <f>ROUND(N492*'Methodology &amp; Assumptions'!$B$7, 0)</f>
        <v/>
      </c>
      <c r="P492" s="23" t="inlineStr">
        <is>
          <t>Single Carrier (Band n50, 100MHz TDD)</t>
        </is>
      </c>
      <c r="Q492" s="27">
        <f>ROUNDUP(O492/'Methodology &amp; Assumptions'!$B$8, 0)</f>
        <v/>
      </c>
      <c r="R492" s="27" t="n">
        <v>1</v>
      </c>
      <c r="S492" s="26" t="n">
        <v>0.79</v>
      </c>
      <c r="T492" s="26" t="n">
        <v>0.11</v>
      </c>
      <c r="U492" s="11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26" t="n">
        <v>78.43000000000001</v>
      </c>
      <c r="W492" s="26" t="n">
        <v>44.05</v>
      </c>
      <c r="X492" s="26">
        <f>ROUND(('Methodology &amp; Assumptions'!$B$5*V492) + ('Methodology &amp; Assumptions'!$B$6*W492), 2)</f>
        <v/>
      </c>
      <c r="Y492" s="28" t="n">
        <v>8.300000000000001</v>
      </c>
      <c r="Z492" s="11" t="inlineStr">
        <is>
          <t>Priority Tier 2 (Balanced Opportunity)</t>
        </is>
      </c>
    </row>
    <row r="493">
      <c r="A493" s="23" t="n">
        <v>3</v>
      </c>
      <c r="B493" s="23" t="n">
        <v>489</v>
      </c>
      <c r="C493" s="23" t="n">
        <v>2489</v>
      </c>
      <c r="D493" s="23" t="inlineStr">
        <is>
          <t>0403422017</t>
        </is>
      </c>
      <c r="E493" s="11" t="inlineStr">
        <is>
          <t>Region IV-A (CALABARZON)</t>
        </is>
      </c>
      <c r="F493" s="11" t="inlineStr">
        <is>
          <t>Laguna</t>
        </is>
      </c>
      <c r="G493" s="11" t="inlineStr">
        <is>
          <t>Pila</t>
        </is>
      </c>
      <c r="H493" s="11" t="inlineStr">
        <is>
          <t>Santa Clara Sur</t>
        </is>
      </c>
      <c r="I493" s="24" t="n">
        <v>14.227764</v>
      </c>
      <c r="J493" s="24" t="n">
        <v>121.366021</v>
      </c>
      <c r="K493" s="23" t="inlineStr">
        <is>
          <t>U</t>
        </is>
      </c>
      <c r="L493" s="25" t="n">
        <v>6468</v>
      </c>
      <c r="M493" s="26" t="n">
        <v>3.3</v>
      </c>
      <c r="N493" s="25">
        <f>ROUND(L493/M493, 0)</f>
        <v/>
      </c>
      <c r="O493" s="25">
        <f>ROUND(N493*'Methodology &amp; Assumptions'!$B$7, 0)</f>
        <v/>
      </c>
      <c r="P493" s="23" t="inlineStr">
        <is>
          <t>Single Carrier (Band n50, 100MHz TDD)</t>
        </is>
      </c>
      <c r="Q493" s="27">
        <f>ROUNDUP(O493/'Methodology &amp; Assumptions'!$B$8, 0)</f>
        <v/>
      </c>
      <c r="R493" s="27" t="n">
        <v>1</v>
      </c>
      <c r="S493" s="26" t="n">
        <v>1.03</v>
      </c>
      <c r="T493" s="26" t="n">
        <v>0.04</v>
      </c>
      <c r="U493" s="11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26" t="n">
        <v>77.51000000000001</v>
      </c>
      <c r="W493" s="26" t="n">
        <v>44.97</v>
      </c>
      <c r="X493" s="26">
        <f>ROUND(('Methodology &amp; Assumptions'!$B$5*V493) + ('Methodology &amp; Assumptions'!$B$6*W493), 2)</f>
        <v/>
      </c>
      <c r="Y493" s="28" t="n">
        <v>7.2</v>
      </c>
      <c r="Z493" s="11" t="inlineStr">
        <is>
          <t>Priority Tier 2 (Balanced Opportunity)</t>
        </is>
      </c>
    </row>
    <row r="494">
      <c r="A494" s="23" t="n">
        <v>3</v>
      </c>
      <c r="B494" s="23" t="n">
        <v>490</v>
      </c>
      <c r="C494" s="23" t="n">
        <v>2490</v>
      </c>
      <c r="D494" s="23" t="inlineStr">
        <is>
          <t>0201514019</t>
        </is>
      </c>
      <c r="E494" s="11" t="inlineStr">
        <is>
          <t>Region II (Cagayan Valley)</t>
        </is>
      </c>
      <c r="F494" s="11" t="inlineStr">
        <is>
          <t>Cagayan</t>
        </is>
      </c>
      <c r="G494" s="11" t="inlineStr">
        <is>
          <t>Gonzaga</t>
        </is>
      </c>
      <c r="H494" s="11" t="inlineStr">
        <is>
          <t>Progressive</t>
        </is>
      </c>
      <c r="I494" s="24" t="n">
        <v>18.1549</v>
      </c>
      <c r="J494" s="24" t="n">
        <v>121.5928</v>
      </c>
      <c r="K494" s="23" t="inlineStr">
        <is>
          <t>R</t>
        </is>
      </c>
      <c r="L494" s="25" t="n">
        <v>2474</v>
      </c>
      <c r="M494" s="26" t="n">
        <v>3.9</v>
      </c>
      <c r="N494" s="25">
        <f>ROUND(L494/M494, 0)</f>
        <v/>
      </c>
      <c r="O494" s="25">
        <f>ROUND(N494*'Methodology &amp; Assumptions'!$B$7, 0)</f>
        <v/>
      </c>
      <c r="P494" s="23" t="inlineStr">
        <is>
          <t>Single Carrier (Band n50, 100MHz TDD)</t>
        </is>
      </c>
      <c r="Q494" s="27">
        <f>ROUNDUP(O494/'Methodology &amp; Assumptions'!$B$8, 0)</f>
        <v/>
      </c>
      <c r="R494" s="27" t="n">
        <v>1</v>
      </c>
      <c r="S494" s="26" t="n">
        <v>1.59</v>
      </c>
      <c r="T494" s="26" t="n">
        <v>0.98</v>
      </c>
      <c r="U494" s="11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26" t="n">
        <v>76.81</v>
      </c>
      <c r="W494" s="26" t="n">
        <v>45.68</v>
      </c>
      <c r="X494" s="26">
        <f>ROUND(('Methodology &amp; Assumptions'!$B$5*V494) + ('Methodology &amp; Assumptions'!$B$6*W494), 2)</f>
        <v/>
      </c>
      <c r="Y494" s="28" t="n">
        <v>8.300000000000001</v>
      </c>
      <c r="Z494" s="11" t="inlineStr">
        <is>
          <t>Priority Tier 2 (Balanced Opportunity)</t>
        </is>
      </c>
    </row>
    <row r="495">
      <c r="A495" s="23" t="n">
        <v>3</v>
      </c>
      <c r="B495" s="23" t="n">
        <v>491</v>
      </c>
      <c r="C495" s="23" t="n">
        <v>2491</v>
      </c>
      <c r="D495" s="23" t="inlineStr">
        <is>
          <t>0403403011</t>
        </is>
      </c>
      <c r="E495" s="11" t="inlineStr">
        <is>
          <t>Region IV-A (CALABARZON)</t>
        </is>
      </c>
      <c r="F495" s="11" t="inlineStr">
        <is>
          <t>Laguna</t>
        </is>
      </c>
      <c r="G495" s="11" t="inlineStr">
        <is>
          <t>City of Biñan</t>
        </is>
      </c>
      <c r="H495" s="11" t="inlineStr">
        <is>
          <t>Loma</t>
        </is>
      </c>
      <c r="I495" s="24" t="n">
        <v>14.286862</v>
      </c>
      <c r="J495" s="24" t="n">
        <v>121.066556</v>
      </c>
      <c r="K495" s="23" t="inlineStr">
        <is>
          <t>U</t>
        </is>
      </c>
      <c r="L495" s="25" t="n">
        <v>14325</v>
      </c>
      <c r="M495" s="26" t="n">
        <v>3.3</v>
      </c>
      <c r="N495" s="25">
        <f>ROUND(L495/M495, 0)</f>
        <v/>
      </c>
      <c r="O495" s="25">
        <f>ROUND(N495*'Methodology &amp; Assumptions'!$B$7, 0)</f>
        <v/>
      </c>
      <c r="P495" s="23" t="inlineStr">
        <is>
          <t>Single Carrier (Band n50, 100MHz TDD)</t>
        </is>
      </c>
      <c r="Q495" s="27">
        <f>ROUNDUP(O495/'Methodology &amp; Assumptions'!$B$8, 0)</f>
        <v/>
      </c>
      <c r="R495" s="27" t="n">
        <v>1</v>
      </c>
      <c r="S495" s="26" t="n">
        <v>1.21</v>
      </c>
      <c r="T495" s="26" t="n">
        <v>2.1</v>
      </c>
      <c r="U495" s="11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26" t="n">
        <v>73.33</v>
      </c>
      <c r="W495" s="26" t="n">
        <v>49.16</v>
      </c>
      <c r="X495" s="26">
        <f>ROUND(('Methodology &amp; Assumptions'!$B$5*V495) + ('Methodology &amp; Assumptions'!$B$6*W495), 2)</f>
        <v/>
      </c>
      <c r="Y495" s="28" t="n">
        <v>7.2</v>
      </c>
      <c r="Z495" s="11" t="inlineStr">
        <is>
          <t>Priority Tier 2 (Balanced Opportunity)</t>
        </is>
      </c>
    </row>
    <row r="496">
      <c r="A496" s="23" t="n">
        <v>3</v>
      </c>
      <c r="B496" s="23" t="n">
        <v>492</v>
      </c>
      <c r="C496" s="23" t="n">
        <v>2492</v>
      </c>
      <c r="D496" s="23" t="inlineStr">
        <is>
          <t>0806417004</t>
        </is>
      </c>
      <c r="E496" s="11" t="inlineStr">
        <is>
          <t>Region VIII (Eastern Visayas)</t>
        </is>
      </c>
      <c r="F496" s="11" t="inlineStr">
        <is>
          <t>Southern Leyte</t>
        </is>
      </c>
      <c r="G496" s="11" t="inlineStr">
        <is>
          <t>Sogod</t>
        </is>
      </c>
      <c r="H496" s="11" t="inlineStr">
        <is>
          <t>Cabadbaran</t>
        </is>
      </c>
      <c r="I496" s="24" t="n">
        <v>10.415869</v>
      </c>
      <c r="J496" s="24" t="n">
        <v>124.958931</v>
      </c>
      <c r="K496" s="23" t="inlineStr">
        <is>
          <t>R</t>
        </is>
      </c>
      <c r="L496" s="25" t="n">
        <v>220</v>
      </c>
      <c r="M496" s="26" t="n">
        <v>4.1</v>
      </c>
      <c r="N496" s="25">
        <f>ROUND(L496/M496, 0)</f>
        <v/>
      </c>
      <c r="O496" s="25">
        <f>ROUND(N496*'Methodology &amp; Assumptions'!$B$7, 0)</f>
        <v/>
      </c>
      <c r="P496" s="23" t="inlineStr">
        <is>
          <t>Single Carrier (Band n50, 100MHz TDD)</t>
        </is>
      </c>
      <c r="Q496" s="27">
        <f>ROUNDUP(O496/'Methodology &amp; Assumptions'!$B$8, 0)</f>
        <v/>
      </c>
      <c r="R496" s="27" t="n">
        <v>1</v>
      </c>
      <c r="S496" s="26" t="n">
        <v>4.19</v>
      </c>
      <c r="T496" s="26" t="n">
        <v>3.48</v>
      </c>
      <c r="U496" s="11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26" t="n">
        <v>49.58</v>
      </c>
      <c r="W496" s="26" t="n">
        <v>72.91</v>
      </c>
      <c r="X496" s="26">
        <f>ROUND(('Methodology &amp; Assumptions'!$B$5*V496) + ('Methodology &amp; Assumptions'!$B$6*W496), 2)</f>
        <v/>
      </c>
      <c r="Y496" s="28" t="n">
        <v>23.7</v>
      </c>
      <c r="Z496" s="11" t="inlineStr">
        <is>
          <t>Priority Tier 2 (Balanced Opportunity)</t>
        </is>
      </c>
    </row>
    <row r="497">
      <c r="A497" s="23" t="n">
        <v>3</v>
      </c>
      <c r="B497" s="23" t="n">
        <v>493</v>
      </c>
      <c r="C497" s="23" t="n">
        <v>2493</v>
      </c>
      <c r="D497" s="23" t="inlineStr">
        <is>
          <t>0300809006</t>
        </is>
      </c>
      <c r="E497" s="11" t="inlineStr">
        <is>
          <t>Region III (Central Luzon)</t>
        </is>
      </c>
      <c r="F497" s="11" t="inlineStr">
        <is>
          <t>Bataan</t>
        </is>
      </c>
      <c r="G497" s="11" t="inlineStr">
        <is>
          <t>Orani</t>
        </is>
      </c>
      <c r="H497" s="11" t="inlineStr">
        <is>
          <t>Centro II</t>
        </is>
      </c>
      <c r="I497" s="24" t="n">
        <v>14.801466</v>
      </c>
      <c r="J497" s="24" t="n">
        <v>120.539123</v>
      </c>
      <c r="K497" s="23" t="inlineStr">
        <is>
          <t>R</t>
        </is>
      </c>
      <c r="L497" s="25" t="n">
        <v>453</v>
      </c>
      <c r="M497" s="26" t="n">
        <v>3.6</v>
      </c>
      <c r="N497" s="25">
        <f>ROUND(L497/M497, 0)</f>
        <v/>
      </c>
      <c r="O497" s="25">
        <f>ROUND(N497*'Methodology &amp; Assumptions'!$B$7, 0)</f>
        <v/>
      </c>
      <c r="P497" s="23" t="inlineStr">
        <is>
          <t>Single Carrier (Band n50, 100MHz TDD)</t>
        </is>
      </c>
      <c r="Q497" s="27">
        <f>ROUNDUP(O497/'Methodology &amp; Assumptions'!$B$8, 0)</f>
        <v/>
      </c>
      <c r="R497" s="27" t="n">
        <v>1</v>
      </c>
      <c r="S497" s="26" t="n">
        <v>0.31</v>
      </c>
      <c r="T497" s="26" t="n">
        <v>0.29</v>
      </c>
      <c r="U497" s="11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26" t="n">
        <v>63.15</v>
      </c>
      <c r="W497" s="26" t="n">
        <v>59.32</v>
      </c>
      <c r="X497" s="26">
        <f>ROUND(('Methodology &amp; Assumptions'!$B$5*V497) + ('Methodology &amp; Assumptions'!$B$6*W497), 2)</f>
        <v/>
      </c>
      <c r="Y497" s="28" t="n">
        <v>8.300000000000001</v>
      </c>
      <c r="Z497" s="11" t="inlineStr">
        <is>
          <t>Priority Tier 2 (Balanced Opportunity)</t>
        </is>
      </c>
    </row>
    <row r="498">
      <c r="A498" s="23" t="n">
        <v>3</v>
      </c>
      <c r="B498" s="23" t="n">
        <v>494</v>
      </c>
      <c r="C498" s="23" t="n">
        <v>2494</v>
      </c>
      <c r="D498" s="23" t="inlineStr">
        <is>
          <t>1381100062</t>
        </is>
      </c>
      <c r="E498" s="11" t="inlineStr">
        <is>
          <t>National Capital Region (NCR)</t>
        </is>
      </c>
      <c r="F498" s="11" t="inlineStr">
        <is>
          <t>Fourth District (Not a Province)</t>
        </is>
      </c>
      <c r="G498" s="11" t="inlineStr">
        <is>
          <t>Pasay City</t>
        </is>
      </c>
      <c r="H498" s="11" t="inlineStr">
        <is>
          <t>Barangay 62</t>
        </is>
      </c>
      <c r="I498" s="24" t="n">
        <v>14.550573</v>
      </c>
      <c r="J498" s="24" t="n">
        <v>121.002452</v>
      </c>
      <c r="K498" s="23" t="inlineStr">
        <is>
          <t>U</t>
        </is>
      </c>
      <c r="L498" s="25" t="n">
        <v>1268</v>
      </c>
      <c r="M498" s="26" t="n">
        <v>3.37</v>
      </c>
      <c r="N498" s="25">
        <f>ROUND(L498/M498, 0)</f>
        <v/>
      </c>
      <c r="O498" s="25">
        <f>ROUND(N498*'Methodology &amp; Assumptions'!$B$7, 0)</f>
        <v/>
      </c>
      <c r="P498" s="23" t="inlineStr">
        <is>
          <t>Single Carrier (Band n50, 100MHz TDD)</t>
        </is>
      </c>
      <c r="Q498" s="27">
        <f>ROUNDUP(O498/'Methodology &amp; Assumptions'!$B$8, 0)</f>
        <v/>
      </c>
      <c r="R498" s="27" t="n">
        <v>1</v>
      </c>
      <c r="S498" s="26" t="n">
        <v>0.97</v>
      </c>
      <c r="T498" s="26" t="n">
        <v>0.27</v>
      </c>
      <c r="U498" s="11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26" t="n">
        <v>52.71</v>
      </c>
      <c r="W498" s="26" t="n">
        <v>69.75</v>
      </c>
      <c r="X498" s="26">
        <f>ROUND(('Methodology &amp; Assumptions'!$B$5*V498) + ('Methodology &amp; Assumptions'!$B$6*W498), 2)</f>
        <v/>
      </c>
      <c r="Y498" s="28" t="n">
        <v>10.9</v>
      </c>
      <c r="Z498" s="11" t="inlineStr">
        <is>
          <t>Priority Tier 2 (Balanced Opportunity)</t>
        </is>
      </c>
    </row>
    <row r="499">
      <c r="A499" s="23" t="n">
        <v>3</v>
      </c>
      <c r="B499" s="23" t="n">
        <v>495</v>
      </c>
      <c r="C499" s="23" t="n">
        <v>2495</v>
      </c>
      <c r="D499" s="23" t="inlineStr">
        <is>
          <t>0506211024</t>
        </is>
      </c>
      <c r="E499" s="11" t="inlineStr">
        <is>
          <t>Region V (Bicol Region)</t>
        </is>
      </c>
      <c r="F499" s="11" t="inlineStr">
        <is>
          <t>Sorsogon</t>
        </is>
      </c>
      <c r="G499" s="11" t="inlineStr">
        <is>
          <t>Magallanes</t>
        </is>
      </c>
      <c r="H499" s="11" t="inlineStr">
        <is>
          <t>Malbog</t>
        </is>
      </c>
      <c r="I499" s="24" t="n">
        <v>12.81198</v>
      </c>
      <c r="J499" s="24" t="n">
        <v>123.880074</v>
      </c>
      <c r="K499" s="23" t="inlineStr">
        <is>
          <t>R</t>
        </is>
      </c>
      <c r="L499" s="25" t="n">
        <v>366</v>
      </c>
      <c r="M499" s="26" t="n">
        <v>4</v>
      </c>
      <c r="N499" s="25">
        <f>ROUND(L499/M499, 0)</f>
        <v/>
      </c>
      <c r="O499" s="25">
        <f>ROUND(N499*'Methodology &amp; Assumptions'!$B$7, 0)</f>
        <v/>
      </c>
      <c r="P499" s="23" t="inlineStr">
        <is>
          <t>Single Carrier (Band n50, 100MHz TDD)</t>
        </is>
      </c>
      <c r="Q499" s="27">
        <f>ROUNDUP(O499/'Methodology &amp; Assumptions'!$B$8, 0)</f>
        <v/>
      </c>
      <c r="R499" s="27" t="n">
        <v>1</v>
      </c>
      <c r="S499" s="26" t="n">
        <v>4.49</v>
      </c>
      <c r="T499" s="26" t="n">
        <v>2.05</v>
      </c>
      <c r="U499" s="11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26" t="n">
        <v>50.22</v>
      </c>
      <c r="W499" s="26" t="n">
        <v>72.23999999999999</v>
      </c>
      <c r="X499" s="26">
        <f>ROUND(('Methodology &amp; Assumptions'!$B$5*V499) + ('Methodology &amp; Assumptions'!$B$6*W499), 2)</f>
        <v/>
      </c>
      <c r="Y499" s="28" t="n">
        <v>23.7</v>
      </c>
      <c r="Z499" s="11" t="inlineStr">
        <is>
          <t>Priority Tier 2 (Balanced Opportunity)</t>
        </is>
      </c>
    </row>
    <row r="500">
      <c r="A500" s="23" t="n">
        <v>3</v>
      </c>
      <c r="B500" s="23" t="n">
        <v>496</v>
      </c>
      <c r="C500" s="23" t="n">
        <v>2496</v>
      </c>
      <c r="D500" s="23" t="inlineStr">
        <is>
          <t>0806010003</t>
        </is>
      </c>
      <c r="E500" s="11" t="inlineStr">
        <is>
          <t>Region VIII (Eastern Visayas)</t>
        </is>
      </c>
      <c r="F500" s="11" t="inlineStr">
        <is>
          <t>Samar</t>
        </is>
      </c>
      <c r="G500" s="11" t="inlineStr">
        <is>
          <t>Marabut</t>
        </is>
      </c>
      <c r="H500" s="11" t="inlineStr">
        <is>
          <t>Canyoyo</t>
        </is>
      </c>
      <c r="I500" s="24" t="n">
        <v>11.167923</v>
      </c>
      <c r="J500" s="24" t="n">
        <v>125.228584</v>
      </c>
      <c r="K500" s="23" t="inlineStr">
        <is>
          <t>R</t>
        </is>
      </c>
      <c r="L500" s="25" t="n">
        <v>614</v>
      </c>
      <c r="M500" s="26" t="n">
        <v>4.1</v>
      </c>
      <c r="N500" s="25">
        <f>ROUND(L500/M500, 0)</f>
        <v/>
      </c>
      <c r="O500" s="25">
        <f>ROUND(N500*'Methodology &amp; Assumptions'!$B$7, 0)</f>
        <v/>
      </c>
      <c r="P500" s="23" t="inlineStr">
        <is>
          <t>Single Carrier (Band n50, 100MHz TDD)</t>
        </is>
      </c>
      <c r="Q500" s="27">
        <f>ROUNDUP(O500/'Methodology &amp; Assumptions'!$B$8, 0)</f>
        <v/>
      </c>
      <c r="R500" s="27" t="n">
        <v>1</v>
      </c>
      <c r="S500" s="26" t="n">
        <v>23.81</v>
      </c>
      <c r="T500" s="26" t="n">
        <v>23.1</v>
      </c>
      <c r="U500" s="11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26" t="n">
        <v>43.39</v>
      </c>
      <c r="W500" s="26" t="n">
        <v>79.06999999999999</v>
      </c>
      <c r="X500" s="26">
        <f>ROUND(('Methodology &amp; Assumptions'!$B$5*V500) + ('Methodology &amp; Assumptions'!$B$6*W500), 2)</f>
        <v/>
      </c>
      <c r="Y500" s="28" t="n">
        <v>23.7</v>
      </c>
      <c r="Z500" s="11" t="inlineStr">
        <is>
          <t>Priority Tier 2 (Balanced Opportunity)</t>
        </is>
      </c>
    </row>
    <row r="501">
      <c r="A501" s="23" t="n">
        <v>3</v>
      </c>
      <c r="B501" s="23" t="n">
        <v>497</v>
      </c>
      <c r="C501" s="23" t="n">
        <v>2497</v>
      </c>
      <c r="D501" s="23" t="inlineStr">
        <is>
          <t>1380607006</t>
        </is>
      </c>
      <c r="E501" s="11" t="inlineStr">
        <is>
          <t>National Capital Region (NCR)</t>
        </is>
      </c>
      <c r="F501" s="11" t="inlineStr">
        <is>
          <t>First District (Not a Province)</t>
        </is>
      </c>
      <c r="G501" s="11" t="inlineStr">
        <is>
          <t>City of Manila</t>
        </is>
      </c>
      <c r="H501" s="11" t="inlineStr">
        <is>
          <t>Barangay 642</t>
        </is>
      </c>
      <c r="I501" s="24" t="n">
        <v>14.59494</v>
      </c>
      <c r="J501" s="24" t="n">
        <v>120.992164</v>
      </c>
      <c r="K501" s="23" t="inlineStr">
        <is>
          <t>U</t>
        </is>
      </c>
      <c r="L501" s="25" t="n">
        <v>1355</v>
      </c>
      <c r="M501" s="26" t="n">
        <v>3.54</v>
      </c>
      <c r="N501" s="25">
        <f>ROUND(L501/M501, 0)</f>
        <v/>
      </c>
      <c r="O501" s="25">
        <f>ROUND(N501*'Methodology &amp; Assumptions'!$B$7, 0)</f>
        <v/>
      </c>
      <c r="P501" s="23" t="inlineStr">
        <is>
          <t>Single Carrier (Band n50, 100MHz TDD)</t>
        </is>
      </c>
      <c r="Q501" s="27">
        <f>ROUNDUP(O501/'Methodology &amp; Assumptions'!$B$8, 0)</f>
        <v/>
      </c>
      <c r="R501" s="27" t="n">
        <v>1</v>
      </c>
      <c r="S501" s="26" t="n">
        <v>0.92</v>
      </c>
      <c r="T501" s="26" t="n">
        <v>0.64</v>
      </c>
      <c r="U501" s="11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26" t="n">
        <v>53.13</v>
      </c>
      <c r="W501" s="26" t="n">
        <v>69.31999999999999</v>
      </c>
      <c r="X501" s="26">
        <f>ROUND(('Methodology &amp; Assumptions'!$B$5*V501) + ('Methodology &amp; Assumptions'!$B$6*W501), 2)</f>
        <v/>
      </c>
      <c r="Y501" s="28" t="n">
        <v>10.9</v>
      </c>
      <c r="Z501" s="11" t="inlineStr">
        <is>
          <t>Priority Tier 2 (Balanced Opportunity)</t>
        </is>
      </c>
    </row>
    <row r="502">
      <c r="A502" s="23" t="n">
        <v>3</v>
      </c>
      <c r="B502" s="23" t="n">
        <v>498</v>
      </c>
      <c r="C502" s="23" t="n">
        <v>2498</v>
      </c>
      <c r="D502" s="23" t="inlineStr">
        <is>
          <t>0401009015</t>
        </is>
      </c>
      <c r="E502" s="11" t="inlineStr">
        <is>
          <t>Region IV-A (CALABARZON)</t>
        </is>
      </c>
      <c r="F502" s="11" t="inlineStr">
        <is>
          <t>Batangas</t>
        </is>
      </c>
      <c r="G502" s="11" t="inlineStr">
        <is>
          <t>Cuenca</t>
        </is>
      </c>
      <c r="H502" s="11" t="inlineStr">
        <is>
          <t>Barangay 1</t>
        </is>
      </c>
      <c r="I502" s="24" t="n">
        <v>13.897486</v>
      </c>
      <c r="J502" s="24" t="n">
        <v>121.052143</v>
      </c>
      <c r="K502" s="23" t="inlineStr">
        <is>
          <t>R</t>
        </is>
      </c>
      <c r="L502" s="25" t="n">
        <v>2058</v>
      </c>
      <c r="M502" s="26" t="n">
        <v>3.6</v>
      </c>
      <c r="N502" s="25">
        <f>ROUND(L502/M502, 0)</f>
        <v/>
      </c>
      <c r="O502" s="25">
        <f>ROUND(N502*'Methodology &amp; Assumptions'!$B$7, 0)</f>
        <v/>
      </c>
      <c r="P502" s="23" t="inlineStr">
        <is>
          <t>Single Carrier (Band n50, 100MHz TDD)</t>
        </is>
      </c>
      <c r="Q502" s="27">
        <f>ROUNDUP(O502/'Methodology &amp; Assumptions'!$B$8, 0)</f>
        <v/>
      </c>
      <c r="R502" s="27" t="n">
        <v>1</v>
      </c>
      <c r="S502" s="26" t="n">
        <v>0.31</v>
      </c>
      <c r="T502" s="26" t="n">
        <v>0.14</v>
      </c>
      <c r="U502" s="11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26" t="n">
        <v>77.56999999999999</v>
      </c>
      <c r="W502" s="26" t="n">
        <v>44.85</v>
      </c>
      <c r="X502" s="26">
        <f>ROUND(('Methodology &amp; Assumptions'!$B$5*V502) + ('Methodology &amp; Assumptions'!$B$6*W502), 2)</f>
        <v/>
      </c>
      <c r="Y502" s="28" t="n">
        <v>7.2</v>
      </c>
      <c r="Z502" s="11" t="inlineStr">
        <is>
          <t>Priority Tier 2 (Balanced Opportunity)</t>
        </is>
      </c>
    </row>
    <row r="503">
      <c r="A503" s="23" t="n">
        <v>3</v>
      </c>
      <c r="B503" s="23" t="n">
        <v>499</v>
      </c>
      <c r="C503" s="23" t="n">
        <v>2499</v>
      </c>
      <c r="D503" s="23" t="inlineStr">
        <is>
          <t>0102820006</t>
        </is>
      </c>
      <c r="E503" s="11" t="inlineStr">
        <is>
          <t>Region I (Ilocos Region)</t>
        </is>
      </c>
      <c r="F503" s="11" t="inlineStr">
        <is>
          <t>Ilocos Norte</t>
        </is>
      </c>
      <c r="G503" s="11" t="inlineStr">
        <is>
          <t>San Nicolas</t>
        </is>
      </c>
      <c r="H503" s="11" t="inlineStr">
        <is>
          <t>San Cayetano</t>
        </is>
      </c>
      <c r="I503" s="24" t="n">
        <v>18.166112</v>
      </c>
      <c r="J503" s="24" t="n">
        <v>120.592301</v>
      </c>
      <c r="K503" s="23" t="inlineStr">
        <is>
          <t>R</t>
        </is>
      </c>
      <c r="L503" s="25" t="n">
        <v>860</v>
      </c>
      <c r="M503" s="26" t="n">
        <v>3.7</v>
      </c>
      <c r="N503" s="25">
        <f>ROUND(L503/M503, 0)</f>
        <v/>
      </c>
      <c r="O503" s="25">
        <f>ROUND(N503*'Methodology &amp; Assumptions'!$B$7, 0)</f>
        <v/>
      </c>
      <c r="P503" s="23" t="inlineStr">
        <is>
          <t>Single Carrier (Band n50, 100MHz TDD)</t>
        </is>
      </c>
      <c r="Q503" s="27">
        <f>ROUNDUP(O503/'Methodology &amp; Assumptions'!$B$8, 0)</f>
        <v/>
      </c>
      <c r="R503" s="27" t="n">
        <v>1</v>
      </c>
      <c r="S503" s="26" t="n">
        <v>0.49</v>
      </c>
      <c r="T503" s="26" t="n">
        <v>0.26</v>
      </c>
      <c r="U503" s="11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26" t="n">
        <v>66.61</v>
      </c>
      <c r="W503" s="26" t="n">
        <v>55.8</v>
      </c>
      <c r="X503" s="26">
        <f>ROUND(('Methodology &amp; Assumptions'!$B$5*V503) + ('Methodology &amp; Assumptions'!$B$6*W503), 2)</f>
        <v/>
      </c>
      <c r="Y503" s="28" t="n">
        <v>8.300000000000001</v>
      </c>
      <c r="Z503" s="11" t="inlineStr">
        <is>
          <t>Priority Tier 2 (Balanced Opportunity)</t>
        </is>
      </c>
    </row>
    <row r="504">
      <c r="A504" s="23" t="n">
        <v>3</v>
      </c>
      <c r="B504" s="23" t="n">
        <v>500</v>
      </c>
      <c r="C504" s="23" t="n">
        <v>2500</v>
      </c>
      <c r="D504" s="23" t="inlineStr">
        <is>
          <t>0405647054</t>
        </is>
      </c>
      <c r="E504" s="11" t="inlineStr">
        <is>
          <t>Region IV-A (CALABARZON)</t>
        </is>
      </c>
      <c r="F504" s="11" t="inlineStr">
        <is>
          <t>Quezon</t>
        </is>
      </c>
      <c r="G504" s="11" t="inlineStr">
        <is>
          <t>City of Tayabas</t>
        </is>
      </c>
      <c r="H504" s="11" t="inlineStr">
        <is>
          <t>San Isidro Zone II</t>
        </is>
      </c>
      <c r="I504" s="24" t="n">
        <v>14.027986</v>
      </c>
      <c r="J504" s="24" t="n">
        <v>121.5869</v>
      </c>
      <c r="K504" s="23" t="inlineStr">
        <is>
          <t>R</t>
        </is>
      </c>
      <c r="L504" s="25" t="n">
        <v>432</v>
      </c>
      <c r="M504" s="26" t="n">
        <v>3.8</v>
      </c>
      <c r="N504" s="25">
        <f>ROUND(L504/M504, 0)</f>
        <v/>
      </c>
      <c r="O504" s="25">
        <f>ROUND(N504*'Methodology &amp; Assumptions'!$B$7, 0)</f>
        <v/>
      </c>
      <c r="P504" s="23" t="inlineStr">
        <is>
          <t>Single Carrier (Band n50, 100MHz TDD)</t>
        </is>
      </c>
      <c r="Q504" s="27">
        <f>ROUNDUP(O504/'Methodology &amp; Assumptions'!$B$8, 0)</f>
        <v/>
      </c>
      <c r="R504" s="27" t="n">
        <v>1</v>
      </c>
      <c r="S504" s="26" t="n">
        <v>0.85</v>
      </c>
      <c r="T504" s="26" t="n">
        <v>0.32</v>
      </c>
      <c r="U504" s="11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26" t="n">
        <v>62.51</v>
      </c>
      <c r="W504" s="26" t="n">
        <v>59.9</v>
      </c>
      <c r="X504" s="26">
        <f>ROUND(('Methodology &amp; Assumptions'!$B$5*V504) + ('Methodology &amp; Assumptions'!$B$6*W504), 2)</f>
        <v/>
      </c>
      <c r="Y504" s="28" t="n">
        <v>7.2</v>
      </c>
      <c r="Z504" s="11" t="inlineStr">
        <is>
          <t>Priority Tier 2 (Balanced Opportunity)</t>
        </is>
      </c>
    </row>
    <row r="505">
      <c r="A505" s="23" t="n">
        <v>3</v>
      </c>
      <c r="B505" s="23" t="n">
        <v>501</v>
      </c>
      <c r="C505" s="23" t="n">
        <v>2501</v>
      </c>
      <c r="D505" s="23" t="inlineStr">
        <is>
          <t>1380606020</t>
        </is>
      </c>
      <c r="E505" s="11" t="inlineStr">
        <is>
          <t>National Capital Region (NCR)</t>
        </is>
      </c>
      <c r="F505" s="11" t="inlineStr">
        <is>
          <t>First District (Not a Province)</t>
        </is>
      </c>
      <c r="G505" s="11" t="inlineStr">
        <is>
          <t>City of Manila</t>
        </is>
      </c>
      <c r="H505" s="11" t="inlineStr">
        <is>
          <t>Barangay 414</t>
        </is>
      </c>
      <c r="I505" s="24" t="n">
        <v>14.602264</v>
      </c>
      <c r="J505" s="24" t="n">
        <v>120.995108</v>
      </c>
      <c r="K505" s="23" t="inlineStr">
        <is>
          <t>U</t>
        </is>
      </c>
      <c r="L505" s="25" t="n">
        <v>1603</v>
      </c>
      <c r="M505" s="26" t="n">
        <v>4.29</v>
      </c>
      <c r="N505" s="25">
        <f>ROUND(L505/M505, 0)</f>
        <v/>
      </c>
      <c r="O505" s="25">
        <f>ROUND(N505*'Methodology &amp; Assumptions'!$B$7, 0)</f>
        <v/>
      </c>
      <c r="P505" s="23" t="inlineStr">
        <is>
          <t>Single Carrier (Band n50, 100MHz TDD)</t>
        </is>
      </c>
      <c r="Q505" s="27">
        <f>ROUNDUP(O505/'Methodology &amp; Assumptions'!$B$8, 0)</f>
        <v/>
      </c>
      <c r="R505" s="27" t="n">
        <v>1</v>
      </c>
      <c r="S505" s="26" t="n">
        <v>0.43</v>
      </c>
      <c r="T505" s="26" t="n">
        <v>0.19</v>
      </c>
      <c r="U505" s="11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26" t="n">
        <v>53.09</v>
      </c>
      <c r="W505" s="26" t="n">
        <v>69.33</v>
      </c>
      <c r="X505" s="26">
        <f>ROUND(('Methodology &amp; Assumptions'!$B$5*V505) + ('Methodology &amp; Assumptions'!$B$6*W505), 2)</f>
        <v/>
      </c>
      <c r="Y505" s="28" t="n">
        <v>10.9</v>
      </c>
      <c r="Z505" s="11" t="inlineStr">
        <is>
          <t>Priority Tier 2 (Balanced Opportunity)</t>
        </is>
      </c>
    </row>
    <row r="506">
      <c r="A506" s="23" t="n">
        <v>3</v>
      </c>
      <c r="B506" s="23" t="n">
        <v>502</v>
      </c>
      <c r="C506" s="23" t="n">
        <v>2502</v>
      </c>
      <c r="D506" s="23" t="inlineStr">
        <is>
          <t>0401002011</t>
        </is>
      </c>
      <c r="E506" s="11" t="inlineStr">
        <is>
          <t>Region IV-A (CALABARZON)</t>
        </is>
      </c>
      <c r="F506" s="11" t="inlineStr">
        <is>
          <t>Batangas</t>
        </is>
      </c>
      <c r="G506" s="11" t="inlineStr">
        <is>
          <t>Alitagtag</t>
        </is>
      </c>
      <c r="H506" s="11" t="inlineStr">
        <is>
          <t>Muzon Primero</t>
        </is>
      </c>
      <c r="I506" s="24" t="n">
        <v>13.857746</v>
      </c>
      <c r="J506" s="24" t="n">
        <v>120.996236</v>
      </c>
      <c r="K506" s="23" t="inlineStr">
        <is>
          <t>R</t>
        </is>
      </c>
      <c r="L506" s="25" t="n">
        <v>2599</v>
      </c>
      <c r="M506" s="26" t="n">
        <v>3.6</v>
      </c>
      <c r="N506" s="25">
        <f>ROUND(L506/M506, 0)</f>
        <v/>
      </c>
      <c r="O506" s="25">
        <f>ROUND(N506*'Methodology &amp; Assumptions'!$B$7, 0)</f>
        <v/>
      </c>
      <c r="P506" s="23" t="inlineStr">
        <is>
          <t>Single Carrier (Band n50, 100MHz TDD)</t>
        </is>
      </c>
      <c r="Q506" s="27">
        <f>ROUNDUP(O506/'Methodology &amp; Assumptions'!$B$8, 0)</f>
        <v/>
      </c>
      <c r="R506" s="27" t="n">
        <v>1</v>
      </c>
      <c r="S506" s="26" t="n">
        <v>1.03</v>
      </c>
      <c r="T506" s="26" t="n">
        <v>0.83</v>
      </c>
      <c r="U506" s="11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26" t="n">
        <v>84.37</v>
      </c>
      <c r="W506" s="26" t="n">
        <v>38.03</v>
      </c>
      <c r="X506" s="26">
        <f>ROUND(('Methodology &amp; Assumptions'!$B$5*V506) + ('Methodology &amp; Assumptions'!$B$6*W506), 2)</f>
        <v/>
      </c>
      <c r="Y506" s="28" t="n">
        <v>7.2</v>
      </c>
      <c r="Z506" s="11" t="inlineStr">
        <is>
          <t>Priority Tier 2 (Balanced Opportunity)</t>
        </is>
      </c>
    </row>
    <row r="507">
      <c r="A507" s="23" t="n">
        <v>3</v>
      </c>
      <c r="B507" s="23" t="n">
        <v>503</v>
      </c>
      <c r="C507" s="23" t="n">
        <v>2503</v>
      </c>
      <c r="D507" s="23" t="inlineStr">
        <is>
          <t>0105511023</t>
        </is>
      </c>
      <c r="E507" s="11" t="inlineStr">
        <is>
          <t>Region I (Ilocos Region)</t>
        </is>
      </c>
      <c r="F507" s="11" t="inlineStr">
        <is>
          <t>Pangasinan</t>
        </is>
      </c>
      <c r="G507" s="11" t="inlineStr">
        <is>
          <t>Bayambang</t>
        </is>
      </c>
      <c r="H507" s="11" t="inlineStr">
        <is>
          <t>Cadre Site</t>
        </is>
      </c>
      <c r="I507" s="24" t="n">
        <v>15.805883</v>
      </c>
      <c r="J507" s="24" t="n">
        <v>120.454761</v>
      </c>
      <c r="K507" s="23" t="inlineStr">
        <is>
          <t>R</t>
        </is>
      </c>
      <c r="L507" s="25" t="n">
        <v>2821</v>
      </c>
      <c r="M507" s="26" t="n">
        <v>3.6</v>
      </c>
      <c r="N507" s="25">
        <f>ROUND(L507/M507, 0)</f>
        <v/>
      </c>
      <c r="O507" s="25">
        <f>ROUND(N507*'Methodology &amp; Assumptions'!$B$7, 0)</f>
        <v/>
      </c>
      <c r="P507" s="23" t="inlineStr">
        <is>
          <t>Single Carrier (Band n50, 100MHz TDD)</t>
        </is>
      </c>
      <c r="Q507" s="27">
        <f>ROUNDUP(O507/'Methodology &amp; Assumptions'!$B$8, 0)</f>
        <v/>
      </c>
      <c r="R507" s="27" t="n">
        <v>1</v>
      </c>
      <c r="S507" s="26" t="n">
        <v>1.16</v>
      </c>
      <c r="T507" s="26" t="n">
        <v>0.41</v>
      </c>
      <c r="U507" s="11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26" t="n">
        <v>83.26000000000001</v>
      </c>
      <c r="W507" s="26" t="n">
        <v>39.15</v>
      </c>
      <c r="X507" s="26">
        <f>ROUND(('Methodology &amp; Assumptions'!$B$5*V507) + ('Methodology &amp; Assumptions'!$B$6*W507), 2)</f>
        <v/>
      </c>
      <c r="Y507" s="28" t="n">
        <v>8.300000000000001</v>
      </c>
      <c r="Z507" s="11" t="inlineStr">
        <is>
          <t>Priority Tier 2 (Balanced Opportunity)</t>
        </is>
      </c>
    </row>
    <row r="508">
      <c r="A508" s="23" t="n">
        <v>3</v>
      </c>
      <c r="B508" s="23" t="n">
        <v>504</v>
      </c>
      <c r="C508" s="23" t="n">
        <v>2504</v>
      </c>
      <c r="D508" s="23" t="inlineStr">
        <is>
          <t>0105533022</t>
        </is>
      </c>
      <c r="E508" s="11" t="inlineStr">
        <is>
          <t>Region I (Ilocos Region)</t>
        </is>
      </c>
      <c r="F508" s="11" t="inlineStr">
        <is>
          <t>Pangasinan</t>
        </is>
      </c>
      <c r="G508" s="11" t="inlineStr">
        <is>
          <t>San Fabian</t>
        </is>
      </c>
      <c r="H508" s="11" t="inlineStr">
        <is>
          <t>Sagud-Bahley</t>
        </is>
      </c>
      <c r="I508" s="24" t="n">
        <v>16.12179</v>
      </c>
      <c r="J508" s="24" t="n">
        <v>120.39697</v>
      </c>
      <c r="K508" s="23" t="inlineStr">
        <is>
          <t>U</t>
        </is>
      </c>
      <c r="L508" s="25" t="n">
        <v>4389</v>
      </c>
      <c r="M508" s="26" t="n">
        <v>3.6</v>
      </c>
      <c r="N508" s="25">
        <f>ROUND(L508/M508, 0)</f>
        <v/>
      </c>
      <c r="O508" s="25">
        <f>ROUND(N508*'Methodology &amp; Assumptions'!$B$7, 0)</f>
        <v/>
      </c>
      <c r="P508" s="23" t="inlineStr">
        <is>
          <t>Single Carrier (Band n50, 100MHz TDD)</t>
        </is>
      </c>
      <c r="Q508" s="27">
        <f>ROUNDUP(O508/'Methodology &amp; Assumptions'!$B$8, 0)</f>
        <v/>
      </c>
      <c r="R508" s="27" t="n">
        <v>1</v>
      </c>
      <c r="S508" s="26" t="n">
        <v>0.7</v>
      </c>
      <c r="T508" s="26" t="n">
        <v>0.52</v>
      </c>
      <c r="U508" s="11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26" t="n">
        <v>78.43000000000001</v>
      </c>
      <c r="W508" s="26" t="n">
        <v>43.96</v>
      </c>
      <c r="X508" s="26">
        <f>ROUND(('Methodology &amp; Assumptions'!$B$5*V508) + ('Methodology &amp; Assumptions'!$B$6*W508), 2)</f>
        <v/>
      </c>
      <c r="Y508" s="28" t="n">
        <v>8.300000000000001</v>
      </c>
      <c r="Z508" s="11" t="inlineStr">
        <is>
          <t>Priority Tier 2 (Balanced Opportunity)</t>
        </is>
      </c>
    </row>
    <row r="509">
      <c r="A509" s="23" t="n">
        <v>3</v>
      </c>
      <c r="B509" s="23" t="n">
        <v>505</v>
      </c>
      <c r="C509" s="23" t="n">
        <v>2505</v>
      </c>
      <c r="D509" s="23" t="inlineStr">
        <is>
          <t>0403410027</t>
        </is>
      </c>
      <c r="E509" s="11" t="inlineStr">
        <is>
          <t>Region IV-A (CALABARZON)</t>
        </is>
      </c>
      <c r="F509" s="11" t="inlineStr">
        <is>
          <t>Laguna</t>
        </is>
      </c>
      <c r="G509" s="11" t="inlineStr">
        <is>
          <t>Liliw</t>
        </is>
      </c>
      <c r="H509" s="11" t="inlineStr">
        <is>
          <t>Masikap</t>
        </is>
      </c>
      <c r="I509" s="24" t="n">
        <v>14.135443</v>
      </c>
      <c r="J509" s="24" t="n">
        <v>121.433131</v>
      </c>
      <c r="K509" s="23" t="inlineStr">
        <is>
          <t>R</t>
        </is>
      </c>
      <c r="L509" s="25" t="n">
        <v>1806</v>
      </c>
      <c r="M509" s="26" t="n">
        <v>3.3</v>
      </c>
      <c r="N509" s="25">
        <f>ROUND(L509/M509, 0)</f>
        <v/>
      </c>
      <c r="O509" s="25">
        <f>ROUND(N509*'Methodology &amp; Assumptions'!$B$7, 0)</f>
        <v/>
      </c>
      <c r="P509" s="23" t="inlineStr">
        <is>
          <t>Single Carrier (Band n50, 100MHz TDD)</t>
        </is>
      </c>
      <c r="Q509" s="27">
        <f>ROUNDUP(O509/'Methodology &amp; Assumptions'!$B$8, 0)</f>
        <v/>
      </c>
      <c r="R509" s="27" t="n">
        <v>1</v>
      </c>
      <c r="S509" s="26" t="n">
        <v>0.35</v>
      </c>
      <c r="T509" s="26" t="n">
        <v>0.22</v>
      </c>
      <c r="U509" s="11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26" t="n">
        <v>76.7</v>
      </c>
      <c r="W509" s="26" t="n">
        <v>45.7</v>
      </c>
      <c r="X509" s="26">
        <f>ROUND(('Methodology &amp; Assumptions'!$B$5*V509) + ('Methodology &amp; Assumptions'!$B$6*W509), 2)</f>
        <v/>
      </c>
      <c r="Y509" s="28" t="n">
        <v>7.2</v>
      </c>
      <c r="Z509" s="11" t="inlineStr">
        <is>
          <t>Priority Tier 2 (Balanced Opportunity)</t>
        </is>
      </c>
    </row>
    <row r="510">
      <c r="A510" s="23" t="n">
        <v>3</v>
      </c>
      <c r="B510" s="23" t="n">
        <v>506</v>
      </c>
      <c r="C510" s="23" t="n">
        <v>2506</v>
      </c>
      <c r="D510" s="23" t="inlineStr">
        <is>
          <t>0301404006</t>
        </is>
      </c>
      <c r="E510" s="11" t="inlineStr">
        <is>
          <t>Region III (Central Luzon)</t>
        </is>
      </c>
      <c r="F510" s="11" t="inlineStr">
        <is>
          <t>Bulacan</t>
        </is>
      </c>
      <c r="G510" s="11" t="inlineStr">
        <is>
          <t>Bocaue</t>
        </is>
      </c>
      <c r="H510" s="11" t="inlineStr">
        <is>
          <t>Biñang 2nd</t>
        </is>
      </c>
      <c r="I510" s="24" t="n">
        <v>14.795956</v>
      </c>
      <c r="J510" s="24" t="n">
        <v>120.929767</v>
      </c>
      <c r="K510" s="23" t="inlineStr">
        <is>
          <t>U</t>
        </is>
      </c>
      <c r="L510" s="25" t="n">
        <v>2209</v>
      </c>
      <c r="M510" s="26" t="n">
        <v>3.5</v>
      </c>
      <c r="N510" s="25">
        <f>ROUND(L510/M510, 0)</f>
        <v/>
      </c>
      <c r="O510" s="25">
        <f>ROUND(N510*'Methodology &amp; Assumptions'!$B$7, 0)</f>
        <v/>
      </c>
      <c r="P510" s="23" t="inlineStr">
        <is>
          <t>Single Carrier (Band n50, 100MHz TDD)</t>
        </is>
      </c>
      <c r="Q510" s="27">
        <f>ROUNDUP(O510/'Methodology &amp; Assumptions'!$B$8, 0)</f>
        <v/>
      </c>
      <c r="R510" s="27" t="n">
        <v>1</v>
      </c>
      <c r="S510" s="26" t="n">
        <v>1.94</v>
      </c>
      <c r="T510" s="26" t="n">
        <v>0.24</v>
      </c>
      <c r="U510" s="11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26" t="n">
        <v>68.27</v>
      </c>
      <c r="W510" s="26" t="n">
        <v>54.14</v>
      </c>
      <c r="X510" s="26">
        <f>ROUND(('Methodology &amp; Assumptions'!$B$5*V510) + ('Methodology &amp; Assumptions'!$B$6*W510), 2)</f>
        <v/>
      </c>
      <c r="Y510" s="28" t="n">
        <v>8.300000000000001</v>
      </c>
      <c r="Z510" s="11" t="inlineStr">
        <is>
          <t>Priority Tier 2 (Balanced Opportunity)</t>
        </is>
      </c>
    </row>
    <row r="511">
      <c r="A511" s="23" t="n">
        <v>3</v>
      </c>
      <c r="B511" s="23" t="n">
        <v>507</v>
      </c>
      <c r="C511" s="23" t="n">
        <v>2507</v>
      </c>
      <c r="D511" s="23" t="inlineStr">
        <is>
          <t>1108603039</t>
        </is>
      </c>
      <c r="E511" s="11" t="inlineStr">
        <is>
          <t>Region XI (Davao Region)</t>
        </is>
      </c>
      <c r="F511" s="11" t="inlineStr">
        <is>
          <t>Davao Occidental</t>
        </is>
      </c>
      <c r="G511" s="11" t="inlineStr">
        <is>
          <t>Malita</t>
        </is>
      </c>
      <c r="H511" s="11" t="inlineStr">
        <is>
          <t>Tingolo</t>
        </is>
      </c>
      <c r="I511" s="24" t="n">
        <v>6.365224</v>
      </c>
      <c r="J511" s="24" t="n">
        <v>125.604079</v>
      </c>
      <c r="K511" s="23" t="inlineStr">
        <is>
          <t>R</t>
        </is>
      </c>
      <c r="L511" s="25" t="n">
        <v>2289</v>
      </c>
      <c r="M511" s="26" t="n">
        <v>3.6</v>
      </c>
      <c r="N511" s="25">
        <f>ROUND(L511/M511, 0)</f>
        <v/>
      </c>
      <c r="O511" s="25">
        <f>ROUND(N511*'Methodology &amp; Assumptions'!$B$7, 0)</f>
        <v/>
      </c>
      <c r="P511" s="23" t="inlineStr">
        <is>
          <t>Single Carrier (Band n50, 100MHz TDD)</t>
        </is>
      </c>
      <c r="Q511" s="27">
        <f>ROUNDUP(O511/'Methodology &amp; Assumptions'!$B$8, 0)</f>
        <v/>
      </c>
      <c r="R511" s="27" t="n">
        <v>1</v>
      </c>
      <c r="S511" s="26" t="n">
        <v>33.16</v>
      </c>
      <c r="T511" s="26" t="n">
        <v>31.39</v>
      </c>
      <c r="U511" s="11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26" t="n">
        <v>55.12</v>
      </c>
      <c r="W511" s="26" t="n">
        <v>67.29000000000001</v>
      </c>
      <c r="X511" s="26">
        <f>ROUND(('Methodology &amp; Assumptions'!$B$5*V511) + ('Methodology &amp; Assumptions'!$B$6*W511), 2)</f>
        <v/>
      </c>
      <c r="Y511" s="28" t="n">
        <v>17.4</v>
      </c>
      <c r="Z511" s="11" t="inlineStr">
        <is>
          <t>Priority Tier 2 (Balanced Opportunity)</t>
        </is>
      </c>
    </row>
    <row r="512">
      <c r="A512" s="23" t="n">
        <v>3</v>
      </c>
      <c r="B512" s="23" t="n">
        <v>508</v>
      </c>
      <c r="C512" s="23" t="n">
        <v>2508</v>
      </c>
      <c r="D512" s="23" t="inlineStr">
        <is>
          <t>1380601087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87</t>
        </is>
      </c>
      <c r="I512" s="24" t="n">
        <v>14.617249</v>
      </c>
      <c r="J512" s="24" t="n">
        <v>120.96809</v>
      </c>
      <c r="K512" s="23" t="inlineStr">
        <is>
          <t>U</t>
        </is>
      </c>
      <c r="L512" s="25" t="n">
        <v>1639</v>
      </c>
      <c r="M512" s="26" t="n">
        <v>4.72</v>
      </c>
      <c r="N512" s="25">
        <f>ROUND(L512/M512, 0)</f>
        <v/>
      </c>
      <c r="O512" s="25">
        <f>ROUND(N512*'Methodology &amp; Assumptions'!$B$7, 0)</f>
        <v/>
      </c>
      <c r="P512" s="23" t="inlineStr">
        <is>
          <t>Single Carrier (Band n50, 100MHz TDD)</t>
        </is>
      </c>
      <c r="Q512" s="27">
        <f>ROUNDUP(O512/'Methodology &amp; Assumptions'!$B$8, 0)</f>
        <v/>
      </c>
      <c r="R512" s="27" t="n">
        <v>1</v>
      </c>
      <c r="S512" s="26" t="n">
        <v>0.58</v>
      </c>
      <c r="T512" s="26" t="n">
        <v>0.26</v>
      </c>
      <c r="U512" s="11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26" t="n">
        <v>52.23</v>
      </c>
      <c r="W512" s="26" t="n">
        <v>70.17</v>
      </c>
      <c r="X512" s="26">
        <f>ROUND(('Methodology &amp; Assumptions'!$B$5*V512) + ('Methodology &amp; Assumptions'!$B$6*W512), 2)</f>
        <v/>
      </c>
      <c r="Y512" s="28" t="n">
        <v>10.9</v>
      </c>
      <c r="Z512" s="11" t="inlineStr">
        <is>
          <t>Priority Tier 2 (Balanced Opportunity)</t>
        </is>
      </c>
    </row>
    <row r="513">
      <c r="A513" s="23" t="n">
        <v>3</v>
      </c>
      <c r="B513" s="23" t="n">
        <v>509</v>
      </c>
      <c r="C513" s="23" t="n">
        <v>2509</v>
      </c>
      <c r="D513" s="23" t="inlineStr">
        <is>
          <t>1380611035</t>
        </is>
      </c>
      <c r="E513" s="11" t="inlineStr">
        <is>
          <t>National Capital Region (NCR)</t>
        </is>
      </c>
      <c r="F513" s="11" t="inlineStr">
        <is>
          <t>First District (Not a Province)</t>
        </is>
      </c>
      <c r="G513" s="11" t="inlineStr">
        <is>
          <t>City of Manila</t>
        </is>
      </c>
      <c r="H513" s="11" t="inlineStr">
        <is>
          <t>Barangay 820</t>
        </is>
      </c>
      <c r="I513" s="24" t="n">
        <v>14.581612</v>
      </c>
      <c r="J513" s="24" t="n">
        <v>121.003315</v>
      </c>
      <c r="K513" s="23" t="inlineStr">
        <is>
          <t>U</t>
        </is>
      </c>
      <c r="L513" s="25" t="n">
        <v>1362</v>
      </c>
      <c r="M513" s="26" t="n">
        <v>4.08</v>
      </c>
      <c r="N513" s="25">
        <f>ROUND(L513/M513, 0)</f>
        <v/>
      </c>
      <c r="O513" s="25">
        <f>ROUND(N513*'Methodology &amp; Assumptions'!$B$7, 0)</f>
        <v/>
      </c>
      <c r="P513" s="23" t="inlineStr">
        <is>
          <t>Single Carrier (Band n50, 100MHz TDD)</t>
        </is>
      </c>
      <c r="Q513" s="27">
        <f>ROUNDUP(O513/'Methodology &amp; Assumptions'!$B$8, 0)</f>
        <v/>
      </c>
      <c r="R513" s="27" t="n">
        <v>1</v>
      </c>
      <c r="S513" s="26" t="n">
        <v>0.32</v>
      </c>
      <c r="T513" s="26" t="n">
        <v>0.36</v>
      </c>
      <c r="U513" s="11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26" t="n">
        <v>51.8</v>
      </c>
      <c r="W513" s="26" t="n">
        <v>70.59999999999999</v>
      </c>
      <c r="X513" s="26">
        <f>ROUND(('Methodology &amp; Assumptions'!$B$5*V513) + ('Methodology &amp; Assumptions'!$B$6*W513), 2)</f>
        <v/>
      </c>
      <c r="Y513" s="28" t="n">
        <v>10.9</v>
      </c>
      <c r="Z513" s="11" t="inlineStr">
        <is>
          <t>Priority Tier 2 (Balanced Opportunity)</t>
        </is>
      </c>
    </row>
    <row r="514">
      <c r="A514" s="23" t="n">
        <v>3</v>
      </c>
      <c r="B514" s="23" t="n">
        <v>510</v>
      </c>
      <c r="C514" s="23" t="n">
        <v>2510</v>
      </c>
      <c r="D514" s="23" t="inlineStr">
        <is>
          <t>0301412014</t>
        </is>
      </c>
      <c r="E514" s="11" t="inlineStr">
        <is>
          <t>Region III (Central Luzon)</t>
        </is>
      </c>
      <c r="F514" s="11" t="inlineStr">
        <is>
          <t>Bulacan</t>
        </is>
      </c>
      <c r="G514" s="11" t="inlineStr">
        <is>
          <t>City of Meycauayan</t>
        </is>
      </c>
      <c r="H514" s="11" t="inlineStr">
        <is>
          <t>Longos</t>
        </is>
      </c>
      <c r="I514" s="24" t="n">
        <v>14.734816</v>
      </c>
      <c r="J514" s="24" t="n">
        <v>120.949436</v>
      </c>
      <c r="K514" s="23" t="inlineStr">
        <is>
          <t>R</t>
        </is>
      </c>
      <c r="L514" s="25" t="n">
        <v>3034</v>
      </c>
      <c r="M514" s="26" t="n">
        <v>3.5</v>
      </c>
      <c r="N514" s="25">
        <f>ROUND(L514/M514, 0)</f>
        <v/>
      </c>
      <c r="O514" s="25">
        <f>ROUND(N514*'Methodology &amp; Assumptions'!$B$7, 0)</f>
        <v/>
      </c>
      <c r="P514" s="23" t="inlineStr">
        <is>
          <t>Single Carrier (Band n50, 100MHz TDD)</t>
        </is>
      </c>
      <c r="Q514" s="27">
        <f>ROUNDUP(O514/'Methodology &amp; Assumptions'!$B$8, 0)</f>
        <v/>
      </c>
      <c r="R514" s="27" t="n">
        <v>1</v>
      </c>
      <c r="S514" s="26" t="n">
        <v>1.81</v>
      </c>
      <c r="T514" s="26" t="n">
        <v>1.27</v>
      </c>
      <c r="U514" s="11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26" t="n">
        <v>82.04000000000001</v>
      </c>
      <c r="W514" s="26" t="n">
        <v>40.33</v>
      </c>
      <c r="X514" s="26">
        <f>ROUND(('Methodology &amp; Assumptions'!$B$5*V514) + ('Methodology &amp; Assumptions'!$B$6*W514), 2)</f>
        <v/>
      </c>
      <c r="Y514" s="28" t="n">
        <v>8.300000000000001</v>
      </c>
      <c r="Z514" s="11" t="inlineStr">
        <is>
          <t>Priority Tier 2 (Balanced Opportunity)</t>
        </is>
      </c>
    </row>
    <row r="515">
      <c r="A515" s="23" t="n">
        <v>3</v>
      </c>
      <c r="B515" s="23" t="n">
        <v>511</v>
      </c>
      <c r="C515" s="23" t="n">
        <v>2511</v>
      </c>
      <c r="D515" s="23" t="inlineStr">
        <is>
          <t>1380603018</t>
        </is>
      </c>
      <c r="E515" s="11" t="inlineStr">
        <is>
          <t>National Capital Region (NCR)</t>
        </is>
      </c>
      <c r="F515" s="11" t="inlineStr">
        <is>
          <t>First District (Not a Province)</t>
        </is>
      </c>
      <c r="G515" s="11" t="inlineStr">
        <is>
          <t>City of Manila</t>
        </is>
      </c>
      <c r="H515" s="11" t="inlineStr">
        <is>
          <t>Barangay 309</t>
        </is>
      </c>
      <c r="I515" s="24" t="n">
        <v>14.60195</v>
      </c>
      <c r="J515" s="24" t="n">
        <v>120.9827</v>
      </c>
      <c r="K515" s="23" t="inlineStr">
        <is>
          <t>U</t>
        </is>
      </c>
      <c r="L515" s="25" t="n">
        <v>1162</v>
      </c>
      <c r="M515" s="26" t="n">
        <v>3.61</v>
      </c>
      <c r="N515" s="25">
        <f>ROUND(L515/M515, 0)</f>
        <v/>
      </c>
      <c r="O515" s="25">
        <f>ROUND(N515*'Methodology &amp; Assumptions'!$B$7, 0)</f>
        <v/>
      </c>
      <c r="P515" s="23" t="inlineStr">
        <is>
          <t>Single Carrier (Band n50, 100MHz TDD)</t>
        </is>
      </c>
      <c r="Q515" s="27">
        <f>ROUNDUP(O515/'Methodology &amp; Assumptions'!$B$8, 0)</f>
        <v/>
      </c>
      <c r="R515" s="27" t="n">
        <v>1</v>
      </c>
      <c r="S515" s="26" t="n">
        <v>0.92</v>
      </c>
      <c r="T515" s="26" t="n">
        <v>0.2</v>
      </c>
      <c r="U515" s="11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26" t="n">
        <v>51.17</v>
      </c>
      <c r="W515" s="26" t="n">
        <v>71.20999999999999</v>
      </c>
      <c r="X515" s="26">
        <f>ROUND(('Methodology &amp; Assumptions'!$B$5*V515) + ('Methodology &amp; Assumptions'!$B$6*W515), 2)</f>
        <v/>
      </c>
      <c r="Y515" s="28" t="n">
        <v>10.9</v>
      </c>
      <c r="Z515" s="11" t="inlineStr">
        <is>
          <t>Priority Tier 2 (Balanced Opportunity)</t>
        </is>
      </c>
    </row>
    <row r="516">
      <c r="A516" s="23" t="n">
        <v>3</v>
      </c>
      <c r="B516" s="23" t="n">
        <v>512</v>
      </c>
      <c r="C516" s="23" t="n">
        <v>2512</v>
      </c>
      <c r="D516" s="23" t="inlineStr">
        <is>
          <t>0907312008</t>
        </is>
      </c>
      <c r="E516" s="11" t="inlineStr">
        <is>
          <t>Region IX (Zamboanga Peninsula)</t>
        </is>
      </c>
      <c r="F516" s="11" t="inlineStr">
        <is>
          <t>Zamboanga del Sur</t>
        </is>
      </c>
      <c r="G516" s="11" t="inlineStr">
        <is>
          <t>Labangan</t>
        </is>
      </c>
      <c r="H516" s="11" t="inlineStr">
        <is>
          <t>Cogonan</t>
        </is>
      </c>
      <c r="I516" s="24" t="n">
        <v>7.959106</v>
      </c>
      <c r="J516" s="24" t="n">
        <v>123.286871</v>
      </c>
      <c r="K516" s="23" t="inlineStr">
        <is>
          <t>R</t>
        </is>
      </c>
      <c r="L516" s="25" t="n">
        <v>2018</v>
      </c>
      <c r="M516" s="26" t="n">
        <v>3.9</v>
      </c>
      <c r="N516" s="25">
        <f>ROUND(L516/M516, 0)</f>
        <v/>
      </c>
      <c r="O516" s="25">
        <f>ROUND(N516*'Methodology &amp; Assumptions'!$B$7, 0)</f>
        <v/>
      </c>
      <c r="P516" s="23" t="inlineStr">
        <is>
          <t>Single Carrier (Band n50, 100MHz TDD)</t>
        </is>
      </c>
      <c r="Q516" s="27">
        <f>ROUNDUP(O516/'Methodology &amp; Assumptions'!$B$8, 0)</f>
        <v/>
      </c>
      <c r="R516" s="27" t="n">
        <v>1</v>
      </c>
      <c r="S516" s="26" t="n">
        <v>22.03</v>
      </c>
      <c r="T516" s="26" t="n">
        <v>12.36</v>
      </c>
      <c r="U516" s="11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26" t="n">
        <v>50.8</v>
      </c>
      <c r="W516" s="26" t="n">
        <v>71.56999999999999</v>
      </c>
      <c r="X516" s="26">
        <f>ROUND(('Methodology &amp; Assumptions'!$B$5*V516) + ('Methodology &amp; Assumptions'!$B$6*W516), 2)</f>
        <v/>
      </c>
      <c r="Y516" s="28" t="n">
        <v>11</v>
      </c>
      <c r="Z516" s="11" t="inlineStr">
        <is>
          <t>Priority Tier 2 (Balanced Opportunity)</t>
        </is>
      </c>
    </row>
    <row r="517">
      <c r="A517" s="23" t="n">
        <v>3</v>
      </c>
      <c r="B517" s="23" t="n">
        <v>513</v>
      </c>
      <c r="C517" s="23" t="n">
        <v>2513</v>
      </c>
      <c r="D517" s="23" t="inlineStr">
        <is>
          <t>1408103005</t>
        </is>
      </c>
      <c r="E517" s="11" t="inlineStr">
        <is>
          <t>Cordillera Administrative Region (CAR)</t>
        </is>
      </c>
      <c r="F517" s="11" t="inlineStr">
        <is>
          <t>Apayao</t>
        </is>
      </c>
      <c r="G517" s="11" t="inlineStr">
        <is>
          <t>Flora</t>
        </is>
      </c>
      <c r="H517" s="11" t="inlineStr">
        <is>
          <t>Balasi</t>
        </is>
      </c>
      <c r="I517" s="24" t="n">
        <v>18.152421</v>
      </c>
      <c r="J517" s="24" t="n">
        <v>121.388467</v>
      </c>
      <c r="K517" s="23" t="inlineStr">
        <is>
          <t>R</t>
        </is>
      </c>
      <c r="L517" s="25" t="n">
        <v>292</v>
      </c>
      <c r="M517" s="26" t="n">
        <v>4.2</v>
      </c>
      <c r="N517" s="25">
        <f>ROUND(L517/M517, 0)</f>
        <v/>
      </c>
      <c r="O517" s="25">
        <f>ROUND(N517*'Methodology &amp; Assumptions'!$B$7, 0)</f>
        <v/>
      </c>
      <c r="P517" s="23" t="inlineStr">
        <is>
          <t>Single Carrier (Band n50, 100MHz TDD)</t>
        </is>
      </c>
      <c r="Q517" s="27">
        <f>ROUNDUP(O517/'Methodology &amp; Assumptions'!$B$8, 0)</f>
        <v/>
      </c>
      <c r="R517" s="27" t="n">
        <v>1</v>
      </c>
      <c r="S517" s="26" t="n">
        <v>5.3</v>
      </c>
      <c r="T517" s="26" t="n">
        <v>4.33</v>
      </c>
      <c r="U517" s="11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26" t="n">
        <v>44.82</v>
      </c>
      <c r="W517" s="26" t="n">
        <v>77.56</v>
      </c>
      <c r="X517" s="26">
        <f>ROUND(('Methodology &amp; Assumptions'!$B$5*V517) + ('Methodology &amp; Assumptions'!$B$6*W517), 2)</f>
        <v/>
      </c>
      <c r="Y517" s="28" t="n">
        <v>10.9</v>
      </c>
      <c r="Z517" s="11" t="inlineStr">
        <is>
          <t>Priority Tier 2 (Balanced Opportunity)</t>
        </is>
      </c>
    </row>
    <row r="518">
      <c r="A518" s="23" t="n">
        <v>3</v>
      </c>
      <c r="B518" s="23" t="n">
        <v>514</v>
      </c>
      <c r="C518" s="23" t="n">
        <v>2514</v>
      </c>
      <c r="D518" s="23" t="inlineStr">
        <is>
          <t>0806010015</t>
        </is>
      </c>
      <c r="E518" s="11" t="inlineStr">
        <is>
          <t>Region VIII (Eastern Visayas)</t>
        </is>
      </c>
      <c r="F518" s="11" t="inlineStr">
        <is>
          <t>Samar</t>
        </is>
      </c>
      <c r="G518" s="11" t="inlineStr">
        <is>
          <t>Marabut</t>
        </is>
      </c>
      <c r="H518" s="11" t="inlineStr">
        <is>
          <t>Amantillo</t>
        </is>
      </c>
      <c r="I518" s="24" t="n">
        <v>11.130148</v>
      </c>
      <c r="J518" s="24" t="n">
        <v>125.223089</v>
      </c>
      <c r="K518" s="23" t="inlineStr">
        <is>
          <t>R</t>
        </is>
      </c>
      <c r="L518" s="25" t="n">
        <v>628</v>
      </c>
      <c r="M518" s="26" t="n">
        <v>4.1</v>
      </c>
      <c r="N518" s="25">
        <f>ROUND(L518/M518, 0)</f>
        <v/>
      </c>
      <c r="O518" s="25">
        <f>ROUND(N518*'Methodology &amp; Assumptions'!$B$7, 0)</f>
        <v/>
      </c>
      <c r="P518" s="23" t="inlineStr">
        <is>
          <t>Single Carrier (Band n50, 100MHz TDD)</t>
        </is>
      </c>
      <c r="Q518" s="27">
        <f>ROUNDUP(O518/'Methodology &amp; Assumptions'!$B$8, 0)</f>
        <v/>
      </c>
      <c r="R518" s="27" t="n">
        <v>1</v>
      </c>
      <c r="S518" s="26" t="n">
        <v>22.34</v>
      </c>
      <c r="T518" s="26" t="n">
        <v>21.62</v>
      </c>
      <c r="U518" s="11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26" t="n">
        <v>43.5</v>
      </c>
      <c r="W518" s="26" t="n">
        <v>78.89</v>
      </c>
      <c r="X518" s="26">
        <f>ROUND(('Methodology &amp; Assumptions'!$B$5*V518) + ('Methodology &amp; Assumptions'!$B$6*W518), 2)</f>
        <v/>
      </c>
      <c r="Y518" s="28" t="n">
        <v>23.7</v>
      </c>
      <c r="Z518" s="11" t="inlineStr">
        <is>
          <t>Priority Tier 2 (Balanced Opportunity)</t>
        </is>
      </c>
    </row>
    <row r="519">
      <c r="A519" s="23" t="n">
        <v>3</v>
      </c>
      <c r="B519" s="23" t="n">
        <v>515</v>
      </c>
      <c r="C519" s="23" t="n">
        <v>2515</v>
      </c>
      <c r="D519" s="23" t="inlineStr">
        <is>
          <t>0403423010</t>
        </is>
      </c>
      <c r="E519" s="11" t="inlineStr">
        <is>
          <t>Region IV-A (CALABARZON)</t>
        </is>
      </c>
      <c r="F519" s="11" t="inlineStr">
        <is>
          <t>Laguna</t>
        </is>
      </c>
      <c r="G519" s="11" t="inlineStr">
        <is>
          <t>Rizal</t>
        </is>
      </c>
      <c r="H519" s="11" t="inlineStr">
        <is>
          <t>Talaga</t>
        </is>
      </c>
      <c r="I519" s="24" t="n">
        <v>14.111132</v>
      </c>
      <c r="J519" s="24" t="n">
        <v>121.390858</v>
      </c>
      <c r="K519" s="23" t="inlineStr">
        <is>
          <t>R</t>
        </is>
      </c>
      <c r="L519" s="25" t="n">
        <v>2220</v>
      </c>
      <c r="M519" s="26" t="n">
        <v>3.6</v>
      </c>
      <c r="N519" s="25">
        <f>ROUND(L519/M519, 0)</f>
        <v/>
      </c>
      <c r="O519" s="25">
        <f>ROUND(N519*'Methodology &amp; Assumptions'!$B$7, 0)</f>
        <v/>
      </c>
      <c r="P519" s="23" t="inlineStr">
        <is>
          <t>Single Carrier (Band n50, 100MHz TDD)</t>
        </is>
      </c>
      <c r="Q519" s="27">
        <f>ROUNDUP(O519/'Methodology &amp; Assumptions'!$B$8, 0)</f>
        <v/>
      </c>
      <c r="R519" s="27" t="n">
        <v>1</v>
      </c>
      <c r="S519" s="26" t="n">
        <v>0.22</v>
      </c>
      <c r="T519" s="26" t="n">
        <v>0.14</v>
      </c>
      <c r="U519" s="11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26" t="n">
        <v>81.61</v>
      </c>
      <c r="W519" s="26" t="n">
        <v>40.76</v>
      </c>
      <c r="X519" s="26">
        <f>ROUND(('Methodology &amp; Assumptions'!$B$5*V519) + ('Methodology &amp; Assumptions'!$B$6*W519), 2)</f>
        <v/>
      </c>
      <c r="Y519" s="28" t="n">
        <v>7.2</v>
      </c>
      <c r="Z519" s="11" t="inlineStr">
        <is>
          <t>Priority Tier 2 (Balanced Opportunity)</t>
        </is>
      </c>
    </row>
    <row r="520">
      <c r="A520" s="23" t="n">
        <v>3</v>
      </c>
      <c r="B520" s="23" t="n">
        <v>516</v>
      </c>
      <c r="C520" s="23" t="n">
        <v>2516</v>
      </c>
      <c r="D520" s="23" t="inlineStr">
        <is>
          <t>0402120021</t>
        </is>
      </c>
      <c r="E520" s="11" t="inlineStr">
        <is>
          <t>Region IV-A (CALABARZON)</t>
        </is>
      </c>
      <c r="F520" s="11" t="inlineStr">
        <is>
          <t>Cavite</t>
        </is>
      </c>
      <c r="G520" s="11" t="inlineStr">
        <is>
          <t>Tanza</t>
        </is>
      </c>
      <c r="H520" s="11" t="inlineStr">
        <is>
          <t>Sahud Ulan</t>
        </is>
      </c>
      <c r="I520" s="24" t="n">
        <v>14.37119</v>
      </c>
      <c r="J520" s="24" t="n">
        <v>120.823808</v>
      </c>
      <c r="K520" s="23" t="inlineStr">
        <is>
          <t>U</t>
        </is>
      </c>
      <c r="L520" s="25" t="n">
        <v>23343</v>
      </c>
      <c r="M520" s="26" t="n">
        <v>3.4</v>
      </c>
      <c r="N520" s="25">
        <f>ROUND(L520/M520, 0)</f>
        <v/>
      </c>
      <c r="O520" s="25">
        <f>ROUND(N520*'Methodology &amp; Assumptions'!$B$7, 0)</f>
        <v/>
      </c>
      <c r="P520" s="23" t="inlineStr">
        <is>
          <t>Single Carrier (Band n50, 100MHz TDD)</t>
        </is>
      </c>
      <c r="Q520" s="27">
        <f>ROUNDUP(O520/'Methodology &amp; Assumptions'!$B$8, 0)</f>
        <v/>
      </c>
      <c r="R520" s="27" t="n">
        <v>1</v>
      </c>
      <c r="S520" s="26" t="n">
        <v>0.17</v>
      </c>
      <c r="T520" s="26" t="n">
        <v>0.09</v>
      </c>
      <c r="U520" s="11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26" t="n">
        <v>78.26000000000001</v>
      </c>
      <c r="W520" s="26" t="n">
        <v>44.1</v>
      </c>
      <c r="X520" s="26">
        <f>ROUND(('Methodology &amp; Assumptions'!$B$5*V520) + ('Methodology &amp; Assumptions'!$B$6*W520), 2)</f>
        <v/>
      </c>
      <c r="Y520" s="28" t="n">
        <v>7.2</v>
      </c>
      <c r="Z520" s="11" t="inlineStr">
        <is>
          <t>Priority Tier 2 (Balanced Opportunity)</t>
        </is>
      </c>
    </row>
    <row r="521">
      <c r="A521" s="23" t="n">
        <v>3</v>
      </c>
      <c r="B521" s="23" t="n">
        <v>517</v>
      </c>
      <c r="C521" s="23" t="n">
        <v>2517</v>
      </c>
      <c r="D521" s="23" t="inlineStr">
        <is>
          <t>1908702002</t>
        </is>
      </c>
      <c r="E521" s="11" t="inlineStr">
        <is>
          <t>Bangsamoro Autonomous Region In Muslim Mindanao (BARMM)</t>
        </is>
      </c>
      <c r="F521" s="11" t="inlineStr">
        <is>
          <t>Maguindanao del Norte</t>
        </is>
      </c>
      <c r="G521" s="11" t="inlineStr">
        <is>
          <t>Buldon</t>
        </is>
      </c>
      <c r="H521" s="11" t="inlineStr">
        <is>
          <t>Aratuc</t>
        </is>
      </c>
      <c r="I521" s="24" t="n">
        <v>7.380793</v>
      </c>
      <c r="J521" s="24" t="n">
        <v>124.369892</v>
      </c>
      <c r="K521" s="23" t="inlineStr">
        <is>
          <t>R</t>
        </is>
      </c>
      <c r="L521" s="25" t="n">
        <v>2757</v>
      </c>
      <c r="M521" s="26" t="n">
        <v>4.3</v>
      </c>
      <c r="N521" s="25">
        <f>ROUND(L521/M521, 0)</f>
        <v/>
      </c>
      <c r="O521" s="25">
        <f>ROUND(N521*'Methodology &amp; Assumptions'!$B$7, 0)</f>
        <v/>
      </c>
      <c r="P521" s="23" t="inlineStr">
        <is>
          <t>Single Carrier (Band n50, 100MHz TDD)</t>
        </is>
      </c>
      <c r="Q521" s="27">
        <f>ROUNDUP(O521/'Methodology &amp; Assumptions'!$B$8, 0)</f>
        <v/>
      </c>
      <c r="R521" s="27" t="n">
        <v>1</v>
      </c>
      <c r="S521" s="26" t="n">
        <v>51.08</v>
      </c>
      <c r="T521" s="26" t="n">
        <v>45.11</v>
      </c>
      <c r="U521" s="11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26" t="n">
        <v>51.62</v>
      </c>
      <c r="W521" s="26" t="n">
        <v>70.75</v>
      </c>
      <c r="X521" s="26">
        <f>ROUND(('Methodology &amp; Assumptions'!$B$5*V521) + ('Methodology &amp; Assumptions'!$B$6*W521), 2)</f>
        <v/>
      </c>
      <c r="Y521" s="28" t="n">
        <v>11</v>
      </c>
      <c r="Z521" s="11" t="inlineStr">
        <is>
          <t>Priority Tier 2 (Balanced Opportunity)</t>
        </is>
      </c>
    </row>
    <row r="522">
      <c r="A522" s="23" t="n">
        <v>3</v>
      </c>
      <c r="B522" s="23" t="n">
        <v>518</v>
      </c>
      <c r="C522" s="23" t="n">
        <v>2518</v>
      </c>
      <c r="D522" s="23" t="inlineStr">
        <is>
          <t>1381100024</t>
        </is>
      </c>
      <c r="E522" s="11" t="inlineStr">
        <is>
          <t>National Capital Region (NCR)</t>
        </is>
      </c>
      <c r="F522" s="11" t="inlineStr">
        <is>
          <t>Fourth District (Not a Province)</t>
        </is>
      </c>
      <c r="G522" s="11" t="inlineStr">
        <is>
          <t>Pasay City</t>
        </is>
      </c>
      <c r="H522" s="11" t="inlineStr">
        <is>
          <t>Barangay 24</t>
        </is>
      </c>
      <c r="I522" s="24" t="n">
        <v>14.553026</v>
      </c>
      <c r="J522" s="24" t="n">
        <v>120.993098</v>
      </c>
      <c r="K522" s="23" t="inlineStr">
        <is>
          <t>U</t>
        </is>
      </c>
      <c r="L522" s="25" t="n">
        <v>767</v>
      </c>
      <c r="M522" s="26" t="n">
        <v>2.56</v>
      </c>
      <c r="N522" s="25">
        <f>ROUND(L522/M522, 0)</f>
        <v/>
      </c>
      <c r="O522" s="25">
        <f>ROUND(N522*'Methodology &amp; Assumptions'!$B$7, 0)</f>
        <v/>
      </c>
      <c r="P522" s="23" t="inlineStr">
        <is>
          <t>Single Carrier (Band n50, 100MHz TDD)</t>
        </is>
      </c>
      <c r="Q522" s="27">
        <f>ROUNDUP(O522/'Methodology &amp; Assumptions'!$B$8, 0)</f>
        <v/>
      </c>
      <c r="R522" s="27" t="n">
        <v>1</v>
      </c>
      <c r="S522" s="26" t="n">
        <v>0.15</v>
      </c>
      <c r="T522" s="26" t="n">
        <v>0.12</v>
      </c>
      <c r="U522" s="11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26" t="n">
        <v>50.73</v>
      </c>
      <c r="W522" s="26" t="n">
        <v>71.63</v>
      </c>
      <c r="X522" s="26">
        <f>ROUND(('Methodology &amp; Assumptions'!$B$5*V522) + ('Methodology &amp; Assumptions'!$B$6*W522), 2)</f>
        <v/>
      </c>
      <c r="Y522" s="28" t="n">
        <v>10.9</v>
      </c>
      <c r="Z522" s="11" t="inlineStr">
        <is>
          <t>Priority Tier 2 (Balanced Opportunity)</t>
        </is>
      </c>
    </row>
    <row r="523">
      <c r="A523" s="23" t="n">
        <v>3</v>
      </c>
      <c r="B523" s="23" t="n">
        <v>519</v>
      </c>
      <c r="C523" s="23" t="n">
        <v>2519</v>
      </c>
      <c r="D523" s="23" t="inlineStr">
        <is>
          <t>0307708007</t>
        </is>
      </c>
      <c r="E523" s="11" t="inlineStr">
        <is>
          <t>Region III (Central Luzon)</t>
        </is>
      </c>
      <c r="F523" s="11" t="inlineStr">
        <is>
          <t>Aurora</t>
        </is>
      </c>
      <c r="G523" s="11" t="inlineStr">
        <is>
          <t>San Luis</t>
        </is>
      </c>
      <c r="H523" s="11" t="inlineStr">
        <is>
          <t>Dibayabay</t>
        </is>
      </c>
      <c r="I523" s="24" t="n">
        <v>15.612625</v>
      </c>
      <c r="J523" s="24" t="n">
        <v>121.548418</v>
      </c>
      <c r="K523" s="23" t="inlineStr">
        <is>
          <t>R</t>
        </is>
      </c>
      <c r="L523" s="25" t="n">
        <v>746</v>
      </c>
      <c r="M523" s="26" t="n">
        <v>3.8</v>
      </c>
      <c r="N523" s="25">
        <f>ROUND(L523/M523, 0)</f>
        <v/>
      </c>
      <c r="O523" s="25">
        <f>ROUND(N523*'Methodology &amp; Assumptions'!$B$7, 0)</f>
        <v/>
      </c>
      <c r="P523" s="23" t="inlineStr">
        <is>
          <t>Single Carrier (Band n50, 100MHz TDD)</t>
        </is>
      </c>
      <c r="Q523" s="27">
        <f>ROUNDUP(O523/'Methodology &amp; Assumptions'!$B$8, 0)</f>
        <v/>
      </c>
      <c r="R523" s="27" t="n">
        <v>1</v>
      </c>
      <c r="S523" s="26" t="n">
        <v>14.58</v>
      </c>
      <c r="T523" s="26" t="n">
        <v>15.12</v>
      </c>
      <c r="U523" s="11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26" t="n">
        <v>40.58</v>
      </c>
      <c r="W523" s="26" t="n">
        <v>81.76000000000001</v>
      </c>
      <c r="X523" s="26">
        <f>ROUND(('Methodology &amp; Assumptions'!$B$5*V523) + ('Methodology &amp; Assumptions'!$B$6*W523), 2)</f>
        <v/>
      </c>
      <c r="Y523" s="28" t="n">
        <v>8.300000000000001</v>
      </c>
      <c r="Z523" s="11" t="inlineStr">
        <is>
          <t>Priority Tier 2 (Balanced Opportunity)</t>
        </is>
      </c>
    </row>
    <row r="524">
      <c r="A524" s="23" t="n">
        <v>3</v>
      </c>
      <c r="B524" s="23" t="n">
        <v>520</v>
      </c>
      <c r="C524" s="23" t="n">
        <v>2520</v>
      </c>
      <c r="D524" s="23" t="inlineStr">
        <is>
          <t>0304903089</t>
        </is>
      </c>
      <c r="E524" s="11" t="inlineStr">
        <is>
          <t>Region III (Central Luzon)</t>
        </is>
      </c>
      <c r="F524" s="11" t="inlineStr">
        <is>
          <t>Nueva Ecija</t>
        </is>
      </c>
      <c r="G524" s="11" t="inlineStr">
        <is>
          <t>City of Cabanatuan</t>
        </is>
      </c>
      <c r="H524" s="11" t="inlineStr">
        <is>
          <t>Talipapa</t>
        </is>
      </c>
      <c r="I524" s="24" t="n">
        <v>15.585783</v>
      </c>
      <c r="J524" s="24" t="n">
        <v>120.924577</v>
      </c>
      <c r="K524" s="23" t="inlineStr">
        <is>
          <t>R</t>
        </is>
      </c>
      <c r="L524" s="25" t="n">
        <v>2723</v>
      </c>
      <c r="M524" s="26" t="n">
        <v>3.5</v>
      </c>
      <c r="N524" s="25">
        <f>ROUND(L524/M524, 0)</f>
        <v/>
      </c>
      <c r="O524" s="25">
        <f>ROUND(N524*'Methodology &amp; Assumptions'!$B$7, 0)</f>
        <v/>
      </c>
      <c r="P524" s="23" t="inlineStr">
        <is>
          <t>Single Carrier (Band n50, 100MHz TDD)</t>
        </is>
      </c>
      <c r="Q524" s="27">
        <f>ROUNDUP(O524/'Methodology &amp; Assumptions'!$B$8, 0)</f>
        <v/>
      </c>
      <c r="R524" s="27" t="n">
        <v>1</v>
      </c>
      <c r="S524" s="26" t="n">
        <v>0.71</v>
      </c>
      <c r="T524" s="26" t="n">
        <v>0.52</v>
      </c>
      <c r="U524" s="11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26" t="n">
        <v>84.26000000000001</v>
      </c>
      <c r="W524" s="26" t="n">
        <v>38.05</v>
      </c>
      <c r="X524" s="26">
        <f>ROUND(('Methodology &amp; Assumptions'!$B$5*V524) + ('Methodology &amp; Assumptions'!$B$6*W524), 2)</f>
        <v/>
      </c>
      <c r="Y524" s="28" t="n">
        <v>8.300000000000001</v>
      </c>
      <c r="Z524" s="11" t="inlineStr">
        <is>
          <t>Priority Tier 2 (Balanced Opportunity)</t>
        </is>
      </c>
    </row>
    <row r="525">
      <c r="A525" s="23" t="n">
        <v>3</v>
      </c>
      <c r="B525" s="23" t="n">
        <v>521</v>
      </c>
      <c r="C525" s="23" t="n">
        <v>2521</v>
      </c>
      <c r="D525" s="23" t="inlineStr">
        <is>
          <t>0102822009</t>
        </is>
      </c>
      <c r="E525" s="11" t="inlineStr">
        <is>
          <t>Region I (Ilocos Region)</t>
        </is>
      </c>
      <c r="F525" s="11" t="inlineStr">
        <is>
          <t>Ilocos Norte</t>
        </is>
      </c>
      <c r="G525" s="11" t="inlineStr">
        <is>
          <t>Solsona</t>
        </is>
      </c>
      <c r="H525" s="11" t="inlineStr">
        <is>
          <t>Juan</t>
        </is>
      </c>
      <c r="I525" s="24" t="n">
        <v>18.101053</v>
      </c>
      <c r="J525" s="24" t="n">
        <v>120.772349</v>
      </c>
      <c r="K525" s="23" t="inlineStr">
        <is>
          <t>R</t>
        </is>
      </c>
      <c r="L525" s="25" t="n">
        <v>2438</v>
      </c>
      <c r="M525" s="26" t="n">
        <v>3.7</v>
      </c>
      <c r="N525" s="25">
        <f>ROUND(L525/M525, 0)</f>
        <v/>
      </c>
      <c r="O525" s="25">
        <f>ROUND(N525*'Methodology &amp; Assumptions'!$B$7, 0)</f>
        <v/>
      </c>
      <c r="P525" s="23" t="inlineStr">
        <is>
          <t>Single Carrier (Band n50, 100MHz TDD)</t>
        </is>
      </c>
      <c r="Q525" s="27">
        <f>ROUNDUP(O525/'Methodology &amp; Assumptions'!$B$8, 0)</f>
        <v/>
      </c>
      <c r="R525" s="27" t="n">
        <v>1</v>
      </c>
      <c r="S525" s="26" t="n">
        <v>0.18</v>
      </c>
      <c r="T525" s="26" t="n">
        <v>0.16</v>
      </c>
      <c r="U525" s="11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26" t="n">
        <v>80.47</v>
      </c>
      <c r="W525" s="26" t="n">
        <v>41.85</v>
      </c>
      <c r="X525" s="26">
        <f>ROUND(('Methodology &amp; Assumptions'!$B$5*V525) + ('Methodology &amp; Assumptions'!$B$6*W525), 2)</f>
        <v/>
      </c>
      <c r="Y525" s="28" t="n">
        <v>8.300000000000001</v>
      </c>
      <c r="Z525" s="11" t="inlineStr">
        <is>
          <t>Priority Tier 2 (Balanced Opportunity)</t>
        </is>
      </c>
    </row>
    <row r="526">
      <c r="A526" s="23" t="n">
        <v>3</v>
      </c>
      <c r="B526" s="23" t="n">
        <v>522</v>
      </c>
      <c r="C526" s="23" t="n">
        <v>2522</v>
      </c>
      <c r="D526" s="23" t="inlineStr">
        <is>
          <t>0401011002</t>
        </is>
      </c>
      <c r="E526" s="11" t="inlineStr">
        <is>
          <t>Region IV-A (CALABARZON)</t>
        </is>
      </c>
      <c r="F526" s="11" t="inlineStr">
        <is>
          <t>Batangas</t>
        </is>
      </c>
      <c r="G526" s="11" t="inlineStr">
        <is>
          <t>Laurel</t>
        </is>
      </c>
      <c r="H526" s="11" t="inlineStr">
        <is>
          <t>Balakilong</t>
        </is>
      </c>
      <c r="I526" s="24" t="n">
        <v>14.066061</v>
      </c>
      <c r="J526" s="24" t="n">
        <v>120.924522</v>
      </c>
      <c r="K526" s="23" t="inlineStr">
        <is>
          <t>R</t>
        </is>
      </c>
      <c r="L526" s="25" t="n">
        <v>4467</v>
      </c>
      <c r="M526" s="26" t="n">
        <v>3.6</v>
      </c>
      <c r="N526" s="25">
        <f>ROUND(L526/M526, 0)</f>
        <v/>
      </c>
      <c r="O526" s="25">
        <f>ROUND(N526*'Methodology &amp; Assumptions'!$B$7, 0)</f>
        <v/>
      </c>
      <c r="P526" s="23" t="inlineStr">
        <is>
          <t>Single Carrier (Band n50, 100MHz TDD)</t>
        </is>
      </c>
      <c r="Q526" s="27">
        <f>ROUNDUP(O526/'Methodology &amp; Assumptions'!$B$8, 0)</f>
        <v/>
      </c>
      <c r="R526" s="27" t="n">
        <v>1</v>
      </c>
      <c r="S526" s="26" t="n">
        <v>1.74</v>
      </c>
      <c r="T526" s="26" t="n">
        <v>3.02</v>
      </c>
      <c r="U526" s="11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26" t="n">
        <v>78.63</v>
      </c>
      <c r="W526" s="26" t="n">
        <v>43.69</v>
      </c>
      <c r="X526" s="26">
        <f>ROUND(('Methodology &amp; Assumptions'!$B$5*V526) + ('Methodology &amp; Assumptions'!$B$6*W526), 2)</f>
        <v/>
      </c>
      <c r="Y526" s="28" t="n">
        <v>7.2</v>
      </c>
      <c r="Z526" s="11" t="inlineStr">
        <is>
          <t>Priority Tier 2 (Balanced Opportunity)</t>
        </is>
      </c>
    </row>
    <row r="527">
      <c r="A527" s="23" t="n">
        <v>3</v>
      </c>
      <c r="B527" s="23" t="n">
        <v>523</v>
      </c>
      <c r="C527" s="23" t="n">
        <v>2523</v>
      </c>
      <c r="D527" s="23" t="inlineStr">
        <is>
          <t>0405804026</t>
        </is>
      </c>
      <c r="E527" s="11" t="inlineStr">
        <is>
          <t>Region IV-A (CALABARZON)</t>
        </is>
      </c>
      <c r="F527" s="11" t="inlineStr">
        <is>
          <t>Rizal</t>
        </is>
      </c>
      <c r="G527" s="11" t="inlineStr">
        <is>
          <t>Binangonan</t>
        </is>
      </c>
      <c r="H527" s="11" t="inlineStr">
        <is>
          <t>Palangoy</t>
        </is>
      </c>
      <c r="I527" s="24" t="n">
        <v>14.493807</v>
      </c>
      <c r="J527" s="24" t="n">
        <v>121.177188</v>
      </c>
      <c r="K527" s="23" t="inlineStr">
        <is>
          <t>U</t>
        </is>
      </c>
      <c r="L527" s="25" t="n">
        <v>17102</v>
      </c>
      <c r="M527" s="26" t="n">
        <v>3.6</v>
      </c>
      <c r="N527" s="25">
        <f>ROUND(L527/M527, 0)</f>
        <v/>
      </c>
      <c r="O527" s="25">
        <f>ROUND(N527*'Methodology &amp; Assumptions'!$B$7, 0)</f>
        <v/>
      </c>
      <c r="P527" s="23" t="inlineStr">
        <is>
          <t>Single Carrier (Band n50, 100MHz TDD)</t>
        </is>
      </c>
      <c r="Q527" s="27">
        <f>ROUNDUP(O527/'Methodology &amp; Assumptions'!$B$8, 0)</f>
        <v/>
      </c>
      <c r="R527" s="27" t="n">
        <v>1</v>
      </c>
      <c r="S527" s="26" t="n">
        <v>0.22</v>
      </c>
      <c r="T527" s="26" t="n">
        <v>0.18</v>
      </c>
      <c r="U527" s="11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26" t="n">
        <v>78.26000000000001</v>
      </c>
      <c r="W527" s="26" t="n">
        <v>44.06</v>
      </c>
      <c r="X527" s="26">
        <f>ROUND(('Methodology &amp; Assumptions'!$B$5*V527) + ('Methodology &amp; Assumptions'!$B$6*W527), 2)</f>
        <v/>
      </c>
      <c r="Y527" s="28" t="n">
        <v>7.2</v>
      </c>
      <c r="Z527" s="11" t="inlineStr">
        <is>
          <t>Priority Tier 2 (Balanced Opportunity)</t>
        </is>
      </c>
    </row>
    <row r="528">
      <c r="A528" s="23" t="n">
        <v>3</v>
      </c>
      <c r="B528" s="23" t="n">
        <v>524</v>
      </c>
      <c r="C528" s="23" t="n">
        <v>2524</v>
      </c>
      <c r="D528" s="23" t="inlineStr">
        <is>
          <t>0402106012</t>
        </is>
      </c>
      <c r="E528" s="11" t="inlineStr">
        <is>
          <t>Region IV-A (CALABARZON)</t>
        </is>
      </c>
      <c r="F528" s="11" t="inlineStr">
        <is>
          <t>Cavite</t>
        </is>
      </c>
      <c r="G528" s="11" t="inlineStr">
        <is>
          <t>City of Dasmariñas</t>
        </is>
      </c>
      <c r="H528" s="11" t="inlineStr">
        <is>
          <t>Salitran I</t>
        </is>
      </c>
      <c r="I528" s="24" t="n">
        <v>14.351109</v>
      </c>
      <c r="J528" s="24" t="n">
        <v>120.939724</v>
      </c>
      <c r="K528" s="23" t="inlineStr">
        <is>
          <t>U</t>
        </is>
      </c>
      <c r="L528" s="25" t="n">
        <v>5430</v>
      </c>
      <c r="M528" s="26" t="n">
        <v>3.4</v>
      </c>
      <c r="N528" s="25">
        <f>ROUND(L528/M528, 0)</f>
        <v/>
      </c>
      <c r="O528" s="25">
        <f>ROUND(N528*'Methodology &amp; Assumptions'!$B$7, 0)</f>
        <v/>
      </c>
      <c r="P528" s="23" t="inlineStr">
        <is>
          <t>Single Carrier (Band n50, 100MHz TDD)</t>
        </is>
      </c>
      <c r="Q528" s="27">
        <f>ROUNDUP(O528/'Methodology &amp; Assumptions'!$B$8, 0)</f>
        <v/>
      </c>
      <c r="R528" s="27" t="n">
        <v>1</v>
      </c>
      <c r="S528" s="26" t="n">
        <v>0.07000000000000001</v>
      </c>
      <c r="T528" s="26" t="n">
        <v>5.69</v>
      </c>
      <c r="U528" s="11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26" t="n">
        <v>77.97</v>
      </c>
      <c r="W528" s="26" t="n">
        <v>44.35</v>
      </c>
      <c r="X528" s="26">
        <f>ROUND(('Methodology &amp; Assumptions'!$B$5*V528) + ('Methodology &amp; Assumptions'!$B$6*W528), 2)</f>
        <v/>
      </c>
      <c r="Y528" s="28" t="n">
        <v>7.2</v>
      </c>
      <c r="Z528" s="11" t="inlineStr">
        <is>
          <t>Priority Tier 2 (Balanced Opportunity)</t>
        </is>
      </c>
    </row>
    <row r="529">
      <c r="A529" s="23" t="n">
        <v>3</v>
      </c>
      <c r="B529" s="23" t="n">
        <v>525</v>
      </c>
      <c r="C529" s="23" t="n">
        <v>2525</v>
      </c>
      <c r="D529" s="23" t="inlineStr">
        <is>
          <t>0501605007</t>
        </is>
      </c>
      <c r="E529" s="11" t="inlineStr">
        <is>
          <t>Region V (Bicol Region)</t>
        </is>
      </c>
      <c r="F529" s="11" t="inlineStr">
        <is>
          <t>Camarines Norte</t>
        </is>
      </c>
      <c r="G529" s="11" t="inlineStr">
        <is>
          <t>Jose Panganiban</t>
        </is>
      </c>
      <c r="H529" s="11" t="inlineStr">
        <is>
          <t>Luklukan Sur</t>
        </is>
      </c>
      <c r="I529" s="24" t="n">
        <v>14.3192</v>
      </c>
      <c r="J529" s="24" t="n">
        <v>122.7038</v>
      </c>
      <c r="K529" s="23" t="inlineStr">
        <is>
          <t>R</t>
        </is>
      </c>
      <c r="L529" s="25" t="n">
        <v>4173</v>
      </c>
      <c r="M529" s="26" t="n">
        <v>4</v>
      </c>
      <c r="N529" s="25">
        <f>ROUND(L529/M529, 0)</f>
        <v/>
      </c>
      <c r="O529" s="25">
        <f>ROUND(N529*'Methodology &amp; Assumptions'!$B$7, 0)</f>
        <v/>
      </c>
      <c r="P529" s="23" t="inlineStr">
        <is>
          <t>Single Carrier (Band n50, 100MHz TDD)</t>
        </is>
      </c>
      <c r="Q529" s="27">
        <f>ROUNDUP(O529/'Methodology &amp; Assumptions'!$B$8, 0)</f>
        <v/>
      </c>
      <c r="R529" s="27" t="n">
        <v>1</v>
      </c>
      <c r="S529" s="26" t="n">
        <v>4.09</v>
      </c>
      <c r="T529" s="26" t="n">
        <v>14.01</v>
      </c>
      <c r="U529" s="11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26" t="n">
        <v>74.73999999999999</v>
      </c>
      <c r="W529" s="26" t="n">
        <v>47.58</v>
      </c>
      <c r="X529" s="26">
        <f>ROUND(('Methodology &amp; Assumptions'!$B$5*V529) + ('Methodology &amp; Assumptions'!$B$6*W529), 2)</f>
        <v/>
      </c>
      <c r="Y529" s="28" t="n">
        <v>23.7</v>
      </c>
      <c r="Z529" s="11" t="inlineStr">
        <is>
          <t>Priority Tier 2 (Balanced Opportunity)</t>
        </is>
      </c>
    </row>
    <row r="530">
      <c r="A530" s="23" t="n">
        <v>3</v>
      </c>
      <c r="B530" s="23" t="n">
        <v>526</v>
      </c>
      <c r="C530" s="23" t="n">
        <v>2526</v>
      </c>
      <c r="D530" s="23" t="inlineStr">
        <is>
          <t>0402116006</t>
        </is>
      </c>
      <c r="E530" s="11" t="inlineStr">
        <is>
          <t>Region IV-A (CALABARZON)</t>
        </is>
      </c>
      <c r="F530" s="11" t="inlineStr">
        <is>
          <t>Cavite</t>
        </is>
      </c>
      <c r="G530" s="11" t="inlineStr">
        <is>
          <t>Noveleta</t>
        </is>
      </c>
      <c r="H530" s="11" t="inlineStr">
        <is>
          <t>San Rafael I</t>
        </is>
      </c>
      <c r="I530" s="24" t="n">
        <v>14.433024</v>
      </c>
      <c r="J530" s="24" t="n">
        <v>120.877167</v>
      </c>
      <c r="K530" s="23" t="inlineStr">
        <is>
          <t>R</t>
        </is>
      </c>
      <c r="L530" s="25" t="n">
        <v>1316</v>
      </c>
      <c r="M530" s="26" t="n">
        <v>3.4</v>
      </c>
      <c r="N530" s="25">
        <f>ROUND(L530/M530, 0)</f>
        <v/>
      </c>
      <c r="O530" s="25">
        <f>ROUND(N530*'Methodology &amp; Assumptions'!$B$7, 0)</f>
        <v/>
      </c>
      <c r="P530" s="23" t="inlineStr">
        <is>
          <t>Single Carrier (Band n50, 100MHz TDD)</t>
        </is>
      </c>
      <c r="Q530" s="27">
        <f>ROUNDUP(O530/'Methodology &amp; Assumptions'!$B$8, 0)</f>
        <v/>
      </c>
      <c r="R530" s="27" t="n">
        <v>1</v>
      </c>
      <c r="S530" s="26" t="n">
        <v>0.74</v>
      </c>
      <c r="T530" s="26" t="n">
        <v>0.71</v>
      </c>
      <c r="U530" s="11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26" t="n">
        <v>71.48</v>
      </c>
      <c r="W530" s="26" t="n">
        <v>50.85</v>
      </c>
      <c r="X530" s="26">
        <f>ROUND(('Methodology &amp; Assumptions'!$B$5*V530) + ('Methodology &amp; Assumptions'!$B$6*W530), 2)</f>
        <v/>
      </c>
      <c r="Y530" s="28" t="n">
        <v>7.2</v>
      </c>
      <c r="Z530" s="11" t="inlineStr">
        <is>
          <t>Priority Tier 2 (Balanced Opportunity)</t>
        </is>
      </c>
    </row>
    <row r="531">
      <c r="A531" s="23" t="n">
        <v>3</v>
      </c>
      <c r="B531" s="23" t="n">
        <v>527</v>
      </c>
      <c r="C531" s="23" t="n">
        <v>2527</v>
      </c>
      <c r="D531" s="23" t="inlineStr">
        <is>
          <t>1906606003</t>
        </is>
      </c>
      <c r="E531" s="11" t="inlineStr">
        <is>
          <t>Bangsamoro Autonomous Region In Muslim Mindanao (BARMM)</t>
        </is>
      </c>
      <c r="F531" s="11" t="inlineStr">
        <is>
          <t>Sulu</t>
        </is>
      </c>
      <c r="G531" s="11" t="inlineStr">
        <is>
          <t>Hadji Panglima Tahil</t>
        </is>
      </c>
      <c r="H531" s="11" t="inlineStr">
        <is>
          <t>Kabuukan</t>
        </is>
      </c>
      <c r="I531" s="24" t="n">
        <v>6.128841</v>
      </c>
      <c r="J531" s="24" t="n">
        <v>120.904434</v>
      </c>
      <c r="K531" s="23" t="inlineStr">
        <is>
          <t>R</t>
        </is>
      </c>
      <c r="L531" s="25" t="n">
        <v>2973</v>
      </c>
      <c r="M531" s="26" t="n">
        <v>6</v>
      </c>
      <c r="N531" s="25">
        <f>ROUND(L531/M531, 0)</f>
        <v/>
      </c>
      <c r="O531" s="25">
        <f>ROUND(N531*'Methodology &amp; Assumptions'!$B$7, 0)</f>
        <v/>
      </c>
      <c r="P531" s="23" t="inlineStr">
        <is>
          <t>Single Carrier (Band n50, 100MHz TDD)</t>
        </is>
      </c>
      <c r="Q531" s="27">
        <f>ROUNDUP(O531/'Methodology &amp; Assumptions'!$B$8, 0)</f>
        <v/>
      </c>
      <c r="R531" s="27" t="n">
        <v>1</v>
      </c>
      <c r="S531" s="26" t="n">
        <v>155.69</v>
      </c>
      <c r="T531" s="26" t="n">
        <v>155.69</v>
      </c>
      <c r="U531" s="11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26" t="n">
        <v>50.76</v>
      </c>
      <c r="W531" s="26" t="n">
        <v>71.55</v>
      </c>
      <c r="X531" s="26">
        <f>ROUND(('Methodology &amp; Assumptions'!$B$5*V531) + ('Methodology &amp; Assumptions'!$B$6*W531), 2)</f>
        <v/>
      </c>
      <c r="Y531" s="28" t="n">
        <v>11</v>
      </c>
      <c r="Z531" s="11" t="inlineStr">
        <is>
          <t>Priority Tier 2 (Balanced Opportunity)</t>
        </is>
      </c>
    </row>
    <row r="532">
      <c r="A532" s="23" t="n">
        <v>3</v>
      </c>
      <c r="B532" s="23" t="n">
        <v>528</v>
      </c>
      <c r="C532" s="23" t="n">
        <v>2528</v>
      </c>
      <c r="D532" s="23" t="inlineStr">
        <is>
          <t>1381300005</t>
        </is>
      </c>
      <c r="E532" s="11" t="inlineStr">
        <is>
          <t>National Capital Region (NCR)</t>
        </is>
      </c>
      <c r="F532" s="11" t="inlineStr">
        <is>
          <t>Second District (Not a Province)</t>
        </is>
      </c>
      <c r="G532" s="11" t="inlineStr">
        <is>
          <t>Quezon City</t>
        </is>
      </c>
      <c r="H532" s="11" t="inlineStr">
        <is>
          <t>Baesa</t>
        </is>
      </c>
      <c r="I532" s="24" t="n">
        <v>14.6746</v>
      </c>
      <c r="J532" s="24" t="n">
        <v>121.0134</v>
      </c>
      <c r="K532" s="23" t="inlineStr">
        <is>
          <t>U</t>
        </is>
      </c>
      <c r="L532" s="25" t="n">
        <v>56514</v>
      </c>
      <c r="M532" s="26" t="n">
        <v>3.59</v>
      </c>
      <c r="N532" s="25">
        <f>ROUND(L532/M532, 0)</f>
        <v/>
      </c>
      <c r="O532" s="25">
        <f>ROUND(N532*'Methodology &amp; Assumptions'!$B$7, 0)</f>
        <v/>
      </c>
      <c r="P532" s="23" t="inlineStr">
        <is>
          <t>Single Carrier (Band n50, 100MHz TDD)</t>
        </is>
      </c>
      <c r="Q532" s="27">
        <f>ROUNDUP(O532/'Methodology &amp; Assumptions'!$B$8, 0)</f>
        <v/>
      </c>
      <c r="R532" s="27" t="n">
        <v>1</v>
      </c>
      <c r="S532" s="26" t="n">
        <v>0.43</v>
      </c>
      <c r="T532" s="26" t="n">
        <v>0.09</v>
      </c>
      <c r="U532" s="11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26" t="n">
        <v>66.02</v>
      </c>
      <c r="W532" s="26" t="n">
        <v>56.28</v>
      </c>
      <c r="X532" s="26">
        <f>ROUND(('Methodology &amp; Assumptions'!$B$5*V532) + ('Methodology &amp; Assumptions'!$B$6*W532), 2)</f>
        <v/>
      </c>
      <c r="Y532" s="28" t="n">
        <v>10.9</v>
      </c>
      <c r="Z532" s="11" t="inlineStr">
        <is>
          <t>Priority Tier 2 (Balanced Opportunity)</t>
        </is>
      </c>
    </row>
    <row r="533">
      <c r="A533" s="23" t="n">
        <v>3</v>
      </c>
      <c r="B533" s="23" t="n">
        <v>529</v>
      </c>
      <c r="C533" s="23" t="n">
        <v>2529</v>
      </c>
      <c r="D533" s="23" t="inlineStr">
        <is>
          <t>1381100116</t>
        </is>
      </c>
      <c r="E533" s="11" t="inlineStr">
        <is>
          <t>National Capital Region (NCR)</t>
        </is>
      </c>
      <c r="F533" s="11" t="inlineStr">
        <is>
          <t>Fourth District (Not a Province)</t>
        </is>
      </c>
      <c r="G533" s="11" t="inlineStr">
        <is>
          <t>Pasay City</t>
        </is>
      </c>
      <c r="H533" s="11" t="inlineStr">
        <is>
          <t>Barangay 116</t>
        </is>
      </c>
      <c r="I533" s="24" t="n">
        <v>14.541425</v>
      </c>
      <c r="J533" s="24" t="n">
        <v>121.003788</v>
      </c>
      <c r="K533" s="23" t="inlineStr">
        <is>
          <t>U</t>
        </is>
      </c>
      <c r="L533" s="25" t="n">
        <v>1348</v>
      </c>
      <c r="M533" s="26" t="n">
        <v>3.5</v>
      </c>
      <c r="N533" s="25">
        <f>ROUND(L533/M533, 0)</f>
        <v/>
      </c>
      <c r="O533" s="25">
        <f>ROUND(N533*'Methodology &amp; Assumptions'!$B$7, 0)</f>
        <v/>
      </c>
      <c r="P533" s="23" t="inlineStr">
        <is>
          <t>Single Carrier (Band n50, 100MHz TDD)</t>
        </is>
      </c>
      <c r="Q533" s="27">
        <f>ROUNDUP(O533/'Methodology &amp; Assumptions'!$B$8, 0)</f>
        <v/>
      </c>
      <c r="R533" s="27" t="n">
        <v>1</v>
      </c>
      <c r="S533" s="26" t="n">
        <v>1.06</v>
      </c>
      <c r="T533" s="26" t="n">
        <v>0.39</v>
      </c>
      <c r="U533" s="11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26" t="n">
        <v>52.66</v>
      </c>
      <c r="W533" s="26" t="n">
        <v>69.65000000000001</v>
      </c>
      <c r="X533" s="26">
        <f>ROUND(('Methodology &amp; Assumptions'!$B$5*V533) + ('Methodology &amp; Assumptions'!$B$6*W533), 2)</f>
        <v/>
      </c>
      <c r="Y533" s="28" t="n">
        <v>10.9</v>
      </c>
      <c r="Z533" s="11" t="inlineStr">
        <is>
          <t>Priority Tier 2 (Balanced Opportunity)</t>
        </is>
      </c>
    </row>
    <row r="534">
      <c r="A534" s="23" t="n">
        <v>3</v>
      </c>
      <c r="B534" s="23" t="n">
        <v>530</v>
      </c>
      <c r="C534" s="23" t="n">
        <v>2530</v>
      </c>
      <c r="D534" s="23" t="inlineStr">
        <is>
          <t>1380614034</t>
        </is>
      </c>
      <c r="E534" s="11" t="inlineStr">
        <is>
          <t>National Capital Region (NCR)</t>
        </is>
      </c>
      <c r="F534" s="11" t="inlineStr">
        <is>
          <t>First District (Not a Province)</t>
        </is>
      </c>
      <c r="G534" s="11" t="inlineStr">
        <is>
          <t>City of Manila</t>
        </is>
      </c>
      <c r="H534" s="11" t="inlineStr">
        <is>
          <t>Barangay 778</t>
        </is>
      </c>
      <c r="I534" s="24" t="n">
        <v>14.573844</v>
      </c>
      <c r="J534" s="24" t="n">
        <v>121.010022</v>
      </c>
      <c r="K534" s="23" t="inlineStr">
        <is>
          <t>U</t>
        </is>
      </c>
      <c r="L534" s="25" t="n">
        <v>1860</v>
      </c>
      <c r="M534" s="26" t="n">
        <v>4.43</v>
      </c>
      <c r="N534" s="25">
        <f>ROUND(L534/M534, 0)</f>
        <v/>
      </c>
      <c r="O534" s="25">
        <f>ROUND(N534*'Methodology &amp; Assumptions'!$B$7, 0)</f>
        <v/>
      </c>
      <c r="P534" s="23" t="inlineStr">
        <is>
          <t>Single Carrier (Band n50, 100MHz TDD)</t>
        </is>
      </c>
      <c r="Q534" s="27">
        <f>ROUNDUP(O534/'Methodology &amp; Assumptions'!$B$8, 0)</f>
        <v/>
      </c>
      <c r="R534" s="27" t="n">
        <v>1</v>
      </c>
      <c r="S534" s="26" t="n">
        <v>1.41</v>
      </c>
      <c r="T534" s="26" t="n">
        <v>0.26</v>
      </c>
      <c r="U534" s="11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26" t="n">
        <v>52.43</v>
      </c>
      <c r="W534" s="26" t="n">
        <v>69.87</v>
      </c>
      <c r="X534" s="26">
        <f>ROUND(('Methodology &amp; Assumptions'!$B$5*V534) + ('Methodology &amp; Assumptions'!$B$6*W534), 2)</f>
        <v/>
      </c>
      <c r="Y534" s="28" t="n">
        <v>10.9</v>
      </c>
      <c r="Z534" s="11" t="inlineStr">
        <is>
          <t>Priority Tier 2 (Balanced Opportunity)</t>
        </is>
      </c>
    </row>
    <row r="535">
      <c r="A535" s="23" t="n">
        <v>3</v>
      </c>
      <c r="B535" s="23" t="n">
        <v>531</v>
      </c>
      <c r="C535" s="23" t="n">
        <v>2531</v>
      </c>
      <c r="D535" s="23" t="inlineStr">
        <is>
          <t>1380606072</t>
        </is>
      </c>
      <c r="E535" s="11" t="inlineStr">
        <is>
          <t>National Capital Region (NCR)</t>
        </is>
      </c>
      <c r="F535" s="11" t="inlineStr">
        <is>
          <t>First District (Not a Province)</t>
        </is>
      </c>
      <c r="G535" s="11" t="inlineStr">
        <is>
          <t>City of Manila</t>
        </is>
      </c>
      <c r="H535" s="11" t="inlineStr">
        <is>
          <t>Barangay 466</t>
        </is>
      </c>
      <c r="I535" s="24" t="n">
        <v>14.608631</v>
      </c>
      <c r="J535" s="24" t="n">
        <v>120.987154</v>
      </c>
      <c r="K535" s="23" t="inlineStr">
        <is>
          <t>U</t>
        </is>
      </c>
      <c r="L535" s="25" t="n">
        <v>1448</v>
      </c>
      <c r="M535" s="26" t="n">
        <v>4.16</v>
      </c>
      <c r="N535" s="25">
        <f>ROUND(L535/M535, 0)</f>
        <v/>
      </c>
      <c r="O535" s="25">
        <f>ROUND(N535*'Methodology &amp; Assumptions'!$B$7, 0)</f>
        <v/>
      </c>
      <c r="P535" s="23" t="inlineStr">
        <is>
          <t>Single Carrier (Band n50, 100MHz TDD)</t>
        </is>
      </c>
      <c r="Q535" s="27">
        <f>ROUNDUP(O535/'Methodology &amp; Assumptions'!$B$8, 0)</f>
        <v/>
      </c>
      <c r="R535" s="27" t="n">
        <v>1</v>
      </c>
      <c r="S535" s="26" t="n">
        <v>0.75</v>
      </c>
      <c r="T535" s="26" t="n">
        <v>0.27</v>
      </c>
      <c r="U535" s="11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26" t="n">
        <v>52.23</v>
      </c>
      <c r="W535" s="26" t="n">
        <v>70.06999999999999</v>
      </c>
      <c r="X535" s="26">
        <f>ROUND(('Methodology &amp; Assumptions'!$B$5*V535) + ('Methodology &amp; Assumptions'!$B$6*W535), 2)</f>
        <v/>
      </c>
      <c r="Y535" s="28" t="n">
        <v>10.9</v>
      </c>
      <c r="Z535" s="11" t="inlineStr">
        <is>
          <t>Priority Tier 2 (Balanced Opportunity)</t>
        </is>
      </c>
    </row>
    <row r="536">
      <c r="A536" s="23" t="n">
        <v>3</v>
      </c>
      <c r="B536" s="23" t="n">
        <v>532</v>
      </c>
      <c r="C536" s="23" t="n">
        <v>2532</v>
      </c>
      <c r="D536" s="23" t="inlineStr">
        <is>
          <t>1380610026</t>
        </is>
      </c>
      <c r="E536" s="11" t="inlineStr">
        <is>
          <t>National Capital Region (NCR)</t>
        </is>
      </c>
      <c r="F536" s="11" t="inlineStr">
        <is>
          <t>First District (Not a Province)</t>
        </is>
      </c>
      <c r="G536" s="11" t="inlineStr">
        <is>
          <t>City of Manila</t>
        </is>
      </c>
      <c r="H536" s="11" t="inlineStr">
        <is>
          <t>Barangay 711</t>
        </is>
      </c>
      <c r="I536" s="24" t="n">
        <v>14.566982</v>
      </c>
      <c r="J536" s="24" t="n">
        <v>120.99059</v>
      </c>
      <c r="K536" s="23" t="inlineStr">
        <is>
          <t>U</t>
        </is>
      </c>
      <c r="L536" s="25" t="n">
        <v>1308</v>
      </c>
      <c r="M536" s="26" t="n">
        <v>3.77</v>
      </c>
      <c r="N536" s="25">
        <f>ROUND(L536/M536, 0)</f>
        <v/>
      </c>
      <c r="O536" s="25">
        <f>ROUND(N536*'Methodology &amp; Assumptions'!$B$7, 0)</f>
        <v/>
      </c>
      <c r="P536" s="23" t="inlineStr">
        <is>
          <t>Single Carrier (Band n50, 100MHz TDD)</t>
        </is>
      </c>
      <c r="Q536" s="27">
        <f>ROUNDUP(O536/'Methodology &amp; Assumptions'!$B$8, 0)</f>
        <v/>
      </c>
      <c r="R536" s="27" t="n">
        <v>1</v>
      </c>
      <c r="S536" s="26" t="n">
        <v>0.68</v>
      </c>
      <c r="T536" s="26" t="n">
        <v>0.43</v>
      </c>
      <c r="U536" s="11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26" t="n">
        <v>52.23</v>
      </c>
      <c r="W536" s="26" t="n">
        <v>70.06999999999999</v>
      </c>
      <c r="X536" s="26">
        <f>ROUND(('Methodology &amp; Assumptions'!$B$5*V536) + ('Methodology &amp; Assumptions'!$B$6*W536), 2)</f>
        <v/>
      </c>
      <c r="Y536" s="28" t="n">
        <v>10.9</v>
      </c>
      <c r="Z536" s="11" t="inlineStr">
        <is>
          <t>Priority Tier 2 (Balanced Opportunity)</t>
        </is>
      </c>
    </row>
    <row r="537">
      <c r="A537" s="23" t="n">
        <v>3</v>
      </c>
      <c r="B537" s="23" t="n">
        <v>533</v>
      </c>
      <c r="C537" s="23" t="n">
        <v>2533</v>
      </c>
      <c r="D537" s="23" t="inlineStr">
        <is>
          <t>1380601178</t>
        </is>
      </c>
      <c r="E537" s="11" t="inlineStr">
        <is>
          <t>National Capital Region (NCR)</t>
        </is>
      </c>
      <c r="F537" s="11" t="inlineStr">
        <is>
          <t>First District (Not a Province)</t>
        </is>
      </c>
      <c r="G537" s="11" t="inlineStr">
        <is>
          <t>City of Manila</t>
        </is>
      </c>
      <c r="H537" s="11" t="inlineStr">
        <is>
          <t>Barangay 178</t>
        </is>
      </c>
      <c r="I537" s="24" t="n">
        <v>14.633962</v>
      </c>
      <c r="J537" s="24" t="n">
        <v>120.974324</v>
      </c>
      <c r="K537" s="23" t="inlineStr">
        <is>
          <t>U</t>
        </is>
      </c>
      <c r="L537" s="25" t="n">
        <v>1324</v>
      </c>
      <c r="M537" s="26" t="n">
        <v>3.94</v>
      </c>
      <c r="N537" s="25">
        <f>ROUND(L537/M537, 0)</f>
        <v/>
      </c>
      <c r="O537" s="25">
        <f>ROUND(N537*'Methodology &amp; Assumptions'!$B$7, 0)</f>
        <v/>
      </c>
      <c r="P537" s="23" t="inlineStr">
        <is>
          <t>Single Carrier (Band n50, 100MHz TDD)</t>
        </is>
      </c>
      <c r="Q537" s="27">
        <f>ROUNDUP(O537/'Methodology &amp; Assumptions'!$B$8, 0)</f>
        <v/>
      </c>
      <c r="R537" s="27" t="n">
        <v>1</v>
      </c>
      <c r="S537" s="26" t="n">
        <v>0.8</v>
      </c>
      <c r="T537" s="26" t="n">
        <v>0.73</v>
      </c>
      <c r="U537" s="11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26" t="n">
        <v>51.91</v>
      </c>
      <c r="W537" s="26" t="n">
        <v>70.39</v>
      </c>
      <c r="X537" s="26">
        <f>ROUND(('Methodology &amp; Assumptions'!$B$5*V537) + ('Methodology &amp; Assumptions'!$B$6*W537), 2)</f>
        <v/>
      </c>
      <c r="Y537" s="28" t="n">
        <v>10.9</v>
      </c>
      <c r="Z537" s="11" t="inlineStr">
        <is>
          <t>Priority Tier 2 (Balanced Opportunity)</t>
        </is>
      </c>
    </row>
    <row r="538">
      <c r="A538" s="23" t="n">
        <v>3</v>
      </c>
      <c r="B538" s="23" t="n">
        <v>534</v>
      </c>
      <c r="C538" s="23" t="n">
        <v>2534</v>
      </c>
      <c r="D538" s="23" t="inlineStr">
        <is>
          <t>1380605044</t>
        </is>
      </c>
      <c r="E538" s="11" t="inlineStr">
        <is>
          <t>National Capital Region (NCR)</t>
        </is>
      </c>
      <c r="F538" s="11" t="inlineStr">
        <is>
          <t>First District (Not a Province)</t>
        </is>
      </c>
      <c r="G538" s="11" t="inlineStr">
        <is>
          <t>City of Manila</t>
        </is>
      </c>
      <c r="H538" s="11" t="inlineStr">
        <is>
          <t>Barangay 342</t>
        </is>
      </c>
      <c r="I538" s="24" t="n">
        <v>14.614741</v>
      </c>
      <c r="J538" s="24" t="n">
        <v>120.987137</v>
      </c>
      <c r="K538" s="23" t="inlineStr">
        <is>
          <t>U</t>
        </is>
      </c>
      <c r="L538" s="25" t="n">
        <v>1765</v>
      </c>
      <c r="M538" s="26" t="n">
        <v>5.28</v>
      </c>
      <c r="N538" s="25">
        <f>ROUND(L538/M538, 0)</f>
        <v/>
      </c>
      <c r="O538" s="25">
        <f>ROUND(N538*'Methodology &amp; Assumptions'!$B$7, 0)</f>
        <v/>
      </c>
      <c r="P538" s="23" t="inlineStr">
        <is>
          <t>Single Carrier (Band n50, 100MHz TDD)</t>
        </is>
      </c>
      <c r="Q538" s="27">
        <f>ROUNDUP(O538/'Methodology &amp; Assumptions'!$B$8, 0)</f>
        <v/>
      </c>
      <c r="R538" s="27" t="n">
        <v>1</v>
      </c>
      <c r="S538" s="26" t="n">
        <v>0.5</v>
      </c>
      <c r="T538" s="26" t="n">
        <v>0.32</v>
      </c>
      <c r="U538" s="11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26" t="n">
        <v>51.8</v>
      </c>
      <c r="W538" s="26" t="n">
        <v>70.48999999999999</v>
      </c>
      <c r="X538" s="26">
        <f>ROUND(('Methodology &amp; Assumptions'!$B$5*V538) + ('Methodology &amp; Assumptions'!$B$6*W538), 2)</f>
        <v/>
      </c>
      <c r="Y538" s="28" t="n">
        <v>10.9</v>
      </c>
      <c r="Z538" s="11" t="inlineStr">
        <is>
          <t>Priority Tier 2 (Balanced Opportunity)</t>
        </is>
      </c>
    </row>
    <row r="539">
      <c r="A539" s="23" t="n">
        <v>3</v>
      </c>
      <c r="B539" s="23" t="n">
        <v>535</v>
      </c>
      <c r="C539" s="23" t="n">
        <v>2535</v>
      </c>
      <c r="D539" s="23" t="inlineStr">
        <is>
          <t>1381100166</t>
        </is>
      </c>
      <c r="E539" s="11" t="inlineStr">
        <is>
          <t>National Capital Region (NCR)</t>
        </is>
      </c>
      <c r="F539" s="11" t="inlineStr">
        <is>
          <t>Fourth District (Not a Province)</t>
        </is>
      </c>
      <c r="G539" s="11" t="inlineStr">
        <is>
          <t>Pasay City</t>
        </is>
      </c>
      <c r="H539" s="11" t="inlineStr">
        <is>
          <t>Barangay 166</t>
        </is>
      </c>
      <c r="I539" s="24" t="n">
        <v>14.535852</v>
      </c>
      <c r="J539" s="24" t="n">
        <v>121.010116</v>
      </c>
      <c r="K539" s="23" t="inlineStr">
        <is>
          <t>U</t>
        </is>
      </c>
      <c r="L539" s="25" t="n">
        <v>1228</v>
      </c>
      <c r="M539" s="26" t="n">
        <v>3.18</v>
      </c>
      <c r="N539" s="25">
        <f>ROUND(L539/M539, 0)</f>
        <v/>
      </c>
      <c r="O539" s="25">
        <f>ROUND(N539*'Methodology &amp; Assumptions'!$B$7, 0)</f>
        <v/>
      </c>
      <c r="P539" s="23" t="inlineStr">
        <is>
          <t>Single Carrier (Band n50, 100MHz TDD)</t>
        </is>
      </c>
      <c r="Q539" s="27">
        <f>ROUNDUP(O539/'Methodology &amp; Assumptions'!$B$8, 0)</f>
        <v/>
      </c>
      <c r="R539" s="27" t="n">
        <v>1</v>
      </c>
      <c r="S539" s="26" t="n">
        <v>1.55</v>
      </c>
      <c r="T539" s="26" t="n">
        <v>0.74</v>
      </c>
      <c r="U539" s="11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26" t="n">
        <v>50.84</v>
      </c>
      <c r="W539" s="26" t="n">
        <v>71.45999999999999</v>
      </c>
      <c r="X539" s="26">
        <f>ROUND(('Methodology &amp; Assumptions'!$B$5*V539) + ('Methodology &amp; Assumptions'!$B$6*W539), 2)</f>
        <v/>
      </c>
      <c r="Y539" s="28" t="n">
        <v>10.9</v>
      </c>
      <c r="Z539" s="11" t="inlineStr">
        <is>
          <t>Priority Tier 2 (Balanced Opportunity)</t>
        </is>
      </c>
    </row>
    <row r="540">
      <c r="A540" s="23" t="n">
        <v>3</v>
      </c>
      <c r="B540" s="23" t="n">
        <v>536</v>
      </c>
      <c r="C540" s="23" t="n">
        <v>2536</v>
      </c>
      <c r="D540" s="23" t="inlineStr">
        <is>
          <t>0304916007</t>
        </is>
      </c>
      <c r="E540" s="11" t="inlineStr">
        <is>
          <t>Region III (Central Luzon)</t>
        </is>
      </c>
      <c r="F540" s="11" t="inlineStr">
        <is>
          <t>Nueva Ecija</t>
        </is>
      </c>
      <c r="G540" s="11" t="inlineStr">
        <is>
          <t>Lupao</t>
        </is>
      </c>
      <c r="H540" s="11" t="inlineStr">
        <is>
          <t>Bagong Flores</t>
        </is>
      </c>
      <c r="I540" s="24" t="n">
        <v>15.889736</v>
      </c>
      <c r="J540" s="24" t="n">
        <v>120.899786</v>
      </c>
      <c r="K540" s="23" t="inlineStr">
        <is>
          <t>R</t>
        </is>
      </c>
      <c r="L540" s="25" t="n">
        <v>4328</v>
      </c>
      <c r="M540" s="26" t="n">
        <v>3.5</v>
      </c>
      <c r="N540" s="25">
        <f>ROUND(L540/M540, 0)</f>
        <v/>
      </c>
      <c r="O540" s="25">
        <f>ROUND(N540*'Methodology &amp; Assumptions'!$B$7, 0)</f>
        <v/>
      </c>
      <c r="P540" s="23" t="inlineStr">
        <is>
          <t>Single Carrier (Band n50, 100MHz TDD)</t>
        </is>
      </c>
      <c r="Q540" s="27">
        <f>ROUNDUP(O540/'Methodology &amp; Assumptions'!$B$8, 0)</f>
        <v/>
      </c>
      <c r="R540" s="27" t="n">
        <v>1</v>
      </c>
      <c r="S540" s="26" t="n">
        <v>0.59</v>
      </c>
      <c r="T540" s="26" t="n">
        <v>1.65</v>
      </c>
      <c r="U540" s="11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26" t="n">
        <v>85.63</v>
      </c>
      <c r="W540" s="26" t="n">
        <v>36.64</v>
      </c>
      <c r="X540" s="26">
        <f>ROUND(('Methodology &amp; Assumptions'!$B$5*V540) + ('Methodology &amp; Assumptions'!$B$6*W540), 2)</f>
        <v/>
      </c>
      <c r="Y540" s="28" t="n">
        <v>8.300000000000001</v>
      </c>
      <c r="Z540" s="11" t="inlineStr">
        <is>
          <t>Priority Tier 2 (Balanced Opportunity)</t>
        </is>
      </c>
    </row>
    <row r="541">
      <c r="A541" s="23" t="n">
        <v>3</v>
      </c>
      <c r="B541" s="23" t="n">
        <v>537</v>
      </c>
      <c r="C541" s="23" t="n">
        <v>2537</v>
      </c>
      <c r="D541" s="23" t="inlineStr">
        <is>
          <t>0405812014</t>
        </is>
      </c>
      <c r="E541" s="11" t="inlineStr">
        <is>
          <t>Region IV-A (CALABARZON)</t>
        </is>
      </c>
      <c r="F541" s="11" t="inlineStr">
        <is>
          <t>Rizal</t>
        </is>
      </c>
      <c r="G541" s="11" t="inlineStr">
        <is>
          <t>Tanay</t>
        </is>
      </c>
      <c r="H541" s="11" t="inlineStr">
        <is>
          <t>San Isidro</t>
        </is>
      </c>
      <c r="I541" s="24" t="n">
        <v>14.495806</v>
      </c>
      <c r="J541" s="24" t="n">
        <v>121.277545</v>
      </c>
      <c r="K541" s="23" t="inlineStr">
        <is>
          <t>R</t>
        </is>
      </c>
      <c r="L541" s="25" t="n">
        <v>3187</v>
      </c>
      <c r="M541" s="26" t="n">
        <v>3.6</v>
      </c>
      <c r="N541" s="25">
        <f>ROUND(L541/M541, 0)</f>
        <v/>
      </c>
      <c r="O541" s="25">
        <f>ROUND(N541*'Methodology &amp; Assumptions'!$B$7, 0)</f>
        <v/>
      </c>
      <c r="P541" s="23" t="inlineStr">
        <is>
          <t>Single Carrier (Band n50, 100MHz TDD)</t>
        </is>
      </c>
      <c r="Q541" s="27">
        <f>ROUNDUP(O541/'Methodology &amp; Assumptions'!$B$8, 0)</f>
        <v/>
      </c>
      <c r="R541" s="27" t="n">
        <v>1</v>
      </c>
      <c r="S541" s="26" t="n">
        <v>0.75</v>
      </c>
      <c r="T541" s="26" t="n">
        <v>0.82</v>
      </c>
      <c r="U541" s="11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26" t="n">
        <v>85.45999999999999</v>
      </c>
      <c r="W541" s="26" t="n">
        <v>36.83</v>
      </c>
      <c r="X541" s="26">
        <f>ROUND(('Methodology &amp; Assumptions'!$B$5*V541) + ('Methodology &amp; Assumptions'!$B$6*W541), 2)</f>
        <v/>
      </c>
      <c r="Y541" s="28" t="n">
        <v>7.2</v>
      </c>
      <c r="Z541" s="11" t="inlineStr">
        <is>
          <t>Priority Tier 2 (Balanced Opportunity)</t>
        </is>
      </c>
    </row>
    <row r="542">
      <c r="A542" s="23" t="n">
        <v>3</v>
      </c>
      <c r="B542" s="23" t="n">
        <v>538</v>
      </c>
      <c r="C542" s="23" t="n">
        <v>2538</v>
      </c>
      <c r="D542" s="23" t="inlineStr">
        <is>
          <t>0405814001</t>
        </is>
      </c>
      <c r="E542" s="11" t="inlineStr">
        <is>
          <t>Region IV-A (CALABARZON)</t>
        </is>
      </c>
      <c r="F542" s="11" t="inlineStr">
        <is>
          <t>Rizal</t>
        </is>
      </c>
      <c r="G542" s="11" t="inlineStr">
        <is>
          <t>Teresa</t>
        </is>
      </c>
      <c r="H542" s="11" t="inlineStr">
        <is>
          <t>Bagumbayan</t>
        </is>
      </c>
      <c r="I542" s="24" t="n">
        <v>14.54988</v>
      </c>
      <c r="J542" s="24" t="n">
        <v>121.2185</v>
      </c>
      <c r="K542" s="23" t="inlineStr">
        <is>
          <t>U</t>
        </is>
      </c>
      <c r="L542" s="25" t="n">
        <v>15588</v>
      </c>
      <c r="M542" s="26" t="n">
        <v>3.6</v>
      </c>
      <c r="N542" s="25">
        <f>ROUND(L542/M542, 0)</f>
        <v/>
      </c>
      <c r="O542" s="25">
        <f>ROUND(N542*'Methodology &amp; Assumptions'!$B$7, 0)</f>
        <v/>
      </c>
      <c r="P542" s="23" t="inlineStr">
        <is>
          <t>Single Carrier (Band n50, 100MHz TDD)</t>
        </is>
      </c>
      <c r="Q542" s="27">
        <f>ROUNDUP(O542/'Methodology &amp; Assumptions'!$B$8, 0)</f>
        <v/>
      </c>
      <c r="R542" s="27" t="n">
        <v>1</v>
      </c>
      <c r="S542" s="26" t="n">
        <v>0.43</v>
      </c>
      <c r="T542" s="26" t="n">
        <v>0.11</v>
      </c>
      <c r="U542" s="11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26" t="n">
        <v>78.26000000000001</v>
      </c>
      <c r="W542" s="26" t="n">
        <v>44.03</v>
      </c>
      <c r="X542" s="26">
        <f>ROUND(('Methodology &amp; Assumptions'!$B$5*V542) + ('Methodology &amp; Assumptions'!$B$6*W542), 2)</f>
        <v/>
      </c>
      <c r="Y542" s="28" t="n">
        <v>7.2</v>
      </c>
      <c r="Z542" s="11" t="inlineStr">
        <is>
          <t>Priority Tier 2 (Balanced Opportunity)</t>
        </is>
      </c>
    </row>
    <row r="543">
      <c r="A543" s="23" t="n">
        <v>3</v>
      </c>
      <c r="B543" s="23" t="n">
        <v>539</v>
      </c>
      <c r="C543" s="23" t="n">
        <v>2539</v>
      </c>
      <c r="D543" s="23" t="inlineStr">
        <is>
          <t>0102805039</t>
        </is>
      </c>
      <c r="E543" s="11" t="inlineStr">
        <is>
          <t>Region I (Ilocos Region)</t>
        </is>
      </c>
      <c r="F543" s="11" t="inlineStr">
        <is>
          <t>Ilocos Norte</t>
        </is>
      </c>
      <c r="G543" s="11" t="inlineStr">
        <is>
          <t>City of Batac</t>
        </is>
      </c>
      <c r="H543" s="11" t="inlineStr">
        <is>
          <t>San Julian</t>
        </is>
      </c>
      <c r="I543" s="24" t="n">
        <v>18.059058</v>
      </c>
      <c r="J543" s="24" t="n">
        <v>120.561728</v>
      </c>
      <c r="K543" s="23" t="inlineStr">
        <is>
          <t>R</t>
        </is>
      </c>
      <c r="L543" s="25" t="n">
        <v>472</v>
      </c>
      <c r="M543" s="26" t="n">
        <v>3.7</v>
      </c>
      <c r="N543" s="25">
        <f>ROUND(L543/M543, 0)</f>
        <v/>
      </c>
      <c r="O543" s="25">
        <f>ROUND(N543*'Methodology &amp; Assumptions'!$B$7, 0)</f>
        <v/>
      </c>
      <c r="P543" s="23" t="inlineStr">
        <is>
          <t>Single Carrier (Band n50, 100MHz TDD)</t>
        </is>
      </c>
      <c r="Q543" s="27">
        <f>ROUNDUP(O543/'Methodology &amp; Assumptions'!$B$8, 0)</f>
        <v/>
      </c>
      <c r="R543" s="27" t="n">
        <v>1</v>
      </c>
      <c r="S543" s="26" t="n">
        <v>1.05</v>
      </c>
      <c r="T543" s="26" t="n">
        <v>0.39</v>
      </c>
      <c r="U543" s="11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26" t="n">
        <v>62.34</v>
      </c>
      <c r="W543" s="26" t="n">
        <v>59.93</v>
      </c>
      <c r="X543" s="26">
        <f>ROUND(('Methodology &amp; Assumptions'!$B$5*V543) + ('Methodology &amp; Assumptions'!$B$6*W543), 2)</f>
        <v/>
      </c>
      <c r="Y543" s="28" t="n">
        <v>8.300000000000001</v>
      </c>
      <c r="Z543" s="11" t="inlineStr">
        <is>
          <t>Priority Tier 2 (Balanced Opportunity)</t>
        </is>
      </c>
    </row>
    <row r="544">
      <c r="A544" s="23" t="n">
        <v>3</v>
      </c>
      <c r="B544" s="23" t="n">
        <v>540</v>
      </c>
      <c r="C544" s="23" t="n">
        <v>2540</v>
      </c>
      <c r="D544" s="23" t="inlineStr">
        <is>
          <t>0300804044</t>
        </is>
      </c>
      <c r="E544" s="11" t="inlineStr">
        <is>
          <t>Region III (Central Luzon)</t>
        </is>
      </c>
      <c r="F544" s="11" t="inlineStr">
        <is>
          <t>Bataan</t>
        </is>
      </c>
      <c r="G544" s="11" t="inlineStr">
        <is>
          <t>Dinalupihan</t>
        </is>
      </c>
      <c r="H544" s="11" t="inlineStr">
        <is>
          <t>Aquino</t>
        </is>
      </c>
      <c r="I544" s="24" t="n">
        <v>14.679486</v>
      </c>
      <c r="J544" s="24" t="n">
        <v>120.534529</v>
      </c>
      <c r="K544" s="23" t="inlineStr">
        <is>
          <t>R</t>
        </is>
      </c>
      <c r="L544" s="25" t="n">
        <v>119</v>
      </c>
      <c r="M544" s="26" t="n">
        <v>3.6</v>
      </c>
      <c r="N544" s="25">
        <f>ROUND(L544/M544, 0)</f>
        <v/>
      </c>
      <c r="O544" s="25">
        <f>ROUND(N544*'Methodology &amp; Assumptions'!$B$7, 0)</f>
        <v/>
      </c>
      <c r="P544" s="23" t="inlineStr">
        <is>
          <t>Single Carrier (Band n50, 100MHz TDD)</t>
        </is>
      </c>
      <c r="Q544" s="27">
        <f>ROUNDUP(O544/'Methodology &amp; Assumptions'!$B$8, 0)</f>
        <v/>
      </c>
      <c r="R544" s="27" t="n">
        <v>1</v>
      </c>
      <c r="S544" s="26" t="n">
        <v>0.82</v>
      </c>
      <c r="T544" s="26" t="n">
        <v>0.77</v>
      </c>
      <c r="U544" s="11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26" t="n">
        <v>60.12</v>
      </c>
      <c r="W544" s="26" t="n">
        <v>62.16</v>
      </c>
      <c r="X544" s="26">
        <f>ROUND(('Methodology &amp; Assumptions'!$B$5*V544) + ('Methodology &amp; Assumptions'!$B$6*W544), 2)</f>
        <v/>
      </c>
      <c r="Y544" s="28" t="n">
        <v>8.300000000000001</v>
      </c>
      <c r="Z544" s="11" t="inlineStr">
        <is>
          <t>Priority Tier 2 (Balanced Opportunity)</t>
        </is>
      </c>
    </row>
    <row r="545">
      <c r="A545" s="23" t="n">
        <v>3</v>
      </c>
      <c r="B545" s="23" t="n">
        <v>541</v>
      </c>
      <c r="C545" s="23" t="n">
        <v>2541</v>
      </c>
      <c r="D545" s="23" t="inlineStr">
        <is>
          <t>1381100067</t>
        </is>
      </c>
      <c r="E545" s="11" t="inlineStr">
        <is>
          <t>National Capital Region (NCR)</t>
        </is>
      </c>
      <c r="F545" s="11" t="inlineStr">
        <is>
          <t>Fourth District (Not a Province)</t>
        </is>
      </c>
      <c r="G545" s="11" t="inlineStr">
        <is>
          <t>Pasay City</t>
        </is>
      </c>
      <c r="H545" s="11" t="inlineStr">
        <is>
          <t>Barangay 67</t>
        </is>
      </c>
      <c r="I545" s="24" t="n">
        <v>14.549106</v>
      </c>
      <c r="J545" s="24" t="n">
        <v>121.003636</v>
      </c>
      <c r="K545" s="23" t="inlineStr">
        <is>
          <t>U</t>
        </is>
      </c>
      <c r="L545" s="25" t="n">
        <v>1046</v>
      </c>
      <c r="M545" s="26" t="n">
        <v>3.28</v>
      </c>
      <c r="N545" s="25">
        <f>ROUND(L545/M545, 0)</f>
        <v/>
      </c>
      <c r="O545" s="25">
        <f>ROUND(N545*'Methodology &amp; Assumptions'!$B$7, 0)</f>
        <v/>
      </c>
      <c r="P545" s="23" t="inlineStr">
        <is>
          <t>Single Carrier (Band n50, 100MHz TDD)</t>
        </is>
      </c>
      <c r="Q545" s="27">
        <f>ROUNDUP(O545/'Methodology &amp; Assumptions'!$B$8, 0)</f>
        <v/>
      </c>
      <c r="R545" s="27" t="n">
        <v>1</v>
      </c>
      <c r="S545" s="26" t="n">
        <v>0.84</v>
      </c>
      <c r="T545" s="26" t="n">
        <v>0.1</v>
      </c>
      <c r="U545" s="11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26" t="n">
        <v>51.37</v>
      </c>
      <c r="W545" s="26" t="n">
        <v>70.91</v>
      </c>
      <c r="X545" s="26">
        <f>ROUND(('Methodology &amp; Assumptions'!$B$5*V545) + ('Methodology &amp; Assumptions'!$B$6*W545), 2)</f>
        <v/>
      </c>
      <c r="Y545" s="28" t="n">
        <v>10.9</v>
      </c>
      <c r="Z545" s="11" t="inlineStr">
        <is>
          <t>Priority Tier 2 (Balanced Opportunity)</t>
        </is>
      </c>
    </row>
    <row r="546">
      <c r="A546" s="23" t="n">
        <v>3</v>
      </c>
      <c r="B546" s="23" t="n">
        <v>542</v>
      </c>
      <c r="C546" s="23" t="n">
        <v>2542</v>
      </c>
      <c r="D546" s="23" t="inlineStr">
        <is>
          <t>1380605039</t>
        </is>
      </c>
      <c r="E546" s="11" t="inlineStr">
        <is>
          <t>National Capital Region (NCR)</t>
        </is>
      </c>
      <c r="F546" s="11" t="inlineStr">
        <is>
          <t>First District (Not a Province)</t>
        </is>
      </c>
      <c r="G546" s="11" t="inlineStr">
        <is>
          <t>City of Manila</t>
        </is>
      </c>
      <c r="H546" s="11" t="inlineStr">
        <is>
          <t>Barangay 337</t>
        </is>
      </c>
      <c r="I546" s="24" t="n">
        <v>14.616719</v>
      </c>
      <c r="J546" s="24" t="n">
        <v>120.983894</v>
      </c>
      <c r="K546" s="23" t="inlineStr">
        <is>
          <t>U</t>
        </is>
      </c>
      <c r="L546" s="25" t="n">
        <v>1203</v>
      </c>
      <c r="M546" s="26" t="n">
        <v>3.77</v>
      </c>
      <c r="N546" s="25">
        <f>ROUND(L546/M546, 0)</f>
        <v/>
      </c>
      <c r="O546" s="25">
        <f>ROUND(N546*'Methodology &amp; Assumptions'!$B$7, 0)</f>
        <v/>
      </c>
      <c r="P546" s="23" t="inlineStr">
        <is>
          <t>Single Carrier (Band n50, 100MHz TDD)</t>
        </is>
      </c>
      <c r="Q546" s="27">
        <f>ROUNDUP(O546/'Methodology &amp; Assumptions'!$B$8, 0)</f>
        <v/>
      </c>
      <c r="R546" s="27" t="n">
        <v>1</v>
      </c>
      <c r="S546" s="26" t="n">
        <v>0.11</v>
      </c>
      <c r="T546" s="26" t="n">
        <v>0.1</v>
      </c>
      <c r="U546" s="11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26" t="n">
        <v>51.37</v>
      </c>
      <c r="W546" s="26" t="n">
        <v>70.90000000000001</v>
      </c>
      <c r="X546" s="26">
        <f>ROUND(('Methodology &amp; Assumptions'!$B$5*V546) + ('Methodology &amp; Assumptions'!$B$6*W546), 2)</f>
        <v/>
      </c>
      <c r="Y546" s="28" t="n">
        <v>10.9</v>
      </c>
      <c r="Z546" s="11" t="inlineStr">
        <is>
          <t>Priority Tier 2 (Balanced Opportunity)</t>
        </is>
      </c>
    </row>
    <row r="547">
      <c r="A547" s="23" t="n">
        <v>3</v>
      </c>
      <c r="B547" s="23" t="n">
        <v>543</v>
      </c>
      <c r="C547" s="23" t="n">
        <v>2543</v>
      </c>
      <c r="D547" s="23" t="inlineStr">
        <is>
          <t>0307103007</t>
        </is>
      </c>
      <c r="E547" s="11" t="inlineStr">
        <is>
          <t>Region III (Central Luzon)</t>
        </is>
      </c>
      <c r="F547" s="11" t="inlineStr">
        <is>
          <t>Zambales</t>
        </is>
      </c>
      <c r="G547" s="11" t="inlineStr">
        <is>
          <t>Candelaria</t>
        </is>
      </c>
      <c r="H547" s="11" t="inlineStr">
        <is>
          <t>Malabon</t>
        </is>
      </c>
      <c r="I547" s="24" t="n">
        <v>15.63594</v>
      </c>
      <c r="J547" s="24" t="n">
        <v>119.934869</v>
      </c>
      <c r="K547" s="23" t="inlineStr">
        <is>
          <t>R</t>
        </is>
      </c>
      <c r="L547" s="25" t="n">
        <v>3329</v>
      </c>
      <c r="M547" s="26" t="n">
        <v>3.8</v>
      </c>
      <c r="N547" s="25">
        <f>ROUND(L547/M547, 0)</f>
        <v/>
      </c>
      <c r="O547" s="25">
        <f>ROUND(N547*'Methodology &amp; Assumptions'!$B$7, 0)</f>
        <v/>
      </c>
      <c r="P547" s="23" t="inlineStr">
        <is>
          <t>Single Carrier (Band n50, 100MHz TDD)</t>
        </is>
      </c>
      <c r="Q547" s="27">
        <f>ROUNDUP(O547/'Methodology &amp; Assumptions'!$B$8, 0)</f>
        <v/>
      </c>
      <c r="R547" s="27" t="n">
        <v>1</v>
      </c>
      <c r="S547" s="26" t="n">
        <v>1.39</v>
      </c>
      <c r="T547" s="26" t="n">
        <v>0.08</v>
      </c>
      <c r="U547" s="11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26" t="n">
        <v>83.54000000000001</v>
      </c>
      <c r="W547" s="26" t="n">
        <v>38.71</v>
      </c>
      <c r="X547" s="26">
        <f>ROUND(('Methodology &amp; Assumptions'!$B$5*V547) + ('Methodology &amp; Assumptions'!$B$6*W547), 2)</f>
        <v/>
      </c>
      <c r="Y547" s="28" t="n">
        <v>8.300000000000001</v>
      </c>
      <c r="Z547" s="11" t="inlineStr">
        <is>
          <t>Priority Tier 2 (Balanced Opportunity)</t>
        </is>
      </c>
    </row>
    <row r="548">
      <c r="A548" s="23" t="n">
        <v>3</v>
      </c>
      <c r="B548" s="23" t="n">
        <v>544</v>
      </c>
      <c r="C548" s="23" t="n">
        <v>2544</v>
      </c>
      <c r="D548" s="23" t="inlineStr">
        <is>
          <t>0501603028</t>
        </is>
      </c>
      <c r="E548" s="11" t="inlineStr">
        <is>
          <t>Region V (Bicol Region)</t>
        </is>
      </c>
      <c r="F548" s="11" t="inlineStr">
        <is>
          <t>Camarines Norte</t>
        </is>
      </c>
      <c r="G548" s="11" t="inlineStr">
        <is>
          <t>Daet</t>
        </is>
      </c>
      <c r="H548" s="11" t="inlineStr">
        <is>
          <t>Barangay V</t>
        </is>
      </c>
      <c r="I548" s="24" t="n">
        <v>14.122619</v>
      </c>
      <c r="J548" s="24" t="n">
        <v>122.95245</v>
      </c>
      <c r="K548" s="23" t="inlineStr">
        <is>
          <t>U</t>
        </is>
      </c>
      <c r="L548" s="25" t="n">
        <v>4639</v>
      </c>
      <c r="M548" s="26" t="n">
        <v>4</v>
      </c>
      <c r="N548" s="25">
        <f>ROUND(L548/M548, 0)</f>
        <v/>
      </c>
      <c r="O548" s="25">
        <f>ROUND(N548*'Methodology &amp; Assumptions'!$B$7, 0)</f>
        <v/>
      </c>
      <c r="P548" s="23" t="inlineStr">
        <is>
          <t>Single Carrier (Band n50, 100MHz TDD)</t>
        </is>
      </c>
      <c r="Q548" s="27">
        <f>ROUNDUP(O548/'Methodology &amp; Assumptions'!$B$8, 0)</f>
        <v/>
      </c>
      <c r="R548" s="27" t="n">
        <v>1</v>
      </c>
      <c r="S548" s="26" t="n">
        <v>0.91</v>
      </c>
      <c r="T548" s="26" t="n">
        <v>1.52</v>
      </c>
      <c r="U548" s="11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26" t="n">
        <v>80.59999999999999</v>
      </c>
      <c r="W548" s="26" t="n">
        <v>41.64</v>
      </c>
      <c r="X548" s="26">
        <f>ROUND(('Methodology &amp; Assumptions'!$B$5*V548) + ('Methodology &amp; Assumptions'!$B$6*W548), 2)</f>
        <v/>
      </c>
      <c r="Y548" s="28" t="n">
        <v>23.7</v>
      </c>
      <c r="Z548" s="11" t="inlineStr">
        <is>
          <t>Priority Tier 2 (Balanced Opportunity)</t>
        </is>
      </c>
    </row>
    <row r="549">
      <c r="A549" s="23" t="n">
        <v>3</v>
      </c>
      <c r="B549" s="23" t="n">
        <v>545</v>
      </c>
      <c r="C549" s="23" t="n">
        <v>2545</v>
      </c>
      <c r="D549" s="23" t="inlineStr">
        <is>
          <t>0300803008</t>
        </is>
      </c>
      <c r="E549" s="11" t="inlineStr">
        <is>
          <t>Region III (Central Luzon)</t>
        </is>
      </c>
      <c r="F549" s="11" t="inlineStr">
        <is>
          <t>Bataan</t>
        </is>
      </c>
      <c r="G549" s="11" t="inlineStr">
        <is>
          <t>City of Balanga</t>
        </is>
      </c>
      <c r="H549" s="11" t="inlineStr">
        <is>
          <t>Cupang Proper</t>
        </is>
      </c>
      <c r="I549" s="24" t="n">
        <v>14.6669</v>
      </c>
      <c r="J549" s="24" t="n">
        <v>120.543959</v>
      </c>
      <c r="K549" s="23" t="inlineStr">
        <is>
          <t>U</t>
        </is>
      </c>
      <c r="L549" s="25" t="n">
        <v>12098</v>
      </c>
      <c r="M549" s="26" t="n">
        <v>3.6</v>
      </c>
      <c r="N549" s="25">
        <f>ROUND(L549/M549, 0)</f>
        <v/>
      </c>
      <c r="O549" s="25">
        <f>ROUND(N549*'Methodology &amp; Assumptions'!$B$7, 0)</f>
        <v/>
      </c>
      <c r="P549" s="23" t="inlineStr">
        <is>
          <t>Single Carrier (Band n50, 100MHz TDD)</t>
        </is>
      </c>
      <c r="Q549" s="27">
        <f>ROUNDUP(O549/'Methodology &amp; Assumptions'!$B$8, 0)</f>
        <v/>
      </c>
      <c r="R549" s="27" t="n">
        <v>1</v>
      </c>
      <c r="S549" s="26" t="n">
        <v>1.87</v>
      </c>
      <c r="T549" s="26" t="n">
        <v>0.8</v>
      </c>
      <c r="U549" s="11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26" t="n">
        <v>74.63</v>
      </c>
      <c r="W549" s="26" t="n">
        <v>47.61</v>
      </c>
      <c r="X549" s="26">
        <f>ROUND(('Methodology &amp; Assumptions'!$B$5*V549) + ('Methodology &amp; Assumptions'!$B$6*W549), 2)</f>
        <v/>
      </c>
      <c r="Y549" s="28" t="n">
        <v>8.300000000000001</v>
      </c>
      <c r="Z549" s="11" t="inlineStr">
        <is>
          <t>Priority Tier 2 (Balanced Opportunity)</t>
        </is>
      </c>
    </row>
    <row r="550">
      <c r="A550" s="23" t="n">
        <v>3</v>
      </c>
      <c r="B550" s="23" t="n">
        <v>546</v>
      </c>
      <c r="C550" s="23" t="n">
        <v>2546</v>
      </c>
      <c r="D550" s="23" t="inlineStr">
        <is>
          <t>0103302025</t>
        </is>
      </c>
      <c r="E550" s="11" t="inlineStr">
        <is>
          <t>Region I (Ilocos Region)</t>
        </is>
      </c>
      <c r="F550" s="11" t="inlineStr">
        <is>
          <t>La Union</t>
        </is>
      </c>
      <c r="G550" s="11" t="inlineStr">
        <is>
          <t>Aringay</t>
        </is>
      </c>
      <c r="H550" s="11" t="inlineStr">
        <is>
          <t>Santa Rita West</t>
        </is>
      </c>
      <c r="I550" s="24" t="n">
        <v>16.384865</v>
      </c>
      <c r="J550" s="24" t="n">
        <v>120.348622</v>
      </c>
      <c r="K550" s="23" t="inlineStr">
        <is>
          <t>R</t>
        </is>
      </c>
      <c r="L550" s="25" t="n">
        <v>3652</v>
      </c>
      <c r="M550" s="26" t="n">
        <v>3.7</v>
      </c>
      <c r="N550" s="25">
        <f>ROUND(L550/M550, 0)</f>
        <v/>
      </c>
      <c r="O550" s="25">
        <f>ROUND(N550*'Methodology &amp; Assumptions'!$B$7, 0)</f>
        <v/>
      </c>
      <c r="P550" s="23" t="inlineStr">
        <is>
          <t>Single Carrier (Band n50, 100MHz TDD)</t>
        </is>
      </c>
      <c r="Q550" s="27">
        <f>ROUNDUP(O550/'Methodology &amp; Assumptions'!$B$8, 0)</f>
        <v/>
      </c>
      <c r="R550" s="27" t="n">
        <v>1</v>
      </c>
      <c r="S550" s="26" t="n">
        <v>4.96</v>
      </c>
      <c r="T550" s="26" t="n">
        <v>0.75</v>
      </c>
      <c r="U550" s="11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26" t="n">
        <v>74.22</v>
      </c>
      <c r="W550" s="26" t="n">
        <v>48.02</v>
      </c>
      <c r="X550" s="26">
        <f>ROUND(('Methodology &amp; Assumptions'!$B$5*V550) + ('Methodology &amp; Assumptions'!$B$6*W550), 2)</f>
        <v/>
      </c>
      <c r="Y550" s="28" t="n">
        <v>8.300000000000001</v>
      </c>
      <c r="Z550" s="11" t="inlineStr">
        <is>
          <t>Priority Tier 2 (Balanced Opportunity)</t>
        </is>
      </c>
    </row>
    <row r="551">
      <c r="A551" s="23" t="n">
        <v>3</v>
      </c>
      <c r="B551" s="23" t="n">
        <v>547</v>
      </c>
      <c r="C551" s="23" t="n">
        <v>2547</v>
      </c>
      <c r="D551" s="23" t="inlineStr">
        <is>
          <t>0402117013</t>
        </is>
      </c>
      <c r="E551" s="11" t="inlineStr">
        <is>
          <t>Region IV-A (CALABARZON)</t>
        </is>
      </c>
      <c r="F551" s="11" t="inlineStr">
        <is>
          <t>Cavite</t>
        </is>
      </c>
      <c r="G551" s="11" t="inlineStr">
        <is>
          <t>Rosario</t>
        </is>
      </c>
      <c r="H551" s="11" t="inlineStr">
        <is>
          <t>Bagbag II</t>
        </is>
      </c>
      <c r="I551" s="24" t="n">
        <v>14.422235</v>
      </c>
      <c r="J551" s="24" t="n">
        <v>120.865472</v>
      </c>
      <c r="K551" s="23" t="inlineStr">
        <is>
          <t>U</t>
        </is>
      </c>
      <c r="L551" s="25" t="n">
        <v>6477</v>
      </c>
      <c r="M551" s="26" t="n">
        <v>3.4</v>
      </c>
      <c r="N551" s="25">
        <f>ROUND(L551/M551, 0)</f>
        <v/>
      </c>
      <c r="O551" s="25">
        <f>ROUND(N551*'Methodology &amp; Assumptions'!$B$7, 0)</f>
        <v/>
      </c>
      <c r="P551" s="23" t="inlineStr">
        <is>
          <t>Single Carrier (Band n50, 100MHz TDD)</t>
        </is>
      </c>
      <c r="Q551" s="27">
        <f>ROUNDUP(O551/'Methodology &amp; Assumptions'!$B$8, 0)</f>
        <v/>
      </c>
      <c r="R551" s="27" t="n">
        <v>1</v>
      </c>
      <c r="S551" s="26" t="n">
        <v>2.06</v>
      </c>
      <c r="T551" s="26" t="n">
        <v>1.78</v>
      </c>
      <c r="U551" s="11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26" t="n">
        <v>73.83</v>
      </c>
      <c r="W551" s="26" t="n">
        <v>48.41</v>
      </c>
      <c r="X551" s="26">
        <f>ROUND(('Methodology &amp; Assumptions'!$B$5*V551) + ('Methodology &amp; Assumptions'!$B$6*W551), 2)</f>
        <v/>
      </c>
      <c r="Y551" s="28" t="n">
        <v>7.2</v>
      </c>
      <c r="Z551" s="11" t="inlineStr">
        <is>
          <t>Priority Tier 2 (Balanced Opportunity)</t>
        </is>
      </c>
    </row>
    <row r="552">
      <c r="A552" s="23" t="n">
        <v>3</v>
      </c>
      <c r="B552" s="23" t="n">
        <v>548</v>
      </c>
      <c r="C552" s="23" t="n">
        <v>2548</v>
      </c>
      <c r="D552" s="23" t="inlineStr">
        <is>
          <t>1380612031</t>
        </is>
      </c>
      <c r="E552" s="11" t="inlineStr">
        <is>
          <t>National Capital Region (NCR)</t>
        </is>
      </c>
      <c r="F552" s="11" t="inlineStr">
        <is>
          <t>First District (Not a Province)</t>
        </is>
      </c>
      <c r="G552" s="11" t="inlineStr">
        <is>
          <t>City of Manila</t>
        </is>
      </c>
      <c r="H552" s="11" t="inlineStr">
        <is>
          <t>Barangay 863</t>
        </is>
      </c>
      <c r="I552" s="24" t="n">
        <v>14.590439</v>
      </c>
      <c r="J552" s="24" t="n">
        <v>121.004947</v>
      </c>
      <c r="K552" s="23" t="inlineStr">
        <is>
          <t>U</t>
        </is>
      </c>
      <c r="L552" s="25" t="n">
        <v>1492</v>
      </c>
      <c r="M552" s="26" t="n">
        <v>4.12</v>
      </c>
      <c r="N552" s="25">
        <f>ROUND(L552/M552, 0)</f>
        <v/>
      </c>
      <c r="O552" s="25">
        <f>ROUND(N552*'Methodology &amp; Assumptions'!$B$7, 0)</f>
        <v/>
      </c>
      <c r="P552" s="23" t="inlineStr">
        <is>
          <t>Single Carrier (Band n50, 100MHz TDD)</t>
        </is>
      </c>
      <c r="Q552" s="27">
        <f>ROUNDUP(O552/'Methodology &amp; Assumptions'!$B$8, 0)</f>
        <v/>
      </c>
      <c r="R552" s="27" t="n">
        <v>1</v>
      </c>
      <c r="S552" s="26" t="n">
        <v>0.71</v>
      </c>
      <c r="T552" s="26" t="n">
        <v>0.46</v>
      </c>
      <c r="U552" s="11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26" t="n">
        <v>52.77</v>
      </c>
      <c r="W552" s="26" t="n">
        <v>69.48</v>
      </c>
      <c r="X552" s="26">
        <f>ROUND(('Methodology &amp; Assumptions'!$B$5*V552) + ('Methodology &amp; Assumptions'!$B$6*W552), 2)</f>
        <v/>
      </c>
      <c r="Y552" s="28" t="n">
        <v>10.9</v>
      </c>
      <c r="Z552" s="11" t="inlineStr">
        <is>
          <t>Priority Tier 2 (Balanced Opportunity)</t>
        </is>
      </c>
    </row>
    <row r="553">
      <c r="A553" s="23" t="n">
        <v>3</v>
      </c>
      <c r="B553" s="23" t="n">
        <v>549</v>
      </c>
      <c r="C553" s="23" t="n">
        <v>2549</v>
      </c>
      <c r="D553" s="23" t="inlineStr">
        <is>
          <t>1408104016</t>
        </is>
      </c>
      <c r="E553" s="11" t="inlineStr">
        <is>
          <t>Cordillera Administrative Region (CAR)</t>
        </is>
      </c>
      <c r="F553" s="11" t="inlineStr">
        <is>
          <t>Apayao</t>
        </is>
      </c>
      <c r="G553" s="11" t="inlineStr">
        <is>
          <t>Kabugao</t>
        </is>
      </c>
      <c r="H553" s="11" t="inlineStr">
        <is>
          <t>Magabta</t>
        </is>
      </c>
      <c r="I553" s="24" t="n">
        <v>18.028183</v>
      </c>
      <c r="J553" s="24" t="n">
        <v>121.200221</v>
      </c>
      <c r="K553" s="23" t="inlineStr">
        <is>
          <t>R</t>
        </is>
      </c>
      <c r="L553" s="25" t="n">
        <v>194</v>
      </c>
      <c r="M553" s="26" t="n">
        <v>4.2</v>
      </c>
      <c r="N553" s="25">
        <f>ROUND(L553/M553, 0)</f>
        <v/>
      </c>
      <c r="O553" s="25">
        <f>ROUND(N553*'Methodology &amp; Assumptions'!$B$7, 0)</f>
        <v/>
      </c>
      <c r="P553" s="23" t="inlineStr">
        <is>
          <t>Single Carrier (Band n50, 100MHz TDD)</t>
        </is>
      </c>
      <c r="Q553" s="27">
        <f>ROUNDUP(O553/'Methodology &amp; Assumptions'!$B$8, 0)</f>
        <v/>
      </c>
      <c r="R553" s="27" t="n">
        <v>1</v>
      </c>
      <c r="S553" s="26" t="n">
        <v>2.24</v>
      </c>
      <c r="T553" s="26" t="n">
        <v>9.039999999999999</v>
      </c>
      <c r="U553" s="11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26" t="n">
        <v>50.99</v>
      </c>
      <c r="W553" s="26" t="n">
        <v>71.23999999999999</v>
      </c>
      <c r="X553" s="26">
        <f>ROUND(('Methodology &amp; Assumptions'!$B$5*V553) + ('Methodology &amp; Assumptions'!$B$6*W553), 2)</f>
        <v/>
      </c>
      <c r="Y553" s="28" t="n">
        <v>10.9</v>
      </c>
      <c r="Z553" s="11" t="inlineStr">
        <is>
          <t>Priority Tier 2 (Balanced Opportunity)</t>
        </is>
      </c>
    </row>
    <row r="554">
      <c r="A554" s="23" t="n">
        <v>3</v>
      </c>
      <c r="B554" s="23" t="n">
        <v>550</v>
      </c>
      <c r="C554" s="23" t="n">
        <v>2550</v>
      </c>
      <c r="D554" s="23" t="inlineStr">
        <is>
          <t>1380610033</t>
        </is>
      </c>
      <c r="E554" s="11" t="inlineStr">
        <is>
          <t>National Capital Region (NCR)</t>
        </is>
      </c>
      <c r="F554" s="11" t="inlineStr">
        <is>
          <t>First District (Not a Province)</t>
        </is>
      </c>
      <c r="G554" s="11" t="inlineStr">
        <is>
          <t>City of Manila</t>
        </is>
      </c>
      <c r="H554" s="11" t="inlineStr">
        <is>
          <t>Barangay 718</t>
        </is>
      </c>
      <c r="I554" s="24" t="n">
        <v>14.565573</v>
      </c>
      <c r="J554" s="24" t="n">
        <v>120.991456</v>
      </c>
      <c r="K554" s="23" t="inlineStr">
        <is>
          <t>U</t>
        </is>
      </c>
      <c r="L554" s="25" t="n">
        <v>1196</v>
      </c>
      <c r="M554" s="26" t="n">
        <v>4.32</v>
      </c>
      <c r="N554" s="25">
        <f>ROUND(L554/M554, 0)</f>
        <v/>
      </c>
      <c r="O554" s="25">
        <f>ROUND(N554*'Methodology &amp; Assumptions'!$B$7, 0)</f>
        <v/>
      </c>
      <c r="P554" s="23" t="inlineStr">
        <is>
          <t>Single Carrier (Band n50, 100MHz TDD)</t>
        </is>
      </c>
      <c r="Q554" s="27">
        <f>ROUNDUP(O554/'Methodology &amp; Assumptions'!$B$8, 0)</f>
        <v/>
      </c>
      <c r="R554" s="27" t="n">
        <v>1</v>
      </c>
      <c r="S554" s="26" t="n">
        <v>0.78</v>
      </c>
      <c r="T554" s="26" t="n">
        <v>0.29</v>
      </c>
      <c r="U554" s="11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26" t="n">
        <v>49.98</v>
      </c>
      <c r="W554" s="26" t="n">
        <v>72.25</v>
      </c>
      <c r="X554" s="26">
        <f>ROUND(('Methodology &amp; Assumptions'!$B$5*V554) + ('Methodology &amp; Assumptions'!$B$6*W554), 2)</f>
        <v/>
      </c>
      <c r="Y554" s="28" t="n">
        <v>10.9</v>
      </c>
      <c r="Z554" s="11" t="inlineStr">
        <is>
          <t>Priority Tier 2 (Balanced Opportunity)</t>
        </is>
      </c>
    </row>
    <row r="555">
      <c r="A555" s="23" t="n">
        <v>3</v>
      </c>
      <c r="B555" s="23" t="n">
        <v>551</v>
      </c>
      <c r="C555" s="23" t="n">
        <v>2551</v>
      </c>
      <c r="D555" s="23" t="inlineStr">
        <is>
          <t>0301404015</t>
        </is>
      </c>
      <c r="E555" s="11" t="inlineStr">
        <is>
          <t>Region III (Central Luzon)</t>
        </is>
      </c>
      <c r="F555" s="11" t="inlineStr">
        <is>
          <t>Bulacan</t>
        </is>
      </c>
      <c r="G555" s="11" t="inlineStr">
        <is>
          <t>Bocaue</t>
        </is>
      </c>
      <c r="H555" s="11" t="inlineStr">
        <is>
          <t>Sulucan</t>
        </is>
      </c>
      <c r="I555" s="24" t="n">
        <v>14.791373</v>
      </c>
      <c r="J555" s="24" t="n">
        <v>120.925481</v>
      </c>
      <c r="K555" s="23" t="inlineStr">
        <is>
          <t>R</t>
        </is>
      </c>
      <c r="L555" s="25" t="n">
        <v>2919</v>
      </c>
      <c r="M555" s="26" t="n">
        <v>3.5</v>
      </c>
      <c r="N555" s="25">
        <f>ROUND(L555/M555, 0)</f>
        <v/>
      </c>
      <c r="O555" s="25">
        <f>ROUND(N555*'Methodology &amp; Assumptions'!$B$7, 0)</f>
        <v/>
      </c>
      <c r="P555" s="23" t="inlineStr">
        <is>
          <t>Single Carrier (Band n50, 100MHz TDD)</t>
        </is>
      </c>
      <c r="Q555" s="27">
        <f>ROUNDUP(O555/'Methodology &amp; Assumptions'!$B$8, 0)</f>
        <v/>
      </c>
      <c r="R555" s="27" t="n">
        <v>1</v>
      </c>
      <c r="S555" s="26" t="n">
        <v>1.71</v>
      </c>
      <c r="T555" s="26" t="n">
        <v>0.53</v>
      </c>
      <c r="U555" s="11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26" t="n">
        <v>82.39</v>
      </c>
      <c r="W555" s="26" t="n">
        <v>39.83</v>
      </c>
      <c r="X555" s="26">
        <f>ROUND(('Methodology &amp; Assumptions'!$B$5*V555) + ('Methodology &amp; Assumptions'!$B$6*W555), 2)</f>
        <v/>
      </c>
      <c r="Y555" s="28" t="n">
        <v>8.300000000000001</v>
      </c>
      <c r="Z555" s="11" t="inlineStr">
        <is>
          <t>Priority Tier 2 (Balanced Opportunity)</t>
        </is>
      </c>
    </row>
    <row r="556">
      <c r="A556" s="23" t="n">
        <v>3</v>
      </c>
      <c r="B556" s="23" t="n">
        <v>552</v>
      </c>
      <c r="C556" s="23" t="n">
        <v>2552</v>
      </c>
      <c r="D556" s="23" t="inlineStr">
        <is>
          <t>0304904003</t>
        </is>
      </c>
      <c r="E556" s="11" t="inlineStr">
        <is>
          <t>Region III (Central Luzon)</t>
        </is>
      </c>
      <c r="F556" s="11" t="inlineStr">
        <is>
          <t>Nueva Ecija</t>
        </is>
      </c>
      <c r="G556" s="11" t="inlineStr">
        <is>
          <t>Cabiao</t>
        </is>
      </c>
      <c r="H556" s="11" t="inlineStr">
        <is>
          <t>Bagong Silang</t>
        </is>
      </c>
      <c r="I556" s="24" t="n">
        <v>15.254022</v>
      </c>
      <c r="J556" s="24" t="n">
        <v>120.850956</v>
      </c>
      <c r="K556" s="23" t="inlineStr">
        <is>
          <t>R</t>
        </is>
      </c>
      <c r="L556" s="25" t="n">
        <v>4654</v>
      </c>
      <c r="M556" s="26" t="n">
        <v>3.5</v>
      </c>
      <c r="N556" s="25">
        <f>ROUND(L556/M556, 0)</f>
        <v/>
      </c>
      <c r="O556" s="25">
        <f>ROUND(N556*'Methodology &amp; Assumptions'!$B$7, 0)</f>
        <v/>
      </c>
      <c r="P556" s="23" t="inlineStr">
        <is>
          <t>Single Carrier (Band n50, 100MHz TDD)</t>
        </is>
      </c>
      <c r="Q556" s="27">
        <f>ROUNDUP(O556/'Methodology &amp; Assumptions'!$B$8, 0)</f>
        <v/>
      </c>
      <c r="R556" s="27" t="n">
        <v>1</v>
      </c>
      <c r="S556" s="26" t="n">
        <v>1.96</v>
      </c>
      <c r="T556" s="26" t="n">
        <v>0.9</v>
      </c>
      <c r="U556" s="11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26" t="n">
        <v>81.53</v>
      </c>
      <c r="W556" s="26" t="n">
        <v>40.69</v>
      </c>
      <c r="X556" s="26">
        <f>ROUND(('Methodology &amp; Assumptions'!$B$5*V556) + ('Methodology &amp; Assumptions'!$B$6*W556), 2)</f>
        <v/>
      </c>
      <c r="Y556" s="28" t="n">
        <v>8.300000000000001</v>
      </c>
      <c r="Z556" s="11" t="inlineStr">
        <is>
          <t>Priority Tier 2 (Balanced Opportunity)</t>
        </is>
      </c>
    </row>
    <row r="557">
      <c r="A557" s="23" t="n">
        <v>3</v>
      </c>
      <c r="B557" s="23" t="n">
        <v>553</v>
      </c>
      <c r="C557" s="23" t="n">
        <v>2553</v>
      </c>
      <c r="D557" s="23" t="inlineStr">
        <is>
          <t>0405804003</t>
        </is>
      </c>
      <c r="E557" s="11" t="inlineStr">
        <is>
          <t>Region IV-A (CALABARZON)</t>
        </is>
      </c>
      <c r="F557" s="11" t="inlineStr">
        <is>
          <t>Rizal</t>
        </is>
      </c>
      <c r="G557" s="11" t="inlineStr">
        <is>
          <t>Binangonan</t>
        </is>
      </c>
      <c r="H557" s="11" t="inlineStr">
        <is>
          <t>Bilibiran</t>
        </is>
      </c>
      <c r="I557" s="24" t="n">
        <v>14.4974</v>
      </c>
      <c r="J557" s="24" t="n">
        <v>121.1752</v>
      </c>
      <c r="K557" s="23" t="inlineStr">
        <is>
          <t>U</t>
        </is>
      </c>
      <c r="L557" s="25" t="n">
        <v>17784</v>
      </c>
      <c r="M557" s="26" t="n">
        <v>3.6</v>
      </c>
      <c r="N557" s="25">
        <f>ROUND(L557/M557, 0)</f>
        <v/>
      </c>
      <c r="O557" s="25">
        <f>ROUND(N557*'Methodology &amp; Assumptions'!$B$7, 0)</f>
        <v/>
      </c>
      <c r="P557" s="23" t="inlineStr">
        <is>
          <t>Single Carrier (Band n50, 100MHz TDD)</t>
        </is>
      </c>
      <c r="Q557" s="27">
        <f>ROUNDUP(O557/'Methodology &amp; Assumptions'!$B$8, 0)</f>
        <v/>
      </c>
      <c r="R557" s="27" t="n">
        <v>1</v>
      </c>
      <c r="S557" s="26" t="n">
        <v>0.5600000000000001</v>
      </c>
      <c r="T557" s="26" t="n">
        <v>0.17</v>
      </c>
      <c r="U557" s="11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26" t="n">
        <v>78.26000000000001</v>
      </c>
      <c r="W557" s="26" t="n">
        <v>43.97</v>
      </c>
      <c r="X557" s="26">
        <f>ROUND(('Methodology &amp; Assumptions'!$B$5*V557) + ('Methodology &amp; Assumptions'!$B$6*W557), 2)</f>
        <v/>
      </c>
      <c r="Y557" s="28" t="n">
        <v>7.2</v>
      </c>
      <c r="Z557" s="11" t="inlineStr">
        <is>
          <t>Priority Tier 2 (Balanced Opportunity)</t>
        </is>
      </c>
    </row>
    <row r="558">
      <c r="A558" s="23" t="n">
        <v>3</v>
      </c>
      <c r="B558" s="23" t="n">
        <v>554</v>
      </c>
      <c r="C558" s="23" t="n">
        <v>2554</v>
      </c>
      <c r="D558" s="23" t="inlineStr">
        <is>
          <t>0403405057</t>
        </is>
      </c>
      <c r="E558" s="11" t="inlineStr">
        <is>
          <t>Region IV-A (CALABARZON)</t>
        </is>
      </c>
      <c r="F558" s="11" t="inlineStr">
        <is>
          <t>Laguna</t>
        </is>
      </c>
      <c r="G558" s="11" t="inlineStr">
        <is>
          <t>City of Calamba</t>
        </is>
      </c>
      <c r="H558" s="11" t="inlineStr">
        <is>
          <t>Milagrosa</t>
        </is>
      </c>
      <c r="I558" s="24" t="n">
        <v>14.167964</v>
      </c>
      <c r="J558" s="24" t="n">
        <v>121.138389</v>
      </c>
      <c r="K558" s="23" t="inlineStr">
        <is>
          <t>U</t>
        </is>
      </c>
      <c r="L558" s="25" t="n">
        <v>10619</v>
      </c>
      <c r="M558" s="26" t="n">
        <v>3.3</v>
      </c>
      <c r="N558" s="25">
        <f>ROUND(L558/M558, 0)</f>
        <v/>
      </c>
      <c r="O558" s="25">
        <f>ROUND(N558*'Methodology &amp; Assumptions'!$B$7, 0)</f>
        <v/>
      </c>
      <c r="P558" s="23" t="inlineStr">
        <is>
          <t>Single Carrier (Band n50, 100MHz TDD)</t>
        </is>
      </c>
      <c r="Q558" s="27">
        <f>ROUNDUP(O558/'Methodology &amp; Assumptions'!$B$8, 0)</f>
        <v/>
      </c>
      <c r="R558" s="27" t="n">
        <v>1</v>
      </c>
      <c r="S558" s="26" t="n">
        <v>3.24</v>
      </c>
      <c r="T558" s="26" t="n">
        <v>0.1</v>
      </c>
      <c r="U558" s="11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26" t="n">
        <v>70.26000000000001</v>
      </c>
      <c r="W558" s="26" t="n">
        <v>51.96</v>
      </c>
      <c r="X558" s="26">
        <f>ROUND(('Methodology &amp; Assumptions'!$B$5*V558) + ('Methodology &amp; Assumptions'!$B$6*W558), 2)</f>
        <v/>
      </c>
      <c r="Y558" s="28" t="n">
        <v>7.2</v>
      </c>
      <c r="Z558" s="11" t="inlineStr">
        <is>
          <t>Priority Tier 2 (Balanced Opportunity)</t>
        </is>
      </c>
    </row>
    <row r="559">
      <c r="A559" s="23" t="n">
        <v>3</v>
      </c>
      <c r="B559" s="23" t="n">
        <v>555</v>
      </c>
      <c r="C559" s="23" t="n">
        <v>2555</v>
      </c>
      <c r="D559" s="23" t="inlineStr">
        <is>
          <t>1108202022</t>
        </is>
      </c>
      <c r="E559" s="11" t="inlineStr">
        <is>
          <t>Region XI (Davao Region)</t>
        </is>
      </c>
      <c r="F559" s="11" t="inlineStr">
        <is>
          <t>Davao de Oro</t>
        </is>
      </c>
      <c r="G559" s="11" t="inlineStr">
        <is>
          <t>Laak</t>
        </is>
      </c>
      <c r="H559" s="11" t="inlineStr">
        <is>
          <t>Bullucan</t>
        </is>
      </c>
      <c r="I559" s="24" t="n">
        <v>7.850579</v>
      </c>
      <c r="J559" s="24" t="n">
        <v>125.822542</v>
      </c>
      <c r="K559" s="23" t="inlineStr">
        <is>
          <t>R</t>
        </is>
      </c>
      <c r="L559" s="25" t="n">
        <v>1345</v>
      </c>
      <c r="M559" s="26" t="n">
        <v>3.7</v>
      </c>
      <c r="N559" s="25">
        <f>ROUND(L559/M559, 0)</f>
        <v/>
      </c>
      <c r="O559" s="25">
        <f>ROUND(N559*'Methodology &amp; Assumptions'!$B$7, 0)</f>
        <v/>
      </c>
      <c r="P559" s="23" t="inlineStr">
        <is>
          <t>Single Carrier (Band n50, 100MHz TDD)</t>
        </is>
      </c>
      <c r="Q559" s="27">
        <f>ROUNDUP(O559/'Methodology &amp; Assumptions'!$B$8, 0)</f>
        <v/>
      </c>
      <c r="R559" s="27" t="n">
        <v>1</v>
      </c>
      <c r="S559" s="26" t="n">
        <v>25.87</v>
      </c>
      <c r="T559" s="26" t="n">
        <v>22.86</v>
      </c>
      <c r="U559" s="11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26" t="n">
        <v>46.57</v>
      </c>
      <c r="W559" s="26" t="n">
        <v>75.65000000000001</v>
      </c>
      <c r="X559" s="26">
        <f>ROUND(('Methodology &amp; Assumptions'!$B$5*V559) + ('Methodology &amp; Assumptions'!$B$6*W559), 2)</f>
        <v/>
      </c>
      <c r="Y559" s="28" t="n">
        <v>17.4</v>
      </c>
      <c r="Z559" s="11" t="inlineStr">
        <is>
          <t>Priority Tier 2 (Balanced Opportunity)</t>
        </is>
      </c>
    </row>
    <row r="560">
      <c r="A560" s="23" t="n">
        <v>3</v>
      </c>
      <c r="B560" s="23" t="n">
        <v>556</v>
      </c>
      <c r="C560" s="23" t="n">
        <v>2556</v>
      </c>
      <c r="D560" s="23" t="inlineStr">
        <is>
          <t>0702233011</t>
        </is>
      </c>
      <c r="E560" s="11" t="inlineStr">
        <is>
          <t>Region VII (Central Visayas)</t>
        </is>
      </c>
      <c r="F560" s="11" t="inlineStr">
        <is>
          <t>Cebu</t>
        </is>
      </c>
      <c r="G560" s="11" t="inlineStr">
        <is>
          <t>Moalboal</t>
        </is>
      </c>
      <c r="H560" s="11" t="inlineStr">
        <is>
          <t>Poblacion West</t>
        </is>
      </c>
      <c r="I560" s="24" t="n">
        <v>9.93877</v>
      </c>
      <c r="J560" s="24" t="n">
        <v>123.38875</v>
      </c>
      <c r="K560" s="23" t="inlineStr">
        <is>
          <t>R</t>
        </is>
      </c>
      <c r="L560" s="25" t="n">
        <v>3648</v>
      </c>
      <c r="M560" s="26" t="n">
        <v>3.8</v>
      </c>
      <c r="N560" s="25">
        <f>ROUND(L560/M560, 0)</f>
        <v/>
      </c>
      <c r="O560" s="25">
        <f>ROUND(N560*'Methodology &amp; Assumptions'!$B$7, 0)</f>
        <v/>
      </c>
      <c r="P560" s="23" t="inlineStr">
        <is>
          <t>Single Carrier (Band n50, 100MHz TDD)</t>
        </is>
      </c>
      <c r="Q560" s="27">
        <f>ROUNDUP(O560/'Methodology &amp; Assumptions'!$B$8, 0)</f>
        <v/>
      </c>
      <c r="R560" s="27" t="n">
        <v>1</v>
      </c>
      <c r="S560" s="26" t="n">
        <v>0.67</v>
      </c>
      <c r="T560" s="26" t="n">
        <v>0.71</v>
      </c>
      <c r="U560" s="11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26" t="n">
        <v>88.06</v>
      </c>
      <c r="W560" s="26" t="n">
        <v>34.15</v>
      </c>
      <c r="X560" s="26">
        <f>ROUND(('Methodology &amp; Assumptions'!$B$5*V560) + ('Methodology &amp; Assumptions'!$B$6*W560), 2)</f>
        <v/>
      </c>
      <c r="Y560" s="28" t="n">
        <v>23.7</v>
      </c>
      <c r="Z560" s="11" t="inlineStr">
        <is>
          <t>Priority Tier 2 (Balanced Opportunity)</t>
        </is>
      </c>
    </row>
    <row r="561">
      <c r="A561" s="23" t="n">
        <v>3</v>
      </c>
      <c r="B561" s="23" t="n">
        <v>557</v>
      </c>
      <c r="C561" s="23" t="n">
        <v>2557</v>
      </c>
      <c r="D561" s="23" t="inlineStr">
        <is>
          <t>0304903051</t>
        </is>
      </c>
      <c r="E561" s="11" t="inlineStr">
        <is>
          <t>Region III (Central Luzon)</t>
        </is>
      </c>
      <c r="F561" s="11" t="inlineStr">
        <is>
          <t>Nueva Ecija</t>
        </is>
      </c>
      <c r="G561" s="11" t="inlineStr">
        <is>
          <t>City of Cabanatuan</t>
        </is>
      </c>
      <c r="H561" s="11" t="inlineStr">
        <is>
          <t>Lourdes</t>
        </is>
      </c>
      <c r="I561" s="24" t="n">
        <v>15.585783</v>
      </c>
      <c r="J561" s="24" t="n">
        <v>120.924577</v>
      </c>
      <c r="K561" s="23" t="inlineStr">
        <is>
          <t>R</t>
        </is>
      </c>
      <c r="L561" s="25" t="n">
        <v>2701</v>
      </c>
      <c r="M561" s="26" t="n">
        <v>3.5</v>
      </c>
      <c r="N561" s="25">
        <f>ROUND(L561/M561, 0)</f>
        <v/>
      </c>
      <c r="O561" s="25">
        <f>ROUND(N561*'Methodology &amp; Assumptions'!$B$7, 0)</f>
        <v/>
      </c>
      <c r="P561" s="23" t="inlineStr">
        <is>
          <t>Single Carrier (Band n50, 100MHz TDD)</t>
        </is>
      </c>
      <c r="Q561" s="27">
        <f>ROUNDUP(O561/'Methodology &amp; Assumptions'!$B$8, 0)</f>
        <v/>
      </c>
      <c r="R561" s="27" t="n">
        <v>1</v>
      </c>
      <c r="S561" s="26" t="n">
        <v>0.71</v>
      </c>
      <c r="T561" s="26" t="n">
        <v>0.52</v>
      </c>
      <c r="U561" s="11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26" t="n">
        <v>84.15000000000001</v>
      </c>
      <c r="W561" s="26" t="n">
        <v>38.05</v>
      </c>
      <c r="X561" s="26">
        <f>ROUND(('Methodology &amp; Assumptions'!$B$5*V561) + ('Methodology &amp; Assumptions'!$B$6*W561), 2)</f>
        <v/>
      </c>
      <c r="Y561" s="28" t="n">
        <v>8.300000000000001</v>
      </c>
      <c r="Z561" s="11" t="inlineStr">
        <is>
          <t>Priority Tier 2 (Balanced Opportunity)</t>
        </is>
      </c>
    </row>
    <row r="562">
      <c r="A562" s="23" t="n">
        <v>3</v>
      </c>
      <c r="B562" s="23" t="n">
        <v>558</v>
      </c>
      <c r="C562" s="23" t="n">
        <v>2558</v>
      </c>
      <c r="D562" s="23" t="inlineStr">
        <is>
          <t>0501603007</t>
        </is>
      </c>
      <c r="E562" s="11" t="inlineStr">
        <is>
          <t>Region V (Bicol Region)</t>
        </is>
      </c>
      <c r="F562" s="11" t="inlineStr">
        <is>
          <t>Camarines Norte</t>
        </is>
      </c>
      <c r="G562" s="11" t="inlineStr">
        <is>
          <t>Daet</t>
        </is>
      </c>
      <c r="H562" s="11" t="inlineStr">
        <is>
          <t>Camambugan</t>
        </is>
      </c>
      <c r="I562" s="24" t="n">
        <v>14.108185</v>
      </c>
      <c r="J562" s="24" t="n">
        <v>122.950179</v>
      </c>
      <c r="K562" s="23" t="inlineStr">
        <is>
          <t>U</t>
        </is>
      </c>
      <c r="L562" s="25" t="n">
        <v>9118</v>
      </c>
      <c r="M562" s="26" t="n">
        <v>4</v>
      </c>
      <c r="N562" s="25">
        <f>ROUND(L562/M562, 0)</f>
        <v/>
      </c>
      <c r="O562" s="25">
        <f>ROUND(N562*'Methodology &amp; Assumptions'!$B$7, 0)</f>
        <v/>
      </c>
      <c r="P562" s="23" t="inlineStr">
        <is>
          <t>Single Carrier (Band n50, 100MHz TDD)</t>
        </is>
      </c>
      <c r="Q562" s="27">
        <f>ROUNDUP(O562/'Methodology &amp; Assumptions'!$B$8, 0)</f>
        <v/>
      </c>
      <c r="R562" s="27" t="n">
        <v>1</v>
      </c>
      <c r="S562" s="26" t="n">
        <v>0.8</v>
      </c>
      <c r="T562" s="26" t="n">
        <v>0.9399999999999999</v>
      </c>
      <c r="U562" s="11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26" t="n">
        <v>80.86</v>
      </c>
      <c r="W562" s="26" t="n">
        <v>41.34</v>
      </c>
      <c r="X562" s="26">
        <f>ROUND(('Methodology &amp; Assumptions'!$B$5*V562) + ('Methodology &amp; Assumptions'!$B$6*W562), 2)</f>
        <v/>
      </c>
      <c r="Y562" s="28" t="n">
        <v>23.7</v>
      </c>
      <c r="Z562" s="11" t="inlineStr">
        <is>
          <t>Priority Tier 2 (Balanced Opportunity)</t>
        </is>
      </c>
    </row>
    <row r="563">
      <c r="A563" s="23" t="n">
        <v>3</v>
      </c>
      <c r="B563" s="23" t="n">
        <v>559</v>
      </c>
      <c r="C563" s="23" t="n">
        <v>2559</v>
      </c>
      <c r="D563" s="23" t="inlineStr">
        <is>
          <t>0301408012</t>
        </is>
      </c>
      <c r="E563" s="11" t="inlineStr">
        <is>
          <t>Region III (Central Luzon)</t>
        </is>
      </c>
      <c r="F563" s="11" t="inlineStr">
        <is>
          <t>Bulacan</t>
        </is>
      </c>
      <c r="G563" s="11" t="inlineStr">
        <is>
          <t>Guiguinto</t>
        </is>
      </c>
      <c r="H563" s="11" t="inlineStr">
        <is>
          <t>Tabe</t>
        </is>
      </c>
      <c r="I563" s="24" t="n">
        <v>14.837431</v>
      </c>
      <c r="J563" s="24" t="n">
        <v>120.886775</v>
      </c>
      <c r="K563" s="23" t="inlineStr">
        <is>
          <t>U</t>
        </is>
      </c>
      <c r="L563" s="25" t="n">
        <v>9629</v>
      </c>
      <c r="M563" s="26" t="n">
        <v>3.5</v>
      </c>
      <c r="N563" s="25">
        <f>ROUND(L563/M563, 0)</f>
        <v/>
      </c>
      <c r="O563" s="25">
        <f>ROUND(N563*'Methodology &amp; Assumptions'!$B$7, 0)</f>
        <v/>
      </c>
      <c r="P563" s="23" t="inlineStr">
        <is>
          <t>Single Carrier (Band n50, 100MHz TDD)</t>
        </is>
      </c>
      <c r="Q563" s="27">
        <f>ROUNDUP(O563/'Methodology &amp; Assumptions'!$B$8, 0)</f>
        <v/>
      </c>
      <c r="R563" s="27" t="n">
        <v>1</v>
      </c>
      <c r="S563" s="26" t="n">
        <v>1.77</v>
      </c>
      <c r="T563" s="26" t="n">
        <v>0.9</v>
      </c>
      <c r="U563" s="11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26" t="n">
        <v>74.98999999999999</v>
      </c>
      <c r="W563" s="26" t="n">
        <v>47.21</v>
      </c>
      <c r="X563" s="26">
        <f>ROUND(('Methodology &amp; Assumptions'!$B$5*V563) + ('Methodology &amp; Assumptions'!$B$6*W563), 2)</f>
        <v/>
      </c>
      <c r="Y563" s="28" t="n">
        <v>8.300000000000001</v>
      </c>
      <c r="Z563" s="11" t="inlineStr">
        <is>
          <t>Priority Tier 2 (Balanced Opportunity)</t>
        </is>
      </c>
    </row>
    <row r="564">
      <c r="A564" s="23" t="n">
        <v>3</v>
      </c>
      <c r="B564" s="23" t="n">
        <v>560</v>
      </c>
      <c r="C564" s="23" t="n">
        <v>2560</v>
      </c>
      <c r="D564" s="23" t="inlineStr">
        <is>
          <t>1380614003</t>
        </is>
      </c>
      <c r="E564" s="11" t="inlineStr">
        <is>
          <t>National Capital Region (NCR)</t>
        </is>
      </c>
      <c r="F564" s="11" t="inlineStr">
        <is>
          <t>First District (Not a Province)</t>
        </is>
      </c>
      <c r="G564" s="11" t="inlineStr">
        <is>
          <t>City of Manila</t>
        </is>
      </c>
      <c r="H564" s="11" t="inlineStr">
        <is>
          <t>Barangay 746</t>
        </is>
      </c>
      <c r="I564" s="24" t="n">
        <v>14.566867</v>
      </c>
      <c r="J564" s="24" t="n">
        <v>120.998566</v>
      </c>
      <c r="K564" s="23" t="inlineStr">
        <is>
          <t>U</t>
        </is>
      </c>
      <c r="L564" s="25" t="n">
        <v>1494</v>
      </c>
      <c r="M564" s="26" t="n">
        <v>3.8</v>
      </c>
      <c r="N564" s="25">
        <f>ROUND(L564/M564, 0)</f>
        <v/>
      </c>
      <c r="O564" s="25">
        <f>ROUND(N564*'Methodology &amp; Assumptions'!$B$7, 0)</f>
        <v/>
      </c>
      <c r="P564" s="23" t="inlineStr">
        <is>
          <t>Single Carrier (Band n50, 100MHz TDD)</t>
        </is>
      </c>
      <c r="Q564" s="27">
        <f>ROUNDUP(O564/'Methodology &amp; Assumptions'!$B$8, 0)</f>
        <v/>
      </c>
      <c r="R564" s="27" t="n">
        <v>1</v>
      </c>
      <c r="S564" s="26" t="n">
        <v>0.74</v>
      </c>
      <c r="T564" s="26" t="n">
        <v>0.5</v>
      </c>
      <c r="U564" s="11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26" t="n">
        <v>53.73</v>
      </c>
      <c r="W564" s="26" t="n">
        <v>68.47</v>
      </c>
      <c r="X564" s="26">
        <f>ROUND(('Methodology &amp; Assumptions'!$B$5*V564) + ('Methodology &amp; Assumptions'!$B$6*W564), 2)</f>
        <v/>
      </c>
      <c r="Y564" s="28" t="n">
        <v>10.9</v>
      </c>
      <c r="Z564" s="11" t="inlineStr">
        <is>
          <t>Priority Tier 2 (Balanced Opportunity)</t>
        </is>
      </c>
    </row>
    <row r="565">
      <c r="A565" s="23" t="n">
        <v>3</v>
      </c>
      <c r="B565" s="23" t="n">
        <v>561</v>
      </c>
      <c r="C565" s="23" t="n">
        <v>2561</v>
      </c>
      <c r="D565" s="23" t="inlineStr">
        <is>
          <t>1380609001</t>
        </is>
      </c>
      <c r="E565" s="11" t="inlineStr">
        <is>
          <t>National Capital Region (NCR)</t>
        </is>
      </c>
      <c r="F565" s="11" t="inlineStr">
        <is>
          <t>First District (Not a Province)</t>
        </is>
      </c>
      <c r="G565" s="11" t="inlineStr">
        <is>
          <t>City of Manila</t>
        </is>
      </c>
      <c r="H565" s="11" t="inlineStr">
        <is>
          <t>Barangay 654</t>
        </is>
      </c>
      <c r="I565" s="24" t="n">
        <v>14.59271</v>
      </c>
      <c r="J565" s="24" t="n">
        <v>120.976553</v>
      </c>
      <c r="K565" s="23" t="inlineStr">
        <is>
          <t>U</t>
        </is>
      </c>
      <c r="L565" s="25" t="n">
        <v>1492</v>
      </c>
      <c r="M565" s="26" t="n">
        <v>3.78</v>
      </c>
      <c r="N565" s="25">
        <f>ROUND(L565/M565, 0)</f>
        <v/>
      </c>
      <c r="O565" s="25">
        <f>ROUND(N565*'Methodology &amp; Assumptions'!$B$7, 0)</f>
        <v/>
      </c>
      <c r="P565" s="23" t="inlineStr">
        <is>
          <t>Single Carrier (Band n50, 100MHz TDD)</t>
        </is>
      </c>
      <c r="Q565" s="27">
        <f>ROUNDUP(O565/'Methodology &amp; Assumptions'!$B$8, 0)</f>
        <v/>
      </c>
      <c r="R565" s="27" t="n">
        <v>1</v>
      </c>
      <c r="S565" s="26" t="n">
        <v>0.87</v>
      </c>
      <c r="T565" s="26" t="n">
        <v>0.51</v>
      </c>
      <c r="U565" s="11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26" t="n">
        <v>53.63</v>
      </c>
      <c r="W565" s="26" t="n">
        <v>68.56999999999999</v>
      </c>
      <c r="X565" s="26">
        <f>ROUND(('Methodology &amp; Assumptions'!$B$5*V565) + ('Methodology &amp; Assumptions'!$B$6*W565), 2)</f>
        <v/>
      </c>
      <c r="Y565" s="28" t="n">
        <v>10.9</v>
      </c>
      <c r="Z565" s="11" t="inlineStr">
        <is>
          <t>Priority Tier 2 (Balanced Opportunity)</t>
        </is>
      </c>
    </row>
    <row r="566">
      <c r="A566" s="23" t="n">
        <v>3</v>
      </c>
      <c r="B566" s="23" t="n">
        <v>562</v>
      </c>
      <c r="C566" s="23" t="n">
        <v>2562</v>
      </c>
      <c r="D566" s="23" t="inlineStr">
        <is>
          <t>0501703025</t>
        </is>
      </c>
      <c r="E566" s="11" t="inlineStr">
        <is>
          <t>Region V (Bicol Region)</t>
        </is>
      </c>
      <c r="F566" s="11" t="inlineStr">
        <is>
          <t>Camarines Sur</t>
        </is>
      </c>
      <c r="G566" s="11" t="inlineStr">
        <is>
          <t>Bato</t>
        </is>
      </c>
      <c r="H566" s="11" t="inlineStr">
        <is>
          <t>San Isidro</t>
        </is>
      </c>
      <c r="I566" s="24" t="n">
        <v>13.2968</v>
      </c>
      <c r="J566" s="24" t="n">
        <v>123.2631</v>
      </c>
      <c r="K566" s="23" t="inlineStr">
        <is>
          <t>R</t>
        </is>
      </c>
      <c r="L566" s="25" t="n">
        <v>211</v>
      </c>
      <c r="M566" s="26" t="n">
        <v>4.2</v>
      </c>
      <c r="N566" s="25">
        <f>ROUND(L566/M566, 0)</f>
        <v/>
      </c>
      <c r="O566" s="25">
        <f>ROUND(N566*'Methodology &amp; Assumptions'!$B$7, 0)</f>
        <v/>
      </c>
      <c r="P566" s="23" t="inlineStr">
        <is>
          <t>Single Carrier (Band n50, 100MHz TDD)</t>
        </is>
      </c>
      <c r="Q566" s="27">
        <f>ROUNDUP(O566/'Methodology &amp; Assumptions'!$B$8, 0)</f>
        <v/>
      </c>
      <c r="R566" s="27" t="n">
        <v>1</v>
      </c>
      <c r="S566" s="26" t="n">
        <v>3.64</v>
      </c>
      <c r="T566" s="26" t="n">
        <v>12.74</v>
      </c>
      <c r="U566" s="11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26" t="n">
        <v>50.61</v>
      </c>
      <c r="W566" s="26" t="n">
        <v>71.59999999999999</v>
      </c>
      <c r="X566" s="26">
        <f>ROUND(('Methodology &amp; Assumptions'!$B$5*V566) + ('Methodology &amp; Assumptions'!$B$6*W566), 2)</f>
        <v/>
      </c>
      <c r="Y566" s="28" t="n">
        <v>23.7</v>
      </c>
      <c r="Z566" s="11" t="inlineStr">
        <is>
          <t>Priority Tier 2 (Balanced Opportunity)</t>
        </is>
      </c>
    </row>
    <row r="567">
      <c r="A567" s="23" t="n">
        <v>3</v>
      </c>
      <c r="B567" s="23" t="n">
        <v>563</v>
      </c>
      <c r="C567" s="23" t="n">
        <v>2563</v>
      </c>
      <c r="D567" s="23" t="inlineStr">
        <is>
          <t>0501715003</t>
        </is>
      </c>
      <c r="E567" s="11" t="inlineStr">
        <is>
          <t>Region V (Bicol Region)</t>
        </is>
      </c>
      <c r="F567" s="11" t="inlineStr">
        <is>
          <t>Camarines Sur</t>
        </is>
      </c>
      <c r="G567" s="11" t="inlineStr">
        <is>
          <t>Goa</t>
        </is>
      </c>
      <c r="H567" s="11" t="inlineStr">
        <is>
          <t>Bagumbayan Pequeño</t>
        </is>
      </c>
      <c r="I567" s="24" t="n">
        <v>13.695039</v>
      </c>
      <c r="J567" s="24" t="n">
        <v>123.48749</v>
      </c>
      <c r="K567" s="23" t="inlineStr">
        <is>
          <t>R</t>
        </is>
      </c>
      <c r="L567" s="25" t="n">
        <v>4334</v>
      </c>
      <c r="M567" s="26" t="n">
        <v>4.2</v>
      </c>
      <c r="N567" s="25">
        <f>ROUND(L567/M567, 0)</f>
        <v/>
      </c>
      <c r="O567" s="25">
        <f>ROUND(N567*'Methodology &amp; Assumptions'!$B$7, 0)</f>
        <v/>
      </c>
      <c r="P567" s="23" t="inlineStr">
        <is>
          <t>Single Carrier (Band n50, 100MHz TDD)</t>
        </is>
      </c>
      <c r="Q567" s="27">
        <f>ROUNDUP(O567/'Methodology &amp; Assumptions'!$B$8, 0)</f>
        <v/>
      </c>
      <c r="R567" s="27" t="n">
        <v>1</v>
      </c>
      <c r="S567" s="26" t="n">
        <v>0.09</v>
      </c>
      <c r="T567" s="26" t="n">
        <v>0.13</v>
      </c>
      <c r="U567" s="11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26" t="n">
        <v>88.06</v>
      </c>
      <c r="W567" s="26" t="n">
        <v>34.13</v>
      </c>
      <c r="X567" s="26">
        <f>ROUND(('Methodology &amp; Assumptions'!$B$5*V567) + ('Methodology &amp; Assumptions'!$B$6*W567), 2)</f>
        <v/>
      </c>
      <c r="Y567" s="28" t="n">
        <v>23.7</v>
      </c>
      <c r="Z567" s="11" t="inlineStr">
        <is>
          <t>Priority Tier 2 (Balanced Opportunity)</t>
        </is>
      </c>
    </row>
    <row r="568">
      <c r="A568" s="23" t="n">
        <v>3</v>
      </c>
      <c r="B568" s="23" t="n">
        <v>564</v>
      </c>
      <c r="C568" s="23" t="n">
        <v>2564</v>
      </c>
      <c r="D568" s="23" t="inlineStr">
        <is>
          <t>0405804036</t>
        </is>
      </c>
      <c r="E568" s="11" t="inlineStr">
        <is>
          <t>Region IV-A (CALABARZON)</t>
        </is>
      </c>
      <c r="F568" s="11" t="inlineStr">
        <is>
          <t>Rizal</t>
        </is>
      </c>
      <c r="G568" s="11" t="inlineStr">
        <is>
          <t>Binangonan</t>
        </is>
      </c>
      <c r="H568" s="11" t="inlineStr">
        <is>
          <t>Tayuman</t>
        </is>
      </c>
      <c r="I568" s="24" t="n">
        <v>14.513556</v>
      </c>
      <c r="J568" s="24" t="n">
        <v>121.162873</v>
      </c>
      <c r="K568" s="23" t="inlineStr">
        <is>
          <t>U</t>
        </is>
      </c>
      <c r="L568" s="25" t="n">
        <v>11775</v>
      </c>
      <c r="M568" s="26" t="n">
        <v>3.6</v>
      </c>
      <c r="N568" s="25">
        <f>ROUND(L568/M568, 0)</f>
        <v/>
      </c>
      <c r="O568" s="25">
        <f>ROUND(N568*'Methodology &amp; Assumptions'!$B$7, 0)</f>
        <v/>
      </c>
      <c r="P568" s="23" t="inlineStr">
        <is>
          <t>Single Carrier (Band n50, 100MHz TDD)</t>
        </is>
      </c>
      <c r="Q568" s="27">
        <f>ROUNDUP(O568/'Methodology &amp; Assumptions'!$B$8, 0)</f>
        <v/>
      </c>
      <c r="R568" s="27" t="n">
        <v>1</v>
      </c>
      <c r="S568" s="26" t="n">
        <v>1.78</v>
      </c>
      <c r="T568" s="26" t="n">
        <v>0.08</v>
      </c>
      <c r="U568" s="11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26" t="n">
        <v>74.77</v>
      </c>
      <c r="W568" s="26" t="n">
        <v>47.41</v>
      </c>
      <c r="X568" s="26">
        <f>ROUND(('Methodology &amp; Assumptions'!$B$5*V568) + ('Methodology &amp; Assumptions'!$B$6*W568), 2)</f>
        <v/>
      </c>
      <c r="Y568" s="28" t="n">
        <v>7.2</v>
      </c>
      <c r="Z568" s="11" t="inlineStr">
        <is>
          <t>Priority Tier 2 (Balanced Opportunity)</t>
        </is>
      </c>
    </row>
    <row r="569">
      <c r="A569" s="23" t="n">
        <v>3</v>
      </c>
      <c r="B569" s="23" t="n">
        <v>565</v>
      </c>
      <c r="C569" s="23" t="n">
        <v>2565</v>
      </c>
      <c r="D569" s="23" t="inlineStr">
        <is>
          <t>1108209026</t>
        </is>
      </c>
      <c r="E569" s="11" t="inlineStr">
        <is>
          <t>Region XI (Davao Region)</t>
        </is>
      </c>
      <c r="F569" s="11" t="inlineStr">
        <is>
          <t>Davao de Oro</t>
        </is>
      </c>
      <c r="G569" s="11" t="inlineStr">
        <is>
          <t>Nabunturan</t>
        </is>
      </c>
      <c r="H569" s="11" t="inlineStr">
        <is>
          <t>Tagnocon</t>
        </is>
      </c>
      <c r="I569" s="24" t="n">
        <v>7.514785</v>
      </c>
      <c r="J569" s="24" t="n">
        <v>126.05672</v>
      </c>
      <c r="K569" s="23" t="inlineStr">
        <is>
          <t>R</t>
        </is>
      </c>
      <c r="L569" s="25" t="n">
        <v>2988</v>
      </c>
      <c r="M569" s="26" t="n">
        <v>3.7</v>
      </c>
      <c r="N569" s="25">
        <f>ROUND(L569/M569, 0)</f>
        <v/>
      </c>
      <c r="O569" s="25">
        <f>ROUND(N569*'Methodology &amp; Assumptions'!$B$7, 0)</f>
        <v/>
      </c>
      <c r="P569" s="23" t="inlineStr">
        <is>
          <t>Single Carrier (Band n50, 100MHz TDD)</t>
        </is>
      </c>
      <c r="Q569" s="27">
        <f>ROUNDUP(O569/'Methodology &amp; Assumptions'!$B$8, 0)</f>
        <v/>
      </c>
      <c r="R569" s="27" t="n">
        <v>1</v>
      </c>
      <c r="S569" s="26" t="n">
        <v>26.78</v>
      </c>
      <c r="T569" s="26" t="n">
        <v>14.15</v>
      </c>
      <c r="U569" s="11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26" t="n">
        <v>60.43</v>
      </c>
      <c r="W569" s="26" t="n">
        <v>61.74</v>
      </c>
      <c r="X569" s="26">
        <f>ROUND(('Methodology &amp; Assumptions'!$B$5*V569) + ('Methodology &amp; Assumptions'!$B$6*W569), 2)</f>
        <v/>
      </c>
      <c r="Y569" s="28" t="n">
        <v>17.4</v>
      </c>
      <c r="Z569" s="11" t="inlineStr">
        <is>
          <t>Priority Tier 2 (Balanced Opportunity)</t>
        </is>
      </c>
    </row>
    <row r="570">
      <c r="A570" s="23" t="n">
        <v>3</v>
      </c>
      <c r="B570" s="23" t="n">
        <v>566</v>
      </c>
      <c r="C570" s="23" t="n">
        <v>2566</v>
      </c>
      <c r="D570" s="23" t="inlineStr">
        <is>
          <t>1380601170</t>
        </is>
      </c>
      <c r="E570" s="11" t="inlineStr">
        <is>
          <t>National Capital Region (NCR)</t>
        </is>
      </c>
      <c r="F570" s="11" t="inlineStr">
        <is>
          <t>First District (Not a Province)</t>
        </is>
      </c>
      <c r="G570" s="11" t="inlineStr">
        <is>
          <t>City of Manila</t>
        </is>
      </c>
      <c r="H570" s="11" t="inlineStr">
        <is>
          <t>Barangay 170</t>
        </is>
      </c>
      <c r="I570" s="24" t="n">
        <v>14.627051</v>
      </c>
      <c r="J570" s="24" t="n">
        <v>120.969192</v>
      </c>
      <c r="K570" s="23" t="inlineStr">
        <is>
          <t>U</t>
        </is>
      </c>
      <c r="L570" s="25" t="n">
        <v>1245</v>
      </c>
      <c r="M570" s="26" t="n">
        <v>4.19</v>
      </c>
      <c r="N570" s="25">
        <f>ROUND(L570/M570, 0)</f>
        <v/>
      </c>
      <c r="O570" s="25">
        <f>ROUND(N570*'Methodology &amp; Assumptions'!$B$7, 0)</f>
        <v/>
      </c>
      <c r="P570" s="23" t="inlineStr">
        <is>
          <t>Single Carrier (Band n50, 100MHz TDD)</t>
        </is>
      </c>
      <c r="Q570" s="27">
        <f>ROUNDUP(O570/'Methodology &amp; Assumptions'!$B$8, 0)</f>
        <v/>
      </c>
      <c r="R570" s="27" t="n">
        <v>1</v>
      </c>
      <c r="S570" s="26" t="n">
        <v>0.45</v>
      </c>
      <c r="T570" s="26" t="n">
        <v>0.3</v>
      </c>
      <c r="U570" s="11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26" t="n">
        <v>50.63</v>
      </c>
      <c r="W570" s="26" t="n">
        <v>71.56</v>
      </c>
      <c r="X570" s="26">
        <f>ROUND(('Methodology &amp; Assumptions'!$B$5*V570) + ('Methodology &amp; Assumptions'!$B$6*W570), 2)</f>
        <v/>
      </c>
      <c r="Y570" s="28" t="n">
        <v>10.9</v>
      </c>
      <c r="Z570" s="11" t="inlineStr">
        <is>
          <t>Priority Tier 2 (Balanced Opportunity)</t>
        </is>
      </c>
    </row>
    <row r="571">
      <c r="A571" s="23" t="n">
        <v>3</v>
      </c>
      <c r="B571" s="23" t="n">
        <v>567</v>
      </c>
      <c r="C571" s="23" t="n">
        <v>2567</v>
      </c>
      <c r="D571" s="23" t="inlineStr">
        <is>
          <t>0604530013</t>
        </is>
      </c>
      <c r="E571" s="11" t="inlineStr">
        <is>
          <t>Region VI (Western Visayas)</t>
        </is>
      </c>
      <c r="F571" s="11" t="inlineStr">
        <is>
          <t>Negros Occidental</t>
        </is>
      </c>
      <c r="G571" s="11" t="inlineStr">
        <is>
          <t>Valladolid</t>
        </is>
      </c>
      <c r="H571" s="11" t="inlineStr">
        <is>
          <t>Palaka</t>
        </is>
      </c>
      <c r="I571" s="24" t="n">
        <v>10.47503</v>
      </c>
      <c r="J571" s="24" t="n">
        <v>122.821859</v>
      </c>
      <c r="K571" s="23" t="inlineStr">
        <is>
          <t>R</t>
        </is>
      </c>
      <c r="L571" s="25" t="n">
        <v>3358</v>
      </c>
      <c r="M571" s="26" t="n">
        <v>3.7</v>
      </c>
      <c r="N571" s="25">
        <f>ROUND(L571/M571, 0)</f>
        <v/>
      </c>
      <c r="O571" s="25">
        <f>ROUND(N571*'Methodology &amp; Assumptions'!$B$7, 0)</f>
        <v/>
      </c>
      <c r="P571" s="23" t="inlineStr">
        <is>
          <t>Single Carrier (Band n50, 100MHz TDD)</t>
        </is>
      </c>
      <c r="Q571" s="27">
        <f>ROUNDUP(O571/'Methodology &amp; Assumptions'!$B$8, 0)</f>
        <v/>
      </c>
      <c r="R571" s="27" t="n">
        <v>1</v>
      </c>
      <c r="S571" s="26" t="n">
        <v>1.02</v>
      </c>
      <c r="T571" s="26" t="n">
        <v>0.11</v>
      </c>
      <c r="U571" s="11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26" t="n">
        <v>87.39</v>
      </c>
      <c r="W571" s="26" t="n">
        <v>34.78</v>
      </c>
      <c r="X571" s="26">
        <f>ROUND(('Methodology &amp; Assumptions'!$B$5*V571) + ('Methodology &amp; Assumptions'!$B$6*W571), 2)</f>
        <v/>
      </c>
      <c r="Y571" s="28" t="n">
        <v>23.7</v>
      </c>
      <c r="Z571" s="11" t="inlineStr">
        <is>
          <t>Priority Tier 2 (Balanced Opportunity)</t>
        </is>
      </c>
    </row>
    <row r="572">
      <c r="A572" s="23" t="n">
        <v>3</v>
      </c>
      <c r="B572" s="23" t="n">
        <v>568</v>
      </c>
      <c r="C572" s="23" t="n">
        <v>2568</v>
      </c>
      <c r="D572" s="23" t="inlineStr">
        <is>
          <t>0300806008</t>
        </is>
      </c>
      <c r="E572" s="11" t="inlineStr">
        <is>
          <t>Region III (Central Luzon)</t>
        </is>
      </c>
      <c r="F572" s="11" t="inlineStr">
        <is>
          <t>Bataan</t>
        </is>
      </c>
      <c r="G572" s="11" t="inlineStr">
        <is>
          <t>Limay</t>
        </is>
      </c>
      <c r="H572" s="11" t="inlineStr">
        <is>
          <t>Reformista</t>
        </is>
      </c>
      <c r="I572" s="24" t="n">
        <v>14.563931</v>
      </c>
      <c r="J572" s="24" t="n">
        <v>120.597774</v>
      </c>
      <c r="K572" s="23" t="inlineStr">
        <is>
          <t>U</t>
        </is>
      </c>
      <c r="L572" s="25" t="n">
        <v>5400</v>
      </c>
      <c r="M572" s="26" t="n">
        <v>3.6</v>
      </c>
      <c r="N572" s="25">
        <f>ROUND(L572/M572, 0)</f>
        <v/>
      </c>
      <c r="O572" s="25">
        <f>ROUND(N572*'Methodology &amp; Assumptions'!$B$7, 0)</f>
        <v/>
      </c>
      <c r="P572" s="23" t="inlineStr">
        <is>
          <t>Single Carrier (Band n50, 100MHz TDD)</t>
        </is>
      </c>
      <c r="Q572" s="27">
        <f>ROUNDUP(O572/'Methodology &amp; Assumptions'!$B$8, 0)</f>
        <v/>
      </c>
      <c r="R572" s="27" t="n">
        <v>1</v>
      </c>
      <c r="S572" s="26" t="n">
        <v>1.35</v>
      </c>
      <c r="T572" s="26" t="n">
        <v>0.38</v>
      </c>
      <c r="U572" s="11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26" t="n">
        <v>76.48</v>
      </c>
      <c r="W572" s="26" t="n">
        <v>45.69</v>
      </c>
      <c r="X572" s="26">
        <f>ROUND(('Methodology &amp; Assumptions'!$B$5*V572) + ('Methodology &amp; Assumptions'!$B$6*W572), 2)</f>
        <v/>
      </c>
      <c r="Y572" s="28" t="n">
        <v>8.300000000000001</v>
      </c>
      <c r="Z572" s="11" t="inlineStr">
        <is>
          <t>Priority Tier 2 (Balanced Opportunity)</t>
        </is>
      </c>
    </row>
    <row r="573">
      <c r="A573" s="23" t="n">
        <v>3</v>
      </c>
      <c r="B573" s="23" t="n">
        <v>569</v>
      </c>
      <c r="C573" s="23" t="n">
        <v>2569</v>
      </c>
      <c r="D573" s="23" t="inlineStr">
        <is>
          <t>0201529031</t>
        </is>
      </c>
      <c r="E573" s="11" t="inlineStr">
        <is>
          <t>Region II (Cagayan Valley)</t>
        </is>
      </c>
      <c r="F573" s="11" t="inlineStr">
        <is>
          <t>Cagayan</t>
        </is>
      </c>
      <c r="G573" s="11" t="inlineStr">
        <is>
          <t>Tuguegarao City</t>
        </is>
      </c>
      <c r="H573" s="11" t="inlineStr">
        <is>
          <t>Pengue</t>
        </is>
      </c>
      <c r="I573" s="24" t="n">
        <v>17.629022</v>
      </c>
      <c r="J573" s="24" t="n">
        <v>121.726923</v>
      </c>
      <c r="K573" s="23" t="inlineStr">
        <is>
          <t>U</t>
        </is>
      </c>
      <c r="L573" s="25" t="n">
        <v>6832</v>
      </c>
      <c r="M573" s="26" t="n">
        <v>3.9</v>
      </c>
      <c r="N573" s="25">
        <f>ROUND(L573/M573, 0)</f>
        <v/>
      </c>
      <c r="O573" s="25">
        <f>ROUND(N573*'Methodology &amp; Assumptions'!$B$7, 0)</f>
        <v/>
      </c>
      <c r="P573" s="23" t="inlineStr">
        <is>
          <t>Single Carrier (Band n50, 100MHz TDD)</t>
        </is>
      </c>
      <c r="Q573" s="27">
        <f>ROUNDUP(O573/'Methodology &amp; Assumptions'!$B$8, 0)</f>
        <v/>
      </c>
      <c r="R573" s="27" t="n">
        <v>1</v>
      </c>
      <c r="S573" s="26" t="n">
        <v>3.28</v>
      </c>
      <c r="T573" s="26" t="n">
        <v>0.23</v>
      </c>
      <c r="U573" s="11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26" t="n">
        <v>70.33</v>
      </c>
      <c r="W573" s="26" t="n">
        <v>51.82</v>
      </c>
      <c r="X573" s="26">
        <f>ROUND(('Methodology &amp; Assumptions'!$B$5*V573) + ('Methodology &amp; Assumptions'!$B$6*W573), 2)</f>
        <v/>
      </c>
      <c r="Y573" s="28" t="n">
        <v>8.300000000000001</v>
      </c>
      <c r="Z573" s="11" t="inlineStr">
        <is>
          <t>Priority Tier 2 (Balanced Opportunity)</t>
        </is>
      </c>
    </row>
    <row r="574">
      <c r="A574" s="23" t="n">
        <v>3</v>
      </c>
      <c r="B574" s="23" t="n">
        <v>570</v>
      </c>
      <c r="C574" s="23" t="n">
        <v>2570</v>
      </c>
      <c r="D574" s="23" t="inlineStr">
        <is>
          <t>1705305016</t>
        </is>
      </c>
      <c r="E574" s="11" t="inlineStr">
        <is>
          <t>MIMAROPA Region</t>
        </is>
      </c>
      <c r="F574" s="11" t="inlineStr">
        <is>
          <t>Palawan</t>
        </is>
      </c>
      <c r="G574" s="11" t="inlineStr">
        <is>
          <t>Bataraza</t>
        </is>
      </c>
      <c r="H574" s="11" t="inlineStr">
        <is>
          <t>Sarong</t>
        </is>
      </c>
      <c r="I574" s="24" t="n">
        <v>8.547223000000001</v>
      </c>
      <c r="J574" s="24" t="n">
        <v>117.499502</v>
      </c>
      <c r="K574" s="23" t="inlineStr">
        <is>
          <t>R</t>
        </is>
      </c>
      <c r="L574" s="25" t="n">
        <v>2848</v>
      </c>
      <c r="M574" s="26" t="n">
        <v>3.9</v>
      </c>
      <c r="N574" s="25">
        <f>ROUND(L574/M574, 0)</f>
        <v/>
      </c>
      <c r="O574" s="25">
        <f>ROUND(N574*'Methodology &amp; Assumptions'!$B$7, 0)</f>
        <v/>
      </c>
      <c r="P574" s="23" t="inlineStr">
        <is>
          <t>Single Carrier (Band n50, 100MHz TDD)</t>
        </is>
      </c>
      <c r="Q574" s="27">
        <f>ROUNDUP(O574/'Methodology &amp; Assumptions'!$B$8, 0)</f>
        <v/>
      </c>
      <c r="R574" s="27" t="n">
        <v>1</v>
      </c>
      <c r="S574" s="26" t="n">
        <v>189.64</v>
      </c>
      <c r="T574" s="26" t="n">
        <v>191.93</v>
      </c>
      <c r="U574" s="11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26" t="n">
        <v>56.49</v>
      </c>
      <c r="W574" s="26" t="n">
        <v>65.67</v>
      </c>
      <c r="X574" s="26">
        <f>ROUND(('Methodology &amp; Assumptions'!$B$5*V574) + ('Methodology &amp; Assumptions'!$B$6*W574), 2)</f>
        <v/>
      </c>
      <c r="Y574" s="28" t="n">
        <v>15</v>
      </c>
      <c r="Z574" s="11" t="inlineStr">
        <is>
          <t>Priority Tier 2 (Balanced Opportunity)</t>
        </is>
      </c>
    </row>
    <row r="575">
      <c r="A575" s="23" t="n">
        <v>3</v>
      </c>
      <c r="B575" s="23" t="n">
        <v>571</v>
      </c>
      <c r="C575" s="23" t="n">
        <v>2571</v>
      </c>
      <c r="D575" s="23" t="inlineStr">
        <is>
          <t>1380610035</t>
        </is>
      </c>
      <c r="E575" s="11" t="inlineStr">
        <is>
          <t>National Capital Region (NCR)</t>
        </is>
      </c>
      <c r="F575" s="11" t="inlineStr">
        <is>
          <t>First District (Not a Province)</t>
        </is>
      </c>
      <c r="G575" s="11" t="inlineStr">
        <is>
          <t>City of Manila</t>
        </is>
      </c>
      <c r="H575" s="11" t="inlineStr">
        <is>
          <t>Barangay 720</t>
        </is>
      </c>
      <c r="I575" s="24" t="n">
        <v>14.565164</v>
      </c>
      <c r="J575" s="24" t="n">
        <v>120.990566</v>
      </c>
      <c r="K575" s="23" t="inlineStr">
        <is>
          <t>U</t>
        </is>
      </c>
      <c r="L575" s="25" t="n">
        <v>1604</v>
      </c>
      <c r="M575" s="26" t="n">
        <v>4.16</v>
      </c>
      <c r="N575" s="25">
        <f>ROUND(L575/M575, 0)</f>
        <v/>
      </c>
      <c r="O575" s="25">
        <f>ROUND(N575*'Methodology &amp; Assumptions'!$B$7, 0)</f>
        <v/>
      </c>
      <c r="P575" s="23" t="inlineStr">
        <is>
          <t>Single Carrier (Band n50, 100MHz TDD)</t>
        </is>
      </c>
      <c r="Q575" s="27">
        <f>ROUNDUP(O575/'Methodology &amp; Assumptions'!$B$8, 0)</f>
        <v/>
      </c>
      <c r="R575" s="27" t="n">
        <v>1</v>
      </c>
      <c r="S575" s="26" t="n">
        <v>0.86</v>
      </c>
      <c r="T575" s="26" t="n">
        <v>0.38</v>
      </c>
      <c r="U575" s="11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26" t="n">
        <v>53.45</v>
      </c>
      <c r="W575" s="26" t="n">
        <v>68.7</v>
      </c>
      <c r="X575" s="26">
        <f>ROUND(('Methodology &amp; Assumptions'!$B$5*V575) + ('Methodology &amp; Assumptions'!$B$6*W575), 2)</f>
        <v/>
      </c>
      <c r="Y575" s="28" t="n">
        <v>10.9</v>
      </c>
      <c r="Z575" s="11" t="inlineStr">
        <is>
          <t>Priority Tier 2 (Balanced Opportunity)</t>
        </is>
      </c>
    </row>
    <row r="576">
      <c r="A576" s="23" t="n">
        <v>3</v>
      </c>
      <c r="B576" s="23" t="n">
        <v>572</v>
      </c>
      <c r="C576" s="23" t="n">
        <v>2572</v>
      </c>
      <c r="D576" s="23" t="inlineStr">
        <is>
          <t>1380606185</t>
        </is>
      </c>
      <c r="E576" s="11" t="inlineStr">
        <is>
          <t>National Capital Region (NCR)</t>
        </is>
      </c>
      <c r="F576" s="11" t="inlineStr">
        <is>
          <t>First District (Not a Province)</t>
        </is>
      </c>
      <c r="G576" s="11" t="inlineStr">
        <is>
          <t>City of Manila</t>
        </is>
      </c>
      <c r="H576" s="11" t="inlineStr">
        <is>
          <t>Barangay 579</t>
        </is>
      </c>
      <c r="I576" s="24" t="n">
        <v>14.603244</v>
      </c>
      <c r="J576" s="24" t="n">
        <v>121.009206</v>
      </c>
      <c r="K576" s="23" t="inlineStr">
        <is>
          <t>U</t>
        </is>
      </c>
      <c r="L576" s="25" t="n">
        <v>1468</v>
      </c>
      <c r="M576" s="26" t="n">
        <v>4.41</v>
      </c>
      <c r="N576" s="25">
        <f>ROUND(L576/M576, 0)</f>
        <v/>
      </c>
      <c r="O576" s="25">
        <f>ROUND(N576*'Methodology &amp; Assumptions'!$B$7, 0)</f>
        <v/>
      </c>
      <c r="P576" s="23" t="inlineStr">
        <is>
          <t>Single Carrier (Band n50, 100MHz TDD)</t>
        </is>
      </c>
      <c r="Q576" s="27">
        <f>ROUNDUP(O576/'Methodology &amp; Assumptions'!$B$8, 0)</f>
        <v/>
      </c>
      <c r="R576" s="27" t="n">
        <v>1</v>
      </c>
      <c r="S576" s="26" t="n">
        <v>0.52</v>
      </c>
      <c r="T576" s="26" t="n">
        <v>0.17</v>
      </c>
      <c r="U576" s="11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26" t="n">
        <v>51.8</v>
      </c>
      <c r="W576" s="26" t="n">
        <v>70.34999999999999</v>
      </c>
      <c r="X576" s="26">
        <f>ROUND(('Methodology &amp; Assumptions'!$B$5*V576) + ('Methodology &amp; Assumptions'!$B$6*W576), 2)</f>
        <v/>
      </c>
      <c r="Y576" s="28" t="n">
        <v>10.9</v>
      </c>
      <c r="Z576" s="11" t="inlineStr">
        <is>
          <t>Priority Tier 2 (Balanced Opportunity)</t>
        </is>
      </c>
    </row>
    <row r="577">
      <c r="A577" s="23" t="n">
        <v>3</v>
      </c>
      <c r="B577" s="23" t="n">
        <v>573</v>
      </c>
      <c r="C577" s="23" t="n">
        <v>2573</v>
      </c>
      <c r="D577" s="23" t="inlineStr">
        <is>
          <t>0304918009</t>
        </is>
      </c>
      <c r="E577" s="11" t="inlineStr">
        <is>
          <t>Region III (Central Luzon)</t>
        </is>
      </c>
      <c r="F577" s="11" t="inlineStr">
        <is>
          <t>Nueva Ecija</t>
        </is>
      </c>
      <c r="G577" s="11" t="inlineStr">
        <is>
          <t>Nampicuan</t>
        </is>
      </c>
      <c r="H577" s="11" t="inlineStr">
        <is>
          <t>Edy</t>
        </is>
      </c>
      <c r="I577" s="24" t="n">
        <v>15.702389</v>
      </c>
      <c r="J577" s="24" t="n">
        <v>120.653583</v>
      </c>
      <c r="K577" s="23" t="inlineStr">
        <is>
          <t>R</t>
        </is>
      </c>
      <c r="L577" s="25" t="n">
        <v>140</v>
      </c>
      <c r="M577" s="26" t="n">
        <v>3.5</v>
      </c>
      <c r="N577" s="25">
        <f>ROUND(L577/M577, 0)</f>
        <v/>
      </c>
      <c r="O577" s="25">
        <f>ROUND(N577*'Methodology &amp; Assumptions'!$B$7, 0)</f>
        <v/>
      </c>
      <c r="P577" s="23" t="inlineStr">
        <is>
          <t>Single Carrier (Band n50, 100MHz TDD)</t>
        </is>
      </c>
      <c r="Q577" s="27">
        <f>ROUNDUP(O577/'Methodology &amp; Assumptions'!$B$8, 0)</f>
        <v/>
      </c>
      <c r="R577" s="27" t="n">
        <v>1</v>
      </c>
      <c r="S577" s="26" t="n">
        <v>8.08</v>
      </c>
      <c r="T577" s="26" t="n">
        <v>7.7</v>
      </c>
      <c r="U577" s="11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26" t="n">
        <v>43.97</v>
      </c>
      <c r="W577" s="26" t="n">
        <v>78.18000000000001</v>
      </c>
      <c r="X577" s="26">
        <f>ROUND(('Methodology &amp; Assumptions'!$B$5*V577) + ('Methodology &amp; Assumptions'!$B$6*W577), 2)</f>
        <v/>
      </c>
      <c r="Y577" s="28" t="n">
        <v>8.300000000000001</v>
      </c>
      <c r="Z577" s="11" t="inlineStr">
        <is>
          <t>Priority Tier 2 (Balanced Opportunity)</t>
        </is>
      </c>
    </row>
    <row r="578">
      <c r="A578" s="23" t="n">
        <v>3</v>
      </c>
      <c r="B578" s="23" t="n">
        <v>574</v>
      </c>
      <c r="C578" s="23" t="n">
        <v>2574</v>
      </c>
      <c r="D578" s="23" t="inlineStr">
        <is>
          <t>1380606055</t>
        </is>
      </c>
      <c r="E578" s="11" t="inlineStr">
        <is>
          <t>National Capital Region (NCR)</t>
        </is>
      </c>
      <c r="F578" s="11" t="inlineStr">
        <is>
          <t>First District (Not a Province)</t>
        </is>
      </c>
      <c r="G578" s="11" t="inlineStr">
        <is>
          <t>City of Manila</t>
        </is>
      </c>
      <c r="H578" s="11" t="inlineStr">
        <is>
          <t>Barangay 449</t>
        </is>
      </c>
      <c r="I578" s="24" t="n">
        <v>14.60832</v>
      </c>
      <c r="J578" s="24" t="n">
        <v>120.996797</v>
      </c>
      <c r="K578" s="23" t="inlineStr">
        <is>
          <t>U</t>
        </is>
      </c>
      <c r="L578" s="25" t="n">
        <v>1360</v>
      </c>
      <c r="M578" s="26" t="n">
        <v>3.6</v>
      </c>
      <c r="N578" s="25">
        <f>ROUND(L578/M578, 0)</f>
        <v/>
      </c>
      <c r="O578" s="25">
        <f>ROUND(N578*'Methodology &amp; Assumptions'!$B$7, 0)</f>
        <v/>
      </c>
      <c r="P578" s="23" t="inlineStr">
        <is>
          <t>Single Carrier (Band n50, 100MHz TDD)</t>
        </is>
      </c>
      <c r="Q578" s="27">
        <f>ROUNDUP(O578/'Methodology &amp; Assumptions'!$B$8, 0)</f>
        <v/>
      </c>
      <c r="R578" s="27" t="n">
        <v>1</v>
      </c>
      <c r="S578" s="26" t="n">
        <v>0.8100000000000001</v>
      </c>
      <c r="T578" s="26" t="n">
        <v>0.37</v>
      </c>
      <c r="U578" s="11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26" t="n">
        <v>53.2</v>
      </c>
      <c r="W578" s="26" t="n">
        <v>68.94</v>
      </c>
      <c r="X578" s="26">
        <f>ROUND(('Methodology &amp; Assumptions'!$B$5*V578) + ('Methodology &amp; Assumptions'!$B$6*W578), 2)</f>
        <v/>
      </c>
      <c r="Y578" s="28" t="n">
        <v>10.9</v>
      </c>
      <c r="Z578" s="11" t="inlineStr">
        <is>
          <t>Priority Tier 2 (Balanced Opportunity)</t>
        </is>
      </c>
    </row>
    <row r="579">
      <c r="A579" s="23" t="n">
        <v>3</v>
      </c>
      <c r="B579" s="23" t="n">
        <v>575</v>
      </c>
      <c r="C579" s="23" t="n">
        <v>2575</v>
      </c>
      <c r="D579" s="23" t="inlineStr">
        <is>
          <t>0603034022</t>
        </is>
      </c>
      <c r="E579" s="11" t="inlineStr">
        <is>
          <t>Region VI (Western Visayas)</t>
        </is>
      </c>
      <c r="F579" s="11" t="inlineStr">
        <is>
          <t>Iloilo</t>
        </is>
      </c>
      <c r="G579" s="11" t="inlineStr">
        <is>
          <t>Oton</t>
        </is>
      </c>
      <c r="H579" s="11" t="inlineStr">
        <is>
          <t>Poblacion South</t>
        </is>
      </c>
      <c r="I579" s="24" t="n">
        <v>10.690009</v>
      </c>
      <c r="J579" s="24" t="n">
        <v>122.471546</v>
      </c>
      <c r="K579" s="23" t="inlineStr">
        <is>
          <t>U</t>
        </is>
      </c>
      <c r="L579" s="25" t="n">
        <v>5563</v>
      </c>
      <c r="M579" s="26" t="n">
        <v>3.8</v>
      </c>
      <c r="N579" s="25">
        <f>ROUND(L579/M579, 0)</f>
        <v/>
      </c>
      <c r="O579" s="25">
        <f>ROUND(N579*'Methodology &amp; Assumptions'!$B$7, 0)</f>
        <v/>
      </c>
      <c r="P579" s="23" t="inlineStr">
        <is>
          <t>Single Carrier (Band n50, 100MHz TDD)</t>
        </is>
      </c>
      <c r="Q579" s="27">
        <f>ROUNDUP(O579/'Methodology &amp; Assumptions'!$B$8, 0)</f>
        <v/>
      </c>
      <c r="R579" s="27" t="n">
        <v>1</v>
      </c>
      <c r="S579" s="26" t="n">
        <v>1</v>
      </c>
      <c r="T579" s="26" t="n">
        <v>0.17</v>
      </c>
      <c r="U579" s="11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26" t="n">
        <v>80.23999999999999</v>
      </c>
      <c r="W579" s="26" t="n">
        <v>41.87</v>
      </c>
      <c r="X579" s="26">
        <f>ROUND(('Methodology &amp; Assumptions'!$B$5*V579) + ('Methodology &amp; Assumptions'!$B$6*W579), 2)</f>
        <v/>
      </c>
      <c r="Y579" s="28" t="n">
        <v>23.7</v>
      </c>
      <c r="Z579" s="11" t="inlineStr">
        <is>
          <t>Priority Tier 2 (Balanced Opportunity)</t>
        </is>
      </c>
    </row>
    <row r="580">
      <c r="A580" s="23" t="n">
        <v>3</v>
      </c>
      <c r="B580" s="23" t="n">
        <v>576</v>
      </c>
      <c r="C580" s="23" t="n">
        <v>2576</v>
      </c>
      <c r="D580" s="23" t="inlineStr">
        <is>
          <t>1381300120</t>
        </is>
      </c>
      <c r="E580" s="11" t="inlineStr">
        <is>
          <t>National Capital Region (NCR)</t>
        </is>
      </c>
      <c r="F580" s="11" t="inlineStr">
        <is>
          <t>Second District (Not a Province)</t>
        </is>
      </c>
      <c r="G580" s="11" t="inlineStr">
        <is>
          <t>Quezon City</t>
        </is>
      </c>
      <c r="H580" s="11" t="inlineStr">
        <is>
          <t>Tandang Sora</t>
        </is>
      </c>
      <c r="I580" s="24" t="n">
        <v>14.68181</v>
      </c>
      <c r="J580" s="24" t="n">
        <v>121.0323</v>
      </c>
      <c r="K580" s="23" t="inlineStr">
        <is>
          <t>U</t>
        </is>
      </c>
      <c r="L580" s="25" t="n">
        <v>86005</v>
      </c>
      <c r="M580" s="26" t="n">
        <v>3.43</v>
      </c>
      <c r="N580" s="25">
        <f>ROUND(L580/M580, 0)</f>
        <v/>
      </c>
      <c r="O580" s="25">
        <f>ROUND(N580*'Methodology &amp; Assumptions'!$B$7, 0)</f>
        <v/>
      </c>
      <c r="P580" s="23" t="inlineStr">
        <is>
          <t>Single Carrier (Band n50, 100MHz TDD)</t>
        </is>
      </c>
      <c r="Q580" s="27">
        <f>ROUNDUP(O580/'Methodology &amp; Assumptions'!$B$8, 0)</f>
        <v/>
      </c>
      <c r="R580" s="27" t="n">
        <v>1</v>
      </c>
      <c r="S580" s="26" t="n">
        <v>0.09</v>
      </c>
      <c r="T580" s="26" t="n">
        <v>0.42</v>
      </c>
      <c r="U580" s="11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26" t="n">
        <v>65.01000000000001</v>
      </c>
      <c r="W580" s="26" t="n">
        <v>57.12</v>
      </c>
      <c r="X580" s="26">
        <f>ROUND(('Methodology &amp; Assumptions'!$B$5*V580) + ('Methodology &amp; Assumptions'!$B$6*W580), 2)</f>
        <v/>
      </c>
      <c r="Y580" s="28" t="n">
        <v>10.9</v>
      </c>
      <c r="Z580" s="11" t="inlineStr">
        <is>
          <t>Priority Tier 2 (Balanced Opportunity)</t>
        </is>
      </c>
    </row>
    <row r="581">
      <c r="A581" s="23" t="n">
        <v>3</v>
      </c>
      <c r="B581" s="23" t="n">
        <v>577</v>
      </c>
      <c r="C581" s="23" t="n">
        <v>2577</v>
      </c>
      <c r="D581" s="23" t="inlineStr">
        <is>
          <t>1380606110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504</t>
        </is>
      </c>
      <c r="I581" s="24" t="n">
        <v>14.61566</v>
      </c>
      <c r="J581" s="24" t="n">
        <v>120.995951</v>
      </c>
      <c r="K581" s="23" t="inlineStr">
        <is>
          <t>U</t>
        </is>
      </c>
      <c r="L581" s="25" t="n">
        <v>1361</v>
      </c>
      <c r="M581" s="26" t="n">
        <v>3.47</v>
      </c>
      <c r="N581" s="25">
        <f>ROUND(L581/M581, 0)</f>
        <v/>
      </c>
      <c r="O581" s="25">
        <f>ROUND(N581*'Methodology &amp; Assumptions'!$B$7, 0)</f>
        <v/>
      </c>
      <c r="P581" s="23" t="inlineStr">
        <is>
          <t>Single Carrier (Band n50, 100MHz TDD)</t>
        </is>
      </c>
      <c r="Q581" s="27">
        <f>ROUNDUP(O581/'Methodology &amp; Assumptions'!$B$8, 0)</f>
        <v/>
      </c>
      <c r="R581" s="27" t="n">
        <v>1</v>
      </c>
      <c r="S581" s="26" t="n">
        <v>0.99</v>
      </c>
      <c r="T581" s="26" t="n">
        <v>0.28</v>
      </c>
      <c r="U581" s="11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26" t="n">
        <v>53.16</v>
      </c>
      <c r="W581" s="26" t="n">
        <v>68.95999999999999</v>
      </c>
      <c r="X581" s="26">
        <f>ROUND(('Methodology &amp; Assumptions'!$B$5*V581) + ('Methodology &amp; Assumptions'!$B$6*W581), 2)</f>
        <v/>
      </c>
      <c r="Y581" s="28" t="n">
        <v>10.9</v>
      </c>
      <c r="Z581" s="11" t="inlineStr">
        <is>
          <t>Priority Tier 2 (Balanced Opportunity)</t>
        </is>
      </c>
    </row>
    <row r="582">
      <c r="A582" s="23" t="n">
        <v>3</v>
      </c>
      <c r="B582" s="23" t="n">
        <v>578</v>
      </c>
      <c r="C582" s="23" t="n">
        <v>2578</v>
      </c>
      <c r="D582" s="23" t="inlineStr">
        <is>
          <t>0300801008</t>
        </is>
      </c>
      <c r="E582" s="11" t="inlineStr">
        <is>
          <t>Region III (Central Luzon)</t>
        </is>
      </c>
      <c r="F582" s="11" t="inlineStr">
        <is>
          <t>Bataan</t>
        </is>
      </c>
      <c r="G582" s="11" t="inlineStr">
        <is>
          <t>Abucay</t>
        </is>
      </c>
      <c r="H582" s="11" t="inlineStr">
        <is>
          <t>Omboy</t>
        </is>
      </c>
      <c r="I582" s="24" t="n">
        <v>14.71939</v>
      </c>
      <c r="J582" s="24" t="n">
        <v>120.538403</v>
      </c>
      <c r="K582" s="23" t="inlineStr">
        <is>
          <t>R</t>
        </is>
      </c>
      <c r="L582" s="25" t="n">
        <v>3538</v>
      </c>
      <c r="M582" s="26" t="n">
        <v>3.6</v>
      </c>
      <c r="N582" s="25">
        <f>ROUND(L582/M582, 0)</f>
        <v/>
      </c>
      <c r="O582" s="25">
        <f>ROUND(N582*'Methodology &amp; Assumptions'!$B$7, 0)</f>
        <v/>
      </c>
      <c r="P582" s="23" t="inlineStr">
        <is>
          <t>Single Carrier (Band n50, 100MHz TDD)</t>
        </is>
      </c>
      <c r="Q582" s="27">
        <f>ROUNDUP(O582/'Methodology &amp; Assumptions'!$B$8, 0)</f>
        <v/>
      </c>
      <c r="R582" s="27" t="n">
        <v>1</v>
      </c>
      <c r="S582" s="26" t="n">
        <v>3.85</v>
      </c>
      <c r="T582" s="26" t="n">
        <v>0.24</v>
      </c>
      <c r="U582" s="11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26" t="n">
        <v>76.31</v>
      </c>
      <c r="W582" s="26" t="n">
        <v>45.79</v>
      </c>
      <c r="X582" s="26">
        <f>ROUND(('Methodology &amp; Assumptions'!$B$5*V582) + ('Methodology &amp; Assumptions'!$B$6*W582), 2)</f>
        <v/>
      </c>
      <c r="Y582" s="28" t="n">
        <v>8.300000000000001</v>
      </c>
      <c r="Z582" s="11" t="inlineStr">
        <is>
          <t>Priority Tier 2 (Balanced Opportunity)</t>
        </is>
      </c>
    </row>
    <row r="583">
      <c r="A583" s="23" t="n">
        <v>3</v>
      </c>
      <c r="B583" s="23" t="n">
        <v>579</v>
      </c>
      <c r="C583" s="23" t="n">
        <v>2579</v>
      </c>
      <c r="D583" s="23" t="inlineStr">
        <is>
          <t>0604528030</t>
        </is>
      </c>
      <c r="E583" s="11" t="inlineStr">
        <is>
          <t>Region VI (Western Visayas)</t>
        </is>
      </c>
      <c r="F583" s="11" t="inlineStr">
        <is>
          <t>Negros Occidental</t>
        </is>
      </c>
      <c r="G583" s="11" t="inlineStr">
        <is>
          <t>City of Talisay</t>
        </is>
      </c>
      <c r="H583" s="11" t="inlineStr">
        <is>
          <t>San Fernando</t>
        </is>
      </c>
      <c r="I583" s="24" t="n">
        <v>10.708583</v>
      </c>
      <c r="J583" s="24" t="n">
        <v>123.071171</v>
      </c>
      <c r="K583" s="23" t="inlineStr">
        <is>
          <t>R</t>
        </is>
      </c>
      <c r="L583" s="25" t="n">
        <v>4803</v>
      </c>
      <c r="M583" s="26" t="n">
        <v>3.7</v>
      </c>
      <c r="N583" s="25">
        <f>ROUND(L583/M583, 0)</f>
        <v/>
      </c>
      <c r="O583" s="25">
        <f>ROUND(N583*'Methodology &amp; Assumptions'!$B$7, 0)</f>
        <v/>
      </c>
      <c r="P583" s="23" t="inlineStr">
        <is>
          <t>Single Carrier (Band n50, 100MHz TDD)</t>
        </is>
      </c>
      <c r="Q583" s="27">
        <f>ROUNDUP(O583/'Methodology &amp; Assumptions'!$B$8, 0)</f>
        <v/>
      </c>
      <c r="R583" s="27" t="n">
        <v>1</v>
      </c>
      <c r="S583" s="26" t="n">
        <v>6.28</v>
      </c>
      <c r="T583" s="26" t="n">
        <v>8.32</v>
      </c>
      <c r="U583" s="11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26" t="n">
        <v>71.12</v>
      </c>
      <c r="W583" s="26" t="n">
        <v>50.98</v>
      </c>
      <c r="X583" s="26">
        <f>ROUND(('Methodology &amp; Assumptions'!$B$5*V583) + ('Methodology &amp; Assumptions'!$B$6*W583), 2)</f>
        <v/>
      </c>
      <c r="Y583" s="28" t="n">
        <v>23.7</v>
      </c>
      <c r="Z583" s="11" t="inlineStr">
        <is>
          <t>Priority Tier 2 (Balanced Opportunity)</t>
        </is>
      </c>
    </row>
    <row r="584">
      <c r="A584" s="23" t="n">
        <v>3</v>
      </c>
      <c r="B584" s="23" t="n">
        <v>580</v>
      </c>
      <c r="C584" s="23" t="n">
        <v>2580</v>
      </c>
      <c r="D584" s="23" t="inlineStr">
        <is>
          <t>1108204035</t>
        </is>
      </c>
      <c r="E584" s="11" t="inlineStr">
        <is>
          <t>Region XI (Davao Region)</t>
        </is>
      </c>
      <c r="F584" s="11" t="inlineStr">
        <is>
          <t>Davao de Oro</t>
        </is>
      </c>
      <c r="G584" s="11" t="inlineStr">
        <is>
          <t>Maco</t>
        </is>
      </c>
      <c r="H584" s="11" t="inlineStr">
        <is>
          <t>Panangan</t>
        </is>
      </c>
      <c r="I584" s="24" t="n">
        <v>7.375824</v>
      </c>
      <c r="J584" s="24" t="n">
        <v>125.923379</v>
      </c>
      <c r="K584" s="23" t="inlineStr">
        <is>
          <t>R</t>
        </is>
      </c>
      <c r="L584" s="25" t="n">
        <v>724</v>
      </c>
      <c r="M584" s="26" t="n">
        <v>3.7</v>
      </c>
      <c r="N584" s="25">
        <f>ROUND(L584/M584, 0)</f>
        <v/>
      </c>
      <c r="O584" s="25">
        <f>ROUND(N584*'Methodology &amp; Assumptions'!$B$7, 0)</f>
        <v/>
      </c>
      <c r="P584" s="23" t="inlineStr">
        <is>
          <t>Single Carrier (Band n50, 100MHz TDD)</t>
        </is>
      </c>
      <c r="Q584" s="27">
        <f>ROUNDUP(O584/'Methodology &amp; Assumptions'!$B$8, 0)</f>
        <v/>
      </c>
      <c r="R584" s="27" t="n">
        <v>1</v>
      </c>
      <c r="S584" s="26" t="n">
        <v>7.73</v>
      </c>
      <c r="T584" s="26" t="n">
        <v>7.57</v>
      </c>
      <c r="U584" s="11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26" t="n">
        <v>47.98</v>
      </c>
      <c r="W584" s="26" t="n">
        <v>74.12</v>
      </c>
      <c r="X584" s="26">
        <f>ROUND(('Methodology &amp; Assumptions'!$B$5*V584) + ('Methodology &amp; Assumptions'!$B$6*W584), 2)</f>
        <v/>
      </c>
      <c r="Y584" s="28" t="n">
        <v>17.4</v>
      </c>
      <c r="Z584" s="11" t="inlineStr">
        <is>
          <t>Priority Tier 2 (Balanced Opportunity)</t>
        </is>
      </c>
    </row>
    <row r="585">
      <c r="A585" s="23" t="n">
        <v>3</v>
      </c>
      <c r="B585" s="23" t="n">
        <v>581</v>
      </c>
      <c r="C585" s="23" t="n">
        <v>2581</v>
      </c>
      <c r="D585" s="23" t="inlineStr">
        <is>
          <t>0306910034</t>
        </is>
      </c>
      <c r="E585" s="11" t="inlineStr">
        <is>
          <t>Region III (Central Luzon)</t>
        </is>
      </c>
      <c r="F585" s="11" t="inlineStr">
        <is>
          <t>Tarlac</t>
        </is>
      </c>
      <c r="G585" s="11" t="inlineStr">
        <is>
          <t>Paniqui</t>
        </is>
      </c>
      <c r="H585" s="11" t="inlineStr">
        <is>
          <t>Tablang</t>
        </is>
      </c>
      <c r="I585" s="24" t="n">
        <v>15.670556</v>
      </c>
      <c r="J585" s="24" t="n">
        <v>120.569167</v>
      </c>
      <c r="K585" s="23" t="inlineStr">
        <is>
          <t>R</t>
        </is>
      </c>
      <c r="L585" s="25" t="n">
        <v>3215</v>
      </c>
      <c r="M585" s="26" t="n">
        <v>3.9</v>
      </c>
      <c r="N585" s="25">
        <f>ROUND(L585/M585, 0)</f>
        <v/>
      </c>
      <c r="O585" s="25">
        <f>ROUND(N585*'Methodology &amp; Assumptions'!$B$7, 0)</f>
        <v/>
      </c>
      <c r="P585" s="23" t="inlineStr">
        <is>
          <t>Single Carrier (Band n50, 100MHz TDD)</t>
        </is>
      </c>
      <c r="Q585" s="27">
        <f>ROUNDUP(O585/'Methodology &amp; Assumptions'!$B$8, 0)</f>
        <v/>
      </c>
      <c r="R585" s="27" t="n">
        <v>1</v>
      </c>
      <c r="S585" s="26" t="n">
        <v>1.94</v>
      </c>
      <c r="T585" s="26" t="n">
        <v>0.46</v>
      </c>
      <c r="U585" s="11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26" t="n">
        <v>81.59999999999999</v>
      </c>
      <c r="W585" s="26" t="n">
        <v>40.48</v>
      </c>
      <c r="X585" s="26">
        <f>ROUND(('Methodology &amp; Assumptions'!$B$5*V585) + ('Methodology &amp; Assumptions'!$B$6*W585), 2)</f>
        <v/>
      </c>
      <c r="Y585" s="28" t="n">
        <v>8.300000000000001</v>
      </c>
      <c r="Z585" s="11" t="inlineStr">
        <is>
          <t>Priority Tier 2 (Balanced Opportunity)</t>
        </is>
      </c>
    </row>
    <row r="586">
      <c r="A586" s="23" t="n">
        <v>3</v>
      </c>
      <c r="B586" s="23" t="n">
        <v>582</v>
      </c>
      <c r="C586" s="23" t="n">
        <v>2582</v>
      </c>
      <c r="D586" s="23" t="inlineStr">
        <is>
          <t>1381300080</t>
        </is>
      </c>
      <c r="E586" s="11" t="inlineStr">
        <is>
          <t>National Capital Region (NCR)</t>
        </is>
      </c>
      <c r="F586" s="11" t="inlineStr">
        <is>
          <t>Second District (Not a Province)</t>
        </is>
      </c>
      <c r="G586" s="11" t="inlineStr">
        <is>
          <t>Quezon City</t>
        </is>
      </c>
      <c r="H586" s="11" t="inlineStr">
        <is>
          <t>Pasong Tamo</t>
        </is>
      </c>
      <c r="I586" s="24" t="n">
        <v>14.67475</v>
      </c>
      <c r="J586" s="24" t="n">
        <v>121.0481</v>
      </c>
      <c r="K586" s="23" t="inlineStr">
        <is>
          <t>U</t>
        </is>
      </c>
      <c r="L586" s="25" t="n">
        <v>113319</v>
      </c>
      <c r="M586" s="26" t="n">
        <v>3.74</v>
      </c>
      <c r="N586" s="25">
        <f>ROUND(L586/M586, 0)</f>
        <v/>
      </c>
      <c r="O586" s="25">
        <f>ROUND(N586*'Methodology &amp; Assumptions'!$B$7, 0)</f>
        <v/>
      </c>
      <c r="P586" s="23" t="inlineStr">
        <is>
          <t>Single Carrier (Band n50, 100MHz TDD)</t>
        </is>
      </c>
      <c r="Q586" s="27">
        <f>ROUNDUP(O586/'Methodology &amp; Assumptions'!$B$8, 0)</f>
        <v/>
      </c>
      <c r="R586" s="27" t="n">
        <v>1</v>
      </c>
      <c r="S586" s="26" t="n">
        <v>0.34</v>
      </c>
      <c r="T586" s="26" t="n">
        <v>0.17</v>
      </c>
      <c r="U586" s="11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26" t="n">
        <v>64.59999999999999</v>
      </c>
      <c r="W586" s="26" t="n">
        <v>57.49</v>
      </c>
      <c r="X586" s="26">
        <f>ROUND(('Methodology &amp; Assumptions'!$B$5*V586) + ('Methodology &amp; Assumptions'!$B$6*W586), 2)</f>
        <v/>
      </c>
      <c r="Y586" s="28" t="n">
        <v>10.9</v>
      </c>
      <c r="Z586" s="11" t="inlineStr">
        <is>
          <t>Priority Tier 2 (Balanced Opportunity)</t>
        </is>
      </c>
    </row>
    <row r="587">
      <c r="A587" s="23" t="n">
        <v>3</v>
      </c>
      <c r="B587" s="23" t="n">
        <v>583</v>
      </c>
      <c r="C587" s="23" t="n">
        <v>2583</v>
      </c>
      <c r="D587" s="23" t="inlineStr">
        <is>
          <t>0205703003</t>
        </is>
      </c>
      <c r="E587" s="11" t="inlineStr">
        <is>
          <t>Region II (Cagayan Valley)</t>
        </is>
      </c>
      <c r="F587" s="11" t="inlineStr">
        <is>
          <t>Quirino</t>
        </is>
      </c>
      <c r="G587" s="11" t="inlineStr">
        <is>
          <t>Diffun</t>
        </is>
      </c>
      <c r="H587" s="11" t="inlineStr">
        <is>
          <t>Aurora West</t>
        </is>
      </c>
      <c r="I587" s="24" t="n">
        <v>16.58777</v>
      </c>
      <c r="J587" s="24" t="n">
        <v>121.494174</v>
      </c>
      <c r="K587" s="23" t="inlineStr">
        <is>
          <t>R</t>
        </is>
      </c>
      <c r="L587" s="25" t="n">
        <v>2574</v>
      </c>
      <c r="M587" s="26" t="n">
        <v>3.9</v>
      </c>
      <c r="N587" s="25">
        <f>ROUND(L587/M587, 0)</f>
        <v/>
      </c>
      <c r="O587" s="25">
        <f>ROUND(N587*'Methodology &amp; Assumptions'!$B$7, 0)</f>
        <v/>
      </c>
      <c r="P587" s="23" t="inlineStr">
        <is>
          <t>Single Carrier (Band n50, 100MHz TDD)</t>
        </is>
      </c>
      <c r="Q587" s="27">
        <f>ROUNDUP(O587/'Methodology &amp; Assumptions'!$B$8, 0)</f>
        <v/>
      </c>
      <c r="R587" s="27" t="n">
        <v>1</v>
      </c>
      <c r="S587" s="26" t="n">
        <v>0.6899999999999999</v>
      </c>
      <c r="T587" s="26" t="n">
        <v>7.95</v>
      </c>
      <c r="U587" s="11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26" t="n">
        <v>77.59</v>
      </c>
      <c r="W587" s="26" t="n">
        <v>44.47</v>
      </c>
      <c r="X587" s="26">
        <f>ROUND(('Methodology &amp; Assumptions'!$B$5*V587) + ('Methodology &amp; Assumptions'!$B$6*W587), 2)</f>
        <v/>
      </c>
      <c r="Y587" s="28" t="n">
        <v>8.300000000000001</v>
      </c>
      <c r="Z587" s="11" t="inlineStr">
        <is>
          <t>Priority Tier 2 (Balanced Opportunity)</t>
        </is>
      </c>
    </row>
    <row r="588">
      <c r="A588" s="23" t="n">
        <v>3</v>
      </c>
      <c r="B588" s="23" t="n">
        <v>584</v>
      </c>
      <c r="C588" s="23" t="n">
        <v>2584</v>
      </c>
      <c r="D588" s="23" t="inlineStr">
        <is>
          <t>0405647005</t>
        </is>
      </c>
      <c r="E588" s="11" t="inlineStr">
        <is>
          <t>Region IV-A (CALABARZON)</t>
        </is>
      </c>
      <c r="F588" s="11" t="inlineStr">
        <is>
          <t>Quezon</t>
        </is>
      </c>
      <c r="G588" s="11" t="inlineStr">
        <is>
          <t>City of Tayabas</t>
        </is>
      </c>
      <c r="H588" s="11" t="inlineStr">
        <is>
          <t>Angeles Zone III</t>
        </is>
      </c>
      <c r="I588" s="24" t="n">
        <v>14.028725</v>
      </c>
      <c r="J588" s="24" t="n">
        <v>121.593136</v>
      </c>
      <c r="K588" s="23" t="inlineStr">
        <is>
          <t>R</t>
        </is>
      </c>
      <c r="L588" s="25" t="n">
        <v>187</v>
      </c>
      <c r="M588" s="26" t="n">
        <v>3.8</v>
      </c>
      <c r="N588" s="25">
        <f>ROUND(L588/M588, 0)</f>
        <v/>
      </c>
      <c r="O588" s="25">
        <f>ROUND(N588*'Methodology &amp; Assumptions'!$B$7, 0)</f>
        <v/>
      </c>
      <c r="P588" s="23" t="inlineStr">
        <is>
          <t>Single Carrier (Band n50, 100MHz TDD)</t>
        </is>
      </c>
      <c r="Q588" s="27">
        <f>ROUNDUP(O588/'Methodology &amp; Assumptions'!$B$8, 0)</f>
        <v/>
      </c>
      <c r="R588" s="27" t="n">
        <v>1</v>
      </c>
      <c r="S588" s="26" t="n">
        <v>0.5600000000000001</v>
      </c>
      <c r="T588" s="26" t="n">
        <v>0.23</v>
      </c>
      <c r="U588" s="11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26" t="n">
        <v>60.49</v>
      </c>
      <c r="W588" s="26" t="n">
        <v>61.57</v>
      </c>
      <c r="X588" s="26">
        <f>ROUND(('Methodology &amp; Assumptions'!$B$5*V588) + ('Methodology &amp; Assumptions'!$B$6*W588), 2)</f>
        <v/>
      </c>
      <c r="Y588" s="28" t="n">
        <v>7.2</v>
      </c>
      <c r="Z588" s="11" t="inlineStr">
        <is>
          <t>Priority Tier 2 (Balanced Opportunity)</t>
        </is>
      </c>
    </row>
    <row r="589">
      <c r="A589" s="23" t="n">
        <v>3</v>
      </c>
      <c r="B589" s="23" t="n">
        <v>585</v>
      </c>
      <c r="C589" s="23" t="n">
        <v>2585</v>
      </c>
      <c r="D589" s="23" t="inlineStr">
        <is>
          <t>0301420037</t>
        </is>
      </c>
      <c r="E589" s="11" t="inlineStr">
        <is>
          <t>Region III (Central Luzon)</t>
        </is>
      </c>
      <c r="F589" s="11" t="inlineStr">
        <is>
          <t>Bulacan</t>
        </is>
      </c>
      <c r="G589" s="11" t="inlineStr">
        <is>
          <t>City of San Jose Del Monte</t>
        </is>
      </c>
      <c r="H589" s="11" t="inlineStr">
        <is>
          <t>Minuyan II</t>
        </is>
      </c>
      <c r="I589" s="24" t="n">
        <v>14.843118</v>
      </c>
      <c r="J589" s="24" t="n">
        <v>121.075554</v>
      </c>
      <c r="K589" s="23" t="inlineStr">
        <is>
          <t>U</t>
        </is>
      </c>
      <c r="L589" s="25" t="n">
        <v>6248</v>
      </c>
      <c r="M589" s="26" t="n">
        <v>3.5</v>
      </c>
      <c r="N589" s="25">
        <f>ROUND(L589/M589, 0)</f>
        <v/>
      </c>
      <c r="O589" s="25">
        <f>ROUND(N589*'Methodology &amp; Assumptions'!$B$7, 0)</f>
        <v/>
      </c>
      <c r="P589" s="23" t="inlineStr">
        <is>
          <t>Single Carrier (Band n50, 100MHz TDD)</t>
        </is>
      </c>
      <c r="Q589" s="27">
        <f>ROUNDUP(O589/'Methodology &amp; Assumptions'!$B$8, 0)</f>
        <v/>
      </c>
      <c r="R589" s="27" t="n">
        <v>1</v>
      </c>
      <c r="S589" s="26" t="n">
        <v>0.78</v>
      </c>
      <c r="T589" s="26" t="n">
        <v>3.82</v>
      </c>
      <c r="U589" s="11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26" t="n">
        <v>75.2</v>
      </c>
      <c r="W589" s="26" t="n">
        <v>46.84</v>
      </c>
      <c r="X589" s="26">
        <f>ROUND(('Methodology &amp; Assumptions'!$B$5*V589) + ('Methodology &amp; Assumptions'!$B$6*W589), 2)</f>
        <v/>
      </c>
      <c r="Y589" s="28" t="n">
        <v>8.300000000000001</v>
      </c>
      <c r="Z589" s="11" t="inlineStr">
        <is>
          <t>Priority Tier 2 (Balanced Opportunity)</t>
        </is>
      </c>
    </row>
    <row r="590">
      <c r="A590" s="23" t="n">
        <v>3</v>
      </c>
      <c r="B590" s="23" t="n">
        <v>586</v>
      </c>
      <c r="C590" s="23" t="n">
        <v>2586</v>
      </c>
      <c r="D590" s="23" t="inlineStr">
        <is>
          <t>0301404017</t>
        </is>
      </c>
      <c r="E590" s="11" t="inlineStr">
        <is>
          <t>Region III (Central Luzon)</t>
        </is>
      </c>
      <c r="F590" s="11" t="inlineStr">
        <is>
          <t>Bulacan</t>
        </is>
      </c>
      <c r="G590" s="11" t="inlineStr">
        <is>
          <t>Bocaue</t>
        </is>
      </c>
      <c r="H590" s="11" t="inlineStr">
        <is>
          <t>Tambobong</t>
        </is>
      </c>
      <c r="I590" s="24" t="n">
        <v>14.815916</v>
      </c>
      <c r="J590" s="24" t="n">
        <v>120.93945</v>
      </c>
      <c r="K590" s="23" t="inlineStr">
        <is>
          <t>U</t>
        </is>
      </c>
      <c r="L590" s="25" t="n">
        <v>7655</v>
      </c>
      <c r="M590" s="26" t="n">
        <v>3.5</v>
      </c>
      <c r="N590" s="25">
        <f>ROUND(L590/M590, 0)</f>
        <v/>
      </c>
      <c r="O590" s="25">
        <f>ROUND(N590*'Methodology &amp; Assumptions'!$B$7, 0)</f>
        <v/>
      </c>
      <c r="P590" s="23" t="inlineStr">
        <is>
          <t>Single Carrier (Band n50, 100MHz TDD)</t>
        </is>
      </c>
      <c r="Q590" s="27">
        <f>ROUNDUP(O590/'Methodology &amp; Assumptions'!$B$8, 0)</f>
        <v/>
      </c>
      <c r="R590" s="27" t="n">
        <v>1</v>
      </c>
      <c r="S590" s="26" t="n">
        <v>2.05</v>
      </c>
      <c r="T590" s="26" t="n">
        <v>1.01</v>
      </c>
      <c r="U590" s="11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26" t="n">
        <v>74.02</v>
      </c>
      <c r="W590" s="26" t="n">
        <v>48.01</v>
      </c>
      <c r="X590" s="26">
        <f>ROUND(('Methodology &amp; Assumptions'!$B$5*V590) + ('Methodology &amp; Assumptions'!$B$6*W590), 2)</f>
        <v/>
      </c>
      <c r="Y590" s="28" t="n">
        <v>8.300000000000001</v>
      </c>
      <c r="Z590" s="11" t="inlineStr">
        <is>
          <t>Priority Tier 2 (Balanced Opportunity)</t>
        </is>
      </c>
    </row>
    <row r="591">
      <c r="A591" s="23" t="n">
        <v>3</v>
      </c>
      <c r="B591" s="23" t="n">
        <v>587</v>
      </c>
      <c r="C591" s="23" t="n">
        <v>2587</v>
      </c>
      <c r="D591" s="23" t="inlineStr">
        <is>
          <t>1380200005</t>
        </is>
      </c>
      <c r="E591" s="11" t="inlineStr">
        <is>
          <t>National Capital Region (NCR)</t>
        </is>
      </c>
      <c r="F591" s="11" t="inlineStr">
        <is>
          <t>Fourth District (Not a Province)</t>
        </is>
      </c>
      <c r="G591" s="11" t="inlineStr">
        <is>
          <t>City of Las Piñas</t>
        </is>
      </c>
      <c r="H591" s="11" t="inlineStr">
        <is>
          <t>Manuyo Uno</t>
        </is>
      </c>
      <c r="I591" s="24" t="n">
        <v>14.483033</v>
      </c>
      <c r="J591" s="24" t="n">
        <v>120.984637</v>
      </c>
      <c r="K591" s="23" t="inlineStr">
        <is>
          <t>U</t>
        </is>
      </c>
      <c r="L591" s="25" t="n">
        <v>13908</v>
      </c>
      <c r="M591" s="26" t="n">
        <v>3.89</v>
      </c>
      <c r="N591" s="25">
        <f>ROUND(L591/M591, 0)</f>
        <v/>
      </c>
      <c r="O591" s="25">
        <f>ROUND(N591*'Methodology &amp; Assumptions'!$B$7, 0)</f>
        <v/>
      </c>
      <c r="P591" s="23" t="inlineStr">
        <is>
          <t>Single Carrier (Band n50, 100MHz TDD)</t>
        </is>
      </c>
      <c r="Q591" s="27">
        <f>ROUNDUP(O591/'Methodology &amp; Assumptions'!$B$8, 0)</f>
        <v/>
      </c>
      <c r="R591" s="27" t="n">
        <v>1</v>
      </c>
      <c r="S591" s="26" t="n">
        <v>1.79</v>
      </c>
      <c r="T591" s="26" t="n">
        <v>0.11</v>
      </c>
      <c r="U591" s="11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26" t="n">
        <v>65.58</v>
      </c>
      <c r="W591" s="26" t="n">
        <v>56.45</v>
      </c>
      <c r="X591" s="26">
        <f>ROUND(('Methodology &amp; Assumptions'!$B$5*V591) + ('Methodology &amp; Assumptions'!$B$6*W591), 2)</f>
        <v/>
      </c>
      <c r="Y591" s="28" t="n">
        <v>10.9</v>
      </c>
      <c r="Z591" s="11" t="inlineStr">
        <is>
          <t>Priority Tier 2 (Balanced Opportunity)</t>
        </is>
      </c>
    </row>
    <row r="592">
      <c r="A592" s="23" t="n">
        <v>3</v>
      </c>
      <c r="B592" s="23" t="n">
        <v>588</v>
      </c>
      <c r="C592" s="23" t="n">
        <v>2588</v>
      </c>
      <c r="D592" s="23" t="inlineStr">
        <is>
          <t>1380606105</t>
        </is>
      </c>
      <c r="E592" s="11" t="inlineStr">
        <is>
          <t>National Capital Region (NCR)</t>
        </is>
      </c>
      <c r="F592" s="11" t="inlineStr">
        <is>
          <t>First District (Not a Province)</t>
        </is>
      </c>
      <c r="G592" s="11" t="inlineStr">
        <is>
          <t>City of Manila</t>
        </is>
      </c>
      <c r="H592" s="11" t="inlineStr">
        <is>
          <t>Barangay 499</t>
        </is>
      </c>
      <c r="I592" s="24" t="n">
        <v>14.619071</v>
      </c>
      <c r="J592" s="24" t="n">
        <v>120.991038</v>
      </c>
      <c r="K592" s="23" t="inlineStr">
        <is>
          <t>U</t>
        </is>
      </c>
      <c r="L592" s="25" t="n">
        <v>1435</v>
      </c>
      <c r="M592" s="26" t="n">
        <v>3.71</v>
      </c>
      <c r="N592" s="25">
        <f>ROUND(L592/M592, 0)</f>
        <v/>
      </c>
      <c r="O592" s="25">
        <f>ROUND(N592*'Methodology &amp; Assumptions'!$B$7, 0)</f>
        <v/>
      </c>
      <c r="P592" s="23" t="inlineStr">
        <is>
          <t>Single Carrier (Band n50, 100MHz TDD)</t>
        </is>
      </c>
      <c r="Q592" s="27">
        <f>ROUNDUP(O592/'Methodology &amp; Assumptions'!$B$8, 0)</f>
        <v/>
      </c>
      <c r="R592" s="27" t="n">
        <v>1</v>
      </c>
      <c r="S592" s="26" t="n">
        <v>0.92</v>
      </c>
      <c r="T592" s="26" t="n">
        <v>0.78</v>
      </c>
      <c r="U592" s="11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26" t="n">
        <v>53.2</v>
      </c>
      <c r="W592" s="26" t="n">
        <v>68.84999999999999</v>
      </c>
      <c r="X592" s="26">
        <f>ROUND(('Methodology &amp; Assumptions'!$B$5*V592) + ('Methodology &amp; Assumptions'!$B$6*W592), 2)</f>
        <v/>
      </c>
      <c r="Y592" s="28" t="n">
        <v>10.9</v>
      </c>
      <c r="Z592" s="11" t="inlineStr">
        <is>
          <t>Priority Tier 2 (Balanced Opportunity)</t>
        </is>
      </c>
    </row>
    <row r="593">
      <c r="A593" s="23" t="n">
        <v>3</v>
      </c>
      <c r="B593" s="23" t="n">
        <v>589</v>
      </c>
      <c r="C593" s="23" t="n">
        <v>2589</v>
      </c>
      <c r="D593" s="23" t="inlineStr">
        <is>
          <t>1380606005</t>
        </is>
      </c>
      <c r="E593" s="11" t="inlineStr">
        <is>
          <t>National Capital Region (NCR)</t>
        </is>
      </c>
      <c r="F593" s="11" t="inlineStr">
        <is>
          <t>First District (Not a Province)</t>
        </is>
      </c>
      <c r="G593" s="11" t="inlineStr">
        <is>
          <t>City of Manila</t>
        </is>
      </c>
      <c r="H593" s="11" t="inlineStr">
        <is>
          <t>Barangay 399</t>
        </is>
      </c>
      <c r="I593" s="24" t="n">
        <v>14.604619</v>
      </c>
      <c r="J593" s="24" t="n">
        <v>120.990321</v>
      </c>
      <c r="K593" s="23" t="inlineStr">
        <is>
          <t>U</t>
        </is>
      </c>
      <c r="L593" s="25" t="n">
        <v>1647</v>
      </c>
      <c r="M593" s="26" t="n">
        <v>4.4</v>
      </c>
      <c r="N593" s="25">
        <f>ROUND(L593/M593, 0)</f>
        <v/>
      </c>
      <c r="O593" s="25">
        <f>ROUND(N593*'Methodology &amp; Assumptions'!$B$7, 0)</f>
        <v/>
      </c>
      <c r="P593" s="23" t="inlineStr">
        <is>
          <t>Single Carrier (Band n50, 100MHz TDD)</t>
        </is>
      </c>
      <c r="Q593" s="27">
        <f>ROUNDUP(O593/'Methodology &amp; Assumptions'!$B$8, 0)</f>
        <v/>
      </c>
      <c r="R593" s="27" t="n">
        <v>1</v>
      </c>
      <c r="S593" s="26" t="n">
        <v>0.19</v>
      </c>
      <c r="T593" s="26" t="n">
        <v>0.19</v>
      </c>
      <c r="U593" s="11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26" t="n">
        <v>53.09</v>
      </c>
      <c r="W593" s="26" t="n">
        <v>68.95</v>
      </c>
      <c r="X593" s="26">
        <f>ROUND(('Methodology &amp; Assumptions'!$B$5*V593) + ('Methodology &amp; Assumptions'!$B$6*W593), 2)</f>
        <v/>
      </c>
      <c r="Y593" s="28" t="n">
        <v>10.9</v>
      </c>
      <c r="Z593" s="11" t="inlineStr">
        <is>
          <t>Priority Tier 2 (Balanced Opportunity)</t>
        </is>
      </c>
    </row>
    <row r="594">
      <c r="A594" s="23" t="n">
        <v>3</v>
      </c>
      <c r="B594" s="23" t="n">
        <v>590</v>
      </c>
      <c r="C594" s="23" t="n">
        <v>2590</v>
      </c>
      <c r="D594" s="23" t="inlineStr">
        <is>
          <t>1380611012</t>
        </is>
      </c>
      <c r="E594" s="11" t="inlineStr">
        <is>
          <t>National Capital Region (NCR)</t>
        </is>
      </c>
      <c r="F594" s="11" t="inlineStr">
        <is>
          <t>First District (Not a Province)</t>
        </is>
      </c>
      <c r="G594" s="11" t="inlineStr">
        <is>
          <t>City of Manila</t>
        </is>
      </c>
      <c r="H594" s="11" t="inlineStr">
        <is>
          <t>Barangay 678</t>
        </is>
      </c>
      <c r="I594" s="24" t="n">
        <v>14.582815</v>
      </c>
      <c r="J594" s="24" t="n">
        <v>120.995731</v>
      </c>
      <c r="K594" s="23" t="inlineStr">
        <is>
          <t>U</t>
        </is>
      </c>
      <c r="L594" s="25" t="n">
        <v>1335</v>
      </c>
      <c r="M594" s="26" t="n">
        <v>3.69</v>
      </c>
      <c r="N594" s="25">
        <f>ROUND(L594/M594, 0)</f>
        <v/>
      </c>
      <c r="O594" s="25">
        <f>ROUND(N594*'Methodology &amp; Assumptions'!$B$7, 0)</f>
        <v/>
      </c>
      <c r="P594" s="23" t="inlineStr">
        <is>
          <t>Single Carrier (Band n50, 100MHz TDD)</t>
        </is>
      </c>
      <c r="Q594" s="27">
        <f>ROUNDUP(O594/'Methodology &amp; Assumptions'!$B$8, 0)</f>
        <v/>
      </c>
      <c r="R594" s="27" t="n">
        <v>1</v>
      </c>
      <c r="S594" s="26" t="n">
        <v>0.78</v>
      </c>
      <c r="T594" s="26" t="n">
        <v>0.18</v>
      </c>
      <c r="U594" s="11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26" t="n">
        <v>52.77</v>
      </c>
      <c r="W594" s="26" t="n">
        <v>69.27</v>
      </c>
      <c r="X594" s="26">
        <f>ROUND(('Methodology &amp; Assumptions'!$B$5*V594) + ('Methodology &amp; Assumptions'!$B$6*W594), 2)</f>
        <v/>
      </c>
      <c r="Y594" s="28" t="n">
        <v>10.9</v>
      </c>
      <c r="Z594" s="11" t="inlineStr">
        <is>
          <t>Priority Tier 2 (Balanced Opportunity)</t>
        </is>
      </c>
    </row>
    <row r="595">
      <c r="A595" s="23" t="n">
        <v>3</v>
      </c>
      <c r="B595" s="23" t="n">
        <v>591</v>
      </c>
      <c r="C595" s="23" t="n">
        <v>2591</v>
      </c>
      <c r="D595" s="23" t="inlineStr">
        <is>
          <t>0203102053</t>
        </is>
      </c>
      <c r="E595" s="11" t="inlineStr">
        <is>
          <t>Region II (Cagayan Valley)</t>
        </is>
      </c>
      <c r="F595" s="11" t="inlineStr">
        <is>
          <t>Isabela</t>
        </is>
      </c>
      <c r="G595" s="11" t="inlineStr">
        <is>
          <t>Angadanan</t>
        </is>
      </c>
      <c r="H595" s="11" t="inlineStr">
        <is>
          <t>San Vicente</t>
        </is>
      </c>
      <c r="I595" s="24" t="n">
        <v>16.784656</v>
      </c>
      <c r="J595" s="24" t="n">
        <v>121.793447</v>
      </c>
      <c r="K595" s="23" t="inlineStr">
        <is>
          <t>R</t>
        </is>
      </c>
      <c r="L595" s="25" t="n">
        <v>514</v>
      </c>
      <c r="M595" s="26" t="n">
        <v>3.8</v>
      </c>
      <c r="N595" s="25">
        <f>ROUND(L595/M595, 0)</f>
        <v/>
      </c>
      <c r="O595" s="25">
        <f>ROUND(N595*'Methodology &amp; Assumptions'!$B$7, 0)</f>
        <v/>
      </c>
      <c r="P595" s="23" t="inlineStr">
        <is>
          <t>Single Carrier (Band n50, 100MHz TDD)</t>
        </is>
      </c>
      <c r="Q595" s="27">
        <f>ROUNDUP(O595/'Methodology &amp; Assumptions'!$B$8, 0)</f>
        <v/>
      </c>
      <c r="R595" s="27" t="n">
        <v>1</v>
      </c>
      <c r="S595" s="26" t="n">
        <v>3.6</v>
      </c>
      <c r="T595" s="26" t="n">
        <v>7.8</v>
      </c>
      <c r="U595" s="11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26" t="n">
        <v>51.08</v>
      </c>
      <c r="W595" s="26" t="n">
        <v>70.97</v>
      </c>
      <c r="X595" s="26">
        <f>ROUND(('Methodology &amp; Assumptions'!$B$5*V595) + ('Methodology &amp; Assumptions'!$B$6*W595), 2)</f>
        <v/>
      </c>
      <c r="Y595" s="28" t="n">
        <v>8.300000000000001</v>
      </c>
      <c r="Z595" s="11" t="inlineStr">
        <is>
          <t>Priority Tier 2 (Balanced Opportunity)</t>
        </is>
      </c>
    </row>
    <row r="596">
      <c r="A596" s="23" t="n">
        <v>3</v>
      </c>
      <c r="B596" s="23" t="n">
        <v>592</v>
      </c>
      <c r="C596" s="23" t="n">
        <v>2592</v>
      </c>
      <c r="D596" s="23" t="inlineStr">
        <is>
          <t>0600414010</t>
        </is>
      </c>
      <c r="E596" s="11" t="inlineStr">
        <is>
          <t>Region VI (Western Visayas)</t>
        </is>
      </c>
      <c r="F596" s="11" t="inlineStr">
        <is>
          <t>Aklan</t>
        </is>
      </c>
      <c r="G596" s="11" t="inlineStr">
        <is>
          <t>Nabas</t>
        </is>
      </c>
      <c r="H596" s="11" t="inlineStr">
        <is>
          <t>Matabana</t>
        </is>
      </c>
      <c r="I596" s="24" t="n">
        <v>11.803181</v>
      </c>
      <c r="J596" s="24" t="n">
        <v>122.075222</v>
      </c>
      <c r="K596" s="23" t="inlineStr">
        <is>
          <t>R</t>
        </is>
      </c>
      <c r="L596" s="25" t="n">
        <v>1010</v>
      </c>
      <c r="M596" s="26" t="n">
        <v>3.9</v>
      </c>
      <c r="N596" s="25">
        <f>ROUND(L596/M596, 0)</f>
        <v/>
      </c>
      <c r="O596" s="25">
        <f>ROUND(N596*'Methodology &amp; Assumptions'!$B$7, 0)</f>
        <v/>
      </c>
      <c r="P596" s="23" t="inlineStr">
        <is>
          <t>Single Carrier (Band n50, 100MHz TDD)</t>
        </is>
      </c>
      <c r="Q596" s="27">
        <f>ROUNDUP(O596/'Methodology &amp; Assumptions'!$B$8, 0)</f>
        <v/>
      </c>
      <c r="R596" s="27" t="n">
        <v>1</v>
      </c>
      <c r="S596" s="26" t="n">
        <v>21.42</v>
      </c>
      <c r="T596" s="26" t="n">
        <v>2.51</v>
      </c>
      <c r="U596" s="11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26" t="n">
        <v>44.12</v>
      </c>
      <c r="W596" s="26" t="n">
        <v>77.93000000000001</v>
      </c>
      <c r="X596" s="26">
        <f>ROUND(('Methodology &amp; Assumptions'!$B$5*V596) + ('Methodology &amp; Assumptions'!$B$6*W596), 2)</f>
        <v/>
      </c>
      <c r="Y596" s="28" t="n">
        <v>23.7</v>
      </c>
      <c r="Z596" s="11" t="inlineStr">
        <is>
          <t>Priority Tier 2 (Balanced Opportunity)</t>
        </is>
      </c>
    </row>
    <row r="597">
      <c r="A597" s="23" t="n">
        <v>3</v>
      </c>
      <c r="B597" s="23" t="n">
        <v>593</v>
      </c>
      <c r="C597" s="23" t="n">
        <v>2593</v>
      </c>
      <c r="D597" s="23" t="inlineStr">
        <is>
          <t>0105526022</t>
        </is>
      </c>
      <c r="E597" s="11" t="inlineStr">
        <is>
          <t>Region I (Ilocos Region)</t>
        </is>
      </c>
      <c r="F597" s="11" t="inlineStr">
        <is>
          <t>Pangasinan</t>
        </is>
      </c>
      <c r="G597" s="11" t="inlineStr">
        <is>
          <t>Mangaldan</t>
        </is>
      </c>
      <c r="H597" s="11" t="inlineStr">
        <is>
          <t>Nibaliw</t>
        </is>
      </c>
      <c r="I597" s="24" t="n">
        <v>16.077117</v>
      </c>
      <c r="J597" s="24" t="n">
        <v>120.409849</v>
      </c>
      <c r="K597" s="23" t="inlineStr">
        <is>
          <t>R</t>
        </is>
      </c>
      <c r="L597" s="25" t="n">
        <v>3363</v>
      </c>
      <c r="M597" s="26" t="n">
        <v>3.6</v>
      </c>
      <c r="N597" s="25">
        <f>ROUND(L597/M597, 0)</f>
        <v/>
      </c>
      <c r="O597" s="25">
        <f>ROUND(N597*'Methodology &amp; Assumptions'!$B$7, 0)</f>
        <v/>
      </c>
      <c r="P597" s="23" t="inlineStr">
        <is>
          <t>Single Carrier (Band n50, 100MHz TDD)</t>
        </is>
      </c>
      <c r="Q597" s="27">
        <f>ROUNDUP(O597/'Methodology &amp; Assumptions'!$B$8, 0)</f>
        <v/>
      </c>
      <c r="R597" s="27" t="n">
        <v>1</v>
      </c>
      <c r="S597" s="26" t="n">
        <v>1.31</v>
      </c>
      <c r="T597" s="26" t="n">
        <v>0.95</v>
      </c>
      <c r="U597" s="11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26" t="n">
        <v>83.83</v>
      </c>
      <c r="W597" s="26" t="n">
        <v>38.19</v>
      </c>
      <c r="X597" s="26">
        <f>ROUND(('Methodology &amp; Assumptions'!$B$5*V597) + ('Methodology &amp; Assumptions'!$B$6*W597), 2)</f>
        <v/>
      </c>
      <c r="Y597" s="28" t="n">
        <v>8.300000000000001</v>
      </c>
      <c r="Z597" s="11" t="inlineStr">
        <is>
          <t>Priority Tier 2 (Balanced Opportunity)</t>
        </is>
      </c>
    </row>
    <row r="598">
      <c r="A598" s="23" t="n">
        <v>3</v>
      </c>
      <c r="B598" s="23" t="n">
        <v>594</v>
      </c>
      <c r="C598" s="23" t="n">
        <v>2594</v>
      </c>
      <c r="D598" s="23" t="inlineStr">
        <is>
          <t>0702218011</t>
        </is>
      </c>
      <c r="E598" s="11" t="inlineStr">
        <is>
          <t>Region VII (Central Visayas)</t>
        </is>
      </c>
      <c r="F598" s="11" t="inlineStr">
        <is>
          <t>Cebu</t>
        </is>
      </c>
      <c r="G598" s="11" t="inlineStr">
        <is>
          <t>Compostela</t>
        </is>
      </c>
      <c r="H598" s="11" t="inlineStr">
        <is>
          <t>Magay</t>
        </is>
      </c>
      <c r="I598" s="24" t="n">
        <v>10.4704</v>
      </c>
      <c r="J598" s="24" t="n">
        <v>124.01634</v>
      </c>
      <c r="K598" s="23" t="inlineStr">
        <is>
          <t>R</t>
        </is>
      </c>
      <c r="L598" s="25" t="n">
        <v>3878</v>
      </c>
      <c r="M598" s="26" t="n">
        <v>3.8</v>
      </c>
      <c r="N598" s="25">
        <f>ROUND(L598/M598, 0)</f>
        <v/>
      </c>
      <c r="O598" s="25">
        <f>ROUND(N598*'Methodology &amp; Assumptions'!$B$7, 0)</f>
        <v/>
      </c>
      <c r="P598" s="23" t="inlineStr">
        <is>
          <t>Single Carrier (Band n50, 100MHz TDD)</t>
        </is>
      </c>
      <c r="Q598" s="27">
        <f>ROUNDUP(O598/'Methodology &amp; Assumptions'!$B$8, 0)</f>
        <v/>
      </c>
      <c r="R598" s="27" t="n">
        <v>1</v>
      </c>
      <c r="S598" s="26" t="n">
        <v>2.08</v>
      </c>
      <c r="T598" s="26" t="n">
        <v>0.24</v>
      </c>
      <c r="U598" s="11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26" t="n">
        <v>83.56</v>
      </c>
      <c r="W598" s="26" t="n">
        <v>38.45</v>
      </c>
      <c r="X598" s="26">
        <f>ROUND(('Methodology &amp; Assumptions'!$B$5*V598) + ('Methodology &amp; Assumptions'!$B$6*W598), 2)</f>
        <v/>
      </c>
      <c r="Y598" s="28" t="n">
        <v>23.7</v>
      </c>
      <c r="Z598" s="11" t="inlineStr">
        <is>
          <t>Priority Tier 2 (Balanced Opportunity)</t>
        </is>
      </c>
    </row>
    <row r="599">
      <c r="A599" s="23" t="n">
        <v>3</v>
      </c>
      <c r="B599" s="23" t="n">
        <v>595</v>
      </c>
      <c r="C599" s="23" t="n">
        <v>2595</v>
      </c>
      <c r="D599" s="23" t="inlineStr">
        <is>
          <t>0405607067</t>
        </is>
      </c>
      <c r="E599" s="11" t="inlineStr">
        <is>
          <t>Region IV-A (CALABARZON)</t>
        </is>
      </c>
      <c r="F599" s="11" t="inlineStr">
        <is>
          <t>Quezon</t>
        </is>
      </c>
      <c r="G599" s="11" t="inlineStr">
        <is>
          <t>Calauag</t>
        </is>
      </c>
      <c r="H599" s="11" t="inlineStr">
        <is>
          <t>Sabang II</t>
        </is>
      </c>
      <c r="I599" s="24" t="n">
        <v>13.958747</v>
      </c>
      <c r="J599" s="24" t="n">
        <v>122.263162</v>
      </c>
      <c r="K599" s="23" t="inlineStr">
        <is>
          <t>R</t>
        </is>
      </c>
      <c r="L599" s="25" t="n">
        <v>3981</v>
      </c>
      <c r="M599" s="26" t="n">
        <v>3.8</v>
      </c>
      <c r="N599" s="25">
        <f>ROUND(L599/M599, 0)</f>
        <v/>
      </c>
      <c r="O599" s="25">
        <f>ROUND(N599*'Methodology &amp; Assumptions'!$B$7, 0)</f>
        <v/>
      </c>
      <c r="P599" s="23" t="inlineStr">
        <is>
          <t>Single Carrier (Band n50, 100MHz TDD)</t>
        </is>
      </c>
      <c r="Q599" s="27">
        <f>ROUNDUP(O599/'Methodology &amp; Assumptions'!$B$8, 0)</f>
        <v/>
      </c>
      <c r="R599" s="27" t="n">
        <v>1</v>
      </c>
      <c r="S599" s="26" t="n">
        <v>2.58</v>
      </c>
      <c r="T599" s="26" t="n">
        <v>2.37</v>
      </c>
      <c r="U599" s="11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26" t="n">
        <v>75.8</v>
      </c>
      <c r="W599" s="26" t="n">
        <v>46.22</v>
      </c>
      <c r="X599" s="26">
        <f>ROUND(('Methodology &amp; Assumptions'!$B$5*V599) + ('Methodology &amp; Assumptions'!$B$6*W599), 2)</f>
        <v/>
      </c>
      <c r="Y599" s="28" t="n">
        <v>7.2</v>
      </c>
      <c r="Z599" s="11" t="inlineStr">
        <is>
          <t>Priority Tier 2 (Balanced Opportunity)</t>
        </is>
      </c>
    </row>
    <row r="600">
      <c r="A600" s="23" t="n">
        <v>3</v>
      </c>
      <c r="B600" s="23" t="n">
        <v>596</v>
      </c>
      <c r="C600" s="23" t="n">
        <v>2596</v>
      </c>
      <c r="D600" s="23" t="inlineStr">
        <is>
          <t>1380606160</t>
        </is>
      </c>
      <c r="E600" s="11" t="inlineStr">
        <is>
          <t>National Capital Region (NCR)</t>
        </is>
      </c>
      <c r="F600" s="11" t="inlineStr">
        <is>
          <t>First District (Not a Province)</t>
        </is>
      </c>
      <c r="G600" s="11" t="inlineStr">
        <is>
          <t>City of Manila</t>
        </is>
      </c>
      <c r="H600" s="11" t="inlineStr">
        <is>
          <t>Barangay 554</t>
        </is>
      </c>
      <c r="I600" s="24" t="n">
        <v>14.611458</v>
      </c>
      <c r="J600" s="24" t="n">
        <v>121.001038</v>
      </c>
      <c r="K600" s="23" t="inlineStr">
        <is>
          <t>U</t>
        </is>
      </c>
      <c r="L600" s="25" t="n">
        <v>1581</v>
      </c>
      <c r="M600" s="26" t="n">
        <v>4.13</v>
      </c>
      <c r="N600" s="25">
        <f>ROUND(L600/M600, 0)</f>
        <v/>
      </c>
      <c r="O600" s="25">
        <f>ROUND(N600*'Methodology &amp; Assumptions'!$B$7, 0)</f>
        <v/>
      </c>
      <c r="P600" s="23" t="inlineStr">
        <is>
          <t>Single Carrier (Band n50, 100MHz TDD)</t>
        </is>
      </c>
      <c r="Q600" s="27">
        <f>ROUNDUP(O600/'Methodology &amp; Assumptions'!$B$8, 0)</f>
        <v/>
      </c>
      <c r="R600" s="27" t="n">
        <v>1</v>
      </c>
      <c r="S600" s="26" t="n">
        <v>0.3</v>
      </c>
      <c r="T600" s="26" t="n">
        <v>0.07000000000000001</v>
      </c>
      <c r="U600" s="11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26" t="n">
        <v>53.41</v>
      </c>
      <c r="W600" s="26" t="n">
        <v>68.61</v>
      </c>
      <c r="X600" s="26">
        <f>ROUND(('Methodology &amp; Assumptions'!$B$5*V600) + ('Methodology &amp; Assumptions'!$B$6*W600), 2)</f>
        <v/>
      </c>
      <c r="Y600" s="28" t="n">
        <v>10.9</v>
      </c>
      <c r="Z600" s="11" t="inlineStr">
        <is>
          <t>Priority Tier 2 (Balanced Opportunity)</t>
        </is>
      </c>
    </row>
    <row r="601">
      <c r="A601" s="23" t="n">
        <v>3</v>
      </c>
      <c r="B601" s="23" t="n">
        <v>597</v>
      </c>
      <c r="C601" s="23" t="n">
        <v>2597</v>
      </c>
      <c r="D601" s="23" t="inlineStr">
        <is>
          <t>1380605084</t>
        </is>
      </c>
      <c r="E601" s="11" t="inlineStr">
        <is>
          <t>National Capital Region (NCR)</t>
        </is>
      </c>
      <c r="F601" s="11" t="inlineStr">
        <is>
          <t>First District (Not a Province)</t>
        </is>
      </c>
      <c r="G601" s="11" t="inlineStr">
        <is>
          <t>City of Manila</t>
        </is>
      </c>
      <c r="H601" s="11" t="inlineStr">
        <is>
          <t>Barangay 381</t>
        </is>
      </c>
      <c r="I601" s="24" t="n">
        <v>14.626007</v>
      </c>
      <c r="J601" s="24" t="n">
        <v>120.984023</v>
      </c>
      <c r="K601" s="23" t="inlineStr">
        <is>
          <t>U</t>
        </is>
      </c>
      <c r="L601" s="25" t="n">
        <v>1473</v>
      </c>
      <c r="M601" s="26" t="n">
        <v>4.06</v>
      </c>
      <c r="N601" s="25">
        <f>ROUND(L601/M601, 0)</f>
        <v/>
      </c>
      <c r="O601" s="25">
        <f>ROUND(N601*'Methodology &amp; Assumptions'!$B$7, 0)</f>
        <v/>
      </c>
      <c r="P601" s="23" t="inlineStr">
        <is>
          <t>Single Carrier (Band n50, 100MHz TDD)</t>
        </is>
      </c>
      <c r="Q601" s="27">
        <f>ROUNDUP(O601/'Methodology &amp; Assumptions'!$B$8, 0)</f>
        <v/>
      </c>
      <c r="R601" s="27" t="n">
        <v>1</v>
      </c>
      <c r="S601" s="26" t="n">
        <v>1.06</v>
      </c>
      <c r="T601" s="26" t="n">
        <v>0.17</v>
      </c>
      <c r="U601" s="11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26" t="n">
        <v>51.91</v>
      </c>
      <c r="W601" s="26" t="n">
        <v>70.12</v>
      </c>
      <c r="X601" s="26">
        <f>ROUND(('Methodology &amp; Assumptions'!$B$5*V601) + ('Methodology &amp; Assumptions'!$B$6*W601), 2)</f>
        <v/>
      </c>
      <c r="Y601" s="28" t="n">
        <v>10.9</v>
      </c>
      <c r="Z601" s="11" t="inlineStr">
        <is>
          <t>Priority Tier 2 (Balanced Opportunity)</t>
        </is>
      </c>
    </row>
    <row r="602">
      <c r="A602" s="23" t="n">
        <v>3</v>
      </c>
      <c r="B602" s="23" t="n">
        <v>598</v>
      </c>
      <c r="C602" s="23" t="n">
        <v>2598</v>
      </c>
      <c r="D602" s="23" t="inlineStr">
        <is>
          <t>0600410014</t>
        </is>
      </c>
      <c r="E602" s="11" t="inlineStr">
        <is>
          <t>Region VI (Western Visayas)</t>
        </is>
      </c>
      <c r="F602" s="11" t="inlineStr">
        <is>
          <t>Aklan</t>
        </is>
      </c>
      <c r="G602" s="11" t="inlineStr">
        <is>
          <t>Madalag</t>
        </is>
      </c>
      <c r="H602" s="11" t="inlineStr">
        <is>
          <t>Medina</t>
        </is>
      </c>
      <c r="I602" s="24" t="n">
        <v>11.462278</v>
      </c>
      <c r="J602" s="24" t="n">
        <v>122.198853</v>
      </c>
      <c r="K602" s="23" t="inlineStr">
        <is>
          <t>R</t>
        </is>
      </c>
      <c r="L602" s="25" t="n">
        <v>934</v>
      </c>
      <c r="M602" s="26" t="n">
        <v>3.9</v>
      </c>
      <c r="N602" s="25">
        <f>ROUND(L602/M602, 0)</f>
        <v/>
      </c>
      <c r="O602" s="25">
        <f>ROUND(N602*'Methodology &amp; Assumptions'!$B$7, 0)</f>
        <v/>
      </c>
      <c r="P602" s="23" t="inlineStr">
        <is>
          <t>Single Carrier (Band n50, 100MHz TDD)</t>
        </is>
      </c>
      <c r="Q602" s="27">
        <f>ROUNDUP(O602/'Methodology &amp; Assumptions'!$B$8, 0)</f>
        <v/>
      </c>
      <c r="R602" s="27" t="n">
        <v>1</v>
      </c>
      <c r="S602" s="26" t="n">
        <v>20.8</v>
      </c>
      <c r="T602" s="26" t="n">
        <v>21.32</v>
      </c>
      <c r="U602" s="11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26" t="n">
        <v>43.51</v>
      </c>
      <c r="W602" s="26" t="n">
        <v>78.51000000000001</v>
      </c>
      <c r="X602" s="26">
        <f>ROUND(('Methodology &amp; Assumptions'!$B$5*V602) + ('Methodology &amp; Assumptions'!$B$6*W602), 2)</f>
        <v/>
      </c>
      <c r="Y602" s="28" t="n">
        <v>23.7</v>
      </c>
      <c r="Z602" s="11" t="inlineStr">
        <is>
          <t>Priority Tier 2 (Balanced Opportunity)</t>
        </is>
      </c>
    </row>
    <row r="603">
      <c r="A603" s="23" t="n">
        <v>3</v>
      </c>
      <c r="B603" s="23" t="n">
        <v>599</v>
      </c>
      <c r="C603" s="23" t="n">
        <v>2599</v>
      </c>
      <c r="D603" s="23" t="inlineStr">
        <is>
          <t>0301412002</t>
        </is>
      </c>
      <c r="E603" s="11" t="inlineStr">
        <is>
          <t>Region III (Central Luzon)</t>
        </is>
      </c>
      <c r="F603" s="11" t="inlineStr">
        <is>
          <t>Bulacan</t>
        </is>
      </c>
      <c r="G603" s="11" t="inlineStr">
        <is>
          <t>City of Meycauayan</t>
        </is>
      </c>
      <c r="H603" s="11" t="inlineStr">
        <is>
          <t>Bahay Pare</t>
        </is>
      </c>
      <c r="I603" s="24" t="n">
        <v>14.767797</v>
      </c>
      <c r="J603" s="24" t="n">
        <v>121.012704</v>
      </c>
      <c r="K603" s="23" t="inlineStr">
        <is>
          <t>U</t>
        </is>
      </c>
      <c r="L603" s="25" t="n">
        <v>13831</v>
      </c>
      <c r="M603" s="26" t="n">
        <v>3.5</v>
      </c>
      <c r="N603" s="25">
        <f>ROUND(L603/M603, 0)</f>
        <v/>
      </c>
      <c r="O603" s="25">
        <f>ROUND(N603*'Methodology &amp; Assumptions'!$B$7, 0)</f>
        <v/>
      </c>
      <c r="P603" s="23" t="inlineStr">
        <is>
          <t>Single Carrier (Band n50, 100MHz TDD)</t>
        </is>
      </c>
      <c r="Q603" s="27">
        <f>ROUNDUP(O603/'Methodology &amp; Assumptions'!$B$8, 0)</f>
        <v/>
      </c>
      <c r="R603" s="27" t="n">
        <v>1</v>
      </c>
      <c r="S603" s="26" t="n">
        <v>1.89</v>
      </c>
      <c r="T603" s="26" t="n">
        <v>1.72</v>
      </c>
      <c r="U603" s="11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26" t="n">
        <v>74.56</v>
      </c>
      <c r="W603" s="26" t="n">
        <v>47.43</v>
      </c>
      <c r="X603" s="26">
        <f>ROUND(('Methodology &amp; Assumptions'!$B$5*V603) + ('Methodology &amp; Assumptions'!$B$6*W603), 2)</f>
        <v/>
      </c>
      <c r="Y603" s="28" t="n">
        <v>8.300000000000001</v>
      </c>
      <c r="Z603" s="11" t="inlineStr">
        <is>
          <t>Priority Tier 2 (Balanced Opportunity)</t>
        </is>
      </c>
    </row>
    <row r="604">
      <c r="A604" s="23" t="n">
        <v>3</v>
      </c>
      <c r="B604" s="23" t="n">
        <v>600</v>
      </c>
      <c r="C604" s="23" t="n">
        <v>2600</v>
      </c>
      <c r="D604" s="23" t="inlineStr">
        <is>
          <t>1380602004</t>
        </is>
      </c>
      <c r="E604" s="11" t="inlineStr">
        <is>
          <t>National Capital Region (NCR)</t>
        </is>
      </c>
      <c r="F604" s="11" t="inlineStr">
        <is>
          <t>First District (Not a Province)</t>
        </is>
      </c>
      <c r="G604" s="11" t="inlineStr">
        <is>
          <t>City of Manila</t>
        </is>
      </c>
      <c r="H604" s="11" t="inlineStr">
        <is>
          <t>Barangay 290</t>
        </is>
      </c>
      <c r="I604" s="24" t="n">
        <v>14.599319</v>
      </c>
      <c r="J604" s="24" t="n">
        <v>120.977933</v>
      </c>
      <c r="K604" s="23" t="inlineStr">
        <is>
          <t>U</t>
        </is>
      </c>
      <c r="L604" s="25" t="n">
        <v>1713</v>
      </c>
      <c r="M604" s="26" t="n">
        <v>4.07</v>
      </c>
      <c r="N604" s="25">
        <f>ROUND(L604/M604, 0)</f>
        <v/>
      </c>
      <c r="O604" s="25">
        <f>ROUND(N604*'Methodology &amp; Assumptions'!$B$7, 0)</f>
        <v/>
      </c>
      <c r="P604" s="23" t="inlineStr">
        <is>
          <t>Single Carrier (Band n50, 100MHz TDD)</t>
        </is>
      </c>
      <c r="Q604" s="27">
        <f>ROUNDUP(O604/'Methodology &amp; Assumptions'!$B$8, 0)</f>
        <v/>
      </c>
      <c r="R604" s="27" t="n">
        <v>1</v>
      </c>
      <c r="S604" s="26" t="n">
        <v>1.19</v>
      </c>
      <c r="T604" s="26" t="n">
        <v>0.28</v>
      </c>
      <c r="U604" s="11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26" t="n">
        <v>53.25</v>
      </c>
      <c r="W604" s="26" t="n">
        <v>68.75</v>
      </c>
      <c r="X604" s="26">
        <f>ROUND(('Methodology &amp; Assumptions'!$B$5*V604) + ('Methodology &amp; Assumptions'!$B$6*W604), 2)</f>
        <v/>
      </c>
      <c r="Y604" s="28" t="n">
        <v>10.9</v>
      </c>
      <c r="Z604" s="11" t="inlineStr">
        <is>
          <t>Priority Tier 2 (Balanced Opportunity)</t>
        </is>
      </c>
    </row>
    <row r="605">
      <c r="A605" s="23" t="n">
        <v>3</v>
      </c>
      <c r="B605" s="23" t="n">
        <v>601</v>
      </c>
      <c r="C605" s="23" t="n">
        <v>2601</v>
      </c>
      <c r="D605" s="23" t="inlineStr">
        <is>
          <t>1380606238</t>
        </is>
      </c>
      <c r="E605" s="11" t="inlineStr">
        <is>
          <t>National Capital Region (NCR)</t>
        </is>
      </c>
      <c r="F605" s="11" t="inlineStr">
        <is>
          <t>First District (Not a Province)</t>
        </is>
      </c>
      <c r="G605" s="11" t="inlineStr">
        <is>
          <t>City of Manila</t>
        </is>
      </c>
      <c r="H605" s="11" t="inlineStr">
        <is>
          <t>Barangay 631</t>
        </is>
      </c>
      <c r="I605" s="24" t="n">
        <v>14.600831</v>
      </c>
      <c r="J605" s="24" t="n">
        <v>121.003846</v>
      </c>
      <c r="K605" s="23" t="inlineStr">
        <is>
          <t>U</t>
        </is>
      </c>
      <c r="L605" s="25" t="n">
        <v>1045</v>
      </c>
      <c r="M605" s="26" t="n">
        <v>3.35</v>
      </c>
      <c r="N605" s="25">
        <f>ROUND(L605/M605, 0)</f>
        <v/>
      </c>
      <c r="O605" s="25">
        <f>ROUND(N605*'Methodology &amp; Assumptions'!$B$7, 0)</f>
        <v/>
      </c>
      <c r="P605" s="23" t="inlineStr">
        <is>
          <t>Single Carrier (Band n50, 100MHz TDD)</t>
        </is>
      </c>
      <c r="Q605" s="27">
        <f>ROUNDUP(O605/'Methodology &amp; Assumptions'!$B$8, 0)</f>
        <v/>
      </c>
      <c r="R605" s="27" t="n">
        <v>1</v>
      </c>
      <c r="S605" s="26" t="n">
        <v>0.15</v>
      </c>
      <c r="T605" s="26" t="n">
        <v>0.13</v>
      </c>
      <c r="U605" s="11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26" t="n">
        <v>51.16</v>
      </c>
      <c r="W605" s="26" t="n">
        <v>70.83</v>
      </c>
      <c r="X605" s="26">
        <f>ROUND(('Methodology &amp; Assumptions'!$B$5*V605) + ('Methodology &amp; Assumptions'!$B$6*W605), 2)</f>
        <v/>
      </c>
      <c r="Y605" s="28" t="n">
        <v>10.9</v>
      </c>
      <c r="Z605" s="11" t="inlineStr">
        <is>
          <t>Priority Tier 2 (Balanced Opportunity)</t>
        </is>
      </c>
    </row>
    <row r="606">
      <c r="A606" s="23" t="n">
        <v>3</v>
      </c>
      <c r="B606" s="23" t="n">
        <v>602</v>
      </c>
      <c r="C606" s="23" t="n">
        <v>2602</v>
      </c>
      <c r="D606" s="23" t="inlineStr">
        <is>
          <t>1381100138</t>
        </is>
      </c>
      <c r="E606" s="11" t="inlineStr">
        <is>
          <t>National Capital Region (NCR)</t>
        </is>
      </c>
      <c r="F606" s="11" t="inlineStr">
        <is>
          <t>Fourth District (Not a Province)</t>
        </is>
      </c>
      <c r="G606" s="11" t="inlineStr">
        <is>
          <t>Pasay City</t>
        </is>
      </c>
      <c r="H606" s="11" t="inlineStr">
        <is>
          <t>Barangay 138</t>
        </is>
      </c>
      <c r="I606" s="24" t="n">
        <v>14.541305</v>
      </c>
      <c r="J606" s="24" t="n">
        <v>121.006901</v>
      </c>
      <c r="K606" s="23" t="inlineStr">
        <is>
          <t>U</t>
        </is>
      </c>
      <c r="L606" s="25" t="n">
        <v>1110</v>
      </c>
      <c r="M606" s="26" t="n">
        <v>3.37</v>
      </c>
      <c r="N606" s="25">
        <f>ROUND(L606/M606, 0)</f>
        <v/>
      </c>
      <c r="O606" s="25">
        <f>ROUND(N606*'Methodology &amp; Assumptions'!$B$7, 0)</f>
        <v/>
      </c>
      <c r="P606" s="23" t="inlineStr">
        <is>
          <t>Single Carrier (Band n50, 100MHz TDD)</t>
        </is>
      </c>
      <c r="Q606" s="27">
        <f>ROUNDUP(O606/'Methodology &amp; Assumptions'!$B$8, 0)</f>
        <v/>
      </c>
      <c r="R606" s="27" t="n">
        <v>1</v>
      </c>
      <c r="S606" s="26" t="n">
        <v>1.06</v>
      </c>
      <c r="T606" s="26" t="n">
        <v>0.57</v>
      </c>
      <c r="U606" s="11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26" t="n">
        <v>50.86</v>
      </c>
      <c r="W606" s="26" t="n">
        <v>71.13</v>
      </c>
      <c r="X606" s="26">
        <f>ROUND(('Methodology &amp; Assumptions'!$B$5*V606) + ('Methodology &amp; Assumptions'!$B$6*W606), 2)</f>
        <v/>
      </c>
      <c r="Y606" s="28" t="n">
        <v>10.9</v>
      </c>
      <c r="Z606" s="11" t="inlineStr">
        <is>
          <t>Priority Tier 2 (Balanced Opportunity)</t>
        </is>
      </c>
    </row>
    <row r="607">
      <c r="A607" s="23" t="n">
        <v>3</v>
      </c>
      <c r="B607" s="23" t="n">
        <v>603</v>
      </c>
      <c r="C607" s="23" t="n">
        <v>2603</v>
      </c>
      <c r="D607" s="23" t="inlineStr">
        <is>
          <t>0501603025</t>
        </is>
      </c>
      <c r="E607" s="11" t="inlineStr">
        <is>
          <t>Region V (Bicol Region)</t>
        </is>
      </c>
      <c r="F607" s="11" t="inlineStr">
        <is>
          <t>Camarines Norte</t>
        </is>
      </c>
      <c r="G607" s="11" t="inlineStr">
        <is>
          <t>Daet</t>
        </is>
      </c>
      <c r="H607" s="11" t="inlineStr">
        <is>
          <t>Barangay II</t>
        </is>
      </c>
      <c r="I607" s="24" t="n">
        <v>14.104983</v>
      </c>
      <c r="J607" s="24" t="n">
        <v>122.955122</v>
      </c>
      <c r="K607" s="23" t="inlineStr">
        <is>
          <t>R</t>
        </is>
      </c>
      <c r="L607" s="25" t="n">
        <v>2919</v>
      </c>
      <c r="M607" s="26" t="n">
        <v>4</v>
      </c>
      <c r="N607" s="25">
        <f>ROUND(L607/M607, 0)</f>
        <v/>
      </c>
      <c r="O607" s="25">
        <f>ROUND(N607*'Methodology &amp; Assumptions'!$B$7, 0)</f>
        <v/>
      </c>
      <c r="P607" s="23" t="inlineStr">
        <is>
          <t>Single Carrier (Band n50, 100MHz TDD)</t>
        </is>
      </c>
      <c r="Q607" s="27">
        <f>ROUNDUP(O607/'Methodology &amp; Assumptions'!$B$8, 0)</f>
        <v/>
      </c>
      <c r="R607" s="27" t="n">
        <v>1</v>
      </c>
      <c r="S607" s="26" t="n">
        <v>1.07</v>
      </c>
      <c r="T607" s="26" t="n">
        <v>0.46</v>
      </c>
      <c r="U607" s="11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26" t="n">
        <v>82.76000000000001</v>
      </c>
      <c r="W607" s="26" t="n">
        <v>39.22</v>
      </c>
      <c r="X607" s="26">
        <f>ROUND(('Methodology &amp; Assumptions'!$B$5*V607) + ('Methodology &amp; Assumptions'!$B$6*W607), 2)</f>
        <v/>
      </c>
      <c r="Y607" s="28" t="n">
        <v>23.7</v>
      </c>
      <c r="Z607" s="11" t="inlineStr">
        <is>
          <t>Priority Tier 2 (Balanced Opportunity)</t>
        </is>
      </c>
    </row>
    <row r="608">
      <c r="A608" s="23" t="n">
        <v>3</v>
      </c>
      <c r="B608" s="23" t="n">
        <v>604</v>
      </c>
      <c r="C608" s="23" t="n">
        <v>2604</v>
      </c>
      <c r="D608" s="23" t="inlineStr">
        <is>
          <t>0401005052</t>
        </is>
      </c>
      <c r="E608" s="11" t="inlineStr">
        <is>
          <t>Region IV-A (CALABARZON)</t>
        </is>
      </c>
      <c r="F608" s="11" t="inlineStr">
        <is>
          <t>Batangas</t>
        </is>
      </c>
      <c r="G608" s="11" t="inlineStr">
        <is>
          <t>Batangas City</t>
        </is>
      </c>
      <c r="H608" s="11" t="inlineStr">
        <is>
          <t>Pinamucan</t>
        </is>
      </c>
      <c r="I608" s="24" t="n">
        <v>13.693747</v>
      </c>
      <c r="J608" s="24" t="n">
        <v>121.057876</v>
      </c>
      <c r="K608" s="23" t="inlineStr">
        <is>
          <t>R</t>
        </is>
      </c>
      <c r="L608" s="25" t="n">
        <v>4422</v>
      </c>
      <c r="M608" s="26" t="n">
        <v>3.6</v>
      </c>
      <c r="N608" s="25">
        <f>ROUND(L608/M608, 0)</f>
        <v/>
      </c>
      <c r="O608" s="25">
        <f>ROUND(N608*'Methodology &amp; Assumptions'!$B$7, 0)</f>
        <v/>
      </c>
      <c r="P608" s="23" t="inlineStr">
        <is>
          <t>Single Carrier (Band n50, 100MHz TDD)</t>
        </is>
      </c>
      <c r="Q608" s="27">
        <f>ROUNDUP(O608/'Methodology &amp; Assumptions'!$B$8, 0)</f>
        <v/>
      </c>
      <c r="R608" s="27" t="n">
        <v>1</v>
      </c>
      <c r="S608" s="26" t="n">
        <v>1.01</v>
      </c>
      <c r="T608" s="26" t="n">
        <v>6.94</v>
      </c>
      <c r="U608" s="11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26" t="n">
        <v>81.3</v>
      </c>
      <c r="W608" s="26" t="n">
        <v>40.67</v>
      </c>
      <c r="X608" s="26">
        <f>ROUND(('Methodology &amp; Assumptions'!$B$5*V608) + ('Methodology &amp; Assumptions'!$B$6*W608), 2)</f>
        <v/>
      </c>
      <c r="Y608" s="28" t="n">
        <v>7.2</v>
      </c>
      <c r="Z608" s="11" t="inlineStr">
        <is>
          <t>Priority Tier 2 (Balanced Opportunity)</t>
        </is>
      </c>
    </row>
    <row r="609">
      <c r="A609" s="23" t="n">
        <v>3</v>
      </c>
      <c r="B609" s="23" t="n">
        <v>605</v>
      </c>
      <c r="C609" s="23" t="n">
        <v>2605</v>
      </c>
      <c r="D609" s="23" t="inlineStr">
        <is>
          <t>0403419015</t>
        </is>
      </c>
      <c r="E609" s="11" t="inlineStr">
        <is>
          <t>Region IV-A (CALABARZON)</t>
        </is>
      </c>
      <c r="F609" s="11" t="inlineStr">
        <is>
          <t>Laguna</t>
        </is>
      </c>
      <c r="G609" s="11" t="inlineStr">
        <is>
          <t>Pagsanjan</t>
        </is>
      </c>
      <c r="H609" s="11" t="inlineStr">
        <is>
          <t>Sampaloc</t>
        </is>
      </c>
      <c r="I609" s="24" t="n">
        <v>14.268225</v>
      </c>
      <c r="J609" s="24" t="n">
        <v>121.442333</v>
      </c>
      <c r="K609" s="23" t="inlineStr">
        <is>
          <t>U</t>
        </is>
      </c>
      <c r="L609" s="25" t="n">
        <v>4667</v>
      </c>
      <c r="M609" s="26" t="n">
        <v>3.3</v>
      </c>
      <c r="N609" s="25">
        <f>ROUND(L609/M609, 0)</f>
        <v/>
      </c>
      <c r="O609" s="25">
        <f>ROUND(N609*'Methodology &amp; Assumptions'!$B$7, 0)</f>
        <v/>
      </c>
      <c r="P609" s="23" t="inlineStr">
        <is>
          <t>Single Carrier (Band n50, 100MHz TDD)</t>
        </is>
      </c>
      <c r="Q609" s="27">
        <f>ROUNDUP(O609/'Methodology &amp; Assumptions'!$B$8, 0)</f>
        <v/>
      </c>
      <c r="R609" s="27" t="n">
        <v>1</v>
      </c>
      <c r="S609" s="26" t="n">
        <v>1.04</v>
      </c>
      <c r="T609" s="26" t="n">
        <v>0.08</v>
      </c>
      <c r="U609" s="11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26" t="n">
        <v>77.48999999999999</v>
      </c>
      <c r="W609" s="26" t="n">
        <v>44.5</v>
      </c>
      <c r="X609" s="26">
        <f>ROUND(('Methodology &amp; Assumptions'!$B$5*V609) + ('Methodology &amp; Assumptions'!$B$6*W609), 2)</f>
        <v/>
      </c>
      <c r="Y609" s="28" t="n">
        <v>7.2</v>
      </c>
      <c r="Z609" s="11" t="inlineStr">
        <is>
          <t>Priority Tier 2 (Balanced Opportunity)</t>
        </is>
      </c>
    </row>
    <row r="610">
      <c r="A610" s="23" t="n">
        <v>3</v>
      </c>
      <c r="B610" s="23" t="n">
        <v>606</v>
      </c>
      <c r="C610" s="23" t="n">
        <v>2606</v>
      </c>
      <c r="D610" s="23" t="inlineStr">
        <is>
          <t>1381100129</t>
        </is>
      </c>
      <c r="E610" s="11" t="inlineStr">
        <is>
          <t>National Capital Region (NCR)</t>
        </is>
      </c>
      <c r="F610" s="11" t="inlineStr">
        <is>
          <t>Fourth District (Not a Province)</t>
        </is>
      </c>
      <c r="G610" s="11" t="inlineStr">
        <is>
          <t>Pasay City</t>
        </is>
      </c>
      <c r="H610" s="11" t="inlineStr">
        <is>
          <t>Barangay 129</t>
        </is>
      </c>
      <c r="I610" s="24" t="n">
        <v>14.548031</v>
      </c>
      <c r="J610" s="24" t="n">
        <v>121.006741</v>
      </c>
      <c r="K610" s="23" t="inlineStr">
        <is>
          <t>U</t>
        </is>
      </c>
      <c r="L610" s="25" t="n">
        <v>1081</v>
      </c>
      <c r="M610" s="26" t="n">
        <v>3.27</v>
      </c>
      <c r="N610" s="25">
        <f>ROUND(L610/M610, 0)</f>
        <v/>
      </c>
      <c r="O610" s="25">
        <f>ROUND(N610*'Methodology &amp; Assumptions'!$B$7, 0)</f>
        <v/>
      </c>
      <c r="P610" s="23" t="inlineStr">
        <is>
          <t>Single Carrier (Band n50, 100MHz TDD)</t>
        </is>
      </c>
      <c r="Q610" s="27">
        <f>ROUNDUP(O610/'Methodology &amp; Assumptions'!$B$8, 0)</f>
        <v/>
      </c>
      <c r="R610" s="27" t="n">
        <v>1</v>
      </c>
      <c r="S610" s="26" t="n">
        <v>0.54</v>
      </c>
      <c r="T610" s="26" t="n">
        <v>0.27</v>
      </c>
      <c r="U610" s="11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26" t="n">
        <v>51.7</v>
      </c>
      <c r="W610" s="26" t="n">
        <v>70.29000000000001</v>
      </c>
      <c r="X610" s="26">
        <f>ROUND(('Methodology &amp; Assumptions'!$B$5*V610) + ('Methodology &amp; Assumptions'!$B$6*W610), 2)</f>
        <v/>
      </c>
      <c r="Y610" s="28" t="n">
        <v>10.9</v>
      </c>
      <c r="Z610" s="11" t="inlineStr">
        <is>
          <t>Priority Tier 2 (Balanced Opportunity)</t>
        </is>
      </c>
    </row>
    <row r="611">
      <c r="A611" s="23" t="n">
        <v>3</v>
      </c>
      <c r="B611" s="23" t="n">
        <v>607</v>
      </c>
      <c r="C611" s="23" t="n">
        <v>2607</v>
      </c>
      <c r="D611" s="23" t="inlineStr">
        <is>
          <t>1380601176</t>
        </is>
      </c>
      <c r="E611" s="11" t="inlineStr">
        <is>
          <t>National Capital Region (NCR)</t>
        </is>
      </c>
      <c r="F611" s="11" t="inlineStr">
        <is>
          <t>First District (Not a Province)</t>
        </is>
      </c>
      <c r="G611" s="11" t="inlineStr">
        <is>
          <t>City of Manila</t>
        </is>
      </c>
      <c r="H611" s="11" t="inlineStr">
        <is>
          <t>Barangay 176</t>
        </is>
      </c>
      <c r="I611" s="24" t="n">
        <v>14.627883</v>
      </c>
      <c r="J611" s="24" t="n">
        <v>120.970154</v>
      </c>
      <c r="K611" s="23" t="inlineStr">
        <is>
          <t>U</t>
        </is>
      </c>
      <c r="L611" s="25" t="n">
        <v>1312</v>
      </c>
      <c r="M611" s="26" t="n">
        <v>4.21</v>
      </c>
      <c r="N611" s="25">
        <f>ROUND(L611/M611, 0)</f>
        <v/>
      </c>
      <c r="O611" s="25">
        <f>ROUND(N611*'Methodology &amp; Assumptions'!$B$7, 0)</f>
        <v/>
      </c>
      <c r="P611" s="23" t="inlineStr">
        <is>
          <t>Single Carrier (Band n50, 100MHz TDD)</t>
        </is>
      </c>
      <c r="Q611" s="27">
        <f>ROUNDUP(O611/'Methodology &amp; Assumptions'!$B$8, 0)</f>
        <v/>
      </c>
      <c r="R611" s="27" t="n">
        <v>1</v>
      </c>
      <c r="S611" s="26" t="n">
        <v>0.36</v>
      </c>
      <c r="T611" s="26" t="n">
        <v>0.33</v>
      </c>
      <c r="U611" s="11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26" t="n">
        <v>51.16</v>
      </c>
      <c r="W611" s="26" t="n">
        <v>70.81</v>
      </c>
      <c r="X611" s="26">
        <f>ROUND(('Methodology &amp; Assumptions'!$B$5*V611) + ('Methodology &amp; Assumptions'!$B$6*W611), 2)</f>
        <v/>
      </c>
      <c r="Y611" s="28" t="n">
        <v>10.9</v>
      </c>
      <c r="Z611" s="11" t="inlineStr">
        <is>
          <t>Priority Tier 2 (Balanced Opportunity)</t>
        </is>
      </c>
    </row>
    <row r="612">
      <c r="A612" s="23" t="n">
        <v>3</v>
      </c>
      <c r="B612" s="23" t="n">
        <v>608</v>
      </c>
      <c r="C612" s="23" t="n">
        <v>2608</v>
      </c>
      <c r="D612" s="23" t="inlineStr">
        <is>
          <t>0506207015</t>
        </is>
      </c>
      <c r="E612" s="11" t="inlineStr">
        <is>
          <t>Region V (Bicol Region)</t>
        </is>
      </c>
      <c r="F612" s="11" t="inlineStr">
        <is>
          <t>Sorsogon</t>
        </is>
      </c>
      <c r="G612" s="11" t="inlineStr">
        <is>
          <t>Donsol</t>
        </is>
      </c>
      <c r="H612" s="11" t="inlineStr">
        <is>
          <t>Girawan</t>
        </is>
      </c>
      <c r="I612" s="24" t="n">
        <v>12.942418</v>
      </c>
      <c r="J612" s="24" t="n">
        <v>123.581084</v>
      </c>
      <c r="K612" s="23" t="inlineStr">
        <is>
          <t>R</t>
        </is>
      </c>
      <c r="L612" s="25" t="n">
        <v>375</v>
      </c>
      <c r="M612" s="26" t="n">
        <v>4</v>
      </c>
      <c r="N612" s="25">
        <f>ROUND(L612/M612, 0)</f>
        <v/>
      </c>
      <c r="O612" s="25">
        <f>ROUND(N612*'Methodology &amp; Assumptions'!$B$7, 0)</f>
        <v/>
      </c>
      <c r="P612" s="23" t="inlineStr">
        <is>
          <t>Single Carrier (Band n50, 100MHz TDD)</t>
        </is>
      </c>
      <c r="Q612" s="27">
        <f>ROUNDUP(O612/'Methodology &amp; Assumptions'!$B$8, 0)</f>
        <v/>
      </c>
      <c r="R612" s="27" t="n">
        <v>1</v>
      </c>
      <c r="S612" s="26" t="n">
        <v>4.37</v>
      </c>
      <c r="T612" s="26" t="n">
        <v>16.71</v>
      </c>
      <c r="U612" s="11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26" t="n">
        <v>50.44</v>
      </c>
      <c r="W612" s="26" t="n">
        <v>71.53</v>
      </c>
      <c r="X612" s="26">
        <f>ROUND(('Methodology &amp; Assumptions'!$B$5*V612) + ('Methodology &amp; Assumptions'!$B$6*W612), 2)</f>
        <v/>
      </c>
      <c r="Y612" s="28" t="n">
        <v>23.7</v>
      </c>
      <c r="Z612" s="11" t="inlineStr">
        <is>
          <t>Priority Tier 2 (Balanced Opportunity)</t>
        </is>
      </c>
    </row>
    <row r="613">
      <c r="A613" s="23" t="n">
        <v>3</v>
      </c>
      <c r="B613" s="23" t="n">
        <v>609</v>
      </c>
      <c r="C613" s="23" t="n">
        <v>2609</v>
      </c>
      <c r="D613" s="23" t="inlineStr">
        <is>
          <t>0806418026</t>
        </is>
      </c>
      <c r="E613" s="11" t="inlineStr">
        <is>
          <t>Region VIII (Eastern Visayas)</t>
        </is>
      </c>
      <c r="F613" s="11" t="inlineStr">
        <is>
          <t>Southern Leyte</t>
        </is>
      </c>
      <c r="G613" s="11" t="inlineStr">
        <is>
          <t>Tomas Oppus</t>
        </is>
      </c>
      <c r="H613" s="11" t="inlineStr">
        <is>
          <t>San Roque</t>
        </is>
      </c>
      <c r="I613" s="24" t="n">
        <v>10.275112</v>
      </c>
      <c r="J613" s="24" t="n">
        <v>124.965126</v>
      </c>
      <c r="K613" s="23" t="inlineStr">
        <is>
          <t>R</t>
        </is>
      </c>
      <c r="L613" s="25" t="n">
        <v>347</v>
      </c>
      <c r="M613" s="26" t="n">
        <v>4.1</v>
      </c>
      <c r="N613" s="25">
        <f>ROUND(L613/M613, 0)</f>
        <v/>
      </c>
      <c r="O613" s="25">
        <f>ROUND(N613*'Methodology &amp; Assumptions'!$B$7, 0)</f>
        <v/>
      </c>
      <c r="P613" s="23" t="inlineStr">
        <is>
          <t>Single Carrier (Band n50, 100MHz TDD)</t>
        </is>
      </c>
      <c r="Q613" s="27">
        <f>ROUNDUP(O613/'Methodology &amp; Assumptions'!$B$8, 0)</f>
        <v/>
      </c>
      <c r="R613" s="27" t="n">
        <v>1</v>
      </c>
      <c r="S613" s="26" t="n">
        <v>12.48</v>
      </c>
      <c r="T613" s="26" t="n">
        <v>1.88</v>
      </c>
      <c r="U613" s="11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26" t="n">
        <v>47.07</v>
      </c>
      <c r="W613" s="26" t="n">
        <v>74.91</v>
      </c>
      <c r="X613" s="26">
        <f>ROUND(('Methodology &amp; Assumptions'!$B$5*V613) + ('Methodology &amp; Assumptions'!$B$6*W613), 2)</f>
        <v/>
      </c>
      <c r="Y613" s="28" t="n">
        <v>23.7</v>
      </c>
      <c r="Z613" s="11" t="inlineStr">
        <is>
          <t>Priority Tier 2 (Balanced Opportunity)</t>
        </is>
      </c>
    </row>
    <row r="614">
      <c r="A614" s="23" t="n">
        <v>3</v>
      </c>
      <c r="B614" s="23" t="n">
        <v>610</v>
      </c>
      <c r="C614" s="23" t="n">
        <v>2610</v>
      </c>
      <c r="D614" s="23" t="inlineStr">
        <is>
          <t>0402117005</t>
        </is>
      </c>
      <c r="E614" s="11" t="inlineStr">
        <is>
          <t>Region IV-A (CALABARZON)</t>
        </is>
      </c>
      <c r="F614" s="11" t="inlineStr">
        <is>
          <t>Cavite</t>
        </is>
      </c>
      <c r="G614" s="11" t="inlineStr">
        <is>
          <t>Rosario</t>
        </is>
      </c>
      <c r="H614" s="11" t="inlineStr">
        <is>
          <t>Ligtong I</t>
        </is>
      </c>
      <c r="I614" s="24" t="n">
        <v>14.427859</v>
      </c>
      <c r="J614" s="24" t="n">
        <v>120.867469</v>
      </c>
      <c r="K614" s="23" t="inlineStr">
        <is>
          <t>R</t>
        </is>
      </c>
      <c r="L614" s="25" t="n">
        <v>5045</v>
      </c>
      <c r="M614" s="26" t="n">
        <v>3.4</v>
      </c>
      <c r="N614" s="25">
        <f>ROUND(L614/M614, 0)</f>
        <v/>
      </c>
      <c r="O614" s="25">
        <f>ROUND(N614*'Methodology &amp; Assumptions'!$B$7, 0)</f>
        <v/>
      </c>
      <c r="P614" s="23" t="inlineStr">
        <is>
          <t>Single Carrier (Band n50, 100MHz TDD)</t>
        </is>
      </c>
      <c r="Q614" s="27">
        <f>ROUNDUP(O614/'Methodology &amp; Assumptions'!$B$8, 0)</f>
        <v/>
      </c>
      <c r="R614" s="27" t="n">
        <v>1</v>
      </c>
      <c r="S614" s="26" t="n">
        <v>1.68</v>
      </c>
      <c r="T614" s="26" t="n">
        <v>1.65</v>
      </c>
      <c r="U614" s="11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26" t="n">
        <v>82.31</v>
      </c>
      <c r="W614" s="26" t="n">
        <v>39.65</v>
      </c>
      <c r="X614" s="26">
        <f>ROUND(('Methodology &amp; Assumptions'!$B$5*V614) + ('Methodology &amp; Assumptions'!$B$6*W614), 2)</f>
        <v/>
      </c>
      <c r="Y614" s="28" t="n">
        <v>7.2</v>
      </c>
      <c r="Z614" s="11" t="inlineStr">
        <is>
          <t>Priority Tier 2 (Balanced Opportunity)</t>
        </is>
      </c>
    </row>
    <row r="615">
      <c r="A615" s="23" t="n">
        <v>3</v>
      </c>
      <c r="B615" s="23" t="n">
        <v>611</v>
      </c>
      <c r="C615" s="23" t="n">
        <v>2611</v>
      </c>
      <c r="D615" s="23" t="inlineStr">
        <is>
          <t>0301422034</t>
        </is>
      </c>
      <c r="E615" s="11" t="inlineStr">
        <is>
          <t>Region III (Central Luzon)</t>
        </is>
      </c>
      <c r="F615" s="11" t="inlineStr">
        <is>
          <t>Bulacan</t>
        </is>
      </c>
      <c r="G615" s="11" t="inlineStr">
        <is>
          <t>San Rafael</t>
        </is>
      </c>
      <c r="H615" s="11" t="inlineStr">
        <is>
          <t>Ulingao</t>
        </is>
      </c>
      <c r="I615" s="24" t="n">
        <v>14.971604</v>
      </c>
      <c r="J615" s="24" t="n">
        <v>120.913111</v>
      </c>
      <c r="K615" s="23" t="inlineStr">
        <is>
          <t>U</t>
        </is>
      </c>
      <c r="L615" s="25" t="n">
        <v>3879</v>
      </c>
      <c r="M615" s="26" t="n">
        <v>3.5</v>
      </c>
      <c r="N615" s="25">
        <f>ROUND(L615/M615, 0)</f>
        <v/>
      </c>
      <c r="O615" s="25">
        <f>ROUND(N615*'Methodology &amp; Assumptions'!$B$7, 0)</f>
        <v/>
      </c>
      <c r="P615" s="23" t="inlineStr">
        <is>
          <t>Single Carrier (Band n50, 100MHz TDD)</t>
        </is>
      </c>
      <c r="Q615" s="27">
        <f>ROUNDUP(O615/'Methodology &amp; Assumptions'!$B$8, 0)</f>
        <v/>
      </c>
      <c r="R615" s="27" t="n">
        <v>1</v>
      </c>
      <c r="S615" s="26" t="n">
        <v>0.15</v>
      </c>
      <c r="T615" s="26" t="n">
        <v>0.13</v>
      </c>
      <c r="U615" s="11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26" t="n">
        <v>78.43000000000001</v>
      </c>
      <c r="W615" s="26" t="n">
        <v>43.52</v>
      </c>
      <c r="X615" s="26">
        <f>ROUND(('Methodology &amp; Assumptions'!$B$5*V615) + ('Methodology &amp; Assumptions'!$B$6*W615), 2)</f>
        <v/>
      </c>
      <c r="Y615" s="28" t="n">
        <v>8.300000000000001</v>
      </c>
      <c r="Z615" s="11" t="inlineStr">
        <is>
          <t>Priority Tier 2 (Balanced Opportunity)</t>
        </is>
      </c>
    </row>
    <row r="616">
      <c r="A616" s="23" t="n">
        <v>3</v>
      </c>
      <c r="B616" s="23" t="n">
        <v>612</v>
      </c>
      <c r="C616" s="23" t="n">
        <v>2612</v>
      </c>
      <c r="D616" s="23" t="inlineStr">
        <is>
          <t>1380601186</t>
        </is>
      </c>
      <c r="E616" s="11" t="inlineStr">
        <is>
          <t>National Capital Region (NCR)</t>
        </is>
      </c>
      <c r="F616" s="11" t="inlineStr">
        <is>
          <t>First District (Not a Province)</t>
        </is>
      </c>
      <c r="G616" s="11" t="inlineStr">
        <is>
          <t>City of Manila</t>
        </is>
      </c>
      <c r="H616" s="11" t="inlineStr">
        <is>
          <t>Barangay 186</t>
        </is>
      </c>
      <c r="I616" s="24" t="n">
        <v>14.631481</v>
      </c>
      <c r="J616" s="24" t="n">
        <v>120.975334</v>
      </c>
      <c r="K616" s="23" t="inlineStr">
        <is>
          <t>U</t>
        </is>
      </c>
      <c r="L616" s="25" t="n">
        <v>1492</v>
      </c>
      <c r="M616" s="26" t="n">
        <v>4.47</v>
      </c>
      <c r="N616" s="25">
        <f>ROUND(L616/M616, 0)</f>
        <v/>
      </c>
      <c r="O616" s="25">
        <f>ROUND(N616*'Methodology &amp; Assumptions'!$B$7, 0)</f>
        <v/>
      </c>
      <c r="P616" s="23" t="inlineStr">
        <is>
          <t>Single Carrier (Band n50, 100MHz TDD)</t>
        </is>
      </c>
      <c r="Q616" s="27">
        <f>ROUNDUP(O616/'Methodology &amp; Assumptions'!$B$8, 0)</f>
        <v/>
      </c>
      <c r="R616" s="27" t="n">
        <v>1</v>
      </c>
      <c r="S616" s="26" t="n">
        <v>0.5600000000000001</v>
      </c>
      <c r="T616" s="26" t="n">
        <v>0.58</v>
      </c>
      <c r="U616" s="11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26" t="n">
        <v>51.8</v>
      </c>
      <c r="W616" s="26" t="n">
        <v>70.16</v>
      </c>
      <c r="X616" s="26">
        <f>ROUND(('Methodology &amp; Assumptions'!$B$5*V616) + ('Methodology &amp; Assumptions'!$B$6*W616), 2)</f>
        <v/>
      </c>
      <c r="Y616" s="28" t="n">
        <v>10.9</v>
      </c>
      <c r="Z616" s="11" t="inlineStr">
        <is>
          <t>Priority Tier 2 (Balanced Opportunity)</t>
        </is>
      </c>
    </row>
    <row r="617">
      <c r="A617" s="23" t="n">
        <v>3</v>
      </c>
      <c r="B617" s="23" t="n">
        <v>613</v>
      </c>
      <c r="C617" s="23" t="n">
        <v>2613</v>
      </c>
      <c r="D617" s="23" t="inlineStr">
        <is>
          <t>1705305020</t>
        </is>
      </c>
      <c r="E617" s="11" t="inlineStr">
        <is>
          <t>MIMAROPA Region</t>
        </is>
      </c>
      <c r="F617" s="11" t="inlineStr">
        <is>
          <t>Palawan</t>
        </is>
      </c>
      <c r="G617" s="11" t="inlineStr">
        <is>
          <t>Bataraza</t>
        </is>
      </c>
      <c r="H617" s="11" t="inlineStr">
        <is>
          <t>Tagolango</t>
        </is>
      </c>
      <c r="I617" s="24" t="n">
        <v>8.480232000000001</v>
      </c>
      <c r="J617" s="24" t="n">
        <v>117.220023</v>
      </c>
      <c r="K617" s="23" t="inlineStr">
        <is>
          <t>R</t>
        </is>
      </c>
      <c r="L617" s="25" t="n">
        <v>1220</v>
      </c>
      <c r="M617" s="26" t="n">
        <v>3.9</v>
      </c>
      <c r="N617" s="25">
        <f>ROUND(L617/M617, 0)</f>
        <v/>
      </c>
      <c r="O617" s="25">
        <f>ROUND(N617*'Methodology &amp; Assumptions'!$B$7, 0)</f>
        <v/>
      </c>
      <c r="P617" s="23" t="inlineStr">
        <is>
          <t>Single Carrier (Band n50, 100MHz TDD)</t>
        </is>
      </c>
      <c r="Q617" s="27">
        <f>ROUNDUP(O617/'Methodology &amp; Assumptions'!$B$8, 0)</f>
        <v/>
      </c>
      <c r="R617" s="27" t="n">
        <v>1</v>
      </c>
      <c r="S617" s="26" t="n">
        <v>217.38</v>
      </c>
      <c r="T617" s="26" t="n">
        <v>219.66</v>
      </c>
      <c r="U617" s="11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26" t="n">
        <v>43.33</v>
      </c>
      <c r="W617" s="26" t="n">
        <v>78.62</v>
      </c>
      <c r="X617" s="26">
        <f>ROUND(('Methodology &amp; Assumptions'!$B$5*V617) + ('Methodology &amp; Assumptions'!$B$6*W617), 2)</f>
        <v/>
      </c>
      <c r="Y617" s="28" t="n">
        <v>15</v>
      </c>
      <c r="Z617" s="11" t="inlineStr">
        <is>
          <t>Priority Tier 2 (Balanced Opportunity)</t>
        </is>
      </c>
    </row>
    <row r="618">
      <c r="A618" s="23" t="n">
        <v>3</v>
      </c>
      <c r="B618" s="23" t="n">
        <v>614</v>
      </c>
      <c r="C618" s="23" t="n">
        <v>2614</v>
      </c>
      <c r="D618" s="23" t="inlineStr">
        <is>
          <t>0401034008</t>
        </is>
      </c>
      <c r="E618" s="11" t="inlineStr">
        <is>
          <t>Region IV-A (CALABARZON)</t>
        </is>
      </c>
      <c r="F618" s="11" t="inlineStr">
        <is>
          <t>Batangas</t>
        </is>
      </c>
      <c r="G618" s="11" t="inlineStr">
        <is>
          <t>Tuy</t>
        </is>
      </c>
      <c r="H618" s="11" t="inlineStr">
        <is>
          <t>Luntal</t>
        </is>
      </c>
      <c r="I618" s="24" t="n">
        <v>14.0368</v>
      </c>
      <c r="J618" s="24" t="n">
        <v>120.7082</v>
      </c>
      <c r="K618" s="23" t="inlineStr">
        <is>
          <t>R</t>
        </is>
      </c>
      <c r="L618" s="25" t="n">
        <v>3732</v>
      </c>
      <c r="M618" s="26" t="n">
        <v>3.6</v>
      </c>
      <c r="N618" s="25">
        <f>ROUND(L618/M618, 0)</f>
        <v/>
      </c>
      <c r="O618" s="25">
        <f>ROUND(N618*'Methodology &amp; Assumptions'!$B$7, 0)</f>
        <v/>
      </c>
      <c r="P618" s="23" t="inlineStr">
        <is>
          <t>Single Carrier (Band n50, 100MHz TDD)</t>
        </is>
      </c>
      <c r="Q618" s="27">
        <f>ROUNDUP(O618/'Methodology &amp; Assumptions'!$B$8, 0)</f>
        <v/>
      </c>
      <c r="R618" s="27" t="n">
        <v>1</v>
      </c>
      <c r="S618" s="26" t="n">
        <v>2.76</v>
      </c>
      <c r="T618" s="26" t="n">
        <v>0.41</v>
      </c>
      <c r="U618" s="11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26" t="n">
        <v>78.73999999999999</v>
      </c>
      <c r="W618" s="26" t="n">
        <v>43.19</v>
      </c>
      <c r="X618" s="26">
        <f>ROUND(('Methodology &amp; Assumptions'!$B$5*V618) + ('Methodology &amp; Assumptions'!$B$6*W618), 2)</f>
        <v/>
      </c>
      <c r="Y618" s="28" t="n">
        <v>7.2</v>
      </c>
      <c r="Z618" s="11" t="inlineStr">
        <is>
          <t>Priority Tier 2 (Balanced Opportunity)</t>
        </is>
      </c>
    </row>
    <row r="619">
      <c r="A619" s="23" t="n">
        <v>3</v>
      </c>
      <c r="B619" s="23" t="n">
        <v>615</v>
      </c>
      <c r="C619" s="23" t="n">
        <v>2615</v>
      </c>
      <c r="D619" s="23" t="inlineStr">
        <is>
          <t>0405814008</t>
        </is>
      </c>
      <c r="E619" s="11" t="inlineStr">
        <is>
          <t>Region IV-A (CALABARZON)</t>
        </is>
      </c>
      <c r="F619" s="11" t="inlineStr">
        <is>
          <t>Rizal</t>
        </is>
      </c>
      <c r="G619" s="11" t="inlineStr">
        <is>
          <t>Teresa</t>
        </is>
      </c>
      <c r="H619" s="11" t="inlineStr">
        <is>
          <t>San Gabriel</t>
        </is>
      </c>
      <c r="I619" s="24" t="n">
        <v>14.555625</v>
      </c>
      <c r="J619" s="24" t="n">
        <v>121.210954</v>
      </c>
      <c r="K619" s="23" t="inlineStr">
        <is>
          <t>U</t>
        </is>
      </c>
      <c r="L619" s="25" t="n">
        <v>2526</v>
      </c>
      <c r="M619" s="26" t="n">
        <v>3.6</v>
      </c>
      <c r="N619" s="25">
        <f>ROUND(L619/M619, 0)</f>
        <v/>
      </c>
      <c r="O619" s="25">
        <f>ROUND(N619*'Methodology &amp; Assumptions'!$B$7, 0)</f>
        <v/>
      </c>
      <c r="P619" s="23" t="inlineStr">
        <is>
          <t>Single Carrier (Band n50, 100MHz TDD)</t>
        </is>
      </c>
      <c r="Q619" s="27">
        <f>ROUNDUP(O619/'Methodology &amp; Assumptions'!$B$8, 0)</f>
        <v/>
      </c>
      <c r="R619" s="27" t="n">
        <v>1</v>
      </c>
      <c r="S619" s="26" t="n">
        <v>0.61</v>
      </c>
      <c r="T619" s="26" t="n">
        <v>0.34</v>
      </c>
      <c r="U619" s="11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26" t="n">
        <v>74.61</v>
      </c>
      <c r="W619" s="26" t="n">
        <v>47.33</v>
      </c>
      <c r="X619" s="26">
        <f>ROUND(('Methodology &amp; Assumptions'!$B$5*V619) + ('Methodology &amp; Assumptions'!$B$6*W619), 2)</f>
        <v/>
      </c>
      <c r="Y619" s="28" t="n">
        <v>7.2</v>
      </c>
      <c r="Z619" s="11" t="inlineStr">
        <is>
          <t>Priority Tier 2 (Balanced Opportunity)</t>
        </is>
      </c>
    </row>
    <row r="620">
      <c r="A620" s="23" t="n">
        <v>3</v>
      </c>
      <c r="B620" s="23" t="n">
        <v>616</v>
      </c>
      <c r="C620" s="23" t="n">
        <v>2616</v>
      </c>
      <c r="D620" s="23" t="inlineStr">
        <is>
          <t>1380500014</t>
        </is>
      </c>
      <c r="E620" s="11" t="inlineStr">
        <is>
          <t>National Capital Region (NCR)</t>
        </is>
      </c>
      <c r="F620" s="11" t="inlineStr">
        <is>
          <t>Second District (Not a Province)</t>
        </is>
      </c>
      <c r="G620" s="11" t="inlineStr">
        <is>
          <t>City of Mandaluyong</t>
        </is>
      </c>
      <c r="H620" s="11" t="inlineStr">
        <is>
          <t>Hulo</t>
        </is>
      </c>
      <c r="I620" s="24" t="n">
        <v>14.57017</v>
      </c>
      <c r="J620" s="24" t="n">
        <v>121.0318</v>
      </c>
      <c r="K620" s="23" t="inlineStr">
        <is>
          <t>U</t>
        </is>
      </c>
      <c r="L620" s="25" t="n">
        <v>47757</v>
      </c>
      <c r="M620" s="26" t="n">
        <v>3.17</v>
      </c>
      <c r="N620" s="25">
        <f>ROUND(L620/M620, 0)</f>
        <v/>
      </c>
      <c r="O620" s="25">
        <f>ROUND(N620*'Methodology &amp; Assumptions'!$B$7, 0)</f>
        <v/>
      </c>
      <c r="P620" s="23" t="inlineStr">
        <is>
          <t>Single Carrier (Band n50, 100MHz TDD)</t>
        </is>
      </c>
      <c r="Q620" s="27">
        <f>ROUNDUP(O620/'Methodology &amp; Assumptions'!$B$8, 0)</f>
        <v/>
      </c>
      <c r="R620" s="27" t="n">
        <v>1</v>
      </c>
      <c r="S620" s="26" t="n">
        <v>0.54</v>
      </c>
      <c r="T620" s="26" t="n">
        <v>0.02</v>
      </c>
      <c r="U620" s="11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26" t="n">
        <v>66.12</v>
      </c>
      <c r="W620" s="26" t="n">
        <v>55.83</v>
      </c>
      <c r="X620" s="26">
        <f>ROUND(('Methodology &amp; Assumptions'!$B$5*V620) + ('Methodology &amp; Assumptions'!$B$6*W620), 2)</f>
        <v/>
      </c>
      <c r="Y620" s="28" t="n">
        <v>10.9</v>
      </c>
      <c r="Z620" s="11" t="inlineStr">
        <is>
          <t>Priority Tier 2 (Balanced Opportunity)</t>
        </is>
      </c>
    </row>
    <row r="621">
      <c r="A621" s="23" t="n">
        <v>3</v>
      </c>
      <c r="B621" s="23" t="n">
        <v>617</v>
      </c>
      <c r="C621" s="23" t="n">
        <v>2617</v>
      </c>
      <c r="D621" s="23" t="inlineStr">
        <is>
          <t>1381100176</t>
        </is>
      </c>
      <c r="E621" s="11" t="inlineStr">
        <is>
          <t>National Capital Region (NCR)</t>
        </is>
      </c>
      <c r="F621" s="11" t="inlineStr">
        <is>
          <t>Fourth District (Not a Province)</t>
        </is>
      </c>
      <c r="G621" s="11" t="inlineStr">
        <is>
          <t>Pasay City</t>
        </is>
      </c>
      <c r="H621" s="11" t="inlineStr">
        <is>
          <t>Barangay 176</t>
        </is>
      </c>
      <c r="I621" s="24" t="n">
        <v>14.532177</v>
      </c>
      <c r="J621" s="24" t="n">
        <v>121.011917</v>
      </c>
      <c r="K621" s="23" t="inlineStr">
        <is>
          <t>U</t>
        </is>
      </c>
      <c r="L621" s="25" t="n">
        <v>1503</v>
      </c>
      <c r="M621" s="26" t="n">
        <v>4.04</v>
      </c>
      <c r="N621" s="25">
        <f>ROUND(L621/M621, 0)</f>
        <v/>
      </c>
      <c r="O621" s="25">
        <f>ROUND(N621*'Methodology &amp; Assumptions'!$B$7, 0)</f>
        <v/>
      </c>
      <c r="P621" s="23" t="inlineStr">
        <is>
          <t>Single Carrier (Band n50, 100MHz TDD)</t>
        </is>
      </c>
      <c r="Q621" s="27">
        <f>ROUNDUP(O621/'Methodology &amp; Assumptions'!$B$8, 0)</f>
        <v/>
      </c>
      <c r="R621" s="27" t="n">
        <v>1</v>
      </c>
      <c r="S621" s="26" t="n">
        <v>1.21</v>
      </c>
      <c r="T621" s="26" t="n">
        <v>0.6</v>
      </c>
      <c r="U621" s="11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26" t="n">
        <v>51.69</v>
      </c>
      <c r="W621" s="26" t="n">
        <v>70.23999999999999</v>
      </c>
      <c r="X621" s="26">
        <f>ROUND(('Methodology &amp; Assumptions'!$B$5*V621) + ('Methodology &amp; Assumptions'!$B$6*W621), 2)</f>
        <v/>
      </c>
      <c r="Y621" s="28" t="n">
        <v>10.9</v>
      </c>
      <c r="Z621" s="11" t="inlineStr">
        <is>
          <t>Priority Tier 2 (Balanced Opportunity)</t>
        </is>
      </c>
    </row>
    <row r="622">
      <c r="A622" s="23" t="n">
        <v>3</v>
      </c>
      <c r="B622" s="23" t="n">
        <v>618</v>
      </c>
      <c r="C622" s="23" t="n">
        <v>2618</v>
      </c>
      <c r="D622" s="23" t="inlineStr">
        <is>
          <t>1908702001</t>
        </is>
      </c>
      <c r="E622" s="11" t="inlineStr">
        <is>
          <t>Bangsamoro Autonomous Region In Muslim Mindanao (BARMM)</t>
        </is>
      </c>
      <c r="F622" s="11" t="inlineStr">
        <is>
          <t>Maguindanao del Norte</t>
        </is>
      </c>
      <c r="G622" s="11" t="inlineStr">
        <is>
          <t>Buldon</t>
        </is>
      </c>
      <c r="H622" s="11" t="inlineStr">
        <is>
          <t>Ampuan</t>
        </is>
      </c>
      <c r="I622" s="24" t="n">
        <v>7.398189</v>
      </c>
      <c r="J622" s="24" t="n">
        <v>124.380991</v>
      </c>
      <c r="K622" s="23" t="inlineStr">
        <is>
          <t>R</t>
        </is>
      </c>
      <c r="L622" s="25" t="n">
        <v>2691</v>
      </c>
      <c r="M622" s="26" t="n">
        <v>4.3</v>
      </c>
      <c r="N622" s="25">
        <f>ROUND(L622/M622, 0)</f>
        <v/>
      </c>
      <c r="O622" s="25">
        <f>ROUND(N622*'Methodology &amp; Assumptions'!$B$7, 0)</f>
        <v/>
      </c>
      <c r="P622" s="23" t="inlineStr">
        <is>
          <t>Single Carrier (Band n50, 100MHz TDD)</t>
        </is>
      </c>
      <c r="Q622" s="27">
        <f>ROUNDUP(O622/'Methodology &amp; Assumptions'!$B$8, 0)</f>
        <v/>
      </c>
      <c r="R622" s="27" t="n">
        <v>1</v>
      </c>
      <c r="S622" s="26" t="n">
        <v>50.75</v>
      </c>
      <c r="T622" s="26" t="n">
        <v>44.15</v>
      </c>
      <c r="U622" s="11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26" t="n">
        <v>51.19</v>
      </c>
      <c r="W622" s="26" t="n">
        <v>70.75</v>
      </c>
      <c r="X622" s="26">
        <f>ROUND(('Methodology &amp; Assumptions'!$B$5*V622) + ('Methodology &amp; Assumptions'!$B$6*W622), 2)</f>
        <v/>
      </c>
      <c r="Y622" s="28" t="n">
        <v>11</v>
      </c>
      <c r="Z622" s="11" t="inlineStr">
        <is>
          <t>Priority Tier 2 (Balanced Opportunity)</t>
        </is>
      </c>
    </row>
    <row r="623">
      <c r="A623" s="23" t="n">
        <v>3</v>
      </c>
      <c r="B623" s="23" t="n">
        <v>619</v>
      </c>
      <c r="C623" s="23" t="n">
        <v>2619</v>
      </c>
      <c r="D623" s="23" t="inlineStr">
        <is>
          <t>1003512004</t>
        </is>
      </c>
      <c r="E623" s="11" t="inlineStr">
        <is>
          <t>Region X (Northern Mindanao)</t>
        </is>
      </c>
      <c r="F623" s="11" t="inlineStr">
        <is>
          <t>Lanao del Norte</t>
        </is>
      </c>
      <c r="G623" s="11" t="inlineStr">
        <is>
          <t>Maigo</t>
        </is>
      </c>
      <c r="H623" s="11" t="inlineStr">
        <is>
          <t>Inoma</t>
        </is>
      </c>
      <c r="I623" s="24" t="n">
        <v>8.083299999999999</v>
      </c>
      <c r="J623" s="24" t="n">
        <v>123.9866</v>
      </c>
      <c r="K623" s="23" t="inlineStr">
        <is>
          <t>R</t>
        </is>
      </c>
      <c r="L623" s="25" t="n">
        <v>786</v>
      </c>
      <c r="M623" s="26" t="n">
        <v>4.2</v>
      </c>
      <c r="N623" s="25">
        <f>ROUND(L623/M623, 0)</f>
        <v/>
      </c>
      <c r="O623" s="25">
        <f>ROUND(N623*'Methodology &amp; Assumptions'!$B$7, 0)</f>
        <v/>
      </c>
      <c r="P623" s="23" t="inlineStr">
        <is>
          <t>Single Carrier (Band n50, 100MHz TDD)</t>
        </is>
      </c>
      <c r="Q623" s="27">
        <f>ROUNDUP(O623/'Methodology &amp; Assumptions'!$B$8, 0)</f>
        <v/>
      </c>
      <c r="R623" s="27" t="n">
        <v>1</v>
      </c>
      <c r="S623" s="26" t="n">
        <v>21.12</v>
      </c>
      <c r="T623" s="26" t="n">
        <v>8.23</v>
      </c>
      <c r="U623" s="11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26" t="n">
        <v>41.05</v>
      </c>
      <c r="W623" s="26" t="n">
        <v>80.88</v>
      </c>
      <c r="X623" s="26">
        <f>ROUND(('Methodology &amp; Assumptions'!$B$5*V623) + ('Methodology &amp; Assumptions'!$B$6*W623), 2)</f>
        <v/>
      </c>
      <c r="Y623" s="28" t="n">
        <v>17.4</v>
      </c>
      <c r="Z623" s="11" t="inlineStr">
        <is>
          <t>Priority Tier 2 (Balanced Opportunity)</t>
        </is>
      </c>
    </row>
    <row r="624">
      <c r="A624" s="23" t="n">
        <v>3</v>
      </c>
      <c r="B624" s="23" t="n">
        <v>620</v>
      </c>
      <c r="C624" s="23" t="n">
        <v>2620</v>
      </c>
      <c r="D624" s="23" t="inlineStr">
        <is>
          <t>1401105010</t>
        </is>
      </c>
      <c r="E624" s="11" t="inlineStr">
        <is>
          <t>Cordillera Administrative Region (CAR)</t>
        </is>
      </c>
      <c r="F624" s="11" t="inlineStr">
        <is>
          <t>Benguet</t>
        </is>
      </c>
      <c r="G624" s="11" t="inlineStr">
        <is>
          <t>Buguias</t>
        </is>
      </c>
      <c r="H624" s="11" t="inlineStr">
        <is>
          <t>Loo</t>
        </is>
      </c>
      <c r="I624" s="24" t="n">
        <v>16.79045</v>
      </c>
      <c r="J624" s="24" t="n">
        <v>120.83127</v>
      </c>
      <c r="K624" s="23" t="inlineStr">
        <is>
          <t>R</t>
        </is>
      </c>
      <c r="L624" s="25" t="n">
        <v>5014</v>
      </c>
      <c r="M624" s="26" t="n">
        <v>3.5</v>
      </c>
      <c r="N624" s="25">
        <f>ROUND(L624/M624, 0)</f>
        <v/>
      </c>
      <c r="O624" s="25">
        <f>ROUND(N624*'Methodology &amp; Assumptions'!$B$7, 0)</f>
        <v/>
      </c>
      <c r="P624" s="23" t="inlineStr">
        <is>
          <t>Single Carrier (Band n50, 100MHz TDD)</t>
        </is>
      </c>
      <c r="Q624" s="27">
        <f>ROUNDUP(O624/'Methodology &amp; Assumptions'!$B$8, 0)</f>
        <v/>
      </c>
      <c r="R624" s="27" t="n">
        <v>1</v>
      </c>
      <c r="S624" s="26" t="n">
        <v>1.8</v>
      </c>
      <c r="T624" s="26" t="n">
        <v>0.08</v>
      </c>
      <c r="U624" s="11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26" t="n">
        <v>82.48999999999999</v>
      </c>
      <c r="W624" s="26" t="n">
        <v>39.42</v>
      </c>
      <c r="X624" s="26">
        <f>ROUND(('Methodology &amp; Assumptions'!$B$5*V624) + ('Methodology &amp; Assumptions'!$B$6*W624), 2)</f>
        <v/>
      </c>
      <c r="Y624" s="28" t="n">
        <v>10.9</v>
      </c>
      <c r="Z624" s="11" t="inlineStr">
        <is>
          <t>Priority Tier 2 (Balanced Opportunity)</t>
        </is>
      </c>
    </row>
    <row r="625">
      <c r="A625" s="23" t="n">
        <v>3</v>
      </c>
      <c r="B625" s="23" t="n">
        <v>621</v>
      </c>
      <c r="C625" s="23" t="n">
        <v>2621</v>
      </c>
      <c r="D625" s="23" t="inlineStr">
        <is>
          <t>0702227004</t>
        </is>
      </c>
      <c r="E625" s="11" t="inlineStr">
        <is>
          <t>Region VII (Central Visayas)</t>
        </is>
      </c>
      <c r="F625" s="11" t="inlineStr">
        <is>
          <t>Cebu</t>
        </is>
      </c>
      <c r="G625" s="11" t="inlineStr">
        <is>
          <t>Liloan</t>
        </is>
      </c>
      <c r="H625" s="11" t="inlineStr">
        <is>
          <t>Cotcot</t>
        </is>
      </c>
      <c r="I625" s="24" t="n">
        <v>10.42782</v>
      </c>
      <c r="J625" s="24" t="n">
        <v>124.00167</v>
      </c>
      <c r="K625" s="23" t="inlineStr">
        <is>
          <t>U</t>
        </is>
      </c>
      <c r="L625" s="25" t="n">
        <v>10837</v>
      </c>
      <c r="M625" s="26" t="n">
        <v>3.8</v>
      </c>
      <c r="N625" s="25">
        <f>ROUND(L625/M625, 0)</f>
        <v/>
      </c>
      <c r="O625" s="25">
        <f>ROUND(N625*'Methodology &amp; Assumptions'!$B$7, 0)</f>
        <v/>
      </c>
      <c r="P625" s="23" t="inlineStr">
        <is>
          <t>Single Carrier (Band n50, 100MHz TDD)</t>
        </is>
      </c>
      <c r="Q625" s="27">
        <f>ROUNDUP(O625/'Methodology &amp; Assumptions'!$B$8, 0)</f>
        <v/>
      </c>
      <c r="R625" s="27" t="n">
        <v>1</v>
      </c>
      <c r="S625" s="26" t="n">
        <v>1.38</v>
      </c>
      <c r="T625" s="26" t="n">
        <v>0.06</v>
      </c>
      <c r="U625" s="11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26" t="n">
        <v>78.8</v>
      </c>
      <c r="W625" s="26" t="n">
        <v>43.13</v>
      </c>
      <c r="X625" s="26">
        <f>ROUND(('Methodology &amp; Assumptions'!$B$5*V625) + ('Methodology &amp; Assumptions'!$B$6*W625), 2)</f>
        <v/>
      </c>
      <c r="Y625" s="28" t="n">
        <v>23.7</v>
      </c>
      <c r="Z625" s="11" t="inlineStr">
        <is>
          <t>Priority Tier 2 (Balanced Opportunity)</t>
        </is>
      </c>
    </row>
    <row r="626">
      <c r="A626" s="23" t="n">
        <v>3</v>
      </c>
      <c r="B626" s="23" t="n">
        <v>622</v>
      </c>
      <c r="C626" s="23" t="n">
        <v>2622</v>
      </c>
      <c r="D626" s="23" t="inlineStr">
        <is>
          <t>0300805008</t>
        </is>
      </c>
      <c r="E626" s="11" t="inlineStr">
        <is>
          <t>Region III (Central Luzon)</t>
        </is>
      </c>
      <c r="F626" s="11" t="inlineStr">
        <is>
          <t>Bataan</t>
        </is>
      </c>
      <c r="G626" s="11" t="inlineStr">
        <is>
          <t>Hermosa</t>
        </is>
      </c>
      <c r="H626" s="11" t="inlineStr">
        <is>
          <t>Culis</t>
        </is>
      </c>
      <c r="I626" s="24" t="n">
        <v>14.8385</v>
      </c>
      <c r="J626" s="24" t="n">
        <v>120.47851</v>
      </c>
      <c r="K626" s="23" t="inlineStr">
        <is>
          <t>U</t>
        </is>
      </c>
      <c r="L626" s="25" t="n">
        <v>10782</v>
      </c>
      <c r="M626" s="26" t="n">
        <v>3.6</v>
      </c>
      <c r="N626" s="25">
        <f>ROUND(L626/M626, 0)</f>
        <v/>
      </c>
      <c r="O626" s="25">
        <f>ROUND(N626*'Methodology &amp; Assumptions'!$B$7, 0)</f>
        <v/>
      </c>
      <c r="P626" s="23" t="inlineStr">
        <is>
          <t>Single Carrier (Band n50, 100MHz TDD)</t>
        </is>
      </c>
      <c r="Q626" s="27">
        <f>ROUNDUP(O626/'Methodology &amp; Assumptions'!$B$8, 0)</f>
        <v/>
      </c>
      <c r="R626" s="27" t="n">
        <v>1</v>
      </c>
      <c r="S626" s="26" t="n">
        <v>1.11</v>
      </c>
      <c r="T626" s="26" t="n">
        <v>0.11</v>
      </c>
      <c r="U626" s="11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26" t="n">
        <v>77.39</v>
      </c>
      <c r="W626" s="26" t="n">
        <v>44.52</v>
      </c>
      <c r="X626" s="26">
        <f>ROUND(('Methodology &amp; Assumptions'!$B$5*V626) + ('Methodology &amp; Assumptions'!$B$6*W626), 2)</f>
        <v/>
      </c>
      <c r="Y626" s="28" t="n">
        <v>8.300000000000001</v>
      </c>
      <c r="Z626" s="11" t="inlineStr">
        <is>
          <t>Priority Tier 2 (Balanced Opportunity)</t>
        </is>
      </c>
    </row>
    <row r="627">
      <c r="A627" s="23" t="n">
        <v>3</v>
      </c>
      <c r="B627" s="23" t="n">
        <v>623</v>
      </c>
      <c r="C627" s="23" t="n">
        <v>2623</v>
      </c>
      <c r="D627" s="23" t="inlineStr">
        <is>
          <t>0405812017</t>
        </is>
      </c>
      <c r="E627" s="11" t="inlineStr">
        <is>
          <t>Region IV-A (CALABARZON)</t>
        </is>
      </c>
      <c r="F627" s="11" t="inlineStr">
        <is>
          <t>Rizal</t>
        </is>
      </c>
      <c r="G627" s="11" t="inlineStr">
        <is>
          <t>Tanay</t>
        </is>
      </c>
      <c r="H627" s="11" t="inlineStr">
        <is>
          <t>Tabing Ilog</t>
        </is>
      </c>
      <c r="I627" s="24" t="n">
        <v>14.49804</v>
      </c>
      <c r="J627" s="24" t="n">
        <v>121.28643</v>
      </c>
      <c r="K627" s="23" t="inlineStr">
        <is>
          <t>R</t>
        </is>
      </c>
      <c r="L627" s="25" t="n">
        <v>1910</v>
      </c>
      <c r="M627" s="26" t="n">
        <v>3.6</v>
      </c>
      <c r="N627" s="25">
        <f>ROUND(L627/M627, 0)</f>
        <v/>
      </c>
      <c r="O627" s="25">
        <f>ROUND(N627*'Methodology &amp; Assumptions'!$B$7, 0)</f>
        <v/>
      </c>
      <c r="P627" s="23" t="inlineStr">
        <is>
          <t>Single Carrier (Band n50, 100MHz TDD)</t>
        </is>
      </c>
      <c r="Q627" s="27">
        <f>ROUNDUP(O627/'Methodology &amp; Assumptions'!$B$8, 0)</f>
        <v/>
      </c>
      <c r="R627" s="27" t="n">
        <v>1</v>
      </c>
      <c r="S627" s="26" t="n">
        <v>0.24</v>
      </c>
      <c r="T627" s="26" t="n">
        <v>0.26</v>
      </c>
      <c r="U627" s="11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26" t="n">
        <v>76.15000000000001</v>
      </c>
      <c r="W627" s="26" t="n">
        <v>45.76</v>
      </c>
      <c r="X627" s="26">
        <f>ROUND(('Methodology &amp; Assumptions'!$B$5*V627) + ('Methodology &amp; Assumptions'!$B$6*W627), 2)</f>
        <v/>
      </c>
      <c r="Y627" s="28" t="n">
        <v>7.2</v>
      </c>
      <c r="Z627" s="11" t="inlineStr">
        <is>
          <t>Priority Tier 2 (Balanced Opportunity)</t>
        </is>
      </c>
    </row>
    <row r="628">
      <c r="A628" s="23" t="n">
        <v>3</v>
      </c>
      <c r="B628" s="23" t="n">
        <v>624</v>
      </c>
      <c r="C628" s="23" t="n">
        <v>2624</v>
      </c>
      <c r="D628" s="23" t="inlineStr">
        <is>
          <t>0305409003</t>
        </is>
      </c>
      <c r="E628" s="11" t="inlineStr">
        <is>
          <t>Region III (Central Luzon)</t>
        </is>
      </c>
      <c r="F628" s="11" t="inlineStr">
        <is>
          <t>Pampanga</t>
        </is>
      </c>
      <c r="G628" s="11" t="inlineStr">
        <is>
          <t>Mabalacat City</t>
        </is>
      </c>
      <c r="H628" s="11" t="inlineStr">
        <is>
          <t>Bundagul</t>
        </is>
      </c>
      <c r="I628" s="24" t="n">
        <v>15.228376</v>
      </c>
      <c r="J628" s="24" t="n">
        <v>120.606919</v>
      </c>
      <c r="K628" s="23" t="inlineStr">
        <is>
          <t>U</t>
        </is>
      </c>
      <c r="L628" s="25" t="n">
        <v>4122</v>
      </c>
      <c r="M628" s="26" t="n">
        <v>4</v>
      </c>
      <c r="N628" s="25">
        <f>ROUND(L628/M628, 0)</f>
        <v/>
      </c>
      <c r="O628" s="25">
        <f>ROUND(N628*'Methodology &amp; Assumptions'!$B$7, 0)</f>
        <v/>
      </c>
      <c r="P628" s="23" t="inlineStr">
        <is>
          <t>Single Carrier (Band n50, 100MHz TDD)</t>
        </is>
      </c>
      <c r="Q628" s="27">
        <f>ROUNDUP(O628/'Methodology &amp; Assumptions'!$B$8, 0)</f>
        <v/>
      </c>
      <c r="R628" s="27" t="n">
        <v>1</v>
      </c>
      <c r="S628" s="26" t="n">
        <v>1.69</v>
      </c>
      <c r="T628" s="26" t="n">
        <v>0.19</v>
      </c>
      <c r="U628" s="11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26" t="n">
        <v>75.26000000000001</v>
      </c>
      <c r="W628" s="26" t="n">
        <v>46.66</v>
      </c>
      <c r="X628" s="26">
        <f>ROUND(('Methodology &amp; Assumptions'!$B$5*V628) + ('Methodology &amp; Assumptions'!$B$6*W628), 2)</f>
        <v/>
      </c>
      <c r="Y628" s="28" t="n">
        <v>8.300000000000001</v>
      </c>
      <c r="Z628" s="11" t="inlineStr">
        <is>
          <t>Priority Tier 2 (Balanced Opportunity)</t>
        </is>
      </c>
    </row>
    <row r="629">
      <c r="A629" s="23" t="n">
        <v>3</v>
      </c>
      <c r="B629" s="23" t="n">
        <v>625</v>
      </c>
      <c r="C629" s="23" t="n">
        <v>2625</v>
      </c>
      <c r="D629" s="23" t="inlineStr">
        <is>
          <t>1908803001</t>
        </is>
      </c>
      <c r="E629" s="11" t="inlineStr">
        <is>
          <t>Bangsamoro Autonomous Region In Muslim Mindanao (BARMM)</t>
        </is>
      </c>
      <c r="F629" s="11" t="inlineStr">
        <is>
          <t>Maguindanao del Sur</t>
        </is>
      </c>
      <c r="G629" s="11" t="inlineStr">
        <is>
          <t>Datu Abdullah Sangki</t>
        </is>
      </c>
      <c r="H629" s="11" t="inlineStr">
        <is>
          <t>Banaba</t>
        </is>
      </c>
      <c r="I629" s="24" t="n">
        <v>6.797791</v>
      </c>
      <c r="J629" s="24" t="n">
        <v>124.519604</v>
      </c>
      <c r="K629" s="23" t="inlineStr">
        <is>
          <t>R</t>
        </is>
      </c>
      <c r="L629" s="25" t="n">
        <v>4337</v>
      </c>
      <c r="M629" s="26" t="n">
        <v>4.7</v>
      </c>
      <c r="N629" s="25">
        <f>ROUND(L629/M629, 0)</f>
        <v/>
      </c>
      <c r="O629" s="25">
        <f>ROUND(N629*'Methodology &amp; Assumptions'!$B$7, 0)</f>
        <v/>
      </c>
      <c r="P629" s="23" t="inlineStr">
        <is>
          <t>Single Carrier (Band n50, 100MHz TDD)</t>
        </is>
      </c>
      <c r="Q629" s="27">
        <f>ROUNDUP(O629/'Methodology &amp; Assumptions'!$B$8, 0)</f>
        <v/>
      </c>
      <c r="R629" s="27" t="n">
        <v>1</v>
      </c>
      <c r="S629" s="26" t="n">
        <v>20.82</v>
      </c>
      <c r="T629" s="26" t="n">
        <v>20.76</v>
      </c>
      <c r="U629" s="11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26" t="n">
        <v>59.06</v>
      </c>
      <c r="W629" s="26" t="n">
        <v>62.84</v>
      </c>
      <c r="X629" s="26">
        <f>ROUND(('Methodology &amp; Assumptions'!$B$5*V629) + ('Methodology &amp; Assumptions'!$B$6*W629), 2)</f>
        <v/>
      </c>
      <c r="Y629" s="28" t="n">
        <v>11</v>
      </c>
      <c r="Z629" s="11" t="inlineStr">
        <is>
          <t>Priority Tier 2 (Balanced Opportunity)</t>
        </is>
      </c>
    </row>
    <row r="630">
      <c r="A630" s="23" t="n">
        <v>3</v>
      </c>
      <c r="B630" s="23" t="n">
        <v>626</v>
      </c>
      <c r="C630" s="23" t="n">
        <v>2626</v>
      </c>
      <c r="D630" s="23" t="inlineStr">
        <is>
          <t>1380605049</t>
        </is>
      </c>
      <c r="E630" s="11" t="inlineStr">
        <is>
          <t>National Capital Region (NCR)</t>
        </is>
      </c>
      <c r="F630" s="11" t="inlineStr">
        <is>
          <t>First District (Not a Province)</t>
        </is>
      </c>
      <c r="G630" s="11" t="inlineStr">
        <is>
          <t>City of Manila</t>
        </is>
      </c>
      <c r="H630" s="11" t="inlineStr">
        <is>
          <t>Barangay 347</t>
        </is>
      </c>
      <c r="I630" s="24" t="n">
        <v>14.621214</v>
      </c>
      <c r="J630" s="24" t="n">
        <v>120.983865</v>
      </c>
      <c r="K630" s="23" t="inlineStr">
        <is>
          <t>U</t>
        </is>
      </c>
      <c r="L630" s="25" t="n">
        <v>1283</v>
      </c>
      <c r="M630" s="26" t="n">
        <v>3.89</v>
      </c>
      <c r="N630" s="25">
        <f>ROUND(L630/M630, 0)</f>
        <v/>
      </c>
      <c r="O630" s="25">
        <f>ROUND(N630*'Methodology &amp; Assumptions'!$B$7, 0)</f>
        <v/>
      </c>
      <c r="P630" s="23" t="inlineStr">
        <is>
          <t>Single Carrier (Band n50, 100MHz TDD)</t>
        </is>
      </c>
      <c r="Q630" s="27">
        <f>ROUNDUP(O630/'Methodology &amp; Assumptions'!$B$8, 0)</f>
        <v/>
      </c>
      <c r="R630" s="27" t="n">
        <v>1</v>
      </c>
      <c r="S630" s="26" t="n">
        <v>0.54</v>
      </c>
      <c r="T630" s="26" t="n">
        <v>0.1</v>
      </c>
      <c r="U630" s="11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26" t="n">
        <v>51.7</v>
      </c>
      <c r="W630" s="26" t="n">
        <v>70.20999999999999</v>
      </c>
      <c r="X630" s="26">
        <f>ROUND(('Methodology &amp; Assumptions'!$B$5*V630) + ('Methodology &amp; Assumptions'!$B$6*W630), 2)</f>
        <v/>
      </c>
      <c r="Y630" s="28" t="n">
        <v>10.9</v>
      </c>
      <c r="Z630" s="11" t="inlineStr">
        <is>
          <t>Priority Tier 2 (Balanced Opportunity)</t>
        </is>
      </c>
    </row>
    <row r="631">
      <c r="A631" s="23" t="n">
        <v>3</v>
      </c>
      <c r="B631" s="23" t="n">
        <v>627</v>
      </c>
      <c r="C631" s="23" t="n">
        <v>2627</v>
      </c>
      <c r="D631" s="23" t="inlineStr">
        <is>
          <t>1003516009</t>
        </is>
      </c>
      <c r="E631" s="11" t="inlineStr">
        <is>
          <t>Region X (Northern Mindanao)</t>
        </is>
      </c>
      <c r="F631" s="11" t="inlineStr">
        <is>
          <t>Lanao del Norte</t>
        </is>
      </c>
      <c r="G631" s="11" t="inlineStr">
        <is>
          <t>Pantao Ragat</t>
        </is>
      </c>
      <c r="H631" s="11" t="inlineStr">
        <is>
          <t>Culubun</t>
        </is>
      </c>
      <c r="I631" s="24" t="n">
        <v>8.0442</v>
      </c>
      <c r="J631" s="24" t="n">
        <v>124.1266</v>
      </c>
      <c r="K631" s="23" t="inlineStr">
        <is>
          <t>R</t>
        </is>
      </c>
      <c r="L631" s="25" t="n">
        <v>1499</v>
      </c>
      <c r="M631" s="26" t="n">
        <v>4.2</v>
      </c>
      <c r="N631" s="25">
        <f>ROUND(L631/M631, 0)</f>
        <v/>
      </c>
      <c r="O631" s="25">
        <f>ROUND(N631*'Methodology &amp; Assumptions'!$B$7, 0)</f>
        <v/>
      </c>
      <c r="P631" s="23" t="inlineStr">
        <is>
          <t>Single Carrier (Band n50, 100MHz TDD)</t>
        </is>
      </c>
      <c r="Q631" s="27">
        <f>ROUNDUP(O631/'Methodology &amp; Assumptions'!$B$8, 0)</f>
        <v/>
      </c>
      <c r="R631" s="27" t="n">
        <v>1</v>
      </c>
      <c r="S631" s="26" t="n">
        <v>16.7</v>
      </c>
      <c r="T631" s="26" t="n">
        <v>12.96</v>
      </c>
      <c r="U631" s="11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26" t="n">
        <v>46.37</v>
      </c>
      <c r="W631" s="26" t="n">
        <v>75.54000000000001</v>
      </c>
      <c r="X631" s="26">
        <f>ROUND(('Methodology &amp; Assumptions'!$B$5*V631) + ('Methodology &amp; Assumptions'!$B$6*W631), 2)</f>
        <v/>
      </c>
      <c r="Y631" s="28" t="n">
        <v>17.4</v>
      </c>
      <c r="Z631" s="11" t="inlineStr">
        <is>
          <t>Priority Tier 2 (Balanced Opportunity)</t>
        </is>
      </c>
    </row>
    <row r="632">
      <c r="A632" s="23" t="n">
        <v>3</v>
      </c>
      <c r="B632" s="23" t="n">
        <v>628</v>
      </c>
      <c r="C632" s="23" t="n">
        <v>2628</v>
      </c>
      <c r="D632" s="23" t="inlineStr">
        <is>
          <t>1004311014</t>
        </is>
      </c>
      <c r="E632" s="11" t="inlineStr">
        <is>
          <t>Region X (Northern Mindanao)</t>
        </is>
      </c>
      <c r="F632" s="11" t="inlineStr">
        <is>
          <t>Misamis Oriental</t>
        </is>
      </c>
      <c r="G632" s="11" t="inlineStr">
        <is>
          <t>Jasaan</t>
        </is>
      </c>
      <c r="H632" s="11" t="inlineStr">
        <is>
          <t>Upper Jasaan</t>
        </is>
      </c>
      <c r="I632" s="24" t="n">
        <v>8.651788</v>
      </c>
      <c r="J632" s="24" t="n">
        <v>124.755999</v>
      </c>
      <c r="K632" s="23" t="inlineStr">
        <is>
          <t>R</t>
        </is>
      </c>
      <c r="L632" s="25" t="n">
        <v>4469</v>
      </c>
      <c r="M632" s="26" t="n">
        <v>3.9</v>
      </c>
      <c r="N632" s="25">
        <f>ROUND(L632/M632, 0)</f>
        <v/>
      </c>
      <c r="O632" s="25">
        <f>ROUND(N632*'Methodology &amp; Assumptions'!$B$7, 0)</f>
        <v/>
      </c>
      <c r="P632" s="23" t="inlineStr">
        <is>
          <t>Single Carrier (Band n50, 100MHz TDD)</t>
        </is>
      </c>
      <c r="Q632" s="27">
        <f>ROUNDUP(O632/'Methodology &amp; Assumptions'!$B$8, 0)</f>
        <v/>
      </c>
      <c r="R632" s="27" t="n">
        <v>1</v>
      </c>
      <c r="S632" s="26" t="n">
        <v>0.29</v>
      </c>
      <c r="T632" s="26" t="n">
        <v>0.24</v>
      </c>
      <c r="U632" s="11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26" t="n">
        <v>87.06999999999999</v>
      </c>
      <c r="W632" s="26" t="n">
        <v>34.81</v>
      </c>
      <c r="X632" s="26">
        <f>ROUND(('Methodology &amp; Assumptions'!$B$5*V632) + ('Methodology &amp; Assumptions'!$B$6*W632), 2)</f>
        <v/>
      </c>
      <c r="Y632" s="28" t="n">
        <v>17.4</v>
      </c>
      <c r="Z632" s="11" t="inlineStr">
        <is>
          <t>Priority Tier 2 (Balanced Opportunity)</t>
        </is>
      </c>
    </row>
    <row r="633">
      <c r="A633" s="23" t="n">
        <v>3</v>
      </c>
      <c r="B633" s="23" t="n">
        <v>629</v>
      </c>
      <c r="C633" s="23" t="n">
        <v>2629</v>
      </c>
      <c r="D633" s="23" t="inlineStr">
        <is>
          <t>1001307013</t>
        </is>
      </c>
      <c r="E633" s="11" t="inlineStr">
        <is>
          <t>Region X (Northern Mindanao)</t>
        </is>
      </c>
      <c r="F633" s="11" t="inlineStr">
        <is>
          <t>Bukidnon</t>
        </is>
      </c>
      <c r="G633" s="11" t="inlineStr">
        <is>
          <t>Kalilangan</t>
        </is>
      </c>
      <c r="H633" s="11" t="inlineStr">
        <is>
          <t>Ninoy Aquino</t>
        </is>
      </c>
      <c r="I633" s="24" t="n">
        <v>7.742058</v>
      </c>
      <c r="J633" s="24" t="n">
        <v>124.771217</v>
      </c>
      <c r="K633" s="23" t="inlineStr">
        <is>
          <t>R</t>
        </is>
      </c>
      <c r="L633" s="25" t="n">
        <v>5005</v>
      </c>
      <c r="M633" s="26" t="n">
        <v>3.8</v>
      </c>
      <c r="N633" s="25">
        <f>ROUND(L633/M633, 0)</f>
        <v/>
      </c>
      <c r="O633" s="25">
        <f>ROUND(N633*'Methodology &amp; Assumptions'!$B$7, 0)</f>
        <v/>
      </c>
      <c r="P633" s="23" t="inlineStr">
        <is>
          <t>Single Carrier (Band n50, 100MHz TDD)</t>
        </is>
      </c>
      <c r="Q633" s="27">
        <f>ROUNDUP(O633/'Methodology &amp; Assumptions'!$B$8, 0)</f>
        <v/>
      </c>
      <c r="R633" s="27" t="n">
        <v>1</v>
      </c>
      <c r="S633" s="26" t="n">
        <v>17.2</v>
      </c>
      <c r="T633" s="26" t="n">
        <v>21.74</v>
      </c>
      <c r="U633" s="11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26" t="n">
        <v>61.82</v>
      </c>
      <c r="W633" s="26" t="n">
        <v>60.06</v>
      </c>
      <c r="X633" s="26">
        <f>ROUND(('Methodology &amp; Assumptions'!$B$5*V633) + ('Methodology &amp; Assumptions'!$B$6*W633), 2)</f>
        <v/>
      </c>
      <c r="Y633" s="28" t="n">
        <v>17.4</v>
      </c>
      <c r="Z633" s="11" t="inlineStr">
        <is>
          <t>Priority Tier 2 (Balanced Opportunity)</t>
        </is>
      </c>
    </row>
    <row r="634">
      <c r="A634" s="23" t="n">
        <v>3</v>
      </c>
      <c r="B634" s="23" t="n">
        <v>630</v>
      </c>
      <c r="C634" s="23" t="n">
        <v>2630</v>
      </c>
      <c r="D634" s="23" t="inlineStr">
        <is>
          <t>1102503002</t>
        </is>
      </c>
      <c r="E634" s="11" t="inlineStr">
        <is>
          <t>Region XI (Davao Region)</t>
        </is>
      </c>
      <c r="F634" s="11" t="inlineStr">
        <is>
          <t>Davao Oriental</t>
        </is>
      </c>
      <c r="G634" s="11" t="inlineStr">
        <is>
          <t>Boston</t>
        </is>
      </c>
      <c r="H634" s="11" t="inlineStr">
        <is>
          <t>Caatihan</t>
        </is>
      </c>
      <c r="I634" s="24" t="n">
        <v>7.962602</v>
      </c>
      <c r="J634" s="24" t="n">
        <v>126.344392</v>
      </c>
      <c r="K634" s="23" t="inlineStr">
        <is>
          <t>R</t>
        </is>
      </c>
      <c r="L634" s="25" t="n">
        <v>1654</v>
      </c>
      <c r="M634" s="26" t="n">
        <v>3.6</v>
      </c>
      <c r="N634" s="25">
        <f>ROUND(L634/M634, 0)</f>
        <v/>
      </c>
      <c r="O634" s="25">
        <f>ROUND(N634*'Methodology &amp; Assumptions'!$B$7, 0)</f>
        <v/>
      </c>
      <c r="P634" s="23" t="inlineStr">
        <is>
          <t>Single Carrier (Band n50, 100MHz TDD)</t>
        </is>
      </c>
      <c r="Q634" s="27">
        <f>ROUNDUP(O634/'Methodology &amp; Assumptions'!$B$8, 0)</f>
        <v/>
      </c>
      <c r="R634" s="27" t="n">
        <v>1</v>
      </c>
      <c r="S634" s="26" t="n">
        <v>32.33</v>
      </c>
      <c r="T634" s="26" t="n">
        <v>28.2</v>
      </c>
      <c r="U634" s="11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26" t="n">
        <v>49.6</v>
      </c>
      <c r="W634" s="26" t="n">
        <v>72.29000000000001</v>
      </c>
      <c r="X634" s="26">
        <f>ROUND(('Methodology &amp; Assumptions'!$B$5*V634) + ('Methodology &amp; Assumptions'!$B$6*W634), 2)</f>
        <v/>
      </c>
      <c r="Y634" s="28" t="n">
        <v>17.4</v>
      </c>
      <c r="Z634" s="11" t="inlineStr">
        <is>
          <t>Priority Tier 2 (Balanced Opportunity)</t>
        </is>
      </c>
    </row>
    <row r="635">
      <c r="A635" s="23" t="n">
        <v>3</v>
      </c>
      <c r="B635" s="23" t="n">
        <v>631</v>
      </c>
      <c r="C635" s="23" t="n">
        <v>2631</v>
      </c>
      <c r="D635" s="23" t="inlineStr">
        <is>
          <t>0105526014</t>
        </is>
      </c>
      <c r="E635" s="11" t="inlineStr">
        <is>
          <t>Region I (Ilocos Region)</t>
        </is>
      </c>
      <c r="F635" s="11" t="inlineStr">
        <is>
          <t>Pangasinan</t>
        </is>
      </c>
      <c r="G635" s="11" t="inlineStr">
        <is>
          <t>Mangaldan</t>
        </is>
      </c>
      <c r="H635" s="11" t="inlineStr">
        <is>
          <t>Guilig</t>
        </is>
      </c>
      <c r="I635" s="24" t="n">
        <v>16.0673</v>
      </c>
      <c r="J635" s="24" t="n">
        <v>120.3955</v>
      </c>
      <c r="K635" s="23" t="inlineStr">
        <is>
          <t>R</t>
        </is>
      </c>
      <c r="L635" s="25" t="n">
        <v>3480</v>
      </c>
      <c r="M635" s="26" t="n">
        <v>3.6</v>
      </c>
      <c r="N635" s="25">
        <f>ROUND(L635/M635, 0)</f>
        <v/>
      </c>
      <c r="O635" s="25">
        <f>ROUND(N635*'Methodology &amp; Assumptions'!$B$7, 0)</f>
        <v/>
      </c>
      <c r="P635" s="23" t="inlineStr">
        <is>
          <t>Single Carrier (Band n50, 100MHz TDD)</t>
        </is>
      </c>
      <c r="Q635" s="27">
        <f>ROUNDUP(O635/'Methodology &amp; Assumptions'!$B$8, 0)</f>
        <v/>
      </c>
      <c r="R635" s="27" t="n">
        <v>1</v>
      </c>
      <c r="S635" s="26" t="n">
        <v>0.73</v>
      </c>
      <c r="T635" s="26" t="n">
        <v>0.91</v>
      </c>
      <c r="U635" s="11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26" t="n">
        <v>85.63</v>
      </c>
      <c r="W635" s="26" t="n">
        <v>36.23</v>
      </c>
      <c r="X635" s="26">
        <f>ROUND(('Methodology &amp; Assumptions'!$B$5*V635) + ('Methodology &amp; Assumptions'!$B$6*W635), 2)</f>
        <v/>
      </c>
      <c r="Y635" s="28" t="n">
        <v>8.300000000000001</v>
      </c>
      <c r="Z635" s="11" t="inlineStr">
        <is>
          <t>Priority Tier 2 (Balanced Opportunity)</t>
        </is>
      </c>
    </row>
    <row r="636">
      <c r="A636" s="23" t="n">
        <v>3</v>
      </c>
      <c r="B636" s="23" t="n">
        <v>632</v>
      </c>
      <c r="C636" s="23" t="n">
        <v>2632</v>
      </c>
      <c r="D636" s="23" t="inlineStr">
        <is>
          <t>1380601007</t>
        </is>
      </c>
      <c r="E636" s="11" t="inlineStr">
        <is>
          <t>National Capital Region (NCR)</t>
        </is>
      </c>
      <c r="F636" s="11" t="inlineStr">
        <is>
          <t>First District (Not a Province)</t>
        </is>
      </c>
      <c r="G636" s="11" t="inlineStr">
        <is>
          <t>City of Manila</t>
        </is>
      </c>
      <c r="H636" s="11" t="inlineStr">
        <is>
          <t>Barangay 7</t>
        </is>
      </c>
      <c r="I636" s="24" t="n">
        <v>14.606514</v>
      </c>
      <c r="J636" s="24" t="n">
        <v>120.969017</v>
      </c>
      <c r="K636" s="23" t="inlineStr">
        <is>
          <t>U</t>
        </is>
      </c>
      <c r="L636" s="25" t="n">
        <v>1566</v>
      </c>
      <c r="M636" s="26" t="n">
        <v>4.86</v>
      </c>
      <c r="N636" s="25">
        <f>ROUND(L636/M636, 0)</f>
        <v/>
      </c>
      <c r="O636" s="25">
        <f>ROUND(N636*'Methodology &amp; Assumptions'!$B$7, 0)</f>
        <v/>
      </c>
      <c r="P636" s="23" t="inlineStr">
        <is>
          <t>Single Carrier (Band n50, 100MHz TDD)</t>
        </is>
      </c>
      <c r="Q636" s="27">
        <f>ROUNDUP(O636/'Methodology &amp; Assumptions'!$B$8, 0)</f>
        <v/>
      </c>
      <c r="R636" s="27" t="n">
        <v>1</v>
      </c>
      <c r="S636" s="26" t="n">
        <v>0.08</v>
      </c>
      <c r="T636" s="26" t="n">
        <v>0.08</v>
      </c>
      <c r="U636" s="11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26" t="n">
        <v>51.48</v>
      </c>
      <c r="W636" s="26" t="n">
        <v>70.37</v>
      </c>
      <c r="X636" s="26">
        <f>ROUND(('Methodology &amp; Assumptions'!$B$5*V636) + ('Methodology &amp; Assumptions'!$B$6*W636), 2)</f>
        <v/>
      </c>
      <c r="Y636" s="28" t="n">
        <v>10.9</v>
      </c>
      <c r="Z636" s="11" t="inlineStr">
        <is>
          <t>Priority Tier 2 (Balanced Opportunity)</t>
        </is>
      </c>
    </row>
    <row r="637">
      <c r="A637" s="23" t="n">
        <v>3</v>
      </c>
      <c r="B637" s="23" t="n">
        <v>633</v>
      </c>
      <c r="C637" s="23" t="n">
        <v>2633</v>
      </c>
      <c r="D637" s="23" t="inlineStr">
        <is>
          <t>0501710020</t>
        </is>
      </c>
      <c r="E637" s="11" t="inlineStr">
        <is>
          <t>Region V (Bicol Region)</t>
        </is>
      </c>
      <c r="F637" s="11" t="inlineStr">
        <is>
          <t>Camarines Sur</t>
        </is>
      </c>
      <c r="G637" s="11" t="inlineStr">
        <is>
          <t>Canaman</t>
        </is>
      </c>
      <c r="H637" s="11" t="inlineStr">
        <is>
          <t>San Vicente</t>
        </is>
      </c>
      <c r="I637" s="24" t="n">
        <v>13.635043</v>
      </c>
      <c r="J637" s="24" t="n">
        <v>123.178849</v>
      </c>
      <c r="K637" s="23" t="inlineStr">
        <is>
          <t>R</t>
        </is>
      </c>
      <c r="L637" s="25" t="n">
        <v>3158</v>
      </c>
      <c r="M637" s="26" t="n">
        <v>4.2</v>
      </c>
      <c r="N637" s="25">
        <f>ROUND(L637/M637, 0)</f>
        <v/>
      </c>
      <c r="O637" s="25">
        <f>ROUND(N637*'Methodology &amp; Assumptions'!$B$7, 0)</f>
        <v/>
      </c>
      <c r="P637" s="23" t="inlineStr">
        <is>
          <t>Single Carrier (Band n50, 100MHz TDD)</t>
        </is>
      </c>
      <c r="Q637" s="27">
        <f>ROUNDUP(O637/'Methodology &amp; Assumptions'!$B$8, 0)</f>
        <v/>
      </c>
      <c r="R637" s="27" t="n">
        <v>1</v>
      </c>
      <c r="S637" s="26" t="n">
        <v>1.83</v>
      </c>
      <c r="T637" s="26" t="n">
        <v>0.77</v>
      </c>
      <c r="U637" s="11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26" t="n">
        <v>80.70999999999999</v>
      </c>
      <c r="W637" s="26" t="n">
        <v>41.14</v>
      </c>
      <c r="X637" s="26">
        <f>ROUND(('Methodology &amp; Assumptions'!$B$5*V637) + ('Methodology &amp; Assumptions'!$B$6*W637), 2)</f>
        <v/>
      </c>
      <c r="Y637" s="28" t="n">
        <v>23.7</v>
      </c>
      <c r="Z637" s="11" t="inlineStr">
        <is>
          <t>Priority Tier 2 (Balanced Opportunity)</t>
        </is>
      </c>
    </row>
    <row r="638">
      <c r="A638" s="23" t="n">
        <v>3</v>
      </c>
      <c r="B638" s="23" t="n">
        <v>634</v>
      </c>
      <c r="C638" s="23" t="n">
        <v>2634</v>
      </c>
      <c r="D638" s="23" t="inlineStr">
        <is>
          <t>0403416026</t>
        </is>
      </c>
      <c r="E638" s="11" t="inlineStr">
        <is>
          <t>Region IV-A (CALABARZON)</t>
        </is>
      </c>
      <c r="F638" s="11" t="inlineStr">
        <is>
          <t>Laguna</t>
        </is>
      </c>
      <c r="G638" s="11" t="inlineStr">
        <is>
          <t>Majayjay</t>
        </is>
      </c>
      <c r="H638" s="11" t="inlineStr">
        <is>
          <t>Origuel</t>
        </is>
      </c>
      <c r="I638" s="24" t="n">
        <v>14.141901</v>
      </c>
      <c r="J638" s="24" t="n">
        <v>121.473915</v>
      </c>
      <c r="K638" s="23" t="inlineStr">
        <is>
          <t>R</t>
        </is>
      </c>
      <c r="L638" s="25" t="n">
        <v>1585</v>
      </c>
      <c r="M638" s="26" t="n">
        <v>3.3</v>
      </c>
      <c r="N638" s="25">
        <f>ROUND(L638/M638, 0)</f>
        <v/>
      </c>
      <c r="O638" s="25">
        <f>ROUND(N638*'Methodology &amp; Assumptions'!$B$7, 0)</f>
        <v/>
      </c>
      <c r="P638" s="23" t="inlineStr">
        <is>
          <t>Single Carrier (Band n50, 100MHz TDD)</t>
        </is>
      </c>
      <c r="Q638" s="27">
        <f>ROUNDUP(O638/'Methodology &amp; Assumptions'!$B$8, 0)</f>
        <v/>
      </c>
      <c r="R638" s="27" t="n">
        <v>1</v>
      </c>
      <c r="S638" s="26" t="n">
        <v>0.42</v>
      </c>
      <c r="T638" s="26" t="n">
        <v>0.36</v>
      </c>
      <c r="U638" s="11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26" t="n">
        <v>74.52</v>
      </c>
      <c r="W638" s="26" t="n">
        <v>47.31</v>
      </c>
      <c r="X638" s="26">
        <f>ROUND(('Methodology &amp; Assumptions'!$B$5*V638) + ('Methodology &amp; Assumptions'!$B$6*W638), 2)</f>
        <v/>
      </c>
      <c r="Y638" s="28" t="n">
        <v>7.2</v>
      </c>
      <c r="Z638" s="11" t="inlineStr">
        <is>
          <t>Priority Tier 2 (Balanced Opportunity)</t>
        </is>
      </c>
    </row>
    <row r="639">
      <c r="A639" s="23" t="n">
        <v>3</v>
      </c>
      <c r="B639" s="23" t="n">
        <v>635</v>
      </c>
      <c r="C639" s="23" t="n">
        <v>2635</v>
      </c>
      <c r="D639" s="23" t="inlineStr">
        <is>
          <t>1206505013</t>
        </is>
      </c>
      <c r="E639" s="11" t="inlineStr">
        <is>
          <t>Region XII (SOCCSKSARGEN)</t>
        </is>
      </c>
      <c r="F639" s="11" t="inlineStr">
        <is>
          <t>Sultan Kudarat</t>
        </is>
      </c>
      <c r="G639" s="11" t="inlineStr">
        <is>
          <t>Kalamansig</t>
        </is>
      </c>
      <c r="H639" s="11" t="inlineStr">
        <is>
          <t>Obial</t>
        </is>
      </c>
      <c r="I639" s="24" t="n">
        <v>6.607222</v>
      </c>
      <c r="J639" s="24" t="n">
        <v>124.125556</v>
      </c>
      <c r="K639" s="23" t="inlineStr">
        <is>
          <t>R</t>
        </is>
      </c>
      <c r="L639" s="25" t="n">
        <v>2464</v>
      </c>
      <c r="M639" s="26" t="n">
        <v>3.8</v>
      </c>
      <c r="N639" s="25">
        <f>ROUND(L639/M639, 0)</f>
        <v/>
      </c>
      <c r="O639" s="25">
        <f>ROUND(N639*'Methodology &amp; Assumptions'!$B$7, 0)</f>
        <v/>
      </c>
      <c r="P639" s="23" t="inlineStr">
        <is>
          <t>Single Carrier (Band n50, 100MHz TDD)</t>
        </is>
      </c>
      <c r="Q639" s="27">
        <f>ROUNDUP(O639/'Methodology &amp; Assumptions'!$B$8, 0)</f>
        <v/>
      </c>
      <c r="R639" s="27" t="n">
        <v>1</v>
      </c>
      <c r="S639" s="26" t="n">
        <v>61.21</v>
      </c>
      <c r="T639" s="26" t="n">
        <v>61.19</v>
      </c>
      <c r="U639" s="11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26" t="n">
        <v>55.43</v>
      </c>
      <c r="W639" s="26" t="n">
        <v>66.41</v>
      </c>
      <c r="X639" s="26">
        <f>ROUND(('Methodology &amp; Assumptions'!$B$5*V639) + ('Methodology &amp; Assumptions'!$B$6*W639), 2)</f>
        <v/>
      </c>
      <c r="Y639" s="28" t="n">
        <v>17.4</v>
      </c>
      <c r="Z639" s="11" t="inlineStr">
        <is>
          <t>Priority Tier 2 (Balanced Opportunity)</t>
        </is>
      </c>
    </row>
    <row r="640">
      <c r="A640" s="23" t="n">
        <v>3</v>
      </c>
      <c r="B640" s="23" t="n">
        <v>636</v>
      </c>
      <c r="C640" s="23" t="n">
        <v>2636</v>
      </c>
      <c r="D640" s="23" t="inlineStr">
        <is>
          <t>1380612032</t>
        </is>
      </c>
      <c r="E640" s="11" t="inlineStr">
        <is>
          <t>National Capital Region (NCR)</t>
        </is>
      </c>
      <c r="F640" s="11" t="inlineStr">
        <is>
          <t>First District (Not a Province)</t>
        </is>
      </c>
      <c r="G640" s="11" t="inlineStr">
        <is>
          <t>City of Manila</t>
        </is>
      </c>
      <c r="H640" s="11" t="inlineStr">
        <is>
          <t>Barangay 864</t>
        </is>
      </c>
      <c r="I640" s="24" t="n">
        <v>14.587055</v>
      </c>
      <c r="J640" s="24" t="n">
        <v>121.004803</v>
      </c>
      <c r="K640" s="23" t="inlineStr">
        <is>
          <t>U</t>
        </is>
      </c>
      <c r="L640" s="25" t="n">
        <v>822</v>
      </c>
      <c r="M640" s="26" t="n">
        <v>2.87</v>
      </c>
      <c r="N640" s="25">
        <f>ROUND(L640/M640, 0)</f>
        <v/>
      </c>
      <c r="O640" s="25">
        <f>ROUND(N640*'Methodology &amp; Assumptions'!$B$7, 0)</f>
        <v/>
      </c>
      <c r="P640" s="23" t="inlineStr">
        <is>
          <t>Single Carrier (Band n50, 100MHz TDD)</t>
        </is>
      </c>
      <c r="Q640" s="27">
        <f>ROUNDUP(O640/'Methodology &amp; Assumptions'!$B$8, 0)</f>
        <v/>
      </c>
      <c r="R640" s="27" t="n">
        <v>1</v>
      </c>
      <c r="S640" s="26" t="n">
        <v>0.37</v>
      </c>
      <c r="T640" s="26" t="n">
        <v>0.29</v>
      </c>
      <c r="U640" s="11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26" t="n">
        <v>50.3</v>
      </c>
      <c r="W640" s="26" t="n">
        <v>71.54000000000001</v>
      </c>
      <c r="X640" s="26">
        <f>ROUND(('Methodology &amp; Assumptions'!$B$5*V640) + ('Methodology &amp; Assumptions'!$B$6*W640), 2)</f>
        <v/>
      </c>
      <c r="Y640" s="28" t="n">
        <v>10.9</v>
      </c>
      <c r="Z640" s="11" t="inlineStr">
        <is>
          <t>Priority Tier 2 (Balanced Opportunity)</t>
        </is>
      </c>
    </row>
    <row r="641">
      <c r="A641" s="23" t="n">
        <v>3</v>
      </c>
      <c r="B641" s="23" t="n">
        <v>637</v>
      </c>
      <c r="C641" s="23" t="n">
        <v>2637</v>
      </c>
      <c r="D641" s="23" t="inlineStr">
        <is>
          <t>0501711012</t>
        </is>
      </c>
      <c r="E641" s="11" t="inlineStr">
        <is>
          <t>Region V (Bicol Region)</t>
        </is>
      </c>
      <c r="F641" s="11" t="inlineStr">
        <is>
          <t>Camarines Sur</t>
        </is>
      </c>
      <c r="G641" s="11" t="inlineStr">
        <is>
          <t>Caramoan</t>
        </is>
      </c>
      <c r="H641" s="11" t="inlineStr">
        <is>
          <t>Gogon</t>
        </is>
      </c>
      <c r="I641" s="24" t="n">
        <v>13.961623</v>
      </c>
      <c r="J641" s="24" t="n">
        <v>123.832939</v>
      </c>
      <c r="K641" s="23" t="inlineStr">
        <is>
          <t>R</t>
        </is>
      </c>
      <c r="L641" s="25" t="n">
        <v>1595</v>
      </c>
      <c r="M641" s="26" t="n">
        <v>4.2</v>
      </c>
      <c r="N641" s="25">
        <f>ROUND(L641/M641, 0)</f>
        <v/>
      </c>
      <c r="O641" s="25">
        <f>ROUND(N641*'Methodology &amp; Assumptions'!$B$7, 0)</f>
        <v/>
      </c>
      <c r="P641" s="23" t="inlineStr">
        <is>
          <t>Single Carrier (Band n50, 100MHz TDD)</t>
        </is>
      </c>
      <c r="Q641" s="27">
        <f>ROUNDUP(O641/'Methodology &amp; Assumptions'!$B$8, 0)</f>
        <v/>
      </c>
      <c r="R641" s="27" t="n">
        <v>1</v>
      </c>
      <c r="S641" s="26" t="n">
        <v>21.09</v>
      </c>
      <c r="T641" s="26" t="n">
        <v>47.57</v>
      </c>
      <c r="U641" s="11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26" t="n">
        <v>47.77</v>
      </c>
      <c r="W641" s="26" t="n">
        <v>74.06999999999999</v>
      </c>
      <c r="X641" s="26">
        <f>ROUND(('Methodology &amp; Assumptions'!$B$5*V641) + ('Methodology &amp; Assumptions'!$B$6*W641), 2)</f>
        <v/>
      </c>
      <c r="Y641" s="28" t="n">
        <v>23.7</v>
      </c>
      <c r="Z641" s="11" t="inlineStr">
        <is>
          <t>Priority Tier 2 (Balanced Opportunity)</t>
        </is>
      </c>
    </row>
    <row r="642">
      <c r="A642" s="23" t="n">
        <v>3</v>
      </c>
      <c r="B642" s="23" t="n">
        <v>638</v>
      </c>
      <c r="C642" s="23" t="n">
        <v>2638</v>
      </c>
      <c r="D642" s="23" t="inlineStr">
        <is>
          <t>0405625010</t>
        </is>
      </c>
      <c r="E642" s="11" t="inlineStr">
        <is>
          <t>Region IV-A (CALABARZON)</t>
        </is>
      </c>
      <c r="F642" s="11" t="inlineStr">
        <is>
          <t>Quezon</t>
        </is>
      </c>
      <c r="G642" s="11" t="inlineStr">
        <is>
          <t>Macalelon</t>
        </is>
      </c>
      <c r="H642" s="11" t="inlineStr">
        <is>
          <t>Malabahay</t>
        </is>
      </c>
      <c r="I642" s="24" t="n">
        <v>13.769837</v>
      </c>
      <c r="J642" s="24" t="n">
        <v>122.233002</v>
      </c>
      <c r="K642" s="23" t="inlineStr">
        <is>
          <t>R</t>
        </is>
      </c>
      <c r="L642" s="25" t="n">
        <v>720</v>
      </c>
      <c r="M642" s="26" t="n">
        <v>3.8</v>
      </c>
      <c r="N642" s="25">
        <f>ROUND(L642/M642, 0)</f>
        <v/>
      </c>
      <c r="O642" s="25">
        <f>ROUND(N642*'Methodology &amp; Assumptions'!$B$7, 0)</f>
        <v/>
      </c>
      <c r="P642" s="23" t="inlineStr">
        <is>
          <t>Single Carrier (Band n50, 100MHz TDD)</t>
        </is>
      </c>
      <c r="Q642" s="27">
        <f>ROUNDUP(O642/'Methodology &amp; Assumptions'!$B$8, 0)</f>
        <v/>
      </c>
      <c r="R642" s="27" t="n">
        <v>1</v>
      </c>
      <c r="S642" s="26" t="n">
        <v>9.69</v>
      </c>
      <c r="T642" s="26" t="n">
        <v>7.14</v>
      </c>
      <c r="U642" s="11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26" t="n">
        <v>44.79</v>
      </c>
      <c r="W642" s="26" t="n">
        <v>77.05</v>
      </c>
      <c r="X642" s="26">
        <f>ROUND(('Methodology &amp; Assumptions'!$B$5*V642) + ('Methodology &amp; Assumptions'!$B$6*W642), 2)</f>
        <v/>
      </c>
      <c r="Y642" s="28" t="n">
        <v>7.2</v>
      </c>
      <c r="Z642" s="11" t="inlineStr">
        <is>
          <t>Priority Tier 2 (Balanced Opportunity)</t>
        </is>
      </c>
    </row>
    <row r="643">
      <c r="A643" s="23" t="n">
        <v>3</v>
      </c>
      <c r="B643" s="23" t="n">
        <v>639</v>
      </c>
      <c r="C643" s="23" t="n">
        <v>2639</v>
      </c>
      <c r="D643" s="23" t="inlineStr">
        <is>
          <t>1206318001</t>
        </is>
      </c>
      <c r="E643" s="11" t="inlineStr">
        <is>
          <t>Region XII (SOCCSKSARGEN)</t>
        </is>
      </c>
      <c r="F643" s="11" t="inlineStr">
        <is>
          <t>South Cotabato</t>
        </is>
      </c>
      <c r="G643" s="11" t="inlineStr">
        <is>
          <t>Santo Niño</t>
        </is>
      </c>
      <c r="H643" s="11" t="inlineStr">
        <is>
          <t>Ambalgan</t>
        </is>
      </c>
      <c r="I643" s="24" t="n">
        <v>17.890137</v>
      </c>
      <c r="J643" s="24" t="n">
        <v>121.565536</v>
      </c>
      <c r="K643" s="23" t="inlineStr">
        <is>
          <t>R</t>
        </is>
      </c>
      <c r="L643" s="25" t="n">
        <v>3596</v>
      </c>
      <c r="M643" s="26" t="n">
        <v>3.6</v>
      </c>
      <c r="N643" s="25">
        <f>ROUND(L643/M643, 0)</f>
        <v/>
      </c>
      <c r="O643" s="25">
        <f>ROUND(N643*'Methodology &amp; Assumptions'!$B$7, 0)</f>
        <v/>
      </c>
      <c r="P643" s="23" t="inlineStr">
        <is>
          <t>Single Carrier (Band n50, 100MHz TDD)</t>
        </is>
      </c>
      <c r="Q643" s="27">
        <f>ROUNDUP(O643/'Methodology &amp; Assumptions'!$B$8, 0)</f>
        <v/>
      </c>
      <c r="R643" s="27" t="n">
        <v>1</v>
      </c>
      <c r="S643" s="26" t="n">
        <v>0.79</v>
      </c>
      <c r="T643" s="26" t="n">
        <v>8.220000000000001</v>
      </c>
      <c r="U643" s="11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26" t="n">
        <v>83.76000000000001</v>
      </c>
      <c r="W643" s="26" t="n">
        <v>38.05</v>
      </c>
      <c r="X643" s="26">
        <f>ROUND(('Methodology &amp; Assumptions'!$B$5*V643) + ('Methodology &amp; Assumptions'!$B$6*W643), 2)</f>
        <v/>
      </c>
      <c r="Y643" s="28" t="n">
        <v>17.4</v>
      </c>
      <c r="Z643" s="11" t="inlineStr">
        <is>
          <t>Priority Tier 2 (Balanced Opportunity)</t>
        </is>
      </c>
    </row>
    <row r="644">
      <c r="A644" s="23" t="n">
        <v>3</v>
      </c>
      <c r="B644" s="23" t="n">
        <v>640</v>
      </c>
      <c r="C644" s="23" t="n">
        <v>2640</v>
      </c>
      <c r="D644" s="23" t="inlineStr">
        <is>
          <t>1206318002</t>
        </is>
      </c>
      <c r="E644" s="11" t="inlineStr">
        <is>
          <t>Region XII (SOCCSKSARGEN)</t>
        </is>
      </c>
      <c r="F644" s="11" t="inlineStr">
        <is>
          <t>South Cotabato</t>
        </is>
      </c>
      <c r="G644" s="11" t="inlineStr">
        <is>
          <t>Santo Niño</t>
        </is>
      </c>
      <c r="H644" s="11" t="inlineStr">
        <is>
          <t>Guinsang-an</t>
        </is>
      </c>
      <c r="I644" s="24" t="n">
        <v>17.890137</v>
      </c>
      <c r="J644" s="24" t="n">
        <v>121.565536</v>
      </c>
      <c r="K644" s="23" t="inlineStr">
        <is>
          <t>R</t>
        </is>
      </c>
      <c r="L644" s="25" t="n">
        <v>3311</v>
      </c>
      <c r="M644" s="26" t="n">
        <v>3.6</v>
      </c>
      <c r="N644" s="25">
        <f>ROUND(L644/M644, 0)</f>
        <v/>
      </c>
      <c r="O644" s="25">
        <f>ROUND(N644*'Methodology &amp; Assumptions'!$B$7, 0)</f>
        <v/>
      </c>
      <c r="P644" s="23" t="inlineStr">
        <is>
          <t>Single Carrier (Band n50, 100MHz TDD)</t>
        </is>
      </c>
      <c r="Q644" s="27">
        <f>ROUNDUP(O644/'Methodology &amp; Assumptions'!$B$8, 0)</f>
        <v/>
      </c>
      <c r="R644" s="27" t="n">
        <v>1</v>
      </c>
      <c r="S644" s="26" t="n">
        <v>0.79</v>
      </c>
      <c r="T644" s="26" t="n">
        <v>8.220000000000001</v>
      </c>
      <c r="U644" s="11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26" t="n">
        <v>83.76000000000001</v>
      </c>
      <c r="W644" s="26" t="n">
        <v>38.05</v>
      </c>
      <c r="X644" s="26">
        <f>ROUND(('Methodology &amp; Assumptions'!$B$5*V644) + ('Methodology &amp; Assumptions'!$B$6*W644), 2)</f>
        <v/>
      </c>
      <c r="Y644" s="28" t="n">
        <v>17.4</v>
      </c>
      <c r="Z644" s="11" t="inlineStr">
        <is>
          <t>Priority Tier 2 (Balanced Opportunity)</t>
        </is>
      </c>
    </row>
    <row r="645">
      <c r="A645" s="23" t="n">
        <v>3</v>
      </c>
      <c r="B645" s="23" t="n">
        <v>641</v>
      </c>
      <c r="C645" s="23" t="n">
        <v>2641</v>
      </c>
      <c r="D645" s="23" t="inlineStr">
        <is>
          <t>1206318003</t>
        </is>
      </c>
      <c r="E645" s="11" t="inlineStr">
        <is>
          <t>Region XII (SOCCSKSARGEN)</t>
        </is>
      </c>
      <c r="F645" s="11" t="inlineStr">
        <is>
          <t>South Cotabato</t>
        </is>
      </c>
      <c r="G645" s="11" t="inlineStr">
        <is>
          <t>Santo Niño</t>
        </is>
      </c>
      <c r="H645" s="11" t="inlineStr">
        <is>
          <t>Katipunan</t>
        </is>
      </c>
      <c r="I645" s="24" t="n">
        <v>17.890137</v>
      </c>
      <c r="J645" s="24" t="n">
        <v>121.565536</v>
      </c>
      <c r="K645" s="23" t="inlineStr">
        <is>
          <t>R</t>
        </is>
      </c>
      <c r="L645" s="25" t="n">
        <v>3379</v>
      </c>
      <c r="M645" s="26" t="n">
        <v>3.6</v>
      </c>
      <c r="N645" s="25">
        <f>ROUND(L645/M645, 0)</f>
        <v/>
      </c>
      <c r="O645" s="25">
        <f>ROUND(N645*'Methodology &amp; Assumptions'!$B$7, 0)</f>
        <v/>
      </c>
      <c r="P645" s="23" t="inlineStr">
        <is>
          <t>Single Carrier (Band n50, 100MHz TDD)</t>
        </is>
      </c>
      <c r="Q645" s="27">
        <f>ROUNDUP(O645/'Methodology &amp; Assumptions'!$B$8, 0)</f>
        <v/>
      </c>
      <c r="R645" s="27" t="n">
        <v>1</v>
      </c>
      <c r="S645" s="26" t="n">
        <v>0.79</v>
      </c>
      <c r="T645" s="26" t="n">
        <v>8.220000000000001</v>
      </c>
      <c r="U645" s="11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26" t="n">
        <v>83.76000000000001</v>
      </c>
      <c r="W645" s="26" t="n">
        <v>38.05</v>
      </c>
      <c r="X645" s="26">
        <f>ROUND(('Methodology &amp; Assumptions'!$B$5*V645) + ('Methodology &amp; Assumptions'!$B$6*W645), 2)</f>
        <v/>
      </c>
      <c r="Y645" s="28" t="n">
        <v>17.4</v>
      </c>
      <c r="Z645" s="11" t="inlineStr">
        <is>
          <t>Priority Tier 2 (Balanced Opportunity)</t>
        </is>
      </c>
    </row>
    <row r="646">
      <c r="A646" s="23" t="n">
        <v>3</v>
      </c>
      <c r="B646" s="23" t="n">
        <v>642</v>
      </c>
      <c r="C646" s="23" t="n">
        <v>2642</v>
      </c>
      <c r="D646" s="23" t="inlineStr">
        <is>
          <t>1206318004</t>
        </is>
      </c>
      <c r="E646" s="11" t="inlineStr">
        <is>
          <t>Region XII (SOCCSKSARGEN)</t>
        </is>
      </c>
      <c r="F646" s="11" t="inlineStr">
        <is>
          <t>South Cotabato</t>
        </is>
      </c>
      <c r="G646" s="11" t="inlineStr">
        <is>
          <t>Santo Niño</t>
        </is>
      </c>
      <c r="H646" s="11" t="inlineStr">
        <is>
          <t>Manuel Roxas</t>
        </is>
      </c>
      <c r="I646" s="24" t="n">
        <v>17.890137</v>
      </c>
      <c r="J646" s="24" t="n">
        <v>121.565536</v>
      </c>
      <c r="K646" s="23" t="inlineStr">
        <is>
          <t>R</t>
        </is>
      </c>
      <c r="L646" s="25" t="n">
        <v>4862</v>
      </c>
      <c r="M646" s="26" t="n">
        <v>3.6</v>
      </c>
      <c r="N646" s="25">
        <f>ROUND(L646/M646, 0)</f>
        <v/>
      </c>
      <c r="O646" s="25">
        <f>ROUND(N646*'Methodology &amp; Assumptions'!$B$7, 0)</f>
        <v/>
      </c>
      <c r="P646" s="23" t="inlineStr">
        <is>
          <t>Single Carrier (Band n50, 100MHz TDD)</t>
        </is>
      </c>
      <c r="Q646" s="27">
        <f>ROUNDUP(O646/'Methodology &amp; Assumptions'!$B$8, 0)</f>
        <v/>
      </c>
      <c r="R646" s="27" t="n">
        <v>1</v>
      </c>
      <c r="S646" s="26" t="n">
        <v>0.79</v>
      </c>
      <c r="T646" s="26" t="n">
        <v>8.220000000000001</v>
      </c>
      <c r="U646" s="11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26" t="n">
        <v>83.76000000000001</v>
      </c>
      <c r="W646" s="26" t="n">
        <v>38.05</v>
      </c>
      <c r="X646" s="26">
        <f>ROUND(('Methodology &amp; Assumptions'!$B$5*V646) + ('Methodology &amp; Assumptions'!$B$6*W646), 2)</f>
        <v/>
      </c>
      <c r="Y646" s="28" t="n">
        <v>17.4</v>
      </c>
      <c r="Z646" s="11" t="inlineStr">
        <is>
          <t>Priority Tier 2 (Balanced Opportunity)</t>
        </is>
      </c>
    </row>
    <row r="647">
      <c r="A647" s="23" t="n">
        <v>3</v>
      </c>
      <c r="B647" s="23" t="n">
        <v>643</v>
      </c>
      <c r="C647" s="23" t="n">
        <v>2643</v>
      </c>
      <c r="D647" s="23" t="inlineStr">
        <is>
          <t>1206318005</t>
        </is>
      </c>
      <c r="E647" s="11" t="inlineStr">
        <is>
          <t>Region XII (SOCCSKSARGEN)</t>
        </is>
      </c>
      <c r="F647" s="11" t="inlineStr">
        <is>
          <t>South Cotabato</t>
        </is>
      </c>
      <c r="G647" s="11" t="inlineStr">
        <is>
          <t>Santo Niño</t>
        </is>
      </c>
      <c r="H647" s="11" t="inlineStr">
        <is>
          <t>Panay</t>
        </is>
      </c>
      <c r="I647" s="24" t="n">
        <v>17.890137</v>
      </c>
      <c r="J647" s="24" t="n">
        <v>121.565536</v>
      </c>
      <c r="K647" s="23" t="inlineStr">
        <is>
          <t>R</t>
        </is>
      </c>
      <c r="L647" s="25" t="n">
        <v>3561</v>
      </c>
      <c r="M647" s="26" t="n">
        <v>3.6</v>
      </c>
      <c r="N647" s="25">
        <f>ROUND(L647/M647, 0)</f>
        <v/>
      </c>
      <c r="O647" s="25">
        <f>ROUND(N647*'Methodology &amp; Assumptions'!$B$7, 0)</f>
        <v/>
      </c>
      <c r="P647" s="23" t="inlineStr">
        <is>
          <t>Single Carrier (Band n50, 100MHz TDD)</t>
        </is>
      </c>
      <c r="Q647" s="27">
        <f>ROUNDUP(O647/'Methodology &amp; Assumptions'!$B$8, 0)</f>
        <v/>
      </c>
      <c r="R647" s="27" t="n">
        <v>1</v>
      </c>
      <c r="S647" s="26" t="n">
        <v>0.79</v>
      </c>
      <c r="T647" s="26" t="n">
        <v>8.220000000000001</v>
      </c>
      <c r="U647" s="11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26" t="n">
        <v>83.76000000000001</v>
      </c>
      <c r="W647" s="26" t="n">
        <v>38.05</v>
      </c>
      <c r="X647" s="26">
        <f>ROUND(('Methodology &amp; Assumptions'!$B$5*V647) + ('Methodology &amp; Assumptions'!$B$6*W647), 2)</f>
        <v/>
      </c>
      <c r="Y647" s="28" t="n">
        <v>17.4</v>
      </c>
      <c r="Z647" s="11" t="inlineStr">
        <is>
          <t>Priority Tier 2 (Balanced Opportunity)</t>
        </is>
      </c>
    </row>
    <row r="648">
      <c r="A648" s="23" t="n">
        <v>3</v>
      </c>
      <c r="B648" s="23" t="n">
        <v>644</v>
      </c>
      <c r="C648" s="23" t="n">
        <v>2644</v>
      </c>
      <c r="D648" s="23" t="inlineStr">
        <is>
          <t>1206318007</t>
        </is>
      </c>
      <c r="E648" s="11" t="inlineStr">
        <is>
          <t>Region XII (SOCCSKSARGEN)</t>
        </is>
      </c>
      <c r="F648" s="11" t="inlineStr">
        <is>
          <t>South Cotabato</t>
        </is>
      </c>
      <c r="G648" s="11" t="inlineStr">
        <is>
          <t>Santo Niño</t>
        </is>
      </c>
      <c r="H648" s="11" t="inlineStr">
        <is>
          <t>San Isidro</t>
        </is>
      </c>
      <c r="I648" s="24" t="n">
        <v>17.890137</v>
      </c>
      <c r="J648" s="24" t="n">
        <v>121.565536</v>
      </c>
      <c r="K648" s="23" t="inlineStr">
        <is>
          <t>R</t>
        </is>
      </c>
      <c r="L648" s="25" t="n">
        <v>3642</v>
      </c>
      <c r="M648" s="26" t="n">
        <v>3.6</v>
      </c>
      <c r="N648" s="25">
        <f>ROUND(L648/M648, 0)</f>
        <v/>
      </c>
      <c r="O648" s="25">
        <f>ROUND(N648*'Methodology &amp; Assumptions'!$B$7, 0)</f>
        <v/>
      </c>
      <c r="P648" s="23" t="inlineStr">
        <is>
          <t>Single Carrier (Band n50, 100MHz TDD)</t>
        </is>
      </c>
      <c r="Q648" s="27">
        <f>ROUNDUP(O648/'Methodology &amp; Assumptions'!$B$8, 0)</f>
        <v/>
      </c>
      <c r="R648" s="27" t="n">
        <v>1</v>
      </c>
      <c r="S648" s="26" t="n">
        <v>0.79</v>
      </c>
      <c r="T648" s="26" t="n">
        <v>8.220000000000001</v>
      </c>
      <c r="U648" s="11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26" t="n">
        <v>83.76000000000001</v>
      </c>
      <c r="W648" s="26" t="n">
        <v>38.05</v>
      </c>
      <c r="X648" s="26">
        <f>ROUND(('Methodology &amp; Assumptions'!$B$5*V648) + ('Methodology &amp; Assumptions'!$B$6*W648), 2)</f>
        <v/>
      </c>
      <c r="Y648" s="28" t="n">
        <v>17.4</v>
      </c>
      <c r="Z648" s="11" t="inlineStr">
        <is>
          <t>Priority Tier 2 (Balanced Opportunity)</t>
        </is>
      </c>
    </row>
    <row r="649">
      <c r="A649" s="23" t="n">
        <v>3</v>
      </c>
      <c r="B649" s="23" t="n">
        <v>645</v>
      </c>
      <c r="C649" s="23" t="n">
        <v>2645</v>
      </c>
      <c r="D649" s="23" t="inlineStr">
        <is>
          <t>1206318008</t>
        </is>
      </c>
      <c r="E649" s="11" t="inlineStr">
        <is>
          <t>Region XII (SOCCSKSARGEN)</t>
        </is>
      </c>
      <c r="F649" s="11" t="inlineStr">
        <is>
          <t>South Cotabato</t>
        </is>
      </c>
      <c r="G649" s="11" t="inlineStr">
        <is>
          <t>Santo Niño</t>
        </is>
      </c>
      <c r="H649" s="11" t="inlineStr">
        <is>
          <t>San Vicente</t>
        </is>
      </c>
      <c r="I649" s="24" t="n">
        <v>17.890137</v>
      </c>
      <c r="J649" s="24" t="n">
        <v>121.565536</v>
      </c>
      <c r="K649" s="23" t="inlineStr">
        <is>
          <t>R</t>
        </is>
      </c>
      <c r="L649" s="25" t="n">
        <v>3545</v>
      </c>
      <c r="M649" s="26" t="n">
        <v>3.6</v>
      </c>
      <c r="N649" s="25">
        <f>ROUND(L649/M649, 0)</f>
        <v/>
      </c>
      <c r="O649" s="25">
        <f>ROUND(N649*'Methodology &amp; Assumptions'!$B$7, 0)</f>
        <v/>
      </c>
      <c r="P649" s="23" t="inlineStr">
        <is>
          <t>Single Carrier (Band n50, 100MHz TDD)</t>
        </is>
      </c>
      <c r="Q649" s="27">
        <f>ROUNDUP(O649/'Methodology &amp; Assumptions'!$B$8, 0)</f>
        <v/>
      </c>
      <c r="R649" s="27" t="n">
        <v>1</v>
      </c>
      <c r="S649" s="26" t="n">
        <v>0.79</v>
      </c>
      <c r="T649" s="26" t="n">
        <v>8.220000000000001</v>
      </c>
      <c r="U649" s="11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26" t="n">
        <v>83.76000000000001</v>
      </c>
      <c r="W649" s="26" t="n">
        <v>38.05</v>
      </c>
      <c r="X649" s="26">
        <f>ROUND(('Methodology &amp; Assumptions'!$B$5*V649) + ('Methodology &amp; Assumptions'!$B$6*W649), 2)</f>
        <v/>
      </c>
      <c r="Y649" s="28" t="n">
        <v>17.4</v>
      </c>
      <c r="Z649" s="11" t="inlineStr">
        <is>
          <t>Priority Tier 2 (Balanced Opportunity)</t>
        </is>
      </c>
    </row>
    <row r="650">
      <c r="A650" s="23" t="n">
        <v>3</v>
      </c>
      <c r="B650" s="23" t="n">
        <v>646</v>
      </c>
      <c r="C650" s="23" t="n">
        <v>2646</v>
      </c>
      <c r="D650" s="23" t="inlineStr">
        <is>
          <t>0205705003</t>
        </is>
      </c>
      <c r="E650" s="11" t="inlineStr">
        <is>
          <t>Region II (Cagayan Valley)</t>
        </is>
      </c>
      <c r="F650" s="11" t="inlineStr">
        <is>
          <t>Quirino</t>
        </is>
      </c>
      <c r="G650" s="11" t="inlineStr">
        <is>
          <t>Saguday</t>
        </is>
      </c>
      <c r="H650" s="11" t="inlineStr">
        <is>
          <t>Magsaysay</t>
        </is>
      </c>
      <c r="I650" s="24" t="n">
        <v>16.535231</v>
      </c>
      <c r="J650" s="24" t="n">
        <v>121.542709</v>
      </c>
      <c r="K650" s="23" t="inlineStr">
        <is>
          <t>R</t>
        </is>
      </c>
      <c r="L650" s="25" t="n">
        <v>2636</v>
      </c>
      <c r="M650" s="26" t="n">
        <v>3.9</v>
      </c>
      <c r="N650" s="25">
        <f>ROUND(L650/M650, 0)</f>
        <v/>
      </c>
      <c r="O650" s="25">
        <f>ROUND(N650*'Methodology &amp; Assumptions'!$B$7, 0)</f>
        <v/>
      </c>
      <c r="P650" s="23" t="inlineStr">
        <is>
          <t>Single Carrier (Band n50, 100MHz TDD)</t>
        </is>
      </c>
      <c r="Q650" s="27">
        <f>ROUNDUP(O650/'Methodology &amp; Assumptions'!$B$8, 0)</f>
        <v/>
      </c>
      <c r="R650" s="27" t="n">
        <v>1</v>
      </c>
      <c r="S650" s="26" t="n">
        <v>2.39</v>
      </c>
      <c r="T650" s="26" t="n">
        <v>1.44</v>
      </c>
      <c r="U650" s="11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26" t="n">
        <v>78.09999999999999</v>
      </c>
      <c r="W650" s="26" t="n">
        <v>43.73</v>
      </c>
      <c r="X650" s="26">
        <f>ROUND(('Methodology &amp; Assumptions'!$B$5*V650) + ('Methodology &amp; Assumptions'!$B$6*W650), 2)</f>
        <v/>
      </c>
      <c r="Y650" s="28" t="n">
        <v>8.300000000000001</v>
      </c>
      <c r="Z650" s="11" t="inlineStr">
        <is>
          <t>Priority Tier 2 (Balanced Opportunity)</t>
        </is>
      </c>
    </row>
    <row r="651">
      <c r="A651" s="23" t="n">
        <v>3</v>
      </c>
      <c r="B651" s="23" t="n">
        <v>647</v>
      </c>
      <c r="C651" s="23" t="n">
        <v>2647</v>
      </c>
      <c r="D651" s="23" t="inlineStr">
        <is>
          <t>0405804034</t>
        </is>
      </c>
      <c r="E651" s="11" t="inlineStr">
        <is>
          <t>Region IV-A (CALABARZON)</t>
        </is>
      </c>
      <c r="F651" s="11" t="inlineStr">
        <is>
          <t>Rizal</t>
        </is>
      </c>
      <c r="G651" s="11" t="inlineStr">
        <is>
          <t>Binangonan</t>
        </is>
      </c>
      <c r="H651" s="11" t="inlineStr">
        <is>
          <t>Tagpos</t>
        </is>
      </c>
      <c r="I651" s="24" t="n">
        <v>14.50805</v>
      </c>
      <c r="J651" s="24" t="n">
        <v>121.167</v>
      </c>
      <c r="K651" s="23" t="inlineStr">
        <is>
          <t>U</t>
        </is>
      </c>
      <c r="L651" s="25" t="n">
        <v>15316</v>
      </c>
      <c r="M651" s="26" t="n">
        <v>3.6</v>
      </c>
      <c r="N651" s="25">
        <f>ROUND(L651/M651, 0)</f>
        <v/>
      </c>
      <c r="O651" s="25">
        <f>ROUND(N651*'Methodology &amp; Assumptions'!$B$7, 0)</f>
        <v/>
      </c>
      <c r="P651" s="23" t="inlineStr">
        <is>
          <t>Single Carrier (Band n50, 100MHz TDD)</t>
        </is>
      </c>
      <c r="Q651" s="27">
        <f>ROUNDUP(O651/'Methodology &amp; Assumptions'!$B$8, 0)</f>
        <v/>
      </c>
      <c r="R651" s="27" t="n">
        <v>1</v>
      </c>
      <c r="S651" s="26" t="n">
        <v>2.02</v>
      </c>
      <c r="T651" s="26" t="n">
        <v>0.04</v>
      </c>
      <c r="U651" s="11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26" t="n">
        <v>73.95</v>
      </c>
      <c r="W651" s="26" t="n">
        <v>47.87</v>
      </c>
      <c r="X651" s="26">
        <f>ROUND(('Methodology &amp; Assumptions'!$B$5*V651) + ('Methodology &amp; Assumptions'!$B$6*W651), 2)</f>
        <v/>
      </c>
      <c r="Y651" s="28" t="n">
        <v>7.2</v>
      </c>
      <c r="Z651" s="11" t="inlineStr">
        <is>
          <t>Priority Tier 2 (Balanced Opportunity)</t>
        </is>
      </c>
    </row>
    <row r="652">
      <c r="A652" s="23" t="n">
        <v>3</v>
      </c>
      <c r="B652" s="23" t="n">
        <v>648</v>
      </c>
      <c r="C652" s="23" t="n">
        <v>2648</v>
      </c>
      <c r="D652" s="23" t="inlineStr">
        <is>
          <t>1404408003</t>
        </is>
      </c>
      <c r="E652" s="11" t="inlineStr">
        <is>
          <t>Cordillera Administrative Region (CAR)</t>
        </is>
      </c>
      <c r="F652" s="11" t="inlineStr">
        <is>
          <t>Mountain Province</t>
        </is>
      </c>
      <c r="G652" s="11" t="inlineStr">
        <is>
          <t>Sadanga</t>
        </is>
      </c>
      <c r="H652" s="11" t="inlineStr">
        <is>
          <t>Betwagan</t>
        </is>
      </c>
      <c r="I652" s="24" t="n">
        <v>17.148456</v>
      </c>
      <c r="J652" s="24" t="n">
        <v>121.07312</v>
      </c>
      <c r="K652" s="23" t="inlineStr">
        <is>
          <t>R</t>
        </is>
      </c>
      <c r="L652" s="25" t="n">
        <v>2009</v>
      </c>
      <c r="M652" s="26" t="n">
        <v>3.7</v>
      </c>
      <c r="N652" s="25">
        <f>ROUND(L652/M652, 0)</f>
        <v/>
      </c>
      <c r="O652" s="25">
        <f>ROUND(N652*'Methodology &amp; Assumptions'!$B$7, 0)</f>
        <v/>
      </c>
      <c r="P652" s="23" t="inlineStr">
        <is>
          <t>Single Carrier (Band n50, 100MHz TDD)</t>
        </is>
      </c>
      <c r="Q652" s="27">
        <f>ROUNDUP(O652/'Methodology &amp; Assumptions'!$B$8, 0)</f>
        <v/>
      </c>
      <c r="R652" s="27" t="n">
        <v>1</v>
      </c>
      <c r="S652" s="26" t="n">
        <v>3.67</v>
      </c>
      <c r="T652" s="26" t="n">
        <v>1.78</v>
      </c>
      <c r="U652" s="11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26" t="n">
        <v>70.29000000000001</v>
      </c>
      <c r="W652" s="26" t="n">
        <v>51.53</v>
      </c>
      <c r="X652" s="26">
        <f>ROUND(('Methodology &amp; Assumptions'!$B$5*V652) + ('Methodology &amp; Assumptions'!$B$6*W652), 2)</f>
        <v/>
      </c>
      <c r="Y652" s="28" t="n">
        <v>10.9</v>
      </c>
      <c r="Z652" s="11" t="inlineStr">
        <is>
          <t>Priority Tier 2 (Balanced Opportunity)</t>
        </is>
      </c>
    </row>
    <row r="653">
      <c r="A653" s="23" t="n">
        <v>3</v>
      </c>
      <c r="B653" s="23" t="n">
        <v>649</v>
      </c>
      <c r="C653" s="23" t="n">
        <v>2649</v>
      </c>
      <c r="D653" s="23" t="inlineStr">
        <is>
          <t>1381200025</t>
        </is>
      </c>
      <c r="E653" s="11" t="inlineStr">
        <is>
          <t>National Capital Region (NCR)</t>
        </is>
      </c>
      <c r="F653" s="11" t="inlineStr">
        <is>
          <t>Second District (Not a Province)</t>
        </is>
      </c>
      <c r="G653" s="11" t="inlineStr">
        <is>
          <t>City of Pasig</t>
        </is>
      </c>
      <c r="H653" s="11" t="inlineStr">
        <is>
          <t>Santa Rosa</t>
        </is>
      </c>
      <c r="I653" s="24" t="n">
        <v>14.559006</v>
      </c>
      <c r="J653" s="24" t="n">
        <v>121.073115</v>
      </c>
      <c r="K653" s="23" t="inlineStr">
        <is>
          <t>U</t>
        </is>
      </c>
      <c r="L653" s="25" t="n">
        <v>1044</v>
      </c>
      <c r="M653" s="26" t="n">
        <v>3.73</v>
      </c>
      <c r="N653" s="25">
        <f>ROUND(L653/M653, 0)</f>
        <v/>
      </c>
      <c r="O653" s="25">
        <f>ROUND(N653*'Methodology &amp; Assumptions'!$B$7, 0)</f>
        <v/>
      </c>
      <c r="P653" s="23" t="inlineStr">
        <is>
          <t>Single Carrier (Band n50, 100MHz TDD)</t>
        </is>
      </c>
      <c r="Q653" s="27">
        <f>ROUNDUP(O653/'Methodology &amp; Assumptions'!$B$8, 0)</f>
        <v/>
      </c>
      <c r="R653" s="27" t="n">
        <v>1</v>
      </c>
      <c r="S653" s="26" t="n">
        <v>0.88</v>
      </c>
      <c r="T653" s="26" t="n">
        <v>0.43</v>
      </c>
      <c r="U653" s="11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26" t="n">
        <v>49.93</v>
      </c>
      <c r="W653" s="26" t="n">
        <v>71.90000000000001</v>
      </c>
      <c r="X653" s="26">
        <f>ROUND(('Methodology &amp; Assumptions'!$B$5*V653) + ('Methodology &amp; Assumptions'!$B$6*W653), 2)</f>
        <v/>
      </c>
      <c r="Y653" s="28" t="n">
        <v>10.9</v>
      </c>
      <c r="Z653" s="11" t="inlineStr">
        <is>
          <t>Priority Tier 2 (Balanced Opportunity)</t>
        </is>
      </c>
    </row>
    <row r="654">
      <c r="A654" s="23" t="n">
        <v>3</v>
      </c>
      <c r="B654" s="23" t="n">
        <v>650</v>
      </c>
      <c r="C654" s="23" t="n">
        <v>2650</v>
      </c>
      <c r="D654" s="23" t="inlineStr">
        <is>
          <t>0301420020</t>
        </is>
      </c>
      <c r="E654" s="11" t="inlineStr">
        <is>
          <t>Region III (Central Luzon)</t>
        </is>
      </c>
      <c r="F654" s="11" t="inlineStr">
        <is>
          <t>Bulacan</t>
        </is>
      </c>
      <c r="G654" s="11" t="inlineStr">
        <is>
          <t>City of San Jose Del Monte</t>
        </is>
      </c>
      <c r="H654" s="11" t="inlineStr">
        <is>
          <t>Bagong Buhay II</t>
        </is>
      </c>
      <c r="I654" s="24" t="n">
        <v>14.854275</v>
      </c>
      <c r="J654" s="24" t="n">
        <v>121.062944</v>
      </c>
      <c r="K654" s="23" t="inlineStr">
        <is>
          <t>U</t>
        </is>
      </c>
      <c r="L654" s="25" t="n">
        <v>4364</v>
      </c>
      <c r="M654" s="26" t="n">
        <v>3.5</v>
      </c>
      <c r="N654" s="25">
        <f>ROUND(L654/M654, 0)</f>
        <v/>
      </c>
      <c r="O654" s="25">
        <f>ROUND(N654*'Methodology &amp; Assumptions'!$B$7, 0)</f>
        <v/>
      </c>
      <c r="P654" s="23" t="inlineStr">
        <is>
          <t>Single Carrier (Band n50, 100MHz TDD)</t>
        </is>
      </c>
      <c r="Q654" s="27">
        <f>ROUNDUP(O654/'Methodology &amp; Assumptions'!$B$8, 0)</f>
        <v/>
      </c>
      <c r="R654" s="27" t="n">
        <v>1</v>
      </c>
      <c r="S654" s="26" t="n">
        <v>2.04</v>
      </c>
      <c r="T654" s="26" t="n">
        <v>3.45</v>
      </c>
      <c r="U654" s="11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26" t="n">
        <v>70.56999999999999</v>
      </c>
      <c r="W654" s="26" t="n">
        <v>51.23</v>
      </c>
      <c r="X654" s="26">
        <f>ROUND(('Methodology &amp; Assumptions'!$B$5*V654) + ('Methodology &amp; Assumptions'!$B$6*W654), 2)</f>
        <v/>
      </c>
      <c r="Y654" s="28" t="n">
        <v>8.300000000000001</v>
      </c>
      <c r="Z654" s="11" t="inlineStr">
        <is>
          <t>Priority Tier 2 (Balanced Opportunity)</t>
        </is>
      </c>
    </row>
    <row r="655">
      <c r="A655" s="23" t="n">
        <v>3</v>
      </c>
      <c r="B655" s="23" t="n">
        <v>651</v>
      </c>
      <c r="C655" s="23" t="n">
        <v>2651</v>
      </c>
      <c r="D655" s="23" t="inlineStr">
        <is>
          <t>1401111011</t>
        </is>
      </c>
      <c r="E655" s="11" t="inlineStr">
        <is>
          <t>Cordillera Administrative Region (CAR)</t>
        </is>
      </c>
      <c r="F655" s="11" t="inlineStr">
        <is>
          <t>Benguet</t>
        </is>
      </c>
      <c r="G655" s="11" t="inlineStr">
        <is>
          <t>Mankayan</t>
        </is>
      </c>
      <c r="H655" s="11" t="inlineStr">
        <is>
          <t>Sapid</t>
        </is>
      </c>
      <c r="I655" s="24" t="n">
        <v>16.84585</v>
      </c>
      <c r="J655" s="24" t="n">
        <v>120.78892</v>
      </c>
      <c r="K655" s="23" t="inlineStr">
        <is>
          <t>R</t>
        </is>
      </c>
      <c r="L655" s="25" t="n">
        <v>2956</v>
      </c>
      <c r="M655" s="26" t="n">
        <v>3.5</v>
      </c>
      <c r="N655" s="25">
        <f>ROUND(L655/M655, 0)</f>
        <v/>
      </c>
      <c r="O655" s="25">
        <f>ROUND(N655*'Methodology &amp; Assumptions'!$B$7, 0)</f>
        <v/>
      </c>
      <c r="P655" s="23" t="inlineStr">
        <is>
          <t>Single Carrier (Band n50, 100MHz TDD)</t>
        </is>
      </c>
      <c r="Q655" s="27">
        <f>ROUNDUP(O655/'Methodology &amp; Assumptions'!$B$8, 0)</f>
        <v/>
      </c>
      <c r="R655" s="27" t="n">
        <v>1</v>
      </c>
      <c r="S655" s="26" t="n">
        <v>1.06</v>
      </c>
      <c r="T655" s="26" t="n">
        <v>0.97</v>
      </c>
      <c r="U655" s="11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26" t="n">
        <v>84.41</v>
      </c>
      <c r="W655" s="26" t="n">
        <v>37.37</v>
      </c>
      <c r="X655" s="26">
        <f>ROUND(('Methodology &amp; Assumptions'!$B$5*V655) + ('Methodology &amp; Assumptions'!$B$6*W655), 2)</f>
        <v/>
      </c>
      <c r="Y655" s="28" t="n">
        <v>10.9</v>
      </c>
      <c r="Z655" s="11" t="inlineStr">
        <is>
          <t>Priority Tier 2 (Balanced Opportunity)</t>
        </is>
      </c>
    </row>
    <row r="656">
      <c r="A656" s="23" t="n">
        <v>3</v>
      </c>
      <c r="B656" s="23" t="n">
        <v>652</v>
      </c>
      <c r="C656" s="23" t="n">
        <v>2652</v>
      </c>
      <c r="D656" s="23" t="inlineStr">
        <is>
          <t>0402120041</t>
        </is>
      </c>
      <c r="E656" s="11" t="inlineStr">
        <is>
          <t>Region IV-A (CALABARZON)</t>
        </is>
      </c>
      <c r="F656" s="11" t="inlineStr">
        <is>
          <t>Cavite</t>
        </is>
      </c>
      <c r="G656" s="11" t="inlineStr">
        <is>
          <t>Tanza</t>
        </is>
      </c>
      <c r="H656" s="11" t="inlineStr">
        <is>
          <t>Julugan VII</t>
        </is>
      </c>
      <c r="I656" s="24" t="n">
        <v>14.39917</v>
      </c>
      <c r="J656" s="24" t="n">
        <v>120.842675</v>
      </c>
      <c r="K656" s="23" t="inlineStr">
        <is>
          <t>R</t>
        </is>
      </c>
      <c r="L656" s="25" t="n">
        <v>2681</v>
      </c>
      <c r="M656" s="26" t="n">
        <v>3.4</v>
      </c>
      <c r="N656" s="25">
        <f>ROUND(L656/M656, 0)</f>
        <v/>
      </c>
      <c r="O656" s="25">
        <f>ROUND(N656*'Methodology &amp; Assumptions'!$B$7, 0)</f>
        <v/>
      </c>
      <c r="P656" s="23" t="inlineStr">
        <is>
          <t>Single Carrier (Band n50, 100MHz TDD)</t>
        </is>
      </c>
      <c r="Q656" s="27">
        <f>ROUNDUP(O656/'Methodology &amp; Assumptions'!$B$8, 0)</f>
        <v/>
      </c>
      <c r="R656" s="27" t="n">
        <v>1</v>
      </c>
      <c r="S656" s="26" t="n">
        <v>2.09</v>
      </c>
      <c r="T656" s="26" t="n">
        <v>1.25</v>
      </c>
      <c r="U656" s="11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26" t="n">
        <v>80.09</v>
      </c>
      <c r="W656" s="26" t="n">
        <v>41.68</v>
      </c>
      <c r="X656" s="26">
        <f>ROUND(('Methodology &amp; Assumptions'!$B$5*V656) + ('Methodology &amp; Assumptions'!$B$6*W656), 2)</f>
        <v/>
      </c>
      <c r="Y656" s="28" t="n">
        <v>7.2</v>
      </c>
      <c r="Z656" s="11" t="inlineStr">
        <is>
          <t>Priority Tier 2 (Balanced Opportunity)</t>
        </is>
      </c>
    </row>
    <row r="657">
      <c r="A657" s="23" t="n">
        <v>3</v>
      </c>
      <c r="B657" s="23" t="n">
        <v>653</v>
      </c>
      <c r="C657" s="23" t="n">
        <v>2653</v>
      </c>
      <c r="D657" s="23" t="inlineStr">
        <is>
          <t>0300802001</t>
        </is>
      </c>
      <c r="E657" s="11" t="inlineStr">
        <is>
          <t>Region III (Central Luzon)</t>
        </is>
      </c>
      <c r="F657" s="11" t="inlineStr">
        <is>
          <t>Bataan</t>
        </is>
      </c>
      <c r="G657" s="11" t="inlineStr">
        <is>
          <t>Bagac</t>
        </is>
      </c>
      <c r="H657" s="11" t="inlineStr">
        <is>
          <t>Bagumbayan</t>
        </is>
      </c>
      <c r="I657" s="24" t="n">
        <v>14.598837</v>
      </c>
      <c r="J657" s="24" t="n">
        <v>120.394254</v>
      </c>
      <c r="K657" s="23" t="inlineStr">
        <is>
          <t>R</t>
        </is>
      </c>
      <c r="L657" s="25" t="n">
        <v>2230</v>
      </c>
      <c r="M657" s="26" t="n">
        <v>3.6</v>
      </c>
      <c r="N657" s="25">
        <f>ROUND(L657/M657, 0)</f>
        <v/>
      </c>
      <c r="O657" s="25">
        <f>ROUND(N657*'Methodology &amp; Assumptions'!$B$7, 0)</f>
        <v/>
      </c>
      <c r="P657" s="23" t="inlineStr">
        <is>
          <t>Single Carrier (Band n50, 100MHz TDD)</t>
        </is>
      </c>
      <c r="Q657" s="27">
        <f>ROUNDUP(O657/'Methodology &amp; Assumptions'!$B$8, 0)</f>
        <v/>
      </c>
      <c r="R657" s="27" t="n">
        <v>1</v>
      </c>
      <c r="S657" s="26" t="n">
        <v>0.87</v>
      </c>
      <c r="T657" s="26" t="n">
        <v>0.27</v>
      </c>
      <c r="U657" s="11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26" t="n">
        <v>79.08</v>
      </c>
      <c r="W657" s="26" t="n">
        <v>42.7</v>
      </c>
      <c r="X657" s="26">
        <f>ROUND(('Methodology &amp; Assumptions'!$B$5*V657) + ('Methodology &amp; Assumptions'!$B$6*W657), 2)</f>
        <v/>
      </c>
      <c r="Y657" s="28" t="n">
        <v>8.300000000000001</v>
      </c>
      <c r="Z657" s="11" t="inlineStr">
        <is>
          <t>Priority Tier 2 (Balanced Opportunity)</t>
        </is>
      </c>
    </row>
    <row r="658">
      <c r="A658" s="23" t="n">
        <v>3</v>
      </c>
      <c r="B658" s="23" t="n">
        <v>654</v>
      </c>
      <c r="C658" s="23" t="n">
        <v>2654</v>
      </c>
      <c r="D658" s="23" t="inlineStr">
        <is>
          <t>1381100191</t>
        </is>
      </c>
      <c r="E658" s="11" t="inlineStr">
        <is>
          <t>National Capital Region (NCR)</t>
        </is>
      </c>
      <c r="F658" s="11" t="inlineStr">
        <is>
          <t>Fourth District (Not a Province)</t>
        </is>
      </c>
      <c r="G658" s="11" t="inlineStr">
        <is>
          <t>Pasay City</t>
        </is>
      </c>
      <c r="H658" s="11" t="inlineStr">
        <is>
          <t>Barangay 191</t>
        </is>
      </c>
      <c r="I658" s="24" t="n">
        <v>14.521941</v>
      </c>
      <c r="J658" s="24" t="n">
        <v>121.000936</v>
      </c>
      <c r="K658" s="23" t="inlineStr">
        <is>
          <t>U</t>
        </is>
      </c>
      <c r="L658" s="25" t="n">
        <v>3226</v>
      </c>
      <c r="M658" s="26" t="n">
        <v>3.6</v>
      </c>
      <c r="N658" s="25">
        <f>ROUND(L658/M658, 0)</f>
        <v/>
      </c>
      <c r="O658" s="25">
        <f>ROUND(N658*'Methodology &amp; Assumptions'!$B$7, 0)</f>
        <v/>
      </c>
      <c r="P658" s="23" t="inlineStr">
        <is>
          <t>Single Carrier (Band n50, 100MHz TDD)</t>
        </is>
      </c>
      <c r="Q658" s="27">
        <f>ROUNDUP(O658/'Methodology &amp; Assumptions'!$B$8, 0)</f>
        <v/>
      </c>
      <c r="R658" s="27" t="n">
        <v>1</v>
      </c>
      <c r="S658" s="26" t="n">
        <v>0.6</v>
      </c>
      <c r="T658" s="26" t="n">
        <v>0.31</v>
      </c>
      <c r="U658" s="11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26" t="n">
        <v>69.09</v>
      </c>
      <c r="W658" s="26" t="n">
        <v>52.68</v>
      </c>
      <c r="X658" s="26">
        <f>ROUND(('Methodology &amp; Assumptions'!$B$5*V658) + ('Methodology &amp; Assumptions'!$B$6*W658), 2)</f>
        <v/>
      </c>
      <c r="Y658" s="28" t="n">
        <v>10.9</v>
      </c>
      <c r="Z658" s="11" t="inlineStr">
        <is>
          <t>Priority Tier 2 (Balanced Opportunity)</t>
        </is>
      </c>
    </row>
    <row r="659">
      <c r="A659" s="23" t="n">
        <v>3</v>
      </c>
      <c r="B659" s="23" t="n">
        <v>655</v>
      </c>
      <c r="C659" s="23" t="n">
        <v>2655</v>
      </c>
      <c r="D659" s="23" t="inlineStr">
        <is>
          <t>0501705036</t>
        </is>
      </c>
      <c r="E659" s="11" t="inlineStr">
        <is>
          <t>Region V (Bicol Region)</t>
        </is>
      </c>
      <c r="F659" s="11" t="inlineStr">
        <is>
          <t>Camarines Sur</t>
        </is>
      </c>
      <c r="G659" s="11" t="inlineStr">
        <is>
          <t>Buhi</t>
        </is>
      </c>
      <c r="H659" s="11" t="inlineStr">
        <is>
          <t>Santa Cruz</t>
        </is>
      </c>
      <c r="I659" s="24" t="n">
        <v>13.441802</v>
      </c>
      <c r="J659" s="24" t="n">
        <v>123.536105</v>
      </c>
      <c r="K659" s="23" t="inlineStr">
        <is>
          <t>R</t>
        </is>
      </c>
      <c r="L659" s="25" t="n">
        <v>2228</v>
      </c>
      <c r="M659" s="26" t="n">
        <v>4.2</v>
      </c>
      <c r="N659" s="25">
        <f>ROUND(L659/M659, 0)</f>
        <v/>
      </c>
      <c r="O659" s="25">
        <f>ROUND(N659*'Methodology &amp; Assumptions'!$B$7, 0)</f>
        <v/>
      </c>
      <c r="P659" s="23" t="inlineStr">
        <is>
          <t>Single Carrier (Band n50, 100MHz TDD)</t>
        </is>
      </c>
      <c r="Q659" s="27">
        <f>ROUNDUP(O659/'Methodology &amp; Assumptions'!$B$8, 0)</f>
        <v/>
      </c>
      <c r="R659" s="27" t="n">
        <v>1</v>
      </c>
      <c r="S659" s="26" t="n">
        <v>3.72</v>
      </c>
      <c r="T659" s="26" t="n">
        <v>3.97</v>
      </c>
      <c r="U659" s="11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26" t="n">
        <v>65.03</v>
      </c>
      <c r="W659" s="26" t="n">
        <v>56.74</v>
      </c>
      <c r="X659" s="26">
        <f>ROUND(('Methodology &amp; Assumptions'!$B$5*V659) + ('Methodology &amp; Assumptions'!$B$6*W659), 2)</f>
        <v/>
      </c>
      <c r="Y659" s="28" t="n">
        <v>23.7</v>
      </c>
      <c r="Z659" s="11" t="inlineStr">
        <is>
          <t>Priority Tier 2 (Balanced Opportunity)</t>
        </is>
      </c>
    </row>
    <row r="660">
      <c r="A660" s="23" t="n">
        <v>3</v>
      </c>
      <c r="B660" s="23" t="n">
        <v>656</v>
      </c>
      <c r="C660" s="23" t="n">
        <v>2656</v>
      </c>
      <c r="D660" s="23" t="inlineStr">
        <is>
          <t>1380604017</t>
        </is>
      </c>
      <c r="E660" s="11" t="inlineStr">
        <is>
          <t>National Capital Region (NCR)</t>
        </is>
      </c>
      <c r="F660" s="11" t="inlineStr">
        <is>
          <t>First District (Not a Province)</t>
        </is>
      </c>
      <c r="G660" s="11" t="inlineStr">
        <is>
          <t>City of Manila</t>
        </is>
      </c>
      <c r="H660" s="11" t="inlineStr">
        <is>
          <t>Barangay 284</t>
        </is>
      </c>
      <c r="I660" s="24" t="n">
        <v>14.59653</v>
      </c>
      <c r="J660" s="24" t="n">
        <v>120.9703</v>
      </c>
      <c r="K660" s="23" t="inlineStr">
        <is>
          <t>U</t>
        </is>
      </c>
      <c r="L660" s="25" t="n">
        <v>1076</v>
      </c>
      <c r="M660" s="26" t="n">
        <v>3.26</v>
      </c>
      <c r="N660" s="25">
        <f>ROUND(L660/M660, 0)</f>
        <v/>
      </c>
      <c r="O660" s="25">
        <f>ROUND(N660*'Methodology &amp; Assumptions'!$B$7, 0)</f>
        <v/>
      </c>
      <c r="P660" s="23" t="inlineStr">
        <is>
          <t>Single Carrier (Band n50, 100MHz TDD)</t>
        </is>
      </c>
      <c r="Q660" s="27">
        <f>ROUNDUP(O660/'Methodology &amp; Assumptions'!$B$8, 0)</f>
        <v/>
      </c>
      <c r="R660" s="27" t="n">
        <v>1</v>
      </c>
      <c r="S660" s="26" t="n">
        <v>1.01</v>
      </c>
      <c r="T660" s="26" t="n">
        <v>1.13</v>
      </c>
      <c r="U660" s="11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26" t="n">
        <v>51.06</v>
      </c>
      <c r="W660" s="26" t="n">
        <v>70.70999999999999</v>
      </c>
      <c r="X660" s="26">
        <f>ROUND(('Methodology &amp; Assumptions'!$B$5*V660) + ('Methodology &amp; Assumptions'!$B$6*W660), 2)</f>
        <v/>
      </c>
      <c r="Y660" s="28" t="n">
        <v>10.9</v>
      </c>
      <c r="Z660" s="11" t="inlineStr">
        <is>
          <t>Priority Tier 2 (Balanced Opportunity)</t>
        </is>
      </c>
    </row>
    <row r="661">
      <c r="A661" s="23" t="n">
        <v>3</v>
      </c>
      <c r="B661" s="23" t="n">
        <v>657</v>
      </c>
      <c r="C661" s="23" t="n">
        <v>2657</v>
      </c>
      <c r="D661" s="23" t="inlineStr">
        <is>
          <t>0105533034</t>
        </is>
      </c>
      <c r="E661" s="11" t="inlineStr">
        <is>
          <t>Region I (Ilocos Region)</t>
        </is>
      </c>
      <c r="F661" s="11" t="inlineStr">
        <is>
          <t>Pangasinan</t>
        </is>
      </c>
      <c r="G661" s="11" t="inlineStr">
        <is>
          <t>San Fabian</t>
        </is>
      </c>
      <c r="H661" s="11" t="inlineStr">
        <is>
          <t>Longos-Amangonan-Parac-Parac Fabrica</t>
        </is>
      </c>
      <c r="I661" s="24" t="n">
        <v>16.104086</v>
      </c>
      <c r="J661" s="24" t="n">
        <v>120.39405</v>
      </c>
      <c r="K661" s="23" t="inlineStr">
        <is>
          <t>R</t>
        </is>
      </c>
      <c r="L661" s="25" t="n">
        <v>2843</v>
      </c>
      <c r="M661" s="26" t="n">
        <v>3.6</v>
      </c>
      <c r="N661" s="25">
        <f>ROUND(L661/M661, 0)</f>
        <v/>
      </c>
      <c r="O661" s="25">
        <f>ROUND(N661*'Methodology &amp; Assumptions'!$B$7, 0)</f>
        <v/>
      </c>
      <c r="P661" s="23" t="inlineStr">
        <is>
          <t>Single Carrier (Band n50, 100MHz TDD)</t>
        </is>
      </c>
      <c r="Q661" s="27">
        <f>ROUNDUP(O661/'Methodology &amp; Assumptions'!$B$8, 0)</f>
        <v/>
      </c>
      <c r="R661" s="27" t="n">
        <v>1</v>
      </c>
      <c r="S661" s="26" t="n">
        <v>1.42</v>
      </c>
      <c r="T661" s="26" t="n">
        <v>0.09</v>
      </c>
      <c r="U661" s="11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26" t="n">
        <v>82.48999999999999</v>
      </c>
      <c r="W661" s="26" t="n">
        <v>39.27</v>
      </c>
      <c r="X661" s="26">
        <f>ROUND(('Methodology &amp; Assumptions'!$B$5*V661) + ('Methodology &amp; Assumptions'!$B$6*W661), 2)</f>
        <v/>
      </c>
      <c r="Y661" s="28" t="n">
        <v>8.300000000000001</v>
      </c>
      <c r="Z661" s="11" t="inlineStr">
        <is>
          <t>Priority Tier 2 (Balanced Opportunity)</t>
        </is>
      </c>
    </row>
    <row r="662">
      <c r="A662" s="23" t="n">
        <v>3</v>
      </c>
      <c r="B662" s="23" t="n">
        <v>658</v>
      </c>
      <c r="C662" s="23" t="n">
        <v>2658</v>
      </c>
      <c r="D662" s="23" t="inlineStr">
        <is>
          <t>0301423001</t>
        </is>
      </c>
      <c r="E662" s="11" t="inlineStr">
        <is>
          <t>Region III (Central Luzon)</t>
        </is>
      </c>
      <c r="F662" s="11" t="inlineStr">
        <is>
          <t>Bulacan</t>
        </is>
      </c>
      <c r="G662" s="11" t="inlineStr">
        <is>
          <t>Santa Maria</t>
        </is>
      </c>
      <c r="H662" s="11" t="inlineStr">
        <is>
          <t>Bagbaguin</t>
        </is>
      </c>
      <c r="I662" s="24" t="n">
        <v>14.819233</v>
      </c>
      <c r="J662" s="24" t="n">
        <v>120.955761</v>
      </c>
      <c r="K662" s="23" t="inlineStr">
        <is>
          <t>U</t>
        </is>
      </c>
      <c r="L662" s="25" t="n">
        <v>8194</v>
      </c>
      <c r="M662" s="26" t="n">
        <v>3.5</v>
      </c>
      <c r="N662" s="25">
        <f>ROUND(L662/M662, 0)</f>
        <v/>
      </c>
      <c r="O662" s="25">
        <f>ROUND(N662*'Methodology &amp; Assumptions'!$B$7, 0)</f>
        <v/>
      </c>
      <c r="P662" s="23" t="inlineStr">
        <is>
          <t>Single Carrier (Band n50, 100MHz TDD)</t>
        </is>
      </c>
      <c r="Q662" s="27">
        <f>ROUNDUP(O662/'Methodology &amp; Assumptions'!$B$8, 0)</f>
        <v/>
      </c>
      <c r="R662" s="27" t="n">
        <v>1</v>
      </c>
      <c r="S662" s="26" t="n">
        <v>0.68</v>
      </c>
      <c r="T662" s="26" t="n">
        <v>0.32</v>
      </c>
      <c r="U662" s="11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26" t="n">
        <v>78.43000000000001</v>
      </c>
      <c r="W662" s="26" t="n">
        <v>43.33</v>
      </c>
      <c r="X662" s="26">
        <f>ROUND(('Methodology &amp; Assumptions'!$B$5*V662) + ('Methodology &amp; Assumptions'!$B$6*W662), 2)</f>
        <v/>
      </c>
      <c r="Y662" s="28" t="n">
        <v>8.300000000000001</v>
      </c>
      <c r="Z662" s="11" t="inlineStr">
        <is>
          <t>Priority Tier 2 (Balanced Opportunity)</t>
        </is>
      </c>
    </row>
    <row r="663">
      <c r="A663" s="23" t="n">
        <v>3</v>
      </c>
      <c r="B663" s="23" t="n">
        <v>659</v>
      </c>
      <c r="C663" s="23" t="n">
        <v>2659</v>
      </c>
      <c r="D663" s="23" t="inlineStr">
        <is>
          <t>0105533020</t>
        </is>
      </c>
      <c r="E663" s="11" t="inlineStr">
        <is>
          <t>Region I (Ilocos Region)</t>
        </is>
      </c>
      <c r="F663" s="11" t="inlineStr">
        <is>
          <t>Pangasinan</t>
        </is>
      </c>
      <c r="G663" s="11" t="inlineStr">
        <is>
          <t>San Fabian</t>
        </is>
      </c>
      <c r="H663" s="11" t="inlineStr">
        <is>
          <t>Poblacion</t>
        </is>
      </c>
      <c r="I663" s="24" t="n">
        <v>16.12143</v>
      </c>
      <c r="J663" s="24" t="n">
        <v>120.40635</v>
      </c>
      <c r="K663" s="23" t="inlineStr">
        <is>
          <t>U</t>
        </is>
      </c>
      <c r="L663" s="25" t="n">
        <v>3941</v>
      </c>
      <c r="M663" s="26" t="n">
        <v>3.6</v>
      </c>
      <c r="N663" s="25">
        <f>ROUND(L663/M663, 0)</f>
        <v/>
      </c>
      <c r="O663" s="25">
        <f>ROUND(N663*'Methodology &amp; Assumptions'!$B$7, 0)</f>
        <v/>
      </c>
      <c r="P663" s="23" t="inlineStr">
        <is>
          <t>Single Carrier (Band n50, 100MHz TDD)</t>
        </is>
      </c>
      <c r="Q663" s="27">
        <f>ROUNDUP(O663/'Methodology &amp; Assumptions'!$B$8, 0)</f>
        <v/>
      </c>
      <c r="R663" s="27" t="n">
        <v>1</v>
      </c>
      <c r="S663" s="26" t="n">
        <v>0.98</v>
      </c>
      <c r="T663" s="26" t="n">
        <v>0.4</v>
      </c>
      <c r="U663" s="11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26" t="n">
        <v>77.90000000000001</v>
      </c>
      <c r="W663" s="26" t="n">
        <v>43.86</v>
      </c>
      <c r="X663" s="26">
        <f>ROUND(('Methodology &amp; Assumptions'!$B$5*V663) + ('Methodology &amp; Assumptions'!$B$6*W663), 2)</f>
        <v/>
      </c>
      <c r="Y663" s="28" t="n">
        <v>8.300000000000001</v>
      </c>
      <c r="Z663" s="11" t="inlineStr">
        <is>
          <t>Priority Tier 2 (Balanced Opportunity)</t>
        </is>
      </c>
    </row>
    <row r="664">
      <c r="A664" s="23" t="n">
        <v>3</v>
      </c>
      <c r="B664" s="23" t="n">
        <v>660</v>
      </c>
      <c r="C664" s="23" t="n">
        <v>2660</v>
      </c>
      <c r="D664" s="23" t="inlineStr">
        <is>
          <t>0403413010</t>
        </is>
      </c>
      <c r="E664" s="11" t="inlineStr">
        <is>
          <t>Region IV-A (CALABARZON)</t>
        </is>
      </c>
      <c r="F664" s="11" t="inlineStr">
        <is>
          <t>Laguna</t>
        </is>
      </c>
      <c r="G664" s="11" t="inlineStr">
        <is>
          <t>Lumban</t>
        </is>
      </c>
      <c r="H664" s="11" t="inlineStr">
        <is>
          <t>Primera Parang</t>
        </is>
      </c>
      <c r="I664" s="24" t="n">
        <v>14.298287</v>
      </c>
      <c r="J664" s="24" t="n">
        <v>121.459158</v>
      </c>
      <c r="K664" s="23" t="inlineStr">
        <is>
          <t>R</t>
        </is>
      </c>
      <c r="L664" s="25" t="n">
        <v>1140</v>
      </c>
      <c r="M664" s="26" t="n">
        <v>3.3</v>
      </c>
      <c r="N664" s="25">
        <f>ROUND(L664/M664, 0)</f>
        <v/>
      </c>
      <c r="O664" s="25">
        <f>ROUND(N664*'Methodology &amp; Assumptions'!$B$7, 0)</f>
        <v/>
      </c>
      <c r="P664" s="23" t="inlineStr">
        <is>
          <t>Single Carrier (Band n50, 100MHz TDD)</t>
        </is>
      </c>
      <c r="Q664" s="27">
        <f>ROUNDUP(O664/'Methodology &amp; Assumptions'!$B$8, 0)</f>
        <v/>
      </c>
      <c r="R664" s="27" t="n">
        <v>1</v>
      </c>
      <c r="S664" s="26" t="n">
        <v>0.36</v>
      </c>
      <c r="T664" s="26" t="n">
        <v>0.46</v>
      </c>
      <c r="U664" s="11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26" t="n">
        <v>70.17</v>
      </c>
      <c r="W664" s="26" t="n">
        <v>51.58</v>
      </c>
      <c r="X664" s="26">
        <f>ROUND(('Methodology &amp; Assumptions'!$B$5*V664) + ('Methodology &amp; Assumptions'!$B$6*W664), 2)</f>
        <v/>
      </c>
      <c r="Y664" s="28" t="n">
        <v>7.2</v>
      </c>
      <c r="Z664" s="11" t="inlineStr">
        <is>
          <t>Priority Tier 2 (Balanced Opportunity)</t>
        </is>
      </c>
    </row>
    <row r="665">
      <c r="A665" s="23" t="n">
        <v>3</v>
      </c>
      <c r="B665" s="23" t="n">
        <v>661</v>
      </c>
      <c r="C665" s="23" t="n">
        <v>2661</v>
      </c>
      <c r="D665" s="23" t="inlineStr">
        <is>
          <t>0201512001</t>
        </is>
      </c>
      <c r="E665" s="11" t="inlineStr">
        <is>
          <t>Region II (Cagayan Valley)</t>
        </is>
      </c>
      <c r="F665" s="11" t="inlineStr">
        <is>
          <t>Cagayan</t>
        </is>
      </c>
      <c r="G665" s="11" t="inlineStr">
        <is>
          <t>Enrile</t>
        </is>
      </c>
      <c r="H665" s="11" t="inlineStr">
        <is>
          <t>Alibago</t>
        </is>
      </c>
      <c r="I665" s="24" t="n">
        <v>17.3426</v>
      </c>
      <c r="J665" s="24" t="n">
        <v>121.4438</v>
      </c>
      <c r="K665" s="23" t="inlineStr">
        <is>
          <t>R</t>
        </is>
      </c>
      <c r="L665" s="25" t="n">
        <v>2285</v>
      </c>
      <c r="M665" s="26" t="n">
        <v>3.9</v>
      </c>
      <c r="N665" s="25">
        <f>ROUND(L665/M665, 0)</f>
        <v/>
      </c>
      <c r="O665" s="25">
        <f>ROUND(N665*'Methodology &amp; Assumptions'!$B$7, 0)</f>
        <v/>
      </c>
      <c r="P665" s="23" t="inlineStr">
        <is>
          <t>Single Carrier (Band n50, 100MHz TDD)</t>
        </is>
      </c>
      <c r="Q665" s="27">
        <f>ROUNDUP(O665/'Methodology &amp; Assumptions'!$B$8, 0)</f>
        <v/>
      </c>
      <c r="R665" s="27" t="n">
        <v>1</v>
      </c>
      <c r="S665" s="26" t="n">
        <v>7.81</v>
      </c>
      <c r="T665" s="26" t="n">
        <v>7.21</v>
      </c>
      <c r="U665" s="11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26" t="n">
        <v>59.37</v>
      </c>
      <c r="W665" s="26" t="n">
        <v>62.38</v>
      </c>
      <c r="X665" s="26">
        <f>ROUND(('Methodology &amp; Assumptions'!$B$5*V665) + ('Methodology &amp; Assumptions'!$B$6*W665), 2)</f>
        <v/>
      </c>
      <c r="Y665" s="28" t="n">
        <v>8.300000000000001</v>
      </c>
      <c r="Z665" s="11" t="inlineStr">
        <is>
          <t>Priority Tier 2 (Balanced Opportunity)</t>
        </is>
      </c>
    </row>
    <row r="666">
      <c r="A666" s="23" t="n">
        <v>3</v>
      </c>
      <c r="B666" s="23" t="n">
        <v>662</v>
      </c>
      <c r="C666" s="23" t="n">
        <v>2662</v>
      </c>
      <c r="D666" s="23" t="inlineStr">
        <is>
          <t>1380601192</t>
        </is>
      </c>
      <c r="E666" s="11" t="inlineStr">
        <is>
          <t>National Capital Region (NCR)</t>
        </is>
      </c>
      <c r="F666" s="11" t="inlineStr">
        <is>
          <t>First District (Not a Province)</t>
        </is>
      </c>
      <c r="G666" s="11" t="inlineStr">
        <is>
          <t>City of Manila</t>
        </is>
      </c>
      <c r="H666" s="11" t="inlineStr">
        <is>
          <t>Barangay 192</t>
        </is>
      </c>
      <c r="I666" s="24" t="n">
        <v>14.638309</v>
      </c>
      <c r="J666" s="24" t="n">
        <v>120.980579</v>
      </c>
      <c r="K666" s="23" t="inlineStr">
        <is>
          <t>U</t>
        </is>
      </c>
      <c r="L666" s="25" t="n">
        <v>1771</v>
      </c>
      <c r="M666" s="26" t="n">
        <v>4.23</v>
      </c>
      <c r="N666" s="25">
        <f>ROUND(L666/M666, 0)</f>
        <v/>
      </c>
      <c r="O666" s="25">
        <f>ROUND(N666*'Methodology &amp; Assumptions'!$B$7, 0)</f>
        <v/>
      </c>
      <c r="P666" s="23" t="inlineStr">
        <is>
          <t>Single Carrier (Band n50, 100MHz TDD)</t>
        </is>
      </c>
      <c r="Q666" s="27">
        <f>ROUNDUP(O666/'Methodology &amp; Assumptions'!$B$8, 0)</f>
        <v/>
      </c>
      <c r="R666" s="27" t="n">
        <v>1</v>
      </c>
      <c r="S666" s="26" t="n">
        <v>1.24</v>
      </c>
      <c r="T666" s="26" t="n">
        <v>0.29</v>
      </c>
      <c r="U666" s="11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26" t="n">
        <v>53.07</v>
      </c>
      <c r="W666" s="26" t="n">
        <v>68.68000000000001</v>
      </c>
      <c r="X666" s="26">
        <f>ROUND(('Methodology &amp; Assumptions'!$B$5*V666) + ('Methodology &amp; Assumptions'!$B$6*W666), 2)</f>
        <v/>
      </c>
      <c r="Y666" s="28" t="n">
        <v>10.9</v>
      </c>
      <c r="Z666" s="11" t="inlineStr">
        <is>
          <t>Priority Tier 2 (Balanced Opportunity)</t>
        </is>
      </c>
    </row>
    <row r="667">
      <c r="A667" s="23" t="n">
        <v>3</v>
      </c>
      <c r="B667" s="23" t="n">
        <v>663</v>
      </c>
      <c r="C667" s="23" t="n">
        <v>2663</v>
      </c>
      <c r="D667" s="23" t="inlineStr">
        <is>
          <t>1900708002</t>
        </is>
      </c>
      <c r="E667" s="11" t="inlineStr">
        <is>
          <t>Bangsamoro Autonomous Region In Muslim Mindanao (BARMM)</t>
        </is>
      </c>
      <c r="F667" s="11" t="inlineStr">
        <is>
          <t>Basilan</t>
        </is>
      </c>
      <c r="G667" s="11" t="inlineStr">
        <is>
          <t>Akbar</t>
        </is>
      </c>
      <c r="H667" s="11" t="inlineStr">
        <is>
          <t>Linongan</t>
        </is>
      </c>
      <c r="I667" s="24" t="n">
        <v>6.729583</v>
      </c>
      <c r="J667" s="24" t="n">
        <v>122.256244</v>
      </c>
      <c r="K667" s="23" t="inlineStr">
        <is>
          <t>R</t>
        </is>
      </c>
      <c r="L667" s="25" t="n">
        <v>3410</v>
      </c>
      <c r="M667" s="26" t="n">
        <v>5.1</v>
      </c>
      <c r="N667" s="25">
        <f>ROUND(L667/M667, 0)</f>
        <v/>
      </c>
      <c r="O667" s="25">
        <f>ROUND(N667*'Methodology &amp; Assumptions'!$B$7, 0)</f>
        <v/>
      </c>
      <c r="P667" s="23" t="inlineStr">
        <is>
          <t>Single Carrier (Band n50, 100MHz TDD)</t>
        </is>
      </c>
      <c r="Q667" s="27">
        <f>ROUNDUP(O667/'Methodology &amp; Assumptions'!$B$8, 0)</f>
        <v/>
      </c>
      <c r="R667" s="27" t="n">
        <v>1</v>
      </c>
      <c r="S667" s="26" t="n">
        <v>28.46</v>
      </c>
      <c r="T667" s="26" t="n">
        <v>28.29</v>
      </c>
      <c r="U667" s="11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26" t="n">
        <v>52.58</v>
      </c>
      <c r="W667" s="26" t="n">
        <v>69.18000000000001</v>
      </c>
      <c r="X667" s="26">
        <f>ROUND(('Methodology &amp; Assumptions'!$B$5*V667) + ('Methodology &amp; Assumptions'!$B$6*W667), 2)</f>
        <v/>
      </c>
      <c r="Y667" s="28" t="n">
        <v>11</v>
      </c>
      <c r="Z667" s="11" t="inlineStr">
        <is>
          <t>Priority Tier 2 (Balanced Opportunity)</t>
        </is>
      </c>
    </row>
    <row r="668">
      <c r="A668" s="23" t="n">
        <v>3</v>
      </c>
      <c r="B668" s="23" t="n">
        <v>664</v>
      </c>
      <c r="C668" s="23" t="n">
        <v>2664</v>
      </c>
      <c r="D668" s="23" t="inlineStr">
        <is>
          <t>0600410012</t>
        </is>
      </c>
      <c r="E668" s="11" t="inlineStr">
        <is>
          <t>Region VI (Western Visayas)</t>
        </is>
      </c>
      <c r="F668" s="11" t="inlineStr">
        <is>
          <t>Aklan</t>
        </is>
      </c>
      <c r="G668" s="11" t="inlineStr">
        <is>
          <t>Madalag</t>
        </is>
      </c>
      <c r="H668" s="11" t="inlineStr">
        <is>
          <t>Mamba</t>
        </is>
      </c>
      <c r="I668" s="24" t="n">
        <v>11.465389</v>
      </c>
      <c r="J668" s="24" t="n">
        <v>122.202687</v>
      </c>
      <c r="K668" s="23" t="inlineStr">
        <is>
          <t>R</t>
        </is>
      </c>
      <c r="L668" s="25" t="n">
        <v>877</v>
      </c>
      <c r="M668" s="26" t="n">
        <v>3.9</v>
      </c>
      <c r="N668" s="25">
        <f>ROUND(L668/M668, 0)</f>
        <v/>
      </c>
      <c r="O668" s="25">
        <f>ROUND(N668*'Methodology &amp; Assumptions'!$B$7, 0)</f>
        <v/>
      </c>
      <c r="P668" s="23" t="inlineStr">
        <is>
          <t>Single Carrier (Band n50, 100MHz TDD)</t>
        </is>
      </c>
      <c r="Q668" s="27">
        <f>ROUNDUP(O668/'Methodology &amp; Assumptions'!$B$8, 0)</f>
        <v/>
      </c>
      <c r="R668" s="27" t="n">
        <v>1</v>
      </c>
      <c r="S668" s="26" t="n">
        <v>20.29</v>
      </c>
      <c r="T668" s="26" t="n">
        <v>20.78</v>
      </c>
      <c r="U668" s="11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26" t="n">
        <v>43.1</v>
      </c>
      <c r="W668" s="26" t="n">
        <v>78.65000000000001</v>
      </c>
      <c r="X668" s="26">
        <f>ROUND(('Methodology &amp; Assumptions'!$B$5*V668) + ('Methodology &amp; Assumptions'!$B$6*W668), 2)</f>
        <v/>
      </c>
      <c r="Y668" s="28" t="n">
        <v>23.7</v>
      </c>
      <c r="Z668" s="11" t="inlineStr">
        <is>
          <t>Priority Tier 2 (Balanced Opportunity)</t>
        </is>
      </c>
    </row>
    <row r="669">
      <c r="A669" s="23" t="n">
        <v>3</v>
      </c>
      <c r="B669" s="23" t="n">
        <v>665</v>
      </c>
      <c r="C669" s="23" t="n">
        <v>2665</v>
      </c>
      <c r="D669" s="23" t="inlineStr">
        <is>
          <t>0506203065</t>
        </is>
      </c>
      <c r="E669" s="11" t="inlineStr">
        <is>
          <t>Region V (Bicol Region)</t>
        </is>
      </c>
      <c r="F669" s="11" t="inlineStr">
        <is>
          <t>Sorsogon</t>
        </is>
      </c>
      <c r="G669" s="11" t="inlineStr">
        <is>
          <t>Bulan</t>
        </is>
      </c>
      <c r="H669" s="11" t="inlineStr">
        <is>
          <t>Zone VIII Pob.</t>
        </is>
      </c>
      <c r="I669" s="24" t="n">
        <v>12.666319</v>
      </c>
      <c r="J669" s="24" t="n">
        <v>123.878368</v>
      </c>
      <c r="K669" s="23" t="inlineStr">
        <is>
          <t>R</t>
        </is>
      </c>
      <c r="L669" s="25" t="n">
        <v>2226</v>
      </c>
      <c r="M669" s="26" t="n">
        <v>4</v>
      </c>
      <c r="N669" s="25">
        <f>ROUND(L669/M669, 0)</f>
        <v/>
      </c>
      <c r="O669" s="25">
        <f>ROUND(N669*'Methodology &amp; Assumptions'!$B$7, 0)</f>
        <v/>
      </c>
      <c r="P669" s="23" t="inlineStr">
        <is>
          <t>Single Carrier (Band n50, 100MHz TDD)</t>
        </is>
      </c>
      <c r="Q669" s="27">
        <f>ROUNDUP(O669/'Methodology &amp; Assumptions'!$B$8, 0)</f>
        <v/>
      </c>
      <c r="R669" s="27" t="n">
        <v>1</v>
      </c>
      <c r="S669" s="26" t="n">
        <v>0.71</v>
      </c>
      <c r="T669" s="26" t="n">
        <v>0.31</v>
      </c>
      <c r="U669" s="11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26" t="n">
        <v>78.39</v>
      </c>
      <c r="W669" s="26" t="n">
        <v>43.35</v>
      </c>
      <c r="X669" s="26">
        <f>ROUND(('Methodology &amp; Assumptions'!$B$5*V669) + ('Methodology &amp; Assumptions'!$B$6*W669), 2)</f>
        <v/>
      </c>
      <c r="Y669" s="28" t="n">
        <v>23.7</v>
      </c>
      <c r="Z669" s="11" t="inlineStr">
        <is>
          <t>Priority Tier 2 (Balanced Opportunity)</t>
        </is>
      </c>
    </row>
    <row r="670">
      <c r="A670" s="23" t="n">
        <v>3</v>
      </c>
      <c r="B670" s="23" t="n">
        <v>666</v>
      </c>
      <c r="C670" s="23" t="n">
        <v>2666</v>
      </c>
      <c r="D670" s="23" t="inlineStr">
        <is>
          <t>1380611032</t>
        </is>
      </c>
      <c r="E670" s="11" t="inlineStr">
        <is>
          <t>National Capital Region (NCR)</t>
        </is>
      </c>
      <c r="F670" s="11" t="inlineStr">
        <is>
          <t>First District (Not a Province)</t>
        </is>
      </c>
      <c r="G670" s="11" t="inlineStr">
        <is>
          <t>City of Manila</t>
        </is>
      </c>
      <c r="H670" s="11" t="inlineStr">
        <is>
          <t>Barangay 818</t>
        </is>
      </c>
      <c r="I670" s="24" t="n">
        <v>14.581036</v>
      </c>
      <c r="J670" s="24" t="n">
        <v>121.003254</v>
      </c>
      <c r="K670" s="23" t="inlineStr">
        <is>
          <t>U</t>
        </is>
      </c>
      <c r="L670" s="25" t="n">
        <v>1424</v>
      </c>
      <c r="M670" s="26" t="n">
        <v>3.98</v>
      </c>
      <c r="N670" s="25">
        <f>ROUND(L670/M670, 0)</f>
        <v/>
      </c>
      <c r="O670" s="25">
        <f>ROUND(N670*'Methodology &amp; Assumptions'!$B$7, 0)</f>
        <v/>
      </c>
      <c r="P670" s="23" t="inlineStr">
        <is>
          <t>Single Carrier (Band n50, 100MHz TDD)</t>
        </is>
      </c>
      <c r="Q670" s="27">
        <f>ROUNDUP(O670/'Methodology &amp; Assumptions'!$B$8, 0)</f>
        <v/>
      </c>
      <c r="R670" s="27" t="n">
        <v>1</v>
      </c>
      <c r="S670" s="26" t="n">
        <v>0.38</v>
      </c>
      <c r="T670" s="26" t="n">
        <v>0.34</v>
      </c>
      <c r="U670" s="11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26" t="n">
        <v>52.55</v>
      </c>
      <c r="W670" s="26" t="n">
        <v>69.19</v>
      </c>
      <c r="X670" s="26">
        <f>ROUND(('Methodology &amp; Assumptions'!$B$5*V670) + ('Methodology &amp; Assumptions'!$B$6*W670), 2)</f>
        <v/>
      </c>
      <c r="Y670" s="28" t="n">
        <v>10.9</v>
      </c>
      <c r="Z670" s="11" t="inlineStr">
        <is>
          <t>Priority Tier 2 (Balanced Opportunity)</t>
        </is>
      </c>
    </row>
    <row r="671">
      <c r="A671" s="23" t="n">
        <v>3</v>
      </c>
      <c r="B671" s="23" t="n">
        <v>667</v>
      </c>
      <c r="C671" s="23" t="n">
        <v>2667</v>
      </c>
      <c r="D671" s="23" t="inlineStr">
        <is>
          <t>1381100122</t>
        </is>
      </c>
      <c r="E671" s="11" t="inlineStr">
        <is>
          <t>National Capital Region (NCR)</t>
        </is>
      </c>
      <c r="F671" s="11" t="inlineStr">
        <is>
          <t>Fourth District (Not a Province)</t>
        </is>
      </c>
      <c r="G671" s="11" t="inlineStr">
        <is>
          <t>Pasay City</t>
        </is>
      </c>
      <c r="H671" s="11" t="inlineStr">
        <is>
          <t>Barangay 122</t>
        </is>
      </c>
      <c r="I671" s="24" t="n">
        <v>14.545791</v>
      </c>
      <c r="J671" s="24" t="n">
        <v>121.004474</v>
      </c>
      <c r="K671" s="23" t="inlineStr">
        <is>
          <t>U</t>
        </is>
      </c>
      <c r="L671" s="25" t="n">
        <v>1205</v>
      </c>
      <c r="M671" s="26" t="n">
        <v>3.43</v>
      </c>
      <c r="N671" s="25">
        <f>ROUND(L671/M671, 0)</f>
        <v/>
      </c>
      <c r="O671" s="25">
        <f>ROUND(N671*'Methodology &amp; Assumptions'!$B$7, 0)</f>
        <v/>
      </c>
      <c r="P671" s="23" t="inlineStr">
        <is>
          <t>Single Carrier (Band n50, 100MHz TDD)</t>
        </is>
      </c>
      <c r="Q671" s="27">
        <f>ROUNDUP(O671/'Methodology &amp; Assumptions'!$B$8, 0)</f>
        <v/>
      </c>
      <c r="R671" s="27" t="n">
        <v>1</v>
      </c>
      <c r="S671" s="26" t="n">
        <v>0.87</v>
      </c>
      <c r="T671" s="26" t="n">
        <v>0.3</v>
      </c>
      <c r="U671" s="11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26" t="n">
        <v>52.25</v>
      </c>
      <c r="W671" s="26" t="n">
        <v>69.48999999999999</v>
      </c>
      <c r="X671" s="26">
        <f>ROUND(('Methodology &amp; Assumptions'!$B$5*V671) + ('Methodology &amp; Assumptions'!$B$6*W671), 2)</f>
        <v/>
      </c>
      <c r="Y671" s="28" t="n">
        <v>10.9</v>
      </c>
      <c r="Z671" s="11" t="inlineStr">
        <is>
          <t>Priority Tier 2 (Balanced Opportunity)</t>
        </is>
      </c>
    </row>
    <row r="672">
      <c r="A672" s="23" t="n">
        <v>3</v>
      </c>
      <c r="B672" s="23" t="n">
        <v>668</v>
      </c>
      <c r="C672" s="23" t="n">
        <v>2668</v>
      </c>
      <c r="D672" s="23" t="inlineStr">
        <is>
          <t>1907011008</t>
        </is>
      </c>
      <c r="E672" s="11" t="inlineStr">
        <is>
          <t>Bangsamoro Autonomous Region In Muslim Mindanao (BARMM)</t>
        </is>
      </c>
      <c r="F672" s="11" t="inlineStr">
        <is>
          <t>Tawi-Tawi</t>
        </is>
      </c>
      <c r="G672" s="11" t="inlineStr">
        <is>
          <t>Sibutu</t>
        </is>
      </c>
      <c r="H672" s="11" t="inlineStr">
        <is>
          <t>Nunukan</t>
        </is>
      </c>
      <c r="I672" s="24" t="n">
        <v>4.794869</v>
      </c>
      <c r="J672" s="24" t="n">
        <v>119.481765</v>
      </c>
      <c r="K672" s="23" t="inlineStr">
        <is>
          <t>R</t>
        </is>
      </c>
      <c r="L672" s="25" t="n">
        <v>2665</v>
      </c>
      <c r="M672" s="26" t="n">
        <v>5.8</v>
      </c>
      <c r="N672" s="25">
        <f>ROUND(L672/M672, 0)</f>
        <v/>
      </c>
      <c r="O672" s="25">
        <f>ROUND(N672*'Methodology &amp; Assumptions'!$B$7, 0)</f>
        <v/>
      </c>
      <c r="P672" s="23" t="inlineStr">
        <is>
          <t>Single Carrier (Band n50, 100MHz TDD)</t>
        </is>
      </c>
      <c r="Q672" s="27">
        <f>ROUNDUP(O672/'Methodology &amp; Assumptions'!$B$8, 0)</f>
        <v/>
      </c>
      <c r="R672" s="27" t="n">
        <v>1</v>
      </c>
      <c r="S672" s="26" t="n">
        <v>999</v>
      </c>
      <c r="T672" s="26" t="n">
        <v>999</v>
      </c>
      <c r="U672" s="11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26" t="n">
        <v>45.83</v>
      </c>
      <c r="W672" s="26" t="n">
        <v>75.90000000000001</v>
      </c>
      <c r="X672" s="26">
        <f>ROUND(('Methodology &amp; Assumptions'!$B$5*V672) + ('Methodology &amp; Assumptions'!$B$6*W672), 2)</f>
        <v/>
      </c>
      <c r="Y672" s="28" t="n">
        <v>11</v>
      </c>
      <c r="Z672" s="11" t="inlineStr">
        <is>
          <t>Priority Tier 2 (Balanced Opportunity)</t>
        </is>
      </c>
    </row>
    <row r="673">
      <c r="A673" s="23" t="n">
        <v>3</v>
      </c>
      <c r="B673" s="23" t="n">
        <v>669</v>
      </c>
      <c r="C673" s="23" t="n">
        <v>2669</v>
      </c>
      <c r="D673" s="23" t="inlineStr">
        <is>
          <t>0604531011</t>
        </is>
      </c>
      <c r="E673" s="11" t="inlineStr">
        <is>
          <t>Region VI (Western Visayas)</t>
        </is>
      </c>
      <c r="F673" s="11" t="inlineStr">
        <is>
          <t>Negros Occidental</t>
        </is>
      </c>
      <c r="G673" s="11" t="inlineStr">
        <is>
          <t>City of Victorias</t>
        </is>
      </c>
      <c r="H673" s="11" t="inlineStr">
        <is>
          <t>Barangay VIII</t>
        </is>
      </c>
      <c r="I673" s="24" t="n">
        <v>10.897071</v>
      </c>
      <c r="J673" s="24" t="n">
        <v>123.067648</v>
      </c>
      <c r="K673" s="23" t="inlineStr">
        <is>
          <t>U</t>
        </is>
      </c>
      <c r="L673" s="25" t="n">
        <v>6104</v>
      </c>
      <c r="M673" s="26" t="n">
        <v>3.7</v>
      </c>
      <c r="N673" s="25">
        <f>ROUND(L673/M673, 0)</f>
        <v/>
      </c>
      <c r="O673" s="25">
        <f>ROUND(N673*'Methodology &amp; Assumptions'!$B$7, 0)</f>
        <v/>
      </c>
      <c r="P673" s="23" t="inlineStr">
        <is>
          <t>Single Carrier (Band n50, 100MHz TDD)</t>
        </is>
      </c>
      <c r="Q673" s="27">
        <f>ROUNDUP(O673/'Methodology &amp; Assumptions'!$B$8, 0)</f>
        <v/>
      </c>
      <c r="R673" s="27" t="n">
        <v>1</v>
      </c>
      <c r="S673" s="26" t="n">
        <v>0.78</v>
      </c>
      <c r="T673" s="26" t="n">
        <v>0.3</v>
      </c>
      <c r="U673" s="11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26" t="n">
        <v>80.86</v>
      </c>
      <c r="W673" s="26" t="n">
        <v>40.87</v>
      </c>
      <c r="X673" s="26">
        <f>ROUND(('Methodology &amp; Assumptions'!$B$5*V673) + ('Methodology &amp; Assumptions'!$B$6*W673), 2)</f>
        <v/>
      </c>
      <c r="Y673" s="28" t="n">
        <v>23.7</v>
      </c>
      <c r="Z673" s="11" t="inlineStr">
        <is>
          <t>Priority Tier 2 (Balanced Opportunity)</t>
        </is>
      </c>
    </row>
    <row r="674">
      <c r="A674" s="23" t="n">
        <v>3</v>
      </c>
      <c r="B674" s="23" t="n">
        <v>670</v>
      </c>
      <c r="C674" s="23" t="n">
        <v>2670</v>
      </c>
      <c r="D674" s="23" t="inlineStr">
        <is>
          <t>0501606017</t>
        </is>
      </c>
      <c r="E674" s="11" t="inlineStr">
        <is>
          <t>Region V (Bicol Region)</t>
        </is>
      </c>
      <c r="F674" s="11" t="inlineStr">
        <is>
          <t>Camarines Norte</t>
        </is>
      </c>
      <c r="G674" s="11" t="inlineStr">
        <is>
          <t>Labo</t>
        </is>
      </c>
      <c r="H674" s="11" t="inlineStr">
        <is>
          <t>Cabatuhan</t>
        </is>
      </c>
      <c r="I674" s="24" t="n">
        <v>14.1476</v>
      </c>
      <c r="J674" s="24" t="n">
        <v>122.5332</v>
      </c>
      <c r="K674" s="23" t="inlineStr">
        <is>
          <t>R</t>
        </is>
      </c>
      <c r="L674" s="25" t="n">
        <v>1650</v>
      </c>
      <c r="M674" s="26" t="n">
        <v>4</v>
      </c>
      <c r="N674" s="25">
        <f>ROUND(L674/M674, 0)</f>
        <v/>
      </c>
      <c r="O674" s="25">
        <f>ROUND(N674*'Methodology &amp; Assumptions'!$B$7, 0)</f>
        <v/>
      </c>
      <c r="P674" s="23" t="inlineStr">
        <is>
          <t>Single Carrier (Band n50, 100MHz TDD)</t>
        </is>
      </c>
      <c r="Q674" s="27">
        <f>ROUNDUP(O674/'Methodology &amp; Assumptions'!$B$8, 0)</f>
        <v/>
      </c>
      <c r="R674" s="27" t="n">
        <v>1</v>
      </c>
      <c r="S674" s="26" t="n">
        <v>8.539999999999999</v>
      </c>
      <c r="T674" s="26" t="n">
        <v>2.67</v>
      </c>
      <c r="U674" s="11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26" t="n">
        <v>54.63</v>
      </c>
      <c r="W674" s="26" t="n">
        <v>67.09999999999999</v>
      </c>
      <c r="X674" s="26">
        <f>ROUND(('Methodology &amp; Assumptions'!$B$5*V674) + ('Methodology &amp; Assumptions'!$B$6*W674), 2)</f>
        <v/>
      </c>
      <c r="Y674" s="28" t="n">
        <v>23.7</v>
      </c>
      <c r="Z674" s="11" t="inlineStr">
        <is>
          <t>Priority Tier 2 (Balanced Opportunity)</t>
        </is>
      </c>
    </row>
    <row r="675">
      <c r="A675" s="23" t="n">
        <v>3</v>
      </c>
      <c r="B675" s="23" t="n">
        <v>671</v>
      </c>
      <c r="C675" s="23" t="n">
        <v>2671</v>
      </c>
      <c r="D675" s="23" t="inlineStr">
        <is>
          <t>1381100123</t>
        </is>
      </c>
      <c r="E675" s="11" t="inlineStr">
        <is>
          <t>National Capital Region (NCR)</t>
        </is>
      </c>
      <c r="F675" s="11" t="inlineStr">
        <is>
          <t>Fourth District (Not a Province)</t>
        </is>
      </c>
      <c r="G675" s="11" t="inlineStr">
        <is>
          <t>Pasay City</t>
        </is>
      </c>
      <c r="H675" s="11" t="inlineStr">
        <is>
          <t>Barangay 123</t>
        </is>
      </c>
      <c r="I675" s="24" t="n">
        <v>14.546414</v>
      </c>
      <c r="J675" s="24" t="n">
        <v>121.005706</v>
      </c>
      <c r="K675" s="23" t="inlineStr">
        <is>
          <t>U</t>
        </is>
      </c>
      <c r="L675" s="25" t="n">
        <v>1217</v>
      </c>
      <c r="M675" s="26" t="n">
        <v>3.6</v>
      </c>
      <c r="N675" s="25">
        <f>ROUND(L675/M675, 0)</f>
        <v/>
      </c>
      <c r="O675" s="25">
        <f>ROUND(N675*'Methodology &amp; Assumptions'!$B$7, 0)</f>
        <v/>
      </c>
      <c r="P675" s="23" t="inlineStr">
        <is>
          <t>Single Carrier (Band n50, 100MHz TDD)</t>
        </is>
      </c>
      <c r="Q675" s="27">
        <f>ROUNDUP(O675/'Methodology &amp; Assumptions'!$B$8, 0)</f>
        <v/>
      </c>
      <c r="R675" s="27" t="n">
        <v>1</v>
      </c>
      <c r="S675" s="26" t="n">
        <v>0.72</v>
      </c>
      <c r="T675" s="26" t="n">
        <v>0.32</v>
      </c>
      <c r="U675" s="11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26" t="n">
        <v>51.91</v>
      </c>
      <c r="W675" s="26" t="n">
        <v>69.8</v>
      </c>
      <c r="X675" s="26">
        <f>ROUND(('Methodology &amp; Assumptions'!$B$5*V675) + ('Methodology &amp; Assumptions'!$B$6*W675), 2)</f>
        <v/>
      </c>
      <c r="Y675" s="28" t="n">
        <v>10.9</v>
      </c>
      <c r="Z675" s="11" t="inlineStr">
        <is>
          <t>Priority Tier 2 (Balanced Opportunity)</t>
        </is>
      </c>
    </row>
    <row r="676">
      <c r="A676" s="23" t="n">
        <v>3</v>
      </c>
      <c r="B676" s="23" t="n">
        <v>672</v>
      </c>
      <c r="C676" s="23" t="n">
        <v>2672</v>
      </c>
      <c r="D676" s="23" t="inlineStr">
        <is>
          <t>1380606109</t>
        </is>
      </c>
      <c r="E676" s="11" t="inlineStr">
        <is>
          <t>National Capital Region (NCR)</t>
        </is>
      </c>
      <c r="F676" s="11" t="inlineStr">
        <is>
          <t>First District (Not a Province)</t>
        </is>
      </c>
      <c r="G676" s="11" t="inlineStr">
        <is>
          <t>City of Manila</t>
        </is>
      </c>
      <c r="H676" s="11" t="inlineStr">
        <is>
          <t>Barangay 503</t>
        </is>
      </c>
      <c r="I676" s="24" t="n">
        <v>14.614056</v>
      </c>
      <c r="J676" s="24" t="n">
        <v>120.995583</v>
      </c>
      <c r="K676" s="23" t="inlineStr">
        <is>
          <t>U</t>
        </is>
      </c>
      <c r="L676" s="25" t="n">
        <v>1038</v>
      </c>
      <c r="M676" s="26" t="n">
        <v>3.37</v>
      </c>
      <c r="N676" s="25">
        <f>ROUND(L676/M676, 0)</f>
        <v/>
      </c>
      <c r="O676" s="25">
        <f>ROUND(N676*'Methodology &amp; Assumptions'!$B$7, 0)</f>
        <v/>
      </c>
      <c r="P676" s="23" t="inlineStr">
        <is>
          <t>Single Carrier (Band n50, 100MHz TDD)</t>
        </is>
      </c>
      <c r="Q676" s="27">
        <f>ROUNDUP(O676/'Methodology &amp; Assumptions'!$B$8, 0)</f>
        <v/>
      </c>
      <c r="R676" s="27" t="n">
        <v>1</v>
      </c>
      <c r="S676" s="26" t="n">
        <v>0.95</v>
      </c>
      <c r="T676" s="26" t="n">
        <v>0.28</v>
      </c>
      <c r="U676" s="11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26" t="n">
        <v>50.54</v>
      </c>
      <c r="W676" s="26" t="n">
        <v>71.18000000000001</v>
      </c>
      <c r="X676" s="26">
        <f>ROUND(('Methodology &amp; Assumptions'!$B$5*V676) + ('Methodology &amp; Assumptions'!$B$6*W676), 2)</f>
        <v/>
      </c>
      <c r="Y676" s="28" t="n">
        <v>10.9</v>
      </c>
      <c r="Z676" s="11" t="inlineStr">
        <is>
          <t>Priority Tier 2 (Balanced Opportunity)</t>
        </is>
      </c>
    </row>
    <row r="677">
      <c r="A677" s="23" t="n">
        <v>3</v>
      </c>
      <c r="B677" s="23" t="n">
        <v>673</v>
      </c>
      <c r="C677" s="23" t="n">
        <v>2673</v>
      </c>
      <c r="D677" s="23" t="inlineStr">
        <is>
          <t>0201521022</t>
        </is>
      </c>
      <c r="E677" s="11" t="inlineStr">
        <is>
          <t>Region II (Cagayan Valley)</t>
        </is>
      </c>
      <c r="F677" s="11" t="inlineStr">
        <is>
          <t>Cagayan</t>
        </is>
      </c>
      <c r="G677" s="11" t="inlineStr">
        <is>
          <t>Rizal</t>
        </is>
      </c>
      <c r="H677" s="11" t="inlineStr">
        <is>
          <t>Pasingan</t>
        </is>
      </c>
      <c r="I677" s="24" t="n">
        <v>17.827734</v>
      </c>
      <c r="J677" s="24" t="n">
        <v>121.347146</v>
      </c>
      <c r="K677" s="23" t="inlineStr">
        <is>
          <t>R</t>
        </is>
      </c>
      <c r="L677" s="25" t="n">
        <v>206</v>
      </c>
      <c r="M677" s="26" t="n">
        <v>3.6</v>
      </c>
      <c r="N677" s="25">
        <f>ROUND(L677/M677, 0)</f>
        <v/>
      </c>
      <c r="O677" s="25">
        <f>ROUND(N677*'Methodology &amp; Assumptions'!$B$7, 0)</f>
        <v/>
      </c>
      <c r="P677" s="23" t="inlineStr">
        <is>
          <t>Single Carrier (Band n50, 100MHz TDD)</t>
        </is>
      </c>
      <c r="Q677" s="27">
        <f>ROUNDUP(O677/'Methodology &amp; Assumptions'!$B$8, 0)</f>
        <v/>
      </c>
      <c r="R677" s="27" t="n">
        <v>1</v>
      </c>
      <c r="S677" s="26" t="n">
        <v>4.2</v>
      </c>
      <c r="T677" s="26" t="n">
        <v>3.28</v>
      </c>
      <c r="U677" s="11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26" t="n">
        <v>49.97</v>
      </c>
      <c r="W677" s="26" t="n">
        <v>71.73999999999999</v>
      </c>
      <c r="X677" s="26">
        <f>ROUND(('Methodology &amp; Assumptions'!$B$5*V677) + ('Methodology &amp; Assumptions'!$B$6*W677), 2)</f>
        <v/>
      </c>
      <c r="Y677" s="28" t="n">
        <v>8.300000000000001</v>
      </c>
      <c r="Z677" s="11" t="inlineStr">
        <is>
          <t>Priority Tier 2 (Balanced Opportunity)</t>
        </is>
      </c>
    </row>
    <row r="678">
      <c r="A678" s="23" t="n">
        <v>3</v>
      </c>
      <c r="B678" s="23" t="n">
        <v>674</v>
      </c>
      <c r="C678" s="23" t="n">
        <v>2674</v>
      </c>
      <c r="D678" s="23" t="inlineStr">
        <is>
          <t>0704603003</t>
        </is>
      </c>
      <c r="E678" s="11" t="inlineStr">
        <is>
          <t>Region VII (Central Visayas)</t>
        </is>
      </c>
      <c r="F678" s="11" t="inlineStr">
        <is>
          <t>Negros Oriental</t>
        </is>
      </c>
      <c r="G678" s="11" t="inlineStr">
        <is>
          <t>Bacong</t>
        </is>
      </c>
      <c r="H678" s="11" t="inlineStr">
        <is>
          <t>Buntis</t>
        </is>
      </c>
      <c r="I678" s="24" t="n">
        <v>9.2339</v>
      </c>
      <c r="J678" s="24" t="n">
        <v>123.287721</v>
      </c>
      <c r="K678" s="23" t="inlineStr">
        <is>
          <t>R</t>
        </is>
      </c>
      <c r="L678" s="25" t="n">
        <v>4151</v>
      </c>
      <c r="M678" s="26" t="n">
        <v>3.8</v>
      </c>
      <c r="N678" s="25">
        <f>ROUND(L678/M678, 0)</f>
        <v/>
      </c>
      <c r="O678" s="25">
        <f>ROUND(N678*'Methodology &amp; Assumptions'!$B$7, 0)</f>
        <v/>
      </c>
      <c r="P678" s="23" t="inlineStr">
        <is>
          <t>Single Carrier (Band n50, 100MHz TDD)</t>
        </is>
      </c>
      <c r="Q678" s="27">
        <f>ROUNDUP(O678/'Methodology &amp; Assumptions'!$B$8, 0)</f>
        <v/>
      </c>
      <c r="R678" s="27" t="n">
        <v>1</v>
      </c>
      <c r="S678" s="26" t="n">
        <v>1.09</v>
      </c>
      <c r="T678" s="26" t="n">
        <v>1.07</v>
      </c>
      <c r="U678" s="11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26" t="n">
        <v>87.08</v>
      </c>
      <c r="W678" s="26" t="n">
        <v>34.62</v>
      </c>
      <c r="X678" s="26">
        <f>ROUND(('Methodology &amp; Assumptions'!$B$5*V678) + ('Methodology &amp; Assumptions'!$B$6*W678), 2)</f>
        <v/>
      </c>
      <c r="Y678" s="28" t="n">
        <v>23.7</v>
      </c>
      <c r="Z678" s="11" t="inlineStr">
        <is>
          <t>Priority Tier 2 (Balanced Opportunity)</t>
        </is>
      </c>
    </row>
    <row r="679">
      <c r="A679" s="23" t="n">
        <v>3</v>
      </c>
      <c r="B679" s="23" t="n">
        <v>675</v>
      </c>
      <c r="C679" s="23" t="n">
        <v>2675</v>
      </c>
      <c r="D679" s="23" t="inlineStr">
        <is>
          <t>0604531008</t>
        </is>
      </c>
      <c r="E679" s="11" t="inlineStr">
        <is>
          <t>Region VI (Western Visayas)</t>
        </is>
      </c>
      <c r="F679" s="11" t="inlineStr">
        <is>
          <t>Negros Occidental</t>
        </is>
      </c>
      <c r="G679" s="11" t="inlineStr">
        <is>
          <t>City of Victorias</t>
        </is>
      </c>
      <c r="H679" s="11" t="inlineStr">
        <is>
          <t>Barangay V</t>
        </is>
      </c>
      <c r="I679" s="24" t="n">
        <v>10.903316</v>
      </c>
      <c r="J679" s="24" t="n">
        <v>123.07599</v>
      </c>
      <c r="K679" s="23" t="inlineStr">
        <is>
          <t>R</t>
        </is>
      </c>
      <c r="L679" s="25" t="n">
        <v>1805</v>
      </c>
      <c r="M679" s="26" t="n">
        <v>3.7</v>
      </c>
      <c r="N679" s="25">
        <f>ROUND(L679/M679, 0)</f>
        <v/>
      </c>
      <c r="O679" s="25">
        <f>ROUND(N679*'Methodology &amp; Assumptions'!$B$7, 0)</f>
        <v/>
      </c>
      <c r="P679" s="23" t="inlineStr">
        <is>
          <t>Single Carrier (Band n50, 100MHz TDD)</t>
        </is>
      </c>
      <c r="Q679" s="27">
        <f>ROUNDUP(O679/'Methodology &amp; Assumptions'!$B$8, 0)</f>
        <v/>
      </c>
      <c r="R679" s="27" t="n">
        <v>1</v>
      </c>
      <c r="S679" s="26" t="n">
        <v>0.37</v>
      </c>
      <c r="T679" s="26" t="n">
        <v>0.15</v>
      </c>
      <c r="U679" s="11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26" t="n">
        <v>76.26000000000001</v>
      </c>
      <c r="W679" s="26" t="n">
        <v>45.45</v>
      </c>
      <c r="X679" s="26">
        <f>ROUND(('Methodology &amp; Assumptions'!$B$5*V679) + ('Methodology &amp; Assumptions'!$B$6*W679), 2)</f>
        <v/>
      </c>
      <c r="Y679" s="28" t="n">
        <v>23.7</v>
      </c>
      <c r="Z679" s="11" t="inlineStr">
        <is>
          <t>Priority Tier 2 (Balanced Opportunity)</t>
        </is>
      </c>
    </row>
    <row r="680">
      <c r="A680" s="23" t="n">
        <v>3</v>
      </c>
      <c r="B680" s="23" t="n">
        <v>676</v>
      </c>
      <c r="C680" s="23" t="n">
        <v>2676</v>
      </c>
      <c r="D680" s="23" t="inlineStr">
        <is>
          <t>1908705023</t>
        </is>
      </c>
      <c r="E680" s="11" t="inlineStr">
        <is>
          <t>Bangsamoro Autonomous Region In Muslim Mindanao (BARMM)</t>
        </is>
      </c>
      <c r="F680" s="11" t="inlineStr">
        <is>
          <t>Maguindanao del Norte</t>
        </is>
      </c>
      <c r="G680" s="11" t="inlineStr">
        <is>
          <t>Datu Odin Sinsuat</t>
        </is>
      </c>
      <c r="H680" s="11" t="inlineStr">
        <is>
          <t>Mompong</t>
        </is>
      </c>
      <c r="I680" s="24" t="n">
        <v>7.150254</v>
      </c>
      <c r="J680" s="24" t="n">
        <v>124.169882</v>
      </c>
      <c r="K680" s="23" t="inlineStr">
        <is>
          <t>R</t>
        </is>
      </c>
      <c r="L680" s="25" t="n">
        <v>3495</v>
      </c>
      <c r="M680" s="26" t="n">
        <v>4.3</v>
      </c>
      <c r="N680" s="25">
        <f>ROUND(L680/M680, 0)</f>
        <v/>
      </c>
      <c r="O680" s="25">
        <f>ROUND(N680*'Methodology &amp; Assumptions'!$B$7, 0)</f>
        <v/>
      </c>
      <c r="P680" s="23" t="inlineStr">
        <is>
          <t>Single Carrier (Band n50, 100MHz TDD)</t>
        </is>
      </c>
      <c r="Q680" s="27">
        <f>ROUNDUP(O680/'Methodology &amp; Assumptions'!$B$8, 0)</f>
        <v/>
      </c>
      <c r="R680" s="27" t="n">
        <v>1</v>
      </c>
      <c r="S680" s="26" t="n">
        <v>69.41</v>
      </c>
      <c r="T680" s="26" t="n">
        <v>69.3</v>
      </c>
      <c r="U680" s="11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26" t="n">
        <v>57.18</v>
      </c>
      <c r="W680" s="26" t="n">
        <v>64.51000000000001</v>
      </c>
      <c r="X680" s="26">
        <f>ROUND(('Methodology &amp; Assumptions'!$B$5*V680) + ('Methodology &amp; Assumptions'!$B$6*W680), 2)</f>
        <v/>
      </c>
      <c r="Y680" s="28" t="n">
        <v>11</v>
      </c>
      <c r="Z680" s="11" t="inlineStr">
        <is>
          <t>Priority Tier 2 (Balanced Opportunity)</t>
        </is>
      </c>
    </row>
    <row r="681">
      <c r="A681" s="23" t="n">
        <v>3</v>
      </c>
      <c r="B681" s="23" t="n">
        <v>677</v>
      </c>
      <c r="C681" s="23" t="n">
        <v>2677</v>
      </c>
      <c r="D681" s="23" t="inlineStr">
        <is>
          <t>1380614038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782</t>
        </is>
      </c>
      <c r="I681" s="24" t="n">
        <v>14.57613</v>
      </c>
      <c r="J681" s="24" t="n">
        <v>121.010394</v>
      </c>
      <c r="K681" s="23" t="inlineStr">
        <is>
          <t>U</t>
        </is>
      </c>
      <c r="L681" s="25" t="n">
        <v>1619</v>
      </c>
      <c r="M681" s="26" t="n">
        <v>4.51</v>
      </c>
      <c r="N681" s="25">
        <f>ROUND(L681/M681, 0)</f>
        <v/>
      </c>
      <c r="O681" s="25">
        <f>ROUND(N681*'Methodology &amp; Assumptions'!$B$7, 0)</f>
        <v/>
      </c>
      <c r="P681" s="23" t="inlineStr">
        <is>
          <t>Single Carrier (Band n50, 100MHz TDD)</t>
        </is>
      </c>
      <c r="Q681" s="27">
        <f>ROUNDUP(O681/'Methodology &amp; Assumptions'!$B$8, 0)</f>
        <v/>
      </c>
      <c r="R681" s="27" t="n">
        <v>1</v>
      </c>
      <c r="S681" s="26" t="n">
        <v>1.23</v>
      </c>
      <c r="T681" s="26" t="n">
        <v>0.18</v>
      </c>
      <c r="U681" s="11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26" t="n">
        <v>51.16</v>
      </c>
      <c r="W681" s="26" t="n">
        <v>70.53</v>
      </c>
      <c r="X681" s="26">
        <f>ROUND(('Methodology &amp; Assumptions'!$B$5*V681) + ('Methodology &amp; Assumptions'!$B$6*W681), 2)</f>
        <v/>
      </c>
      <c r="Y681" s="28" t="n">
        <v>10.9</v>
      </c>
      <c r="Z681" s="11" t="inlineStr">
        <is>
          <t>Priority Tier 2 (Balanced Opportunity)</t>
        </is>
      </c>
    </row>
    <row r="682">
      <c r="A682" s="23" t="n">
        <v>3</v>
      </c>
      <c r="B682" s="23" t="n">
        <v>678</v>
      </c>
      <c r="C682" s="23" t="n">
        <v>2678</v>
      </c>
      <c r="D682" s="23" t="inlineStr">
        <is>
          <t>1003523029</t>
        </is>
      </c>
      <c r="E682" s="11" t="inlineStr">
        <is>
          <t>Region X (Northern Mindanao)</t>
        </is>
      </c>
      <c r="F682" s="11" t="inlineStr">
        <is>
          <t>Lanao del Norte</t>
        </is>
      </c>
      <c r="G682" s="11" t="inlineStr">
        <is>
          <t>Pantar</t>
        </is>
      </c>
      <c r="H682" s="11" t="inlineStr">
        <is>
          <t>Tawanan</t>
        </is>
      </c>
      <c r="I682" s="24" t="n">
        <v>8.093776999999999</v>
      </c>
      <c r="J682" s="24" t="n">
        <v>124.278277</v>
      </c>
      <c r="K682" s="23" t="inlineStr">
        <is>
          <t>R</t>
        </is>
      </c>
      <c r="L682" s="25" t="n">
        <v>959</v>
      </c>
      <c r="M682" s="26" t="n">
        <v>4.2</v>
      </c>
      <c r="N682" s="25">
        <f>ROUND(L682/M682, 0)</f>
        <v/>
      </c>
      <c r="O682" s="25">
        <f>ROUND(N682*'Methodology &amp; Assumptions'!$B$7, 0)</f>
        <v/>
      </c>
      <c r="P682" s="23" t="inlineStr">
        <is>
          <t>Single Carrier (Band n50, 100MHz TDD)</t>
        </is>
      </c>
      <c r="Q682" s="27">
        <f>ROUNDUP(O682/'Methodology &amp; Assumptions'!$B$8, 0)</f>
        <v/>
      </c>
      <c r="R682" s="27" t="n">
        <v>1</v>
      </c>
      <c r="S682" s="26" t="n">
        <v>9.33</v>
      </c>
      <c r="T682" s="26" t="n">
        <v>3.28</v>
      </c>
      <c r="U682" s="11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26" t="n">
        <v>50.15</v>
      </c>
      <c r="W682" s="26" t="n">
        <v>71.55</v>
      </c>
      <c r="X682" s="26">
        <f>ROUND(('Methodology &amp; Assumptions'!$B$5*V682) + ('Methodology &amp; Assumptions'!$B$6*W682), 2)</f>
        <v/>
      </c>
      <c r="Y682" s="28" t="n">
        <v>17.4</v>
      </c>
      <c r="Z682" s="11" t="inlineStr">
        <is>
          <t>Priority Tier 2 (Balanced Opportunity)</t>
        </is>
      </c>
    </row>
    <row r="683">
      <c r="A683" s="23" t="n">
        <v>3</v>
      </c>
      <c r="B683" s="23" t="n">
        <v>679</v>
      </c>
      <c r="C683" s="23" t="n">
        <v>2679</v>
      </c>
      <c r="D683" s="23" t="inlineStr">
        <is>
          <t>0401031035</t>
        </is>
      </c>
      <c r="E683" s="11" t="inlineStr">
        <is>
          <t>Region IV-A (CALABARZON)</t>
        </is>
      </c>
      <c r="F683" s="11" t="inlineStr">
        <is>
          <t>Batangas</t>
        </is>
      </c>
      <c r="G683" s="11" t="inlineStr">
        <is>
          <t>City of Tanauan</t>
        </is>
      </c>
      <c r="H683" s="11" t="inlineStr">
        <is>
          <t>Poblacion Barangay 4</t>
        </is>
      </c>
      <c r="I683" s="24" t="n">
        <v>14.087659</v>
      </c>
      <c r="J683" s="24" t="n">
        <v>121.148844</v>
      </c>
      <c r="K683" s="23" t="inlineStr">
        <is>
          <t>U</t>
        </is>
      </c>
      <c r="L683" s="25" t="n">
        <v>5389</v>
      </c>
      <c r="M683" s="26" t="n">
        <v>3.6</v>
      </c>
      <c r="N683" s="25">
        <f>ROUND(L683/M683, 0)</f>
        <v/>
      </c>
      <c r="O683" s="25">
        <f>ROUND(N683*'Methodology &amp; Assumptions'!$B$7, 0)</f>
        <v/>
      </c>
      <c r="P683" s="23" t="inlineStr">
        <is>
          <t>Single Carrier (Band n50, 100MHz TDD)</t>
        </is>
      </c>
      <c r="Q683" s="27">
        <f>ROUNDUP(O683/'Methodology &amp; Assumptions'!$B$8, 0)</f>
        <v/>
      </c>
      <c r="R683" s="27" t="n">
        <v>1</v>
      </c>
      <c r="S683" s="26" t="n">
        <v>0.53</v>
      </c>
      <c r="T683" s="26" t="n">
        <v>0.25</v>
      </c>
      <c r="U683" s="11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26" t="n">
        <v>78.26000000000001</v>
      </c>
      <c r="W683" s="26" t="n">
        <v>43.42</v>
      </c>
      <c r="X683" s="26">
        <f>ROUND(('Methodology &amp; Assumptions'!$B$5*V683) + ('Methodology &amp; Assumptions'!$B$6*W683), 2)</f>
        <v/>
      </c>
      <c r="Y683" s="28" t="n">
        <v>7.2</v>
      </c>
      <c r="Z683" s="11" t="inlineStr">
        <is>
          <t>Priority Tier 2 (Balanced Opportunity)</t>
        </is>
      </c>
    </row>
    <row r="684">
      <c r="A684" s="23" t="n">
        <v>3</v>
      </c>
      <c r="B684" s="23" t="n">
        <v>680</v>
      </c>
      <c r="C684" s="23" t="n">
        <v>2680</v>
      </c>
      <c r="D684" s="23" t="inlineStr">
        <is>
          <t>1380601195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195</t>
        </is>
      </c>
      <c r="I684" s="24" t="n">
        <v>14.634457</v>
      </c>
      <c r="J684" s="24" t="n">
        <v>120.978954</v>
      </c>
      <c r="K684" s="23" t="inlineStr">
        <is>
          <t>U</t>
        </is>
      </c>
      <c r="L684" s="25" t="n">
        <v>1261</v>
      </c>
      <c r="M684" s="26" t="n">
        <v>3.46</v>
      </c>
      <c r="N684" s="25">
        <f>ROUND(L684/M684, 0)</f>
        <v/>
      </c>
      <c r="O684" s="25">
        <f>ROUND(N684*'Methodology &amp; Assumptions'!$B$7, 0)</f>
        <v/>
      </c>
      <c r="P684" s="23" t="inlineStr">
        <is>
          <t>Single Carrier (Band n50, 100MHz TDD)</t>
        </is>
      </c>
      <c r="Q684" s="27">
        <f>ROUNDUP(O684/'Methodology &amp; Assumptions'!$B$8, 0)</f>
        <v/>
      </c>
      <c r="R684" s="27" t="n">
        <v>1</v>
      </c>
      <c r="S684" s="26" t="n">
        <v>1.04</v>
      </c>
      <c r="T684" s="26" t="n">
        <v>0.34</v>
      </c>
      <c r="U684" s="11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26" t="n">
        <v>52</v>
      </c>
      <c r="W684" s="26" t="n">
        <v>69.67</v>
      </c>
      <c r="X684" s="26">
        <f>ROUND(('Methodology &amp; Assumptions'!$B$5*V684) + ('Methodology &amp; Assumptions'!$B$6*W684), 2)</f>
        <v/>
      </c>
      <c r="Y684" s="28" t="n">
        <v>10.9</v>
      </c>
      <c r="Z684" s="11" t="inlineStr">
        <is>
          <t>Priority Tier 2 (Balanced Opportunity)</t>
        </is>
      </c>
    </row>
    <row r="685">
      <c r="A685" s="23" t="n">
        <v>3</v>
      </c>
      <c r="B685" s="23" t="n">
        <v>681</v>
      </c>
      <c r="C685" s="23" t="n">
        <v>2681</v>
      </c>
      <c r="D685" s="23" t="inlineStr">
        <is>
          <t>1380606204</t>
        </is>
      </c>
      <c r="E685" s="11" t="inlineStr">
        <is>
          <t>National Capital Region (NCR)</t>
        </is>
      </c>
      <c r="F685" s="11" t="inlineStr">
        <is>
          <t>First District (Not a Province)</t>
        </is>
      </c>
      <c r="G685" s="11" t="inlineStr">
        <is>
          <t>City of Manila</t>
        </is>
      </c>
      <c r="H685" s="11" t="inlineStr">
        <is>
          <t>Barangay 597</t>
        </is>
      </c>
      <c r="I685" s="24" t="n">
        <v>14.600843</v>
      </c>
      <c r="J685" s="24" t="n">
        <v>121.018279</v>
      </c>
      <c r="K685" s="23" t="inlineStr">
        <is>
          <t>U</t>
        </is>
      </c>
      <c r="L685" s="25" t="n">
        <v>1544</v>
      </c>
      <c r="M685" s="26" t="n">
        <v>4.05</v>
      </c>
      <c r="N685" s="25">
        <f>ROUND(L685/M685, 0)</f>
        <v/>
      </c>
      <c r="O685" s="25">
        <f>ROUND(N685*'Methodology &amp; Assumptions'!$B$7, 0)</f>
        <v/>
      </c>
      <c r="P685" s="23" t="inlineStr">
        <is>
          <t>Single Carrier (Band n50, 100MHz TDD)</t>
        </is>
      </c>
      <c r="Q685" s="27">
        <f>ROUNDUP(O685/'Methodology &amp; Assumptions'!$B$8, 0)</f>
        <v/>
      </c>
      <c r="R685" s="27" t="n">
        <v>1</v>
      </c>
      <c r="S685" s="26" t="n">
        <v>1.49</v>
      </c>
      <c r="T685" s="26" t="n">
        <v>0.29</v>
      </c>
      <c r="U685" s="11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26" t="n">
        <v>50.87</v>
      </c>
      <c r="W685" s="26" t="n">
        <v>70.81</v>
      </c>
      <c r="X685" s="26">
        <f>ROUND(('Methodology &amp; Assumptions'!$B$5*V685) + ('Methodology &amp; Assumptions'!$B$6*W685), 2)</f>
        <v/>
      </c>
      <c r="Y685" s="28" t="n">
        <v>10.9</v>
      </c>
      <c r="Z685" s="11" t="inlineStr">
        <is>
          <t>Priority Tier 2 (Balanced Opportunity)</t>
        </is>
      </c>
    </row>
    <row r="686">
      <c r="A686" s="23" t="n">
        <v>3</v>
      </c>
      <c r="B686" s="23" t="n">
        <v>682</v>
      </c>
      <c r="C686" s="23" t="n">
        <v>2682</v>
      </c>
      <c r="D686" s="23" t="inlineStr">
        <is>
          <t>0103304009</t>
        </is>
      </c>
      <c r="E686" s="11" t="inlineStr">
        <is>
          <t>Region I (Ilocos Region)</t>
        </is>
      </c>
      <c r="F686" s="11" t="inlineStr">
        <is>
          <t>La Union</t>
        </is>
      </c>
      <c r="G686" s="11" t="inlineStr">
        <is>
          <t>Bagulin</t>
        </is>
      </c>
      <c r="H686" s="11" t="inlineStr">
        <is>
          <t>Tio-angan</t>
        </is>
      </c>
      <c r="I686" s="24" t="n">
        <v>16.594304</v>
      </c>
      <c r="J686" s="24" t="n">
        <v>120.513305</v>
      </c>
      <c r="K686" s="23" t="inlineStr">
        <is>
          <t>R</t>
        </is>
      </c>
      <c r="L686" s="25" t="n">
        <v>998</v>
      </c>
      <c r="M686" s="26" t="n">
        <v>3.7</v>
      </c>
      <c r="N686" s="25">
        <f>ROUND(L686/M686, 0)</f>
        <v/>
      </c>
      <c r="O686" s="25">
        <f>ROUND(N686*'Methodology &amp; Assumptions'!$B$7, 0)</f>
        <v/>
      </c>
      <c r="P686" s="23" t="inlineStr">
        <is>
          <t>Single Carrier (Band n50, 100MHz TDD)</t>
        </is>
      </c>
      <c r="Q686" s="27">
        <f>ROUNDUP(O686/'Methodology &amp; Assumptions'!$B$8, 0)</f>
        <v/>
      </c>
      <c r="R686" s="27" t="n">
        <v>1</v>
      </c>
      <c r="S686" s="26" t="n">
        <v>10</v>
      </c>
      <c r="T686" s="26" t="n">
        <v>10.21</v>
      </c>
      <c r="U686" s="11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26" t="n">
        <v>49.95</v>
      </c>
      <c r="W686" s="26" t="n">
        <v>71.72</v>
      </c>
      <c r="X686" s="26">
        <f>ROUND(('Methodology &amp; Assumptions'!$B$5*V686) + ('Methodology &amp; Assumptions'!$B$6*W686), 2)</f>
        <v/>
      </c>
      <c r="Y686" s="28" t="n">
        <v>8.300000000000001</v>
      </c>
      <c r="Z686" s="11" t="inlineStr">
        <is>
          <t>Priority Tier 2 (Balanced Opportunity)</t>
        </is>
      </c>
    </row>
    <row r="687">
      <c r="A687" s="23" t="n">
        <v>3</v>
      </c>
      <c r="B687" s="23" t="n">
        <v>683</v>
      </c>
      <c r="C687" s="23" t="n">
        <v>2683</v>
      </c>
      <c r="D687" s="23" t="inlineStr">
        <is>
          <t>0702227005</t>
        </is>
      </c>
      <c r="E687" s="11" t="inlineStr">
        <is>
          <t>Region VII (Central Visayas)</t>
        </is>
      </c>
      <c r="F687" s="11" t="inlineStr">
        <is>
          <t>Cebu</t>
        </is>
      </c>
      <c r="G687" s="11" t="inlineStr">
        <is>
          <t>Liloan</t>
        </is>
      </c>
      <c r="H687" s="11" t="inlineStr">
        <is>
          <t>Jubay</t>
        </is>
      </c>
      <c r="I687" s="24" t="n">
        <v>10.415259</v>
      </c>
      <c r="J687" s="24" t="n">
        <v>123.997221</v>
      </c>
      <c r="K687" s="23" t="inlineStr">
        <is>
          <t>U</t>
        </is>
      </c>
      <c r="L687" s="25" t="n">
        <v>15241</v>
      </c>
      <c r="M687" s="26" t="n">
        <v>3.8</v>
      </c>
      <c r="N687" s="25">
        <f>ROUND(L687/M687, 0)</f>
        <v/>
      </c>
      <c r="O687" s="25">
        <f>ROUND(N687*'Methodology &amp; Assumptions'!$B$7, 0)</f>
        <v/>
      </c>
      <c r="P687" s="23" t="inlineStr">
        <is>
          <t>Single Carrier (Band n50, 100MHz TDD)</t>
        </is>
      </c>
      <c r="Q687" s="27">
        <f>ROUNDUP(O687/'Methodology &amp; Assumptions'!$B$8, 0)</f>
        <v/>
      </c>
      <c r="R687" s="27" t="n">
        <v>1</v>
      </c>
      <c r="S687" s="26" t="n">
        <v>0.1</v>
      </c>
      <c r="T687" s="26" t="n">
        <v>0.1</v>
      </c>
      <c r="U687" s="11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26" t="n">
        <v>80.86</v>
      </c>
      <c r="W687" s="26" t="n">
        <v>40.8</v>
      </c>
      <c r="X687" s="26">
        <f>ROUND(('Methodology &amp; Assumptions'!$B$5*V687) + ('Methodology &amp; Assumptions'!$B$6*W687), 2)</f>
        <v/>
      </c>
      <c r="Y687" s="28" t="n">
        <v>23.7</v>
      </c>
      <c r="Z687" s="11" t="inlineStr">
        <is>
          <t>Priority Tier 2 (Balanced Opportunity)</t>
        </is>
      </c>
    </row>
    <row r="688">
      <c r="A688" s="23" t="n">
        <v>3</v>
      </c>
      <c r="B688" s="23" t="n">
        <v>684</v>
      </c>
      <c r="C688" s="23" t="n">
        <v>2684</v>
      </c>
      <c r="D688" s="23" t="inlineStr">
        <is>
          <t>0403411008</t>
        </is>
      </c>
      <c r="E688" s="11" t="inlineStr">
        <is>
          <t>Region IV-A (CALABARZON)</t>
        </is>
      </c>
      <c r="F688" s="11" t="inlineStr">
        <is>
          <t>Laguna</t>
        </is>
      </c>
      <c r="G688" s="11" t="inlineStr">
        <is>
          <t>Los Baños</t>
        </is>
      </c>
      <c r="H688" s="11" t="inlineStr">
        <is>
          <t>Maahas</t>
        </is>
      </c>
      <c r="I688" s="24" t="n">
        <v>14.179806</v>
      </c>
      <c r="J688" s="24" t="n">
        <v>121.252822</v>
      </c>
      <c r="K688" s="23" t="inlineStr">
        <is>
          <t>U</t>
        </is>
      </c>
      <c r="L688" s="25" t="n">
        <v>9630</v>
      </c>
      <c r="M688" s="26" t="n">
        <v>3.3</v>
      </c>
      <c r="N688" s="25">
        <f>ROUND(L688/M688, 0)</f>
        <v/>
      </c>
      <c r="O688" s="25">
        <f>ROUND(N688*'Methodology &amp; Assumptions'!$B$7, 0)</f>
        <v/>
      </c>
      <c r="P688" s="23" t="inlineStr">
        <is>
          <t>Single Carrier (Band n50, 100MHz TDD)</t>
        </is>
      </c>
      <c r="Q688" s="27">
        <f>ROUNDUP(O688/'Methodology &amp; Assumptions'!$B$8, 0)</f>
        <v/>
      </c>
      <c r="R688" s="27" t="n">
        <v>1</v>
      </c>
      <c r="S688" s="26" t="n">
        <v>1.13</v>
      </c>
      <c r="T688" s="26" t="n">
        <v>0.36</v>
      </c>
      <c r="U688" s="11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26" t="n">
        <v>77.14</v>
      </c>
      <c r="W688" s="26" t="n">
        <v>44.52</v>
      </c>
      <c r="X688" s="26">
        <f>ROUND(('Methodology &amp; Assumptions'!$B$5*V688) + ('Methodology &amp; Assumptions'!$B$6*W688), 2)</f>
        <v/>
      </c>
      <c r="Y688" s="28" t="n">
        <v>7.2</v>
      </c>
      <c r="Z688" s="11" t="inlineStr">
        <is>
          <t>Priority Tier 2 (Balanced Opportunity)</t>
        </is>
      </c>
    </row>
    <row r="689">
      <c r="A689" s="23" t="n">
        <v>3</v>
      </c>
      <c r="B689" s="23" t="n">
        <v>685</v>
      </c>
      <c r="C689" s="23" t="n">
        <v>2685</v>
      </c>
      <c r="D689" s="23" t="inlineStr">
        <is>
          <t>0405804035</t>
        </is>
      </c>
      <c r="E689" s="11" t="inlineStr">
        <is>
          <t>Region IV-A (CALABARZON)</t>
        </is>
      </c>
      <c r="F689" s="11" t="inlineStr">
        <is>
          <t>Rizal</t>
        </is>
      </c>
      <c r="G689" s="11" t="inlineStr">
        <is>
          <t>Binangonan</t>
        </is>
      </c>
      <c r="H689" s="11" t="inlineStr">
        <is>
          <t>Tatala</t>
        </is>
      </c>
      <c r="I689" s="24" t="n">
        <v>14.484022</v>
      </c>
      <c r="J689" s="24" t="n">
        <v>121.207469</v>
      </c>
      <c r="K689" s="23" t="inlineStr">
        <is>
          <t>U</t>
        </is>
      </c>
      <c r="L689" s="25" t="n">
        <v>15462</v>
      </c>
      <c r="M689" s="26" t="n">
        <v>3.6</v>
      </c>
      <c r="N689" s="25">
        <f>ROUND(L689/M689, 0)</f>
        <v/>
      </c>
      <c r="O689" s="25">
        <f>ROUND(N689*'Methodology &amp; Assumptions'!$B$7, 0)</f>
        <v/>
      </c>
      <c r="P689" s="23" t="inlineStr">
        <is>
          <t>Single Carrier (Band n50, 100MHz TDD)</t>
        </is>
      </c>
      <c r="Q689" s="27">
        <f>ROUNDUP(O689/'Methodology &amp; Assumptions'!$B$8, 0)</f>
        <v/>
      </c>
      <c r="R689" s="27" t="n">
        <v>1</v>
      </c>
      <c r="S689" s="26" t="n">
        <v>1.22</v>
      </c>
      <c r="T689" s="26" t="n">
        <v>0.8</v>
      </c>
      <c r="U689" s="11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26" t="n">
        <v>76.83</v>
      </c>
      <c r="W689" s="26" t="n">
        <v>44.83</v>
      </c>
      <c r="X689" s="26">
        <f>ROUND(('Methodology &amp; Assumptions'!$B$5*V689) + ('Methodology &amp; Assumptions'!$B$6*W689), 2)</f>
        <v/>
      </c>
      <c r="Y689" s="28" t="n">
        <v>7.2</v>
      </c>
      <c r="Z689" s="11" t="inlineStr">
        <is>
          <t>Priority Tier 2 (Balanced Opportunity)</t>
        </is>
      </c>
    </row>
    <row r="690">
      <c r="A690" s="23" t="n">
        <v>3</v>
      </c>
      <c r="B690" s="23" t="n">
        <v>686</v>
      </c>
      <c r="C690" s="23" t="n">
        <v>2686</v>
      </c>
      <c r="D690" s="23" t="inlineStr">
        <is>
          <t>0405814004</t>
        </is>
      </c>
      <c r="E690" s="11" t="inlineStr">
        <is>
          <t>Region IV-A (CALABARZON)</t>
        </is>
      </c>
      <c r="F690" s="11" t="inlineStr">
        <is>
          <t>Rizal</t>
        </is>
      </c>
      <c r="G690" s="11" t="inlineStr">
        <is>
          <t>Teresa</t>
        </is>
      </c>
      <c r="H690" s="11" t="inlineStr">
        <is>
          <t>Dulumbayan</t>
        </is>
      </c>
      <c r="I690" s="24" t="n">
        <v>14.55772</v>
      </c>
      <c r="J690" s="24" t="n">
        <v>121.2051</v>
      </c>
      <c r="K690" s="23" t="inlineStr">
        <is>
          <t>U</t>
        </is>
      </c>
      <c r="L690" s="25" t="n">
        <v>8898</v>
      </c>
      <c r="M690" s="26" t="n">
        <v>3.6</v>
      </c>
      <c r="N690" s="25">
        <f>ROUND(L690/M690, 0)</f>
        <v/>
      </c>
      <c r="O690" s="25">
        <f>ROUND(N690*'Methodology &amp; Assumptions'!$B$7, 0)</f>
        <v/>
      </c>
      <c r="P690" s="23" t="inlineStr">
        <is>
          <t>Single Carrier (Band n50, 100MHz TDD)</t>
        </is>
      </c>
      <c r="Q690" s="27">
        <f>ROUNDUP(O690/'Methodology &amp; Assumptions'!$B$8, 0)</f>
        <v/>
      </c>
      <c r="R690" s="27" t="n">
        <v>1</v>
      </c>
      <c r="S690" s="26" t="n">
        <v>1.27</v>
      </c>
      <c r="T690" s="26" t="n">
        <v>0.53</v>
      </c>
      <c r="U690" s="11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26" t="n">
        <v>76.62</v>
      </c>
      <c r="W690" s="26" t="n">
        <v>45.04</v>
      </c>
      <c r="X690" s="26">
        <f>ROUND(('Methodology &amp; Assumptions'!$B$5*V690) + ('Methodology &amp; Assumptions'!$B$6*W690), 2)</f>
        <v/>
      </c>
      <c r="Y690" s="28" t="n">
        <v>7.2</v>
      </c>
      <c r="Z690" s="11" t="inlineStr">
        <is>
          <t>Priority Tier 2 (Balanced Opportunity)</t>
        </is>
      </c>
    </row>
    <row r="691">
      <c r="A691" s="23" t="n">
        <v>3</v>
      </c>
      <c r="B691" s="23" t="n">
        <v>687</v>
      </c>
      <c r="C691" s="23" t="n">
        <v>2687</v>
      </c>
      <c r="D691" s="23" t="inlineStr">
        <is>
          <t>0301404007</t>
        </is>
      </c>
      <c r="E691" s="11" t="inlineStr">
        <is>
          <t>Region III (Central Luzon)</t>
        </is>
      </c>
      <c r="F691" s="11" t="inlineStr">
        <is>
          <t>Bulacan</t>
        </is>
      </c>
      <c r="G691" s="11" t="inlineStr">
        <is>
          <t>Bocaue</t>
        </is>
      </c>
      <c r="H691" s="11" t="inlineStr">
        <is>
          <t>Bolacan</t>
        </is>
      </c>
      <c r="I691" s="24" t="n">
        <v>14.800878</v>
      </c>
      <c r="J691" s="24" t="n">
        <v>120.945866</v>
      </c>
      <c r="K691" s="23" t="inlineStr">
        <is>
          <t>R</t>
        </is>
      </c>
      <c r="L691" s="25" t="n">
        <v>1637</v>
      </c>
      <c r="M691" s="26" t="n">
        <v>3.5</v>
      </c>
      <c r="N691" s="25">
        <f>ROUND(L691/M691, 0)</f>
        <v/>
      </c>
      <c r="O691" s="25">
        <f>ROUND(N691*'Methodology &amp; Assumptions'!$B$7, 0)</f>
        <v/>
      </c>
      <c r="P691" s="23" t="inlineStr">
        <is>
          <t>Single Carrier (Band n50, 100MHz TDD)</t>
        </is>
      </c>
      <c r="Q691" s="27">
        <f>ROUNDUP(O691/'Methodology &amp; Assumptions'!$B$8, 0)</f>
        <v/>
      </c>
      <c r="R691" s="27" t="n">
        <v>1</v>
      </c>
      <c r="S691" s="26" t="n">
        <v>1.55</v>
      </c>
      <c r="T691" s="26" t="n">
        <v>1.1</v>
      </c>
      <c r="U691" s="11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26" t="n">
        <v>71.52</v>
      </c>
      <c r="W691" s="26" t="n">
        <v>50.14</v>
      </c>
      <c r="X691" s="26">
        <f>ROUND(('Methodology &amp; Assumptions'!$B$5*V691) + ('Methodology &amp; Assumptions'!$B$6*W691), 2)</f>
        <v/>
      </c>
      <c r="Y691" s="28" t="n">
        <v>8.300000000000001</v>
      </c>
      <c r="Z691" s="11" t="inlineStr">
        <is>
          <t>Priority Tier 2 (Balanced Opportunity)</t>
        </is>
      </c>
    </row>
    <row r="692">
      <c r="A692" s="23" t="n">
        <v>3</v>
      </c>
      <c r="B692" s="23" t="n">
        <v>688</v>
      </c>
      <c r="C692" s="23" t="n">
        <v>2688</v>
      </c>
      <c r="D692" s="23" t="inlineStr">
        <is>
          <t>0600401011</t>
        </is>
      </c>
      <c r="E692" s="11" t="inlineStr">
        <is>
          <t>Region VI (Western Visayas)</t>
        </is>
      </c>
      <c r="F692" s="11" t="inlineStr">
        <is>
          <t>Aklan</t>
        </is>
      </c>
      <c r="G692" s="11" t="inlineStr">
        <is>
          <t>Altavas</t>
        </is>
      </c>
      <c r="H692" s="11" t="inlineStr">
        <is>
          <t>Poblacion</t>
        </is>
      </c>
      <c r="I692" s="24" t="n">
        <v>11.53731</v>
      </c>
      <c r="J692" s="24" t="n">
        <v>122.48746</v>
      </c>
      <c r="K692" s="23" t="inlineStr">
        <is>
          <t>R</t>
        </is>
      </c>
      <c r="L692" s="25" t="n">
        <v>4795</v>
      </c>
      <c r="M692" s="26" t="n">
        <v>3.9</v>
      </c>
      <c r="N692" s="25">
        <f>ROUND(L692/M692, 0)</f>
        <v/>
      </c>
      <c r="O692" s="25">
        <f>ROUND(N692*'Methodology &amp; Assumptions'!$B$7, 0)</f>
        <v/>
      </c>
      <c r="P692" s="23" t="inlineStr">
        <is>
          <t>Single Carrier (Band n50, 100MHz TDD)</t>
        </is>
      </c>
      <c r="Q692" s="27">
        <f>ROUNDUP(O692/'Methodology &amp; Assumptions'!$B$8, 0)</f>
        <v/>
      </c>
      <c r="R692" s="27" t="n">
        <v>1</v>
      </c>
      <c r="S692" s="26" t="n">
        <v>0.36</v>
      </c>
      <c r="T692" s="26" t="n">
        <v>0.24</v>
      </c>
      <c r="U692" s="11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26" t="n">
        <v>88.06</v>
      </c>
      <c r="W692" s="26" t="n">
        <v>33.58</v>
      </c>
      <c r="X692" s="26">
        <f>ROUND(('Methodology &amp; Assumptions'!$B$5*V692) + ('Methodology &amp; Assumptions'!$B$6*W692), 2)</f>
        <v/>
      </c>
      <c r="Y692" s="28" t="n">
        <v>23.7</v>
      </c>
      <c r="Z692" s="11" t="inlineStr">
        <is>
          <t>Priority Tier 2 (Balanced Opportunity)</t>
        </is>
      </c>
    </row>
    <row r="693">
      <c r="A693" s="23" t="n">
        <v>3</v>
      </c>
      <c r="B693" s="23" t="n">
        <v>689</v>
      </c>
      <c r="C693" s="23" t="n">
        <v>2689</v>
      </c>
      <c r="D693" s="23" t="inlineStr">
        <is>
          <t>0301406011</t>
        </is>
      </c>
      <c r="E693" s="11" t="inlineStr">
        <is>
          <t>Region III (Central Luzon)</t>
        </is>
      </c>
      <c r="F693" s="11" t="inlineStr">
        <is>
          <t>Bulacan</t>
        </is>
      </c>
      <c r="G693" s="11" t="inlineStr">
        <is>
          <t>Bustos</t>
        </is>
      </c>
      <c r="H693" s="11" t="inlineStr">
        <is>
          <t>San Pedro</t>
        </is>
      </c>
      <c r="I693" s="24" t="n">
        <v>14.948507</v>
      </c>
      <c r="J693" s="24" t="n">
        <v>120.907661</v>
      </c>
      <c r="K693" s="23" t="inlineStr">
        <is>
          <t>U</t>
        </is>
      </c>
      <c r="L693" s="25" t="n">
        <v>8480</v>
      </c>
      <c r="M693" s="26" t="n">
        <v>3.5</v>
      </c>
      <c r="N693" s="25">
        <f>ROUND(L693/M693, 0)</f>
        <v/>
      </c>
      <c r="O693" s="25">
        <f>ROUND(N693*'Methodology &amp; Assumptions'!$B$7, 0)</f>
        <v/>
      </c>
      <c r="P693" s="23" t="inlineStr">
        <is>
          <t>Single Carrier (Band n50, 100MHz TDD)</t>
        </is>
      </c>
      <c r="Q693" s="27">
        <f>ROUNDUP(O693/'Methodology &amp; Assumptions'!$B$8, 0)</f>
        <v/>
      </c>
      <c r="R693" s="27" t="n">
        <v>1</v>
      </c>
      <c r="S693" s="26" t="n">
        <v>1.22</v>
      </c>
      <c r="T693" s="26" t="n">
        <v>0.65</v>
      </c>
      <c r="U693" s="11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26" t="n">
        <v>76.98999999999999</v>
      </c>
      <c r="W693" s="26" t="n">
        <v>44.65</v>
      </c>
      <c r="X693" s="26">
        <f>ROUND(('Methodology &amp; Assumptions'!$B$5*V693) + ('Methodology &amp; Assumptions'!$B$6*W693), 2)</f>
        <v/>
      </c>
      <c r="Y693" s="28" t="n">
        <v>8.300000000000001</v>
      </c>
      <c r="Z693" s="11" t="inlineStr">
        <is>
          <t>Priority Tier 2 (Balanced Opportunity)</t>
        </is>
      </c>
    </row>
    <row r="694">
      <c r="A694" s="23" t="n">
        <v>3</v>
      </c>
      <c r="B694" s="23" t="n">
        <v>690</v>
      </c>
      <c r="C694" s="23" t="n">
        <v>2690</v>
      </c>
      <c r="D694" s="23" t="inlineStr">
        <is>
          <t>0402106058</t>
        </is>
      </c>
      <c r="E694" s="11" t="inlineStr">
        <is>
          <t>Region IV-A (CALABARZON)</t>
        </is>
      </c>
      <c r="F694" s="11" t="inlineStr">
        <is>
          <t>Cavite</t>
        </is>
      </c>
      <c r="G694" s="11" t="inlineStr">
        <is>
          <t>City of Dasmariñas</t>
        </is>
      </c>
      <c r="H694" s="11" t="inlineStr">
        <is>
          <t>Salitran II</t>
        </is>
      </c>
      <c r="I694" s="24" t="n">
        <v>14.350455</v>
      </c>
      <c r="J694" s="24" t="n">
        <v>120.938756</v>
      </c>
      <c r="K694" s="23" t="inlineStr">
        <is>
          <t>U</t>
        </is>
      </c>
      <c r="L694" s="25" t="n">
        <v>12987</v>
      </c>
      <c r="M694" s="26" t="n">
        <v>3.4</v>
      </c>
      <c r="N694" s="25">
        <f>ROUND(L694/M694, 0)</f>
        <v/>
      </c>
      <c r="O694" s="25">
        <f>ROUND(N694*'Methodology &amp; Assumptions'!$B$7, 0)</f>
        <v/>
      </c>
      <c r="P694" s="23" t="inlineStr">
        <is>
          <t>Single Carrier (Band n50, 100MHz TDD)</t>
        </is>
      </c>
      <c r="Q694" s="27">
        <f>ROUNDUP(O694/'Methodology &amp; Assumptions'!$B$8, 0)</f>
        <v/>
      </c>
      <c r="R694" s="27" t="n">
        <v>1</v>
      </c>
      <c r="S694" s="26" t="n">
        <v>0.09</v>
      </c>
      <c r="T694" s="26" t="n">
        <v>5.65</v>
      </c>
      <c r="U694" s="11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26" t="n">
        <v>77.84999999999999</v>
      </c>
      <c r="W694" s="26" t="n">
        <v>43.77</v>
      </c>
      <c r="X694" s="26">
        <f>ROUND(('Methodology &amp; Assumptions'!$B$5*V694) + ('Methodology &amp; Assumptions'!$B$6*W694), 2)</f>
        <v/>
      </c>
      <c r="Y694" s="28" t="n">
        <v>7.2</v>
      </c>
      <c r="Z694" s="11" t="inlineStr">
        <is>
          <t>Priority Tier 2 (Balanced Opportunity)</t>
        </is>
      </c>
    </row>
    <row r="695">
      <c r="A695" s="23" t="n">
        <v>3</v>
      </c>
      <c r="B695" s="23" t="n">
        <v>691</v>
      </c>
      <c r="C695" s="23" t="n">
        <v>2691</v>
      </c>
      <c r="D695" s="23" t="inlineStr">
        <is>
          <t>0301403026</t>
        </is>
      </c>
      <c r="E695" s="11" t="inlineStr">
        <is>
          <t>Region III (Central Luzon)</t>
        </is>
      </c>
      <c r="F695" s="11" t="inlineStr">
        <is>
          <t>Bulacan</t>
        </is>
      </c>
      <c r="G695" s="11" t="inlineStr">
        <is>
          <t>Baliuag</t>
        </is>
      </c>
      <c r="H695" s="11" t="inlineStr">
        <is>
          <t>Tiaong</t>
        </is>
      </c>
      <c r="I695" s="24" t="n">
        <v>14.943806</v>
      </c>
      <c r="J695" s="24" t="n">
        <v>120.896428</v>
      </c>
      <c r="K695" s="23" t="inlineStr">
        <is>
          <t>U</t>
        </is>
      </c>
      <c r="L695" s="25" t="n">
        <v>6126</v>
      </c>
      <c r="M695" s="26" t="n">
        <v>3.5</v>
      </c>
      <c r="N695" s="25">
        <f>ROUND(L695/M695, 0)</f>
        <v/>
      </c>
      <c r="O695" s="25">
        <f>ROUND(N695*'Methodology &amp; Assumptions'!$B$7, 0)</f>
        <v/>
      </c>
      <c r="P695" s="23" t="inlineStr">
        <is>
          <t>Single Carrier (Band n50, 100MHz TDD)</t>
        </is>
      </c>
      <c r="Q695" s="27">
        <f>ROUNDUP(O695/'Methodology &amp; Assumptions'!$B$8, 0)</f>
        <v/>
      </c>
      <c r="R695" s="27" t="n">
        <v>1</v>
      </c>
      <c r="S695" s="26" t="n">
        <v>1.02</v>
      </c>
      <c r="T695" s="26" t="n">
        <v>0.48</v>
      </c>
      <c r="U695" s="11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26" t="n">
        <v>77.73</v>
      </c>
      <c r="W695" s="26" t="n">
        <v>43.88</v>
      </c>
      <c r="X695" s="26">
        <f>ROUND(('Methodology &amp; Assumptions'!$B$5*V695) + ('Methodology &amp; Assumptions'!$B$6*W695), 2)</f>
        <v/>
      </c>
      <c r="Y695" s="28" t="n">
        <v>8.300000000000001</v>
      </c>
      <c r="Z695" s="11" t="inlineStr">
        <is>
          <t>Priority Tier 2 (Balanced Opportunity)</t>
        </is>
      </c>
    </row>
    <row r="696">
      <c r="A696" s="23" t="n">
        <v>3</v>
      </c>
      <c r="B696" s="23" t="n">
        <v>692</v>
      </c>
      <c r="C696" s="23" t="n">
        <v>2692</v>
      </c>
      <c r="D696" s="23" t="inlineStr">
        <is>
          <t>1908707002</t>
        </is>
      </c>
      <c r="E696" s="11" t="inlineStr">
        <is>
          <t>Bangsamoro Autonomous Region In Muslim Mindanao (BARMM)</t>
        </is>
      </c>
      <c r="F696" s="11" t="inlineStr">
        <is>
          <t>Maguindanao del Norte</t>
        </is>
      </c>
      <c r="G696" s="11" t="inlineStr">
        <is>
          <t>Matanog</t>
        </is>
      </c>
      <c r="H696" s="11" t="inlineStr">
        <is>
          <t>Bayanga Sur</t>
        </is>
      </c>
      <c r="I696" s="24" t="n">
        <v>7.444069</v>
      </c>
      <c r="J696" s="24" t="n">
        <v>124.250496</v>
      </c>
      <c r="K696" s="23" t="inlineStr">
        <is>
          <t>R</t>
        </is>
      </c>
      <c r="L696" s="25" t="n">
        <v>9894</v>
      </c>
      <c r="M696" s="26" t="n">
        <v>4.3</v>
      </c>
      <c r="N696" s="25">
        <f>ROUND(L696/M696, 0)</f>
        <v/>
      </c>
      <c r="O696" s="25">
        <f>ROUND(N696*'Methodology &amp; Assumptions'!$B$7, 0)</f>
        <v/>
      </c>
      <c r="P696" s="23" t="inlineStr">
        <is>
          <t>Single Carrier (Band n50, 100MHz TDD)</t>
        </is>
      </c>
      <c r="Q696" s="27">
        <f>ROUNDUP(O696/'Methodology &amp; Assumptions'!$B$8, 0)</f>
        <v/>
      </c>
      <c r="R696" s="27" t="n">
        <v>1</v>
      </c>
      <c r="S696" s="26" t="n">
        <v>62.98</v>
      </c>
      <c r="T696" s="26" t="n">
        <v>59.18</v>
      </c>
      <c r="U696" s="11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26" t="n">
        <v>59.06</v>
      </c>
      <c r="W696" s="26" t="n">
        <v>62.56</v>
      </c>
      <c r="X696" s="26">
        <f>ROUND(('Methodology &amp; Assumptions'!$B$5*V696) + ('Methodology &amp; Assumptions'!$B$6*W696), 2)</f>
        <v/>
      </c>
      <c r="Y696" s="28" t="n">
        <v>11</v>
      </c>
      <c r="Z696" s="11" t="inlineStr">
        <is>
          <t>Priority Tier 2 (Balanced Opportunity)</t>
        </is>
      </c>
    </row>
    <row r="697">
      <c r="A697" s="23" t="n">
        <v>3</v>
      </c>
      <c r="B697" s="23" t="n">
        <v>693</v>
      </c>
      <c r="C697" s="23" t="n">
        <v>2693</v>
      </c>
      <c r="D697" s="23" t="inlineStr">
        <is>
          <t>1380605067</t>
        </is>
      </c>
      <c r="E697" s="11" t="inlineStr">
        <is>
          <t>National Capital Region (NCR)</t>
        </is>
      </c>
      <c r="F697" s="11" t="inlineStr">
        <is>
          <t>First District (Not a Province)</t>
        </is>
      </c>
      <c r="G697" s="11" t="inlineStr">
        <is>
          <t>City of Manila</t>
        </is>
      </c>
      <c r="H697" s="11" t="inlineStr">
        <is>
          <t>Barangay 365</t>
        </is>
      </c>
      <c r="I697" s="24" t="n">
        <v>14.623119</v>
      </c>
      <c r="J697" s="24" t="n">
        <v>120.984446</v>
      </c>
      <c r="K697" s="23" t="inlineStr">
        <is>
          <t>U</t>
        </is>
      </c>
      <c r="L697" s="25" t="n">
        <v>1387</v>
      </c>
      <c r="M697" s="26" t="n">
        <v>4.39</v>
      </c>
      <c r="N697" s="25">
        <f>ROUND(L697/M697, 0)</f>
        <v/>
      </c>
      <c r="O697" s="25">
        <f>ROUND(N697*'Methodology &amp; Assumptions'!$B$7, 0)</f>
        <v/>
      </c>
      <c r="P697" s="23" t="inlineStr">
        <is>
          <t>Single Carrier (Band n50, 100MHz TDD)</t>
        </is>
      </c>
      <c r="Q697" s="27">
        <f>ROUNDUP(O697/'Methodology &amp; Assumptions'!$B$8, 0)</f>
        <v/>
      </c>
      <c r="R697" s="27" t="n">
        <v>1</v>
      </c>
      <c r="S697" s="26" t="n">
        <v>0.76</v>
      </c>
      <c r="T697" s="26" t="n">
        <v>0.21</v>
      </c>
      <c r="U697" s="11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26" t="n">
        <v>51.27</v>
      </c>
      <c r="W697" s="26" t="n">
        <v>70.36</v>
      </c>
      <c r="X697" s="26">
        <f>ROUND(('Methodology &amp; Assumptions'!$B$5*V697) + ('Methodology &amp; Assumptions'!$B$6*W697), 2)</f>
        <v/>
      </c>
      <c r="Y697" s="28" t="n">
        <v>10.9</v>
      </c>
      <c r="Z697" s="11" t="inlineStr">
        <is>
          <t>Priority Tier 2 (Balanced Opportunity)</t>
        </is>
      </c>
    </row>
    <row r="698">
      <c r="A698" s="23" t="n">
        <v>3</v>
      </c>
      <c r="B698" s="23" t="n">
        <v>694</v>
      </c>
      <c r="C698" s="23" t="n">
        <v>2694</v>
      </c>
      <c r="D698" s="23" t="inlineStr">
        <is>
          <t>0105533030</t>
        </is>
      </c>
      <c r="E698" s="11" t="inlineStr">
        <is>
          <t>Region I (Ilocos Region)</t>
        </is>
      </c>
      <c r="F698" s="11" t="inlineStr">
        <is>
          <t>Pangasinan</t>
        </is>
      </c>
      <c r="G698" s="11" t="inlineStr">
        <is>
          <t>San Fabian</t>
        </is>
      </c>
      <c r="H698" s="11" t="inlineStr">
        <is>
          <t>Nibaliw Vidal</t>
        </is>
      </c>
      <c r="I698" s="24" t="n">
        <v>16.12587</v>
      </c>
      <c r="J698" s="24" t="n">
        <v>120.39326</v>
      </c>
      <c r="K698" s="23" t="inlineStr">
        <is>
          <t>R</t>
        </is>
      </c>
      <c r="L698" s="25" t="n">
        <v>3605</v>
      </c>
      <c r="M698" s="26" t="n">
        <v>3.6</v>
      </c>
      <c r="N698" s="25">
        <f>ROUND(L698/M698, 0)</f>
        <v/>
      </c>
      <c r="O698" s="25">
        <f>ROUND(N698*'Methodology &amp; Assumptions'!$B$7, 0)</f>
        <v/>
      </c>
      <c r="P698" s="23" t="inlineStr">
        <is>
          <t>Single Carrier (Band n50, 100MHz TDD)</t>
        </is>
      </c>
      <c r="Q698" s="27">
        <f>ROUNDUP(O698/'Methodology &amp; Assumptions'!$B$8, 0)</f>
        <v/>
      </c>
      <c r="R698" s="27" t="n">
        <v>1</v>
      </c>
      <c r="S698" s="26" t="n">
        <v>1.28</v>
      </c>
      <c r="T698" s="26" t="n">
        <v>1.04</v>
      </c>
      <c r="U698" s="11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26" t="n">
        <v>83.97</v>
      </c>
      <c r="W698" s="26" t="n">
        <v>37.63</v>
      </c>
      <c r="X698" s="26">
        <f>ROUND(('Methodology &amp; Assumptions'!$B$5*V698) + ('Methodology &amp; Assumptions'!$B$6*W698), 2)</f>
        <v/>
      </c>
      <c r="Y698" s="28" t="n">
        <v>8.300000000000001</v>
      </c>
      <c r="Z698" s="11" t="inlineStr">
        <is>
          <t>Priority Tier 2 (Balanced Opportunity)</t>
        </is>
      </c>
    </row>
    <row r="699">
      <c r="A699" s="23" t="n">
        <v>3</v>
      </c>
      <c r="B699" s="23" t="n">
        <v>695</v>
      </c>
      <c r="C699" s="23" t="n">
        <v>2695</v>
      </c>
      <c r="D699" s="23" t="inlineStr">
        <is>
          <t>0300811022</t>
        </is>
      </c>
      <c r="E699" s="11" t="inlineStr">
        <is>
          <t>Region III (Central Luzon)</t>
        </is>
      </c>
      <c r="F699" s="11" t="inlineStr">
        <is>
          <t>Bataan</t>
        </is>
      </c>
      <c r="G699" s="11" t="inlineStr">
        <is>
          <t>Pilar</t>
        </is>
      </c>
      <c r="H699" s="11" t="inlineStr">
        <is>
          <t>Rizal</t>
        </is>
      </c>
      <c r="I699" s="24" t="n">
        <v>14.866531</v>
      </c>
      <c r="J699" s="24" t="n">
        <v>120.468507</v>
      </c>
      <c r="K699" s="23" t="inlineStr">
        <is>
          <t>R</t>
        </is>
      </c>
      <c r="L699" s="25" t="n">
        <v>1164</v>
      </c>
      <c r="M699" s="26" t="n">
        <v>3.6</v>
      </c>
      <c r="N699" s="25">
        <f>ROUND(L699/M699, 0)</f>
        <v/>
      </c>
      <c r="O699" s="25">
        <f>ROUND(N699*'Methodology &amp; Assumptions'!$B$7, 0)</f>
        <v/>
      </c>
      <c r="P699" s="23" t="inlineStr">
        <is>
          <t>Single Carrier (Band n50, 100MHz TDD)</t>
        </is>
      </c>
      <c r="Q699" s="27">
        <f>ROUNDUP(O699/'Methodology &amp; Assumptions'!$B$8, 0)</f>
        <v/>
      </c>
      <c r="R699" s="27" t="n">
        <v>1</v>
      </c>
      <c r="S699" s="26" t="n">
        <v>0.27</v>
      </c>
      <c r="T699" s="26" t="n">
        <v>0.19</v>
      </c>
      <c r="U699" s="11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26" t="n">
        <v>69.54000000000001</v>
      </c>
      <c r="W699" s="26" t="n">
        <v>52.07</v>
      </c>
      <c r="X699" s="26">
        <f>ROUND(('Methodology &amp; Assumptions'!$B$5*V699) + ('Methodology &amp; Assumptions'!$B$6*W699), 2)</f>
        <v/>
      </c>
      <c r="Y699" s="28" t="n">
        <v>8.300000000000001</v>
      </c>
      <c r="Z699" s="11" t="inlineStr">
        <is>
          <t>Priority Tier 2 (Balanced Opportunity)</t>
        </is>
      </c>
    </row>
    <row r="700">
      <c r="A700" s="23" t="n">
        <v>3</v>
      </c>
      <c r="B700" s="23" t="n">
        <v>696</v>
      </c>
      <c r="C700" s="23" t="n">
        <v>2696</v>
      </c>
      <c r="D700" s="23" t="inlineStr">
        <is>
          <t>1381100096</t>
        </is>
      </c>
      <c r="E700" s="11" t="inlineStr">
        <is>
          <t>National Capital Region (NCR)</t>
        </is>
      </c>
      <c r="F700" s="11" t="inlineStr">
        <is>
          <t>Fourth District (Not a Province)</t>
        </is>
      </c>
      <c r="G700" s="11" t="inlineStr">
        <is>
          <t>Pasay City</t>
        </is>
      </c>
      <c r="H700" s="11" t="inlineStr">
        <is>
          <t>Barangay 96</t>
        </is>
      </c>
      <c r="I700" s="24" t="n">
        <v>14.544144</v>
      </c>
      <c r="J700" s="24" t="n">
        <v>121.001166</v>
      </c>
      <c r="K700" s="23" t="inlineStr">
        <is>
          <t>U</t>
        </is>
      </c>
      <c r="L700" s="25" t="n">
        <v>941</v>
      </c>
      <c r="M700" s="26" t="n">
        <v>2.67</v>
      </c>
      <c r="N700" s="25">
        <f>ROUND(L700/M700, 0)</f>
        <v/>
      </c>
      <c r="O700" s="25">
        <f>ROUND(N700*'Methodology &amp; Assumptions'!$B$7, 0)</f>
        <v/>
      </c>
      <c r="P700" s="23" t="inlineStr">
        <is>
          <t>Single Carrier (Band n50, 100MHz TDD)</t>
        </is>
      </c>
      <c r="Q700" s="27">
        <f>ROUNDUP(O700/'Methodology &amp; Assumptions'!$B$8, 0)</f>
        <v/>
      </c>
      <c r="R700" s="27" t="n">
        <v>1</v>
      </c>
      <c r="S700" s="26" t="n">
        <v>0.73</v>
      </c>
      <c r="T700" s="26" t="n">
        <v>0.26</v>
      </c>
      <c r="U700" s="11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26" t="n">
        <v>52.45</v>
      </c>
      <c r="W700" s="26" t="n">
        <v>69.15000000000001</v>
      </c>
      <c r="X700" s="26">
        <f>ROUND(('Methodology &amp; Assumptions'!$B$5*V700) + ('Methodology &amp; Assumptions'!$B$6*W700), 2)</f>
        <v/>
      </c>
      <c r="Y700" s="28" t="n">
        <v>10.9</v>
      </c>
      <c r="Z700" s="11" t="inlineStr">
        <is>
          <t>Priority Tier 2 (Balanced Opportunity)</t>
        </is>
      </c>
    </row>
    <row r="701">
      <c r="A701" s="23" t="n">
        <v>3</v>
      </c>
      <c r="B701" s="23" t="n">
        <v>697</v>
      </c>
      <c r="C701" s="23" t="n">
        <v>2697</v>
      </c>
      <c r="D701" s="23" t="inlineStr">
        <is>
          <t>0401005014</t>
        </is>
      </c>
      <c r="E701" s="11" t="inlineStr">
        <is>
          <t>Region IV-A (CALABARZON)</t>
        </is>
      </c>
      <c r="F701" s="11" t="inlineStr">
        <is>
          <t>Batangas</t>
        </is>
      </c>
      <c r="G701" s="11" t="inlineStr">
        <is>
          <t>Batangas City</t>
        </is>
      </c>
      <c r="H701" s="11" t="inlineStr">
        <is>
          <t>Calicanto</t>
        </is>
      </c>
      <c r="I701" s="24" t="n">
        <v>13.774127</v>
      </c>
      <c r="J701" s="24" t="n">
        <v>121.056947</v>
      </c>
      <c r="K701" s="23" t="inlineStr">
        <is>
          <t>U</t>
        </is>
      </c>
      <c r="L701" s="25" t="n">
        <v>11089</v>
      </c>
      <c r="M701" s="26" t="n">
        <v>3.6</v>
      </c>
      <c r="N701" s="25">
        <f>ROUND(L701/M701, 0)</f>
        <v/>
      </c>
      <c r="O701" s="25">
        <f>ROUND(N701*'Methodology &amp; Assumptions'!$B$7, 0)</f>
        <v/>
      </c>
      <c r="P701" s="23" t="inlineStr">
        <is>
          <t>Single Carrier (Band n50, 100MHz TDD)</t>
        </is>
      </c>
      <c r="Q701" s="27">
        <f>ROUNDUP(O701/'Methodology &amp; Assumptions'!$B$8, 0)</f>
        <v/>
      </c>
      <c r="R701" s="27" t="n">
        <v>1</v>
      </c>
      <c r="S701" s="26" t="n">
        <v>1.31</v>
      </c>
      <c r="T701" s="26" t="n">
        <v>0.39</v>
      </c>
      <c r="U701" s="11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26" t="n">
        <v>76.47</v>
      </c>
      <c r="W701" s="26" t="n">
        <v>45.11</v>
      </c>
      <c r="X701" s="26">
        <f>ROUND(('Methodology &amp; Assumptions'!$B$5*V701) + ('Methodology &amp; Assumptions'!$B$6*W701), 2)</f>
        <v/>
      </c>
      <c r="Y701" s="28" t="n">
        <v>7.2</v>
      </c>
      <c r="Z701" s="11" t="inlineStr">
        <is>
          <t>Priority Tier 2 (Balanced Opportunity)</t>
        </is>
      </c>
    </row>
    <row r="702">
      <c r="A702" s="23" t="n">
        <v>3</v>
      </c>
      <c r="B702" s="23" t="n">
        <v>698</v>
      </c>
      <c r="C702" s="23" t="n">
        <v>2698</v>
      </c>
      <c r="D702" s="23" t="inlineStr">
        <is>
          <t>0301403010</t>
        </is>
      </c>
      <c r="E702" s="11" t="inlineStr">
        <is>
          <t>Region III (Central Luzon)</t>
        </is>
      </c>
      <c r="F702" s="11" t="inlineStr">
        <is>
          <t>Bulacan</t>
        </is>
      </c>
      <c r="G702" s="11" t="inlineStr">
        <is>
          <t>Baliuag</t>
        </is>
      </c>
      <c r="H702" s="11" t="inlineStr">
        <is>
          <t>Pagala</t>
        </is>
      </c>
      <c r="I702" s="24" t="n">
        <v>14.968354</v>
      </c>
      <c r="J702" s="24" t="n">
        <v>120.892318</v>
      </c>
      <c r="K702" s="23" t="inlineStr">
        <is>
          <t>U</t>
        </is>
      </c>
      <c r="L702" s="25" t="n">
        <v>7563</v>
      </c>
      <c r="M702" s="26" t="n">
        <v>3.5</v>
      </c>
      <c r="N702" s="25">
        <f>ROUND(L702/M702, 0)</f>
        <v/>
      </c>
      <c r="O702" s="25">
        <f>ROUND(N702*'Methodology &amp; Assumptions'!$B$7, 0)</f>
        <v/>
      </c>
      <c r="P702" s="23" t="inlineStr">
        <is>
          <t>Single Carrier (Band n50, 100MHz TDD)</t>
        </is>
      </c>
      <c r="Q702" s="27">
        <f>ROUNDUP(O702/'Methodology &amp; Assumptions'!$B$8, 0)</f>
        <v/>
      </c>
      <c r="R702" s="27" t="n">
        <v>1</v>
      </c>
      <c r="S702" s="26" t="n">
        <v>2.19</v>
      </c>
      <c r="T702" s="26" t="n">
        <v>0.41</v>
      </c>
      <c r="U702" s="11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26" t="n">
        <v>73.56</v>
      </c>
      <c r="W702" s="26" t="n">
        <v>48.03</v>
      </c>
      <c r="X702" s="26">
        <f>ROUND(('Methodology &amp; Assumptions'!$B$5*V702) + ('Methodology &amp; Assumptions'!$B$6*W702), 2)</f>
        <v/>
      </c>
      <c r="Y702" s="28" t="n">
        <v>8.300000000000001</v>
      </c>
      <c r="Z702" s="11" t="inlineStr">
        <is>
          <t>Priority Tier 2 (Balanced Opportunity)</t>
        </is>
      </c>
    </row>
    <row r="703">
      <c r="A703" s="23" t="n">
        <v>3</v>
      </c>
      <c r="B703" s="23" t="n">
        <v>699</v>
      </c>
      <c r="C703" s="23" t="n">
        <v>2699</v>
      </c>
      <c r="D703" s="23" t="inlineStr">
        <is>
          <t>1381300124</t>
        </is>
      </c>
      <c r="E703" s="11" t="inlineStr">
        <is>
          <t>National Capital Region (NCR)</t>
        </is>
      </c>
      <c r="F703" s="11" t="inlineStr">
        <is>
          <t>Second District (Not a Province)</t>
        </is>
      </c>
      <c r="G703" s="11" t="inlineStr">
        <is>
          <t>Quezon City</t>
        </is>
      </c>
      <c r="H703" s="11" t="inlineStr">
        <is>
          <t>U.P. Campus</t>
        </is>
      </c>
      <c r="I703" s="24" t="n">
        <v>14.647562</v>
      </c>
      <c r="J703" s="24" t="n">
        <v>121.065152</v>
      </c>
      <c r="K703" s="23" t="inlineStr">
        <is>
          <t>U</t>
        </is>
      </c>
      <c r="L703" s="25" t="n">
        <v>48951</v>
      </c>
      <c r="M703" s="26" t="n">
        <v>3.97</v>
      </c>
      <c r="N703" s="25">
        <f>ROUND(L703/M703, 0)</f>
        <v/>
      </c>
      <c r="O703" s="25">
        <f>ROUND(N703*'Methodology &amp; Assumptions'!$B$7, 0)</f>
        <v/>
      </c>
      <c r="P703" s="23" t="inlineStr">
        <is>
          <t>Single Carrier (Band n50, 100MHz TDD)</t>
        </is>
      </c>
      <c r="Q703" s="27">
        <f>ROUNDUP(O703/'Methodology &amp; Assumptions'!$B$8, 0)</f>
        <v/>
      </c>
      <c r="R703" s="27" t="n">
        <v>1</v>
      </c>
      <c r="S703" s="26" t="n">
        <v>1.33</v>
      </c>
      <c r="T703" s="26" t="n">
        <v>0.97</v>
      </c>
      <c r="U703" s="11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26" t="n">
        <v>64.69</v>
      </c>
      <c r="W703" s="26" t="n">
        <v>56.89</v>
      </c>
      <c r="X703" s="26">
        <f>ROUND(('Methodology &amp; Assumptions'!$B$5*V703) + ('Methodology &amp; Assumptions'!$B$6*W703), 2)</f>
        <v/>
      </c>
      <c r="Y703" s="28" t="n">
        <v>10.9</v>
      </c>
      <c r="Z703" s="11" t="inlineStr">
        <is>
          <t>Priority Tier 2 (Balanced Opportunity)</t>
        </is>
      </c>
    </row>
    <row r="704">
      <c r="A704" s="23" t="n">
        <v>3</v>
      </c>
      <c r="B704" s="23" t="n">
        <v>700</v>
      </c>
      <c r="C704" s="23" t="n">
        <v>2700</v>
      </c>
      <c r="D704" s="23" t="inlineStr">
        <is>
          <t>0401005065</t>
        </is>
      </c>
      <c r="E704" s="11" t="inlineStr">
        <is>
          <t>Region IV-A (CALABARZON)</t>
        </is>
      </c>
      <c r="F704" s="11" t="inlineStr">
        <is>
          <t>Batangas</t>
        </is>
      </c>
      <c r="G704" s="11" t="inlineStr">
        <is>
          <t>Batangas City</t>
        </is>
      </c>
      <c r="H704" s="11" t="inlineStr">
        <is>
          <t>Barangay 19</t>
        </is>
      </c>
      <c r="I704" s="24" t="n">
        <v>13.752501</v>
      </c>
      <c r="J704" s="24" t="n">
        <v>121.055404</v>
      </c>
      <c r="K704" s="23" t="inlineStr">
        <is>
          <t>U</t>
        </is>
      </c>
      <c r="L704" s="25" t="n">
        <v>412</v>
      </c>
      <c r="M704" s="26" t="n">
        <v>3.6</v>
      </c>
      <c r="N704" s="25">
        <f>ROUND(L704/M704, 0)</f>
        <v/>
      </c>
      <c r="O704" s="25">
        <f>ROUND(N704*'Methodology &amp; Assumptions'!$B$7, 0)</f>
        <v/>
      </c>
      <c r="P704" s="23" t="inlineStr">
        <is>
          <t>Single Carrier (Band n50, 100MHz TDD)</t>
        </is>
      </c>
      <c r="Q704" s="27">
        <f>ROUNDUP(O704/'Methodology &amp; Assumptions'!$B$8, 0)</f>
        <v/>
      </c>
      <c r="R704" s="27" t="n">
        <v>1</v>
      </c>
      <c r="S704" s="26" t="n">
        <v>1.11</v>
      </c>
      <c r="T704" s="26" t="n">
        <v>0.52</v>
      </c>
      <c r="U704" s="11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26" t="n">
        <v>54.34</v>
      </c>
      <c r="W704" s="26" t="n">
        <v>67.23999999999999</v>
      </c>
      <c r="X704" s="26">
        <f>ROUND(('Methodology &amp; Assumptions'!$B$5*V704) + ('Methodology &amp; Assumptions'!$B$6*W704), 2)</f>
        <v/>
      </c>
      <c r="Y704" s="28" t="n">
        <v>7.2</v>
      </c>
      <c r="Z704" s="11" t="inlineStr">
        <is>
          <t>Priority Tier 2 (Balanced Opportunity)</t>
        </is>
      </c>
    </row>
    <row r="705">
      <c r="A705" s="23" t="n">
        <v>3</v>
      </c>
      <c r="B705" s="23" t="n">
        <v>701</v>
      </c>
      <c r="C705" s="23" t="n">
        <v>2701</v>
      </c>
      <c r="D705" s="23" t="inlineStr">
        <is>
          <t>0307706009</t>
        </is>
      </c>
      <c r="E705" s="11" t="inlineStr">
        <is>
          <t>Region III (Central Luzon)</t>
        </is>
      </c>
      <c r="F705" s="11" t="inlineStr">
        <is>
          <t>Aurora</t>
        </is>
      </c>
      <c r="G705" s="11" t="inlineStr">
        <is>
          <t>Dipaculao</t>
        </is>
      </c>
      <c r="H705" s="11" t="inlineStr">
        <is>
          <t>Dinadiawan</t>
        </is>
      </c>
      <c r="I705" s="24" t="n">
        <v>16.07596</v>
      </c>
      <c r="J705" s="24" t="n">
        <v>121.768664</v>
      </c>
      <c r="K705" s="23" t="inlineStr">
        <is>
          <t>R</t>
        </is>
      </c>
      <c r="L705" s="25" t="n">
        <v>3215</v>
      </c>
      <c r="M705" s="26" t="n">
        <v>3.8</v>
      </c>
      <c r="N705" s="25">
        <f>ROUND(L705/M705, 0)</f>
        <v/>
      </c>
      <c r="O705" s="25">
        <f>ROUND(N705*'Methodology &amp; Assumptions'!$B$7, 0)</f>
        <v/>
      </c>
      <c r="P705" s="23" t="inlineStr">
        <is>
          <t>Single Carrier (Band n50, 100MHz TDD)</t>
        </is>
      </c>
      <c r="Q705" s="27">
        <f>ROUNDUP(O705/'Methodology &amp; Assumptions'!$B$8, 0)</f>
        <v/>
      </c>
      <c r="R705" s="27" t="n">
        <v>1</v>
      </c>
      <c r="S705" s="26" t="n">
        <v>0.26</v>
      </c>
      <c r="T705" s="26" t="n">
        <v>0.18</v>
      </c>
      <c r="U705" s="11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26" t="n">
        <v>85.63</v>
      </c>
      <c r="W705" s="26" t="n">
        <v>35.92</v>
      </c>
      <c r="X705" s="26">
        <f>ROUND(('Methodology &amp; Assumptions'!$B$5*V705) + ('Methodology &amp; Assumptions'!$B$6*W705), 2)</f>
        <v/>
      </c>
      <c r="Y705" s="28" t="n">
        <v>8.300000000000001</v>
      </c>
      <c r="Z705" s="11" t="inlineStr">
        <is>
          <t>Priority Tier 2 (Balanced Opportunity)</t>
        </is>
      </c>
    </row>
    <row r="706">
      <c r="A706" s="23" t="n">
        <v>3</v>
      </c>
      <c r="B706" s="23" t="n">
        <v>702</v>
      </c>
      <c r="C706" s="23" t="n">
        <v>2702</v>
      </c>
      <c r="D706" s="23" t="inlineStr">
        <is>
          <t>0304903061</t>
        </is>
      </c>
      <c r="E706" s="11" t="inlineStr">
        <is>
          <t>Region III (Central Luzon)</t>
        </is>
      </c>
      <c r="F706" s="11" t="inlineStr">
        <is>
          <t>Nueva Ecija</t>
        </is>
      </c>
      <c r="G706" s="11" t="inlineStr">
        <is>
          <t>City of Cabanatuan</t>
        </is>
      </c>
      <c r="H706" s="11" t="inlineStr">
        <is>
          <t>Patalac</t>
        </is>
      </c>
      <c r="I706" s="24" t="n">
        <v>15.585783</v>
      </c>
      <c r="J706" s="24" t="n">
        <v>120.924577</v>
      </c>
      <c r="K706" s="23" t="inlineStr">
        <is>
          <t>R</t>
        </is>
      </c>
      <c r="L706" s="25" t="n">
        <v>2634</v>
      </c>
      <c r="M706" s="26" t="n">
        <v>3.5</v>
      </c>
      <c r="N706" s="25">
        <f>ROUND(L706/M706, 0)</f>
        <v/>
      </c>
      <c r="O706" s="25">
        <f>ROUND(N706*'Methodology &amp; Assumptions'!$B$7, 0)</f>
        <v/>
      </c>
      <c r="P706" s="23" t="inlineStr">
        <is>
          <t>Single Carrier (Band n50, 100MHz TDD)</t>
        </is>
      </c>
      <c r="Q706" s="27">
        <f>ROUNDUP(O706/'Methodology &amp; Assumptions'!$B$8, 0)</f>
        <v/>
      </c>
      <c r="R706" s="27" t="n">
        <v>1</v>
      </c>
      <c r="S706" s="26" t="n">
        <v>0.71</v>
      </c>
      <c r="T706" s="26" t="n">
        <v>0.52</v>
      </c>
      <c r="U706" s="11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26" t="n">
        <v>83.5</v>
      </c>
      <c r="W706" s="26" t="n">
        <v>38.05</v>
      </c>
      <c r="X706" s="26">
        <f>ROUND(('Methodology &amp; Assumptions'!$B$5*V706) + ('Methodology &amp; Assumptions'!$B$6*W706), 2)</f>
        <v/>
      </c>
      <c r="Y706" s="28" t="n">
        <v>8.300000000000001</v>
      </c>
      <c r="Z706" s="11" t="inlineStr">
        <is>
          <t>Priority Tier 2 (Balanced Opportunity)</t>
        </is>
      </c>
    </row>
    <row r="707">
      <c r="A707" s="23" t="n">
        <v>3</v>
      </c>
      <c r="B707" s="23" t="n">
        <v>703</v>
      </c>
      <c r="C707" s="23" t="n">
        <v>2703</v>
      </c>
      <c r="D707" s="23" t="inlineStr">
        <is>
          <t>0304903097</t>
        </is>
      </c>
      <c r="E707" s="11" t="inlineStr">
        <is>
          <t>Region III (Central Luzon)</t>
        </is>
      </c>
      <c r="F707" s="11" t="inlineStr">
        <is>
          <t>Nueva Ecija</t>
        </is>
      </c>
      <c r="G707" s="11" t="inlineStr">
        <is>
          <t>City of Cabanatuan</t>
        </is>
      </c>
      <c r="H707" s="11" t="inlineStr">
        <is>
          <t>Magsaysay South</t>
        </is>
      </c>
      <c r="I707" s="24" t="n">
        <v>15.585783</v>
      </c>
      <c r="J707" s="24" t="n">
        <v>120.924577</v>
      </c>
      <c r="K707" s="23" t="inlineStr">
        <is>
          <t>R</t>
        </is>
      </c>
      <c r="L707" s="25" t="n">
        <v>2637</v>
      </c>
      <c r="M707" s="26" t="n">
        <v>3.5</v>
      </c>
      <c r="N707" s="25">
        <f>ROUND(L707/M707, 0)</f>
        <v/>
      </c>
      <c r="O707" s="25">
        <f>ROUND(N707*'Methodology &amp; Assumptions'!$B$7, 0)</f>
        <v/>
      </c>
      <c r="P707" s="23" t="inlineStr">
        <is>
          <t>Single Carrier (Band n50, 100MHz TDD)</t>
        </is>
      </c>
      <c r="Q707" s="27">
        <f>ROUNDUP(O707/'Methodology &amp; Assumptions'!$B$8, 0)</f>
        <v/>
      </c>
      <c r="R707" s="27" t="n">
        <v>1</v>
      </c>
      <c r="S707" s="26" t="n">
        <v>0.71</v>
      </c>
      <c r="T707" s="26" t="n">
        <v>0.52</v>
      </c>
      <c r="U707" s="11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26" t="n">
        <v>83.5</v>
      </c>
      <c r="W707" s="26" t="n">
        <v>38.05</v>
      </c>
      <c r="X707" s="26">
        <f>ROUND(('Methodology &amp; Assumptions'!$B$5*V707) + ('Methodology &amp; Assumptions'!$B$6*W707), 2)</f>
        <v/>
      </c>
      <c r="Y707" s="28" t="n">
        <v>8.300000000000001</v>
      </c>
      <c r="Z707" s="11" t="inlineStr">
        <is>
          <t>Priority Tier 2 (Balanced Opportunity)</t>
        </is>
      </c>
    </row>
    <row r="708">
      <c r="A708" s="23" t="n">
        <v>3</v>
      </c>
      <c r="B708" s="23" t="n">
        <v>704</v>
      </c>
      <c r="C708" s="23" t="n">
        <v>2704</v>
      </c>
      <c r="D708" s="23" t="inlineStr">
        <is>
          <t>0405808003</t>
        </is>
      </c>
      <c r="E708" s="11" t="inlineStr">
        <is>
          <t>Region IV-A (CALABARZON)</t>
        </is>
      </c>
      <c r="F708" s="11" t="inlineStr">
        <is>
          <t>Rizal</t>
        </is>
      </c>
      <c r="G708" s="11" t="inlineStr">
        <is>
          <t>Rodriguez</t>
        </is>
      </c>
      <c r="H708" s="11" t="inlineStr">
        <is>
          <t>Geronimo</t>
        </is>
      </c>
      <c r="I708" s="24" t="n">
        <v>14.7318</v>
      </c>
      <c r="J708" s="24" t="n">
        <v>121.1476</v>
      </c>
      <c r="K708" s="23" t="inlineStr">
        <is>
          <t>U</t>
        </is>
      </c>
      <c r="L708" s="25" t="n">
        <v>6475</v>
      </c>
      <c r="M708" s="26" t="n">
        <v>3.6</v>
      </c>
      <c r="N708" s="25">
        <f>ROUND(L708/M708, 0)</f>
        <v/>
      </c>
      <c r="O708" s="25">
        <f>ROUND(N708*'Methodology &amp; Assumptions'!$B$7, 0)</f>
        <v/>
      </c>
      <c r="P708" s="23" t="inlineStr">
        <is>
          <t>Single Carrier (Band n50, 100MHz TDD)</t>
        </is>
      </c>
      <c r="Q708" s="27">
        <f>ROUNDUP(O708/'Methodology &amp; Assumptions'!$B$8, 0)</f>
        <v/>
      </c>
      <c r="R708" s="27" t="n">
        <v>1</v>
      </c>
      <c r="S708" s="26" t="n">
        <v>0.49</v>
      </c>
      <c r="T708" s="26" t="n">
        <v>0.35</v>
      </c>
      <c r="U708" s="11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26" t="n">
        <v>78.26000000000001</v>
      </c>
      <c r="W708" s="26" t="n">
        <v>43.31</v>
      </c>
      <c r="X708" s="26">
        <f>ROUND(('Methodology &amp; Assumptions'!$B$5*V708) + ('Methodology &amp; Assumptions'!$B$6*W708), 2)</f>
        <v/>
      </c>
      <c r="Y708" s="28" t="n">
        <v>7.2</v>
      </c>
      <c r="Z708" s="11" t="inlineStr">
        <is>
          <t>Priority Tier 2 (Balanced Opportunity)</t>
        </is>
      </c>
    </row>
    <row r="709">
      <c r="A709" s="23" t="n">
        <v>3</v>
      </c>
      <c r="B709" s="23" t="n">
        <v>705</v>
      </c>
      <c r="C709" s="23" t="n">
        <v>2705</v>
      </c>
      <c r="D709" s="23" t="inlineStr">
        <is>
          <t>0402111004</t>
        </is>
      </c>
      <c r="E709" s="11" t="inlineStr">
        <is>
          <t>Region IV-A (CALABARZON)</t>
        </is>
      </c>
      <c r="F709" s="11" t="inlineStr">
        <is>
          <t>Cavite</t>
        </is>
      </c>
      <c r="G709" s="11" t="inlineStr">
        <is>
          <t>Kawit</t>
        </is>
      </c>
      <c r="H709" s="11" t="inlineStr">
        <is>
          <t>Marulas</t>
        </is>
      </c>
      <c r="I709" s="24" t="n">
        <v>14.446672</v>
      </c>
      <c r="J709" s="24" t="n">
        <v>120.908467</v>
      </c>
      <c r="K709" s="23" t="inlineStr">
        <is>
          <t>R</t>
        </is>
      </c>
      <c r="L709" s="25" t="n">
        <v>4054</v>
      </c>
      <c r="M709" s="26" t="n">
        <v>3.4</v>
      </c>
      <c r="N709" s="25">
        <f>ROUND(L709/M709, 0)</f>
        <v/>
      </c>
      <c r="O709" s="25">
        <f>ROUND(N709*'Methodology &amp; Assumptions'!$B$7, 0)</f>
        <v/>
      </c>
      <c r="P709" s="23" t="inlineStr">
        <is>
          <t>Single Carrier (Band n50, 100MHz TDD)</t>
        </is>
      </c>
      <c r="Q709" s="27">
        <f>ROUNDUP(O709/'Methodology &amp; Assumptions'!$B$8, 0)</f>
        <v/>
      </c>
      <c r="R709" s="27" t="n">
        <v>1</v>
      </c>
      <c r="S709" s="26" t="n">
        <v>3.34</v>
      </c>
      <c r="T709" s="26" t="n">
        <v>0.65</v>
      </c>
      <c r="U709" s="11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26" t="n">
        <v>77.23999999999999</v>
      </c>
      <c r="W709" s="26" t="n">
        <v>44.33</v>
      </c>
      <c r="X709" s="26">
        <f>ROUND(('Methodology &amp; Assumptions'!$B$5*V709) + ('Methodology &amp; Assumptions'!$B$6*W709), 2)</f>
        <v/>
      </c>
      <c r="Y709" s="28" t="n">
        <v>7.2</v>
      </c>
      <c r="Z709" s="11" t="inlineStr">
        <is>
          <t>Priority Tier 2 (Balanced Opportunity)</t>
        </is>
      </c>
    </row>
    <row r="710">
      <c r="A710" s="23" t="n">
        <v>3</v>
      </c>
      <c r="B710" s="23" t="n">
        <v>706</v>
      </c>
      <c r="C710" s="23" t="n">
        <v>2706</v>
      </c>
      <c r="D710" s="23" t="inlineStr">
        <is>
          <t>0306916059</t>
        </is>
      </c>
      <c r="E710" s="11" t="inlineStr">
        <is>
          <t>Region III (Central Luzon)</t>
        </is>
      </c>
      <c r="F710" s="11" t="inlineStr">
        <is>
          <t>Tarlac</t>
        </is>
      </c>
      <c r="G710" s="11" t="inlineStr">
        <is>
          <t>City of Tarlac</t>
        </is>
      </c>
      <c r="H710" s="11" t="inlineStr">
        <is>
          <t>San Francisco</t>
        </is>
      </c>
      <c r="I710" s="24" t="n">
        <v>15.423669</v>
      </c>
      <c r="J710" s="24" t="n">
        <v>120.594519</v>
      </c>
      <c r="K710" s="23" t="inlineStr">
        <is>
          <t>R</t>
        </is>
      </c>
      <c r="L710" s="25" t="n">
        <v>3004</v>
      </c>
      <c r="M710" s="26" t="n">
        <v>3.9</v>
      </c>
      <c r="N710" s="25">
        <f>ROUND(L710/M710, 0)</f>
        <v/>
      </c>
      <c r="O710" s="25">
        <f>ROUND(N710*'Methodology &amp; Assumptions'!$B$7, 0)</f>
        <v/>
      </c>
      <c r="P710" s="23" t="inlineStr">
        <is>
          <t>Single Carrier (Band n50, 100MHz TDD)</t>
        </is>
      </c>
      <c r="Q710" s="27">
        <f>ROUNDUP(O710/'Methodology &amp; Assumptions'!$B$8, 0)</f>
        <v/>
      </c>
      <c r="R710" s="27" t="n">
        <v>1</v>
      </c>
      <c r="S710" s="26" t="n">
        <v>0.72</v>
      </c>
      <c r="T710" s="26" t="n">
        <v>0.53</v>
      </c>
      <c r="U710" s="11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26" t="n">
        <v>84.05</v>
      </c>
      <c r="W710" s="26" t="n">
        <v>37.49</v>
      </c>
      <c r="X710" s="26">
        <f>ROUND(('Methodology &amp; Assumptions'!$B$5*V710) + ('Methodology &amp; Assumptions'!$B$6*W710), 2)</f>
        <v/>
      </c>
      <c r="Y710" s="28" t="n">
        <v>8.300000000000001</v>
      </c>
      <c r="Z710" s="11" t="inlineStr">
        <is>
          <t>Priority Tier 2 (Balanced Opportunity)</t>
        </is>
      </c>
    </row>
    <row r="711">
      <c r="A711" s="23" t="n">
        <v>3</v>
      </c>
      <c r="B711" s="23" t="n">
        <v>707</v>
      </c>
      <c r="C711" s="23" t="n">
        <v>2707</v>
      </c>
      <c r="D711" s="23" t="inlineStr">
        <is>
          <t>0103311029</t>
        </is>
      </c>
      <c r="E711" s="11" t="inlineStr">
        <is>
          <t>Region I (Ilocos Region)</t>
        </is>
      </c>
      <c r="F711" s="11" t="inlineStr">
        <is>
          <t>La Union</t>
        </is>
      </c>
      <c r="G711" s="11" t="inlineStr">
        <is>
          <t>Naguilian</t>
        </is>
      </c>
      <c r="H711" s="11" t="inlineStr">
        <is>
          <t>Natividad</t>
        </is>
      </c>
      <c r="I711" s="24" t="n">
        <v>16.529408</v>
      </c>
      <c r="J711" s="24" t="n">
        <v>120.391557</v>
      </c>
      <c r="K711" s="23" t="inlineStr">
        <is>
          <t>U</t>
        </is>
      </c>
      <c r="L711" s="25" t="n">
        <v>3145</v>
      </c>
      <c r="M711" s="26" t="n">
        <v>3.7</v>
      </c>
      <c r="N711" s="25">
        <f>ROUND(L711/M711, 0)</f>
        <v/>
      </c>
      <c r="O711" s="25">
        <f>ROUND(N711*'Methodology &amp; Assumptions'!$B$7, 0)</f>
        <v/>
      </c>
      <c r="P711" s="23" t="inlineStr">
        <is>
          <t>Single Carrier (Band n50, 100MHz TDD)</t>
        </is>
      </c>
      <c r="Q711" s="27">
        <f>ROUNDUP(O711/'Methodology &amp; Assumptions'!$B$8, 0)</f>
        <v/>
      </c>
      <c r="R711" s="27" t="n">
        <v>1</v>
      </c>
      <c r="S711" s="26" t="n">
        <v>0.83</v>
      </c>
      <c r="T711" s="26" t="n">
        <v>0.28</v>
      </c>
      <c r="U711" s="11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26" t="n">
        <v>78.43000000000001</v>
      </c>
      <c r="W711" s="26" t="n">
        <v>43.1</v>
      </c>
      <c r="X711" s="26">
        <f>ROUND(('Methodology &amp; Assumptions'!$B$5*V711) + ('Methodology &amp; Assumptions'!$B$6*W711), 2)</f>
        <v/>
      </c>
      <c r="Y711" s="28" t="n">
        <v>8.300000000000001</v>
      </c>
      <c r="Z711" s="11" t="inlineStr">
        <is>
          <t>Priority Tier 2 (Balanced Opportunity)</t>
        </is>
      </c>
    </row>
    <row r="712">
      <c r="A712" s="23" t="n">
        <v>3</v>
      </c>
      <c r="B712" s="23" t="n">
        <v>708</v>
      </c>
      <c r="C712" s="23" t="n">
        <v>2708</v>
      </c>
      <c r="D712" s="23" t="inlineStr">
        <is>
          <t>0405808011</t>
        </is>
      </c>
      <c r="E712" s="11" t="inlineStr">
        <is>
          <t>Region IV-A (CALABARZON)</t>
        </is>
      </c>
      <c r="F712" s="11" t="inlineStr">
        <is>
          <t>Rizal</t>
        </is>
      </c>
      <c r="G712" s="11" t="inlineStr">
        <is>
          <t>Rodriguez</t>
        </is>
      </c>
      <c r="H712" s="11" t="inlineStr">
        <is>
          <t>San Rafael</t>
        </is>
      </c>
      <c r="I712" s="24" t="n">
        <v>14.7362</v>
      </c>
      <c r="J712" s="24" t="n">
        <v>121.152</v>
      </c>
      <c r="K712" s="23" t="inlineStr">
        <is>
          <t>U</t>
        </is>
      </c>
      <c r="L712" s="25" t="n">
        <v>30559</v>
      </c>
      <c r="M712" s="26" t="n">
        <v>3.6</v>
      </c>
      <c r="N712" s="25">
        <f>ROUND(L712/M712, 0)</f>
        <v/>
      </c>
      <c r="O712" s="25">
        <f>ROUND(N712*'Methodology &amp; Assumptions'!$B$7, 0)</f>
        <v/>
      </c>
      <c r="P712" s="23" t="inlineStr">
        <is>
          <t>Single Carrier (Band n50, 100MHz TDD)</t>
        </is>
      </c>
      <c r="Q712" s="27">
        <f>ROUNDUP(O712/'Methodology &amp; Assumptions'!$B$8, 0)</f>
        <v/>
      </c>
      <c r="R712" s="27" t="n">
        <v>1</v>
      </c>
      <c r="S712" s="26" t="n">
        <v>0.46</v>
      </c>
      <c r="T712" s="26" t="n">
        <v>0.22</v>
      </c>
      <c r="U712" s="11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26" t="n">
        <v>77.93000000000001</v>
      </c>
      <c r="W712" s="26" t="n">
        <v>43.6</v>
      </c>
      <c r="X712" s="26">
        <f>ROUND(('Methodology &amp; Assumptions'!$B$5*V712) + ('Methodology &amp; Assumptions'!$B$6*W712), 2)</f>
        <v/>
      </c>
      <c r="Y712" s="28" t="n">
        <v>7.2</v>
      </c>
      <c r="Z712" s="11" t="inlineStr">
        <is>
          <t>Priority Tier 2 (Balanced Opportunity)</t>
        </is>
      </c>
    </row>
    <row r="713">
      <c r="A713" s="23" t="n">
        <v>3</v>
      </c>
      <c r="B713" s="23" t="n">
        <v>709</v>
      </c>
      <c r="C713" s="23" t="n">
        <v>2709</v>
      </c>
      <c r="D713" s="23" t="inlineStr">
        <is>
          <t>0405808009</t>
        </is>
      </c>
      <c r="E713" s="11" t="inlineStr">
        <is>
          <t>Region IV-A (CALABARZON)</t>
        </is>
      </c>
      <c r="F713" s="11" t="inlineStr">
        <is>
          <t>Rizal</t>
        </is>
      </c>
      <c r="G713" s="11" t="inlineStr">
        <is>
          <t>Rodriguez</t>
        </is>
      </c>
      <c r="H713" s="11" t="inlineStr">
        <is>
          <t>San Isidro</t>
        </is>
      </c>
      <c r="I713" s="24" t="n">
        <v>14.76068</v>
      </c>
      <c r="J713" s="24" t="n">
        <v>121.1534</v>
      </c>
      <c r="K713" s="23" t="inlineStr">
        <is>
          <t>U</t>
        </is>
      </c>
      <c r="L713" s="25" t="n">
        <v>152796</v>
      </c>
      <c r="M713" s="26" t="n">
        <v>3.6</v>
      </c>
      <c r="N713" s="25">
        <f>ROUND(L713/M713, 0)</f>
        <v/>
      </c>
      <c r="O713" s="25">
        <f>ROUND(N713*'Methodology &amp; Assumptions'!$B$7, 0)</f>
        <v/>
      </c>
      <c r="P713" s="23" t="inlineStr">
        <is>
          <t>Single Carrier (Band n50, 100MHz TDD)</t>
        </is>
      </c>
      <c r="Q713" s="27">
        <f>ROUNDUP(O713/'Methodology &amp; Assumptions'!$B$8, 0)</f>
        <v/>
      </c>
      <c r="R713" s="27" t="n">
        <v>1</v>
      </c>
      <c r="S713" s="26" t="n">
        <v>2.85</v>
      </c>
      <c r="T713" s="26" t="n">
        <v>0.22</v>
      </c>
      <c r="U713" s="11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26" t="n">
        <v>67.42</v>
      </c>
      <c r="W713" s="26" t="n">
        <v>54.12</v>
      </c>
      <c r="X713" s="26">
        <f>ROUND(('Methodology &amp; Assumptions'!$B$5*V713) + ('Methodology &amp; Assumptions'!$B$6*W713), 2)</f>
        <v/>
      </c>
      <c r="Y713" s="28" t="n">
        <v>7.2</v>
      </c>
      <c r="Z713" s="11" t="inlineStr">
        <is>
          <t>Priority Tier 2 (Balanced Opportunity)</t>
        </is>
      </c>
    </row>
    <row r="714">
      <c r="A714" s="23" t="n">
        <v>3</v>
      </c>
      <c r="B714" s="23" t="n">
        <v>710</v>
      </c>
      <c r="C714" s="23" t="n">
        <v>2710</v>
      </c>
      <c r="D714" s="23" t="inlineStr">
        <is>
          <t>1380606089</t>
        </is>
      </c>
      <c r="E714" s="11" t="inlineStr">
        <is>
          <t>National Capital Region (NCR)</t>
        </is>
      </c>
      <c r="F714" s="11" t="inlineStr">
        <is>
          <t>First District (Not a Province)</t>
        </is>
      </c>
      <c r="G714" s="11" t="inlineStr">
        <is>
          <t>City of Manila</t>
        </is>
      </c>
      <c r="H714" s="11" t="inlineStr">
        <is>
          <t>Barangay 483</t>
        </is>
      </c>
      <c r="I714" s="24" t="n">
        <v>14.618308</v>
      </c>
      <c r="J714" s="24" t="n">
        <v>120.990185</v>
      </c>
      <c r="K714" s="23" t="inlineStr">
        <is>
          <t>U</t>
        </is>
      </c>
      <c r="L714" s="25" t="n">
        <v>1397</v>
      </c>
      <c r="M714" s="26" t="n">
        <v>3.95</v>
      </c>
      <c r="N714" s="25">
        <f>ROUND(L714/M714, 0)</f>
        <v/>
      </c>
      <c r="O714" s="25">
        <f>ROUND(N714*'Methodology &amp; Assumptions'!$B$7, 0)</f>
        <v/>
      </c>
      <c r="P714" s="23" t="inlineStr">
        <is>
          <t>Single Carrier (Band n50, 100MHz TDD)</t>
        </is>
      </c>
      <c r="Q714" s="27">
        <f>ROUNDUP(O714/'Methodology &amp; Assumptions'!$B$8, 0)</f>
        <v/>
      </c>
      <c r="R714" s="27" t="n">
        <v>1</v>
      </c>
      <c r="S714" s="26" t="n">
        <v>0.8100000000000001</v>
      </c>
      <c r="T714" s="26" t="n">
        <v>0.79</v>
      </c>
      <c r="U714" s="11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26" t="n">
        <v>52.45</v>
      </c>
      <c r="W714" s="26" t="n">
        <v>69.09999999999999</v>
      </c>
      <c r="X714" s="26">
        <f>ROUND(('Methodology &amp; Assumptions'!$B$5*V714) + ('Methodology &amp; Assumptions'!$B$6*W714), 2)</f>
        <v/>
      </c>
      <c r="Y714" s="28" t="n">
        <v>10.9</v>
      </c>
      <c r="Z714" s="11" t="inlineStr">
        <is>
          <t>Priority Tier 2 (Balanced Opportunity)</t>
        </is>
      </c>
    </row>
    <row r="715">
      <c r="A715" s="23" t="n">
        <v>3</v>
      </c>
      <c r="B715" s="23" t="n">
        <v>711</v>
      </c>
      <c r="C715" s="23" t="n">
        <v>2711</v>
      </c>
      <c r="D715" s="23" t="inlineStr">
        <is>
          <t>0300809026</t>
        </is>
      </c>
      <c r="E715" s="11" t="inlineStr">
        <is>
          <t>Region III (Central Luzon)</t>
        </is>
      </c>
      <c r="F715" s="11" t="inlineStr">
        <is>
          <t>Bataan</t>
        </is>
      </c>
      <c r="G715" s="11" t="inlineStr">
        <is>
          <t>Orani</t>
        </is>
      </c>
      <c r="H715" s="11" t="inlineStr">
        <is>
          <t>Kabalutan</t>
        </is>
      </c>
      <c r="I715" s="24" t="n">
        <v>14.81332</v>
      </c>
      <c r="J715" s="24" t="n">
        <v>120.532846</v>
      </c>
      <c r="K715" s="23" t="inlineStr">
        <is>
          <t>R</t>
        </is>
      </c>
      <c r="L715" s="25" t="n">
        <v>3154</v>
      </c>
      <c r="M715" s="26" t="n">
        <v>3.6</v>
      </c>
      <c r="N715" s="25">
        <f>ROUND(L715/M715, 0)</f>
        <v/>
      </c>
      <c r="O715" s="25">
        <f>ROUND(N715*'Methodology &amp; Assumptions'!$B$7, 0)</f>
        <v/>
      </c>
      <c r="P715" s="23" t="inlineStr">
        <is>
          <t>Single Carrier (Band n50, 100MHz TDD)</t>
        </is>
      </c>
      <c r="Q715" s="27">
        <f>ROUNDUP(O715/'Methodology &amp; Assumptions'!$B$8, 0)</f>
        <v/>
      </c>
      <c r="R715" s="27" t="n">
        <v>1</v>
      </c>
      <c r="S715" s="26" t="n">
        <v>1.3</v>
      </c>
      <c r="T715" s="26" t="n">
        <v>0.87</v>
      </c>
      <c r="U715" s="11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26" t="n">
        <v>83.87</v>
      </c>
      <c r="W715" s="26" t="n">
        <v>37.64</v>
      </c>
      <c r="X715" s="26">
        <f>ROUND(('Methodology &amp; Assumptions'!$B$5*V715) + ('Methodology &amp; Assumptions'!$B$6*W715), 2)</f>
        <v/>
      </c>
      <c r="Y715" s="28" t="n">
        <v>8.300000000000001</v>
      </c>
      <c r="Z715" s="11" t="inlineStr">
        <is>
          <t>Priority Tier 2 (Balanced Opportunity)</t>
        </is>
      </c>
    </row>
    <row r="716">
      <c r="A716" s="23" t="n">
        <v>3</v>
      </c>
      <c r="B716" s="23" t="n">
        <v>712</v>
      </c>
      <c r="C716" s="23" t="n">
        <v>2712</v>
      </c>
      <c r="D716" s="23" t="inlineStr">
        <is>
          <t>1004319003</t>
        </is>
      </c>
      <c r="E716" s="11" t="inlineStr">
        <is>
          <t>Region X (Northern Mindanao)</t>
        </is>
      </c>
      <c r="F716" s="11" t="inlineStr">
        <is>
          <t>Misamis Oriental</t>
        </is>
      </c>
      <c r="G716" s="11" t="inlineStr">
        <is>
          <t>Medina</t>
        </is>
      </c>
      <c r="H716" s="11" t="inlineStr">
        <is>
          <t>Cabug</t>
        </is>
      </c>
      <c r="I716" s="24" t="n">
        <v>8.904334</v>
      </c>
      <c r="J716" s="24" t="n">
        <v>125.024934</v>
      </c>
      <c r="K716" s="23" t="inlineStr">
        <is>
          <t>R</t>
        </is>
      </c>
      <c r="L716" s="25" t="n">
        <v>2922</v>
      </c>
      <c r="M716" s="26" t="n">
        <v>3.9</v>
      </c>
      <c r="N716" s="25">
        <f>ROUND(L716/M716, 0)</f>
        <v/>
      </c>
      <c r="O716" s="25">
        <f>ROUND(N716*'Methodology &amp; Assumptions'!$B$7, 0)</f>
        <v/>
      </c>
      <c r="P716" s="23" t="inlineStr">
        <is>
          <t>Single Carrier (Band n50, 100MHz TDD)</t>
        </is>
      </c>
      <c r="Q716" s="27">
        <f>ROUNDUP(O716/'Methodology &amp; Assumptions'!$B$8, 0)</f>
        <v/>
      </c>
      <c r="R716" s="27" t="n">
        <v>1</v>
      </c>
      <c r="S716" s="26" t="n">
        <v>0.93</v>
      </c>
      <c r="T716" s="26" t="n">
        <v>0.7</v>
      </c>
      <c r="U716" s="11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26" t="n">
        <v>83.58</v>
      </c>
      <c r="W716" s="26" t="n">
        <v>37.94</v>
      </c>
      <c r="X716" s="26">
        <f>ROUND(('Methodology &amp; Assumptions'!$B$5*V716) + ('Methodology &amp; Assumptions'!$B$6*W716), 2)</f>
        <v/>
      </c>
      <c r="Y716" s="28" t="n">
        <v>17.4</v>
      </c>
      <c r="Z716" s="11" t="inlineStr">
        <is>
          <t>Priority Tier 2 (Balanced Opportunity)</t>
        </is>
      </c>
    </row>
    <row r="717">
      <c r="A717" s="23" t="n">
        <v>3</v>
      </c>
      <c r="B717" s="23" t="n">
        <v>713</v>
      </c>
      <c r="C717" s="23" t="n">
        <v>2713</v>
      </c>
      <c r="D717" s="23" t="inlineStr">
        <is>
          <t>0105512015</t>
        </is>
      </c>
      <c r="E717" s="11" t="inlineStr">
        <is>
          <t>Region I (Ilocos Region)</t>
        </is>
      </c>
      <c r="F717" s="11" t="inlineStr">
        <is>
          <t>Pangasinan</t>
        </is>
      </c>
      <c r="G717" s="11" t="inlineStr">
        <is>
          <t>Binalonan</t>
        </is>
      </c>
      <c r="H717" s="11" t="inlineStr">
        <is>
          <t>Poblacion</t>
        </is>
      </c>
      <c r="I717" s="24" t="n">
        <v>16.049583</v>
      </c>
      <c r="J717" s="24" t="n">
        <v>120.591885</v>
      </c>
      <c r="K717" s="23" t="inlineStr">
        <is>
          <t>U</t>
        </is>
      </c>
      <c r="L717" s="25" t="n">
        <v>7412</v>
      </c>
      <c r="M717" s="26" t="n">
        <v>3.6</v>
      </c>
      <c r="N717" s="25">
        <f>ROUND(L717/M717, 0)</f>
        <v/>
      </c>
      <c r="O717" s="25">
        <f>ROUND(N717*'Methodology &amp; Assumptions'!$B$7, 0)</f>
        <v/>
      </c>
      <c r="P717" s="23" t="inlineStr">
        <is>
          <t>Single Carrier (Band n50, 100MHz TDD)</t>
        </is>
      </c>
      <c r="Q717" s="27">
        <f>ROUNDUP(O717/'Methodology &amp; Assumptions'!$B$8, 0)</f>
        <v/>
      </c>
      <c r="R717" s="27" t="n">
        <v>1</v>
      </c>
      <c r="S717" s="26" t="n">
        <v>0.92</v>
      </c>
      <c r="T717" s="26" t="n">
        <v>0.38</v>
      </c>
      <c r="U717" s="11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26" t="n">
        <v>78.13</v>
      </c>
      <c r="W717" s="26" t="n">
        <v>43.4</v>
      </c>
      <c r="X717" s="26">
        <f>ROUND(('Methodology &amp; Assumptions'!$B$5*V717) + ('Methodology &amp; Assumptions'!$B$6*W717), 2)</f>
        <v/>
      </c>
      <c r="Y717" s="28" t="n">
        <v>8.300000000000001</v>
      </c>
      <c r="Z717" s="11" t="inlineStr">
        <is>
          <t>Priority Tier 2 (Balanced Opportunity)</t>
        </is>
      </c>
    </row>
    <row r="718">
      <c r="A718" s="23" t="n">
        <v>3</v>
      </c>
      <c r="B718" s="23" t="n">
        <v>714</v>
      </c>
      <c r="C718" s="23" t="n">
        <v>2714</v>
      </c>
      <c r="D718" s="23" t="inlineStr">
        <is>
          <t>0405630021</t>
        </is>
      </c>
      <c r="E718" s="11" t="inlineStr">
        <is>
          <t>Region IV-A (CALABARZON)</t>
        </is>
      </c>
      <c r="F718" s="11" t="inlineStr">
        <is>
          <t>Quezon</t>
        </is>
      </c>
      <c r="G718" s="11" t="inlineStr">
        <is>
          <t>Pagbilao</t>
        </is>
      </c>
      <c r="H718" s="11" t="inlineStr">
        <is>
          <t>Barangay 3 Del Carmen</t>
        </is>
      </c>
      <c r="I718" s="24" t="n">
        <v>13.96966</v>
      </c>
      <c r="J718" s="24" t="n">
        <v>121.685267</v>
      </c>
      <c r="K718" s="23" t="inlineStr">
        <is>
          <t>R</t>
        </is>
      </c>
      <c r="L718" s="25" t="n">
        <v>1381</v>
      </c>
      <c r="M718" s="26" t="n">
        <v>3.8</v>
      </c>
      <c r="N718" s="25">
        <f>ROUND(L718/M718, 0)</f>
        <v/>
      </c>
      <c r="O718" s="25">
        <f>ROUND(N718*'Methodology &amp; Assumptions'!$B$7, 0)</f>
        <v/>
      </c>
      <c r="P718" s="23" t="inlineStr">
        <is>
          <t>Single Carrier (Band n50, 100MHz TDD)</t>
        </is>
      </c>
      <c r="Q718" s="27">
        <f>ROUNDUP(O718/'Methodology &amp; Assumptions'!$B$8, 0)</f>
        <v/>
      </c>
      <c r="R718" s="27" t="n">
        <v>1</v>
      </c>
      <c r="S718" s="26" t="n">
        <v>0.42</v>
      </c>
      <c r="T718" s="26" t="n">
        <v>0.07000000000000001</v>
      </c>
      <c r="U718" s="11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26" t="n">
        <v>70.72</v>
      </c>
      <c r="W718" s="26" t="n">
        <v>50.81</v>
      </c>
      <c r="X718" s="26">
        <f>ROUND(('Methodology &amp; Assumptions'!$B$5*V718) + ('Methodology &amp; Assumptions'!$B$6*W718), 2)</f>
        <v/>
      </c>
      <c r="Y718" s="28" t="n">
        <v>7.2</v>
      </c>
      <c r="Z718" s="11" t="inlineStr">
        <is>
          <t>Priority Tier 2 (Balanced Opportunity)</t>
        </is>
      </c>
    </row>
    <row r="719">
      <c r="A719" s="23" t="n">
        <v>3</v>
      </c>
      <c r="B719" s="23" t="n">
        <v>715</v>
      </c>
      <c r="C719" s="23" t="n">
        <v>2715</v>
      </c>
      <c r="D719" s="23" t="inlineStr">
        <is>
          <t>0405647009</t>
        </is>
      </c>
      <c r="E719" s="11" t="inlineStr">
        <is>
          <t>Region IV-A (CALABARZON)</t>
        </is>
      </c>
      <c r="F719" s="11" t="inlineStr">
        <is>
          <t>Quezon</t>
        </is>
      </c>
      <c r="G719" s="11" t="inlineStr">
        <is>
          <t>City of Tayabas</t>
        </is>
      </c>
      <c r="H719" s="11" t="inlineStr">
        <is>
          <t>Angustias Zone III</t>
        </is>
      </c>
      <c r="I719" s="24" t="n">
        <v>14.028233</v>
      </c>
      <c r="J719" s="24" t="n">
        <v>121.591625</v>
      </c>
      <c r="K719" s="23" t="inlineStr">
        <is>
          <t>R</t>
        </is>
      </c>
      <c r="L719" s="25" t="n">
        <v>381</v>
      </c>
      <c r="M719" s="26" t="n">
        <v>3.8</v>
      </c>
      <c r="N719" s="25">
        <f>ROUND(L719/M719, 0)</f>
        <v/>
      </c>
      <c r="O719" s="25">
        <f>ROUND(N719*'Methodology &amp; Assumptions'!$B$7, 0)</f>
        <v/>
      </c>
      <c r="P719" s="23" t="inlineStr">
        <is>
          <t>Single Carrier (Band n50, 100MHz TDD)</t>
        </is>
      </c>
      <c r="Q719" s="27">
        <f>ROUNDUP(O719/'Methodology &amp; Assumptions'!$B$8, 0)</f>
        <v/>
      </c>
      <c r="R719" s="27" t="n">
        <v>1</v>
      </c>
      <c r="S719" s="26" t="n">
        <v>0.54</v>
      </c>
      <c r="T719" s="26" t="n">
        <v>0.08</v>
      </c>
      <c r="U719" s="11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26" t="n">
        <v>62.12</v>
      </c>
      <c r="W719" s="26" t="n">
        <v>59.4</v>
      </c>
      <c r="X719" s="26">
        <f>ROUND(('Methodology &amp; Assumptions'!$B$5*V719) + ('Methodology &amp; Assumptions'!$B$6*W719), 2)</f>
        <v/>
      </c>
      <c r="Y719" s="28" t="n">
        <v>7.2</v>
      </c>
      <c r="Z719" s="11" t="inlineStr">
        <is>
          <t>Priority Tier 2 (Balanced Opportunity)</t>
        </is>
      </c>
    </row>
    <row r="720">
      <c r="A720" s="23" t="n">
        <v>3</v>
      </c>
      <c r="B720" s="23" t="n">
        <v>716</v>
      </c>
      <c r="C720" s="23" t="n">
        <v>2716</v>
      </c>
      <c r="D720" s="23" t="inlineStr">
        <is>
          <t>1705323011</t>
        </is>
      </c>
      <c r="E720" s="11" t="inlineStr">
        <is>
          <t>MIMAROPA Region</t>
        </is>
      </c>
      <c r="F720" s="11" t="inlineStr">
        <is>
          <t>Palawan</t>
        </is>
      </c>
      <c r="G720" s="11" t="inlineStr">
        <is>
          <t>Rizal</t>
        </is>
      </c>
      <c r="H720" s="11" t="inlineStr">
        <is>
          <t>Taburi</t>
        </is>
      </c>
      <c r="I720" s="24" t="n">
        <v>8.725932999999999</v>
      </c>
      <c r="J720" s="24" t="n">
        <v>117.374889</v>
      </c>
      <c r="K720" s="23" t="inlineStr">
        <is>
          <t>U</t>
        </is>
      </c>
      <c r="L720" s="25" t="n">
        <v>5624</v>
      </c>
      <c r="M720" s="26" t="n">
        <v>3.6</v>
      </c>
      <c r="N720" s="25">
        <f>ROUND(L720/M720, 0)</f>
        <v/>
      </c>
      <c r="O720" s="25">
        <f>ROUND(N720*'Methodology &amp; Assumptions'!$B$7, 0)</f>
        <v/>
      </c>
      <c r="P720" s="23" t="inlineStr">
        <is>
          <t>Single Carrier (Band n50, 100MHz TDD)</t>
        </is>
      </c>
      <c r="Q720" s="27">
        <f>ROUNDUP(O720/'Methodology &amp; Assumptions'!$B$8, 0)</f>
        <v/>
      </c>
      <c r="R720" s="27" t="n">
        <v>1</v>
      </c>
      <c r="S720" s="26" t="n">
        <v>186.99</v>
      </c>
      <c r="T720" s="26" t="n">
        <v>189.25</v>
      </c>
      <c r="U720" s="11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26" t="n">
        <v>54.24</v>
      </c>
      <c r="W720" s="26" t="n">
        <v>67.29000000000001</v>
      </c>
      <c r="X720" s="26">
        <f>ROUND(('Methodology &amp; Assumptions'!$B$5*V720) + ('Methodology &amp; Assumptions'!$B$6*W720), 2)</f>
        <v/>
      </c>
      <c r="Y720" s="28" t="n">
        <v>15</v>
      </c>
      <c r="Z720" s="11" t="inlineStr">
        <is>
          <t>Priority Tier 2 (Balanced Opportunity)</t>
        </is>
      </c>
    </row>
    <row r="721">
      <c r="A721" s="23" t="n">
        <v>3</v>
      </c>
      <c r="B721" s="23" t="n">
        <v>717</v>
      </c>
      <c r="C721" s="23" t="n">
        <v>2717</v>
      </c>
      <c r="D721" s="23" t="inlineStr">
        <is>
          <t>1380601218</t>
        </is>
      </c>
      <c r="E721" s="11" t="inlineStr">
        <is>
          <t>National Capital Region (NCR)</t>
        </is>
      </c>
      <c r="F721" s="11" t="inlineStr">
        <is>
          <t>First District (Not a Province)</t>
        </is>
      </c>
      <c r="G721" s="11" t="inlineStr">
        <is>
          <t>City of Manila</t>
        </is>
      </c>
      <c r="H721" s="11" t="inlineStr">
        <is>
          <t>Barangay 217</t>
        </is>
      </c>
      <c r="I721" s="24" t="n">
        <v>14.62388</v>
      </c>
      <c r="J721" s="24" t="n">
        <v>120.975713</v>
      </c>
      <c r="K721" s="23" t="inlineStr">
        <is>
          <t>U</t>
        </is>
      </c>
      <c r="L721" s="25" t="n">
        <v>1025</v>
      </c>
      <c r="M721" s="26" t="n">
        <v>3.5</v>
      </c>
      <c r="N721" s="25">
        <f>ROUND(L721/M721, 0)</f>
        <v/>
      </c>
      <c r="O721" s="25">
        <f>ROUND(N721*'Methodology &amp; Assumptions'!$B$7, 0)</f>
        <v/>
      </c>
      <c r="P721" s="23" t="inlineStr">
        <is>
          <t>Single Carrier (Band n50, 100MHz TDD)</t>
        </is>
      </c>
      <c r="Q721" s="27">
        <f>ROUNDUP(O721/'Methodology &amp; Assumptions'!$B$8, 0)</f>
        <v/>
      </c>
      <c r="R721" s="27" t="n">
        <v>1</v>
      </c>
      <c r="S721" s="26" t="n">
        <v>0.42</v>
      </c>
      <c r="T721" s="26" t="n">
        <v>0.35</v>
      </c>
      <c r="U721" s="11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26" t="n">
        <v>50.52</v>
      </c>
      <c r="W721" s="26" t="n">
        <v>71</v>
      </c>
      <c r="X721" s="26">
        <f>ROUND(('Methodology &amp; Assumptions'!$B$5*V721) + ('Methodology &amp; Assumptions'!$B$6*W721), 2)</f>
        <v/>
      </c>
      <c r="Y721" s="28" t="n">
        <v>10.9</v>
      </c>
      <c r="Z721" s="11" t="inlineStr">
        <is>
          <t>Priority Tier 2 (Balanced Opportunity)</t>
        </is>
      </c>
    </row>
    <row r="722">
      <c r="A722" s="23" t="n">
        <v>3</v>
      </c>
      <c r="B722" s="23" t="n">
        <v>718</v>
      </c>
      <c r="C722" s="23" t="n">
        <v>2718</v>
      </c>
      <c r="D722" s="23" t="inlineStr">
        <is>
          <t>1403214007</t>
        </is>
      </c>
      <c r="E722" s="11" t="inlineStr">
        <is>
          <t>Cordillera Administrative Region (CAR)</t>
        </is>
      </c>
      <c r="F722" s="11" t="inlineStr">
        <is>
          <t>Kalinga</t>
        </is>
      </c>
      <c r="G722" s="11" t="inlineStr">
        <is>
          <t>Tanudan</t>
        </is>
      </c>
      <c r="H722" s="11" t="inlineStr">
        <is>
          <t>Lower Lubo</t>
        </is>
      </c>
      <c r="I722" s="24" t="n">
        <v>17.262033</v>
      </c>
      <c r="J722" s="24" t="n">
        <v>121.245045</v>
      </c>
      <c r="K722" s="23" t="inlineStr">
        <is>
          <t>R</t>
        </is>
      </c>
      <c r="L722" s="25" t="n">
        <v>497</v>
      </c>
      <c r="M722" s="26" t="n">
        <v>4.3</v>
      </c>
      <c r="N722" s="25">
        <f>ROUND(L722/M722, 0)</f>
        <v/>
      </c>
      <c r="O722" s="25">
        <f>ROUND(N722*'Methodology &amp; Assumptions'!$B$7, 0)</f>
        <v/>
      </c>
      <c r="P722" s="23" t="inlineStr">
        <is>
          <t>Single Carrier (Band n50, 100MHz TDD)</t>
        </is>
      </c>
      <c r="Q722" s="27">
        <f>ROUNDUP(O722/'Methodology &amp; Assumptions'!$B$8, 0)</f>
        <v/>
      </c>
      <c r="R722" s="27" t="n">
        <v>1</v>
      </c>
      <c r="S722" s="26" t="n">
        <v>10.21</v>
      </c>
      <c r="T722" s="26" t="n">
        <v>9.140000000000001</v>
      </c>
      <c r="U722" s="11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26" t="n">
        <v>41.05</v>
      </c>
      <c r="W722" s="26" t="n">
        <v>80.45999999999999</v>
      </c>
      <c r="X722" s="26">
        <f>ROUND(('Methodology &amp; Assumptions'!$B$5*V722) + ('Methodology &amp; Assumptions'!$B$6*W722), 2)</f>
        <v/>
      </c>
      <c r="Y722" s="28" t="n">
        <v>10.9</v>
      </c>
      <c r="Z722" s="11" t="inlineStr">
        <is>
          <t>Priority Tier 2 (Balanced Opportunity)</t>
        </is>
      </c>
    </row>
    <row r="723">
      <c r="A723" s="23" t="n">
        <v>3</v>
      </c>
      <c r="B723" s="23" t="n">
        <v>719</v>
      </c>
      <c r="C723" s="23" t="n">
        <v>2719</v>
      </c>
      <c r="D723" s="23" t="inlineStr">
        <is>
          <t>0601912025</t>
        </is>
      </c>
      <c r="E723" s="11" t="inlineStr">
        <is>
          <t>Region VI (Western Visayas)</t>
        </is>
      </c>
      <c r="F723" s="11" t="inlineStr">
        <is>
          <t>Capiz</t>
        </is>
      </c>
      <c r="G723" s="11" t="inlineStr">
        <is>
          <t>Pontevedra</t>
        </is>
      </c>
      <c r="H723" s="11" t="inlineStr">
        <is>
          <t>Tabuc</t>
        </is>
      </c>
      <c r="I723" s="24" t="n">
        <v>11.493378</v>
      </c>
      <c r="J723" s="24" t="n">
        <v>122.836751</v>
      </c>
      <c r="K723" s="23" t="inlineStr">
        <is>
          <t>R</t>
        </is>
      </c>
      <c r="L723" s="25" t="n">
        <v>3964</v>
      </c>
      <c r="M723" s="26" t="n">
        <v>3.8</v>
      </c>
      <c r="N723" s="25">
        <f>ROUND(L723/M723, 0)</f>
        <v/>
      </c>
      <c r="O723" s="25">
        <f>ROUND(N723*'Methodology &amp; Assumptions'!$B$7, 0)</f>
        <v/>
      </c>
      <c r="P723" s="23" t="inlineStr">
        <is>
          <t>Single Carrier (Band n50, 100MHz TDD)</t>
        </is>
      </c>
      <c r="Q723" s="27">
        <f>ROUNDUP(O723/'Methodology &amp; Assumptions'!$B$8, 0)</f>
        <v/>
      </c>
      <c r="R723" s="27" t="n">
        <v>1</v>
      </c>
      <c r="S723" s="26" t="n">
        <v>1.75</v>
      </c>
      <c r="T723" s="26" t="n">
        <v>0.89</v>
      </c>
      <c r="U723" s="11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26" t="n">
        <v>84.69</v>
      </c>
      <c r="W723" s="26" t="n">
        <v>36.81</v>
      </c>
      <c r="X723" s="26">
        <f>ROUND(('Methodology &amp; Assumptions'!$B$5*V723) + ('Methodology &amp; Assumptions'!$B$6*W723), 2)</f>
        <v/>
      </c>
      <c r="Y723" s="28" t="n">
        <v>23.7</v>
      </c>
      <c r="Z723" s="11" t="inlineStr">
        <is>
          <t>Priority Tier 2 (Balanced Opportunity)</t>
        </is>
      </c>
    </row>
    <row r="724">
      <c r="A724" s="23" t="n">
        <v>3</v>
      </c>
      <c r="B724" s="23" t="n">
        <v>720</v>
      </c>
      <c r="C724" s="23" t="n">
        <v>2720</v>
      </c>
      <c r="D724" s="23" t="inlineStr">
        <is>
          <t>0401017005</t>
        </is>
      </c>
      <c r="E724" s="11" t="inlineStr">
        <is>
          <t>Region IV-A (CALABARZON)</t>
        </is>
      </c>
      <c r="F724" s="11" t="inlineStr">
        <is>
          <t>Batangas</t>
        </is>
      </c>
      <c r="G724" s="11" t="inlineStr">
        <is>
          <t>Malvar</t>
        </is>
      </c>
      <c r="H724" s="11" t="inlineStr">
        <is>
          <t>Luta Del Norte</t>
        </is>
      </c>
      <c r="I724" s="24" t="n">
        <v>14.039786</v>
      </c>
      <c r="J724" s="24" t="n">
        <v>121.155288</v>
      </c>
      <c r="K724" s="23" t="inlineStr">
        <is>
          <t>R</t>
        </is>
      </c>
      <c r="L724" s="25" t="n">
        <v>4522</v>
      </c>
      <c r="M724" s="26" t="n">
        <v>3.6</v>
      </c>
      <c r="N724" s="25">
        <f>ROUND(L724/M724, 0)</f>
        <v/>
      </c>
      <c r="O724" s="25">
        <f>ROUND(N724*'Methodology &amp; Assumptions'!$B$7, 0)</f>
        <v/>
      </c>
      <c r="P724" s="23" t="inlineStr">
        <is>
          <t>Single Carrier (Band n50, 100MHz TDD)</t>
        </is>
      </c>
      <c r="Q724" s="27">
        <f>ROUNDUP(O724/'Methodology &amp; Assumptions'!$B$8, 0)</f>
        <v/>
      </c>
      <c r="R724" s="27" t="n">
        <v>1</v>
      </c>
      <c r="S724" s="26" t="n">
        <v>2.29</v>
      </c>
      <c r="T724" s="26" t="n">
        <v>0.5600000000000001</v>
      </c>
      <c r="U724" s="11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26" t="n">
        <v>80.26000000000001</v>
      </c>
      <c r="W724" s="26" t="n">
        <v>41.24</v>
      </c>
      <c r="X724" s="26">
        <f>ROUND(('Methodology &amp; Assumptions'!$B$5*V724) + ('Methodology &amp; Assumptions'!$B$6*W724), 2)</f>
        <v/>
      </c>
      <c r="Y724" s="28" t="n">
        <v>7.2</v>
      </c>
      <c r="Z724" s="11" t="inlineStr">
        <is>
          <t>Priority Tier 2 (Balanced Opportunity)</t>
        </is>
      </c>
    </row>
    <row r="725">
      <c r="A725" s="23" t="n">
        <v>3</v>
      </c>
      <c r="B725" s="23" t="n">
        <v>721</v>
      </c>
      <c r="C725" s="23" t="n">
        <v>2721</v>
      </c>
      <c r="D725" s="23" t="inlineStr">
        <is>
          <t>0301410016</t>
        </is>
      </c>
      <c r="E725" s="11" t="inlineStr">
        <is>
          <t>Region III (Central Luzon)</t>
        </is>
      </c>
      <c r="F725" s="11" t="inlineStr">
        <is>
          <t>Bulacan</t>
        </is>
      </c>
      <c r="G725" s="11" t="inlineStr">
        <is>
          <t>City of Malolos</t>
        </is>
      </c>
      <c r="H725" s="11" t="inlineStr">
        <is>
          <t>Caingin</t>
        </is>
      </c>
      <c r="I725" s="24" t="n">
        <v>14.84457</v>
      </c>
      <c r="J725" s="24" t="n">
        <v>120.809333</v>
      </c>
      <c r="K725" s="23" t="inlineStr">
        <is>
          <t>U</t>
        </is>
      </c>
      <c r="L725" s="25" t="n">
        <v>7681</v>
      </c>
      <c r="M725" s="26" t="n">
        <v>3.5</v>
      </c>
      <c r="N725" s="25">
        <f>ROUND(L725/M725, 0)</f>
        <v/>
      </c>
      <c r="O725" s="25">
        <f>ROUND(N725*'Methodology &amp; Assumptions'!$B$7, 0)</f>
        <v/>
      </c>
      <c r="P725" s="23" t="inlineStr">
        <is>
          <t>Single Carrier (Band n50, 100MHz TDD)</t>
        </is>
      </c>
      <c r="Q725" s="27">
        <f>ROUNDUP(O725/'Methodology &amp; Assumptions'!$B$8, 0)</f>
        <v/>
      </c>
      <c r="R725" s="27" t="n">
        <v>1</v>
      </c>
      <c r="S725" s="26" t="n">
        <v>0.57</v>
      </c>
      <c r="T725" s="26" t="n">
        <v>1.03</v>
      </c>
      <c r="U725" s="11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26" t="n">
        <v>78.43000000000001</v>
      </c>
      <c r="W725" s="26" t="n">
        <v>43.06</v>
      </c>
      <c r="X725" s="26">
        <f>ROUND(('Methodology &amp; Assumptions'!$B$5*V725) + ('Methodology &amp; Assumptions'!$B$6*W725), 2)</f>
        <v/>
      </c>
      <c r="Y725" s="28" t="n">
        <v>8.300000000000001</v>
      </c>
      <c r="Z725" s="11" t="inlineStr">
        <is>
          <t>Priority Tier 2 (Balanced Opportunity)</t>
        </is>
      </c>
    </row>
    <row r="726">
      <c r="A726" s="23" t="n">
        <v>3</v>
      </c>
      <c r="B726" s="23" t="n">
        <v>722</v>
      </c>
      <c r="C726" s="23" t="n">
        <v>2722</v>
      </c>
      <c r="D726" s="23" t="inlineStr">
        <is>
          <t>0405809007</t>
        </is>
      </c>
      <c r="E726" s="11" t="inlineStr">
        <is>
          <t>Region IV-A (CALABARZON)</t>
        </is>
      </c>
      <c r="F726" s="11" t="inlineStr">
        <is>
          <t>Rizal</t>
        </is>
      </c>
      <c r="G726" s="11" t="inlineStr">
        <is>
          <t>Morong</t>
        </is>
      </c>
      <c r="H726" s="11" t="inlineStr">
        <is>
          <t>San Juan</t>
        </is>
      </c>
      <c r="I726" s="24" t="n">
        <v>14.51674</v>
      </c>
      <c r="J726" s="24" t="n">
        <v>121.23884</v>
      </c>
      <c r="K726" s="23" t="inlineStr">
        <is>
          <t>U</t>
        </is>
      </c>
      <c r="L726" s="25" t="n">
        <v>10706</v>
      </c>
      <c r="M726" s="26" t="n">
        <v>3.6</v>
      </c>
      <c r="N726" s="25">
        <f>ROUND(L726/M726, 0)</f>
        <v/>
      </c>
      <c r="O726" s="25">
        <f>ROUND(N726*'Methodology &amp; Assumptions'!$B$7, 0)</f>
        <v/>
      </c>
      <c r="P726" s="23" t="inlineStr">
        <is>
          <t>Single Carrier (Band n50, 100MHz TDD)</t>
        </is>
      </c>
      <c r="Q726" s="27">
        <f>ROUNDUP(O726/'Methodology &amp; Assumptions'!$B$8, 0)</f>
        <v/>
      </c>
      <c r="R726" s="27" t="n">
        <v>1</v>
      </c>
      <c r="S726" s="26" t="n">
        <v>0.53</v>
      </c>
      <c r="T726" s="26" t="n">
        <v>0.01</v>
      </c>
      <c r="U726" s="11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26" t="n">
        <v>78.26000000000001</v>
      </c>
      <c r="W726" s="26" t="n">
        <v>43.25</v>
      </c>
      <c r="X726" s="26">
        <f>ROUND(('Methodology &amp; Assumptions'!$B$5*V726) + ('Methodology &amp; Assumptions'!$B$6*W726), 2)</f>
        <v/>
      </c>
      <c r="Y726" s="28" t="n">
        <v>7.2</v>
      </c>
      <c r="Z726" s="11" t="inlineStr">
        <is>
          <t>Priority Tier 2 (Balanced Opportunity)</t>
        </is>
      </c>
    </row>
    <row r="727">
      <c r="A727" s="23" t="n">
        <v>3</v>
      </c>
      <c r="B727" s="23" t="n">
        <v>723</v>
      </c>
      <c r="C727" s="23" t="n">
        <v>2723</v>
      </c>
      <c r="D727" s="23" t="inlineStr">
        <is>
          <t>1380606128</t>
        </is>
      </c>
      <c r="E727" s="11" t="inlineStr">
        <is>
          <t>National Capital Region (NCR)</t>
        </is>
      </c>
      <c r="F727" s="11" t="inlineStr">
        <is>
          <t>First District (Not a Province)</t>
        </is>
      </c>
      <c r="G727" s="11" t="inlineStr">
        <is>
          <t>City of Manila</t>
        </is>
      </c>
      <c r="H727" s="11" t="inlineStr">
        <is>
          <t>Barangay 522</t>
        </is>
      </c>
      <c r="I727" s="24" t="n">
        <v>14.612467</v>
      </c>
      <c r="J727" s="24" t="n">
        <v>120.998566</v>
      </c>
      <c r="K727" s="23" t="inlineStr">
        <is>
          <t>U</t>
        </is>
      </c>
      <c r="L727" s="25" t="n">
        <v>1082</v>
      </c>
      <c r="M727" s="26" t="n">
        <v>3.2</v>
      </c>
      <c r="N727" s="25">
        <f>ROUND(L727/M727, 0)</f>
        <v/>
      </c>
      <c r="O727" s="25">
        <f>ROUND(N727*'Methodology &amp; Assumptions'!$B$7, 0)</f>
        <v/>
      </c>
      <c r="P727" s="23" t="inlineStr">
        <is>
          <t>Single Carrier (Band n50, 100MHz TDD)</t>
        </is>
      </c>
      <c r="Q727" s="27">
        <f>ROUNDUP(O727/'Methodology &amp; Assumptions'!$B$8, 0)</f>
        <v/>
      </c>
      <c r="R727" s="27" t="n">
        <v>1</v>
      </c>
      <c r="S727" s="26" t="n">
        <v>0.58</v>
      </c>
      <c r="T727" s="26" t="n">
        <v>0.21</v>
      </c>
      <c r="U727" s="11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26" t="n">
        <v>51.91</v>
      </c>
      <c r="W727" s="26" t="n">
        <v>69.59</v>
      </c>
      <c r="X727" s="26">
        <f>ROUND(('Methodology &amp; Assumptions'!$B$5*V727) + ('Methodology &amp; Assumptions'!$B$6*W727), 2)</f>
        <v/>
      </c>
      <c r="Y727" s="28" t="n">
        <v>10.9</v>
      </c>
      <c r="Z727" s="11" t="inlineStr">
        <is>
          <t>Priority Tier 2 (Balanced Opportunity)</t>
        </is>
      </c>
    </row>
    <row r="728">
      <c r="A728" s="23" t="n">
        <v>3</v>
      </c>
      <c r="B728" s="23" t="n">
        <v>724</v>
      </c>
      <c r="C728" s="23" t="n">
        <v>2724</v>
      </c>
      <c r="D728" s="23" t="inlineStr">
        <is>
          <t>1380601225</t>
        </is>
      </c>
      <c r="E728" s="11" t="inlineStr">
        <is>
          <t>National Capital Region (NCR)</t>
        </is>
      </c>
      <c r="F728" s="11" t="inlineStr">
        <is>
          <t>First District (Not a Province)</t>
        </is>
      </c>
      <c r="G728" s="11" t="inlineStr">
        <is>
          <t>City of Manila</t>
        </is>
      </c>
      <c r="H728" s="11" t="inlineStr">
        <is>
          <t>Barangay 224</t>
        </is>
      </c>
      <c r="I728" s="24" t="n">
        <v>14.622194</v>
      </c>
      <c r="J728" s="24" t="n">
        <v>120.978554</v>
      </c>
      <c r="K728" s="23" t="inlineStr">
        <is>
          <t>U</t>
        </is>
      </c>
      <c r="L728" s="25" t="n">
        <v>1078</v>
      </c>
      <c r="M728" s="26" t="n">
        <v>3.39</v>
      </c>
      <c r="N728" s="25">
        <f>ROUND(L728/M728, 0)</f>
        <v/>
      </c>
      <c r="O728" s="25">
        <f>ROUND(N728*'Methodology &amp; Assumptions'!$B$7, 0)</f>
        <v/>
      </c>
      <c r="P728" s="23" t="inlineStr">
        <is>
          <t>Single Carrier (Band n50, 100MHz TDD)</t>
        </is>
      </c>
      <c r="Q728" s="27">
        <f>ROUNDUP(O728/'Methodology &amp; Assumptions'!$B$8, 0)</f>
        <v/>
      </c>
      <c r="R728" s="27" t="n">
        <v>1</v>
      </c>
      <c r="S728" s="26" t="n">
        <v>0.76</v>
      </c>
      <c r="T728" s="26" t="n">
        <v>0.15</v>
      </c>
      <c r="U728" s="11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26" t="n">
        <v>51.27</v>
      </c>
      <c r="W728" s="26" t="n">
        <v>70.23</v>
      </c>
      <c r="X728" s="26">
        <f>ROUND(('Methodology &amp; Assumptions'!$B$5*V728) + ('Methodology &amp; Assumptions'!$B$6*W728), 2)</f>
        <v/>
      </c>
      <c r="Y728" s="28" t="n">
        <v>10.9</v>
      </c>
      <c r="Z728" s="11" t="inlineStr">
        <is>
          <t>Priority Tier 2 (Balanced Opportunity)</t>
        </is>
      </c>
    </row>
    <row r="729">
      <c r="A729" s="23" t="n">
        <v>3</v>
      </c>
      <c r="B729" s="23" t="n">
        <v>725</v>
      </c>
      <c r="C729" s="23" t="n">
        <v>2725</v>
      </c>
      <c r="D729" s="23" t="inlineStr">
        <is>
          <t>1403214003</t>
        </is>
      </c>
      <c r="E729" s="11" t="inlineStr">
        <is>
          <t>Cordillera Administrative Region (CAR)</t>
        </is>
      </c>
      <c r="F729" s="11" t="inlineStr">
        <is>
          <t>Kalinga</t>
        </is>
      </c>
      <c r="G729" s="11" t="inlineStr">
        <is>
          <t>Tanudan</t>
        </is>
      </c>
      <c r="H729" s="11" t="inlineStr">
        <is>
          <t>Dacalan</t>
        </is>
      </c>
      <c r="I729" s="24" t="n">
        <v>17.229047</v>
      </c>
      <c r="J729" s="24" t="n">
        <v>121.226069</v>
      </c>
      <c r="K729" s="23" t="inlineStr">
        <is>
          <t>R</t>
        </is>
      </c>
      <c r="L729" s="25" t="n">
        <v>348</v>
      </c>
      <c r="M729" s="26" t="n">
        <v>4.3</v>
      </c>
      <c r="N729" s="25">
        <f>ROUND(L729/M729, 0)</f>
        <v/>
      </c>
      <c r="O729" s="25">
        <f>ROUND(N729*'Methodology &amp; Assumptions'!$B$7, 0)</f>
        <v/>
      </c>
      <c r="P729" s="23" t="inlineStr">
        <is>
          <t>Single Carrier (Band n50, 100MHz TDD)</t>
        </is>
      </c>
      <c r="Q729" s="27">
        <f>ROUNDUP(O729/'Methodology &amp; Assumptions'!$B$8, 0)</f>
        <v/>
      </c>
      <c r="R729" s="27" t="n">
        <v>1</v>
      </c>
      <c r="S729" s="26" t="n">
        <v>9.06</v>
      </c>
      <c r="T729" s="26" t="n">
        <v>8.85</v>
      </c>
      <c r="U729" s="11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26" t="n">
        <v>40.78</v>
      </c>
      <c r="W729" s="26" t="n">
        <v>80.72</v>
      </c>
      <c r="X729" s="26">
        <f>ROUND(('Methodology &amp; Assumptions'!$B$5*V729) + ('Methodology &amp; Assumptions'!$B$6*W729), 2)</f>
        <v/>
      </c>
      <c r="Y729" s="28" t="n">
        <v>10.9</v>
      </c>
      <c r="Z729" s="11" t="inlineStr">
        <is>
          <t>Priority Tier 2 (Balanced Opportunity)</t>
        </is>
      </c>
    </row>
    <row r="730">
      <c r="A730" s="23" t="n">
        <v>3</v>
      </c>
      <c r="B730" s="23" t="n">
        <v>726</v>
      </c>
      <c r="C730" s="23" t="n">
        <v>2726</v>
      </c>
      <c r="D730" s="23" t="inlineStr">
        <is>
          <t>0704601008</t>
        </is>
      </c>
      <c r="E730" s="11" t="inlineStr">
        <is>
          <t>Region VII (Central Visayas)</t>
        </is>
      </c>
      <c r="F730" s="11" t="inlineStr">
        <is>
          <t>Negros Oriental</t>
        </is>
      </c>
      <c r="G730" s="11" t="inlineStr">
        <is>
          <t>Amlan</t>
        </is>
      </c>
      <c r="H730" s="11" t="inlineStr">
        <is>
          <t>Tandayag</t>
        </is>
      </c>
      <c r="I730" s="24" t="n">
        <v>9.455299999999999</v>
      </c>
      <c r="J730" s="24" t="n">
        <v>123.23214</v>
      </c>
      <c r="K730" s="23" t="inlineStr">
        <is>
          <t>R</t>
        </is>
      </c>
      <c r="L730" s="25" t="n">
        <v>4074</v>
      </c>
      <c r="M730" s="26" t="n">
        <v>3.8</v>
      </c>
      <c r="N730" s="25">
        <f>ROUND(L730/M730, 0)</f>
        <v/>
      </c>
      <c r="O730" s="25">
        <f>ROUND(N730*'Methodology &amp; Assumptions'!$B$7, 0)</f>
        <v/>
      </c>
      <c r="P730" s="23" t="inlineStr">
        <is>
          <t>Single Carrier (Band n50, 100MHz TDD)</t>
        </is>
      </c>
      <c r="Q730" s="27">
        <f>ROUNDUP(O730/'Methodology &amp; Assumptions'!$B$8, 0)</f>
        <v/>
      </c>
      <c r="R730" s="27" t="n">
        <v>1</v>
      </c>
      <c r="S730" s="26" t="n">
        <v>1.33</v>
      </c>
      <c r="T730" s="26" t="n">
        <v>0.01</v>
      </c>
      <c r="U730" s="11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26" t="n">
        <v>86.20999999999999</v>
      </c>
      <c r="W730" s="26" t="n">
        <v>35.27</v>
      </c>
      <c r="X730" s="26">
        <f>ROUND(('Methodology &amp; Assumptions'!$B$5*V730) + ('Methodology &amp; Assumptions'!$B$6*W730), 2)</f>
        <v/>
      </c>
      <c r="Y730" s="28" t="n">
        <v>23.7</v>
      </c>
      <c r="Z730" s="11" t="inlineStr">
        <is>
          <t>Priority Tier 2 (Balanced Opportunity)</t>
        </is>
      </c>
    </row>
    <row r="731">
      <c r="A731" s="23" t="n">
        <v>3</v>
      </c>
      <c r="B731" s="23" t="n">
        <v>727</v>
      </c>
      <c r="C731" s="23" t="n">
        <v>2727</v>
      </c>
      <c r="D731" s="23" t="inlineStr">
        <is>
          <t>0405647049</t>
        </is>
      </c>
      <c r="E731" s="11" t="inlineStr">
        <is>
          <t>Region IV-A (CALABARZON)</t>
        </is>
      </c>
      <c r="F731" s="11" t="inlineStr">
        <is>
          <t>Quezon</t>
        </is>
      </c>
      <c r="G731" s="11" t="inlineStr">
        <is>
          <t>City of Tayabas</t>
        </is>
      </c>
      <c r="H731" s="11" t="inlineStr">
        <is>
          <t>San Diego Zone I</t>
        </is>
      </c>
      <c r="I731" s="24" t="n">
        <v>14.028723</v>
      </c>
      <c r="J731" s="24" t="n">
        <v>121.590738</v>
      </c>
      <c r="K731" s="23" t="inlineStr">
        <is>
          <t>R</t>
        </is>
      </c>
      <c r="L731" s="25" t="n">
        <v>385</v>
      </c>
      <c r="M731" s="26" t="n">
        <v>3.8</v>
      </c>
      <c r="N731" s="25">
        <f>ROUND(L731/M731, 0)</f>
        <v/>
      </c>
      <c r="O731" s="25">
        <f>ROUND(N731*'Methodology &amp; Assumptions'!$B$7, 0)</f>
        <v/>
      </c>
      <c r="P731" s="23" t="inlineStr">
        <is>
          <t>Single Carrier (Band n50, 100MHz TDD)</t>
        </is>
      </c>
      <c r="Q731" s="27">
        <f>ROUNDUP(O731/'Methodology &amp; Assumptions'!$B$8, 0)</f>
        <v/>
      </c>
      <c r="R731" s="27" t="n">
        <v>1</v>
      </c>
      <c r="S731" s="26" t="n">
        <v>0.63</v>
      </c>
      <c r="T731" s="26" t="n">
        <v>0.07000000000000001</v>
      </c>
      <c r="U731" s="11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26" t="n">
        <v>62.12</v>
      </c>
      <c r="W731" s="26" t="n">
        <v>59.36</v>
      </c>
      <c r="X731" s="26">
        <f>ROUND(('Methodology &amp; Assumptions'!$B$5*V731) + ('Methodology &amp; Assumptions'!$B$6*W731), 2)</f>
        <v/>
      </c>
      <c r="Y731" s="28" t="n">
        <v>7.2</v>
      </c>
      <c r="Z731" s="11" t="inlineStr">
        <is>
          <t>Priority Tier 2 (Balanced Opportunity)</t>
        </is>
      </c>
    </row>
    <row r="732">
      <c r="A732" s="23" t="n">
        <v>3</v>
      </c>
      <c r="B732" s="23" t="n">
        <v>728</v>
      </c>
      <c r="C732" s="23" t="n">
        <v>2728</v>
      </c>
      <c r="D732" s="23" t="inlineStr">
        <is>
          <t>1381100069</t>
        </is>
      </c>
      <c r="E732" s="11" t="inlineStr">
        <is>
          <t>National Capital Region (NCR)</t>
        </is>
      </c>
      <c r="F732" s="11" t="inlineStr">
        <is>
          <t>Fourth District (Not a Province)</t>
        </is>
      </c>
      <c r="G732" s="11" t="inlineStr">
        <is>
          <t>Pasay City</t>
        </is>
      </c>
      <c r="H732" s="11" t="inlineStr">
        <is>
          <t>Barangay 69</t>
        </is>
      </c>
      <c r="I732" s="24" t="n">
        <v>14.54595</v>
      </c>
      <c r="J732" s="24" t="n">
        <v>120.995887</v>
      </c>
      <c r="K732" s="23" t="inlineStr">
        <is>
          <t>U</t>
        </is>
      </c>
      <c r="L732" s="25" t="n">
        <v>1193</v>
      </c>
      <c r="M732" s="26" t="n">
        <v>3.52</v>
      </c>
      <c r="N732" s="25">
        <f>ROUND(L732/M732, 0)</f>
        <v/>
      </c>
      <c r="O732" s="25">
        <f>ROUND(N732*'Methodology &amp; Assumptions'!$B$7, 0)</f>
        <v/>
      </c>
      <c r="P732" s="23" t="inlineStr">
        <is>
          <t>Single Carrier (Band n50, 100MHz TDD)</t>
        </is>
      </c>
      <c r="Q732" s="27">
        <f>ROUNDUP(O732/'Methodology &amp; Assumptions'!$B$8, 0)</f>
        <v/>
      </c>
      <c r="R732" s="27" t="n">
        <v>1</v>
      </c>
      <c r="S732" s="26" t="n">
        <v>0.22</v>
      </c>
      <c r="T732" s="26" t="n">
        <v>0.19</v>
      </c>
      <c r="U732" s="11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26" t="n">
        <v>52.02</v>
      </c>
      <c r="W732" s="26" t="n">
        <v>69.45999999999999</v>
      </c>
      <c r="X732" s="26">
        <f>ROUND(('Methodology &amp; Assumptions'!$B$5*V732) + ('Methodology &amp; Assumptions'!$B$6*W732), 2)</f>
        <v/>
      </c>
      <c r="Y732" s="28" t="n">
        <v>10.9</v>
      </c>
      <c r="Z732" s="11" t="inlineStr">
        <is>
          <t>Priority Tier 2 (Balanced Opportunity)</t>
        </is>
      </c>
    </row>
    <row r="733">
      <c r="A733" s="23" t="n">
        <v>3</v>
      </c>
      <c r="B733" s="23" t="n">
        <v>729</v>
      </c>
      <c r="C733" s="23" t="n">
        <v>2729</v>
      </c>
      <c r="D733" s="23" t="inlineStr">
        <is>
          <t>1906612025</t>
        </is>
      </c>
      <c r="E733" s="11" t="inlineStr">
        <is>
          <t>Bangsamoro Autonomous Region In Muslim Mindanao (BARMM)</t>
        </is>
      </c>
      <c r="F733" s="11" t="inlineStr">
        <is>
          <t>Sulu</t>
        </is>
      </c>
      <c r="G733" s="11" t="inlineStr">
        <is>
          <t>Siasi</t>
        </is>
      </c>
      <c r="H733" s="11" t="inlineStr">
        <is>
          <t>Latung</t>
        </is>
      </c>
      <c r="I733" s="24" t="n">
        <v>5.513542</v>
      </c>
      <c r="J733" s="24" t="n">
        <v>120.890873</v>
      </c>
      <c r="K733" s="23" t="inlineStr">
        <is>
          <t>R</t>
        </is>
      </c>
      <c r="L733" s="25" t="n">
        <v>3526</v>
      </c>
      <c r="M733" s="26" t="n">
        <v>6</v>
      </c>
      <c r="N733" s="25">
        <f>ROUND(L733/M733, 0)</f>
        <v/>
      </c>
      <c r="O733" s="25">
        <f>ROUND(N733*'Methodology &amp; Assumptions'!$B$7, 0)</f>
        <v/>
      </c>
      <c r="P733" s="23" t="inlineStr">
        <is>
          <t>Single Carrier (Band n50, 100MHz TDD)</t>
        </is>
      </c>
      <c r="Q733" s="27">
        <f>ROUNDUP(O733/'Methodology &amp; Assumptions'!$B$8, 0)</f>
        <v/>
      </c>
      <c r="R733" s="27" t="n">
        <v>1</v>
      </c>
      <c r="S733" s="26" t="n">
        <v>203.03</v>
      </c>
      <c r="T733" s="26" t="n">
        <v>203.02</v>
      </c>
      <c r="U733" s="11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26" t="n">
        <v>49.9</v>
      </c>
      <c r="W733" s="26" t="n">
        <v>71.58</v>
      </c>
      <c r="X733" s="26">
        <f>ROUND(('Methodology &amp; Assumptions'!$B$5*V733) + ('Methodology &amp; Assumptions'!$B$6*W733), 2)</f>
        <v/>
      </c>
      <c r="Y733" s="28" t="n">
        <v>11</v>
      </c>
      <c r="Z733" s="11" t="inlineStr">
        <is>
          <t>Priority Tier 2 (Balanced Opportunity)</t>
        </is>
      </c>
    </row>
    <row r="734">
      <c r="A734" s="23" t="n">
        <v>3</v>
      </c>
      <c r="B734" s="23" t="n">
        <v>730</v>
      </c>
      <c r="C734" s="23" t="n">
        <v>2730</v>
      </c>
      <c r="D734" s="23" t="inlineStr">
        <is>
          <t>1403208007</t>
        </is>
      </c>
      <c r="E734" s="11" t="inlineStr">
        <is>
          <t>Cordillera Administrative Region (CAR)</t>
        </is>
      </c>
      <c r="F734" s="11" t="inlineStr">
        <is>
          <t>Kalinga</t>
        </is>
      </c>
      <c r="G734" s="11" t="inlineStr">
        <is>
          <t>Pasil</t>
        </is>
      </c>
      <c r="H734" s="11" t="inlineStr">
        <is>
          <t>Colayo</t>
        </is>
      </c>
      <c r="I734" s="24" t="n">
        <v>17.32683</v>
      </c>
      <c r="J734" s="24" t="n">
        <v>121.0275</v>
      </c>
      <c r="K734" s="23" t="inlineStr">
        <is>
          <t>R</t>
        </is>
      </c>
      <c r="L734" s="25" t="n">
        <v>371</v>
      </c>
      <c r="M734" s="26" t="n">
        <v>4.3</v>
      </c>
      <c r="N734" s="25">
        <f>ROUND(L734/M734, 0)</f>
        <v/>
      </c>
      <c r="O734" s="25">
        <f>ROUND(N734*'Methodology &amp; Assumptions'!$B$7, 0)</f>
        <v/>
      </c>
      <c r="P734" s="23" t="inlineStr">
        <is>
          <t>Single Carrier (Band n50, 100MHz TDD)</t>
        </is>
      </c>
      <c r="Q734" s="27">
        <f>ROUNDUP(O734/'Methodology &amp; Assumptions'!$B$8, 0)</f>
        <v/>
      </c>
      <c r="R734" s="27" t="n">
        <v>1</v>
      </c>
      <c r="S734" s="26" t="n">
        <v>14.67</v>
      </c>
      <c r="T734" s="26" t="n">
        <v>13.41</v>
      </c>
      <c r="U734" s="11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26" t="n">
        <v>38.55</v>
      </c>
      <c r="W734" s="26" t="n">
        <v>82.94</v>
      </c>
      <c r="X734" s="26">
        <f>ROUND(('Methodology &amp; Assumptions'!$B$5*V734) + ('Methodology &amp; Assumptions'!$B$6*W734), 2)</f>
        <v/>
      </c>
      <c r="Y734" s="28" t="n">
        <v>10.9</v>
      </c>
      <c r="Z734" s="11" t="inlineStr">
        <is>
          <t>Priority Tier 2 (Balanced Opportunity)</t>
        </is>
      </c>
    </row>
    <row r="735">
      <c r="A735" s="23" t="n">
        <v>3</v>
      </c>
      <c r="B735" s="23" t="n">
        <v>731</v>
      </c>
      <c r="C735" s="23" t="n">
        <v>2731</v>
      </c>
      <c r="D735" s="23" t="inlineStr">
        <is>
          <t>0201511024</t>
        </is>
      </c>
      <c r="E735" s="11" t="inlineStr">
        <is>
          <t>Region II (Cagayan Valley)</t>
        </is>
      </c>
      <c r="F735" s="11" t="inlineStr">
        <is>
          <t>Cagayan</t>
        </is>
      </c>
      <c r="G735" s="11" t="inlineStr">
        <is>
          <t>Claveria</t>
        </is>
      </c>
      <c r="H735" s="11" t="inlineStr">
        <is>
          <t>Santiago</t>
        </is>
      </c>
      <c r="I735" s="24" t="n">
        <v>18.3515</v>
      </c>
      <c r="J735" s="24" t="n">
        <v>121.0726</v>
      </c>
      <c r="K735" s="23" t="inlineStr">
        <is>
          <t>R</t>
        </is>
      </c>
      <c r="L735" s="25" t="n">
        <v>364</v>
      </c>
      <c r="M735" s="26" t="n">
        <v>3.9</v>
      </c>
      <c r="N735" s="25">
        <f>ROUND(L735/M735, 0)</f>
        <v/>
      </c>
      <c r="O735" s="25">
        <f>ROUND(N735*'Methodology &amp; Assumptions'!$B$7, 0)</f>
        <v/>
      </c>
      <c r="P735" s="23" t="inlineStr">
        <is>
          <t>Single Carrier (Band n50, 100MHz TDD)</t>
        </is>
      </c>
      <c r="Q735" s="27">
        <f>ROUNDUP(O735/'Methodology &amp; Assumptions'!$B$8, 0)</f>
        <v/>
      </c>
      <c r="R735" s="27" t="n">
        <v>1</v>
      </c>
      <c r="S735" s="26" t="n">
        <v>24.84</v>
      </c>
      <c r="T735" s="26" t="n">
        <v>22.44</v>
      </c>
      <c r="U735" s="11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26" t="n">
        <v>36.81</v>
      </c>
      <c r="W735" s="26" t="n">
        <v>84.66</v>
      </c>
      <c r="X735" s="26">
        <f>ROUND(('Methodology &amp; Assumptions'!$B$5*V735) + ('Methodology &amp; Assumptions'!$B$6*W735), 2)</f>
        <v/>
      </c>
      <c r="Y735" s="28" t="n">
        <v>8.300000000000001</v>
      </c>
      <c r="Z735" s="11" t="inlineStr">
        <is>
          <t>Priority Tier 2 (Balanced Opportunity)</t>
        </is>
      </c>
    </row>
    <row r="736">
      <c r="A736" s="23" t="n">
        <v>3</v>
      </c>
      <c r="B736" s="23" t="n">
        <v>732</v>
      </c>
      <c r="C736" s="23" t="n">
        <v>2732</v>
      </c>
      <c r="D736" s="23" t="inlineStr">
        <is>
          <t>0301420021</t>
        </is>
      </c>
      <c r="E736" s="11" t="inlineStr">
        <is>
          <t>Region III (Central Luzon)</t>
        </is>
      </c>
      <c r="F736" s="11" t="inlineStr">
        <is>
          <t>Bulacan</t>
        </is>
      </c>
      <c r="G736" s="11" t="inlineStr">
        <is>
          <t>City of San Jose Del Monte</t>
        </is>
      </c>
      <c r="H736" s="11" t="inlineStr">
        <is>
          <t>Bagong Buhay III</t>
        </is>
      </c>
      <c r="I736" s="24" t="n">
        <v>14.854256</v>
      </c>
      <c r="J736" s="24" t="n">
        <v>121.06295</v>
      </c>
      <c r="K736" s="23" t="inlineStr">
        <is>
          <t>U</t>
        </is>
      </c>
      <c r="L736" s="25" t="n">
        <v>5956</v>
      </c>
      <c r="M736" s="26" t="n">
        <v>3.5</v>
      </c>
      <c r="N736" s="25">
        <f>ROUND(L736/M736, 0)</f>
        <v/>
      </c>
      <c r="O736" s="25">
        <f>ROUND(N736*'Methodology &amp; Assumptions'!$B$7, 0)</f>
        <v/>
      </c>
      <c r="P736" s="23" t="inlineStr">
        <is>
          <t>Single Carrier (Band n50, 100MHz TDD)</t>
        </is>
      </c>
      <c r="Q736" s="27">
        <f>ROUNDUP(O736/'Methodology &amp; Assumptions'!$B$8, 0)</f>
        <v/>
      </c>
      <c r="R736" s="27" t="n">
        <v>1</v>
      </c>
      <c r="S736" s="26" t="n">
        <v>2.04</v>
      </c>
      <c r="T736" s="26" t="n">
        <v>3.44</v>
      </c>
      <c r="U736" s="11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26" t="n">
        <v>70.56999999999999</v>
      </c>
      <c r="W736" s="26" t="n">
        <v>50.89</v>
      </c>
      <c r="X736" s="26">
        <f>ROUND(('Methodology &amp; Assumptions'!$B$5*V736) + ('Methodology &amp; Assumptions'!$B$6*W736), 2)</f>
        <v/>
      </c>
      <c r="Y736" s="28" t="n">
        <v>8.300000000000001</v>
      </c>
      <c r="Z736" s="11" t="inlineStr">
        <is>
          <t>Priority Tier 2 (Balanced Opportunity)</t>
        </is>
      </c>
    </row>
    <row r="737">
      <c r="A737" s="23" t="n">
        <v>3</v>
      </c>
      <c r="B737" s="23" t="n">
        <v>733</v>
      </c>
      <c r="C737" s="23" t="n">
        <v>2733</v>
      </c>
      <c r="D737" s="23" t="inlineStr">
        <is>
          <t>1381300081</t>
        </is>
      </c>
      <c r="E737" s="11" t="inlineStr">
        <is>
          <t>National Capital Region (NCR)</t>
        </is>
      </c>
      <c r="F737" s="11" t="inlineStr">
        <is>
          <t>Second District (Not a Province)</t>
        </is>
      </c>
      <c r="G737" s="11" t="inlineStr">
        <is>
          <t>Quezon City</t>
        </is>
      </c>
      <c r="H737" s="11" t="inlineStr">
        <is>
          <t>Phil-Am</t>
        </is>
      </c>
      <c r="I737" s="24" t="n">
        <v>14.648561</v>
      </c>
      <c r="J737" s="24" t="n">
        <v>121.031049</v>
      </c>
      <c r="K737" s="23" t="inlineStr">
        <is>
          <t>U</t>
        </is>
      </c>
      <c r="L737" s="25" t="n">
        <v>2596</v>
      </c>
      <c r="M737" s="26" t="n">
        <v>3.43</v>
      </c>
      <c r="N737" s="25">
        <f>ROUND(L737/M737, 0)</f>
        <v/>
      </c>
      <c r="O737" s="25">
        <f>ROUND(N737*'Methodology &amp; Assumptions'!$B$7, 0)</f>
        <v/>
      </c>
      <c r="P737" s="23" t="inlineStr">
        <is>
          <t>Single Carrier (Band n50, 100MHz TDD)</t>
        </is>
      </c>
      <c r="Q737" s="27">
        <f>ROUNDUP(O737/'Methodology &amp; Assumptions'!$B$8, 0)</f>
        <v/>
      </c>
      <c r="R737" s="27" t="n">
        <v>1</v>
      </c>
      <c r="S737" s="26" t="n">
        <v>1.08</v>
      </c>
      <c r="T737" s="26" t="n">
        <v>0.76</v>
      </c>
      <c r="U737" s="11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26" t="n">
        <v>64.47</v>
      </c>
      <c r="W737" s="26" t="n">
        <v>56.98</v>
      </c>
      <c r="X737" s="26">
        <f>ROUND(('Methodology &amp; Assumptions'!$B$5*V737) + ('Methodology &amp; Assumptions'!$B$6*W737), 2)</f>
        <v/>
      </c>
      <c r="Y737" s="28" t="n">
        <v>10.9</v>
      </c>
      <c r="Z737" s="11" t="inlineStr">
        <is>
          <t>Priority Tier 2 (Balanced Opportunity)</t>
        </is>
      </c>
    </row>
    <row r="738">
      <c r="A738" s="23" t="n">
        <v>3</v>
      </c>
      <c r="B738" s="23" t="n">
        <v>734</v>
      </c>
      <c r="C738" s="23" t="n">
        <v>2734</v>
      </c>
      <c r="D738" s="23" t="inlineStr">
        <is>
          <t>1908823006</t>
        </is>
      </c>
      <c r="E738" s="11" t="inlineStr">
        <is>
          <t>Bangsamoro Autonomous Region In Muslim Mindanao (BARMM)</t>
        </is>
      </c>
      <c r="F738" s="11" t="inlineStr">
        <is>
          <t>Maguindanao del Sur</t>
        </is>
      </c>
      <c r="G738" s="11" t="inlineStr">
        <is>
          <t>Sultan Sa Barongis</t>
        </is>
      </c>
      <c r="H738" s="11" t="inlineStr">
        <is>
          <t>Kulambog</t>
        </is>
      </c>
      <c r="I738" s="24" t="n">
        <v>6.901526</v>
      </c>
      <c r="J738" s="24" t="n">
        <v>124.610969</v>
      </c>
      <c r="K738" s="23" t="inlineStr">
        <is>
          <t>R</t>
        </is>
      </c>
      <c r="L738" s="25" t="n">
        <v>3701</v>
      </c>
      <c r="M738" s="26" t="n">
        <v>4.7</v>
      </c>
      <c r="N738" s="25">
        <f>ROUND(L738/M738, 0)</f>
        <v/>
      </c>
      <c r="O738" s="25">
        <f>ROUND(N738*'Methodology &amp; Assumptions'!$B$7, 0)</f>
        <v/>
      </c>
      <c r="P738" s="23" t="inlineStr">
        <is>
          <t>Single Carrier (Band n50, 100MHz TDD)</t>
        </is>
      </c>
      <c r="Q738" s="27">
        <f>ROUNDUP(O738/'Methodology &amp; Assumptions'!$B$8, 0)</f>
        <v/>
      </c>
      <c r="R738" s="27" t="n">
        <v>1</v>
      </c>
      <c r="S738" s="26" t="n">
        <v>24.55</v>
      </c>
      <c r="T738" s="26" t="n">
        <v>24.46</v>
      </c>
      <c r="U738" s="11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26" t="n">
        <v>56.33</v>
      </c>
      <c r="W738" s="26" t="n">
        <v>65.14</v>
      </c>
      <c r="X738" s="26">
        <f>ROUND(('Methodology &amp; Assumptions'!$B$5*V738) + ('Methodology &amp; Assumptions'!$B$6*W738), 2)</f>
        <v/>
      </c>
      <c r="Y738" s="28" t="n">
        <v>11</v>
      </c>
      <c r="Z738" s="11" t="inlineStr">
        <is>
          <t>Priority Tier 2 (Balanced Opportunity)</t>
        </is>
      </c>
    </row>
    <row r="739">
      <c r="A739" s="23" t="n">
        <v>3</v>
      </c>
      <c r="B739" s="23" t="n">
        <v>735</v>
      </c>
      <c r="C739" s="23" t="n">
        <v>2735</v>
      </c>
      <c r="D739" s="23" t="inlineStr">
        <is>
          <t>1380614011</t>
        </is>
      </c>
      <c r="E739" s="11" t="inlineStr">
        <is>
          <t>National Capital Region (NCR)</t>
        </is>
      </c>
      <c r="F739" s="11" t="inlineStr">
        <is>
          <t>First District (Not a Province)</t>
        </is>
      </c>
      <c r="G739" s="11" t="inlineStr">
        <is>
          <t>City of Manila</t>
        </is>
      </c>
      <c r="H739" s="11" t="inlineStr">
        <is>
          <t>Barangay 755</t>
        </is>
      </c>
      <c r="I739" s="24" t="n">
        <v>14.563258</v>
      </c>
      <c r="J739" s="24" t="n">
        <v>120.998924</v>
      </c>
      <c r="K739" s="23" t="inlineStr">
        <is>
          <t>U</t>
        </is>
      </c>
      <c r="L739" s="25" t="n">
        <v>1722</v>
      </c>
      <c r="M739" s="26" t="n">
        <v>4.26</v>
      </c>
      <c r="N739" s="25">
        <f>ROUND(L739/M739, 0)</f>
        <v/>
      </c>
      <c r="O739" s="25">
        <f>ROUND(N739*'Methodology &amp; Assumptions'!$B$7, 0)</f>
        <v/>
      </c>
      <c r="P739" s="23" t="inlineStr">
        <is>
          <t>Single Carrier (Band n50, 100MHz TDD)</t>
        </is>
      </c>
      <c r="Q739" s="27">
        <f>ROUNDUP(O739/'Methodology &amp; Assumptions'!$B$8, 0)</f>
        <v/>
      </c>
      <c r="R739" s="27" t="n">
        <v>1</v>
      </c>
      <c r="S739" s="26" t="n">
        <v>1.1</v>
      </c>
      <c r="T739" s="26" t="n">
        <v>0.3</v>
      </c>
      <c r="U739" s="11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26" t="n">
        <v>53.06</v>
      </c>
      <c r="W739" s="26" t="n">
        <v>68.39</v>
      </c>
      <c r="X739" s="26">
        <f>ROUND(('Methodology &amp; Assumptions'!$B$5*V739) + ('Methodology &amp; Assumptions'!$B$6*W739), 2)</f>
        <v/>
      </c>
      <c r="Y739" s="28" t="n">
        <v>10.9</v>
      </c>
      <c r="Z739" s="11" t="inlineStr">
        <is>
          <t>Priority Tier 2 (Balanced Opportunity)</t>
        </is>
      </c>
    </row>
    <row r="740">
      <c r="A740" s="23" t="n">
        <v>3</v>
      </c>
      <c r="B740" s="23" t="n">
        <v>736</v>
      </c>
      <c r="C740" s="23" t="n">
        <v>2736</v>
      </c>
      <c r="D740" s="23" t="inlineStr">
        <is>
          <t>1381300015</t>
        </is>
      </c>
      <c r="E740" s="11" t="inlineStr">
        <is>
          <t>National Capital Region (NCR)</t>
        </is>
      </c>
      <c r="F740" s="11" t="inlineStr">
        <is>
          <t>Second District (Not a Province)</t>
        </is>
      </c>
      <c r="G740" s="11" t="inlineStr">
        <is>
          <t>Quezon City</t>
        </is>
      </c>
      <c r="H740" s="11" t="inlineStr">
        <is>
          <t>Blue Ridge A</t>
        </is>
      </c>
      <c r="I740" s="24" t="n">
        <v>14.622917</v>
      </c>
      <c r="J740" s="24" t="n">
        <v>121.075065</v>
      </c>
      <c r="K740" s="23" t="inlineStr">
        <is>
          <t>U</t>
        </is>
      </c>
      <c r="L740" s="25" t="n">
        <v>1580</v>
      </c>
      <c r="M740" s="26" t="n">
        <v>4.34</v>
      </c>
      <c r="N740" s="25">
        <f>ROUND(L740/M740, 0)</f>
        <v/>
      </c>
      <c r="O740" s="25">
        <f>ROUND(N740*'Methodology &amp; Assumptions'!$B$7, 0)</f>
        <v/>
      </c>
      <c r="P740" s="23" t="inlineStr">
        <is>
          <t>Single Carrier (Band n50, 100MHz TDD)</t>
        </is>
      </c>
      <c r="Q740" s="27">
        <f>ROUNDUP(O740/'Methodology &amp; Assumptions'!$B$8, 0)</f>
        <v/>
      </c>
      <c r="R740" s="27" t="n">
        <v>1</v>
      </c>
      <c r="S740" s="26" t="n">
        <v>0.75</v>
      </c>
      <c r="T740" s="26" t="n">
        <v>0.74</v>
      </c>
      <c r="U740" s="11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26" t="n">
        <v>52.77</v>
      </c>
      <c r="W740" s="26" t="n">
        <v>68.67</v>
      </c>
      <c r="X740" s="26">
        <f>ROUND(('Methodology &amp; Assumptions'!$B$5*V740) + ('Methodology &amp; Assumptions'!$B$6*W740), 2)</f>
        <v/>
      </c>
      <c r="Y740" s="28" t="n">
        <v>10.9</v>
      </c>
      <c r="Z740" s="11" t="inlineStr">
        <is>
          <t>Priority Tier 2 (Balanced Opportunity)</t>
        </is>
      </c>
    </row>
    <row r="741">
      <c r="A741" s="23" t="n">
        <v>3</v>
      </c>
      <c r="B741" s="23" t="n">
        <v>737</v>
      </c>
      <c r="C741" s="23" t="n">
        <v>2737</v>
      </c>
      <c r="D741" s="23" t="inlineStr">
        <is>
          <t>1908824010</t>
        </is>
      </c>
      <c r="E741" s="11" t="inlineStr">
        <is>
          <t>Bangsamoro Autonomous Region In Muslim Mindanao (BARMM)</t>
        </is>
      </c>
      <c r="F741" s="11" t="inlineStr">
        <is>
          <t>Maguindanao del Sur</t>
        </is>
      </c>
      <c r="G741" s="11" t="inlineStr">
        <is>
          <t>Talayan</t>
        </is>
      </c>
      <c r="H741" s="11" t="inlineStr">
        <is>
          <t>Linamunan</t>
        </is>
      </c>
      <c r="I741" s="24" t="n">
        <v>6.888491</v>
      </c>
      <c r="J741" s="24" t="n">
        <v>124.297718</v>
      </c>
      <c r="K741" s="23" t="inlineStr">
        <is>
          <t>R</t>
        </is>
      </c>
      <c r="L741" s="25" t="n">
        <v>3100</v>
      </c>
      <c r="M741" s="26" t="n">
        <v>4.7</v>
      </c>
      <c r="N741" s="25">
        <f>ROUND(L741/M741, 0)</f>
        <v/>
      </c>
      <c r="O741" s="25">
        <f>ROUND(N741*'Methodology &amp; Assumptions'!$B$7, 0)</f>
        <v/>
      </c>
      <c r="P741" s="23" t="inlineStr">
        <is>
          <t>Single Carrier (Band n50, 100MHz TDD)</t>
        </is>
      </c>
      <c r="Q741" s="27">
        <f>ROUNDUP(O741/'Methodology &amp; Assumptions'!$B$8, 0)</f>
        <v/>
      </c>
      <c r="R741" s="27" t="n">
        <v>1</v>
      </c>
      <c r="S741" s="26" t="n">
        <v>47.02</v>
      </c>
      <c r="T741" s="26" t="n">
        <v>46.96</v>
      </c>
      <c r="U741" s="11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26" t="n">
        <v>52.26</v>
      </c>
      <c r="W741" s="26" t="n">
        <v>69.19</v>
      </c>
      <c r="X741" s="26">
        <f>ROUND(('Methodology &amp; Assumptions'!$B$5*V741) + ('Methodology &amp; Assumptions'!$B$6*W741), 2)</f>
        <v/>
      </c>
      <c r="Y741" s="28" t="n">
        <v>11</v>
      </c>
      <c r="Z741" s="11" t="inlineStr">
        <is>
          <t>Priority Tier 2 (Balanced Opportunity)</t>
        </is>
      </c>
    </row>
    <row r="742">
      <c r="A742" s="23" t="n">
        <v>3</v>
      </c>
      <c r="B742" s="23" t="n">
        <v>738</v>
      </c>
      <c r="C742" s="23" t="n">
        <v>2738</v>
      </c>
      <c r="D742" s="23" t="inlineStr">
        <is>
          <t>1380601208</t>
        </is>
      </c>
      <c r="E742" s="11" t="inlineStr">
        <is>
          <t>National Capital Region (NCR)</t>
        </is>
      </c>
      <c r="F742" s="11" t="inlineStr">
        <is>
          <t>First District (Not a Province)</t>
        </is>
      </c>
      <c r="G742" s="11" t="inlineStr">
        <is>
          <t>City of Manila</t>
        </is>
      </c>
      <c r="H742" s="11" t="inlineStr">
        <is>
          <t>Barangay 207</t>
        </is>
      </c>
      <c r="I742" s="24" t="n">
        <v>14.628037</v>
      </c>
      <c r="J742" s="24" t="n">
        <v>120.981043</v>
      </c>
      <c r="K742" s="23" t="inlineStr">
        <is>
          <t>U</t>
        </is>
      </c>
      <c r="L742" s="25" t="n">
        <v>1139</v>
      </c>
      <c r="M742" s="26" t="n">
        <v>3.58</v>
      </c>
      <c r="N742" s="25">
        <f>ROUND(L742/M742, 0)</f>
        <v/>
      </c>
      <c r="O742" s="25">
        <f>ROUND(N742*'Methodology &amp; Assumptions'!$B$7, 0)</f>
        <v/>
      </c>
      <c r="P742" s="23" t="inlineStr">
        <is>
          <t>Single Carrier (Band n50, 100MHz TDD)</t>
        </is>
      </c>
      <c r="Q742" s="27">
        <f>ROUNDUP(O742/'Methodology &amp; Assumptions'!$B$8, 0)</f>
        <v/>
      </c>
      <c r="R742" s="27" t="n">
        <v>1</v>
      </c>
      <c r="S742" s="26" t="n">
        <v>0.84</v>
      </c>
      <c r="T742" s="26" t="n">
        <v>0.32</v>
      </c>
      <c r="U742" s="11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26" t="n">
        <v>51.27</v>
      </c>
      <c r="W742" s="26" t="n">
        <v>70.17</v>
      </c>
      <c r="X742" s="26">
        <f>ROUND(('Methodology &amp; Assumptions'!$B$5*V742) + ('Methodology &amp; Assumptions'!$B$6*W742), 2)</f>
        <v/>
      </c>
      <c r="Y742" s="28" t="n">
        <v>10.9</v>
      </c>
      <c r="Z742" s="11" t="inlineStr">
        <is>
          <t>Priority Tier 2 (Balanced Opportunity)</t>
        </is>
      </c>
    </row>
    <row r="743">
      <c r="A743" s="23" t="n">
        <v>3</v>
      </c>
      <c r="B743" s="23" t="n">
        <v>739</v>
      </c>
      <c r="C743" s="23" t="n">
        <v>2739</v>
      </c>
      <c r="D743" s="23" t="inlineStr">
        <is>
          <t>0600406003</t>
        </is>
      </c>
      <c r="E743" s="11" t="inlineStr">
        <is>
          <t>Region VI (Western Visayas)</t>
        </is>
      </c>
      <c r="F743" s="11" t="inlineStr">
        <is>
          <t>Aklan</t>
        </is>
      </c>
      <c r="G743" s="11" t="inlineStr">
        <is>
          <t>Ibajay</t>
        </is>
      </c>
      <c r="H743" s="11" t="inlineStr">
        <is>
          <t>Antipolo</t>
        </is>
      </c>
      <c r="I743" s="24" t="n">
        <v>11.753176</v>
      </c>
      <c r="J743" s="24" t="n">
        <v>122.193675</v>
      </c>
      <c r="K743" s="23" t="inlineStr">
        <is>
          <t>R</t>
        </is>
      </c>
      <c r="L743" s="25" t="n">
        <v>844</v>
      </c>
      <c r="M743" s="26" t="n">
        <v>3.9</v>
      </c>
      <c r="N743" s="25">
        <f>ROUND(L743/M743, 0)</f>
        <v/>
      </c>
      <c r="O743" s="25">
        <f>ROUND(N743*'Methodology &amp; Assumptions'!$B$7, 0)</f>
        <v/>
      </c>
      <c r="P743" s="23" t="inlineStr">
        <is>
          <t>Single Carrier (Band n50, 100MHz TDD)</t>
        </is>
      </c>
      <c r="Q743" s="27">
        <f>ROUNDUP(O743/'Methodology &amp; Assumptions'!$B$8, 0)</f>
        <v/>
      </c>
      <c r="R743" s="27" t="n">
        <v>1</v>
      </c>
      <c r="S743" s="26" t="n">
        <v>11.62</v>
      </c>
      <c r="T743" s="26" t="n">
        <v>2.34</v>
      </c>
      <c r="U743" s="11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26" t="n">
        <v>45.74</v>
      </c>
      <c r="W743" s="26" t="n">
        <v>75.70999999999999</v>
      </c>
      <c r="X743" s="26">
        <f>ROUND(('Methodology &amp; Assumptions'!$B$5*V743) + ('Methodology &amp; Assumptions'!$B$6*W743), 2)</f>
        <v/>
      </c>
      <c r="Y743" s="28" t="n">
        <v>23.7</v>
      </c>
      <c r="Z743" s="11" t="inlineStr">
        <is>
          <t>Priority Tier 2 (Balanced Opportunity)</t>
        </is>
      </c>
    </row>
    <row r="744">
      <c r="A744" s="23" t="n">
        <v>3</v>
      </c>
      <c r="B744" s="23" t="n">
        <v>740</v>
      </c>
      <c r="C744" s="23" t="n">
        <v>2740</v>
      </c>
      <c r="D744" s="23" t="inlineStr">
        <is>
          <t>0403417053</t>
        </is>
      </c>
      <c r="E744" s="11" t="inlineStr">
        <is>
          <t>Region IV-A (CALABARZON)</t>
        </is>
      </c>
      <c r="F744" s="11" t="inlineStr">
        <is>
          <t>Laguna</t>
        </is>
      </c>
      <c r="G744" s="11" t="inlineStr">
        <is>
          <t>Nagcarlan</t>
        </is>
      </c>
      <c r="H744" s="11" t="inlineStr">
        <is>
          <t>Yukos</t>
        </is>
      </c>
      <c r="I744" s="24" t="n">
        <v>14.134008</v>
      </c>
      <c r="J744" s="24" t="n">
        <v>121.412324</v>
      </c>
      <c r="K744" s="23" t="inlineStr">
        <is>
          <t>U</t>
        </is>
      </c>
      <c r="L744" s="25" t="n">
        <v>5953</v>
      </c>
      <c r="M744" s="26" t="n">
        <v>3.3</v>
      </c>
      <c r="N744" s="25">
        <f>ROUND(L744/M744, 0)</f>
        <v/>
      </c>
      <c r="O744" s="25">
        <f>ROUND(N744*'Methodology &amp; Assumptions'!$B$7, 0)</f>
        <v/>
      </c>
      <c r="P744" s="23" t="inlineStr">
        <is>
          <t>Single Carrier (Band n50, 100MHz TDD)</t>
        </is>
      </c>
      <c r="Q744" s="27">
        <f>ROUNDUP(O744/'Methodology &amp; Assumptions'!$B$8, 0)</f>
        <v/>
      </c>
      <c r="R744" s="27" t="n">
        <v>1</v>
      </c>
      <c r="S744" s="26" t="n">
        <v>0.49</v>
      </c>
      <c r="T744" s="26" t="n">
        <v>0.37</v>
      </c>
      <c r="U744" s="11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26" t="n">
        <v>78.26000000000001</v>
      </c>
      <c r="W744" s="26" t="n">
        <v>43.17</v>
      </c>
      <c r="X744" s="26">
        <f>ROUND(('Methodology &amp; Assumptions'!$B$5*V744) + ('Methodology &amp; Assumptions'!$B$6*W744), 2)</f>
        <v/>
      </c>
      <c r="Y744" s="28" t="n">
        <v>7.2</v>
      </c>
      <c r="Z744" s="11" t="inlineStr">
        <is>
          <t>Priority Tier 2 (Balanced Opportunity)</t>
        </is>
      </c>
    </row>
    <row r="745">
      <c r="A745" s="23" t="n">
        <v>3</v>
      </c>
      <c r="B745" s="23" t="n">
        <v>741</v>
      </c>
      <c r="C745" s="23" t="n">
        <v>2741</v>
      </c>
      <c r="D745" s="23" t="inlineStr">
        <is>
          <t>0301420055</t>
        </is>
      </c>
      <c r="E745" s="11" t="inlineStr">
        <is>
          <t>Region III (Central Luzon)</t>
        </is>
      </c>
      <c r="F745" s="11" t="inlineStr">
        <is>
          <t>Bulacan</t>
        </is>
      </c>
      <c r="G745" s="11" t="inlineStr">
        <is>
          <t>City of San Jose Del Monte</t>
        </is>
      </c>
      <c r="H745" s="11" t="inlineStr">
        <is>
          <t>Santa Cruz III</t>
        </is>
      </c>
      <c r="I745" s="24" t="n">
        <v>14.860297</v>
      </c>
      <c r="J745" s="24" t="n">
        <v>121.049814</v>
      </c>
      <c r="K745" s="23" t="inlineStr">
        <is>
          <t>R</t>
        </is>
      </c>
      <c r="L745" s="25" t="n">
        <v>3166</v>
      </c>
      <c r="M745" s="26" t="n">
        <v>3.5</v>
      </c>
      <c r="N745" s="25">
        <f>ROUND(L745/M745, 0)</f>
        <v/>
      </c>
      <c r="O745" s="25">
        <f>ROUND(N745*'Methodology &amp; Assumptions'!$B$7, 0)</f>
        <v/>
      </c>
      <c r="P745" s="23" t="inlineStr">
        <is>
          <t>Single Carrier (Band n50, 100MHz TDD)</t>
        </is>
      </c>
      <c r="Q745" s="27">
        <f>ROUNDUP(O745/'Methodology &amp; Assumptions'!$B$8, 0)</f>
        <v/>
      </c>
      <c r="R745" s="27" t="n">
        <v>1</v>
      </c>
      <c r="S745" s="26" t="n">
        <v>2.45</v>
      </c>
      <c r="T745" s="26" t="n">
        <v>3.41</v>
      </c>
      <c r="U745" s="11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26" t="n">
        <v>76.40000000000001</v>
      </c>
      <c r="W745" s="26" t="n">
        <v>45.02</v>
      </c>
      <c r="X745" s="26">
        <f>ROUND(('Methodology &amp; Assumptions'!$B$5*V745) + ('Methodology &amp; Assumptions'!$B$6*W745), 2)</f>
        <v/>
      </c>
      <c r="Y745" s="28" t="n">
        <v>8.300000000000001</v>
      </c>
      <c r="Z745" s="11" t="inlineStr">
        <is>
          <t>Priority Tier 2 (Balanced Opportunity)</t>
        </is>
      </c>
    </row>
    <row r="746">
      <c r="A746" s="23" t="n">
        <v>3</v>
      </c>
      <c r="B746" s="23" t="n">
        <v>742</v>
      </c>
      <c r="C746" s="23" t="n">
        <v>2742</v>
      </c>
      <c r="D746" s="23" t="inlineStr">
        <is>
          <t>0402115014</t>
        </is>
      </c>
      <c r="E746" s="11" t="inlineStr">
        <is>
          <t>Region IV-A (CALABARZON)</t>
        </is>
      </c>
      <c r="F746" s="11" t="inlineStr">
        <is>
          <t>Cavite</t>
        </is>
      </c>
      <c r="G746" s="11" t="inlineStr">
        <is>
          <t>Naic</t>
        </is>
      </c>
      <c r="H746" s="11" t="inlineStr">
        <is>
          <t>Kanluran</t>
        </is>
      </c>
      <c r="I746" s="24" t="n">
        <v>14.317172</v>
      </c>
      <c r="J746" s="24" t="n">
        <v>120.763437</v>
      </c>
      <c r="K746" s="23" t="inlineStr">
        <is>
          <t>R</t>
        </is>
      </c>
      <c r="L746" s="25" t="n">
        <v>1856</v>
      </c>
      <c r="M746" s="26" t="n">
        <v>3.4</v>
      </c>
      <c r="N746" s="25">
        <f>ROUND(L746/M746, 0)</f>
        <v/>
      </c>
      <c r="O746" s="25">
        <f>ROUND(N746*'Methodology &amp; Assumptions'!$B$7, 0)</f>
        <v/>
      </c>
      <c r="P746" s="23" t="inlineStr">
        <is>
          <t>Single Carrier (Band n50, 100MHz TDD)</t>
        </is>
      </c>
      <c r="Q746" s="27">
        <f>ROUNDUP(O746/'Methodology &amp; Assumptions'!$B$8, 0)</f>
        <v/>
      </c>
      <c r="R746" s="27" t="n">
        <v>1</v>
      </c>
      <c r="S746" s="26" t="n">
        <v>1.02</v>
      </c>
      <c r="T746" s="26" t="n">
        <v>0.9399999999999999</v>
      </c>
      <c r="U746" s="11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26" t="n">
        <v>76.03</v>
      </c>
      <c r="W746" s="26" t="n">
        <v>45.39</v>
      </c>
      <c r="X746" s="26">
        <f>ROUND(('Methodology &amp; Assumptions'!$B$5*V746) + ('Methodology &amp; Assumptions'!$B$6*W746), 2)</f>
        <v/>
      </c>
      <c r="Y746" s="28" t="n">
        <v>7.2</v>
      </c>
      <c r="Z746" s="11" t="inlineStr">
        <is>
          <t>Priority Tier 2 (Balanced Opportunity)</t>
        </is>
      </c>
    </row>
    <row r="747">
      <c r="A747" s="23" t="n">
        <v>3</v>
      </c>
      <c r="B747" s="23" t="n">
        <v>743</v>
      </c>
      <c r="C747" s="23" t="n">
        <v>2743</v>
      </c>
      <c r="D747" s="23" t="inlineStr">
        <is>
          <t>0306903044</t>
        </is>
      </c>
      <c r="E747" s="11" t="inlineStr">
        <is>
          <t>Region III (Central Luzon)</t>
        </is>
      </c>
      <c r="F747" s="11" t="inlineStr">
        <is>
          <t>Tarlac</t>
        </is>
      </c>
      <c r="G747" s="11" t="inlineStr">
        <is>
          <t>Camiling</t>
        </is>
      </c>
      <c r="H747" s="11" t="inlineStr">
        <is>
          <t>Poblacion B</t>
        </is>
      </c>
      <c r="I747" s="24" t="n">
        <v>15.688889</v>
      </c>
      <c r="J747" s="24" t="n">
        <v>120.413056</v>
      </c>
      <c r="K747" s="23" t="inlineStr">
        <is>
          <t>R</t>
        </is>
      </c>
      <c r="L747" s="25" t="n">
        <v>1920</v>
      </c>
      <c r="M747" s="26" t="n">
        <v>3.9</v>
      </c>
      <c r="N747" s="25">
        <f>ROUND(L747/M747, 0)</f>
        <v/>
      </c>
      <c r="O747" s="25">
        <f>ROUND(N747*'Methodology &amp; Assumptions'!$B$7, 0)</f>
        <v/>
      </c>
      <c r="P747" s="23" t="inlineStr">
        <is>
          <t>Single Carrier (Band n50, 100MHz TDD)</t>
        </is>
      </c>
      <c r="Q747" s="27">
        <f>ROUNDUP(O747/'Methodology &amp; Assumptions'!$B$8, 0)</f>
        <v/>
      </c>
      <c r="R747" s="27" t="n">
        <v>1</v>
      </c>
      <c r="S747" s="26" t="n">
        <v>0.22</v>
      </c>
      <c r="T747" s="26" t="n">
        <v>0.22</v>
      </c>
      <c r="U747" s="11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26" t="n">
        <v>75.06</v>
      </c>
      <c r="W747" s="26" t="n">
        <v>46.37</v>
      </c>
      <c r="X747" s="26">
        <f>ROUND(('Methodology &amp; Assumptions'!$B$5*V747) + ('Methodology &amp; Assumptions'!$B$6*W747), 2)</f>
        <v/>
      </c>
      <c r="Y747" s="28" t="n">
        <v>8.300000000000001</v>
      </c>
      <c r="Z747" s="11" t="inlineStr">
        <is>
          <t>Priority Tier 2 (Balanced Opportunity)</t>
        </is>
      </c>
    </row>
    <row r="748">
      <c r="A748" s="23" t="n">
        <v>3</v>
      </c>
      <c r="B748" s="23" t="n">
        <v>744</v>
      </c>
      <c r="C748" s="23" t="n">
        <v>2744</v>
      </c>
      <c r="D748" s="23" t="inlineStr">
        <is>
          <t>0405647047</t>
        </is>
      </c>
      <c r="E748" s="11" t="inlineStr">
        <is>
          <t>Region IV-A (CALABARZON)</t>
        </is>
      </c>
      <c r="F748" s="11" t="inlineStr">
        <is>
          <t>Quezon</t>
        </is>
      </c>
      <c r="G748" s="11" t="inlineStr">
        <is>
          <t>City of Tayabas</t>
        </is>
      </c>
      <c r="H748" s="11" t="inlineStr">
        <is>
          <t>Pook</t>
        </is>
      </c>
      <c r="I748" s="24" t="n">
        <v>14.048298</v>
      </c>
      <c r="J748" s="24" t="n">
        <v>121.596172</v>
      </c>
      <c r="K748" s="23" t="inlineStr">
        <is>
          <t>R</t>
        </is>
      </c>
      <c r="L748" s="25" t="n">
        <v>238</v>
      </c>
      <c r="M748" s="26" t="n">
        <v>3.8</v>
      </c>
      <c r="N748" s="25">
        <f>ROUND(L748/M748, 0)</f>
        <v/>
      </c>
      <c r="O748" s="25">
        <f>ROUND(N748*'Methodology &amp; Assumptions'!$B$7, 0)</f>
        <v/>
      </c>
      <c r="P748" s="23" t="inlineStr">
        <is>
          <t>Single Carrier (Band n50, 100MHz TDD)</t>
        </is>
      </c>
      <c r="Q748" s="27">
        <f>ROUNDUP(O748/'Methodology &amp; Assumptions'!$B$8, 0)</f>
        <v/>
      </c>
      <c r="R748" s="27" t="n">
        <v>1</v>
      </c>
      <c r="S748" s="26" t="n">
        <v>2.75</v>
      </c>
      <c r="T748" s="26" t="n">
        <v>1.83</v>
      </c>
      <c r="U748" s="11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26" t="n">
        <v>54.26</v>
      </c>
      <c r="W748" s="26" t="n">
        <v>67.17</v>
      </c>
      <c r="X748" s="26">
        <f>ROUND(('Methodology &amp; Assumptions'!$B$5*V748) + ('Methodology &amp; Assumptions'!$B$6*W748), 2)</f>
        <v/>
      </c>
      <c r="Y748" s="28" t="n">
        <v>7.2</v>
      </c>
      <c r="Z748" s="11" t="inlineStr">
        <is>
          <t>Priority Tier 2 (Balanced Opportunity)</t>
        </is>
      </c>
    </row>
    <row r="749">
      <c r="A749" s="23" t="n">
        <v>3</v>
      </c>
      <c r="B749" s="23" t="n">
        <v>745</v>
      </c>
      <c r="C749" s="23" t="n">
        <v>2745</v>
      </c>
      <c r="D749" s="23" t="inlineStr">
        <is>
          <t>1404406006</t>
        </is>
      </c>
      <c r="E749" s="11" t="inlineStr">
        <is>
          <t>Cordillera Administrative Region (CAR)</t>
        </is>
      </c>
      <c r="F749" s="11" t="inlineStr">
        <is>
          <t>Mountain Province</t>
        </is>
      </c>
      <c r="G749" s="11" t="inlineStr">
        <is>
          <t>Paracelis</t>
        </is>
      </c>
      <c r="H749" s="11" t="inlineStr">
        <is>
          <t>Bunot</t>
        </is>
      </c>
      <c r="I749" s="24" t="n">
        <v>17.2743</v>
      </c>
      <c r="J749" s="24" t="n">
        <v>121.353</v>
      </c>
      <c r="K749" s="23" t="inlineStr">
        <is>
          <t>R</t>
        </is>
      </c>
      <c r="L749" s="25" t="n">
        <v>1684</v>
      </c>
      <c r="M749" s="26" t="n">
        <v>3.7</v>
      </c>
      <c r="N749" s="25">
        <f>ROUND(L749/M749, 0)</f>
        <v/>
      </c>
      <c r="O749" s="25">
        <f>ROUND(N749*'Methodology &amp; Assumptions'!$B$7, 0)</f>
        <v/>
      </c>
      <c r="P749" s="23" t="inlineStr">
        <is>
          <t>Single Carrier (Band n50, 100MHz TDD)</t>
        </is>
      </c>
      <c r="Q749" s="27">
        <f>ROUNDUP(O749/'Methodology &amp; Assumptions'!$B$8, 0)</f>
        <v/>
      </c>
      <c r="R749" s="27" t="n">
        <v>1</v>
      </c>
      <c r="S749" s="26" t="n">
        <v>12.31</v>
      </c>
      <c r="T749" s="26" t="n">
        <v>14.38</v>
      </c>
      <c r="U749" s="11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26" t="n">
        <v>49.62</v>
      </c>
      <c r="W749" s="26" t="n">
        <v>71.81</v>
      </c>
      <c r="X749" s="26">
        <f>ROUND(('Methodology &amp; Assumptions'!$B$5*V749) + ('Methodology &amp; Assumptions'!$B$6*W749), 2)</f>
        <v/>
      </c>
      <c r="Y749" s="28" t="n">
        <v>10.9</v>
      </c>
      <c r="Z749" s="11" t="inlineStr">
        <is>
          <t>Priority Tier 2 (Balanced Opportunity)</t>
        </is>
      </c>
    </row>
    <row r="750">
      <c r="A750" s="23" t="n">
        <v>3</v>
      </c>
      <c r="B750" s="23" t="n">
        <v>746</v>
      </c>
      <c r="C750" s="23" t="n">
        <v>2746</v>
      </c>
      <c r="D750" s="23" t="inlineStr">
        <is>
          <t>0702215007</t>
        </is>
      </c>
      <c r="E750" s="11" t="inlineStr">
        <is>
          <t>Region VII (Central Visayas)</t>
        </is>
      </c>
      <c r="F750" s="11" t="inlineStr">
        <is>
          <t>Cebu</t>
        </is>
      </c>
      <c r="G750" s="11" t="inlineStr">
        <is>
          <t>Carmen</t>
        </is>
      </c>
      <c r="H750" s="11" t="inlineStr">
        <is>
          <t>Dawis Norte</t>
        </is>
      </c>
      <c r="I750" s="24" t="n">
        <v>10.575344</v>
      </c>
      <c r="J750" s="24" t="n">
        <v>124.019211</v>
      </c>
      <c r="K750" s="23" t="inlineStr">
        <is>
          <t>R</t>
        </is>
      </c>
      <c r="L750" s="25" t="n">
        <v>4807</v>
      </c>
      <c r="M750" s="26" t="n">
        <v>3.8</v>
      </c>
      <c r="N750" s="25">
        <f>ROUND(L750/M750, 0)</f>
        <v/>
      </c>
      <c r="O750" s="25">
        <f>ROUND(N750*'Methodology &amp; Assumptions'!$B$7, 0)</f>
        <v/>
      </c>
      <c r="P750" s="23" t="inlineStr">
        <is>
          <t>Single Carrier (Band n50, 100MHz TDD)</t>
        </is>
      </c>
      <c r="Q750" s="27">
        <f>ROUNDUP(O750/'Methodology &amp; Assumptions'!$B$8, 0)</f>
        <v/>
      </c>
      <c r="R750" s="27" t="n">
        <v>1</v>
      </c>
      <c r="S750" s="26" t="n">
        <v>0.16</v>
      </c>
      <c r="T750" s="26" t="n">
        <v>0.16</v>
      </c>
      <c r="U750" s="11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26" t="n">
        <v>88.06</v>
      </c>
      <c r="W750" s="26" t="n">
        <v>33.34</v>
      </c>
      <c r="X750" s="26">
        <f>ROUND(('Methodology &amp; Assumptions'!$B$5*V750) + ('Methodology &amp; Assumptions'!$B$6*W750), 2)</f>
        <v/>
      </c>
      <c r="Y750" s="28" t="n">
        <v>23.7</v>
      </c>
      <c r="Z750" s="11" t="inlineStr">
        <is>
          <t>Priority Tier 2 (Balanced Opportunity)</t>
        </is>
      </c>
    </row>
    <row r="751">
      <c r="A751" s="23" t="n">
        <v>3</v>
      </c>
      <c r="B751" s="23" t="n">
        <v>747</v>
      </c>
      <c r="C751" s="23" t="n">
        <v>2747</v>
      </c>
      <c r="D751" s="23" t="inlineStr">
        <is>
          <t>0301410001</t>
        </is>
      </c>
      <c r="E751" s="11" t="inlineStr">
        <is>
          <t>Region III (Central Luzon)</t>
        </is>
      </c>
      <c r="F751" s="11" t="inlineStr">
        <is>
          <t>Bulacan</t>
        </is>
      </c>
      <c r="G751" s="11" t="inlineStr">
        <is>
          <t>City of Malolos</t>
        </is>
      </c>
      <c r="H751" s="11" t="inlineStr">
        <is>
          <t>Anilao</t>
        </is>
      </c>
      <c r="I751" s="24" t="n">
        <v>14.846058</v>
      </c>
      <c r="J751" s="24" t="n">
        <v>120.796782</v>
      </c>
      <c r="K751" s="23" t="inlineStr">
        <is>
          <t>R</t>
        </is>
      </c>
      <c r="L751" s="25" t="n">
        <v>3149</v>
      </c>
      <c r="M751" s="26" t="n">
        <v>3.5</v>
      </c>
      <c r="N751" s="25">
        <f>ROUND(L751/M751, 0)</f>
        <v/>
      </c>
      <c r="O751" s="25">
        <f>ROUND(N751*'Methodology &amp; Assumptions'!$B$7, 0)</f>
        <v/>
      </c>
      <c r="P751" s="23" t="inlineStr">
        <is>
          <t>Single Carrier (Band n50, 100MHz TDD)</t>
        </is>
      </c>
      <c r="Q751" s="27">
        <f>ROUNDUP(O751/'Methodology &amp; Assumptions'!$B$8, 0)</f>
        <v/>
      </c>
      <c r="R751" s="27" t="n">
        <v>1</v>
      </c>
      <c r="S751" s="26" t="n">
        <v>1.79</v>
      </c>
      <c r="T751" s="26" t="n">
        <v>1.96</v>
      </c>
      <c r="U751" s="11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26" t="n">
        <v>82.12</v>
      </c>
      <c r="W751" s="26" t="n">
        <v>39.27</v>
      </c>
      <c r="X751" s="26">
        <f>ROUND(('Methodology &amp; Assumptions'!$B$5*V751) + ('Methodology &amp; Assumptions'!$B$6*W751), 2)</f>
        <v/>
      </c>
      <c r="Y751" s="28" t="n">
        <v>8.300000000000001</v>
      </c>
      <c r="Z751" s="11" t="inlineStr">
        <is>
          <t>Priority Tier 2 (Balanced Opportunity)</t>
        </is>
      </c>
    </row>
    <row r="752">
      <c r="A752" s="23" t="n">
        <v>3</v>
      </c>
      <c r="B752" s="23" t="n">
        <v>748</v>
      </c>
      <c r="C752" s="23" t="n">
        <v>2748</v>
      </c>
      <c r="D752" s="23" t="inlineStr">
        <is>
          <t>0301407014</t>
        </is>
      </c>
      <c r="E752" s="11" t="inlineStr">
        <is>
          <t>Region III (Central Luzon)</t>
        </is>
      </c>
      <c r="F752" s="11" t="inlineStr">
        <is>
          <t>Bulacan</t>
        </is>
      </c>
      <c r="G752" s="11" t="inlineStr">
        <is>
          <t>Calumpit</t>
        </is>
      </c>
      <c r="H752" s="11" t="inlineStr">
        <is>
          <t>Iba O'Este</t>
        </is>
      </c>
      <c r="I752" s="24" t="n">
        <v>14.891647</v>
      </c>
      <c r="J752" s="24" t="n">
        <v>120.763374</v>
      </c>
      <c r="K752" s="23" t="inlineStr">
        <is>
          <t>U</t>
        </is>
      </c>
      <c r="L752" s="25" t="n">
        <v>14723</v>
      </c>
      <c r="M752" s="26" t="n">
        <v>3.5</v>
      </c>
      <c r="N752" s="25">
        <f>ROUND(L752/M752, 0)</f>
        <v/>
      </c>
      <c r="O752" s="25">
        <f>ROUND(N752*'Methodology &amp; Assumptions'!$B$7, 0)</f>
        <v/>
      </c>
      <c r="P752" s="23" t="inlineStr">
        <is>
          <t>Single Carrier (Band n50, 100MHz TDD)</t>
        </is>
      </c>
      <c r="Q752" s="27">
        <f>ROUNDUP(O752/'Methodology &amp; Assumptions'!$B$8, 0)</f>
        <v/>
      </c>
      <c r="R752" s="27" t="n">
        <v>1</v>
      </c>
      <c r="S752" s="26" t="n">
        <v>1.7</v>
      </c>
      <c r="T752" s="26" t="n">
        <v>1.4</v>
      </c>
      <c r="U752" s="11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26" t="n">
        <v>75.22</v>
      </c>
      <c r="W752" s="26" t="n">
        <v>46.17</v>
      </c>
      <c r="X752" s="26">
        <f>ROUND(('Methodology &amp; Assumptions'!$B$5*V752) + ('Methodology &amp; Assumptions'!$B$6*W752), 2)</f>
        <v/>
      </c>
      <c r="Y752" s="28" t="n">
        <v>8.300000000000001</v>
      </c>
      <c r="Z752" s="11" t="inlineStr">
        <is>
          <t>Priority Tier 2 (Balanced Opportunity)</t>
        </is>
      </c>
    </row>
    <row r="753">
      <c r="A753" s="23" t="n">
        <v>3</v>
      </c>
      <c r="B753" s="23" t="n">
        <v>749</v>
      </c>
      <c r="C753" s="23" t="n">
        <v>2749</v>
      </c>
      <c r="D753" s="23" t="inlineStr">
        <is>
          <t>0201503025</t>
        </is>
      </c>
      <c r="E753" s="11" t="inlineStr">
        <is>
          <t>Region II (Cagayan Valley)</t>
        </is>
      </c>
      <c r="F753" s="11" t="inlineStr">
        <is>
          <t>Cagayan</t>
        </is>
      </c>
      <c r="G753" s="11" t="inlineStr">
        <is>
          <t>Allacapan</t>
        </is>
      </c>
      <c r="H753" s="11" t="inlineStr">
        <is>
          <t>Tamboli</t>
        </is>
      </c>
      <c r="I753" s="24" t="n">
        <v>18.264502</v>
      </c>
      <c r="J753" s="24" t="n">
        <v>121.576064</v>
      </c>
      <c r="K753" s="23" t="inlineStr">
        <is>
          <t>R</t>
        </is>
      </c>
      <c r="L753" s="25" t="n">
        <v>843</v>
      </c>
      <c r="M753" s="26" t="n">
        <v>3.9</v>
      </c>
      <c r="N753" s="25">
        <f>ROUND(L753/M753, 0)</f>
        <v/>
      </c>
      <c r="O753" s="25">
        <f>ROUND(N753*'Methodology &amp; Assumptions'!$B$7, 0)</f>
        <v/>
      </c>
      <c r="P753" s="23" t="inlineStr">
        <is>
          <t>Single Carrier (Band n50, 100MHz TDD)</t>
        </is>
      </c>
      <c r="Q753" s="27">
        <f>ROUNDUP(O753/'Methodology &amp; Assumptions'!$B$8, 0)</f>
        <v/>
      </c>
      <c r="R753" s="27" t="n">
        <v>1</v>
      </c>
      <c r="S753" s="26" t="n">
        <v>3.84</v>
      </c>
      <c r="T753" s="26" t="n">
        <v>2.39</v>
      </c>
      <c r="U753" s="11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26" t="n">
        <v>53.27</v>
      </c>
      <c r="W753" s="26" t="n">
        <v>68.13</v>
      </c>
      <c r="X753" s="26">
        <f>ROUND(('Methodology &amp; Assumptions'!$B$5*V753) + ('Methodology &amp; Assumptions'!$B$6*W753), 2)</f>
        <v/>
      </c>
      <c r="Y753" s="28" t="n">
        <v>8.300000000000001</v>
      </c>
      <c r="Z753" s="11" t="inlineStr">
        <is>
          <t>Priority Tier 2 (Balanced Opportunity)</t>
        </is>
      </c>
    </row>
    <row r="754">
      <c r="A754" s="23" t="n">
        <v>3</v>
      </c>
      <c r="B754" s="23" t="n">
        <v>750</v>
      </c>
      <c r="C754" s="23" t="n">
        <v>2750</v>
      </c>
      <c r="D754" s="23" t="inlineStr">
        <is>
          <t>1380606027</t>
        </is>
      </c>
      <c r="E754" s="11" t="inlineStr">
        <is>
          <t>National Capital Region (NCR)</t>
        </is>
      </c>
      <c r="F754" s="11" t="inlineStr">
        <is>
          <t>First District (Not a Province)</t>
        </is>
      </c>
      <c r="G754" s="11" t="inlineStr">
        <is>
          <t>City of Manila</t>
        </is>
      </c>
      <c r="H754" s="11" t="inlineStr">
        <is>
          <t>Barangay 421</t>
        </is>
      </c>
      <c r="I754" s="24" t="n">
        <v>14.604533</v>
      </c>
      <c r="J754" s="24" t="n">
        <v>121.003046</v>
      </c>
      <c r="K754" s="23" t="inlineStr">
        <is>
          <t>U</t>
        </is>
      </c>
      <c r="L754" s="25" t="n">
        <v>1264</v>
      </c>
      <c r="M754" s="26" t="n">
        <v>3.85</v>
      </c>
      <c r="N754" s="25">
        <f>ROUND(L754/M754, 0)</f>
        <v/>
      </c>
      <c r="O754" s="25">
        <f>ROUND(N754*'Methodology &amp; Assumptions'!$B$7, 0)</f>
        <v/>
      </c>
      <c r="P754" s="23" t="inlineStr">
        <is>
          <t>Single Carrier (Band n50, 100MHz TDD)</t>
        </is>
      </c>
      <c r="Q754" s="27">
        <f>ROUNDUP(O754/'Methodology &amp; Assumptions'!$B$8, 0)</f>
        <v/>
      </c>
      <c r="R754" s="27" t="n">
        <v>1</v>
      </c>
      <c r="S754" s="26" t="n">
        <v>0.32</v>
      </c>
      <c r="T754" s="26" t="n">
        <v>0.12</v>
      </c>
      <c r="U754" s="11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26" t="n">
        <v>51.59</v>
      </c>
      <c r="W754" s="26" t="n">
        <v>69.81999999999999</v>
      </c>
      <c r="X754" s="26">
        <f>ROUND(('Methodology &amp; Assumptions'!$B$5*V754) + ('Methodology &amp; Assumptions'!$B$6*W754), 2)</f>
        <v/>
      </c>
      <c r="Y754" s="28" t="n">
        <v>10.9</v>
      </c>
      <c r="Z754" s="11" t="inlineStr">
        <is>
          <t>Priority Tier 2 (Balanced Opportunity)</t>
        </is>
      </c>
    </row>
    <row r="755">
      <c r="A755" s="23" t="n">
        <v>3</v>
      </c>
      <c r="B755" s="23" t="n">
        <v>751</v>
      </c>
      <c r="C755" s="23" t="n">
        <v>2751</v>
      </c>
      <c r="D755" s="23" t="inlineStr">
        <is>
          <t>0103304006</t>
        </is>
      </c>
      <c r="E755" s="11" t="inlineStr">
        <is>
          <t>Region I (Ilocos Region)</t>
        </is>
      </c>
      <c r="F755" s="11" t="inlineStr">
        <is>
          <t>La Union</t>
        </is>
      </c>
      <c r="G755" s="11" t="inlineStr">
        <is>
          <t>Bagulin</t>
        </is>
      </c>
      <c r="H755" s="11" t="inlineStr">
        <is>
          <t>Libbo</t>
        </is>
      </c>
      <c r="I755" s="24" t="n">
        <v>16.572073</v>
      </c>
      <c r="J755" s="24" t="n">
        <v>120.528322</v>
      </c>
      <c r="K755" s="23" t="inlineStr">
        <is>
          <t>R</t>
        </is>
      </c>
      <c r="L755" s="25" t="n">
        <v>961</v>
      </c>
      <c r="M755" s="26" t="n">
        <v>3.7</v>
      </c>
      <c r="N755" s="25">
        <f>ROUND(L755/M755, 0)</f>
        <v/>
      </c>
      <c r="O755" s="25">
        <f>ROUND(N755*'Methodology &amp; Assumptions'!$B$7, 0)</f>
        <v/>
      </c>
      <c r="P755" s="23" t="inlineStr">
        <is>
          <t>Single Carrier (Band n50, 100MHz TDD)</t>
        </is>
      </c>
      <c r="Q755" s="27">
        <f>ROUNDUP(O755/'Methodology &amp; Assumptions'!$B$8, 0)</f>
        <v/>
      </c>
      <c r="R755" s="27" t="n">
        <v>1</v>
      </c>
      <c r="S755" s="26" t="n">
        <v>8.210000000000001</v>
      </c>
      <c r="T755" s="26" t="n">
        <v>8.75</v>
      </c>
      <c r="U755" s="11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26" t="n">
        <v>51</v>
      </c>
      <c r="W755" s="26" t="n">
        <v>70.40000000000001</v>
      </c>
      <c r="X755" s="26">
        <f>ROUND(('Methodology &amp; Assumptions'!$B$5*V755) + ('Methodology &amp; Assumptions'!$B$6*W755), 2)</f>
        <v/>
      </c>
      <c r="Y755" s="28" t="n">
        <v>8.300000000000001</v>
      </c>
      <c r="Z755" s="11" t="inlineStr">
        <is>
          <t>Priority Tier 2 (Balanced Opportunity)</t>
        </is>
      </c>
    </row>
    <row r="756">
      <c r="A756" s="23" t="n">
        <v>3</v>
      </c>
      <c r="B756" s="23" t="n">
        <v>752</v>
      </c>
      <c r="C756" s="23" t="n">
        <v>2752</v>
      </c>
      <c r="D756" s="23" t="inlineStr">
        <is>
          <t>1380601126</t>
        </is>
      </c>
      <c r="E756" s="11" t="inlineStr">
        <is>
          <t>National Capital Region (NCR)</t>
        </is>
      </c>
      <c r="F756" s="11" t="inlineStr">
        <is>
          <t>First District (Not a Province)</t>
        </is>
      </c>
      <c r="G756" s="11" t="inlineStr">
        <is>
          <t>City of Manila</t>
        </is>
      </c>
      <c r="H756" s="11" t="inlineStr">
        <is>
          <t>Barangay 126</t>
        </is>
      </c>
      <c r="I756" s="24" t="n">
        <v>14.632399</v>
      </c>
      <c r="J756" s="24" t="n">
        <v>120.96397</v>
      </c>
      <c r="K756" s="23" t="inlineStr">
        <is>
          <t>U</t>
        </is>
      </c>
      <c r="L756" s="25" t="n">
        <v>913</v>
      </c>
      <c r="M756" s="26" t="n">
        <v>3.23</v>
      </c>
      <c r="N756" s="25">
        <f>ROUND(L756/M756, 0)</f>
        <v/>
      </c>
      <c r="O756" s="25">
        <f>ROUND(N756*'Methodology &amp; Assumptions'!$B$7, 0)</f>
        <v/>
      </c>
      <c r="P756" s="23" t="inlineStr">
        <is>
          <t>Single Carrier (Band n50, 100MHz TDD)</t>
        </is>
      </c>
      <c r="Q756" s="27">
        <f>ROUNDUP(O756/'Methodology &amp; Assumptions'!$B$8, 0)</f>
        <v/>
      </c>
      <c r="R756" s="27" t="n">
        <v>1</v>
      </c>
      <c r="S756" s="26" t="n">
        <v>1.18</v>
      </c>
      <c r="T756" s="26" t="n">
        <v>0.1</v>
      </c>
      <c r="U756" s="11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26" t="n">
        <v>48.89</v>
      </c>
      <c r="W756" s="26" t="n">
        <v>72.51000000000001</v>
      </c>
      <c r="X756" s="26">
        <f>ROUND(('Methodology &amp; Assumptions'!$B$5*V756) + ('Methodology &amp; Assumptions'!$B$6*W756), 2)</f>
        <v/>
      </c>
      <c r="Y756" s="28" t="n">
        <v>10.9</v>
      </c>
      <c r="Z756" s="11" t="inlineStr">
        <is>
          <t>Priority Tier 2 (Balanced Opportunity)</t>
        </is>
      </c>
    </row>
    <row r="757">
      <c r="A757" s="23" t="n">
        <v>3</v>
      </c>
      <c r="B757" s="23" t="n">
        <v>753</v>
      </c>
      <c r="C757" s="23" t="n">
        <v>2753</v>
      </c>
      <c r="D757" s="23" t="inlineStr">
        <is>
          <t>0405619056</t>
        </is>
      </c>
      <c r="E757" s="11" t="inlineStr">
        <is>
          <t>Region IV-A (CALABARZON)</t>
        </is>
      </c>
      <c r="F757" s="11" t="inlineStr">
        <is>
          <t>Quezon</t>
        </is>
      </c>
      <c r="G757" s="11" t="inlineStr">
        <is>
          <t>Gumaca</t>
        </is>
      </c>
      <c r="H757" s="11" t="inlineStr">
        <is>
          <t>Villa Tañada</t>
        </is>
      </c>
      <c r="I757" s="24" t="n">
        <v>13.871651</v>
      </c>
      <c r="J757" s="24" t="n">
        <v>122.192986</v>
      </c>
      <c r="K757" s="23" t="inlineStr">
        <is>
          <t>R</t>
        </is>
      </c>
      <c r="L757" s="25" t="n">
        <v>135</v>
      </c>
      <c r="M757" s="26" t="n">
        <v>3.8</v>
      </c>
      <c r="N757" s="25">
        <f>ROUND(L757/M757, 0)</f>
        <v/>
      </c>
      <c r="O757" s="25">
        <f>ROUND(N757*'Methodology &amp; Assumptions'!$B$7, 0)</f>
        <v/>
      </c>
      <c r="P757" s="23" t="inlineStr">
        <is>
          <t>Single Carrier (Band n50, 100MHz TDD)</t>
        </is>
      </c>
      <c r="Q757" s="27">
        <f>ROUNDUP(O757/'Methodology &amp; Assumptions'!$B$8, 0)</f>
        <v/>
      </c>
      <c r="R757" s="27" t="n">
        <v>1</v>
      </c>
      <c r="S757" s="26" t="n">
        <v>7.67</v>
      </c>
      <c r="T757" s="26" t="n">
        <v>3.17</v>
      </c>
      <c r="U757" s="11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26" t="n">
        <v>41.48</v>
      </c>
      <c r="W757" s="26" t="n">
        <v>79.92</v>
      </c>
      <c r="X757" s="26">
        <f>ROUND(('Methodology &amp; Assumptions'!$B$5*V757) + ('Methodology &amp; Assumptions'!$B$6*W757), 2)</f>
        <v/>
      </c>
      <c r="Y757" s="28" t="n">
        <v>7.2</v>
      </c>
      <c r="Z757" s="11" t="inlineStr">
        <is>
          <t>Priority Tier 2 (Balanced Opportunity)</t>
        </is>
      </c>
    </row>
    <row r="758">
      <c r="A758" s="23" t="n">
        <v>3</v>
      </c>
      <c r="B758" s="23" t="n">
        <v>754</v>
      </c>
      <c r="C758" s="23" t="n">
        <v>2754</v>
      </c>
      <c r="D758" s="23" t="inlineStr">
        <is>
          <t>0600413005</t>
        </is>
      </c>
      <c r="E758" s="11" t="inlineStr">
        <is>
          <t>Region VI (Western Visayas)</t>
        </is>
      </c>
      <c r="F758" s="11" t="inlineStr">
        <is>
          <t>Aklan</t>
        </is>
      </c>
      <c r="G758" s="11" t="inlineStr">
        <is>
          <t>Malinao</t>
        </is>
      </c>
      <c r="H758" s="11" t="inlineStr">
        <is>
          <t>Capataga</t>
        </is>
      </c>
      <c r="I758" s="24" t="n">
        <v>11.572558</v>
      </c>
      <c r="J758" s="24" t="n">
        <v>122.185957</v>
      </c>
      <c r="K758" s="23" t="inlineStr">
        <is>
          <t>R</t>
        </is>
      </c>
      <c r="L758" s="25" t="n">
        <v>55</v>
      </c>
      <c r="M758" s="26" t="n">
        <v>3.9</v>
      </c>
      <c r="N758" s="25">
        <f>ROUND(L758/M758, 0)</f>
        <v/>
      </c>
      <c r="O758" s="25">
        <f>ROUND(N758*'Methodology &amp; Assumptions'!$B$7, 0)</f>
        <v/>
      </c>
      <c r="P758" s="23" t="inlineStr">
        <is>
          <t>Single Carrier (Band n50, 100MHz TDD)</t>
        </is>
      </c>
      <c r="Q758" s="27">
        <f>ROUNDUP(O758/'Methodology &amp; Assumptions'!$B$8, 0)</f>
        <v/>
      </c>
      <c r="R758" s="27" t="n">
        <v>1</v>
      </c>
      <c r="S758" s="26" t="n">
        <v>13.31</v>
      </c>
      <c r="T758" s="26" t="n">
        <v>17.82</v>
      </c>
      <c r="U758" s="11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26" t="n">
        <v>37.99</v>
      </c>
      <c r="W758" s="26" t="n">
        <v>83.40000000000001</v>
      </c>
      <c r="X758" s="26">
        <f>ROUND(('Methodology &amp; Assumptions'!$B$5*V758) + ('Methodology &amp; Assumptions'!$B$6*W758), 2)</f>
        <v/>
      </c>
      <c r="Y758" s="28" t="n">
        <v>23.7</v>
      </c>
      <c r="Z758" s="11" t="inlineStr">
        <is>
          <t>Priority Tier 2 (Balanced Opportunity)</t>
        </is>
      </c>
    </row>
    <row r="759">
      <c r="A759" s="23" t="n">
        <v>3</v>
      </c>
      <c r="B759" s="23" t="n">
        <v>755</v>
      </c>
      <c r="C759" s="23" t="n">
        <v>2755</v>
      </c>
      <c r="D759" s="23" t="inlineStr">
        <is>
          <t>0403420010</t>
        </is>
      </c>
      <c r="E759" s="11" t="inlineStr">
        <is>
          <t>Region IV-A (CALABARZON)</t>
        </is>
      </c>
      <c r="F759" s="11" t="inlineStr">
        <is>
          <t>Laguna</t>
        </is>
      </c>
      <c r="G759" s="11" t="inlineStr">
        <is>
          <t>Pakil</t>
        </is>
      </c>
      <c r="H759" s="11" t="inlineStr">
        <is>
          <t>Rizal</t>
        </is>
      </c>
      <c r="I759" s="24" t="n">
        <v>14.385008</v>
      </c>
      <c r="J759" s="24" t="n">
        <v>121.479881</v>
      </c>
      <c r="K759" s="23" t="inlineStr">
        <is>
          <t>R</t>
        </is>
      </c>
      <c r="L759" s="25" t="n">
        <v>3431</v>
      </c>
      <c r="M759" s="26" t="n">
        <v>3.3</v>
      </c>
      <c r="N759" s="25">
        <f>ROUND(L759/M759, 0)</f>
        <v/>
      </c>
      <c r="O759" s="25">
        <f>ROUND(N759*'Methodology &amp; Assumptions'!$B$7, 0)</f>
        <v/>
      </c>
      <c r="P759" s="23" t="inlineStr">
        <is>
          <t>Single Carrier (Band n50, 100MHz TDD)</t>
        </is>
      </c>
      <c r="Q759" s="27">
        <f>ROUNDUP(O759/'Methodology &amp; Assumptions'!$B$8, 0)</f>
        <v/>
      </c>
      <c r="R759" s="27" t="n">
        <v>1</v>
      </c>
      <c r="S759" s="26" t="n">
        <v>0.73</v>
      </c>
      <c r="T759" s="26" t="n">
        <v>0.38</v>
      </c>
      <c r="U759" s="11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26" t="n">
        <v>85.45999999999999</v>
      </c>
      <c r="W759" s="26" t="n">
        <v>35.93</v>
      </c>
      <c r="X759" s="26">
        <f>ROUND(('Methodology &amp; Assumptions'!$B$5*V759) + ('Methodology &amp; Assumptions'!$B$6*W759), 2)</f>
        <v/>
      </c>
      <c r="Y759" s="28" t="n">
        <v>7.2</v>
      </c>
      <c r="Z759" s="11" t="inlineStr">
        <is>
          <t>Priority Tier 2 (Balanced Opportunity)</t>
        </is>
      </c>
    </row>
    <row r="760">
      <c r="A760" s="23" t="n">
        <v>3</v>
      </c>
      <c r="B760" s="23" t="n">
        <v>756</v>
      </c>
      <c r="C760" s="23" t="n">
        <v>2756</v>
      </c>
      <c r="D760" s="23" t="inlineStr">
        <is>
          <t>0603018040</t>
        </is>
      </c>
      <c r="E760" s="11" t="inlineStr">
        <is>
          <t>Region VI (Western Visayas)</t>
        </is>
      </c>
      <c r="F760" s="11" t="inlineStr">
        <is>
          <t>Iloilo</t>
        </is>
      </c>
      <c r="G760" s="11" t="inlineStr">
        <is>
          <t>Dumangas</t>
        </is>
      </c>
      <c r="H760" s="11" t="inlineStr">
        <is>
          <t>Tabucan</t>
        </is>
      </c>
      <c r="I760" s="24" t="n">
        <v>10.820228</v>
      </c>
      <c r="J760" s="24" t="n">
        <v>122.708428</v>
      </c>
      <c r="K760" s="23" t="inlineStr">
        <is>
          <t>R</t>
        </is>
      </c>
      <c r="L760" s="25" t="n">
        <v>2389</v>
      </c>
      <c r="M760" s="26" t="n">
        <v>3.8</v>
      </c>
      <c r="N760" s="25">
        <f>ROUND(L760/M760, 0)</f>
        <v/>
      </c>
      <c r="O760" s="25">
        <f>ROUND(N760*'Methodology &amp; Assumptions'!$B$7, 0)</f>
        <v/>
      </c>
      <c r="P760" s="23" t="inlineStr">
        <is>
          <t>Single Carrier (Band n50, 100MHz TDD)</t>
        </is>
      </c>
      <c r="Q760" s="27">
        <f>ROUNDUP(O760/'Methodology &amp; Assumptions'!$B$8, 0)</f>
        <v/>
      </c>
      <c r="R760" s="27" t="n">
        <v>1</v>
      </c>
      <c r="S760" s="26" t="n">
        <v>0.65</v>
      </c>
      <c r="T760" s="26" t="n">
        <v>0.07000000000000001</v>
      </c>
      <c r="U760" s="11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26" t="n">
        <v>80.62</v>
      </c>
      <c r="W760" s="26" t="n">
        <v>40.77</v>
      </c>
      <c r="X760" s="26">
        <f>ROUND(('Methodology &amp; Assumptions'!$B$5*V760) + ('Methodology &amp; Assumptions'!$B$6*W760), 2)</f>
        <v/>
      </c>
      <c r="Y760" s="28" t="n">
        <v>23.7</v>
      </c>
      <c r="Z760" s="11" t="inlineStr">
        <is>
          <t>Priority Tier 2 (Balanced Opportunity)</t>
        </is>
      </c>
    </row>
    <row r="761">
      <c r="A761" s="23" t="n">
        <v>3</v>
      </c>
      <c r="B761" s="23" t="n">
        <v>757</v>
      </c>
      <c r="C761" s="23" t="n">
        <v>2757</v>
      </c>
      <c r="D761" s="23" t="inlineStr">
        <is>
          <t>0304916017</t>
        </is>
      </c>
      <c r="E761" s="11" t="inlineStr">
        <is>
          <t>Region III (Central Luzon)</t>
        </is>
      </c>
      <c r="F761" s="11" t="inlineStr">
        <is>
          <t>Nueva Ecija</t>
        </is>
      </c>
      <c r="G761" s="11" t="inlineStr">
        <is>
          <t>Lupao</t>
        </is>
      </c>
      <c r="H761" s="11" t="inlineStr">
        <is>
          <t>Namulandayan</t>
        </is>
      </c>
      <c r="I761" s="24" t="n">
        <v>15.882608</v>
      </c>
      <c r="J761" s="24" t="n">
        <v>120.90465</v>
      </c>
      <c r="K761" s="23" t="inlineStr">
        <is>
          <t>R</t>
        </is>
      </c>
      <c r="L761" s="25" t="n">
        <v>2243</v>
      </c>
      <c r="M761" s="26" t="n">
        <v>3.5</v>
      </c>
      <c r="N761" s="25">
        <f>ROUND(L761/M761, 0)</f>
        <v/>
      </c>
      <c r="O761" s="25">
        <f>ROUND(N761*'Methodology &amp; Assumptions'!$B$7, 0)</f>
        <v/>
      </c>
      <c r="P761" s="23" t="inlineStr">
        <is>
          <t>Single Carrier (Band n50, 100MHz TDD)</t>
        </is>
      </c>
      <c r="Q761" s="27">
        <f>ROUNDUP(O761/'Methodology &amp; Assumptions'!$B$8, 0)</f>
        <v/>
      </c>
      <c r="R761" s="27" t="n">
        <v>1</v>
      </c>
      <c r="S761" s="26" t="n">
        <v>0.76</v>
      </c>
      <c r="T761" s="26" t="n">
        <v>1.12</v>
      </c>
      <c r="U761" s="11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26" t="n">
        <v>79.81999999999999</v>
      </c>
      <c r="W761" s="26" t="n">
        <v>41.55</v>
      </c>
      <c r="X761" s="26">
        <f>ROUND(('Methodology &amp; Assumptions'!$B$5*V761) + ('Methodology &amp; Assumptions'!$B$6*W761), 2)</f>
        <v/>
      </c>
      <c r="Y761" s="28" t="n">
        <v>8.300000000000001</v>
      </c>
      <c r="Z761" s="11" t="inlineStr">
        <is>
          <t>Priority Tier 2 (Balanced Opportunity)</t>
        </is>
      </c>
    </row>
    <row r="762">
      <c r="A762" s="23" t="n">
        <v>3</v>
      </c>
      <c r="B762" s="23" t="n">
        <v>758</v>
      </c>
      <c r="C762" s="23" t="n">
        <v>2758</v>
      </c>
      <c r="D762" s="23" t="inlineStr">
        <is>
          <t>1907004006</t>
        </is>
      </c>
      <c r="E762" s="11" t="inlineStr">
        <is>
          <t>Bangsamoro Autonomous Region In Muslim Mindanao (BARMM)</t>
        </is>
      </c>
      <c r="F762" s="11" t="inlineStr">
        <is>
          <t>Tawi-Tawi</t>
        </is>
      </c>
      <c r="G762" s="11" t="inlineStr">
        <is>
          <t>Simunul</t>
        </is>
      </c>
      <c r="H762" s="11" t="inlineStr">
        <is>
          <t>Tubig Indangan</t>
        </is>
      </c>
      <c r="I762" s="24" t="n">
        <v>4.895576</v>
      </c>
      <c r="J762" s="24" t="n">
        <v>119.849561</v>
      </c>
      <c r="K762" s="23" t="inlineStr">
        <is>
          <t>R</t>
        </is>
      </c>
      <c r="L762" s="25" t="n">
        <v>4140</v>
      </c>
      <c r="M762" s="26" t="n">
        <v>5.8</v>
      </c>
      <c r="N762" s="25">
        <f>ROUND(L762/M762, 0)</f>
        <v/>
      </c>
      <c r="O762" s="25">
        <f>ROUND(N762*'Methodology &amp; Assumptions'!$B$7, 0)</f>
        <v/>
      </c>
      <c r="P762" s="23" t="inlineStr">
        <is>
          <t>Single Carrier (Band n50, 100MHz TDD)</t>
        </is>
      </c>
      <c r="Q762" s="27">
        <f>ROUNDUP(O762/'Methodology &amp; Assumptions'!$B$8, 0)</f>
        <v/>
      </c>
      <c r="R762" s="27" t="n">
        <v>1</v>
      </c>
      <c r="S762" s="26" t="n">
        <v>999</v>
      </c>
      <c r="T762" s="26" t="n">
        <v>999</v>
      </c>
      <c r="U762" s="11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26" t="n">
        <v>53.97</v>
      </c>
      <c r="W762" s="26" t="n">
        <v>67.41</v>
      </c>
      <c r="X762" s="26">
        <f>ROUND(('Methodology &amp; Assumptions'!$B$5*V762) + ('Methodology &amp; Assumptions'!$B$6*W762), 2)</f>
        <v/>
      </c>
      <c r="Y762" s="28" t="n">
        <v>11</v>
      </c>
      <c r="Z762" s="11" t="inlineStr">
        <is>
          <t>Priority Tier 2 (Balanced Opportunity)</t>
        </is>
      </c>
    </row>
    <row r="763">
      <c r="A763" s="23" t="n">
        <v>3</v>
      </c>
      <c r="B763" s="23" t="n">
        <v>759</v>
      </c>
      <c r="C763" s="23" t="n">
        <v>2759</v>
      </c>
      <c r="D763" s="23" t="inlineStr">
        <is>
          <t>1380604002</t>
        </is>
      </c>
      <c r="E763" s="11" t="inlineStr">
        <is>
          <t>National Capital Region (NCR)</t>
        </is>
      </c>
      <c r="F763" s="11" t="inlineStr">
        <is>
          <t>First District (Not a Province)</t>
        </is>
      </c>
      <c r="G763" s="11" t="inlineStr">
        <is>
          <t>City of Manila</t>
        </is>
      </c>
      <c r="H763" s="11" t="inlineStr">
        <is>
          <t>Barangay 269</t>
        </is>
      </c>
      <c r="I763" s="24" t="n">
        <v>14.603157</v>
      </c>
      <c r="J763" s="24" t="n">
        <v>120.969103</v>
      </c>
      <c r="K763" s="23" t="inlineStr">
        <is>
          <t>U</t>
        </is>
      </c>
      <c r="L763" s="25" t="n">
        <v>1095</v>
      </c>
      <c r="M763" s="26" t="n">
        <v>3.59</v>
      </c>
      <c r="N763" s="25">
        <f>ROUND(L763/M763, 0)</f>
        <v/>
      </c>
      <c r="O763" s="25">
        <f>ROUND(N763*'Methodology &amp; Assumptions'!$B$7, 0)</f>
        <v/>
      </c>
      <c r="P763" s="23" t="inlineStr">
        <is>
          <t>Single Carrier (Band n50, 100MHz TDD)</t>
        </is>
      </c>
      <c r="Q763" s="27">
        <f>ROUNDUP(O763/'Methodology &amp; Assumptions'!$B$8, 0)</f>
        <v/>
      </c>
      <c r="R763" s="27" t="n">
        <v>1</v>
      </c>
      <c r="S763" s="26" t="n">
        <v>0.41</v>
      </c>
      <c r="T763" s="26" t="n">
        <v>0.4</v>
      </c>
      <c r="U763" s="11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26" t="n">
        <v>50.95</v>
      </c>
      <c r="W763" s="26" t="n">
        <v>70.43000000000001</v>
      </c>
      <c r="X763" s="26">
        <f>ROUND(('Methodology &amp; Assumptions'!$B$5*V763) + ('Methodology &amp; Assumptions'!$B$6*W763), 2)</f>
        <v/>
      </c>
      <c r="Y763" s="28" t="n">
        <v>10.9</v>
      </c>
      <c r="Z763" s="11" t="inlineStr">
        <is>
          <t>Priority Tier 2 (Balanced Opportunity)</t>
        </is>
      </c>
    </row>
    <row r="764">
      <c r="A764" s="23" t="n">
        <v>3</v>
      </c>
      <c r="B764" s="23" t="n">
        <v>760</v>
      </c>
      <c r="C764" s="23" t="n">
        <v>2760</v>
      </c>
      <c r="D764" s="23" t="inlineStr">
        <is>
          <t>0105526029</t>
        </is>
      </c>
      <c r="E764" s="11" t="inlineStr">
        <is>
          <t>Region I (Ilocos Region)</t>
        </is>
      </c>
      <c r="F764" s="11" t="inlineStr">
        <is>
          <t>Pangasinan</t>
        </is>
      </c>
      <c r="G764" s="11" t="inlineStr">
        <is>
          <t>Mangaldan</t>
        </is>
      </c>
      <c r="H764" s="11" t="inlineStr">
        <is>
          <t>Tebag</t>
        </is>
      </c>
      <c r="I764" s="24" t="n">
        <v>16.079946</v>
      </c>
      <c r="J764" s="24" t="n">
        <v>120.40651</v>
      </c>
      <c r="K764" s="23" t="inlineStr">
        <is>
          <t>R</t>
        </is>
      </c>
      <c r="L764" s="25" t="n">
        <v>3084</v>
      </c>
      <c r="M764" s="26" t="n">
        <v>3.6</v>
      </c>
      <c r="N764" s="25">
        <f>ROUND(L764/M764, 0)</f>
        <v/>
      </c>
      <c r="O764" s="25">
        <f>ROUND(N764*'Methodology &amp; Assumptions'!$B$7, 0)</f>
        <v/>
      </c>
      <c r="P764" s="23" t="inlineStr">
        <is>
          <t>Single Carrier (Band n50, 100MHz TDD)</t>
        </is>
      </c>
      <c r="Q764" s="27">
        <f>ROUNDUP(O764/'Methodology &amp; Assumptions'!$B$8, 0)</f>
        <v/>
      </c>
      <c r="R764" s="27" t="n">
        <v>1</v>
      </c>
      <c r="S764" s="26" t="n">
        <v>1.42</v>
      </c>
      <c r="T764" s="26" t="n">
        <v>0.83</v>
      </c>
      <c r="U764" s="11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26" t="n">
        <v>83.42</v>
      </c>
      <c r="W764" s="26" t="n">
        <v>37.93</v>
      </c>
      <c r="X764" s="26">
        <f>ROUND(('Methodology &amp; Assumptions'!$B$5*V764) + ('Methodology &amp; Assumptions'!$B$6*W764), 2)</f>
        <v/>
      </c>
      <c r="Y764" s="28" t="n">
        <v>8.300000000000001</v>
      </c>
      <c r="Z764" s="11" t="inlineStr">
        <is>
          <t>Priority Tier 2 (Balanced Opportunity)</t>
        </is>
      </c>
    </row>
    <row r="765">
      <c r="A765" s="23" t="n">
        <v>3</v>
      </c>
      <c r="B765" s="23" t="n">
        <v>761</v>
      </c>
      <c r="C765" s="23" t="n">
        <v>2761</v>
      </c>
      <c r="D765" s="23" t="inlineStr">
        <is>
          <t>0401011006</t>
        </is>
      </c>
      <c r="E765" s="11" t="inlineStr">
        <is>
          <t>Region IV-A (CALABARZON)</t>
        </is>
      </c>
      <c r="F765" s="11" t="inlineStr">
        <is>
          <t>Batangas</t>
        </is>
      </c>
      <c r="G765" s="11" t="inlineStr">
        <is>
          <t>Laurel</t>
        </is>
      </c>
      <c r="H765" s="11" t="inlineStr">
        <is>
          <t>Bugaan East</t>
        </is>
      </c>
      <c r="I765" s="24" t="n">
        <v>14.045995</v>
      </c>
      <c r="J765" s="24" t="n">
        <v>120.938868</v>
      </c>
      <c r="K765" s="23" t="inlineStr">
        <is>
          <t>R</t>
        </is>
      </c>
      <c r="L765" s="25" t="n">
        <v>2217</v>
      </c>
      <c r="M765" s="26" t="n">
        <v>3.6</v>
      </c>
      <c r="N765" s="25">
        <f>ROUND(L765/M765, 0)</f>
        <v/>
      </c>
      <c r="O765" s="25">
        <f>ROUND(N765*'Methodology &amp; Assumptions'!$B$7, 0)</f>
        <v/>
      </c>
      <c r="P765" s="23" t="inlineStr">
        <is>
          <t>Single Carrier (Band n50, 100MHz TDD)</t>
        </is>
      </c>
      <c r="Q765" s="27">
        <f>ROUNDUP(O765/'Methodology &amp; Assumptions'!$B$8, 0)</f>
        <v/>
      </c>
      <c r="R765" s="27" t="n">
        <v>1</v>
      </c>
      <c r="S765" s="26" t="n">
        <v>0.98</v>
      </c>
      <c r="T765" s="26" t="n">
        <v>5.48</v>
      </c>
      <c r="U765" s="11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26" t="n">
        <v>74.95</v>
      </c>
      <c r="W765" s="26" t="n">
        <v>46.42</v>
      </c>
      <c r="X765" s="26">
        <f>ROUND(('Methodology &amp; Assumptions'!$B$5*V765) + ('Methodology &amp; Assumptions'!$B$6*W765), 2)</f>
        <v/>
      </c>
      <c r="Y765" s="28" t="n">
        <v>7.2</v>
      </c>
      <c r="Z765" s="11" t="inlineStr">
        <is>
          <t>Priority Tier 2 (Balanced Opportunity)</t>
        </is>
      </c>
    </row>
    <row r="766">
      <c r="A766" s="23" t="n">
        <v>3</v>
      </c>
      <c r="B766" s="23" t="n">
        <v>762</v>
      </c>
      <c r="C766" s="23" t="n">
        <v>2762</v>
      </c>
      <c r="D766" s="23" t="inlineStr">
        <is>
          <t>1906609024</t>
        </is>
      </c>
      <c r="E766" s="11" t="inlineStr">
        <is>
          <t>Bangsamoro Autonomous Region In Muslim Mindanao (BARMM)</t>
        </is>
      </c>
      <c r="F766" s="11" t="inlineStr">
        <is>
          <t>Sulu</t>
        </is>
      </c>
      <c r="G766" s="11" t="inlineStr">
        <is>
          <t>Parang</t>
        </is>
      </c>
      <c r="H766" s="11" t="inlineStr">
        <is>
          <t>Alu Layag-Layag</t>
        </is>
      </c>
      <c r="I766" s="24" t="n">
        <v>5.958554</v>
      </c>
      <c r="J766" s="24" t="n">
        <v>120.887214</v>
      </c>
      <c r="K766" s="23" t="inlineStr">
        <is>
          <t>R</t>
        </is>
      </c>
      <c r="L766" s="25" t="n">
        <v>5473</v>
      </c>
      <c r="M766" s="26" t="n">
        <v>6</v>
      </c>
      <c r="N766" s="25">
        <f>ROUND(L766/M766, 0)</f>
        <v/>
      </c>
      <c r="O766" s="25">
        <f>ROUND(N766*'Methodology &amp; Assumptions'!$B$7, 0)</f>
        <v/>
      </c>
      <c r="P766" s="23" t="inlineStr">
        <is>
          <t>Single Carrier (Band n50, 100MHz TDD)</t>
        </is>
      </c>
      <c r="Q766" s="27">
        <f>ROUNDUP(O766/'Methodology &amp; Assumptions'!$B$8, 0)</f>
        <v/>
      </c>
      <c r="R766" s="27" t="n">
        <v>1</v>
      </c>
      <c r="S766" s="26" t="n">
        <v>168.49</v>
      </c>
      <c r="T766" s="26" t="n">
        <v>168.49</v>
      </c>
      <c r="U766" s="11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26" t="n">
        <v>59.06</v>
      </c>
      <c r="W766" s="26" t="n">
        <v>62.3</v>
      </c>
      <c r="X766" s="26">
        <f>ROUND(('Methodology &amp; Assumptions'!$B$5*V766) + ('Methodology &amp; Assumptions'!$B$6*W766), 2)</f>
        <v/>
      </c>
      <c r="Y766" s="28" t="n">
        <v>11</v>
      </c>
      <c r="Z766" s="11" t="inlineStr">
        <is>
          <t>Priority Tier 2 (Balanced Opportunity)</t>
        </is>
      </c>
    </row>
    <row r="767">
      <c r="A767" s="23" t="n">
        <v>3</v>
      </c>
      <c r="B767" s="23" t="n">
        <v>763</v>
      </c>
      <c r="C767" s="23" t="n">
        <v>2763</v>
      </c>
      <c r="D767" s="23" t="inlineStr">
        <is>
          <t>1705323004</t>
        </is>
      </c>
      <c r="E767" s="11" t="inlineStr">
        <is>
          <t>MIMAROPA Region</t>
        </is>
      </c>
      <c r="F767" s="11" t="inlineStr">
        <is>
          <t>Palawan</t>
        </is>
      </c>
      <c r="G767" s="11" t="inlineStr">
        <is>
          <t>Rizal</t>
        </is>
      </c>
      <c r="H767" s="11" t="inlineStr">
        <is>
          <t>Canipaan</t>
        </is>
      </c>
      <c r="I767" s="24" t="n">
        <v>8.571975</v>
      </c>
      <c r="J767" s="24" t="n">
        <v>117.263468</v>
      </c>
      <c r="K767" s="23" t="inlineStr">
        <is>
          <t>R</t>
        </is>
      </c>
      <c r="L767" s="25" t="n">
        <v>2842</v>
      </c>
      <c r="M767" s="26" t="n">
        <v>3.6</v>
      </c>
      <c r="N767" s="25">
        <f>ROUND(L767/M767, 0)</f>
        <v/>
      </c>
      <c r="O767" s="25">
        <f>ROUND(N767*'Methodology &amp; Assumptions'!$B$7, 0)</f>
        <v/>
      </c>
      <c r="P767" s="23" t="inlineStr">
        <is>
          <t>Single Carrier (Band n50, 100MHz TDD)</t>
        </is>
      </c>
      <c r="Q767" s="27">
        <f>ROUNDUP(O767/'Methodology &amp; Assumptions'!$B$8, 0)</f>
        <v/>
      </c>
      <c r="R767" s="27" t="n">
        <v>1</v>
      </c>
      <c r="S767" s="26" t="n">
        <v>207.2</v>
      </c>
      <c r="T767" s="26" t="n">
        <v>209.47</v>
      </c>
      <c r="U767" s="11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26" t="n">
        <v>58.39</v>
      </c>
      <c r="W767" s="26" t="n">
        <v>62.97</v>
      </c>
      <c r="X767" s="26">
        <f>ROUND(('Methodology &amp; Assumptions'!$B$5*V767) + ('Methodology &amp; Assumptions'!$B$6*W767), 2)</f>
        <v/>
      </c>
      <c r="Y767" s="28" t="n">
        <v>15</v>
      </c>
      <c r="Z767" s="11" t="inlineStr">
        <is>
          <t>Priority Tier 2 (Balanced Opportunity)</t>
        </is>
      </c>
    </row>
    <row r="768">
      <c r="A768" s="23" t="n">
        <v>3</v>
      </c>
      <c r="B768" s="23" t="n">
        <v>764</v>
      </c>
      <c r="C768" s="23" t="n">
        <v>2764</v>
      </c>
      <c r="D768" s="23" t="inlineStr">
        <is>
          <t>0102903034</t>
        </is>
      </c>
      <c r="E768" s="11" t="inlineStr">
        <is>
          <t>Region I (Ilocos Region)</t>
        </is>
      </c>
      <c r="F768" s="11" t="inlineStr">
        <is>
          <t>Ilocos Sur</t>
        </is>
      </c>
      <c r="G768" s="11" t="inlineStr">
        <is>
          <t>Bantay</t>
        </is>
      </c>
      <c r="H768" s="11" t="inlineStr">
        <is>
          <t>Barangay 5</t>
        </is>
      </c>
      <c r="I768" s="24" t="n">
        <v>17.581279</v>
      </c>
      <c r="J768" s="24" t="n">
        <v>120.387504</v>
      </c>
      <c r="K768" s="23" t="inlineStr">
        <is>
          <t>U</t>
        </is>
      </c>
      <c r="L768" s="25" t="n">
        <v>677</v>
      </c>
      <c r="M768" s="26" t="n">
        <v>3.8</v>
      </c>
      <c r="N768" s="25">
        <f>ROUND(L768/M768, 0)</f>
        <v/>
      </c>
      <c r="O768" s="25">
        <f>ROUND(N768*'Methodology &amp; Assumptions'!$B$7, 0)</f>
        <v/>
      </c>
      <c r="P768" s="23" t="inlineStr">
        <is>
          <t>Single Carrier (Band n50, 100MHz TDD)</t>
        </is>
      </c>
      <c r="Q768" s="27">
        <f>ROUNDUP(O768/'Methodology &amp; Assumptions'!$B$8, 0)</f>
        <v/>
      </c>
      <c r="R768" s="27" t="n">
        <v>1</v>
      </c>
      <c r="S768" s="26" t="n">
        <v>1.4</v>
      </c>
      <c r="T768" s="26" t="n">
        <v>0.44</v>
      </c>
      <c r="U768" s="11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26" t="n">
        <v>55.44</v>
      </c>
      <c r="W768" s="26" t="n">
        <v>65.91</v>
      </c>
      <c r="X768" s="26">
        <f>ROUND(('Methodology &amp; Assumptions'!$B$5*V768) + ('Methodology &amp; Assumptions'!$B$6*W768), 2)</f>
        <v/>
      </c>
      <c r="Y768" s="28" t="n">
        <v>8.300000000000001</v>
      </c>
      <c r="Z768" s="11" t="inlineStr">
        <is>
          <t>Priority Tier 2 (Balanced Opportunity)</t>
        </is>
      </c>
    </row>
    <row r="769">
      <c r="A769" s="23" t="n">
        <v>3</v>
      </c>
      <c r="B769" s="23" t="n">
        <v>765</v>
      </c>
      <c r="C769" s="23" t="n">
        <v>2765</v>
      </c>
      <c r="D769" s="23" t="inlineStr">
        <is>
          <t>1003506030</t>
        </is>
      </c>
      <c r="E769" s="11" t="inlineStr">
        <is>
          <t>Region X (Northern Mindanao)</t>
        </is>
      </c>
      <c r="F769" s="11" t="inlineStr">
        <is>
          <t>Lanao del Norte</t>
        </is>
      </c>
      <c r="G769" s="11" t="inlineStr">
        <is>
          <t>Sultan Naga Dimaporo</t>
        </is>
      </c>
      <c r="H769" s="11" t="inlineStr">
        <is>
          <t>Rebucon</t>
        </is>
      </c>
      <c r="I769" s="24" t="n">
        <v>7.7468</v>
      </c>
      <c r="J769" s="24" t="n">
        <v>123.834</v>
      </c>
      <c r="K769" s="23" t="inlineStr">
        <is>
          <t>R</t>
        </is>
      </c>
      <c r="L769" s="25" t="n">
        <v>1592</v>
      </c>
      <c r="M769" s="26" t="n">
        <v>4.2</v>
      </c>
      <c r="N769" s="25">
        <f>ROUND(L769/M769, 0)</f>
        <v/>
      </c>
      <c r="O769" s="25">
        <f>ROUND(N769*'Methodology &amp; Assumptions'!$B$7, 0)</f>
        <v/>
      </c>
      <c r="P769" s="23" t="inlineStr">
        <is>
          <t>Single Carrier (Band n50, 100MHz TDD)</t>
        </is>
      </c>
      <c r="Q769" s="27">
        <f>ROUNDUP(O769/'Methodology &amp; Assumptions'!$B$8, 0)</f>
        <v/>
      </c>
      <c r="R769" s="27" t="n">
        <v>1</v>
      </c>
      <c r="S769" s="26" t="n">
        <v>33.15</v>
      </c>
      <c r="T769" s="26" t="n">
        <v>17.7</v>
      </c>
      <c r="U769" s="11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26" t="n">
        <v>47.09</v>
      </c>
      <c r="W769" s="26" t="n">
        <v>74.27</v>
      </c>
      <c r="X769" s="26">
        <f>ROUND(('Methodology &amp; Assumptions'!$B$5*V769) + ('Methodology &amp; Assumptions'!$B$6*W769), 2)</f>
        <v/>
      </c>
      <c r="Y769" s="28" t="n">
        <v>17.4</v>
      </c>
      <c r="Z769" s="11" t="inlineStr">
        <is>
          <t>Priority Tier 2 (Balanced Opportunity)</t>
        </is>
      </c>
    </row>
    <row r="770">
      <c r="A770" s="23" t="n">
        <v>3</v>
      </c>
      <c r="B770" s="23" t="n">
        <v>766</v>
      </c>
      <c r="C770" s="23" t="n">
        <v>2766</v>
      </c>
      <c r="D770" s="23" t="inlineStr">
        <is>
          <t>0600410004</t>
        </is>
      </c>
      <c r="E770" s="11" t="inlineStr">
        <is>
          <t>Region VI (Western Visayas)</t>
        </is>
      </c>
      <c r="F770" s="11" t="inlineStr">
        <is>
          <t>Aklan</t>
        </is>
      </c>
      <c r="G770" s="11" t="inlineStr">
        <is>
          <t>Madalag</t>
        </is>
      </c>
      <c r="H770" s="11" t="inlineStr">
        <is>
          <t>Balactasan</t>
        </is>
      </c>
      <c r="I770" s="24" t="n">
        <v>11.459248</v>
      </c>
      <c r="J770" s="24" t="n">
        <v>122.196937</v>
      </c>
      <c r="K770" s="23" t="inlineStr">
        <is>
          <t>R</t>
        </is>
      </c>
      <c r="L770" s="25" t="n">
        <v>865</v>
      </c>
      <c r="M770" s="26" t="n">
        <v>3.9</v>
      </c>
      <c r="N770" s="25">
        <f>ROUND(L770/M770, 0)</f>
        <v/>
      </c>
      <c r="O770" s="25">
        <f>ROUND(N770*'Methodology &amp; Assumptions'!$B$7, 0)</f>
        <v/>
      </c>
      <c r="P770" s="23" t="inlineStr">
        <is>
          <t>Single Carrier (Band n50, 100MHz TDD)</t>
        </is>
      </c>
      <c r="Q770" s="27">
        <f>ROUNDUP(O770/'Methodology &amp; Assumptions'!$B$8, 0)</f>
        <v/>
      </c>
      <c r="R770" s="27" t="n">
        <v>1</v>
      </c>
      <c r="S770" s="26" t="n">
        <v>21.2</v>
      </c>
      <c r="T770" s="26" t="n">
        <v>21.68</v>
      </c>
      <c r="U770" s="11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26" t="n">
        <v>43</v>
      </c>
      <c r="W770" s="26" t="n">
        <v>78.36</v>
      </c>
      <c r="X770" s="26">
        <f>ROUND(('Methodology &amp; Assumptions'!$B$5*V770) + ('Methodology &amp; Assumptions'!$B$6*W770), 2)</f>
        <v/>
      </c>
      <c r="Y770" s="28" t="n">
        <v>23.7</v>
      </c>
      <c r="Z770" s="11" t="inlineStr">
        <is>
          <t>Priority Tier 2 (Balanced Opportunity)</t>
        </is>
      </c>
    </row>
    <row r="771">
      <c r="A771" s="23" t="n">
        <v>3</v>
      </c>
      <c r="B771" s="23" t="n">
        <v>767</v>
      </c>
      <c r="C771" s="23" t="n">
        <v>2767</v>
      </c>
      <c r="D771" s="23" t="inlineStr">
        <is>
          <t>0601902016</t>
        </is>
      </c>
      <c r="E771" s="11" t="inlineStr">
        <is>
          <t>Region VI (Western Visayas)</t>
        </is>
      </c>
      <c r="F771" s="11" t="inlineStr">
        <is>
          <t>Capiz</t>
        </is>
      </c>
      <c r="G771" s="11" t="inlineStr">
        <is>
          <t>Dao</t>
        </is>
      </c>
      <c r="H771" s="11" t="inlineStr">
        <is>
          <t>Matagnop</t>
        </is>
      </c>
      <c r="I771" s="24" t="n">
        <v>11.390768</v>
      </c>
      <c r="J771" s="24" t="n">
        <v>122.693658</v>
      </c>
      <c r="K771" s="23" t="inlineStr">
        <is>
          <t>R</t>
        </is>
      </c>
      <c r="L771" s="25" t="n">
        <v>4158</v>
      </c>
      <c r="M771" s="26" t="n">
        <v>3.8</v>
      </c>
      <c r="N771" s="25">
        <f>ROUND(L771/M771, 0)</f>
        <v/>
      </c>
      <c r="O771" s="25">
        <f>ROUND(N771*'Methodology &amp; Assumptions'!$B$7, 0)</f>
        <v/>
      </c>
      <c r="P771" s="23" t="inlineStr">
        <is>
          <t>Single Carrier (Band n50, 100MHz TDD)</t>
        </is>
      </c>
      <c r="Q771" s="27">
        <f>ROUNDUP(O771/'Methodology &amp; Assumptions'!$B$8, 0)</f>
        <v/>
      </c>
      <c r="R771" s="27" t="n">
        <v>1</v>
      </c>
      <c r="S771" s="26" t="n">
        <v>1.03</v>
      </c>
      <c r="T771" s="26" t="n">
        <v>1.84</v>
      </c>
      <c r="U771" s="11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26" t="n">
        <v>87.34</v>
      </c>
      <c r="W771" s="26" t="n">
        <v>33.99</v>
      </c>
      <c r="X771" s="26">
        <f>ROUND(('Methodology &amp; Assumptions'!$B$5*V771) + ('Methodology &amp; Assumptions'!$B$6*W771), 2)</f>
        <v/>
      </c>
      <c r="Y771" s="28" t="n">
        <v>23.7</v>
      </c>
      <c r="Z771" s="11" t="inlineStr">
        <is>
          <t>Priority Tier 2 (Balanced Opportunity)</t>
        </is>
      </c>
    </row>
    <row r="772">
      <c r="A772" s="23" t="n">
        <v>3</v>
      </c>
      <c r="B772" s="23" t="n">
        <v>768</v>
      </c>
      <c r="C772" s="23" t="n">
        <v>2768</v>
      </c>
      <c r="D772" s="23" t="inlineStr">
        <is>
          <t>0403411003</t>
        </is>
      </c>
      <c r="E772" s="11" t="inlineStr">
        <is>
          <t>Region IV-A (CALABARZON)</t>
        </is>
      </c>
      <c r="F772" s="11" t="inlineStr">
        <is>
          <t>Laguna</t>
        </is>
      </c>
      <c r="G772" s="11" t="inlineStr">
        <is>
          <t>Los Baños</t>
        </is>
      </c>
      <c r="H772" s="11" t="inlineStr">
        <is>
          <t>Bambang</t>
        </is>
      </c>
      <c r="I772" s="24" t="n">
        <v>14.177989</v>
      </c>
      <c r="J772" s="24" t="n">
        <v>121.218663</v>
      </c>
      <c r="K772" s="23" t="inlineStr">
        <is>
          <t>U</t>
        </is>
      </c>
      <c r="L772" s="25" t="n">
        <v>8373</v>
      </c>
      <c r="M772" s="26" t="n">
        <v>3.3</v>
      </c>
      <c r="N772" s="25">
        <f>ROUND(L772/M772, 0)</f>
        <v/>
      </c>
      <c r="O772" s="25">
        <f>ROUND(N772*'Methodology &amp; Assumptions'!$B$7, 0)</f>
        <v/>
      </c>
      <c r="P772" s="23" t="inlineStr">
        <is>
          <t>Single Carrier (Band n50, 100MHz TDD)</t>
        </is>
      </c>
      <c r="Q772" s="27">
        <f>ROUNDUP(O772/'Methodology &amp; Assumptions'!$B$8, 0)</f>
        <v/>
      </c>
      <c r="R772" s="27" t="n">
        <v>1</v>
      </c>
      <c r="S772" s="26" t="n">
        <v>2.56</v>
      </c>
      <c r="T772" s="26" t="n">
        <v>0.18</v>
      </c>
      <c r="U772" s="11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26" t="n">
        <v>72.18000000000001</v>
      </c>
      <c r="W772" s="26" t="n">
        <v>49.15</v>
      </c>
      <c r="X772" s="26">
        <f>ROUND(('Methodology &amp; Assumptions'!$B$5*V772) + ('Methodology &amp; Assumptions'!$B$6*W772), 2)</f>
        <v/>
      </c>
      <c r="Y772" s="28" t="n">
        <v>7.2</v>
      </c>
      <c r="Z772" s="11" t="inlineStr">
        <is>
          <t>Priority Tier 2 (Balanced Opportunity)</t>
        </is>
      </c>
    </row>
    <row r="773">
      <c r="A773" s="23" t="n">
        <v>3</v>
      </c>
      <c r="B773" s="23" t="n">
        <v>769</v>
      </c>
      <c r="C773" s="23" t="n">
        <v>2769</v>
      </c>
      <c r="D773" s="23" t="inlineStr">
        <is>
          <t>1380605037</t>
        </is>
      </c>
      <c r="E773" s="11" t="inlineStr">
        <is>
          <t>National Capital Region (NCR)</t>
        </is>
      </c>
      <c r="F773" s="11" t="inlineStr">
        <is>
          <t>First District (Not a Province)</t>
        </is>
      </c>
      <c r="G773" s="11" t="inlineStr">
        <is>
          <t>City of Manila</t>
        </is>
      </c>
      <c r="H773" s="11" t="inlineStr">
        <is>
          <t>Barangay 335</t>
        </is>
      </c>
      <c r="I773" s="24" t="n">
        <v>14.607809</v>
      </c>
      <c r="J773" s="24" t="n">
        <v>120.98165</v>
      </c>
      <c r="K773" s="23" t="inlineStr">
        <is>
          <t>U</t>
        </is>
      </c>
      <c r="L773" s="25" t="n">
        <v>1078</v>
      </c>
      <c r="M773" s="26" t="n">
        <v>3.29</v>
      </c>
      <c r="N773" s="25">
        <f>ROUND(L773/M773, 0)</f>
        <v/>
      </c>
      <c r="O773" s="25">
        <f>ROUND(N773*'Methodology &amp; Assumptions'!$B$7, 0)</f>
        <v/>
      </c>
      <c r="P773" s="23" t="inlineStr">
        <is>
          <t>Single Carrier (Band n50, 100MHz TDD)</t>
        </is>
      </c>
      <c r="Q773" s="27">
        <f>ROUNDUP(O773/'Methodology &amp; Assumptions'!$B$8, 0)</f>
        <v/>
      </c>
      <c r="R773" s="27" t="n">
        <v>1</v>
      </c>
      <c r="S773" s="26" t="n">
        <v>0.98</v>
      </c>
      <c r="T773" s="26" t="n">
        <v>0.43</v>
      </c>
      <c r="U773" s="11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26" t="n">
        <v>51.07</v>
      </c>
      <c r="W773" s="26" t="n">
        <v>70.26000000000001</v>
      </c>
      <c r="X773" s="26">
        <f>ROUND(('Methodology &amp; Assumptions'!$B$5*V773) + ('Methodology &amp; Assumptions'!$B$6*W773), 2)</f>
        <v/>
      </c>
      <c r="Y773" s="28" t="n">
        <v>10.9</v>
      </c>
      <c r="Z773" s="11" t="inlineStr">
        <is>
          <t>Priority Tier 2 (Balanced Opportunity)</t>
        </is>
      </c>
    </row>
    <row r="774">
      <c r="A774" s="23" t="n">
        <v>3</v>
      </c>
      <c r="B774" s="23" t="n">
        <v>770</v>
      </c>
      <c r="C774" s="23" t="n">
        <v>2770</v>
      </c>
      <c r="D774" s="23" t="inlineStr">
        <is>
          <t>1380602003</t>
        </is>
      </c>
      <c r="E774" s="11" t="inlineStr">
        <is>
          <t>National Capital Region (NCR)</t>
        </is>
      </c>
      <c r="F774" s="11" t="inlineStr">
        <is>
          <t>First District (Not a Province)</t>
        </is>
      </c>
      <c r="G774" s="11" t="inlineStr">
        <is>
          <t>City of Manila</t>
        </is>
      </c>
      <c r="H774" s="11" t="inlineStr">
        <is>
          <t>Barangay 289</t>
        </is>
      </c>
      <c r="I774" s="24" t="n">
        <v>14.598718</v>
      </c>
      <c r="J774" s="24" t="n">
        <v>120.975541</v>
      </c>
      <c r="K774" s="23" t="inlineStr">
        <is>
          <t>U</t>
        </is>
      </c>
      <c r="L774" s="25" t="n">
        <v>1352</v>
      </c>
      <c r="M774" s="26" t="n">
        <v>4.04</v>
      </c>
      <c r="N774" s="25">
        <f>ROUND(L774/M774, 0)</f>
        <v/>
      </c>
      <c r="O774" s="25">
        <f>ROUND(N774*'Methodology &amp; Assumptions'!$B$7, 0)</f>
        <v/>
      </c>
      <c r="P774" s="23" t="inlineStr">
        <is>
          <t>Single Carrier (Band n50, 100MHz TDD)</t>
        </is>
      </c>
      <c r="Q774" s="27">
        <f>ROUNDUP(O774/'Methodology &amp; Assumptions'!$B$8, 0)</f>
        <v/>
      </c>
      <c r="R774" s="27" t="n">
        <v>1</v>
      </c>
      <c r="S774" s="26" t="n">
        <v>1.1</v>
      </c>
      <c r="T774" s="26" t="n">
        <v>0.53</v>
      </c>
      <c r="U774" s="11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26" t="n">
        <v>50.82</v>
      </c>
      <c r="W774" s="26" t="n">
        <v>70.52</v>
      </c>
      <c r="X774" s="26">
        <f>ROUND(('Methodology &amp; Assumptions'!$B$5*V774) + ('Methodology &amp; Assumptions'!$B$6*W774), 2)</f>
        <v/>
      </c>
      <c r="Y774" s="28" t="n">
        <v>10.9</v>
      </c>
      <c r="Z774" s="11" t="inlineStr">
        <is>
          <t>Priority Tier 2 (Balanced Opportunity)</t>
        </is>
      </c>
    </row>
    <row r="775">
      <c r="A775" s="23" t="n">
        <v>3</v>
      </c>
      <c r="B775" s="23" t="n">
        <v>771</v>
      </c>
      <c r="C775" s="23" t="n">
        <v>2771</v>
      </c>
      <c r="D775" s="23" t="inlineStr">
        <is>
          <t>1380601227</t>
        </is>
      </c>
      <c r="E775" s="11" t="inlineStr">
        <is>
          <t>National Capital Region (NCR)</t>
        </is>
      </c>
      <c r="F775" s="11" t="inlineStr">
        <is>
          <t>First District (Not a Province)</t>
        </is>
      </c>
      <c r="G775" s="11" t="inlineStr">
        <is>
          <t>City of Manila</t>
        </is>
      </c>
      <c r="H775" s="11" t="inlineStr">
        <is>
          <t>Barangay 226</t>
        </is>
      </c>
      <c r="I775" s="24" t="n">
        <v>14.618614</v>
      </c>
      <c r="J775" s="24" t="n">
        <v>120.978178</v>
      </c>
      <c r="K775" s="23" t="inlineStr">
        <is>
          <t>U</t>
        </is>
      </c>
      <c r="L775" s="25" t="n">
        <v>1201</v>
      </c>
      <c r="M775" s="26" t="n">
        <v>3.99</v>
      </c>
      <c r="N775" s="25">
        <f>ROUND(L775/M775, 0)</f>
        <v/>
      </c>
      <c r="O775" s="25">
        <f>ROUND(N775*'Methodology &amp; Assumptions'!$B$7, 0)</f>
        <v/>
      </c>
      <c r="P775" s="23" t="inlineStr">
        <is>
          <t>Single Carrier (Band n50, 100MHz TDD)</t>
        </is>
      </c>
      <c r="Q775" s="27">
        <f>ROUNDUP(O775/'Methodology &amp; Assumptions'!$B$8, 0)</f>
        <v/>
      </c>
      <c r="R775" s="27" t="n">
        <v>1</v>
      </c>
      <c r="S775" s="26" t="n">
        <v>0.5600000000000001</v>
      </c>
      <c r="T775" s="26" t="n">
        <v>0.12</v>
      </c>
      <c r="U775" s="11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26" t="n">
        <v>50.73</v>
      </c>
      <c r="W775" s="26" t="n">
        <v>70.59999999999999</v>
      </c>
      <c r="X775" s="26">
        <f>ROUND(('Methodology &amp; Assumptions'!$B$5*V775) + ('Methodology &amp; Assumptions'!$B$6*W775), 2)</f>
        <v/>
      </c>
      <c r="Y775" s="28" t="n">
        <v>10.9</v>
      </c>
      <c r="Z775" s="11" t="inlineStr">
        <is>
          <t>Priority Tier 2 (Balanced Opportunity)</t>
        </is>
      </c>
    </row>
    <row r="776">
      <c r="A776" s="23" t="n">
        <v>3</v>
      </c>
      <c r="B776" s="23" t="n">
        <v>772</v>
      </c>
      <c r="C776" s="23" t="n">
        <v>2772</v>
      </c>
      <c r="D776" s="23" t="inlineStr">
        <is>
          <t>1380601168</t>
        </is>
      </c>
      <c r="E776" s="11" t="inlineStr">
        <is>
          <t>National Capital Region (NCR)</t>
        </is>
      </c>
      <c r="F776" s="11" t="inlineStr">
        <is>
          <t>First District (Not a Province)</t>
        </is>
      </c>
      <c r="G776" s="11" t="inlineStr">
        <is>
          <t>City of Manila</t>
        </is>
      </c>
      <c r="H776" s="11" t="inlineStr">
        <is>
          <t>Barangay 168</t>
        </is>
      </c>
      <c r="I776" s="24" t="n">
        <v>14.626239</v>
      </c>
      <c r="J776" s="24" t="n">
        <v>120.970617</v>
      </c>
      <c r="K776" s="23" t="inlineStr">
        <is>
          <t>U</t>
        </is>
      </c>
      <c r="L776" s="25" t="n">
        <v>1154</v>
      </c>
      <c r="M776" s="26" t="n">
        <v>4.15</v>
      </c>
      <c r="N776" s="25">
        <f>ROUND(L776/M776, 0)</f>
        <v/>
      </c>
      <c r="O776" s="25">
        <f>ROUND(N776*'Methodology &amp; Assumptions'!$B$7, 0)</f>
        <v/>
      </c>
      <c r="P776" s="23" t="inlineStr">
        <is>
          <t>Single Carrier (Band n50, 100MHz TDD)</t>
        </is>
      </c>
      <c r="Q776" s="27">
        <f>ROUNDUP(O776/'Methodology &amp; Assumptions'!$B$8, 0)</f>
        <v/>
      </c>
      <c r="R776" s="27" t="n">
        <v>1</v>
      </c>
      <c r="S776" s="26" t="n">
        <v>0.3</v>
      </c>
      <c r="T776" s="26" t="n">
        <v>0.27</v>
      </c>
      <c r="U776" s="11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26" t="n">
        <v>49.98</v>
      </c>
      <c r="W776" s="26" t="n">
        <v>71.34999999999999</v>
      </c>
      <c r="X776" s="26">
        <f>ROUND(('Methodology &amp; Assumptions'!$B$5*V776) + ('Methodology &amp; Assumptions'!$B$6*W776), 2)</f>
        <v/>
      </c>
      <c r="Y776" s="28" t="n">
        <v>10.9</v>
      </c>
      <c r="Z776" s="11" t="inlineStr">
        <is>
          <t>Priority Tier 2 (Balanced Opportunity)</t>
        </is>
      </c>
    </row>
    <row r="777">
      <c r="A777" s="23" t="n">
        <v>3</v>
      </c>
      <c r="B777" s="23" t="n">
        <v>773</v>
      </c>
      <c r="C777" s="23" t="n">
        <v>2773</v>
      </c>
      <c r="D777" s="23" t="inlineStr">
        <is>
          <t>1900707025</t>
        </is>
      </c>
      <c r="E777" s="11" t="inlineStr">
        <is>
          <t>Bangsamoro Autonomous Region In Muslim Mindanao (BARMM)</t>
        </is>
      </c>
      <c r="F777" s="11" t="inlineStr">
        <is>
          <t>Basilan</t>
        </is>
      </c>
      <c r="G777" s="11" t="inlineStr">
        <is>
          <t>Tuburan</t>
        </is>
      </c>
      <c r="H777" s="11" t="inlineStr">
        <is>
          <t>Mahawid</t>
        </is>
      </c>
      <c r="I777" s="24" t="n">
        <v>6.616409</v>
      </c>
      <c r="J777" s="24" t="n">
        <v>122.282402</v>
      </c>
      <c r="K777" s="23" t="inlineStr">
        <is>
          <t>R</t>
        </is>
      </c>
      <c r="L777" s="25" t="n">
        <v>2719</v>
      </c>
      <c r="M777" s="26" t="n">
        <v>5.1</v>
      </c>
      <c r="N777" s="25">
        <f>ROUND(L777/M777, 0)</f>
        <v/>
      </c>
      <c r="O777" s="25">
        <f>ROUND(N777*'Methodology &amp; Assumptions'!$B$7, 0)</f>
        <v/>
      </c>
      <c r="P777" s="23" t="inlineStr">
        <is>
          <t>Single Carrier (Band n50, 100MHz TDD)</t>
        </is>
      </c>
      <c r="Q777" s="27">
        <f>ROUNDUP(O777/'Methodology &amp; Assumptions'!$B$8, 0)</f>
        <v/>
      </c>
      <c r="R777" s="27" t="n">
        <v>1</v>
      </c>
      <c r="S777" s="26" t="n">
        <v>39.99</v>
      </c>
      <c r="T777" s="26" t="n">
        <v>39.92</v>
      </c>
      <c r="U777" s="11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26" t="n">
        <v>48.19</v>
      </c>
      <c r="W777" s="26" t="n">
        <v>73.16</v>
      </c>
      <c r="X777" s="26">
        <f>ROUND(('Methodology &amp; Assumptions'!$B$5*V777) + ('Methodology &amp; Assumptions'!$B$6*W777), 2)</f>
        <v/>
      </c>
      <c r="Y777" s="28" t="n">
        <v>11</v>
      </c>
      <c r="Z777" s="11" t="inlineStr">
        <is>
          <t>Priority Tier 2 (Balanced Opportunity)</t>
        </is>
      </c>
    </row>
    <row r="778">
      <c r="A778" s="23" t="n">
        <v>3</v>
      </c>
      <c r="B778" s="23" t="n">
        <v>774</v>
      </c>
      <c r="C778" s="23" t="n">
        <v>2774</v>
      </c>
      <c r="D778" s="23" t="inlineStr">
        <is>
          <t>0105522028</t>
        </is>
      </c>
      <c r="E778" s="11" t="inlineStr">
        <is>
          <t>Region I (Ilocos Region)</t>
        </is>
      </c>
      <c r="F778" s="11" t="inlineStr">
        <is>
          <t>Pangasinan</t>
        </is>
      </c>
      <c r="G778" s="11" t="inlineStr">
        <is>
          <t>Lingayen</t>
        </is>
      </c>
      <c r="H778" s="11" t="inlineStr">
        <is>
          <t>Poblacion</t>
        </is>
      </c>
      <c r="I778" s="24" t="n">
        <v>16.031187</v>
      </c>
      <c r="J778" s="24" t="n">
        <v>120.230837</v>
      </c>
      <c r="K778" s="23" t="inlineStr">
        <is>
          <t>U</t>
        </is>
      </c>
      <c r="L778" s="25" t="n">
        <v>12958</v>
      </c>
      <c r="M778" s="26" t="n">
        <v>3.6</v>
      </c>
      <c r="N778" s="25">
        <f>ROUND(L778/M778, 0)</f>
        <v/>
      </c>
      <c r="O778" s="25">
        <f>ROUND(N778*'Methodology &amp; Assumptions'!$B$7, 0)</f>
        <v/>
      </c>
      <c r="P778" s="23" t="inlineStr">
        <is>
          <t>Single Carrier (Band n50, 100MHz TDD)</t>
        </is>
      </c>
      <c r="Q778" s="27">
        <f>ROUNDUP(O778/'Methodology &amp; Assumptions'!$B$8, 0)</f>
        <v/>
      </c>
      <c r="R778" s="27" t="n">
        <v>1</v>
      </c>
      <c r="S778" s="26" t="n">
        <v>0.93</v>
      </c>
      <c r="T778" s="26" t="n">
        <v>0.93</v>
      </c>
      <c r="U778" s="11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26" t="n">
        <v>78.08</v>
      </c>
      <c r="W778" s="26" t="n">
        <v>43.24</v>
      </c>
      <c r="X778" s="26">
        <f>ROUND(('Methodology &amp; Assumptions'!$B$5*V778) + ('Methodology &amp; Assumptions'!$B$6*W778), 2)</f>
        <v/>
      </c>
      <c r="Y778" s="28" t="n">
        <v>8.300000000000001</v>
      </c>
      <c r="Z778" s="11" t="inlineStr">
        <is>
          <t>Priority Tier 2 (Balanced Opportunity)</t>
        </is>
      </c>
    </row>
    <row r="779">
      <c r="A779" s="23" t="n">
        <v>3</v>
      </c>
      <c r="B779" s="23" t="n">
        <v>775</v>
      </c>
      <c r="C779" s="23" t="n">
        <v>2775</v>
      </c>
      <c r="D779" s="23" t="inlineStr">
        <is>
          <t>0201529045</t>
        </is>
      </c>
      <c r="E779" s="11" t="inlineStr">
        <is>
          <t>Region II (Cagayan Valley)</t>
        </is>
      </c>
      <c r="F779" s="11" t="inlineStr">
        <is>
          <t>Cagayan</t>
        </is>
      </c>
      <c r="G779" s="11" t="inlineStr">
        <is>
          <t>Tuguegarao City</t>
        </is>
      </c>
      <c r="H779" s="11" t="inlineStr">
        <is>
          <t>Libag Sur</t>
        </is>
      </c>
      <c r="I779" s="24" t="n">
        <v>17.607368</v>
      </c>
      <c r="J779" s="24" t="n">
        <v>121.773682</v>
      </c>
      <c r="K779" s="23" t="inlineStr">
        <is>
          <t>R</t>
        </is>
      </c>
      <c r="L779" s="25" t="n">
        <v>3001</v>
      </c>
      <c r="M779" s="26" t="n">
        <v>3.9</v>
      </c>
      <c r="N779" s="25">
        <f>ROUND(L779/M779, 0)</f>
        <v/>
      </c>
      <c r="O779" s="25">
        <f>ROUND(N779*'Methodology &amp; Assumptions'!$B$7, 0)</f>
        <v/>
      </c>
      <c r="P779" s="23" t="inlineStr">
        <is>
          <t>Single Carrier (Band n50, 100MHz TDD)</t>
        </is>
      </c>
      <c r="Q779" s="27">
        <f>ROUNDUP(O779/'Methodology &amp; Assumptions'!$B$8, 0)</f>
        <v/>
      </c>
      <c r="R779" s="27" t="n">
        <v>1</v>
      </c>
      <c r="S779" s="26" t="n">
        <v>5.64</v>
      </c>
      <c r="T779" s="26" t="n">
        <v>1.94</v>
      </c>
      <c r="U779" s="11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26" t="n">
        <v>71.54000000000001</v>
      </c>
      <c r="W779" s="26" t="n">
        <v>49.78</v>
      </c>
      <c r="X779" s="26">
        <f>ROUND(('Methodology &amp; Assumptions'!$B$5*V779) + ('Methodology &amp; Assumptions'!$B$6*W779), 2)</f>
        <v/>
      </c>
      <c r="Y779" s="28" t="n">
        <v>8.300000000000001</v>
      </c>
      <c r="Z779" s="11" t="inlineStr">
        <is>
          <t>Priority Tier 2 (Balanced Opportunity)</t>
        </is>
      </c>
    </row>
    <row r="780">
      <c r="A780" s="23" t="n">
        <v>3</v>
      </c>
      <c r="B780" s="23" t="n">
        <v>776</v>
      </c>
      <c r="C780" s="23" t="n">
        <v>2776</v>
      </c>
      <c r="D780" s="23" t="inlineStr">
        <is>
          <t>1380605021</t>
        </is>
      </c>
      <c r="E780" s="11" t="inlineStr">
        <is>
          <t>National Capital Region (NCR)</t>
        </is>
      </c>
      <c r="F780" s="11" t="inlineStr">
        <is>
          <t>First District (Not a Province)</t>
        </is>
      </c>
      <c r="G780" s="11" t="inlineStr">
        <is>
          <t>City of Manila</t>
        </is>
      </c>
      <c r="H780" s="11" t="inlineStr">
        <is>
          <t>Barangay 319</t>
        </is>
      </c>
      <c r="I780" s="24" t="n">
        <v>14.610129</v>
      </c>
      <c r="J780" s="24" t="n">
        <v>120.985484</v>
      </c>
      <c r="K780" s="23" t="inlineStr">
        <is>
          <t>U</t>
        </is>
      </c>
      <c r="L780" s="25" t="n">
        <v>1358</v>
      </c>
      <c r="M780" s="26" t="n">
        <v>4.38</v>
      </c>
      <c r="N780" s="25">
        <f>ROUND(L780/M780, 0)</f>
        <v/>
      </c>
      <c r="O780" s="25">
        <f>ROUND(N780*'Methodology &amp; Assumptions'!$B$7, 0)</f>
        <v/>
      </c>
      <c r="P780" s="23" t="inlineStr">
        <is>
          <t>Single Carrier (Band n50, 100MHz TDD)</t>
        </is>
      </c>
      <c r="Q780" s="27">
        <f>ROUNDUP(O780/'Methodology &amp; Assumptions'!$B$8, 0)</f>
        <v/>
      </c>
      <c r="R780" s="27" t="n">
        <v>1</v>
      </c>
      <c r="S780" s="26" t="n">
        <v>0.76</v>
      </c>
      <c r="T780" s="26" t="n">
        <v>0.22</v>
      </c>
      <c r="U780" s="11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26" t="n">
        <v>51.05</v>
      </c>
      <c r="W780" s="26" t="n">
        <v>70.26000000000001</v>
      </c>
      <c r="X780" s="26">
        <f>ROUND(('Methodology &amp; Assumptions'!$B$5*V780) + ('Methodology &amp; Assumptions'!$B$6*W780), 2)</f>
        <v/>
      </c>
      <c r="Y780" s="28" t="n">
        <v>10.9</v>
      </c>
      <c r="Z780" s="11" t="inlineStr">
        <is>
          <t>Priority Tier 2 (Balanced Opportunity)</t>
        </is>
      </c>
    </row>
    <row r="781">
      <c r="A781" s="23" t="n">
        <v>3</v>
      </c>
      <c r="B781" s="23" t="n">
        <v>777</v>
      </c>
      <c r="C781" s="23" t="n">
        <v>2777</v>
      </c>
      <c r="D781" s="23" t="inlineStr">
        <is>
          <t>0102917008</t>
        </is>
      </c>
      <c r="E781" s="11" t="inlineStr">
        <is>
          <t>Region I (Ilocos Region)</t>
        </is>
      </c>
      <c r="F781" s="11" t="inlineStr">
        <is>
          <t>Ilocos Sur</t>
        </is>
      </c>
      <c r="G781" s="11" t="inlineStr">
        <is>
          <t>San Emilio</t>
        </is>
      </c>
      <c r="H781" s="11" t="inlineStr">
        <is>
          <t>San Miliano</t>
        </is>
      </c>
      <c r="I781" s="24" t="n">
        <v>17.204337</v>
      </c>
      <c r="J781" s="24" t="n">
        <v>120.556692</v>
      </c>
      <c r="K781" s="23" t="inlineStr">
        <is>
          <t>R</t>
        </is>
      </c>
      <c r="L781" s="25" t="n">
        <v>689</v>
      </c>
      <c r="M781" s="26" t="n">
        <v>3.8</v>
      </c>
      <c r="N781" s="25">
        <f>ROUND(L781/M781, 0)</f>
        <v/>
      </c>
      <c r="O781" s="25">
        <f>ROUND(N781*'Methodology &amp; Assumptions'!$B$7, 0)</f>
        <v/>
      </c>
      <c r="P781" s="23" t="inlineStr">
        <is>
          <t>Single Carrier (Band n50, 100MHz TDD)</t>
        </is>
      </c>
      <c r="Q781" s="27">
        <f>ROUNDUP(O781/'Methodology &amp; Assumptions'!$B$8, 0)</f>
        <v/>
      </c>
      <c r="R781" s="27" t="n">
        <v>1</v>
      </c>
      <c r="S781" s="26" t="n">
        <v>6.29</v>
      </c>
      <c r="T781" s="26" t="n">
        <v>3.62</v>
      </c>
      <c r="U781" s="11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26" t="n">
        <v>47.94</v>
      </c>
      <c r="W781" s="26" t="n">
        <v>73.37</v>
      </c>
      <c r="X781" s="26">
        <f>ROUND(('Methodology &amp; Assumptions'!$B$5*V781) + ('Methodology &amp; Assumptions'!$B$6*W781), 2)</f>
        <v/>
      </c>
      <c r="Y781" s="28" t="n">
        <v>8.300000000000001</v>
      </c>
      <c r="Z781" s="11" t="inlineStr">
        <is>
          <t>Priority Tier 2 (Balanced Opportunity)</t>
        </is>
      </c>
    </row>
    <row r="782">
      <c r="A782" s="23" t="n">
        <v>3</v>
      </c>
      <c r="B782" s="23" t="n">
        <v>778</v>
      </c>
      <c r="C782" s="23" t="n">
        <v>2778</v>
      </c>
      <c r="D782" s="23" t="inlineStr">
        <is>
          <t>0501711033</t>
        </is>
      </c>
      <c r="E782" s="11" t="inlineStr">
        <is>
          <t>Region V (Bicol Region)</t>
        </is>
      </c>
      <c r="F782" s="11" t="inlineStr">
        <is>
          <t>Camarines Sur</t>
        </is>
      </c>
      <c r="G782" s="11" t="inlineStr">
        <is>
          <t>Caramoan</t>
        </is>
      </c>
      <c r="H782" s="11" t="inlineStr">
        <is>
          <t>Pagolinan</t>
        </is>
      </c>
      <c r="I782" s="24" t="n">
        <v>13.716104</v>
      </c>
      <c r="J782" s="24" t="n">
        <v>123.851424</v>
      </c>
      <c r="K782" s="23" t="inlineStr">
        <is>
          <t>R</t>
        </is>
      </c>
      <c r="L782" s="25" t="n">
        <v>467</v>
      </c>
      <c r="M782" s="26" t="n">
        <v>4.2</v>
      </c>
      <c r="N782" s="25">
        <f>ROUND(L782/M782, 0)</f>
        <v/>
      </c>
      <c r="O782" s="25">
        <f>ROUND(N782*'Methodology &amp; Assumptions'!$B$7, 0)</f>
        <v/>
      </c>
      <c r="P782" s="23" t="inlineStr">
        <is>
          <t>Single Carrier (Band n50, 100MHz TDD)</t>
        </is>
      </c>
      <c r="Q782" s="27">
        <f>ROUNDUP(O782/'Methodology &amp; Assumptions'!$B$8, 0)</f>
        <v/>
      </c>
      <c r="R782" s="27" t="n">
        <v>1</v>
      </c>
      <c r="S782" s="26" t="n">
        <v>6.6</v>
      </c>
      <c r="T782" s="26" t="n">
        <v>33.88</v>
      </c>
      <c r="U782" s="11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26" t="n">
        <v>47.46</v>
      </c>
      <c r="W782" s="26" t="n">
        <v>73.84999999999999</v>
      </c>
      <c r="X782" s="26">
        <f>ROUND(('Methodology &amp; Assumptions'!$B$5*V782) + ('Methodology &amp; Assumptions'!$B$6*W782), 2)</f>
        <v/>
      </c>
      <c r="Y782" s="28" t="n">
        <v>23.7</v>
      </c>
      <c r="Z782" s="11" t="inlineStr">
        <is>
          <t>Priority Tier 2 (Balanced Opportunity)</t>
        </is>
      </c>
    </row>
    <row r="783">
      <c r="A783" s="23" t="n">
        <v>3</v>
      </c>
      <c r="B783" s="23" t="n">
        <v>779</v>
      </c>
      <c r="C783" s="23" t="n">
        <v>2779</v>
      </c>
      <c r="D783" s="23" t="inlineStr">
        <is>
          <t>0205010023</t>
        </is>
      </c>
      <c r="E783" s="11" t="inlineStr">
        <is>
          <t>Region II (Cagayan Valley)</t>
        </is>
      </c>
      <c r="F783" s="11" t="inlineStr">
        <is>
          <t>Nueva Vizcaya</t>
        </is>
      </c>
      <c r="G783" s="11" t="inlineStr">
        <is>
          <t>Kayapa</t>
        </is>
      </c>
      <c r="H783" s="11" t="inlineStr">
        <is>
          <t>Alang Salacsac</t>
        </is>
      </c>
      <c r="I783" s="24" t="n">
        <v>16.257043</v>
      </c>
      <c r="J783" s="24" t="n">
        <v>120.878603</v>
      </c>
      <c r="K783" s="23" t="inlineStr">
        <is>
          <t>R</t>
        </is>
      </c>
      <c r="L783" s="25" t="n">
        <v>701</v>
      </c>
      <c r="M783" s="26" t="n">
        <v>3.8</v>
      </c>
      <c r="N783" s="25">
        <f>ROUND(L783/M783, 0)</f>
        <v/>
      </c>
      <c r="O783" s="25">
        <f>ROUND(N783*'Methodology &amp; Assumptions'!$B$7, 0)</f>
        <v/>
      </c>
      <c r="P783" s="23" t="inlineStr">
        <is>
          <t>Single Carrier (Band n50, 100MHz TDD)</t>
        </is>
      </c>
      <c r="Q783" s="27">
        <f>ROUNDUP(O783/'Methodology &amp; Assumptions'!$B$8, 0)</f>
        <v/>
      </c>
      <c r="R783" s="27" t="n">
        <v>1</v>
      </c>
      <c r="S783" s="26" t="n">
        <v>9.85</v>
      </c>
      <c r="T783" s="26" t="n">
        <v>9.279999999999999</v>
      </c>
      <c r="U783" s="11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26" t="n">
        <v>44.61</v>
      </c>
      <c r="W783" s="26" t="n">
        <v>76.70999999999999</v>
      </c>
      <c r="X783" s="26">
        <f>ROUND(('Methodology &amp; Assumptions'!$B$5*V783) + ('Methodology &amp; Assumptions'!$B$6*W783), 2)</f>
        <v/>
      </c>
      <c r="Y783" s="28" t="n">
        <v>8.300000000000001</v>
      </c>
      <c r="Z783" s="11" t="inlineStr">
        <is>
          <t>Priority Tier 2 (Balanced Opportunity)</t>
        </is>
      </c>
    </row>
    <row r="784">
      <c r="A784" s="23" t="n">
        <v>3</v>
      </c>
      <c r="B784" s="23" t="n">
        <v>780</v>
      </c>
      <c r="C784" s="23" t="n">
        <v>2780</v>
      </c>
      <c r="D784" s="23" t="inlineStr">
        <is>
          <t>0301418011</t>
        </is>
      </c>
      <c r="E784" s="11" t="inlineStr">
        <is>
          <t>Region III (Central Luzon)</t>
        </is>
      </c>
      <c r="F784" s="11" t="inlineStr">
        <is>
          <t>Bulacan</t>
        </is>
      </c>
      <c r="G784" s="11" t="inlineStr">
        <is>
          <t>Pulilan</t>
        </is>
      </c>
      <c r="H784" s="11" t="inlineStr">
        <is>
          <t>Lumbac</t>
        </is>
      </c>
      <c r="I784" s="24" t="n">
        <v>14.901763</v>
      </c>
      <c r="J784" s="24" t="n">
        <v>120.841743</v>
      </c>
      <c r="K784" s="23" t="inlineStr">
        <is>
          <t>R</t>
        </is>
      </c>
      <c r="L784" s="25" t="n">
        <v>4982</v>
      </c>
      <c r="M784" s="26" t="n">
        <v>3.5</v>
      </c>
      <c r="N784" s="25">
        <f>ROUND(L784/M784, 0)</f>
        <v/>
      </c>
      <c r="O784" s="25">
        <f>ROUND(N784*'Methodology &amp; Assumptions'!$B$7, 0)</f>
        <v/>
      </c>
      <c r="P784" s="23" t="inlineStr">
        <is>
          <t>Single Carrier (Band n50, 100MHz TDD)</t>
        </is>
      </c>
      <c r="Q784" s="27">
        <f>ROUNDUP(O784/'Methodology &amp; Assumptions'!$B$8, 0)</f>
        <v/>
      </c>
      <c r="R784" s="27" t="n">
        <v>1</v>
      </c>
      <c r="S784" s="26" t="n">
        <v>0.96</v>
      </c>
      <c r="T784" s="26" t="n">
        <v>0.07000000000000001</v>
      </c>
      <c r="U784" s="11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26" t="n">
        <v>85.19</v>
      </c>
      <c r="W784" s="26" t="n">
        <v>36.11</v>
      </c>
      <c r="X784" s="26">
        <f>ROUND(('Methodology &amp; Assumptions'!$B$5*V784) + ('Methodology &amp; Assumptions'!$B$6*W784), 2)</f>
        <v/>
      </c>
      <c r="Y784" s="28" t="n">
        <v>8.300000000000001</v>
      </c>
      <c r="Z784" s="11" t="inlineStr">
        <is>
          <t>Priority Tier 2 (Balanced Opportunity)</t>
        </is>
      </c>
    </row>
    <row r="785">
      <c r="A785" s="23" t="n">
        <v>3</v>
      </c>
      <c r="B785" s="23" t="n">
        <v>781</v>
      </c>
      <c r="C785" s="23" t="n">
        <v>2781</v>
      </c>
      <c r="D785" s="23" t="inlineStr">
        <is>
          <t>0402108007</t>
        </is>
      </c>
      <c r="E785" s="11" t="inlineStr">
        <is>
          <t>Region IV-A (CALABARZON)</t>
        </is>
      </c>
      <c r="F785" s="11" t="inlineStr">
        <is>
          <t>Cavite</t>
        </is>
      </c>
      <c r="G785" s="11" t="inlineStr">
        <is>
          <t>City of General Trias</t>
        </is>
      </c>
      <c r="H785" s="11" t="inlineStr">
        <is>
          <t>Bagumbayan Pob.</t>
        </is>
      </c>
      <c r="I785" s="24" t="n">
        <v>14.386414</v>
      </c>
      <c r="J785" s="24" t="n">
        <v>120.881239</v>
      </c>
      <c r="K785" s="23" t="inlineStr">
        <is>
          <t>R</t>
        </is>
      </c>
      <c r="L785" s="25" t="n">
        <v>893</v>
      </c>
      <c r="M785" s="26" t="n">
        <v>3.4</v>
      </c>
      <c r="N785" s="25">
        <f>ROUND(L785/M785, 0)</f>
        <v/>
      </c>
      <c r="O785" s="25">
        <f>ROUND(N785*'Methodology &amp; Assumptions'!$B$7, 0)</f>
        <v/>
      </c>
      <c r="P785" s="23" t="inlineStr">
        <is>
          <t>Single Carrier (Band n50, 100MHz TDD)</t>
        </is>
      </c>
      <c r="Q785" s="27">
        <f>ROUNDUP(O785/'Methodology &amp; Assumptions'!$B$8, 0)</f>
        <v/>
      </c>
      <c r="R785" s="27" t="n">
        <v>1</v>
      </c>
      <c r="S785" s="26" t="n">
        <v>1.64</v>
      </c>
      <c r="T785" s="26" t="n">
        <v>1.86</v>
      </c>
      <c r="U785" s="11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26" t="n">
        <v>64.45</v>
      </c>
      <c r="W785" s="26" t="n">
        <v>56.84</v>
      </c>
      <c r="X785" s="26">
        <f>ROUND(('Methodology &amp; Assumptions'!$B$5*V785) + ('Methodology &amp; Assumptions'!$B$6*W785), 2)</f>
        <v/>
      </c>
      <c r="Y785" s="28" t="n">
        <v>7.2</v>
      </c>
      <c r="Z785" s="11" t="inlineStr">
        <is>
          <t>Priority Tier 2 (Balanced Opportunity)</t>
        </is>
      </c>
    </row>
    <row r="786">
      <c r="A786" s="23" t="n">
        <v>3</v>
      </c>
      <c r="B786" s="23" t="n">
        <v>782</v>
      </c>
      <c r="C786" s="23" t="n">
        <v>2782</v>
      </c>
      <c r="D786" s="23" t="inlineStr">
        <is>
          <t>0601909009</t>
        </is>
      </c>
      <c r="E786" s="11" t="inlineStr">
        <is>
          <t>Region VI (Western Visayas)</t>
        </is>
      </c>
      <c r="F786" s="11" t="inlineStr">
        <is>
          <t>Capiz</t>
        </is>
      </c>
      <c r="G786" s="11" t="inlineStr">
        <is>
          <t>Panay</t>
        </is>
      </c>
      <c r="H786" s="11" t="inlineStr">
        <is>
          <t>Bantique</t>
        </is>
      </c>
      <c r="I786" s="24" t="n">
        <v>11.4964</v>
      </c>
      <c r="J786" s="24" t="n">
        <v>122.881406</v>
      </c>
      <c r="K786" s="23" t="inlineStr">
        <is>
          <t>R</t>
        </is>
      </c>
      <c r="L786" s="25" t="n">
        <v>1408</v>
      </c>
      <c r="M786" s="26" t="n">
        <v>3.8</v>
      </c>
      <c r="N786" s="25">
        <f>ROUND(L786/M786, 0)</f>
        <v/>
      </c>
      <c r="O786" s="25">
        <f>ROUND(N786*'Methodology &amp; Assumptions'!$B$7, 0)</f>
        <v/>
      </c>
      <c r="P786" s="23" t="inlineStr">
        <is>
          <t>Single Carrier (Band n50, 100MHz TDD)</t>
        </is>
      </c>
      <c r="Q786" s="27">
        <f>ROUNDUP(O786/'Methodology &amp; Assumptions'!$B$8, 0)</f>
        <v/>
      </c>
      <c r="R786" s="27" t="n">
        <v>1</v>
      </c>
      <c r="S786" s="26" t="n">
        <v>5.57</v>
      </c>
      <c r="T786" s="26" t="n">
        <v>5.41</v>
      </c>
      <c r="U786" s="11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26" t="n">
        <v>56.81</v>
      </c>
      <c r="W786" s="26" t="n">
        <v>64.48</v>
      </c>
      <c r="X786" s="26">
        <f>ROUND(('Methodology &amp; Assumptions'!$B$5*V786) + ('Methodology &amp; Assumptions'!$B$6*W786), 2)</f>
        <v/>
      </c>
      <c r="Y786" s="28" t="n">
        <v>23.7</v>
      </c>
      <c r="Z786" s="11" t="inlineStr">
        <is>
          <t>Priority Tier 2 (Balanced Opportunity)</t>
        </is>
      </c>
    </row>
    <row r="787">
      <c r="A787" s="23" t="n">
        <v>3</v>
      </c>
      <c r="B787" s="23" t="n">
        <v>783</v>
      </c>
      <c r="C787" s="23" t="n">
        <v>2783</v>
      </c>
      <c r="D787" s="23" t="inlineStr">
        <is>
          <t>1108204020</t>
        </is>
      </c>
      <c r="E787" s="11" t="inlineStr">
        <is>
          <t>Region XI (Davao Region)</t>
        </is>
      </c>
      <c r="F787" s="11" t="inlineStr">
        <is>
          <t>Davao de Oro</t>
        </is>
      </c>
      <c r="G787" s="11" t="inlineStr">
        <is>
          <t>Maco</t>
        </is>
      </c>
      <c r="H787" s="11" t="inlineStr">
        <is>
          <t>Manipongol</t>
        </is>
      </c>
      <c r="I787" s="24" t="n">
        <v>7.366287</v>
      </c>
      <c r="J787" s="24" t="n">
        <v>125.904311</v>
      </c>
      <c r="K787" s="23" t="inlineStr">
        <is>
          <t>R</t>
        </is>
      </c>
      <c r="L787" s="25" t="n">
        <v>590</v>
      </c>
      <c r="M787" s="26" t="n">
        <v>3.7</v>
      </c>
      <c r="N787" s="25">
        <f>ROUND(L787/M787, 0)</f>
        <v/>
      </c>
      <c r="O787" s="25">
        <f>ROUND(N787*'Methodology &amp; Assumptions'!$B$7, 0)</f>
        <v/>
      </c>
      <c r="P787" s="23" t="inlineStr">
        <is>
          <t>Single Carrier (Band n50, 100MHz TDD)</t>
        </is>
      </c>
      <c r="Q787" s="27">
        <f>ROUNDUP(O787/'Methodology &amp; Assumptions'!$B$8, 0)</f>
        <v/>
      </c>
      <c r="R787" s="27" t="n">
        <v>1</v>
      </c>
      <c r="S787" s="26" t="n">
        <v>5.43</v>
      </c>
      <c r="T787" s="26" t="n">
        <v>5.42</v>
      </c>
      <c r="U787" s="11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26" t="n">
        <v>49.78</v>
      </c>
      <c r="W787" s="26" t="n">
        <v>71.51000000000001</v>
      </c>
      <c r="X787" s="26">
        <f>ROUND(('Methodology &amp; Assumptions'!$B$5*V787) + ('Methodology &amp; Assumptions'!$B$6*W787), 2)</f>
        <v/>
      </c>
      <c r="Y787" s="28" t="n">
        <v>17.4</v>
      </c>
      <c r="Z787" s="11" t="inlineStr">
        <is>
          <t>Priority Tier 2 (Balanced Opportunity)</t>
        </is>
      </c>
    </row>
    <row r="788">
      <c r="A788" s="23" t="n">
        <v>3</v>
      </c>
      <c r="B788" s="23" t="n">
        <v>784</v>
      </c>
      <c r="C788" s="23" t="n">
        <v>2784</v>
      </c>
      <c r="D788" s="23" t="inlineStr">
        <is>
          <t>0603032022</t>
        </is>
      </c>
      <c r="E788" s="11" t="inlineStr">
        <is>
          <t>Region VI (Western Visayas)</t>
        </is>
      </c>
      <c r="F788" s="11" t="inlineStr">
        <is>
          <t>Iloilo</t>
        </is>
      </c>
      <c r="G788" s="11" t="inlineStr">
        <is>
          <t>New Lucena</t>
        </is>
      </c>
      <c r="H788" s="11" t="inlineStr">
        <is>
          <t>Poblacion</t>
        </is>
      </c>
      <c r="I788" s="24" t="n">
        <v>10.875176</v>
      </c>
      <c r="J788" s="24" t="n">
        <v>122.597136</v>
      </c>
      <c r="K788" s="23" t="inlineStr">
        <is>
          <t>R</t>
        </is>
      </c>
      <c r="L788" s="25" t="n">
        <v>3184</v>
      </c>
      <c r="M788" s="26" t="n">
        <v>3.8</v>
      </c>
      <c r="N788" s="25">
        <f>ROUND(L788/M788, 0)</f>
        <v/>
      </c>
      <c r="O788" s="25">
        <f>ROUND(N788*'Methodology &amp; Assumptions'!$B$7, 0)</f>
        <v/>
      </c>
      <c r="P788" s="23" t="inlineStr">
        <is>
          <t>Single Carrier (Band n50, 100MHz TDD)</t>
        </is>
      </c>
      <c r="Q788" s="27">
        <f>ROUNDUP(O788/'Methodology &amp; Assumptions'!$B$8, 0)</f>
        <v/>
      </c>
      <c r="R788" s="27" t="n">
        <v>1</v>
      </c>
      <c r="S788" s="26" t="n">
        <v>0.4</v>
      </c>
      <c r="T788" s="26" t="n">
        <v>1.55</v>
      </c>
      <c r="U788" s="11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26" t="n">
        <v>89.53</v>
      </c>
      <c r="W788" s="26" t="n">
        <v>31.76</v>
      </c>
      <c r="X788" s="26">
        <f>ROUND(('Methodology &amp; Assumptions'!$B$5*V788) + ('Methodology &amp; Assumptions'!$B$6*W788), 2)</f>
        <v/>
      </c>
      <c r="Y788" s="28" t="n">
        <v>23.7</v>
      </c>
      <c r="Z788" s="11" t="inlineStr">
        <is>
          <t>Priority Tier 2 (Balanced Opportunity)</t>
        </is>
      </c>
    </row>
    <row r="789">
      <c r="A789" s="23" t="n">
        <v>3</v>
      </c>
      <c r="B789" s="23" t="n">
        <v>785</v>
      </c>
      <c r="C789" s="23" t="n">
        <v>2785</v>
      </c>
      <c r="D789" s="23" t="inlineStr">
        <is>
          <t>0301405016</t>
        </is>
      </c>
      <c r="E789" s="11" t="inlineStr">
        <is>
          <t>Region III (Central Luzon)</t>
        </is>
      </c>
      <c r="F789" s="11" t="inlineStr">
        <is>
          <t>Bulacan</t>
        </is>
      </c>
      <c r="G789" s="11" t="inlineStr">
        <is>
          <t>Bulacan</t>
        </is>
      </c>
      <c r="H789" s="11" t="inlineStr">
        <is>
          <t>Tibig</t>
        </is>
      </c>
      <c r="I789" s="24" t="n">
        <v>14.798688</v>
      </c>
      <c r="J789" s="24" t="n">
        <v>120.871458</v>
      </c>
      <c r="K789" s="23" t="inlineStr">
        <is>
          <t>R</t>
        </is>
      </c>
      <c r="L789" s="25" t="n">
        <v>3318</v>
      </c>
      <c r="M789" s="26" t="n">
        <v>3.5</v>
      </c>
      <c r="N789" s="25">
        <f>ROUND(L789/M789, 0)</f>
        <v/>
      </c>
      <c r="O789" s="25">
        <f>ROUND(N789*'Methodology &amp; Assumptions'!$B$7, 0)</f>
        <v/>
      </c>
      <c r="P789" s="23" t="inlineStr">
        <is>
          <t>Single Carrier (Band n50, 100MHz TDD)</t>
        </is>
      </c>
      <c r="Q789" s="27">
        <f>ROUNDUP(O789/'Methodology &amp; Assumptions'!$B$8, 0)</f>
        <v/>
      </c>
      <c r="R789" s="27" t="n">
        <v>1</v>
      </c>
      <c r="S789" s="26" t="n">
        <v>0.76</v>
      </c>
      <c r="T789" s="26" t="n">
        <v>3.3</v>
      </c>
      <c r="U789" s="11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26" t="n">
        <v>82.45</v>
      </c>
      <c r="W789" s="26" t="n">
        <v>38.83</v>
      </c>
      <c r="X789" s="26">
        <f>ROUND(('Methodology &amp; Assumptions'!$B$5*V789) + ('Methodology &amp; Assumptions'!$B$6*W789), 2)</f>
        <v/>
      </c>
      <c r="Y789" s="28" t="n">
        <v>8.300000000000001</v>
      </c>
      <c r="Z789" s="11" t="inlineStr">
        <is>
          <t>Priority Tier 2 (Balanced Opportunity)</t>
        </is>
      </c>
    </row>
    <row r="790">
      <c r="A790" s="23" t="n">
        <v>3</v>
      </c>
      <c r="B790" s="23" t="n">
        <v>786</v>
      </c>
      <c r="C790" s="23" t="n">
        <v>2786</v>
      </c>
      <c r="D790" s="23" t="inlineStr">
        <is>
          <t>0402106008</t>
        </is>
      </c>
      <c r="E790" s="11" t="inlineStr">
        <is>
          <t>Region IV-A (CALABARZON)</t>
        </is>
      </c>
      <c r="F790" s="11" t="inlineStr">
        <is>
          <t>Cavite</t>
        </is>
      </c>
      <c r="G790" s="11" t="inlineStr">
        <is>
          <t>City of Dasmariñas</t>
        </is>
      </c>
      <c r="H790" s="11" t="inlineStr">
        <is>
          <t>Paliparan I</t>
        </is>
      </c>
      <c r="I790" s="24" t="n">
        <v>14.287859</v>
      </c>
      <c r="J790" s="24" t="n">
        <v>120.986693</v>
      </c>
      <c r="K790" s="23" t="inlineStr">
        <is>
          <t>U</t>
        </is>
      </c>
      <c r="L790" s="25" t="n">
        <v>10659</v>
      </c>
      <c r="M790" s="26" t="n">
        <v>3.4</v>
      </c>
      <c r="N790" s="25">
        <f>ROUND(L790/M790, 0)</f>
        <v/>
      </c>
      <c r="O790" s="25">
        <f>ROUND(N790*'Methodology &amp; Assumptions'!$B$7, 0)</f>
        <v/>
      </c>
      <c r="P790" s="23" t="inlineStr">
        <is>
          <t>Single Carrier (Band n50, 100MHz TDD)</t>
        </is>
      </c>
      <c r="Q790" s="27">
        <f>ROUNDUP(O790/'Methodology &amp; Assumptions'!$B$8, 0)</f>
        <v/>
      </c>
      <c r="R790" s="27" t="n">
        <v>1</v>
      </c>
      <c r="S790" s="26" t="n">
        <v>1.76</v>
      </c>
      <c r="T790" s="26" t="n">
        <v>2.64</v>
      </c>
      <c r="U790" s="11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26" t="n">
        <v>71.34999999999999</v>
      </c>
      <c r="W790" s="26" t="n">
        <v>49.92</v>
      </c>
      <c r="X790" s="26">
        <f>ROUND(('Methodology &amp; Assumptions'!$B$5*V790) + ('Methodology &amp; Assumptions'!$B$6*W790), 2)</f>
        <v/>
      </c>
      <c r="Y790" s="28" t="n">
        <v>7.2</v>
      </c>
      <c r="Z790" s="11" t="inlineStr">
        <is>
          <t>Priority Tier 2 (Balanced Opportunity)</t>
        </is>
      </c>
    </row>
    <row r="791">
      <c r="A791" s="23" t="n">
        <v>3</v>
      </c>
      <c r="B791" s="23" t="n">
        <v>787</v>
      </c>
      <c r="C791" s="23" t="n">
        <v>2787</v>
      </c>
      <c r="D791" s="23" t="inlineStr">
        <is>
          <t>1403209008</t>
        </is>
      </c>
      <c r="E791" s="11" t="inlineStr">
        <is>
          <t>Cordillera Administrative Region (CAR)</t>
        </is>
      </c>
      <c r="F791" s="11" t="inlineStr">
        <is>
          <t>Kalinga</t>
        </is>
      </c>
      <c r="G791" s="11" t="inlineStr">
        <is>
          <t>Pinukpuk</t>
        </is>
      </c>
      <c r="H791" s="11" t="inlineStr">
        <is>
          <t>Wagud</t>
        </is>
      </c>
      <c r="I791" s="24" t="n">
        <v>17.588215</v>
      </c>
      <c r="J791" s="24" t="n">
        <v>121.32365</v>
      </c>
      <c r="K791" s="23" t="inlineStr">
        <is>
          <t>R</t>
        </is>
      </c>
      <c r="L791" s="25" t="n">
        <v>1057</v>
      </c>
      <c r="M791" s="26" t="n">
        <v>4.3</v>
      </c>
      <c r="N791" s="25">
        <f>ROUND(L791/M791, 0)</f>
        <v/>
      </c>
      <c r="O791" s="25">
        <f>ROUND(N791*'Methodology &amp; Assumptions'!$B$7, 0)</f>
        <v/>
      </c>
      <c r="P791" s="23" t="inlineStr">
        <is>
          <t>Single Carrier (Band n50, 100MHz TDD)</t>
        </is>
      </c>
      <c r="Q791" s="27">
        <f>ROUNDUP(O791/'Methodology &amp; Assumptions'!$B$8, 0)</f>
        <v/>
      </c>
      <c r="R791" s="27" t="n">
        <v>1</v>
      </c>
      <c r="S791" s="26" t="n">
        <v>3.9</v>
      </c>
      <c r="T791" s="26" t="n">
        <v>9.34</v>
      </c>
      <c r="U791" s="11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26" t="n">
        <v>53.04</v>
      </c>
      <c r="W791" s="26" t="n">
        <v>68.25</v>
      </c>
      <c r="X791" s="26">
        <f>ROUND(('Methodology &amp; Assumptions'!$B$5*V791) + ('Methodology &amp; Assumptions'!$B$6*W791), 2)</f>
        <v/>
      </c>
      <c r="Y791" s="28" t="n">
        <v>10.9</v>
      </c>
      <c r="Z791" s="11" t="inlineStr">
        <is>
          <t>Priority Tier 2 (Balanced Opportunity)</t>
        </is>
      </c>
    </row>
    <row r="792">
      <c r="A792" s="23" t="n">
        <v>3</v>
      </c>
      <c r="B792" s="23" t="n">
        <v>788</v>
      </c>
      <c r="C792" s="23" t="n">
        <v>2788</v>
      </c>
      <c r="D792" s="23" t="inlineStr">
        <is>
          <t>1380611039</t>
        </is>
      </c>
      <c r="E792" s="11" t="inlineStr">
        <is>
          <t>National Capital Region (NCR)</t>
        </is>
      </c>
      <c r="F792" s="11" t="inlineStr">
        <is>
          <t>First District (Not a Province)</t>
        </is>
      </c>
      <c r="G792" s="11" t="inlineStr">
        <is>
          <t>City of Manila</t>
        </is>
      </c>
      <c r="H792" s="11" t="inlineStr">
        <is>
          <t>Barangay 824</t>
        </is>
      </c>
      <c r="I792" s="24" t="n">
        <v>14.582013</v>
      </c>
      <c r="J792" s="24" t="n">
        <v>120.998924</v>
      </c>
      <c r="K792" s="23" t="inlineStr">
        <is>
          <t>U</t>
        </is>
      </c>
      <c r="L792" s="25" t="n">
        <v>1378</v>
      </c>
      <c r="M792" s="26" t="n">
        <v>4.02</v>
      </c>
      <c r="N792" s="25">
        <f>ROUND(L792/M792, 0)</f>
        <v/>
      </c>
      <c r="O792" s="25">
        <f>ROUND(N792*'Methodology &amp; Assumptions'!$B$7, 0)</f>
        <v/>
      </c>
      <c r="P792" s="23" t="inlineStr">
        <is>
          <t>Single Carrier (Band n50, 100MHz TDD)</t>
        </is>
      </c>
      <c r="Q792" s="27">
        <f>ROUNDUP(O792/'Methodology &amp; Assumptions'!$B$8, 0)</f>
        <v/>
      </c>
      <c r="R792" s="27" t="n">
        <v>1</v>
      </c>
      <c r="S792" s="26" t="n">
        <v>0.49</v>
      </c>
      <c r="T792" s="26" t="n">
        <v>0.19</v>
      </c>
      <c r="U792" s="11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26" t="n">
        <v>52.12</v>
      </c>
      <c r="W792" s="26" t="n">
        <v>69.15000000000001</v>
      </c>
      <c r="X792" s="26">
        <f>ROUND(('Methodology &amp; Assumptions'!$B$5*V792) + ('Methodology &amp; Assumptions'!$B$6*W792), 2)</f>
        <v/>
      </c>
      <c r="Y792" s="28" t="n">
        <v>10.9</v>
      </c>
      <c r="Z792" s="11" t="inlineStr">
        <is>
          <t>Priority Tier 2 (Balanced Opportunity)</t>
        </is>
      </c>
    </row>
    <row r="793">
      <c r="A793" s="23" t="n">
        <v>3</v>
      </c>
      <c r="B793" s="23" t="n">
        <v>789</v>
      </c>
      <c r="C793" s="23" t="n">
        <v>2789</v>
      </c>
      <c r="D793" s="23" t="inlineStr">
        <is>
          <t>0402103003</t>
        </is>
      </c>
      <c r="E793" s="11" t="inlineStr">
        <is>
          <t>Region IV-A (CALABARZON)</t>
        </is>
      </c>
      <c r="F793" s="11" t="inlineStr">
        <is>
          <t>Cavite</t>
        </is>
      </c>
      <c r="G793" s="11" t="inlineStr">
        <is>
          <t>City of Bacoor</t>
        </is>
      </c>
      <c r="H793" s="11" t="inlineStr">
        <is>
          <t>Banalo</t>
        </is>
      </c>
      <c r="I793" s="24" t="n">
        <v>14.436707</v>
      </c>
      <c r="J793" s="24" t="n">
        <v>120.961346</v>
      </c>
      <c r="K793" s="23" t="inlineStr">
        <is>
          <t>R</t>
        </is>
      </c>
      <c r="L793" s="25" t="n">
        <v>2998</v>
      </c>
      <c r="M793" s="26" t="n">
        <v>3.4</v>
      </c>
      <c r="N793" s="25">
        <f>ROUND(L793/M793, 0)</f>
        <v/>
      </c>
      <c r="O793" s="25">
        <f>ROUND(N793*'Methodology &amp; Assumptions'!$B$7, 0)</f>
        <v/>
      </c>
      <c r="P793" s="23" t="inlineStr">
        <is>
          <t>Single Carrier (Band n50, 100MHz TDD)</t>
        </is>
      </c>
      <c r="Q793" s="27">
        <f>ROUNDUP(O793/'Methodology &amp; Assumptions'!$B$8, 0)</f>
        <v/>
      </c>
      <c r="R793" s="27" t="n">
        <v>1</v>
      </c>
      <c r="S793" s="26" t="n">
        <v>1.43</v>
      </c>
      <c r="T793" s="26" t="n">
        <v>1.32</v>
      </c>
      <c r="U793" s="11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26" t="n">
        <v>83.22</v>
      </c>
      <c r="W793" s="26" t="n">
        <v>38.05</v>
      </c>
      <c r="X793" s="26">
        <f>ROUND(('Methodology &amp; Assumptions'!$B$5*V793) + ('Methodology &amp; Assumptions'!$B$6*W793), 2)</f>
        <v/>
      </c>
      <c r="Y793" s="28" t="n">
        <v>7.2</v>
      </c>
      <c r="Z793" s="11" t="inlineStr">
        <is>
          <t>Priority Tier 2 (Balanced Opportunity)</t>
        </is>
      </c>
    </row>
    <row r="794">
      <c r="A794" s="23" t="n">
        <v>3</v>
      </c>
      <c r="B794" s="23" t="n">
        <v>790</v>
      </c>
      <c r="C794" s="23" t="n">
        <v>2790</v>
      </c>
      <c r="D794" s="23" t="inlineStr">
        <is>
          <t>0402103005</t>
        </is>
      </c>
      <c r="E794" s="11" t="inlineStr">
        <is>
          <t>Region IV-A (CALABARZON)</t>
        </is>
      </c>
      <c r="F794" s="11" t="inlineStr">
        <is>
          <t>Cavite</t>
        </is>
      </c>
      <c r="G794" s="11" t="inlineStr">
        <is>
          <t>City of Bacoor</t>
        </is>
      </c>
      <c r="H794" s="11" t="inlineStr">
        <is>
          <t>Daang Bukid</t>
        </is>
      </c>
      <c r="I794" s="24" t="n">
        <v>14.436707</v>
      </c>
      <c r="J794" s="24" t="n">
        <v>120.961346</v>
      </c>
      <c r="K794" s="23" t="inlineStr">
        <is>
          <t>R</t>
        </is>
      </c>
      <c r="L794" s="25" t="n">
        <v>2989</v>
      </c>
      <c r="M794" s="26" t="n">
        <v>3.4</v>
      </c>
      <c r="N794" s="25">
        <f>ROUND(L794/M794, 0)</f>
        <v/>
      </c>
      <c r="O794" s="25">
        <f>ROUND(N794*'Methodology &amp; Assumptions'!$B$7, 0)</f>
        <v/>
      </c>
      <c r="P794" s="23" t="inlineStr">
        <is>
          <t>Single Carrier (Band n50, 100MHz TDD)</t>
        </is>
      </c>
      <c r="Q794" s="27">
        <f>ROUNDUP(O794/'Methodology &amp; Assumptions'!$B$8, 0)</f>
        <v/>
      </c>
      <c r="R794" s="27" t="n">
        <v>1</v>
      </c>
      <c r="S794" s="26" t="n">
        <v>1.43</v>
      </c>
      <c r="T794" s="26" t="n">
        <v>1.32</v>
      </c>
      <c r="U794" s="11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26" t="n">
        <v>83.22</v>
      </c>
      <c r="W794" s="26" t="n">
        <v>38.05</v>
      </c>
      <c r="X794" s="26">
        <f>ROUND(('Methodology &amp; Assumptions'!$B$5*V794) + ('Methodology &amp; Assumptions'!$B$6*W794), 2)</f>
        <v/>
      </c>
      <c r="Y794" s="28" t="n">
        <v>7.2</v>
      </c>
      <c r="Z794" s="11" t="inlineStr">
        <is>
          <t>Priority Tier 2 (Balanced Opportunity)</t>
        </is>
      </c>
    </row>
    <row r="795">
      <c r="A795" s="23" t="n">
        <v>3</v>
      </c>
      <c r="B795" s="23" t="n">
        <v>791</v>
      </c>
      <c r="C795" s="23" t="n">
        <v>2791</v>
      </c>
      <c r="D795" s="23" t="inlineStr">
        <is>
          <t>0402103009</t>
        </is>
      </c>
      <c r="E795" s="11" t="inlineStr">
        <is>
          <t>Region IV-A (CALABARZON)</t>
        </is>
      </c>
      <c r="F795" s="11" t="inlineStr">
        <is>
          <t>Cavite</t>
        </is>
      </c>
      <c r="G795" s="11" t="inlineStr">
        <is>
          <t>City of Bacoor</t>
        </is>
      </c>
      <c r="H795" s="11" t="inlineStr">
        <is>
          <t>Kaingin</t>
        </is>
      </c>
      <c r="I795" s="24" t="n">
        <v>14.436707</v>
      </c>
      <c r="J795" s="24" t="n">
        <v>120.961346</v>
      </c>
      <c r="K795" s="23" t="inlineStr">
        <is>
          <t>R</t>
        </is>
      </c>
      <c r="L795" s="25" t="n">
        <v>3688</v>
      </c>
      <c r="M795" s="26" t="n">
        <v>3.4</v>
      </c>
      <c r="N795" s="25">
        <f>ROUND(L795/M795, 0)</f>
        <v/>
      </c>
      <c r="O795" s="25">
        <f>ROUND(N795*'Methodology &amp; Assumptions'!$B$7, 0)</f>
        <v/>
      </c>
      <c r="P795" s="23" t="inlineStr">
        <is>
          <t>Single Carrier (Band n50, 100MHz TDD)</t>
        </is>
      </c>
      <c r="Q795" s="27">
        <f>ROUNDUP(O795/'Methodology &amp; Assumptions'!$B$8, 0)</f>
        <v/>
      </c>
      <c r="R795" s="27" t="n">
        <v>1</v>
      </c>
      <c r="S795" s="26" t="n">
        <v>1.43</v>
      </c>
      <c r="T795" s="26" t="n">
        <v>1.32</v>
      </c>
      <c r="U795" s="11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26" t="n">
        <v>83.22</v>
      </c>
      <c r="W795" s="26" t="n">
        <v>38.05</v>
      </c>
      <c r="X795" s="26">
        <f>ROUND(('Methodology &amp; Assumptions'!$B$5*V795) + ('Methodology &amp; Assumptions'!$B$6*W795), 2)</f>
        <v/>
      </c>
      <c r="Y795" s="28" t="n">
        <v>7.2</v>
      </c>
      <c r="Z795" s="11" t="inlineStr">
        <is>
          <t>Priority Tier 2 (Balanced Opportunity)</t>
        </is>
      </c>
    </row>
    <row r="796">
      <c r="A796" s="23" t="n">
        <v>3</v>
      </c>
      <c r="B796" s="23" t="n">
        <v>792</v>
      </c>
      <c r="C796" s="23" t="n">
        <v>2792</v>
      </c>
      <c r="D796" s="23" t="inlineStr">
        <is>
          <t>0402103023</t>
        </is>
      </c>
      <c r="E796" s="11" t="inlineStr">
        <is>
          <t>Region IV-A (CALABARZON)</t>
        </is>
      </c>
      <c r="F796" s="11" t="inlineStr">
        <is>
          <t>Cavite</t>
        </is>
      </c>
      <c r="G796" s="11" t="inlineStr">
        <is>
          <t>City of Bacoor</t>
        </is>
      </c>
      <c r="H796" s="11" t="inlineStr">
        <is>
          <t>Tabing Dagat</t>
        </is>
      </c>
      <c r="I796" s="24" t="n">
        <v>14.436707</v>
      </c>
      <c r="J796" s="24" t="n">
        <v>120.961346</v>
      </c>
      <c r="K796" s="23" t="inlineStr">
        <is>
          <t>R</t>
        </is>
      </c>
      <c r="L796" s="25" t="n">
        <v>3605</v>
      </c>
      <c r="M796" s="26" t="n">
        <v>3.4</v>
      </c>
      <c r="N796" s="25">
        <f>ROUND(L796/M796, 0)</f>
        <v/>
      </c>
      <c r="O796" s="25">
        <f>ROUND(N796*'Methodology &amp; Assumptions'!$B$7, 0)</f>
        <v/>
      </c>
      <c r="P796" s="23" t="inlineStr">
        <is>
          <t>Single Carrier (Band n50, 100MHz TDD)</t>
        </is>
      </c>
      <c r="Q796" s="27">
        <f>ROUNDUP(O796/'Methodology &amp; Assumptions'!$B$8, 0)</f>
        <v/>
      </c>
      <c r="R796" s="27" t="n">
        <v>1</v>
      </c>
      <c r="S796" s="26" t="n">
        <v>1.43</v>
      </c>
      <c r="T796" s="26" t="n">
        <v>1.32</v>
      </c>
      <c r="U796" s="11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26" t="n">
        <v>83.22</v>
      </c>
      <c r="W796" s="26" t="n">
        <v>38.05</v>
      </c>
      <c r="X796" s="26">
        <f>ROUND(('Methodology &amp; Assumptions'!$B$5*V796) + ('Methodology &amp; Assumptions'!$B$6*W796), 2)</f>
        <v/>
      </c>
      <c r="Y796" s="28" t="n">
        <v>7.2</v>
      </c>
      <c r="Z796" s="11" t="inlineStr">
        <is>
          <t>Priority Tier 2 (Balanced Opportunity)</t>
        </is>
      </c>
    </row>
    <row r="797">
      <c r="A797" s="23" t="n">
        <v>3</v>
      </c>
      <c r="B797" s="23" t="n">
        <v>793</v>
      </c>
      <c r="C797" s="23" t="n">
        <v>2793</v>
      </c>
      <c r="D797" s="23" t="inlineStr">
        <is>
          <t>0402103029</t>
        </is>
      </c>
      <c r="E797" s="11" t="inlineStr">
        <is>
          <t>Region IV-A (CALABARZON)</t>
        </is>
      </c>
      <c r="F797" s="11" t="inlineStr">
        <is>
          <t>Cavite</t>
        </is>
      </c>
      <c r="G797" s="11" t="inlineStr">
        <is>
          <t>City of Bacoor</t>
        </is>
      </c>
      <c r="H797" s="11" t="inlineStr">
        <is>
          <t>Aniban II</t>
        </is>
      </c>
      <c r="I797" s="24" t="n">
        <v>14.436707</v>
      </c>
      <c r="J797" s="24" t="n">
        <v>120.961346</v>
      </c>
      <c r="K797" s="23" t="inlineStr">
        <is>
          <t>R</t>
        </is>
      </c>
      <c r="L797" s="25" t="n">
        <v>3451</v>
      </c>
      <c r="M797" s="26" t="n">
        <v>3.4</v>
      </c>
      <c r="N797" s="25">
        <f>ROUND(L797/M797, 0)</f>
        <v/>
      </c>
      <c r="O797" s="25">
        <f>ROUND(N797*'Methodology &amp; Assumptions'!$B$7, 0)</f>
        <v/>
      </c>
      <c r="P797" s="23" t="inlineStr">
        <is>
          <t>Single Carrier (Band n50, 100MHz TDD)</t>
        </is>
      </c>
      <c r="Q797" s="27">
        <f>ROUNDUP(O797/'Methodology &amp; Assumptions'!$B$8, 0)</f>
        <v/>
      </c>
      <c r="R797" s="27" t="n">
        <v>1</v>
      </c>
      <c r="S797" s="26" t="n">
        <v>1.43</v>
      </c>
      <c r="T797" s="26" t="n">
        <v>1.32</v>
      </c>
      <c r="U797" s="11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26" t="n">
        <v>83.22</v>
      </c>
      <c r="W797" s="26" t="n">
        <v>38.05</v>
      </c>
      <c r="X797" s="26">
        <f>ROUND(('Methodology &amp; Assumptions'!$B$5*V797) + ('Methodology &amp; Assumptions'!$B$6*W797), 2)</f>
        <v/>
      </c>
      <c r="Y797" s="28" t="n">
        <v>7.2</v>
      </c>
      <c r="Z797" s="11" t="inlineStr">
        <is>
          <t>Priority Tier 2 (Balanced Opportunity)</t>
        </is>
      </c>
    </row>
    <row r="798">
      <c r="A798" s="23" t="n">
        <v>3</v>
      </c>
      <c r="B798" s="23" t="n">
        <v>794</v>
      </c>
      <c r="C798" s="23" t="n">
        <v>2794</v>
      </c>
      <c r="D798" s="23" t="inlineStr">
        <is>
          <t>0402103032</t>
        </is>
      </c>
      <c r="E798" s="11" t="inlineStr">
        <is>
          <t>Region IV-A (CALABARZON)</t>
        </is>
      </c>
      <c r="F798" s="11" t="inlineStr">
        <is>
          <t>Cavite</t>
        </is>
      </c>
      <c r="G798" s="11" t="inlineStr">
        <is>
          <t>City of Bacoor</t>
        </is>
      </c>
      <c r="H798" s="11" t="inlineStr">
        <is>
          <t>Aniban V</t>
        </is>
      </c>
      <c r="I798" s="24" t="n">
        <v>14.436707</v>
      </c>
      <c r="J798" s="24" t="n">
        <v>120.961346</v>
      </c>
      <c r="K798" s="23" t="inlineStr">
        <is>
          <t>R</t>
        </is>
      </c>
      <c r="L798" s="25" t="n">
        <v>2857</v>
      </c>
      <c r="M798" s="26" t="n">
        <v>3.4</v>
      </c>
      <c r="N798" s="25">
        <f>ROUND(L798/M798, 0)</f>
        <v/>
      </c>
      <c r="O798" s="25">
        <f>ROUND(N798*'Methodology &amp; Assumptions'!$B$7, 0)</f>
        <v/>
      </c>
      <c r="P798" s="23" t="inlineStr">
        <is>
          <t>Single Carrier (Band n50, 100MHz TDD)</t>
        </is>
      </c>
      <c r="Q798" s="27">
        <f>ROUNDUP(O798/'Methodology &amp; Assumptions'!$B$8, 0)</f>
        <v/>
      </c>
      <c r="R798" s="27" t="n">
        <v>1</v>
      </c>
      <c r="S798" s="26" t="n">
        <v>1.43</v>
      </c>
      <c r="T798" s="26" t="n">
        <v>1.32</v>
      </c>
      <c r="U798" s="11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26" t="n">
        <v>83.22</v>
      </c>
      <c r="W798" s="26" t="n">
        <v>38.05</v>
      </c>
      <c r="X798" s="26">
        <f>ROUND(('Methodology &amp; Assumptions'!$B$5*V798) + ('Methodology &amp; Assumptions'!$B$6*W798), 2)</f>
        <v/>
      </c>
      <c r="Y798" s="28" t="n">
        <v>7.2</v>
      </c>
      <c r="Z798" s="11" t="inlineStr">
        <is>
          <t>Priority Tier 2 (Balanced Opportunity)</t>
        </is>
      </c>
    </row>
    <row r="799">
      <c r="A799" s="23" t="n">
        <v>3</v>
      </c>
      <c r="B799" s="23" t="n">
        <v>795</v>
      </c>
      <c r="C799" s="23" t="n">
        <v>2795</v>
      </c>
      <c r="D799" s="23" t="inlineStr">
        <is>
          <t>0402103039</t>
        </is>
      </c>
      <c r="E799" s="11" t="inlineStr">
        <is>
          <t>Region IV-A (CALABARZON)</t>
        </is>
      </c>
      <c r="F799" s="11" t="inlineStr">
        <is>
          <t>Cavite</t>
        </is>
      </c>
      <c r="G799" s="11" t="inlineStr">
        <is>
          <t>City of Bacoor</t>
        </is>
      </c>
      <c r="H799" s="11" t="inlineStr">
        <is>
          <t>Maliksi II</t>
        </is>
      </c>
      <c r="I799" s="24" t="n">
        <v>14.436707</v>
      </c>
      <c r="J799" s="24" t="n">
        <v>120.961346</v>
      </c>
      <c r="K799" s="23" t="inlineStr">
        <is>
          <t>R</t>
        </is>
      </c>
      <c r="L799" s="25" t="n">
        <v>2928</v>
      </c>
      <c r="M799" s="26" t="n">
        <v>3.4</v>
      </c>
      <c r="N799" s="25">
        <f>ROUND(L799/M799, 0)</f>
        <v/>
      </c>
      <c r="O799" s="25">
        <f>ROUND(N799*'Methodology &amp; Assumptions'!$B$7, 0)</f>
        <v/>
      </c>
      <c r="P799" s="23" t="inlineStr">
        <is>
          <t>Single Carrier (Band n50, 100MHz TDD)</t>
        </is>
      </c>
      <c r="Q799" s="27">
        <f>ROUNDUP(O799/'Methodology &amp; Assumptions'!$B$8, 0)</f>
        <v/>
      </c>
      <c r="R799" s="27" t="n">
        <v>1</v>
      </c>
      <c r="S799" s="26" t="n">
        <v>1.43</v>
      </c>
      <c r="T799" s="26" t="n">
        <v>1.32</v>
      </c>
      <c r="U799" s="11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26" t="n">
        <v>83.22</v>
      </c>
      <c r="W799" s="26" t="n">
        <v>38.05</v>
      </c>
      <c r="X799" s="26">
        <f>ROUND(('Methodology &amp; Assumptions'!$B$5*V799) + ('Methodology &amp; Assumptions'!$B$6*W799), 2)</f>
        <v/>
      </c>
      <c r="Y799" s="28" t="n">
        <v>7.2</v>
      </c>
      <c r="Z799" s="11" t="inlineStr">
        <is>
          <t>Priority Tier 2 (Balanced Opportunity)</t>
        </is>
      </c>
    </row>
    <row r="800">
      <c r="A800" s="23" t="n">
        <v>3</v>
      </c>
      <c r="B800" s="23" t="n">
        <v>796</v>
      </c>
      <c r="C800" s="23" t="n">
        <v>2796</v>
      </c>
      <c r="D800" s="23" t="inlineStr">
        <is>
          <t>0402103044</t>
        </is>
      </c>
      <c r="E800" s="11" t="inlineStr">
        <is>
          <t>Region IV-A (CALABARZON)</t>
        </is>
      </c>
      <c r="F800" s="11" t="inlineStr">
        <is>
          <t>Cavite</t>
        </is>
      </c>
      <c r="G800" s="11" t="inlineStr">
        <is>
          <t>City of Bacoor</t>
        </is>
      </c>
      <c r="H800" s="11" t="inlineStr">
        <is>
          <t>Mambog V</t>
        </is>
      </c>
      <c r="I800" s="24" t="n">
        <v>14.436707</v>
      </c>
      <c r="J800" s="24" t="n">
        <v>120.961346</v>
      </c>
      <c r="K800" s="23" t="inlineStr">
        <is>
          <t>R</t>
        </is>
      </c>
      <c r="L800" s="25" t="n">
        <v>4034</v>
      </c>
      <c r="M800" s="26" t="n">
        <v>3.4</v>
      </c>
      <c r="N800" s="25">
        <f>ROUND(L800/M800, 0)</f>
        <v/>
      </c>
      <c r="O800" s="25">
        <f>ROUND(N800*'Methodology &amp; Assumptions'!$B$7, 0)</f>
        <v/>
      </c>
      <c r="P800" s="23" t="inlineStr">
        <is>
          <t>Single Carrier (Band n50, 100MHz TDD)</t>
        </is>
      </c>
      <c r="Q800" s="27">
        <f>ROUNDUP(O800/'Methodology &amp; Assumptions'!$B$8, 0)</f>
        <v/>
      </c>
      <c r="R800" s="27" t="n">
        <v>1</v>
      </c>
      <c r="S800" s="26" t="n">
        <v>1.43</v>
      </c>
      <c r="T800" s="26" t="n">
        <v>1.32</v>
      </c>
      <c r="U800" s="11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26" t="n">
        <v>83.22</v>
      </c>
      <c r="W800" s="26" t="n">
        <v>38.05</v>
      </c>
      <c r="X800" s="26">
        <f>ROUND(('Methodology &amp; Assumptions'!$B$5*V800) + ('Methodology &amp; Assumptions'!$B$6*W800), 2)</f>
        <v/>
      </c>
      <c r="Y800" s="28" t="n">
        <v>7.2</v>
      </c>
      <c r="Z800" s="11" t="inlineStr">
        <is>
          <t>Priority Tier 2 (Balanced Opportunity)</t>
        </is>
      </c>
    </row>
    <row r="801">
      <c r="A801" s="23" t="n">
        <v>3</v>
      </c>
      <c r="B801" s="23" t="n">
        <v>797</v>
      </c>
      <c r="C801" s="23" t="n">
        <v>2797</v>
      </c>
      <c r="D801" s="23" t="inlineStr">
        <is>
          <t>0402103060</t>
        </is>
      </c>
      <c r="E801" s="11" t="inlineStr">
        <is>
          <t>Region IV-A (CALABARZON)</t>
        </is>
      </c>
      <c r="F801" s="11" t="inlineStr">
        <is>
          <t>Cavite</t>
        </is>
      </c>
      <c r="G801" s="11" t="inlineStr">
        <is>
          <t>City of Bacoor</t>
        </is>
      </c>
      <c r="H801" s="11" t="inlineStr">
        <is>
          <t>Real II</t>
        </is>
      </c>
      <c r="I801" s="24" t="n">
        <v>14.436707</v>
      </c>
      <c r="J801" s="24" t="n">
        <v>120.961346</v>
      </c>
      <c r="K801" s="23" t="inlineStr">
        <is>
          <t>R</t>
        </is>
      </c>
      <c r="L801" s="25" t="n">
        <v>4947</v>
      </c>
      <c r="M801" s="26" t="n">
        <v>3.4</v>
      </c>
      <c r="N801" s="25">
        <f>ROUND(L801/M801, 0)</f>
        <v/>
      </c>
      <c r="O801" s="25">
        <f>ROUND(N801*'Methodology &amp; Assumptions'!$B$7, 0)</f>
        <v/>
      </c>
      <c r="P801" s="23" t="inlineStr">
        <is>
          <t>Single Carrier (Band n50, 100MHz TDD)</t>
        </is>
      </c>
      <c r="Q801" s="27">
        <f>ROUNDUP(O801/'Methodology &amp; Assumptions'!$B$8, 0)</f>
        <v/>
      </c>
      <c r="R801" s="27" t="n">
        <v>1</v>
      </c>
      <c r="S801" s="26" t="n">
        <v>1.43</v>
      </c>
      <c r="T801" s="26" t="n">
        <v>1.32</v>
      </c>
      <c r="U801" s="11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26" t="n">
        <v>83.22</v>
      </c>
      <c r="W801" s="26" t="n">
        <v>38.05</v>
      </c>
      <c r="X801" s="26">
        <f>ROUND(('Methodology &amp; Assumptions'!$B$5*V801) + ('Methodology &amp; Assumptions'!$B$6*W801), 2)</f>
        <v/>
      </c>
      <c r="Y801" s="28" t="n">
        <v>7.2</v>
      </c>
      <c r="Z801" s="11" t="inlineStr">
        <is>
          <t>Priority Tier 2 (Balanced Opportunity)</t>
        </is>
      </c>
    </row>
    <row r="802">
      <c r="A802" s="23" t="n">
        <v>3</v>
      </c>
      <c r="B802" s="23" t="n">
        <v>798</v>
      </c>
      <c r="C802" s="23" t="n">
        <v>2798</v>
      </c>
      <c r="D802" s="23" t="inlineStr">
        <is>
          <t>0301404013</t>
        </is>
      </c>
      <c r="E802" s="11" t="inlineStr">
        <is>
          <t>Region III (Central Luzon)</t>
        </is>
      </c>
      <c r="F802" s="11" t="inlineStr">
        <is>
          <t>Bulacan</t>
        </is>
      </c>
      <c r="G802" s="11" t="inlineStr">
        <is>
          <t>Bocaue</t>
        </is>
      </c>
      <c r="H802" s="11" t="inlineStr">
        <is>
          <t>Lolomboy</t>
        </is>
      </c>
      <c r="I802" s="24" t="n">
        <v>14.781039</v>
      </c>
      <c r="J802" s="24" t="n">
        <v>120.93335</v>
      </c>
      <c r="K802" s="23" t="inlineStr">
        <is>
          <t>U</t>
        </is>
      </c>
      <c r="L802" s="25" t="n">
        <v>15091</v>
      </c>
      <c r="M802" s="26" t="n">
        <v>3.5</v>
      </c>
      <c r="N802" s="25">
        <f>ROUND(L802/M802, 0)</f>
        <v/>
      </c>
      <c r="O802" s="25">
        <f>ROUND(N802*'Methodology &amp; Assumptions'!$B$7, 0)</f>
        <v/>
      </c>
      <c r="P802" s="23" t="inlineStr">
        <is>
          <t>Single Carrier (Band n50, 100MHz TDD)</t>
        </is>
      </c>
      <c r="Q802" s="27">
        <f>ROUNDUP(O802/'Methodology &amp; Assumptions'!$B$8, 0)</f>
        <v/>
      </c>
      <c r="R802" s="27" t="n">
        <v>1</v>
      </c>
      <c r="S802" s="26" t="n">
        <v>0.3</v>
      </c>
      <c r="T802" s="26" t="n">
        <v>0.18</v>
      </c>
      <c r="U802" s="11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26" t="n">
        <v>78.43000000000001</v>
      </c>
      <c r="W802" s="26" t="n">
        <v>42.83</v>
      </c>
      <c r="X802" s="26">
        <f>ROUND(('Methodology &amp; Assumptions'!$B$5*V802) + ('Methodology &amp; Assumptions'!$B$6*W802), 2)</f>
        <v/>
      </c>
      <c r="Y802" s="28" t="n">
        <v>8.300000000000001</v>
      </c>
      <c r="Z802" s="11" t="inlineStr">
        <is>
          <t>Priority Tier 2 (Balanced Opportunity)</t>
        </is>
      </c>
    </row>
    <row r="803">
      <c r="A803" s="23" t="n">
        <v>3</v>
      </c>
      <c r="B803" s="23" t="n">
        <v>799</v>
      </c>
      <c r="C803" s="23" t="n">
        <v>2799</v>
      </c>
      <c r="D803" s="23" t="inlineStr">
        <is>
          <t>0301408004</t>
        </is>
      </c>
      <c r="E803" s="11" t="inlineStr">
        <is>
          <t>Region III (Central Luzon)</t>
        </is>
      </c>
      <c r="F803" s="11" t="inlineStr">
        <is>
          <t>Bulacan</t>
        </is>
      </c>
      <c r="G803" s="11" t="inlineStr">
        <is>
          <t>Guiguinto</t>
        </is>
      </c>
      <c r="H803" s="11" t="inlineStr">
        <is>
          <t>Malis</t>
        </is>
      </c>
      <c r="I803" s="24" t="n">
        <v>14.840198</v>
      </c>
      <c r="J803" s="24" t="n">
        <v>120.880458</v>
      </c>
      <c r="K803" s="23" t="inlineStr">
        <is>
          <t>U</t>
        </is>
      </c>
      <c r="L803" s="25" t="n">
        <v>17614</v>
      </c>
      <c r="M803" s="26" t="n">
        <v>3.5</v>
      </c>
      <c r="N803" s="25">
        <f>ROUND(L803/M803, 0)</f>
        <v/>
      </c>
      <c r="O803" s="25">
        <f>ROUND(N803*'Methodology &amp; Assumptions'!$B$7, 0)</f>
        <v/>
      </c>
      <c r="P803" s="23" t="inlineStr">
        <is>
          <t>Single Carrier (Band n50, 100MHz TDD)</t>
        </is>
      </c>
      <c r="Q803" s="27">
        <f>ROUNDUP(O803/'Methodology &amp; Assumptions'!$B$8, 0)</f>
        <v/>
      </c>
      <c r="R803" s="27" t="n">
        <v>1</v>
      </c>
      <c r="S803" s="26" t="n">
        <v>1.49</v>
      </c>
      <c r="T803" s="26" t="n">
        <v>1.13</v>
      </c>
      <c r="U803" s="11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26" t="n">
        <v>75.97</v>
      </c>
      <c r="W803" s="26" t="n">
        <v>45.29</v>
      </c>
      <c r="X803" s="26">
        <f>ROUND(('Methodology &amp; Assumptions'!$B$5*V803) + ('Methodology &amp; Assumptions'!$B$6*W803), 2)</f>
        <v/>
      </c>
      <c r="Y803" s="28" t="n">
        <v>8.300000000000001</v>
      </c>
      <c r="Z803" s="11" t="inlineStr">
        <is>
          <t>Priority Tier 2 (Balanced Opportunity)</t>
        </is>
      </c>
    </row>
    <row r="804">
      <c r="A804" s="23" t="n">
        <v>3</v>
      </c>
      <c r="B804" s="23" t="n">
        <v>800</v>
      </c>
      <c r="C804" s="23" t="n">
        <v>2800</v>
      </c>
      <c r="D804" s="23" t="inlineStr">
        <is>
          <t>0305413026</t>
        </is>
      </c>
      <c r="E804" s="11" t="inlineStr">
        <is>
          <t>Region III (Central Luzon)</t>
        </is>
      </c>
      <c r="F804" s="11" t="inlineStr">
        <is>
          <t>Pampanga</t>
        </is>
      </c>
      <c r="G804" s="11" t="inlineStr">
        <is>
          <t>Mexico</t>
        </is>
      </c>
      <c r="H804" s="11" t="inlineStr">
        <is>
          <t>San Antonio</t>
        </is>
      </c>
      <c r="I804" s="24" t="n">
        <v>15.060088</v>
      </c>
      <c r="J804" s="24" t="n">
        <v>120.720035</v>
      </c>
      <c r="K804" s="23" t="inlineStr">
        <is>
          <t>U</t>
        </is>
      </c>
      <c r="L804" s="25" t="n">
        <v>6110</v>
      </c>
      <c r="M804" s="26" t="n">
        <v>4</v>
      </c>
      <c r="N804" s="25">
        <f>ROUND(L804/M804, 0)</f>
        <v/>
      </c>
      <c r="O804" s="25">
        <f>ROUND(N804*'Methodology &amp; Assumptions'!$B$7, 0)</f>
        <v/>
      </c>
      <c r="P804" s="23" t="inlineStr">
        <is>
          <t>Single Carrier (Band n50, 100MHz TDD)</t>
        </is>
      </c>
      <c r="Q804" s="27">
        <f>ROUNDUP(O804/'Methodology &amp; Assumptions'!$B$8, 0)</f>
        <v/>
      </c>
      <c r="R804" s="27" t="n">
        <v>1</v>
      </c>
      <c r="S804" s="26" t="n">
        <v>1.72</v>
      </c>
      <c r="T804" s="26" t="n">
        <v>0.2</v>
      </c>
      <c r="U804" s="11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26" t="n">
        <v>75.17</v>
      </c>
      <c r="W804" s="26" t="n">
        <v>46.09</v>
      </c>
      <c r="X804" s="26">
        <f>ROUND(('Methodology &amp; Assumptions'!$B$5*V804) + ('Methodology &amp; Assumptions'!$B$6*W804), 2)</f>
        <v/>
      </c>
      <c r="Y804" s="28" t="n">
        <v>8.300000000000001</v>
      </c>
      <c r="Z804" s="11" t="inlineStr">
        <is>
          <t>Priority Tier 2 (Balanced Opportunity)</t>
        </is>
      </c>
    </row>
    <row r="805">
      <c r="A805" s="23" t="n">
        <v>3</v>
      </c>
      <c r="B805" s="23" t="n">
        <v>801</v>
      </c>
      <c r="C805" s="23" t="n">
        <v>2801</v>
      </c>
      <c r="D805" s="23" t="inlineStr">
        <is>
          <t>0300809002</t>
        </is>
      </c>
      <c r="E805" s="11" t="inlineStr">
        <is>
          <t>Region III (Central Luzon)</t>
        </is>
      </c>
      <c r="F805" s="11" t="inlineStr">
        <is>
          <t>Bataan</t>
        </is>
      </c>
      <c r="G805" s="11" t="inlineStr">
        <is>
          <t>Orani</t>
        </is>
      </c>
      <c r="H805" s="11" t="inlineStr">
        <is>
          <t>Balut</t>
        </is>
      </c>
      <c r="I805" s="24" t="n">
        <v>14.804295</v>
      </c>
      <c r="J805" s="24" t="n">
        <v>120.534744</v>
      </c>
      <c r="K805" s="23" t="inlineStr">
        <is>
          <t>U</t>
        </is>
      </c>
      <c r="L805" s="25" t="n">
        <v>1319</v>
      </c>
      <c r="M805" s="26" t="n">
        <v>3.6</v>
      </c>
      <c r="N805" s="25">
        <f>ROUND(L805/M805, 0)</f>
        <v/>
      </c>
      <c r="O805" s="25">
        <f>ROUND(N805*'Methodology &amp; Assumptions'!$B$7, 0)</f>
        <v/>
      </c>
      <c r="P805" s="23" t="inlineStr">
        <is>
          <t>Single Carrier (Band n50, 100MHz TDD)</t>
        </is>
      </c>
      <c r="Q805" s="27">
        <f>ROUNDUP(O805/'Methodology &amp; Assumptions'!$B$8, 0)</f>
        <v/>
      </c>
      <c r="R805" s="27" t="n">
        <v>1</v>
      </c>
      <c r="S805" s="26" t="n">
        <v>0.3</v>
      </c>
      <c r="T805" s="26" t="n">
        <v>0.26</v>
      </c>
      <c r="U805" s="11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26" t="n">
        <v>63.74</v>
      </c>
      <c r="W805" s="26" t="n">
        <v>57.52</v>
      </c>
      <c r="X805" s="26">
        <f>ROUND(('Methodology &amp; Assumptions'!$B$5*V805) + ('Methodology &amp; Assumptions'!$B$6*W805), 2)</f>
        <v/>
      </c>
      <c r="Y805" s="28" t="n">
        <v>8.300000000000001</v>
      </c>
      <c r="Z805" s="11" t="inlineStr">
        <is>
          <t>Priority Tier 2 (Balanced Opportunity)</t>
        </is>
      </c>
    </row>
    <row r="806">
      <c r="A806" s="23" t="n">
        <v>3</v>
      </c>
      <c r="B806" s="23" t="n">
        <v>802</v>
      </c>
      <c r="C806" s="23" t="n">
        <v>2802</v>
      </c>
      <c r="D806" s="23" t="inlineStr">
        <is>
          <t>1380606165</t>
        </is>
      </c>
      <c r="E806" s="11" t="inlineStr">
        <is>
          <t>National Capital Region (NCR)</t>
        </is>
      </c>
      <c r="F806" s="11" t="inlineStr">
        <is>
          <t>First District (Not a Province)</t>
        </is>
      </c>
      <c r="G806" s="11" t="inlineStr">
        <is>
          <t>City of Manila</t>
        </is>
      </c>
      <c r="H806" s="11" t="inlineStr">
        <is>
          <t>Barangay 559</t>
        </is>
      </c>
      <c r="I806" s="24" t="n">
        <v>14.610267</v>
      </c>
      <c r="J806" s="24" t="n">
        <v>121.006687</v>
      </c>
      <c r="K806" s="23" t="inlineStr">
        <is>
          <t>U</t>
        </is>
      </c>
      <c r="L806" s="25" t="n">
        <v>1535</v>
      </c>
      <c r="M806" s="26" t="n">
        <v>4.39</v>
      </c>
      <c r="N806" s="25">
        <f>ROUND(L806/M806, 0)</f>
        <v/>
      </c>
      <c r="O806" s="25">
        <f>ROUND(N806*'Methodology &amp; Assumptions'!$B$7, 0)</f>
        <v/>
      </c>
      <c r="P806" s="23" t="inlineStr">
        <is>
          <t>Single Carrier (Band n50, 100MHz TDD)</t>
        </is>
      </c>
      <c r="Q806" s="27">
        <f>ROUNDUP(O806/'Methodology &amp; Assumptions'!$B$8, 0)</f>
        <v/>
      </c>
      <c r="R806" s="27" t="n">
        <v>1</v>
      </c>
      <c r="S806" s="26" t="n">
        <v>0.32</v>
      </c>
      <c r="T806" s="26" t="n">
        <v>0.18</v>
      </c>
      <c r="U806" s="11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26" t="n">
        <v>52.34</v>
      </c>
      <c r="W806" s="26" t="n">
        <v>68.93000000000001</v>
      </c>
      <c r="X806" s="26">
        <f>ROUND(('Methodology &amp; Assumptions'!$B$5*V806) + ('Methodology &amp; Assumptions'!$B$6*W806), 2)</f>
        <v/>
      </c>
      <c r="Y806" s="28" t="n">
        <v>10.9</v>
      </c>
      <c r="Z806" s="11" t="inlineStr">
        <is>
          <t>Priority Tier 2 (Balanced Opportunity)</t>
        </is>
      </c>
    </row>
    <row r="807">
      <c r="A807" s="23" t="n">
        <v>3</v>
      </c>
      <c r="B807" s="23" t="n">
        <v>803</v>
      </c>
      <c r="C807" s="23" t="n">
        <v>2803</v>
      </c>
      <c r="D807" s="23" t="inlineStr">
        <is>
          <t>0205010010</t>
        </is>
      </c>
      <c r="E807" s="11" t="inlineStr">
        <is>
          <t>Region II (Cagayan Valley)</t>
        </is>
      </c>
      <c r="F807" s="11" t="inlineStr">
        <is>
          <t>Nueva Vizcaya</t>
        </is>
      </c>
      <c r="G807" s="11" t="inlineStr">
        <is>
          <t>Kayapa</t>
        </is>
      </c>
      <c r="H807" s="11" t="inlineStr">
        <is>
          <t>Cabalatan Alang</t>
        </is>
      </c>
      <c r="I807" s="24" t="n">
        <v>16.272464</v>
      </c>
      <c r="J807" s="24" t="n">
        <v>120.913044</v>
      </c>
      <c r="K807" s="23" t="inlineStr">
        <is>
          <t>R</t>
        </is>
      </c>
      <c r="L807" s="25" t="n">
        <v>232</v>
      </c>
      <c r="M807" s="26" t="n">
        <v>3.8</v>
      </c>
      <c r="N807" s="25">
        <f>ROUND(L807/M807, 0)</f>
        <v/>
      </c>
      <c r="O807" s="25">
        <f>ROUND(N807*'Methodology &amp; Assumptions'!$B$7, 0)</f>
        <v/>
      </c>
      <c r="P807" s="23" t="inlineStr">
        <is>
          <t>Single Carrier (Band n50, 100MHz TDD)</t>
        </is>
      </c>
      <c r="Q807" s="27">
        <f>ROUNDUP(O807/'Methodology &amp; Assumptions'!$B$8, 0)</f>
        <v/>
      </c>
      <c r="R807" s="27" t="n">
        <v>1</v>
      </c>
      <c r="S807" s="26" t="n">
        <v>5.92</v>
      </c>
      <c r="T807" s="26" t="n">
        <v>5.52</v>
      </c>
      <c r="U807" s="11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26" t="n">
        <v>44.56</v>
      </c>
      <c r="W807" s="26" t="n">
        <v>76.7</v>
      </c>
      <c r="X807" s="26">
        <f>ROUND(('Methodology &amp; Assumptions'!$B$5*V807) + ('Methodology &amp; Assumptions'!$B$6*W807), 2)</f>
        <v/>
      </c>
      <c r="Y807" s="28" t="n">
        <v>8.300000000000001</v>
      </c>
      <c r="Z807" s="11" t="inlineStr">
        <is>
          <t>Priority Tier 2 (Balanced Opportunity)</t>
        </is>
      </c>
    </row>
    <row r="808">
      <c r="A808" s="23" t="n">
        <v>3</v>
      </c>
      <c r="B808" s="23" t="n">
        <v>804</v>
      </c>
      <c r="C808" s="23" t="n">
        <v>2804</v>
      </c>
      <c r="D808" s="23" t="inlineStr">
        <is>
          <t>0301421058</t>
        </is>
      </c>
      <c r="E808" s="11" t="inlineStr">
        <is>
          <t>Region III (Central Luzon)</t>
        </is>
      </c>
      <c r="F808" s="11" t="inlineStr">
        <is>
          <t>Bulacan</t>
        </is>
      </c>
      <c r="G808" s="11" t="inlineStr">
        <is>
          <t>San Miguel</t>
        </is>
      </c>
      <c r="H808" s="11" t="inlineStr">
        <is>
          <t>Maligaya</t>
        </is>
      </c>
      <c r="I808" s="24" t="n">
        <v>15.249819</v>
      </c>
      <c r="J808" s="24" t="n">
        <v>120.859757</v>
      </c>
      <c r="K808" s="23" t="inlineStr">
        <is>
          <t>R</t>
        </is>
      </c>
      <c r="L808" s="25" t="n">
        <v>2524</v>
      </c>
      <c r="M808" s="26" t="n">
        <v>3.5</v>
      </c>
      <c r="N808" s="25">
        <f>ROUND(L808/M808, 0)</f>
        <v/>
      </c>
      <c r="O808" s="25">
        <f>ROUND(N808*'Methodology &amp; Assumptions'!$B$7, 0)</f>
        <v/>
      </c>
      <c r="P808" s="23" t="inlineStr">
        <is>
          <t>Single Carrier (Band n50, 100MHz TDD)</t>
        </is>
      </c>
      <c r="Q808" s="27">
        <f>ROUNDUP(O808/'Methodology &amp; Assumptions'!$B$8, 0)</f>
        <v/>
      </c>
      <c r="R808" s="27" t="n">
        <v>1</v>
      </c>
      <c r="S808" s="26" t="n">
        <v>1.61</v>
      </c>
      <c r="T808" s="26" t="n">
        <v>0.15</v>
      </c>
      <c r="U808" s="11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26" t="n">
        <v>79.54000000000001</v>
      </c>
      <c r="W808" s="26" t="n">
        <v>41.7</v>
      </c>
      <c r="X808" s="26">
        <f>ROUND(('Methodology &amp; Assumptions'!$B$5*V808) + ('Methodology &amp; Assumptions'!$B$6*W808), 2)</f>
        <v/>
      </c>
      <c r="Y808" s="28" t="n">
        <v>8.300000000000001</v>
      </c>
      <c r="Z808" s="11" t="inlineStr">
        <is>
          <t>Priority Tier 2 (Balanced Opportunity)</t>
        </is>
      </c>
    </row>
    <row r="809">
      <c r="A809" s="23" t="n">
        <v>3</v>
      </c>
      <c r="B809" s="23" t="n">
        <v>805</v>
      </c>
      <c r="C809" s="23" t="n">
        <v>2805</v>
      </c>
      <c r="D809" s="23" t="inlineStr">
        <is>
          <t>1381300140</t>
        </is>
      </c>
      <c r="E809" s="11" t="inlineStr">
        <is>
          <t>National Capital Region (NCR)</t>
        </is>
      </c>
      <c r="F809" s="11" t="inlineStr">
        <is>
          <t>Second District (Not a Province)</t>
        </is>
      </c>
      <c r="G809" s="11" t="inlineStr">
        <is>
          <t>Quezon City</t>
        </is>
      </c>
      <c r="H809" s="11" t="inlineStr">
        <is>
          <t>Holy Spirit</t>
        </is>
      </c>
      <c r="I809" s="24" t="n">
        <v>14.68388</v>
      </c>
      <c r="J809" s="24" t="n">
        <v>121.0763</v>
      </c>
      <c r="K809" s="23" t="inlineStr">
        <is>
          <t>U</t>
        </is>
      </c>
      <c r="L809" s="25" t="n">
        <v>113614</v>
      </c>
      <c r="M809" s="26" t="n">
        <v>3.93</v>
      </c>
      <c r="N809" s="25">
        <f>ROUND(L809/M809, 0)</f>
        <v/>
      </c>
      <c r="O809" s="25">
        <f>ROUND(N809*'Methodology &amp; Assumptions'!$B$7, 0)</f>
        <v/>
      </c>
      <c r="P809" s="23" t="inlineStr">
        <is>
          <t>Single Carrier (Band n50, 100MHz TDD)</t>
        </is>
      </c>
      <c r="Q809" s="27">
        <f>ROUNDUP(O809/'Methodology &amp; Assumptions'!$B$8, 0)</f>
        <v/>
      </c>
      <c r="R809" s="27" t="n">
        <v>1</v>
      </c>
      <c r="S809" s="26" t="n">
        <v>0.9399999999999999</v>
      </c>
      <c r="T809" s="26" t="n">
        <v>0.9</v>
      </c>
      <c r="U809" s="11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26" t="n">
        <v>64.31</v>
      </c>
      <c r="W809" s="26" t="n">
        <v>56.94</v>
      </c>
      <c r="X809" s="26">
        <f>ROUND(('Methodology &amp; Assumptions'!$B$5*V809) + ('Methodology &amp; Assumptions'!$B$6*W809), 2)</f>
        <v/>
      </c>
      <c r="Y809" s="28" t="n">
        <v>10.9</v>
      </c>
      <c r="Z809" s="11" t="inlineStr">
        <is>
          <t>Priority Tier 2 (Balanced Opportunity)</t>
        </is>
      </c>
    </row>
    <row r="810">
      <c r="A810" s="23" t="n">
        <v>3</v>
      </c>
      <c r="B810" s="23" t="n">
        <v>806</v>
      </c>
      <c r="C810" s="23" t="n">
        <v>2806</v>
      </c>
      <c r="D810" s="23" t="inlineStr">
        <is>
          <t>1380606159</t>
        </is>
      </c>
      <c r="E810" s="11" t="inlineStr">
        <is>
          <t>National Capital Region (NCR)</t>
        </is>
      </c>
      <c r="F810" s="11" t="inlineStr">
        <is>
          <t>First District (Not a Province)</t>
        </is>
      </c>
      <c r="G810" s="11" t="inlineStr">
        <is>
          <t>City of Manila</t>
        </is>
      </c>
      <c r="H810" s="11" t="inlineStr">
        <is>
          <t>Barangay 553</t>
        </is>
      </c>
      <c r="I810" s="24" t="n">
        <v>14.609501</v>
      </c>
      <c r="J810" s="24" t="n">
        <v>121.001702</v>
      </c>
      <c r="K810" s="23" t="inlineStr">
        <is>
          <t>U</t>
        </is>
      </c>
      <c r="L810" s="25" t="n">
        <v>1454</v>
      </c>
      <c r="M810" s="26" t="n">
        <v>4.25</v>
      </c>
      <c r="N810" s="25">
        <f>ROUND(L810/M810, 0)</f>
        <v/>
      </c>
      <c r="O810" s="25">
        <f>ROUND(N810*'Methodology &amp; Assumptions'!$B$7, 0)</f>
        <v/>
      </c>
      <c r="P810" s="23" t="inlineStr">
        <is>
          <t>Single Carrier (Band n50, 100MHz TDD)</t>
        </is>
      </c>
      <c r="Q810" s="27">
        <f>ROUNDUP(O810/'Methodology &amp; Assumptions'!$B$8, 0)</f>
        <v/>
      </c>
      <c r="R810" s="27" t="n">
        <v>1</v>
      </c>
      <c r="S810" s="26" t="n">
        <v>0.28</v>
      </c>
      <c r="T810" s="26" t="n">
        <v>0.18</v>
      </c>
      <c r="U810" s="11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26" t="n">
        <v>52.12</v>
      </c>
      <c r="W810" s="26" t="n">
        <v>69.11</v>
      </c>
      <c r="X810" s="26">
        <f>ROUND(('Methodology &amp; Assumptions'!$B$5*V810) + ('Methodology &amp; Assumptions'!$B$6*W810), 2)</f>
        <v/>
      </c>
      <c r="Y810" s="28" t="n">
        <v>10.9</v>
      </c>
      <c r="Z810" s="11" t="inlineStr">
        <is>
          <t>Priority Tier 2 (Balanced Opportunity)</t>
        </is>
      </c>
    </row>
    <row r="811">
      <c r="A811" s="23" t="n">
        <v>3</v>
      </c>
      <c r="B811" s="23" t="n">
        <v>807</v>
      </c>
      <c r="C811" s="23" t="n">
        <v>2807</v>
      </c>
      <c r="D811" s="23" t="inlineStr">
        <is>
          <t>0806011012</t>
        </is>
      </c>
      <c r="E811" s="11" t="inlineStr">
        <is>
          <t>Region VIII (Eastern Visayas)</t>
        </is>
      </c>
      <c r="F811" s="11" t="inlineStr">
        <is>
          <t>Samar</t>
        </is>
      </c>
      <c r="G811" s="11" t="inlineStr">
        <is>
          <t>Matuguinao</t>
        </is>
      </c>
      <c r="H811" s="11" t="inlineStr">
        <is>
          <t>Maduroto Pob.</t>
        </is>
      </c>
      <c r="I811" s="24" t="n">
        <v>12.168459</v>
      </c>
      <c r="J811" s="24" t="n">
        <v>124.923096</v>
      </c>
      <c r="K811" s="23" t="inlineStr">
        <is>
          <t>R</t>
        </is>
      </c>
      <c r="L811" s="25" t="n">
        <v>1744</v>
      </c>
      <c r="M811" s="26" t="n">
        <v>4.1</v>
      </c>
      <c r="N811" s="25">
        <f>ROUND(L811/M811, 0)</f>
        <v/>
      </c>
      <c r="O811" s="25">
        <f>ROUND(N811*'Methodology &amp; Assumptions'!$B$7, 0)</f>
        <v/>
      </c>
      <c r="P811" s="23" t="inlineStr">
        <is>
          <t>Single Carrier (Band n50, 100MHz TDD)</t>
        </is>
      </c>
      <c r="Q811" s="27">
        <f>ROUNDUP(O811/'Methodology &amp; Assumptions'!$B$8, 0)</f>
        <v/>
      </c>
      <c r="R811" s="27" t="n">
        <v>1</v>
      </c>
      <c r="S811" s="26" t="n">
        <v>99.89</v>
      </c>
      <c r="T811" s="26" t="n">
        <v>99.84</v>
      </c>
      <c r="U811" s="11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26" t="n">
        <v>51.81</v>
      </c>
      <c r="W811" s="26" t="n">
        <v>69.44</v>
      </c>
      <c r="X811" s="26">
        <f>ROUND(('Methodology &amp; Assumptions'!$B$5*V811) + ('Methodology &amp; Assumptions'!$B$6*W811), 2)</f>
        <v/>
      </c>
      <c r="Y811" s="28" t="n">
        <v>23.7</v>
      </c>
      <c r="Z811" s="11" t="inlineStr">
        <is>
          <t>Priority Tier 2 (Balanced Opportunity)</t>
        </is>
      </c>
    </row>
    <row r="812">
      <c r="A812" s="23" t="n">
        <v>3</v>
      </c>
      <c r="B812" s="23" t="n">
        <v>808</v>
      </c>
      <c r="C812" s="23" t="n">
        <v>2808</v>
      </c>
      <c r="D812" s="23" t="inlineStr">
        <is>
          <t>0506210026</t>
        </is>
      </c>
      <c r="E812" s="11" t="inlineStr">
        <is>
          <t>Region V (Bicol Region)</t>
        </is>
      </c>
      <c r="F812" s="11" t="inlineStr">
        <is>
          <t>Sorsogon</t>
        </is>
      </c>
      <c r="G812" s="11" t="inlineStr">
        <is>
          <t>Juban</t>
        </is>
      </c>
      <c r="H812" s="11" t="inlineStr">
        <is>
          <t>Tinago</t>
        </is>
      </c>
      <c r="I812" s="24" t="n">
        <v>12.842329</v>
      </c>
      <c r="J812" s="24" t="n">
        <v>123.927436</v>
      </c>
      <c r="K812" s="23" t="inlineStr">
        <is>
          <t>R</t>
        </is>
      </c>
      <c r="L812" s="25" t="n">
        <v>934</v>
      </c>
      <c r="M812" s="26" t="n">
        <v>4</v>
      </c>
      <c r="N812" s="25">
        <f>ROUND(L812/M812, 0)</f>
        <v/>
      </c>
      <c r="O812" s="25">
        <f>ROUND(N812*'Methodology &amp; Assumptions'!$B$7, 0)</f>
        <v/>
      </c>
      <c r="P812" s="23" t="inlineStr">
        <is>
          <t>Single Carrier (Band n50, 100MHz TDD)</t>
        </is>
      </c>
      <c r="Q812" s="27">
        <f>ROUNDUP(O812/'Methodology &amp; Assumptions'!$B$8, 0)</f>
        <v/>
      </c>
      <c r="R812" s="27" t="n">
        <v>1</v>
      </c>
      <c r="S812" s="26" t="n">
        <v>9.76</v>
      </c>
      <c r="T812" s="26" t="n">
        <v>1.98</v>
      </c>
      <c r="U812" s="11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26" t="n">
        <v>51.73</v>
      </c>
      <c r="W812" s="26" t="n">
        <v>69.5</v>
      </c>
      <c r="X812" s="26">
        <f>ROUND(('Methodology &amp; Assumptions'!$B$5*V812) + ('Methodology &amp; Assumptions'!$B$6*W812), 2)</f>
        <v/>
      </c>
      <c r="Y812" s="28" t="n">
        <v>23.7</v>
      </c>
      <c r="Z812" s="11" t="inlineStr">
        <is>
          <t>Priority Tier 2 (Balanced Opportunity)</t>
        </is>
      </c>
    </row>
    <row r="813">
      <c r="A813" s="23" t="n">
        <v>3</v>
      </c>
      <c r="B813" s="23" t="n">
        <v>809</v>
      </c>
      <c r="C813" s="23" t="n">
        <v>2809</v>
      </c>
      <c r="D813" s="23" t="inlineStr">
        <is>
          <t>1380605047</t>
        </is>
      </c>
      <c r="E813" s="11" t="inlineStr">
        <is>
          <t>National Capital Region (NCR)</t>
        </is>
      </c>
      <c r="F813" s="11" t="inlineStr">
        <is>
          <t>First District (Not a Province)</t>
        </is>
      </c>
      <c r="G813" s="11" t="inlineStr">
        <is>
          <t>City of Manila</t>
        </is>
      </c>
      <c r="H813" s="11" t="inlineStr">
        <is>
          <t>Barangay 345</t>
        </is>
      </c>
      <c r="I813" s="24" t="n">
        <v>14.619945</v>
      </c>
      <c r="J813" s="24" t="n">
        <v>120.983822</v>
      </c>
      <c r="K813" s="23" t="inlineStr">
        <is>
          <t>U</t>
        </is>
      </c>
      <c r="L813" s="25" t="n">
        <v>1332</v>
      </c>
      <c r="M813" s="26" t="n">
        <v>4.34</v>
      </c>
      <c r="N813" s="25">
        <f>ROUND(L813/M813, 0)</f>
        <v/>
      </c>
      <c r="O813" s="25">
        <f>ROUND(N813*'Methodology &amp; Assumptions'!$B$7, 0)</f>
        <v/>
      </c>
      <c r="P813" s="23" t="inlineStr">
        <is>
          <t>Single Carrier (Band n50, 100MHz TDD)</t>
        </is>
      </c>
      <c r="Q813" s="27">
        <f>ROUNDUP(O813/'Methodology &amp; Assumptions'!$B$8, 0)</f>
        <v/>
      </c>
      <c r="R813" s="27" t="n">
        <v>1</v>
      </c>
      <c r="S813" s="26" t="n">
        <v>0.4</v>
      </c>
      <c r="T813" s="26" t="n">
        <v>0.13</v>
      </c>
      <c r="U813" s="11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26" t="n">
        <v>50.95</v>
      </c>
      <c r="W813" s="26" t="n">
        <v>70.3</v>
      </c>
      <c r="X813" s="26">
        <f>ROUND(('Methodology &amp; Assumptions'!$B$5*V813) + ('Methodology &amp; Assumptions'!$B$6*W813), 2)</f>
        <v/>
      </c>
      <c r="Y813" s="28" t="n">
        <v>10.9</v>
      </c>
      <c r="Z813" s="11" t="inlineStr">
        <is>
          <t>Priority Tier 2 (Balanced Opportunity)</t>
        </is>
      </c>
    </row>
    <row r="814">
      <c r="A814" s="23" t="n">
        <v>3</v>
      </c>
      <c r="B814" s="23" t="n">
        <v>810</v>
      </c>
      <c r="C814" s="23" t="n">
        <v>2810</v>
      </c>
      <c r="D814" s="23" t="inlineStr">
        <is>
          <t>1102504006</t>
        </is>
      </c>
      <c r="E814" s="11" t="inlineStr">
        <is>
          <t>Region XI (Davao Region)</t>
        </is>
      </c>
      <c r="F814" s="11" t="inlineStr">
        <is>
          <t>Davao Oriental</t>
        </is>
      </c>
      <c r="G814" s="11" t="inlineStr">
        <is>
          <t>Caraga</t>
        </is>
      </c>
      <c r="H814" s="11" t="inlineStr">
        <is>
          <t>Manorigao</t>
        </is>
      </c>
      <c r="I814" s="24" t="n">
        <v>7.40159</v>
      </c>
      <c r="J814" s="24" t="n">
        <v>126.539177</v>
      </c>
      <c r="K814" s="23" t="inlineStr">
        <is>
          <t>R</t>
        </is>
      </c>
      <c r="L814" s="25" t="n">
        <v>1700</v>
      </c>
      <c r="M814" s="26" t="n">
        <v>3.6</v>
      </c>
      <c r="N814" s="25">
        <f>ROUND(L814/M814, 0)</f>
        <v/>
      </c>
      <c r="O814" s="25">
        <f>ROUND(N814*'Methodology &amp; Assumptions'!$B$7, 0)</f>
        <v/>
      </c>
      <c r="P814" s="23" t="inlineStr">
        <is>
          <t>Single Carrier (Band n50, 100MHz TDD)</t>
        </is>
      </c>
      <c r="Q814" s="27">
        <f>ROUNDUP(O814/'Methodology &amp; Assumptions'!$B$8, 0)</f>
        <v/>
      </c>
      <c r="R814" s="27" t="n">
        <v>1</v>
      </c>
      <c r="S814" s="26" t="n">
        <v>61.13</v>
      </c>
      <c r="T814" s="26" t="n">
        <v>60.13</v>
      </c>
      <c r="U814" s="11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26" t="n">
        <v>50.01</v>
      </c>
      <c r="W814" s="26" t="n">
        <v>71.23</v>
      </c>
      <c r="X814" s="26">
        <f>ROUND(('Methodology &amp; Assumptions'!$B$5*V814) + ('Methodology &amp; Assumptions'!$B$6*W814), 2)</f>
        <v/>
      </c>
      <c r="Y814" s="28" t="n">
        <v>17.4</v>
      </c>
      <c r="Z814" s="11" t="inlineStr">
        <is>
          <t>Priority Tier 2 (Balanced Opportunity)</t>
        </is>
      </c>
    </row>
    <row r="815">
      <c r="A815" s="23" t="n">
        <v>3</v>
      </c>
      <c r="B815" s="23" t="n">
        <v>811</v>
      </c>
      <c r="C815" s="23" t="n">
        <v>2811</v>
      </c>
      <c r="D815" s="23" t="inlineStr">
        <is>
          <t>1380612019</t>
        </is>
      </c>
      <c r="E815" s="11" t="inlineStr">
        <is>
          <t>National Capital Region (NCR)</t>
        </is>
      </c>
      <c r="F815" s="11" t="inlineStr">
        <is>
          <t>First District (Not a Province)</t>
        </is>
      </c>
      <c r="G815" s="11" t="inlineStr">
        <is>
          <t>City of Manila</t>
        </is>
      </c>
      <c r="H815" s="11" t="inlineStr">
        <is>
          <t>Barangay 851</t>
        </is>
      </c>
      <c r="I815" s="24" t="n">
        <v>14.584268</v>
      </c>
      <c r="J815" s="24" t="n">
        <v>121.001855</v>
      </c>
      <c r="K815" s="23" t="inlineStr">
        <is>
          <t>U</t>
        </is>
      </c>
      <c r="L815" s="25" t="n">
        <v>1121</v>
      </c>
      <c r="M815" s="26" t="n">
        <v>4.11</v>
      </c>
      <c r="N815" s="25">
        <f>ROUND(L815/M815, 0)</f>
        <v/>
      </c>
      <c r="O815" s="25">
        <f>ROUND(N815*'Methodology &amp; Assumptions'!$B$7, 0)</f>
        <v/>
      </c>
      <c r="P815" s="23" t="inlineStr">
        <is>
          <t>Single Carrier (Band n50, 100MHz TDD)</t>
        </is>
      </c>
      <c r="Q815" s="27">
        <f>ROUNDUP(O815/'Methodology &amp; Assumptions'!$B$8, 0)</f>
        <v/>
      </c>
      <c r="R815" s="27" t="n">
        <v>1</v>
      </c>
      <c r="S815" s="26" t="n">
        <v>0.1</v>
      </c>
      <c r="T815" s="26" t="n">
        <v>0.1</v>
      </c>
      <c r="U815" s="11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26" t="n">
        <v>49.88</v>
      </c>
      <c r="W815" s="26" t="n">
        <v>71.36</v>
      </c>
      <c r="X815" s="26">
        <f>ROUND(('Methodology &amp; Assumptions'!$B$5*V815) + ('Methodology &amp; Assumptions'!$B$6*W815), 2)</f>
        <v/>
      </c>
      <c r="Y815" s="28" t="n">
        <v>10.9</v>
      </c>
      <c r="Z815" s="11" t="inlineStr">
        <is>
          <t>Priority Tier 2 (Balanced Opportunity)</t>
        </is>
      </c>
    </row>
    <row r="816">
      <c r="A816" s="23" t="n">
        <v>3</v>
      </c>
      <c r="B816" s="23" t="n">
        <v>812</v>
      </c>
      <c r="C816" s="23" t="n">
        <v>2812</v>
      </c>
      <c r="D816" s="23" t="inlineStr">
        <is>
          <t>0103302014</t>
        </is>
      </c>
      <c r="E816" s="11" t="inlineStr">
        <is>
          <t>Region I (Ilocos Region)</t>
        </is>
      </c>
      <c r="F816" s="11" t="inlineStr">
        <is>
          <t>La Union</t>
        </is>
      </c>
      <c r="G816" s="11" t="inlineStr">
        <is>
          <t>Aringay</t>
        </is>
      </c>
      <c r="H816" s="11" t="inlineStr">
        <is>
          <t>San Benito Norte</t>
        </is>
      </c>
      <c r="I816" s="24" t="n">
        <v>16.4102</v>
      </c>
      <c r="J816" s="24" t="n">
        <v>120.351496</v>
      </c>
      <c r="K816" s="23" t="inlineStr">
        <is>
          <t>R</t>
        </is>
      </c>
      <c r="L816" s="25" t="n">
        <v>3012</v>
      </c>
      <c r="M816" s="26" t="n">
        <v>3.7</v>
      </c>
      <c r="N816" s="25">
        <f>ROUND(L816/M816, 0)</f>
        <v/>
      </c>
      <c r="O816" s="25">
        <f>ROUND(N816*'Methodology &amp; Assumptions'!$B$7, 0)</f>
        <v/>
      </c>
      <c r="P816" s="23" t="inlineStr">
        <is>
          <t>Single Carrier (Band n50, 100MHz TDD)</t>
        </is>
      </c>
      <c r="Q816" s="27">
        <f>ROUNDUP(O816/'Methodology &amp; Assumptions'!$B$8, 0)</f>
        <v/>
      </c>
      <c r="R816" s="27" t="n">
        <v>1</v>
      </c>
      <c r="S816" s="26" t="n">
        <v>2.2</v>
      </c>
      <c r="T816" s="26" t="n">
        <v>0.28</v>
      </c>
      <c r="U816" s="11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26" t="n">
        <v>80.55</v>
      </c>
      <c r="W816" s="26" t="n">
        <v>40.66</v>
      </c>
      <c r="X816" s="26">
        <f>ROUND(('Methodology &amp; Assumptions'!$B$5*V816) + ('Methodology &amp; Assumptions'!$B$6*W816), 2)</f>
        <v/>
      </c>
      <c r="Y816" s="28" t="n">
        <v>8.300000000000001</v>
      </c>
      <c r="Z816" s="11" t="inlineStr">
        <is>
          <t>Priority Tier 2 (Balanced Opportunity)</t>
        </is>
      </c>
    </row>
    <row r="817">
      <c r="A817" s="23" t="n">
        <v>3</v>
      </c>
      <c r="B817" s="23" t="n">
        <v>813</v>
      </c>
      <c r="C817" s="23" t="n">
        <v>2813</v>
      </c>
      <c r="D817" s="23" t="inlineStr">
        <is>
          <t>0403403014</t>
        </is>
      </c>
      <c r="E817" s="11" t="inlineStr">
        <is>
          <t>Region IV-A (CALABARZON)</t>
        </is>
      </c>
      <c r="F817" s="11" t="inlineStr">
        <is>
          <t>Laguna</t>
        </is>
      </c>
      <c r="G817" s="11" t="inlineStr">
        <is>
          <t>City of Biñan</t>
        </is>
      </c>
      <c r="H817" s="11" t="inlineStr">
        <is>
          <t>Mampalasan</t>
        </is>
      </c>
      <c r="I817" s="24" t="n">
        <v>14.293412</v>
      </c>
      <c r="J817" s="24" t="n">
        <v>121.080158</v>
      </c>
      <c r="K817" s="23" t="inlineStr">
        <is>
          <t>U</t>
        </is>
      </c>
      <c r="L817" s="25" t="n">
        <v>14892</v>
      </c>
      <c r="M817" s="26" t="n">
        <v>3.3</v>
      </c>
      <c r="N817" s="25">
        <f>ROUND(L817/M817, 0)</f>
        <v/>
      </c>
      <c r="O817" s="25">
        <f>ROUND(N817*'Methodology &amp; Assumptions'!$B$7, 0)</f>
        <v/>
      </c>
      <c r="P817" s="23" t="inlineStr">
        <is>
          <t>Single Carrier (Band n50, 100MHz TDD)</t>
        </is>
      </c>
      <c r="Q817" s="27">
        <f>ROUNDUP(O817/'Methodology &amp; Assumptions'!$B$8, 0)</f>
        <v/>
      </c>
      <c r="R817" s="27" t="n">
        <v>1</v>
      </c>
      <c r="S817" s="26" t="n">
        <v>1.92</v>
      </c>
      <c r="T817" s="26" t="n">
        <v>1.28</v>
      </c>
      <c r="U817" s="11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26" t="n">
        <v>74.28</v>
      </c>
      <c r="W817" s="26" t="n">
        <v>46.93</v>
      </c>
      <c r="X817" s="26">
        <f>ROUND(('Methodology &amp; Assumptions'!$B$5*V817) + ('Methodology &amp; Assumptions'!$B$6*W817), 2)</f>
        <v/>
      </c>
      <c r="Y817" s="28" t="n">
        <v>7.2</v>
      </c>
      <c r="Z817" s="11" t="inlineStr">
        <is>
          <t>Priority Tier 2 (Balanced Opportunity)</t>
        </is>
      </c>
    </row>
    <row r="818">
      <c r="A818" s="23" t="n">
        <v>3</v>
      </c>
      <c r="B818" s="23" t="n">
        <v>814</v>
      </c>
      <c r="C818" s="23" t="n">
        <v>2814</v>
      </c>
      <c r="D818" s="23" t="inlineStr">
        <is>
          <t>0405806012</t>
        </is>
      </c>
      <c r="E818" s="11" t="inlineStr">
        <is>
          <t>Region IV-A (CALABARZON)</t>
        </is>
      </c>
      <c r="F818" s="11" t="inlineStr">
        <is>
          <t>Rizal</t>
        </is>
      </c>
      <c r="G818" s="11" t="inlineStr">
        <is>
          <t>Cardona</t>
        </is>
      </c>
      <c r="H818" s="11" t="inlineStr">
        <is>
          <t>Iglesia</t>
        </is>
      </c>
      <c r="I818" s="24" t="n">
        <v>14.491995</v>
      </c>
      <c r="J818" s="24" t="n">
        <v>121.221856</v>
      </c>
      <c r="K818" s="23" t="inlineStr">
        <is>
          <t>R</t>
        </is>
      </c>
      <c r="L818" s="25" t="n">
        <v>1575</v>
      </c>
      <c r="M818" s="26" t="n">
        <v>3.6</v>
      </c>
      <c r="N818" s="25">
        <f>ROUND(L818/M818, 0)</f>
        <v/>
      </c>
      <c r="O818" s="25">
        <f>ROUND(N818*'Methodology &amp; Assumptions'!$B$7, 0)</f>
        <v/>
      </c>
      <c r="P818" s="23" t="inlineStr">
        <is>
          <t>Single Carrier (Band n50, 100MHz TDD)</t>
        </is>
      </c>
      <c r="Q818" s="27">
        <f>ROUNDUP(O818/'Methodology &amp; Assumptions'!$B$8, 0)</f>
        <v/>
      </c>
      <c r="R818" s="27" t="n">
        <v>1</v>
      </c>
      <c r="S818" s="26" t="n">
        <v>1.18</v>
      </c>
      <c r="T818" s="26" t="n">
        <v>1.04</v>
      </c>
      <c r="U818" s="11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26" t="n">
        <v>71.8</v>
      </c>
      <c r="W818" s="26" t="n">
        <v>49.42</v>
      </c>
      <c r="X818" s="26">
        <f>ROUND(('Methodology &amp; Assumptions'!$B$5*V818) + ('Methodology &amp; Assumptions'!$B$6*W818), 2)</f>
        <v/>
      </c>
      <c r="Y818" s="28" t="n">
        <v>7.2</v>
      </c>
      <c r="Z818" s="11" t="inlineStr">
        <is>
          <t>Priority Tier 2 (Balanced Opportunity)</t>
        </is>
      </c>
    </row>
    <row r="819">
      <c r="A819" s="23" t="n">
        <v>3</v>
      </c>
      <c r="B819" s="23" t="n">
        <v>815</v>
      </c>
      <c r="C819" s="23" t="n">
        <v>2815</v>
      </c>
      <c r="D819" s="23" t="inlineStr">
        <is>
          <t>1408102004</t>
        </is>
      </c>
      <c r="E819" s="11" t="inlineStr">
        <is>
          <t>Cordillera Administrative Region (CAR)</t>
        </is>
      </c>
      <c r="F819" s="11" t="inlineStr">
        <is>
          <t>Apayao</t>
        </is>
      </c>
      <c r="G819" s="11" t="inlineStr">
        <is>
          <t>Conner</t>
        </is>
      </c>
      <c r="H819" s="11" t="inlineStr">
        <is>
          <t>Calafug</t>
        </is>
      </c>
      <c r="I819" s="24" t="n">
        <v>17.781358</v>
      </c>
      <c r="J819" s="24" t="n">
        <v>121.32628</v>
      </c>
      <c r="K819" s="23" t="inlineStr">
        <is>
          <t>R</t>
        </is>
      </c>
      <c r="L819" s="25" t="n">
        <v>1069</v>
      </c>
      <c r="M819" s="26" t="n">
        <v>4.2</v>
      </c>
      <c r="N819" s="25">
        <f>ROUND(L819/M819, 0)</f>
        <v/>
      </c>
      <c r="O819" s="25">
        <f>ROUND(N819*'Methodology &amp; Assumptions'!$B$7, 0)</f>
        <v/>
      </c>
      <c r="P819" s="23" t="inlineStr">
        <is>
          <t>Single Carrier (Band n50, 100MHz TDD)</t>
        </is>
      </c>
      <c r="Q819" s="27">
        <f>ROUNDUP(O819/'Methodology &amp; Assumptions'!$B$8, 0)</f>
        <v/>
      </c>
      <c r="R819" s="27" t="n">
        <v>1</v>
      </c>
      <c r="S819" s="26" t="n">
        <v>1.74</v>
      </c>
      <c r="T819" s="26" t="n">
        <v>0.24</v>
      </c>
      <c r="U819" s="11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26" t="n">
        <v>62.83</v>
      </c>
      <c r="W819" s="26" t="n">
        <v>58.39</v>
      </c>
      <c r="X819" s="26">
        <f>ROUND(('Methodology &amp; Assumptions'!$B$5*V819) + ('Methodology &amp; Assumptions'!$B$6*W819), 2)</f>
        <v/>
      </c>
      <c r="Y819" s="28" t="n">
        <v>10.9</v>
      </c>
      <c r="Z819" s="11" t="inlineStr">
        <is>
          <t>Priority Tier 2 (Balanced Opportunity)</t>
        </is>
      </c>
    </row>
    <row r="820">
      <c r="A820" s="23" t="n">
        <v>3</v>
      </c>
      <c r="B820" s="23" t="n">
        <v>816</v>
      </c>
      <c r="C820" s="23" t="n">
        <v>2816</v>
      </c>
      <c r="D820" s="23" t="inlineStr">
        <is>
          <t>1380606086</t>
        </is>
      </c>
      <c r="E820" s="11" t="inlineStr">
        <is>
          <t>National Capital Region (NCR)</t>
        </is>
      </c>
      <c r="F820" s="11" t="inlineStr">
        <is>
          <t>First District (Not a Province)</t>
        </is>
      </c>
      <c r="G820" s="11" t="inlineStr">
        <is>
          <t>City of Manila</t>
        </is>
      </c>
      <c r="H820" s="11" t="inlineStr">
        <is>
          <t>Barangay 480</t>
        </is>
      </c>
      <c r="I820" s="24" t="n">
        <v>14.613643</v>
      </c>
      <c r="J820" s="24" t="n">
        <v>120.991482</v>
      </c>
      <c r="K820" s="23" t="inlineStr">
        <is>
          <t>U</t>
        </is>
      </c>
      <c r="L820" s="25" t="n">
        <v>1073</v>
      </c>
      <c r="M820" s="26" t="n">
        <v>3.08</v>
      </c>
      <c r="N820" s="25">
        <f>ROUND(L820/M820, 0)</f>
        <v/>
      </c>
      <c r="O820" s="25">
        <f>ROUND(N820*'Methodology &amp; Assumptions'!$B$7, 0)</f>
        <v/>
      </c>
      <c r="P820" s="23" t="inlineStr">
        <is>
          <t>Single Carrier (Band n50, 100MHz TDD)</t>
        </is>
      </c>
      <c r="Q820" s="27">
        <f>ROUNDUP(O820/'Methodology &amp; Assumptions'!$B$8, 0)</f>
        <v/>
      </c>
      <c r="R820" s="27" t="n">
        <v>1</v>
      </c>
      <c r="S820" s="26" t="n">
        <v>0.98</v>
      </c>
      <c r="T820" s="26" t="n">
        <v>0.47</v>
      </c>
      <c r="U820" s="11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26" t="n">
        <v>51.7</v>
      </c>
      <c r="W820" s="26" t="n">
        <v>69.53</v>
      </c>
      <c r="X820" s="26">
        <f>ROUND(('Methodology &amp; Assumptions'!$B$5*V820) + ('Methodology &amp; Assumptions'!$B$6*W820), 2)</f>
        <v/>
      </c>
      <c r="Y820" s="28" t="n">
        <v>10.9</v>
      </c>
      <c r="Z820" s="11" t="inlineStr">
        <is>
          <t>Priority Tier 2 (Balanced Opportunity)</t>
        </is>
      </c>
    </row>
    <row r="821">
      <c r="A821" s="23" t="n">
        <v>3</v>
      </c>
      <c r="B821" s="23" t="n">
        <v>817</v>
      </c>
      <c r="C821" s="23" t="n">
        <v>2817</v>
      </c>
      <c r="D821" s="23" t="inlineStr">
        <is>
          <t>1380607010</t>
        </is>
      </c>
      <c r="E821" s="11" t="inlineStr">
        <is>
          <t>National Capital Region (NCR)</t>
        </is>
      </c>
      <c r="F821" s="11" t="inlineStr">
        <is>
          <t>First District (Not a Province)</t>
        </is>
      </c>
      <c r="G821" s="11" t="inlineStr">
        <is>
          <t>City of Manila</t>
        </is>
      </c>
      <c r="H821" s="11" t="inlineStr">
        <is>
          <t>Barangay 646</t>
        </is>
      </c>
      <c r="I821" s="24" t="n">
        <v>14.592726</v>
      </c>
      <c r="J821" s="24" t="n">
        <v>120.988579</v>
      </c>
      <c r="K821" s="23" t="inlineStr">
        <is>
          <t>U</t>
        </is>
      </c>
      <c r="L821" s="25" t="n">
        <v>970</v>
      </c>
      <c r="M821" s="26" t="n">
        <v>3.22</v>
      </c>
      <c r="N821" s="25">
        <f>ROUND(L821/M821, 0)</f>
        <v/>
      </c>
      <c r="O821" s="25">
        <f>ROUND(N821*'Methodology &amp; Assumptions'!$B$7, 0)</f>
        <v/>
      </c>
      <c r="P821" s="23" t="inlineStr">
        <is>
          <t>Single Carrier (Band n50, 100MHz TDD)</t>
        </is>
      </c>
      <c r="Q821" s="27">
        <f>ROUNDUP(O821/'Methodology &amp; Assumptions'!$B$8, 0)</f>
        <v/>
      </c>
      <c r="R821" s="27" t="n">
        <v>1</v>
      </c>
      <c r="S821" s="26" t="n">
        <v>0.52</v>
      </c>
      <c r="T821" s="26" t="n">
        <v>0.41</v>
      </c>
      <c r="U821" s="11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26" t="n">
        <v>50.73</v>
      </c>
      <c r="W821" s="26" t="n">
        <v>70.48</v>
      </c>
      <c r="X821" s="26">
        <f>ROUND(('Methodology &amp; Assumptions'!$B$5*V821) + ('Methodology &amp; Assumptions'!$B$6*W821), 2)</f>
        <v/>
      </c>
      <c r="Y821" s="28" t="n">
        <v>10.9</v>
      </c>
      <c r="Z821" s="11" t="inlineStr">
        <is>
          <t>Priority Tier 2 (Balanced Opportunity)</t>
        </is>
      </c>
    </row>
    <row r="822">
      <c r="A822" s="23" t="n">
        <v>3</v>
      </c>
      <c r="B822" s="23" t="n">
        <v>818</v>
      </c>
      <c r="C822" s="23" t="n">
        <v>2818</v>
      </c>
      <c r="D822" s="23" t="inlineStr">
        <is>
          <t>1380601254</t>
        </is>
      </c>
      <c r="E822" s="11" t="inlineStr">
        <is>
          <t>National Capital Region (NCR)</t>
        </is>
      </c>
      <c r="F822" s="11" t="inlineStr">
        <is>
          <t>First District (Not a Province)</t>
        </is>
      </c>
      <c r="G822" s="11" t="inlineStr">
        <is>
          <t>City of Manila</t>
        </is>
      </c>
      <c r="H822" s="11" t="inlineStr">
        <is>
          <t>Barangay 253</t>
        </is>
      </c>
      <c r="I822" s="24" t="n">
        <v>14.61321</v>
      </c>
      <c r="J822" s="24" t="n">
        <v>120.976613</v>
      </c>
      <c r="K822" s="23" t="inlineStr">
        <is>
          <t>U</t>
        </is>
      </c>
      <c r="L822" s="25" t="n">
        <v>1339</v>
      </c>
      <c r="M822" s="26" t="n">
        <v>4.49</v>
      </c>
      <c r="N822" s="25">
        <f>ROUND(L822/M822, 0)</f>
        <v/>
      </c>
      <c r="O822" s="25">
        <f>ROUND(N822*'Methodology &amp; Assumptions'!$B$7, 0)</f>
        <v/>
      </c>
      <c r="P822" s="23" t="inlineStr">
        <is>
          <t>Single Carrier (Band n50, 100MHz TDD)</t>
        </is>
      </c>
      <c r="Q822" s="27">
        <f>ROUNDUP(O822/'Methodology &amp; Assumptions'!$B$8, 0)</f>
        <v/>
      </c>
      <c r="R822" s="27" t="n">
        <v>1</v>
      </c>
      <c r="S822" s="26" t="n">
        <v>0.77</v>
      </c>
      <c r="T822" s="26" t="n">
        <v>0.41</v>
      </c>
      <c r="U822" s="11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26" t="n">
        <v>50.63</v>
      </c>
      <c r="W822" s="26" t="n">
        <v>70.59999999999999</v>
      </c>
      <c r="X822" s="26">
        <f>ROUND(('Methodology &amp; Assumptions'!$B$5*V822) + ('Methodology &amp; Assumptions'!$B$6*W822), 2)</f>
        <v/>
      </c>
      <c r="Y822" s="28" t="n">
        <v>10.9</v>
      </c>
      <c r="Z822" s="11" t="inlineStr">
        <is>
          <t>Priority Tier 2 (Balanced Opportunity)</t>
        </is>
      </c>
    </row>
    <row r="823">
      <c r="A823" s="23" t="n">
        <v>3</v>
      </c>
      <c r="B823" s="23" t="n">
        <v>819</v>
      </c>
      <c r="C823" s="23" t="n">
        <v>2819</v>
      </c>
      <c r="D823" s="23" t="inlineStr">
        <is>
          <t>0205002016</t>
        </is>
      </c>
      <c r="E823" s="11" t="inlineStr">
        <is>
          <t>Region II (Cagayan Valley)</t>
        </is>
      </c>
      <c r="F823" s="11" t="inlineStr">
        <is>
          <t>Nueva Vizcaya</t>
        </is>
      </c>
      <c r="G823" s="11" t="inlineStr">
        <is>
          <t>Aritao</t>
        </is>
      </c>
      <c r="H823" s="11" t="inlineStr">
        <is>
          <t>Anayo</t>
        </is>
      </c>
      <c r="I823" s="24" t="n">
        <v>16.192365</v>
      </c>
      <c r="J823" s="24" t="n">
        <v>121.085102</v>
      </c>
      <c r="K823" s="23" t="inlineStr">
        <is>
          <t>R</t>
        </is>
      </c>
      <c r="L823" s="25" t="n">
        <v>507</v>
      </c>
      <c r="M823" s="26" t="n">
        <v>3.8</v>
      </c>
      <c r="N823" s="25">
        <f>ROUND(L823/M823, 0)</f>
        <v/>
      </c>
      <c r="O823" s="25">
        <f>ROUND(N823*'Methodology &amp; Assumptions'!$B$7, 0)</f>
        <v/>
      </c>
      <c r="P823" s="23" t="inlineStr">
        <is>
          <t>Single Carrier (Band n50, 100MHz TDD)</t>
        </is>
      </c>
      <c r="Q823" s="27">
        <f>ROUNDUP(O823/'Methodology &amp; Assumptions'!$B$8, 0)</f>
        <v/>
      </c>
      <c r="R823" s="27" t="n">
        <v>1</v>
      </c>
      <c r="S823" s="26" t="n">
        <v>10.6</v>
      </c>
      <c r="T823" s="26" t="n">
        <v>10.77</v>
      </c>
      <c r="U823" s="11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26" t="n">
        <v>42.16</v>
      </c>
      <c r="W823" s="26" t="n">
        <v>79.05</v>
      </c>
      <c r="X823" s="26">
        <f>ROUND(('Methodology &amp; Assumptions'!$B$5*V823) + ('Methodology &amp; Assumptions'!$B$6*W823), 2)</f>
        <v/>
      </c>
      <c r="Y823" s="28" t="n">
        <v>8.300000000000001</v>
      </c>
      <c r="Z823" s="11" t="inlineStr">
        <is>
          <t>Priority Tier 2 (Balanced Opportunity)</t>
        </is>
      </c>
    </row>
    <row r="824">
      <c r="A824" s="23" t="n">
        <v>3</v>
      </c>
      <c r="B824" s="23" t="n">
        <v>820</v>
      </c>
      <c r="C824" s="23" t="n">
        <v>2820</v>
      </c>
      <c r="D824" s="23" t="inlineStr">
        <is>
          <t>0405806009</t>
        </is>
      </c>
      <c r="E824" s="11" t="inlineStr">
        <is>
          <t>Region IV-A (CALABARZON)</t>
        </is>
      </c>
      <c r="F824" s="11" t="inlineStr">
        <is>
          <t>Rizal</t>
        </is>
      </c>
      <c r="G824" s="11" t="inlineStr">
        <is>
          <t>Cardona</t>
        </is>
      </c>
      <c r="H824" s="11" t="inlineStr">
        <is>
          <t>Del Remedio</t>
        </is>
      </c>
      <c r="I824" s="24" t="n">
        <v>14.48656</v>
      </c>
      <c r="J824" s="24" t="n">
        <v>121.22954</v>
      </c>
      <c r="K824" s="23" t="inlineStr">
        <is>
          <t>R</t>
        </is>
      </c>
      <c r="L824" s="25" t="n">
        <v>2259</v>
      </c>
      <c r="M824" s="26" t="n">
        <v>3.6</v>
      </c>
      <c r="N824" s="25">
        <f>ROUND(L824/M824, 0)</f>
        <v/>
      </c>
      <c r="O824" s="25">
        <f>ROUND(N824*'Methodology &amp; Assumptions'!$B$7, 0)</f>
        <v/>
      </c>
      <c r="P824" s="23" t="inlineStr">
        <is>
          <t>Single Carrier (Band n50, 100MHz TDD)</t>
        </is>
      </c>
      <c r="Q824" s="27">
        <f>ROUNDUP(O824/'Methodology &amp; Assumptions'!$B$8, 0)</f>
        <v/>
      </c>
      <c r="R824" s="27" t="n">
        <v>1</v>
      </c>
      <c r="S824" s="26" t="n">
        <v>0.17</v>
      </c>
      <c r="T824" s="26" t="n">
        <v>0.09</v>
      </c>
      <c r="U824" s="11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26" t="n">
        <v>79.31</v>
      </c>
      <c r="W824" s="26" t="n">
        <v>41.9</v>
      </c>
      <c r="X824" s="26">
        <f>ROUND(('Methodology &amp; Assumptions'!$B$5*V824) + ('Methodology &amp; Assumptions'!$B$6*W824), 2)</f>
        <v/>
      </c>
      <c r="Y824" s="28" t="n">
        <v>7.2</v>
      </c>
      <c r="Z824" s="11" t="inlineStr">
        <is>
          <t>Priority Tier 2 (Balanced Opportunity)</t>
        </is>
      </c>
    </row>
    <row r="825">
      <c r="A825" s="23" t="n">
        <v>3</v>
      </c>
      <c r="B825" s="23" t="n">
        <v>821</v>
      </c>
      <c r="C825" s="23" t="n">
        <v>2821</v>
      </c>
      <c r="D825" s="23" t="inlineStr">
        <is>
          <t>0304928031</t>
        </is>
      </c>
      <c r="E825" s="11" t="inlineStr">
        <is>
          <t>Region III (Central Luzon)</t>
        </is>
      </c>
      <c r="F825" s="11" t="inlineStr">
        <is>
          <t>Nueva Ecija</t>
        </is>
      </c>
      <c r="G825" s="11" t="inlineStr">
        <is>
          <t>Santa Rosa</t>
        </is>
      </c>
      <c r="H825" s="11" t="inlineStr">
        <is>
          <t>Mabini</t>
        </is>
      </c>
      <c r="I825" s="24" t="n">
        <v>15.433481</v>
      </c>
      <c r="J825" s="24" t="n">
        <v>120.936706</v>
      </c>
      <c r="K825" s="23" t="inlineStr">
        <is>
          <t>R</t>
        </is>
      </c>
      <c r="L825" s="25" t="n">
        <v>1983</v>
      </c>
      <c r="M825" s="26" t="n">
        <v>3.5</v>
      </c>
      <c r="N825" s="25">
        <f>ROUND(L825/M825, 0)</f>
        <v/>
      </c>
      <c r="O825" s="25">
        <f>ROUND(N825*'Methodology &amp; Assumptions'!$B$7, 0)</f>
        <v/>
      </c>
      <c r="P825" s="23" t="inlineStr">
        <is>
          <t>Single Carrier (Band n50, 100MHz TDD)</t>
        </is>
      </c>
      <c r="Q825" s="27">
        <f>ROUNDUP(O825/'Methodology &amp; Assumptions'!$B$8, 0)</f>
        <v/>
      </c>
      <c r="R825" s="27" t="n">
        <v>1</v>
      </c>
      <c r="S825" s="26" t="n">
        <v>0.95</v>
      </c>
      <c r="T825" s="26" t="n">
        <v>0.35</v>
      </c>
      <c r="U825" s="11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26" t="n">
        <v>77.02</v>
      </c>
      <c r="W825" s="26" t="n">
        <v>44.17</v>
      </c>
      <c r="X825" s="26">
        <f>ROUND(('Methodology &amp; Assumptions'!$B$5*V825) + ('Methodology &amp; Assumptions'!$B$6*W825), 2)</f>
        <v/>
      </c>
      <c r="Y825" s="28" t="n">
        <v>8.300000000000001</v>
      </c>
      <c r="Z825" s="11" t="inlineStr">
        <is>
          <t>Priority Tier 2 (Balanced Opportunity)</t>
        </is>
      </c>
    </row>
    <row r="826">
      <c r="A826" s="23" t="n">
        <v>3</v>
      </c>
      <c r="B826" s="23" t="n">
        <v>822</v>
      </c>
      <c r="C826" s="23" t="n">
        <v>2822</v>
      </c>
      <c r="D826" s="23" t="inlineStr">
        <is>
          <t>0405630020</t>
        </is>
      </c>
      <c r="E826" s="11" t="inlineStr">
        <is>
          <t>Region IV-A (CALABARZON)</t>
        </is>
      </c>
      <c r="F826" s="11" t="inlineStr">
        <is>
          <t>Quezon</t>
        </is>
      </c>
      <c r="G826" s="11" t="inlineStr">
        <is>
          <t>Pagbilao</t>
        </is>
      </c>
      <c r="H826" s="11" t="inlineStr">
        <is>
          <t>Barangay 2 Daungan</t>
        </is>
      </c>
      <c r="I826" s="24" t="n">
        <v>13.967198</v>
      </c>
      <c r="J826" s="24" t="n">
        <v>121.689442</v>
      </c>
      <c r="K826" s="23" t="inlineStr">
        <is>
          <t>R</t>
        </is>
      </c>
      <c r="L826" s="25" t="n">
        <v>2040</v>
      </c>
      <c r="M826" s="26" t="n">
        <v>3.8</v>
      </c>
      <c r="N826" s="25">
        <f>ROUND(L826/M826, 0)</f>
        <v/>
      </c>
      <c r="O826" s="25">
        <f>ROUND(N826*'Methodology &amp; Assumptions'!$B$7, 0)</f>
        <v/>
      </c>
      <c r="P826" s="23" t="inlineStr">
        <is>
          <t>Single Carrier (Band n50, 100MHz TDD)</t>
        </is>
      </c>
      <c r="Q826" s="27">
        <f>ROUNDUP(O826/'Methodology &amp; Assumptions'!$B$8, 0)</f>
        <v/>
      </c>
      <c r="R826" s="27" t="n">
        <v>1</v>
      </c>
      <c r="S826" s="26" t="n">
        <v>0.95</v>
      </c>
      <c r="T826" s="26" t="n">
        <v>0.59</v>
      </c>
      <c r="U826" s="11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26" t="n">
        <v>75.95</v>
      </c>
      <c r="W826" s="26" t="n">
        <v>45.25</v>
      </c>
      <c r="X826" s="26">
        <f>ROUND(('Methodology &amp; Assumptions'!$B$5*V826) + ('Methodology &amp; Assumptions'!$B$6*W826), 2)</f>
        <v/>
      </c>
      <c r="Y826" s="28" t="n">
        <v>7.2</v>
      </c>
      <c r="Z826" s="11" t="inlineStr">
        <is>
          <t>Priority Tier 2 (Balanced Opportunity)</t>
        </is>
      </c>
    </row>
    <row r="827">
      <c r="A827" s="23" t="n">
        <v>3</v>
      </c>
      <c r="B827" s="23" t="n">
        <v>823</v>
      </c>
      <c r="C827" s="23" t="n">
        <v>2823</v>
      </c>
      <c r="D827" s="23" t="inlineStr">
        <is>
          <t>1381100035</t>
        </is>
      </c>
      <c r="E827" s="11" t="inlineStr">
        <is>
          <t>National Capital Region (NCR)</t>
        </is>
      </c>
      <c r="F827" s="11" t="inlineStr">
        <is>
          <t>Fourth District (Not a Province)</t>
        </is>
      </c>
      <c r="G827" s="11" t="inlineStr">
        <is>
          <t>Pasay City</t>
        </is>
      </c>
      <c r="H827" s="11" t="inlineStr">
        <is>
          <t>Barangay 35</t>
        </is>
      </c>
      <c r="I827" s="24" t="n">
        <v>14.555306</v>
      </c>
      <c r="J827" s="24" t="n">
        <v>120.994428</v>
      </c>
      <c r="K827" s="23" t="inlineStr">
        <is>
          <t>U</t>
        </is>
      </c>
      <c r="L827" s="25" t="n">
        <v>1083</v>
      </c>
      <c r="M827" s="26" t="n">
        <v>3.28</v>
      </c>
      <c r="N827" s="25">
        <f>ROUND(L827/M827, 0)</f>
        <v/>
      </c>
      <c r="O827" s="25">
        <f>ROUND(N827*'Methodology &amp; Assumptions'!$B$7, 0)</f>
        <v/>
      </c>
      <c r="P827" s="23" t="inlineStr">
        <is>
          <t>Single Carrier (Band n50, 100MHz TDD)</t>
        </is>
      </c>
      <c r="Q827" s="27">
        <f>ROUNDUP(O827/'Methodology &amp; Assumptions'!$B$8, 0)</f>
        <v/>
      </c>
      <c r="R827" s="27" t="n">
        <v>1</v>
      </c>
      <c r="S827" s="26" t="n">
        <v>0.37</v>
      </c>
      <c r="T827" s="26" t="n">
        <v>0.3</v>
      </c>
      <c r="U827" s="11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26" t="n">
        <v>51.7</v>
      </c>
      <c r="W827" s="26" t="n">
        <v>69.51000000000001</v>
      </c>
      <c r="X827" s="26">
        <f>ROUND(('Methodology &amp; Assumptions'!$B$5*V827) + ('Methodology &amp; Assumptions'!$B$6*W827), 2)</f>
        <v/>
      </c>
      <c r="Y827" s="28" t="n">
        <v>10.9</v>
      </c>
      <c r="Z827" s="11" t="inlineStr">
        <is>
          <t>Priority Tier 2 (Balanced Opportunity)</t>
        </is>
      </c>
    </row>
    <row r="828">
      <c r="A828" s="23" t="n">
        <v>3</v>
      </c>
      <c r="B828" s="23" t="n">
        <v>824</v>
      </c>
      <c r="C828" s="23" t="n">
        <v>2824</v>
      </c>
      <c r="D828" s="23" t="inlineStr">
        <is>
          <t>1380601236</t>
        </is>
      </c>
      <c r="E828" s="11" t="inlineStr">
        <is>
          <t>National Capital Region (NCR)</t>
        </is>
      </c>
      <c r="F828" s="11" t="inlineStr">
        <is>
          <t>First District (Not a Province)</t>
        </is>
      </c>
      <c r="G828" s="11" t="inlineStr">
        <is>
          <t>City of Manila</t>
        </is>
      </c>
      <c r="H828" s="11" t="inlineStr">
        <is>
          <t>Barangay 235</t>
        </is>
      </c>
      <c r="I828" s="24" t="n">
        <v>14.615546</v>
      </c>
      <c r="J828" s="24" t="n">
        <v>120.97663</v>
      </c>
      <c r="K828" s="23" t="inlineStr">
        <is>
          <t>U</t>
        </is>
      </c>
      <c r="L828" s="25" t="n">
        <v>1264</v>
      </c>
      <c r="M828" s="26" t="n">
        <v>4.23</v>
      </c>
      <c r="N828" s="25">
        <f>ROUND(L828/M828, 0)</f>
        <v/>
      </c>
      <c r="O828" s="25">
        <f>ROUND(N828*'Methodology &amp; Assumptions'!$B$7, 0)</f>
        <v/>
      </c>
      <c r="P828" s="23" t="inlineStr">
        <is>
          <t>Single Carrier (Band n50, 100MHz TDD)</t>
        </is>
      </c>
      <c r="Q828" s="27">
        <f>ROUNDUP(O828/'Methodology &amp; Assumptions'!$B$8, 0)</f>
        <v/>
      </c>
      <c r="R828" s="27" t="n">
        <v>1</v>
      </c>
      <c r="S828" s="26" t="n">
        <v>0.68</v>
      </c>
      <c r="T828" s="26" t="n">
        <v>0.16</v>
      </c>
      <c r="U828" s="11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26" t="n">
        <v>50.73</v>
      </c>
      <c r="W828" s="26" t="n">
        <v>70.45999999999999</v>
      </c>
      <c r="X828" s="26">
        <f>ROUND(('Methodology &amp; Assumptions'!$B$5*V828) + ('Methodology &amp; Assumptions'!$B$6*W828), 2)</f>
        <v/>
      </c>
      <c r="Y828" s="28" t="n">
        <v>10.9</v>
      </c>
      <c r="Z828" s="11" t="inlineStr">
        <is>
          <t>Priority Tier 2 (Balanced Opportunity)</t>
        </is>
      </c>
    </row>
    <row r="829">
      <c r="A829" s="23" t="n">
        <v>3</v>
      </c>
      <c r="B829" s="23" t="n">
        <v>825</v>
      </c>
      <c r="C829" s="23" t="n">
        <v>2825</v>
      </c>
      <c r="D829" s="23" t="inlineStr">
        <is>
          <t>1380601172</t>
        </is>
      </c>
      <c r="E829" s="11" t="inlineStr">
        <is>
          <t>National Capital Region (NCR)</t>
        </is>
      </c>
      <c r="F829" s="11" t="inlineStr">
        <is>
          <t>First District (Not a Province)</t>
        </is>
      </c>
      <c r="G829" s="11" t="inlineStr">
        <is>
          <t>City of Manila</t>
        </is>
      </c>
      <c r="H829" s="11" t="inlineStr">
        <is>
          <t>Barangay 172</t>
        </is>
      </c>
      <c r="I829" s="24" t="n">
        <v>14.627534</v>
      </c>
      <c r="J829" s="24" t="n">
        <v>120.967972</v>
      </c>
      <c r="K829" s="23" t="inlineStr">
        <is>
          <t>U</t>
        </is>
      </c>
      <c r="L829" s="25" t="n">
        <v>1038</v>
      </c>
      <c r="M829" s="26" t="n">
        <v>3.96</v>
      </c>
      <c r="N829" s="25">
        <f>ROUND(L829/M829, 0)</f>
        <v/>
      </c>
      <c r="O829" s="25">
        <f>ROUND(N829*'Methodology &amp; Assumptions'!$B$7, 0)</f>
        <v/>
      </c>
      <c r="P829" s="23" t="inlineStr">
        <is>
          <t>Single Carrier (Band n50, 100MHz TDD)</t>
        </is>
      </c>
      <c r="Q829" s="27">
        <f>ROUNDUP(O829/'Methodology &amp; Assumptions'!$B$8, 0)</f>
        <v/>
      </c>
      <c r="R829" s="27" t="n">
        <v>1</v>
      </c>
      <c r="S829" s="26" t="n">
        <v>0.58</v>
      </c>
      <c r="T829" s="26" t="n">
        <v>0.26</v>
      </c>
      <c r="U829" s="11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26" t="n">
        <v>49.55</v>
      </c>
      <c r="W829" s="26" t="n">
        <v>71.64</v>
      </c>
      <c r="X829" s="26">
        <f>ROUND(('Methodology &amp; Assumptions'!$B$5*V829) + ('Methodology &amp; Assumptions'!$B$6*W829), 2)</f>
        <v/>
      </c>
      <c r="Y829" s="28" t="n">
        <v>10.9</v>
      </c>
      <c r="Z829" s="11" t="inlineStr">
        <is>
          <t>Priority Tier 2 (Balanced Opportunity)</t>
        </is>
      </c>
    </row>
    <row r="830">
      <c r="A830" s="23" t="n">
        <v>3</v>
      </c>
      <c r="B830" s="23" t="n">
        <v>826</v>
      </c>
      <c r="C830" s="23" t="n">
        <v>2826</v>
      </c>
      <c r="D830" s="23" t="inlineStr">
        <is>
          <t>1907004012</t>
        </is>
      </c>
      <c r="E830" s="11" t="inlineStr">
        <is>
          <t>Bangsamoro Autonomous Region In Muslim Mindanao (BARMM)</t>
        </is>
      </c>
      <c r="F830" s="11" t="inlineStr">
        <is>
          <t>Tawi-Tawi</t>
        </is>
      </c>
      <c r="G830" s="11" t="inlineStr">
        <is>
          <t>Simunul</t>
        </is>
      </c>
      <c r="H830" s="11" t="inlineStr">
        <is>
          <t>Panglima Mastul</t>
        </is>
      </c>
      <c r="I830" s="24" t="n">
        <v>4.870831</v>
      </c>
      <c r="J830" s="24" t="n">
        <v>119.806291</v>
      </c>
      <c r="K830" s="23" t="inlineStr">
        <is>
          <t>R</t>
        </is>
      </c>
      <c r="L830" s="25" t="n">
        <v>2029</v>
      </c>
      <c r="M830" s="26" t="n">
        <v>5.8</v>
      </c>
      <c r="N830" s="25">
        <f>ROUND(L830/M830, 0)</f>
        <v/>
      </c>
      <c r="O830" s="25">
        <f>ROUND(N830*'Methodology &amp; Assumptions'!$B$7, 0)</f>
        <v/>
      </c>
      <c r="P830" s="23" t="inlineStr">
        <is>
          <t>Single Carrier (Band n50, 100MHz TDD)</t>
        </is>
      </c>
      <c r="Q830" s="27">
        <f>ROUNDUP(O830/'Methodology &amp; Assumptions'!$B$8, 0)</f>
        <v/>
      </c>
      <c r="R830" s="27" t="n">
        <v>1</v>
      </c>
      <c r="S830" s="26" t="n">
        <v>999</v>
      </c>
      <c r="T830" s="26" t="n">
        <v>999</v>
      </c>
      <c r="U830" s="11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26" t="n">
        <v>42.3</v>
      </c>
      <c r="W830" s="26" t="n">
        <v>78.90000000000001</v>
      </c>
      <c r="X830" s="26">
        <f>ROUND(('Methodology &amp; Assumptions'!$B$5*V830) + ('Methodology &amp; Assumptions'!$B$6*W830), 2)</f>
        <v/>
      </c>
      <c r="Y830" s="28" t="n">
        <v>11</v>
      </c>
      <c r="Z830" s="11" t="inlineStr">
        <is>
          <t>Priority Tier 2 (Balanced Opportunity)</t>
        </is>
      </c>
    </row>
    <row r="831">
      <c r="A831" s="23" t="n">
        <v>3</v>
      </c>
      <c r="B831" s="23" t="n">
        <v>827</v>
      </c>
      <c r="C831" s="23" t="n">
        <v>2827</v>
      </c>
      <c r="D831" s="23" t="inlineStr">
        <is>
          <t>0103313029</t>
        </is>
      </c>
      <c r="E831" s="11" t="inlineStr">
        <is>
          <t>Region I (Ilocos Region)</t>
        </is>
      </c>
      <c r="F831" s="11" t="inlineStr">
        <is>
          <t>La Union</t>
        </is>
      </c>
      <c r="G831" s="11" t="inlineStr">
        <is>
          <t>Rosario</t>
        </is>
      </c>
      <c r="H831" s="11" t="inlineStr">
        <is>
          <t>Subusub</t>
        </is>
      </c>
      <c r="I831" s="24" t="n">
        <v>16.228912</v>
      </c>
      <c r="J831" s="24" t="n">
        <v>120.493101</v>
      </c>
      <c r="K831" s="23" t="inlineStr">
        <is>
          <t>R</t>
        </is>
      </c>
      <c r="L831" s="25" t="n">
        <v>2975</v>
      </c>
      <c r="M831" s="26" t="n">
        <v>3.7</v>
      </c>
      <c r="N831" s="25">
        <f>ROUND(L831/M831, 0)</f>
        <v/>
      </c>
      <c r="O831" s="25">
        <f>ROUND(N831*'Methodology &amp; Assumptions'!$B$7, 0)</f>
        <v/>
      </c>
      <c r="P831" s="23" t="inlineStr">
        <is>
          <t>Single Carrier (Band n50, 100MHz TDD)</t>
        </is>
      </c>
      <c r="Q831" s="27">
        <f>ROUNDUP(O831/'Methodology &amp; Assumptions'!$B$8, 0)</f>
        <v/>
      </c>
      <c r="R831" s="27" t="n">
        <v>1</v>
      </c>
      <c r="S831" s="26" t="n">
        <v>1.13</v>
      </c>
      <c r="T831" s="26" t="n">
        <v>0.36</v>
      </c>
      <c r="U831" s="11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26" t="n">
        <v>84.03</v>
      </c>
      <c r="W831" s="26" t="n">
        <v>37.14</v>
      </c>
      <c r="X831" s="26">
        <f>ROUND(('Methodology &amp; Assumptions'!$B$5*V831) + ('Methodology &amp; Assumptions'!$B$6*W831), 2)</f>
        <v/>
      </c>
      <c r="Y831" s="28" t="n">
        <v>8.300000000000001</v>
      </c>
      <c r="Z831" s="11" t="inlineStr">
        <is>
          <t>Priority Tier 2 (Balanced Opportunity)</t>
        </is>
      </c>
    </row>
    <row r="832">
      <c r="A832" s="23" t="n">
        <v>3</v>
      </c>
      <c r="B832" s="23" t="n">
        <v>828</v>
      </c>
      <c r="C832" s="23" t="n">
        <v>2828</v>
      </c>
      <c r="D832" s="23" t="inlineStr">
        <is>
          <t>1380601196</t>
        </is>
      </c>
      <c r="E832" s="11" t="inlineStr">
        <is>
          <t>National Capital Region (NCR)</t>
        </is>
      </c>
      <c r="F832" s="11" t="inlineStr">
        <is>
          <t>First District (Not a Province)</t>
        </is>
      </c>
      <c r="G832" s="11" t="inlineStr">
        <is>
          <t>City of Manila</t>
        </is>
      </c>
      <c r="H832" s="11" t="inlineStr">
        <is>
          <t>Barangay 196</t>
        </is>
      </c>
      <c r="I832" s="24" t="n">
        <v>14.635051</v>
      </c>
      <c r="J832" s="24" t="n">
        <v>120.980911</v>
      </c>
      <c r="K832" s="23" t="inlineStr">
        <is>
          <t>U</t>
        </is>
      </c>
      <c r="L832" s="25" t="n">
        <v>1468</v>
      </c>
      <c r="M832" s="26" t="n">
        <v>4.21</v>
      </c>
      <c r="N832" s="25">
        <f>ROUND(L832/M832, 0)</f>
        <v/>
      </c>
      <c r="O832" s="25">
        <f>ROUND(N832*'Methodology &amp; Assumptions'!$B$7, 0)</f>
        <v/>
      </c>
      <c r="P832" s="23" t="inlineStr">
        <is>
          <t>Single Carrier (Band n50, 100MHz TDD)</t>
        </is>
      </c>
      <c r="Q832" s="27">
        <f>ROUNDUP(O832/'Methodology &amp; Assumptions'!$B$8, 0)</f>
        <v/>
      </c>
      <c r="R832" s="27" t="n">
        <v>1</v>
      </c>
      <c r="S832" s="26" t="n">
        <v>1.22</v>
      </c>
      <c r="T832" s="26" t="n">
        <v>0.25</v>
      </c>
      <c r="U832" s="11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26" t="n">
        <v>50.88</v>
      </c>
      <c r="W832" s="26" t="n">
        <v>70.31</v>
      </c>
      <c r="X832" s="26">
        <f>ROUND(('Methodology &amp; Assumptions'!$B$5*V832) + ('Methodology &amp; Assumptions'!$B$6*W832), 2)</f>
        <v/>
      </c>
      <c r="Y832" s="28" t="n">
        <v>10.9</v>
      </c>
      <c r="Z832" s="11" t="inlineStr">
        <is>
          <t>Priority Tier 2 (Balanced Opportunity)</t>
        </is>
      </c>
    </row>
    <row r="833">
      <c r="A833" s="23" t="n">
        <v>3</v>
      </c>
      <c r="B833" s="23" t="n">
        <v>829</v>
      </c>
      <c r="C833" s="23" t="n">
        <v>2829</v>
      </c>
      <c r="D833" s="23" t="inlineStr">
        <is>
          <t>1380606066</t>
        </is>
      </c>
      <c r="E833" s="11" t="inlineStr">
        <is>
          <t>National Capital Region (NCR)</t>
        </is>
      </c>
      <c r="F833" s="11" t="inlineStr">
        <is>
          <t>First District (Not a Province)</t>
        </is>
      </c>
      <c r="G833" s="11" t="inlineStr">
        <is>
          <t>City of Manila</t>
        </is>
      </c>
      <c r="H833" s="11" t="inlineStr">
        <is>
          <t>Barangay 460</t>
        </is>
      </c>
      <c r="I833" s="24" t="n">
        <v>14.608592</v>
      </c>
      <c r="J833" s="24" t="n">
        <v>120.993009</v>
      </c>
      <c r="K833" s="23" t="inlineStr">
        <is>
          <t>U</t>
        </is>
      </c>
      <c r="L833" s="25" t="n">
        <v>861</v>
      </c>
      <c r="M833" s="26" t="n">
        <v>3.25</v>
      </c>
      <c r="N833" s="25">
        <f>ROUND(L833/M833, 0)</f>
        <v/>
      </c>
      <c r="O833" s="25">
        <f>ROUND(N833*'Methodology &amp; Assumptions'!$B$7, 0)</f>
        <v/>
      </c>
      <c r="P833" s="23" t="inlineStr">
        <is>
          <t>Single Carrier (Band n50, 100MHz TDD)</t>
        </is>
      </c>
      <c r="Q833" s="27">
        <f>ROUNDUP(O833/'Methodology &amp; Assumptions'!$B$8, 0)</f>
        <v/>
      </c>
      <c r="R833" s="27" t="n">
        <v>1</v>
      </c>
      <c r="S833" s="26" t="n">
        <v>0.64</v>
      </c>
      <c r="T833" s="26" t="n">
        <v>0.12</v>
      </c>
      <c r="U833" s="11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26" t="n">
        <v>49.66</v>
      </c>
      <c r="W833" s="26" t="n">
        <v>71.52</v>
      </c>
      <c r="X833" s="26">
        <f>ROUND(('Methodology &amp; Assumptions'!$B$5*V833) + ('Methodology &amp; Assumptions'!$B$6*W833), 2)</f>
        <v/>
      </c>
      <c r="Y833" s="28" t="n">
        <v>10.9</v>
      </c>
      <c r="Z833" s="11" t="inlineStr">
        <is>
          <t>Priority Tier 2 (Balanced Opportunity)</t>
        </is>
      </c>
    </row>
    <row r="834">
      <c r="A834" s="23" t="n">
        <v>3</v>
      </c>
      <c r="B834" s="23" t="n">
        <v>830</v>
      </c>
      <c r="C834" s="23" t="n">
        <v>2830</v>
      </c>
      <c r="D834" s="23" t="inlineStr">
        <is>
          <t>0603035033</t>
        </is>
      </c>
      <c r="E834" s="11" t="inlineStr">
        <is>
          <t>Region VI (Western Visayas)</t>
        </is>
      </c>
      <c r="F834" s="11" t="inlineStr">
        <is>
          <t>Iloilo</t>
        </is>
      </c>
      <c r="G834" s="11" t="inlineStr">
        <is>
          <t>City of Passi</t>
        </is>
      </c>
      <c r="H834" s="11" t="inlineStr">
        <is>
          <t>Man-it</t>
        </is>
      </c>
      <c r="I834" s="24" t="n">
        <v>11.098971</v>
      </c>
      <c r="J834" s="24" t="n">
        <v>122.63824</v>
      </c>
      <c r="K834" s="23" t="inlineStr">
        <is>
          <t>R</t>
        </is>
      </c>
      <c r="L834" s="25" t="n">
        <v>4702</v>
      </c>
      <c r="M834" s="26" t="n">
        <v>3.8</v>
      </c>
      <c r="N834" s="25">
        <f>ROUND(L834/M834, 0)</f>
        <v/>
      </c>
      <c r="O834" s="25">
        <f>ROUND(N834*'Methodology &amp; Assumptions'!$B$7, 0)</f>
        <v/>
      </c>
      <c r="P834" s="23" t="inlineStr">
        <is>
          <t>Single Carrier (Band n50, 100MHz TDD)</t>
        </is>
      </c>
      <c r="Q834" s="27">
        <f>ROUNDUP(O834/'Methodology &amp; Assumptions'!$B$8, 0)</f>
        <v/>
      </c>
      <c r="R834" s="27" t="n">
        <v>1</v>
      </c>
      <c r="S834" s="26" t="n">
        <v>1.12</v>
      </c>
      <c r="T834" s="26" t="n">
        <v>0.31</v>
      </c>
      <c r="U834" s="11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26" t="n">
        <v>86.98999999999999</v>
      </c>
      <c r="W834" s="26" t="n">
        <v>34.17</v>
      </c>
      <c r="X834" s="26">
        <f>ROUND(('Methodology &amp; Assumptions'!$B$5*V834) + ('Methodology &amp; Assumptions'!$B$6*W834), 2)</f>
        <v/>
      </c>
      <c r="Y834" s="28" t="n">
        <v>23.7</v>
      </c>
      <c r="Z834" s="11" t="inlineStr">
        <is>
          <t>Priority Tier 2 (Balanced Opportunity)</t>
        </is>
      </c>
    </row>
    <row r="835">
      <c r="A835" s="23" t="n">
        <v>3</v>
      </c>
      <c r="B835" s="23" t="n">
        <v>831</v>
      </c>
      <c r="C835" s="23" t="n">
        <v>2831</v>
      </c>
      <c r="D835" s="23" t="inlineStr">
        <is>
          <t>0403413014</t>
        </is>
      </c>
      <c r="E835" s="11" t="inlineStr">
        <is>
          <t>Region IV-A (CALABARZON)</t>
        </is>
      </c>
      <c r="F835" s="11" t="inlineStr">
        <is>
          <t>Laguna</t>
        </is>
      </c>
      <c r="G835" s="11" t="inlineStr">
        <is>
          <t>Lumban</t>
        </is>
      </c>
      <c r="H835" s="11" t="inlineStr">
        <is>
          <t>Segunda Pulo</t>
        </is>
      </c>
      <c r="I835" s="24" t="n">
        <v>14.304009</v>
      </c>
      <c r="J835" s="24" t="n">
        <v>121.460522</v>
      </c>
      <c r="K835" s="23" t="inlineStr">
        <is>
          <t>R</t>
        </is>
      </c>
      <c r="L835" s="25" t="n">
        <v>1742</v>
      </c>
      <c r="M835" s="26" t="n">
        <v>3.3</v>
      </c>
      <c r="N835" s="25">
        <f>ROUND(L835/M835, 0)</f>
        <v/>
      </c>
      <c r="O835" s="25">
        <f>ROUND(N835*'Methodology &amp; Assumptions'!$B$7, 0)</f>
        <v/>
      </c>
      <c r="P835" s="23" t="inlineStr">
        <is>
          <t>Single Carrier (Band n50, 100MHz TDD)</t>
        </is>
      </c>
      <c r="Q835" s="27">
        <f>ROUNDUP(O835/'Methodology &amp; Assumptions'!$B$8, 0)</f>
        <v/>
      </c>
      <c r="R835" s="27" t="n">
        <v>1</v>
      </c>
      <c r="S835" s="26" t="n">
        <v>0.9399999999999999</v>
      </c>
      <c r="T835" s="26" t="n">
        <v>0.5600000000000001</v>
      </c>
      <c r="U835" s="11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26" t="n">
        <v>75.67</v>
      </c>
      <c r="W835" s="26" t="n">
        <v>45.48</v>
      </c>
      <c r="X835" s="26">
        <f>ROUND(('Methodology &amp; Assumptions'!$B$5*V835) + ('Methodology &amp; Assumptions'!$B$6*W835), 2)</f>
        <v/>
      </c>
      <c r="Y835" s="28" t="n">
        <v>7.2</v>
      </c>
      <c r="Z835" s="11" t="inlineStr">
        <is>
          <t>Priority Tier 2 (Balanced Opportunity)</t>
        </is>
      </c>
    </row>
    <row r="836">
      <c r="A836" s="23" t="n">
        <v>3</v>
      </c>
      <c r="B836" s="23" t="n">
        <v>832</v>
      </c>
      <c r="C836" s="23" t="n">
        <v>2832</v>
      </c>
      <c r="D836" s="23" t="inlineStr">
        <is>
          <t>1402701025</t>
        </is>
      </c>
      <c r="E836" s="11" t="inlineStr">
        <is>
          <t>Cordillera Administrative Region (CAR)</t>
        </is>
      </c>
      <c r="F836" s="11" t="inlineStr">
        <is>
          <t>Ifugao</t>
        </is>
      </c>
      <c r="G836" s="11" t="inlineStr">
        <is>
          <t>Banaue</t>
        </is>
      </c>
      <c r="H836" s="11" t="inlineStr">
        <is>
          <t>Pula</t>
        </is>
      </c>
      <c r="I836" s="24" t="n">
        <v>16.97601</v>
      </c>
      <c r="J836" s="24" t="n">
        <v>121.10638</v>
      </c>
      <c r="K836" s="23" t="inlineStr">
        <is>
          <t>R</t>
        </is>
      </c>
      <c r="L836" s="25" t="n">
        <v>479</v>
      </c>
      <c r="M836" s="26" t="n">
        <v>3.9</v>
      </c>
      <c r="N836" s="25">
        <f>ROUND(L836/M836, 0)</f>
        <v/>
      </c>
      <c r="O836" s="25">
        <f>ROUND(N836*'Methodology &amp; Assumptions'!$B$7, 0)</f>
        <v/>
      </c>
      <c r="P836" s="23" t="inlineStr">
        <is>
          <t>Single Carrier (Band n50, 100MHz TDD)</t>
        </is>
      </c>
      <c r="Q836" s="27">
        <f>ROUNDUP(O836/'Methodology &amp; Assumptions'!$B$8, 0)</f>
        <v/>
      </c>
      <c r="R836" s="27" t="n">
        <v>1</v>
      </c>
      <c r="S836" s="26" t="n">
        <v>8.699999999999999</v>
      </c>
      <c r="T836" s="26" t="n">
        <v>5.76</v>
      </c>
      <c r="U836" s="11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26" t="n">
        <v>42.46</v>
      </c>
      <c r="W836" s="26" t="n">
        <v>78.7</v>
      </c>
      <c r="X836" s="26">
        <f>ROUND(('Methodology &amp; Assumptions'!$B$5*V836) + ('Methodology &amp; Assumptions'!$B$6*W836), 2)</f>
        <v/>
      </c>
      <c r="Y836" s="28" t="n">
        <v>10.9</v>
      </c>
      <c r="Z836" s="11" t="inlineStr">
        <is>
          <t>Priority Tier 2 (Balanced Opportunity)</t>
        </is>
      </c>
    </row>
    <row r="837">
      <c r="A837" s="23" t="n">
        <v>3</v>
      </c>
      <c r="B837" s="23" t="n">
        <v>833</v>
      </c>
      <c r="C837" s="23" t="n">
        <v>2833</v>
      </c>
      <c r="D837" s="23" t="inlineStr">
        <is>
          <t>0405630018</t>
        </is>
      </c>
      <c r="E837" s="11" t="inlineStr">
        <is>
          <t>Region IV-A (CALABARZON)</t>
        </is>
      </c>
      <c r="F837" s="11" t="inlineStr">
        <is>
          <t>Quezon</t>
        </is>
      </c>
      <c r="G837" s="11" t="inlineStr">
        <is>
          <t>Pagbilao</t>
        </is>
      </c>
      <c r="H837" s="11" t="inlineStr">
        <is>
          <t>Pinagbayanan</t>
        </is>
      </c>
      <c r="I837" s="24" t="n">
        <v>13.966007</v>
      </c>
      <c r="J837" s="24" t="n">
        <v>121.694168</v>
      </c>
      <c r="K837" s="23" t="inlineStr">
        <is>
          <t>R</t>
        </is>
      </c>
      <c r="L837" s="25" t="n">
        <v>4405</v>
      </c>
      <c r="M837" s="26" t="n">
        <v>3.8</v>
      </c>
      <c r="N837" s="25">
        <f>ROUND(L837/M837, 0)</f>
        <v/>
      </c>
      <c r="O837" s="25">
        <f>ROUND(N837*'Methodology &amp; Assumptions'!$B$7, 0)</f>
        <v/>
      </c>
      <c r="P837" s="23" t="inlineStr">
        <is>
          <t>Single Carrier (Band n50, 100MHz TDD)</t>
        </is>
      </c>
      <c r="Q837" s="27">
        <f>ROUNDUP(O837/'Methodology &amp; Assumptions'!$B$8, 0)</f>
        <v/>
      </c>
      <c r="R837" s="27" t="n">
        <v>1</v>
      </c>
      <c r="S837" s="26" t="n">
        <v>1.46</v>
      </c>
      <c r="T837" s="26" t="n">
        <v>0.89</v>
      </c>
      <c r="U837" s="11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26" t="n">
        <v>83.11</v>
      </c>
      <c r="W837" s="26" t="n">
        <v>38.02</v>
      </c>
      <c r="X837" s="26">
        <f>ROUND(('Methodology &amp; Assumptions'!$B$5*V837) + ('Methodology &amp; Assumptions'!$B$6*W837), 2)</f>
        <v/>
      </c>
      <c r="Y837" s="28" t="n">
        <v>7.2</v>
      </c>
      <c r="Z837" s="11" t="inlineStr">
        <is>
          <t>Priority Tier 2 (Balanced Opportunity)</t>
        </is>
      </c>
    </row>
    <row r="838">
      <c r="A838" s="23" t="n">
        <v>3</v>
      </c>
      <c r="B838" s="23" t="n">
        <v>834</v>
      </c>
      <c r="C838" s="23" t="n">
        <v>2834</v>
      </c>
      <c r="D838" s="23" t="inlineStr">
        <is>
          <t>0300810024</t>
        </is>
      </c>
      <c r="E838" s="11" t="inlineStr">
        <is>
          <t>Region III (Central Luzon)</t>
        </is>
      </c>
      <c r="F838" s="11" t="inlineStr">
        <is>
          <t>Bataan</t>
        </is>
      </c>
      <c r="G838" s="11" t="inlineStr">
        <is>
          <t>Orion</t>
        </is>
      </c>
      <c r="H838" s="11" t="inlineStr">
        <is>
          <t>Santo Domingo</t>
        </is>
      </c>
      <c r="I838" s="24" t="n">
        <v>14.633741</v>
      </c>
      <c r="J838" s="24" t="n">
        <v>120.573434</v>
      </c>
      <c r="K838" s="23" t="inlineStr">
        <is>
          <t>R</t>
        </is>
      </c>
      <c r="L838" s="25" t="n">
        <v>4590</v>
      </c>
      <c r="M838" s="26" t="n">
        <v>3.6</v>
      </c>
      <c r="N838" s="25">
        <f>ROUND(L838/M838, 0)</f>
        <v/>
      </c>
      <c r="O838" s="25">
        <f>ROUND(N838*'Methodology &amp; Assumptions'!$B$7, 0)</f>
        <v/>
      </c>
      <c r="P838" s="23" t="inlineStr">
        <is>
          <t>Single Carrier (Band n50, 100MHz TDD)</t>
        </is>
      </c>
      <c r="Q838" s="27">
        <f>ROUNDUP(O838/'Methodology &amp; Assumptions'!$B$8, 0)</f>
        <v/>
      </c>
      <c r="R838" s="27" t="n">
        <v>1</v>
      </c>
      <c r="S838" s="26" t="n">
        <v>2.12</v>
      </c>
      <c r="T838" s="26" t="n">
        <v>0.04</v>
      </c>
      <c r="U838" s="11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26" t="n">
        <v>80.97</v>
      </c>
      <c r="W838" s="26" t="n">
        <v>40.18</v>
      </c>
      <c r="X838" s="26">
        <f>ROUND(('Methodology &amp; Assumptions'!$B$5*V838) + ('Methodology &amp; Assumptions'!$B$6*W838), 2)</f>
        <v/>
      </c>
      <c r="Y838" s="28" t="n">
        <v>8.300000000000001</v>
      </c>
      <c r="Z838" s="11" t="inlineStr">
        <is>
          <t>Priority Tier 2 (Balanced Opportunity)</t>
        </is>
      </c>
    </row>
    <row r="839">
      <c r="A839" s="23" t="n">
        <v>3</v>
      </c>
      <c r="B839" s="23" t="n">
        <v>835</v>
      </c>
      <c r="C839" s="23" t="n">
        <v>2835</v>
      </c>
      <c r="D839" s="23" t="inlineStr">
        <is>
          <t>0702211029</t>
        </is>
      </c>
      <c r="E839" s="11" t="inlineStr">
        <is>
          <t>Region VII (Central Visayas)</t>
        </is>
      </c>
      <c r="F839" s="11" t="inlineStr">
        <is>
          <t>Cebu</t>
        </is>
      </c>
      <c r="G839" s="11" t="inlineStr">
        <is>
          <t>City of Bogo</t>
        </is>
      </c>
      <c r="H839" s="11" t="inlineStr">
        <is>
          <t>Sudlonon</t>
        </is>
      </c>
      <c r="I839" s="24" t="n">
        <v>11.050649</v>
      </c>
      <c r="J839" s="24" t="n">
        <v>124.009136</v>
      </c>
      <c r="K839" s="23" t="inlineStr">
        <is>
          <t>R</t>
        </is>
      </c>
      <c r="L839" s="25" t="n">
        <v>944</v>
      </c>
      <c r="M839" s="26" t="n">
        <v>3.8</v>
      </c>
      <c r="N839" s="25">
        <f>ROUND(L839/M839, 0)</f>
        <v/>
      </c>
      <c r="O839" s="25">
        <f>ROUND(N839*'Methodology &amp; Assumptions'!$B$7, 0)</f>
        <v/>
      </c>
      <c r="P839" s="23" t="inlineStr">
        <is>
          <t>Single Carrier (Band n50, 100MHz TDD)</t>
        </is>
      </c>
      <c r="Q839" s="27">
        <f>ROUNDUP(O839/'Methodology &amp; Assumptions'!$B$8, 0)</f>
        <v/>
      </c>
      <c r="R839" s="27" t="n">
        <v>1</v>
      </c>
      <c r="S839" s="26" t="n">
        <v>0.44</v>
      </c>
      <c r="T839" s="26" t="n">
        <v>0.36</v>
      </c>
      <c r="U839" s="11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26" t="n">
        <v>68.95999999999999</v>
      </c>
      <c r="W839" s="26" t="n">
        <v>52.17</v>
      </c>
      <c r="X839" s="26">
        <f>ROUND(('Methodology &amp; Assumptions'!$B$5*V839) + ('Methodology &amp; Assumptions'!$B$6*W839), 2)</f>
        <v/>
      </c>
      <c r="Y839" s="28" t="n">
        <v>23.7</v>
      </c>
      <c r="Z839" s="11" t="inlineStr">
        <is>
          <t>Priority Tier 2 (Balanced Opportunity)</t>
        </is>
      </c>
    </row>
    <row r="840">
      <c r="A840" s="23" t="n">
        <v>3</v>
      </c>
      <c r="B840" s="23" t="n">
        <v>836</v>
      </c>
      <c r="C840" s="23" t="n">
        <v>2836</v>
      </c>
      <c r="D840" s="23" t="inlineStr">
        <is>
          <t>1908708008</t>
        </is>
      </c>
      <c r="E840" s="11" t="inlineStr">
        <is>
          <t>Bangsamoro Autonomous Region In Muslim Mindanao (BARMM)</t>
        </is>
      </c>
      <c r="F840" s="11" t="inlineStr">
        <is>
          <t>Maguindanao del Norte</t>
        </is>
      </c>
      <c r="G840" s="11" t="inlineStr">
        <is>
          <t>Northern Kabuntalan</t>
        </is>
      </c>
      <c r="H840" s="11" t="inlineStr">
        <is>
          <t>Montay</t>
        </is>
      </c>
      <c r="I840" s="24" t="n">
        <v>7.100669</v>
      </c>
      <c r="J840" s="24" t="n">
        <v>124.432656</v>
      </c>
      <c r="K840" s="23" t="inlineStr">
        <is>
          <t>R</t>
        </is>
      </c>
      <c r="L840" s="25" t="n">
        <v>4773</v>
      </c>
      <c r="M840" s="26" t="n">
        <v>4.3</v>
      </c>
      <c r="N840" s="25">
        <f>ROUND(L840/M840, 0)</f>
        <v/>
      </c>
      <c r="O840" s="25">
        <f>ROUND(N840*'Methodology &amp; Assumptions'!$B$7, 0)</f>
        <v/>
      </c>
      <c r="P840" s="23" t="inlineStr">
        <is>
          <t>Single Carrier (Band n50, 100MHz TDD)</t>
        </is>
      </c>
      <c r="Q840" s="27">
        <f>ROUNDUP(O840/'Methodology &amp; Assumptions'!$B$8, 0)</f>
        <v/>
      </c>
      <c r="R840" s="27" t="n">
        <v>1</v>
      </c>
      <c r="S840" s="26" t="n">
        <v>41.74</v>
      </c>
      <c r="T840" s="26" t="n">
        <v>41.1</v>
      </c>
      <c r="U840" s="11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26" t="n">
        <v>59.06</v>
      </c>
      <c r="W840" s="26" t="n">
        <v>62.09</v>
      </c>
      <c r="X840" s="26">
        <f>ROUND(('Methodology &amp; Assumptions'!$B$5*V840) + ('Methodology &amp; Assumptions'!$B$6*W840), 2)</f>
        <v/>
      </c>
      <c r="Y840" s="28" t="n">
        <v>11</v>
      </c>
      <c r="Z840" s="11" t="inlineStr">
        <is>
          <t>Priority Tier 2 (Balanced Opportunity)</t>
        </is>
      </c>
    </row>
    <row r="841">
      <c r="A841" s="23" t="n">
        <v>3</v>
      </c>
      <c r="B841" s="23" t="n">
        <v>837</v>
      </c>
      <c r="C841" s="23" t="n">
        <v>2837</v>
      </c>
      <c r="D841" s="23" t="inlineStr">
        <is>
          <t>1705304009</t>
        </is>
      </c>
      <c r="E841" s="11" t="inlineStr">
        <is>
          <t>MIMAROPA Region</t>
        </is>
      </c>
      <c r="F841" s="11" t="inlineStr">
        <is>
          <t>Palawan</t>
        </is>
      </c>
      <c r="G841" s="11" t="inlineStr">
        <is>
          <t>Balabac</t>
        </is>
      </c>
      <c r="H841" s="11" t="inlineStr">
        <is>
          <t>Melville</t>
        </is>
      </c>
      <c r="I841" s="24" t="n">
        <v>7.805581</v>
      </c>
      <c r="J841" s="24" t="n">
        <v>117.01783</v>
      </c>
      <c r="K841" s="23" t="inlineStr">
        <is>
          <t>R</t>
        </is>
      </c>
      <c r="L841" s="25" t="n">
        <v>1975</v>
      </c>
      <c r="M841" s="26" t="n">
        <v>3.9</v>
      </c>
      <c r="N841" s="25">
        <f>ROUND(L841/M841, 0)</f>
        <v/>
      </c>
      <c r="O841" s="25">
        <f>ROUND(N841*'Methodology &amp; Assumptions'!$B$7, 0)</f>
        <v/>
      </c>
      <c r="P841" s="23" t="inlineStr">
        <is>
          <t>Single Carrier (Band n50, 100MHz TDD)</t>
        </is>
      </c>
      <c r="Q841" s="27">
        <f>ROUNDUP(O841/'Methodology &amp; Assumptions'!$B$8, 0)</f>
        <v/>
      </c>
      <c r="R841" s="27" t="n">
        <v>1</v>
      </c>
      <c r="S841" s="26" t="n">
        <v>286.08</v>
      </c>
      <c r="T841" s="26" t="n">
        <v>999</v>
      </c>
      <c r="U841" s="11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26" t="n">
        <v>49.44</v>
      </c>
      <c r="W841" s="26" t="n">
        <v>71.69</v>
      </c>
      <c r="X841" s="26">
        <f>ROUND(('Methodology &amp; Assumptions'!$B$5*V841) + ('Methodology &amp; Assumptions'!$B$6*W841), 2)</f>
        <v/>
      </c>
      <c r="Y841" s="28" t="n">
        <v>15</v>
      </c>
      <c r="Z841" s="11" t="inlineStr">
        <is>
          <t>Priority Tier 2 (Balanced Opportunity)</t>
        </is>
      </c>
    </row>
    <row r="842">
      <c r="A842" s="23" t="n">
        <v>3</v>
      </c>
      <c r="B842" s="23" t="n">
        <v>838</v>
      </c>
      <c r="C842" s="23" t="n">
        <v>2838</v>
      </c>
      <c r="D842" s="23" t="inlineStr">
        <is>
          <t>0402108016</t>
        </is>
      </c>
      <c r="E842" s="11" t="inlineStr">
        <is>
          <t>Region IV-A (CALABARZON)</t>
        </is>
      </c>
      <c r="F842" s="11" t="inlineStr">
        <is>
          <t>Cavite</t>
        </is>
      </c>
      <c r="G842" s="11" t="inlineStr">
        <is>
          <t>City of General Trias</t>
        </is>
      </c>
      <c r="H842" s="11" t="inlineStr">
        <is>
          <t>Navarro</t>
        </is>
      </c>
      <c r="I842" s="24" t="n">
        <v>14.386232</v>
      </c>
      <c r="J842" s="24" t="n">
        <v>120.901812</v>
      </c>
      <c r="K842" s="23" t="inlineStr">
        <is>
          <t>U</t>
        </is>
      </c>
      <c r="L842" s="25" t="n">
        <v>50641</v>
      </c>
      <c r="M842" s="26" t="n">
        <v>3.4</v>
      </c>
      <c r="N842" s="25">
        <f>ROUND(L842/M842, 0)</f>
        <v/>
      </c>
      <c r="O842" s="25">
        <f>ROUND(N842*'Methodology &amp; Assumptions'!$B$7, 0)</f>
        <v/>
      </c>
      <c r="P842" s="23" t="inlineStr">
        <is>
          <t>Single Carrier (Band n50, 100MHz TDD)</t>
        </is>
      </c>
      <c r="Q842" s="27">
        <f>ROUNDUP(O842/'Methodology &amp; Assumptions'!$B$8, 0)</f>
        <v/>
      </c>
      <c r="R842" s="27" t="n">
        <v>1</v>
      </c>
      <c r="S842" s="26" t="n">
        <v>0.67</v>
      </c>
      <c r="T842" s="26" t="n">
        <v>3.26</v>
      </c>
      <c r="U842" s="11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26" t="n">
        <v>73.84999999999999</v>
      </c>
      <c r="W842" s="26" t="n">
        <v>47.27</v>
      </c>
      <c r="X842" s="26">
        <f>ROUND(('Methodology &amp; Assumptions'!$B$5*V842) + ('Methodology &amp; Assumptions'!$B$6*W842), 2)</f>
        <v/>
      </c>
      <c r="Y842" s="28" t="n">
        <v>7.2</v>
      </c>
      <c r="Z842" s="11" t="inlineStr">
        <is>
          <t>Priority Tier 2 (Balanced Opportunity)</t>
        </is>
      </c>
    </row>
    <row r="843">
      <c r="A843" s="23" t="n">
        <v>3</v>
      </c>
      <c r="B843" s="23" t="n">
        <v>839</v>
      </c>
      <c r="C843" s="23" t="n">
        <v>2839</v>
      </c>
      <c r="D843" s="23" t="inlineStr">
        <is>
          <t>1004316001</t>
        </is>
      </c>
      <c r="E843" s="11" t="inlineStr">
        <is>
          <t>Region X (Northern Mindanao)</t>
        </is>
      </c>
      <c r="F843" s="11" t="inlineStr">
        <is>
          <t>Misamis Oriental</t>
        </is>
      </c>
      <c r="G843" s="11" t="inlineStr">
        <is>
          <t>Lugait</t>
        </is>
      </c>
      <c r="H843" s="11" t="inlineStr">
        <is>
          <t>Aya-aya</t>
        </is>
      </c>
      <c r="I843" s="24" t="n">
        <v>8.34309</v>
      </c>
      <c r="J843" s="24" t="n">
        <v>124.30789</v>
      </c>
      <c r="K843" s="23" t="inlineStr">
        <is>
          <t>R</t>
        </is>
      </c>
      <c r="L843" s="25" t="n">
        <v>1697</v>
      </c>
      <c r="M843" s="26" t="n">
        <v>3.9</v>
      </c>
      <c r="N843" s="25">
        <f>ROUND(L843/M843, 0)</f>
        <v/>
      </c>
      <c r="O843" s="25">
        <f>ROUND(N843*'Methodology &amp; Assumptions'!$B$7, 0)</f>
        <v/>
      </c>
      <c r="P843" s="23" t="inlineStr">
        <is>
          <t>Single Carrier (Band n50, 100MHz TDD)</t>
        </is>
      </c>
      <c r="Q843" s="27">
        <f>ROUNDUP(O843/'Methodology &amp; Assumptions'!$B$8, 0)</f>
        <v/>
      </c>
      <c r="R843" s="27" t="n">
        <v>1</v>
      </c>
      <c r="S843" s="26" t="n">
        <v>6.65</v>
      </c>
      <c r="T843" s="26" t="n">
        <v>5.17</v>
      </c>
      <c r="U843" s="11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26" t="n">
        <v>56.61</v>
      </c>
      <c r="W843" s="26" t="n">
        <v>64.52</v>
      </c>
      <c r="X843" s="26">
        <f>ROUND(('Methodology &amp; Assumptions'!$B$5*V843) + ('Methodology &amp; Assumptions'!$B$6*W843), 2)</f>
        <v/>
      </c>
      <c r="Y843" s="28" t="n">
        <v>17.4</v>
      </c>
      <c r="Z843" s="11" t="inlineStr">
        <is>
          <t>Priority Tier 2 (Balanced Opportunity)</t>
        </is>
      </c>
    </row>
    <row r="844">
      <c r="A844" s="23" t="n">
        <v>3</v>
      </c>
      <c r="B844" s="23" t="n">
        <v>840</v>
      </c>
      <c r="C844" s="23" t="n">
        <v>2840</v>
      </c>
      <c r="D844" s="23" t="inlineStr">
        <is>
          <t>0403418009</t>
        </is>
      </c>
      <c r="E844" s="11" t="inlineStr">
        <is>
          <t>Region IV-A (CALABARZON)</t>
        </is>
      </c>
      <c r="F844" s="11" t="inlineStr">
        <is>
          <t>Laguna</t>
        </is>
      </c>
      <c r="G844" s="11" t="inlineStr">
        <is>
          <t>Paete</t>
        </is>
      </c>
      <c r="H844" s="11" t="inlineStr">
        <is>
          <t>Quinale</t>
        </is>
      </c>
      <c r="I844" s="24" t="n">
        <v>14.358598</v>
      </c>
      <c r="J844" s="24" t="n">
        <v>121.484276</v>
      </c>
      <c r="K844" s="23" t="inlineStr">
        <is>
          <t>U</t>
        </is>
      </c>
      <c r="L844" s="25" t="n">
        <v>7953</v>
      </c>
      <c r="M844" s="26" t="n">
        <v>3.3</v>
      </c>
      <c r="N844" s="25">
        <f>ROUND(L844/M844, 0)</f>
        <v/>
      </c>
      <c r="O844" s="25">
        <f>ROUND(N844*'Methodology &amp; Assumptions'!$B$7, 0)</f>
        <v/>
      </c>
      <c r="P844" s="23" t="inlineStr">
        <is>
          <t>Single Carrier (Band n50, 100MHz TDD)</t>
        </is>
      </c>
      <c r="Q844" s="27">
        <f>ROUNDUP(O844/'Methodology &amp; Assumptions'!$B$8, 0)</f>
        <v/>
      </c>
      <c r="R844" s="27" t="n">
        <v>1</v>
      </c>
      <c r="S844" s="26" t="n">
        <v>0.31</v>
      </c>
      <c r="T844" s="26" t="n">
        <v>0.29</v>
      </c>
      <c r="U844" s="11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26" t="n">
        <v>80.88</v>
      </c>
      <c r="W844" s="26" t="n">
        <v>40.22</v>
      </c>
      <c r="X844" s="26">
        <f>ROUND(('Methodology &amp; Assumptions'!$B$5*V844) + ('Methodology &amp; Assumptions'!$B$6*W844), 2)</f>
        <v/>
      </c>
      <c r="Y844" s="28" t="n">
        <v>7.2</v>
      </c>
      <c r="Z844" s="11" t="inlineStr">
        <is>
          <t>Priority Tier 2 (Balanced Opportunity)</t>
        </is>
      </c>
    </row>
    <row r="845">
      <c r="A845" s="23" t="n">
        <v>3</v>
      </c>
      <c r="B845" s="23" t="n">
        <v>841</v>
      </c>
      <c r="C845" s="23" t="n">
        <v>2841</v>
      </c>
      <c r="D845" s="23" t="inlineStr">
        <is>
          <t>0501709017</t>
        </is>
      </c>
      <c r="E845" s="11" t="inlineStr">
        <is>
          <t>Region V (Bicol Region)</t>
        </is>
      </c>
      <c r="F845" s="11" t="inlineStr">
        <is>
          <t>Camarines Sur</t>
        </is>
      </c>
      <c r="G845" s="11" t="inlineStr">
        <is>
          <t>Camaligan</t>
        </is>
      </c>
      <c r="H845" s="11" t="inlineStr">
        <is>
          <t>Tarosanan</t>
        </is>
      </c>
      <c r="I845" s="24" t="n">
        <v>13.616061</v>
      </c>
      <c r="J845" s="24" t="n">
        <v>123.173388</v>
      </c>
      <c r="K845" s="23" t="inlineStr">
        <is>
          <t>R</t>
        </is>
      </c>
      <c r="L845" s="25" t="n">
        <v>2223</v>
      </c>
      <c r="M845" s="26" t="n">
        <v>4.2</v>
      </c>
      <c r="N845" s="25">
        <f>ROUND(L845/M845, 0)</f>
        <v/>
      </c>
      <c r="O845" s="25">
        <f>ROUND(N845*'Methodology &amp; Assumptions'!$B$7, 0)</f>
        <v/>
      </c>
      <c r="P845" s="23" t="inlineStr">
        <is>
          <t>Single Carrier (Band n50, 100MHz TDD)</t>
        </is>
      </c>
      <c r="Q845" s="27">
        <f>ROUNDUP(O845/'Methodology &amp; Assumptions'!$B$8, 0)</f>
        <v/>
      </c>
      <c r="R845" s="27" t="n">
        <v>1</v>
      </c>
      <c r="S845" s="26" t="n">
        <v>0.46</v>
      </c>
      <c r="T845" s="26" t="n">
        <v>1.21</v>
      </c>
      <c r="U845" s="11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26" t="n">
        <v>80.2</v>
      </c>
      <c r="W845" s="26" t="n">
        <v>40.9</v>
      </c>
      <c r="X845" s="26">
        <f>ROUND(('Methodology &amp; Assumptions'!$B$5*V845) + ('Methodology &amp; Assumptions'!$B$6*W845), 2)</f>
        <v/>
      </c>
      <c r="Y845" s="28" t="n">
        <v>23.7</v>
      </c>
      <c r="Z845" s="11" t="inlineStr">
        <is>
          <t>Priority Tier 2 (Balanced Opportunity)</t>
        </is>
      </c>
    </row>
    <row r="846">
      <c r="A846" s="23" t="n">
        <v>3</v>
      </c>
      <c r="B846" s="23" t="n">
        <v>842</v>
      </c>
      <c r="C846" s="23" t="n">
        <v>2842</v>
      </c>
      <c r="D846" s="23" t="inlineStr">
        <is>
          <t>1600201015</t>
        </is>
      </c>
      <c r="E846" s="11" t="inlineStr">
        <is>
          <t>Region XIII (Caraga)</t>
        </is>
      </c>
      <c r="F846" s="11" t="inlineStr">
        <is>
          <t>Agusan del Norte</t>
        </is>
      </c>
      <c r="G846" s="11" t="inlineStr">
        <is>
          <t>Buenavista</t>
        </is>
      </c>
      <c r="H846" s="11" t="inlineStr">
        <is>
          <t>Poblacion 3</t>
        </is>
      </c>
      <c r="I846" s="24" t="n">
        <v>8.972581999999999</v>
      </c>
      <c r="J846" s="24" t="n">
        <v>125.414093</v>
      </c>
      <c r="K846" s="23" t="inlineStr">
        <is>
          <t>U</t>
        </is>
      </c>
      <c r="L846" s="25" t="n">
        <v>3797</v>
      </c>
      <c r="M846" s="26" t="n">
        <v>4.1</v>
      </c>
      <c r="N846" s="25">
        <f>ROUND(L846/M846, 0)</f>
        <v/>
      </c>
      <c r="O846" s="25">
        <f>ROUND(N846*'Methodology &amp; Assumptions'!$B$7, 0)</f>
        <v/>
      </c>
      <c r="P846" s="23" t="inlineStr">
        <is>
          <t>Single Carrier (Band n50, 100MHz TDD)</t>
        </is>
      </c>
      <c r="Q846" s="27">
        <f>ROUNDUP(O846/'Methodology &amp; Assumptions'!$B$8, 0)</f>
        <v/>
      </c>
      <c r="R846" s="27" t="n">
        <v>1</v>
      </c>
      <c r="S846" s="26" t="n">
        <v>0.43</v>
      </c>
      <c r="T846" s="26" t="n">
        <v>0.43</v>
      </c>
      <c r="U846" s="11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26" t="n">
        <v>79.87</v>
      </c>
      <c r="W846" s="26" t="n">
        <v>41.24</v>
      </c>
      <c r="X846" s="26">
        <f>ROUND(('Methodology &amp; Assumptions'!$B$5*V846) + ('Methodology &amp; Assumptions'!$B$6*W846), 2)</f>
        <v/>
      </c>
      <c r="Y846" s="28" t="n">
        <v>17.4</v>
      </c>
      <c r="Z846" s="11" t="inlineStr">
        <is>
          <t>Priority Tier 2 (Balanced Opportunity)</t>
        </is>
      </c>
    </row>
    <row r="847">
      <c r="A847" s="23" t="n">
        <v>3</v>
      </c>
      <c r="B847" s="23" t="n">
        <v>843</v>
      </c>
      <c r="C847" s="23" t="n">
        <v>2843</v>
      </c>
      <c r="D847" s="23" t="inlineStr">
        <is>
          <t>1380606010</t>
        </is>
      </c>
      <c r="E847" s="11" t="inlineStr">
        <is>
          <t>National Capital Region (NCR)</t>
        </is>
      </c>
      <c r="F847" s="11" t="inlineStr">
        <is>
          <t>First District (Not a Province)</t>
        </is>
      </c>
      <c r="G847" s="11" t="inlineStr">
        <is>
          <t>City of Manila</t>
        </is>
      </c>
      <c r="H847" s="11" t="inlineStr">
        <is>
          <t>Barangay 404</t>
        </is>
      </c>
      <c r="I847" s="24" t="n">
        <v>14.602451</v>
      </c>
      <c r="J847" s="24" t="n">
        <v>120.989729</v>
      </c>
      <c r="K847" s="23" t="inlineStr">
        <is>
          <t>U</t>
        </is>
      </c>
      <c r="L847" s="25" t="n">
        <v>1268</v>
      </c>
      <c r="M847" s="26" t="n">
        <v>7.04</v>
      </c>
      <c r="N847" s="25">
        <f>ROUND(L847/M847, 0)</f>
        <v/>
      </c>
      <c r="O847" s="25">
        <f>ROUND(N847*'Methodology &amp; Assumptions'!$B$7, 0)</f>
        <v/>
      </c>
      <c r="P847" s="23" t="inlineStr">
        <is>
          <t>Single Carrier (Band n50, 100MHz TDD)</t>
        </is>
      </c>
      <c r="Q847" s="27">
        <f>ROUNDUP(O847/'Methodology &amp; Assumptions'!$B$8, 0)</f>
        <v/>
      </c>
      <c r="R847" s="27" t="n">
        <v>1</v>
      </c>
      <c r="S847" s="26" t="n">
        <v>0.17</v>
      </c>
      <c r="T847" s="26" t="n">
        <v>0.13</v>
      </c>
      <c r="U847" s="11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26" t="n">
        <v>46.88</v>
      </c>
      <c r="W847" s="26" t="n">
        <v>74.23</v>
      </c>
      <c r="X847" s="26">
        <f>ROUND(('Methodology &amp; Assumptions'!$B$5*V847) + ('Methodology &amp; Assumptions'!$B$6*W847), 2)</f>
        <v/>
      </c>
      <c r="Y847" s="28" t="n">
        <v>10.9</v>
      </c>
      <c r="Z847" s="11" t="inlineStr">
        <is>
          <t>Priority Tier 2 (Balanced Opportunity)</t>
        </is>
      </c>
    </row>
    <row r="848">
      <c r="A848" s="23" t="n">
        <v>3</v>
      </c>
      <c r="B848" s="23" t="n">
        <v>844</v>
      </c>
      <c r="C848" s="23" t="n">
        <v>2844</v>
      </c>
      <c r="D848" s="23" t="inlineStr">
        <is>
          <t>0405808010</t>
        </is>
      </c>
      <c r="E848" s="11" t="inlineStr">
        <is>
          <t>Region IV-A (CALABARZON)</t>
        </is>
      </c>
      <c r="F848" s="11" t="inlineStr">
        <is>
          <t>Rizal</t>
        </is>
      </c>
      <c r="G848" s="11" t="inlineStr">
        <is>
          <t>Rodriguez</t>
        </is>
      </c>
      <c r="H848" s="11" t="inlineStr">
        <is>
          <t>San Jose</t>
        </is>
      </c>
      <c r="I848" s="24" t="n">
        <v>14.73069</v>
      </c>
      <c r="J848" s="24" t="n">
        <v>121.1342</v>
      </c>
      <c r="K848" s="23" t="inlineStr">
        <is>
          <t>U</t>
        </is>
      </c>
      <c r="L848" s="25" t="n">
        <v>135763</v>
      </c>
      <c r="M848" s="26" t="n">
        <v>3.6</v>
      </c>
      <c r="N848" s="25">
        <f>ROUND(L848/M848, 0)</f>
        <v/>
      </c>
      <c r="O848" s="25">
        <f>ROUND(N848*'Methodology &amp; Assumptions'!$B$7, 0)</f>
        <v/>
      </c>
      <c r="P848" s="23" t="inlineStr">
        <is>
          <t>Single Carrier (Band n50, 100MHz TDD)</t>
        </is>
      </c>
      <c r="Q848" s="27">
        <f>ROUNDUP(O848/'Methodology &amp; Assumptions'!$B$8, 0)</f>
        <v/>
      </c>
      <c r="R848" s="27" t="n">
        <v>1</v>
      </c>
      <c r="S848" s="26" t="n">
        <v>1.07</v>
      </c>
      <c r="T848" s="26" t="n">
        <v>0.2</v>
      </c>
      <c r="U848" s="11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26" t="n">
        <v>73.8</v>
      </c>
      <c r="W848" s="26" t="n">
        <v>47.29</v>
      </c>
      <c r="X848" s="26">
        <f>ROUND(('Methodology &amp; Assumptions'!$B$5*V848) + ('Methodology &amp; Assumptions'!$B$6*W848), 2)</f>
        <v/>
      </c>
      <c r="Y848" s="28" t="n">
        <v>7.2</v>
      </c>
      <c r="Z848" s="11" t="inlineStr">
        <is>
          <t>Priority Tier 2 (Balanced Opportunity)</t>
        </is>
      </c>
    </row>
    <row r="849">
      <c r="A849" s="23" t="n">
        <v>3</v>
      </c>
      <c r="B849" s="23" t="n">
        <v>845</v>
      </c>
      <c r="C849" s="23" t="n">
        <v>2845</v>
      </c>
      <c r="D849" s="23" t="inlineStr">
        <is>
          <t>1400116008</t>
        </is>
      </c>
      <c r="E849" s="11" t="inlineStr">
        <is>
          <t>Cordillera Administrative Region (CAR)</t>
        </is>
      </c>
      <c r="F849" s="11" t="inlineStr">
        <is>
          <t>Abra</t>
        </is>
      </c>
      <c r="G849" s="11" t="inlineStr">
        <is>
          <t>Manabo</t>
        </is>
      </c>
      <c r="H849" s="11" t="inlineStr">
        <is>
          <t>San Juan Sur</t>
        </is>
      </c>
      <c r="I849" s="24" t="n">
        <v>17.422942</v>
      </c>
      <c r="J849" s="24" t="n">
        <v>120.686131</v>
      </c>
      <c r="K849" s="23" t="inlineStr">
        <is>
          <t>R</t>
        </is>
      </c>
      <c r="L849" s="25" t="n">
        <v>705</v>
      </c>
      <c r="M849" s="26" t="n">
        <v>3.8</v>
      </c>
      <c r="N849" s="25">
        <f>ROUND(L849/M849, 0)</f>
        <v/>
      </c>
      <c r="O849" s="25">
        <f>ROUND(N849*'Methodology &amp; Assumptions'!$B$7, 0)</f>
        <v/>
      </c>
      <c r="P849" s="23" t="inlineStr">
        <is>
          <t>Single Carrier (Band n50, 100MHz TDD)</t>
        </is>
      </c>
      <c r="Q849" s="27">
        <f>ROUNDUP(O849/'Methodology &amp; Assumptions'!$B$8, 0)</f>
        <v/>
      </c>
      <c r="R849" s="27" t="n">
        <v>1</v>
      </c>
      <c r="S849" s="26" t="n">
        <v>17.21</v>
      </c>
      <c r="T849" s="26" t="n">
        <v>17.48</v>
      </c>
      <c r="U849" s="11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26" t="n">
        <v>38.79</v>
      </c>
      <c r="W849" s="26" t="n">
        <v>82.28</v>
      </c>
      <c r="X849" s="26">
        <f>ROUND(('Methodology &amp; Assumptions'!$B$5*V849) + ('Methodology &amp; Assumptions'!$B$6*W849), 2)</f>
        <v/>
      </c>
      <c r="Y849" s="28" t="n">
        <v>10.9</v>
      </c>
      <c r="Z849" s="11" t="inlineStr">
        <is>
          <t>Priority Tier 2 (Balanced Opportunity)</t>
        </is>
      </c>
    </row>
    <row r="850">
      <c r="A850" s="23" t="n">
        <v>3</v>
      </c>
      <c r="B850" s="23" t="n">
        <v>846</v>
      </c>
      <c r="C850" s="23" t="n">
        <v>2846</v>
      </c>
      <c r="D850" s="23" t="inlineStr">
        <is>
          <t>0803738076</t>
        </is>
      </c>
      <c r="E850" s="11" t="inlineStr">
        <is>
          <t>Region VIII (Eastern Visayas)</t>
        </is>
      </c>
      <c r="F850" s="11" t="inlineStr">
        <is>
          <t>Leyte</t>
        </is>
      </c>
      <c r="G850" s="11" t="inlineStr">
        <is>
          <t>Ormoc City</t>
        </is>
      </c>
      <c r="H850" s="11" t="inlineStr">
        <is>
          <t>Punta</t>
        </is>
      </c>
      <c r="I850" s="24" t="n">
        <v>11.014018</v>
      </c>
      <c r="J850" s="24" t="n">
        <v>124.599343</v>
      </c>
      <c r="K850" s="23" t="inlineStr">
        <is>
          <t>U</t>
        </is>
      </c>
      <c r="L850" s="25" t="n">
        <v>4544</v>
      </c>
      <c r="M850" s="26" t="n">
        <v>3.8</v>
      </c>
      <c r="N850" s="25">
        <f>ROUND(L850/M850, 0)</f>
        <v/>
      </c>
      <c r="O850" s="25">
        <f>ROUND(N850*'Methodology &amp; Assumptions'!$B$7, 0)</f>
        <v/>
      </c>
      <c r="P850" s="23" t="inlineStr">
        <is>
          <t>Single Carrier (Band n50, 100MHz TDD)</t>
        </is>
      </c>
      <c r="Q850" s="27">
        <f>ROUNDUP(O850/'Methodology &amp; Assumptions'!$B$8, 0)</f>
        <v/>
      </c>
      <c r="R850" s="27" t="n">
        <v>1</v>
      </c>
      <c r="S850" s="26" t="n">
        <v>0.27</v>
      </c>
      <c r="T850" s="26" t="n">
        <v>0.11</v>
      </c>
      <c r="U850" s="11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26" t="n">
        <v>80.86</v>
      </c>
      <c r="W850" s="26" t="n">
        <v>40.2</v>
      </c>
      <c r="X850" s="26">
        <f>ROUND(('Methodology &amp; Assumptions'!$B$5*V850) + ('Methodology &amp; Assumptions'!$B$6*W850), 2)</f>
        <v/>
      </c>
      <c r="Y850" s="28" t="n">
        <v>23.7</v>
      </c>
      <c r="Z850" s="11" t="inlineStr">
        <is>
          <t>Priority Tier 2 (Balanced Opportunity)</t>
        </is>
      </c>
    </row>
    <row r="851">
      <c r="A851" s="23" t="n">
        <v>3</v>
      </c>
      <c r="B851" s="23" t="n">
        <v>847</v>
      </c>
      <c r="C851" s="23" t="n">
        <v>2847</v>
      </c>
      <c r="D851" s="23" t="inlineStr">
        <is>
          <t>0301404002</t>
        </is>
      </c>
      <c r="E851" s="11" t="inlineStr">
        <is>
          <t>Region III (Central Luzon)</t>
        </is>
      </c>
      <c r="F851" s="11" t="inlineStr">
        <is>
          <t>Bulacan</t>
        </is>
      </c>
      <c r="G851" s="11" t="inlineStr">
        <is>
          <t>Bocaue</t>
        </is>
      </c>
      <c r="H851" s="11" t="inlineStr">
        <is>
          <t>Bagumbayan</t>
        </is>
      </c>
      <c r="I851" s="24" t="n">
        <v>14.79861</v>
      </c>
      <c r="J851" s="24" t="n">
        <v>120.922237</v>
      </c>
      <c r="K851" s="23" t="inlineStr">
        <is>
          <t>R</t>
        </is>
      </c>
      <c r="L851" s="25" t="n">
        <v>4038</v>
      </c>
      <c r="M851" s="26" t="n">
        <v>3.5</v>
      </c>
      <c r="N851" s="25">
        <f>ROUND(L851/M851, 0)</f>
        <v/>
      </c>
      <c r="O851" s="25">
        <f>ROUND(N851*'Methodology &amp; Assumptions'!$B$7, 0)</f>
        <v/>
      </c>
      <c r="P851" s="23" t="inlineStr">
        <is>
          <t>Single Carrier (Band n50, 100MHz TDD)</t>
        </is>
      </c>
      <c r="Q851" s="27">
        <f>ROUNDUP(O851/'Methodology &amp; Assumptions'!$B$8, 0)</f>
        <v/>
      </c>
      <c r="R851" s="27" t="n">
        <v>1</v>
      </c>
      <c r="S851" s="26" t="n">
        <v>2.57</v>
      </c>
      <c r="T851" s="26" t="n">
        <v>0.17</v>
      </c>
      <c r="U851" s="11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26" t="n">
        <v>79.52</v>
      </c>
      <c r="W851" s="26" t="n">
        <v>41.54</v>
      </c>
      <c r="X851" s="26">
        <f>ROUND(('Methodology &amp; Assumptions'!$B$5*V851) + ('Methodology &amp; Assumptions'!$B$6*W851), 2)</f>
        <v/>
      </c>
      <c r="Y851" s="28" t="n">
        <v>8.300000000000001</v>
      </c>
      <c r="Z851" s="11" t="inlineStr">
        <is>
          <t>Priority Tier 2 (Balanced Opportunity)</t>
        </is>
      </c>
    </row>
    <row r="852">
      <c r="A852" s="23" t="n">
        <v>3</v>
      </c>
      <c r="B852" s="23" t="n">
        <v>848</v>
      </c>
      <c r="C852" s="23" t="n">
        <v>2848</v>
      </c>
      <c r="D852" s="23" t="inlineStr">
        <is>
          <t>0103303034</t>
        </is>
      </c>
      <c r="E852" s="11" t="inlineStr">
        <is>
          <t>Region I (Ilocos Region)</t>
        </is>
      </c>
      <c r="F852" s="11" t="inlineStr">
        <is>
          <t>La Union</t>
        </is>
      </c>
      <c r="G852" s="11" t="inlineStr">
        <is>
          <t>Bacnotan</t>
        </is>
      </c>
      <c r="H852" s="11" t="inlineStr">
        <is>
          <t>Poblacion</t>
        </is>
      </c>
      <c r="I852" s="24" t="n">
        <v>16.721651</v>
      </c>
      <c r="J852" s="24" t="n">
        <v>120.350045</v>
      </c>
      <c r="K852" s="23" t="inlineStr">
        <is>
          <t>U</t>
        </is>
      </c>
      <c r="L852" s="25" t="n">
        <v>3632</v>
      </c>
      <c r="M852" s="26" t="n">
        <v>3.7</v>
      </c>
      <c r="N852" s="25">
        <f>ROUND(L852/M852, 0)</f>
        <v/>
      </c>
      <c r="O852" s="25">
        <f>ROUND(N852*'Methodology &amp; Assumptions'!$B$7, 0)</f>
        <v/>
      </c>
      <c r="P852" s="23" t="inlineStr">
        <is>
          <t>Single Carrier (Band n50, 100MHz TDD)</t>
        </is>
      </c>
      <c r="Q852" s="27">
        <f>ROUNDUP(O852/'Methodology &amp; Assumptions'!$B$8, 0)</f>
        <v/>
      </c>
      <c r="R852" s="27" t="n">
        <v>1</v>
      </c>
      <c r="S852" s="26" t="n">
        <v>0.3</v>
      </c>
      <c r="T852" s="26" t="n">
        <v>0.09</v>
      </c>
      <c r="U852" s="11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26" t="n">
        <v>78.43000000000001</v>
      </c>
      <c r="W852" s="26" t="n">
        <v>42.63</v>
      </c>
      <c r="X852" s="26">
        <f>ROUND(('Methodology &amp; Assumptions'!$B$5*V852) + ('Methodology &amp; Assumptions'!$B$6*W852), 2)</f>
        <v/>
      </c>
      <c r="Y852" s="28" t="n">
        <v>8.300000000000001</v>
      </c>
      <c r="Z852" s="11" t="inlineStr">
        <is>
          <t>Priority Tier 2 (Balanced Opportunity)</t>
        </is>
      </c>
    </row>
    <row r="853">
      <c r="A853" s="23" t="n">
        <v>3</v>
      </c>
      <c r="B853" s="23" t="n">
        <v>849</v>
      </c>
      <c r="C853" s="23" t="n">
        <v>2849</v>
      </c>
      <c r="D853" s="23" t="inlineStr">
        <is>
          <t>0403419002</t>
        </is>
      </c>
      <c r="E853" s="11" t="inlineStr">
        <is>
          <t>Region IV-A (CALABARZON)</t>
        </is>
      </c>
      <c r="F853" s="11" t="inlineStr">
        <is>
          <t>Laguna</t>
        </is>
      </c>
      <c r="G853" s="11" t="inlineStr">
        <is>
          <t>Pagsanjan</t>
        </is>
      </c>
      <c r="H853" s="11" t="inlineStr">
        <is>
          <t>Biñan</t>
        </is>
      </c>
      <c r="I853" s="24" t="n">
        <v>14.264452</v>
      </c>
      <c r="J853" s="24" t="n">
        <v>121.43269</v>
      </c>
      <c r="K853" s="23" t="inlineStr">
        <is>
          <t>U</t>
        </is>
      </c>
      <c r="L853" s="25" t="n">
        <v>7053</v>
      </c>
      <c r="M853" s="26" t="n">
        <v>3.3</v>
      </c>
      <c r="N853" s="25">
        <f>ROUND(L853/M853, 0)</f>
        <v/>
      </c>
      <c r="O853" s="25">
        <f>ROUND(N853*'Methodology &amp; Assumptions'!$B$7, 0)</f>
        <v/>
      </c>
      <c r="P853" s="23" t="inlineStr">
        <is>
          <t>Single Carrier (Band n50, 100MHz TDD)</t>
        </is>
      </c>
      <c r="Q853" s="27">
        <f>ROUNDUP(O853/'Methodology &amp; Assumptions'!$B$8, 0)</f>
        <v/>
      </c>
      <c r="R853" s="27" t="n">
        <v>1</v>
      </c>
      <c r="S853" s="26" t="n">
        <v>2.15</v>
      </c>
      <c r="T853" s="26" t="n">
        <v>0.05</v>
      </c>
      <c r="U853" s="11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26" t="n">
        <v>73.52</v>
      </c>
      <c r="W853" s="26" t="n">
        <v>47.55</v>
      </c>
      <c r="X853" s="26">
        <f>ROUND(('Methodology &amp; Assumptions'!$B$5*V853) + ('Methodology &amp; Assumptions'!$B$6*W853), 2)</f>
        <v/>
      </c>
      <c r="Y853" s="28" t="n">
        <v>7.2</v>
      </c>
      <c r="Z853" s="11" t="inlineStr">
        <is>
          <t>Priority Tier 2 (Balanced Opportunity)</t>
        </is>
      </c>
    </row>
    <row r="854">
      <c r="A854" s="23" t="n">
        <v>3</v>
      </c>
      <c r="B854" s="23" t="n">
        <v>850</v>
      </c>
      <c r="C854" s="23" t="n">
        <v>2850</v>
      </c>
      <c r="D854" s="23" t="inlineStr">
        <is>
          <t>0103301017</t>
        </is>
      </c>
      <c r="E854" s="11" t="inlineStr">
        <is>
          <t>Region I (Ilocos Region)</t>
        </is>
      </c>
      <c r="F854" s="11" t="inlineStr">
        <is>
          <t>La Union</t>
        </is>
      </c>
      <c r="G854" s="11" t="inlineStr">
        <is>
          <t>Agoo</t>
        </is>
      </c>
      <c r="H854" s="11" t="inlineStr">
        <is>
          <t>San Joaquin Norte</t>
        </is>
      </c>
      <c r="I854" s="24" t="n">
        <v>16.317157</v>
      </c>
      <c r="J854" s="24" t="n">
        <v>120.366106</v>
      </c>
      <c r="K854" s="23" t="inlineStr">
        <is>
          <t>R</t>
        </is>
      </c>
      <c r="L854" s="25" t="n">
        <v>1502</v>
      </c>
      <c r="M854" s="26" t="n">
        <v>3.7</v>
      </c>
      <c r="N854" s="25">
        <f>ROUND(L854/M854, 0)</f>
        <v/>
      </c>
      <c r="O854" s="25">
        <f>ROUND(N854*'Methodology &amp; Assumptions'!$B$7, 0)</f>
        <v/>
      </c>
      <c r="P854" s="23" t="inlineStr">
        <is>
          <t>Single Carrier (Band n50, 100MHz TDD)</t>
        </is>
      </c>
      <c r="Q854" s="27">
        <f>ROUNDUP(O854/'Methodology &amp; Assumptions'!$B$8, 0)</f>
        <v/>
      </c>
      <c r="R854" s="27" t="n">
        <v>1</v>
      </c>
      <c r="S854" s="26" t="n">
        <v>0.75</v>
      </c>
      <c r="T854" s="26" t="n">
        <v>0.23</v>
      </c>
      <c r="U854" s="11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26" t="n">
        <v>72.23999999999999</v>
      </c>
      <c r="W854" s="26" t="n">
        <v>48.81</v>
      </c>
      <c r="X854" s="26">
        <f>ROUND(('Methodology &amp; Assumptions'!$B$5*V854) + ('Methodology &amp; Assumptions'!$B$6*W854), 2)</f>
        <v/>
      </c>
      <c r="Y854" s="28" t="n">
        <v>8.300000000000001</v>
      </c>
      <c r="Z854" s="11" t="inlineStr">
        <is>
          <t>Priority Tier 2 (Balanced Opportunity)</t>
        </is>
      </c>
    </row>
    <row r="855">
      <c r="A855" s="23" t="n">
        <v>3</v>
      </c>
      <c r="B855" s="23" t="n">
        <v>851</v>
      </c>
      <c r="C855" s="23" t="n">
        <v>2851</v>
      </c>
      <c r="D855" s="23" t="inlineStr">
        <is>
          <t>1102319008</t>
        </is>
      </c>
      <c r="E855" s="11" t="inlineStr">
        <is>
          <t>Region XI (Davao Region)</t>
        </is>
      </c>
      <c r="F855" s="11" t="inlineStr">
        <is>
          <t>Davao del Norte</t>
        </is>
      </c>
      <c r="G855" s="11" t="inlineStr">
        <is>
          <t>City of Tagum</t>
        </is>
      </c>
      <c r="H855" s="11" t="inlineStr">
        <is>
          <t>Liboganon</t>
        </is>
      </c>
      <c r="I855" s="24" t="n">
        <v>7.348664</v>
      </c>
      <c r="J855" s="24" t="n">
        <v>125.776169</v>
      </c>
      <c r="K855" s="23" t="inlineStr">
        <is>
          <t>R</t>
        </is>
      </c>
      <c r="L855" s="25" t="n">
        <v>2850</v>
      </c>
      <c r="M855" s="26" t="n">
        <v>3.7</v>
      </c>
      <c r="N855" s="25">
        <f>ROUND(L855/M855, 0)</f>
        <v/>
      </c>
      <c r="O855" s="25">
        <f>ROUND(N855*'Methodology &amp; Assumptions'!$B$7, 0)</f>
        <v/>
      </c>
      <c r="P855" s="23" t="inlineStr">
        <is>
          <t>Single Carrier (Band n50, 100MHz TDD)</t>
        </is>
      </c>
      <c r="Q855" s="27">
        <f>ROUNDUP(O855/'Methodology &amp; Assumptions'!$B$8, 0)</f>
        <v/>
      </c>
      <c r="R855" s="27" t="n">
        <v>1</v>
      </c>
      <c r="S855" s="26" t="n">
        <v>4.12</v>
      </c>
      <c r="T855" s="26" t="n">
        <v>4.01</v>
      </c>
      <c r="U855" s="11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26" t="n">
        <v>71.17</v>
      </c>
      <c r="W855" s="26" t="n">
        <v>49.88</v>
      </c>
      <c r="X855" s="26">
        <f>ROUND(('Methodology &amp; Assumptions'!$B$5*V855) + ('Methodology &amp; Assumptions'!$B$6*W855), 2)</f>
        <v/>
      </c>
      <c r="Y855" s="28" t="n">
        <v>17.4</v>
      </c>
      <c r="Z855" s="11" t="inlineStr">
        <is>
          <t>Priority Tier 2 (Balanced Opportunity)</t>
        </is>
      </c>
    </row>
    <row r="856">
      <c r="A856" s="23" t="n">
        <v>3</v>
      </c>
      <c r="B856" s="23" t="n">
        <v>852</v>
      </c>
      <c r="C856" s="23" t="n">
        <v>2852</v>
      </c>
      <c r="D856" s="23" t="inlineStr">
        <is>
          <t>1380601258</t>
        </is>
      </c>
      <c r="E856" s="11" t="inlineStr">
        <is>
          <t>National Capital Region (NCR)</t>
        </is>
      </c>
      <c r="F856" s="11" t="inlineStr">
        <is>
          <t>First District (Not a Province)</t>
        </is>
      </c>
      <c r="G856" s="11" t="inlineStr">
        <is>
          <t>City of Manila</t>
        </is>
      </c>
      <c r="H856" s="11" t="inlineStr">
        <is>
          <t>Barangay 257</t>
        </is>
      </c>
      <c r="I856" s="24" t="n">
        <v>14.611988</v>
      </c>
      <c r="J856" s="24" t="n">
        <v>120.97867</v>
      </c>
      <c r="K856" s="23" t="inlineStr">
        <is>
          <t>U</t>
        </is>
      </c>
      <c r="L856" s="25" t="n">
        <v>1341</v>
      </c>
      <c r="M856" s="26" t="n">
        <v>4.15</v>
      </c>
      <c r="N856" s="25">
        <f>ROUND(L856/M856, 0)</f>
        <v/>
      </c>
      <c r="O856" s="25">
        <f>ROUND(N856*'Methodology &amp; Assumptions'!$B$7, 0)</f>
        <v/>
      </c>
      <c r="P856" s="23" t="inlineStr">
        <is>
          <t>Single Carrier (Band n50, 100MHz TDD)</t>
        </is>
      </c>
      <c r="Q856" s="27">
        <f>ROUNDUP(O856/'Methodology &amp; Assumptions'!$B$8, 0)</f>
        <v/>
      </c>
      <c r="R856" s="27" t="n">
        <v>1</v>
      </c>
      <c r="S856" s="26" t="n">
        <v>0.67</v>
      </c>
      <c r="T856" s="26" t="n">
        <v>0.43</v>
      </c>
      <c r="U856" s="11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26" t="n">
        <v>51.48</v>
      </c>
      <c r="W856" s="26" t="n">
        <v>69.56999999999999</v>
      </c>
      <c r="X856" s="26">
        <f>ROUND(('Methodology &amp; Assumptions'!$B$5*V856) + ('Methodology &amp; Assumptions'!$B$6*W856), 2)</f>
        <v/>
      </c>
      <c r="Y856" s="28" t="n">
        <v>10.9</v>
      </c>
      <c r="Z856" s="11" t="inlineStr">
        <is>
          <t>Priority Tier 2 (Balanced Opportunity)</t>
        </is>
      </c>
    </row>
    <row r="857">
      <c r="A857" s="23" t="n">
        <v>3</v>
      </c>
      <c r="B857" s="23" t="n">
        <v>853</v>
      </c>
      <c r="C857" s="23" t="n">
        <v>2853</v>
      </c>
      <c r="D857" s="23" t="inlineStr">
        <is>
          <t>0806022048</t>
        </is>
      </c>
      <c r="E857" s="11" t="inlineStr">
        <is>
          <t>Region VIII (Eastern Visayas)</t>
        </is>
      </c>
      <c r="F857" s="11" t="inlineStr">
        <is>
          <t>Samar</t>
        </is>
      </c>
      <c r="G857" s="11" t="inlineStr">
        <is>
          <t>Paranas</t>
        </is>
      </c>
      <c r="H857" s="11" t="inlineStr">
        <is>
          <t>Casandig II</t>
        </is>
      </c>
      <c r="I857" s="24" t="n">
        <v>11.849855</v>
      </c>
      <c r="J857" s="24" t="n">
        <v>125.124128</v>
      </c>
      <c r="K857" s="23" t="inlineStr">
        <is>
          <t>R</t>
        </is>
      </c>
      <c r="L857" s="25" t="n">
        <v>1297</v>
      </c>
      <c r="M857" s="26" t="n">
        <v>4.1</v>
      </c>
      <c r="N857" s="25">
        <f>ROUND(L857/M857, 0)</f>
        <v/>
      </c>
      <c r="O857" s="25">
        <f>ROUND(N857*'Methodology &amp; Assumptions'!$B$7, 0)</f>
        <v/>
      </c>
      <c r="P857" s="23" t="inlineStr">
        <is>
          <t>Single Carrier (Band n50, 100MHz TDD)</t>
        </is>
      </c>
      <c r="Q857" s="27">
        <f>ROUNDUP(O857/'Methodology &amp; Assumptions'!$B$8, 0)</f>
        <v/>
      </c>
      <c r="R857" s="27" t="n">
        <v>1</v>
      </c>
      <c r="S857" s="26" t="n">
        <v>69.14</v>
      </c>
      <c r="T857" s="26" t="n">
        <v>71.97</v>
      </c>
      <c r="U857" s="11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26" t="n">
        <v>45.84</v>
      </c>
      <c r="W857" s="26" t="n">
        <v>75.23</v>
      </c>
      <c r="X857" s="26">
        <f>ROUND(('Methodology &amp; Assumptions'!$B$5*V857) + ('Methodology &amp; Assumptions'!$B$6*W857), 2)</f>
        <v/>
      </c>
      <c r="Y857" s="28" t="n">
        <v>23.7</v>
      </c>
      <c r="Z857" s="11" t="inlineStr">
        <is>
          <t>Priority Tier 2 (Balanced Opportunity)</t>
        </is>
      </c>
    </row>
    <row r="858">
      <c r="A858" s="23" t="n">
        <v>3</v>
      </c>
      <c r="B858" s="23" t="n">
        <v>854</v>
      </c>
      <c r="C858" s="23" t="n">
        <v>2854</v>
      </c>
      <c r="D858" s="23" t="inlineStr">
        <is>
          <t>1705305019</t>
        </is>
      </c>
      <c r="E858" s="11" t="inlineStr">
        <is>
          <t>MIMAROPA Region</t>
        </is>
      </c>
      <c r="F858" s="11" t="inlineStr">
        <is>
          <t>Palawan</t>
        </is>
      </c>
      <c r="G858" s="11" t="inlineStr">
        <is>
          <t>Bataraza</t>
        </is>
      </c>
      <c r="H858" s="11" t="inlineStr">
        <is>
          <t>Tagnato</t>
        </is>
      </c>
      <c r="I858" s="24" t="n">
        <v>8.407861</v>
      </c>
      <c r="J858" s="24" t="n">
        <v>117.250208</v>
      </c>
      <c r="K858" s="23" t="inlineStr">
        <is>
          <t>R</t>
        </is>
      </c>
      <c r="L858" s="25" t="n">
        <v>1118</v>
      </c>
      <c r="M858" s="26" t="n">
        <v>3.9</v>
      </c>
      <c r="N858" s="25">
        <f>ROUND(L858/M858, 0)</f>
        <v/>
      </c>
      <c r="O858" s="25">
        <f>ROUND(N858*'Methodology &amp; Assumptions'!$B$7, 0)</f>
        <v/>
      </c>
      <c r="P858" s="23" t="inlineStr">
        <is>
          <t>Single Carrier (Band n50, 100MHz TDD)</t>
        </is>
      </c>
      <c r="Q858" s="27">
        <f>ROUNDUP(O858/'Methodology &amp; Assumptions'!$B$8, 0)</f>
        <v/>
      </c>
      <c r="R858" s="27" t="n">
        <v>1</v>
      </c>
      <c r="S858" s="26" t="n">
        <v>220.21</v>
      </c>
      <c r="T858" s="26" t="n">
        <v>222.49</v>
      </c>
      <c r="U858" s="11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26" t="n">
        <v>42.49</v>
      </c>
      <c r="W858" s="26" t="n">
        <v>78.55</v>
      </c>
      <c r="X858" s="26">
        <f>ROUND(('Methodology &amp; Assumptions'!$B$5*V858) + ('Methodology &amp; Assumptions'!$B$6*W858), 2)</f>
        <v/>
      </c>
      <c r="Y858" s="28" t="n">
        <v>15</v>
      </c>
      <c r="Z858" s="11" t="inlineStr">
        <is>
          <t>Priority Tier 2 (Balanced Opportunity)</t>
        </is>
      </c>
    </row>
    <row r="859">
      <c r="A859" s="23" t="n">
        <v>3</v>
      </c>
      <c r="B859" s="23" t="n">
        <v>855</v>
      </c>
      <c r="C859" s="23" t="n">
        <v>2855</v>
      </c>
      <c r="D859" s="23" t="inlineStr">
        <is>
          <t>0600613005</t>
        </is>
      </c>
      <c r="E859" s="11" t="inlineStr">
        <is>
          <t>Region VI (Western Visayas)</t>
        </is>
      </c>
      <c r="F859" s="11" t="inlineStr">
        <is>
          <t>Antique</t>
        </is>
      </c>
      <c r="G859" s="11" t="inlineStr">
        <is>
          <t>San Jose</t>
        </is>
      </c>
      <c r="H859" s="11" t="inlineStr">
        <is>
          <t>Barangay 3</t>
        </is>
      </c>
      <c r="I859" s="24" t="n">
        <v>10.7438</v>
      </c>
      <c r="J859" s="24" t="n">
        <v>121.9355</v>
      </c>
      <c r="K859" s="23" t="inlineStr">
        <is>
          <t>R</t>
        </is>
      </c>
      <c r="L859" s="25" t="n">
        <v>3574</v>
      </c>
      <c r="M859" s="26" t="n">
        <v>3.9</v>
      </c>
      <c r="N859" s="25">
        <f>ROUND(L859/M859, 0)</f>
        <v/>
      </c>
      <c r="O859" s="25">
        <f>ROUND(N859*'Methodology &amp; Assumptions'!$B$7, 0)</f>
        <v/>
      </c>
      <c r="P859" s="23" t="inlineStr">
        <is>
          <t>Single Carrier (Band n50, 100MHz TDD)</t>
        </is>
      </c>
      <c r="Q859" s="27">
        <f>ROUNDUP(O859/'Methodology &amp; Assumptions'!$B$8, 0)</f>
        <v/>
      </c>
      <c r="R859" s="27" t="n">
        <v>1</v>
      </c>
      <c r="S859" s="26" t="n">
        <v>2.08</v>
      </c>
      <c r="T859" s="26" t="n">
        <v>0.6899999999999999</v>
      </c>
      <c r="U859" s="11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26" t="n">
        <v>83.56</v>
      </c>
      <c r="W859" s="26" t="n">
        <v>37.46</v>
      </c>
      <c r="X859" s="26">
        <f>ROUND(('Methodology &amp; Assumptions'!$B$5*V859) + ('Methodology &amp; Assumptions'!$B$6*W859), 2)</f>
        <v/>
      </c>
      <c r="Y859" s="28" t="n">
        <v>23.7</v>
      </c>
      <c r="Z859" s="11" t="inlineStr">
        <is>
          <t>Priority Tier 2 (Balanced Opportunity)</t>
        </is>
      </c>
    </row>
    <row r="860">
      <c r="A860" s="23" t="n">
        <v>3</v>
      </c>
      <c r="B860" s="23" t="n">
        <v>856</v>
      </c>
      <c r="C860" s="23" t="n">
        <v>2856</v>
      </c>
      <c r="D860" s="23" t="inlineStr">
        <is>
          <t>0105526021</t>
        </is>
      </c>
      <c r="E860" s="11" t="inlineStr">
        <is>
          <t>Region I (Ilocos Region)</t>
        </is>
      </c>
      <c r="F860" s="11" t="inlineStr">
        <is>
          <t>Pangasinan</t>
        </is>
      </c>
      <c r="G860" s="11" t="inlineStr">
        <is>
          <t>Mangaldan</t>
        </is>
      </c>
      <c r="H860" s="11" t="inlineStr">
        <is>
          <t>Navaluan</t>
        </is>
      </c>
      <c r="I860" s="24" t="n">
        <v>16.065943</v>
      </c>
      <c r="J860" s="24" t="n">
        <v>120.41608</v>
      </c>
      <c r="K860" s="23" t="inlineStr">
        <is>
          <t>R</t>
        </is>
      </c>
      <c r="L860" s="25" t="n">
        <v>4149</v>
      </c>
      <c r="M860" s="26" t="n">
        <v>3.6</v>
      </c>
      <c r="N860" s="25">
        <f>ROUND(L860/M860, 0)</f>
        <v/>
      </c>
      <c r="O860" s="25">
        <f>ROUND(N860*'Methodology &amp; Assumptions'!$B$7, 0)</f>
        <v/>
      </c>
      <c r="P860" s="23" t="inlineStr">
        <is>
          <t>Single Carrier (Band n50, 100MHz TDD)</t>
        </is>
      </c>
      <c r="Q860" s="27">
        <f>ROUNDUP(O860/'Methodology &amp; Assumptions'!$B$8, 0)</f>
        <v/>
      </c>
      <c r="R860" s="27" t="n">
        <v>1</v>
      </c>
      <c r="S860" s="26" t="n">
        <v>1.49</v>
      </c>
      <c r="T860" s="26" t="n">
        <v>1.21</v>
      </c>
      <c r="U860" s="11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26" t="n">
        <v>83.19</v>
      </c>
      <c r="W860" s="26" t="n">
        <v>37.84</v>
      </c>
      <c r="X860" s="26">
        <f>ROUND(('Methodology &amp; Assumptions'!$B$5*V860) + ('Methodology &amp; Assumptions'!$B$6*W860), 2)</f>
        <v/>
      </c>
      <c r="Y860" s="28" t="n">
        <v>8.300000000000001</v>
      </c>
      <c r="Z860" s="11" t="inlineStr">
        <is>
          <t>Priority Tier 2 (Balanced Opportunity)</t>
        </is>
      </c>
    </row>
    <row r="861">
      <c r="A861" s="23" t="n">
        <v>3</v>
      </c>
      <c r="B861" s="23" t="n">
        <v>857</v>
      </c>
      <c r="C861" s="23" t="n">
        <v>2857</v>
      </c>
      <c r="D861" s="23" t="inlineStr">
        <is>
          <t>0403422008</t>
        </is>
      </c>
      <c r="E861" s="11" t="inlineStr">
        <is>
          <t>Region IV-A (CALABARZON)</t>
        </is>
      </c>
      <c r="F861" s="11" t="inlineStr">
        <is>
          <t>Laguna</t>
        </is>
      </c>
      <c r="G861" s="11" t="inlineStr">
        <is>
          <t>Pila</t>
        </is>
      </c>
      <c r="H861" s="11" t="inlineStr">
        <is>
          <t>Linga</t>
        </is>
      </c>
      <c r="I861" s="24" t="n">
        <v>14.255423</v>
      </c>
      <c r="J861" s="24" t="n">
        <v>121.359026</v>
      </c>
      <c r="K861" s="23" t="inlineStr">
        <is>
          <t>R</t>
        </is>
      </c>
      <c r="L861" s="25" t="n">
        <v>3924</v>
      </c>
      <c r="M861" s="26" t="n">
        <v>3.3</v>
      </c>
      <c r="N861" s="25">
        <f>ROUND(L861/M861, 0)</f>
        <v/>
      </c>
      <c r="O861" s="25">
        <f>ROUND(N861*'Methodology &amp; Assumptions'!$B$7, 0)</f>
        <v/>
      </c>
      <c r="P861" s="23" t="inlineStr">
        <is>
          <t>Single Carrier (Band n50, 100MHz TDD)</t>
        </is>
      </c>
      <c r="Q861" s="27">
        <f>ROUNDUP(O861/'Methodology &amp; Assumptions'!$B$8, 0)</f>
        <v/>
      </c>
      <c r="R861" s="27" t="n">
        <v>1</v>
      </c>
      <c r="S861" s="26" t="n">
        <v>2.17</v>
      </c>
      <c r="T861" s="26" t="n">
        <v>1.63</v>
      </c>
      <c r="U861" s="11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26" t="n">
        <v>80.65000000000001</v>
      </c>
      <c r="W861" s="26" t="n">
        <v>40.38</v>
      </c>
      <c r="X861" s="26">
        <f>ROUND(('Methodology &amp; Assumptions'!$B$5*V861) + ('Methodology &amp; Assumptions'!$B$6*W861), 2)</f>
        <v/>
      </c>
      <c r="Y861" s="28" t="n">
        <v>7.2</v>
      </c>
      <c r="Z861" s="11" t="inlineStr">
        <is>
          <t>Priority Tier 2 (Balanced Opportunity)</t>
        </is>
      </c>
    </row>
    <row r="862">
      <c r="A862" s="23" t="n">
        <v>3</v>
      </c>
      <c r="B862" s="23" t="n">
        <v>858</v>
      </c>
      <c r="C862" s="23" t="n">
        <v>2858</v>
      </c>
      <c r="D862" s="23" t="inlineStr">
        <is>
          <t>0304902014</t>
        </is>
      </c>
      <c r="E862" s="11" t="inlineStr">
        <is>
          <t>Region III (Central Luzon)</t>
        </is>
      </c>
      <c r="F862" s="11" t="inlineStr">
        <is>
          <t>Nueva Ecija</t>
        </is>
      </c>
      <c r="G862" s="11" t="inlineStr">
        <is>
          <t>Bongabon</t>
        </is>
      </c>
      <c r="H862" s="11" t="inlineStr">
        <is>
          <t>Magtanggol</t>
        </is>
      </c>
      <c r="I862" s="24" t="n">
        <v>15.63081</v>
      </c>
      <c r="J862" s="24" t="n">
        <v>121.140203</v>
      </c>
      <c r="K862" s="23" t="inlineStr">
        <is>
          <t>R</t>
        </is>
      </c>
      <c r="L862" s="25" t="n">
        <v>1566</v>
      </c>
      <c r="M862" s="26" t="n">
        <v>3.5</v>
      </c>
      <c r="N862" s="25">
        <f>ROUND(L862/M862, 0)</f>
        <v/>
      </c>
      <c r="O862" s="25">
        <f>ROUND(N862*'Methodology &amp; Assumptions'!$B$7, 0)</f>
        <v/>
      </c>
      <c r="P862" s="23" t="inlineStr">
        <is>
          <t>Single Carrier (Band n50, 100MHz TDD)</t>
        </is>
      </c>
      <c r="Q862" s="27">
        <f>ROUNDUP(O862/'Methodology &amp; Assumptions'!$B$8, 0)</f>
        <v/>
      </c>
      <c r="R862" s="27" t="n">
        <v>1</v>
      </c>
      <c r="S862" s="26" t="n">
        <v>1.01</v>
      </c>
      <c r="T862" s="26" t="n">
        <v>0.5600000000000001</v>
      </c>
      <c r="U862" s="11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26" t="n">
        <v>72.88</v>
      </c>
      <c r="W862" s="26" t="n">
        <v>48.14</v>
      </c>
      <c r="X862" s="26">
        <f>ROUND(('Methodology &amp; Assumptions'!$B$5*V862) + ('Methodology &amp; Assumptions'!$B$6*W862), 2)</f>
        <v/>
      </c>
      <c r="Y862" s="28" t="n">
        <v>8.300000000000001</v>
      </c>
      <c r="Z862" s="11" t="inlineStr">
        <is>
          <t>Priority Tier 2 (Balanced Opportunity)</t>
        </is>
      </c>
    </row>
    <row r="863">
      <c r="A863" s="23" t="n">
        <v>3</v>
      </c>
      <c r="B863" s="23" t="n">
        <v>859</v>
      </c>
      <c r="C863" s="23" t="n">
        <v>2859</v>
      </c>
      <c r="D863" s="23" t="inlineStr">
        <is>
          <t>1380601201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201</t>
        </is>
      </c>
      <c r="I863" s="24" t="n">
        <v>14.631576</v>
      </c>
      <c r="J863" s="24" t="n">
        <v>120.979116</v>
      </c>
      <c r="K863" s="23" t="inlineStr">
        <is>
          <t>U</t>
        </is>
      </c>
      <c r="L863" s="25" t="n">
        <v>1166</v>
      </c>
      <c r="M863" s="26" t="n">
        <v>3.79</v>
      </c>
      <c r="N863" s="25">
        <f>ROUND(L863/M863, 0)</f>
        <v/>
      </c>
      <c r="O863" s="25">
        <f>ROUND(N863*'Methodology &amp; Assumptions'!$B$7, 0)</f>
        <v/>
      </c>
      <c r="P863" s="23" t="inlineStr">
        <is>
          <t>Single Carrier (Band n50, 100MHz TDD)</t>
        </is>
      </c>
      <c r="Q863" s="27">
        <f>ROUNDUP(O863/'Methodology &amp; Assumptions'!$B$8, 0)</f>
        <v/>
      </c>
      <c r="R863" s="27" t="n">
        <v>1</v>
      </c>
      <c r="S863" s="26" t="n">
        <v>0.8100000000000001</v>
      </c>
      <c r="T863" s="26" t="n">
        <v>0.18</v>
      </c>
      <c r="U863" s="11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26" t="n">
        <v>50.95</v>
      </c>
      <c r="W863" s="26" t="n">
        <v>70.08</v>
      </c>
      <c r="X863" s="26">
        <f>ROUND(('Methodology &amp; Assumptions'!$B$5*V863) + ('Methodology &amp; Assumptions'!$B$6*W863), 2)</f>
        <v/>
      </c>
      <c r="Y863" s="28" t="n">
        <v>10.9</v>
      </c>
      <c r="Z863" s="11" t="inlineStr">
        <is>
          <t>Priority Tier 2 (Balanced Opportunity)</t>
        </is>
      </c>
    </row>
    <row r="864">
      <c r="A864" s="23" t="n">
        <v>3</v>
      </c>
      <c r="B864" s="23" t="n">
        <v>860</v>
      </c>
      <c r="C864" s="23" t="n">
        <v>2860</v>
      </c>
      <c r="D864" s="23" t="inlineStr">
        <is>
          <t>1381100158</t>
        </is>
      </c>
      <c r="E864" s="11" t="inlineStr">
        <is>
          <t>National Capital Region (NCR)</t>
        </is>
      </c>
      <c r="F864" s="11" t="inlineStr">
        <is>
          <t>Fourth District (Not a Province)</t>
        </is>
      </c>
      <c r="G864" s="11" t="inlineStr">
        <is>
          <t>Pasay City</t>
        </is>
      </c>
      <c r="H864" s="11" t="inlineStr">
        <is>
          <t>Barangay 158</t>
        </is>
      </c>
      <c r="I864" s="24" t="n">
        <v>14.536777</v>
      </c>
      <c r="J864" s="24" t="n">
        <v>121.007684</v>
      </c>
      <c r="K864" s="23" t="inlineStr">
        <is>
          <t>U</t>
        </is>
      </c>
      <c r="L864" s="25" t="n">
        <v>1141</v>
      </c>
      <c r="M864" s="26" t="n">
        <v>3.27</v>
      </c>
      <c r="N864" s="25">
        <f>ROUND(L864/M864, 0)</f>
        <v/>
      </c>
      <c r="O864" s="25">
        <f>ROUND(N864*'Methodology &amp; Assumptions'!$B$7, 0)</f>
        <v/>
      </c>
      <c r="P864" s="23" t="inlineStr">
        <is>
          <t>Single Carrier (Band n50, 100MHz TDD)</t>
        </is>
      </c>
      <c r="Q864" s="27">
        <f>ROUNDUP(O864/'Methodology &amp; Assumptions'!$B$8, 0)</f>
        <v/>
      </c>
      <c r="R864" s="27" t="n">
        <v>1</v>
      </c>
      <c r="S864" s="26" t="n">
        <v>1.5</v>
      </c>
      <c r="T864" s="26" t="n">
        <v>0.47</v>
      </c>
      <c r="U864" s="11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26" t="n">
        <v>49.86</v>
      </c>
      <c r="W864" s="26" t="n">
        <v>71.15000000000001</v>
      </c>
      <c r="X864" s="26">
        <f>ROUND(('Methodology &amp; Assumptions'!$B$5*V864) + ('Methodology &amp; Assumptions'!$B$6*W864), 2)</f>
        <v/>
      </c>
      <c r="Y864" s="28" t="n">
        <v>10.9</v>
      </c>
      <c r="Z864" s="11" t="inlineStr">
        <is>
          <t>Priority Tier 2 (Balanced Opportunity)</t>
        </is>
      </c>
    </row>
    <row r="865">
      <c r="A865" s="23" t="n">
        <v>3</v>
      </c>
      <c r="B865" s="23" t="n">
        <v>861</v>
      </c>
      <c r="C865" s="23" t="n">
        <v>2861</v>
      </c>
      <c r="D865" s="23" t="inlineStr">
        <is>
          <t>1001318021</t>
        </is>
      </c>
      <c r="E865" s="11" t="inlineStr">
        <is>
          <t>Region X (Northern Mindanao)</t>
        </is>
      </c>
      <c r="F865" s="11" t="inlineStr">
        <is>
          <t>Bukidnon</t>
        </is>
      </c>
      <c r="G865" s="11" t="inlineStr">
        <is>
          <t>San Fernando</t>
        </is>
      </c>
      <c r="H865" s="11" t="inlineStr">
        <is>
          <t>Palacpacan</t>
        </is>
      </c>
      <c r="I865" s="24" t="n">
        <v>7.799524</v>
      </c>
      <c r="J865" s="24" t="n">
        <v>125.357597</v>
      </c>
      <c r="K865" s="23" t="inlineStr">
        <is>
          <t>R</t>
        </is>
      </c>
      <c r="L865" s="25" t="n">
        <v>1651</v>
      </c>
      <c r="M865" s="26" t="n">
        <v>3.8</v>
      </c>
      <c r="N865" s="25">
        <f>ROUND(L865/M865, 0)</f>
        <v/>
      </c>
      <c r="O865" s="25">
        <f>ROUND(N865*'Methodology &amp; Assumptions'!$B$7, 0)</f>
        <v/>
      </c>
      <c r="P865" s="23" t="inlineStr">
        <is>
          <t>Single Carrier (Band n50, 100MHz TDD)</t>
        </is>
      </c>
      <c r="Q865" s="27">
        <f>ROUNDUP(O865/'Methodology &amp; Assumptions'!$B$8, 0)</f>
        <v/>
      </c>
      <c r="R865" s="27" t="n">
        <v>1</v>
      </c>
      <c r="S865" s="26" t="n">
        <v>24.9</v>
      </c>
      <c r="T865" s="26" t="n">
        <v>4.3</v>
      </c>
      <c r="U865" s="11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26" t="n">
        <v>48.76</v>
      </c>
      <c r="W865" s="26" t="n">
        <v>72.25</v>
      </c>
      <c r="X865" s="26">
        <f>ROUND(('Methodology &amp; Assumptions'!$B$5*V865) + ('Methodology &amp; Assumptions'!$B$6*W865), 2)</f>
        <v/>
      </c>
      <c r="Y865" s="28" t="n">
        <v>17.4</v>
      </c>
      <c r="Z865" s="11" t="inlineStr">
        <is>
          <t>Priority Tier 2 (Balanced Opportunity)</t>
        </is>
      </c>
    </row>
    <row r="866">
      <c r="A866" s="23" t="n">
        <v>3</v>
      </c>
      <c r="B866" s="23" t="n">
        <v>862</v>
      </c>
      <c r="C866" s="23" t="n">
        <v>2862</v>
      </c>
      <c r="D866" s="23" t="inlineStr">
        <is>
          <t>0806417010</t>
        </is>
      </c>
      <c r="E866" s="11" t="inlineStr">
        <is>
          <t>Region VIII (Eastern Visayas)</t>
        </is>
      </c>
      <c r="F866" s="11" t="inlineStr">
        <is>
          <t>Southern Leyte</t>
        </is>
      </c>
      <c r="G866" s="11" t="inlineStr">
        <is>
          <t>Sogod</t>
        </is>
      </c>
      <c r="H866" s="11" t="inlineStr">
        <is>
          <t>Hipantag</t>
        </is>
      </c>
      <c r="I866" s="24" t="n">
        <v>10.486968</v>
      </c>
      <c r="J866" s="24" t="n">
        <v>124.956347</v>
      </c>
      <c r="K866" s="23" t="inlineStr">
        <is>
          <t>R</t>
        </is>
      </c>
      <c r="L866" s="25" t="n">
        <v>251</v>
      </c>
      <c r="M866" s="26" t="n">
        <v>4.1</v>
      </c>
      <c r="N866" s="25">
        <f>ROUND(L866/M866, 0)</f>
        <v/>
      </c>
      <c r="O866" s="25">
        <f>ROUND(N866*'Methodology &amp; Assumptions'!$B$7, 0)</f>
        <v/>
      </c>
      <c r="P866" s="23" t="inlineStr">
        <is>
          <t>Single Carrier (Band n50, 100MHz TDD)</t>
        </is>
      </c>
      <c r="Q866" s="27">
        <f>ROUNDUP(O866/'Methodology &amp; Assumptions'!$B$8, 0)</f>
        <v/>
      </c>
      <c r="R866" s="27" t="n">
        <v>1</v>
      </c>
      <c r="S866" s="26" t="n">
        <v>11.57</v>
      </c>
      <c r="T866" s="26" t="n">
        <v>3.93</v>
      </c>
      <c r="U866" s="11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26" t="n">
        <v>41.02</v>
      </c>
      <c r="W866" s="26" t="n">
        <v>80.01000000000001</v>
      </c>
      <c r="X866" s="26">
        <f>ROUND(('Methodology &amp; Assumptions'!$B$5*V866) + ('Methodology &amp; Assumptions'!$B$6*W866), 2)</f>
        <v/>
      </c>
      <c r="Y866" s="28" t="n">
        <v>23.7</v>
      </c>
      <c r="Z866" s="11" t="inlineStr">
        <is>
          <t>Priority Tier 2 (Balanced Opportunity)</t>
        </is>
      </c>
    </row>
    <row r="867">
      <c r="A867" s="23" t="n">
        <v>3</v>
      </c>
      <c r="B867" s="23" t="n">
        <v>863</v>
      </c>
      <c r="C867" s="23" t="n">
        <v>2863</v>
      </c>
      <c r="D867" s="23" t="inlineStr">
        <is>
          <t>0401026029</t>
        </is>
      </c>
      <c r="E867" s="11" t="inlineStr">
        <is>
          <t>Region IV-A (CALABARZON)</t>
        </is>
      </c>
      <c r="F867" s="11" t="inlineStr">
        <is>
          <t>Batangas</t>
        </is>
      </c>
      <c r="G867" s="11" t="inlineStr">
        <is>
          <t>San Pascual</t>
        </is>
      </c>
      <c r="H867" s="11" t="inlineStr">
        <is>
          <t>Santo Niño</t>
        </is>
      </c>
      <c r="I867" s="24" t="n">
        <v>13.796281</v>
      </c>
      <c r="J867" s="24" t="n">
        <v>121.021786</v>
      </c>
      <c r="K867" s="23" t="inlineStr">
        <is>
          <t>R</t>
        </is>
      </c>
      <c r="L867" s="25" t="n">
        <v>3470</v>
      </c>
      <c r="M867" s="26" t="n">
        <v>3.6</v>
      </c>
      <c r="N867" s="25">
        <f>ROUND(L867/M867, 0)</f>
        <v/>
      </c>
      <c r="O867" s="25">
        <f>ROUND(N867*'Methodology &amp; Assumptions'!$B$7, 0)</f>
        <v/>
      </c>
      <c r="P867" s="23" t="inlineStr">
        <is>
          <t>Single Carrier (Band n50, 100MHz TDD)</t>
        </is>
      </c>
      <c r="Q867" s="27">
        <f>ROUNDUP(O867/'Methodology &amp; Assumptions'!$B$8, 0)</f>
        <v/>
      </c>
      <c r="R867" s="27" t="n">
        <v>1</v>
      </c>
      <c r="S867" s="26" t="n">
        <v>2.01</v>
      </c>
      <c r="T867" s="26" t="n">
        <v>0.89</v>
      </c>
      <c r="U867" s="11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26" t="n">
        <v>81.19</v>
      </c>
      <c r="W867" s="26" t="n">
        <v>39.81</v>
      </c>
      <c r="X867" s="26">
        <f>ROUND(('Methodology &amp; Assumptions'!$B$5*V867) + ('Methodology &amp; Assumptions'!$B$6*W867), 2)</f>
        <v/>
      </c>
      <c r="Y867" s="28" t="n">
        <v>7.2</v>
      </c>
      <c r="Z867" s="11" t="inlineStr">
        <is>
          <t>Priority Tier 2 (Balanced Opportunity)</t>
        </is>
      </c>
    </row>
    <row r="868">
      <c r="A868" s="23" t="n">
        <v>3</v>
      </c>
      <c r="B868" s="23" t="n">
        <v>864</v>
      </c>
      <c r="C868" s="23" t="n">
        <v>2864</v>
      </c>
      <c r="D868" s="23" t="inlineStr">
        <is>
          <t>1600308017</t>
        </is>
      </c>
      <c r="E868" s="11" t="inlineStr">
        <is>
          <t>Region XIII (Caraga)</t>
        </is>
      </c>
      <c r="F868" s="11" t="inlineStr">
        <is>
          <t>Agusan del Sur</t>
        </is>
      </c>
      <c r="G868" s="11" t="inlineStr">
        <is>
          <t>San Francisco</t>
        </is>
      </c>
      <c r="H868" s="11" t="inlineStr">
        <is>
          <t>Barangay 3</t>
        </is>
      </c>
      <c r="I868" s="24" t="n">
        <v>8.507849</v>
      </c>
      <c r="J868" s="24" t="n">
        <v>125.9738</v>
      </c>
      <c r="K868" s="23" t="inlineStr">
        <is>
          <t>U</t>
        </is>
      </c>
      <c r="L868" s="25" t="n">
        <v>3575</v>
      </c>
      <c r="M868" s="26" t="n">
        <v>3.9</v>
      </c>
      <c r="N868" s="25">
        <f>ROUND(L868/M868, 0)</f>
        <v/>
      </c>
      <c r="O868" s="25">
        <f>ROUND(N868*'Methodology &amp; Assumptions'!$B$7, 0)</f>
        <v/>
      </c>
      <c r="P868" s="23" t="inlineStr">
        <is>
          <t>Single Carrier (Band n50, 100MHz TDD)</t>
        </is>
      </c>
      <c r="Q868" s="27">
        <f>ROUNDUP(O868/'Methodology &amp; Assumptions'!$B$8, 0)</f>
        <v/>
      </c>
      <c r="R868" s="27" t="n">
        <v>1</v>
      </c>
      <c r="S868" s="26" t="n">
        <v>0.23</v>
      </c>
      <c r="T868" s="26" t="n">
        <v>0.09</v>
      </c>
      <c r="U868" s="11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26" t="n">
        <v>79.87</v>
      </c>
      <c r="W868" s="26" t="n">
        <v>41.13</v>
      </c>
      <c r="X868" s="26">
        <f>ROUND(('Methodology &amp; Assumptions'!$B$5*V868) + ('Methodology &amp; Assumptions'!$B$6*W868), 2)</f>
        <v/>
      </c>
      <c r="Y868" s="28" t="n">
        <v>17.4</v>
      </c>
      <c r="Z868" s="11" t="inlineStr">
        <is>
          <t>Priority Tier 2 (Balanced Opportunity)</t>
        </is>
      </c>
    </row>
    <row r="869">
      <c r="A869" s="23" t="n">
        <v>3</v>
      </c>
      <c r="B869" s="23" t="n">
        <v>865</v>
      </c>
      <c r="C869" s="23" t="n">
        <v>2865</v>
      </c>
      <c r="D869" s="23" t="inlineStr">
        <is>
          <t>0301402009</t>
        </is>
      </c>
      <c r="E869" s="11" t="inlineStr">
        <is>
          <t>Region III (Central Luzon)</t>
        </is>
      </c>
      <c r="F869" s="11" t="inlineStr">
        <is>
          <t>Bulacan</t>
        </is>
      </c>
      <c r="G869" s="11" t="inlineStr">
        <is>
          <t>Balagtas</t>
        </is>
      </c>
      <c r="H869" s="11" t="inlineStr">
        <is>
          <t>San Juan</t>
        </is>
      </c>
      <c r="I869" s="24" t="n">
        <v>14.815785</v>
      </c>
      <c r="J869" s="24" t="n">
        <v>120.913662</v>
      </c>
      <c r="K869" s="23" t="inlineStr">
        <is>
          <t>U</t>
        </is>
      </c>
      <c r="L869" s="25" t="n">
        <v>9841</v>
      </c>
      <c r="M869" s="26" t="n">
        <v>3.5</v>
      </c>
      <c r="N869" s="25">
        <f>ROUND(L869/M869, 0)</f>
        <v/>
      </c>
      <c r="O869" s="25">
        <f>ROUND(N869*'Methodology &amp; Assumptions'!$B$7, 0)</f>
        <v/>
      </c>
      <c r="P869" s="23" t="inlineStr">
        <is>
          <t>Single Carrier (Band n50, 100MHz TDD)</t>
        </is>
      </c>
      <c r="Q869" s="27">
        <f>ROUNDUP(O869/'Methodology &amp; Assumptions'!$B$8, 0)</f>
        <v/>
      </c>
      <c r="R869" s="27" t="n">
        <v>1</v>
      </c>
      <c r="S869" s="26" t="n">
        <v>4.41</v>
      </c>
      <c r="T869" s="26" t="n">
        <v>0.3</v>
      </c>
      <c r="U869" s="11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26" t="n">
        <v>68</v>
      </c>
      <c r="W869" s="26" t="n">
        <v>52.99</v>
      </c>
      <c r="X869" s="26">
        <f>ROUND(('Methodology &amp; Assumptions'!$B$5*V869) + ('Methodology &amp; Assumptions'!$B$6*W869), 2)</f>
        <v/>
      </c>
      <c r="Y869" s="28" t="n">
        <v>8.300000000000001</v>
      </c>
      <c r="Z869" s="11" t="inlineStr">
        <is>
          <t>Priority Tier 2 (Balanced Opportunity)</t>
        </is>
      </c>
    </row>
    <row r="870">
      <c r="A870" s="23" t="n">
        <v>3</v>
      </c>
      <c r="B870" s="23" t="n">
        <v>866</v>
      </c>
      <c r="C870" s="23" t="n">
        <v>2866</v>
      </c>
      <c r="D870" s="23" t="inlineStr">
        <is>
          <t>1381300077</t>
        </is>
      </c>
      <c r="E870" s="11" t="inlineStr">
        <is>
          <t>National Capital Region (NCR)</t>
        </is>
      </c>
      <c r="F870" s="11" t="inlineStr">
        <is>
          <t>Second District (Not a Province)</t>
        </is>
      </c>
      <c r="G870" s="11" t="inlineStr">
        <is>
          <t>Quezon City</t>
        </is>
      </c>
      <c r="H870" s="11" t="inlineStr">
        <is>
          <t>Pansol</t>
        </is>
      </c>
      <c r="I870" s="24" t="n">
        <v>14.65107</v>
      </c>
      <c r="J870" s="24" t="n">
        <v>121.077</v>
      </c>
      <c r="K870" s="23" t="inlineStr">
        <is>
          <t>U</t>
        </is>
      </c>
      <c r="L870" s="25" t="n">
        <v>35572</v>
      </c>
      <c r="M870" s="26" t="n">
        <v>3.99</v>
      </c>
      <c r="N870" s="25">
        <f>ROUND(L870/M870, 0)</f>
        <v/>
      </c>
      <c r="O870" s="25">
        <f>ROUND(N870*'Methodology &amp; Assumptions'!$B$7, 0)</f>
        <v/>
      </c>
      <c r="P870" s="23" t="inlineStr">
        <is>
          <t>Single Carrier (Band n50, 100MHz TDD)</t>
        </is>
      </c>
      <c r="Q870" s="27">
        <f>ROUNDUP(O870/'Methodology &amp; Assumptions'!$B$8, 0)</f>
        <v/>
      </c>
      <c r="R870" s="27" t="n">
        <v>1</v>
      </c>
      <c r="S870" s="26" t="n">
        <v>1.8</v>
      </c>
      <c r="T870" s="26" t="n">
        <v>0.3</v>
      </c>
      <c r="U870" s="11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26" t="n">
        <v>63.75</v>
      </c>
      <c r="W870" s="26" t="n">
        <v>57.25</v>
      </c>
      <c r="X870" s="26">
        <f>ROUND(('Methodology &amp; Assumptions'!$B$5*V870) + ('Methodology &amp; Assumptions'!$B$6*W870), 2)</f>
        <v/>
      </c>
      <c r="Y870" s="28" t="n">
        <v>10.9</v>
      </c>
      <c r="Z870" s="11" t="inlineStr">
        <is>
          <t>Priority Tier 2 (Balanced Opportunity)</t>
        </is>
      </c>
    </row>
    <row r="871">
      <c r="A871" s="23" t="n">
        <v>3</v>
      </c>
      <c r="B871" s="23" t="n">
        <v>867</v>
      </c>
      <c r="C871" s="23" t="n">
        <v>2867</v>
      </c>
      <c r="D871" s="23" t="inlineStr">
        <is>
          <t>0601912001</t>
        </is>
      </c>
      <c r="E871" s="11" t="inlineStr">
        <is>
          <t>Region VI (Western Visayas)</t>
        </is>
      </c>
      <c r="F871" s="11" t="inlineStr">
        <is>
          <t>Capiz</t>
        </is>
      </c>
      <c r="G871" s="11" t="inlineStr">
        <is>
          <t>Pontevedra</t>
        </is>
      </c>
      <c r="H871" s="11" t="inlineStr">
        <is>
          <t>Agbanog</t>
        </is>
      </c>
      <c r="I871" s="24" t="n">
        <v>11.471294</v>
      </c>
      <c r="J871" s="24" t="n">
        <v>122.863486</v>
      </c>
      <c r="K871" s="23" t="inlineStr">
        <is>
          <t>R</t>
        </is>
      </c>
      <c r="L871" s="25" t="n">
        <v>963</v>
      </c>
      <c r="M871" s="26" t="n">
        <v>3.8</v>
      </c>
      <c r="N871" s="25">
        <f>ROUND(L871/M871, 0)</f>
        <v/>
      </c>
      <c r="O871" s="25">
        <f>ROUND(N871*'Methodology &amp; Assumptions'!$B$7, 0)</f>
        <v/>
      </c>
      <c r="P871" s="23" t="inlineStr">
        <is>
          <t>Single Carrier (Band n50, 100MHz TDD)</t>
        </is>
      </c>
      <c r="Q871" s="27">
        <f>ROUNDUP(O871/'Methodology &amp; Assumptions'!$B$8, 0)</f>
        <v/>
      </c>
      <c r="R871" s="27" t="n">
        <v>1</v>
      </c>
      <c r="S871" s="26" t="n">
        <v>3.3</v>
      </c>
      <c r="T871" s="26" t="n">
        <v>3.07</v>
      </c>
      <c r="U871" s="11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26" t="n">
        <v>57.52</v>
      </c>
      <c r="W871" s="26" t="n">
        <v>63.48</v>
      </c>
      <c r="X871" s="26">
        <f>ROUND(('Methodology &amp; Assumptions'!$B$5*V871) + ('Methodology &amp; Assumptions'!$B$6*W871), 2)</f>
        <v/>
      </c>
      <c r="Y871" s="28" t="n">
        <v>23.7</v>
      </c>
      <c r="Z871" s="11" t="inlineStr">
        <is>
          <t>Priority Tier 2 (Balanced Opportunity)</t>
        </is>
      </c>
    </row>
    <row r="872">
      <c r="A872" s="23" t="n">
        <v>3</v>
      </c>
      <c r="B872" s="23" t="n">
        <v>868</v>
      </c>
      <c r="C872" s="23" t="n">
        <v>2868</v>
      </c>
      <c r="D872" s="23" t="inlineStr">
        <is>
          <t>0704601003</t>
        </is>
      </c>
      <c r="E872" s="11" t="inlineStr">
        <is>
          <t>Region VII (Central Visayas)</t>
        </is>
      </c>
      <c r="F872" s="11" t="inlineStr">
        <is>
          <t>Negros Oriental</t>
        </is>
      </c>
      <c r="G872" s="11" t="inlineStr">
        <is>
          <t>Amlan</t>
        </is>
      </c>
      <c r="H872" s="11" t="inlineStr">
        <is>
          <t>Jugno</t>
        </is>
      </c>
      <c r="I872" s="24" t="n">
        <v>9.467802000000001</v>
      </c>
      <c r="J872" s="24" t="n">
        <v>123.212088</v>
      </c>
      <c r="K872" s="23" t="inlineStr">
        <is>
          <t>R</t>
        </is>
      </c>
      <c r="L872" s="25" t="n">
        <v>4456</v>
      </c>
      <c r="M872" s="26" t="n">
        <v>3.8</v>
      </c>
      <c r="N872" s="25">
        <f>ROUND(L872/M872, 0)</f>
        <v/>
      </c>
      <c r="O872" s="25">
        <f>ROUND(N872*'Methodology &amp; Assumptions'!$B$7, 0)</f>
        <v/>
      </c>
      <c r="P872" s="23" t="inlineStr">
        <is>
          <t>Single Carrier (Band n50, 100MHz TDD)</t>
        </is>
      </c>
      <c r="Q872" s="27">
        <f>ROUNDUP(O872/'Methodology &amp; Assumptions'!$B$8, 0)</f>
        <v/>
      </c>
      <c r="R872" s="27" t="n">
        <v>1</v>
      </c>
      <c r="S872" s="26" t="n">
        <v>1.28</v>
      </c>
      <c r="T872" s="26" t="n">
        <v>0.03</v>
      </c>
      <c r="U872" s="11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26" t="n">
        <v>86.40000000000001</v>
      </c>
      <c r="W872" s="26" t="n">
        <v>34.58</v>
      </c>
      <c r="X872" s="26">
        <f>ROUND(('Methodology &amp; Assumptions'!$B$5*V872) + ('Methodology &amp; Assumptions'!$B$6*W872), 2)</f>
        <v/>
      </c>
      <c r="Y872" s="28" t="n">
        <v>23.7</v>
      </c>
      <c r="Z872" s="11" t="inlineStr">
        <is>
          <t>Priority Tier 2 (Balanced Opportunity)</t>
        </is>
      </c>
    </row>
    <row r="873">
      <c r="A873" s="23" t="n">
        <v>3</v>
      </c>
      <c r="B873" s="23" t="n">
        <v>869</v>
      </c>
      <c r="C873" s="23" t="n">
        <v>2869</v>
      </c>
      <c r="D873" s="23" t="inlineStr">
        <is>
          <t>1380606191</t>
        </is>
      </c>
      <c r="E873" s="11" t="inlineStr">
        <is>
          <t>National Capital Region (NCR)</t>
        </is>
      </c>
      <c r="F873" s="11" t="inlineStr">
        <is>
          <t>First District (Not a Province)</t>
        </is>
      </c>
      <c r="G873" s="11" t="inlineStr">
        <is>
          <t>City of Manila</t>
        </is>
      </c>
      <c r="H873" s="11" t="inlineStr">
        <is>
          <t>Barangay 585</t>
        </is>
      </c>
      <c r="I873" s="24" t="n">
        <v>14.60473</v>
      </c>
      <c r="J873" s="24" t="n">
        <v>121.012657</v>
      </c>
      <c r="K873" s="23" t="inlineStr">
        <is>
          <t>U</t>
        </is>
      </c>
      <c r="L873" s="25" t="n">
        <v>1138</v>
      </c>
      <c r="M873" s="26" t="n">
        <v>3.57</v>
      </c>
      <c r="N873" s="25">
        <f>ROUND(L873/M873, 0)</f>
        <v/>
      </c>
      <c r="O873" s="25">
        <f>ROUND(N873*'Methodology &amp; Assumptions'!$B$7, 0)</f>
        <v/>
      </c>
      <c r="P873" s="23" t="inlineStr">
        <is>
          <t>Single Carrier (Band n50, 100MHz TDD)</t>
        </is>
      </c>
      <c r="Q873" s="27">
        <f>ROUNDUP(O873/'Methodology &amp; Assumptions'!$B$8, 0)</f>
        <v/>
      </c>
      <c r="R873" s="27" t="n">
        <v>1</v>
      </c>
      <c r="S873" s="26" t="n">
        <v>0.92</v>
      </c>
      <c r="T873" s="26" t="n">
        <v>0.16</v>
      </c>
      <c r="U873" s="11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26" t="n">
        <v>51.06</v>
      </c>
      <c r="W873" s="26" t="n">
        <v>69.92</v>
      </c>
      <c r="X873" s="26">
        <f>ROUND(('Methodology &amp; Assumptions'!$B$5*V873) + ('Methodology &amp; Assumptions'!$B$6*W873), 2)</f>
        <v/>
      </c>
      <c r="Y873" s="28" t="n">
        <v>10.9</v>
      </c>
      <c r="Z873" s="11" t="inlineStr">
        <is>
          <t>Priority Tier 2 (Balanced Opportunity)</t>
        </is>
      </c>
    </row>
    <row r="874">
      <c r="A874" s="23" t="n">
        <v>3</v>
      </c>
      <c r="B874" s="23" t="n">
        <v>870</v>
      </c>
      <c r="C874" s="23" t="n">
        <v>2870</v>
      </c>
      <c r="D874" s="23" t="inlineStr">
        <is>
          <t>0604528003</t>
        </is>
      </c>
      <c r="E874" s="11" t="inlineStr">
        <is>
          <t>Region VI (Western Visayas)</t>
        </is>
      </c>
      <c r="F874" s="11" t="inlineStr">
        <is>
          <t>Negros Occidental</t>
        </is>
      </c>
      <c r="G874" s="11" t="inlineStr">
        <is>
          <t>City of Talisay</t>
        </is>
      </c>
      <c r="H874" s="11" t="inlineStr">
        <is>
          <t>Zone 4-A</t>
        </is>
      </c>
      <c r="I874" s="24" t="n">
        <v>10.737104</v>
      </c>
      <c r="J874" s="24" t="n">
        <v>122.965937</v>
      </c>
      <c r="K874" s="23" t="inlineStr">
        <is>
          <t>U</t>
        </is>
      </c>
      <c r="L874" s="25" t="n">
        <v>1697</v>
      </c>
      <c r="M874" s="26" t="n">
        <v>3.7</v>
      </c>
      <c r="N874" s="25">
        <f>ROUND(L874/M874, 0)</f>
        <v/>
      </c>
      <c r="O874" s="25">
        <f>ROUND(N874*'Methodology &amp; Assumptions'!$B$7, 0)</f>
        <v/>
      </c>
      <c r="P874" s="23" t="inlineStr">
        <is>
          <t>Single Carrier (Band n50, 100MHz TDD)</t>
        </is>
      </c>
      <c r="Q874" s="27">
        <f>ROUNDUP(O874/'Methodology &amp; Assumptions'!$B$8, 0)</f>
        <v/>
      </c>
      <c r="R874" s="27" t="n">
        <v>1</v>
      </c>
      <c r="S874" s="26" t="n">
        <v>0.44</v>
      </c>
      <c r="T874" s="26" t="n">
        <v>0.17</v>
      </c>
      <c r="U874" s="11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26" t="n">
        <v>68.25</v>
      </c>
      <c r="W874" s="26" t="n">
        <v>52.71</v>
      </c>
      <c r="X874" s="26">
        <f>ROUND(('Methodology &amp; Assumptions'!$B$5*V874) + ('Methodology &amp; Assumptions'!$B$6*W874), 2)</f>
        <v/>
      </c>
      <c r="Y874" s="28" t="n">
        <v>23.7</v>
      </c>
      <c r="Z874" s="11" t="inlineStr">
        <is>
          <t>Priority Tier 2 (Balanced Opportunity)</t>
        </is>
      </c>
    </row>
    <row r="875">
      <c r="A875" s="23" t="n">
        <v>3</v>
      </c>
      <c r="B875" s="23" t="n">
        <v>871</v>
      </c>
      <c r="C875" s="23" t="n">
        <v>2871</v>
      </c>
      <c r="D875" s="23" t="inlineStr">
        <is>
          <t>0102820021</t>
        </is>
      </c>
      <c r="E875" s="11" t="inlineStr">
        <is>
          <t>Region I (Ilocos Region)</t>
        </is>
      </c>
      <c r="F875" s="11" t="inlineStr">
        <is>
          <t>Ilocos Norte</t>
        </is>
      </c>
      <c r="G875" s="11" t="inlineStr">
        <is>
          <t>San Nicolas</t>
        </is>
      </c>
      <c r="H875" s="11" t="inlineStr">
        <is>
          <t>San Silvestre</t>
        </is>
      </c>
      <c r="I875" s="24" t="n">
        <v>18.169226</v>
      </c>
      <c r="J875" s="24" t="n">
        <v>120.599134</v>
      </c>
      <c r="K875" s="23" t="inlineStr">
        <is>
          <t>R</t>
        </is>
      </c>
      <c r="L875" s="25" t="n">
        <v>870</v>
      </c>
      <c r="M875" s="26" t="n">
        <v>3.7</v>
      </c>
      <c r="N875" s="25">
        <f>ROUND(L875/M875, 0)</f>
        <v/>
      </c>
      <c r="O875" s="25">
        <f>ROUND(N875*'Methodology &amp; Assumptions'!$B$7, 0)</f>
        <v/>
      </c>
      <c r="P875" s="23" t="inlineStr">
        <is>
          <t>Single Carrier (Band n50, 100MHz TDD)</t>
        </is>
      </c>
      <c r="Q875" s="27">
        <f>ROUNDUP(O875/'Methodology &amp; Assumptions'!$B$8, 0)</f>
        <v/>
      </c>
      <c r="R875" s="27" t="n">
        <v>1</v>
      </c>
      <c r="S875" s="26" t="n">
        <v>0.62</v>
      </c>
      <c r="T875" s="26" t="n">
        <v>0.66</v>
      </c>
      <c r="U875" s="11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26" t="n">
        <v>66.61</v>
      </c>
      <c r="W875" s="26" t="n">
        <v>54.35</v>
      </c>
      <c r="X875" s="26">
        <f>ROUND(('Methodology &amp; Assumptions'!$B$5*V875) + ('Methodology &amp; Assumptions'!$B$6*W875), 2)</f>
        <v/>
      </c>
      <c r="Y875" s="28" t="n">
        <v>8.300000000000001</v>
      </c>
      <c r="Z875" s="11" t="inlineStr">
        <is>
          <t>Priority Tier 2 (Balanced Opportunity)</t>
        </is>
      </c>
    </row>
    <row r="876">
      <c r="A876" s="23" t="n">
        <v>3</v>
      </c>
      <c r="B876" s="23" t="n">
        <v>872</v>
      </c>
      <c r="C876" s="23" t="n">
        <v>2872</v>
      </c>
      <c r="D876" s="23" t="inlineStr">
        <is>
          <t>0301411009</t>
        </is>
      </c>
      <c r="E876" s="11" t="inlineStr">
        <is>
          <t>Region III (Central Luzon)</t>
        </is>
      </c>
      <c r="F876" s="11" t="inlineStr">
        <is>
          <t>Bulacan</t>
        </is>
      </c>
      <c r="G876" s="11" t="inlineStr">
        <is>
          <t>Marilao</t>
        </is>
      </c>
      <c r="H876" s="11" t="inlineStr">
        <is>
          <t>Poblacion I</t>
        </is>
      </c>
      <c r="I876" s="24" t="n">
        <v>14.756844</v>
      </c>
      <c r="J876" s="24" t="n">
        <v>120.948447</v>
      </c>
      <c r="K876" s="23" t="inlineStr">
        <is>
          <t>U</t>
        </is>
      </c>
      <c r="L876" s="25" t="n">
        <v>1483</v>
      </c>
      <c r="M876" s="26" t="n">
        <v>3.5</v>
      </c>
      <c r="N876" s="25">
        <f>ROUND(L876/M876, 0)</f>
        <v/>
      </c>
      <c r="O876" s="25">
        <f>ROUND(N876*'Methodology &amp; Assumptions'!$B$7, 0)</f>
        <v/>
      </c>
      <c r="P876" s="23" t="inlineStr">
        <is>
          <t>Single Carrier (Band n50, 100MHz TDD)</t>
        </is>
      </c>
      <c r="Q876" s="27">
        <f>ROUNDUP(O876/'Methodology &amp; Assumptions'!$B$8, 0)</f>
        <v/>
      </c>
      <c r="R876" s="27" t="n">
        <v>1</v>
      </c>
      <c r="S876" s="26" t="n">
        <v>1.18</v>
      </c>
      <c r="T876" s="26" t="n">
        <v>0.44</v>
      </c>
      <c r="U876" s="11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26" t="n">
        <v>64.3</v>
      </c>
      <c r="W876" s="26" t="n">
        <v>56.66</v>
      </c>
      <c r="X876" s="26">
        <f>ROUND(('Methodology &amp; Assumptions'!$B$5*V876) + ('Methodology &amp; Assumptions'!$B$6*W876), 2)</f>
        <v/>
      </c>
      <c r="Y876" s="28" t="n">
        <v>8.300000000000001</v>
      </c>
      <c r="Z876" s="11" t="inlineStr">
        <is>
          <t>Priority Tier 2 (Balanced Opportunity)</t>
        </is>
      </c>
    </row>
    <row r="877">
      <c r="A877" s="23" t="n">
        <v>3</v>
      </c>
      <c r="B877" s="23" t="n">
        <v>873</v>
      </c>
      <c r="C877" s="23" t="n">
        <v>2873</v>
      </c>
      <c r="D877" s="23" t="inlineStr">
        <is>
          <t>0601904003</t>
        </is>
      </c>
      <c r="E877" s="11" t="inlineStr">
        <is>
          <t>Region VI (Western Visayas)</t>
        </is>
      </c>
      <c r="F877" s="11" t="inlineStr">
        <is>
          <t>Capiz</t>
        </is>
      </c>
      <c r="G877" s="11" t="inlineStr">
        <is>
          <t>Dumarao</t>
        </is>
      </c>
      <c r="H877" s="11" t="inlineStr">
        <is>
          <t>Aglanot</t>
        </is>
      </c>
      <c r="I877" s="24" t="n">
        <v>11.240311</v>
      </c>
      <c r="J877" s="24" t="n">
        <v>122.840172</v>
      </c>
      <c r="K877" s="23" t="inlineStr">
        <is>
          <t>R</t>
        </is>
      </c>
      <c r="L877" s="25" t="n">
        <v>1928</v>
      </c>
      <c r="M877" s="26" t="n">
        <v>3.8</v>
      </c>
      <c r="N877" s="25">
        <f>ROUND(L877/M877, 0)</f>
        <v/>
      </c>
      <c r="O877" s="25">
        <f>ROUND(N877*'Methodology &amp; Assumptions'!$B$7, 0)</f>
        <v/>
      </c>
      <c r="P877" s="23" t="inlineStr">
        <is>
          <t>Single Carrier (Band n50, 100MHz TDD)</t>
        </is>
      </c>
      <c r="Q877" s="27">
        <f>ROUNDUP(O877/'Methodology &amp; Assumptions'!$B$8, 0)</f>
        <v/>
      </c>
      <c r="R877" s="27" t="n">
        <v>1</v>
      </c>
      <c r="S877" s="26" t="n">
        <v>6.86</v>
      </c>
      <c r="T877" s="26" t="n">
        <v>6.57</v>
      </c>
      <c r="U877" s="11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26" t="n">
        <v>59.19</v>
      </c>
      <c r="W877" s="26" t="n">
        <v>61.76</v>
      </c>
      <c r="X877" s="26">
        <f>ROUND(('Methodology &amp; Assumptions'!$B$5*V877) + ('Methodology &amp; Assumptions'!$B$6*W877), 2)</f>
        <v/>
      </c>
      <c r="Y877" s="28" t="n">
        <v>23.7</v>
      </c>
      <c r="Z877" s="11" t="inlineStr">
        <is>
          <t>Priority Tier 2 (Balanced Opportunity)</t>
        </is>
      </c>
    </row>
    <row r="878">
      <c r="A878" s="23" t="n">
        <v>3</v>
      </c>
      <c r="B878" s="23" t="n">
        <v>874</v>
      </c>
      <c r="C878" s="23" t="n">
        <v>2874</v>
      </c>
      <c r="D878" s="23" t="inlineStr">
        <is>
          <t>1381100100</t>
        </is>
      </c>
      <c r="E878" s="11" t="inlineStr">
        <is>
          <t>National Capital Region (NCR)</t>
        </is>
      </c>
      <c r="F878" s="11" t="inlineStr">
        <is>
          <t>Fourth District (Not a Province)</t>
        </is>
      </c>
      <c r="G878" s="11" t="inlineStr">
        <is>
          <t>Pasay City</t>
        </is>
      </c>
      <c r="H878" s="11" t="inlineStr">
        <is>
          <t>Barangay 100</t>
        </is>
      </c>
      <c r="I878" s="24" t="n">
        <v>14.542143</v>
      </c>
      <c r="J878" s="24" t="n">
        <v>121.002168</v>
      </c>
      <c r="K878" s="23" t="inlineStr">
        <is>
          <t>U</t>
        </is>
      </c>
      <c r="L878" s="25" t="n">
        <v>1243</v>
      </c>
      <c r="M878" s="26" t="n">
        <v>3.58</v>
      </c>
      <c r="N878" s="25">
        <f>ROUND(L878/M878, 0)</f>
        <v/>
      </c>
      <c r="O878" s="25">
        <f>ROUND(N878*'Methodology &amp; Assumptions'!$B$7, 0)</f>
        <v/>
      </c>
      <c r="P878" s="23" t="inlineStr">
        <is>
          <t>Single Carrier (Band n50, 100MHz TDD)</t>
        </is>
      </c>
      <c r="Q878" s="27">
        <f>ROUNDUP(O878/'Methodology &amp; Assumptions'!$B$8, 0)</f>
        <v/>
      </c>
      <c r="R878" s="27" t="n">
        <v>1</v>
      </c>
      <c r="S878" s="26" t="n">
        <v>0.87</v>
      </c>
      <c r="T878" s="26" t="n">
        <v>0.23</v>
      </c>
      <c r="U878" s="11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26" t="n">
        <v>52.11</v>
      </c>
      <c r="W878" s="26" t="n">
        <v>68.84</v>
      </c>
      <c r="X878" s="26">
        <f>ROUND(('Methodology &amp; Assumptions'!$B$5*V878) + ('Methodology &amp; Assumptions'!$B$6*W878), 2)</f>
        <v/>
      </c>
      <c r="Y878" s="28" t="n">
        <v>10.9</v>
      </c>
      <c r="Z878" s="11" t="inlineStr">
        <is>
          <t>Priority Tier 2 (Balanced Opportunity)</t>
        </is>
      </c>
    </row>
    <row r="879">
      <c r="A879" s="23" t="n">
        <v>3</v>
      </c>
      <c r="B879" s="23" t="n">
        <v>875</v>
      </c>
      <c r="C879" s="23" t="n">
        <v>2875</v>
      </c>
      <c r="D879" s="23" t="inlineStr">
        <is>
          <t>1380601136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136</t>
        </is>
      </c>
      <c r="I879" s="24" t="n">
        <v>14.631729</v>
      </c>
      <c r="J879" s="24" t="n">
        <v>120.968728</v>
      </c>
      <c r="K879" s="23" t="inlineStr">
        <is>
          <t>U</t>
        </is>
      </c>
      <c r="L879" s="25" t="n">
        <v>1302</v>
      </c>
      <c r="M879" s="26" t="n">
        <v>4.38</v>
      </c>
      <c r="N879" s="25">
        <f>ROUND(L879/M879, 0)</f>
        <v/>
      </c>
      <c r="O879" s="25">
        <f>ROUND(N879*'Methodology &amp; Assumptions'!$B$7, 0)</f>
        <v/>
      </c>
      <c r="P879" s="23" t="inlineStr">
        <is>
          <t>Single Carrier (Band n50, 100MHz TDD)</t>
        </is>
      </c>
      <c r="Q879" s="27">
        <f>ROUNDUP(O879/'Methodology &amp; Assumptions'!$B$8, 0)</f>
        <v/>
      </c>
      <c r="R879" s="27" t="n">
        <v>1</v>
      </c>
      <c r="S879" s="26" t="n">
        <v>0.73</v>
      </c>
      <c r="T879" s="26" t="n">
        <v>0.53</v>
      </c>
      <c r="U879" s="11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26" t="n">
        <v>50.63</v>
      </c>
      <c r="W879" s="26" t="n">
        <v>70.33</v>
      </c>
      <c r="X879" s="26">
        <f>ROUND(('Methodology &amp; Assumptions'!$B$5*V879) + ('Methodology &amp; Assumptions'!$B$6*W879), 2)</f>
        <v/>
      </c>
      <c r="Y879" s="28" t="n">
        <v>10.9</v>
      </c>
      <c r="Z879" s="11" t="inlineStr">
        <is>
          <t>Priority Tier 2 (Balanced Opportunity)</t>
        </is>
      </c>
    </row>
    <row r="880">
      <c r="A880" s="23" t="n">
        <v>3</v>
      </c>
      <c r="B880" s="23" t="n">
        <v>876</v>
      </c>
      <c r="C880" s="23" t="n">
        <v>2876</v>
      </c>
      <c r="D880" s="23" t="inlineStr">
        <is>
          <t>1108605007</t>
        </is>
      </c>
      <c r="E880" s="11" t="inlineStr">
        <is>
          <t>Region XI (Davao Region)</t>
        </is>
      </c>
      <c r="F880" s="11" t="inlineStr">
        <is>
          <t>Davao Occidental</t>
        </is>
      </c>
      <c r="G880" s="11" t="inlineStr">
        <is>
          <t>Sarangani</t>
        </is>
      </c>
      <c r="H880" s="11" t="inlineStr">
        <is>
          <t>Tinina</t>
        </is>
      </c>
      <c r="I880" s="24" t="n">
        <v>5.376183</v>
      </c>
      <c r="J880" s="24" t="n">
        <v>125.374053</v>
      </c>
      <c r="K880" s="23" t="inlineStr">
        <is>
          <t>R</t>
        </is>
      </c>
      <c r="L880" s="25" t="n">
        <v>1438</v>
      </c>
      <c r="M880" s="26" t="n">
        <v>3.9</v>
      </c>
      <c r="N880" s="25">
        <f>ROUND(L880/M880, 0)</f>
        <v/>
      </c>
      <c r="O880" s="25">
        <f>ROUND(N880*'Methodology &amp; Assumptions'!$B$7, 0)</f>
        <v/>
      </c>
      <c r="P880" s="23" t="inlineStr">
        <is>
          <t>Single Carrier (Band n50, 100MHz TDD)</t>
        </is>
      </c>
      <c r="Q880" s="27">
        <f>ROUNDUP(O880/'Methodology &amp; Assumptions'!$B$8, 0)</f>
        <v/>
      </c>
      <c r="R880" s="27" t="n">
        <v>1</v>
      </c>
      <c r="S880" s="26" t="n">
        <v>81.48</v>
      </c>
      <c r="T880" s="26" t="n">
        <v>85.16</v>
      </c>
      <c r="U880" s="11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26" t="n">
        <v>49.41</v>
      </c>
      <c r="W880" s="26" t="n">
        <v>71.56</v>
      </c>
      <c r="X880" s="26">
        <f>ROUND(('Methodology &amp; Assumptions'!$B$5*V880) + ('Methodology &amp; Assumptions'!$B$6*W880), 2)</f>
        <v/>
      </c>
      <c r="Y880" s="28" t="n">
        <v>17.4</v>
      </c>
      <c r="Z880" s="11" t="inlineStr">
        <is>
          <t>Priority Tier 2 (Balanced Opportunity)</t>
        </is>
      </c>
    </row>
    <row r="881">
      <c r="A881" s="23" t="n">
        <v>3</v>
      </c>
      <c r="B881" s="23" t="n">
        <v>877</v>
      </c>
      <c r="C881" s="23" t="n">
        <v>2877</v>
      </c>
      <c r="D881" s="23" t="inlineStr">
        <is>
          <t>0806407040</t>
        </is>
      </c>
      <c r="E881" s="11" t="inlineStr">
        <is>
          <t>Region VIII (Eastern Visayas)</t>
        </is>
      </c>
      <c r="F881" s="11" t="inlineStr">
        <is>
          <t>Southern Leyte</t>
        </is>
      </c>
      <c r="G881" s="11" t="inlineStr">
        <is>
          <t>City of Maasin</t>
        </is>
      </c>
      <c r="H881" s="11" t="inlineStr">
        <is>
          <t>Mantahan</t>
        </is>
      </c>
      <c r="I881" s="24" t="n">
        <v>10.135117</v>
      </c>
      <c r="J881" s="24" t="n">
        <v>124.848536</v>
      </c>
      <c r="K881" s="23" t="inlineStr">
        <is>
          <t>R</t>
        </is>
      </c>
      <c r="L881" s="25" t="n">
        <v>4152</v>
      </c>
      <c r="M881" s="26" t="n">
        <v>4.1</v>
      </c>
      <c r="N881" s="25">
        <f>ROUND(L881/M881, 0)</f>
        <v/>
      </c>
      <c r="O881" s="25">
        <f>ROUND(N881*'Methodology &amp; Assumptions'!$B$7, 0)</f>
        <v/>
      </c>
      <c r="P881" s="23" t="inlineStr">
        <is>
          <t>Single Carrier (Band n50, 100MHz TDD)</t>
        </is>
      </c>
      <c r="Q881" s="27">
        <f>ROUNDUP(O881/'Methodology &amp; Assumptions'!$B$8, 0)</f>
        <v/>
      </c>
      <c r="R881" s="27" t="n">
        <v>1</v>
      </c>
      <c r="S881" s="26" t="n">
        <v>1.13</v>
      </c>
      <c r="T881" s="26" t="n">
        <v>0.3</v>
      </c>
      <c r="U881" s="11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26" t="n">
        <v>86.95</v>
      </c>
      <c r="W881" s="26" t="n">
        <v>33.99</v>
      </c>
      <c r="X881" s="26">
        <f>ROUND(('Methodology &amp; Assumptions'!$B$5*V881) + ('Methodology &amp; Assumptions'!$B$6*W881), 2)</f>
        <v/>
      </c>
      <c r="Y881" s="28" t="n">
        <v>23.7</v>
      </c>
      <c r="Z881" s="11" t="inlineStr">
        <is>
          <t>Priority Tier 2 (Balanced Opportunity)</t>
        </is>
      </c>
    </row>
    <row r="882">
      <c r="A882" s="23" t="n">
        <v>3</v>
      </c>
      <c r="B882" s="23" t="n">
        <v>878</v>
      </c>
      <c r="C882" s="23" t="n">
        <v>2878</v>
      </c>
      <c r="D882" s="23" t="inlineStr">
        <is>
          <t>0405622095</t>
        </is>
      </c>
      <c r="E882" s="11" t="inlineStr">
        <is>
          <t>Region IV-A (CALABARZON)</t>
        </is>
      </c>
      <c r="F882" s="11" t="inlineStr">
        <is>
          <t>Quezon</t>
        </is>
      </c>
      <c r="G882" s="11" t="inlineStr">
        <is>
          <t>Lopez</t>
        </is>
      </c>
      <c r="H882" s="11" t="inlineStr">
        <is>
          <t>Rizal</t>
        </is>
      </c>
      <c r="I882" s="24" t="n">
        <v>13.8858</v>
      </c>
      <c r="J882" s="24" t="n">
        <v>122.2601</v>
      </c>
      <c r="K882" s="23" t="inlineStr">
        <is>
          <t>U</t>
        </is>
      </c>
      <c r="L882" s="25" t="n">
        <v>3064</v>
      </c>
      <c r="M882" s="26" t="n">
        <v>3.8</v>
      </c>
      <c r="N882" s="25">
        <f>ROUND(L882/M882, 0)</f>
        <v/>
      </c>
      <c r="O882" s="25">
        <f>ROUND(N882*'Methodology &amp; Assumptions'!$B$7, 0)</f>
        <v/>
      </c>
      <c r="P882" s="23" t="inlineStr">
        <is>
          <t>Single Carrier (Band n50, 100MHz TDD)</t>
        </is>
      </c>
      <c r="Q882" s="27">
        <f>ROUNDUP(O882/'Methodology &amp; Assumptions'!$B$8, 0)</f>
        <v/>
      </c>
      <c r="R882" s="27" t="n">
        <v>1</v>
      </c>
      <c r="S882" s="26" t="n">
        <v>0.27</v>
      </c>
      <c r="T882" s="26" t="n">
        <v>0.18</v>
      </c>
      <c r="U882" s="11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26" t="n">
        <v>77.98</v>
      </c>
      <c r="W882" s="26" t="n">
        <v>42.96</v>
      </c>
      <c r="X882" s="26">
        <f>ROUND(('Methodology &amp; Assumptions'!$B$5*V882) + ('Methodology &amp; Assumptions'!$B$6*W882), 2)</f>
        <v/>
      </c>
      <c r="Y882" s="28" t="n">
        <v>7.2</v>
      </c>
      <c r="Z882" s="11" t="inlineStr">
        <is>
          <t>Priority Tier 2 (Balanced Opportunity)</t>
        </is>
      </c>
    </row>
    <row r="883">
      <c r="A883" s="23" t="n">
        <v>3</v>
      </c>
      <c r="B883" s="23" t="n">
        <v>879</v>
      </c>
      <c r="C883" s="23" t="n">
        <v>2879</v>
      </c>
      <c r="D883" s="23" t="inlineStr">
        <is>
          <t>0403429005</t>
        </is>
      </c>
      <c r="E883" s="11" t="inlineStr">
        <is>
          <t>Region IV-A (CALABARZON)</t>
        </is>
      </c>
      <c r="F883" s="11" t="inlineStr">
        <is>
          <t>Laguna</t>
        </is>
      </c>
      <c r="G883" s="11" t="inlineStr">
        <is>
          <t>Siniloan</t>
        </is>
      </c>
      <c r="H883" s="11" t="inlineStr">
        <is>
          <t>Buhay</t>
        </is>
      </c>
      <c r="I883" s="24" t="n">
        <v>14.428767</v>
      </c>
      <c r="J883" s="24" t="n">
        <v>121.448367</v>
      </c>
      <c r="K883" s="23" t="inlineStr">
        <is>
          <t>R</t>
        </is>
      </c>
      <c r="L883" s="25" t="n">
        <v>1217</v>
      </c>
      <c r="M883" s="26" t="n">
        <v>3.3</v>
      </c>
      <c r="N883" s="25">
        <f>ROUND(L883/M883, 0)</f>
        <v/>
      </c>
      <c r="O883" s="25">
        <f>ROUND(N883*'Methodology &amp; Assumptions'!$B$7, 0)</f>
        <v/>
      </c>
      <c r="P883" s="23" t="inlineStr">
        <is>
          <t>Single Carrier (Band n50, 100MHz TDD)</t>
        </is>
      </c>
      <c r="Q883" s="27">
        <f>ROUNDUP(O883/'Methodology &amp; Assumptions'!$B$8, 0)</f>
        <v/>
      </c>
      <c r="R883" s="27" t="n">
        <v>1</v>
      </c>
      <c r="S883" s="26" t="n">
        <v>0.77</v>
      </c>
      <c r="T883" s="26" t="n">
        <v>0.73</v>
      </c>
      <c r="U883" s="11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26" t="n">
        <v>70.93000000000001</v>
      </c>
      <c r="W883" s="26" t="n">
        <v>50.01</v>
      </c>
      <c r="X883" s="26">
        <f>ROUND(('Methodology &amp; Assumptions'!$B$5*V883) + ('Methodology &amp; Assumptions'!$B$6*W883), 2)</f>
        <v/>
      </c>
      <c r="Y883" s="28" t="n">
        <v>7.2</v>
      </c>
      <c r="Z883" s="11" t="inlineStr">
        <is>
          <t>Priority Tier 2 (Balanced Opportunity)</t>
        </is>
      </c>
    </row>
    <row r="884">
      <c r="A884" s="23" t="n">
        <v>3</v>
      </c>
      <c r="B884" s="23" t="n">
        <v>880</v>
      </c>
      <c r="C884" s="23" t="n">
        <v>2880</v>
      </c>
      <c r="D884" s="23" t="inlineStr">
        <is>
          <t>1380606100</t>
        </is>
      </c>
      <c r="E884" s="11" t="inlineStr">
        <is>
          <t>National Capital Region (NCR)</t>
        </is>
      </c>
      <c r="F884" s="11" t="inlineStr">
        <is>
          <t>First District (Not a Province)</t>
        </is>
      </c>
      <c r="G884" s="11" t="inlineStr">
        <is>
          <t>City of Manila</t>
        </is>
      </c>
      <c r="H884" s="11" t="inlineStr">
        <is>
          <t>Barangay 494</t>
        </is>
      </c>
      <c r="I884" s="24" t="n">
        <v>14.622142</v>
      </c>
      <c r="J884" s="24" t="n">
        <v>120.992126</v>
      </c>
      <c r="K884" s="23" t="inlineStr">
        <is>
          <t>U</t>
        </is>
      </c>
      <c r="L884" s="25" t="n">
        <v>1663</v>
      </c>
      <c r="M884" s="26" t="n">
        <v>4.22</v>
      </c>
      <c r="N884" s="25">
        <f>ROUND(L884/M884, 0)</f>
        <v/>
      </c>
      <c r="O884" s="25">
        <f>ROUND(N884*'Methodology &amp; Assumptions'!$B$7, 0)</f>
        <v/>
      </c>
      <c r="P884" s="23" t="inlineStr">
        <is>
          <t>Single Carrier (Band n50, 100MHz TDD)</t>
        </is>
      </c>
      <c r="Q884" s="27">
        <f>ROUNDUP(O884/'Methodology &amp; Assumptions'!$B$8, 0)</f>
        <v/>
      </c>
      <c r="R884" s="27" t="n">
        <v>1</v>
      </c>
      <c r="S884" s="26" t="n">
        <v>1.18</v>
      </c>
      <c r="T884" s="26" t="n">
        <v>0.49</v>
      </c>
      <c r="U884" s="11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26" t="n">
        <v>52.44</v>
      </c>
      <c r="W884" s="26" t="n">
        <v>68.48999999999999</v>
      </c>
      <c r="X884" s="26">
        <f>ROUND(('Methodology &amp; Assumptions'!$B$5*V884) + ('Methodology &amp; Assumptions'!$B$6*W884), 2)</f>
        <v/>
      </c>
      <c r="Y884" s="28" t="n">
        <v>10.9</v>
      </c>
      <c r="Z884" s="11" t="inlineStr">
        <is>
          <t>Priority Tier 2 (Balanced Opportunity)</t>
        </is>
      </c>
    </row>
    <row r="885">
      <c r="A885" s="23" t="n">
        <v>3</v>
      </c>
      <c r="B885" s="23" t="n">
        <v>881</v>
      </c>
      <c r="C885" s="23" t="n">
        <v>2881</v>
      </c>
      <c r="D885" s="23" t="inlineStr">
        <is>
          <t>1380601171</t>
        </is>
      </c>
      <c r="E885" s="11" t="inlineStr">
        <is>
          <t>National Capital Region (NCR)</t>
        </is>
      </c>
      <c r="F885" s="11" t="inlineStr">
        <is>
          <t>First District (Not a Province)</t>
        </is>
      </c>
      <c r="G885" s="11" t="inlineStr">
        <is>
          <t>City of Manila</t>
        </is>
      </c>
      <c r="H885" s="11" t="inlineStr">
        <is>
          <t>Barangay 171</t>
        </is>
      </c>
      <c r="I885" s="24" t="n">
        <v>14.626257</v>
      </c>
      <c r="J885" s="24" t="n">
        <v>120.968853</v>
      </c>
      <c r="K885" s="23" t="inlineStr">
        <is>
          <t>U</t>
        </is>
      </c>
      <c r="L885" s="25" t="n">
        <v>1026</v>
      </c>
      <c r="M885" s="26" t="n">
        <v>4.14</v>
      </c>
      <c r="N885" s="25">
        <f>ROUND(L885/M885, 0)</f>
        <v/>
      </c>
      <c r="O885" s="25">
        <f>ROUND(N885*'Methodology &amp; Assumptions'!$B$7, 0)</f>
        <v/>
      </c>
      <c r="P885" s="23" t="inlineStr">
        <is>
          <t>Single Carrier (Band n50, 100MHz TDD)</t>
        </is>
      </c>
      <c r="Q885" s="27">
        <f>ROUNDUP(O885/'Methodology &amp; Assumptions'!$B$8, 0)</f>
        <v/>
      </c>
      <c r="R885" s="27" t="n">
        <v>1</v>
      </c>
      <c r="S885" s="26" t="n">
        <v>0.49</v>
      </c>
      <c r="T885" s="26" t="n">
        <v>0.23</v>
      </c>
      <c r="U885" s="11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26" t="n">
        <v>49.02</v>
      </c>
      <c r="W885" s="26" t="n">
        <v>71.93000000000001</v>
      </c>
      <c r="X885" s="26">
        <f>ROUND(('Methodology &amp; Assumptions'!$B$5*V885) + ('Methodology &amp; Assumptions'!$B$6*W885), 2)</f>
        <v/>
      </c>
      <c r="Y885" s="28" t="n">
        <v>10.9</v>
      </c>
      <c r="Z885" s="11" t="inlineStr">
        <is>
          <t>Priority Tier 2 (Balanced Opportunity)</t>
        </is>
      </c>
    </row>
    <row r="886">
      <c r="A886" s="23" t="n">
        <v>3</v>
      </c>
      <c r="B886" s="23" t="n">
        <v>882</v>
      </c>
      <c r="C886" s="23" t="n">
        <v>2882</v>
      </c>
      <c r="D886" s="23" t="inlineStr">
        <is>
          <t>0604530017</t>
        </is>
      </c>
      <c r="E886" s="11" t="inlineStr">
        <is>
          <t>Region VI (Western Visayas)</t>
        </is>
      </c>
      <c r="F886" s="11" t="inlineStr">
        <is>
          <t>Negros Occidental</t>
        </is>
      </c>
      <c r="G886" s="11" t="inlineStr">
        <is>
          <t>Valladolid</t>
        </is>
      </c>
      <c r="H886" s="11" t="inlineStr">
        <is>
          <t>Tabao Proper</t>
        </is>
      </c>
      <c r="I886" s="24" t="n">
        <v>10.44635</v>
      </c>
      <c r="J886" s="24" t="n">
        <v>122.825692</v>
      </c>
      <c r="K886" s="23" t="inlineStr">
        <is>
          <t>R</t>
        </is>
      </c>
      <c r="L886" s="25" t="n">
        <v>4471</v>
      </c>
      <c r="M886" s="26" t="n">
        <v>3.7</v>
      </c>
      <c r="N886" s="25">
        <f>ROUND(L886/M886, 0)</f>
        <v/>
      </c>
      <c r="O886" s="25">
        <f>ROUND(N886*'Methodology &amp; Assumptions'!$B$7, 0)</f>
        <v/>
      </c>
      <c r="P886" s="23" t="inlineStr">
        <is>
          <t>Single Carrier (Band n50, 100MHz TDD)</t>
        </is>
      </c>
      <c r="Q886" s="27">
        <f>ROUNDUP(O886/'Methodology &amp; Assumptions'!$B$8, 0)</f>
        <v/>
      </c>
      <c r="R886" s="27" t="n">
        <v>1</v>
      </c>
      <c r="S886" s="26" t="n">
        <v>2.2</v>
      </c>
      <c r="T886" s="26" t="n">
        <v>0.25</v>
      </c>
      <c r="U886" s="11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26" t="n">
        <v>83.13</v>
      </c>
      <c r="W886" s="26" t="n">
        <v>37.79</v>
      </c>
      <c r="X886" s="26">
        <f>ROUND(('Methodology &amp; Assumptions'!$B$5*V886) + ('Methodology &amp; Assumptions'!$B$6*W886), 2)</f>
        <v/>
      </c>
      <c r="Y886" s="28" t="n">
        <v>23.7</v>
      </c>
      <c r="Z886" s="11" t="inlineStr">
        <is>
          <t>Priority Tier 2 (Balanced Opportunity)</t>
        </is>
      </c>
    </row>
    <row r="887">
      <c r="A887" s="23" t="n">
        <v>3</v>
      </c>
      <c r="B887" s="23" t="n">
        <v>883</v>
      </c>
      <c r="C887" s="23" t="n">
        <v>2883</v>
      </c>
      <c r="D887" s="23" t="inlineStr">
        <is>
          <t>0301403024</t>
        </is>
      </c>
      <c r="E887" s="11" t="inlineStr">
        <is>
          <t>Region III (Central Luzon)</t>
        </is>
      </c>
      <c r="F887" s="11" t="inlineStr">
        <is>
          <t>Bulacan</t>
        </is>
      </c>
      <c r="G887" s="11" t="inlineStr">
        <is>
          <t>Baliuag</t>
        </is>
      </c>
      <c r="H887" s="11" t="inlineStr">
        <is>
          <t>Tangos</t>
        </is>
      </c>
      <c r="I887" s="24" t="n">
        <v>14.971399</v>
      </c>
      <c r="J887" s="24" t="n">
        <v>120.895296</v>
      </c>
      <c r="K887" s="23" t="inlineStr">
        <is>
          <t>U</t>
        </is>
      </c>
      <c r="L887" s="25" t="n">
        <v>8119</v>
      </c>
      <c r="M887" s="26" t="n">
        <v>3.5</v>
      </c>
      <c r="N887" s="25">
        <f>ROUND(L887/M887, 0)</f>
        <v/>
      </c>
      <c r="O887" s="25">
        <f>ROUND(N887*'Methodology &amp; Assumptions'!$B$7, 0)</f>
        <v/>
      </c>
      <c r="P887" s="23" t="inlineStr">
        <is>
          <t>Single Carrier (Band n50, 100MHz TDD)</t>
        </is>
      </c>
      <c r="Q887" s="27">
        <f>ROUNDUP(O887/'Methodology &amp; Assumptions'!$B$8, 0)</f>
        <v/>
      </c>
      <c r="R887" s="27" t="n">
        <v>1</v>
      </c>
      <c r="S887" s="26" t="n">
        <v>1.82</v>
      </c>
      <c r="T887" s="26" t="n">
        <v>0.04</v>
      </c>
      <c r="U887" s="11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26" t="n">
        <v>74.81</v>
      </c>
      <c r="W887" s="26" t="n">
        <v>46.11</v>
      </c>
      <c r="X887" s="26">
        <f>ROUND(('Methodology &amp; Assumptions'!$B$5*V887) + ('Methodology &amp; Assumptions'!$B$6*W887), 2)</f>
        <v/>
      </c>
      <c r="Y887" s="28" t="n">
        <v>8.300000000000001</v>
      </c>
      <c r="Z887" s="11" t="inlineStr">
        <is>
          <t>Priority Tier 2 (Balanced Opportunity)</t>
        </is>
      </c>
    </row>
    <row r="888">
      <c r="A888" s="23" t="n">
        <v>3</v>
      </c>
      <c r="B888" s="23" t="n">
        <v>884</v>
      </c>
      <c r="C888" s="23" t="n">
        <v>2884</v>
      </c>
      <c r="D888" s="23" t="inlineStr">
        <is>
          <t>1381000004</t>
        </is>
      </c>
      <c r="E888" s="11" t="inlineStr">
        <is>
          <t>National Capital Region (NCR)</t>
        </is>
      </c>
      <c r="F888" s="11" t="inlineStr">
        <is>
          <t>Fourth District (Not a Province)</t>
        </is>
      </c>
      <c r="G888" s="11" t="inlineStr">
        <is>
          <t>City of Parañaque</t>
        </is>
      </c>
      <c r="H888" s="11" t="inlineStr">
        <is>
          <t>San Dionisio</t>
        </is>
      </c>
      <c r="I888" s="24" t="n">
        <v>14.48607</v>
      </c>
      <c r="J888" s="24" t="n">
        <v>120.991619</v>
      </c>
      <c r="K888" s="23" t="inlineStr">
        <is>
          <t>U</t>
        </is>
      </c>
      <c r="L888" s="25" t="n">
        <v>69550</v>
      </c>
      <c r="M888" s="26" t="n">
        <v>3.3</v>
      </c>
      <c r="N888" s="25">
        <f>ROUND(L888/M888, 0)</f>
        <v/>
      </c>
      <c r="O888" s="25">
        <f>ROUND(N888*'Methodology &amp; Assumptions'!$B$7, 0)</f>
        <v/>
      </c>
      <c r="P888" s="23" t="inlineStr">
        <is>
          <t>Single Carrier (Band n50, 100MHz TDD)</t>
        </is>
      </c>
      <c r="Q888" s="27">
        <f>ROUNDUP(O888/'Methodology &amp; Assumptions'!$B$8, 0)</f>
        <v/>
      </c>
      <c r="R888" s="27" t="n">
        <v>1</v>
      </c>
      <c r="S888" s="26" t="n">
        <v>1.35</v>
      </c>
      <c r="T888" s="26" t="n">
        <v>0.03</v>
      </c>
      <c r="U888" s="11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26" t="n">
        <v>63.46</v>
      </c>
      <c r="W888" s="26" t="n">
        <v>57.46</v>
      </c>
      <c r="X888" s="26">
        <f>ROUND(('Methodology &amp; Assumptions'!$B$5*V888) + ('Methodology &amp; Assumptions'!$B$6*W888), 2)</f>
        <v/>
      </c>
      <c r="Y888" s="28" t="n">
        <v>10.9</v>
      </c>
      <c r="Z888" s="11" t="inlineStr">
        <is>
          <t>Priority Tier 2 (Balanced Opportunity)</t>
        </is>
      </c>
    </row>
    <row r="889">
      <c r="A889" s="23" t="n">
        <v>3</v>
      </c>
      <c r="B889" s="23" t="n">
        <v>885</v>
      </c>
      <c r="C889" s="23" t="n">
        <v>2885</v>
      </c>
      <c r="D889" s="23" t="inlineStr">
        <is>
          <t>1380601161</t>
        </is>
      </c>
      <c r="E889" s="11" t="inlineStr">
        <is>
          <t>National Capital Region (NCR)</t>
        </is>
      </c>
      <c r="F889" s="11" t="inlineStr">
        <is>
          <t>First District (Not a Province)</t>
        </is>
      </c>
      <c r="G889" s="11" t="inlineStr">
        <is>
          <t>City of Manila</t>
        </is>
      </c>
      <c r="H889" s="11" t="inlineStr">
        <is>
          <t>Barangay 161</t>
        </is>
      </c>
      <c r="I889" s="24" t="n">
        <v>14.628255</v>
      </c>
      <c r="J889" s="24" t="n">
        <v>120.974682</v>
      </c>
      <c r="K889" s="23" t="inlineStr">
        <is>
          <t>U</t>
        </is>
      </c>
      <c r="L889" s="25" t="n">
        <v>876</v>
      </c>
      <c r="M889" s="26" t="n">
        <v>4.36</v>
      </c>
      <c r="N889" s="25">
        <f>ROUND(L889/M889, 0)</f>
        <v/>
      </c>
      <c r="O889" s="25">
        <f>ROUND(N889*'Methodology &amp; Assumptions'!$B$7, 0)</f>
        <v/>
      </c>
      <c r="P889" s="23" t="inlineStr">
        <is>
          <t>Single Carrier (Band n50, 100MHz TDD)</t>
        </is>
      </c>
      <c r="Q889" s="27">
        <f>ROUNDUP(O889/'Methodology &amp; Assumptions'!$B$8, 0)</f>
        <v/>
      </c>
      <c r="R889" s="27" t="n">
        <v>1</v>
      </c>
      <c r="S889" s="26" t="n">
        <v>0.21</v>
      </c>
      <c r="T889" s="26" t="n">
        <v>0.24</v>
      </c>
      <c r="U889" s="11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26" t="n">
        <v>47.52</v>
      </c>
      <c r="W889" s="26" t="n">
        <v>73.41</v>
      </c>
      <c r="X889" s="26">
        <f>ROUND(('Methodology &amp; Assumptions'!$B$5*V889) + ('Methodology &amp; Assumptions'!$B$6*W889), 2)</f>
        <v/>
      </c>
      <c r="Y889" s="28" t="n">
        <v>10.9</v>
      </c>
      <c r="Z889" s="11" t="inlineStr">
        <is>
          <t>Priority Tier 2 (Balanced Opportunity)</t>
        </is>
      </c>
    </row>
    <row r="890">
      <c r="A890" s="23" t="n">
        <v>3</v>
      </c>
      <c r="B890" s="23" t="n">
        <v>886</v>
      </c>
      <c r="C890" s="23" t="n">
        <v>2886</v>
      </c>
      <c r="D890" s="23" t="inlineStr">
        <is>
          <t>0806008001</t>
        </is>
      </c>
      <c r="E890" s="11" t="inlineStr">
        <is>
          <t>Region VIII (Eastern Visayas)</t>
        </is>
      </c>
      <c r="F890" s="11" t="inlineStr">
        <is>
          <t>Samar</t>
        </is>
      </c>
      <c r="G890" s="11" t="inlineStr">
        <is>
          <t>Hinabangan</t>
        </is>
      </c>
      <c r="H890" s="11" t="inlineStr">
        <is>
          <t>Bagacay</t>
        </is>
      </c>
      <c r="I890" s="24" t="n">
        <v>11.780231</v>
      </c>
      <c r="J890" s="24" t="n">
        <v>125.187367</v>
      </c>
      <c r="K890" s="23" t="inlineStr">
        <is>
          <t>R</t>
        </is>
      </c>
      <c r="L890" s="25" t="n">
        <v>1378</v>
      </c>
      <c r="M890" s="26" t="n">
        <v>4.1</v>
      </c>
      <c r="N890" s="25">
        <f>ROUND(L890/M890, 0)</f>
        <v/>
      </c>
      <c r="O890" s="25">
        <f>ROUND(N890*'Methodology &amp; Assumptions'!$B$7, 0)</f>
        <v/>
      </c>
      <c r="P890" s="23" t="inlineStr">
        <is>
          <t>Single Carrier (Band n50, 100MHz TDD)</t>
        </is>
      </c>
      <c r="Q890" s="27">
        <f>ROUNDUP(O890/'Methodology &amp; Assumptions'!$B$8, 0)</f>
        <v/>
      </c>
      <c r="R890" s="27" t="n">
        <v>1</v>
      </c>
      <c r="S890" s="26" t="n">
        <v>63.4</v>
      </c>
      <c r="T890" s="26" t="n">
        <v>66.05</v>
      </c>
      <c r="U890" s="11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26" t="n">
        <v>46.45</v>
      </c>
      <c r="W890" s="26" t="n">
        <v>74.48</v>
      </c>
      <c r="X890" s="26">
        <f>ROUND(('Methodology &amp; Assumptions'!$B$5*V890) + ('Methodology &amp; Assumptions'!$B$6*W890), 2)</f>
        <v/>
      </c>
      <c r="Y890" s="28" t="n">
        <v>23.7</v>
      </c>
      <c r="Z890" s="11" t="inlineStr">
        <is>
          <t>Priority Tier 2 (Balanced Opportunity)</t>
        </is>
      </c>
    </row>
    <row r="891">
      <c r="A891" s="23" t="n">
        <v>3</v>
      </c>
      <c r="B891" s="23" t="n">
        <v>887</v>
      </c>
      <c r="C891" s="23" t="n">
        <v>2887</v>
      </c>
      <c r="D891" s="23" t="inlineStr">
        <is>
          <t>0702219007</t>
        </is>
      </c>
      <c r="E891" s="11" t="inlineStr">
        <is>
          <t>Region VII (Central Visayas)</t>
        </is>
      </c>
      <c r="F891" s="11" t="inlineStr">
        <is>
          <t>Cebu</t>
        </is>
      </c>
      <c r="G891" s="11" t="inlineStr">
        <is>
          <t>Consolacion</t>
        </is>
      </c>
      <c r="H891" s="11" t="inlineStr">
        <is>
          <t>Lamac</t>
        </is>
      </c>
      <c r="I891" s="24" t="n">
        <v>10.38753</v>
      </c>
      <c r="J891" s="24" t="n">
        <v>123.968242</v>
      </c>
      <c r="K891" s="23" t="inlineStr">
        <is>
          <t>U</t>
        </is>
      </c>
      <c r="L891" s="25" t="n">
        <v>11475</v>
      </c>
      <c r="M891" s="26" t="n">
        <v>3.8</v>
      </c>
      <c r="N891" s="25">
        <f>ROUND(L891/M891, 0)</f>
        <v/>
      </c>
      <c r="O891" s="25">
        <f>ROUND(N891*'Methodology &amp; Assumptions'!$B$7, 0)</f>
        <v/>
      </c>
      <c r="P891" s="23" t="inlineStr">
        <is>
          <t>Single Carrier (Band n50, 100MHz TDD)</t>
        </is>
      </c>
      <c r="Q891" s="27">
        <f>ROUNDUP(O891/'Methodology &amp; Assumptions'!$B$8, 0)</f>
        <v/>
      </c>
      <c r="R891" s="27" t="n">
        <v>1</v>
      </c>
      <c r="S891" s="26" t="n">
        <v>1.61</v>
      </c>
      <c r="T891" s="26" t="n">
        <v>0.66</v>
      </c>
      <c r="U891" s="11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26" t="n">
        <v>77.98999999999999</v>
      </c>
      <c r="W891" s="26" t="n">
        <v>42.9</v>
      </c>
      <c r="X891" s="26">
        <f>ROUND(('Methodology &amp; Assumptions'!$B$5*V891) + ('Methodology &amp; Assumptions'!$B$6*W891), 2)</f>
        <v/>
      </c>
      <c r="Y891" s="28" t="n">
        <v>23.7</v>
      </c>
      <c r="Z891" s="11" t="inlineStr">
        <is>
          <t>Priority Tier 2 (Balanced Opportunity)</t>
        </is>
      </c>
    </row>
    <row r="892">
      <c r="A892" s="23" t="n">
        <v>3</v>
      </c>
      <c r="B892" s="23" t="n">
        <v>888</v>
      </c>
      <c r="C892" s="23" t="n">
        <v>2888</v>
      </c>
      <c r="D892" s="23" t="inlineStr">
        <is>
          <t>0301413006</t>
        </is>
      </c>
      <c r="E892" s="11" t="inlineStr">
        <is>
          <t>Region III (Central Luzon)</t>
        </is>
      </c>
      <c r="F892" s="11" t="inlineStr">
        <is>
          <t>Bulacan</t>
        </is>
      </c>
      <c r="G892" s="11" t="inlineStr">
        <is>
          <t>Norzagaray</t>
        </is>
      </c>
      <c r="H892" s="11" t="inlineStr">
        <is>
          <t>Bigte</t>
        </is>
      </c>
      <c r="I892" s="24" t="n">
        <v>14.853591</v>
      </c>
      <c r="J892" s="24" t="n">
        <v>121.0838</v>
      </c>
      <c r="K892" s="23" t="inlineStr">
        <is>
          <t>U</t>
        </is>
      </c>
      <c r="L892" s="25" t="n">
        <v>15803</v>
      </c>
      <c r="M892" s="26" t="n">
        <v>3.5</v>
      </c>
      <c r="N892" s="25">
        <f>ROUND(L892/M892, 0)</f>
        <v/>
      </c>
      <c r="O892" s="25">
        <f>ROUND(N892*'Methodology &amp; Assumptions'!$B$7, 0)</f>
        <v/>
      </c>
      <c r="P892" s="23" t="inlineStr">
        <is>
          <t>Single Carrier (Band n50, 100MHz TDD)</t>
        </is>
      </c>
      <c r="Q892" s="27">
        <f>ROUNDUP(O892/'Methodology &amp; Assumptions'!$B$8, 0)</f>
        <v/>
      </c>
      <c r="R892" s="27" t="n">
        <v>1</v>
      </c>
      <c r="S892" s="26" t="n">
        <v>0.71</v>
      </c>
      <c r="T892" s="26" t="n">
        <v>5.13</v>
      </c>
      <c r="U892" s="11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26" t="n">
        <v>75.48</v>
      </c>
      <c r="W892" s="26" t="n">
        <v>45.43</v>
      </c>
      <c r="X892" s="26">
        <f>ROUND(('Methodology &amp; Assumptions'!$B$5*V892) + ('Methodology &amp; Assumptions'!$B$6*W892), 2)</f>
        <v/>
      </c>
      <c r="Y892" s="28" t="n">
        <v>8.300000000000001</v>
      </c>
      <c r="Z892" s="11" t="inlineStr">
        <is>
          <t>Priority Tier 2 (Balanced Opportunity)</t>
        </is>
      </c>
    </row>
    <row r="893">
      <c r="A893" s="23" t="n">
        <v>3</v>
      </c>
      <c r="B893" s="23" t="n">
        <v>889</v>
      </c>
      <c r="C893" s="23" t="n">
        <v>2889</v>
      </c>
      <c r="D893" s="23" t="inlineStr">
        <is>
          <t>0103301018</t>
        </is>
      </c>
      <c r="E893" s="11" t="inlineStr">
        <is>
          <t>Region I (Ilocos Region)</t>
        </is>
      </c>
      <c r="F893" s="11" t="inlineStr">
        <is>
          <t>La Union</t>
        </is>
      </c>
      <c r="G893" s="11" t="inlineStr">
        <is>
          <t>Agoo</t>
        </is>
      </c>
      <c r="H893" s="11" t="inlineStr">
        <is>
          <t>San Joaquin Sur</t>
        </is>
      </c>
      <c r="I893" s="24" t="n">
        <v>16.314102</v>
      </c>
      <c r="J893" s="24" t="n">
        <v>120.367708</v>
      </c>
      <c r="K893" s="23" t="inlineStr">
        <is>
          <t>R</t>
        </is>
      </c>
      <c r="L893" s="25" t="n">
        <v>1511</v>
      </c>
      <c r="M893" s="26" t="n">
        <v>3.7</v>
      </c>
      <c r="N893" s="25">
        <f>ROUND(L893/M893, 0)</f>
        <v/>
      </c>
      <c r="O893" s="25">
        <f>ROUND(N893*'Methodology &amp; Assumptions'!$B$7, 0)</f>
        <v/>
      </c>
      <c r="P893" s="23" t="inlineStr">
        <is>
          <t>Single Carrier (Band n50, 100MHz TDD)</t>
        </is>
      </c>
      <c r="Q893" s="27">
        <f>ROUNDUP(O893/'Methodology &amp; Assumptions'!$B$8, 0)</f>
        <v/>
      </c>
      <c r="R893" s="27" t="n">
        <v>1</v>
      </c>
      <c r="S893" s="26" t="n">
        <v>1.05</v>
      </c>
      <c r="T893" s="26" t="n">
        <v>0.23</v>
      </c>
      <c r="U893" s="11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26" t="n">
        <v>71.43000000000001</v>
      </c>
      <c r="W893" s="26" t="n">
        <v>49.47</v>
      </c>
      <c r="X893" s="26">
        <f>ROUND(('Methodology &amp; Assumptions'!$B$5*V893) + ('Methodology &amp; Assumptions'!$B$6*W893), 2)</f>
        <v/>
      </c>
      <c r="Y893" s="28" t="n">
        <v>8.300000000000001</v>
      </c>
      <c r="Z893" s="11" t="inlineStr">
        <is>
          <t>Priority Tier 2 (Balanced Opportunity)</t>
        </is>
      </c>
    </row>
    <row r="894">
      <c r="A894" s="23" t="n">
        <v>3</v>
      </c>
      <c r="B894" s="23" t="n">
        <v>890</v>
      </c>
      <c r="C894" s="23" t="n">
        <v>2890</v>
      </c>
      <c r="D894" s="23" t="inlineStr">
        <is>
          <t>1102401002</t>
        </is>
      </c>
      <c r="E894" s="11" t="inlineStr">
        <is>
          <t>Region XI (Davao Region)</t>
        </is>
      </c>
      <c r="F894" s="11" t="inlineStr">
        <is>
          <t>Davao del Sur</t>
        </is>
      </c>
      <c r="G894" s="11" t="inlineStr">
        <is>
          <t>Bansalan</t>
        </is>
      </c>
      <c r="H894" s="11" t="inlineStr">
        <is>
          <t>Alta Vista</t>
        </is>
      </c>
      <c r="I894" s="24" t="n">
        <v>6.88362</v>
      </c>
      <c r="J894" s="24" t="n">
        <v>125.2121</v>
      </c>
      <c r="K894" s="23" t="inlineStr">
        <is>
          <t>R</t>
        </is>
      </c>
      <c r="L894" s="25" t="n">
        <v>1049</v>
      </c>
      <c r="M894" s="26" t="n">
        <v>3.4</v>
      </c>
      <c r="N894" s="25">
        <f>ROUND(L894/M894, 0)</f>
        <v/>
      </c>
      <c r="O894" s="25">
        <f>ROUND(N894*'Methodology &amp; Assumptions'!$B$7, 0)</f>
        <v/>
      </c>
      <c r="P894" s="23" t="inlineStr">
        <is>
          <t>Single Carrier (Band n50, 100MHz TDD)</t>
        </is>
      </c>
      <c r="Q894" s="27">
        <f>ROUNDUP(O894/'Methodology &amp; Assumptions'!$B$8, 0)</f>
        <v/>
      </c>
      <c r="R894" s="27" t="n">
        <v>1</v>
      </c>
      <c r="S894" s="26" t="n">
        <v>10.63</v>
      </c>
      <c r="T894" s="26" t="n">
        <v>16.76</v>
      </c>
      <c r="U894" s="11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26" t="n">
        <v>48.93</v>
      </c>
      <c r="W894" s="26" t="n">
        <v>71.98</v>
      </c>
      <c r="X894" s="26">
        <f>ROUND(('Methodology &amp; Assumptions'!$B$5*V894) + ('Methodology &amp; Assumptions'!$B$6*W894), 2)</f>
        <v/>
      </c>
      <c r="Y894" s="28" t="n">
        <v>17.4</v>
      </c>
      <c r="Z894" s="11" t="inlineStr">
        <is>
          <t>Priority Tier 2 (Balanced Opportunity)</t>
        </is>
      </c>
    </row>
    <row r="895">
      <c r="A895" s="23" t="n">
        <v>3</v>
      </c>
      <c r="B895" s="23" t="n">
        <v>891</v>
      </c>
      <c r="C895" s="23" t="n">
        <v>2891</v>
      </c>
      <c r="D895" s="23" t="inlineStr">
        <is>
          <t>0402103070</t>
        </is>
      </c>
      <c r="E895" s="11" t="inlineStr">
        <is>
          <t>Region IV-A (CALABARZON)</t>
        </is>
      </c>
      <c r="F895" s="11" t="inlineStr">
        <is>
          <t>Cavite</t>
        </is>
      </c>
      <c r="G895" s="11" t="inlineStr">
        <is>
          <t>City of Bacoor</t>
        </is>
      </c>
      <c r="H895" s="11" t="inlineStr">
        <is>
          <t>Talaba VI</t>
        </is>
      </c>
      <c r="I895" s="24" t="n">
        <v>14.436707</v>
      </c>
      <c r="J895" s="24" t="n">
        <v>120.961346</v>
      </c>
      <c r="K895" s="23" t="inlineStr">
        <is>
          <t>R</t>
        </is>
      </c>
      <c r="L895" s="25" t="n">
        <v>2729</v>
      </c>
      <c r="M895" s="26" t="n">
        <v>3.4</v>
      </c>
      <c r="N895" s="25">
        <f>ROUND(L895/M895, 0)</f>
        <v/>
      </c>
      <c r="O895" s="25">
        <f>ROUND(N895*'Methodology &amp; Assumptions'!$B$7, 0)</f>
        <v/>
      </c>
      <c r="P895" s="23" t="inlineStr">
        <is>
          <t>Single Carrier (Band n50, 100MHz TDD)</t>
        </is>
      </c>
      <c r="Q895" s="27">
        <f>ROUNDUP(O895/'Methodology &amp; Assumptions'!$B$8, 0)</f>
        <v/>
      </c>
      <c r="R895" s="27" t="n">
        <v>1</v>
      </c>
      <c r="S895" s="26" t="n">
        <v>1.43</v>
      </c>
      <c r="T895" s="26" t="n">
        <v>1.32</v>
      </c>
      <c r="U895" s="11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26" t="n">
        <v>82.83</v>
      </c>
      <c r="W895" s="26" t="n">
        <v>38.05</v>
      </c>
      <c r="X895" s="26">
        <f>ROUND(('Methodology &amp; Assumptions'!$B$5*V895) + ('Methodology &amp; Assumptions'!$B$6*W895), 2)</f>
        <v/>
      </c>
      <c r="Y895" s="28" t="n">
        <v>7.2</v>
      </c>
      <c r="Z895" s="11" t="inlineStr">
        <is>
          <t>Priority Tier 2 (Balanced Opportunity)</t>
        </is>
      </c>
    </row>
    <row r="896">
      <c r="A896" s="23" t="n">
        <v>3</v>
      </c>
      <c r="B896" s="23" t="n">
        <v>892</v>
      </c>
      <c r="C896" s="23" t="n">
        <v>2892</v>
      </c>
      <c r="D896" s="23" t="inlineStr">
        <is>
          <t>0405619047</t>
        </is>
      </c>
      <c r="E896" s="11" t="inlineStr">
        <is>
          <t>Region IV-A (CALABARZON)</t>
        </is>
      </c>
      <c r="F896" s="11" t="inlineStr">
        <is>
          <t>Quezon</t>
        </is>
      </c>
      <c r="G896" s="11" t="inlineStr">
        <is>
          <t>Gumaca</t>
        </is>
      </c>
      <c r="H896" s="11" t="inlineStr">
        <is>
          <t>Tabing Dagat</t>
        </is>
      </c>
      <c r="I896" s="24" t="n">
        <v>13.922482</v>
      </c>
      <c r="J896" s="24" t="n">
        <v>122.1028</v>
      </c>
      <c r="K896" s="23" t="inlineStr">
        <is>
          <t>U</t>
        </is>
      </c>
      <c r="L896" s="25" t="n">
        <v>2559</v>
      </c>
      <c r="M896" s="26" t="n">
        <v>3.8</v>
      </c>
      <c r="N896" s="25">
        <f>ROUND(L896/M896, 0)</f>
        <v/>
      </c>
      <c r="O896" s="25">
        <f>ROUND(N896*'Methodology &amp; Assumptions'!$B$7, 0)</f>
        <v/>
      </c>
      <c r="P896" s="23" t="inlineStr">
        <is>
          <t>Single Carrier (Band n50, 100MHz TDD)</t>
        </is>
      </c>
      <c r="Q896" s="27">
        <f>ROUNDUP(O896/'Methodology &amp; Assumptions'!$B$8, 0)</f>
        <v/>
      </c>
      <c r="R896" s="27" t="n">
        <v>1</v>
      </c>
      <c r="S896" s="26" t="n">
        <v>0.54</v>
      </c>
      <c r="T896" s="26" t="n">
        <v>0.19</v>
      </c>
      <c r="U896" s="11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26" t="n">
        <v>73.63</v>
      </c>
      <c r="W896" s="26" t="n">
        <v>47.24</v>
      </c>
      <c r="X896" s="26">
        <f>ROUND(('Methodology &amp; Assumptions'!$B$5*V896) + ('Methodology &amp; Assumptions'!$B$6*W896), 2)</f>
        <v/>
      </c>
      <c r="Y896" s="28" t="n">
        <v>7.2</v>
      </c>
      <c r="Z896" s="11" t="inlineStr">
        <is>
          <t>Priority Tier 2 (Balanced Opportunity)</t>
        </is>
      </c>
    </row>
    <row r="897">
      <c r="A897" s="23" t="n">
        <v>3</v>
      </c>
      <c r="B897" s="23" t="n">
        <v>893</v>
      </c>
      <c r="C897" s="23" t="n">
        <v>2893</v>
      </c>
      <c r="D897" s="23" t="inlineStr">
        <is>
          <t>1381100095</t>
        </is>
      </c>
      <c r="E897" s="11" t="inlineStr">
        <is>
          <t>National Capital Region (NCR)</t>
        </is>
      </c>
      <c r="F897" s="11" t="inlineStr">
        <is>
          <t>Fourth District (Not a Province)</t>
        </is>
      </c>
      <c r="G897" s="11" t="inlineStr">
        <is>
          <t>Pasay City</t>
        </is>
      </c>
      <c r="H897" s="11" t="inlineStr">
        <is>
          <t>Barangay 95</t>
        </is>
      </c>
      <c r="I897" s="24" t="n">
        <v>14.54688</v>
      </c>
      <c r="J897" s="24" t="n">
        <v>121.000388</v>
      </c>
      <c r="K897" s="23" t="inlineStr">
        <is>
          <t>U</t>
        </is>
      </c>
      <c r="L897" s="25" t="n">
        <v>1151</v>
      </c>
      <c r="M897" s="26" t="n">
        <v>3.46</v>
      </c>
      <c r="N897" s="25">
        <f>ROUND(L897/M897, 0)</f>
        <v/>
      </c>
      <c r="O897" s="25">
        <f>ROUND(N897*'Methodology &amp; Assumptions'!$B$7, 0)</f>
        <v/>
      </c>
      <c r="P897" s="23" t="inlineStr">
        <is>
          <t>Single Carrier (Band n50, 100MHz TDD)</t>
        </is>
      </c>
      <c r="Q897" s="27">
        <f>ROUNDUP(O897/'Methodology &amp; Assumptions'!$B$8, 0)</f>
        <v/>
      </c>
      <c r="R897" s="27" t="n">
        <v>1</v>
      </c>
      <c r="S897" s="26" t="n">
        <v>0.6899999999999999</v>
      </c>
      <c r="T897" s="26" t="n">
        <v>0.19</v>
      </c>
      <c r="U897" s="11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26" t="n">
        <v>51.8</v>
      </c>
      <c r="W897" s="26" t="n">
        <v>69.06999999999999</v>
      </c>
      <c r="X897" s="26">
        <f>ROUND(('Methodology &amp; Assumptions'!$B$5*V897) + ('Methodology &amp; Assumptions'!$B$6*W897), 2)</f>
        <v/>
      </c>
      <c r="Y897" s="28" t="n">
        <v>10.9</v>
      </c>
      <c r="Z897" s="11" t="inlineStr">
        <is>
          <t>Priority Tier 2 (Balanced Opportunity)</t>
        </is>
      </c>
    </row>
    <row r="898">
      <c r="A898" s="23" t="n">
        <v>3</v>
      </c>
      <c r="B898" s="23" t="n">
        <v>894</v>
      </c>
      <c r="C898" s="23" t="n">
        <v>2894</v>
      </c>
      <c r="D898" s="23" t="inlineStr">
        <is>
          <t>1380614092</t>
        </is>
      </c>
      <c r="E898" s="11" t="inlineStr">
        <is>
          <t>National Capital Region (NCR)</t>
        </is>
      </c>
      <c r="F898" s="11" t="inlineStr">
        <is>
          <t>First District (Not a Province)</t>
        </is>
      </c>
      <c r="G898" s="11" t="inlineStr">
        <is>
          <t>City of Manila</t>
        </is>
      </c>
      <c r="H898" s="11" t="inlineStr">
        <is>
          <t>Barangay 899</t>
        </is>
      </c>
      <c r="I898" s="24" t="n">
        <v>14.587102</v>
      </c>
      <c r="J898" s="24" t="n">
        <v>121.011649</v>
      </c>
      <c r="K898" s="23" t="inlineStr">
        <is>
          <t>U</t>
        </is>
      </c>
      <c r="L898" s="25" t="n">
        <v>1569</v>
      </c>
      <c r="M898" s="26" t="n">
        <v>4.56</v>
      </c>
      <c r="N898" s="25">
        <f>ROUND(L898/M898, 0)</f>
        <v/>
      </c>
      <c r="O898" s="25">
        <f>ROUND(N898*'Methodology &amp; Assumptions'!$B$7, 0)</f>
        <v/>
      </c>
      <c r="P898" s="23" t="inlineStr">
        <is>
          <t>Single Carrier (Band n50, 100MHz TDD)</t>
        </is>
      </c>
      <c r="Q898" s="27">
        <f>ROUNDUP(O898/'Methodology &amp; Assumptions'!$B$8, 0)</f>
        <v/>
      </c>
      <c r="R898" s="27" t="n">
        <v>1</v>
      </c>
      <c r="S898" s="26" t="n">
        <v>1</v>
      </c>
      <c r="T898" s="26" t="n">
        <v>0.62</v>
      </c>
      <c r="U898" s="11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26" t="n">
        <v>51.5</v>
      </c>
      <c r="W898" s="26" t="n">
        <v>69.37</v>
      </c>
      <c r="X898" s="26">
        <f>ROUND(('Methodology &amp; Assumptions'!$B$5*V898) + ('Methodology &amp; Assumptions'!$B$6*W898), 2)</f>
        <v/>
      </c>
      <c r="Y898" s="28" t="n">
        <v>10.9</v>
      </c>
      <c r="Z898" s="11" t="inlineStr">
        <is>
          <t>Priority Tier 2 (Balanced Opportunity)</t>
        </is>
      </c>
    </row>
    <row r="899">
      <c r="A899" s="23" t="n">
        <v>3</v>
      </c>
      <c r="B899" s="23" t="n">
        <v>895</v>
      </c>
      <c r="C899" s="23" t="n">
        <v>2895</v>
      </c>
      <c r="D899" s="23" t="inlineStr">
        <is>
          <t>1004321014</t>
        </is>
      </c>
      <c r="E899" s="11" t="inlineStr">
        <is>
          <t>Region X (Northern Mindanao)</t>
        </is>
      </c>
      <c r="F899" s="11" t="inlineStr">
        <is>
          <t>Misamis Oriental</t>
        </is>
      </c>
      <c r="G899" s="11" t="inlineStr">
        <is>
          <t>Opol</t>
        </is>
      </c>
      <c r="H899" s="11" t="inlineStr">
        <is>
          <t>Poblacion</t>
        </is>
      </c>
      <c r="I899" s="24" t="n">
        <v>8.521777</v>
      </c>
      <c r="J899" s="24" t="n">
        <v>124.573161</v>
      </c>
      <c r="K899" s="23" t="inlineStr">
        <is>
          <t>U</t>
        </is>
      </c>
      <c r="L899" s="25" t="n">
        <v>3486</v>
      </c>
      <c r="M899" s="26" t="n">
        <v>3.9</v>
      </c>
      <c r="N899" s="25">
        <f>ROUND(L899/M899, 0)</f>
        <v/>
      </c>
      <c r="O899" s="25">
        <f>ROUND(N899*'Methodology &amp; Assumptions'!$B$7, 0)</f>
        <v/>
      </c>
      <c r="P899" s="23" t="inlineStr">
        <is>
          <t>Single Carrier (Band n50, 100MHz TDD)</t>
        </is>
      </c>
      <c r="Q899" s="27">
        <f>ROUNDUP(O899/'Methodology &amp; Assumptions'!$B$8, 0)</f>
        <v/>
      </c>
      <c r="R899" s="27" t="n">
        <v>1</v>
      </c>
      <c r="S899" s="26" t="n">
        <v>0.24</v>
      </c>
      <c r="T899" s="26" t="n">
        <v>0.21</v>
      </c>
      <c r="U899" s="11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26" t="n">
        <v>79.87</v>
      </c>
      <c r="W899" s="26" t="n">
        <v>40.99</v>
      </c>
      <c r="X899" s="26">
        <f>ROUND(('Methodology &amp; Assumptions'!$B$5*V899) + ('Methodology &amp; Assumptions'!$B$6*W899), 2)</f>
        <v/>
      </c>
      <c r="Y899" s="28" t="n">
        <v>17.4</v>
      </c>
      <c r="Z899" s="11" t="inlineStr">
        <is>
          <t>Priority Tier 2 (Balanced Opportunity)</t>
        </is>
      </c>
    </row>
    <row r="900">
      <c r="A900" s="23" t="n">
        <v>3</v>
      </c>
      <c r="B900" s="23" t="n">
        <v>896</v>
      </c>
      <c r="C900" s="23" t="n">
        <v>2896</v>
      </c>
      <c r="D900" s="23" t="inlineStr">
        <is>
          <t>1380604003</t>
        </is>
      </c>
      <c r="E900" s="11" t="inlineStr">
        <is>
          <t>National Capital Region (NCR)</t>
        </is>
      </c>
      <c r="F900" s="11" t="inlineStr">
        <is>
          <t>First District (Not a Province)</t>
        </is>
      </c>
      <c r="G900" s="11" t="inlineStr">
        <is>
          <t>City of Manila</t>
        </is>
      </c>
      <c r="H900" s="11" t="inlineStr">
        <is>
          <t>Barangay 270</t>
        </is>
      </c>
      <c r="I900" s="24" t="n">
        <v>14.601883</v>
      </c>
      <c r="J900" s="24" t="n">
        <v>120.968085</v>
      </c>
      <c r="K900" s="23" t="inlineStr">
        <is>
          <t>U</t>
        </is>
      </c>
      <c r="L900" s="25" t="n">
        <v>954</v>
      </c>
      <c r="M900" s="26" t="n">
        <v>3.99</v>
      </c>
      <c r="N900" s="25">
        <f>ROUND(L900/M900, 0)</f>
        <v/>
      </c>
      <c r="O900" s="25">
        <f>ROUND(N900*'Methodology &amp; Assumptions'!$B$7, 0)</f>
        <v/>
      </c>
      <c r="P900" s="23" t="inlineStr">
        <is>
          <t>Single Carrier (Band n50, 100MHz TDD)</t>
        </is>
      </c>
      <c r="Q900" s="27">
        <f>ROUNDUP(O900/'Methodology &amp; Assumptions'!$B$8, 0)</f>
        <v/>
      </c>
      <c r="R900" s="27" t="n">
        <v>1</v>
      </c>
      <c r="S900" s="26" t="n">
        <v>0.57</v>
      </c>
      <c r="T900" s="26" t="n">
        <v>0.57</v>
      </c>
      <c r="U900" s="11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26" t="n">
        <v>48.8</v>
      </c>
      <c r="W900" s="26" t="n">
        <v>72.06</v>
      </c>
      <c r="X900" s="26">
        <f>ROUND(('Methodology &amp; Assumptions'!$B$5*V900) + ('Methodology &amp; Assumptions'!$B$6*W900), 2)</f>
        <v/>
      </c>
      <c r="Y900" s="28" t="n">
        <v>10.9</v>
      </c>
      <c r="Z900" s="11" t="inlineStr">
        <is>
          <t>Priority Tier 2 (Balanced Opportunity)</t>
        </is>
      </c>
    </row>
    <row r="901">
      <c r="A901" s="23" t="n">
        <v>3</v>
      </c>
      <c r="B901" s="23" t="n">
        <v>897</v>
      </c>
      <c r="C901" s="23" t="n">
        <v>2897</v>
      </c>
      <c r="D901" s="23" t="inlineStr">
        <is>
          <t>0304932026</t>
        </is>
      </c>
      <c r="E901" s="11" t="inlineStr">
        <is>
          <t>Region III (Central Luzon)</t>
        </is>
      </c>
      <c r="F901" s="11" t="inlineStr">
        <is>
          <t>Nueva Ecija</t>
        </is>
      </c>
      <c r="G901" s="11" t="inlineStr">
        <is>
          <t>Zaragoza</t>
        </is>
      </c>
      <c r="H901" s="11" t="inlineStr">
        <is>
          <t>Santo Rosario Old</t>
        </is>
      </c>
      <c r="I901" s="24" t="n">
        <v>15.440556</v>
      </c>
      <c r="J901" s="24" t="n">
        <v>120.78</v>
      </c>
      <c r="K901" s="23" t="inlineStr">
        <is>
          <t>R</t>
        </is>
      </c>
      <c r="L901" s="25" t="n">
        <v>3933</v>
      </c>
      <c r="M901" s="26" t="n">
        <v>3.5</v>
      </c>
      <c r="N901" s="25">
        <f>ROUND(L901/M901, 0)</f>
        <v/>
      </c>
      <c r="O901" s="25">
        <f>ROUND(N901*'Methodology &amp; Assumptions'!$B$7, 0)</f>
        <v/>
      </c>
      <c r="P901" s="23" t="inlineStr">
        <is>
          <t>Single Carrier (Band n50, 100MHz TDD)</t>
        </is>
      </c>
      <c r="Q901" s="27">
        <f>ROUNDUP(O901/'Methodology &amp; Assumptions'!$B$8, 0)</f>
        <v/>
      </c>
      <c r="R901" s="27" t="n">
        <v>1</v>
      </c>
      <c r="S901" s="26" t="n">
        <v>1.64</v>
      </c>
      <c r="T901" s="26" t="n">
        <v>0.6</v>
      </c>
      <c r="U901" s="11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26" t="n">
        <v>82.63</v>
      </c>
      <c r="W901" s="26" t="n">
        <v>38.21</v>
      </c>
      <c r="X901" s="26">
        <f>ROUND(('Methodology &amp; Assumptions'!$B$5*V901) + ('Methodology &amp; Assumptions'!$B$6*W901), 2)</f>
        <v/>
      </c>
      <c r="Y901" s="28" t="n">
        <v>8.300000000000001</v>
      </c>
      <c r="Z901" s="11" t="inlineStr">
        <is>
          <t>Priority Tier 2 (Balanced Opportunity)</t>
        </is>
      </c>
    </row>
    <row r="902">
      <c r="A902" s="23" t="n">
        <v>3</v>
      </c>
      <c r="B902" s="23" t="n">
        <v>898</v>
      </c>
      <c r="C902" s="23" t="n">
        <v>2898</v>
      </c>
      <c r="D902" s="23" t="inlineStr">
        <is>
          <t>0604517010</t>
        </is>
      </c>
      <c r="E902" s="11" t="inlineStr">
        <is>
          <t>Region VI (Western Visayas)</t>
        </is>
      </c>
      <c r="F902" s="11" t="inlineStr">
        <is>
          <t>Negros Occidental</t>
        </is>
      </c>
      <c r="G902" s="11" t="inlineStr">
        <is>
          <t>La Castellana</t>
        </is>
      </c>
      <c r="H902" s="11" t="inlineStr">
        <is>
          <t>Nato</t>
        </is>
      </c>
      <c r="I902" s="24" t="n">
        <v>10.31441</v>
      </c>
      <c r="J902" s="24" t="n">
        <v>122.988607</v>
      </c>
      <c r="K902" s="23" t="inlineStr">
        <is>
          <t>R</t>
        </is>
      </c>
      <c r="L902" s="25" t="n">
        <v>4431</v>
      </c>
      <c r="M902" s="26" t="n">
        <v>3.7</v>
      </c>
      <c r="N902" s="25">
        <f>ROUND(L902/M902, 0)</f>
        <v/>
      </c>
      <c r="O902" s="25">
        <f>ROUND(N902*'Methodology &amp; Assumptions'!$B$7, 0)</f>
        <v/>
      </c>
      <c r="P902" s="23" t="inlineStr">
        <is>
          <t>Single Carrier (Band n50, 100MHz TDD)</t>
        </is>
      </c>
      <c r="Q902" s="27">
        <f>ROUNDUP(O902/'Methodology &amp; Assumptions'!$B$8, 0)</f>
        <v/>
      </c>
      <c r="R902" s="27" t="n">
        <v>1</v>
      </c>
      <c r="S902" s="26" t="n">
        <v>3.53</v>
      </c>
      <c r="T902" s="26" t="n">
        <v>3.4</v>
      </c>
      <c r="U902" s="11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26" t="n">
        <v>75.92</v>
      </c>
      <c r="W902" s="26" t="n">
        <v>44.93</v>
      </c>
      <c r="X902" s="26">
        <f>ROUND(('Methodology &amp; Assumptions'!$B$5*V902) + ('Methodology &amp; Assumptions'!$B$6*W902), 2)</f>
        <v/>
      </c>
      <c r="Y902" s="28" t="n">
        <v>23.7</v>
      </c>
      <c r="Z902" s="11" t="inlineStr">
        <is>
          <t>Priority Tier 2 (Balanced Opportunity)</t>
        </is>
      </c>
    </row>
    <row r="903">
      <c r="A903" s="23" t="n">
        <v>3</v>
      </c>
      <c r="B903" s="23" t="n">
        <v>899</v>
      </c>
      <c r="C903" s="23" t="n">
        <v>2899</v>
      </c>
      <c r="D903" s="23" t="inlineStr">
        <is>
          <t>0201529001</t>
        </is>
      </c>
      <c r="E903" s="11" t="inlineStr">
        <is>
          <t>Region II (Cagayan Valley)</t>
        </is>
      </c>
      <c r="F903" s="11" t="inlineStr">
        <is>
          <t>Cagayan</t>
        </is>
      </c>
      <c r="G903" s="11" t="inlineStr">
        <is>
          <t>Tuguegarao City</t>
        </is>
      </c>
      <c r="H903" s="11" t="inlineStr">
        <is>
          <t>Annafunan East</t>
        </is>
      </c>
      <c r="I903" s="24" t="n">
        <v>17.384</v>
      </c>
      <c r="J903" s="24" t="n">
        <v>121.432</v>
      </c>
      <c r="K903" s="23" t="inlineStr">
        <is>
          <t>R</t>
        </is>
      </c>
      <c r="L903" s="25" t="n">
        <v>5084</v>
      </c>
      <c r="M903" s="26" t="n">
        <v>3.9</v>
      </c>
      <c r="N903" s="25">
        <f>ROUND(L903/M903, 0)</f>
        <v/>
      </c>
      <c r="O903" s="25">
        <f>ROUND(N903*'Methodology &amp; Assumptions'!$B$7, 0)</f>
        <v/>
      </c>
      <c r="P903" s="23" t="inlineStr">
        <is>
          <t>Single Carrier (Band n50, 100MHz TDD)</t>
        </is>
      </c>
      <c r="Q903" s="27">
        <f>ROUNDUP(O903/'Methodology &amp; Assumptions'!$B$8, 0)</f>
        <v/>
      </c>
      <c r="R903" s="27" t="n">
        <v>1</v>
      </c>
      <c r="S903" s="26" t="n">
        <v>3.39</v>
      </c>
      <c r="T903" s="26" t="n">
        <v>2.51</v>
      </c>
      <c r="U903" s="11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26" t="n">
        <v>73.8</v>
      </c>
      <c r="W903" s="26" t="n">
        <v>47.04</v>
      </c>
      <c r="X903" s="26">
        <f>ROUND(('Methodology &amp; Assumptions'!$B$5*V903) + ('Methodology &amp; Assumptions'!$B$6*W903), 2)</f>
        <v/>
      </c>
      <c r="Y903" s="28" t="n">
        <v>8.300000000000001</v>
      </c>
      <c r="Z903" s="11" t="inlineStr">
        <is>
          <t>Priority Tier 2 (Balanced Opportunity)</t>
        </is>
      </c>
    </row>
    <row r="904">
      <c r="A904" s="23" t="n">
        <v>3</v>
      </c>
      <c r="B904" s="23" t="n">
        <v>900</v>
      </c>
      <c r="C904" s="23" t="n">
        <v>2900</v>
      </c>
      <c r="D904" s="23" t="inlineStr">
        <is>
          <t>0103311024</t>
        </is>
      </c>
      <c r="E904" s="11" t="inlineStr">
        <is>
          <t>Region I (Ilocos Region)</t>
        </is>
      </c>
      <c r="F904" s="11" t="inlineStr">
        <is>
          <t>La Union</t>
        </is>
      </c>
      <c r="G904" s="11" t="inlineStr">
        <is>
          <t>Naguilian</t>
        </is>
      </c>
      <c r="H904" s="11" t="inlineStr">
        <is>
          <t>Lioac Sur</t>
        </is>
      </c>
      <c r="I904" s="24" t="n">
        <v>16.539667</v>
      </c>
      <c r="J904" s="24" t="n">
        <v>120.402632</v>
      </c>
      <c r="K904" s="23" t="inlineStr">
        <is>
          <t>R</t>
        </is>
      </c>
      <c r="L904" s="25" t="n">
        <v>1295</v>
      </c>
      <c r="M904" s="26" t="n">
        <v>3.7</v>
      </c>
      <c r="N904" s="25">
        <f>ROUND(L904/M904, 0)</f>
        <v/>
      </c>
      <c r="O904" s="25">
        <f>ROUND(N904*'Methodology &amp; Assumptions'!$B$7, 0)</f>
        <v/>
      </c>
      <c r="P904" s="23" t="inlineStr">
        <is>
          <t>Single Carrier (Band n50, 100MHz TDD)</t>
        </is>
      </c>
      <c r="Q904" s="27">
        <f>ROUNDUP(O904/'Methodology &amp; Assumptions'!$B$8, 0)</f>
        <v/>
      </c>
      <c r="R904" s="27" t="n">
        <v>1</v>
      </c>
      <c r="S904" s="26" t="n">
        <v>1.27</v>
      </c>
      <c r="T904" s="26" t="n">
        <v>1.11</v>
      </c>
      <c r="U904" s="11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26" t="n">
        <v>68.75</v>
      </c>
      <c r="W904" s="26" t="n">
        <v>52.09</v>
      </c>
      <c r="X904" s="26">
        <f>ROUND(('Methodology &amp; Assumptions'!$B$5*V904) + ('Methodology &amp; Assumptions'!$B$6*W904), 2)</f>
        <v/>
      </c>
      <c r="Y904" s="28" t="n">
        <v>8.300000000000001</v>
      </c>
      <c r="Z904" s="11" t="inlineStr">
        <is>
          <t>Priority Tier 2 (Balanced Opportunity)</t>
        </is>
      </c>
    </row>
    <row r="905">
      <c r="A905" s="23" t="n">
        <v>3</v>
      </c>
      <c r="B905" s="23" t="n">
        <v>901</v>
      </c>
      <c r="C905" s="23" t="n">
        <v>2901</v>
      </c>
      <c r="D905" s="23" t="inlineStr">
        <is>
          <t>1907004002</t>
        </is>
      </c>
      <c r="E905" s="11" t="inlineStr">
        <is>
          <t>Bangsamoro Autonomous Region In Muslim Mindanao (BARMM)</t>
        </is>
      </c>
      <c r="F905" s="11" t="inlineStr">
        <is>
          <t>Tawi-Tawi</t>
        </is>
      </c>
      <c r="G905" s="11" t="inlineStr">
        <is>
          <t>Simunul</t>
        </is>
      </c>
      <c r="H905" s="11" t="inlineStr">
        <is>
          <t>Manuk Mangkaw</t>
        </is>
      </c>
      <c r="I905" s="24" t="n">
        <v>4.811697</v>
      </c>
      <c r="J905" s="24" t="n">
        <v>119.844382</v>
      </c>
      <c r="K905" s="23" t="inlineStr">
        <is>
          <t>R</t>
        </is>
      </c>
      <c r="L905" s="25" t="n">
        <v>4168</v>
      </c>
      <c r="M905" s="26" t="n">
        <v>5.8</v>
      </c>
      <c r="N905" s="25">
        <f>ROUND(L905/M905, 0)</f>
        <v/>
      </c>
      <c r="O905" s="25">
        <f>ROUND(N905*'Methodology &amp; Assumptions'!$B$7, 0)</f>
        <v/>
      </c>
      <c r="P905" s="23" t="inlineStr">
        <is>
          <t>Single Carrier (Band n50, 100MHz TDD)</t>
        </is>
      </c>
      <c r="Q905" s="27">
        <f>ROUNDUP(O905/'Methodology &amp; Assumptions'!$B$8, 0)</f>
        <v/>
      </c>
      <c r="R905" s="27" t="n">
        <v>1</v>
      </c>
      <c r="S905" s="26" t="n">
        <v>999</v>
      </c>
      <c r="T905" s="26" t="n">
        <v>999</v>
      </c>
      <c r="U905" s="11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26" t="n">
        <v>54.19</v>
      </c>
      <c r="W905" s="26" t="n">
        <v>66.66</v>
      </c>
      <c r="X905" s="26">
        <f>ROUND(('Methodology &amp; Assumptions'!$B$5*V905) + ('Methodology &amp; Assumptions'!$B$6*W905), 2)</f>
        <v/>
      </c>
      <c r="Y905" s="28" t="n">
        <v>11</v>
      </c>
      <c r="Z905" s="11" t="inlineStr">
        <is>
          <t>Priority Tier 2 (Balanced Opportunity)</t>
        </is>
      </c>
    </row>
    <row r="906">
      <c r="A906" s="23" t="n">
        <v>3</v>
      </c>
      <c r="B906" s="23" t="n">
        <v>902</v>
      </c>
      <c r="C906" s="23" t="n">
        <v>2902</v>
      </c>
      <c r="D906" s="23" t="inlineStr">
        <is>
          <t>0301407004</t>
        </is>
      </c>
      <c r="E906" s="11" t="inlineStr">
        <is>
          <t>Region III (Central Luzon)</t>
        </is>
      </c>
      <c r="F906" s="11" t="inlineStr">
        <is>
          <t>Bulacan</t>
        </is>
      </c>
      <c r="G906" s="11" t="inlineStr">
        <is>
          <t>Calumpit</t>
        </is>
      </c>
      <c r="H906" s="11" t="inlineStr">
        <is>
          <t>Buguion</t>
        </is>
      </c>
      <c r="I906" s="24" t="n">
        <v>14.897917</v>
      </c>
      <c r="J906" s="24" t="n">
        <v>120.792606</v>
      </c>
      <c r="K906" s="23" t="inlineStr">
        <is>
          <t>R</t>
        </is>
      </c>
      <c r="L906" s="25" t="n">
        <v>4015</v>
      </c>
      <c r="M906" s="26" t="n">
        <v>3.5</v>
      </c>
      <c r="N906" s="25">
        <f>ROUND(L906/M906, 0)</f>
        <v/>
      </c>
      <c r="O906" s="25">
        <f>ROUND(N906*'Methodology &amp; Assumptions'!$B$7, 0)</f>
        <v/>
      </c>
      <c r="P906" s="23" t="inlineStr">
        <is>
          <t>Single Carrier (Band n50, 100MHz TDD)</t>
        </is>
      </c>
      <c r="Q906" s="27">
        <f>ROUNDUP(O906/'Methodology &amp; Assumptions'!$B$8, 0)</f>
        <v/>
      </c>
      <c r="R906" s="27" t="n">
        <v>1</v>
      </c>
      <c r="S906" s="26" t="n">
        <v>2.83</v>
      </c>
      <c r="T906" s="26" t="n">
        <v>0.89</v>
      </c>
      <c r="U906" s="11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26" t="n">
        <v>78.72</v>
      </c>
      <c r="W906" s="26" t="n">
        <v>42.11</v>
      </c>
      <c r="X906" s="26">
        <f>ROUND(('Methodology &amp; Assumptions'!$B$5*V906) + ('Methodology &amp; Assumptions'!$B$6*W906), 2)</f>
        <v/>
      </c>
      <c r="Y906" s="28" t="n">
        <v>8.300000000000001</v>
      </c>
      <c r="Z906" s="11" t="inlineStr">
        <is>
          <t>Priority Tier 2 (Balanced Opportunity)</t>
        </is>
      </c>
    </row>
    <row r="907">
      <c r="A907" s="23" t="n">
        <v>3</v>
      </c>
      <c r="B907" s="23" t="n">
        <v>903</v>
      </c>
      <c r="C907" s="23" t="n">
        <v>2903</v>
      </c>
      <c r="D907" s="23" t="inlineStr">
        <is>
          <t>0201502003</t>
        </is>
      </c>
      <c r="E907" s="11" t="inlineStr">
        <is>
          <t>Region II (Cagayan Valley)</t>
        </is>
      </c>
      <c r="F907" s="11" t="inlineStr">
        <is>
          <t>Cagayan</t>
        </is>
      </c>
      <c r="G907" s="11" t="inlineStr">
        <is>
          <t>Alcala</t>
        </is>
      </c>
      <c r="H907" s="11" t="inlineStr">
        <is>
          <t>Afusing Daga</t>
        </is>
      </c>
      <c r="I907" s="24" t="n">
        <v>17.854087</v>
      </c>
      <c r="J907" s="24" t="n">
        <v>121.62862</v>
      </c>
      <c r="K907" s="23" t="inlineStr">
        <is>
          <t>R</t>
        </is>
      </c>
      <c r="L907" s="25" t="n">
        <v>3236</v>
      </c>
      <c r="M907" s="26" t="n">
        <v>3.9</v>
      </c>
      <c r="N907" s="25">
        <f>ROUND(L907/M907, 0)</f>
        <v/>
      </c>
      <c r="O907" s="25">
        <f>ROUND(N907*'Methodology &amp; Assumptions'!$B$7, 0)</f>
        <v/>
      </c>
      <c r="P907" s="23" t="inlineStr">
        <is>
          <t>Single Carrier (Band n50, 100MHz TDD)</t>
        </is>
      </c>
      <c r="Q907" s="27">
        <f>ROUNDUP(O907/'Methodology &amp; Assumptions'!$B$8, 0)</f>
        <v/>
      </c>
      <c r="R907" s="27" t="n">
        <v>1</v>
      </c>
      <c r="S907" s="26" t="n">
        <v>6.35</v>
      </c>
      <c r="T907" s="26" t="n">
        <v>5.57</v>
      </c>
      <c r="U907" s="11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26" t="n">
        <v>68.61</v>
      </c>
      <c r="W907" s="26" t="n">
        <v>52.2</v>
      </c>
      <c r="X907" s="26">
        <f>ROUND(('Methodology &amp; Assumptions'!$B$5*V907) + ('Methodology &amp; Assumptions'!$B$6*W907), 2)</f>
        <v/>
      </c>
      <c r="Y907" s="28" t="n">
        <v>8.300000000000001</v>
      </c>
      <c r="Z907" s="11" t="inlineStr">
        <is>
          <t>Priority Tier 2 (Balanced Opportunity)</t>
        </is>
      </c>
    </row>
    <row r="908">
      <c r="A908" s="23" t="n">
        <v>3</v>
      </c>
      <c r="B908" s="23" t="n">
        <v>904</v>
      </c>
      <c r="C908" s="23" t="n">
        <v>2904</v>
      </c>
      <c r="D908" s="23" t="inlineStr">
        <is>
          <t>1380606061</t>
        </is>
      </c>
      <c r="E908" s="11" t="inlineStr">
        <is>
          <t>National Capital Region (NCR)</t>
        </is>
      </c>
      <c r="F908" s="11" t="inlineStr">
        <is>
          <t>First District (Not a Province)</t>
        </is>
      </c>
      <c r="G908" s="11" t="inlineStr">
        <is>
          <t>City of Manila</t>
        </is>
      </c>
      <c r="H908" s="11" t="inlineStr">
        <is>
          <t>Barangay 455</t>
        </is>
      </c>
      <c r="I908" s="24" t="n">
        <v>14.60933</v>
      </c>
      <c r="J908" s="24" t="n">
        <v>120.995698</v>
      </c>
      <c r="K908" s="23" t="inlineStr">
        <is>
          <t>U</t>
        </is>
      </c>
      <c r="L908" s="25" t="n">
        <v>1287</v>
      </c>
      <c r="M908" s="26" t="n">
        <v>3.94</v>
      </c>
      <c r="N908" s="25">
        <f>ROUND(L908/M908, 0)</f>
        <v/>
      </c>
      <c r="O908" s="25">
        <f>ROUND(N908*'Methodology &amp; Assumptions'!$B$7, 0)</f>
        <v/>
      </c>
      <c r="P908" s="23" t="inlineStr">
        <is>
          <t>Single Carrier (Band n50, 100MHz TDD)</t>
        </is>
      </c>
      <c r="Q908" s="27">
        <f>ROUNDUP(O908/'Methodology &amp; Assumptions'!$B$8, 0)</f>
        <v/>
      </c>
      <c r="R908" s="27" t="n">
        <v>1</v>
      </c>
      <c r="S908" s="26" t="n">
        <v>0.84</v>
      </c>
      <c r="T908" s="26" t="n">
        <v>0.29</v>
      </c>
      <c r="U908" s="11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26" t="n">
        <v>51.59</v>
      </c>
      <c r="W908" s="26" t="n">
        <v>69.23</v>
      </c>
      <c r="X908" s="26">
        <f>ROUND(('Methodology &amp; Assumptions'!$B$5*V908) + ('Methodology &amp; Assumptions'!$B$6*W908), 2)</f>
        <v/>
      </c>
      <c r="Y908" s="28" t="n">
        <v>10.9</v>
      </c>
      <c r="Z908" s="11" t="inlineStr">
        <is>
          <t>Priority Tier 2 (Balanced Opportunity)</t>
        </is>
      </c>
    </row>
    <row r="909">
      <c r="A909" s="23" t="n">
        <v>3</v>
      </c>
      <c r="B909" s="23" t="n">
        <v>905</v>
      </c>
      <c r="C909" s="23" t="n">
        <v>2905</v>
      </c>
      <c r="D909" s="23" t="inlineStr">
        <is>
          <t>1380601175</t>
        </is>
      </c>
      <c r="E909" s="11" t="inlineStr">
        <is>
          <t>National Capital Region (NCR)</t>
        </is>
      </c>
      <c r="F909" s="11" t="inlineStr">
        <is>
          <t>First District (Not a Province)</t>
        </is>
      </c>
      <c r="G909" s="11" t="inlineStr">
        <is>
          <t>City of Manila</t>
        </is>
      </c>
      <c r="H909" s="11" t="inlineStr">
        <is>
          <t>Barangay 175</t>
        </is>
      </c>
      <c r="I909" s="24" t="n">
        <v>14.628964</v>
      </c>
      <c r="J909" s="24" t="n">
        <v>120.970845</v>
      </c>
      <c r="K909" s="23" t="inlineStr">
        <is>
          <t>U</t>
        </is>
      </c>
      <c r="L909" s="25" t="n">
        <v>996</v>
      </c>
      <c r="M909" s="26" t="n">
        <v>3.24</v>
      </c>
      <c r="N909" s="25">
        <f>ROUND(L909/M909, 0)</f>
        <v/>
      </c>
      <c r="O909" s="25">
        <f>ROUND(N909*'Methodology &amp; Assumptions'!$B$7, 0)</f>
        <v/>
      </c>
      <c r="P909" s="23" t="inlineStr">
        <is>
          <t>Single Carrier (Band n50, 100MHz TDD)</t>
        </is>
      </c>
      <c r="Q909" s="27">
        <f>ROUNDUP(O909/'Methodology &amp; Assumptions'!$B$8, 0)</f>
        <v/>
      </c>
      <c r="R909" s="27" t="n">
        <v>1</v>
      </c>
      <c r="S909" s="26" t="n">
        <v>0.36</v>
      </c>
      <c r="T909" s="26" t="n">
        <v>0.34</v>
      </c>
      <c r="U909" s="11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26" t="n">
        <v>50.95</v>
      </c>
      <c r="W909" s="26" t="n">
        <v>69.88</v>
      </c>
      <c r="X909" s="26">
        <f>ROUND(('Methodology &amp; Assumptions'!$B$5*V909) + ('Methodology &amp; Assumptions'!$B$6*W909), 2)</f>
        <v/>
      </c>
      <c r="Y909" s="28" t="n">
        <v>10.9</v>
      </c>
      <c r="Z909" s="11" t="inlineStr">
        <is>
          <t>Priority Tier 2 (Balanced Opportunity)</t>
        </is>
      </c>
    </row>
    <row r="910">
      <c r="A910" s="23" t="n">
        <v>3</v>
      </c>
      <c r="B910" s="23" t="n">
        <v>906</v>
      </c>
      <c r="C910" s="23" t="n">
        <v>2906</v>
      </c>
      <c r="D910" s="23" t="inlineStr">
        <is>
          <t>0304903039</t>
        </is>
      </c>
      <c r="E910" s="11" t="inlineStr">
        <is>
          <t>Region III (Central Luzon)</t>
        </is>
      </c>
      <c r="F910" s="11" t="inlineStr">
        <is>
          <t>Nueva Ecija</t>
        </is>
      </c>
      <c r="G910" s="11" t="inlineStr">
        <is>
          <t>City of Cabanatuan</t>
        </is>
      </c>
      <c r="H910" s="11" t="inlineStr">
        <is>
          <t>Isla</t>
        </is>
      </c>
      <c r="I910" s="24" t="n">
        <v>15.585783</v>
      </c>
      <c r="J910" s="24" t="n">
        <v>120.924577</v>
      </c>
      <c r="K910" s="23" t="inlineStr">
        <is>
          <t>R</t>
        </is>
      </c>
      <c r="L910" s="25" t="n">
        <v>2550</v>
      </c>
      <c r="M910" s="26" t="n">
        <v>3.5</v>
      </c>
      <c r="N910" s="25">
        <f>ROUND(L910/M910, 0)</f>
        <v/>
      </c>
      <c r="O910" s="25">
        <f>ROUND(N910*'Methodology &amp; Assumptions'!$B$7, 0)</f>
        <v/>
      </c>
      <c r="P910" s="23" t="inlineStr">
        <is>
          <t>Single Carrier (Band n50, 100MHz TDD)</t>
        </is>
      </c>
      <c r="Q910" s="27">
        <f>ROUNDUP(O910/'Methodology &amp; Assumptions'!$B$8, 0)</f>
        <v/>
      </c>
      <c r="R910" s="27" t="n">
        <v>1</v>
      </c>
      <c r="S910" s="26" t="n">
        <v>0.71</v>
      </c>
      <c r="T910" s="26" t="n">
        <v>0.52</v>
      </c>
      <c r="U910" s="11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26" t="n">
        <v>82.75</v>
      </c>
      <c r="W910" s="26" t="n">
        <v>38.05</v>
      </c>
      <c r="X910" s="26">
        <f>ROUND(('Methodology &amp; Assumptions'!$B$5*V910) + ('Methodology &amp; Assumptions'!$B$6*W910), 2)</f>
        <v/>
      </c>
      <c r="Y910" s="28" t="n">
        <v>8.300000000000001</v>
      </c>
      <c r="Z910" s="11" t="inlineStr">
        <is>
          <t>Priority Tier 2 (Balanced Opportunity)</t>
        </is>
      </c>
    </row>
    <row r="911">
      <c r="A911" s="23" t="n">
        <v>3</v>
      </c>
      <c r="B911" s="23" t="n">
        <v>907</v>
      </c>
      <c r="C911" s="23" t="n">
        <v>2907</v>
      </c>
      <c r="D911" s="23" t="inlineStr">
        <is>
          <t>0405806014</t>
        </is>
      </c>
      <c r="E911" s="11" t="inlineStr">
        <is>
          <t>Region IV-A (CALABARZON)</t>
        </is>
      </c>
      <c r="F911" s="11" t="inlineStr">
        <is>
          <t>Rizal</t>
        </is>
      </c>
      <c r="G911" s="11" t="inlineStr">
        <is>
          <t>Cardona</t>
        </is>
      </c>
      <c r="H911" s="11" t="inlineStr">
        <is>
          <t>Looc</t>
        </is>
      </c>
      <c r="I911" s="24" t="n">
        <v>14.479812</v>
      </c>
      <c r="J911" s="24" t="n">
        <v>121.223784</v>
      </c>
      <c r="K911" s="23" t="inlineStr">
        <is>
          <t>U</t>
        </is>
      </c>
      <c r="L911" s="25" t="n">
        <v>9929</v>
      </c>
      <c r="M911" s="26" t="n">
        <v>3.6</v>
      </c>
      <c r="N911" s="25">
        <f>ROUND(L911/M911, 0)</f>
        <v/>
      </c>
      <c r="O911" s="25">
        <f>ROUND(N911*'Methodology &amp; Assumptions'!$B$7, 0)</f>
        <v/>
      </c>
      <c r="P911" s="23" t="inlineStr">
        <is>
          <t>Single Carrier (Band n50, 100MHz TDD)</t>
        </is>
      </c>
      <c r="Q911" s="27">
        <f>ROUNDUP(O911/'Methodology &amp; Assumptions'!$B$8, 0)</f>
        <v/>
      </c>
      <c r="R911" s="27" t="n">
        <v>1</v>
      </c>
      <c r="S911" s="26" t="n">
        <v>0.93</v>
      </c>
      <c r="T911" s="26" t="n">
        <v>0.14</v>
      </c>
      <c r="U911" s="11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26" t="n">
        <v>77.92</v>
      </c>
      <c r="W911" s="26" t="n">
        <v>42.89</v>
      </c>
      <c r="X911" s="26">
        <f>ROUND(('Methodology &amp; Assumptions'!$B$5*V911) + ('Methodology &amp; Assumptions'!$B$6*W911), 2)</f>
        <v/>
      </c>
      <c r="Y911" s="28" t="n">
        <v>7.2</v>
      </c>
      <c r="Z911" s="11" t="inlineStr">
        <is>
          <t>Priority Tier 2 (Balanced Opportunity)</t>
        </is>
      </c>
    </row>
    <row r="912">
      <c r="A912" s="23" t="n">
        <v>3</v>
      </c>
      <c r="B912" s="23" t="n">
        <v>908</v>
      </c>
      <c r="C912" s="23" t="n">
        <v>2908</v>
      </c>
      <c r="D912" s="23" t="inlineStr">
        <is>
          <t>0300807020</t>
        </is>
      </c>
      <c r="E912" s="11" t="inlineStr">
        <is>
          <t>Region III (Central Luzon)</t>
        </is>
      </c>
      <c r="F912" s="11" t="inlineStr">
        <is>
          <t>Bataan</t>
        </is>
      </c>
      <c r="G912" s="11" t="inlineStr">
        <is>
          <t>Mariveles</t>
        </is>
      </c>
      <c r="H912" s="11" t="inlineStr">
        <is>
          <t>Townsite</t>
        </is>
      </c>
      <c r="I912" s="24" t="n">
        <v>14.559595</v>
      </c>
      <c r="J912" s="24" t="n">
        <v>120.593375</v>
      </c>
      <c r="K912" s="23" t="inlineStr">
        <is>
          <t>U</t>
        </is>
      </c>
      <c r="L912" s="25" t="n">
        <v>7524</v>
      </c>
      <c r="M912" s="26" t="n">
        <v>3.6</v>
      </c>
      <c r="N912" s="25">
        <f>ROUND(L912/M912, 0)</f>
        <v/>
      </c>
      <c r="O912" s="25">
        <f>ROUND(N912*'Methodology &amp; Assumptions'!$B$7, 0)</f>
        <v/>
      </c>
      <c r="P912" s="23" t="inlineStr">
        <is>
          <t>Single Carrier (Band n50, 100MHz TDD)</t>
        </is>
      </c>
      <c r="Q912" s="27">
        <f>ROUNDUP(O912/'Methodology &amp; Assumptions'!$B$8, 0)</f>
        <v/>
      </c>
      <c r="R912" s="27" t="n">
        <v>1</v>
      </c>
      <c r="S912" s="26" t="n">
        <v>1.52</v>
      </c>
      <c r="T912" s="26" t="n">
        <v>0.21</v>
      </c>
      <c r="U912" s="11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26" t="n">
        <v>75.86</v>
      </c>
      <c r="W912" s="26" t="n">
        <v>44.93</v>
      </c>
      <c r="X912" s="26">
        <f>ROUND(('Methodology &amp; Assumptions'!$B$5*V912) + ('Methodology &amp; Assumptions'!$B$6*W912), 2)</f>
        <v/>
      </c>
      <c r="Y912" s="28" t="n">
        <v>8.300000000000001</v>
      </c>
      <c r="Z912" s="11" t="inlineStr">
        <is>
          <t>Priority Tier 2 (Balanced Opportunity)</t>
        </is>
      </c>
    </row>
    <row r="913">
      <c r="A913" s="23" t="n">
        <v>3</v>
      </c>
      <c r="B913" s="23" t="n">
        <v>909</v>
      </c>
      <c r="C913" s="23" t="n">
        <v>2909</v>
      </c>
      <c r="D913" s="23" t="inlineStr">
        <is>
          <t>0501603031</t>
        </is>
      </c>
      <c r="E913" s="11" t="inlineStr">
        <is>
          <t>Region V (Bicol Region)</t>
        </is>
      </c>
      <c r="F913" s="11" t="inlineStr">
        <is>
          <t>Camarines Norte</t>
        </is>
      </c>
      <c r="G913" s="11" t="inlineStr">
        <is>
          <t>Daet</t>
        </is>
      </c>
      <c r="H913" s="11" t="inlineStr">
        <is>
          <t>Barangay VIII</t>
        </is>
      </c>
      <c r="I913" s="24" t="n">
        <v>14.11367</v>
      </c>
      <c r="J913" s="24" t="n">
        <v>122.95801</v>
      </c>
      <c r="K913" s="23" t="inlineStr">
        <is>
          <t>U</t>
        </is>
      </c>
      <c r="L913" s="25" t="n">
        <v>2819</v>
      </c>
      <c r="M913" s="26" t="n">
        <v>4</v>
      </c>
      <c r="N913" s="25">
        <f>ROUND(L913/M913, 0)</f>
        <v/>
      </c>
      <c r="O913" s="25">
        <f>ROUND(N913*'Methodology &amp; Assumptions'!$B$7, 0)</f>
        <v/>
      </c>
      <c r="P913" s="23" t="inlineStr">
        <is>
          <t>Single Carrier (Band n50, 100MHz TDD)</t>
        </is>
      </c>
      <c r="Q913" s="27">
        <f>ROUNDUP(O913/'Methodology &amp; Assumptions'!$B$8, 0)</f>
        <v/>
      </c>
      <c r="R913" s="27" t="n">
        <v>1</v>
      </c>
      <c r="S913" s="26" t="n">
        <v>0.47</v>
      </c>
      <c r="T913" s="26" t="n">
        <v>1.47</v>
      </c>
      <c r="U913" s="11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26" t="n">
        <v>75.75</v>
      </c>
      <c r="W913" s="26" t="n">
        <v>45.05</v>
      </c>
      <c r="X913" s="26">
        <f>ROUND(('Methodology &amp; Assumptions'!$B$5*V913) + ('Methodology &amp; Assumptions'!$B$6*W913), 2)</f>
        <v/>
      </c>
      <c r="Y913" s="28" t="n">
        <v>23.7</v>
      </c>
      <c r="Z913" s="11" t="inlineStr">
        <is>
          <t>Priority Tier 2 (Balanced Opportunity)</t>
        </is>
      </c>
    </row>
    <row r="914">
      <c r="A914" s="23" t="n">
        <v>3</v>
      </c>
      <c r="B914" s="23" t="n">
        <v>910</v>
      </c>
      <c r="C914" s="23" t="n">
        <v>2910</v>
      </c>
      <c r="D914" s="23" t="inlineStr">
        <is>
          <t>0401009022</t>
        </is>
      </c>
      <c r="E914" s="11" t="inlineStr">
        <is>
          <t>Region IV-A (CALABARZON)</t>
        </is>
      </c>
      <c r="F914" s="11" t="inlineStr">
        <is>
          <t>Batangas</t>
        </is>
      </c>
      <c r="G914" s="11" t="inlineStr">
        <is>
          <t>Cuenca</t>
        </is>
      </c>
      <c r="H914" s="11" t="inlineStr">
        <is>
          <t>Barangay 8</t>
        </is>
      </c>
      <c r="I914" s="24" t="n">
        <v>13.903434</v>
      </c>
      <c r="J914" s="24" t="n">
        <v>121.04641</v>
      </c>
      <c r="K914" s="23" t="inlineStr">
        <is>
          <t>R</t>
        </is>
      </c>
      <c r="L914" s="25" t="n">
        <v>1738</v>
      </c>
      <c r="M914" s="26" t="n">
        <v>3.6</v>
      </c>
      <c r="N914" s="25">
        <f>ROUND(L914/M914, 0)</f>
        <v/>
      </c>
      <c r="O914" s="25">
        <f>ROUND(N914*'Methodology &amp; Assumptions'!$B$7, 0)</f>
        <v/>
      </c>
      <c r="P914" s="23" t="inlineStr">
        <is>
          <t>Single Carrier (Band n50, 100MHz TDD)</t>
        </is>
      </c>
      <c r="Q914" s="27">
        <f>ROUNDUP(O914/'Methodology &amp; Assumptions'!$B$8, 0)</f>
        <v/>
      </c>
      <c r="R914" s="27" t="n">
        <v>1</v>
      </c>
      <c r="S914" s="26" t="n">
        <v>0.65</v>
      </c>
      <c r="T914" s="26" t="n">
        <v>0.77</v>
      </c>
      <c r="U914" s="11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26" t="n">
        <v>74.63</v>
      </c>
      <c r="W914" s="26" t="n">
        <v>46.16</v>
      </c>
      <c r="X914" s="26">
        <f>ROUND(('Methodology &amp; Assumptions'!$B$5*V914) + ('Methodology &amp; Assumptions'!$B$6*W914), 2)</f>
        <v/>
      </c>
      <c r="Y914" s="28" t="n">
        <v>7.2</v>
      </c>
      <c r="Z914" s="11" t="inlineStr">
        <is>
          <t>Priority Tier 2 (Balanced Opportunity)</t>
        </is>
      </c>
    </row>
    <row r="915">
      <c r="A915" s="23" t="n">
        <v>3</v>
      </c>
      <c r="B915" s="23" t="n">
        <v>911</v>
      </c>
      <c r="C915" s="23" t="n">
        <v>2911</v>
      </c>
      <c r="D915" s="23" t="inlineStr">
        <is>
          <t>1381100099</t>
        </is>
      </c>
      <c r="E915" s="11" t="inlineStr">
        <is>
          <t>National Capital Region (NCR)</t>
        </is>
      </c>
      <c r="F915" s="11" t="inlineStr">
        <is>
          <t>Fourth District (Not a Province)</t>
        </is>
      </c>
      <c r="G915" s="11" t="inlineStr">
        <is>
          <t>Pasay City</t>
        </is>
      </c>
      <c r="H915" s="11" t="inlineStr">
        <is>
          <t>Barangay 99</t>
        </is>
      </c>
      <c r="I915" s="24" t="n">
        <v>14.540911</v>
      </c>
      <c r="J915" s="24" t="n">
        <v>121.00278</v>
      </c>
      <c r="K915" s="23" t="inlineStr">
        <is>
          <t>U</t>
        </is>
      </c>
      <c r="L915" s="25" t="n">
        <v>1067</v>
      </c>
      <c r="M915" s="26" t="n">
        <v>3.33</v>
      </c>
      <c r="N915" s="25">
        <f>ROUND(L915/M915, 0)</f>
        <v/>
      </c>
      <c r="O915" s="25">
        <f>ROUND(N915*'Methodology &amp; Assumptions'!$B$7, 0)</f>
        <v/>
      </c>
      <c r="P915" s="23" t="inlineStr">
        <is>
          <t>Single Carrier (Band n50, 100MHz TDD)</t>
        </is>
      </c>
      <c r="Q915" s="27">
        <f>ROUNDUP(O915/'Methodology &amp; Assumptions'!$B$8, 0)</f>
        <v/>
      </c>
      <c r="R915" s="27" t="n">
        <v>1</v>
      </c>
      <c r="S915" s="26" t="n">
        <v>0.98</v>
      </c>
      <c r="T915" s="26" t="n">
        <v>0.29</v>
      </c>
      <c r="U915" s="11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26" t="n">
        <v>50.82</v>
      </c>
      <c r="W915" s="26" t="n">
        <v>69.98</v>
      </c>
      <c r="X915" s="26">
        <f>ROUND(('Methodology &amp; Assumptions'!$B$5*V915) + ('Methodology &amp; Assumptions'!$B$6*W915), 2)</f>
        <v/>
      </c>
      <c r="Y915" s="28" t="n">
        <v>10.9</v>
      </c>
      <c r="Z915" s="11" t="inlineStr">
        <is>
          <t>Priority Tier 2 (Balanced Opportunity)</t>
        </is>
      </c>
    </row>
    <row r="916">
      <c r="A916" s="23" t="n">
        <v>3</v>
      </c>
      <c r="B916" s="23" t="n">
        <v>912</v>
      </c>
      <c r="C916" s="23" t="n">
        <v>2912</v>
      </c>
      <c r="D916" s="23" t="inlineStr">
        <is>
          <t>1004312008</t>
        </is>
      </c>
      <c r="E916" s="11" t="inlineStr">
        <is>
          <t>Region X (Northern Mindanao)</t>
        </is>
      </c>
      <c r="F916" s="11" t="inlineStr">
        <is>
          <t>Misamis Oriental</t>
        </is>
      </c>
      <c r="G916" s="11" t="inlineStr">
        <is>
          <t>Kinoguitan</t>
        </is>
      </c>
      <c r="H916" s="11" t="inlineStr">
        <is>
          <t>Kagumahan</t>
        </is>
      </c>
      <c r="I916" s="24" t="n">
        <v>8.9061</v>
      </c>
      <c r="J916" s="24" t="n">
        <v>124.8593</v>
      </c>
      <c r="K916" s="23" t="inlineStr">
        <is>
          <t>R</t>
        </is>
      </c>
      <c r="L916" s="25" t="n">
        <v>250</v>
      </c>
      <c r="M916" s="26" t="n">
        <v>3.9</v>
      </c>
      <c r="N916" s="25">
        <f>ROUND(L916/M916, 0)</f>
        <v/>
      </c>
      <c r="O916" s="25">
        <f>ROUND(N916*'Methodology &amp; Assumptions'!$B$7, 0)</f>
        <v/>
      </c>
      <c r="P916" s="23" t="inlineStr">
        <is>
          <t>Single Carrier (Band n50, 100MHz TDD)</t>
        </is>
      </c>
      <c r="Q916" s="27">
        <f>ROUNDUP(O916/'Methodology &amp; Assumptions'!$B$8, 0)</f>
        <v/>
      </c>
      <c r="R916" s="27" t="n">
        <v>1</v>
      </c>
      <c r="S916" s="26" t="n">
        <v>8.220000000000001</v>
      </c>
      <c r="T916" s="26" t="n">
        <v>7.92</v>
      </c>
      <c r="U916" s="11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26" t="n">
        <v>45.95</v>
      </c>
      <c r="W916" s="26" t="n">
        <v>74.84999999999999</v>
      </c>
      <c r="X916" s="26">
        <f>ROUND(('Methodology &amp; Assumptions'!$B$5*V916) + ('Methodology &amp; Assumptions'!$B$6*W916), 2)</f>
        <v/>
      </c>
      <c r="Y916" s="28" t="n">
        <v>17.4</v>
      </c>
      <c r="Z916" s="11" t="inlineStr">
        <is>
          <t>Priority Tier 2 (Balanced Opportunity)</t>
        </is>
      </c>
    </row>
    <row r="917">
      <c r="A917" s="23" t="n">
        <v>3</v>
      </c>
      <c r="B917" s="23" t="n">
        <v>913</v>
      </c>
      <c r="C917" s="23" t="n">
        <v>2913</v>
      </c>
      <c r="D917" s="23" t="inlineStr">
        <is>
          <t>0600613002</t>
        </is>
      </c>
      <c r="E917" s="11" t="inlineStr">
        <is>
          <t>Region VI (Western Visayas)</t>
        </is>
      </c>
      <c r="F917" s="11" t="inlineStr">
        <is>
          <t>Antique</t>
        </is>
      </c>
      <c r="G917" s="11" t="inlineStr">
        <is>
          <t>San Jose</t>
        </is>
      </c>
      <c r="H917" s="11" t="inlineStr">
        <is>
          <t>Badiang</t>
        </is>
      </c>
      <c r="I917" s="24" t="n">
        <v>10.767437</v>
      </c>
      <c r="J917" s="24" t="n">
        <v>121.944321</v>
      </c>
      <c r="K917" s="23" t="inlineStr">
        <is>
          <t>R</t>
        </is>
      </c>
      <c r="L917" s="25" t="n">
        <v>3647</v>
      </c>
      <c r="M917" s="26" t="n">
        <v>3.9</v>
      </c>
      <c r="N917" s="25">
        <f>ROUND(L917/M917, 0)</f>
        <v/>
      </c>
      <c r="O917" s="25">
        <f>ROUND(N917*'Methodology &amp; Assumptions'!$B$7, 0)</f>
        <v/>
      </c>
      <c r="P917" s="23" t="inlineStr">
        <is>
          <t>Single Carrier (Band n50, 100MHz TDD)</t>
        </is>
      </c>
      <c r="Q917" s="27">
        <f>ROUNDUP(O917/'Methodology &amp; Assumptions'!$B$8, 0)</f>
        <v/>
      </c>
      <c r="R917" s="27" t="n">
        <v>1</v>
      </c>
      <c r="S917" s="26" t="n">
        <v>0.9</v>
      </c>
      <c r="T917" s="26" t="n">
        <v>0.64</v>
      </c>
      <c r="U917" s="11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26" t="n">
        <v>87.84999999999999</v>
      </c>
      <c r="W917" s="26" t="n">
        <v>32.92</v>
      </c>
      <c r="X917" s="26">
        <f>ROUND(('Methodology &amp; Assumptions'!$B$5*V917) + ('Methodology &amp; Assumptions'!$B$6*W917), 2)</f>
        <v/>
      </c>
      <c r="Y917" s="28" t="n">
        <v>23.7</v>
      </c>
      <c r="Z917" s="11" t="inlineStr">
        <is>
          <t>Priority Tier 2 (Balanced Opportunity)</t>
        </is>
      </c>
    </row>
    <row r="918">
      <c r="A918" s="23" t="n">
        <v>3</v>
      </c>
      <c r="B918" s="23" t="n">
        <v>914</v>
      </c>
      <c r="C918" s="23" t="n">
        <v>2914</v>
      </c>
      <c r="D918" s="23" t="inlineStr">
        <is>
          <t>0803744015</t>
        </is>
      </c>
      <c r="E918" s="11" t="inlineStr">
        <is>
          <t>Region VIII (Eastern Visayas)</t>
        </is>
      </c>
      <c r="F918" s="11" t="inlineStr">
        <is>
          <t>Leyte</t>
        </is>
      </c>
      <c r="G918" s="11" t="inlineStr">
        <is>
          <t>Santa Fe</t>
        </is>
      </c>
      <c r="H918" s="11" t="inlineStr">
        <is>
          <t>San Roque</t>
        </is>
      </c>
      <c r="I918" s="24" t="n">
        <v>11.107863</v>
      </c>
      <c r="J918" s="24" t="n">
        <v>125.019739</v>
      </c>
      <c r="K918" s="23" t="inlineStr">
        <is>
          <t>R</t>
        </is>
      </c>
      <c r="L918" s="25" t="n">
        <v>2610</v>
      </c>
      <c r="M918" s="26" t="n">
        <v>3.8</v>
      </c>
      <c r="N918" s="25">
        <f>ROUND(L918/M918, 0)</f>
        <v/>
      </c>
      <c r="O918" s="25">
        <f>ROUND(N918*'Methodology &amp; Assumptions'!$B$7, 0)</f>
        <v/>
      </c>
      <c r="P918" s="23" t="inlineStr">
        <is>
          <t>Single Carrier (Band n50, 100MHz TDD)</t>
        </is>
      </c>
      <c r="Q918" s="27">
        <f>ROUNDUP(O918/'Methodology &amp; Assumptions'!$B$8, 0)</f>
        <v/>
      </c>
      <c r="R918" s="27" t="n">
        <v>1</v>
      </c>
      <c r="S918" s="26" t="n">
        <v>0.28</v>
      </c>
      <c r="T918" s="26" t="n">
        <v>0.21</v>
      </c>
      <c r="U918" s="11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26" t="n">
        <v>84.97</v>
      </c>
      <c r="W918" s="26" t="n">
        <v>35.82</v>
      </c>
      <c r="X918" s="26">
        <f>ROUND(('Methodology &amp; Assumptions'!$B$5*V918) + ('Methodology &amp; Assumptions'!$B$6*W918), 2)</f>
        <v/>
      </c>
      <c r="Y918" s="28" t="n">
        <v>23.7</v>
      </c>
      <c r="Z918" s="11" t="inlineStr">
        <is>
          <t>Priority Tier 2 (Balanced Opportunity)</t>
        </is>
      </c>
    </row>
    <row r="919">
      <c r="A919" s="23" t="n">
        <v>3</v>
      </c>
      <c r="B919" s="23" t="n">
        <v>915</v>
      </c>
      <c r="C919" s="23" t="n">
        <v>2915</v>
      </c>
      <c r="D919" s="23" t="inlineStr">
        <is>
          <t>0403411005</t>
        </is>
      </c>
      <c r="E919" s="11" t="inlineStr">
        <is>
          <t>Region IV-A (CALABARZON)</t>
        </is>
      </c>
      <c r="F919" s="11" t="inlineStr">
        <is>
          <t>Laguna</t>
        </is>
      </c>
      <c r="G919" s="11" t="inlineStr">
        <is>
          <t>Los Baños</t>
        </is>
      </c>
      <c r="H919" s="11" t="inlineStr">
        <is>
          <t>Baybayin</t>
        </is>
      </c>
      <c r="I919" s="24" t="n">
        <v>14.178585</v>
      </c>
      <c r="J919" s="24" t="n">
        <v>121.221498</v>
      </c>
      <c r="K919" s="23" t="inlineStr">
        <is>
          <t>R</t>
        </is>
      </c>
      <c r="L919" s="25" t="n">
        <v>1607</v>
      </c>
      <c r="M919" s="26" t="n">
        <v>3.3</v>
      </c>
      <c r="N919" s="25">
        <f>ROUND(L919/M919, 0)</f>
        <v/>
      </c>
      <c r="O919" s="25">
        <f>ROUND(N919*'Methodology &amp; Assumptions'!$B$7, 0)</f>
        <v/>
      </c>
      <c r="P919" s="23" t="inlineStr">
        <is>
          <t>Single Carrier (Band n50, 100MHz TDD)</t>
        </is>
      </c>
      <c r="Q919" s="27">
        <f>ROUNDUP(O919/'Methodology &amp; Assumptions'!$B$8, 0)</f>
        <v/>
      </c>
      <c r="R919" s="27" t="n">
        <v>1</v>
      </c>
      <c r="S919" s="26" t="n">
        <v>2.25</v>
      </c>
      <c r="T919" s="26" t="n">
        <v>0.21</v>
      </c>
      <c r="U919" s="11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26" t="n">
        <v>69.66</v>
      </c>
      <c r="W919" s="26" t="n">
        <v>51.11</v>
      </c>
      <c r="X919" s="26">
        <f>ROUND(('Methodology &amp; Assumptions'!$B$5*V919) + ('Methodology &amp; Assumptions'!$B$6*W919), 2)</f>
        <v/>
      </c>
      <c r="Y919" s="28" t="n">
        <v>7.2</v>
      </c>
      <c r="Z919" s="11" t="inlineStr">
        <is>
          <t>Priority Tier 2 (Balanced Opportunity)</t>
        </is>
      </c>
    </row>
    <row r="920">
      <c r="A920" s="23" t="n">
        <v>3</v>
      </c>
      <c r="B920" s="23" t="n">
        <v>916</v>
      </c>
      <c r="C920" s="23" t="n">
        <v>2916</v>
      </c>
      <c r="D920" s="23" t="inlineStr">
        <is>
          <t>1380606169</t>
        </is>
      </c>
      <c r="E920" s="11" t="inlineStr">
        <is>
          <t>National Capital Region (NCR)</t>
        </is>
      </c>
      <c r="F920" s="11" t="inlineStr">
        <is>
          <t>First District (Not a Province)</t>
        </is>
      </c>
      <c r="G920" s="11" t="inlineStr">
        <is>
          <t>City of Manila</t>
        </is>
      </c>
      <c r="H920" s="11" t="inlineStr">
        <is>
          <t>Barangay 563</t>
        </is>
      </c>
      <c r="I920" s="24" t="n">
        <v>14.609475</v>
      </c>
      <c r="J920" s="24" t="n">
        <v>121.005735</v>
      </c>
      <c r="K920" s="23" t="inlineStr">
        <is>
          <t>U</t>
        </is>
      </c>
      <c r="L920" s="25" t="n">
        <v>1549</v>
      </c>
      <c r="M920" s="26" t="n">
        <v>4.68</v>
      </c>
      <c r="N920" s="25">
        <f>ROUND(L920/M920, 0)</f>
        <v/>
      </c>
      <c r="O920" s="25">
        <f>ROUND(N920*'Methodology &amp; Assumptions'!$B$7, 0)</f>
        <v/>
      </c>
      <c r="P920" s="23" t="inlineStr">
        <is>
          <t>Single Carrier (Band n50, 100MHz TDD)</t>
        </is>
      </c>
      <c r="Q920" s="27">
        <f>ROUNDUP(O920/'Methodology &amp; Assumptions'!$B$8, 0)</f>
        <v/>
      </c>
      <c r="R920" s="27" t="n">
        <v>1</v>
      </c>
      <c r="S920" s="26" t="n">
        <v>0.27</v>
      </c>
      <c r="T920" s="26" t="n">
        <v>0.2</v>
      </c>
      <c r="U920" s="11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26" t="n">
        <v>51.7</v>
      </c>
      <c r="W920" s="26" t="n">
        <v>69.08</v>
      </c>
      <c r="X920" s="26">
        <f>ROUND(('Methodology &amp; Assumptions'!$B$5*V920) + ('Methodology &amp; Assumptions'!$B$6*W920), 2)</f>
        <v/>
      </c>
      <c r="Y920" s="28" t="n">
        <v>10.9</v>
      </c>
      <c r="Z920" s="11" t="inlineStr">
        <is>
          <t>Priority Tier 2 (Balanced Opportunity)</t>
        </is>
      </c>
    </row>
    <row r="921">
      <c r="A921" s="23" t="n">
        <v>3</v>
      </c>
      <c r="B921" s="23" t="n">
        <v>917</v>
      </c>
      <c r="C921" s="23" t="n">
        <v>2917</v>
      </c>
      <c r="D921" s="23" t="inlineStr">
        <is>
          <t>1380601143</t>
        </is>
      </c>
      <c r="E921" s="11" t="inlineStr">
        <is>
          <t>National Capital Region (NCR)</t>
        </is>
      </c>
      <c r="F921" s="11" t="inlineStr">
        <is>
          <t>First District (Not a Province)</t>
        </is>
      </c>
      <c r="G921" s="11" t="inlineStr">
        <is>
          <t>City of Manila</t>
        </is>
      </c>
      <c r="H921" s="11" t="inlineStr">
        <is>
          <t>Barangay 143</t>
        </is>
      </c>
      <c r="I921" s="24" t="n">
        <v>14.63167</v>
      </c>
      <c r="J921" s="24" t="n">
        <v>120.970079</v>
      </c>
      <c r="K921" s="23" t="inlineStr">
        <is>
          <t>U</t>
        </is>
      </c>
      <c r="L921" s="25" t="n">
        <v>1421</v>
      </c>
      <c r="M921" s="26" t="n">
        <v>4.77</v>
      </c>
      <c r="N921" s="25">
        <f>ROUND(L921/M921, 0)</f>
        <v/>
      </c>
      <c r="O921" s="25">
        <f>ROUND(N921*'Methodology &amp; Assumptions'!$B$7, 0)</f>
        <v/>
      </c>
      <c r="P921" s="23" t="inlineStr">
        <is>
          <t>Single Carrier (Band n50, 100MHz TDD)</t>
        </is>
      </c>
      <c r="Q921" s="27">
        <f>ROUNDUP(O921/'Methodology &amp; Assumptions'!$B$8, 0)</f>
        <v/>
      </c>
      <c r="R921" s="27" t="n">
        <v>1</v>
      </c>
      <c r="S921" s="26" t="n">
        <v>0.64</v>
      </c>
      <c r="T921" s="26" t="n">
        <v>0.63</v>
      </c>
      <c r="U921" s="11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26" t="n">
        <v>50.63</v>
      </c>
      <c r="W921" s="26" t="n">
        <v>70.16</v>
      </c>
      <c r="X921" s="26">
        <f>ROUND(('Methodology &amp; Assumptions'!$B$5*V921) + ('Methodology &amp; Assumptions'!$B$6*W921), 2)</f>
        <v/>
      </c>
      <c r="Y921" s="28" t="n">
        <v>10.9</v>
      </c>
      <c r="Z921" s="11" t="inlineStr">
        <is>
          <t>Priority Tier 2 (Balanced Opportunity)</t>
        </is>
      </c>
    </row>
    <row r="922">
      <c r="A922" s="23" t="n">
        <v>3</v>
      </c>
      <c r="B922" s="23" t="n">
        <v>918</v>
      </c>
      <c r="C922" s="23" t="n">
        <v>2918</v>
      </c>
      <c r="D922" s="23" t="inlineStr">
        <is>
          <t>0603034028</t>
        </is>
      </c>
      <c r="E922" s="11" t="inlineStr">
        <is>
          <t>Region VI (Western Visayas)</t>
        </is>
      </c>
      <c r="F922" s="11" t="inlineStr">
        <is>
          <t>Iloilo</t>
        </is>
      </c>
      <c r="G922" s="11" t="inlineStr">
        <is>
          <t>Oton</t>
        </is>
      </c>
      <c r="H922" s="11" t="inlineStr">
        <is>
          <t>San Antonio</t>
        </is>
      </c>
      <c r="I922" s="24" t="n">
        <v>10.692527</v>
      </c>
      <c r="J922" s="24" t="n">
        <v>122.487389</v>
      </c>
      <c r="K922" s="23" t="inlineStr">
        <is>
          <t>R</t>
        </is>
      </c>
      <c r="L922" s="25" t="n">
        <v>2471</v>
      </c>
      <c r="M922" s="26" t="n">
        <v>3.8</v>
      </c>
      <c r="N922" s="25">
        <f>ROUND(L922/M922, 0)</f>
        <v/>
      </c>
      <c r="O922" s="25">
        <f>ROUND(N922*'Methodology &amp; Assumptions'!$B$7, 0)</f>
        <v/>
      </c>
      <c r="P922" s="23" t="inlineStr">
        <is>
          <t>Single Carrier (Band n50, 100MHz TDD)</t>
        </is>
      </c>
      <c r="Q922" s="27">
        <f>ROUNDUP(O922/'Methodology &amp; Assumptions'!$B$8, 0)</f>
        <v/>
      </c>
      <c r="R922" s="27" t="n">
        <v>1</v>
      </c>
      <c r="S922" s="26" t="n">
        <v>0.79</v>
      </c>
      <c r="T922" s="26" t="n">
        <v>0.25</v>
      </c>
      <c r="U922" s="11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26" t="n">
        <v>81.23</v>
      </c>
      <c r="W922" s="26" t="n">
        <v>39.54</v>
      </c>
      <c r="X922" s="26">
        <f>ROUND(('Methodology &amp; Assumptions'!$B$5*V922) + ('Methodology &amp; Assumptions'!$B$6*W922), 2)</f>
        <v/>
      </c>
      <c r="Y922" s="28" t="n">
        <v>23.7</v>
      </c>
      <c r="Z922" s="11" t="inlineStr">
        <is>
          <t>Priority Tier 2 (Balanced Opportunity)</t>
        </is>
      </c>
    </row>
    <row r="923">
      <c r="A923" s="23" t="n">
        <v>3</v>
      </c>
      <c r="B923" s="23" t="n">
        <v>919</v>
      </c>
      <c r="C923" s="23" t="n">
        <v>2919</v>
      </c>
      <c r="D923" s="23" t="inlineStr">
        <is>
          <t>0300806009</t>
        </is>
      </c>
      <c r="E923" s="11" t="inlineStr">
        <is>
          <t>Region III (Central Luzon)</t>
        </is>
      </c>
      <c r="F923" s="11" t="inlineStr">
        <is>
          <t>Bataan</t>
        </is>
      </c>
      <c r="G923" s="11" t="inlineStr">
        <is>
          <t>Limay</t>
        </is>
      </c>
      <c r="H923" s="11" t="inlineStr">
        <is>
          <t>Townsite</t>
        </is>
      </c>
      <c r="I923" s="24" t="n">
        <v>14.559595</v>
      </c>
      <c r="J923" s="24" t="n">
        <v>120.593375</v>
      </c>
      <c r="K923" s="23" t="inlineStr">
        <is>
          <t>U</t>
        </is>
      </c>
      <c r="L923" s="25" t="n">
        <v>5874</v>
      </c>
      <c r="M923" s="26" t="n">
        <v>3.6</v>
      </c>
      <c r="N923" s="25">
        <f>ROUND(L923/M923, 0)</f>
        <v/>
      </c>
      <c r="O923" s="25">
        <f>ROUND(N923*'Methodology &amp; Assumptions'!$B$7, 0)</f>
        <v/>
      </c>
      <c r="P923" s="23" t="inlineStr">
        <is>
          <t>Single Carrier (Band n50, 100MHz TDD)</t>
        </is>
      </c>
      <c r="Q923" s="27">
        <f>ROUNDUP(O923/'Methodology &amp; Assumptions'!$B$8, 0)</f>
        <v/>
      </c>
      <c r="R923" s="27" t="n">
        <v>1</v>
      </c>
      <c r="S923" s="26" t="n">
        <v>1.52</v>
      </c>
      <c r="T923" s="26" t="n">
        <v>0.21</v>
      </c>
      <c r="U923" s="11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26" t="n">
        <v>75.86</v>
      </c>
      <c r="W923" s="26" t="n">
        <v>44.9</v>
      </c>
      <c r="X923" s="26">
        <f>ROUND(('Methodology &amp; Assumptions'!$B$5*V923) + ('Methodology &amp; Assumptions'!$B$6*W923), 2)</f>
        <v/>
      </c>
      <c r="Y923" s="28" t="n">
        <v>8.300000000000001</v>
      </c>
      <c r="Z923" s="11" t="inlineStr">
        <is>
          <t>Priority Tier 2 (Balanced Opportunity)</t>
        </is>
      </c>
    </row>
    <row r="924">
      <c r="A924" s="23" t="n">
        <v>3</v>
      </c>
      <c r="B924" s="23" t="n">
        <v>920</v>
      </c>
      <c r="C924" s="23" t="n">
        <v>2920</v>
      </c>
      <c r="D924" s="23" t="inlineStr">
        <is>
          <t>0401012047</t>
        </is>
      </c>
      <c r="E924" s="11" t="inlineStr">
        <is>
          <t>Region IV-A (CALABARZON)</t>
        </is>
      </c>
      <c r="F924" s="11" t="inlineStr">
        <is>
          <t>Batangas</t>
        </is>
      </c>
      <c r="G924" s="11" t="inlineStr">
        <is>
          <t>Lemery</t>
        </is>
      </c>
      <c r="H924" s="11" t="inlineStr">
        <is>
          <t>Wawa Ilaya</t>
        </is>
      </c>
      <c r="I924" s="24" t="n">
        <v>13.874572</v>
      </c>
      <c r="J924" s="24" t="n">
        <v>120.914837</v>
      </c>
      <c r="K924" s="23" t="inlineStr">
        <is>
          <t>R</t>
        </is>
      </c>
      <c r="L924" s="25" t="n">
        <v>1499</v>
      </c>
      <c r="M924" s="26" t="n">
        <v>3.6</v>
      </c>
      <c r="N924" s="25">
        <f>ROUND(L924/M924, 0)</f>
        <v/>
      </c>
      <c r="O924" s="25">
        <f>ROUND(N924*'Methodology &amp; Assumptions'!$B$7, 0)</f>
        <v/>
      </c>
      <c r="P924" s="23" t="inlineStr">
        <is>
          <t>Single Carrier (Band n50, 100MHz TDD)</t>
        </is>
      </c>
      <c r="Q924" s="27">
        <f>ROUNDUP(O924/'Methodology &amp; Assumptions'!$B$8, 0)</f>
        <v/>
      </c>
      <c r="R924" s="27" t="n">
        <v>1</v>
      </c>
      <c r="S924" s="26" t="n">
        <v>0.27</v>
      </c>
      <c r="T924" s="26" t="n">
        <v>2.44</v>
      </c>
      <c r="U924" s="11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26" t="n">
        <v>71.3</v>
      </c>
      <c r="W924" s="26" t="n">
        <v>49.46</v>
      </c>
      <c r="X924" s="26">
        <f>ROUND(('Methodology &amp; Assumptions'!$B$5*V924) + ('Methodology &amp; Assumptions'!$B$6*W924), 2)</f>
        <v/>
      </c>
      <c r="Y924" s="28" t="n">
        <v>7.2</v>
      </c>
      <c r="Z924" s="11" t="inlineStr">
        <is>
          <t>Priority Tier 2 (Balanced Opportunity)</t>
        </is>
      </c>
    </row>
    <row r="925">
      <c r="A925" s="23" t="n">
        <v>3</v>
      </c>
      <c r="B925" s="23" t="n">
        <v>921</v>
      </c>
      <c r="C925" s="23" t="n">
        <v>2921</v>
      </c>
      <c r="D925" s="23" t="inlineStr">
        <is>
          <t>0103301041</t>
        </is>
      </c>
      <c r="E925" s="11" t="inlineStr">
        <is>
          <t>Region I (Ilocos Region)</t>
        </is>
      </c>
      <c r="F925" s="11" t="inlineStr">
        <is>
          <t>La Union</t>
        </is>
      </c>
      <c r="G925" s="11" t="inlineStr">
        <is>
          <t>Agoo</t>
        </is>
      </c>
      <c r="H925" s="11" t="inlineStr">
        <is>
          <t>Santa Barbara</t>
        </is>
      </c>
      <c r="I925" s="24" t="n">
        <v>16.321982</v>
      </c>
      <c r="J925" s="24" t="n">
        <v>120.362335</v>
      </c>
      <c r="K925" s="23" t="inlineStr">
        <is>
          <t>U</t>
        </is>
      </c>
      <c r="L925" s="25" t="n">
        <v>1751</v>
      </c>
      <c r="M925" s="26" t="n">
        <v>3.7</v>
      </c>
      <c r="N925" s="25">
        <f>ROUND(L925/M925, 0)</f>
        <v/>
      </c>
      <c r="O925" s="25">
        <f>ROUND(N925*'Methodology &amp; Assumptions'!$B$7, 0)</f>
        <v/>
      </c>
      <c r="P925" s="23" t="inlineStr">
        <is>
          <t>Single Carrier (Band n50, 100MHz TDD)</t>
        </is>
      </c>
      <c r="Q925" s="27">
        <f>ROUNDUP(O925/'Methodology &amp; Assumptions'!$B$8, 0)</f>
        <v/>
      </c>
      <c r="R925" s="27" t="n">
        <v>1</v>
      </c>
      <c r="S925" s="26" t="n">
        <v>0.68</v>
      </c>
      <c r="T925" s="26" t="n">
        <v>0.52</v>
      </c>
      <c r="U925" s="11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26" t="n">
        <v>67.20999999999999</v>
      </c>
      <c r="W925" s="26" t="n">
        <v>53.56</v>
      </c>
      <c r="X925" s="26">
        <f>ROUND(('Methodology &amp; Assumptions'!$B$5*V925) + ('Methodology &amp; Assumptions'!$B$6*W925), 2)</f>
        <v/>
      </c>
      <c r="Y925" s="28" t="n">
        <v>8.300000000000001</v>
      </c>
      <c r="Z925" s="11" t="inlineStr">
        <is>
          <t>Priority Tier 2 (Balanced Opportunity)</t>
        </is>
      </c>
    </row>
    <row r="926">
      <c r="A926" s="23" t="n">
        <v>3</v>
      </c>
      <c r="B926" s="23" t="n">
        <v>922</v>
      </c>
      <c r="C926" s="23" t="n">
        <v>2922</v>
      </c>
      <c r="D926" s="23" t="inlineStr">
        <is>
          <t>1408106024</t>
        </is>
      </c>
      <c r="E926" s="11" t="inlineStr">
        <is>
          <t>Cordillera Administrative Region (CAR)</t>
        </is>
      </c>
      <c r="F926" s="11" t="inlineStr">
        <is>
          <t>Apayao</t>
        </is>
      </c>
      <c r="G926" s="11" t="inlineStr">
        <is>
          <t>Pudtol</t>
        </is>
      </c>
      <c r="H926" s="11" t="inlineStr">
        <is>
          <t>Doña Loreta</t>
        </is>
      </c>
      <c r="I926" s="24" t="n">
        <v>18.21702</v>
      </c>
      <c r="J926" s="24" t="n">
        <v>121.361152</v>
      </c>
      <c r="K926" s="23" t="inlineStr">
        <is>
          <t>R</t>
        </is>
      </c>
      <c r="L926" s="25" t="n">
        <v>758</v>
      </c>
      <c r="M926" s="26" t="n">
        <v>4.2</v>
      </c>
      <c r="N926" s="25">
        <f>ROUND(L926/M926, 0)</f>
        <v/>
      </c>
      <c r="O926" s="25">
        <f>ROUND(N926*'Methodology &amp; Assumptions'!$B$7, 0)</f>
        <v/>
      </c>
      <c r="P926" s="23" t="inlineStr">
        <is>
          <t>Single Carrier (Band n50, 100MHz TDD)</t>
        </is>
      </c>
      <c r="Q926" s="27">
        <f>ROUNDUP(O926/'Methodology &amp; Assumptions'!$B$8, 0)</f>
        <v/>
      </c>
      <c r="R926" s="27" t="n">
        <v>1</v>
      </c>
      <c r="S926" s="26" t="n">
        <v>2.33</v>
      </c>
      <c r="T926" s="26" t="n">
        <v>1.48</v>
      </c>
      <c r="U926" s="11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26" t="n">
        <v>58.5</v>
      </c>
      <c r="W926" s="26" t="n">
        <v>62.26</v>
      </c>
      <c r="X926" s="26">
        <f>ROUND(('Methodology &amp; Assumptions'!$B$5*V926) + ('Methodology &amp; Assumptions'!$B$6*W926), 2)</f>
        <v/>
      </c>
      <c r="Y926" s="28" t="n">
        <v>10.9</v>
      </c>
      <c r="Z926" s="11" t="inlineStr">
        <is>
          <t>Priority Tier 2 (Balanced Opportunity)</t>
        </is>
      </c>
    </row>
    <row r="927">
      <c r="A927" s="23" t="n">
        <v>3</v>
      </c>
      <c r="B927" s="23" t="n">
        <v>923</v>
      </c>
      <c r="C927" s="23" t="n">
        <v>2923</v>
      </c>
      <c r="D927" s="23" t="inlineStr">
        <is>
          <t>1380605069</t>
        </is>
      </c>
      <c r="E927" s="11" t="inlineStr">
        <is>
          <t>National Capital Region (NCR)</t>
        </is>
      </c>
      <c r="F927" s="11" t="inlineStr">
        <is>
          <t>First District (Not a Province)</t>
        </is>
      </c>
      <c r="G927" s="11" t="inlineStr">
        <is>
          <t>City of Manila</t>
        </is>
      </c>
      <c r="H927" s="11" t="inlineStr">
        <is>
          <t>Barangay 366</t>
        </is>
      </c>
      <c r="I927" s="24" t="n">
        <v>14.624843</v>
      </c>
      <c r="J927" s="24" t="n">
        <v>120.984008</v>
      </c>
      <c r="K927" s="23" t="inlineStr">
        <is>
          <t>U</t>
        </is>
      </c>
      <c r="L927" s="25" t="n">
        <v>1256</v>
      </c>
      <c r="M927" s="26" t="n">
        <v>4.06</v>
      </c>
      <c r="N927" s="25">
        <f>ROUND(L927/M927, 0)</f>
        <v/>
      </c>
      <c r="O927" s="25">
        <f>ROUND(N927*'Methodology &amp; Assumptions'!$B$7, 0)</f>
        <v/>
      </c>
      <c r="P927" s="23" t="inlineStr">
        <is>
          <t>Single Carrier (Band n50, 100MHz TDD)</t>
        </is>
      </c>
      <c r="Q927" s="27">
        <f>ROUNDUP(O927/'Methodology &amp; Assumptions'!$B$8, 0)</f>
        <v/>
      </c>
      <c r="R927" s="27" t="n">
        <v>1</v>
      </c>
      <c r="S927" s="26" t="n">
        <v>0.9399999999999999</v>
      </c>
      <c r="T927" s="26" t="n">
        <v>0.12</v>
      </c>
      <c r="U927" s="11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26" t="n">
        <v>50.69</v>
      </c>
      <c r="W927" s="26" t="n">
        <v>70.06999999999999</v>
      </c>
      <c r="X927" s="26">
        <f>ROUND(('Methodology &amp; Assumptions'!$B$5*V927) + ('Methodology &amp; Assumptions'!$B$6*W927), 2)</f>
        <v/>
      </c>
      <c r="Y927" s="28" t="n">
        <v>10.9</v>
      </c>
      <c r="Z927" s="11" t="inlineStr">
        <is>
          <t>Priority Tier 2 (Balanced Opportunity)</t>
        </is>
      </c>
    </row>
    <row r="928">
      <c r="A928" s="23" t="n">
        <v>3</v>
      </c>
      <c r="B928" s="23" t="n">
        <v>924</v>
      </c>
      <c r="C928" s="23" t="n">
        <v>2924</v>
      </c>
      <c r="D928" s="23" t="inlineStr">
        <is>
          <t>1380605004</t>
        </is>
      </c>
      <c r="E928" s="11" t="inlineStr">
        <is>
          <t>National Capital Region (NCR)</t>
        </is>
      </c>
      <c r="F928" s="11" t="inlineStr">
        <is>
          <t>First District (Not a Province)</t>
        </is>
      </c>
      <c r="G928" s="11" t="inlineStr">
        <is>
          <t>City of Manila</t>
        </is>
      </c>
      <c r="H928" s="11" t="inlineStr">
        <is>
          <t>Barangay 300</t>
        </is>
      </c>
      <c r="I928" s="24" t="n">
        <v>14.60249</v>
      </c>
      <c r="J928" s="24" t="n">
        <v>120.9778</v>
      </c>
      <c r="K928" s="23" t="inlineStr">
        <is>
          <t>U</t>
        </is>
      </c>
      <c r="L928" s="25" t="n">
        <v>1341</v>
      </c>
      <c r="M928" s="26" t="n">
        <v>4.22</v>
      </c>
      <c r="N928" s="25">
        <f>ROUND(L928/M928, 0)</f>
        <v/>
      </c>
      <c r="O928" s="25">
        <f>ROUND(N928*'Methodology &amp; Assumptions'!$B$7, 0)</f>
        <v/>
      </c>
      <c r="P928" s="23" t="inlineStr">
        <is>
          <t>Single Carrier (Band n50, 100MHz TDD)</t>
        </is>
      </c>
      <c r="Q928" s="27">
        <f>ROUNDUP(O928/'Methodology &amp; Assumptions'!$B$8, 0)</f>
        <v/>
      </c>
      <c r="R928" s="27" t="n">
        <v>1</v>
      </c>
      <c r="S928" s="26" t="n">
        <v>1</v>
      </c>
      <c r="T928" s="26" t="n">
        <v>0.35</v>
      </c>
      <c r="U928" s="11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26" t="n">
        <v>50.67</v>
      </c>
      <c r="W928" s="26" t="n">
        <v>70.09999999999999</v>
      </c>
      <c r="X928" s="26">
        <f>ROUND(('Methodology &amp; Assumptions'!$B$5*V928) + ('Methodology &amp; Assumptions'!$B$6*W928), 2)</f>
        <v/>
      </c>
      <c r="Y928" s="28" t="n">
        <v>10.9</v>
      </c>
      <c r="Z928" s="11" t="inlineStr">
        <is>
          <t>Priority Tier 2 (Balanced Opportunity)</t>
        </is>
      </c>
    </row>
    <row r="929">
      <c r="A929" s="23" t="n">
        <v>3</v>
      </c>
      <c r="B929" s="23" t="n">
        <v>925</v>
      </c>
      <c r="C929" s="23" t="n">
        <v>2925</v>
      </c>
      <c r="D929" s="23" t="inlineStr">
        <is>
          <t>0405646037</t>
        </is>
      </c>
      <c r="E929" s="11" t="inlineStr">
        <is>
          <t>Region IV-A (CALABARZON)</t>
        </is>
      </c>
      <c r="F929" s="11" t="inlineStr">
        <is>
          <t>Quezon</t>
        </is>
      </c>
      <c r="G929" s="11" t="inlineStr">
        <is>
          <t>Tagkawayan</t>
        </is>
      </c>
      <c r="H929" s="11" t="inlineStr">
        <is>
          <t>Santa Cecilia</t>
        </is>
      </c>
      <c r="I929" s="24" t="n">
        <v>13.970391</v>
      </c>
      <c r="J929" s="24" t="n">
        <v>122.536459</v>
      </c>
      <c r="K929" s="23" t="inlineStr">
        <is>
          <t>R</t>
        </is>
      </c>
      <c r="L929" s="25" t="n">
        <v>3763</v>
      </c>
      <c r="M929" s="26" t="n">
        <v>3.8</v>
      </c>
      <c r="N929" s="25">
        <f>ROUND(L929/M929, 0)</f>
        <v/>
      </c>
      <c r="O929" s="25">
        <f>ROUND(N929*'Methodology &amp; Assumptions'!$B$7, 0)</f>
        <v/>
      </c>
      <c r="P929" s="23" t="inlineStr">
        <is>
          <t>Single Carrier (Band n50, 100MHz TDD)</t>
        </is>
      </c>
      <c r="Q929" s="27">
        <f>ROUNDUP(O929/'Methodology &amp; Assumptions'!$B$8, 0)</f>
        <v/>
      </c>
      <c r="R929" s="27" t="n">
        <v>1</v>
      </c>
      <c r="S929" s="26" t="n">
        <v>0.8100000000000001</v>
      </c>
      <c r="T929" s="26" t="n">
        <v>0.03</v>
      </c>
      <c r="U929" s="11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26" t="n">
        <v>85.45999999999999</v>
      </c>
      <c r="W929" s="26" t="n">
        <v>35.28</v>
      </c>
      <c r="X929" s="26">
        <f>ROUND(('Methodology &amp; Assumptions'!$B$5*V929) + ('Methodology &amp; Assumptions'!$B$6*W929), 2)</f>
        <v/>
      </c>
      <c r="Y929" s="28" t="n">
        <v>7.2</v>
      </c>
      <c r="Z929" s="11" t="inlineStr">
        <is>
          <t>Priority Tier 2 (Balanced Opportunity)</t>
        </is>
      </c>
    </row>
    <row r="930">
      <c r="A930" s="23" t="n">
        <v>3</v>
      </c>
      <c r="B930" s="23" t="n">
        <v>926</v>
      </c>
      <c r="C930" s="23" t="n">
        <v>2926</v>
      </c>
      <c r="D930" s="23" t="inlineStr">
        <is>
          <t>0300811011</t>
        </is>
      </c>
      <c r="E930" s="11" t="inlineStr">
        <is>
          <t>Region III (Central Luzon)</t>
        </is>
      </c>
      <c r="F930" s="11" t="inlineStr">
        <is>
          <t>Bataan</t>
        </is>
      </c>
      <c r="G930" s="11" t="inlineStr">
        <is>
          <t>Pilar</t>
        </is>
      </c>
      <c r="H930" s="11" t="inlineStr">
        <is>
          <t>Del Rosario</t>
        </is>
      </c>
      <c r="I930" s="24" t="n">
        <v>14.666052</v>
      </c>
      <c r="J930" s="24" t="n">
        <v>120.554351</v>
      </c>
      <c r="K930" s="23" t="inlineStr">
        <is>
          <t>R</t>
        </is>
      </c>
      <c r="L930" s="25" t="n">
        <v>2765</v>
      </c>
      <c r="M930" s="26" t="n">
        <v>3.6</v>
      </c>
      <c r="N930" s="25">
        <f>ROUND(L930/M930, 0)</f>
        <v/>
      </c>
      <c r="O930" s="25">
        <f>ROUND(N930*'Methodology &amp; Assumptions'!$B$7, 0)</f>
        <v/>
      </c>
      <c r="P930" s="23" t="inlineStr">
        <is>
          <t>Single Carrier (Band n50, 100MHz TDD)</t>
        </is>
      </c>
      <c r="Q930" s="27">
        <f>ROUNDUP(O930/'Methodology &amp; Assumptions'!$B$8, 0)</f>
        <v/>
      </c>
      <c r="R930" s="27" t="n">
        <v>1</v>
      </c>
      <c r="S930" s="26" t="n">
        <v>2.19</v>
      </c>
      <c r="T930" s="26" t="n">
        <v>0.16</v>
      </c>
      <c r="U930" s="11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26" t="n">
        <v>79.06</v>
      </c>
      <c r="W930" s="26" t="n">
        <v>41.67</v>
      </c>
      <c r="X930" s="26">
        <f>ROUND(('Methodology &amp; Assumptions'!$B$5*V930) + ('Methodology &amp; Assumptions'!$B$6*W930), 2)</f>
        <v/>
      </c>
      <c r="Y930" s="28" t="n">
        <v>8.300000000000001</v>
      </c>
      <c r="Z930" s="11" t="inlineStr">
        <is>
          <t>Priority Tier 2 (Balanced Opportunity)</t>
        </is>
      </c>
    </row>
    <row r="931">
      <c r="A931" s="23" t="n">
        <v>3</v>
      </c>
      <c r="B931" s="23" t="n">
        <v>927</v>
      </c>
      <c r="C931" s="23" t="n">
        <v>2927</v>
      </c>
      <c r="D931" s="23" t="inlineStr">
        <is>
          <t>0105526006</t>
        </is>
      </c>
      <c r="E931" s="11" t="inlineStr">
        <is>
          <t>Region I (Ilocos Region)</t>
        </is>
      </c>
      <c r="F931" s="11" t="inlineStr">
        <is>
          <t>Pangasinan</t>
        </is>
      </c>
      <c r="G931" s="11" t="inlineStr">
        <is>
          <t>Mangaldan</t>
        </is>
      </c>
      <c r="H931" s="11" t="inlineStr">
        <is>
          <t>Bari</t>
        </is>
      </c>
      <c r="I931" s="24" t="n">
        <v>16.06283</v>
      </c>
      <c r="J931" s="24" t="n">
        <v>120.3988</v>
      </c>
      <c r="K931" s="23" t="inlineStr">
        <is>
          <t>U</t>
        </is>
      </c>
      <c r="L931" s="25" t="n">
        <v>6120</v>
      </c>
      <c r="M931" s="26" t="n">
        <v>3.6</v>
      </c>
      <c r="N931" s="25">
        <f>ROUND(L931/M931, 0)</f>
        <v/>
      </c>
      <c r="O931" s="25">
        <f>ROUND(N931*'Methodology &amp; Assumptions'!$B$7, 0)</f>
        <v/>
      </c>
      <c r="P931" s="23" t="inlineStr">
        <is>
          <t>Single Carrier (Band n50, 100MHz TDD)</t>
        </is>
      </c>
      <c r="Q931" s="27">
        <f>ROUNDUP(O931/'Methodology &amp; Assumptions'!$B$8, 0)</f>
        <v/>
      </c>
      <c r="R931" s="27" t="n">
        <v>1</v>
      </c>
      <c r="S931" s="26" t="n">
        <v>0.67</v>
      </c>
      <c r="T931" s="26" t="n">
        <v>0.33</v>
      </c>
      <c r="U931" s="11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26" t="n">
        <v>78.43000000000001</v>
      </c>
      <c r="W931" s="26" t="n">
        <v>42.31</v>
      </c>
      <c r="X931" s="26">
        <f>ROUND(('Methodology &amp; Assumptions'!$B$5*V931) + ('Methodology &amp; Assumptions'!$B$6*W931), 2)</f>
        <v/>
      </c>
      <c r="Y931" s="28" t="n">
        <v>8.300000000000001</v>
      </c>
      <c r="Z931" s="11" t="inlineStr">
        <is>
          <t>Priority Tier 2 (Balanced Opportunity)</t>
        </is>
      </c>
    </row>
    <row r="932">
      <c r="A932" s="23" t="n">
        <v>3</v>
      </c>
      <c r="B932" s="23" t="n">
        <v>928</v>
      </c>
      <c r="C932" s="23" t="n">
        <v>2928</v>
      </c>
      <c r="D932" s="23" t="inlineStr">
        <is>
          <t>1408104011</t>
        </is>
      </c>
      <c r="E932" s="11" t="inlineStr">
        <is>
          <t>Cordillera Administrative Region (CAR)</t>
        </is>
      </c>
      <c r="F932" s="11" t="inlineStr">
        <is>
          <t>Apayao</t>
        </is>
      </c>
      <c r="G932" s="11" t="inlineStr">
        <is>
          <t>Kabugao</t>
        </is>
      </c>
      <c r="H932" s="11" t="inlineStr">
        <is>
          <t>Lenneng</t>
        </is>
      </c>
      <c r="I932" s="24" t="n">
        <v>17.924243</v>
      </c>
      <c r="J932" s="24" t="n">
        <v>121.215606</v>
      </c>
      <c r="K932" s="23" t="inlineStr">
        <is>
          <t>R</t>
        </is>
      </c>
      <c r="L932" s="25" t="n">
        <v>2618</v>
      </c>
      <c r="M932" s="26" t="n">
        <v>4.2</v>
      </c>
      <c r="N932" s="25">
        <f>ROUND(L932/M932, 0)</f>
        <v/>
      </c>
      <c r="O932" s="25">
        <f>ROUND(N932*'Methodology &amp; Assumptions'!$B$7, 0)</f>
        <v/>
      </c>
      <c r="P932" s="23" t="inlineStr">
        <is>
          <t>Single Carrier (Band n50, 100MHz TDD)</t>
        </is>
      </c>
      <c r="Q932" s="27">
        <f>ROUNDUP(O932/'Methodology &amp; Assumptions'!$B$8, 0)</f>
        <v/>
      </c>
      <c r="R932" s="27" t="n">
        <v>1</v>
      </c>
      <c r="S932" s="26" t="n">
        <v>11.21</v>
      </c>
      <c r="T932" s="26" t="n">
        <v>0.28</v>
      </c>
      <c r="U932" s="11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26" t="n">
        <v>59.69</v>
      </c>
      <c r="W932" s="26" t="n">
        <v>61.04</v>
      </c>
      <c r="X932" s="26">
        <f>ROUND(('Methodology &amp; Assumptions'!$B$5*V932) + ('Methodology &amp; Assumptions'!$B$6*W932), 2)</f>
        <v/>
      </c>
      <c r="Y932" s="28" t="n">
        <v>10.9</v>
      </c>
      <c r="Z932" s="11" t="inlineStr">
        <is>
          <t>Priority Tier 2 (Balanced Opportunity)</t>
        </is>
      </c>
    </row>
    <row r="933">
      <c r="A933" s="23" t="n">
        <v>3</v>
      </c>
      <c r="B933" s="23" t="n">
        <v>929</v>
      </c>
      <c r="C933" s="23" t="n">
        <v>2929</v>
      </c>
      <c r="D933" s="23" t="inlineStr">
        <is>
          <t>1001320025</t>
        </is>
      </c>
      <c r="E933" s="11" t="inlineStr">
        <is>
          <t>Region X (Northern Mindanao)</t>
        </is>
      </c>
      <c r="F933" s="11" t="inlineStr">
        <is>
          <t>Bukidnon</t>
        </is>
      </c>
      <c r="G933" s="11" t="inlineStr">
        <is>
          <t>Talakag</t>
        </is>
      </c>
      <c r="H933" s="11" t="inlineStr">
        <is>
          <t>Salucot</t>
        </is>
      </c>
      <c r="I933" s="24" t="n">
        <v>8.047000000000001</v>
      </c>
      <c r="J933" s="24" t="n">
        <v>124.6653</v>
      </c>
      <c r="K933" s="23" t="inlineStr">
        <is>
          <t>R</t>
        </is>
      </c>
      <c r="L933" s="25" t="n">
        <v>1959</v>
      </c>
      <c r="M933" s="26" t="n">
        <v>3.8</v>
      </c>
      <c r="N933" s="25">
        <f>ROUND(L933/M933, 0)</f>
        <v/>
      </c>
      <c r="O933" s="25">
        <f>ROUND(N933*'Methodology &amp; Assumptions'!$B$7, 0)</f>
        <v/>
      </c>
      <c r="P933" s="23" t="inlineStr">
        <is>
          <t>Single Carrier (Band n50, 100MHz TDD)</t>
        </is>
      </c>
      <c r="Q933" s="27">
        <f>ROUNDUP(O933/'Methodology &amp; Assumptions'!$B$8, 0)</f>
        <v/>
      </c>
      <c r="R933" s="27" t="n">
        <v>1</v>
      </c>
      <c r="S933" s="26" t="n">
        <v>22.34</v>
      </c>
      <c r="T933" s="26" t="n">
        <v>2.24</v>
      </c>
      <c r="U933" s="11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26" t="n">
        <v>51.37</v>
      </c>
      <c r="W933" s="26" t="n">
        <v>69.38</v>
      </c>
      <c r="X933" s="26">
        <f>ROUND(('Methodology &amp; Assumptions'!$B$5*V933) + ('Methodology &amp; Assumptions'!$B$6*W933), 2)</f>
        <v/>
      </c>
      <c r="Y933" s="28" t="n">
        <v>17.4</v>
      </c>
      <c r="Z933" s="11" t="inlineStr">
        <is>
          <t>Priority Tier 2 (Balanced Opportunity)</t>
        </is>
      </c>
    </row>
    <row r="934">
      <c r="A934" s="23" t="n">
        <v>3</v>
      </c>
      <c r="B934" s="23" t="n">
        <v>930</v>
      </c>
      <c r="C934" s="23" t="n">
        <v>2930</v>
      </c>
      <c r="D934" s="23" t="inlineStr">
        <is>
          <t>0304925004</t>
        </is>
      </c>
      <c r="E934" s="11" t="inlineStr">
        <is>
          <t>Region III (Central Luzon)</t>
        </is>
      </c>
      <c r="F934" s="11" t="inlineStr">
        <is>
          <t>Nueva Ecija</t>
        </is>
      </c>
      <c r="G934" s="11" t="inlineStr">
        <is>
          <t>San Isidro</t>
        </is>
      </c>
      <c r="H934" s="11" t="inlineStr">
        <is>
          <t>Malapit</t>
        </is>
      </c>
      <c r="I934" s="24" t="n">
        <v>15.307451</v>
      </c>
      <c r="J934" s="24" t="n">
        <v>120.92033</v>
      </c>
      <c r="K934" s="23" t="inlineStr">
        <is>
          <t>U</t>
        </is>
      </c>
      <c r="L934" s="25" t="n">
        <v>10459</v>
      </c>
      <c r="M934" s="26" t="n">
        <v>3.5</v>
      </c>
      <c r="N934" s="25">
        <f>ROUND(L934/M934, 0)</f>
        <v/>
      </c>
      <c r="O934" s="25">
        <f>ROUND(N934*'Methodology &amp; Assumptions'!$B$7, 0)</f>
        <v/>
      </c>
      <c r="P934" s="23" t="inlineStr">
        <is>
          <t>Single Carrier (Band n50, 100MHz TDD)</t>
        </is>
      </c>
      <c r="Q934" s="27">
        <f>ROUNDUP(O934/'Methodology &amp; Assumptions'!$B$8, 0)</f>
        <v/>
      </c>
      <c r="R934" s="27" t="n">
        <v>1</v>
      </c>
      <c r="S934" s="26" t="n">
        <v>0.02</v>
      </c>
      <c r="T934" s="26" t="n">
        <v>0.07000000000000001</v>
      </c>
      <c r="U934" s="11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26" t="n">
        <v>78.43000000000001</v>
      </c>
      <c r="W934" s="26" t="n">
        <v>42.28</v>
      </c>
      <c r="X934" s="26">
        <f>ROUND(('Methodology &amp; Assumptions'!$B$5*V934) + ('Methodology &amp; Assumptions'!$B$6*W934), 2)</f>
        <v/>
      </c>
      <c r="Y934" s="28" t="n">
        <v>8.300000000000001</v>
      </c>
      <c r="Z934" s="11" t="inlineStr">
        <is>
          <t>Priority Tier 2 (Balanced Opportunity)</t>
        </is>
      </c>
    </row>
    <row r="935">
      <c r="A935" s="23" t="n">
        <v>3</v>
      </c>
      <c r="B935" s="23" t="n">
        <v>931</v>
      </c>
      <c r="C935" s="23" t="n">
        <v>2931</v>
      </c>
      <c r="D935" s="23" t="inlineStr">
        <is>
          <t>1381300010</t>
        </is>
      </c>
      <c r="E935" s="11" t="inlineStr">
        <is>
          <t>National Capital Region (NCR)</t>
        </is>
      </c>
      <c r="F935" s="11" t="inlineStr">
        <is>
          <t>Second District (Not a Province)</t>
        </is>
      </c>
      <c r="G935" s="11" t="inlineStr">
        <is>
          <t>Quezon City</t>
        </is>
      </c>
      <c r="H935" s="11" t="inlineStr">
        <is>
          <t>Bagong Silangan</t>
        </is>
      </c>
      <c r="I935" s="24" t="n">
        <v>14.69785</v>
      </c>
      <c r="J935" s="24" t="n">
        <v>121.1105</v>
      </c>
      <c r="K935" s="23" t="inlineStr">
        <is>
          <t>U</t>
        </is>
      </c>
      <c r="L935" s="25" t="n">
        <v>113572</v>
      </c>
      <c r="M935" s="26" t="n">
        <v>4.04</v>
      </c>
      <c r="N935" s="25">
        <f>ROUND(L935/M935, 0)</f>
        <v/>
      </c>
      <c r="O935" s="25">
        <f>ROUND(N935*'Methodology &amp; Assumptions'!$B$7, 0)</f>
        <v/>
      </c>
      <c r="P935" s="23" t="inlineStr">
        <is>
          <t>Single Carrier (Band n50, 100MHz TDD)</t>
        </is>
      </c>
      <c r="Q935" s="27">
        <f>ROUNDUP(O935/'Methodology &amp; Assumptions'!$B$8, 0)</f>
        <v/>
      </c>
      <c r="R935" s="27" t="n">
        <v>1</v>
      </c>
      <c r="S935" s="26" t="n">
        <v>1.09</v>
      </c>
      <c r="T935" s="26" t="n">
        <v>1.1</v>
      </c>
      <c r="U935" s="11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26" t="n">
        <v>63.8</v>
      </c>
      <c r="W935" s="26" t="n">
        <v>56.93</v>
      </c>
      <c r="X935" s="26">
        <f>ROUND(('Methodology &amp; Assumptions'!$B$5*V935) + ('Methodology &amp; Assumptions'!$B$6*W935), 2)</f>
        <v/>
      </c>
      <c r="Y935" s="28" t="n">
        <v>10.9</v>
      </c>
      <c r="Z935" s="11" t="inlineStr">
        <is>
          <t>Priority Tier 2 (Balanced Opportunity)</t>
        </is>
      </c>
    </row>
    <row r="936">
      <c r="A936" s="23" t="n">
        <v>3</v>
      </c>
      <c r="B936" s="23" t="n">
        <v>932</v>
      </c>
      <c r="C936" s="23" t="n">
        <v>2932</v>
      </c>
      <c r="D936" s="23" t="inlineStr">
        <is>
          <t>1908819007</t>
        </is>
      </c>
      <c r="E936" s="11" t="inlineStr">
        <is>
          <t>Bangsamoro Autonomous Region In Muslim Mindanao (BARMM)</t>
        </is>
      </c>
      <c r="F936" s="11" t="inlineStr">
        <is>
          <t>Maguindanao del Sur</t>
        </is>
      </c>
      <c r="G936" s="11" t="inlineStr">
        <is>
          <t>Rajah Buayan</t>
        </is>
      </c>
      <c r="H936" s="11" t="inlineStr">
        <is>
          <t>Panadtaban</t>
        </is>
      </c>
      <c r="I936" s="24" t="n">
        <v>6.957163</v>
      </c>
      <c r="J936" s="24" t="n">
        <v>124.624804</v>
      </c>
      <c r="K936" s="23" t="inlineStr">
        <is>
          <t>R</t>
        </is>
      </c>
      <c r="L936" s="25" t="n">
        <v>2997</v>
      </c>
      <c r="M936" s="26" t="n">
        <v>4.7</v>
      </c>
      <c r="N936" s="25">
        <f>ROUND(L936/M936, 0)</f>
        <v/>
      </c>
      <c r="O936" s="25">
        <f>ROUND(N936*'Methodology &amp; Assumptions'!$B$7, 0)</f>
        <v/>
      </c>
      <c r="P936" s="23" t="inlineStr">
        <is>
          <t>Single Carrier (Band n50, 100MHz TDD)</t>
        </is>
      </c>
      <c r="Q936" s="27">
        <f>ROUNDUP(O936/'Methodology &amp; Assumptions'!$B$8, 0)</f>
        <v/>
      </c>
      <c r="R936" s="27" t="n">
        <v>1</v>
      </c>
      <c r="S936" s="26" t="n">
        <v>30.23</v>
      </c>
      <c r="T936" s="26" t="n">
        <v>26.64</v>
      </c>
      <c r="U936" s="11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26" t="n">
        <v>51.51</v>
      </c>
      <c r="W936" s="26" t="n">
        <v>69.20999999999999</v>
      </c>
      <c r="X936" s="26">
        <f>ROUND(('Methodology &amp; Assumptions'!$B$5*V936) + ('Methodology &amp; Assumptions'!$B$6*W936), 2)</f>
        <v/>
      </c>
      <c r="Y936" s="28" t="n">
        <v>11</v>
      </c>
      <c r="Z936" s="11" t="inlineStr">
        <is>
          <t>Priority Tier 2 (Balanced Opportunity)</t>
        </is>
      </c>
    </row>
    <row r="937">
      <c r="A937" s="23" t="n">
        <v>3</v>
      </c>
      <c r="B937" s="23" t="n">
        <v>933</v>
      </c>
      <c r="C937" s="23" t="n">
        <v>2933</v>
      </c>
      <c r="D937" s="23" t="inlineStr">
        <is>
          <t>1380612029</t>
        </is>
      </c>
      <c r="E937" s="11" t="inlineStr">
        <is>
          <t>National Capital Region (NCR)</t>
        </is>
      </c>
      <c r="F937" s="11" t="inlineStr">
        <is>
          <t>First District (Not a Province)</t>
        </is>
      </c>
      <c r="G937" s="11" t="inlineStr">
        <is>
          <t>City of Manila</t>
        </is>
      </c>
      <c r="H937" s="11" t="inlineStr">
        <is>
          <t>Barangay 861</t>
        </is>
      </c>
      <c r="I937" s="24" t="n">
        <v>14.590749</v>
      </c>
      <c r="J937" s="24" t="n">
        <v>121.005878</v>
      </c>
      <c r="K937" s="23" t="inlineStr">
        <is>
          <t>U</t>
        </is>
      </c>
      <c r="L937" s="25" t="n">
        <v>1131</v>
      </c>
      <c r="M937" s="26" t="n">
        <v>3.59</v>
      </c>
      <c r="N937" s="25">
        <f>ROUND(L937/M937, 0)</f>
        <v/>
      </c>
      <c r="O937" s="25">
        <f>ROUND(N937*'Methodology &amp; Assumptions'!$B$7, 0)</f>
        <v/>
      </c>
      <c r="P937" s="23" t="inlineStr">
        <is>
          <t>Single Carrier (Band n50, 100MHz TDD)</t>
        </is>
      </c>
      <c r="Q937" s="27">
        <f>ROUNDUP(O937/'Methodology &amp; Assumptions'!$B$8, 0)</f>
        <v/>
      </c>
      <c r="R937" s="27" t="n">
        <v>1</v>
      </c>
      <c r="S937" s="26" t="n">
        <v>0.78</v>
      </c>
      <c r="T937" s="26" t="n">
        <v>0.54</v>
      </c>
      <c r="U937" s="11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26" t="n">
        <v>51.16</v>
      </c>
      <c r="W937" s="26" t="n">
        <v>69.56</v>
      </c>
      <c r="X937" s="26">
        <f>ROUND(('Methodology &amp; Assumptions'!$B$5*V937) + ('Methodology &amp; Assumptions'!$B$6*W937), 2)</f>
        <v/>
      </c>
      <c r="Y937" s="28" t="n">
        <v>10.9</v>
      </c>
      <c r="Z937" s="11" t="inlineStr">
        <is>
          <t>Priority Tier 2 (Balanced Opportunity)</t>
        </is>
      </c>
    </row>
    <row r="938">
      <c r="A938" s="23" t="n">
        <v>3</v>
      </c>
      <c r="B938" s="23" t="n">
        <v>934</v>
      </c>
      <c r="C938" s="23" t="n">
        <v>2934</v>
      </c>
      <c r="D938" s="23" t="inlineStr">
        <is>
          <t>0305408040</t>
        </is>
      </c>
      <c r="E938" s="11" t="inlineStr">
        <is>
          <t>Region III (Central Luzon)</t>
        </is>
      </c>
      <c r="F938" s="11" t="inlineStr">
        <is>
          <t>Pampanga</t>
        </is>
      </c>
      <c r="G938" s="11" t="inlineStr">
        <is>
          <t>Lubao</t>
        </is>
      </c>
      <c r="H938" s="11" t="inlineStr">
        <is>
          <t>Santa Teresa 1st</t>
        </is>
      </c>
      <c r="I938" s="24" t="n">
        <v>14.926418</v>
      </c>
      <c r="J938" s="24" t="n">
        <v>120.557401</v>
      </c>
      <c r="K938" s="23" t="inlineStr">
        <is>
          <t>R</t>
        </is>
      </c>
      <c r="L938" s="25" t="n">
        <v>3826</v>
      </c>
      <c r="M938" s="26" t="n">
        <v>4</v>
      </c>
      <c r="N938" s="25">
        <f>ROUND(L938/M938, 0)</f>
        <v/>
      </c>
      <c r="O938" s="25">
        <f>ROUND(N938*'Methodology &amp; Assumptions'!$B$7, 0)</f>
        <v/>
      </c>
      <c r="P938" s="23" t="inlineStr">
        <is>
          <t>Single Carrier (Band n50, 100MHz TDD)</t>
        </is>
      </c>
      <c r="Q938" s="27">
        <f>ROUNDUP(O938/'Methodology &amp; Assumptions'!$B$8, 0)</f>
        <v/>
      </c>
      <c r="R938" s="27" t="n">
        <v>1</v>
      </c>
      <c r="S938" s="26" t="n">
        <v>1.77</v>
      </c>
      <c r="T938" s="26" t="n">
        <v>1.78</v>
      </c>
      <c r="U938" s="11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26" t="n">
        <v>82.18000000000001</v>
      </c>
      <c r="W938" s="26" t="n">
        <v>38.52</v>
      </c>
      <c r="X938" s="26">
        <f>ROUND(('Methodology &amp; Assumptions'!$B$5*V938) + ('Methodology &amp; Assumptions'!$B$6*W938), 2)</f>
        <v/>
      </c>
      <c r="Y938" s="28" t="n">
        <v>8.300000000000001</v>
      </c>
      <c r="Z938" s="11" t="inlineStr">
        <is>
          <t>Priority Tier 2 (Balanced Opportunity)</t>
        </is>
      </c>
    </row>
    <row r="939">
      <c r="A939" s="23" t="n">
        <v>3</v>
      </c>
      <c r="B939" s="23" t="n">
        <v>935</v>
      </c>
      <c r="C939" s="23" t="n">
        <v>2935</v>
      </c>
      <c r="D939" s="23" t="inlineStr">
        <is>
          <t>0306916047</t>
        </is>
      </c>
      <c r="E939" s="11" t="inlineStr">
        <is>
          <t>Region III (Central Luzon)</t>
        </is>
      </c>
      <c r="F939" s="11" t="inlineStr">
        <is>
          <t>Tarlac</t>
        </is>
      </c>
      <c r="G939" s="11" t="inlineStr">
        <is>
          <t>City of Tarlac</t>
        </is>
      </c>
      <c r="H939" s="11" t="inlineStr">
        <is>
          <t>Maligaya</t>
        </is>
      </c>
      <c r="I939" s="24" t="n">
        <v>15.440205</v>
      </c>
      <c r="J939" s="24" t="n">
        <v>120.599602</v>
      </c>
      <c r="K939" s="23" t="inlineStr">
        <is>
          <t>U</t>
        </is>
      </c>
      <c r="L939" s="25" t="n">
        <v>4331</v>
      </c>
      <c r="M939" s="26" t="n">
        <v>3.9</v>
      </c>
      <c r="N939" s="25">
        <f>ROUND(L939/M939, 0)</f>
        <v/>
      </c>
      <c r="O939" s="25">
        <f>ROUND(N939*'Methodology &amp; Assumptions'!$B$7, 0)</f>
        <v/>
      </c>
      <c r="P939" s="23" t="inlineStr">
        <is>
          <t>Single Carrier (Band n50, 100MHz TDD)</t>
        </is>
      </c>
      <c r="Q939" s="27">
        <f>ROUNDUP(O939/'Methodology &amp; Assumptions'!$B$8, 0)</f>
        <v/>
      </c>
      <c r="R939" s="27" t="n">
        <v>1</v>
      </c>
      <c r="S939" s="26" t="n">
        <v>2.3</v>
      </c>
      <c r="T939" s="26" t="n">
        <v>0.13</v>
      </c>
      <c r="U939" s="11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26" t="n">
        <v>73.19</v>
      </c>
      <c r="W939" s="26" t="n">
        <v>47.51</v>
      </c>
      <c r="X939" s="26">
        <f>ROUND(('Methodology &amp; Assumptions'!$B$5*V939) + ('Methodology &amp; Assumptions'!$B$6*W939), 2)</f>
        <v/>
      </c>
      <c r="Y939" s="28" t="n">
        <v>8.300000000000001</v>
      </c>
      <c r="Z939" s="11" t="inlineStr">
        <is>
          <t>Priority Tier 2 (Balanced Opportunity)</t>
        </is>
      </c>
    </row>
    <row r="940">
      <c r="A940" s="23" t="n">
        <v>3</v>
      </c>
      <c r="B940" s="23" t="n">
        <v>936</v>
      </c>
      <c r="C940" s="23" t="n">
        <v>2936</v>
      </c>
      <c r="D940" s="23" t="inlineStr">
        <is>
          <t>0301417004</t>
        </is>
      </c>
      <c r="E940" s="11" t="inlineStr">
        <is>
          <t>Region III (Central Luzon)</t>
        </is>
      </c>
      <c r="F940" s="11" t="inlineStr">
        <is>
          <t>Bulacan</t>
        </is>
      </c>
      <c r="G940" s="11" t="inlineStr">
        <is>
          <t>Plaridel</t>
        </is>
      </c>
      <c r="H940" s="11" t="inlineStr">
        <is>
          <t>Banga II</t>
        </is>
      </c>
      <c r="I940" s="24" t="n">
        <v>14.886413</v>
      </c>
      <c r="J940" s="24" t="n">
        <v>120.871766</v>
      </c>
      <c r="K940" s="23" t="inlineStr">
        <is>
          <t>U</t>
        </is>
      </c>
      <c r="L940" s="25" t="n">
        <v>9137</v>
      </c>
      <c r="M940" s="26" t="n">
        <v>3.5</v>
      </c>
      <c r="N940" s="25">
        <f>ROUND(L940/M940, 0)</f>
        <v/>
      </c>
      <c r="O940" s="25">
        <f>ROUND(N940*'Methodology &amp; Assumptions'!$B$7, 0)</f>
        <v/>
      </c>
      <c r="P940" s="23" t="inlineStr">
        <is>
          <t>Single Carrier (Band n50, 100MHz TDD)</t>
        </is>
      </c>
      <c r="Q940" s="27">
        <f>ROUNDUP(O940/'Methodology &amp; Assumptions'!$B$8, 0)</f>
        <v/>
      </c>
      <c r="R940" s="27" t="n">
        <v>1</v>
      </c>
      <c r="S940" s="26" t="n">
        <v>2.87</v>
      </c>
      <c r="T940" s="26" t="n">
        <v>0.48</v>
      </c>
      <c r="U940" s="11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26" t="n">
        <v>71.37</v>
      </c>
      <c r="W940" s="26" t="n">
        <v>49.33</v>
      </c>
      <c r="X940" s="26">
        <f>ROUND(('Methodology &amp; Assumptions'!$B$5*V940) + ('Methodology &amp; Assumptions'!$B$6*W940), 2)</f>
        <v/>
      </c>
      <c r="Y940" s="28" t="n">
        <v>8.300000000000001</v>
      </c>
      <c r="Z940" s="11" t="inlineStr">
        <is>
          <t>Priority Tier 2 (Balanced Opportunity)</t>
        </is>
      </c>
    </row>
    <row r="941">
      <c r="A941" s="23" t="n">
        <v>3</v>
      </c>
      <c r="B941" s="23" t="n">
        <v>937</v>
      </c>
      <c r="C941" s="23" t="n">
        <v>2937</v>
      </c>
      <c r="D941" s="23" t="inlineStr">
        <is>
          <t>1380200013</t>
        </is>
      </c>
      <c r="E941" s="11" t="inlineStr">
        <is>
          <t>National Capital Region (NCR)</t>
        </is>
      </c>
      <c r="F941" s="11" t="inlineStr">
        <is>
          <t>Fourth District (Not a Province)</t>
        </is>
      </c>
      <c r="G941" s="11" t="inlineStr">
        <is>
          <t>City of Las Piñas</t>
        </is>
      </c>
      <c r="H941" s="11" t="inlineStr">
        <is>
          <t>Pamplona Dos</t>
        </is>
      </c>
      <c r="I941" s="24" t="n">
        <v>14.449583</v>
      </c>
      <c r="J941" s="24" t="n">
        <v>120.97489</v>
      </c>
      <c r="K941" s="23" t="inlineStr">
        <is>
          <t>U</t>
        </is>
      </c>
      <c r="L941" s="25" t="n">
        <v>11443</v>
      </c>
      <c r="M941" s="26" t="n">
        <v>3.46</v>
      </c>
      <c r="N941" s="25">
        <f>ROUND(L941/M941, 0)</f>
        <v/>
      </c>
      <c r="O941" s="25">
        <f>ROUND(N941*'Methodology &amp; Assumptions'!$B$7, 0)</f>
        <v/>
      </c>
      <c r="P941" s="23" t="inlineStr">
        <is>
          <t>Single Carrier (Band n50, 100MHz TDD)</t>
        </is>
      </c>
      <c r="Q941" s="27">
        <f>ROUNDUP(O941/'Methodology &amp; Assumptions'!$B$8, 0)</f>
        <v/>
      </c>
      <c r="R941" s="27" t="n">
        <v>1</v>
      </c>
      <c r="S941" s="26" t="n">
        <v>1.49</v>
      </c>
      <c r="T941" s="26" t="n">
        <v>0.41</v>
      </c>
      <c r="U941" s="11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26" t="n">
        <v>66.64</v>
      </c>
      <c r="W941" s="26" t="n">
        <v>54.06</v>
      </c>
      <c r="X941" s="26">
        <f>ROUND(('Methodology &amp; Assumptions'!$B$5*V941) + ('Methodology &amp; Assumptions'!$B$6*W941), 2)</f>
        <v/>
      </c>
      <c r="Y941" s="28" t="n">
        <v>10.9</v>
      </c>
      <c r="Z941" s="11" t="inlineStr">
        <is>
          <t>Priority Tier 2 (Balanced Opportunity)</t>
        </is>
      </c>
    </row>
    <row r="942">
      <c r="A942" s="23" t="n">
        <v>3</v>
      </c>
      <c r="B942" s="23" t="n">
        <v>938</v>
      </c>
      <c r="C942" s="23" t="n">
        <v>2938</v>
      </c>
      <c r="D942" s="23" t="inlineStr">
        <is>
          <t>1380605002</t>
        </is>
      </c>
      <c r="E942" s="11" t="inlineStr">
        <is>
          <t>National Capital Region (NCR)</t>
        </is>
      </c>
      <c r="F942" s="11" t="inlineStr">
        <is>
          <t>First District (Not a Province)</t>
        </is>
      </c>
      <c r="G942" s="11" t="inlineStr">
        <is>
          <t>City of Manila</t>
        </is>
      </c>
      <c r="H942" s="11" t="inlineStr">
        <is>
          <t>Barangay 298</t>
        </is>
      </c>
      <c r="I942" s="24" t="n">
        <v>14.600488</v>
      </c>
      <c r="J942" s="24" t="n">
        <v>120.979182</v>
      </c>
      <c r="K942" s="23" t="inlineStr">
        <is>
          <t>U</t>
        </is>
      </c>
      <c r="L942" s="25" t="n">
        <v>1079</v>
      </c>
      <c r="M942" s="26" t="n">
        <v>3.29</v>
      </c>
      <c r="N942" s="25">
        <f>ROUND(L942/M942, 0)</f>
        <v/>
      </c>
      <c r="O942" s="25">
        <f>ROUND(N942*'Methodology &amp; Assumptions'!$B$7, 0)</f>
        <v/>
      </c>
      <c r="P942" s="23" t="inlineStr">
        <is>
          <t>Single Carrier (Band n50, 100MHz TDD)</t>
        </is>
      </c>
      <c r="Q942" s="27">
        <f>ROUNDUP(O942/'Methodology &amp; Assumptions'!$B$8, 0)</f>
        <v/>
      </c>
      <c r="R942" s="27" t="n">
        <v>1</v>
      </c>
      <c r="S942" s="26" t="n">
        <v>1.23</v>
      </c>
      <c r="T942" s="26" t="n">
        <v>0.23</v>
      </c>
      <c r="U942" s="11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26" t="n">
        <v>50.08</v>
      </c>
      <c r="W942" s="26" t="n">
        <v>70.61</v>
      </c>
      <c r="X942" s="26">
        <f>ROUND(('Methodology &amp; Assumptions'!$B$5*V942) + ('Methodology &amp; Assumptions'!$B$6*W942), 2)</f>
        <v/>
      </c>
      <c r="Y942" s="28" t="n">
        <v>10.9</v>
      </c>
      <c r="Z942" s="11" t="inlineStr">
        <is>
          <t>Priority Tier 2 (Balanced Opportunity)</t>
        </is>
      </c>
    </row>
    <row r="943">
      <c r="A943" s="23" t="n">
        <v>3</v>
      </c>
      <c r="B943" s="23" t="n">
        <v>939</v>
      </c>
      <c r="C943" s="23" t="n">
        <v>2939</v>
      </c>
      <c r="D943" s="23" t="inlineStr">
        <is>
          <t>0702208009</t>
        </is>
      </c>
      <c r="E943" s="11" t="inlineStr">
        <is>
          <t>Region VII (Central Visayas)</t>
        </is>
      </c>
      <c r="F943" s="11" t="inlineStr">
        <is>
          <t>Cebu</t>
        </is>
      </c>
      <c r="G943" s="11" t="inlineStr">
        <is>
          <t>Balamban</t>
        </is>
      </c>
      <c r="H943" s="11" t="inlineStr">
        <is>
          <t>Cambuhawe</t>
        </is>
      </c>
      <c r="I943" s="24" t="n">
        <v>10.500166</v>
      </c>
      <c r="J943" s="24" t="n">
        <v>123.720384</v>
      </c>
      <c r="K943" s="23" t="inlineStr">
        <is>
          <t>R</t>
        </is>
      </c>
      <c r="L943" s="25" t="n">
        <v>3845</v>
      </c>
      <c r="M943" s="26" t="n">
        <v>3.8</v>
      </c>
      <c r="N943" s="25">
        <f>ROUND(L943/M943, 0)</f>
        <v/>
      </c>
      <c r="O943" s="25">
        <f>ROUND(N943*'Methodology &amp; Assumptions'!$B$7, 0)</f>
        <v/>
      </c>
      <c r="P943" s="23" t="inlineStr">
        <is>
          <t>Single Carrier (Band n50, 100MHz TDD)</t>
        </is>
      </c>
      <c r="Q943" s="27">
        <f>ROUNDUP(O943/'Methodology &amp; Assumptions'!$B$8, 0)</f>
        <v/>
      </c>
      <c r="R943" s="27" t="n">
        <v>1</v>
      </c>
      <c r="S943" s="26" t="n">
        <v>1.19</v>
      </c>
      <c r="T943" s="26" t="n">
        <v>0.53</v>
      </c>
      <c r="U943" s="11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26" t="n">
        <v>86.73</v>
      </c>
      <c r="W943" s="26" t="n">
        <v>33.95</v>
      </c>
      <c r="X943" s="26">
        <f>ROUND(('Methodology &amp; Assumptions'!$B$5*V943) + ('Methodology &amp; Assumptions'!$B$6*W943), 2)</f>
        <v/>
      </c>
      <c r="Y943" s="28" t="n">
        <v>23.7</v>
      </c>
      <c r="Z943" s="11" t="inlineStr">
        <is>
          <t>Priority Tier 2 (Balanced Opportunity)</t>
        </is>
      </c>
    </row>
    <row r="944">
      <c r="A944" s="23" t="n">
        <v>3</v>
      </c>
      <c r="B944" s="23" t="n">
        <v>940</v>
      </c>
      <c r="C944" s="23" t="n">
        <v>2940</v>
      </c>
      <c r="D944" s="23" t="inlineStr">
        <is>
          <t>0304924017</t>
        </is>
      </c>
      <c r="E944" s="11" t="inlineStr">
        <is>
          <t>Region III (Central Luzon)</t>
        </is>
      </c>
      <c r="F944" s="11" t="inlineStr">
        <is>
          <t>Nueva Ecija</t>
        </is>
      </c>
      <c r="G944" s="11" t="inlineStr">
        <is>
          <t>San Antonio</t>
        </is>
      </c>
      <c r="H944" s="11" t="inlineStr">
        <is>
          <t>Tikiw</t>
        </is>
      </c>
      <c r="I944" s="24" t="n">
        <v>15.311076</v>
      </c>
      <c r="J944" s="24" t="n">
        <v>120.861102</v>
      </c>
      <c r="K944" s="23" t="inlineStr">
        <is>
          <t>R</t>
        </is>
      </c>
      <c r="L944" s="25" t="n">
        <v>3172</v>
      </c>
      <c r="M944" s="26" t="n">
        <v>3.5</v>
      </c>
      <c r="N944" s="25">
        <f>ROUND(L944/M944, 0)</f>
        <v/>
      </c>
      <c r="O944" s="25">
        <f>ROUND(N944*'Methodology &amp; Assumptions'!$B$7, 0)</f>
        <v/>
      </c>
      <c r="P944" s="23" t="inlineStr">
        <is>
          <t>Single Carrier (Band n50, 100MHz TDD)</t>
        </is>
      </c>
      <c r="Q944" s="27">
        <f>ROUNDUP(O944/'Methodology &amp; Assumptions'!$B$8, 0)</f>
        <v/>
      </c>
      <c r="R944" s="27" t="n">
        <v>1</v>
      </c>
      <c r="S944" s="26" t="n">
        <v>0.44</v>
      </c>
      <c r="T944" s="26" t="n">
        <v>3.23</v>
      </c>
      <c r="U944" s="11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26" t="n">
        <v>83.78</v>
      </c>
      <c r="W944" s="26" t="n">
        <v>36.9</v>
      </c>
      <c r="X944" s="26">
        <f>ROUND(('Methodology &amp; Assumptions'!$B$5*V944) + ('Methodology &amp; Assumptions'!$B$6*W944), 2)</f>
        <v/>
      </c>
      <c r="Y944" s="28" t="n">
        <v>8.300000000000001</v>
      </c>
      <c r="Z944" s="11" t="inlineStr">
        <is>
          <t>Priority Tier 2 (Balanced Opportunity)</t>
        </is>
      </c>
    </row>
    <row r="945">
      <c r="A945" s="23" t="n">
        <v>3</v>
      </c>
      <c r="B945" s="23" t="n">
        <v>941</v>
      </c>
      <c r="C945" s="23" t="n">
        <v>2941</v>
      </c>
      <c r="D945" s="23" t="inlineStr">
        <is>
          <t>0702211001</t>
        </is>
      </c>
      <c r="E945" s="11" t="inlineStr">
        <is>
          <t>Region VII (Central Visayas)</t>
        </is>
      </c>
      <c r="F945" s="11" t="inlineStr">
        <is>
          <t>Cebu</t>
        </is>
      </c>
      <c r="G945" s="11" t="inlineStr">
        <is>
          <t>City of Bogo</t>
        </is>
      </c>
      <c r="H945" s="11" t="inlineStr">
        <is>
          <t>Cogon</t>
        </is>
      </c>
      <c r="I945" s="24" t="n">
        <v>11.045634</v>
      </c>
      <c r="J945" s="24" t="n">
        <v>124.001768</v>
      </c>
      <c r="K945" s="23" t="inlineStr">
        <is>
          <t>U</t>
        </is>
      </c>
      <c r="L945" s="25" t="n">
        <v>2857</v>
      </c>
      <c r="M945" s="26" t="n">
        <v>3.8</v>
      </c>
      <c r="N945" s="25">
        <f>ROUND(L945/M945, 0)</f>
        <v/>
      </c>
      <c r="O945" s="25">
        <f>ROUND(N945*'Methodology &amp; Assumptions'!$B$7, 0)</f>
        <v/>
      </c>
      <c r="P945" s="23" t="inlineStr">
        <is>
          <t>Single Carrier (Band n50, 100MHz TDD)</t>
        </is>
      </c>
      <c r="Q945" s="27">
        <f>ROUNDUP(O945/'Methodology &amp; Assumptions'!$B$8, 0)</f>
        <v/>
      </c>
      <c r="R945" s="27" t="n">
        <v>1</v>
      </c>
      <c r="S945" s="26" t="n">
        <v>0.65</v>
      </c>
      <c r="T945" s="26" t="n">
        <v>0.12</v>
      </c>
      <c r="U945" s="11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26" t="n">
        <v>77.17</v>
      </c>
      <c r="W945" s="26" t="n">
        <v>43.51</v>
      </c>
      <c r="X945" s="26">
        <f>ROUND(('Methodology &amp; Assumptions'!$B$5*V945) + ('Methodology &amp; Assumptions'!$B$6*W945), 2)</f>
        <v/>
      </c>
      <c r="Y945" s="28" t="n">
        <v>23.7</v>
      </c>
      <c r="Z945" s="11" t="inlineStr">
        <is>
          <t>Priority Tier 2 (Balanced Opportunity)</t>
        </is>
      </c>
    </row>
    <row r="946">
      <c r="A946" s="23" t="n">
        <v>3</v>
      </c>
      <c r="B946" s="23" t="n">
        <v>942</v>
      </c>
      <c r="C946" s="23" t="n">
        <v>2942</v>
      </c>
      <c r="D946" s="23" t="inlineStr">
        <is>
          <t>0403405004</t>
        </is>
      </c>
      <c r="E946" s="11" t="inlineStr">
        <is>
          <t>Region IV-A (CALABARZON)</t>
        </is>
      </c>
      <c r="F946" s="11" t="inlineStr">
        <is>
          <t>Laguna</t>
        </is>
      </c>
      <c r="G946" s="11" t="inlineStr">
        <is>
          <t>City of Calamba</t>
        </is>
      </c>
      <c r="H946" s="11" t="inlineStr">
        <is>
          <t>Barandal</t>
        </is>
      </c>
      <c r="I946" s="24" t="n">
        <v>14.188263</v>
      </c>
      <c r="J946" s="24" t="n">
        <v>121.13028</v>
      </c>
      <c r="K946" s="23" t="inlineStr">
        <is>
          <t>U</t>
        </is>
      </c>
      <c r="L946" s="25" t="n">
        <v>19814</v>
      </c>
      <c r="M946" s="26" t="n">
        <v>3.3</v>
      </c>
      <c r="N946" s="25">
        <f>ROUND(L946/M946, 0)</f>
        <v/>
      </c>
      <c r="O946" s="25">
        <f>ROUND(N946*'Methodology &amp; Assumptions'!$B$7, 0)</f>
        <v/>
      </c>
      <c r="P946" s="23" t="inlineStr">
        <is>
          <t>Single Carrier (Band n50, 100MHz TDD)</t>
        </is>
      </c>
      <c r="Q946" s="27">
        <f>ROUNDUP(O946/'Methodology &amp; Assumptions'!$B$8, 0)</f>
        <v/>
      </c>
      <c r="R946" s="27" t="n">
        <v>1</v>
      </c>
      <c r="S946" s="26" t="n">
        <v>1.98</v>
      </c>
      <c r="T946" s="26" t="n">
        <v>0.21</v>
      </c>
      <c r="U946" s="11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26" t="n">
        <v>74.08</v>
      </c>
      <c r="W946" s="26" t="n">
        <v>46.59</v>
      </c>
      <c r="X946" s="26">
        <f>ROUND(('Methodology &amp; Assumptions'!$B$5*V946) + ('Methodology &amp; Assumptions'!$B$6*W946), 2)</f>
        <v/>
      </c>
      <c r="Y946" s="28" t="n">
        <v>7.2</v>
      </c>
      <c r="Z946" s="11" t="inlineStr">
        <is>
          <t>Priority Tier 2 (Balanced Opportunity)</t>
        </is>
      </c>
    </row>
    <row r="947">
      <c r="A947" s="23" t="n">
        <v>3</v>
      </c>
      <c r="B947" s="23" t="n">
        <v>943</v>
      </c>
      <c r="C947" s="23" t="n">
        <v>2943</v>
      </c>
      <c r="D947" s="23" t="inlineStr">
        <is>
          <t>0604528041</t>
        </is>
      </c>
      <c r="E947" s="11" t="inlineStr">
        <is>
          <t>Region VI (Western Visayas)</t>
        </is>
      </c>
      <c r="F947" s="11" t="inlineStr">
        <is>
          <t>Negros Occidental</t>
        </is>
      </c>
      <c r="G947" s="11" t="inlineStr">
        <is>
          <t>City of Talisay</t>
        </is>
      </c>
      <c r="H947" s="11" t="inlineStr">
        <is>
          <t>Zone 2</t>
        </is>
      </c>
      <c r="I947" s="24" t="n">
        <v>10.744023</v>
      </c>
      <c r="J947" s="24" t="n">
        <v>122.967993</v>
      </c>
      <c r="K947" s="23" t="inlineStr">
        <is>
          <t>U</t>
        </is>
      </c>
      <c r="L947" s="25" t="n">
        <v>2184</v>
      </c>
      <c r="M947" s="26" t="n">
        <v>3.7</v>
      </c>
      <c r="N947" s="25">
        <f>ROUND(L947/M947, 0)</f>
        <v/>
      </c>
      <c r="O947" s="25">
        <f>ROUND(N947*'Methodology &amp; Assumptions'!$B$7, 0)</f>
        <v/>
      </c>
      <c r="P947" s="23" t="inlineStr">
        <is>
          <t>Single Carrier (Band n50, 100MHz TDD)</t>
        </is>
      </c>
      <c r="Q947" s="27">
        <f>ROUNDUP(O947/'Methodology &amp; Assumptions'!$B$8, 0)</f>
        <v/>
      </c>
      <c r="R947" s="27" t="n">
        <v>1</v>
      </c>
      <c r="S947" s="26" t="n">
        <v>0.38</v>
      </c>
      <c r="T947" s="26" t="n">
        <v>0.17</v>
      </c>
      <c r="U947" s="11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26" t="n">
        <v>72.2</v>
      </c>
      <c r="W947" s="26" t="n">
        <v>48.47</v>
      </c>
      <c r="X947" s="26">
        <f>ROUND(('Methodology &amp; Assumptions'!$B$5*V947) + ('Methodology &amp; Assumptions'!$B$6*W947), 2)</f>
        <v/>
      </c>
      <c r="Y947" s="28" t="n">
        <v>23.7</v>
      </c>
      <c r="Z947" s="11" t="inlineStr">
        <is>
          <t>Priority Tier 2 (Balanced Opportunity)</t>
        </is>
      </c>
    </row>
    <row r="948">
      <c r="A948" s="23" t="n">
        <v>3</v>
      </c>
      <c r="B948" s="23" t="n">
        <v>944</v>
      </c>
      <c r="C948" s="23" t="n">
        <v>2944</v>
      </c>
      <c r="D948" s="23" t="inlineStr">
        <is>
          <t>0405644004</t>
        </is>
      </c>
      <c r="E948" s="11" t="inlineStr">
        <is>
          <t>Region IV-A (CALABARZON)</t>
        </is>
      </c>
      <c r="F948" s="11" t="inlineStr">
        <is>
          <t>Quezon</t>
        </is>
      </c>
      <c r="G948" s="11" t="inlineStr">
        <is>
          <t>San Narciso</t>
        </is>
      </c>
      <c r="H948" s="11" t="inlineStr">
        <is>
          <t>Binay</t>
        </is>
      </c>
      <c r="I948" s="24" t="n">
        <v>13.50147</v>
      </c>
      <c r="J948" s="24" t="n">
        <v>122.60011</v>
      </c>
      <c r="K948" s="23" t="inlineStr">
        <is>
          <t>R</t>
        </is>
      </c>
      <c r="L948" s="25" t="n">
        <v>2733</v>
      </c>
      <c r="M948" s="26" t="n">
        <v>3.8</v>
      </c>
      <c r="N948" s="25">
        <f>ROUND(L948/M948, 0)</f>
        <v/>
      </c>
      <c r="O948" s="25">
        <f>ROUND(N948*'Methodology &amp; Assumptions'!$B$7, 0)</f>
        <v/>
      </c>
      <c r="P948" s="23" t="inlineStr">
        <is>
          <t>Single Carrier (Band n50, 100MHz TDD)</t>
        </is>
      </c>
      <c r="Q948" s="27">
        <f>ROUNDUP(O948/'Methodology &amp; Assumptions'!$B$8, 0)</f>
        <v/>
      </c>
      <c r="R948" s="27" t="n">
        <v>1</v>
      </c>
      <c r="S948" s="26" t="n">
        <v>3.43</v>
      </c>
      <c r="T948" s="26" t="n">
        <v>8.69</v>
      </c>
      <c r="U948" s="11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26" t="n">
        <v>70.43000000000001</v>
      </c>
      <c r="W948" s="26" t="n">
        <v>50.25</v>
      </c>
      <c r="X948" s="26">
        <f>ROUND(('Methodology &amp; Assumptions'!$B$5*V948) + ('Methodology &amp; Assumptions'!$B$6*W948), 2)</f>
        <v/>
      </c>
      <c r="Y948" s="28" t="n">
        <v>7.2</v>
      </c>
      <c r="Z948" s="11" t="inlineStr">
        <is>
          <t>Priority Tier 2 (Balanced Opportunity)</t>
        </is>
      </c>
    </row>
    <row r="949">
      <c r="A949" s="23" t="n">
        <v>3</v>
      </c>
      <c r="B949" s="23" t="n">
        <v>945</v>
      </c>
      <c r="C949" s="23" t="n">
        <v>2945</v>
      </c>
      <c r="D949" s="23" t="inlineStr">
        <is>
          <t>1907001018</t>
        </is>
      </c>
      <c r="E949" s="11" t="inlineStr">
        <is>
          <t>Bangsamoro Autonomous Region In Muslim Mindanao (BARMM)</t>
        </is>
      </c>
      <c r="F949" s="11" t="inlineStr">
        <is>
          <t>Tawi-Tawi</t>
        </is>
      </c>
      <c r="G949" s="11" t="inlineStr">
        <is>
          <t>Panglima Sugala</t>
        </is>
      </c>
      <c r="H949" s="11" t="inlineStr">
        <is>
          <t>Tundon</t>
        </is>
      </c>
      <c r="I949" s="24" t="n">
        <v>4.901165</v>
      </c>
      <c r="J949" s="24" t="n">
        <v>119.930224</v>
      </c>
      <c r="K949" s="23" t="inlineStr">
        <is>
          <t>R</t>
        </is>
      </c>
      <c r="L949" s="25" t="n">
        <v>3035</v>
      </c>
      <c r="M949" s="26" t="n">
        <v>5.8</v>
      </c>
      <c r="N949" s="25">
        <f>ROUND(L949/M949, 0)</f>
        <v/>
      </c>
      <c r="O949" s="25">
        <f>ROUND(N949*'Methodology &amp; Assumptions'!$B$7, 0)</f>
        <v/>
      </c>
      <c r="P949" s="23" t="inlineStr">
        <is>
          <t>Single Carrier (Band n50, 100MHz TDD)</t>
        </is>
      </c>
      <c r="Q949" s="27">
        <f>ROUNDUP(O949/'Methodology &amp; Assumptions'!$B$8, 0)</f>
        <v/>
      </c>
      <c r="R949" s="27" t="n">
        <v>1</v>
      </c>
      <c r="S949" s="26" t="n">
        <v>999</v>
      </c>
      <c r="T949" s="26" t="n">
        <v>999</v>
      </c>
      <c r="U949" s="11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26" t="n">
        <v>47.87</v>
      </c>
      <c r="W949" s="26" t="n">
        <v>72.81</v>
      </c>
      <c r="X949" s="26">
        <f>ROUND(('Methodology &amp; Assumptions'!$B$5*V949) + ('Methodology &amp; Assumptions'!$B$6*W949), 2)</f>
        <v/>
      </c>
      <c r="Y949" s="28" t="n">
        <v>11</v>
      </c>
      <c r="Z949" s="11" t="inlineStr">
        <is>
          <t>Priority Tier 2 (Balanced Opportunity)</t>
        </is>
      </c>
    </row>
    <row r="950">
      <c r="A950" s="23" t="n">
        <v>3</v>
      </c>
      <c r="B950" s="23" t="n">
        <v>946</v>
      </c>
      <c r="C950" s="23" t="n">
        <v>2946</v>
      </c>
      <c r="D950" s="23" t="inlineStr">
        <is>
          <t>1908712008</t>
        </is>
      </c>
      <c r="E950" s="11" t="inlineStr">
        <is>
          <t>Bangsamoro Autonomous Region In Muslim Mindanao (BARMM)</t>
        </is>
      </c>
      <c r="F950" s="11" t="inlineStr">
        <is>
          <t>Maguindanao del Norte</t>
        </is>
      </c>
      <c r="G950" s="11" t="inlineStr">
        <is>
          <t>Talitay</t>
        </is>
      </c>
      <c r="H950" s="11" t="inlineStr">
        <is>
          <t>Pageda</t>
        </is>
      </c>
      <c r="I950" s="24" t="n">
        <v>7.067636</v>
      </c>
      <c r="J950" s="24" t="n">
        <v>124.392088</v>
      </c>
      <c r="K950" s="23" t="inlineStr">
        <is>
          <t>R</t>
        </is>
      </c>
      <c r="L950" s="25" t="n">
        <v>4332</v>
      </c>
      <c r="M950" s="26" t="n">
        <v>4.3</v>
      </c>
      <c r="N950" s="25">
        <f>ROUND(L950/M950, 0)</f>
        <v/>
      </c>
      <c r="O950" s="25">
        <f>ROUND(N950*'Methodology &amp; Assumptions'!$B$7, 0)</f>
        <v/>
      </c>
      <c r="P950" s="23" t="inlineStr">
        <is>
          <t>Single Carrier (Band n50, 100MHz TDD)</t>
        </is>
      </c>
      <c r="Q950" s="27">
        <f>ROUNDUP(O950/'Methodology &amp; Assumptions'!$B$8, 0)</f>
        <v/>
      </c>
      <c r="R950" s="27" t="n">
        <v>1</v>
      </c>
      <c r="S950" s="26" t="n">
        <v>47.11</v>
      </c>
      <c r="T950" s="26" t="n">
        <v>45.96</v>
      </c>
      <c r="U950" s="11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26" t="n">
        <v>59.06</v>
      </c>
      <c r="W950" s="26" t="n">
        <v>61.61</v>
      </c>
      <c r="X950" s="26">
        <f>ROUND(('Methodology &amp; Assumptions'!$B$5*V950) + ('Methodology &amp; Assumptions'!$B$6*W950), 2)</f>
        <v/>
      </c>
      <c r="Y950" s="28" t="n">
        <v>11</v>
      </c>
      <c r="Z950" s="11" t="inlineStr">
        <is>
          <t>Priority Tier 2 (Balanced Opportunity)</t>
        </is>
      </c>
    </row>
    <row r="951">
      <c r="A951" s="23" t="n">
        <v>3</v>
      </c>
      <c r="B951" s="23" t="n">
        <v>947</v>
      </c>
      <c r="C951" s="23" t="n">
        <v>2947</v>
      </c>
      <c r="D951" s="23" t="inlineStr">
        <is>
          <t>1380607001</t>
        </is>
      </c>
      <c r="E951" s="11" t="inlineStr">
        <is>
          <t>National Capital Region (NCR)</t>
        </is>
      </c>
      <c r="F951" s="11" t="inlineStr">
        <is>
          <t>First District (Not a Province)</t>
        </is>
      </c>
      <c r="G951" s="11" t="inlineStr">
        <is>
          <t>City of Manila</t>
        </is>
      </c>
      <c r="H951" s="11" t="inlineStr">
        <is>
          <t>Barangay 637</t>
        </is>
      </c>
      <c r="I951" s="24" t="n">
        <v>14.599416</v>
      </c>
      <c r="J951" s="24" t="n">
        <v>120.997132</v>
      </c>
      <c r="K951" s="23" t="inlineStr">
        <is>
          <t>U</t>
        </is>
      </c>
      <c r="L951" s="25" t="n">
        <v>1320</v>
      </c>
      <c r="M951" s="26" t="n">
        <v>4.37</v>
      </c>
      <c r="N951" s="25">
        <f>ROUND(L951/M951, 0)</f>
        <v/>
      </c>
      <c r="O951" s="25">
        <f>ROUND(N951*'Methodology &amp; Assumptions'!$B$7, 0)</f>
        <v/>
      </c>
      <c r="P951" s="23" t="inlineStr">
        <is>
          <t>Single Carrier (Band n50, 100MHz TDD)</t>
        </is>
      </c>
      <c r="Q951" s="27">
        <f>ROUNDUP(O951/'Methodology &amp; Assumptions'!$B$8, 0)</f>
        <v/>
      </c>
      <c r="R951" s="27" t="n">
        <v>1</v>
      </c>
      <c r="S951" s="26" t="n">
        <v>0.76</v>
      </c>
      <c r="T951" s="26" t="n">
        <v>0.16</v>
      </c>
      <c r="U951" s="11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26" t="n">
        <v>50.84</v>
      </c>
      <c r="W951" s="26" t="n">
        <v>69.83</v>
      </c>
      <c r="X951" s="26">
        <f>ROUND(('Methodology &amp; Assumptions'!$B$5*V951) + ('Methodology &amp; Assumptions'!$B$6*W951), 2)</f>
        <v/>
      </c>
      <c r="Y951" s="28" t="n">
        <v>10.9</v>
      </c>
      <c r="Z951" s="11" t="inlineStr">
        <is>
          <t>Priority Tier 2 (Balanced Opportunity)</t>
        </is>
      </c>
    </row>
    <row r="952">
      <c r="A952" s="23" t="n">
        <v>3</v>
      </c>
      <c r="B952" s="23" t="n">
        <v>948</v>
      </c>
      <c r="C952" s="23" t="n">
        <v>2948</v>
      </c>
      <c r="D952" s="23" t="inlineStr">
        <is>
          <t>0806010021</t>
        </is>
      </c>
      <c r="E952" s="11" t="inlineStr">
        <is>
          <t>Region VIII (Eastern Visayas)</t>
        </is>
      </c>
      <c r="F952" s="11" t="inlineStr">
        <is>
          <t>Samar</t>
        </is>
      </c>
      <c r="G952" s="11" t="inlineStr">
        <is>
          <t>Marabut</t>
        </is>
      </c>
      <c r="H952" s="11" t="inlineStr">
        <is>
          <t>Panan-awan</t>
        </is>
      </c>
      <c r="I952" s="24" t="n">
        <v>11.196078</v>
      </c>
      <c r="J952" s="24" t="n">
        <v>125.234078</v>
      </c>
      <c r="K952" s="23" t="inlineStr">
        <is>
          <t>R</t>
        </is>
      </c>
      <c r="L952" s="25" t="n">
        <v>386</v>
      </c>
      <c r="M952" s="26" t="n">
        <v>4.1</v>
      </c>
      <c r="N952" s="25">
        <f>ROUND(L952/M952, 0)</f>
        <v/>
      </c>
      <c r="O952" s="25">
        <f>ROUND(N952*'Methodology &amp; Assumptions'!$B$7, 0)</f>
        <v/>
      </c>
      <c r="P952" s="23" t="inlineStr">
        <is>
          <t>Single Carrier (Band n50, 100MHz TDD)</t>
        </is>
      </c>
      <c r="Q952" s="27">
        <f>ROUNDUP(O952/'Methodology &amp; Assumptions'!$B$8, 0)</f>
        <v/>
      </c>
      <c r="R952" s="27" t="n">
        <v>1</v>
      </c>
      <c r="S952" s="26" t="n">
        <v>24.57</v>
      </c>
      <c r="T952" s="26" t="n">
        <v>23.38</v>
      </c>
      <c r="U952" s="11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26" t="n">
        <v>41.67</v>
      </c>
      <c r="W952" s="26" t="n">
        <v>78.98</v>
      </c>
      <c r="X952" s="26">
        <f>ROUND(('Methodology &amp; Assumptions'!$B$5*V952) + ('Methodology &amp; Assumptions'!$B$6*W952), 2)</f>
        <v/>
      </c>
      <c r="Y952" s="28" t="n">
        <v>23.7</v>
      </c>
      <c r="Z952" s="11" t="inlineStr">
        <is>
          <t>Priority Tier 2 (Balanced Opportunity)</t>
        </is>
      </c>
    </row>
    <row r="953">
      <c r="A953" s="23" t="n">
        <v>3</v>
      </c>
      <c r="B953" s="23" t="n">
        <v>949</v>
      </c>
      <c r="C953" s="23" t="n">
        <v>2949</v>
      </c>
      <c r="D953" s="23" t="inlineStr">
        <is>
          <t>1004301010</t>
        </is>
      </c>
      <c r="E953" s="11" t="inlineStr">
        <is>
          <t>Region X (Northern Mindanao)</t>
        </is>
      </c>
      <c r="F953" s="11" t="inlineStr">
        <is>
          <t>Misamis Oriental</t>
        </is>
      </c>
      <c r="G953" s="11" t="inlineStr">
        <is>
          <t>Alubijid</t>
        </is>
      </c>
      <c r="H953" s="11" t="inlineStr">
        <is>
          <t>Poblacion</t>
        </is>
      </c>
      <c r="I953" s="24" t="n">
        <v>8.570379000000001</v>
      </c>
      <c r="J953" s="24" t="n">
        <v>124.473505</v>
      </c>
      <c r="K953" s="23" t="inlineStr">
        <is>
          <t>R</t>
        </is>
      </c>
      <c r="L953" s="25" t="n">
        <v>3800</v>
      </c>
      <c r="M953" s="26" t="n">
        <v>3.9</v>
      </c>
      <c r="N953" s="25">
        <f>ROUND(L953/M953, 0)</f>
        <v/>
      </c>
      <c r="O953" s="25">
        <f>ROUND(N953*'Methodology &amp; Assumptions'!$B$7, 0)</f>
        <v/>
      </c>
      <c r="P953" s="23" t="inlineStr">
        <is>
          <t>Single Carrier (Band n50, 100MHz TDD)</t>
        </is>
      </c>
      <c r="Q953" s="27">
        <f>ROUNDUP(O953/'Methodology &amp; Assumptions'!$B$8, 0)</f>
        <v/>
      </c>
      <c r="R953" s="27" t="n">
        <v>1</v>
      </c>
      <c r="S953" s="26" t="n">
        <v>0.15</v>
      </c>
      <c r="T953" s="26" t="n">
        <v>0.37</v>
      </c>
      <c r="U953" s="11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26" t="n">
        <v>87.06999999999999</v>
      </c>
      <c r="W953" s="26" t="n">
        <v>33.57</v>
      </c>
      <c r="X953" s="26">
        <f>ROUND(('Methodology &amp; Assumptions'!$B$5*V953) + ('Methodology &amp; Assumptions'!$B$6*W953), 2)</f>
        <v/>
      </c>
      <c r="Y953" s="28" t="n">
        <v>17.4</v>
      </c>
      <c r="Z953" s="11" t="inlineStr">
        <is>
          <t>Priority Tier 2 (Balanced Opportunity)</t>
        </is>
      </c>
    </row>
    <row r="954">
      <c r="A954" s="23" t="n">
        <v>3</v>
      </c>
      <c r="B954" s="23" t="n">
        <v>950</v>
      </c>
      <c r="C954" s="23" t="n">
        <v>2950</v>
      </c>
      <c r="D954" s="23" t="inlineStr">
        <is>
          <t>0305410003</t>
        </is>
      </c>
      <c r="E954" s="11" t="inlineStr">
        <is>
          <t>Region III (Central Luzon)</t>
        </is>
      </c>
      <c r="F954" s="11" t="inlineStr">
        <is>
          <t>Pampanga</t>
        </is>
      </c>
      <c r="G954" s="11" t="inlineStr">
        <is>
          <t>Macabebe</t>
        </is>
      </c>
      <c r="H954" s="11" t="inlineStr">
        <is>
          <t>Candelaria</t>
        </is>
      </c>
      <c r="I954" s="24" t="n">
        <v>14.883819</v>
      </c>
      <c r="J954" s="24" t="n">
        <v>120.72064</v>
      </c>
      <c r="K954" s="23" t="inlineStr">
        <is>
          <t>R</t>
        </is>
      </c>
      <c r="L954" s="25" t="n">
        <v>3215</v>
      </c>
      <c r="M954" s="26" t="n">
        <v>4</v>
      </c>
      <c r="N954" s="25">
        <f>ROUND(L954/M954, 0)</f>
        <v/>
      </c>
      <c r="O954" s="25">
        <f>ROUND(N954*'Methodology &amp; Assumptions'!$B$7, 0)</f>
        <v/>
      </c>
      <c r="P954" s="23" t="inlineStr">
        <is>
          <t>Single Carrier (Band n50, 100MHz TDD)</t>
        </is>
      </c>
      <c r="Q954" s="27">
        <f>ROUNDUP(O954/'Methodology &amp; Assumptions'!$B$8, 0)</f>
        <v/>
      </c>
      <c r="R954" s="27" t="n">
        <v>1</v>
      </c>
      <c r="S954" s="26" t="n">
        <v>1.71</v>
      </c>
      <c r="T954" s="26" t="n">
        <v>0.36</v>
      </c>
      <c r="U954" s="11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26" t="n">
        <v>81.88</v>
      </c>
      <c r="W954" s="26" t="n">
        <v>38.75</v>
      </c>
      <c r="X954" s="26">
        <f>ROUND(('Methodology &amp; Assumptions'!$B$5*V954) + ('Methodology &amp; Assumptions'!$B$6*W954), 2)</f>
        <v/>
      </c>
      <c r="Y954" s="28" t="n">
        <v>8.300000000000001</v>
      </c>
      <c r="Z954" s="11" t="inlineStr">
        <is>
          <t>Priority Tier 2 (Balanced Opportunity)</t>
        </is>
      </c>
    </row>
    <row r="955">
      <c r="A955" s="23" t="n">
        <v>3</v>
      </c>
      <c r="B955" s="23" t="n">
        <v>951</v>
      </c>
      <c r="C955" s="23" t="n">
        <v>2951</v>
      </c>
      <c r="D955" s="23" t="inlineStr">
        <is>
          <t>0401012037</t>
        </is>
      </c>
      <c r="E955" s="11" t="inlineStr">
        <is>
          <t>Region IV-A (CALABARZON)</t>
        </is>
      </c>
      <c r="F955" s="11" t="inlineStr">
        <is>
          <t>Batangas</t>
        </is>
      </c>
      <c r="G955" s="11" t="inlineStr">
        <is>
          <t>Lemery</t>
        </is>
      </c>
      <c r="H955" s="11" t="inlineStr">
        <is>
          <t>Sambal Ibaba</t>
        </is>
      </c>
      <c r="I955" s="24" t="n">
        <v>13.882582</v>
      </c>
      <c r="J955" s="24" t="n">
        <v>120.909012</v>
      </c>
      <c r="K955" s="23" t="inlineStr">
        <is>
          <t>R</t>
        </is>
      </c>
      <c r="L955" s="25" t="n">
        <v>2062</v>
      </c>
      <c r="M955" s="26" t="n">
        <v>3.6</v>
      </c>
      <c r="N955" s="25">
        <f>ROUND(L955/M955, 0)</f>
        <v/>
      </c>
      <c r="O955" s="25">
        <f>ROUND(N955*'Methodology &amp; Assumptions'!$B$7, 0)</f>
        <v/>
      </c>
      <c r="P955" s="23" t="inlineStr">
        <is>
          <t>Single Carrier (Band n50, 100MHz TDD)</t>
        </is>
      </c>
      <c r="Q955" s="27">
        <f>ROUNDUP(O955/'Methodology &amp; Assumptions'!$B$8, 0)</f>
        <v/>
      </c>
      <c r="R955" s="27" t="n">
        <v>1</v>
      </c>
      <c r="S955" s="26" t="n">
        <v>1.15</v>
      </c>
      <c r="T955" s="26" t="n">
        <v>1.53</v>
      </c>
      <c r="U955" s="11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26" t="n">
        <v>76.39</v>
      </c>
      <c r="W955" s="26" t="n">
        <v>44.25</v>
      </c>
      <c r="X955" s="26">
        <f>ROUND(('Methodology &amp; Assumptions'!$B$5*V955) + ('Methodology &amp; Assumptions'!$B$6*W955), 2)</f>
        <v/>
      </c>
      <c r="Y955" s="28" t="n">
        <v>7.2</v>
      </c>
      <c r="Z955" s="11" t="inlineStr">
        <is>
          <t>Priority Tier 2 (Balanced Opportunity)</t>
        </is>
      </c>
    </row>
    <row r="956">
      <c r="A956" s="23" t="n">
        <v>3</v>
      </c>
      <c r="B956" s="23" t="n">
        <v>952</v>
      </c>
      <c r="C956" s="23" t="n">
        <v>2952</v>
      </c>
      <c r="D956" s="23" t="inlineStr">
        <is>
          <t>1380605057</t>
        </is>
      </c>
      <c r="E956" s="11" t="inlineStr">
        <is>
          <t>National Capital Region (NCR)</t>
        </is>
      </c>
      <c r="F956" s="11" t="inlineStr">
        <is>
          <t>First District (Not a Province)</t>
        </is>
      </c>
      <c r="G956" s="11" t="inlineStr">
        <is>
          <t>City of Manila</t>
        </is>
      </c>
      <c r="H956" s="11" t="inlineStr">
        <is>
          <t>Barangay 355</t>
        </is>
      </c>
      <c r="I956" s="24" t="n">
        <v>14.61752</v>
      </c>
      <c r="J956" s="24" t="n">
        <v>120.9799</v>
      </c>
      <c r="K956" s="23" t="inlineStr">
        <is>
          <t>U</t>
        </is>
      </c>
      <c r="L956" s="25" t="n">
        <v>1118</v>
      </c>
      <c r="M956" s="26" t="n">
        <v>3.9</v>
      </c>
      <c r="N956" s="25">
        <f>ROUND(L956/M956, 0)</f>
        <v/>
      </c>
      <c r="O956" s="25">
        <f>ROUND(N956*'Methodology &amp; Assumptions'!$B$7, 0)</f>
        <v/>
      </c>
      <c r="P956" s="23" t="inlineStr">
        <is>
          <t>Single Carrier (Band n50, 100MHz TDD)</t>
        </is>
      </c>
      <c r="Q956" s="27">
        <f>ROUNDUP(O956/'Methodology &amp; Assumptions'!$B$8, 0)</f>
        <v/>
      </c>
      <c r="R956" s="27" t="n">
        <v>1</v>
      </c>
      <c r="S956" s="26" t="n">
        <v>0.34</v>
      </c>
      <c r="T956" s="26" t="n">
        <v>0.3</v>
      </c>
      <c r="U956" s="11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26" t="n">
        <v>50.3</v>
      </c>
      <c r="W956" s="26" t="n">
        <v>70.33</v>
      </c>
      <c r="X956" s="26">
        <f>ROUND(('Methodology &amp; Assumptions'!$B$5*V956) + ('Methodology &amp; Assumptions'!$B$6*W956), 2)</f>
        <v/>
      </c>
      <c r="Y956" s="28" t="n">
        <v>10.9</v>
      </c>
      <c r="Z956" s="11" t="inlineStr">
        <is>
          <t>Priority Tier 2 (Balanced Opportunity)</t>
        </is>
      </c>
    </row>
    <row r="957">
      <c r="A957" s="23" t="n">
        <v>3</v>
      </c>
      <c r="B957" s="23" t="n">
        <v>953</v>
      </c>
      <c r="C957" s="23" t="n">
        <v>2953</v>
      </c>
      <c r="D957" s="23" t="inlineStr">
        <is>
          <t>0702216014</t>
        </is>
      </c>
      <c r="E957" s="11" t="inlineStr">
        <is>
          <t>Region VII (Central Visayas)</t>
        </is>
      </c>
      <c r="F957" s="11" t="inlineStr">
        <is>
          <t>Cebu</t>
        </is>
      </c>
      <c r="G957" s="11" t="inlineStr">
        <is>
          <t>Catmon</t>
        </is>
      </c>
      <c r="H957" s="11" t="inlineStr">
        <is>
          <t>Macaas</t>
        </is>
      </c>
      <c r="I957" s="24" t="n">
        <v>10.701373</v>
      </c>
      <c r="J957" s="24" t="n">
        <v>124.010895</v>
      </c>
      <c r="K957" s="23" t="inlineStr">
        <is>
          <t>R</t>
        </is>
      </c>
      <c r="L957" s="25" t="n">
        <v>3612</v>
      </c>
      <c r="M957" s="26" t="n">
        <v>3.8</v>
      </c>
      <c r="N957" s="25">
        <f>ROUND(L957/M957, 0)</f>
        <v/>
      </c>
      <c r="O957" s="25">
        <f>ROUND(N957*'Methodology &amp; Assumptions'!$B$7, 0)</f>
        <v/>
      </c>
      <c r="P957" s="23" t="inlineStr">
        <is>
          <t>Single Carrier (Band n50, 100MHz TDD)</t>
        </is>
      </c>
      <c r="Q957" s="27">
        <f>ROUNDUP(O957/'Methodology &amp; Assumptions'!$B$8, 0)</f>
        <v/>
      </c>
      <c r="R957" s="27" t="n">
        <v>1</v>
      </c>
      <c r="S957" s="26" t="n">
        <v>0.89</v>
      </c>
      <c r="T957" s="26" t="n">
        <v>0.06</v>
      </c>
      <c r="U957" s="11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26" t="n">
        <v>87.87</v>
      </c>
      <c r="W957" s="26" t="n">
        <v>32.74</v>
      </c>
      <c r="X957" s="26">
        <f>ROUND(('Methodology &amp; Assumptions'!$B$5*V957) + ('Methodology &amp; Assumptions'!$B$6*W957), 2)</f>
        <v/>
      </c>
      <c r="Y957" s="28" t="n">
        <v>23.7</v>
      </c>
      <c r="Z957" s="11" t="inlineStr">
        <is>
          <t>Priority Tier 2 (Balanced Opportunity)</t>
        </is>
      </c>
    </row>
    <row r="958">
      <c r="A958" s="23" t="n">
        <v>3</v>
      </c>
      <c r="B958" s="23" t="n">
        <v>954</v>
      </c>
      <c r="C958" s="23" t="n">
        <v>2954</v>
      </c>
      <c r="D958" s="23" t="inlineStr">
        <is>
          <t>0604515024</t>
        </is>
      </c>
      <c r="E958" s="11" t="inlineStr">
        <is>
          <t>Region VI (Western Visayas)</t>
        </is>
      </c>
      <c r="F958" s="11" t="inlineStr">
        <is>
          <t>Negros Occidental</t>
        </is>
      </c>
      <c r="G958" s="11" t="inlineStr">
        <is>
          <t>City of Kabankalan</t>
        </is>
      </c>
      <c r="H958" s="11" t="inlineStr">
        <is>
          <t>Barangay 3</t>
        </is>
      </c>
      <c r="I958" s="24" t="n">
        <v>9.994225999999999</v>
      </c>
      <c r="J958" s="24" t="n">
        <v>122.815122</v>
      </c>
      <c r="K958" s="23" t="inlineStr">
        <is>
          <t>U</t>
        </is>
      </c>
      <c r="L958" s="25" t="n">
        <v>1791</v>
      </c>
      <c r="M958" s="26" t="n">
        <v>3.7</v>
      </c>
      <c r="N958" s="25">
        <f>ROUND(L958/M958, 0)</f>
        <v/>
      </c>
      <c r="O958" s="25">
        <f>ROUND(N958*'Methodology &amp; Assumptions'!$B$7, 0)</f>
        <v/>
      </c>
      <c r="P958" s="23" t="inlineStr">
        <is>
          <t>Single Carrier (Band n50, 100MHz TDD)</t>
        </is>
      </c>
      <c r="Q958" s="27">
        <f>ROUNDUP(O958/'Methodology &amp; Assumptions'!$B$8, 0)</f>
        <v/>
      </c>
      <c r="R958" s="27" t="n">
        <v>1</v>
      </c>
      <c r="S958" s="26" t="n">
        <v>0.3</v>
      </c>
      <c r="T958" s="26" t="n">
        <v>0.24</v>
      </c>
      <c r="U958" s="11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26" t="n">
        <v>68.95999999999999</v>
      </c>
      <c r="W958" s="26" t="n">
        <v>51.67</v>
      </c>
      <c r="X958" s="26">
        <f>ROUND(('Methodology &amp; Assumptions'!$B$5*V958) + ('Methodology &amp; Assumptions'!$B$6*W958), 2)</f>
        <v/>
      </c>
      <c r="Y958" s="28" t="n">
        <v>23.7</v>
      </c>
      <c r="Z958" s="11" t="inlineStr">
        <is>
          <t>Priority Tier 2 (Balanced Opportunity)</t>
        </is>
      </c>
    </row>
    <row r="959">
      <c r="A959" s="23" t="n">
        <v>3</v>
      </c>
      <c r="B959" s="23" t="n">
        <v>955</v>
      </c>
      <c r="C959" s="23" t="n">
        <v>2955</v>
      </c>
      <c r="D959" s="23" t="inlineStr">
        <is>
          <t>1380800009</t>
        </is>
      </c>
      <c r="E959" s="11" t="inlineStr">
        <is>
          <t>National Capital Region (NCR)</t>
        </is>
      </c>
      <c r="F959" s="11" t="inlineStr">
        <is>
          <t>Fourth District (Not a Province)</t>
        </is>
      </c>
      <c r="G959" s="11" t="inlineStr">
        <is>
          <t>City of Muntinlupa</t>
        </is>
      </c>
      <c r="H959" s="11" t="inlineStr">
        <is>
          <t>New Alabang Village</t>
        </is>
      </c>
      <c r="I959" s="24" t="n">
        <v>14.418387</v>
      </c>
      <c r="J959" s="24" t="n">
        <v>121.024754</v>
      </c>
      <c r="K959" s="23" t="inlineStr">
        <is>
          <t>U</t>
        </is>
      </c>
      <c r="L959" s="25" t="n">
        <v>22850</v>
      </c>
      <c r="M959" s="26" t="n">
        <v>6.05</v>
      </c>
      <c r="N959" s="25">
        <f>ROUND(L959/M959, 0)</f>
        <v/>
      </c>
      <c r="O959" s="25">
        <f>ROUND(N959*'Methodology &amp; Assumptions'!$B$7, 0)</f>
        <v/>
      </c>
      <c r="P959" s="23" t="inlineStr">
        <is>
          <t>Single Carrier (Band n50, 100MHz TDD)</t>
        </is>
      </c>
      <c r="Q959" s="27">
        <f>ROUNDUP(O959/'Methodology &amp; Assumptions'!$B$8, 0)</f>
        <v/>
      </c>
      <c r="R959" s="27" t="n">
        <v>1</v>
      </c>
      <c r="S959" s="26" t="n">
        <v>1.02</v>
      </c>
      <c r="T959" s="26" t="n">
        <v>0.63</v>
      </c>
      <c r="U959" s="11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26" t="n">
        <v>68.41</v>
      </c>
      <c r="W959" s="26" t="n">
        <v>52.22</v>
      </c>
      <c r="X959" s="26">
        <f>ROUND(('Methodology &amp; Assumptions'!$B$5*V959) + ('Methodology &amp; Assumptions'!$B$6*W959), 2)</f>
        <v/>
      </c>
      <c r="Y959" s="28" t="n">
        <v>10.9</v>
      </c>
      <c r="Z959" s="11" t="inlineStr">
        <is>
          <t>Priority Tier 2 (Balanced Opportunity)</t>
        </is>
      </c>
    </row>
    <row r="960">
      <c r="A960" s="23" t="n">
        <v>3</v>
      </c>
      <c r="B960" s="23" t="n">
        <v>956</v>
      </c>
      <c r="C960" s="23" t="n">
        <v>2956</v>
      </c>
      <c r="D960" s="23" t="inlineStr">
        <is>
          <t>1380800004</t>
        </is>
      </c>
      <c r="E960" s="11" t="inlineStr">
        <is>
          <t>National Capital Region (NCR)</t>
        </is>
      </c>
      <c r="F960" s="11" t="inlineStr">
        <is>
          <t>Fourth District (Not a Province)</t>
        </is>
      </c>
      <c r="G960" s="11" t="inlineStr">
        <is>
          <t>City of Muntinlupa</t>
        </is>
      </c>
      <c r="H960" s="11" t="inlineStr">
        <is>
          <t>Cupang</t>
        </is>
      </c>
      <c r="I960" s="24" t="n">
        <v>14.439164</v>
      </c>
      <c r="J960" s="24" t="n">
        <v>121.050426</v>
      </c>
      <c r="K960" s="23" t="inlineStr">
        <is>
          <t>U</t>
        </is>
      </c>
      <c r="L960" s="25" t="n">
        <v>57482</v>
      </c>
      <c r="M960" s="26" t="n">
        <v>4.01</v>
      </c>
      <c r="N960" s="25">
        <f>ROUND(L960/M960, 0)</f>
        <v/>
      </c>
      <c r="O960" s="25">
        <f>ROUND(N960*'Methodology &amp; Assumptions'!$B$7, 0)</f>
        <v/>
      </c>
      <c r="P960" s="23" t="inlineStr">
        <is>
          <t>Single Carrier (Band n50, 100MHz TDD)</t>
        </is>
      </c>
      <c r="Q960" s="27">
        <f>ROUNDUP(O960/'Methodology &amp; Assumptions'!$B$8, 0)</f>
        <v/>
      </c>
      <c r="R960" s="27" t="n">
        <v>1</v>
      </c>
      <c r="S960" s="26" t="n">
        <v>0.7</v>
      </c>
      <c r="T960" s="26" t="n">
        <v>0.24</v>
      </c>
      <c r="U960" s="11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26" t="n">
        <v>66.23</v>
      </c>
      <c r="W960" s="26" t="n">
        <v>54.39</v>
      </c>
      <c r="X960" s="26">
        <f>ROUND(('Methodology &amp; Assumptions'!$B$5*V960) + ('Methodology &amp; Assumptions'!$B$6*W960), 2)</f>
        <v/>
      </c>
      <c r="Y960" s="28" t="n">
        <v>10.9</v>
      </c>
      <c r="Z960" s="11" t="inlineStr">
        <is>
          <t>Priority Tier 2 (Balanced Opportunity)</t>
        </is>
      </c>
    </row>
    <row r="961">
      <c r="A961" s="23" t="n">
        <v>3</v>
      </c>
      <c r="B961" s="23" t="n">
        <v>957</v>
      </c>
      <c r="C961" s="23" t="n">
        <v>2957</v>
      </c>
      <c r="D961" s="23" t="inlineStr">
        <is>
          <t>1380606170</t>
        </is>
      </c>
      <c r="E961" s="11" t="inlineStr">
        <is>
          <t>National Capital Region (NCR)</t>
        </is>
      </c>
      <c r="F961" s="11" t="inlineStr">
        <is>
          <t>First District (Not a Province)</t>
        </is>
      </c>
      <c r="G961" s="11" t="inlineStr">
        <is>
          <t>City of Manila</t>
        </is>
      </c>
      <c r="H961" s="11" t="inlineStr">
        <is>
          <t>Barangay 564</t>
        </is>
      </c>
      <c r="I961" s="24" t="n">
        <v>14.608818</v>
      </c>
      <c r="J961" s="24" t="n">
        <v>121.005443</v>
      </c>
      <c r="K961" s="23" t="inlineStr">
        <is>
          <t>U</t>
        </is>
      </c>
      <c r="L961" s="25" t="n">
        <v>1451</v>
      </c>
      <c r="M961" s="26" t="n">
        <v>4.41</v>
      </c>
      <c r="N961" s="25">
        <f>ROUND(L961/M961, 0)</f>
        <v/>
      </c>
      <c r="O961" s="25">
        <f>ROUND(N961*'Methodology &amp; Assumptions'!$B$7, 0)</f>
        <v/>
      </c>
      <c r="P961" s="23" t="inlineStr">
        <is>
          <t>Single Carrier (Band n50, 100MHz TDD)</t>
        </is>
      </c>
      <c r="Q961" s="27">
        <f>ROUNDUP(O961/'Methodology &amp; Assumptions'!$B$8, 0)</f>
        <v/>
      </c>
      <c r="R961" s="27" t="n">
        <v>1</v>
      </c>
      <c r="S961" s="26" t="n">
        <v>0.3</v>
      </c>
      <c r="T961" s="26" t="n">
        <v>0.26</v>
      </c>
      <c r="U961" s="11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26" t="n">
        <v>51.7</v>
      </c>
      <c r="W961" s="26" t="n">
        <v>68.92</v>
      </c>
      <c r="X961" s="26">
        <f>ROUND(('Methodology &amp; Assumptions'!$B$5*V961) + ('Methodology &amp; Assumptions'!$B$6*W961), 2)</f>
        <v/>
      </c>
      <c r="Y961" s="28" t="n">
        <v>10.9</v>
      </c>
      <c r="Z961" s="11" t="inlineStr">
        <is>
          <t>Priority Tier 2 (Balanced Opportunity)</t>
        </is>
      </c>
    </row>
    <row r="962">
      <c r="A962" s="23" t="n">
        <v>3</v>
      </c>
      <c r="B962" s="23" t="n">
        <v>958</v>
      </c>
      <c r="C962" s="23" t="n">
        <v>2958</v>
      </c>
      <c r="D962" s="23" t="inlineStr">
        <is>
          <t>1907009012</t>
        </is>
      </c>
      <c r="E962" s="11" t="inlineStr">
        <is>
          <t>Bangsamoro Autonomous Region In Muslim Mindanao (BARMM)</t>
        </is>
      </c>
      <c r="F962" s="11" t="inlineStr">
        <is>
          <t>Tawi-Tawi</t>
        </is>
      </c>
      <c r="G962" s="11" t="inlineStr">
        <is>
          <t>Languyan</t>
        </is>
      </c>
      <c r="H962" s="11" t="inlineStr">
        <is>
          <t>Tumbagaan</t>
        </is>
      </c>
      <c r="I962" s="24" t="n">
        <v>5.37847</v>
      </c>
      <c r="J962" s="24" t="n">
        <v>120.317604</v>
      </c>
      <c r="K962" s="23" t="inlineStr">
        <is>
          <t>R</t>
        </is>
      </c>
      <c r="L962" s="25" t="n">
        <v>1979</v>
      </c>
      <c r="M962" s="26" t="n">
        <v>5.8</v>
      </c>
      <c r="N962" s="25">
        <f>ROUND(L962/M962, 0)</f>
        <v/>
      </c>
      <c r="O962" s="25">
        <f>ROUND(N962*'Methodology &amp; Assumptions'!$B$7, 0)</f>
        <v/>
      </c>
      <c r="P962" s="23" t="inlineStr">
        <is>
          <t>Single Carrier (Band n50, 100MHz TDD)</t>
        </is>
      </c>
      <c r="Q962" s="27">
        <f>ROUNDUP(O962/'Methodology &amp; Assumptions'!$B$8, 0)</f>
        <v/>
      </c>
      <c r="R962" s="27" t="n">
        <v>1</v>
      </c>
      <c r="S962" s="26" t="n">
        <v>258.28</v>
      </c>
      <c r="T962" s="26" t="n">
        <v>258.27</v>
      </c>
      <c r="U962" s="11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26" t="n">
        <v>41.98</v>
      </c>
      <c r="W962" s="26" t="n">
        <v>78.65000000000001</v>
      </c>
      <c r="X962" s="26">
        <f>ROUND(('Methodology &amp; Assumptions'!$B$5*V962) + ('Methodology &amp; Assumptions'!$B$6*W962), 2)</f>
        <v/>
      </c>
      <c r="Y962" s="28" t="n">
        <v>11</v>
      </c>
      <c r="Z962" s="11" t="inlineStr">
        <is>
          <t>Priority Tier 2 (Balanced Opportunity)</t>
        </is>
      </c>
    </row>
    <row r="963">
      <c r="A963" s="23" t="n">
        <v>3</v>
      </c>
      <c r="B963" s="23" t="n">
        <v>959</v>
      </c>
      <c r="C963" s="23" t="n">
        <v>2959</v>
      </c>
      <c r="D963" s="23" t="inlineStr">
        <is>
          <t>0203105007</t>
        </is>
      </c>
      <c r="E963" s="11" t="inlineStr">
        <is>
          <t>Region II (Cagayan Valley)</t>
        </is>
      </c>
      <c r="F963" s="11" t="inlineStr">
        <is>
          <t>Isabela</t>
        </is>
      </c>
      <c r="G963" s="11" t="inlineStr">
        <is>
          <t>Burgos</t>
        </is>
      </c>
      <c r="H963" s="11" t="inlineStr">
        <is>
          <t>Cullalabo San Antonio</t>
        </is>
      </c>
      <c r="I963" s="24" t="n">
        <v>17.077935</v>
      </c>
      <c r="J963" s="24" t="n">
        <v>121.716696</v>
      </c>
      <c r="K963" s="23" t="inlineStr">
        <is>
          <t>R</t>
        </is>
      </c>
      <c r="L963" s="25" t="n">
        <v>3513</v>
      </c>
      <c r="M963" s="26" t="n">
        <v>3.8</v>
      </c>
      <c r="N963" s="25">
        <f>ROUND(L963/M963, 0)</f>
        <v/>
      </c>
      <c r="O963" s="25">
        <f>ROUND(N963*'Methodology &amp; Assumptions'!$B$7, 0)</f>
        <v/>
      </c>
      <c r="P963" s="23" t="inlineStr">
        <is>
          <t>Single Carrier (Band n50, 100MHz TDD)</t>
        </is>
      </c>
      <c r="Q963" s="27">
        <f>ROUNDUP(O963/'Methodology &amp; Assumptions'!$B$8, 0)</f>
        <v/>
      </c>
      <c r="R963" s="27" t="n">
        <v>1</v>
      </c>
      <c r="S963" s="26" t="n">
        <v>1.9</v>
      </c>
      <c r="T963" s="26" t="n">
        <v>1.05</v>
      </c>
      <c r="U963" s="11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26" t="n">
        <v>81.72</v>
      </c>
      <c r="W963" s="26" t="n">
        <v>38.88</v>
      </c>
      <c r="X963" s="26">
        <f>ROUND(('Methodology &amp; Assumptions'!$B$5*V963) + ('Methodology &amp; Assumptions'!$B$6*W963), 2)</f>
        <v/>
      </c>
      <c r="Y963" s="28" t="n">
        <v>8.300000000000001</v>
      </c>
      <c r="Z963" s="11" t="inlineStr">
        <is>
          <t>Priority Tier 2 (Balanced Opportunity)</t>
        </is>
      </c>
    </row>
    <row r="964">
      <c r="A964" s="23" t="n">
        <v>3</v>
      </c>
      <c r="B964" s="23" t="n">
        <v>960</v>
      </c>
      <c r="C964" s="23" t="n">
        <v>2960</v>
      </c>
      <c r="D964" s="23" t="inlineStr">
        <is>
          <t>0300809021</t>
        </is>
      </c>
      <c r="E964" s="11" t="inlineStr">
        <is>
          <t>Region III (Central Luzon)</t>
        </is>
      </c>
      <c r="F964" s="11" t="inlineStr">
        <is>
          <t>Bataan</t>
        </is>
      </c>
      <c r="G964" s="11" t="inlineStr">
        <is>
          <t>Orani</t>
        </is>
      </c>
      <c r="H964" s="11" t="inlineStr">
        <is>
          <t>Tapulao</t>
        </is>
      </c>
      <c r="I964" s="24" t="n">
        <v>14.812786</v>
      </c>
      <c r="J964" s="24" t="n">
        <v>120.521158</v>
      </c>
      <c r="K964" s="23" t="inlineStr">
        <is>
          <t>R</t>
        </is>
      </c>
      <c r="L964" s="25" t="n">
        <v>5148</v>
      </c>
      <c r="M964" s="26" t="n">
        <v>3.6</v>
      </c>
      <c r="N964" s="25">
        <f>ROUND(L964/M964, 0)</f>
        <v/>
      </c>
      <c r="O964" s="25">
        <f>ROUND(N964*'Methodology &amp; Assumptions'!$B$7, 0)</f>
        <v/>
      </c>
      <c r="P964" s="23" t="inlineStr">
        <is>
          <t>Single Carrier (Band n50, 100MHz TDD)</t>
        </is>
      </c>
      <c r="Q964" s="27">
        <f>ROUNDUP(O964/'Methodology &amp; Assumptions'!$B$8, 0)</f>
        <v/>
      </c>
      <c r="R964" s="27" t="n">
        <v>1</v>
      </c>
      <c r="S964" s="26" t="n">
        <v>2.02</v>
      </c>
      <c r="T964" s="26" t="n">
        <v>0</v>
      </c>
      <c r="U964" s="11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26" t="n">
        <v>81.31999999999999</v>
      </c>
      <c r="W964" s="26" t="n">
        <v>39.27</v>
      </c>
      <c r="X964" s="26">
        <f>ROUND(('Methodology &amp; Assumptions'!$B$5*V964) + ('Methodology &amp; Assumptions'!$B$6*W964), 2)</f>
        <v/>
      </c>
      <c r="Y964" s="28" t="n">
        <v>8.300000000000001</v>
      </c>
      <c r="Z964" s="11" t="inlineStr">
        <is>
          <t>Priority Tier 2 (Balanced Opportunity)</t>
        </is>
      </c>
    </row>
    <row r="965">
      <c r="A965" s="23" t="n">
        <v>3</v>
      </c>
      <c r="B965" s="23" t="n">
        <v>961</v>
      </c>
      <c r="C965" s="23" t="n">
        <v>2961</v>
      </c>
      <c r="D965" s="23" t="inlineStr">
        <is>
          <t>1380601075</t>
        </is>
      </c>
      <c r="E965" s="11" t="inlineStr">
        <is>
          <t>National Capital Region (NCR)</t>
        </is>
      </c>
      <c r="F965" s="11" t="inlineStr">
        <is>
          <t>First District (Not a Province)</t>
        </is>
      </c>
      <c r="G965" s="11" t="inlineStr">
        <is>
          <t>City of Manila</t>
        </is>
      </c>
      <c r="H965" s="11" t="inlineStr">
        <is>
          <t>Barangay 75</t>
        </is>
      </c>
      <c r="I965" s="24" t="n">
        <v>14.613669</v>
      </c>
      <c r="J965" s="24" t="n">
        <v>120.967352</v>
      </c>
      <c r="K965" s="23" t="inlineStr">
        <is>
          <t>U</t>
        </is>
      </c>
      <c r="L965" s="25" t="n">
        <v>1631</v>
      </c>
      <c r="M965" s="26" t="n">
        <v>5.11</v>
      </c>
      <c r="N965" s="25">
        <f>ROUND(L965/M965, 0)</f>
        <v/>
      </c>
      <c r="O965" s="25">
        <f>ROUND(N965*'Methodology &amp; Assumptions'!$B$7, 0)</f>
        <v/>
      </c>
      <c r="P965" s="23" t="inlineStr">
        <is>
          <t>Single Carrier (Band n50, 100MHz TDD)</t>
        </is>
      </c>
      <c r="Q965" s="27">
        <f>ROUNDUP(O965/'Methodology &amp; Assumptions'!$B$8, 0)</f>
        <v/>
      </c>
      <c r="R965" s="27" t="n">
        <v>1</v>
      </c>
      <c r="S965" s="26" t="n">
        <v>0.6899999999999999</v>
      </c>
      <c r="T965" s="26" t="n">
        <v>0.47</v>
      </c>
      <c r="U965" s="11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26" t="n">
        <v>51.37</v>
      </c>
      <c r="W965" s="26" t="n">
        <v>69.23</v>
      </c>
      <c r="X965" s="26">
        <f>ROUND(('Methodology &amp; Assumptions'!$B$5*V965) + ('Methodology &amp; Assumptions'!$B$6*W965), 2)</f>
        <v/>
      </c>
      <c r="Y965" s="28" t="n">
        <v>10.9</v>
      </c>
      <c r="Z965" s="11" t="inlineStr">
        <is>
          <t>Priority Tier 2 (Balanced Opportunity)</t>
        </is>
      </c>
    </row>
    <row r="966">
      <c r="A966" s="23" t="n">
        <v>3</v>
      </c>
      <c r="B966" s="23" t="n">
        <v>962</v>
      </c>
      <c r="C966" s="23" t="n">
        <v>2962</v>
      </c>
      <c r="D966" s="23" t="inlineStr">
        <is>
          <t>1380614051</t>
        </is>
      </c>
      <c r="E966" s="11" t="inlineStr">
        <is>
          <t>National Capital Region (NCR)</t>
        </is>
      </c>
      <c r="F966" s="11" t="inlineStr">
        <is>
          <t>First District (Not a Province)</t>
        </is>
      </c>
      <c r="G966" s="11" t="inlineStr">
        <is>
          <t>City of Manila</t>
        </is>
      </c>
      <c r="H966" s="11" t="inlineStr">
        <is>
          <t>Barangay 795</t>
        </is>
      </c>
      <c r="I966" s="24" t="n">
        <v>14.575434</v>
      </c>
      <c r="J966" s="24" t="n">
        <v>121.001344</v>
      </c>
      <c r="K966" s="23" t="inlineStr">
        <is>
          <t>U</t>
        </is>
      </c>
      <c r="L966" s="25" t="n">
        <v>1214</v>
      </c>
      <c r="M966" s="26" t="n">
        <v>3.82</v>
      </c>
      <c r="N966" s="25">
        <f>ROUND(L966/M966, 0)</f>
        <v/>
      </c>
      <c r="O966" s="25">
        <f>ROUND(N966*'Methodology &amp; Assumptions'!$B$7, 0)</f>
        <v/>
      </c>
      <c r="P966" s="23" t="inlineStr">
        <is>
          <t>Single Carrier (Band n50, 100MHz TDD)</t>
        </is>
      </c>
      <c r="Q966" s="27">
        <f>ROUNDUP(O966/'Methodology &amp; Assumptions'!$B$8, 0)</f>
        <v/>
      </c>
      <c r="R966" s="27" t="n">
        <v>1</v>
      </c>
      <c r="S966" s="26" t="n">
        <v>0.85</v>
      </c>
      <c r="T966" s="26" t="n">
        <v>0.49</v>
      </c>
      <c r="U966" s="11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26" t="n">
        <v>51.23</v>
      </c>
      <c r="W966" s="26" t="n">
        <v>69.37</v>
      </c>
      <c r="X966" s="26">
        <f>ROUND(('Methodology &amp; Assumptions'!$B$5*V966) + ('Methodology &amp; Assumptions'!$B$6*W966), 2)</f>
        <v/>
      </c>
      <c r="Y966" s="28" t="n">
        <v>10.9</v>
      </c>
      <c r="Z966" s="11" t="inlineStr">
        <is>
          <t>Priority Tier 2 (Balanced Opportunity)</t>
        </is>
      </c>
    </row>
    <row r="967">
      <c r="A967" s="23" t="n">
        <v>3</v>
      </c>
      <c r="B967" s="23" t="n">
        <v>963</v>
      </c>
      <c r="C967" s="23" t="n">
        <v>2963</v>
      </c>
      <c r="D967" s="23" t="inlineStr">
        <is>
          <t>0504106005</t>
        </is>
      </c>
      <c r="E967" s="11" t="inlineStr">
        <is>
          <t>Region V (Bicol Region)</t>
        </is>
      </c>
      <c r="F967" s="11" t="inlineStr">
        <is>
          <t>Masbate</t>
        </is>
      </c>
      <c r="G967" s="11" t="inlineStr">
        <is>
          <t>Cawayan</t>
        </is>
      </c>
      <c r="H967" s="11" t="inlineStr">
        <is>
          <t>Calapayan</t>
        </is>
      </c>
      <c r="I967" s="24" t="n">
        <v>12.009647</v>
      </c>
      <c r="J967" s="24" t="n">
        <v>123.784525</v>
      </c>
      <c r="K967" s="23" t="inlineStr">
        <is>
          <t>R</t>
        </is>
      </c>
      <c r="L967" s="25" t="n">
        <v>1426</v>
      </c>
      <c r="M967" s="26" t="n">
        <v>4.1</v>
      </c>
      <c r="N967" s="25">
        <f>ROUND(L967/M967, 0)</f>
        <v/>
      </c>
      <c r="O967" s="25">
        <f>ROUND(N967*'Methodology &amp; Assumptions'!$B$7, 0)</f>
        <v/>
      </c>
      <c r="P967" s="23" t="inlineStr">
        <is>
          <t>Single Carrier (Band n50, 100MHz TDD)</t>
        </is>
      </c>
      <c r="Q967" s="27">
        <f>ROUNDUP(O967/'Methodology &amp; Assumptions'!$B$8, 0)</f>
        <v/>
      </c>
      <c r="R967" s="27" t="n">
        <v>1</v>
      </c>
      <c r="S967" s="26" t="n">
        <v>20.65</v>
      </c>
      <c r="T967" s="26" t="n">
        <v>37.89</v>
      </c>
      <c r="U967" s="11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26" t="n">
        <v>46.75</v>
      </c>
      <c r="W967" s="26" t="n">
        <v>73.84</v>
      </c>
      <c r="X967" s="26">
        <f>ROUND(('Methodology &amp; Assumptions'!$B$5*V967) + ('Methodology &amp; Assumptions'!$B$6*W967), 2)</f>
        <v/>
      </c>
      <c r="Y967" s="28" t="n">
        <v>23.7</v>
      </c>
      <c r="Z967" s="11" t="inlineStr">
        <is>
          <t>Priority Tier 2 (Balanced Opportunity)</t>
        </is>
      </c>
    </row>
    <row r="968">
      <c r="A968" s="23" t="n">
        <v>3</v>
      </c>
      <c r="B968" s="23" t="n">
        <v>964</v>
      </c>
      <c r="C968" s="23" t="n">
        <v>2964</v>
      </c>
      <c r="D968" s="23" t="inlineStr">
        <is>
          <t>1108201010</t>
        </is>
      </c>
      <c r="E968" s="11" t="inlineStr">
        <is>
          <t>Region XI (Davao Region)</t>
        </is>
      </c>
      <c r="F968" s="11" t="inlineStr">
        <is>
          <t>Davao de Oro</t>
        </is>
      </c>
      <c r="G968" s="11" t="inlineStr">
        <is>
          <t>Compostela</t>
        </is>
      </c>
      <c r="H968" s="11" t="inlineStr">
        <is>
          <t>Panansalan</t>
        </is>
      </c>
      <c r="I968" s="24" t="n">
        <v>7.709449</v>
      </c>
      <c r="J968" s="24" t="n">
        <v>126.197976</v>
      </c>
      <c r="K968" s="23" t="inlineStr">
        <is>
          <t>R</t>
        </is>
      </c>
      <c r="L968" s="25" t="n">
        <v>1104</v>
      </c>
      <c r="M968" s="26" t="n">
        <v>3.7</v>
      </c>
      <c r="N968" s="25">
        <f>ROUND(L968/M968, 0)</f>
        <v/>
      </c>
      <c r="O968" s="25">
        <f>ROUND(N968*'Methodology &amp; Assumptions'!$B$7, 0)</f>
        <v/>
      </c>
      <c r="P968" s="23" t="inlineStr">
        <is>
          <t>Single Carrier (Band n50, 100MHz TDD)</t>
        </is>
      </c>
      <c r="Q968" s="27">
        <f>ROUNDUP(O968/'Methodology &amp; Assumptions'!$B$8, 0)</f>
        <v/>
      </c>
      <c r="R968" s="27" t="n">
        <v>1</v>
      </c>
      <c r="S968" s="26" t="n">
        <v>20.4</v>
      </c>
      <c r="T968" s="26" t="n">
        <v>20.47</v>
      </c>
      <c r="U968" s="11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26" t="n">
        <v>44.49</v>
      </c>
      <c r="W968" s="26" t="n">
        <v>76.12</v>
      </c>
      <c r="X968" s="26">
        <f>ROUND(('Methodology &amp; Assumptions'!$B$5*V968) + ('Methodology &amp; Assumptions'!$B$6*W968), 2)</f>
        <v/>
      </c>
      <c r="Y968" s="28" t="n">
        <v>17.4</v>
      </c>
      <c r="Z968" s="11" t="inlineStr">
        <is>
          <t>Priority Tier 2 (Balanced Opportunity)</t>
        </is>
      </c>
    </row>
    <row r="969">
      <c r="A969" s="23" t="n">
        <v>3</v>
      </c>
      <c r="B969" s="23" t="n">
        <v>965</v>
      </c>
      <c r="C969" s="23" t="n">
        <v>2965</v>
      </c>
      <c r="D969" s="23" t="inlineStr">
        <is>
          <t>0631000022</t>
        </is>
      </c>
      <c r="E969" s="11" t="inlineStr">
        <is>
          <t>Region VI (Western Visayas)</t>
        </is>
      </c>
      <c r="F969" s="11" t="inlineStr">
        <is>
          <t>Iloilo</t>
        </is>
      </c>
      <c r="G969" s="11" t="inlineStr">
        <is>
          <t>City of Iloilo</t>
        </is>
      </c>
      <c r="H969" s="11" t="inlineStr">
        <is>
          <t>Bonifacio Tanza</t>
        </is>
      </c>
      <c r="I969" s="24" t="n">
        <v>10.92438</v>
      </c>
      <c r="J969" s="24" t="n">
        <v>122.558213</v>
      </c>
      <c r="K969" s="23" t="inlineStr">
        <is>
          <t>R</t>
        </is>
      </c>
      <c r="L969" s="25" t="n">
        <v>2982</v>
      </c>
      <c r="M969" s="26" t="n">
        <v>4.2</v>
      </c>
      <c r="N969" s="25">
        <f>ROUND(L969/M969, 0)</f>
        <v/>
      </c>
      <c r="O969" s="25">
        <f>ROUND(N969*'Methodology &amp; Assumptions'!$B$7, 0)</f>
        <v/>
      </c>
      <c r="P969" s="23" t="inlineStr">
        <is>
          <t>Single Carrier (Band n50, 100MHz TDD)</t>
        </is>
      </c>
      <c r="Q969" s="27">
        <f>ROUNDUP(O969/'Methodology &amp; Assumptions'!$B$8, 0)</f>
        <v/>
      </c>
      <c r="R969" s="27" t="n">
        <v>1</v>
      </c>
      <c r="S969" s="26" t="n">
        <v>0.97</v>
      </c>
      <c r="T969" s="26" t="n">
        <v>0.96</v>
      </c>
      <c r="U969" s="11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26" t="n">
        <v>82.54000000000001</v>
      </c>
      <c r="W969" s="26" t="n">
        <v>38.05</v>
      </c>
      <c r="X969" s="26">
        <f>ROUND(('Methodology &amp; Assumptions'!$B$5*V969) + ('Methodology &amp; Assumptions'!$B$6*W969), 2)</f>
        <v/>
      </c>
      <c r="Y969" s="28" t="n">
        <v>23.7</v>
      </c>
      <c r="Z969" s="11" t="inlineStr">
        <is>
          <t>Priority Tier 2 (Balanced Opportunity)</t>
        </is>
      </c>
    </row>
    <row r="970">
      <c r="A970" s="23" t="n">
        <v>3</v>
      </c>
      <c r="B970" s="23" t="n">
        <v>966</v>
      </c>
      <c r="C970" s="23" t="n">
        <v>2966</v>
      </c>
      <c r="D970" s="23" t="inlineStr">
        <is>
          <t>0603035039</t>
        </is>
      </c>
      <c r="E970" s="11" t="inlineStr">
        <is>
          <t>Region VI (Western Visayas)</t>
        </is>
      </c>
      <c r="F970" s="11" t="inlineStr">
        <is>
          <t>Iloilo</t>
        </is>
      </c>
      <c r="G970" s="11" t="inlineStr">
        <is>
          <t>City of Passi</t>
        </is>
      </c>
      <c r="H970" s="11" t="inlineStr">
        <is>
          <t>Poblacion Ilawod</t>
        </is>
      </c>
      <c r="I970" s="24" t="n">
        <v>11.105378</v>
      </c>
      <c r="J970" s="24" t="n">
        <v>122.642526</v>
      </c>
      <c r="K970" s="23" t="inlineStr">
        <is>
          <t>U</t>
        </is>
      </c>
      <c r="L970" s="25" t="n">
        <v>6043</v>
      </c>
      <c r="M970" s="26" t="n">
        <v>3.8</v>
      </c>
      <c r="N970" s="25">
        <f>ROUND(L970/M970, 0)</f>
        <v/>
      </c>
      <c r="O970" s="25">
        <f>ROUND(N970*'Methodology &amp; Assumptions'!$B$7, 0)</f>
        <v/>
      </c>
      <c r="P970" s="23" t="inlineStr">
        <is>
          <t>Single Carrier (Band n50, 100MHz TDD)</t>
        </is>
      </c>
      <c r="Q970" s="27">
        <f>ROUNDUP(O970/'Methodology &amp; Assumptions'!$B$8, 0)</f>
        <v/>
      </c>
      <c r="R970" s="27" t="n">
        <v>1</v>
      </c>
      <c r="S970" s="26" t="n">
        <v>0.41</v>
      </c>
      <c r="T970" s="26" t="n">
        <v>0.13</v>
      </c>
      <c r="U970" s="11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26" t="n">
        <v>80.86</v>
      </c>
      <c r="W970" s="26" t="n">
        <v>39.73</v>
      </c>
      <c r="X970" s="26">
        <f>ROUND(('Methodology &amp; Assumptions'!$B$5*V970) + ('Methodology &amp; Assumptions'!$B$6*W970), 2)</f>
        <v/>
      </c>
      <c r="Y970" s="28" t="n">
        <v>23.7</v>
      </c>
      <c r="Z970" s="11" t="inlineStr">
        <is>
          <t>Priority Tier 2 (Balanced Opportunity)</t>
        </is>
      </c>
    </row>
    <row r="971">
      <c r="A971" s="23" t="n">
        <v>3</v>
      </c>
      <c r="B971" s="23" t="n">
        <v>967</v>
      </c>
      <c r="C971" s="23" t="n">
        <v>2967</v>
      </c>
      <c r="D971" s="23" t="inlineStr">
        <is>
          <t>0301407027</t>
        </is>
      </c>
      <c r="E971" s="11" t="inlineStr">
        <is>
          <t>Region III (Central Luzon)</t>
        </is>
      </c>
      <c r="F971" s="11" t="inlineStr">
        <is>
          <t>Bulacan</t>
        </is>
      </c>
      <c r="G971" s="11" t="inlineStr">
        <is>
          <t>Calumpit</t>
        </is>
      </c>
      <c r="H971" s="11" t="inlineStr">
        <is>
          <t>Santo Niño</t>
        </is>
      </c>
      <c r="I971" s="24" t="n">
        <v>14.905823</v>
      </c>
      <c r="J971" s="24" t="n">
        <v>120.780624</v>
      </c>
      <c r="K971" s="23" t="inlineStr">
        <is>
          <t>U</t>
        </is>
      </c>
      <c r="L971" s="25" t="n">
        <v>2659</v>
      </c>
      <c r="M971" s="26" t="n">
        <v>3.5</v>
      </c>
      <c r="N971" s="25">
        <f>ROUND(L971/M971, 0)</f>
        <v/>
      </c>
      <c r="O971" s="25">
        <f>ROUND(N971*'Methodology &amp; Assumptions'!$B$7, 0)</f>
        <v/>
      </c>
      <c r="P971" s="23" t="inlineStr">
        <is>
          <t>Single Carrier (Band n50, 100MHz TDD)</t>
        </is>
      </c>
      <c r="Q971" s="27">
        <f>ROUNDUP(O971/'Methodology &amp; Assumptions'!$B$8, 0)</f>
        <v/>
      </c>
      <c r="R971" s="27" t="n">
        <v>1</v>
      </c>
      <c r="S971" s="26" t="n">
        <v>1.38</v>
      </c>
      <c r="T971" s="26" t="n">
        <v>0.33</v>
      </c>
      <c r="U971" s="11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26" t="n">
        <v>74.48</v>
      </c>
      <c r="W971" s="26" t="n">
        <v>46.11</v>
      </c>
      <c r="X971" s="26">
        <f>ROUND(('Methodology &amp; Assumptions'!$B$5*V971) + ('Methodology &amp; Assumptions'!$B$6*W971), 2)</f>
        <v/>
      </c>
      <c r="Y971" s="28" t="n">
        <v>8.300000000000001</v>
      </c>
      <c r="Z971" s="11" t="inlineStr">
        <is>
          <t>Priority Tier 2 (Balanced Opportunity)</t>
        </is>
      </c>
    </row>
    <row r="972">
      <c r="A972" s="23" t="n">
        <v>3</v>
      </c>
      <c r="B972" s="23" t="n">
        <v>968</v>
      </c>
      <c r="C972" s="23" t="n">
        <v>2968</v>
      </c>
      <c r="D972" s="23" t="inlineStr">
        <is>
          <t>1102407016</t>
        </is>
      </c>
      <c r="E972" s="11" t="inlineStr">
        <is>
          <t>Region XI (Davao Region)</t>
        </is>
      </c>
      <c r="F972" s="11" t="inlineStr">
        <is>
          <t>Davao del Sur</t>
        </is>
      </c>
      <c r="G972" s="11" t="inlineStr">
        <is>
          <t>Magsaysay</t>
        </is>
      </c>
      <c r="H972" s="11" t="inlineStr">
        <is>
          <t>San Isidro</t>
        </is>
      </c>
      <c r="I972" s="24" t="n">
        <v>6.77658</v>
      </c>
      <c r="J972" s="24" t="n">
        <v>125.12288</v>
      </c>
      <c r="K972" s="23" t="inlineStr">
        <is>
          <t>R</t>
        </is>
      </c>
      <c r="L972" s="25" t="n">
        <v>4302</v>
      </c>
      <c r="M972" s="26" t="n">
        <v>3.4</v>
      </c>
      <c r="N972" s="25">
        <f>ROUND(L972/M972, 0)</f>
        <v/>
      </c>
      <c r="O972" s="25">
        <f>ROUND(N972*'Methodology &amp; Assumptions'!$B$7, 0)</f>
        <v/>
      </c>
      <c r="P972" s="23" t="inlineStr">
        <is>
          <t>Single Carrier (Band n50, 100MHz TDD)</t>
        </is>
      </c>
      <c r="Q972" s="27">
        <f>ROUNDUP(O972/'Methodology &amp; Assumptions'!$B$8, 0)</f>
        <v/>
      </c>
      <c r="R972" s="27" t="n">
        <v>1</v>
      </c>
      <c r="S972" s="26" t="n">
        <v>4.12</v>
      </c>
      <c r="T972" s="26" t="n">
        <v>21</v>
      </c>
      <c r="U972" s="11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26" t="n">
        <v>73.70999999999999</v>
      </c>
      <c r="W972" s="26" t="n">
        <v>46.87</v>
      </c>
      <c r="X972" s="26">
        <f>ROUND(('Methodology &amp; Assumptions'!$B$5*V972) + ('Methodology &amp; Assumptions'!$B$6*W972), 2)</f>
        <v/>
      </c>
      <c r="Y972" s="28" t="n">
        <v>17.4</v>
      </c>
      <c r="Z972" s="11" t="inlineStr">
        <is>
          <t>Priority Tier 2 (Balanced Opportunity)</t>
        </is>
      </c>
    </row>
    <row r="973">
      <c r="A973" s="23" t="n">
        <v>3</v>
      </c>
      <c r="B973" s="23" t="n">
        <v>969</v>
      </c>
      <c r="C973" s="23" t="n">
        <v>2969</v>
      </c>
      <c r="D973" s="23" t="inlineStr">
        <is>
          <t>0201529002</t>
        </is>
      </c>
      <c r="E973" s="11" t="inlineStr">
        <is>
          <t>Region II (Cagayan Valley)</t>
        </is>
      </c>
      <c r="F973" s="11" t="inlineStr">
        <is>
          <t>Cagayan</t>
        </is>
      </c>
      <c r="G973" s="11" t="inlineStr">
        <is>
          <t>Tuguegarao City</t>
        </is>
      </c>
      <c r="H973" s="11" t="inlineStr">
        <is>
          <t>Atulayan Norte</t>
        </is>
      </c>
      <c r="I973" s="24" t="n">
        <v>17.3819</v>
      </c>
      <c r="J973" s="24" t="n">
        <v>121.4301</v>
      </c>
      <c r="K973" s="23" t="inlineStr">
        <is>
          <t>R</t>
        </is>
      </c>
      <c r="L973" s="25" t="n">
        <v>4335</v>
      </c>
      <c r="M973" s="26" t="n">
        <v>3.9</v>
      </c>
      <c r="N973" s="25">
        <f>ROUND(L973/M973, 0)</f>
        <v/>
      </c>
      <c r="O973" s="25">
        <f>ROUND(N973*'Methodology &amp; Assumptions'!$B$7, 0)</f>
        <v/>
      </c>
      <c r="P973" s="23" t="inlineStr">
        <is>
          <t>Single Carrier (Band n50, 100MHz TDD)</t>
        </is>
      </c>
      <c r="Q973" s="27">
        <f>ROUNDUP(O973/'Methodology &amp; Assumptions'!$B$8, 0)</f>
        <v/>
      </c>
      <c r="R973" s="27" t="n">
        <v>1</v>
      </c>
      <c r="S973" s="26" t="n">
        <v>3.68</v>
      </c>
      <c r="T973" s="26" t="n">
        <v>2.62</v>
      </c>
      <c r="U973" s="11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26" t="n">
        <v>73.17</v>
      </c>
      <c r="W973" s="26" t="n">
        <v>47.4</v>
      </c>
      <c r="X973" s="26">
        <f>ROUND(('Methodology &amp; Assumptions'!$B$5*V973) + ('Methodology &amp; Assumptions'!$B$6*W973), 2)</f>
        <v/>
      </c>
      <c r="Y973" s="28" t="n">
        <v>8.300000000000001</v>
      </c>
      <c r="Z973" s="11" t="inlineStr">
        <is>
          <t>Priority Tier 2 (Balanced Opportunity)</t>
        </is>
      </c>
    </row>
    <row r="974">
      <c r="A974" s="23" t="n">
        <v>3</v>
      </c>
      <c r="B974" s="23" t="n">
        <v>970</v>
      </c>
      <c r="C974" s="23" t="n">
        <v>2970</v>
      </c>
      <c r="D974" s="23" t="inlineStr">
        <is>
          <t>0402108030</t>
        </is>
      </c>
      <c r="E974" s="11" t="inlineStr">
        <is>
          <t>Region IV-A (CALABARZON)</t>
        </is>
      </c>
      <c r="F974" s="11" t="inlineStr">
        <is>
          <t>Cavite</t>
        </is>
      </c>
      <c r="G974" s="11" t="inlineStr">
        <is>
          <t>City of General Trias</t>
        </is>
      </c>
      <c r="H974" s="11" t="inlineStr">
        <is>
          <t>Arnaldo Pob.</t>
        </is>
      </c>
      <c r="I974" s="24" t="n">
        <v>14.384206</v>
      </c>
      <c r="J974" s="24" t="n">
        <v>120.880257</v>
      </c>
      <c r="K974" s="23" t="inlineStr">
        <is>
          <t>R</t>
        </is>
      </c>
      <c r="L974" s="25" t="n">
        <v>734</v>
      </c>
      <c r="M974" s="26" t="n">
        <v>3.4</v>
      </c>
      <c r="N974" s="25">
        <f>ROUND(L974/M974, 0)</f>
        <v/>
      </c>
      <c r="O974" s="25">
        <f>ROUND(N974*'Methodology &amp; Assumptions'!$B$7, 0)</f>
        <v/>
      </c>
      <c r="P974" s="23" t="inlineStr">
        <is>
          <t>Single Carrier (Band n50, 100MHz TDD)</t>
        </is>
      </c>
      <c r="Q974" s="27">
        <f>ROUNDUP(O974/'Methodology &amp; Assumptions'!$B$8, 0)</f>
        <v/>
      </c>
      <c r="R974" s="27" t="n">
        <v>1</v>
      </c>
      <c r="S974" s="26" t="n">
        <v>1.7</v>
      </c>
      <c r="T974" s="26" t="n">
        <v>1.95</v>
      </c>
      <c r="U974" s="11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26" t="n">
        <v>62.73</v>
      </c>
      <c r="W974" s="26" t="n">
        <v>57.86</v>
      </c>
      <c r="X974" s="26">
        <f>ROUND(('Methodology &amp; Assumptions'!$B$5*V974) + ('Methodology &amp; Assumptions'!$B$6*W974), 2)</f>
        <v/>
      </c>
      <c r="Y974" s="28" t="n">
        <v>7.2</v>
      </c>
      <c r="Z974" s="11" t="inlineStr">
        <is>
          <t>Priority Tier 2 (Balanced Opportunity)</t>
        </is>
      </c>
    </row>
    <row r="975">
      <c r="A975" s="23" t="n">
        <v>3</v>
      </c>
      <c r="B975" s="23" t="n">
        <v>971</v>
      </c>
      <c r="C975" s="23" t="n">
        <v>2971</v>
      </c>
      <c r="D975" s="23" t="inlineStr">
        <is>
          <t>1108205013</t>
        </is>
      </c>
      <c r="E975" s="11" t="inlineStr">
        <is>
          <t>Region XI (Davao Region)</t>
        </is>
      </c>
      <c r="F975" s="11" t="inlineStr">
        <is>
          <t>Davao de Oro</t>
        </is>
      </c>
      <c r="G975" s="11" t="inlineStr">
        <is>
          <t>Maragusan</t>
        </is>
      </c>
      <c r="H975" s="11" t="inlineStr">
        <is>
          <t>Magcagong</t>
        </is>
      </c>
      <c r="I975" s="24" t="n">
        <v>7.34872</v>
      </c>
      <c r="J975" s="24" t="n">
        <v>126.070314</v>
      </c>
      <c r="K975" s="23" t="inlineStr">
        <is>
          <t>R</t>
        </is>
      </c>
      <c r="L975" s="25" t="n">
        <v>3489</v>
      </c>
      <c r="M975" s="26" t="n">
        <v>3.7</v>
      </c>
      <c r="N975" s="25">
        <f>ROUND(L975/M975, 0)</f>
        <v/>
      </c>
      <c r="O975" s="25">
        <f>ROUND(N975*'Methodology &amp; Assumptions'!$B$7, 0)</f>
        <v/>
      </c>
      <c r="P975" s="23" t="inlineStr">
        <is>
          <t>Single Carrier (Band n50, 100MHz TDD)</t>
        </is>
      </c>
      <c r="Q975" s="27">
        <f>ROUNDUP(O975/'Methodology &amp; Assumptions'!$B$8, 0)</f>
        <v/>
      </c>
      <c r="R975" s="27" t="n">
        <v>1</v>
      </c>
      <c r="S975" s="26" t="n">
        <v>23.64</v>
      </c>
      <c r="T975" s="26" t="n">
        <v>23.33</v>
      </c>
      <c r="U975" s="11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26" t="n">
        <v>61.82</v>
      </c>
      <c r="W975" s="26" t="n">
        <v>58.77</v>
      </c>
      <c r="X975" s="26">
        <f>ROUND(('Methodology &amp; Assumptions'!$B$5*V975) + ('Methodology &amp; Assumptions'!$B$6*W975), 2)</f>
        <v/>
      </c>
      <c r="Y975" s="28" t="n">
        <v>17.4</v>
      </c>
      <c r="Z975" s="11" t="inlineStr">
        <is>
          <t>Priority Tier 2 (Balanced Opportunity)</t>
        </is>
      </c>
    </row>
    <row r="976">
      <c r="A976" s="23" t="n">
        <v>3</v>
      </c>
      <c r="B976" s="23" t="n">
        <v>972</v>
      </c>
      <c r="C976" s="23" t="n">
        <v>2972</v>
      </c>
      <c r="D976" s="23" t="inlineStr">
        <is>
          <t>1381100114</t>
        </is>
      </c>
      <c r="E976" s="11" t="inlineStr">
        <is>
          <t>National Capital Region (NCR)</t>
        </is>
      </c>
      <c r="F976" s="11" t="inlineStr">
        <is>
          <t>Fourth District (Not a Province)</t>
        </is>
      </c>
      <c r="G976" s="11" t="inlineStr">
        <is>
          <t>Pasay City</t>
        </is>
      </c>
      <c r="H976" s="11" t="inlineStr">
        <is>
          <t>Barangay 114</t>
        </is>
      </c>
      <c r="I976" s="24" t="n">
        <v>14.542906</v>
      </c>
      <c r="J976" s="24" t="n">
        <v>121.005971</v>
      </c>
      <c r="K976" s="23" t="inlineStr">
        <is>
          <t>U</t>
        </is>
      </c>
      <c r="L976" s="25" t="n">
        <v>1078</v>
      </c>
      <c r="M976" s="26" t="n">
        <v>3.21</v>
      </c>
      <c r="N976" s="25">
        <f>ROUND(L976/M976, 0)</f>
        <v/>
      </c>
      <c r="O976" s="25">
        <f>ROUND(N976*'Methodology &amp; Assumptions'!$B$7, 0)</f>
        <v/>
      </c>
      <c r="P976" s="23" t="inlineStr">
        <is>
          <t>Single Carrier (Band n50, 100MHz TDD)</t>
        </is>
      </c>
      <c r="Q976" s="27">
        <f>ROUNDUP(O976/'Methodology &amp; Assumptions'!$B$8, 0)</f>
        <v/>
      </c>
      <c r="R976" s="27" t="n">
        <v>1</v>
      </c>
      <c r="S976" s="26" t="n">
        <v>0.96</v>
      </c>
      <c r="T976" s="26" t="n">
        <v>0.64</v>
      </c>
      <c r="U976" s="11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26" t="n">
        <v>51.45</v>
      </c>
      <c r="W976" s="26" t="n">
        <v>69.12</v>
      </c>
      <c r="X976" s="26">
        <f>ROUND(('Methodology &amp; Assumptions'!$B$5*V976) + ('Methodology &amp; Assumptions'!$B$6*W976), 2)</f>
        <v/>
      </c>
      <c r="Y976" s="28" t="n">
        <v>10.9</v>
      </c>
      <c r="Z976" s="11" t="inlineStr">
        <is>
          <t>Priority Tier 2 (Balanced Opportunity)</t>
        </is>
      </c>
    </row>
    <row r="977">
      <c r="A977" s="23" t="n">
        <v>3</v>
      </c>
      <c r="B977" s="23" t="n">
        <v>973</v>
      </c>
      <c r="C977" s="23" t="n">
        <v>2973</v>
      </c>
      <c r="D977" s="23" t="inlineStr">
        <is>
          <t>1380606194</t>
        </is>
      </c>
      <c r="E977" s="11" t="inlineStr">
        <is>
          <t>National Capital Region (NCR)</t>
        </is>
      </c>
      <c r="F977" s="11" t="inlineStr">
        <is>
          <t>First District (Not a Province)</t>
        </is>
      </c>
      <c r="G977" s="11" t="inlineStr">
        <is>
          <t>City of Manila</t>
        </is>
      </c>
      <c r="H977" s="11" t="inlineStr">
        <is>
          <t>Barangay 587-A</t>
        </is>
      </c>
      <c r="I977" s="24" t="n">
        <v>14.602234</v>
      </c>
      <c r="J977" s="24" t="n">
        <v>121.015412</v>
      </c>
      <c r="K977" s="23" t="inlineStr">
        <is>
          <t>U</t>
        </is>
      </c>
      <c r="L977" s="25" t="n">
        <v>1227</v>
      </c>
      <c r="M977" s="26" t="n">
        <v>3.92</v>
      </c>
      <c r="N977" s="25">
        <f>ROUND(L977/M977, 0)</f>
        <v/>
      </c>
      <c r="O977" s="25">
        <f>ROUND(N977*'Methodology &amp; Assumptions'!$B$7, 0)</f>
        <v/>
      </c>
      <c r="P977" s="23" t="inlineStr">
        <is>
          <t>Single Carrier (Band n50, 100MHz TDD)</t>
        </is>
      </c>
      <c r="Q977" s="27">
        <f>ROUNDUP(O977/'Methodology &amp; Assumptions'!$B$8, 0)</f>
        <v/>
      </c>
      <c r="R977" s="27" t="n">
        <v>1</v>
      </c>
      <c r="S977" s="26" t="n">
        <v>1.17</v>
      </c>
      <c r="T977" s="26" t="n">
        <v>0.08</v>
      </c>
      <c r="U977" s="11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26" t="n">
        <v>49.9</v>
      </c>
      <c r="W977" s="26" t="n">
        <v>70.68000000000001</v>
      </c>
      <c r="X977" s="26">
        <f>ROUND(('Methodology &amp; Assumptions'!$B$5*V977) + ('Methodology &amp; Assumptions'!$B$6*W977), 2)</f>
        <v/>
      </c>
      <c r="Y977" s="28" t="n">
        <v>10.9</v>
      </c>
      <c r="Z977" s="11" t="inlineStr">
        <is>
          <t>Priority Tier 2 (Balanced Opportunity)</t>
        </is>
      </c>
    </row>
    <row r="978">
      <c r="A978" s="23" t="n">
        <v>3</v>
      </c>
      <c r="B978" s="23" t="n">
        <v>974</v>
      </c>
      <c r="C978" s="23" t="n">
        <v>2974</v>
      </c>
      <c r="D978" s="23" t="inlineStr">
        <is>
          <t>0205702014</t>
        </is>
      </c>
      <c r="E978" s="11" t="inlineStr">
        <is>
          <t>Region II (Cagayan Valley)</t>
        </is>
      </c>
      <c r="F978" s="11" t="inlineStr">
        <is>
          <t>Quirino</t>
        </is>
      </c>
      <c r="G978" s="11" t="inlineStr">
        <is>
          <t>Cabarroguis</t>
        </is>
      </c>
      <c r="H978" s="11" t="inlineStr">
        <is>
          <t>Dingasan</t>
        </is>
      </c>
      <c r="I978" s="24" t="n">
        <v>16.384317</v>
      </c>
      <c r="J978" s="24" t="n">
        <v>121.508451</v>
      </c>
      <c r="K978" s="23" t="inlineStr">
        <is>
          <t>R</t>
        </is>
      </c>
      <c r="L978" s="25" t="n">
        <v>1393</v>
      </c>
      <c r="M978" s="26" t="n">
        <v>3.9</v>
      </c>
      <c r="N978" s="25">
        <f>ROUND(L978/M978, 0)</f>
        <v/>
      </c>
      <c r="O978" s="25">
        <f>ROUND(N978*'Methodology &amp; Assumptions'!$B$7, 0)</f>
        <v/>
      </c>
      <c r="P978" s="23" t="inlineStr">
        <is>
          <t>Single Carrier (Band n50, 100MHz TDD)</t>
        </is>
      </c>
      <c r="Q978" s="27">
        <f>ROUNDUP(O978/'Methodology &amp; Assumptions'!$B$8, 0)</f>
        <v/>
      </c>
      <c r="R978" s="27" t="n">
        <v>1</v>
      </c>
      <c r="S978" s="26" t="n">
        <v>14.45</v>
      </c>
      <c r="T978" s="26" t="n">
        <v>14.31</v>
      </c>
      <c r="U978" s="11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26" t="n">
        <v>45.86</v>
      </c>
      <c r="W978" s="26" t="n">
        <v>74.72</v>
      </c>
      <c r="X978" s="26">
        <f>ROUND(('Methodology &amp; Assumptions'!$B$5*V978) + ('Methodology &amp; Assumptions'!$B$6*W978), 2)</f>
        <v/>
      </c>
      <c r="Y978" s="28" t="n">
        <v>8.300000000000001</v>
      </c>
      <c r="Z978" s="11" t="inlineStr">
        <is>
          <t>Priority Tier 2 (Balanced Opportunity)</t>
        </is>
      </c>
    </row>
    <row r="979">
      <c r="A979" s="23" t="n">
        <v>3</v>
      </c>
      <c r="B979" s="23" t="n">
        <v>975</v>
      </c>
      <c r="C979" s="23" t="n">
        <v>2975</v>
      </c>
      <c r="D979" s="23" t="inlineStr">
        <is>
          <t>0306903036</t>
        </is>
      </c>
      <c r="E979" s="11" t="inlineStr">
        <is>
          <t>Region III (Central Luzon)</t>
        </is>
      </c>
      <c r="F979" s="11" t="inlineStr">
        <is>
          <t>Tarlac</t>
        </is>
      </c>
      <c r="G979" s="11" t="inlineStr">
        <is>
          <t>Camiling</t>
        </is>
      </c>
      <c r="H979" s="11" t="inlineStr">
        <is>
          <t>Palimbo Caarosipan</t>
        </is>
      </c>
      <c r="I979" s="24" t="n">
        <v>15.691908</v>
      </c>
      <c r="J979" s="24" t="n">
        <v>120.402984</v>
      </c>
      <c r="K979" s="23" t="inlineStr">
        <is>
          <t>R</t>
        </is>
      </c>
      <c r="L979" s="25" t="n">
        <v>3626</v>
      </c>
      <c r="M979" s="26" t="n">
        <v>3.9</v>
      </c>
      <c r="N979" s="25">
        <f>ROUND(L979/M979, 0)</f>
        <v/>
      </c>
      <c r="O979" s="25">
        <f>ROUND(N979*'Methodology &amp; Assumptions'!$B$7, 0)</f>
        <v/>
      </c>
      <c r="P979" s="23" t="inlineStr">
        <is>
          <t>Single Carrier (Band n50, 100MHz TDD)</t>
        </is>
      </c>
      <c r="Q979" s="27">
        <f>ROUNDUP(O979/'Methodology &amp; Assumptions'!$B$8, 0)</f>
        <v/>
      </c>
      <c r="R979" s="27" t="n">
        <v>1</v>
      </c>
      <c r="S979" s="26" t="n">
        <v>1.33</v>
      </c>
      <c r="T979" s="26" t="n">
        <v>1.34</v>
      </c>
      <c r="U979" s="11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26" t="n">
        <v>83.76000000000001</v>
      </c>
      <c r="W979" s="26" t="n">
        <v>36.8</v>
      </c>
      <c r="X979" s="26">
        <f>ROUND(('Methodology &amp; Assumptions'!$B$5*V979) + ('Methodology &amp; Assumptions'!$B$6*W979), 2)</f>
        <v/>
      </c>
      <c r="Y979" s="28" t="n">
        <v>8.300000000000001</v>
      </c>
      <c r="Z979" s="11" t="inlineStr">
        <is>
          <t>Priority Tier 2 (Balanced Opportunity)</t>
        </is>
      </c>
    </row>
    <row r="980">
      <c r="A980" s="23" t="n">
        <v>3</v>
      </c>
      <c r="B980" s="23" t="n">
        <v>976</v>
      </c>
      <c r="C980" s="23" t="n">
        <v>2976</v>
      </c>
      <c r="D980" s="23" t="inlineStr">
        <is>
          <t>0301407002</t>
        </is>
      </c>
      <c r="E980" s="11" t="inlineStr">
        <is>
          <t>Region III (Central Luzon)</t>
        </is>
      </c>
      <c r="F980" s="11" t="inlineStr">
        <is>
          <t>Bulacan</t>
        </is>
      </c>
      <c r="G980" s="11" t="inlineStr">
        <is>
          <t>Calumpit</t>
        </is>
      </c>
      <c r="H980" s="11" t="inlineStr">
        <is>
          <t>Balungao</t>
        </is>
      </c>
      <c r="I980" s="24" t="n">
        <v>14.914192</v>
      </c>
      <c r="J980" s="24" t="n">
        <v>120.765135</v>
      </c>
      <c r="K980" s="23" t="inlineStr">
        <is>
          <t>U</t>
        </is>
      </c>
      <c r="L980" s="25" t="n">
        <v>5979</v>
      </c>
      <c r="M980" s="26" t="n">
        <v>3.5</v>
      </c>
      <c r="N980" s="25">
        <f>ROUND(L980/M980, 0)</f>
        <v/>
      </c>
      <c r="O980" s="25">
        <f>ROUND(N980*'Methodology &amp; Assumptions'!$B$7, 0)</f>
        <v/>
      </c>
      <c r="P980" s="23" t="inlineStr">
        <is>
          <t>Single Carrier (Band n50, 100MHz TDD)</t>
        </is>
      </c>
      <c r="Q980" s="27">
        <f>ROUNDUP(O980/'Methodology &amp; Assumptions'!$B$8, 0)</f>
        <v/>
      </c>
      <c r="R980" s="27" t="n">
        <v>1</v>
      </c>
      <c r="S980" s="26" t="n">
        <v>0.92</v>
      </c>
      <c r="T980" s="26" t="n">
        <v>0.14</v>
      </c>
      <c r="U980" s="11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26" t="n">
        <v>78.14</v>
      </c>
      <c r="W980" s="26" t="n">
        <v>42.42</v>
      </c>
      <c r="X980" s="26">
        <f>ROUND(('Methodology &amp; Assumptions'!$B$5*V980) + ('Methodology &amp; Assumptions'!$B$6*W980), 2)</f>
        <v/>
      </c>
      <c r="Y980" s="28" t="n">
        <v>8.300000000000001</v>
      </c>
      <c r="Z980" s="11" t="inlineStr">
        <is>
          <t>Priority Tier 2 (Balanced Opportunity)</t>
        </is>
      </c>
    </row>
    <row r="981">
      <c r="A981" s="23" t="n">
        <v>3</v>
      </c>
      <c r="B981" s="23" t="n">
        <v>977</v>
      </c>
      <c r="C981" s="23" t="n">
        <v>2977</v>
      </c>
      <c r="D981" s="23" t="inlineStr">
        <is>
          <t>0403420013</t>
        </is>
      </c>
      <c r="E981" s="11" t="inlineStr">
        <is>
          <t>Region IV-A (CALABARZON)</t>
        </is>
      </c>
      <c r="F981" s="11" t="inlineStr">
        <is>
          <t>Laguna</t>
        </is>
      </c>
      <c r="G981" s="11" t="inlineStr">
        <is>
          <t>Pakil</t>
        </is>
      </c>
      <c r="H981" s="11" t="inlineStr">
        <is>
          <t>Tavera</t>
        </is>
      </c>
      <c r="I981" s="24" t="n">
        <v>14.388108</v>
      </c>
      <c r="J981" s="24" t="n">
        <v>121.477364</v>
      </c>
      <c r="K981" s="23" t="inlineStr">
        <is>
          <t>R</t>
        </is>
      </c>
      <c r="L981" s="25" t="n">
        <v>1984</v>
      </c>
      <c r="M981" s="26" t="n">
        <v>3.3</v>
      </c>
      <c r="N981" s="25">
        <f>ROUND(L981/M981, 0)</f>
        <v/>
      </c>
      <c r="O981" s="25">
        <f>ROUND(N981*'Methodology &amp; Assumptions'!$B$7, 0)</f>
        <v/>
      </c>
      <c r="P981" s="23" t="inlineStr">
        <is>
          <t>Single Carrier (Band n50, 100MHz TDD)</t>
        </is>
      </c>
      <c r="Q981" s="27">
        <f>ROUNDUP(O981/'Methodology &amp; Assumptions'!$B$8, 0)</f>
        <v/>
      </c>
      <c r="R981" s="27" t="n">
        <v>1</v>
      </c>
      <c r="S981" s="26" t="n">
        <v>1.01</v>
      </c>
      <c r="T981" s="26" t="n">
        <v>0.07000000000000001</v>
      </c>
      <c r="U981" s="11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26" t="n">
        <v>77.79000000000001</v>
      </c>
      <c r="W981" s="26" t="n">
        <v>42.76</v>
      </c>
      <c r="X981" s="26">
        <f>ROUND(('Methodology &amp; Assumptions'!$B$5*V981) + ('Methodology &amp; Assumptions'!$B$6*W981), 2)</f>
        <v/>
      </c>
      <c r="Y981" s="28" t="n">
        <v>7.2</v>
      </c>
      <c r="Z981" s="11" t="inlineStr">
        <is>
          <t>Priority Tier 2 (Balanced Opportunity)</t>
        </is>
      </c>
    </row>
    <row r="982">
      <c r="A982" s="23" t="n">
        <v>3</v>
      </c>
      <c r="B982" s="23" t="n">
        <v>978</v>
      </c>
      <c r="C982" s="23" t="n">
        <v>2978</v>
      </c>
      <c r="D982" s="23" t="inlineStr">
        <is>
          <t>0300810017</t>
        </is>
      </c>
      <c r="E982" s="11" t="inlineStr">
        <is>
          <t>Region III (Central Luzon)</t>
        </is>
      </c>
      <c r="F982" s="11" t="inlineStr">
        <is>
          <t>Bataan</t>
        </is>
      </c>
      <c r="G982" s="11" t="inlineStr">
        <is>
          <t>Orion</t>
        </is>
      </c>
      <c r="H982" s="11" t="inlineStr">
        <is>
          <t>Lati</t>
        </is>
      </c>
      <c r="I982" s="24" t="n">
        <v>14.620057</v>
      </c>
      <c r="J982" s="24" t="n">
        <v>120.580072</v>
      </c>
      <c r="K982" s="23" t="inlineStr">
        <is>
          <t>R</t>
        </is>
      </c>
      <c r="L982" s="25" t="n">
        <v>1346</v>
      </c>
      <c r="M982" s="26" t="n">
        <v>3.6</v>
      </c>
      <c r="N982" s="25">
        <f>ROUND(L982/M982, 0)</f>
        <v/>
      </c>
      <c r="O982" s="25">
        <f>ROUND(N982*'Methodology &amp; Assumptions'!$B$7, 0)</f>
        <v/>
      </c>
      <c r="P982" s="23" t="inlineStr">
        <is>
          <t>Single Carrier (Band n50, 100MHz TDD)</t>
        </is>
      </c>
      <c r="Q982" s="27">
        <f>ROUNDUP(O982/'Methodology &amp; Assumptions'!$B$8, 0)</f>
        <v/>
      </c>
      <c r="R982" s="27" t="n">
        <v>1</v>
      </c>
      <c r="S982" s="26" t="n">
        <v>0.52</v>
      </c>
      <c r="T982" s="26" t="n">
        <v>0.28</v>
      </c>
      <c r="U982" s="11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26" t="n">
        <v>71.16</v>
      </c>
      <c r="W982" s="26" t="n">
        <v>49.41</v>
      </c>
      <c r="X982" s="26">
        <f>ROUND(('Methodology &amp; Assumptions'!$B$5*V982) + ('Methodology &amp; Assumptions'!$B$6*W982), 2)</f>
        <v/>
      </c>
      <c r="Y982" s="28" t="n">
        <v>8.300000000000001</v>
      </c>
      <c r="Z982" s="11" t="inlineStr">
        <is>
          <t>Priority Tier 2 (Balanced Opportunity)</t>
        </is>
      </c>
    </row>
    <row r="983">
      <c r="A983" s="23" t="n">
        <v>3</v>
      </c>
      <c r="B983" s="23" t="n">
        <v>979</v>
      </c>
      <c r="C983" s="23" t="n">
        <v>2979</v>
      </c>
      <c r="D983" s="23" t="inlineStr">
        <is>
          <t>1380606011</t>
        </is>
      </c>
      <c r="E983" s="11" t="inlineStr">
        <is>
          <t>National Capital Region (NCR)</t>
        </is>
      </c>
      <c r="F983" s="11" t="inlineStr">
        <is>
          <t>First District (Not a Province)</t>
        </is>
      </c>
      <c r="G983" s="11" t="inlineStr">
        <is>
          <t>City of Manila</t>
        </is>
      </c>
      <c r="H983" s="11" t="inlineStr">
        <is>
          <t>Barangay 405</t>
        </is>
      </c>
      <c r="I983" s="24" t="n">
        <v>14.60491</v>
      </c>
      <c r="J983" s="24" t="n">
        <v>120.993603</v>
      </c>
      <c r="K983" s="23" t="inlineStr">
        <is>
          <t>U</t>
        </is>
      </c>
      <c r="L983" s="25" t="n">
        <v>1153</v>
      </c>
      <c r="M983" s="26" t="n">
        <v>3.54</v>
      </c>
      <c r="N983" s="25">
        <f>ROUND(L983/M983, 0)</f>
        <v/>
      </c>
      <c r="O983" s="25">
        <f>ROUND(N983*'Methodology &amp; Assumptions'!$B$7, 0)</f>
        <v/>
      </c>
      <c r="P983" s="23" t="inlineStr">
        <is>
          <t>Single Carrier (Band n50, 100MHz TDD)</t>
        </is>
      </c>
      <c r="Q983" s="27">
        <f>ROUNDUP(O983/'Methodology &amp; Assumptions'!$B$8, 0)</f>
        <v/>
      </c>
      <c r="R983" s="27" t="n">
        <v>1</v>
      </c>
      <c r="S983" s="26" t="n">
        <v>0.33</v>
      </c>
      <c r="T983" s="26" t="n">
        <v>0.31</v>
      </c>
      <c r="U983" s="11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26" t="n">
        <v>51.59</v>
      </c>
      <c r="W983" s="26" t="n">
        <v>68.98</v>
      </c>
      <c r="X983" s="26">
        <f>ROUND(('Methodology &amp; Assumptions'!$B$5*V983) + ('Methodology &amp; Assumptions'!$B$6*W983), 2)</f>
        <v/>
      </c>
      <c r="Y983" s="28" t="n">
        <v>10.9</v>
      </c>
      <c r="Z983" s="11" t="inlineStr">
        <is>
          <t>Priority Tier 2 (Balanced Opportunity)</t>
        </is>
      </c>
    </row>
    <row r="984">
      <c r="A984" s="23" t="n">
        <v>3</v>
      </c>
      <c r="B984" s="23" t="n">
        <v>980</v>
      </c>
      <c r="C984" s="23" t="n">
        <v>2980</v>
      </c>
      <c r="D984" s="23" t="inlineStr">
        <is>
          <t>1381100083</t>
        </is>
      </c>
      <c r="E984" s="11" t="inlineStr">
        <is>
          <t>National Capital Region (NCR)</t>
        </is>
      </c>
      <c r="F984" s="11" t="inlineStr">
        <is>
          <t>Fourth District (Not a Province)</t>
        </is>
      </c>
      <c r="G984" s="11" t="inlineStr">
        <is>
          <t>Pasay City</t>
        </is>
      </c>
      <c r="H984" s="11" t="inlineStr">
        <is>
          <t>Barangay 83</t>
        </is>
      </c>
      <c r="I984" s="24" t="n">
        <v>14.538629</v>
      </c>
      <c r="J984" s="24" t="n">
        <v>121.000336</v>
      </c>
      <c r="K984" s="23" t="inlineStr">
        <is>
          <t>U</t>
        </is>
      </c>
      <c r="L984" s="25" t="n">
        <v>821</v>
      </c>
      <c r="M984" s="26" t="n">
        <v>3.09</v>
      </c>
      <c r="N984" s="25">
        <f>ROUND(L984/M984, 0)</f>
        <v/>
      </c>
      <c r="O984" s="25">
        <f>ROUND(N984*'Methodology &amp; Assumptions'!$B$7, 0)</f>
        <v/>
      </c>
      <c r="P984" s="23" t="inlineStr">
        <is>
          <t>Single Carrier (Band n50, 100MHz TDD)</t>
        </is>
      </c>
      <c r="Q984" s="27">
        <f>ROUNDUP(O984/'Methodology &amp; Assumptions'!$B$8, 0)</f>
        <v/>
      </c>
      <c r="R984" s="27" t="n">
        <v>1</v>
      </c>
      <c r="S984" s="26" t="n">
        <v>0.91</v>
      </c>
      <c r="T984" s="26" t="n">
        <v>0.11</v>
      </c>
      <c r="U984" s="11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26" t="n">
        <v>49.38</v>
      </c>
      <c r="W984" s="26" t="n">
        <v>71.17</v>
      </c>
      <c r="X984" s="26">
        <f>ROUND(('Methodology &amp; Assumptions'!$B$5*V984) + ('Methodology &amp; Assumptions'!$B$6*W984), 2)</f>
        <v/>
      </c>
      <c r="Y984" s="28" t="n">
        <v>10.9</v>
      </c>
      <c r="Z984" s="11" t="inlineStr">
        <is>
          <t>Priority Tier 2 (Balanced Opportunity)</t>
        </is>
      </c>
    </row>
    <row r="985">
      <c r="A985" s="23" t="n">
        <v>3</v>
      </c>
      <c r="B985" s="23" t="n">
        <v>981</v>
      </c>
      <c r="C985" s="23" t="n">
        <v>2981</v>
      </c>
      <c r="D985" s="23" t="inlineStr">
        <is>
          <t>1108605011</t>
        </is>
      </c>
      <c r="E985" s="11" t="inlineStr">
        <is>
          <t>Region XI (Davao Region)</t>
        </is>
      </c>
      <c r="F985" s="11" t="inlineStr">
        <is>
          <t>Davao Occidental</t>
        </is>
      </c>
      <c r="G985" s="11" t="inlineStr">
        <is>
          <t>Sarangani</t>
        </is>
      </c>
      <c r="H985" s="11" t="inlineStr">
        <is>
          <t>Tagen</t>
        </is>
      </c>
      <c r="I985" s="24" t="n">
        <v>5.39241</v>
      </c>
      <c r="J985" s="24" t="n">
        <v>125.35821</v>
      </c>
      <c r="K985" s="23" t="inlineStr">
        <is>
          <t>R</t>
        </is>
      </c>
      <c r="L985" s="25" t="n">
        <v>1396</v>
      </c>
      <c r="M985" s="26" t="n">
        <v>3.9</v>
      </c>
      <c r="N985" s="25">
        <f>ROUND(L985/M985, 0)</f>
        <v/>
      </c>
      <c r="O985" s="25">
        <f>ROUND(N985*'Methodology &amp; Assumptions'!$B$7, 0)</f>
        <v/>
      </c>
      <c r="P985" s="23" t="inlineStr">
        <is>
          <t>Single Carrier (Band n50, 100MHz TDD)</t>
        </is>
      </c>
      <c r="Q985" s="27">
        <f>ROUNDUP(O985/'Methodology &amp; Assumptions'!$B$8, 0)</f>
        <v/>
      </c>
      <c r="R985" s="27" t="n">
        <v>1</v>
      </c>
      <c r="S985" s="26" t="n">
        <v>79.23</v>
      </c>
      <c r="T985" s="26" t="n">
        <v>82.98999999999999</v>
      </c>
      <c r="U985" s="11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26" t="n">
        <v>48.99</v>
      </c>
      <c r="W985" s="26" t="n">
        <v>71.56</v>
      </c>
      <c r="X985" s="26">
        <f>ROUND(('Methodology &amp; Assumptions'!$B$5*V985) + ('Methodology &amp; Assumptions'!$B$6*W985), 2)</f>
        <v/>
      </c>
      <c r="Y985" s="28" t="n">
        <v>17.4</v>
      </c>
      <c r="Z985" s="11" t="inlineStr">
        <is>
          <t>Priority Tier 2 (Balanced Opportunity)</t>
        </is>
      </c>
    </row>
    <row r="986">
      <c r="A986" s="23" t="n">
        <v>3</v>
      </c>
      <c r="B986" s="23" t="n">
        <v>982</v>
      </c>
      <c r="C986" s="23" t="n">
        <v>2982</v>
      </c>
      <c r="D986" s="23" t="inlineStr">
        <is>
          <t>0103307032</t>
        </is>
      </c>
      <c r="E986" s="11" t="inlineStr">
        <is>
          <t>Region I (Ilocos Region)</t>
        </is>
      </c>
      <c r="F986" s="11" t="inlineStr">
        <is>
          <t>La Union</t>
        </is>
      </c>
      <c r="G986" s="11" t="inlineStr">
        <is>
          <t>Bauang</t>
        </is>
      </c>
      <c r="H986" s="11" t="inlineStr">
        <is>
          <t>Pugo</t>
        </is>
      </c>
      <c r="I986" s="24" t="n">
        <v>16.526436</v>
      </c>
      <c r="J986" s="24" t="n">
        <v>120.319784</v>
      </c>
      <c r="K986" s="23" t="inlineStr">
        <is>
          <t>R</t>
        </is>
      </c>
      <c r="L986" s="25" t="n">
        <v>3328</v>
      </c>
      <c r="M986" s="26" t="n">
        <v>3.7</v>
      </c>
      <c r="N986" s="25">
        <f>ROUND(L986/M986, 0)</f>
        <v/>
      </c>
      <c r="O986" s="25">
        <f>ROUND(N986*'Methodology &amp; Assumptions'!$B$7, 0)</f>
        <v/>
      </c>
      <c r="P986" s="23" t="inlineStr">
        <is>
          <t>Single Carrier (Band n50, 100MHz TDD)</t>
        </is>
      </c>
      <c r="Q986" s="27">
        <f>ROUNDUP(O986/'Methodology &amp; Assumptions'!$B$8, 0)</f>
        <v/>
      </c>
      <c r="R986" s="27" t="n">
        <v>1</v>
      </c>
      <c r="S986" s="26" t="n">
        <v>1.22</v>
      </c>
      <c r="T986" s="26" t="n">
        <v>1.08</v>
      </c>
      <c r="U986" s="11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26" t="n">
        <v>84.17</v>
      </c>
      <c r="W986" s="26" t="n">
        <v>36.37</v>
      </c>
      <c r="X986" s="26">
        <f>ROUND(('Methodology &amp; Assumptions'!$B$5*V986) + ('Methodology &amp; Assumptions'!$B$6*W986), 2)</f>
        <v/>
      </c>
      <c r="Y986" s="28" t="n">
        <v>8.300000000000001</v>
      </c>
      <c r="Z986" s="11" t="inlineStr">
        <is>
          <t>Priority Tier 2 (Balanced Opportunity)</t>
        </is>
      </c>
    </row>
    <row r="987">
      <c r="A987" s="23" t="n">
        <v>3</v>
      </c>
      <c r="B987" s="23" t="n">
        <v>983</v>
      </c>
      <c r="C987" s="23" t="n">
        <v>2983</v>
      </c>
      <c r="D987" s="23" t="inlineStr">
        <is>
          <t>0301406012</t>
        </is>
      </c>
      <c r="E987" s="11" t="inlineStr">
        <is>
          <t>Region III (Central Luzon)</t>
        </is>
      </c>
      <c r="F987" s="11" t="inlineStr">
        <is>
          <t>Bulacan</t>
        </is>
      </c>
      <c r="G987" s="11" t="inlineStr">
        <is>
          <t>Bustos</t>
        </is>
      </c>
      <c r="H987" s="11" t="inlineStr">
        <is>
          <t>Talampas</t>
        </is>
      </c>
      <c r="I987" s="24" t="n">
        <v>14.931136</v>
      </c>
      <c r="J987" s="24" t="n">
        <v>120.906161</v>
      </c>
      <c r="K987" s="23" t="inlineStr">
        <is>
          <t>R</t>
        </is>
      </c>
      <c r="L987" s="25" t="n">
        <v>3802</v>
      </c>
      <c r="M987" s="26" t="n">
        <v>3.5</v>
      </c>
      <c r="N987" s="25">
        <f>ROUND(L987/M987, 0)</f>
        <v/>
      </c>
      <c r="O987" s="25">
        <f>ROUND(N987*'Methodology &amp; Assumptions'!$B$7, 0)</f>
        <v/>
      </c>
      <c r="P987" s="23" t="inlineStr">
        <is>
          <t>Single Carrier (Band n50, 100MHz TDD)</t>
        </is>
      </c>
      <c r="Q987" s="27">
        <f>ROUNDUP(O987/'Methodology &amp; Assumptions'!$B$8, 0)</f>
        <v/>
      </c>
      <c r="R987" s="27" t="n">
        <v>1</v>
      </c>
      <c r="S987" s="26" t="n">
        <v>2.71</v>
      </c>
      <c r="T987" s="26" t="n">
        <v>0.1</v>
      </c>
      <c r="U987" s="11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26" t="n">
        <v>79.06999999999999</v>
      </c>
      <c r="W987" s="26" t="n">
        <v>41.46</v>
      </c>
      <c r="X987" s="26">
        <f>ROUND(('Methodology &amp; Assumptions'!$B$5*V987) + ('Methodology &amp; Assumptions'!$B$6*W987), 2)</f>
        <v/>
      </c>
      <c r="Y987" s="28" t="n">
        <v>8.300000000000001</v>
      </c>
      <c r="Z987" s="11" t="inlineStr">
        <is>
          <t>Priority Tier 2 (Balanced Opportunity)</t>
        </is>
      </c>
    </row>
    <row r="988">
      <c r="A988" s="23" t="n">
        <v>3</v>
      </c>
      <c r="B988" s="23" t="n">
        <v>984</v>
      </c>
      <c r="C988" s="23" t="n">
        <v>2984</v>
      </c>
      <c r="D988" s="23" t="inlineStr">
        <is>
          <t>0301423016</t>
        </is>
      </c>
      <c r="E988" s="11" t="inlineStr">
        <is>
          <t>Region III (Central Luzon)</t>
        </is>
      </c>
      <c r="F988" s="11" t="inlineStr">
        <is>
          <t>Bulacan</t>
        </is>
      </c>
      <c r="G988" s="11" t="inlineStr">
        <is>
          <t>Santa Maria</t>
        </is>
      </c>
      <c r="H988" s="11" t="inlineStr">
        <is>
          <t>Poblacion</t>
        </is>
      </c>
      <c r="I988" s="24" t="n">
        <v>14.824017</v>
      </c>
      <c r="J988" s="24" t="n">
        <v>120.965147</v>
      </c>
      <c r="K988" s="23" t="inlineStr">
        <is>
          <t>U</t>
        </is>
      </c>
      <c r="L988" s="25" t="n">
        <v>13454</v>
      </c>
      <c r="M988" s="26" t="n">
        <v>3.5</v>
      </c>
      <c r="N988" s="25">
        <f>ROUND(L988/M988, 0)</f>
        <v/>
      </c>
      <c r="O988" s="25">
        <f>ROUND(N988*'Methodology &amp; Assumptions'!$B$7, 0)</f>
        <v/>
      </c>
      <c r="P988" s="23" t="inlineStr">
        <is>
          <t>Single Carrier (Band n50, 100MHz TDD)</t>
        </is>
      </c>
      <c r="Q988" s="27">
        <f>ROUNDUP(O988/'Methodology &amp; Assumptions'!$B$8, 0)</f>
        <v/>
      </c>
      <c r="R988" s="27" t="n">
        <v>1</v>
      </c>
      <c r="S988" s="26" t="n">
        <v>0.64</v>
      </c>
      <c r="T988" s="26" t="n">
        <v>0.58</v>
      </c>
      <c r="U988" s="11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26" t="n">
        <v>78.43000000000001</v>
      </c>
      <c r="W988" s="26" t="n">
        <v>42.1</v>
      </c>
      <c r="X988" s="26">
        <f>ROUND(('Methodology &amp; Assumptions'!$B$5*V988) + ('Methodology &amp; Assumptions'!$B$6*W988), 2)</f>
        <v/>
      </c>
      <c r="Y988" s="28" t="n">
        <v>8.300000000000001</v>
      </c>
      <c r="Z988" s="11" t="inlineStr">
        <is>
          <t>Priority Tier 2 (Balanced Opportunity)</t>
        </is>
      </c>
    </row>
    <row r="989">
      <c r="A989" s="23" t="n">
        <v>3</v>
      </c>
      <c r="B989" s="23" t="n">
        <v>985</v>
      </c>
      <c r="C989" s="23" t="n">
        <v>2985</v>
      </c>
      <c r="D989" s="23" t="inlineStr">
        <is>
          <t>0401003017</t>
        </is>
      </c>
      <c r="E989" s="11" t="inlineStr">
        <is>
          <t>Region IV-A (CALABARZON)</t>
        </is>
      </c>
      <c r="F989" s="11" t="inlineStr">
        <is>
          <t>Batangas</t>
        </is>
      </c>
      <c r="G989" s="11" t="inlineStr">
        <is>
          <t>Balayan</t>
        </is>
      </c>
      <c r="H989" s="11" t="inlineStr">
        <is>
          <t>Caloocan</t>
        </is>
      </c>
      <c r="I989" s="24" t="n">
        <v>13.9488</v>
      </c>
      <c r="J989" s="24" t="n">
        <v>120.7227</v>
      </c>
      <c r="K989" s="23" t="inlineStr">
        <is>
          <t>U</t>
        </is>
      </c>
      <c r="L989" s="25" t="n">
        <v>6470</v>
      </c>
      <c r="M989" s="26" t="n">
        <v>3.6</v>
      </c>
      <c r="N989" s="25">
        <f>ROUND(L989/M989, 0)</f>
        <v/>
      </c>
      <c r="O989" s="25">
        <f>ROUND(N989*'Methodology &amp; Assumptions'!$B$7, 0)</f>
        <v/>
      </c>
      <c r="P989" s="23" t="inlineStr">
        <is>
          <t>Single Carrier (Band n50, 100MHz TDD)</t>
        </is>
      </c>
      <c r="Q989" s="27">
        <f>ROUNDUP(O989/'Methodology &amp; Assumptions'!$B$8, 0)</f>
        <v/>
      </c>
      <c r="R989" s="27" t="n">
        <v>1</v>
      </c>
      <c r="S989" s="26" t="n">
        <v>0.83</v>
      </c>
      <c r="T989" s="26" t="n">
        <v>0.21</v>
      </c>
      <c r="U989" s="11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26" t="n">
        <v>78.26000000000001</v>
      </c>
      <c r="W989" s="26" t="n">
        <v>42.29</v>
      </c>
      <c r="X989" s="26">
        <f>ROUND(('Methodology &amp; Assumptions'!$B$5*V989) + ('Methodology &amp; Assumptions'!$B$6*W989), 2)</f>
        <v/>
      </c>
      <c r="Y989" s="28" t="n">
        <v>7.2</v>
      </c>
      <c r="Z989" s="11" t="inlineStr">
        <is>
          <t>Priority Tier 2 (Balanced Opportunity)</t>
        </is>
      </c>
    </row>
    <row r="990">
      <c r="A990" s="23" t="n">
        <v>3</v>
      </c>
      <c r="B990" s="23" t="n">
        <v>986</v>
      </c>
      <c r="C990" s="23" t="n">
        <v>2986</v>
      </c>
      <c r="D990" s="23" t="inlineStr">
        <is>
          <t>0301420031</t>
        </is>
      </c>
      <c r="E990" s="11" t="inlineStr">
        <is>
          <t>Region III (Central Luzon)</t>
        </is>
      </c>
      <c r="F990" s="11" t="inlineStr">
        <is>
          <t>Bulacan</t>
        </is>
      </c>
      <c r="G990" s="11" t="inlineStr">
        <is>
          <t>City of San Jose Del Monte</t>
        </is>
      </c>
      <c r="H990" s="11" t="inlineStr">
        <is>
          <t>Graceville</t>
        </is>
      </c>
      <c r="I990" s="24" t="n">
        <v>14.787369</v>
      </c>
      <c r="J990" s="24" t="n">
        <v>121.061008</v>
      </c>
      <c r="K990" s="23" t="inlineStr">
        <is>
          <t>U</t>
        </is>
      </c>
      <c r="L990" s="25" t="n">
        <v>44118</v>
      </c>
      <c r="M990" s="26" t="n">
        <v>3.5</v>
      </c>
      <c r="N990" s="25">
        <f>ROUND(L990/M990, 0)</f>
        <v/>
      </c>
      <c r="O990" s="25">
        <f>ROUND(N990*'Methodology &amp; Assumptions'!$B$7, 0)</f>
        <v/>
      </c>
      <c r="P990" s="23" t="inlineStr">
        <is>
          <t>Single Carrier (Band n50, 100MHz TDD)</t>
        </is>
      </c>
      <c r="Q990" s="27">
        <f>ROUNDUP(O990/'Methodology &amp; Assumptions'!$B$8, 0)</f>
        <v/>
      </c>
      <c r="R990" s="27" t="n">
        <v>1</v>
      </c>
      <c r="S990" s="26" t="n">
        <v>1.53</v>
      </c>
      <c r="T990" s="26" t="n">
        <v>0.52</v>
      </c>
      <c r="U990" s="11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26" t="n">
        <v>74.63</v>
      </c>
      <c r="W990" s="26" t="n">
        <v>45.92</v>
      </c>
      <c r="X990" s="26">
        <f>ROUND(('Methodology &amp; Assumptions'!$B$5*V990) + ('Methodology &amp; Assumptions'!$B$6*W990), 2)</f>
        <v/>
      </c>
      <c r="Y990" s="28" t="n">
        <v>8.300000000000001</v>
      </c>
      <c r="Z990" s="11" t="inlineStr">
        <is>
          <t>Priority Tier 2 (Balanced Opportunity)</t>
        </is>
      </c>
    </row>
    <row r="991">
      <c r="A991" s="23" t="n">
        <v>3</v>
      </c>
      <c r="B991" s="23" t="n">
        <v>987</v>
      </c>
      <c r="C991" s="23" t="n">
        <v>2987</v>
      </c>
      <c r="D991" s="23" t="inlineStr">
        <is>
          <t>0403413015</t>
        </is>
      </c>
      <c r="E991" s="11" t="inlineStr">
        <is>
          <t>Region IV-A (CALABARZON)</t>
        </is>
      </c>
      <c r="F991" s="11" t="inlineStr">
        <is>
          <t>Laguna</t>
        </is>
      </c>
      <c r="G991" s="11" t="inlineStr">
        <is>
          <t>Lumban</t>
        </is>
      </c>
      <c r="H991" s="11" t="inlineStr">
        <is>
          <t>Santo Niño</t>
        </is>
      </c>
      <c r="I991" s="24" t="n">
        <v>14.297387</v>
      </c>
      <c r="J991" s="24" t="n">
        <v>121.460138</v>
      </c>
      <c r="K991" s="23" t="inlineStr">
        <is>
          <t>R</t>
        </is>
      </c>
      <c r="L991" s="25" t="n">
        <v>1206</v>
      </c>
      <c r="M991" s="26" t="n">
        <v>3.3</v>
      </c>
      <c r="N991" s="25">
        <f>ROUND(L991/M991, 0)</f>
        <v/>
      </c>
      <c r="O991" s="25">
        <f>ROUND(N991*'Methodology &amp; Assumptions'!$B$7, 0)</f>
        <v/>
      </c>
      <c r="P991" s="23" t="inlineStr">
        <is>
          <t>Single Carrier (Band n50, 100MHz TDD)</t>
        </is>
      </c>
      <c r="Q991" s="27">
        <f>ROUNDUP(O991/'Methodology &amp; Assumptions'!$B$8, 0)</f>
        <v/>
      </c>
      <c r="R991" s="27" t="n">
        <v>1</v>
      </c>
      <c r="S991" s="26" t="n">
        <v>0.22</v>
      </c>
      <c r="T991" s="26" t="n">
        <v>0.34</v>
      </c>
      <c r="U991" s="11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26" t="n">
        <v>70.81999999999999</v>
      </c>
      <c r="W991" s="26" t="n">
        <v>49.71</v>
      </c>
      <c r="X991" s="26">
        <f>ROUND(('Methodology &amp; Assumptions'!$B$5*V991) + ('Methodology &amp; Assumptions'!$B$6*W991), 2)</f>
        <v/>
      </c>
      <c r="Y991" s="28" t="n">
        <v>7.2</v>
      </c>
      <c r="Z991" s="11" t="inlineStr">
        <is>
          <t>Priority Tier 2 (Balanced Opportunity)</t>
        </is>
      </c>
    </row>
    <row r="992">
      <c r="A992" s="23" t="n">
        <v>3</v>
      </c>
      <c r="B992" s="23" t="n">
        <v>988</v>
      </c>
      <c r="C992" s="23" t="n">
        <v>2988</v>
      </c>
      <c r="D992" s="23" t="inlineStr">
        <is>
          <t>0403426015</t>
        </is>
      </c>
      <c r="E992" s="11" t="inlineStr">
        <is>
          <t>Region IV-A (CALABARZON)</t>
        </is>
      </c>
      <c r="F992" s="11" t="inlineStr">
        <is>
          <t>Laguna</t>
        </is>
      </c>
      <c r="G992" s="11" t="inlineStr">
        <is>
          <t>Santa Cruz</t>
        </is>
      </c>
      <c r="H992" s="11" t="inlineStr">
        <is>
          <t>Barangay II</t>
        </is>
      </c>
      <c r="I992" s="24" t="n">
        <v>14.279468</v>
      </c>
      <c r="J992" s="24" t="n">
        <v>121.417082</v>
      </c>
      <c r="K992" s="23" t="inlineStr">
        <is>
          <t>U</t>
        </is>
      </c>
      <c r="L992" s="25" t="n">
        <v>1403</v>
      </c>
      <c r="M992" s="26" t="n">
        <v>3.3</v>
      </c>
      <c r="N992" s="25">
        <f>ROUND(L992/M992, 0)</f>
        <v/>
      </c>
      <c r="O992" s="25">
        <f>ROUND(N992*'Methodology &amp; Assumptions'!$B$7, 0)</f>
        <v/>
      </c>
      <c r="P992" s="23" t="inlineStr">
        <is>
          <t>Single Carrier (Band n50, 100MHz TDD)</t>
        </is>
      </c>
      <c r="Q992" s="27">
        <f>ROUNDUP(O992/'Methodology &amp; Assumptions'!$B$8, 0)</f>
        <v/>
      </c>
      <c r="R992" s="27" t="n">
        <v>1</v>
      </c>
      <c r="S992" s="26" t="n">
        <v>0.43</v>
      </c>
      <c r="T992" s="26" t="n">
        <v>0.14</v>
      </c>
      <c r="U992" s="11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26" t="n">
        <v>65.58</v>
      </c>
      <c r="W992" s="26" t="n">
        <v>54.96</v>
      </c>
      <c r="X992" s="26">
        <f>ROUND(('Methodology &amp; Assumptions'!$B$5*V992) + ('Methodology &amp; Assumptions'!$B$6*W992), 2)</f>
        <v/>
      </c>
      <c r="Y992" s="28" t="n">
        <v>7.2</v>
      </c>
      <c r="Z992" s="11" t="inlineStr">
        <is>
          <t>Priority Tier 2 (Balanced Opportunity)</t>
        </is>
      </c>
    </row>
    <row r="993">
      <c r="A993" s="23" t="n">
        <v>3</v>
      </c>
      <c r="B993" s="23" t="n">
        <v>989</v>
      </c>
      <c r="C993" s="23" t="n">
        <v>2989</v>
      </c>
      <c r="D993" s="23" t="inlineStr">
        <is>
          <t>0405647056</t>
        </is>
      </c>
      <c r="E993" s="11" t="inlineStr">
        <is>
          <t>Region IV-A (CALABARZON)</t>
        </is>
      </c>
      <c r="F993" s="11" t="inlineStr">
        <is>
          <t>Quezon</t>
        </is>
      </c>
      <c r="G993" s="11" t="inlineStr">
        <is>
          <t>City of Tayabas</t>
        </is>
      </c>
      <c r="H993" s="11" t="inlineStr">
        <is>
          <t>San Isidro Zone IV</t>
        </is>
      </c>
      <c r="I993" s="24" t="n">
        <v>14.028968</v>
      </c>
      <c r="J993" s="24" t="n">
        <v>121.587327</v>
      </c>
      <c r="K993" s="23" t="inlineStr">
        <is>
          <t>R</t>
        </is>
      </c>
      <c r="L993" s="25" t="n">
        <v>679</v>
      </c>
      <c r="M993" s="26" t="n">
        <v>3.8</v>
      </c>
      <c r="N993" s="25">
        <f>ROUND(L993/M993, 0)</f>
        <v/>
      </c>
      <c r="O993" s="25">
        <f>ROUND(N993*'Methodology &amp; Assumptions'!$B$7, 0)</f>
        <v/>
      </c>
      <c r="P993" s="23" t="inlineStr">
        <is>
          <t>Single Carrier (Band n50, 100MHz TDD)</t>
        </is>
      </c>
      <c r="Q993" s="27">
        <f>ROUNDUP(O993/'Methodology &amp; Assumptions'!$B$8, 0)</f>
        <v/>
      </c>
      <c r="R993" s="27" t="n">
        <v>1</v>
      </c>
      <c r="S993" s="26" t="n">
        <v>0.88</v>
      </c>
      <c r="T993" s="26" t="n">
        <v>0.21</v>
      </c>
      <c r="U993" s="11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26" t="n">
        <v>64.56999999999999</v>
      </c>
      <c r="W993" s="26" t="n">
        <v>55.97</v>
      </c>
      <c r="X993" s="26">
        <f>ROUND(('Methodology &amp; Assumptions'!$B$5*V993) + ('Methodology &amp; Assumptions'!$B$6*W993), 2)</f>
        <v/>
      </c>
      <c r="Y993" s="28" t="n">
        <v>7.2</v>
      </c>
      <c r="Z993" s="11" t="inlineStr">
        <is>
          <t>Priority Tier 2 (Balanced Opportunity)</t>
        </is>
      </c>
    </row>
    <row r="994">
      <c r="A994" s="23" t="n">
        <v>3</v>
      </c>
      <c r="B994" s="23" t="n">
        <v>990</v>
      </c>
      <c r="C994" s="23" t="n">
        <v>2990</v>
      </c>
      <c r="D994" s="23" t="inlineStr">
        <is>
          <t>0405647057</t>
        </is>
      </c>
      <c r="E994" s="11" t="inlineStr">
        <is>
          <t>Region IV-A (CALABARZON)</t>
        </is>
      </c>
      <c r="F994" s="11" t="inlineStr">
        <is>
          <t>Quezon</t>
        </is>
      </c>
      <c r="G994" s="11" t="inlineStr">
        <is>
          <t>City of Tayabas</t>
        </is>
      </c>
      <c r="H994" s="11" t="inlineStr">
        <is>
          <t>San Roque Zone I</t>
        </is>
      </c>
      <c r="I994" s="24" t="n">
        <v>14.02539</v>
      </c>
      <c r="J994" s="24" t="n">
        <v>121.591665</v>
      </c>
      <c r="K994" s="23" t="inlineStr">
        <is>
          <t>R</t>
        </is>
      </c>
      <c r="L994" s="25" t="n">
        <v>145</v>
      </c>
      <c r="M994" s="26" t="n">
        <v>3.8</v>
      </c>
      <c r="N994" s="25">
        <f>ROUND(L994/M994, 0)</f>
        <v/>
      </c>
      <c r="O994" s="25">
        <f>ROUND(N994*'Methodology &amp; Assumptions'!$B$7, 0)</f>
        <v/>
      </c>
      <c r="P994" s="23" t="inlineStr">
        <is>
          <t>Single Carrier (Band n50, 100MHz TDD)</t>
        </is>
      </c>
      <c r="Q994" s="27">
        <f>ROUNDUP(O994/'Methodology &amp; Assumptions'!$B$8, 0)</f>
        <v/>
      </c>
      <c r="R994" s="27" t="n">
        <v>1</v>
      </c>
      <c r="S994" s="26" t="n">
        <v>0.27</v>
      </c>
      <c r="T994" s="26" t="n">
        <v>0.18</v>
      </c>
      <c r="U994" s="11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26" t="n">
        <v>60.06</v>
      </c>
      <c r="W994" s="26" t="n">
        <v>60.49</v>
      </c>
      <c r="X994" s="26">
        <f>ROUND(('Methodology &amp; Assumptions'!$B$5*V994) + ('Methodology &amp; Assumptions'!$B$6*W994), 2)</f>
        <v/>
      </c>
      <c r="Y994" s="28" t="n">
        <v>7.2</v>
      </c>
      <c r="Z994" s="11" t="inlineStr">
        <is>
          <t>Priority Tier 2 (Balanced Opportunity)</t>
        </is>
      </c>
    </row>
    <row r="995">
      <c r="A995" s="23" t="n">
        <v>3</v>
      </c>
      <c r="B995" s="23" t="n">
        <v>991</v>
      </c>
      <c r="C995" s="23" t="n">
        <v>2991</v>
      </c>
      <c r="D995" s="23" t="inlineStr">
        <is>
          <t>1381100020</t>
        </is>
      </c>
      <c r="E995" s="11" t="inlineStr">
        <is>
          <t>National Capital Region (NCR)</t>
        </is>
      </c>
      <c r="F995" s="11" t="inlineStr">
        <is>
          <t>Fourth District (Not a Province)</t>
        </is>
      </c>
      <c r="G995" s="11" t="inlineStr">
        <is>
          <t>Pasay City</t>
        </is>
      </c>
      <c r="H995" s="11" t="inlineStr">
        <is>
          <t>Barangay 20</t>
        </is>
      </c>
      <c r="I995" s="24" t="n">
        <v>14.555613</v>
      </c>
      <c r="J995" s="24" t="n">
        <v>120.992559</v>
      </c>
      <c r="K995" s="23" t="inlineStr">
        <is>
          <t>U</t>
        </is>
      </c>
      <c r="L995" s="25" t="n">
        <v>880</v>
      </c>
      <c r="M995" s="26" t="n">
        <v>2.95</v>
      </c>
      <c r="N995" s="25">
        <f>ROUND(L995/M995, 0)</f>
        <v/>
      </c>
      <c r="O995" s="25">
        <f>ROUND(N995*'Methodology &amp; Assumptions'!$B$7, 0)</f>
        <v/>
      </c>
      <c r="P995" s="23" t="inlineStr">
        <is>
          <t>Single Carrier (Band n50, 100MHz TDD)</t>
        </is>
      </c>
      <c r="Q995" s="27">
        <f>ROUNDUP(O995/'Methodology &amp; Assumptions'!$B$8, 0)</f>
        <v/>
      </c>
      <c r="R995" s="27" t="n">
        <v>1</v>
      </c>
      <c r="S995" s="26" t="n">
        <v>0.27</v>
      </c>
      <c r="T995" s="26" t="n">
        <v>0.26</v>
      </c>
      <c r="U995" s="11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26" t="n">
        <v>50.63</v>
      </c>
      <c r="W995" s="26" t="n">
        <v>69.91</v>
      </c>
      <c r="X995" s="26">
        <f>ROUND(('Methodology &amp; Assumptions'!$B$5*V995) + ('Methodology &amp; Assumptions'!$B$6*W995), 2)</f>
        <v/>
      </c>
      <c r="Y995" s="28" t="n">
        <v>10.9</v>
      </c>
      <c r="Z995" s="11" t="inlineStr">
        <is>
          <t>Priority Tier 2 (Balanced Opportunity)</t>
        </is>
      </c>
    </row>
    <row r="996">
      <c r="A996" s="23" t="n">
        <v>3</v>
      </c>
      <c r="B996" s="23" t="n">
        <v>992</v>
      </c>
      <c r="C996" s="23" t="n">
        <v>2992</v>
      </c>
      <c r="D996" s="23" t="inlineStr">
        <is>
          <t>1380601059</t>
        </is>
      </c>
      <c r="E996" s="11" t="inlineStr">
        <is>
          <t>National Capital Region (NCR)</t>
        </is>
      </c>
      <c r="F996" s="11" t="inlineStr">
        <is>
          <t>First District (Not a Province)</t>
        </is>
      </c>
      <c r="G996" s="11" t="inlineStr">
        <is>
          <t>City of Manila</t>
        </is>
      </c>
      <c r="H996" s="11" t="inlineStr">
        <is>
          <t>Barangay 59</t>
        </is>
      </c>
      <c r="I996" s="24" t="n">
        <v>14.613543</v>
      </c>
      <c r="J996" s="24" t="n">
        <v>120.969832</v>
      </c>
      <c r="K996" s="23" t="inlineStr">
        <is>
          <t>U</t>
        </is>
      </c>
      <c r="L996" s="25" t="n">
        <v>1064</v>
      </c>
      <c r="M996" s="26" t="n">
        <v>3.86</v>
      </c>
      <c r="N996" s="25">
        <f>ROUND(L996/M996, 0)</f>
        <v/>
      </c>
      <c r="O996" s="25">
        <f>ROUND(N996*'Methodology &amp; Assumptions'!$B$7, 0)</f>
        <v/>
      </c>
      <c r="P996" s="23" t="inlineStr">
        <is>
          <t>Single Carrier (Band n50, 100MHz TDD)</t>
        </is>
      </c>
      <c r="Q996" s="27">
        <f>ROUNDUP(O996/'Methodology &amp; Assumptions'!$B$8, 0)</f>
        <v/>
      </c>
      <c r="R996" s="27" t="n">
        <v>1</v>
      </c>
      <c r="S996" s="26" t="n">
        <v>0.75</v>
      </c>
      <c r="T996" s="26" t="n">
        <v>0.42</v>
      </c>
      <c r="U996" s="11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26" t="n">
        <v>49.98</v>
      </c>
      <c r="W996" s="26" t="n">
        <v>70.56</v>
      </c>
      <c r="X996" s="26">
        <f>ROUND(('Methodology &amp; Assumptions'!$B$5*V996) + ('Methodology &amp; Assumptions'!$B$6*W996), 2)</f>
        <v/>
      </c>
      <c r="Y996" s="28" t="n">
        <v>10.9</v>
      </c>
      <c r="Z996" s="11" t="inlineStr">
        <is>
          <t>Priority Tier 2 (Balanced Opportunity)</t>
        </is>
      </c>
    </row>
    <row r="997">
      <c r="A997" s="23" t="n">
        <v>3</v>
      </c>
      <c r="B997" s="23" t="n">
        <v>993</v>
      </c>
      <c r="C997" s="23" t="n">
        <v>2993</v>
      </c>
      <c r="D997" s="23" t="inlineStr">
        <is>
          <t>1704006011</t>
        </is>
      </c>
      <c r="E997" s="11" t="inlineStr">
        <is>
          <t>MIMAROPA Region</t>
        </is>
      </c>
      <c r="F997" s="11" t="inlineStr">
        <is>
          <t>Marinduque</t>
        </is>
      </c>
      <c r="G997" s="11" t="inlineStr">
        <is>
          <t>Torrijos</t>
        </is>
      </c>
      <c r="H997" s="11" t="inlineStr">
        <is>
          <t>Makawayan</t>
        </is>
      </c>
      <c r="I997" s="24" t="n">
        <v>13.261459</v>
      </c>
      <c r="J997" s="24" t="n">
        <v>122.024634</v>
      </c>
      <c r="K997" s="23" t="inlineStr">
        <is>
          <t>R</t>
        </is>
      </c>
      <c r="L997" s="25" t="n">
        <v>1084</v>
      </c>
      <c r="M997" s="26" t="n">
        <v>3.8</v>
      </c>
      <c r="N997" s="25">
        <f>ROUND(L997/M997, 0)</f>
        <v/>
      </c>
      <c r="O997" s="25">
        <f>ROUND(N997*'Methodology &amp; Assumptions'!$B$7, 0)</f>
        <v/>
      </c>
      <c r="P997" s="23" t="inlineStr">
        <is>
          <t>Single Carrier (Band n50, 100MHz TDD)</t>
        </is>
      </c>
      <c r="Q997" s="27">
        <f>ROUNDUP(O997/'Methodology &amp; Assumptions'!$B$8, 0)</f>
        <v/>
      </c>
      <c r="R997" s="27" t="n">
        <v>1</v>
      </c>
      <c r="S997" s="26" t="n">
        <v>47.69</v>
      </c>
      <c r="T997" s="26" t="n">
        <v>47</v>
      </c>
      <c r="U997" s="11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26" t="n">
        <v>42.49</v>
      </c>
      <c r="W997" s="26" t="n">
        <v>78.04000000000001</v>
      </c>
      <c r="X997" s="26">
        <f>ROUND(('Methodology &amp; Assumptions'!$B$5*V997) + ('Methodology &amp; Assumptions'!$B$6*W997), 2)</f>
        <v/>
      </c>
      <c r="Y997" s="28" t="n">
        <v>15</v>
      </c>
      <c r="Z997" s="11" t="inlineStr">
        <is>
          <t>Priority Tier 2 (Balanced Opportunity)</t>
        </is>
      </c>
    </row>
    <row r="998">
      <c r="A998" s="23" t="n">
        <v>3</v>
      </c>
      <c r="B998" s="23" t="n">
        <v>994</v>
      </c>
      <c r="C998" s="23" t="n">
        <v>2994</v>
      </c>
      <c r="D998" s="23" t="inlineStr">
        <is>
          <t>0301420033</t>
        </is>
      </c>
      <c r="E998" s="11" t="inlineStr">
        <is>
          <t>Region III (Central Luzon)</t>
        </is>
      </c>
      <c r="F998" s="11" t="inlineStr">
        <is>
          <t>Bulacan</t>
        </is>
      </c>
      <c r="G998" s="11" t="inlineStr">
        <is>
          <t>City of San Jose Del Monte</t>
        </is>
      </c>
      <c r="H998" s="11" t="inlineStr">
        <is>
          <t>Gumaoc East</t>
        </is>
      </c>
      <c r="I998" s="24" t="n">
        <v>14.799086</v>
      </c>
      <c r="J998" s="24" t="n">
        <v>121.067989</v>
      </c>
      <c r="K998" s="23" t="inlineStr">
        <is>
          <t>U</t>
        </is>
      </c>
      <c r="L998" s="25" t="n">
        <v>5619</v>
      </c>
      <c r="M998" s="26" t="n">
        <v>3.5</v>
      </c>
      <c r="N998" s="25">
        <f>ROUND(L998/M998, 0)</f>
        <v/>
      </c>
      <c r="O998" s="25">
        <f>ROUND(N998*'Methodology &amp; Assumptions'!$B$7, 0)</f>
        <v/>
      </c>
      <c r="P998" s="23" t="inlineStr">
        <is>
          <t>Single Carrier (Band n50, 100MHz TDD)</t>
        </is>
      </c>
      <c r="Q998" s="27">
        <f>ROUNDUP(O998/'Methodology &amp; Assumptions'!$B$8, 0)</f>
        <v/>
      </c>
      <c r="R998" s="27" t="n">
        <v>1</v>
      </c>
      <c r="S998" s="26" t="n">
        <v>0.27</v>
      </c>
      <c r="T998" s="26" t="n">
        <v>0.72</v>
      </c>
      <c r="U998" s="11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26" t="n">
        <v>78.43000000000001</v>
      </c>
      <c r="W998" s="26" t="n">
        <v>42.08</v>
      </c>
      <c r="X998" s="26">
        <f>ROUND(('Methodology &amp; Assumptions'!$B$5*V998) + ('Methodology &amp; Assumptions'!$B$6*W998), 2)</f>
        <v/>
      </c>
      <c r="Y998" s="28" t="n">
        <v>8.300000000000001</v>
      </c>
      <c r="Z998" s="11" t="inlineStr">
        <is>
          <t>Priority Tier 2 (Balanced Opportunity)</t>
        </is>
      </c>
    </row>
    <row r="999">
      <c r="A999" s="23" t="n">
        <v>3</v>
      </c>
      <c r="B999" s="23" t="n">
        <v>995</v>
      </c>
      <c r="C999" s="23" t="n">
        <v>2995</v>
      </c>
      <c r="D999" s="23" t="inlineStr">
        <is>
          <t>0201529039</t>
        </is>
      </c>
      <c r="E999" s="11" t="inlineStr">
        <is>
          <t>Region II (Cagayan Valley)</t>
        </is>
      </c>
      <c r="F999" s="11" t="inlineStr">
        <is>
          <t>Cagayan</t>
        </is>
      </c>
      <c r="G999" s="11" t="inlineStr">
        <is>
          <t>Tuguegarao City</t>
        </is>
      </c>
      <c r="H999" s="11" t="inlineStr">
        <is>
          <t>Atulayan Sur</t>
        </is>
      </c>
      <c r="I999" s="24" t="n">
        <v>17.6351</v>
      </c>
      <c r="J999" s="24" t="n">
        <v>121.721</v>
      </c>
      <c r="K999" s="23" t="inlineStr">
        <is>
          <t>R</t>
        </is>
      </c>
      <c r="L999" s="25" t="n">
        <v>4645</v>
      </c>
      <c r="M999" s="26" t="n">
        <v>3.9</v>
      </c>
      <c r="N999" s="25">
        <f>ROUND(L999/M999, 0)</f>
        <v/>
      </c>
      <c r="O999" s="25">
        <f>ROUND(N999*'Methodology &amp; Assumptions'!$B$7, 0)</f>
        <v/>
      </c>
      <c r="P999" s="23" t="inlineStr">
        <is>
          <t>Single Carrier (Band n50, 100MHz TDD)</t>
        </is>
      </c>
      <c r="Q999" s="27">
        <f>ROUNDUP(O999/'Methodology &amp; Assumptions'!$B$8, 0)</f>
        <v/>
      </c>
      <c r="R999" s="27" t="n">
        <v>1</v>
      </c>
      <c r="S999" s="26" t="n">
        <v>3.31</v>
      </c>
      <c r="T999" s="26" t="n">
        <v>0.93</v>
      </c>
      <c r="U999" s="11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26" t="n">
        <v>77.47</v>
      </c>
      <c r="W999" s="26" t="n">
        <v>43.06</v>
      </c>
      <c r="X999" s="26">
        <f>ROUND(('Methodology &amp; Assumptions'!$B$5*V999) + ('Methodology &amp; Assumptions'!$B$6*W999), 2)</f>
        <v/>
      </c>
      <c r="Y999" s="28" t="n">
        <v>8.300000000000001</v>
      </c>
      <c r="Z999" s="11" t="inlineStr">
        <is>
          <t>Priority Tier 2 (Balanced Opportunity)</t>
        </is>
      </c>
    </row>
    <row r="1000">
      <c r="A1000" s="23" t="n">
        <v>3</v>
      </c>
      <c r="B1000" s="23" t="n">
        <v>996</v>
      </c>
      <c r="C1000" s="23" t="n">
        <v>2996</v>
      </c>
      <c r="D1000" s="23" t="inlineStr">
        <is>
          <t>0600613010</t>
        </is>
      </c>
      <c r="E1000" s="11" t="inlineStr">
        <is>
          <t>Region VI (Western Visayas)</t>
        </is>
      </c>
      <c r="F1000" s="11" t="inlineStr">
        <is>
          <t>Antique</t>
        </is>
      </c>
      <c r="G1000" s="11" t="inlineStr">
        <is>
          <t>San Jose</t>
        </is>
      </c>
      <c r="H1000" s="11" t="inlineStr">
        <is>
          <t>Barangay 8</t>
        </is>
      </c>
      <c r="I1000" s="24" t="n">
        <v>10.742764</v>
      </c>
      <c r="J1000" s="24" t="n">
        <v>121.947664</v>
      </c>
      <c r="K1000" s="23" t="inlineStr">
        <is>
          <t>U</t>
        </is>
      </c>
      <c r="L1000" s="25" t="n">
        <v>5389</v>
      </c>
      <c r="M1000" s="26" t="n">
        <v>3.9</v>
      </c>
      <c r="N1000" s="25">
        <f>ROUND(L1000/M1000, 0)</f>
        <v/>
      </c>
      <c r="O1000" s="25">
        <f>ROUND(N1000*'Methodology &amp; Assumptions'!$B$7, 0)</f>
        <v/>
      </c>
      <c r="P1000" s="23" t="inlineStr">
        <is>
          <t>Single Carrier (Band n50, 100MHz TDD)</t>
        </is>
      </c>
      <c r="Q1000" s="27">
        <f>ROUNDUP(O1000/'Methodology &amp; Assumptions'!$B$8, 0)</f>
        <v/>
      </c>
      <c r="R1000" s="27" t="n">
        <v>1</v>
      </c>
      <c r="S1000" s="26" t="n">
        <v>2.42</v>
      </c>
      <c r="T1000" s="26" t="n">
        <v>0.07000000000000001</v>
      </c>
      <c r="U1000" s="11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26" t="n">
        <v>75.23</v>
      </c>
      <c r="W1000" s="26" t="n">
        <v>45.29</v>
      </c>
      <c r="X1000" s="26">
        <f>ROUND(('Methodology &amp; Assumptions'!$B$5*V1000) + ('Methodology &amp; Assumptions'!$B$6*W1000), 2)</f>
        <v/>
      </c>
      <c r="Y1000" s="28" t="n">
        <v>23.7</v>
      </c>
      <c r="Z1000" s="11" t="inlineStr">
        <is>
          <t>Priority Tier 2 (Balanced Opportunity)</t>
        </is>
      </c>
    </row>
    <row r="1001">
      <c r="A1001" s="23" t="n">
        <v>3</v>
      </c>
      <c r="B1001" s="23" t="n">
        <v>997</v>
      </c>
      <c r="C1001" s="23" t="n">
        <v>2997</v>
      </c>
      <c r="D1001" s="23" t="inlineStr">
        <is>
          <t>0501705010</t>
        </is>
      </c>
      <c r="E1001" s="11" t="inlineStr">
        <is>
          <t>Region V (Bicol Region)</t>
        </is>
      </c>
      <c r="F1001" s="11" t="inlineStr">
        <is>
          <t>Camarines Sur</t>
        </is>
      </c>
      <c r="G1001" s="11" t="inlineStr">
        <is>
          <t>Buhi</t>
        </is>
      </c>
      <c r="H1001" s="11" t="inlineStr">
        <is>
          <t>Ipil</t>
        </is>
      </c>
      <c r="I1001" s="24" t="n">
        <v>13.452929</v>
      </c>
      <c r="J1001" s="24" t="n">
        <v>123.533524</v>
      </c>
      <c r="K1001" s="23" t="inlineStr">
        <is>
          <t>R</t>
        </is>
      </c>
      <c r="L1001" s="25" t="n">
        <v>1529</v>
      </c>
      <c r="M1001" s="26" t="n">
        <v>4.2</v>
      </c>
      <c r="N1001" s="25">
        <f>ROUND(L1001/M1001, 0)</f>
        <v/>
      </c>
      <c r="O1001" s="25">
        <f>ROUND(N1001*'Methodology &amp; Assumptions'!$B$7, 0)</f>
        <v/>
      </c>
      <c r="P1001" s="23" t="inlineStr">
        <is>
          <t>Single Carrier (Band n50, 100MHz TDD)</t>
        </is>
      </c>
      <c r="Q1001" s="27">
        <f>ROUNDUP(O1001/'Methodology &amp; Assumptions'!$B$8, 0)</f>
        <v/>
      </c>
      <c r="R1001" s="27" t="n">
        <v>1</v>
      </c>
      <c r="S1001" s="26" t="n">
        <v>4.6</v>
      </c>
      <c r="T1001" s="26" t="n">
        <v>4.85</v>
      </c>
      <c r="U1001" s="11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26" t="n">
        <v>58.23</v>
      </c>
      <c r="W1001" s="26" t="n">
        <v>62.29</v>
      </c>
      <c r="X1001" s="26">
        <f>ROUND(('Methodology &amp; Assumptions'!$B$5*V1001) + ('Methodology &amp; Assumptions'!$B$6*W1001), 2)</f>
        <v/>
      </c>
      <c r="Y1001" s="28" t="n">
        <v>23.7</v>
      </c>
      <c r="Z1001" s="11" t="inlineStr">
        <is>
          <t>Priority Tier 2 (Balanced Opportunity)</t>
        </is>
      </c>
    </row>
    <row r="1002">
      <c r="A1002" s="23" t="n">
        <v>3</v>
      </c>
      <c r="B1002" s="23" t="n">
        <v>998</v>
      </c>
      <c r="C1002" s="23" t="n">
        <v>2998</v>
      </c>
      <c r="D1002" s="23" t="inlineStr">
        <is>
          <t>1380611015</t>
        </is>
      </c>
      <c r="E1002" s="11" t="inlineStr">
        <is>
          <t>National Capital Region (NCR)</t>
        </is>
      </c>
      <c r="F1002" s="11" t="inlineStr">
        <is>
          <t>First District (Not a Province)</t>
        </is>
      </c>
      <c r="G1002" s="11" t="inlineStr">
        <is>
          <t>City of Manila</t>
        </is>
      </c>
      <c r="H1002" s="11" t="inlineStr">
        <is>
          <t>Barangay 681</t>
        </is>
      </c>
      <c r="I1002" s="24" t="n">
        <v>14.579605</v>
      </c>
      <c r="J1002" s="24" t="n">
        <v>120.996594</v>
      </c>
      <c r="K1002" s="23" t="inlineStr">
        <is>
          <t>U</t>
        </is>
      </c>
      <c r="L1002" s="25" t="n">
        <v>1453</v>
      </c>
      <c r="M1002" s="26" t="n">
        <v>4.35</v>
      </c>
      <c r="N1002" s="25">
        <f>ROUND(L1002/M1002, 0)</f>
        <v/>
      </c>
      <c r="O1002" s="25">
        <f>ROUND(N1002*'Methodology &amp; Assumptions'!$B$7, 0)</f>
        <v/>
      </c>
      <c r="P1002" s="23" t="inlineStr">
        <is>
          <t>Single Carrier (Band n50, 100MHz TDD)</t>
        </is>
      </c>
      <c r="Q1002" s="27">
        <f>ROUNDUP(O1002/'Methodology &amp; Assumptions'!$B$8, 0)</f>
        <v/>
      </c>
      <c r="R1002" s="27" t="n">
        <v>1</v>
      </c>
      <c r="S1002" s="26" t="n">
        <v>0.85</v>
      </c>
      <c r="T1002" s="26" t="n">
        <v>0.2</v>
      </c>
      <c r="U1002" s="11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26" t="n">
        <v>51.77</v>
      </c>
      <c r="W1002" s="26" t="n">
        <v>68.75</v>
      </c>
      <c r="X1002" s="26">
        <f>ROUND(('Methodology &amp; Assumptions'!$B$5*V1002) + ('Methodology &amp; Assumptions'!$B$6*W1002), 2)</f>
        <v/>
      </c>
      <c r="Y1002" s="28" t="n">
        <v>10.9</v>
      </c>
      <c r="Z1002" s="11" t="inlineStr">
        <is>
          <t>Priority Tier 2 (Balanced Opportunity)</t>
        </is>
      </c>
    </row>
    <row r="1003">
      <c r="A1003" s="23" t="n">
        <v>3</v>
      </c>
      <c r="B1003" s="23" t="n">
        <v>999</v>
      </c>
      <c r="C1003" s="23" t="n">
        <v>2999</v>
      </c>
      <c r="D1003" s="23" t="inlineStr">
        <is>
          <t>1380601061</t>
        </is>
      </c>
      <c r="E1003" s="11" t="inlineStr">
        <is>
          <t>National Capital Region (NCR)</t>
        </is>
      </c>
      <c r="F1003" s="11" t="inlineStr">
        <is>
          <t>First District (Not a Province)</t>
        </is>
      </c>
      <c r="G1003" s="11" t="inlineStr">
        <is>
          <t>City of Manila</t>
        </is>
      </c>
      <c r="H1003" s="11" t="inlineStr">
        <is>
          <t>Barangay 61</t>
        </is>
      </c>
      <c r="I1003" s="24" t="n">
        <v>14.615307</v>
      </c>
      <c r="J1003" s="24" t="n">
        <v>120.970109</v>
      </c>
      <c r="K1003" s="23" t="inlineStr">
        <is>
          <t>U</t>
        </is>
      </c>
      <c r="L1003" s="25" t="n">
        <v>1087</v>
      </c>
      <c r="M1003" s="26" t="n">
        <v>4.1</v>
      </c>
      <c r="N1003" s="25">
        <f>ROUND(L1003/M1003, 0)</f>
        <v/>
      </c>
      <c r="O1003" s="25">
        <f>ROUND(N1003*'Methodology &amp; Assumptions'!$B$7, 0)</f>
        <v/>
      </c>
      <c r="P1003" s="23" t="inlineStr">
        <is>
          <t>Single Carrier (Band n50, 100MHz TDD)</t>
        </is>
      </c>
      <c r="Q1003" s="27">
        <f>ROUNDUP(O1003/'Methodology &amp; Assumptions'!$B$8, 0)</f>
        <v/>
      </c>
      <c r="R1003" s="27" t="n">
        <v>1</v>
      </c>
      <c r="S1003" s="26" t="n">
        <v>0.85</v>
      </c>
      <c r="T1003" s="26" t="n">
        <v>0.22</v>
      </c>
      <c r="U1003" s="11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26" t="n">
        <v>49.64</v>
      </c>
      <c r="W1003" s="26" t="n">
        <v>70.88</v>
      </c>
      <c r="X1003" s="26">
        <f>ROUND(('Methodology &amp; Assumptions'!$B$5*V1003) + ('Methodology &amp; Assumptions'!$B$6*W1003), 2)</f>
        <v/>
      </c>
      <c r="Y1003" s="28" t="n">
        <v>10.9</v>
      </c>
      <c r="Z1003" s="11" t="inlineStr">
        <is>
          <t>Priority Tier 2 (Balanced Opportunity)</t>
        </is>
      </c>
    </row>
    <row r="1004">
      <c r="A1004" s="23" t="n">
        <v>3</v>
      </c>
      <c r="B1004" s="23" t="n">
        <v>1000</v>
      </c>
      <c r="C1004" s="23" t="n">
        <v>3000</v>
      </c>
      <c r="D1004" s="23" t="inlineStr">
        <is>
          <t>1380605060</t>
        </is>
      </c>
      <c r="E1004" s="11" t="inlineStr">
        <is>
          <t>National Capital Region (NCR)</t>
        </is>
      </c>
      <c r="F1004" s="11" t="inlineStr">
        <is>
          <t>First District (Not a Province)</t>
        </is>
      </c>
      <c r="G1004" s="11" t="inlineStr">
        <is>
          <t>City of Manila</t>
        </is>
      </c>
      <c r="H1004" s="11" t="inlineStr">
        <is>
          <t>Barangay 358</t>
        </is>
      </c>
      <c r="I1004" s="24" t="n">
        <v>14.619976</v>
      </c>
      <c r="J1004" s="24" t="n">
        <v>120.981904</v>
      </c>
      <c r="K1004" s="23" t="inlineStr">
        <is>
          <t>U</t>
        </is>
      </c>
      <c r="L1004" s="25" t="n">
        <v>1167</v>
      </c>
      <c r="M1004" s="26" t="n">
        <v>4.04</v>
      </c>
      <c r="N1004" s="25">
        <f>ROUND(L1004/M1004, 0)</f>
        <v/>
      </c>
      <c r="O1004" s="25">
        <f>ROUND(N1004*'Methodology &amp; Assumptions'!$B$7, 0)</f>
        <v/>
      </c>
      <c r="P1004" s="23" t="inlineStr">
        <is>
          <t>Single Carrier (Band n50, 100MHz TDD)</t>
        </is>
      </c>
      <c r="Q1004" s="27">
        <f>ROUNDUP(O1004/'Methodology &amp; Assumptions'!$B$8, 0)</f>
        <v/>
      </c>
      <c r="R1004" s="27" t="n">
        <v>1</v>
      </c>
      <c r="S1004" s="26" t="n">
        <v>0.4</v>
      </c>
      <c r="T1004" s="26" t="n">
        <v>0.1</v>
      </c>
      <c r="U1004" s="11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26" t="n">
        <v>50.41</v>
      </c>
      <c r="W1004" s="26" t="n">
        <v>70.08</v>
      </c>
      <c r="X1004" s="26">
        <f>ROUND(('Methodology &amp; Assumptions'!$B$5*V1004) + ('Methodology &amp; Assumptions'!$B$6*W1004), 2)</f>
        <v/>
      </c>
      <c r="Y1004" s="28" t="n">
        <v>10.9</v>
      </c>
      <c r="Z1004" s="11" t="inlineStr">
        <is>
          <t>Priority Tier 2 (Balanced Opportunity)</t>
        </is>
      </c>
    </row>
    <row r="1005">
      <c r="A1005" s="14" t="inlineStr">
        <is>
          <t>BATCH TOTAL / AVERAGE</t>
        </is>
      </c>
      <c r="B1005" s="14" t="n"/>
      <c r="C1005" s="14" t="n"/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29">
        <f>SUM(L5:L1004)</f>
        <v/>
      </c>
      <c r="M1005" s="14" t="n"/>
      <c r="N1005" s="29">
        <f>SUM(N5:N1004)</f>
        <v/>
      </c>
      <c r="O1005" s="29">
        <f>SUM(O5:O1004)</f>
        <v/>
      </c>
      <c r="P1005" s="14" t="n"/>
      <c r="Q1005" s="29">
        <f>SUM(Q5:Q1004)</f>
        <v/>
      </c>
      <c r="R1005" s="29">
        <f>SUM(R5:R1004)</f>
        <v/>
      </c>
      <c r="S1005" s="30">
        <f>AVERAGE(S5:S1004)</f>
        <v/>
      </c>
      <c r="T1005" s="14" t="n"/>
      <c r="U1005" s="14" t="n"/>
      <c r="V1005" s="30">
        <f>AVERAGE(V5:V1004)</f>
        <v/>
      </c>
      <c r="W1005" s="30">
        <f>AVERAGE(W5:W1004)</f>
        <v/>
      </c>
      <c r="X1005" s="30">
        <f>AVERAGE(X5:X1004)</f>
        <v/>
      </c>
      <c r="Y1005" s="14" t="n"/>
      <c r="Z1005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30" customWidth="1" min="21" max="21"/>
    <col width="14" customWidth="1" min="22" max="22"/>
    <col width="14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5G FWA Combined Hybrid Siting Rollout Schedule - Batch 4 &amp; 5 (3,001 - 5,000)</t>
        </is>
      </c>
    </row>
    <row r="2">
      <c r="A2" s="2" t="inlineStr">
        <is>
          <t>Dynamic Hybrid deployment rollout schedule (2,000 sites), linked to live parameters in 'Methodology &amp; Assumptions'.</t>
        </is>
      </c>
    </row>
    <row r="4">
      <c r="A4" s="10" t="inlineStr">
        <is>
          <t>Batch</t>
        </is>
      </c>
      <c r="B4" s="10" t="inlineStr">
        <is>
          <t>Batch Rank</t>
        </is>
      </c>
      <c r="C4" s="10" t="inlineStr">
        <is>
          <t>Overall Rank</t>
        </is>
      </c>
      <c r="D4" s="10" t="inlineStr">
        <is>
          <t>PSGC</t>
        </is>
      </c>
      <c r="E4" s="10" t="inlineStr">
        <is>
          <t>Region</t>
        </is>
      </c>
      <c r="F4" s="10" t="inlineStr">
        <is>
          <t>Province</t>
        </is>
      </c>
      <c r="G4" s="10" t="inlineStr">
        <is>
          <t>Municipality</t>
        </is>
      </c>
      <c r="H4" s="10" t="inlineStr">
        <is>
          <t>Barangay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U/R</t>
        </is>
      </c>
      <c r="L4" s="10" t="inlineStr">
        <is>
          <t>2024 Population</t>
        </is>
      </c>
      <c r="M4" s="10" t="inlineStr">
        <is>
          <t>2024 Avg HH Size</t>
        </is>
      </c>
      <c r="N4" s="10" t="inlineStr">
        <is>
          <t>2024 Households</t>
        </is>
      </c>
      <c r="O4" s="10" t="inlineStr">
        <is>
          <t>Target Subs (30%)</t>
        </is>
      </c>
      <c r="P4" s="10" t="inlineStr">
        <is>
          <t>Carrier Spectrum</t>
        </is>
      </c>
      <c r="Q4" s="10" t="inlineStr">
        <is>
          <t>Peak BTS Required</t>
        </is>
      </c>
      <c r="R4" s="10" t="inlineStr">
        <is>
          <t>Day 1 BTS Deployed</t>
        </is>
      </c>
      <c r="S4" s="10" t="inlineStr">
        <is>
          <t>Dist to Node (km)</t>
        </is>
      </c>
      <c r="T4" s="10" t="inlineStr">
        <is>
          <t>Dist to Line (km)</t>
        </is>
      </c>
      <c r="U4" s="10" t="inlineStr">
        <is>
          <t>Backhaul Architecture</t>
        </is>
      </c>
      <c r="V4" s="10" t="inlineStr">
        <is>
          <t>Commercial Score</t>
        </is>
      </c>
      <c r="W4" s="10" t="inlineStr">
        <is>
          <t>Normalized GIDA Score</t>
        </is>
      </c>
      <c r="X4" s="10" t="inlineStr">
        <is>
          <t>Combined Hybrid Score</t>
        </is>
      </c>
      <c r="Y4" s="10" t="inlineStr">
        <is>
          <t>Regional Poverty %</t>
        </is>
      </c>
      <c r="Z4" s="10" t="inlineStr">
        <is>
          <t>Strategic Classification</t>
        </is>
      </c>
    </row>
    <row r="5">
      <c r="A5" s="23" t="n">
        <v>4</v>
      </c>
      <c r="B5" s="23" t="n">
        <v>1</v>
      </c>
      <c r="C5" s="23" t="n">
        <v>3001</v>
      </c>
      <c r="D5" s="23" t="inlineStr">
        <is>
          <t>1102509013</t>
        </is>
      </c>
      <c r="E5" s="11" t="inlineStr">
        <is>
          <t>Region XI (Davao Region)</t>
        </is>
      </c>
      <c r="F5" s="11" t="inlineStr">
        <is>
          <t>Davao Oriental</t>
        </is>
      </c>
      <c r="G5" s="11" t="inlineStr">
        <is>
          <t>City of Mati</t>
        </is>
      </c>
      <c r="H5" s="11" t="inlineStr">
        <is>
          <t>Langka</t>
        </is>
      </c>
      <c r="I5" s="24" t="n">
        <v>6.398023</v>
      </c>
      <c r="J5" s="24" t="n">
        <v>126.192548</v>
      </c>
      <c r="K5" s="23" t="inlineStr">
        <is>
          <t>R</t>
        </is>
      </c>
      <c r="L5" s="25" t="n">
        <v>1281</v>
      </c>
      <c r="M5" s="26" t="n">
        <v>3.6</v>
      </c>
      <c r="N5" s="25">
        <f>ROUND(L5/M5, 0)</f>
        <v/>
      </c>
      <c r="O5" s="25">
        <f>ROUND(N5*'Methodology &amp; Assumptions'!$B$7, 0)</f>
        <v/>
      </c>
      <c r="P5" s="23" t="inlineStr">
        <is>
          <t>Single Carrier (Band n50, 100MHz TDD)</t>
        </is>
      </c>
      <c r="Q5" s="27">
        <f>ROUNDUP(O5/'Methodology &amp; Assumptions'!$B$8, 0)</f>
        <v/>
      </c>
      <c r="R5" s="27" t="n">
        <v>1</v>
      </c>
      <c r="S5" s="26" t="n">
        <v>58.87</v>
      </c>
      <c r="T5" s="26" t="n">
        <v>54.17</v>
      </c>
      <c r="U5" s="11">
        <f>IF(S5&lt;='Methodology &amp; Assumptions'!$B$10, "Direct Optical Drop (&lt;3km)", IF(S5&lt;='Methodology &amp; Assumptions'!$B$9, "Near Optical / Microwave (&lt;5km)", "Starlink Business LEO Satellite Backhaul (&gt;5km)"))</f>
        <v/>
      </c>
      <c r="V5" s="26" t="n">
        <v>46.37</v>
      </c>
      <c r="W5" s="26" t="n">
        <v>74.14</v>
      </c>
      <c r="X5" s="26">
        <f>ROUND(('Methodology &amp; Assumptions'!$B$5*V5) + ('Methodology &amp; Assumptions'!$B$6*W5), 2)</f>
        <v/>
      </c>
      <c r="Y5" s="28" t="n">
        <v>17.4</v>
      </c>
      <c r="Z5" s="11" t="inlineStr">
        <is>
          <t>Priority Tier 2 (Balanced Opportunity)</t>
        </is>
      </c>
    </row>
    <row r="6">
      <c r="A6" s="23" t="n">
        <v>4</v>
      </c>
      <c r="B6" s="23" t="n">
        <v>2</v>
      </c>
      <c r="C6" s="23" t="n">
        <v>3002</v>
      </c>
      <c r="D6" s="23" t="inlineStr">
        <is>
          <t>0205009016</t>
        </is>
      </c>
      <c r="E6" s="11" t="inlineStr">
        <is>
          <t>Region II (Cagayan Valley)</t>
        </is>
      </c>
      <c r="F6" s="11" t="inlineStr">
        <is>
          <t>Nueva Vizcaya</t>
        </is>
      </c>
      <c r="G6" s="11" t="inlineStr">
        <is>
          <t>Kasibu</t>
        </is>
      </c>
      <c r="H6" s="11" t="inlineStr">
        <is>
          <t>Malabing</t>
        </is>
      </c>
      <c r="I6" s="24" t="n">
        <v>16.382091</v>
      </c>
      <c r="J6" s="24" t="n">
        <v>121.379892</v>
      </c>
      <c r="K6" s="23" t="inlineStr">
        <is>
          <t>R</t>
        </is>
      </c>
      <c r="L6" s="25" t="n">
        <v>887</v>
      </c>
      <c r="M6" s="26" t="n">
        <v>3.8</v>
      </c>
      <c r="N6" s="25">
        <f>ROUND(L6/M6, 0)</f>
        <v/>
      </c>
      <c r="O6" s="25">
        <f>ROUND(N6*'Methodology &amp; Assumptions'!$B$7, 0)</f>
        <v/>
      </c>
      <c r="P6" s="23" t="inlineStr">
        <is>
          <t>Single Carrier (Band n50, 100MHz TDD)</t>
        </is>
      </c>
      <c r="Q6" s="27">
        <f>ROUNDUP(O6/'Methodology &amp; Assumptions'!$B$8, 0)</f>
        <v/>
      </c>
      <c r="R6" s="27" t="n">
        <v>1</v>
      </c>
      <c r="S6" s="26" t="n">
        <v>11.69</v>
      </c>
      <c r="T6" s="26" t="n">
        <v>23.3</v>
      </c>
      <c r="U6" s="11">
        <f>IF(S6&lt;='Methodology &amp; Assumptions'!$B$10, "Direct Optical Drop (&lt;3km)", IF(S6&lt;='Methodology &amp; Assumptions'!$B$9, "Near Optical / Microwave (&lt;5km)", "Starlink Business LEO Satellite Backhaul (&gt;5km)"))</f>
        <v/>
      </c>
      <c r="V6" s="26" t="n">
        <v>44.23</v>
      </c>
      <c r="W6" s="26" t="n">
        <v>76.26000000000001</v>
      </c>
      <c r="X6" s="26">
        <f>ROUND(('Methodology &amp; Assumptions'!$B$5*V6) + ('Methodology &amp; Assumptions'!$B$6*W6), 2)</f>
        <v/>
      </c>
      <c r="Y6" s="28" t="n">
        <v>8.300000000000001</v>
      </c>
      <c r="Z6" s="11" t="inlineStr">
        <is>
          <t>Priority Tier 2 (Balanced Opportunity)</t>
        </is>
      </c>
    </row>
    <row r="7">
      <c r="A7" s="23" t="n">
        <v>4</v>
      </c>
      <c r="B7" s="23" t="n">
        <v>3</v>
      </c>
      <c r="C7" s="23" t="n">
        <v>3003</v>
      </c>
      <c r="D7" s="23" t="inlineStr">
        <is>
          <t>0306917019</t>
        </is>
      </c>
      <c r="E7" s="11" t="inlineStr">
        <is>
          <t>Region III (Central Luzon)</t>
        </is>
      </c>
      <c r="F7" s="11" t="inlineStr">
        <is>
          <t>Tarlac</t>
        </is>
      </c>
      <c r="G7" s="11" t="inlineStr">
        <is>
          <t>Victoria</t>
        </is>
      </c>
      <c r="H7" s="11" t="inlineStr">
        <is>
          <t>San Fernando</t>
        </is>
      </c>
      <c r="I7" s="24" t="n">
        <v>15.57405</v>
      </c>
      <c r="J7" s="24" t="n">
        <v>120.6795</v>
      </c>
      <c r="K7" s="23" t="inlineStr">
        <is>
          <t>R</t>
        </is>
      </c>
      <c r="L7" s="25" t="n">
        <v>3472</v>
      </c>
      <c r="M7" s="26" t="n">
        <v>3.9</v>
      </c>
      <c r="N7" s="25">
        <f>ROUND(L7/M7, 0)</f>
        <v/>
      </c>
      <c r="O7" s="25">
        <f>ROUND(N7*'Methodology &amp; Assumptions'!$B$7, 0)</f>
        <v/>
      </c>
      <c r="P7" s="23" t="inlineStr">
        <is>
          <t>Single Carrier (Band n50, 100MHz TDD)</t>
        </is>
      </c>
      <c r="Q7" s="27">
        <f>ROUNDUP(O7/'Methodology &amp; Assumptions'!$B$8, 0)</f>
        <v/>
      </c>
      <c r="R7" s="27" t="n">
        <v>1</v>
      </c>
      <c r="S7" s="26" t="n">
        <v>0.15</v>
      </c>
      <c r="T7" s="26" t="n">
        <v>6.27</v>
      </c>
      <c r="U7" s="11">
        <f>IF(S7&lt;='Methodology &amp; Assumptions'!$B$10, "Direct Optical Drop (&lt;3km)", IF(S7&lt;='Methodology &amp; Assumptions'!$B$9, "Near Optical / Microwave (&lt;5km)", "Starlink Business LEO Satellite Backhaul (&gt;5km)"))</f>
        <v/>
      </c>
      <c r="V7" s="26" t="n">
        <v>84.95999999999999</v>
      </c>
      <c r="W7" s="26" t="n">
        <v>35.51</v>
      </c>
      <c r="X7" s="26">
        <f>ROUND(('Methodology &amp; Assumptions'!$B$5*V7) + ('Methodology &amp; Assumptions'!$B$6*W7), 2)</f>
        <v/>
      </c>
      <c r="Y7" s="28" t="n">
        <v>8.300000000000001</v>
      </c>
      <c r="Z7" s="11" t="inlineStr">
        <is>
          <t>Priority Tier 2 (Balanced Opportunity)</t>
        </is>
      </c>
    </row>
    <row r="8">
      <c r="A8" s="23" t="n">
        <v>4</v>
      </c>
      <c r="B8" s="23" t="n">
        <v>4</v>
      </c>
      <c r="C8" s="23" t="n">
        <v>3004</v>
      </c>
      <c r="D8" s="23" t="inlineStr">
        <is>
          <t>0304903008</t>
        </is>
      </c>
      <c r="E8" s="11" t="inlineStr">
        <is>
          <t>Region III (Central Luzon)</t>
        </is>
      </c>
      <c r="F8" s="11" t="inlineStr">
        <is>
          <t>Nueva Ecija</t>
        </is>
      </c>
      <c r="G8" s="11" t="inlineStr">
        <is>
          <t>City of Cabanatuan</t>
        </is>
      </c>
      <c r="H8" s="11" t="inlineStr">
        <is>
          <t>Balite</t>
        </is>
      </c>
      <c r="I8" s="24" t="n">
        <v>15.585783</v>
      </c>
      <c r="J8" s="24" t="n">
        <v>120.924577</v>
      </c>
      <c r="K8" s="23" t="inlineStr">
        <is>
          <t>R</t>
        </is>
      </c>
      <c r="L8" s="25" t="n">
        <v>2515</v>
      </c>
      <c r="M8" s="26" t="n">
        <v>3.5</v>
      </c>
      <c r="N8" s="25">
        <f>ROUND(L8/M8, 0)</f>
        <v/>
      </c>
      <c r="O8" s="25">
        <f>ROUND(N8*'Methodology &amp; Assumptions'!$B$7, 0)</f>
        <v/>
      </c>
      <c r="P8" s="23" t="inlineStr">
        <is>
          <t>Single Carrier (Band n50, 100MHz TDD)</t>
        </is>
      </c>
      <c r="Q8" s="27">
        <f>ROUNDUP(O8/'Methodology &amp; Assumptions'!$B$8, 0)</f>
        <v/>
      </c>
      <c r="R8" s="27" t="n">
        <v>1</v>
      </c>
      <c r="S8" s="26" t="n">
        <v>0.71</v>
      </c>
      <c r="T8" s="26" t="n">
        <v>0.52</v>
      </c>
      <c r="U8" s="11">
        <f>IF(S8&lt;='Methodology &amp; Assumptions'!$B$10, "Direct Optical Drop (&lt;3km)", IF(S8&lt;='Methodology &amp; Assumptions'!$B$9, "Near Optical / Microwave (&lt;5km)", "Starlink Business LEO Satellite Backhaul (&gt;5km)"))</f>
        <v/>
      </c>
      <c r="V8" s="26" t="n">
        <v>82.42</v>
      </c>
      <c r="W8" s="26" t="n">
        <v>38.05</v>
      </c>
      <c r="X8" s="26">
        <f>ROUND(('Methodology &amp; Assumptions'!$B$5*V8) + ('Methodology &amp; Assumptions'!$B$6*W8), 2)</f>
        <v/>
      </c>
      <c r="Y8" s="28" t="n">
        <v>8.300000000000001</v>
      </c>
      <c r="Z8" s="11" t="inlineStr">
        <is>
          <t>Priority Tier 2 (Balanced Opportunity)</t>
        </is>
      </c>
    </row>
    <row r="9">
      <c r="A9" s="23" t="n">
        <v>4</v>
      </c>
      <c r="B9" s="23" t="n">
        <v>5</v>
      </c>
      <c r="C9" s="23" t="n">
        <v>3005</v>
      </c>
      <c r="D9" s="23" t="inlineStr">
        <is>
          <t>0301418010</t>
        </is>
      </c>
      <c r="E9" s="11" t="inlineStr">
        <is>
          <t>Region III (Central Luzon)</t>
        </is>
      </c>
      <c r="F9" s="11" t="inlineStr">
        <is>
          <t>Bulacan</t>
        </is>
      </c>
      <c r="G9" s="11" t="inlineStr">
        <is>
          <t>Pulilan</t>
        </is>
      </c>
      <c r="H9" s="11" t="inlineStr">
        <is>
          <t>Longos</t>
        </is>
      </c>
      <c r="I9" s="24" t="n">
        <v>14.893601</v>
      </c>
      <c r="J9" s="24" t="n">
        <v>120.865718</v>
      </c>
      <c r="K9" s="23" t="inlineStr">
        <is>
          <t>U</t>
        </is>
      </c>
      <c r="L9" s="25" t="n">
        <v>6080</v>
      </c>
      <c r="M9" s="26" t="n">
        <v>3.5</v>
      </c>
      <c r="N9" s="25">
        <f>ROUND(L9/M9, 0)</f>
        <v/>
      </c>
      <c r="O9" s="25">
        <f>ROUND(N9*'Methodology &amp; Assumptions'!$B$7, 0)</f>
        <v/>
      </c>
      <c r="P9" s="23" t="inlineStr">
        <is>
          <t>Single Carrier (Band n50, 100MHz TDD)</t>
        </is>
      </c>
      <c r="Q9" s="27">
        <f>ROUNDUP(O9/'Methodology &amp; Assumptions'!$B$8, 0)</f>
        <v/>
      </c>
      <c r="R9" s="27" t="n">
        <v>1</v>
      </c>
      <c r="S9" s="26" t="n">
        <v>1.89</v>
      </c>
      <c r="T9" s="26" t="n">
        <v>0.08</v>
      </c>
      <c r="U9" s="11">
        <f>IF(S9&lt;='Methodology &amp; Assumptions'!$B$10, "Direct Optical Drop (&lt;3km)", IF(S9&lt;='Methodology &amp; Assumptions'!$B$9, "Near Optical / Microwave (&lt;5km)", "Starlink Business LEO Satellite Backhaul (&gt;5km)"))</f>
        <v/>
      </c>
      <c r="V9" s="26" t="n">
        <v>74.58</v>
      </c>
      <c r="W9" s="26" t="n">
        <v>45.9</v>
      </c>
      <c r="X9" s="26">
        <f>ROUND(('Methodology &amp; Assumptions'!$B$5*V9) + ('Methodology &amp; Assumptions'!$B$6*W9), 2)</f>
        <v/>
      </c>
      <c r="Y9" s="28" t="n">
        <v>8.300000000000001</v>
      </c>
      <c r="Z9" s="11" t="inlineStr">
        <is>
          <t>Priority Tier 2 (Balanced Opportunity)</t>
        </is>
      </c>
    </row>
    <row r="10">
      <c r="A10" s="23" t="n">
        <v>4</v>
      </c>
      <c r="B10" s="23" t="n">
        <v>6</v>
      </c>
      <c r="C10" s="23" t="n">
        <v>3006</v>
      </c>
      <c r="D10" s="23" t="inlineStr">
        <is>
          <t>1402706011</t>
        </is>
      </c>
      <c r="E10" s="11" t="inlineStr">
        <is>
          <t>Cordillera Administrative Region (CAR)</t>
        </is>
      </c>
      <c r="F10" s="11" t="inlineStr">
        <is>
          <t>Ifugao</t>
        </is>
      </c>
      <c r="G10" s="11" t="inlineStr">
        <is>
          <t>Mayoyao</t>
        </is>
      </c>
      <c r="H10" s="11" t="inlineStr">
        <is>
          <t>Chumang</t>
        </is>
      </c>
      <c r="I10" s="24" t="n">
        <v>16.97058</v>
      </c>
      <c r="J10" s="24" t="n">
        <v>121.259243</v>
      </c>
      <c r="K10" s="23" t="inlineStr">
        <is>
          <t>R</t>
        </is>
      </c>
      <c r="L10" s="25" t="n">
        <v>1064</v>
      </c>
      <c r="M10" s="26" t="n">
        <v>3.9</v>
      </c>
      <c r="N10" s="25">
        <f>ROUND(L10/M10, 0)</f>
        <v/>
      </c>
      <c r="O10" s="25">
        <f>ROUND(N10*'Methodology &amp; Assumptions'!$B$7, 0)</f>
        <v/>
      </c>
      <c r="P10" s="23" t="inlineStr">
        <is>
          <t>Single Carrier (Band n50, 100MHz TDD)</t>
        </is>
      </c>
      <c r="Q10" s="27">
        <f>ROUNDUP(O10/'Methodology &amp; Assumptions'!$B$8, 0)</f>
        <v/>
      </c>
      <c r="R10" s="27" t="n">
        <v>1</v>
      </c>
      <c r="S10" s="26" t="n">
        <v>3.99</v>
      </c>
      <c r="T10" s="26" t="n">
        <v>21.83</v>
      </c>
      <c r="U10" s="11">
        <f>IF(S10&lt;='Methodology &amp; Assumptions'!$B$10, "Direct Optical Drop (&lt;3km)", IF(S10&lt;='Methodology &amp; Assumptions'!$B$9, "Near Optical / Microwave (&lt;5km)", "Starlink Business LEO Satellite Backhaul (&gt;5km)"))</f>
        <v/>
      </c>
      <c r="V10" s="26" t="n">
        <v>53.71</v>
      </c>
      <c r="W10" s="26" t="n">
        <v>66.77</v>
      </c>
      <c r="X10" s="26">
        <f>ROUND(('Methodology &amp; Assumptions'!$B$5*V10) + ('Methodology &amp; Assumptions'!$B$6*W10), 2)</f>
        <v/>
      </c>
      <c r="Y10" s="28" t="n">
        <v>10.9</v>
      </c>
      <c r="Z10" s="11" t="inlineStr">
        <is>
          <t>Priority Tier 2 (Balanced Opportunity)</t>
        </is>
      </c>
    </row>
    <row r="11">
      <c r="A11" s="23" t="n">
        <v>4</v>
      </c>
      <c r="B11" s="23" t="n">
        <v>7</v>
      </c>
      <c r="C11" s="23" t="n">
        <v>3007</v>
      </c>
      <c r="D11" s="23" t="inlineStr">
        <is>
          <t>1380601005</t>
        </is>
      </c>
      <c r="E11" s="11" t="inlineStr">
        <is>
          <t>National Capital Region (NCR)</t>
        </is>
      </c>
      <c r="F11" s="11" t="inlineStr">
        <is>
          <t>First District (Not a Province)</t>
        </is>
      </c>
      <c r="G11" s="11" t="inlineStr">
        <is>
          <t>City of Manila</t>
        </is>
      </c>
      <c r="H11" s="11" t="inlineStr">
        <is>
          <t>Barangay 5</t>
        </is>
      </c>
      <c r="I11" s="24" t="n">
        <v>14.608393</v>
      </c>
      <c r="J11" s="24" t="n">
        <v>120.966877</v>
      </c>
      <c r="K11" s="23" t="inlineStr">
        <is>
          <t>U</t>
        </is>
      </c>
      <c r="L11" s="25" t="n">
        <v>1321</v>
      </c>
      <c r="M11" s="26" t="n">
        <v>4.68</v>
      </c>
      <c r="N11" s="25">
        <f>ROUND(L11/M11, 0)</f>
        <v/>
      </c>
      <c r="O11" s="25">
        <f>ROUND(N11*'Methodology &amp; Assumptions'!$B$7, 0)</f>
        <v/>
      </c>
      <c r="P11" s="23" t="inlineStr">
        <is>
          <t>Single Carrier (Band n50, 100MHz TDD)</t>
        </is>
      </c>
      <c r="Q11" s="27">
        <f>ROUNDUP(O11/'Methodology &amp; Assumptions'!$B$8, 0)</f>
        <v/>
      </c>
      <c r="R11" s="27" t="n">
        <v>1</v>
      </c>
      <c r="S11" s="26" t="n">
        <v>0.35</v>
      </c>
      <c r="T11" s="26" t="n">
        <v>0.28</v>
      </c>
      <c r="U11" s="11">
        <f>IF(S11&lt;='Methodology &amp; Assumptions'!$B$10, "Direct Optical Drop (&lt;3km)", IF(S11&lt;='Methodology &amp; Assumptions'!$B$9, "Near Optical / Microwave (&lt;5km)", "Starlink Business LEO Satellite Backhaul (&gt;5km)"))</f>
        <v/>
      </c>
      <c r="V11" s="26" t="n">
        <v>50.2</v>
      </c>
      <c r="W11" s="26" t="n">
        <v>70.29000000000001</v>
      </c>
      <c r="X11" s="26">
        <f>ROUND(('Methodology &amp; Assumptions'!$B$5*V11) + ('Methodology &amp; Assumptions'!$B$6*W11), 2)</f>
        <v/>
      </c>
      <c r="Y11" s="28" t="n">
        <v>10.9</v>
      </c>
      <c r="Z11" s="11" t="inlineStr">
        <is>
          <t>Priority Tier 2 (Balanced Opportunity)</t>
        </is>
      </c>
    </row>
    <row r="12">
      <c r="A12" s="23" t="n">
        <v>4</v>
      </c>
      <c r="B12" s="23" t="n">
        <v>8</v>
      </c>
      <c r="C12" s="23" t="n">
        <v>3008</v>
      </c>
      <c r="D12" s="23" t="inlineStr">
        <is>
          <t>1102319010</t>
        </is>
      </c>
      <c r="E12" s="11" t="inlineStr">
        <is>
          <t>Region XI (Davao Region)</t>
        </is>
      </c>
      <c r="F12" s="11" t="inlineStr">
        <is>
          <t>Davao del Norte</t>
        </is>
      </c>
      <c r="G12" s="11" t="inlineStr">
        <is>
          <t>City of Tagum</t>
        </is>
      </c>
      <c r="H12" s="11" t="inlineStr">
        <is>
          <t>Magdum</t>
        </is>
      </c>
      <c r="I12" s="24" t="n">
        <v>7.469378</v>
      </c>
      <c r="J12" s="24" t="n">
        <v>125.834382</v>
      </c>
      <c r="K12" s="23" t="inlineStr">
        <is>
          <t>U</t>
        </is>
      </c>
      <c r="L12" s="25" t="n">
        <v>13786</v>
      </c>
      <c r="M12" s="26" t="n">
        <v>3.7</v>
      </c>
      <c r="N12" s="25">
        <f>ROUND(L12/M12, 0)</f>
        <v/>
      </c>
      <c r="O12" s="25">
        <f>ROUND(N12*'Methodology &amp; Assumptions'!$B$7, 0)</f>
        <v/>
      </c>
      <c r="P12" s="23" t="inlineStr">
        <is>
          <t>Single Carrier (Band n50, 100MHz TDD)</t>
        </is>
      </c>
      <c r="Q12" s="27">
        <f>ROUNDUP(O12/'Methodology &amp; Assumptions'!$B$8, 0)</f>
        <v/>
      </c>
      <c r="R12" s="27" t="n">
        <v>1</v>
      </c>
      <c r="S12" s="26" t="n">
        <v>1.84</v>
      </c>
      <c r="T12" s="26" t="n">
        <v>0.11</v>
      </c>
      <c r="U12" s="11">
        <f>IF(S12&lt;='Methodology &amp; Assumptions'!$B$10, "Direct Optical Drop (&lt;3km)", IF(S12&lt;='Methodology &amp; Assumptions'!$B$9, "Near Optical / Microwave (&lt;5km)", "Starlink Business LEO Satellite Backhaul (&gt;5km)"))</f>
        <v/>
      </c>
      <c r="V12" s="26" t="n">
        <v>76.17</v>
      </c>
      <c r="W12" s="26" t="n">
        <v>44.28</v>
      </c>
      <c r="X12" s="26">
        <f>ROUND(('Methodology &amp; Assumptions'!$B$5*V12) + ('Methodology &amp; Assumptions'!$B$6*W12), 2)</f>
        <v/>
      </c>
      <c r="Y12" s="28" t="n">
        <v>17.4</v>
      </c>
      <c r="Z12" s="11" t="inlineStr">
        <is>
          <t>Priority Tier 2 (Balanced Opportunity)</t>
        </is>
      </c>
    </row>
    <row r="13">
      <c r="A13" s="23" t="n">
        <v>4</v>
      </c>
      <c r="B13" s="23" t="n">
        <v>9</v>
      </c>
      <c r="C13" s="23" t="n">
        <v>3009</v>
      </c>
      <c r="D13" s="23" t="inlineStr">
        <is>
          <t>1381100056</t>
        </is>
      </c>
      <c r="E13" s="11" t="inlineStr">
        <is>
          <t>National Capital Region (NCR)</t>
        </is>
      </c>
      <c r="F13" s="11" t="inlineStr">
        <is>
          <t>Fourth District (Not a Province)</t>
        </is>
      </c>
      <c r="G13" s="11" t="inlineStr">
        <is>
          <t>Pasay City</t>
        </is>
      </c>
      <c r="H13" s="11" t="inlineStr">
        <is>
          <t>Barangay 56</t>
        </is>
      </c>
      <c r="I13" s="24" t="n">
        <v>14.551506</v>
      </c>
      <c r="J13" s="24" t="n">
        <v>121.000399</v>
      </c>
      <c r="K13" s="23" t="inlineStr">
        <is>
          <t>U</t>
        </is>
      </c>
      <c r="L13" s="25" t="n">
        <v>1083</v>
      </c>
      <c r="M13" s="26" t="n">
        <v>3.72</v>
      </c>
      <c r="N13" s="25">
        <f>ROUND(L13/M13, 0)</f>
        <v/>
      </c>
      <c r="O13" s="25">
        <f>ROUND(N13*'Methodology &amp; Assumptions'!$B$7, 0)</f>
        <v/>
      </c>
      <c r="P13" s="23" t="inlineStr">
        <is>
          <t>Single Carrier (Band n50, 100MHz TDD)</t>
        </is>
      </c>
      <c r="Q13" s="27">
        <f>ROUNDUP(O13/'Methodology &amp; Assumptions'!$B$8, 0)</f>
        <v/>
      </c>
      <c r="R13" s="27" t="n">
        <v>1</v>
      </c>
      <c r="S13" s="26" t="n">
        <v>0.96</v>
      </c>
      <c r="T13" s="26" t="n">
        <v>0.27</v>
      </c>
      <c r="U13" s="11">
        <f>IF(S13&lt;='Methodology &amp; Assumptions'!$B$10, "Direct Optical Drop (&lt;3km)", IF(S13&lt;='Methodology &amp; Assumptions'!$B$9, "Near Optical / Microwave (&lt;5km)", "Starlink Business LEO Satellite Backhaul (&gt;5km)"))</f>
        <v/>
      </c>
      <c r="V13" s="26" t="n">
        <v>49.97</v>
      </c>
      <c r="W13" s="26" t="n">
        <v>70.48</v>
      </c>
      <c r="X13" s="26">
        <f>ROUND(('Methodology &amp; Assumptions'!$B$5*V13) + ('Methodology &amp; Assumptions'!$B$6*W13), 2)</f>
        <v/>
      </c>
      <c r="Y13" s="28" t="n">
        <v>10.9</v>
      </c>
      <c r="Z13" s="11" t="inlineStr">
        <is>
          <t>Priority Tier 2 (Balanced Opportunity)</t>
        </is>
      </c>
    </row>
    <row r="14">
      <c r="A14" s="23" t="n">
        <v>4</v>
      </c>
      <c r="B14" s="23" t="n">
        <v>10</v>
      </c>
      <c r="C14" s="23" t="n">
        <v>3010</v>
      </c>
      <c r="D14" s="23" t="inlineStr">
        <is>
          <t>1381100146</t>
        </is>
      </c>
      <c r="E14" s="11" t="inlineStr">
        <is>
          <t>National Capital Region (NCR)</t>
        </is>
      </c>
      <c r="F14" s="11" t="inlineStr">
        <is>
          <t>Fourth District (Not a Province)</t>
        </is>
      </c>
      <c r="G14" s="11" t="inlineStr">
        <is>
          <t>Pasay City</t>
        </is>
      </c>
      <c r="H14" s="11" t="inlineStr">
        <is>
          <t>Barangay 146</t>
        </is>
      </c>
      <c r="I14" s="24" t="n">
        <v>14.536309</v>
      </c>
      <c r="J14" s="24" t="n">
        <v>121.000816</v>
      </c>
      <c r="K14" s="23" t="inlineStr">
        <is>
          <t>U</t>
        </is>
      </c>
      <c r="L14" s="25" t="n">
        <v>992</v>
      </c>
      <c r="M14" s="26" t="n">
        <v>3.77</v>
      </c>
      <c r="N14" s="25">
        <f>ROUND(L14/M14, 0)</f>
        <v/>
      </c>
      <c r="O14" s="25">
        <f>ROUND(N14*'Methodology &amp; Assumptions'!$B$7, 0)</f>
        <v/>
      </c>
      <c r="P14" s="23" t="inlineStr">
        <is>
          <t>Single Carrier (Band n50, 100MHz TDD)</t>
        </is>
      </c>
      <c r="Q14" s="27">
        <f>ROUNDUP(O14/'Methodology &amp; Assumptions'!$B$8, 0)</f>
        <v/>
      </c>
      <c r="R14" s="27" t="n">
        <v>1</v>
      </c>
      <c r="S14" s="26" t="n">
        <v>1.02</v>
      </c>
      <c r="T14" s="26" t="n">
        <v>0.09</v>
      </c>
      <c r="U14" s="11">
        <f>IF(S14&lt;='Methodology &amp; Assumptions'!$B$10, "Direct Optical Drop (&lt;3km)", IF(S14&lt;='Methodology &amp; Assumptions'!$B$9, "Near Optical / Microwave (&lt;5km)", "Starlink Business LEO Satellite Backhaul (&gt;5km)"))</f>
        <v/>
      </c>
      <c r="V14" s="26" t="n">
        <v>48.88</v>
      </c>
      <c r="W14" s="26" t="n">
        <v>71.58</v>
      </c>
      <c r="X14" s="26">
        <f>ROUND(('Methodology &amp; Assumptions'!$B$5*V14) + ('Methodology &amp; Assumptions'!$B$6*W14), 2)</f>
        <v/>
      </c>
      <c r="Y14" s="28" t="n">
        <v>10.9</v>
      </c>
      <c r="Z14" s="11" t="inlineStr">
        <is>
          <t>Priority Tier 2 (Balanced Opportunity)</t>
        </is>
      </c>
    </row>
    <row r="15">
      <c r="A15" s="23" t="n">
        <v>4</v>
      </c>
      <c r="B15" s="23" t="n">
        <v>11</v>
      </c>
      <c r="C15" s="23" t="n">
        <v>3011</v>
      </c>
      <c r="D15" s="23" t="inlineStr">
        <is>
          <t>1003514001</t>
        </is>
      </c>
      <c r="E15" s="11" t="inlineStr">
        <is>
          <t>Region X (Northern Mindanao)</t>
        </is>
      </c>
      <c r="F15" s="11" t="inlineStr">
        <is>
          <t>Lanao del Norte</t>
        </is>
      </c>
      <c r="G15" s="11" t="inlineStr">
        <is>
          <t>Munai</t>
        </is>
      </c>
      <c r="H15" s="11" t="inlineStr">
        <is>
          <t>Bacayawan</t>
        </is>
      </c>
      <c r="I15" s="24" t="n">
        <v>7.9604</v>
      </c>
      <c r="J15" s="24" t="n">
        <v>124.0416</v>
      </c>
      <c r="K15" s="23" t="inlineStr">
        <is>
          <t>R</t>
        </is>
      </c>
      <c r="L15" s="25" t="n">
        <v>1212</v>
      </c>
      <c r="M15" s="26" t="n">
        <v>4.2</v>
      </c>
      <c r="N15" s="25">
        <f>ROUND(L15/M15, 0)</f>
        <v/>
      </c>
      <c r="O15" s="25">
        <f>ROUND(N15*'Methodology &amp; Assumptions'!$B$7, 0)</f>
        <v/>
      </c>
      <c r="P15" s="23" t="inlineStr">
        <is>
          <t>Single Carrier (Band n50, 100MHz TDD)</t>
        </is>
      </c>
      <c r="Q15" s="27">
        <f>ROUNDUP(O15/'Methodology &amp; Assumptions'!$B$8, 0)</f>
        <v/>
      </c>
      <c r="R15" s="27" t="n">
        <v>1</v>
      </c>
      <c r="S15" s="26" t="n">
        <v>26.21</v>
      </c>
      <c r="T15" s="26" t="n">
        <v>22.64</v>
      </c>
      <c r="U15" s="11">
        <f>IF(S15&lt;='Methodology &amp; Assumptions'!$B$10, "Direct Optical Drop (&lt;3km)", IF(S15&lt;='Methodology &amp; Assumptions'!$B$9, "Near Optical / Microwave (&lt;5km)", "Starlink Business LEO Satellite Backhaul (&gt;5km)"))</f>
        <v/>
      </c>
      <c r="V15" s="26" t="n">
        <v>44.28</v>
      </c>
      <c r="W15" s="26" t="n">
        <v>76.18000000000001</v>
      </c>
      <c r="X15" s="26">
        <f>ROUND(('Methodology &amp; Assumptions'!$B$5*V15) + ('Methodology &amp; Assumptions'!$B$6*W15), 2)</f>
        <v/>
      </c>
      <c r="Y15" s="28" t="n">
        <v>17.4</v>
      </c>
      <c r="Z15" s="11" t="inlineStr">
        <is>
          <t>Priority Tier 2 (Balanced Opportunity)</t>
        </is>
      </c>
    </row>
    <row r="16">
      <c r="A16" s="23" t="n">
        <v>4</v>
      </c>
      <c r="B16" s="23" t="n">
        <v>12</v>
      </c>
      <c r="C16" s="23" t="n">
        <v>3012</v>
      </c>
      <c r="D16" s="23" t="inlineStr">
        <is>
          <t>1004313008</t>
        </is>
      </c>
      <c r="E16" s="11" t="inlineStr">
        <is>
          <t>Region X (Northern Mindanao)</t>
        </is>
      </c>
      <c r="F16" s="11" t="inlineStr">
        <is>
          <t>Misamis Oriental</t>
        </is>
      </c>
      <c r="G16" s="11" t="inlineStr">
        <is>
          <t>Lagonglong</t>
        </is>
      </c>
      <c r="H16" s="11" t="inlineStr">
        <is>
          <t>Poblacion</t>
        </is>
      </c>
      <c r="I16" s="24" t="n">
        <v>8.806659</v>
      </c>
      <c r="J16" s="24" t="n">
        <v>124.787844</v>
      </c>
      <c r="K16" s="23" t="inlineStr">
        <is>
          <t>R</t>
        </is>
      </c>
      <c r="L16" s="25" t="n">
        <v>4238</v>
      </c>
      <c r="M16" s="26" t="n">
        <v>3.9</v>
      </c>
      <c r="N16" s="25">
        <f>ROUND(L16/M16, 0)</f>
        <v/>
      </c>
      <c r="O16" s="25">
        <f>ROUND(N16*'Methodology &amp; Assumptions'!$B$7, 0)</f>
        <v/>
      </c>
      <c r="P16" s="23" t="inlineStr">
        <is>
          <t>Single Carrier (Band n50, 100MHz TDD)</t>
        </is>
      </c>
      <c r="Q16" s="27">
        <f>ROUNDUP(O16/'Methodology &amp; Assumptions'!$B$8, 0)</f>
        <v/>
      </c>
      <c r="R16" s="27" t="n">
        <v>1</v>
      </c>
      <c r="S16" s="26" t="n">
        <v>0.29</v>
      </c>
      <c r="T16" s="26" t="n">
        <v>0.05</v>
      </c>
      <c r="U16" s="11">
        <f>IF(S16&lt;='Methodology &amp; Assumptions'!$B$10, "Direct Optical Drop (&lt;3km)", IF(S16&lt;='Methodology &amp; Assumptions'!$B$9, "Near Optical / Microwave (&lt;5km)", "Starlink Business LEO Satellite Backhaul (&gt;5km)"))</f>
        <v/>
      </c>
      <c r="V16" s="26" t="n">
        <v>89.69</v>
      </c>
      <c r="W16" s="26" t="n">
        <v>30.74</v>
      </c>
      <c r="X16" s="26">
        <f>ROUND(('Methodology &amp; Assumptions'!$B$5*V16) + ('Methodology &amp; Assumptions'!$B$6*W16), 2)</f>
        <v/>
      </c>
      <c r="Y16" s="28" t="n">
        <v>17.4</v>
      </c>
      <c r="Z16" s="11" t="inlineStr">
        <is>
          <t>Priority Tier 2 (Balanced Opportunity)</t>
        </is>
      </c>
    </row>
    <row r="17">
      <c r="A17" s="23" t="n">
        <v>4</v>
      </c>
      <c r="B17" s="23" t="n">
        <v>13</v>
      </c>
      <c r="C17" s="23" t="n">
        <v>3013</v>
      </c>
      <c r="D17" s="23" t="inlineStr">
        <is>
          <t>0702219004</t>
        </is>
      </c>
      <c r="E17" s="11" t="inlineStr">
        <is>
          <t>Region VII (Central Visayas)</t>
        </is>
      </c>
      <c r="F17" s="11" t="inlineStr">
        <is>
          <t>Cebu</t>
        </is>
      </c>
      <c r="G17" s="11" t="inlineStr">
        <is>
          <t>Consolacion</t>
        </is>
      </c>
      <c r="H17" s="11" t="inlineStr">
        <is>
          <t>Danglag</t>
        </is>
      </c>
      <c r="I17" s="24" t="n">
        <v>10.38978</v>
      </c>
      <c r="J17" s="24" t="n">
        <v>123.95614</v>
      </c>
      <c r="K17" s="23" t="inlineStr">
        <is>
          <t>R</t>
        </is>
      </c>
      <c r="L17" s="25" t="n">
        <v>4615</v>
      </c>
      <c r="M17" s="26" t="n">
        <v>3.8</v>
      </c>
      <c r="N17" s="25">
        <f>ROUND(L17/M17, 0)</f>
        <v/>
      </c>
      <c r="O17" s="25">
        <f>ROUND(N17*'Methodology &amp; Assumptions'!$B$7, 0)</f>
        <v/>
      </c>
      <c r="P17" s="23" t="inlineStr">
        <is>
          <t>Single Carrier (Band n50, 100MHz TDD)</t>
        </is>
      </c>
      <c r="Q17" s="27">
        <f>ROUNDUP(O17/'Methodology &amp; Assumptions'!$B$8, 0)</f>
        <v/>
      </c>
      <c r="R17" s="27" t="n">
        <v>1</v>
      </c>
      <c r="S17" s="26" t="n">
        <v>1.5</v>
      </c>
      <c r="T17" s="26" t="n">
        <v>1.52</v>
      </c>
      <c r="U17" s="11">
        <f>IF(S17&lt;='Methodology &amp; Assumptions'!$B$10, "Direct Optical Drop (&lt;3km)", IF(S17&lt;='Methodology &amp; Assumptions'!$B$9, "Near Optical / Microwave (&lt;5km)", "Starlink Business LEO Satellite Backhaul (&gt;5km)"))</f>
        <v/>
      </c>
      <c r="V17" s="26" t="n">
        <v>85.56</v>
      </c>
      <c r="W17" s="26" t="n">
        <v>34.87</v>
      </c>
      <c r="X17" s="26">
        <f>ROUND(('Methodology &amp; Assumptions'!$B$5*V17) + ('Methodology &amp; Assumptions'!$B$6*W17), 2)</f>
        <v/>
      </c>
      <c r="Y17" s="28" t="n">
        <v>23.7</v>
      </c>
      <c r="Z17" s="11" t="inlineStr">
        <is>
          <t>Priority Tier 2 (Balanced Opportunity)</t>
        </is>
      </c>
    </row>
    <row r="18">
      <c r="A18" s="23" t="n">
        <v>4</v>
      </c>
      <c r="B18" s="23" t="n">
        <v>14</v>
      </c>
      <c r="C18" s="23" t="n">
        <v>3014</v>
      </c>
      <c r="D18" s="23" t="inlineStr">
        <is>
          <t>0603036017</t>
        </is>
      </c>
      <c r="E18" s="11" t="inlineStr">
        <is>
          <t>Region VI (Western Visayas)</t>
        </is>
      </c>
      <c r="F18" s="11" t="inlineStr">
        <is>
          <t>Iloilo</t>
        </is>
      </c>
      <c r="G18" s="11" t="inlineStr">
        <is>
          <t>Pavia</t>
        </is>
      </c>
      <c r="H18" s="11" t="inlineStr">
        <is>
          <t>Tigum</t>
        </is>
      </c>
      <c r="I18" s="24" t="n">
        <v>10.780365</v>
      </c>
      <c r="J18" s="24" t="n">
        <v>122.547671</v>
      </c>
      <c r="K18" s="23" t="inlineStr">
        <is>
          <t>R</t>
        </is>
      </c>
      <c r="L18" s="25" t="n">
        <v>2646</v>
      </c>
      <c r="M18" s="26" t="n">
        <v>3.8</v>
      </c>
      <c r="N18" s="25">
        <f>ROUND(L18/M18, 0)</f>
        <v/>
      </c>
      <c r="O18" s="25">
        <f>ROUND(N18*'Methodology &amp; Assumptions'!$B$7, 0)</f>
        <v/>
      </c>
      <c r="P18" s="23" t="inlineStr">
        <is>
          <t>Single Carrier (Band n50, 100MHz TDD)</t>
        </is>
      </c>
      <c r="Q18" s="27">
        <f>ROUNDUP(O18/'Methodology &amp; Assumptions'!$B$8, 0)</f>
        <v/>
      </c>
      <c r="R18" s="27" t="n">
        <v>1</v>
      </c>
      <c r="S18" s="26" t="n">
        <v>0.8</v>
      </c>
      <c r="T18" s="26" t="n">
        <v>3.9</v>
      </c>
      <c r="U18" s="11">
        <f>IF(S18&lt;='Methodology &amp; Assumptions'!$B$10, "Direct Optical Drop (&lt;3km)", IF(S18&lt;='Methodology &amp; Assumptions'!$B$9, "Near Optical / Microwave (&lt;5km)", "Starlink Business LEO Satellite Backhaul (&gt;5km)"))</f>
        <v/>
      </c>
      <c r="V18" s="26" t="n">
        <v>79.31</v>
      </c>
      <c r="W18" s="26" t="n">
        <v>41.13</v>
      </c>
      <c r="X18" s="26">
        <f>ROUND(('Methodology &amp; Assumptions'!$B$5*V18) + ('Methodology &amp; Assumptions'!$B$6*W18), 2)</f>
        <v/>
      </c>
      <c r="Y18" s="28" t="n">
        <v>23.7</v>
      </c>
      <c r="Z18" s="11" t="inlineStr">
        <is>
          <t>Priority Tier 2 (Balanced Opportunity)</t>
        </is>
      </c>
    </row>
    <row r="19">
      <c r="A19" s="23" t="n">
        <v>4</v>
      </c>
      <c r="B19" s="23" t="n">
        <v>15</v>
      </c>
      <c r="C19" s="23" t="n">
        <v>3015</v>
      </c>
      <c r="D19" s="23" t="inlineStr">
        <is>
          <t>0401031037</t>
        </is>
      </c>
      <c r="E19" s="11" t="inlineStr">
        <is>
          <t>Region IV-A (CALABARZON)</t>
        </is>
      </c>
      <c r="F19" s="11" t="inlineStr">
        <is>
          <t>Batangas</t>
        </is>
      </c>
      <c r="G19" s="11" t="inlineStr">
        <is>
          <t>City of Tanauan</t>
        </is>
      </c>
      <c r="H19" s="11" t="inlineStr">
        <is>
          <t>Poblacion Barangay 6</t>
        </is>
      </c>
      <c r="I19" s="24" t="n">
        <v>14.085494</v>
      </c>
      <c r="J19" s="24" t="n">
        <v>121.14598</v>
      </c>
      <c r="K19" s="23" t="inlineStr">
        <is>
          <t>U</t>
        </is>
      </c>
      <c r="L19" s="25" t="n">
        <v>3654</v>
      </c>
      <c r="M19" s="26" t="n">
        <v>3.6</v>
      </c>
      <c r="N19" s="25">
        <f>ROUND(L19/M19, 0)</f>
        <v/>
      </c>
      <c r="O19" s="25">
        <f>ROUND(N19*'Methodology &amp; Assumptions'!$B$7, 0)</f>
        <v/>
      </c>
      <c r="P19" s="23" t="inlineStr">
        <is>
          <t>Single Carrier (Band n50, 100MHz TDD)</t>
        </is>
      </c>
      <c r="Q19" s="27">
        <f>ROUNDUP(O19/'Methodology &amp; Assumptions'!$B$8, 0)</f>
        <v/>
      </c>
      <c r="R19" s="27" t="n">
        <v>1</v>
      </c>
      <c r="S19" s="26" t="n">
        <v>0.42</v>
      </c>
      <c r="T19" s="26" t="n">
        <v>0.43</v>
      </c>
      <c r="U19" s="11">
        <f>IF(S19&lt;='Methodology &amp; Assumptions'!$B$10, "Direct Optical Drop (&lt;3km)", IF(S19&lt;='Methodology &amp; Assumptions'!$B$9, "Near Optical / Microwave (&lt;5km)", "Starlink Business LEO Satellite Backhaul (&gt;5km)"))</f>
        <v/>
      </c>
      <c r="V19" s="26" t="n">
        <v>78.26000000000001</v>
      </c>
      <c r="W19" s="26" t="n">
        <v>42.19</v>
      </c>
      <c r="X19" s="26">
        <f>ROUND(('Methodology &amp; Assumptions'!$B$5*V19) + ('Methodology &amp; Assumptions'!$B$6*W19), 2)</f>
        <v/>
      </c>
      <c r="Y19" s="28" t="n">
        <v>7.2</v>
      </c>
      <c r="Z19" s="11" t="inlineStr">
        <is>
          <t>Priority Tier 2 (Balanced Opportunity)</t>
        </is>
      </c>
    </row>
    <row r="20">
      <c r="A20" s="23" t="n">
        <v>4</v>
      </c>
      <c r="B20" s="23" t="n">
        <v>16</v>
      </c>
      <c r="C20" s="23" t="n">
        <v>3016</v>
      </c>
      <c r="D20" s="23" t="inlineStr">
        <is>
          <t>0203108033</t>
        </is>
      </c>
      <c r="E20" s="11" t="inlineStr">
        <is>
          <t>Region II (Cagayan Valley)</t>
        </is>
      </c>
      <c r="F20" s="11" t="inlineStr">
        <is>
          <t>Isabela</t>
        </is>
      </c>
      <c r="G20" s="11" t="inlineStr">
        <is>
          <t>City of Cauayan</t>
        </is>
      </c>
      <c r="H20" s="11" t="inlineStr">
        <is>
          <t>District III</t>
        </is>
      </c>
      <c r="I20" s="24" t="n">
        <v>16.932614</v>
      </c>
      <c r="J20" s="24" t="n">
        <v>121.774681</v>
      </c>
      <c r="K20" s="23" t="inlineStr">
        <is>
          <t>U</t>
        </is>
      </c>
      <c r="L20" s="25" t="n">
        <v>6488</v>
      </c>
      <c r="M20" s="26" t="n">
        <v>3.8</v>
      </c>
      <c r="N20" s="25">
        <f>ROUND(L20/M20, 0)</f>
        <v/>
      </c>
      <c r="O20" s="25">
        <f>ROUND(N20*'Methodology &amp; Assumptions'!$B$7, 0)</f>
        <v/>
      </c>
      <c r="P20" s="23" t="inlineStr">
        <is>
          <t>Single Carrier (Band n50, 100MHz TDD)</t>
        </is>
      </c>
      <c r="Q20" s="27">
        <f>ROUNDUP(O20/'Methodology &amp; Assumptions'!$B$8, 0)</f>
        <v/>
      </c>
      <c r="R20" s="27" t="n">
        <v>1</v>
      </c>
      <c r="S20" s="26" t="n">
        <v>1.03</v>
      </c>
      <c r="T20" s="26" t="n">
        <v>0.91</v>
      </c>
      <c r="U20" s="11">
        <f>IF(S20&lt;='Methodology &amp; Assumptions'!$B$10, "Direct Optical Drop (&lt;3km)", IF(S20&lt;='Methodology &amp; Assumptions'!$B$9, "Near Optical / Microwave (&lt;5km)", "Starlink Business LEO Satellite Backhaul (&gt;5km)"))</f>
        <v/>
      </c>
      <c r="V20" s="26" t="n">
        <v>77.70999999999999</v>
      </c>
      <c r="W20" s="26" t="n">
        <v>42.74</v>
      </c>
      <c r="X20" s="26">
        <f>ROUND(('Methodology &amp; Assumptions'!$B$5*V20) + ('Methodology &amp; Assumptions'!$B$6*W20), 2)</f>
        <v/>
      </c>
      <c r="Y20" s="28" t="n">
        <v>8.300000000000001</v>
      </c>
      <c r="Z20" s="11" t="inlineStr">
        <is>
          <t>Priority Tier 2 (Balanced Opportunity)</t>
        </is>
      </c>
    </row>
    <row r="21">
      <c r="A21" s="23" t="n">
        <v>4</v>
      </c>
      <c r="B21" s="23" t="n">
        <v>17</v>
      </c>
      <c r="C21" s="23" t="n">
        <v>3017</v>
      </c>
      <c r="D21" s="23" t="inlineStr">
        <is>
          <t>0305413024</t>
        </is>
      </c>
      <c r="E21" s="11" t="inlineStr">
        <is>
          <t>Region III (Central Luzon)</t>
        </is>
      </c>
      <c r="F21" s="11" t="inlineStr">
        <is>
          <t>Pampanga</t>
        </is>
      </c>
      <c r="G21" s="11" t="inlineStr">
        <is>
          <t>Mexico</t>
        </is>
      </c>
      <c r="H21" s="11" t="inlineStr">
        <is>
          <t>Parian</t>
        </is>
      </c>
      <c r="I21" s="24" t="n">
        <v>15.066082</v>
      </c>
      <c r="J21" s="24" t="n">
        <v>120.718601</v>
      </c>
      <c r="K21" s="23" t="inlineStr">
        <is>
          <t>U</t>
        </is>
      </c>
      <c r="L21" s="25" t="n">
        <v>6107</v>
      </c>
      <c r="M21" s="26" t="n">
        <v>4</v>
      </c>
      <c r="N21" s="25">
        <f>ROUND(L21/M21, 0)</f>
        <v/>
      </c>
      <c r="O21" s="25">
        <f>ROUND(N21*'Methodology &amp; Assumptions'!$B$7, 0)</f>
        <v/>
      </c>
      <c r="P21" s="23" t="inlineStr">
        <is>
          <t>Single Carrier (Band n50, 100MHz TDD)</t>
        </is>
      </c>
      <c r="Q21" s="27">
        <f>ROUNDUP(O21/'Methodology &amp; Assumptions'!$B$8, 0)</f>
        <v/>
      </c>
      <c r="R21" s="27" t="n">
        <v>1</v>
      </c>
      <c r="S21" s="26" t="n">
        <v>1.57</v>
      </c>
      <c r="T21" s="26" t="n">
        <v>0.38</v>
      </c>
      <c r="U21" s="11">
        <f>IF(S21&lt;='Methodology &amp; Assumptions'!$B$10, "Direct Optical Drop (&lt;3km)", IF(S21&lt;='Methodology &amp; Assumptions'!$B$9, "Near Optical / Microwave (&lt;5km)", "Starlink Business LEO Satellite Backhaul (&gt;5km)"))</f>
        <v/>
      </c>
      <c r="V21" s="26" t="n">
        <v>75.68000000000001</v>
      </c>
      <c r="W21" s="26" t="n">
        <v>44.76</v>
      </c>
      <c r="X21" s="26">
        <f>ROUND(('Methodology &amp; Assumptions'!$B$5*V21) + ('Methodology &amp; Assumptions'!$B$6*W21), 2)</f>
        <v/>
      </c>
      <c r="Y21" s="28" t="n">
        <v>8.300000000000001</v>
      </c>
      <c r="Z21" s="11" t="inlineStr">
        <is>
          <t>Priority Tier 2 (Balanced Opportunity)</t>
        </is>
      </c>
    </row>
    <row r="22">
      <c r="A22" s="23" t="n">
        <v>4</v>
      </c>
      <c r="B22" s="23" t="n">
        <v>18</v>
      </c>
      <c r="C22" s="23" t="n">
        <v>3018</v>
      </c>
      <c r="D22" s="23" t="inlineStr">
        <is>
          <t>0403426011</t>
        </is>
      </c>
      <c r="E22" s="11" t="inlineStr">
        <is>
          <t>Region IV-A (CALABARZON)</t>
        </is>
      </c>
      <c r="F22" s="11" t="inlineStr">
        <is>
          <t>Laguna</t>
        </is>
      </c>
      <c r="G22" s="11" t="inlineStr">
        <is>
          <t>Santa Cruz</t>
        </is>
      </c>
      <c r="H22" s="11" t="inlineStr">
        <is>
          <t>Pagsawitan</t>
        </is>
      </c>
      <c r="I22" s="24" t="n">
        <v>14.266067</v>
      </c>
      <c r="J22" s="24" t="n">
        <v>121.42628</v>
      </c>
      <c r="K22" s="23" t="inlineStr">
        <is>
          <t>U</t>
        </is>
      </c>
      <c r="L22" s="25" t="n">
        <v>11162</v>
      </c>
      <c r="M22" s="26" t="n">
        <v>3.3</v>
      </c>
      <c r="N22" s="25">
        <f>ROUND(L22/M22, 0)</f>
        <v/>
      </c>
      <c r="O22" s="25">
        <f>ROUND(N22*'Methodology &amp; Assumptions'!$B$7, 0)</f>
        <v/>
      </c>
      <c r="P22" s="23" t="inlineStr">
        <is>
          <t>Single Carrier (Band n50, 100MHz TDD)</t>
        </is>
      </c>
      <c r="Q22" s="27">
        <f>ROUNDUP(O22/'Methodology &amp; Assumptions'!$B$8, 0)</f>
        <v/>
      </c>
      <c r="R22" s="27" t="n">
        <v>1</v>
      </c>
      <c r="S22" s="26" t="n">
        <v>2.03</v>
      </c>
      <c r="T22" s="26" t="n">
        <v>0.03</v>
      </c>
      <c r="U22" s="11">
        <f>IF(S22&lt;='Methodology &amp; Assumptions'!$B$10, "Direct Optical Drop (&lt;3km)", IF(S22&lt;='Methodology &amp; Assumptions'!$B$9, "Near Optical / Microwave (&lt;5km)", "Starlink Business LEO Satellite Backhaul (&gt;5km)"))</f>
        <v/>
      </c>
      <c r="V22" s="26" t="n">
        <v>73.91</v>
      </c>
      <c r="W22" s="26" t="n">
        <v>46.53</v>
      </c>
      <c r="X22" s="26">
        <f>ROUND(('Methodology &amp; Assumptions'!$B$5*V22) + ('Methodology &amp; Assumptions'!$B$6*W22), 2)</f>
        <v/>
      </c>
      <c r="Y22" s="28" t="n">
        <v>7.2</v>
      </c>
      <c r="Z22" s="11" t="inlineStr">
        <is>
          <t>Priority Tier 2 (Balanced Opportunity)</t>
        </is>
      </c>
    </row>
    <row r="23">
      <c r="A23" s="23" t="n">
        <v>4</v>
      </c>
      <c r="B23" s="23" t="n">
        <v>19</v>
      </c>
      <c r="C23" s="23" t="n">
        <v>3019</v>
      </c>
      <c r="D23" s="23" t="inlineStr">
        <is>
          <t>0403417002</t>
        </is>
      </c>
      <c r="E23" s="11" t="inlineStr">
        <is>
          <t>Region IV-A (CALABARZON)</t>
        </is>
      </c>
      <c r="F23" s="11" t="inlineStr">
        <is>
          <t>Laguna</t>
        </is>
      </c>
      <c r="G23" s="11" t="inlineStr">
        <is>
          <t>Nagcarlan</t>
        </is>
      </c>
      <c r="H23" s="11" t="inlineStr">
        <is>
          <t>Alibungbungan</t>
        </is>
      </c>
      <c r="I23" s="24" t="n">
        <v>14.140824</v>
      </c>
      <c r="J23" s="24" t="n">
        <v>121.416146</v>
      </c>
      <c r="K23" s="23" t="inlineStr">
        <is>
          <t>R</t>
        </is>
      </c>
      <c r="L23" s="25" t="n">
        <v>2161</v>
      </c>
      <c r="M23" s="26" t="n">
        <v>3.3</v>
      </c>
      <c r="N23" s="25">
        <f>ROUND(L23/M23, 0)</f>
        <v/>
      </c>
      <c r="O23" s="25">
        <f>ROUND(N23*'Methodology &amp; Assumptions'!$B$7, 0)</f>
        <v/>
      </c>
      <c r="P23" s="23" t="inlineStr">
        <is>
          <t>Single Carrier (Band n50, 100MHz TDD)</t>
        </is>
      </c>
      <c r="Q23" s="27">
        <f>ROUNDUP(O23/'Methodology &amp; Assumptions'!$B$8, 0)</f>
        <v/>
      </c>
      <c r="R23" s="27" t="n">
        <v>1</v>
      </c>
      <c r="S23" s="26" t="n">
        <v>0.41</v>
      </c>
      <c r="T23" s="26" t="n">
        <v>0.35</v>
      </c>
      <c r="U23" s="11">
        <f>IF(S23&lt;='Methodology &amp; Assumptions'!$B$10, "Direct Optical Drop (&lt;3km)", IF(S23&lt;='Methodology &amp; Assumptions'!$B$9, "Near Optical / Microwave (&lt;5km)", "Starlink Business LEO Satellite Backhaul (&gt;5km)"))</f>
        <v/>
      </c>
      <c r="V23" s="26" t="n">
        <v>80.18000000000001</v>
      </c>
      <c r="W23" s="26" t="n">
        <v>40.25</v>
      </c>
      <c r="X23" s="26">
        <f>ROUND(('Methodology &amp; Assumptions'!$B$5*V23) + ('Methodology &amp; Assumptions'!$B$6*W23), 2)</f>
        <v/>
      </c>
      <c r="Y23" s="28" t="n">
        <v>7.2</v>
      </c>
      <c r="Z23" s="11" t="inlineStr">
        <is>
          <t>Priority Tier 2 (Balanced Opportunity)</t>
        </is>
      </c>
    </row>
    <row r="24">
      <c r="A24" s="23" t="n">
        <v>4</v>
      </c>
      <c r="B24" s="23" t="n">
        <v>20</v>
      </c>
      <c r="C24" s="23" t="n">
        <v>3020</v>
      </c>
      <c r="D24" s="23" t="inlineStr">
        <is>
          <t>0405627021</t>
        </is>
      </c>
      <c r="E24" s="11" t="inlineStr">
        <is>
          <t>Region IV-A (CALABARZON)</t>
        </is>
      </c>
      <c r="F24" s="11" t="inlineStr">
        <is>
          <t>Quezon</t>
        </is>
      </c>
      <c r="G24" s="11" t="inlineStr">
        <is>
          <t>Mauban</t>
        </is>
      </c>
      <c r="H24" s="11" t="inlineStr">
        <is>
          <t>Sadsaran</t>
        </is>
      </c>
      <c r="I24" s="24" t="n">
        <v>14.180448</v>
      </c>
      <c r="J24" s="24" t="n">
        <v>121.731619</v>
      </c>
      <c r="K24" s="23" t="inlineStr">
        <is>
          <t>R</t>
        </is>
      </c>
      <c r="L24" s="25" t="n">
        <v>4090</v>
      </c>
      <c r="M24" s="26" t="n">
        <v>3.8</v>
      </c>
      <c r="N24" s="25">
        <f>ROUND(L24/M24, 0)</f>
        <v/>
      </c>
      <c r="O24" s="25">
        <f>ROUND(N24*'Methodology &amp; Assumptions'!$B$7, 0)</f>
        <v/>
      </c>
      <c r="P24" s="23" t="inlineStr">
        <is>
          <t>Single Carrier (Band n50, 100MHz TDD)</t>
        </is>
      </c>
      <c r="Q24" s="27">
        <f>ROUNDUP(O24/'Methodology &amp; Assumptions'!$B$8, 0)</f>
        <v/>
      </c>
      <c r="R24" s="27" t="n">
        <v>1</v>
      </c>
      <c r="S24" s="26" t="n">
        <v>1.35</v>
      </c>
      <c r="T24" s="26" t="n">
        <v>18.9</v>
      </c>
      <c r="U24" s="11">
        <f>IF(S24&lt;='Methodology &amp; Assumptions'!$B$10, "Direct Optical Drop (&lt;3km)", IF(S24&lt;='Methodology &amp; Assumptions'!$B$9, "Near Optical / Microwave (&lt;5km)", "Starlink Business LEO Satellite Backhaul (&gt;5km)"))</f>
        <v/>
      </c>
      <c r="V24" s="26" t="n">
        <v>80.02</v>
      </c>
      <c r="W24" s="26" t="n">
        <v>40.4</v>
      </c>
      <c r="X24" s="26">
        <f>ROUND(('Methodology &amp; Assumptions'!$B$5*V24) + ('Methodology &amp; Assumptions'!$B$6*W24), 2)</f>
        <v/>
      </c>
      <c r="Y24" s="28" t="n">
        <v>7.2</v>
      </c>
      <c r="Z24" s="11" t="inlineStr">
        <is>
          <t>Priority Tier 2 (Balanced Opportunity)</t>
        </is>
      </c>
    </row>
    <row r="25">
      <c r="A25" s="23" t="n">
        <v>4</v>
      </c>
      <c r="B25" s="23" t="n">
        <v>21</v>
      </c>
      <c r="C25" s="23" t="n">
        <v>3021</v>
      </c>
      <c r="D25" s="23" t="inlineStr">
        <is>
          <t>0401006024</t>
        </is>
      </c>
      <c r="E25" s="11" t="inlineStr">
        <is>
          <t>Region IV-A (CALABARZON)</t>
        </is>
      </c>
      <c r="F25" s="11" t="inlineStr">
        <is>
          <t>Batangas</t>
        </is>
      </c>
      <c r="G25" s="11" t="inlineStr">
        <is>
          <t>Bauan</t>
        </is>
      </c>
      <c r="H25" s="11" t="inlineStr">
        <is>
          <t>New Danglayan</t>
        </is>
      </c>
      <c r="I25" s="24" t="n">
        <v>13.783822</v>
      </c>
      <c r="J25" s="24" t="n">
        <v>121.003405</v>
      </c>
      <c r="K25" s="23" t="inlineStr">
        <is>
          <t>R</t>
        </is>
      </c>
      <c r="L25" s="25" t="n">
        <v>1521</v>
      </c>
      <c r="M25" s="26" t="n">
        <v>3.6</v>
      </c>
      <c r="N25" s="25">
        <f>ROUND(L25/M25, 0)</f>
        <v/>
      </c>
      <c r="O25" s="25">
        <f>ROUND(N25*'Methodology &amp; Assumptions'!$B$7, 0)</f>
        <v/>
      </c>
      <c r="P25" s="23" t="inlineStr">
        <is>
          <t>Single Carrier (Band n50, 100MHz TDD)</t>
        </is>
      </c>
      <c r="Q25" s="27">
        <f>ROUNDUP(O25/'Methodology &amp; Assumptions'!$B$8, 0)</f>
        <v/>
      </c>
      <c r="R25" s="27" t="n">
        <v>1</v>
      </c>
      <c r="S25" s="26" t="n">
        <v>1.2</v>
      </c>
      <c r="T25" s="26" t="n">
        <v>1.05</v>
      </c>
      <c r="U25" s="11">
        <f>IF(S25&lt;='Methodology &amp; Assumptions'!$B$10, "Direct Optical Drop (&lt;3km)", IF(S25&lt;='Methodology &amp; Assumptions'!$B$9, "Near Optical / Microwave (&lt;5km)", "Starlink Business LEO Satellite Backhaul (&gt;5km)"))</f>
        <v/>
      </c>
      <c r="V25" s="26" t="n">
        <v>71.29000000000001</v>
      </c>
      <c r="W25" s="26" t="n">
        <v>49.13</v>
      </c>
      <c r="X25" s="26">
        <f>ROUND(('Methodology &amp; Assumptions'!$B$5*V25) + ('Methodology &amp; Assumptions'!$B$6*W25), 2)</f>
        <v/>
      </c>
      <c r="Y25" s="28" t="n">
        <v>7.2</v>
      </c>
      <c r="Z25" s="11" t="inlineStr">
        <is>
          <t>Priority Tier 2 (Balanced Opportunity)</t>
        </is>
      </c>
    </row>
    <row r="26">
      <c r="A26" s="23" t="n">
        <v>4</v>
      </c>
      <c r="B26" s="23" t="n">
        <v>22</v>
      </c>
      <c r="C26" s="23" t="n">
        <v>3022</v>
      </c>
      <c r="D26" s="23" t="inlineStr">
        <is>
          <t>0403404012</t>
        </is>
      </c>
      <c r="E26" s="11" t="inlineStr">
        <is>
          <t>Region IV-A (CALABARZON)</t>
        </is>
      </c>
      <c r="F26" s="11" t="inlineStr">
        <is>
          <t>Laguna</t>
        </is>
      </c>
      <c r="G26" s="11" t="inlineStr">
        <is>
          <t>City of Cabuyao</t>
        </is>
      </c>
      <c r="H26" s="11" t="inlineStr">
        <is>
          <t>Pittland</t>
        </is>
      </c>
      <c r="I26" s="24" t="n">
        <v>14.230708</v>
      </c>
      <c r="J26" s="24" t="n">
        <v>121.091945</v>
      </c>
      <c r="K26" s="23" t="inlineStr">
        <is>
          <t>U</t>
        </is>
      </c>
      <c r="L26" s="25" t="n">
        <v>6634</v>
      </c>
      <c r="M26" s="26" t="n">
        <v>3.3</v>
      </c>
      <c r="N26" s="25">
        <f>ROUND(L26/M26, 0)</f>
        <v/>
      </c>
      <c r="O26" s="25">
        <f>ROUND(N26*'Methodology &amp; Assumptions'!$B$7, 0)</f>
        <v/>
      </c>
      <c r="P26" s="23" t="inlineStr">
        <is>
          <t>Single Carrier (Band n50, 100MHz TDD)</t>
        </is>
      </c>
      <c r="Q26" s="27">
        <f>ROUNDUP(O26/'Methodology &amp; Assumptions'!$B$8, 0)</f>
        <v/>
      </c>
      <c r="R26" s="27" t="n">
        <v>1</v>
      </c>
      <c r="S26" s="26" t="n">
        <v>3.96</v>
      </c>
      <c r="T26" s="26" t="n">
        <v>3.77</v>
      </c>
      <c r="U26" s="11">
        <f>IF(S26&lt;='Methodology &amp; Assumptions'!$B$10, "Direct Optical Drop (&lt;3km)", IF(S26&lt;='Methodology &amp; Assumptions'!$B$9, "Near Optical / Microwave (&lt;5km)", "Starlink Business LEO Satellite Backhaul (&gt;5km)"))</f>
        <v/>
      </c>
      <c r="V26" s="26" t="n">
        <v>65.20999999999999</v>
      </c>
      <c r="W26" s="26" t="n">
        <v>55.2</v>
      </c>
      <c r="X26" s="26">
        <f>ROUND(('Methodology &amp; Assumptions'!$B$5*V26) + ('Methodology &amp; Assumptions'!$B$6*W26), 2)</f>
        <v/>
      </c>
      <c r="Y26" s="28" t="n">
        <v>7.2</v>
      </c>
      <c r="Z26" s="11" t="inlineStr">
        <is>
          <t>Priority Tier 2 (Balanced Opportunity)</t>
        </is>
      </c>
    </row>
    <row r="27">
      <c r="A27" s="23" t="n">
        <v>4</v>
      </c>
      <c r="B27" s="23" t="n">
        <v>23</v>
      </c>
      <c r="C27" s="23" t="n">
        <v>3023</v>
      </c>
      <c r="D27" s="23" t="inlineStr">
        <is>
          <t>0102805009</t>
        </is>
      </c>
      <c r="E27" s="11" t="inlineStr">
        <is>
          <t>Region I (Ilocos Region)</t>
        </is>
      </c>
      <c r="F27" s="11" t="inlineStr">
        <is>
          <t>Ilocos Norte</t>
        </is>
      </c>
      <c r="G27" s="11" t="inlineStr">
        <is>
          <t>City of Batac</t>
        </is>
      </c>
      <c r="H27" s="11" t="inlineStr">
        <is>
          <t>Ben-agan</t>
        </is>
      </c>
      <c r="I27" s="24" t="n">
        <v>18.050925</v>
      </c>
      <c r="J27" s="24" t="n">
        <v>120.570361</v>
      </c>
      <c r="K27" s="23" t="inlineStr">
        <is>
          <t>R</t>
        </is>
      </c>
      <c r="L27" s="25" t="n">
        <v>725</v>
      </c>
      <c r="M27" s="26" t="n">
        <v>3.7</v>
      </c>
      <c r="N27" s="25">
        <f>ROUND(L27/M27, 0)</f>
        <v/>
      </c>
      <c r="O27" s="25">
        <f>ROUND(N27*'Methodology &amp; Assumptions'!$B$7, 0)</f>
        <v/>
      </c>
      <c r="P27" s="23" t="inlineStr">
        <is>
          <t>Single Carrier (Band n50, 100MHz TDD)</t>
        </is>
      </c>
      <c r="Q27" s="27">
        <f>ROUNDUP(O27/'Methodology &amp; Assumptions'!$B$8, 0)</f>
        <v/>
      </c>
      <c r="R27" s="27" t="n">
        <v>1</v>
      </c>
      <c r="S27" s="26" t="n">
        <v>2.02</v>
      </c>
      <c r="T27" s="26" t="n">
        <v>1.47</v>
      </c>
      <c r="U27" s="11">
        <f>IF(S27&lt;='Methodology &amp; Assumptions'!$B$10, "Direct Optical Drop (&lt;3km)", IF(S27&lt;='Methodology &amp; Assumptions'!$B$9, "Near Optical / Microwave (&lt;5km)", "Starlink Business LEO Satellite Backhaul (&gt;5km)"))</f>
        <v/>
      </c>
      <c r="V27" s="26" t="n">
        <v>61.12</v>
      </c>
      <c r="W27" s="26" t="n">
        <v>59.29</v>
      </c>
      <c r="X27" s="26">
        <f>ROUND(('Methodology &amp; Assumptions'!$B$5*V27) + ('Methodology &amp; Assumptions'!$B$6*W27), 2)</f>
        <v/>
      </c>
      <c r="Y27" s="28" t="n">
        <v>8.300000000000001</v>
      </c>
      <c r="Z27" s="11" t="inlineStr">
        <is>
          <t>Priority Tier 2 (Balanced Opportunity)</t>
        </is>
      </c>
    </row>
    <row r="28">
      <c r="A28" s="23" t="n">
        <v>4</v>
      </c>
      <c r="B28" s="23" t="n">
        <v>24</v>
      </c>
      <c r="C28" s="23" t="n">
        <v>3024</v>
      </c>
      <c r="D28" s="23" t="inlineStr">
        <is>
          <t>1003519005</t>
        </is>
      </c>
      <c r="E28" s="11" t="inlineStr">
        <is>
          <t>Region X (Northern Mindanao)</t>
        </is>
      </c>
      <c r="F28" s="11" t="inlineStr">
        <is>
          <t>Lanao del Norte</t>
        </is>
      </c>
      <c r="G28" s="11" t="inlineStr">
        <is>
          <t>Sapad</t>
        </is>
      </c>
      <c r="H28" s="11" t="inlineStr">
        <is>
          <t>Gamal</t>
        </is>
      </c>
      <c r="I28" s="24" t="n">
        <v>7.8131</v>
      </c>
      <c r="J28" s="24" t="n">
        <v>123.8234</v>
      </c>
      <c r="K28" s="23" t="inlineStr">
        <is>
          <t>R</t>
        </is>
      </c>
      <c r="L28" s="25" t="n">
        <v>593</v>
      </c>
      <c r="M28" s="26" t="n">
        <v>4.2</v>
      </c>
      <c r="N28" s="25">
        <f>ROUND(L28/M28, 0)</f>
        <v/>
      </c>
      <c r="O28" s="25">
        <f>ROUND(N28*'Methodology &amp; Assumptions'!$B$7, 0)</f>
        <v/>
      </c>
      <c r="P28" s="23" t="inlineStr">
        <is>
          <t>Single Carrier (Band n50, 100MHz TDD)</t>
        </is>
      </c>
      <c r="Q28" s="27">
        <f>ROUNDUP(O28/'Methodology &amp; Assumptions'!$B$8, 0)</f>
        <v/>
      </c>
      <c r="R28" s="27" t="n">
        <v>1</v>
      </c>
      <c r="S28" s="26" t="n">
        <v>25.7</v>
      </c>
      <c r="T28" s="26" t="n">
        <v>10.79</v>
      </c>
      <c r="U28" s="11">
        <f>IF(S28&lt;='Methodology &amp; Assumptions'!$B$10, "Direct Optical Drop (&lt;3km)", IF(S28&lt;='Methodology &amp; Assumptions'!$B$9, "Near Optical / Microwave (&lt;5km)", "Starlink Business LEO Satellite Backhaul (&gt;5km)"))</f>
        <v/>
      </c>
      <c r="V28" s="26" t="n">
        <v>42.22</v>
      </c>
      <c r="W28" s="26" t="n">
        <v>78.20999999999999</v>
      </c>
      <c r="X28" s="26">
        <f>ROUND(('Methodology &amp; Assumptions'!$B$5*V28) + ('Methodology &amp; Assumptions'!$B$6*W28), 2)</f>
        <v/>
      </c>
      <c r="Y28" s="28" t="n">
        <v>17.4</v>
      </c>
      <c r="Z28" s="11" t="inlineStr">
        <is>
          <t>Priority Tier 2 (Balanced Opportunity)</t>
        </is>
      </c>
    </row>
    <row r="29">
      <c r="A29" s="23" t="n">
        <v>4</v>
      </c>
      <c r="B29" s="23" t="n">
        <v>25</v>
      </c>
      <c r="C29" s="23" t="n">
        <v>3025</v>
      </c>
      <c r="D29" s="23" t="inlineStr">
        <is>
          <t>0301407017</t>
        </is>
      </c>
      <c r="E29" s="11" t="inlineStr">
        <is>
          <t>Region III (Central Luzon)</t>
        </is>
      </c>
      <c r="F29" s="11" t="inlineStr">
        <is>
          <t>Bulacan</t>
        </is>
      </c>
      <c r="G29" s="11" t="inlineStr">
        <is>
          <t>Calumpit</t>
        </is>
      </c>
      <c r="H29" s="11" t="inlineStr">
        <is>
          <t>Meyto</t>
        </is>
      </c>
      <c r="I29" s="24" t="n">
        <v>14.887532</v>
      </c>
      <c r="J29" s="24" t="n">
        <v>120.729315</v>
      </c>
      <c r="K29" s="23" t="inlineStr">
        <is>
          <t>R</t>
        </is>
      </c>
      <c r="L29" s="25" t="n">
        <v>3057</v>
      </c>
      <c r="M29" s="26" t="n">
        <v>3.5</v>
      </c>
      <c r="N29" s="25">
        <f>ROUND(L29/M29, 0)</f>
        <v/>
      </c>
      <c r="O29" s="25">
        <f>ROUND(N29*'Methodology &amp; Assumptions'!$B$7, 0)</f>
        <v/>
      </c>
      <c r="P29" s="23" t="inlineStr">
        <is>
          <t>Single Carrier (Band n50, 100MHz TDD)</t>
        </is>
      </c>
      <c r="Q29" s="27">
        <f>ROUNDUP(O29/'Methodology &amp; Assumptions'!$B$8, 0)</f>
        <v/>
      </c>
      <c r="R29" s="27" t="n">
        <v>1</v>
      </c>
      <c r="S29" s="26" t="n">
        <v>2.46</v>
      </c>
      <c r="T29" s="26" t="n">
        <v>0.15</v>
      </c>
      <c r="U29" s="11">
        <f>IF(S29&lt;='Methodology &amp; Assumptions'!$B$10, "Direct Optical Drop (&lt;3km)", IF(S29&lt;='Methodology &amp; Assumptions'!$B$9, "Near Optical / Microwave (&lt;5km)", "Starlink Business LEO Satellite Backhaul (&gt;5km)"))</f>
        <v/>
      </c>
      <c r="V29" s="26" t="n">
        <v>79.87</v>
      </c>
      <c r="W29" s="26" t="n">
        <v>40.54</v>
      </c>
      <c r="X29" s="26">
        <f>ROUND(('Methodology &amp; Assumptions'!$B$5*V29) + ('Methodology &amp; Assumptions'!$B$6*W29), 2)</f>
        <v/>
      </c>
      <c r="Y29" s="28" t="n">
        <v>8.300000000000001</v>
      </c>
      <c r="Z29" s="11" t="inlineStr">
        <is>
          <t>Priority Tier 2 (Balanced Opportunity)</t>
        </is>
      </c>
    </row>
    <row r="30">
      <c r="A30" s="23" t="n">
        <v>4</v>
      </c>
      <c r="B30" s="23" t="n">
        <v>26</v>
      </c>
      <c r="C30" s="23" t="n">
        <v>3026</v>
      </c>
      <c r="D30" s="23" t="inlineStr">
        <is>
          <t>0105503019</t>
        </is>
      </c>
      <c r="E30" s="11" t="inlineStr">
        <is>
          <t>Region I (Ilocos Region)</t>
        </is>
      </c>
      <c r="F30" s="11" t="inlineStr">
        <is>
          <t>Pangasinan</t>
        </is>
      </c>
      <c r="G30" s="11" t="inlineStr">
        <is>
          <t>City of Alaminos</t>
        </is>
      </c>
      <c r="H30" s="11" t="inlineStr">
        <is>
          <t>Palamis</t>
        </is>
      </c>
      <c r="I30" s="24" t="n">
        <v>16.147594</v>
      </c>
      <c r="J30" s="24" t="n">
        <v>119.977481</v>
      </c>
      <c r="K30" s="23" t="inlineStr">
        <is>
          <t>U</t>
        </is>
      </c>
      <c r="L30" s="25" t="n">
        <v>4745</v>
      </c>
      <c r="M30" s="26" t="n">
        <v>3.6</v>
      </c>
      <c r="N30" s="25">
        <f>ROUND(L30/M30, 0)</f>
        <v/>
      </c>
      <c r="O30" s="25">
        <f>ROUND(N30*'Methodology &amp; Assumptions'!$B$7, 0)</f>
        <v/>
      </c>
      <c r="P30" s="23" t="inlineStr">
        <is>
          <t>Single Carrier (Band n50, 100MHz TDD)</t>
        </is>
      </c>
      <c r="Q30" s="27">
        <f>ROUNDUP(O30/'Methodology &amp; Assumptions'!$B$8, 0)</f>
        <v/>
      </c>
      <c r="R30" s="27" t="n">
        <v>1</v>
      </c>
      <c r="S30" s="26" t="n">
        <v>0.86</v>
      </c>
      <c r="T30" s="26" t="n">
        <v>0.23</v>
      </c>
      <c r="U30" s="11">
        <f>IF(S30&lt;='Methodology &amp; Assumptions'!$B$10, "Direct Optical Drop (&lt;3km)", IF(S30&lt;='Methodology &amp; Assumptions'!$B$9, "Near Optical / Microwave (&lt;5km)", "Starlink Business LEO Satellite Backhaul (&gt;5km)"))</f>
        <v/>
      </c>
      <c r="V30" s="26" t="n">
        <v>78.38</v>
      </c>
      <c r="W30" s="26" t="n">
        <v>42.02</v>
      </c>
      <c r="X30" s="26">
        <f>ROUND(('Methodology &amp; Assumptions'!$B$5*V30) + ('Methodology &amp; Assumptions'!$B$6*W30), 2)</f>
        <v/>
      </c>
      <c r="Y30" s="28" t="n">
        <v>8.300000000000001</v>
      </c>
      <c r="Z30" s="11" t="inlineStr">
        <is>
          <t>Priority Tier 2 (Balanced Opportunity)</t>
        </is>
      </c>
    </row>
    <row r="31">
      <c r="A31" s="23" t="n">
        <v>4</v>
      </c>
      <c r="B31" s="23" t="n">
        <v>27</v>
      </c>
      <c r="C31" s="23" t="n">
        <v>3027</v>
      </c>
      <c r="D31" s="23" t="inlineStr">
        <is>
          <t>0600416010</t>
        </is>
      </c>
      <c r="E31" s="11" t="inlineStr">
        <is>
          <t>Region VI (Western Visayas)</t>
        </is>
      </c>
      <c r="F31" s="11" t="inlineStr">
        <is>
          <t>Aklan</t>
        </is>
      </c>
      <c r="G31" s="11" t="inlineStr">
        <is>
          <t>Numancia</t>
        </is>
      </c>
      <c r="H31" s="11" t="inlineStr">
        <is>
          <t>Dongon West</t>
        </is>
      </c>
      <c r="I31" s="24" t="n">
        <v>11.707721</v>
      </c>
      <c r="J31" s="24" t="n">
        <v>122.319255</v>
      </c>
      <c r="K31" s="23" t="inlineStr">
        <is>
          <t>R</t>
        </is>
      </c>
      <c r="L31" s="25" t="n">
        <v>2257</v>
      </c>
      <c r="M31" s="26" t="n">
        <v>3.9</v>
      </c>
      <c r="N31" s="25">
        <f>ROUND(L31/M31, 0)</f>
        <v/>
      </c>
      <c r="O31" s="25">
        <f>ROUND(N31*'Methodology &amp; Assumptions'!$B$7, 0)</f>
        <v/>
      </c>
      <c r="P31" s="23" t="inlineStr">
        <is>
          <t>Single Carrier (Band n50, 100MHz TDD)</t>
        </is>
      </c>
      <c r="Q31" s="27">
        <f>ROUNDUP(O31/'Methodology &amp; Assumptions'!$B$8, 0)</f>
        <v/>
      </c>
      <c r="R31" s="27" t="n">
        <v>1</v>
      </c>
      <c r="S31" s="26" t="n">
        <v>1.05</v>
      </c>
      <c r="T31" s="26" t="n">
        <v>0.53</v>
      </c>
      <c r="U31" s="11">
        <f>IF(S31&lt;='Methodology &amp; Assumptions'!$B$10, "Direct Optical Drop (&lt;3km)", IF(S31&lt;='Methodology &amp; Assumptions'!$B$9, "Near Optical / Microwave (&lt;5km)", "Starlink Business LEO Satellite Backhaul (&gt;5km)"))</f>
        <v/>
      </c>
      <c r="V31" s="26" t="n">
        <v>78.3</v>
      </c>
      <c r="W31" s="26" t="n">
        <v>42.11</v>
      </c>
      <c r="X31" s="26">
        <f>ROUND(('Methodology &amp; Assumptions'!$B$5*V31) + ('Methodology &amp; Assumptions'!$B$6*W31), 2)</f>
        <v/>
      </c>
      <c r="Y31" s="28" t="n">
        <v>23.7</v>
      </c>
      <c r="Z31" s="11" t="inlineStr">
        <is>
          <t>Priority Tier 2 (Balanced Opportunity)</t>
        </is>
      </c>
    </row>
    <row r="32">
      <c r="A32" s="23" t="n">
        <v>4</v>
      </c>
      <c r="B32" s="23" t="n">
        <v>28</v>
      </c>
      <c r="C32" s="23" t="n">
        <v>3028</v>
      </c>
      <c r="D32" s="23" t="inlineStr">
        <is>
          <t>0402116014</t>
        </is>
      </c>
      <c r="E32" s="11" t="inlineStr">
        <is>
          <t>Region IV-A (CALABARZON)</t>
        </is>
      </c>
      <c r="F32" s="11" t="inlineStr">
        <is>
          <t>Cavite</t>
        </is>
      </c>
      <c r="G32" s="11" t="inlineStr">
        <is>
          <t>Noveleta</t>
        </is>
      </c>
      <c r="H32" s="11" t="inlineStr">
        <is>
          <t>San Rafael III</t>
        </is>
      </c>
      <c r="I32" s="24" t="n">
        <v>14.434743</v>
      </c>
      <c r="J32" s="24" t="n">
        <v>120.878171</v>
      </c>
      <c r="K32" s="23" t="inlineStr">
        <is>
          <t>U</t>
        </is>
      </c>
      <c r="L32" s="25" t="n">
        <v>6490</v>
      </c>
      <c r="M32" s="26" t="n">
        <v>3.4</v>
      </c>
      <c r="N32" s="25">
        <f>ROUND(L32/M32, 0)</f>
        <v/>
      </c>
      <c r="O32" s="25">
        <f>ROUND(N32*'Methodology &amp; Assumptions'!$B$7, 0)</f>
        <v/>
      </c>
      <c r="P32" s="23" t="inlineStr">
        <is>
          <t>Single Carrier (Band n50, 100MHz TDD)</t>
        </is>
      </c>
      <c r="Q32" s="27">
        <f>ROUNDUP(O32/'Methodology &amp; Assumptions'!$B$8, 0)</f>
        <v/>
      </c>
      <c r="R32" s="27" t="n">
        <v>1</v>
      </c>
      <c r="S32" s="26" t="n">
        <v>0.78</v>
      </c>
      <c r="T32" s="26" t="n">
        <v>0.75</v>
      </c>
      <c r="U32" s="11">
        <f>IF(S32&lt;='Methodology &amp; Assumptions'!$B$10, "Direct Optical Drop (&lt;3km)", IF(S32&lt;='Methodology &amp; Assumptions'!$B$9, "Near Optical / Microwave (&lt;5km)", "Starlink Business LEO Satellite Backhaul (&gt;5km)"))</f>
        <v/>
      </c>
      <c r="V32" s="26" t="n">
        <v>78.26000000000001</v>
      </c>
      <c r="W32" s="26" t="n">
        <v>42.14</v>
      </c>
      <c r="X32" s="26">
        <f>ROUND(('Methodology &amp; Assumptions'!$B$5*V32) + ('Methodology &amp; Assumptions'!$B$6*W32), 2)</f>
        <v/>
      </c>
      <c r="Y32" s="28" t="n">
        <v>7.2</v>
      </c>
      <c r="Z32" s="11" t="inlineStr">
        <is>
          <t>Priority Tier 2 (Balanced Opportunity)</t>
        </is>
      </c>
    </row>
    <row r="33">
      <c r="A33" s="23" t="n">
        <v>4</v>
      </c>
      <c r="B33" s="23" t="n">
        <v>29</v>
      </c>
      <c r="C33" s="23" t="n">
        <v>3029</v>
      </c>
      <c r="D33" s="23" t="inlineStr">
        <is>
          <t>0405630024</t>
        </is>
      </c>
      <c r="E33" s="11" t="inlineStr">
        <is>
          <t>Region IV-A (CALABARZON)</t>
        </is>
      </c>
      <c r="F33" s="11" t="inlineStr">
        <is>
          <t>Quezon</t>
        </is>
      </c>
      <c r="G33" s="11" t="inlineStr">
        <is>
          <t>Pagbilao</t>
        </is>
      </c>
      <c r="H33" s="11" t="inlineStr">
        <is>
          <t>Barangay 6 Tambak</t>
        </is>
      </c>
      <c r="I33" s="24" t="n">
        <v>13.973026</v>
      </c>
      <c r="J33" s="24" t="n">
        <v>121.688437</v>
      </c>
      <c r="K33" s="23" t="inlineStr">
        <is>
          <t>R</t>
        </is>
      </c>
      <c r="L33" s="25" t="n">
        <v>1351</v>
      </c>
      <c r="M33" s="26" t="n">
        <v>3.8</v>
      </c>
      <c r="N33" s="25">
        <f>ROUND(L33/M33, 0)</f>
        <v/>
      </c>
      <c r="O33" s="25">
        <f>ROUND(N33*'Methodology &amp; Assumptions'!$B$7, 0)</f>
        <v/>
      </c>
      <c r="P33" s="23" t="inlineStr">
        <is>
          <t>Single Carrier (Band n50, 100MHz TDD)</t>
        </is>
      </c>
      <c r="Q33" s="27">
        <f>ROUNDUP(O33/'Methodology &amp; Assumptions'!$B$8, 0)</f>
        <v/>
      </c>
      <c r="R33" s="27" t="n">
        <v>1</v>
      </c>
      <c r="S33" s="26" t="n">
        <v>0.71</v>
      </c>
      <c r="T33" s="26" t="n">
        <v>0.12</v>
      </c>
      <c r="U33" s="11">
        <f>IF(S33&lt;='Methodology &amp; Assumptions'!$B$10, "Direct Optical Drop (&lt;3km)", IF(S33&lt;='Methodology &amp; Assumptions'!$B$9, "Near Optical / Microwave (&lt;5km)", "Starlink Business LEO Satellite Backhaul (&gt;5km)"))</f>
        <v/>
      </c>
      <c r="V33" s="26" t="n">
        <v>70.5</v>
      </c>
      <c r="W33" s="26" t="n">
        <v>49.91</v>
      </c>
      <c r="X33" s="26">
        <f>ROUND(('Methodology &amp; Assumptions'!$B$5*V33) + ('Methodology &amp; Assumptions'!$B$6*W33), 2)</f>
        <v/>
      </c>
      <c r="Y33" s="28" t="n">
        <v>7.2</v>
      </c>
      <c r="Z33" s="11" t="inlineStr">
        <is>
          <t>Priority Tier 2 (Balanced Opportunity)</t>
        </is>
      </c>
    </row>
    <row r="34">
      <c r="A34" s="23" t="n">
        <v>4</v>
      </c>
      <c r="B34" s="23" t="n">
        <v>30</v>
      </c>
      <c r="C34" s="23" t="n">
        <v>3030</v>
      </c>
      <c r="D34" s="23" t="inlineStr">
        <is>
          <t>1102504009</t>
        </is>
      </c>
      <c r="E34" s="11" t="inlineStr">
        <is>
          <t>Region XI (Davao Region)</t>
        </is>
      </c>
      <c r="F34" s="11" t="inlineStr">
        <is>
          <t>Davao Oriental</t>
        </is>
      </c>
      <c r="G34" s="11" t="inlineStr">
        <is>
          <t>Caraga</t>
        </is>
      </c>
      <c r="H34" s="11" t="inlineStr">
        <is>
          <t>Pichon</t>
        </is>
      </c>
      <c r="I34" s="24" t="n">
        <v>7.42063</v>
      </c>
      <c r="J34" s="24" t="n">
        <v>126.42456</v>
      </c>
      <c r="K34" s="23" t="inlineStr">
        <is>
          <t>R</t>
        </is>
      </c>
      <c r="L34" s="25" t="n">
        <v>5064</v>
      </c>
      <c r="M34" s="26" t="n">
        <v>3.6</v>
      </c>
      <c r="N34" s="25">
        <f>ROUND(L34/M34, 0)</f>
        <v/>
      </c>
      <c r="O34" s="25">
        <f>ROUND(N34*'Methodology &amp; Assumptions'!$B$7, 0)</f>
        <v/>
      </c>
      <c r="P34" s="23" t="inlineStr">
        <is>
          <t>Single Carrier (Band n50, 100MHz TDD)</t>
        </is>
      </c>
      <c r="Q34" s="27">
        <f>ROUNDUP(O34/'Methodology &amp; Assumptions'!$B$8, 0)</f>
        <v/>
      </c>
      <c r="R34" s="27" t="n">
        <v>1</v>
      </c>
      <c r="S34" s="26" t="n">
        <v>56.48</v>
      </c>
      <c r="T34" s="26" t="n">
        <v>54.51</v>
      </c>
      <c r="U34" s="11">
        <f>IF(S34&lt;='Methodology &amp; Assumptions'!$B$10, "Direct Optical Drop (&lt;3km)", IF(S34&lt;='Methodology &amp; Assumptions'!$B$9, "Near Optical / Microwave (&lt;5km)", "Starlink Business LEO Satellite Backhaul (&gt;5km)"))</f>
        <v/>
      </c>
      <c r="V34" s="26" t="n">
        <v>61.82</v>
      </c>
      <c r="W34" s="26" t="n">
        <v>58.58</v>
      </c>
      <c r="X34" s="26">
        <f>ROUND(('Methodology &amp; Assumptions'!$B$5*V34) + ('Methodology &amp; Assumptions'!$B$6*W34), 2)</f>
        <v/>
      </c>
      <c r="Y34" s="28" t="n">
        <v>17.4</v>
      </c>
      <c r="Z34" s="11" t="inlineStr">
        <is>
          <t>Priority Tier 2 (Balanced Opportunity)</t>
        </is>
      </c>
    </row>
    <row r="35">
      <c r="A35" s="23" t="n">
        <v>4</v>
      </c>
      <c r="B35" s="23" t="n">
        <v>31</v>
      </c>
      <c r="C35" s="23" t="n">
        <v>3031</v>
      </c>
      <c r="D35" s="23" t="inlineStr">
        <is>
          <t>1380610043</t>
        </is>
      </c>
      <c r="E35" s="11" t="inlineStr">
        <is>
          <t>National Capital Region (NCR)</t>
        </is>
      </c>
      <c r="F35" s="11" t="inlineStr">
        <is>
          <t>First District (Not a Province)</t>
        </is>
      </c>
      <c r="G35" s="11" t="inlineStr">
        <is>
          <t>City of Manila</t>
        </is>
      </c>
      <c r="H35" s="11" t="inlineStr">
        <is>
          <t>Barangay 728</t>
        </is>
      </c>
      <c r="I35" s="24" t="n">
        <v>14.564147</v>
      </c>
      <c r="J35" s="24" t="n">
        <v>120.996153</v>
      </c>
      <c r="K35" s="23" t="inlineStr">
        <is>
          <t>U</t>
        </is>
      </c>
      <c r="L35" s="25" t="n">
        <v>886</v>
      </c>
      <c r="M35" s="26" t="n">
        <v>3.94</v>
      </c>
      <c r="N35" s="25">
        <f>ROUND(L35/M35, 0)</f>
        <v/>
      </c>
      <c r="O35" s="25">
        <f>ROUND(N35*'Methodology &amp; Assumptions'!$B$7, 0)</f>
        <v/>
      </c>
      <c r="P35" s="23" t="inlineStr">
        <is>
          <t>Single Carrier (Band n50, 100MHz TDD)</t>
        </is>
      </c>
      <c r="Q35" s="27">
        <f>ROUNDUP(O35/'Methodology &amp; Assumptions'!$B$8, 0)</f>
        <v/>
      </c>
      <c r="R35" s="27" t="n">
        <v>1</v>
      </c>
      <c r="S35" s="26" t="n">
        <v>0.9</v>
      </c>
      <c r="T35" s="26" t="n">
        <v>0.12</v>
      </c>
      <c r="U35" s="11">
        <f>IF(S35&lt;='Methodology &amp; Assumptions'!$B$10, "Direct Optical Drop (&lt;3km)", IF(S35&lt;='Methodology &amp; Assumptions'!$B$9, "Near Optical / Microwave (&lt;5km)", "Starlink Business LEO Satellite Backhaul (&gt;5km)"))</f>
        <v/>
      </c>
      <c r="V35" s="26" t="n">
        <v>48.15</v>
      </c>
      <c r="W35" s="26" t="n">
        <v>72.22</v>
      </c>
      <c r="X35" s="26">
        <f>ROUND(('Methodology &amp; Assumptions'!$B$5*V35) + ('Methodology &amp; Assumptions'!$B$6*W35), 2)</f>
        <v/>
      </c>
      <c r="Y35" s="28" t="n">
        <v>10.9</v>
      </c>
      <c r="Z35" s="11" t="inlineStr">
        <is>
          <t>Priority Tier 2 (Balanced Opportunity)</t>
        </is>
      </c>
    </row>
    <row r="36">
      <c r="A36" s="23" t="n">
        <v>4</v>
      </c>
      <c r="B36" s="23" t="n">
        <v>32</v>
      </c>
      <c r="C36" s="23" t="n">
        <v>3032</v>
      </c>
      <c r="D36" s="23" t="inlineStr">
        <is>
          <t>0305408029</t>
        </is>
      </c>
      <c r="E36" s="11" t="inlineStr">
        <is>
          <t>Region III (Central Luzon)</t>
        </is>
      </c>
      <c r="F36" s="11" t="inlineStr">
        <is>
          <t>Pampanga</t>
        </is>
      </c>
      <c r="G36" s="11" t="inlineStr">
        <is>
          <t>Lubao</t>
        </is>
      </c>
      <c r="H36" s="11" t="inlineStr">
        <is>
          <t>San Roque Arbol</t>
        </is>
      </c>
      <c r="I36" s="24" t="n">
        <v>14.898918</v>
      </c>
      <c r="J36" s="24" t="n">
        <v>120.539198</v>
      </c>
      <c r="K36" s="23" t="inlineStr">
        <is>
          <t>R</t>
        </is>
      </c>
      <c r="L36" s="25" t="n">
        <v>3613</v>
      </c>
      <c r="M36" s="26" t="n">
        <v>4</v>
      </c>
      <c r="N36" s="25">
        <f>ROUND(L36/M36, 0)</f>
        <v/>
      </c>
      <c r="O36" s="25">
        <f>ROUND(N36*'Methodology &amp; Assumptions'!$B$7, 0)</f>
        <v/>
      </c>
      <c r="P36" s="23" t="inlineStr">
        <is>
          <t>Single Carrier (Band n50, 100MHz TDD)</t>
        </is>
      </c>
      <c r="Q36" s="27">
        <f>ROUNDUP(O36/'Methodology &amp; Assumptions'!$B$8, 0)</f>
        <v/>
      </c>
      <c r="R36" s="27" t="n">
        <v>1</v>
      </c>
      <c r="S36" s="26" t="n">
        <v>2.06</v>
      </c>
      <c r="T36" s="26" t="n">
        <v>0.33</v>
      </c>
      <c r="U36" s="11">
        <f>IF(S36&lt;='Methodology &amp; Assumptions'!$B$10, "Direct Optical Drop (&lt;3km)", IF(S36&lt;='Methodology &amp; Assumptions'!$B$9, "Near Optical / Microwave (&lt;5km)", "Starlink Business LEO Satellite Backhaul (&gt;5km)"))</f>
        <v/>
      </c>
      <c r="V36" s="26" t="n">
        <v>81.19</v>
      </c>
      <c r="W36" s="26" t="n">
        <v>39.16</v>
      </c>
      <c r="X36" s="26">
        <f>ROUND(('Methodology &amp; Assumptions'!$B$5*V36) + ('Methodology &amp; Assumptions'!$B$6*W36), 2)</f>
        <v/>
      </c>
      <c r="Y36" s="28" t="n">
        <v>8.300000000000001</v>
      </c>
      <c r="Z36" s="11" t="inlineStr">
        <is>
          <t>Priority Tier 2 (Balanced Opportunity)</t>
        </is>
      </c>
    </row>
    <row r="37">
      <c r="A37" s="23" t="n">
        <v>4</v>
      </c>
      <c r="B37" s="23" t="n">
        <v>33</v>
      </c>
      <c r="C37" s="23" t="n">
        <v>3033</v>
      </c>
      <c r="D37" s="23" t="inlineStr">
        <is>
          <t>0405623020</t>
        </is>
      </c>
      <c r="E37" s="11" t="inlineStr">
        <is>
          <t>Region IV-A (CALABARZON)</t>
        </is>
      </c>
      <c r="F37" s="11" t="inlineStr">
        <is>
          <t>Quezon</t>
        </is>
      </c>
      <c r="G37" s="11" t="inlineStr">
        <is>
          <t>Lucban</t>
        </is>
      </c>
      <c r="H37" s="11" t="inlineStr">
        <is>
          <t>Kulapi</t>
        </is>
      </c>
      <c r="I37" s="24" t="n">
        <v>14.111234</v>
      </c>
      <c r="J37" s="24" t="n">
        <v>121.566892</v>
      </c>
      <c r="K37" s="23" t="inlineStr">
        <is>
          <t>U</t>
        </is>
      </c>
      <c r="L37" s="25" t="n">
        <v>3523</v>
      </c>
      <c r="M37" s="26" t="n">
        <v>3.8</v>
      </c>
      <c r="N37" s="25">
        <f>ROUND(L37/M37, 0)</f>
        <v/>
      </c>
      <c r="O37" s="25">
        <f>ROUND(N37*'Methodology &amp; Assumptions'!$B$7, 0)</f>
        <v/>
      </c>
      <c r="P37" s="23" t="inlineStr">
        <is>
          <t>Single Carrier (Band n50, 100MHz TDD)</t>
        </is>
      </c>
      <c r="Q37" s="27">
        <f>ROUNDUP(O37/'Methodology &amp; Assumptions'!$B$8, 0)</f>
        <v/>
      </c>
      <c r="R37" s="27" t="n">
        <v>1</v>
      </c>
      <c r="S37" s="26" t="n">
        <v>0.98</v>
      </c>
      <c r="T37" s="26" t="n">
        <v>0.25</v>
      </c>
      <c r="U37" s="11">
        <f>IF(S37&lt;='Methodology &amp; Assumptions'!$B$10, "Direct Optical Drop (&lt;3km)", IF(S37&lt;='Methodology &amp; Assumptions'!$B$9, "Near Optical / Microwave (&lt;5km)", "Starlink Business LEO Satellite Backhaul (&gt;5km)"))</f>
        <v/>
      </c>
      <c r="V37" s="26" t="n">
        <v>77.70999999999999</v>
      </c>
      <c r="W37" s="26" t="n">
        <v>42.64</v>
      </c>
      <c r="X37" s="26">
        <f>ROUND(('Methodology &amp; Assumptions'!$B$5*V37) + ('Methodology &amp; Assumptions'!$B$6*W37), 2)</f>
        <v/>
      </c>
      <c r="Y37" s="28" t="n">
        <v>7.2</v>
      </c>
      <c r="Z37" s="11" t="inlineStr">
        <is>
          <t>Priority Tier 2 (Balanced Opportunity)</t>
        </is>
      </c>
    </row>
    <row r="38">
      <c r="A38" s="23" t="n">
        <v>4</v>
      </c>
      <c r="B38" s="23" t="n">
        <v>34</v>
      </c>
      <c r="C38" s="23" t="n">
        <v>3034</v>
      </c>
      <c r="D38" s="23" t="inlineStr">
        <is>
          <t>1380614042</t>
        </is>
      </c>
      <c r="E38" s="11" t="inlineStr">
        <is>
          <t>National Capital Region (NCR)</t>
        </is>
      </c>
      <c r="F38" s="11" t="inlineStr">
        <is>
          <t>First District (Not a Province)</t>
        </is>
      </c>
      <c r="G38" s="11" t="inlineStr">
        <is>
          <t>City of Manila</t>
        </is>
      </c>
      <c r="H38" s="11" t="inlineStr">
        <is>
          <t>Barangay 786</t>
        </is>
      </c>
      <c r="I38" s="24" t="n">
        <v>14.575248</v>
      </c>
      <c r="J38" s="24" t="n">
        <v>121.002947</v>
      </c>
      <c r="K38" s="23" t="inlineStr">
        <is>
          <t>U</t>
        </is>
      </c>
      <c r="L38" s="25" t="n">
        <v>1476</v>
      </c>
      <c r="M38" s="26" t="n">
        <v>4.22</v>
      </c>
      <c r="N38" s="25">
        <f>ROUND(L38/M38, 0)</f>
        <v/>
      </c>
      <c r="O38" s="25">
        <f>ROUND(N38*'Methodology &amp; Assumptions'!$B$7, 0)</f>
        <v/>
      </c>
      <c r="P38" s="23" t="inlineStr">
        <is>
          <t>Single Carrier (Band n50, 100MHz TDD)</t>
        </is>
      </c>
      <c r="Q38" s="27">
        <f>ROUNDUP(O38/'Methodology &amp; Assumptions'!$B$8, 0)</f>
        <v/>
      </c>
      <c r="R38" s="27" t="n">
        <v>1</v>
      </c>
      <c r="S38" s="26" t="n">
        <v>1</v>
      </c>
      <c r="T38" s="26" t="n">
        <v>0.61</v>
      </c>
      <c r="U38" s="11">
        <f>IF(S38&lt;='Methodology &amp; Assumptions'!$B$10, "Direct Optical Drop (&lt;3km)", IF(S38&lt;='Methodology &amp; Assumptions'!$B$9, "Near Optical / Microwave (&lt;5km)", "Starlink Business LEO Satellite Backhaul (&gt;5km)"))</f>
        <v/>
      </c>
      <c r="V38" s="26" t="n">
        <v>51.71</v>
      </c>
      <c r="W38" s="26" t="n">
        <v>68.65000000000001</v>
      </c>
      <c r="X38" s="26">
        <f>ROUND(('Methodology &amp; Assumptions'!$B$5*V38) + ('Methodology &amp; Assumptions'!$B$6*W38), 2)</f>
        <v/>
      </c>
      <c r="Y38" s="28" t="n">
        <v>10.9</v>
      </c>
      <c r="Z38" s="11" t="inlineStr">
        <is>
          <t>Priority Tier 2 (Balanced Opportunity)</t>
        </is>
      </c>
    </row>
    <row r="39">
      <c r="A39" s="23" t="n">
        <v>4</v>
      </c>
      <c r="B39" s="23" t="n">
        <v>35</v>
      </c>
      <c r="C39" s="23" t="n">
        <v>3035</v>
      </c>
      <c r="D39" s="23" t="inlineStr">
        <is>
          <t>0306905054</t>
        </is>
      </c>
      <c r="E39" s="11" t="inlineStr">
        <is>
          <t>Region III (Central Luzon)</t>
        </is>
      </c>
      <c r="F39" s="11" t="inlineStr">
        <is>
          <t>Tarlac</t>
        </is>
      </c>
      <c r="G39" s="11" t="inlineStr">
        <is>
          <t>Concepcion</t>
        </is>
      </c>
      <c r="H39" s="11" t="inlineStr">
        <is>
          <t>San Vicente</t>
        </is>
      </c>
      <c r="I39" s="24" t="n">
        <v>15.476191</v>
      </c>
      <c r="J39" s="24" t="n">
        <v>120.586771</v>
      </c>
      <c r="K39" s="23" t="inlineStr">
        <is>
          <t>R</t>
        </is>
      </c>
      <c r="L39" s="25" t="n">
        <v>2335</v>
      </c>
      <c r="M39" s="26" t="n">
        <v>3.9</v>
      </c>
      <c r="N39" s="25">
        <f>ROUND(L39/M39, 0)</f>
        <v/>
      </c>
      <c r="O39" s="25">
        <f>ROUND(N39*'Methodology &amp; Assumptions'!$B$7, 0)</f>
        <v/>
      </c>
      <c r="P39" s="23" t="inlineStr">
        <is>
          <t>Single Carrier (Band n50, 100MHz TDD)</t>
        </is>
      </c>
      <c r="Q39" s="27">
        <f>ROUNDUP(O39/'Methodology &amp; Assumptions'!$B$8, 0)</f>
        <v/>
      </c>
      <c r="R39" s="27" t="n">
        <v>1</v>
      </c>
      <c r="S39" s="26" t="n">
        <v>2.75</v>
      </c>
      <c r="T39" s="26" t="n">
        <v>0.13</v>
      </c>
      <c r="U39" s="11">
        <f>IF(S39&lt;='Methodology &amp; Assumptions'!$B$10, "Direct Optical Drop (&lt;3km)", IF(S39&lt;='Methodology &amp; Assumptions'!$B$9, "Near Optical / Microwave (&lt;5km)", "Starlink Business LEO Satellite Backhaul (&gt;5km)"))</f>
        <v/>
      </c>
      <c r="V39" s="26" t="n">
        <v>71.84</v>
      </c>
      <c r="W39" s="26" t="n">
        <v>48.49</v>
      </c>
      <c r="X39" s="26">
        <f>ROUND(('Methodology &amp; Assumptions'!$B$5*V39) + ('Methodology &amp; Assumptions'!$B$6*W39), 2)</f>
        <v/>
      </c>
      <c r="Y39" s="28" t="n">
        <v>8.300000000000001</v>
      </c>
      <c r="Z39" s="11" t="inlineStr">
        <is>
          <t>Priority Tier 2 (Balanced Opportunity)</t>
        </is>
      </c>
    </row>
    <row r="40">
      <c r="A40" s="23" t="n">
        <v>4</v>
      </c>
      <c r="B40" s="23" t="n">
        <v>36</v>
      </c>
      <c r="C40" s="23" t="n">
        <v>3036</v>
      </c>
      <c r="D40" s="23" t="inlineStr">
        <is>
          <t>0205005012</t>
        </is>
      </c>
      <c r="E40" s="11" t="inlineStr">
        <is>
          <t>Region II (Cagayan Valley)</t>
        </is>
      </c>
      <c r="F40" s="11" t="inlineStr">
        <is>
          <t>Nueva Vizcaya</t>
        </is>
      </c>
      <c r="G40" s="11" t="inlineStr">
        <is>
          <t>Bayombong</t>
        </is>
      </c>
      <c r="H40" s="11" t="inlineStr">
        <is>
          <t>Paitan</t>
        </is>
      </c>
      <c r="I40" s="24" t="n">
        <v>16.461889</v>
      </c>
      <c r="J40" s="24" t="n">
        <v>121.165312</v>
      </c>
      <c r="K40" s="23" t="inlineStr">
        <is>
          <t>R</t>
        </is>
      </c>
      <c r="L40" s="25" t="n">
        <v>2829</v>
      </c>
      <c r="M40" s="26" t="n">
        <v>3.8</v>
      </c>
      <c r="N40" s="25">
        <f>ROUND(L40/M40, 0)</f>
        <v/>
      </c>
      <c r="O40" s="25">
        <f>ROUND(N40*'Methodology &amp; Assumptions'!$B$7, 0)</f>
        <v/>
      </c>
      <c r="P40" s="23" t="inlineStr">
        <is>
          <t>Single Carrier (Band n50, 100MHz TDD)</t>
        </is>
      </c>
      <c r="Q40" s="27">
        <f>ROUNDUP(O40/'Methodology &amp; Assumptions'!$B$8, 0)</f>
        <v/>
      </c>
      <c r="R40" s="27" t="n">
        <v>1</v>
      </c>
      <c r="S40" s="26" t="n">
        <v>3.47</v>
      </c>
      <c r="T40" s="26" t="n">
        <v>3.33</v>
      </c>
      <c r="U40" s="11">
        <f>IF(S40&lt;='Methodology &amp; Assumptions'!$B$10, "Direct Optical Drop (&lt;3km)", IF(S40&lt;='Methodology &amp; Assumptions'!$B$9, "Near Optical / Microwave (&lt;5km)", "Starlink Business LEO Satellite Backhaul (&gt;5km)"))</f>
        <v/>
      </c>
      <c r="V40" s="26" t="n">
        <v>71.16</v>
      </c>
      <c r="W40" s="26" t="n">
        <v>49.17</v>
      </c>
      <c r="X40" s="26">
        <f>ROUND(('Methodology &amp; Assumptions'!$B$5*V40) + ('Methodology &amp; Assumptions'!$B$6*W40), 2)</f>
        <v/>
      </c>
      <c r="Y40" s="28" t="n">
        <v>8.300000000000001</v>
      </c>
      <c r="Z40" s="11" t="inlineStr">
        <is>
          <t>Priority Tier 2 (Balanced Opportunity)</t>
        </is>
      </c>
    </row>
    <row r="41">
      <c r="A41" s="23" t="n">
        <v>4</v>
      </c>
      <c r="B41" s="23" t="n">
        <v>37</v>
      </c>
      <c r="C41" s="23" t="n">
        <v>3037</v>
      </c>
      <c r="D41" s="23" t="inlineStr">
        <is>
          <t>0601901015</t>
        </is>
      </c>
      <c r="E41" s="11" t="inlineStr">
        <is>
          <t>Region VI (Western Visayas)</t>
        </is>
      </c>
      <c r="F41" s="11" t="inlineStr">
        <is>
          <t>Capiz</t>
        </is>
      </c>
      <c r="G41" s="11" t="inlineStr">
        <is>
          <t>Cuartero</t>
        </is>
      </c>
      <c r="H41" s="11" t="inlineStr">
        <is>
          <t>Malagab-i</t>
        </is>
      </c>
      <c r="I41" s="24" t="n">
        <v>11.31503</v>
      </c>
      <c r="J41" s="24" t="n">
        <v>122.699435</v>
      </c>
      <c r="K41" s="23" t="inlineStr">
        <is>
          <t>R</t>
        </is>
      </c>
      <c r="L41" s="25" t="n">
        <v>1776</v>
      </c>
      <c r="M41" s="26" t="n">
        <v>3.8</v>
      </c>
      <c r="N41" s="25">
        <f>ROUND(L41/M41, 0)</f>
        <v/>
      </c>
      <c r="O41" s="25">
        <f>ROUND(N41*'Methodology &amp; Assumptions'!$B$7, 0)</f>
        <v/>
      </c>
      <c r="P41" s="23" t="inlineStr">
        <is>
          <t>Single Carrier (Band n50, 100MHz TDD)</t>
        </is>
      </c>
      <c r="Q41" s="27">
        <f>ROUNDUP(O41/'Methodology &amp; Assumptions'!$B$8, 0)</f>
        <v/>
      </c>
      <c r="R41" s="27" t="n">
        <v>1</v>
      </c>
      <c r="S41" s="26" t="n">
        <v>6.94</v>
      </c>
      <c r="T41" s="26" t="n">
        <v>3.21</v>
      </c>
      <c r="U41" s="11">
        <f>IF(S41&lt;='Methodology &amp; Assumptions'!$B$10, "Direct Optical Drop (&lt;3km)", IF(S41&lt;='Methodology &amp; Assumptions'!$B$9, "Near Optical / Microwave (&lt;5km)", "Starlink Business LEO Satellite Backhaul (&gt;5km)"))</f>
        <v/>
      </c>
      <c r="V41" s="26" t="n">
        <v>57.88</v>
      </c>
      <c r="W41" s="26" t="n">
        <v>62.46</v>
      </c>
      <c r="X41" s="26">
        <f>ROUND(('Methodology &amp; Assumptions'!$B$5*V41) + ('Methodology &amp; Assumptions'!$B$6*W41), 2)</f>
        <v/>
      </c>
      <c r="Y41" s="28" t="n">
        <v>23.7</v>
      </c>
      <c r="Z41" s="11" t="inlineStr">
        <is>
          <t>Priority Tier 2 (Balanced Opportunity)</t>
        </is>
      </c>
    </row>
    <row r="42">
      <c r="A42" s="23" t="n">
        <v>4</v>
      </c>
      <c r="B42" s="23" t="n">
        <v>38</v>
      </c>
      <c r="C42" s="23" t="n">
        <v>3038</v>
      </c>
      <c r="D42" s="23" t="inlineStr">
        <is>
          <t>1381300059</t>
        </is>
      </c>
      <c r="E42" s="11" t="inlineStr">
        <is>
          <t>National Capital Region (NCR)</t>
        </is>
      </c>
      <c r="F42" s="11" t="inlineStr">
        <is>
          <t>Second District (Not a Province)</t>
        </is>
      </c>
      <c r="G42" s="11" t="inlineStr">
        <is>
          <t>Quezon City</t>
        </is>
      </c>
      <c r="H42" s="11" t="inlineStr">
        <is>
          <t>Mangga</t>
        </is>
      </c>
      <c r="I42" s="24" t="n">
        <v>14.62377</v>
      </c>
      <c r="J42" s="24" t="n">
        <v>121.062</v>
      </c>
      <c r="K42" s="23" t="inlineStr">
        <is>
          <t>U</t>
        </is>
      </c>
      <c r="L42" s="25" t="n">
        <v>916</v>
      </c>
      <c r="M42" s="26" t="n">
        <v>3.38</v>
      </c>
      <c r="N42" s="25">
        <f>ROUND(L42/M42, 0)</f>
        <v/>
      </c>
      <c r="O42" s="25">
        <f>ROUND(N42*'Methodology &amp; Assumptions'!$B$7, 0)</f>
        <v/>
      </c>
      <c r="P42" s="23" t="inlineStr">
        <is>
          <t>Single Carrier (Band n50, 100MHz TDD)</t>
        </is>
      </c>
      <c r="Q42" s="27">
        <f>ROUNDUP(O42/'Methodology &amp; Assumptions'!$B$8, 0)</f>
        <v/>
      </c>
      <c r="R42" s="27" t="n">
        <v>1</v>
      </c>
      <c r="S42" s="26" t="n">
        <v>0.63</v>
      </c>
      <c r="T42" s="26" t="n">
        <v>0.29</v>
      </c>
      <c r="U42" s="11">
        <f>IF(S42&lt;='Methodology &amp; Assumptions'!$B$10, "Direct Optical Drop (&lt;3km)", IF(S42&lt;='Methodology &amp; Assumptions'!$B$9, "Near Optical / Microwave (&lt;5km)", "Starlink Business LEO Satellite Backhaul (&gt;5km)"))</f>
        <v/>
      </c>
      <c r="V42" s="26" t="n">
        <v>49.77</v>
      </c>
      <c r="W42" s="26" t="n">
        <v>70.58</v>
      </c>
      <c r="X42" s="26">
        <f>ROUND(('Methodology &amp; Assumptions'!$B$5*V42) + ('Methodology &amp; Assumptions'!$B$6*W42), 2)</f>
        <v/>
      </c>
      <c r="Y42" s="28" t="n">
        <v>10.9</v>
      </c>
      <c r="Z42" s="11" t="inlineStr">
        <is>
          <t>Priority Tier 2 (Balanced Opportunity)</t>
        </is>
      </c>
    </row>
    <row r="43">
      <c r="A43" s="23" t="n">
        <v>4</v>
      </c>
      <c r="B43" s="23" t="n">
        <v>39</v>
      </c>
      <c r="C43" s="23" t="n">
        <v>3039</v>
      </c>
      <c r="D43" s="23" t="inlineStr">
        <is>
          <t>0501727013</t>
        </is>
      </c>
      <c r="E43" s="11" t="inlineStr">
        <is>
          <t>Region V (Bicol Region)</t>
        </is>
      </c>
      <c r="F43" s="11" t="inlineStr">
        <is>
          <t>Camarines Sur</t>
        </is>
      </c>
      <c r="G43" s="11" t="inlineStr">
        <is>
          <t>Pasacao</t>
        </is>
      </c>
      <c r="H43" s="11" t="inlineStr">
        <is>
          <t>Salvacion</t>
        </is>
      </c>
      <c r="I43" s="24" t="n">
        <v>13.598297</v>
      </c>
      <c r="J43" s="24" t="n">
        <v>122.940949</v>
      </c>
      <c r="K43" s="23" t="inlineStr">
        <is>
          <t>R</t>
        </is>
      </c>
      <c r="L43" s="25" t="n">
        <v>993</v>
      </c>
      <c r="M43" s="26" t="n">
        <v>4.2</v>
      </c>
      <c r="N43" s="25">
        <f>ROUND(L43/M43, 0)</f>
        <v/>
      </c>
      <c r="O43" s="25">
        <f>ROUND(N43*'Methodology &amp; Assumptions'!$B$7, 0)</f>
        <v/>
      </c>
      <c r="P43" s="23" t="inlineStr">
        <is>
          <t>Single Carrier (Band n50, 100MHz TDD)</t>
        </is>
      </c>
      <c r="Q43" s="27">
        <f>ROUNDUP(O43/'Methodology &amp; Assumptions'!$B$8, 0)</f>
        <v/>
      </c>
      <c r="R43" s="27" t="n">
        <v>1</v>
      </c>
      <c r="S43" s="26" t="n">
        <v>10.89</v>
      </c>
      <c r="T43" s="26" t="n">
        <v>12.43</v>
      </c>
      <c r="U43" s="11">
        <f>IF(S43&lt;='Methodology &amp; Assumptions'!$B$10, "Direct Optical Drop (&lt;3km)", IF(S43&lt;='Methodology &amp; Assumptions'!$B$9, "Near Optical / Microwave (&lt;5km)", "Starlink Business LEO Satellite Backhaul (&gt;5km)"))</f>
        <v/>
      </c>
      <c r="V43" s="26" t="n">
        <v>47.13</v>
      </c>
      <c r="W43" s="26" t="n">
        <v>73.20999999999999</v>
      </c>
      <c r="X43" s="26">
        <f>ROUND(('Methodology &amp; Assumptions'!$B$5*V43) + ('Methodology &amp; Assumptions'!$B$6*W43), 2)</f>
        <v/>
      </c>
      <c r="Y43" s="28" t="n">
        <v>23.7</v>
      </c>
      <c r="Z43" s="11" t="inlineStr">
        <is>
          <t>Priority Tier 2 (Balanced Opportunity)</t>
        </is>
      </c>
    </row>
    <row r="44">
      <c r="A44" s="23" t="n">
        <v>4</v>
      </c>
      <c r="B44" s="23" t="n">
        <v>40</v>
      </c>
      <c r="C44" s="23" t="n">
        <v>3040</v>
      </c>
      <c r="D44" s="23" t="inlineStr">
        <is>
          <t>1003514011</t>
        </is>
      </c>
      <c r="E44" s="11" t="inlineStr">
        <is>
          <t>Region X (Northern Mindanao)</t>
        </is>
      </c>
      <c r="F44" s="11" t="inlineStr">
        <is>
          <t>Lanao del Norte</t>
        </is>
      </c>
      <c r="G44" s="11" t="inlineStr">
        <is>
          <t>Munai</t>
        </is>
      </c>
      <c r="H44" s="11" t="inlineStr">
        <is>
          <t>Lindongan</t>
        </is>
      </c>
      <c r="I44" s="24" t="n">
        <v>8.0039</v>
      </c>
      <c r="J44" s="24" t="n">
        <v>124.0167</v>
      </c>
      <c r="K44" s="23" t="inlineStr">
        <is>
          <t>R</t>
        </is>
      </c>
      <c r="L44" s="25" t="n">
        <v>1280</v>
      </c>
      <c r="M44" s="26" t="n">
        <v>4.2</v>
      </c>
      <c r="N44" s="25">
        <f>ROUND(L44/M44, 0)</f>
        <v/>
      </c>
      <c r="O44" s="25">
        <f>ROUND(N44*'Methodology &amp; Assumptions'!$B$7, 0)</f>
        <v/>
      </c>
      <c r="P44" s="23" t="inlineStr">
        <is>
          <t>Single Carrier (Band n50, 100MHz TDD)</t>
        </is>
      </c>
      <c r="Q44" s="27">
        <f>ROUNDUP(O44/'Methodology &amp; Assumptions'!$B$8, 0)</f>
        <v/>
      </c>
      <c r="R44" s="27" t="n">
        <v>1</v>
      </c>
      <c r="S44" s="26" t="n">
        <v>24.34</v>
      </c>
      <c r="T44" s="26" t="n">
        <v>17.09</v>
      </c>
      <c r="U44" s="11">
        <f>IF(S44&lt;='Methodology &amp; Assumptions'!$B$10, "Direct Optical Drop (&lt;3km)", IF(S44&lt;='Methodology &amp; Assumptions'!$B$9, "Near Optical / Microwave (&lt;5km)", "Starlink Business LEO Satellite Backhaul (&gt;5km)"))</f>
        <v/>
      </c>
      <c r="V44" s="26" t="n">
        <v>44.8</v>
      </c>
      <c r="W44" s="26" t="n">
        <v>75.54000000000001</v>
      </c>
      <c r="X44" s="26">
        <f>ROUND(('Methodology &amp; Assumptions'!$B$5*V44) + ('Methodology &amp; Assumptions'!$B$6*W44), 2)</f>
        <v/>
      </c>
      <c r="Y44" s="28" t="n">
        <v>17.4</v>
      </c>
      <c r="Z44" s="11" t="inlineStr">
        <is>
          <t>Priority Tier 2 (Balanced Opportunity)</t>
        </is>
      </c>
    </row>
    <row r="45">
      <c r="A45" s="23" t="n">
        <v>4</v>
      </c>
      <c r="B45" s="23" t="n">
        <v>41</v>
      </c>
      <c r="C45" s="23" t="n">
        <v>3041</v>
      </c>
      <c r="D45" s="23" t="inlineStr">
        <is>
          <t>0704603006</t>
        </is>
      </c>
      <c r="E45" s="11" t="inlineStr">
        <is>
          <t>Region VII (Central Visayas)</t>
        </is>
      </c>
      <c r="F45" s="11" t="inlineStr">
        <is>
          <t>Negros Oriental</t>
        </is>
      </c>
      <c r="G45" s="11" t="inlineStr">
        <is>
          <t>Bacong</t>
        </is>
      </c>
      <c r="H45" s="11" t="inlineStr">
        <is>
          <t>Combado</t>
        </is>
      </c>
      <c r="I45" s="24" t="n">
        <v>9.251412</v>
      </c>
      <c r="J45" s="24" t="n">
        <v>123.2858</v>
      </c>
      <c r="K45" s="23" t="inlineStr">
        <is>
          <t>R</t>
        </is>
      </c>
      <c r="L45" s="25" t="n">
        <v>3914</v>
      </c>
      <c r="M45" s="26" t="n">
        <v>3.8</v>
      </c>
      <c r="N45" s="25">
        <f>ROUND(L45/M45, 0)</f>
        <v/>
      </c>
      <c r="O45" s="25">
        <f>ROUND(N45*'Methodology &amp; Assumptions'!$B$7, 0)</f>
        <v/>
      </c>
      <c r="P45" s="23" t="inlineStr">
        <is>
          <t>Single Carrier (Band n50, 100MHz TDD)</t>
        </is>
      </c>
      <c r="Q45" s="27">
        <f>ROUNDUP(O45/'Methodology &amp; Assumptions'!$B$8, 0)</f>
        <v/>
      </c>
      <c r="R45" s="27" t="n">
        <v>1</v>
      </c>
      <c r="S45" s="26" t="n">
        <v>0.44</v>
      </c>
      <c r="T45" s="26" t="n">
        <v>0.43</v>
      </c>
      <c r="U45" s="11">
        <f>IF(S45&lt;='Methodology &amp; Assumptions'!$B$10, "Direct Optical Drop (&lt;3km)", IF(S45&lt;='Methodology &amp; Assumptions'!$B$9, "Near Optical / Microwave (&lt;5km)", "Starlink Business LEO Satellite Backhaul (&gt;5km)"))</f>
        <v/>
      </c>
      <c r="V45" s="26" t="n">
        <v>88.06</v>
      </c>
      <c r="W45" s="26" t="n">
        <v>32.26</v>
      </c>
      <c r="X45" s="26">
        <f>ROUND(('Methodology &amp; Assumptions'!$B$5*V45) + ('Methodology &amp; Assumptions'!$B$6*W45), 2)</f>
        <v/>
      </c>
      <c r="Y45" s="28" t="n">
        <v>23.7</v>
      </c>
      <c r="Z45" s="11" t="inlineStr">
        <is>
          <t>Priority Tier 2 (Balanced Opportunity)</t>
        </is>
      </c>
    </row>
    <row r="46">
      <c r="A46" s="23" t="n">
        <v>4</v>
      </c>
      <c r="B46" s="23" t="n">
        <v>42</v>
      </c>
      <c r="C46" s="23" t="n">
        <v>3042</v>
      </c>
      <c r="D46" s="23" t="inlineStr">
        <is>
          <t>0105521010</t>
        </is>
      </c>
      <c r="E46" s="11" t="inlineStr">
        <is>
          <t>Region I (Ilocos Region)</t>
        </is>
      </c>
      <c r="F46" s="11" t="inlineStr">
        <is>
          <t>Pangasinan</t>
        </is>
      </c>
      <c r="G46" s="11" t="inlineStr">
        <is>
          <t>Labrador</t>
        </is>
      </c>
      <c r="H46" s="11" t="inlineStr">
        <is>
          <t>Uyong</t>
        </is>
      </c>
      <c r="I46" s="24" t="n">
        <v>16.04999</v>
      </c>
      <c r="J46" s="24" t="n">
        <v>120.1193</v>
      </c>
      <c r="K46" s="23" t="inlineStr">
        <is>
          <t>R</t>
        </is>
      </c>
      <c r="L46" s="25" t="n">
        <v>2852</v>
      </c>
      <c r="M46" s="26" t="n">
        <v>3.6</v>
      </c>
      <c r="N46" s="25">
        <f>ROUND(L46/M46, 0)</f>
        <v/>
      </c>
      <c r="O46" s="25">
        <f>ROUND(N46*'Methodology &amp; Assumptions'!$B$7, 0)</f>
        <v/>
      </c>
      <c r="P46" s="23" t="inlineStr">
        <is>
          <t>Single Carrier (Band n50, 100MHz TDD)</t>
        </is>
      </c>
      <c r="Q46" s="27">
        <f>ROUNDUP(O46/'Methodology &amp; Assumptions'!$B$8, 0)</f>
        <v/>
      </c>
      <c r="R46" s="27" t="n">
        <v>1</v>
      </c>
      <c r="S46" s="26" t="n">
        <v>0.2</v>
      </c>
      <c r="T46" s="26" t="n">
        <v>0.21</v>
      </c>
      <c r="U46" s="11">
        <f>IF(S46&lt;='Methodology &amp; Assumptions'!$B$10, "Direct Optical Drop (&lt;3km)", IF(S46&lt;='Methodology &amp; Assumptions'!$B$9, "Near Optical / Microwave (&lt;5km)", "Starlink Business LEO Satellite Backhaul (&gt;5km)"))</f>
        <v/>
      </c>
      <c r="V46" s="26" t="n">
        <v>84.8</v>
      </c>
      <c r="W46" s="26" t="n">
        <v>35.52</v>
      </c>
      <c r="X46" s="26">
        <f>ROUND(('Methodology &amp; Assumptions'!$B$5*V46) + ('Methodology &amp; Assumptions'!$B$6*W46), 2)</f>
        <v/>
      </c>
      <c r="Y46" s="28" t="n">
        <v>8.300000000000001</v>
      </c>
      <c r="Z46" s="11" t="inlineStr">
        <is>
          <t>Priority Tier 2 (Balanced Opportunity)</t>
        </is>
      </c>
    </row>
    <row r="47">
      <c r="A47" s="23" t="n">
        <v>4</v>
      </c>
      <c r="B47" s="23" t="n">
        <v>43</v>
      </c>
      <c r="C47" s="23" t="n">
        <v>3043</v>
      </c>
      <c r="D47" s="23" t="inlineStr">
        <is>
          <t>0504111025</t>
        </is>
      </c>
      <c r="E47" s="11" t="inlineStr">
        <is>
          <t>Region V (Bicol Region)</t>
        </is>
      </c>
      <c r="F47" s="11" t="inlineStr">
        <is>
          <t>Masbate</t>
        </is>
      </c>
      <c r="G47" s="11" t="inlineStr">
        <is>
          <t>City of Masbate</t>
        </is>
      </c>
      <c r="H47" s="11" t="inlineStr">
        <is>
          <t>Pating</t>
        </is>
      </c>
      <c r="I47" s="24" t="n">
        <v>12.367027</v>
      </c>
      <c r="J47" s="24" t="n">
        <v>123.619675</v>
      </c>
      <c r="K47" s="23" t="inlineStr">
        <is>
          <t>U</t>
        </is>
      </c>
      <c r="L47" s="25" t="n">
        <v>3900</v>
      </c>
      <c r="M47" s="26" t="n">
        <v>4.1</v>
      </c>
      <c r="N47" s="25">
        <f>ROUND(L47/M47, 0)</f>
        <v/>
      </c>
      <c r="O47" s="25">
        <f>ROUND(N47*'Methodology &amp; Assumptions'!$B$7, 0)</f>
        <v/>
      </c>
      <c r="P47" s="23" t="inlineStr">
        <is>
          <t>Single Carrier (Band n50, 100MHz TDD)</t>
        </is>
      </c>
      <c r="Q47" s="27">
        <f>ROUNDUP(O47/'Methodology &amp; Assumptions'!$B$8, 0)</f>
        <v/>
      </c>
      <c r="R47" s="27" t="n">
        <v>1</v>
      </c>
      <c r="S47" s="26" t="n">
        <v>1.1</v>
      </c>
      <c r="T47" s="26" t="n">
        <v>0.54</v>
      </c>
      <c r="U47" s="11">
        <f>IF(S47&lt;='Methodology &amp; Assumptions'!$B$10, "Direct Optical Drop (&lt;3km)", IF(S47&lt;='Methodology &amp; Assumptions'!$B$9, "Near Optical / Microwave (&lt;5km)", "Starlink Business LEO Satellite Backhaul (&gt;5km)"))</f>
        <v/>
      </c>
      <c r="V47" s="26" t="n">
        <v>79.84999999999999</v>
      </c>
      <c r="W47" s="26" t="n">
        <v>40.47</v>
      </c>
      <c r="X47" s="26">
        <f>ROUND(('Methodology &amp; Assumptions'!$B$5*V47) + ('Methodology &amp; Assumptions'!$B$6*W47), 2)</f>
        <v/>
      </c>
      <c r="Y47" s="28" t="n">
        <v>23.7</v>
      </c>
      <c r="Z47" s="11" t="inlineStr">
        <is>
          <t>Priority Tier 2 (Balanced Opportunity)</t>
        </is>
      </c>
    </row>
    <row r="48">
      <c r="A48" s="23" t="n">
        <v>4</v>
      </c>
      <c r="B48" s="23" t="n">
        <v>44</v>
      </c>
      <c r="C48" s="23" t="n">
        <v>3044</v>
      </c>
      <c r="D48" s="23" t="inlineStr">
        <is>
          <t>0306916068</t>
        </is>
      </c>
      <c r="E48" s="11" t="inlineStr">
        <is>
          <t>Region III (Central Luzon)</t>
        </is>
      </c>
      <c r="F48" s="11" t="inlineStr">
        <is>
          <t>Tarlac</t>
        </is>
      </c>
      <c r="G48" s="11" t="inlineStr">
        <is>
          <t>City of Tarlac</t>
        </is>
      </c>
      <c r="H48" s="11" t="inlineStr">
        <is>
          <t>San Miguel</t>
        </is>
      </c>
      <c r="I48" s="24" t="n">
        <v>15.432481</v>
      </c>
      <c r="J48" s="24" t="n">
        <v>120.597389</v>
      </c>
      <c r="K48" s="23" t="inlineStr">
        <is>
          <t>U</t>
        </is>
      </c>
      <c r="L48" s="25" t="n">
        <v>8881</v>
      </c>
      <c r="M48" s="26" t="n">
        <v>3.9</v>
      </c>
      <c r="N48" s="25">
        <f>ROUND(L48/M48, 0)</f>
        <v/>
      </c>
      <c r="O48" s="25">
        <f>ROUND(N48*'Methodology &amp; Assumptions'!$B$7, 0)</f>
        <v/>
      </c>
      <c r="P48" s="23" t="inlineStr">
        <is>
          <t>Single Carrier (Band n50, 100MHz TDD)</t>
        </is>
      </c>
      <c r="Q48" s="27">
        <f>ROUNDUP(O48/'Methodology &amp; Assumptions'!$B$8, 0)</f>
        <v/>
      </c>
      <c r="R48" s="27" t="n">
        <v>1</v>
      </c>
      <c r="S48" s="26" t="n">
        <v>1.46</v>
      </c>
      <c r="T48" s="26" t="n">
        <v>0.1</v>
      </c>
      <c r="U48" s="11">
        <f>IF(S48&lt;='Methodology &amp; Assumptions'!$B$10, "Direct Optical Drop (&lt;3km)", IF(S48&lt;='Methodology &amp; Assumptions'!$B$9, "Near Optical / Microwave (&lt;5km)", "Starlink Business LEO Satellite Backhaul (&gt;5km)"))</f>
        <v/>
      </c>
      <c r="V48" s="26" t="n">
        <v>76.08</v>
      </c>
      <c r="W48" s="26" t="n">
        <v>44.23</v>
      </c>
      <c r="X48" s="26">
        <f>ROUND(('Methodology &amp; Assumptions'!$B$5*V48) + ('Methodology &amp; Assumptions'!$B$6*W48), 2)</f>
        <v/>
      </c>
      <c r="Y48" s="28" t="n">
        <v>8.300000000000001</v>
      </c>
      <c r="Z48" s="11" t="inlineStr">
        <is>
          <t>Priority Tier 2 (Balanced Opportunity)</t>
        </is>
      </c>
    </row>
    <row r="49">
      <c r="A49" s="23" t="n">
        <v>4</v>
      </c>
      <c r="B49" s="23" t="n">
        <v>45</v>
      </c>
      <c r="C49" s="23" t="n">
        <v>3045</v>
      </c>
      <c r="D49" s="23" t="inlineStr">
        <is>
          <t>1380611019</t>
        </is>
      </c>
      <c r="E49" s="11" t="inlineStr">
        <is>
          <t>National Capital Region (NCR)</t>
        </is>
      </c>
      <c r="F49" s="11" t="inlineStr">
        <is>
          <t>First District (Not a Province)</t>
        </is>
      </c>
      <c r="G49" s="11" t="inlineStr">
        <is>
          <t>City of Manila</t>
        </is>
      </c>
      <c r="H49" s="11" t="inlineStr">
        <is>
          <t>Barangay 685</t>
        </is>
      </c>
      <c r="I49" s="24" t="n">
        <v>14.577665</v>
      </c>
      <c r="J49" s="24" t="n">
        <v>120.996594</v>
      </c>
      <c r="K49" s="23" t="inlineStr">
        <is>
          <t>U</t>
        </is>
      </c>
      <c r="L49" s="25" t="n">
        <v>869</v>
      </c>
      <c r="M49" s="26" t="n">
        <v>3.25</v>
      </c>
      <c r="N49" s="25">
        <f>ROUND(L49/M49, 0)</f>
        <v/>
      </c>
      <c r="O49" s="25">
        <f>ROUND(N49*'Methodology &amp; Assumptions'!$B$7, 0)</f>
        <v/>
      </c>
      <c r="P49" s="23" t="inlineStr">
        <is>
          <t>Single Carrier (Band n50, 100MHz TDD)</t>
        </is>
      </c>
      <c r="Q49" s="27">
        <f>ROUNDUP(O49/'Methodology &amp; Assumptions'!$B$8, 0)</f>
        <v/>
      </c>
      <c r="R49" s="27" t="n">
        <v>1</v>
      </c>
      <c r="S49" s="26" t="n">
        <v>0.68</v>
      </c>
      <c r="T49" s="26" t="n">
        <v>0.09</v>
      </c>
      <c r="U49" s="11">
        <f>IF(S49&lt;='Methodology &amp; Assumptions'!$B$10, "Direct Optical Drop (&lt;3km)", IF(S49&lt;='Methodology &amp; Assumptions'!$B$9, "Near Optical / Microwave (&lt;5km)", "Starlink Business LEO Satellite Backhaul (&gt;5km)"))</f>
        <v/>
      </c>
      <c r="V49" s="26" t="n">
        <v>49.66</v>
      </c>
      <c r="W49" s="26" t="n">
        <v>70.66</v>
      </c>
      <c r="X49" s="26">
        <f>ROUND(('Methodology &amp; Assumptions'!$B$5*V49) + ('Methodology &amp; Assumptions'!$B$6*W49), 2)</f>
        <v/>
      </c>
      <c r="Y49" s="28" t="n">
        <v>10.9</v>
      </c>
      <c r="Z49" s="11" t="inlineStr">
        <is>
          <t>Priority Tier 2 (Balanced Opportunity)</t>
        </is>
      </c>
    </row>
    <row r="50">
      <c r="A50" s="23" t="n">
        <v>4</v>
      </c>
      <c r="B50" s="23" t="n">
        <v>46</v>
      </c>
      <c r="C50" s="23" t="n">
        <v>3046</v>
      </c>
      <c r="D50" s="23" t="inlineStr">
        <is>
          <t>1208007022</t>
        </is>
      </c>
      <c r="E50" s="11" t="inlineStr">
        <is>
          <t>Region XII (SOCCSKSARGEN)</t>
        </is>
      </c>
      <c r="F50" s="11" t="inlineStr">
        <is>
          <t>Sarangani</t>
        </is>
      </c>
      <c r="G50" s="11" t="inlineStr">
        <is>
          <t>Malungon</t>
        </is>
      </c>
      <c r="H50" s="11" t="inlineStr">
        <is>
          <t>Panamin</t>
        </is>
      </c>
      <c r="I50" s="24" t="n">
        <v>6.332134</v>
      </c>
      <c r="J50" s="24" t="n">
        <v>125.401471</v>
      </c>
      <c r="K50" s="23" t="inlineStr">
        <is>
          <t>R</t>
        </is>
      </c>
      <c r="L50" s="25" t="n">
        <v>1683</v>
      </c>
      <c r="M50" s="26" t="n">
        <v>3.9</v>
      </c>
      <c r="N50" s="25">
        <f>ROUND(L50/M50, 0)</f>
        <v/>
      </c>
      <c r="O50" s="25">
        <f>ROUND(N50*'Methodology &amp; Assumptions'!$B$7, 0)</f>
        <v/>
      </c>
      <c r="P50" s="23" t="inlineStr">
        <is>
          <t>Single Carrier (Band n50, 100MHz TDD)</t>
        </is>
      </c>
      <c r="Q50" s="27">
        <f>ROUNDUP(O50/'Methodology &amp; Assumptions'!$B$8, 0)</f>
        <v/>
      </c>
      <c r="R50" s="27" t="n">
        <v>1</v>
      </c>
      <c r="S50" s="26" t="n">
        <v>16.65</v>
      </c>
      <c r="T50" s="26" t="n">
        <v>14.37</v>
      </c>
      <c r="U50" s="11">
        <f>IF(S50&lt;='Methodology &amp; Assumptions'!$B$10, "Direct Optical Drop (&lt;3km)", IF(S50&lt;='Methodology &amp; Assumptions'!$B$9, "Near Optical / Microwave (&lt;5km)", "Starlink Business LEO Satellite Backhaul (&gt;5km)"))</f>
        <v/>
      </c>
      <c r="V50" s="26" t="n">
        <v>48.76</v>
      </c>
      <c r="W50" s="26" t="n">
        <v>71.56</v>
      </c>
      <c r="X50" s="26">
        <f>ROUND(('Methodology &amp; Assumptions'!$B$5*V50) + ('Methodology &amp; Assumptions'!$B$6*W50), 2)</f>
        <v/>
      </c>
      <c r="Y50" s="28" t="n">
        <v>17.4</v>
      </c>
      <c r="Z50" s="11" t="inlineStr">
        <is>
          <t>Priority Tier 2 (Balanced Opportunity)</t>
        </is>
      </c>
    </row>
    <row r="51">
      <c r="A51" s="23" t="n">
        <v>4</v>
      </c>
      <c r="B51" s="23" t="n">
        <v>47</v>
      </c>
      <c r="C51" s="23" t="n">
        <v>3047</v>
      </c>
      <c r="D51" s="23" t="inlineStr">
        <is>
          <t>0306909016</t>
        </is>
      </c>
      <c r="E51" s="11" t="inlineStr">
        <is>
          <t>Region III (Central Luzon)</t>
        </is>
      </c>
      <c r="F51" s="11" t="inlineStr">
        <is>
          <t>Tarlac</t>
        </is>
      </c>
      <c r="G51" s="11" t="inlineStr">
        <is>
          <t>Moncada</t>
        </is>
      </c>
      <c r="H51" s="11" t="inlineStr">
        <is>
          <t>Capaoayan</t>
        </is>
      </c>
      <c r="I51" s="24" t="n">
        <v>15.730595</v>
      </c>
      <c r="J51" s="24" t="n">
        <v>120.56664</v>
      </c>
      <c r="K51" s="23" t="inlineStr">
        <is>
          <t>R</t>
        </is>
      </c>
      <c r="L51" s="25" t="n">
        <v>3371</v>
      </c>
      <c r="M51" s="26" t="n">
        <v>3.9</v>
      </c>
      <c r="N51" s="25">
        <f>ROUND(L51/M51, 0)</f>
        <v/>
      </c>
      <c r="O51" s="25">
        <f>ROUND(N51*'Methodology &amp; Assumptions'!$B$7, 0)</f>
        <v/>
      </c>
      <c r="P51" s="23" t="inlineStr">
        <is>
          <t>Single Carrier (Band n50, 100MHz TDD)</t>
        </is>
      </c>
      <c r="Q51" s="27">
        <f>ROUNDUP(O51/'Methodology &amp; Assumptions'!$B$8, 0)</f>
        <v/>
      </c>
      <c r="R51" s="27" t="n">
        <v>1</v>
      </c>
      <c r="S51" s="26" t="n">
        <v>1.17</v>
      </c>
      <c r="T51" s="26" t="n">
        <v>0.57</v>
      </c>
      <c r="U51" s="11">
        <f>IF(S51&lt;='Methodology &amp; Assumptions'!$B$10, "Direct Optical Drop (&lt;3km)", IF(S51&lt;='Methodology &amp; Assumptions'!$B$9, "Near Optical / Microwave (&lt;5km)", "Starlink Business LEO Satellite Backhaul (&gt;5km)"))</f>
        <v/>
      </c>
      <c r="V51" s="26" t="n">
        <v>84.38</v>
      </c>
      <c r="W51" s="26" t="n">
        <v>35.91</v>
      </c>
      <c r="X51" s="26">
        <f>ROUND(('Methodology &amp; Assumptions'!$B$5*V51) + ('Methodology &amp; Assumptions'!$B$6*W51), 2)</f>
        <v/>
      </c>
      <c r="Y51" s="28" t="n">
        <v>8.300000000000001</v>
      </c>
      <c r="Z51" s="11" t="inlineStr">
        <is>
          <t>Priority Tier 2 (Balanced Opportunity)</t>
        </is>
      </c>
    </row>
    <row r="52">
      <c r="A52" s="23" t="n">
        <v>4</v>
      </c>
      <c r="B52" s="23" t="n">
        <v>48</v>
      </c>
      <c r="C52" s="23" t="n">
        <v>3048</v>
      </c>
      <c r="D52" s="23" t="inlineStr">
        <is>
          <t>0304904013</t>
        </is>
      </c>
      <c r="E52" s="11" t="inlineStr">
        <is>
          <t>Region III (Central Luzon)</t>
        </is>
      </c>
      <c r="F52" s="11" t="inlineStr">
        <is>
          <t>Nueva Ecija</t>
        </is>
      </c>
      <c r="G52" s="11" t="inlineStr">
        <is>
          <t>Cabiao</t>
        </is>
      </c>
      <c r="H52" s="11" t="inlineStr">
        <is>
          <t>San Fernando Norte</t>
        </is>
      </c>
      <c r="I52" s="24" t="n">
        <v>15.27268</v>
      </c>
      <c r="J52" s="24" t="n">
        <v>120.8758</v>
      </c>
      <c r="K52" s="23" t="inlineStr">
        <is>
          <t>R</t>
        </is>
      </c>
      <c r="L52" s="25" t="n">
        <v>4166</v>
      </c>
      <c r="M52" s="26" t="n">
        <v>3.5</v>
      </c>
      <c r="N52" s="25">
        <f>ROUND(L52/M52, 0)</f>
        <v/>
      </c>
      <c r="O52" s="25">
        <f>ROUND(N52*'Methodology &amp; Assumptions'!$B$7, 0)</f>
        <v/>
      </c>
      <c r="P52" s="23" t="inlineStr">
        <is>
          <t>Single Carrier (Band n50, 100MHz TDD)</t>
        </is>
      </c>
      <c r="Q52" s="27">
        <f>ROUNDUP(O52/'Methodology &amp; Assumptions'!$B$8, 0)</f>
        <v/>
      </c>
      <c r="R52" s="27" t="n">
        <v>1</v>
      </c>
      <c r="S52" s="26" t="n">
        <v>1.47</v>
      </c>
      <c r="T52" s="26" t="n">
        <v>0.58</v>
      </c>
      <c r="U52" s="11">
        <f>IF(S52&lt;='Methodology &amp; Assumptions'!$B$10, "Direct Optical Drop (&lt;3km)", IF(S52&lt;='Methodology &amp; Assumptions'!$B$9, "Near Optical / Microwave (&lt;5km)", "Starlink Business LEO Satellite Backhaul (&gt;5km)"))</f>
        <v/>
      </c>
      <c r="V52" s="26" t="n">
        <v>83.23999999999999</v>
      </c>
      <c r="W52" s="26" t="n">
        <v>37.06</v>
      </c>
      <c r="X52" s="26">
        <f>ROUND(('Methodology &amp; Assumptions'!$B$5*V52) + ('Methodology &amp; Assumptions'!$B$6*W52), 2)</f>
        <v/>
      </c>
      <c r="Y52" s="28" t="n">
        <v>8.300000000000001</v>
      </c>
      <c r="Z52" s="11" t="inlineStr">
        <is>
          <t>Priority Tier 2 (Balanced Opportunity)</t>
        </is>
      </c>
    </row>
    <row r="53">
      <c r="A53" s="23" t="n">
        <v>4</v>
      </c>
      <c r="B53" s="23" t="n">
        <v>49</v>
      </c>
      <c r="C53" s="23" t="n">
        <v>3049</v>
      </c>
      <c r="D53" s="23" t="inlineStr">
        <is>
          <t>0304923002</t>
        </is>
      </c>
      <c r="E53" s="11" t="inlineStr">
        <is>
          <t>Region III (Central Luzon)</t>
        </is>
      </c>
      <c r="F53" s="11" t="inlineStr">
        <is>
          <t>Nueva Ecija</t>
        </is>
      </c>
      <c r="G53" s="11" t="inlineStr">
        <is>
          <t>Rizal</t>
        </is>
      </c>
      <c r="H53" s="11" t="inlineStr">
        <is>
          <t>Agbannawag</t>
        </is>
      </c>
      <c r="I53" s="24" t="n">
        <v>13.692128</v>
      </c>
      <c r="J53" s="24" t="n">
        <v>121.42697</v>
      </c>
      <c r="K53" s="23" t="inlineStr">
        <is>
          <t>R</t>
        </is>
      </c>
      <c r="L53" s="25" t="n">
        <v>4109</v>
      </c>
      <c r="M53" s="26" t="n">
        <v>3.6</v>
      </c>
      <c r="N53" s="25">
        <f>ROUND(L53/M53, 0)</f>
        <v/>
      </c>
      <c r="O53" s="25">
        <f>ROUND(N53*'Methodology &amp; Assumptions'!$B$7, 0)</f>
        <v/>
      </c>
      <c r="P53" s="23" t="inlineStr">
        <is>
          <t>Single Carrier (Band n50, 100MHz TDD)</t>
        </is>
      </c>
      <c r="Q53" s="27">
        <f>ROUNDUP(O53/'Methodology &amp; Assumptions'!$B$8, 0)</f>
        <v/>
      </c>
      <c r="R53" s="27" t="n">
        <v>1</v>
      </c>
      <c r="S53" s="26" t="n">
        <v>0.82</v>
      </c>
      <c r="T53" s="26" t="n">
        <v>10.77</v>
      </c>
      <c r="U53" s="11">
        <f>IF(S53&lt;='Methodology &amp; Assumptions'!$B$10, "Direct Optical Drop (&lt;3km)", IF(S53&lt;='Methodology &amp; Assumptions'!$B$9, "Near Optical / Microwave (&lt;5km)", "Starlink Business LEO Satellite Backhaul (&gt;5km)"))</f>
        <v/>
      </c>
      <c r="V53" s="26" t="n">
        <v>82.23999999999999</v>
      </c>
      <c r="W53" s="26" t="n">
        <v>38.05</v>
      </c>
      <c r="X53" s="26">
        <f>ROUND(('Methodology &amp; Assumptions'!$B$5*V53) + ('Methodology &amp; Assumptions'!$B$6*W53), 2)</f>
        <v/>
      </c>
      <c r="Y53" s="28" t="n">
        <v>8.300000000000001</v>
      </c>
      <c r="Z53" s="11" t="inlineStr">
        <is>
          <t>Priority Tier 2 (Balanced Opportunity)</t>
        </is>
      </c>
    </row>
    <row r="54">
      <c r="A54" s="23" t="n">
        <v>4</v>
      </c>
      <c r="B54" s="23" t="n">
        <v>50</v>
      </c>
      <c r="C54" s="23" t="n">
        <v>3050</v>
      </c>
      <c r="D54" s="23" t="inlineStr">
        <is>
          <t>0304923007</t>
        </is>
      </c>
      <c r="E54" s="11" t="inlineStr">
        <is>
          <t>Region III (Central Luzon)</t>
        </is>
      </c>
      <c r="F54" s="11" t="inlineStr">
        <is>
          <t>Nueva Ecija</t>
        </is>
      </c>
      <c r="G54" s="11" t="inlineStr">
        <is>
          <t>Rizal</t>
        </is>
      </c>
      <c r="H54" s="11" t="inlineStr">
        <is>
          <t>Calaocan District</t>
        </is>
      </c>
      <c r="I54" s="24" t="n">
        <v>13.692128</v>
      </c>
      <c r="J54" s="24" t="n">
        <v>121.42697</v>
      </c>
      <c r="K54" s="23" t="inlineStr">
        <is>
          <t>R</t>
        </is>
      </c>
      <c r="L54" s="25" t="n">
        <v>3678</v>
      </c>
      <c r="M54" s="26" t="n">
        <v>3.6</v>
      </c>
      <c r="N54" s="25">
        <f>ROUND(L54/M54, 0)</f>
        <v/>
      </c>
      <c r="O54" s="25">
        <f>ROUND(N54*'Methodology &amp; Assumptions'!$B$7, 0)</f>
        <v/>
      </c>
      <c r="P54" s="23" t="inlineStr">
        <is>
          <t>Single Carrier (Band n50, 100MHz TDD)</t>
        </is>
      </c>
      <c r="Q54" s="27">
        <f>ROUNDUP(O54/'Methodology &amp; Assumptions'!$B$8, 0)</f>
        <v/>
      </c>
      <c r="R54" s="27" t="n">
        <v>1</v>
      </c>
      <c r="S54" s="26" t="n">
        <v>0.82</v>
      </c>
      <c r="T54" s="26" t="n">
        <v>10.77</v>
      </c>
      <c r="U54" s="11">
        <f>IF(S54&lt;='Methodology &amp; Assumptions'!$B$10, "Direct Optical Drop (&lt;3km)", IF(S54&lt;='Methodology &amp; Assumptions'!$B$9, "Near Optical / Microwave (&lt;5km)", "Starlink Business LEO Satellite Backhaul (&gt;5km)"))</f>
        <v/>
      </c>
      <c r="V54" s="26" t="n">
        <v>82.23999999999999</v>
      </c>
      <c r="W54" s="26" t="n">
        <v>38.05</v>
      </c>
      <c r="X54" s="26">
        <f>ROUND(('Methodology &amp; Assumptions'!$B$5*V54) + ('Methodology &amp; Assumptions'!$B$6*W54), 2)</f>
        <v/>
      </c>
      <c r="Y54" s="28" t="n">
        <v>8.300000000000001</v>
      </c>
      <c r="Z54" s="11" t="inlineStr">
        <is>
          <t>Priority Tier 2 (Balanced Opportunity)</t>
        </is>
      </c>
    </row>
    <row r="55">
      <c r="A55" s="23" t="n">
        <v>4</v>
      </c>
      <c r="B55" s="23" t="n">
        <v>51</v>
      </c>
      <c r="C55" s="23" t="n">
        <v>3051</v>
      </c>
      <c r="D55" s="23" t="inlineStr">
        <is>
          <t>0304923011</t>
        </is>
      </c>
      <c r="E55" s="11" t="inlineStr">
        <is>
          <t>Region III (Central Luzon)</t>
        </is>
      </c>
      <c r="F55" s="11" t="inlineStr">
        <is>
          <t>Nueva Ecija</t>
        </is>
      </c>
      <c r="G55" s="11" t="inlineStr">
        <is>
          <t>Rizal</t>
        </is>
      </c>
      <c r="H55" s="11" t="inlineStr">
        <is>
          <t>Aglipay</t>
        </is>
      </c>
      <c r="I55" s="24" t="n">
        <v>13.692128</v>
      </c>
      <c r="J55" s="24" t="n">
        <v>121.42697</v>
      </c>
      <c r="K55" s="23" t="inlineStr">
        <is>
          <t>R</t>
        </is>
      </c>
      <c r="L55" s="25" t="n">
        <v>3315</v>
      </c>
      <c r="M55" s="26" t="n">
        <v>3.6</v>
      </c>
      <c r="N55" s="25">
        <f>ROUND(L55/M55, 0)</f>
        <v/>
      </c>
      <c r="O55" s="25">
        <f>ROUND(N55*'Methodology &amp; Assumptions'!$B$7, 0)</f>
        <v/>
      </c>
      <c r="P55" s="23" t="inlineStr">
        <is>
          <t>Single Carrier (Band n50, 100MHz TDD)</t>
        </is>
      </c>
      <c r="Q55" s="27">
        <f>ROUNDUP(O55/'Methodology &amp; Assumptions'!$B$8, 0)</f>
        <v/>
      </c>
      <c r="R55" s="27" t="n">
        <v>1</v>
      </c>
      <c r="S55" s="26" t="n">
        <v>0.82</v>
      </c>
      <c r="T55" s="26" t="n">
        <v>10.77</v>
      </c>
      <c r="U55" s="11">
        <f>IF(S55&lt;='Methodology &amp; Assumptions'!$B$10, "Direct Optical Drop (&lt;3km)", IF(S55&lt;='Methodology &amp; Assumptions'!$B$9, "Near Optical / Microwave (&lt;5km)", "Starlink Business LEO Satellite Backhaul (&gt;5km)"))</f>
        <v/>
      </c>
      <c r="V55" s="26" t="n">
        <v>82.23999999999999</v>
      </c>
      <c r="W55" s="26" t="n">
        <v>38.05</v>
      </c>
      <c r="X55" s="26">
        <f>ROUND(('Methodology &amp; Assumptions'!$B$5*V55) + ('Methodology &amp; Assumptions'!$B$6*W55), 2)</f>
        <v/>
      </c>
      <c r="Y55" s="28" t="n">
        <v>8.300000000000001</v>
      </c>
      <c r="Z55" s="11" t="inlineStr">
        <is>
          <t>Priority Tier 2 (Balanced Opportunity)</t>
        </is>
      </c>
    </row>
    <row r="56">
      <c r="A56" s="23" t="n">
        <v>4</v>
      </c>
      <c r="B56" s="23" t="n">
        <v>52</v>
      </c>
      <c r="C56" s="23" t="n">
        <v>3052</v>
      </c>
      <c r="D56" s="23" t="inlineStr">
        <is>
          <t>0304923021</t>
        </is>
      </c>
      <c r="E56" s="11" t="inlineStr">
        <is>
          <t>Region III (Central Luzon)</t>
        </is>
      </c>
      <c r="F56" s="11" t="inlineStr">
        <is>
          <t>Nueva Ecija</t>
        </is>
      </c>
      <c r="G56" s="11" t="inlineStr">
        <is>
          <t>Rizal</t>
        </is>
      </c>
      <c r="H56" s="11" t="inlineStr">
        <is>
          <t>Paco Roman</t>
        </is>
      </c>
      <c r="I56" s="24" t="n">
        <v>13.692128</v>
      </c>
      <c r="J56" s="24" t="n">
        <v>121.42697</v>
      </c>
      <c r="K56" s="23" t="inlineStr">
        <is>
          <t>R</t>
        </is>
      </c>
      <c r="L56" s="25" t="n">
        <v>3279</v>
      </c>
      <c r="M56" s="26" t="n">
        <v>3.6</v>
      </c>
      <c r="N56" s="25">
        <f>ROUND(L56/M56, 0)</f>
        <v/>
      </c>
      <c r="O56" s="25">
        <f>ROUND(N56*'Methodology &amp; Assumptions'!$B$7, 0)</f>
        <v/>
      </c>
      <c r="P56" s="23" t="inlineStr">
        <is>
          <t>Single Carrier (Band n50, 100MHz TDD)</t>
        </is>
      </c>
      <c r="Q56" s="27">
        <f>ROUNDUP(O56/'Methodology &amp; Assumptions'!$B$8, 0)</f>
        <v/>
      </c>
      <c r="R56" s="27" t="n">
        <v>1</v>
      </c>
      <c r="S56" s="26" t="n">
        <v>0.82</v>
      </c>
      <c r="T56" s="26" t="n">
        <v>10.77</v>
      </c>
      <c r="U56" s="11">
        <f>IF(S56&lt;='Methodology &amp; Assumptions'!$B$10, "Direct Optical Drop (&lt;3km)", IF(S56&lt;='Methodology &amp; Assumptions'!$B$9, "Near Optical / Microwave (&lt;5km)", "Starlink Business LEO Satellite Backhaul (&gt;5km)"))</f>
        <v/>
      </c>
      <c r="V56" s="26" t="n">
        <v>82.23999999999999</v>
      </c>
      <c r="W56" s="26" t="n">
        <v>38.05</v>
      </c>
      <c r="X56" s="26">
        <f>ROUND(('Methodology &amp; Assumptions'!$B$5*V56) + ('Methodology &amp; Assumptions'!$B$6*W56), 2)</f>
        <v/>
      </c>
      <c r="Y56" s="28" t="n">
        <v>8.300000000000001</v>
      </c>
      <c r="Z56" s="11" t="inlineStr">
        <is>
          <t>Priority Tier 2 (Balanced Opportunity)</t>
        </is>
      </c>
    </row>
    <row r="57">
      <c r="A57" s="23" t="n">
        <v>4</v>
      </c>
      <c r="B57" s="23" t="n">
        <v>53</v>
      </c>
      <c r="C57" s="23" t="n">
        <v>3053</v>
      </c>
      <c r="D57" s="23" t="inlineStr">
        <is>
          <t>0304923027</t>
        </is>
      </c>
      <c r="E57" s="11" t="inlineStr">
        <is>
          <t>Region III (Central Luzon)</t>
        </is>
      </c>
      <c r="F57" s="11" t="inlineStr">
        <is>
          <t>Nueva Ecija</t>
        </is>
      </c>
      <c r="G57" s="11" t="inlineStr">
        <is>
          <t>Rizal</t>
        </is>
      </c>
      <c r="H57" s="11" t="inlineStr">
        <is>
          <t>Poblacion Norte</t>
        </is>
      </c>
      <c r="I57" s="24" t="n">
        <v>13.692128</v>
      </c>
      <c r="J57" s="24" t="n">
        <v>121.42697</v>
      </c>
      <c r="K57" s="23" t="inlineStr">
        <is>
          <t>R</t>
        </is>
      </c>
      <c r="L57" s="25" t="n">
        <v>3213</v>
      </c>
      <c r="M57" s="26" t="n">
        <v>3.6</v>
      </c>
      <c r="N57" s="25">
        <f>ROUND(L57/M57, 0)</f>
        <v/>
      </c>
      <c r="O57" s="25">
        <f>ROUND(N57*'Methodology &amp; Assumptions'!$B$7, 0)</f>
        <v/>
      </c>
      <c r="P57" s="23" t="inlineStr">
        <is>
          <t>Single Carrier (Band n50, 100MHz TDD)</t>
        </is>
      </c>
      <c r="Q57" s="27">
        <f>ROUNDUP(O57/'Methodology &amp; Assumptions'!$B$8, 0)</f>
        <v/>
      </c>
      <c r="R57" s="27" t="n">
        <v>1</v>
      </c>
      <c r="S57" s="26" t="n">
        <v>0.82</v>
      </c>
      <c r="T57" s="26" t="n">
        <v>10.77</v>
      </c>
      <c r="U57" s="11">
        <f>IF(S57&lt;='Methodology &amp; Assumptions'!$B$10, "Direct Optical Drop (&lt;3km)", IF(S57&lt;='Methodology &amp; Assumptions'!$B$9, "Near Optical / Microwave (&lt;5km)", "Starlink Business LEO Satellite Backhaul (&gt;5km)"))</f>
        <v/>
      </c>
      <c r="V57" s="26" t="n">
        <v>82.23999999999999</v>
      </c>
      <c r="W57" s="26" t="n">
        <v>38.05</v>
      </c>
      <c r="X57" s="26">
        <f>ROUND(('Methodology &amp; Assumptions'!$B$5*V57) + ('Methodology &amp; Assumptions'!$B$6*W57), 2)</f>
        <v/>
      </c>
      <c r="Y57" s="28" t="n">
        <v>8.300000000000001</v>
      </c>
      <c r="Z57" s="11" t="inlineStr">
        <is>
          <t>Priority Tier 2 (Balanced Opportunity)</t>
        </is>
      </c>
    </row>
    <row r="58">
      <c r="A58" s="23" t="n">
        <v>4</v>
      </c>
      <c r="B58" s="23" t="n">
        <v>54</v>
      </c>
      <c r="C58" s="23" t="n">
        <v>3054</v>
      </c>
      <c r="D58" s="23" t="inlineStr">
        <is>
          <t>0304923029</t>
        </is>
      </c>
      <c r="E58" s="11" t="inlineStr">
        <is>
          <t>Region III (Central Luzon)</t>
        </is>
      </c>
      <c r="F58" s="11" t="inlineStr">
        <is>
          <t>Nueva Ecija</t>
        </is>
      </c>
      <c r="G58" s="11" t="inlineStr">
        <is>
          <t>Rizal</t>
        </is>
      </c>
      <c r="H58" s="11" t="inlineStr">
        <is>
          <t>Poblacion West</t>
        </is>
      </c>
      <c r="I58" s="24" t="n">
        <v>13.692128</v>
      </c>
      <c r="J58" s="24" t="n">
        <v>121.42697</v>
      </c>
      <c r="K58" s="23" t="inlineStr">
        <is>
          <t>R</t>
        </is>
      </c>
      <c r="L58" s="25" t="n">
        <v>3651</v>
      </c>
      <c r="M58" s="26" t="n">
        <v>3.6</v>
      </c>
      <c r="N58" s="25">
        <f>ROUND(L58/M58, 0)</f>
        <v/>
      </c>
      <c r="O58" s="25">
        <f>ROUND(N58*'Methodology &amp; Assumptions'!$B$7, 0)</f>
        <v/>
      </c>
      <c r="P58" s="23" t="inlineStr">
        <is>
          <t>Single Carrier (Band n50, 100MHz TDD)</t>
        </is>
      </c>
      <c r="Q58" s="27">
        <f>ROUNDUP(O58/'Methodology &amp; Assumptions'!$B$8, 0)</f>
        <v/>
      </c>
      <c r="R58" s="27" t="n">
        <v>1</v>
      </c>
      <c r="S58" s="26" t="n">
        <v>0.82</v>
      </c>
      <c r="T58" s="26" t="n">
        <v>10.77</v>
      </c>
      <c r="U58" s="11">
        <f>IF(S58&lt;='Methodology &amp; Assumptions'!$B$10, "Direct Optical Drop (&lt;3km)", IF(S58&lt;='Methodology &amp; Assumptions'!$B$9, "Near Optical / Microwave (&lt;5km)", "Starlink Business LEO Satellite Backhaul (&gt;5km)"))</f>
        <v/>
      </c>
      <c r="V58" s="26" t="n">
        <v>82.23999999999999</v>
      </c>
      <c r="W58" s="26" t="n">
        <v>38.05</v>
      </c>
      <c r="X58" s="26">
        <f>ROUND(('Methodology &amp; Assumptions'!$B$5*V58) + ('Methodology &amp; Assumptions'!$B$6*W58), 2)</f>
        <v/>
      </c>
      <c r="Y58" s="28" t="n">
        <v>8.300000000000001</v>
      </c>
      <c r="Z58" s="11" t="inlineStr">
        <is>
          <t>Priority Tier 2 (Balanced Opportunity)</t>
        </is>
      </c>
    </row>
    <row r="59">
      <c r="A59" s="23" t="n">
        <v>4</v>
      </c>
      <c r="B59" s="23" t="n">
        <v>55</v>
      </c>
      <c r="C59" s="23" t="n">
        <v>3055</v>
      </c>
      <c r="D59" s="23" t="inlineStr">
        <is>
          <t>0301420014</t>
        </is>
      </c>
      <c r="E59" s="11" t="inlineStr">
        <is>
          <t>Region III (Central Luzon)</t>
        </is>
      </c>
      <c r="F59" s="11" t="inlineStr">
        <is>
          <t>Bulacan</t>
        </is>
      </c>
      <c r="G59" s="11" t="inlineStr">
        <is>
          <t>City of San Jose Del Monte</t>
        </is>
      </c>
      <c r="H59" s="11" t="inlineStr">
        <is>
          <t>Santa Cruz I</t>
        </is>
      </c>
      <c r="I59" s="24" t="n">
        <v>14.855906</v>
      </c>
      <c r="J59" s="24" t="n">
        <v>121.051537</v>
      </c>
      <c r="K59" s="23" t="inlineStr">
        <is>
          <t>U</t>
        </is>
      </c>
      <c r="L59" s="25" t="n">
        <v>5074</v>
      </c>
      <c r="M59" s="26" t="n">
        <v>3.5</v>
      </c>
      <c r="N59" s="25">
        <f>ROUND(L59/M59, 0)</f>
        <v/>
      </c>
      <c r="O59" s="25">
        <f>ROUND(N59*'Methodology &amp; Assumptions'!$B$7, 0)</f>
        <v/>
      </c>
      <c r="P59" s="23" t="inlineStr">
        <is>
          <t>Single Carrier (Band n50, 100MHz TDD)</t>
        </is>
      </c>
      <c r="Q59" s="27">
        <f>ROUNDUP(O59/'Methodology &amp; Assumptions'!$B$8, 0)</f>
        <v/>
      </c>
      <c r="R59" s="27" t="n">
        <v>1</v>
      </c>
      <c r="S59" s="26" t="n">
        <v>2.19</v>
      </c>
      <c r="T59" s="26" t="n">
        <v>3</v>
      </c>
      <c r="U59" s="11">
        <f>IF(S59&lt;='Methodology &amp; Assumptions'!$B$10, "Direct Optical Drop (&lt;3km)", IF(S59&lt;='Methodology &amp; Assumptions'!$B$9, "Near Optical / Microwave (&lt;5km)", "Starlink Business LEO Satellite Backhaul (&gt;5km)"))</f>
        <v/>
      </c>
      <c r="V59" s="26" t="n">
        <v>70.05</v>
      </c>
      <c r="W59" s="26" t="n">
        <v>50.26</v>
      </c>
      <c r="X59" s="26">
        <f>ROUND(('Methodology &amp; Assumptions'!$B$5*V59) + ('Methodology &amp; Assumptions'!$B$6*W59), 2)</f>
        <v/>
      </c>
      <c r="Y59" s="28" t="n">
        <v>8.300000000000001</v>
      </c>
      <c r="Z59" s="11" t="inlineStr">
        <is>
          <t>Priority Tier 2 (Balanced Opportunity)</t>
        </is>
      </c>
    </row>
    <row r="60">
      <c r="A60" s="23" t="n">
        <v>4</v>
      </c>
      <c r="B60" s="23" t="n">
        <v>56</v>
      </c>
      <c r="C60" s="23" t="n">
        <v>3056</v>
      </c>
      <c r="D60" s="23" t="inlineStr">
        <is>
          <t>1705315011</t>
        </is>
      </c>
      <c r="E60" s="11" t="inlineStr">
        <is>
          <t>MIMAROPA Region</t>
        </is>
      </c>
      <c r="F60" s="11" t="inlineStr">
        <is>
          <t>Palawan</t>
        </is>
      </c>
      <c r="G60" s="11" t="inlineStr">
        <is>
          <t>Narra</t>
        </is>
      </c>
      <c r="H60" s="11" t="inlineStr">
        <is>
          <t>Ipilan</t>
        </is>
      </c>
      <c r="I60" s="24" t="n">
        <v>9.173878999999999</v>
      </c>
      <c r="J60" s="24" t="n">
        <v>118.091686</v>
      </c>
      <c r="K60" s="23" t="inlineStr">
        <is>
          <t>R</t>
        </is>
      </c>
      <c r="L60" s="25" t="n">
        <v>2150</v>
      </c>
      <c r="M60" s="26" t="n">
        <v>3.9</v>
      </c>
      <c r="N60" s="25">
        <f>ROUND(L60/M60, 0)</f>
        <v/>
      </c>
      <c r="O60" s="25">
        <f>ROUND(N60*'Methodology &amp; Assumptions'!$B$7, 0)</f>
        <v/>
      </c>
      <c r="P60" s="23" t="inlineStr">
        <is>
          <t>Single Carrier (Band n50, 100MHz TDD)</t>
        </is>
      </c>
      <c r="Q60" s="27">
        <f>ROUNDUP(O60/'Methodology &amp; Assumptions'!$B$8, 0)</f>
        <v/>
      </c>
      <c r="R60" s="27" t="n">
        <v>1</v>
      </c>
      <c r="S60" s="26" t="n">
        <v>94.48999999999999</v>
      </c>
      <c r="T60" s="26" t="n">
        <v>96.77</v>
      </c>
      <c r="U60" s="11">
        <f>IF(S60&lt;='Methodology &amp; Assumptions'!$B$10, "Direct Optical Drop (&lt;3km)", IF(S60&lt;='Methodology &amp; Assumptions'!$B$9, "Near Optical / Microwave (&lt;5km)", "Starlink Business LEO Satellite Backhaul (&gt;5km)"))</f>
        <v/>
      </c>
      <c r="V60" s="26" t="n">
        <v>50.81</v>
      </c>
      <c r="W60" s="26" t="n">
        <v>69.48999999999999</v>
      </c>
      <c r="X60" s="26">
        <f>ROUND(('Methodology &amp; Assumptions'!$B$5*V60) + ('Methodology &amp; Assumptions'!$B$6*W60), 2)</f>
        <v/>
      </c>
      <c r="Y60" s="28" t="n">
        <v>15</v>
      </c>
      <c r="Z60" s="11" t="inlineStr">
        <is>
          <t>Priority Tier 2 (Balanced Opportunity)</t>
        </is>
      </c>
    </row>
    <row r="61">
      <c r="A61" s="23" t="n">
        <v>4</v>
      </c>
      <c r="B61" s="23" t="n">
        <v>57</v>
      </c>
      <c r="C61" s="23" t="n">
        <v>3057</v>
      </c>
      <c r="D61" s="23" t="inlineStr">
        <is>
          <t>0403415022</t>
        </is>
      </c>
      <c r="E61" s="11" t="inlineStr">
        <is>
          <t>Region IV-A (CALABARZON)</t>
        </is>
      </c>
      <c r="F61" s="11" t="inlineStr">
        <is>
          <t>Laguna</t>
        </is>
      </c>
      <c r="G61" s="11" t="inlineStr">
        <is>
          <t>Magdalena</t>
        </is>
      </c>
      <c r="H61" s="11" t="inlineStr">
        <is>
          <t>Tanawan</t>
        </is>
      </c>
      <c r="I61" s="24" t="n">
        <v>14.18537</v>
      </c>
      <c r="J61" s="24" t="n">
        <v>121.459358</v>
      </c>
      <c r="K61" s="23" t="inlineStr">
        <is>
          <t>R</t>
        </is>
      </c>
      <c r="L61" s="25" t="n">
        <v>322</v>
      </c>
      <c r="M61" s="26" t="n">
        <v>3.3</v>
      </c>
      <c r="N61" s="25">
        <f>ROUND(L61/M61, 0)</f>
        <v/>
      </c>
      <c r="O61" s="25">
        <f>ROUND(N61*'Methodology &amp; Assumptions'!$B$7, 0)</f>
        <v/>
      </c>
      <c r="P61" s="23" t="inlineStr">
        <is>
          <t>Single Carrier (Band n50, 100MHz TDD)</t>
        </is>
      </c>
      <c r="Q61" s="27">
        <f>ROUNDUP(O61/'Methodology &amp; Assumptions'!$B$8, 0)</f>
        <v/>
      </c>
      <c r="R61" s="27" t="n">
        <v>1</v>
      </c>
      <c r="S61" s="26" t="n">
        <v>3.4</v>
      </c>
      <c r="T61" s="26" t="n">
        <v>3.18</v>
      </c>
      <c r="U61" s="11">
        <f>IF(S61&lt;='Methodology &amp; Assumptions'!$B$10, "Direct Optical Drop (&lt;3km)", IF(S61&lt;='Methodology &amp; Assumptions'!$B$9, "Near Optical / Microwave (&lt;5km)", "Starlink Business LEO Satellite Backhaul (&gt;5km)"))</f>
        <v/>
      </c>
      <c r="V61" s="26" t="n">
        <v>50.16</v>
      </c>
      <c r="W61" s="26" t="n">
        <v>70.15000000000001</v>
      </c>
      <c r="X61" s="26">
        <f>ROUND(('Methodology &amp; Assumptions'!$B$5*V61) + ('Methodology &amp; Assumptions'!$B$6*W61), 2)</f>
        <v/>
      </c>
      <c r="Y61" s="28" t="n">
        <v>7.2</v>
      </c>
      <c r="Z61" s="11" t="inlineStr">
        <is>
          <t>Priority Tier 2 (Balanced Opportunity)</t>
        </is>
      </c>
    </row>
    <row r="62">
      <c r="A62" s="23" t="n">
        <v>4</v>
      </c>
      <c r="B62" s="23" t="n">
        <v>58</v>
      </c>
      <c r="C62" s="23" t="n">
        <v>3058</v>
      </c>
      <c r="D62" s="23" t="inlineStr">
        <is>
          <t>1381100055</t>
        </is>
      </c>
      <c r="E62" s="11" t="inlineStr">
        <is>
          <t>National Capital Region (NCR)</t>
        </is>
      </c>
      <c r="F62" s="11" t="inlineStr">
        <is>
          <t>Fourth District (Not a Province)</t>
        </is>
      </c>
      <c r="G62" s="11" t="inlineStr">
        <is>
          <t>Pasay City</t>
        </is>
      </c>
      <c r="H62" s="11" t="inlineStr">
        <is>
          <t>Barangay 55</t>
        </is>
      </c>
      <c r="I62" s="24" t="n">
        <v>14.551172</v>
      </c>
      <c r="J62" s="24" t="n">
        <v>120.999311</v>
      </c>
      <c r="K62" s="23" t="inlineStr">
        <is>
          <t>U</t>
        </is>
      </c>
      <c r="L62" s="25" t="n">
        <v>896</v>
      </c>
      <c r="M62" s="26" t="n">
        <v>3.57</v>
      </c>
      <c r="N62" s="25">
        <f>ROUND(L62/M62, 0)</f>
        <v/>
      </c>
      <c r="O62" s="25">
        <f>ROUND(N62*'Methodology &amp; Assumptions'!$B$7, 0)</f>
        <v/>
      </c>
      <c r="P62" s="23" t="inlineStr">
        <is>
          <t>Single Carrier (Band n50, 100MHz TDD)</t>
        </is>
      </c>
      <c r="Q62" s="27">
        <f>ROUNDUP(O62/'Methodology &amp; Assumptions'!$B$8, 0)</f>
        <v/>
      </c>
      <c r="R62" s="27" t="n">
        <v>1</v>
      </c>
      <c r="S62" s="26" t="n">
        <v>0.85</v>
      </c>
      <c r="T62" s="26" t="n">
        <v>0.15</v>
      </c>
      <c r="U62" s="11">
        <f>IF(S62&lt;='Methodology &amp; Assumptions'!$B$10, "Direct Optical Drop (&lt;3km)", IF(S62&lt;='Methodology &amp; Assumptions'!$B$9, "Near Optical / Microwave (&lt;5km)", "Starlink Business LEO Satellite Backhaul (&gt;5km)"))</f>
        <v/>
      </c>
      <c r="V62" s="26" t="n">
        <v>49.09</v>
      </c>
      <c r="W62" s="26" t="n">
        <v>71.20999999999999</v>
      </c>
      <c r="X62" s="26">
        <f>ROUND(('Methodology &amp; Assumptions'!$B$5*V62) + ('Methodology &amp; Assumptions'!$B$6*W62), 2)</f>
        <v/>
      </c>
      <c r="Y62" s="28" t="n">
        <v>10.9</v>
      </c>
      <c r="Z62" s="11" t="inlineStr">
        <is>
          <t>Priority Tier 2 (Balanced Opportunity)</t>
        </is>
      </c>
    </row>
    <row r="63">
      <c r="A63" s="23" t="n">
        <v>4</v>
      </c>
      <c r="B63" s="23" t="n">
        <v>59</v>
      </c>
      <c r="C63" s="23" t="n">
        <v>3059</v>
      </c>
      <c r="D63" s="23" t="inlineStr">
        <is>
          <t>0102934001</t>
        </is>
      </c>
      <c r="E63" s="11" t="inlineStr">
        <is>
          <t>Region I (Ilocos Region)</t>
        </is>
      </c>
      <c r="F63" s="11" t="inlineStr">
        <is>
          <t>Ilocos Sur</t>
        </is>
      </c>
      <c r="G63" s="11" t="inlineStr">
        <is>
          <t>City of Vigan</t>
        </is>
      </c>
      <c r="H63" s="11" t="inlineStr">
        <is>
          <t>Ayusan Norte</t>
        </is>
      </c>
      <c r="I63" s="24" t="n">
        <v>17.574492</v>
      </c>
      <c r="J63" s="24" t="n">
        <v>120.376697</v>
      </c>
      <c r="K63" s="23" t="inlineStr">
        <is>
          <t>R</t>
        </is>
      </c>
      <c r="L63" s="25" t="n">
        <v>3593</v>
      </c>
      <c r="M63" s="26" t="n">
        <v>3.8</v>
      </c>
      <c r="N63" s="25">
        <f>ROUND(L63/M63, 0)</f>
        <v/>
      </c>
      <c r="O63" s="25">
        <f>ROUND(N63*'Methodology &amp; Assumptions'!$B$7, 0)</f>
        <v/>
      </c>
      <c r="P63" s="23" t="inlineStr">
        <is>
          <t>Single Carrier (Band n50, 100MHz TDD)</t>
        </is>
      </c>
      <c r="Q63" s="27">
        <f>ROUNDUP(O63/'Methodology &amp; Assumptions'!$B$8, 0)</f>
        <v/>
      </c>
      <c r="R63" s="27" t="n">
        <v>1</v>
      </c>
      <c r="S63" s="26" t="n">
        <v>2.57</v>
      </c>
      <c r="T63" s="26" t="n">
        <v>1.71</v>
      </c>
      <c r="U63" s="11">
        <f>IF(S63&lt;='Methodology &amp; Assumptions'!$B$10, "Direct Optical Drop (&lt;3km)", IF(S63&lt;='Methodology &amp; Assumptions'!$B$9, "Near Optical / Microwave (&lt;5km)", "Starlink Business LEO Satellite Backhaul (&gt;5km)"))</f>
        <v/>
      </c>
      <c r="V63" s="26" t="n">
        <v>79.51000000000001</v>
      </c>
      <c r="W63" s="26" t="n">
        <v>40.77</v>
      </c>
      <c r="X63" s="26">
        <f>ROUND(('Methodology &amp; Assumptions'!$B$5*V63) + ('Methodology &amp; Assumptions'!$B$6*W63), 2)</f>
        <v/>
      </c>
      <c r="Y63" s="28" t="n">
        <v>8.300000000000001</v>
      </c>
      <c r="Z63" s="11" t="inlineStr">
        <is>
          <t>Priority Tier 2 (Balanced Opportunity)</t>
        </is>
      </c>
    </row>
    <row r="64">
      <c r="A64" s="23" t="n">
        <v>4</v>
      </c>
      <c r="B64" s="23" t="n">
        <v>60</v>
      </c>
      <c r="C64" s="23" t="n">
        <v>3060</v>
      </c>
      <c r="D64" s="23" t="inlineStr">
        <is>
          <t>0103306021</t>
        </is>
      </c>
      <c r="E64" s="11" t="inlineStr">
        <is>
          <t>Region I (Ilocos Region)</t>
        </is>
      </c>
      <c r="F64" s="11" t="inlineStr">
        <is>
          <t>La Union</t>
        </is>
      </c>
      <c r="G64" s="11" t="inlineStr">
        <is>
          <t>Bangar</t>
        </is>
      </c>
      <c r="H64" s="11" t="inlineStr">
        <is>
          <t>Nagsabaran</t>
        </is>
      </c>
      <c r="I64" s="24" t="n">
        <v>16.894674</v>
      </c>
      <c r="J64" s="24" t="n">
        <v>120.417299</v>
      </c>
      <c r="K64" s="23" t="inlineStr">
        <is>
          <t>R</t>
        </is>
      </c>
      <c r="L64" s="25" t="n">
        <v>1487</v>
      </c>
      <c r="M64" s="26" t="n">
        <v>3.7</v>
      </c>
      <c r="N64" s="25">
        <f>ROUND(L64/M64, 0)</f>
        <v/>
      </c>
      <c r="O64" s="25">
        <f>ROUND(N64*'Methodology &amp; Assumptions'!$B$7, 0)</f>
        <v/>
      </c>
      <c r="P64" s="23" t="inlineStr">
        <is>
          <t>Single Carrier (Band n50, 100MHz TDD)</t>
        </is>
      </c>
      <c r="Q64" s="27">
        <f>ROUNDUP(O64/'Methodology &amp; Assumptions'!$B$8, 0)</f>
        <v/>
      </c>
      <c r="R64" s="27" t="n">
        <v>1</v>
      </c>
      <c r="S64" s="26" t="n">
        <v>0.83</v>
      </c>
      <c r="T64" s="26" t="n">
        <v>0.6899999999999999</v>
      </c>
      <c r="U64" s="11">
        <f>IF(S64&lt;='Methodology &amp; Assumptions'!$B$10, "Direct Optical Drop (&lt;3km)", IF(S64&lt;='Methodology &amp; Assumptions'!$B$9, "Near Optical / Microwave (&lt;5km)", "Starlink Business LEO Satellite Backhaul (&gt;5km)"))</f>
        <v/>
      </c>
      <c r="V64" s="26" t="n">
        <v>72.13</v>
      </c>
      <c r="W64" s="26" t="n">
        <v>48.14</v>
      </c>
      <c r="X64" s="26">
        <f>ROUND(('Methodology &amp; Assumptions'!$B$5*V64) + ('Methodology &amp; Assumptions'!$B$6*W64), 2)</f>
        <v/>
      </c>
      <c r="Y64" s="28" t="n">
        <v>8.300000000000001</v>
      </c>
      <c r="Z64" s="11" t="inlineStr">
        <is>
          <t>Priority Tier 2 (Balanced Opportunity)</t>
        </is>
      </c>
    </row>
    <row r="65">
      <c r="A65" s="23" t="n">
        <v>4</v>
      </c>
      <c r="B65" s="23" t="n">
        <v>61</v>
      </c>
      <c r="C65" s="23" t="n">
        <v>3061</v>
      </c>
      <c r="D65" s="23" t="inlineStr">
        <is>
          <t>0103301004</t>
        </is>
      </c>
      <c r="E65" s="11" t="inlineStr">
        <is>
          <t>Region I (Ilocos Region)</t>
        </is>
      </c>
      <c r="F65" s="11" t="inlineStr">
        <is>
          <t>La Union</t>
        </is>
      </c>
      <c r="G65" s="11" t="inlineStr">
        <is>
          <t>Agoo</t>
        </is>
      </c>
      <c r="H65" s="11" t="inlineStr">
        <is>
          <t>Consolacion</t>
        </is>
      </c>
      <c r="I65" s="24" t="n">
        <v>16.326638</v>
      </c>
      <c r="J65" s="24" t="n">
        <v>120.369436</v>
      </c>
      <c r="K65" s="23" t="inlineStr">
        <is>
          <t>U</t>
        </is>
      </c>
      <c r="L65" s="25" t="n">
        <v>1720</v>
      </c>
      <c r="M65" s="26" t="n">
        <v>3.7</v>
      </c>
      <c r="N65" s="25">
        <f>ROUND(L65/M65, 0)</f>
        <v/>
      </c>
      <c r="O65" s="25">
        <f>ROUND(N65*'Methodology &amp; Assumptions'!$B$7, 0)</f>
        <v/>
      </c>
      <c r="P65" s="23" t="inlineStr">
        <is>
          <t>Single Carrier (Band n50, 100MHz TDD)</t>
        </is>
      </c>
      <c r="Q65" s="27">
        <f>ROUNDUP(O65/'Methodology &amp; Assumptions'!$B$8, 0)</f>
        <v/>
      </c>
      <c r="R65" s="27" t="n">
        <v>1</v>
      </c>
      <c r="S65" s="26" t="n">
        <v>0.36</v>
      </c>
      <c r="T65" s="26" t="n">
        <v>0.31</v>
      </c>
      <c r="U65" s="11">
        <f>IF(S65&lt;='Methodology &amp; Assumptions'!$B$10, "Direct Optical Drop (&lt;3km)", IF(S65&lt;='Methodology &amp; Assumptions'!$B$9, "Near Optical / Microwave (&lt;5km)", "Starlink Business LEO Satellite Backhaul (&gt;5km)"))</f>
        <v/>
      </c>
      <c r="V65" s="26" t="n">
        <v>66.98999999999999</v>
      </c>
      <c r="W65" s="26" t="n">
        <v>53.28</v>
      </c>
      <c r="X65" s="26">
        <f>ROUND(('Methodology &amp; Assumptions'!$B$5*V65) + ('Methodology &amp; Assumptions'!$B$6*W65), 2)</f>
        <v/>
      </c>
      <c r="Y65" s="28" t="n">
        <v>8.300000000000001</v>
      </c>
      <c r="Z65" s="11" t="inlineStr">
        <is>
          <t>Priority Tier 2 (Balanced Opportunity)</t>
        </is>
      </c>
    </row>
    <row r="66">
      <c r="A66" s="23" t="n">
        <v>4</v>
      </c>
      <c r="B66" s="23" t="n">
        <v>62</v>
      </c>
      <c r="C66" s="23" t="n">
        <v>3062</v>
      </c>
      <c r="D66" s="23" t="inlineStr">
        <is>
          <t>0702243011</t>
        </is>
      </c>
      <c r="E66" s="11" t="inlineStr">
        <is>
          <t>Region VII (Central Visayas)</t>
        </is>
      </c>
      <c r="F66" s="11" t="inlineStr">
        <is>
          <t>Cebu</t>
        </is>
      </c>
      <c r="G66" s="11" t="inlineStr">
        <is>
          <t>San Remigio</t>
        </is>
      </c>
      <c r="H66" s="11" t="inlineStr">
        <is>
          <t>Hagnaya</t>
        </is>
      </c>
      <c r="I66" s="24" t="n">
        <v>11.091206</v>
      </c>
      <c r="J66" s="24" t="n">
        <v>123.944488</v>
      </c>
      <c r="K66" s="23" t="inlineStr">
        <is>
          <t>R</t>
        </is>
      </c>
      <c r="L66" s="25" t="n">
        <v>4317</v>
      </c>
      <c r="M66" s="26" t="n">
        <v>3.8</v>
      </c>
      <c r="N66" s="25">
        <f>ROUND(L66/M66, 0)</f>
        <v/>
      </c>
      <c r="O66" s="25">
        <f>ROUND(N66*'Methodology &amp; Assumptions'!$B$7, 0)</f>
        <v/>
      </c>
      <c r="P66" s="23" t="inlineStr">
        <is>
          <t>Single Carrier (Band n50, 100MHz TDD)</t>
        </is>
      </c>
      <c r="Q66" s="27">
        <f>ROUNDUP(O66/'Methodology &amp; Assumptions'!$B$8, 0)</f>
        <v/>
      </c>
      <c r="R66" s="27" t="n">
        <v>1</v>
      </c>
      <c r="S66" s="26" t="n">
        <v>1.41</v>
      </c>
      <c r="T66" s="26" t="n">
        <v>1.38</v>
      </c>
      <c r="U66" s="11">
        <f>IF(S66&lt;='Methodology &amp; Assumptions'!$B$10, "Direct Optical Drop (&lt;3km)", IF(S66&lt;='Methodology &amp; Assumptions'!$B$9, "Near Optical / Microwave (&lt;5km)", "Starlink Business LEO Satellite Backhaul (&gt;5km)"))</f>
        <v/>
      </c>
      <c r="V66" s="26" t="n">
        <v>85.91</v>
      </c>
      <c r="W66" s="26" t="n">
        <v>34.36</v>
      </c>
      <c r="X66" s="26">
        <f>ROUND(('Methodology &amp; Assumptions'!$B$5*V66) + ('Methodology &amp; Assumptions'!$B$6*W66), 2)</f>
        <v/>
      </c>
      <c r="Y66" s="28" t="n">
        <v>23.7</v>
      </c>
      <c r="Z66" s="11" t="inlineStr">
        <is>
          <t>Priority Tier 2 (Balanced Opportunity)</t>
        </is>
      </c>
    </row>
    <row r="67">
      <c r="A67" s="23" t="n">
        <v>4</v>
      </c>
      <c r="B67" s="23" t="n">
        <v>63</v>
      </c>
      <c r="C67" s="23" t="n">
        <v>3063</v>
      </c>
      <c r="D67" s="23" t="inlineStr">
        <is>
          <t>0504117013</t>
        </is>
      </c>
      <c r="E67" s="11" t="inlineStr">
        <is>
          <t>Region V (Bicol Region)</t>
        </is>
      </c>
      <c r="F67" s="11" t="inlineStr">
        <is>
          <t>Masbate</t>
        </is>
      </c>
      <c r="G67" s="11" t="inlineStr">
        <is>
          <t>Placer</t>
        </is>
      </c>
      <c r="H67" s="11" t="inlineStr">
        <is>
          <t>Katipunan</t>
        </is>
      </c>
      <c r="I67" s="24" t="n">
        <v>11.875981</v>
      </c>
      <c r="J67" s="24" t="n">
        <v>123.910879</v>
      </c>
      <c r="K67" s="23" t="inlineStr">
        <is>
          <t>R</t>
        </is>
      </c>
      <c r="L67" s="25" t="n">
        <v>3201</v>
      </c>
      <c r="M67" s="26" t="n">
        <v>4.1</v>
      </c>
      <c r="N67" s="25">
        <f>ROUND(L67/M67, 0)</f>
        <v/>
      </c>
      <c r="O67" s="25">
        <f>ROUND(N67*'Methodology &amp; Assumptions'!$B$7, 0)</f>
        <v/>
      </c>
      <c r="P67" s="23" t="inlineStr">
        <is>
          <t>Single Carrier (Band n50, 100MHz TDD)</t>
        </is>
      </c>
      <c r="Q67" s="27">
        <f>ROUNDUP(O67/'Methodology &amp; Assumptions'!$B$8, 0)</f>
        <v/>
      </c>
      <c r="R67" s="27" t="n">
        <v>1</v>
      </c>
      <c r="S67" s="26" t="n">
        <v>0.66</v>
      </c>
      <c r="T67" s="26" t="n">
        <v>41.35</v>
      </c>
      <c r="U67" s="11">
        <f>IF(S67&lt;='Methodology &amp; Assumptions'!$B$10, "Direct Optical Drop (&lt;3km)", IF(S67&lt;='Methodology &amp; Assumptions'!$B$9, "Near Optical / Microwave (&lt;5km)", "Starlink Business LEO Satellite Backhaul (&gt;5km)"))</f>
        <v/>
      </c>
      <c r="V67" s="26" t="n">
        <v>82.43000000000001</v>
      </c>
      <c r="W67" s="26" t="n">
        <v>37.84</v>
      </c>
      <c r="X67" s="26">
        <f>ROUND(('Methodology &amp; Assumptions'!$B$5*V67) + ('Methodology &amp; Assumptions'!$B$6*W67), 2)</f>
        <v/>
      </c>
      <c r="Y67" s="28" t="n">
        <v>23.7</v>
      </c>
      <c r="Z67" s="11" t="inlineStr">
        <is>
          <t>Priority Tier 2 (Balanced Opportunity)</t>
        </is>
      </c>
    </row>
    <row r="68">
      <c r="A68" s="23" t="n">
        <v>4</v>
      </c>
      <c r="B68" s="23" t="n">
        <v>64</v>
      </c>
      <c r="C68" s="23" t="n">
        <v>3064</v>
      </c>
      <c r="D68" s="23" t="inlineStr">
        <is>
          <t>0401006032</t>
        </is>
      </c>
      <c r="E68" s="11" t="inlineStr">
        <is>
          <t>Region IV-A (CALABARZON)</t>
        </is>
      </c>
      <c r="F68" s="11" t="inlineStr">
        <is>
          <t>Batangas</t>
        </is>
      </c>
      <c r="G68" s="11" t="inlineStr">
        <is>
          <t>Bauan</t>
        </is>
      </c>
      <c r="H68" s="11" t="inlineStr">
        <is>
          <t>San Andres Uno</t>
        </is>
      </c>
      <c r="I68" s="24" t="n">
        <v>13.785877</v>
      </c>
      <c r="J68" s="24" t="n">
        <v>120.986198</v>
      </c>
      <c r="K68" s="23" t="inlineStr">
        <is>
          <t>R</t>
        </is>
      </c>
      <c r="L68" s="25" t="n">
        <v>624</v>
      </c>
      <c r="M68" s="26" t="n">
        <v>3.6</v>
      </c>
      <c r="N68" s="25">
        <f>ROUND(L68/M68, 0)</f>
        <v/>
      </c>
      <c r="O68" s="25">
        <f>ROUND(N68*'Methodology &amp; Assumptions'!$B$7, 0)</f>
        <v/>
      </c>
      <c r="P68" s="23" t="inlineStr">
        <is>
          <t>Single Carrier (Band n50, 100MHz TDD)</t>
        </is>
      </c>
      <c r="Q68" s="27">
        <f>ROUNDUP(O68/'Methodology &amp; Assumptions'!$B$8, 0)</f>
        <v/>
      </c>
      <c r="R68" s="27" t="n">
        <v>1</v>
      </c>
      <c r="S68" s="26" t="n">
        <v>1.88</v>
      </c>
      <c r="T68" s="26" t="n">
        <v>1.85</v>
      </c>
      <c r="U68" s="11">
        <f>IF(S68&lt;='Methodology &amp; Assumptions'!$B$10, "Direct Optical Drop (&lt;3km)", IF(S68&lt;='Methodology &amp; Assumptions'!$B$9, "Near Optical / Microwave (&lt;5km)", "Starlink Business LEO Satellite Backhaul (&gt;5km)"))</f>
        <v/>
      </c>
      <c r="V68" s="26" t="n">
        <v>60.69</v>
      </c>
      <c r="W68" s="26" t="n">
        <v>59.57</v>
      </c>
      <c r="X68" s="26">
        <f>ROUND(('Methodology &amp; Assumptions'!$B$5*V68) + ('Methodology &amp; Assumptions'!$B$6*W68), 2)</f>
        <v/>
      </c>
      <c r="Y68" s="28" t="n">
        <v>7.2</v>
      </c>
      <c r="Z68" s="11" t="inlineStr">
        <is>
          <t>Priority Tier 2 (Balanced Opportunity)</t>
        </is>
      </c>
    </row>
    <row r="69">
      <c r="A69" s="23" t="n">
        <v>4</v>
      </c>
      <c r="B69" s="23" t="n">
        <v>65</v>
      </c>
      <c r="C69" s="23" t="n">
        <v>3065</v>
      </c>
      <c r="D69" s="23" t="inlineStr">
        <is>
          <t>1403209015</t>
        </is>
      </c>
      <c r="E69" s="11" t="inlineStr">
        <is>
          <t>Cordillera Administrative Region (CAR)</t>
        </is>
      </c>
      <c r="F69" s="11" t="inlineStr">
        <is>
          <t>Kalinga</t>
        </is>
      </c>
      <c r="G69" s="11" t="inlineStr">
        <is>
          <t>Pinukpuk</t>
        </is>
      </c>
      <c r="H69" s="11" t="inlineStr">
        <is>
          <t>Magaogao</t>
        </is>
      </c>
      <c r="I69" s="24" t="n">
        <v>17.597408</v>
      </c>
      <c r="J69" s="24" t="n">
        <v>121.44626</v>
      </c>
      <c r="K69" s="23" t="inlineStr">
        <is>
          <t>R</t>
        </is>
      </c>
      <c r="L69" s="25" t="n">
        <v>749</v>
      </c>
      <c r="M69" s="26" t="n">
        <v>4.3</v>
      </c>
      <c r="N69" s="25">
        <f>ROUND(L69/M69, 0)</f>
        <v/>
      </c>
      <c r="O69" s="25">
        <f>ROUND(N69*'Methodology &amp; Assumptions'!$B$7, 0)</f>
        <v/>
      </c>
      <c r="P69" s="23" t="inlineStr">
        <is>
          <t>Single Carrier (Band n50, 100MHz TDD)</t>
        </is>
      </c>
      <c r="Q69" s="27">
        <f>ROUNDUP(O69/'Methodology &amp; Assumptions'!$B$8, 0)</f>
        <v/>
      </c>
      <c r="R69" s="27" t="n">
        <v>1</v>
      </c>
      <c r="S69" s="26" t="n">
        <v>3.59</v>
      </c>
      <c r="T69" s="26" t="n">
        <v>1.71</v>
      </c>
      <c r="U69" s="11">
        <f>IF(S69&lt;='Methodology &amp; Assumptions'!$B$10, "Direct Optical Drop (&lt;3km)", IF(S69&lt;='Methodology &amp; Assumptions'!$B$9, "Near Optical / Microwave (&lt;5km)", "Starlink Business LEO Satellite Backhaul (&gt;5km)"))</f>
        <v/>
      </c>
      <c r="V69" s="26" t="n">
        <v>54.83</v>
      </c>
      <c r="W69" s="26" t="n">
        <v>65.44</v>
      </c>
      <c r="X69" s="26">
        <f>ROUND(('Methodology &amp; Assumptions'!$B$5*V69) + ('Methodology &amp; Assumptions'!$B$6*W69), 2)</f>
        <v/>
      </c>
      <c r="Y69" s="28" t="n">
        <v>10.9</v>
      </c>
      <c r="Z69" s="11" t="inlineStr">
        <is>
          <t>Priority Tier 2 (Balanced Opportunity)</t>
        </is>
      </c>
    </row>
    <row r="70">
      <c r="A70" s="23" t="n">
        <v>4</v>
      </c>
      <c r="B70" s="23" t="n">
        <v>66</v>
      </c>
      <c r="C70" s="23" t="n">
        <v>3066</v>
      </c>
      <c r="D70" s="23" t="inlineStr">
        <is>
          <t>0301405010</t>
        </is>
      </c>
      <c r="E70" s="11" t="inlineStr">
        <is>
          <t>Region III (Central Luzon)</t>
        </is>
      </c>
      <c r="F70" s="11" t="inlineStr">
        <is>
          <t>Bulacan</t>
        </is>
      </c>
      <c r="G70" s="11" t="inlineStr">
        <is>
          <t>Bulacan</t>
        </is>
      </c>
      <c r="H70" s="11" t="inlineStr">
        <is>
          <t>San Jose</t>
        </is>
      </c>
      <c r="I70" s="24" t="n">
        <v>14.795811</v>
      </c>
      <c r="J70" s="24" t="n">
        <v>120.877988</v>
      </c>
      <c r="K70" s="23" t="inlineStr">
        <is>
          <t>U</t>
        </is>
      </c>
      <c r="L70" s="25" t="n">
        <v>3732</v>
      </c>
      <c r="M70" s="26" t="n">
        <v>3.5</v>
      </c>
      <c r="N70" s="25">
        <f>ROUND(L70/M70, 0)</f>
        <v/>
      </c>
      <c r="O70" s="25">
        <f>ROUND(N70*'Methodology &amp; Assumptions'!$B$7, 0)</f>
        <v/>
      </c>
      <c r="P70" s="23" t="inlineStr">
        <is>
          <t>Single Carrier (Band n50, 100MHz TDD)</t>
        </is>
      </c>
      <c r="Q70" s="27">
        <f>ROUNDUP(O70/'Methodology &amp; Assumptions'!$B$8, 0)</f>
        <v/>
      </c>
      <c r="R70" s="27" t="n">
        <v>1</v>
      </c>
      <c r="S70" s="26" t="n">
        <v>0.03</v>
      </c>
      <c r="T70" s="26" t="n">
        <v>3.59</v>
      </c>
      <c r="U70" s="11">
        <f>IF(S70&lt;='Methodology &amp; Assumptions'!$B$10, "Direct Optical Drop (&lt;3km)", IF(S70&lt;='Methodology &amp; Assumptions'!$B$9, "Near Optical / Microwave (&lt;5km)", "Starlink Business LEO Satellite Backhaul (&gt;5km)"))</f>
        <v/>
      </c>
      <c r="V70" s="26" t="n">
        <v>78.29000000000001</v>
      </c>
      <c r="W70" s="26" t="n">
        <v>41.94</v>
      </c>
      <c r="X70" s="26">
        <f>ROUND(('Methodology &amp; Assumptions'!$B$5*V70) + ('Methodology &amp; Assumptions'!$B$6*W70), 2)</f>
        <v/>
      </c>
      <c r="Y70" s="28" t="n">
        <v>8.300000000000001</v>
      </c>
      <c r="Z70" s="11" t="inlineStr">
        <is>
          <t>Priority Tier 2 (Balanced Opportunity)</t>
        </is>
      </c>
    </row>
    <row r="71">
      <c r="A71" s="23" t="n">
        <v>4</v>
      </c>
      <c r="B71" s="23" t="n">
        <v>67</v>
      </c>
      <c r="C71" s="23" t="n">
        <v>3067</v>
      </c>
      <c r="D71" s="23" t="inlineStr">
        <is>
          <t>1381600006</t>
        </is>
      </c>
      <c r="E71" s="11" t="inlineStr">
        <is>
          <t>National Capital Region (NCR)</t>
        </is>
      </c>
      <c r="F71" s="11" t="inlineStr">
        <is>
          <t>Third District (Not a Province)</t>
        </is>
      </c>
      <c r="G71" s="11" t="inlineStr">
        <is>
          <t>City of Valenzuela</t>
        </is>
      </c>
      <c r="H71" s="11" t="inlineStr">
        <is>
          <t>Bisig</t>
        </is>
      </c>
      <c r="I71" s="24" t="n">
        <v>14.71105</v>
      </c>
      <c r="J71" s="24" t="n">
        <v>120.947111</v>
      </c>
      <c r="K71" s="23" t="inlineStr">
        <is>
          <t>U</t>
        </is>
      </c>
      <c r="L71" s="25" t="n">
        <v>1448</v>
      </c>
      <c r="M71" s="26" t="n">
        <v>3.14</v>
      </c>
      <c r="N71" s="25">
        <f>ROUND(L71/M71, 0)</f>
        <v/>
      </c>
      <c r="O71" s="25">
        <f>ROUND(N71*'Methodology &amp; Assumptions'!$B$7, 0)</f>
        <v/>
      </c>
      <c r="P71" s="23" t="inlineStr">
        <is>
          <t>Single Carrier (Band n50, 100MHz TDD)</t>
        </is>
      </c>
      <c r="Q71" s="27">
        <f>ROUNDUP(O71/'Methodology &amp; Assumptions'!$B$8, 0)</f>
        <v/>
      </c>
      <c r="R71" s="27" t="n">
        <v>1</v>
      </c>
      <c r="S71" s="26" t="n">
        <v>1.14</v>
      </c>
      <c r="T71" s="26" t="n">
        <v>1.25</v>
      </c>
      <c r="U71" s="11">
        <f>IF(S71&lt;='Methodology &amp; Assumptions'!$B$10, "Direct Optical Drop (&lt;3km)", IF(S71&lt;='Methodology &amp; Assumptions'!$B$9, "Near Optical / Microwave (&lt;5km)", "Starlink Business LEO Satellite Backhaul (&gt;5km)"))</f>
        <v/>
      </c>
      <c r="V71" s="26" t="n">
        <v>54.74</v>
      </c>
      <c r="W71" s="26" t="n">
        <v>65.51000000000001</v>
      </c>
      <c r="X71" s="26">
        <f>ROUND(('Methodology &amp; Assumptions'!$B$5*V71) + ('Methodology &amp; Assumptions'!$B$6*W71), 2)</f>
        <v/>
      </c>
      <c r="Y71" s="28" t="n">
        <v>10.9</v>
      </c>
      <c r="Z71" s="11" t="inlineStr">
        <is>
          <t>Priority Tier 2 (Balanced Opportunity)</t>
        </is>
      </c>
    </row>
    <row r="72">
      <c r="A72" s="23" t="n">
        <v>4</v>
      </c>
      <c r="B72" s="23" t="n">
        <v>68</v>
      </c>
      <c r="C72" s="23" t="n">
        <v>3068</v>
      </c>
      <c r="D72" s="23" t="inlineStr">
        <is>
          <t>1381100060</t>
        </is>
      </c>
      <c r="E72" s="11" t="inlineStr">
        <is>
          <t>National Capital Region (NCR)</t>
        </is>
      </c>
      <c r="F72" s="11" t="inlineStr">
        <is>
          <t>Fourth District (Not a Province)</t>
        </is>
      </c>
      <c r="G72" s="11" t="inlineStr">
        <is>
          <t>Pasay City</t>
        </is>
      </c>
      <c r="H72" s="11" t="inlineStr">
        <is>
          <t>Barangay 60</t>
        </is>
      </c>
      <c r="I72" s="24" t="n">
        <v>14.549513</v>
      </c>
      <c r="J72" s="24" t="n">
        <v>121.001445</v>
      </c>
      <c r="K72" s="23" t="inlineStr">
        <is>
          <t>U</t>
        </is>
      </c>
      <c r="L72" s="25" t="n">
        <v>1101</v>
      </c>
      <c r="M72" s="26" t="n">
        <v>3.37</v>
      </c>
      <c r="N72" s="25">
        <f>ROUND(L72/M72, 0)</f>
        <v/>
      </c>
      <c r="O72" s="25">
        <f>ROUND(N72*'Methodology &amp; Assumptions'!$B$7, 0)</f>
        <v/>
      </c>
      <c r="P72" s="23" t="inlineStr">
        <is>
          <t>Single Carrier (Band n50, 100MHz TDD)</t>
        </is>
      </c>
      <c r="Q72" s="27">
        <f>ROUNDUP(O72/'Methodology &amp; Assumptions'!$B$8, 0)</f>
        <v/>
      </c>
      <c r="R72" s="27" t="n">
        <v>1</v>
      </c>
      <c r="S72" s="26" t="n">
        <v>0.9399999999999999</v>
      </c>
      <c r="T72" s="26" t="n">
        <v>0.25</v>
      </c>
      <c r="U72" s="11">
        <f>IF(S72&lt;='Methodology &amp; Assumptions'!$B$10, "Direct Optical Drop (&lt;3km)", IF(S72&lt;='Methodology &amp; Assumptions'!$B$9, "Near Optical / Microwave (&lt;5km)", "Starlink Business LEO Satellite Backhaul (&gt;5km)"))</f>
        <v/>
      </c>
      <c r="V72" s="26" t="n">
        <v>51.23</v>
      </c>
      <c r="W72" s="26" t="n">
        <v>69.01000000000001</v>
      </c>
      <c r="X72" s="26">
        <f>ROUND(('Methodology &amp; Assumptions'!$B$5*V72) + ('Methodology &amp; Assumptions'!$B$6*W72), 2)</f>
        <v/>
      </c>
      <c r="Y72" s="28" t="n">
        <v>10.9</v>
      </c>
      <c r="Z72" s="11" t="inlineStr">
        <is>
          <t>Priority Tier 2 (Balanced Opportunity)</t>
        </is>
      </c>
    </row>
    <row r="73">
      <c r="A73" s="23" t="n">
        <v>4</v>
      </c>
      <c r="B73" s="23" t="n">
        <v>69</v>
      </c>
      <c r="C73" s="23" t="n">
        <v>3069</v>
      </c>
      <c r="D73" s="23" t="inlineStr">
        <is>
          <t>1108204029</t>
        </is>
      </c>
      <c r="E73" s="11" t="inlineStr">
        <is>
          <t>Region XI (Davao Region)</t>
        </is>
      </c>
      <c r="F73" s="11" t="inlineStr">
        <is>
          <t>Davao de Oro</t>
        </is>
      </c>
      <c r="G73" s="11" t="inlineStr">
        <is>
          <t>Maco</t>
        </is>
      </c>
      <c r="H73" s="11" t="inlineStr">
        <is>
          <t>Sangab</t>
        </is>
      </c>
      <c r="I73" s="24" t="n">
        <v>7.415495</v>
      </c>
      <c r="J73" s="24" t="n">
        <v>125.90976</v>
      </c>
      <c r="K73" s="23" t="inlineStr">
        <is>
          <t>R</t>
        </is>
      </c>
      <c r="L73" s="25" t="n">
        <v>595</v>
      </c>
      <c r="M73" s="26" t="n">
        <v>3.7</v>
      </c>
      <c r="N73" s="25">
        <f>ROUND(L73/M73, 0)</f>
        <v/>
      </c>
      <c r="O73" s="25">
        <f>ROUND(N73*'Methodology &amp; Assumptions'!$B$7, 0)</f>
        <v/>
      </c>
      <c r="P73" s="23" t="inlineStr">
        <is>
          <t>Single Carrier (Band n50, 100MHz TDD)</t>
        </is>
      </c>
      <c r="Q73" s="27">
        <f>ROUNDUP(O73/'Methodology &amp; Assumptions'!$B$8, 0)</f>
        <v/>
      </c>
      <c r="R73" s="27" t="n">
        <v>1</v>
      </c>
      <c r="S73" s="26" t="n">
        <v>8.83</v>
      </c>
      <c r="T73" s="26" t="n">
        <v>7.9</v>
      </c>
      <c r="U73" s="11">
        <f>IF(S73&lt;='Methodology &amp; Assumptions'!$B$10, "Direct Optical Drop (&lt;3km)", IF(S73&lt;='Methodology &amp; Assumptions'!$B$9, "Near Optical / Microwave (&lt;5km)", "Starlink Business LEO Satellite Backhaul (&gt;5km)"))</f>
        <v/>
      </c>
      <c r="V73" s="26" t="n">
        <v>45.82</v>
      </c>
      <c r="W73" s="26" t="n">
        <v>74.41</v>
      </c>
      <c r="X73" s="26">
        <f>ROUND(('Methodology &amp; Assumptions'!$B$5*V73) + ('Methodology &amp; Assumptions'!$B$6*W73), 2)</f>
        <v/>
      </c>
      <c r="Y73" s="28" t="n">
        <v>17.4</v>
      </c>
      <c r="Z73" s="11" t="inlineStr">
        <is>
          <t>Priority Tier 2 (Balanced Opportunity)</t>
        </is>
      </c>
    </row>
    <row r="74">
      <c r="A74" s="23" t="n">
        <v>4</v>
      </c>
      <c r="B74" s="23" t="n">
        <v>70</v>
      </c>
      <c r="C74" s="23" t="n">
        <v>3070</v>
      </c>
      <c r="D74" s="23" t="inlineStr">
        <is>
          <t>0401005035</t>
        </is>
      </c>
      <c r="E74" s="11" t="inlineStr">
        <is>
          <t>Region IV-A (CALABARZON)</t>
        </is>
      </c>
      <c r="F74" s="11" t="inlineStr">
        <is>
          <t>Batangas</t>
        </is>
      </c>
      <c r="G74" s="11" t="inlineStr">
        <is>
          <t>Batangas City</t>
        </is>
      </c>
      <c r="H74" s="11" t="inlineStr">
        <is>
          <t>Kumintang Ilaya</t>
        </is>
      </c>
      <c r="I74" s="24" t="n">
        <v>13.774027</v>
      </c>
      <c r="J74" s="24" t="n">
        <v>121.064369</v>
      </c>
      <c r="K74" s="23" t="inlineStr">
        <is>
          <t>U</t>
        </is>
      </c>
      <c r="L74" s="25" t="n">
        <v>11223</v>
      </c>
      <c r="M74" s="26" t="n">
        <v>3.6</v>
      </c>
      <c r="N74" s="25">
        <f>ROUND(L74/M74, 0)</f>
        <v/>
      </c>
      <c r="O74" s="25">
        <f>ROUND(N74*'Methodology &amp; Assumptions'!$B$7, 0)</f>
        <v/>
      </c>
      <c r="P74" s="23" t="inlineStr">
        <is>
          <t>Single Carrier (Band n50, 100MHz TDD)</t>
        </is>
      </c>
      <c r="Q74" s="27">
        <f>ROUNDUP(O74/'Methodology &amp; Assumptions'!$B$8, 0)</f>
        <v/>
      </c>
      <c r="R74" s="27" t="n">
        <v>1</v>
      </c>
      <c r="S74" s="26" t="n">
        <v>1.53</v>
      </c>
      <c r="T74" s="26" t="n">
        <v>0.22</v>
      </c>
      <c r="U74" s="11">
        <f>IF(S74&lt;='Methodology &amp; Assumptions'!$B$10, "Direct Optical Drop (&lt;3km)", IF(S74&lt;='Methodology &amp; Assumptions'!$B$9, "Near Optical / Microwave (&lt;5km)", "Starlink Business LEO Satellite Backhaul (&gt;5km)"))</f>
        <v/>
      </c>
      <c r="V74" s="26" t="n">
        <v>75.66</v>
      </c>
      <c r="W74" s="26" t="n">
        <v>44.55</v>
      </c>
      <c r="X74" s="26">
        <f>ROUND(('Methodology &amp; Assumptions'!$B$5*V74) + ('Methodology &amp; Assumptions'!$B$6*W74), 2)</f>
        <v/>
      </c>
      <c r="Y74" s="28" t="n">
        <v>7.2</v>
      </c>
      <c r="Z74" s="11" t="inlineStr">
        <is>
          <t>Priority Tier 2 (Balanced Opportunity)</t>
        </is>
      </c>
    </row>
    <row r="75">
      <c r="A75" s="23" t="n">
        <v>4</v>
      </c>
      <c r="B75" s="23" t="n">
        <v>71</v>
      </c>
      <c r="C75" s="23" t="n">
        <v>3071</v>
      </c>
      <c r="D75" s="23" t="inlineStr">
        <is>
          <t>0803708079</t>
        </is>
      </c>
      <c r="E75" s="11" t="inlineStr">
        <is>
          <t>Region VIII (Eastern Visayas)</t>
        </is>
      </c>
      <c r="F75" s="11" t="inlineStr">
        <is>
          <t>Leyte</t>
        </is>
      </c>
      <c r="G75" s="11" t="inlineStr">
        <is>
          <t>City of Baybay</t>
        </is>
      </c>
      <c r="H75" s="11" t="inlineStr">
        <is>
          <t>Poblacion Zone 23</t>
        </is>
      </c>
      <c r="I75" s="24" t="n">
        <v>10.669458</v>
      </c>
      <c r="J75" s="24" t="n">
        <v>124.806894</v>
      </c>
      <c r="K75" s="23" t="inlineStr">
        <is>
          <t>U</t>
        </is>
      </c>
      <c r="L75" s="25" t="n">
        <v>2569</v>
      </c>
      <c r="M75" s="26" t="n">
        <v>3.8</v>
      </c>
      <c r="N75" s="25">
        <f>ROUND(L75/M75, 0)</f>
        <v/>
      </c>
      <c r="O75" s="25">
        <f>ROUND(N75*'Methodology &amp; Assumptions'!$B$7, 0)</f>
        <v/>
      </c>
      <c r="P75" s="23" t="inlineStr">
        <is>
          <t>Single Carrier (Band n50, 100MHz TDD)</t>
        </is>
      </c>
      <c r="Q75" s="27">
        <f>ROUNDUP(O75/'Methodology &amp; Assumptions'!$B$8, 0)</f>
        <v/>
      </c>
      <c r="R75" s="27" t="n">
        <v>1</v>
      </c>
      <c r="S75" s="26" t="n">
        <v>1.25</v>
      </c>
      <c r="T75" s="26" t="n">
        <v>0.12</v>
      </c>
      <c r="U75" s="11">
        <f>IF(S75&lt;='Methodology &amp; Assumptions'!$B$10, "Direct Optical Drop (&lt;3km)", IF(S75&lt;='Methodology &amp; Assumptions'!$B$9, "Near Optical / Microwave (&lt;5km)", "Starlink Business LEO Satellite Backhaul (&gt;5km)"))</f>
        <v/>
      </c>
      <c r="V75" s="26" t="n">
        <v>73.28</v>
      </c>
      <c r="W75" s="26" t="n">
        <v>46.94</v>
      </c>
      <c r="X75" s="26">
        <f>ROUND(('Methodology &amp; Assumptions'!$B$5*V75) + ('Methodology &amp; Assumptions'!$B$6*W75), 2)</f>
        <v/>
      </c>
      <c r="Y75" s="28" t="n">
        <v>23.7</v>
      </c>
      <c r="Z75" s="11" t="inlineStr">
        <is>
          <t>Priority Tier 2 (Balanced Opportunity)</t>
        </is>
      </c>
    </row>
    <row r="76">
      <c r="A76" s="23" t="n">
        <v>4</v>
      </c>
      <c r="B76" s="23" t="n">
        <v>72</v>
      </c>
      <c r="C76" s="23" t="n">
        <v>3072</v>
      </c>
      <c r="D76" s="23" t="inlineStr">
        <is>
          <t>0600404003</t>
        </is>
      </c>
      <c r="E76" s="11" t="inlineStr">
        <is>
          <t>Region VI (Western Visayas)</t>
        </is>
      </c>
      <c r="F76" s="11" t="inlineStr">
        <is>
          <t>Aklan</t>
        </is>
      </c>
      <c r="G76" s="11" t="inlineStr">
        <is>
          <t>Batan</t>
        </is>
      </c>
      <c r="H76" s="11" t="inlineStr">
        <is>
          <t>Bay-ang</t>
        </is>
      </c>
      <c r="I76" s="24" t="n">
        <v>11.591949</v>
      </c>
      <c r="J76" s="24" t="n">
        <v>122.449555</v>
      </c>
      <c r="K76" s="23" t="inlineStr">
        <is>
          <t>R</t>
        </is>
      </c>
      <c r="L76" s="25" t="n">
        <v>2259</v>
      </c>
      <c r="M76" s="26" t="n">
        <v>3.9</v>
      </c>
      <c r="N76" s="25">
        <f>ROUND(L76/M76, 0)</f>
        <v/>
      </c>
      <c r="O76" s="25">
        <f>ROUND(N76*'Methodology &amp; Assumptions'!$B$7, 0)</f>
        <v/>
      </c>
      <c r="P76" s="23" t="inlineStr">
        <is>
          <t>Single Carrier (Band n50, 100MHz TDD)</t>
        </is>
      </c>
      <c r="Q76" s="27">
        <f>ROUNDUP(O76/'Methodology &amp; Assumptions'!$B$8, 0)</f>
        <v/>
      </c>
      <c r="R76" s="27" t="n">
        <v>1</v>
      </c>
      <c r="S76" s="26" t="n">
        <v>6.44</v>
      </c>
      <c r="T76" s="26" t="n">
        <v>1.74</v>
      </c>
      <c r="U76" s="11">
        <f>IF(S76&lt;='Methodology &amp; Assumptions'!$B$10, "Direct Optical Drop (&lt;3km)", IF(S76&lt;='Methodology &amp; Assumptions'!$B$9, "Near Optical / Microwave (&lt;5km)", "Starlink Business LEO Satellite Backhaul (&gt;5km)"))</f>
        <v/>
      </c>
      <c r="V76" s="26" t="n">
        <v>65.45</v>
      </c>
      <c r="W76" s="26" t="n">
        <v>54.77</v>
      </c>
      <c r="X76" s="26">
        <f>ROUND(('Methodology &amp; Assumptions'!$B$5*V76) + ('Methodology &amp; Assumptions'!$B$6*W76), 2)</f>
        <v/>
      </c>
      <c r="Y76" s="28" t="n">
        <v>23.7</v>
      </c>
      <c r="Z76" s="11" t="inlineStr">
        <is>
          <t>Priority Tier 2 (Balanced Opportunity)</t>
        </is>
      </c>
    </row>
    <row r="77">
      <c r="A77" s="23" t="n">
        <v>4</v>
      </c>
      <c r="B77" s="23" t="n">
        <v>73</v>
      </c>
      <c r="C77" s="23" t="n">
        <v>3073</v>
      </c>
      <c r="D77" s="23" t="inlineStr">
        <is>
          <t>1380606096</t>
        </is>
      </c>
      <c r="E77" s="11" t="inlineStr">
        <is>
          <t>National Capital Region (NCR)</t>
        </is>
      </c>
      <c r="F77" s="11" t="inlineStr">
        <is>
          <t>First District (Not a Province)</t>
        </is>
      </c>
      <c r="G77" s="11" t="inlineStr">
        <is>
          <t>City of Manila</t>
        </is>
      </c>
      <c r="H77" s="11" t="inlineStr">
        <is>
          <t>Barangay 490</t>
        </is>
      </c>
      <c r="I77" s="24" t="n">
        <v>14.614544</v>
      </c>
      <c r="J77" s="24" t="n">
        <v>120.989242</v>
      </c>
      <c r="K77" s="23" t="inlineStr">
        <is>
          <t>U</t>
        </is>
      </c>
      <c r="L77" s="25" t="n">
        <v>1048</v>
      </c>
      <c r="M77" s="26" t="n">
        <v>3.69</v>
      </c>
      <c r="N77" s="25">
        <f>ROUND(L77/M77, 0)</f>
        <v/>
      </c>
      <c r="O77" s="25">
        <f>ROUND(N77*'Methodology &amp; Assumptions'!$B$7, 0)</f>
        <v/>
      </c>
      <c r="P77" s="23" t="inlineStr">
        <is>
          <t>Single Carrier (Band n50, 100MHz TDD)</t>
        </is>
      </c>
      <c r="Q77" s="27">
        <f>ROUNDUP(O77/'Methodology &amp; Assumptions'!$B$8, 0)</f>
        <v/>
      </c>
      <c r="R77" s="27" t="n">
        <v>1</v>
      </c>
      <c r="S77" s="26" t="n">
        <v>0.72</v>
      </c>
      <c r="T77" s="26" t="n">
        <v>0.43</v>
      </c>
      <c r="U77" s="11">
        <f>IF(S77&lt;='Methodology &amp; Assumptions'!$B$10, "Direct Optical Drop (&lt;3km)", IF(S77&lt;='Methodology &amp; Assumptions'!$B$9, "Near Optical / Microwave (&lt;5km)", "Starlink Business LEO Satellite Backhaul (&gt;5km)"))</f>
        <v/>
      </c>
      <c r="V77" s="26" t="n">
        <v>50.2</v>
      </c>
      <c r="W77" s="26" t="n">
        <v>70.03</v>
      </c>
      <c r="X77" s="26">
        <f>ROUND(('Methodology &amp; Assumptions'!$B$5*V77) + ('Methodology &amp; Assumptions'!$B$6*W77), 2)</f>
        <v/>
      </c>
      <c r="Y77" s="28" t="n">
        <v>10.9</v>
      </c>
      <c r="Z77" s="11" t="inlineStr">
        <is>
          <t>Priority Tier 2 (Balanced Opportunity)</t>
        </is>
      </c>
    </row>
    <row r="78">
      <c r="A78" s="23" t="n">
        <v>4</v>
      </c>
      <c r="B78" s="23" t="n">
        <v>74</v>
      </c>
      <c r="C78" s="23" t="n">
        <v>3074</v>
      </c>
      <c r="D78" s="23" t="inlineStr">
        <is>
          <t>1102502004</t>
        </is>
      </c>
      <c r="E78" s="11" t="inlineStr">
        <is>
          <t>Region XI (Davao Region)</t>
        </is>
      </c>
      <c r="F78" s="11" t="inlineStr">
        <is>
          <t>Davao Oriental</t>
        </is>
      </c>
      <c r="G78" s="11" t="inlineStr">
        <is>
          <t>Banaybanay</t>
        </is>
      </c>
      <c r="H78" s="11" t="inlineStr">
        <is>
          <t>Causwagan</t>
        </is>
      </c>
      <c r="I78" s="24" t="n">
        <v>7.03002</v>
      </c>
      <c r="J78" s="24" t="n">
        <v>126.01589</v>
      </c>
      <c r="K78" s="23" t="inlineStr">
        <is>
          <t>R</t>
        </is>
      </c>
      <c r="L78" s="25" t="n">
        <v>831</v>
      </c>
      <c r="M78" s="26" t="n">
        <v>3.6</v>
      </c>
      <c r="N78" s="25">
        <f>ROUND(L78/M78, 0)</f>
        <v/>
      </c>
      <c r="O78" s="25">
        <f>ROUND(N78*'Methodology &amp; Assumptions'!$B$7, 0)</f>
        <v/>
      </c>
      <c r="P78" s="23" t="inlineStr">
        <is>
          <t>Single Carrier (Band n50, 100MHz TDD)</t>
        </is>
      </c>
      <c r="Q78" s="27">
        <f>ROUNDUP(O78/'Methodology &amp; Assumptions'!$B$8, 0)</f>
        <v/>
      </c>
      <c r="R78" s="27" t="n">
        <v>1</v>
      </c>
      <c r="S78" s="26" t="n">
        <v>7.42</v>
      </c>
      <c r="T78" s="26" t="n">
        <v>3.26</v>
      </c>
      <c r="U78" s="11">
        <f>IF(S78&lt;='Methodology &amp; Assumptions'!$B$10, "Direct Optical Drop (&lt;3km)", IF(S78&lt;='Methodology &amp; Assumptions'!$B$9, "Near Optical / Microwave (&lt;5km)", "Starlink Business LEO Satellite Backhaul (&gt;5km)"))</f>
        <v/>
      </c>
      <c r="V78" s="26" t="n">
        <v>49.34</v>
      </c>
      <c r="W78" s="26" t="n">
        <v>70.89</v>
      </c>
      <c r="X78" s="26">
        <f>ROUND(('Methodology &amp; Assumptions'!$B$5*V78) + ('Methodology &amp; Assumptions'!$B$6*W78), 2)</f>
        <v/>
      </c>
      <c r="Y78" s="28" t="n">
        <v>17.4</v>
      </c>
      <c r="Z78" s="11" t="inlineStr">
        <is>
          <t>Priority Tier 2 (Balanced Opportunity)</t>
        </is>
      </c>
    </row>
    <row r="79">
      <c r="A79" s="23" t="n">
        <v>4</v>
      </c>
      <c r="B79" s="23" t="n">
        <v>75</v>
      </c>
      <c r="C79" s="23" t="n">
        <v>3075</v>
      </c>
      <c r="D79" s="23" t="inlineStr">
        <is>
          <t>0205014009</t>
        </is>
      </c>
      <c r="E79" s="11" t="inlineStr">
        <is>
          <t>Region II (Cagayan Valley)</t>
        </is>
      </c>
      <c r="F79" s="11" t="inlineStr">
        <is>
          <t>Nueva Vizcaya</t>
        </is>
      </c>
      <c r="G79" s="11" t="inlineStr">
        <is>
          <t>Villaverde</t>
        </is>
      </c>
      <c r="H79" s="11" t="inlineStr">
        <is>
          <t>Bintawan Norte</t>
        </is>
      </c>
      <c r="I79" s="24" t="n">
        <v>16.580941</v>
      </c>
      <c r="J79" s="24" t="n">
        <v>121.189228</v>
      </c>
      <c r="K79" s="23" t="inlineStr">
        <is>
          <t>R</t>
        </is>
      </c>
      <c r="L79" s="25" t="n">
        <v>3059</v>
      </c>
      <c r="M79" s="26" t="n">
        <v>3.8</v>
      </c>
      <c r="N79" s="25">
        <f>ROUND(L79/M79, 0)</f>
        <v/>
      </c>
      <c r="O79" s="25">
        <f>ROUND(N79*'Methodology &amp; Assumptions'!$B$7, 0)</f>
        <v/>
      </c>
      <c r="P79" s="23" t="inlineStr">
        <is>
          <t>Single Carrier (Band n50, 100MHz TDD)</t>
        </is>
      </c>
      <c r="Q79" s="27">
        <f>ROUNDUP(O79/'Methodology &amp; Assumptions'!$B$8, 0)</f>
        <v/>
      </c>
      <c r="R79" s="27" t="n">
        <v>1</v>
      </c>
      <c r="S79" s="26" t="n">
        <v>0.04</v>
      </c>
      <c r="T79" s="26" t="n">
        <v>5.86</v>
      </c>
      <c r="U79" s="11">
        <f>IF(S79&lt;='Methodology &amp; Assumptions'!$B$10, "Direct Optical Drop (&lt;3km)", IF(S79&lt;='Methodology &amp; Assumptions'!$B$9, "Near Optical / Microwave (&lt;5km)", "Starlink Business LEO Satellite Backhaul (&gt;5km)"))</f>
        <v/>
      </c>
      <c r="V79" s="26" t="n">
        <v>87.7</v>
      </c>
      <c r="W79" s="26" t="n">
        <v>32.5</v>
      </c>
      <c r="X79" s="26">
        <f>ROUND(('Methodology &amp; Assumptions'!$B$5*V79) + ('Methodology &amp; Assumptions'!$B$6*W79), 2)</f>
        <v/>
      </c>
      <c r="Y79" s="28" t="n">
        <v>8.300000000000001</v>
      </c>
      <c r="Z79" s="11" t="inlineStr">
        <is>
          <t>Priority Tier 2 (Balanced Opportunity)</t>
        </is>
      </c>
    </row>
    <row r="80">
      <c r="A80" s="23" t="n">
        <v>4</v>
      </c>
      <c r="B80" s="23" t="n">
        <v>76</v>
      </c>
      <c r="C80" s="23" t="n">
        <v>3076</v>
      </c>
      <c r="D80" s="23" t="inlineStr">
        <is>
          <t>0300804038</t>
        </is>
      </c>
      <c r="E80" s="11" t="inlineStr">
        <is>
          <t>Region III (Central Luzon)</t>
        </is>
      </c>
      <c r="F80" s="11" t="inlineStr">
        <is>
          <t>Bataan</t>
        </is>
      </c>
      <c r="G80" s="11" t="inlineStr">
        <is>
          <t>Dinalupihan</t>
        </is>
      </c>
      <c r="H80" s="11" t="inlineStr">
        <is>
          <t>Santo Niño</t>
        </is>
      </c>
      <c r="I80" s="24" t="n">
        <v>14.876792</v>
      </c>
      <c r="J80" s="24" t="n">
        <v>120.462474</v>
      </c>
      <c r="K80" s="23" t="inlineStr">
        <is>
          <t>R</t>
        </is>
      </c>
      <c r="L80" s="25" t="n">
        <v>3633</v>
      </c>
      <c r="M80" s="26" t="n">
        <v>3.6</v>
      </c>
      <c r="N80" s="25">
        <f>ROUND(L80/M80, 0)</f>
        <v/>
      </c>
      <c r="O80" s="25">
        <f>ROUND(N80*'Methodology &amp; Assumptions'!$B$7, 0)</f>
        <v/>
      </c>
      <c r="P80" s="23" t="inlineStr">
        <is>
          <t>Single Carrier (Band n50, 100MHz TDD)</t>
        </is>
      </c>
      <c r="Q80" s="27">
        <f>ROUNDUP(O80/'Methodology &amp; Assumptions'!$B$8, 0)</f>
        <v/>
      </c>
      <c r="R80" s="27" t="n">
        <v>1</v>
      </c>
      <c r="S80" s="26" t="n">
        <v>1.24</v>
      </c>
      <c r="T80" s="26" t="n">
        <v>0.49</v>
      </c>
      <c r="U80" s="11">
        <f>IF(S80&lt;='Methodology &amp; Assumptions'!$B$10, "Direct Optical Drop (&lt;3km)", IF(S80&lt;='Methodology &amp; Assumptions'!$B$9, "Near Optical / Microwave (&lt;5km)", "Starlink Business LEO Satellite Backhaul (&gt;5km)"))</f>
        <v/>
      </c>
      <c r="V80" s="26" t="n">
        <v>84.09</v>
      </c>
      <c r="W80" s="26" t="n">
        <v>36.1</v>
      </c>
      <c r="X80" s="26">
        <f>ROUND(('Methodology &amp; Assumptions'!$B$5*V80) + ('Methodology &amp; Assumptions'!$B$6*W80), 2)</f>
        <v/>
      </c>
      <c r="Y80" s="28" t="n">
        <v>8.300000000000001</v>
      </c>
      <c r="Z80" s="11" t="inlineStr">
        <is>
          <t>Priority Tier 2 (Balanced Opportunity)</t>
        </is>
      </c>
    </row>
    <row r="81">
      <c r="A81" s="23" t="n">
        <v>4</v>
      </c>
      <c r="B81" s="23" t="n">
        <v>77</v>
      </c>
      <c r="C81" s="23" t="n">
        <v>3077</v>
      </c>
      <c r="D81" s="23" t="inlineStr">
        <is>
          <t>1001302003</t>
        </is>
      </c>
      <c r="E81" s="11" t="inlineStr">
        <is>
          <t>Region X (Northern Mindanao)</t>
        </is>
      </c>
      <c r="F81" s="11" t="inlineStr">
        <is>
          <t>Bukidnon</t>
        </is>
      </c>
      <c r="G81" s="11" t="inlineStr">
        <is>
          <t>Damulog</t>
        </is>
      </c>
      <c r="H81" s="11" t="inlineStr">
        <is>
          <t>Tangkulan</t>
        </is>
      </c>
      <c r="I81" s="24" t="n">
        <v>7.420772</v>
      </c>
      <c r="J81" s="24" t="n">
        <v>124.999962</v>
      </c>
      <c r="K81" s="23" t="inlineStr">
        <is>
          <t>R</t>
        </is>
      </c>
      <c r="L81" s="25" t="n">
        <v>3841</v>
      </c>
      <c r="M81" s="26" t="n">
        <v>3.8</v>
      </c>
      <c r="N81" s="25">
        <f>ROUND(L81/M81, 0)</f>
        <v/>
      </c>
      <c r="O81" s="25">
        <f>ROUND(N81*'Methodology &amp; Assumptions'!$B$7, 0)</f>
        <v/>
      </c>
      <c r="P81" s="23" t="inlineStr">
        <is>
          <t>Single Carrier (Band n50, 100MHz TDD)</t>
        </is>
      </c>
      <c r="Q81" s="27">
        <f>ROUNDUP(O81/'Methodology &amp; Assumptions'!$B$8, 0)</f>
        <v/>
      </c>
      <c r="R81" s="27" t="n">
        <v>1</v>
      </c>
      <c r="S81" s="26" t="n">
        <v>16.09</v>
      </c>
      <c r="T81" s="26" t="n">
        <v>9.06</v>
      </c>
      <c r="U81" s="11">
        <f>IF(S81&lt;='Methodology &amp; Assumptions'!$B$10, "Direct Optical Drop (&lt;3km)", IF(S81&lt;='Methodology &amp; Assumptions'!$B$9, "Near Optical / Microwave (&lt;5km)", "Starlink Business LEO Satellite Backhaul (&gt;5km)"))</f>
        <v/>
      </c>
      <c r="V81" s="26" t="n">
        <v>61.82</v>
      </c>
      <c r="W81" s="26" t="n">
        <v>58.39</v>
      </c>
      <c r="X81" s="26">
        <f>ROUND(('Methodology &amp; Assumptions'!$B$5*V81) + ('Methodology &amp; Assumptions'!$B$6*W81), 2)</f>
        <v/>
      </c>
      <c r="Y81" s="28" t="n">
        <v>17.4</v>
      </c>
      <c r="Z81" s="11" t="inlineStr">
        <is>
          <t>Priority Tier 2 (Balanced Opportunity)</t>
        </is>
      </c>
    </row>
    <row r="82">
      <c r="A82" s="23" t="n">
        <v>4</v>
      </c>
      <c r="B82" s="23" t="n">
        <v>78</v>
      </c>
      <c r="C82" s="23" t="n">
        <v>3078</v>
      </c>
      <c r="D82" s="23" t="inlineStr">
        <is>
          <t>1705323007</t>
        </is>
      </c>
      <c r="E82" s="11" t="inlineStr">
        <is>
          <t>MIMAROPA Region</t>
        </is>
      </c>
      <c r="F82" s="11" t="inlineStr">
        <is>
          <t>Palawan</t>
        </is>
      </c>
      <c r="G82" s="11" t="inlineStr">
        <is>
          <t>Rizal</t>
        </is>
      </c>
      <c r="H82" s="11" t="inlineStr">
        <is>
          <t>Latud</t>
        </is>
      </c>
      <c r="I82" s="24" t="n">
        <v>8.658733</v>
      </c>
      <c r="J82" s="24" t="n">
        <v>117.307962</v>
      </c>
      <c r="K82" s="23" t="inlineStr">
        <is>
          <t>R</t>
        </is>
      </c>
      <c r="L82" s="25" t="n">
        <v>2499</v>
      </c>
      <c r="M82" s="26" t="n">
        <v>3.6</v>
      </c>
      <c r="N82" s="25">
        <f>ROUND(L82/M82, 0)</f>
        <v/>
      </c>
      <c r="O82" s="25">
        <f>ROUND(N82*'Methodology &amp; Assumptions'!$B$7, 0)</f>
        <v/>
      </c>
      <c r="P82" s="23" t="inlineStr">
        <is>
          <t>Single Carrier (Band n50, 100MHz TDD)</t>
        </is>
      </c>
      <c r="Q82" s="27">
        <f>ROUNDUP(O82/'Methodology &amp; Assumptions'!$B$8, 0)</f>
        <v/>
      </c>
      <c r="R82" s="27" t="n">
        <v>1</v>
      </c>
      <c r="S82" s="26" t="n">
        <v>197.38</v>
      </c>
      <c r="T82" s="26" t="n">
        <v>199.64</v>
      </c>
      <c r="U82" s="11">
        <f>IF(S82&lt;='Methodology &amp; Assumptions'!$B$10, "Direct Optical Drop (&lt;3km)", IF(S82&lt;='Methodology &amp; Assumptions'!$B$9, "Near Optical / Microwave (&lt;5km)", "Starlink Business LEO Satellite Backhaul (&gt;5km)"))</f>
        <v/>
      </c>
      <c r="V82" s="26" t="n">
        <v>55.34</v>
      </c>
      <c r="W82" s="26" t="n">
        <v>64.87</v>
      </c>
      <c r="X82" s="26">
        <f>ROUND(('Methodology &amp; Assumptions'!$B$5*V82) + ('Methodology &amp; Assumptions'!$B$6*W82), 2)</f>
        <v/>
      </c>
      <c r="Y82" s="28" t="n">
        <v>15</v>
      </c>
      <c r="Z82" s="11" t="inlineStr">
        <is>
          <t>Priority Tier 2 (Balanced Opportunity)</t>
        </is>
      </c>
    </row>
    <row r="83">
      <c r="A83" s="23" t="n">
        <v>4</v>
      </c>
      <c r="B83" s="23" t="n">
        <v>79</v>
      </c>
      <c r="C83" s="23" t="n">
        <v>3079</v>
      </c>
      <c r="D83" s="23" t="inlineStr">
        <is>
          <t>1380601068</t>
        </is>
      </c>
      <c r="E83" s="11" t="inlineStr">
        <is>
          <t>National Capital Region (NCR)</t>
        </is>
      </c>
      <c r="F83" s="11" t="inlineStr">
        <is>
          <t>First District (Not a Province)</t>
        </is>
      </c>
      <c r="G83" s="11" t="inlineStr">
        <is>
          <t>City of Manila</t>
        </is>
      </c>
      <c r="H83" s="11" t="inlineStr">
        <is>
          <t>Barangay 68</t>
        </is>
      </c>
      <c r="I83" s="24" t="n">
        <v>14.612554</v>
      </c>
      <c r="J83" s="24" t="n">
        <v>120.965997</v>
      </c>
      <c r="K83" s="23" t="inlineStr">
        <is>
          <t>U</t>
        </is>
      </c>
      <c r="L83" s="25" t="n">
        <v>966</v>
      </c>
      <c r="M83" s="26" t="n">
        <v>4.18</v>
      </c>
      <c r="N83" s="25">
        <f>ROUND(L83/M83, 0)</f>
        <v/>
      </c>
      <c r="O83" s="25">
        <f>ROUND(N83*'Methodology &amp; Assumptions'!$B$7, 0)</f>
        <v/>
      </c>
      <c r="P83" s="23" t="inlineStr">
        <is>
          <t>Single Carrier (Band n50, 100MHz TDD)</t>
        </is>
      </c>
      <c r="Q83" s="27">
        <f>ROUNDUP(O83/'Methodology &amp; Assumptions'!$B$8, 0)</f>
        <v/>
      </c>
      <c r="R83" s="27" t="n">
        <v>1</v>
      </c>
      <c r="S83" s="26" t="n">
        <v>0.7</v>
      </c>
      <c r="T83" s="26" t="n">
        <v>0.45</v>
      </c>
      <c r="U83" s="11">
        <f>IF(S83&lt;='Methodology &amp; Assumptions'!$B$10, "Direct Optical Drop (&lt;3km)", IF(S83&lt;='Methodology &amp; Assumptions'!$B$9, "Near Optical / Microwave (&lt;5km)", "Starlink Business LEO Satellite Backhaul (&gt;5km)"))</f>
        <v/>
      </c>
      <c r="V83" s="26" t="n">
        <v>48.48</v>
      </c>
      <c r="W83" s="26" t="n">
        <v>71.72</v>
      </c>
      <c r="X83" s="26">
        <f>ROUND(('Methodology &amp; Assumptions'!$B$5*V83) + ('Methodology &amp; Assumptions'!$B$6*W83), 2)</f>
        <v/>
      </c>
      <c r="Y83" s="28" t="n">
        <v>10.9</v>
      </c>
      <c r="Z83" s="11" t="inlineStr">
        <is>
          <t>Priority Tier 2 (Balanced Opportunity)</t>
        </is>
      </c>
    </row>
    <row r="84">
      <c r="A84" s="23" t="n">
        <v>4</v>
      </c>
      <c r="B84" s="23" t="n">
        <v>80</v>
      </c>
      <c r="C84" s="23" t="n">
        <v>3080</v>
      </c>
      <c r="D84" s="23" t="inlineStr">
        <is>
          <t>0205014001</t>
        </is>
      </c>
      <c r="E84" s="11" t="inlineStr">
        <is>
          <t>Region II (Cagayan Valley)</t>
        </is>
      </c>
      <c r="F84" s="11" t="inlineStr">
        <is>
          <t>Nueva Vizcaya</t>
        </is>
      </c>
      <c r="G84" s="11" t="inlineStr">
        <is>
          <t>Villaverde</t>
        </is>
      </c>
      <c r="H84" s="11" t="inlineStr">
        <is>
          <t>Bintawan Sur</t>
        </is>
      </c>
      <c r="I84" s="24" t="n">
        <v>16.579338</v>
      </c>
      <c r="J84" s="24" t="n">
        <v>121.190141</v>
      </c>
      <c r="K84" s="23" t="inlineStr">
        <is>
          <t>R</t>
        </is>
      </c>
      <c r="L84" s="25" t="n">
        <v>3354</v>
      </c>
      <c r="M84" s="26" t="n">
        <v>3.8</v>
      </c>
      <c r="N84" s="25">
        <f>ROUND(L84/M84, 0)</f>
        <v/>
      </c>
      <c r="O84" s="25">
        <f>ROUND(N84*'Methodology &amp; Assumptions'!$B$7, 0)</f>
        <v/>
      </c>
      <c r="P84" s="23" t="inlineStr">
        <is>
          <t>Single Carrier (Band n50, 100MHz TDD)</t>
        </is>
      </c>
      <c r="Q84" s="27">
        <f>ROUNDUP(O84/'Methodology &amp; Assumptions'!$B$8, 0)</f>
        <v/>
      </c>
      <c r="R84" s="27" t="n">
        <v>1</v>
      </c>
      <c r="S84" s="26" t="n">
        <v>0.24</v>
      </c>
      <c r="T84" s="26" t="n">
        <v>5.87</v>
      </c>
      <c r="U84" s="11">
        <f>IF(S84&lt;='Methodology &amp; Assumptions'!$B$10, "Direct Optical Drop (&lt;3km)", IF(S84&lt;='Methodology &amp; Assumptions'!$B$9, "Near Optical / Microwave (&lt;5km)", "Starlink Business LEO Satellite Backhaul (&gt;5km)"))</f>
        <v/>
      </c>
      <c r="V84" s="26" t="n">
        <v>87.23</v>
      </c>
      <c r="W84" s="26" t="n">
        <v>32.95</v>
      </c>
      <c r="X84" s="26">
        <f>ROUND(('Methodology &amp; Assumptions'!$B$5*V84) + ('Methodology &amp; Assumptions'!$B$6*W84), 2)</f>
        <v/>
      </c>
      <c r="Y84" s="28" t="n">
        <v>8.300000000000001</v>
      </c>
      <c r="Z84" s="11" t="inlineStr">
        <is>
          <t>Priority Tier 2 (Balanced Opportunity)</t>
        </is>
      </c>
    </row>
    <row r="85">
      <c r="A85" s="23" t="n">
        <v>4</v>
      </c>
      <c r="B85" s="23" t="n">
        <v>81</v>
      </c>
      <c r="C85" s="23" t="n">
        <v>3081</v>
      </c>
      <c r="D85" s="23" t="inlineStr">
        <is>
          <t>0401013004</t>
        </is>
      </c>
      <c r="E85" s="11" t="inlineStr">
        <is>
          <t>Region IV-A (CALABARZON)</t>
        </is>
      </c>
      <c r="F85" s="11" t="inlineStr">
        <is>
          <t>Batangas</t>
        </is>
      </c>
      <c r="G85" s="11" t="inlineStr">
        <is>
          <t>Lian</t>
        </is>
      </c>
      <c r="H85" s="11" t="inlineStr">
        <is>
          <t>Binubusan</t>
        </is>
      </c>
      <c r="I85" s="24" t="n">
        <v>13.963261</v>
      </c>
      <c r="J85" s="24" t="n">
        <v>120.636129</v>
      </c>
      <c r="K85" s="23" t="inlineStr">
        <is>
          <t>R</t>
        </is>
      </c>
      <c r="L85" s="25" t="n">
        <v>4668</v>
      </c>
      <c r="M85" s="26" t="n">
        <v>3.6</v>
      </c>
      <c r="N85" s="25">
        <f>ROUND(L85/M85, 0)</f>
        <v/>
      </c>
      <c r="O85" s="25">
        <f>ROUND(N85*'Methodology &amp; Assumptions'!$B$7, 0)</f>
        <v/>
      </c>
      <c r="P85" s="23" t="inlineStr">
        <is>
          <t>Single Carrier (Band n50, 100MHz TDD)</t>
        </is>
      </c>
      <c r="Q85" s="27">
        <f>ROUNDUP(O85/'Methodology &amp; Assumptions'!$B$8, 0)</f>
        <v/>
      </c>
      <c r="R85" s="27" t="n">
        <v>1</v>
      </c>
      <c r="S85" s="26" t="n">
        <v>0.45</v>
      </c>
      <c r="T85" s="26" t="n">
        <v>0.75</v>
      </c>
      <c r="U85" s="11">
        <f>IF(S85&lt;='Methodology &amp; Assumptions'!$B$10, "Direct Optical Drop (&lt;3km)", IF(S85&lt;='Methodology &amp; Assumptions'!$B$9, "Near Optical / Microwave (&lt;5km)", "Starlink Business LEO Satellite Backhaul (&gt;5km)"))</f>
        <v/>
      </c>
      <c r="V85" s="26" t="n">
        <v>85.45999999999999</v>
      </c>
      <c r="W85" s="26" t="n">
        <v>34.73</v>
      </c>
      <c r="X85" s="26">
        <f>ROUND(('Methodology &amp; Assumptions'!$B$5*V85) + ('Methodology &amp; Assumptions'!$B$6*W85), 2)</f>
        <v/>
      </c>
      <c r="Y85" s="28" t="n">
        <v>7.2</v>
      </c>
      <c r="Z85" s="11" t="inlineStr">
        <is>
          <t>Priority Tier 2 (Balanced Opportunity)</t>
        </is>
      </c>
    </row>
    <row r="86">
      <c r="A86" s="23" t="n">
        <v>4</v>
      </c>
      <c r="B86" s="23" t="n">
        <v>82</v>
      </c>
      <c r="C86" s="23" t="n">
        <v>3082</v>
      </c>
      <c r="D86" s="23" t="inlineStr">
        <is>
          <t>0631000005</t>
        </is>
      </c>
      <c r="E86" s="11" t="inlineStr">
        <is>
          <t>Region VI (Western Visayas)</t>
        </is>
      </c>
      <c r="F86" s="11" t="inlineStr">
        <is>
          <t>Iloilo</t>
        </is>
      </c>
      <c r="G86" s="11" t="inlineStr">
        <is>
          <t>City of Iloilo</t>
        </is>
      </c>
      <c r="H86" s="11" t="inlineStr">
        <is>
          <t>Alalasan Lapuz</t>
        </is>
      </c>
      <c r="I86" s="24" t="n">
        <v>10.92438</v>
      </c>
      <c r="J86" s="24" t="n">
        <v>122.558213</v>
      </c>
      <c r="K86" s="23" t="inlineStr">
        <is>
          <t>R</t>
        </is>
      </c>
      <c r="L86" s="25" t="n">
        <v>2929</v>
      </c>
      <c r="M86" s="26" t="n">
        <v>4.2</v>
      </c>
      <c r="N86" s="25">
        <f>ROUND(L86/M86, 0)</f>
        <v/>
      </c>
      <c r="O86" s="25">
        <f>ROUND(N86*'Methodology &amp; Assumptions'!$B$7, 0)</f>
        <v/>
      </c>
      <c r="P86" s="23" t="inlineStr">
        <is>
          <t>Single Carrier (Band n50, 100MHz TDD)</t>
        </is>
      </c>
      <c r="Q86" s="27">
        <f>ROUNDUP(O86/'Methodology &amp; Assumptions'!$B$8, 0)</f>
        <v/>
      </c>
      <c r="R86" s="27" t="n">
        <v>1</v>
      </c>
      <c r="S86" s="26" t="n">
        <v>0.97</v>
      </c>
      <c r="T86" s="26" t="n">
        <v>0.96</v>
      </c>
      <c r="U86" s="11">
        <f>IF(S86&lt;='Methodology &amp; Assumptions'!$B$10, "Direct Optical Drop (&lt;3km)", IF(S86&lt;='Methodology &amp; Assumptions'!$B$9, "Near Optical / Microwave (&lt;5km)", "Starlink Business LEO Satellite Backhaul (&gt;5km)"))</f>
        <v/>
      </c>
      <c r="V86" s="26" t="n">
        <v>82.13</v>
      </c>
      <c r="W86" s="26" t="n">
        <v>38.05</v>
      </c>
      <c r="X86" s="26">
        <f>ROUND(('Methodology &amp; Assumptions'!$B$5*V86) + ('Methodology &amp; Assumptions'!$B$6*W86), 2)</f>
        <v/>
      </c>
      <c r="Y86" s="28" t="n">
        <v>23.7</v>
      </c>
      <c r="Z86" s="11" t="inlineStr">
        <is>
          <t>Priority Tier 2 (Balanced Opportunity)</t>
        </is>
      </c>
    </row>
    <row r="87">
      <c r="A87" s="23" t="n">
        <v>4</v>
      </c>
      <c r="B87" s="23" t="n">
        <v>83</v>
      </c>
      <c r="C87" s="23" t="n">
        <v>3083</v>
      </c>
      <c r="D87" s="23" t="inlineStr">
        <is>
          <t>0401033015</t>
        </is>
      </c>
      <c r="E87" s="11" t="inlineStr">
        <is>
          <t>Region IV-A (CALABARZON)</t>
        </is>
      </c>
      <c r="F87" s="11" t="inlineStr">
        <is>
          <t>Batangas</t>
        </is>
      </c>
      <c r="G87" s="11" t="inlineStr">
        <is>
          <t>Tingloy</t>
        </is>
      </c>
      <c r="H87" s="11" t="inlineStr">
        <is>
          <t>Santo Tomas</t>
        </is>
      </c>
      <c r="I87" s="24" t="n">
        <v>13.6524</v>
      </c>
      <c r="J87" s="24" t="n">
        <v>120.8842</v>
      </c>
      <c r="K87" s="23" t="inlineStr">
        <is>
          <t>R</t>
        </is>
      </c>
      <c r="L87" s="25" t="n">
        <v>2142</v>
      </c>
      <c r="M87" s="26" t="n">
        <v>3.6</v>
      </c>
      <c r="N87" s="25">
        <f>ROUND(L87/M87, 0)</f>
        <v/>
      </c>
      <c r="O87" s="25">
        <f>ROUND(N87*'Methodology &amp; Assumptions'!$B$7, 0)</f>
        <v/>
      </c>
      <c r="P87" s="23" t="inlineStr">
        <is>
          <t>Single Carrier (Band n50, 100MHz TDD)</t>
        </is>
      </c>
      <c r="Q87" s="27">
        <f>ROUNDUP(O87/'Methodology &amp; Assumptions'!$B$8, 0)</f>
        <v/>
      </c>
      <c r="R87" s="27" t="n">
        <v>1</v>
      </c>
      <c r="S87" s="26" t="n">
        <v>4.23</v>
      </c>
      <c r="T87" s="26" t="n">
        <v>16.47</v>
      </c>
      <c r="U87" s="11">
        <f>IF(S87&lt;='Methodology &amp; Assumptions'!$B$10, "Direct Optical Drop (&lt;3km)", IF(S87&lt;='Methodology &amp; Assumptions'!$B$9, "Near Optical / Microwave (&lt;5km)", "Starlink Business LEO Satellite Backhaul (&gt;5km)"))</f>
        <v/>
      </c>
      <c r="V87" s="26" t="n">
        <v>67.26000000000001</v>
      </c>
      <c r="W87" s="26" t="n">
        <v>52.91</v>
      </c>
      <c r="X87" s="26">
        <f>ROUND(('Methodology &amp; Assumptions'!$B$5*V87) + ('Methodology &amp; Assumptions'!$B$6*W87), 2)</f>
        <v/>
      </c>
      <c r="Y87" s="28" t="n">
        <v>7.2</v>
      </c>
      <c r="Z87" s="11" t="inlineStr">
        <is>
          <t>Priority Tier 2 (Balanced Opportunity)</t>
        </is>
      </c>
    </row>
    <row r="88">
      <c r="A88" s="23" t="n">
        <v>4</v>
      </c>
      <c r="B88" s="23" t="n">
        <v>84</v>
      </c>
      <c r="C88" s="23" t="n">
        <v>3084</v>
      </c>
      <c r="D88" s="23" t="inlineStr">
        <is>
          <t>1908803005</t>
        </is>
      </c>
      <c r="E88" s="11" t="inlineStr">
        <is>
          <t>Bangsamoro Autonomous Region In Muslim Mindanao (BARMM)</t>
        </is>
      </c>
      <c r="F88" s="11" t="inlineStr">
        <is>
          <t>Maguindanao del Sur</t>
        </is>
      </c>
      <c r="G88" s="11" t="inlineStr">
        <is>
          <t>Datu Abdullah Sangki</t>
        </is>
      </c>
      <c r="H88" s="11" t="inlineStr">
        <is>
          <t>Maganoy</t>
        </is>
      </c>
      <c r="I88" s="24" t="n">
        <v>6.85308</v>
      </c>
      <c r="J88" s="24" t="n">
        <v>124.397636</v>
      </c>
      <c r="K88" s="23" t="inlineStr">
        <is>
          <t>R</t>
        </is>
      </c>
      <c r="L88" s="25" t="n">
        <v>2909</v>
      </c>
      <c r="M88" s="26" t="n">
        <v>4.7</v>
      </c>
      <c r="N88" s="25">
        <f>ROUND(L88/M88, 0)</f>
        <v/>
      </c>
      <c r="O88" s="25">
        <f>ROUND(N88*'Methodology &amp; Assumptions'!$B$7, 0)</f>
        <v/>
      </c>
      <c r="P88" s="23" t="inlineStr">
        <is>
          <t>Single Carrier (Band n50, 100MHz TDD)</t>
        </is>
      </c>
      <c r="Q88" s="27">
        <f>ROUNDUP(O88/'Methodology &amp; Assumptions'!$B$8, 0)</f>
        <v/>
      </c>
      <c r="R88" s="27" t="n">
        <v>1</v>
      </c>
      <c r="S88" s="26" t="n">
        <v>35.47</v>
      </c>
      <c r="T88" s="26" t="n">
        <v>35.41</v>
      </c>
      <c r="U88" s="11">
        <f>IF(S88&lt;='Methodology &amp; Assumptions'!$B$10, "Direct Optical Drop (&lt;3km)", IF(S88&lt;='Methodology &amp; Assumptions'!$B$9, "Near Optical / Microwave (&lt;5km)", "Starlink Business LEO Satellite Backhaul (&gt;5km)"))</f>
        <v/>
      </c>
      <c r="V88" s="26" t="n">
        <v>50.97</v>
      </c>
      <c r="W88" s="26" t="n">
        <v>69.20999999999999</v>
      </c>
      <c r="X88" s="26">
        <f>ROUND(('Methodology &amp; Assumptions'!$B$5*V88) + ('Methodology &amp; Assumptions'!$B$6*W88), 2)</f>
        <v/>
      </c>
      <c r="Y88" s="28" t="n">
        <v>11</v>
      </c>
      <c r="Z88" s="11" t="inlineStr">
        <is>
          <t>Priority Tier 2 (Balanced Opportunity)</t>
        </is>
      </c>
    </row>
    <row r="89">
      <c r="A89" s="23" t="n">
        <v>4</v>
      </c>
      <c r="B89" s="23" t="n">
        <v>85</v>
      </c>
      <c r="C89" s="23" t="n">
        <v>3085</v>
      </c>
      <c r="D89" s="23" t="inlineStr">
        <is>
          <t>0304930053</t>
        </is>
      </c>
      <c r="E89" s="11" t="inlineStr">
        <is>
          <t>Region III (Central Luzon)</t>
        </is>
      </c>
      <c r="F89" s="11" t="inlineStr">
        <is>
          <t>Nueva Ecija</t>
        </is>
      </c>
      <c r="G89" s="11" t="inlineStr">
        <is>
          <t>Talavera</t>
        </is>
      </c>
      <c r="H89" s="11" t="inlineStr">
        <is>
          <t>Sibul</t>
        </is>
      </c>
      <c r="I89" s="24" t="n">
        <v>15.56768</v>
      </c>
      <c r="J89" s="24" t="n">
        <v>120.920195</v>
      </c>
      <c r="K89" s="23" t="inlineStr">
        <is>
          <t>R</t>
        </is>
      </c>
      <c r="L89" s="25" t="n">
        <v>3531</v>
      </c>
      <c r="M89" s="26" t="n">
        <v>3.5</v>
      </c>
      <c r="N89" s="25">
        <f>ROUND(L89/M89, 0)</f>
        <v/>
      </c>
      <c r="O89" s="25">
        <f>ROUND(N89*'Methodology &amp; Assumptions'!$B$7, 0)</f>
        <v/>
      </c>
      <c r="P89" s="23" t="inlineStr">
        <is>
          <t>Single Carrier (Band n50, 100MHz TDD)</t>
        </is>
      </c>
      <c r="Q89" s="27">
        <f>ROUNDUP(O89/'Methodology &amp; Assumptions'!$B$8, 0)</f>
        <v/>
      </c>
      <c r="R89" s="27" t="n">
        <v>1</v>
      </c>
      <c r="S89" s="26" t="n">
        <v>1.59</v>
      </c>
      <c r="T89" s="26" t="n">
        <v>0.22</v>
      </c>
      <c r="U89" s="11">
        <f>IF(S89&lt;='Methodology &amp; Assumptions'!$B$10, "Direct Optical Drop (&lt;3km)", IF(S89&lt;='Methodology &amp; Assumptions'!$B$9, "Near Optical / Microwave (&lt;5km)", "Starlink Business LEO Satellite Backhaul (&gt;5km)"))</f>
        <v/>
      </c>
      <c r="V89" s="26" t="n">
        <v>82.81999999999999</v>
      </c>
      <c r="W89" s="26" t="n">
        <v>37.35</v>
      </c>
      <c r="X89" s="26">
        <f>ROUND(('Methodology &amp; Assumptions'!$B$5*V89) + ('Methodology &amp; Assumptions'!$B$6*W89), 2)</f>
        <v/>
      </c>
      <c r="Y89" s="28" t="n">
        <v>8.300000000000001</v>
      </c>
      <c r="Z89" s="11" t="inlineStr">
        <is>
          <t>Priority Tier 2 (Balanced Opportunity)</t>
        </is>
      </c>
    </row>
    <row r="90">
      <c r="A90" s="23" t="n">
        <v>4</v>
      </c>
      <c r="B90" s="23" t="n">
        <v>86</v>
      </c>
      <c r="C90" s="23" t="n">
        <v>3086</v>
      </c>
      <c r="D90" s="23" t="inlineStr">
        <is>
          <t>1600203032</t>
        </is>
      </c>
      <c r="E90" s="11" t="inlineStr">
        <is>
          <t>Region XIII (Caraga)</t>
        </is>
      </c>
      <c r="F90" s="11" t="inlineStr">
        <is>
          <t>Agusan del Norte</t>
        </is>
      </c>
      <c r="G90" s="11" t="inlineStr">
        <is>
          <t>City of Cabadbaran</t>
        </is>
      </c>
      <c r="H90" s="11" t="inlineStr">
        <is>
          <t>Poblacion 9</t>
        </is>
      </c>
      <c r="I90" s="24" t="n">
        <v>9.122423</v>
      </c>
      <c r="J90" s="24" t="n">
        <v>125.539393</v>
      </c>
      <c r="K90" s="23" t="inlineStr">
        <is>
          <t>U</t>
        </is>
      </c>
      <c r="L90" s="25" t="n">
        <v>3960</v>
      </c>
      <c r="M90" s="26" t="n">
        <v>4.1</v>
      </c>
      <c r="N90" s="25">
        <f>ROUND(L90/M90, 0)</f>
        <v/>
      </c>
      <c r="O90" s="25">
        <f>ROUND(N90*'Methodology &amp; Assumptions'!$B$7, 0)</f>
        <v/>
      </c>
      <c r="P90" s="23" t="inlineStr">
        <is>
          <t>Single Carrier (Band n50, 100MHz TDD)</t>
        </is>
      </c>
      <c r="Q90" s="27">
        <f>ROUNDUP(O90/'Methodology &amp; Assumptions'!$B$8, 0)</f>
        <v/>
      </c>
      <c r="R90" s="27" t="n">
        <v>1</v>
      </c>
      <c r="S90" s="26" t="n">
        <v>0.97</v>
      </c>
      <c r="T90" s="26" t="n">
        <v>0.45</v>
      </c>
      <c r="U90" s="11">
        <f>IF(S90&lt;='Methodology &amp; Assumptions'!$B$10, "Direct Optical Drop (&lt;3km)", IF(S90&lt;='Methodology &amp; Assumptions'!$B$9, "Near Optical / Microwave (&lt;5km)", "Starlink Business LEO Satellite Backhaul (&gt;5km)"))</f>
        <v/>
      </c>
      <c r="V90" s="26" t="n">
        <v>79.34999999999999</v>
      </c>
      <c r="W90" s="26" t="n">
        <v>40.8</v>
      </c>
      <c r="X90" s="26">
        <f>ROUND(('Methodology &amp; Assumptions'!$B$5*V90) + ('Methodology &amp; Assumptions'!$B$6*W90), 2)</f>
        <v/>
      </c>
      <c r="Y90" s="28" t="n">
        <v>17.4</v>
      </c>
      <c r="Z90" s="11" t="inlineStr">
        <is>
          <t>Priority Tier 2 (Balanced Opportunity)</t>
        </is>
      </c>
    </row>
    <row r="91">
      <c r="A91" s="23" t="n">
        <v>4</v>
      </c>
      <c r="B91" s="23" t="n">
        <v>87</v>
      </c>
      <c r="C91" s="23" t="n">
        <v>3087</v>
      </c>
      <c r="D91" s="23" t="inlineStr">
        <is>
          <t>0402117018</t>
        </is>
      </c>
      <c r="E91" s="11" t="inlineStr">
        <is>
          <t>Region IV-A (CALABARZON)</t>
        </is>
      </c>
      <c r="F91" s="11" t="inlineStr">
        <is>
          <t>Cavite</t>
        </is>
      </c>
      <c r="G91" s="11" t="inlineStr">
        <is>
          <t>Rosario</t>
        </is>
      </c>
      <c r="H91" s="11" t="inlineStr">
        <is>
          <t>Sapa IV</t>
        </is>
      </c>
      <c r="I91" s="24" t="n">
        <v>14.414595</v>
      </c>
      <c r="J91" s="24" t="n">
        <v>120.850253</v>
      </c>
      <c r="K91" s="23" t="inlineStr">
        <is>
          <t>R</t>
        </is>
      </c>
      <c r="L91" s="25" t="n">
        <v>1019</v>
      </c>
      <c r="M91" s="26" t="n">
        <v>3.4</v>
      </c>
      <c r="N91" s="25">
        <f>ROUND(L91/M91, 0)</f>
        <v/>
      </c>
      <c r="O91" s="25">
        <f>ROUND(N91*'Methodology &amp; Assumptions'!$B$7, 0)</f>
        <v/>
      </c>
      <c r="P91" s="23" t="inlineStr">
        <is>
          <t>Single Carrier (Band n50, 100MHz TDD)</t>
        </is>
      </c>
      <c r="Q91" s="27">
        <f>ROUNDUP(O91/'Methodology &amp; Assumptions'!$B$8, 0)</f>
        <v/>
      </c>
      <c r="R91" s="27" t="n">
        <v>1</v>
      </c>
      <c r="S91" s="26" t="n">
        <v>2.22</v>
      </c>
      <c r="T91" s="26" t="n">
        <v>2.39</v>
      </c>
      <c r="U91" s="11">
        <f>IF(S91&lt;='Methodology &amp; Assumptions'!$B$10, "Direct Optical Drop (&lt;3km)", IF(S91&lt;='Methodology &amp; Assumptions'!$B$9, "Near Optical / Microwave (&lt;5km)", "Starlink Business LEO Satellite Backhaul (&gt;5km)"))</f>
        <v/>
      </c>
      <c r="V91" s="26" t="n">
        <v>60.16</v>
      </c>
      <c r="W91" s="26" t="n">
        <v>59.99</v>
      </c>
      <c r="X91" s="26">
        <f>ROUND(('Methodology &amp; Assumptions'!$B$5*V91) + ('Methodology &amp; Assumptions'!$B$6*W91), 2)</f>
        <v/>
      </c>
      <c r="Y91" s="28" t="n">
        <v>7.2</v>
      </c>
      <c r="Z91" s="11" t="inlineStr">
        <is>
          <t>Priority Tier 2 (Balanced Opportunity)</t>
        </is>
      </c>
    </row>
    <row r="92">
      <c r="A92" s="23" t="n">
        <v>4</v>
      </c>
      <c r="B92" s="23" t="n">
        <v>88</v>
      </c>
      <c r="C92" s="23" t="n">
        <v>3088</v>
      </c>
      <c r="D92" s="23" t="inlineStr">
        <is>
          <t>1380601137</t>
        </is>
      </c>
      <c r="E92" s="11" t="inlineStr">
        <is>
          <t>National Capital Region (NCR)</t>
        </is>
      </c>
      <c r="F92" s="11" t="inlineStr">
        <is>
          <t>First District (Not a Province)</t>
        </is>
      </c>
      <c r="G92" s="11" t="inlineStr">
        <is>
          <t>City of Manila</t>
        </is>
      </c>
      <c r="H92" s="11" t="inlineStr">
        <is>
          <t>Barangay 137</t>
        </is>
      </c>
      <c r="I92" s="24" t="n">
        <v>14.62946</v>
      </c>
      <c r="J92" s="24" t="n">
        <v>120.967787</v>
      </c>
      <c r="K92" s="23" t="inlineStr">
        <is>
          <t>U</t>
        </is>
      </c>
      <c r="L92" s="25" t="n">
        <v>1060</v>
      </c>
      <c r="M92" s="26" t="n">
        <v>3.97</v>
      </c>
      <c r="N92" s="25">
        <f>ROUND(L92/M92, 0)</f>
        <v/>
      </c>
      <c r="O92" s="25">
        <f>ROUND(N92*'Methodology &amp; Assumptions'!$B$7, 0)</f>
        <v/>
      </c>
      <c r="P92" s="23" t="inlineStr">
        <is>
          <t>Single Carrier (Band n50, 100MHz TDD)</t>
        </is>
      </c>
      <c r="Q92" s="27">
        <f>ROUNDUP(O92/'Methodology &amp; Assumptions'!$B$8, 0)</f>
        <v/>
      </c>
      <c r="R92" s="27" t="n">
        <v>1</v>
      </c>
      <c r="S92" s="26" t="n">
        <v>0.66</v>
      </c>
      <c r="T92" s="26" t="n">
        <v>0.46</v>
      </c>
      <c r="U92" s="11">
        <f>IF(S92&lt;='Methodology &amp; Assumptions'!$B$10, "Direct Optical Drop (&lt;3km)", IF(S92&lt;='Methodology &amp; Assumptions'!$B$9, "Near Optical / Microwave (&lt;5km)", "Starlink Business LEO Satellite Backhaul (&gt;5km)"))</f>
        <v/>
      </c>
      <c r="V92" s="26" t="n">
        <v>49.66</v>
      </c>
      <c r="W92" s="26" t="n">
        <v>70.48999999999999</v>
      </c>
      <c r="X92" s="26">
        <f>ROUND(('Methodology &amp; Assumptions'!$B$5*V92) + ('Methodology &amp; Assumptions'!$B$6*W92), 2)</f>
        <v/>
      </c>
      <c r="Y92" s="28" t="n">
        <v>10.9</v>
      </c>
      <c r="Z92" s="11" t="inlineStr">
        <is>
          <t>Priority Tier 2 (Balanced Opportunity)</t>
        </is>
      </c>
    </row>
    <row r="93">
      <c r="A93" s="23" t="n">
        <v>4</v>
      </c>
      <c r="B93" s="23" t="n">
        <v>89</v>
      </c>
      <c r="C93" s="23" t="n">
        <v>3089</v>
      </c>
      <c r="D93" s="23" t="inlineStr">
        <is>
          <t>0603043038</t>
        </is>
      </c>
      <c r="E93" s="11" t="inlineStr">
        <is>
          <t>Region VI (Western Visayas)</t>
        </is>
      </c>
      <c r="F93" s="11" t="inlineStr">
        <is>
          <t>Iloilo</t>
        </is>
      </c>
      <c r="G93" s="11" t="inlineStr">
        <is>
          <t>Santa Barbara</t>
        </is>
      </c>
      <c r="H93" s="11" t="inlineStr">
        <is>
          <t>Inangayan</t>
        </is>
      </c>
      <c r="I93" s="24" t="n">
        <v>10.811048</v>
      </c>
      <c r="J93" s="24" t="n">
        <v>122.522933</v>
      </c>
      <c r="K93" s="23" t="inlineStr">
        <is>
          <t>R</t>
        </is>
      </c>
      <c r="L93" s="25" t="n">
        <v>3596</v>
      </c>
      <c r="M93" s="26" t="n">
        <v>3.8</v>
      </c>
      <c r="N93" s="25">
        <f>ROUND(L93/M93, 0)</f>
        <v/>
      </c>
      <c r="O93" s="25">
        <f>ROUND(N93*'Methodology &amp; Assumptions'!$B$7, 0)</f>
        <v/>
      </c>
      <c r="P93" s="23" t="inlineStr">
        <is>
          <t>Single Carrier (Band n50, 100MHz TDD)</t>
        </is>
      </c>
      <c r="Q93" s="27">
        <f>ROUNDUP(O93/'Methodology &amp; Assumptions'!$B$8, 0)</f>
        <v/>
      </c>
      <c r="R93" s="27" t="n">
        <v>1</v>
      </c>
      <c r="S93" s="26" t="n">
        <v>2.21</v>
      </c>
      <c r="T93" s="26" t="n">
        <v>2.22</v>
      </c>
      <c r="U93" s="11">
        <f>IF(S93&lt;='Methodology &amp; Assumptions'!$B$10, "Direct Optical Drop (&lt;3km)", IF(S93&lt;='Methodology &amp; Assumptions'!$B$9, "Near Optical / Microwave (&lt;5km)", "Starlink Business LEO Satellite Backhaul (&gt;5km)"))</f>
        <v/>
      </c>
      <c r="V93" s="26" t="n">
        <v>79.59999999999999</v>
      </c>
      <c r="W93" s="26" t="n">
        <v>40.54</v>
      </c>
      <c r="X93" s="26">
        <f>ROUND(('Methodology &amp; Assumptions'!$B$5*V93) + ('Methodology &amp; Assumptions'!$B$6*W93), 2)</f>
        <v/>
      </c>
      <c r="Y93" s="28" t="n">
        <v>23.7</v>
      </c>
      <c r="Z93" s="11" t="inlineStr">
        <is>
          <t>Priority Tier 2 (Balanced Opportunity)</t>
        </is>
      </c>
    </row>
    <row r="94">
      <c r="A94" s="23" t="n">
        <v>4</v>
      </c>
      <c r="B94" s="23" t="n">
        <v>90</v>
      </c>
      <c r="C94" s="23" t="n">
        <v>3090</v>
      </c>
      <c r="D94" s="23" t="inlineStr">
        <is>
          <t>0403426013</t>
        </is>
      </c>
      <c r="E94" s="11" t="inlineStr">
        <is>
          <t>Region IV-A (CALABARZON)</t>
        </is>
      </c>
      <c r="F94" s="11" t="inlineStr">
        <is>
          <t>Laguna</t>
        </is>
      </c>
      <c r="G94" s="11" t="inlineStr">
        <is>
          <t>Santa Cruz</t>
        </is>
      </c>
      <c r="H94" s="11" t="inlineStr">
        <is>
          <t>Patimbao</t>
        </is>
      </c>
      <c r="I94" s="24" t="n">
        <v>14.267383</v>
      </c>
      <c r="J94" s="24" t="n">
        <v>121.416471</v>
      </c>
      <c r="K94" s="23" t="inlineStr">
        <is>
          <t>U</t>
        </is>
      </c>
      <c r="L94" s="25" t="n">
        <v>10201</v>
      </c>
      <c r="M94" s="26" t="n">
        <v>3.3</v>
      </c>
      <c r="N94" s="25">
        <f>ROUND(L94/M94, 0)</f>
        <v/>
      </c>
      <c r="O94" s="25">
        <f>ROUND(N94*'Methodology &amp; Assumptions'!$B$7, 0)</f>
        <v/>
      </c>
      <c r="P94" s="23" t="inlineStr">
        <is>
          <t>Single Carrier (Band n50, 100MHz TDD)</t>
        </is>
      </c>
      <c r="Q94" s="27">
        <f>ROUNDUP(O94/'Methodology &amp; Assumptions'!$B$8, 0)</f>
        <v/>
      </c>
      <c r="R94" s="27" t="n">
        <v>1</v>
      </c>
      <c r="S94" s="26" t="n">
        <v>1.35</v>
      </c>
      <c r="T94" s="26" t="n">
        <v>0.09</v>
      </c>
      <c r="U94" s="11">
        <f>IF(S94&lt;='Methodology &amp; Assumptions'!$B$10, "Direct Optical Drop (&lt;3km)", IF(S94&lt;='Methodology &amp; Assumptions'!$B$9, "Near Optical / Microwave (&lt;5km)", "Starlink Business LEO Satellite Backhaul (&gt;5km)"))</f>
        <v/>
      </c>
      <c r="V94" s="26" t="n">
        <v>76.31</v>
      </c>
      <c r="W94" s="26" t="n">
        <v>43.83</v>
      </c>
      <c r="X94" s="26">
        <f>ROUND(('Methodology &amp; Assumptions'!$B$5*V94) + ('Methodology &amp; Assumptions'!$B$6*W94), 2)</f>
        <v/>
      </c>
      <c r="Y94" s="28" t="n">
        <v>7.2</v>
      </c>
      <c r="Z94" s="11" t="inlineStr">
        <is>
          <t>Priority Tier 2 (Balanced Opportunity)</t>
        </is>
      </c>
    </row>
    <row r="95">
      <c r="A95" s="23" t="n">
        <v>4</v>
      </c>
      <c r="B95" s="23" t="n">
        <v>91</v>
      </c>
      <c r="C95" s="23" t="n">
        <v>3091</v>
      </c>
      <c r="D95" s="23" t="inlineStr">
        <is>
          <t>0301406001</t>
        </is>
      </c>
      <c r="E95" s="11" t="inlineStr">
        <is>
          <t>Region III (Central Luzon)</t>
        </is>
      </c>
      <c r="F95" s="11" t="inlineStr">
        <is>
          <t>Bulacan</t>
        </is>
      </c>
      <c r="G95" s="11" t="inlineStr">
        <is>
          <t>Bustos</t>
        </is>
      </c>
      <c r="H95" s="11" t="inlineStr">
        <is>
          <t>Bonga Mayor</t>
        </is>
      </c>
      <c r="I95" s="24" t="n">
        <v>14.954214</v>
      </c>
      <c r="J95" s="24" t="n">
        <v>120.938981</v>
      </c>
      <c r="K95" s="23" t="inlineStr">
        <is>
          <t>U</t>
        </is>
      </c>
      <c r="L95" s="25" t="n">
        <v>6788</v>
      </c>
      <c r="M95" s="26" t="n">
        <v>3.5</v>
      </c>
      <c r="N95" s="25">
        <f>ROUND(L95/M95, 0)</f>
        <v/>
      </c>
      <c r="O95" s="25">
        <f>ROUND(N95*'Methodology &amp; Assumptions'!$B$7, 0)</f>
        <v/>
      </c>
      <c r="P95" s="23" t="inlineStr">
        <is>
          <t>Single Carrier (Band n50, 100MHz TDD)</t>
        </is>
      </c>
      <c r="Q95" s="27">
        <f>ROUNDUP(O95/'Methodology &amp; Assumptions'!$B$8, 0)</f>
        <v/>
      </c>
      <c r="R95" s="27" t="n">
        <v>1</v>
      </c>
      <c r="S95" s="26" t="n">
        <v>2.25</v>
      </c>
      <c r="T95" s="26" t="n">
        <v>1.49</v>
      </c>
      <c r="U95" s="11">
        <f>IF(S95&lt;='Methodology &amp; Assumptions'!$B$10, "Direct Optical Drop (&lt;3km)", IF(S95&lt;='Methodology &amp; Assumptions'!$B$9, "Near Optical / Microwave (&lt;5km)", "Starlink Business LEO Satellite Backhaul (&gt;5km)"))</f>
        <v/>
      </c>
      <c r="V95" s="26" t="n">
        <v>73.36</v>
      </c>
      <c r="W95" s="26" t="n">
        <v>46.78</v>
      </c>
      <c r="X95" s="26">
        <f>ROUND(('Methodology &amp; Assumptions'!$B$5*V95) + ('Methodology &amp; Assumptions'!$B$6*W95), 2)</f>
        <v/>
      </c>
      <c r="Y95" s="28" t="n">
        <v>8.300000000000001</v>
      </c>
      <c r="Z95" s="11" t="inlineStr">
        <is>
          <t>Priority Tier 2 (Balanced Opportunity)</t>
        </is>
      </c>
    </row>
    <row r="96">
      <c r="A96" s="23" t="n">
        <v>4</v>
      </c>
      <c r="B96" s="23" t="n">
        <v>92</v>
      </c>
      <c r="C96" s="23" t="n">
        <v>3092</v>
      </c>
      <c r="D96" s="23" t="inlineStr">
        <is>
          <t>0803738111</t>
        </is>
      </c>
      <c r="E96" s="11" t="inlineStr">
        <is>
          <t>Region VIII (Eastern Visayas)</t>
        </is>
      </c>
      <c r="F96" s="11" t="inlineStr">
        <is>
          <t>Leyte</t>
        </is>
      </c>
      <c r="G96" s="11" t="inlineStr">
        <is>
          <t>Ormoc City</t>
        </is>
      </c>
      <c r="H96" s="11" t="inlineStr">
        <is>
          <t>Doña Feliza Z. Mejia</t>
        </is>
      </c>
      <c r="I96" s="24" t="n">
        <v>11.022779</v>
      </c>
      <c r="J96" s="24" t="n">
        <v>124.598903</v>
      </c>
      <c r="K96" s="23" t="inlineStr">
        <is>
          <t>U</t>
        </is>
      </c>
      <c r="L96" s="25" t="n">
        <v>3280</v>
      </c>
      <c r="M96" s="26" t="n">
        <v>3.8</v>
      </c>
      <c r="N96" s="25">
        <f>ROUND(L96/M96, 0)</f>
        <v/>
      </c>
      <c r="O96" s="25">
        <f>ROUND(N96*'Methodology &amp; Assumptions'!$B$7, 0)</f>
        <v/>
      </c>
      <c r="P96" s="23" t="inlineStr">
        <is>
          <t>Single Carrier (Band n50, 100MHz TDD)</t>
        </is>
      </c>
      <c r="Q96" s="27">
        <f>ROUNDUP(O96/'Methodology &amp; Assumptions'!$B$8, 0)</f>
        <v/>
      </c>
      <c r="R96" s="27" t="n">
        <v>1</v>
      </c>
      <c r="S96" s="26" t="n">
        <v>0.15</v>
      </c>
      <c r="T96" s="26" t="n">
        <v>0.04</v>
      </c>
      <c r="U96" s="11">
        <f>IF(S96&lt;='Methodology &amp; Assumptions'!$B$10, "Direct Optical Drop (&lt;3km)", IF(S96&lt;='Methodology &amp; Assumptions'!$B$9, "Near Optical / Microwave (&lt;5km)", "Starlink Business LEO Satellite Backhaul (&gt;5km)"))</f>
        <v/>
      </c>
      <c r="V96" s="26" t="n">
        <v>80.52</v>
      </c>
      <c r="W96" s="26" t="n">
        <v>39.6</v>
      </c>
      <c r="X96" s="26">
        <f>ROUND(('Methodology &amp; Assumptions'!$B$5*V96) + ('Methodology &amp; Assumptions'!$B$6*W96), 2)</f>
        <v/>
      </c>
      <c r="Y96" s="28" t="n">
        <v>23.7</v>
      </c>
      <c r="Z96" s="11" t="inlineStr">
        <is>
          <t>Priority Tier 2 (Balanced Opportunity)</t>
        </is>
      </c>
    </row>
    <row r="97">
      <c r="A97" s="23" t="n">
        <v>4</v>
      </c>
      <c r="B97" s="23" t="n">
        <v>93</v>
      </c>
      <c r="C97" s="23" t="n">
        <v>3093</v>
      </c>
      <c r="D97" s="23" t="inlineStr">
        <is>
          <t>1401107017</t>
        </is>
      </c>
      <c r="E97" s="11" t="inlineStr">
        <is>
          <t>Cordillera Administrative Region (CAR)</t>
        </is>
      </c>
      <c r="F97" s="11" t="inlineStr">
        <is>
          <t>Benguet</t>
        </is>
      </c>
      <c r="G97" s="11" t="inlineStr">
        <is>
          <t>Kabayan</t>
        </is>
      </c>
      <c r="H97" s="11" t="inlineStr">
        <is>
          <t>Poblacion</t>
        </is>
      </c>
      <c r="I97" s="24" t="n">
        <v>16.62616</v>
      </c>
      <c r="J97" s="24" t="n">
        <v>120.8385</v>
      </c>
      <c r="K97" s="23" t="inlineStr">
        <is>
          <t>R</t>
        </is>
      </c>
      <c r="L97" s="25" t="n">
        <v>1970</v>
      </c>
      <c r="M97" s="26" t="n">
        <v>3.5</v>
      </c>
      <c r="N97" s="25">
        <f>ROUND(L97/M97, 0)</f>
        <v/>
      </c>
      <c r="O97" s="25">
        <f>ROUND(N97*'Methodology &amp; Assumptions'!$B$7, 0)</f>
        <v/>
      </c>
      <c r="P97" s="23" t="inlineStr">
        <is>
          <t>Single Carrier (Band n50, 100MHz TDD)</t>
        </is>
      </c>
      <c r="Q97" s="27">
        <f>ROUNDUP(O97/'Methodology &amp; Assumptions'!$B$8, 0)</f>
        <v/>
      </c>
      <c r="R97" s="27" t="n">
        <v>1</v>
      </c>
      <c r="S97" s="26" t="n">
        <v>0.05</v>
      </c>
      <c r="T97" s="26" t="n">
        <v>7.16</v>
      </c>
      <c r="U97" s="11">
        <f>IF(S97&lt;='Methodology &amp; Assumptions'!$B$10, "Direct Optical Drop (&lt;3km)", IF(S97&lt;='Methodology &amp; Assumptions'!$B$9, "Near Optical / Microwave (&lt;5km)", "Starlink Business LEO Satellite Backhaul (&gt;5km)"))</f>
        <v/>
      </c>
      <c r="V97" s="26" t="n">
        <v>75.93000000000001</v>
      </c>
      <c r="W97" s="26" t="n">
        <v>44.19</v>
      </c>
      <c r="X97" s="26">
        <f>ROUND(('Methodology &amp; Assumptions'!$B$5*V97) + ('Methodology &amp; Assumptions'!$B$6*W97), 2)</f>
        <v/>
      </c>
      <c r="Y97" s="28" t="n">
        <v>10.9</v>
      </c>
      <c r="Z97" s="11" t="inlineStr">
        <is>
          <t>Priority Tier 2 (Balanced Opportunity)</t>
        </is>
      </c>
    </row>
    <row r="98">
      <c r="A98" s="23" t="n">
        <v>4</v>
      </c>
      <c r="B98" s="23" t="n">
        <v>94</v>
      </c>
      <c r="C98" s="23" t="n">
        <v>3094</v>
      </c>
      <c r="D98" s="23" t="inlineStr">
        <is>
          <t>0403419013</t>
        </is>
      </c>
      <c r="E98" s="11" t="inlineStr">
        <is>
          <t>Region IV-A (CALABARZON)</t>
        </is>
      </c>
      <c r="F98" s="11" t="inlineStr">
        <is>
          <t>Laguna</t>
        </is>
      </c>
      <c r="G98" s="11" t="inlineStr">
        <is>
          <t>Pagsanjan</t>
        </is>
      </c>
      <c r="H98" s="11" t="inlineStr">
        <is>
          <t>Barangay II</t>
        </is>
      </c>
      <c r="I98" s="24" t="n">
        <v>14.274027</v>
      </c>
      <c r="J98" s="24" t="n">
        <v>121.45181</v>
      </c>
      <c r="K98" s="23" t="inlineStr">
        <is>
          <t>U</t>
        </is>
      </c>
      <c r="L98" s="25" t="n">
        <v>2128</v>
      </c>
      <c r="M98" s="26" t="n">
        <v>3.3</v>
      </c>
      <c r="N98" s="25">
        <f>ROUND(L98/M98, 0)</f>
        <v/>
      </c>
      <c r="O98" s="25">
        <f>ROUND(N98*'Methodology &amp; Assumptions'!$B$7, 0)</f>
        <v/>
      </c>
      <c r="P98" s="23" t="inlineStr">
        <is>
          <t>Single Carrier (Band n50, 100MHz TDD)</t>
        </is>
      </c>
      <c r="Q98" s="27">
        <f>ROUNDUP(O98/'Methodology &amp; Assumptions'!$B$8, 0)</f>
        <v/>
      </c>
      <c r="R98" s="27" t="n">
        <v>1</v>
      </c>
      <c r="S98" s="26" t="n">
        <v>0.17</v>
      </c>
      <c r="T98" s="26" t="n">
        <v>0.1</v>
      </c>
      <c r="U98" s="11">
        <f>IF(S98&lt;='Methodology &amp; Assumptions'!$B$10, "Direct Optical Drop (&lt;3km)", IF(S98&lt;='Methodology &amp; Assumptions'!$B$9, "Near Optical / Microwave (&lt;5km)", "Starlink Business LEO Satellite Backhaul (&gt;5km)"))</f>
        <v/>
      </c>
      <c r="V98" s="26" t="n">
        <v>72.76000000000001</v>
      </c>
      <c r="W98" s="26" t="n">
        <v>47.36</v>
      </c>
      <c r="X98" s="26">
        <f>ROUND(('Methodology &amp; Assumptions'!$B$5*V98) + ('Methodology &amp; Assumptions'!$B$6*W98), 2)</f>
        <v/>
      </c>
      <c r="Y98" s="28" t="n">
        <v>7.2</v>
      </c>
      <c r="Z98" s="11" t="inlineStr">
        <is>
          <t>Priority Tier 2 (Balanced Opportunity)</t>
        </is>
      </c>
    </row>
    <row r="99">
      <c r="A99" s="23" t="n">
        <v>4</v>
      </c>
      <c r="B99" s="23" t="n">
        <v>95</v>
      </c>
      <c r="C99" s="23" t="n">
        <v>3095</v>
      </c>
      <c r="D99" s="23" t="inlineStr">
        <is>
          <t>0403405001</t>
        </is>
      </c>
      <c r="E99" s="11" t="inlineStr">
        <is>
          <t>Region IV-A (CALABARZON)</t>
        </is>
      </c>
      <c r="F99" s="11" t="inlineStr">
        <is>
          <t>Laguna</t>
        </is>
      </c>
      <c r="G99" s="11" t="inlineStr">
        <is>
          <t>City of Calamba</t>
        </is>
      </c>
      <c r="H99" s="11" t="inlineStr">
        <is>
          <t>Bagong Kalsada</t>
        </is>
      </c>
      <c r="I99" s="24" t="n">
        <v>14.176131</v>
      </c>
      <c r="J99" s="24" t="n">
        <v>121.20145</v>
      </c>
      <c r="K99" s="23" t="inlineStr">
        <is>
          <t>U</t>
        </is>
      </c>
      <c r="L99" s="25" t="n">
        <v>4266</v>
      </c>
      <c r="M99" s="26" t="n">
        <v>3.3</v>
      </c>
      <c r="N99" s="25">
        <f>ROUND(L99/M99, 0)</f>
        <v/>
      </c>
      <c r="O99" s="25">
        <f>ROUND(N99*'Methodology &amp; Assumptions'!$B$7, 0)</f>
        <v/>
      </c>
      <c r="P99" s="23" t="inlineStr">
        <is>
          <t>Single Carrier (Band n50, 100MHz TDD)</t>
        </is>
      </c>
      <c r="Q99" s="27">
        <f>ROUNDUP(O99/'Methodology &amp; Assumptions'!$B$8, 0)</f>
        <v/>
      </c>
      <c r="R99" s="27" t="n">
        <v>1</v>
      </c>
      <c r="S99" s="26" t="n">
        <v>4.42</v>
      </c>
      <c r="T99" s="26" t="n">
        <v>0.36</v>
      </c>
      <c r="U99" s="11">
        <f>IF(S99&lt;='Methodology &amp; Assumptions'!$B$10, "Direct Optical Drop (&lt;3km)", IF(S99&lt;='Methodology &amp; Assumptions'!$B$9, "Near Optical / Microwave (&lt;5km)", "Starlink Business LEO Satellite Backhaul (&gt;5km)"))</f>
        <v/>
      </c>
      <c r="V99" s="26" t="n">
        <v>67.81</v>
      </c>
      <c r="W99" s="26" t="n">
        <v>52.3</v>
      </c>
      <c r="X99" s="26">
        <f>ROUND(('Methodology &amp; Assumptions'!$B$5*V99) + ('Methodology &amp; Assumptions'!$B$6*W99), 2)</f>
        <v/>
      </c>
      <c r="Y99" s="28" t="n">
        <v>7.2</v>
      </c>
      <c r="Z99" s="11" t="inlineStr">
        <is>
          <t>Priority Tier 2 (Balanced Opportunity)</t>
        </is>
      </c>
    </row>
    <row r="100">
      <c r="A100" s="23" t="n">
        <v>4</v>
      </c>
      <c r="B100" s="23" t="n">
        <v>96</v>
      </c>
      <c r="C100" s="23" t="n">
        <v>3096</v>
      </c>
      <c r="D100" s="23" t="inlineStr">
        <is>
          <t>1381100139</t>
        </is>
      </c>
      <c r="E100" s="11" t="inlineStr">
        <is>
          <t>National Capital Region (NCR)</t>
        </is>
      </c>
      <c r="F100" s="11" t="inlineStr">
        <is>
          <t>Fourth District (Not a Province)</t>
        </is>
      </c>
      <c r="G100" s="11" t="inlineStr">
        <is>
          <t>Pasay City</t>
        </is>
      </c>
      <c r="H100" s="11" t="inlineStr">
        <is>
          <t>Barangay 139</t>
        </is>
      </c>
      <c r="I100" s="24" t="n">
        <v>14.540697</v>
      </c>
      <c r="J100" s="24" t="n">
        <v>121.006725</v>
      </c>
      <c r="K100" s="23" t="inlineStr">
        <is>
          <t>U</t>
        </is>
      </c>
      <c r="L100" s="25" t="n">
        <v>956</v>
      </c>
      <c r="M100" s="26" t="n">
        <v>3.29</v>
      </c>
      <c r="N100" s="25">
        <f>ROUND(L100/M100, 0)</f>
        <v/>
      </c>
      <c r="O100" s="25">
        <f>ROUND(N100*'Methodology &amp; Assumptions'!$B$7, 0)</f>
        <v/>
      </c>
      <c r="P100" s="23" t="inlineStr">
        <is>
          <t>Single Carrier (Band n50, 100MHz TDD)</t>
        </is>
      </c>
      <c r="Q100" s="27">
        <f>ROUNDUP(O100/'Methodology &amp; Assumptions'!$B$8, 0)</f>
        <v/>
      </c>
      <c r="R100" s="27" t="n">
        <v>1</v>
      </c>
      <c r="S100" s="26" t="n">
        <v>1.13</v>
      </c>
      <c r="T100" s="26" t="n">
        <v>0.5</v>
      </c>
      <c r="U100" s="11">
        <f>IF(S100&lt;='Methodology &amp; Assumptions'!$B$10, "Direct Optical Drop (&lt;3km)", IF(S100&lt;='Methodology &amp; Assumptions'!$B$9, "Near Optical / Microwave (&lt;5km)", "Starlink Business LEO Satellite Backhaul (&gt;5km)"))</f>
        <v/>
      </c>
      <c r="V100" s="26" t="n">
        <v>49.31</v>
      </c>
      <c r="W100" s="26" t="n">
        <v>70.8</v>
      </c>
      <c r="X100" s="26">
        <f>ROUND(('Methodology &amp; Assumptions'!$B$5*V100) + ('Methodology &amp; Assumptions'!$B$6*W100), 2)</f>
        <v/>
      </c>
      <c r="Y100" s="28" t="n">
        <v>10.9</v>
      </c>
      <c r="Z100" s="11" t="inlineStr">
        <is>
          <t>Priority Tier 2 (Balanced Opportunity)</t>
        </is>
      </c>
    </row>
    <row r="101">
      <c r="A101" s="23" t="n">
        <v>4</v>
      </c>
      <c r="B101" s="23" t="n">
        <v>97</v>
      </c>
      <c r="C101" s="23" t="n">
        <v>3097</v>
      </c>
      <c r="D101" s="23" t="inlineStr">
        <is>
          <t>1004303003</t>
        </is>
      </c>
      <c r="E101" s="11" t="inlineStr">
        <is>
          <t>Region X (Northern Mindanao)</t>
        </is>
      </c>
      <c r="F101" s="11" t="inlineStr">
        <is>
          <t>Misamis Oriental</t>
        </is>
      </c>
      <c r="G101" s="11" t="inlineStr">
        <is>
          <t>Balingoan</t>
        </is>
      </c>
      <c r="H101" s="11" t="inlineStr">
        <is>
          <t>Baukbauk Pob.</t>
        </is>
      </c>
      <c r="I101" s="24" t="n">
        <v>8.997256999999999</v>
      </c>
      <c r="J101" s="24" t="n">
        <v>124.88532</v>
      </c>
      <c r="K101" s="23" t="inlineStr">
        <is>
          <t>R</t>
        </is>
      </c>
      <c r="L101" s="25" t="n">
        <v>2911</v>
      </c>
      <c r="M101" s="26" t="n">
        <v>3.9</v>
      </c>
      <c r="N101" s="25">
        <f>ROUND(L101/M101, 0)</f>
        <v/>
      </c>
      <c r="O101" s="25">
        <f>ROUND(N101*'Methodology &amp; Assumptions'!$B$7, 0)</f>
        <v/>
      </c>
      <c r="P101" s="23" t="inlineStr">
        <is>
          <t>Single Carrier (Band n50, 100MHz TDD)</t>
        </is>
      </c>
      <c r="Q101" s="27">
        <f>ROUNDUP(O101/'Methodology &amp; Assumptions'!$B$8, 0)</f>
        <v/>
      </c>
      <c r="R101" s="27" t="n">
        <v>1</v>
      </c>
      <c r="S101" s="26" t="n">
        <v>0.48</v>
      </c>
      <c r="T101" s="26" t="n">
        <v>0.37</v>
      </c>
      <c r="U101" s="11">
        <f>IF(S101&lt;='Methodology &amp; Assumptions'!$B$10, "Direct Optical Drop (&lt;3km)", IF(S101&lt;='Methodology &amp; Assumptions'!$B$9, "Near Optical / Microwave (&lt;5km)", "Starlink Business LEO Satellite Backhaul (&gt;5km)"))</f>
        <v/>
      </c>
      <c r="V101" s="26" t="n">
        <v>86.43000000000001</v>
      </c>
      <c r="W101" s="26" t="n">
        <v>33.66</v>
      </c>
      <c r="X101" s="26">
        <f>ROUND(('Methodology &amp; Assumptions'!$B$5*V101) + ('Methodology &amp; Assumptions'!$B$6*W101), 2)</f>
        <v/>
      </c>
      <c r="Y101" s="28" t="n">
        <v>17.4</v>
      </c>
      <c r="Z101" s="11" t="inlineStr">
        <is>
          <t>Priority Tier 2 (Balanced Opportunity)</t>
        </is>
      </c>
    </row>
    <row r="102">
      <c r="A102" s="23" t="n">
        <v>4</v>
      </c>
      <c r="B102" s="23" t="n">
        <v>98</v>
      </c>
      <c r="C102" s="23" t="n">
        <v>3098</v>
      </c>
      <c r="D102" s="23" t="inlineStr">
        <is>
          <t>0402117014</t>
        </is>
      </c>
      <c r="E102" s="11" t="inlineStr">
        <is>
          <t>Region IV-A (CALABARZON)</t>
        </is>
      </c>
      <c r="F102" s="11" t="inlineStr">
        <is>
          <t>Cavite</t>
        </is>
      </c>
      <c r="G102" s="11" t="inlineStr">
        <is>
          <t>Rosario</t>
        </is>
      </c>
      <c r="H102" s="11" t="inlineStr">
        <is>
          <t>Ligtong IV</t>
        </is>
      </c>
      <c r="I102" s="24" t="n">
        <v>14.426171</v>
      </c>
      <c r="J102" s="24" t="n">
        <v>120.866402</v>
      </c>
      <c r="K102" s="23" t="inlineStr">
        <is>
          <t>R</t>
        </is>
      </c>
      <c r="L102" s="25" t="n">
        <v>3117</v>
      </c>
      <c r="M102" s="26" t="n">
        <v>3.4</v>
      </c>
      <c r="N102" s="25">
        <f>ROUND(L102/M102, 0)</f>
        <v/>
      </c>
      <c r="O102" s="25">
        <f>ROUND(N102*'Methodology &amp; Assumptions'!$B$7, 0)</f>
        <v/>
      </c>
      <c r="P102" s="23" t="inlineStr">
        <is>
          <t>Single Carrier (Band n50, 100MHz TDD)</t>
        </is>
      </c>
      <c r="Q102" s="27">
        <f>ROUNDUP(O102/'Methodology &amp; Assumptions'!$B$8, 0)</f>
        <v/>
      </c>
      <c r="R102" s="27" t="n">
        <v>1</v>
      </c>
      <c r="S102" s="26" t="n">
        <v>1.83</v>
      </c>
      <c r="T102" s="26" t="n">
        <v>1.8</v>
      </c>
      <c r="U102" s="11">
        <f>IF(S102&lt;='Methodology &amp; Assumptions'!$B$10, "Direct Optical Drop (&lt;3km)", IF(S102&lt;='Methodology &amp; Assumptions'!$B$9, "Near Optical / Microwave (&lt;5km)", "Starlink Business LEO Satellite Backhaul (&gt;5km)"))</f>
        <v/>
      </c>
      <c r="V102" s="26" t="n">
        <v>81.81</v>
      </c>
      <c r="W102" s="26" t="n">
        <v>38.29</v>
      </c>
      <c r="X102" s="26">
        <f>ROUND(('Methodology &amp; Assumptions'!$B$5*V102) + ('Methodology &amp; Assumptions'!$B$6*W102), 2)</f>
        <v/>
      </c>
      <c r="Y102" s="28" t="n">
        <v>7.2</v>
      </c>
      <c r="Z102" s="11" t="inlineStr">
        <is>
          <t>Priority Tier 2 (Balanced Opportunity)</t>
        </is>
      </c>
    </row>
    <row r="103">
      <c r="A103" s="23" t="n">
        <v>4</v>
      </c>
      <c r="B103" s="23" t="n">
        <v>99</v>
      </c>
      <c r="C103" s="23" t="n">
        <v>3099</v>
      </c>
      <c r="D103" s="23" t="inlineStr">
        <is>
          <t>1380606071</t>
        </is>
      </c>
      <c r="E103" s="11" t="inlineStr">
        <is>
          <t>National Capital Region (NCR)</t>
        </is>
      </c>
      <c r="F103" s="11" t="inlineStr">
        <is>
          <t>First District (Not a Province)</t>
        </is>
      </c>
      <c r="G103" s="11" t="inlineStr">
        <is>
          <t>City of Manila</t>
        </is>
      </c>
      <c r="H103" s="11" t="inlineStr">
        <is>
          <t>Barangay 465</t>
        </is>
      </c>
      <c r="I103" s="24" t="n">
        <v>14.608058</v>
      </c>
      <c r="J103" s="24" t="n">
        <v>120.987631</v>
      </c>
      <c r="K103" s="23" t="inlineStr">
        <is>
          <t>U</t>
        </is>
      </c>
      <c r="L103" s="25" t="n">
        <v>1292</v>
      </c>
      <c r="M103" s="26" t="n">
        <v>3.96</v>
      </c>
      <c r="N103" s="25">
        <f>ROUND(L103/M103, 0)</f>
        <v/>
      </c>
      <c r="O103" s="25">
        <f>ROUND(N103*'Methodology &amp; Assumptions'!$B$7, 0)</f>
        <v/>
      </c>
      <c r="P103" s="23" t="inlineStr">
        <is>
          <t>Single Carrier (Band n50, 100MHz TDD)</t>
        </is>
      </c>
      <c r="Q103" s="27">
        <f>ROUNDUP(O103/'Methodology &amp; Assumptions'!$B$8, 0)</f>
        <v/>
      </c>
      <c r="R103" s="27" t="n">
        <v>1</v>
      </c>
      <c r="S103" s="26" t="n">
        <v>0.67</v>
      </c>
      <c r="T103" s="26" t="n">
        <v>0.25</v>
      </c>
      <c r="U103" s="11">
        <f>IF(S103&lt;='Methodology &amp; Assumptions'!$B$10, "Direct Optical Drop (&lt;3km)", IF(S103&lt;='Methodology &amp; Assumptions'!$B$9, "Near Optical / Microwave (&lt;5km)", "Starlink Business LEO Satellite Backhaul (&gt;5km)"))</f>
        <v/>
      </c>
      <c r="V103" s="26" t="n">
        <v>51.59</v>
      </c>
      <c r="W103" s="26" t="n">
        <v>68.51000000000001</v>
      </c>
      <c r="X103" s="26">
        <f>ROUND(('Methodology &amp; Assumptions'!$B$5*V103) + ('Methodology &amp; Assumptions'!$B$6*W103), 2)</f>
        <v/>
      </c>
      <c r="Y103" s="28" t="n">
        <v>10.9</v>
      </c>
      <c r="Z103" s="11" t="inlineStr">
        <is>
          <t>Priority Tier 2 (Balanced Opportunity)</t>
        </is>
      </c>
    </row>
    <row r="104">
      <c r="A104" s="23" t="n">
        <v>4</v>
      </c>
      <c r="B104" s="23" t="n">
        <v>100</v>
      </c>
      <c r="C104" s="23" t="n">
        <v>3100</v>
      </c>
      <c r="D104" s="23" t="inlineStr">
        <is>
          <t>1381100045</t>
        </is>
      </c>
      <c r="E104" s="11" t="inlineStr">
        <is>
          <t>National Capital Region (NCR)</t>
        </is>
      </c>
      <c r="F104" s="11" t="inlineStr">
        <is>
          <t>Fourth District (Not a Province)</t>
        </is>
      </c>
      <c r="G104" s="11" t="inlineStr">
        <is>
          <t>Pasay City</t>
        </is>
      </c>
      <c r="H104" s="11" t="inlineStr">
        <is>
          <t>Barangay 45</t>
        </is>
      </c>
      <c r="I104" s="24" t="n">
        <v>14.557869</v>
      </c>
      <c r="J104" s="24" t="n">
        <v>120.998621</v>
      </c>
      <c r="K104" s="23" t="inlineStr">
        <is>
          <t>U</t>
        </is>
      </c>
      <c r="L104" s="25" t="n">
        <v>1157</v>
      </c>
      <c r="M104" s="26" t="n">
        <v>3.59</v>
      </c>
      <c r="N104" s="25">
        <f>ROUND(L104/M104, 0)</f>
        <v/>
      </c>
      <c r="O104" s="25">
        <f>ROUND(N104*'Methodology &amp; Assumptions'!$B$7, 0)</f>
        <v/>
      </c>
      <c r="P104" s="23" t="inlineStr">
        <is>
          <t>Single Carrier (Band n50, 100MHz TDD)</t>
        </is>
      </c>
      <c r="Q104" s="27">
        <f>ROUNDUP(O104/'Methodology &amp; Assumptions'!$B$8, 0)</f>
        <v/>
      </c>
      <c r="R104" s="27" t="n">
        <v>1</v>
      </c>
      <c r="S104" s="26" t="n">
        <v>0.9</v>
      </c>
      <c r="T104" s="26" t="n">
        <v>0.24</v>
      </c>
      <c r="U104" s="11">
        <f>IF(S104&lt;='Methodology &amp; Assumptions'!$B$10, "Direct Optical Drop (&lt;3km)", IF(S104&lt;='Methodology &amp; Assumptions'!$B$9, "Near Optical / Microwave (&lt;5km)", "Starlink Business LEO Satellite Backhaul (&gt;5km)"))</f>
        <v/>
      </c>
      <c r="V104" s="26" t="n">
        <v>51.26</v>
      </c>
      <c r="W104" s="26" t="n">
        <v>68.84</v>
      </c>
      <c r="X104" s="26">
        <f>ROUND(('Methodology &amp; Assumptions'!$B$5*V104) + ('Methodology &amp; Assumptions'!$B$6*W104), 2)</f>
        <v/>
      </c>
      <c r="Y104" s="28" t="n">
        <v>10.9</v>
      </c>
      <c r="Z104" s="11" t="inlineStr">
        <is>
          <t>Priority Tier 2 (Balanced Opportunity)</t>
        </is>
      </c>
    </row>
    <row r="105">
      <c r="A105" s="23" t="n">
        <v>4</v>
      </c>
      <c r="B105" s="23" t="n">
        <v>101</v>
      </c>
      <c r="C105" s="23" t="n">
        <v>3101</v>
      </c>
      <c r="D105" s="23" t="inlineStr">
        <is>
          <t>1380605025</t>
        </is>
      </c>
      <c r="E105" s="11" t="inlineStr">
        <is>
          <t>National Capital Region (NCR)</t>
        </is>
      </c>
      <c r="F105" s="11" t="inlineStr">
        <is>
          <t>First District (Not a Province)</t>
        </is>
      </c>
      <c r="G105" s="11" t="inlineStr">
        <is>
          <t>City of Manila</t>
        </is>
      </c>
      <c r="H105" s="11" t="inlineStr">
        <is>
          <t>Barangay 323</t>
        </is>
      </c>
      <c r="I105" s="24" t="n">
        <v>14.612417</v>
      </c>
      <c r="J105" s="24" t="n">
        <v>120.985246</v>
      </c>
      <c r="K105" s="23" t="inlineStr">
        <is>
          <t>U</t>
        </is>
      </c>
      <c r="L105" s="25" t="n">
        <v>1076</v>
      </c>
      <c r="M105" s="26" t="n">
        <v>3.93</v>
      </c>
      <c r="N105" s="25">
        <f>ROUND(L105/M105, 0)</f>
        <v/>
      </c>
      <c r="O105" s="25">
        <f>ROUND(N105*'Methodology &amp; Assumptions'!$B$7, 0)</f>
        <v/>
      </c>
      <c r="P105" s="23" t="inlineStr">
        <is>
          <t>Single Carrier (Band n50, 100MHz TDD)</t>
        </is>
      </c>
      <c r="Q105" s="27">
        <f>ROUNDUP(O105/'Methodology &amp; Assumptions'!$B$8, 0)</f>
        <v/>
      </c>
      <c r="R105" s="27" t="n">
        <v>1</v>
      </c>
      <c r="S105" s="26" t="n">
        <v>0.52</v>
      </c>
      <c r="T105" s="26" t="n">
        <v>0.12</v>
      </c>
      <c r="U105" s="11">
        <f>IF(S105&lt;='Methodology &amp; Assumptions'!$B$10, "Direct Optical Drop (&lt;3km)", IF(S105&lt;='Methodology &amp; Assumptions'!$B$9, "Near Optical / Microwave (&lt;5km)", "Starlink Business LEO Satellite Backhaul (&gt;5km)"))</f>
        <v/>
      </c>
      <c r="V105" s="26" t="n">
        <v>49.88</v>
      </c>
      <c r="W105" s="26" t="n">
        <v>70.22</v>
      </c>
      <c r="X105" s="26">
        <f>ROUND(('Methodology &amp; Assumptions'!$B$5*V105) + ('Methodology &amp; Assumptions'!$B$6*W105), 2)</f>
        <v/>
      </c>
      <c r="Y105" s="28" t="n">
        <v>10.9</v>
      </c>
      <c r="Z105" s="11" t="inlineStr">
        <is>
          <t>Priority Tier 2 (Balanced Opportunity)</t>
        </is>
      </c>
    </row>
    <row r="106">
      <c r="A106" s="23" t="n">
        <v>4</v>
      </c>
      <c r="B106" s="23" t="n">
        <v>102</v>
      </c>
      <c r="C106" s="23" t="n">
        <v>3102</v>
      </c>
      <c r="D106" s="23" t="inlineStr">
        <is>
          <t>0301423011</t>
        </is>
      </c>
      <c r="E106" s="11" t="inlineStr">
        <is>
          <t>Region III (Central Luzon)</t>
        </is>
      </c>
      <c r="F106" s="11" t="inlineStr">
        <is>
          <t>Bulacan</t>
        </is>
      </c>
      <c r="G106" s="11" t="inlineStr">
        <is>
          <t>Santa Maria</t>
        </is>
      </c>
      <c r="H106" s="11" t="inlineStr">
        <is>
          <t>Mag-asawang Sapa</t>
        </is>
      </c>
      <c r="I106" s="24" t="n">
        <v>14.866316</v>
      </c>
      <c r="J106" s="24" t="n">
        <v>120.990396</v>
      </c>
      <c r="K106" s="23" t="inlineStr">
        <is>
          <t>U</t>
        </is>
      </c>
      <c r="L106" s="25" t="n">
        <v>10851</v>
      </c>
      <c r="M106" s="26" t="n">
        <v>3.5</v>
      </c>
      <c r="N106" s="25">
        <f>ROUND(L106/M106, 0)</f>
        <v/>
      </c>
      <c r="O106" s="25">
        <f>ROUND(N106*'Methodology &amp; Assumptions'!$B$7, 0)</f>
        <v/>
      </c>
      <c r="P106" s="23" t="inlineStr">
        <is>
          <t>Single Carrier (Band n50, 100MHz TDD)</t>
        </is>
      </c>
      <c r="Q106" s="27">
        <f>ROUNDUP(O106/'Methodology &amp; Assumptions'!$B$8, 0)</f>
        <v/>
      </c>
      <c r="R106" s="27" t="n">
        <v>1</v>
      </c>
      <c r="S106" s="26" t="n">
        <v>0.71</v>
      </c>
      <c r="T106" s="26" t="n">
        <v>0.35</v>
      </c>
      <c r="U106" s="11">
        <f>IF(S106&lt;='Methodology &amp; Assumptions'!$B$10, "Direct Optical Drop (&lt;3km)", IF(S106&lt;='Methodology &amp; Assumptions'!$B$9, "Near Optical / Microwave (&lt;5km)", "Starlink Business LEO Satellite Backhaul (&gt;5km)"))</f>
        <v/>
      </c>
      <c r="V106" s="26" t="n">
        <v>78.43000000000001</v>
      </c>
      <c r="W106" s="26" t="n">
        <v>41.65</v>
      </c>
      <c r="X106" s="26">
        <f>ROUND(('Methodology &amp; Assumptions'!$B$5*V106) + ('Methodology &amp; Assumptions'!$B$6*W106), 2)</f>
        <v/>
      </c>
      <c r="Y106" s="28" t="n">
        <v>8.300000000000001</v>
      </c>
      <c r="Z106" s="11" t="inlineStr">
        <is>
          <t>Priority Tier 2 (Balanced Opportunity)</t>
        </is>
      </c>
    </row>
    <row r="107">
      <c r="A107" s="23" t="n">
        <v>4</v>
      </c>
      <c r="B107" s="23" t="n">
        <v>103</v>
      </c>
      <c r="C107" s="23" t="n">
        <v>3103</v>
      </c>
      <c r="D107" s="23" t="inlineStr">
        <is>
          <t>0504111017</t>
        </is>
      </c>
      <c r="E107" s="11" t="inlineStr">
        <is>
          <t>Region V (Bicol Region)</t>
        </is>
      </c>
      <c r="F107" s="11" t="inlineStr">
        <is>
          <t>Masbate</t>
        </is>
      </c>
      <c r="G107" s="11" t="inlineStr">
        <is>
          <t>City of Masbate</t>
        </is>
      </c>
      <c r="H107" s="11" t="inlineStr">
        <is>
          <t>Ibingay</t>
        </is>
      </c>
      <c r="I107" s="24" t="n">
        <v>12.371703</v>
      </c>
      <c r="J107" s="24" t="n">
        <v>123.625213</v>
      </c>
      <c r="K107" s="23" t="inlineStr">
        <is>
          <t>U</t>
        </is>
      </c>
      <c r="L107" s="25" t="n">
        <v>8138</v>
      </c>
      <c r="M107" s="26" t="n">
        <v>4.1</v>
      </c>
      <c r="N107" s="25">
        <f>ROUND(L107/M107, 0)</f>
        <v/>
      </c>
      <c r="O107" s="25">
        <f>ROUND(N107*'Methodology &amp; Assumptions'!$B$7, 0)</f>
        <v/>
      </c>
      <c r="P107" s="23" t="inlineStr">
        <is>
          <t>Single Carrier (Band n50, 100MHz TDD)</t>
        </is>
      </c>
      <c r="Q107" s="27">
        <f>ROUNDUP(O107/'Methodology &amp; Assumptions'!$B$8, 0)</f>
        <v/>
      </c>
      <c r="R107" s="27" t="n">
        <v>1</v>
      </c>
      <c r="S107" s="26" t="n">
        <v>1.82</v>
      </c>
      <c r="T107" s="26" t="n">
        <v>0.17</v>
      </c>
      <c r="U107" s="11">
        <f>IF(S107&lt;='Methodology &amp; Assumptions'!$B$10, "Direct Optical Drop (&lt;3km)", IF(S107&lt;='Methodology &amp; Assumptions'!$B$9, "Near Optical / Microwave (&lt;5km)", "Starlink Business LEO Satellite Backhaul (&gt;5km)"))</f>
        <v/>
      </c>
      <c r="V107" s="26" t="n">
        <v>77.23999999999999</v>
      </c>
      <c r="W107" s="26" t="n">
        <v>42.83</v>
      </c>
      <c r="X107" s="26">
        <f>ROUND(('Methodology &amp; Assumptions'!$B$5*V107) + ('Methodology &amp; Assumptions'!$B$6*W107), 2)</f>
        <v/>
      </c>
      <c r="Y107" s="28" t="n">
        <v>23.7</v>
      </c>
      <c r="Z107" s="11" t="inlineStr">
        <is>
          <t>Priority Tier 2 (Balanced Opportunity)</t>
        </is>
      </c>
    </row>
    <row r="108">
      <c r="A108" s="23" t="n">
        <v>4</v>
      </c>
      <c r="B108" s="23" t="n">
        <v>104</v>
      </c>
      <c r="C108" s="23" t="n">
        <v>3104</v>
      </c>
      <c r="D108" s="23" t="inlineStr">
        <is>
          <t>0403410032</t>
        </is>
      </c>
      <c r="E108" s="11" t="inlineStr">
        <is>
          <t>Region IV-A (CALABARZON)</t>
        </is>
      </c>
      <c r="F108" s="11" t="inlineStr">
        <is>
          <t>Laguna</t>
        </is>
      </c>
      <c r="G108" s="11" t="inlineStr">
        <is>
          <t>Liliw</t>
        </is>
      </c>
      <c r="H108" s="11" t="inlineStr">
        <is>
          <t>Pag-Asa</t>
        </is>
      </c>
      <c r="I108" s="24" t="n">
        <v>14.138628</v>
      </c>
      <c r="J108" s="24" t="n">
        <v>121.436672</v>
      </c>
      <c r="K108" s="23" t="inlineStr">
        <is>
          <t>R</t>
        </is>
      </c>
      <c r="L108" s="25" t="n">
        <v>1194</v>
      </c>
      <c r="M108" s="26" t="n">
        <v>3.3</v>
      </c>
      <c r="N108" s="25">
        <f>ROUND(L108/M108, 0)</f>
        <v/>
      </c>
      <c r="O108" s="25">
        <f>ROUND(N108*'Methodology &amp; Assumptions'!$B$7, 0)</f>
        <v/>
      </c>
      <c r="P108" s="23" t="inlineStr">
        <is>
          <t>Single Carrier (Band n50, 100MHz TDD)</t>
        </is>
      </c>
      <c r="Q108" s="27">
        <f>ROUNDUP(O108/'Methodology &amp; Assumptions'!$B$8, 0)</f>
        <v/>
      </c>
      <c r="R108" s="27" t="n">
        <v>1</v>
      </c>
      <c r="S108" s="26" t="n">
        <v>0.27</v>
      </c>
      <c r="T108" s="26" t="n">
        <v>0.18</v>
      </c>
      <c r="U108" s="11">
        <f>IF(S108&lt;='Methodology &amp; Assumptions'!$B$10, "Direct Optical Drop (&lt;3km)", IF(S108&lt;='Methodology &amp; Assumptions'!$B$9, "Near Optical / Microwave (&lt;5km)", "Starlink Business LEO Satellite Backhaul (&gt;5km)"))</f>
        <v/>
      </c>
      <c r="V108" s="26" t="n">
        <v>70.72</v>
      </c>
      <c r="W108" s="26" t="n">
        <v>49.37</v>
      </c>
      <c r="X108" s="26">
        <f>ROUND(('Methodology &amp; Assumptions'!$B$5*V108) + ('Methodology &amp; Assumptions'!$B$6*W108), 2)</f>
        <v/>
      </c>
      <c r="Y108" s="28" t="n">
        <v>7.2</v>
      </c>
      <c r="Z108" s="11" t="inlineStr">
        <is>
          <t>Priority Tier 2 (Balanced Opportunity)</t>
        </is>
      </c>
    </row>
    <row r="109">
      <c r="A109" s="23" t="n">
        <v>4</v>
      </c>
      <c r="B109" s="23" t="n">
        <v>105</v>
      </c>
      <c r="C109" s="23" t="n">
        <v>3105</v>
      </c>
      <c r="D109" s="23" t="inlineStr">
        <is>
          <t>0203111008</t>
        </is>
      </c>
      <c r="E109" s="11" t="inlineStr">
        <is>
          <t>Region II (Cagayan Valley)</t>
        </is>
      </c>
      <c r="F109" s="11" t="inlineStr">
        <is>
          <t>Isabela</t>
        </is>
      </c>
      <c r="G109" s="11" t="inlineStr">
        <is>
          <t>Divilacan</t>
        </is>
      </c>
      <c r="H109" s="11" t="inlineStr">
        <is>
          <t>Dimapnat</t>
        </is>
      </c>
      <c r="I109" s="24" t="n">
        <v>17.274344</v>
      </c>
      <c r="J109" s="24" t="n">
        <v>122.290908</v>
      </c>
      <c r="K109" s="23" t="inlineStr">
        <is>
          <t>R</t>
        </is>
      </c>
      <c r="L109" s="25" t="n">
        <v>1052</v>
      </c>
      <c r="M109" s="26" t="n">
        <v>3.8</v>
      </c>
      <c r="N109" s="25">
        <f>ROUND(L109/M109, 0)</f>
        <v/>
      </c>
      <c r="O109" s="25">
        <f>ROUND(N109*'Methodology &amp; Assumptions'!$B$7, 0)</f>
        <v/>
      </c>
      <c r="P109" s="23" t="inlineStr">
        <is>
          <t>Single Carrier (Band n50, 100MHz TDD)</t>
        </is>
      </c>
      <c r="Q109" s="27">
        <f>ROUNDUP(O109/'Methodology &amp; Assumptions'!$B$8, 0)</f>
        <v/>
      </c>
      <c r="R109" s="27" t="n">
        <v>1</v>
      </c>
      <c r="S109" s="26" t="n">
        <v>35.96</v>
      </c>
      <c r="T109" s="26" t="n">
        <v>41.23</v>
      </c>
      <c r="U109" s="11">
        <f>IF(S109&lt;='Methodology &amp; Assumptions'!$B$10, "Direct Optical Drop (&lt;3km)", IF(S109&lt;='Methodology &amp; Assumptions'!$B$9, "Near Optical / Microwave (&lt;5km)", "Starlink Business LEO Satellite Backhaul (&gt;5km)"))</f>
        <v/>
      </c>
      <c r="V109" s="26" t="n">
        <v>42.77</v>
      </c>
      <c r="W109" s="26" t="n">
        <v>77.31999999999999</v>
      </c>
      <c r="X109" s="26">
        <f>ROUND(('Methodology &amp; Assumptions'!$B$5*V109) + ('Methodology &amp; Assumptions'!$B$6*W109), 2)</f>
        <v/>
      </c>
      <c r="Y109" s="28" t="n">
        <v>8.300000000000001</v>
      </c>
      <c r="Z109" s="11" t="inlineStr">
        <is>
          <t>Priority Tier 2 (Balanced Opportunity)</t>
        </is>
      </c>
    </row>
    <row r="110">
      <c r="A110" s="23" t="n">
        <v>4</v>
      </c>
      <c r="B110" s="23" t="n">
        <v>106</v>
      </c>
      <c r="C110" s="23" t="n">
        <v>3106</v>
      </c>
      <c r="D110" s="23" t="inlineStr">
        <is>
          <t>1408106027</t>
        </is>
      </c>
      <c r="E110" s="11" t="inlineStr">
        <is>
          <t>Cordillera Administrative Region (CAR)</t>
        </is>
      </c>
      <c r="F110" s="11" t="inlineStr">
        <is>
          <t>Apayao</t>
        </is>
      </c>
      <c r="G110" s="11" t="inlineStr">
        <is>
          <t>Pudtol</t>
        </is>
      </c>
      <c r="H110" s="11" t="inlineStr">
        <is>
          <t>Lt. Balag</t>
        </is>
      </c>
      <c r="I110" s="24" t="n">
        <v>18.0972</v>
      </c>
      <c r="J110" s="24" t="n">
        <v>121.2926</v>
      </c>
      <c r="K110" s="23" t="inlineStr">
        <is>
          <t>R</t>
        </is>
      </c>
      <c r="L110" s="25" t="n">
        <v>210</v>
      </c>
      <c r="M110" s="26" t="n">
        <v>4.2</v>
      </c>
      <c r="N110" s="25">
        <f>ROUND(L110/M110, 0)</f>
        <v/>
      </c>
      <c r="O110" s="25">
        <f>ROUND(N110*'Methodology &amp; Assumptions'!$B$7, 0)</f>
        <v/>
      </c>
      <c r="P110" s="23" t="inlineStr">
        <is>
          <t>Single Carrier (Band n50, 100MHz TDD)</t>
        </is>
      </c>
      <c r="Q110" s="27">
        <f>ROUNDUP(O110/'Methodology &amp; Assumptions'!$B$8, 0)</f>
        <v/>
      </c>
      <c r="R110" s="27" t="n">
        <v>1</v>
      </c>
      <c r="S110" s="26" t="n">
        <v>6.55</v>
      </c>
      <c r="T110" s="26" t="n">
        <v>2.27</v>
      </c>
      <c r="U110" s="11">
        <f>IF(S110&lt;='Methodology &amp; Assumptions'!$B$10, "Direct Optical Drop (&lt;3km)", IF(S110&lt;='Methodology &amp; Assumptions'!$B$9, "Near Optical / Microwave (&lt;5km)", "Starlink Business LEO Satellite Backhaul (&gt;5km)"))</f>
        <v/>
      </c>
      <c r="V110" s="26" t="n">
        <v>42.36</v>
      </c>
      <c r="W110" s="26" t="n">
        <v>77.72</v>
      </c>
      <c r="X110" s="26">
        <f>ROUND(('Methodology &amp; Assumptions'!$B$5*V110) + ('Methodology &amp; Assumptions'!$B$6*W110), 2)</f>
        <v/>
      </c>
      <c r="Y110" s="28" t="n">
        <v>10.9</v>
      </c>
      <c r="Z110" s="11" t="inlineStr">
        <is>
          <t>Priority Tier 2 (Balanced Opportunity)</t>
        </is>
      </c>
    </row>
    <row r="111">
      <c r="A111" s="23" t="n">
        <v>4</v>
      </c>
      <c r="B111" s="23" t="n">
        <v>107</v>
      </c>
      <c r="C111" s="23" t="n">
        <v>3107</v>
      </c>
      <c r="D111" s="23" t="inlineStr">
        <is>
          <t>0300804040</t>
        </is>
      </c>
      <c r="E111" s="11" t="inlineStr">
        <is>
          <t>Region III (Central Luzon)</t>
        </is>
      </c>
      <c r="F111" s="11" t="inlineStr">
        <is>
          <t>Bataan</t>
        </is>
      </c>
      <c r="G111" s="11" t="inlineStr">
        <is>
          <t>Dinalupihan</t>
        </is>
      </c>
      <c r="H111" s="11" t="inlineStr">
        <is>
          <t>Santa Isabel</t>
        </is>
      </c>
      <c r="I111" s="24" t="n">
        <v>14.86194</v>
      </c>
      <c r="J111" s="24" t="n">
        <v>120.470811</v>
      </c>
      <c r="K111" s="23" t="inlineStr">
        <is>
          <t>U</t>
        </is>
      </c>
      <c r="L111" s="25" t="n">
        <v>2819</v>
      </c>
      <c r="M111" s="26" t="n">
        <v>3.6</v>
      </c>
      <c r="N111" s="25">
        <f>ROUND(L111/M111, 0)</f>
        <v/>
      </c>
      <c r="O111" s="25">
        <f>ROUND(N111*'Methodology &amp; Assumptions'!$B$7, 0)</f>
        <v/>
      </c>
      <c r="P111" s="23" t="inlineStr">
        <is>
          <t>Single Carrier (Band n50, 100MHz TDD)</t>
        </is>
      </c>
      <c r="Q111" s="27">
        <f>ROUNDUP(O111/'Methodology &amp; Assumptions'!$B$8, 0)</f>
        <v/>
      </c>
      <c r="R111" s="27" t="n">
        <v>1</v>
      </c>
      <c r="S111" s="26" t="n">
        <v>0.31</v>
      </c>
      <c r="T111" s="26" t="n">
        <v>0.05</v>
      </c>
      <c r="U111" s="11">
        <f>IF(S111&lt;='Methodology &amp; Assumptions'!$B$10, "Direct Optical Drop (&lt;3km)", IF(S111&lt;='Methodology &amp; Assumptions'!$B$9, "Near Optical / Microwave (&lt;5km)", "Starlink Business LEO Satellite Backhaul (&gt;5km)"))</f>
        <v/>
      </c>
      <c r="V111" s="26" t="n">
        <v>77.28</v>
      </c>
      <c r="W111" s="26" t="n">
        <v>42.79</v>
      </c>
      <c r="X111" s="26">
        <f>ROUND(('Methodology &amp; Assumptions'!$B$5*V111) + ('Methodology &amp; Assumptions'!$B$6*W111), 2)</f>
        <v/>
      </c>
      <c r="Y111" s="28" t="n">
        <v>8.300000000000001</v>
      </c>
      <c r="Z111" s="11" t="inlineStr">
        <is>
          <t>Priority Tier 2 (Balanced Opportunity)</t>
        </is>
      </c>
    </row>
    <row r="112">
      <c r="A112" s="23" t="n">
        <v>4</v>
      </c>
      <c r="B112" s="23" t="n">
        <v>108</v>
      </c>
      <c r="C112" s="23" t="n">
        <v>3108</v>
      </c>
      <c r="D112" s="23" t="inlineStr">
        <is>
          <t>0405647051</t>
        </is>
      </c>
      <c r="E112" s="11" t="inlineStr">
        <is>
          <t>Region IV-A (CALABARZON)</t>
        </is>
      </c>
      <c r="F112" s="11" t="inlineStr">
        <is>
          <t>Quezon</t>
        </is>
      </c>
      <c r="G112" s="11" t="inlineStr">
        <is>
          <t>City of Tayabas</t>
        </is>
      </c>
      <c r="H112" s="11" t="inlineStr">
        <is>
          <t>San Diego Zone III</t>
        </is>
      </c>
      <c r="I112" s="24" t="n">
        <v>14.029693</v>
      </c>
      <c r="J112" s="24" t="n">
        <v>121.593347</v>
      </c>
      <c r="K112" s="23" t="inlineStr">
        <is>
          <t>R</t>
        </is>
      </c>
      <c r="L112" s="25" t="n">
        <v>260</v>
      </c>
      <c r="M112" s="26" t="n">
        <v>3.8</v>
      </c>
      <c r="N112" s="25">
        <f>ROUND(L112/M112, 0)</f>
        <v/>
      </c>
      <c r="O112" s="25">
        <f>ROUND(N112*'Methodology &amp; Assumptions'!$B$7, 0)</f>
        <v/>
      </c>
      <c r="P112" s="23" t="inlineStr">
        <is>
          <t>Single Carrier (Band n50, 100MHz TDD)</t>
        </is>
      </c>
      <c r="Q112" s="27">
        <f>ROUNDUP(O112/'Methodology &amp; Assumptions'!$B$8, 0)</f>
        <v/>
      </c>
      <c r="R112" s="27" t="n">
        <v>1</v>
      </c>
      <c r="S112" s="26" t="n">
        <v>0.66</v>
      </c>
      <c r="T112" s="26" t="n">
        <v>0.33</v>
      </c>
      <c r="U112" s="11">
        <f>IF(S112&lt;='Methodology &amp; Assumptions'!$B$10, "Direct Optical Drop (&lt;3km)", IF(S112&lt;='Methodology &amp; Assumptions'!$B$9, "Near Optical / Microwave (&lt;5km)", "Starlink Business LEO Satellite Backhaul (&gt;5km)"))</f>
        <v/>
      </c>
      <c r="V112" s="26" t="n">
        <v>61.03</v>
      </c>
      <c r="W112" s="26" t="n">
        <v>59.02</v>
      </c>
      <c r="X112" s="26">
        <f>ROUND(('Methodology &amp; Assumptions'!$B$5*V112) + ('Methodology &amp; Assumptions'!$B$6*W112), 2)</f>
        <v/>
      </c>
      <c r="Y112" s="28" t="n">
        <v>7.2</v>
      </c>
      <c r="Z112" s="11" t="inlineStr">
        <is>
          <t>Priority Tier 2 (Balanced Opportunity)</t>
        </is>
      </c>
    </row>
    <row r="113">
      <c r="A113" s="23" t="n">
        <v>4</v>
      </c>
      <c r="B113" s="23" t="n">
        <v>109</v>
      </c>
      <c r="C113" s="23" t="n">
        <v>3109</v>
      </c>
      <c r="D113" s="23" t="inlineStr">
        <is>
          <t>1380614085</t>
        </is>
      </c>
      <c r="E113" s="11" t="inlineStr">
        <is>
          <t>National Capital Region (NCR)</t>
        </is>
      </c>
      <c r="F113" s="11" t="inlineStr">
        <is>
          <t>First District (Not a Province)</t>
        </is>
      </c>
      <c r="G113" s="11" t="inlineStr">
        <is>
          <t>City of Manila</t>
        </is>
      </c>
      <c r="H113" s="11" t="inlineStr">
        <is>
          <t>Barangay 892</t>
        </is>
      </c>
      <c r="I113" s="24" t="n">
        <v>14.586571</v>
      </c>
      <c r="J113" s="24" t="n">
        <v>121.020788</v>
      </c>
      <c r="K113" s="23" t="inlineStr">
        <is>
          <t>U</t>
        </is>
      </c>
      <c r="L113" s="25" t="n">
        <v>1294</v>
      </c>
      <c r="M113" s="26" t="n">
        <v>4.13</v>
      </c>
      <c r="N113" s="25">
        <f>ROUND(L113/M113, 0)</f>
        <v/>
      </c>
      <c r="O113" s="25">
        <f>ROUND(N113*'Methodology &amp; Assumptions'!$B$7, 0)</f>
        <v/>
      </c>
      <c r="P113" s="23" t="inlineStr">
        <is>
          <t>Single Carrier (Band n50, 100MHz TDD)</t>
        </is>
      </c>
      <c r="Q113" s="27">
        <f>ROUNDUP(O113/'Methodology &amp; Assumptions'!$B$8, 0)</f>
        <v/>
      </c>
      <c r="R113" s="27" t="n">
        <v>1</v>
      </c>
      <c r="S113" s="26" t="n">
        <v>0.85</v>
      </c>
      <c r="T113" s="26" t="n">
        <v>0.33</v>
      </c>
      <c r="U113" s="11">
        <f>IF(S113&lt;='Methodology &amp; Assumptions'!$B$10, "Direct Optical Drop (&lt;3km)", IF(S113&lt;='Methodology &amp; Assumptions'!$B$9, "Near Optical / Microwave (&lt;5km)", "Starlink Business LEO Satellite Backhaul (&gt;5km)"))</f>
        <v/>
      </c>
      <c r="V113" s="26" t="n">
        <v>51.14</v>
      </c>
      <c r="W113" s="26" t="n">
        <v>68.93000000000001</v>
      </c>
      <c r="X113" s="26">
        <f>ROUND(('Methodology &amp; Assumptions'!$B$5*V113) + ('Methodology &amp; Assumptions'!$B$6*W113), 2)</f>
        <v/>
      </c>
      <c r="Y113" s="28" t="n">
        <v>10.9</v>
      </c>
      <c r="Z113" s="11" t="inlineStr">
        <is>
          <t>Priority Tier 2 (Balanced Opportunity)</t>
        </is>
      </c>
    </row>
    <row r="114">
      <c r="A114" s="23" t="n">
        <v>4</v>
      </c>
      <c r="B114" s="23" t="n">
        <v>110</v>
      </c>
      <c r="C114" s="23" t="n">
        <v>3110</v>
      </c>
      <c r="D114" s="23" t="inlineStr">
        <is>
          <t>1380611030</t>
        </is>
      </c>
      <c r="E114" s="11" t="inlineStr">
        <is>
          <t>National Capital Region (NCR)</t>
        </is>
      </c>
      <c r="F114" s="11" t="inlineStr">
        <is>
          <t>First District (Not a Province)</t>
        </is>
      </c>
      <c r="G114" s="11" t="inlineStr">
        <is>
          <t>City of Manila</t>
        </is>
      </c>
      <c r="H114" s="11" t="inlineStr">
        <is>
          <t>Barangay 816</t>
        </is>
      </c>
      <c r="I114" s="24" t="n">
        <v>14.579495</v>
      </c>
      <c r="J114" s="24" t="n">
        <v>121.002867</v>
      </c>
      <c r="K114" s="23" t="inlineStr">
        <is>
          <t>U</t>
        </is>
      </c>
      <c r="L114" s="25" t="n">
        <v>806</v>
      </c>
      <c r="M114" s="26" t="n">
        <v>3.33</v>
      </c>
      <c r="N114" s="25">
        <f>ROUND(L114/M114, 0)</f>
        <v/>
      </c>
      <c r="O114" s="25">
        <f>ROUND(N114*'Methodology &amp; Assumptions'!$B$7, 0)</f>
        <v/>
      </c>
      <c r="P114" s="23" t="inlineStr">
        <is>
          <t>Single Carrier (Band n50, 100MHz TDD)</t>
        </is>
      </c>
      <c r="Q114" s="27">
        <f>ROUNDUP(O114/'Methodology &amp; Assumptions'!$B$8, 0)</f>
        <v/>
      </c>
      <c r="R114" s="27" t="n">
        <v>1</v>
      </c>
      <c r="S114" s="26" t="n">
        <v>0.55</v>
      </c>
      <c r="T114" s="26" t="n">
        <v>0.35</v>
      </c>
      <c r="U114" s="11">
        <f>IF(S114&lt;='Methodology &amp; Assumptions'!$B$10, "Direct Optical Drop (&lt;3km)", IF(S114&lt;='Methodology &amp; Assumptions'!$B$9, "Near Optical / Microwave (&lt;5km)", "Starlink Business LEO Satellite Backhaul (&gt;5km)"))</f>
        <v/>
      </c>
      <c r="V114" s="26" t="n">
        <v>48.91</v>
      </c>
      <c r="W114" s="26" t="n">
        <v>71.14</v>
      </c>
      <c r="X114" s="26">
        <f>ROUND(('Methodology &amp; Assumptions'!$B$5*V114) + ('Methodology &amp; Assumptions'!$B$6*W114), 2)</f>
        <v/>
      </c>
      <c r="Y114" s="28" t="n">
        <v>10.9</v>
      </c>
      <c r="Z114" s="11" t="inlineStr">
        <is>
          <t>Priority Tier 2 (Balanced Opportunity)</t>
        </is>
      </c>
    </row>
    <row r="115">
      <c r="A115" s="23" t="n">
        <v>4</v>
      </c>
      <c r="B115" s="23" t="n">
        <v>111</v>
      </c>
      <c r="C115" s="23" t="n">
        <v>3111</v>
      </c>
      <c r="D115" s="23" t="inlineStr">
        <is>
          <t>1380400014</t>
        </is>
      </c>
      <c r="E115" s="11" t="inlineStr">
        <is>
          <t>National Capital Region (NCR)</t>
        </is>
      </c>
      <c r="F115" s="11" t="inlineStr">
        <is>
          <t>Third District (Not a Province)</t>
        </is>
      </c>
      <c r="G115" s="11" t="inlineStr">
        <is>
          <t>City of Malabon</t>
        </is>
      </c>
      <c r="H115" s="11" t="inlineStr">
        <is>
          <t>Panghulo</t>
        </is>
      </c>
      <c r="I115" s="24" t="n">
        <v>14.698313</v>
      </c>
      <c r="J115" s="24" t="n">
        <v>120.946755</v>
      </c>
      <c r="K115" s="23" t="inlineStr">
        <is>
          <t>U</t>
        </is>
      </c>
      <c r="L115" s="25" t="n">
        <v>20317</v>
      </c>
      <c r="M115" s="26" t="n">
        <v>3.64</v>
      </c>
      <c r="N115" s="25">
        <f>ROUND(L115/M115, 0)</f>
        <v/>
      </c>
      <c r="O115" s="25">
        <f>ROUND(N115*'Methodology &amp; Assumptions'!$B$7, 0)</f>
        <v/>
      </c>
      <c r="P115" s="23" t="inlineStr">
        <is>
          <t>Single Carrier (Band n50, 100MHz TDD)</t>
        </is>
      </c>
      <c r="Q115" s="27">
        <f>ROUNDUP(O115/'Methodology &amp; Assumptions'!$B$8, 0)</f>
        <v/>
      </c>
      <c r="R115" s="27" t="n">
        <v>1</v>
      </c>
      <c r="S115" s="26" t="n">
        <v>1.65</v>
      </c>
      <c r="T115" s="26" t="n">
        <v>0.53</v>
      </c>
      <c r="U115" s="11">
        <f>IF(S115&lt;='Methodology &amp; Assumptions'!$B$10, "Direct Optical Drop (&lt;3km)", IF(S115&lt;='Methodology &amp; Assumptions'!$B$9, "Near Optical / Microwave (&lt;5km)", "Starlink Business LEO Satellite Backhaul (&gt;5km)"))</f>
        <v/>
      </c>
      <c r="V115" s="26" t="n">
        <v>65.37</v>
      </c>
      <c r="W115" s="26" t="n">
        <v>54.67</v>
      </c>
      <c r="X115" s="26">
        <f>ROUND(('Methodology &amp; Assumptions'!$B$5*V115) + ('Methodology &amp; Assumptions'!$B$6*W115), 2)</f>
        <v/>
      </c>
      <c r="Y115" s="28" t="n">
        <v>10.9</v>
      </c>
      <c r="Z115" s="11" t="inlineStr">
        <is>
          <t>Priority Tier 2 (Balanced Opportunity)</t>
        </is>
      </c>
    </row>
    <row r="116">
      <c r="A116" s="23" t="n">
        <v>4</v>
      </c>
      <c r="B116" s="23" t="n">
        <v>112</v>
      </c>
      <c r="C116" s="23" t="n">
        <v>3112</v>
      </c>
      <c r="D116" s="23" t="inlineStr">
        <is>
          <t>1380606211</t>
        </is>
      </c>
      <c r="E116" s="11" t="inlineStr">
        <is>
          <t>National Capital Region (NCR)</t>
        </is>
      </c>
      <c r="F116" s="11" t="inlineStr">
        <is>
          <t>First District (Not a Province)</t>
        </is>
      </c>
      <c r="G116" s="11" t="inlineStr">
        <is>
          <t>City of Manila</t>
        </is>
      </c>
      <c r="H116" s="11" t="inlineStr">
        <is>
          <t>Barangay 604</t>
        </is>
      </c>
      <c r="I116" s="24" t="n">
        <v>14.593948</v>
      </c>
      <c r="J116" s="24" t="n">
        <v>121.022849</v>
      </c>
      <c r="K116" s="23" t="inlineStr">
        <is>
          <t>U</t>
        </is>
      </c>
      <c r="L116" s="25" t="n">
        <v>1581</v>
      </c>
      <c r="M116" s="26" t="n">
        <v>4.44</v>
      </c>
      <c r="N116" s="25">
        <f>ROUND(L116/M116, 0)</f>
        <v/>
      </c>
      <c r="O116" s="25">
        <f>ROUND(N116*'Methodology &amp; Assumptions'!$B$7, 0)</f>
        <v/>
      </c>
      <c r="P116" s="23" t="inlineStr">
        <is>
          <t>Single Carrier (Band n50, 100MHz TDD)</t>
        </is>
      </c>
      <c r="Q116" s="27">
        <f>ROUNDUP(O116/'Methodology &amp; Assumptions'!$B$8, 0)</f>
        <v/>
      </c>
      <c r="R116" s="27" t="n">
        <v>1</v>
      </c>
      <c r="S116" s="26" t="n">
        <v>1.28</v>
      </c>
      <c r="T116" s="26" t="n">
        <v>0.45</v>
      </c>
      <c r="U116" s="11">
        <f>IF(S116&lt;='Methodology &amp; Assumptions'!$B$10, "Direct Optical Drop (&lt;3km)", IF(S116&lt;='Methodology &amp; Assumptions'!$B$9, "Near Optical / Microwave (&lt;5km)", "Starlink Business LEO Satellite Backhaul (&gt;5km)"))</f>
        <v/>
      </c>
      <c r="V116" s="26" t="n">
        <v>50.89</v>
      </c>
      <c r="W116" s="26" t="n">
        <v>69.15000000000001</v>
      </c>
      <c r="X116" s="26">
        <f>ROUND(('Methodology &amp; Assumptions'!$B$5*V116) + ('Methodology &amp; Assumptions'!$B$6*W116), 2)</f>
        <v/>
      </c>
      <c r="Y116" s="28" t="n">
        <v>10.9</v>
      </c>
      <c r="Z116" s="11" t="inlineStr">
        <is>
          <t>Priority Tier 2 (Balanced Opportunity)</t>
        </is>
      </c>
    </row>
    <row r="117">
      <c r="A117" s="23" t="n">
        <v>4</v>
      </c>
      <c r="B117" s="23" t="n">
        <v>113</v>
      </c>
      <c r="C117" s="23" t="n">
        <v>3113</v>
      </c>
      <c r="D117" s="23" t="inlineStr">
        <is>
          <t>0102934004</t>
        </is>
      </c>
      <c r="E117" s="11" t="inlineStr">
        <is>
          <t>Region I (Ilocos Region)</t>
        </is>
      </c>
      <c r="F117" s="11" t="inlineStr">
        <is>
          <t>Ilocos Sur</t>
        </is>
      </c>
      <c r="G117" s="11" t="inlineStr">
        <is>
          <t>City of Vigan</t>
        </is>
      </c>
      <c r="H117" s="11" t="inlineStr">
        <is>
          <t>Barangay II</t>
        </is>
      </c>
      <c r="I117" s="24" t="n">
        <v>17.57049</v>
      </c>
      <c r="J117" s="24" t="n">
        <v>120.38733</v>
      </c>
      <c r="K117" s="23" t="inlineStr">
        <is>
          <t>U</t>
        </is>
      </c>
      <c r="L117" s="25" t="n">
        <v>482</v>
      </c>
      <c r="M117" s="26" t="n">
        <v>3.8</v>
      </c>
      <c r="N117" s="25">
        <f>ROUND(L117/M117, 0)</f>
        <v/>
      </c>
      <c r="O117" s="25">
        <f>ROUND(N117*'Methodology &amp; Assumptions'!$B$7, 0)</f>
        <v/>
      </c>
      <c r="P117" s="23" t="inlineStr">
        <is>
          <t>Single Carrier (Band n50, 100MHz TDD)</t>
        </is>
      </c>
      <c r="Q117" s="27">
        <f>ROUNDUP(O117/'Methodology &amp; Assumptions'!$B$8, 0)</f>
        <v/>
      </c>
      <c r="R117" s="27" t="n">
        <v>1</v>
      </c>
      <c r="S117" s="26" t="n">
        <v>2.59</v>
      </c>
      <c r="T117" s="26" t="n">
        <v>1.19</v>
      </c>
      <c r="U117" s="11">
        <f>IF(S117&lt;='Methodology &amp; Assumptions'!$B$10, "Direct Optical Drop (&lt;3km)", IF(S117&lt;='Methodology &amp; Assumptions'!$B$9, "Near Optical / Microwave (&lt;5km)", "Starlink Business LEO Satellite Backhaul (&gt;5km)"))</f>
        <v/>
      </c>
      <c r="V117" s="26" t="n">
        <v>49.77</v>
      </c>
      <c r="W117" s="26" t="n">
        <v>70.28</v>
      </c>
      <c r="X117" s="26">
        <f>ROUND(('Methodology &amp; Assumptions'!$B$5*V117) + ('Methodology &amp; Assumptions'!$B$6*W117), 2)</f>
        <v/>
      </c>
      <c r="Y117" s="28" t="n">
        <v>8.300000000000001</v>
      </c>
      <c r="Z117" s="11" t="inlineStr">
        <is>
          <t>Priority Tier 2 (Balanced Opportunity)</t>
        </is>
      </c>
    </row>
    <row r="118">
      <c r="A118" s="23" t="n">
        <v>4</v>
      </c>
      <c r="B118" s="23" t="n">
        <v>114</v>
      </c>
      <c r="C118" s="23" t="n">
        <v>3114</v>
      </c>
      <c r="D118" s="23" t="inlineStr">
        <is>
          <t>1380606001</t>
        </is>
      </c>
      <c r="E118" s="11" t="inlineStr">
        <is>
          <t>National Capital Region (NCR)</t>
        </is>
      </c>
      <c r="F118" s="11" t="inlineStr">
        <is>
          <t>First District (Not a Province)</t>
        </is>
      </c>
      <c r="G118" s="11" t="inlineStr">
        <is>
          <t>City of Manila</t>
        </is>
      </c>
      <c r="H118" s="11" t="inlineStr">
        <is>
          <t>Barangay 395</t>
        </is>
      </c>
      <c r="I118" s="24" t="n">
        <v>14.60494</v>
      </c>
      <c r="J118" s="24" t="n">
        <v>120.9871</v>
      </c>
      <c r="K118" s="23" t="inlineStr">
        <is>
          <t>U</t>
        </is>
      </c>
      <c r="L118" s="25" t="n">
        <v>1228</v>
      </c>
      <c r="M118" s="26" t="n">
        <v>4.74</v>
      </c>
      <c r="N118" s="25">
        <f>ROUND(L118/M118, 0)</f>
        <v/>
      </c>
      <c r="O118" s="25">
        <f>ROUND(N118*'Methodology &amp; Assumptions'!$B$7, 0)</f>
        <v/>
      </c>
      <c r="P118" s="23" t="inlineStr">
        <is>
          <t>Single Carrier (Band n50, 100MHz TDD)</t>
        </is>
      </c>
      <c r="Q118" s="27">
        <f>ROUNDUP(O118/'Methodology &amp; Assumptions'!$B$8, 0)</f>
        <v/>
      </c>
      <c r="R118" s="27" t="n">
        <v>1</v>
      </c>
      <c r="S118" s="26" t="n">
        <v>0.48</v>
      </c>
      <c r="T118" s="26" t="n">
        <v>0.12</v>
      </c>
      <c r="U118" s="11">
        <f>IF(S118&lt;='Methodology &amp; Assumptions'!$B$10, "Direct Optical Drop (&lt;3km)", IF(S118&lt;='Methodology &amp; Assumptions'!$B$9, "Near Optical / Microwave (&lt;5km)", "Starlink Business LEO Satellite Backhaul (&gt;5km)"))</f>
        <v/>
      </c>
      <c r="V118" s="26" t="n">
        <v>49.45</v>
      </c>
      <c r="W118" s="26" t="n">
        <v>70.59</v>
      </c>
      <c r="X118" s="26">
        <f>ROUND(('Methodology &amp; Assumptions'!$B$5*V118) + ('Methodology &amp; Assumptions'!$B$6*W118), 2)</f>
        <v/>
      </c>
      <c r="Y118" s="28" t="n">
        <v>10.9</v>
      </c>
      <c r="Z118" s="11" t="inlineStr">
        <is>
          <t>Priority Tier 2 (Balanced Opportunity)</t>
        </is>
      </c>
    </row>
    <row r="119">
      <c r="A119" s="23" t="n">
        <v>4</v>
      </c>
      <c r="B119" s="23" t="n">
        <v>115</v>
      </c>
      <c r="C119" s="23" t="n">
        <v>3115</v>
      </c>
      <c r="D119" s="23" t="inlineStr">
        <is>
          <t>1402708016</t>
        </is>
      </c>
      <c r="E119" s="11" t="inlineStr">
        <is>
          <t>Cordillera Administrative Region (CAR)</t>
        </is>
      </c>
      <c r="F119" s="11" t="inlineStr">
        <is>
          <t>Ifugao</t>
        </is>
      </c>
      <c r="G119" s="11" t="inlineStr">
        <is>
          <t>Aguinaldo</t>
        </is>
      </c>
      <c r="H119" s="11" t="inlineStr">
        <is>
          <t>Buwag</t>
        </is>
      </c>
      <c r="I119" s="24" t="n">
        <v>16.933248</v>
      </c>
      <c r="J119" s="24" t="n">
        <v>121.307684</v>
      </c>
      <c r="K119" s="23" t="inlineStr">
        <is>
          <t>R</t>
        </is>
      </c>
      <c r="L119" s="25" t="n">
        <v>390</v>
      </c>
      <c r="M119" s="26" t="n">
        <v>3.9</v>
      </c>
      <c r="N119" s="25">
        <f>ROUND(L119/M119, 0)</f>
        <v/>
      </c>
      <c r="O119" s="25">
        <f>ROUND(N119*'Methodology &amp; Assumptions'!$B$7, 0)</f>
        <v/>
      </c>
      <c r="P119" s="23" t="inlineStr">
        <is>
          <t>Single Carrier (Band n50, 100MHz TDD)</t>
        </is>
      </c>
      <c r="Q119" s="27">
        <f>ROUNDUP(O119/'Methodology &amp; Assumptions'!$B$8, 0)</f>
        <v/>
      </c>
      <c r="R119" s="27" t="n">
        <v>1</v>
      </c>
      <c r="S119" s="26" t="n">
        <v>5.55</v>
      </c>
      <c r="T119" s="26" t="n">
        <v>24.65</v>
      </c>
      <c r="U119" s="11">
        <f>IF(S119&lt;='Methodology &amp; Assumptions'!$B$10, "Direct Optical Drop (&lt;3km)", IF(S119&lt;='Methodology &amp; Assumptions'!$B$9, "Near Optical / Microwave (&lt;5km)", "Starlink Business LEO Satellite Backhaul (&gt;5km)"))</f>
        <v/>
      </c>
      <c r="V119" s="26" t="n">
        <v>45.38</v>
      </c>
      <c r="W119" s="26" t="n">
        <v>74.66</v>
      </c>
      <c r="X119" s="26">
        <f>ROUND(('Methodology &amp; Assumptions'!$B$5*V119) + ('Methodology &amp; Assumptions'!$B$6*W119), 2)</f>
        <v/>
      </c>
      <c r="Y119" s="28" t="n">
        <v>10.9</v>
      </c>
      <c r="Z119" s="11" t="inlineStr">
        <is>
          <t>Priority Tier 2 (Balanced Opportunity)</t>
        </is>
      </c>
    </row>
    <row r="120">
      <c r="A120" s="23" t="n">
        <v>4</v>
      </c>
      <c r="B120" s="23" t="n">
        <v>116</v>
      </c>
      <c r="C120" s="23" t="n">
        <v>3116</v>
      </c>
      <c r="D120" s="23" t="inlineStr">
        <is>
          <t>0600410018</t>
        </is>
      </c>
      <c r="E120" s="11" t="inlineStr">
        <is>
          <t>Region VI (Western Visayas)</t>
        </is>
      </c>
      <c r="F120" s="11" t="inlineStr">
        <is>
          <t>Aklan</t>
        </is>
      </c>
      <c r="G120" s="11" t="inlineStr">
        <is>
          <t>Madalag</t>
        </is>
      </c>
      <c r="H120" s="11" t="inlineStr">
        <is>
          <t>Paningayan</t>
        </is>
      </c>
      <c r="I120" s="24" t="n">
        <v>11.456472</v>
      </c>
      <c r="J120" s="24" t="n">
        <v>122.192087</v>
      </c>
      <c r="K120" s="23" t="inlineStr">
        <is>
          <t>R</t>
        </is>
      </c>
      <c r="L120" s="25" t="n">
        <v>1060</v>
      </c>
      <c r="M120" s="26" t="n">
        <v>3.9</v>
      </c>
      <c r="N120" s="25">
        <f>ROUND(L120/M120, 0)</f>
        <v/>
      </c>
      <c r="O120" s="25">
        <f>ROUND(N120*'Methodology &amp; Assumptions'!$B$7, 0)</f>
        <v/>
      </c>
      <c r="P120" s="23" t="inlineStr">
        <is>
          <t>Single Carrier (Band n50, 100MHz TDD)</t>
        </is>
      </c>
      <c r="Q120" s="27">
        <f>ROUNDUP(O120/'Methodology &amp; Assumptions'!$B$8, 0)</f>
        <v/>
      </c>
      <c r="R120" s="27" t="n">
        <v>1</v>
      </c>
      <c r="S120" s="26" t="n">
        <v>21.74</v>
      </c>
      <c r="T120" s="26" t="n">
        <v>22.29</v>
      </c>
      <c r="U120" s="11">
        <f>IF(S120&lt;='Methodology &amp; Assumptions'!$B$10, "Direct Optical Drop (&lt;3km)", IF(S120&lt;='Methodology &amp; Assumptions'!$B$9, "Near Optical / Microwave (&lt;5km)", "Starlink Business LEO Satellite Backhaul (&gt;5km)"))</f>
        <v/>
      </c>
      <c r="V120" s="26" t="n">
        <v>44.52</v>
      </c>
      <c r="W120" s="26" t="n">
        <v>75.5</v>
      </c>
      <c r="X120" s="26">
        <f>ROUND(('Methodology &amp; Assumptions'!$B$5*V120) + ('Methodology &amp; Assumptions'!$B$6*W120), 2)</f>
        <v/>
      </c>
      <c r="Y120" s="28" t="n">
        <v>23.7</v>
      </c>
      <c r="Z120" s="11" t="inlineStr">
        <is>
          <t>Priority Tier 2 (Balanced Opportunity)</t>
        </is>
      </c>
    </row>
    <row r="121">
      <c r="A121" s="23" t="n">
        <v>4</v>
      </c>
      <c r="B121" s="23" t="n">
        <v>117</v>
      </c>
      <c r="C121" s="23" t="n">
        <v>3117</v>
      </c>
      <c r="D121" s="23" t="inlineStr">
        <is>
          <t>0304911003</t>
        </is>
      </c>
      <c r="E121" s="11" t="inlineStr">
        <is>
          <t>Region III (Central Luzon)</t>
        </is>
      </c>
      <c r="F121" s="11" t="inlineStr">
        <is>
          <t>Nueva Ecija</t>
        </is>
      </c>
      <c r="G121" s="11" t="inlineStr">
        <is>
          <t>Guimba</t>
        </is>
      </c>
      <c r="H121" s="11" t="inlineStr">
        <is>
          <t>Bacayao</t>
        </is>
      </c>
      <c r="I121" s="24" t="n">
        <v>15.662192</v>
      </c>
      <c r="J121" s="24" t="n">
        <v>120.753412</v>
      </c>
      <c r="K121" s="23" t="inlineStr">
        <is>
          <t>R</t>
        </is>
      </c>
      <c r="L121" s="25" t="n">
        <v>3022</v>
      </c>
      <c r="M121" s="26" t="n">
        <v>3.5</v>
      </c>
      <c r="N121" s="25">
        <f>ROUND(L121/M121, 0)</f>
        <v/>
      </c>
      <c r="O121" s="25">
        <f>ROUND(N121*'Methodology &amp; Assumptions'!$B$7, 0)</f>
        <v/>
      </c>
      <c r="P121" s="23" t="inlineStr">
        <is>
          <t>Single Carrier (Band n50, 100MHz TDD)</t>
        </is>
      </c>
      <c r="Q121" s="27">
        <f>ROUNDUP(O121/'Methodology &amp; Assumptions'!$B$8, 0)</f>
        <v/>
      </c>
      <c r="R121" s="27" t="n">
        <v>1</v>
      </c>
      <c r="S121" s="26" t="n">
        <v>1.5</v>
      </c>
      <c r="T121" s="26" t="n">
        <v>1.83</v>
      </c>
      <c r="U121" s="11">
        <f>IF(S121&lt;='Methodology &amp; Assumptions'!$B$10, "Direct Optical Drop (&lt;3km)", IF(S121&lt;='Methodology &amp; Assumptions'!$B$9, "Near Optical / Microwave (&lt;5km)", "Starlink Business LEO Satellite Backhaul (&gt;5km)"))</f>
        <v/>
      </c>
      <c r="V121" s="26" t="n">
        <v>83.13</v>
      </c>
      <c r="W121" s="26" t="n">
        <v>36.86</v>
      </c>
      <c r="X121" s="26">
        <f>ROUND(('Methodology &amp; Assumptions'!$B$5*V121) + ('Methodology &amp; Assumptions'!$B$6*W121), 2)</f>
        <v/>
      </c>
      <c r="Y121" s="28" t="n">
        <v>8.300000000000001</v>
      </c>
      <c r="Z121" s="11" t="inlineStr">
        <is>
          <t>Priority Tier 3 (Broadband Expansion)</t>
        </is>
      </c>
    </row>
    <row r="122">
      <c r="A122" s="23" t="n">
        <v>4</v>
      </c>
      <c r="B122" s="23" t="n">
        <v>118</v>
      </c>
      <c r="C122" s="23" t="n">
        <v>3118</v>
      </c>
      <c r="D122" s="23" t="inlineStr">
        <is>
          <t>0304926030</t>
        </is>
      </c>
      <c r="E122" s="11" t="inlineStr">
        <is>
          <t>Region III (Central Luzon)</t>
        </is>
      </c>
      <c r="F122" s="11" t="inlineStr">
        <is>
          <t>Nueva Ecija</t>
        </is>
      </c>
      <c r="G122" s="11" t="inlineStr">
        <is>
          <t>San Jose City</t>
        </is>
      </c>
      <c r="H122" s="11" t="inlineStr">
        <is>
          <t>Santo Niño 1st</t>
        </is>
      </c>
      <c r="I122" s="24" t="n">
        <v>15.799364</v>
      </c>
      <c r="J122" s="24" t="n">
        <v>120.986351</v>
      </c>
      <c r="K122" s="23" t="inlineStr">
        <is>
          <t>U</t>
        </is>
      </c>
      <c r="L122" s="25" t="n">
        <v>7950</v>
      </c>
      <c r="M122" s="26" t="n">
        <v>3.5</v>
      </c>
      <c r="N122" s="25">
        <f>ROUND(L122/M122, 0)</f>
        <v/>
      </c>
      <c r="O122" s="25">
        <f>ROUND(N122*'Methodology &amp; Assumptions'!$B$7, 0)</f>
        <v/>
      </c>
      <c r="P122" s="23" t="inlineStr">
        <is>
          <t>Single Carrier (Band n50, 100MHz TDD)</t>
        </is>
      </c>
      <c r="Q122" s="27">
        <f>ROUNDUP(O122/'Methodology &amp; Assumptions'!$B$8, 0)</f>
        <v/>
      </c>
      <c r="R122" s="27" t="n">
        <v>1</v>
      </c>
      <c r="S122" s="26" t="n">
        <v>0.55</v>
      </c>
      <c r="T122" s="26" t="n">
        <v>0.44</v>
      </c>
      <c r="U122" s="11">
        <f>IF(S122&lt;='Methodology &amp; Assumptions'!$B$10, "Direct Optical Drop (&lt;3km)", IF(S122&lt;='Methodology &amp; Assumptions'!$B$9, "Near Optical / Microwave (&lt;5km)", "Starlink Business LEO Satellite Backhaul (&gt;5km)"))</f>
        <v/>
      </c>
      <c r="V122" s="26" t="n">
        <v>78.43000000000001</v>
      </c>
      <c r="W122" s="26" t="n">
        <v>41.57</v>
      </c>
      <c r="X122" s="26">
        <f>ROUND(('Methodology &amp; Assumptions'!$B$5*V122) + ('Methodology &amp; Assumptions'!$B$6*W122), 2)</f>
        <v/>
      </c>
      <c r="Y122" s="28" t="n">
        <v>8.300000000000001</v>
      </c>
      <c r="Z122" s="11" t="inlineStr">
        <is>
          <t>Priority Tier 2 (Balanced Opportunity)</t>
        </is>
      </c>
    </row>
    <row r="123">
      <c r="A123" s="23" t="n">
        <v>4</v>
      </c>
      <c r="B123" s="23" t="n">
        <v>119</v>
      </c>
      <c r="C123" s="23" t="n">
        <v>3119</v>
      </c>
      <c r="D123" s="23" t="inlineStr">
        <is>
          <t>0102906008</t>
        </is>
      </c>
      <c r="E123" s="11" t="inlineStr">
        <is>
          <t>Region I (Ilocos Region)</t>
        </is>
      </c>
      <c r="F123" s="11" t="inlineStr">
        <is>
          <t>Ilocos Sur</t>
        </is>
      </c>
      <c r="G123" s="11" t="inlineStr">
        <is>
          <t>City of Candon</t>
        </is>
      </c>
      <c r="H123" s="11" t="inlineStr">
        <is>
          <t>Bagani Ubbog</t>
        </is>
      </c>
      <c r="I123" s="24" t="n">
        <v>17.190959</v>
      </c>
      <c r="J123" s="24" t="n">
        <v>120.454486</v>
      </c>
      <c r="K123" s="23" t="inlineStr">
        <is>
          <t>R</t>
        </is>
      </c>
      <c r="L123" s="25" t="n">
        <v>1741</v>
      </c>
      <c r="M123" s="26" t="n">
        <v>3.8</v>
      </c>
      <c r="N123" s="25">
        <f>ROUND(L123/M123, 0)</f>
        <v/>
      </c>
      <c r="O123" s="25">
        <f>ROUND(N123*'Methodology &amp; Assumptions'!$B$7, 0)</f>
        <v/>
      </c>
      <c r="P123" s="23" t="inlineStr">
        <is>
          <t>Single Carrier (Band n50, 100MHz TDD)</t>
        </is>
      </c>
      <c r="Q123" s="27">
        <f>ROUNDUP(O123/'Methodology &amp; Assumptions'!$B$8, 0)</f>
        <v/>
      </c>
      <c r="R123" s="27" t="n">
        <v>1</v>
      </c>
      <c r="S123" s="26" t="n">
        <v>0.84</v>
      </c>
      <c r="T123" s="26" t="n">
        <v>0.7</v>
      </c>
      <c r="U123" s="11">
        <f>IF(S123&lt;='Methodology &amp; Assumptions'!$B$10, "Direct Optical Drop (&lt;3km)", IF(S123&lt;='Methodology &amp; Assumptions'!$B$9, "Near Optical / Microwave (&lt;5km)", "Starlink Business LEO Satellite Backhaul (&gt;5km)"))</f>
        <v/>
      </c>
      <c r="V123" s="26" t="n">
        <v>73.87</v>
      </c>
      <c r="W123" s="26" t="n">
        <v>46.14</v>
      </c>
      <c r="X123" s="26">
        <f>ROUND(('Methodology &amp; Assumptions'!$B$5*V123) + ('Methodology &amp; Assumptions'!$B$6*W123), 2)</f>
        <v/>
      </c>
      <c r="Y123" s="28" t="n">
        <v>8.300000000000001</v>
      </c>
      <c r="Z123" s="11" t="inlineStr">
        <is>
          <t>Priority Tier 2 (Balanced Opportunity)</t>
        </is>
      </c>
    </row>
    <row r="124">
      <c r="A124" s="23" t="n">
        <v>4</v>
      </c>
      <c r="B124" s="23" t="n">
        <v>120</v>
      </c>
      <c r="C124" s="23" t="n">
        <v>3120</v>
      </c>
      <c r="D124" s="23" t="inlineStr">
        <is>
          <t>0401005096</t>
        </is>
      </c>
      <c r="E124" s="11" t="inlineStr">
        <is>
          <t>Region IV-A (CALABARZON)</t>
        </is>
      </c>
      <c r="F124" s="11" t="inlineStr">
        <is>
          <t>Batangas</t>
        </is>
      </c>
      <c r="G124" s="11" t="inlineStr">
        <is>
          <t>Batangas City</t>
        </is>
      </c>
      <c r="H124" s="11" t="inlineStr">
        <is>
          <t>Santa Rita Aplaya</t>
        </is>
      </c>
      <c r="I124" s="24" t="n">
        <v>13.771391</v>
      </c>
      <c r="J124" s="24" t="n">
        <v>121.034943</v>
      </c>
      <c r="K124" s="23" t="inlineStr">
        <is>
          <t>U</t>
        </is>
      </c>
      <c r="L124" s="25" t="n">
        <v>1848</v>
      </c>
      <c r="M124" s="26" t="n">
        <v>3.6</v>
      </c>
      <c r="N124" s="25">
        <f>ROUND(L124/M124, 0)</f>
        <v/>
      </c>
      <c r="O124" s="25">
        <f>ROUND(N124*'Methodology &amp; Assumptions'!$B$7, 0)</f>
        <v/>
      </c>
      <c r="P124" s="23" t="inlineStr">
        <is>
          <t>Single Carrier (Band n50, 100MHz TDD)</t>
        </is>
      </c>
      <c r="Q124" s="27">
        <f>ROUNDUP(O124/'Methodology &amp; Assumptions'!$B$8, 0)</f>
        <v/>
      </c>
      <c r="R124" s="27" t="n">
        <v>1</v>
      </c>
      <c r="S124" s="26" t="n">
        <v>1.17</v>
      </c>
      <c r="T124" s="26" t="n">
        <v>0.97</v>
      </c>
      <c r="U124" s="11">
        <f>IF(S124&lt;='Methodology &amp; Assumptions'!$B$10, "Direct Optical Drop (&lt;3km)", IF(S124&lt;='Methodology &amp; Assumptions'!$B$9, "Near Optical / Microwave (&lt;5km)", "Starlink Business LEO Satellite Backhaul (&gt;5km)"))</f>
        <v/>
      </c>
      <c r="V124" s="26" t="n">
        <v>67.14</v>
      </c>
      <c r="W124" s="26" t="n">
        <v>52.85</v>
      </c>
      <c r="X124" s="26">
        <f>ROUND(('Methodology &amp; Assumptions'!$B$5*V124) + ('Methodology &amp; Assumptions'!$B$6*W124), 2)</f>
        <v/>
      </c>
      <c r="Y124" s="28" t="n">
        <v>7.2</v>
      </c>
      <c r="Z124" s="11" t="inlineStr">
        <is>
          <t>Priority Tier 3 (Broadband Expansion)</t>
        </is>
      </c>
    </row>
    <row r="125">
      <c r="A125" s="23" t="n">
        <v>4</v>
      </c>
      <c r="B125" s="23" t="n">
        <v>121</v>
      </c>
      <c r="C125" s="23" t="n">
        <v>3121</v>
      </c>
      <c r="D125" s="23" t="inlineStr">
        <is>
          <t>0402113002</t>
        </is>
      </c>
      <c r="E125" s="11" t="inlineStr">
        <is>
          <t>Region IV-A (CALABARZON)</t>
        </is>
      </c>
      <c r="F125" s="11" t="inlineStr">
        <is>
          <t>Cavite</t>
        </is>
      </c>
      <c r="G125" s="11" t="inlineStr">
        <is>
          <t>Maragondon</t>
        </is>
      </c>
      <c r="H125" s="11" t="inlineStr">
        <is>
          <t>Bucal I</t>
        </is>
      </c>
      <c r="I125" s="24" t="n">
        <v>14.270706</v>
      </c>
      <c r="J125" s="24" t="n">
        <v>120.742514</v>
      </c>
      <c r="K125" s="23" t="inlineStr">
        <is>
          <t>R</t>
        </is>
      </c>
      <c r="L125" s="25" t="n">
        <v>3478</v>
      </c>
      <c r="M125" s="26" t="n">
        <v>3.4</v>
      </c>
      <c r="N125" s="25">
        <f>ROUND(L125/M125, 0)</f>
        <v/>
      </c>
      <c r="O125" s="25">
        <f>ROUND(N125*'Methodology &amp; Assumptions'!$B$7, 0)</f>
        <v/>
      </c>
      <c r="P125" s="23" t="inlineStr">
        <is>
          <t>Single Carrier (Band n50, 100MHz TDD)</t>
        </is>
      </c>
      <c r="Q125" s="27">
        <f>ROUNDUP(O125/'Methodology &amp; Assumptions'!$B$8, 0)</f>
        <v/>
      </c>
      <c r="R125" s="27" t="n">
        <v>1</v>
      </c>
      <c r="S125" s="26" t="n">
        <v>0.79</v>
      </c>
      <c r="T125" s="26" t="n">
        <v>0.16</v>
      </c>
      <c r="U125" s="11">
        <f>IF(S125&lt;='Methodology &amp; Assumptions'!$B$10, "Direct Optical Drop (&lt;3km)", IF(S125&lt;='Methodology &amp; Assumptions'!$B$9, "Near Optical / Microwave (&lt;5km)", "Starlink Business LEO Satellite Backhaul (&gt;5km)"))</f>
        <v/>
      </c>
      <c r="V125" s="26" t="n">
        <v>85.45999999999999</v>
      </c>
      <c r="W125" s="26" t="n">
        <v>34.52</v>
      </c>
      <c r="X125" s="26">
        <f>ROUND(('Methodology &amp; Assumptions'!$B$5*V125) + ('Methodology &amp; Assumptions'!$B$6*W125), 2)</f>
        <v/>
      </c>
      <c r="Y125" s="28" t="n">
        <v>7.2</v>
      </c>
      <c r="Z125" s="11" t="inlineStr">
        <is>
          <t>Priority Tier 3 (Broadband Expansion)</t>
        </is>
      </c>
    </row>
    <row r="126">
      <c r="A126" s="23" t="n">
        <v>4</v>
      </c>
      <c r="B126" s="23" t="n">
        <v>122</v>
      </c>
      <c r="C126" s="23" t="n">
        <v>3122</v>
      </c>
      <c r="D126" s="23" t="inlineStr">
        <is>
          <t>0304927002</t>
        </is>
      </c>
      <c r="E126" s="11" t="inlineStr">
        <is>
          <t>Region III (Central Luzon)</t>
        </is>
      </c>
      <c r="F126" s="11" t="inlineStr">
        <is>
          <t>Nueva Ecija</t>
        </is>
      </c>
      <c r="G126" s="11" t="inlineStr">
        <is>
          <t>San Leonardo</t>
        </is>
      </c>
      <c r="H126" s="11" t="inlineStr">
        <is>
          <t>Bonifacio District</t>
        </is>
      </c>
      <c r="I126" s="24" t="n">
        <v>15.381105</v>
      </c>
      <c r="J126" s="24" t="n">
        <v>120.950344</v>
      </c>
      <c r="K126" s="23" t="inlineStr">
        <is>
          <t>R</t>
        </is>
      </c>
      <c r="L126" s="25" t="n">
        <v>3590</v>
      </c>
      <c r="M126" s="26" t="n">
        <v>3.5</v>
      </c>
      <c r="N126" s="25">
        <f>ROUND(L126/M126, 0)</f>
        <v/>
      </c>
      <c r="O126" s="25">
        <f>ROUND(N126*'Methodology &amp; Assumptions'!$B$7, 0)</f>
        <v/>
      </c>
      <c r="P126" s="23" t="inlineStr">
        <is>
          <t>Single Carrier (Band n50, 100MHz TDD)</t>
        </is>
      </c>
      <c r="Q126" s="27">
        <f>ROUNDUP(O126/'Methodology &amp; Assumptions'!$B$8, 0)</f>
        <v/>
      </c>
      <c r="R126" s="27" t="n">
        <v>1</v>
      </c>
      <c r="S126" s="26" t="n">
        <v>2.12</v>
      </c>
      <c r="T126" s="26" t="n">
        <v>1.02</v>
      </c>
      <c r="U126" s="11">
        <f>IF(S126&lt;='Methodology &amp; Assumptions'!$B$10, "Direct Optical Drop (&lt;3km)", IF(S126&lt;='Methodology &amp; Assumptions'!$B$9, "Near Optical / Microwave (&lt;5km)", "Starlink Business LEO Satellite Backhaul (&gt;5km)"))</f>
        <v/>
      </c>
      <c r="V126" s="26" t="n">
        <v>80.98999999999999</v>
      </c>
      <c r="W126" s="26" t="n">
        <v>38.98</v>
      </c>
      <c r="X126" s="26">
        <f>ROUND(('Methodology &amp; Assumptions'!$B$5*V126) + ('Methodology &amp; Assumptions'!$B$6*W126), 2)</f>
        <v/>
      </c>
      <c r="Y126" s="28" t="n">
        <v>8.300000000000001</v>
      </c>
      <c r="Z126" s="11" t="inlineStr">
        <is>
          <t>Priority Tier 3 (Broadband Expansion)</t>
        </is>
      </c>
    </row>
    <row r="127">
      <c r="A127" s="23" t="n">
        <v>4</v>
      </c>
      <c r="B127" s="23" t="n">
        <v>123</v>
      </c>
      <c r="C127" s="23" t="n">
        <v>3123</v>
      </c>
      <c r="D127" s="23" t="inlineStr">
        <is>
          <t>0405804004</t>
        </is>
      </c>
      <c r="E127" s="11" t="inlineStr">
        <is>
          <t>Region IV-A (CALABARZON)</t>
        </is>
      </c>
      <c r="F127" s="11" t="inlineStr">
        <is>
          <t>Rizal</t>
        </is>
      </c>
      <c r="G127" s="11" t="inlineStr">
        <is>
          <t>Binangonan</t>
        </is>
      </c>
      <c r="H127" s="11" t="inlineStr">
        <is>
          <t>Binitagan</t>
        </is>
      </c>
      <c r="I127" s="24" t="n">
        <v>14.476695</v>
      </c>
      <c r="J127" s="24" t="n">
        <v>121.195744</v>
      </c>
      <c r="K127" s="23" t="inlineStr">
        <is>
          <t>R</t>
        </is>
      </c>
      <c r="L127" s="25" t="n">
        <v>548</v>
      </c>
      <c r="M127" s="26" t="n">
        <v>3.6</v>
      </c>
      <c r="N127" s="25">
        <f>ROUND(L127/M127, 0)</f>
        <v/>
      </c>
      <c r="O127" s="25">
        <f>ROUND(N127*'Methodology &amp; Assumptions'!$B$7, 0)</f>
        <v/>
      </c>
      <c r="P127" s="23" t="inlineStr">
        <is>
          <t>Single Carrier (Band n50, 100MHz TDD)</t>
        </is>
      </c>
      <c r="Q127" s="27">
        <f>ROUNDUP(O127/'Methodology &amp; Assumptions'!$B$8, 0)</f>
        <v/>
      </c>
      <c r="R127" s="27" t="n">
        <v>1</v>
      </c>
      <c r="S127" s="26" t="n">
        <v>0.53</v>
      </c>
      <c r="T127" s="26" t="n">
        <v>0.5</v>
      </c>
      <c r="U127" s="11">
        <f>IF(S127&lt;='Methodology &amp; Assumptions'!$B$10, "Direct Optical Drop (&lt;3km)", IF(S127&lt;='Methodology &amp; Assumptions'!$B$9, "Near Optical / Microwave (&lt;5km)", "Starlink Business LEO Satellite Backhaul (&gt;5km)"))</f>
        <v/>
      </c>
      <c r="V127" s="26" t="n">
        <v>63.86</v>
      </c>
      <c r="W127" s="26" t="n">
        <v>56.12</v>
      </c>
      <c r="X127" s="26">
        <f>ROUND(('Methodology &amp; Assumptions'!$B$5*V127) + ('Methodology &amp; Assumptions'!$B$6*W127), 2)</f>
        <v/>
      </c>
      <c r="Y127" s="28" t="n">
        <v>7.2</v>
      </c>
      <c r="Z127" s="11" t="inlineStr">
        <is>
          <t>Priority Tier 3 (Broadband Expansion)</t>
        </is>
      </c>
    </row>
    <row r="128">
      <c r="A128" s="23" t="n">
        <v>4</v>
      </c>
      <c r="B128" s="23" t="n">
        <v>124</v>
      </c>
      <c r="C128" s="23" t="n">
        <v>3124</v>
      </c>
      <c r="D128" s="23" t="inlineStr">
        <is>
          <t>1380606113</t>
        </is>
      </c>
      <c r="E128" s="11" t="inlineStr">
        <is>
          <t>National Capital Region (NCR)</t>
        </is>
      </c>
      <c r="F128" s="11" t="inlineStr">
        <is>
          <t>First District (Not a Province)</t>
        </is>
      </c>
      <c r="G128" s="11" t="inlineStr">
        <is>
          <t>City of Manila</t>
        </is>
      </c>
      <c r="H128" s="11" t="inlineStr">
        <is>
          <t>Barangay 507</t>
        </is>
      </c>
      <c r="I128" s="24" t="n">
        <v>14.616197</v>
      </c>
      <c r="J128" s="24" t="n">
        <v>120.994312</v>
      </c>
      <c r="K128" s="23" t="inlineStr">
        <is>
          <t>U</t>
        </is>
      </c>
      <c r="L128" s="25" t="n">
        <v>1526</v>
      </c>
      <c r="M128" s="26" t="n">
        <v>4.23</v>
      </c>
      <c r="N128" s="25">
        <f>ROUND(L128/M128, 0)</f>
        <v/>
      </c>
      <c r="O128" s="25">
        <f>ROUND(N128*'Methodology &amp; Assumptions'!$B$7, 0)</f>
        <v/>
      </c>
      <c r="P128" s="23" t="inlineStr">
        <is>
          <t>Single Carrier (Band n50, 100MHz TDD)</t>
        </is>
      </c>
      <c r="Q128" s="27">
        <f>ROUNDUP(O128/'Methodology &amp; Assumptions'!$B$8, 0)</f>
        <v/>
      </c>
      <c r="R128" s="27" t="n">
        <v>1</v>
      </c>
      <c r="S128" s="26" t="n">
        <v>1.17</v>
      </c>
      <c r="T128" s="26" t="n">
        <v>0.46</v>
      </c>
      <c r="U128" s="11">
        <f>IF(S128&lt;='Methodology &amp; Assumptions'!$B$10, "Direct Optical Drop (&lt;3km)", IF(S128&lt;='Methodology &amp; Assumptions'!$B$9, "Near Optical / Microwave (&lt;5km)", "Starlink Business LEO Satellite Backhaul (&gt;5km)"))</f>
        <v/>
      </c>
      <c r="V128" s="26" t="n">
        <v>51.39</v>
      </c>
      <c r="W128" s="26" t="n">
        <v>68.59</v>
      </c>
      <c r="X128" s="26">
        <f>ROUND(('Methodology &amp; Assumptions'!$B$5*V128) + ('Methodology &amp; Assumptions'!$B$6*W128), 2)</f>
        <v/>
      </c>
      <c r="Y128" s="28" t="n">
        <v>10.9</v>
      </c>
      <c r="Z128" s="11" t="inlineStr">
        <is>
          <t>Priority Tier 3 (Broadband Expansion)</t>
        </is>
      </c>
    </row>
    <row r="129">
      <c r="A129" s="23" t="n">
        <v>4</v>
      </c>
      <c r="B129" s="23" t="n">
        <v>125</v>
      </c>
      <c r="C129" s="23" t="n">
        <v>3125</v>
      </c>
      <c r="D129" s="23" t="inlineStr">
        <is>
          <t>1380606143</t>
        </is>
      </c>
      <c r="E129" s="11" t="inlineStr">
        <is>
          <t>National Capital Region (NCR)</t>
        </is>
      </c>
      <c r="F129" s="11" t="inlineStr">
        <is>
          <t>First District (Not a Province)</t>
        </is>
      </c>
      <c r="G129" s="11" t="inlineStr">
        <is>
          <t>City of Manila</t>
        </is>
      </c>
      <c r="H129" s="11" t="inlineStr">
        <is>
          <t>Barangay 537</t>
        </is>
      </c>
      <c r="I129" s="24" t="n">
        <v>14.613995</v>
      </c>
      <c r="J129" s="24" t="n">
        <v>121.003584</v>
      </c>
      <c r="K129" s="23" t="inlineStr">
        <is>
          <t>U</t>
        </is>
      </c>
      <c r="L129" s="25" t="n">
        <v>1474</v>
      </c>
      <c r="M129" s="26" t="n">
        <v>4.69</v>
      </c>
      <c r="N129" s="25">
        <f>ROUND(L129/M129, 0)</f>
        <v/>
      </c>
      <c r="O129" s="25">
        <f>ROUND(N129*'Methodology &amp; Assumptions'!$B$7, 0)</f>
        <v/>
      </c>
      <c r="P129" s="23" t="inlineStr">
        <is>
          <t>Single Carrier (Band n50, 100MHz TDD)</t>
        </is>
      </c>
      <c r="Q129" s="27">
        <f>ROUNDUP(O129/'Methodology &amp; Assumptions'!$B$8, 0)</f>
        <v/>
      </c>
      <c r="R129" s="27" t="n">
        <v>1</v>
      </c>
      <c r="S129" s="26" t="n">
        <v>0.34</v>
      </c>
      <c r="T129" s="26" t="n">
        <v>0.26</v>
      </c>
      <c r="U129" s="11">
        <f>IF(S129&lt;='Methodology &amp; Assumptions'!$B$10, "Direct Optical Drop (&lt;3km)", IF(S129&lt;='Methodology &amp; Assumptions'!$B$9, "Near Optical / Microwave (&lt;5km)", "Starlink Business LEO Satellite Backhaul (&gt;5km)"))</f>
        <v/>
      </c>
      <c r="V129" s="26" t="n">
        <v>51.16</v>
      </c>
      <c r="W129" s="26" t="n">
        <v>68.81999999999999</v>
      </c>
      <c r="X129" s="26">
        <f>ROUND(('Methodology &amp; Assumptions'!$B$5*V129) + ('Methodology &amp; Assumptions'!$B$6*W129), 2)</f>
        <v/>
      </c>
      <c r="Y129" s="28" t="n">
        <v>10.9</v>
      </c>
      <c r="Z129" s="11" t="inlineStr">
        <is>
          <t>Priority Tier 3 (Broadband Expansion)</t>
        </is>
      </c>
    </row>
    <row r="130">
      <c r="A130" s="23" t="n">
        <v>4</v>
      </c>
      <c r="B130" s="23" t="n">
        <v>126</v>
      </c>
      <c r="C130" s="23" t="n">
        <v>3126</v>
      </c>
      <c r="D130" s="23" t="inlineStr">
        <is>
          <t>1381100068</t>
        </is>
      </c>
      <c r="E130" s="11" t="inlineStr">
        <is>
          <t>National Capital Region (NCR)</t>
        </is>
      </c>
      <c r="F130" s="11" t="inlineStr">
        <is>
          <t>Fourth District (Not a Province)</t>
        </is>
      </c>
      <c r="G130" s="11" t="inlineStr">
        <is>
          <t>Pasay City</t>
        </is>
      </c>
      <c r="H130" s="11" t="inlineStr">
        <is>
          <t>Barangay 68</t>
        </is>
      </c>
      <c r="I130" s="24" t="n">
        <v>14.546056</v>
      </c>
      <c r="J130" s="24" t="n">
        <v>120.995341</v>
      </c>
      <c r="K130" s="23" t="inlineStr">
        <is>
          <t>U</t>
        </is>
      </c>
      <c r="L130" s="25" t="n">
        <v>981</v>
      </c>
      <c r="M130" s="26" t="n">
        <v>3.25</v>
      </c>
      <c r="N130" s="25">
        <f>ROUND(L130/M130, 0)</f>
        <v/>
      </c>
      <c r="O130" s="25">
        <f>ROUND(N130*'Methodology &amp; Assumptions'!$B$7, 0)</f>
        <v/>
      </c>
      <c r="P130" s="23" t="inlineStr">
        <is>
          <t>Single Carrier (Band n50, 100MHz TDD)</t>
        </is>
      </c>
      <c r="Q130" s="27">
        <f>ROUNDUP(O130/'Methodology &amp; Assumptions'!$B$8, 0)</f>
        <v/>
      </c>
      <c r="R130" s="27" t="n">
        <v>1</v>
      </c>
      <c r="S130" s="26" t="n">
        <v>0.2</v>
      </c>
      <c r="T130" s="26" t="n">
        <v>0.15</v>
      </c>
      <c r="U130" s="11">
        <f>IF(S130&lt;='Methodology &amp; Assumptions'!$B$10, "Direct Optical Drop (&lt;3km)", IF(S130&lt;='Methodology &amp; Assumptions'!$B$9, "Near Optical / Microwave (&lt;5km)", "Starlink Business LEO Satellite Backhaul (&gt;5km)"))</f>
        <v/>
      </c>
      <c r="V130" s="26" t="n">
        <v>50.84</v>
      </c>
      <c r="W130" s="26" t="n">
        <v>69.15000000000001</v>
      </c>
      <c r="X130" s="26">
        <f>ROUND(('Methodology &amp; Assumptions'!$B$5*V130) + ('Methodology &amp; Assumptions'!$B$6*W130), 2)</f>
        <v/>
      </c>
      <c r="Y130" s="28" t="n">
        <v>10.9</v>
      </c>
      <c r="Z130" s="11" t="inlineStr">
        <is>
          <t>Priority Tier 3 (Broadband Expansion)</t>
        </is>
      </c>
    </row>
    <row r="131">
      <c r="A131" s="23" t="n">
        <v>4</v>
      </c>
      <c r="B131" s="23" t="n">
        <v>127</v>
      </c>
      <c r="C131" s="23" t="n">
        <v>3127</v>
      </c>
      <c r="D131" s="23" t="inlineStr">
        <is>
          <t>1108202029</t>
        </is>
      </c>
      <c r="E131" s="11" t="inlineStr">
        <is>
          <t>Region XI (Davao Region)</t>
        </is>
      </c>
      <c r="F131" s="11" t="inlineStr">
        <is>
          <t>Davao de Oro</t>
        </is>
      </c>
      <c r="G131" s="11" t="inlineStr">
        <is>
          <t>Laak</t>
        </is>
      </c>
      <c r="H131" s="11" t="inlineStr">
        <is>
          <t>Inacayan</t>
        </is>
      </c>
      <c r="I131" s="24" t="n">
        <v>7.877119</v>
      </c>
      <c r="J131" s="24" t="n">
        <v>125.784354</v>
      </c>
      <c r="K131" s="23" t="inlineStr">
        <is>
          <t>R</t>
        </is>
      </c>
      <c r="L131" s="25" t="n">
        <v>1095</v>
      </c>
      <c r="M131" s="26" t="n">
        <v>3.7</v>
      </c>
      <c r="N131" s="25">
        <f>ROUND(L131/M131, 0)</f>
        <v/>
      </c>
      <c r="O131" s="25">
        <f>ROUND(N131*'Methodology &amp; Assumptions'!$B$7, 0)</f>
        <v/>
      </c>
      <c r="P131" s="23" t="inlineStr">
        <is>
          <t>Single Carrier (Band n50, 100MHz TDD)</t>
        </is>
      </c>
      <c r="Q131" s="27">
        <f>ROUNDUP(O131/'Methodology &amp; Assumptions'!$B$8, 0)</f>
        <v/>
      </c>
      <c r="R131" s="27" t="n">
        <v>1</v>
      </c>
      <c r="S131" s="26" t="n">
        <v>30.45</v>
      </c>
      <c r="T131" s="26" t="n">
        <v>27.96</v>
      </c>
      <c r="U131" s="11">
        <f>IF(S131&lt;='Methodology &amp; Assumptions'!$B$10, "Direct Optical Drop (&lt;3km)", IF(S131&lt;='Methodology &amp; Assumptions'!$B$9, "Near Optical / Microwave (&lt;5km)", "Starlink Business LEO Satellite Backhaul (&gt;5km)"))</f>
        <v/>
      </c>
      <c r="V131" s="26" t="n">
        <v>44.49</v>
      </c>
      <c r="W131" s="26" t="n">
        <v>75.48999999999999</v>
      </c>
      <c r="X131" s="26">
        <f>ROUND(('Methodology &amp; Assumptions'!$B$5*V131) + ('Methodology &amp; Assumptions'!$B$6*W131), 2)</f>
        <v/>
      </c>
      <c r="Y131" s="28" t="n">
        <v>17.4</v>
      </c>
      <c r="Z131" s="11" t="inlineStr">
        <is>
          <t>Priority Tier 3 (Broadband Expansion)</t>
        </is>
      </c>
    </row>
    <row r="132">
      <c r="A132" s="23" t="n">
        <v>4</v>
      </c>
      <c r="B132" s="23" t="n">
        <v>128</v>
      </c>
      <c r="C132" s="23" t="n">
        <v>3128</v>
      </c>
      <c r="D132" s="23" t="inlineStr">
        <is>
          <t>0105511063</t>
        </is>
      </c>
      <c r="E132" s="11" t="inlineStr">
        <is>
          <t>Region I (Ilocos Region)</t>
        </is>
      </c>
      <c r="F132" s="11" t="inlineStr">
        <is>
          <t>Pangasinan</t>
        </is>
      </c>
      <c r="G132" s="11" t="inlineStr">
        <is>
          <t>Bayambang</t>
        </is>
      </c>
      <c r="H132" s="11" t="inlineStr">
        <is>
          <t>Tambac</t>
        </is>
      </c>
      <c r="I132" s="24" t="n">
        <v>15.82374</v>
      </c>
      <c r="J132" s="24" t="n">
        <v>120.4569</v>
      </c>
      <c r="K132" s="23" t="inlineStr">
        <is>
          <t>R</t>
        </is>
      </c>
      <c r="L132" s="25" t="n">
        <v>3196</v>
      </c>
      <c r="M132" s="26" t="n">
        <v>3.6</v>
      </c>
      <c r="N132" s="25">
        <f>ROUND(L132/M132, 0)</f>
        <v/>
      </c>
      <c r="O132" s="25">
        <f>ROUND(N132*'Methodology &amp; Assumptions'!$B$7, 0)</f>
        <v/>
      </c>
      <c r="P132" s="23" t="inlineStr">
        <is>
          <t>Single Carrier (Band n50, 100MHz TDD)</t>
        </is>
      </c>
      <c r="Q132" s="27">
        <f>ROUNDUP(O132/'Methodology &amp; Assumptions'!$B$8, 0)</f>
        <v/>
      </c>
      <c r="R132" s="27" t="n">
        <v>1</v>
      </c>
      <c r="S132" s="26" t="n">
        <v>0.85</v>
      </c>
      <c r="T132" s="26" t="n">
        <v>0.12</v>
      </c>
      <c r="U132" s="11">
        <f>IF(S132&lt;='Methodology &amp; Assumptions'!$B$10, "Direct Optical Drop (&lt;3km)", IF(S132&lt;='Methodology &amp; Assumptions'!$B$9, "Near Optical / Microwave (&lt;5km)", "Starlink Business LEO Satellite Backhaul (&gt;5km)"))</f>
        <v/>
      </c>
      <c r="V132" s="26" t="n">
        <v>85.59999999999999</v>
      </c>
      <c r="W132" s="26" t="n">
        <v>34.36</v>
      </c>
      <c r="X132" s="26">
        <f>ROUND(('Methodology &amp; Assumptions'!$B$5*V132) + ('Methodology &amp; Assumptions'!$B$6*W132), 2)</f>
        <v/>
      </c>
      <c r="Y132" s="28" t="n">
        <v>8.300000000000001</v>
      </c>
      <c r="Z132" s="11" t="inlineStr">
        <is>
          <t>Priority Tier 3 (Broadband Expansion)</t>
        </is>
      </c>
    </row>
    <row r="133">
      <c r="A133" s="23" t="n">
        <v>4</v>
      </c>
      <c r="B133" s="23" t="n">
        <v>129</v>
      </c>
      <c r="C133" s="23" t="n">
        <v>3129</v>
      </c>
      <c r="D133" s="23" t="inlineStr">
        <is>
          <t>0403413003</t>
        </is>
      </c>
      <c r="E133" s="11" t="inlineStr">
        <is>
          <t>Region IV-A (CALABARZON)</t>
        </is>
      </c>
      <c r="F133" s="11" t="inlineStr">
        <is>
          <t>Laguna</t>
        </is>
      </c>
      <c r="G133" s="11" t="inlineStr">
        <is>
          <t>Lumban</t>
        </is>
      </c>
      <c r="H133" s="11" t="inlineStr">
        <is>
          <t>Balubad</t>
        </is>
      </c>
      <c r="I133" s="24" t="n">
        <v>14.290864</v>
      </c>
      <c r="J133" s="24" t="n">
        <v>121.462055</v>
      </c>
      <c r="K133" s="23" t="inlineStr">
        <is>
          <t>R</t>
        </is>
      </c>
      <c r="L133" s="25" t="n">
        <v>2336</v>
      </c>
      <c r="M133" s="26" t="n">
        <v>3.3</v>
      </c>
      <c r="N133" s="25">
        <f>ROUND(L133/M133, 0)</f>
        <v/>
      </c>
      <c r="O133" s="25">
        <f>ROUND(N133*'Methodology &amp; Assumptions'!$B$7, 0)</f>
        <v/>
      </c>
      <c r="P133" s="23" t="inlineStr">
        <is>
          <t>Single Carrier (Band n50, 100MHz TDD)</t>
        </is>
      </c>
      <c r="Q133" s="27">
        <f>ROUNDUP(O133/'Methodology &amp; Assumptions'!$B$8, 0)</f>
        <v/>
      </c>
      <c r="R133" s="27" t="n">
        <v>1</v>
      </c>
      <c r="S133" s="26" t="n">
        <v>0.54</v>
      </c>
      <c r="T133" s="26" t="n">
        <v>0.22</v>
      </c>
      <c r="U133" s="11">
        <f>IF(S133&lt;='Methodology &amp; Assumptions'!$B$10, "Direct Optical Drop (&lt;3km)", IF(S133&lt;='Methodology &amp; Assumptions'!$B$9, "Near Optical / Microwave (&lt;5km)", "Starlink Business LEO Satellite Backhaul (&gt;5km)"))</f>
        <v/>
      </c>
      <c r="V133" s="26" t="n">
        <v>81.92</v>
      </c>
      <c r="W133" s="26" t="n">
        <v>38.05</v>
      </c>
      <c r="X133" s="26">
        <f>ROUND(('Methodology &amp; Assumptions'!$B$5*V133) + ('Methodology &amp; Assumptions'!$B$6*W133), 2)</f>
        <v/>
      </c>
      <c r="Y133" s="28" t="n">
        <v>7.2</v>
      </c>
      <c r="Z133" s="11" t="inlineStr">
        <is>
          <t>Priority Tier 3 (Broadband Expansion)</t>
        </is>
      </c>
    </row>
    <row r="134">
      <c r="A134" s="23" t="n">
        <v>4</v>
      </c>
      <c r="B134" s="23" t="n">
        <v>130</v>
      </c>
      <c r="C134" s="23" t="n">
        <v>3130</v>
      </c>
      <c r="D134" s="23" t="inlineStr">
        <is>
          <t>1380606163</t>
        </is>
      </c>
      <c r="E134" s="11" t="inlineStr">
        <is>
          <t>National Capital Region (NCR)</t>
        </is>
      </c>
      <c r="F134" s="11" t="inlineStr">
        <is>
          <t>First District (Not a Province)</t>
        </is>
      </c>
      <c r="G134" s="11" t="inlineStr">
        <is>
          <t>City of Manila</t>
        </is>
      </c>
      <c r="H134" s="11" t="inlineStr">
        <is>
          <t>Barangay 557</t>
        </is>
      </c>
      <c r="I134" s="24" t="n">
        <v>14.610829</v>
      </c>
      <c r="J134" s="24" t="n">
        <v>121.007527</v>
      </c>
      <c r="K134" s="23" t="inlineStr">
        <is>
          <t>U</t>
        </is>
      </c>
      <c r="L134" s="25" t="n">
        <v>1352</v>
      </c>
      <c r="M134" s="26" t="n">
        <v>4.42</v>
      </c>
      <c r="N134" s="25">
        <f>ROUND(L134/M134, 0)</f>
        <v/>
      </c>
      <c r="O134" s="25">
        <f>ROUND(N134*'Methodology &amp; Assumptions'!$B$7, 0)</f>
        <v/>
      </c>
      <c r="P134" s="23" t="inlineStr">
        <is>
          <t>Single Carrier (Band n50, 100MHz TDD)</t>
        </is>
      </c>
      <c r="Q134" s="27">
        <f>ROUNDUP(O134/'Methodology &amp; Assumptions'!$B$8, 0)</f>
        <v/>
      </c>
      <c r="R134" s="27" t="n">
        <v>1</v>
      </c>
      <c r="S134" s="26" t="n">
        <v>0.4</v>
      </c>
      <c r="T134" s="26" t="n">
        <v>0.24</v>
      </c>
      <c r="U134" s="11">
        <f>IF(S134&lt;='Methodology &amp; Assumptions'!$B$10, "Direct Optical Drop (&lt;3km)", IF(S134&lt;='Methodology &amp; Assumptions'!$B$9, "Near Optical / Microwave (&lt;5km)", "Starlink Business LEO Satellite Backhaul (&gt;5km)"))</f>
        <v/>
      </c>
      <c r="V134" s="26" t="n">
        <v>50.95</v>
      </c>
      <c r="W134" s="26" t="n">
        <v>69.01000000000001</v>
      </c>
      <c r="X134" s="26">
        <f>ROUND(('Methodology &amp; Assumptions'!$B$5*V134) + ('Methodology &amp; Assumptions'!$B$6*W134), 2)</f>
        <v/>
      </c>
      <c r="Y134" s="28" t="n">
        <v>10.9</v>
      </c>
      <c r="Z134" s="11" t="inlineStr">
        <is>
          <t>Priority Tier 3 (Broadband Expansion)</t>
        </is>
      </c>
    </row>
    <row r="135">
      <c r="A135" s="23" t="n">
        <v>4</v>
      </c>
      <c r="B135" s="23" t="n">
        <v>131</v>
      </c>
      <c r="C135" s="23" t="n">
        <v>3131</v>
      </c>
      <c r="D135" s="23" t="inlineStr">
        <is>
          <t>1380614066</t>
        </is>
      </c>
      <c r="E135" s="11" t="inlineStr">
        <is>
          <t>National Capital Region (NCR)</t>
        </is>
      </c>
      <c r="F135" s="11" t="inlineStr">
        <is>
          <t>First District (Not a Province)</t>
        </is>
      </c>
      <c r="G135" s="11" t="inlineStr">
        <is>
          <t>City of Manila</t>
        </is>
      </c>
      <c r="H135" s="11" t="inlineStr">
        <is>
          <t>Barangay 873</t>
        </is>
      </c>
      <c r="I135" s="24" t="n">
        <v>14.58029</v>
      </c>
      <c r="J135" s="24" t="n">
        <v>121.0122</v>
      </c>
      <c r="K135" s="23" t="inlineStr">
        <is>
          <t>U</t>
        </is>
      </c>
      <c r="L135" s="25" t="n">
        <v>1335</v>
      </c>
      <c r="M135" s="26" t="n">
        <v>3.95</v>
      </c>
      <c r="N135" s="25">
        <f>ROUND(L135/M135, 0)</f>
        <v/>
      </c>
      <c r="O135" s="25">
        <f>ROUND(N135*'Methodology &amp; Assumptions'!$B$7, 0)</f>
        <v/>
      </c>
      <c r="P135" s="23" t="inlineStr">
        <is>
          <t>Single Carrier (Band n50, 100MHz TDD)</t>
        </is>
      </c>
      <c r="Q135" s="27">
        <f>ROUNDUP(O135/'Methodology &amp; Assumptions'!$B$8, 0)</f>
        <v/>
      </c>
      <c r="R135" s="27" t="n">
        <v>1</v>
      </c>
      <c r="S135" s="26" t="n">
        <v>1.11</v>
      </c>
      <c r="T135" s="26" t="n">
        <v>0.19</v>
      </c>
      <c r="U135" s="11">
        <f>IF(S135&lt;='Methodology &amp; Assumptions'!$B$10, "Direct Optical Drop (&lt;3km)", IF(S135&lt;='Methodology &amp; Assumptions'!$B$9, "Near Optical / Microwave (&lt;5km)", "Starlink Business LEO Satellite Backhaul (&gt;5km)"))</f>
        <v/>
      </c>
      <c r="V135" s="26" t="n">
        <v>50.86</v>
      </c>
      <c r="W135" s="26" t="n">
        <v>69.09999999999999</v>
      </c>
      <c r="X135" s="26">
        <f>ROUND(('Methodology &amp; Assumptions'!$B$5*V135) + ('Methodology &amp; Assumptions'!$B$6*W135), 2)</f>
        <v/>
      </c>
      <c r="Y135" s="28" t="n">
        <v>10.9</v>
      </c>
      <c r="Z135" s="11" t="inlineStr">
        <is>
          <t>Priority Tier 3 (Broadband Expansion)</t>
        </is>
      </c>
    </row>
    <row r="136">
      <c r="A136" s="23" t="n">
        <v>4</v>
      </c>
      <c r="B136" s="23" t="n">
        <v>132</v>
      </c>
      <c r="C136" s="23" t="n">
        <v>3132</v>
      </c>
      <c r="D136" s="23" t="inlineStr">
        <is>
          <t>0600613006</t>
        </is>
      </c>
      <c r="E136" s="11" t="inlineStr">
        <is>
          <t>Region VI (Western Visayas)</t>
        </is>
      </c>
      <c r="F136" s="11" t="inlineStr">
        <is>
          <t>Antique</t>
        </is>
      </c>
      <c r="G136" s="11" t="inlineStr">
        <is>
          <t>San Jose</t>
        </is>
      </c>
      <c r="H136" s="11" t="inlineStr">
        <is>
          <t>Barangay 4</t>
        </is>
      </c>
      <c r="I136" s="24" t="n">
        <v>10.7411</v>
      </c>
      <c r="J136" s="24" t="n">
        <v>121.9384</v>
      </c>
      <c r="K136" s="23" t="inlineStr">
        <is>
          <t>R</t>
        </is>
      </c>
      <c r="L136" s="25" t="n">
        <v>3026</v>
      </c>
      <c r="M136" s="26" t="n">
        <v>3.9</v>
      </c>
      <c r="N136" s="25">
        <f>ROUND(L136/M136, 0)</f>
        <v/>
      </c>
      <c r="O136" s="25">
        <f>ROUND(N136*'Methodology &amp; Assumptions'!$B$7, 0)</f>
        <v/>
      </c>
      <c r="P136" s="23" t="inlineStr">
        <is>
          <t>Single Carrier (Band n50, 100MHz TDD)</t>
        </is>
      </c>
      <c r="Q136" s="27">
        <f>ROUNDUP(O136/'Methodology &amp; Assumptions'!$B$8, 0)</f>
        <v/>
      </c>
      <c r="R136" s="27" t="n">
        <v>1</v>
      </c>
      <c r="S136" s="26" t="n">
        <v>2.36</v>
      </c>
      <c r="T136" s="26" t="n">
        <v>0.47</v>
      </c>
      <c r="U136" s="11">
        <f>IF(S136&lt;='Methodology &amp; Assumptions'!$B$10, "Direct Optical Drop (&lt;3km)", IF(S136&lt;='Methodology &amp; Assumptions'!$B$9, "Near Optical / Microwave (&lt;5km)", "Starlink Business LEO Satellite Backhaul (&gt;5km)"))</f>
        <v/>
      </c>
      <c r="V136" s="26" t="n">
        <v>79.64</v>
      </c>
      <c r="W136" s="26" t="n">
        <v>40.3</v>
      </c>
      <c r="X136" s="26">
        <f>ROUND(('Methodology &amp; Assumptions'!$B$5*V136) + ('Methodology &amp; Assumptions'!$B$6*W136), 2)</f>
        <v/>
      </c>
      <c r="Y136" s="28" t="n">
        <v>23.7</v>
      </c>
      <c r="Z136" s="11" t="inlineStr">
        <is>
          <t>Priority Tier 3 (Broadband Expansion)</t>
        </is>
      </c>
    </row>
    <row r="137">
      <c r="A137" s="23" t="n">
        <v>4</v>
      </c>
      <c r="B137" s="23" t="n">
        <v>133</v>
      </c>
      <c r="C137" s="23" t="n">
        <v>3133</v>
      </c>
      <c r="D137" s="23" t="inlineStr">
        <is>
          <t>1381600015</t>
        </is>
      </c>
      <c r="E137" s="11" t="inlineStr">
        <is>
          <t>National Capital Region (NCR)</t>
        </is>
      </c>
      <c r="F137" s="11" t="inlineStr">
        <is>
          <t>Third District (Not a Province)</t>
        </is>
      </c>
      <c r="G137" s="11" t="inlineStr">
        <is>
          <t>City of Valenzuela</t>
        </is>
      </c>
      <c r="H137" s="11" t="inlineStr">
        <is>
          <t>Mabolo</t>
        </is>
      </c>
      <c r="I137" s="24" t="n">
        <v>14.71158</v>
      </c>
      <c r="J137" s="24" t="n">
        <v>120.949</v>
      </c>
      <c r="K137" s="23" t="inlineStr">
        <is>
          <t>U</t>
        </is>
      </c>
      <c r="L137" s="25" t="n">
        <v>1122</v>
      </c>
      <c r="M137" s="26" t="n">
        <v>3.01</v>
      </c>
      <c r="N137" s="25">
        <f>ROUND(L137/M137, 0)</f>
        <v/>
      </c>
      <c r="O137" s="25">
        <f>ROUND(N137*'Methodology &amp; Assumptions'!$B$7, 0)</f>
        <v/>
      </c>
      <c r="P137" s="23" t="inlineStr">
        <is>
          <t>Single Carrier (Band n50, 100MHz TDD)</t>
        </is>
      </c>
      <c r="Q137" s="27">
        <f>ROUNDUP(O137/'Methodology &amp; Assumptions'!$B$8, 0)</f>
        <v/>
      </c>
      <c r="R137" s="27" t="n">
        <v>1</v>
      </c>
      <c r="S137" s="26" t="n">
        <v>1.21</v>
      </c>
      <c r="T137" s="26" t="n">
        <v>1.04</v>
      </c>
      <c r="U137" s="11">
        <f>IF(S137&lt;='Methodology &amp; Assumptions'!$B$10, "Direct Optical Drop (&lt;3km)", IF(S137&lt;='Methodology &amp; Assumptions'!$B$9, "Near Optical / Microwave (&lt;5km)", "Starlink Business LEO Satellite Backhaul (&gt;5km)"))</f>
        <v/>
      </c>
      <c r="V137" s="26" t="n">
        <v>51.68</v>
      </c>
      <c r="W137" s="26" t="n">
        <v>68.25</v>
      </c>
      <c r="X137" s="26">
        <f>ROUND(('Methodology &amp; Assumptions'!$B$5*V137) + ('Methodology &amp; Assumptions'!$B$6*W137), 2)</f>
        <v/>
      </c>
      <c r="Y137" s="28" t="n">
        <v>10.9</v>
      </c>
      <c r="Z137" s="11" t="inlineStr">
        <is>
          <t>Priority Tier 3 (Broadband Expansion)</t>
        </is>
      </c>
    </row>
    <row r="138">
      <c r="A138" s="23" t="n">
        <v>4</v>
      </c>
      <c r="B138" s="23" t="n">
        <v>134</v>
      </c>
      <c r="C138" s="23" t="n">
        <v>3134</v>
      </c>
      <c r="D138" s="23" t="inlineStr">
        <is>
          <t>0506209022</t>
        </is>
      </c>
      <c r="E138" s="11" t="inlineStr">
        <is>
          <t>Region V (Bicol Region)</t>
        </is>
      </c>
      <c r="F138" s="11" t="inlineStr">
        <is>
          <t>Sorsogon</t>
        </is>
      </c>
      <c r="G138" s="11" t="inlineStr">
        <is>
          <t>Irosin</t>
        </is>
      </c>
      <c r="H138" s="11" t="inlineStr">
        <is>
          <t>San Isidro</t>
        </is>
      </c>
      <c r="I138" s="24" t="n">
        <v>12.701699</v>
      </c>
      <c r="J138" s="24" t="n">
        <v>123.97756</v>
      </c>
      <c r="K138" s="23" t="inlineStr">
        <is>
          <t>R</t>
        </is>
      </c>
      <c r="L138" s="25" t="n">
        <v>785</v>
      </c>
      <c r="M138" s="26" t="n">
        <v>4</v>
      </c>
      <c r="N138" s="25">
        <f>ROUND(L138/M138, 0)</f>
        <v/>
      </c>
      <c r="O138" s="25">
        <f>ROUND(N138*'Methodology &amp; Assumptions'!$B$7, 0)</f>
        <v/>
      </c>
      <c r="P138" s="23" t="inlineStr">
        <is>
          <t>Single Carrier (Band n50, 100MHz TDD)</t>
        </is>
      </c>
      <c r="Q138" s="27">
        <f>ROUNDUP(O138/'Methodology &amp; Assumptions'!$B$8, 0)</f>
        <v/>
      </c>
      <c r="R138" s="27" t="n">
        <v>1</v>
      </c>
      <c r="S138" s="26" t="n">
        <v>6.3</v>
      </c>
      <c r="T138" s="26" t="n">
        <v>3.23</v>
      </c>
      <c r="U138" s="11">
        <f>IF(S138&lt;='Methodology &amp; Assumptions'!$B$10, "Direct Optical Drop (&lt;3km)", IF(S138&lt;='Methodology &amp; Assumptions'!$B$9, "Near Optical / Microwave (&lt;5km)", "Starlink Business LEO Satellite Backhaul (&gt;5km)"))</f>
        <v/>
      </c>
      <c r="V138" s="26" t="n">
        <v>50.49</v>
      </c>
      <c r="W138" s="26" t="n">
        <v>69.44</v>
      </c>
      <c r="X138" s="26">
        <f>ROUND(('Methodology &amp; Assumptions'!$B$5*V138) + ('Methodology &amp; Assumptions'!$B$6*W138), 2)</f>
        <v/>
      </c>
      <c r="Y138" s="28" t="n">
        <v>23.7</v>
      </c>
      <c r="Z138" s="11" t="inlineStr">
        <is>
          <t>Priority Tier 3 (Broadband Expansion)</t>
        </is>
      </c>
    </row>
    <row r="139">
      <c r="A139" s="23" t="n">
        <v>4</v>
      </c>
      <c r="B139" s="23" t="n">
        <v>135</v>
      </c>
      <c r="C139" s="23" t="n">
        <v>3135</v>
      </c>
      <c r="D139" s="23" t="inlineStr">
        <is>
          <t>1380606057</t>
        </is>
      </c>
      <c r="E139" s="11" t="inlineStr">
        <is>
          <t>National Capital Region (NCR)</t>
        </is>
      </c>
      <c r="F139" s="11" t="inlineStr">
        <is>
          <t>First District (Not a Province)</t>
        </is>
      </c>
      <c r="G139" s="11" t="inlineStr">
        <is>
          <t>City of Manila</t>
        </is>
      </c>
      <c r="H139" s="11" t="inlineStr">
        <is>
          <t>Barangay 451</t>
        </is>
      </c>
      <c r="I139" s="24" t="n">
        <v>14.611148</v>
      </c>
      <c r="J139" s="24" t="n">
        <v>120.996391</v>
      </c>
      <c r="K139" s="23" t="inlineStr">
        <is>
          <t>U</t>
        </is>
      </c>
      <c r="L139" s="25" t="n">
        <v>1030</v>
      </c>
      <c r="M139" s="26" t="n">
        <v>4.42</v>
      </c>
      <c r="N139" s="25">
        <f>ROUND(L139/M139, 0)</f>
        <v/>
      </c>
      <c r="O139" s="25">
        <f>ROUND(N139*'Methodology &amp; Assumptions'!$B$7, 0)</f>
        <v/>
      </c>
      <c r="P139" s="23" t="inlineStr">
        <is>
          <t>Single Carrier (Band n50, 100MHz TDD)</t>
        </is>
      </c>
      <c r="Q139" s="27">
        <f>ROUNDUP(O139/'Methodology &amp; Assumptions'!$B$8, 0)</f>
        <v/>
      </c>
      <c r="R139" s="27" t="n">
        <v>1</v>
      </c>
      <c r="S139" s="26" t="n">
        <v>0.79</v>
      </c>
      <c r="T139" s="26" t="n">
        <v>0.4</v>
      </c>
      <c r="U139" s="11">
        <f>IF(S139&lt;='Methodology &amp; Assumptions'!$B$10, "Direct Optical Drop (&lt;3km)", IF(S139&lt;='Methodology &amp; Assumptions'!$B$9, "Near Optical / Microwave (&lt;5km)", "Starlink Business LEO Satellite Backhaul (&gt;5km)"))</f>
        <v/>
      </c>
      <c r="V139" s="26" t="n">
        <v>48.59</v>
      </c>
      <c r="W139" s="26" t="n">
        <v>71.36</v>
      </c>
      <c r="X139" s="26">
        <f>ROUND(('Methodology &amp; Assumptions'!$B$5*V139) + ('Methodology &amp; Assumptions'!$B$6*W139), 2)</f>
        <v/>
      </c>
      <c r="Y139" s="28" t="n">
        <v>10.9</v>
      </c>
      <c r="Z139" s="11" t="inlineStr">
        <is>
          <t>Priority Tier 3 (Broadband Expansion)</t>
        </is>
      </c>
    </row>
    <row r="140">
      <c r="A140" s="23" t="n">
        <v>4</v>
      </c>
      <c r="B140" s="23" t="n">
        <v>136</v>
      </c>
      <c r="C140" s="23" t="n">
        <v>3136</v>
      </c>
      <c r="D140" s="23" t="inlineStr">
        <is>
          <t>1380601165</t>
        </is>
      </c>
      <c r="E140" s="11" t="inlineStr">
        <is>
          <t>National Capital Region (NCR)</t>
        </is>
      </c>
      <c r="F140" s="11" t="inlineStr">
        <is>
          <t>First District (Not a Province)</t>
        </is>
      </c>
      <c r="G140" s="11" t="inlineStr">
        <is>
          <t>City of Manila</t>
        </is>
      </c>
      <c r="H140" s="11" t="inlineStr">
        <is>
          <t>Barangay 165</t>
        </is>
      </c>
      <c r="I140" s="24" t="n">
        <v>14.626019</v>
      </c>
      <c r="J140" s="24" t="n">
        <v>120.974547</v>
      </c>
      <c r="K140" s="23" t="inlineStr">
        <is>
          <t>U</t>
        </is>
      </c>
      <c r="L140" s="25" t="n">
        <v>903</v>
      </c>
      <c r="M140" s="26" t="n">
        <v>4.3</v>
      </c>
      <c r="N140" s="25">
        <f>ROUND(L140/M140, 0)</f>
        <v/>
      </c>
      <c r="O140" s="25">
        <f>ROUND(N140*'Methodology &amp; Assumptions'!$B$7, 0)</f>
        <v/>
      </c>
      <c r="P140" s="23" t="inlineStr">
        <is>
          <t>Single Carrier (Band n50, 100MHz TDD)</t>
        </is>
      </c>
      <c r="Q140" s="27">
        <f>ROUNDUP(O140/'Methodology &amp; Assumptions'!$B$8, 0)</f>
        <v/>
      </c>
      <c r="R140" s="27" t="n">
        <v>1</v>
      </c>
      <c r="S140" s="26" t="n">
        <v>0.16</v>
      </c>
      <c r="T140" s="26" t="n">
        <v>0.18</v>
      </c>
      <c r="U140" s="11">
        <f>IF(S140&lt;='Methodology &amp; Assumptions'!$B$10, "Direct Optical Drop (&lt;3km)", IF(S140&lt;='Methodology &amp; Assumptions'!$B$9, "Near Optical / Microwave (&lt;5km)", "Starlink Business LEO Satellite Backhaul (&gt;5km)"))</f>
        <v/>
      </c>
      <c r="V140" s="26" t="n">
        <v>47.84</v>
      </c>
      <c r="W140" s="26" t="n">
        <v>72.09999999999999</v>
      </c>
      <c r="X140" s="26">
        <f>ROUND(('Methodology &amp; Assumptions'!$B$5*V140) + ('Methodology &amp; Assumptions'!$B$6*W140), 2)</f>
        <v/>
      </c>
      <c r="Y140" s="28" t="n">
        <v>10.9</v>
      </c>
      <c r="Z140" s="11" t="inlineStr">
        <is>
          <t>Priority Tier 3 (Broadband Expansion)</t>
        </is>
      </c>
    </row>
    <row r="141">
      <c r="A141" s="23" t="n">
        <v>4</v>
      </c>
      <c r="B141" s="23" t="n">
        <v>137</v>
      </c>
      <c r="C141" s="23" t="n">
        <v>3137</v>
      </c>
      <c r="D141" s="23" t="inlineStr">
        <is>
          <t>1381100093</t>
        </is>
      </c>
      <c r="E141" s="11" t="inlineStr">
        <is>
          <t>National Capital Region (NCR)</t>
        </is>
      </c>
      <c r="F141" s="11" t="inlineStr">
        <is>
          <t>Fourth District (Not a Province)</t>
        </is>
      </c>
      <c r="G141" s="11" t="inlineStr">
        <is>
          <t>Pasay City</t>
        </is>
      </c>
      <c r="H141" s="11" t="inlineStr">
        <is>
          <t>Barangay 93</t>
        </is>
      </c>
      <c r="I141" s="24" t="n">
        <v>14.619143</v>
      </c>
      <c r="J141" s="24" t="n">
        <v>120.966703</v>
      </c>
      <c r="K141" s="23" t="inlineStr">
        <is>
          <t>U</t>
        </is>
      </c>
      <c r="L141" s="25" t="n">
        <v>506</v>
      </c>
      <c r="M141" s="26" t="n">
        <v>3.44</v>
      </c>
      <c r="N141" s="25">
        <f>ROUND(L141/M141, 0)</f>
        <v/>
      </c>
      <c r="O141" s="25">
        <f>ROUND(N141*'Methodology &amp; Assumptions'!$B$7, 0)</f>
        <v/>
      </c>
      <c r="P141" s="23" t="inlineStr">
        <is>
          <t>Single Carrier (Band n50, 100MHz TDD)</t>
        </is>
      </c>
      <c r="Q141" s="27">
        <f>ROUNDUP(O141/'Methodology &amp; Assumptions'!$B$8, 0)</f>
        <v/>
      </c>
      <c r="R141" s="27" t="n">
        <v>1</v>
      </c>
      <c r="S141" s="26" t="n">
        <v>0.45</v>
      </c>
      <c r="T141" s="26" t="n">
        <v>0.11</v>
      </c>
      <c r="U141" s="11">
        <f>IF(S141&lt;='Methodology &amp; Assumptions'!$B$10, "Direct Optical Drop (&lt;3km)", IF(S141&lt;='Methodology &amp; Assumptions'!$B$9, "Near Optical / Microwave (&lt;5km)", "Starlink Business LEO Satellite Backhaul (&gt;5km)"))</f>
        <v/>
      </c>
      <c r="V141" s="26" t="n">
        <v>45.8</v>
      </c>
      <c r="W141" s="26" t="n">
        <v>74.14</v>
      </c>
      <c r="X141" s="26">
        <f>ROUND(('Methodology &amp; Assumptions'!$B$5*V141) + ('Methodology &amp; Assumptions'!$B$6*W141), 2)</f>
        <v/>
      </c>
      <c r="Y141" s="28" t="n">
        <v>10.9</v>
      </c>
      <c r="Z141" s="11" t="inlineStr">
        <is>
          <t>Priority Tier 3 (Broadband Expansion)</t>
        </is>
      </c>
    </row>
    <row r="142">
      <c r="A142" s="23" t="n">
        <v>4</v>
      </c>
      <c r="B142" s="23" t="n">
        <v>138</v>
      </c>
      <c r="C142" s="23" t="n">
        <v>3138</v>
      </c>
      <c r="D142" s="23" t="inlineStr">
        <is>
          <t>0304903012</t>
        </is>
      </c>
      <c r="E142" s="11" t="inlineStr">
        <is>
          <t>Region III (Central Luzon)</t>
        </is>
      </c>
      <c r="F142" s="11" t="inlineStr">
        <is>
          <t>Nueva Ecija</t>
        </is>
      </c>
      <c r="G142" s="11" t="inlineStr">
        <is>
          <t>City of Cabanatuan</t>
        </is>
      </c>
      <c r="H142" s="11" t="inlineStr">
        <is>
          <t>Barlis</t>
        </is>
      </c>
      <c r="I142" s="24" t="n">
        <v>15.585783</v>
      </c>
      <c r="J142" s="24" t="n">
        <v>120.924577</v>
      </c>
      <c r="K142" s="23" t="inlineStr">
        <is>
          <t>R</t>
        </is>
      </c>
      <c r="L142" s="25" t="n">
        <v>2461</v>
      </c>
      <c r="M142" s="26" t="n">
        <v>3.5</v>
      </c>
      <c r="N142" s="25">
        <f>ROUND(L142/M142, 0)</f>
        <v/>
      </c>
      <c r="O142" s="25">
        <f>ROUND(N142*'Methodology &amp; Assumptions'!$B$7, 0)</f>
        <v/>
      </c>
      <c r="P142" s="23" t="inlineStr">
        <is>
          <t>Single Carrier (Band n50, 100MHz TDD)</t>
        </is>
      </c>
      <c r="Q142" s="27">
        <f>ROUNDUP(O142/'Methodology &amp; Assumptions'!$B$8, 0)</f>
        <v/>
      </c>
      <c r="R142" s="27" t="n">
        <v>1</v>
      </c>
      <c r="S142" s="26" t="n">
        <v>0.71</v>
      </c>
      <c r="T142" s="26" t="n">
        <v>0.52</v>
      </c>
      <c r="U142" s="11">
        <f>IF(S142&lt;='Methodology &amp; Assumptions'!$B$10, "Direct Optical Drop (&lt;3km)", IF(S142&lt;='Methodology &amp; Assumptions'!$B$9, "Near Optical / Microwave (&lt;5km)", "Starlink Business LEO Satellite Backhaul (&gt;5km)"))</f>
        <v/>
      </c>
      <c r="V142" s="26" t="n">
        <v>81.88</v>
      </c>
      <c r="W142" s="26" t="n">
        <v>38.05</v>
      </c>
      <c r="X142" s="26">
        <f>ROUND(('Methodology &amp; Assumptions'!$B$5*V142) + ('Methodology &amp; Assumptions'!$B$6*W142), 2)</f>
        <v/>
      </c>
      <c r="Y142" s="28" t="n">
        <v>8.300000000000001</v>
      </c>
      <c r="Z142" s="11" t="inlineStr">
        <is>
          <t>Priority Tier 3 (Broadband Expansion)</t>
        </is>
      </c>
    </row>
    <row r="143">
      <c r="A143" s="23" t="n">
        <v>4</v>
      </c>
      <c r="B143" s="23" t="n">
        <v>139</v>
      </c>
      <c r="C143" s="23" t="n">
        <v>3139</v>
      </c>
      <c r="D143" s="23" t="inlineStr">
        <is>
          <t>0301420038</t>
        </is>
      </c>
      <c r="E143" s="11" t="inlineStr">
        <is>
          <t>Region III (Central Luzon)</t>
        </is>
      </c>
      <c r="F143" s="11" t="inlineStr">
        <is>
          <t>Bulacan</t>
        </is>
      </c>
      <c r="G143" s="11" t="inlineStr">
        <is>
          <t>City of San Jose Del Monte</t>
        </is>
      </c>
      <c r="H143" s="11" t="inlineStr">
        <is>
          <t>Minuyan III</t>
        </is>
      </c>
      <c r="I143" s="24" t="n">
        <v>14.841417</v>
      </c>
      <c r="J143" s="24" t="n">
        <v>121.075439</v>
      </c>
      <c r="K143" s="23" t="inlineStr">
        <is>
          <t>U</t>
        </is>
      </c>
      <c r="L143" s="25" t="n">
        <v>2794</v>
      </c>
      <c r="M143" s="26" t="n">
        <v>3.5</v>
      </c>
      <c r="N143" s="25">
        <f>ROUND(L143/M143, 0)</f>
        <v/>
      </c>
      <c r="O143" s="25">
        <f>ROUND(N143*'Methodology &amp; Assumptions'!$B$7, 0)</f>
        <v/>
      </c>
      <c r="P143" s="23" t="inlineStr">
        <is>
          <t>Single Carrier (Band n50, 100MHz TDD)</t>
        </is>
      </c>
      <c r="Q143" s="27">
        <f>ROUNDUP(O143/'Methodology &amp; Assumptions'!$B$8, 0)</f>
        <v/>
      </c>
      <c r="R143" s="27" t="n">
        <v>1</v>
      </c>
      <c r="S143" s="26" t="n">
        <v>0.93</v>
      </c>
      <c r="T143" s="26" t="n">
        <v>3.73</v>
      </c>
      <c r="U143" s="11">
        <f>IF(S143&lt;='Methodology &amp; Assumptions'!$B$10, "Direct Optical Drop (&lt;3km)", IF(S143&lt;='Methodology &amp; Assumptions'!$B$9, "Near Optical / Microwave (&lt;5km)", "Starlink Business LEO Satellite Backhaul (&gt;5km)"))</f>
        <v/>
      </c>
      <c r="V143" s="26" t="n">
        <v>73.89</v>
      </c>
      <c r="W143" s="26" t="n">
        <v>46.03</v>
      </c>
      <c r="X143" s="26">
        <f>ROUND(('Methodology &amp; Assumptions'!$B$5*V143) + ('Methodology &amp; Assumptions'!$B$6*W143), 2)</f>
        <v/>
      </c>
      <c r="Y143" s="28" t="n">
        <v>8.300000000000001</v>
      </c>
      <c r="Z143" s="11" t="inlineStr">
        <is>
          <t>Priority Tier 3 (Broadband Expansion)</t>
        </is>
      </c>
    </row>
    <row r="144">
      <c r="A144" s="23" t="n">
        <v>4</v>
      </c>
      <c r="B144" s="23" t="n">
        <v>140</v>
      </c>
      <c r="C144" s="23" t="n">
        <v>3140</v>
      </c>
      <c r="D144" s="23" t="inlineStr">
        <is>
          <t>0500507013</t>
        </is>
      </c>
      <c r="E144" s="11" t="inlineStr">
        <is>
          <t>Region V (Bicol Region)</t>
        </is>
      </c>
      <c r="F144" s="11" t="inlineStr">
        <is>
          <t>Albay</t>
        </is>
      </c>
      <c r="G144" s="11" t="inlineStr">
        <is>
          <t>Libon</t>
        </is>
      </c>
      <c r="H144" s="11" t="inlineStr">
        <is>
          <t>Buga</t>
        </is>
      </c>
      <c r="I144" s="24" t="n">
        <v>13.298252</v>
      </c>
      <c r="J144" s="24" t="n">
        <v>123.342726</v>
      </c>
      <c r="K144" s="23" t="inlineStr">
        <is>
          <t>R</t>
        </is>
      </c>
      <c r="L144" s="25" t="n">
        <v>3747</v>
      </c>
      <c r="M144" s="26" t="n">
        <v>4.1</v>
      </c>
      <c r="N144" s="25">
        <f>ROUND(L144/M144, 0)</f>
        <v/>
      </c>
      <c r="O144" s="25">
        <f>ROUND(N144*'Methodology &amp; Assumptions'!$B$7, 0)</f>
        <v/>
      </c>
      <c r="P144" s="23" t="inlineStr">
        <is>
          <t>Single Carrier (Band n50, 100MHz TDD)</t>
        </is>
      </c>
      <c r="Q144" s="27">
        <f>ROUNDUP(O144/'Methodology &amp; Assumptions'!$B$8, 0)</f>
        <v/>
      </c>
      <c r="R144" s="27" t="n">
        <v>1</v>
      </c>
      <c r="S144" s="26" t="n">
        <v>7.14</v>
      </c>
      <c r="T144" s="26" t="n">
        <v>6.58</v>
      </c>
      <c r="U144" s="11">
        <f>IF(S144&lt;='Methodology &amp; Assumptions'!$B$10, "Direct Optical Drop (&lt;3km)", IF(S144&lt;='Methodology &amp; Assumptions'!$B$9, "Near Optical / Microwave (&lt;5km)", "Starlink Business LEO Satellite Backhaul (&gt;5km)"))</f>
        <v/>
      </c>
      <c r="V144" s="26" t="n">
        <v>70.06</v>
      </c>
      <c r="W144" s="26" t="n">
        <v>49.86</v>
      </c>
      <c r="X144" s="26">
        <f>ROUND(('Methodology &amp; Assumptions'!$B$5*V144) + ('Methodology &amp; Assumptions'!$B$6*W144), 2)</f>
        <v/>
      </c>
      <c r="Y144" s="28" t="n">
        <v>23.7</v>
      </c>
      <c r="Z144" s="11" t="inlineStr">
        <is>
          <t>Priority Tier 3 (Broadband Expansion)</t>
        </is>
      </c>
    </row>
    <row r="145">
      <c r="A145" s="23" t="n">
        <v>4</v>
      </c>
      <c r="B145" s="23" t="n">
        <v>141</v>
      </c>
      <c r="C145" s="23" t="n">
        <v>3141</v>
      </c>
      <c r="D145" s="23" t="inlineStr">
        <is>
          <t>1380614061</t>
        </is>
      </c>
      <c r="E145" s="11" t="inlineStr">
        <is>
          <t>National Capital Region (NCR)</t>
        </is>
      </c>
      <c r="F145" s="11" t="inlineStr">
        <is>
          <t>First District (Not a Province)</t>
        </is>
      </c>
      <c r="G145" s="11" t="inlineStr">
        <is>
          <t>City of Manila</t>
        </is>
      </c>
      <c r="H145" s="11" t="inlineStr">
        <is>
          <t>Barangay 805</t>
        </is>
      </c>
      <c r="I145" s="24" t="n">
        <v>14.572304</v>
      </c>
      <c r="J145" s="24" t="n">
        <v>121.002683</v>
      </c>
      <c r="K145" s="23" t="inlineStr">
        <is>
          <t>U</t>
        </is>
      </c>
      <c r="L145" s="25" t="n">
        <v>1396</v>
      </c>
      <c r="M145" s="26" t="n">
        <v>4.39</v>
      </c>
      <c r="N145" s="25">
        <f>ROUND(L145/M145, 0)</f>
        <v/>
      </c>
      <c r="O145" s="25">
        <f>ROUND(N145*'Methodology &amp; Assumptions'!$B$7, 0)</f>
        <v/>
      </c>
      <c r="P145" s="23" t="inlineStr">
        <is>
          <t>Single Carrier (Band n50, 100MHz TDD)</t>
        </is>
      </c>
      <c r="Q145" s="27">
        <f>ROUNDUP(O145/'Methodology &amp; Assumptions'!$B$8, 0)</f>
        <v/>
      </c>
      <c r="R145" s="27" t="n">
        <v>1</v>
      </c>
      <c r="S145" s="26" t="n">
        <v>0.91</v>
      </c>
      <c r="T145" s="26" t="n">
        <v>0.52</v>
      </c>
      <c r="U145" s="11">
        <f>IF(S145&lt;='Methodology &amp; Assumptions'!$B$10, "Direct Optical Drop (&lt;3km)", IF(S145&lt;='Methodology &amp; Assumptions'!$B$9, "Near Optical / Microwave (&lt;5km)", "Starlink Business LEO Satellite Backhaul (&gt;5km)"))</f>
        <v/>
      </c>
      <c r="V145" s="26" t="n">
        <v>51.01</v>
      </c>
      <c r="W145" s="26" t="n">
        <v>68.92</v>
      </c>
      <c r="X145" s="26">
        <f>ROUND(('Methodology &amp; Assumptions'!$B$5*V145) + ('Methodology &amp; Assumptions'!$B$6*W145), 2)</f>
        <v/>
      </c>
      <c r="Y145" s="28" t="n">
        <v>10.9</v>
      </c>
      <c r="Z145" s="11" t="inlineStr">
        <is>
          <t>Priority Tier 3 (Broadband Expansion)</t>
        </is>
      </c>
    </row>
    <row r="146">
      <c r="A146" s="23" t="n">
        <v>4</v>
      </c>
      <c r="B146" s="23" t="n">
        <v>142</v>
      </c>
      <c r="C146" s="23" t="n">
        <v>3142</v>
      </c>
      <c r="D146" s="23" t="inlineStr">
        <is>
          <t>0702219006</t>
        </is>
      </c>
      <c r="E146" s="11" t="inlineStr">
        <is>
          <t>Region VII (Central Visayas)</t>
        </is>
      </c>
      <c r="F146" s="11" t="inlineStr">
        <is>
          <t>Cebu</t>
        </is>
      </c>
      <c r="G146" s="11" t="inlineStr">
        <is>
          <t>Consolacion</t>
        </is>
      </c>
      <c r="H146" s="11" t="inlineStr">
        <is>
          <t>Jugan</t>
        </is>
      </c>
      <c r="I146" s="24" t="n">
        <v>10.37862</v>
      </c>
      <c r="J146" s="24" t="n">
        <v>123.971969</v>
      </c>
      <c r="K146" s="23" t="inlineStr">
        <is>
          <t>U</t>
        </is>
      </c>
      <c r="L146" s="25" t="n">
        <v>13063</v>
      </c>
      <c r="M146" s="26" t="n">
        <v>3.8</v>
      </c>
      <c r="N146" s="25">
        <f>ROUND(L146/M146, 0)</f>
        <v/>
      </c>
      <c r="O146" s="25">
        <f>ROUND(N146*'Methodology &amp; Assumptions'!$B$7, 0)</f>
        <v/>
      </c>
      <c r="P146" s="23" t="inlineStr">
        <is>
          <t>Single Carrier (Band n50, 100MHz TDD)</t>
        </is>
      </c>
      <c r="Q146" s="27">
        <f>ROUNDUP(O146/'Methodology &amp; Assumptions'!$B$8, 0)</f>
        <v/>
      </c>
      <c r="R146" s="27" t="n">
        <v>1</v>
      </c>
      <c r="S146" s="26" t="n">
        <v>1.46</v>
      </c>
      <c r="T146" s="26" t="n">
        <v>0.5</v>
      </c>
      <c r="U146" s="11">
        <f>IF(S146&lt;='Methodology &amp; Assumptions'!$B$10, "Direct Optical Drop (&lt;3km)", IF(S146&lt;='Methodology &amp; Assumptions'!$B$9, "Near Optical / Microwave (&lt;5km)", "Starlink Business LEO Satellite Backhaul (&gt;5km)"))</f>
        <v/>
      </c>
      <c r="V146" s="26" t="n">
        <v>78.5</v>
      </c>
      <c r="W146" s="26" t="n">
        <v>41.39</v>
      </c>
      <c r="X146" s="26">
        <f>ROUND(('Methodology &amp; Assumptions'!$B$5*V146) + ('Methodology &amp; Assumptions'!$B$6*W146), 2)</f>
        <v/>
      </c>
      <c r="Y146" s="28" t="n">
        <v>23.7</v>
      </c>
      <c r="Z146" s="11" t="inlineStr">
        <is>
          <t>Priority Tier 3 (Broadband Expansion)</t>
        </is>
      </c>
    </row>
    <row r="147">
      <c r="A147" s="23" t="n">
        <v>4</v>
      </c>
      <c r="B147" s="23" t="n">
        <v>143</v>
      </c>
      <c r="C147" s="23" t="n">
        <v>3143</v>
      </c>
      <c r="D147" s="23" t="inlineStr">
        <is>
          <t>1004302014</t>
        </is>
      </c>
      <c r="E147" s="11" t="inlineStr">
        <is>
          <t>Region X (Northern Mindanao)</t>
        </is>
      </c>
      <c r="F147" s="11" t="inlineStr">
        <is>
          <t>Misamis Oriental</t>
        </is>
      </c>
      <c r="G147" s="11" t="inlineStr">
        <is>
          <t>Balingasag</t>
        </is>
      </c>
      <c r="H147" s="11" t="inlineStr">
        <is>
          <t>Kibanban</t>
        </is>
      </c>
      <c r="I147" s="24" t="n">
        <v>8.785508999999999</v>
      </c>
      <c r="J147" s="24" t="n">
        <v>124.843187</v>
      </c>
      <c r="K147" s="23" t="inlineStr">
        <is>
          <t>R</t>
        </is>
      </c>
      <c r="L147" s="25" t="n">
        <v>2475</v>
      </c>
      <c r="M147" s="26" t="n">
        <v>3.9</v>
      </c>
      <c r="N147" s="25">
        <f>ROUND(L147/M147, 0)</f>
        <v/>
      </c>
      <c r="O147" s="25">
        <f>ROUND(N147*'Methodology &amp; Assumptions'!$B$7, 0)</f>
        <v/>
      </c>
      <c r="P147" s="23" t="inlineStr">
        <is>
          <t>Single Carrier (Band n50, 100MHz TDD)</t>
        </is>
      </c>
      <c r="Q147" s="27">
        <f>ROUNDUP(O147/'Methodology &amp; Assumptions'!$B$8, 0)</f>
        <v/>
      </c>
      <c r="R147" s="27" t="n">
        <v>1</v>
      </c>
      <c r="S147" s="26" t="n">
        <v>6.24</v>
      </c>
      <c r="T147" s="26" t="n">
        <v>6.19</v>
      </c>
      <c r="U147" s="11">
        <f>IF(S147&lt;='Methodology &amp; Assumptions'!$B$10, "Direct Optical Drop (&lt;3km)", IF(S147&lt;='Methodology &amp; Assumptions'!$B$9, "Near Optical / Microwave (&lt;5km)", "Starlink Business LEO Satellite Backhaul (&gt;5km)"))</f>
        <v/>
      </c>
      <c r="V147" s="26" t="n">
        <v>63.39</v>
      </c>
      <c r="W147" s="26" t="n">
        <v>56.51</v>
      </c>
      <c r="X147" s="26">
        <f>ROUND(('Methodology &amp; Assumptions'!$B$5*V147) + ('Methodology &amp; Assumptions'!$B$6*W147), 2)</f>
        <v/>
      </c>
      <c r="Y147" s="28" t="n">
        <v>17.4</v>
      </c>
      <c r="Z147" s="11" t="inlineStr">
        <is>
          <t>Priority Tier 3 (Broadband Expansion)</t>
        </is>
      </c>
    </row>
    <row r="148">
      <c r="A148" s="23" t="n">
        <v>4</v>
      </c>
      <c r="B148" s="23" t="n">
        <v>144</v>
      </c>
      <c r="C148" s="23" t="n">
        <v>3144</v>
      </c>
      <c r="D148" s="23" t="inlineStr">
        <is>
          <t>1380606053</t>
        </is>
      </c>
      <c r="E148" s="11" t="inlineStr">
        <is>
          <t>National Capital Region (NCR)</t>
        </is>
      </c>
      <c r="F148" s="11" t="inlineStr">
        <is>
          <t>First District (Not a Province)</t>
        </is>
      </c>
      <c r="G148" s="11" t="inlineStr">
        <is>
          <t>City of Manila</t>
        </is>
      </c>
      <c r="H148" s="11" t="inlineStr">
        <is>
          <t>Barangay 447</t>
        </is>
      </c>
      <c r="I148" s="24" t="n">
        <v>14.608779</v>
      </c>
      <c r="J148" s="24" t="n">
        <v>120.997406</v>
      </c>
      <c r="K148" s="23" t="inlineStr">
        <is>
          <t>U</t>
        </is>
      </c>
      <c r="L148" s="25" t="n">
        <v>1259</v>
      </c>
      <c r="M148" s="26" t="n">
        <v>4.18</v>
      </c>
      <c r="N148" s="25">
        <f>ROUND(L148/M148, 0)</f>
        <v/>
      </c>
      <c r="O148" s="25">
        <f>ROUND(N148*'Methodology &amp; Assumptions'!$B$7, 0)</f>
        <v/>
      </c>
      <c r="P148" s="23" t="inlineStr">
        <is>
          <t>Single Carrier (Band n50, 100MHz TDD)</t>
        </is>
      </c>
      <c r="Q148" s="27">
        <f>ROUNDUP(O148/'Methodology &amp; Assumptions'!$B$8, 0)</f>
        <v/>
      </c>
      <c r="R148" s="27" t="n">
        <v>1</v>
      </c>
      <c r="S148" s="26" t="n">
        <v>0.73</v>
      </c>
      <c r="T148" s="26" t="n">
        <v>0.39</v>
      </c>
      <c r="U148" s="11">
        <f>IF(S148&lt;='Methodology &amp; Assumptions'!$B$10, "Direct Optical Drop (&lt;3km)", IF(S148&lt;='Methodology &amp; Assumptions'!$B$9, "Near Optical / Microwave (&lt;5km)", "Starlink Business LEO Satellite Backhaul (&gt;5km)"))</f>
        <v/>
      </c>
      <c r="V148" s="26" t="n">
        <v>50.73</v>
      </c>
      <c r="W148" s="26" t="n">
        <v>69.16</v>
      </c>
      <c r="X148" s="26">
        <f>ROUND(('Methodology &amp; Assumptions'!$B$5*V148) + ('Methodology &amp; Assumptions'!$B$6*W148), 2)</f>
        <v/>
      </c>
      <c r="Y148" s="28" t="n">
        <v>10.9</v>
      </c>
      <c r="Z148" s="11" t="inlineStr">
        <is>
          <t>Priority Tier 3 (Broadband Expansion)</t>
        </is>
      </c>
    </row>
    <row r="149">
      <c r="A149" s="23" t="n">
        <v>4</v>
      </c>
      <c r="B149" s="23" t="n">
        <v>145</v>
      </c>
      <c r="C149" s="23" t="n">
        <v>3145</v>
      </c>
      <c r="D149" s="23" t="inlineStr">
        <is>
          <t>1380603010</t>
        </is>
      </c>
      <c r="E149" s="11" t="inlineStr">
        <is>
          <t>National Capital Region (NCR)</t>
        </is>
      </c>
      <c r="F149" s="11" t="inlineStr">
        <is>
          <t>First District (Not a Province)</t>
        </is>
      </c>
      <c r="G149" s="11" t="inlineStr">
        <is>
          <t>City of Manila</t>
        </is>
      </c>
      <c r="H149" s="11" t="inlineStr">
        <is>
          <t>Barangay 390</t>
        </is>
      </c>
      <c r="I149" s="24" t="n">
        <v>14.59906</v>
      </c>
      <c r="J149" s="24" t="n">
        <v>120.9892</v>
      </c>
      <c r="K149" s="23" t="inlineStr">
        <is>
          <t>U</t>
        </is>
      </c>
      <c r="L149" s="25" t="n">
        <v>900</v>
      </c>
      <c r="M149" s="26" t="n">
        <v>3.85</v>
      </c>
      <c r="N149" s="25">
        <f>ROUND(L149/M149, 0)</f>
        <v/>
      </c>
      <c r="O149" s="25">
        <f>ROUND(N149*'Methodology &amp; Assumptions'!$B$7, 0)</f>
        <v/>
      </c>
      <c r="P149" s="23" t="inlineStr">
        <is>
          <t>Single Carrier (Band n50, 100MHz TDD)</t>
        </is>
      </c>
      <c r="Q149" s="27">
        <f>ROUNDUP(O149/'Methodology &amp; Assumptions'!$B$8, 0)</f>
        <v/>
      </c>
      <c r="R149" s="27" t="n">
        <v>1</v>
      </c>
      <c r="S149" s="26" t="n">
        <v>0.5</v>
      </c>
      <c r="T149" s="26" t="n">
        <v>0.25</v>
      </c>
      <c r="U149" s="11">
        <f>IF(S149&lt;='Methodology &amp; Assumptions'!$B$10, "Direct Optical Drop (&lt;3km)", IF(S149&lt;='Methodology &amp; Assumptions'!$B$9, "Near Optical / Microwave (&lt;5km)", "Starlink Business LEO Satellite Backhaul (&gt;5km)"))</f>
        <v/>
      </c>
      <c r="V149" s="26" t="n">
        <v>48.59</v>
      </c>
      <c r="W149" s="26" t="n">
        <v>71.31</v>
      </c>
      <c r="X149" s="26">
        <f>ROUND(('Methodology &amp; Assumptions'!$B$5*V149) + ('Methodology &amp; Assumptions'!$B$6*W149), 2)</f>
        <v/>
      </c>
      <c r="Y149" s="28" t="n">
        <v>10.9</v>
      </c>
      <c r="Z149" s="11" t="inlineStr">
        <is>
          <t>Priority Tier 3 (Broadband Expansion)</t>
        </is>
      </c>
    </row>
    <row r="150">
      <c r="A150" s="23" t="n">
        <v>4</v>
      </c>
      <c r="B150" s="23" t="n">
        <v>146</v>
      </c>
      <c r="C150" s="23" t="n">
        <v>3146</v>
      </c>
      <c r="D150" s="23" t="inlineStr">
        <is>
          <t>0502002012</t>
        </is>
      </c>
      <c r="E150" s="11" t="inlineStr">
        <is>
          <t>Region V (Bicol Region)</t>
        </is>
      </c>
      <c r="F150" s="11" t="inlineStr">
        <is>
          <t>Catanduanes</t>
        </is>
      </c>
      <c r="G150" s="11" t="inlineStr">
        <is>
          <t>Baras</t>
        </is>
      </c>
      <c r="H150" s="11" t="inlineStr">
        <is>
          <t>J. M. Alberto</t>
        </is>
      </c>
      <c r="I150" s="24" t="n">
        <v>13.707588</v>
      </c>
      <c r="J150" s="24" t="n">
        <v>124.361567</v>
      </c>
      <c r="K150" s="23" t="inlineStr">
        <is>
          <t>R</t>
        </is>
      </c>
      <c r="L150" s="25" t="n">
        <v>764</v>
      </c>
      <c r="M150" s="26" t="n">
        <v>4.2</v>
      </c>
      <c r="N150" s="25">
        <f>ROUND(L150/M150, 0)</f>
        <v/>
      </c>
      <c r="O150" s="25">
        <f>ROUND(N150*'Methodology &amp; Assumptions'!$B$7, 0)</f>
        <v/>
      </c>
      <c r="P150" s="23" t="inlineStr">
        <is>
          <t>Single Carrier (Band n50, 100MHz TDD)</t>
        </is>
      </c>
      <c r="Q150" s="27">
        <f>ROUNDUP(O150/'Methodology &amp; Assumptions'!$B$8, 0)</f>
        <v/>
      </c>
      <c r="R150" s="27" t="n">
        <v>1</v>
      </c>
      <c r="S150" s="26" t="n">
        <v>54.31</v>
      </c>
      <c r="T150" s="26" t="n">
        <v>78.34999999999999</v>
      </c>
      <c r="U150" s="11">
        <f>IF(S150&lt;='Methodology &amp; Assumptions'!$B$10, "Direct Optical Drop (&lt;3km)", IF(S150&lt;='Methodology &amp; Assumptions'!$B$9, "Near Optical / Microwave (&lt;5km)", "Starlink Business LEO Satellite Backhaul (&gt;5km)"))</f>
        <v/>
      </c>
      <c r="V150" s="26" t="n">
        <v>44.41</v>
      </c>
      <c r="W150" s="26" t="n">
        <v>75.48999999999999</v>
      </c>
      <c r="X150" s="26">
        <f>ROUND(('Methodology &amp; Assumptions'!$B$5*V150) + ('Methodology &amp; Assumptions'!$B$6*W150), 2)</f>
        <v/>
      </c>
      <c r="Y150" s="28" t="n">
        <v>23.7</v>
      </c>
      <c r="Z150" s="11" t="inlineStr">
        <is>
          <t>Priority Tier 3 (Broadband Expansion)</t>
        </is>
      </c>
    </row>
    <row r="151">
      <c r="A151" s="23" t="n">
        <v>4</v>
      </c>
      <c r="B151" s="23" t="n">
        <v>147</v>
      </c>
      <c r="C151" s="23" t="n">
        <v>3147</v>
      </c>
      <c r="D151" s="23" t="inlineStr">
        <is>
          <t>0631000014</t>
        </is>
      </c>
      <c r="E151" s="11" t="inlineStr">
        <is>
          <t>Region VI (Western Visayas)</t>
        </is>
      </c>
      <c r="F151" s="11" t="inlineStr">
        <is>
          <t>Iloilo</t>
        </is>
      </c>
      <c r="G151" s="11" t="inlineStr">
        <is>
          <t>City of Iloilo</t>
        </is>
      </c>
      <c r="H151" s="11" t="inlineStr">
        <is>
          <t>Sinikway</t>
        </is>
      </c>
      <c r="I151" s="24" t="n">
        <v>10.92438</v>
      </c>
      <c r="J151" s="24" t="n">
        <v>122.558213</v>
      </c>
      <c r="K151" s="23" t="inlineStr">
        <is>
          <t>R</t>
        </is>
      </c>
      <c r="L151" s="25" t="n">
        <v>2884</v>
      </c>
      <c r="M151" s="26" t="n">
        <v>4.2</v>
      </c>
      <c r="N151" s="25">
        <f>ROUND(L151/M151, 0)</f>
        <v/>
      </c>
      <c r="O151" s="25">
        <f>ROUND(N151*'Methodology &amp; Assumptions'!$B$7, 0)</f>
        <v/>
      </c>
      <c r="P151" s="23" t="inlineStr">
        <is>
          <t>Single Carrier (Band n50, 100MHz TDD)</t>
        </is>
      </c>
      <c r="Q151" s="27">
        <f>ROUNDUP(O151/'Methodology &amp; Assumptions'!$B$8, 0)</f>
        <v/>
      </c>
      <c r="R151" s="27" t="n">
        <v>1</v>
      </c>
      <c r="S151" s="26" t="n">
        <v>0.97</v>
      </c>
      <c r="T151" s="26" t="n">
        <v>0.96</v>
      </c>
      <c r="U151" s="11">
        <f>IF(S151&lt;='Methodology &amp; Assumptions'!$B$10, "Direct Optical Drop (&lt;3km)", IF(S151&lt;='Methodology &amp; Assumptions'!$B$9, "Near Optical / Microwave (&lt;5km)", "Starlink Business LEO Satellite Backhaul (&gt;5km)"))</f>
        <v/>
      </c>
      <c r="V151" s="26" t="n">
        <v>81.83</v>
      </c>
      <c r="W151" s="26" t="n">
        <v>38.05</v>
      </c>
      <c r="X151" s="26">
        <f>ROUND(('Methodology &amp; Assumptions'!$B$5*V151) + ('Methodology &amp; Assumptions'!$B$6*W151), 2)</f>
        <v/>
      </c>
      <c r="Y151" s="28" t="n">
        <v>23.7</v>
      </c>
      <c r="Z151" s="11" t="inlineStr">
        <is>
          <t>Priority Tier 3 (Broadband Expansion)</t>
        </is>
      </c>
    </row>
    <row r="152">
      <c r="A152" s="23" t="n">
        <v>4</v>
      </c>
      <c r="B152" s="23" t="n">
        <v>148</v>
      </c>
      <c r="C152" s="23" t="n">
        <v>3148</v>
      </c>
      <c r="D152" s="23" t="inlineStr">
        <is>
          <t>0803738091</t>
        </is>
      </c>
      <c r="E152" s="11" t="inlineStr">
        <is>
          <t>Region VIII (Eastern Visayas)</t>
        </is>
      </c>
      <c r="F152" s="11" t="inlineStr">
        <is>
          <t>Leyte</t>
        </is>
      </c>
      <c r="G152" s="11" t="inlineStr">
        <is>
          <t>Ormoc City</t>
        </is>
      </c>
      <c r="H152" s="11" t="inlineStr">
        <is>
          <t>Barangay 29</t>
        </is>
      </c>
      <c r="I152" s="24" t="n">
        <v>11.047473</v>
      </c>
      <c r="J152" s="24" t="n">
        <v>124.59754</v>
      </c>
      <c r="K152" s="23" t="inlineStr">
        <is>
          <t>R</t>
        </is>
      </c>
      <c r="L152" s="25" t="n">
        <v>4239</v>
      </c>
      <c r="M152" s="26" t="n">
        <v>3.8</v>
      </c>
      <c r="N152" s="25">
        <f>ROUND(L152/M152, 0)</f>
        <v/>
      </c>
      <c r="O152" s="25">
        <f>ROUND(N152*'Methodology &amp; Assumptions'!$B$7, 0)</f>
        <v/>
      </c>
      <c r="P152" s="23" t="inlineStr">
        <is>
          <t>Single Carrier (Band n50, 100MHz TDD)</t>
        </is>
      </c>
      <c r="Q152" s="27">
        <f>ROUNDUP(O152/'Methodology &amp; Assumptions'!$B$8, 0)</f>
        <v/>
      </c>
      <c r="R152" s="27" t="n">
        <v>1</v>
      </c>
      <c r="S152" s="26" t="n">
        <v>2.61</v>
      </c>
      <c r="T152" s="26" t="n">
        <v>0.82</v>
      </c>
      <c r="U152" s="11">
        <f>IF(S152&lt;='Methodology &amp; Assumptions'!$B$10, "Direct Optical Drop (&lt;3km)", IF(S152&lt;='Methodology &amp; Assumptions'!$B$9, "Near Optical / Microwave (&lt;5km)", "Starlink Business LEO Satellite Backhaul (&gt;5km)"))</f>
        <v/>
      </c>
      <c r="V152" s="26" t="n">
        <v>81.83</v>
      </c>
      <c r="W152" s="26" t="n">
        <v>38.05</v>
      </c>
      <c r="X152" s="26">
        <f>ROUND(('Methodology &amp; Assumptions'!$B$5*V152) + ('Methodology &amp; Assumptions'!$B$6*W152), 2)</f>
        <v/>
      </c>
      <c r="Y152" s="28" t="n">
        <v>23.7</v>
      </c>
      <c r="Z152" s="11" t="inlineStr">
        <is>
          <t>Priority Tier 3 (Broadband Expansion)</t>
        </is>
      </c>
    </row>
    <row r="153">
      <c r="A153" s="23" t="n">
        <v>4</v>
      </c>
      <c r="B153" s="23" t="n">
        <v>149</v>
      </c>
      <c r="C153" s="23" t="n">
        <v>3149</v>
      </c>
      <c r="D153" s="23" t="inlineStr">
        <is>
          <t>0702234025</t>
        </is>
      </c>
      <c r="E153" s="11" t="inlineStr">
        <is>
          <t>Region VII (Central Visayas)</t>
        </is>
      </c>
      <c r="F153" s="11" t="inlineStr">
        <is>
          <t>Cebu</t>
        </is>
      </c>
      <c r="G153" s="11" t="inlineStr">
        <is>
          <t>City of Naga</t>
        </is>
      </c>
      <c r="H153" s="11" t="inlineStr">
        <is>
          <t>Tinaan</t>
        </is>
      </c>
      <c r="I153" s="24" t="n">
        <v>10.193611</v>
      </c>
      <c r="J153" s="24" t="n">
        <v>123.744998</v>
      </c>
      <c r="K153" s="23" t="inlineStr">
        <is>
          <t>U</t>
        </is>
      </c>
      <c r="L153" s="25" t="n">
        <v>7625</v>
      </c>
      <c r="M153" s="26" t="n">
        <v>3.8</v>
      </c>
      <c r="N153" s="25">
        <f>ROUND(L153/M153, 0)</f>
        <v/>
      </c>
      <c r="O153" s="25">
        <f>ROUND(N153*'Methodology &amp; Assumptions'!$B$7, 0)</f>
        <v/>
      </c>
      <c r="P153" s="23" t="inlineStr">
        <is>
          <t>Single Carrier (Band n50, 100MHz TDD)</t>
        </is>
      </c>
      <c r="Q153" s="27">
        <f>ROUNDUP(O153/'Methodology &amp; Assumptions'!$B$8, 0)</f>
        <v/>
      </c>
      <c r="R153" s="27" t="n">
        <v>1</v>
      </c>
      <c r="S153" s="26" t="n">
        <v>5.19</v>
      </c>
      <c r="T153" s="26" t="n">
        <v>0.05</v>
      </c>
      <c r="U153" s="11">
        <f>IF(S153&lt;='Methodology &amp; Assumptions'!$B$10, "Direct Optical Drop (&lt;3km)", IF(S153&lt;='Methodology &amp; Assumptions'!$B$9, "Near Optical / Microwave (&lt;5km)", "Starlink Business LEO Satellite Backhaul (&gt;5km)"))</f>
        <v/>
      </c>
      <c r="V153" s="26" t="n">
        <v>69.06999999999999</v>
      </c>
      <c r="W153" s="26" t="n">
        <v>50.79</v>
      </c>
      <c r="X153" s="26">
        <f>ROUND(('Methodology &amp; Assumptions'!$B$5*V153) + ('Methodology &amp; Assumptions'!$B$6*W153), 2)</f>
        <v/>
      </c>
      <c r="Y153" s="28" t="n">
        <v>23.7</v>
      </c>
      <c r="Z153" s="11" t="inlineStr">
        <is>
          <t>Priority Tier 3 (Broadband Expansion)</t>
        </is>
      </c>
    </row>
    <row r="154">
      <c r="A154" s="23" t="n">
        <v>4</v>
      </c>
      <c r="B154" s="23" t="n">
        <v>150</v>
      </c>
      <c r="C154" s="23" t="n">
        <v>3150</v>
      </c>
      <c r="D154" s="23" t="inlineStr">
        <is>
          <t>0600406011</t>
        </is>
      </c>
      <c r="E154" s="11" t="inlineStr">
        <is>
          <t>Region VI (Western Visayas)</t>
        </is>
      </c>
      <c r="F154" s="11" t="inlineStr">
        <is>
          <t>Aklan</t>
        </is>
      </c>
      <c r="G154" s="11" t="inlineStr">
        <is>
          <t>Ibajay</t>
        </is>
      </c>
      <c r="H154" s="11" t="inlineStr">
        <is>
          <t>Cabugao</t>
        </is>
      </c>
      <c r="I154" s="24" t="n">
        <v>11.753428</v>
      </c>
      <c r="J154" s="24" t="n">
        <v>122.193589</v>
      </c>
      <c r="K154" s="23" t="inlineStr">
        <is>
          <t>R</t>
        </is>
      </c>
      <c r="L154" s="25" t="n">
        <v>274</v>
      </c>
      <c r="M154" s="26" t="n">
        <v>3.9</v>
      </c>
      <c r="N154" s="25">
        <f>ROUND(L154/M154, 0)</f>
        <v/>
      </c>
      <c r="O154" s="25">
        <f>ROUND(N154*'Methodology &amp; Assumptions'!$B$7, 0)</f>
        <v/>
      </c>
      <c r="P154" s="23" t="inlineStr">
        <is>
          <t>Single Carrier (Band n50, 100MHz TDD)</t>
        </is>
      </c>
      <c r="Q154" s="27">
        <f>ROUNDUP(O154/'Methodology &amp; Assumptions'!$B$8, 0)</f>
        <v/>
      </c>
      <c r="R154" s="27" t="n">
        <v>1</v>
      </c>
      <c r="S154" s="26" t="n">
        <v>11.64</v>
      </c>
      <c r="T154" s="26" t="n">
        <v>2.33</v>
      </c>
      <c r="U154" s="11">
        <f>IF(S154&lt;='Methodology &amp; Assumptions'!$B$10, "Direct Optical Drop (&lt;3km)", IF(S154&lt;='Methodology &amp; Assumptions'!$B$9, "Near Optical / Microwave (&lt;5km)", "Starlink Business LEO Satellite Backhaul (&gt;5km)"))</f>
        <v/>
      </c>
      <c r="V154" s="26" t="n">
        <v>41.26</v>
      </c>
      <c r="W154" s="26" t="n">
        <v>78.61</v>
      </c>
      <c r="X154" s="26">
        <f>ROUND(('Methodology &amp; Assumptions'!$B$5*V154) + ('Methodology &amp; Assumptions'!$B$6*W154), 2)</f>
        <v/>
      </c>
      <c r="Y154" s="28" t="n">
        <v>23.7</v>
      </c>
      <c r="Z154" s="11" t="inlineStr">
        <is>
          <t>Priority Tier 3 (Broadband Expansion)</t>
        </is>
      </c>
    </row>
    <row r="155">
      <c r="A155" s="23" t="n">
        <v>4</v>
      </c>
      <c r="B155" s="23" t="n">
        <v>151</v>
      </c>
      <c r="C155" s="23" t="n">
        <v>3151</v>
      </c>
      <c r="D155" s="23" t="inlineStr">
        <is>
          <t>0301418003</t>
        </is>
      </c>
      <c r="E155" s="11" t="inlineStr">
        <is>
          <t>Region III (Central Luzon)</t>
        </is>
      </c>
      <c r="F155" s="11" t="inlineStr">
        <is>
          <t>Bulacan</t>
        </is>
      </c>
      <c r="G155" s="11" t="inlineStr">
        <is>
          <t>Pulilan</t>
        </is>
      </c>
      <c r="H155" s="11" t="inlineStr">
        <is>
          <t>Cutcot</t>
        </is>
      </c>
      <c r="I155" s="24" t="n">
        <v>14.901707</v>
      </c>
      <c r="J155" s="24" t="n">
        <v>120.867103</v>
      </c>
      <c r="K155" s="23" t="inlineStr">
        <is>
          <t>U</t>
        </is>
      </c>
      <c r="L155" s="25" t="n">
        <v>8697</v>
      </c>
      <c r="M155" s="26" t="n">
        <v>3.5</v>
      </c>
      <c r="N155" s="25">
        <f>ROUND(L155/M155, 0)</f>
        <v/>
      </c>
      <c r="O155" s="25">
        <f>ROUND(N155*'Methodology &amp; Assumptions'!$B$7, 0)</f>
        <v/>
      </c>
      <c r="P155" s="23" t="inlineStr">
        <is>
          <t>Single Carrier (Band n50, 100MHz TDD)</t>
        </is>
      </c>
      <c r="Q155" s="27">
        <f>ROUNDUP(O155/'Methodology &amp; Assumptions'!$B$8, 0)</f>
        <v/>
      </c>
      <c r="R155" s="27" t="n">
        <v>1</v>
      </c>
      <c r="S155" s="26" t="n">
        <v>1.77</v>
      </c>
      <c r="T155" s="26" t="n">
        <v>0.04</v>
      </c>
      <c r="U155" s="11">
        <f>IF(S155&lt;='Methodology &amp; Assumptions'!$B$10, "Direct Optical Drop (&lt;3km)", IF(S155&lt;='Methodology &amp; Assumptions'!$B$9, "Near Optical / Microwave (&lt;5km)", "Starlink Business LEO Satellite Backhaul (&gt;5km)"))</f>
        <v/>
      </c>
      <c r="V155" s="26" t="n">
        <v>74.98</v>
      </c>
      <c r="W155" s="26" t="n">
        <v>44.85</v>
      </c>
      <c r="X155" s="26">
        <f>ROUND(('Methodology &amp; Assumptions'!$B$5*V155) + ('Methodology &amp; Assumptions'!$B$6*W155), 2)</f>
        <v/>
      </c>
      <c r="Y155" s="28" t="n">
        <v>8.300000000000001</v>
      </c>
      <c r="Z155" s="11" t="inlineStr">
        <is>
          <t>Priority Tier 3 (Broadband Expansion)</t>
        </is>
      </c>
    </row>
    <row r="156">
      <c r="A156" s="23" t="n">
        <v>4</v>
      </c>
      <c r="B156" s="23" t="n">
        <v>152</v>
      </c>
      <c r="C156" s="23" t="n">
        <v>3152</v>
      </c>
      <c r="D156" s="23" t="inlineStr">
        <is>
          <t>0401006008</t>
        </is>
      </c>
      <c r="E156" s="11" t="inlineStr">
        <is>
          <t>Region IV-A (CALABARZON)</t>
        </is>
      </c>
      <c r="F156" s="11" t="inlineStr">
        <is>
          <t>Batangas</t>
        </is>
      </c>
      <c r="G156" s="11" t="inlineStr">
        <is>
          <t>Bauan</t>
        </is>
      </c>
      <c r="H156" s="11" t="inlineStr">
        <is>
          <t>Barangay II</t>
        </is>
      </c>
      <c r="I156" s="24" t="n">
        <v>14.109944</v>
      </c>
      <c r="J156" s="24" t="n">
        <v>121.14598</v>
      </c>
      <c r="K156" s="23" t="inlineStr">
        <is>
          <t>U</t>
        </is>
      </c>
      <c r="L156" s="25" t="n">
        <v>3073</v>
      </c>
      <c r="M156" s="26" t="n">
        <v>3.6</v>
      </c>
      <c r="N156" s="25">
        <f>ROUND(L156/M156, 0)</f>
        <v/>
      </c>
      <c r="O156" s="25">
        <f>ROUND(N156*'Methodology &amp; Assumptions'!$B$7, 0)</f>
        <v/>
      </c>
      <c r="P156" s="23" t="inlineStr">
        <is>
          <t>Single Carrier (Band n50, 100MHz TDD)</t>
        </is>
      </c>
      <c r="Q156" s="27">
        <f>ROUNDUP(O156/'Methodology &amp; Assumptions'!$B$8, 0)</f>
        <v/>
      </c>
      <c r="R156" s="27" t="n">
        <v>1</v>
      </c>
      <c r="S156" s="26" t="n">
        <v>3.03</v>
      </c>
      <c r="T156" s="26" t="n">
        <v>0.19</v>
      </c>
      <c r="U156" s="11">
        <f>IF(S156&lt;='Methodology &amp; Assumptions'!$B$10, "Direct Optical Drop (&lt;3km)", IF(S156&lt;='Methodology &amp; Assumptions'!$B$9, "Near Optical / Microwave (&lt;5km)", "Starlink Business LEO Satellite Backhaul (&gt;5km)"))</f>
        <v/>
      </c>
      <c r="V156" s="26" t="n">
        <v>70.75</v>
      </c>
      <c r="W156" s="26" t="n">
        <v>49.08</v>
      </c>
      <c r="X156" s="26">
        <f>ROUND(('Methodology &amp; Assumptions'!$B$5*V156) + ('Methodology &amp; Assumptions'!$B$6*W156), 2)</f>
        <v/>
      </c>
      <c r="Y156" s="28" t="n">
        <v>7.2</v>
      </c>
      <c r="Z156" s="11" t="inlineStr">
        <is>
          <t>Priority Tier 3 (Broadband Expansion)</t>
        </is>
      </c>
    </row>
    <row r="157">
      <c r="A157" s="23" t="n">
        <v>4</v>
      </c>
      <c r="B157" s="23" t="n">
        <v>153</v>
      </c>
      <c r="C157" s="23" t="n">
        <v>3153</v>
      </c>
      <c r="D157" s="23" t="inlineStr">
        <is>
          <t>0403406017</t>
        </is>
      </c>
      <c r="E157" s="11" t="inlineStr">
        <is>
          <t>Region IV-A (CALABARZON)</t>
        </is>
      </c>
      <c r="F157" s="11" t="inlineStr">
        <is>
          <t>Laguna</t>
        </is>
      </c>
      <c r="G157" s="11" t="inlineStr">
        <is>
          <t>Calauan</t>
        </is>
      </c>
      <c r="H157" s="11" t="inlineStr">
        <is>
          <t>Santo Tomas</t>
        </is>
      </c>
      <c r="I157" s="24" t="n">
        <v>14.169342</v>
      </c>
      <c r="J157" s="24" t="n">
        <v>121.343985</v>
      </c>
      <c r="K157" s="23" t="inlineStr">
        <is>
          <t>U</t>
        </is>
      </c>
      <c r="L157" s="25" t="n">
        <v>14235</v>
      </c>
      <c r="M157" s="26" t="n">
        <v>3.3</v>
      </c>
      <c r="N157" s="25">
        <f>ROUND(L157/M157, 0)</f>
        <v/>
      </c>
      <c r="O157" s="25">
        <f>ROUND(N157*'Methodology &amp; Assumptions'!$B$7, 0)</f>
        <v/>
      </c>
      <c r="P157" s="23" t="inlineStr">
        <is>
          <t>Single Carrier (Band n50, 100MHz TDD)</t>
        </is>
      </c>
      <c r="Q157" s="27">
        <f>ROUNDUP(O157/'Methodology &amp; Assumptions'!$B$8, 0)</f>
        <v/>
      </c>
      <c r="R157" s="27" t="n">
        <v>1</v>
      </c>
      <c r="S157" s="26" t="n">
        <v>4.16</v>
      </c>
      <c r="T157" s="26" t="n">
        <v>0.57</v>
      </c>
      <c r="U157" s="11">
        <f>IF(S157&lt;='Methodology &amp; Assumptions'!$B$10, "Direct Optical Drop (&lt;3km)", IF(S157&lt;='Methodology &amp; Assumptions'!$B$9, "Near Optical / Microwave (&lt;5km)", "Starlink Business LEO Satellite Backhaul (&gt;5km)"))</f>
        <v/>
      </c>
      <c r="V157" s="26" t="n">
        <v>68.31999999999999</v>
      </c>
      <c r="W157" s="26" t="n">
        <v>51.52</v>
      </c>
      <c r="X157" s="26">
        <f>ROUND(('Methodology &amp; Assumptions'!$B$5*V157) + ('Methodology &amp; Assumptions'!$B$6*W157), 2)</f>
        <v/>
      </c>
      <c r="Y157" s="28" t="n">
        <v>7.2</v>
      </c>
      <c r="Z157" s="11" t="inlineStr">
        <is>
          <t>Priority Tier 3 (Broadband Expansion)</t>
        </is>
      </c>
    </row>
    <row r="158">
      <c r="A158" s="23" t="n">
        <v>4</v>
      </c>
      <c r="B158" s="23" t="n">
        <v>154</v>
      </c>
      <c r="C158" s="23" t="n">
        <v>3154</v>
      </c>
      <c r="D158" s="23" t="inlineStr">
        <is>
          <t>0307702003</t>
        </is>
      </c>
      <c r="E158" s="11" t="inlineStr">
        <is>
          <t>Region III (Central Luzon)</t>
        </is>
      </c>
      <c r="F158" s="11" t="inlineStr">
        <is>
          <t>Aurora</t>
        </is>
      </c>
      <c r="G158" s="11" t="inlineStr">
        <is>
          <t>Casiguran</t>
        </is>
      </c>
      <c r="H158" s="11" t="inlineStr">
        <is>
          <t>Barangay 3</t>
        </is>
      </c>
      <c r="I158" s="24" t="n">
        <v>16.227793</v>
      </c>
      <c r="J158" s="24" t="n">
        <v>122.06332</v>
      </c>
      <c r="K158" s="23" t="inlineStr">
        <is>
          <t>R</t>
        </is>
      </c>
      <c r="L158" s="25" t="n">
        <v>177</v>
      </c>
      <c r="M158" s="26" t="n">
        <v>3.8</v>
      </c>
      <c r="N158" s="25">
        <f>ROUND(L158/M158, 0)</f>
        <v/>
      </c>
      <c r="O158" s="25">
        <f>ROUND(N158*'Methodology &amp; Assumptions'!$B$7, 0)</f>
        <v/>
      </c>
      <c r="P158" s="23" t="inlineStr">
        <is>
          <t>Single Carrier (Band n50, 100MHz TDD)</t>
        </is>
      </c>
      <c r="Q158" s="27">
        <f>ROUNDUP(O158/'Methodology &amp; Assumptions'!$B$8, 0)</f>
        <v/>
      </c>
      <c r="R158" s="27" t="n">
        <v>1</v>
      </c>
      <c r="S158" s="26" t="n">
        <v>3.26</v>
      </c>
      <c r="T158" s="26" t="n">
        <v>0.13</v>
      </c>
      <c r="U158" s="11">
        <f>IF(S158&lt;='Methodology &amp; Assumptions'!$B$10, "Direct Optical Drop (&lt;3km)", IF(S158&lt;='Methodology &amp; Assumptions'!$B$9, "Near Optical / Microwave (&lt;5km)", "Starlink Business LEO Satellite Backhaul (&gt;5km)"))</f>
        <v/>
      </c>
      <c r="V158" s="26" t="n">
        <v>52.5</v>
      </c>
      <c r="W158" s="26" t="n">
        <v>67.34</v>
      </c>
      <c r="X158" s="26">
        <f>ROUND(('Methodology &amp; Assumptions'!$B$5*V158) + ('Methodology &amp; Assumptions'!$B$6*W158), 2)</f>
        <v/>
      </c>
      <c r="Y158" s="28" t="n">
        <v>8.300000000000001</v>
      </c>
      <c r="Z158" s="11" t="inlineStr">
        <is>
          <t>Priority Tier 3 (Broadband Expansion)</t>
        </is>
      </c>
    </row>
    <row r="159">
      <c r="A159" s="23" t="n">
        <v>4</v>
      </c>
      <c r="B159" s="23" t="n">
        <v>155</v>
      </c>
      <c r="C159" s="23" t="n">
        <v>3155</v>
      </c>
      <c r="D159" s="23" t="inlineStr">
        <is>
          <t>1102406007</t>
        </is>
      </c>
      <c r="E159" s="11" t="inlineStr">
        <is>
          <t>Region XI (Davao Region)</t>
        </is>
      </c>
      <c r="F159" s="11" t="inlineStr">
        <is>
          <t>Davao del Sur</t>
        </is>
      </c>
      <c r="G159" s="11" t="inlineStr">
        <is>
          <t>Kiblawan</t>
        </is>
      </c>
      <c r="H159" s="11" t="inlineStr">
        <is>
          <t>Bonifacio</t>
        </is>
      </c>
      <c r="I159" s="24" t="n">
        <v>6.605152</v>
      </c>
      <c r="J159" s="24" t="n">
        <v>125.201108</v>
      </c>
      <c r="K159" s="23" t="inlineStr">
        <is>
          <t>R</t>
        </is>
      </c>
      <c r="L159" s="25" t="n">
        <v>1495</v>
      </c>
      <c r="M159" s="26" t="n">
        <v>3.4</v>
      </c>
      <c r="N159" s="25">
        <f>ROUND(L159/M159, 0)</f>
        <v/>
      </c>
      <c r="O159" s="25">
        <f>ROUND(N159*'Methodology &amp; Assumptions'!$B$7, 0)</f>
        <v/>
      </c>
      <c r="P159" s="23" t="inlineStr">
        <is>
          <t>Single Carrier (Band n50, 100MHz TDD)</t>
        </is>
      </c>
      <c r="Q159" s="27">
        <f>ROUNDUP(O159/'Methodology &amp; Assumptions'!$B$8, 0)</f>
        <v/>
      </c>
      <c r="R159" s="27" t="n">
        <v>1</v>
      </c>
      <c r="S159" s="26" t="n">
        <v>13.92</v>
      </c>
      <c r="T159" s="26" t="n">
        <v>6.25</v>
      </c>
      <c r="U159" s="11">
        <f>IF(S159&lt;='Methodology &amp; Assumptions'!$B$10, "Direct Optical Drop (&lt;3km)", IF(S159&lt;='Methodology &amp; Assumptions'!$B$9, "Near Optical / Microwave (&lt;5km)", "Starlink Business LEO Satellite Backhaul (&gt;5km)"))</f>
        <v/>
      </c>
      <c r="V159" s="26" t="n">
        <v>49.87</v>
      </c>
      <c r="W159" s="26" t="n">
        <v>69.98</v>
      </c>
      <c r="X159" s="26">
        <f>ROUND(('Methodology &amp; Assumptions'!$B$5*V159) + ('Methodology &amp; Assumptions'!$B$6*W159), 2)</f>
        <v/>
      </c>
      <c r="Y159" s="28" t="n">
        <v>17.4</v>
      </c>
      <c r="Z159" s="11" t="inlineStr">
        <is>
          <t>Priority Tier 3 (Broadband Expansion)</t>
        </is>
      </c>
    </row>
    <row r="160">
      <c r="A160" s="23" t="n">
        <v>4</v>
      </c>
      <c r="B160" s="23" t="n">
        <v>156</v>
      </c>
      <c r="C160" s="23" t="n">
        <v>3156</v>
      </c>
      <c r="D160" s="23" t="inlineStr">
        <is>
          <t>1907009001</t>
        </is>
      </c>
      <c r="E160" s="11" t="inlineStr">
        <is>
          <t>Bangsamoro Autonomous Region In Muslim Mindanao (BARMM)</t>
        </is>
      </c>
      <c r="F160" s="11" t="inlineStr">
        <is>
          <t>Tawi-Tawi</t>
        </is>
      </c>
      <c r="G160" s="11" t="inlineStr">
        <is>
          <t>Languyan</t>
        </is>
      </c>
      <c r="H160" s="11" t="inlineStr">
        <is>
          <t>Bakong</t>
        </is>
      </c>
      <c r="I160" s="24" t="n">
        <v>5.227934</v>
      </c>
      <c r="J160" s="24" t="n">
        <v>119.974945</v>
      </c>
      <c r="K160" s="23" t="inlineStr">
        <is>
          <t>R</t>
        </is>
      </c>
      <c r="L160" s="25" t="n">
        <v>1989</v>
      </c>
      <c r="M160" s="26" t="n">
        <v>5.8</v>
      </c>
      <c r="N160" s="25">
        <f>ROUND(L160/M160, 0)</f>
        <v/>
      </c>
      <c r="O160" s="25">
        <f>ROUND(N160*'Methodology &amp; Assumptions'!$B$7, 0)</f>
        <v/>
      </c>
      <c r="P160" s="23" t="inlineStr">
        <is>
          <t>Single Carrier (Band n50, 100MHz TDD)</t>
        </is>
      </c>
      <c r="Q160" s="27">
        <f>ROUNDUP(O160/'Methodology &amp; Assumptions'!$B$8, 0)</f>
        <v/>
      </c>
      <c r="R160" s="27" t="n">
        <v>1</v>
      </c>
      <c r="S160" s="26" t="n">
        <v>999</v>
      </c>
      <c r="T160" s="26" t="n">
        <v>999</v>
      </c>
      <c r="U160" s="11">
        <f>IF(S160&lt;='Methodology &amp; Assumptions'!$B$10, "Direct Optical Drop (&lt;3km)", IF(S160&lt;='Methodology &amp; Assumptions'!$B$9, "Near Optical / Microwave (&lt;5km)", "Starlink Business LEO Satellite Backhaul (&gt;5km)"))</f>
        <v/>
      </c>
      <c r="V160" s="26" t="n">
        <v>42.09</v>
      </c>
      <c r="W160" s="26" t="n">
        <v>77.76000000000001</v>
      </c>
      <c r="X160" s="26">
        <f>ROUND(('Methodology &amp; Assumptions'!$B$5*V160) + ('Methodology &amp; Assumptions'!$B$6*W160), 2)</f>
        <v/>
      </c>
      <c r="Y160" s="28" t="n">
        <v>11</v>
      </c>
      <c r="Z160" s="11" t="inlineStr">
        <is>
          <t>Priority Tier 3 (Broadband Expansion)</t>
        </is>
      </c>
    </row>
    <row r="161">
      <c r="A161" s="23" t="n">
        <v>4</v>
      </c>
      <c r="B161" s="23" t="n">
        <v>157</v>
      </c>
      <c r="C161" s="23" t="n">
        <v>3157</v>
      </c>
      <c r="D161" s="23" t="inlineStr">
        <is>
          <t>1907009003</t>
        </is>
      </c>
      <c r="E161" s="11" t="inlineStr">
        <is>
          <t>Bangsamoro Autonomous Region In Muslim Mindanao (BARMM)</t>
        </is>
      </c>
      <c r="F161" s="11" t="inlineStr">
        <is>
          <t>Tawi-Tawi</t>
        </is>
      </c>
      <c r="G161" s="11" t="inlineStr">
        <is>
          <t>Languyan</t>
        </is>
      </c>
      <c r="H161" s="11" t="inlineStr">
        <is>
          <t>Basnunuk</t>
        </is>
      </c>
      <c r="I161" s="24" t="n">
        <v>5.268017</v>
      </c>
      <c r="J161" s="24" t="n">
        <v>120.106959</v>
      </c>
      <c r="K161" s="23" t="inlineStr">
        <is>
          <t>R</t>
        </is>
      </c>
      <c r="L161" s="25" t="n">
        <v>1984</v>
      </c>
      <c r="M161" s="26" t="n">
        <v>5.8</v>
      </c>
      <c r="N161" s="25">
        <f>ROUND(L161/M161, 0)</f>
        <v/>
      </c>
      <c r="O161" s="25">
        <f>ROUND(N161*'Methodology &amp; Assumptions'!$B$7, 0)</f>
        <v/>
      </c>
      <c r="P161" s="23" t="inlineStr">
        <is>
          <t>Single Carrier (Band n50, 100MHz TDD)</t>
        </is>
      </c>
      <c r="Q161" s="27">
        <f>ROUNDUP(O161/'Methodology &amp; Assumptions'!$B$8, 0)</f>
        <v/>
      </c>
      <c r="R161" s="27" t="n">
        <v>1</v>
      </c>
      <c r="S161" s="26" t="n">
        <v>999</v>
      </c>
      <c r="T161" s="26" t="n">
        <v>999</v>
      </c>
      <c r="U161" s="11">
        <f>IF(S161&lt;='Methodology &amp; Assumptions'!$B$10, "Direct Optical Drop (&lt;3km)", IF(S161&lt;='Methodology &amp; Assumptions'!$B$9, "Near Optical / Microwave (&lt;5km)", "Starlink Business LEO Satellite Backhaul (&gt;5km)"))</f>
        <v/>
      </c>
      <c r="V161" s="26" t="n">
        <v>42.09</v>
      </c>
      <c r="W161" s="26" t="n">
        <v>77.76000000000001</v>
      </c>
      <c r="X161" s="26">
        <f>ROUND(('Methodology &amp; Assumptions'!$B$5*V161) + ('Methodology &amp; Assumptions'!$B$6*W161), 2)</f>
        <v/>
      </c>
      <c r="Y161" s="28" t="n">
        <v>11</v>
      </c>
      <c r="Z161" s="11" t="inlineStr">
        <is>
          <t>Priority Tier 3 (Broadband Expansion)</t>
        </is>
      </c>
    </row>
    <row r="162">
      <c r="A162" s="23" t="n">
        <v>4</v>
      </c>
      <c r="B162" s="23" t="n">
        <v>158</v>
      </c>
      <c r="C162" s="23" t="n">
        <v>3158</v>
      </c>
      <c r="D162" s="23" t="inlineStr">
        <is>
          <t>0405807015</t>
        </is>
      </c>
      <c r="E162" s="11" t="inlineStr">
        <is>
          <t>Region IV-A (CALABARZON)</t>
        </is>
      </c>
      <c r="F162" s="11" t="inlineStr">
        <is>
          <t>Rizal</t>
        </is>
      </c>
      <c r="G162" s="11" t="inlineStr">
        <is>
          <t>Jala-Jala</t>
        </is>
      </c>
      <c r="H162" s="11" t="inlineStr">
        <is>
          <t>Special District</t>
        </is>
      </c>
      <c r="I162" s="24" t="n">
        <v>14.357351</v>
      </c>
      <c r="J162" s="24" t="n">
        <v>121.326999</v>
      </c>
      <c r="K162" s="23" t="inlineStr">
        <is>
          <t>R</t>
        </is>
      </c>
      <c r="L162" s="25" t="n">
        <v>4320</v>
      </c>
      <c r="M162" s="26" t="n">
        <v>3.6</v>
      </c>
      <c r="N162" s="25">
        <f>ROUND(L162/M162, 0)</f>
        <v/>
      </c>
      <c r="O162" s="25">
        <f>ROUND(N162*'Methodology &amp; Assumptions'!$B$7, 0)</f>
        <v/>
      </c>
      <c r="P162" s="23" t="inlineStr">
        <is>
          <t>Single Carrier (Band n50, 100MHz TDD)</t>
        </is>
      </c>
      <c r="Q162" s="27">
        <f>ROUNDUP(O162/'Methodology &amp; Assumptions'!$B$8, 0)</f>
        <v/>
      </c>
      <c r="R162" s="27" t="n">
        <v>1</v>
      </c>
      <c r="S162" s="26" t="n">
        <v>0.17</v>
      </c>
      <c r="T162" s="26" t="n">
        <v>11.18</v>
      </c>
      <c r="U162" s="11">
        <f>IF(S162&lt;='Methodology &amp; Assumptions'!$B$10, "Direct Optical Drop (&lt;3km)", IF(S162&lt;='Methodology &amp; Assumptions'!$B$9, "Near Optical / Microwave (&lt;5km)", "Starlink Business LEO Satellite Backhaul (&gt;5km)"))</f>
        <v/>
      </c>
      <c r="V162" s="26" t="n">
        <v>84.70999999999999</v>
      </c>
      <c r="W162" s="26" t="n">
        <v>35.1</v>
      </c>
      <c r="X162" s="26">
        <f>ROUND(('Methodology &amp; Assumptions'!$B$5*V162) + ('Methodology &amp; Assumptions'!$B$6*W162), 2)</f>
        <v/>
      </c>
      <c r="Y162" s="28" t="n">
        <v>7.2</v>
      </c>
      <c r="Z162" s="11" t="inlineStr">
        <is>
          <t>Priority Tier 3 (Broadband Expansion)</t>
        </is>
      </c>
    </row>
    <row r="163">
      <c r="A163" s="23" t="n">
        <v>4</v>
      </c>
      <c r="B163" s="23" t="n">
        <v>159</v>
      </c>
      <c r="C163" s="23" t="n">
        <v>3159</v>
      </c>
      <c r="D163" s="23" t="inlineStr">
        <is>
          <t>0403408020</t>
        </is>
      </c>
      <c r="E163" s="11" t="inlineStr">
        <is>
          <t>Region IV-A (CALABARZON)</t>
        </is>
      </c>
      <c r="F163" s="11" t="inlineStr">
        <is>
          <t>Laguna</t>
        </is>
      </c>
      <c r="G163" s="11" t="inlineStr">
        <is>
          <t>Famy</t>
        </is>
      </c>
      <c r="H163" s="11" t="inlineStr">
        <is>
          <t>Tunhac</t>
        </is>
      </c>
      <c r="I163" s="24" t="n">
        <v>14.438307</v>
      </c>
      <c r="J163" s="24" t="n">
        <v>121.456185</v>
      </c>
      <c r="K163" s="23" t="inlineStr">
        <is>
          <t>U</t>
        </is>
      </c>
      <c r="L163" s="25" t="n">
        <v>2145</v>
      </c>
      <c r="M163" s="26" t="n">
        <v>3.3</v>
      </c>
      <c r="N163" s="25">
        <f>ROUND(L163/M163, 0)</f>
        <v/>
      </c>
      <c r="O163" s="25">
        <f>ROUND(N163*'Methodology &amp; Assumptions'!$B$7, 0)</f>
        <v/>
      </c>
      <c r="P163" s="23" t="inlineStr">
        <is>
          <t>Single Carrier (Band n50, 100MHz TDD)</t>
        </is>
      </c>
      <c r="Q163" s="27">
        <f>ROUNDUP(O163/'Methodology &amp; Assumptions'!$B$8, 0)</f>
        <v/>
      </c>
      <c r="R163" s="27" t="n">
        <v>1</v>
      </c>
      <c r="S163" s="26" t="n">
        <v>0.73</v>
      </c>
      <c r="T163" s="26" t="n">
        <v>0.62</v>
      </c>
      <c r="U163" s="11">
        <f>IF(S163&lt;='Methodology &amp; Assumptions'!$B$10, "Direct Optical Drop (&lt;3km)", IF(S163&lt;='Methodology &amp; Assumptions'!$B$9, "Near Optical / Microwave (&lt;5km)", "Starlink Business LEO Satellite Backhaul (&gt;5km)"))</f>
        <v/>
      </c>
      <c r="V163" s="26" t="n">
        <v>75.5</v>
      </c>
      <c r="W163" s="26" t="n">
        <v>44.33</v>
      </c>
      <c r="X163" s="26">
        <f>ROUND(('Methodology &amp; Assumptions'!$B$5*V163) + ('Methodology &amp; Assumptions'!$B$6*W163), 2)</f>
        <v/>
      </c>
      <c r="Y163" s="28" t="n">
        <v>7.2</v>
      </c>
      <c r="Z163" s="11" t="inlineStr">
        <is>
          <t>Priority Tier 3 (Broadband Expansion)</t>
        </is>
      </c>
    </row>
    <row r="164">
      <c r="A164" s="23" t="n">
        <v>4</v>
      </c>
      <c r="B164" s="23" t="n">
        <v>160</v>
      </c>
      <c r="C164" s="23" t="n">
        <v>3160</v>
      </c>
      <c r="D164" s="23" t="inlineStr">
        <is>
          <t>1380605029</t>
        </is>
      </c>
      <c r="E164" s="11" t="inlineStr">
        <is>
          <t>National Capital Region (NCR)</t>
        </is>
      </c>
      <c r="F164" s="11" t="inlineStr">
        <is>
          <t>First District (Not a Province)</t>
        </is>
      </c>
      <c r="G164" s="11" t="inlineStr">
        <is>
          <t>City of Manila</t>
        </is>
      </c>
      <c r="H164" s="11" t="inlineStr">
        <is>
          <t>Barangay 327</t>
        </is>
      </c>
      <c r="I164" s="24" t="n">
        <v>14.612248</v>
      </c>
      <c r="J164" s="24" t="n">
        <v>120.980835</v>
      </c>
      <c r="K164" s="23" t="inlineStr">
        <is>
          <t>U</t>
        </is>
      </c>
      <c r="L164" s="25" t="n">
        <v>1242</v>
      </c>
      <c r="M164" s="26" t="n">
        <v>3.88</v>
      </c>
      <c r="N164" s="25">
        <f>ROUND(L164/M164, 0)</f>
        <v/>
      </c>
      <c r="O164" s="25">
        <f>ROUND(N164*'Methodology &amp; Assumptions'!$B$7, 0)</f>
        <v/>
      </c>
      <c r="P164" s="23" t="inlineStr">
        <is>
          <t>Single Carrier (Band n50, 100MHz TDD)</t>
        </is>
      </c>
      <c r="Q164" s="27">
        <f>ROUNDUP(O164/'Methodology &amp; Assumptions'!$B$8, 0)</f>
        <v/>
      </c>
      <c r="R164" s="27" t="n">
        <v>1</v>
      </c>
      <c r="S164" s="26" t="n">
        <v>0.52</v>
      </c>
      <c r="T164" s="26" t="n">
        <v>0.2</v>
      </c>
      <c r="U164" s="11">
        <f>IF(S164&lt;='Methodology &amp; Assumptions'!$B$10, "Direct Optical Drop (&lt;3km)", IF(S164&lt;='Methodology &amp; Assumptions'!$B$9, "Near Optical / Microwave (&lt;5km)", "Starlink Business LEO Satellite Backhaul (&gt;5km)"))</f>
        <v/>
      </c>
      <c r="V164" s="26" t="n">
        <v>51.37</v>
      </c>
      <c r="W164" s="26" t="n">
        <v>68.44</v>
      </c>
      <c r="X164" s="26">
        <f>ROUND(('Methodology &amp; Assumptions'!$B$5*V164) + ('Methodology &amp; Assumptions'!$B$6*W164), 2)</f>
        <v/>
      </c>
      <c r="Y164" s="28" t="n">
        <v>10.9</v>
      </c>
      <c r="Z164" s="11" t="inlineStr">
        <is>
          <t>Priority Tier 3 (Broadband Expansion)</t>
        </is>
      </c>
    </row>
    <row r="165">
      <c r="A165" s="23" t="n">
        <v>4</v>
      </c>
      <c r="B165" s="23" t="n">
        <v>161</v>
      </c>
      <c r="C165" s="23" t="n">
        <v>3161</v>
      </c>
      <c r="D165" s="23" t="inlineStr">
        <is>
          <t>1380601264</t>
        </is>
      </c>
      <c r="E165" s="11" t="inlineStr">
        <is>
          <t>National Capital Region (NCR)</t>
        </is>
      </c>
      <c r="F165" s="11" t="inlineStr">
        <is>
          <t>First District (Not a Province)</t>
        </is>
      </c>
      <c r="G165" s="11" t="inlineStr">
        <is>
          <t>City of Manila</t>
        </is>
      </c>
      <c r="H165" s="11" t="inlineStr">
        <is>
          <t>Barangay 263</t>
        </is>
      </c>
      <c r="I165" s="24" t="n">
        <v>14.60748</v>
      </c>
      <c r="J165" s="24" t="n">
        <v>120.9786</v>
      </c>
      <c r="K165" s="23" t="inlineStr">
        <is>
          <t>U</t>
        </is>
      </c>
      <c r="L165" s="25" t="n">
        <v>1317</v>
      </c>
      <c r="M165" s="26" t="n">
        <v>4.29</v>
      </c>
      <c r="N165" s="25">
        <f>ROUND(L165/M165, 0)</f>
        <v/>
      </c>
      <c r="O165" s="25">
        <f>ROUND(N165*'Methodology &amp; Assumptions'!$B$7, 0)</f>
        <v/>
      </c>
      <c r="P165" s="23" t="inlineStr">
        <is>
          <t>Single Carrier (Band n50, 100MHz TDD)</t>
        </is>
      </c>
      <c r="Q165" s="27">
        <f>ROUNDUP(O165/'Methodology &amp; Assumptions'!$B$8, 0)</f>
        <v/>
      </c>
      <c r="R165" s="27" t="n">
        <v>1</v>
      </c>
      <c r="S165" s="26" t="n">
        <v>0.96</v>
      </c>
      <c r="T165" s="26" t="n">
        <v>0.33</v>
      </c>
      <c r="U165" s="11">
        <f>IF(S165&lt;='Methodology &amp; Assumptions'!$B$10, "Direct Optical Drop (&lt;3km)", IF(S165&lt;='Methodology &amp; Assumptions'!$B$9, "Near Optical / Microwave (&lt;5km)", "Starlink Business LEO Satellite Backhaul (&gt;5km)"))</f>
        <v/>
      </c>
      <c r="V165" s="26" t="n">
        <v>50.47</v>
      </c>
      <c r="W165" s="26" t="n">
        <v>69.34999999999999</v>
      </c>
      <c r="X165" s="26">
        <f>ROUND(('Methodology &amp; Assumptions'!$B$5*V165) + ('Methodology &amp; Assumptions'!$B$6*W165), 2)</f>
        <v/>
      </c>
      <c r="Y165" s="28" t="n">
        <v>10.9</v>
      </c>
      <c r="Z165" s="11" t="inlineStr">
        <is>
          <t>Priority Tier 3 (Broadband Expansion)</t>
        </is>
      </c>
    </row>
    <row r="166">
      <c r="A166" s="23" t="n">
        <v>4</v>
      </c>
      <c r="B166" s="23" t="n">
        <v>162</v>
      </c>
      <c r="C166" s="23" t="n">
        <v>3162</v>
      </c>
      <c r="D166" s="23" t="inlineStr">
        <is>
          <t>1380606060</t>
        </is>
      </c>
      <c r="E166" s="11" t="inlineStr">
        <is>
          <t>National Capital Region (NCR)</t>
        </is>
      </c>
      <c r="F166" s="11" t="inlineStr">
        <is>
          <t>First District (Not a Province)</t>
        </is>
      </c>
      <c r="G166" s="11" t="inlineStr">
        <is>
          <t>City of Manila</t>
        </is>
      </c>
      <c r="H166" s="11" t="inlineStr">
        <is>
          <t>Barangay 454</t>
        </is>
      </c>
      <c r="I166" s="24" t="n">
        <v>14.610298</v>
      </c>
      <c r="J166" s="24" t="n">
        <v>120.994689</v>
      </c>
      <c r="K166" s="23" t="inlineStr">
        <is>
          <t>U</t>
        </is>
      </c>
      <c r="L166" s="25" t="n">
        <v>936</v>
      </c>
      <c r="M166" s="26" t="n">
        <v>3.95</v>
      </c>
      <c r="N166" s="25">
        <f>ROUND(L166/M166, 0)</f>
        <v/>
      </c>
      <c r="O166" s="25">
        <f>ROUND(N166*'Methodology &amp; Assumptions'!$B$7, 0)</f>
        <v/>
      </c>
      <c r="P166" s="23" t="inlineStr">
        <is>
          <t>Single Carrier (Band n50, 100MHz TDD)</t>
        </is>
      </c>
      <c r="Q166" s="27">
        <f>ROUNDUP(O166/'Methodology &amp; Assumptions'!$B$8, 0)</f>
        <v/>
      </c>
      <c r="R166" s="27" t="n">
        <v>1</v>
      </c>
      <c r="S166" s="26" t="n">
        <v>0.88</v>
      </c>
      <c r="T166" s="26" t="n">
        <v>0.2</v>
      </c>
      <c r="U166" s="11">
        <f>IF(S166&lt;='Methodology &amp; Assumptions'!$B$10, "Direct Optical Drop (&lt;3km)", IF(S166&lt;='Methodology &amp; Assumptions'!$B$9, "Near Optical / Microwave (&lt;5km)", "Starlink Business LEO Satellite Backhaul (&gt;5km)"))</f>
        <v/>
      </c>
      <c r="V166" s="26" t="n">
        <v>48.54</v>
      </c>
      <c r="W166" s="26" t="n">
        <v>71.28</v>
      </c>
      <c r="X166" s="26">
        <f>ROUND(('Methodology &amp; Assumptions'!$B$5*V166) + ('Methodology &amp; Assumptions'!$B$6*W166), 2)</f>
        <v/>
      </c>
      <c r="Y166" s="28" t="n">
        <v>10.9</v>
      </c>
      <c r="Z166" s="11" t="inlineStr">
        <is>
          <t>Priority Tier 3 (Broadband Expansion)</t>
        </is>
      </c>
    </row>
    <row r="167">
      <c r="A167" s="23" t="n">
        <v>4</v>
      </c>
      <c r="B167" s="23" t="n">
        <v>163</v>
      </c>
      <c r="C167" s="23" t="n">
        <v>3163</v>
      </c>
      <c r="D167" s="23" t="inlineStr">
        <is>
          <t>0806010020</t>
        </is>
      </c>
      <c r="E167" s="11" t="inlineStr">
        <is>
          <t>Region VIII (Eastern Visayas)</t>
        </is>
      </c>
      <c r="F167" s="11" t="inlineStr">
        <is>
          <t>Samar</t>
        </is>
      </c>
      <c r="G167" s="11" t="inlineStr">
        <is>
          <t>Marabut</t>
        </is>
      </c>
      <c r="H167" s="11" t="inlineStr">
        <is>
          <t>Odoc</t>
        </is>
      </c>
      <c r="I167" s="24" t="n">
        <v>11.178378</v>
      </c>
      <c r="J167" s="24" t="n">
        <v>125.213473</v>
      </c>
      <c r="K167" s="23" t="inlineStr">
        <is>
          <t>R</t>
        </is>
      </c>
      <c r="L167" s="25" t="n">
        <v>300</v>
      </c>
      <c r="M167" s="26" t="n">
        <v>4.1</v>
      </c>
      <c r="N167" s="25">
        <f>ROUND(L167/M167, 0)</f>
        <v/>
      </c>
      <c r="O167" s="25">
        <f>ROUND(N167*'Methodology &amp; Assumptions'!$B$7, 0)</f>
        <v/>
      </c>
      <c r="P167" s="23" t="inlineStr">
        <is>
          <t>Single Carrier (Band n50, 100MHz TDD)</t>
        </is>
      </c>
      <c r="Q167" s="27">
        <f>ROUNDUP(O167/'Methodology &amp; Assumptions'!$B$8, 0)</f>
        <v/>
      </c>
      <c r="R167" s="27" t="n">
        <v>1</v>
      </c>
      <c r="S167" s="26" t="n">
        <v>22.58</v>
      </c>
      <c r="T167" s="26" t="n">
        <v>21.31</v>
      </c>
      <c r="U167" s="11">
        <f>IF(S167&lt;='Methodology &amp; Assumptions'!$B$10, "Direct Optical Drop (&lt;3km)", IF(S167&lt;='Methodology &amp; Assumptions'!$B$9, "Near Optical / Microwave (&lt;5km)", "Starlink Business LEO Satellite Backhaul (&gt;5km)"))</f>
        <v/>
      </c>
      <c r="V167" s="26" t="n">
        <v>41.06</v>
      </c>
      <c r="W167" s="26" t="n">
        <v>78.75</v>
      </c>
      <c r="X167" s="26">
        <f>ROUND(('Methodology &amp; Assumptions'!$B$5*V167) + ('Methodology &amp; Assumptions'!$B$6*W167), 2)</f>
        <v/>
      </c>
      <c r="Y167" s="28" t="n">
        <v>23.7</v>
      </c>
      <c r="Z167" s="11" t="inlineStr">
        <is>
          <t>Priority Tier 3 (Broadband Expansion)</t>
        </is>
      </c>
    </row>
    <row r="168">
      <c r="A168" s="23" t="n">
        <v>4</v>
      </c>
      <c r="B168" s="23" t="n">
        <v>164</v>
      </c>
      <c r="C168" s="23" t="n">
        <v>3164</v>
      </c>
      <c r="D168" s="23" t="inlineStr">
        <is>
          <t>0907311005</t>
        </is>
      </c>
      <c r="E168" s="11" t="inlineStr">
        <is>
          <t>Region IX (Zamboanga Peninsula)</t>
        </is>
      </c>
      <c r="F168" s="11" t="inlineStr">
        <is>
          <t>Zamboanga del Sur</t>
        </is>
      </c>
      <c r="G168" s="11" t="inlineStr">
        <is>
          <t>Kumalarang</t>
        </is>
      </c>
      <c r="H168" s="11" t="inlineStr">
        <is>
          <t>Bolisong</t>
        </is>
      </c>
      <c r="I168" s="24" t="n">
        <v>7.729554</v>
      </c>
      <c r="J168" s="24" t="n">
        <v>123.104218</v>
      </c>
      <c r="K168" s="23" t="inlineStr">
        <is>
          <t>R</t>
        </is>
      </c>
      <c r="L168" s="25" t="n">
        <v>908</v>
      </c>
      <c r="M168" s="26" t="n">
        <v>3.9</v>
      </c>
      <c r="N168" s="25">
        <f>ROUND(L168/M168, 0)</f>
        <v/>
      </c>
      <c r="O168" s="25">
        <f>ROUND(N168*'Methodology &amp; Assumptions'!$B$7, 0)</f>
        <v/>
      </c>
      <c r="P168" s="23" t="inlineStr">
        <is>
          <t>Single Carrier (Band n50, 100MHz TDD)</t>
        </is>
      </c>
      <c r="Q168" s="27">
        <f>ROUNDUP(O168/'Methodology &amp; Assumptions'!$B$8, 0)</f>
        <v/>
      </c>
      <c r="R168" s="27" t="n">
        <v>1</v>
      </c>
      <c r="S168" s="26" t="n">
        <v>5.42</v>
      </c>
      <c r="T168" s="26" t="n">
        <v>1.27</v>
      </c>
      <c r="U168" s="11">
        <f>IF(S168&lt;='Methodology &amp; Assumptions'!$B$10, "Direct Optical Drop (&lt;3km)", IF(S168&lt;='Methodology &amp; Assumptions'!$B$9, "Near Optical / Microwave (&lt;5km)", "Starlink Business LEO Satellite Backhaul (&gt;5km)"))</f>
        <v/>
      </c>
      <c r="V168" s="26" t="n">
        <v>54.79</v>
      </c>
      <c r="W168" s="26" t="n">
        <v>65.02</v>
      </c>
      <c r="X168" s="26">
        <f>ROUND(('Methodology &amp; Assumptions'!$B$5*V168) + ('Methodology &amp; Assumptions'!$B$6*W168), 2)</f>
        <v/>
      </c>
      <c r="Y168" s="28" t="n">
        <v>11</v>
      </c>
      <c r="Z168" s="11" t="inlineStr">
        <is>
          <t>Priority Tier 3 (Broadband Expansion)</t>
        </is>
      </c>
    </row>
    <row r="169">
      <c r="A169" s="23" t="n">
        <v>4</v>
      </c>
      <c r="B169" s="23" t="n">
        <v>165</v>
      </c>
      <c r="C169" s="23" t="n">
        <v>3165</v>
      </c>
      <c r="D169" s="23" t="inlineStr">
        <is>
          <t>1380606189</t>
        </is>
      </c>
      <c r="E169" s="11" t="inlineStr">
        <is>
          <t>National Capital Region (NCR)</t>
        </is>
      </c>
      <c r="F169" s="11" t="inlineStr">
        <is>
          <t>First District (Not a Province)</t>
        </is>
      </c>
      <c r="G169" s="11" t="inlineStr">
        <is>
          <t>City of Manila</t>
        </is>
      </c>
      <c r="H169" s="11" t="inlineStr">
        <is>
          <t>Barangay 583</t>
        </is>
      </c>
      <c r="I169" s="24" t="n">
        <v>14.608778</v>
      </c>
      <c r="J169" s="24" t="n">
        <v>121.009633</v>
      </c>
      <c r="K169" s="23" t="inlineStr">
        <is>
          <t>U</t>
        </is>
      </c>
      <c r="L169" s="25" t="n">
        <v>1228</v>
      </c>
      <c r="M169" s="26" t="n">
        <v>4.18</v>
      </c>
      <c r="N169" s="25">
        <f>ROUND(L169/M169, 0)</f>
        <v/>
      </c>
      <c r="O169" s="25">
        <f>ROUND(N169*'Methodology &amp; Assumptions'!$B$7, 0)</f>
        <v/>
      </c>
      <c r="P169" s="23" t="inlineStr">
        <is>
          <t>Single Carrier (Band n50, 100MHz TDD)</t>
        </is>
      </c>
      <c r="Q169" s="27">
        <f>ROUNDUP(O169/'Methodology &amp; Assumptions'!$B$8, 0)</f>
        <v/>
      </c>
      <c r="R169" s="27" t="n">
        <v>1</v>
      </c>
      <c r="S169" s="26" t="n">
        <v>0.68</v>
      </c>
      <c r="T169" s="26" t="n">
        <v>0.4</v>
      </c>
      <c r="U169" s="11">
        <f>IF(S169&lt;='Methodology &amp; Assumptions'!$B$10, "Direct Optical Drop (&lt;3km)", IF(S169&lt;='Methodology &amp; Assumptions'!$B$9, "Near Optical / Microwave (&lt;5km)", "Starlink Business LEO Satellite Backhaul (&gt;5km)"))</f>
        <v/>
      </c>
      <c r="V169" s="26" t="n">
        <v>50.52</v>
      </c>
      <c r="W169" s="26" t="n">
        <v>69.28</v>
      </c>
      <c r="X169" s="26">
        <f>ROUND(('Methodology &amp; Assumptions'!$B$5*V169) + ('Methodology &amp; Assumptions'!$B$6*W169), 2)</f>
        <v/>
      </c>
      <c r="Y169" s="28" t="n">
        <v>10.9</v>
      </c>
      <c r="Z169" s="11" t="inlineStr">
        <is>
          <t>Priority Tier 3 (Broadband Expansion)</t>
        </is>
      </c>
    </row>
    <row r="170">
      <c r="A170" s="23" t="n">
        <v>4</v>
      </c>
      <c r="B170" s="23" t="n">
        <v>166</v>
      </c>
      <c r="C170" s="23" t="n">
        <v>3166</v>
      </c>
      <c r="D170" s="23" t="inlineStr">
        <is>
          <t>1380605035</t>
        </is>
      </c>
      <c r="E170" s="11" t="inlineStr">
        <is>
          <t>National Capital Region (NCR)</t>
        </is>
      </c>
      <c r="F170" s="11" t="inlineStr">
        <is>
          <t>First District (Not a Province)</t>
        </is>
      </c>
      <c r="G170" s="11" t="inlineStr">
        <is>
          <t>City of Manila</t>
        </is>
      </c>
      <c r="H170" s="11" t="inlineStr">
        <is>
          <t>Barangay 333</t>
        </is>
      </c>
      <c r="I170" s="24" t="n">
        <v>14.610351</v>
      </c>
      <c r="J170" s="24" t="n">
        <v>120.981843</v>
      </c>
      <c r="K170" s="23" t="inlineStr">
        <is>
          <t>U</t>
        </is>
      </c>
      <c r="L170" s="25" t="n">
        <v>1024</v>
      </c>
      <c r="M170" s="26" t="n">
        <v>3.89</v>
      </c>
      <c r="N170" s="25">
        <f>ROUND(L170/M170, 0)</f>
        <v/>
      </c>
      <c r="O170" s="25">
        <f>ROUND(N170*'Methodology &amp; Assumptions'!$B$7, 0)</f>
        <v/>
      </c>
      <c r="P170" s="23" t="inlineStr">
        <is>
          <t>Single Carrier (Band n50, 100MHz TDD)</t>
        </is>
      </c>
      <c r="Q170" s="27">
        <f>ROUNDUP(O170/'Methodology &amp; Assumptions'!$B$8, 0)</f>
        <v/>
      </c>
      <c r="R170" s="27" t="n">
        <v>1</v>
      </c>
      <c r="S170" s="26" t="n">
        <v>0.6899999999999999</v>
      </c>
      <c r="T170" s="26" t="n">
        <v>0.18</v>
      </c>
      <c r="U170" s="11">
        <f>IF(S170&lt;='Methodology &amp; Assumptions'!$B$10, "Direct Optical Drop (&lt;3km)", IF(S170&lt;='Methodology &amp; Assumptions'!$B$9, "Near Optical / Microwave (&lt;5km)", "Starlink Business LEO Satellite Backhaul (&gt;5km)"))</f>
        <v/>
      </c>
      <c r="V170" s="26" t="n">
        <v>49.55</v>
      </c>
      <c r="W170" s="26" t="n">
        <v>70.25</v>
      </c>
      <c r="X170" s="26">
        <f>ROUND(('Methodology &amp; Assumptions'!$B$5*V170) + ('Methodology &amp; Assumptions'!$B$6*W170), 2)</f>
        <v/>
      </c>
      <c r="Y170" s="28" t="n">
        <v>10.9</v>
      </c>
      <c r="Z170" s="11" t="inlineStr">
        <is>
          <t>Priority Tier 3 (Broadband Expansion)</t>
        </is>
      </c>
    </row>
    <row r="171">
      <c r="A171" s="23" t="n">
        <v>4</v>
      </c>
      <c r="B171" s="23" t="n">
        <v>167</v>
      </c>
      <c r="C171" s="23" t="n">
        <v>3167</v>
      </c>
      <c r="D171" s="23" t="inlineStr">
        <is>
          <t>0405627038</t>
        </is>
      </c>
      <c r="E171" s="11" t="inlineStr">
        <is>
          <t>Region IV-A (CALABARZON)</t>
        </is>
      </c>
      <c r="F171" s="11" t="inlineStr">
        <is>
          <t>Quezon</t>
        </is>
      </c>
      <c r="G171" s="11" t="inlineStr">
        <is>
          <t>Mauban</t>
        </is>
      </c>
      <c r="H171" s="11" t="inlineStr">
        <is>
          <t>Santo Niño</t>
        </is>
      </c>
      <c r="I171" s="24" t="n">
        <v>14.089143</v>
      </c>
      <c r="J171" s="24" t="n">
        <v>121.815609</v>
      </c>
      <c r="K171" s="23" t="inlineStr">
        <is>
          <t>R</t>
        </is>
      </c>
      <c r="L171" s="25" t="n">
        <v>385</v>
      </c>
      <c r="M171" s="26" t="n">
        <v>3.8</v>
      </c>
      <c r="N171" s="25">
        <f>ROUND(L171/M171, 0)</f>
        <v/>
      </c>
      <c r="O171" s="25">
        <f>ROUND(N171*'Methodology &amp; Assumptions'!$B$7, 0)</f>
        <v/>
      </c>
      <c r="P171" s="23" t="inlineStr">
        <is>
          <t>Single Carrier (Band n50, 100MHz TDD)</t>
        </is>
      </c>
      <c r="Q171" s="27">
        <f>ROUNDUP(O171/'Methodology &amp; Assumptions'!$B$8, 0)</f>
        <v/>
      </c>
      <c r="R171" s="27" t="n">
        <v>1</v>
      </c>
      <c r="S171" s="26" t="n">
        <v>14.36</v>
      </c>
      <c r="T171" s="26" t="n">
        <v>8.67</v>
      </c>
      <c r="U171" s="11">
        <f>IF(S171&lt;='Methodology &amp; Assumptions'!$B$10, "Direct Optical Drop (&lt;3km)", IF(S171&lt;='Methodology &amp; Assumptions'!$B$9, "Near Optical / Microwave (&lt;5km)", "Starlink Business LEO Satellite Backhaul (&gt;5km)"))</f>
        <v/>
      </c>
      <c r="V171" s="26" t="n">
        <v>37.44</v>
      </c>
      <c r="W171" s="26" t="n">
        <v>82.36</v>
      </c>
      <c r="X171" s="26">
        <f>ROUND(('Methodology &amp; Assumptions'!$B$5*V171) + ('Methodology &amp; Assumptions'!$B$6*W171), 2)</f>
        <v/>
      </c>
      <c r="Y171" s="28" t="n">
        <v>7.2</v>
      </c>
      <c r="Z171" s="11" t="inlineStr">
        <is>
          <t>Priority Tier 3 (Broadband Expansion)</t>
        </is>
      </c>
    </row>
    <row r="172">
      <c r="A172" s="23" t="n">
        <v>4</v>
      </c>
      <c r="B172" s="23" t="n">
        <v>168</v>
      </c>
      <c r="C172" s="23" t="n">
        <v>3168</v>
      </c>
      <c r="D172" s="23" t="inlineStr">
        <is>
          <t>1380601215</t>
        </is>
      </c>
      <c r="E172" s="11" t="inlineStr">
        <is>
          <t>National Capital Region (NCR)</t>
        </is>
      </c>
      <c r="F172" s="11" t="inlineStr">
        <is>
          <t>First District (Not a Province)</t>
        </is>
      </c>
      <c r="G172" s="11" t="inlineStr">
        <is>
          <t>City of Manila</t>
        </is>
      </c>
      <c r="H172" s="11" t="inlineStr">
        <is>
          <t>Barangay 214</t>
        </is>
      </c>
      <c r="I172" s="24" t="n">
        <v>14.626626</v>
      </c>
      <c r="J172" s="24" t="n">
        <v>120.97624</v>
      </c>
      <c r="K172" s="23" t="inlineStr">
        <is>
          <t>U</t>
        </is>
      </c>
      <c r="L172" s="25" t="n">
        <v>1323</v>
      </c>
      <c r="M172" s="26" t="n">
        <v>4.53</v>
      </c>
      <c r="N172" s="25">
        <f>ROUND(L172/M172, 0)</f>
        <v/>
      </c>
      <c r="O172" s="25">
        <f>ROUND(N172*'Methodology &amp; Assumptions'!$B$7, 0)</f>
        <v/>
      </c>
      <c r="P172" s="23" t="inlineStr">
        <is>
          <t>Single Carrier (Band n50, 100MHz TDD)</t>
        </is>
      </c>
      <c r="Q172" s="27">
        <f>ROUNDUP(O172/'Methodology &amp; Assumptions'!$B$8, 0)</f>
        <v/>
      </c>
      <c r="R172" s="27" t="n">
        <v>1</v>
      </c>
      <c r="S172" s="26" t="n">
        <v>0.31</v>
      </c>
      <c r="T172" s="26" t="n">
        <v>0.22</v>
      </c>
      <c r="U172" s="11">
        <f>IF(S172&lt;='Methodology &amp; Assumptions'!$B$10, "Direct Optical Drop (&lt;3km)", IF(S172&lt;='Methodology &amp; Assumptions'!$B$9, "Near Optical / Microwave (&lt;5km)", "Starlink Business LEO Satellite Backhaul (&gt;5km)"))</f>
        <v/>
      </c>
      <c r="V172" s="26" t="n">
        <v>50.52</v>
      </c>
      <c r="W172" s="26" t="n">
        <v>69.27</v>
      </c>
      <c r="X172" s="26">
        <f>ROUND(('Methodology &amp; Assumptions'!$B$5*V172) + ('Methodology &amp; Assumptions'!$B$6*W172), 2)</f>
        <v/>
      </c>
      <c r="Y172" s="28" t="n">
        <v>10.9</v>
      </c>
      <c r="Z172" s="11" t="inlineStr">
        <is>
          <t>Priority Tier 3 (Broadband Expansion)</t>
        </is>
      </c>
    </row>
    <row r="173">
      <c r="A173" s="23" t="n">
        <v>4</v>
      </c>
      <c r="B173" s="23" t="n">
        <v>169</v>
      </c>
      <c r="C173" s="23" t="n">
        <v>3169</v>
      </c>
      <c r="D173" s="23" t="inlineStr">
        <is>
          <t>0103314050</t>
        </is>
      </c>
      <c r="E173" s="11" t="inlineStr">
        <is>
          <t>Region I (Ilocos Region)</t>
        </is>
      </c>
      <c r="F173" s="11" t="inlineStr">
        <is>
          <t>La Union</t>
        </is>
      </c>
      <c r="G173" s="11" t="inlineStr">
        <is>
          <t>City of San Fernando</t>
        </is>
      </c>
      <c r="H173" s="11" t="inlineStr">
        <is>
          <t>Sagayad</t>
        </is>
      </c>
      <c r="I173" s="24" t="n">
        <v>16.596965</v>
      </c>
      <c r="J173" s="24" t="n">
        <v>120.331126</v>
      </c>
      <c r="K173" s="23" t="inlineStr">
        <is>
          <t>R</t>
        </is>
      </c>
      <c r="L173" s="25" t="n">
        <v>3174</v>
      </c>
      <c r="M173" s="26" t="n">
        <v>3.7</v>
      </c>
      <c r="N173" s="25">
        <f>ROUND(L173/M173, 0)</f>
        <v/>
      </c>
      <c r="O173" s="25">
        <f>ROUND(N173*'Methodology &amp; Assumptions'!$B$7, 0)</f>
        <v/>
      </c>
      <c r="P173" s="23" t="inlineStr">
        <is>
          <t>Single Carrier (Band n50, 100MHz TDD)</t>
        </is>
      </c>
      <c r="Q173" s="27">
        <f>ROUNDUP(O173/'Methodology &amp; Assumptions'!$B$8, 0)</f>
        <v/>
      </c>
      <c r="R173" s="27" t="n">
        <v>1</v>
      </c>
      <c r="S173" s="26" t="n">
        <v>1.6</v>
      </c>
      <c r="T173" s="26" t="n">
        <v>1.09</v>
      </c>
      <c r="U173" s="11">
        <f>IF(S173&lt;='Methodology &amp; Assumptions'!$B$10, "Direct Optical Drop (&lt;3km)", IF(S173&lt;='Methodology &amp; Assumptions'!$B$9, "Near Optical / Microwave (&lt;5km)", "Starlink Business LEO Satellite Backhaul (&gt;5km)"))</f>
        <v/>
      </c>
      <c r="V173" s="26" t="n">
        <v>82.78</v>
      </c>
      <c r="W173" s="26" t="n">
        <v>36.99</v>
      </c>
      <c r="X173" s="26">
        <f>ROUND(('Methodology &amp; Assumptions'!$B$5*V173) + ('Methodology &amp; Assumptions'!$B$6*W173), 2)</f>
        <v/>
      </c>
      <c r="Y173" s="28" t="n">
        <v>8.300000000000001</v>
      </c>
      <c r="Z173" s="11" t="inlineStr">
        <is>
          <t>Priority Tier 3 (Broadband Expansion)</t>
        </is>
      </c>
    </row>
    <row r="174">
      <c r="A174" s="23" t="n">
        <v>4</v>
      </c>
      <c r="B174" s="23" t="n">
        <v>170</v>
      </c>
      <c r="C174" s="23" t="n">
        <v>3170</v>
      </c>
      <c r="D174" s="23" t="inlineStr">
        <is>
          <t>0103314054</t>
        </is>
      </c>
      <c r="E174" s="11" t="inlineStr">
        <is>
          <t>Region I (Ilocos Region)</t>
        </is>
      </c>
      <c r="F174" s="11" t="inlineStr">
        <is>
          <t>La Union</t>
        </is>
      </c>
      <c r="G174" s="11" t="inlineStr">
        <is>
          <t>City of San Fernando</t>
        </is>
      </c>
      <c r="H174" s="11" t="inlineStr">
        <is>
          <t>Santiago Norte</t>
        </is>
      </c>
      <c r="I174" s="24" t="n">
        <v>16.615206</v>
      </c>
      <c r="J174" s="24" t="n">
        <v>120.335719</v>
      </c>
      <c r="K174" s="23" t="inlineStr">
        <is>
          <t>R</t>
        </is>
      </c>
      <c r="L174" s="25" t="n">
        <v>4099</v>
      </c>
      <c r="M174" s="26" t="n">
        <v>3.7</v>
      </c>
      <c r="N174" s="25">
        <f>ROUND(L174/M174, 0)</f>
        <v/>
      </c>
      <c r="O174" s="25">
        <f>ROUND(N174*'Methodology &amp; Assumptions'!$B$7, 0)</f>
        <v/>
      </c>
      <c r="P174" s="23" t="inlineStr">
        <is>
          <t>Single Carrier (Band n50, 100MHz TDD)</t>
        </is>
      </c>
      <c r="Q174" s="27">
        <f>ROUNDUP(O174/'Methodology &amp; Assumptions'!$B$8, 0)</f>
        <v/>
      </c>
      <c r="R174" s="27" t="n">
        <v>1</v>
      </c>
      <c r="S174" s="26" t="n">
        <v>2.31</v>
      </c>
      <c r="T174" s="26" t="n">
        <v>2</v>
      </c>
      <c r="U174" s="11">
        <f>IF(S174&lt;='Methodology &amp; Assumptions'!$B$10, "Direct Optical Drop (&lt;3km)", IF(S174&lt;='Methodology &amp; Assumptions'!$B$9, "Near Optical / Microwave (&lt;5km)", "Starlink Business LEO Satellite Backhaul (&gt;5km)"))</f>
        <v/>
      </c>
      <c r="V174" s="26" t="n">
        <v>80.34</v>
      </c>
      <c r="W174" s="26" t="n">
        <v>39.41</v>
      </c>
      <c r="X174" s="26">
        <f>ROUND(('Methodology &amp; Assumptions'!$B$5*V174) + ('Methodology &amp; Assumptions'!$B$6*W174), 2)</f>
        <v/>
      </c>
      <c r="Y174" s="28" t="n">
        <v>8.300000000000001</v>
      </c>
      <c r="Z174" s="11" t="inlineStr">
        <is>
          <t>Priority Tier 3 (Broadband Expansion)</t>
        </is>
      </c>
    </row>
    <row r="175">
      <c r="A175" s="23" t="n">
        <v>4</v>
      </c>
      <c r="B175" s="23" t="n">
        <v>171</v>
      </c>
      <c r="C175" s="23" t="n">
        <v>3171</v>
      </c>
      <c r="D175" s="23" t="inlineStr">
        <is>
          <t>1600209019</t>
        </is>
      </c>
      <c r="E175" s="11" t="inlineStr">
        <is>
          <t>Region XIII (Caraga)</t>
        </is>
      </c>
      <c r="F175" s="11" t="inlineStr">
        <is>
          <t>Agusan del Norte</t>
        </is>
      </c>
      <c r="G175" s="11" t="inlineStr">
        <is>
          <t>Nasipit</t>
        </is>
      </c>
      <c r="H175" s="11" t="inlineStr">
        <is>
          <t>Talisay</t>
        </is>
      </c>
      <c r="I175" s="24" t="n">
        <v>8.982616</v>
      </c>
      <c r="J175" s="24" t="n">
        <v>125.339486</v>
      </c>
      <c r="K175" s="23" t="inlineStr">
        <is>
          <t>U</t>
        </is>
      </c>
      <c r="L175" s="25" t="n">
        <v>4079</v>
      </c>
      <c r="M175" s="26" t="n">
        <v>4.1</v>
      </c>
      <c r="N175" s="25">
        <f>ROUND(L175/M175, 0)</f>
        <v/>
      </c>
      <c r="O175" s="25">
        <f>ROUND(N175*'Methodology &amp; Assumptions'!$B$7, 0)</f>
        <v/>
      </c>
      <c r="P175" s="23" t="inlineStr">
        <is>
          <t>Single Carrier (Band n50, 100MHz TDD)</t>
        </is>
      </c>
      <c r="Q175" s="27">
        <f>ROUNDUP(O175/'Methodology &amp; Assumptions'!$B$8, 0)</f>
        <v/>
      </c>
      <c r="R175" s="27" t="n">
        <v>1</v>
      </c>
      <c r="S175" s="26" t="n">
        <v>1.07</v>
      </c>
      <c r="T175" s="26" t="n">
        <v>1.03</v>
      </c>
      <c r="U175" s="11">
        <f>IF(S175&lt;='Methodology &amp; Assumptions'!$B$10, "Direct Optical Drop (&lt;3km)", IF(S175&lt;='Methodology &amp; Assumptions'!$B$9, "Near Optical / Microwave (&lt;5km)", "Starlink Business LEO Satellite Backhaul (&gt;5km)"))</f>
        <v/>
      </c>
      <c r="V175" s="26" t="n">
        <v>78.98</v>
      </c>
      <c r="W175" s="26" t="n">
        <v>40.79</v>
      </c>
      <c r="X175" s="26">
        <f>ROUND(('Methodology &amp; Assumptions'!$B$5*V175) + ('Methodology &amp; Assumptions'!$B$6*W175), 2)</f>
        <v/>
      </c>
      <c r="Y175" s="28" t="n">
        <v>17.4</v>
      </c>
      <c r="Z175" s="11" t="inlineStr">
        <is>
          <t>Priority Tier 3 (Broadband Expansion)</t>
        </is>
      </c>
    </row>
    <row r="176">
      <c r="A176" s="23" t="n">
        <v>4</v>
      </c>
      <c r="B176" s="23" t="n">
        <v>172</v>
      </c>
      <c r="C176" s="23" t="n">
        <v>3172</v>
      </c>
      <c r="D176" s="23" t="inlineStr">
        <is>
          <t>0402108035</t>
        </is>
      </c>
      <c r="E176" s="11" t="inlineStr">
        <is>
          <t>Region IV-A (CALABARZON)</t>
        </is>
      </c>
      <c r="F176" s="11" t="inlineStr">
        <is>
          <t>Cavite</t>
        </is>
      </c>
      <c r="G176" s="11" t="inlineStr">
        <is>
          <t>City of General Trias</t>
        </is>
      </c>
      <c r="H176" s="11" t="inlineStr">
        <is>
          <t>San Juan II</t>
        </is>
      </c>
      <c r="I176" s="24" t="n">
        <v>14.388561</v>
      </c>
      <c r="J176" s="24" t="n">
        <v>120.867148</v>
      </c>
      <c r="K176" s="23" t="inlineStr">
        <is>
          <t>U</t>
        </is>
      </c>
      <c r="L176" s="25" t="n">
        <v>7267</v>
      </c>
      <c r="M176" s="26" t="n">
        <v>3.4</v>
      </c>
      <c r="N176" s="25">
        <f>ROUND(L176/M176, 0)</f>
        <v/>
      </c>
      <c r="O176" s="25">
        <f>ROUND(N176*'Methodology &amp; Assumptions'!$B$7, 0)</f>
        <v/>
      </c>
      <c r="P176" s="23" t="inlineStr">
        <is>
          <t>Single Carrier (Band n50, 100MHz TDD)</t>
        </is>
      </c>
      <c r="Q176" s="27">
        <f>ROUNDUP(O176/'Methodology &amp; Assumptions'!$B$8, 0)</f>
        <v/>
      </c>
      <c r="R176" s="27" t="n">
        <v>1</v>
      </c>
      <c r="S176" s="26" t="n">
        <v>0.37</v>
      </c>
      <c r="T176" s="26" t="n">
        <v>0.85</v>
      </c>
      <c r="U176" s="11">
        <f>IF(S176&lt;='Methodology &amp; Assumptions'!$B$10, "Direct Optical Drop (&lt;3km)", IF(S176&lt;='Methodology &amp; Assumptions'!$B$9, "Near Optical / Microwave (&lt;5km)", "Starlink Business LEO Satellite Backhaul (&gt;5km)"))</f>
        <v/>
      </c>
      <c r="V176" s="26" t="n">
        <v>78.26000000000001</v>
      </c>
      <c r="W176" s="26" t="n">
        <v>41.5</v>
      </c>
      <c r="X176" s="26">
        <f>ROUND(('Methodology &amp; Assumptions'!$B$5*V176) + ('Methodology &amp; Assumptions'!$B$6*W176), 2)</f>
        <v/>
      </c>
      <c r="Y176" s="28" t="n">
        <v>7.2</v>
      </c>
      <c r="Z176" s="11" t="inlineStr">
        <is>
          <t>Priority Tier 3 (Broadband Expansion)</t>
        </is>
      </c>
    </row>
    <row r="177">
      <c r="A177" s="23" t="n">
        <v>4</v>
      </c>
      <c r="B177" s="23" t="n">
        <v>173</v>
      </c>
      <c r="C177" s="23" t="n">
        <v>3173</v>
      </c>
      <c r="D177" s="23" t="inlineStr">
        <is>
          <t>0203124005</t>
        </is>
      </c>
      <c r="E177" s="11" t="inlineStr">
        <is>
          <t>Region II (Cagayan Valley)</t>
        </is>
      </c>
      <c r="F177" s="11" t="inlineStr">
        <is>
          <t>Isabela</t>
        </is>
      </c>
      <c r="G177" s="11" t="inlineStr">
        <is>
          <t>Ramon</t>
        </is>
      </c>
      <c r="H177" s="11" t="inlineStr">
        <is>
          <t>Burgos</t>
        </is>
      </c>
      <c r="I177" s="24" t="n">
        <v>16.804695</v>
      </c>
      <c r="J177" s="24" t="n">
        <v>121.525582</v>
      </c>
      <c r="K177" s="23" t="inlineStr">
        <is>
          <t>R</t>
        </is>
      </c>
      <c r="L177" s="25" t="n">
        <v>2967</v>
      </c>
      <c r="M177" s="26" t="n">
        <v>3.8</v>
      </c>
      <c r="N177" s="25">
        <f>ROUND(L177/M177, 0)</f>
        <v/>
      </c>
      <c r="O177" s="25">
        <f>ROUND(N177*'Methodology &amp; Assumptions'!$B$7, 0)</f>
        <v/>
      </c>
      <c r="P177" s="23" t="inlineStr">
        <is>
          <t>Single Carrier (Band n50, 100MHz TDD)</t>
        </is>
      </c>
      <c r="Q177" s="27">
        <f>ROUNDUP(O177/'Methodology &amp; Assumptions'!$B$8, 0)</f>
        <v/>
      </c>
      <c r="R177" s="27" t="n">
        <v>1</v>
      </c>
      <c r="S177" s="26" t="n">
        <v>2.05</v>
      </c>
      <c r="T177" s="26" t="n">
        <v>12.41</v>
      </c>
      <c r="U177" s="11">
        <f>IF(S177&lt;='Methodology &amp; Assumptions'!$B$10, "Direct Optical Drop (&lt;3km)", IF(S177&lt;='Methodology &amp; Assumptions'!$B$9, "Near Optical / Microwave (&lt;5km)", "Starlink Business LEO Satellite Backhaul (&gt;5km)"))</f>
        <v/>
      </c>
      <c r="V177" s="26" t="n">
        <v>76.47</v>
      </c>
      <c r="W177" s="26" t="n">
        <v>43.29</v>
      </c>
      <c r="X177" s="26">
        <f>ROUND(('Methodology &amp; Assumptions'!$B$5*V177) + ('Methodology &amp; Assumptions'!$B$6*W177), 2)</f>
        <v/>
      </c>
      <c r="Y177" s="28" t="n">
        <v>8.300000000000001</v>
      </c>
      <c r="Z177" s="11" t="inlineStr">
        <is>
          <t>Priority Tier 3 (Broadband Expansion)</t>
        </is>
      </c>
    </row>
    <row r="178">
      <c r="A178" s="23" t="n">
        <v>4</v>
      </c>
      <c r="B178" s="23" t="n">
        <v>174</v>
      </c>
      <c r="C178" s="23" t="n">
        <v>3174</v>
      </c>
      <c r="D178" s="23" t="inlineStr">
        <is>
          <t>1380606188</t>
        </is>
      </c>
      <c r="E178" s="11" t="inlineStr">
        <is>
          <t>National Capital Region (NCR)</t>
        </is>
      </c>
      <c r="F178" s="11" t="inlineStr">
        <is>
          <t>First District (Not a Province)</t>
        </is>
      </c>
      <c r="G178" s="11" t="inlineStr">
        <is>
          <t>City of Manila</t>
        </is>
      </c>
      <c r="H178" s="11" t="inlineStr">
        <is>
          <t>Barangay 582</t>
        </is>
      </c>
      <c r="I178" s="24" t="n">
        <v>14.609469</v>
      </c>
      <c r="J178" s="24" t="n">
        <v>121.010301</v>
      </c>
      <c r="K178" s="23" t="inlineStr">
        <is>
          <t>U</t>
        </is>
      </c>
      <c r="L178" s="25" t="n">
        <v>1269</v>
      </c>
      <c r="M178" s="26" t="n">
        <v>4.32</v>
      </c>
      <c r="N178" s="25">
        <f>ROUND(L178/M178, 0)</f>
        <v/>
      </c>
      <c r="O178" s="25">
        <f>ROUND(N178*'Methodology &amp; Assumptions'!$B$7, 0)</f>
        <v/>
      </c>
      <c r="P178" s="23" t="inlineStr">
        <is>
          <t>Single Carrier (Band n50, 100MHz TDD)</t>
        </is>
      </c>
      <c r="Q178" s="27">
        <f>ROUNDUP(O178/'Methodology &amp; Assumptions'!$B$8, 0)</f>
        <v/>
      </c>
      <c r="R178" s="27" t="n">
        <v>1</v>
      </c>
      <c r="S178" s="26" t="n">
        <v>0.72</v>
      </c>
      <c r="T178" s="26" t="n">
        <v>0.32</v>
      </c>
      <c r="U178" s="11">
        <f>IF(S178&lt;='Methodology &amp; Assumptions'!$B$10, "Direct Optical Drop (&lt;3km)", IF(S178&lt;='Methodology &amp; Assumptions'!$B$9, "Near Optical / Microwave (&lt;5km)", "Starlink Business LEO Satellite Backhaul (&gt;5km)"))</f>
        <v/>
      </c>
      <c r="V178" s="26" t="n">
        <v>50.52</v>
      </c>
      <c r="W178" s="26" t="n">
        <v>69.25</v>
      </c>
      <c r="X178" s="26">
        <f>ROUND(('Methodology &amp; Assumptions'!$B$5*V178) + ('Methodology &amp; Assumptions'!$B$6*W178), 2)</f>
        <v/>
      </c>
      <c r="Y178" s="28" t="n">
        <v>10.9</v>
      </c>
      <c r="Z178" s="11" t="inlineStr">
        <is>
          <t>Priority Tier 3 (Broadband Expansion)</t>
        </is>
      </c>
    </row>
    <row r="179">
      <c r="A179" s="23" t="n">
        <v>4</v>
      </c>
      <c r="B179" s="23" t="n">
        <v>175</v>
      </c>
      <c r="C179" s="23" t="n">
        <v>3175</v>
      </c>
      <c r="D179" s="23" t="inlineStr">
        <is>
          <t>1381100018</t>
        </is>
      </c>
      <c r="E179" s="11" t="inlineStr">
        <is>
          <t>National Capital Region (NCR)</t>
        </is>
      </c>
      <c r="F179" s="11" t="inlineStr">
        <is>
          <t>Fourth District (Not a Province)</t>
        </is>
      </c>
      <c r="G179" s="11" t="inlineStr">
        <is>
          <t>Pasay City</t>
        </is>
      </c>
      <c r="H179" s="11" t="inlineStr">
        <is>
          <t>Barangay 18</t>
        </is>
      </c>
      <c r="I179" s="24" t="n">
        <v>14.556629</v>
      </c>
      <c r="J179" s="24" t="n">
        <v>120.991877</v>
      </c>
      <c r="K179" s="23" t="inlineStr">
        <is>
          <t>U</t>
        </is>
      </c>
      <c r="L179" s="25" t="n">
        <v>991</v>
      </c>
      <c r="M179" s="26" t="n">
        <v>3.6</v>
      </c>
      <c r="N179" s="25">
        <f>ROUND(L179/M179, 0)</f>
        <v/>
      </c>
      <c r="O179" s="25">
        <f>ROUND(N179*'Methodology &amp; Assumptions'!$B$7, 0)</f>
        <v/>
      </c>
      <c r="P179" s="23" t="inlineStr">
        <is>
          <t>Single Carrier (Band n50, 100MHz TDD)</t>
        </is>
      </c>
      <c r="Q179" s="27">
        <f>ROUNDUP(O179/'Methodology &amp; Assumptions'!$B$8, 0)</f>
        <v/>
      </c>
      <c r="R179" s="27" t="n">
        <v>1</v>
      </c>
      <c r="S179" s="26" t="n">
        <v>0.37</v>
      </c>
      <c r="T179" s="26" t="n">
        <v>0.37</v>
      </c>
      <c r="U179" s="11">
        <f>IF(S179&lt;='Methodology &amp; Assumptions'!$B$10, "Direct Optical Drop (&lt;3km)", IF(S179&lt;='Methodology &amp; Assumptions'!$B$9, "Near Optical / Microwave (&lt;5km)", "Starlink Business LEO Satellite Backhaul (&gt;5km)"))</f>
        <v/>
      </c>
      <c r="V179" s="26" t="n">
        <v>49.88</v>
      </c>
      <c r="W179" s="26" t="n">
        <v>69.88</v>
      </c>
      <c r="X179" s="26">
        <f>ROUND(('Methodology &amp; Assumptions'!$B$5*V179) + ('Methodology &amp; Assumptions'!$B$6*W179), 2)</f>
        <v/>
      </c>
      <c r="Y179" s="28" t="n">
        <v>10.9</v>
      </c>
      <c r="Z179" s="11" t="inlineStr">
        <is>
          <t>Priority Tier 3 (Broadband Expansion)</t>
        </is>
      </c>
    </row>
    <row r="180">
      <c r="A180" s="23" t="n">
        <v>4</v>
      </c>
      <c r="B180" s="23" t="n">
        <v>176</v>
      </c>
      <c r="C180" s="23" t="n">
        <v>3176</v>
      </c>
      <c r="D180" s="23" t="inlineStr">
        <is>
          <t>0103317015</t>
        </is>
      </c>
      <c r="E180" s="11" t="inlineStr">
        <is>
          <t>Region I (Ilocos Region)</t>
        </is>
      </c>
      <c r="F180" s="11" t="inlineStr">
        <is>
          <t>La Union</t>
        </is>
      </c>
      <c r="G180" s="11" t="inlineStr">
        <is>
          <t>Santo Tomas</t>
        </is>
      </c>
      <c r="H180" s="11" t="inlineStr">
        <is>
          <t>Namboongan</t>
        </is>
      </c>
      <c r="I180" s="24" t="n">
        <v>16.294236</v>
      </c>
      <c r="J180" s="24" t="n">
        <v>120.382917</v>
      </c>
      <c r="K180" s="23" t="inlineStr">
        <is>
          <t>R</t>
        </is>
      </c>
      <c r="L180" s="25" t="n">
        <v>2472</v>
      </c>
      <c r="M180" s="26" t="n">
        <v>3.7</v>
      </c>
      <c r="N180" s="25">
        <f>ROUND(L180/M180, 0)</f>
        <v/>
      </c>
      <c r="O180" s="25">
        <f>ROUND(N180*'Methodology &amp; Assumptions'!$B$7, 0)</f>
        <v/>
      </c>
      <c r="P180" s="23" t="inlineStr">
        <is>
          <t>Single Carrier (Band n50, 100MHz TDD)</t>
        </is>
      </c>
      <c r="Q180" s="27">
        <f>ROUNDUP(O180/'Methodology &amp; Assumptions'!$B$8, 0)</f>
        <v/>
      </c>
      <c r="R180" s="27" t="n">
        <v>1</v>
      </c>
      <c r="S180" s="26" t="n">
        <v>0.46</v>
      </c>
      <c r="T180" s="26" t="n">
        <v>0.01</v>
      </c>
      <c r="U180" s="11">
        <f>IF(S180&lt;='Methodology &amp; Assumptions'!$B$10, "Direct Optical Drop (&lt;3km)", IF(S180&lt;='Methodology &amp; Assumptions'!$B$9, "Near Optical / Microwave (&lt;5km)", "Starlink Business LEO Satellite Backhaul (&gt;5km)"))</f>
        <v/>
      </c>
      <c r="V180" s="26" t="n">
        <v>80.69</v>
      </c>
      <c r="W180" s="26" t="n">
        <v>39.06</v>
      </c>
      <c r="X180" s="26">
        <f>ROUND(('Methodology &amp; Assumptions'!$B$5*V180) + ('Methodology &amp; Assumptions'!$B$6*W180), 2)</f>
        <v/>
      </c>
      <c r="Y180" s="28" t="n">
        <v>8.300000000000001</v>
      </c>
      <c r="Z180" s="11" t="inlineStr">
        <is>
          <t>Priority Tier 3 (Broadband Expansion)</t>
        </is>
      </c>
    </row>
    <row r="181">
      <c r="A181" s="23" t="n">
        <v>4</v>
      </c>
      <c r="B181" s="23" t="n">
        <v>177</v>
      </c>
      <c r="C181" s="23" t="n">
        <v>3177</v>
      </c>
      <c r="D181" s="23" t="inlineStr">
        <is>
          <t>0301420048</t>
        </is>
      </c>
      <c r="E181" s="11" t="inlineStr">
        <is>
          <t>Region III (Central Luzon)</t>
        </is>
      </c>
      <c r="F181" s="11" t="inlineStr">
        <is>
          <t>Bulacan</t>
        </is>
      </c>
      <c r="G181" s="11" t="inlineStr">
        <is>
          <t>City of San Jose Del Monte</t>
        </is>
      </c>
      <c r="H181" s="11" t="inlineStr">
        <is>
          <t>San Martin IV</t>
        </is>
      </c>
      <c r="I181" s="24" t="n">
        <v>14.860976</v>
      </c>
      <c r="J181" s="24" t="n">
        <v>121.05286</v>
      </c>
      <c r="K181" s="23" t="inlineStr">
        <is>
          <t>R</t>
        </is>
      </c>
      <c r="L181" s="25" t="n">
        <v>4270</v>
      </c>
      <c r="M181" s="26" t="n">
        <v>3.5</v>
      </c>
      <c r="N181" s="25">
        <f>ROUND(L181/M181, 0)</f>
        <v/>
      </c>
      <c r="O181" s="25">
        <f>ROUND(N181*'Methodology &amp; Assumptions'!$B$7, 0)</f>
        <v/>
      </c>
      <c r="P181" s="23" t="inlineStr">
        <is>
          <t>Single Carrier (Band n50, 100MHz TDD)</t>
        </is>
      </c>
      <c r="Q181" s="27">
        <f>ROUNDUP(O181/'Methodology &amp; Assumptions'!$B$8, 0)</f>
        <v/>
      </c>
      <c r="R181" s="27" t="n">
        <v>1</v>
      </c>
      <c r="S181" s="26" t="n">
        <v>2.7</v>
      </c>
      <c r="T181" s="26" t="n">
        <v>3.58</v>
      </c>
      <c r="U181" s="11">
        <f>IF(S181&lt;='Methodology &amp; Assumptions'!$B$10, "Direct Optical Drop (&lt;3km)", IF(S181&lt;='Methodology &amp; Assumptions'!$B$9, "Near Optical / Microwave (&lt;5km)", "Starlink Business LEO Satellite Backhaul (&gt;5km)"))</f>
        <v/>
      </c>
      <c r="V181" s="26" t="n">
        <v>75.59</v>
      </c>
      <c r="W181" s="26" t="n">
        <v>44.15</v>
      </c>
      <c r="X181" s="26">
        <f>ROUND(('Methodology &amp; Assumptions'!$B$5*V181) + ('Methodology &amp; Assumptions'!$B$6*W181), 2)</f>
        <v/>
      </c>
      <c r="Y181" s="28" t="n">
        <v>8.300000000000001</v>
      </c>
      <c r="Z181" s="11" t="inlineStr">
        <is>
          <t>Priority Tier 3 (Broadband Expansion)</t>
        </is>
      </c>
    </row>
    <row r="182">
      <c r="A182" s="23" t="n">
        <v>4</v>
      </c>
      <c r="B182" s="23" t="n">
        <v>178</v>
      </c>
      <c r="C182" s="23" t="n">
        <v>3178</v>
      </c>
      <c r="D182" s="23" t="inlineStr">
        <is>
          <t>1705312007</t>
        </is>
      </c>
      <c r="E182" s="11" t="inlineStr">
        <is>
          <t>MIMAROPA Region</t>
        </is>
      </c>
      <c r="F182" s="11" t="inlineStr">
        <is>
          <t>Palawan</t>
        </is>
      </c>
      <c r="G182" s="11" t="inlineStr">
        <is>
          <t>El Nido</t>
        </is>
      </c>
      <c r="H182" s="11" t="inlineStr">
        <is>
          <t>Manlag</t>
        </is>
      </c>
      <c r="I182" s="24" t="n">
        <v>11.120712</v>
      </c>
      <c r="J182" s="24" t="n">
        <v>119.432824</v>
      </c>
      <c r="K182" s="23" t="inlineStr">
        <is>
          <t>R</t>
        </is>
      </c>
      <c r="L182" s="25" t="n">
        <v>3345</v>
      </c>
      <c r="M182" s="26" t="n">
        <v>3.9</v>
      </c>
      <c r="N182" s="25">
        <f>ROUND(L182/M182, 0)</f>
        <v/>
      </c>
      <c r="O182" s="25">
        <f>ROUND(N182*'Methodology &amp; Assumptions'!$B$7, 0)</f>
        <v/>
      </c>
      <c r="P182" s="23" t="inlineStr">
        <is>
          <t>Single Carrier (Band n50, 100MHz TDD)</t>
        </is>
      </c>
      <c r="Q182" s="27">
        <f>ROUNDUP(O182/'Methodology &amp; Assumptions'!$B$8, 0)</f>
        <v/>
      </c>
      <c r="R182" s="27" t="n">
        <v>1</v>
      </c>
      <c r="S182" s="26" t="n">
        <v>5.91</v>
      </c>
      <c r="T182" s="26" t="n">
        <v>34.13</v>
      </c>
      <c r="U182" s="11">
        <f>IF(S182&lt;='Methodology &amp; Assumptions'!$B$10, "Direct Optical Drop (&lt;3km)", IF(S182&lt;='Methodology &amp; Assumptions'!$B$9, "Near Optical / Microwave (&lt;5km)", "Starlink Business LEO Satellite Backhaul (&gt;5km)"))</f>
        <v/>
      </c>
      <c r="V182" s="26" t="n">
        <v>69.33</v>
      </c>
      <c r="W182" s="26" t="n">
        <v>50.4</v>
      </c>
      <c r="X182" s="26">
        <f>ROUND(('Methodology &amp; Assumptions'!$B$5*V182) + ('Methodology &amp; Assumptions'!$B$6*W182), 2)</f>
        <v/>
      </c>
      <c r="Y182" s="28" t="n">
        <v>15</v>
      </c>
      <c r="Z182" s="11" t="inlineStr">
        <is>
          <t>Priority Tier 3 (Broadband Expansion)</t>
        </is>
      </c>
    </row>
    <row r="183">
      <c r="A183" s="23" t="n">
        <v>4</v>
      </c>
      <c r="B183" s="23" t="n">
        <v>179</v>
      </c>
      <c r="C183" s="23" t="n">
        <v>3179</v>
      </c>
      <c r="D183" s="23" t="inlineStr">
        <is>
          <t>1380611023</t>
        </is>
      </c>
      <c r="E183" s="11" t="inlineStr">
        <is>
          <t>National Capital Region (NCR)</t>
        </is>
      </c>
      <c r="F183" s="11" t="inlineStr">
        <is>
          <t>First District (Not a Province)</t>
        </is>
      </c>
      <c r="G183" s="11" t="inlineStr">
        <is>
          <t>City of Manila</t>
        </is>
      </c>
      <c r="H183" s="11" t="inlineStr">
        <is>
          <t>Barangay 809</t>
        </is>
      </c>
      <c r="I183" s="24" t="n">
        <v>14.577109</v>
      </c>
      <c r="J183" s="24" t="n">
        <v>121.000339</v>
      </c>
      <c r="K183" s="23" t="inlineStr">
        <is>
          <t>U</t>
        </is>
      </c>
      <c r="L183" s="25" t="n">
        <v>1479</v>
      </c>
      <c r="M183" s="26" t="n">
        <v>4.76</v>
      </c>
      <c r="N183" s="25">
        <f>ROUND(L183/M183, 0)</f>
        <v/>
      </c>
      <c r="O183" s="25">
        <f>ROUND(N183*'Methodology &amp; Assumptions'!$B$7, 0)</f>
        <v/>
      </c>
      <c r="P183" s="23" t="inlineStr">
        <is>
          <t>Single Carrier (Band n50, 100MHz TDD)</t>
        </is>
      </c>
      <c r="Q183" s="27">
        <f>ROUNDUP(O183/'Methodology &amp; Assumptions'!$B$8, 0)</f>
        <v/>
      </c>
      <c r="R183" s="27" t="n">
        <v>1</v>
      </c>
      <c r="S183" s="26" t="n">
        <v>0.85</v>
      </c>
      <c r="T183" s="26" t="n">
        <v>0.3</v>
      </c>
      <c r="U183" s="11">
        <f>IF(S183&lt;='Methodology &amp; Assumptions'!$B$10, "Direct Optical Drop (&lt;3km)", IF(S183&lt;='Methodology &amp; Assumptions'!$B$9, "Near Optical / Microwave (&lt;5km)", "Starlink Business LEO Satellite Backhaul (&gt;5km)"))</f>
        <v/>
      </c>
      <c r="V183" s="26" t="n">
        <v>51.02</v>
      </c>
      <c r="W183" s="26" t="n">
        <v>68.70999999999999</v>
      </c>
      <c r="X183" s="26">
        <f>ROUND(('Methodology &amp; Assumptions'!$B$5*V183) + ('Methodology &amp; Assumptions'!$B$6*W183), 2)</f>
        <v/>
      </c>
      <c r="Y183" s="28" t="n">
        <v>10.9</v>
      </c>
      <c r="Z183" s="11" t="inlineStr">
        <is>
          <t>Priority Tier 3 (Broadband Expansion)</t>
        </is>
      </c>
    </row>
    <row r="184">
      <c r="A184" s="23" t="n">
        <v>4</v>
      </c>
      <c r="B184" s="23" t="n">
        <v>180</v>
      </c>
      <c r="C184" s="23" t="n">
        <v>3180</v>
      </c>
      <c r="D184" s="23" t="inlineStr">
        <is>
          <t>1380601145</t>
        </is>
      </c>
      <c r="E184" s="11" t="inlineStr">
        <is>
          <t>National Capital Region (NCR)</t>
        </is>
      </c>
      <c r="F184" s="11" t="inlineStr">
        <is>
          <t>First District (Not a Province)</t>
        </is>
      </c>
      <c r="G184" s="11" t="inlineStr">
        <is>
          <t>City of Manila</t>
        </is>
      </c>
      <c r="H184" s="11" t="inlineStr">
        <is>
          <t>Barangay 145</t>
        </is>
      </c>
      <c r="I184" s="24" t="n">
        <v>14.63258</v>
      </c>
      <c r="J184" s="24" t="n">
        <v>120.969527</v>
      </c>
      <c r="K184" s="23" t="inlineStr">
        <is>
          <t>U</t>
        </is>
      </c>
      <c r="L184" s="25" t="n">
        <v>1109</v>
      </c>
      <c r="M184" s="26" t="n">
        <v>4.32</v>
      </c>
      <c r="N184" s="25">
        <f>ROUND(L184/M184, 0)</f>
        <v/>
      </c>
      <c r="O184" s="25">
        <f>ROUND(N184*'Methodology &amp; Assumptions'!$B$7, 0)</f>
        <v/>
      </c>
      <c r="P184" s="23" t="inlineStr">
        <is>
          <t>Single Carrier (Band n50, 100MHz TDD)</t>
        </is>
      </c>
      <c r="Q184" s="27">
        <f>ROUNDUP(O184/'Methodology &amp; Assumptions'!$B$8, 0)</f>
        <v/>
      </c>
      <c r="R184" s="27" t="n">
        <v>1</v>
      </c>
      <c r="S184" s="26" t="n">
        <v>0.76</v>
      </c>
      <c r="T184" s="26" t="n">
        <v>0.63</v>
      </c>
      <c r="U184" s="11">
        <f>IF(S184&lt;='Methodology &amp; Assumptions'!$B$10, "Direct Optical Drop (&lt;3km)", IF(S184&lt;='Methodology &amp; Assumptions'!$B$9, "Near Optical / Microwave (&lt;5km)", "Starlink Business LEO Satellite Backhaul (&gt;5km)"))</f>
        <v/>
      </c>
      <c r="V184" s="26" t="n">
        <v>49.34</v>
      </c>
      <c r="W184" s="26" t="n">
        <v>70.40000000000001</v>
      </c>
      <c r="X184" s="26">
        <f>ROUND(('Methodology &amp; Assumptions'!$B$5*V184) + ('Methodology &amp; Assumptions'!$B$6*W184), 2)</f>
        <v/>
      </c>
      <c r="Y184" s="28" t="n">
        <v>10.9</v>
      </c>
      <c r="Z184" s="11" t="inlineStr">
        <is>
          <t>Priority Tier 3 (Broadband Expansion)</t>
        </is>
      </c>
    </row>
    <row r="185">
      <c r="A185" s="23" t="n">
        <v>4</v>
      </c>
      <c r="B185" s="23" t="n">
        <v>181</v>
      </c>
      <c r="C185" s="23" t="n">
        <v>3181</v>
      </c>
      <c r="D185" s="23" t="inlineStr">
        <is>
          <t>0806405012</t>
        </is>
      </c>
      <c r="E185" s="11" t="inlineStr">
        <is>
          <t>Region VIII (Eastern Visayas)</t>
        </is>
      </c>
      <c r="F185" s="11" t="inlineStr">
        <is>
          <t>Southern Leyte</t>
        </is>
      </c>
      <c r="G185" s="11" t="inlineStr">
        <is>
          <t>Libagon</t>
        </is>
      </c>
      <c r="H185" s="11" t="inlineStr">
        <is>
          <t>Punta</t>
        </is>
      </c>
      <c r="I185" s="24" t="n">
        <v>10.337378</v>
      </c>
      <c r="J185" s="24" t="n">
        <v>125.07185</v>
      </c>
      <c r="K185" s="23" t="inlineStr">
        <is>
          <t>R</t>
        </is>
      </c>
      <c r="L185" s="25" t="n">
        <v>249</v>
      </c>
      <c r="M185" s="26" t="n">
        <v>4.1</v>
      </c>
      <c r="N185" s="25">
        <f>ROUND(L185/M185, 0)</f>
        <v/>
      </c>
      <c r="O185" s="25">
        <f>ROUND(N185*'Methodology &amp; Assumptions'!$B$7, 0)</f>
        <v/>
      </c>
      <c r="P185" s="23" t="inlineStr">
        <is>
          <t>Single Carrier (Band n50, 100MHz TDD)</t>
        </is>
      </c>
      <c r="Q185" s="27">
        <f>ROUNDUP(O185/'Methodology &amp; Assumptions'!$B$8, 0)</f>
        <v/>
      </c>
      <c r="R185" s="27" t="n">
        <v>1</v>
      </c>
      <c r="S185" s="26" t="n">
        <v>11.19</v>
      </c>
      <c r="T185" s="26" t="n">
        <v>10.46</v>
      </c>
      <c r="U185" s="11">
        <f>IF(S185&lt;='Methodology &amp; Assumptions'!$B$10, "Direct Optical Drop (&lt;3km)", IF(S185&lt;='Methodology &amp; Assumptions'!$B$9, "Near Optical / Microwave (&lt;5km)", "Starlink Business LEO Satellite Backhaul (&gt;5km)"))</f>
        <v/>
      </c>
      <c r="V185" s="26" t="n">
        <v>44.05</v>
      </c>
      <c r="W185" s="26" t="n">
        <v>75.69</v>
      </c>
      <c r="X185" s="26">
        <f>ROUND(('Methodology &amp; Assumptions'!$B$5*V185) + ('Methodology &amp; Assumptions'!$B$6*W185), 2)</f>
        <v/>
      </c>
      <c r="Y185" s="28" t="n">
        <v>23.7</v>
      </c>
      <c r="Z185" s="11" t="inlineStr">
        <is>
          <t>Priority Tier 3 (Broadband Expansion)</t>
        </is>
      </c>
    </row>
    <row r="186">
      <c r="A186" s="23" t="n">
        <v>4</v>
      </c>
      <c r="B186" s="23" t="n">
        <v>182</v>
      </c>
      <c r="C186" s="23" t="n">
        <v>3182</v>
      </c>
      <c r="D186" s="23" t="inlineStr">
        <is>
          <t>0806017027</t>
        </is>
      </c>
      <c r="E186" s="11" t="inlineStr">
        <is>
          <t>Region VIII (Eastern Visayas)</t>
        </is>
      </c>
      <c r="F186" s="11" t="inlineStr">
        <is>
          <t>Samar</t>
        </is>
      </c>
      <c r="G186" s="11" t="inlineStr">
        <is>
          <t>Santa Rita</t>
        </is>
      </c>
      <c r="H186" s="11" t="inlineStr">
        <is>
          <t>San Pascual</t>
        </is>
      </c>
      <c r="I186" s="24" t="n">
        <v>11.416713</v>
      </c>
      <c r="J186" s="24" t="n">
        <v>125.030556</v>
      </c>
      <c r="K186" s="23" t="inlineStr">
        <is>
          <t>R</t>
        </is>
      </c>
      <c r="L186" s="25" t="n">
        <v>1019</v>
      </c>
      <c r="M186" s="26" t="n">
        <v>4.1</v>
      </c>
      <c r="N186" s="25">
        <f>ROUND(L186/M186, 0)</f>
        <v/>
      </c>
      <c r="O186" s="25">
        <f>ROUND(N186*'Methodology &amp; Assumptions'!$B$7, 0)</f>
        <v/>
      </c>
      <c r="P186" s="23" t="inlineStr">
        <is>
          <t>Single Carrier (Band n50, 100MHz TDD)</t>
        </is>
      </c>
      <c r="Q186" s="27">
        <f>ROUNDUP(O186/'Methodology &amp; Assumptions'!$B$8, 0)</f>
        <v/>
      </c>
      <c r="R186" s="27" t="n">
        <v>1</v>
      </c>
      <c r="S186" s="26" t="n">
        <v>19.93</v>
      </c>
      <c r="T186" s="26" t="n">
        <v>22.83</v>
      </c>
      <c r="U186" s="11">
        <f>IF(S186&lt;='Methodology &amp; Assumptions'!$B$10, "Direct Optical Drop (&lt;3km)", IF(S186&lt;='Methodology &amp; Assumptions'!$B$9, "Near Optical / Microwave (&lt;5km)", "Starlink Business LEO Satellite Backhaul (&gt;5km)"))</f>
        <v/>
      </c>
      <c r="V186" s="26" t="n">
        <v>43.81</v>
      </c>
      <c r="W186" s="26" t="n">
        <v>75.92</v>
      </c>
      <c r="X186" s="26">
        <f>ROUND(('Methodology &amp; Assumptions'!$B$5*V186) + ('Methodology &amp; Assumptions'!$B$6*W186), 2)</f>
        <v/>
      </c>
      <c r="Y186" s="28" t="n">
        <v>23.7</v>
      </c>
      <c r="Z186" s="11" t="inlineStr">
        <is>
          <t>Priority Tier 3 (Broadband Expansion)</t>
        </is>
      </c>
    </row>
    <row r="187">
      <c r="A187" s="23" t="n">
        <v>4</v>
      </c>
      <c r="B187" s="23" t="n">
        <v>183</v>
      </c>
      <c r="C187" s="23" t="n">
        <v>3183</v>
      </c>
      <c r="D187" s="23" t="inlineStr">
        <is>
          <t>0301420004</t>
        </is>
      </c>
      <c r="E187" s="11" t="inlineStr">
        <is>
          <t>Region III (Central Luzon)</t>
        </is>
      </c>
      <c r="F187" s="11" t="inlineStr">
        <is>
          <t>Bulacan</t>
        </is>
      </c>
      <c r="G187" s="11" t="inlineStr">
        <is>
          <t>City of San Jose Del Monte</t>
        </is>
      </c>
      <c r="H187" s="11" t="inlineStr">
        <is>
          <t>Kaypian</t>
        </is>
      </c>
      <c r="I187" s="24" t="n">
        <v>14.821717</v>
      </c>
      <c r="J187" s="24" t="n">
        <v>121.062617</v>
      </c>
      <c r="K187" s="23" t="inlineStr">
        <is>
          <t>U</t>
        </is>
      </c>
      <c r="L187" s="25" t="n">
        <v>48130</v>
      </c>
      <c r="M187" s="26" t="n">
        <v>3.5</v>
      </c>
      <c r="N187" s="25">
        <f>ROUND(L187/M187, 0)</f>
        <v/>
      </c>
      <c r="O187" s="25">
        <f>ROUND(N187*'Methodology &amp; Assumptions'!$B$7, 0)</f>
        <v/>
      </c>
      <c r="P187" s="23" t="inlineStr">
        <is>
          <t>Single Carrier (Band n50, 100MHz TDD)</t>
        </is>
      </c>
      <c r="Q187" s="27">
        <f>ROUNDUP(O187/'Methodology &amp; Assumptions'!$B$8, 0)</f>
        <v/>
      </c>
      <c r="R187" s="27" t="n">
        <v>1</v>
      </c>
      <c r="S187" s="26" t="n">
        <v>1.22</v>
      </c>
      <c r="T187" s="26" t="n">
        <v>1.96</v>
      </c>
      <c r="U187" s="11">
        <f>IF(S187&lt;='Methodology &amp; Assumptions'!$B$10, "Direct Optical Drop (&lt;3km)", IF(S187&lt;='Methodology &amp; Assumptions'!$B$9, "Near Optical / Microwave (&lt;5km)", "Starlink Business LEO Satellite Backhaul (&gt;5km)"))</f>
        <v/>
      </c>
      <c r="V187" s="26" t="n">
        <v>75.56999999999999</v>
      </c>
      <c r="W187" s="26" t="n">
        <v>44.15</v>
      </c>
      <c r="X187" s="26">
        <f>ROUND(('Methodology &amp; Assumptions'!$B$5*V187) + ('Methodology &amp; Assumptions'!$B$6*W187), 2)</f>
        <v/>
      </c>
      <c r="Y187" s="28" t="n">
        <v>8.300000000000001</v>
      </c>
      <c r="Z187" s="11" t="inlineStr">
        <is>
          <t>Priority Tier 3 (Broadband Expansion)</t>
        </is>
      </c>
    </row>
    <row r="188">
      <c r="A188" s="23" t="n">
        <v>4</v>
      </c>
      <c r="B188" s="23" t="n">
        <v>184</v>
      </c>
      <c r="C188" s="23" t="n">
        <v>3184</v>
      </c>
      <c r="D188" s="23" t="inlineStr">
        <is>
          <t>0405623027</t>
        </is>
      </c>
      <c r="E188" s="11" t="inlineStr">
        <is>
          <t>Region IV-A (CALABARZON)</t>
        </is>
      </c>
      <c r="F188" s="11" t="inlineStr">
        <is>
          <t>Quezon</t>
        </is>
      </c>
      <c r="G188" s="11" t="inlineStr">
        <is>
          <t>Lucban</t>
        </is>
      </c>
      <c r="H188" s="11" t="inlineStr">
        <is>
          <t>Palola</t>
        </is>
      </c>
      <c r="I188" s="24" t="n">
        <v>14.080491</v>
      </c>
      <c r="J188" s="24" t="n">
        <v>121.542709</v>
      </c>
      <c r="K188" s="23" t="inlineStr">
        <is>
          <t>R</t>
        </is>
      </c>
      <c r="L188" s="25" t="n">
        <v>2283</v>
      </c>
      <c r="M188" s="26" t="n">
        <v>3.8</v>
      </c>
      <c r="N188" s="25">
        <f>ROUND(L188/M188, 0)</f>
        <v/>
      </c>
      <c r="O188" s="25">
        <f>ROUND(N188*'Methodology &amp; Assumptions'!$B$7, 0)</f>
        <v/>
      </c>
      <c r="P188" s="23" t="inlineStr">
        <is>
          <t>Single Carrier (Band n50, 100MHz TDD)</t>
        </is>
      </c>
      <c r="Q188" s="27">
        <f>ROUNDUP(O188/'Methodology &amp; Assumptions'!$B$8, 0)</f>
        <v/>
      </c>
      <c r="R188" s="27" t="n">
        <v>1</v>
      </c>
      <c r="S188" s="26" t="n">
        <v>4.06</v>
      </c>
      <c r="T188" s="26" t="n">
        <v>3.37</v>
      </c>
      <c r="U188" s="11">
        <f>IF(S188&lt;='Methodology &amp; Assumptions'!$B$10, "Direct Optical Drop (&lt;3km)", IF(S188&lt;='Methodology &amp; Assumptions'!$B$9, "Near Optical / Microwave (&lt;5km)", "Starlink Business LEO Satellite Backhaul (&gt;5km)"))</f>
        <v/>
      </c>
      <c r="V188" s="26" t="n">
        <v>65.19</v>
      </c>
      <c r="W188" s="26" t="n">
        <v>54.53</v>
      </c>
      <c r="X188" s="26">
        <f>ROUND(('Methodology &amp; Assumptions'!$B$5*V188) + ('Methodology &amp; Assumptions'!$B$6*W188), 2)</f>
        <v/>
      </c>
      <c r="Y188" s="28" t="n">
        <v>7.2</v>
      </c>
      <c r="Z188" s="11" t="inlineStr">
        <is>
          <t>Priority Tier 3 (Broadband Expansion)</t>
        </is>
      </c>
    </row>
    <row r="189">
      <c r="A189" s="23" t="n">
        <v>4</v>
      </c>
      <c r="B189" s="23" t="n">
        <v>185</v>
      </c>
      <c r="C189" s="23" t="n">
        <v>3185</v>
      </c>
      <c r="D189" s="23" t="inlineStr">
        <is>
          <t>1381600027</t>
        </is>
      </c>
      <c r="E189" s="11" t="inlineStr">
        <is>
          <t>National Capital Region (NCR)</t>
        </is>
      </c>
      <c r="F189" s="11" t="inlineStr">
        <is>
          <t>Third District (Not a Province)</t>
        </is>
      </c>
      <c r="G189" s="11" t="inlineStr">
        <is>
          <t>City of Valenzuela</t>
        </is>
      </c>
      <c r="H189" s="11" t="inlineStr">
        <is>
          <t>Punturin</t>
        </is>
      </c>
      <c r="I189" s="24" t="n">
        <v>14.740389</v>
      </c>
      <c r="J189" s="24" t="n">
        <v>120.99055</v>
      </c>
      <c r="K189" s="23" t="inlineStr">
        <is>
          <t>U</t>
        </is>
      </c>
      <c r="L189" s="25" t="n">
        <v>25170</v>
      </c>
      <c r="M189" s="26" t="n">
        <v>3.45</v>
      </c>
      <c r="N189" s="25">
        <f>ROUND(L189/M189, 0)</f>
        <v/>
      </c>
      <c r="O189" s="25">
        <f>ROUND(N189*'Methodology &amp; Assumptions'!$B$7, 0)</f>
        <v/>
      </c>
      <c r="P189" s="23" t="inlineStr">
        <is>
          <t>Single Carrier (Band n50, 100MHz TDD)</t>
        </is>
      </c>
      <c r="Q189" s="27">
        <f>ROUNDUP(O189/'Methodology &amp; Assumptions'!$B$8, 0)</f>
        <v/>
      </c>
      <c r="R189" s="27" t="n">
        <v>1</v>
      </c>
      <c r="S189" s="26" t="n">
        <v>2.38</v>
      </c>
      <c r="T189" s="26" t="n">
        <v>0.02</v>
      </c>
      <c r="U189" s="11">
        <f>IF(S189&lt;='Methodology &amp; Assumptions'!$B$10, "Direct Optical Drop (&lt;3km)", IF(S189&lt;='Methodology &amp; Assumptions'!$B$9, "Near Optical / Microwave (&lt;5km)", "Starlink Business LEO Satellite Backhaul (&gt;5km)"))</f>
        <v/>
      </c>
      <c r="V189" s="26" t="n">
        <v>62.25</v>
      </c>
      <c r="W189" s="26" t="n">
        <v>57.48</v>
      </c>
      <c r="X189" s="26">
        <f>ROUND(('Methodology &amp; Assumptions'!$B$5*V189) + ('Methodology &amp; Assumptions'!$B$6*W189), 2)</f>
        <v/>
      </c>
      <c r="Y189" s="28" t="n">
        <v>10.9</v>
      </c>
      <c r="Z189" s="11" t="inlineStr">
        <is>
          <t>Priority Tier 3 (Broadband Expansion)</t>
        </is>
      </c>
    </row>
    <row r="190">
      <c r="A190" s="23" t="n">
        <v>4</v>
      </c>
      <c r="B190" s="23" t="n">
        <v>186</v>
      </c>
      <c r="C190" s="23" t="n">
        <v>3186</v>
      </c>
      <c r="D190" s="23" t="inlineStr">
        <is>
          <t>0205706003</t>
        </is>
      </c>
      <c r="E190" s="11" t="inlineStr">
        <is>
          <t>Region II (Cagayan Valley)</t>
        </is>
      </c>
      <c r="F190" s="11" t="inlineStr">
        <is>
          <t>Quirino</t>
        </is>
      </c>
      <c r="G190" s="11" t="inlineStr">
        <is>
          <t>Nagtipunan</t>
        </is>
      </c>
      <c r="H190" s="11" t="inlineStr">
        <is>
          <t>Dissimungal</t>
        </is>
      </c>
      <c r="I190" s="24" t="n">
        <v>16.215229</v>
      </c>
      <c r="J190" s="24" t="n">
        <v>121.742343</v>
      </c>
      <c r="K190" s="23" t="inlineStr">
        <is>
          <t>R</t>
        </is>
      </c>
      <c r="L190" s="25" t="n">
        <v>2074</v>
      </c>
      <c r="M190" s="26" t="n">
        <v>3.9</v>
      </c>
      <c r="N190" s="25">
        <f>ROUND(L190/M190, 0)</f>
        <v/>
      </c>
      <c r="O190" s="25">
        <f>ROUND(N190*'Methodology &amp; Assumptions'!$B$7, 0)</f>
        <v/>
      </c>
      <c r="P190" s="23" t="inlineStr">
        <is>
          <t>Single Carrier (Band n50, 100MHz TDD)</t>
        </is>
      </c>
      <c r="Q190" s="27">
        <f>ROUNDUP(O190/'Methodology &amp; Assumptions'!$B$8, 0)</f>
        <v/>
      </c>
      <c r="R190" s="27" t="n">
        <v>1</v>
      </c>
      <c r="S190" s="26" t="n">
        <v>9.17</v>
      </c>
      <c r="T190" s="26" t="n">
        <v>0.09</v>
      </c>
      <c r="U190" s="11">
        <f>IF(S190&lt;='Methodology &amp; Assumptions'!$B$10, "Direct Optical Drop (&lt;3km)", IF(S190&lt;='Methodology &amp; Assumptions'!$B$9, "Near Optical / Microwave (&lt;5km)", "Starlink Business LEO Satellite Backhaul (&gt;5km)"))</f>
        <v/>
      </c>
      <c r="V190" s="26" t="n">
        <v>59.95</v>
      </c>
      <c r="W190" s="26" t="n">
        <v>59.77</v>
      </c>
      <c r="X190" s="26">
        <f>ROUND(('Methodology &amp; Assumptions'!$B$5*V190) + ('Methodology &amp; Assumptions'!$B$6*W190), 2)</f>
        <v/>
      </c>
      <c r="Y190" s="28" t="n">
        <v>8.300000000000001</v>
      </c>
      <c r="Z190" s="11" t="inlineStr">
        <is>
          <t>Priority Tier 3 (Broadband Expansion)</t>
        </is>
      </c>
    </row>
    <row r="191">
      <c r="A191" s="23" t="n">
        <v>4</v>
      </c>
      <c r="B191" s="23" t="n">
        <v>187</v>
      </c>
      <c r="C191" s="23" t="n">
        <v>3187</v>
      </c>
      <c r="D191" s="23" t="inlineStr">
        <is>
          <t>1606819002</t>
        </is>
      </c>
      <c r="E191" s="11" t="inlineStr">
        <is>
          <t>Region XIII (Caraga)</t>
        </is>
      </c>
      <c r="F191" s="11" t="inlineStr">
        <is>
          <t>Surigao del Sur</t>
        </is>
      </c>
      <c r="G191" s="11" t="inlineStr">
        <is>
          <t>City of Tandag</t>
        </is>
      </c>
      <c r="H191" s="11" t="inlineStr">
        <is>
          <t>Bagong Lungsod</t>
        </is>
      </c>
      <c r="I191" s="24" t="n">
        <v>9.07856</v>
      </c>
      <c r="J191" s="24" t="n">
        <v>126.201</v>
      </c>
      <c r="K191" s="23" t="inlineStr">
        <is>
          <t>U</t>
        </is>
      </c>
      <c r="L191" s="25" t="n">
        <v>5475</v>
      </c>
      <c r="M191" s="26" t="n">
        <v>4.1</v>
      </c>
      <c r="N191" s="25">
        <f>ROUND(L191/M191, 0)</f>
        <v/>
      </c>
      <c r="O191" s="25">
        <f>ROUND(N191*'Methodology &amp; Assumptions'!$B$7, 0)</f>
        <v/>
      </c>
      <c r="P191" s="23" t="inlineStr">
        <is>
          <t>Single Carrier (Band n50, 100MHz TDD)</t>
        </is>
      </c>
      <c r="Q191" s="27">
        <f>ROUNDUP(O191/'Methodology &amp; Assumptions'!$B$8, 0)</f>
        <v/>
      </c>
      <c r="R191" s="27" t="n">
        <v>1</v>
      </c>
      <c r="S191" s="26" t="n">
        <v>0.44</v>
      </c>
      <c r="T191" s="26" t="n">
        <v>0.45</v>
      </c>
      <c r="U191" s="11">
        <f>IF(S191&lt;='Methodology &amp; Assumptions'!$B$10, "Direct Optical Drop (&lt;3km)", IF(S191&lt;='Methodology &amp; Assumptions'!$B$9, "Near Optical / Microwave (&lt;5km)", "Starlink Business LEO Satellite Backhaul (&gt;5km)"))</f>
        <v/>
      </c>
      <c r="V191" s="26" t="n">
        <v>79.87</v>
      </c>
      <c r="W191" s="26" t="n">
        <v>39.84</v>
      </c>
      <c r="X191" s="26">
        <f>ROUND(('Methodology &amp; Assumptions'!$B$5*V191) + ('Methodology &amp; Assumptions'!$B$6*W191), 2)</f>
        <v/>
      </c>
      <c r="Y191" s="28" t="n">
        <v>17.4</v>
      </c>
      <c r="Z191" s="11" t="inlineStr">
        <is>
          <t>Priority Tier 3 (Broadband Expansion)</t>
        </is>
      </c>
    </row>
    <row r="192">
      <c r="A192" s="23" t="n">
        <v>4</v>
      </c>
      <c r="B192" s="23" t="n">
        <v>188</v>
      </c>
      <c r="C192" s="23" t="n">
        <v>3188</v>
      </c>
      <c r="D192" s="23" t="inlineStr">
        <is>
          <t>0402118026</t>
        </is>
      </c>
      <c r="E192" s="11" t="inlineStr">
        <is>
          <t>Region IV-A (CALABARZON)</t>
        </is>
      </c>
      <c r="F192" s="11" t="inlineStr">
        <is>
          <t>Cavite</t>
        </is>
      </c>
      <c r="G192" s="11" t="inlineStr">
        <is>
          <t>Silang</t>
        </is>
      </c>
      <c r="H192" s="11" t="inlineStr">
        <is>
          <t>Maguyam</t>
        </is>
      </c>
      <c r="I192" s="24" t="n">
        <v>14.263874</v>
      </c>
      <c r="J192" s="24" t="n">
        <v>121.005147</v>
      </c>
      <c r="K192" s="23" t="inlineStr">
        <is>
          <t>U</t>
        </is>
      </c>
      <c r="L192" s="25" t="n">
        <v>14069</v>
      </c>
      <c r="M192" s="26" t="n">
        <v>3.4</v>
      </c>
      <c r="N192" s="25">
        <f>ROUND(L192/M192, 0)</f>
        <v/>
      </c>
      <c r="O192" s="25">
        <f>ROUND(N192*'Methodology &amp; Assumptions'!$B$7, 0)</f>
        <v/>
      </c>
      <c r="P192" s="23" t="inlineStr">
        <is>
          <t>Single Carrier (Band n50, 100MHz TDD)</t>
        </is>
      </c>
      <c r="Q192" s="27">
        <f>ROUNDUP(O192/'Methodology &amp; Assumptions'!$B$8, 0)</f>
        <v/>
      </c>
      <c r="R192" s="27" t="n">
        <v>1</v>
      </c>
      <c r="S192" s="26" t="n">
        <v>2.09</v>
      </c>
      <c r="T192" s="26" t="n">
        <v>3.4</v>
      </c>
      <c r="U192" s="11">
        <f>IF(S192&lt;='Methodology &amp; Assumptions'!$B$10, "Direct Optical Drop (&lt;3km)", IF(S192&lt;='Methodology &amp; Assumptions'!$B$9, "Near Optical / Microwave (&lt;5km)", "Starlink Business LEO Satellite Backhaul (&gt;5km)"))</f>
        <v/>
      </c>
      <c r="V192" s="26" t="n">
        <v>70.2</v>
      </c>
      <c r="W192" s="26" t="n">
        <v>49.5</v>
      </c>
      <c r="X192" s="26">
        <f>ROUND(('Methodology &amp; Assumptions'!$B$5*V192) + ('Methodology &amp; Assumptions'!$B$6*W192), 2)</f>
        <v/>
      </c>
      <c r="Y192" s="28" t="n">
        <v>7.2</v>
      </c>
      <c r="Z192" s="11" t="inlineStr">
        <is>
          <t>Priority Tier 3 (Broadband Expansion)</t>
        </is>
      </c>
    </row>
    <row r="193">
      <c r="A193" s="23" t="n">
        <v>4</v>
      </c>
      <c r="B193" s="23" t="n">
        <v>189</v>
      </c>
      <c r="C193" s="23" t="n">
        <v>3189</v>
      </c>
      <c r="D193" s="23" t="inlineStr">
        <is>
          <t>0403418008</t>
        </is>
      </c>
      <c r="E193" s="11" t="inlineStr">
        <is>
          <t>Region IV-A (CALABARZON)</t>
        </is>
      </c>
      <c r="F193" s="11" t="inlineStr">
        <is>
          <t>Laguna</t>
        </is>
      </c>
      <c r="G193" s="11" t="inlineStr">
        <is>
          <t>Paete</t>
        </is>
      </c>
      <c r="H193" s="11" t="inlineStr">
        <is>
          <t>Maytoong</t>
        </is>
      </c>
      <c r="I193" s="24" t="n">
        <v>14.363649</v>
      </c>
      <c r="J193" s="24" t="n">
        <v>121.48224</v>
      </c>
      <c r="K193" s="23" t="inlineStr">
        <is>
          <t>R</t>
        </is>
      </c>
      <c r="L193" s="25" t="n">
        <v>1983</v>
      </c>
      <c r="M193" s="26" t="n">
        <v>3.3</v>
      </c>
      <c r="N193" s="25">
        <f>ROUND(L193/M193, 0)</f>
        <v/>
      </c>
      <c r="O193" s="25">
        <f>ROUND(N193*'Methodology &amp; Assumptions'!$B$7, 0)</f>
        <v/>
      </c>
      <c r="P193" s="23" t="inlineStr">
        <is>
          <t>Single Carrier (Band n50, 100MHz TDD)</t>
        </is>
      </c>
      <c r="Q193" s="27">
        <f>ROUNDUP(O193/'Methodology &amp; Assumptions'!$B$8, 0)</f>
        <v/>
      </c>
      <c r="R193" s="27" t="n">
        <v>1</v>
      </c>
      <c r="S193" s="26" t="n">
        <v>0.55</v>
      </c>
      <c r="T193" s="26" t="n">
        <v>0.34</v>
      </c>
      <c r="U193" s="11">
        <f>IF(S193&lt;='Methodology &amp; Assumptions'!$B$10, "Direct Optical Drop (&lt;3km)", IF(S193&lt;='Methodology &amp; Assumptions'!$B$9, "Near Optical / Microwave (&lt;5km)", "Starlink Business LEO Satellite Backhaul (&gt;5km)"))</f>
        <v/>
      </c>
      <c r="V193" s="26" t="n">
        <v>81.06</v>
      </c>
      <c r="W193" s="26" t="n">
        <v>38.62</v>
      </c>
      <c r="X193" s="26">
        <f>ROUND(('Methodology &amp; Assumptions'!$B$5*V193) + ('Methodology &amp; Assumptions'!$B$6*W193), 2)</f>
        <v/>
      </c>
      <c r="Y193" s="28" t="n">
        <v>7.2</v>
      </c>
      <c r="Z193" s="11" t="inlineStr">
        <is>
          <t>Priority Tier 3 (Broadband Expansion)</t>
        </is>
      </c>
    </row>
    <row r="194">
      <c r="A194" s="23" t="n">
        <v>4</v>
      </c>
      <c r="B194" s="23" t="n">
        <v>190</v>
      </c>
      <c r="C194" s="23" t="n">
        <v>3190</v>
      </c>
      <c r="D194" s="23" t="inlineStr">
        <is>
          <t>0402120018</t>
        </is>
      </c>
      <c r="E194" s="11" t="inlineStr">
        <is>
          <t>Region IV-A (CALABARZON)</t>
        </is>
      </c>
      <c r="F194" s="11" t="inlineStr">
        <is>
          <t>Cavite</t>
        </is>
      </c>
      <c r="G194" s="11" t="inlineStr">
        <is>
          <t>Tanza</t>
        </is>
      </c>
      <c r="H194" s="11" t="inlineStr">
        <is>
          <t>Barangay III</t>
        </is>
      </c>
      <c r="I194" s="24" t="n">
        <v>14.397977</v>
      </c>
      <c r="J194" s="24" t="n">
        <v>120.855834</v>
      </c>
      <c r="K194" s="23" t="inlineStr">
        <is>
          <t>R</t>
        </is>
      </c>
      <c r="L194" s="25" t="n">
        <v>1016</v>
      </c>
      <c r="M194" s="26" t="n">
        <v>3.4</v>
      </c>
      <c r="N194" s="25">
        <f>ROUND(L194/M194, 0)</f>
        <v/>
      </c>
      <c r="O194" s="25">
        <f>ROUND(N194*'Methodology &amp; Assumptions'!$B$7, 0)</f>
        <v/>
      </c>
      <c r="P194" s="23" t="inlineStr">
        <is>
          <t>Single Carrier (Band n50, 100MHz TDD)</t>
        </is>
      </c>
      <c r="Q194" s="27">
        <f>ROUNDUP(O194/'Methodology &amp; Assumptions'!$B$8, 0)</f>
        <v/>
      </c>
      <c r="R194" s="27" t="n">
        <v>1</v>
      </c>
      <c r="S194" s="26" t="n">
        <v>0.67</v>
      </c>
      <c r="T194" s="26" t="n">
        <v>0.55</v>
      </c>
      <c r="U194" s="11">
        <f>IF(S194&lt;='Methodology &amp; Assumptions'!$B$10, "Direct Optical Drop (&lt;3km)", IF(S194&lt;='Methodology &amp; Assumptions'!$B$9, "Near Optical / Microwave (&lt;5km)", "Starlink Business LEO Satellite Backhaul (&gt;5km)"))</f>
        <v/>
      </c>
      <c r="V194" s="26" t="n">
        <v>68.65000000000001</v>
      </c>
      <c r="W194" s="26" t="n">
        <v>51.03</v>
      </c>
      <c r="X194" s="26">
        <f>ROUND(('Methodology &amp; Assumptions'!$B$5*V194) + ('Methodology &amp; Assumptions'!$B$6*W194), 2)</f>
        <v/>
      </c>
      <c r="Y194" s="28" t="n">
        <v>7.2</v>
      </c>
      <c r="Z194" s="11" t="inlineStr">
        <is>
          <t>Priority Tier 3 (Broadband Expansion)</t>
        </is>
      </c>
    </row>
    <row r="195">
      <c r="A195" s="23" t="n">
        <v>4</v>
      </c>
      <c r="B195" s="23" t="n">
        <v>191</v>
      </c>
      <c r="C195" s="23" t="n">
        <v>3191</v>
      </c>
      <c r="D195" s="23" t="inlineStr">
        <is>
          <t>0405630023</t>
        </is>
      </c>
      <c r="E195" s="11" t="inlineStr">
        <is>
          <t>Region IV-A (CALABARZON)</t>
        </is>
      </c>
      <c r="F195" s="11" t="inlineStr">
        <is>
          <t>Quezon</t>
        </is>
      </c>
      <c r="G195" s="11" t="inlineStr">
        <is>
          <t>Pagbilao</t>
        </is>
      </c>
      <c r="H195" s="11" t="inlineStr">
        <is>
          <t>Barangay 5 Santa Catalina</t>
        </is>
      </c>
      <c r="I195" s="24" t="n">
        <v>13.972345</v>
      </c>
      <c r="J195" s="24" t="n">
        <v>121.686595</v>
      </c>
      <c r="K195" s="23" t="inlineStr">
        <is>
          <t>R</t>
        </is>
      </c>
      <c r="L195" s="25" t="n">
        <v>1107</v>
      </c>
      <c r="M195" s="26" t="n">
        <v>3.8</v>
      </c>
      <c r="N195" s="25">
        <f>ROUND(L195/M195, 0)</f>
        <v/>
      </c>
      <c r="O195" s="25">
        <f>ROUND(N195*'Methodology &amp; Assumptions'!$B$7, 0)</f>
        <v/>
      </c>
      <c r="P195" s="23" t="inlineStr">
        <is>
          <t>Single Carrier (Band n50, 100MHz TDD)</t>
        </is>
      </c>
      <c r="Q195" s="27">
        <f>ROUNDUP(O195/'Methodology &amp; Assumptions'!$B$8, 0)</f>
        <v/>
      </c>
      <c r="R195" s="27" t="n">
        <v>1</v>
      </c>
      <c r="S195" s="26" t="n">
        <v>0.51</v>
      </c>
      <c r="T195" s="26" t="n">
        <v>0.29</v>
      </c>
      <c r="U195" s="11">
        <f>IF(S195&lt;='Methodology &amp; Assumptions'!$B$10, "Direct Optical Drop (&lt;3km)", IF(S195&lt;='Methodology &amp; Assumptions'!$B$9, "Near Optical / Microwave (&lt;5km)", "Starlink Business LEO Satellite Backhaul (&gt;5km)"))</f>
        <v/>
      </c>
      <c r="V195" s="26" t="n">
        <v>68.31999999999999</v>
      </c>
      <c r="W195" s="26" t="n">
        <v>51.35</v>
      </c>
      <c r="X195" s="26">
        <f>ROUND(('Methodology &amp; Assumptions'!$B$5*V195) + ('Methodology &amp; Assumptions'!$B$6*W195), 2)</f>
        <v/>
      </c>
      <c r="Y195" s="28" t="n">
        <v>7.2</v>
      </c>
      <c r="Z195" s="11" t="inlineStr">
        <is>
          <t>Priority Tier 3 (Broadband Expansion)</t>
        </is>
      </c>
    </row>
    <row r="196">
      <c r="A196" s="23" t="n">
        <v>4</v>
      </c>
      <c r="B196" s="23" t="n">
        <v>192</v>
      </c>
      <c r="C196" s="23" t="n">
        <v>3192</v>
      </c>
      <c r="D196" s="23" t="inlineStr">
        <is>
          <t>0401029025</t>
        </is>
      </c>
      <c r="E196" s="11" t="inlineStr">
        <is>
          <t>Region IV-A (CALABARZON)</t>
        </is>
      </c>
      <c r="F196" s="11" t="inlineStr">
        <is>
          <t>Batangas</t>
        </is>
      </c>
      <c r="G196" s="11" t="inlineStr">
        <is>
          <t>Taal</t>
        </is>
      </c>
      <c r="H196" s="11" t="inlineStr">
        <is>
          <t>Poblacion 12</t>
        </is>
      </c>
      <c r="I196" s="24" t="n">
        <v>13.877875</v>
      </c>
      <c r="J196" s="24" t="n">
        <v>120.923446</v>
      </c>
      <c r="K196" s="23" t="inlineStr">
        <is>
          <t>R</t>
        </is>
      </c>
      <c r="L196" s="25" t="n">
        <v>245</v>
      </c>
      <c r="M196" s="26" t="n">
        <v>3.6</v>
      </c>
      <c r="N196" s="25">
        <f>ROUND(L196/M196, 0)</f>
        <v/>
      </c>
      <c r="O196" s="25">
        <f>ROUND(N196*'Methodology &amp; Assumptions'!$B$7, 0)</f>
        <v/>
      </c>
      <c r="P196" s="23" t="inlineStr">
        <is>
          <t>Single Carrier (Band n50, 100MHz TDD)</t>
        </is>
      </c>
      <c r="Q196" s="27">
        <f>ROUNDUP(O196/'Methodology &amp; Assumptions'!$B$8, 0)</f>
        <v/>
      </c>
      <c r="R196" s="27" t="n">
        <v>1</v>
      </c>
      <c r="S196" s="26" t="n">
        <v>0.73</v>
      </c>
      <c r="T196" s="26" t="n">
        <v>1.8</v>
      </c>
      <c r="U196" s="11">
        <f>IF(S196&lt;='Methodology &amp; Assumptions'!$B$10, "Direct Optical Drop (&lt;3km)", IF(S196&lt;='Methodology &amp; Assumptions'!$B$9, "Near Optical / Microwave (&lt;5km)", "Starlink Business LEO Satellite Backhaul (&gt;5km)"))</f>
        <v/>
      </c>
      <c r="V196" s="26" t="n">
        <v>61.03</v>
      </c>
      <c r="W196" s="26" t="n">
        <v>58.65</v>
      </c>
      <c r="X196" s="26">
        <f>ROUND(('Methodology &amp; Assumptions'!$B$5*V196) + ('Methodology &amp; Assumptions'!$B$6*W196), 2)</f>
        <v/>
      </c>
      <c r="Y196" s="28" t="n">
        <v>7.2</v>
      </c>
      <c r="Z196" s="11" t="inlineStr">
        <is>
          <t>Priority Tier 3 (Broadband Expansion)</t>
        </is>
      </c>
    </row>
    <row r="197">
      <c r="A197" s="23" t="n">
        <v>4</v>
      </c>
      <c r="B197" s="23" t="n">
        <v>193</v>
      </c>
      <c r="C197" s="23" t="n">
        <v>3193</v>
      </c>
      <c r="D197" s="23" t="inlineStr">
        <is>
          <t>1102303006</t>
        </is>
      </c>
      <c r="E197" s="11" t="inlineStr">
        <is>
          <t>Region XI (Davao Region)</t>
        </is>
      </c>
      <c r="F197" s="11" t="inlineStr">
        <is>
          <t>Davao del Norte</t>
        </is>
      </c>
      <c r="G197" s="11" t="inlineStr">
        <is>
          <t>Carmen</t>
        </is>
      </c>
      <c r="H197" s="11" t="inlineStr">
        <is>
          <t>Guadalupe</t>
        </is>
      </c>
      <c r="I197" s="24" t="n">
        <v>7.37713</v>
      </c>
      <c r="J197" s="24" t="n">
        <v>125.74205</v>
      </c>
      <c r="K197" s="23" t="inlineStr">
        <is>
          <t>R</t>
        </is>
      </c>
      <c r="L197" s="25" t="n">
        <v>3203</v>
      </c>
      <c r="M197" s="26" t="n">
        <v>3.7</v>
      </c>
      <c r="N197" s="25">
        <f>ROUND(L197/M197, 0)</f>
        <v/>
      </c>
      <c r="O197" s="25">
        <f>ROUND(N197*'Methodology &amp; Assumptions'!$B$7, 0)</f>
        <v/>
      </c>
      <c r="P197" s="23" t="inlineStr">
        <is>
          <t>Single Carrier (Band n50, 100MHz TDD)</t>
        </is>
      </c>
      <c r="Q197" s="27">
        <f>ROUNDUP(O197/'Methodology &amp; Assumptions'!$B$8, 0)</f>
        <v/>
      </c>
      <c r="R197" s="27" t="n">
        <v>1</v>
      </c>
      <c r="S197" s="26" t="n">
        <v>0.86</v>
      </c>
      <c r="T197" s="26" t="n">
        <v>0.18</v>
      </c>
      <c r="U197" s="11">
        <f>IF(S197&lt;='Methodology &amp; Assumptions'!$B$10, "Direct Optical Drop (&lt;3km)", IF(S197&lt;='Methodology &amp; Assumptions'!$B$9, "Near Optical / Microwave (&lt;5km)", "Starlink Business LEO Satellite Backhaul (&gt;5km)"))</f>
        <v/>
      </c>
      <c r="V197" s="26" t="n">
        <v>86.98999999999999</v>
      </c>
      <c r="W197" s="26" t="n">
        <v>32.66</v>
      </c>
      <c r="X197" s="26">
        <f>ROUND(('Methodology &amp; Assumptions'!$B$5*V197) + ('Methodology &amp; Assumptions'!$B$6*W197), 2)</f>
        <v/>
      </c>
      <c r="Y197" s="28" t="n">
        <v>17.4</v>
      </c>
      <c r="Z197" s="11" t="inlineStr">
        <is>
          <t>Priority Tier 3 (Broadband Expansion)</t>
        </is>
      </c>
    </row>
    <row r="198">
      <c r="A198" s="23" t="n">
        <v>4</v>
      </c>
      <c r="B198" s="23" t="n">
        <v>194</v>
      </c>
      <c r="C198" s="23" t="n">
        <v>3194</v>
      </c>
      <c r="D198" s="23" t="inlineStr">
        <is>
          <t>0103311010</t>
        </is>
      </c>
      <c r="E198" s="11" t="inlineStr">
        <is>
          <t>Region I (Ilocos Region)</t>
        </is>
      </c>
      <c r="F198" s="11" t="inlineStr">
        <is>
          <t>La Union</t>
        </is>
      </c>
      <c r="G198" s="11" t="inlineStr">
        <is>
          <t>Naguilian</t>
        </is>
      </c>
      <c r="H198" s="11" t="inlineStr">
        <is>
          <t>Baraoas Sur</t>
        </is>
      </c>
      <c r="I198" s="24" t="n">
        <v>16.542552</v>
      </c>
      <c r="J198" s="24" t="n">
        <v>120.390802</v>
      </c>
      <c r="K198" s="23" t="inlineStr">
        <is>
          <t>R</t>
        </is>
      </c>
      <c r="L198" s="25" t="n">
        <v>3554</v>
      </c>
      <c r="M198" s="26" t="n">
        <v>3.7</v>
      </c>
      <c r="N198" s="25">
        <f>ROUND(L198/M198, 0)</f>
        <v/>
      </c>
      <c r="O198" s="25">
        <f>ROUND(N198*'Methodology &amp; Assumptions'!$B$7, 0)</f>
        <v/>
      </c>
      <c r="P198" s="23" t="inlineStr">
        <is>
          <t>Single Carrier (Band n50, 100MHz TDD)</t>
        </is>
      </c>
      <c r="Q198" s="27">
        <f>ROUNDUP(O198/'Methodology &amp; Assumptions'!$B$8, 0)</f>
        <v/>
      </c>
      <c r="R198" s="27" t="n">
        <v>1</v>
      </c>
      <c r="S198" s="26" t="n">
        <v>1.79</v>
      </c>
      <c r="T198" s="26" t="n">
        <v>1.31</v>
      </c>
      <c r="U198" s="11">
        <f>IF(S198&lt;='Methodology &amp; Assumptions'!$B$10, "Direct Optical Drop (&lt;3km)", IF(S198&lt;='Methodology &amp; Assumptions'!$B$9, "Near Optical / Microwave (&lt;5km)", "Starlink Business LEO Satellite Backhaul (&gt;5km)"))</f>
        <v/>
      </c>
      <c r="V198" s="26" t="n">
        <v>82.11</v>
      </c>
      <c r="W198" s="26" t="n">
        <v>37.56</v>
      </c>
      <c r="X198" s="26">
        <f>ROUND(('Methodology &amp; Assumptions'!$B$5*V198) + ('Methodology &amp; Assumptions'!$B$6*W198), 2)</f>
        <v/>
      </c>
      <c r="Y198" s="28" t="n">
        <v>8.300000000000001</v>
      </c>
      <c r="Z198" s="11" t="inlineStr">
        <is>
          <t>Priority Tier 3 (Broadband Expansion)</t>
        </is>
      </c>
    </row>
    <row r="199">
      <c r="A199" s="23" t="n">
        <v>4</v>
      </c>
      <c r="B199" s="23" t="n">
        <v>195</v>
      </c>
      <c r="C199" s="23" t="n">
        <v>3195</v>
      </c>
      <c r="D199" s="23" t="inlineStr">
        <is>
          <t>0604528033</t>
        </is>
      </c>
      <c r="E199" s="11" t="inlineStr">
        <is>
          <t>Region VI (Western Visayas)</t>
        </is>
      </c>
      <c r="F199" s="11" t="inlineStr">
        <is>
          <t>Negros Occidental</t>
        </is>
      </c>
      <c r="G199" s="11" t="inlineStr">
        <is>
          <t>City of Talisay</t>
        </is>
      </c>
      <c r="H199" s="11" t="inlineStr">
        <is>
          <t>Zone 14-A</t>
        </is>
      </c>
      <c r="I199" s="24" t="n">
        <v>10.731447</v>
      </c>
      <c r="J199" s="24" t="n">
        <v>122.968221</v>
      </c>
      <c r="K199" s="23" t="inlineStr">
        <is>
          <t>R</t>
        </is>
      </c>
      <c r="L199" s="25" t="n">
        <v>973</v>
      </c>
      <c r="M199" s="26" t="n">
        <v>3.7</v>
      </c>
      <c r="N199" s="25">
        <f>ROUND(L199/M199, 0)</f>
        <v/>
      </c>
      <c r="O199" s="25">
        <f>ROUND(N199*'Methodology &amp; Assumptions'!$B$7, 0)</f>
        <v/>
      </c>
      <c r="P199" s="23" t="inlineStr">
        <is>
          <t>Single Carrier (Band n50, 100MHz TDD)</t>
        </is>
      </c>
      <c r="Q199" s="27">
        <f>ROUNDUP(O199/'Methodology &amp; Assumptions'!$B$8, 0)</f>
        <v/>
      </c>
      <c r="R199" s="27" t="n">
        <v>1</v>
      </c>
      <c r="S199" s="26" t="n">
        <v>1.02</v>
      </c>
      <c r="T199" s="26" t="n">
        <v>0.38</v>
      </c>
      <c r="U199" s="11">
        <f>IF(S199&lt;='Methodology &amp; Assumptions'!$B$10, "Direct Optical Drop (&lt;3km)", IF(S199&lt;='Methodology &amp; Assumptions'!$B$9, "Near Optical / Microwave (&lt;5km)", "Starlink Business LEO Satellite Backhaul (&gt;5km)"))</f>
        <v/>
      </c>
      <c r="V199" s="26" t="n">
        <v>68.76000000000001</v>
      </c>
      <c r="W199" s="26" t="n">
        <v>50.9</v>
      </c>
      <c r="X199" s="26">
        <f>ROUND(('Methodology &amp; Assumptions'!$B$5*V199) + ('Methodology &amp; Assumptions'!$B$6*W199), 2)</f>
        <v/>
      </c>
      <c r="Y199" s="28" t="n">
        <v>23.7</v>
      </c>
      <c r="Z199" s="11" t="inlineStr">
        <is>
          <t>Priority Tier 3 (Broadband Expansion)</t>
        </is>
      </c>
    </row>
    <row r="200">
      <c r="A200" s="23" t="n">
        <v>4</v>
      </c>
      <c r="B200" s="23" t="n">
        <v>196</v>
      </c>
      <c r="C200" s="23" t="n">
        <v>3196</v>
      </c>
      <c r="D200" s="23" t="inlineStr">
        <is>
          <t>1380614083</t>
        </is>
      </c>
      <c r="E200" s="11" t="inlineStr">
        <is>
          <t>National Capital Region (NCR)</t>
        </is>
      </c>
      <c r="F200" s="11" t="inlineStr">
        <is>
          <t>First District (Not a Province)</t>
        </is>
      </c>
      <c r="G200" s="11" t="inlineStr">
        <is>
          <t>City of Manila</t>
        </is>
      </c>
      <c r="H200" s="11" t="inlineStr">
        <is>
          <t>Barangay 890</t>
        </is>
      </c>
      <c r="I200" s="24" t="n">
        <v>14.585178</v>
      </c>
      <c r="J200" s="24" t="n">
        <v>121.01595</v>
      </c>
      <c r="K200" s="23" t="inlineStr">
        <is>
          <t>U</t>
        </is>
      </c>
      <c r="L200" s="25" t="n">
        <v>1063</v>
      </c>
      <c r="M200" s="26" t="n">
        <v>3.54</v>
      </c>
      <c r="N200" s="25">
        <f>ROUND(L200/M200, 0)</f>
        <v/>
      </c>
      <c r="O200" s="25">
        <f>ROUND(N200*'Methodology &amp; Assumptions'!$B$7, 0)</f>
        <v/>
      </c>
      <c r="P200" s="23" t="inlineStr">
        <is>
          <t>Single Carrier (Band n50, 100MHz TDD)</t>
        </is>
      </c>
      <c r="Q200" s="27">
        <f>ROUNDUP(O200/'Methodology &amp; Assumptions'!$B$8, 0)</f>
        <v/>
      </c>
      <c r="R200" s="27" t="n">
        <v>1</v>
      </c>
      <c r="S200" s="26" t="n">
        <v>1.31</v>
      </c>
      <c r="T200" s="26" t="n">
        <v>0.22</v>
      </c>
      <c r="U200" s="11">
        <f>IF(S200&lt;='Methodology &amp; Assumptions'!$B$10, "Direct Optical Drop (&lt;3km)", IF(S200&lt;='Methodology &amp; Assumptions'!$B$9, "Near Optical / Microwave (&lt;5km)", "Starlink Business LEO Satellite Backhaul (&gt;5km)"))</f>
        <v/>
      </c>
      <c r="V200" s="26" t="n">
        <v>48.93</v>
      </c>
      <c r="W200" s="26" t="n">
        <v>70.73999999999999</v>
      </c>
      <c r="X200" s="26">
        <f>ROUND(('Methodology &amp; Assumptions'!$B$5*V200) + ('Methodology &amp; Assumptions'!$B$6*W200), 2)</f>
        <v/>
      </c>
      <c r="Y200" s="28" t="n">
        <v>10.9</v>
      </c>
      <c r="Z200" s="11" t="inlineStr">
        <is>
          <t>Priority Tier 3 (Broadband Expansion)</t>
        </is>
      </c>
    </row>
    <row r="201">
      <c r="A201" s="23" t="n">
        <v>4</v>
      </c>
      <c r="B201" s="23" t="n">
        <v>197</v>
      </c>
      <c r="C201" s="23" t="n">
        <v>3197</v>
      </c>
      <c r="D201" s="23" t="inlineStr">
        <is>
          <t>0403414007</t>
        </is>
      </c>
      <c r="E201" s="11" t="inlineStr">
        <is>
          <t>Region IV-A (CALABARZON)</t>
        </is>
      </c>
      <c r="F201" s="11" t="inlineStr">
        <is>
          <t>Laguna</t>
        </is>
      </c>
      <c r="G201" s="11" t="inlineStr">
        <is>
          <t>Mabitac</t>
        </is>
      </c>
      <c r="H201" s="11" t="inlineStr">
        <is>
          <t>Paagahan</t>
        </is>
      </c>
      <c r="I201" s="24" t="n">
        <v>14.444853</v>
      </c>
      <c r="J201" s="24" t="n">
        <v>121.401575</v>
      </c>
      <c r="K201" s="23" t="inlineStr">
        <is>
          <t>R</t>
        </is>
      </c>
      <c r="L201" s="25" t="n">
        <v>4432</v>
      </c>
      <c r="M201" s="26" t="n">
        <v>3.3</v>
      </c>
      <c r="N201" s="25">
        <f>ROUND(L201/M201, 0)</f>
        <v/>
      </c>
      <c r="O201" s="25">
        <f>ROUND(N201*'Methodology &amp; Assumptions'!$B$7, 0)</f>
        <v/>
      </c>
      <c r="P201" s="23" t="inlineStr">
        <is>
          <t>Single Carrier (Band n50, 100MHz TDD)</t>
        </is>
      </c>
      <c r="Q201" s="27">
        <f>ROUNDUP(O201/'Methodology &amp; Assumptions'!$B$8, 0)</f>
        <v/>
      </c>
      <c r="R201" s="27" t="n">
        <v>1</v>
      </c>
      <c r="S201" s="26" t="n">
        <v>3.17</v>
      </c>
      <c r="T201" s="26" t="n">
        <v>0.22</v>
      </c>
      <c r="U201" s="11">
        <f>IF(S201&lt;='Methodology &amp; Assumptions'!$B$10, "Direct Optical Drop (&lt;3km)", IF(S201&lt;='Methodology &amp; Assumptions'!$B$9, "Near Optical / Microwave (&lt;5km)", "Starlink Business LEO Satellite Backhaul (&gt;5km)"))</f>
        <v/>
      </c>
      <c r="V201" s="26" t="n">
        <v>80.23</v>
      </c>
      <c r="W201" s="26" t="n">
        <v>39.41</v>
      </c>
      <c r="X201" s="26">
        <f>ROUND(('Methodology &amp; Assumptions'!$B$5*V201) + ('Methodology &amp; Assumptions'!$B$6*W201), 2)</f>
        <v/>
      </c>
      <c r="Y201" s="28" t="n">
        <v>7.2</v>
      </c>
      <c r="Z201" s="11" t="inlineStr">
        <is>
          <t>Priority Tier 3 (Broadband Expansion)</t>
        </is>
      </c>
    </row>
    <row r="202">
      <c r="A202" s="23" t="n">
        <v>4</v>
      </c>
      <c r="B202" s="23" t="n">
        <v>198</v>
      </c>
      <c r="C202" s="23" t="n">
        <v>3198</v>
      </c>
      <c r="D202" s="23" t="inlineStr">
        <is>
          <t>0300811027</t>
        </is>
      </c>
      <c r="E202" s="11" t="inlineStr">
        <is>
          <t>Region III (Central Luzon)</t>
        </is>
      </c>
      <c r="F202" s="11" t="inlineStr">
        <is>
          <t>Bataan</t>
        </is>
      </c>
      <c r="G202" s="11" t="inlineStr">
        <is>
          <t>Pilar</t>
        </is>
      </c>
      <c r="H202" s="11" t="inlineStr">
        <is>
          <t>Wawa</t>
        </is>
      </c>
      <c r="I202" s="24" t="n">
        <v>14.562562</v>
      </c>
      <c r="J202" s="24" t="n">
        <v>120.598416</v>
      </c>
      <c r="K202" s="23" t="inlineStr">
        <is>
          <t>R</t>
        </is>
      </c>
      <c r="L202" s="25" t="n">
        <v>2391</v>
      </c>
      <c r="M202" s="26" t="n">
        <v>3.6</v>
      </c>
      <c r="N202" s="25">
        <f>ROUND(L202/M202, 0)</f>
        <v/>
      </c>
      <c r="O202" s="25">
        <f>ROUND(N202*'Methodology &amp; Assumptions'!$B$7, 0)</f>
        <v/>
      </c>
      <c r="P202" s="23" t="inlineStr">
        <is>
          <t>Single Carrier (Band n50, 100MHz TDD)</t>
        </is>
      </c>
      <c r="Q202" s="27">
        <f>ROUNDUP(O202/'Methodology &amp; Assumptions'!$B$8, 0)</f>
        <v/>
      </c>
      <c r="R202" s="27" t="n">
        <v>1</v>
      </c>
      <c r="S202" s="26" t="n">
        <v>1.51</v>
      </c>
      <c r="T202" s="26" t="n">
        <v>0.35</v>
      </c>
      <c r="U202" s="11">
        <f>IF(S202&lt;='Methodology &amp; Assumptions'!$B$10, "Direct Optical Drop (&lt;3km)", IF(S202&lt;='Methodology &amp; Assumptions'!$B$9, "Near Optical / Microwave (&lt;5km)", "Starlink Business LEO Satellite Backhaul (&gt;5km)"))</f>
        <v/>
      </c>
      <c r="V202" s="26" t="n">
        <v>78.05</v>
      </c>
      <c r="W202" s="26" t="n">
        <v>41.6</v>
      </c>
      <c r="X202" s="26">
        <f>ROUND(('Methodology &amp; Assumptions'!$B$5*V202) + ('Methodology &amp; Assumptions'!$B$6*W202), 2)</f>
        <v/>
      </c>
      <c r="Y202" s="28" t="n">
        <v>8.300000000000001</v>
      </c>
      <c r="Z202" s="11" t="inlineStr">
        <is>
          <t>Priority Tier 3 (Broadband Expansion)</t>
        </is>
      </c>
    </row>
    <row r="203">
      <c r="A203" s="23" t="n">
        <v>4</v>
      </c>
      <c r="B203" s="23" t="n">
        <v>199</v>
      </c>
      <c r="C203" s="23" t="n">
        <v>3199</v>
      </c>
      <c r="D203" s="23" t="inlineStr">
        <is>
          <t>1380601169</t>
        </is>
      </c>
      <c r="E203" s="11" t="inlineStr">
        <is>
          <t>National Capital Region (NCR)</t>
        </is>
      </c>
      <c r="F203" s="11" t="inlineStr">
        <is>
          <t>First District (Not a Province)</t>
        </is>
      </c>
      <c r="G203" s="11" t="inlineStr">
        <is>
          <t>City of Manila</t>
        </is>
      </c>
      <c r="H203" s="11" t="inlineStr">
        <is>
          <t>Barangay 169</t>
        </is>
      </c>
      <c r="I203" s="24" t="n">
        <v>14.625123</v>
      </c>
      <c r="J203" s="24" t="n">
        <v>120.969801</v>
      </c>
      <c r="K203" s="23" t="inlineStr">
        <is>
          <t>U</t>
        </is>
      </c>
      <c r="L203" s="25" t="n">
        <v>1100</v>
      </c>
      <c r="M203" s="26" t="n">
        <v>4.51</v>
      </c>
      <c r="N203" s="25">
        <f>ROUND(L203/M203, 0)</f>
        <v/>
      </c>
      <c r="O203" s="25">
        <f>ROUND(N203*'Methodology &amp; Assumptions'!$B$7, 0)</f>
        <v/>
      </c>
      <c r="P203" s="23" t="inlineStr">
        <is>
          <t>Single Carrier (Band n50, 100MHz TDD)</t>
        </is>
      </c>
      <c r="Q203" s="27">
        <f>ROUNDUP(O203/'Methodology &amp; Assumptions'!$B$8, 0)</f>
        <v/>
      </c>
      <c r="R203" s="27" t="n">
        <v>1</v>
      </c>
      <c r="S203" s="26" t="n">
        <v>0.43</v>
      </c>
      <c r="T203" s="26" t="n">
        <v>0.31</v>
      </c>
      <c r="U203" s="11">
        <f>IF(S203&lt;='Methodology &amp; Assumptions'!$B$10, "Direct Optical Drop (&lt;3km)", IF(S203&lt;='Methodology &amp; Assumptions'!$B$9, "Near Optical / Microwave (&lt;5km)", "Starlink Business LEO Satellite Backhaul (&gt;5km)"))</f>
        <v/>
      </c>
      <c r="V203" s="26" t="n">
        <v>48.91</v>
      </c>
      <c r="W203" s="26" t="n">
        <v>70.72</v>
      </c>
      <c r="X203" s="26">
        <f>ROUND(('Methodology &amp; Assumptions'!$B$5*V203) + ('Methodology &amp; Assumptions'!$B$6*W203), 2)</f>
        <v/>
      </c>
      <c r="Y203" s="28" t="n">
        <v>10.9</v>
      </c>
      <c r="Z203" s="11" t="inlineStr">
        <is>
          <t>Priority Tier 3 (Broadband Expansion)</t>
        </is>
      </c>
    </row>
    <row r="204">
      <c r="A204" s="23" t="n">
        <v>4</v>
      </c>
      <c r="B204" s="23" t="n">
        <v>200</v>
      </c>
      <c r="C204" s="23" t="n">
        <v>3200</v>
      </c>
      <c r="D204" s="23" t="inlineStr">
        <is>
          <t>1908816006</t>
        </is>
      </c>
      <c r="E204" s="11" t="inlineStr">
        <is>
          <t>Bangsamoro Autonomous Region In Muslim Mindanao (BARMM)</t>
        </is>
      </c>
      <c r="F204" s="11" t="inlineStr">
        <is>
          <t>Maguindanao del Sur</t>
        </is>
      </c>
      <c r="G204" s="11" t="inlineStr">
        <is>
          <t>Pagalungan</t>
        </is>
      </c>
      <c r="H204" s="11" t="inlineStr">
        <is>
          <t>Inug-ug</t>
        </is>
      </c>
      <c r="I204" s="24" t="n">
        <v>7.037239</v>
      </c>
      <c r="J204" s="24" t="n">
        <v>124.727113</v>
      </c>
      <c r="K204" s="23" t="inlineStr">
        <is>
          <t>R</t>
        </is>
      </c>
      <c r="L204" s="25" t="n">
        <v>2498</v>
      </c>
      <c r="M204" s="26" t="n">
        <v>4.7</v>
      </c>
      <c r="N204" s="25">
        <f>ROUND(L204/M204, 0)</f>
        <v/>
      </c>
      <c r="O204" s="25">
        <f>ROUND(N204*'Methodology &amp; Assumptions'!$B$7, 0)</f>
        <v/>
      </c>
      <c r="P204" s="23" t="inlineStr">
        <is>
          <t>Single Carrier (Band n50, 100MHz TDD)</t>
        </is>
      </c>
      <c r="Q204" s="27">
        <f>ROUNDUP(O204/'Methodology &amp; Assumptions'!$B$8, 0)</f>
        <v/>
      </c>
      <c r="R204" s="27" t="n">
        <v>1</v>
      </c>
      <c r="S204" s="26" t="n">
        <v>19.94</v>
      </c>
      <c r="T204" s="26" t="n">
        <v>12.28</v>
      </c>
      <c r="U204" s="11">
        <f>IF(S204&lt;='Methodology &amp; Assumptions'!$B$10, "Direct Optical Drop (&lt;3km)", IF(S204&lt;='Methodology &amp; Assumptions'!$B$9, "Near Optical / Microwave (&lt;5km)", "Starlink Business LEO Satellite Backhaul (&gt;5km)"))</f>
        <v/>
      </c>
      <c r="V204" s="26" t="n">
        <v>48.08</v>
      </c>
      <c r="W204" s="26" t="n">
        <v>71.56</v>
      </c>
      <c r="X204" s="26">
        <f>ROUND(('Methodology &amp; Assumptions'!$B$5*V204) + ('Methodology &amp; Assumptions'!$B$6*W204), 2)</f>
        <v/>
      </c>
      <c r="Y204" s="28" t="n">
        <v>11</v>
      </c>
      <c r="Z204" s="11" t="inlineStr">
        <is>
          <t>Priority Tier 3 (Broadband Expansion)</t>
        </is>
      </c>
    </row>
    <row r="205">
      <c r="A205" s="23" t="n">
        <v>4</v>
      </c>
      <c r="B205" s="23" t="n">
        <v>201</v>
      </c>
      <c r="C205" s="23" t="n">
        <v>3201</v>
      </c>
      <c r="D205" s="23" t="inlineStr">
        <is>
          <t>0305413035</t>
        </is>
      </c>
      <c r="E205" s="11" t="inlineStr">
        <is>
          <t>Region III (Central Luzon)</t>
        </is>
      </c>
      <c r="F205" s="11" t="inlineStr">
        <is>
          <t>Pampanga</t>
        </is>
      </c>
      <c r="G205" s="11" t="inlineStr">
        <is>
          <t>Mexico</t>
        </is>
      </c>
      <c r="H205" s="11" t="inlineStr">
        <is>
          <t>San Pablo</t>
        </is>
      </c>
      <c r="I205" s="24" t="n">
        <v>15.069403</v>
      </c>
      <c r="J205" s="24" t="n">
        <v>120.737428</v>
      </c>
      <c r="K205" s="23" t="inlineStr">
        <is>
          <t>R</t>
        </is>
      </c>
      <c r="L205" s="25" t="n">
        <v>3071</v>
      </c>
      <c r="M205" s="26" t="n">
        <v>4</v>
      </c>
      <c r="N205" s="25">
        <f>ROUND(L205/M205, 0)</f>
        <v/>
      </c>
      <c r="O205" s="25">
        <f>ROUND(N205*'Methodology &amp; Assumptions'!$B$7, 0)</f>
        <v/>
      </c>
      <c r="P205" s="23" t="inlineStr">
        <is>
          <t>Single Carrier (Band n50, 100MHz TDD)</t>
        </is>
      </c>
      <c r="Q205" s="27">
        <f>ROUNDUP(O205/'Methodology &amp; Assumptions'!$B$8, 0)</f>
        <v/>
      </c>
      <c r="R205" s="27" t="n">
        <v>1</v>
      </c>
      <c r="S205" s="26" t="n">
        <v>0.49</v>
      </c>
      <c r="T205" s="26" t="n">
        <v>0.05</v>
      </c>
      <c r="U205" s="11">
        <f>IF(S205&lt;='Methodology &amp; Assumptions'!$B$10, "Direct Optical Drop (&lt;3km)", IF(S205&lt;='Methodology &amp; Assumptions'!$B$9, "Near Optical / Microwave (&lt;5km)", "Starlink Business LEO Satellite Backhaul (&gt;5km)"))</f>
        <v/>
      </c>
      <c r="V205" s="26" t="n">
        <v>83.94</v>
      </c>
      <c r="W205" s="26" t="n">
        <v>35.69</v>
      </c>
      <c r="X205" s="26">
        <f>ROUND(('Methodology &amp; Assumptions'!$B$5*V205) + ('Methodology &amp; Assumptions'!$B$6*W205), 2)</f>
        <v/>
      </c>
      <c r="Y205" s="28" t="n">
        <v>8.300000000000001</v>
      </c>
      <c r="Z205" s="11" t="inlineStr">
        <is>
          <t>Priority Tier 3 (Broadband Expansion)</t>
        </is>
      </c>
    </row>
    <row r="206">
      <c r="A206" s="23" t="n">
        <v>4</v>
      </c>
      <c r="B206" s="23" t="n">
        <v>202</v>
      </c>
      <c r="C206" s="23" t="n">
        <v>3202</v>
      </c>
      <c r="D206" s="23" t="inlineStr">
        <is>
          <t>0405623006</t>
        </is>
      </c>
      <c r="E206" s="11" t="inlineStr">
        <is>
          <t>Region IV-A (CALABARZON)</t>
        </is>
      </c>
      <c r="F206" s="11" t="inlineStr">
        <is>
          <t>Quezon</t>
        </is>
      </c>
      <c r="G206" s="11" t="inlineStr">
        <is>
          <t>Lucban</t>
        </is>
      </c>
      <c r="H206" s="11" t="inlineStr">
        <is>
          <t>Barangay 3</t>
        </is>
      </c>
      <c r="I206" s="24" t="n">
        <v>14.116607</v>
      </c>
      <c r="J206" s="24" t="n">
        <v>121.550338</v>
      </c>
      <c r="K206" s="23" t="inlineStr">
        <is>
          <t>R</t>
        </is>
      </c>
      <c r="L206" s="25" t="n">
        <v>1547</v>
      </c>
      <c r="M206" s="26" t="n">
        <v>3.8</v>
      </c>
      <c r="N206" s="25">
        <f>ROUND(L206/M206, 0)</f>
        <v/>
      </c>
      <c r="O206" s="25">
        <f>ROUND(N206*'Methodology &amp; Assumptions'!$B$7, 0)</f>
        <v/>
      </c>
      <c r="P206" s="23" t="inlineStr">
        <is>
          <t>Single Carrier (Band n50, 100MHz TDD)</t>
        </is>
      </c>
      <c r="Q206" s="27">
        <f>ROUNDUP(O206/'Methodology &amp; Assumptions'!$B$8, 0)</f>
        <v/>
      </c>
      <c r="R206" s="27" t="n">
        <v>1</v>
      </c>
      <c r="S206" s="26" t="n">
        <v>0.9</v>
      </c>
      <c r="T206" s="26" t="n">
        <v>0.11</v>
      </c>
      <c r="U206" s="11">
        <f>IF(S206&lt;='Methodology &amp; Assumptions'!$B$10, "Direct Optical Drop (&lt;3km)", IF(S206&lt;='Methodology &amp; Assumptions'!$B$9, "Near Optical / Microwave (&lt;5km)", "Starlink Business LEO Satellite Backhaul (&gt;5km)"))</f>
        <v/>
      </c>
      <c r="V206" s="26" t="n">
        <v>71.91</v>
      </c>
      <c r="W206" s="26" t="n">
        <v>47.71</v>
      </c>
      <c r="X206" s="26">
        <f>ROUND(('Methodology &amp; Assumptions'!$B$5*V206) + ('Methodology &amp; Assumptions'!$B$6*W206), 2)</f>
        <v/>
      </c>
      <c r="Y206" s="28" t="n">
        <v>7.2</v>
      </c>
      <c r="Z206" s="11" t="inlineStr">
        <is>
          <t>Priority Tier 3 (Broadband Expansion)</t>
        </is>
      </c>
    </row>
    <row r="207">
      <c r="A207" s="23" t="n">
        <v>4</v>
      </c>
      <c r="B207" s="23" t="n">
        <v>203</v>
      </c>
      <c r="C207" s="23" t="n">
        <v>3203</v>
      </c>
      <c r="D207" s="23" t="inlineStr">
        <is>
          <t>0301410043</t>
        </is>
      </c>
      <c r="E207" s="11" t="inlineStr">
        <is>
          <t>Region III (Central Luzon)</t>
        </is>
      </c>
      <c r="F207" s="11" t="inlineStr">
        <is>
          <t>Bulacan</t>
        </is>
      </c>
      <c r="G207" s="11" t="inlineStr">
        <is>
          <t>City of Malolos</t>
        </is>
      </c>
      <c r="H207" s="11" t="inlineStr">
        <is>
          <t>San Juan</t>
        </is>
      </c>
      <c r="I207" s="24" t="n">
        <v>14.815823</v>
      </c>
      <c r="J207" s="24" t="n">
        <v>120.913673</v>
      </c>
      <c r="K207" s="23" t="inlineStr">
        <is>
          <t>U</t>
        </is>
      </c>
      <c r="L207" s="25" t="n">
        <v>4773</v>
      </c>
      <c r="M207" s="26" t="n">
        <v>3.5</v>
      </c>
      <c r="N207" s="25">
        <f>ROUND(L207/M207, 0)</f>
        <v/>
      </c>
      <c r="O207" s="25">
        <f>ROUND(N207*'Methodology &amp; Assumptions'!$B$7, 0)</f>
        <v/>
      </c>
      <c r="P207" s="23" t="inlineStr">
        <is>
          <t>Single Carrier (Band n50, 100MHz TDD)</t>
        </is>
      </c>
      <c r="Q207" s="27">
        <f>ROUNDUP(O207/'Methodology &amp; Assumptions'!$B$8, 0)</f>
        <v/>
      </c>
      <c r="R207" s="27" t="n">
        <v>1</v>
      </c>
      <c r="S207" s="26" t="n">
        <v>4.42</v>
      </c>
      <c r="T207" s="26" t="n">
        <v>0.3</v>
      </c>
      <c r="U207" s="11">
        <f>IF(S207&lt;='Methodology &amp; Assumptions'!$B$10, "Direct Optical Drop (&lt;3km)", IF(S207&lt;='Methodology &amp; Assumptions'!$B$9, "Near Optical / Microwave (&lt;5km)", "Starlink Business LEO Satellite Backhaul (&gt;5km)"))</f>
        <v/>
      </c>
      <c r="V207" s="26" t="n">
        <v>68</v>
      </c>
      <c r="W207" s="26" t="n">
        <v>51.62</v>
      </c>
      <c r="X207" s="26">
        <f>ROUND(('Methodology &amp; Assumptions'!$B$5*V207) + ('Methodology &amp; Assumptions'!$B$6*W207), 2)</f>
        <v/>
      </c>
      <c r="Y207" s="28" t="n">
        <v>8.300000000000001</v>
      </c>
      <c r="Z207" s="11" t="inlineStr">
        <is>
          <t>Priority Tier 3 (Broadband Expansion)</t>
        </is>
      </c>
    </row>
    <row r="208">
      <c r="A208" s="23" t="n">
        <v>4</v>
      </c>
      <c r="B208" s="23" t="n">
        <v>204</v>
      </c>
      <c r="C208" s="23" t="n">
        <v>3204</v>
      </c>
      <c r="D208" s="23" t="inlineStr">
        <is>
          <t>0307706005</t>
        </is>
      </c>
      <c r="E208" s="11" t="inlineStr">
        <is>
          <t>Region III (Central Luzon)</t>
        </is>
      </c>
      <c r="F208" s="11" t="inlineStr">
        <is>
          <t>Aurora</t>
        </is>
      </c>
      <c r="G208" s="11" t="inlineStr">
        <is>
          <t>Dipaculao</t>
        </is>
      </c>
      <c r="H208" s="11" t="inlineStr">
        <is>
          <t>Dianed</t>
        </is>
      </c>
      <c r="I208" s="24" t="n">
        <v>16.01734</v>
      </c>
      <c r="J208" s="24" t="n">
        <v>121.6169</v>
      </c>
      <c r="K208" s="23" t="inlineStr">
        <is>
          <t>R</t>
        </is>
      </c>
      <c r="L208" s="25" t="n">
        <v>577</v>
      </c>
      <c r="M208" s="26" t="n">
        <v>3.8</v>
      </c>
      <c r="N208" s="25">
        <f>ROUND(L208/M208, 0)</f>
        <v/>
      </c>
      <c r="O208" s="25">
        <f>ROUND(N208*'Methodology &amp; Assumptions'!$B$7, 0)</f>
        <v/>
      </c>
      <c r="P208" s="23" t="inlineStr">
        <is>
          <t>Single Carrier (Band n50, 100MHz TDD)</t>
        </is>
      </c>
      <c r="Q208" s="27">
        <f>ROUNDUP(O208/'Methodology &amp; Assumptions'!$B$8, 0)</f>
        <v/>
      </c>
      <c r="R208" s="27" t="n">
        <v>1</v>
      </c>
      <c r="S208" s="26" t="n">
        <v>17.49</v>
      </c>
      <c r="T208" s="26" t="n">
        <v>4.04</v>
      </c>
      <c r="U208" s="11">
        <f>IF(S208&lt;='Methodology &amp; Assumptions'!$B$10, "Direct Optical Drop (&lt;3km)", IF(S208&lt;='Methodology &amp; Assumptions'!$B$9, "Near Optical / Microwave (&lt;5km)", "Starlink Business LEO Satellite Backhaul (&gt;5km)"))</f>
        <v/>
      </c>
      <c r="V208" s="26" t="n">
        <v>38.76</v>
      </c>
      <c r="W208" s="26" t="n">
        <v>80.86</v>
      </c>
      <c r="X208" s="26">
        <f>ROUND(('Methodology &amp; Assumptions'!$B$5*V208) + ('Methodology &amp; Assumptions'!$B$6*W208), 2)</f>
        <v/>
      </c>
      <c r="Y208" s="28" t="n">
        <v>8.300000000000001</v>
      </c>
      <c r="Z208" s="11" t="inlineStr">
        <is>
          <t>Priority Tier 3 (Broadband Expansion)</t>
        </is>
      </c>
    </row>
    <row r="209">
      <c r="A209" s="23" t="n">
        <v>4</v>
      </c>
      <c r="B209" s="23" t="n">
        <v>205</v>
      </c>
      <c r="C209" s="23" t="n">
        <v>3205</v>
      </c>
      <c r="D209" s="23" t="inlineStr">
        <is>
          <t>0205008023</t>
        </is>
      </c>
      <c r="E209" s="11" t="inlineStr">
        <is>
          <t>Region II (Cagayan Valley)</t>
        </is>
      </c>
      <c r="F209" s="11" t="inlineStr">
        <is>
          <t>Nueva Vizcaya</t>
        </is>
      </c>
      <c r="G209" s="11" t="inlineStr">
        <is>
          <t>Dupax del Sur</t>
        </is>
      </c>
      <c r="H209" s="11" t="inlineStr">
        <is>
          <t>Talbek</t>
        </is>
      </c>
      <c r="I209" s="24" t="n">
        <v>16.034969</v>
      </c>
      <c r="J209" s="24" t="n">
        <v>121.251191</v>
      </c>
      <c r="K209" s="23" t="inlineStr">
        <is>
          <t>R</t>
        </is>
      </c>
      <c r="L209" s="25" t="n">
        <v>542</v>
      </c>
      <c r="M209" s="26" t="n">
        <v>3.8</v>
      </c>
      <c r="N209" s="25">
        <f>ROUND(L209/M209, 0)</f>
        <v/>
      </c>
      <c r="O209" s="25">
        <f>ROUND(N209*'Methodology &amp; Assumptions'!$B$7, 0)</f>
        <v/>
      </c>
      <c r="P209" s="23" t="inlineStr">
        <is>
          <t>Single Carrier (Band n50, 100MHz TDD)</t>
        </is>
      </c>
      <c r="Q209" s="27">
        <f>ROUNDUP(O209/'Methodology &amp; Assumptions'!$B$8, 0)</f>
        <v/>
      </c>
      <c r="R209" s="27" t="n">
        <v>1</v>
      </c>
      <c r="S209" s="26" t="n">
        <v>16.41</v>
      </c>
      <c r="T209" s="26" t="n">
        <v>26.2</v>
      </c>
      <c r="U209" s="11">
        <f>IF(S209&lt;='Methodology &amp; Assumptions'!$B$10, "Direct Optical Drop (&lt;3km)", IF(S209&lt;='Methodology &amp; Assumptions'!$B$9, "Near Optical / Microwave (&lt;5km)", "Starlink Business LEO Satellite Backhaul (&gt;5km)"))</f>
        <v/>
      </c>
      <c r="V209" s="26" t="n">
        <v>38.44</v>
      </c>
      <c r="W209" s="26" t="n">
        <v>81.19</v>
      </c>
      <c r="X209" s="26">
        <f>ROUND(('Methodology &amp; Assumptions'!$B$5*V209) + ('Methodology &amp; Assumptions'!$B$6*W209), 2)</f>
        <v/>
      </c>
      <c r="Y209" s="28" t="n">
        <v>8.300000000000001</v>
      </c>
      <c r="Z209" s="11" t="inlineStr">
        <is>
          <t>Priority Tier 3 (Broadband Expansion)</t>
        </is>
      </c>
    </row>
    <row r="210">
      <c r="A210" s="23" t="n">
        <v>4</v>
      </c>
      <c r="B210" s="23" t="n">
        <v>206</v>
      </c>
      <c r="C210" s="23" t="n">
        <v>3206</v>
      </c>
      <c r="D210" s="23" t="inlineStr">
        <is>
          <t>0305409020</t>
        </is>
      </c>
      <c r="E210" s="11" t="inlineStr">
        <is>
          <t>Region III (Central Luzon)</t>
        </is>
      </c>
      <c r="F210" s="11" t="inlineStr">
        <is>
          <t>Pampanga</t>
        </is>
      </c>
      <c r="G210" s="11" t="inlineStr">
        <is>
          <t>Mabalacat City</t>
        </is>
      </c>
      <c r="H210" s="11" t="inlineStr">
        <is>
          <t>Poblacion</t>
        </is>
      </c>
      <c r="I210" s="24" t="n">
        <v>15.1505</v>
      </c>
      <c r="J210" s="24" t="n">
        <v>120.77243</v>
      </c>
      <c r="K210" s="23" t="inlineStr">
        <is>
          <t>U</t>
        </is>
      </c>
      <c r="L210" s="25" t="n">
        <v>2927</v>
      </c>
      <c r="M210" s="26" t="n">
        <v>4</v>
      </c>
      <c r="N210" s="25">
        <f>ROUND(L210/M210, 0)</f>
        <v/>
      </c>
      <c r="O210" s="25">
        <f>ROUND(N210*'Methodology &amp; Assumptions'!$B$7, 0)</f>
        <v/>
      </c>
      <c r="P210" s="23" t="inlineStr">
        <is>
          <t>Single Carrier (Band n50, 100MHz TDD)</t>
        </is>
      </c>
      <c r="Q210" s="27">
        <f>ROUNDUP(O210/'Methodology &amp; Assumptions'!$B$8, 0)</f>
        <v/>
      </c>
      <c r="R210" s="27" t="n">
        <v>1</v>
      </c>
      <c r="S210" s="26" t="n">
        <v>0.92</v>
      </c>
      <c r="T210" s="26" t="n">
        <v>0.42</v>
      </c>
      <c r="U210" s="11">
        <f>IF(S210&lt;='Methodology &amp; Assumptions'!$B$10, "Direct Optical Drop (&lt;3km)", IF(S210&lt;='Methodology &amp; Assumptions'!$B$9, "Near Optical / Microwave (&lt;5km)", "Starlink Business LEO Satellite Backhaul (&gt;5km)"))</f>
        <v/>
      </c>
      <c r="V210" s="26" t="n">
        <v>75.36</v>
      </c>
      <c r="W210" s="26" t="n">
        <v>44.23</v>
      </c>
      <c r="X210" s="26">
        <f>ROUND(('Methodology &amp; Assumptions'!$B$5*V210) + ('Methodology &amp; Assumptions'!$B$6*W210), 2)</f>
        <v/>
      </c>
      <c r="Y210" s="28" t="n">
        <v>8.300000000000001</v>
      </c>
      <c r="Z210" s="11" t="inlineStr">
        <is>
          <t>Priority Tier 3 (Broadband Expansion)</t>
        </is>
      </c>
    </row>
    <row r="211">
      <c r="A211" s="23" t="n">
        <v>4</v>
      </c>
      <c r="B211" s="23" t="n">
        <v>207</v>
      </c>
      <c r="C211" s="23" t="n">
        <v>3207</v>
      </c>
      <c r="D211" s="23" t="inlineStr">
        <is>
          <t>0403405026</t>
        </is>
      </c>
      <c r="E211" s="11" t="inlineStr">
        <is>
          <t>Region IV-A (CALABARZON)</t>
        </is>
      </c>
      <c r="F211" s="11" t="inlineStr">
        <is>
          <t>Laguna</t>
        </is>
      </c>
      <c r="G211" s="11" t="inlineStr">
        <is>
          <t>City of Calamba</t>
        </is>
      </c>
      <c r="H211" s="11" t="inlineStr">
        <is>
          <t>Makiling</t>
        </is>
      </c>
      <c r="I211" s="24" t="n">
        <v>14.153862</v>
      </c>
      <c r="J211" s="24" t="n">
        <v>121.136886</v>
      </c>
      <c r="K211" s="23" t="inlineStr">
        <is>
          <t>U</t>
        </is>
      </c>
      <c r="L211" s="25" t="n">
        <v>13711</v>
      </c>
      <c r="M211" s="26" t="n">
        <v>3.3</v>
      </c>
      <c r="N211" s="25">
        <f>ROUND(L211/M211, 0)</f>
        <v/>
      </c>
      <c r="O211" s="25">
        <f>ROUND(N211*'Methodology &amp; Assumptions'!$B$7, 0)</f>
        <v/>
      </c>
      <c r="P211" s="23" t="inlineStr">
        <is>
          <t>Single Carrier (Band n50, 100MHz TDD)</t>
        </is>
      </c>
      <c r="Q211" s="27">
        <f>ROUNDUP(O211/'Methodology &amp; Assumptions'!$B$8, 0)</f>
        <v/>
      </c>
      <c r="R211" s="27" t="n">
        <v>1</v>
      </c>
      <c r="S211" s="26" t="n">
        <v>3.76</v>
      </c>
      <c r="T211" s="26" t="n">
        <v>0.22</v>
      </c>
      <c r="U211" s="11">
        <f>IF(S211&lt;='Methodology &amp; Assumptions'!$B$10, "Direct Optical Drop (&lt;3km)", IF(S211&lt;='Methodology &amp; Assumptions'!$B$9, "Near Optical / Microwave (&lt;5km)", "Starlink Business LEO Satellite Backhaul (&gt;5km)"))</f>
        <v/>
      </c>
      <c r="V211" s="26" t="n">
        <v>69.11</v>
      </c>
      <c r="W211" s="26" t="n">
        <v>50.49</v>
      </c>
      <c r="X211" s="26">
        <f>ROUND(('Methodology &amp; Assumptions'!$B$5*V211) + ('Methodology &amp; Assumptions'!$B$6*W211), 2)</f>
        <v/>
      </c>
      <c r="Y211" s="28" t="n">
        <v>7.2</v>
      </c>
      <c r="Z211" s="11" t="inlineStr">
        <is>
          <t>Priority Tier 3 (Broadband Expansion)</t>
        </is>
      </c>
    </row>
    <row r="212">
      <c r="A212" s="23" t="n">
        <v>4</v>
      </c>
      <c r="B212" s="23" t="n">
        <v>208</v>
      </c>
      <c r="C212" s="23" t="n">
        <v>3208</v>
      </c>
      <c r="D212" s="23" t="inlineStr">
        <is>
          <t>1381300060</t>
        </is>
      </c>
      <c r="E212" s="11" t="inlineStr">
        <is>
          <t>National Capital Region (NCR)</t>
        </is>
      </c>
      <c r="F212" s="11" t="inlineStr">
        <is>
          <t>Second District (Not a Province)</t>
        </is>
      </c>
      <c r="G212" s="11" t="inlineStr">
        <is>
          <t>Quezon City</t>
        </is>
      </c>
      <c r="H212" s="11" t="inlineStr">
        <is>
          <t>Mariana</t>
        </is>
      </c>
      <c r="I212" s="24" t="n">
        <v>14.61713</v>
      </c>
      <c r="J212" s="24" t="n">
        <v>121.0372</v>
      </c>
      <c r="K212" s="23" t="inlineStr">
        <is>
          <t>U</t>
        </is>
      </c>
      <c r="L212" s="25" t="n">
        <v>12144</v>
      </c>
      <c r="M212" s="26" t="n">
        <v>4.9</v>
      </c>
      <c r="N212" s="25">
        <f>ROUND(L212/M212, 0)</f>
        <v/>
      </c>
      <c r="O212" s="25">
        <f>ROUND(N212*'Methodology &amp; Assumptions'!$B$7, 0)</f>
        <v/>
      </c>
      <c r="P212" s="23" t="inlineStr">
        <is>
          <t>Single Carrier (Band n50, 100MHz TDD)</t>
        </is>
      </c>
      <c r="Q212" s="27">
        <f>ROUNDUP(O212/'Methodology &amp; Assumptions'!$B$8, 0)</f>
        <v/>
      </c>
      <c r="R212" s="27" t="n">
        <v>1</v>
      </c>
      <c r="S212" s="26" t="n">
        <v>2.23</v>
      </c>
      <c r="T212" s="26" t="n">
        <v>0.17</v>
      </c>
      <c r="U212" s="11">
        <f>IF(S212&lt;='Methodology &amp; Assumptions'!$B$10, "Direct Optical Drop (&lt;3km)", IF(S212&lt;='Methodology &amp; Assumptions'!$B$9, "Near Optical / Microwave (&lt;5km)", "Starlink Business LEO Satellite Backhaul (&gt;5km)"))</f>
        <v/>
      </c>
      <c r="V212" s="26" t="n">
        <v>64.08</v>
      </c>
      <c r="W212" s="26" t="n">
        <v>55.52</v>
      </c>
      <c r="X212" s="26">
        <f>ROUND(('Methodology &amp; Assumptions'!$B$5*V212) + ('Methodology &amp; Assumptions'!$B$6*W212), 2)</f>
        <v/>
      </c>
      <c r="Y212" s="28" t="n">
        <v>10.9</v>
      </c>
      <c r="Z212" s="11" t="inlineStr">
        <is>
          <t>Priority Tier 3 (Broadband Expansion)</t>
        </is>
      </c>
    </row>
    <row r="213">
      <c r="A213" s="23" t="n">
        <v>4</v>
      </c>
      <c r="B213" s="23" t="n">
        <v>209</v>
      </c>
      <c r="C213" s="23" t="n">
        <v>3209</v>
      </c>
      <c r="D213" s="23" t="inlineStr">
        <is>
          <t>1380606195</t>
        </is>
      </c>
      <c r="E213" s="11" t="inlineStr">
        <is>
          <t>National Capital Region (NCR)</t>
        </is>
      </c>
      <c r="F213" s="11" t="inlineStr">
        <is>
          <t>First District (Not a Province)</t>
        </is>
      </c>
      <c r="G213" s="11" t="inlineStr">
        <is>
          <t>City of Manila</t>
        </is>
      </c>
      <c r="H213" s="11" t="inlineStr">
        <is>
          <t>Barangay 588</t>
        </is>
      </c>
      <c r="I213" s="24" t="n">
        <v>14.601211</v>
      </c>
      <c r="J213" s="24" t="n">
        <v>121.01577</v>
      </c>
      <c r="K213" s="23" t="inlineStr">
        <is>
          <t>U</t>
        </is>
      </c>
      <c r="L213" s="25" t="n">
        <v>1037</v>
      </c>
      <c r="M213" s="26" t="n">
        <v>3.66</v>
      </c>
      <c r="N213" s="25">
        <f>ROUND(L213/M213, 0)</f>
        <v/>
      </c>
      <c r="O213" s="25">
        <f>ROUND(N213*'Methodology &amp; Assumptions'!$B$7, 0)</f>
        <v/>
      </c>
      <c r="P213" s="23" t="inlineStr">
        <is>
          <t>Single Carrier (Band n50, 100MHz TDD)</t>
        </is>
      </c>
      <c r="Q213" s="27">
        <f>ROUNDUP(O213/'Methodology &amp; Assumptions'!$B$8, 0)</f>
        <v/>
      </c>
      <c r="R213" s="27" t="n">
        <v>1</v>
      </c>
      <c r="S213" s="26" t="n">
        <v>1.21</v>
      </c>
      <c r="T213" s="26" t="n">
        <v>0.19</v>
      </c>
      <c r="U213" s="11">
        <f>IF(S213&lt;='Methodology &amp; Assumptions'!$B$10, "Direct Optical Drop (&lt;3km)", IF(S213&lt;='Methodology &amp; Assumptions'!$B$9, "Near Optical / Microwave (&lt;5km)", "Starlink Business LEO Satellite Backhaul (&gt;5km)"))</f>
        <v/>
      </c>
      <c r="V213" s="26" t="n">
        <v>48.77</v>
      </c>
      <c r="W213" s="26" t="n">
        <v>70.81999999999999</v>
      </c>
      <c r="X213" s="26">
        <f>ROUND(('Methodology &amp; Assumptions'!$B$5*V213) + ('Methodology &amp; Assumptions'!$B$6*W213), 2)</f>
        <v/>
      </c>
      <c r="Y213" s="28" t="n">
        <v>10.9</v>
      </c>
      <c r="Z213" s="11" t="inlineStr">
        <is>
          <t>Priority Tier 3 (Broadband Expansion)</t>
        </is>
      </c>
    </row>
    <row r="214">
      <c r="A214" s="23" t="n">
        <v>4</v>
      </c>
      <c r="B214" s="23" t="n">
        <v>210</v>
      </c>
      <c r="C214" s="23" t="n">
        <v>3210</v>
      </c>
      <c r="D214" s="23" t="inlineStr">
        <is>
          <t>0702202006</t>
        </is>
      </c>
      <c r="E214" s="11" t="inlineStr">
        <is>
          <t>Region VII (Central Visayas)</t>
        </is>
      </c>
      <c r="F214" s="11" t="inlineStr">
        <is>
          <t>Cebu</t>
        </is>
      </c>
      <c r="G214" s="11" t="inlineStr">
        <is>
          <t>Alcoy</t>
        </is>
      </c>
      <c r="H214" s="11" t="inlineStr">
        <is>
          <t>Poblacion</t>
        </is>
      </c>
      <c r="I214" s="24" t="n">
        <v>9.708397</v>
      </c>
      <c r="J214" s="24" t="n">
        <v>123.505714</v>
      </c>
      <c r="K214" s="23" t="inlineStr">
        <is>
          <t>R</t>
        </is>
      </c>
      <c r="L214" s="25" t="n">
        <v>4032</v>
      </c>
      <c r="M214" s="26" t="n">
        <v>3.8</v>
      </c>
      <c r="N214" s="25">
        <f>ROUND(L214/M214, 0)</f>
        <v/>
      </c>
      <c r="O214" s="25">
        <f>ROUND(N214*'Methodology &amp; Assumptions'!$B$7, 0)</f>
        <v/>
      </c>
      <c r="P214" s="23" t="inlineStr">
        <is>
          <t>Single Carrier (Band n50, 100MHz TDD)</t>
        </is>
      </c>
      <c r="Q214" s="27">
        <f>ROUNDUP(O214/'Methodology &amp; Assumptions'!$B$8, 0)</f>
        <v/>
      </c>
      <c r="R214" s="27" t="n">
        <v>1</v>
      </c>
      <c r="S214" s="26" t="n">
        <v>0.1</v>
      </c>
      <c r="T214" s="26" t="n">
        <v>0.1</v>
      </c>
      <c r="U214" s="11">
        <f>IF(S214&lt;='Methodology &amp; Assumptions'!$B$10, "Direct Optical Drop (&lt;3km)", IF(S214&lt;='Methodology &amp; Assumptions'!$B$9, "Near Optical / Microwave (&lt;5km)", "Starlink Business LEO Satellite Backhaul (&gt;5km)"))</f>
        <v/>
      </c>
      <c r="V214" s="26" t="n">
        <v>90.68000000000001</v>
      </c>
      <c r="W214" s="26" t="n">
        <v>28.89</v>
      </c>
      <c r="X214" s="26">
        <f>ROUND(('Methodology &amp; Assumptions'!$B$5*V214) + ('Methodology &amp; Assumptions'!$B$6*W214), 2)</f>
        <v/>
      </c>
      <c r="Y214" s="28" t="n">
        <v>23.7</v>
      </c>
      <c r="Z214" s="11" t="inlineStr">
        <is>
          <t>Priority Tier 3 (Broadband Expansion)</t>
        </is>
      </c>
    </row>
    <row r="215">
      <c r="A215" s="23" t="n">
        <v>4</v>
      </c>
      <c r="B215" s="23" t="n">
        <v>211</v>
      </c>
      <c r="C215" s="23" t="n">
        <v>3211</v>
      </c>
      <c r="D215" s="23" t="inlineStr">
        <is>
          <t>0102805036</t>
        </is>
      </c>
      <c r="E215" s="11" t="inlineStr">
        <is>
          <t>Region I (Ilocos Region)</t>
        </is>
      </c>
      <c r="F215" s="11" t="inlineStr">
        <is>
          <t>Ilocos Norte</t>
        </is>
      </c>
      <c r="G215" s="11" t="inlineStr">
        <is>
          <t>City of Batac</t>
        </is>
      </c>
      <c r="H215" s="11" t="inlineStr">
        <is>
          <t>Quiling Sur</t>
        </is>
      </c>
      <c r="I215" s="24" t="n">
        <v>18.067437</v>
      </c>
      <c r="J215" s="24" t="n">
        <v>120.545003</v>
      </c>
      <c r="K215" s="23" t="inlineStr">
        <is>
          <t>R</t>
        </is>
      </c>
      <c r="L215" s="25" t="n">
        <v>3317</v>
      </c>
      <c r="M215" s="26" t="n">
        <v>3.7</v>
      </c>
      <c r="N215" s="25">
        <f>ROUND(L215/M215, 0)</f>
        <v/>
      </c>
      <c r="O215" s="25">
        <f>ROUND(N215*'Methodology &amp; Assumptions'!$B$7, 0)</f>
        <v/>
      </c>
      <c r="P215" s="23" t="inlineStr">
        <is>
          <t>Single Carrier (Band n50, 100MHz TDD)</t>
        </is>
      </c>
      <c r="Q215" s="27">
        <f>ROUNDUP(O215/'Methodology &amp; Assumptions'!$B$8, 0)</f>
        <v/>
      </c>
      <c r="R215" s="27" t="n">
        <v>1</v>
      </c>
      <c r="S215" s="26" t="n">
        <v>1.44</v>
      </c>
      <c r="T215" s="26" t="n">
        <v>1.07</v>
      </c>
      <c r="U215" s="11">
        <f>IF(S215&lt;='Methodology &amp; Assumptions'!$B$10, "Direct Optical Drop (&lt;3km)", IF(S215&lt;='Methodology &amp; Assumptions'!$B$9, "Near Optical / Microwave (&lt;5km)", "Starlink Business LEO Satellite Backhaul (&gt;5km)"))</f>
        <v/>
      </c>
      <c r="V215" s="26" t="n">
        <v>83.37</v>
      </c>
      <c r="W215" s="26" t="n">
        <v>36.21</v>
      </c>
      <c r="X215" s="26">
        <f>ROUND(('Methodology &amp; Assumptions'!$B$5*V215) + ('Methodology &amp; Assumptions'!$B$6*W215), 2)</f>
        <v/>
      </c>
      <c r="Y215" s="28" t="n">
        <v>8.300000000000001</v>
      </c>
      <c r="Z215" s="11" t="inlineStr">
        <is>
          <t>Priority Tier 3 (Broadband Expansion)</t>
        </is>
      </c>
    </row>
    <row r="216">
      <c r="A216" s="23" t="n">
        <v>4</v>
      </c>
      <c r="B216" s="23" t="n">
        <v>212</v>
      </c>
      <c r="C216" s="23" t="n">
        <v>3212</v>
      </c>
      <c r="D216" s="23" t="inlineStr">
        <is>
          <t>0405630016</t>
        </is>
      </c>
      <c r="E216" s="11" t="inlineStr">
        <is>
          <t>Region IV-A (CALABARZON)</t>
        </is>
      </c>
      <c r="F216" s="11" t="inlineStr">
        <is>
          <t>Quezon</t>
        </is>
      </c>
      <c r="G216" s="11" t="inlineStr">
        <is>
          <t>Pagbilao</t>
        </is>
      </c>
      <c r="H216" s="11" t="inlineStr">
        <is>
          <t>Mapagong</t>
        </is>
      </c>
      <c r="I216" s="24" t="n">
        <v>13.970116</v>
      </c>
      <c r="J216" s="24" t="n">
        <v>121.679452</v>
      </c>
      <c r="K216" s="23" t="inlineStr">
        <is>
          <t>U</t>
        </is>
      </c>
      <c r="L216" s="25" t="n">
        <v>6038</v>
      </c>
      <c r="M216" s="26" t="n">
        <v>3.8</v>
      </c>
      <c r="N216" s="25">
        <f>ROUND(L216/M216, 0)</f>
        <v/>
      </c>
      <c r="O216" s="25">
        <f>ROUND(N216*'Methodology &amp; Assumptions'!$B$7, 0)</f>
        <v/>
      </c>
      <c r="P216" s="23" t="inlineStr">
        <is>
          <t>Single Carrier (Band n50, 100MHz TDD)</t>
        </is>
      </c>
      <c r="Q216" s="27">
        <f>ROUNDUP(O216/'Methodology &amp; Assumptions'!$B$8, 0)</f>
        <v/>
      </c>
      <c r="R216" s="27" t="n">
        <v>1</v>
      </c>
      <c r="S216" s="26" t="n">
        <v>0.32</v>
      </c>
      <c r="T216" s="26" t="n">
        <v>0.16</v>
      </c>
      <c r="U216" s="11">
        <f>IF(S216&lt;='Methodology &amp; Assumptions'!$B$10, "Direct Optical Drop (&lt;3km)", IF(S216&lt;='Methodology &amp; Assumptions'!$B$9, "Near Optical / Microwave (&lt;5km)", "Starlink Business LEO Satellite Backhaul (&gt;5km)"))</f>
        <v/>
      </c>
      <c r="V216" s="26" t="n">
        <v>78.26000000000001</v>
      </c>
      <c r="W216" s="26" t="n">
        <v>41.33</v>
      </c>
      <c r="X216" s="26">
        <f>ROUND(('Methodology &amp; Assumptions'!$B$5*V216) + ('Methodology &amp; Assumptions'!$B$6*W216), 2)</f>
        <v/>
      </c>
      <c r="Y216" s="28" t="n">
        <v>7.2</v>
      </c>
      <c r="Z216" s="11" t="inlineStr">
        <is>
          <t>Priority Tier 3 (Broadband Expansion)</t>
        </is>
      </c>
    </row>
    <row r="217">
      <c r="A217" s="23" t="n">
        <v>4</v>
      </c>
      <c r="B217" s="23" t="n">
        <v>213</v>
      </c>
      <c r="C217" s="23" t="n">
        <v>3213</v>
      </c>
      <c r="D217" s="23" t="inlineStr">
        <is>
          <t>0402117001</t>
        </is>
      </c>
      <c r="E217" s="11" t="inlineStr">
        <is>
          <t>Region IV-A (CALABARZON)</t>
        </is>
      </c>
      <c r="F217" s="11" t="inlineStr">
        <is>
          <t>Cavite</t>
        </is>
      </c>
      <c r="G217" s="11" t="inlineStr">
        <is>
          <t>Rosario</t>
        </is>
      </c>
      <c r="H217" s="11" t="inlineStr">
        <is>
          <t>Silangan I</t>
        </is>
      </c>
      <c r="I217" s="24" t="n">
        <v>14.418831</v>
      </c>
      <c r="J217" s="24" t="n">
        <v>120.8595</v>
      </c>
      <c r="K217" s="23" t="inlineStr">
        <is>
          <t>U</t>
        </is>
      </c>
      <c r="L217" s="25" t="n">
        <v>9634</v>
      </c>
      <c r="M217" s="26" t="n">
        <v>3.4</v>
      </c>
      <c r="N217" s="25">
        <f>ROUND(L217/M217, 0)</f>
        <v/>
      </c>
      <c r="O217" s="25">
        <f>ROUND(N217*'Methodology &amp; Assumptions'!$B$7, 0)</f>
        <v/>
      </c>
      <c r="P217" s="23" t="inlineStr">
        <is>
          <t>Single Carrier (Band n50, 100MHz TDD)</t>
        </is>
      </c>
      <c r="Q217" s="27">
        <f>ROUNDUP(O217/'Methodology &amp; Assumptions'!$B$8, 0)</f>
        <v/>
      </c>
      <c r="R217" s="27" t="n">
        <v>1</v>
      </c>
      <c r="S217" s="26" t="n">
        <v>2.31</v>
      </c>
      <c r="T217" s="26" t="n">
        <v>2.24</v>
      </c>
      <c r="U217" s="11">
        <f>IF(S217&lt;='Methodology &amp; Assumptions'!$B$10, "Direct Optical Drop (&lt;3km)", IF(S217&lt;='Methodology &amp; Assumptions'!$B$9, "Near Optical / Microwave (&lt;5km)", "Starlink Business LEO Satellite Backhaul (&gt;5km)"))</f>
        <v/>
      </c>
      <c r="V217" s="26" t="n">
        <v>69.48</v>
      </c>
      <c r="W217" s="26" t="n">
        <v>50.1</v>
      </c>
      <c r="X217" s="26">
        <f>ROUND(('Methodology &amp; Assumptions'!$B$5*V217) + ('Methodology &amp; Assumptions'!$B$6*W217), 2)</f>
        <v/>
      </c>
      <c r="Y217" s="28" t="n">
        <v>7.2</v>
      </c>
      <c r="Z217" s="11" t="inlineStr">
        <is>
          <t>Priority Tier 3 (Broadband Expansion)</t>
        </is>
      </c>
    </row>
    <row r="218">
      <c r="A218" s="23" t="n">
        <v>4</v>
      </c>
      <c r="B218" s="23" t="n">
        <v>214</v>
      </c>
      <c r="C218" s="23" t="n">
        <v>3214</v>
      </c>
      <c r="D218" s="23" t="inlineStr">
        <is>
          <t>0301419019</t>
        </is>
      </c>
      <c r="E218" s="11" t="inlineStr">
        <is>
          <t>Region III (Central Luzon)</t>
        </is>
      </c>
      <c r="F218" s="11" t="inlineStr">
        <is>
          <t>Bulacan</t>
        </is>
      </c>
      <c r="G218" s="11" t="inlineStr">
        <is>
          <t>San Ildefonso</t>
        </is>
      </c>
      <c r="H218" s="11" t="inlineStr">
        <is>
          <t>Makapilapil</t>
        </is>
      </c>
      <c r="I218" s="24" t="n">
        <v>15.089982</v>
      </c>
      <c r="J218" s="24" t="n">
        <v>120.939322</v>
      </c>
      <c r="K218" s="23" t="inlineStr">
        <is>
          <t>R</t>
        </is>
      </c>
      <c r="L218" s="25" t="n">
        <v>2868</v>
      </c>
      <c r="M218" s="26" t="n">
        <v>3.5</v>
      </c>
      <c r="N218" s="25">
        <f>ROUND(L218/M218, 0)</f>
        <v/>
      </c>
      <c r="O218" s="25">
        <f>ROUND(N218*'Methodology &amp; Assumptions'!$B$7, 0)</f>
        <v/>
      </c>
      <c r="P218" s="23" t="inlineStr">
        <is>
          <t>Single Carrier (Band n50, 100MHz TDD)</t>
        </is>
      </c>
      <c r="Q218" s="27">
        <f>ROUNDUP(O218/'Methodology &amp; Assumptions'!$B$8, 0)</f>
        <v/>
      </c>
      <c r="R218" s="27" t="n">
        <v>1</v>
      </c>
      <c r="S218" s="26" t="n">
        <v>1.82</v>
      </c>
      <c r="T218" s="26" t="n">
        <v>0.04</v>
      </c>
      <c r="U218" s="11">
        <f>IF(S218&lt;='Methodology &amp; Assumptions'!$B$10, "Direct Optical Drop (&lt;3km)", IF(S218&lt;='Methodology &amp; Assumptions'!$B$9, "Near Optical / Microwave (&lt;5km)", "Starlink Business LEO Satellite Backhaul (&gt;5km)"))</f>
        <v/>
      </c>
      <c r="V218" s="26" t="n">
        <v>82.01000000000001</v>
      </c>
      <c r="W218" s="26" t="n">
        <v>37.54</v>
      </c>
      <c r="X218" s="26">
        <f>ROUND(('Methodology &amp; Assumptions'!$B$5*V218) + ('Methodology &amp; Assumptions'!$B$6*W218), 2)</f>
        <v/>
      </c>
      <c r="Y218" s="28" t="n">
        <v>8.300000000000001</v>
      </c>
      <c r="Z218" s="11" t="inlineStr">
        <is>
          <t>Priority Tier 3 (Broadband Expansion)</t>
        </is>
      </c>
    </row>
    <row r="219">
      <c r="A219" s="23" t="n">
        <v>4</v>
      </c>
      <c r="B219" s="23" t="n">
        <v>215</v>
      </c>
      <c r="C219" s="23" t="n">
        <v>3215</v>
      </c>
      <c r="D219" s="23" t="inlineStr">
        <is>
          <t>0304926002</t>
        </is>
      </c>
      <c r="E219" s="11" t="inlineStr">
        <is>
          <t>Region III (Central Luzon)</t>
        </is>
      </c>
      <c r="F219" s="11" t="inlineStr">
        <is>
          <t>Nueva Ecija</t>
        </is>
      </c>
      <c r="G219" s="11" t="inlineStr">
        <is>
          <t>San Jose City</t>
        </is>
      </c>
      <c r="H219" s="11" t="inlineStr">
        <is>
          <t>Abar Ist</t>
        </is>
      </c>
      <c r="I219" s="24" t="n">
        <v>15.792553</v>
      </c>
      <c r="J219" s="24" t="n">
        <v>120.977582</v>
      </c>
      <c r="K219" s="23" t="inlineStr">
        <is>
          <t>U</t>
        </is>
      </c>
      <c r="L219" s="25" t="n">
        <v>23122</v>
      </c>
      <c r="M219" s="26" t="n">
        <v>3.5</v>
      </c>
      <c r="N219" s="25">
        <f>ROUND(L219/M219, 0)</f>
        <v/>
      </c>
      <c r="O219" s="25">
        <f>ROUND(N219*'Methodology &amp; Assumptions'!$B$7, 0)</f>
        <v/>
      </c>
      <c r="P219" s="23" t="inlineStr">
        <is>
          <t>Single Carrier (Band n50, 100MHz TDD)</t>
        </is>
      </c>
      <c r="Q219" s="27">
        <f>ROUNDUP(O219/'Methodology &amp; Assumptions'!$B$8, 0)</f>
        <v/>
      </c>
      <c r="R219" s="27" t="n">
        <v>1</v>
      </c>
      <c r="S219" s="26" t="n">
        <v>1.12</v>
      </c>
      <c r="T219" s="26" t="n">
        <v>0.55</v>
      </c>
      <c r="U219" s="11">
        <f>IF(S219&lt;='Methodology &amp; Assumptions'!$B$10, "Direct Optical Drop (&lt;3km)", IF(S219&lt;='Methodology &amp; Assumptions'!$B$9, "Near Optical / Microwave (&lt;5km)", "Starlink Business LEO Satellite Backhaul (&gt;5km)"))</f>
        <v/>
      </c>
      <c r="V219" s="26" t="n">
        <v>77.38</v>
      </c>
      <c r="W219" s="26" t="n">
        <v>42.19</v>
      </c>
      <c r="X219" s="26">
        <f>ROUND(('Methodology &amp; Assumptions'!$B$5*V219) + ('Methodology &amp; Assumptions'!$B$6*W219), 2)</f>
        <v/>
      </c>
      <c r="Y219" s="28" t="n">
        <v>8.300000000000001</v>
      </c>
      <c r="Z219" s="11" t="inlineStr">
        <is>
          <t>Priority Tier 3 (Broadband Expansion)</t>
        </is>
      </c>
    </row>
    <row r="220">
      <c r="A220" s="23" t="n">
        <v>4</v>
      </c>
      <c r="B220" s="23" t="n">
        <v>216</v>
      </c>
      <c r="C220" s="23" t="n">
        <v>3216</v>
      </c>
      <c r="D220" s="23" t="inlineStr">
        <is>
          <t>0301410052</t>
        </is>
      </c>
      <c r="E220" s="11" t="inlineStr">
        <is>
          <t>Region III (Central Luzon)</t>
        </is>
      </c>
      <c r="F220" s="11" t="inlineStr">
        <is>
          <t>Bulacan</t>
        </is>
      </c>
      <c r="G220" s="11" t="inlineStr">
        <is>
          <t>City of Malolos</t>
        </is>
      </c>
      <c r="H220" s="11" t="inlineStr">
        <is>
          <t>Sumapang Bata</t>
        </is>
      </c>
      <c r="I220" s="24" t="n">
        <v>14.857173</v>
      </c>
      <c r="J220" s="24" t="n">
        <v>120.822909</v>
      </c>
      <c r="K220" s="23" t="inlineStr">
        <is>
          <t>U</t>
        </is>
      </c>
      <c r="L220" s="25" t="n">
        <v>2553</v>
      </c>
      <c r="M220" s="26" t="n">
        <v>3.5</v>
      </c>
      <c r="N220" s="25">
        <f>ROUND(L220/M220, 0)</f>
        <v/>
      </c>
      <c r="O220" s="25">
        <f>ROUND(N220*'Methodology &amp; Assumptions'!$B$7, 0)</f>
        <v/>
      </c>
      <c r="P220" s="23" t="inlineStr">
        <is>
          <t>Single Carrier (Band n50, 100MHz TDD)</t>
        </is>
      </c>
      <c r="Q220" s="27">
        <f>ROUNDUP(O220/'Methodology &amp; Assumptions'!$B$8, 0)</f>
        <v/>
      </c>
      <c r="R220" s="27" t="n">
        <v>1</v>
      </c>
      <c r="S220" s="26" t="n">
        <v>0.64</v>
      </c>
      <c r="T220" s="26" t="n">
        <v>0.57</v>
      </c>
      <c r="U220" s="11">
        <f>IF(S220&lt;='Methodology &amp; Assumptions'!$B$10, "Direct Optical Drop (&lt;3km)", IF(S220&lt;='Methodology &amp; Assumptions'!$B$9, "Near Optical / Microwave (&lt;5km)", "Starlink Business LEO Satellite Backhaul (&gt;5km)"))</f>
        <v/>
      </c>
      <c r="V220" s="26" t="n">
        <v>75.55</v>
      </c>
      <c r="W220" s="26" t="n">
        <v>44.01</v>
      </c>
      <c r="X220" s="26">
        <f>ROUND(('Methodology &amp; Assumptions'!$B$5*V220) + ('Methodology &amp; Assumptions'!$B$6*W220), 2)</f>
        <v/>
      </c>
      <c r="Y220" s="28" t="n">
        <v>8.300000000000001</v>
      </c>
      <c r="Z220" s="11" t="inlineStr">
        <is>
          <t>Priority Tier 3 (Broadband Expansion)</t>
        </is>
      </c>
    </row>
    <row r="221">
      <c r="A221" s="23" t="n">
        <v>4</v>
      </c>
      <c r="B221" s="23" t="n">
        <v>217</v>
      </c>
      <c r="C221" s="23" t="n">
        <v>3217</v>
      </c>
      <c r="D221" s="23" t="inlineStr">
        <is>
          <t>1380607003</t>
        </is>
      </c>
      <c r="E221" s="11" t="inlineStr">
        <is>
          <t>National Capital Region (NCR)</t>
        </is>
      </c>
      <c r="F221" s="11" t="inlineStr">
        <is>
          <t>First District (Not a Province)</t>
        </is>
      </c>
      <c r="G221" s="11" t="inlineStr">
        <is>
          <t>City of Manila</t>
        </is>
      </c>
      <c r="H221" s="11" t="inlineStr">
        <is>
          <t>Barangay 639</t>
        </is>
      </c>
      <c r="I221" s="24" t="n">
        <v>14.596527</v>
      </c>
      <c r="J221" s="24" t="n">
        <v>120.995877</v>
      </c>
      <c r="K221" s="23" t="inlineStr">
        <is>
          <t>U</t>
        </is>
      </c>
      <c r="L221" s="25" t="n">
        <v>475</v>
      </c>
      <c r="M221" s="26" t="n">
        <v>2.61</v>
      </c>
      <c r="N221" s="25">
        <f>ROUND(L221/M221, 0)</f>
        <v/>
      </c>
      <c r="O221" s="25">
        <f>ROUND(N221*'Methodology &amp; Assumptions'!$B$7, 0)</f>
        <v/>
      </c>
      <c r="P221" s="23" t="inlineStr">
        <is>
          <t>Single Carrier (Band n50, 100MHz TDD)</t>
        </is>
      </c>
      <c r="Q221" s="27">
        <f>ROUNDUP(O221/'Methodology &amp; Assumptions'!$B$8, 0)</f>
        <v/>
      </c>
      <c r="R221" s="27" t="n">
        <v>1</v>
      </c>
      <c r="S221" s="26" t="n">
        <v>0.89</v>
      </c>
      <c r="T221" s="26" t="n">
        <v>0.45</v>
      </c>
      <c r="U221" s="11">
        <f>IF(S221&lt;='Methodology &amp; Assumptions'!$B$10, "Direct Optical Drop (&lt;3km)", IF(S221&lt;='Methodology &amp; Assumptions'!$B$9, "Near Optical / Microwave (&lt;5km)", "Starlink Business LEO Satellite Backhaul (&gt;5km)"))</f>
        <v/>
      </c>
      <c r="V221" s="26" t="n">
        <v>46.8</v>
      </c>
      <c r="W221" s="26" t="n">
        <v>72.76000000000001</v>
      </c>
      <c r="X221" s="26">
        <f>ROUND(('Methodology &amp; Assumptions'!$B$5*V221) + ('Methodology &amp; Assumptions'!$B$6*W221), 2)</f>
        <v/>
      </c>
      <c r="Y221" s="28" t="n">
        <v>10.9</v>
      </c>
      <c r="Z221" s="11" t="inlineStr">
        <is>
          <t>Priority Tier 3 (Broadband Expansion)</t>
        </is>
      </c>
    </row>
    <row r="222">
      <c r="A222" s="23" t="n">
        <v>4</v>
      </c>
      <c r="B222" s="23" t="n">
        <v>218</v>
      </c>
      <c r="C222" s="23" t="n">
        <v>3218</v>
      </c>
      <c r="D222" s="23" t="inlineStr">
        <is>
          <t>0403402011</t>
        </is>
      </c>
      <c r="E222" s="11" t="inlineStr">
        <is>
          <t>Region IV-A (CALABARZON)</t>
        </is>
      </c>
      <c r="F222" s="11" t="inlineStr">
        <is>
          <t>Laguna</t>
        </is>
      </c>
      <c r="G222" s="11" t="inlineStr">
        <is>
          <t>Bay</t>
        </is>
      </c>
      <c r="H222" s="11" t="inlineStr">
        <is>
          <t>San Isidro</t>
        </is>
      </c>
      <c r="I222" s="24" t="n">
        <v>14.186235</v>
      </c>
      <c r="J222" s="24" t="n">
        <v>121.286642</v>
      </c>
      <c r="K222" s="23" t="inlineStr">
        <is>
          <t>R</t>
        </is>
      </c>
      <c r="L222" s="25" t="n">
        <v>3019</v>
      </c>
      <c r="M222" s="26" t="n">
        <v>3.3</v>
      </c>
      <c r="N222" s="25">
        <f>ROUND(L222/M222, 0)</f>
        <v/>
      </c>
      <c r="O222" s="25">
        <f>ROUND(N222*'Methodology &amp; Assumptions'!$B$7, 0)</f>
        <v/>
      </c>
      <c r="P222" s="23" t="inlineStr">
        <is>
          <t>Single Carrier (Band n50, 100MHz TDD)</t>
        </is>
      </c>
      <c r="Q222" s="27">
        <f>ROUNDUP(O222/'Methodology &amp; Assumptions'!$B$8, 0)</f>
        <v/>
      </c>
      <c r="R222" s="27" t="n">
        <v>1</v>
      </c>
      <c r="S222" s="26" t="n">
        <v>0.89</v>
      </c>
      <c r="T222" s="26" t="n">
        <v>0.77</v>
      </c>
      <c r="U222" s="11">
        <f>IF(S222&lt;='Methodology &amp; Assumptions'!$B$10, "Direct Optical Drop (&lt;3km)", IF(S222&lt;='Methodology &amp; Assumptions'!$B$9, "Near Optical / Microwave (&lt;5km)", "Starlink Business LEO Satellite Backhaul (&gt;5km)"))</f>
        <v/>
      </c>
      <c r="V222" s="26" t="n">
        <v>85.28</v>
      </c>
      <c r="W222" s="26" t="n">
        <v>34.25</v>
      </c>
      <c r="X222" s="26">
        <f>ROUND(('Methodology &amp; Assumptions'!$B$5*V222) + ('Methodology &amp; Assumptions'!$B$6*W222), 2)</f>
        <v/>
      </c>
      <c r="Y222" s="28" t="n">
        <v>7.2</v>
      </c>
      <c r="Z222" s="11" t="inlineStr">
        <is>
          <t>Priority Tier 3 (Broadband Expansion)</t>
        </is>
      </c>
    </row>
    <row r="223">
      <c r="A223" s="23" t="n">
        <v>4</v>
      </c>
      <c r="B223" s="23" t="n">
        <v>219</v>
      </c>
      <c r="C223" s="23" t="n">
        <v>3219</v>
      </c>
      <c r="D223" s="23" t="inlineStr">
        <is>
          <t>0105512020</t>
        </is>
      </c>
      <c r="E223" s="11" t="inlineStr">
        <is>
          <t>Region I (Ilocos Region)</t>
        </is>
      </c>
      <c r="F223" s="11" t="inlineStr">
        <is>
          <t>Pangasinan</t>
        </is>
      </c>
      <c r="G223" s="11" t="inlineStr">
        <is>
          <t>Binalonan</t>
        </is>
      </c>
      <c r="H223" s="11" t="inlineStr">
        <is>
          <t>Sta. Catalina</t>
        </is>
      </c>
      <c r="I223" s="24" t="n">
        <v>16.052574</v>
      </c>
      <c r="J223" s="24" t="n">
        <v>120.592425</v>
      </c>
      <c r="K223" s="23" t="inlineStr">
        <is>
          <t>R</t>
        </is>
      </c>
      <c r="L223" s="25" t="n">
        <v>2640</v>
      </c>
      <c r="M223" s="26" t="n">
        <v>3.6</v>
      </c>
      <c r="N223" s="25">
        <f>ROUND(L223/M223, 0)</f>
        <v/>
      </c>
      <c r="O223" s="25">
        <f>ROUND(N223*'Methodology &amp; Assumptions'!$B$7, 0)</f>
        <v/>
      </c>
      <c r="P223" s="23" t="inlineStr">
        <is>
          <t>Single Carrier (Band n50, 100MHz TDD)</t>
        </is>
      </c>
      <c r="Q223" s="27">
        <f>ROUNDUP(O223/'Methodology &amp; Assumptions'!$B$8, 0)</f>
        <v/>
      </c>
      <c r="R223" s="27" t="n">
        <v>1</v>
      </c>
      <c r="S223" s="26" t="n">
        <v>1.2</v>
      </c>
      <c r="T223" s="26" t="n">
        <v>0.71</v>
      </c>
      <c r="U223" s="11">
        <f>IF(S223&lt;='Methodology &amp; Assumptions'!$B$10, "Direct Optical Drop (&lt;3km)", IF(S223&lt;='Methodology &amp; Assumptions'!$B$9, "Near Optical / Microwave (&lt;5km)", "Starlink Business LEO Satellite Backhaul (&gt;5km)"))</f>
        <v/>
      </c>
      <c r="V223" s="26" t="n">
        <v>81.48999999999999</v>
      </c>
      <c r="W223" s="26" t="n">
        <v>38.05</v>
      </c>
      <c r="X223" s="26">
        <f>ROUND(('Methodology &amp; Assumptions'!$B$5*V223) + ('Methodology &amp; Assumptions'!$B$6*W223), 2)</f>
        <v/>
      </c>
      <c r="Y223" s="28" t="n">
        <v>8.300000000000001</v>
      </c>
      <c r="Z223" s="11" t="inlineStr">
        <is>
          <t>Priority Tier 3 (Broadband Expansion)</t>
        </is>
      </c>
    </row>
    <row r="224">
      <c r="A224" s="23" t="n">
        <v>4</v>
      </c>
      <c r="B224" s="23" t="n">
        <v>220</v>
      </c>
      <c r="C224" s="23" t="n">
        <v>3220</v>
      </c>
      <c r="D224" s="23" t="inlineStr">
        <is>
          <t>0301407009</t>
        </is>
      </c>
      <c r="E224" s="11" t="inlineStr">
        <is>
          <t>Region III (Central Luzon)</t>
        </is>
      </c>
      <c r="F224" s="11" t="inlineStr">
        <is>
          <t>Bulacan</t>
        </is>
      </c>
      <c r="G224" s="11" t="inlineStr">
        <is>
          <t>Calumpit</t>
        </is>
      </c>
      <c r="H224" s="11" t="inlineStr">
        <is>
          <t>Corazon</t>
        </is>
      </c>
      <c r="I224" s="24" t="n">
        <v>14.9134</v>
      </c>
      <c r="J224" s="24" t="n">
        <v>120.768265</v>
      </c>
      <c r="K224" s="23" t="inlineStr">
        <is>
          <t>U</t>
        </is>
      </c>
      <c r="L224" s="25" t="n">
        <v>2273</v>
      </c>
      <c r="M224" s="26" t="n">
        <v>3.5</v>
      </c>
      <c r="N224" s="25">
        <f>ROUND(L224/M224, 0)</f>
        <v/>
      </c>
      <c r="O224" s="25">
        <f>ROUND(N224*'Methodology &amp; Assumptions'!$B$7, 0)</f>
        <v/>
      </c>
      <c r="P224" s="23" t="inlineStr">
        <is>
          <t>Single Carrier (Band n50, 100MHz TDD)</t>
        </is>
      </c>
      <c r="Q224" s="27">
        <f>ROUNDUP(O224/'Methodology &amp; Assumptions'!$B$8, 0)</f>
        <v/>
      </c>
      <c r="R224" s="27" t="n">
        <v>1</v>
      </c>
      <c r="S224" s="26" t="n">
        <v>0.79</v>
      </c>
      <c r="T224" s="26" t="n">
        <v>0.21</v>
      </c>
      <c r="U224" s="11">
        <f>IF(S224&lt;='Methodology &amp; Assumptions'!$B$10, "Direct Optical Drop (&lt;3km)", IF(S224&lt;='Methodology &amp; Assumptions'!$B$9, "Near Optical / Microwave (&lt;5km)", "Starlink Business LEO Satellite Backhaul (&gt;5km)"))</f>
        <v/>
      </c>
      <c r="V224" s="26" t="n">
        <v>72.95</v>
      </c>
      <c r="W224" s="26" t="n">
        <v>46.59</v>
      </c>
      <c r="X224" s="26">
        <f>ROUND(('Methodology &amp; Assumptions'!$B$5*V224) + ('Methodology &amp; Assumptions'!$B$6*W224), 2)</f>
        <v/>
      </c>
      <c r="Y224" s="28" t="n">
        <v>8.300000000000001</v>
      </c>
      <c r="Z224" s="11" t="inlineStr">
        <is>
          <t>Priority Tier 3 (Broadband Expansion)</t>
        </is>
      </c>
    </row>
    <row r="225">
      <c r="A225" s="23" t="n">
        <v>4</v>
      </c>
      <c r="B225" s="23" t="n">
        <v>221</v>
      </c>
      <c r="C225" s="23" t="n">
        <v>3221</v>
      </c>
      <c r="D225" s="23" t="inlineStr">
        <is>
          <t>0403413007</t>
        </is>
      </c>
      <c r="E225" s="11" t="inlineStr">
        <is>
          <t>Region IV-A (CALABARZON)</t>
        </is>
      </c>
      <c r="F225" s="11" t="inlineStr">
        <is>
          <t>Laguna</t>
        </is>
      </c>
      <c r="G225" s="11" t="inlineStr">
        <is>
          <t>Lumban</t>
        </is>
      </c>
      <c r="H225" s="11" t="inlineStr">
        <is>
          <t>Maracta</t>
        </is>
      </c>
      <c r="I225" s="24" t="n">
        <v>14.298013</v>
      </c>
      <c r="J225" s="24" t="n">
        <v>121.459252</v>
      </c>
      <c r="K225" s="23" t="inlineStr">
        <is>
          <t>R</t>
        </is>
      </c>
      <c r="L225" s="25" t="n">
        <v>1171</v>
      </c>
      <c r="M225" s="26" t="n">
        <v>3.3</v>
      </c>
      <c r="N225" s="25">
        <f>ROUND(L225/M225, 0)</f>
        <v/>
      </c>
      <c r="O225" s="25">
        <f>ROUND(N225*'Methodology &amp; Assumptions'!$B$7, 0)</f>
        <v/>
      </c>
      <c r="P225" s="23" t="inlineStr">
        <is>
          <t>Single Carrier (Band n50, 100MHz TDD)</t>
        </is>
      </c>
      <c r="Q225" s="27">
        <f>ROUNDUP(O225/'Methodology &amp; Assumptions'!$B$8, 0)</f>
        <v/>
      </c>
      <c r="R225" s="27" t="n">
        <v>1</v>
      </c>
      <c r="S225" s="26" t="n">
        <v>0.33</v>
      </c>
      <c r="T225" s="26" t="n">
        <v>0.44</v>
      </c>
      <c r="U225" s="11">
        <f>IF(S225&lt;='Methodology &amp; Assumptions'!$B$10, "Direct Optical Drop (&lt;3km)", IF(S225&lt;='Methodology &amp; Assumptions'!$B$9, "Near Optical / Microwave (&lt;5km)", "Starlink Business LEO Satellite Backhaul (&gt;5km)"))</f>
        <v/>
      </c>
      <c r="V225" s="26" t="n">
        <v>70.39</v>
      </c>
      <c r="W225" s="26" t="n">
        <v>49.15</v>
      </c>
      <c r="X225" s="26">
        <f>ROUND(('Methodology &amp; Assumptions'!$B$5*V225) + ('Methodology &amp; Assumptions'!$B$6*W225), 2)</f>
        <v/>
      </c>
      <c r="Y225" s="28" t="n">
        <v>7.2</v>
      </c>
      <c r="Z225" s="11" t="inlineStr">
        <is>
          <t>Priority Tier 3 (Broadband Expansion)</t>
        </is>
      </c>
    </row>
    <row r="226">
      <c r="A226" s="23" t="n">
        <v>4</v>
      </c>
      <c r="B226" s="23" t="n">
        <v>222</v>
      </c>
      <c r="C226" s="23" t="n">
        <v>3222</v>
      </c>
      <c r="D226" s="23" t="inlineStr">
        <is>
          <t>1380800005</t>
        </is>
      </c>
      <c r="E226" s="11" t="inlineStr">
        <is>
          <t>National Capital Region (NCR)</t>
        </is>
      </c>
      <c r="F226" s="11" t="inlineStr">
        <is>
          <t>Fourth District (Not a Province)</t>
        </is>
      </c>
      <c r="G226" s="11" t="inlineStr">
        <is>
          <t>City of Muntinlupa</t>
        </is>
      </c>
      <c r="H226" s="11" t="inlineStr">
        <is>
          <t>Poblacion</t>
        </is>
      </c>
      <c r="I226" s="24" t="n">
        <v>14.390639</v>
      </c>
      <c r="J226" s="24" t="n">
        <v>121.050341</v>
      </c>
      <c r="K226" s="23" t="inlineStr">
        <is>
          <t>U</t>
        </is>
      </c>
      <c r="L226" s="25" t="n">
        <v>124554</v>
      </c>
      <c r="M226" s="26" t="n">
        <v>4.66</v>
      </c>
      <c r="N226" s="25">
        <f>ROUND(L226/M226, 0)</f>
        <v/>
      </c>
      <c r="O226" s="25">
        <f>ROUND(N226*'Methodology &amp; Assumptions'!$B$7, 0)</f>
        <v/>
      </c>
      <c r="P226" s="23" t="inlineStr">
        <is>
          <t>Single Carrier (Band n50, 100MHz TDD)</t>
        </is>
      </c>
      <c r="Q226" s="27">
        <f>ROUNDUP(O226/'Methodology &amp; Assumptions'!$B$8, 0)</f>
        <v/>
      </c>
      <c r="R226" s="27" t="n">
        <v>1</v>
      </c>
      <c r="S226" s="26" t="n">
        <v>0.83</v>
      </c>
      <c r="T226" s="26" t="n">
        <v>0.49</v>
      </c>
      <c r="U226" s="11">
        <f>IF(S226&lt;='Methodology &amp; Assumptions'!$B$10, "Direct Optical Drop (&lt;3km)", IF(S226&lt;='Methodology &amp; Assumptions'!$B$9, "Near Optical / Microwave (&lt;5km)", "Starlink Business LEO Satellite Backhaul (&gt;5km)"))</f>
        <v/>
      </c>
      <c r="V226" s="26" t="n">
        <v>64.87</v>
      </c>
      <c r="W226" s="26" t="n">
        <v>54.67</v>
      </c>
      <c r="X226" s="26">
        <f>ROUND(('Methodology &amp; Assumptions'!$B$5*V226) + ('Methodology &amp; Assumptions'!$B$6*W226), 2)</f>
        <v/>
      </c>
      <c r="Y226" s="28" t="n">
        <v>10.9</v>
      </c>
      <c r="Z226" s="11" t="inlineStr">
        <is>
          <t>Priority Tier 3 (Broadband Expansion)</t>
        </is>
      </c>
    </row>
    <row r="227">
      <c r="A227" s="23" t="n">
        <v>4</v>
      </c>
      <c r="B227" s="23" t="n">
        <v>223</v>
      </c>
      <c r="C227" s="23" t="n">
        <v>3223</v>
      </c>
      <c r="D227" s="23" t="inlineStr">
        <is>
          <t>1108208019</t>
        </is>
      </c>
      <c r="E227" s="11" t="inlineStr">
        <is>
          <t>Region XI (Davao Region)</t>
        </is>
      </c>
      <c r="F227" s="11" t="inlineStr">
        <is>
          <t>Davao de Oro</t>
        </is>
      </c>
      <c r="G227" s="11" t="inlineStr">
        <is>
          <t>Montevista</t>
        </is>
      </c>
      <c r="H227" s="11" t="inlineStr">
        <is>
          <t>Prosperidad</t>
        </is>
      </c>
      <c r="I227" s="24" t="n">
        <v>7.783185</v>
      </c>
      <c r="J227" s="24" t="n">
        <v>125.953332</v>
      </c>
      <c r="K227" s="23" t="inlineStr">
        <is>
          <t>R</t>
        </is>
      </c>
      <c r="L227" s="25" t="n">
        <v>2708</v>
      </c>
      <c r="M227" s="26" t="n">
        <v>3.7</v>
      </c>
      <c r="N227" s="25">
        <f>ROUND(L227/M227, 0)</f>
        <v/>
      </c>
      <c r="O227" s="25">
        <f>ROUND(N227*'Methodology &amp; Assumptions'!$B$7, 0)</f>
        <v/>
      </c>
      <c r="P227" s="23" t="inlineStr">
        <is>
          <t>Single Carrier (Band n50, 100MHz TDD)</t>
        </is>
      </c>
      <c r="Q227" s="27">
        <f>ROUNDUP(O227/'Methodology &amp; Assumptions'!$B$8, 0)</f>
        <v/>
      </c>
      <c r="R227" s="27" t="n">
        <v>1</v>
      </c>
      <c r="S227" s="26" t="n">
        <v>12.35</v>
      </c>
      <c r="T227" s="26" t="n">
        <v>6.67</v>
      </c>
      <c r="U227" s="11">
        <f>IF(S227&lt;='Methodology &amp; Assumptions'!$B$10, "Direct Optical Drop (&lt;3km)", IF(S227&lt;='Methodology &amp; Assumptions'!$B$9, "Near Optical / Microwave (&lt;5km)", "Starlink Business LEO Satellite Backhaul (&gt;5km)"))</f>
        <v/>
      </c>
      <c r="V227" s="26" t="n">
        <v>60.37</v>
      </c>
      <c r="W227" s="26" t="n">
        <v>59.17</v>
      </c>
      <c r="X227" s="26">
        <f>ROUND(('Methodology &amp; Assumptions'!$B$5*V227) + ('Methodology &amp; Assumptions'!$B$6*W227), 2)</f>
        <v/>
      </c>
      <c r="Y227" s="28" t="n">
        <v>17.4</v>
      </c>
      <c r="Z227" s="11" t="inlineStr">
        <is>
          <t>Priority Tier 3 (Broadband Expansion)</t>
        </is>
      </c>
    </row>
    <row r="228">
      <c r="A228" s="23" t="n">
        <v>4</v>
      </c>
      <c r="B228" s="23" t="n">
        <v>224</v>
      </c>
      <c r="C228" s="23" t="n">
        <v>3224</v>
      </c>
      <c r="D228" s="23" t="inlineStr">
        <is>
          <t>1380607002</t>
        </is>
      </c>
      <c r="E228" s="11" t="inlineStr">
        <is>
          <t>National Capital Region (NCR)</t>
        </is>
      </c>
      <c r="F228" s="11" t="inlineStr">
        <is>
          <t>First District (Not a Province)</t>
        </is>
      </c>
      <c r="G228" s="11" t="inlineStr">
        <is>
          <t>City of Manila</t>
        </is>
      </c>
      <c r="H228" s="11" t="inlineStr">
        <is>
          <t>Barangay 638</t>
        </is>
      </c>
      <c r="I228" s="24" t="n">
        <v>14.598716</v>
      </c>
      <c r="J228" s="24" t="n">
        <v>120.994553</v>
      </c>
      <c r="K228" s="23" t="inlineStr">
        <is>
          <t>U</t>
        </is>
      </c>
      <c r="L228" s="25" t="n">
        <v>828</v>
      </c>
      <c r="M228" s="26" t="n">
        <v>2.96</v>
      </c>
      <c r="N228" s="25">
        <f>ROUND(L228/M228, 0)</f>
        <v/>
      </c>
      <c r="O228" s="25">
        <f>ROUND(N228*'Methodology &amp; Assumptions'!$B$7, 0)</f>
        <v/>
      </c>
      <c r="P228" s="23" t="inlineStr">
        <is>
          <t>Single Carrier (Band n50, 100MHz TDD)</t>
        </is>
      </c>
      <c r="Q228" s="27">
        <f>ROUNDUP(O228/'Methodology &amp; Assumptions'!$B$8, 0)</f>
        <v/>
      </c>
      <c r="R228" s="27" t="n">
        <v>1</v>
      </c>
      <c r="S228" s="26" t="n">
        <v>0.61</v>
      </c>
      <c r="T228" s="26" t="n">
        <v>0.26</v>
      </c>
      <c r="U228" s="11">
        <f>IF(S228&lt;='Methodology &amp; Assumptions'!$B$10, "Direct Optical Drop (&lt;3km)", IF(S228&lt;='Methodology &amp; Assumptions'!$B$9, "Near Optical / Microwave (&lt;5km)", "Starlink Business LEO Satellite Backhaul (&gt;5km)"))</f>
        <v/>
      </c>
      <c r="V228" s="26" t="n">
        <v>50.09</v>
      </c>
      <c r="W228" s="26" t="n">
        <v>69.45</v>
      </c>
      <c r="X228" s="26">
        <f>ROUND(('Methodology &amp; Assumptions'!$B$5*V228) + ('Methodology &amp; Assumptions'!$B$6*W228), 2)</f>
        <v/>
      </c>
      <c r="Y228" s="28" t="n">
        <v>10.9</v>
      </c>
      <c r="Z228" s="11" t="inlineStr">
        <is>
          <t>Priority Tier 3 (Broadband Expansion)</t>
        </is>
      </c>
    </row>
    <row r="229">
      <c r="A229" s="23" t="n">
        <v>4</v>
      </c>
      <c r="B229" s="23" t="n">
        <v>225</v>
      </c>
      <c r="C229" s="23" t="n">
        <v>3225</v>
      </c>
      <c r="D229" s="23" t="inlineStr">
        <is>
          <t>1380610055</t>
        </is>
      </c>
      <c r="E229" s="11" t="inlineStr">
        <is>
          <t>National Capital Region (NCR)</t>
        </is>
      </c>
      <c r="F229" s="11" t="inlineStr">
        <is>
          <t>First District (Not a Province)</t>
        </is>
      </c>
      <c r="G229" s="11" t="inlineStr">
        <is>
          <t>City of Manila</t>
        </is>
      </c>
      <c r="H229" s="11" t="inlineStr">
        <is>
          <t>Barangay 741</t>
        </is>
      </c>
      <c r="I229" s="24" t="n">
        <v>14.574044</v>
      </c>
      <c r="J229" s="24" t="n">
        <v>120.996381</v>
      </c>
      <c r="K229" s="23" t="inlineStr">
        <is>
          <t>U</t>
        </is>
      </c>
      <c r="L229" s="25" t="n">
        <v>1296</v>
      </c>
      <c r="M229" s="26" t="n">
        <v>5.14</v>
      </c>
      <c r="N229" s="25">
        <f>ROUND(L229/M229, 0)</f>
        <v/>
      </c>
      <c r="O229" s="25">
        <f>ROUND(N229*'Methodology &amp; Assumptions'!$B$7, 0)</f>
        <v/>
      </c>
      <c r="P229" s="23" t="inlineStr">
        <is>
          <t>Single Carrier (Band n50, 100MHz TDD)</t>
        </is>
      </c>
      <c r="Q229" s="27">
        <f>ROUNDUP(O229/'Methodology &amp; Assumptions'!$B$8, 0)</f>
        <v/>
      </c>
      <c r="R229" s="27" t="n">
        <v>1</v>
      </c>
      <c r="S229" s="26" t="n">
        <v>0.32</v>
      </c>
      <c r="T229" s="26" t="n">
        <v>0.2</v>
      </c>
      <c r="U229" s="11">
        <f>IF(S229&lt;='Methodology &amp; Assumptions'!$B$10, "Direct Optical Drop (&lt;3km)", IF(S229&lt;='Methodology &amp; Assumptions'!$B$9, "Near Optical / Microwave (&lt;5km)", "Starlink Business LEO Satellite Backhaul (&gt;5km)"))</f>
        <v/>
      </c>
      <c r="V229" s="26" t="n">
        <v>49.23</v>
      </c>
      <c r="W229" s="26" t="n">
        <v>70.31</v>
      </c>
      <c r="X229" s="26">
        <f>ROUND(('Methodology &amp; Assumptions'!$B$5*V229) + ('Methodology &amp; Assumptions'!$B$6*W229), 2)</f>
        <v/>
      </c>
      <c r="Y229" s="28" t="n">
        <v>10.9</v>
      </c>
      <c r="Z229" s="11" t="inlineStr">
        <is>
          <t>Priority Tier 3 (Broadband Expansion)</t>
        </is>
      </c>
    </row>
    <row r="230">
      <c r="A230" s="23" t="n">
        <v>4</v>
      </c>
      <c r="B230" s="23" t="n">
        <v>226</v>
      </c>
      <c r="C230" s="23" t="n">
        <v>3226</v>
      </c>
      <c r="D230" s="23" t="inlineStr">
        <is>
          <t>1380604006</t>
        </is>
      </c>
      <c r="E230" s="11" t="inlineStr">
        <is>
          <t>National Capital Region (NCR)</t>
        </is>
      </c>
      <c r="F230" s="11" t="inlineStr">
        <is>
          <t>First District (Not a Province)</t>
        </is>
      </c>
      <c r="G230" s="11" t="inlineStr">
        <is>
          <t>City of Manila</t>
        </is>
      </c>
      <c r="H230" s="11" t="inlineStr">
        <is>
          <t>Barangay 273</t>
        </is>
      </c>
      <c r="I230" s="24" t="n">
        <v>14.599464</v>
      </c>
      <c r="J230" s="24" t="n">
        <v>120.968093</v>
      </c>
      <c r="K230" s="23" t="inlineStr">
        <is>
          <t>U</t>
        </is>
      </c>
      <c r="L230" s="25" t="n">
        <v>454</v>
      </c>
      <c r="M230" s="26" t="n">
        <v>3.03</v>
      </c>
      <c r="N230" s="25">
        <f>ROUND(L230/M230, 0)</f>
        <v/>
      </c>
      <c r="O230" s="25">
        <f>ROUND(N230*'Methodology &amp; Assumptions'!$B$7, 0)</f>
        <v/>
      </c>
      <c r="P230" s="23" t="inlineStr">
        <is>
          <t>Single Carrier (Band n50, 100MHz TDD)</t>
        </is>
      </c>
      <c r="Q230" s="27">
        <f>ROUNDUP(O230/'Methodology &amp; Assumptions'!$B$8, 0)</f>
        <v/>
      </c>
      <c r="R230" s="27" t="n">
        <v>1</v>
      </c>
      <c r="S230" s="26" t="n">
        <v>0.83</v>
      </c>
      <c r="T230" s="26" t="n">
        <v>0.83</v>
      </c>
      <c r="U230" s="11">
        <f>IF(S230&lt;='Methodology &amp; Assumptions'!$B$10, "Direct Optical Drop (&lt;3km)", IF(S230&lt;='Methodology &amp; Assumptions'!$B$9, "Near Optical / Microwave (&lt;5km)", "Starlink Business LEO Satellite Backhaul (&gt;5km)"))</f>
        <v/>
      </c>
      <c r="V230" s="26" t="n">
        <v>45.91</v>
      </c>
      <c r="W230" s="26" t="n">
        <v>73.63</v>
      </c>
      <c r="X230" s="26">
        <f>ROUND(('Methodology &amp; Assumptions'!$B$5*V230) + ('Methodology &amp; Assumptions'!$B$6*W230), 2)</f>
        <v/>
      </c>
      <c r="Y230" s="28" t="n">
        <v>10.9</v>
      </c>
      <c r="Z230" s="11" t="inlineStr">
        <is>
          <t>Priority Tier 3 (Broadband Expansion)</t>
        </is>
      </c>
    </row>
    <row r="231">
      <c r="A231" s="23" t="n">
        <v>4</v>
      </c>
      <c r="B231" s="23" t="n">
        <v>227</v>
      </c>
      <c r="C231" s="23" t="n">
        <v>3227</v>
      </c>
      <c r="D231" s="23" t="inlineStr">
        <is>
          <t>0301423002</t>
        </is>
      </c>
      <c r="E231" s="11" t="inlineStr">
        <is>
          <t>Region III (Central Luzon)</t>
        </is>
      </c>
      <c r="F231" s="11" t="inlineStr">
        <is>
          <t>Bulacan</t>
        </is>
      </c>
      <c r="G231" s="11" t="inlineStr">
        <is>
          <t>Santa Maria</t>
        </is>
      </c>
      <c r="H231" s="11" t="inlineStr">
        <is>
          <t>Balasing</t>
        </is>
      </c>
      <c r="I231" s="24" t="n">
        <v>14.851039</v>
      </c>
      <c r="J231" s="24" t="n">
        <v>121.006688</v>
      </c>
      <c r="K231" s="23" t="inlineStr">
        <is>
          <t>U</t>
        </is>
      </c>
      <c r="L231" s="25" t="n">
        <v>10173</v>
      </c>
      <c r="M231" s="26" t="n">
        <v>3.5</v>
      </c>
      <c r="N231" s="25">
        <f>ROUND(L231/M231, 0)</f>
        <v/>
      </c>
      <c r="O231" s="25">
        <f>ROUND(N231*'Methodology &amp; Assumptions'!$B$7, 0)</f>
        <v/>
      </c>
      <c r="P231" s="23" t="inlineStr">
        <is>
          <t>Single Carrier (Band n50, 100MHz TDD)</t>
        </is>
      </c>
      <c r="Q231" s="27">
        <f>ROUNDUP(O231/'Methodology &amp; Assumptions'!$B$8, 0)</f>
        <v/>
      </c>
      <c r="R231" s="27" t="n">
        <v>1</v>
      </c>
      <c r="S231" s="26" t="n">
        <v>0.23</v>
      </c>
      <c r="T231" s="26" t="n">
        <v>1.99</v>
      </c>
      <c r="U231" s="11">
        <f>IF(S231&lt;='Methodology &amp; Assumptions'!$B$10, "Direct Optical Drop (&lt;3km)", IF(S231&lt;='Methodology &amp; Assumptions'!$B$9, "Near Optical / Microwave (&lt;5km)", "Starlink Business LEO Satellite Backhaul (&gt;5km)"))</f>
        <v/>
      </c>
      <c r="V231" s="26" t="n">
        <v>78.43000000000001</v>
      </c>
      <c r="W231" s="26" t="n">
        <v>41.08</v>
      </c>
      <c r="X231" s="26">
        <f>ROUND(('Methodology &amp; Assumptions'!$B$5*V231) + ('Methodology &amp; Assumptions'!$B$6*W231), 2)</f>
        <v/>
      </c>
      <c r="Y231" s="28" t="n">
        <v>8.300000000000001</v>
      </c>
      <c r="Z231" s="11" t="inlineStr">
        <is>
          <t>Priority Tier 3 (Broadband Expansion)</t>
        </is>
      </c>
    </row>
    <row r="232">
      <c r="A232" s="23" t="n">
        <v>4</v>
      </c>
      <c r="B232" s="23" t="n">
        <v>228</v>
      </c>
      <c r="C232" s="23" t="n">
        <v>3228</v>
      </c>
      <c r="D232" s="23" t="inlineStr">
        <is>
          <t>0301403005</t>
        </is>
      </c>
      <c r="E232" s="11" t="inlineStr">
        <is>
          <t>Region III (Central Luzon)</t>
        </is>
      </c>
      <c r="F232" s="11" t="inlineStr">
        <is>
          <t>Bulacan</t>
        </is>
      </c>
      <c r="G232" s="11" t="inlineStr">
        <is>
          <t>Baliuag</t>
        </is>
      </c>
      <c r="H232" s="11" t="inlineStr">
        <is>
          <t>Concepcion</t>
        </is>
      </c>
      <c r="I232" s="24" t="n">
        <v>14.965331</v>
      </c>
      <c r="J232" s="24" t="n">
        <v>120.88432</v>
      </c>
      <c r="K232" s="23" t="inlineStr">
        <is>
          <t>U</t>
        </is>
      </c>
      <c r="L232" s="25" t="n">
        <v>10619</v>
      </c>
      <c r="M232" s="26" t="n">
        <v>3.5</v>
      </c>
      <c r="N232" s="25">
        <f>ROUND(L232/M232, 0)</f>
        <v/>
      </c>
      <c r="O232" s="25">
        <f>ROUND(N232*'Methodology &amp; Assumptions'!$B$7, 0)</f>
        <v/>
      </c>
      <c r="P232" s="23" t="inlineStr">
        <is>
          <t>Single Carrier (Band n50, 100MHz TDD)</t>
        </is>
      </c>
      <c r="Q232" s="27">
        <f>ROUNDUP(O232/'Methodology &amp; Assumptions'!$B$8, 0)</f>
        <v/>
      </c>
      <c r="R232" s="27" t="n">
        <v>1</v>
      </c>
      <c r="S232" s="26" t="n">
        <v>1.97</v>
      </c>
      <c r="T232" s="26" t="n">
        <v>0.9399999999999999</v>
      </c>
      <c r="U232" s="11">
        <f>IF(S232&lt;='Methodology &amp; Assumptions'!$B$10, "Direct Optical Drop (&lt;3km)", IF(S232&lt;='Methodology &amp; Assumptions'!$B$9, "Near Optical / Microwave (&lt;5km)", "Starlink Business LEO Satellite Backhaul (&gt;5km)"))</f>
        <v/>
      </c>
      <c r="V232" s="26" t="n">
        <v>74.31</v>
      </c>
      <c r="W232" s="26" t="n">
        <v>45.22</v>
      </c>
      <c r="X232" s="26">
        <f>ROUND(('Methodology &amp; Assumptions'!$B$5*V232) + ('Methodology &amp; Assumptions'!$B$6*W232), 2)</f>
        <v/>
      </c>
      <c r="Y232" s="28" t="n">
        <v>8.300000000000001</v>
      </c>
      <c r="Z232" s="11" t="inlineStr">
        <is>
          <t>Priority Tier 3 (Broadband Expansion)</t>
        </is>
      </c>
    </row>
    <row r="233">
      <c r="A233" s="23" t="n">
        <v>4</v>
      </c>
      <c r="B233" s="23" t="n">
        <v>229</v>
      </c>
      <c r="C233" s="23" t="n">
        <v>3229</v>
      </c>
      <c r="D233" s="23" t="inlineStr">
        <is>
          <t>1381300055</t>
        </is>
      </c>
      <c r="E233" s="11" t="inlineStr">
        <is>
          <t>National Capital Region (NCR)</t>
        </is>
      </c>
      <c r="F233" s="11" t="inlineStr">
        <is>
          <t>Second District (Not a Province)</t>
        </is>
      </c>
      <c r="G233" s="11" t="inlineStr">
        <is>
          <t>Quezon City</t>
        </is>
      </c>
      <c r="H233" s="11" t="inlineStr">
        <is>
          <t>Loyola Heights</t>
        </is>
      </c>
      <c r="I233" s="24" t="n">
        <v>14.64117</v>
      </c>
      <c r="J233" s="24" t="n">
        <v>121.0737</v>
      </c>
      <c r="K233" s="23" t="inlineStr">
        <is>
          <t>U</t>
        </is>
      </c>
      <c r="L233" s="25" t="n">
        <v>21768</v>
      </c>
      <c r="M233" s="26" t="n">
        <v>4.34</v>
      </c>
      <c r="N233" s="25">
        <f>ROUND(L233/M233, 0)</f>
        <v/>
      </c>
      <c r="O233" s="25">
        <f>ROUND(N233*'Methodology &amp; Assumptions'!$B$7, 0)</f>
        <v/>
      </c>
      <c r="P233" s="23" t="inlineStr">
        <is>
          <t>Single Carrier (Band n50, 100MHz TDD)</t>
        </is>
      </c>
      <c r="Q233" s="27">
        <f>ROUNDUP(O233/'Methodology &amp; Assumptions'!$B$8, 0)</f>
        <v/>
      </c>
      <c r="R233" s="27" t="n">
        <v>1</v>
      </c>
      <c r="S233" s="26" t="n">
        <v>1.7</v>
      </c>
      <c r="T233" s="26" t="n">
        <v>0.08</v>
      </c>
      <c r="U233" s="11">
        <f>IF(S233&lt;='Methodology &amp; Assumptions'!$B$10, "Direct Optical Drop (&lt;3km)", IF(S233&lt;='Methodology &amp; Assumptions'!$B$9, "Near Optical / Microwave (&lt;5km)", "Starlink Business LEO Satellite Backhaul (&gt;5km)"))</f>
        <v/>
      </c>
      <c r="V233" s="26" t="n">
        <v>65.43000000000001</v>
      </c>
      <c r="W233" s="26" t="n">
        <v>54.09</v>
      </c>
      <c r="X233" s="26">
        <f>ROUND(('Methodology &amp; Assumptions'!$B$5*V233) + ('Methodology &amp; Assumptions'!$B$6*W233), 2)</f>
        <v/>
      </c>
      <c r="Y233" s="28" t="n">
        <v>10.9</v>
      </c>
      <c r="Z233" s="11" t="inlineStr">
        <is>
          <t>Priority Tier 3 (Broadband Expansion)</t>
        </is>
      </c>
    </row>
    <row r="234">
      <c r="A234" s="23" t="n">
        <v>4</v>
      </c>
      <c r="B234" s="23" t="n">
        <v>230</v>
      </c>
      <c r="C234" s="23" t="n">
        <v>3230</v>
      </c>
      <c r="D234" s="23" t="inlineStr">
        <is>
          <t>1380606078</t>
        </is>
      </c>
      <c r="E234" s="11" t="inlineStr">
        <is>
          <t>National Capital Region (NCR)</t>
        </is>
      </c>
      <c r="F234" s="11" t="inlineStr">
        <is>
          <t>First District (Not a Province)</t>
        </is>
      </c>
      <c r="G234" s="11" t="inlineStr">
        <is>
          <t>City of Manila</t>
        </is>
      </c>
      <c r="H234" s="11" t="inlineStr">
        <is>
          <t>Barangay 472</t>
        </is>
      </c>
      <c r="I234" s="24" t="n">
        <v>14.614069</v>
      </c>
      <c r="J234" s="24" t="n">
        <v>120.994264</v>
      </c>
      <c r="K234" s="23" t="inlineStr">
        <is>
          <t>U</t>
        </is>
      </c>
      <c r="L234" s="25" t="n">
        <v>1126</v>
      </c>
      <c r="M234" s="26" t="n">
        <v>3.53</v>
      </c>
      <c r="N234" s="25">
        <f>ROUND(L234/M234, 0)</f>
        <v/>
      </c>
      <c r="O234" s="25">
        <f>ROUND(N234*'Methodology &amp; Assumptions'!$B$7, 0)</f>
        <v/>
      </c>
      <c r="P234" s="23" t="inlineStr">
        <is>
          <t>Single Carrier (Band n50, 100MHz TDD)</t>
        </is>
      </c>
      <c r="Q234" s="27">
        <f>ROUNDUP(O234/'Methodology &amp; Assumptions'!$B$8, 0)</f>
        <v/>
      </c>
      <c r="R234" s="27" t="n">
        <v>1</v>
      </c>
      <c r="S234" s="26" t="n">
        <v>1.08</v>
      </c>
      <c r="T234" s="26" t="n">
        <v>0.42</v>
      </c>
      <c r="U234" s="11">
        <f>IF(S234&lt;='Methodology &amp; Assumptions'!$B$10, "Direct Optical Drop (&lt;3km)", IF(S234&lt;='Methodology &amp; Assumptions'!$B$9, "Near Optical / Microwave (&lt;5km)", "Starlink Business LEO Satellite Backhaul (&gt;5km)"))</f>
        <v/>
      </c>
      <c r="V234" s="26" t="n">
        <v>50.46</v>
      </c>
      <c r="W234" s="26" t="n">
        <v>69.06999999999999</v>
      </c>
      <c r="X234" s="26">
        <f>ROUND(('Methodology &amp; Assumptions'!$B$5*V234) + ('Methodology &amp; Assumptions'!$B$6*W234), 2)</f>
        <v/>
      </c>
      <c r="Y234" s="28" t="n">
        <v>10.9</v>
      </c>
      <c r="Z234" s="11" t="inlineStr">
        <is>
          <t>Priority Tier 3 (Broadband Expansion)</t>
        </is>
      </c>
    </row>
    <row r="235">
      <c r="A235" s="23" t="n">
        <v>4</v>
      </c>
      <c r="B235" s="23" t="n">
        <v>231</v>
      </c>
      <c r="C235" s="23" t="n">
        <v>3231</v>
      </c>
      <c r="D235" s="23" t="inlineStr">
        <is>
          <t>1380606180</t>
        </is>
      </c>
      <c r="E235" s="11" t="inlineStr">
        <is>
          <t>National Capital Region (NCR)</t>
        </is>
      </c>
      <c r="F235" s="11" t="inlineStr">
        <is>
          <t>First District (Not a Province)</t>
        </is>
      </c>
      <c r="G235" s="11" t="inlineStr">
        <is>
          <t>City of Manila</t>
        </is>
      </c>
      <c r="H235" s="11" t="inlineStr">
        <is>
          <t>Barangay 574</t>
        </is>
      </c>
      <c r="I235" s="24" t="n">
        <v>14.606075</v>
      </c>
      <c r="J235" s="24" t="n">
        <v>121.004659</v>
      </c>
      <c r="K235" s="23" t="inlineStr">
        <is>
          <t>U</t>
        </is>
      </c>
      <c r="L235" s="25" t="n">
        <v>1043</v>
      </c>
      <c r="M235" s="26" t="n">
        <v>3.79</v>
      </c>
      <c r="N235" s="25">
        <f>ROUND(L235/M235, 0)</f>
        <v/>
      </c>
      <c r="O235" s="25">
        <f>ROUND(N235*'Methodology &amp; Assumptions'!$B$7, 0)</f>
        <v/>
      </c>
      <c r="P235" s="23" t="inlineStr">
        <is>
          <t>Single Carrier (Band n50, 100MHz TDD)</t>
        </is>
      </c>
      <c r="Q235" s="27">
        <f>ROUNDUP(O235/'Methodology &amp; Assumptions'!$B$8, 0)</f>
        <v/>
      </c>
      <c r="R235" s="27" t="n">
        <v>1</v>
      </c>
      <c r="S235" s="26" t="n">
        <v>0.45</v>
      </c>
      <c r="T235" s="26" t="n">
        <v>0.28</v>
      </c>
      <c r="U235" s="11">
        <f>IF(S235&lt;='Methodology &amp; Assumptions'!$B$10, "Direct Optical Drop (&lt;3km)", IF(S235&lt;='Methodology &amp; Assumptions'!$B$9, "Near Optical / Microwave (&lt;5km)", "Starlink Business LEO Satellite Backhaul (&gt;5km)"))</f>
        <v/>
      </c>
      <c r="V235" s="26" t="n">
        <v>49.88</v>
      </c>
      <c r="W235" s="26" t="n">
        <v>69.65000000000001</v>
      </c>
      <c r="X235" s="26">
        <f>ROUND(('Methodology &amp; Assumptions'!$B$5*V235) + ('Methodology &amp; Assumptions'!$B$6*W235), 2)</f>
        <v/>
      </c>
      <c r="Y235" s="28" t="n">
        <v>10.9</v>
      </c>
      <c r="Z235" s="11" t="inlineStr">
        <is>
          <t>Priority Tier 3 (Broadband Expansion)</t>
        </is>
      </c>
    </row>
    <row r="236">
      <c r="A236" s="23" t="n">
        <v>4</v>
      </c>
      <c r="B236" s="23" t="n">
        <v>232</v>
      </c>
      <c r="C236" s="23" t="n">
        <v>3232</v>
      </c>
      <c r="D236" s="23" t="inlineStr">
        <is>
          <t>1381100143</t>
        </is>
      </c>
      <c r="E236" s="11" t="inlineStr">
        <is>
          <t>National Capital Region (NCR)</t>
        </is>
      </c>
      <c r="F236" s="11" t="inlineStr">
        <is>
          <t>Fourth District (Not a Province)</t>
        </is>
      </c>
      <c r="G236" s="11" t="inlineStr">
        <is>
          <t>Pasay City</t>
        </is>
      </c>
      <c r="H236" s="11" t="inlineStr">
        <is>
          <t>Barangay 143</t>
        </is>
      </c>
      <c r="I236" s="24" t="n">
        <v>14.539929</v>
      </c>
      <c r="J236" s="24" t="n">
        <v>121.007619</v>
      </c>
      <c r="K236" s="23" t="inlineStr">
        <is>
          <t>U</t>
        </is>
      </c>
      <c r="L236" s="25" t="n">
        <v>817</v>
      </c>
      <c r="M236" s="26" t="n">
        <v>3.15</v>
      </c>
      <c r="N236" s="25">
        <f>ROUND(L236/M236, 0)</f>
        <v/>
      </c>
      <c r="O236" s="25">
        <f>ROUND(N236*'Methodology &amp; Assumptions'!$B$7, 0)</f>
        <v/>
      </c>
      <c r="P236" s="23" t="inlineStr">
        <is>
          <t>Single Carrier (Band n50, 100MHz TDD)</t>
        </is>
      </c>
      <c r="Q236" s="27">
        <f>ROUNDUP(O236/'Methodology &amp; Assumptions'!$B$8, 0)</f>
        <v/>
      </c>
      <c r="R236" s="27" t="n">
        <v>1</v>
      </c>
      <c r="S236" s="26" t="n">
        <v>1.17</v>
      </c>
      <c r="T236" s="26" t="n">
        <v>0.53</v>
      </c>
      <c r="U236" s="11">
        <f>IF(S236&lt;='Methodology &amp; Assumptions'!$B$10, "Direct Optical Drop (&lt;3km)", IF(S236&lt;='Methodology &amp; Assumptions'!$B$9, "Near Optical / Microwave (&lt;5km)", "Starlink Business LEO Satellite Backhaul (&gt;5km)"))</f>
        <v/>
      </c>
      <c r="V236" s="26" t="n">
        <v>48.2</v>
      </c>
      <c r="W236" s="26" t="n">
        <v>71.33</v>
      </c>
      <c r="X236" s="26">
        <f>ROUND(('Methodology &amp; Assumptions'!$B$5*V236) + ('Methodology &amp; Assumptions'!$B$6*W236), 2)</f>
        <v/>
      </c>
      <c r="Y236" s="28" t="n">
        <v>10.9</v>
      </c>
      <c r="Z236" s="11" t="inlineStr">
        <is>
          <t>Priority Tier 3 (Broadband Expansion)</t>
        </is>
      </c>
    </row>
    <row r="237">
      <c r="A237" s="23" t="n">
        <v>4</v>
      </c>
      <c r="B237" s="23" t="n">
        <v>233</v>
      </c>
      <c r="C237" s="23" t="n">
        <v>3233</v>
      </c>
      <c r="D237" s="23" t="inlineStr">
        <is>
          <t>0803726022</t>
        </is>
      </c>
      <c r="E237" s="11" t="inlineStr">
        <is>
          <t>Region VIII (Eastern Visayas)</t>
        </is>
      </c>
      <c r="F237" s="11" t="inlineStr">
        <is>
          <t>Leyte</t>
        </is>
      </c>
      <c r="G237" s="11" t="inlineStr">
        <is>
          <t>Kananga</t>
        </is>
      </c>
      <c r="H237" s="11" t="inlineStr">
        <is>
          <t>Tongonan</t>
        </is>
      </c>
      <c r="I237" s="24" t="n">
        <v>11.1602</v>
      </c>
      <c r="J237" s="24" t="n">
        <v>124.6702</v>
      </c>
      <c r="K237" s="23" t="inlineStr">
        <is>
          <t>U</t>
        </is>
      </c>
      <c r="L237" s="25" t="n">
        <v>1652</v>
      </c>
      <c r="M237" s="26" t="n">
        <v>3.8</v>
      </c>
      <c r="N237" s="25">
        <f>ROUND(L237/M237, 0)</f>
        <v/>
      </c>
      <c r="O237" s="25">
        <f>ROUND(N237*'Methodology &amp; Assumptions'!$B$7, 0)</f>
        <v/>
      </c>
      <c r="P237" s="23" t="inlineStr">
        <is>
          <t>Single Carrier (Band n50, 100MHz TDD)</t>
        </is>
      </c>
      <c r="Q237" s="27">
        <f>ROUNDUP(O237/'Methodology &amp; Assumptions'!$B$8, 0)</f>
        <v/>
      </c>
      <c r="R237" s="27" t="n">
        <v>1</v>
      </c>
      <c r="S237" s="26" t="n">
        <v>11.9</v>
      </c>
      <c r="T237" s="26" t="n">
        <v>9.859999999999999</v>
      </c>
      <c r="U237" s="11">
        <f>IF(S237&lt;='Methodology &amp; Assumptions'!$B$10, "Direct Optical Drop (&lt;3km)", IF(S237&lt;='Methodology &amp; Assumptions'!$B$9, "Near Optical / Microwave (&lt;5km)", "Starlink Business LEO Satellite Backhaul (&gt;5km)"))</f>
        <v/>
      </c>
      <c r="V237" s="26" t="n">
        <v>44.85</v>
      </c>
      <c r="W237" s="26" t="n">
        <v>74.67</v>
      </c>
      <c r="X237" s="26">
        <f>ROUND(('Methodology &amp; Assumptions'!$B$5*V237) + ('Methodology &amp; Assumptions'!$B$6*W237), 2)</f>
        <v/>
      </c>
      <c r="Y237" s="28" t="n">
        <v>23.7</v>
      </c>
      <c r="Z237" s="11" t="inlineStr">
        <is>
          <t>Priority Tier 3 (Broadband Expansion)</t>
        </is>
      </c>
    </row>
    <row r="238">
      <c r="A238" s="23" t="n">
        <v>4</v>
      </c>
      <c r="B238" s="23" t="n">
        <v>234</v>
      </c>
      <c r="C238" s="23" t="n">
        <v>3234</v>
      </c>
      <c r="D238" s="23" t="inlineStr">
        <is>
          <t>0304924001</t>
        </is>
      </c>
      <c r="E238" s="11" t="inlineStr">
        <is>
          <t>Region III (Central Luzon)</t>
        </is>
      </c>
      <c r="F238" s="11" t="inlineStr">
        <is>
          <t>Nueva Ecija</t>
        </is>
      </c>
      <c r="G238" s="11" t="inlineStr">
        <is>
          <t>San Antonio</t>
        </is>
      </c>
      <c r="H238" s="11" t="inlineStr">
        <is>
          <t>Buliran</t>
        </is>
      </c>
      <c r="I238" s="24" t="n">
        <v>15.270989</v>
      </c>
      <c r="J238" s="24" t="n">
        <v>120.86438</v>
      </c>
      <c r="K238" s="23" t="inlineStr">
        <is>
          <t>R</t>
        </is>
      </c>
      <c r="L238" s="25" t="n">
        <v>5048</v>
      </c>
      <c r="M238" s="26" t="n">
        <v>3.5</v>
      </c>
      <c r="N238" s="25">
        <f>ROUND(L238/M238, 0)</f>
        <v/>
      </c>
      <c r="O238" s="25">
        <f>ROUND(N238*'Methodology &amp; Assumptions'!$B$7, 0)</f>
        <v/>
      </c>
      <c r="P238" s="23" t="inlineStr">
        <is>
          <t>Single Carrier (Band n50, 100MHz TDD)</t>
        </is>
      </c>
      <c r="Q238" s="27">
        <f>ROUNDUP(O238/'Methodology &amp; Assumptions'!$B$8, 0)</f>
        <v/>
      </c>
      <c r="R238" s="27" t="n">
        <v>1</v>
      </c>
      <c r="S238" s="26" t="n">
        <v>0.98</v>
      </c>
      <c r="T238" s="26" t="n">
        <v>0.92</v>
      </c>
      <c r="U238" s="11">
        <f>IF(S238&lt;='Methodology &amp; Assumptions'!$B$10, "Direct Optical Drop (&lt;3km)", IF(S238&lt;='Methodology &amp; Assumptions'!$B$9, "Near Optical / Microwave (&lt;5km)", "Starlink Business LEO Satellite Backhaul (&gt;5km)"))</f>
        <v/>
      </c>
      <c r="V238" s="26" t="n">
        <v>85.09</v>
      </c>
      <c r="W238" s="26" t="n">
        <v>34.42</v>
      </c>
      <c r="X238" s="26">
        <f>ROUND(('Methodology &amp; Assumptions'!$B$5*V238) + ('Methodology &amp; Assumptions'!$B$6*W238), 2)</f>
        <v/>
      </c>
      <c r="Y238" s="28" t="n">
        <v>8.300000000000001</v>
      </c>
      <c r="Z238" s="11" t="inlineStr">
        <is>
          <t>Priority Tier 3 (Broadband Expansion)</t>
        </is>
      </c>
    </row>
    <row r="239">
      <c r="A239" s="23" t="n">
        <v>4</v>
      </c>
      <c r="B239" s="23" t="n">
        <v>235</v>
      </c>
      <c r="C239" s="23" t="n">
        <v>3235</v>
      </c>
      <c r="D239" s="23" t="inlineStr">
        <is>
          <t>0301423017</t>
        </is>
      </c>
      <c r="E239" s="11" t="inlineStr">
        <is>
          <t>Region III (Central Luzon)</t>
        </is>
      </c>
      <c r="F239" s="11" t="inlineStr">
        <is>
          <t>Bulacan</t>
        </is>
      </c>
      <c r="G239" s="11" t="inlineStr">
        <is>
          <t>Santa Maria</t>
        </is>
      </c>
      <c r="H239" s="11" t="inlineStr">
        <is>
          <t>Pulong Buhangin</t>
        </is>
      </c>
      <c r="I239" s="24" t="n">
        <v>14.871311</v>
      </c>
      <c r="J239" s="24" t="n">
        <v>121.001661</v>
      </c>
      <c r="K239" s="23" t="inlineStr">
        <is>
          <t>U</t>
        </is>
      </c>
      <c r="L239" s="25" t="n">
        <v>43084</v>
      </c>
      <c r="M239" s="26" t="n">
        <v>3.5</v>
      </c>
      <c r="N239" s="25">
        <f>ROUND(L239/M239, 0)</f>
        <v/>
      </c>
      <c r="O239" s="25">
        <f>ROUND(N239*'Methodology &amp; Assumptions'!$B$7, 0)</f>
        <v/>
      </c>
      <c r="P239" s="23" t="inlineStr">
        <is>
          <t>Single Carrier (Band n50, 100MHz TDD)</t>
        </is>
      </c>
      <c r="Q239" s="27">
        <f>ROUNDUP(O239/'Methodology &amp; Assumptions'!$B$8, 0)</f>
        <v/>
      </c>
      <c r="R239" s="27" t="n">
        <v>1</v>
      </c>
      <c r="S239" s="26" t="n">
        <v>1.07</v>
      </c>
      <c r="T239" s="26" t="n">
        <v>0.08</v>
      </c>
      <c r="U239" s="11">
        <f>IF(S239&lt;='Methodology &amp; Assumptions'!$B$10, "Direct Optical Drop (&lt;3km)", IF(S239&lt;='Methodology &amp; Assumptions'!$B$9, "Near Optical / Microwave (&lt;5km)", "Starlink Business LEO Satellite Backhaul (&gt;5km)"))</f>
        <v/>
      </c>
      <c r="V239" s="26" t="n">
        <v>76.40000000000001</v>
      </c>
      <c r="W239" s="26" t="n">
        <v>43.1</v>
      </c>
      <c r="X239" s="26">
        <f>ROUND(('Methodology &amp; Assumptions'!$B$5*V239) + ('Methodology &amp; Assumptions'!$B$6*W239), 2)</f>
        <v/>
      </c>
      <c r="Y239" s="28" t="n">
        <v>8.300000000000001</v>
      </c>
      <c r="Z239" s="11" t="inlineStr">
        <is>
          <t>Priority Tier 3 (Broadband Expansion)</t>
        </is>
      </c>
    </row>
    <row r="240">
      <c r="A240" s="23" t="n">
        <v>4</v>
      </c>
      <c r="B240" s="23" t="n">
        <v>236</v>
      </c>
      <c r="C240" s="23" t="n">
        <v>3236</v>
      </c>
      <c r="D240" s="23" t="inlineStr">
        <is>
          <t>1380200017</t>
        </is>
      </c>
      <c r="E240" s="11" t="inlineStr">
        <is>
          <t>National Capital Region (NCR)</t>
        </is>
      </c>
      <c r="F240" s="11" t="inlineStr">
        <is>
          <t>Fourth District (Not a Province)</t>
        </is>
      </c>
      <c r="G240" s="11" t="inlineStr">
        <is>
          <t>City of Las Piñas</t>
        </is>
      </c>
      <c r="H240" s="11" t="inlineStr">
        <is>
          <t>Talon Dos</t>
        </is>
      </c>
      <c r="I240" s="24" t="n">
        <v>14.432677</v>
      </c>
      <c r="J240" s="24" t="n">
        <v>120.985474</v>
      </c>
      <c r="K240" s="23" t="inlineStr">
        <is>
          <t>U</t>
        </is>
      </c>
      <c r="L240" s="25" t="n">
        <v>44452</v>
      </c>
      <c r="M240" s="26" t="n">
        <v>3.57</v>
      </c>
      <c r="N240" s="25">
        <f>ROUND(L240/M240, 0)</f>
        <v/>
      </c>
      <c r="O240" s="25">
        <f>ROUND(N240*'Methodology &amp; Assumptions'!$B$7, 0)</f>
        <v/>
      </c>
      <c r="P240" s="23" t="inlineStr">
        <is>
          <t>Single Carrier (Band n50, 100MHz TDD)</t>
        </is>
      </c>
      <c r="Q240" s="27">
        <f>ROUNDUP(O240/'Methodology &amp; Assumptions'!$B$8, 0)</f>
        <v/>
      </c>
      <c r="R240" s="27" t="n">
        <v>1</v>
      </c>
      <c r="S240" s="26" t="n">
        <v>2.24</v>
      </c>
      <c r="T240" s="26" t="n">
        <v>1.59</v>
      </c>
      <c r="U240" s="11">
        <f>IF(S240&lt;='Methodology &amp; Assumptions'!$B$10, "Direct Optical Drop (&lt;3km)", IF(S240&lt;='Methodology &amp; Assumptions'!$B$9, "Near Optical / Microwave (&lt;5km)", "Starlink Business LEO Satellite Backhaul (&gt;5km)"))</f>
        <v/>
      </c>
      <c r="V240" s="26" t="n">
        <v>61.48</v>
      </c>
      <c r="W240" s="26" t="n">
        <v>58.01</v>
      </c>
      <c r="X240" s="26">
        <f>ROUND(('Methodology &amp; Assumptions'!$B$5*V240) + ('Methodology &amp; Assumptions'!$B$6*W240), 2)</f>
        <v/>
      </c>
      <c r="Y240" s="28" t="n">
        <v>10.9</v>
      </c>
      <c r="Z240" s="11" t="inlineStr">
        <is>
          <t>Priority Tier 3 (Broadband Expansion)</t>
        </is>
      </c>
    </row>
    <row r="241">
      <c r="A241" s="23" t="n">
        <v>4</v>
      </c>
      <c r="B241" s="23" t="n">
        <v>237</v>
      </c>
      <c r="C241" s="23" t="n">
        <v>3237</v>
      </c>
      <c r="D241" s="23" t="inlineStr">
        <is>
          <t>1381100103</t>
        </is>
      </c>
      <c r="E241" s="11" t="inlineStr">
        <is>
          <t>National Capital Region (NCR)</t>
        </is>
      </c>
      <c r="F241" s="11" t="inlineStr">
        <is>
          <t>Fourth District (Not a Province)</t>
        </is>
      </c>
      <c r="G241" s="11" t="inlineStr">
        <is>
          <t>Pasay City</t>
        </is>
      </c>
      <c r="H241" s="11" t="inlineStr">
        <is>
          <t>Barangay 103</t>
        </is>
      </c>
      <c r="I241" s="24" t="n">
        <v>14.545157</v>
      </c>
      <c r="J241" s="24" t="n">
        <v>121.003544</v>
      </c>
      <c r="K241" s="23" t="inlineStr">
        <is>
          <t>U</t>
        </is>
      </c>
      <c r="L241" s="25" t="n">
        <v>973</v>
      </c>
      <c r="M241" s="26" t="n">
        <v>3.34</v>
      </c>
      <c r="N241" s="25">
        <f>ROUND(L241/M241, 0)</f>
        <v/>
      </c>
      <c r="O241" s="25">
        <f>ROUND(N241*'Methodology &amp; Assumptions'!$B$7, 0)</f>
        <v/>
      </c>
      <c r="P241" s="23" t="inlineStr">
        <is>
          <t>Single Carrier (Band n50, 100MHz TDD)</t>
        </is>
      </c>
      <c r="Q241" s="27">
        <f>ROUNDUP(O241/'Methodology &amp; Assumptions'!$B$8, 0)</f>
        <v/>
      </c>
      <c r="R241" s="27" t="n">
        <v>1</v>
      </c>
      <c r="S241" s="26" t="n">
        <v>0.98</v>
      </c>
      <c r="T241" s="26" t="n">
        <v>0.35</v>
      </c>
      <c r="U241" s="11">
        <f>IF(S241&lt;='Methodology &amp; Assumptions'!$B$10, "Direct Optical Drop (&lt;3km)", IF(S241&lt;='Methodology &amp; Assumptions'!$B$9, "Near Optical / Microwave (&lt;5km)", "Starlink Business LEO Satellite Backhaul (&gt;5km)"))</f>
        <v/>
      </c>
      <c r="V241" s="26" t="n">
        <v>49.86</v>
      </c>
      <c r="W241" s="26" t="n">
        <v>69.63</v>
      </c>
      <c r="X241" s="26">
        <f>ROUND(('Methodology &amp; Assumptions'!$B$5*V241) + ('Methodology &amp; Assumptions'!$B$6*W241), 2)</f>
        <v/>
      </c>
      <c r="Y241" s="28" t="n">
        <v>10.9</v>
      </c>
      <c r="Z241" s="11" t="inlineStr">
        <is>
          <t>Priority Tier 3 (Broadband Expansion)</t>
        </is>
      </c>
    </row>
    <row r="242">
      <c r="A242" s="23" t="n">
        <v>4</v>
      </c>
      <c r="B242" s="23" t="n">
        <v>238</v>
      </c>
      <c r="C242" s="23" t="n">
        <v>3238</v>
      </c>
      <c r="D242" s="23" t="inlineStr">
        <is>
          <t>1380614015</t>
        </is>
      </c>
      <c r="E242" s="11" t="inlineStr">
        <is>
          <t>National Capital Region (NCR)</t>
        </is>
      </c>
      <c r="F242" s="11" t="inlineStr">
        <is>
          <t>First District (Not a Province)</t>
        </is>
      </c>
      <c r="G242" s="11" t="inlineStr">
        <is>
          <t>City of Manila</t>
        </is>
      </c>
      <c r="H242" s="11" t="inlineStr">
        <is>
          <t>Barangay 759</t>
        </is>
      </c>
      <c r="I242" s="24" t="n">
        <v>14.565425</v>
      </c>
      <c r="J242" s="24" t="n">
        <v>121.001792</v>
      </c>
      <c r="K242" s="23" t="inlineStr">
        <is>
          <t>U</t>
        </is>
      </c>
      <c r="L242" s="25" t="n">
        <v>802</v>
      </c>
      <c r="M242" s="26" t="n">
        <v>2.88</v>
      </c>
      <c r="N242" s="25">
        <f>ROUND(L242/M242, 0)</f>
        <v/>
      </c>
      <c r="O242" s="25">
        <f>ROUND(N242*'Methodology &amp; Assumptions'!$B$7, 0)</f>
        <v/>
      </c>
      <c r="P242" s="23" t="inlineStr">
        <is>
          <t>Single Carrier (Band n50, 100MHz TDD)</t>
        </is>
      </c>
      <c r="Q242" s="27">
        <f>ROUNDUP(O242/'Methodology &amp; Assumptions'!$B$8, 0)</f>
        <v/>
      </c>
      <c r="R242" s="27" t="n">
        <v>1</v>
      </c>
      <c r="S242" s="26" t="n">
        <v>1.1</v>
      </c>
      <c r="T242" s="26" t="n">
        <v>0.33</v>
      </c>
      <c r="U242" s="11">
        <f>IF(S242&lt;='Methodology &amp; Assumptions'!$B$10, "Direct Optical Drop (&lt;3km)", IF(S242&lt;='Methodology &amp; Assumptions'!$B$9, "Near Optical / Microwave (&lt;5km)", "Starlink Business LEO Satellite Backhaul (&gt;5km)"))</f>
        <v/>
      </c>
      <c r="V242" s="26" t="n">
        <v>49</v>
      </c>
      <c r="W242" s="26" t="n">
        <v>70.48999999999999</v>
      </c>
      <c r="X242" s="26">
        <f>ROUND(('Methodology &amp; Assumptions'!$B$5*V242) + ('Methodology &amp; Assumptions'!$B$6*W242), 2)</f>
        <v/>
      </c>
      <c r="Y242" s="28" t="n">
        <v>10.9</v>
      </c>
      <c r="Z242" s="11" t="inlineStr">
        <is>
          <t>Priority Tier 3 (Broadband Expansion)</t>
        </is>
      </c>
    </row>
    <row r="243">
      <c r="A243" s="23" t="n">
        <v>4</v>
      </c>
      <c r="B243" s="23" t="n">
        <v>239</v>
      </c>
      <c r="C243" s="23" t="n">
        <v>3239</v>
      </c>
      <c r="D243" s="23" t="inlineStr">
        <is>
          <t>1381100087</t>
        </is>
      </c>
      <c r="E243" s="11" t="inlineStr">
        <is>
          <t>National Capital Region (NCR)</t>
        </is>
      </c>
      <c r="F243" s="11" t="inlineStr">
        <is>
          <t>Fourth District (Not a Province)</t>
        </is>
      </c>
      <c r="G243" s="11" t="inlineStr">
        <is>
          <t>Pasay City</t>
        </is>
      </c>
      <c r="H243" s="11" t="inlineStr">
        <is>
          <t>Barangay 87</t>
        </is>
      </c>
      <c r="I243" s="24" t="n">
        <v>14.543045</v>
      </c>
      <c r="J243" s="24" t="n">
        <v>120.998569</v>
      </c>
      <c r="K243" s="23" t="inlineStr">
        <is>
          <t>U</t>
        </is>
      </c>
      <c r="L243" s="25" t="n">
        <v>740</v>
      </c>
      <c r="M243" s="26" t="n">
        <v>3.3</v>
      </c>
      <c r="N243" s="25">
        <f>ROUND(L243/M243, 0)</f>
        <v/>
      </c>
      <c r="O243" s="25">
        <f>ROUND(N243*'Methodology &amp; Assumptions'!$B$7, 0)</f>
        <v/>
      </c>
      <c r="P243" s="23" t="inlineStr">
        <is>
          <t>Single Carrier (Band n50, 100MHz TDD)</t>
        </is>
      </c>
      <c r="Q243" s="27">
        <f>ROUNDUP(O243/'Methodology &amp; Assumptions'!$B$8, 0)</f>
        <v/>
      </c>
      <c r="R243" s="27" t="n">
        <v>1</v>
      </c>
      <c r="S243" s="26" t="n">
        <v>0.47</v>
      </c>
      <c r="T243" s="26" t="n">
        <v>0.17</v>
      </c>
      <c r="U243" s="11">
        <f>IF(S243&lt;='Methodology &amp; Assumptions'!$B$10, "Direct Optical Drop (&lt;3km)", IF(S243&lt;='Methodology &amp; Assumptions'!$B$9, "Near Optical / Microwave (&lt;5km)", "Starlink Business LEO Satellite Backhaul (&gt;5km)"))</f>
        <v/>
      </c>
      <c r="V243" s="26" t="n">
        <v>48.27</v>
      </c>
      <c r="W243" s="26" t="n">
        <v>71.23999999999999</v>
      </c>
      <c r="X243" s="26">
        <f>ROUND(('Methodology &amp; Assumptions'!$B$5*V243) + ('Methodology &amp; Assumptions'!$B$6*W243), 2)</f>
        <v/>
      </c>
      <c r="Y243" s="28" t="n">
        <v>10.9</v>
      </c>
      <c r="Z243" s="11" t="inlineStr">
        <is>
          <t>Priority Tier 3 (Broadband Expansion)</t>
        </is>
      </c>
    </row>
    <row r="244">
      <c r="A244" s="23" t="n">
        <v>4</v>
      </c>
      <c r="B244" s="23" t="n">
        <v>240</v>
      </c>
      <c r="C244" s="23" t="n">
        <v>3240</v>
      </c>
      <c r="D244" s="23" t="inlineStr">
        <is>
          <t>1380610063</t>
        </is>
      </c>
      <c r="E244" s="11" t="inlineStr">
        <is>
          <t>National Capital Region (NCR)</t>
        </is>
      </c>
      <c r="F244" s="11" t="inlineStr">
        <is>
          <t>First District (Not a Province)</t>
        </is>
      </c>
      <c r="G244" s="11" t="inlineStr">
        <is>
          <t>City of Manila</t>
        </is>
      </c>
      <c r="H244" s="11" t="inlineStr">
        <is>
          <t>Barangay 734</t>
        </is>
      </c>
      <c r="I244" s="24" t="n">
        <v>14.576307</v>
      </c>
      <c r="J244" s="24" t="n">
        <v>120.996931</v>
      </c>
      <c r="K244" s="23" t="inlineStr">
        <is>
          <t>U</t>
        </is>
      </c>
      <c r="L244" s="25" t="n">
        <v>792</v>
      </c>
      <c r="M244" s="26" t="n">
        <v>3.88</v>
      </c>
      <c r="N244" s="25">
        <f>ROUND(L244/M244, 0)</f>
        <v/>
      </c>
      <c r="O244" s="25">
        <f>ROUND(N244*'Methodology &amp; Assumptions'!$B$7, 0)</f>
        <v/>
      </c>
      <c r="P244" s="23" t="inlineStr">
        <is>
          <t>Single Carrier (Band n50, 100MHz TDD)</t>
        </is>
      </c>
      <c r="Q244" s="27">
        <f>ROUNDUP(O244/'Methodology &amp; Assumptions'!$B$8, 0)</f>
        <v/>
      </c>
      <c r="R244" s="27" t="n">
        <v>1</v>
      </c>
      <c r="S244" s="26" t="n">
        <v>0.5600000000000001</v>
      </c>
      <c r="T244" s="26" t="n">
        <v>0.07000000000000001</v>
      </c>
      <c r="U244" s="11">
        <f>IF(S244&lt;='Methodology &amp; Assumptions'!$B$10, "Direct Optical Drop (&lt;3km)", IF(S244&lt;='Methodology &amp; Assumptions'!$B$9, "Near Optical / Microwave (&lt;5km)", "Starlink Business LEO Satellite Backhaul (&gt;5km)"))</f>
        <v/>
      </c>
      <c r="V244" s="26" t="n">
        <v>47.63</v>
      </c>
      <c r="W244" s="26" t="n">
        <v>71.88</v>
      </c>
      <c r="X244" s="26">
        <f>ROUND(('Methodology &amp; Assumptions'!$B$5*V244) + ('Methodology &amp; Assumptions'!$B$6*W244), 2)</f>
        <v/>
      </c>
      <c r="Y244" s="28" t="n">
        <v>10.9</v>
      </c>
      <c r="Z244" s="11" t="inlineStr">
        <is>
          <t>Priority Tier 3 (Broadband Expansion)</t>
        </is>
      </c>
    </row>
    <row r="245">
      <c r="A245" s="23" t="n">
        <v>4</v>
      </c>
      <c r="B245" s="23" t="n">
        <v>241</v>
      </c>
      <c r="C245" s="23" t="n">
        <v>3241</v>
      </c>
      <c r="D245" s="23" t="inlineStr">
        <is>
          <t>0102914024</t>
        </is>
      </c>
      <c r="E245" s="11" t="inlineStr">
        <is>
          <t>Region I (Ilocos Region)</t>
        </is>
      </c>
      <c r="F245" s="11" t="inlineStr">
        <is>
          <t>Ilocos Sur</t>
        </is>
      </c>
      <c r="G245" s="11" t="inlineStr">
        <is>
          <t>Narvacan</t>
        </is>
      </c>
      <c r="H245" s="11" t="inlineStr">
        <is>
          <t>Quinarayan</t>
        </is>
      </c>
      <c r="I245" s="24" t="n">
        <v>17.446021</v>
      </c>
      <c r="J245" s="24" t="n">
        <v>120.472345</v>
      </c>
      <c r="K245" s="23" t="inlineStr">
        <is>
          <t>R</t>
        </is>
      </c>
      <c r="L245" s="25" t="n">
        <v>2782</v>
      </c>
      <c r="M245" s="26" t="n">
        <v>3.8</v>
      </c>
      <c r="N245" s="25">
        <f>ROUND(L245/M245, 0)</f>
        <v/>
      </c>
      <c r="O245" s="25">
        <f>ROUND(N245*'Methodology &amp; Assumptions'!$B$7, 0)</f>
        <v/>
      </c>
      <c r="P245" s="23" t="inlineStr">
        <is>
          <t>Single Carrier (Band n50, 100MHz TDD)</t>
        </is>
      </c>
      <c r="Q245" s="27">
        <f>ROUNDUP(O245/'Methodology &amp; Assumptions'!$B$8, 0)</f>
        <v/>
      </c>
      <c r="R245" s="27" t="n">
        <v>1</v>
      </c>
      <c r="S245" s="26" t="n">
        <v>1.34</v>
      </c>
      <c r="T245" s="26" t="n">
        <v>0.08</v>
      </c>
      <c r="U245" s="11">
        <f>IF(S245&lt;='Methodology &amp; Assumptions'!$B$10, "Direct Optical Drop (&lt;3km)", IF(S245&lt;='Methodology &amp; Assumptions'!$B$9, "Near Optical / Microwave (&lt;5km)", "Starlink Business LEO Satellite Backhaul (&gt;5km)"))</f>
        <v/>
      </c>
      <c r="V245" s="26" t="n">
        <v>80.97</v>
      </c>
      <c r="W245" s="26" t="n">
        <v>38.51</v>
      </c>
      <c r="X245" s="26">
        <f>ROUND(('Methodology &amp; Assumptions'!$B$5*V245) + ('Methodology &amp; Assumptions'!$B$6*W245), 2)</f>
        <v/>
      </c>
      <c r="Y245" s="28" t="n">
        <v>8.300000000000001</v>
      </c>
      <c r="Z245" s="11" t="inlineStr">
        <is>
          <t>Priority Tier 3 (Broadband Expansion)</t>
        </is>
      </c>
    </row>
    <row r="246">
      <c r="A246" s="23" t="n">
        <v>4</v>
      </c>
      <c r="B246" s="23" t="n">
        <v>242</v>
      </c>
      <c r="C246" s="23" t="n">
        <v>3242</v>
      </c>
      <c r="D246" s="23" t="inlineStr">
        <is>
          <t>0601915010</t>
        </is>
      </c>
      <c r="E246" s="11" t="inlineStr">
        <is>
          <t>Region VI (Western Visayas)</t>
        </is>
      </c>
      <c r="F246" s="11" t="inlineStr">
        <is>
          <t>Capiz</t>
        </is>
      </c>
      <c r="G246" s="11" t="inlineStr">
        <is>
          <t>Sapi-An</t>
        </is>
      </c>
      <c r="H246" s="11" t="inlineStr">
        <is>
          <t>Poblacion</t>
        </is>
      </c>
      <c r="I246" s="24" t="n">
        <v>11.494262</v>
      </c>
      <c r="J246" s="24" t="n">
        <v>122.605201</v>
      </c>
      <c r="K246" s="23" t="inlineStr">
        <is>
          <t>U</t>
        </is>
      </c>
      <c r="L246" s="25" t="n">
        <v>5405</v>
      </c>
      <c r="M246" s="26" t="n">
        <v>3.8</v>
      </c>
      <c r="N246" s="25">
        <f>ROUND(L246/M246, 0)</f>
        <v/>
      </c>
      <c r="O246" s="25">
        <f>ROUND(N246*'Methodology &amp; Assumptions'!$B$7, 0)</f>
        <v/>
      </c>
      <c r="P246" s="23" t="inlineStr">
        <is>
          <t>Single Carrier (Band n50, 100MHz TDD)</t>
        </is>
      </c>
      <c r="Q246" s="27">
        <f>ROUNDUP(O246/'Methodology &amp; Assumptions'!$B$8, 0)</f>
        <v/>
      </c>
      <c r="R246" s="27" t="n">
        <v>1</v>
      </c>
      <c r="S246" s="26" t="n">
        <v>0.05</v>
      </c>
      <c r="T246" s="26" t="n">
        <v>0.09</v>
      </c>
      <c r="U246" s="11">
        <f>IF(S246&lt;='Methodology &amp; Assumptions'!$B$10, "Direct Optical Drop (&lt;3km)", IF(S246&lt;='Methodology &amp; Assumptions'!$B$9, "Near Optical / Microwave (&lt;5km)", "Starlink Business LEO Satellite Backhaul (&gt;5km)"))</f>
        <v/>
      </c>
      <c r="V246" s="26" t="n">
        <v>80.86</v>
      </c>
      <c r="W246" s="26" t="n">
        <v>38.62</v>
      </c>
      <c r="X246" s="26">
        <f>ROUND(('Methodology &amp; Assumptions'!$B$5*V246) + ('Methodology &amp; Assumptions'!$B$6*W246), 2)</f>
        <v/>
      </c>
      <c r="Y246" s="28" t="n">
        <v>23.7</v>
      </c>
      <c r="Z246" s="11" t="inlineStr">
        <is>
          <t>Priority Tier 3 (Broadband Expansion)</t>
        </is>
      </c>
    </row>
    <row r="247">
      <c r="A247" s="23" t="n">
        <v>4</v>
      </c>
      <c r="B247" s="23" t="n">
        <v>243</v>
      </c>
      <c r="C247" s="23" t="n">
        <v>3243</v>
      </c>
      <c r="D247" s="23" t="inlineStr">
        <is>
          <t>0105517009</t>
        </is>
      </c>
      <c r="E247" s="11" t="inlineStr">
        <is>
          <t>Region I (Ilocos Region)</t>
        </is>
      </c>
      <c r="F247" s="11" t="inlineStr">
        <is>
          <t>Pangasinan</t>
        </is>
      </c>
      <c r="G247" s="11" t="inlineStr">
        <is>
          <t>Calasiao</t>
        </is>
      </c>
      <c r="H247" s="11" t="inlineStr">
        <is>
          <t>Gabon</t>
        </is>
      </c>
      <c r="I247" s="24" t="n">
        <v>16.01391</v>
      </c>
      <c r="J247" s="24" t="n">
        <v>120.3652</v>
      </c>
      <c r="K247" s="23" t="inlineStr">
        <is>
          <t>R</t>
        </is>
      </c>
      <c r="L247" s="25" t="n">
        <v>3050</v>
      </c>
      <c r="M247" s="26" t="n">
        <v>3.6</v>
      </c>
      <c r="N247" s="25">
        <f>ROUND(L247/M247, 0)</f>
        <v/>
      </c>
      <c r="O247" s="25">
        <f>ROUND(N247*'Methodology &amp; Assumptions'!$B$7, 0)</f>
        <v/>
      </c>
      <c r="P247" s="23" t="inlineStr">
        <is>
          <t>Single Carrier (Band n50, 100MHz TDD)</t>
        </is>
      </c>
      <c r="Q247" s="27">
        <f>ROUNDUP(O247/'Methodology &amp; Assumptions'!$B$8, 0)</f>
        <v/>
      </c>
      <c r="R247" s="27" t="n">
        <v>1</v>
      </c>
      <c r="S247" s="26" t="n">
        <v>2.4</v>
      </c>
      <c r="T247" s="26" t="n">
        <v>0.08</v>
      </c>
      <c r="U247" s="11">
        <f>IF(S247&lt;='Methodology &amp; Assumptions'!$B$10, "Direct Optical Drop (&lt;3km)", IF(S247&lt;='Methodology &amp; Assumptions'!$B$9, "Near Optical / Microwave (&lt;5km)", "Starlink Business LEO Satellite Backhaul (&gt;5km)"))</f>
        <v/>
      </c>
      <c r="V247" s="26" t="n">
        <v>80.06999999999999</v>
      </c>
      <c r="W247" s="26" t="n">
        <v>39.42</v>
      </c>
      <c r="X247" s="26">
        <f>ROUND(('Methodology &amp; Assumptions'!$B$5*V247) + ('Methodology &amp; Assumptions'!$B$6*W247), 2)</f>
        <v/>
      </c>
      <c r="Y247" s="28" t="n">
        <v>8.300000000000001</v>
      </c>
      <c r="Z247" s="11" t="inlineStr">
        <is>
          <t>Priority Tier 3 (Broadband Expansion)</t>
        </is>
      </c>
    </row>
    <row r="248">
      <c r="A248" s="23" t="n">
        <v>4</v>
      </c>
      <c r="B248" s="23" t="n">
        <v>244</v>
      </c>
      <c r="C248" s="23" t="n">
        <v>3244</v>
      </c>
      <c r="D248" s="23" t="inlineStr">
        <is>
          <t>0401031034</t>
        </is>
      </c>
      <c r="E248" s="11" t="inlineStr">
        <is>
          <t>Region IV-A (CALABARZON)</t>
        </is>
      </c>
      <c r="F248" s="11" t="inlineStr">
        <is>
          <t>Batangas</t>
        </is>
      </c>
      <c r="G248" s="11" t="inlineStr">
        <is>
          <t>City of Tanauan</t>
        </is>
      </c>
      <c r="H248" s="11" t="inlineStr">
        <is>
          <t>Poblacion Barangay 3</t>
        </is>
      </c>
      <c r="I248" s="24" t="n">
        <v>14.080612</v>
      </c>
      <c r="J248" s="24" t="n">
        <v>121.15314</v>
      </c>
      <c r="K248" s="23" t="inlineStr">
        <is>
          <t>U</t>
        </is>
      </c>
      <c r="L248" s="25" t="n">
        <v>5284</v>
      </c>
      <c r="M248" s="26" t="n">
        <v>3.6</v>
      </c>
      <c r="N248" s="25">
        <f>ROUND(L248/M248, 0)</f>
        <v/>
      </c>
      <c r="O248" s="25">
        <f>ROUND(N248*'Methodology &amp; Assumptions'!$B$7, 0)</f>
        <v/>
      </c>
      <c r="P248" s="23" t="inlineStr">
        <is>
          <t>Single Carrier (Band n50, 100MHz TDD)</t>
        </is>
      </c>
      <c r="Q248" s="27">
        <f>ROUNDUP(O248/'Methodology &amp; Assumptions'!$B$8, 0)</f>
        <v/>
      </c>
      <c r="R248" s="27" t="n">
        <v>1</v>
      </c>
      <c r="S248" s="26" t="n">
        <v>0.53</v>
      </c>
      <c r="T248" s="26" t="n">
        <v>0.3</v>
      </c>
      <c r="U248" s="11">
        <f>IF(S248&lt;='Methodology &amp; Assumptions'!$B$10, "Direct Optical Drop (&lt;3km)", IF(S248&lt;='Methodology &amp; Assumptions'!$B$9, "Near Optical / Microwave (&lt;5km)", "Starlink Business LEO Satellite Backhaul (&gt;5km)"))</f>
        <v/>
      </c>
      <c r="V248" s="26" t="n">
        <v>78.26000000000001</v>
      </c>
      <c r="W248" s="26" t="n">
        <v>41.23</v>
      </c>
      <c r="X248" s="26">
        <f>ROUND(('Methodology &amp; Assumptions'!$B$5*V248) + ('Methodology &amp; Assumptions'!$B$6*W248), 2)</f>
        <v/>
      </c>
      <c r="Y248" s="28" t="n">
        <v>7.2</v>
      </c>
      <c r="Z248" s="11" t="inlineStr">
        <is>
          <t>Priority Tier 3 (Broadband Expansion)</t>
        </is>
      </c>
    </row>
    <row r="249">
      <c r="A249" s="23" t="n">
        <v>4</v>
      </c>
      <c r="B249" s="23" t="n">
        <v>245</v>
      </c>
      <c r="C249" s="23" t="n">
        <v>3245</v>
      </c>
      <c r="D249" s="23" t="inlineStr">
        <is>
          <t>0405804023</t>
        </is>
      </c>
      <c r="E249" s="11" t="inlineStr">
        <is>
          <t>Region IV-A (CALABARZON)</t>
        </is>
      </c>
      <c r="F249" s="11" t="inlineStr">
        <is>
          <t>Rizal</t>
        </is>
      </c>
      <c r="G249" s="11" t="inlineStr">
        <is>
          <t>Binangonan</t>
        </is>
      </c>
      <c r="H249" s="11" t="inlineStr">
        <is>
          <t>Mahabang Parang</t>
        </is>
      </c>
      <c r="I249" s="24" t="n">
        <v>14.469499</v>
      </c>
      <c r="J249" s="24" t="n">
        <v>121.210455</v>
      </c>
      <c r="K249" s="23" t="inlineStr">
        <is>
          <t>U</t>
        </is>
      </c>
      <c r="L249" s="25" t="n">
        <v>10580</v>
      </c>
      <c r="M249" s="26" t="n">
        <v>3.6</v>
      </c>
      <c r="N249" s="25">
        <f>ROUND(L249/M249, 0)</f>
        <v/>
      </c>
      <c r="O249" s="25">
        <f>ROUND(N249*'Methodology &amp; Assumptions'!$B$7, 0)</f>
        <v/>
      </c>
      <c r="P249" s="23" t="inlineStr">
        <is>
          <t>Single Carrier (Band n50, 100MHz TDD)</t>
        </is>
      </c>
      <c r="Q249" s="27">
        <f>ROUNDUP(O249/'Methodology &amp; Assumptions'!$B$8, 0)</f>
        <v/>
      </c>
      <c r="R249" s="27" t="n">
        <v>1</v>
      </c>
      <c r="S249" s="26" t="n">
        <v>1.26</v>
      </c>
      <c r="T249" s="26" t="n">
        <v>0.83</v>
      </c>
      <c r="U249" s="11">
        <f>IF(S249&lt;='Methodology &amp; Assumptions'!$B$10, "Direct Optical Drop (&lt;3km)", IF(S249&lt;='Methodology &amp; Assumptions'!$B$9, "Near Optical / Microwave (&lt;5km)", "Starlink Business LEO Satellite Backhaul (&gt;5km)"))</f>
        <v/>
      </c>
      <c r="V249" s="26" t="n">
        <v>76.67</v>
      </c>
      <c r="W249" s="26" t="n">
        <v>42.8</v>
      </c>
      <c r="X249" s="26">
        <f>ROUND(('Methodology &amp; Assumptions'!$B$5*V249) + ('Methodology &amp; Assumptions'!$B$6*W249), 2)</f>
        <v/>
      </c>
      <c r="Y249" s="28" t="n">
        <v>7.2</v>
      </c>
      <c r="Z249" s="11" t="inlineStr">
        <is>
          <t>Priority Tier 3 (Broadband Expansion)</t>
        </is>
      </c>
    </row>
    <row r="250">
      <c r="A250" s="23" t="n">
        <v>4</v>
      </c>
      <c r="B250" s="23" t="n">
        <v>246</v>
      </c>
      <c r="C250" s="23" t="n">
        <v>3246</v>
      </c>
      <c r="D250" s="23" t="inlineStr">
        <is>
          <t>0300805014</t>
        </is>
      </c>
      <c r="E250" s="11" t="inlineStr">
        <is>
          <t>Region III (Central Luzon)</t>
        </is>
      </c>
      <c r="F250" s="11" t="inlineStr">
        <is>
          <t>Bataan</t>
        </is>
      </c>
      <c r="G250" s="11" t="inlineStr">
        <is>
          <t>Hermosa</t>
        </is>
      </c>
      <c r="H250" s="11" t="inlineStr">
        <is>
          <t>Palihan</t>
        </is>
      </c>
      <c r="I250" s="24" t="n">
        <v>14.847495</v>
      </c>
      <c r="J250" s="24" t="n">
        <v>120.469599</v>
      </c>
      <c r="K250" s="23" t="inlineStr">
        <is>
          <t>U</t>
        </is>
      </c>
      <c r="L250" s="25" t="n">
        <v>6848</v>
      </c>
      <c r="M250" s="26" t="n">
        <v>3.6</v>
      </c>
      <c r="N250" s="25">
        <f>ROUND(L250/M250, 0)</f>
        <v/>
      </c>
      <c r="O250" s="25">
        <f>ROUND(N250*'Methodology &amp; Assumptions'!$B$7, 0)</f>
        <v/>
      </c>
      <c r="P250" s="23" t="inlineStr">
        <is>
          <t>Single Carrier (Band n50, 100MHz TDD)</t>
        </is>
      </c>
      <c r="Q250" s="27">
        <f>ROUNDUP(O250/'Methodology &amp; Assumptions'!$B$8, 0)</f>
        <v/>
      </c>
      <c r="R250" s="27" t="n">
        <v>1</v>
      </c>
      <c r="S250" s="26" t="n">
        <v>1.86</v>
      </c>
      <c r="T250" s="26" t="n">
        <v>0.16</v>
      </c>
      <c r="U250" s="11">
        <f>IF(S250&lt;='Methodology &amp; Assumptions'!$B$10, "Direct Optical Drop (&lt;3km)", IF(S250&lt;='Methodology &amp; Assumptions'!$B$9, "Near Optical / Microwave (&lt;5km)", "Starlink Business LEO Satellite Backhaul (&gt;5km)"))</f>
        <v/>
      </c>
      <c r="V250" s="26" t="n">
        <v>74.66</v>
      </c>
      <c r="W250" s="26" t="n">
        <v>44.82</v>
      </c>
      <c r="X250" s="26">
        <f>ROUND(('Methodology &amp; Assumptions'!$B$5*V250) + ('Methodology &amp; Assumptions'!$B$6*W250), 2)</f>
        <v/>
      </c>
      <c r="Y250" s="28" t="n">
        <v>8.300000000000001</v>
      </c>
      <c r="Z250" s="11" t="inlineStr">
        <is>
          <t>Priority Tier 3 (Broadband Expansion)</t>
        </is>
      </c>
    </row>
    <row r="251">
      <c r="A251" s="23" t="n">
        <v>4</v>
      </c>
      <c r="B251" s="23" t="n">
        <v>247</v>
      </c>
      <c r="C251" s="23" t="n">
        <v>3247</v>
      </c>
      <c r="D251" s="23" t="inlineStr">
        <is>
          <t>0702227003</t>
        </is>
      </c>
      <c r="E251" s="11" t="inlineStr">
        <is>
          <t>Region VII (Central Visayas)</t>
        </is>
      </c>
      <c r="F251" s="11" t="inlineStr">
        <is>
          <t>Cebu</t>
        </is>
      </c>
      <c r="G251" s="11" t="inlineStr">
        <is>
          <t>Liloan</t>
        </is>
      </c>
      <c r="H251" s="11" t="inlineStr">
        <is>
          <t>Catarman</t>
        </is>
      </c>
      <c r="I251" s="24" t="n">
        <v>10.386865</v>
      </c>
      <c r="J251" s="24" t="n">
        <v>124.011041</v>
      </c>
      <c r="K251" s="23" t="inlineStr">
        <is>
          <t>U</t>
        </is>
      </c>
      <c r="L251" s="25" t="n">
        <v>20618</v>
      </c>
      <c r="M251" s="26" t="n">
        <v>3.8</v>
      </c>
      <c r="N251" s="25">
        <f>ROUND(L251/M251, 0)</f>
        <v/>
      </c>
      <c r="O251" s="25">
        <f>ROUND(N251*'Methodology &amp; Assumptions'!$B$7, 0)</f>
        <v/>
      </c>
      <c r="P251" s="23" t="inlineStr">
        <is>
          <t>Single Carrier (Band n50, 100MHz TDD)</t>
        </is>
      </c>
      <c r="Q251" s="27">
        <f>ROUNDUP(O251/'Methodology &amp; Assumptions'!$B$8, 0)</f>
        <v/>
      </c>
      <c r="R251" s="27" t="n">
        <v>1</v>
      </c>
      <c r="S251" s="26" t="n">
        <v>2.71</v>
      </c>
      <c r="T251" s="26" t="n">
        <v>1.11</v>
      </c>
      <c r="U251" s="11">
        <f>IF(S251&lt;='Methodology &amp; Assumptions'!$B$10, "Direct Optical Drop (&lt;3km)", IF(S251&lt;='Methodology &amp; Assumptions'!$B$9, "Near Optical / Microwave (&lt;5km)", "Starlink Business LEO Satellite Backhaul (&gt;5km)"))</f>
        <v/>
      </c>
      <c r="V251" s="26" t="n">
        <v>74.29000000000001</v>
      </c>
      <c r="W251" s="26" t="n">
        <v>45.2</v>
      </c>
      <c r="X251" s="26">
        <f>ROUND(('Methodology &amp; Assumptions'!$B$5*V251) + ('Methodology &amp; Assumptions'!$B$6*W251), 2)</f>
        <v/>
      </c>
      <c r="Y251" s="28" t="n">
        <v>23.7</v>
      </c>
      <c r="Z251" s="11" t="inlineStr">
        <is>
          <t>Priority Tier 3 (Broadband Expansion)</t>
        </is>
      </c>
    </row>
    <row r="252">
      <c r="A252" s="23" t="n">
        <v>4</v>
      </c>
      <c r="B252" s="23" t="n">
        <v>248</v>
      </c>
      <c r="C252" s="23" t="n">
        <v>3248</v>
      </c>
      <c r="D252" s="23" t="inlineStr">
        <is>
          <t>0402123010</t>
        </is>
      </c>
      <c r="E252" s="11" t="inlineStr">
        <is>
          <t>Region IV-A (CALABARZON)</t>
        </is>
      </c>
      <c r="F252" s="11" t="inlineStr">
        <is>
          <t>Cavite</t>
        </is>
      </c>
      <c r="G252" s="11" t="inlineStr">
        <is>
          <t>Gen. Mariano Alvarez</t>
        </is>
      </c>
      <c r="H252" s="11" t="inlineStr">
        <is>
          <t>Francisco De Castro</t>
        </is>
      </c>
      <c r="I252" s="24" t="n">
        <v>14.323836</v>
      </c>
      <c r="J252" s="24" t="n">
        <v>121.027249</v>
      </c>
      <c r="K252" s="23" t="inlineStr">
        <is>
          <t>U</t>
        </is>
      </c>
      <c r="L252" s="25" t="n">
        <v>10598</v>
      </c>
      <c r="M252" s="26" t="n">
        <v>3.4</v>
      </c>
      <c r="N252" s="25">
        <f>ROUND(L252/M252, 0)</f>
        <v/>
      </c>
      <c r="O252" s="25">
        <f>ROUND(N252*'Methodology &amp; Assumptions'!$B$7, 0)</f>
        <v/>
      </c>
      <c r="P252" s="23" t="inlineStr">
        <is>
          <t>Single Carrier (Band n50, 100MHz TDD)</t>
        </is>
      </c>
      <c r="Q252" s="27">
        <f>ROUNDUP(O252/'Methodology &amp; Assumptions'!$B$8, 0)</f>
        <v/>
      </c>
      <c r="R252" s="27" t="n">
        <v>1</v>
      </c>
      <c r="S252" s="26" t="n">
        <v>2.13</v>
      </c>
      <c r="T252" s="26" t="n">
        <v>2.71</v>
      </c>
      <c r="U252" s="11">
        <f>IF(S252&lt;='Methodology &amp; Assumptions'!$B$10, "Direct Optical Drop (&lt;3km)", IF(S252&lt;='Methodology &amp; Assumptions'!$B$9, "Near Optical / Microwave (&lt;5km)", "Starlink Business LEO Satellite Backhaul (&gt;5km)"))</f>
        <v/>
      </c>
      <c r="V252" s="26" t="n">
        <v>70.08</v>
      </c>
      <c r="W252" s="26" t="n">
        <v>49.41</v>
      </c>
      <c r="X252" s="26">
        <f>ROUND(('Methodology &amp; Assumptions'!$B$5*V252) + ('Methodology &amp; Assumptions'!$B$6*W252), 2)</f>
        <v/>
      </c>
      <c r="Y252" s="28" t="n">
        <v>7.2</v>
      </c>
      <c r="Z252" s="11" t="inlineStr">
        <is>
          <t>Priority Tier 3 (Broadband Expansion)</t>
        </is>
      </c>
    </row>
    <row r="253">
      <c r="A253" s="23" t="n">
        <v>4</v>
      </c>
      <c r="B253" s="23" t="n">
        <v>249</v>
      </c>
      <c r="C253" s="23" t="n">
        <v>3249</v>
      </c>
      <c r="D253" s="23" t="inlineStr">
        <is>
          <t>1381300069</t>
        </is>
      </c>
      <c r="E253" s="11" t="inlineStr">
        <is>
          <t>National Capital Region (NCR)</t>
        </is>
      </c>
      <c r="F253" s="11" t="inlineStr">
        <is>
          <t>Second District (Not a Province)</t>
        </is>
      </c>
      <c r="G253" s="11" t="inlineStr">
        <is>
          <t>Quezon City</t>
        </is>
      </c>
      <c r="H253" s="11" t="inlineStr">
        <is>
          <t>Nayong Kanluran</t>
        </is>
      </c>
      <c r="I253" s="24" t="n">
        <v>14.641977</v>
      </c>
      <c r="J253" s="24" t="n">
        <v>121.025916</v>
      </c>
      <c r="K253" s="23" t="inlineStr">
        <is>
          <t>U</t>
        </is>
      </c>
      <c r="L253" s="25" t="n">
        <v>2603</v>
      </c>
      <c r="M253" s="26" t="n">
        <v>3.6</v>
      </c>
      <c r="N253" s="25">
        <f>ROUND(L253/M253, 0)</f>
        <v/>
      </c>
      <c r="O253" s="25">
        <f>ROUND(N253*'Methodology &amp; Assumptions'!$B$7, 0)</f>
        <v/>
      </c>
      <c r="P253" s="23" t="inlineStr">
        <is>
          <t>Single Carrier (Band n50, 100MHz TDD)</t>
        </is>
      </c>
      <c r="Q253" s="27">
        <f>ROUNDUP(O253/'Methodology &amp; Assumptions'!$B$8, 0)</f>
        <v/>
      </c>
      <c r="R253" s="27" t="n">
        <v>1</v>
      </c>
      <c r="S253" s="26" t="n">
        <v>0.63</v>
      </c>
      <c r="T253" s="26" t="n">
        <v>0.1</v>
      </c>
      <c r="U253" s="11">
        <f>IF(S253&lt;='Methodology &amp; Assumptions'!$B$10, "Direct Optical Drop (&lt;3km)", IF(S253&lt;='Methodology &amp; Assumptions'!$B$9, "Near Optical / Microwave (&lt;5km)", "Starlink Business LEO Satellite Backhaul (&gt;5km)"))</f>
        <v/>
      </c>
      <c r="V253" s="26" t="n">
        <v>64.34</v>
      </c>
      <c r="W253" s="26" t="n">
        <v>55.14</v>
      </c>
      <c r="X253" s="26">
        <f>ROUND(('Methodology &amp; Assumptions'!$B$5*V253) + ('Methodology &amp; Assumptions'!$B$6*W253), 2)</f>
        <v/>
      </c>
      <c r="Y253" s="28" t="n">
        <v>10.9</v>
      </c>
      <c r="Z253" s="11" t="inlineStr">
        <is>
          <t>Priority Tier 3 (Broadband Expansion)</t>
        </is>
      </c>
    </row>
    <row r="254">
      <c r="A254" s="23" t="n">
        <v>4</v>
      </c>
      <c r="B254" s="23" t="n">
        <v>250</v>
      </c>
      <c r="C254" s="23" t="n">
        <v>3250</v>
      </c>
      <c r="D254" s="23" t="inlineStr">
        <is>
          <t>1380606231</t>
        </is>
      </c>
      <c r="E254" s="11" t="inlineStr">
        <is>
          <t>National Capital Region (NCR)</t>
        </is>
      </c>
      <c r="F254" s="11" t="inlineStr">
        <is>
          <t>First District (Not a Province)</t>
        </is>
      </c>
      <c r="G254" s="11" t="inlineStr">
        <is>
          <t>City of Manila</t>
        </is>
      </c>
      <c r="H254" s="11" t="inlineStr">
        <is>
          <t>Barangay 624</t>
        </is>
      </c>
      <c r="I254" s="24" t="n">
        <v>14.589854</v>
      </c>
      <c r="J254" s="24" t="n">
        <v>121.017968</v>
      </c>
      <c r="K254" s="23" t="inlineStr">
        <is>
          <t>U</t>
        </is>
      </c>
      <c r="L254" s="25" t="n">
        <v>1510</v>
      </c>
      <c r="M254" s="26" t="n">
        <v>4.45</v>
      </c>
      <c r="N254" s="25">
        <f>ROUND(L254/M254, 0)</f>
        <v/>
      </c>
      <c r="O254" s="25">
        <f>ROUND(N254*'Methodology &amp; Assumptions'!$B$7, 0)</f>
        <v/>
      </c>
      <c r="P254" s="23" t="inlineStr">
        <is>
          <t>Single Carrier (Band n50, 100MHz TDD)</t>
        </is>
      </c>
      <c r="Q254" s="27">
        <f>ROUNDUP(O254/'Methodology &amp; Assumptions'!$B$8, 0)</f>
        <v/>
      </c>
      <c r="R254" s="27" t="n">
        <v>1</v>
      </c>
      <c r="S254" s="26" t="n">
        <v>1.29</v>
      </c>
      <c r="T254" s="26" t="n">
        <v>0.5</v>
      </c>
      <c r="U254" s="11">
        <f>IF(S254&lt;='Methodology &amp; Assumptions'!$B$10, "Direct Optical Drop (&lt;3km)", IF(S254&lt;='Methodology &amp; Assumptions'!$B$9, "Near Optical / Microwave (&lt;5km)", "Starlink Business LEO Satellite Backhaul (&gt;5km)"))</f>
        <v/>
      </c>
      <c r="V254" s="26" t="n">
        <v>50.31</v>
      </c>
      <c r="W254" s="26" t="n">
        <v>69.16</v>
      </c>
      <c r="X254" s="26">
        <f>ROUND(('Methodology &amp; Assumptions'!$B$5*V254) + ('Methodology &amp; Assumptions'!$B$6*W254), 2)</f>
        <v/>
      </c>
      <c r="Y254" s="28" t="n">
        <v>10.9</v>
      </c>
      <c r="Z254" s="11" t="inlineStr">
        <is>
          <t>Priority Tier 3 (Broadband Expansion)</t>
        </is>
      </c>
    </row>
    <row r="255">
      <c r="A255" s="23" t="n">
        <v>4</v>
      </c>
      <c r="B255" s="23" t="n">
        <v>251</v>
      </c>
      <c r="C255" s="23" t="n">
        <v>3251</v>
      </c>
      <c r="D255" s="23" t="inlineStr">
        <is>
          <t>0603001025</t>
        </is>
      </c>
      <c r="E255" s="11" t="inlineStr">
        <is>
          <t>Region VI (Western Visayas)</t>
        </is>
      </c>
      <c r="F255" s="11" t="inlineStr">
        <is>
          <t>Iloilo</t>
        </is>
      </c>
      <c r="G255" s="11" t="inlineStr">
        <is>
          <t>Ajuy</t>
        </is>
      </c>
      <c r="H255" s="11" t="inlineStr">
        <is>
          <t>Punta Buri</t>
        </is>
      </c>
      <c r="I255" s="24" t="n">
        <v>11.105048</v>
      </c>
      <c r="J255" s="24" t="n">
        <v>123.116093</v>
      </c>
      <c r="K255" s="23" t="inlineStr">
        <is>
          <t>R</t>
        </is>
      </c>
      <c r="L255" s="25" t="n">
        <v>1338</v>
      </c>
      <c r="M255" s="26" t="n">
        <v>3.8</v>
      </c>
      <c r="N255" s="25">
        <f>ROUND(L255/M255, 0)</f>
        <v/>
      </c>
      <c r="O255" s="25">
        <f>ROUND(N255*'Methodology &amp; Assumptions'!$B$7, 0)</f>
        <v/>
      </c>
      <c r="P255" s="23" t="inlineStr">
        <is>
          <t>Single Carrier (Band n50, 100MHz TDD)</t>
        </is>
      </c>
      <c r="Q255" s="27">
        <f>ROUNDUP(O255/'Methodology &amp; Assumptions'!$B$8, 0)</f>
        <v/>
      </c>
      <c r="R255" s="27" t="n">
        <v>1</v>
      </c>
      <c r="S255" s="26" t="n">
        <v>17.29</v>
      </c>
      <c r="T255" s="26" t="n">
        <v>11.64</v>
      </c>
      <c r="U255" s="11">
        <f>IF(S255&lt;='Methodology &amp; Assumptions'!$B$10, "Direct Optical Drop (&lt;3km)", IF(S255&lt;='Methodology &amp; Assumptions'!$B$9, "Near Optical / Microwave (&lt;5km)", "Starlink Business LEO Satellite Backhaul (&gt;5km)"))</f>
        <v/>
      </c>
      <c r="V255" s="26" t="n">
        <v>46.95</v>
      </c>
      <c r="W255" s="26" t="n">
        <v>72.53</v>
      </c>
      <c r="X255" s="26">
        <f>ROUND(('Methodology &amp; Assumptions'!$B$5*V255) + ('Methodology &amp; Assumptions'!$B$6*W255), 2)</f>
        <v/>
      </c>
      <c r="Y255" s="28" t="n">
        <v>23.7</v>
      </c>
      <c r="Z255" s="11" t="inlineStr">
        <is>
          <t>Priority Tier 3 (Broadband Expansion)</t>
        </is>
      </c>
    </row>
    <row r="256">
      <c r="A256" s="23" t="n">
        <v>4</v>
      </c>
      <c r="B256" s="23" t="n">
        <v>252</v>
      </c>
      <c r="C256" s="23" t="n">
        <v>3252</v>
      </c>
      <c r="D256" s="23" t="inlineStr">
        <is>
          <t>0304915016</t>
        </is>
      </c>
      <c r="E256" s="11" t="inlineStr">
        <is>
          <t>Region III (Central Luzon)</t>
        </is>
      </c>
      <c r="F256" s="11" t="inlineStr">
        <is>
          <t>Nueva Ecija</t>
        </is>
      </c>
      <c r="G256" s="11" t="inlineStr">
        <is>
          <t>Llanera</t>
        </is>
      </c>
      <c r="H256" s="11" t="inlineStr">
        <is>
          <t>Bagumbayan</t>
        </is>
      </c>
      <c r="I256" s="24" t="n">
        <v>15.660833</v>
      </c>
      <c r="J256" s="24" t="n">
        <v>121.021263</v>
      </c>
      <c r="K256" s="23" t="inlineStr">
        <is>
          <t>R</t>
        </is>
      </c>
      <c r="L256" s="25" t="n">
        <v>3870</v>
      </c>
      <c r="M256" s="26" t="n">
        <v>3.5</v>
      </c>
      <c r="N256" s="25">
        <f>ROUND(L256/M256, 0)</f>
        <v/>
      </c>
      <c r="O256" s="25">
        <f>ROUND(N256*'Methodology &amp; Assumptions'!$B$7, 0)</f>
        <v/>
      </c>
      <c r="P256" s="23" t="inlineStr">
        <is>
          <t>Single Carrier (Band n50, 100MHz TDD)</t>
        </is>
      </c>
      <c r="Q256" s="27">
        <f>ROUNDUP(O256/'Methodology &amp; Assumptions'!$B$8, 0)</f>
        <v/>
      </c>
      <c r="R256" s="27" t="n">
        <v>1</v>
      </c>
      <c r="S256" s="26" t="n">
        <v>0.59</v>
      </c>
      <c r="T256" s="26" t="n">
        <v>4.53</v>
      </c>
      <c r="U256" s="11">
        <f>IF(S256&lt;='Methodology &amp; Assumptions'!$B$10, "Direct Optical Drop (&lt;3km)", IF(S256&lt;='Methodology &amp; Assumptions'!$B$9, "Near Optical / Microwave (&lt;5km)", "Starlink Business LEO Satellite Backhaul (&gt;5km)"))</f>
        <v/>
      </c>
      <c r="V256" s="26" t="n">
        <v>83.15000000000001</v>
      </c>
      <c r="W256" s="26" t="n">
        <v>36.3</v>
      </c>
      <c r="X256" s="26">
        <f>ROUND(('Methodology &amp; Assumptions'!$B$5*V256) + ('Methodology &amp; Assumptions'!$B$6*W256), 2)</f>
        <v/>
      </c>
      <c r="Y256" s="28" t="n">
        <v>8.300000000000001</v>
      </c>
      <c r="Z256" s="11" t="inlineStr">
        <is>
          <t>Priority Tier 3 (Broadband Expansion)</t>
        </is>
      </c>
    </row>
    <row r="257">
      <c r="A257" s="23" t="n">
        <v>4</v>
      </c>
      <c r="B257" s="23" t="n">
        <v>253</v>
      </c>
      <c r="C257" s="23" t="n">
        <v>3253</v>
      </c>
      <c r="D257" s="23" t="inlineStr">
        <is>
          <t>0105511016</t>
        </is>
      </c>
      <c r="E257" s="11" t="inlineStr">
        <is>
          <t>Region I (Ilocos Region)</t>
        </is>
      </c>
      <c r="F257" s="11" t="inlineStr">
        <is>
          <t>Pangasinan</t>
        </is>
      </c>
      <c r="G257" s="11" t="inlineStr">
        <is>
          <t>Bayambang</t>
        </is>
      </c>
      <c r="H257" s="11" t="inlineStr">
        <is>
          <t>Bical Norte</t>
        </is>
      </c>
      <c r="I257" s="24" t="n">
        <v>15.815689</v>
      </c>
      <c r="J257" s="24" t="n">
        <v>120.439735</v>
      </c>
      <c r="K257" s="23" t="inlineStr">
        <is>
          <t>R</t>
        </is>
      </c>
      <c r="L257" s="25" t="n">
        <v>3690</v>
      </c>
      <c r="M257" s="26" t="n">
        <v>3.6</v>
      </c>
      <c r="N257" s="25">
        <f>ROUND(L257/M257, 0)</f>
        <v/>
      </c>
      <c r="O257" s="25">
        <f>ROUND(N257*'Methodology &amp; Assumptions'!$B$7, 0)</f>
        <v/>
      </c>
      <c r="P257" s="23" t="inlineStr">
        <is>
          <t>Single Carrier (Band n50, 100MHz TDD)</t>
        </is>
      </c>
      <c r="Q257" s="27">
        <f>ROUNDUP(O257/'Methodology &amp; Assumptions'!$B$8, 0)</f>
        <v/>
      </c>
      <c r="R257" s="27" t="n">
        <v>1</v>
      </c>
      <c r="S257" s="26" t="n">
        <v>1.63</v>
      </c>
      <c r="T257" s="26" t="n">
        <v>1.63</v>
      </c>
      <c r="U257" s="11">
        <f>IF(S257&lt;='Methodology &amp; Assumptions'!$B$10, "Direct Optical Drop (&lt;3km)", IF(S257&lt;='Methodology &amp; Assumptions'!$B$9, "Near Optical / Microwave (&lt;5km)", "Starlink Business LEO Satellite Backhaul (&gt;5km)"))</f>
        <v/>
      </c>
      <c r="V257" s="26" t="n">
        <v>82.67</v>
      </c>
      <c r="W257" s="26" t="n">
        <v>36.8</v>
      </c>
      <c r="X257" s="26">
        <f>ROUND(('Methodology &amp; Assumptions'!$B$5*V257) + ('Methodology &amp; Assumptions'!$B$6*W257), 2)</f>
        <v/>
      </c>
      <c r="Y257" s="28" t="n">
        <v>8.300000000000001</v>
      </c>
      <c r="Z257" s="11" t="inlineStr">
        <is>
          <t>Priority Tier 3 (Broadband Expansion)</t>
        </is>
      </c>
    </row>
    <row r="258">
      <c r="A258" s="23" t="n">
        <v>4</v>
      </c>
      <c r="B258" s="23" t="n">
        <v>254</v>
      </c>
      <c r="C258" s="23" t="n">
        <v>3254</v>
      </c>
      <c r="D258" s="23" t="inlineStr">
        <is>
          <t>0305410020</t>
        </is>
      </c>
      <c r="E258" s="11" t="inlineStr">
        <is>
          <t>Region III (Central Luzon)</t>
        </is>
      </c>
      <c r="F258" s="11" t="inlineStr">
        <is>
          <t>Pampanga</t>
        </is>
      </c>
      <c r="G258" s="11" t="inlineStr">
        <is>
          <t>Macabebe</t>
        </is>
      </c>
      <c r="H258" s="11" t="inlineStr">
        <is>
          <t>Sta. Rita</t>
        </is>
      </c>
      <c r="I258" s="24" t="n">
        <v>14.900012</v>
      </c>
      <c r="J258" s="24" t="n">
        <v>120.714997</v>
      </c>
      <c r="K258" s="23" t="inlineStr">
        <is>
          <t>U</t>
        </is>
      </c>
      <c r="L258" s="25" t="n">
        <v>3823</v>
      </c>
      <c r="M258" s="26" t="n">
        <v>4</v>
      </c>
      <c r="N258" s="25">
        <f>ROUND(L258/M258, 0)</f>
        <v/>
      </c>
      <c r="O258" s="25">
        <f>ROUND(N258*'Methodology &amp; Assumptions'!$B$7, 0)</f>
        <v/>
      </c>
      <c r="P258" s="23" t="inlineStr">
        <is>
          <t>Single Carrier (Band n50, 100MHz TDD)</t>
        </is>
      </c>
      <c r="Q258" s="27">
        <f>ROUNDUP(O258/'Methodology &amp; Assumptions'!$B$8, 0)</f>
        <v/>
      </c>
      <c r="R258" s="27" t="n">
        <v>1</v>
      </c>
      <c r="S258" s="26" t="n">
        <v>1.3</v>
      </c>
      <c r="T258" s="26" t="n">
        <v>1.33</v>
      </c>
      <c r="U258" s="11">
        <f>IF(S258&lt;='Methodology &amp; Assumptions'!$B$10, "Direct Optical Drop (&lt;3km)", IF(S258&lt;='Methodology &amp; Assumptions'!$B$9, "Near Optical / Microwave (&lt;5km)", "Starlink Business LEO Satellite Backhaul (&gt;5km)"))</f>
        <v/>
      </c>
      <c r="V258" s="26" t="n">
        <v>76.68000000000001</v>
      </c>
      <c r="W258" s="26" t="n">
        <v>42.79</v>
      </c>
      <c r="X258" s="26">
        <f>ROUND(('Methodology &amp; Assumptions'!$B$5*V258) + ('Methodology &amp; Assumptions'!$B$6*W258), 2)</f>
        <v/>
      </c>
      <c r="Y258" s="28" t="n">
        <v>8.300000000000001</v>
      </c>
      <c r="Z258" s="11" t="inlineStr">
        <is>
          <t>Priority Tier 3 (Broadband Expansion)</t>
        </is>
      </c>
    </row>
    <row r="259">
      <c r="A259" s="23" t="n">
        <v>4</v>
      </c>
      <c r="B259" s="23" t="n">
        <v>255</v>
      </c>
      <c r="C259" s="23" t="n">
        <v>3255</v>
      </c>
      <c r="D259" s="23" t="inlineStr">
        <is>
          <t>0301416014</t>
        </is>
      </c>
      <c r="E259" s="11" t="inlineStr">
        <is>
          <t>Region III (Central Luzon)</t>
        </is>
      </c>
      <c r="F259" s="11" t="inlineStr">
        <is>
          <t>Bulacan</t>
        </is>
      </c>
      <c r="G259" s="11" t="inlineStr">
        <is>
          <t>Paombong</t>
        </is>
      </c>
      <c r="H259" s="11" t="inlineStr">
        <is>
          <t>Santa Cruz</t>
        </is>
      </c>
      <c r="I259" s="24" t="n">
        <v>14.760906</v>
      </c>
      <c r="J259" s="24" t="n">
        <v>120.791357</v>
      </c>
      <c r="K259" s="23" t="inlineStr">
        <is>
          <t>R</t>
        </is>
      </c>
      <c r="L259" s="25" t="n">
        <v>1449</v>
      </c>
      <c r="M259" s="26" t="n">
        <v>3.5</v>
      </c>
      <c r="N259" s="25">
        <f>ROUND(L259/M259, 0)</f>
        <v/>
      </c>
      <c r="O259" s="25">
        <f>ROUND(N259*'Methodology &amp; Assumptions'!$B$7, 0)</f>
        <v/>
      </c>
      <c r="P259" s="23" t="inlineStr">
        <is>
          <t>Single Carrier (Band n50, 100MHz TDD)</t>
        </is>
      </c>
      <c r="Q259" s="27">
        <f>ROUNDUP(O259/'Methodology &amp; Assumptions'!$B$8, 0)</f>
        <v/>
      </c>
      <c r="R259" s="27" t="n">
        <v>1</v>
      </c>
      <c r="S259" s="26" t="n">
        <v>7.05</v>
      </c>
      <c r="T259" s="26" t="n">
        <v>10.41</v>
      </c>
      <c r="U259" s="11">
        <f>IF(S259&lt;='Methodology &amp; Assumptions'!$B$10, "Direct Optical Drop (&lt;3km)", IF(S259&lt;='Methodology &amp; Assumptions'!$B$9, "Near Optical / Microwave (&lt;5km)", "Starlink Business LEO Satellite Backhaul (&gt;5km)"))</f>
        <v/>
      </c>
      <c r="V259" s="26" t="n">
        <v>54.56</v>
      </c>
      <c r="W259" s="26" t="n">
        <v>64.90000000000001</v>
      </c>
      <c r="X259" s="26">
        <f>ROUND(('Methodology &amp; Assumptions'!$B$5*V259) + ('Methodology &amp; Assumptions'!$B$6*W259), 2)</f>
        <v/>
      </c>
      <c r="Y259" s="28" t="n">
        <v>8.300000000000001</v>
      </c>
      <c r="Z259" s="11" t="inlineStr">
        <is>
          <t>Priority Tier 3 (Broadband Expansion)</t>
        </is>
      </c>
    </row>
    <row r="260">
      <c r="A260" s="23" t="n">
        <v>4</v>
      </c>
      <c r="B260" s="23" t="n">
        <v>256</v>
      </c>
      <c r="C260" s="23" t="n">
        <v>3256</v>
      </c>
      <c r="D260" s="23" t="inlineStr">
        <is>
          <t>1380606137</t>
        </is>
      </c>
      <c r="E260" s="11" t="inlineStr">
        <is>
          <t>National Capital Region (NCR)</t>
        </is>
      </c>
      <c r="F260" s="11" t="inlineStr">
        <is>
          <t>First District (Not a Province)</t>
        </is>
      </c>
      <c r="G260" s="11" t="inlineStr">
        <is>
          <t>City of Manila</t>
        </is>
      </c>
      <c r="H260" s="11" t="inlineStr">
        <is>
          <t>Barangay 531</t>
        </is>
      </c>
      <c r="I260" s="24" t="n">
        <v>14.614963</v>
      </c>
      <c r="J260" s="24" t="n">
        <v>121.001961</v>
      </c>
      <c r="K260" s="23" t="inlineStr">
        <is>
          <t>U</t>
        </is>
      </c>
      <c r="L260" s="25" t="n">
        <v>1310</v>
      </c>
      <c r="M260" s="26" t="n">
        <v>4.49</v>
      </c>
      <c r="N260" s="25">
        <f>ROUND(L260/M260, 0)</f>
        <v/>
      </c>
      <c r="O260" s="25">
        <f>ROUND(N260*'Methodology &amp; Assumptions'!$B$7, 0)</f>
        <v/>
      </c>
      <c r="P260" s="23" t="inlineStr">
        <is>
          <t>Single Carrier (Band n50, 100MHz TDD)</t>
        </is>
      </c>
      <c r="Q260" s="27">
        <f>ROUNDUP(O260/'Methodology &amp; Assumptions'!$B$8, 0)</f>
        <v/>
      </c>
      <c r="R260" s="27" t="n">
        <v>1</v>
      </c>
      <c r="S260" s="26" t="n">
        <v>0.49</v>
      </c>
      <c r="T260" s="26" t="n">
        <v>0.4</v>
      </c>
      <c r="U260" s="11">
        <f>IF(S260&lt;='Methodology &amp; Assumptions'!$B$10, "Direct Optical Drop (&lt;3km)", IF(S260&lt;='Methodology &amp; Assumptions'!$B$9, "Near Optical / Microwave (&lt;5km)", "Starlink Business LEO Satellite Backhaul (&gt;5km)"))</f>
        <v/>
      </c>
      <c r="V260" s="26" t="n">
        <v>50.52</v>
      </c>
      <c r="W260" s="26" t="n">
        <v>68.94</v>
      </c>
      <c r="X260" s="26">
        <f>ROUND(('Methodology &amp; Assumptions'!$B$5*V260) + ('Methodology &amp; Assumptions'!$B$6*W260), 2)</f>
        <v/>
      </c>
      <c r="Y260" s="28" t="n">
        <v>10.9</v>
      </c>
      <c r="Z260" s="11" t="inlineStr">
        <is>
          <t>Priority Tier 3 (Broadband Expansion)</t>
        </is>
      </c>
    </row>
    <row r="261">
      <c r="A261" s="23" t="n">
        <v>4</v>
      </c>
      <c r="B261" s="23" t="n">
        <v>257</v>
      </c>
      <c r="C261" s="23" t="n">
        <v>3257</v>
      </c>
      <c r="D261" s="23" t="inlineStr">
        <is>
          <t>1380606084</t>
        </is>
      </c>
      <c r="E261" s="11" t="inlineStr">
        <is>
          <t>National Capital Region (NCR)</t>
        </is>
      </c>
      <c r="F261" s="11" t="inlineStr">
        <is>
          <t>First District (Not a Province)</t>
        </is>
      </c>
      <c r="G261" s="11" t="inlineStr">
        <is>
          <t>City of Manila</t>
        </is>
      </c>
      <c r="H261" s="11" t="inlineStr">
        <is>
          <t>Barangay 478</t>
        </is>
      </c>
      <c r="I261" s="24" t="n">
        <v>14.612195</v>
      </c>
      <c r="J261" s="24" t="n">
        <v>120.992729</v>
      </c>
      <c r="K261" s="23" t="inlineStr">
        <is>
          <t>U</t>
        </is>
      </c>
      <c r="L261" s="25" t="n">
        <v>935</v>
      </c>
      <c r="M261" s="26" t="n">
        <v>3.68</v>
      </c>
      <c r="N261" s="25">
        <f>ROUND(L261/M261, 0)</f>
        <v/>
      </c>
      <c r="O261" s="25">
        <f>ROUND(N261*'Methodology &amp; Assumptions'!$B$7, 0)</f>
        <v/>
      </c>
      <c r="P261" s="23" t="inlineStr">
        <is>
          <t>Single Carrier (Band n50, 100MHz TDD)</t>
        </is>
      </c>
      <c r="Q261" s="27">
        <f>ROUNDUP(O261/'Methodology &amp; Assumptions'!$B$8, 0)</f>
        <v/>
      </c>
      <c r="R261" s="27" t="n">
        <v>1</v>
      </c>
      <c r="S261" s="26" t="n">
        <v>1.02</v>
      </c>
      <c r="T261" s="26" t="n">
        <v>0.28</v>
      </c>
      <c r="U261" s="11">
        <f>IF(S261&lt;='Methodology &amp; Assumptions'!$B$10, "Direct Optical Drop (&lt;3km)", IF(S261&lt;='Methodology &amp; Assumptions'!$B$9, "Near Optical / Microwave (&lt;5km)", "Starlink Business LEO Satellite Backhaul (&gt;5km)"))</f>
        <v/>
      </c>
      <c r="V261" s="26" t="n">
        <v>48.53</v>
      </c>
      <c r="W261" s="26" t="n">
        <v>70.92</v>
      </c>
      <c r="X261" s="26">
        <f>ROUND(('Methodology &amp; Assumptions'!$B$5*V261) + ('Methodology &amp; Assumptions'!$B$6*W261), 2)</f>
        <v/>
      </c>
      <c r="Y261" s="28" t="n">
        <v>10.9</v>
      </c>
      <c r="Z261" s="11" t="inlineStr">
        <is>
          <t>Priority Tier 3 (Broadband Expansion)</t>
        </is>
      </c>
    </row>
    <row r="262">
      <c r="A262" s="23" t="n">
        <v>4</v>
      </c>
      <c r="B262" s="23" t="n">
        <v>258</v>
      </c>
      <c r="C262" s="23" t="n">
        <v>3258</v>
      </c>
      <c r="D262" s="23" t="inlineStr">
        <is>
          <t>0802623024</t>
        </is>
      </c>
      <c r="E262" s="11" t="inlineStr">
        <is>
          <t>Region VIII (Eastern Visayas)</t>
        </is>
      </c>
      <c r="F262" s="11" t="inlineStr">
        <is>
          <t>Eastern Samar</t>
        </is>
      </c>
      <c r="G262" s="11" t="inlineStr">
        <is>
          <t>Taft</t>
        </is>
      </c>
      <c r="H262" s="11" t="inlineStr">
        <is>
          <t>San Pablo</t>
        </is>
      </c>
      <c r="I262" s="24" t="n">
        <v>11.896709</v>
      </c>
      <c r="J262" s="24" t="n">
        <v>125.349571</v>
      </c>
      <c r="K262" s="23" t="inlineStr">
        <is>
          <t>R</t>
        </is>
      </c>
      <c r="L262" s="25" t="n">
        <v>712</v>
      </c>
      <c r="M262" s="26" t="n">
        <v>3.9</v>
      </c>
      <c r="N262" s="25">
        <f>ROUND(L262/M262, 0)</f>
        <v/>
      </c>
      <c r="O262" s="25">
        <f>ROUND(N262*'Methodology &amp; Assumptions'!$B$7, 0)</f>
        <v/>
      </c>
      <c r="P262" s="23" t="inlineStr">
        <is>
          <t>Single Carrier (Band n50, 100MHz TDD)</t>
        </is>
      </c>
      <c r="Q262" s="27">
        <f>ROUNDUP(O262/'Methodology &amp; Assumptions'!$B$8, 0)</f>
        <v/>
      </c>
      <c r="R262" s="27" t="n">
        <v>1</v>
      </c>
      <c r="S262" s="26" t="n">
        <v>82.27</v>
      </c>
      <c r="T262" s="26" t="n">
        <v>84.63</v>
      </c>
      <c r="U262" s="11">
        <f>IF(S262&lt;='Methodology &amp; Assumptions'!$B$10, "Direct Optical Drop (&lt;3km)", IF(S262&lt;='Methodology &amp; Assumptions'!$B$9, "Near Optical / Microwave (&lt;5km)", "Starlink Business LEO Satellite Backhaul (&gt;5km)"))</f>
        <v/>
      </c>
      <c r="V262" s="26" t="n">
        <v>41.78</v>
      </c>
      <c r="W262" s="26" t="n">
        <v>77.67</v>
      </c>
      <c r="X262" s="26">
        <f>ROUND(('Methodology &amp; Assumptions'!$B$5*V262) + ('Methodology &amp; Assumptions'!$B$6*W262), 2)</f>
        <v/>
      </c>
      <c r="Y262" s="28" t="n">
        <v>23.7</v>
      </c>
      <c r="Z262" s="11" t="inlineStr">
        <is>
          <t>Priority Tier 3 (Broadband Expansion)</t>
        </is>
      </c>
    </row>
    <row r="263">
      <c r="A263" s="23" t="n">
        <v>4</v>
      </c>
      <c r="B263" s="23" t="n">
        <v>259</v>
      </c>
      <c r="C263" s="23" t="n">
        <v>3259</v>
      </c>
      <c r="D263" s="23" t="inlineStr">
        <is>
          <t>0301420026</t>
        </is>
      </c>
      <c r="E263" s="11" t="inlineStr">
        <is>
          <t>Region III (Central Luzon)</t>
        </is>
      </c>
      <c r="F263" s="11" t="inlineStr">
        <is>
          <t>Bulacan</t>
        </is>
      </c>
      <c r="G263" s="11" t="inlineStr">
        <is>
          <t>City of San Jose Del Monte</t>
        </is>
      </c>
      <c r="H263" s="11" t="inlineStr">
        <is>
          <t>Fatima V</t>
        </is>
      </c>
      <c r="I263" s="24" t="n">
        <v>14.841884</v>
      </c>
      <c r="J263" s="24" t="n">
        <v>121.048591</v>
      </c>
      <c r="K263" s="23" t="inlineStr">
        <is>
          <t>R</t>
        </is>
      </c>
      <c r="L263" s="25" t="n">
        <v>2294</v>
      </c>
      <c r="M263" s="26" t="n">
        <v>3.5</v>
      </c>
      <c r="N263" s="25">
        <f>ROUND(L263/M263, 0)</f>
        <v/>
      </c>
      <c r="O263" s="25">
        <f>ROUND(N263*'Methodology &amp; Assumptions'!$B$7, 0)</f>
        <v/>
      </c>
      <c r="P263" s="23" t="inlineStr">
        <is>
          <t>Single Carrier (Band n50, 100MHz TDD)</t>
        </is>
      </c>
      <c r="Q263" s="27">
        <f>ROUNDUP(O263/'Methodology &amp; Assumptions'!$B$8, 0)</f>
        <v/>
      </c>
      <c r="R263" s="27" t="n">
        <v>1</v>
      </c>
      <c r="S263" s="26" t="n">
        <v>1.25</v>
      </c>
      <c r="T263" s="26" t="n">
        <v>1.43</v>
      </c>
      <c r="U263" s="11">
        <f>IF(S263&lt;='Methodology &amp; Assumptions'!$B$10, "Direct Optical Drop (&lt;3km)", IF(S263&lt;='Methodology &amp; Assumptions'!$B$9, "Near Optical / Microwave (&lt;5km)", "Starlink Business LEO Satellite Backhaul (&gt;5km)"))</f>
        <v/>
      </c>
      <c r="V263" s="26" t="n">
        <v>78.7</v>
      </c>
      <c r="W263" s="26" t="n">
        <v>40.75</v>
      </c>
      <c r="X263" s="26">
        <f>ROUND(('Methodology &amp; Assumptions'!$B$5*V263) + ('Methodology &amp; Assumptions'!$B$6*W263), 2)</f>
        <v/>
      </c>
      <c r="Y263" s="28" t="n">
        <v>8.300000000000001</v>
      </c>
      <c r="Z263" s="11" t="inlineStr">
        <is>
          <t>Priority Tier 3 (Broadband Expansion)</t>
        </is>
      </c>
    </row>
    <row r="264">
      <c r="A264" s="23" t="n">
        <v>4</v>
      </c>
      <c r="B264" s="23" t="n">
        <v>260</v>
      </c>
      <c r="C264" s="23" t="n">
        <v>3260</v>
      </c>
      <c r="D264" s="23" t="inlineStr">
        <is>
          <t>0405608012</t>
        </is>
      </c>
      <c r="E264" s="11" t="inlineStr">
        <is>
          <t>Region IV-A (CALABARZON)</t>
        </is>
      </c>
      <c r="F264" s="11" t="inlineStr">
        <is>
          <t>Quezon</t>
        </is>
      </c>
      <c r="G264" s="11" t="inlineStr">
        <is>
          <t>Candelaria</t>
        </is>
      </c>
      <c r="H264" s="11" t="inlineStr">
        <is>
          <t>Masalukot I</t>
        </is>
      </c>
      <c r="I264" s="24" t="n">
        <v>13.934754</v>
      </c>
      <c r="J264" s="24" t="n">
        <v>121.426995</v>
      </c>
      <c r="K264" s="23" t="inlineStr">
        <is>
          <t>U</t>
        </is>
      </c>
      <c r="L264" s="25" t="n">
        <v>6103</v>
      </c>
      <c r="M264" s="26" t="n">
        <v>3.8</v>
      </c>
      <c r="N264" s="25">
        <f>ROUND(L264/M264, 0)</f>
        <v/>
      </c>
      <c r="O264" s="25">
        <f>ROUND(N264*'Methodology &amp; Assumptions'!$B$7, 0)</f>
        <v/>
      </c>
      <c r="P264" s="23" t="inlineStr">
        <is>
          <t>Single Carrier (Band n50, 100MHz TDD)</t>
        </is>
      </c>
      <c r="Q264" s="27">
        <f>ROUNDUP(O264/'Methodology &amp; Assumptions'!$B$8, 0)</f>
        <v/>
      </c>
      <c r="R264" s="27" t="n">
        <v>1</v>
      </c>
      <c r="S264" s="26" t="n">
        <v>1.33</v>
      </c>
      <c r="T264" s="26" t="n">
        <v>0.67</v>
      </c>
      <c r="U264" s="11">
        <f>IF(S264&lt;='Methodology &amp; Assumptions'!$B$10, "Direct Optical Drop (&lt;3km)", IF(S264&lt;='Methodology &amp; Assumptions'!$B$9, "Near Optical / Microwave (&lt;5km)", "Starlink Business LEO Satellite Backhaul (&gt;5km)"))</f>
        <v/>
      </c>
      <c r="V264" s="26" t="n">
        <v>76.40000000000001</v>
      </c>
      <c r="W264" s="26" t="n">
        <v>43.05</v>
      </c>
      <c r="X264" s="26">
        <f>ROUND(('Methodology &amp; Assumptions'!$B$5*V264) + ('Methodology &amp; Assumptions'!$B$6*W264), 2)</f>
        <v/>
      </c>
      <c r="Y264" s="28" t="n">
        <v>7.2</v>
      </c>
      <c r="Z264" s="11" t="inlineStr">
        <is>
          <t>Priority Tier 3 (Broadband Expansion)</t>
        </is>
      </c>
    </row>
    <row r="265">
      <c r="A265" s="23" t="n">
        <v>4</v>
      </c>
      <c r="B265" s="23" t="n">
        <v>261</v>
      </c>
      <c r="C265" s="23" t="n">
        <v>3261</v>
      </c>
      <c r="D265" s="23" t="inlineStr">
        <is>
          <t>0603036008</t>
        </is>
      </c>
      <c r="E265" s="11" t="inlineStr">
        <is>
          <t>Region VI (Western Visayas)</t>
        </is>
      </c>
      <c r="F265" s="11" t="inlineStr">
        <is>
          <t>Iloilo</t>
        </is>
      </c>
      <c r="G265" s="11" t="inlineStr">
        <is>
          <t>Pavia</t>
        </is>
      </c>
      <c r="H265" s="11" t="inlineStr">
        <is>
          <t>Purok IV</t>
        </is>
      </c>
      <c r="I265" s="24" t="n">
        <v>10.772079</v>
      </c>
      <c r="J265" s="24" t="n">
        <v>122.539446</v>
      </c>
      <c r="K265" s="23" t="inlineStr">
        <is>
          <t>U</t>
        </is>
      </c>
      <c r="L265" s="25" t="n">
        <v>2321</v>
      </c>
      <c r="M265" s="26" t="n">
        <v>3.8</v>
      </c>
      <c r="N265" s="25">
        <f>ROUND(L265/M265, 0)</f>
        <v/>
      </c>
      <c r="O265" s="25">
        <f>ROUND(N265*'Methodology &amp; Assumptions'!$B$7, 0)</f>
        <v/>
      </c>
      <c r="P265" s="23" t="inlineStr">
        <is>
          <t>Single Carrier (Band n50, 100MHz TDD)</t>
        </is>
      </c>
      <c r="Q265" s="27">
        <f>ROUNDUP(O265/'Methodology &amp; Assumptions'!$B$8, 0)</f>
        <v/>
      </c>
      <c r="R265" s="27" t="n">
        <v>1</v>
      </c>
      <c r="S265" s="26" t="n">
        <v>0.5</v>
      </c>
      <c r="T265" s="26" t="n">
        <v>4.04</v>
      </c>
      <c r="U265" s="11">
        <f>IF(S265&lt;='Methodology &amp; Assumptions'!$B$10, "Direct Optical Drop (&lt;3km)", IF(S265&lt;='Methodology &amp; Assumptions'!$B$9, "Near Optical / Microwave (&lt;5km)", "Starlink Business LEO Satellite Backhaul (&gt;5km)"))</f>
        <v/>
      </c>
      <c r="V265" s="26" t="n">
        <v>70.69</v>
      </c>
      <c r="W265" s="26" t="n">
        <v>48.75</v>
      </c>
      <c r="X265" s="26">
        <f>ROUND(('Methodology &amp; Assumptions'!$B$5*V265) + ('Methodology &amp; Assumptions'!$B$6*W265), 2)</f>
        <v/>
      </c>
      <c r="Y265" s="28" t="n">
        <v>23.7</v>
      </c>
      <c r="Z265" s="11" t="inlineStr">
        <is>
          <t>Priority Tier 3 (Broadband Expansion)</t>
        </is>
      </c>
    </row>
    <row r="266">
      <c r="A266" s="23" t="n">
        <v>4</v>
      </c>
      <c r="B266" s="23" t="n">
        <v>262</v>
      </c>
      <c r="C266" s="23" t="n">
        <v>3262</v>
      </c>
      <c r="D266" s="23" t="inlineStr">
        <is>
          <t>1380601003</t>
        </is>
      </c>
      <c r="E266" s="11" t="inlineStr">
        <is>
          <t>National Capital Region (NCR)</t>
        </is>
      </c>
      <c r="F266" s="11" t="inlineStr">
        <is>
          <t>First District (Not a Province)</t>
        </is>
      </c>
      <c r="G266" s="11" t="inlineStr">
        <is>
          <t>City of Manila</t>
        </is>
      </c>
      <c r="H266" s="11" t="inlineStr">
        <is>
          <t>Barangay 3</t>
        </is>
      </c>
      <c r="I266" s="24" t="n">
        <v>14.606733</v>
      </c>
      <c r="J266" s="24" t="n">
        <v>120.967214</v>
      </c>
      <c r="K266" s="23" t="inlineStr">
        <is>
          <t>U</t>
        </is>
      </c>
      <c r="L266" s="25" t="n">
        <v>1232</v>
      </c>
      <c r="M266" s="26" t="n">
        <v>4.93</v>
      </c>
      <c r="N266" s="25">
        <f>ROUND(L266/M266, 0)</f>
        <v/>
      </c>
      <c r="O266" s="25">
        <f>ROUND(N266*'Methodology &amp; Assumptions'!$B$7, 0)</f>
        <v/>
      </c>
      <c r="P266" s="23" t="inlineStr">
        <is>
          <t>Single Carrier (Band n50, 100MHz TDD)</t>
        </is>
      </c>
      <c r="Q266" s="27">
        <f>ROUNDUP(O266/'Methodology &amp; Assumptions'!$B$8, 0)</f>
        <v/>
      </c>
      <c r="R266" s="27" t="n">
        <v>1</v>
      </c>
      <c r="S266" s="26" t="n">
        <v>0.26</v>
      </c>
      <c r="T266" s="26" t="n">
        <v>0.27</v>
      </c>
      <c r="U266" s="11">
        <f>IF(S266&lt;='Methodology &amp; Assumptions'!$B$10, "Direct Optical Drop (&lt;3km)", IF(S266&lt;='Methodology &amp; Assumptions'!$B$9, "Near Optical / Microwave (&lt;5km)", "Starlink Business LEO Satellite Backhaul (&gt;5km)"))</f>
        <v/>
      </c>
      <c r="V266" s="26" t="n">
        <v>49.13</v>
      </c>
      <c r="W266" s="26" t="n">
        <v>70.31</v>
      </c>
      <c r="X266" s="26">
        <f>ROUND(('Methodology &amp; Assumptions'!$B$5*V266) + ('Methodology &amp; Assumptions'!$B$6*W266), 2)</f>
        <v/>
      </c>
      <c r="Y266" s="28" t="n">
        <v>10.9</v>
      </c>
      <c r="Z266" s="11" t="inlineStr">
        <is>
          <t>Priority Tier 3 (Broadband Expansion)</t>
        </is>
      </c>
    </row>
    <row r="267">
      <c r="A267" s="23" t="n">
        <v>4</v>
      </c>
      <c r="B267" s="23" t="n">
        <v>263</v>
      </c>
      <c r="C267" s="23" t="n">
        <v>3263</v>
      </c>
      <c r="D267" s="23" t="inlineStr">
        <is>
          <t>0600409013</t>
        </is>
      </c>
      <c r="E267" s="11" t="inlineStr">
        <is>
          <t>Region VI (Western Visayas)</t>
        </is>
      </c>
      <c r="F267" s="11" t="inlineStr">
        <is>
          <t>Aklan</t>
        </is>
      </c>
      <c r="G267" s="11" t="inlineStr">
        <is>
          <t>Libacao</t>
        </is>
      </c>
      <c r="H267" s="11" t="inlineStr">
        <is>
          <t>Luctoga</t>
        </is>
      </c>
      <c r="I267" s="24" t="n">
        <v>11.379773</v>
      </c>
      <c r="J267" s="24" t="n">
        <v>122.299413</v>
      </c>
      <c r="K267" s="23" t="inlineStr">
        <is>
          <t>R</t>
        </is>
      </c>
      <c r="L267" s="25" t="n">
        <v>1487</v>
      </c>
      <c r="M267" s="26" t="n">
        <v>3.9</v>
      </c>
      <c r="N267" s="25">
        <f>ROUND(L267/M267, 0)</f>
        <v/>
      </c>
      <c r="O267" s="25">
        <f>ROUND(N267*'Methodology &amp; Assumptions'!$B$7, 0)</f>
        <v/>
      </c>
      <c r="P267" s="23" t="inlineStr">
        <is>
          <t>Single Carrier (Band n50, 100MHz TDD)</t>
        </is>
      </c>
      <c r="Q267" s="27">
        <f>ROUNDUP(O267/'Methodology &amp; Assumptions'!$B$8, 0)</f>
        <v/>
      </c>
      <c r="R267" s="27" t="n">
        <v>1</v>
      </c>
      <c r="S267" s="26" t="n">
        <v>21.4</v>
      </c>
      <c r="T267" s="26" t="n">
        <v>21.29</v>
      </c>
      <c r="U267" s="11">
        <f>IF(S267&lt;='Methodology &amp; Assumptions'!$B$10, "Direct Optical Drop (&lt;3km)", IF(S267&lt;='Methodology &amp; Assumptions'!$B$9, "Near Optical / Microwave (&lt;5km)", "Starlink Business LEO Satellite Backhaul (&gt;5km)"))</f>
        <v/>
      </c>
      <c r="V267" s="26" t="n">
        <v>47.77</v>
      </c>
      <c r="W267" s="26" t="n">
        <v>71.68000000000001</v>
      </c>
      <c r="X267" s="26">
        <f>ROUND(('Methodology &amp; Assumptions'!$B$5*V267) + ('Methodology &amp; Assumptions'!$B$6*W267), 2)</f>
        <v/>
      </c>
      <c r="Y267" s="28" t="n">
        <v>23.7</v>
      </c>
      <c r="Z267" s="11" t="inlineStr">
        <is>
          <t>Priority Tier 3 (Broadband Expansion)</t>
        </is>
      </c>
    </row>
    <row r="268">
      <c r="A268" s="23" t="n">
        <v>4</v>
      </c>
      <c r="B268" s="23" t="n">
        <v>264</v>
      </c>
      <c r="C268" s="23" t="n">
        <v>3264</v>
      </c>
      <c r="D268" s="23" t="inlineStr">
        <is>
          <t>0403417048</t>
        </is>
      </c>
      <c r="E268" s="11" t="inlineStr">
        <is>
          <t>Region IV-A (CALABARZON)</t>
        </is>
      </c>
      <c r="F268" s="11" t="inlineStr">
        <is>
          <t>Laguna</t>
        </is>
      </c>
      <c r="G268" s="11" t="inlineStr">
        <is>
          <t>Nagcarlan</t>
        </is>
      </c>
      <c r="H268" s="11" t="inlineStr">
        <is>
          <t>Talangan</t>
        </is>
      </c>
      <c r="I268" s="24" t="n">
        <v>14.14423</v>
      </c>
      <c r="J268" s="24" t="n">
        <v>121.41276</v>
      </c>
      <c r="K268" s="23" t="inlineStr">
        <is>
          <t>R</t>
        </is>
      </c>
      <c r="L268" s="25" t="n">
        <v>2234</v>
      </c>
      <c r="M268" s="26" t="n">
        <v>3.3</v>
      </c>
      <c r="N268" s="25">
        <f>ROUND(L268/M268, 0)</f>
        <v/>
      </c>
      <c r="O268" s="25">
        <f>ROUND(N268*'Methodology &amp; Assumptions'!$B$7, 0)</f>
        <v/>
      </c>
      <c r="P268" s="23" t="inlineStr">
        <is>
          <t>Single Carrier (Band n50, 100MHz TDD)</t>
        </is>
      </c>
      <c r="Q268" s="27">
        <f>ROUNDUP(O268/'Methodology &amp; Assumptions'!$B$8, 0)</f>
        <v/>
      </c>
      <c r="R268" s="27" t="n">
        <v>1</v>
      </c>
      <c r="S268" s="26" t="n">
        <v>0.82</v>
      </c>
      <c r="T268" s="26" t="n">
        <v>0.8</v>
      </c>
      <c r="U268" s="11">
        <f>IF(S268&lt;='Methodology &amp; Assumptions'!$B$10, "Direct Optical Drop (&lt;3km)", IF(S268&lt;='Methodology &amp; Assumptions'!$B$9, "Near Optical / Microwave (&lt;5km)", "Starlink Business LEO Satellite Backhaul (&gt;5km)"))</f>
        <v/>
      </c>
      <c r="V268" s="26" t="n">
        <v>80.94</v>
      </c>
      <c r="W268" s="26" t="n">
        <v>38.47</v>
      </c>
      <c r="X268" s="26">
        <f>ROUND(('Methodology &amp; Assumptions'!$B$5*V268) + ('Methodology &amp; Assumptions'!$B$6*W268), 2)</f>
        <v/>
      </c>
      <c r="Y268" s="28" t="n">
        <v>7.2</v>
      </c>
      <c r="Z268" s="11" t="inlineStr">
        <is>
          <t>Priority Tier 3 (Broadband Expansion)</t>
        </is>
      </c>
    </row>
    <row r="269">
      <c r="A269" s="23" t="n">
        <v>4</v>
      </c>
      <c r="B269" s="23" t="n">
        <v>265</v>
      </c>
      <c r="C269" s="23" t="n">
        <v>3265</v>
      </c>
      <c r="D269" s="23" t="inlineStr">
        <is>
          <t>0403421008</t>
        </is>
      </c>
      <c r="E269" s="11" t="inlineStr">
        <is>
          <t>Region IV-A (CALABARZON)</t>
        </is>
      </c>
      <c r="F269" s="11" t="inlineStr">
        <is>
          <t>Laguna</t>
        </is>
      </c>
      <c r="G269" s="11" t="inlineStr">
        <is>
          <t>Pangil</t>
        </is>
      </c>
      <c r="H269" s="11" t="inlineStr">
        <is>
          <t>Sulib</t>
        </is>
      </c>
      <c r="I269" s="24" t="n">
        <v>14.404972</v>
      </c>
      <c r="J269" s="24" t="n">
        <v>121.465006</v>
      </c>
      <c r="K269" s="23" t="inlineStr">
        <is>
          <t>U</t>
        </is>
      </c>
      <c r="L269" s="25" t="n">
        <v>7425</v>
      </c>
      <c r="M269" s="26" t="n">
        <v>3.3</v>
      </c>
      <c r="N269" s="25">
        <f>ROUND(L269/M269, 0)</f>
        <v/>
      </c>
      <c r="O269" s="25">
        <f>ROUND(N269*'Methodology &amp; Assumptions'!$B$7, 0)</f>
        <v/>
      </c>
      <c r="P269" s="23" t="inlineStr">
        <is>
          <t>Single Carrier (Band n50, 100MHz TDD)</t>
        </is>
      </c>
      <c r="Q269" s="27">
        <f>ROUNDUP(O269/'Methodology &amp; Assumptions'!$B$8, 0)</f>
        <v/>
      </c>
      <c r="R269" s="27" t="n">
        <v>1</v>
      </c>
      <c r="S269" s="26" t="n">
        <v>0.28</v>
      </c>
      <c r="T269" s="26" t="n">
        <v>0.35</v>
      </c>
      <c r="U269" s="11">
        <f>IF(S269&lt;='Methodology &amp; Assumptions'!$B$10, "Direct Optical Drop (&lt;3km)", IF(S269&lt;='Methodology &amp; Assumptions'!$B$9, "Near Optical / Microwave (&lt;5km)", "Starlink Business LEO Satellite Backhaul (&gt;5km)"))</f>
        <v/>
      </c>
      <c r="V269" s="26" t="n">
        <v>78.26000000000001</v>
      </c>
      <c r="W269" s="26" t="n">
        <v>41.16</v>
      </c>
      <c r="X269" s="26">
        <f>ROUND(('Methodology &amp; Assumptions'!$B$5*V269) + ('Methodology &amp; Assumptions'!$B$6*W269), 2)</f>
        <v/>
      </c>
      <c r="Y269" s="28" t="n">
        <v>7.2</v>
      </c>
      <c r="Z269" s="11" t="inlineStr">
        <is>
          <t>Priority Tier 3 (Broadband Expansion)</t>
        </is>
      </c>
    </row>
    <row r="270">
      <c r="A270" s="23" t="n">
        <v>4</v>
      </c>
      <c r="B270" s="23" t="n">
        <v>266</v>
      </c>
      <c r="C270" s="23" t="n">
        <v>3266</v>
      </c>
      <c r="D270" s="23" t="inlineStr">
        <is>
          <t>0702214014</t>
        </is>
      </c>
      <c r="E270" s="11" t="inlineStr">
        <is>
          <t>Region VII (Central Visayas)</t>
        </is>
      </c>
      <c r="F270" s="11" t="inlineStr">
        <is>
          <t>Cebu</t>
        </is>
      </c>
      <c r="G270" s="11" t="inlineStr">
        <is>
          <t>City of Carcar</t>
        </is>
      </c>
      <c r="H270" s="11" t="inlineStr">
        <is>
          <t>Poblacion III</t>
        </is>
      </c>
      <c r="I270" s="24" t="n">
        <v>10.109809</v>
      </c>
      <c r="J270" s="24" t="n">
        <v>123.649807</v>
      </c>
      <c r="K270" s="23" t="inlineStr">
        <is>
          <t>U</t>
        </is>
      </c>
      <c r="L270" s="25" t="n">
        <v>7495</v>
      </c>
      <c r="M270" s="26" t="n">
        <v>3.8</v>
      </c>
      <c r="N270" s="25">
        <f>ROUND(L270/M270, 0)</f>
        <v/>
      </c>
      <c r="O270" s="25">
        <f>ROUND(N270*'Methodology &amp; Assumptions'!$B$7, 0)</f>
        <v/>
      </c>
      <c r="P270" s="23" t="inlineStr">
        <is>
          <t>Single Carrier (Band n50, 100MHz TDD)</t>
        </is>
      </c>
      <c r="Q270" s="27">
        <f>ROUNDUP(O270/'Methodology &amp; Assumptions'!$B$8, 0)</f>
        <v/>
      </c>
      <c r="R270" s="27" t="n">
        <v>1</v>
      </c>
      <c r="S270" s="26" t="n">
        <v>1.56</v>
      </c>
      <c r="T270" s="26" t="n">
        <v>0.26</v>
      </c>
      <c r="U270" s="11">
        <f>IF(S270&lt;='Methodology &amp; Assumptions'!$B$10, "Direct Optical Drop (&lt;3km)", IF(S270&lt;='Methodology &amp; Assumptions'!$B$9, "Near Optical / Microwave (&lt;5km)", "Starlink Business LEO Satellite Backhaul (&gt;5km)"))</f>
        <v/>
      </c>
      <c r="V270" s="26" t="n">
        <v>78.15000000000001</v>
      </c>
      <c r="W270" s="26" t="n">
        <v>41.28</v>
      </c>
      <c r="X270" s="26">
        <f>ROUND(('Methodology &amp; Assumptions'!$B$5*V270) + ('Methodology &amp; Assumptions'!$B$6*W270), 2)</f>
        <v/>
      </c>
      <c r="Y270" s="28" t="n">
        <v>23.7</v>
      </c>
      <c r="Z270" s="11" t="inlineStr">
        <is>
          <t>Priority Tier 3 (Broadband Expansion)</t>
        </is>
      </c>
    </row>
    <row r="271">
      <c r="A271" s="23" t="n">
        <v>4</v>
      </c>
      <c r="B271" s="23" t="n">
        <v>267</v>
      </c>
      <c r="C271" s="23" t="n">
        <v>3267</v>
      </c>
      <c r="D271" s="23" t="inlineStr">
        <is>
          <t>0403426004</t>
        </is>
      </c>
      <c r="E271" s="11" t="inlineStr">
        <is>
          <t>Region IV-A (CALABARZON)</t>
        </is>
      </c>
      <c r="F271" s="11" t="inlineStr">
        <is>
          <t>Laguna</t>
        </is>
      </c>
      <c r="G271" s="11" t="inlineStr">
        <is>
          <t>Santa Cruz</t>
        </is>
      </c>
      <c r="H271" s="11" t="inlineStr">
        <is>
          <t>Calios</t>
        </is>
      </c>
      <c r="I271" s="24" t="n">
        <v>14.273992</v>
      </c>
      <c r="J271" s="24" t="n">
        <v>121.405665</v>
      </c>
      <c r="K271" s="23" t="inlineStr">
        <is>
          <t>U</t>
        </is>
      </c>
      <c r="L271" s="25" t="n">
        <v>11052</v>
      </c>
      <c r="M271" s="26" t="n">
        <v>3.3</v>
      </c>
      <c r="N271" s="25">
        <f>ROUND(L271/M271, 0)</f>
        <v/>
      </c>
      <c r="O271" s="25">
        <f>ROUND(N271*'Methodology &amp; Assumptions'!$B$7, 0)</f>
        <v/>
      </c>
      <c r="P271" s="23" t="inlineStr">
        <is>
          <t>Single Carrier (Band n50, 100MHz TDD)</t>
        </is>
      </c>
      <c r="Q271" s="27">
        <f>ROUNDUP(O271/'Methodology &amp; Assumptions'!$B$8, 0)</f>
        <v/>
      </c>
      <c r="R271" s="27" t="n">
        <v>1</v>
      </c>
      <c r="S271" s="26" t="n">
        <v>0.98</v>
      </c>
      <c r="T271" s="26" t="n">
        <v>0.88</v>
      </c>
      <c r="U271" s="11">
        <f>IF(S271&lt;='Methodology &amp; Assumptions'!$B$10, "Direct Optical Drop (&lt;3km)", IF(S271&lt;='Methodology &amp; Assumptions'!$B$9, "Near Optical / Microwave (&lt;5km)", "Starlink Business LEO Satellite Backhaul (&gt;5km)"))</f>
        <v/>
      </c>
      <c r="V271" s="26" t="n">
        <v>77.72</v>
      </c>
      <c r="W271" s="26" t="n">
        <v>41.7</v>
      </c>
      <c r="X271" s="26">
        <f>ROUND(('Methodology &amp; Assumptions'!$B$5*V271) + ('Methodology &amp; Assumptions'!$B$6*W271), 2)</f>
        <v/>
      </c>
      <c r="Y271" s="28" t="n">
        <v>7.2</v>
      </c>
      <c r="Z271" s="11" t="inlineStr">
        <is>
          <t>Priority Tier 3 (Broadband Expansion)</t>
        </is>
      </c>
    </row>
    <row r="272">
      <c r="A272" s="23" t="n">
        <v>4</v>
      </c>
      <c r="B272" s="23" t="n">
        <v>268</v>
      </c>
      <c r="C272" s="23" t="n">
        <v>3268</v>
      </c>
      <c r="D272" s="23" t="inlineStr">
        <is>
          <t>0403408009</t>
        </is>
      </c>
      <c r="E272" s="11" t="inlineStr">
        <is>
          <t>Region IV-A (CALABARZON)</t>
        </is>
      </c>
      <c r="F272" s="11" t="inlineStr">
        <is>
          <t>Laguna</t>
        </is>
      </c>
      <c r="G272" s="11" t="inlineStr">
        <is>
          <t>Famy</t>
        </is>
      </c>
      <c r="H272" s="11" t="inlineStr">
        <is>
          <t>Calumpang</t>
        </is>
      </c>
      <c r="I272" s="24" t="n">
        <v>14.436307</v>
      </c>
      <c r="J272" s="24" t="n">
        <v>121.448588</v>
      </c>
      <c r="K272" s="23" t="inlineStr">
        <is>
          <t>R</t>
        </is>
      </c>
      <c r="L272" s="25" t="n">
        <v>397</v>
      </c>
      <c r="M272" s="26" t="n">
        <v>3.3</v>
      </c>
      <c r="N272" s="25">
        <f>ROUND(L272/M272, 0)</f>
        <v/>
      </c>
      <c r="O272" s="25">
        <f>ROUND(N272*'Methodology &amp; Assumptions'!$B$7, 0)</f>
        <v/>
      </c>
      <c r="P272" s="23" t="inlineStr">
        <is>
          <t>Single Carrier (Band n50, 100MHz TDD)</t>
        </is>
      </c>
      <c r="Q272" s="27">
        <f>ROUNDUP(O272/'Methodology &amp; Assumptions'!$B$8, 0)</f>
        <v/>
      </c>
      <c r="R272" s="27" t="n">
        <v>1</v>
      </c>
      <c r="S272" s="26" t="n">
        <v>0.18</v>
      </c>
      <c r="T272" s="26" t="n">
        <v>0.08</v>
      </c>
      <c r="U272" s="11">
        <f>IF(S272&lt;='Methodology &amp; Assumptions'!$B$10, "Direct Optical Drop (&lt;3km)", IF(S272&lt;='Methodology &amp; Assumptions'!$B$9, "Near Optical / Microwave (&lt;5km)", "Starlink Business LEO Satellite Backhaul (&gt;5km)"))</f>
        <v/>
      </c>
      <c r="V272" s="26" t="n">
        <v>65.40000000000001</v>
      </c>
      <c r="W272" s="26" t="n">
        <v>54.02</v>
      </c>
      <c r="X272" s="26">
        <f>ROUND(('Methodology &amp; Assumptions'!$B$5*V272) + ('Methodology &amp; Assumptions'!$B$6*W272), 2)</f>
        <v/>
      </c>
      <c r="Y272" s="28" t="n">
        <v>7.2</v>
      </c>
      <c r="Z272" s="11" t="inlineStr">
        <is>
          <t>Priority Tier 3 (Broadband Expansion)</t>
        </is>
      </c>
    </row>
    <row r="273">
      <c r="A273" s="23" t="n">
        <v>4</v>
      </c>
      <c r="B273" s="23" t="n">
        <v>269</v>
      </c>
      <c r="C273" s="23" t="n">
        <v>3269</v>
      </c>
      <c r="D273" s="23" t="inlineStr">
        <is>
          <t>0601912018</t>
        </is>
      </c>
      <c r="E273" s="11" t="inlineStr">
        <is>
          <t>Region VI (Western Visayas)</t>
        </is>
      </c>
      <c r="F273" s="11" t="inlineStr">
        <is>
          <t>Capiz</t>
        </is>
      </c>
      <c r="G273" s="11" t="inlineStr">
        <is>
          <t>Pontevedra</t>
        </is>
      </c>
      <c r="H273" s="11" t="inlineStr">
        <is>
          <t>Manapao</t>
        </is>
      </c>
      <c r="I273" s="24" t="n">
        <v>11.458071</v>
      </c>
      <c r="J273" s="24" t="n">
        <v>122.898534</v>
      </c>
      <c r="K273" s="23" t="inlineStr">
        <is>
          <t>R</t>
        </is>
      </c>
      <c r="L273" s="25" t="n">
        <v>675</v>
      </c>
      <c r="M273" s="26" t="n">
        <v>3.8</v>
      </c>
      <c r="N273" s="25">
        <f>ROUND(L273/M273, 0)</f>
        <v/>
      </c>
      <c r="O273" s="25">
        <f>ROUND(N273*'Methodology &amp; Assumptions'!$B$7, 0)</f>
        <v/>
      </c>
      <c r="P273" s="23" t="inlineStr">
        <is>
          <t>Single Carrier (Band n50, 100MHz TDD)</t>
        </is>
      </c>
      <c r="Q273" s="27">
        <f>ROUNDUP(O273/'Methodology &amp; Assumptions'!$B$8, 0)</f>
        <v/>
      </c>
      <c r="R273" s="27" t="n">
        <v>1</v>
      </c>
      <c r="S273" s="26" t="n">
        <v>7.38</v>
      </c>
      <c r="T273" s="26" t="n">
        <v>3.99</v>
      </c>
      <c r="U273" s="11">
        <f>IF(S273&lt;='Methodology &amp; Assumptions'!$B$10, "Direct Optical Drop (&lt;3km)", IF(S273&lt;='Methodology &amp; Assumptions'!$B$9, "Near Optical / Microwave (&lt;5km)", "Starlink Business LEO Satellite Backhaul (&gt;5km)"))</f>
        <v/>
      </c>
      <c r="V273" s="26" t="n">
        <v>48.56</v>
      </c>
      <c r="W273" s="26" t="n">
        <v>70.84999999999999</v>
      </c>
      <c r="X273" s="26">
        <f>ROUND(('Methodology &amp; Assumptions'!$B$5*V273) + ('Methodology &amp; Assumptions'!$B$6*W273), 2)</f>
        <v/>
      </c>
      <c r="Y273" s="28" t="n">
        <v>23.7</v>
      </c>
      <c r="Z273" s="11" t="inlineStr">
        <is>
          <t>Priority Tier 3 (Broadband Expansion)</t>
        </is>
      </c>
    </row>
    <row r="274">
      <c r="A274" s="23" t="n">
        <v>4</v>
      </c>
      <c r="B274" s="23" t="n">
        <v>270</v>
      </c>
      <c r="C274" s="23" t="n">
        <v>3270</v>
      </c>
      <c r="D274" s="23" t="inlineStr">
        <is>
          <t>0600407008</t>
        </is>
      </c>
      <c r="E274" s="11" t="inlineStr">
        <is>
          <t>Region VI (Western Visayas)</t>
        </is>
      </c>
      <c r="F274" s="11" t="inlineStr">
        <is>
          <t>Aklan</t>
        </is>
      </c>
      <c r="G274" s="11" t="inlineStr">
        <is>
          <t>Kalibo</t>
        </is>
      </c>
      <c r="H274" s="11" t="inlineStr">
        <is>
          <t>Estancia</t>
        </is>
      </c>
      <c r="I274" s="24" t="n">
        <v>11.684955</v>
      </c>
      <c r="J274" s="24" t="n">
        <v>122.365908</v>
      </c>
      <c r="K274" s="23" t="inlineStr">
        <is>
          <t>U</t>
        </is>
      </c>
      <c r="L274" s="25" t="n">
        <v>9882</v>
      </c>
      <c r="M274" s="26" t="n">
        <v>3.9</v>
      </c>
      <c r="N274" s="25">
        <f>ROUND(L274/M274, 0)</f>
        <v/>
      </c>
      <c r="O274" s="25">
        <f>ROUND(N274*'Methodology &amp; Assumptions'!$B$7, 0)</f>
        <v/>
      </c>
      <c r="P274" s="23" t="inlineStr">
        <is>
          <t>Single Carrier (Band n50, 100MHz TDD)</t>
        </is>
      </c>
      <c r="Q274" s="27">
        <f>ROUNDUP(O274/'Methodology &amp; Assumptions'!$B$8, 0)</f>
        <v/>
      </c>
      <c r="R274" s="27" t="n">
        <v>1</v>
      </c>
      <c r="S274" s="26" t="n">
        <v>1.4</v>
      </c>
      <c r="T274" s="26" t="n">
        <v>0.07000000000000001</v>
      </c>
      <c r="U274" s="11">
        <f>IF(S274&lt;='Methodology &amp; Assumptions'!$B$10, "Direct Optical Drop (&lt;3km)", IF(S274&lt;='Methodology &amp; Assumptions'!$B$9, "Near Optical / Microwave (&lt;5km)", "Starlink Business LEO Satellite Backhaul (&gt;5km)"))</f>
        <v/>
      </c>
      <c r="V274" s="26" t="n">
        <v>78.75</v>
      </c>
      <c r="W274" s="26" t="n">
        <v>40.66</v>
      </c>
      <c r="X274" s="26">
        <f>ROUND(('Methodology &amp; Assumptions'!$B$5*V274) + ('Methodology &amp; Assumptions'!$B$6*W274), 2)</f>
        <v/>
      </c>
      <c r="Y274" s="28" t="n">
        <v>23.7</v>
      </c>
      <c r="Z274" s="11" t="inlineStr">
        <is>
          <t>Priority Tier 3 (Broadband Expansion)</t>
        </is>
      </c>
    </row>
    <row r="275">
      <c r="A275" s="23" t="n">
        <v>4</v>
      </c>
      <c r="B275" s="23" t="n">
        <v>271</v>
      </c>
      <c r="C275" s="23" t="n">
        <v>3271</v>
      </c>
      <c r="D275" s="23" t="inlineStr">
        <is>
          <t>0304908011</t>
        </is>
      </c>
      <c r="E275" s="11" t="inlineStr">
        <is>
          <t>Region III (Central Luzon)</t>
        </is>
      </c>
      <c r="F275" s="11" t="inlineStr">
        <is>
          <t>Nueva Ecija</t>
        </is>
      </c>
      <c r="G275" s="11" t="inlineStr">
        <is>
          <t>City of Gapan</t>
        </is>
      </c>
      <c r="H275" s="11" t="inlineStr">
        <is>
          <t>San Nicolas</t>
        </is>
      </c>
      <c r="I275" s="24" t="n">
        <v>15.303298</v>
      </c>
      <c r="J275" s="24" t="n">
        <v>120.935682</v>
      </c>
      <c r="K275" s="23" t="inlineStr">
        <is>
          <t>U</t>
        </is>
      </c>
      <c r="L275" s="25" t="n">
        <v>14324</v>
      </c>
      <c r="M275" s="26" t="n">
        <v>3.5</v>
      </c>
      <c r="N275" s="25">
        <f>ROUND(L275/M275, 0)</f>
        <v/>
      </c>
      <c r="O275" s="25">
        <f>ROUND(N275*'Methodology &amp; Assumptions'!$B$7, 0)</f>
        <v/>
      </c>
      <c r="P275" s="23" t="inlineStr">
        <is>
          <t>Single Carrier (Band n50, 100MHz TDD)</t>
        </is>
      </c>
      <c r="Q275" s="27">
        <f>ROUNDUP(O275/'Methodology &amp; Assumptions'!$B$8, 0)</f>
        <v/>
      </c>
      <c r="R275" s="27" t="n">
        <v>1</v>
      </c>
      <c r="S275" s="26" t="n">
        <v>0.02</v>
      </c>
      <c r="T275" s="26" t="n">
        <v>0.11</v>
      </c>
      <c r="U275" s="11">
        <f>IF(S275&lt;='Methodology &amp; Assumptions'!$B$10, "Direct Optical Drop (&lt;3km)", IF(S275&lt;='Methodology &amp; Assumptions'!$B$9, "Near Optical / Microwave (&lt;5km)", "Starlink Business LEO Satellite Backhaul (&gt;5km)"))</f>
        <v/>
      </c>
      <c r="V275" s="26" t="n">
        <v>78.43000000000001</v>
      </c>
      <c r="W275" s="26" t="n">
        <v>40.96</v>
      </c>
      <c r="X275" s="26">
        <f>ROUND(('Methodology &amp; Assumptions'!$B$5*V275) + ('Methodology &amp; Assumptions'!$B$6*W275), 2)</f>
        <v/>
      </c>
      <c r="Y275" s="28" t="n">
        <v>8.300000000000001</v>
      </c>
      <c r="Z275" s="11" t="inlineStr">
        <is>
          <t>Priority Tier 3 (Broadband Expansion)</t>
        </is>
      </c>
    </row>
    <row r="276">
      <c r="A276" s="23" t="n">
        <v>4</v>
      </c>
      <c r="B276" s="23" t="n">
        <v>272</v>
      </c>
      <c r="C276" s="23" t="n">
        <v>3272</v>
      </c>
      <c r="D276" s="23" t="inlineStr">
        <is>
          <t>1380300025</t>
        </is>
      </c>
      <c r="E276" s="11" t="inlineStr">
        <is>
          <t>National Capital Region (NCR)</t>
        </is>
      </c>
      <c r="F276" s="11" t="inlineStr">
        <is>
          <t>Fourth District (Not a Province)</t>
        </is>
      </c>
      <c r="G276" s="11" t="inlineStr">
        <is>
          <t>City of Makati</t>
        </is>
      </c>
      <c r="H276" s="11" t="inlineStr">
        <is>
          <t>San Lorenzo</t>
        </is>
      </c>
      <c r="I276" s="24" t="n">
        <v>14.54511</v>
      </c>
      <c r="J276" s="24" t="n">
        <v>121.0183</v>
      </c>
      <c r="K276" s="23" t="inlineStr">
        <is>
          <t>U</t>
        </is>
      </c>
      <c r="L276" s="25" t="n">
        <v>14793</v>
      </c>
      <c r="M276" s="26" t="n">
        <v>3.02</v>
      </c>
      <c r="N276" s="25">
        <f>ROUND(L276/M276, 0)</f>
        <v/>
      </c>
      <c r="O276" s="25">
        <f>ROUND(N276*'Methodology &amp; Assumptions'!$B$7, 0)</f>
        <v/>
      </c>
      <c r="P276" s="23" t="inlineStr">
        <is>
          <t>Single Carrier (Band n50, 100MHz TDD)</t>
        </is>
      </c>
      <c r="Q276" s="27">
        <f>ROUNDUP(O276/'Methodology &amp; Assumptions'!$B$8, 0)</f>
        <v/>
      </c>
      <c r="R276" s="27" t="n">
        <v>1</v>
      </c>
      <c r="S276" s="26" t="n">
        <v>0.84</v>
      </c>
      <c r="T276" s="26" t="n">
        <v>0.2</v>
      </c>
      <c r="U276" s="11">
        <f>IF(S276&lt;='Methodology &amp; Assumptions'!$B$10, "Direct Optical Drop (&lt;3km)", IF(S276&lt;='Methodology &amp; Assumptions'!$B$9, "Near Optical / Microwave (&lt;5km)", "Starlink Business LEO Satellite Backhaul (&gt;5km)"))</f>
        <v/>
      </c>
      <c r="V276" s="26" t="n">
        <v>68.7</v>
      </c>
      <c r="W276" s="26" t="n">
        <v>50.7</v>
      </c>
      <c r="X276" s="26">
        <f>ROUND(('Methodology &amp; Assumptions'!$B$5*V276) + ('Methodology &amp; Assumptions'!$B$6*W276), 2)</f>
        <v/>
      </c>
      <c r="Y276" s="28" t="n">
        <v>10.9</v>
      </c>
      <c r="Z276" s="11" t="inlineStr">
        <is>
          <t>Priority Tier 3 (Broadband Expansion)</t>
        </is>
      </c>
    </row>
    <row r="277">
      <c r="A277" s="23" t="n">
        <v>4</v>
      </c>
      <c r="B277" s="23" t="n">
        <v>273</v>
      </c>
      <c r="C277" s="23" t="n">
        <v>3273</v>
      </c>
      <c r="D277" s="23" t="inlineStr">
        <is>
          <t>1380614060</t>
        </is>
      </c>
      <c r="E277" s="11" t="inlineStr">
        <is>
          <t>National Capital Region (NCR)</t>
        </is>
      </c>
      <c r="F277" s="11" t="inlineStr">
        <is>
          <t>First District (Not a Province)</t>
        </is>
      </c>
      <c r="G277" s="11" t="inlineStr">
        <is>
          <t>City of Manila</t>
        </is>
      </c>
      <c r="H277" s="11" t="inlineStr">
        <is>
          <t>Barangay 804</t>
        </is>
      </c>
      <c r="I277" s="24" t="n">
        <v>14.572882</v>
      </c>
      <c r="J277" s="24" t="n">
        <v>121.003954</v>
      </c>
      <c r="K277" s="23" t="inlineStr">
        <is>
          <t>U</t>
        </is>
      </c>
      <c r="L277" s="25" t="n">
        <v>1331</v>
      </c>
      <c r="M277" s="26" t="n">
        <v>4.25</v>
      </c>
      <c r="N277" s="25">
        <f>ROUND(L277/M277, 0)</f>
        <v/>
      </c>
      <c r="O277" s="25">
        <f>ROUND(N277*'Methodology &amp; Assumptions'!$B$7, 0)</f>
        <v/>
      </c>
      <c r="P277" s="23" t="inlineStr">
        <is>
          <t>Single Carrier (Band n50, 100MHz TDD)</t>
        </is>
      </c>
      <c r="Q277" s="27">
        <f>ROUNDUP(O277/'Methodology &amp; Assumptions'!$B$8, 0)</f>
        <v/>
      </c>
      <c r="R277" s="27" t="n">
        <v>1</v>
      </c>
      <c r="S277" s="26" t="n">
        <v>1.05</v>
      </c>
      <c r="T277" s="26" t="n">
        <v>0.51</v>
      </c>
      <c r="U277" s="11">
        <f>IF(S277&lt;='Methodology &amp; Assumptions'!$B$10, "Direct Optical Drop (&lt;3km)", IF(S277&lt;='Methodology &amp; Assumptions'!$B$9, "Near Optical / Microwave (&lt;5km)", "Starlink Business LEO Satellite Backhaul (&gt;5km)"))</f>
        <v/>
      </c>
      <c r="V277" s="26" t="n">
        <v>50.35</v>
      </c>
      <c r="W277" s="26" t="n">
        <v>69.04000000000001</v>
      </c>
      <c r="X277" s="26">
        <f>ROUND(('Methodology &amp; Assumptions'!$B$5*V277) + ('Methodology &amp; Assumptions'!$B$6*W277), 2)</f>
        <v/>
      </c>
      <c r="Y277" s="28" t="n">
        <v>10.9</v>
      </c>
      <c r="Z277" s="11" t="inlineStr">
        <is>
          <t>Priority Tier 3 (Broadband Expansion)</t>
        </is>
      </c>
    </row>
    <row r="278">
      <c r="A278" s="23" t="n">
        <v>4</v>
      </c>
      <c r="B278" s="23" t="n">
        <v>274</v>
      </c>
      <c r="C278" s="23" t="n">
        <v>3274</v>
      </c>
      <c r="D278" s="23" t="inlineStr">
        <is>
          <t>0205009005</t>
        </is>
      </c>
      <c r="E278" s="11" t="inlineStr">
        <is>
          <t>Region II (Cagayan Valley)</t>
        </is>
      </c>
      <c r="F278" s="11" t="inlineStr">
        <is>
          <t>Nueva Vizcaya</t>
        </is>
      </c>
      <c r="G278" s="11" t="inlineStr">
        <is>
          <t>Kasibu</t>
        </is>
      </c>
      <c r="H278" s="11" t="inlineStr">
        <is>
          <t>Binogawan</t>
        </is>
      </c>
      <c r="I278" s="24" t="n">
        <v>16.41369</v>
      </c>
      <c r="J278" s="24" t="n">
        <v>121.394184</v>
      </c>
      <c r="K278" s="23" t="inlineStr">
        <is>
          <t>R</t>
        </is>
      </c>
      <c r="L278" s="25" t="n">
        <v>891</v>
      </c>
      <c r="M278" s="26" t="n">
        <v>3.8</v>
      </c>
      <c r="N278" s="25">
        <f>ROUND(L278/M278, 0)</f>
        <v/>
      </c>
      <c r="O278" s="25">
        <f>ROUND(N278*'Methodology &amp; Assumptions'!$B$7, 0)</f>
        <v/>
      </c>
      <c r="P278" s="23" t="inlineStr">
        <is>
          <t>Single Carrier (Band n50, 100MHz TDD)</t>
        </is>
      </c>
      <c r="Q278" s="27">
        <f>ROUNDUP(O278/'Methodology &amp; Assumptions'!$B$8, 0)</f>
        <v/>
      </c>
      <c r="R278" s="27" t="n">
        <v>1</v>
      </c>
      <c r="S278" s="26" t="n">
        <v>12.31</v>
      </c>
      <c r="T278" s="26" t="n">
        <v>19.96</v>
      </c>
      <c r="U278" s="11">
        <f>IF(S278&lt;='Methodology &amp; Assumptions'!$B$10, "Direct Optical Drop (&lt;3km)", IF(S278&lt;='Methodology &amp; Assumptions'!$B$9, "Near Optical / Microwave (&lt;5km)", "Starlink Business LEO Satellite Backhaul (&gt;5km)"))</f>
        <v/>
      </c>
      <c r="V278" s="26" t="n">
        <v>43.62</v>
      </c>
      <c r="W278" s="26" t="n">
        <v>75.77</v>
      </c>
      <c r="X278" s="26">
        <f>ROUND(('Methodology &amp; Assumptions'!$B$5*V278) + ('Methodology &amp; Assumptions'!$B$6*W278), 2)</f>
        <v/>
      </c>
      <c r="Y278" s="28" t="n">
        <v>8.300000000000001</v>
      </c>
      <c r="Z278" s="11" t="inlineStr">
        <is>
          <t>Priority Tier 3 (Broadband Expansion)</t>
        </is>
      </c>
    </row>
    <row r="279">
      <c r="A279" s="23" t="n">
        <v>4</v>
      </c>
      <c r="B279" s="23" t="n">
        <v>275</v>
      </c>
      <c r="C279" s="23" t="n">
        <v>3275</v>
      </c>
      <c r="D279" s="23" t="inlineStr">
        <is>
          <t>0702216011</t>
        </is>
      </c>
      <c r="E279" s="11" t="inlineStr">
        <is>
          <t>Region VII (Central Visayas)</t>
        </is>
      </c>
      <c r="F279" s="11" t="inlineStr">
        <is>
          <t>Cebu</t>
        </is>
      </c>
      <c r="G279" s="11" t="inlineStr">
        <is>
          <t>Catmon</t>
        </is>
      </c>
      <c r="H279" s="11" t="inlineStr">
        <is>
          <t>Catmondaan</t>
        </is>
      </c>
      <c r="I279" s="24" t="n">
        <v>10.686492</v>
      </c>
      <c r="J279" s="24" t="n">
        <v>124.015165</v>
      </c>
      <c r="K279" s="23" t="inlineStr">
        <is>
          <t>R</t>
        </is>
      </c>
      <c r="L279" s="25" t="n">
        <v>3423</v>
      </c>
      <c r="M279" s="26" t="n">
        <v>3.8</v>
      </c>
      <c r="N279" s="25">
        <f>ROUND(L279/M279, 0)</f>
        <v/>
      </c>
      <c r="O279" s="25">
        <f>ROUND(N279*'Methodology &amp; Assumptions'!$B$7, 0)</f>
        <v/>
      </c>
      <c r="P279" s="23" t="inlineStr">
        <is>
          <t>Single Carrier (Band n50, 100MHz TDD)</t>
        </is>
      </c>
      <c r="Q279" s="27">
        <f>ROUNDUP(O279/'Methodology &amp; Assumptions'!$B$8, 0)</f>
        <v/>
      </c>
      <c r="R279" s="27" t="n">
        <v>1</v>
      </c>
      <c r="S279" s="26" t="n">
        <v>0.84</v>
      </c>
      <c r="T279" s="26" t="n">
        <v>0.05</v>
      </c>
      <c r="U279" s="11">
        <f>IF(S279&lt;='Methodology &amp; Assumptions'!$B$10, "Direct Optical Drop (&lt;3km)", IF(S279&lt;='Methodology &amp; Assumptions'!$B$9, "Near Optical / Microwave (&lt;5km)", "Starlink Business LEO Satellite Backhaul (&gt;5km)"))</f>
        <v/>
      </c>
      <c r="V279" s="26" t="n">
        <v>88.06</v>
      </c>
      <c r="W279" s="26" t="n">
        <v>31.32</v>
      </c>
      <c r="X279" s="26">
        <f>ROUND(('Methodology &amp; Assumptions'!$B$5*V279) + ('Methodology &amp; Assumptions'!$B$6*W279), 2)</f>
        <v/>
      </c>
      <c r="Y279" s="28" t="n">
        <v>23.7</v>
      </c>
      <c r="Z279" s="11" t="inlineStr">
        <is>
          <t>Priority Tier 3 (Broadband Expansion)</t>
        </is>
      </c>
    </row>
    <row r="280">
      <c r="A280" s="23" t="n">
        <v>4</v>
      </c>
      <c r="B280" s="23" t="n">
        <v>276</v>
      </c>
      <c r="C280" s="23" t="n">
        <v>3276</v>
      </c>
      <c r="D280" s="23" t="inlineStr">
        <is>
          <t>0504101001</t>
        </is>
      </c>
      <c r="E280" s="11" t="inlineStr">
        <is>
          <t>Region V (Bicol Region)</t>
        </is>
      </c>
      <c r="F280" s="11" t="inlineStr">
        <is>
          <t>Masbate</t>
        </is>
      </c>
      <c r="G280" s="11" t="inlineStr">
        <is>
          <t>Aroroy</t>
        </is>
      </c>
      <c r="H280" s="11" t="inlineStr">
        <is>
          <t>Ambolong</t>
        </is>
      </c>
      <c r="I280" s="24" t="n">
        <v>12.510469</v>
      </c>
      <c r="J280" s="24" t="n">
        <v>123.400244</v>
      </c>
      <c r="K280" s="23" t="inlineStr">
        <is>
          <t>R</t>
        </is>
      </c>
      <c r="L280" s="25" t="n">
        <v>4642</v>
      </c>
      <c r="M280" s="26" t="n">
        <v>4.1</v>
      </c>
      <c r="N280" s="25">
        <f>ROUND(L280/M280, 0)</f>
        <v/>
      </c>
      <c r="O280" s="25">
        <f>ROUND(N280*'Methodology &amp; Assumptions'!$B$7, 0)</f>
        <v/>
      </c>
      <c r="P280" s="23" t="inlineStr">
        <is>
          <t>Single Carrier (Band n50, 100MHz TDD)</t>
        </is>
      </c>
      <c r="Q280" s="27">
        <f>ROUNDUP(O280/'Methodology &amp; Assumptions'!$B$8, 0)</f>
        <v/>
      </c>
      <c r="R280" s="27" t="n">
        <v>1</v>
      </c>
      <c r="S280" s="26" t="n">
        <v>0.15</v>
      </c>
      <c r="T280" s="26" t="n">
        <v>3.88</v>
      </c>
      <c r="U280" s="11">
        <f>IF(S280&lt;='Methodology &amp; Assumptions'!$B$10, "Direct Optical Drop (&lt;3km)", IF(S280&lt;='Methodology &amp; Assumptions'!$B$9, "Near Optical / Microwave (&lt;5km)", "Starlink Business LEO Satellite Backhaul (&gt;5km)"))</f>
        <v/>
      </c>
      <c r="V280" s="26" t="n">
        <v>87.40000000000001</v>
      </c>
      <c r="W280" s="26" t="n">
        <v>31.99</v>
      </c>
      <c r="X280" s="26">
        <f>ROUND(('Methodology &amp; Assumptions'!$B$5*V280) + ('Methodology &amp; Assumptions'!$B$6*W280), 2)</f>
        <v/>
      </c>
      <c r="Y280" s="28" t="n">
        <v>23.7</v>
      </c>
      <c r="Z280" s="11" t="inlineStr">
        <is>
          <t>Priority Tier 3 (Broadband Expansion)</t>
        </is>
      </c>
    </row>
    <row r="281">
      <c r="A281" s="23" t="n">
        <v>4</v>
      </c>
      <c r="B281" s="23" t="n">
        <v>277</v>
      </c>
      <c r="C281" s="23" t="n">
        <v>3277</v>
      </c>
      <c r="D281" s="23" t="inlineStr">
        <is>
          <t>0304903030</t>
        </is>
      </c>
      <c r="E281" s="11" t="inlineStr">
        <is>
          <t>Region III (Central Luzon)</t>
        </is>
      </c>
      <c r="F281" s="11" t="inlineStr">
        <is>
          <t>Nueva Ecija</t>
        </is>
      </c>
      <c r="G281" s="11" t="inlineStr">
        <is>
          <t>City of Cabanatuan</t>
        </is>
      </c>
      <c r="H281" s="11" t="inlineStr">
        <is>
          <t>Dalampang</t>
        </is>
      </c>
      <c r="I281" s="24" t="n">
        <v>15.585783</v>
      </c>
      <c r="J281" s="24" t="n">
        <v>120.924577</v>
      </c>
      <c r="K281" s="23" t="inlineStr">
        <is>
          <t>R</t>
        </is>
      </c>
      <c r="L281" s="25" t="n">
        <v>2400</v>
      </c>
      <c r="M281" s="26" t="n">
        <v>3.5</v>
      </c>
      <c r="N281" s="25">
        <f>ROUND(L281/M281, 0)</f>
        <v/>
      </c>
      <c r="O281" s="25">
        <f>ROUND(N281*'Methodology &amp; Assumptions'!$B$7, 0)</f>
        <v/>
      </c>
      <c r="P281" s="23" t="inlineStr">
        <is>
          <t>Single Carrier (Band n50, 100MHz TDD)</t>
        </is>
      </c>
      <c r="Q281" s="27">
        <f>ROUNDUP(O281/'Methodology &amp; Assumptions'!$B$8, 0)</f>
        <v/>
      </c>
      <c r="R281" s="27" t="n">
        <v>1</v>
      </c>
      <c r="S281" s="26" t="n">
        <v>0.71</v>
      </c>
      <c r="T281" s="26" t="n">
        <v>0.52</v>
      </c>
      <c r="U281" s="11">
        <f>IF(S281&lt;='Methodology &amp; Assumptions'!$B$10, "Direct Optical Drop (&lt;3km)", IF(S281&lt;='Methodology &amp; Assumptions'!$B$9, "Near Optical / Microwave (&lt;5km)", "Starlink Business LEO Satellite Backhaul (&gt;5km)"))</f>
        <v/>
      </c>
      <c r="V281" s="26" t="n">
        <v>81.34</v>
      </c>
      <c r="W281" s="26" t="n">
        <v>38.05</v>
      </c>
      <c r="X281" s="26">
        <f>ROUND(('Methodology &amp; Assumptions'!$B$5*V281) + ('Methodology &amp; Assumptions'!$B$6*W281), 2)</f>
        <v/>
      </c>
      <c r="Y281" s="28" t="n">
        <v>8.300000000000001</v>
      </c>
      <c r="Z281" s="11" t="inlineStr">
        <is>
          <t>Priority Tier 3 (Broadband Expansion)</t>
        </is>
      </c>
    </row>
    <row r="282">
      <c r="A282" s="23" t="n">
        <v>4</v>
      </c>
      <c r="B282" s="23" t="n">
        <v>278</v>
      </c>
      <c r="C282" s="23" t="n">
        <v>3278</v>
      </c>
      <c r="D282" s="23" t="inlineStr">
        <is>
          <t>0205005026</t>
        </is>
      </c>
      <c r="E282" s="11" t="inlineStr">
        <is>
          <t>Region II (Cagayan Valley)</t>
        </is>
      </c>
      <c r="F282" s="11" t="inlineStr">
        <is>
          <t>Nueva Vizcaya</t>
        </is>
      </c>
      <c r="G282" s="11" t="inlineStr">
        <is>
          <t>Bayombong</t>
        </is>
      </c>
      <c r="H282" s="11" t="inlineStr">
        <is>
          <t>San Nicolas North</t>
        </is>
      </c>
      <c r="I282" s="24" t="n">
        <v>16.486023</v>
      </c>
      <c r="J282" s="24" t="n">
        <v>121.149933</v>
      </c>
      <c r="K282" s="23" t="inlineStr">
        <is>
          <t>R</t>
        </is>
      </c>
      <c r="L282" s="25" t="n">
        <v>2608</v>
      </c>
      <c r="M282" s="26" t="n">
        <v>3.8</v>
      </c>
      <c r="N282" s="25">
        <f>ROUND(L282/M282, 0)</f>
        <v/>
      </c>
      <c r="O282" s="25">
        <f>ROUND(N282*'Methodology &amp; Assumptions'!$B$7, 0)</f>
        <v/>
      </c>
      <c r="P282" s="23" t="inlineStr">
        <is>
          <t>Single Carrier (Band n50, 100MHz TDD)</t>
        </is>
      </c>
      <c r="Q282" s="27">
        <f>ROUNDUP(O282/'Methodology &amp; Assumptions'!$B$8, 0)</f>
        <v/>
      </c>
      <c r="R282" s="27" t="n">
        <v>1</v>
      </c>
      <c r="S282" s="26" t="n">
        <v>0.36</v>
      </c>
      <c r="T282" s="26" t="n">
        <v>0.29</v>
      </c>
      <c r="U282" s="11">
        <f>IF(S282&lt;='Methodology &amp; Assumptions'!$B$10, "Direct Optical Drop (&lt;3km)", IF(S282&lt;='Methodology &amp; Assumptions'!$B$9, "Near Optical / Microwave (&lt;5km)", "Starlink Business LEO Satellite Backhaul (&gt;5km)"))</f>
        <v/>
      </c>
      <c r="V282" s="26" t="n">
        <v>81.34</v>
      </c>
      <c r="W282" s="26" t="n">
        <v>38.04</v>
      </c>
      <c r="X282" s="26">
        <f>ROUND(('Methodology &amp; Assumptions'!$B$5*V282) + ('Methodology &amp; Assumptions'!$B$6*W282), 2)</f>
        <v/>
      </c>
      <c r="Y282" s="28" t="n">
        <v>8.300000000000001</v>
      </c>
      <c r="Z282" s="11" t="inlineStr">
        <is>
          <t>Priority Tier 3 (Broadband Expansion)</t>
        </is>
      </c>
    </row>
    <row r="283">
      <c r="A283" s="23" t="n">
        <v>4</v>
      </c>
      <c r="B283" s="23" t="n">
        <v>279</v>
      </c>
      <c r="C283" s="23" t="n">
        <v>3279</v>
      </c>
      <c r="D283" s="23" t="inlineStr">
        <is>
          <t>0105533010</t>
        </is>
      </c>
      <c r="E283" s="11" t="inlineStr">
        <is>
          <t>Region I (Ilocos Region)</t>
        </is>
      </c>
      <c r="F283" s="11" t="inlineStr">
        <is>
          <t>Pangasinan</t>
        </is>
      </c>
      <c r="G283" s="11" t="inlineStr">
        <is>
          <t>San Fabian</t>
        </is>
      </c>
      <c r="H283" s="11" t="inlineStr">
        <is>
          <t>Cayanga</t>
        </is>
      </c>
      <c r="I283" s="24" t="n">
        <v>16.11328</v>
      </c>
      <c r="J283" s="24" t="n">
        <v>120.3979</v>
      </c>
      <c r="K283" s="23" t="inlineStr">
        <is>
          <t>U</t>
        </is>
      </c>
      <c r="L283" s="25" t="n">
        <v>4773</v>
      </c>
      <c r="M283" s="26" t="n">
        <v>3.6</v>
      </c>
      <c r="N283" s="25">
        <f>ROUND(L283/M283, 0)</f>
        <v/>
      </c>
      <c r="O283" s="25">
        <f>ROUND(N283*'Methodology &amp; Assumptions'!$B$7, 0)</f>
        <v/>
      </c>
      <c r="P283" s="23" t="inlineStr">
        <is>
          <t>Single Carrier (Band n50, 100MHz TDD)</t>
        </is>
      </c>
      <c r="Q283" s="27">
        <f>ROUNDUP(O283/'Methodology &amp; Assumptions'!$B$8, 0)</f>
        <v/>
      </c>
      <c r="R283" s="27" t="n">
        <v>1</v>
      </c>
      <c r="S283" s="26" t="n">
        <v>0.32</v>
      </c>
      <c r="T283" s="26" t="n">
        <v>0.07000000000000001</v>
      </c>
      <c r="U283" s="11">
        <f>IF(S283&lt;='Methodology &amp; Assumptions'!$B$10, "Direct Optical Drop (&lt;3km)", IF(S283&lt;='Methodology &amp; Assumptions'!$B$9, "Near Optical / Microwave (&lt;5km)", "Starlink Business LEO Satellite Backhaul (&gt;5km)"))</f>
        <v/>
      </c>
      <c r="V283" s="26" t="n">
        <v>78.43000000000001</v>
      </c>
      <c r="W283" s="26" t="n">
        <v>40.95</v>
      </c>
      <c r="X283" s="26">
        <f>ROUND(('Methodology &amp; Assumptions'!$B$5*V283) + ('Methodology &amp; Assumptions'!$B$6*W283), 2)</f>
        <v/>
      </c>
      <c r="Y283" s="28" t="n">
        <v>8.300000000000001</v>
      </c>
      <c r="Z283" s="11" t="inlineStr">
        <is>
          <t>Priority Tier 3 (Broadband Expansion)</t>
        </is>
      </c>
    </row>
    <row r="284">
      <c r="A284" s="23" t="n">
        <v>4</v>
      </c>
      <c r="B284" s="23" t="n">
        <v>280</v>
      </c>
      <c r="C284" s="23" t="n">
        <v>3280</v>
      </c>
      <c r="D284" s="23" t="inlineStr">
        <is>
          <t>0301414001</t>
        </is>
      </c>
      <c r="E284" s="11" t="inlineStr">
        <is>
          <t>Region III (Central Luzon)</t>
        </is>
      </c>
      <c r="F284" s="11" t="inlineStr">
        <is>
          <t>Bulacan</t>
        </is>
      </c>
      <c r="G284" s="11" t="inlineStr">
        <is>
          <t>Obando</t>
        </is>
      </c>
      <c r="H284" s="11" t="inlineStr">
        <is>
          <t>Binuangan</t>
        </is>
      </c>
      <c r="I284" s="24" t="n">
        <v>14.715896</v>
      </c>
      <c r="J284" s="24" t="n">
        <v>120.906639</v>
      </c>
      <c r="K284" s="23" t="inlineStr">
        <is>
          <t>U</t>
        </is>
      </c>
      <c r="L284" s="25" t="n">
        <v>5273</v>
      </c>
      <c r="M284" s="26" t="n">
        <v>3.5</v>
      </c>
      <c r="N284" s="25">
        <f>ROUND(L284/M284, 0)</f>
        <v/>
      </c>
      <c r="O284" s="25">
        <f>ROUND(N284*'Methodology &amp; Assumptions'!$B$7, 0)</f>
        <v/>
      </c>
      <c r="P284" s="23" t="inlineStr">
        <is>
          <t>Single Carrier (Band n50, 100MHz TDD)</t>
        </is>
      </c>
      <c r="Q284" s="27">
        <f>ROUNDUP(O284/'Methodology &amp; Assumptions'!$B$8, 0)</f>
        <v/>
      </c>
      <c r="R284" s="27" t="n">
        <v>1</v>
      </c>
      <c r="S284" s="26" t="n">
        <v>3.31</v>
      </c>
      <c r="T284" s="26" t="n">
        <v>5.15</v>
      </c>
      <c r="U284" s="11">
        <f>IF(S284&lt;='Methodology &amp; Assumptions'!$B$10, "Direct Optical Drop (&lt;3km)", IF(S284&lt;='Methodology &amp; Assumptions'!$B$9, "Near Optical / Microwave (&lt;5km)", "Starlink Business LEO Satellite Backhaul (&gt;5km)"))</f>
        <v/>
      </c>
      <c r="V284" s="26" t="n">
        <v>66.78</v>
      </c>
      <c r="W284" s="26" t="n">
        <v>52.61</v>
      </c>
      <c r="X284" s="26">
        <f>ROUND(('Methodology &amp; Assumptions'!$B$5*V284) + ('Methodology &amp; Assumptions'!$B$6*W284), 2)</f>
        <v/>
      </c>
      <c r="Y284" s="28" t="n">
        <v>8.300000000000001</v>
      </c>
      <c r="Z284" s="11" t="inlineStr">
        <is>
          <t>Priority Tier 3 (Broadband Expansion)</t>
        </is>
      </c>
    </row>
    <row r="285">
      <c r="A285" s="23" t="n">
        <v>4</v>
      </c>
      <c r="B285" s="23" t="n">
        <v>281</v>
      </c>
      <c r="C285" s="23" t="n">
        <v>3281</v>
      </c>
      <c r="D285" s="23" t="inlineStr">
        <is>
          <t>0403410024</t>
        </is>
      </c>
      <c r="E285" s="11" t="inlineStr">
        <is>
          <t>Region IV-A (CALABARZON)</t>
        </is>
      </c>
      <c r="F285" s="11" t="inlineStr">
        <is>
          <t>Laguna</t>
        </is>
      </c>
      <c r="G285" s="11" t="inlineStr">
        <is>
          <t>Liliw</t>
        </is>
      </c>
      <c r="H285" s="11" t="inlineStr">
        <is>
          <t>Rizal</t>
        </is>
      </c>
      <c r="I285" s="24" t="n">
        <v>14.13579</v>
      </c>
      <c r="J285" s="24" t="n">
        <v>121.437152</v>
      </c>
      <c r="K285" s="23" t="inlineStr">
        <is>
          <t>R</t>
        </is>
      </c>
      <c r="L285" s="25" t="n">
        <v>754</v>
      </c>
      <c r="M285" s="26" t="n">
        <v>3.3</v>
      </c>
      <c r="N285" s="25">
        <f>ROUND(L285/M285, 0)</f>
        <v/>
      </c>
      <c r="O285" s="25">
        <f>ROUND(N285*'Methodology &amp; Assumptions'!$B$7, 0)</f>
        <v/>
      </c>
      <c r="P285" s="23" t="inlineStr">
        <is>
          <t>Single Carrier (Band n50, 100MHz TDD)</t>
        </is>
      </c>
      <c r="Q285" s="27">
        <f>ROUNDUP(O285/'Methodology &amp; Assumptions'!$B$8, 0)</f>
        <v/>
      </c>
      <c r="R285" s="27" t="n">
        <v>1</v>
      </c>
      <c r="S285" s="26" t="n">
        <v>0.11</v>
      </c>
      <c r="T285" s="26" t="n">
        <v>0.11</v>
      </c>
      <c r="U285" s="11">
        <f>IF(S285&lt;='Methodology &amp; Assumptions'!$B$10, "Direct Optical Drop (&lt;3km)", IF(S285&lt;='Methodology &amp; Assumptions'!$B$9, "Near Optical / Microwave (&lt;5km)", "Starlink Business LEO Satellite Backhaul (&gt;5km)"))</f>
        <v/>
      </c>
      <c r="V285" s="26" t="n">
        <v>66.26000000000001</v>
      </c>
      <c r="W285" s="26" t="n">
        <v>53.12</v>
      </c>
      <c r="X285" s="26">
        <f>ROUND(('Methodology &amp; Assumptions'!$B$5*V285) + ('Methodology &amp; Assumptions'!$B$6*W285), 2)</f>
        <v/>
      </c>
      <c r="Y285" s="28" t="n">
        <v>7.2</v>
      </c>
      <c r="Z285" s="11" t="inlineStr">
        <is>
          <t>Priority Tier 3 (Broadband Expansion)</t>
        </is>
      </c>
    </row>
    <row r="286">
      <c r="A286" s="23" t="n">
        <v>4</v>
      </c>
      <c r="B286" s="23" t="n">
        <v>282</v>
      </c>
      <c r="C286" s="23" t="n">
        <v>3282</v>
      </c>
      <c r="D286" s="23" t="inlineStr">
        <is>
          <t>1380601202</t>
        </is>
      </c>
      <c r="E286" s="11" t="inlineStr">
        <is>
          <t>National Capital Region (NCR)</t>
        </is>
      </c>
      <c r="F286" s="11" t="inlineStr">
        <is>
          <t>First District (Not a Province)</t>
        </is>
      </c>
      <c r="G286" s="11" t="inlineStr">
        <is>
          <t>City of Manila</t>
        </is>
      </c>
      <c r="H286" s="11" t="inlineStr">
        <is>
          <t>Barangay 202</t>
        </is>
      </c>
      <c r="I286" s="24" t="n">
        <v>14.633492</v>
      </c>
      <c r="J286" s="24" t="n">
        <v>120.978384</v>
      </c>
      <c r="K286" s="23" t="inlineStr">
        <is>
          <t>U</t>
        </is>
      </c>
      <c r="L286" s="25" t="n">
        <v>1289</v>
      </c>
      <c r="M286" s="26" t="n">
        <v>4.16</v>
      </c>
      <c r="N286" s="25">
        <f>ROUND(L286/M286, 0)</f>
        <v/>
      </c>
      <c r="O286" s="25">
        <f>ROUND(N286*'Methodology &amp; Assumptions'!$B$7, 0)</f>
        <v/>
      </c>
      <c r="P286" s="23" t="inlineStr">
        <is>
          <t>Single Carrier (Band n50, 100MHz TDD)</t>
        </is>
      </c>
      <c r="Q286" s="27">
        <f>ROUNDUP(O286/'Methodology &amp; Assumptions'!$B$8, 0)</f>
        <v/>
      </c>
      <c r="R286" s="27" t="n">
        <v>1</v>
      </c>
      <c r="S286" s="26" t="n">
        <v>0.92</v>
      </c>
      <c r="T286" s="26" t="n">
        <v>0.31</v>
      </c>
      <c r="U286" s="11">
        <f>IF(S286&lt;='Methodology &amp; Assumptions'!$B$10, "Direct Optical Drop (&lt;3km)", IF(S286&lt;='Methodology &amp; Assumptions'!$B$9, "Near Optical / Microwave (&lt;5km)", "Starlink Business LEO Satellite Backhaul (&gt;5km)"))</f>
        <v/>
      </c>
      <c r="V286" s="26" t="n">
        <v>50.77</v>
      </c>
      <c r="W286" s="26" t="n">
        <v>68.62</v>
      </c>
      <c r="X286" s="26">
        <f>ROUND(('Methodology &amp; Assumptions'!$B$5*V286) + ('Methodology &amp; Assumptions'!$B$6*W286), 2)</f>
        <v/>
      </c>
      <c r="Y286" s="28" t="n">
        <v>10.9</v>
      </c>
      <c r="Z286" s="11" t="inlineStr">
        <is>
          <t>Priority Tier 3 (Broadband Expansion)</t>
        </is>
      </c>
    </row>
    <row r="287">
      <c r="A287" s="23" t="n">
        <v>4</v>
      </c>
      <c r="B287" s="23" t="n">
        <v>283</v>
      </c>
      <c r="C287" s="23" t="n">
        <v>3283</v>
      </c>
      <c r="D287" s="23" t="inlineStr">
        <is>
          <t>1380601203</t>
        </is>
      </c>
      <c r="E287" s="11" t="inlineStr">
        <is>
          <t>National Capital Region (NCR)</t>
        </is>
      </c>
      <c r="F287" s="11" t="inlineStr">
        <is>
          <t>First District (Not a Province)</t>
        </is>
      </c>
      <c r="G287" s="11" t="inlineStr">
        <is>
          <t>City of Manila</t>
        </is>
      </c>
      <c r="H287" s="11" t="inlineStr">
        <is>
          <t>Barangay 202-A</t>
        </is>
      </c>
      <c r="I287" s="24" t="n">
        <v>14.633131</v>
      </c>
      <c r="J287" s="24" t="n">
        <v>120.980104</v>
      </c>
      <c r="K287" s="23" t="inlineStr">
        <is>
          <t>U</t>
        </is>
      </c>
      <c r="L287" s="25" t="n">
        <v>1037</v>
      </c>
      <c r="M287" s="26" t="n">
        <v>3.74</v>
      </c>
      <c r="N287" s="25">
        <f>ROUND(L287/M287, 0)</f>
        <v/>
      </c>
      <c r="O287" s="25">
        <f>ROUND(N287*'Methodology &amp; Assumptions'!$B$7, 0)</f>
        <v/>
      </c>
      <c r="P287" s="23" t="inlineStr">
        <is>
          <t>Single Carrier (Band n50, 100MHz TDD)</t>
        </is>
      </c>
      <c r="Q287" s="27">
        <f>ROUNDUP(O287/'Methodology &amp; Assumptions'!$B$8, 0)</f>
        <v/>
      </c>
      <c r="R287" s="27" t="n">
        <v>1</v>
      </c>
      <c r="S287" s="26" t="n">
        <v>1.01</v>
      </c>
      <c r="T287" s="26" t="n">
        <v>0.15</v>
      </c>
      <c r="U287" s="11">
        <f>IF(S287&lt;='Methodology &amp; Assumptions'!$B$10, "Direct Optical Drop (&lt;3km)", IF(S287&lt;='Methodology &amp; Assumptions'!$B$9, "Near Optical / Microwave (&lt;5km)", "Starlink Business LEO Satellite Backhaul (&gt;5km)"))</f>
        <v/>
      </c>
      <c r="V287" s="26" t="n">
        <v>49.34</v>
      </c>
      <c r="W287" s="26" t="n">
        <v>70.05</v>
      </c>
      <c r="X287" s="26">
        <f>ROUND(('Methodology &amp; Assumptions'!$B$5*V287) + ('Methodology &amp; Assumptions'!$B$6*W287), 2)</f>
        <v/>
      </c>
      <c r="Y287" s="28" t="n">
        <v>10.9</v>
      </c>
      <c r="Z287" s="11" t="inlineStr">
        <is>
          <t>Priority Tier 3 (Broadband Expansion)</t>
        </is>
      </c>
    </row>
    <row r="288">
      <c r="A288" s="23" t="n">
        <v>4</v>
      </c>
      <c r="B288" s="23" t="n">
        <v>284</v>
      </c>
      <c r="C288" s="23" t="n">
        <v>3284</v>
      </c>
      <c r="D288" s="23" t="inlineStr">
        <is>
          <t>1380610031</t>
        </is>
      </c>
      <c r="E288" s="11" t="inlineStr">
        <is>
          <t>National Capital Region (NCR)</t>
        </is>
      </c>
      <c r="F288" s="11" t="inlineStr">
        <is>
          <t>First District (Not a Province)</t>
        </is>
      </c>
      <c r="G288" s="11" t="inlineStr">
        <is>
          <t>City of Manila</t>
        </is>
      </c>
      <c r="H288" s="11" t="inlineStr">
        <is>
          <t>Barangay 716</t>
        </is>
      </c>
      <c r="I288" s="24" t="n">
        <v>14.566257</v>
      </c>
      <c r="J288" s="24" t="n">
        <v>120.991127</v>
      </c>
      <c r="K288" s="23" t="inlineStr">
        <is>
          <t>U</t>
        </is>
      </c>
      <c r="L288" s="25" t="n">
        <v>836</v>
      </c>
      <c r="M288" s="26" t="n">
        <v>3.47</v>
      </c>
      <c r="N288" s="25">
        <f>ROUND(L288/M288, 0)</f>
        <v/>
      </c>
      <c r="O288" s="25">
        <f>ROUND(N288*'Methodology &amp; Assumptions'!$B$7, 0)</f>
        <v/>
      </c>
      <c r="P288" s="23" t="inlineStr">
        <is>
          <t>Single Carrier (Band n50, 100MHz TDD)</t>
        </is>
      </c>
      <c r="Q288" s="27">
        <f>ROUNDUP(O288/'Methodology &amp; Assumptions'!$B$8, 0)</f>
        <v/>
      </c>
      <c r="R288" s="27" t="n">
        <v>1</v>
      </c>
      <c r="S288" s="26" t="n">
        <v>0.72</v>
      </c>
      <c r="T288" s="26" t="n">
        <v>0.35</v>
      </c>
      <c r="U288" s="11">
        <f>IF(S288&lt;='Methodology &amp; Assumptions'!$B$10, "Direct Optical Drop (&lt;3km)", IF(S288&lt;='Methodology &amp; Assumptions'!$B$9, "Near Optical / Microwave (&lt;5km)", "Starlink Business LEO Satellite Backhaul (&gt;5km)"))</f>
        <v/>
      </c>
      <c r="V288" s="26" t="n">
        <v>48.8</v>
      </c>
      <c r="W288" s="26" t="n">
        <v>70.56999999999999</v>
      </c>
      <c r="X288" s="26">
        <f>ROUND(('Methodology &amp; Assumptions'!$B$5*V288) + ('Methodology &amp; Assumptions'!$B$6*W288), 2)</f>
        <v/>
      </c>
      <c r="Y288" s="28" t="n">
        <v>10.9</v>
      </c>
      <c r="Z288" s="11" t="inlineStr">
        <is>
          <t>Priority Tier 3 (Broadband Expansion)</t>
        </is>
      </c>
    </row>
    <row r="289">
      <c r="A289" s="23" t="n">
        <v>4</v>
      </c>
      <c r="B289" s="23" t="n">
        <v>285</v>
      </c>
      <c r="C289" s="23" t="n">
        <v>3285</v>
      </c>
      <c r="D289" s="23" t="inlineStr">
        <is>
          <t>0401012038</t>
        </is>
      </c>
      <c r="E289" s="11" t="inlineStr">
        <is>
          <t>Region IV-A (CALABARZON)</t>
        </is>
      </c>
      <c r="F289" s="11" t="inlineStr">
        <is>
          <t>Batangas</t>
        </is>
      </c>
      <c r="G289" s="11" t="inlineStr">
        <is>
          <t>Lemery</t>
        </is>
      </c>
      <c r="H289" s="11" t="inlineStr">
        <is>
          <t>Sambal Ilaya</t>
        </is>
      </c>
      <c r="I289" s="24" t="n">
        <v>13.887826</v>
      </c>
      <c r="J289" s="24" t="n">
        <v>120.905152</v>
      </c>
      <c r="K289" s="23" t="inlineStr">
        <is>
          <t>R</t>
        </is>
      </c>
      <c r="L289" s="25" t="n">
        <v>4367</v>
      </c>
      <c r="M289" s="26" t="n">
        <v>3.6</v>
      </c>
      <c r="N289" s="25">
        <f>ROUND(L289/M289, 0)</f>
        <v/>
      </c>
      <c r="O289" s="25">
        <f>ROUND(N289*'Methodology &amp; Assumptions'!$B$7, 0)</f>
        <v/>
      </c>
      <c r="P289" s="23" t="inlineStr">
        <is>
          <t>Single Carrier (Band n50, 100MHz TDD)</t>
        </is>
      </c>
      <c r="Q289" s="27">
        <f>ROUNDUP(O289/'Methodology &amp; Assumptions'!$B$8, 0)</f>
        <v/>
      </c>
      <c r="R289" s="27" t="n">
        <v>1</v>
      </c>
      <c r="S289" s="26" t="n">
        <v>1.85</v>
      </c>
      <c r="T289" s="26" t="n">
        <v>0.89</v>
      </c>
      <c r="U289" s="11">
        <f>IF(S289&lt;='Methodology &amp; Assumptions'!$B$10, "Direct Optical Drop (&lt;3km)", IF(S289&lt;='Methodology &amp; Assumptions'!$B$9, "Near Optical / Microwave (&lt;5km)", "Starlink Business LEO Satellite Backhaul (&gt;5km)"))</f>
        <v/>
      </c>
      <c r="V289" s="26" t="n">
        <v>81.73</v>
      </c>
      <c r="W289" s="26" t="n">
        <v>37.63</v>
      </c>
      <c r="X289" s="26">
        <f>ROUND(('Methodology &amp; Assumptions'!$B$5*V289) + ('Methodology &amp; Assumptions'!$B$6*W289), 2)</f>
        <v/>
      </c>
      <c r="Y289" s="28" t="n">
        <v>7.2</v>
      </c>
      <c r="Z289" s="11" t="inlineStr">
        <is>
          <t>Priority Tier 3 (Broadband Expansion)</t>
        </is>
      </c>
    </row>
    <row r="290">
      <c r="A290" s="23" t="n">
        <v>4</v>
      </c>
      <c r="B290" s="23" t="n">
        <v>286</v>
      </c>
      <c r="C290" s="23" t="n">
        <v>3286</v>
      </c>
      <c r="D290" s="23" t="inlineStr">
        <is>
          <t>0403423005</t>
        </is>
      </c>
      <c r="E290" s="11" t="inlineStr">
        <is>
          <t>Region IV-A (CALABARZON)</t>
        </is>
      </c>
      <c r="F290" s="11" t="inlineStr">
        <is>
          <t>Laguna</t>
        </is>
      </c>
      <c r="G290" s="11" t="inlineStr">
        <is>
          <t>Rizal</t>
        </is>
      </c>
      <c r="H290" s="11" t="inlineStr">
        <is>
          <t>Paule 2</t>
        </is>
      </c>
      <c r="I290" s="24" t="n">
        <v>14.112296</v>
      </c>
      <c r="J290" s="24" t="n">
        <v>121.395047</v>
      </c>
      <c r="K290" s="23" t="inlineStr">
        <is>
          <t>R</t>
        </is>
      </c>
      <c r="L290" s="25" t="n">
        <v>2020</v>
      </c>
      <c r="M290" s="26" t="n">
        <v>3.6</v>
      </c>
      <c r="N290" s="25">
        <f>ROUND(L290/M290, 0)</f>
        <v/>
      </c>
      <c r="O290" s="25">
        <f>ROUND(N290*'Methodology &amp; Assumptions'!$B$7, 0)</f>
        <v/>
      </c>
      <c r="P290" s="23" t="inlineStr">
        <is>
          <t>Single Carrier (Band n50, 100MHz TDD)</t>
        </is>
      </c>
      <c r="Q290" s="27">
        <f>ROUNDUP(O290/'Methodology &amp; Assumptions'!$B$8, 0)</f>
        <v/>
      </c>
      <c r="R290" s="27" t="n">
        <v>1</v>
      </c>
      <c r="S290" s="26" t="n">
        <v>0.32</v>
      </c>
      <c r="T290" s="26" t="n">
        <v>0.28</v>
      </c>
      <c r="U290" s="11">
        <f>IF(S290&lt;='Methodology &amp; Assumptions'!$B$10, "Direct Optical Drop (&lt;3km)", IF(S290&lt;='Methodology &amp; Assumptions'!$B$9, "Near Optical / Microwave (&lt;5km)", "Starlink Business LEO Satellite Backhaul (&gt;5km)"))</f>
        <v/>
      </c>
      <c r="V290" s="26" t="n">
        <v>79.76000000000001</v>
      </c>
      <c r="W290" s="26" t="n">
        <v>39.61</v>
      </c>
      <c r="X290" s="26">
        <f>ROUND(('Methodology &amp; Assumptions'!$B$5*V290) + ('Methodology &amp; Assumptions'!$B$6*W290), 2)</f>
        <v/>
      </c>
      <c r="Y290" s="28" t="n">
        <v>7.2</v>
      </c>
      <c r="Z290" s="11" t="inlineStr">
        <is>
          <t>Priority Tier 3 (Broadband Expansion)</t>
        </is>
      </c>
    </row>
    <row r="291">
      <c r="A291" s="23" t="n">
        <v>4</v>
      </c>
      <c r="B291" s="23" t="n">
        <v>287</v>
      </c>
      <c r="C291" s="23" t="n">
        <v>3287</v>
      </c>
      <c r="D291" s="23" t="inlineStr">
        <is>
          <t>0301407011</t>
        </is>
      </c>
      <c r="E291" s="11" t="inlineStr">
        <is>
          <t>Region III (Central Luzon)</t>
        </is>
      </c>
      <c r="F291" s="11" t="inlineStr">
        <is>
          <t>Bulacan</t>
        </is>
      </c>
      <c r="G291" s="11" t="inlineStr">
        <is>
          <t>Calumpit</t>
        </is>
      </c>
      <c r="H291" s="11" t="inlineStr">
        <is>
          <t>Gatbuca</t>
        </is>
      </c>
      <c r="I291" s="24" t="n">
        <v>14.921986</v>
      </c>
      <c r="J291" s="24" t="n">
        <v>120.768859</v>
      </c>
      <c r="K291" s="23" t="inlineStr">
        <is>
          <t>U</t>
        </is>
      </c>
      <c r="L291" s="25" t="n">
        <v>6673</v>
      </c>
      <c r="M291" s="26" t="n">
        <v>3.5</v>
      </c>
      <c r="N291" s="25">
        <f>ROUND(L291/M291, 0)</f>
        <v/>
      </c>
      <c r="O291" s="25">
        <f>ROUND(N291*'Methodology &amp; Assumptions'!$B$7, 0)</f>
        <v/>
      </c>
      <c r="P291" s="23" t="inlineStr">
        <is>
          <t>Single Carrier (Band n50, 100MHz TDD)</t>
        </is>
      </c>
      <c r="Q291" s="27">
        <f>ROUNDUP(O291/'Methodology &amp; Assumptions'!$B$8, 0)</f>
        <v/>
      </c>
      <c r="R291" s="27" t="n">
        <v>1</v>
      </c>
      <c r="S291" s="26" t="n">
        <v>1.74</v>
      </c>
      <c r="T291" s="26" t="n">
        <v>0.36</v>
      </c>
      <c r="U291" s="11">
        <f>IF(S291&lt;='Methodology &amp; Assumptions'!$B$10, "Direct Optical Drop (&lt;3km)", IF(S291&lt;='Methodology &amp; Assumptions'!$B$9, "Near Optical / Microwave (&lt;5km)", "Starlink Business LEO Satellite Backhaul (&gt;5km)"))</f>
        <v/>
      </c>
      <c r="V291" s="26" t="n">
        <v>75.08</v>
      </c>
      <c r="W291" s="26" t="n">
        <v>44.27</v>
      </c>
      <c r="X291" s="26">
        <f>ROUND(('Methodology &amp; Assumptions'!$B$5*V291) + ('Methodology &amp; Assumptions'!$B$6*W291), 2)</f>
        <v/>
      </c>
      <c r="Y291" s="28" t="n">
        <v>8.300000000000001</v>
      </c>
      <c r="Z291" s="11" t="inlineStr">
        <is>
          <t>Priority Tier 3 (Broadband Expansion)</t>
        </is>
      </c>
    </row>
    <row r="292">
      <c r="A292" s="23" t="n">
        <v>4</v>
      </c>
      <c r="B292" s="23" t="n">
        <v>288</v>
      </c>
      <c r="C292" s="23" t="n">
        <v>3288</v>
      </c>
      <c r="D292" s="23" t="inlineStr">
        <is>
          <t>0401029009</t>
        </is>
      </c>
      <c r="E292" s="11" t="inlineStr">
        <is>
          <t>Region IV-A (CALABARZON)</t>
        </is>
      </c>
      <c r="F292" s="11" t="inlineStr">
        <is>
          <t>Batangas</t>
        </is>
      </c>
      <c r="G292" s="11" t="inlineStr">
        <is>
          <t>Taal</t>
        </is>
      </c>
      <c r="H292" s="11" t="inlineStr">
        <is>
          <t>Caysasay</t>
        </is>
      </c>
      <c r="I292" s="24" t="n">
        <v>13.885224</v>
      </c>
      <c r="J292" s="24" t="n">
        <v>120.923804</v>
      </c>
      <c r="K292" s="23" t="inlineStr">
        <is>
          <t>R</t>
        </is>
      </c>
      <c r="L292" s="25" t="n">
        <v>690</v>
      </c>
      <c r="M292" s="26" t="n">
        <v>3.6</v>
      </c>
      <c r="N292" s="25">
        <f>ROUND(L292/M292, 0)</f>
        <v/>
      </c>
      <c r="O292" s="25">
        <f>ROUND(N292*'Methodology &amp; Assumptions'!$B$7, 0)</f>
        <v/>
      </c>
      <c r="P292" s="23" t="inlineStr">
        <is>
          <t>Single Carrier (Band n50, 100MHz TDD)</t>
        </is>
      </c>
      <c r="Q292" s="27">
        <f>ROUNDUP(O292/'Methodology &amp; Assumptions'!$B$8, 0)</f>
        <v/>
      </c>
      <c r="R292" s="27" t="n">
        <v>1</v>
      </c>
      <c r="S292" s="26" t="n">
        <v>1.28</v>
      </c>
      <c r="T292" s="26" t="n">
        <v>1.14</v>
      </c>
      <c r="U292" s="11">
        <f>IF(S292&lt;='Methodology &amp; Assumptions'!$B$10, "Direct Optical Drop (&lt;3km)", IF(S292&lt;='Methodology &amp; Assumptions'!$B$9, "Near Optical / Microwave (&lt;5km)", "Starlink Business LEO Satellite Backhaul (&gt;5km)"))</f>
        <v/>
      </c>
      <c r="V292" s="26" t="n">
        <v>63.48</v>
      </c>
      <c r="W292" s="26" t="n">
        <v>55.88</v>
      </c>
      <c r="X292" s="26">
        <f>ROUND(('Methodology &amp; Assumptions'!$B$5*V292) + ('Methodology &amp; Assumptions'!$B$6*W292), 2)</f>
        <v/>
      </c>
      <c r="Y292" s="28" t="n">
        <v>7.2</v>
      </c>
      <c r="Z292" s="11" t="inlineStr">
        <is>
          <t>Priority Tier 3 (Broadband Expansion)</t>
        </is>
      </c>
    </row>
    <row r="293">
      <c r="A293" s="23" t="n">
        <v>4</v>
      </c>
      <c r="B293" s="23" t="n">
        <v>289</v>
      </c>
      <c r="C293" s="23" t="n">
        <v>3289</v>
      </c>
      <c r="D293" s="23" t="inlineStr">
        <is>
          <t>0907311014</t>
        </is>
      </c>
      <c r="E293" s="11" t="inlineStr">
        <is>
          <t>Region IX (Zamboanga Peninsula)</t>
        </is>
      </c>
      <c r="F293" s="11" t="inlineStr">
        <is>
          <t>Zamboanga del Sur</t>
        </is>
      </c>
      <c r="G293" s="11" t="inlineStr">
        <is>
          <t>Kumalarang</t>
        </is>
      </c>
      <c r="H293" s="11" t="inlineStr">
        <is>
          <t>Gusom</t>
        </is>
      </c>
      <c r="I293" s="24" t="n">
        <v>7.71553</v>
      </c>
      <c r="J293" s="24" t="n">
        <v>123.104218</v>
      </c>
      <c r="K293" s="23" t="inlineStr">
        <is>
          <t>R</t>
        </is>
      </c>
      <c r="L293" s="25" t="n">
        <v>823</v>
      </c>
      <c r="M293" s="26" t="n">
        <v>3.9</v>
      </c>
      <c r="N293" s="25">
        <f>ROUND(L293/M293, 0)</f>
        <v/>
      </c>
      <c r="O293" s="25">
        <f>ROUND(N293*'Methodology &amp; Assumptions'!$B$7, 0)</f>
        <v/>
      </c>
      <c r="P293" s="23" t="inlineStr">
        <is>
          <t>Single Carrier (Band n50, 100MHz TDD)</t>
        </is>
      </c>
      <c r="Q293" s="27">
        <f>ROUNDUP(O293/'Methodology &amp; Assumptions'!$B$8, 0)</f>
        <v/>
      </c>
      <c r="R293" s="27" t="n">
        <v>1</v>
      </c>
      <c r="S293" s="26" t="n">
        <v>5.64</v>
      </c>
      <c r="T293" s="26" t="n">
        <v>2.73</v>
      </c>
      <c r="U293" s="11">
        <f>IF(S293&lt;='Methodology &amp; Assumptions'!$B$10, "Direct Optical Drop (&lt;3km)", IF(S293&lt;='Methodology &amp; Assumptions'!$B$9, "Near Optical / Microwave (&lt;5km)", "Starlink Business LEO Satellite Backhaul (&gt;5km)"))</f>
        <v/>
      </c>
      <c r="V293" s="26" t="n">
        <v>50.19</v>
      </c>
      <c r="W293" s="26" t="n">
        <v>69.18000000000001</v>
      </c>
      <c r="X293" s="26">
        <f>ROUND(('Methodology &amp; Assumptions'!$B$5*V293) + ('Methodology &amp; Assumptions'!$B$6*W293), 2)</f>
        <v/>
      </c>
      <c r="Y293" s="28" t="n">
        <v>11</v>
      </c>
      <c r="Z293" s="11" t="inlineStr">
        <is>
          <t>Priority Tier 3 (Broadband Expansion)</t>
        </is>
      </c>
    </row>
    <row r="294">
      <c r="A294" s="23" t="n">
        <v>4</v>
      </c>
      <c r="B294" s="23" t="n">
        <v>290</v>
      </c>
      <c r="C294" s="23" t="n">
        <v>3290</v>
      </c>
      <c r="D294" s="23" t="inlineStr">
        <is>
          <t>0506203025</t>
        </is>
      </c>
      <c r="E294" s="11" t="inlineStr">
        <is>
          <t>Region V (Bicol Region)</t>
        </is>
      </c>
      <c r="F294" s="11" t="inlineStr">
        <is>
          <t>Sorsogon</t>
        </is>
      </c>
      <c r="G294" s="11" t="inlineStr">
        <is>
          <t>Bulan</t>
        </is>
      </c>
      <c r="H294" s="11" t="inlineStr">
        <is>
          <t>Benigno S. Aquino</t>
        </is>
      </c>
      <c r="I294" s="24" t="n">
        <v>12.675428</v>
      </c>
      <c r="J294" s="24" t="n">
        <v>123.874331</v>
      </c>
      <c r="K294" s="23" t="inlineStr">
        <is>
          <t>R</t>
        </is>
      </c>
      <c r="L294" s="25" t="n">
        <v>3631</v>
      </c>
      <c r="M294" s="26" t="n">
        <v>4</v>
      </c>
      <c r="N294" s="25">
        <f>ROUND(L294/M294, 0)</f>
        <v/>
      </c>
      <c r="O294" s="25">
        <f>ROUND(N294*'Methodology &amp; Assumptions'!$B$7, 0)</f>
        <v/>
      </c>
      <c r="P294" s="23" t="inlineStr">
        <is>
          <t>Single Carrier (Band n50, 100MHz TDD)</t>
        </is>
      </c>
      <c r="Q294" s="27">
        <f>ROUNDUP(O294/'Methodology &amp; Assumptions'!$B$8, 0)</f>
        <v/>
      </c>
      <c r="R294" s="27" t="n">
        <v>1</v>
      </c>
      <c r="S294" s="26" t="n">
        <v>0.65</v>
      </c>
      <c r="T294" s="26" t="n">
        <v>0.07000000000000001</v>
      </c>
      <c r="U294" s="11">
        <f>IF(S294&lt;='Methodology &amp; Assumptions'!$B$10, "Direct Optical Drop (&lt;3km)", IF(S294&lt;='Methodology &amp; Assumptions'!$B$9, "Near Optical / Microwave (&lt;5km)", "Starlink Business LEO Satellite Backhaul (&gt;5km)"))</f>
        <v/>
      </c>
      <c r="V294" s="26" t="n">
        <v>88.06</v>
      </c>
      <c r="W294" s="26" t="n">
        <v>31.28</v>
      </c>
      <c r="X294" s="26">
        <f>ROUND(('Methodology &amp; Assumptions'!$B$5*V294) + ('Methodology &amp; Assumptions'!$B$6*W294), 2)</f>
        <v/>
      </c>
      <c r="Y294" s="28" t="n">
        <v>23.7</v>
      </c>
      <c r="Z294" s="11" t="inlineStr">
        <is>
          <t>Priority Tier 3 (Broadband Expansion)</t>
        </is>
      </c>
    </row>
    <row r="295">
      <c r="A295" s="23" t="n">
        <v>4</v>
      </c>
      <c r="B295" s="23" t="n">
        <v>291</v>
      </c>
      <c r="C295" s="23" t="n">
        <v>3291</v>
      </c>
      <c r="D295" s="23" t="inlineStr">
        <is>
          <t>0105538027</t>
        </is>
      </c>
      <c r="E295" s="11" t="inlineStr">
        <is>
          <t>Region I (Ilocos Region)</t>
        </is>
      </c>
      <c r="F295" s="11" t="inlineStr">
        <is>
          <t>Pangasinan</t>
        </is>
      </c>
      <c r="G295" s="11" t="inlineStr">
        <is>
          <t>Santa Barbara</t>
        </is>
      </c>
      <c r="H295" s="11" t="inlineStr">
        <is>
          <t>Tuliao</t>
        </is>
      </c>
      <c r="I295" s="24" t="n">
        <v>16.01187</v>
      </c>
      <c r="J295" s="24" t="n">
        <v>120.394809</v>
      </c>
      <c r="K295" s="23" t="inlineStr">
        <is>
          <t>U</t>
        </is>
      </c>
      <c r="L295" s="25" t="n">
        <v>6475</v>
      </c>
      <c r="M295" s="26" t="n">
        <v>3.6</v>
      </c>
      <c r="N295" s="25">
        <f>ROUND(L295/M295, 0)</f>
        <v/>
      </c>
      <c r="O295" s="25">
        <f>ROUND(N295*'Methodology &amp; Assumptions'!$B$7, 0)</f>
        <v/>
      </c>
      <c r="P295" s="23" t="inlineStr">
        <is>
          <t>Single Carrier (Band n50, 100MHz TDD)</t>
        </is>
      </c>
      <c r="Q295" s="27">
        <f>ROUNDUP(O295/'Methodology &amp; Assumptions'!$B$8, 0)</f>
        <v/>
      </c>
      <c r="R295" s="27" t="n">
        <v>1</v>
      </c>
      <c r="S295" s="26" t="n">
        <v>0.82</v>
      </c>
      <c r="T295" s="26" t="n">
        <v>0.22</v>
      </c>
      <c r="U295" s="11">
        <f>IF(S295&lt;='Methodology &amp; Assumptions'!$B$10, "Direct Optical Drop (&lt;3km)", IF(S295&lt;='Methodology &amp; Assumptions'!$B$9, "Near Optical / Microwave (&lt;5km)", "Starlink Business LEO Satellite Backhaul (&gt;5km)"))</f>
        <v/>
      </c>
      <c r="V295" s="26" t="n">
        <v>78.43000000000001</v>
      </c>
      <c r="W295" s="26" t="n">
        <v>40.9</v>
      </c>
      <c r="X295" s="26">
        <f>ROUND(('Methodology &amp; Assumptions'!$B$5*V295) + ('Methodology &amp; Assumptions'!$B$6*W295), 2)</f>
        <v/>
      </c>
      <c r="Y295" s="28" t="n">
        <v>8.300000000000001</v>
      </c>
      <c r="Z295" s="11" t="inlineStr">
        <is>
          <t>Priority Tier 3 (Broadband Expansion)</t>
        </is>
      </c>
    </row>
    <row r="296">
      <c r="A296" s="23" t="n">
        <v>4</v>
      </c>
      <c r="B296" s="23" t="n">
        <v>292</v>
      </c>
      <c r="C296" s="23" t="n">
        <v>3292</v>
      </c>
      <c r="D296" s="23" t="inlineStr">
        <is>
          <t>1381100030</t>
        </is>
      </c>
      <c r="E296" s="11" t="inlineStr">
        <is>
          <t>National Capital Region (NCR)</t>
        </is>
      </c>
      <c r="F296" s="11" t="inlineStr">
        <is>
          <t>Fourth District (Not a Province)</t>
        </is>
      </c>
      <c r="G296" s="11" t="inlineStr">
        <is>
          <t>Pasay City</t>
        </is>
      </c>
      <c r="H296" s="11" t="inlineStr">
        <is>
          <t>Barangay 30</t>
        </is>
      </c>
      <c r="I296" s="24" t="n">
        <v>14.549181</v>
      </c>
      <c r="J296" s="24" t="n">
        <v>120.994614</v>
      </c>
      <c r="K296" s="23" t="inlineStr">
        <is>
          <t>U</t>
        </is>
      </c>
      <c r="L296" s="25" t="n">
        <v>993</v>
      </c>
      <c r="M296" s="26" t="n">
        <v>3.56</v>
      </c>
      <c r="N296" s="25">
        <f>ROUND(L296/M296, 0)</f>
        <v/>
      </c>
      <c r="O296" s="25">
        <f>ROUND(N296*'Methodology &amp; Assumptions'!$B$7, 0)</f>
        <v/>
      </c>
      <c r="P296" s="23" t="inlineStr">
        <is>
          <t>Single Carrier (Band n50, 100MHz TDD)</t>
        </is>
      </c>
      <c r="Q296" s="27">
        <f>ROUNDUP(O296/'Methodology &amp; Assumptions'!$B$8, 0)</f>
        <v/>
      </c>
      <c r="R296" s="27" t="n">
        <v>1</v>
      </c>
      <c r="S296" s="26" t="n">
        <v>0.52</v>
      </c>
      <c r="T296" s="26" t="n">
        <v>0.24</v>
      </c>
      <c r="U296" s="11">
        <f>IF(S296&lt;='Methodology &amp; Assumptions'!$B$10, "Direct Optical Drop (&lt;3km)", IF(S296&lt;='Methodology &amp; Assumptions'!$B$9, "Near Optical / Microwave (&lt;5km)", "Starlink Business LEO Satellite Backhaul (&gt;5km)"))</f>
        <v/>
      </c>
      <c r="V296" s="26" t="n">
        <v>50.09</v>
      </c>
      <c r="W296" s="26" t="n">
        <v>69.25</v>
      </c>
      <c r="X296" s="26">
        <f>ROUND(('Methodology &amp; Assumptions'!$B$5*V296) + ('Methodology &amp; Assumptions'!$B$6*W296), 2)</f>
        <v/>
      </c>
      <c r="Y296" s="28" t="n">
        <v>10.9</v>
      </c>
      <c r="Z296" s="11" t="inlineStr">
        <is>
          <t>Priority Tier 3 (Broadband Expansion)</t>
        </is>
      </c>
    </row>
    <row r="297">
      <c r="A297" s="23" t="n">
        <v>4</v>
      </c>
      <c r="B297" s="23" t="n">
        <v>293</v>
      </c>
      <c r="C297" s="23" t="n">
        <v>3293</v>
      </c>
      <c r="D297" s="23" t="inlineStr">
        <is>
          <t>0601917011</t>
        </is>
      </c>
      <c r="E297" s="11" t="inlineStr">
        <is>
          <t>Region VI (Western Visayas)</t>
        </is>
      </c>
      <c r="F297" s="11" t="inlineStr">
        <is>
          <t>Capiz</t>
        </is>
      </c>
      <c r="G297" s="11" t="inlineStr">
        <is>
          <t>Tapaz</t>
        </is>
      </c>
      <c r="H297" s="11" t="inlineStr">
        <is>
          <t>Buri</t>
        </is>
      </c>
      <c r="I297" s="24" t="n">
        <v>11.20963</v>
      </c>
      <c r="J297" s="24" t="n">
        <v>122.403054</v>
      </c>
      <c r="K297" s="23" t="inlineStr">
        <is>
          <t>R</t>
        </is>
      </c>
      <c r="L297" s="25" t="n">
        <v>668</v>
      </c>
      <c r="M297" s="26" t="n">
        <v>3.8</v>
      </c>
      <c r="N297" s="25">
        <f>ROUND(L297/M297, 0)</f>
        <v/>
      </c>
      <c r="O297" s="25">
        <f>ROUND(N297*'Methodology &amp; Assumptions'!$B$7, 0)</f>
        <v/>
      </c>
      <c r="P297" s="23" t="inlineStr">
        <is>
          <t>Single Carrier (Band n50, 100MHz TDD)</t>
        </is>
      </c>
      <c r="Q297" s="27">
        <f>ROUNDUP(O297/'Methodology &amp; Assumptions'!$B$8, 0)</f>
        <v/>
      </c>
      <c r="R297" s="27" t="n">
        <v>1</v>
      </c>
      <c r="S297" s="26" t="n">
        <v>28.51</v>
      </c>
      <c r="T297" s="26" t="n">
        <v>17.35</v>
      </c>
      <c r="U297" s="11">
        <f>IF(S297&lt;='Methodology &amp; Assumptions'!$B$10, "Direct Optical Drop (&lt;3km)", IF(S297&lt;='Methodology &amp; Assumptions'!$B$9, "Near Optical / Microwave (&lt;5km)", "Starlink Business LEO Satellite Backhaul (&gt;5km)"))</f>
        <v/>
      </c>
      <c r="V297" s="26" t="n">
        <v>41.58</v>
      </c>
      <c r="W297" s="26" t="n">
        <v>77.75</v>
      </c>
      <c r="X297" s="26">
        <f>ROUND(('Methodology &amp; Assumptions'!$B$5*V297) + ('Methodology &amp; Assumptions'!$B$6*W297), 2)</f>
        <v/>
      </c>
      <c r="Y297" s="28" t="n">
        <v>23.7</v>
      </c>
      <c r="Z297" s="11" t="inlineStr">
        <is>
          <t>Priority Tier 3 (Broadband Expansion)</t>
        </is>
      </c>
    </row>
    <row r="298">
      <c r="A298" s="23" t="n">
        <v>4</v>
      </c>
      <c r="B298" s="23" t="n">
        <v>294</v>
      </c>
      <c r="C298" s="23" t="n">
        <v>3294</v>
      </c>
      <c r="D298" s="23" t="inlineStr">
        <is>
          <t>0405809001</t>
        </is>
      </c>
      <c r="E298" s="11" t="inlineStr">
        <is>
          <t>Region IV-A (CALABARZON)</t>
        </is>
      </c>
      <c r="F298" s="11" t="inlineStr">
        <is>
          <t>Rizal</t>
        </is>
      </c>
      <c r="G298" s="11" t="inlineStr">
        <is>
          <t>Morong</t>
        </is>
      </c>
      <c r="H298" s="11" t="inlineStr">
        <is>
          <t>Bombongan</t>
        </is>
      </c>
      <c r="I298" s="24" t="n">
        <v>14.50626</v>
      </c>
      <c r="J298" s="24" t="n">
        <v>121.21943</v>
      </c>
      <c r="K298" s="23" t="inlineStr">
        <is>
          <t>R</t>
        </is>
      </c>
      <c r="L298" s="25" t="n">
        <v>3722</v>
      </c>
      <c r="M298" s="26" t="n">
        <v>3.6</v>
      </c>
      <c r="N298" s="25">
        <f>ROUND(L298/M298, 0)</f>
        <v/>
      </c>
      <c r="O298" s="25">
        <f>ROUND(N298*'Methodology &amp; Assumptions'!$B$7, 0)</f>
        <v/>
      </c>
      <c r="P298" s="23" t="inlineStr">
        <is>
          <t>Single Carrier (Band n50, 100MHz TDD)</t>
        </is>
      </c>
      <c r="Q298" s="27">
        <f>ROUNDUP(O298/'Methodology &amp; Assumptions'!$B$8, 0)</f>
        <v/>
      </c>
      <c r="R298" s="27" t="n">
        <v>1</v>
      </c>
      <c r="S298" s="26" t="n">
        <v>1.62</v>
      </c>
      <c r="T298" s="26" t="n">
        <v>1.59</v>
      </c>
      <c r="U298" s="11">
        <f>IF(S298&lt;='Methodology &amp; Assumptions'!$B$10, "Direct Optical Drop (&lt;3km)", IF(S298&lt;='Methodology &amp; Assumptions'!$B$9, "Near Optical / Microwave (&lt;5km)", "Starlink Business LEO Satellite Backhaul (&gt;5km)"))</f>
        <v/>
      </c>
      <c r="V298" s="26" t="n">
        <v>82.53</v>
      </c>
      <c r="W298" s="26" t="n">
        <v>36.78</v>
      </c>
      <c r="X298" s="26">
        <f>ROUND(('Methodology &amp; Assumptions'!$B$5*V298) + ('Methodology &amp; Assumptions'!$B$6*W298), 2)</f>
        <v/>
      </c>
      <c r="Y298" s="28" t="n">
        <v>7.2</v>
      </c>
      <c r="Z298" s="11" t="inlineStr">
        <is>
          <t>Priority Tier 3 (Broadband Expansion)</t>
        </is>
      </c>
    </row>
    <row r="299">
      <c r="A299" s="23" t="n">
        <v>4</v>
      </c>
      <c r="B299" s="23" t="n">
        <v>295</v>
      </c>
      <c r="C299" s="23" t="n">
        <v>3295</v>
      </c>
      <c r="D299" s="23" t="inlineStr">
        <is>
          <t>0105538021</t>
        </is>
      </c>
      <c r="E299" s="11" t="inlineStr">
        <is>
          <t>Region I (Ilocos Region)</t>
        </is>
      </c>
      <c r="F299" s="11" t="inlineStr">
        <is>
          <t>Pangasinan</t>
        </is>
      </c>
      <c r="G299" s="11" t="inlineStr">
        <is>
          <t>Santa Barbara</t>
        </is>
      </c>
      <c r="H299" s="11" t="inlineStr">
        <is>
          <t>Poblacion Norte</t>
        </is>
      </c>
      <c r="I299" s="24" t="n">
        <v>16.003347</v>
      </c>
      <c r="J299" s="24" t="n">
        <v>120.401826</v>
      </c>
      <c r="K299" s="23" t="inlineStr">
        <is>
          <t>R</t>
        </is>
      </c>
      <c r="L299" s="25" t="n">
        <v>4714</v>
      </c>
      <c r="M299" s="26" t="n">
        <v>3.6</v>
      </c>
      <c r="N299" s="25">
        <f>ROUND(L299/M299, 0)</f>
        <v/>
      </c>
      <c r="O299" s="25">
        <f>ROUND(N299*'Methodology &amp; Assumptions'!$B$7, 0)</f>
        <v/>
      </c>
      <c r="P299" s="23" t="inlineStr">
        <is>
          <t>Single Carrier (Band n50, 100MHz TDD)</t>
        </is>
      </c>
      <c r="Q299" s="27">
        <f>ROUNDUP(O299/'Methodology &amp; Assumptions'!$B$8, 0)</f>
        <v/>
      </c>
      <c r="R299" s="27" t="n">
        <v>1</v>
      </c>
      <c r="S299" s="26" t="n">
        <v>1.96</v>
      </c>
      <c r="T299" s="26" t="n">
        <v>0.12</v>
      </c>
      <c r="U299" s="11">
        <f>IF(S299&lt;='Methodology &amp; Assumptions'!$B$10, "Direct Optical Drop (&lt;3km)", IF(S299&lt;='Methodology &amp; Assumptions'!$B$9, "Near Optical / Microwave (&lt;5km)", "Starlink Business LEO Satellite Backhaul (&gt;5km)"))</f>
        <v/>
      </c>
      <c r="V299" s="26" t="n">
        <v>81.52</v>
      </c>
      <c r="W299" s="26" t="n">
        <v>37.8</v>
      </c>
      <c r="X299" s="26">
        <f>ROUND(('Methodology &amp; Assumptions'!$B$5*V299) + ('Methodology &amp; Assumptions'!$B$6*W299), 2)</f>
        <v/>
      </c>
      <c r="Y299" s="28" t="n">
        <v>8.300000000000001</v>
      </c>
      <c r="Z299" s="11" t="inlineStr">
        <is>
          <t>Priority Tier 3 (Broadband Expansion)</t>
        </is>
      </c>
    </row>
    <row r="300">
      <c r="A300" s="23" t="n">
        <v>4</v>
      </c>
      <c r="B300" s="23" t="n">
        <v>296</v>
      </c>
      <c r="C300" s="23" t="n">
        <v>3296</v>
      </c>
      <c r="D300" s="23" t="inlineStr">
        <is>
          <t>0500502021</t>
        </is>
      </c>
      <c r="E300" s="11" t="inlineStr">
        <is>
          <t>Region V (Bicol Region)</t>
        </is>
      </c>
      <c r="F300" s="11" t="inlineStr">
        <is>
          <t>Albay</t>
        </is>
      </c>
      <c r="G300" s="11" t="inlineStr">
        <is>
          <t>Camalig</t>
        </is>
      </c>
      <c r="H300" s="11" t="inlineStr">
        <is>
          <t>Libod</t>
        </is>
      </c>
      <c r="I300" s="24" t="n">
        <v>13.174672</v>
      </c>
      <c r="J300" s="24" t="n">
        <v>123.631726</v>
      </c>
      <c r="K300" s="23" t="inlineStr">
        <is>
          <t>R</t>
        </is>
      </c>
      <c r="L300" s="25" t="n">
        <v>3551</v>
      </c>
      <c r="M300" s="26" t="n">
        <v>4.1</v>
      </c>
      <c r="N300" s="25">
        <f>ROUND(L300/M300, 0)</f>
        <v/>
      </c>
      <c r="O300" s="25">
        <f>ROUND(N300*'Methodology &amp; Assumptions'!$B$7, 0)</f>
        <v/>
      </c>
      <c r="P300" s="23" t="inlineStr">
        <is>
          <t>Single Carrier (Band n50, 100MHz TDD)</t>
        </is>
      </c>
      <c r="Q300" s="27">
        <f>ROUNDUP(O300/'Methodology &amp; Assumptions'!$B$8, 0)</f>
        <v/>
      </c>
      <c r="R300" s="27" t="n">
        <v>1</v>
      </c>
      <c r="S300" s="26" t="n">
        <v>3.39</v>
      </c>
      <c r="T300" s="26" t="n">
        <v>0.83</v>
      </c>
      <c r="U300" s="11">
        <f>IF(S300&lt;='Methodology &amp; Assumptions'!$B$10, "Direct Optical Drop (&lt;3km)", IF(S300&lt;='Methodology &amp; Assumptions'!$B$9, "Near Optical / Microwave (&lt;5km)", "Starlink Business LEO Satellite Backhaul (&gt;5km)"))</f>
        <v/>
      </c>
      <c r="V300" s="26" t="n">
        <v>79.47</v>
      </c>
      <c r="W300" s="26" t="n">
        <v>39.84</v>
      </c>
      <c r="X300" s="26">
        <f>ROUND(('Methodology &amp; Assumptions'!$B$5*V300) + ('Methodology &amp; Assumptions'!$B$6*W300), 2)</f>
        <v/>
      </c>
      <c r="Y300" s="28" t="n">
        <v>23.7</v>
      </c>
      <c r="Z300" s="11" t="inlineStr">
        <is>
          <t>Priority Tier 3 (Broadband Expansion)</t>
        </is>
      </c>
    </row>
    <row r="301">
      <c r="A301" s="23" t="n">
        <v>4</v>
      </c>
      <c r="B301" s="23" t="n">
        <v>297</v>
      </c>
      <c r="C301" s="23" t="n">
        <v>3297</v>
      </c>
      <c r="D301" s="23" t="inlineStr">
        <is>
          <t>1102404013</t>
        </is>
      </c>
      <c r="E301" s="11" t="inlineStr">
        <is>
          <t>Region XI (Davao Region)</t>
        </is>
      </c>
      <c r="F301" s="11" t="inlineStr">
        <is>
          <t>Davao del Sur</t>
        </is>
      </c>
      <c r="G301" s="11" t="inlineStr">
        <is>
          <t>Hagonoy</t>
        </is>
      </c>
      <c r="H301" s="11" t="inlineStr">
        <is>
          <t>Leling</t>
        </is>
      </c>
      <c r="I301" s="24" t="n">
        <v>6.698343</v>
      </c>
      <c r="J301" s="24" t="n">
        <v>125.352112</v>
      </c>
      <c r="K301" s="23" t="inlineStr">
        <is>
          <t>R</t>
        </is>
      </c>
      <c r="L301" s="25" t="n">
        <v>3293</v>
      </c>
      <c r="M301" s="26" t="n">
        <v>3.4</v>
      </c>
      <c r="N301" s="25">
        <f>ROUND(L301/M301, 0)</f>
        <v/>
      </c>
      <c r="O301" s="25">
        <f>ROUND(N301*'Methodology &amp; Assumptions'!$B$7, 0)</f>
        <v/>
      </c>
      <c r="P301" s="23" t="inlineStr">
        <is>
          <t>Single Carrier (Band n50, 100MHz TDD)</t>
        </is>
      </c>
      <c r="Q301" s="27">
        <f>ROUNDUP(O301/'Methodology &amp; Assumptions'!$B$8, 0)</f>
        <v/>
      </c>
      <c r="R301" s="27" t="n">
        <v>1</v>
      </c>
      <c r="S301" s="26" t="n">
        <v>4.62</v>
      </c>
      <c r="T301" s="26" t="n">
        <v>0.19</v>
      </c>
      <c r="U301" s="11">
        <f>IF(S301&lt;='Methodology &amp; Assumptions'!$B$10, "Direct Optical Drop (&lt;3km)", IF(S301&lt;='Methodology &amp; Assumptions'!$B$9, "Near Optical / Microwave (&lt;5km)", "Starlink Business LEO Satellite Backhaul (&gt;5km)"))</f>
        <v/>
      </c>
      <c r="V301" s="26" t="n">
        <v>76.25</v>
      </c>
      <c r="W301" s="26" t="n">
        <v>43.06</v>
      </c>
      <c r="X301" s="26">
        <f>ROUND(('Methodology &amp; Assumptions'!$B$5*V301) + ('Methodology &amp; Assumptions'!$B$6*W301), 2)</f>
        <v/>
      </c>
      <c r="Y301" s="28" t="n">
        <v>17.4</v>
      </c>
      <c r="Z301" s="11" t="inlineStr">
        <is>
          <t>Priority Tier 3 (Broadband Expansion)</t>
        </is>
      </c>
    </row>
    <row r="302">
      <c r="A302" s="23" t="n">
        <v>4</v>
      </c>
      <c r="B302" s="23" t="n">
        <v>298</v>
      </c>
      <c r="C302" s="23" t="n">
        <v>3298</v>
      </c>
      <c r="D302" s="23" t="inlineStr">
        <is>
          <t>0405647007</t>
        </is>
      </c>
      <c r="E302" s="11" t="inlineStr">
        <is>
          <t>Region IV-A (CALABARZON)</t>
        </is>
      </c>
      <c r="F302" s="11" t="inlineStr">
        <is>
          <t>Quezon</t>
        </is>
      </c>
      <c r="G302" s="11" t="inlineStr">
        <is>
          <t>City of Tayabas</t>
        </is>
      </c>
      <c r="H302" s="11" t="inlineStr">
        <is>
          <t>Angustias Zone I</t>
        </is>
      </c>
      <c r="I302" s="24" t="n">
        <v>14.031004</v>
      </c>
      <c r="J302" s="24" t="n">
        <v>121.589081</v>
      </c>
      <c r="K302" s="23" t="inlineStr">
        <is>
          <t>R</t>
        </is>
      </c>
      <c r="L302" s="25" t="n">
        <v>368</v>
      </c>
      <c r="M302" s="26" t="n">
        <v>3.8</v>
      </c>
      <c r="N302" s="25">
        <f>ROUND(L302/M302, 0)</f>
        <v/>
      </c>
      <c r="O302" s="25">
        <f>ROUND(N302*'Methodology &amp; Assumptions'!$B$7, 0)</f>
        <v/>
      </c>
      <c r="P302" s="23" t="inlineStr">
        <is>
          <t>Single Carrier (Band n50, 100MHz TDD)</t>
        </is>
      </c>
      <c r="Q302" s="27">
        <f>ROUNDUP(O302/'Methodology &amp; Assumptions'!$B$8, 0)</f>
        <v/>
      </c>
      <c r="R302" s="27" t="n">
        <v>1</v>
      </c>
      <c r="S302" s="26" t="n">
        <v>0.9399999999999999</v>
      </c>
      <c r="T302" s="26" t="n">
        <v>0.06</v>
      </c>
      <c r="U302" s="11">
        <f>IF(S302&lt;='Methodology &amp; Assumptions'!$B$10, "Direct Optical Drop (&lt;3km)", IF(S302&lt;='Methodology &amp; Assumptions'!$B$9, "Near Optical / Microwave (&lt;5km)", "Starlink Business LEO Satellite Backhaul (&gt;5km)"))</f>
        <v/>
      </c>
      <c r="V302" s="26" t="n">
        <v>61.64</v>
      </c>
      <c r="W302" s="26" t="n">
        <v>57.68</v>
      </c>
      <c r="X302" s="26">
        <f>ROUND(('Methodology &amp; Assumptions'!$B$5*V302) + ('Methodology &amp; Assumptions'!$B$6*W302), 2)</f>
        <v/>
      </c>
      <c r="Y302" s="28" t="n">
        <v>7.2</v>
      </c>
      <c r="Z302" s="11" t="inlineStr">
        <is>
          <t>Priority Tier 3 (Broadband Expansion)</t>
        </is>
      </c>
    </row>
    <row r="303">
      <c r="A303" s="23" t="n">
        <v>4</v>
      </c>
      <c r="B303" s="23" t="n">
        <v>299</v>
      </c>
      <c r="C303" s="23" t="n">
        <v>3299</v>
      </c>
      <c r="D303" s="23" t="inlineStr">
        <is>
          <t>1380614024</t>
        </is>
      </c>
      <c r="E303" s="11" t="inlineStr">
        <is>
          <t>National Capital Region (NCR)</t>
        </is>
      </c>
      <c r="F303" s="11" t="inlineStr">
        <is>
          <t>First District (Not a Province)</t>
        </is>
      </c>
      <c r="G303" s="11" t="inlineStr">
        <is>
          <t>City of Manila</t>
        </is>
      </c>
      <c r="H303" s="11" t="inlineStr">
        <is>
          <t>Barangay 768</t>
        </is>
      </c>
      <c r="I303" s="24" t="n">
        <v>14.569794</v>
      </c>
      <c r="J303" s="24" t="n">
        <v>121.003163</v>
      </c>
      <c r="K303" s="23" t="inlineStr">
        <is>
          <t>U</t>
        </is>
      </c>
      <c r="L303" s="25" t="n">
        <v>1403</v>
      </c>
      <c r="M303" s="26" t="n">
        <v>4.24</v>
      </c>
      <c r="N303" s="25">
        <f>ROUND(L303/M303, 0)</f>
        <v/>
      </c>
      <c r="O303" s="25">
        <f>ROUND(N303*'Methodology &amp; Assumptions'!$B$7, 0)</f>
        <v/>
      </c>
      <c r="P303" s="23" t="inlineStr">
        <is>
          <t>Single Carrier (Band n50, 100MHz TDD)</t>
        </is>
      </c>
      <c r="Q303" s="27">
        <f>ROUNDUP(O303/'Methodology &amp; Assumptions'!$B$8, 0)</f>
        <v/>
      </c>
      <c r="R303" s="27" t="n">
        <v>1</v>
      </c>
      <c r="S303" s="26" t="n">
        <v>0.99</v>
      </c>
      <c r="T303" s="26" t="n">
        <v>0.29</v>
      </c>
      <c r="U303" s="11">
        <f>IF(S303&lt;='Methodology &amp; Assumptions'!$B$10, "Direct Optical Drop (&lt;3km)", IF(S303&lt;='Methodology &amp; Assumptions'!$B$9, "Near Optical / Microwave (&lt;5km)", "Starlink Business LEO Satellite Backhaul (&gt;5km)"))</f>
        <v/>
      </c>
      <c r="V303" s="26" t="n">
        <v>51.11</v>
      </c>
      <c r="W303" s="26" t="n">
        <v>68.20999999999999</v>
      </c>
      <c r="X303" s="26">
        <f>ROUND(('Methodology &amp; Assumptions'!$B$5*V303) + ('Methodology &amp; Assumptions'!$B$6*W303), 2)</f>
        <v/>
      </c>
      <c r="Y303" s="28" t="n">
        <v>10.9</v>
      </c>
      <c r="Z303" s="11" t="inlineStr">
        <is>
          <t>Priority Tier 3 (Broadband Expansion)</t>
        </is>
      </c>
    </row>
    <row r="304">
      <c r="A304" s="23" t="n">
        <v>4</v>
      </c>
      <c r="B304" s="23" t="n">
        <v>300</v>
      </c>
      <c r="C304" s="23" t="n">
        <v>3300</v>
      </c>
      <c r="D304" s="23" t="inlineStr">
        <is>
          <t>1380601252</t>
        </is>
      </c>
      <c r="E304" s="11" t="inlineStr">
        <is>
          <t>National Capital Region (NCR)</t>
        </is>
      </c>
      <c r="F304" s="11" t="inlineStr">
        <is>
          <t>First District (Not a Province)</t>
        </is>
      </c>
      <c r="G304" s="11" t="inlineStr">
        <is>
          <t>City of Manila</t>
        </is>
      </c>
      <c r="H304" s="11" t="inlineStr">
        <is>
          <t>Barangay 251</t>
        </is>
      </c>
      <c r="I304" s="24" t="n">
        <v>14.614382</v>
      </c>
      <c r="J304" s="24" t="n">
        <v>120.977996</v>
      </c>
      <c r="K304" s="23" t="inlineStr">
        <is>
          <t>U</t>
        </is>
      </c>
      <c r="L304" s="25" t="n">
        <v>1339</v>
      </c>
      <c r="M304" s="26" t="n">
        <v>4.55</v>
      </c>
      <c r="N304" s="25">
        <f>ROUND(L304/M304, 0)</f>
        <v/>
      </c>
      <c r="O304" s="25">
        <f>ROUND(N304*'Methodology &amp; Assumptions'!$B$7, 0)</f>
        <v/>
      </c>
      <c r="P304" s="23" t="inlineStr">
        <is>
          <t>Single Carrier (Band n50, 100MHz TDD)</t>
        </is>
      </c>
      <c r="Q304" s="27">
        <f>ROUNDUP(O304/'Methodology &amp; Assumptions'!$B$8, 0)</f>
        <v/>
      </c>
      <c r="R304" s="27" t="n">
        <v>1</v>
      </c>
      <c r="S304" s="26" t="n">
        <v>0.57</v>
      </c>
      <c r="T304" s="26" t="n">
        <v>0.29</v>
      </c>
      <c r="U304" s="11">
        <f>IF(S304&lt;='Methodology &amp; Assumptions'!$B$10, "Direct Optical Drop (&lt;3km)", IF(S304&lt;='Methodology &amp; Assumptions'!$B$9, "Near Optical / Microwave (&lt;5km)", "Starlink Business LEO Satellite Backhaul (&gt;5km)"))</f>
        <v/>
      </c>
      <c r="V304" s="26" t="n">
        <v>50.52</v>
      </c>
      <c r="W304" s="26" t="n">
        <v>68.8</v>
      </c>
      <c r="X304" s="26">
        <f>ROUND(('Methodology &amp; Assumptions'!$B$5*V304) + ('Methodology &amp; Assumptions'!$B$6*W304), 2)</f>
        <v/>
      </c>
      <c r="Y304" s="28" t="n">
        <v>10.9</v>
      </c>
      <c r="Z304" s="11" t="inlineStr">
        <is>
          <t>Priority Tier 3 (Broadband Expansion)</t>
        </is>
      </c>
    </row>
    <row r="305">
      <c r="A305" s="23" t="n">
        <v>4</v>
      </c>
      <c r="B305" s="23" t="n">
        <v>301</v>
      </c>
      <c r="C305" s="23" t="n">
        <v>3301</v>
      </c>
      <c r="D305" s="23" t="inlineStr">
        <is>
          <t>0601902017</t>
        </is>
      </c>
      <c r="E305" s="11" t="inlineStr">
        <is>
          <t>Region VI (Western Visayas)</t>
        </is>
      </c>
      <c r="F305" s="11" t="inlineStr">
        <is>
          <t>Capiz</t>
        </is>
      </c>
      <c r="G305" s="11" t="inlineStr">
        <is>
          <t>Dao</t>
        </is>
      </c>
      <c r="H305" s="11" t="inlineStr">
        <is>
          <t>Nasunogan</t>
        </is>
      </c>
      <c r="I305" s="24" t="n">
        <v>11.380829</v>
      </c>
      <c r="J305" s="24" t="n">
        <v>122.675132</v>
      </c>
      <c r="K305" s="23" t="inlineStr">
        <is>
          <t>R</t>
        </is>
      </c>
      <c r="L305" s="25" t="n">
        <v>2942</v>
      </c>
      <c r="M305" s="26" t="n">
        <v>3.8</v>
      </c>
      <c r="N305" s="25">
        <f>ROUND(L305/M305, 0)</f>
        <v/>
      </c>
      <c r="O305" s="25">
        <f>ROUND(N305*'Methodology &amp; Assumptions'!$B$7, 0)</f>
        <v/>
      </c>
      <c r="P305" s="23" t="inlineStr">
        <is>
          <t>Single Carrier (Band n50, 100MHz TDD)</t>
        </is>
      </c>
      <c r="Q305" s="27">
        <f>ROUNDUP(O305/'Methodology &amp; Assumptions'!$B$8, 0)</f>
        <v/>
      </c>
      <c r="R305" s="27" t="n">
        <v>1</v>
      </c>
      <c r="S305" s="26" t="n">
        <v>1.94</v>
      </c>
      <c r="T305" s="26" t="n">
        <v>0.31</v>
      </c>
      <c r="U305" s="11">
        <f>IF(S305&lt;='Methodology &amp; Assumptions'!$B$10, "Direct Optical Drop (&lt;3km)", IF(S305&lt;='Methodology &amp; Assumptions'!$B$9, "Near Optical / Microwave (&lt;5km)", "Starlink Business LEO Satellite Backhaul (&gt;5km)"))</f>
        <v/>
      </c>
      <c r="V305" s="26" t="n">
        <v>80.94</v>
      </c>
      <c r="W305" s="26" t="n">
        <v>38.36</v>
      </c>
      <c r="X305" s="26">
        <f>ROUND(('Methodology &amp; Assumptions'!$B$5*V305) + ('Methodology &amp; Assumptions'!$B$6*W305), 2)</f>
        <v/>
      </c>
      <c r="Y305" s="28" t="n">
        <v>23.7</v>
      </c>
      <c r="Z305" s="11" t="inlineStr">
        <is>
          <t>Priority Tier 3 (Broadband Expansion)</t>
        </is>
      </c>
    </row>
    <row r="306">
      <c r="A306" s="23" t="n">
        <v>4</v>
      </c>
      <c r="B306" s="23" t="n">
        <v>302</v>
      </c>
      <c r="C306" s="23" t="n">
        <v>3302</v>
      </c>
      <c r="D306" s="23" t="inlineStr">
        <is>
          <t>1004307012</t>
        </is>
      </c>
      <c r="E306" s="11" t="inlineStr">
        <is>
          <t>Region X (Northern Mindanao)</t>
        </is>
      </c>
      <c r="F306" s="11" t="inlineStr">
        <is>
          <t>Misamis Oriental</t>
        </is>
      </c>
      <c r="G306" s="11" t="inlineStr">
        <is>
          <t>City of El Salvador</t>
        </is>
      </c>
      <c r="H306" s="11" t="inlineStr">
        <is>
          <t>Poblacion</t>
        </is>
      </c>
      <c r="I306" s="24" t="n">
        <v>8.557451</v>
      </c>
      <c r="J306" s="24" t="n">
        <v>124.526132</v>
      </c>
      <c r="K306" s="23" t="inlineStr">
        <is>
          <t>U</t>
        </is>
      </c>
      <c r="L306" s="25" t="n">
        <v>8953</v>
      </c>
      <c r="M306" s="26" t="n">
        <v>3.9</v>
      </c>
      <c r="N306" s="25">
        <f>ROUND(L306/M306, 0)</f>
        <v/>
      </c>
      <c r="O306" s="25">
        <f>ROUND(N306*'Methodology &amp; Assumptions'!$B$7, 0)</f>
        <v/>
      </c>
      <c r="P306" s="23" t="inlineStr">
        <is>
          <t>Single Carrier (Band n50, 100MHz TDD)</t>
        </is>
      </c>
      <c r="Q306" s="27">
        <f>ROUNDUP(O306/'Methodology &amp; Assumptions'!$B$8, 0)</f>
        <v/>
      </c>
      <c r="R306" s="27" t="n">
        <v>1</v>
      </c>
      <c r="S306" s="26" t="n">
        <v>0.27</v>
      </c>
      <c r="T306" s="26" t="n">
        <v>0.28</v>
      </c>
      <c r="U306" s="11">
        <f>IF(S306&lt;='Methodology &amp; Assumptions'!$B$10, "Direct Optical Drop (&lt;3km)", IF(S306&lt;='Methodology &amp; Assumptions'!$B$9, "Near Optical / Microwave (&lt;5km)", "Starlink Business LEO Satellite Backhaul (&gt;5km)"))</f>
        <v/>
      </c>
      <c r="V306" s="26" t="n">
        <v>79.87</v>
      </c>
      <c r="W306" s="26" t="n">
        <v>39.43</v>
      </c>
      <c r="X306" s="26">
        <f>ROUND(('Methodology &amp; Assumptions'!$B$5*V306) + ('Methodology &amp; Assumptions'!$B$6*W306), 2)</f>
        <v/>
      </c>
      <c r="Y306" s="28" t="n">
        <v>17.4</v>
      </c>
      <c r="Z306" s="11" t="inlineStr">
        <is>
          <t>Priority Tier 3 (Broadband Expansion)</t>
        </is>
      </c>
    </row>
    <row r="307">
      <c r="A307" s="23" t="n">
        <v>4</v>
      </c>
      <c r="B307" s="23" t="n">
        <v>303</v>
      </c>
      <c r="C307" s="23" t="n">
        <v>3303</v>
      </c>
      <c r="D307" s="23" t="inlineStr">
        <is>
          <t>0401019048</t>
        </is>
      </c>
      <c r="E307" s="11" t="inlineStr">
        <is>
          <t>Region IV-A (CALABARZON)</t>
        </is>
      </c>
      <c r="F307" s="11" t="inlineStr">
        <is>
          <t>Batangas</t>
        </is>
      </c>
      <c r="G307" s="11" t="inlineStr">
        <is>
          <t>Nasugbu</t>
        </is>
      </c>
      <c r="H307" s="11" t="inlineStr">
        <is>
          <t>Wawa</t>
        </is>
      </c>
      <c r="I307" s="24" t="n">
        <v>14.0824</v>
      </c>
      <c r="J307" s="24" t="n">
        <v>120.6244</v>
      </c>
      <c r="K307" s="23" t="inlineStr">
        <is>
          <t>U</t>
        </is>
      </c>
      <c r="L307" s="25" t="n">
        <v>15886</v>
      </c>
      <c r="M307" s="26" t="n">
        <v>3.6</v>
      </c>
      <c r="N307" s="25">
        <f>ROUND(L307/M307, 0)</f>
        <v/>
      </c>
      <c r="O307" s="25">
        <f>ROUND(N307*'Methodology &amp; Assumptions'!$B$7, 0)</f>
        <v/>
      </c>
      <c r="P307" s="23" t="inlineStr">
        <is>
          <t>Single Carrier (Band n50, 100MHz TDD)</t>
        </is>
      </c>
      <c r="Q307" s="27">
        <f>ROUNDUP(O307/'Methodology &amp; Assumptions'!$B$8, 0)</f>
        <v/>
      </c>
      <c r="R307" s="27" t="n">
        <v>1</v>
      </c>
      <c r="S307" s="26" t="n">
        <v>1.66</v>
      </c>
      <c r="T307" s="26" t="n">
        <v>0.34</v>
      </c>
      <c r="U307" s="11">
        <f>IF(S307&lt;='Methodology &amp; Assumptions'!$B$10, "Direct Optical Drop (&lt;3km)", IF(S307&lt;='Methodology &amp; Assumptions'!$B$9, "Near Optical / Microwave (&lt;5km)", "Starlink Business LEO Satellite Backhaul (&gt;5km)"))</f>
        <v/>
      </c>
      <c r="V307" s="26" t="n">
        <v>75.2</v>
      </c>
      <c r="W307" s="26" t="n">
        <v>44.1</v>
      </c>
      <c r="X307" s="26">
        <f>ROUND(('Methodology &amp; Assumptions'!$B$5*V307) + ('Methodology &amp; Assumptions'!$B$6*W307), 2)</f>
        <v/>
      </c>
      <c r="Y307" s="28" t="n">
        <v>7.2</v>
      </c>
      <c r="Z307" s="11" t="inlineStr">
        <is>
          <t>Priority Tier 3 (Broadband Expansion)</t>
        </is>
      </c>
    </row>
    <row r="308">
      <c r="A308" s="23" t="n">
        <v>4</v>
      </c>
      <c r="B308" s="23" t="n">
        <v>304</v>
      </c>
      <c r="C308" s="23" t="n">
        <v>3304</v>
      </c>
      <c r="D308" s="23" t="inlineStr">
        <is>
          <t>1380601257</t>
        </is>
      </c>
      <c r="E308" s="11" t="inlineStr">
        <is>
          <t>National Capital Region (NCR)</t>
        </is>
      </c>
      <c r="F308" s="11" t="inlineStr">
        <is>
          <t>First District (Not a Province)</t>
        </is>
      </c>
      <c r="G308" s="11" t="inlineStr">
        <is>
          <t>City of Manila</t>
        </is>
      </c>
      <c r="H308" s="11" t="inlineStr">
        <is>
          <t>Barangay 256</t>
        </is>
      </c>
      <c r="I308" s="24" t="n">
        <v>14.615548</v>
      </c>
      <c r="J308" s="24" t="n">
        <v>120.978964</v>
      </c>
      <c r="K308" s="23" t="inlineStr">
        <is>
          <t>U</t>
        </is>
      </c>
      <c r="L308" s="25" t="n">
        <v>1044</v>
      </c>
      <c r="M308" s="26" t="n">
        <v>3.7</v>
      </c>
      <c r="N308" s="25">
        <f>ROUND(L308/M308, 0)</f>
        <v/>
      </c>
      <c r="O308" s="25">
        <f>ROUND(N308*'Methodology &amp; Assumptions'!$B$7, 0)</f>
        <v/>
      </c>
      <c r="P308" s="23" t="inlineStr">
        <is>
          <t>Single Carrier (Band n50, 100MHz TDD)</t>
        </is>
      </c>
      <c r="Q308" s="27">
        <f>ROUNDUP(O308/'Methodology &amp; Assumptions'!$B$8, 0)</f>
        <v/>
      </c>
      <c r="R308" s="27" t="n">
        <v>1</v>
      </c>
      <c r="S308" s="26" t="n">
        <v>0.43</v>
      </c>
      <c r="T308" s="26" t="n">
        <v>0.24</v>
      </c>
      <c r="U308" s="11">
        <f>IF(S308&lt;='Methodology &amp; Assumptions'!$B$10, "Direct Optical Drop (&lt;3km)", IF(S308&lt;='Methodology &amp; Assumptions'!$B$9, "Near Optical / Microwave (&lt;5km)", "Starlink Business LEO Satellite Backhaul (&gt;5km)"))</f>
        <v/>
      </c>
      <c r="V308" s="26" t="n">
        <v>50.2</v>
      </c>
      <c r="W308" s="26" t="n">
        <v>69.09999999999999</v>
      </c>
      <c r="X308" s="26">
        <f>ROUND(('Methodology &amp; Assumptions'!$B$5*V308) + ('Methodology &amp; Assumptions'!$B$6*W308), 2)</f>
        <v/>
      </c>
      <c r="Y308" s="28" t="n">
        <v>10.9</v>
      </c>
      <c r="Z308" s="11" t="inlineStr">
        <is>
          <t>Priority Tier 3 (Broadband Expansion)</t>
        </is>
      </c>
    </row>
    <row r="309">
      <c r="A309" s="23" t="n">
        <v>4</v>
      </c>
      <c r="B309" s="23" t="n">
        <v>305</v>
      </c>
      <c r="C309" s="23" t="n">
        <v>3305</v>
      </c>
      <c r="D309" s="23" t="inlineStr">
        <is>
          <t>0304919006</t>
        </is>
      </c>
      <c r="E309" s="11" t="inlineStr">
        <is>
          <t>Region III (Central Luzon)</t>
        </is>
      </c>
      <c r="F309" s="11" t="inlineStr">
        <is>
          <t>Nueva Ecija</t>
        </is>
      </c>
      <c r="G309" s="11" t="inlineStr">
        <is>
          <t>City of Palayan</t>
        </is>
      </c>
      <c r="H309" s="11" t="inlineStr">
        <is>
          <t>Manacnac</t>
        </is>
      </c>
      <c r="I309" s="24" t="n">
        <v>15.585783</v>
      </c>
      <c r="J309" s="24" t="n">
        <v>120.924577</v>
      </c>
      <c r="K309" s="23" t="inlineStr">
        <is>
          <t>R</t>
        </is>
      </c>
      <c r="L309" s="25" t="n">
        <v>2386</v>
      </c>
      <c r="M309" s="26" t="n">
        <v>3.5</v>
      </c>
      <c r="N309" s="25">
        <f>ROUND(L309/M309, 0)</f>
        <v/>
      </c>
      <c r="O309" s="25">
        <f>ROUND(N309*'Methodology &amp; Assumptions'!$B$7, 0)</f>
        <v/>
      </c>
      <c r="P309" s="23" t="inlineStr">
        <is>
          <t>Single Carrier (Band n50, 100MHz TDD)</t>
        </is>
      </c>
      <c r="Q309" s="27">
        <f>ROUNDUP(O309/'Methodology &amp; Assumptions'!$B$8, 0)</f>
        <v/>
      </c>
      <c r="R309" s="27" t="n">
        <v>1</v>
      </c>
      <c r="S309" s="26" t="n">
        <v>0.71</v>
      </c>
      <c r="T309" s="26" t="n">
        <v>0.52</v>
      </c>
      <c r="U309" s="11">
        <f>IF(S309&lt;='Methodology &amp; Assumptions'!$B$10, "Direct Optical Drop (&lt;3km)", IF(S309&lt;='Methodology &amp; Assumptions'!$B$9, "Near Optical / Microwave (&lt;5km)", "Starlink Business LEO Satellite Backhaul (&gt;5km)"))</f>
        <v/>
      </c>
      <c r="V309" s="26" t="n">
        <v>81.23</v>
      </c>
      <c r="W309" s="26" t="n">
        <v>38.05</v>
      </c>
      <c r="X309" s="26">
        <f>ROUND(('Methodology &amp; Assumptions'!$B$5*V309) + ('Methodology &amp; Assumptions'!$B$6*W309), 2)</f>
        <v/>
      </c>
      <c r="Y309" s="28" t="n">
        <v>8.300000000000001</v>
      </c>
      <c r="Z309" s="11" t="inlineStr">
        <is>
          <t>Priority Tier 3 (Broadband Expansion)</t>
        </is>
      </c>
    </row>
    <row r="310">
      <c r="A310" s="23" t="n">
        <v>4</v>
      </c>
      <c r="B310" s="23" t="n">
        <v>306</v>
      </c>
      <c r="C310" s="23" t="n">
        <v>3306</v>
      </c>
      <c r="D310" s="23" t="inlineStr">
        <is>
          <t>0304911061</t>
        </is>
      </c>
      <c r="E310" s="11" t="inlineStr">
        <is>
          <t>Region III (Central Luzon)</t>
        </is>
      </c>
      <c r="F310" s="11" t="inlineStr">
        <is>
          <t>Nueva Ecija</t>
        </is>
      </c>
      <c r="G310" s="11" t="inlineStr">
        <is>
          <t>Guimba</t>
        </is>
      </c>
      <c r="H310" s="11" t="inlineStr">
        <is>
          <t>Santo Cristo District</t>
        </is>
      </c>
      <c r="I310" s="24" t="n">
        <v>15.656546</v>
      </c>
      <c r="J310" s="24" t="n">
        <v>120.762293</v>
      </c>
      <c r="K310" s="23" t="inlineStr">
        <is>
          <t>U</t>
        </is>
      </c>
      <c r="L310" s="25" t="n">
        <v>4141</v>
      </c>
      <c r="M310" s="26" t="n">
        <v>3.5</v>
      </c>
      <c r="N310" s="25">
        <f>ROUND(L310/M310, 0)</f>
        <v/>
      </c>
      <c r="O310" s="25">
        <f>ROUND(N310*'Methodology &amp; Assumptions'!$B$7, 0)</f>
        <v/>
      </c>
      <c r="P310" s="23" t="inlineStr">
        <is>
          <t>Single Carrier (Band n50, 100MHz TDD)</t>
        </is>
      </c>
      <c r="Q310" s="27">
        <f>ROUNDUP(O310/'Methodology &amp; Assumptions'!$B$8, 0)</f>
        <v/>
      </c>
      <c r="R310" s="27" t="n">
        <v>1</v>
      </c>
      <c r="S310" s="26" t="n">
        <v>0.51</v>
      </c>
      <c r="T310" s="26" t="n">
        <v>0.7</v>
      </c>
      <c r="U310" s="11">
        <f>IF(S310&lt;='Methodology &amp; Assumptions'!$B$10, "Direct Optical Drop (&lt;3km)", IF(S310&lt;='Methodology &amp; Assumptions'!$B$9, "Near Optical / Microwave (&lt;5km)", "Starlink Business LEO Satellite Backhaul (&gt;5km)"))</f>
        <v/>
      </c>
      <c r="V310" s="26" t="n">
        <v>78.43000000000001</v>
      </c>
      <c r="W310" s="26" t="n">
        <v>40.84</v>
      </c>
      <c r="X310" s="26">
        <f>ROUND(('Methodology &amp; Assumptions'!$B$5*V310) + ('Methodology &amp; Assumptions'!$B$6*W310), 2)</f>
        <v/>
      </c>
      <c r="Y310" s="28" t="n">
        <v>8.300000000000001</v>
      </c>
      <c r="Z310" s="11" t="inlineStr">
        <is>
          <t>Priority Tier 3 (Broadband Expansion)</t>
        </is>
      </c>
    </row>
    <row r="311">
      <c r="A311" s="23" t="n">
        <v>4</v>
      </c>
      <c r="B311" s="23" t="n">
        <v>307</v>
      </c>
      <c r="C311" s="23" t="n">
        <v>3307</v>
      </c>
      <c r="D311" s="23" t="inlineStr">
        <is>
          <t>0304908010</t>
        </is>
      </c>
      <c r="E311" s="11" t="inlineStr">
        <is>
          <t>Region III (Central Luzon)</t>
        </is>
      </c>
      <c r="F311" s="11" t="inlineStr">
        <is>
          <t>Nueva Ecija</t>
        </is>
      </c>
      <c r="G311" s="11" t="inlineStr">
        <is>
          <t>City of Gapan</t>
        </is>
      </c>
      <c r="H311" s="11" t="inlineStr">
        <is>
          <t>San Lorenzo</t>
        </is>
      </c>
      <c r="I311" s="24" t="n">
        <v>15.312799</v>
      </c>
      <c r="J311" s="24" t="n">
        <v>120.953395</v>
      </c>
      <c r="K311" s="23" t="inlineStr">
        <is>
          <t>U</t>
        </is>
      </c>
      <c r="L311" s="25" t="n">
        <v>6467</v>
      </c>
      <c r="M311" s="26" t="n">
        <v>3.5</v>
      </c>
      <c r="N311" s="25">
        <f>ROUND(L311/M311, 0)</f>
        <v/>
      </c>
      <c r="O311" s="25">
        <f>ROUND(N311*'Methodology &amp; Assumptions'!$B$7, 0)</f>
        <v/>
      </c>
      <c r="P311" s="23" t="inlineStr">
        <is>
          <t>Single Carrier (Band n50, 100MHz TDD)</t>
        </is>
      </c>
      <c r="Q311" s="27">
        <f>ROUNDUP(O311/'Methodology &amp; Assumptions'!$B$8, 0)</f>
        <v/>
      </c>
      <c r="R311" s="27" t="n">
        <v>1</v>
      </c>
      <c r="S311" s="26" t="n">
        <v>1.02</v>
      </c>
      <c r="T311" s="26" t="n">
        <v>0.33</v>
      </c>
      <c r="U311" s="11">
        <f>IF(S311&lt;='Methodology &amp; Assumptions'!$B$10, "Direct Optical Drop (&lt;3km)", IF(S311&lt;='Methodology &amp; Assumptions'!$B$9, "Near Optical / Microwave (&lt;5km)", "Starlink Business LEO Satellite Backhaul (&gt;5km)"))</f>
        <v/>
      </c>
      <c r="V311" s="26" t="n">
        <v>77.75</v>
      </c>
      <c r="W311" s="26" t="n">
        <v>41.53</v>
      </c>
      <c r="X311" s="26">
        <f>ROUND(('Methodology &amp; Assumptions'!$B$5*V311) + ('Methodology &amp; Assumptions'!$B$6*W311), 2)</f>
        <v/>
      </c>
      <c r="Y311" s="28" t="n">
        <v>8.300000000000001</v>
      </c>
      <c r="Z311" s="11" t="inlineStr">
        <is>
          <t>Priority Tier 3 (Broadband Expansion)</t>
        </is>
      </c>
    </row>
    <row r="312">
      <c r="A312" s="23" t="n">
        <v>4</v>
      </c>
      <c r="B312" s="23" t="n">
        <v>308</v>
      </c>
      <c r="C312" s="23" t="n">
        <v>3308</v>
      </c>
      <c r="D312" s="23" t="inlineStr">
        <is>
          <t>0604505016</t>
        </is>
      </c>
      <c r="E312" s="11" t="inlineStr">
        <is>
          <t>Region VI (Western Visayas)</t>
        </is>
      </c>
      <c r="F312" s="11" t="inlineStr">
        <is>
          <t>Negros Occidental</t>
        </is>
      </c>
      <c r="G312" s="11" t="inlineStr">
        <is>
          <t>Calatrava</t>
        </is>
      </c>
      <c r="H312" s="11" t="inlineStr">
        <is>
          <t>Lalong</t>
        </is>
      </c>
      <c r="I312" s="24" t="n">
        <v>10.612132</v>
      </c>
      <c r="J312" s="24" t="n">
        <v>123.362007</v>
      </c>
      <c r="K312" s="23" t="inlineStr">
        <is>
          <t>R</t>
        </is>
      </c>
      <c r="L312" s="25" t="n">
        <v>2740</v>
      </c>
      <c r="M312" s="26" t="n">
        <v>3.7</v>
      </c>
      <c r="N312" s="25">
        <f>ROUND(L312/M312, 0)</f>
        <v/>
      </c>
      <c r="O312" s="25">
        <f>ROUND(N312*'Methodology &amp; Assumptions'!$B$7, 0)</f>
        <v/>
      </c>
      <c r="P312" s="23" t="inlineStr">
        <is>
          <t>Single Carrier (Band n50, 100MHz TDD)</t>
        </is>
      </c>
      <c r="Q312" s="27">
        <f>ROUNDUP(O312/'Methodology &amp; Assumptions'!$B$8, 0)</f>
        <v/>
      </c>
      <c r="R312" s="27" t="n">
        <v>1</v>
      </c>
      <c r="S312" s="26" t="n">
        <v>5.32</v>
      </c>
      <c r="T312" s="26" t="n">
        <v>10.81</v>
      </c>
      <c r="U312" s="11">
        <f>IF(S312&lt;='Methodology &amp; Assumptions'!$B$10, "Direct Optical Drop (&lt;3km)", IF(S312&lt;='Methodology &amp; Assumptions'!$B$9, "Near Optical / Microwave (&lt;5km)", "Starlink Business LEO Satellite Backhaul (&gt;5km)"))</f>
        <v/>
      </c>
      <c r="V312" s="26" t="n">
        <v>68.45999999999999</v>
      </c>
      <c r="W312" s="26" t="n">
        <v>50.82</v>
      </c>
      <c r="X312" s="26">
        <f>ROUND(('Methodology &amp; Assumptions'!$B$5*V312) + ('Methodology &amp; Assumptions'!$B$6*W312), 2)</f>
        <v/>
      </c>
      <c r="Y312" s="28" t="n">
        <v>23.7</v>
      </c>
      <c r="Z312" s="11" t="inlineStr">
        <is>
          <t>Priority Tier 3 (Broadband Expansion)</t>
        </is>
      </c>
    </row>
    <row r="313">
      <c r="A313" s="23" t="n">
        <v>4</v>
      </c>
      <c r="B313" s="23" t="n">
        <v>309</v>
      </c>
      <c r="C313" s="23" t="n">
        <v>3309</v>
      </c>
      <c r="D313" s="23" t="inlineStr">
        <is>
          <t>0604528015</t>
        </is>
      </c>
      <c r="E313" s="11" t="inlineStr">
        <is>
          <t>Region VI (Western Visayas)</t>
        </is>
      </c>
      <c r="F313" s="11" t="inlineStr">
        <is>
          <t>Negros Occidental</t>
        </is>
      </c>
      <c r="G313" s="11" t="inlineStr">
        <is>
          <t>City of Talisay</t>
        </is>
      </c>
      <c r="H313" s="11" t="inlineStr">
        <is>
          <t>Zone 12-A</t>
        </is>
      </c>
      <c r="I313" s="24" t="n">
        <v>10.741364</v>
      </c>
      <c r="J313" s="24" t="n">
        <v>122.975855</v>
      </c>
      <c r="K313" s="23" t="inlineStr">
        <is>
          <t>U</t>
        </is>
      </c>
      <c r="L313" s="25" t="n">
        <v>13010</v>
      </c>
      <c r="M313" s="26" t="n">
        <v>3.7</v>
      </c>
      <c r="N313" s="25">
        <f>ROUND(L313/M313, 0)</f>
        <v/>
      </c>
      <c r="O313" s="25">
        <f>ROUND(N313*'Methodology &amp; Assumptions'!$B$7, 0)</f>
        <v/>
      </c>
      <c r="P313" s="23" t="inlineStr">
        <is>
          <t>Single Carrier (Band n50, 100MHz TDD)</t>
        </is>
      </c>
      <c r="Q313" s="27">
        <f>ROUNDUP(O313/'Methodology &amp; Assumptions'!$B$8, 0)</f>
        <v/>
      </c>
      <c r="R313" s="27" t="n">
        <v>1</v>
      </c>
      <c r="S313" s="26" t="n">
        <v>0.9</v>
      </c>
      <c r="T313" s="26" t="n">
        <v>0.75</v>
      </c>
      <c r="U313" s="11">
        <f>IF(S313&lt;='Methodology &amp; Assumptions'!$B$10, "Direct Optical Drop (&lt;3km)", IF(S313&lt;='Methodology &amp; Assumptions'!$B$9, "Near Optical / Microwave (&lt;5km)", "Starlink Business LEO Satellite Backhaul (&gt;5km)"))</f>
        <v/>
      </c>
      <c r="V313" s="26" t="n">
        <v>80.65000000000001</v>
      </c>
      <c r="W313" s="26" t="n">
        <v>38.6</v>
      </c>
      <c r="X313" s="26">
        <f>ROUND(('Methodology &amp; Assumptions'!$B$5*V313) + ('Methodology &amp; Assumptions'!$B$6*W313), 2)</f>
        <v/>
      </c>
      <c r="Y313" s="28" t="n">
        <v>23.7</v>
      </c>
      <c r="Z313" s="11" t="inlineStr">
        <is>
          <t>Priority Tier 3 (Broadband Expansion)</t>
        </is>
      </c>
    </row>
    <row r="314">
      <c r="A314" s="23" t="n">
        <v>4</v>
      </c>
      <c r="B314" s="23" t="n">
        <v>310</v>
      </c>
      <c r="C314" s="23" t="n">
        <v>3310</v>
      </c>
      <c r="D314" s="23" t="inlineStr">
        <is>
          <t>0300804036</t>
        </is>
      </c>
      <c r="E314" s="11" t="inlineStr">
        <is>
          <t>Region III (Central Luzon)</t>
        </is>
      </c>
      <c r="F314" s="11" t="inlineStr">
        <is>
          <t>Bataan</t>
        </is>
      </c>
      <c r="G314" s="11" t="inlineStr">
        <is>
          <t>Dinalupihan</t>
        </is>
      </c>
      <c r="H314" s="11" t="inlineStr">
        <is>
          <t>San Ramon</t>
        </is>
      </c>
      <c r="I314" s="24" t="n">
        <v>14.871218</v>
      </c>
      <c r="J314" s="24" t="n">
        <v>120.459258</v>
      </c>
      <c r="K314" s="23" t="inlineStr">
        <is>
          <t>U</t>
        </is>
      </c>
      <c r="L314" s="25" t="n">
        <v>3953</v>
      </c>
      <c r="M314" s="26" t="n">
        <v>3.6</v>
      </c>
      <c r="N314" s="25">
        <f>ROUND(L314/M314, 0)</f>
        <v/>
      </c>
      <c r="O314" s="25">
        <f>ROUND(N314*'Methodology &amp; Assumptions'!$B$7, 0)</f>
        <v/>
      </c>
      <c r="P314" s="23" t="inlineStr">
        <is>
          <t>Single Carrier (Band n50, 100MHz TDD)</t>
        </is>
      </c>
      <c r="Q314" s="27">
        <f>ROUNDUP(O314/'Methodology &amp; Assumptions'!$B$8, 0)</f>
        <v/>
      </c>
      <c r="R314" s="27" t="n">
        <v>1</v>
      </c>
      <c r="S314" s="26" t="n">
        <v>0.54</v>
      </c>
      <c r="T314" s="26" t="n">
        <v>0.37</v>
      </c>
      <c r="U314" s="11">
        <f>IF(S314&lt;='Methodology &amp; Assumptions'!$B$10, "Direct Optical Drop (&lt;3km)", IF(S314&lt;='Methodology &amp; Assumptions'!$B$9, "Near Optical / Microwave (&lt;5km)", "Starlink Business LEO Satellite Backhaul (&gt;5km)"))</f>
        <v/>
      </c>
      <c r="V314" s="26" t="n">
        <v>78.43000000000001</v>
      </c>
      <c r="W314" s="26" t="n">
        <v>40.83</v>
      </c>
      <c r="X314" s="26">
        <f>ROUND(('Methodology &amp; Assumptions'!$B$5*V314) + ('Methodology &amp; Assumptions'!$B$6*W314), 2)</f>
        <v/>
      </c>
      <c r="Y314" s="28" t="n">
        <v>8.300000000000001</v>
      </c>
      <c r="Z314" s="11" t="inlineStr">
        <is>
          <t>Priority Tier 3 (Broadband Expansion)</t>
        </is>
      </c>
    </row>
    <row r="315">
      <c r="A315" s="23" t="n">
        <v>4</v>
      </c>
      <c r="B315" s="23" t="n">
        <v>311</v>
      </c>
      <c r="C315" s="23" t="n">
        <v>3311</v>
      </c>
      <c r="D315" s="23" t="inlineStr">
        <is>
          <t>0105522018</t>
        </is>
      </c>
      <c r="E315" s="11" t="inlineStr">
        <is>
          <t>Region I (Ilocos Region)</t>
        </is>
      </c>
      <c r="F315" s="11" t="inlineStr">
        <is>
          <t>Pangasinan</t>
        </is>
      </c>
      <c r="G315" s="11" t="inlineStr">
        <is>
          <t>Lingayen</t>
        </is>
      </c>
      <c r="H315" s="11" t="inlineStr">
        <is>
          <t>Libsong West</t>
        </is>
      </c>
      <c r="I315" s="24" t="n">
        <v>16.028687</v>
      </c>
      <c r="J315" s="24" t="n">
        <v>120.236077</v>
      </c>
      <c r="K315" s="23" t="inlineStr">
        <is>
          <t>U</t>
        </is>
      </c>
      <c r="L315" s="25" t="n">
        <v>5327</v>
      </c>
      <c r="M315" s="26" t="n">
        <v>3.6</v>
      </c>
      <c r="N315" s="25">
        <f>ROUND(L315/M315, 0)</f>
        <v/>
      </c>
      <c r="O315" s="25">
        <f>ROUND(N315*'Methodology &amp; Assumptions'!$B$7, 0)</f>
        <v/>
      </c>
      <c r="P315" s="23" t="inlineStr">
        <is>
          <t>Single Carrier (Band n50, 100MHz TDD)</t>
        </is>
      </c>
      <c r="Q315" s="27">
        <f>ROUNDUP(O315/'Methodology &amp; Assumptions'!$B$8, 0)</f>
        <v/>
      </c>
      <c r="R315" s="27" t="n">
        <v>1</v>
      </c>
      <c r="S315" s="26" t="n">
        <v>0.73</v>
      </c>
      <c r="T315" s="26" t="n">
        <v>0.6899999999999999</v>
      </c>
      <c r="U315" s="11">
        <f>IF(S315&lt;='Methodology &amp; Assumptions'!$B$10, "Direct Optical Drop (&lt;3km)", IF(S315&lt;='Methodology &amp; Assumptions'!$B$9, "Near Optical / Microwave (&lt;5km)", "Starlink Business LEO Satellite Backhaul (&gt;5km)"))</f>
        <v/>
      </c>
      <c r="V315" s="26" t="n">
        <v>78.43000000000001</v>
      </c>
      <c r="W315" s="26" t="n">
        <v>40.82</v>
      </c>
      <c r="X315" s="26">
        <f>ROUND(('Methodology &amp; Assumptions'!$B$5*V315) + ('Methodology &amp; Assumptions'!$B$6*W315), 2)</f>
        <v/>
      </c>
      <c r="Y315" s="28" t="n">
        <v>8.300000000000001</v>
      </c>
      <c r="Z315" s="11" t="inlineStr">
        <is>
          <t>Priority Tier 3 (Broadband Expansion)</t>
        </is>
      </c>
    </row>
    <row r="316">
      <c r="A316" s="23" t="n">
        <v>4</v>
      </c>
      <c r="B316" s="23" t="n">
        <v>312</v>
      </c>
      <c r="C316" s="23" t="n">
        <v>3312</v>
      </c>
      <c r="D316" s="23" t="inlineStr">
        <is>
          <t>0405812004</t>
        </is>
      </c>
      <c r="E316" s="11" t="inlineStr">
        <is>
          <t>Region IV-A (CALABARZON)</t>
        </is>
      </c>
      <c r="F316" s="11" t="inlineStr">
        <is>
          <t>Rizal</t>
        </is>
      </c>
      <c r="G316" s="11" t="inlineStr">
        <is>
          <t>Tanay</t>
        </is>
      </c>
      <c r="H316" s="11" t="inlineStr">
        <is>
          <t>Katipunan-Bayan</t>
        </is>
      </c>
      <c r="I316" s="24" t="n">
        <v>14.50204</v>
      </c>
      <c r="J316" s="24" t="n">
        <v>121.28613</v>
      </c>
      <c r="K316" s="23" t="inlineStr">
        <is>
          <t>U</t>
        </is>
      </c>
      <c r="L316" s="25" t="n">
        <v>5840</v>
      </c>
      <c r="M316" s="26" t="n">
        <v>3.6</v>
      </c>
      <c r="N316" s="25">
        <f>ROUND(L316/M316, 0)</f>
        <v/>
      </c>
      <c r="O316" s="25">
        <f>ROUND(N316*'Methodology &amp; Assumptions'!$B$7, 0)</f>
        <v/>
      </c>
      <c r="P316" s="23" t="inlineStr">
        <is>
          <t>Single Carrier (Band n50, 100MHz TDD)</t>
        </is>
      </c>
      <c r="Q316" s="27">
        <f>ROUNDUP(O316/'Methodology &amp; Assumptions'!$B$8, 0)</f>
        <v/>
      </c>
      <c r="R316" s="27" t="n">
        <v>1</v>
      </c>
      <c r="S316" s="26" t="n">
        <v>0.57</v>
      </c>
      <c r="T316" s="26" t="n">
        <v>0.35</v>
      </c>
      <c r="U316" s="11">
        <f>IF(S316&lt;='Methodology &amp; Assumptions'!$B$10, "Direct Optical Drop (&lt;3km)", IF(S316&lt;='Methodology &amp; Assumptions'!$B$9, "Near Optical / Microwave (&lt;5km)", "Starlink Business LEO Satellite Backhaul (&gt;5km)"))</f>
        <v/>
      </c>
      <c r="V316" s="26" t="n">
        <v>78.26000000000001</v>
      </c>
      <c r="W316" s="26" t="n">
        <v>41</v>
      </c>
      <c r="X316" s="26">
        <f>ROUND(('Methodology &amp; Assumptions'!$B$5*V316) + ('Methodology &amp; Assumptions'!$B$6*W316), 2)</f>
        <v/>
      </c>
      <c r="Y316" s="28" t="n">
        <v>7.2</v>
      </c>
      <c r="Z316" s="11" t="inlineStr">
        <is>
          <t>Priority Tier 3 (Broadband Expansion)</t>
        </is>
      </c>
    </row>
    <row r="317">
      <c r="A317" s="23" t="n">
        <v>4</v>
      </c>
      <c r="B317" s="23" t="n">
        <v>313</v>
      </c>
      <c r="C317" s="23" t="n">
        <v>3313</v>
      </c>
      <c r="D317" s="23" t="inlineStr">
        <is>
          <t>0201529013</t>
        </is>
      </c>
      <c r="E317" s="11" t="inlineStr">
        <is>
          <t>Region II (Cagayan Valley)</t>
        </is>
      </c>
      <c r="F317" s="11" t="inlineStr">
        <is>
          <t>Cagayan</t>
        </is>
      </c>
      <c r="G317" s="11" t="inlineStr">
        <is>
          <t>Tuguegarao City</t>
        </is>
      </c>
      <c r="H317" s="11" t="inlineStr">
        <is>
          <t>Centro 10</t>
        </is>
      </c>
      <c r="I317" s="24" t="n">
        <v>17.614</v>
      </c>
      <c r="J317" s="24" t="n">
        <v>121.7313</v>
      </c>
      <c r="K317" s="23" t="inlineStr">
        <is>
          <t>U</t>
        </is>
      </c>
      <c r="L317" s="25" t="n">
        <v>2285</v>
      </c>
      <c r="M317" s="26" t="n">
        <v>3.9</v>
      </c>
      <c r="N317" s="25">
        <f>ROUND(L317/M317, 0)</f>
        <v/>
      </c>
      <c r="O317" s="25">
        <f>ROUND(N317*'Methodology &amp; Assumptions'!$B$7, 0)</f>
        <v/>
      </c>
      <c r="P317" s="23" t="inlineStr">
        <is>
          <t>Single Carrier (Band n50, 100MHz TDD)</t>
        </is>
      </c>
      <c r="Q317" s="27">
        <f>ROUNDUP(O317/'Methodology &amp; Assumptions'!$B$8, 0)</f>
        <v/>
      </c>
      <c r="R317" s="27" t="n">
        <v>1</v>
      </c>
      <c r="S317" s="26" t="n">
        <v>4.48</v>
      </c>
      <c r="T317" s="26" t="n">
        <v>0.18</v>
      </c>
      <c r="U317" s="11">
        <f>IF(S317&lt;='Methodology &amp; Assumptions'!$B$10, "Direct Optical Drop (&lt;3km)", IF(S317&lt;='Methodology &amp; Assumptions'!$B$9, "Near Optical / Microwave (&lt;5km)", "Starlink Business LEO Satellite Backhaul (&gt;5km)"))</f>
        <v/>
      </c>
      <c r="V317" s="26" t="n">
        <v>60.33</v>
      </c>
      <c r="W317" s="26" t="n">
        <v>58.92</v>
      </c>
      <c r="X317" s="26">
        <f>ROUND(('Methodology &amp; Assumptions'!$B$5*V317) + ('Methodology &amp; Assumptions'!$B$6*W317), 2)</f>
        <v/>
      </c>
      <c r="Y317" s="28" t="n">
        <v>8.300000000000001</v>
      </c>
      <c r="Z317" s="11" t="inlineStr">
        <is>
          <t>Priority Tier 3 (Broadband Expansion)</t>
        </is>
      </c>
    </row>
    <row r="318">
      <c r="A318" s="23" t="n">
        <v>4</v>
      </c>
      <c r="B318" s="23" t="n">
        <v>314</v>
      </c>
      <c r="C318" s="23" t="n">
        <v>3314</v>
      </c>
      <c r="D318" s="23" t="inlineStr">
        <is>
          <t>1102315017</t>
        </is>
      </c>
      <c r="E318" s="11" t="inlineStr">
        <is>
          <t>Region XI (Davao Region)</t>
        </is>
      </c>
      <c r="F318" s="11" t="inlineStr">
        <is>
          <t>Davao del Norte</t>
        </is>
      </c>
      <c r="G318" s="11" t="inlineStr">
        <is>
          <t>City of Panabo</t>
        </is>
      </c>
      <c r="H318" s="11" t="inlineStr">
        <is>
          <t>Lower Panaga</t>
        </is>
      </c>
      <c r="I318" s="24" t="n">
        <v>7.428324</v>
      </c>
      <c r="J318" s="24" t="n">
        <v>125.561682</v>
      </c>
      <c r="K318" s="23" t="inlineStr">
        <is>
          <t>R</t>
        </is>
      </c>
      <c r="L318" s="25" t="n">
        <v>1625</v>
      </c>
      <c r="M318" s="26" t="n">
        <v>3.7</v>
      </c>
      <c r="N318" s="25">
        <f>ROUND(L318/M318, 0)</f>
        <v/>
      </c>
      <c r="O318" s="25">
        <f>ROUND(N318*'Methodology &amp; Assumptions'!$B$7, 0)</f>
        <v/>
      </c>
      <c r="P318" s="23" t="inlineStr">
        <is>
          <t>Single Carrier (Band n50, 100MHz TDD)</t>
        </is>
      </c>
      <c r="Q318" s="27">
        <f>ROUNDUP(O318/'Methodology &amp; Assumptions'!$B$8, 0)</f>
        <v/>
      </c>
      <c r="R318" s="27" t="n">
        <v>1</v>
      </c>
      <c r="S318" s="26" t="n">
        <v>17.99</v>
      </c>
      <c r="T318" s="26" t="n">
        <v>17.64</v>
      </c>
      <c r="U318" s="11">
        <f>IF(S318&lt;='Methodology &amp; Assumptions'!$B$10, "Direct Optical Drop (&lt;3km)", IF(S318&lt;='Methodology &amp; Assumptions'!$B$9, "Near Optical / Microwave (&lt;5km)", "Starlink Business LEO Satellite Backhaul (&gt;5km)"))</f>
        <v/>
      </c>
      <c r="V318" s="26" t="n">
        <v>48.97</v>
      </c>
      <c r="W318" s="26" t="n">
        <v>70.28</v>
      </c>
      <c r="X318" s="26">
        <f>ROUND(('Methodology &amp; Assumptions'!$B$5*V318) + ('Methodology &amp; Assumptions'!$B$6*W318), 2)</f>
        <v/>
      </c>
      <c r="Y318" s="28" t="n">
        <v>17.4</v>
      </c>
      <c r="Z318" s="11" t="inlineStr">
        <is>
          <t>Priority Tier 3 (Broadband Expansion)</t>
        </is>
      </c>
    </row>
    <row r="319">
      <c r="A319" s="23" t="n">
        <v>4</v>
      </c>
      <c r="B319" s="23" t="n">
        <v>315</v>
      </c>
      <c r="C319" s="23" t="n">
        <v>3315</v>
      </c>
      <c r="D319" s="23" t="inlineStr">
        <is>
          <t>1380606065</t>
        </is>
      </c>
      <c r="E319" s="11" t="inlineStr">
        <is>
          <t>National Capital Region (NCR)</t>
        </is>
      </c>
      <c r="F319" s="11" t="inlineStr">
        <is>
          <t>First District (Not a Province)</t>
        </is>
      </c>
      <c r="G319" s="11" t="inlineStr">
        <is>
          <t>City of Manila</t>
        </is>
      </c>
      <c r="H319" s="11" t="inlineStr">
        <is>
          <t>Barangay 459</t>
        </is>
      </c>
      <c r="I319" s="24" t="n">
        <v>14.607508</v>
      </c>
      <c r="J319" s="24" t="n">
        <v>120.991575</v>
      </c>
      <c r="K319" s="23" t="inlineStr">
        <is>
          <t>U</t>
        </is>
      </c>
      <c r="L319" s="25" t="n">
        <v>1049</v>
      </c>
      <c r="M319" s="26" t="n">
        <v>4.6</v>
      </c>
      <c r="N319" s="25">
        <f>ROUND(L319/M319, 0)</f>
        <v/>
      </c>
      <c r="O319" s="25">
        <f>ROUND(N319*'Methodology &amp; Assumptions'!$B$7, 0)</f>
        <v/>
      </c>
      <c r="P319" s="23" t="inlineStr">
        <is>
          <t>Single Carrier (Band n50, 100MHz TDD)</t>
        </is>
      </c>
      <c r="Q319" s="27">
        <f>ROUNDUP(O319/'Methodology &amp; Assumptions'!$B$8, 0)</f>
        <v/>
      </c>
      <c r="R319" s="27" t="n">
        <v>1</v>
      </c>
      <c r="S319" s="26" t="n">
        <v>0.49</v>
      </c>
      <c r="T319" s="26" t="n">
        <v>0.1</v>
      </c>
      <c r="U319" s="11">
        <f>IF(S319&lt;='Methodology &amp; Assumptions'!$B$10, "Direct Optical Drop (&lt;3km)", IF(S319&lt;='Methodology &amp; Assumptions'!$B$9, "Near Optical / Microwave (&lt;5km)", "Starlink Business LEO Satellite Backhaul (&gt;5km)"))</f>
        <v/>
      </c>
      <c r="V319" s="26" t="n">
        <v>48.38</v>
      </c>
      <c r="W319" s="26" t="n">
        <v>70.88</v>
      </c>
      <c r="X319" s="26">
        <f>ROUND(('Methodology &amp; Assumptions'!$B$5*V319) + ('Methodology &amp; Assumptions'!$B$6*W319), 2)</f>
        <v/>
      </c>
      <c r="Y319" s="28" t="n">
        <v>10.9</v>
      </c>
      <c r="Z319" s="11" t="inlineStr">
        <is>
          <t>Priority Tier 3 (Broadband Expansion)</t>
        </is>
      </c>
    </row>
    <row r="320">
      <c r="A320" s="23" t="n">
        <v>4</v>
      </c>
      <c r="B320" s="23" t="n">
        <v>316</v>
      </c>
      <c r="C320" s="23" t="n">
        <v>3316</v>
      </c>
      <c r="D320" s="23" t="inlineStr">
        <is>
          <t>1600209009</t>
        </is>
      </c>
      <c r="E320" s="11" t="inlineStr">
        <is>
          <t>Region XIII (Caraga)</t>
        </is>
      </c>
      <c r="F320" s="11" t="inlineStr">
        <is>
          <t>Agusan del Norte</t>
        </is>
      </c>
      <c r="G320" s="11" t="inlineStr">
        <is>
          <t>Nasipit</t>
        </is>
      </c>
      <c r="H320" s="11" t="inlineStr">
        <is>
          <t>Kinabjangan</t>
        </is>
      </c>
      <c r="I320" s="24" t="n">
        <v>8.975118</v>
      </c>
      <c r="J320" s="24" t="n">
        <v>125.357386</v>
      </c>
      <c r="K320" s="23" t="inlineStr">
        <is>
          <t>R</t>
        </is>
      </c>
      <c r="L320" s="25" t="n">
        <v>3980</v>
      </c>
      <c r="M320" s="26" t="n">
        <v>4.1</v>
      </c>
      <c r="N320" s="25">
        <f>ROUND(L320/M320, 0)</f>
        <v/>
      </c>
      <c r="O320" s="25">
        <f>ROUND(N320*'Methodology &amp; Assumptions'!$B$7, 0)</f>
        <v/>
      </c>
      <c r="P320" s="23" t="inlineStr">
        <is>
          <t>Single Carrier (Band n50, 100MHz TDD)</t>
        </is>
      </c>
      <c r="Q320" s="27">
        <f>ROUNDUP(O320/'Methodology &amp; Assumptions'!$B$8, 0)</f>
        <v/>
      </c>
      <c r="R320" s="27" t="n">
        <v>1</v>
      </c>
      <c r="S320" s="26" t="n">
        <v>1.17</v>
      </c>
      <c r="T320" s="26" t="n">
        <v>0.03</v>
      </c>
      <c r="U320" s="11">
        <f>IF(S320&lt;='Methodology &amp; Assumptions'!$B$10, "Direct Optical Drop (&lt;3km)", IF(S320&lt;='Methodology &amp; Assumptions'!$B$9, "Near Optical / Microwave (&lt;5km)", "Starlink Business LEO Satellite Backhaul (&gt;5km)"))</f>
        <v/>
      </c>
      <c r="V320" s="26" t="n">
        <v>85.81</v>
      </c>
      <c r="W320" s="26" t="n">
        <v>33.44</v>
      </c>
      <c r="X320" s="26">
        <f>ROUND(('Methodology &amp; Assumptions'!$B$5*V320) + ('Methodology &amp; Assumptions'!$B$6*W320), 2)</f>
        <v/>
      </c>
      <c r="Y320" s="28" t="n">
        <v>17.4</v>
      </c>
      <c r="Z320" s="11" t="inlineStr">
        <is>
          <t>Priority Tier 3 (Broadband Expansion)</t>
        </is>
      </c>
    </row>
    <row r="321">
      <c r="A321" s="23" t="n">
        <v>4</v>
      </c>
      <c r="B321" s="23" t="n">
        <v>317</v>
      </c>
      <c r="C321" s="23" t="n">
        <v>3317</v>
      </c>
      <c r="D321" s="23" t="inlineStr">
        <is>
          <t>0304908001</t>
        </is>
      </c>
      <c r="E321" s="11" t="inlineStr">
        <is>
          <t>Region III (Central Luzon)</t>
        </is>
      </c>
      <c r="F321" s="11" t="inlineStr">
        <is>
          <t>Nueva Ecija</t>
        </is>
      </c>
      <c r="G321" s="11" t="inlineStr">
        <is>
          <t>City of Gapan</t>
        </is>
      </c>
      <c r="H321" s="11" t="inlineStr">
        <is>
          <t>Bayanihan</t>
        </is>
      </c>
      <c r="I321" s="24" t="n">
        <v>15.296537</v>
      </c>
      <c r="J321" s="24" t="n">
        <v>120.948567</v>
      </c>
      <c r="K321" s="23" t="inlineStr">
        <is>
          <t>U</t>
        </is>
      </c>
      <c r="L321" s="25" t="n">
        <v>5999</v>
      </c>
      <c r="M321" s="26" t="n">
        <v>3.5</v>
      </c>
      <c r="N321" s="25">
        <f>ROUND(L321/M321, 0)</f>
        <v/>
      </c>
      <c r="O321" s="25">
        <f>ROUND(N321*'Methodology &amp; Assumptions'!$B$7, 0)</f>
        <v/>
      </c>
      <c r="P321" s="23" t="inlineStr">
        <is>
          <t>Single Carrier (Band n50, 100MHz TDD)</t>
        </is>
      </c>
      <c r="Q321" s="27">
        <f>ROUNDUP(O321/'Methodology &amp; Assumptions'!$B$8, 0)</f>
        <v/>
      </c>
      <c r="R321" s="27" t="n">
        <v>1</v>
      </c>
      <c r="S321" s="26" t="n">
        <v>0.02</v>
      </c>
      <c r="T321" s="26" t="n">
        <v>0.06</v>
      </c>
      <c r="U321" s="11">
        <f>IF(S321&lt;='Methodology &amp; Assumptions'!$B$10, "Direct Optical Drop (&lt;3km)", IF(S321&lt;='Methodology &amp; Assumptions'!$B$9, "Near Optical / Microwave (&lt;5km)", "Starlink Business LEO Satellite Backhaul (&gt;5km)"))</f>
        <v/>
      </c>
      <c r="V321" s="26" t="n">
        <v>78.43000000000001</v>
      </c>
      <c r="W321" s="26" t="n">
        <v>40.81</v>
      </c>
      <c r="X321" s="26">
        <f>ROUND(('Methodology &amp; Assumptions'!$B$5*V321) + ('Methodology &amp; Assumptions'!$B$6*W321), 2)</f>
        <v/>
      </c>
      <c r="Y321" s="28" t="n">
        <v>8.300000000000001</v>
      </c>
      <c r="Z321" s="11" t="inlineStr">
        <is>
          <t>Priority Tier 3 (Broadband Expansion)</t>
        </is>
      </c>
    </row>
    <row r="322">
      <c r="A322" s="23" t="n">
        <v>4</v>
      </c>
      <c r="B322" s="23" t="n">
        <v>318</v>
      </c>
      <c r="C322" s="23" t="n">
        <v>3318</v>
      </c>
      <c r="D322" s="23" t="inlineStr">
        <is>
          <t>0305403025</t>
        </is>
      </c>
      <c r="E322" s="11" t="inlineStr">
        <is>
          <t>Region III (Central Luzon)</t>
        </is>
      </c>
      <c r="F322" s="11" t="inlineStr">
        <is>
          <t>Pampanga</t>
        </is>
      </c>
      <c r="G322" s="11" t="inlineStr">
        <is>
          <t>Arayat</t>
        </is>
      </c>
      <c r="H322" s="11" t="inlineStr">
        <is>
          <t>San Jose Mesulo</t>
        </is>
      </c>
      <c r="I322" s="24" t="n">
        <v>15.142245</v>
      </c>
      <c r="J322" s="24" t="n">
        <v>120.773632</v>
      </c>
      <c r="K322" s="23" t="inlineStr">
        <is>
          <t>U</t>
        </is>
      </c>
      <c r="L322" s="25" t="n">
        <v>5717</v>
      </c>
      <c r="M322" s="26" t="n">
        <v>4</v>
      </c>
      <c r="N322" s="25">
        <f>ROUND(L322/M322, 0)</f>
        <v/>
      </c>
      <c r="O322" s="25">
        <f>ROUND(N322*'Methodology &amp; Assumptions'!$B$7, 0)</f>
        <v/>
      </c>
      <c r="P322" s="23" t="inlineStr">
        <is>
          <t>Single Carrier (Band n50, 100MHz TDD)</t>
        </is>
      </c>
      <c r="Q322" s="27">
        <f>ROUNDUP(O322/'Methodology &amp; Assumptions'!$B$8, 0)</f>
        <v/>
      </c>
      <c r="R322" s="27" t="n">
        <v>1</v>
      </c>
      <c r="S322" s="26" t="n">
        <v>0.21</v>
      </c>
      <c r="T322" s="26" t="n">
        <v>0.17</v>
      </c>
      <c r="U322" s="11">
        <f>IF(S322&lt;='Methodology &amp; Assumptions'!$B$10, "Direct Optical Drop (&lt;3km)", IF(S322&lt;='Methodology &amp; Assumptions'!$B$9, "Near Optical / Microwave (&lt;5km)", "Starlink Business LEO Satellite Backhaul (&gt;5km)"))</f>
        <v/>
      </c>
      <c r="V322" s="26" t="n">
        <v>78.43000000000001</v>
      </c>
      <c r="W322" s="26" t="n">
        <v>40.81</v>
      </c>
      <c r="X322" s="26">
        <f>ROUND(('Methodology &amp; Assumptions'!$B$5*V322) + ('Methodology &amp; Assumptions'!$B$6*W322), 2)</f>
        <v/>
      </c>
      <c r="Y322" s="28" t="n">
        <v>8.300000000000001</v>
      </c>
      <c r="Z322" s="11" t="inlineStr">
        <is>
          <t>Priority Tier 3 (Broadband Expansion)</t>
        </is>
      </c>
    </row>
    <row r="323">
      <c r="A323" s="23" t="n">
        <v>4</v>
      </c>
      <c r="B323" s="23" t="n">
        <v>319</v>
      </c>
      <c r="C323" s="23" t="n">
        <v>3319</v>
      </c>
      <c r="D323" s="23" t="inlineStr">
        <is>
          <t>0304926023</t>
        </is>
      </c>
      <c r="E323" s="11" t="inlineStr">
        <is>
          <t>Region III (Central Luzon)</t>
        </is>
      </c>
      <c r="F323" s="11" t="inlineStr">
        <is>
          <t>Nueva Ecija</t>
        </is>
      </c>
      <c r="G323" s="11" t="inlineStr">
        <is>
          <t>San Jose City</t>
        </is>
      </c>
      <c r="H323" s="11" t="inlineStr">
        <is>
          <t>Crisanto Sanchez Pob.</t>
        </is>
      </c>
      <c r="I323" s="24" t="n">
        <v>15.790686</v>
      </c>
      <c r="J323" s="24" t="n">
        <v>120.995064</v>
      </c>
      <c r="K323" s="23" t="inlineStr">
        <is>
          <t>R</t>
        </is>
      </c>
      <c r="L323" s="25" t="n">
        <v>1235</v>
      </c>
      <c r="M323" s="26" t="n">
        <v>3.5</v>
      </c>
      <c r="N323" s="25">
        <f>ROUND(L323/M323, 0)</f>
        <v/>
      </c>
      <c r="O323" s="25">
        <f>ROUND(N323*'Methodology &amp; Assumptions'!$B$7, 0)</f>
        <v/>
      </c>
      <c r="P323" s="23" t="inlineStr">
        <is>
          <t>Single Carrier (Band n50, 100MHz TDD)</t>
        </is>
      </c>
      <c r="Q323" s="27">
        <f>ROUNDUP(O323/'Methodology &amp; Assumptions'!$B$8, 0)</f>
        <v/>
      </c>
      <c r="R323" s="27" t="n">
        <v>1</v>
      </c>
      <c r="S323" s="26" t="n">
        <v>0.89</v>
      </c>
      <c r="T323" s="26" t="n">
        <v>0.46</v>
      </c>
      <c r="U323" s="11">
        <f>IF(S323&lt;='Methodology &amp; Assumptions'!$B$10, "Direct Optical Drop (&lt;3km)", IF(S323&lt;='Methodology &amp; Assumptions'!$B$9, "Near Optical / Microwave (&lt;5km)", "Starlink Business LEO Satellite Backhaul (&gt;5km)"))</f>
        <v/>
      </c>
      <c r="V323" s="26" t="n">
        <v>70.31</v>
      </c>
      <c r="W323" s="26" t="n">
        <v>48.93</v>
      </c>
      <c r="X323" s="26">
        <f>ROUND(('Methodology &amp; Assumptions'!$B$5*V323) + ('Methodology &amp; Assumptions'!$B$6*W323), 2)</f>
        <v/>
      </c>
      <c r="Y323" s="28" t="n">
        <v>8.300000000000001</v>
      </c>
      <c r="Z323" s="11" t="inlineStr">
        <is>
          <t>Priority Tier 3 (Broadband Expansion)</t>
        </is>
      </c>
    </row>
    <row r="324">
      <c r="A324" s="23" t="n">
        <v>4</v>
      </c>
      <c r="B324" s="23" t="n">
        <v>320</v>
      </c>
      <c r="C324" s="23" t="n">
        <v>3320</v>
      </c>
      <c r="D324" s="23" t="inlineStr">
        <is>
          <t>1908705001</t>
        </is>
      </c>
      <c r="E324" s="11" t="inlineStr">
        <is>
          <t>Bangsamoro Autonomous Region In Muslim Mindanao (BARMM)</t>
        </is>
      </c>
      <c r="F324" s="11" t="inlineStr">
        <is>
          <t>Maguindanao del Norte</t>
        </is>
      </c>
      <c r="G324" s="11" t="inlineStr">
        <is>
          <t>Datu Odin Sinsuat</t>
        </is>
      </c>
      <c r="H324" s="11" t="inlineStr">
        <is>
          <t>Ambolodto</t>
        </is>
      </c>
      <c r="I324" s="24" t="n">
        <v>7.055132</v>
      </c>
      <c r="J324" s="24" t="n">
        <v>124.350466</v>
      </c>
      <c r="K324" s="23" t="inlineStr">
        <is>
          <t>R</t>
        </is>
      </c>
      <c r="L324" s="25" t="n">
        <v>3188</v>
      </c>
      <c r="M324" s="26" t="n">
        <v>4.3</v>
      </c>
      <c r="N324" s="25">
        <f>ROUND(L324/M324, 0)</f>
        <v/>
      </c>
      <c r="O324" s="25">
        <f>ROUND(N324*'Methodology &amp; Assumptions'!$B$7, 0)</f>
        <v/>
      </c>
      <c r="P324" s="23" t="inlineStr">
        <is>
          <t>Single Carrier (Band n50, 100MHz TDD)</t>
        </is>
      </c>
      <c r="Q324" s="27">
        <f>ROUNDUP(O324/'Methodology &amp; Assumptions'!$B$8, 0)</f>
        <v/>
      </c>
      <c r="R324" s="27" t="n">
        <v>1</v>
      </c>
      <c r="S324" s="26" t="n">
        <v>51.91</v>
      </c>
      <c r="T324" s="26" t="n">
        <v>50.7</v>
      </c>
      <c r="U324" s="11">
        <f>IF(S324&lt;='Methodology &amp; Assumptions'!$B$10, "Direct Optical Drop (&lt;3km)", IF(S324&lt;='Methodology &amp; Assumptions'!$B$9, "Near Optical / Microwave (&lt;5km)", "Starlink Business LEO Satellite Backhaul (&gt;5km)"))</f>
        <v/>
      </c>
      <c r="V324" s="26" t="n">
        <v>54.83</v>
      </c>
      <c r="W324" s="26" t="n">
        <v>64.42</v>
      </c>
      <c r="X324" s="26">
        <f>ROUND(('Methodology &amp; Assumptions'!$B$5*V324) + ('Methodology &amp; Assumptions'!$B$6*W324), 2)</f>
        <v/>
      </c>
      <c r="Y324" s="28" t="n">
        <v>11</v>
      </c>
      <c r="Z324" s="11" t="inlineStr">
        <is>
          <t>Priority Tier 3 (Broadband Expansion)</t>
        </is>
      </c>
    </row>
    <row r="325">
      <c r="A325" s="23" t="n">
        <v>4</v>
      </c>
      <c r="B325" s="23" t="n">
        <v>321</v>
      </c>
      <c r="C325" s="23" t="n">
        <v>3321</v>
      </c>
      <c r="D325" s="23" t="inlineStr">
        <is>
          <t>0501602018</t>
        </is>
      </c>
      <c r="E325" s="11" t="inlineStr">
        <is>
          <t>Region V (Bicol Region)</t>
        </is>
      </c>
      <c r="F325" s="11" t="inlineStr">
        <is>
          <t>Camarines Norte</t>
        </is>
      </c>
      <c r="G325" s="11" t="inlineStr">
        <is>
          <t>Capalonga</t>
        </is>
      </c>
      <c r="H325" s="11" t="inlineStr">
        <is>
          <t>San Roque</t>
        </is>
      </c>
      <c r="I325" s="24" t="n">
        <v>14.3174</v>
      </c>
      <c r="J325" s="24" t="n">
        <v>122.5585</v>
      </c>
      <c r="K325" s="23" t="inlineStr">
        <is>
          <t>R</t>
        </is>
      </c>
      <c r="L325" s="25" t="n">
        <v>1011</v>
      </c>
      <c r="M325" s="26" t="n">
        <v>4</v>
      </c>
      <c r="N325" s="25">
        <f>ROUND(L325/M325, 0)</f>
        <v/>
      </c>
      <c r="O325" s="25">
        <f>ROUND(N325*'Methodology &amp; Assumptions'!$B$7, 0)</f>
        <v/>
      </c>
      <c r="P325" s="23" t="inlineStr">
        <is>
          <t>Single Carrier (Band n50, 100MHz TDD)</t>
        </is>
      </c>
      <c r="Q325" s="27">
        <f>ROUNDUP(O325/'Methodology &amp; Assumptions'!$B$8, 0)</f>
        <v/>
      </c>
      <c r="R325" s="27" t="n">
        <v>1</v>
      </c>
      <c r="S325" s="26" t="n">
        <v>9.91</v>
      </c>
      <c r="T325" s="26" t="n">
        <v>15.11</v>
      </c>
      <c r="U325" s="11">
        <f>IF(S325&lt;='Methodology &amp; Assumptions'!$B$10, "Direct Optical Drop (&lt;3km)", IF(S325&lt;='Methodology &amp; Assumptions'!$B$9, "Near Optical / Microwave (&lt;5km)", "Starlink Business LEO Satellite Backhaul (&gt;5km)"))</f>
        <v/>
      </c>
      <c r="V325" s="26" t="n">
        <v>48.74</v>
      </c>
      <c r="W325" s="26" t="n">
        <v>70.5</v>
      </c>
      <c r="X325" s="26">
        <f>ROUND(('Methodology &amp; Assumptions'!$B$5*V325) + ('Methodology &amp; Assumptions'!$B$6*W325), 2)</f>
        <v/>
      </c>
      <c r="Y325" s="28" t="n">
        <v>23.7</v>
      </c>
      <c r="Z325" s="11" t="inlineStr">
        <is>
          <t>Priority Tier 3 (Broadband Expansion)</t>
        </is>
      </c>
    </row>
    <row r="326">
      <c r="A326" s="23" t="n">
        <v>4</v>
      </c>
      <c r="B326" s="23" t="n">
        <v>322</v>
      </c>
      <c r="C326" s="23" t="n">
        <v>3322</v>
      </c>
      <c r="D326" s="23" t="inlineStr">
        <is>
          <t>0806024007</t>
        </is>
      </c>
      <c r="E326" s="11" t="inlineStr">
        <is>
          <t>Region VIII (Eastern Visayas)</t>
        </is>
      </c>
      <c r="F326" s="11" t="inlineStr">
        <is>
          <t>Samar</t>
        </is>
      </c>
      <c r="G326" s="11" t="inlineStr">
        <is>
          <t>Tagapul-An</t>
        </is>
      </c>
      <c r="H326" s="11" t="inlineStr">
        <is>
          <t>Nipa</t>
        </is>
      </c>
      <c r="I326" s="24" t="n">
        <v>12.076351</v>
      </c>
      <c r="J326" s="24" t="n">
        <v>124.194546</v>
      </c>
      <c r="K326" s="23" t="inlineStr">
        <is>
          <t>R</t>
        </is>
      </c>
      <c r="L326" s="25" t="n">
        <v>1019</v>
      </c>
      <c r="M326" s="26" t="n">
        <v>4.1</v>
      </c>
      <c r="N326" s="25">
        <f>ROUND(L326/M326, 0)</f>
        <v/>
      </c>
      <c r="O326" s="25">
        <f>ROUND(N326*'Methodology &amp; Assumptions'!$B$7, 0)</f>
        <v/>
      </c>
      <c r="P326" s="23" t="inlineStr">
        <is>
          <t>Single Carrier (Band n50, 100MHz TDD)</t>
        </is>
      </c>
      <c r="Q326" s="27">
        <f>ROUNDUP(O326/'Methodology &amp; Assumptions'!$B$8, 0)</f>
        <v/>
      </c>
      <c r="R326" s="27" t="n">
        <v>1</v>
      </c>
      <c r="S326" s="26" t="n">
        <v>38.53</v>
      </c>
      <c r="T326" s="26" t="n">
        <v>58.02</v>
      </c>
      <c r="U326" s="11">
        <f>IF(S326&lt;='Methodology &amp; Assumptions'!$B$10, "Direct Optical Drop (&lt;3km)", IF(S326&lt;='Methodology &amp; Assumptions'!$B$9, "Near Optical / Microwave (&lt;5km)", "Starlink Business LEO Satellite Backhaul (&gt;5km)"))</f>
        <v/>
      </c>
      <c r="V326" s="26" t="n">
        <v>47.56</v>
      </c>
      <c r="W326" s="26" t="n">
        <v>71.68000000000001</v>
      </c>
      <c r="X326" s="26">
        <f>ROUND(('Methodology &amp; Assumptions'!$B$5*V326) + ('Methodology &amp; Assumptions'!$B$6*W326), 2)</f>
        <v/>
      </c>
      <c r="Y326" s="28" t="n">
        <v>23.7</v>
      </c>
      <c r="Z326" s="11" t="inlineStr">
        <is>
          <t>Priority Tier 3 (Broadband Expansion)</t>
        </is>
      </c>
    </row>
    <row r="327">
      <c r="A327" s="23" t="n">
        <v>4</v>
      </c>
      <c r="B327" s="23" t="n">
        <v>323</v>
      </c>
      <c r="C327" s="23" t="n">
        <v>3323</v>
      </c>
      <c r="D327" s="23" t="inlineStr">
        <is>
          <t>0502011020</t>
        </is>
      </c>
      <c r="E327" s="11" t="inlineStr">
        <is>
          <t>Region V (Bicol Region)</t>
        </is>
      </c>
      <c r="F327" s="11" t="inlineStr">
        <is>
          <t>Catanduanes</t>
        </is>
      </c>
      <c r="G327" s="11" t="inlineStr">
        <is>
          <t>Virac</t>
        </is>
      </c>
      <c r="H327" s="11" t="inlineStr">
        <is>
          <t>Dugui San Vicente</t>
        </is>
      </c>
      <c r="I327" s="24" t="n">
        <v>13.669875</v>
      </c>
      <c r="J327" s="24" t="n">
        <v>124.155976</v>
      </c>
      <c r="K327" s="23" t="inlineStr">
        <is>
          <t>R</t>
        </is>
      </c>
      <c r="L327" s="25" t="n">
        <v>628</v>
      </c>
      <c r="M327" s="26" t="n">
        <v>4.2</v>
      </c>
      <c r="N327" s="25">
        <f>ROUND(L327/M327, 0)</f>
        <v/>
      </c>
      <c r="O327" s="25">
        <f>ROUND(N327*'Methodology &amp; Assumptions'!$B$7, 0)</f>
        <v/>
      </c>
      <c r="P327" s="23" t="inlineStr">
        <is>
          <t>Single Carrier (Band n50, 100MHz TDD)</t>
        </is>
      </c>
      <c r="Q327" s="27">
        <f>ROUNDUP(O327/'Methodology &amp; Assumptions'!$B$8, 0)</f>
        <v/>
      </c>
      <c r="R327" s="27" t="n">
        <v>1</v>
      </c>
      <c r="S327" s="26" t="n">
        <v>33.67</v>
      </c>
      <c r="T327" s="26" t="n">
        <v>56.28</v>
      </c>
      <c r="U327" s="11">
        <f>IF(S327&lt;='Methodology &amp; Assumptions'!$B$10, "Direct Optical Drop (&lt;3km)", IF(S327&lt;='Methodology &amp; Assumptions'!$B$9, "Near Optical / Microwave (&lt;5km)", "Starlink Business LEO Satellite Backhaul (&gt;5km)"))</f>
        <v/>
      </c>
      <c r="V327" s="26" t="n">
        <v>40.77</v>
      </c>
      <c r="W327" s="26" t="n">
        <v>78.48</v>
      </c>
      <c r="X327" s="26">
        <f>ROUND(('Methodology &amp; Assumptions'!$B$5*V327) + ('Methodology &amp; Assumptions'!$B$6*W327), 2)</f>
        <v/>
      </c>
      <c r="Y327" s="28" t="n">
        <v>23.7</v>
      </c>
      <c r="Z327" s="11" t="inlineStr">
        <is>
          <t>Priority Tier 3 (Broadband Expansion)</t>
        </is>
      </c>
    </row>
    <row r="328">
      <c r="A328" s="23" t="n">
        <v>4</v>
      </c>
      <c r="B328" s="23" t="n">
        <v>324</v>
      </c>
      <c r="C328" s="23" t="n">
        <v>3324</v>
      </c>
      <c r="D328" s="23" t="inlineStr">
        <is>
          <t>0205005025</t>
        </is>
      </c>
      <c r="E328" s="11" t="inlineStr">
        <is>
          <t>Region II (Cagayan Valley)</t>
        </is>
      </c>
      <c r="F328" s="11" t="inlineStr">
        <is>
          <t>Nueva Vizcaya</t>
        </is>
      </c>
      <c r="G328" s="11" t="inlineStr">
        <is>
          <t>Bayombong</t>
        </is>
      </c>
      <c r="H328" s="11" t="inlineStr">
        <is>
          <t>Salvacion</t>
        </is>
      </c>
      <c r="I328" s="24" t="n">
        <v>16.478533</v>
      </c>
      <c r="J328" s="24" t="n">
        <v>121.149388</v>
      </c>
      <c r="K328" s="23" t="inlineStr">
        <is>
          <t>R</t>
        </is>
      </c>
      <c r="L328" s="25" t="n">
        <v>4495</v>
      </c>
      <c r="M328" s="26" t="n">
        <v>3.8</v>
      </c>
      <c r="N328" s="25">
        <f>ROUND(L328/M328, 0)</f>
        <v/>
      </c>
      <c r="O328" s="25">
        <f>ROUND(N328*'Methodology &amp; Assumptions'!$B$7, 0)</f>
        <v/>
      </c>
      <c r="P328" s="23" t="inlineStr">
        <is>
          <t>Single Carrier (Band n50, 100MHz TDD)</t>
        </is>
      </c>
      <c r="Q328" s="27">
        <f>ROUNDUP(O328/'Methodology &amp; Assumptions'!$B$8, 0)</f>
        <v/>
      </c>
      <c r="R328" s="27" t="n">
        <v>1</v>
      </c>
      <c r="S328" s="26" t="n">
        <v>1.05</v>
      </c>
      <c r="T328" s="26" t="n">
        <v>1.02</v>
      </c>
      <c r="U328" s="11">
        <f>IF(S328&lt;='Methodology &amp; Assumptions'!$B$10, "Direct Optical Drop (&lt;3km)", IF(S328&lt;='Methodology &amp; Assumptions'!$B$9, "Near Optical / Microwave (&lt;5km)", "Starlink Business LEO Satellite Backhaul (&gt;5km)"))</f>
        <v/>
      </c>
      <c r="V328" s="26" t="n">
        <v>84.83</v>
      </c>
      <c r="W328" s="26" t="n">
        <v>34.39</v>
      </c>
      <c r="X328" s="26">
        <f>ROUND(('Methodology &amp; Assumptions'!$B$5*V328) + ('Methodology &amp; Assumptions'!$B$6*W328), 2)</f>
        <v/>
      </c>
      <c r="Y328" s="28" t="n">
        <v>8.300000000000001</v>
      </c>
      <c r="Z328" s="11" t="inlineStr">
        <is>
          <t>Priority Tier 3 (Broadband Expansion)</t>
        </is>
      </c>
    </row>
    <row r="329">
      <c r="A329" s="23" t="n">
        <v>4</v>
      </c>
      <c r="B329" s="23" t="n">
        <v>325</v>
      </c>
      <c r="C329" s="23" t="n">
        <v>3325</v>
      </c>
      <c r="D329" s="23" t="inlineStr">
        <is>
          <t>0401005082</t>
        </is>
      </c>
      <c r="E329" s="11" t="inlineStr">
        <is>
          <t>Region IV-A (CALABARZON)</t>
        </is>
      </c>
      <c r="F329" s="11" t="inlineStr">
        <is>
          <t>Batangas</t>
        </is>
      </c>
      <c r="G329" s="11" t="inlineStr">
        <is>
          <t>Batangas City</t>
        </is>
      </c>
      <c r="H329" s="11" t="inlineStr">
        <is>
          <t>Sampaga</t>
        </is>
      </c>
      <c r="I329" s="24" t="n">
        <v>13.755672</v>
      </c>
      <c r="J329" s="24" t="n">
        <v>121.104466</v>
      </c>
      <c r="K329" s="23" t="inlineStr">
        <is>
          <t>R</t>
        </is>
      </c>
      <c r="L329" s="25" t="n">
        <v>4590</v>
      </c>
      <c r="M329" s="26" t="n">
        <v>3.6</v>
      </c>
      <c r="N329" s="25">
        <f>ROUND(L329/M329, 0)</f>
        <v/>
      </c>
      <c r="O329" s="25">
        <f>ROUND(N329*'Methodology &amp; Assumptions'!$B$7, 0)</f>
        <v/>
      </c>
      <c r="P329" s="23" t="inlineStr">
        <is>
          <t>Single Carrier (Band n50, 100MHz TDD)</t>
        </is>
      </c>
      <c r="Q329" s="27">
        <f>ROUNDUP(O329/'Methodology &amp; Assumptions'!$B$8, 0)</f>
        <v/>
      </c>
      <c r="R329" s="27" t="n">
        <v>1</v>
      </c>
      <c r="S329" s="26" t="n">
        <v>0.51</v>
      </c>
      <c r="T329" s="26" t="n">
        <v>4.12</v>
      </c>
      <c r="U329" s="11">
        <f>IF(S329&lt;='Methodology &amp; Assumptions'!$B$10, "Direct Optical Drop (&lt;3km)", IF(S329&lt;='Methodology &amp; Assumptions'!$B$9, "Near Optical / Microwave (&lt;5km)", "Starlink Business LEO Satellite Backhaul (&gt;5km)"))</f>
        <v/>
      </c>
      <c r="V329" s="26" t="n">
        <v>83.31</v>
      </c>
      <c r="W329" s="26" t="n">
        <v>35.92</v>
      </c>
      <c r="X329" s="26">
        <f>ROUND(('Methodology &amp; Assumptions'!$B$5*V329) + ('Methodology &amp; Assumptions'!$B$6*W329), 2)</f>
        <v/>
      </c>
      <c r="Y329" s="28" t="n">
        <v>7.2</v>
      </c>
      <c r="Z329" s="11" t="inlineStr">
        <is>
          <t>Priority Tier 3 (Broadband Expansion)</t>
        </is>
      </c>
    </row>
    <row r="330">
      <c r="A330" s="23" t="n">
        <v>4</v>
      </c>
      <c r="B330" s="23" t="n">
        <v>326</v>
      </c>
      <c r="C330" s="23" t="n">
        <v>3326</v>
      </c>
      <c r="D330" s="23" t="inlineStr">
        <is>
          <t>0305410006</t>
        </is>
      </c>
      <c r="E330" s="11" t="inlineStr">
        <is>
          <t>Region III (Central Luzon)</t>
        </is>
      </c>
      <c r="F330" s="11" t="inlineStr">
        <is>
          <t>Pampanga</t>
        </is>
      </c>
      <c r="G330" s="11" t="inlineStr">
        <is>
          <t>Macabebe</t>
        </is>
      </c>
      <c r="H330" s="11" t="inlineStr">
        <is>
          <t>Dalayap</t>
        </is>
      </c>
      <c r="I330" s="24" t="n">
        <v>15.01827</v>
      </c>
      <c r="J330" s="24" t="n">
        <v>120.866834</v>
      </c>
      <c r="K330" s="23" t="inlineStr">
        <is>
          <t>R</t>
        </is>
      </c>
      <c r="L330" s="25" t="n">
        <v>2831</v>
      </c>
      <c r="M330" s="26" t="n">
        <v>4</v>
      </c>
      <c r="N330" s="25">
        <f>ROUND(L330/M330, 0)</f>
        <v/>
      </c>
      <c r="O330" s="25">
        <f>ROUND(N330*'Methodology &amp; Assumptions'!$B$7, 0)</f>
        <v/>
      </c>
      <c r="P330" s="23" t="inlineStr">
        <is>
          <t>Single Carrier (Band n50, 100MHz TDD)</t>
        </is>
      </c>
      <c r="Q330" s="27">
        <f>ROUNDUP(O330/'Methodology &amp; Assumptions'!$B$8, 0)</f>
        <v/>
      </c>
      <c r="R330" s="27" t="n">
        <v>1</v>
      </c>
      <c r="S330" s="26" t="n">
        <v>0.5</v>
      </c>
      <c r="T330" s="26" t="n">
        <v>0.03</v>
      </c>
      <c r="U330" s="11">
        <f>IF(S330&lt;='Methodology &amp; Assumptions'!$B$10, "Direct Optical Drop (&lt;3km)", IF(S330&lt;='Methodology &amp; Assumptions'!$B$9, "Near Optical / Microwave (&lt;5km)", "Starlink Business LEO Satellite Backhaul (&gt;5km)"))</f>
        <v/>
      </c>
      <c r="V330" s="26" t="n">
        <v>81.98999999999999</v>
      </c>
      <c r="W330" s="26" t="n">
        <v>37.23</v>
      </c>
      <c r="X330" s="26">
        <f>ROUND(('Methodology &amp; Assumptions'!$B$5*V330) + ('Methodology &amp; Assumptions'!$B$6*W330), 2)</f>
        <v/>
      </c>
      <c r="Y330" s="28" t="n">
        <v>8.300000000000001</v>
      </c>
      <c r="Z330" s="11" t="inlineStr">
        <is>
          <t>Priority Tier 3 (Broadband Expansion)</t>
        </is>
      </c>
    </row>
    <row r="331">
      <c r="A331" s="23" t="n">
        <v>4</v>
      </c>
      <c r="B331" s="23" t="n">
        <v>327</v>
      </c>
      <c r="C331" s="23" t="n">
        <v>3327</v>
      </c>
      <c r="D331" s="23" t="inlineStr">
        <is>
          <t>0402108004</t>
        </is>
      </c>
      <c r="E331" s="11" t="inlineStr">
        <is>
          <t>Region IV-A (CALABARZON)</t>
        </is>
      </c>
      <c r="F331" s="11" t="inlineStr">
        <is>
          <t>Cavite</t>
        </is>
      </c>
      <c r="G331" s="11" t="inlineStr">
        <is>
          <t>City of General Trias</t>
        </is>
      </c>
      <c r="H331" s="11" t="inlineStr">
        <is>
          <t>Sampalucan Pob.</t>
        </is>
      </c>
      <c r="I331" s="24" t="n">
        <v>14.387388</v>
      </c>
      <c r="J331" s="24" t="n">
        <v>120.880935</v>
      </c>
      <c r="K331" s="23" t="inlineStr">
        <is>
          <t>R</t>
        </is>
      </c>
      <c r="L331" s="25" t="n">
        <v>796</v>
      </c>
      <c r="M331" s="26" t="n">
        <v>3.4</v>
      </c>
      <c r="N331" s="25">
        <f>ROUND(L331/M331, 0)</f>
        <v/>
      </c>
      <c r="O331" s="25">
        <f>ROUND(N331*'Methodology &amp; Assumptions'!$B$7, 0)</f>
        <v/>
      </c>
      <c r="P331" s="23" t="inlineStr">
        <is>
          <t>Single Carrier (Band n50, 100MHz TDD)</t>
        </is>
      </c>
      <c r="Q331" s="27">
        <f>ROUNDUP(O331/'Methodology &amp; Assumptions'!$B$8, 0)</f>
        <v/>
      </c>
      <c r="R331" s="27" t="n">
        <v>1</v>
      </c>
      <c r="S331" s="26" t="n">
        <v>1.7</v>
      </c>
      <c r="T331" s="26" t="n">
        <v>1.76</v>
      </c>
      <c r="U331" s="11">
        <f>IF(S331&lt;='Methodology &amp; Assumptions'!$B$10, "Direct Optical Drop (&lt;3km)", IF(S331&lt;='Methodology &amp; Assumptions'!$B$9, "Near Optical / Microwave (&lt;5km)", "Starlink Business LEO Satellite Backhaul (&gt;5km)"))</f>
        <v/>
      </c>
      <c r="V331" s="26" t="n">
        <v>63.27</v>
      </c>
      <c r="W331" s="26" t="n">
        <v>55.95</v>
      </c>
      <c r="X331" s="26">
        <f>ROUND(('Methodology &amp; Assumptions'!$B$5*V331) + ('Methodology &amp; Assumptions'!$B$6*W331), 2)</f>
        <v/>
      </c>
      <c r="Y331" s="28" t="n">
        <v>7.2</v>
      </c>
      <c r="Z331" s="11" t="inlineStr">
        <is>
          <t>Priority Tier 3 (Broadband Expansion)</t>
        </is>
      </c>
    </row>
    <row r="332">
      <c r="A332" s="23" t="n">
        <v>4</v>
      </c>
      <c r="B332" s="23" t="n">
        <v>328</v>
      </c>
      <c r="C332" s="23" t="n">
        <v>3328</v>
      </c>
      <c r="D332" s="23" t="inlineStr">
        <is>
          <t>0402108008</t>
        </is>
      </c>
      <c r="E332" s="11" t="inlineStr">
        <is>
          <t>Region IV-A (CALABARZON)</t>
        </is>
      </c>
      <c r="F332" s="11" t="inlineStr">
        <is>
          <t>Cavite</t>
        </is>
      </c>
      <c r="G332" s="11" t="inlineStr">
        <is>
          <t>City of General Trias</t>
        </is>
      </c>
      <c r="H332" s="11" t="inlineStr">
        <is>
          <t>Vibora Pob.</t>
        </is>
      </c>
      <c r="I332" s="24" t="n">
        <v>14.384473</v>
      </c>
      <c r="J332" s="24" t="n">
        <v>120.883022</v>
      </c>
      <c r="K332" s="23" t="inlineStr">
        <is>
          <t>R</t>
        </is>
      </c>
      <c r="L332" s="25" t="n">
        <v>960</v>
      </c>
      <c r="M332" s="26" t="n">
        <v>3.4</v>
      </c>
      <c r="N332" s="25">
        <f>ROUND(L332/M332, 0)</f>
        <v/>
      </c>
      <c r="O332" s="25">
        <f>ROUND(N332*'Methodology &amp; Assumptions'!$B$7, 0)</f>
        <v/>
      </c>
      <c r="P332" s="23" t="inlineStr">
        <is>
          <t>Single Carrier (Band n50, 100MHz TDD)</t>
        </is>
      </c>
      <c r="Q332" s="27">
        <f>ROUNDUP(O332/'Methodology &amp; Assumptions'!$B$8, 0)</f>
        <v/>
      </c>
      <c r="R332" s="27" t="n">
        <v>1</v>
      </c>
      <c r="S332" s="26" t="n">
        <v>1.42</v>
      </c>
      <c r="T332" s="26" t="n">
        <v>2.14</v>
      </c>
      <c r="U332" s="11">
        <f>IF(S332&lt;='Methodology &amp; Assumptions'!$B$10, "Direct Optical Drop (&lt;3km)", IF(S332&lt;='Methodology &amp; Assumptions'!$B$9, "Near Optical / Microwave (&lt;5km)", "Starlink Business LEO Satellite Backhaul (&gt;5km)"))</f>
        <v/>
      </c>
      <c r="V332" s="26" t="n">
        <v>62.4</v>
      </c>
      <c r="W332" s="26" t="n">
        <v>56.83</v>
      </c>
      <c r="X332" s="26">
        <f>ROUND(('Methodology &amp; Assumptions'!$B$5*V332) + ('Methodology &amp; Assumptions'!$B$6*W332), 2)</f>
        <v/>
      </c>
      <c r="Y332" s="28" t="n">
        <v>7.2</v>
      </c>
      <c r="Z332" s="11" t="inlineStr">
        <is>
          <t>Priority Tier 3 (Broadband Expansion)</t>
        </is>
      </c>
    </row>
    <row r="333">
      <c r="A333" s="23" t="n">
        <v>4</v>
      </c>
      <c r="B333" s="23" t="n">
        <v>329</v>
      </c>
      <c r="C333" s="23" t="n">
        <v>3329</v>
      </c>
      <c r="D333" s="23" t="inlineStr">
        <is>
          <t>0405646033</t>
        </is>
      </c>
      <c r="E333" s="11" t="inlineStr">
        <is>
          <t>Region IV-A (CALABARZON)</t>
        </is>
      </c>
      <c r="F333" s="11" t="inlineStr">
        <is>
          <t>Quezon</t>
        </is>
      </c>
      <c r="G333" s="11" t="inlineStr">
        <is>
          <t>Tagkawayan</t>
        </is>
      </c>
      <c r="H333" s="11" t="inlineStr">
        <is>
          <t>San Francisco</t>
        </is>
      </c>
      <c r="I333" s="24" t="n">
        <v>13.997813</v>
      </c>
      <c r="J333" s="24" t="n">
        <v>122.50531</v>
      </c>
      <c r="K333" s="23" t="inlineStr">
        <is>
          <t>R</t>
        </is>
      </c>
      <c r="L333" s="25" t="n">
        <v>978</v>
      </c>
      <c r="M333" s="26" t="n">
        <v>3.8</v>
      </c>
      <c r="N333" s="25">
        <f>ROUND(L333/M333, 0)</f>
        <v/>
      </c>
      <c r="O333" s="25">
        <f>ROUND(N333*'Methodology &amp; Assumptions'!$B$7, 0)</f>
        <v/>
      </c>
      <c r="P333" s="23" t="inlineStr">
        <is>
          <t>Single Carrier (Band n50, 100MHz TDD)</t>
        </is>
      </c>
      <c r="Q333" s="27">
        <f>ROUNDUP(O333/'Methodology &amp; Assumptions'!$B$8, 0)</f>
        <v/>
      </c>
      <c r="R333" s="27" t="n">
        <v>1</v>
      </c>
      <c r="S333" s="26" t="n">
        <v>4.32</v>
      </c>
      <c r="T333" s="26" t="n">
        <v>2.08</v>
      </c>
      <c r="U333" s="11">
        <f>IF(S333&lt;='Methodology &amp; Assumptions'!$B$10, "Direct Optical Drop (&lt;3km)", IF(S333&lt;='Methodology &amp; Assumptions'!$B$9, "Near Optical / Microwave (&lt;5km)", "Starlink Business LEO Satellite Backhaul (&gt;5km)"))</f>
        <v/>
      </c>
      <c r="V333" s="26" t="n">
        <v>53.48</v>
      </c>
      <c r="W333" s="26" t="n">
        <v>65.73999999999999</v>
      </c>
      <c r="X333" s="26">
        <f>ROUND(('Methodology &amp; Assumptions'!$B$5*V333) + ('Methodology &amp; Assumptions'!$B$6*W333), 2)</f>
        <v/>
      </c>
      <c r="Y333" s="28" t="n">
        <v>7.2</v>
      </c>
      <c r="Z333" s="11" t="inlineStr">
        <is>
          <t>Priority Tier 3 (Broadband Expansion)</t>
        </is>
      </c>
    </row>
    <row r="334">
      <c r="A334" s="23" t="n">
        <v>4</v>
      </c>
      <c r="B334" s="23" t="n">
        <v>330</v>
      </c>
      <c r="C334" s="23" t="n">
        <v>3330</v>
      </c>
      <c r="D334" s="23" t="inlineStr">
        <is>
          <t>0603043012</t>
        </is>
      </c>
      <c r="E334" s="11" t="inlineStr">
        <is>
          <t>Region VI (Western Visayas)</t>
        </is>
      </c>
      <c r="F334" s="11" t="inlineStr">
        <is>
          <t>Iloilo</t>
        </is>
      </c>
      <c r="G334" s="11" t="inlineStr">
        <is>
          <t>Santa Barbara</t>
        </is>
      </c>
      <c r="H334" s="11" t="inlineStr">
        <is>
          <t>Barangay Zone IV</t>
        </is>
      </c>
      <c r="I334" s="24" t="n">
        <v>10.826215</v>
      </c>
      <c r="J334" s="24" t="n">
        <v>122.53383</v>
      </c>
      <c r="K334" s="23" t="inlineStr">
        <is>
          <t>R</t>
        </is>
      </c>
      <c r="L334" s="25" t="n">
        <v>2064</v>
      </c>
      <c r="M334" s="26" t="n">
        <v>3.8</v>
      </c>
      <c r="N334" s="25">
        <f>ROUND(L334/M334, 0)</f>
        <v/>
      </c>
      <c r="O334" s="25">
        <f>ROUND(N334*'Methodology &amp; Assumptions'!$B$7, 0)</f>
        <v/>
      </c>
      <c r="P334" s="23" t="inlineStr">
        <is>
          <t>Single Carrier (Band n50, 100MHz TDD)</t>
        </is>
      </c>
      <c r="Q334" s="27">
        <f>ROUNDUP(O334/'Methodology &amp; Assumptions'!$B$8, 0)</f>
        <v/>
      </c>
      <c r="R334" s="27" t="n">
        <v>1</v>
      </c>
      <c r="S334" s="26" t="n">
        <v>0.15</v>
      </c>
      <c r="T334" s="26" t="n">
        <v>0.15</v>
      </c>
      <c r="U334" s="11">
        <f>IF(S334&lt;='Methodology &amp; Assumptions'!$B$10, "Direct Optical Drop (&lt;3km)", IF(S334&lt;='Methodology &amp; Assumptions'!$B$9, "Near Optical / Microwave (&lt;5km)", "Starlink Business LEO Satellite Backhaul (&gt;5km)"))</f>
        <v/>
      </c>
      <c r="V334" s="26" t="n">
        <v>77.98</v>
      </c>
      <c r="W334" s="26" t="n">
        <v>41.22</v>
      </c>
      <c r="X334" s="26">
        <f>ROUND(('Methodology &amp; Assumptions'!$B$5*V334) + ('Methodology &amp; Assumptions'!$B$6*W334), 2)</f>
        <v/>
      </c>
      <c r="Y334" s="28" t="n">
        <v>23.7</v>
      </c>
      <c r="Z334" s="11" t="inlineStr">
        <is>
          <t>Priority Tier 3 (Broadband Expansion)</t>
        </is>
      </c>
    </row>
    <row r="335">
      <c r="A335" s="23" t="n">
        <v>4</v>
      </c>
      <c r="B335" s="23" t="n">
        <v>331</v>
      </c>
      <c r="C335" s="23" t="n">
        <v>3331</v>
      </c>
      <c r="D335" s="23" t="inlineStr">
        <is>
          <t>0203108012</t>
        </is>
      </c>
      <c r="E335" s="11" t="inlineStr">
        <is>
          <t>Region II (Cagayan Valley)</t>
        </is>
      </c>
      <c r="F335" s="11" t="inlineStr">
        <is>
          <t>Isabela</t>
        </is>
      </c>
      <c r="G335" s="11" t="inlineStr">
        <is>
          <t>City of Cauayan</t>
        </is>
      </c>
      <c r="H335" s="11" t="inlineStr">
        <is>
          <t>Cabaruan</t>
        </is>
      </c>
      <c r="I335" s="24" t="n">
        <v>16.946932</v>
      </c>
      <c r="J335" s="24" t="n">
        <v>121.771926</v>
      </c>
      <c r="K335" s="23" t="inlineStr">
        <is>
          <t>U</t>
        </is>
      </c>
      <c r="L335" s="25" t="n">
        <v>8540</v>
      </c>
      <c r="M335" s="26" t="n">
        <v>3.8</v>
      </c>
      <c r="N335" s="25">
        <f>ROUND(L335/M335, 0)</f>
        <v/>
      </c>
      <c r="O335" s="25">
        <f>ROUND(N335*'Methodology &amp; Assumptions'!$B$7, 0)</f>
        <v/>
      </c>
      <c r="P335" s="23" t="inlineStr">
        <is>
          <t>Single Carrier (Band n50, 100MHz TDD)</t>
        </is>
      </c>
      <c r="Q335" s="27">
        <f>ROUNDUP(O335/'Methodology &amp; Assumptions'!$B$8, 0)</f>
        <v/>
      </c>
      <c r="R335" s="27" t="n">
        <v>1</v>
      </c>
      <c r="S335" s="26" t="n">
        <v>1.45</v>
      </c>
      <c r="T335" s="26" t="n">
        <v>0.07000000000000001</v>
      </c>
      <c r="U335" s="11">
        <f>IF(S335&lt;='Methodology &amp; Assumptions'!$B$10, "Direct Optical Drop (&lt;3km)", IF(S335&lt;='Methodology &amp; Assumptions'!$B$9, "Near Optical / Microwave (&lt;5km)", "Starlink Business LEO Satellite Backhaul (&gt;5km)"))</f>
        <v/>
      </c>
      <c r="V335" s="26" t="n">
        <v>76.12</v>
      </c>
      <c r="W335" s="26" t="n">
        <v>43.08</v>
      </c>
      <c r="X335" s="26">
        <f>ROUND(('Methodology &amp; Assumptions'!$B$5*V335) + ('Methodology &amp; Assumptions'!$B$6*W335), 2)</f>
        <v/>
      </c>
      <c r="Y335" s="28" t="n">
        <v>8.300000000000001</v>
      </c>
      <c r="Z335" s="11" t="inlineStr">
        <is>
          <t>Priority Tier 3 (Broadband Expansion)</t>
        </is>
      </c>
    </row>
    <row r="336">
      <c r="A336" s="23" t="n">
        <v>4</v>
      </c>
      <c r="B336" s="23" t="n">
        <v>332</v>
      </c>
      <c r="C336" s="23" t="n">
        <v>3332</v>
      </c>
      <c r="D336" s="23" t="inlineStr">
        <is>
          <t>0103308007</t>
        </is>
      </c>
      <c r="E336" s="11" t="inlineStr">
        <is>
          <t>Region I (Ilocos Region)</t>
        </is>
      </c>
      <c r="F336" s="11" t="inlineStr">
        <is>
          <t>La Union</t>
        </is>
      </c>
      <c r="G336" s="11" t="inlineStr">
        <is>
          <t>Burgos</t>
        </is>
      </c>
      <c r="H336" s="11" t="inlineStr">
        <is>
          <t>Libtong</t>
        </is>
      </c>
      <c r="I336" s="24" t="n">
        <v>16.494622</v>
      </c>
      <c r="J336" s="24" t="n">
        <v>120.456768</v>
      </c>
      <c r="K336" s="23" t="inlineStr">
        <is>
          <t>R</t>
        </is>
      </c>
      <c r="L336" s="25" t="n">
        <v>697</v>
      </c>
      <c r="M336" s="26" t="n">
        <v>3.7</v>
      </c>
      <c r="N336" s="25">
        <f>ROUND(L336/M336, 0)</f>
        <v/>
      </c>
      <c r="O336" s="25">
        <f>ROUND(N336*'Methodology &amp; Assumptions'!$B$7, 0)</f>
        <v/>
      </c>
      <c r="P336" s="23" t="inlineStr">
        <is>
          <t>Single Carrier (Band n50, 100MHz TDD)</t>
        </is>
      </c>
      <c r="Q336" s="27">
        <f>ROUNDUP(O336/'Methodology &amp; Assumptions'!$B$8, 0)</f>
        <v/>
      </c>
      <c r="R336" s="27" t="n">
        <v>1</v>
      </c>
      <c r="S336" s="26" t="n">
        <v>3.16</v>
      </c>
      <c r="T336" s="26" t="n">
        <v>1.72</v>
      </c>
      <c r="U336" s="11">
        <f>IF(S336&lt;='Methodology &amp; Assumptions'!$B$10, "Direct Optical Drop (&lt;3km)", IF(S336&lt;='Methodology &amp; Assumptions'!$B$9, "Near Optical / Microwave (&lt;5km)", "Starlink Business LEO Satellite Backhaul (&gt;5km)"))</f>
        <v/>
      </c>
      <c r="V336" s="26" t="n">
        <v>59.9</v>
      </c>
      <c r="W336" s="26" t="n">
        <v>59.3</v>
      </c>
      <c r="X336" s="26">
        <f>ROUND(('Methodology &amp; Assumptions'!$B$5*V336) + ('Methodology &amp; Assumptions'!$B$6*W336), 2)</f>
        <v/>
      </c>
      <c r="Y336" s="28" t="n">
        <v>8.300000000000001</v>
      </c>
      <c r="Z336" s="11" t="inlineStr">
        <is>
          <t>Priority Tier 3 (Broadband Expansion)</t>
        </is>
      </c>
    </row>
    <row r="337">
      <c r="A337" s="23" t="n">
        <v>4</v>
      </c>
      <c r="B337" s="23" t="n">
        <v>333</v>
      </c>
      <c r="C337" s="23" t="n">
        <v>3333</v>
      </c>
      <c r="D337" s="23" t="inlineStr">
        <is>
          <t>1908811001</t>
        </is>
      </c>
      <c r="E337" s="11" t="inlineStr">
        <is>
          <t>Bangsamoro Autonomous Region In Muslim Mindanao (BARMM)</t>
        </is>
      </c>
      <c r="F337" s="11" t="inlineStr">
        <is>
          <t>Maguindanao del Sur</t>
        </is>
      </c>
      <c r="G337" s="11" t="inlineStr">
        <is>
          <t>Gen. S.K. Pendatun</t>
        </is>
      </c>
      <c r="H337" s="11" t="inlineStr">
        <is>
          <t>Badak</t>
        </is>
      </c>
      <c r="I337" s="24" t="n">
        <v>6.838245</v>
      </c>
      <c r="J337" s="24" t="n">
        <v>124.746455</v>
      </c>
      <c r="K337" s="23" t="inlineStr">
        <is>
          <t>R</t>
        </is>
      </c>
      <c r="L337" s="25" t="n">
        <v>5081</v>
      </c>
      <c r="M337" s="26" t="n">
        <v>4.7</v>
      </c>
      <c r="N337" s="25">
        <f>ROUND(L337/M337, 0)</f>
        <v/>
      </c>
      <c r="O337" s="25">
        <f>ROUND(N337*'Methodology &amp; Assumptions'!$B$7, 0)</f>
        <v/>
      </c>
      <c r="P337" s="23" t="inlineStr">
        <is>
          <t>Single Carrier (Band n50, 100MHz TDD)</t>
        </is>
      </c>
      <c r="Q337" s="27">
        <f>ROUNDUP(O337/'Methodology &amp; Assumptions'!$B$8, 0)</f>
        <v/>
      </c>
      <c r="R337" s="27" t="n">
        <v>1</v>
      </c>
      <c r="S337" s="26" t="n">
        <v>18.38</v>
      </c>
      <c r="T337" s="26" t="n">
        <v>14.08</v>
      </c>
      <c r="U337" s="11">
        <f>IF(S337&lt;='Methodology &amp; Assumptions'!$B$10, "Direct Optical Drop (&lt;3km)", IF(S337&lt;='Methodology &amp; Assumptions'!$B$9, "Near Optical / Microwave (&lt;5km)", "Starlink Business LEO Satellite Backhaul (&gt;5km)"))</f>
        <v/>
      </c>
      <c r="V337" s="26" t="n">
        <v>59.06</v>
      </c>
      <c r="W337" s="26" t="n">
        <v>60.14</v>
      </c>
      <c r="X337" s="26">
        <f>ROUND(('Methodology &amp; Assumptions'!$B$5*V337) + ('Methodology &amp; Assumptions'!$B$6*W337), 2)</f>
        <v/>
      </c>
      <c r="Y337" s="28" t="n">
        <v>11</v>
      </c>
      <c r="Z337" s="11" t="inlineStr">
        <is>
          <t>Priority Tier 3 (Broadband Expansion)</t>
        </is>
      </c>
    </row>
    <row r="338">
      <c r="A338" s="23" t="n">
        <v>4</v>
      </c>
      <c r="B338" s="23" t="n">
        <v>334</v>
      </c>
      <c r="C338" s="23" t="n">
        <v>3334</v>
      </c>
      <c r="D338" s="23" t="inlineStr">
        <is>
          <t>0600402011</t>
        </is>
      </c>
      <c r="E338" s="11" t="inlineStr">
        <is>
          <t>Region VI (Western Visayas)</t>
        </is>
      </c>
      <c r="F338" s="11" t="inlineStr">
        <is>
          <t>Aklan</t>
        </is>
      </c>
      <c r="G338" s="11" t="inlineStr">
        <is>
          <t>Balete</t>
        </is>
      </c>
      <c r="H338" s="11" t="inlineStr">
        <is>
          <t>Poblacion</t>
        </is>
      </c>
      <c r="I338" s="24" t="n">
        <v>11.53019</v>
      </c>
      <c r="J338" s="24" t="n">
        <v>122.367428</v>
      </c>
      <c r="K338" s="23" t="inlineStr">
        <is>
          <t>R</t>
        </is>
      </c>
      <c r="L338" s="25" t="n">
        <v>899</v>
      </c>
      <c r="M338" s="26" t="n">
        <v>3.9</v>
      </c>
      <c r="N338" s="25">
        <f>ROUND(L338/M338, 0)</f>
        <v/>
      </c>
      <c r="O338" s="25">
        <f>ROUND(N338*'Methodology &amp; Assumptions'!$B$7, 0)</f>
        <v/>
      </c>
      <c r="P338" s="23" t="inlineStr">
        <is>
          <t>Single Carrier (Band n50, 100MHz TDD)</t>
        </is>
      </c>
      <c r="Q338" s="27">
        <f>ROUNDUP(O338/'Methodology &amp; Assumptions'!$B$8, 0)</f>
        <v/>
      </c>
      <c r="R338" s="27" t="n">
        <v>1</v>
      </c>
      <c r="S338" s="26" t="n">
        <v>3.13</v>
      </c>
      <c r="T338" s="26" t="n">
        <v>3</v>
      </c>
      <c r="U338" s="11">
        <f>IF(S338&lt;='Methodology &amp; Assumptions'!$B$10, "Direct Optical Drop (&lt;3km)", IF(S338&lt;='Methodology &amp; Assumptions'!$B$9, "Near Optical / Microwave (&lt;5km)", "Starlink Business LEO Satellite Backhaul (&gt;5km)"))</f>
        <v/>
      </c>
      <c r="V338" s="26" t="n">
        <v>57.2</v>
      </c>
      <c r="W338" s="26" t="n">
        <v>62</v>
      </c>
      <c r="X338" s="26">
        <f>ROUND(('Methodology &amp; Assumptions'!$B$5*V338) + ('Methodology &amp; Assumptions'!$B$6*W338), 2)</f>
        <v/>
      </c>
      <c r="Y338" s="28" t="n">
        <v>23.7</v>
      </c>
      <c r="Z338" s="11" t="inlineStr">
        <is>
          <t>Priority Tier 3 (Broadband Expansion)</t>
        </is>
      </c>
    </row>
    <row r="339">
      <c r="A339" s="23" t="n">
        <v>4</v>
      </c>
      <c r="B339" s="23" t="n">
        <v>335</v>
      </c>
      <c r="C339" s="23" t="n">
        <v>3335</v>
      </c>
      <c r="D339" s="23" t="inlineStr">
        <is>
          <t>1380606083</t>
        </is>
      </c>
      <c r="E339" s="11" t="inlineStr">
        <is>
          <t>National Capital Region (NCR)</t>
        </is>
      </c>
      <c r="F339" s="11" t="inlineStr">
        <is>
          <t>First District (Not a Province)</t>
        </is>
      </c>
      <c r="G339" s="11" t="inlineStr">
        <is>
          <t>City of Manila</t>
        </is>
      </c>
      <c r="H339" s="11" t="inlineStr">
        <is>
          <t>Barangay 477</t>
        </is>
      </c>
      <c r="I339" s="24" t="n">
        <v>14.614061</v>
      </c>
      <c r="J339" s="24" t="n">
        <v>120.992113</v>
      </c>
      <c r="K339" s="23" t="inlineStr">
        <is>
          <t>U</t>
        </is>
      </c>
      <c r="L339" s="25" t="n">
        <v>1082</v>
      </c>
      <c r="M339" s="26" t="n">
        <v>3.59</v>
      </c>
      <c r="N339" s="25">
        <f>ROUND(L339/M339, 0)</f>
        <v/>
      </c>
      <c r="O339" s="25">
        <f>ROUND(N339*'Methodology &amp; Assumptions'!$B$7, 0)</f>
        <v/>
      </c>
      <c r="P339" s="23" t="inlineStr">
        <is>
          <t>Single Carrier (Band n50, 100MHz TDD)</t>
        </is>
      </c>
      <c r="Q339" s="27">
        <f>ROUNDUP(O339/'Methodology &amp; Assumptions'!$B$8, 0)</f>
        <v/>
      </c>
      <c r="R339" s="27" t="n">
        <v>1</v>
      </c>
      <c r="S339" s="26" t="n">
        <v>1.03</v>
      </c>
      <c r="T339" s="26" t="n">
        <v>0.49</v>
      </c>
      <c r="U339" s="11">
        <f>IF(S339&lt;='Methodology &amp; Assumptions'!$B$10, "Direct Optical Drop (&lt;3km)", IF(S339&lt;='Methodology &amp; Assumptions'!$B$9, "Near Optical / Microwave (&lt;5km)", "Starlink Business LEO Satellite Backhaul (&gt;5km)"))</f>
        <v/>
      </c>
      <c r="V339" s="26" t="n">
        <v>50</v>
      </c>
      <c r="W339" s="26" t="n">
        <v>69.2</v>
      </c>
      <c r="X339" s="26">
        <f>ROUND(('Methodology &amp; Assumptions'!$B$5*V339) + ('Methodology &amp; Assumptions'!$B$6*W339), 2)</f>
        <v/>
      </c>
      <c r="Y339" s="28" t="n">
        <v>10.9</v>
      </c>
      <c r="Z339" s="11" t="inlineStr">
        <is>
          <t>Priority Tier 3 (Broadband Expansion)</t>
        </is>
      </c>
    </row>
    <row r="340">
      <c r="A340" s="23" t="n">
        <v>4</v>
      </c>
      <c r="B340" s="23" t="n">
        <v>336</v>
      </c>
      <c r="C340" s="23" t="n">
        <v>3336</v>
      </c>
      <c r="D340" s="23" t="inlineStr">
        <is>
          <t>1380606132</t>
        </is>
      </c>
      <c r="E340" s="11" t="inlineStr">
        <is>
          <t>National Capital Region (NCR)</t>
        </is>
      </c>
      <c r="F340" s="11" t="inlineStr">
        <is>
          <t>First District (Not a Province)</t>
        </is>
      </c>
      <c r="G340" s="11" t="inlineStr">
        <is>
          <t>City of Manila</t>
        </is>
      </c>
      <c r="H340" s="11" t="inlineStr">
        <is>
          <t>Barangay 526</t>
        </is>
      </c>
      <c r="I340" s="24" t="n">
        <v>14.614682</v>
      </c>
      <c r="J340" s="24" t="n">
        <v>120.999499</v>
      </c>
      <c r="K340" s="23" t="inlineStr">
        <is>
          <t>U</t>
        </is>
      </c>
      <c r="L340" s="25" t="n">
        <v>805</v>
      </c>
      <c r="M340" s="26" t="n">
        <v>3.78</v>
      </c>
      <c r="N340" s="25">
        <f>ROUND(L340/M340, 0)</f>
        <v/>
      </c>
      <c r="O340" s="25">
        <f>ROUND(N340*'Methodology &amp; Assumptions'!$B$7, 0)</f>
        <v/>
      </c>
      <c r="P340" s="23" t="inlineStr">
        <is>
          <t>Single Carrier (Band n50, 100MHz TDD)</t>
        </is>
      </c>
      <c r="Q340" s="27">
        <f>ROUNDUP(O340/'Methodology &amp; Assumptions'!$B$8, 0)</f>
        <v/>
      </c>
      <c r="R340" s="27" t="n">
        <v>1</v>
      </c>
      <c r="S340" s="26" t="n">
        <v>0.62</v>
      </c>
      <c r="T340" s="26" t="n">
        <v>0.15</v>
      </c>
      <c r="U340" s="11">
        <f>IF(S340&lt;='Methodology &amp; Assumptions'!$B$10, "Direct Optical Drop (&lt;3km)", IF(S340&lt;='Methodology &amp; Assumptions'!$B$9, "Near Optical / Microwave (&lt;5km)", "Starlink Business LEO Satellite Backhaul (&gt;5km)"))</f>
        <v/>
      </c>
      <c r="V340" s="26" t="n">
        <v>47.95</v>
      </c>
      <c r="W340" s="26" t="n">
        <v>71.25</v>
      </c>
      <c r="X340" s="26">
        <f>ROUND(('Methodology &amp; Assumptions'!$B$5*V340) + ('Methodology &amp; Assumptions'!$B$6*W340), 2)</f>
        <v/>
      </c>
      <c r="Y340" s="28" t="n">
        <v>10.9</v>
      </c>
      <c r="Z340" s="11" t="inlineStr">
        <is>
          <t>Priority Tier 3 (Broadband Expansion)</t>
        </is>
      </c>
    </row>
    <row r="341">
      <c r="A341" s="23" t="n">
        <v>4</v>
      </c>
      <c r="B341" s="23" t="n">
        <v>337</v>
      </c>
      <c r="C341" s="23" t="n">
        <v>3337</v>
      </c>
      <c r="D341" s="23" t="inlineStr">
        <is>
          <t>0403424005</t>
        </is>
      </c>
      <c r="E341" s="11" t="inlineStr">
        <is>
          <t>Region IV-A (CALABARZON)</t>
        </is>
      </c>
      <c r="F341" s="11" t="inlineStr">
        <is>
          <t>Laguna</t>
        </is>
      </c>
      <c r="G341" s="11" t="inlineStr">
        <is>
          <t>City of San Pablo</t>
        </is>
      </c>
      <c r="H341" s="11" t="inlineStr">
        <is>
          <t>Barangay II-A</t>
        </is>
      </c>
      <c r="I341" s="24" t="n">
        <v>14.22695</v>
      </c>
      <c r="J341" s="24" t="n">
        <v>121.342579</v>
      </c>
      <c r="K341" s="23" t="inlineStr">
        <is>
          <t>R</t>
        </is>
      </c>
      <c r="L341" s="25" t="n">
        <v>3174</v>
      </c>
      <c r="M341" s="26" t="n">
        <v>3.3</v>
      </c>
      <c r="N341" s="25">
        <f>ROUND(L341/M341, 0)</f>
        <v/>
      </c>
      <c r="O341" s="25">
        <f>ROUND(N341*'Methodology &amp; Assumptions'!$B$7, 0)</f>
        <v/>
      </c>
      <c r="P341" s="23" t="inlineStr">
        <is>
          <t>Single Carrier (Band n50, 100MHz TDD)</t>
        </is>
      </c>
      <c r="Q341" s="27">
        <f>ROUNDUP(O341/'Methodology &amp; Assumptions'!$B$8, 0)</f>
        <v/>
      </c>
      <c r="R341" s="27" t="n">
        <v>1</v>
      </c>
      <c r="S341" s="26" t="n">
        <v>2.02</v>
      </c>
      <c r="T341" s="26" t="n">
        <v>1.89</v>
      </c>
      <c r="U341" s="11">
        <f>IF(S341&lt;='Methodology &amp; Assumptions'!$B$10, "Direct Optical Drop (&lt;3km)", IF(S341&lt;='Methodology &amp; Assumptions'!$B$9, "Near Optical / Microwave (&lt;5km)", "Starlink Business LEO Satellite Backhaul (&gt;5km)"))</f>
        <v/>
      </c>
      <c r="V341" s="26" t="n">
        <v>81.13</v>
      </c>
      <c r="W341" s="26" t="n">
        <v>38.05</v>
      </c>
      <c r="X341" s="26">
        <f>ROUND(('Methodology &amp; Assumptions'!$B$5*V341) + ('Methodology &amp; Assumptions'!$B$6*W341), 2)</f>
        <v/>
      </c>
      <c r="Y341" s="28" t="n">
        <v>7.2</v>
      </c>
      <c r="Z341" s="11" t="inlineStr">
        <is>
          <t>Priority Tier 3 (Broadband Expansion)</t>
        </is>
      </c>
    </row>
    <row r="342">
      <c r="A342" s="23" t="n">
        <v>4</v>
      </c>
      <c r="B342" s="23" t="n">
        <v>338</v>
      </c>
      <c r="C342" s="23" t="n">
        <v>3338</v>
      </c>
      <c r="D342" s="23" t="inlineStr">
        <is>
          <t>0403424013</t>
        </is>
      </c>
      <c r="E342" s="11" t="inlineStr">
        <is>
          <t>Region IV-A (CALABARZON)</t>
        </is>
      </c>
      <c r="F342" s="11" t="inlineStr">
        <is>
          <t>Laguna</t>
        </is>
      </c>
      <c r="G342" s="11" t="inlineStr">
        <is>
          <t>City of San Pablo</t>
        </is>
      </c>
      <c r="H342" s="11" t="inlineStr">
        <is>
          <t>Barangay III-C</t>
        </is>
      </c>
      <c r="I342" s="24" t="n">
        <v>14.22695</v>
      </c>
      <c r="J342" s="24" t="n">
        <v>121.342579</v>
      </c>
      <c r="K342" s="23" t="inlineStr">
        <is>
          <t>R</t>
        </is>
      </c>
      <c r="L342" s="25" t="n">
        <v>3040</v>
      </c>
      <c r="M342" s="26" t="n">
        <v>3.3</v>
      </c>
      <c r="N342" s="25">
        <f>ROUND(L342/M342, 0)</f>
        <v/>
      </c>
      <c r="O342" s="25">
        <f>ROUND(N342*'Methodology &amp; Assumptions'!$B$7, 0)</f>
        <v/>
      </c>
      <c r="P342" s="23" t="inlineStr">
        <is>
          <t>Single Carrier (Band n50, 100MHz TDD)</t>
        </is>
      </c>
      <c r="Q342" s="27">
        <f>ROUNDUP(O342/'Methodology &amp; Assumptions'!$B$8, 0)</f>
        <v/>
      </c>
      <c r="R342" s="27" t="n">
        <v>1</v>
      </c>
      <c r="S342" s="26" t="n">
        <v>2.02</v>
      </c>
      <c r="T342" s="26" t="n">
        <v>1.89</v>
      </c>
      <c r="U342" s="11">
        <f>IF(S342&lt;='Methodology &amp; Assumptions'!$B$10, "Direct Optical Drop (&lt;3km)", IF(S342&lt;='Methodology &amp; Assumptions'!$B$9, "Near Optical / Microwave (&lt;5km)", "Starlink Business LEO Satellite Backhaul (&gt;5km)"))</f>
        <v/>
      </c>
      <c r="V342" s="26" t="n">
        <v>81.13</v>
      </c>
      <c r="W342" s="26" t="n">
        <v>38.05</v>
      </c>
      <c r="X342" s="26">
        <f>ROUND(('Methodology &amp; Assumptions'!$B$5*V342) + ('Methodology &amp; Assumptions'!$B$6*W342), 2)</f>
        <v/>
      </c>
      <c r="Y342" s="28" t="n">
        <v>7.2</v>
      </c>
      <c r="Z342" s="11" t="inlineStr">
        <is>
          <t>Priority Tier 3 (Broadband Expansion)</t>
        </is>
      </c>
    </row>
    <row r="343">
      <c r="A343" s="23" t="n">
        <v>4</v>
      </c>
      <c r="B343" s="23" t="n">
        <v>339</v>
      </c>
      <c r="C343" s="23" t="n">
        <v>3339</v>
      </c>
      <c r="D343" s="23" t="inlineStr">
        <is>
          <t>0403424034</t>
        </is>
      </c>
      <c r="E343" s="11" t="inlineStr">
        <is>
          <t>Region IV-A (CALABARZON)</t>
        </is>
      </c>
      <c r="F343" s="11" t="inlineStr">
        <is>
          <t>Laguna</t>
        </is>
      </c>
      <c r="G343" s="11" t="inlineStr">
        <is>
          <t>City of San Pablo</t>
        </is>
      </c>
      <c r="H343" s="11" t="inlineStr">
        <is>
          <t>Bautista</t>
        </is>
      </c>
      <c r="I343" s="24" t="n">
        <v>14.22695</v>
      </c>
      <c r="J343" s="24" t="n">
        <v>121.342579</v>
      </c>
      <c r="K343" s="23" t="inlineStr">
        <is>
          <t>R</t>
        </is>
      </c>
      <c r="L343" s="25" t="n">
        <v>3516</v>
      </c>
      <c r="M343" s="26" t="n">
        <v>3.3</v>
      </c>
      <c r="N343" s="25">
        <f>ROUND(L343/M343, 0)</f>
        <v/>
      </c>
      <c r="O343" s="25">
        <f>ROUND(N343*'Methodology &amp; Assumptions'!$B$7, 0)</f>
        <v/>
      </c>
      <c r="P343" s="23" t="inlineStr">
        <is>
          <t>Single Carrier (Band n50, 100MHz TDD)</t>
        </is>
      </c>
      <c r="Q343" s="27">
        <f>ROUNDUP(O343/'Methodology &amp; Assumptions'!$B$8, 0)</f>
        <v/>
      </c>
      <c r="R343" s="27" t="n">
        <v>1</v>
      </c>
      <c r="S343" s="26" t="n">
        <v>2.02</v>
      </c>
      <c r="T343" s="26" t="n">
        <v>1.89</v>
      </c>
      <c r="U343" s="11">
        <f>IF(S343&lt;='Methodology &amp; Assumptions'!$B$10, "Direct Optical Drop (&lt;3km)", IF(S343&lt;='Methodology &amp; Assumptions'!$B$9, "Near Optical / Microwave (&lt;5km)", "Starlink Business LEO Satellite Backhaul (&gt;5km)"))</f>
        <v/>
      </c>
      <c r="V343" s="26" t="n">
        <v>81.13</v>
      </c>
      <c r="W343" s="26" t="n">
        <v>38.05</v>
      </c>
      <c r="X343" s="26">
        <f>ROUND(('Methodology &amp; Assumptions'!$B$5*V343) + ('Methodology &amp; Assumptions'!$B$6*W343), 2)</f>
        <v/>
      </c>
      <c r="Y343" s="28" t="n">
        <v>7.2</v>
      </c>
      <c r="Z343" s="11" t="inlineStr">
        <is>
          <t>Priority Tier 3 (Broadband Expansion)</t>
        </is>
      </c>
    </row>
    <row r="344">
      <c r="A344" s="23" t="n">
        <v>4</v>
      </c>
      <c r="B344" s="23" t="n">
        <v>340</v>
      </c>
      <c r="C344" s="23" t="n">
        <v>3340</v>
      </c>
      <c r="D344" s="23" t="inlineStr">
        <is>
          <t>0403424041</t>
        </is>
      </c>
      <c r="E344" s="11" t="inlineStr">
        <is>
          <t>Region IV-A (CALABARZON)</t>
        </is>
      </c>
      <c r="F344" s="11" t="inlineStr">
        <is>
          <t>Laguna</t>
        </is>
      </c>
      <c r="G344" s="11" t="inlineStr">
        <is>
          <t>City of San Pablo</t>
        </is>
      </c>
      <c r="H344" s="11" t="inlineStr">
        <is>
          <t>San Antonio 2</t>
        </is>
      </c>
      <c r="I344" s="24" t="n">
        <v>14.22695</v>
      </c>
      <c r="J344" s="24" t="n">
        <v>121.342579</v>
      </c>
      <c r="K344" s="23" t="inlineStr">
        <is>
          <t>R</t>
        </is>
      </c>
      <c r="L344" s="25" t="n">
        <v>5144</v>
      </c>
      <c r="M344" s="26" t="n">
        <v>3.3</v>
      </c>
      <c r="N344" s="25">
        <f>ROUND(L344/M344, 0)</f>
        <v/>
      </c>
      <c r="O344" s="25">
        <f>ROUND(N344*'Methodology &amp; Assumptions'!$B$7, 0)</f>
        <v/>
      </c>
      <c r="P344" s="23" t="inlineStr">
        <is>
          <t>Single Carrier (Band n50, 100MHz TDD)</t>
        </is>
      </c>
      <c r="Q344" s="27">
        <f>ROUNDUP(O344/'Methodology &amp; Assumptions'!$B$8, 0)</f>
        <v/>
      </c>
      <c r="R344" s="27" t="n">
        <v>1</v>
      </c>
      <c r="S344" s="26" t="n">
        <v>2.02</v>
      </c>
      <c r="T344" s="26" t="n">
        <v>1.89</v>
      </c>
      <c r="U344" s="11">
        <f>IF(S344&lt;='Methodology &amp; Assumptions'!$B$10, "Direct Optical Drop (&lt;3km)", IF(S344&lt;='Methodology &amp; Assumptions'!$B$9, "Near Optical / Microwave (&lt;5km)", "Starlink Business LEO Satellite Backhaul (&gt;5km)"))</f>
        <v/>
      </c>
      <c r="V344" s="26" t="n">
        <v>81.13</v>
      </c>
      <c r="W344" s="26" t="n">
        <v>38.05</v>
      </c>
      <c r="X344" s="26">
        <f>ROUND(('Methodology &amp; Assumptions'!$B$5*V344) + ('Methodology &amp; Assumptions'!$B$6*W344), 2)</f>
        <v/>
      </c>
      <c r="Y344" s="28" t="n">
        <v>7.2</v>
      </c>
      <c r="Z344" s="11" t="inlineStr">
        <is>
          <t>Priority Tier 3 (Broadband Expansion)</t>
        </is>
      </c>
    </row>
    <row r="345">
      <c r="A345" s="23" t="n">
        <v>4</v>
      </c>
      <c r="B345" s="23" t="n">
        <v>341</v>
      </c>
      <c r="C345" s="23" t="n">
        <v>3341</v>
      </c>
      <c r="D345" s="23" t="inlineStr">
        <is>
          <t>0403424042</t>
        </is>
      </c>
      <c r="E345" s="11" t="inlineStr">
        <is>
          <t>Region IV-A (CALABARZON)</t>
        </is>
      </c>
      <c r="F345" s="11" t="inlineStr">
        <is>
          <t>Laguna</t>
        </is>
      </c>
      <c r="G345" s="11" t="inlineStr">
        <is>
          <t>City of San Pablo</t>
        </is>
      </c>
      <c r="H345" s="11" t="inlineStr">
        <is>
          <t>San Bartolome</t>
        </is>
      </c>
      <c r="I345" s="24" t="n">
        <v>14.22695</v>
      </c>
      <c r="J345" s="24" t="n">
        <v>121.342579</v>
      </c>
      <c r="K345" s="23" t="inlineStr">
        <is>
          <t>R</t>
        </is>
      </c>
      <c r="L345" s="25" t="n">
        <v>3915</v>
      </c>
      <c r="M345" s="26" t="n">
        <v>3.3</v>
      </c>
      <c r="N345" s="25">
        <f>ROUND(L345/M345, 0)</f>
        <v/>
      </c>
      <c r="O345" s="25">
        <f>ROUND(N345*'Methodology &amp; Assumptions'!$B$7, 0)</f>
        <v/>
      </c>
      <c r="P345" s="23" t="inlineStr">
        <is>
          <t>Single Carrier (Band n50, 100MHz TDD)</t>
        </is>
      </c>
      <c r="Q345" s="27">
        <f>ROUNDUP(O345/'Methodology &amp; Assumptions'!$B$8, 0)</f>
        <v/>
      </c>
      <c r="R345" s="27" t="n">
        <v>1</v>
      </c>
      <c r="S345" s="26" t="n">
        <v>2.02</v>
      </c>
      <c r="T345" s="26" t="n">
        <v>1.89</v>
      </c>
      <c r="U345" s="11">
        <f>IF(S345&lt;='Methodology &amp; Assumptions'!$B$10, "Direct Optical Drop (&lt;3km)", IF(S345&lt;='Methodology &amp; Assumptions'!$B$9, "Near Optical / Microwave (&lt;5km)", "Starlink Business LEO Satellite Backhaul (&gt;5km)"))</f>
        <v/>
      </c>
      <c r="V345" s="26" t="n">
        <v>81.13</v>
      </c>
      <c r="W345" s="26" t="n">
        <v>38.05</v>
      </c>
      <c r="X345" s="26">
        <f>ROUND(('Methodology &amp; Assumptions'!$B$5*V345) + ('Methodology &amp; Assumptions'!$B$6*W345), 2)</f>
        <v/>
      </c>
      <c r="Y345" s="28" t="n">
        <v>7.2</v>
      </c>
      <c r="Z345" s="11" t="inlineStr">
        <is>
          <t>Priority Tier 3 (Broadband Expansion)</t>
        </is>
      </c>
    </row>
    <row r="346">
      <c r="A346" s="23" t="n">
        <v>4</v>
      </c>
      <c r="B346" s="23" t="n">
        <v>342</v>
      </c>
      <c r="C346" s="23" t="n">
        <v>3342</v>
      </c>
      <c r="D346" s="23" t="inlineStr">
        <is>
          <t>0403424043</t>
        </is>
      </c>
      <c r="E346" s="11" t="inlineStr">
        <is>
          <t>Region IV-A (CALABARZON)</t>
        </is>
      </c>
      <c r="F346" s="11" t="inlineStr">
        <is>
          <t>Laguna</t>
        </is>
      </c>
      <c r="G346" s="11" t="inlineStr">
        <is>
          <t>City of San Pablo</t>
        </is>
      </c>
      <c r="H346" s="11" t="inlineStr">
        <is>
          <t>San Buenaventura</t>
        </is>
      </c>
      <c r="I346" s="24" t="n">
        <v>14.22695</v>
      </c>
      <c r="J346" s="24" t="n">
        <v>121.342579</v>
      </c>
      <c r="K346" s="23" t="inlineStr">
        <is>
          <t>R</t>
        </is>
      </c>
      <c r="L346" s="25" t="n">
        <v>4819</v>
      </c>
      <c r="M346" s="26" t="n">
        <v>3.3</v>
      </c>
      <c r="N346" s="25">
        <f>ROUND(L346/M346, 0)</f>
        <v/>
      </c>
      <c r="O346" s="25">
        <f>ROUND(N346*'Methodology &amp; Assumptions'!$B$7, 0)</f>
        <v/>
      </c>
      <c r="P346" s="23" t="inlineStr">
        <is>
          <t>Single Carrier (Band n50, 100MHz TDD)</t>
        </is>
      </c>
      <c r="Q346" s="27">
        <f>ROUNDUP(O346/'Methodology &amp; Assumptions'!$B$8, 0)</f>
        <v/>
      </c>
      <c r="R346" s="27" t="n">
        <v>1</v>
      </c>
      <c r="S346" s="26" t="n">
        <v>2.02</v>
      </c>
      <c r="T346" s="26" t="n">
        <v>1.89</v>
      </c>
      <c r="U346" s="11">
        <f>IF(S346&lt;='Methodology &amp; Assumptions'!$B$10, "Direct Optical Drop (&lt;3km)", IF(S346&lt;='Methodology &amp; Assumptions'!$B$9, "Near Optical / Microwave (&lt;5km)", "Starlink Business LEO Satellite Backhaul (&gt;5km)"))</f>
        <v/>
      </c>
      <c r="V346" s="26" t="n">
        <v>81.13</v>
      </c>
      <c r="W346" s="26" t="n">
        <v>38.05</v>
      </c>
      <c r="X346" s="26">
        <f>ROUND(('Methodology &amp; Assumptions'!$B$5*V346) + ('Methodology &amp; Assumptions'!$B$6*W346), 2)</f>
        <v/>
      </c>
      <c r="Y346" s="28" t="n">
        <v>7.2</v>
      </c>
      <c r="Z346" s="11" t="inlineStr">
        <is>
          <t>Priority Tier 3 (Broadband Expansion)</t>
        </is>
      </c>
    </row>
    <row r="347">
      <c r="A347" s="23" t="n">
        <v>4</v>
      </c>
      <c r="B347" s="23" t="n">
        <v>343</v>
      </c>
      <c r="C347" s="23" t="n">
        <v>3343</v>
      </c>
      <c r="D347" s="23" t="inlineStr">
        <is>
          <t>0403424051</t>
        </is>
      </c>
      <c r="E347" s="11" t="inlineStr">
        <is>
          <t>Region IV-A (CALABARZON)</t>
        </is>
      </c>
      <c r="F347" s="11" t="inlineStr">
        <is>
          <t>Laguna</t>
        </is>
      </c>
      <c r="G347" s="11" t="inlineStr">
        <is>
          <t>City of San Pablo</t>
        </is>
      </c>
      <c r="H347" s="11" t="inlineStr">
        <is>
          <t>San Isidro</t>
        </is>
      </c>
      <c r="I347" s="24" t="n">
        <v>14.22695</v>
      </c>
      <c r="J347" s="24" t="n">
        <v>121.342579</v>
      </c>
      <c r="K347" s="23" t="inlineStr">
        <is>
          <t>R</t>
        </is>
      </c>
      <c r="L347" s="25" t="n">
        <v>4672</v>
      </c>
      <c r="M347" s="26" t="n">
        <v>3.3</v>
      </c>
      <c r="N347" s="25">
        <f>ROUND(L347/M347, 0)</f>
        <v/>
      </c>
      <c r="O347" s="25">
        <f>ROUND(N347*'Methodology &amp; Assumptions'!$B$7, 0)</f>
        <v/>
      </c>
      <c r="P347" s="23" t="inlineStr">
        <is>
          <t>Single Carrier (Band n50, 100MHz TDD)</t>
        </is>
      </c>
      <c r="Q347" s="27">
        <f>ROUNDUP(O347/'Methodology &amp; Assumptions'!$B$8, 0)</f>
        <v/>
      </c>
      <c r="R347" s="27" t="n">
        <v>1</v>
      </c>
      <c r="S347" s="26" t="n">
        <v>2.02</v>
      </c>
      <c r="T347" s="26" t="n">
        <v>1.89</v>
      </c>
      <c r="U347" s="11">
        <f>IF(S347&lt;='Methodology &amp; Assumptions'!$B$10, "Direct Optical Drop (&lt;3km)", IF(S347&lt;='Methodology &amp; Assumptions'!$B$9, "Near Optical / Microwave (&lt;5km)", "Starlink Business LEO Satellite Backhaul (&gt;5km)"))</f>
        <v/>
      </c>
      <c r="V347" s="26" t="n">
        <v>81.13</v>
      </c>
      <c r="W347" s="26" t="n">
        <v>38.05</v>
      </c>
      <c r="X347" s="26">
        <f>ROUND(('Methodology &amp; Assumptions'!$B$5*V347) + ('Methodology &amp; Assumptions'!$B$6*W347), 2)</f>
        <v/>
      </c>
      <c r="Y347" s="28" t="n">
        <v>7.2</v>
      </c>
      <c r="Z347" s="11" t="inlineStr">
        <is>
          <t>Priority Tier 3 (Broadband Expansion)</t>
        </is>
      </c>
    </row>
    <row r="348">
      <c r="A348" s="23" t="n">
        <v>4</v>
      </c>
      <c r="B348" s="23" t="n">
        <v>344</v>
      </c>
      <c r="C348" s="23" t="n">
        <v>3344</v>
      </c>
      <c r="D348" s="23" t="inlineStr">
        <is>
          <t>0403424054</t>
        </is>
      </c>
      <c r="E348" s="11" t="inlineStr">
        <is>
          <t>Region IV-A (CALABARZON)</t>
        </is>
      </c>
      <c r="F348" s="11" t="inlineStr">
        <is>
          <t>Laguna</t>
        </is>
      </c>
      <c r="G348" s="11" t="inlineStr">
        <is>
          <t>City of San Pablo</t>
        </is>
      </c>
      <c r="H348" s="11" t="inlineStr">
        <is>
          <t>San Juan</t>
        </is>
      </c>
      <c r="I348" s="24" t="n">
        <v>14.22695</v>
      </c>
      <c r="J348" s="24" t="n">
        <v>121.342579</v>
      </c>
      <c r="K348" s="23" t="inlineStr">
        <is>
          <t>R</t>
        </is>
      </c>
      <c r="L348" s="25" t="n">
        <v>3679</v>
      </c>
      <c r="M348" s="26" t="n">
        <v>3.3</v>
      </c>
      <c r="N348" s="25">
        <f>ROUND(L348/M348, 0)</f>
        <v/>
      </c>
      <c r="O348" s="25">
        <f>ROUND(N348*'Methodology &amp; Assumptions'!$B$7, 0)</f>
        <v/>
      </c>
      <c r="P348" s="23" t="inlineStr">
        <is>
          <t>Single Carrier (Band n50, 100MHz TDD)</t>
        </is>
      </c>
      <c r="Q348" s="27">
        <f>ROUNDUP(O348/'Methodology &amp; Assumptions'!$B$8, 0)</f>
        <v/>
      </c>
      <c r="R348" s="27" t="n">
        <v>1</v>
      </c>
      <c r="S348" s="26" t="n">
        <v>2.02</v>
      </c>
      <c r="T348" s="26" t="n">
        <v>1.89</v>
      </c>
      <c r="U348" s="11">
        <f>IF(S348&lt;='Methodology &amp; Assumptions'!$B$10, "Direct Optical Drop (&lt;3km)", IF(S348&lt;='Methodology &amp; Assumptions'!$B$9, "Near Optical / Microwave (&lt;5km)", "Starlink Business LEO Satellite Backhaul (&gt;5km)"))</f>
        <v/>
      </c>
      <c r="V348" s="26" t="n">
        <v>81.13</v>
      </c>
      <c r="W348" s="26" t="n">
        <v>38.05</v>
      </c>
      <c r="X348" s="26">
        <f>ROUND(('Methodology &amp; Assumptions'!$B$5*V348) + ('Methodology &amp; Assumptions'!$B$6*W348), 2)</f>
        <v/>
      </c>
      <c r="Y348" s="28" t="n">
        <v>7.2</v>
      </c>
      <c r="Z348" s="11" t="inlineStr">
        <is>
          <t>Priority Tier 3 (Broadband Expansion)</t>
        </is>
      </c>
    </row>
    <row r="349">
      <c r="A349" s="23" t="n">
        <v>4</v>
      </c>
      <c r="B349" s="23" t="n">
        <v>345</v>
      </c>
      <c r="C349" s="23" t="n">
        <v>3345</v>
      </c>
      <c r="D349" s="23" t="inlineStr">
        <is>
          <t>0403424058</t>
        </is>
      </c>
      <c r="E349" s="11" t="inlineStr">
        <is>
          <t>Region IV-A (CALABARZON)</t>
        </is>
      </c>
      <c r="F349" s="11" t="inlineStr">
        <is>
          <t>Laguna</t>
        </is>
      </c>
      <c r="G349" s="11" t="inlineStr">
        <is>
          <t>City of San Pablo</t>
        </is>
      </c>
      <c r="H349" s="11" t="inlineStr">
        <is>
          <t>San Marcos</t>
        </is>
      </c>
      <c r="I349" s="24" t="n">
        <v>14.22695</v>
      </c>
      <c r="J349" s="24" t="n">
        <v>121.342579</v>
      </c>
      <c r="K349" s="23" t="inlineStr">
        <is>
          <t>R</t>
        </is>
      </c>
      <c r="L349" s="25" t="n">
        <v>3021</v>
      </c>
      <c r="M349" s="26" t="n">
        <v>3.3</v>
      </c>
      <c r="N349" s="25">
        <f>ROUND(L349/M349, 0)</f>
        <v/>
      </c>
      <c r="O349" s="25">
        <f>ROUND(N349*'Methodology &amp; Assumptions'!$B$7, 0)</f>
        <v/>
      </c>
      <c r="P349" s="23" t="inlineStr">
        <is>
          <t>Single Carrier (Band n50, 100MHz TDD)</t>
        </is>
      </c>
      <c r="Q349" s="27">
        <f>ROUNDUP(O349/'Methodology &amp; Assumptions'!$B$8, 0)</f>
        <v/>
      </c>
      <c r="R349" s="27" t="n">
        <v>1</v>
      </c>
      <c r="S349" s="26" t="n">
        <v>2.02</v>
      </c>
      <c r="T349" s="26" t="n">
        <v>1.89</v>
      </c>
      <c r="U349" s="11">
        <f>IF(S349&lt;='Methodology &amp; Assumptions'!$B$10, "Direct Optical Drop (&lt;3km)", IF(S349&lt;='Methodology &amp; Assumptions'!$B$9, "Near Optical / Microwave (&lt;5km)", "Starlink Business LEO Satellite Backhaul (&gt;5km)"))</f>
        <v/>
      </c>
      <c r="V349" s="26" t="n">
        <v>81.13</v>
      </c>
      <c r="W349" s="26" t="n">
        <v>38.05</v>
      </c>
      <c r="X349" s="26">
        <f>ROUND(('Methodology &amp; Assumptions'!$B$5*V349) + ('Methodology &amp; Assumptions'!$B$6*W349), 2)</f>
        <v/>
      </c>
      <c r="Y349" s="28" t="n">
        <v>7.2</v>
      </c>
      <c r="Z349" s="11" t="inlineStr">
        <is>
          <t>Priority Tier 3 (Broadband Expansion)</t>
        </is>
      </c>
    </row>
    <row r="350">
      <c r="A350" s="23" t="n">
        <v>4</v>
      </c>
      <c r="B350" s="23" t="n">
        <v>346</v>
      </c>
      <c r="C350" s="23" t="n">
        <v>3346</v>
      </c>
      <c r="D350" s="23" t="inlineStr">
        <is>
          <t>0403424059</t>
        </is>
      </c>
      <c r="E350" s="11" t="inlineStr">
        <is>
          <t>Region IV-A (CALABARZON)</t>
        </is>
      </c>
      <c r="F350" s="11" t="inlineStr">
        <is>
          <t>Laguna</t>
        </is>
      </c>
      <c r="G350" s="11" t="inlineStr">
        <is>
          <t>City of San Pablo</t>
        </is>
      </c>
      <c r="H350" s="11" t="inlineStr">
        <is>
          <t>San Mateo</t>
        </is>
      </c>
      <c r="I350" s="24" t="n">
        <v>14.22695</v>
      </c>
      <c r="J350" s="24" t="n">
        <v>121.342579</v>
      </c>
      <c r="K350" s="23" t="inlineStr">
        <is>
          <t>R</t>
        </is>
      </c>
      <c r="L350" s="25" t="n">
        <v>3443</v>
      </c>
      <c r="M350" s="26" t="n">
        <v>3.3</v>
      </c>
      <c r="N350" s="25">
        <f>ROUND(L350/M350, 0)</f>
        <v/>
      </c>
      <c r="O350" s="25">
        <f>ROUND(N350*'Methodology &amp; Assumptions'!$B$7, 0)</f>
        <v/>
      </c>
      <c r="P350" s="23" t="inlineStr">
        <is>
          <t>Single Carrier (Band n50, 100MHz TDD)</t>
        </is>
      </c>
      <c r="Q350" s="27">
        <f>ROUNDUP(O350/'Methodology &amp; Assumptions'!$B$8, 0)</f>
        <v/>
      </c>
      <c r="R350" s="27" t="n">
        <v>1</v>
      </c>
      <c r="S350" s="26" t="n">
        <v>2.02</v>
      </c>
      <c r="T350" s="26" t="n">
        <v>1.89</v>
      </c>
      <c r="U350" s="11">
        <f>IF(S350&lt;='Methodology &amp; Assumptions'!$B$10, "Direct Optical Drop (&lt;3km)", IF(S350&lt;='Methodology &amp; Assumptions'!$B$9, "Near Optical / Microwave (&lt;5km)", "Starlink Business LEO Satellite Backhaul (&gt;5km)"))</f>
        <v/>
      </c>
      <c r="V350" s="26" t="n">
        <v>81.13</v>
      </c>
      <c r="W350" s="26" t="n">
        <v>38.05</v>
      </c>
      <c r="X350" s="26">
        <f>ROUND(('Methodology &amp; Assumptions'!$B$5*V350) + ('Methodology &amp; Assumptions'!$B$6*W350), 2)</f>
        <v/>
      </c>
      <c r="Y350" s="28" t="n">
        <v>7.2</v>
      </c>
      <c r="Z350" s="11" t="inlineStr">
        <is>
          <t>Priority Tier 3 (Broadband Expansion)</t>
        </is>
      </c>
    </row>
    <row r="351">
      <c r="A351" s="23" t="n">
        <v>4</v>
      </c>
      <c r="B351" s="23" t="n">
        <v>347</v>
      </c>
      <c r="C351" s="23" t="n">
        <v>3347</v>
      </c>
      <c r="D351" s="23" t="inlineStr">
        <is>
          <t>0403424060</t>
        </is>
      </c>
      <c r="E351" s="11" t="inlineStr">
        <is>
          <t>Region IV-A (CALABARZON)</t>
        </is>
      </c>
      <c r="F351" s="11" t="inlineStr">
        <is>
          <t>Laguna</t>
        </is>
      </c>
      <c r="G351" s="11" t="inlineStr">
        <is>
          <t>City of San Pablo</t>
        </is>
      </c>
      <c r="H351" s="11" t="inlineStr">
        <is>
          <t>San Miguel</t>
        </is>
      </c>
      <c r="I351" s="24" t="n">
        <v>14.22695</v>
      </c>
      <c r="J351" s="24" t="n">
        <v>121.342579</v>
      </c>
      <c r="K351" s="23" t="inlineStr">
        <is>
          <t>R</t>
        </is>
      </c>
      <c r="L351" s="25" t="n">
        <v>3851</v>
      </c>
      <c r="M351" s="26" t="n">
        <v>3.3</v>
      </c>
      <c r="N351" s="25">
        <f>ROUND(L351/M351, 0)</f>
        <v/>
      </c>
      <c r="O351" s="25">
        <f>ROUND(N351*'Methodology &amp; Assumptions'!$B$7, 0)</f>
        <v/>
      </c>
      <c r="P351" s="23" t="inlineStr">
        <is>
          <t>Single Carrier (Band n50, 100MHz TDD)</t>
        </is>
      </c>
      <c r="Q351" s="27">
        <f>ROUNDUP(O351/'Methodology &amp; Assumptions'!$B$8, 0)</f>
        <v/>
      </c>
      <c r="R351" s="27" t="n">
        <v>1</v>
      </c>
      <c r="S351" s="26" t="n">
        <v>2.02</v>
      </c>
      <c r="T351" s="26" t="n">
        <v>1.89</v>
      </c>
      <c r="U351" s="11">
        <f>IF(S351&lt;='Methodology &amp; Assumptions'!$B$10, "Direct Optical Drop (&lt;3km)", IF(S351&lt;='Methodology &amp; Assumptions'!$B$9, "Near Optical / Microwave (&lt;5km)", "Starlink Business LEO Satellite Backhaul (&gt;5km)"))</f>
        <v/>
      </c>
      <c r="V351" s="26" t="n">
        <v>81.13</v>
      </c>
      <c r="W351" s="26" t="n">
        <v>38.05</v>
      </c>
      <c r="X351" s="26">
        <f>ROUND(('Methodology &amp; Assumptions'!$B$5*V351) + ('Methodology &amp; Assumptions'!$B$6*W351), 2)</f>
        <v/>
      </c>
      <c r="Y351" s="28" t="n">
        <v>7.2</v>
      </c>
      <c r="Z351" s="11" t="inlineStr">
        <is>
          <t>Priority Tier 3 (Broadband Expansion)</t>
        </is>
      </c>
    </row>
    <row r="352">
      <c r="A352" s="23" t="n">
        <v>4</v>
      </c>
      <c r="B352" s="23" t="n">
        <v>348</v>
      </c>
      <c r="C352" s="23" t="n">
        <v>3348</v>
      </c>
      <c r="D352" s="23" t="inlineStr">
        <is>
          <t>0403424062</t>
        </is>
      </c>
      <c r="E352" s="11" t="inlineStr">
        <is>
          <t>Region IV-A (CALABARZON)</t>
        </is>
      </c>
      <c r="F352" s="11" t="inlineStr">
        <is>
          <t>Laguna</t>
        </is>
      </c>
      <c r="G352" s="11" t="inlineStr">
        <is>
          <t>City of San Pablo</t>
        </is>
      </c>
      <c r="H352" s="11" t="inlineStr">
        <is>
          <t>San Pedro</t>
        </is>
      </c>
      <c r="I352" s="24" t="n">
        <v>14.22695</v>
      </c>
      <c r="J352" s="24" t="n">
        <v>121.342579</v>
      </c>
      <c r="K352" s="23" t="inlineStr">
        <is>
          <t>R</t>
        </is>
      </c>
      <c r="L352" s="25" t="n">
        <v>3420</v>
      </c>
      <c r="M352" s="26" t="n">
        <v>3.3</v>
      </c>
      <c r="N352" s="25">
        <f>ROUND(L352/M352, 0)</f>
        <v/>
      </c>
      <c r="O352" s="25">
        <f>ROUND(N352*'Methodology &amp; Assumptions'!$B$7, 0)</f>
        <v/>
      </c>
      <c r="P352" s="23" t="inlineStr">
        <is>
          <t>Single Carrier (Band n50, 100MHz TDD)</t>
        </is>
      </c>
      <c r="Q352" s="27">
        <f>ROUNDUP(O352/'Methodology &amp; Assumptions'!$B$8, 0)</f>
        <v/>
      </c>
      <c r="R352" s="27" t="n">
        <v>1</v>
      </c>
      <c r="S352" s="26" t="n">
        <v>2.02</v>
      </c>
      <c r="T352" s="26" t="n">
        <v>1.89</v>
      </c>
      <c r="U352" s="11">
        <f>IF(S352&lt;='Methodology &amp; Assumptions'!$B$10, "Direct Optical Drop (&lt;3km)", IF(S352&lt;='Methodology &amp; Assumptions'!$B$9, "Near Optical / Microwave (&lt;5km)", "Starlink Business LEO Satellite Backhaul (&gt;5km)"))</f>
        <v/>
      </c>
      <c r="V352" s="26" t="n">
        <v>81.13</v>
      </c>
      <c r="W352" s="26" t="n">
        <v>38.05</v>
      </c>
      <c r="X352" s="26">
        <f>ROUND(('Methodology &amp; Assumptions'!$B$5*V352) + ('Methodology &amp; Assumptions'!$B$6*W352), 2)</f>
        <v/>
      </c>
      <c r="Y352" s="28" t="n">
        <v>7.2</v>
      </c>
      <c r="Z352" s="11" t="inlineStr">
        <is>
          <t>Priority Tier 3 (Broadband Expansion)</t>
        </is>
      </c>
    </row>
    <row r="353">
      <c r="A353" s="23" t="n">
        <v>4</v>
      </c>
      <c r="B353" s="23" t="n">
        <v>349</v>
      </c>
      <c r="C353" s="23" t="n">
        <v>3349</v>
      </c>
      <c r="D353" s="23" t="inlineStr">
        <is>
          <t>0403424066</t>
        </is>
      </c>
      <c r="E353" s="11" t="inlineStr">
        <is>
          <t>Region IV-A (CALABARZON)</t>
        </is>
      </c>
      <c r="F353" s="11" t="inlineStr">
        <is>
          <t>Laguna</t>
        </is>
      </c>
      <c r="G353" s="11" t="inlineStr">
        <is>
          <t>City of San Pablo</t>
        </is>
      </c>
      <c r="H353" s="11" t="inlineStr">
        <is>
          <t>Santa Ana</t>
        </is>
      </c>
      <c r="I353" s="24" t="n">
        <v>14.22695</v>
      </c>
      <c r="J353" s="24" t="n">
        <v>121.342579</v>
      </c>
      <c r="K353" s="23" t="inlineStr">
        <is>
          <t>R</t>
        </is>
      </c>
      <c r="L353" s="25" t="n">
        <v>3207</v>
      </c>
      <c r="M353" s="26" t="n">
        <v>3.3</v>
      </c>
      <c r="N353" s="25">
        <f>ROUND(L353/M353, 0)</f>
        <v/>
      </c>
      <c r="O353" s="25">
        <f>ROUND(N353*'Methodology &amp; Assumptions'!$B$7, 0)</f>
        <v/>
      </c>
      <c r="P353" s="23" t="inlineStr">
        <is>
          <t>Single Carrier (Band n50, 100MHz TDD)</t>
        </is>
      </c>
      <c r="Q353" s="27">
        <f>ROUNDUP(O353/'Methodology &amp; Assumptions'!$B$8, 0)</f>
        <v/>
      </c>
      <c r="R353" s="27" t="n">
        <v>1</v>
      </c>
      <c r="S353" s="26" t="n">
        <v>2.02</v>
      </c>
      <c r="T353" s="26" t="n">
        <v>1.89</v>
      </c>
      <c r="U353" s="11">
        <f>IF(S353&lt;='Methodology &amp; Assumptions'!$B$10, "Direct Optical Drop (&lt;3km)", IF(S353&lt;='Methodology &amp; Assumptions'!$B$9, "Near Optical / Microwave (&lt;5km)", "Starlink Business LEO Satellite Backhaul (&gt;5km)"))</f>
        <v/>
      </c>
      <c r="V353" s="26" t="n">
        <v>81.13</v>
      </c>
      <c r="W353" s="26" t="n">
        <v>38.05</v>
      </c>
      <c r="X353" s="26">
        <f>ROUND(('Methodology &amp; Assumptions'!$B$5*V353) + ('Methodology &amp; Assumptions'!$B$6*W353), 2)</f>
        <v/>
      </c>
      <c r="Y353" s="28" t="n">
        <v>7.2</v>
      </c>
      <c r="Z353" s="11" t="inlineStr">
        <is>
          <t>Priority Tier 3 (Broadband Expansion)</t>
        </is>
      </c>
    </row>
    <row r="354">
      <c r="A354" s="23" t="n">
        <v>4</v>
      </c>
      <c r="B354" s="23" t="n">
        <v>350</v>
      </c>
      <c r="C354" s="23" t="n">
        <v>3350</v>
      </c>
      <c r="D354" s="23" t="inlineStr">
        <is>
          <t>0403424067</t>
        </is>
      </c>
      <c r="E354" s="11" t="inlineStr">
        <is>
          <t>Region IV-A (CALABARZON)</t>
        </is>
      </c>
      <c r="F354" s="11" t="inlineStr">
        <is>
          <t>Laguna</t>
        </is>
      </c>
      <c r="G354" s="11" t="inlineStr">
        <is>
          <t>City of San Pablo</t>
        </is>
      </c>
      <c r="H354" s="11" t="inlineStr">
        <is>
          <t>Santa Catalina</t>
        </is>
      </c>
      <c r="I354" s="24" t="n">
        <v>14.22695</v>
      </c>
      <c r="J354" s="24" t="n">
        <v>121.342579</v>
      </c>
      <c r="K354" s="23" t="inlineStr">
        <is>
          <t>R</t>
        </is>
      </c>
      <c r="L354" s="25" t="n">
        <v>2799</v>
      </c>
      <c r="M354" s="26" t="n">
        <v>3.3</v>
      </c>
      <c r="N354" s="25">
        <f>ROUND(L354/M354, 0)</f>
        <v/>
      </c>
      <c r="O354" s="25">
        <f>ROUND(N354*'Methodology &amp; Assumptions'!$B$7, 0)</f>
        <v/>
      </c>
      <c r="P354" s="23" t="inlineStr">
        <is>
          <t>Single Carrier (Band n50, 100MHz TDD)</t>
        </is>
      </c>
      <c r="Q354" s="27">
        <f>ROUNDUP(O354/'Methodology &amp; Assumptions'!$B$8, 0)</f>
        <v/>
      </c>
      <c r="R354" s="27" t="n">
        <v>1</v>
      </c>
      <c r="S354" s="26" t="n">
        <v>2.02</v>
      </c>
      <c r="T354" s="26" t="n">
        <v>1.89</v>
      </c>
      <c r="U354" s="11">
        <f>IF(S354&lt;='Methodology &amp; Assumptions'!$B$10, "Direct Optical Drop (&lt;3km)", IF(S354&lt;='Methodology &amp; Assumptions'!$B$9, "Near Optical / Microwave (&lt;5km)", "Starlink Business LEO Satellite Backhaul (&gt;5km)"))</f>
        <v/>
      </c>
      <c r="V354" s="26" t="n">
        <v>81.13</v>
      </c>
      <c r="W354" s="26" t="n">
        <v>38.05</v>
      </c>
      <c r="X354" s="26">
        <f>ROUND(('Methodology &amp; Assumptions'!$B$5*V354) + ('Methodology &amp; Assumptions'!$B$6*W354), 2)</f>
        <v/>
      </c>
      <c r="Y354" s="28" t="n">
        <v>7.2</v>
      </c>
      <c r="Z354" s="11" t="inlineStr">
        <is>
          <t>Priority Tier 3 (Broadband Expansion)</t>
        </is>
      </c>
    </row>
    <row r="355">
      <c r="A355" s="23" t="n">
        <v>4</v>
      </c>
      <c r="B355" s="23" t="n">
        <v>351</v>
      </c>
      <c r="C355" s="23" t="n">
        <v>3351</v>
      </c>
      <c r="D355" s="23" t="inlineStr">
        <is>
          <t>0403424068</t>
        </is>
      </c>
      <c r="E355" s="11" t="inlineStr">
        <is>
          <t>Region IV-A (CALABARZON)</t>
        </is>
      </c>
      <c r="F355" s="11" t="inlineStr">
        <is>
          <t>Laguna</t>
        </is>
      </c>
      <c r="G355" s="11" t="inlineStr">
        <is>
          <t>City of San Pablo</t>
        </is>
      </c>
      <c r="H355" s="11" t="inlineStr">
        <is>
          <t>Santa Cruz</t>
        </is>
      </c>
      <c r="I355" s="24" t="n">
        <v>14.22695</v>
      </c>
      <c r="J355" s="24" t="n">
        <v>121.342579</v>
      </c>
      <c r="K355" s="23" t="inlineStr">
        <is>
          <t>R</t>
        </is>
      </c>
      <c r="L355" s="25" t="n">
        <v>3094</v>
      </c>
      <c r="M355" s="26" t="n">
        <v>3.3</v>
      </c>
      <c r="N355" s="25">
        <f>ROUND(L355/M355, 0)</f>
        <v/>
      </c>
      <c r="O355" s="25">
        <f>ROUND(N355*'Methodology &amp; Assumptions'!$B$7, 0)</f>
        <v/>
      </c>
      <c r="P355" s="23" t="inlineStr">
        <is>
          <t>Single Carrier (Band n50, 100MHz TDD)</t>
        </is>
      </c>
      <c r="Q355" s="27">
        <f>ROUNDUP(O355/'Methodology &amp; Assumptions'!$B$8, 0)</f>
        <v/>
      </c>
      <c r="R355" s="27" t="n">
        <v>1</v>
      </c>
      <c r="S355" s="26" t="n">
        <v>2.02</v>
      </c>
      <c r="T355" s="26" t="n">
        <v>1.89</v>
      </c>
      <c r="U355" s="11">
        <f>IF(S355&lt;='Methodology &amp; Assumptions'!$B$10, "Direct Optical Drop (&lt;3km)", IF(S355&lt;='Methodology &amp; Assumptions'!$B$9, "Near Optical / Microwave (&lt;5km)", "Starlink Business LEO Satellite Backhaul (&gt;5km)"))</f>
        <v/>
      </c>
      <c r="V355" s="26" t="n">
        <v>81.13</v>
      </c>
      <c r="W355" s="26" t="n">
        <v>38.05</v>
      </c>
      <c r="X355" s="26">
        <f>ROUND(('Methodology &amp; Assumptions'!$B$5*V355) + ('Methodology &amp; Assumptions'!$B$6*W355), 2)</f>
        <v/>
      </c>
      <c r="Y355" s="28" t="n">
        <v>7.2</v>
      </c>
      <c r="Z355" s="11" t="inlineStr">
        <is>
          <t>Priority Tier 3 (Broadband Expansion)</t>
        </is>
      </c>
    </row>
    <row r="356">
      <c r="A356" s="23" t="n">
        <v>4</v>
      </c>
      <c r="B356" s="23" t="n">
        <v>352</v>
      </c>
      <c r="C356" s="23" t="n">
        <v>3352</v>
      </c>
      <c r="D356" s="23" t="inlineStr">
        <is>
          <t>0403424069</t>
        </is>
      </c>
      <c r="E356" s="11" t="inlineStr">
        <is>
          <t>Region IV-A (CALABARZON)</t>
        </is>
      </c>
      <c r="F356" s="11" t="inlineStr">
        <is>
          <t>Laguna</t>
        </is>
      </c>
      <c r="G356" s="11" t="inlineStr">
        <is>
          <t>City of San Pablo</t>
        </is>
      </c>
      <c r="H356" s="11" t="inlineStr">
        <is>
          <t>Santa Felomina</t>
        </is>
      </c>
      <c r="I356" s="24" t="n">
        <v>14.22695</v>
      </c>
      <c r="J356" s="24" t="n">
        <v>121.342579</v>
      </c>
      <c r="K356" s="23" t="inlineStr">
        <is>
          <t>R</t>
        </is>
      </c>
      <c r="L356" s="25" t="n">
        <v>3910</v>
      </c>
      <c r="M356" s="26" t="n">
        <v>3.3</v>
      </c>
      <c r="N356" s="25">
        <f>ROUND(L356/M356, 0)</f>
        <v/>
      </c>
      <c r="O356" s="25">
        <f>ROUND(N356*'Methodology &amp; Assumptions'!$B$7, 0)</f>
        <v/>
      </c>
      <c r="P356" s="23" t="inlineStr">
        <is>
          <t>Single Carrier (Band n50, 100MHz TDD)</t>
        </is>
      </c>
      <c r="Q356" s="27">
        <f>ROUNDUP(O356/'Methodology &amp; Assumptions'!$B$8, 0)</f>
        <v/>
      </c>
      <c r="R356" s="27" t="n">
        <v>1</v>
      </c>
      <c r="S356" s="26" t="n">
        <v>2.02</v>
      </c>
      <c r="T356" s="26" t="n">
        <v>1.89</v>
      </c>
      <c r="U356" s="11">
        <f>IF(S356&lt;='Methodology &amp; Assumptions'!$B$10, "Direct Optical Drop (&lt;3km)", IF(S356&lt;='Methodology &amp; Assumptions'!$B$9, "Near Optical / Microwave (&lt;5km)", "Starlink Business LEO Satellite Backhaul (&gt;5km)"))</f>
        <v/>
      </c>
      <c r="V356" s="26" t="n">
        <v>81.13</v>
      </c>
      <c r="W356" s="26" t="n">
        <v>38.05</v>
      </c>
      <c r="X356" s="26">
        <f>ROUND(('Methodology &amp; Assumptions'!$B$5*V356) + ('Methodology &amp; Assumptions'!$B$6*W356), 2)</f>
        <v/>
      </c>
      <c r="Y356" s="28" t="n">
        <v>7.2</v>
      </c>
      <c r="Z356" s="11" t="inlineStr">
        <is>
          <t>Priority Tier 3 (Broadband Expansion)</t>
        </is>
      </c>
    </row>
    <row r="357">
      <c r="A357" s="23" t="n">
        <v>4</v>
      </c>
      <c r="B357" s="23" t="n">
        <v>353</v>
      </c>
      <c r="C357" s="23" t="n">
        <v>3353</v>
      </c>
      <c r="D357" s="23" t="inlineStr">
        <is>
          <t>0403424070</t>
        </is>
      </c>
      <c r="E357" s="11" t="inlineStr">
        <is>
          <t>Region IV-A (CALABARZON)</t>
        </is>
      </c>
      <c r="F357" s="11" t="inlineStr">
        <is>
          <t>Laguna</t>
        </is>
      </c>
      <c r="G357" s="11" t="inlineStr">
        <is>
          <t>City of San Pablo</t>
        </is>
      </c>
      <c r="H357" s="11" t="inlineStr">
        <is>
          <t>Santa Isabel</t>
        </is>
      </c>
      <c r="I357" s="24" t="n">
        <v>14.22695</v>
      </c>
      <c r="J357" s="24" t="n">
        <v>121.342579</v>
      </c>
      <c r="K357" s="23" t="inlineStr">
        <is>
          <t>R</t>
        </is>
      </c>
      <c r="L357" s="25" t="n">
        <v>4198</v>
      </c>
      <c r="M357" s="26" t="n">
        <v>3.3</v>
      </c>
      <c r="N357" s="25">
        <f>ROUND(L357/M357, 0)</f>
        <v/>
      </c>
      <c r="O357" s="25">
        <f>ROUND(N357*'Methodology &amp; Assumptions'!$B$7, 0)</f>
        <v/>
      </c>
      <c r="P357" s="23" t="inlineStr">
        <is>
          <t>Single Carrier (Band n50, 100MHz TDD)</t>
        </is>
      </c>
      <c r="Q357" s="27">
        <f>ROUNDUP(O357/'Methodology &amp; Assumptions'!$B$8, 0)</f>
        <v/>
      </c>
      <c r="R357" s="27" t="n">
        <v>1</v>
      </c>
      <c r="S357" s="26" t="n">
        <v>2.02</v>
      </c>
      <c r="T357" s="26" t="n">
        <v>1.89</v>
      </c>
      <c r="U357" s="11">
        <f>IF(S357&lt;='Methodology &amp; Assumptions'!$B$10, "Direct Optical Drop (&lt;3km)", IF(S357&lt;='Methodology &amp; Assumptions'!$B$9, "Near Optical / Microwave (&lt;5km)", "Starlink Business LEO Satellite Backhaul (&gt;5km)"))</f>
        <v/>
      </c>
      <c r="V357" s="26" t="n">
        <v>81.13</v>
      </c>
      <c r="W357" s="26" t="n">
        <v>38.05</v>
      </c>
      <c r="X357" s="26">
        <f>ROUND(('Methodology &amp; Assumptions'!$B$5*V357) + ('Methodology &amp; Assumptions'!$B$6*W357), 2)</f>
        <v/>
      </c>
      <c r="Y357" s="28" t="n">
        <v>7.2</v>
      </c>
      <c r="Z357" s="11" t="inlineStr">
        <is>
          <t>Priority Tier 3 (Broadband Expansion)</t>
        </is>
      </c>
    </row>
    <row r="358">
      <c r="A358" s="23" t="n">
        <v>4</v>
      </c>
      <c r="B358" s="23" t="n">
        <v>354</v>
      </c>
      <c r="C358" s="23" t="n">
        <v>3354</v>
      </c>
      <c r="D358" s="23" t="inlineStr">
        <is>
          <t>0403424071</t>
        </is>
      </c>
      <c r="E358" s="11" t="inlineStr">
        <is>
          <t>Region IV-A (CALABARZON)</t>
        </is>
      </c>
      <c r="F358" s="11" t="inlineStr">
        <is>
          <t>Laguna</t>
        </is>
      </c>
      <c r="G358" s="11" t="inlineStr">
        <is>
          <t>City of San Pablo</t>
        </is>
      </c>
      <c r="H358" s="11" t="inlineStr">
        <is>
          <t>Santa Maria Magdalena</t>
        </is>
      </c>
      <c r="I358" s="24" t="n">
        <v>14.22695</v>
      </c>
      <c r="J358" s="24" t="n">
        <v>121.342579</v>
      </c>
      <c r="K358" s="23" t="inlineStr">
        <is>
          <t>R</t>
        </is>
      </c>
      <c r="L358" s="25" t="n">
        <v>3045</v>
      </c>
      <c r="M358" s="26" t="n">
        <v>3.3</v>
      </c>
      <c r="N358" s="25">
        <f>ROUND(L358/M358, 0)</f>
        <v/>
      </c>
      <c r="O358" s="25">
        <f>ROUND(N358*'Methodology &amp; Assumptions'!$B$7, 0)</f>
        <v/>
      </c>
      <c r="P358" s="23" t="inlineStr">
        <is>
          <t>Single Carrier (Band n50, 100MHz TDD)</t>
        </is>
      </c>
      <c r="Q358" s="27">
        <f>ROUNDUP(O358/'Methodology &amp; Assumptions'!$B$8, 0)</f>
        <v/>
      </c>
      <c r="R358" s="27" t="n">
        <v>1</v>
      </c>
      <c r="S358" s="26" t="n">
        <v>2.02</v>
      </c>
      <c r="T358" s="26" t="n">
        <v>1.89</v>
      </c>
      <c r="U358" s="11">
        <f>IF(S358&lt;='Methodology &amp; Assumptions'!$B$10, "Direct Optical Drop (&lt;3km)", IF(S358&lt;='Methodology &amp; Assumptions'!$B$9, "Near Optical / Microwave (&lt;5km)", "Starlink Business LEO Satellite Backhaul (&gt;5km)"))</f>
        <v/>
      </c>
      <c r="V358" s="26" t="n">
        <v>81.13</v>
      </c>
      <c r="W358" s="26" t="n">
        <v>38.05</v>
      </c>
      <c r="X358" s="26">
        <f>ROUND(('Methodology &amp; Assumptions'!$B$5*V358) + ('Methodology &amp; Assumptions'!$B$6*W358), 2)</f>
        <v/>
      </c>
      <c r="Y358" s="28" t="n">
        <v>7.2</v>
      </c>
      <c r="Z358" s="11" t="inlineStr">
        <is>
          <t>Priority Tier 3 (Broadband Expansion)</t>
        </is>
      </c>
    </row>
    <row r="359">
      <c r="A359" s="23" t="n">
        <v>4</v>
      </c>
      <c r="B359" s="23" t="n">
        <v>355</v>
      </c>
      <c r="C359" s="23" t="n">
        <v>3355</v>
      </c>
      <c r="D359" s="23" t="inlineStr">
        <is>
          <t>0403424073</t>
        </is>
      </c>
      <c r="E359" s="11" t="inlineStr">
        <is>
          <t>Region IV-A (CALABARZON)</t>
        </is>
      </c>
      <c r="F359" s="11" t="inlineStr">
        <is>
          <t>Laguna</t>
        </is>
      </c>
      <c r="G359" s="11" t="inlineStr">
        <is>
          <t>City of San Pablo</t>
        </is>
      </c>
      <c r="H359" s="11" t="inlineStr">
        <is>
          <t>Santiago I</t>
        </is>
      </c>
      <c r="I359" s="24" t="n">
        <v>14.22695</v>
      </c>
      <c r="J359" s="24" t="n">
        <v>121.342579</v>
      </c>
      <c r="K359" s="23" t="inlineStr">
        <is>
          <t>R</t>
        </is>
      </c>
      <c r="L359" s="25" t="n">
        <v>3002</v>
      </c>
      <c r="M359" s="26" t="n">
        <v>3.3</v>
      </c>
      <c r="N359" s="25">
        <f>ROUND(L359/M359, 0)</f>
        <v/>
      </c>
      <c r="O359" s="25">
        <f>ROUND(N359*'Methodology &amp; Assumptions'!$B$7, 0)</f>
        <v/>
      </c>
      <c r="P359" s="23" t="inlineStr">
        <is>
          <t>Single Carrier (Band n50, 100MHz TDD)</t>
        </is>
      </c>
      <c r="Q359" s="27">
        <f>ROUNDUP(O359/'Methodology &amp; Assumptions'!$B$8, 0)</f>
        <v/>
      </c>
      <c r="R359" s="27" t="n">
        <v>1</v>
      </c>
      <c r="S359" s="26" t="n">
        <v>2.02</v>
      </c>
      <c r="T359" s="26" t="n">
        <v>1.89</v>
      </c>
      <c r="U359" s="11">
        <f>IF(S359&lt;='Methodology &amp; Assumptions'!$B$10, "Direct Optical Drop (&lt;3km)", IF(S359&lt;='Methodology &amp; Assumptions'!$B$9, "Near Optical / Microwave (&lt;5km)", "Starlink Business LEO Satellite Backhaul (&gt;5km)"))</f>
        <v/>
      </c>
      <c r="V359" s="26" t="n">
        <v>81.13</v>
      </c>
      <c r="W359" s="26" t="n">
        <v>38.05</v>
      </c>
      <c r="X359" s="26">
        <f>ROUND(('Methodology &amp; Assumptions'!$B$5*V359) + ('Methodology &amp; Assumptions'!$B$6*W359), 2)</f>
        <v/>
      </c>
      <c r="Y359" s="28" t="n">
        <v>7.2</v>
      </c>
      <c r="Z359" s="11" t="inlineStr">
        <is>
          <t>Priority Tier 3 (Broadband Expansion)</t>
        </is>
      </c>
    </row>
    <row r="360">
      <c r="A360" s="23" t="n">
        <v>4</v>
      </c>
      <c r="B360" s="23" t="n">
        <v>356</v>
      </c>
      <c r="C360" s="23" t="n">
        <v>3356</v>
      </c>
      <c r="D360" s="23" t="inlineStr">
        <is>
          <t>0403424074</t>
        </is>
      </c>
      <c r="E360" s="11" t="inlineStr">
        <is>
          <t>Region IV-A (CALABARZON)</t>
        </is>
      </c>
      <c r="F360" s="11" t="inlineStr">
        <is>
          <t>Laguna</t>
        </is>
      </c>
      <c r="G360" s="11" t="inlineStr">
        <is>
          <t>City of San Pablo</t>
        </is>
      </c>
      <c r="H360" s="11" t="inlineStr">
        <is>
          <t>Santiago II</t>
        </is>
      </c>
      <c r="I360" s="24" t="n">
        <v>14.22695</v>
      </c>
      <c r="J360" s="24" t="n">
        <v>121.342579</v>
      </c>
      <c r="K360" s="23" t="inlineStr">
        <is>
          <t>R</t>
        </is>
      </c>
      <c r="L360" s="25" t="n">
        <v>3776</v>
      </c>
      <c r="M360" s="26" t="n">
        <v>3.3</v>
      </c>
      <c r="N360" s="25">
        <f>ROUND(L360/M360, 0)</f>
        <v/>
      </c>
      <c r="O360" s="25">
        <f>ROUND(N360*'Methodology &amp; Assumptions'!$B$7, 0)</f>
        <v/>
      </c>
      <c r="P360" s="23" t="inlineStr">
        <is>
          <t>Single Carrier (Band n50, 100MHz TDD)</t>
        </is>
      </c>
      <c r="Q360" s="27">
        <f>ROUNDUP(O360/'Methodology &amp; Assumptions'!$B$8, 0)</f>
        <v/>
      </c>
      <c r="R360" s="27" t="n">
        <v>1</v>
      </c>
      <c r="S360" s="26" t="n">
        <v>2.02</v>
      </c>
      <c r="T360" s="26" t="n">
        <v>1.89</v>
      </c>
      <c r="U360" s="11">
        <f>IF(S360&lt;='Methodology &amp; Assumptions'!$B$10, "Direct Optical Drop (&lt;3km)", IF(S360&lt;='Methodology &amp; Assumptions'!$B$9, "Near Optical / Microwave (&lt;5km)", "Starlink Business LEO Satellite Backhaul (&gt;5km)"))</f>
        <v/>
      </c>
      <c r="V360" s="26" t="n">
        <v>81.13</v>
      </c>
      <c r="W360" s="26" t="n">
        <v>38.05</v>
      </c>
      <c r="X360" s="26">
        <f>ROUND(('Methodology &amp; Assumptions'!$B$5*V360) + ('Methodology &amp; Assumptions'!$B$6*W360), 2)</f>
        <v/>
      </c>
      <c r="Y360" s="28" t="n">
        <v>7.2</v>
      </c>
      <c r="Z360" s="11" t="inlineStr">
        <is>
          <t>Priority Tier 3 (Broadband Expansion)</t>
        </is>
      </c>
    </row>
    <row r="361">
      <c r="A361" s="23" t="n">
        <v>4</v>
      </c>
      <c r="B361" s="23" t="n">
        <v>357</v>
      </c>
      <c r="C361" s="23" t="n">
        <v>3357</v>
      </c>
      <c r="D361" s="23" t="inlineStr">
        <is>
          <t>0403424077</t>
        </is>
      </c>
      <c r="E361" s="11" t="inlineStr">
        <is>
          <t>Region IV-A (CALABARZON)</t>
        </is>
      </c>
      <c r="F361" s="11" t="inlineStr">
        <is>
          <t>Laguna</t>
        </is>
      </c>
      <c r="G361" s="11" t="inlineStr">
        <is>
          <t>City of San Pablo</t>
        </is>
      </c>
      <c r="H361" s="11" t="inlineStr">
        <is>
          <t>Santo Cristo</t>
        </is>
      </c>
      <c r="I361" s="24" t="n">
        <v>14.22695</v>
      </c>
      <c r="J361" s="24" t="n">
        <v>121.342579</v>
      </c>
      <c r="K361" s="23" t="inlineStr">
        <is>
          <t>R</t>
        </is>
      </c>
      <c r="L361" s="25" t="n">
        <v>3552</v>
      </c>
      <c r="M361" s="26" t="n">
        <v>3.3</v>
      </c>
      <c r="N361" s="25">
        <f>ROUND(L361/M361, 0)</f>
        <v/>
      </c>
      <c r="O361" s="25">
        <f>ROUND(N361*'Methodology &amp; Assumptions'!$B$7, 0)</f>
        <v/>
      </c>
      <c r="P361" s="23" t="inlineStr">
        <is>
          <t>Single Carrier (Band n50, 100MHz TDD)</t>
        </is>
      </c>
      <c r="Q361" s="27">
        <f>ROUNDUP(O361/'Methodology &amp; Assumptions'!$B$8, 0)</f>
        <v/>
      </c>
      <c r="R361" s="27" t="n">
        <v>1</v>
      </c>
      <c r="S361" s="26" t="n">
        <v>2.02</v>
      </c>
      <c r="T361" s="26" t="n">
        <v>1.89</v>
      </c>
      <c r="U361" s="11">
        <f>IF(S361&lt;='Methodology &amp; Assumptions'!$B$10, "Direct Optical Drop (&lt;3km)", IF(S361&lt;='Methodology &amp; Assumptions'!$B$9, "Near Optical / Microwave (&lt;5km)", "Starlink Business LEO Satellite Backhaul (&gt;5km)"))</f>
        <v/>
      </c>
      <c r="V361" s="26" t="n">
        <v>81.13</v>
      </c>
      <c r="W361" s="26" t="n">
        <v>38.05</v>
      </c>
      <c r="X361" s="26">
        <f>ROUND(('Methodology &amp; Assumptions'!$B$5*V361) + ('Methodology &amp; Assumptions'!$B$6*W361), 2)</f>
        <v/>
      </c>
      <c r="Y361" s="28" t="n">
        <v>7.2</v>
      </c>
      <c r="Z361" s="11" t="inlineStr">
        <is>
          <t>Priority Tier 3 (Broadband Expansion)</t>
        </is>
      </c>
    </row>
    <row r="362">
      <c r="A362" s="23" t="n">
        <v>4</v>
      </c>
      <c r="B362" s="23" t="n">
        <v>358</v>
      </c>
      <c r="C362" s="23" t="n">
        <v>3358</v>
      </c>
      <c r="D362" s="23" t="inlineStr">
        <is>
          <t>0403424079</t>
        </is>
      </c>
      <c r="E362" s="11" t="inlineStr">
        <is>
          <t>Region IV-A (CALABARZON)</t>
        </is>
      </c>
      <c r="F362" s="11" t="inlineStr">
        <is>
          <t>Laguna</t>
        </is>
      </c>
      <c r="G362" s="11" t="inlineStr">
        <is>
          <t>City of San Pablo</t>
        </is>
      </c>
      <c r="H362" s="11" t="inlineStr">
        <is>
          <t>Soledad</t>
        </is>
      </c>
      <c r="I362" s="24" t="n">
        <v>14.22695</v>
      </c>
      <c r="J362" s="24" t="n">
        <v>121.342579</v>
      </c>
      <c r="K362" s="23" t="inlineStr">
        <is>
          <t>R</t>
        </is>
      </c>
      <c r="L362" s="25" t="n">
        <v>4122</v>
      </c>
      <c r="M362" s="26" t="n">
        <v>3.3</v>
      </c>
      <c r="N362" s="25">
        <f>ROUND(L362/M362, 0)</f>
        <v/>
      </c>
      <c r="O362" s="25">
        <f>ROUND(N362*'Methodology &amp; Assumptions'!$B$7, 0)</f>
        <v/>
      </c>
      <c r="P362" s="23" t="inlineStr">
        <is>
          <t>Single Carrier (Band n50, 100MHz TDD)</t>
        </is>
      </c>
      <c r="Q362" s="27">
        <f>ROUNDUP(O362/'Methodology &amp; Assumptions'!$B$8, 0)</f>
        <v/>
      </c>
      <c r="R362" s="27" t="n">
        <v>1</v>
      </c>
      <c r="S362" s="26" t="n">
        <v>2.02</v>
      </c>
      <c r="T362" s="26" t="n">
        <v>1.89</v>
      </c>
      <c r="U362" s="11">
        <f>IF(S362&lt;='Methodology &amp; Assumptions'!$B$10, "Direct Optical Drop (&lt;3km)", IF(S362&lt;='Methodology &amp; Assumptions'!$B$9, "Near Optical / Microwave (&lt;5km)", "Starlink Business LEO Satellite Backhaul (&gt;5km)"))</f>
        <v/>
      </c>
      <c r="V362" s="26" t="n">
        <v>81.13</v>
      </c>
      <c r="W362" s="26" t="n">
        <v>38.05</v>
      </c>
      <c r="X362" s="26">
        <f>ROUND(('Methodology &amp; Assumptions'!$B$5*V362) + ('Methodology &amp; Assumptions'!$B$6*W362), 2)</f>
        <v/>
      </c>
      <c r="Y362" s="28" t="n">
        <v>7.2</v>
      </c>
      <c r="Z362" s="11" t="inlineStr">
        <is>
          <t>Priority Tier 3 (Broadband Expansion)</t>
        </is>
      </c>
    </row>
    <row r="363">
      <c r="A363" s="23" t="n">
        <v>4</v>
      </c>
      <c r="B363" s="23" t="n">
        <v>359</v>
      </c>
      <c r="C363" s="23" t="n">
        <v>3359</v>
      </c>
      <c r="D363" s="23" t="inlineStr">
        <is>
          <t>0403424081</t>
        </is>
      </c>
      <c r="E363" s="11" t="inlineStr">
        <is>
          <t>Region IV-A (CALABARZON)</t>
        </is>
      </c>
      <c r="F363" s="11" t="inlineStr">
        <is>
          <t>Laguna</t>
        </is>
      </c>
      <c r="G363" s="11" t="inlineStr">
        <is>
          <t>City of San Pablo</t>
        </is>
      </c>
      <c r="H363" s="11" t="inlineStr">
        <is>
          <t>Santa Elena</t>
        </is>
      </c>
      <c r="I363" s="24" t="n">
        <v>14.22695</v>
      </c>
      <c r="J363" s="24" t="n">
        <v>121.342579</v>
      </c>
      <c r="K363" s="23" t="inlineStr">
        <is>
          <t>R</t>
        </is>
      </c>
      <c r="L363" s="25" t="n">
        <v>5049</v>
      </c>
      <c r="M363" s="26" t="n">
        <v>3.3</v>
      </c>
      <c r="N363" s="25">
        <f>ROUND(L363/M363, 0)</f>
        <v/>
      </c>
      <c r="O363" s="25">
        <f>ROUND(N363*'Methodology &amp; Assumptions'!$B$7, 0)</f>
        <v/>
      </c>
      <c r="P363" s="23" t="inlineStr">
        <is>
          <t>Single Carrier (Band n50, 100MHz TDD)</t>
        </is>
      </c>
      <c r="Q363" s="27">
        <f>ROUNDUP(O363/'Methodology &amp; Assumptions'!$B$8, 0)</f>
        <v/>
      </c>
      <c r="R363" s="27" t="n">
        <v>1</v>
      </c>
      <c r="S363" s="26" t="n">
        <v>2.02</v>
      </c>
      <c r="T363" s="26" t="n">
        <v>1.89</v>
      </c>
      <c r="U363" s="11">
        <f>IF(S363&lt;='Methodology &amp; Assumptions'!$B$10, "Direct Optical Drop (&lt;3km)", IF(S363&lt;='Methodology &amp; Assumptions'!$B$9, "Near Optical / Microwave (&lt;5km)", "Starlink Business LEO Satellite Backhaul (&gt;5km)"))</f>
        <v/>
      </c>
      <c r="V363" s="26" t="n">
        <v>81.13</v>
      </c>
      <c r="W363" s="26" t="n">
        <v>38.05</v>
      </c>
      <c r="X363" s="26">
        <f>ROUND(('Methodology &amp; Assumptions'!$B$5*V363) + ('Methodology &amp; Assumptions'!$B$6*W363), 2)</f>
        <v/>
      </c>
      <c r="Y363" s="28" t="n">
        <v>7.2</v>
      </c>
      <c r="Z363" s="11" t="inlineStr">
        <is>
          <t>Priority Tier 3 (Broadband Expansion)</t>
        </is>
      </c>
    </row>
    <row r="364">
      <c r="A364" s="23" t="n">
        <v>4</v>
      </c>
      <c r="B364" s="23" t="n">
        <v>360</v>
      </c>
      <c r="C364" s="23" t="n">
        <v>3360</v>
      </c>
      <c r="D364" s="23" t="inlineStr">
        <is>
          <t>0403424082</t>
        </is>
      </c>
      <c r="E364" s="11" t="inlineStr">
        <is>
          <t>Region IV-A (CALABARZON)</t>
        </is>
      </c>
      <c r="F364" s="11" t="inlineStr">
        <is>
          <t>Laguna</t>
        </is>
      </c>
      <c r="G364" s="11" t="inlineStr">
        <is>
          <t>City of San Pablo</t>
        </is>
      </c>
      <c r="H364" s="11" t="inlineStr">
        <is>
          <t>Santa Maria</t>
        </is>
      </c>
      <c r="I364" s="24" t="n">
        <v>14.22695</v>
      </c>
      <c r="J364" s="24" t="n">
        <v>121.342579</v>
      </c>
      <c r="K364" s="23" t="inlineStr">
        <is>
          <t>R</t>
        </is>
      </c>
      <c r="L364" s="25" t="n">
        <v>4409</v>
      </c>
      <c r="M364" s="26" t="n">
        <v>3.3</v>
      </c>
      <c r="N364" s="25">
        <f>ROUND(L364/M364, 0)</f>
        <v/>
      </c>
      <c r="O364" s="25">
        <f>ROUND(N364*'Methodology &amp; Assumptions'!$B$7, 0)</f>
        <v/>
      </c>
      <c r="P364" s="23" t="inlineStr">
        <is>
          <t>Single Carrier (Band n50, 100MHz TDD)</t>
        </is>
      </c>
      <c r="Q364" s="27">
        <f>ROUNDUP(O364/'Methodology &amp; Assumptions'!$B$8, 0)</f>
        <v/>
      </c>
      <c r="R364" s="27" t="n">
        <v>1</v>
      </c>
      <c r="S364" s="26" t="n">
        <v>2.02</v>
      </c>
      <c r="T364" s="26" t="n">
        <v>1.89</v>
      </c>
      <c r="U364" s="11">
        <f>IF(S364&lt;='Methodology &amp; Assumptions'!$B$10, "Direct Optical Drop (&lt;3km)", IF(S364&lt;='Methodology &amp; Assumptions'!$B$9, "Near Optical / Microwave (&lt;5km)", "Starlink Business LEO Satellite Backhaul (&gt;5km)"))</f>
        <v/>
      </c>
      <c r="V364" s="26" t="n">
        <v>81.13</v>
      </c>
      <c r="W364" s="26" t="n">
        <v>38.05</v>
      </c>
      <c r="X364" s="26">
        <f>ROUND(('Methodology &amp; Assumptions'!$B$5*V364) + ('Methodology &amp; Assumptions'!$B$6*W364), 2)</f>
        <v/>
      </c>
      <c r="Y364" s="28" t="n">
        <v>7.2</v>
      </c>
      <c r="Z364" s="11" t="inlineStr">
        <is>
          <t>Priority Tier 3 (Broadband Expansion)</t>
        </is>
      </c>
    </row>
    <row r="365">
      <c r="A365" s="23" t="n">
        <v>4</v>
      </c>
      <c r="B365" s="23" t="n">
        <v>361</v>
      </c>
      <c r="C365" s="23" t="n">
        <v>3361</v>
      </c>
      <c r="D365" s="23" t="inlineStr">
        <is>
          <t>0402106013</t>
        </is>
      </c>
      <c r="E365" s="11" t="inlineStr">
        <is>
          <t>Region IV-A (CALABARZON)</t>
        </is>
      </c>
      <c r="F365" s="11" t="inlineStr">
        <is>
          <t>Cavite</t>
        </is>
      </c>
      <c r="G365" s="11" t="inlineStr">
        <is>
          <t>City of Dasmariñas</t>
        </is>
      </c>
      <c r="H365" s="11" t="inlineStr">
        <is>
          <t>Sampaloc I</t>
        </is>
      </c>
      <c r="I365" s="24" t="n">
        <v>14.296701</v>
      </c>
      <c r="J365" s="24" t="n">
        <v>120.954832</v>
      </c>
      <c r="K365" s="23" t="inlineStr">
        <is>
          <t>U</t>
        </is>
      </c>
      <c r="L365" s="25" t="n">
        <v>8066</v>
      </c>
      <c r="M365" s="26" t="n">
        <v>3.4</v>
      </c>
      <c r="N365" s="25">
        <f>ROUND(L365/M365, 0)</f>
        <v/>
      </c>
      <c r="O365" s="25">
        <f>ROUND(N365*'Methodology &amp; Assumptions'!$B$7, 0)</f>
        <v/>
      </c>
      <c r="P365" s="23" t="inlineStr">
        <is>
          <t>Single Carrier (Band n50, 100MHz TDD)</t>
        </is>
      </c>
      <c r="Q365" s="27">
        <f>ROUNDUP(O365/'Methodology &amp; Assumptions'!$B$8, 0)</f>
        <v/>
      </c>
      <c r="R365" s="27" t="n">
        <v>1</v>
      </c>
      <c r="S365" s="26" t="n">
        <v>0.57</v>
      </c>
      <c r="T365" s="26" t="n">
        <v>0.31</v>
      </c>
      <c r="U365" s="11">
        <f>IF(S365&lt;='Methodology &amp; Assumptions'!$B$10, "Direct Optical Drop (&lt;3km)", IF(S365&lt;='Methodology &amp; Assumptions'!$B$9, "Near Optical / Microwave (&lt;5km)", "Starlink Business LEO Satellite Backhaul (&gt;5km)"))</f>
        <v/>
      </c>
      <c r="V365" s="26" t="n">
        <v>78.26000000000001</v>
      </c>
      <c r="W365" s="26" t="n">
        <v>40.92</v>
      </c>
      <c r="X365" s="26">
        <f>ROUND(('Methodology &amp; Assumptions'!$B$5*V365) + ('Methodology &amp; Assumptions'!$B$6*W365), 2)</f>
        <v/>
      </c>
      <c r="Y365" s="28" t="n">
        <v>7.2</v>
      </c>
      <c r="Z365" s="11" t="inlineStr">
        <is>
          <t>Priority Tier 3 (Broadband Expansion)</t>
        </is>
      </c>
    </row>
    <row r="366">
      <c r="A366" s="23" t="n">
        <v>4</v>
      </c>
      <c r="B366" s="23" t="n">
        <v>362</v>
      </c>
      <c r="C366" s="23" t="n">
        <v>3362</v>
      </c>
      <c r="D366" s="23" t="inlineStr">
        <is>
          <t>0301410029</t>
        </is>
      </c>
      <c r="E366" s="11" t="inlineStr">
        <is>
          <t>Region III (Central Luzon)</t>
        </is>
      </c>
      <c r="F366" s="11" t="inlineStr">
        <is>
          <t>Bulacan</t>
        </is>
      </c>
      <c r="G366" s="11" t="inlineStr">
        <is>
          <t>City of Malolos</t>
        </is>
      </c>
      <c r="H366" s="11" t="inlineStr">
        <is>
          <t>Mabolo</t>
        </is>
      </c>
      <c r="I366" s="24" t="n">
        <v>14.843617</v>
      </c>
      <c r="J366" s="24" t="n">
        <v>120.824836</v>
      </c>
      <c r="K366" s="23" t="inlineStr">
        <is>
          <t>U</t>
        </is>
      </c>
      <c r="L366" s="25" t="n">
        <v>6565</v>
      </c>
      <c r="M366" s="26" t="n">
        <v>3.5</v>
      </c>
      <c r="N366" s="25">
        <f>ROUND(L366/M366, 0)</f>
        <v/>
      </c>
      <c r="O366" s="25">
        <f>ROUND(N366*'Methodology &amp; Assumptions'!$B$7, 0)</f>
        <v/>
      </c>
      <c r="P366" s="23" t="inlineStr">
        <is>
          <t>Single Carrier (Band n50, 100MHz TDD)</t>
        </is>
      </c>
      <c r="Q366" s="27">
        <f>ROUNDUP(O366/'Methodology &amp; Assumptions'!$B$8, 0)</f>
        <v/>
      </c>
      <c r="R366" s="27" t="n">
        <v>1</v>
      </c>
      <c r="S366" s="26" t="n">
        <v>1.4</v>
      </c>
      <c r="T366" s="26" t="n">
        <v>0.62</v>
      </c>
      <c r="U366" s="11">
        <f>IF(S366&lt;='Methodology &amp; Assumptions'!$B$10, "Direct Optical Drop (&lt;3km)", IF(S366&lt;='Methodology &amp; Assumptions'!$B$9, "Near Optical / Microwave (&lt;5km)", "Starlink Business LEO Satellite Backhaul (&gt;5km)"))</f>
        <v/>
      </c>
      <c r="V366" s="26" t="n">
        <v>76.31999999999999</v>
      </c>
      <c r="W366" s="26" t="n">
        <v>42.85</v>
      </c>
      <c r="X366" s="26">
        <f>ROUND(('Methodology &amp; Assumptions'!$B$5*V366) + ('Methodology &amp; Assumptions'!$B$6*W366), 2)</f>
        <v/>
      </c>
      <c r="Y366" s="28" t="n">
        <v>8.300000000000001</v>
      </c>
      <c r="Z366" s="11" t="inlineStr">
        <is>
          <t>Priority Tier 3 (Broadband Expansion)</t>
        </is>
      </c>
    </row>
    <row r="367">
      <c r="A367" s="23" t="n">
        <v>4</v>
      </c>
      <c r="B367" s="23" t="n">
        <v>363</v>
      </c>
      <c r="C367" s="23" t="n">
        <v>3363</v>
      </c>
      <c r="D367" s="23" t="inlineStr">
        <is>
          <t>1705312003</t>
        </is>
      </c>
      <c r="E367" s="11" t="inlineStr">
        <is>
          <t>MIMAROPA Region</t>
        </is>
      </c>
      <c r="F367" s="11" t="inlineStr">
        <is>
          <t>Palawan</t>
        </is>
      </c>
      <c r="G367" s="11" t="inlineStr">
        <is>
          <t>El Nido</t>
        </is>
      </c>
      <c r="H367" s="11" t="inlineStr">
        <is>
          <t>Barotuan</t>
        </is>
      </c>
      <c r="I367" s="24" t="n">
        <v>11.305887</v>
      </c>
      <c r="J367" s="24" t="n">
        <v>119.450152</v>
      </c>
      <c r="K367" s="23" t="inlineStr">
        <is>
          <t>U</t>
        </is>
      </c>
      <c r="L367" s="25" t="n">
        <v>2900</v>
      </c>
      <c r="M367" s="26" t="n">
        <v>3.9</v>
      </c>
      <c r="N367" s="25">
        <f>ROUND(L367/M367, 0)</f>
        <v/>
      </c>
      <c r="O367" s="25">
        <f>ROUND(N367*'Methodology &amp; Assumptions'!$B$7, 0)</f>
        <v/>
      </c>
      <c r="P367" s="23" t="inlineStr">
        <is>
          <t>Single Carrier (Band n50, 100MHz TDD)</t>
        </is>
      </c>
      <c r="Q367" s="27">
        <f>ROUNDUP(O367/'Methodology &amp; Assumptions'!$B$8, 0)</f>
        <v/>
      </c>
      <c r="R367" s="27" t="n">
        <v>1</v>
      </c>
      <c r="S367" s="26" t="n">
        <v>0.02</v>
      </c>
      <c r="T367" s="26" t="n">
        <v>54.09</v>
      </c>
      <c r="U367" s="11">
        <f>IF(S367&lt;='Methodology &amp; Assumptions'!$B$10, "Direct Optical Drop (&lt;3km)", IF(S367&lt;='Methodology &amp; Assumptions'!$B$9, "Near Optical / Microwave (&lt;5km)", "Starlink Business LEO Satellite Backhaul (&gt;5km)"))</f>
        <v/>
      </c>
      <c r="V367" s="26" t="n">
        <v>74.86</v>
      </c>
      <c r="W367" s="26" t="n">
        <v>44.33</v>
      </c>
      <c r="X367" s="26">
        <f>ROUND(('Methodology &amp; Assumptions'!$B$5*V367) + ('Methodology &amp; Assumptions'!$B$6*W367), 2)</f>
        <v/>
      </c>
      <c r="Y367" s="28" t="n">
        <v>15</v>
      </c>
      <c r="Z367" s="11" t="inlineStr">
        <is>
          <t>Priority Tier 3 (Broadband Expansion)</t>
        </is>
      </c>
    </row>
    <row r="368">
      <c r="A368" s="23" t="n">
        <v>4</v>
      </c>
      <c r="B368" s="23" t="n">
        <v>364</v>
      </c>
      <c r="C368" s="23" t="n">
        <v>3364</v>
      </c>
      <c r="D368" s="23" t="inlineStr">
        <is>
          <t>0304926020</t>
        </is>
      </c>
      <c r="E368" s="11" t="inlineStr">
        <is>
          <t>Region III (Central Luzon)</t>
        </is>
      </c>
      <c r="F368" s="11" t="inlineStr">
        <is>
          <t>Nueva Ecija</t>
        </is>
      </c>
      <c r="G368" s="11" t="inlineStr">
        <is>
          <t>San Jose City</t>
        </is>
      </c>
      <c r="H368" s="11" t="inlineStr">
        <is>
          <t>Ferdinand E. Marcos Pob.</t>
        </is>
      </c>
      <c r="I368" s="24" t="n">
        <v>15.795152</v>
      </c>
      <c r="J368" s="24" t="n">
        <v>120.993238</v>
      </c>
      <c r="K368" s="23" t="inlineStr">
        <is>
          <t>U</t>
        </is>
      </c>
      <c r="L368" s="25" t="n">
        <v>1689</v>
      </c>
      <c r="M368" s="26" t="n">
        <v>3.5</v>
      </c>
      <c r="N368" s="25">
        <f>ROUND(L368/M368, 0)</f>
        <v/>
      </c>
      <c r="O368" s="25">
        <f>ROUND(N368*'Methodology &amp; Assumptions'!$B$7, 0)</f>
        <v/>
      </c>
      <c r="P368" s="23" t="inlineStr">
        <is>
          <t>Single Carrier (Band n50, 100MHz TDD)</t>
        </is>
      </c>
      <c r="Q368" s="27">
        <f>ROUNDUP(O368/'Methodology &amp; Assumptions'!$B$8, 0)</f>
        <v/>
      </c>
      <c r="R368" s="27" t="n">
        <v>1</v>
      </c>
      <c r="S368" s="26" t="n">
        <v>0.59</v>
      </c>
      <c r="T368" s="26" t="n">
        <v>0.05</v>
      </c>
      <c r="U368" s="11">
        <f>IF(S368&lt;='Methodology &amp; Assumptions'!$B$10, "Direct Optical Drop (&lt;3km)", IF(S368&lt;='Methodology &amp; Assumptions'!$B$9, "Near Optical / Microwave (&lt;5km)", "Starlink Business LEO Satellite Backhaul (&gt;5km)"))</f>
        <v/>
      </c>
      <c r="V368" s="26" t="n">
        <v>67.53</v>
      </c>
      <c r="W368" s="26" t="n">
        <v>51.65</v>
      </c>
      <c r="X368" s="26">
        <f>ROUND(('Methodology &amp; Assumptions'!$B$5*V368) + ('Methodology &amp; Assumptions'!$B$6*W368), 2)</f>
        <v/>
      </c>
      <c r="Y368" s="28" t="n">
        <v>8.300000000000001</v>
      </c>
      <c r="Z368" s="11" t="inlineStr">
        <is>
          <t>Priority Tier 3 (Broadband Expansion)</t>
        </is>
      </c>
    </row>
    <row r="369">
      <c r="A369" s="23" t="n">
        <v>4</v>
      </c>
      <c r="B369" s="23" t="n">
        <v>365</v>
      </c>
      <c r="C369" s="23" t="n">
        <v>3365</v>
      </c>
      <c r="D369" s="23" t="inlineStr">
        <is>
          <t>0201524005</t>
        </is>
      </c>
      <c r="E369" s="11" t="inlineStr">
        <is>
          <t>Region II (Cagayan Valley)</t>
        </is>
      </c>
      <c r="F369" s="11" t="inlineStr">
        <is>
          <t>Cagayan</t>
        </is>
      </c>
      <c r="G369" s="11" t="inlineStr">
        <is>
          <t>Santa Praxedes</t>
        </is>
      </c>
      <c r="H369" s="11" t="inlineStr">
        <is>
          <t>Macatel</t>
        </is>
      </c>
      <c r="I369" s="24" t="n">
        <v>18.570759</v>
      </c>
      <c r="J369" s="24" t="n">
        <v>121.020357</v>
      </c>
      <c r="K369" s="23" t="inlineStr">
        <is>
          <t>R</t>
        </is>
      </c>
      <c r="L369" s="25" t="n">
        <v>151</v>
      </c>
      <c r="M369" s="26" t="n">
        <v>3.9</v>
      </c>
      <c r="N369" s="25">
        <f>ROUND(L369/M369, 0)</f>
        <v/>
      </c>
      <c r="O369" s="25">
        <f>ROUND(N369*'Methodology &amp; Assumptions'!$B$7, 0)</f>
        <v/>
      </c>
      <c r="P369" s="23" t="inlineStr">
        <is>
          <t>Single Carrier (Band n50, 100MHz TDD)</t>
        </is>
      </c>
      <c r="Q369" s="27">
        <f>ROUNDUP(O369/'Methodology &amp; Assumptions'!$B$8, 0)</f>
        <v/>
      </c>
      <c r="R369" s="27" t="n">
        <v>1</v>
      </c>
      <c r="S369" s="26" t="n">
        <v>3.17</v>
      </c>
      <c r="T369" s="26" t="n">
        <v>2.01</v>
      </c>
      <c r="U369" s="11">
        <f>IF(S369&lt;='Methodology &amp; Assumptions'!$B$10, "Direct Optical Drop (&lt;3km)", IF(S369&lt;='Methodology &amp; Assumptions'!$B$9, "Near Optical / Microwave (&lt;5km)", "Starlink Business LEO Satellite Backhaul (&gt;5km)"))</f>
        <v/>
      </c>
      <c r="V369" s="26" t="n">
        <v>52.74</v>
      </c>
      <c r="W369" s="26" t="n">
        <v>66.44</v>
      </c>
      <c r="X369" s="26">
        <f>ROUND(('Methodology &amp; Assumptions'!$B$5*V369) + ('Methodology &amp; Assumptions'!$B$6*W369), 2)</f>
        <v/>
      </c>
      <c r="Y369" s="28" t="n">
        <v>8.300000000000001</v>
      </c>
      <c r="Z369" s="11" t="inlineStr">
        <is>
          <t>Priority Tier 3 (Broadband Expansion)</t>
        </is>
      </c>
    </row>
    <row r="370">
      <c r="A370" s="23" t="n">
        <v>4</v>
      </c>
      <c r="B370" s="23" t="n">
        <v>366</v>
      </c>
      <c r="C370" s="23" t="n">
        <v>3366</v>
      </c>
      <c r="D370" s="23" t="inlineStr">
        <is>
          <t>0401020021</t>
        </is>
      </c>
      <c r="E370" s="11" t="inlineStr">
        <is>
          <t>Region IV-A (CALABARZON)</t>
        </is>
      </c>
      <c r="F370" s="11" t="inlineStr">
        <is>
          <t>Batangas</t>
        </is>
      </c>
      <c r="G370" s="11" t="inlineStr">
        <is>
          <t>Padre Garcia</t>
        </is>
      </c>
      <c r="H370" s="11" t="inlineStr">
        <is>
          <t>Pansol</t>
        </is>
      </c>
      <c r="I370" s="24" t="n">
        <v>13.879656</v>
      </c>
      <c r="J370" s="24" t="n">
        <v>121.242606</v>
      </c>
      <c r="K370" s="23" t="inlineStr">
        <is>
          <t>R</t>
        </is>
      </c>
      <c r="L370" s="25" t="n">
        <v>4860</v>
      </c>
      <c r="M370" s="26" t="n">
        <v>3.6</v>
      </c>
      <c r="N370" s="25">
        <f>ROUND(L370/M370, 0)</f>
        <v/>
      </c>
      <c r="O370" s="25">
        <f>ROUND(N370*'Methodology &amp; Assumptions'!$B$7, 0)</f>
        <v/>
      </c>
      <c r="P370" s="23" t="inlineStr">
        <is>
          <t>Single Carrier (Band n50, 100MHz TDD)</t>
        </is>
      </c>
      <c r="Q370" s="27">
        <f>ROUNDUP(O370/'Methodology &amp; Assumptions'!$B$8, 0)</f>
        <v/>
      </c>
      <c r="R370" s="27" t="n">
        <v>1</v>
      </c>
      <c r="S370" s="26" t="n">
        <v>2.29</v>
      </c>
      <c r="T370" s="26" t="n">
        <v>0.8</v>
      </c>
      <c r="U370" s="11">
        <f>IF(S370&lt;='Methodology &amp; Assumptions'!$B$10, "Direct Optical Drop (&lt;3km)", IF(S370&lt;='Methodology &amp; Assumptions'!$B$9, "Near Optical / Microwave (&lt;5km)", "Starlink Business LEO Satellite Backhaul (&gt;5km)"))</f>
        <v/>
      </c>
      <c r="V370" s="26" t="n">
        <v>80.23999999999999</v>
      </c>
      <c r="W370" s="26" t="n">
        <v>38.92</v>
      </c>
      <c r="X370" s="26">
        <f>ROUND(('Methodology &amp; Assumptions'!$B$5*V370) + ('Methodology &amp; Assumptions'!$B$6*W370), 2)</f>
        <v/>
      </c>
      <c r="Y370" s="28" t="n">
        <v>7.2</v>
      </c>
      <c r="Z370" s="11" t="inlineStr">
        <is>
          <t>Priority Tier 3 (Broadband Expansion)</t>
        </is>
      </c>
    </row>
    <row r="371">
      <c r="A371" s="23" t="n">
        <v>4</v>
      </c>
      <c r="B371" s="23" t="n">
        <v>367</v>
      </c>
      <c r="C371" s="23" t="n">
        <v>3367</v>
      </c>
      <c r="D371" s="23" t="inlineStr">
        <is>
          <t>0304925006</t>
        </is>
      </c>
      <c r="E371" s="11" t="inlineStr">
        <is>
          <t>Region III (Central Luzon)</t>
        </is>
      </c>
      <c r="F371" s="11" t="inlineStr">
        <is>
          <t>Nueva Ecija</t>
        </is>
      </c>
      <c r="G371" s="11" t="inlineStr">
        <is>
          <t>San Isidro</t>
        </is>
      </c>
      <c r="H371" s="11" t="inlineStr">
        <is>
          <t>Poblacion</t>
        </is>
      </c>
      <c r="I371" s="24" t="n">
        <v>15.308193</v>
      </c>
      <c r="J371" s="24" t="n">
        <v>120.906627</v>
      </c>
      <c r="K371" s="23" t="inlineStr">
        <is>
          <t>U</t>
        </is>
      </c>
      <c r="L371" s="25" t="n">
        <v>8135</v>
      </c>
      <c r="M371" s="26" t="n">
        <v>3.5</v>
      </c>
      <c r="N371" s="25">
        <f>ROUND(L371/M371, 0)</f>
        <v/>
      </c>
      <c r="O371" s="25">
        <f>ROUND(N371*'Methodology &amp; Assumptions'!$B$7, 0)</f>
        <v/>
      </c>
      <c r="P371" s="23" t="inlineStr">
        <is>
          <t>Single Carrier (Band n50, 100MHz TDD)</t>
        </is>
      </c>
      <c r="Q371" s="27">
        <f>ROUNDUP(O371/'Methodology &amp; Assumptions'!$B$8, 0)</f>
        <v/>
      </c>
      <c r="R371" s="27" t="n">
        <v>1</v>
      </c>
      <c r="S371" s="26" t="n">
        <v>0.24</v>
      </c>
      <c r="T371" s="26" t="n">
        <v>0.24</v>
      </c>
      <c r="U371" s="11">
        <f>IF(S371&lt;='Methodology &amp; Assumptions'!$B$10, "Direct Optical Drop (&lt;3km)", IF(S371&lt;='Methodology &amp; Assumptions'!$B$9, "Near Optical / Microwave (&lt;5km)", "Starlink Business LEO Satellite Backhaul (&gt;5km)"))</f>
        <v/>
      </c>
      <c r="V371" s="26" t="n">
        <v>78.43000000000001</v>
      </c>
      <c r="W371" s="26" t="n">
        <v>40.73</v>
      </c>
      <c r="X371" s="26">
        <f>ROUND(('Methodology &amp; Assumptions'!$B$5*V371) + ('Methodology &amp; Assumptions'!$B$6*W371), 2)</f>
        <v/>
      </c>
      <c r="Y371" s="28" t="n">
        <v>8.300000000000001</v>
      </c>
      <c r="Z371" s="11" t="inlineStr">
        <is>
          <t>Priority Tier 3 (Broadband Expansion)</t>
        </is>
      </c>
    </row>
    <row r="372">
      <c r="A372" s="23" t="n">
        <v>4</v>
      </c>
      <c r="B372" s="23" t="n">
        <v>368</v>
      </c>
      <c r="C372" s="23" t="n">
        <v>3368</v>
      </c>
      <c r="D372" s="23" t="inlineStr">
        <is>
          <t>0405607073</t>
        </is>
      </c>
      <c r="E372" s="11" t="inlineStr">
        <is>
          <t>Region IV-A (CALABARZON)</t>
        </is>
      </c>
      <c r="F372" s="11" t="inlineStr">
        <is>
          <t>Quezon</t>
        </is>
      </c>
      <c r="G372" s="11" t="inlineStr">
        <is>
          <t>Calauag</t>
        </is>
      </c>
      <c r="H372" s="11" t="inlineStr">
        <is>
          <t>Santa Maria</t>
        </is>
      </c>
      <c r="I372" s="24" t="n">
        <v>13.955738</v>
      </c>
      <c r="J372" s="24" t="n">
        <v>122.296198</v>
      </c>
      <c r="K372" s="23" t="inlineStr">
        <is>
          <t>U</t>
        </is>
      </c>
      <c r="L372" s="25" t="n">
        <v>6195</v>
      </c>
      <c r="M372" s="26" t="n">
        <v>3.8</v>
      </c>
      <c r="N372" s="25">
        <f>ROUND(L372/M372, 0)</f>
        <v/>
      </c>
      <c r="O372" s="25">
        <f>ROUND(N372*'Methodology &amp; Assumptions'!$B$7, 0)</f>
        <v/>
      </c>
      <c r="P372" s="23" t="inlineStr">
        <is>
          <t>Single Carrier (Band n50, 100MHz TDD)</t>
        </is>
      </c>
      <c r="Q372" s="27">
        <f>ROUNDUP(O372/'Methodology &amp; Assumptions'!$B$8, 0)</f>
        <v/>
      </c>
      <c r="R372" s="27" t="n">
        <v>1</v>
      </c>
      <c r="S372" s="26" t="n">
        <v>1</v>
      </c>
      <c r="T372" s="26" t="n">
        <v>0.33</v>
      </c>
      <c r="U372" s="11">
        <f>IF(S372&lt;='Methodology &amp; Assumptions'!$B$10, "Direct Optical Drop (&lt;3km)", IF(S372&lt;='Methodology &amp; Assumptions'!$B$9, "Near Optical / Microwave (&lt;5km)", "Starlink Business LEO Satellite Backhaul (&gt;5km)"))</f>
        <v/>
      </c>
      <c r="V372" s="26" t="n">
        <v>77.64</v>
      </c>
      <c r="W372" s="26" t="n">
        <v>41.52</v>
      </c>
      <c r="X372" s="26">
        <f>ROUND(('Methodology &amp; Assumptions'!$B$5*V372) + ('Methodology &amp; Assumptions'!$B$6*W372), 2)</f>
        <v/>
      </c>
      <c r="Y372" s="28" t="n">
        <v>7.2</v>
      </c>
      <c r="Z372" s="11" t="inlineStr">
        <is>
          <t>Priority Tier 3 (Broadband Expansion)</t>
        </is>
      </c>
    </row>
    <row r="373">
      <c r="A373" s="23" t="n">
        <v>4</v>
      </c>
      <c r="B373" s="23" t="n">
        <v>369</v>
      </c>
      <c r="C373" s="23" t="n">
        <v>3369</v>
      </c>
      <c r="D373" s="23" t="inlineStr">
        <is>
          <t>1380800008</t>
        </is>
      </c>
      <c r="E373" s="11" t="inlineStr">
        <is>
          <t>National Capital Region (NCR)</t>
        </is>
      </c>
      <c r="F373" s="11" t="inlineStr">
        <is>
          <t>Fourth District (Not a Province)</t>
        </is>
      </c>
      <c r="G373" s="11" t="inlineStr">
        <is>
          <t>City of Muntinlupa</t>
        </is>
      </c>
      <c r="H373" s="11" t="inlineStr">
        <is>
          <t>Tunasan</t>
        </is>
      </c>
      <c r="I373" s="24" t="n">
        <v>14.37705</v>
      </c>
      <c r="J373" s="24" t="n">
        <v>121.0483</v>
      </c>
      <c r="K373" s="23" t="inlineStr">
        <is>
          <t>U</t>
        </is>
      </c>
      <c r="L373" s="25" t="n">
        <v>63217</v>
      </c>
      <c r="M373" s="26" t="n">
        <v>3.65</v>
      </c>
      <c r="N373" s="25">
        <f>ROUND(L373/M373, 0)</f>
        <v/>
      </c>
      <c r="O373" s="25">
        <f>ROUND(N373*'Methodology &amp; Assumptions'!$B$7, 0)</f>
        <v/>
      </c>
      <c r="P373" s="23" t="inlineStr">
        <is>
          <t>Single Carrier (Band n50, 100MHz TDD)</t>
        </is>
      </c>
      <c r="Q373" s="27">
        <f>ROUNDUP(O373/'Methodology &amp; Assumptions'!$B$8, 0)</f>
        <v/>
      </c>
      <c r="R373" s="27" t="n">
        <v>1</v>
      </c>
      <c r="S373" s="26" t="n">
        <v>2.2</v>
      </c>
      <c r="T373" s="26" t="n">
        <v>0.15</v>
      </c>
      <c r="U373" s="11">
        <f>IF(S373&lt;='Methodology &amp; Assumptions'!$B$10, "Direct Optical Drop (&lt;3km)", IF(S373&lt;='Methodology &amp; Assumptions'!$B$9, "Near Optical / Microwave (&lt;5km)", "Starlink Business LEO Satellite Backhaul (&gt;5km)"))</f>
        <v/>
      </c>
      <c r="V373" s="26" t="n">
        <v>60.9</v>
      </c>
      <c r="W373" s="26" t="n">
        <v>58.26</v>
      </c>
      <c r="X373" s="26">
        <f>ROUND(('Methodology &amp; Assumptions'!$B$5*V373) + ('Methodology &amp; Assumptions'!$B$6*W373), 2)</f>
        <v/>
      </c>
      <c r="Y373" s="28" t="n">
        <v>10.9</v>
      </c>
      <c r="Z373" s="11" t="inlineStr">
        <is>
          <t>Priority Tier 3 (Broadband Expansion)</t>
        </is>
      </c>
    </row>
    <row r="374">
      <c r="A374" s="23" t="n">
        <v>4</v>
      </c>
      <c r="B374" s="23" t="n">
        <v>370</v>
      </c>
      <c r="C374" s="23" t="n">
        <v>3370</v>
      </c>
      <c r="D374" s="23" t="inlineStr">
        <is>
          <t>0102916013</t>
        </is>
      </c>
      <c r="E374" s="11" t="inlineStr">
        <is>
          <t>Region I (Ilocos Region)</t>
        </is>
      </c>
      <c r="F374" s="11" t="inlineStr">
        <is>
          <t>Ilocos Sur</t>
        </is>
      </c>
      <c r="G374" s="11" t="inlineStr">
        <is>
          <t>Salcedo</t>
        </is>
      </c>
      <c r="H374" s="11" t="inlineStr">
        <is>
          <t>Lucbuban</t>
        </is>
      </c>
      <c r="I374" s="24" t="n">
        <v>17.134719</v>
      </c>
      <c r="J374" s="24" t="n">
        <v>120.562447</v>
      </c>
      <c r="K374" s="23" t="inlineStr">
        <is>
          <t>R</t>
        </is>
      </c>
      <c r="L374" s="25" t="n">
        <v>562</v>
      </c>
      <c r="M374" s="26" t="n">
        <v>3.8</v>
      </c>
      <c r="N374" s="25">
        <f>ROUND(L374/M374, 0)</f>
        <v/>
      </c>
      <c r="O374" s="25">
        <f>ROUND(N374*'Methodology &amp; Assumptions'!$B$7, 0)</f>
        <v/>
      </c>
      <c r="P374" s="23" t="inlineStr">
        <is>
          <t>Single Carrier (Band n50, 100MHz TDD)</t>
        </is>
      </c>
      <c r="Q374" s="27">
        <f>ROUNDUP(O374/'Methodology &amp; Assumptions'!$B$8, 0)</f>
        <v/>
      </c>
      <c r="R374" s="27" t="n">
        <v>1</v>
      </c>
      <c r="S374" s="26" t="n">
        <v>3.11</v>
      </c>
      <c r="T374" s="26" t="n">
        <v>9.35</v>
      </c>
      <c r="U374" s="11">
        <f>IF(S374&lt;='Methodology &amp; Assumptions'!$B$10, "Direct Optical Drop (&lt;3km)", IF(S374&lt;='Methodology &amp; Assumptions'!$B$9, "Near Optical / Microwave (&lt;5km)", "Starlink Business LEO Satellite Backhaul (&gt;5km)"))</f>
        <v/>
      </c>
      <c r="V374" s="26" t="n">
        <v>52.59</v>
      </c>
      <c r="W374" s="26" t="n">
        <v>66.56999999999999</v>
      </c>
      <c r="X374" s="26">
        <f>ROUND(('Methodology &amp; Assumptions'!$B$5*V374) + ('Methodology &amp; Assumptions'!$B$6*W374), 2)</f>
        <v/>
      </c>
      <c r="Y374" s="28" t="n">
        <v>8.300000000000001</v>
      </c>
      <c r="Z374" s="11" t="inlineStr">
        <is>
          <t>Priority Tier 3 (Broadband Expansion)</t>
        </is>
      </c>
    </row>
    <row r="375">
      <c r="A375" s="23" t="n">
        <v>4</v>
      </c>
      <c r="B375" s="23" t="n">
        <v>371</v>
      </c>
      <c r="C375" s="23" t="n">
        <v>3371</v>
      </c>
      <c r="D375" s="23" t="inlineStr">
        <is>
          <t>1408105019</t>
        </is>
      </c>
      <c r="E375" s="11" t="inlineStr">
        <is>
          <t>Cordillera Administrative Region (CAR)</t>
        </is>
      </c>
      <c r="F375" s="11" t="inlineStr">
        <is>
          <t>Apayao</t>
        </is>
      </c>
      <c r="G375" s="11" t="inlineStr">
        <is>
          <t>Luna</t>
        </is>
      </c>
      <c r="H375" s="11" t="inlineStr">
        <is>
          <t>Luyon</t>
        </is>
      </c>
      <c r="I375" s="24" t="n">
        <v>18.352759</v>
      </c>
      <c r="J375" s="24" t="n">
        <v>121.367669</v>
      </c>
      <c r="K375" s="23" t="inlineStr">
        <is>
          <t>R</t>
        </is>
      </c>
      <c r="L375" s="25" t="n">
        <v>452</v>
      </c>
      <c r="M375" s="26" t="n">
        <v>4.2</v>
      </c>
      <c r="N375" s="25">
        <f>ROUND(L375/M375, 0)</f>
        <v/>
      </c>
      <c r="O375" s="25">
        <f>ROUND(N375*'Methodology &amp; Assumptions'!$B$7, 0)</f>
        <v/>
      </c>
      <c r="P375" s="23" t="inlineStr">
        <is>
          <t>Single Carrier (Band n50, 100MHz TDD)</t>
        </is>
      </c>
      <c r="Q375" s="27">
        <f>ROUNDUP(O375/'Methodology &amp; Assumptions'!$B$8, 0)</f>
        <v/>
      </c>
      <c r="R375" s="27" t="n">
        <v>1</v>
      </c>
      <c r="S375" s="26" t="n">
        <v>2.49</v>
      </c>
      <c r="T375" s="26" t="n">
        <v>2.45</v>
      </c>
      <c r="U375" s="11">
        <f>IF(S375&lt;='Methodology &amp; Assumptions'!$B$10, "Direct Optical Drop (&lt;3km)", IF(S375&lt;='Methodology &amp; Assumptions'!$B$9, "Near Optical / Microwave (&lt;5km)", "Starlink Business LEO Satellite Backhaul (&gt;5km)"))</f>
        <v/>
      </c>
      <c r="V375" s="26" t="n">
        <v>52.12</v>
      </c>
      <c r="W375" s="26" t="n">
        <v>67.05</v>
      </c>
      <c r="X375" s="26">
        <f>ROUND(('Methodology &amp; Assumptions'!$B$5*V375) + ('Methodology &amp; Assumptions'!$B$6*W375), 2)</f>
        <v/>
      </c>
      <c r="Y375" s="28" t="n">
        <v>10.9</v>
      </c>
      <c r="Z375" s="11" t="inlineStr">
        <is>
          <t>Priority Tier 3 (Broadband Expansion)</t>
        </is>
      </c>
    </row>
    <row r="376">
      <c r="A376" s="23" t="n">
        <v>4</v>
      </c>
      <c r="B376" s="23" t="n">
        <v>372</v>
      </c>
      <c r="C376" s="23" t="n">
        <v>3372</v>
      </c>
      <c r="D376" s="23" t="inlineStr">
        <is>
          <t>1380606054</t>
        </is>
      </c>
      <c r="E376" s="11" t="inlineStr">
        <is>
          <t>National Capital Region (NCR)</t>
        </is>
      </c>
      <c r="F376" s="11" t="inlineStr">
        <is>
          <t>First District (Not a Province)</t>
        </is>
      </c>
      <c r="G376" s="11" t="inlineStr">
        <is>
          <t>City of Manila</t>
        </is>
      </c>
      <c r="H376" s="11" t="inlineStr">
        <is>
          <t>Barangay 448</t>
        </is>
      </c>
      <c r="I376" s="24" t="n">
        <v>14.607345</v>
      </c>
      <c r="J376" s="24" t="n">
        <v>120.998207</v>
      </c>
      <c r="K376" s="23" t="inlineStr">
        <is>
          <t>U</t>
        </is>
      </c>
      <c r="L376" s="25" t="n">
        <v>1167</v>
      </c>
      <c r="M376" s="26" t="n">
        <v>4</v>
      </c>
      <c r="N376" s="25">
        <f>ROUND(L376/M376, 0)</f>
        <v/>
      </c>
      <c r="O376" s="25">
        <f>ROUND(N376*'Methodology &amp; Assumptions'!$B$7, 0)</f>
        <v/>
      </c>
      <c r="P376" s="23" t="inlineStr">
        <is>
          <t>Single Carrier (Band n50, 100MHz TDD)</t>
        </is>
      </c>
      <c r="Q376" s="27">
        <f>ROUNDUP(O376/'Methodology &amp; Assumptions'!$B$8, 0)</f>
        <v/>
      </c>
      <c r="R376" s="27" t="n">
        <v>1</v>
      </c>
      <c r="S376" s="26" t="n">
        <v>0.72</v>
      </c>
      <c r="T376" s="26" t="n">
        <v>0.27</v>
      </c>
      <c r="U376" s="11">
        <f>IF(S376&lt;='Methodology &amp; Assumptions'!$B$10, "Direct Optical Drop (&lt;3km)", IF(S376&lt;='Methodology &amp; Assumptions'!$B$9, "Near Optical / Microwave (&lt;5km)", "Starlink Business LEO Satellite Backhaul (&gt;5km)"))</f>
        <v/>
      </c>
      <c r="V376" s="26" t="n">
        <v>50.52</v>
      </c>
      <c r="W376" s="26" t="n">
        <v>68.65000000000001</v>
      </c>
      <c r="X376" s="26">
        <f>ROUND(('Methodology &amp; Assumptions'!$B$5*V376) + ('Methodology &amp; Assumptions'!$B$6*W376), 2)</f>
        <v/>
      </c>
      <c r="Y376" s="28" t="n">
        <v>10.9</v>
      </c>
      <c r="Z376" s="11" t="inlineStr">
        <is>
          <t>Priority Tier 3 (Broadband Expansion)</t>
        </is>
      </c>
    </row>
    <row r="377">
      <c r="A377" s="23" t="n">
        <v>4</v>
      </c>
      <c r="B377" s="23" t="n">
        <v>373</v>
      </c>
      <c r="C377" s="23" t="n">
        <v>3373</v>
      </c>
      <c r="D377" s="23" t="inlineStr">
        <is>
          <t>0806405001</t>
        </is>
      </c>
      <c r="E377" s="11" t="inlineStr">
        <is>
          <t>Region VIII (Eastern Visayas)</t>
        </is>
      </c>
      <c r="F377" s="11" t="inlineStr">
        <is>
          <t>Southern Leyte</t>
        </is>
      </c>
      <c r="G377" s="11" t="inlineStr">
        <is>
          <t>Libagon</t>
        </is>
      </c>
      <c r="H377" s="11" t="inlineStr">
        <is>
          <t>Biasong</t>
        </is>
      </c>
      <c r="I377" s="24" t="n">
        <v>10.286283</v>
      </c>
      <c r="J377" s="24" t="n">
        <v>125.080107</v>
      </c>
      <c r="K377" s="23" t="inlineStr">
        <is>
          <t>R</t>
        </is>
      </c>
      <c r="L377" s="25" t="n">
        <v>552</v>
      </c>
      <c r="M377" s="26" t="n">
        <v>4.1</v>
      </c>
      <c r="N377" s="25">
        <f>ROUND(L377/M377, 0)</f>
        <v/>
      </c>
      <c r="O377" s="25">
        <f>ROUND(N377*'Methodology &amp; Assumptions'!$B$7, 0)</f>
        <v/>
      </c>
      <c r="P377" s="23" t="inlineStr">
        <is>
          <t>Single Carrier (Band n50, 100MHz TDD)</t>
        </is>
      </c>
      <c r="Q377" s="27">
        <f>ROUNDUP(O377/'Methodology &amp; Assumptions'!$B$8, 0)</f>
        <v/>
      </c>
      <c r="R377" s="27" t="n">
        <v>1</v>
      </c>
      <c r="S377" s="26" t="n">
        <v>15.41</v>
      </c>
      <c r="T377" s="26" t="n">
        <v>10.66</v>
      </c>
      <c r="U377" s="11">
        <f>IF(S377&lt;='Methodology &amp; Assumptions'!$B$10, "Direct Optical Drop (&lt;3km)", IF(S377&lt;='Methodology &amp; Assumptions'!$B$9, "Near Optical / Microwave (&lt;5km)", "Starlink Business LEO Satellite Backhaul (&gt;5km)"))</f>
        <v/>
      </c>
      <c r="V377" s="26" t="n">
        <v>42.89</v>
      </c>
      <c r="W377" s="26" t="n">
        <v>76.27</v>
      </c>
      <c r="X377" s="26">
        <f>ROUND(('Methodology &amp; Assumptions'!$B$5*V377) + ('Methodology &amp; Assumptions'!$B$6*W377), 2)</f>
        <v/>
      </c>
      <c r="Y377" s="28" t="n">
        <v>23.7</v>
      </c>
      <c r="Z377" s="11" t="inlineStr">
        <is>
          <t>Priority Tier 3 (Broadband Expansion)</t>
        </is>
      </c>
    </row>
    <row r="378">
      <c r="A378" s="23" t="n">
        <v>4</v>
      </c>
      <c r="B378" s="23" t="n">
        <v>374</v>
      </c>
      <c r="C378" s="23" t="n">
        <v>3374</v>
      </c>
      <c r="D378" s="23" t="inlineStr">
        <is>
          <t>1906613047</t>
        </is>
      </c>
      <c r="E378" s="11" t="inlineStr">
        <is>
          <t>Bangsamoro Autonomous Region In Muslim Mindanao (BARMM)</t>
        </is>
      </c>
      <c r="F378" s="11" t="inlineStr">
        <is>
          <t>Sulu</t>
        </is>
      </c>
      <c r="G378" s="11" t="inlineStr">
        <is>
          <t>Talipao</t>
        </is>
      </c>
      <c r="H378" s="11" t="inlineStr">
        <is>
          <t>Samak</t>
        </is>
      </c>
      <c r="I378" s="24" t="n">
        <v>5.946811</v>
      </c>
      <c r="J378" s="24" t="n">
        <v>121.150992</v>
      </c>
      <c r="K378" s="23" t="inlineStr">
        <is>
          <t>R</t>
        </is>
      </c>
      <c r="L378" s="25" t="n">
        <v>1990</v>
      </c>
      <c r="M378" s="26" t="n">
        <v>6</v>
      </c>
      <c r="N378" s="25">
        <f>ROUND(L378/M378, 0)</f>
        <v/>
      </c>
      <c r="O378" s="25">
        <f>ROUND(N378*'Methodology &amp; Assumptions'!$B$7, 0)</f>
        <v/>
      </c>
      <c r="P378" s="23" t="inlineStr">
        <is>
          <t>Single Carrier (Band n50, 100MHz TDD)</t>
        </is>
      </c>
      <c r="Q378" s="27">
        <f>ROUNDUP(O378/'Methodology &amp; Assumptions'!$B$8, 0)</f>
        <v/>
      </c>
      <c r="R378" s="27" t="n">
        <v>1</v>
      </c>
      <c r="S378" s="26" t="n">
        <v>147.9</v>
      </c>
      <c r="T378" s="26" t="n">
        <v>147.9</v>
      </c>
      <c r="U378" s="11">
        <f>IF(S378&lt;='Methodology &amp; Assumptions'!$B$10, "Direct Optical Drop (&lt;3km)", IF(S378&lt;='Methodology &amp; Assumptions'!$B$9, "Near Optical / Microwave (&lt;5km)", "Starlink Business LEO Satellite Backhaul (&gt;5km)"))</f>
        <v/>
      </c>
      <c r="V378" s="26" t="n">
        <v>41.76</v>
      </c>
      <c r="W378" s="26" t="n">
        <v>77.39</v>
      </c>
      <c r="X378" s="26">
        <f>ROUND(('Methodology &amp; Assumptions'!$B$5*V378) + ('Methodology &amp; Assumptions'!$B$6*W378), 2)</f>
        <v/>
      </c>
      <c r="Y378" s="28" t="n">
        <v>11</v>
      </c>
      <c r="Z378" s="11" t="inlineStr">
        <is>
          <t>Priority Tier 3 (Broadband Expansion)</t>
        </is>
      </c>
    </row>
    <row r="379">
      <c r="A379" s="23" t="n">
        <v>4</v>
      </c>
      <c r="B379" s="23" t="n">
        <v>375</v>
      </c>
      <c r="C379" s="23" t="n">
        <v>3375</v>
      </c>
      <c r="D379" s="23" t="inlineStr">
        <is>
          <t>0301420028</t>
        </is>
      </c>
      <c r="E379" s="11" t="inlineStr">
        <is>
          <t>Region III (Central Luzon)</t>
        </is>
      </c>
      <c r="F379" s="11" t="inlineStr">
        <is>
          <t>Bulacan</t>
        </is>
      </c>
      <c r="G379" s="11" t="inlineStr">
        <is>
          <t>City of San Jose Del Monte</t>
        </is>
      </c>
      <c r="H379" s="11" t="inlineStr">
        <is>
          <t>Francisco Homes-Mulawin</t>
        </is>
      </c>
      <c r="I379" s="24" t="n">
        <v>14.806503</v>
      </c>
      <c r="J379" s="24" t="n">
        <v>121.066889</v>
      </c>
      <c r="K379" s="23" t="inlineStr">
        <is>
          <t>U</t>
        </is>
      </c>
      <c r="L379" s="25" t="n">
        <v>11734</v>
      </c>
      <c r="M379" s="26" t="n">
        <v>3.5</v>
      </c>
      <c r="N379" s="25">
        <f>ROUND(L379/M379, 0)</f>
        <v/>
      </c>
      <c r="O379" s="25">
        <f>ROUND(N379*'Methodology &amp; Assumptions'!$B$7, 0)</f>
        <v/>
      </c>
      <c r="P379" s="23" t="inlineStr">
        <is>
          <t>Single Carrier (Band n50, 100MHz TDD)</t>
        </is>
      </c>
      <c r="Q379" s="27">
        <f>ROUNDUP(O379/'Methodology &amp; Assumptions'!$B$8, 0)</f>
        <v/>
      </c>
      <c r="R379" s="27" t="n">
        <v>1</v>
      </c>
      <c r="S379" s="26" t="n">
        <v>1.02</v>
      </c>
      <c r="T379" s="26" t="n">
        <v>1.54</v>
      </c>
      <c r="U379" s="11">
        <f>IF(S379&lt;='Methodology &amp; Assumptions'!$B$10, "Direct Optical Drop (&lt;3km)", IF(S379&lt;='Methodology &amp; Assumptions'!$B$9, "Near Optical / Microwave (&lt;5km)", "Starlink Business LEO Satellite Backhaul (&gt;5km)"))</f>
        <v/>
      </c>
      <c r="V379" s="26" t="n">
        <v>77.73999999999999</v>
      </c>
      <c r="W379" s="26" t="n">
        <v>41.4</v>
      </c>
      <c r="X379" s="26">
        <f>ROUND(('Methodology &amp; Assumptions'!$B$5*V379) + ('Methodology &amp; Assumptions'!$B$6*W379), 2)</f>
        <v/>
      </c>
      <c r="Y379" s="28" t="n">
        <v>8.300000000000001</v>
      </c>
      <c r="Z379" s="11" t="inlineStr">
        <is>
          <t>Priority Tier 3 (Broadband Expansion)</t>
        </is>
      </c>
    </row>
    <row r="380">
      <c r="A380" s="23" t="n">
        <v>4</v>
      </c>
      <c r="B380" s="23" t="n">
        <v>376</v>
      </c>
      <c r="C380" s="23" t="n">
        <v>3376</v>
      </c>
      <c r="D380" s="23" t="inlineStr">
        <is>
          <t>0300812008</t>
        </is>
      </c>
      <c r="E380" s="11" t="inlineStr">
        <is>
          <t>Region III (Central Luzon)</t>
        </is>
      </c>
      <c r="F380" s="11" t="inlineStr">
        <is>
          <t>Bataan</t>
        </is>
      </c>
      <c r="G380" s="11" t="inlineStr">
        <is>
          <t>Samal</t>
        </is>
      </c>
      <c r="H380" s="11" t="inlineStr">
        <is>
          <t>San Juan</t>
        </is>
      </c>
      <c r="I380" s="24" t="n">
        <v>14.768475</v>
      </c>
      <c r="J380" s="24" t="n">
        <v>120.538939</v>
      </c>
      <c r="K380" s="23" t="inlineStr">
        <is>
          <t>R</t>
        </is>
      </c>
      <c r="L380" s="25" t="n">
        <v>4655</v>
      </c>
      <c r="M380" s="26" t="n">
        <v>3.6</v>
      </c>
      <c r="N380" s="25">
        <f>ROUND(L380/M380, 0)</f>
        <v/>
      </c>
      <c r="O380" s="25">
        <f>ROUND(N380*'Methodology &amp; Assumptions'!$B$7, 0)</f>
        <v/>
      </c>
      <c r="P380" s="23" t="inlineStr">
        <is>
          <t>Single Carrier (Band n50, 100MHz TDD)</t>
        </is>
      </c>
      <c r="Q380" s="27">
        <f>ROUNDUP(O380/'Methodology &amp; Assumptions'!$B$8, 0)</f>
        <v/>
      </c>
      <c r="R380" s="27" t="n">
        <v>1</v>
      </c>
      <c r="S380" s="26" t="n">
        <v>3.75</v>
      </c>
      <c r="T380" s="26" t="n">
        <v>0.45</v>
      </c>
      <c r="U380" s="11">
        <f>IF(S380&lt;='Methodology &amp; Assumptions'!$B$10, "Direct Optical Drop (&lt;3km)", IF(S380&lt;='Methodology &amp; Assumptions'!$B$9, "Near Optical / Microwave (&lt;5km)", "Starlink Business LEO Satellite Backhaul (&gt;5km)"))</f>
        <v/>
      </c>
      <c r="V380" s="26" t="n">
        <v>76.52</v>
      </c>
      <c r="W380" s="26" t="n">
        <v>42.63</v>
      </c>
      <c r="X380" s="26">
        <f>ROUND(('Methodology &amp; Assumptions'!$B$5*V380) + ('Methodology &amp; Assumptions'!$B$6*W380), 2)</f>
        <v/>
      </c>
      <c r="Y380" s="28" t="n">
        <v>8.300000000000001</v>
      </c>
      <c r="Z380" s="11" t="inlineStr">
        <is>
          <t>Priority Tier 3 (Broadband Expansion)</t>
        </is>
      </c>
    </row>
    <row r="381">
      <c r="A381" s="23" t="n">
        <v>4</v>
      </c>
      <c r="B381" s="23" t="n">
        <v>377</v>
      </c>
      <c r="C381" s="23" t="n">
        <v>3377</v>
      </c>
      <c r="D381" s="23" t="inlineStr">
        <is>
          <t>0203135011</t>
        </is>
      </c>
      <c r="E381" s="11" t="inlineStr">
        <is>
          <t>Region II (Cagayan Valley)</t>
        </is>
      </c>
      <c r="F381" s="11" t="inlineStr">
        <is>
          <t>Isabela</t>
        </is>
      </c>
      <c r="G381" s="11" t="inlineStr">
        <is>
          <t>City of Santiago</t>
        </is>
      </c>
      <c r="H381" s="11" t="inlineStr">
        <is>
          <t>Calaocan</t>
        </is>
      </c>
      <c r="I381" s="24" t="n">
        <v>16.681352</v>
      </c>
      <c r="J381" s="24" t="n">
        <v>121.550614</v>
      </c>
      <c r="K381" s="23" t="inlineStr">
        <is>
          <t>U</t>
        </is>
      </c>
      <c r="L381" s="25" t="n">
        <v>6463</v>
      </c>
      <c r="M381" s="26" t="n">
        <v>3.8</v>
      </c>
      <c r="N381" s="25">
        <f>ROUND(L381/M381, 0)</f>
        <v/>
      </c>
      <c r="O381" s="25">
        <f>ROUND(N381*'Methodology &amp; Assumptions'!$B$7, 0)</f>
        <v/>
      </c>
      <c r="P381" s="23" t="inlineStr">
        <is>
          <t>Single Carrier (Band n50, 100MHz TDD)</t>
        </is>
      </c>
      <c r="Q381" s="27">
        <f>ROUNDUP(O381/'Methodology &amp; Assumptions'!$B$8, 0)</f>
        <v/>
      </c>
      <c r="R381" s="27" t="n">
        <v>1</v>
      </c>
      <c r="S381" s="26" t="n">
        <v>2.75</v>
      </c>
      <c r="T381" s="26" t="n">
        <v>0.11</v>
      </c>
      <c r="U381" s="11">
        <f>IF(S381&lt;='Methodology &amp; Assumptions'!$B$10, "Direct Optical Drop (&lt;3km)", IF(S381&lt;='Methodology &amp; Assumptions'!$B$9, "Near Optical / Microwave (&lt;5km)", "Starlink Business LEO Satellite Backhaul (&gt;5km)"))</f>
        <v/>
      </c>
      <c r="V381" s="26" t="n">
        <v>71.73999999999999</v>
      </c>
      <c r="W381" s="26" t="n">
        <v>47.4</v>
      </c>
      <c r="X381" s="26">
        <f>ROUND(('Methodology &amp; Assumptions'!$B$5*V381) + ('Methodology &amp; Assumptions'!$B$6*W381), 2)</f>
        <v/>
      </c>
      <c r="Y381" s="28" t="n">
        <v>8.300000000000001</v>
      </c>
      <c r="Z381" s="11" t="inlineStr">
        <is>
          <t>Priority Tier 3 (Broadband Expansion)</t>
        </is>
      </c>
    </row>
    <row r="382">
      <c r="A382" s="23" t="n">
        <v>4</v>
      </c>
      <c r="B382" s="23" t="n">
        <v>378</v>
      </c>
      <c r="C382" s="23" t="n">
        <v>3378</v>
      </c>
      <c r="D382" s="23" t="inlineStr">
        <is>
          <t>1908705034</t>
        </is>
      </c>
      <c r="E382" s="11" t="inlineStr">
        <is>
          <t>Bangsamoro Autonomous Region In Muslim Mindanao (BARMM)</t>
        </is>
      </c>
      <c r="F382" s="11" t="inlineStr">
        <is>
          <t>Maguindanao del Norte</t>
        </is>
      </c>
      <c r="G382" s="11" t="inlineStr">
        <is>
          <t>Datu Odin Sinsuat</t>
        </is>
      </c>
      <c r="H382" s="11" t="inlineStr">
        <is>
          <t>Tenonggos</t>
        </is>
      </c>
      <c r="I382" s="24" t="n">
        <v>6.978277</v>
      </c>
      <c r="J382" s="24" t="n">
        <v>124.258831</v>
      </c>
      <c r="K382" s="23" t="inlineStr">
        <is>
          <t>R</t>
        </is>
      </c>
      <c r="L382" s="25" t="n">
        <v>2630</v>
      </c>
      <c r="M382" s="26" t="n">
        <v>4.3</v>
      </c>
      <c r="N382" s="25">
        <f>ROUND(L382/M382, 0)</f>
        <v/>
      </c>
      <c r="O382" s="25">
        <f>ROUND(N382*'Methodology &amp; Assumptions'!$B$7, 0)</f>
        <v/>
      </c>
      <c r="P382" s="23" t="inlineStr">
        <is>
          <t>Single Carrier (Band n50, 100MHz TDD)</t>
        </is>
      </c>
      <c r="Q382" s="27">
        <f>ROUNDUP(O382/'Methodology &amp; Assumptions'!$B$8, 0)</f>
        <v/>
      </c>
      <c r="R382" s="27" t="n">
        <v>1</v>
      </c>
      <c r="S382" s="26" t="n">
        <v>55.91</v>
      </c>
      <c r="T382" s="26" t="n">
        <v>55.85</v>
      </c>
      <c r="U382" s="11">
        <f>IF(S382&lt;='Methodology &amp; Assumptions'!$B$10, "Direct Optical Drop (&lt;3km)", IF(S382&lt;='Methodology &amp; Assumptions'!$B$9, "Near Optical / Microwave (&lt;5km)", "Starlink Business LEO Satellite Backhaul (&gt;5km)"))</f>
        <v/>
      </c>
      <c r="V382" s="26" t="n">
        <v>50.76</v>
      </c>
      <c r="W382" s="26" t="n">
        <v>68.39</v>
      </c>
      <c r="X382" s="26">
        <f>ROUND(('Methodology &amp; Assumptions'!$B$5*V382) + ('Methodology &amp; Assumptions'!$B$6*W382), 2)</f>
        <v/>
      </c>
      <c r="Y382" s="28" t="n">
        <v>11</v>
      </c>
      <c r="Z382" s="11" t="inlineStr">
        <is>
          <t>Priority Tier 3 (Broadband Expansion)</t>
        </is>
      </c>
    </row>
    <row r="383">
      <c r="A383" s="23" t="n">
        <v>4</v>
      </c>
      <c r="B383" s="23" t="n">
        <v>379</v>
      </c>
      <c r="C383" s="23" t="n">
        <v>3379</v>
      </c>
      <c r="D383" s="23" t="inlineStr">
        <is>
          <t>1381100026</t>
        </is>
      </c>
      <c r="E383" s="11" t="inlineStr">
        <is>
          <t>National Capital Region (NCR)</t>
        </is>
      </c>
      <c r="F383" s="11" t="inlineStr">
        <is>
          <t>Fourth District (Not a Province)</t>
        </is>
      </c>
      <c r="G383" s="11" t="inlineStr">
        <is>
          <t>Pasay City</t>
        </is>
      </c>
      <c r="H383" s="11" t="inlineStr">
        <is>
          <t>Barangay 26</t>
        </is>
      </c>
      <c r="I383" s="24" t="n">
        <v>14.550412</v>
      </c>
      <c r="J383" s="24" t="n">
        <v>120.993689</v>
      </c>
      <c r="K383" s="23" t="inlineStr">
        <is>
          <t>U</t>
        </is>
      </c>
      <c r="L383" s="25" t="n">
        <v>944</v>
      </c>
      <c r="M383" s="26" t="n">
        <v>3.32</v>
      </c>
      <c r="N383" s="25">
        <f>ROUND(L383/M383, 0)</f>
        <v/>
      </c>
      <c r="O383" s="25">
        <f>ROUND(N383*'Methodology &amp; Assumptions'!$B$7, 0)</f>
        <v/>
      </c>
      <c r="P383" s="23" t="inlineStr">
        <is>
          <t>Single Carrier (Band n50, 100MHz TDD)</t>
        </is>
      </c>
      <c r="Q383" s="27">
        <f>ROUNDUP(O383/'Methodology &amp; Assumptions'!$B$8, 0)</f>
        <v/>
      </c>
      <c r="R383" s="27" t="n">
        <v>1</v>
      </c>
      <c r="S383" s="26" t="n">
        <v>0.38</v>
      </c>
      <c r="T383" s="26" t="n">
        <v>0.1</v>
      </c>
      <c r="U383" s="11">
        <f>IF(S383&lt;='Methodology &amp; Assumptions'!$B$10, "Direct Optical Drop (&lt;3km)", IF(S383&lt;='Methodology &amp; Assumptions'!$B$9, "Near Optical / Microwave (&lt;5km)", "Starlink Business LEO Satellite Backhaul (&gt;5km)"))</f>
        <v/>
      </c>
      <c r="V383" s="26" t="n">
        <v>50.2</v>
      </c>
      <c r="W383" s="26" t="n">
        <v>68.94</v>
      </c>
      <c r="X383" s="26">
        <f>ROUND(('Methodology &amp; Assumptions'!$B$5*V383) + ('Methodology &amp; Assumptions'!$B$6*W383), 2)</f>
        <v/>
      </c>
      <c r="Y383" s="28" t="n">
        <v>10.9</v>
      </c>
      <c r="Z383" s="11" t="inlineStr">
        <is>
          <t>Priority Tier 3 (Broadband Expansion)</t>
        </is>
      </c>
    </row>
    <row r="384">
      <c r="A384" s="23" t="n">
        <v>4</v>
      </c>
      <c r="B384" s="23" t="n">
        <v>380</v>
      </c>
      <c r="C384" s="23" t="n">
        <v>3380</v>
      </c>
      <c r="D384" s="23" t="inlineStr">
        <is>
          <t>1380612020</t>
        </is>
      </c>
      <c r="E384" s="11" t="inlineStr">
        <is>
          <t>National Capital Region (NCR)</t>
        </is>
      </c>
      <c r="F384" s="11" t="inlineStr">
        <is>
          <t>First District (Not a Province)</t>
        </is>
      </c>
      <c r="G384" s="11" t="inlineStr">
        <is>
          <t>City of Manila</t>
        </is>
      </c>
      <c r="H384" s="11" t="inlineStr">
        <is>
          <t>Barangay 852</t>
        </is>
      </c>
      <c r="I384" s="24" t="n">
        <v>14.58378</v>
      </c>
      <c r="J384" s="24" t="n">
        <v>121.00146</v>
      </c>
      <c r="K384" s="23" t="inlineStr">
        <is>
          <t>U</t>
        </is>
      </c>
      <c r="L384" s="25" t="n">
        <v>979</v>
      </c>
      <c r="M384" s="26" t="n">
        <v>4.24</v>
      </c>
      <c r="N384" s="25">
        <f>ROUND(L384/M384, 0)</f>
        <v/>
      </c>
      <c r="O384" s="25">
        <f>ROUND(N384*'Methodology &amp; Assumptions'!$B$7, 0)</f>
        <v/>
      </c>
      <c r="P384" s="23" t="inlineStr">
        <is>
          <t>Single Carrier (Band n50, 100MHz TDD)</t>
        </is>
      </c>
      <c r="Q384" s="27">
        <f>ROUNDUP(O384/'Methodology &amp; Assumptions'!$B$8, 0)</f>
        <v/>
      </c>
      <c r="R384" s="27" t="n">
        <v>1</v>
      </c>
      <c r="S384" s="26" t="n">
        <v>0.16</v>
      </c>
      <c r="T384" s="26" t="n">
        <v>0.17</v>
      </c>
      <c r="U384" s="11">
        <f>IF(S384&lt;='Methodology &amp; Assumptions'!$B$10, "Direct Optical Drop (&lt;3km)", IF(S384&lt;='Methodology &amp; Assumptions'!$B$9, "Near Optical / Microwave (&lt;5km)", "Starlink Business LEO Satellite Backhaul (&gt;5km)"))</f>
        <v/>
      </c>
      <c r="V384" s="26" t="n">
        <v>48.48</v>
      </c>
      <c r="W384" s="26" t="n">
        <v>70.66</v>
      </c>
      <c r="X384" s="26">
        <f>ROUND(('Methodology &amp; Assumptions'!$B$5*V384) + ('Methodology &amp; Assumptions'!$B$6*W384), 2)</f>
        <v/>
      </c>
      <c r="Y384" s="28" t="n">
        <v>10.9</v>
      </c>
      <c r="Z384" s="11" t="inlineStr">
        <is>
          <t>Priority Tier 3 (Broadband Expansion)</t>
        </is>
      </c>
    </row>
    <row r="385">
      <c r="A385" s="23" t="n">
        <v>4</v>
      </c>
      <c r="B385" s="23" t="n">
        <v>381</v>
      </c>
      <c r="C385" s="23" t="n">
        <v>3381</v>
      </c>
      <c r="D385" s="23" t="inlineStr">
        <is>
          <t>0405606011</t>
        </is>
      </c>
      <c r="E385" s="11" t="inlineStr">
        <is>
          <t>Region IV-A (CALABARZON)</t>
        </is>
      </c>
      <c r="F385" s="11" t="inlineStr">
        <is>
          <t>Quezon</t>
        </is>
      </c>
      <c r="G385" s="11" t="inlineStr">
        <is>
          <t>Burdeos</t>
        </is>
      </c>
      <c r="H385" s="11" t="inlineStr">
        <is>
          <t>Palasan</t>
        </is>
      </c>
      <c r="I385" s="24" t="n">
        <v>14.85169</v>
      </c>
      <c r="J385" s="24" t="n">
        <v>122.049396</v>
      </c>
      <c r="K385" s="23" t="inlineStr">
        <is>
          <t>R</t>
        </is>
      </c>
      <c r="L385" s="25" t="n">
        <v>1151</v>
      </c>
      <c r="M385" s="26" t="n">
        <v>3.8</v>
      </c>
      <c r="N385" s="25">
        <f>ROUND(L385/M385, 0)</f>
        <v/>
      </c>
      <c r="O385" s="25">
        <f>ROUND(N385*'Methodology &amp; Assumptions'!$B$7, 0)</f>
        <v/>
      </c>
      <c r="P385" s="23" t="inlineStr">
        <is>
          <t>Single Carrier (Band n50, 100MHz TDD)</t>
        </is>
      </c>
      <c r="Q385" s="27">
        <f>ROUNDUP(O385/'Methodology &amp; Assumptions'!$B$8, 0)</f>
        <v/>
      </c>
      <c r="R385" s="27" t="n">
        <v>1</v>
      </c>
      <c r="S385" s="26" t="n">
        <v>42.66</v>
      </c>
      <c r="T385" s="26" t="n">
        <v>78.61</v>
      </c>
      <c r="U385" s="11">
        <f>IF(S385&lt;='Methodology &amp; Assumptions'!$B$10, "Direct Optical Drop (&lt;3km)", IF(S385&lt;='Methodology &amp; Assumptions'!$B$9, "Near Optical / Microwave (&lt;5km)", "Starlink Business LEO Satellite Backhaul (&gt;5km)"))</f>
        <v/>
      </c>
      <c r="V385" s="26" t="n">
        <v>43.51</v>
      </c>
      <c r="W385" s="26" t="n">
        <v>75.64</v>
      </c>
      <c r="X385" s="26">
        <f>ROUND(('Methodology &amp; Assumptions'!$B$5*V385) + ('Methodology &amp; Assumptions'!$B$6*W385), 2)</f>
        <v/>
      </c>
      <c r="Y385" s="28" t="n">
        <v>7.2</v>
      </c>
      <c r="Z385" s="11" t="inlineStr">
        <is>
          <t>Priority Tier 3 (Broadband Expansion)</t>
        </is>
      </c>
    </row>
    <row r="386">
      <c r="A386" s="23" t="n">
        <v>4</v>
      </c>
      <c r="B386" s="23" t="n">
        <v>382</v>
      </c>
      <c r="C386" s="23" t="n">
        <v>3382</v>
      </c>
      <c r="D386" s="23" t="inlineStr">
        <is>
          <t>1380601030</t>
        </is>
      </c>
      <c r="E386" s="11" t="inlineStr">
        <is>
          <t>National Capital Region (NCR)</t>
        </is>
      </c>
      <c r="F386" s="11" t="inlineStr">
        <is>
          <t>First District (Not a Province)</t>
        </is>
      </c>
      <c r="G386" s="11" t="inlineStr">
        <is>
          <t>City of Manila</t>
        </is>
      </c>
      <c r="H386" s="11" t="inlineStr">
        <is>
          <t>Barangay 30</t>
        </is>
      </c>
      <c r="I386" s="24" t="n">
        <v>14.604229</v>
      </c>
      <c r="J386" s="24" t="n">
        <v>120.961823</v>
      </c>
      <c r="K386" s="23" t="inlineStr">
        <is>
          <t>U</t>
        </is>
      </c>
      <c r="L386" s="25" t="n">
        <v>170</v>
      </c>
      <c r="M386" s="26" t="n">
        <v>2.93</v>
      </c>
      <c r="N386" s="25">
        <f>ROUND(L386/M386, 0)</f>
        <v/>
      </c>
      <c r="O386" s="25">
        <f>ROUND(N386*'Methodology &amp; Assumptions'!$B$7, 0)</f>
        <v/>
      </c>
      <c r="P386" s="23" t="inlineStr">
        <is>
          <t>Single Carrier (Band n50, 100MHz TDD)</t>
        </is>
      </c>
      <c r="Q386" s="27">
        <f>ROUNDUP(O386/'Methodology &amp; Assumptions'!$B$8, 0)</f>
        <v/>
      </c>
      <c r="R386" s="27" t="n">
        <v>1</v>
      </c>
      <c r="S386" s="26" t="n">
        <v>0.89</v>
      </c>
      <c r="T386" s="26" t="n">
        <v>0.89</v>
      </c>
      <c r="U386" s="11">
        <f>IF(S386&lt;='Methodology &amp; Assumptions'!$B$10, "Direct Optical Drop (&lt;3km)", IF(S386&lt;='Methodology &amp; Assumptions'!$B$9, "Near Optical / Microwave (&lt;5km)", "Starlink Business LEO Satellite Backhaul (&gt;5km)"))</f>
        <v/>
      </c>
      <c r="V386" s="26" t="n">
        <v>42.73</v>
      </c>
      <c r="W386" s="26" t="n">
        <v>76.42</v>
      </c>
      <c r="X386" s="26">
        <f>ROUND(('Methodology &amp; Assumptions'!$B$5*V386) + ('Methodology &amp; Assumptions'!$B$6*W386), 2)</f>
        <v/>
      </c>
      <c r="Y386" s="28" t="n">
        <v>10.9</v>
      </c>
      <c r="Z386" s="11" t="inlineStr">
        <is>
          <t>Priority Tier 3 (Broadband Expansion)</t>
        </is>
      </c>
    </row>
    <row r="387">
      <c r="A387" s="23" t="n">
        <v>4</v>
      </c>
      <c r="B387" s="23" t="n">
        <v>383</v>
      </c>
      <c r="C387" s="23" t="n">
        <v>3383</v>
      </c>
      <c r="D387" s="23" t="inlineStr">
        <is>
          <t>1403211007</t>
        </is>
      </c>
      <c r="E387" s="11" t="inlineStr">
        <is>
          <t>Cordillera Administrative Region (CAR)</t>
        </is>
      </c>
      <c r="F387" s="11" t="inlineStr">
        <is>
          <t>Kalinga</t>
        </is>
      </c>
      <c r="G387" s="11" t="inlineStr">
        <is>
          <t>Rizal</t>
        </is>
      </c>
      <c r="H387" s="11" t="inlineStr">
        <is>
          <t>Liwan West</t>
        </is>
      </c>
      <c r="I387" s="24" t="n">
        <v>17.495182</v>
      </c>
      <c r="J387" s="24" t="n">
        <v>121.590493</v>
      </c>
      <c r="K387" s="23" t="inlineStr">
        <is>
          <t>R</t>
        </is>
      </c>
      <c r="L387" s="25" t="n">
        <v>3022</v>
      </c>
      <c r="M387" s="26" t="n">
        <v>3.6</v>
      </c>
      <c r="N387" s="25">
        <f>ROUND(L387/M387, 0)</f>
        <v/>
      </c>
      <c r="O387" s="25">
        <f>ROUND(N387*'Methodology &amp; Assumptions'!$B$7, 0)</f>
        <v/>
      </c>
      <c r="P387" s="23" t="inlineStr">
        <is>
          <t>Single Carrier (Band n50, 100MHz TDD)</t>
        </is>
      </c>
      <c r="Q387" s="27">
        <f>ROUNDUP(O387/'Methodology &amp; Assumptions'!$B$8, 0)</f>
        <v/>
      </c>
      <c r="R387" s="27" t="n">
        <v>1</v>
      </c>
      <c r="S387" s="26" t="n">
        <v>0.54</v>
      </c>
      <c r="T387" s="26" t="n">
        <v>0.31</v>
      </c>
      <c r="U387" s="11">
        <f>IF(S387&lt;='Methodology &amp; Assumptions'!$B$10, "Direct Optical Drop (&lt;3km)", IF(S387&lt;='Methodology &amp; Assumptions'!$B$9, "Near Optical / Microwave (&lt;5km)", "Starlink Business LEO Satellite Backhaul (&gt;5km)"))</f>
        <v/>
      </c>
      <c r="V387" s="26" t="n">
        <v>85.04000000000001</v>
      </c>
      <c r="W387" s="26" t="n">
        <v>34.09</v>
      </c>
      <c r="X387" s="26">
        <f>ROUND(('Methodology &amp; Assumptions'!$B$5*V387) + ('Methodology &amp; Assumptions'!$B$6*W387), 2)</f>
        <v/>
      </c>
      <c r="Y387" s="28" t="n">
        <v>10.9</v>
      </c>
      <c r="Z387" s="11" t="inlineStr">
        <is>
          <t>Priority Tier 3 (Broadband Expansion)</t>
        </is>
      </c>
    </row>
    <row r="388">
      <c r="A388" s="23" t="n">
        <v>4</v>
      </c>
      <c r="B388" s="23" t="n">
        <v>384</v>
      </c>
      <c r="C388" s="23" t="n">
        <v>3384</v>
      </c>
      <c r="D388" s="23" t="inlineStr">
        <is>
          <t>0403408010</t>
        </is>
      </c>
      <c r="E388" s="11" t="inlineStr">
        <is>
          <t>Region IV-A (CALABARZON)</t>
        </is>
      </c>
      <c r="F388" s="11" t="inlineStr">
        <is>
          <t>Laguna</t>
        </is>
      </c>
      <c r="G388" s="11" t="inlineStr">
        <is>
          <t>Famy</t>
        </is>
      </c>
      <c r="H388" s="11" t="inlineStr">
        <is>
          <t>Kapatalan</t>
        </is>
      </c>
      <c r="I388" s="24" t="n">
        <v>14.476583</v>
      </c>
      <c r="J388" s="24" t="n">
        <v>121.491531</v>
      </c>
      <c r="K388" s="23" t="inlineStr">
        <is>
          <t>R</t>
        </is>
      </c>
      <c r="L388" s="25" t="n">
        <v>2125</v>
      </c>
      <c r="M388" s="26" t="n">
        <v>3.3</v>
      </c>
      <c r="N388" s="25">
        <f>ROUND(L388/M388, 0)</f>
        <v/>
      </c>
      <c r="O388" s="25">
        <f>ROUND(N388*'Methodology &amp; Assumptions'!$B$7, 0)</f>
        <v/>
      </c>
      <c r="P388" s="23" t="inlineStr">
        <is>
          <t>Single Carrier (Band n50, 100MHz TDD)</t>
        </is>
      </c>
      <c r="Q388" s="27">
        <f>ROUNDUP(O388/'Methodology &amp; Assumptions'!$B$8, 0)</f>
        <v/>
      </c>
      <c r="R388" s="27" t="n">
        <v>1</v>
      </c>
      <c r="S388" s="26" t="n">
        <v>0.13</v>
      </c>
      <c r="T388" s="26" t="n">
        <v>6.12</v>
      </c>
      <c r="U388" s="11">
        <f>IF(S388&lt;='Methodology &amp; Assumptions'!$B$10, "Direct Optical Drop (&lt;3km)", IF(S388&lt;='Methodology &amp; Assumptions'!$B$9, "Near Optical / Microwave (&lt;5km)", "Starlink Business LEO Satellite Backhaul (&gt;5km)"))</f>
        <v/>
      </c>
      <c r="V388" s="26" t="n">
        <v>81.91</v>
      </c>
      <c r="W388" s="26" t="n">
        <v>37.21</v>
      </c>
      <c r="X388" s="26">
        <f>ROUND(('Methodology &amp; Assumptions'!$B$5*V388) + ('Methodology &amp; Assumptions'!$B$6*W388), 2)</f>
        <v/>
      </c>
      <c r="Y388" s="28" t="n">
        <v>7.2</v>
      </c>
      <c r="Z388" s="11" t="inlineStr">
        <is>
          <t>Priority Tier 3 (Broadband Expansion)</t>
        </is>
      </c>
    </row>
    <row r="389">
      <c r="A389" s="23" t="n">
        <v>4</v>
      </c>
      <c r="B389" s="23" t="n">
        <v>385</v>
      </c>
      <c r="C389" s="23" t="n">
        <v>3385</v>
      </c>
      <c r="D389" s="23" t="inlineStr">
        <is>
          <t>0401018002</t>
        </is>
      </c>
      <c r="E389" s="11" t="inlineStr">
        <is>
          <t>Region IV-A (CALABARZON)</t>
        </is>
      </c>
      <c r="F389" s="11" t="inlineStr">
        <is>
          <t>Batangas</t>
        </is>
      </c>
      <c r="G389" s="11" t="inlineStr">
        <is>
          <t>Mataasnakahoy</t>
        </is>
      </c>
      <c r="H389" s="11" t="inlineStr">
        <is>
          <t>District II</t>
        </is>
      </c>
      <c r="I389" s="24" t="n">
        <v>13.95979</v>
      </c>
      <c r="J389" s="24" t="n">
        <v>121.114113</v>
      </c>
      <c r="K389" s="23" t="inlineStr">
        <is>
          <t>R</t>
        </is>
      </c>
      <c r="L389" s="25" t="n">
        <v>2221</v>
      </c>
      <c r="M389" s="26" t="n">
        <v>3.6</v>
      </c>
      <c r="N389" s="25">
        <f>ROUND(L389/M389, 0)</f>
        <v/>
      </c>
      <c r="O389" s="25">
        <f>ROUND(N389*'Methodology &amp; Assumptions'!$B$7, 0)</f>
        <v/>
      </c>
      <c r="P389" s="23" t="inlineStr">
        <is>
          <t>Single Carrier (Band n50, 100MHz TDD)</t>
        </is>
      </c>
      <c r="Q389" s="27">
        <f>ROUNDUP(O389/'Methodology &amp; Assumptions'!$B$8, 0)</f>
        <v/>
      </c>
      <c r="R389" s="27" t="n">
        <v>1</v>
      </c>
      <c r="S389" s="26" t="n">
        <v>0.31</v>
      </c>
      <c r="T389" s="26" t="n">
        <v>2.33</v>
      </c>
      <c r="U389" s="11">
        <f>IF(S389&lt;='Methodology &amp; Assumptions'!$B$10, "Direct Optical Drop (&lt;3km)", IF(S389&lt;='Methodology &amp; Assumptions'!$B$9, "Near Optical / Microwave (&lt;5km)", "Starlink Business LEO Satellite Backhaul (&gt;5km)"))</f>
        <v/>
      </c>
      <c r="V389" s="26" t="n">
        <v>77.63</v>
      </c>
      <c r="W389" s="26" t="n">
        <v>41.48</v>
      </c>
      <c r="X389" s="26">
        <f>ROUND(('Methodology &amp; Assumptions'!$B$5*V389) + ('Methodology &amp; Assumptions'!$B$6*W389), 2)</f>
        <v/>
      </c>
      <c r="Y389" s="28" t="n">
        <v>7.2</v>
      </c>
      <c r="Z389" s="11" t="inlineStr">
        <is>
          <t>Priority Tier 3 (Broadband Expansion)</t>
        </is>
      </c>
    </row>
    <row r="390">
      <c r="A390" s="23" t="n">
        <v>4</v>
      </c>
      <c r="B390" s="23" t="n">
        <v>386</v>
      </c>
      <c r="C390" s="23" t="n">
        <v>3386</v>
      </c>
      <c r="D390" s="23" t="inlineStr">
        <is>
          <t>0603023046</t>
        </is>
      </c>
      <c r="E390" s="11" t="inlineStr">
        <is>
          <t>Region VI (Western Visayas)</t>
        </is>
      </c>
      <c r="F390" s="11" t="inlineStr">
        <is>
          <t>Iloilo</t>
        </is>
      </c>
      <c r="G390" s="11" t="inlineStr">
        <is>
          <t>Janiuay</t>
        </is>
      </c>
      <c r="H390" s="11" t="inlineStr">
        <is>
          <t>Aquino Nobleza East</t>
        </is>
      </c>
      <c r="I390" s="24" t="n">
        <v>10.947166</v>
      </c>
      <c r="J390" s="24" t="n">
        <v>122.50784</v>
      </c>
      <c r="K390" s="23" t="inlineStr">
        <is>
          <t>R</t>
        </is>
      </c>
      <c r="L390" s="25" t="n">
        <v>1792</v>
      </c>
      <c r="M390" s="26" t="n">
        <v>3.8</v>
      </c>
      <c r="N390" s="25">
        <f>ROUND(L390/M390, 0)</f>
        <v/>
      </c>
      <c r="O390" s="25">
        <f>ROUND(N390*'Methodology &amp; Assumptions'!$B$7, 0)</f>
        <v/>
      </c>
      <c r="P390" s="23" t="inlineStr">
        <is>
          <t>Single Carrier (Band n50, 100MHz TDD)</t>
        </is>
      </c>
      <c r="Q390" s="27">
        <f>ROUNDUP(O390/'Methodology &amp; Assumptions'!$B$8, 0)</f>
        <v/>
      </c>
      <c r="R390" s="27" t="n">
        <v>1</v>
      </c>
      <c r="S390" s="26" t="n">
        <v>0.61</v>
      </c>
      <c r="T390" s="26" t="n">
        <v>0.27</v>
      </c>
      <c r="U390" s="11">
        <f>IF(S390&lt;='Methodology &amp; Assumptions'!$B$10, "Direct Optical Drop (&lt;3km)", IF(S390&lt;='Methodology &amp; Assumptions'!$B$9, "Near Optical / Microwave (&lt;5km)", "Starlink Business LEO Satellite Backhaul (&gt;5km)"))</f>
        <v/>
      </c>
      <c r="V390" s="26" t="n">
        <v>75.84999999999999</v>
      </c>
      <c r="W390" s="26" t="n">
        <v>43.26</v>
      </c>
      <c r="X390" s="26">
        <f>ROUND(('Methodology &amp; Assumptions'!$B$5*V390) + ('Methodology &amp; Assumptions'!$B$6*W390), 2)</f>
        <v/>
      </c>
      <c r="Y390" s="28" t="n">
        <v>23.7</v>
      </c>
      <c r="Z390" s="11" t="inlineStr">
        <is>
          <t>Priority Tier 3 (Broadband Expansion)</t>
        </is>
      </c>
    </row>
    <row r="391">
      <c r="A391" s="23" t="n">
        <v>4</v>
      </c>
      <c r="B391" s="23" t="n">
        <v>387</v>
      </c>
      <c r="C391" s="23" t="n">
        <v>3387</v>
      </c>
      <c r="D391" s="23" t="inlineStr">
        <is>
          <t>1705205057</t>
        </is>
      </c>
      <c r="E391" s="11" t="inlineStr">
        <is>
          <t>MIMAROPA Region</t>
        </is>
      </c>
      <c r="F391" s="11" t="inlineStr">
        <is>
          <t>Oriental Mindoro</t>
        </is>
      </c>
      <c r="G391" s="11" t="inlineStr">
        <is>
          <t>City of Calapan</t>
        </is>
      </c>
      <c r="H391" s="11" t="inlineStr">
        <is>
          <t>Sto. Niño</t>
        </is>
      </c>
      <c r="I391" s="24" t="n">
        <v>13.407007</v>
      </c>
      <c r="J391" s="24" t="n">
        <v>121.184304</v>
      </c>
      <c r="K391" s="23" t="inlineStr">
        <is>
          <t>U</t>
        </is>
      </c>
      <c r="L391" s="25" t="n">
        <v>3715</v>
      </c>
      <c r="M391" s="26" t="n">
        <v>3.9</v>
      </c>
      <c r="N391" s="25">
        <f>ROUND(L391/M391, 0)</f>
        <v/>
      </c>
      <c r="O391" s="25">
        <f>ROUND(N391*'Methodology &amp; Assumptions'!$B$7, 0)</f>
        <v/>
      </c>
      <c r="P391" s="23" t="inlineStr">
        <is>
          <t>Single Carrier (Band n50, 100MHz TDD)</t>
        </is>
      </c>
      <c r="Q391" s="27">
        <f>ROUNDUP(O391/'Methodology &amp; Assumptions'!$B$8, 0)</f>
        <v/>
      </c>
      <c r="R391" s="27" t="n">
        <v>1</v>
      </c>
      <c r="S391" s="26" t="n">
        <v>2.17</v>
      </c>
      <c r="T391" s="26" t="n">
        <v>3.97</v>
      </c>
      <c r="U391" s="11">
        <f>IF(S391&lt;='Methodology &amp; Assumptions'!$B$10, "Direct Optical Drop (&lt;3km)", IF(S391&lt;='Methodology &amp; Assumptions'!$B$9, "Near Optical / Microwave (&lt;5km)", "Starlink Business LEO Satellite Backhaul (&gt;5km)"))</f>
        <v/>
      </c>
      <c r="V391" s="26" t="n">
        <v>71.18000000000001</v>
      </c>
      <c r="W391" s="26" t="n">
        <v>47.95</v>
      </c>
      <c r="X391" s="26">
        <f>ROUND(('Methodology &amp; Assumptions'!$B$5*V391) + ('Methodology &amp; Assumptions'!$B$6*W391), 2)</f>
        <v/>
      </c>
      <c r="Y391" s="28" t="n">
        <v>15</v>
      </c>
      <c r="Z391" s="11" t="inlineStr">
        <is>
          <t>Priority Tier 3 (Broadband Expansion)</t>
        </is>
      </c>
    </row>
    <row r="392">
      <c r="A392" s="23" t="n">
        <v>4</v>
      </c>
      <c r="B392" s="23" t="n">
        <v>388</v>
      </c>
      <c r="C392" s="23" t="n">
        <v>3388</v>
      </c>
      <c r="D392" s="23" t="inlineStr">
        <is>
          <t>0504101032</t>
        </is>
      </c>
      <c r="E392" s="11" t="inlineStr">
        <is>
          <t>Region V (Bicol Region)</t>
        </is>
      </c>
      <c r="F392" s="11" t="inlineStr">
        <is>
          <t>Masbate</t>
        </is>
      </c>
      <c r="G392" s="11" t="inlineStr">
        <is>
          <t>Aroroy</t>
        </is>
      </c>
      <c r="H392" s="11" t="inlineStr">
        <is>
          <t>Puro</t>
        </is>
      </c>
      <c r="I392" s="24" t="n">
        <v>12.473184</v>
      </c>
      <c r="J392" s="24" t="n">
        <v>123.3821</v>
      </c>
      <c r="K392" s="23" t="inlineStr">
        <is>
          <t>U</t>
        </is>
      </c>
      <c r="L392" s="25" t="n">
        <v>8299</v>
      </c>
      <c r="M392" s="26" t="n">
        <v>4.1</v>
      </c>
      <c r="N392" s="25">
        <f>ROUND(L392/M392, 0)</f>
        <v/>
      </c>
      <c r="O392" s="25">
        <f>ROUND(N392*'Methodology &amp; Assumptions'!$B$7, 0)</f>
        <v/>
      </c>
      <c r="P392" s="23" t="inlineStr">
        <is>
          <t>Single Carrier (Band n50, 100MHz TDD)</t>
        </is>
      </c>
      <c r="Q392" s="27">
        <f>ROUNDUP(O392/'Methodology &amp; Assumptions'!$B$8, 0)</f>
        <v/>
      </c>
      <c r="R392" s="27" t="n">
        <v>1</v>
      </c>
      <c r="S392" s="26" t="n">
        <v>4.52</v>
      </c>
      <c r="T392" s="26" t="n">
        <v>7.55</v>
      </c>
      <c r="U392" s="11">
        <f>IF(S392&lt;='Methodology &amp; Assumptions'!$B$10, "Direct Optical Drop (&lt;3km)", IF(S392&lt;='Methodology &amp; Assumptions'!$B$9, "Near Optical / Microwave (&lt;5km)", "Starlink Business LEO Satellite Backhaul (&gt;5km)"))</f>
        <v/>
      </c>
      <c r="V392" s="26" t="n">
        <v>66.72</v>
      </c>
      <c r="W392" s="26" t="n">
        <v>52.39</v>
      </c>
      <c r="X392" s="26">
        <f>ROUND(('Methodology &amp; Assumptions'!$B$5*V392) + ('Methodology &amp; Assumptions'!$B$6*W392), 2)</f>
        <v/>
      </c>
      <c r="Y392" s="28" t="n">
        <v>23.7</v>
      </c>
      <c r="Z392" s="11" t="inlineStr">
        <is>
          <t>Priority Tier 3 (Broadband Expansion)</t>
        </is>
      </c>
    </row>
    <row r="393">
      <c r="A393" s="23" t="n">
        <v>4</v>
      </c>
      <c r="B393" s="23" t="n">
        <v>389</v>
      </c>
      <c r="C393" s="23" t="n">
        <v>3389</v>
      </c>
      <c r="D393" s="23" t="inlineStr">
        <is>
          <t>1102506011</t>
        </is>
      </c>
      <c r="E393" s="11" t="inlineStr">
        <is>
          <t>Region XI (Davao Region)</t>
        </is>
      </c>
      <c r="F393" s="11" t="inlineStr">
        <is>
          <t>Davao Oriental</t>
        </is>
      </c>
      <c r="G393" s="11" t="inlineStr">
        <is>
          <t>Governor Generoso</t>
        </is>
      </c>
      <c r="H393" s="11" t="inlineStr">
        <is>
          <t>Pundaguitan</t>
        </is>
      </c>
      <c r="I393" s="24" t="n">
        <v>6.356672</v>
      </c>
      <c r="J393" s="24" t="n">
        <v>126.184405</v>
      </c>
      <c r="K393" s="23" t="inlineStr">
        <is>
          <t>R</t>
        </is>
      </c>
      <c r="L393" s="25" t="n">
        <v>2544</v>
      </c>
      <c r="M393" s="26" t="n">
        <v>3.6</v>
      </c>
      <c r="N393" s="25">
        <f>ROUND(L393/M393, 0)</f>
        <v/>
      </c>
      <c r="O393" s="25">
        <f>ROUND(N393*'Methodology &amp; Assumptions'!$B$7, 0)</f>
        <v/>
      </c>
      <c r="P393" s="23" t="inlineStr">
        <is>
          <t>Single Carrier (Band n50, 100MHz TDD)</t>
        </is>
      </c>
      <c r="Q393" s="27">
        <f>ROUNDUP(O393/'Methodology &amp; Assumptions'!$B$8, 0)</f>
        <v/>
      </c>
      <c r="R393" s="27" t="n">
        <v>1</v>
      </c>
      <c r="S393" s="26" t="n">
        <v>62.94</v>
      </c>
      <c r="T393" s="26" t="n">
        <v>58.58</v>
      </c>
      <c r="U393" s="11">
        <f>IF(S393&lt;='Methodology &amp; Assumptions'!$B$10, "Direct Optical Drop (&lt;3km)", IF(S393&lt;='Methodology &amp; Assumptions'!$B$9, "Near Optical / Microwave (&lt;5km)", "Starlink Business LEO Satellite Backhaul (&gt;5km)"))</f>
        <v/>
      </c>
      <c r="V393" s="26" t="n">
        <v>57.31</v>
      </c>
      <c r="W393" s="26" t="n">
        <v>61.81</v>
      </c>
      <c r="X393" s="26">
        <f>ROUND(('Methodology &amp; Assumptions'!$B$5*V393) + ('Methodology &amp; Assumptions'!$B$6*W393), 2)</f>
        <v/>
      </c>
      <c r="Y393" s="28" t="n">
        <v>17.4</v>
      </c>
      <c r="Z393" s="11" t="inlineStr">
        <is>
          <t>Priority Tier 3 (Broadband Expansion)</t>
        </is>
      </c>
    </row>
    <row r="394">
      <c r="A394" s="23" t="n">
        <v>4</v>
      </c>
      <c r="B394" s="23" t="n">
        <v>390</v>
      </c>
      <c r="C394" s="23" t="n">
        <v>3390</v>
      </c>
      <c r="D394" s="23" t="inlineStr">
        <is>
          <t>0500501055</t>
        </is>
      </c>
      <c r="E394" s="11" t="inlineStr">
        <is>
          <t>Region V (Bicol Region)</t>
        </is>
      </c>
      <c r="F394" s="11" t="inlineStr">
        <is>
          <t>Albay</t>
        </is>
      </c>
      <c r="G394" s="11" t="inlineStr">
        <is>
          <t>Bacacay</t>
        </is>
      </c>
      <c r="H394" s="11" t="inlineStr">
        <is>
          <t>Tanagan</t>
        </is>
      </c>
      <c r="I394" s="24" t="n">
        <v>13.310367</v>
      </c>
      <c r="J394" s="24" t="n">
        <v>123.852192</v>
      </c>
      <c r="K394" s="23" t="inlineStr">
        <is>
          <t>R</t>
        </is>
      </c>
      <c r="L394" s="25" t="n">
        <v>1153</v>
      </c>
      <c r="M394" s="26" t="n">
        <v>4.1</v>
      </c>
      <c r="N394" s="25">
        <f>ROUND(L394/M394, 0)</f>
        <v/>
      </c>
      <c r="O394" s="25">
        <f>ROUND(N394*'Methodology &amp; Assumptions'!$B$7, 0)</f>
        <v/>
      </c>
      <c r="P394" s="23" t="inlineStr">
        <is>
          <t>Single Carrier (Band n50, 100MHz TDD)</t>
        </is>
      </c>
      <c r="Q394" s="27">
        <f>ROUNDUP(O394/'Methodology &amp; Assumptions'!$B$8, 0)</f>
        <v/>
      </c>
      <c r="R394" s="27" t="n">
        <v>1</v>
      </c>
      <c r="S394" s="26" t="n">
        <v>7.86</v>
      </c>
      <c r="T394" s="26" t="n">
        <v>10.22</v>
      </c>
      <c r="U394" s="11">
        <f>IF(S394&lt;='Methodology &amp; Assumptions'!$B$10, "Direct Optical Drop (&lt;3km)", IF(S394&lt;='Methodology &amp; Assumptions'!$B$9, "Near Optical / Microwave (&lt;5km)", "Starlink Business LEO Satellite Backhaul (&gt;5km)"))</f>
        <v/>
      </c>
      <c r="V394" s="26" t="n">
        <v>51.2</v>
      </c>
      <c r="W394" s="26" t="n">
        <v>67.92</v>
      </c>
      <c r="X394" s="26">
        <f>ROUND(('Methodology &amp; Assumptions'!$B$5*V394) + ('Methodology &amp; Assumptions'!$B$6*W394), 2)</f>
        <v/>
      </c>
      <c r="Y394" s="28" t="n">
        <v>23.7</v>
      </c>
      <c r="Z394" s="11" t="inlineStr">
        <is>
          <t>Priority Tier 3 (Broadband Expansion)</t>
        </is>
      </c>
    </row>
    <row r="395">
      <c r="A395" s="23" t="n">
        <v>4</v>
      </c>
      <c r="B395" s="23" t="n">
        <v>391</v>
      </c>
      <c r="C395" s="23" t="n">
        <v>3391</v>
      </c>
      <c r="D395" s="23" t="inlineStr">
        <is>
          <t>1380606224</t>
        </is>
      </c>
      <c r="E395" s="11" t="inlineStr">
        <is>
          <t>National Capital Region (NCR)</t>
        </is>
      </c>
      <c r="F395" s="11" t="inlineStr">
        <is>
          <t>First District (Not a Province)</t>
        </is>
      </c>
      <c r="G395" s="11" t="inlineStr">
        <is>
          <t>City of Manila</t>
        </is>
      </c>
      <c r="H395" s="11" t="inlineStr">
        <is>
          <t>Barangay 617</t>
        </is>
      </c>
      <c r="I395" s="24" t="n">
        <v>14.592452</v>
      </c>
      <c r="J395" s="24" t="n">
        <v>121.02258</v>
      </c>
      <c r="K395" s="23" t="inlineStr">
        <is>
          <t>U</t>
        </is>
      </c>
      <c r="L395" s="25" t="n">
        <v>1300</v>
      </c>
      <c r="M395" s="26" t="n">
        <v>4.3</v>
      </c>
      <c r="N395" s="25">
        <f>ROUND(L395/M395, 0)</f>
        <v/>
      </c>
      <c r="O395" s="25">
        <f>ROUND(N395*'Methodology &amp; Assumptions'!$B$7, 0)</f>
        <v/>
      </c>
      <c r="P395" s="23" t="inlineStr">
        <is>
          <t>Single Carrier (Band n50, 100MHz TDD)</t>
        </is>
      </c>
      <c r="Q395" s="27">
        <f>ROUNDUP(O395/'Methodology &amp; Assumptions'!$B$8, 0)</f>
        <v/>
      </c>
      <c r="R395" s="27" t="n">
        <v>1</v>
      </c>
      <c r="S395" s="26" t="n">
        <v>1.15</v>
      </c>
      <c r="T395" s="26" t="n">
        <v>0.38</v>
      </c>
      <c r="U395" s="11">
        <f>IF(S395&lt;='Methodology &amp; Assumptions'!$B$10, "Direct Optical Drop (&lt;3km)", IF(S395&lt;='Methodology &amp; Assumptions'!$B$9, "Near Optical / Microwave (&lt;5km)", "Starlink Business LEO Satellite Backhaul (&gt;5km)"))</f>
        <v/>
      </c>
      <c r="V395" s="26" t="n">
        <v>49.67</v>
      </c>
      <c r="W395" s="26" t="n">
        <v>69.45</v>
      </c>
      <c r="X395" s="26">
        <f>ROUND(('Methodology &amp; Assumptions'!$B$5*V395) + ('Methodology &amp; Assumptions'!$B$6*W395), 2)</f>
        <v/>
      </c>
      <c r="Y395" s="28" t="n">
        <v>10.9</v>
      </c>
      <c r="Z395" s="11" t="inlineStr">
        <is>
          <t>Priority Tier 3 (Broadband Expansion)</t>
        </is>
      </c>
    </row>
    <row r="396">
      <c r="A396" s="23" t="n">
        <v>4</v>
      </c>
      <c r="B396" s="23" t="n">
        <v>392</v>
      </c>
      <c r="C396" s="23" t="n">
        <v>3392</v>
      </c>
      <c r="D396" s="23" t="inlineStr">
        <is>
          <t>1380610022</t>
        </is>
      </c>
      <c r="E396" s="11" t="inlineStr">
        <is>
          <t>National Capital Region (NCR)</t>
        </is>
      </c>
      <c r="F396" s="11" t="inlineStr">
        <is>
          <t>First District (Not a Province)</t>
        </is>
      </c>
      <c r="G396" s="11" t="inlineStr">
        <is>
          <t>City of Manila</t>
        </is>
      </c>
      <c r="H396" s="11" t="inlineStr">
        <is>
          <t>Barangay 707</t>
        </is>
      </c>
      <c r="I396" s="24" t="n">
        <v>14.567868</v>
      </c>
      <c r="J396" s="24" t="n">
        <v>120.990526</v>
      </c>
      <c r="K396" s="23" t="inlineStr">
        <is>
          <t>U</t>
        </is>
      </c>
      <c r="L396" s="25" t="n">
        <v>1081</v>
      </c>
      <c r="M396" s="26" t="n">
        <v>4.17</v>
      </c>
      <c r="N396" s="25">
        <f>ROUND(L396/M396, 0)</f>
        <v/>
      </c>
      <c r="O396" s="25">
        <f>ROUND(N396*'Methodology &amp; Assumptions'!$B$7, 0)</f>
        <v/>
      </c>
      <c r="P396" s="23" t="inlineStr">
        <is>
          <t>Single Carrier (Band n50, 100MHz TDD)</t>
        </is>
      </c>
      <c r="Q396" s="27">
        <f>ROUNDUP(O396/'Methodology &amp; Assumptions'!$B$8, 0)</f>
        <v/>
      </c>
      <c r="R396" s="27" t="n">
        <v>1</v>
      </c>
      <c r="S396" s="26" t="n">
        <v>0.61</v>
      </c>
      <c r="T396" s="26" t="n">
        <v>0.34</v>
      </c>
      <c r="U396" s="11">
        <f>IF(S396&lt;='Methodology &amp; Assumptions'!$B$10, "Direct Optical Drop (&lt;3km)", IF(S396&lt;='Methodology &amp; Assumptions'!$B$9, "Near Optical / Microwave (&lt;5km)", "Starlink Business LEO Satellite Backhaul (&gt;5km)"))</f>
        <v/>
      </c>
      <c r="V396" s="26" t="n">
        <v>49.45</v>
      </c>
      <c r="W396" s="26" t="n">
        <v>69.68000000000001</v>
      </c>
      <c r="X396" s="26">
        <f>ROUND(('Methodology &amp; Assumptions'!$B$5*V396) + ('Methodology &amp; Assumptions'!$B$6*W396), 2)</f>
        <v/>
      </c>
      <c r="Y396" s="28" t="n">
        <v>10.9</v>
      </c>
      <c r="Z396" s="11" t="inlineStr">
        <is>
          <t>Priority Tier 3 (Broadband Expansion)</t>
        </is>
      </c>
    </row>
    <row r="397">
      <c r="A397" s="23" t="n">
        <v>4</v>
      </c>
      <c r="B397" s="23" t="n">
        <v>393</v>
      </c>
      <c r="C397" s="23" t="n">
        <v>3393</v>
      </c>
      <c r="D397" s="23" t="inlineStr">
        <is>
          <t>1380610027</t>
        </is>
      </c>
      <c r="E397" s="11" t="inlineStr">
        <is>
          <t>National Capital Region (NCR)</t>
        </is>
      </c>
      <c r="F397" s="11" t="inlineStr">
        <is>
          <t>First District (Not a Province)</t>
        </is>
      </c>
      <c r="G397" s="11" t="inlineStr">
        <is>
          <t>City of Manila</t>
        </is>
      </c>
      <c r="H397" s="11" t="inlineStr">
        <is>
          <t>Barangay 712</t>
        </is>
      </c>
      <c r="I397" s="24" t="n">
        <v>14.567514</v>
      </c>
      <c r="J397" s="24" t="n">
        <v>120.991223</v>
      </c>
      <c r="K397" s="23" t="inlineStr">
        <is>
          <t>U</t>
        </is>
      </c>
      <c r="L397" s="25" t="n">
        <v>1225</v>
      </c>
      <c r="M397" s="26" t="n">
        <v>4.98</v>
      </c>
      <c r="N397" s="25">
        <f>ROUND(L397/M397, 0)</f>
        <v/>
      </c>
      <c r="O397" s="25">
        <f>ROUND(N397*'Methodology &amp; Assumptions'!$B$7, 0)</f>
        <v/>
      </c>
      <c r="P397" s="23" t="inlineStr">
        <is>
          <t>Single Carrier (Band n50, 100MHz TDD)</t>
        </is>
      </c>
      <c r="Q397" s="27">
        <f>ROUNDUP(O397/'Methodology &amp; Assumptions'!$B$8, 0)</f>
        <v/>
      </c>
      <c r="R397" s="27" t="n">
        <v>1</v>
      </c>
      <c r="S397" s="26" t="n">
        <v>0.6</v>
      </c>
      <c r="T397" s="26" t="n">
        <v>0.36</v>
      </c>
      <c r="U397" s="11">
        <f>IF(S397&lt;='Methodology &amp; Assumptions'!$B$10, "Direct Optical Drop (&lt;3km)", IF(S397&lt;='Methodology &amp; Assumptions'!$B$9, "Near Optical / Microwave (&lt;5km)", "Starlink Business LEO Satellite Backhaul (&gt;5km)"))</f>
        <v/>
      </c>
      <c r="V397" s="26" t="n">
        <v>49.02</v>
      </c>
      <c r="W397" s="26" t="n">
        <v>70.09999999999999</v>
      </c>
      <c r="X397" s="26">
        <f>ROUND(('Methodology &amp; Assumptions'!$B$5*V397) + ('Methodology &amp; Assumptions'!$B$6*W397), 2)</f>
        <v/>
      </c>
      <c r="Y397" s="28" t="n">
        <v>10.9</v>
      </c>
      <c r="Z397" s="11" t="inlineStr">
        <is>
          <t>Priority Tier 3 (Broadband Expansion)</t>
        </is>
      </c>
    </row>
    <row r="398">
      <c r="A398" s="23" t="n">
        <v>4</v>
      </c>
      <c r="B398" s="23" t="n">
        <v>394</v>
      </c>
      <c r="C398" s="23" t="n">
        <v>3394</v>
      </c>
      <c r="D398" s="23" t="inlineStr">
        <is>
          <t>1906608010</t>
        </is>
      </c>
      <c r="E398" s="11" t="inlineStr">
        <is>
          <t>Bangsamoro Autonomous Region In Muslim Mindanao (BARMM)</t>
        </is>
      </c>
      <c r="F398" s="11" t="inlineStr">
        <is>
          <t>Sulu</t>
        </is>
      </c>
      <c r="G398" s="11" t="inlineStr">
        <is>
          <t>Pangutaran</t>
        </is>
      </c>
      <c r="H398" s="11" t="inlineStr">
        <is>
          <t>Panducan</t>
        </is>
      </c>
      <c r="I398" s="24" t="n">
        <v>6.264487</v>
      </c>
      <c r="J398" s="24" t="n">
        <v>120.637247</v>
      </c>
      <c r="K398" s="23" t="inlineStr">
        <is>
          <t>R</t>
        </is>
      </c>
      <c r="L398" s="25" t="n">
        <v>3077</v>
      </c>
      <c r="M398" s="26" t="n">
        <v>6</v>
      </c>
      <c r="N398" s="25">
        <f>ROUND(L398/M398, 0)</f>
        <v/>
      </c>
      <c r="O398" s="25">
        <f>ROUND(N398*'Methodology &amp; Assumptions'!$B$7, 0)</f>
        <v/>
      </c>
      <c r="P398" s="23" t="inlineStr">
        <is>
          <t>Single Carrier (Band n50, 100MHz TDD)</t>
        </is>
      </c>
      <c r="Q398" s="27">
        <f>ROUNDUP(O398/'Methodology &amp; Assumptions'!$B$8, 0)</f>
        <v/>
      </c>
      <c r="R398" s="27" t="n">
        <v>1</v>
      </c>
      <c r="S398" s="26" t="n">
        <v>174.17</v>
      </c>
      <c r="T398" s="26" t="n">
        <v>174.17</v>
      </c>
      <c r="U398" s="11">
        <f>IF(S398&lt;='Methodology &amp; Assumptions'!$B$10, "Direct Optical Drop (&lt;3km)", IF(S398&lt;='Methodology &amp; Assumptions'!$B$9, "Near Optical / Microwave (&lt;5km)", "Starlink Business LEO Satellite Backhaul (&gt;5km)"))</f>
        <v/>
      </c>
      <c r="V398" s="26" t="n">
        <v>47.55</v>
      </c>
      <c r="W398" s="26" t="n">
        <v>71.56999999999999</v>
      </c>
      <c r="X398" s="26">
        <f>ROUND(('Methodology &amp; Assumptions'!$B$5*V398) + ('Methodology &amp; Assumptions'!$B$6*W398), 2)</f>
        <v/>
      </c>
      <c r="Y398" s="28" t="n">
        <v>11</v>
      </c>
      <c r="Z398" s="11" t="inlineStr">
        <is>
          <t>Priority Tier 3 (Broadband Expansion)</t>
        </is>
      </c>
    </row>
    <row r="399">
      <c r="A399" s="23" t="n">
        <v>4</v>
      </c>
      <c r="B399" s="23" t="n">
        <v>395</v>
      </c>
      <c r="C399" s="23" t="n">
        <v>3395</v>
      </c>
      <c r="D399" s="23" t="inlineStr">
        <is>
          <t>0405622032</t>
        </is>
      </c>
      <c r="E399" s="11" t="inlineStr">
        <is>
          <t>Region IV-A (CALABARZON)</t>
        </is>
      </c>
      <c r="F399" s="11" t="inlineStr">
        <is>
          <t>Quezon</t>
        </is>
      </c>
      <c r="G399" s="11" t="inlineStr">
        <is>
          <t>Lopez</t>
        </is>
      </c>
      <c r="H399" s="11" t="inlineStr">
        <is>
          <t>Esperanza Ilaya</t>
        </is>
      </c>
      <c r="I399" s="24" t="n">
        <v>13.895031</v>
      </c>
      <c r="J399" s="24" t="n">
        <v>122.329896</v>
      </c>
      <c r="K399" s="23" t="inlineStr">
        <is>
          <t>R</t>
        </is>
      </c>
      <c r="L399" s="25" t="n">
        <v>263</v>
      </c>
      <c r="M399" s="26" t="n">
        <v>3.8</v>
      </c>
      <c r="N399" s="25">
        <f>ROUND(L399/M399, 0)</f>
        <v/>
      </c>
      <c r="O399" s="25">
        <f>ROUND(N399*'Methodology &amp; Assumptions'!$B$7, 0)</f>
        <v/>
      </c>
      <c r="P399" s="23" t="inlineStr">
        <is>
          <t>Single Carrier (Band n50, 100MHz TDD)</t>
        </is>
      </c>
      <c r="Q399" s="27">
        <f>ROUNDUP(O399/'Methodology &amp; Assumptions'!$B$8, 0)</f>
        <v/>
      </c>
      <c r="R399" s="27" t="n">
        <v>1</v>
      </c>
      <c r="S399" s="26" t="n">
        <v>7.36</v>
      </c>
      <c r="T399" s="26" t="n">
        <v>2.51</v>
      </c>
      <c r="U399" s="11">
        <f>IF(S399&lt;='Methodology &amp; Assumptions'!$B$10, "Direct Optical Drop (&lt;3km)", IF(S399&lt;='Methodology &amp; Assumptions'!$B$9, "Near Optical / Microwave (&lt;5km)", "Starlink Business LEO Satellite Backhaul (&gt;5km)"))</f>
        <v/>
      </c>
      <c r="V399" s="26" t="n">
        <v>42.89</v>
      </c>
      <c r="W399" s="26" t="n">
        <v>76.23</v>
      </c>
      <c r="X399" s="26">
        <f>ROUND(('Methodology &amp; Assumptions'!$B$5*V399) + ('Methodology &amp; Assumptions'!$B$6*W399), 2)</f>
        <v/>
      </c>
      <c r="Y399" s="28" t="n">
        <v>7.2</v>
      </c>
      <c r="Z399" s="11" t="inlineStr">
        <is>
          <t>Priority Tier 3 (Broadband Expansion)</t>
        </is>
      </c>
    </row>
    <row r="400">
      <c r="A400" s="23" t="n">
        <v>4</v>
      </c>
      <c r="B400" s="23" t="n">
        <v>396</v>
      </c>
      <c r="C400" s="23" t="n">
        <v>3396</v>
      </c>
      <c r="D400" s="23" t="inlineStr">
        <is>
          <t>0604530006</t>
        </is>
      </c>
      <c r="E400" s="11" t="inlineStr">
        <is>
          <t>Region VI (Western Visayas)</t>
        </is>
      </c>
      <c r="F400" s="11" t="inlineStr">
        <is>
          <t>Negros Occidental</t>
        </is>
      </c>
      <c r="G400" s="11" t="inlineStr">
        <is>
          <t>Valladolid</t>
        </is>
      </c>
      <c r="H400" s="11" t="inlineStr">
        <is>
          <t>Central Tabao</t>
        </is>
      </c>
      <c r="I400" s="24" t="n">
        <v>10.440328</v>
      </c>
      <c r="J400" s="24" t="n">
        <v>122.826085</v>
      </c>
      <c r="K400" s="23" t="inlineStr">
        <is>
          <t>R</t>
        </is>
      </c>
      <c r="L400" s="25" t="n">
        <v>3643</v>
      </c>
      <c r="M400" s="26" t="n">
        <v>3.7</v>
      </c>
      <c r="N400" s="25">
        <f>ROUND(L400/M400, 0)</f>
        <v/>
      </c>
      <c r="O400" s="25">
        <f>ROUND(N400*'Methodology &amp; Assumptions'!$B$7, 0)</f>
        <v/>
      </c>
      <c r="P400" s="23" t="inlineStr">
        <is>
          <t>Single Carrier (Band n50, 100MHz TDD)</t>
        </is>
      </c>
      <c r="Q400" s="27">
        <f>ROUNDUP(O400/'Methodology &amp; Assumptions'!$B$8, 0)</f>
        <v/>
      </c>
      <c r="R400" s="27" t="n">
        <v>1</v>
      </c>
      <c r="S400" s="26" t="n">
        <v>2.87</v>
      </c>
      <c r="T400" s="26" t="n">
        <v>0.66</v>
      </c>
      <c r="U400" s="11">
        <f>IF(S400&lt;='Methodology &amp; Assumptions'!$B$10, "Direct Optical Drop (&lt;3km)", IF(S400&lt;='Methodology &amp; Assumptions'!$B$9, "Near Optical / Microwave (&lt;5km)", "Starlink Business LEO Satellite Backhaul (&gt;5km)"))</f>
        <v/>
      </c>
      <c r="V400" s="26" t="n">
        <v>81</v>
      </c>
      <c r="W400" s="26" t="n">
        <v>38.1</v>
      </c>
      <c r="X400" s="26">
        <f>ROUND(('Methodology &amp; Assumptions'!$B$5*V400) + ('Methodology &amp; Assumptions'!$B$6*W400), 2)</f>
        <v/>
      </c>
      <c r="Y400" s="28" t="n">
        <v>23.7</v>
      </c>
      <c r="Z400" s="11" t="inlineStr">
        <is>
          <t>Priority Tier 3 (Broadband Expansion)</t>
        </is>
      </c>
    </row>
    <row r="401">
      <c r="A401" s="23" t="n">
        <v>4</v>
      </c>
      <c r="B401" s="23" t="n">
        <v>397</v>
      </c>
      <c r="C401" s="23" t="n">
        <v>3397</v>
      </c>
      <c r="D401" s="23" t="inlineStr">
        <is>
          <t>1108604002</t>
        </is>
      </c>
      <c r="E401" s="11" t="inlineStr">
        <is>
          <t>Region XI (Davao Region)</t>
        </is>
      </c>
      <c r="F401" s="11" t="inlineStr">
        <is>
          <t>Davao Occidental</t>
        </is>
      </c>
      <c r="G401" s="11" t="inlineStr">
        <is>
          <t>Santa Maria</t>
        </is>
      </c>
      <c r="H401" s="11" t="inlineStr">
        <is>
          <t>Buca</t>
        </is>
      </c>
      <c r="I401" s="24" t="n">
        <v>6.44625</v>
      </c>
      <c r="J401" s="24" t="n">
        <v>125.48365</v>
      </c>
      <c r="K401" s="23" t="inlineStr">
        <is>
          <t>R</t>
        </is>
      </c>
      <c r="L401" s="25" t="n">
        <v>2611</v>
      </c>
      <c r="M401" s="26" t="n">
        <v>3.6</v>
      </c>
      <c r="N401" s="25">
        <f>ROUND(L401/M401, 0)</f>
        <v/>
      </c>
      <c r="O401" s="25">
        <f>ROUND(N401*'Methodology &amp; Assumptions'!$B$7, 0)</f>
        <v/>
      </c>
      <c r="P401" s="23" t="inlineStr">
        <is>
          <t>Single Carrier (Band n50, 100MHz TDD)</t>
        </is>
      </c>
      <c r="Q401" s="27">
        <f>ROUNDUP(O401/'Methodology &amp; Assumptions'!$B$8, 0)</f>
        <v/>
      </c>
      <c r="R401" s="27" t="n">
        <v>1</v>
      </c>
      <c r="S401" s="26" t="n">
        <v>18.03</v>
      </c>
      <c r="T401" s="26" t="n">
        <v>15.59</v>
      </c>
      <c r="U401" s="11">
        <f>IF(S401&lt;='Methodology &amp; Assumptions'!$B$10, "Direct Optical Drop (&lt;3km)", IF(S401&lt;='Methodology &amp; Assumptions'!$B$9, "Near Optical / Microwave (&lt;5km)", "Starlink Business LEO Satellite Backhaul (&gt;5km)"))</f>
        <v/>
      </c>
      <c r="V401" s="26" t="n">
        <v>57.93</v>
      </c>
      <c r="W401" s="26" t="n">
        <v>61.16</v>
      </c>
      <c r="X401" s="26">
        <f>ROUND(('Methodology &amp; Assumptions'!$B$5*V401) + ('Methodology &amp; Assumptions'!$B$6*W401), 2)</f>
        <v/>
      </c>
      <c r="Y401" s="28" t="n">
        <v>17.4</v>
      </c>
      <c r="Z401" s="11" t="inlineStr">
        <is>
          <t>Priority Tier 3 (Broadband Expansion)</t>
        </is>
      </c>
    </row>
    <row r="402">
      <c r="A402" s="23" t="n">
        <v>4</v>
      </c>
      <c r="B402" s="23" t="n">
        <v>398</v>
      </c>
      <c r="C402" s="23" t="n">
        <v>3398</v>
      </c>
      <c r="D402" s="23" t="inlineStr">
        <is>
          <t>0102802046</t>
        </is>
      </c>
      <c r="E402" s="11" t="inlineStr">
        <is>
          <t>Region I (Ilocos Region)</t>
        </is>
      </c>
      <c r="F402" s="11" t="inlineStr">
        <is>
          <t>Ilocos Norte</t>
        </is>
      </c>
      <c r="G402" s="11" t="inlineStr">
        <is>
          <t>Bacarra</t>
        </is>
      </c>
      <c r="H402" s="11" t="inlineStr">
        <is>
          <t>Santa Rita</t>
        </is>
      </c>
      <c r="I402" s="24" t="n">
        <v>18.247581</v>
      </c>
      <c r="J402" s="24" t="n">
        <v>120.609922</v>
      </c>
      <c r="K402" s="23" t="inlineStr">
        <is>
          <t>R</t>
        </is>
      </c>
      <c r="L402" s="25" t="n">
        <v>1136</v>
      </c>
      <c r="M402" s="26" t="n">
        <v>3.7</v>
      </c>
      <c r="N402" s="25">
        <f>ROUND(L402/M402, 0)</f>
        <v/>
      </c>
      <c r="O402" s="25">
        <f>ROUND(N402*'Methodology &amp; Assumptions'!$B$7, 0)</f>
        <v/>
      </c>
      <c r="P402" s="23" t="inlineStr">
        <is>
          <t>Single Carrier (Band n50, 100MHz TDD)</t>
        </is>
      </c>
      <c r="Q402" s="27">
        <f>ROUNDUP(O402/'Methodology &amp; Assumptions'!$B$8, 0)</f>
        <v/>
      </c>
      <c r="R402" s="27" t="n">
        <v>1</v>
      </c>
      <c r="S402" s="26" t="n">
        <v>5.26</v>
      </c>
      <c r="T402" s="26" t="n">
        <v>1.14</v>
      </c>
      <c r="U402" s="11">
        <f>IF(S402&lt;='Methodology &amp; Assumptions'!$B$10, "Direct Optical Drop (&lt;3km)", IF(S402&lt;='Methodology &amp; Assumptions'!$B$9, "Near Optical / Microwave (&lt;5km)", "Starlink Business LEO Satellite Backhaul (&gt;5km)"))</f>
        <v/>
      </c>
      <c r="V402" s="26" t="n">
        <v>57.09</v>
      </c>
      <c r="W402" s="26" t="n">
        <v>62.01</v>
      </c>
      <c r="X402" s="26">
        <f>ROUND(('Methodology &amp; Assumptions'!$B$5*V402) + ('Methodology &amp; Assumptions'!$B$6*W402), 2)</f>
        <v/>
      </c>
      <c r="Y402" s="28" t="n">
        <v>8.300000000000001</v>
      </c>
      <c r="Z402" s="11" t="inlineStr">
        <is>
          <t>Priority Tier 3 (Broadband Expansion)</t>
        </is>
      </c>
    </row>
    <row r="403">
      <c r="A403" s="23" t="n">
        <v>4</v>
      </c>
      <c r="B403" s="23" t="n">
        <v>399</v>
      </c>
      <c r="C403" s="23" t="n">
        <v>3399</v>
      </c>
      <c r="D403" s="23" t="inlineStr">
        <is>
          <t>1381100160</t>
        </is>
      </c>
      <c r="E403" s="11" t="inlineStr">
        <is>
          <t>National Capital Region (NCR)</t>
        </is>
      </c>
      <c r="F403" s="11" t="inlineStr">
        <is>
          <t>Fourth District (Not a Province)</t>
        </is>
      </c>
      <c r="G403" s="11" t="inlineStr">
        <is>
          <t>Pasay City</t>
        </is>
      </c>
      <c r="H403" s="11" t="inlineStr">
        <is>
          <t>Barangay 160</t>
        </is>
      </c>
      <c r="I403" s="24" t="n">
        <v>14.53714</v>
      </c>
      <c r="J403" s="24" t="n">
        <v>121.009484</v>
      </c>
      <c r="K403" s="23" t="inlineStr">
        <is>
          <t>U</t>
        </is>
      </c>
      <c r="L403" s="25" t="n">
        <v>1101</v>
      </c>
      <c r="M403" s="26" t="n">
        <v>3.27</v>
      </c>
      <c r="N403" s="25">
        <f>ROUND(L403/M403, 0)</f>
        <v/>
      </c>
      <c r="O403" s="25">
        <f>ROUND(N403*'Methodology &amp; Assumptions'!$B$7, 0)</f>
        <v/>
      </c>
      <c r="P403" s="23" t="inlineStr">
        <is>
          <t>Single Carrier (Band n50, 100MHz TDD)</t>
        </is>
      </c>
      <c r="Q403" s="27">
        <f>ROUNDUP(O403/'Methodology &amp; Assumptions'!$B$8, 0)</f>
        <v/>
      </c>
      <c r="R403" s="27" t="n">
        <v>1</v>
      </c>
      <c r="S403" s="26" t="n">
        <v>1.42</v>
      </c>
      <c r="T403" s="26" t="n">
        <v>0.66</v>
      </c>
      <c r="U403" s="11">
        <f>IF(S403&lt;='Methodology &amp; Assumptions'!$B$10, "Direct Optical Drop (&lt;3km)", IF(S403&lt;='Methodology &amp; Assumptions'!$B$9, "Near Optical / Microwave (&lt;5km)", "Starlink Business LEO Satellite Backhaul (&gt;5km)"))</f>
        <v/>
      </c>
      <c r="V403" s="26" t="n">
        <v>49.72</v>
      </c>
      <c r="W403" s="26" t="n">
        <v>69.37</v>
      </c>
      <c r="X403" s="26">
        <f>ROUND(('Methodology &amp; Assumptions'!$B$5*V403) + ('Methodology &amp; Assumptions'!$B$6*W403), 2)</f>
        <v/>
      </c>
      <c r="Y403" s="28" t="n">
        <v>10.9</v>
      </c>
      <c r="Z403" s="11" t="inlineStr">
        <is>
          <t>Priority Tier 3 (Broadband Expansion)</t>
        </is>
      </c>
    </row>
    <row r="404">
      <c r="A404" s="23" t="n">
        <v>4</v>
      </c>
      <c r="B404" s="23" t="n">
        <v>400</v>
      </c>
      <c r="C404" s="23" t="n">
        <v>3400</v>
      </c>
      <c r="D404" s="23" t="inlineStr">
        <is>
          <t>1380601084</t>
        </is>
      </c>
      <c r="E404" s="11" t="inlineStr">
        <is>
          <t>National Capital Region (NCR)</t>
        </is>
      </c>
      <c r="F404" s="11" t="inlineStr">
        <is>
          <t>First District (Not a Province)</t>
        </is>
      </c>
      <c r="G404" s="11" t="inlineStr">
        <is>
          <t>City of Manila</t>
        </is>
      </c>
      <c r="H404" s="11" t="inlineStr">
        <is>
          <t>Barangay 84</t>
        </is>
      </c>
      <c r="I404" s="24" t="n">
        <v>14.617263</v>
      </c>
      <c r="J404" s="24" t="n">
        <v>120.967364</v>
      </c>
      <c r="K404" s="23" t="inlineStr">
        <is>
          <t>U</t>
        </is>
      </c>
      <c r="L404" s="25" t="n">
        <v>1176</v>
      </c>
      <c r="M404" s="26" t="n">
        <v>4.54</v>
      </c>
      <c r="N404" s="25">
        <f>ROUND(L404/M404, 0)</f>
        <v/>
      </c>
      <c r="O404" s="25">
        <f>ROUND(N404*'Methodology &amp; Assumptions'!$B$7, 0)</f>
        <v/>
      </c>
      <c r="P404" s="23" t="inlineStr">
        <is>
          <t>Single Carrier (Band n50, 100MHz TDD)</t>
        </is>
      </c>
      <c r="Q404" s="27">
        <f>ROUNDUP(O404/'Methodology &amp; Assumptions'!$B$8, 0)</f>
        <v/>
      </c>
      <c r="R404" s="27" t="n">
        <v>1</v>
      </c>
      <c r="S404" s="26" t="n">
        <v>0.51</v>
      </c>
      <c r="T404" s="26" t="n">
        <v>0.23</v>
      </c>
      <c r="U404" s="11">
        <f>IF(S404&lt;='Methodology &amp; Assumptions'!$B$10, "Direct Optical Drop (&lt;3km)", IF(S404&lt;='Methodology &amp; Assumptions'!$B$9, "Near Optical / Microwave (&lt;5km)", "Starlink Business LEO Satellite Backhaul (&gt;5km)"))</f>
        <v/>
      </c>
      <c r="V404" s="26" t="n">
        <v>49.45</v>
      </c>
      <c r="W404" s="26" t="n">
        <v>69.65000000000001</v>
      </c>
      <c r="X404" s="26">
        <f>ROUND(('Methodology &amp; Assumptions'!$B$5*V404) + ('Methodology &amp; Assumptions'!$B$6*W404), 2)</f>
        <v/>
      </c>
      <c r="Y404" s="28" t="n">
        <v>10.9</v>
      </c>
      <c r="Z404" s="11" t="inlineStr">
        <is>
          <t>Priority Tier 3 (Broadband Expansion)</t>
        </is>
      </c>
    </row>
    <row r="405">
      <c r="A405" s="23" t="n">
        <v>4</v>
      </c>
      <c r="B405" s="23" t="n">
        <v>401</v>
      </c>
      <c r="C405" s="23" t="n">
        <v>3401</v>
      </c>
      <c r="D405" s="23" t="inlineStr">
        <is>
          <t>0603027031</t>
        </is>
      </c>
      <c r="E405" s="11" t="inlineStr">
        <is>
          <t>Region VI (Western Visayas)</t>
        </is>
      </c>
      <c r="F405" s="11" t="inlineStr">
        <is>
          <t>Iloilo</t>
        </is>
      </c>
      <c r="G405" s="11" t="inlineStr">
        <is>
          <t>Lemery</t>
        </is>
      </c>
      <c r="H405" s="11" t="inlineStr">
        <is>
          <t>Yawyawan</t>
        </is>
      </c>
      <c r="I405" s="24" t="n">
        <v>11.2766</v>
      </c>
      <c r="J405" s="24" t="n">
        <v>122.8978</v>
      </c>
      <c r="K405" s="23" t="inlineStr">
        <is>
          <t>R</t>
        </is>
      </c>
      <c r="L405" s="25" t="n">
        <v>626</v>
      </c>
      <c r="M405" s="26" t="n">
        <v>3.8</v>
      </c>
      <c r="N405" s="25">
        <f>ROUND(L405/M405, 0)</f>
        <v/>
      </c>
      <c r="O405" s="25">
        <f>ROUND(N405*'Methodology &amp; Assumptions'!$B$7, 0)</f>
        <v/>
      </c>
      <c r="P405" s="23" t="inlineStr">
        <is>
          <t>Single Carrier (Band n50, 100MHz TDD)</t>
        </is>
      </c>
      <c r="Q405" s="27">
        <f>ROUNDUP(O405/'Methodology &amp; Assumptions'!$B$8, 0)</f>
        <v/>
      </c>
      <c r="R405" s="27" t="n">
        <v>1</v>
      </c>
      <c r="S405" s="26" t="n">
        <v>6.58</v>
      </c>
      <c r="T405" s="26" t="n">
        <v>6.2</v>
      </c>
      <c r="U405" s="11">
        <f>IF(S405&lt;='Methodology &amp; Assumptions'!$B$10, "Direct Optical Drop (&lt;3km)", IF(S405&lt;='Methodology &amp; Assumptions'!$B$9, "Near Optical / Microwave (&lt;5km)", "Starlink Business LEO Satellite Backhaul (&gt;5km)"))</f>
        <v/>
      </c>
      <c r="V405" s="26" t="n">
        <v>49.2</v>
      </c>
      <c r="W405" s="26" t="n">
        <v>69.89</v>
      </c>
      <c r="X405" s="26">
        <f>ROUND(('Methodology &amp; Assumptions'!$B$5*V405) + ('Methodology &amp; Assumptions'!$B$6*W405), 2)</f>
        <v/>
      </c>
      <c r="Y405" s="28" t="n">
        <v>23.7</v>
      </c>
      <c r="Z405" s="11" t="inlineStr">
        <is>
          <t>Priority Tier 3 (Broadband Expansion)</t>
        </is>
      </c>
    </row>
    <row r="406">
      <c r="A406" s="23" t="n">
        <v>4</v>
      </c>
      <c r="B406" s="23" t="n">
        <v>402</v>
      </c>
      <c r="C406" s="23" t="n">
        <v>3402</v>
      </c>
      <c r="D406" s="23" t="inlineStr">
        <is>
          <t>0806016037</t>
        </is>
      </c>
      <c r="E406" s="11" t="inlineStr">
        <is>
          <t>Region VIII (Eastern Visayas)</t>
        </is>
      </c>
      <c r="F406" s="11" t="inlineStr">
        <is>
          <t>Samar</t>
        </is>
      </c>
      <c r="G406" s="11" t="inlineStr">
        <is>
          <t>Santa Margarita</t>
        </is>
      </c>
      <c r="H406" s="11" t="inlineStr">
        <is>
          <t>Napuro II</t>
        </is>
      </c>
      <c r="I406" s="24" t="n">
        <v>12.019375</v>
      </c>
      <c r="J406" s="24" t="n">
        <v>124.682886</v>
      </c>
      <c r="K406" s="23" t="inlineStr">
        <is>
          <t>R</t>
        </is>
      </c>
      <c r="L406" s="25" t="n">
        <v>1116</v>
      </c>
      <c r="M406" s="26" t="n">
        <v>4.1</v>
      </c>
      <c r="N406" s="25">
        <f>ROUND(L406/M406, 0)</f>
        <v/>
      </c>
      <c r="O406" s="25">
        <f>ROUND(N406*'Methodology &amp; Assumptions'!$B$7, 0)</f>
        <v/>
      </c>
      <c r="P406" s="23" t="inlineStr">
        <is>
          <t>Single Carrier (Band n50, 100MHz TDD)</t>
        </is>
      </c>
      <c r="Q406" s="27">
        <f>ROUNDUP(O406/'Methodology &amp; Assumptions'!$B$8, 0)</f>
        <v/>
      </c>
      <c r="R406" s="27" t="n">
        <v>1</v>
      </c>
      <c r="S406" s="26" t="n">
        <v>80.02</v>
      </c>
      <c r="T406" s="26" t="n">
        <v>79.70999999999999</v>
      </c>
      <c r="U406" s="11">
        <f>IF(S406&lt;='Methodology &amp; Assumptions'!$B$10, "Direct Optical Drop (&lt;3km)", IF(S406&lt;='Methodology &amp; Assumptions'!$B$9, "Near Optical / Microwave (&lt;5km)", "Starlink Business LEO Satellite Backhaul (&gt;5km)"))</f>
        <v/>
      </c>
      <c r="V406" s="26" t="n">
        <v>44.52</v>
      </c>
      <c r="W406" s="26" t="n">
        <v>74.56999999999999</v>
      </c>
      <c r="X406" s="26">
        <f>ROUND(('Methodology &amp; Assumptions'!$B$5*V406) + ('Methodology &amp; Assumptions'!$B$6*W406), 2)</f>
        <v/>
      </c>
      <c r="Y406" s="28" t="n">
        <v>23.7</v>
      </c>
      <c r="Z406" s="11" t="inlineStr">
        <is>
          <t>Priority Tier 3 (Broadband Expansion)</t>
        </is>
      </c>
    </row>
    <row r="407">
      <c r="A407" s="23" t="n">
        <v>4</v>
      </c>
      <c r="B407" s="23" t="n">
        <v>403</v>
      </c>
      <c r="C407" s="23" t="n">
        <v>3403</v>
      </c>
      <c r="D407" s="23" t="inlineStr">
        <is>
          <t>0603043036</t>
        </is>
      </c>
      <c r="E407" s="11" t="inlineStr">
        <is>
          <t>Region VI (Western Visayas)</t>
        </is>
      </c>
      <c r="F407" s="11" t="inlineStr">
        <is>
          <t>Iloilo</t>
        </is>
      </c>
      <c r="G407" s="11" t="inlineStr">
        <is>
          <t>Santa Barbara</t>
        </is>
      </c>
      <c r="H407" s="11" t="inlineStr">
        <is>
          <t>Gen. Martin T. Delgado</t>
        </is>
      </c>
      <c r="I407" s="24" t="n">
        <v>10.833502</v>
      </c>
      <c r="J407" s="24" t="n">
        <v>122.531144</v>
      </c>
      <c r="K407" s="23" t="inlineStr">
        <is>
          <t>R</t>
        </is>
      </c>
      <c r="L407" s="25" t="n">
        <v>1933</v>
      </c>
      <c r="M407" s="26" t="n">
        <v>3.8</v>
      </c>
      <c r="N407" s="25">
        <f>ROUND(L407/M407, 0)</f>
        <v/>
      </c>
      <c r="O407" s="25">
        <f>ROUND(N407*'Methodology &amp; Assumptions'!$B$7, 0)</f>
        <v/>
      </c>
      <c r="P407" s="23" t="inlineStr">
        <is>
          <t>Single Carrier (Band n50, 100MHz TDD)</t>
        </is>
      </c>
      <c r="Q407" s="27">
        <f>ROUNDUP(O407/'Methodology &amp; Assumptions'!$B$8, 0)</f>
        <v/>
      </c>
      <c r="R407" s="27" t="n">
        <v>1</v>
      </c>
      <c r="S407" s="26" t="n">
        <v>0.78</v>
      </c>
      <c r="T407" s="26" t="n">
        <v>0.23</v>
      </c>
      <c r="U407" s="11">
        <f>IF(S407&lt;='Methodology &amp; Assumptions'!$B$10, "Direct Optical Drop (&lt;3km)", IF(S407&lt;='Methodology &amp; Assumptions'!$B$9, "Near Optical / Microwave (&lt;5km)", "Starlink Business LEO Satellite Backhaul (&gt;5km)"))</f>
        <v/>
      </c>
      <c r="V407" s="26" t="n">
        <v>76.97</v>
      </c>
      <c r="W407" s="26" t="n">
        <v>42.12</v>
      </c>
      <c r="X407" s="26">
        <f>ROUND(('Methodology &amp; Assumptions'!$B$5*V407) + ('Methodology &amp; Assumptions'!$B$6*W407), 2)</f>
        <v/>
      </c>
      <c r="Y407" s="28" t="n">
        <v>23.7</v>
      </c>
      <c r="Z407" s="11" t="inlineStr">
        <is>
          <t>Priority Tier 3 (Broadband Expansion)</t>
        </is>
      </c>
    </row>
    <row r="408">
      <c r="A408" s="23" t="n">
        <v>4</v>
      </c>
      <c r="B408" s="23" t="n">
        <v>404</v>
      </c>
      <c r="C408" s="23" t="n">
        <v>3404</v>
      </c>
      <c r="D408" s="23" t="inlineStr">
        <is>
          <t>0600410003</t>
        </is>
      </c>
      <c r="E408" s="11" t="inlineStr">
        <is>
          <t>Region VI (Western Visayas)</t>
        </is>
      </c>
      <c r="F408" s="11" t="inlineStr">
        <is>
          <t>Aklan</t>
        </is>
      </c>
      <c r="G408" s="11" t="inlineStr">
        <is>
          <t>Madalag</t>
        </is>
      </c>
      <c r="H408" s="11" t="inlineStr">
        <is>
          <t>Bacyang</t>
        </is>
      </c>
      <c r="I408" s="24" t="n">
        <v>11.459334</v>
      </c>
      <c r="J408" s="24" t="n">
        <v>122.199969</v>
      </c>
      <c r="K408" s="23" t="inlineStr">
        <is>
          <t>R</t>
        </is>
      </c>
      <c r="L408" s="25" t="n">
        <v>567</v>
      </c>
      <c r="M408" s="26" t="n">
        <v>3.9</v>
      </c>
      <c r="N408" s="25">
        <f>ROUND(L408/M408, 0)</f>
        <v/>
      </c>
      <c r="O408" s="25">
        <f>ROUND(N408*'Methodology &amp; Assumptions'!$B$7, 0)</f>
        <v/>
      </c>
      <c r="P408" s="23" t="inlineStr">
        <is>
          <t>Single Carrier (Band n50, 100MHz TDD)</t>
        </is>
      </c>
      <c r="Q408" s="27">
        <f>ROUNDUP(O408/'Methodology &amp; Assumptions'!$B$8, 0)</f>
        <v/>
      </c>
      <c r="R408" s="27" t="n">
        <v>1</v>
      </c>
      <c r="S408" s="26" t="n">
        <v>21.02</v>
      </c>
      <c r="T408" s="26" t="n">
        <v>21.4</v>
      </c>
      <c r="U408" s="11">
        <f>IF(S408&lt;='Methodology &amp; Assumptions'!$B$10, "Direct Optical Drop (&lt;3km)", IF(S408&lt;='Methodology &amp; Assumptions'!$B$9, "Near Optical / Microwave (&lt;5km)", "Starlink Business LEO Satellite Backhaul (&gt;5km)"))</f>
        <v/>
      </c>
      <c r="V408" s="26" t="n">
        <v>40.67</v>
      </c>
      <c r="W408" s="26" t="n">
        <v>78.42</v>
      </c>
      <c r="X408" s="26">
        <f>ROUND(('Methodology &amp; Assumptions'!$B$5*V408) + ('Methodology &amp; Assumptions'!$B$6*W408), 2)</f>
        <v/>
      </c>
      <c r="Y408" s="28" t="n">
        <v>23.7</v>
      </c>
      <c r="Z408" s="11" t="inlineStr">
        <is>
          <t>Priority Tier 3 (Broadband Expansion)</t>
        </is>
      </c>
    </row>
    <row r="409">
      <c r="A409" s="23" t="n">
        <v>4</v>
      </c>
      <c r="B409" s="23" t="n">
        <v>405</v>
      </c>
      <c r="C409" s="23" t="n">
        <v>3405</v>
      </c>
      <c r="D409" s="23" t="inlineStr">
        <is>
          <t>1004325014</t>
        </is>
      </c>
      <c r="E409" s="11" t="inlineStr">
        <is>
          <t>Region X (Northern Mindanao)</t>
        </is>
      </c>
      <c r="F409" s="11" t="inlineStr">
        <is>
          <t>Misamis Oriental</t>
        </is>
      </c>
      <c r="G409" s="11" t="inlineStr">
        <is>
          <t>Talisayan</t>
        </is>
      </c>
      <c r="H409" s="11" t="inlineStr">
        <is>
          <t>San Jose</t>
        </is>
      </c>
      <c r="I409" s="24" t="n">
        <v>8.9916</v>
      </c>
      <c r="J409" s="24" t="n">
        <v>124.8883</v>
      </c>
      <c r="K409" s="23" t="inlineStr">
        <is>
          <t>R</t>
        </is>
      </c>
      <c r="L409" s="25" t="n">
        <v>3886</v>
      </c>
      <c r="M409" s="26" t="n">
        <v>3.9</v>
      </c>
      <c r="N409" s="25">
        <f>ROUND(L409/M409, 0)</f>
        <v/>
      </c>
      <c r="O409" s="25">
        <f>ROUND(N409*'Methodology &amp; Assumptions'!$B$7, 0)</f>
        <v/>
      </c>
      <c r="P409" s="23" t="inlineStr">
        <is>
          <t>Single Carrier (Band n50, 100MHz TDD)</t>
        </is>
      </c>
      <c r="Q409" s="27">
        <f>ROUNDUP(O409/'Methodology &amp; Assumptions'!$B$8, 0)</f>
        <v/>
      </c>
      <c r="R409" s="27" t="n">
        <v>1</v>
      </c>
      <c r="S409" s="26" t="n">
        <v>1.16</v>
      </c>
      <c r="T409" s="26" t="n">
        <v>0.03</v>
      </c>
      <c r="U409" s="11">
        <f>IF(S409&lt;='Methodology &amp; Assumptions'!$B$10, "Direct Optical Drop (&lt;3km)", IF(S409&lt;='Methodology &amp; Assumptions'!$B$9, "Near Optical / Microwave (&lt;5km)", "Starlink Business LEO Satellite Backhaul (&gt;5km)"))</f>
        <v/>
      </c>
      <c r="V409" s="26" t="n">
        <v>85.83</v>
      </c>
      <c r="W409" s="26" t="n">
        <v>33.22</v>
      </c>
      <c r="X409" s="26">
        <f>ROUND(('Methodology &amp; Assumptions'!$B$5*V409) + ('Methodology &amp; Assumptions'!$B$6*W409), 2)</f>
        <v/>
      </c>
      <c r="Y409" s="28" t="n">
        <v>17.4</v>
      </c>
      <c r="Z409" s="11" t="inlineStr">
        <is>
          <t>Priority Tier 3 (Broadband Expansion)</t>
        </is>
      </c>
    </row>
    <row r="410">
      <c r="A410" s="23" t="n">
        <v>4</v>
      </c>
      <c r="B410" s="23" t="n">
        <v>406</v>
      </c>
      <c r="C410" s="23" t="n">
        <v>3406</v>
      </c>
      <c r="D410" s="23" t="inlineStr">
        <is>
          <t>0305415017</t>
        </is>
      </c>
      <c r="E410" s="11" t="inlineStr">
        <is>
          <t>Region III (Central Luzon)</t>
        </is>
      </c>
      <c r="F410" s="11" t="inlineStr">
        <is>
          <t>Pampanga</t>
        </is>
      </c>
      <c r="G410" s="11" t="inlineStr">
        <is>
          <t>Porac</t>
        </is>
      </c>
      <c r="H410" s="11" t="inlineStr">
        <is>
          <t>Manibaug Libutad</t>
        </is>
      </c>
      <c r="I410" s="24" t="n">
        <v>15.107908</v>
      </c>
      <c r="J410" s="24" t="n">
        <v>120.563748</v>
      </c>
      <c r="K410" s="23" t="inlineStr">
        <is>
          <t>U</t>
        </is>
      </c>
      <c r="L410" s="25" t="n">
        <v>5916</v>
      </c>
      <c r="M410" s="26" t="n">
        <v>4</v>
      </c>
      <c r="N410" s="25">
        <f>ROUND(L410/M410, 0)</f>
        <v/>
      </c>
      <c r="O410" s="25">
        <f>ROUND(N410*'Methodology &amp; Assumptions'!$B$7, 0)</f>
        <v/>
      </c>
      <c r="P410" s="23" t="inlineStr">
        <is>
          <t>Single Carrier (Band n50, 100MHz TDD)</t>
        </is>
      </c>
      <c r="Q410" s="27">
        <f>ROUNDUP(O410/'Methodology &amp; Assumptions'!$B$8, 0)</f>
        <v/>
      </c>
      <c r="R410" s="27" t="n">
        <v>1</v>
      </c>
      <c r="S410" s="26" t="n">
        <v>1.36</v>
      </c>
      <c r="T410" s="26" t="n">
        <v>0.23</v>
      </c>
      <c r="U410" s="11">
        <f>IF(S410&lt;='Methodology &amp; Assumptions'!$B$10, "Direct Optical Drop (&lt;3km)", IF(S410&lt;='Methodology &amp; Assumptions'!$B$9, "Near Optical / Microwave (&lt;5km)", "Starlink Business LEO Satellite Backhaul (&gt;5km)"))</f>
        <v/>
      </c>
      <c r="V410" s="26" t="n">
        <v>76.45999999999999</v>
      </c>
      <c r="W410" s="26" t="n">
        <v>42.59</v>
      </c>
      <c r="X410" s="26">
        <f>ROUND(('Methodology &amp; Assumptions'!$B$5*V410) + ('Methodology &amp; Assumptions'!$B$6*W410), 2)</f>
        <v/>
      </c>
      <c r="Y410" s="28" t="n">
        <v>8.300000000000001</v>
      </c>
      <c r="Z410" s="11" t="inlineStr">
        <is>
          <t>Priority Tier 3 (Broadband Expansion)</t>
        </is>
      </c>
    </row>
    <row r="411">
      <c r="A411" s="23" t="n">
        <v>4</v>
      </c>
      <c r="B411" s="23" t="n">
        <v>407</v>
      </c>
      <c r="C411" s="23" t="n">
        <v>3407</v>
      </c>
      <c r="D411" s="23" t="inlineStr">
        <is>
          <t>1208007015</t>
        </is>
      </c>
      <c r="E411" s="11" t="inlineStr">
        <is>
          <t>Region XII (SOCCSKSARGEN)</t>
        </is>
      </c>
      <c r="F411" s="11" t="inlineStr">
        <is>
          <t>Sarangani</t>
        </is>
      </c>
      <c r="G411" s="11" t="inlineStr">
        <is>
          <t>Malungon</t>
        </is>
      </c>
      <c r="H411" s="11" t="inlineStr">
        <is>
          <t>Lower Mainit</t>
        </is>
      </c>
      <c r="I411" s="24" t="n">
        <v>6.353629</v>
      </c>
      <c r="J411" s="24" t="n">
        <v>125.297233</v>
      </c>
      <c r="K411" s="23" t="inlineStr">
        <is>
          <t>R</t>
        </is>
      </c>
      <c r="L411" s="25" t="n">
        <v>2203</v>
      </c>
      <c r="M411" s="26" t="n">
        <v>3.9</v>
      </c>
      <c r="N411" s="25">
        <f>ROUND(L411/M411, 0)</f>
        <v/>
      </c>
      <c r="O411" s="25">
        <f>ROUND(N411*'Methodology &amp; Assumptions'!$B$7, 0)</f>
        <v/>
      </c>
      <c r="P411" s="23" t="inlineStr">
        <is>
          <t>Single Carrier (Band n50, 100MHz TDD)</t>
        </is>
      </c>
      <c r="Q411" s="27">
        <f>ROUNDUP(O411/'Methodology &amp; Assumptions'!$B$8, 0)</f>
        <v/>
      </c>
      <c r="R411" s="27" t="n">
        <v>1</v>
      </c>
      <c r="S411" s="26" t="n">
        <v>7.12</v>
      </c>
      <c r="T411" s="26" t="n">
        <v>2.67</v>
      </c>
      <c r="U411" s="11">
        <f>IF(S411&lt;='Methodology &amp; Assumptions'!$B$10, "Direct Optical Drop (&lt;3km)", IF(S411&lt;='Methodology &amp; Assumptions'!$B$9, "Near Optical / Microwave (&lt;5km)", "Starlink Business LEO Satellite Backhaul (&gt;5km)"))</f>
        <v/>
      </c>
      <c r="V411" s="26" t="n">
        <v>60.2</v>
      </c>
      <c r="W411" s="26" t="n">
        <v>58.87</v>
      </c>
      <c r="X411" s="26">
        <f>ROUND(('Methodology &amp; Assumptions'!$B$5*V411) + ('Methodology &amp; Assumptions'!$B$6*W411), 2)</f>
        <v/>
      </c>
      <c r="Y411" s="28" t="n">
        <v>17.4</v>
      </c>
      <c r="Z411" s="11" t="inlineStr">
        <is>
          <t>Priority Tier 3 (Broadband Expansion)</t>
        </is>
      </c>
    </row>
    <row r="412">
      <c r="A412" s="23" t="n">
        <v>4</v>
      </c>
      <c r="B412" s="23" t="n">
        <v>408</v>
      </c>
      <c r="C412" s="23" t="n">
        <v>3408</v>
      </c>
      <c r="D412" s="23" t="inlineStr">
        <is>
          <t>1380605007</t>
        </is>
      </c>
      <c r="E412" s="11" t="inlineStr">
        <is>
          <t>National Capital Region (NCR)</t>
        </is>
      </c>
      <c r="F412" s="11" t="inlineStr">
        <is>
          <t>First District (Not a Province)</t>
        </is>
      </c>
      <c r="G412" s="11" t="inlineStr">
        <is>
          <t>City of Manila</t>
        </is>
      </c>
      <c r="H412" s="11" t="inlineStr">
        <is>
          <t>Barangay 303</t>
        </is>
      </c>
      <c r="I412" s="24" t="n">
        <v>14.60114</v>
      </c>
      <c r="J412" s="24" t="n">
        <v>120.9807</v>
      </c>
      <c r="K412" s="23" t="inlineStr">
        <is>
          <t>U</t>
        </is>
      </c>
      <c r="L412" s="25" t="n">
        <v>738</v>
      </c>
      <c r="M412" s="26" t="n">
        <v>2.87</v>
      </c>
      <c r="N412" s="25">
        <f>ROUND(L412/M412, 0)</f>
        <v/>
      </c>
      <c r="O412" s="25">
        <f>ROUND(N412*'Methodology &amp; Assumptions'!$B$7, 0)</f>
        <v/>
      </c>
      <c r="P412" s="23" t="inlineStr">
        <is>
          <t>Single Carrier (Band n50, 100MHz TDD)</t>
        </is>
      </c>
      <c r="Q412" s="27">
        <f>ROUNDUP(O412/'Methodology &amp; Assumptions'!$B$8, 0)</f>
        <v/>
      </c>
      <c r="R412" s="27" t="n">
        <v>1</v>
      </c>
      <c r="S412" s="26" t="n">
        <v>1.15</v>
      </c>
      <c r="T412" s="26" t="n">
        <v>0.26</v>
      </c>
      <c r="U412" s="11">
        <f>IF(S412&lt;='Methodology &amp; Assumptions'!$B$10, "Direct Optical Drop (&lt;3km)", IF(S412&lt;='Methodology &amp; Assumptions'!$B$9, "Near Optical / Microwave (&lt;5km)", "Starlink Business LEO Satellite Backhaul (&gt;5km)"))</f>
        <v/>
      </c>
      <c r="V412" s="26" t="n">
        <v>48.15</v>
      </c>
      <c r="W412" s="26" t="n">
        <v>70.91</v>
      </c>
      <c r="X412" s="26">
        <f>ROUND(('Methodology &amp; Assumptions'!$B$5*V412) + ('Methodology &amp; Assumptions'!$B$6*W412), 2)</f>
        <v/>
      </c>
      <c r="Y412" s="28" t="n">
        <v>10.9</v>
      </c>
      <c r="Z412" s="11" t="inlineStr">
        <is>
          <t>Priority Tier 3 (Broadband Expansion)</t>
        </is>
      </c>
    </row>
    <row r="413">
      <c r="A413" s="23" t="n">
        <v>4</v>
      </c>
      <c r="B413" s="23" t="n">
        <v>409</v>
      </c>
      <c r="C413" s="23" t="n">
        <v>3409</v>
      </c>
      <c r="D413" s="23" t="inlineStr">
        <is>
          <t>1705320004</t>
        </is>
      </c>
      <c r="E413" s="11" t="inlineStr">
        <is>
          <t>MIMAROPA Region</t>
        </is>
      </c>
      <c r="F413" s="11" t="inlineStr">
        <is>
          <t>Palawan</t>
        </is>
      </c>
      <c r="G413" s="11" t="inlineStr">
        <is>
          <t>Taytay</t>
        </is>
      </c>
      <c r="H413" s="11" t="inlineStr">
        <is>
          <t>Batas</t>
        </is>
      </c>
      <c r="I413" s="24" t="n">
        <v>11.153582</v>
      </c>
      <c r="J413" s="24" t="n">
        <v>119.607024</v>
      </c>
      <c r="K413" s="23" t="inlineStr">
        <is>
          <t>R</t>
        </is>
      </c>
      <c r="L413" s="25" t="n">
        <v>1445</v>
      </c>
      <c r="M413" s="26" t="n">
        <v>3.9</v>
      </c>
      <c r="N413" s="25">
        <f>ROUND(L413/M413, 0)</f>
        <v/>
      </c>
      <c r="O413" s="25">
        <f>ROUND(N413*'Methodology &amp; Assumptions'!$B$7, 0)</f>
        <v/>
      </c>
      <c r="P413" s="23" t="inlineStr">
        <is>
          <t>Single Carrier (Band n50, 100MHz TDD)</t>
        </is>
      </c>
      <c r="Q413" s="27">
        <f>ROUNDUP(O413/'Methodology &amp; Assumptions'!$B$8, 0)</f>
        <v/>
      </c>
      <c r="R413" s="27" t="n">
        <v>1</v>
      </c>
      <c r="S413" s="26" t="n">
        <v>14.16</v>
      </c>
      <c r="T413" s="26" t="n">
        <v>38.36</v>
      </c>
      <c r="U413" s="11">
        <f>IF(S413&lt;='Methodology &amp; Assumptions'!$B$10, "Direct Optical Drop (&lt;3km)", IF(S413&lt;='Methodology &amp; Assumptions'!$B$9, "Near Optical / Microwave (&lt;5km)", "Starlink Business LEO Satellite Backhaul (&gt;5km)"))</f>
        <v/>
      </c>
      <c r="V413" s="26" t="n">
        <v>45.84</v>
      </c>
      <c r="W413" s="26" t="n">
        <v>73.22</v>
      </c>
      <c r="X413" s="26">
        <f>ROUND(('Methodology &amp; Assumptions'!$B$5*V413) + ('Methodology &amp; Assumptions'!$B$6*W413), 2)</f>
        <v/>
      </c>
      <c r="Y413" s="28" t="n">
        <v>15</v>
      </c>
      <c r="Z413" s="11" t="inlineStr">
        <is>
          <t>Priority Tier 3 (Broadband Expansion)</t>
        </is>
      </c>
    </row>
    <row r="414">
      <c r="A414" s="23" t="n">
        <v>4</v>
      </c>
      <c r="B414" s="23" t="n">
        <v>410</v>
      </c>
      <c r="C414" s="23" t="n">
        <v>3410</v>
      </c>
      <c r="D414" s="23" t="inlineStr">
        <is>
          <t>0304912029</t>
        </is>
      </c>
      <c r="E414" s="11" t="inlineStr">
        <is>
          <t>Region III (Central Luzon)</t>
        </is>
      </c>
      <c r="F414" s="11" t="inlineStr">
        <is>
          <t>Nueva Ecija</t>
        </is>
      </c>
      <c r="G414" s="11" t="inlineStr">
        <is>
          <t>Jaen</t>
        </is>
      </c>
      <c r="H414" s="11" t="inlineStr">
        <is>
          <t>Sapang</t>
        </is>
      </c>
      <c r="I414" s="24" t="n">
        <v>15.32373</v>
      </c>
      <c r="J414" s="24" t="n">
        <v>120.905643</v>
      </c>
      <c r="K414" s="23" t="inlineStr">
        <is>
          <t>R</t>
        </is>
      </c>
      <c r="L414" s="25" t="n">
        <v>4479</v>
      </c>
      <c r="M414" s="26" t="n">
        <v>3.5</v>
      </c>
      <c r="N414" s="25">
        <f>ROUND(L414/M414, 0)</f>
        <v/>
      </c>
      <c r="O414" s="25">
        <f>ROUND(N414*'Methodology &amp; Assumptions'!$B$7, 0)</f>
        <v/>
      </c>
      <c r="P414" s="23" t="inlineStr">
        <is>
          <t>Single Carrier (Band n50, 100MHz TDD)</t>
        </is>
      </c>
      <c r="Q414" s="27">
        <f>ROUNDUP(O414/'Methodology &amp; Assumptions'!$B$8, 0)</f>
        <v/>
      </c>
      <c r="R414" s="27" t="n">
        <v>1</v>
      </c>
      <c r="S414" s="26" t="n">
        <v>0.9</v>
      </c>
      <c r="T414" s="26" t="n">
        <v>1.63</v>
      </c>
      <c r="U414" s="11">
        <f>IF(S414&lt;='Methodology &amp; Assumptions'!$B$10, "Direct Optical Drop (&lt;3km)", IF(S414&lt;='Methodology &amp; Assumptions'!$B$9, "Near Optical / Microwave (&lt;5km)", "Starlink Business LEO Satellite Backhaul (&gt;5km)"))</f>
        <v/>
      </c>
      <c r="V414" s="26" t="n">
        <v>85.42</v>
      </c>
      <c r="W414" s="26" t="n">
        <v>33.62</v>
      </c>
      <c r="X414" s="26">
        <f>ROUND(('Methodology &amp; Assumptions'!$B$5*V414) + ('Methodology &amp; Assumptions'!$B$6*W414), 2)</f>
        <v/>
      </c>
      <c r="Y414" s="28" t="n">
        <v>8.300000000000001</v>
      </c>
      <c r="Z414" s="11" t="inlineStr">
        <is>
          <t>Priority Tier 3 (Broadband Expansion)</t>
        </is>
      </c>
    </row>
    <row r="415">
      <c r="A415" s="23" t="n">
        <v>4</v>
      </c>
      <c r="B415" s="23" t="n">
        <v>411</v>
      </c>
      <c r="C415" s="23" t="n">
        <v>3411</v>
      </c>
      <c r="D415" s="23" t="inlineStr">
        <is>
          <t>1705205029</t>
        </is>
      </c>
      <c r="E415" s="11" t="inlineStr">
        <is>
          <t>MIMAROPA Region</t>
        </is>
      </c>
      <c r="F415" s="11" t="inlineStr">
        <is>
          <t>Oriental Mindoro</t>
        </is>
      </c>
      <c r="G415" s="11" t="inlineStr">
        <is>
          <t>City of Calapan</t>
        </is>
      </c>
      <c r="H415" s="11" t="inlineStr">
        <is>
          <t>Lazareto</t>
        </is>
      </c>
      <c r="I415" s="24" t="n">
        <v>13.428973</v>
      </c>
      <c r="J415" s="24" t="n">
        <v>121.199756</v>
      </c>
      <c r="K415" s="23" t="inlineStr">
        <is>
          <t>R</t>
        </is>
      </c>
      <c r="L415" s="25" t="n">
        <v>4858</v>
      </c>
      <c r="M415" s="26" t="n">
        <v>3.9</v>
      </c>
      <c r="N415" s="25">
        <f>ROUND(L415/M415, 0)</f>
        <v/>
      </c>
      <c r="O415" s="25">
        <f>ROUND(N415*'Methodology &amp; Assumptions'!$B$7, 0)</f>
        <v/>
      </c>
      <c r="P415" s="23" t="inlineStr">
        <is>
          <t>Single Carrier (Band n50, 100MHz TDD)</t>
        </is>
      </c>
      <c r="Q415" s="27">
        <f>ROUNDUP(O415/'Methodology &amp; Assumptions'!$B$8, 0)</f>
        <v/>
      </c>
      <c r="R415" s="27" t="n">
        <v>1</v>
      </c>
      <c r="S415" s="26" t="n">
        <v>0.8</v>
      </c>
      <c r="T415" s="26" t="n">
        <v>6.92</v>
      </c>
      <c r="U415" s="11">
        <f>IF(S415&lt;='Methodology &amp; Assumptions'!$B$10, "Direct Optical Drop (&lt;3km)", IF(S415&lt;='Methodology &amp; Assumptions'!$B$9, "Near Optical / Microwave (&lt;5km)", "Starlink Business LEO Satellite Backhaul (&gt;5km)"))</f>
        <v/>
      </c>
      <c r="V415" s="26" t="n">
        <v>83.37</v>
      </c>
      <c r="W415" s="26" t="n">
        <v>35.67</v>
      </c>
      <c r="X415" s="26">
        <f>ROUND(('Methodology &amp; Assumptions'!$B$5*V415) + ('Methodology &amp; Assumptions'!$B$6*W415), 2)</f>
        <v/>
      </c>
      <c r="Y415" s="28" t="n">
        <v>15</v>
      </c>
      <c r="Z415" s="11" t="inlineStr">
        <is>
          <t>Priority Tier 3 (Broadband Expansion)</t>
        </is>
      </c>
    </row>
    <row r="416">
      <c r="A416" s="23" t="n">
        <v>4</v>
      </c>
      <c r="B416" s="23" t="n">
        <v>412</v>
      </c>
      <c r="C416" s="23" t="n">
        <v>3412</v>
      </c>
      <c r="D416" s="23" t="inlineStr">
        <is>
          <t>0702250020</t>
        </is>
      </c>
      <c r="E416" s="11" t="inlineStr">
        <is>
          <t>Region VII (Central Visayas)</t>
        </is>
      </c>
      <c r="F416" s="11" t="inlineStr">
        <is>
          <t>Cebu</t>
        </is>
      </c>
      <c r="G416" s="11" t="inlineStr">
        <is>
          <t>City of Talisay</t>
        </is>
      </c>
      <c r="H416" s="11" t="inlineStr">
        <is>
          <t>Camp IV</t>
        </is>
      </c>
      <c r="I416" s="24" t="n">
        <v>10.73154</v>
      </c>
      <c r="J416" s="24" t="n">
        <v>122.992308</v>
      </c>
      <c r="K416" s="23" t="inlineStr">
        <is>
          <t>R</t>
        </is>
      </c>
      <c r="L416" s="25" t="n">
        <v>3966</v>
      </c>
      <c r="M416" s="26" t="n">
        <v>3.8</v>
      </c>
      <c r="N416" s="25">
        <f>ROUND(L416/M416, 0)</f>
        <v/>
      </c>
      <c r="O416" s="25">
        <f>ROUND(N416*'Methodology &amp; Assumptions'!$B$7, 0)</f>
        <v/>
      </c>
      <c r="P416" s="23" t="inlineStr">
        <is>
          <t>Single Carrier (Band n50, 100MHz TDD)</t>
        </is>
      </c>
      <c r="Q416" s="27">
        <f>ROUNDUP(O416/'Methodology &amp; Assumptions'!$B$8, 0)</f>
        <v/>
      </c>
      <c r="R416" s="27" t="n">
        <v>1</v>
      </c>
      <c r="S416" s="26" t="n">
        <v>2.87</v>
      </c>
      <c r="T416" s="26" t="n">
        <v>0.64</v>
      </c>
      <c r="U416" s="11">
        <f>IF(S416&lt;='Methodology &amp; Assumptions'!$B$10, "Direct Optical Drop (&lt;3km)", IF(S416&lt;='Methodology &amp; Assumptions'!$B$9, "Near Optical / Microwave (&lt;5km)", "Starlink Business LEO Satellite Backhaul (&gt;5km)"))</f>
        <v/>
      </c>
      <c r="V416" s="26" t="n">
        <v>81</v>
      </c>
      <c r="W416" s="26" t="n">
        <v>38.05</v>
      </c>
      <c r="X416" s="26">
        <f>ROUND(('Methodology &amp; Assumptions'!$B$5*V416) + ('Methodology &amp; Assumptions'!$B$6*W416), 2)</f>
        <v/>
      </c>
      <c r="Y416" s="28" t="n">
        <v>23.7</v>
      </c>
      <c r="Z416" s="11" t="inlineStr">
        <is>
          <t>Priority Tier 3 (Broadband Expansion)</t>
        </is>
      </c>
    </row>
    <row r="417">
      <c r="A417" s="23" t="n">
        <v>4</v>
      </c>
      <c r="B417" s="23" t="n">
        <v>413</v>
      </c>
      <c r="C417" s="23" t="n">
        <v>3413</v>
      </c>
      <c r="D417" s="23" t="inlineStr">
        <is>
          <t>0305402011</t>
        </is>
      </c>
      <c r="E417" s="11" t="inlineStr">
        <is>
          <t>Region III (Central Luzon)</t>
        </is>
      </c>
      <c r="F417" s="11" t="inlineStr">
        <is>
          <t>Pampanga</t>
        </is>
      </c>
      <c r="G417" s="11" t="inlineStr">
        <is>
          <t>Apalit</t>
        </is>
      </c>
      <c r="H417" s="11" t="inlineStr">
        <is>
          <t>San Juan</t>
        </is>
      </c>
      <c r="I417" s="24" t="n">
        <v>14.953171</v>
      </c>
      <c r="J417" s="24" t="n">
        <v>120.76826</v>
      </c>
      <c r="K417" s="23" t="inlineStr">
        <is>
          <t>U</t>
        </is>
      </c>
      <c r="L417" s="25" t="n">
        <v>9402</v>
      </c>
      <c r="M417" s="26" t="n">
        <v>4</v>
      </c>
      <c r="N417" s="25">
        <f>ROUND(L417/M417, 0)</f>
        <v/>
      </c>
      <c r="O417" s="25">
        <f>ROUND(N417*'Methodology &amp; Assumptions'!$B$7, 0)</f>
        <v/>
      </c>
      <c r="P417" s="23" t="inlineStr">
        <is>
          <t>Single Carrier (Band n50, 100MHz TDD)</t>
        </is>
      </c>
      <c r="Q417" s="27">
        <f>ROUNDUP(O417/'Methodology &amp; Assumptions'!$B$8, 0)</f>
        <v/>
      </c>
      <c r="R417" s="27" t="n">
        <v>1</v>
      </c>
      <c r="S417" s="26" t="n">
        <v>1.11</v>
      </c>
      <c r="T417" s="26" t="n">
        <v>1.03</v>
      </c>
      <c r="U417" s="11">
        <f>IF(S417&lt;='Methodology &amp; Assumptions'!$B$10, "Direct Optical Drop (&lt;3km)", IF(S417&lt;='Methodology &amp; Assumptions'!$B$9, "Near Optical / Microwave (&lt;5km)", "Starlink Business LEO Satellite Backhaul (&gt;5km)"))</f>
        <v/>
      </c>
      <c r="V417" s="26" t="n">
        <v>77.38</v>
      </c>
      <c r="W417" s="26" t="n">
        <v>41.66</v>
      </c>
      <c r="X417" s="26">
        <f>ROUND(('Methodology &amp; Assumptions'!$B$5*V417) + ('Methodology &amp; Assumptions'!$B$6*W417), 2)</f>
        <v/>
      </c>
      <c r="Y417" s="28" t="n">
        <v>8.300000000000001</v>
      </c>
      <c r="Z417" s="11" t="inlineStr">
        <is>
          <t>Priority Tier 3 (Broadband Expansion)</t>
        </is>
      </c>
    </row>
    <row r="418">
      <c r="A418" s="23" t="n">
        <v>4</v>
      </c>
      <c r="B418" s="23" t="n">
        <v>414</v>
      </c>
      <c r="C418" s="23" t="n">
        <v>3414</v>
      </c>
      <c r="D418" s="23" t="inlineStr">
        <is>
          <t>0306916060</t>
        </is>
      </c>
      <c r="E418" s="11" t="inlineStr">
        <is>
          <t>Region III (Central Luzon)</t>
        </is>
      </c>
      <c r="F418" s="11" t="inlineStr">
        <is>
          <t>Tarlac</t>
        </is>
      </c>
      <c r="G418" s="11" t="inlineStr">
        <is>
          <t>City of Tarlac</t>
        </is>
      </c>
      <c r="H418" s="11" t="inlineStr">
        <is>
          <t>San Isidro</t>
        </is>
      </c>
      <c r="I418" s="24" t="n">
        <v>15.493782</v>
      </c>
      <c r="J418" s="24" t="n">
        <v>120.586923</v>
      </c>
      <c r="K418" s="23" t="inlineStr">
        <is>
          <t>U</t>
        </is>
      </c>
      <c r="L418" s="25" t="n">
        <v>15243</v>
      </c>
      <c r="M418" s="26" t="n">
        <v>3.9</v>
      </c>
      <c r="N418" s="25">
        <f>ROUND(L418/M418, 0)</f>
        <v/>
      </c>
      <c r="O418" s="25">
        <f>ROUND(N418*'Methodology &amp; Assumptions'!$B$7, 0)</f>
        <v/>
      </c>
      <c r="P418" s="23" t="inlineStr">
        <is>
          <t>Single Carrier (Band n50, 100MHz TDD)</t>
        </is>
      </c>
      <c r="Q418" s="27">
        <f>ROUNDUP(O418/'Methodology &amp; Assumptions'!$B$8, 0)</f>
        <v/>
      </c>
      <c r="R418" s="27" t="n">
        <v>1</v>
      </c>
      <c r="S418" s="26" t="n">
        <v>3.04</v>
      </c>
      <c r="T418" s="26" t="n">
        <v>0.52</v>
      </c>
      <c r="U418" s="11">
        <f>IF(S418&lt;='Methodology &amp; Assumptions'!$B$10, "Direct Optical Drop (&lt;3km)", IF(S418&lt;='Methodology &amp; Assumptions'!$B$9, "Near Optical / Microwave (&lt;5km)", "Starlink Business LEO Satellite Backhaul (&gt;5km)"))</f>
        <v/>
      </c>
      <c r="V418" s="26" t="n">
        <v>70.90000000000001</v>
      </c>
      <c r="W418" s="26" t="n">
        <v>48.14</v>
      </c>
      <c r="X418" s="26">
        <f>ROUND(('Methodology &amp; Assumptions'!$B$5*V418) + ('Methodology &amp; Assumptions'!$B$6*W418), 2)</f>
        <v/>
      </c>
      <c r="Y418" s="28" t="n">
        <v>8.300000000000001</v>
      </c>
      <c r="Z418" s="11" t="inlineStr">
        <is>
          <t>Priority Tier 3 (Broadband Expansion)</t>
        </is>
      </c>
    </row>
    <row r="419">
      <c r="A419" s="23" t="n">
        <v>4</v>
      </c>
      <c r="B419" s="23" t="n">
        <v>415</v>
      </c>
      <c r="C419" s="23" t="n">
        <v>3415</v>
      </c>
      <c r="D419" s="23" t="inlineStr">
        <is>
          <t>0601917057</t>
        </is>
      </c>
      <c r="E419" s="11" t="inlineStr">
        <is>
          <t>Region VI (Western Visayas)</t>
        </is>
      </c>
      <c r="F419" s="11" t="inlineStr">
        <is>
          <t>Capiz</t>
        </is>
      </c>
      <c r="G419" s="11" t="inlineStr">
        <is>
          <t>Tapaz</t>
        </is>
      </c>
      <c r="H419" s="11" t="inlineStr">
        <is>
          <t>Taganghin</t>
        </is>
      </c>
      <c r="I419" s="24" t="n">
        <v>11.229413</v>
      </c>
      <c r="J419" s="24" t="n">
        <v>122.38464</v>
      </c>
      <c r="K419" s="23" t="inlineStr">
        <is>
          <t>R</t>
        </is>
      </c>
      <c r="L419" s="25" t="n">
        <v>644</v>
      </c>
      <c r="M419" s="26" t="n">
        <v>3.8</v>
      </c>
      <c r="N419" s="25">
        <f>ROUND(L419/M419, 0)</f>
        <v/>
      </c>
      <c r="O419" s="25">
        <f>ROUND(N419*'Methodology &amp; Assumptions'!$B$7, 0)</f>
        <v/>
      </c>
      <c r="P419" s="23" t="inlineStr">
        <is>
          <t>Single Carrier (Band n50, 100MHz TDD)</t>
        </is>
      </c>
      <c r="Q419" s="27">
        <f>ROUNDUP(O419/'Methodology &amp; Assumptions'!$B$8, 0)</f>
        <v/>
      </c>
      <c r="R419" s="27" t="n">
        <v>1</v>
      </c>
      <c r="S419" s="26" t="n">
        <v>31.42</v>
      </c>
      <c r="T419" s="26" t="n">
        <v>19</v>
      </c>
      <c r="U419" s="11">
        <f>IF(S419&lt;='Methodology &amp; Assumptions'!$B$10, "Direct Optical Drop (&lt;3km)", IF(S419&lt;='Methodology &amp; Assumptions'!$B$9, "Near Optical / Microwave (&lt;5km)", "Starlink Business LEO Satellite Backhaul (&gt;5km)"))</f>
        <v/>
      </c>
      <c r="V419" s="26" t="n">
        <v>41.38</v>
      </c>
      <c r="W419" s="26" t="n">
        <v>77.66</v>
      </c>
      <c r="X419" s="26">
        <f>ROUND(('Methodology &amp; Assumptions'!$B$5*V419) + ('Methodology &amp; Assumptions'!$B$6*W419), 2)</f>
        <v/>
      </c>
      <c r="Y419" s="28" t="n">
        <v>23.7</v>
      </c>
      <c r="Z419" s="11" t="inlineStr">
        <is>
          <t>Priority Tier 3 (Broadband Expansion)</t>
        </is>
      </c>
    </row>
    <row r="420">
      <c r="A420" s="23" t="n">
        <v>4</v>
      </c>
      <c r="B420" s="23" t="n">
        <v>416</v>
      </c>
      <c r="C420" s="23" t="n">
        <v>3416</v>
      </c>
      <c r="D420" s="23" t="inlineStr">
        <is>
          <t>0105503021</t>
        </is>
      </c>
      <c r="E420" s="11" t="inlineStr">
        <is>
          <t>Region I (Ilocos Region)</t>
        </is>
      </c>
      <c r="F420" s="11" t="inlineStr">
        <is>
          <t>Pangasinan</t>
        </is>
      </c>
      <c r="G420" s="11" t="inlineStr">
        <is>
          <t>City of Alaminos</t>
        </is>
      </c>
      <c r="H420" s="11" t="inlineStr">
        <is>
          <t>Poblacion</t>
        </is>
      </c>
      <c r="I420" s="24" t="n">
        <v>16.156728</v>
      </c>
      <c r="J420" s="24" t="n">
        <v>119.978539</v>
      </c>
      <c r="K420" s="23" t="inlineStr">
        <is>
          <t>U</t>
        </is>
      </c>
      <c r="L420" s="25" t="n">
        <v>10961</v>
      </c>
      <c r="M420" s="26" t="n">
        <v>3.6</v>
      </c>
      <c r="N420" s="25">
        <f>ROUND(L420/M420, 0)</f>
        <v/>
      </c>
      <c r="O420" s="25">
        <f>ROUND(N420*'Methodology &amp; Assumptions'!$B$7, 0)</f>
        <v/>
      </c>
      <c r="P420" s="23" t="inlineStr">
        <is>
          <t>Single Carrier (Band n50, 100MHz TDD)</t>
        </is>
      </c>
      <c r="Q420" s="27">
        <f>ROUNDUP(O420/'Methodology &amp; Assumptions'!$B$8, 0)</f>
        <v/>
      </c>
      <c r="R420" s="27" t="n">
        <v>1</v>
      </c>
      <c r="S420" s="26" t="n">
        <v>0.87</v>
      </c>
      <c r="T420" s="26" t="n">
        <v>0.19</v>
      </c>
      <c r="U420" s="11">
        <f>IF(S420&lt;='Methodology &amp; Assumptions'!$B$10, "Direct Optical Drop (&lt;3km)", IF(S420&lt;='Methodology &amp; Assumptions'!$B$9, "Near Optical / Microwave (&lt;5km)", "Starlink Business LEO Satellite Backhaul (&gt;5km)"))</f>
        <v/>
      </c>
      <c r="V420" s="26" t="n">
        <v>78.34</v>
      </c>
      <c r="W420" s="26" t="n">
        <v>40.67</v>
      </c>
      <c r="X420" s="26">
        <f>ROUND(('Methodology &amp; Assumptions'!$B$5*V420) + ('Methodology &amp; Assumptions'!$B$6*W420), 2)</f>
        <v/>
      </c>
      <c r="Y420" s="28" t="n">
        <v>8.300000000000001</v>
      </c>
      <c r="Z420" s="11" t="inlineStr">
        <is>
          <t>Priority Tier 3 (Broadband Expansion)</t>
        </is>
      </c>
    </row>
    <row r="421">
      <c r="A421" s="23" t="n">
        <v>4</v>
      </c>
      <c r="B421" s="23" t="n">
        <v>417</v>
      </c>
      <c r="C421" s="23" t="n">
        <v>3417</v>
      </c>
      <c r="D421" s="23" t="inlineStr">
        <is>
          <t>0103306013</t>
        </is>
      </c>
      <c r="E421" s="11" t="inlineStr">
        <is>
          <t>Region I (Ilocos Region)</t>
        </is>
      </c>
      <c r="F421" s="11" t="inlineStr">
        <is>
          <t>La Union</t>
        </is>
      </c>
      <c r="G421" s="11" t="inlineStr">
        <is>
          <t>Bangar</t>
        </is>
      </c>
      <c r="H421" s="11" t="inlineStr">
        <is>
          <t>General Terrero</t>
        </is>
      </c>
      <c r="I421" s="24" t="n">
        <v>16.898989</v>
      </c>
      <c r="J421" s="24" t="n">
        <v>120.422975</v>
      </c>
      <c r="K421" s="23" t="inlineStr">
        <is>
          <t>R</t>
        </is>
      </c>
      <c r="L421" s="25" t="n">
        <v>1150</v>
      </c>
      <c r="M421" s="26" t="n">
        <v>3.7</v>
      </c>
      <c r="N421" s="25">
        <f>ROUND(L421/M421, 0)</f>
        <v/>
      </c>
      <c r="O421" s="25">
        <f>ROUND(N421*'Methodology &amp; Assumptions'!$B$7, 0)</f>
        <v/>
      </c>
      <c r="P421" s="23" t="inlineStr">
        <is>
          <t>Single Carrier (Band n50, 100MHz TDD)</t>
        </is>
      </c>
      <c r="Q421" s="27">
        <f>ROUNDUP(O421/'Methodology &amp; Assumptions'!$B$8, 0)</f>
        <v/>
      </c>
      <c r="R421" s="27" t="n">
        <v>1</v>
      </c>
      <c r="S421" s="26" t="n">
        <v>0.67</v>
      </c>
      <c r="T421" s="26" t="n">
        <v>0.43</v>
      </c>
      <c r="U421" s="11">
        <f>IF(S421&lt;='Methodology &amp; Assumptions'!$B$10, "Direct Optical Drop (&lt;3km)", IF(S421&lt;='Methodology &amp; Assumptions'!$B$9, "Near Optical / Microwave (&lt;5km)", "Starlink Business LEO Satellite Backhaul (&gt;5km)"))</f>
        <v/>
      </c>
      <c r="V421" s="26" t="n">
        <v>69.09999999999999</v>
      </c>
      <c r="W421" s="26" t="n">
        <v>49.91</v>
      </c>
      <c r="X421" s="26">
        <f>ROUND(('Methodology &amp; Assumptions'!$B$5*V421) + ('Methodology &amp; Assumptions'!$B$6*W421), 2)</f>
        <v/>
      </c>
      <c r="Y421" s="28" t="n">
        <v>8.300000000000001</v>
      </c>
      <c r="Z421" s="11" t="inlineStr">
        <is>
          <t>Priority Tier 3 (Broadband Expansion)</t>
        </is>
      </c>
    </row>
    <row r="422">
      <c r="A422" s="23" t="n">
        <v>4</v>
      </c>
      <c r="B422" s="23" t="n">
        <v>418</v>
      </c>
      <c r="C422" s="23" t="n">
        <v>3418</v>
      </c>
      <c r="D422" s="23" t="inlineStr">
        <is>
          <t>1705323008</t>
        </is>
      </c>
      <c r="E422" s="11" t="inlineStr">
        <is>
          <t>MIMAROPA Region</t>
        </is>
      </c>
      <c r="F422" s="11" t="inlineStr">
        <is>
          <t>Palawan</t>
        </is>
      </c>
      <c r="G422" s="11" t="inlineStr">
        <is>
          <t>Rizal</t>
        </is>
      </c>
      <c r="H422" s="11" t="inlineStr">
        <is>
          <t>Panalingaan</t>
        </is>
      </c>
      <c r="I422" s="24" t="n">
        <v>8.780889999999999</v>
      </c>
      <c r="J422" s="24" t="n">
        <v>117.458308</v>
      </c>
      <c r="K422" s="23" t="inlineStr">
        <is>
          <t>R</t>
        </is>
      </c>
      <c r="L422" s="25" t="n">
        <v>4526</v>
      </c>
      <c r="M422" s="26" t="n">
        <v>3.6</v>
      </c>
      <c r="N422" s="25">
        <f>ROUND(L422/M422, 0)</f>
        <v/>
      </c>
      <c r="O422" s="25">
        <f>ROUND(N422*'Methodology &amp; Assumptions'!$B$7, 0)</f>
        <v/>
      </c>
      <c r="P422" s="23" t="inlineStr">
        <is>
          <t>Single Carrier (Band n50, 100MHz TDD)</t>
        </is>
      </c>
      <c r="Q422" s="27">
        <f>ROUNDUP(O422/'Methodology &amp; Assumptions'!$B$8, 0)</f>
        <v/>
      </c>
      <c r="R422" s="27" t="n">
        <v>1</v>
      </c>
      <c r="S422" s="26" t="n">
        <v>176</v>
      </c>
      <c r="T422" s="26" t="n">
        <v>178.26</v>
      </c>
      <c r="U422" s="11">
        <f>IF(S422&lt;='Methodology &amp; Assumptions'!$B$10, "Direct Optical Drop (&lt;3km)", IF(S422&lt;='Methodology &amp; Assumptions'!$B$9, "Near Optical / Microwave (&lt;5km)", "Starlink Business LEO Satellite Backhaul (&gt;5km)"))</f>
        <v/>
      </c>
      <c r="V422" s="26" t="n">
        <v>61.44</v>
      </c>
      <c r="W422" s="26" t="n">
        <v>57.59</v>
      </c>
      <c r="X422" s="26">
        <f>ROUND(('Methodology &amp; Assumptions'!$B$5*V422) + ('Methodology &amp; Assumptions'!$B$6*W422), 2)</f>
        <v/>
      </c>
      <c r="Y422" s="28" t="n">
        <v>15</v>
      </c>
      <c r="Z422" s="11" t="inlineStr">
        <is>
          <t>Priority Tier 3 (Broadband Expansion)</t>
        </is>
      </c>
    </row>
    <row r="423">
      <c r="A423" s="23" t="n">
        <v>4</v>
      </c>
      <c r="B423" s="23" t="n">
        <v>419</v>
      </c>
      <c r="C423" s="23" t="n">
        <v>3419</v>
      </c>
      <c r="D423" s="23" t="inlineStr">
        <is>
          <t>0702212005</t>
        </is>
      </c>
      <c r="E423" s="11" t="inlineStr">
        <is>
          <t>Region VII (Central Visayas)</t>
        </is>
      </c>
      <c r="F423" s="11" t="inlineStr">
        <is>
          <t>Cebu</t>
        </is>
      </c>
      <c r="G423" s="11" t="inlineStr">
        <is>
          <t>Boljoon</t>
        </is>
      </c>
      <c r="H423" s="11" t="inlineStr">
        <is>
          <t>Poblacion</t>
        </is>
      </c>
      <c r="I423" s="24" t="n">
        <v>9.629092</v>
      </c>
      <c r="J423" s="24" t="n">
        <v>123.47995</v>
      </c>
      <c r="K423" s="23" t="inlineStr">
        <is>
          <t>R</t>
        </is>
      </c>
      <c r="L423" s="25" t="n">
        <v>4263</v>
      </c>
      <c r="M423" s="26" t="n">
        <v>3.8</v>
      </c>
      <c r="N423" s="25">
        <f>ROUND(L423/M423, 0)</f>
        <v/>
      </c>
      <c r="O423" s="25">
        <f>ROUND(N423*'Methodology &amp; Assumptions'!$B$7, 0)</f>
        <v/>
      </c>
      <c r="P423" s="23" t="inlineStr">
        <is>
          <t>Single Carrier (Band n50, 100MHz TDD)</t>
        </is>
      </c>
      <c r="Q423" s="27">
        <f>ROUNDUP(O423/'Methodology &amp; Assumptions'!$B$8, 0)</f>
        <v/>
      </c>
      <c r="R423" s="27" t="n">
        <v>1</v>
      </c>
      <c r="S423" s="26" t="n">
        <v>0.6</v>
      </c>
      <c r="T423" s="26" t="n">
        <v>0.24</v>
      </c>
      <c r="U423" s="11">
        <f>IF(S423&lt;='Methodology &amp; Assumptions'!$B$10, "Direct Optical Drop (&lt;3km)", IF(S423&lt;='Methodology &amp; Assumptions'!$B$9, "Near Optical / Microwave (&lt;5km)", "Starlink Business LEO Satellite Backhaul (&gt;5km)"))</f>
        <v/>
      </c>
      <c r="V423" s="26" t="n">
        <v>90.68000000000001</v>
      </c>
      <c r="W423" s="26" t="n">
        <v>28.32</v>
      </c>
      <c r="X423" s="26">
        <f>ROUND(('Methodology &amp; Assumptions'!$B$5*V423) + ('Methodology &amp; Assumptions'!$B$6*W423), 2)</f>
        <v/>
      </c>
      <c r="Y423" s="28" t="n">
        <v>23.7</v>
      </c>
      <c r="Z423" s="11" t="inlineStr">
        <is>
          <t>Priority Tier 3 (Broadband Expansion)</t>
        </is>
      </c>
    </row>
    <row r="424">
      <c r="A424" s="23" t="n">
        <v>4</v>
      </c>
      <c r="B424" s="23" t="n">
        <v>420</v>
      </c>
      <c r="C424" s="23" t="n">
        <v>3420</v>
      </c>
      <c r="D424" s="23" t="inlineStr">
        <is>
          <t>0304920012</t>
        </is>
      </c>
      <c r="E424" s="11" t="inlineStr">
        <is>
          <t>Region III (Central Luzon)</t>
        </is>
      </c>
      <c r="F424" s="11" t="inlineStr">
        <is>
          <t>Nueva Ecija</t>
        </is>
      </c>
      <c r="G424" s="11" t="inlineStr">
        <is>
          <t>Pantabangan</t>
        </is>
      </c>
      <c r="H424" s="11" t="inlineStr">
        <is>
          <t>Poblacion East</t>
        </is>
      </c>
      <c r="I424" s="24" t="n">
        <v>15.805625</v>
      </c>
      <c r="J424" s="24" t="n">
        <v>121.143493</v>
      </c>
      <c r="K424" s="23" t="inlineStr">
        <is>
          <t>R</t>
        </is>
      </c>
      <c r="L424" s="25" t="n">
        <v>4095</v>
      </c>
      <c r="M424" s="26" t="n">
        <v>3.5</v>
      </c>
      <c r="N424" s="25">
        <f>ROUND(L424/M424, 0)</f>
        <v/>
      </c>
      <c r="O424" s="25">
        <f>ROUND(N424*'Methodology &amp; Assumptions'!$B$7, 0)</f>
        <v/>
      </c>
      <c r="P424" s="23" t="inlineStr">
        <is>
          <t>Single Carrier (Band n50, 100MHz TDD)</t>
        </is>
      </c>
      <c r="Q424" s="27">
        <f>ROUNDUP(O424/'Methodology &amp; Assumptions'!$B$8, 0)</f>
        <v/>
      </c>
      <c r="R424" s="27" t="n">
        <v>1</v>
      </c>
      <c r="S424" s="26" t="n">
        <v>0.21</v>
      </c>
      <c r="T424" s="26" t="n">
        <v>10.9</v>
      </c>
      <c r="U424" s="11">
        <f>IF(S424&lt;='Methodology &amp; Assumptions'!$B$10, "Direct Optical Drop (&lt;3km)", IF(S424&lt;='Methodology &amp; Assumptions'!$B$9, "Near Optical / Microwave (&lt;5km)", "Starlink Business LEO Satellite Backhaul (&gt;5km)"))</f>
        <v/>
      </c>
      <c r="V424" s="26" t="n">
        <v>84.73</v>
      </c>
      <c r="W424" s="26" t="n">
        <v>34.26</v>
      </c>
      <c r="X424" s="26">
        <f>ROUND(('Methodology &amp; Assumptions'!$B$5*V424) + ('Methodology &amp; Assumptions'!$B$6*W424), 2)</f>
        <v/>
      </c>
      <c r="Y424" s="28" t="n">
        <v>8.300000000000001</v>
      </c>
      <c r="Z424" s="11" t="inlineStr">
        <is>
          <t>Priority Tier 3 (Broadband Expansion)</t>
        </is>
      </c>
    </row>
    <row r="425">
      <c r="A425" s="23" t="n">
        <v>4</v>
      </c>
      <c r="B425" s="23" t="n">
        <v>421</v>
      </c>
      <c r="C425" s="23" t="n">
        <v>3421</v>
      </c>
      <c r="D425" s="23" t="inlineStr">
        <is>
          <t>0405812018</t>
        </is>
      </c>
      <c r="E425" s="11" t="inlineStr">
        <is>
          <t>Region IV-A (CALABARZON)</t>
        </is>
      </c>
      <c r="F425" s="11" t="inlineStr">
        <is>
          <t>Rizal</t>
        </is>
      </c>
      <c r="G425" s="11" t="inlineStr">
        <is>
          <t>Tanay</t>
        </is>
      </c>
      <c r="H425" s="11" t="inlineStr">
        <is>
          <t>Tandang Kutyo</t>
        </is>
      </c>
      <c r="I425" s="24" t="n">
        <v>14.505671</v>
      </c>
      <c r="J425" s="24" t="n">
        <v>121.290146</v>
      </c>
      <c r="K425" s="23" t="inlineStr">
        <is>
          <t>U</t>
        </is>
      </c>
      <c r="L425" s="25" t="n">
        <v>19868</v>
      </c>
      <c r="M425" s="26" t="n">
        <v>3.6</v>
      </c>
      <c r="N425" s="25">
        <f>ROUND(L425/M425, 0)</f>
        <v/>
      </c>
      <c r="O425" s="25">
        <f>ROUND(N425*'Methodology &amp; Assumptions'!$B$7, 0)</f>
        <v/>
      </c>
      <c r="P425" s="23" t="inlineStr">
        <is>
          <t>Single Carrier (Band n50, 100MHz TDD)</t>
        </is>
      </c>
      <c r="Q425" s="27">
        <f>ROUNDUP(O425/'Methodology &amp; Assumptions'!$B$8, 0)</f>
        <v/>
      </c>
      <c r="R425" s="27" t="n">
        <v>1</v>
      </c>
      <c r="S425" s="26" t="n">
        <v>0.37</v>
      </c>
      <c r="T425" s="26" t="n">
        <v>0.77</v>
      </c>
      <c r="U425" s="11">
        <f>IF(S425&lt;='Methodology &amp; Assumptions'!$B$10, "Direct Optical Drop (&lt;3km)", IF(S425&lt;='Methodology &amp; Assumptions'!$B$9, "Near Optical / Microwave (&lt;5km)", "Starlink Business LEO Satellite Backhaul (&gt;5km)"))</f>
        <v/>
      </c>
      <c r="V425" s="26" t="n">
        <v>78.26000000000001</v>
      </c>
      <c r="W425" s="26" t="n">
        <v>40.74</v>
      </c>
      <c r="X425" s="26">
        <f>ROUND(('Methodology &amp; Assumptions'!$B$5*V425) + ('Methodology &amp; Assumptions'!$B$6*W425), 2)</f>
        <v/>
      </c>
      <c r="Y425" s="28" t="n">
        <v>7.2</v>
      </c>
      <c r="Z425" s="11" t="inlineStr">
        <is>
          <t>Priority Tier 3 (Broadband Expansion)</t>
        </is>
      </c>
    </row>
    <row r="426">
      <c r="A426" s="23" t="n">
        <v>4</v>
      </c>
      <c r="B426" s="23" t="n">
        <v>422</v>
      </c>
      <c r="C426" s="23" t="n">
        <v>3422</v>
      </c>
      <c r="D426" s="23" t="inlineStr">
        <is>
          <t>1381100154</t>
        </is>
      </c>
      <c r="E426" s="11" t="inlineStr">
        <is>
          <t>National Capital Region (NCR)</t>
        </is>
      </c>
      <c r="F426" s="11" t="inlineStr">
        <is>
          <t>Fourth District (Not a Province)</t>
        </is>
      </c>
      <c r="G426" s="11" t="inlineStr">
        <is>
          <t>Pasay City</t>
        </is>
      </c>
      <c r="H426" s="11" t="inlineStr">
        <is>
          <t>Barangay 154</t>
        </is>
      </c>
      <c r="I426" s="24" t="n">
        <v>14.535022</v>
      </c>
      <c r="J426" s="24" t="n">
        <v>121.004496</v>
      </c>
      <c r="K426" s="23" t="inlineStr">
        <is>
          <t>U</t>
        </is>
      </c>
      <c r="L426" s="25" t="n">
        <v>1065</v>
      </c>
      <c r="M426" s="26" t="n">
        <v>3.46</v>
      </c>
      <c r="N426" s="25">
        <f>ROUND(L426/M426, 0)</f>
        <v/>
      </c>
      <c r="O426" s="25">
        <f>ROUND(N426*'Methodology &amp; Assumptions'!$B$7, 0)</f>
        <v/>
      </c>
      <c r="P426" s="23" t="inlineStr">
        <is>
          <t>Single Carrier (Band n50, 100MHz TDD)</t>
        </is>
      </c>
      <c r="Q426" s="27">
        <f>ROUNDUP(O426/'Methodology &amp; Assumptions'!$B$8, 0)</f>
        <v/>
      </c>
      <c r="R426" s="27" t="n">
        <v>1</v>
      </c>
      <c r="S426" s="26" t="n">
        <v>1.12</v>
      </c>
      <c r="T426" s="26" t="n">
        <v>0.2</v>
      </c>
      <c r="U426" s="11">
        <f>IF(S426&lt;='Methodology &amp; Assumptions'!$B$10, "Direct Optical Drop (&lt;3km)", IF(S426&lt;='Methodology &amp; Assumptions'!$B$9, "Near Optical / Microwave (&lt;5km)", "Starlink Business LEO Satellite Backhaul (&gt;5km)"))</f>
        <v/>
      </c>
      <c r="V426" s="26" t="n">
        <v>49.87</v>
      </c>
      <c r="W426" s="26" t="n">
        <v>69.13</v>
      </c>
      <c r="X426" s="26">
        <f>ROUND(('Methodology &amp; Assumptions'!$B$5*V426) + ('Methodology &amp; Assumptions'!$B$6*W426), 2)</f>
        <v/>
      </c>
      <c r="Y426" s="28" t="n">
        <v>10.9</v>
      </c>
      <c r="Z426" s="11" t="inlineStr">
        <is>
          <t>Priority Tier 3 (Broadband Expansion)</t>
        </is>
      </c>
    </row>
    <row r="427">
      <c r="A427" s="23" t="n">
        <v>4</v>
      </c>
      <c r="B427" s="23" t="n">
        <v>423</v>
      </c>
      <c r="C427" s="23" t="n">
        <v>3423</v>
      </c>
      <c r="D427" s="23" t="inlineStr">
        <is>
          <t>1380606067</t>
        </is>
      </c>
      <c r="E427" s="11" t="inlineStr">
        <is>
          <t>National Capital Region (NCR)</t>
        </is>
      </c>
      <c r="F427" s="11" t="inlineStr">
        <is>
          <t>First District (Not a Province)</t>
        </is>
      </c>
      <c r="G427" s="11" t="inlineStr">
        <is>
          <t>City of Manila</t>
        </is>
      </c>
      <c r="H427" s="11" t="inlineStr">
        <is>
          <t>Barangay 461</t>
        </is>
      </c>
      <c r="I427" s="24" t="n">
        <v>14.608246</v>
      </c>
      <c r="J427" s="24" t="n">
        <v>120.994264</v>
      </c>
      <c r="K427" s="23" t="inlineStr">
        <is>
          <t>U</t>
        </is>
      </c>
      <c r="L427" s="25" t="n">
        <v>733</v>
      </c>
      <c r="M427" s="26" t="n">
        <v>3.17</v>
      </c>
      <c r="N427" s="25">
        <f>ROUND(L427/M427, 0)</f>
        <v/>
      </c>
      <c r="O427" s="25">
        <f>ROUND(N427*'Methodology &amp; Assumptions'!$B$7, 0)</f>
        <v/>
      </c>
      <c r="P427" s="23" t="inlineStr">
        <is>
          <t>Single Carrier (Band n50, 100MHz TDD)</t>
        </is>
      </c>
      <c r="Q427" s="27">
        <f>ROUNDUP(O427/'Methodology &amp; Assumptions'!$B$8, 0)</f>
        <v/>
      </c>
      <c r="R427" s="27" t="n">
        <v>1</v>
      </c>
      <c r="S427" s="26" t="n">
        <v>0.66</v>
      </c>
      <c r="T427" s="26" t="n">
        <v>0.21</v>
      </c>
      <c r="U427" s="11">
        <f>IF(S427&lt;='Methodology &amp; Assumptions'!$B$10, "Direct Optical Drop (&lt;3km)", IF(S427&lt;='Methodology &amp; Assumptions'!$B$9, "Near Optical / Microwave (&lt;5km)", "Starlink Business LEO Satellite Backhaul (&gt;5km)"))</f>
        <v/>
      </c>
      <c r="V427" s="26" t="n">
        <v>48.48</v>
      </c>
      <c r="W427" s="26" t="n">
        <v>70.51000000000001</v>
      </c>
      <c r="X427" s="26">
        <f>ROUND(('Methodology &amp; Assumptions'!$B$5*V427) + ('Methodology &amp; Assumptions'!$B$6*W427), 2)</f>
        <v/>
      </c>
      <c r="Y427" s="28" t="n">
        <v>10.9</v>
      </c>
      <c r="Z427" s="11" t="inlineStr">
        <is>
          <t>Priority Tier 3 (Broadband Expansion)</t>
        </is>
      </c>
    </row>
    <row r="428">
      <c r="A428" s="23" t="n">
        <v>4</v>
      </c>
      <c r="B428" s="23" t="n">
        <v>424</v>
      </c>
      <c r="C428" s="23" t="n">
        <v>3424</v>
      </c>
      <c r="D428" s="23" t="inlineStr">
        <is>
          <t>1003505026</t>
        </is>
      </c>
      <c r="E428" s="11" t="inlineStr">
        <is>
          <t>Region X (Northern Mindanao)</t>
        </is>
      </c>
      <c r="F428" s="11" t="inlineStr">
        <is>
          <t>Lanao del Norte</t>
        </is>
      </c>
      <c r="G428" s="11" t="inlineStr">
        <is>
          <t>Kapatagan</t>
        </is>
      </c>
      <c r="H428" s="11" t="inlineStr">
        <is>
          <t>Kidalos</t>
        </is>
      </c>
      <c r="I428" s="24" t="n">
        <v>7.8499</v>
      </c>
      <c r="J428" s="24" t="n">
        <v>123.6792</v>
      </c>
      <c r="K428" s="23" t="inlineStr">
        <is>
          <t>R</t>
        </is>
      </c>
      <c r="L428" s="25" t="n">
        <v>1174</v>
      </c>
      <c r="M428" s="26" t="n">
        <v>4.2</v>
      </c>
      <c r="N428" s="25">
        <f>ROUND(L428/M428, 0)</f>
        <v/>
      </c>
      <c r="O428" s="25">
        <f>ROUND(N428*'Methodology &amp; Assumptions'!$B$7, 0)</f>
        <v/>
      </c>
      <c r="P428" s="23" t="inlineStr">
        <is>
          <t>Single Carrier (Band n50, 100MHz TDD)</t>
        </is>
      </c>
      <c r="Q428" s="27">
        <f>ROUNDUP(O428/'Methodology &amp; Assumptions'!$B$8, 0)</f>
        <v/>
      </c>
      <c r="R428" s="27" t="n">
        <v>1</v>
      </c>
      <c r="S428" s="26" t="n">
        <v>15.33</v>
      </c>
      <c r="T428" s="26" t="n">
        <v>7.66</v>
      </c>
      <c r="U428" s="11">
        <f>IF(S428&lt;='Methodology &amp; Assumptions'!$B$10, "Direct Optical Drop (&lt;3km)", IF(S428&lt;='Methodology &amp; Assumptions'!$B$9, "Near Optical / Microwave (&lt;5km)", "Starlink Business LEO Satellite Backhaul (&gt;5km)"))</f>
        <v/>
      </c>
      <c r="V428" s="26" t="n">
        <v>43.97</v>
      </c>
      <c r="W428" s="26" t="n">
        <v>75.03</v>
      </c>
      <c r="X428" s="26">
        <f>ROUND(('Methodology &amp; Assumptions'!$B$5*V428) + ('Methodology &amp; Assumptions'!$B$6*W428), 2)</f>
        <v/>
      </c>
      <c r="Y428" s="28" t="n">
        <v>17.4</v>
      </c>
      <c r="Z428" s="11" t="inlineStr">
        <is>
          <t>Priority Tier 3 (Broadband Expansion)</t>
        </is>
      </c>
    </row>
    <row r="429">
      <c r="A429" s="23" t="n">
        <v>4</v>
      </c>
      <c r="B429" s="23" t="n">
        <v>425</v>
      </c>
      <c r="C429" s="23" t="n">
        <v>3425</v>
      </c>
      <c r="D429" s="23" t="inlineStr">
        <is>
          <t>0300802008</t>
        </is>
      </c>
      <c r="E429" s="11" t="inlineStr">
        <is>
          <t>Region III (Central Luzon)</t>
        </is>
      </c>
      <c r="F429" s="11" t="inlineStr">
        <is>
          <t>Bataan</t>
        </is>
      </c>
      <c r="G429" s="11" t="inlineStr">
        <is>
          <t>Bagac</t>
        </is>
      </c>
      <c r="H429" s="11" t="inlineStr">
        <is>
          <t>Pag-asa</t>
        </is>
      </c>
      <c r="I429" s="24" t="n">
        <v>14.593013</v>
      </c>
      <c r="J429" s="24" t="n">
        <v>120.389382</v>
      </c>
      <c r="K429" s="23" t="inlineStr">
        <is>
          <t>R</t>
        </is>
      </c>
      <c r="L429" s="25" t="n">
        <v>3895</v>
      </c>
      <c r="M429" s="26" t="n">
        <v>3.6</v>
      </c>
      <c r="N429" s="25">
        <f>ROUND(L429/M429, 0)</f>
        <v/>
      </c>
      <c r="O429" s="25">
        <f>ROUND(N429*'Methodology &amp; Assumptions'!$B$7, 0)</f>
        <v/>
      </c>
      <c r="P429" s="23" t="inlineStr">
        <is>
          <t>Single Carrier (Band n50, 100MHz TDD)</t>
        </is>
      </c>
      <c r="Q429" s="27">
        <f>ROUNDUP(O429/'Methodology &amp; Assumptions'!$B$8, 0)</f>
        <v/>
      </c>
      <c r="R429" s="27" t="n">
        <v>1</v>
      </c>
      <c r="S429" s="26" t="n">
        <v>1.69</v>
      </c>
      <c r="T429" s="26" t="n">
        <v>0.8</v>
      </c>
      <c r="U429" s="11">
        <f>IF(S429&lt;='Methodology &amp; Assumptions'!$B$10, "Direct Optical Drop (&lt;3km)", IF(S429&lt;='Methodology &amp; Assumptions'!$B$9, "Near Optical / Microwave (&lt;5km)", "Starlink Business LEO Satellite Backhaul (&gt;5km)"))</f>
        <v/>
      </c>
      <c r="V429" s="26" t="n">
        <v>82.47</v>
      </c>
      <c r="W429" s="26" t="n">
        <v>36.52</v>
      </c>
      <c r="X429" s="26">
        <f>ROUND(('Methodology &amp; Assumptions'!$B$5*V429) + ('Methodology &amp; Assumptions'!$B$6*W429), 2)</f>
        <v/>
      </c>
      <c r="Y429" s="28" t="n">
        <v>8.300000000000001</v>
      </c>
      <c r="Z429" s="11" t="inlineStr">
        <is>
          <t>Priority Tier 3 (Broadband Expansion)</t>
        </is>
      </c>
    </row>
    <row r="430">
      <c r="A430" s="23" t="n">
        <v>4</v>
      </c>
      <c r="B430" s="23" t="n">
        <v>426</v>
      </c>
      <c r="C430" s="23" t="n">
        <v>3426</v>
      </c>
      <c r="D430" s="23" t="inlineStr">
        <is>
          <t>0601905007</t>
        </is>
      </c>
      <c r="E430" s="11" t="inlineStr">
        <is>
          <t>Region VI (Western Visayas)</t>
        </is>
      </c>
      <c r="F430" s="11" t="inlineStr">
        <is>
          <t>Capiz</t>
        </is>
      </c>
      <c r="G430" s="11" t="inlineStr">
        <is>
          <t>Ivisan</t>
        </is>
      </c>
      <c r="H430" s="11" t="inlineStr">
        <is>
          <t>Ilaya-Ivisan</t>
        </is>
      </c>
      <c r="I430" s="24" t="n">
        <v>11.515346</v>
      </c>
      <c r="J430" s="24" t="n">
        <v>122.719982</v>
      </c>
      <c r="K430" s="23" t="inlineStr">
        <is>
          <t>R</t>
        </is>
      </c>
      <c r="L430" s="25" t="n">
        <v>4049</v>
      </c>
      <c r="M430" s="26" t="n">
        <v>3.8</v>
      </c>
      <c r="N430" s="25">
        <f>ROUND(L430/M430, 0)</f>
        <v/>
      </c>
      <c r="O430" s="25">
        <f>ROUND(N430*'Methodology &amp; Assumptions'!$B$7, 0)</f>
        <v/>
      </c>
      <c r="P430" s="23" t="inlineStr">
        <is>
          <t>Single Carrier (Band n50, 100MHz TDD)</t>
        </is>
      </c>
      <c r="Q430" s="27">
        <f>ROUNDUP(O430/'Methodology &amp; Assumptions'!$B$8, 0)</f>
        <v/>
      </c>
      <c r="R430" s="27" t="n">
        <v>1</v>
      </c>
      <c r="S430" s="26" t="n">
        <v>2.9</v>
      </c>
      <c r="T430" s="26" t="n">
        <v>0.23</v>
      </c>
      <c r="U430" s="11">
        <f>IF(S430&lt;='Methodology &amp; Assumptions'!$B$10, "Direct Optical Drop (&lt;3km)", IF(S430&lt;='Methodology &amp; Assumptions'!$B$9, "Near Optical / Microwave (&lt;5km)", "Starlink Business LEO Satellite Backhaul (&gt;5km)"))</f>
        <v/>
      </c>
      <c r="V430" s="26" t="n">
        <v>80.92</v>
      </c>
      <c r="W430" s="26" t="n">
        <v>38.06</v>
      </c>
      <c r="X430" s="26">
        <f>ROUND(('Methodology &amp; Assumptions'!$B$5*V430) + ('Methodology &amp; Assumptions'!$B$6*W430), 2)</f>
        <v/>
      </c>
      <c r="Y430" s="28" t="n">
        <v>23.7</v>
      </c>
      <c r="Z430" s="11" t="inlineStr">
        <is>
          <t>Priority Tier 3 (Broadband Expansion)</t>
        </is>
      </c>
    </row>
    <row r="431">
      <c r="A431" s="23" t="n">
        <v>4</v>
      </c>
      <c r="B431" s="23" t="n">
        <v>427</v>
      </c>
      <c r="C431" s="23" t="n">
        <v>3427</v>
      </c>
      <c r="D431" s="23" t="inlineStr">
        <is>
          <t>0300812005</t>
        </is>
      </c>
      <c r="E431" s="11" t="inlineStr">
        <is>
          <t>Region III (Central Luzon)</t>
        </is>
      </c>
      <c r="F431" s="11" t="inlineStr">
        <is>
          <t>Bataan</t>
        </is>
      </c>
      <c r="G431" s="11" t="inlineStr">
        <is>
          <t>Samal</t>
        </is>
      </c>
      <c r="H431" s="11" t="inlineStr">
        <is>
          <t>Lalawigan</t>
        </is>
      </c>
      <c r="I431" s="24" t="n">
        <v>14.778855</v>
      </c>
      <c r="J431" s="24" t="n">
        <v>120.541902</v>
      </c>
      <c r="K431" s="23" t="inlineStr">
        <is>
          <t>R</t>
        </is>
      </c>
      <c r="L431" s="25" t="n">
        <v>5001</v>
      </c>
      <c r="M431" s="26" t="n">
        <v>3.6</v>
      </c>
      <c r="N431" s="25">
        <f>ROUND(L431/M431, 0)</f>
        <v/>
      </c>
      <c r="O431" s="25">
        <f>ROUND(N431*'Methodology &amp; Assumptions'!$B$7, 0)</f>
        <v/>
      </c>
      <c r="P431" s="23" t="inlineStr">
        <is>
          <t>Single Carrier (Band n50, 100MHz TDD)</t>
        </is>
      </c>
      <c r="Q431" s="27">
        <f>ROUNDUP(O431/'Methodology &amp; Assumptions'!$B$8, 0)</f>
        <v/>
      </c>
      <c r="R431" s="27" t="n">
        <v>1</v>
      </c>
      <c r="S431" s="26" t="n">
        <v>2.65</v>
      </c>
      <c r="T431" s="26" t="n">
        <v>0.17</v>
      </c>
      <c r="U431" s="11">
        <f>IF(S431&lt;='Methodology &amp; Assumptions'!$B$10, "Direct Optical Drop (&lt;3km)", IF(S431&lt;='Methodology &amp; Assumptions'!$B$9, "Near Optical / Microwave (&lt;5km)", "Starlink Business LEO Satellite Backhaul (&gt;5km)"))</f>
        <v/>
      </c>
      <c r="V431" s="26" t="n">
        <v>79.25</v>
      </c>
      <c r="W431" s="26" t="n">
        <v>39.72</v>
      </c>
      <c r="X431" s="26">
        <f>ROUND(('Methodology &amp; Assumptions'!$B$5*V431) + ('Methodology &amp; Assumptions'!$B$6*W431), 2)</f>
        <v/>
      </c>
      <c r="Y431" s="28" t="n">
        <v>8.300000000000001</v>
      </c>
      <c r="Z431" s="11" t="inlineStr">
        <is>
          <t>Priority Tier 3 (Broadband Expansion)</t>
        </is>
      </c>
    </row>
    <row r="432">
      <c r="A432" s="23" t="n">
        <v>4</v>
      </c>
      <c r="B432" s="23" t="n">
        <v>428</v>
      </c>
      <c r="C432" s="23" t="n">
        <v>3428</v>
      </c>
      <c r="D432" s="23" t="inlineStr">
        <is>
          <t>0401003046</t>
        </is>
      </c>
      <c r="E432" s="11" t="inlineStr">
        <is>
          <t>Region IV-A (CALABARZON)</t>
        </is>
      </c>
      <c r="F432" s="11" t="inlineStr">
        <is>
          <t>Batangas</t>
        </is>
      </c>
      <c r="G432" s="11" t="inlineStr">
        <is>
          <t>Balayan</t>
        </is>
      </c>
      <c r="H432" s="11" t="inlineStr">
        <is>
          <t>San Piro</t>
        </is>
      </c>
      <c r="I432" s="24" t="n">
        <v>13.9204</v>
      </c>
      <c r="J432" s="24" t="n">
        <v>120.7</v>
      </c>
      <c r="K432" s="23" t="inlineStr">
        <is>
          <t>R</t>
        </is>
      </c>
      <c r="L432" s="25" t="n">
        <v>3895</v>
      </c>
      <c r="M432" s="26" t="n">
        <v>3.6</v>
      </c>
      <c r="N432" s="25">
        <f>ROUND(L432/M432, 0)</f>
        <v/>
      </c>
      <c r="O432" s="25">
        <f>ROUND(N432*'Methodology &amp; Assumptions'!$B$7, 0)</f>
        <v/>
      </c>
      <c r="P432" s="23" t="inlineStr">
        <is>
          <t>Single Carrier (Band n50, 100MHz TDD)</t>
        </is>
      </c>
      <c r="Q432" s="27">
        <f>ROUNDUP(O432/'Methodology &amp; Assumptions'!$B$8, 0)</f>
        <v/>
      </c>
      <c r="R432" s="27" t="n">
        <v>1</v>
      </c>
      <c r="S432" s="26" t="n">
        <v>3.97</v>
      </c>
      <c r="T432" s="26" t="n">
        <v>3.38</v>
      </c>
      <c r="U432" s="11">
        <f>IF(S432&lt;='Methodology &amp; Assumptions'!$B$10, "Direct Optical Drop (&lt;3km)", IF(S432&lt;='Methodology &amp; Assumptions'!$B$9, "Near Optical / Microwave (&lt;5km)", "Starlink Business LEO Satellite Backhaul (&gt;5km)"))</f>
        <v/>
      </c>
      <c r="V432" s="26" t="n">
        <v>72.38</v>
      </c>
      <c r="W432" s="26" t="n">
        <v>46.59</v>
      </c>
      <c r="X432" s="26">
        <f>ROUND(('Methodology &amp; Assumptions'!$B$5*V432) + ('Methodology &amp; Assumptions'!$B$6*W432), 2)</f>
        <v/>
      </c>
      <c r="Y432" s="28" t="n">
        <v>7.2</v>
      </c>
      <c r="Z432" s="11" t="inlineStr">
        <is>
          <t>Priority Tier 3 (Broadband Expansion)</t>
        </is>
      </c>
    </row>
    <row r="433">
      <c r="A433" s="23" t="n">
        <v>4</v>
      </c>
      <c r="B433" s="23" t="n">
        <v>429</v>
      </c>
      <c r="C433" s="23" t="n">
        <v>3429</v>
      </c>
      <c r="D433" s="23" t="inlineStr">
        <is>
          <t>0300804018</t>
        </is>
      </c>
      <c r="E433" s="11" t="inlineStr">
        <is>
          <t>Region III (Central Luzon)</t>
        </is>
      </c>
      <c r="F433" s="11" t="inlineStr">
        <is>
          <t>Bataan</t>
        </is>
      </c>
      <c r="G433" s="11" t="inlineStr">
        <is>
          <t>Dinalupihan</t>
        </is>
      </c>
      <c r="H433" s="11" t="inlineStr">
        <is>
          <t>Mabini Ext.</t>
        </is>
      </c>
      <c r="I433" s="24" t="n">
        <v>14.86624</v>
      </c>
      <c r="J433" s="24" t="n">
        <v>120.467467</v>
      </c>
      <c r="K433" s="23" t="inlineStr">
        <is>
          <t>R</t>
        </is>
      </c>
      <c r="L433" s="25" t="n">
        <v>758</v>
      </c>
      <c r="M433" s="26" t="n">
        <v>3.6</v>
      </c>
      <c r="N433" s="25">
        <f>ROUND(L433/M433, 0)</f>
        <v/>
      </c>
      <c r="O433" s="25">
        <f>ROUND(N433*'Methodology &amp; Assumptions'!$B$7, 0)</f>
        <v/>
      </c>
      <c r="P433" s="23" t="inlineStr">
        <is>
          <t>Single Carrier (Band n50, 100MHz TDD)</t>
        </is>
      </c>
      <c r="Q433" s="27">
        <f>ROUNDUP(O433/'Methodology &amp; Assumptions'!$B$8, 0)</f>
        <v/>
      </c>
      <c r="R433" s="27" t="n">
        <v>1</v>
      </c>
      <c r="S433" s="26" t="n">
        <v>0.29</v>
      </c>
      <c r="T433" s="26" t="n">
        <v>0.11</v>
      </c>
      <c r="U433" s="11">
        <f>IF(S433&lt;='Methodology &amp; Assumptions'!$B$10, "Direct Optical Drop (&lt;3km)", IF(S433&lt;='Methodology &amp; Assumptions'!$B$9, "Near Optical / Microwave (&lt;5km)", "Starlink Business LEO Satellite Backhaul (&gt;5km)"))</f>
        <v/>
      </c>
      <c r="V433" s="26" t="n">
        <v>65.84999999999999</v>
      </c>
      <c r="W433" s="26" t="n">
        <v>53.12</v>
      </c>
      <c r="X433" s="26">
        <f>ROUND(('Methodology &amp; Assumptions'!$B$5*V433) + ('Methodology &amp; Assumptions'!$B$6*W433), 2)</f>
        <v/>
      </c>
      <c r="Y433" s="28" t="n">
        <v>8.300000000000001</v>
      </c>
      <c r="Z433" s="11" t="inlineStr">
        <is>
          <t>Priority Tier 3 (Broadband Expansion)</t>
        </is>
      </c>
    </row>
    <row r="434">
      <c r="A434" s="23" t="n">
        <v>4</v>
      </c>
      <c r="B434" s="23" t="n">
        <v>430</v>
      </c>
      <c r="C434" s="23" t="n">
        <v>3430</v>
      </c>
      <c r="D434" s="23" t="inlineStr">
        <is>
          <t>1381300133</t>
        </is>
      </c>
      <c r="E434" s="11" t="inlineStr">
        <is>
          <t>National Capital Region (NCR)</t>
        </is>
      </c>
      <c r="F434" s="11" t="inlineStr">
        <is>
          <t>Second District (Not a Province)</t>
        </is>
      </c>
      <c r="G434" s="11" t="inlineStr">
        <is>
          <t>Quezon City</t>
        </is>
      </c>
      <c r="H434" s="11" t="inlineStr">
        <is>
          <t>West Triangle</t>
        </is>
      </c>
      <c r="I434" s="24" t="n">
        <v>14.64358</v>
      </c>
      <c r="J434" s="24" t="n">
        <v>121.0304</v>
      </c>
      <c r="K434" s="23" t="inlineStr">
        <is>
          <t>U</t>
        </is>
      </c>
      <c r="L434" s="25" t="n">
        <v>2486</v>
      </c>
      <c r="M434" s="26" t="n">
        <v>3.63</v>
      </c>
      <c r="N434" s="25">
        <f>ROUND(L434/M434, 0)</f>
        <v/>
      </c>
      <c r="O434" s="25">
        <f>ROUND(N434*'Methodology &amp; Assumptions'!$B$7, 0)</f>
        <v/>
      </c>
      <c r="P434" s="23" t="inlineStr">
        <is>
          <t>Single Carrier (Band n50, 100MHz TDD)</t>
        </is>
      </c>
      <c r="Q434" s="27">
        <f>ROUNDUP(O434/'Methodology &amp; Assumptions'!$B$8, 0)</f>
        <v/>
      </c>
      <c r="R434" s="27" t="n">
        <v>1</v>
      </c>
      <c r="S434" s="26" t="n">
        <v>0.7</v>
      </c>
      <c r="T434" s="26" t="n">
        <v>0.35</v>
      </c>
      <c r="U434" s="11">
        <f>IF(S434&lt;='Methodology &amp; Assumptions'!$B$10, "Direct Optical Drop (&lt;3km)", IF(S434&lt;='Methodology &amp; Assumptions'!$B$9, "Near Optical / Microwave (&lt;5km)", "Starlink Business LEO Satellite Backhaul (&gt;5km)"))</f>
        <v/>
      </c>
      <c r="V434" s="26" t="n">
        <v>63.16</v>
      </c>
      <c r="W434" s="26" t="n">
        <v>55.82</v>
      </c>
      <c r="X434" s="26">
        <f>ROUND(('Methodology &amp; Assumptions'!$B$5*V434) + ('Methodology &amp; Assumptions'!$B$6*W434), 2)</f>
        <v/>
      </c>
      <c r="Y434" s="28" t="n">
        <v>10.9</v>
      </c>
      <c r="Z434" s="11" t="inlineStr">
        <is>
          <t>Priority Tier 3 (Broadband Expansion)</t>
        </is>
      </c>
    </row>
    <row r="435">
      <c r="A435" s="23" t="n">
        <v>4</v>
      </c>
      <c r="B435" s="23" t="n">
        <v>431</v>
      </c>
      <c r="C435" s="23" t="n">
        <v>3431</v>
      </c>
      <c r="D435" s="23" t="inlineStr">
        <is>
          <t>1380601179</t>
        </is>
      </c>
      <c r="E435" s="11" t="inlineStr">
        <is>
          <t>National Capital Region (NCR)</t>
        </is>
      </c>
      <c r="F435" s="11" t="inlineStr">
        <is>
          <t>First District (Not a Province)</t>
        </is>
      </c>
      <c r="G435" s="11" t="inlineStr">
        <is>
          <t>City of Manila</t>
        </is>
      </c>
      <c r="H435" s="11" t="inlineStr">
        <is>
          <t>Barangay 179</t>
        </is>
      </c>
      <c r="I435" s="24" t="n">
        <v>14.629918</v>
      </c>
      <c r="J435" s="24" t="n">
        <v>120.973214</v>
      </c>
      <c r="K435" s="23" t="inlineStr">
        <is>
          <t>U</t>
        </is>
      </c>
      <c r="L435" s="25" t="n">
        <v>1034</v>
      </c>
      <c r="M435" s="26" t="n">
        <v>4.46</v>
      </c>
      <c r="N435" s="25">
        <f>ROUND(L435/M435, 0)</f>
        <v/>
      </c>
      <c r="O435" s="25">
        <f>ROUND(N435*'Methodology &amp; Assumptions'!$B$7, 0)</f>
        <v/>
      </c>
      <c r="P435" s="23" t="inlineStr">
        <is>
          <t>Single Carrier (Band n50, 100MHz TDD)</t>
        </is>
      </c>
      <c r="Q435" s="27">
        <f>ROUNDUP(O435/'Methodology &amp; Assumptions'!$B$8, 0)</f>
        <v/>
      </c>
      <c r="R435" s="27" t="n">
        <v>1</v>
      </c>
      <c r="S435" s="26" t="n">
        <v>0.34</v>
      </c>
      <c r="T435" s="26" t="n">
        <v>0.35</v>
      </c>
      <c r="U435" s="11">
        <f>IF(S435&lt;='Methodology &amp; Assumptions'!$B$10, "Direct Optical Drop (&lt;3km)", IF(S435&lt;='Methodology &amp; Assumptions'!$B$9, "Near Optical / Microwave (&lt;5km)", "Starlink Business LEO Satellite Backhaul (&gt;5km)"))</f>
        <v/>
      </c>
      <c r="V435" s="26" t="n">
        <v>48.59</v>
      </c>
      <c r="W435" s="26" t="n">
        <v>70.40000000000001</v>
      </c>
      <c r="X435" s="26">
        <f>ROUND(('Methodology &amp; Assumptions'!$B$5*V435) + ('Methodology &amp; Assumptions'!$B$6*W435), 2)</f>
        <v/>
      </c>
      <c r="Y435" s="28" t="n">
        <v>10.9</v>
      </c>
      <c r="Z435" s="11" t="inlineStr">
        <is>
          <t>Priority Tier 3 (Broadband Expansion)</t>
        </is>
      </c>
    </row>
    <row r="436">
      <c r="A436" s="23" t="n">
        <v>4</v>
      </c>
      <c r="B436" s="23" t="n">
        <v>432</v>
      </c>
      <c r="C436" s="23" t="n">
        <v>3432</v>
      </c>
      <c r="D436" s="23" t="inlineStr">
        <is>
          <t>0304918001</t>
        </is>
      </c>
      <c r="E436" s="11" t="inlineStr">
        <is>
          <t>Region III (Central Luzon)</t>
        </is>
      </c>
      <c r="F436" s="11" t="inlineStr">
        <is>
          <t>Nueva Ecija</t>
        </is>
      </c>
      <c r="G436" s="11" t="inlineStr">
        <is>
          <t>Nampicuan</t>
        </is>
      </c>
      <c r="H436" s="11" t="inlineStr">
        <is>
          <t>Alemania</t>
        </is>
      </c>
      <c r="I436" s="24" t="n">
        <v>15.717528</v>
      </c>
      <c r="J436" s="24" t="n">
        <v>120.672111</v>
      </c>
      <c r="K436" s="23" t="inlineStr">
        <is>
          <t>R</t>
        </is>
      </c>
      <c r="L436" s="25" t="n">
        <v>134</v>
      </c>
      <c r="M436" s="26" t="n">
        <v>3.5</v>
      </c>
      <c r="N436" s="25">
        <f>ROUND(L436/M436, 0)</f>
        <v/>
      </c>
      <c r="O436" s="25">
        <f>ROUND(N436*'Methodology &amp; Assumptions'!$B$7, 0)</f>
        <v/>
      </c>
      <c r="P436" s="23" t="inlineStr">
        <is>
          <t>Single Carrier (Band n50, 100MHz TDD)</t>
        </is>
      </c>
      <c r="Q436" s="27">
        <f>ROUNDUP(O436/'Methodology &amp; Assumptions'!$B$8, 0)</f>
        <v/>
      </c>
      <c r="R436" s="27" t="n">
        <v>1</v>
      </c>
      <c r="S436" s="26" t="n">
        <v>6.94</v>
      </c>
      <c r="T436" s="26" t="n">
        <v>9.94</v>
      </c>
      <c r="U436" s="11">
        <f>IF(S436&lt;='Methodology &amp; Assumptions'!$B$10, "Direct Optical Drop (&lt;3km)", IF(S436&lt;='Methodology &amp; Assumptions'!$B$9, "Near Optical / Microwave (&lt;5km)", "Starlink Business LEO Satellite Backhaul (&gt;5km)"))</f>
        <v/>
      </c>
      <c r="V436" s="26" t="n">
        <v>45.08</v>
      </c>
      <c r="W436" s="26" t="n">
        <v>73.90000000000001</v>
      </c>
      <c r="X436" s="26">
        <f>ROUND(('Methodology &amp; Assumptions'!$B$5*V436) + ('Methodology &amp; Assumptions'!$B$6*W436), 2)</f>
        <v/>
      </c>
      <c r="Y436" s="28" t="n">
        <v>8.300000000000001</v>
      </c>
      <c r="Z436" s="11" t="inlineStr">
        <is>
          <t>Priority Tier 3 (Broadband Expansion)</t>
        </is>
      </c>
    </row>
    <row r="437">
      <c r="A437" s="23" t="n">
        <v>4</v>
      </c>
      <c r="B437" s="23" t="n">
        <v>433</v>
      </c>
      <c r="C437" s="23" t="n">
        <v>3433</v>
      </c>
      <c r="D437" s="23" t="inlineStr">
        <is>
          <t>1380608014</t>
        </is>
      </c>
      <c r="E437" s="11" t="inlineStr">
        <is>
          <t>National Capital Region (NCR)</t>
        </is>
      </c>
      <c r="F437" s="11" t="inlineStr">
        <is>
          <t>First District (Not a Province)</t>
        </is>
      </c>
      <c r="G437" s="11" t="inlineStr">
        <is>
          <t>City of Manila</t>
        </is>
      </c>
      <c r="H437" s="11" t="inlineStr">
        <is>
          <t>Barangay 663-A</t>
        </is>
      </c>
      <c r="I437" s="24" t="n">
        <v>14.59056</v>
      </c>
      <c r="J437" s="24" t="n">
        <v>120.989482</v>
      </c>
      <c r="K437" s="23" t="inlineStr">
        <is>
          <t>U</t>
        </is>
      </c>
      <c r="L437" s="25" t="n">
        <v>185</v>
      </c>
      <c r="M437" s="26" t="n">
        <v>30.83</v>
      </c>
      <c r="N437" s="25">
        <f>ROUND(L437/M437, 0)</f>
        <v/>
      </c>
      <c r="O437" s="25">
        <f>ROUND(N437*'Methodology &amp; Assumptions'!$B$7, 0)</f>
        <v/>
      </c>
      <c r="P437" s="23" t="inlineStr">
        <is>
          <t>Single Carrier (Band n50, 100MHz TDD)</t>
        </is>
      </c>
      <c r="Q437" s="27">
        <f>ROUNDUP(O437/'Methodology &amp; Assumptions'!$B$8, 0)</f>
        <v/>
      </c>
      <c r="R437" s="27" t="n">
        <v>1</v>
      </c>
      <c r="S437" s="26" t="n">
        <v>0.5600000000000001</v>
      </c>
      <c r="T437" s="26" t="n">
        <v>0.41</v>
      </c>
      <c r="U437" s="11">
        <f>IF(S437&lt;='Methodology &amp; Assumptions'!$B$10, "Direct Optical Drop (&lt;3km)", IF(S437&lt;='Methodology &amp; Assumptions'!$B$9, "Near Optical / Microwave (&lt;5km)", "Starlink Business LEO Satellite Backhaul (&gt;5km)"))</f>
        <v/>
      </c>
      <c r="V437" s="26" t="n">
        <v>41.31</v>
      </c>
      <c r="W437" s="26" t="n">
        <v>77.67</v>
      </c>
      <c r="X437" s="26">
        <f>ROUND(('Methodology &amp; Assumptions'!$B$5*V437) + ('Methodology &amp; Assumptions'!$B$6*W437), 2)</f>
        <v/>
      </c>
      <c r="Y437" s="28" t="n">
        <v>10.9</v>
      </c>
      <c r="Z437" s="11" t="inlineStr">
        <is>
          <t>Priority Tier 3 (Broadband Expansion)</t>
        </is>
      </c>
    </row>
    <row r="438">
      <c r="A438" s="23" t="n">
        <v>4</v>
      </c>
      <c r="B438" s="23" t="n">
        <v>434</v>
      </c>
      <c r="C438" s="23" t="n">
        <v>3434</v>
      </c>
      <c r="D438" s="23" t="inlineStr">
        <is>
          <t>1102319004</t>
        </is>
      </c>
      <c r="E438" s="11" t="inlineStr">
        <is>
          <t>Region XI (Davao Region)</t>
        </is>
      </c>
      <c r="F438" s="11" t="inlineStr">
        <is>
          <t>Davao del Norte</t>
        </is>
      </c>
      <c r="G438" s="11" t="inlineStr">
        <is>
          <t>City of Tagum</t>
        </is>
      </c>
      <c r="H438" s="11" t="inlineStr">
        <is>
          <t>Busaon</t>
        </is>
      </c>
      <c r="I438" s="24" t="n">
        <v>7.357537</v>
      </c>
      <c r="J438" s="24" t="n">
        <v>125.754791</v>
      </c>
      <c r="K438" s="23" t="inlineStr">
        <is>
          <t>R</t>
        </is>
      </c>
      <c r="L438" s="25" t="n">
        <v>3251</v>
      </c>
      <c r="M438" s="26" t="n">
        <v>3.7</v>
      </c>
      <c r="N438" s="25">
        <f>ROUND(L438/M438, 0)</f>
        <v/>
      </c>
      <c r="O438" s="25">
        <f>ROUND(N438*'Methodology &amp; Assumptions'!$B$7, 0)</f>
        <v/>
      </c>
      <c r="P438" s="23" t="inlineStr">
        <is>
          <t>Single Carrier (Band n50, 100MHz TDD)</t>
        </is>
      </c>
      <c r="Q438" s="27">
        <f>ROUNDUP(O438/'Methodology &amp; Assumptions'!$B$8, 0)</f>
        <v/>
      </c>
      <c r="R438" s="27" t="n">
        <v>1</v>
      </c>
      <c r="S438" s="26" t="n">
        <v>1.98</v>
      </c>
      <c r="T438" s="26" t="n">
        <v>1.89</v>
      </c>
      <c r="U438" s="11">
        <f>IF(S438&lt;='Methodology &amp; Assumptions'!$B$10, "Direct Optical Drop (&lt;3km)", IF(S438&lt;='Methodology &amp; Assumptions'!$B$9, "Near Optical / Microwave (&lt;5km)", "Starlink Business LEO Satellite Backhaul (&gt;5km)"))</f>
        <v/>
      </c>
      <c r="V438" s="26" t="n">
        <v>82.90000000000001</v>
      </c>
      <c r="W438" s="26" t="n">
        <v>36.05</v>
      </c>
      <c r="X438" s="26">
        <f>ROUND(('Methodology &amp; Assumptions'!$B$5*V438) + ('Methodology &amp; Assumptions'!$B$6*W438), 2)</f>
        <v/>
      </c>
      <c r="Y438" s="28" t="n">
        <v>17.4</v>
      </c>
      <c r="Z438" s="11" t="inlineStr">
        <is>
          <t>Priority Tier 3 (Broadband Expansion)</t>
        </is>
      </c>
    </row>
    <row r="439">
      <c r="A439" s="23" t="n">
        <v>4</v>
      </c>
      <c r="B439" s="23" t="n">
        <v>435</v>
      </c>
      <c r="C439" s="23" t="n">
        <v>3435</v>
      </c>
      <c r="D439" s="23" t="inlineStr">
        <is>
          <t>0304903024</t>
        </is>
      </c>
      <c r="E439" s="11" t="inlineStr">
        <is>
          <t>Region III (Central Luzon)</t>
        </is>
      </c>
      <c r="F439" s="11" t="inlineStr">
        <is>
          <t>Nueva Ecija</t>
        </is>
      </c>
      <c r="G439" s="11" t="inlineStr">
        <is>
          <t>City of Cabanatuan</t>
        </is>
      </c>
      <c r="H439" s="11" t="inlineStr">
        <is>
          <t>Cinco-Cinco</t>
        </is>
      </c>
      <c r="I439" s="24" t="n">
        <v>15.585783</v>
      </c>
      <c r="J439" s="24" t="n">
        <v>120.924577</v>
      </c>
      <c r="K439" s="23" t="inlineStr">
        <is>
          <t>R</t>
        </is>
      </c>
      <c r="L439" s="25" t="n">
        <v>2358</v>
      </c>
      <c r="M439" s="26" t="n">
        <v>3.5</v>
      </c>
      <c r="N439" s="25">
        <f>ROUND(L439/M439, 0)</f>
        <v/>
      </c>
      <c r="O439" s="25">
        <f>ROUND(N439*'Methodology &amp; Assumptions'!$B$7, 0)</f>
        <v/>
      </c>
      <c r="P439" s="23" t="inlineStr">
        <is>
          <t>Single Carrier (Band n50, 100MHz TDD)</t>
        </is>
      </c>
      <c r="Q439" s="27">
        <f>ROUNDUP(O439/'Methodology &amp; Assumptions'!$B$8, 0)</f>
        <v/>
      </c>
      <c r="R439" s="27" t="n">
        <v>1</v>
      </c>
      <c r="S439" s="26" t="n">
        <v>0.71</v>
      </c>
      <c r="T439" s="26" t="n">
        <v>0.52</v>
      </c>
      <c r="U439" s="11">
        <f>IF(S439&lt;='Methodology &amp; Assumptions'!$B$10, "Direct Optical Drop (&lt;3km)", IF(S439&lt;='Methodology &amp; Assumptions'!$B$9, "Near Optical / Microwave (&lt;5km)", "Starlink Business LEO Satellite Backhaul (&gt;5km)"))</f>
        <v/>
      </c>
      <c r="V439" s="26" t="n">
        <v>80.91</v>
      </c>
      <c r="W439" s="26" t="n">
        <v>38.05</v>
      </c>
      <c r="X439" s="26">
        <f>ROUND(('Methodology &amp; Assumptions'!$B$5*V439) + ('Methodology &amp; Assumptions'!$B$6*W439), 2)</f>
        <v/>
      </c>
      <c r="Y439" s="28" t="n">
        <v>8.300000000000001</v>
      </c>
      <c r="Z439" s="11" t="inlineStr">
        <is>
          <t>Priority Tier 3 (Broadband Expansion)</t>
        </is>
      </c>
    </row>
    <row r="440">
      <c r="A440" s="23" t="n">
        <v>4</v>
      </c>
      <c r="B440" s="23" t="n">
        <v>436</v>
      </c>
      <c r="C440" s="23" t="n">
        <v>3436</v>
      </c>
      <c r="D440" s="23" t="inlineStr">
        <is>
          <t>0105535007</t>
        </is>
      </c>
      <c r="E440" s="11" t="inlineStr">
        <is>
          <t>Region I (Ilocos Region)</t>
        </is>
      </c>
      <c r="F440" s="11" t="inlineStr">
        <is>
          <t>Pangasinan</t>
        </is>
      </c>
      <c r="G440" s="11" t="inlineStr">
        <is>
          <t>San Manuel</t>
        </is>
      </c>
      <c r="H440" s="11" t="inlineStr">
        <is>
          <t>Guiset Norte</t>
        </is>
      </c>
      <c r="I440" s="24" t="n">
        <v>16.0671</v>
      </c>
      <c r="J440" s="24" t="n">
        <v>120.669</v>
      </c>
      <c r="K440" s="23" t="inlineStr">
        <is>
          <t>U</t>
        </is>
      </c>
      <c r="L440" s="25" t="n">
        <v>5411</v>
      </c>
      <c r="M440" s="26" t="n">
        <v>3.6</v>
      </c>
      <c r="N440" s="25">
        <f>ROUND(L440/M440, 0)</f>
        <v/>
      </c>
      <c r="O440" s="25">
        <f>ROUND(N440*'Methodology &amp; Assumptions'!$B$7, 0)</f>
        <v/>
      </c>
      <c r="P440" s="23" t="inlineStr">
        <is>
          <t>Single Carrier (Band n50, 100MHz TDD)</t>
        </is>
      </c>
      <c r="Q440" s="27">
        <f>ROUNDUP(O440/'Methodology &amp; Assumptions'!$B$8, 0)</f>
        <v/>
      </c>
      <c r="R440" s="27" t="n">
        <v>1</v>
      </c>
      <c r="S440" s="26" t="n">
        <v>0.15</v>
      </c>
      <c r="T440" s="26" t="n">
        <v>0.5</v>
      </c>
      <c r="U440" s="11">
        <f>IF(S440&lt;='Methodology &amp; Assumptions'!$B$10, "Direct Optical Drop (&lt;3km)", IF(S440&lt;='Methodology &amp; Assumptions'!$B$9, "Near Optical / Microwave (&lt;5km)", "Starlink Business LEO Satellite Backhaul (&gt;5km)"))</f>
        <v/>
      </c>
      <c r="V440" s="26" t="n">
        <v>78.43000000000001</v>
      </c>
      <c r="W440" s="26" t="n">
        <v>40.52</v>
      </c>
      <c r="X440" s="26">
        <f>ROUND(('Methodology &amp; Assumptions'!$B$5*V440) + ('Methodology &amp; Assumptions'!$B$6*W440), 2)</f>
        <v/>
      </c>
      <c r="Y440" s="28" t="n">
        <v>8.300000000000001</v>
      </c>
      <c r="Z440" s="11" t="inlineStr">
        <is>
          <t>Priority Tier 3 (Broadband Expansion)</t>
        </is>
      </c>
    </row>
    <row r="441">
      <c r="A441" s="23" t="n">
        <v>4</v>
      </c>
      <c r="B441" s="23" t="n">
        <v>437</v>
      </c>
      <c r="C441" s="23" t="n">
        <v>3437</v>
      </c>
      <c r="D441" s="23" t="inlineStr">
        <is>
          <t>0403411015</t>
        </is>
      </c>
      <c r="E441" s="11" t="inlineStr">
        <is>
          <t>Region IV-A (CALABARZON)</t>
        </is>
      </c>
      <c r="F441" s="11" t="inlineStr">
        <is>
          <t>Laguna</t>
        </is>
      </c>
      <c r="G441" s="11" t="inlineStr">
        <is>
          <t>Los Baños</t>
        </is>
      </c>
      <c r="H441" s="11" t="inlineStr">
        <is>
          <t>Malinta</t>
        </is>
      </c>
      <c r="I441" s="24" t="n">
        <v>14.185761</v>
      </c>
      <c r="J441" s="24" t="n">
        <v>121.230118</v>
      </c>
      <c r="K441" s="23" t="inlineStr">
        <is>
          <t>U</t>
        </is>
      </c>
      <c r="L441" s="25" t="n">
        <v>7159</v>
      </c>
      <c r="M441" s="26" t="n">
        <v>3.3</v>
      </c>
      <c r="N441" s="25">
        <f>ROUND(L441/M441, 0)</f>
        <v/>
      </c>
      <c r="O441" s="25">
        <f>ROUND(N441*'Methodology &amp; Assumptions'!$B$7, 0)</f>
        <v/>
      </c>
      <c r="P441" s="23" t="inlineStr">
        <is>
          <t>Single Carrier (Band n50, 100MHz TDD)</t>
        </is>
      </c>
      <c r="Q441" s="27">
        <f>ROUNDUP(O441/'Methodology &amp; Assumptions'!$B$8, 0)</f>
        <v/>
      </c>
      <c r="R441" s="27" t="n">
        <v>1</v>
      </c>
      <c r="S441" s="26" t="n">
        <v>1.51</v>
      </c>
      <c r="T441" s="26" t="n">
        <v>0.52</v>
      </c>
      <c r="U441" s="11">
        <f>IF(S441&lt;='Methodology &amp; Assumptions'!$B$10, "Direct Optical Drop (&lt;3km)", IF(S441&lt;='Methodology &amp; Assumptions'!$B$9, "Near Optical / Microwave (&lt;5km)", "Starlink Business LEO Satellite Backhaul (&gt;5km)"))</f>
        <v/>
      </c>
      <c r="V441" s="26" t="n">
        <v>75.73999999999999</v>
      </c>
      <c r="W441" s="26" t="n">
        <v>43.21</v>
      </c>
      <c r="X441" s="26">
        <f>ROUND(('Methodology &amp; Assumptions'!$B$5*V441) + ('Methodology &amp; Assumptions'!$B$6*W441), 2)</f>
        <v/>
      </c>
      <c r="Y441" s="28" t="n">
        <v>7.2</v>
      </c>
      <c r="Z441" s="11" t="inlineStr">
        <is>
          <t>Priority Tier 3 (Broadband Expansion)</t>
        </is>
      </c>
    </row>
    <row r="442">
      <c r="A442" s="23" t="n">
        <v>4</v>
      </c>
      <c r="B442" s="23" t="n">
        <v>438</v>
      </c>
      <c r="C442" s="23" t="n">
        <v>3438</v>
      </c>
      <c r="D442" s="23" t="inlineStr">
        <is>
          <t>0704619027</t>
        </is>
      </c>
      <c r="E442" s="11" t="inlineStr">
        <is>
          <t>Region VII (Central Visayas)</t>
        </is>
      </c>
      <c r="F442" s="11" t="inlineStr">
        <is>
          <t>Negros Oriental</t>
        </is>
      </c>
      <c r="G442" s="11" t="inlineStr">
        <is>
          <t>Siaton</t>
        </is>
      </c>
      <c r="H442" s="11" t="inlineStr">
        <is>
          <t>Tayak</t>
        </is>
      </c>
      <c r="I442" s="24" t="n">
        <v>9.112745</v>
      </c>
      <c r="J442" s="24" t="n">
        <v>123.074077</v>
      </c>
      <c r="K442" s="23" t="inlineStr">
        <is>
          <t>R</t>
        </is>
      </c>
      <c r="L442" s="25" t="n">
        <v>3238</v>
      </c>
      <c r="M442" s="26" t="n">
        <v>3.8</v>
      </c>
      <c r="N442" s="25">
        <f>ROUND(L442/M442, 0)</f>
        <v/>
      </c>
      <c r="O442" s="25">
        <f>ROUND(N442*'Methodology &amp; Assumptions'!$B$7, 0)</f>
        <v/>
      </c>
      <c r="P442" s="23" t="inlineStr">
        <is>
          <t>Single Carrier (Band n50, 100MHz TDD)</t>
        </is>
      </c>
      <c r="Q442" s="27">
        <f>ROUNDUP(O442/'Methodology &amp; Assumptions'!$B$8, 0)</f>
        <v/>
      </c>
      <c r="R442" s="27" t="n">
        <v>1</v>
      </c>
      <c r="S442" s="26" t="n">
        <v>7.37</v>
      </c>
      <c r="T442" s="26" t="n">
        <v>7.36</v>
      </c>
      <c r="U442" s="11">
        <f>IF(S442&lt;='Methodology &amp; Assumptions'!$B$10, "Direct Optical Drop (&lt;3km)", IF(S442&lt;='Methodology &amp; Assumptions'!$B$9, "Near Optical / Microwave (&lt;5km)", "Starlink Business LEO Satellite Backhaul (&gt;5km)"))</f>
        <v/>
      </c>
      <c r="V442" s="26" t="n">
        <v>69.15000000000001</v>
      </c>
      <c r="W442" s="26" t="n">
        <v>49.81</v>
      </c>
      <c r="X442" s="26">
        <f>ROUND(('Methodology &amp; Assumptions'!$B$5*V442) + ('Methodology &amp; Assumptions'!$B$6*W442), 2)</f>
        <v/>
      </c>
      <c r="Y442" s="28" t="n">
        <v>23.7</v>
      </c>
      <c r="Z442" s="11" t="inlineStr">
        <is>
          <t>Priority Tier 3 (Broadband Expansion)</t>
        </is>
      </c>
    </row>
    <row r="443">
      <c r="A443" s="23" t="n">
        <v>4</v>
      </c>
      <c r="B443" s="23" t="n">
        <v>439</v>
      </c>
      <c r="C443" s="23" t="n">
        <v>3439</v>
      </c>
      <c r="D443" s="23" t="inlineStr">
        <is>
          <t>0803708071</t>
        </is>
      </c>
      <c r="E443" s="11" t="inlineStr">
        <is>
          <t>Region VIII (Eastern Visayas)</t>
        </is>
      </c>
      <c r="F443" s="11" t="inlineStr">
        <is>
          <t>Leyte</t>
        </is>
      </c>
      <c r="G443" s="11" t="inlineStr">
        <is>
          <t>City of Baybay</t>
        </is>
      </c>
      <c r="H443" s="11" t="inlineStr">
        <is>
          <t>Poblacion Zone 15</t>
        </is>
      </c>
      <c r="I443" s="24" t="n">
        <v>10.672051</v>
      </c>
      <c r="J443" s="24" t="n">
        <v>124.801404</v>
      </c>
      <c r="K443" s="23" t="inlineStr">
        <is>
          <t>R</t>
        </is>
      </c>
      <c r="L443" s="25" t="n">
        <v>770</v>
      </c>
      <c r="M443" s="26" t="n">
        <v>3.8</v>
      </c>
      <c r="N443" s="25">
        <f>ROUND(L443/M443, 0)</f>
        <v/>
      </c>
      <c r="O443" s="25">
        <f>ROUND(N443*'Methodology &amp; Assumptions'!$B$7, 0)</f>
        <v/>
      </c>
      <c r="P443" s="23" t="inlineStr">
        <is>
          <t>Single Carrier (Band n50, 100MHz TDD)</t>
        </is>
      </c>
      <c r="Q443" s="27">
        <f>ROUNDUP(O443/'Methodology &amp; Assumptions'!$B$8, 0)</f>
        <v/>
      </c>
      <c r="R443" s="27" t="n">
        <v>1</v>
      </c>
      <c r="S443" s="26" t="n">
        <v>0.83</v>
      </c>
      <c r="T443" s="26" t="n">
        <v>0.03</v>
      </c>
      <c r="U443" s="11">
        <f>IF(S443&lt;='Methodology &amp; Assumptions'!$B$10, "Direct Optical Drop (&lt;3km)", IF(S443&lt;='Methodology &amp; Assumptions'!$B$9, "Near Optical / Microwave (&lt;5km)", "Starlink Business LEO Satellite Backhaul (&gt;5km)"))</f>
        <v/>
      </c>
      <c r="V443" s="26" t="n">
        <v>67.64</v>
      </c>
      <c r="W443" s="26" t="n">
        <v>51.32</v>
      </c>
      <c r="X443" s="26">
        <f>ROUND(('Methodology &amp; Assumptions'!$B$5*V443) + ('Methodology &amp; Assumptions'!$B$6*W443), 2)</f>
        <v/>
      </c>
      <c r="Y443" s="28" t="n">
        <v>23.7</v>
      </c>
      <c r="Z443" s="11" t="inlineStr">
        <is>
          <t>Priority Tier 3 (Broadband Expansion)</t>
        </is>
      </c>
    </row>
    <row r="444">
      <c r="A444" s="23" t="n">
        <v>4</v>
      </c>
      <c r="B444" s="23" t="n">
        <v>440</v>
      </c>
      <c r="C444" s="23" t="n">
        <v>3440</v>
      </c>
      <c r="D444" s="23" t="inlineStr">
        <is>
          <t>0402120036</t>
        </is>
      </c>
      <c r="E444" s="11" t="inlineStr">
        <is>
          <t>Region IV-A (CALABARZON)</t>
        </is>
      </c>
      <c r="F444" s="11" t="inlineStr">
        <is>
          <t>Cavite</t>
        </is>
      </c>
      <c r="G444" s="11" t="inlineStr">
        <is>
          <t>Tanza</t>
        </is>
      </c>
      <c r="H444" s="11" t="inlineStr">
        <is>
          <t>Julugan II</t>
        </is>
      </c>
      <c r="I444" s="24" t="n">
        <v>14.404935</v>
      </c>
      <c r="J444" s="24" t="n">
        <v>120.847219</v>
      </c>
      <c r="K444" s="23" t="inlineStr">
        <is>
          <t>R</t>
        </is>
      </c>
      <c r="L444" s="25" t="n">
        <v>1060</v>
      </c>
      <c r="M444" s="26" t="n">
        <v>3.4</v>
      </c>
      <c r="N444" s="25">
        <f>ROUND(L444/M444, 0)</f>
        <v/>
      </c>
      <c r="O444" s="25">
        <f>ROUND(N444*'Methodology &amp; Assumptions'!$B$7, 0)</f>
        <v/>
      </c>
      <c r="P444" s="23" t="inlineStr">
        <is>
          <t>Single Carrier (Band n50, 100MHz TDD)</t>
        </is>
      </c>
      <c r="Q444" s="27">
        <f>ROUNDUP(O444/'Methodology &amp; Assumptions'!$B$8, 0)</f>
        <v/>
      </c>
      <c r="R444" s="27" t="n">
        <v>1</v>
      </c>
      <c r="S444" s="26" t="n">
        <v>1.76</v>
      </c>
      <c r="T444" s="26" t="n">
        <v>1.53</v>
      </c>
      <c r="U444" s="11">
        <f>IF(S444&lt;='Methodology &amp; Assumptions'!$B$10, "Direct Optical Drop (&lt;3km)", IF(S444&lt;='Methodology &amp; Assumptions'!$B$9, "Near Optical / Microwave (&lt;5km)", "Starlink Business LEO Satellite Backhaul (&gt;5km)"))</f>
        <v/>
      </c>
      <c r="V444" s="26" t="n">
        <v>65.66</v>
      </c>
      <c r="W444" s="26" t="n">
        <v>53.3</v>
      </c>
      <c r="X444" s="26">
        <f>ROUND(('Methodology &amp; Assumptions'!$B$5*V444) + ('Methodology &amp; Assumptions'!$B$6*W444), 2)</f>
        <v/>
      </c>
      <c r="Y444" s="28" t="n">
        <v>7.2</v>
      </c>
      <c r="Z444" s="11" t="inlineStr">
        <is>
          <t>Priority Tier 3 (Broadband Expansion)</t>
        </is>
      </c>
    </row>
    <row r="445">
      <c r="A445" s="23" t="n">
        <v>4</v>
      </c>
      <c r="B445" s="23" t="n">
        <v>441</v>
      </c>
      <c r="C445" s="23" t="n">
        <v>3441</v>
      </c>
      <c r="D445" s="23" t="inlineStr">
        <is>
          <t>1380611005</t>
        </is>
      </c>
      <c r="E445" s="11" t="inlineStr">
        <is>
          <t>National Capital Region (NCR)</t>
        </is>
      </c>
      <c r="F445" s="11" t="inlineStr">
        <is>
          <t>First District (Not a Province)</t>
        </is>
      </c>
      <c r="G445" s="11" t="inlineStr">
        <is>
          <t>City of Manila</t>
        </is>
      </c>
      <c r="H445" s="11" t="inlineStr">
        <is>
          <t>Barangay 671</t>
        </is>
      </c>
      <c r="I445" s="24" t="n">
        <v>14.58207</v>
      </c>
      <c r="J445" s="24" t="n">
        <v>120.993009</v>
      </c>
      <c r="K445" s="23" t="inlineStr">
        <is>
          <t>U</t>
        </is>
      </c>
      <c r="L445" s="25" t="n">
        <v>1239</v>
      </c>
      <c r="M445" s="26" t="n">
        <v>4.24</v>
      </c>
      <c r="N445" s="25">
        <f>ROUND(L445/M445, 0)</f>
        <v/>
      </c>
      <c r="O445" s="25">
        <f>ROUND(N445*'Methodology &amp; Assumptions'!$B$7, 0)</f>
        <v/>
      </c>
      <c r="P445" s="23" t="inlineStr">
        <is>
          <t>Single Carrier (Band n50, 100MHz TDD)</t>
        </is>
      </c>
      <c r="Q445" s="27">
        <f>ROUNDUP(O445/'Methodology &amp; Assumptions'!$B$8, 0)</f>
        <v/>
      </c>
      <c r="R445" s="27" t="n">
        <v>1</v>
      </c>
      <c r="S445" s="26" t="n">
        <v>1.08</v>
      </c>
      <c r="T445" s="26" t="n">
        <v>0.41</v>
      </c>
      <c r="U445" s="11">
        <f>IF(S445&lt;='Methodology &amp; Assumptions'!$B$10, "Direct Optical Drop (&lt;3km)", IF(S445&lt;='Methodology &amp; Assumptions'!$B$9, "Near Optical / Microwave (&lt;5km)", "Starlink Business LEO Satellite Backhaul (&gt;5km)"))</f>
        <v/>
      </c>
      <c r="V445" s="26" t="n">
        <v>49.59</v>
      </c>
      <c r="W445" s="26" t="n">
        <v>69.36</v>
      </c>
      <c r="X445" s="26">
        <f>ROUND(('Methodology &amp; Assumptions'!$B$5*V445) + ('Methodology &amp; Assumptions'!$B$6*W445), 2)</f>
        <v/>
      </c>
      <c r="Y445" s="28" t="n">
        <v>10.9</v>
      </c>
      <c r="Z445" s="11" t="inlineStr">
        <is>
          <t>Priority Tier 3 (Broadband Expansion)</t>
        </is>
      </c>
    </row>
    <row r="446">
      <c r="A446" s="23" t="n">
        <v>4</v>
      </c>
      <c r="B446" s="23" t="n">
        <v>442</v>
      </c>
      <c r="C446" s="23" t="n">
        <v>3442</v>
      </c>
      <c r="D446" s="23" t="inlineStr">
        <is>
          <t>1380606130</t>
        </is>
      </c>
      <c r="E446" s="11" t="inlineStr">
        <is>
          <t>National Capital Region (NCR)</t>
        </is>
      </c>
      <c r="F446" s="11" t="inlineStr">
        <is>
          <t>First District (Not a Province)</t>
        </is>
      </c>
      <c r="G446" s="11" t="inlineStr">
        <is>
          <t>City of Manila</t>
        </is>
      </c>
      <c r="H446" s="11" t="inlineStr">
        <is>
          <t>Barangay 524</t>
        </is>
      </c>
      <c r="I446" s="24" t="n">
        <v>14.613751</v>
      </c>
      <c r="J446" s="24" t="n">
        <v>120.999754</v>
      </c>
      <c r="K446" s="23" t="inlineStr">
        <is>
          <t>U</t>
        </is>
      </c>
      <c r="L446" s="25" t="n">
        <v>796</v>
      </c>
      <c r="M446" s="26" t="n">
        <v>3.51</v>
      </c>
      <c r="N446" s="25">
        <f>ROUND(L446/M446, 0)</f>
        <v/>
      </c>
      <c r="O446" s="25">
        <f>ROUND(N446*'Methodology &amp; Assumptions'!$B$7, 0)</f>
        <v/>
      </c>
      <c r="P446" s="23" t="inlineStr">
        <is>
          <t>Single Carrier (Band n50, 100MHz TDD)</t>
        </is>
      </c>
      <c r="Q446" s="27">
        <f>ROUNDUP(O446/'Methodology &amp; Assumptions'!$B$8, 0)</f>
        <v/>
      </c>
      <c r="R446" s="27" t="n">
        <v>1</v>
      </c>
      <c r="S446" s="26" t="n">
        <v>0.53</v>
      </c>
      <c r="T446" s="26" t="n">
        <v>0.19</v>
      </c>
      <c r="U446" s="11">
        <f>IF(S446&lt;='Methodology &amp; Assumptions'!$B$10, "Direct Optical Drop (&lt;3km)", IF(S446&lt;='Methodology &amp; Assumptions'!$B$9, "Near Optical / Microwave (&lt;5km)", "Starlink Business LEO Satellite Backhaul (&gt;5km)"))</f>
        <v/>
      </c>
      <c r="V446" s="26" t="n">
        <v>48.38</v>
      </c>
      <c r="W446" s="26" t="n">
        <v>70.58</v>
      </c>
      <c r="X446" s="26">
        <f>ROUND(('Methodology &amp; Assumptions'!$B$5*V446) + ('Methodology &amp; Assumptions'!$B$6*W446), 2)</f>
        <v/>
      </c>
      <c r="Y446" s="28" t="n">
        <v>10.9</v>
      </c>
      <c r="Z446" s="11" t="inlineStr">
        <is>
          <t>Priority Tier 3 (Broadband Expansion)</t>
        </is>
      </c>
    </row>
    <row r="447">
      <c r="A447" s="23" t="n">
        <v>4</v>
      </c>
      <c r="B447" s="23" t="n">
        <v>443</v>
      </c>
      <c r="C447" s="23" t="n">
        <v>3443</v>
      </c>
      <c r="D447" s="23" t="inlineStr">
        <is>
          <t>0804819030</t>
        </is>
      </c>
      <c r="E447" s="11" t="inlineStr">
        <is>
          <t>Region VIII (Eastern Visayas)</t>
        </is>
      </c>
      <c r="F447" s="11" t="inlineStr">
        <is>
          <t>Northern Samar</t>
        </is>
      </c>
      <c r="G447" s="11" t="inlineStr">
        <is>
          <t>San Jose</t>
        </is>
      </c>
      <c r="H447" s="11" t="inlineStr">
        <is>
          <t>Barangay West</t>
        </is>
      </c>
      <c r="I447" s="24" t="n">
        <v>12.55313</v>
      </c>
      <c r="J447" s="24" t="n">
        <v>124.502982</v>
      </c>
      <c r="K447" s="23" t="inlineStr">
        <is>
          <t>R</t>
        </is>
      </c>
      <c r="L447" s="25" t="n">
        <v>1055</v>
      </c>
      <c r="M447" s="26" t="n">
        <v>4.3</v>
      </c>
      <c r="N447" s="25">
        <f>ROUND(L447/M447, 0)</f>
        <v/>
      </c>
      <c r="O447" s="25">
        <f>ROUND(N447*'Methodology &amp; Assumptions'!$B$7, 0)</f>
        <v/>
      </c>
      <c r="P447" s="23" t="inlineStr">
        <is>
          <t>Single Carrier (Band n50, 100MHz TDD)</t>
        </is>
      </c>
      <c r="Q447" s="27">
        <f>ROUNDUP(O447/'Methodology &amp; Assumptions'!$B$8, 0)</f>
        <v/>
      </c>
      <c r="R447" s="27" t="n">
        <v>1</v>
      </c>
      <c r="S447" s="26" t="n">
        <v>44.32</v>
      </c>
      <c r="T447" s="26" t="n">
        <v>43.55</v>
      </c>
      <c r="U447" s="11">
        <f>IF(S447&lt;='Methodology &amp; Assumptions'!$B$10, "Direct Optical Drop (&lt;3km)", IF(S447&lt;='Methodology &amp; Assumptions'!$B$9, "Near Optical / Microwave (&lt;5km)", "Starlink Business LEO Satellite Backhaul (&gt;5km)"))</f>
        <v/>
      </c>
      <c r="V447" s="26" t="n">
        <v>46.34</v>
      </c>
      <c r="W447" s="26" t="n">
        <v>72.62</v>
      </c>
      <c r="X447" s="26">
        <f>ROUND(('Methodology &amp; Assumptions'!$B$5*V447) + ('Methodology &amp; Assumptions'!$B$6*W447), 2)</f>
        <v/>
      </c>
      <c r="Y447" s="28" t="n">
        <v>23.7</v>
      </c>
      <c r="Z447" s="11" t="inlineStr">
        <is>
          <t>Priority Tier 3 (Broadband Expansion)</t>
        </is>
      </c>
    </row>
    <row r="448">
      <c r="A448" s="23" t="n">
        <v>4</v>
      </c>
      <c r="B448" s="23" t="n">
        <v>444</v>
      </c>
      <c r="C448" s="23" t="n">
        <v>3444</v>
      </c>
      <c r="D448" s="23" t="inlineStr">
        <is>
          <t>0601917054</t>
        </is>
      </c>
      <c r="E448" s="11" t="inlineStr">
        <is>
          <t>Region VI (Western Visayas)</t>
        </is>
      </c>
      <c r="F448" s="11" t="inlineStr">
        <is>
          <t>Capiz</t>
        </is>
      </c>
      <c r="G448" s="11" t="inlineStr">
        <is>
          <t>Tapaz</t>
        </is>
      </c>
      <c r="H448" s="11" t="inlineStr">
        <is>
          <t>Tabon</t>
        </is>
      </c>
      <c r="I448" s="24" t="n">
        <v>11.323295</v>
      </c>
      <c r="J448" s="24" t="n">
        <v>122.437313</v>
      </c>
      <c r="K448" s="23" t="inlineStr">
        <is>
          <t>R</t>
        </is>
      </c>
      <c r="L448" s="25" t="n">
        <v>635</v>
      </c>
      <c r="M448" s="26" t="n">
        <v>3.8</v>
      </c>
      <c r="N448" s="25">
        <f>ROUND(L448/M448, 0)</f>
        <v/>
      </c>
      <c r="O448" s="25">
        <f>ROUND(N448*'Methodology &amp; Assumptions'!$B$7, 0)</f>
        <v/>
      </c>
      <c r="P448" s="23" t="inlineStr">
        <is>
          <t>Single Carrier (Band n50, 100MHz TDD)</t>
        </is>
      </c>
      <c r="Q448" s="27">
        <f>ROUNDUP(O448/'Methodology &amp; Assumptions'!$B$8, 0)</f>
        <v/>
      </c>
      <c r="R448" s="27" t="n">
        <v>1</v>
      </c>
      <c r="S448" s="26" t="n">
        <v>24.06</v>
      </c>
      <c r="T448" s="26" t="n">
        <v>15.64</v>
      </c>
      <c r="U448" s="11">
        <f>IF(S448&lt;='Methodology &amp; Assumptions'!$B$10, "Direct Optical Drop (&lt;3km)", IF(S448&lt;='Methodology &amp; Assumptions'!$B$9, "Near Optical / Microwave (&lt;5km)", "Starlink Business LEO Satellite Backhaul (&gt;5km)"))</f>
        <v/>
      </c>
      <c r="V448" s="26" t="n">
        <v>41.28</v>
      </c>
      <c r="W448" s="26" t="n">
        <v>77.69</v>
      </c>
      <c r="X448" s="26">
        <f>ROUND(('Methodology &amp; Assumptions'!$B$5*V448) + ('Methodology &amp; Assumptions'!$B$6*W448), 2)</f>
        <v/>
      </c>
      <c r="Y448" s="28" t="n">
        <v>23.7</v>
      </c>
      <c r="Z448" s="11" t="inlineStr">
        <is>
          <t>Priority Tier 3 (Broadband Expansion)</t>
        </is>
      </c>
    </row>
    <row r="449">
      <c r="A449" s="23" t="n">
        <v>4</v>
      </c>
      <c r="B449" s="23" t="n">
        <v>445</v>
      </c>
      <c r="C449" s="23" t="n">
        <v>3445</v>
      </c>
      <c r="D449" s="23" t="inlineStr">
        <is>
          <t>0205005027</t>
        </is>
      </c>
      <c r="E449" s="11" t="inlineStr">
        <is>
          <t>Region II (Cagayan Valley)</t>
        </is>
      </c>
      <c r="F449" s="11" t="inlineStr">
        <is>
          <t>Nueva Vizcaya</t>
        </is>
      </c>
      <c r="G449" s="11" t="inlineStr">
        <is>
          <t>Bayombong</t>
        </is>
      </c>
      <c r="H449" s="11" t="inlineStr">
        <is>
          <t>Santa Rosa</t>
        </is>
      </c>
      <c r="I449" s="24" t="n">
        <v>16.489062</v>
      </c>
      <c r="J449" s="24" t="n">
        <v>121.16166</v>
      </c>
      <c r="K449" s="23" t="inlineStr">
        <is>
          <t>R</t>
        </is>
      </c>
      <c r="L449" s="25" t="n">
        <v>2959</v>
      </c>
      <c r="M449" s="26" t="n">
        <v>3.8</v>
      </c>
      <c r="N449" s="25">
        <f>ROUND(L449/M449, 0)</f>
        <v/>
      </c>
      <c r="O449" s="25">
        <f>ROUND(N449*'Methodology &amp; Assumptions'!$B$7, 0)</f>
        <v/>
      </c>
      <c r="P449" s="23" t="inlineStr">
        <is>
          <t>Single Carrier (Band n50, 100MHz TDD)</t>
        </is>
      </c>
      <c r="Q449" s="27">
        <f>ROUNDUP(O449/'Methodology &amp; Assumptions'!$B$8, 0)</f>
        <v/>
      </c>
      <c r="R449" s="27" t="n">
        <v>1</v>
      </c>
      <c r="S449" s="26" t="n">
        <v>1.57</v>
      </c>
      <c r="T449" s="26" t="n">
        <v>0.34</v>
      </c>
      <c r="U449" s="11">
        <f>IF(S449&lt;='Methodology &amp; Assumptions'!$B$10, "Direct Optical Drop (&lt;3km)", IF(S449&lt;='Methodology &amp; Assumptions'!$B$9, "Near Optical / Microwave (&lt;5km)", "Starlink Business LEO Satellite Backhaul (&gt;5km)"))</f>
        <v/>
      </c>
      <c r="V449" s="26" t="n">
        <v>81.64</v>
      </c>
      <c r="W449" s="26" t="n">
        <v>37.3</v>
      </c>
      <c r="X449" s="26">
        <f>ROUND(('Methodology &amp; Assumptions'!$B$5*V449) + ('Methodology &amp; Assumptions'!$B$6*W449), 2)</f>
        <v/>
      </c>
      <c r="Y449" s="28" t="n">
        <v>8.300000000000001</v>
      </c>
      <c r="Z449" s="11" t="inlineStr">
        <is>
          <t>Priority Tier 3 (Broadband Expansion)</t>
        </is>
      </c>
    </row>
    <row r="450">
      <c r="A450" s="23" t="n">
        <v>4</v>
      </c>
      <c r="B450" s="23" t="n">
        <v>446</v>
      </c>
      <c r="C450" s="23" t="n">
        <v>3446</v>
      </c>
      <c r="D450" s="23" t="inlineStr">
        <is>
          <t>0604530015</t>
        </is>
      </c>
      <c r="E450" s="11" t="inlineStr">
        <is>
          <t>Region VI (Western Visayas)</t>
        </is>
      </c>
      <c r="F450" s="11" t="inlineStr">
        <is>
          <t>Negros Occidental</t>
        </is>
      </c>
      <c r="G450" s="11" t="inlineStr">
        <is>
          <t>Valladolid</t>
        </is>
      </c>
      <c r="H450" s="11" t="inlineStr">
        <is>
          <t>Poblacion</t>
        </is>
      </c>
      <c r="I450" s="24" t="n">
        <v>10.463759</v>
      </c>
      <c r="J450" s="24" t="n">
        <v>122.822648</v>
      </c>
      <c r="K450" s="23" t="inlineStr">
        <is>
          <t>U</t>
        </is>
      </c>
      <c r="L450" s="25" t="n">
        <v>3790</v>
      </c>
      <c r="M450" s="26" t="n">
        <v>3.7</v>
      </c>
      <c r="N450" s="25">
        <f>ROUND(L450/M450, 0)</f>
        <v/>
      </c>
      <c r="O450" s="25">
        <f>ROUND(N450*'Methodology &amp; Assumptions'!$B$7, 0)</f>
        <v/>
      </c>
      <c r="P450" s="23" t="inlineStr">
        <is>
          <t>Single Carrier (Band n50, 100MHz TDD)</t>
        </is>
      </c>
      <c r="Q450" s="27">
        <f>ROUNDUP(O450/'Methodology &amp; Assumptions'!$B$8, 0)</f>
        <v/>
      </c>
      <c r="R450" s="27" t="n">
        <v>1</v>
      </c>
      <c r="S450" s="26" t="n">
        <v>0.27</v>
      </c>
      <c r="T450" s="26" t="n">
        <v>0.13</v>
      </c>
      <c r="U450" s="11">
        <f>IF(S450&lt;='Methodology &amp; Assumptions'!$B$10, "Direct Optical Drop (&lt;3km)", IF(S450&lt;='Methodology &amp; Assumptions'!$B$9, "Near Optical / Microwave (&lt;5km)", "Starlink Business LEO Satellite Backhaul (&gt;5km)"))</f>
        <v/>
      </c>
      <c r="V450" s="26" t="n">
        <v>80.86</v>
      </c>
      <c r="W450" s="26" t="n">
        <v>38.08</v>
      </c>
      <c r="X450" s="26">
        <f>ROUND(('Methodology &amp; Assumptions'!$B$5*V450) + ('Methodology &amp; Assumptions'!$B$6*W450), 2)</f>
        <v/>
      </c>
      <c r="Y450" s="28" t="n">
        <v>23.7</v>
      </c>
      <c r="Z450" s="11" t="inlineStr">
        <is>
          <t>Priority Tier 3 (Broadband Expansion)</t>
        </is>
      </c>
    </row>
    <row r="451">
      <c r="A451" s="23" t="n">
        <v>4</v>
      </c>
      <c r="B451" s="23" t="n">
        <v>447</v>
      </c>
      <c r="C451" s="23" t="n">
        <v>3447</v>
      </c>
      <c r="D451" s="23" t="inlineStr">
        <is>
          <t>0103311015</t>
        </is>
      </c>
      <c r="E451" s="11" t="inlineStr">
        <is>
          <t>Region I (Ilocos Region)</t>
        </is>
      </c>
      <c r="F451" s="11" t="inlineStr">
        <is>
          <t>La Union</t>
        </is>
      </c>
      <c r="G451" s="11" t="inlineStr">
        <is>
          <t>Naguilian</t>
        </is>
      </c>
      <c r="H451" s="11" t="inlineStr">
        <is>
          <t>Cabaritan Sur</t>
        </is>
      </c>
      <c r="I451" s="24" t="n">
        <v>16.534152</v>
      </c>
      <c r="J451" s="24" t="n">
        <v>120.391826</v>
      </c>
      <c r="K451" s="23" t="inlineStr">
        <is>
          <t>R</t>
        </is>
      </c>
      <c r="L451" s="25" t="n">
        <v>2047</v>
      </c>
      <c r="M451" s="26" t="n">
        <v>3.7</v>
      </c>
      <c r="N451" s="25">
        <f>ROUND(L451/M451, 0)</f>
        <v/>
      </c>
      <c r="O451" s="25">
        <f>ROUND(N451*'Methodology &amp; Assumptions'!$B$7, 0)</f>
        <v/>
      </c>
      <c r="P451" s="23" t="inlineStr">
        <is>
          <t>Single Carrier (Band n50, 100MHz TDD)</t>
        </is>
      </c>
      <c r="Q451" s="27">
        <f>ROUNDUP(O451/'Methodology &amp; Assumptions'!$B$8, 0)</f>
        <v/>
      </c>
      <c r="R451" s="27" t="n">
        <v>1</v>
      </c>
      <c r="S451" s="26" t="n">
        <v>1.01</v>
      </c>
      <c r="T451" s="26" t="n">
        <v>0.39</v>
      </c>
      <c r="U451" s="11">
        <f>IF(S451&lt;='Methodology &amp; Assumptions'!$B$10, "Direct Optical Drop (&lt;3km)", IF(S451&lt;='Methodology &amp; Assumptions'!$B$9, "Near Optical / Microwave (&lt;5km)", "Starlink Business LEO Satellite Backhaul (&gt;5km)"))</f>
        <v/>
      </c>
      <c r="V451" s="26" t="n">
        <v>76.37</v>
      </c>
      <c r="W451" s="26" t="n">
        <v>42.56</v>
      </c>
      <c r="X451" s="26">
        <f>ROUND(('Methodology &amp; Assumptions'!$B$5*V451) + ('Methodology &amp; Assumptions'!$B$6*W451), 2)</f>
        <v/>
      </c>
      <c r="Y451" s="28" t="n">
        <v>8.300000000000001</v>
      </c>
      <c r="Z451" s="11" t="inlineStr">
        <is>
          <t>Priority Tier 3 (Broadband Expansion)</t>
        </is>
      </c>
    </row>
    <row r="452">
      <c r="A452" s="23" t="n">
        <v>4</v>
      </c>
      <c r="B452" s="23" t="n">
        <v>448</v>
      </c>
      <c r="C452" s="23" t="n">
        <v>3448</v>
      </c>
      <c r="D452" s="23" t="inlineStr">
        <is>
          <t>0402111012</t>
        </is>
      </c>
      <c r="E452" s="11" t="inlineStr">
        <is>
          <t>Region IV-A (CALABARZON)</t>
        </is>
      </c>
      <c r="F452" s="11" t="inlineStr">
        <is>
          <t>Cavite</t>
        </is>
      </c>
      <c r="G452" s="11" t="inlineStr">
        <is>
          <t>Kawit</t>
        </is>
      </c>
      <c r="H452" s="11" t="inlineStr">
        <is>
          <t>Wakas I</t>
        </is>
      </c>
      <c r="I452" s="24" t="n">
        <v>14.442393</v>
      </c>
      <c r="J452" s="24" t="n">
        <v>120.900469</v>
      </c>
      <c r="K452" s="23" t="inlineStr">
        <is>
          <t>R</t>
        </is>
      </c>
      <c r="L452" s="25" t="n">
        <v>2023</v>
      </c>
      <c r="M452" s="26" t="n">
        <v>3.4</v>
      </c>
      <c r="N452" s="25">
        <f>ROUND(L452/M452, 0)</f>
        <v/>
      </c>
      <c r="O452" s="25">
        <f>ROUND(N452*'Methodology &amp; Assumptions'!$B$7, 0)</f>
        <v/>
      </c>
      <c r="P452" s="23" t="inlineStr">
        <is>
          <t>Single Carrier (Band n50, 100MHz TDD)</t>
        </is>
      </c>
      <c r="Q452" s="27">
        <f>ROUNDUP(O452/'Methodology &amp; Assumptions'!$B$8, 0)</f>
        <v/>
      </c>
      <c r="R452" s="27" t="n">
        <v>1</v>
      </c>
      <c r="S452" s="26" t="n">
        <v>2.36</v>
      </c>
      <c r="T452" s="26" t="n">
        <v>0.85</v>
      </c>
      <c r="U452" s="11">
        <f>IF(S452&lt;='Methodology &amp; Assumptions'!$B$10, "Direct Optical Drop (&lt;3km)", IF(S452&lt;='Methodology &amp; Assumptions'!$B$9, "Near Optical / Microwave (&lt;5km)", "Starlink Business LEO Satellite Backhaul (&gt;5km)"))</f>
        <v/>
      </c>
      <c r="V452" s="26" t="n">
        <v>72.77</v>
      </c>
      <c r="W452" s="26" t="n">
        <v>46.17</v>
      </c>
      <c r="X452" s="26">
        <f>ROUND(('Methodology &amp; Assumptions'!$B$5*V452) + ('Methodology &amp; Assumptions'!$B$6*W452), 2)</f>
        <v/>
      </c>
      <c r="Y452" s="28" t="n">
        <v>7.2</v>
      </c>
      <c r="Z452" s="11" t="inlineStr">
        <is>
          <t>Priority Tier 3 (Broadband Expansion)</t>
        </is>
      </c>
    </row>
    <row r="453">
      <c r="A453" s="23" t="n">
        <v>4</v>
      </c>
      <c r="B453" s="23" t="n">
        <v>449</v>
      </c>
      <c r="C453" s="23" t="n">
        <v>3449</v>
      </c>
      <c r="D453" s="23" t="inlineStr">
        <is>
          <t>0203135009</t>
        </is>
      </c>
      <c r="E453" s="11" t="inlineStr">
        <is>
          <t>Region II (Cagayan Valley)</t>
        </is>
      </c>
      <c r="F453" s="11" t="inlineStr">
        <is>
          <t>Isabela</t>
        </is>
      </c>
      <c r="G453" s="11" t="inlineStr">
        <is>
          <t>City of Santiago</t>
        </is>
      </c>
      <c r="H453" s="11" t="inlineStr">
        <is>
          <t>Calao East</t>
        </is>
      </c>
      <c r="I453" s="24" t="n">
        <v>16.691166</v>
      </c>
      <c r="J453" s="24" t="n">
        <v>121.559121</v>
      </c>
      <c r="K453" s="23" t="inlineStr">
        <is>
          <t>U</t>
        </is>
      </c>
      <c r="L453" s="25" t="n">
        <v>4423</v>
      </c>
      <c r="M453" s="26" t="n">
        <v>3.8</v>
      </c>
      <c r="N453" s="25">
        <f>ROUND(L453/M453, 0)</f>
        <v/>
      </c>
      <c r="O453" s="25">
        <f>ROUND(N453*'Methodology &amp; Assumptions'!$B$7, 0)</f>
        <v/>
      </c>
      <c r="P453" s="23" t="inlineStr">
        <is>
          <t>Single Carrier (Band n50, 100MHz TDD)</t>
        </is>
      </c>
      <c r="Q453" s="27">
        <f>ROUNDUP(O453/'Methodology &amp; Assumptions'!$B$8, 0)</f>
        <v/>
      </c>
      <c r="R453" s="27" t="n">
        <v>1</v>
      </c>
      <c r="S453" s="26" t="n">
        <v>3.38</v>
      </c>
      <c r="T453" s="26" t="n">
        <v>0.63</v>
      </c>
      <c r="U453" s="11">
        <f>IF(S453&lt;='Methodology &amp; Assumptions'!$B$10, "Direct Optical Drop (&lt;3km)", IF(S453&lt;='Methodology &amp; Assumptions'!$B$9, "Near Optical / Microwave (&lt;5km)", "Starlink Business LEO Satellite Backhaul (&gt;5km)"))</f>
        <v/>
      </c>
      <c r="V453" s="26" t="n">
        <v>70.13</v>
      </c>
      <c r="W453" s="26" t="n">
        <v>48.81</v>
      </c>
      <c r="X453" s="26">
        <f>ROUND(('Methodology &amp; Assumptions'!$B$5*V453) + ('Methodology &amp; Assumptions'!$B$6*W453), 2)</f>
        <v/>
      </c>
      <c r="Y453" s="28" t="n">
        <v>8.300000000000001</v>
      </c>
      <c r="Z453" s="11" t="inlineStr">
        <is>
          <t>Priority Tier 3 (Broadband Expansion)</t>
        </is>
      </c>
    </row>
    <row r="454">
      <c r="A454" s="23" t="n">
        <v>4</v>
      </c>
      <c r="B454" s="23" t="n">
        <v>450</v>
      </c>
      <c r="C454" s="23" t="n">
        <v>3450</v>
      </c>
      <c r="D454" s="23" t="inlineStr">
        <is>
          <t>0300809028</t>
        </is>
      </c>
      <c r="E454" s="11" t="inlineStr">
        <is>
          <t>Region III (Central Luzon)</t>
        </is>
      </c>
      <c r="F454" s="11" t="inlineStr">
        <is>
          <t>Bataan</t>
        </is>
      </c>
      <c r="G454" s="11" t="inlineStr">
        <is>
          <t>Orani</t>
        </is>
      </c>
      <c r="H454" s="11" t="inlineStr">
        <is>
          <t>Puksuan</t>
        </is>
      </c>
      <c r="I454" s="24" t="n">
        <v>14.806219</v>
      </c>
      <c r="J454" s="24" t="n">
        <v>120.533677</v>
      </c>
      <c r="K454" s="23" t="inlineStr">
        <is>
          <t>R</t>
        </is>
      </c>
      <c r="L454" s="25" t="n">
        <v>653</v>
      </c>
      <c r="M454" s="26" t="n">
        <v>3.6</v>
      </c>
      <c r="N454" s="25">
        <f>ROUND(L454/M454, 0)</f>
        <v/>
      </c>
      <c r="O454" s="25">
        <f>ROUND(N454*'Methodology &amp; Assumptions'!$B$7, 0)</f>
        <v/>
      </c>
      <c r="P454" s="23" t="inlineStr">
        <is>
          <t>Single Carrier (Band n50, 100MHz TDD)</t>
        </is>
      </c>
      <c r="Q454" s="27">
        <f>ROUNDUP(O454/'Methodology &amp; Assumptions'!$B$8, 0)</f>
        <v/>
      </c>
      <c r="R454" s="27" t="n">
        <v>1</v>
      </c>
      <c r="S454" s="26" t="n">
        <v>0.54</v>
      </c>
      <c r="T454" s="26" t="n">
        <v>0.32</v>
      </c>
      <c r="U454" s="11">
        <f>IF(S454&lt;='Methodology &amp; Assumptions'!$B$10, "Direct Optical Drop (&lt;3km)", IF(S454&lt;='Methodology &amp; Assumptions'!$B$9, "Near Optical / Microwave (&lt;5km)", "Starlink Business LEO Satellite Backhaul (&gt;5km)"))</f>
        <v/>
      </c>
      <c r="V454" s="26" t="n">
        <v>64.88</v>
      </c>
      <c r="W454" s="26" t="n">
        <v>54.06</v>
      </c>
      <c r="X454" s="26">
        <f>ROUND(('Methodology &amp; Assumptions'!$B$5*V454) + ('Methodology &amp; Assumptions'!$B$6*W454), 2)</f>
        <v/>
      </c>
      <c r="Y454" s="28" t="n">
        <v>8.300000000000001</v>
      </c>
      <c r="Z454" s="11" t="inlineStr">
        <is>
          <t>Priority Tier 3 (Broadband Expansion)</t>
        </is>
      </c>
    </row>
    <row r="455">
      <c r="A455" s="23" t="n">
        <v>4</v>
      </c>
      <c r="B455" s="23" t="n">
        <v>451</v>
      </c>
      <c r="C455" s="23" t="n">
        <v>3451</v>
      </c>
      <c r="D455" s="23" t="inlineStr">
        <is>
          <t>0803731005</t>
        </is>
      </c>
      <c r="E455" s="11" t="inlineStr">
        <is>
          <t>Region VIII (Eastern Visayas)</t>
        </is>
      </c>
      <c r="F455" s="11" t="inlineStr">
        <is>
          <t>Leyte</t>
        </is>
      </c>
      <c r="G455" s="11" t="inlineStr">
        <is>
          <t>Mahaplag</t>
        </is>
      </c>
      <c r="H455" s="11" t="inlineStr">
        <is>
          <t>Hinaguimitan</t>
        </is>
      </c>
      <c r="I455" s="24" t="n">
        <v>10.593268</v>
      </c>
      <c r="J455" s="24" t="n">
        <v>125.005819</v>
      </c>
      <c r="K455" s="23" t="inlineStr">
        <is>
          <t>R</t>
        </is>
      </c>
      <c r="L455" s="25" t="n">
        <v>506</v>
      </c>
      <c r="M455" s="26" t="n">
        <v>3.8</v>
      </c>
      <c r="N455" s="25">
        <f>ROUND(L455/M455, 0)</f>
        <v/>
      </c>
      <c r="O455" s="25">
        <f>ROUND(N455*'Methodology &amp; Assumptions'!$B$7, 0)</f>
        <v/>
      </c>
      <c r="P455" s="23" t="inlineStr">
        <is>
          <t>Single Carrier (Band n50, 100MHz TDD)</t>
        </is>
      </c>
      <c r="Q455" s="27">
        <f>ROUNDUP(O455/'Methodology &amp; Assumptions'!$B$8, 0)</f>
        <v/>
      </c>
      <c r="R455" s="27" t="n">
        <v>1</v>
      </c>
      <c r="S455" s="26" t="n">
        <v>23.18</v>
      </c>
      <c r="T455" s="26" t="n">
        <v>4.65</v>
      </c>
      <c r="U455" s="11">
        <f>IF(S455&lt;='Methodology &amp; Assumptions'!$B$10, "Direct Optical Drop (&lt;3km)", IF(S455&lt;='Methodology &amp; Assumptions'!$B$9, "Near Optical / Microwave (&lt;5km)", "Starlink Business LEO Satellite Backhaul (&gt;5km)"))</f>
        <v/>
      </c>
      <c r="V455" s="26" t="n">
        <v>40.26</v>
      </c>
      <c r="W455" s="26" t="n">
        <v>78.67</v>
      </c>
      <c r="X455" s="26">
        <f>ROUND(('Methodology &amp; Assumptions'!$B$5*V455) + ('Methodology &amp; Assumptions'!$B$6*W455), 2)</f>
        <v/>
      </c>
      <c r="Y455" s="28" t="n">
        <v>23.7</v>
      </c>
      <c r="Z455" s="11" t="inlineStr">
        <is>
          <t>Priority Tier 3 (Broadband Expansion)</t>
        </is>
      </c>
    </row>
    <row r="456">
      <c r="A456" s="23" t="n">
        <v>4</v>
      </c>
      <c r="B456" s="23" t="n">
        <v>452</v>
      </c>
      <c r="C456" s="23" t="n">
        <v>3452</v>
      </c>
      <c r="D456" s="23" t="inlineStr">
        <is>
          <t>0304923018</t>
        </is>
      </c>
      <c r="E456" s="11" t="inlineStr">
        <is>
          <t>Region III (Central Luzon)</t>
        </is>
      </c>
      <c r="F456" s="11" t="inlineStr">
        <is>
          <t>Nueva Ecija</t>
        </is>
      </c>
      <c r="G456" s="11" t="inlineStr">
        <is>
          <t>Rizal</t>
        </is>
      </c>
      <c r="H456" s="11" t="inlineStr">
        <is>
          <t>Macapsing</t>
        </is>
      </c>
      <c r="I456" s="24" t="n">
        <v>13.692128</v>
      </c>
      <c r="J456" s="24" t="n">
        <v>121.42697</v>
      </c>
      <c r="K456" s="23" t="inlineStr">
        <is>
          <t>R</t>
        </is>
      </c>
      <c r="L456" s="25" t="n">
        <v>2800</v>
      </c>
      <c r="M456" s="26" t="n">
        <v>3.6</v>
      </c>
      <c r="N456" s="25">
        <f>ROUND(L456/M456, 0)</f>
        <v/>
      </c>
      <c r="O456" s="25">
        <f>ROUND(N456*'Methodology &amp; Assumptions'!$B$7, 0)</f>
        <v/>
      </c>
      <c r="P456" s="23" t="inlineStr">
        <is>
          <t>Single Carrier (Band n50, 100MHz TDD)</t>
        </is>
      </c>
      <c r="Q456" s="27">
        <f>ROUNDUP(O456/'Methodology &amp; Assumptions'!$B$8, 0)</f>
        <v/>
      </c>
      <c r="R456" s="27" t="n">
        <v>1</v>
      </c>
      <c r="S456" s="26" t="n">
        <v>0.82</v>
      </c>
      <c r="T456" s="26" t="n">
        <v>10.77</v>
      </c>
      <c r="U456" s="11">
        <f>IF(S456&lt;='Methodology &amp; Assumptions'!$B$10, "Direct Optical Drop (&lt;3km)", IF(S456&lt;='Methodology &amp; Assumptions'!$B$9, "Near Optical / Microwave (&lt;5km)", "Starlink Business LEO Satellite Backhaul (&gt;5km)"))</f>
        <v/>
      </c>
      <c r="V456" s="26" t="n">
        <v>80.87</v>
      </c>
      <c r="W456" s="26" t="n">
        <v>38.05</v>
      </c>
      <c r="X456" s="26">
        <f>ROUND(('Methodology &amp; Assumptions'!$B$5*V456) + ('Methodology &amp; Assumptions'!$B$6*W456), 2)</f>
        <v/>
      </c>
      <c r="Y456" s="28" t="n">
        <v>8.300000000000001</v>
      </c>
      <c r="Z456" s="11" t="inlineStr">
        <is>
          <t>Priority Tier 3 (Broadband Expansion)</t>
        </is>
      </c>
    </row>
    <row r="457">
      <c r="A457" s="23" t="n">
        <v>4</v>
      </c>
      <c r="B457" s="23" t="n">
        <v>453</v>
      </c>
      <c r="C457" s="23" t="n">
        <v>3453</v>
      </c>
      <c r="D457" s="23" t="inlineStr">
        <is>
          <t>0402120003</t>
        </is>
      </c>
      <c r="E457" s="11" t="inlineStr">
        <is>
          <t>Region IV-A (CALABARZON)</t>
        </is>
      </c>
      <c r="F457" s="11" t="inlineStr">
        <is>
          <t>Cavite</t>
        </is>
      </c>
      <c r="G457" s="11" t="inlineStr">
        <is>
          <t>Tanza</t>
        </is>
      </c>
      <c r="H457" s="11" t="inlineStr">
        <is>
          <t>Biga</t>
        </is>
      </c>
      <c r="I457" s="24" t="n">
        <v>14.381549</v>
      </c>
      <c r="J457" s="24" t="n">
        <v>120.829459</v>
      </c>
      <c r="K457" s="23" t="inlineStr">
        <is>
          <t>U</t>
        </is>
      </c>
      <c r="L457" s="25" t="n">
        <v>17918</v>
      </c>
      <c r="M457" s="26" t="n">
        <v>3.4</v>
      </c>
      <c r="N457" s="25">
        <f>ROUND(L457/M457, 0)</f>
        <v/>
      </c>
      <c r="O457" s="25">
        <f>ROUND(N457*'Methodology &amp; Assumptions'!$B$7, 0)</f>
        <v/>
      </c>
      <c r="P457" s="23" t="inlineStr">
        <is>
          <t>Single Carrier (Band n50, 100MHz TDD)</t>
        </is>
      </c>
      <c r="Q457" s="27">
        <f>ROUNDUP(O457/'Methodology &amp; Assumptions'!$B$8, 0)</f>
        <v/>
      </c>
      <c r="R457" s="27" t="n">
        <v>1</v>
      </c>
      <c r="S457" s="26" t="n">
        <v>1.47</v>
      </c>
      <c r="T457" s="26" t="n">
        <v>0.59</v>
      </c>
      <c r="U457" s="11">
        <f>IF(S457&lt;='Methodology &amp; Assumptions'!$B$10, "Direct Optical Drop (&lt;3km)", IF(S457&lt;='Methodology &amp; Assumptions'!$B$9, "Near Optical / Microwave (&lt;5km)", "Starlink Business LEO Satellite Backhaul (&gt;5km)"))</f>
        <v/>
      </c>
      <c r="V457" s="26" t="n">
        <v>75.89</v>
      </c>
      <c r="W457" s="26" t="n">
        <v>43.02</v>
      </c>
      <c r="X457" s="26">
        <f>ROUND(('Methodology &amp; Assumptions'!$B$5*V457) + ('Methodology &amp; Assumptions'!$B$6*W457), 2)</f>
        <v/>
      </c>
      <c r="Y457" s="28" t="n">
        <v>7.2</v>
      </c>
      <c r="Z457" s="11" t="inlineStr">
        <is>
          <t>Priority Tier 3 (Broadband Expansion)</t>
        </is>
      </c>
    </row>
    <row r="458">
      <c r="A458" s="23" t="n">
        <v>4</v>
      </c>
      <c r="B458" s="23" t="n">
        <v>454</v>
      </c>
      <c r="C458" s="23" t="n">
        <v>3454</v>
      </c>
      <c r="D458" s="23" t="inlineStr">
        <is>
          <t>0205010012</t>
        </is>
      </c>
      <c r="E458" s="11" t="inlineStr">
        <is>
          <t>Region II (Cagayan Valley)</t>
        </is>
      </c>
      <c r="F458" s="11" t="inlineStr">
        <is>
          <t>Nueva Vizcaya</t>
        </is>
      </c>
      <c r="G458" s="11" t="inlineStr">
        <is>
          <t>Kayapa</t>
        </is>
      </c>
      <c r="H458" s="11" t="inlineStr">
        <is>
          <t>Kayapa Proper East</t>
        </is>
      </c>
      <c r="I458" s="24" t="n">
        <v>16.286729</v>
      </c>
      <c r="J458" s="24" t="n">
        <v>120.868086</v>
      </c>
      <c r="K458" s="23" t="inlineStr">
        <is>
          <t>R</t>
        </is>
      </c>
      <c r="L458" s="25" t="n">
        <v>254</v>
      </c>
      <c r="M458" s="26" t="n">
        <v>3.8</v>
      </c>
      <c r="N458" s="25">
        <f>ROUND(L458/M458, 0)</f>
        <v/>
      </c>
      <c r="O458" s="25">
        <f>ROUND(N458*'Methodology &amp; Assumptions'!$B$7, 0)</f>
        <v/>
      </c>
      <c r="P458" s="23" t="inlineStr">
        <is>
          <t>Single Carrier (Band n50, 100MHz TDD)</t>
        </is>
      </c>
      <c r="Q458" s="27">
        <f>ROUNDUP(O458/'Methodology &amp; Assumptions'!$B$8, 0)</f>
        <v/>
      </c>
      <c r="R458" s="27" t="n">
        <v>1</v>
      </c>
      <c r="S458" s="26" t="n">
        <v>8.220000000000001</v>
      </c>
      <c r="T458" s="26" t="n">
        <v>8.130000000000001</v>
      </c>
      <c r="U458" s="11">
        <f>IF(S458&lt;='Methodology &amp; Assumptions'!$B$10, "Direct Optical Drop (&lt;3km)", IF(S458&lt;='Methodology &amp; Assumptions'!$B$9, "Near Optical / Microwave (&lt;5km)", "Starlink Business LEO Satellite Backhaul (&gt;5km)"))</f>
        <v/>
      </c>
      <c r="V458" s="26" t="n">
        <v>42.08</v>
      </c>
      <c r="W458" s="26" t="n">
        <v>76.84</v>
      </c>
      <c r="X458" s="26">
        <f>ROUND(('Methodology &amp; Assumptions'!$B$5*V458) + ('Methodology &amp; Assumptions'!$B$6*W458), 2)</f>
        <v/>
      </c>
      <c r="Y458" s="28" t="n">
        <v>8.300000000000001</v>
      </c>
      <c r="Z458" s="11" t="inlineStr">
        <is>
          <t>Priority Tier 3 (Broadband Expansion)</t>
        </is>
      </c>
    </row>
    <row r="459">
      <c r="A459" s="23" t="n">
        <v>4</v>
      </c>
      <c r="B459" s="23" t="n">
        <v>455</v>
      </c>
      <c r="C459" s="23" t="n">
        <v>3455</v>
      </c>
      <c r="D459" s="23" t="inlineStr">
        <is>
          <t>0305409002</t>
        </is>
      </c>
      <c r="E459" s="11" t="inlineStr">
        <is>
          <t>Region III (Central Luzon)</t>
        </is>
      </c>
      <c r="F459" s="11" t="inlineStr">
        <is>
          <t>Pampanga</t>
        </is>
      </c>
      <c r="G459" s="11" t="inlineStr">
        <is>
          <t>Mabalacat City</t>
        </is>
      </c>
      <c r="H459" s="11" t="inlineStr">
        <is>
          <t>Bical</t>
        </is>
      </c>
      <c r="I459" s="24" t="n">
        <v>15.194996</v>
      </c>
      <c r="J459" s="24" t="n">
        <v>120.61977</v>
      </c>
      <c r="K459" s="23" t="inlineStr">
        <is>
          <t>R</t>
        </is>
      </c>
      <c r="L459" s="25" t="n">
        <v>5078</v>
      </c>
      <c r="M459" s="26" t="n">
        <v>4</v>
      </c>
      <c r="N459" s="25">
        <f>ROUND(L459/M459, 0)</f>
        <v/>
      </c>
      <c r="O459" s="25">
        <f>ROUND(N459*'Methodology &amp; Assumptions'!$B$7, 0)</f>
        <v/>
      </c>
      <c r="P459" s="23" t="inlineStr">
        <is>
          <t>Single Carrier (Band n50, 100MHz TDD)</t>
        </is>
      </c>
      <c r="Q459" s="27">
        <f>ROUNDUP(O459/'Methodology &amp; Assumptions'!$B$8, 0)</f>
        <v/>
      </c>
      <c r="R459" s="27" t="n">
        <v>1</v>
      </c>
      <c r="S459" s="26" t="n">
        <v>2.59</v>
      </c>
      <c r="T459" s="26" t="n">
        <v>1.69</v>
      </c>
      <c r="U459" s="11">
        <f>IF(S459&lt;='Methodology &amp; Assumptions'!$B$10, "Direct Optical Drop (&lt;3km)", IF(S459&lt;='Methodology &amp; Assumptions'!$B$9, "Near Optical / Microwave (&lt;5km)", "Starlink Business LEO Satellite Backhaul (&gt;5km)"))</f>
        <v/>
      </c>
      <c r="V459" s="26" t="n">
        <v>79.45</v>
      </c>
      <c r="W459" s="26" t="n">
        <v>39.46</v>
      </c>
      <c r="X459" s="26">
        <f>ROUND(('Methodology &amp; Assumptions'!$B$5*V459) + ('Methodology &amp; Assumptions'!$B$6*W459), 2)</f>
        <v/>
      </c>
      <c r="Y459" s="28" t="n">
        <v>8.300000000000001</v>
      </c>
      <c r="Z459" s="11" t="inlineStr">
        <is>
          <t>Priority Tier 3 (Broadband Expansion)</t>
        </is>
      </c>
    </row>
    <row r="460">
      <c r="A460" s="23" t="n">
        <v>4</v>
      </c>
      <c r="B460" s="23" t="n">
        <v>456</v>
      </c>
      <c r="C460" s="23" t="n">
        <v>3456</v>
      </c>
      <c r="D460" s="23" t="inlineStr">
        <is>
          <t>0405619026</t>
        </is>
      </c>
      <c r="E460" s="11" t="inlineStr">
        <is>
          <t>Region IV-A (CALABARZON)</t>
        </is>
      </c>
      <c r="F460" s="11" t="inlineStr">
        <is>
          <t>Quezon</t>
        </is>
      </c>
      <c r="G460" s="11" t="inlineStr">
        <is>
          <t>Gumaca</t>
        </is>
      </c>
      <c r="H460" s="11" t="inlineStr">
        <is>
          <t>Mabini</t>
        </is>
      </c>
      <c r="I460" s="24" t="n">
        <v>13.917636</v>
      </c>
      <c r="J460" s="24" t="n">
        <v>122.095124</v>
      </c>
      <c r="K460" s="23" t="inlineStr">
        <is>
          <t>R</t>
        </is>
      </c>
      <c r="L460" s="25" t="n">
        <v>1988</v>
      </c>
      <c r="M460" s="26" t="n">
        <v>3.8</v>
      </c>
      <c r="N460" s="25">
        <f>ROUND(L460/M460, 0)</f>
        <v/>
      </c>
      <c r="O460" s="25">
        <f>ROUND(N460*'Methodology &amp; Assumptions'!$B$7, 0)</f>
        <v/>
      </c>
      <c r="P460" s="23" t="inlineStr">
        <is>
          <t>Single Carrier (Band n50, 100MHz TDD)</t>
        </is>
      </c>
      <c r="Q460" s="27">
        <f>ROUNDUP(O460/'Methodology &amp; Assumptions'!$B$8, 0)</f>
        <v/>
      </c>
      <c r="R460" s="27" t="n">
        <v>1</v>
      </c>
      <c r="S460" s="26" t="n">
        <v>1.48</v>
      </c>
      <c r="T460" s="26" t="n">
        <v>0.17</v>
      </c>
      <c r="U460" s="11">
        <f>IF(S460&lt;='Methodology &amp; Assumptions'!$B$10, "Direct Optical Drop (&lt;3km)", IF(S460&lt;='Methodology &amp; Assumptions'!$B$9, "Near Optical / Microwave (&lt;5km)", "Starlink Business LEO Satellite Backhaul (&gt;5km)"))</f>
        <v/>
      </c>
      <c r="V460" s="26" t="n">
        <v>73.51000000000001</v>
      </c>
      <c r="W460" s="26" t="n">
        <v>45.39</v>
      </c>
      <c r="X460" s="26">
        <f>ROUND(('Methodology &amp; Assumptions'!$B$5*V460) + ('Methodology &amp; Assumptions'!$B$6*W460), 2)</f>
        <v/>
      </c>
      <c r="Y460" s="28" t="n">
        <v>7.2</v>
      </c>
      <c r="Z460" s="11" t="inlineStr">
        <is>
          <t>Priority Tier 3 (Broadband Expansion)</t>
        </is>
      </c>
    </row>
    <row r="461">
      <c r="A461" s="23" t="n">
        <v>4</v>
      </c>
      <c r="B461" s="23" t="n">
        <v>457</v>
      </c>
      <c r="C461" s="23" t="n">
        <v>3457</v>
      </c>
      <c r="D461" s="23" t="inlineStr">
        <is>
          <t>0603019015</t>
        </is>
      </c>
      <c r="E461" s="11" t="inlineStr">
        <is>
          <t>Region VI (Western Visayas)</t>
        </is>
      </c>
      <c r="F461" s="11" t="inlineStr">
        <is>
          <t>Iloilo</t>
        </is>
      </c>
      <c r="G461" s="11" t="inlineStr">
        <is>
          <t>Estancia</t>
        </is>
      </c>
      <c r="H461" s="11" t="inlineStr">
        <is>
          <t>Pa-on</t>
        </is>
      </c>
      <c r="I461" s="24" t="n">
        <v>11.436518</v>
      </c>
      <c r="J461" s="24" t="n">
        <v>123.176099</v>
      </c>
      <c r="K461" s="23" t="inlineStr">
        <is>
          <t>R</t>
        </is>
      </c>
      <c r="L461" s="25" t="n">
        <v>3195</v>
      </c>
      <c r="M461" s="26" t="n">
        <v>3.8</v>
      </c>
      <c r="N461" s="25">
        <f>ROUND(L461/M461, 0)</f>
        <v/>
      </c>
      <c r="O461" s="25">
        <f>ROUND(N461*'Methodology &amp; Assumptions'!$B$7, 0)</f>
        <v/>
      </c>
      <c r="P461" s="23" t="inlineStr">
        <is>
          <t>Single Carrier (Band n50, 100MHz TDD)</t>
        </is>
      </c>
      <c r="Q461" s="27">
        <f>ROUNDUP(O461/'Methodology &amp; Assumptions'!$B$8, 0)</f>
        <v/>
      </c>
      <c r="R461" s="27" t="n">
        <v>1</v>
      </c>
      <c r="S461" s="26" t="n">
        <v>5.92</v>
      </c>
      <c r="T461" s="26" t="n">
        <v>7.48</v>
      </c>
      <c r="U461" s="11">
        <f>IF(S461&lt;='Methodology &amp; Assumptions'!$B$10, "Direct Optical Drop (&lt;3km)", IF(S461&lt;='Methodology &amp; Assumptions'!$B$9, "Near Optical / Microwave (&lt;5km)", "Starlink Business LEO Satellite Backhaul (&gt;5km)"))</f>
        <v/>
      </c>
      <c r="V461" s="26" t="n">
        <v>70.58</v>
      </c>
      <c r="W461" s="26" t="n">
        <v>48.31</v>
      </c>
      <c r="X461" s="26">
        <f>ROUND(('Methodology &amp; Assumptions'!$B$5*V461) + ('Methodology &amp; Assumptions'!$B$6*W461), 2)</f>
        <v/>
      </c>
      <c r="Y461" s="28" t="n">
        <v>23.7</v>
      </c>
      <c r="Z461" s="11" t="inlineStr">
        <is>
          <t>Priority Tier 3 (Broadband Expansion)</t>
        </is>
      </c>
    </row>
    <row r="462">
      <c r="A462" s="23" t="n">
        <v>4</v>
      </c>
      <c r="B462" s="23" t="n">
        <v>458</v>
      </c>
      <c r="C462" s="23" t="n">
        <v>3458</v>
      </c>
      <c r="D462" s="23" t="inlineStr">
        <is>
          <t>0201529014</t>
        </is>
      </c>
      <c r="E462" s="11" t="inlineStr">
        <is>
          <t>Region II (Cagayan Valley)</t>
        </is>
      </c>
      <c r="F462" s="11" t="inlineStr">
        <is>
          <t>Cagayan</t>
        </is>
      </c>
      <c r="G462" s="11" t="inlineStr">
        <is>
          <t>Tuguegarao City</t>
        </is>
      </c>
      <c r="H462" s="11" t="inlineStr">
        <is>
          <t>Centro 11</t>
        </is>
      </c>
      <c r="I462" s="24" t="n">
        <v>17.6194</v>
      </c>
      <c r="J462" s="24" t="n">
        <v>121.7346</v>
      </c>
      <c r="K462" s="23" t="inlineStr">
        <is>
          <t>U</t>
        </is>
      </c>
      <c r="L462" s="25" t="n">
        <v>3461</v>
      </c>
      <c r="M462" s="26" t="n">
        <v>3.9</v>
      </c>
      <c r="N462" s="25">
        <f>ROUND(L462/M462, 0)</f>
        <v/>
      </c>
      <c r="O462" s="25">
        <f>ROUND(N462*'Methodology &amp; Assumptions'!$B$7, 0)</f>
        <v/>
      </c>
      <c r="P462" s="23" t="inlineStr">
        <is>
          <t>Single Carrier (Band n50, 100MHz TDD)</t>
        </is>
      </c>
      <c r="Q462" s="27">
        <f>ROUNDUP(O462/'Methodology &amp; Assumptions'!$B$8, 0)</f>
        <v/>
      </c>
      <c r="R462" s="27" t="n">
        <v>1</v>
      </c>
      <c r="S462" s="26" t="n">
        <v>3.79</v>
      </c>
      <c r="T462" s="26" t="n">
        <v>0.54</v>
      </c>
      <c r="U462" s="11">
        <f>IF(S462&lt;='Methodology &amp; Assumptions'!$B$10, "Direct Optical Drop (&lt;3km)", IF(S462&lt;='Methodology &amp; Assumptions'!$B$9, "Near Optical / Microwave (&lt;5km)", "Starlink Business LEO Satellite Backhaul (&gt;5km)"))</f>
        <v/>
      </c>
      <c r="V462" s="26" t="n">
        <v>69.23</v>
      </c>
      <c r="W462" s="26" t="n">
        <v>49.67</v>
      </c>
      <c r="X462" s="26">
        <f>ROUND(('Methodology &amp; Assumptions'!$B$5*V462) + ('Methodology &amp; Assumptions'!$B$6*W462), 2)</f>
        <v/>
      </c>
      <c r="Y462" s="28" t="n">
        <v>8.300000000000001</v>
      </c>
      <c r="Z462" s="11" t="inlineStr">
        <is>
          <t>Priority Tier 3 (Broadband Expansion)</t>
        </is>
      </c>
    </row>
    <row r="463">
      <c r="A463" s="23" t="n">
        <v>4</v>
      </c>
      <c r="B463" s="23" t="n">
        <v>459</v>
      </c>
      <c r="C463" s="23" t="n">
        <v>3459</v>
      </c>
      <c r="D463" s="23" t="inlineStr">
        <is>
          <t>0604528035</t>
        </is>
      </c>
      <c r="E463" s="11" t="inlineStr">
        <is>
          <t>Region VI (Western Visayas)</t>
        </is>
      </c>
      <c r="F463" s="11" t="inlineStr">
        <is>
          <t>Negros Occidental</t>
        </is>
      </c>
      <c r="G463" s="11" t="inlineStr">
        <is>
          <t>City of Talisay</t>
        </is>
      </c>
      <c r="H463" s="11" t="inlineStr">
        <is>
          <t>Zone 8</t>
        </is>
      </c>
      <c r="I463" s="24" t="n">
        <v>10.733817</v>
      </c>
      <c r="J463" s="24" t="n">
        <v>122.966388</v>
      </c>
      <c r="K463" s="23" t="inlineStr">
        <is>
          <t>R</t>
        </is>
      </c>
      <c r="L463" s="25" t="n">
        <v>462</v>
      </c>
      <c r="M463" s="26" t="n">
        <v>3.7</v>
      </c>
      <c r="N463" s="25">
        <f>ROUND(L463/M463, 0)</f>
        <v/>
      </c>
      <c r="O463" s="25">
        <f>ROUND(N463*'Methodology &amp; Assumptions'!$B$7, 0)</f>
        <v/>
      </c>
      <c r="P463" s="23" t="inlineStr">
        <is>
          <t>Single Carrier (Band n50, 100MHz TDD)</t>
        </is>
      </c>
      <c r="Q463" s="27">
        <f>ROUNDUP(O463/'Methodology &amp; Assumptions'!$B$8, 0)</f>
        <v/>
      </c>
      <c r="R463" s="27" t="n">
        <v>1</v>
      </c>
      <c r="S463" s="26" t="n">
        <v>0.77</v>
      </c>
      <c r="T463" s="26" t="n">
        <v>0.1</v>
      </c>
      <c r="U463" s="11">
        <f>IF(S463&lt;='Methodology &amp; Assumptions'!$B$10, "Direct Optical Drop (&lt;3km)", IF(S463&lt;='Methodology &amp; Assumptions'!$B$9, "Near Optical / Microwave (&lt;5km)", "Starlink Business LEO Satellite Backhaul (&gt;5km)"))</f>
        <v/>
      </c>
      <c r="V463" s="26" t="n">
        <v>65.31</v>
      </c>
      <c r="W463" s="26" t="n">
        <v>53.58</v>
      </c>
      <c r="X463" s="26">
        <f>ROUND(('Methodology &amp; Assumptions'!$B$5*V463) + ('Methodology &amp; Assumptions'!$B$6*W463), 2)</f>
        <v/>
      </c>
      <c r="Y463" s="28" t="n">
        <v>23.7</v>
      </c>
      <c r="Z463" s="11" t="inlineStr">
        <is>
          <t>Priority Tier 3 (Broadband Expansion)</t>
        </is>
      </c>
    </row>
    <row r="464">
      <c r="A464" s="23" t="n">
        <v>4</v>
      </c>
      <c r="B464" s="23" t="n">
        <v>460</v>
      </c>
      <c r="C464" s="23" t="n">
        <v>3460</v>
      </c>
      <c r="D464" s="23" t="inlineStr">
        <is>
          <t>0105519014</t>
        </is>
      </c>
      <c r="E464" s="11" t="inlineStr">
        <is>
          <t>Region I (Ilocos Region)</t>
        </is>
      </c>
      <c r="F464" s="11" t="inlineStr">
        <is>
          <t>Pangasinan</t>
        </is>
      </c>
      <c r="G464" s="11" t="inlineStr">
        <is>
          <t>Dasol</t>
        </is>
      </c>
      <c r="H464" s="11" t="inlineStr">
        <is>
          <t>Poblacion</t>
        </is>
      </c>
      <c r="I464" s="24" t="n">
        <v>15.98667</v>
      </c>
      <c r="J464" s="24" t="n">
        <v>119.8817</v>
      </c>
      <c r="K464" s="23" t="inlineStr">
        <is>
          <t>R</t>
        </is>
      </c>
      <c r="L464" s="25" t="n">
        <v>3471</v>
      </c>
      <c r="M464" s="26" t="n">
        <v>3.6</v>
      </c>
      <c r="N464" s="25">
        <f>ROUND(L464/M464, 0)</f>
        <v/>
      </c>
      <c r="O464" s="25">
        <f>ROUND(N464*'Methodology &amp; Assumptions'!$B$7, 0)</f>
        <v/>
      </c>
      <c r="P464" s="23" t="inlineStr">
        <is>
          <t>Single Carrier (Band n50, 100MHz TDD)</t>
        </is>
      </c>
      <c r="Q464" s="27">
        <f>ROUNDUP(O464/'Methodology &amp; Assumptions'!$B$8, 0)</f>
        <v/>
      </c>
      <c r="R464" s="27" t="n">
        <v>1</v>
      </c>
      <c r="S464" s="26" t="n">
        <v>0.74</v>
      </c>
      <c r="T464" s="26" t="n">
        <v>0.71</v>
      </c>
      <c r="U464" s="11">
        <f>IF(S464&lt;='Methodology &amp; Assumptions'!$B$10, "Direct Optical Drop (&lt;3km)", IF(S464&lt;='Methodology &amp; Assumptions'!$B$9, "Near Optical / Microwave (&lt;5km)", "Starlink Business LEO Satellite Backhaul (&gt;5km)"))</f>
        <v/>
      </c>
      <c r="V464" s="26" t="n">
        <v>85.63</v>
      </c>
      <c r="W464" s="26" t="n">
        <v>33.25</v>
      </c>
      <c r="X464" s="26">
        <f>ROUND(('Methodology &amp; Assumptions'!$B$5*V464) + ('Methodology &amp; Assumptions'!$B$6*W464), 2)</f>
        <v/>
      </c>
      <c r="Y464" s="28" t="n">
        <v>8.300000000000001</v>
      </c>
      <c r="Z464" s="11" t="inlineStr">
        <is>
          <t>Priority Tier 3 (Broadband Expansion)</t>
        </is>
      </c>
    </row>
    <row r="465">
      <c r="A465" s="23" t="n">
        <v>4</v>
      </c>
      <c r="B465" s="23" t="n">
        <v>461</v>
      </c>
      <c r="C465" s="23" t="n">
        <v>3461</v>
      </c>
      <c r="D465" s="23" t="inlineStr">
        <is>
          <t>0401017013</t>
        </is>
      </c>
      <c r="E465" s="11" t="inlineStr">
        <is>
          <t>Region IV-A (CALABARZON)</t>
        </is>
      </c>
      <c r="F465" s="11" t="inlineStr">
        <is>
          <t>Batangas</t>
        </is>
      </c>
      <c r="G465" s="11" t="inlineStr">
        <is>
          <t>Malvar</t>
        </is>
      </c>
      <c r="H465" s="11" t="inlineStr">
        <is>
          <t>San Fernando</t>
        </is>
      </c>
      <c r="I465" s="24" t="n">
        <v>14.02302</v>
      </c>
      <c r="J465" s="24" t="n">
        <v>121.159678</v>
      </c>
      <c r="K465" s="23" t="inlineStr">
        <is>
          <t>U</t>
        </is>
      </c>
      <c r="L465" s="25" t="n">
        <v>5844</v>
      </c>
      <c r="M465" s="26" t="n">
        <v>3.6</v>
      </c>
      <c r="N465" s="25">
        <f>ROUND(L465/M465, 0)</f>
        <v/>
      </c>
      <c r="O465" s="25">
        <f>ROUND(N465*'Methodology &amp; Assumptions'!$B$7, 0)</f>
        <v/>
      </c>
      <c r="P465" s="23" t="inlineStr">
        <is>
          <t>Single Carrier (Band n50, 100MHz TDD)</t>
        </is>
      </c>
      <c r="Q465" s="27">
        <f>ROUNDUP(O465/'Methodology &amp; Assumptions'!$B$8, 0)</f>
        <v/>
      </c>
      <c r="R465" s="27" t="n">
        <v>1</v>
      </c>
      <c r="S465" s="26" t="n">
        <v>0.42</v>
      </c>
      <c r="T465" s="26" t="n">
        <v>0.22</v>
      </c>
      <c r="U465" s="11">
        <f>IF(S465&lt;='Methodology &amp; Assumptions'!$B$10, "Direct Optical Drop (&lt;3km)", IF(S465&lt;='Methodology &amp; Assumptions'!$B$9, "Near Optical / Microwave (&lt;5km)", "Starlink Business LEO Satellite Backhaul (&gt;5km)"))</f>
        <v/>
      </c>
      <c r="V465" s="26" t="n">
        <v>78.26000000000001</v>
      </c>
      <c r="W465" s="26" t="n">
        <v>40.63</v>
      </c>
      <c r="X465" s="26">
        <f>ROUND(('Methodology &amp; Assumptions'!$B$5*V465) + ('Methodology &amp; Assumptions'!$B$6*W465), 2)</f>
        <v/>
      </c>
      <c r="Y465" s="28" t="n">
        <v>7.2</v>
      </c>
      <c r="Z465" s="11" t="inlineStr">
        <is>
          <t>Priority Tier 3 (Broadband Expansion)</t>
        </is>
      </c>
    </row>
    <row r="466">
      <c r="A466" s="23" t="n">
        <v>4</v>
      </c>
      <c r="B466" s="23" t="n">
        <v>462</v>
      </c>
      <c r="C466" s="23" t="n">
        <v>3462</v>
      </c>
      <c r="D466" s="23" t="inlineStr">
        <is>
          <t>0403422007</t>
        </is>
      </c>
      <c r="E466" s="11" t="inlineStr">
        <is>
          <t>Region IV-A (CALABARZON)</t>
        </is>
      </c>
      <c r="F466" s="11" t="inlineStr">
        <is>
          <t>Laguna</t>
        </is>
      </c>
      <c r="G466" s="11" t="inlineStr">
        <is>
          <t>Pila</t>
        </is>
      </c>
      <c r="H466" s="11" t="inlineStr">
        <is>
          <t>Labuin</t>
        </is>
      </c>
      <c r="I466" s="24" t="n">
        <v>14.2456</v>
      </c>
      <c r="J466" s="24" t="n">
        <v>121.368373</v>
      </c>
      <c r="K466" s="23" t="inlineStr">
        <is>
          <t>U</t>
        </is>
      </c>
      <c r="L466" s="25" t="n">
        <v>6312</v>
      </c>
      <c r="M466" s="26" t="n">
        <v>3.3</v>
      </c>
      <c r="N466" s="25">
        <f>ROUND(L466/M466, 0)</f>
        <v/>
      </c>
      <c r="O466" s="25">
        <f>ROUND(N466*'Methodology &amp; Assumptions'!$B$7, 0)</f>
        <v/>
      </c>
      <c r="P466" s="23" t="inlineStr">
        <is>
          <t>Single Carrier (Band n50, 100MHz TDD)</t>
        </is>
      </c>
      <c r="Q466" s="27">
        <f>ROUNDUP(O466/'Methodology &amp; Assumptions'!$B$8, 0)</f>
        <v/>
      </c>
      <c r="R466" s="27" t="n">
        <v>1</v>
      </c>
      <c r="S466" s="26" t="n">
        <v>0.99</v>
      </c>
      <c r="T466" s="26" t="n">
        <v>0.14</v>
      </c>
      <c r="U466" s="11">
        <f>IF(S466&lt;='Methodology &amp; Assumptions'!$B$10, "Direct Optical Drop (&lt;3km)", IF(S466&lt;='Methodology &amp; Assumptions'!$B$9, "Near Optical / Microwave (&lt;5km)", "Starlink Business LEO Satellite Backhaul (&gt;5km)"))</f>
        <v/>
      </c>
      <c r="V466" s="26" t="n">
        <v>77.7</v>
      </c>
      <c r="W466" s="26" t="n">
        <v>41.19</v>
      </c>
      <c r="X466" s="26">
        <f>ROUND(('Methodology &amp; Assumptions'!$B$5*V466) + ('Methodology &amp; Assumptions'!$B$6*W466), 2)</f>
        <v/>
      </c>
      <c r="Y466" s="28" t="n">
        <v>7.2</v>
      </c>
      <c r="Z466" s="11" t="inlineStr">
        <is>
          <t>Priority Tier 3 (Broadband Expansion)</t>
        </is>
      </c>
    </row>
    <row r="467">
      <c r="A467" s="23" t="n">
        <v>4</v>
      </c>
      <c r="B467" s="23" t="n">
        <v>463</v>
      </c>
      <c r="C467" s="23" t="n">
        <v>3463</v>
      </c>
      <c r="D467" s="23" t="inlineStr">
        <is>
          <t>0306904021</t>
        </is>
      </c>
      <c r="E467" s="11" t="inlineStr">
        <is>
          <t>Region III (Central Luzon)</t>
        </is>
      </c>
      <c r="F467" s="11" t="inlineStr">
        <is>
          <t>Tarlac</t>
        </is>
      </c>
      <c r="G467" s="11" t="inlineStr">
        <is>
          <t>Capas</t>
        </is>
      </c>
      <c r="H467" s="11" t="inlineStr">
        <is>
          <t>Santo Rosario</t>
        </is>
      </c>
      <c r="I467" s="24" t="n">
        <v>15.335823</v>
      </c>
      <c r="J467" s="24" t="n">
        <v>120.588207</v>
      </c>
      <c r="K467" s="23" t="inlineStr">
        <is>
          <t>U</t>
        </is>
      </c>
      <c r="L467" s="25" t="n">
        <v>7292</v>
      </c>
      <c r="M467" s="26" t="n">
        <v>3.9</v>
      </c>
      <c r="N467" s="25">
        <f>ROUND(L467/M467, 0)</f>
        <v/>
      </c>
      <c r="O467" s="25">
        <f>ROUND(N467*'Methodology &amp; Assumptions'!$B$7, 0)</f>
        <v/>
      </c>
      <c r="P467" s="23" t="inlineStr">
        <is>
          <t>Single Carrier (Band n50, 100MHz TDD)</t>
        </is>
      </c>
      <c r="Q467" s="27">
        <f>ROUNDUP(O467/'Methodology &amp; Assumptions'!$B$8, 0)</f>
        <v/>
      </c>
      <c r="R467" s="27" t="n">
        <v>1</v>
      </c>
      <c r="S467" s="26" t="n">
        <v>1.35</v>
      </c>
      <c r="T467" s="26" t="n">
        <v>0.33</v>
      </c>
      <c r="U467" s="11">
        <f>IF(S467&lt;='Methodology &amp; Assumptions'!$B$10, "Direct Optical Drop (&lt;3km)", IF(S467&lt;='Methodology &amp; Assumptions'!$B$9, "Near Optical / Microwave (&lt;5km)", "Starlink Business LEO Satellite Backhaul (&gt;5km)"))</f>
        <v/>
      </c>
      <c r="V467" s="26" t="n">
        <v>76.51000000000001</v>
      </c>
      <c r="W467" s="26" t="n">
        <v>42.38</v>
      </c>
      <c r="X467" s="26">
        <f>ROUND(('Methodology &amp; Assumptions'!$B$5*V467) + ('Methodology &amp; Assumptions'!$B$6*W467), 2)</f>
        <v/>
      </c>
      <c r="Y467" s="28" t="n">
        <v>8.300000000000001</v>
      </c>
      <c r="Z467" s="11" t="inlineStr">
        <is>
          <t>Priority Tier 3 (Broadband Expansion)</t>
        </is>
      </c>
    </row>
    <row r="468">
      <c r="A468" s="23" t="n">
        <v>4</v>
      </c>
      <c r="B468" s="23" t="n">
        <v>464</v>
      </c>
      <c r="C468" s="23" t="n">
        <v>3464</v>
      </c>
      <c r="D468" s="23" t="inlineStr">
        <is>
          <t>0403407019</t>
        </is>
      </c>
      <c r="E468" s="11" t="inlineStr">
        <is>
          <t>Region IV-A (CALABARZON)</t>
        </is>
      </c>
      <c r="F468" s="11" t="inlineStr">
        <is>
          <t>Laguna</t>
        </is>
      </c>
      <c r="G468" s="11" t="inlineStr">
        <is>
          <t>Cavinti</t>
        </is>
      </c>
      <c r="H468" s="11" t="inlineStr">
        <is>
          <t>Tibatib</t>
        </is>
      </c>
      <c r="I468" s="24" t="n">
        <v>14.262487</v>
      </c>
      <c r="J468" s="24" t="n">
        <v>121.514794</v>
      </c>
      <c r="K468" s="23" t="inlineStr">
        <is>
          <t>R</t>
        </is>
      </c>
      <c r="L468" s="25" t="n">
        <v>218</v>
      </c>
      <c r="M468" s="26" t="n">
        <v>3.3</v>
      </c>
      <c r="N468" s="25">
        <f>ROUND(L468/M468, 0)</f>
        <v/>
      </c>
      <c r="O468" s="25">
        <f>ROUND(N468*'Methodology &amp; Assumptions'!$B$7, 0)</f>
        <v/>
      </c>
      <c r="P468" s="23" t="inlineStr">
        <is>
          <t>Single Carrier (Band n50, 100MHz TDD)</t>
        </is>
      </c>
      <c r="Q468" s="27">
        <f>ROUNDUP(O468/'Methodology &amp; Assumptions'!$B$8, 0)</f>
        <v/>
      </c>
      <c r="R468" s="27" t="n">
        <v>1</v>
      </c>
      <c r="S468" s="26" t="n">
        <v>2.26</v>
      </c>
      <c r="T468" s="26" t="n">
        <v>6.44</v>
      </c>
      <c r="U468" s="11">
        <f>IF(S468&lt;='Methodology &amp; Assumptions'!$B$10, "Direct Optical Drop (&lt;3km)", IF(S468&lt;='Methodology &amp; Assumptions'!$B$9, "Near Optical / Microwave (&lt;5km)", "Starlink Business LEO Satellite Backhaul (&gt;5km)"))</f>
        <v/>
      </c>
      <c r="V468" s="26" t="n">
        <v>52.44</v>
      </c>
      <c r="W468" s="26" t="n">
        <v>66.44</v>
      </c>
      <c r="X468" s="26">
        <f>ROUND(('Methodology &amp; Assumptions'!$B$5*V468) + ('Methodology &amp; Assumptions'!$B$6*W468), 2)</f>
        <v/>
      </c>
      <c r="Y468" s="28" t="n">
        <v>7.2</v>
      </c>
      <c r="Z468" s="11" t="inlineStr">
        <is>
          <t>Priority Tier 3 (Broadband Expansion)</t>
        </is>
      </c>
    </row>
    <row r="469">
      <c r="A469" s="23" t="n">
        <v>4</v>
      </c>
      <c r="B469" s="23" t="n">
        <v>465</v>
      </c>
      <c r="C469" s="23" t="n">
        <v>3465</v>
      </c>
      <c r="D469" s="23" t="inlineStr">
        <is>
          <t>1380606153</t>
        </is>
      </c>
      <c r="E469" s="11" t="inlineStr">
        <is>
          <t>National Capital Region (NCR)</t>
        </is>
      </c>
      <c r="F469" s="11" t="inlineStr">
        <is>
          <t>First District (Not a Province)</t>
        </is>
      </c>
      <c r="G469" s="11" t="inlineStr">
        <is>
          <t>City of Manila</t>
        </is>
      </c>
      <c r="H469" s="11" t="inlineStr">
        <is>
          <t>Barangay 547</t>
        </is>
      </c>
      <c r="I469" s="24" t="n">
        <v>14.611693</v>
      </c>
      <c r="J469" s="24" t="n">
        <v>121.000841</v>
      </c>
      <c r="K469" s="23" t="inlineStr">
        <is>
          <t>U</t>
        </is>
      </c>
      <c r="L469" s="25" t="n">
        <v>1170</v>
      </c>
      <c r="M469" s="26" t="n">
        <v>4.19</v>
      </c>
      <c r="N469" s="25">
        <f>ROUND(L469/M469, 0)</f>
        <v/>
      </c>
      <c r="O469" s="25">
        <f>ROUND(N469*'Methodology &amp; Assumptions'!$B$7, 0)</f>
        <v/>
      </c>
      <c r="P469" s="23" t="inlineStr">
        <is>
          <t>Single Carrier (Band n50, 100MHz TDD)</t>
        </is>
      </c>
      <c r="Q469" s="27">
        <f>ROUNDUP(O469/'Methodology &amp; Assumptions'!$B$8, 0)</f>
        <v/>
      </c>
      <c r="R469" s="27" t="n">
        <v>1</v>
      </c>
      <c r="S469" s="26" t="n">
        <v>0.33</v>
      </c>
      <c r="T469" s="26" t="n">
        <v>0.1</v>
      </c>
      <c r="U469" s="11">
        <f>IF(S469&lt;='Methodology &amp; Assumptions'!$B$10, "Direct Optical Drop (&lt;3km)", IF(S469&lt;='Methodology &amp; Assumptions'!$B$9, "Near Optical / Microwave (&lt;5km)", "Starlink Business LEO Satellite Backhaul (&gt;5km)"))</f>
        <v/>
      </c>
      <c r="V469" s="26" t="n">
        <v>50.09</v>
      </c>
      <c r="W469" s="26" t="n">
        <v>68.8</v>
      </c>
      <c r="X469" s="26">
        <f>ROUND(('Methodology &amp; Assumptions'!$B$5*V469) + ('Methodology &amp; Assumptions'!$B$6*W469), 2)</f>
        <v/>
      </c>
      <c r="Y469" s="28" t="n">
        <v>10.9</v>
      </c>
      <c r="Z469" s="11" t="inlineStr">
        <is>
          <t>Priority Tier 3 (Broadband Expansion)</t>
        </is>
      </c>
    </row>
    <row r="470">
      <c r="A470" s="23" t="n">
        <v>4</v>
      </c>
      <c r="B470" s="23" t="n">
        <v>466</v>
      </c>
      <c r="C470" s="23" t="n">
        <v>3466</v>
      </c>
      <c r="D470" s="23" t="inlineStr">
        <is>
          <t>1380605050</t>
        </is>
      </c>
      <c r="E470" s="11" t="inlineStr">
        <is>
          <t>National Capital Region (NCR)</t>
        </is>
      </c>
      <c r="F470" s="11" t="inlineStr">
        <is>
          <t>First District (Not a Province)</t>
        </is>
      </c>
      <c r="G470" s="11" t="inlineStr">
        <is>
          <t>City of Manila</t>
        </is>
      </c>
      <c r="H470" s="11" t="inlineStr">
        <is>
          <t>Barangay 348</t>
        </is>
      </c>
      <c r="I470" s="24" t="n">
        <v>14.622122</v>
      </c>
      <c r="J470" s="24" t="n">
        <v>120.98389</v>
      </c>
      <c r="K470" s="23" t="inlineStr">
        <is>
          <t>U</t>
        </is>
      </c>
      <c r="L470" s="25" t="n">
        <v>955</v>
      </c>
      <c r="M470" s="26" t="n">
        <v>4.03</v>
      </c>
      <c r="N470" s="25">
        <f>ROUND(L470/M470, 0)</f>
        <v/>
      </c>
      <c r="O470" s="25">
        <f>ROUND(N470*'Methodology &amp; Assumptions'!$B$7, 0)</f>
        <v/>
      </c>
      <c r="P470" s="23" t="inlineStr">
        <is>
          <t>Single Carrier (Band n50, 100MHz TDD)</t>
        </is>
      </c>
      <c r="Q470" s="27">
        <f>ROUNDUP(O470/'Methodology &amp; Assumptions'!$B$8, 0)</f>
        <v/>
      </c>
      <c r="R470" s="27" t="n">
        <v>1</v>
      </c>
      <c r="S470" s="26" t="n">
        <v>0.63</v>
      </c>
      <c r="T470" s="26" t="n">
        <v>0.12</v>
      </c>
      <c r="U470" s="11">
        <f>IF(S470&lt;='Methodology &amp; Assumptions'!$B$10, "Direct Optical Drop (&lt;3km)", IF(S470&lt;='Methodology &amp; Assumptions'!$B$9, "Near Optical / Microwave (&lt;5km)", "Starlink Business LEO Satellite Backhaul (&gt;5km)"))</f>
        <v/>
      </c>
      <c r="V470" s="26" t="n">
        <v>48.7</v>
      </c>
      <c r="W470" s="26" t="n">
        <v>70.19</v>
      </c>
      <c r="X470" s="26">
        <f>ROUND(('Methodology &amp; Assumptions'!$B$5*V470) + ('Methodology &amp; Assumptions'!$B$6*W470), 2)</f>
        <v/>
      </c>
      <c r="Y470" s="28" t="n">
        <v>10.9</v>
      </c>
      <c r="Z470" s="11" t="inlineStr">
        <is>
          <t>Priority Tier 3 (Broadband Expansion)</t>
        </is>
      </c>
    </row>
    <row r="471">
      <c r="A471" s="23" t="n">
        <v>4</v>
      </c>
      <c r="B471" s="23" t="n">
        <v>467</v>
      </c>
      <c r="C471" s="23" t="n">
        <v>3467</v>
      </c>
      <c r="D471" s="23" t="inlineStr">
        <is>
          <t>0702252002</t>
        </is>
      </c>
      <c r="E471" s="11" t="inlineStr">
        <is>
          <t>Region VII (Central Visayas)</t>
        </is>
      </c>
      <c r="F471" s="11" t="inlineStr">
        <is>
          <t>Cebu</t>
        </is>
      </c>
      <c r="G471" s="11" t="inlineStr">
        <is>
          <t>Tuburan</t>
        </is>
      </c>
      <c r="H471" s="11" t="inlineStr">
        <is>
          <t>Amatugan</t>
        </is>
      </c>
      <c r="I471" s="24" t="n">
        <v>10.670463</v>
      </c>
      <c r="J471" s="24" t="n">
        <v>123.888518</v>
      </c>
      <c r="K471" s="23" t="inlineStr">
        <is>
          <t>R</t>
        </is>
      </c>
      <c r="L471" s="25" t="n">
        <v>953</v>
      </c>
      <c r="M471" s="26" t="n">
        <v>3.8</v>
      </c>
      <c r="N471" s="25">
        <f>ROUND(L471/M471, 0)</f>
        <v/>
      </c>
      <c r="O471" s="25">
        <f>ROUND(N471*'Methodology &amp; Assumptions'!$B$7, 0)</f>
        <v/>
      </c>
      <c r="P471" s="23" t="inlineStr">
        <is>
          <t>Single Carrier (Band n50, 100MHz TDD)</t>
        </is>
      </c>
      <c r="Q471" s="27">
        <f>ROUNDUP(O471/'Methodology &amp; Assumptions'!$B$8, 0)</f>
        <v/>
      </c>
      <c r="R471" s="27" t="n">
        <v>1</v>
      </c>
      <c r="S471" s="26" t="n">
        <v>13.95</v>
      </c>
      <c r="T471" s="26" t="n">
        <v>8.789999999999999</v>
      </c>
      <c r="U471" s="11">
        <f>IF(S471&lt;='Methodology &amp; Assumptions'!$B$10, "Direct Optical Drop (&lt;3km)", IF(S471&lt;='Methodology &amp; Assumptions'!$B$9, "Near Optical / Microwave (&lt;5km)", "Starlink Business LEO Satellite Backhaul (&gt;5km)"))</f>
        <v/>
      </c>
      <c r="V471" s="26" t="n">
        <v>44.68</v>
      </c>
      <c r="W471" s="26" t="n">
        <v>74.20999999999999</v>
      </c>
      <c r="X471" s="26">
        <f>ROUND(('Methodology &amp; Assumptions'!$B$5*V471) + ('Methodology &amp; Assumptions'!$B$6*W471), 2)</f>
        <v/>
      </c>
      <c r="Y471" s="28" t="n">
        <v>23.7</v>
      </c>
      <c r="Z471" s="11" t="inlineStr">
        <is>
          <t>Priority Tier 3 (Broadband Expansion)</t>
        </is>
      </c>
    </row>
    <row r="472">
      <c r="A472" s="23" t="n">
        <v>4</v>
      </c>
      <c r="B472" s="23" t="n">
        <v>468</v>
      </c>
      <c r="C472" s="23" t="n">
        <v>3468</v>
      </c>
      <c r="D472" s="23" t="inlineStr">
        <is>
          <t>1004309009</t>
        </is>
      </c>
      <c r="E472" s="11" t="inlineStr">
        <is>
          <t>Region X (Northern Mindanao)</t>
        </is>
      </c>
      <c r="F472" s="11" t="inlineStr">
        <is>
          <t>Misamis Oriental</t>
        </is>
      </c>
      <c r="G472" s="11" t="inlineStr">
        <is>
          <t>Gitagum</t>
        </is>
      </c>
      <c r="H472" s="11" t="inlineStr">
        <is>
          <t>Poblacion</t>
        </is>
      </c>
      <c r="I472" s="24" t="n">
        <v>8.595027</v>
      </c>
      <c r="J472" s="24" t="n">
        <v>124.40758</v>
      </c>
      <c r="K472" s="23" t="inlineStr">
        <is>
          <t>R</t>
        </is>
      </c>
      <c r="L472" s="25" t="n">
        <v>3192</v>
      </c>
      <c r="M472" s="26" t="n">
        <v>3.9</v>
      </c>
      <c r="N472" s="25">
        <f>ROUND(L472/M472, 0)</f>
        <v/>
      </c>
      <c r="O472" s="25">
        <f>ROUND(N472*'Methodology &amp; Assumptions'!$B$7, 0)</f>
        <v/>
      </c>
      <c r="P472" s="23" t="inlineStr">
        <is>
          <t>Single Carrier (Band n50, 100MHz TDD)</t>
        </is>
      </c>
      <c r="Q472" s="27">
        <f>ROUNDUP(O472/'Methodology &amp; Assumptions'!$B$8, 0)</f>
        <v/>
      </c>
      <c r="R472" s="27" t="n">
        <v>1</v>
      </c>
      <c r="S472" s="26" t="n">
        <v>0.38</v>
      </c>
      <c r="T472" s="26" t="n">
        <v>0.26</v>
      </c>
      <c r="U472" s="11">
        <f>IF(S472&lt;='Methodology &amp; Assumptions'!$B$10, "Direct Optical Drop (&lt;3km)", IF(S472&lt;='Methodology &amp; Assumptions'!$B$9, "Near Optical / Microwave (&lt;5km)", "Starlink Business LEO Satellite Backhaul (&gt;5km)"))</f>
        <v/>
      </c>
      <c r="V472" s="26" t="n">
        <v>86</v>
      </c>
      <c r="W472" s="26" t="n">
        <v>32.86</v>
      </c>
      <c r="X472" s="26">
        <f>ROUND(('Methodology &amp; Assumptions'!$B$5*V472) + ('Methodology &amp; Assumptions'!$B$6*W472), 2)</f>
        <v/>
      </c>
      <c r="Y472" s="28" t="n">
        <v>17.4</v>
      </c>
      <c r="Z472" s="11" t="inlineStr">
        <is>
          <t>Priority Tier 3 (Broadband Expansion)</t>
        </is>
      </c>
    </row>
    <row r="473">
      <c r="A473" s="23" t="n">
        <v>4</v>
      </c>
      <c r="B473" s="23" t="n">
        <v>469</v>
      </c>
      <c r="C473" s="23" t="n">
        <v>3469</v>
      </c>
      <c r="D473" s="23" t="inlineStr">
        <is>
          <t>0405812007</t>
        </is>
      </c>
      <c r="E473" s="11" t="inlineStr">
        <is>
          <t>Region IV-A (CALABARZON)</t>
        </is>
      </c>
      <c r="F473" s="11" t="inlineStr">
        <is>
          <t>Rizal</t>
        </is>
      </c>
      <c r="G473" s="11" t="inlineStr">
        <is>
          <t>Tanay</t>
        </is>
      </c>
      <c r="H473" s="11" t="inlineStr">
        <is>
          <t>Mag-Ampon</t>
        </is>
      </c>
      <c r="I473" s="24" t="n">
        <v>14.50033</v>
      </c>
      <c r="J473" s="24" t="n">
        <v>121.28752</v>
      </c>
      <c r="K473" s="23" t="inlineStr">
        <is>
          <t>R</t>
        </is>
      </c>
      <c r="L473" s="25" t="n">
        <v>1794</v>
      </c>
      <c r="M473" s="26" t="n">
        <v>3.6</v>
      </c>
      <c r="N473" s="25">
        <f>ROUND(L473/M473, 0)</f>
        <v/>
      </c>
      <c r="O473" s="25">
        <f>ROUND(N473*'Methodology &amp; Assumptions'!$B$7, 0)</f>
        <v/>
      </c>
      <c r="P473" s="23" t="inlineStr">
        <is>
          <t>Single Carrier (Band n50, 100MHz TDD)</t>
        </is>
      </c>
      <c r="Q473" s="27">
        <f>ROUNDUP(O473/'Methodology &amp; Assumptions'!$B$8, 0)</f>
        <v/>
      </c>
      <c r="R473" s="27" t="n">
        <v>1</v>
      </c>
      <c r="S473" s="26" t="n">
        <v>0.49</v>
      </c>
      <c r="T473" s="26" t="n">
        <v>0.37</v>
      </c>
      <c r="U473" s="11">
        <f>IF(S473&lt;='Methodology &amp; Assumptions'!$B$10, "Direct Optical Drop (&lt;3km)", IF(S473&lt;='Methodology &amp; Assumptions'!$B$9, "Near Optical / Microwave (&lt;5km)", "Starlink Business LEO Satellite Backhaul (&gt;5km)"))</f>
        <v/>
      </c>
      <c r="V473" s="26" t="n">
        <v>75.06999999999999</v>
      </c>
      <c r="W473" s="26" t="n">
        <v>43.79</v>
      </c>
      <c r="X473" s="26">
        <f>ROUND(('Methodology &amp; Assumptions'!$B$5*V473) + ('Methodology &amp; Assumptions'!$B$6*W473), 2)</f>
        <v/>
      </c>
      <c r="Y473" s="28" t="n">
        <v>7.2</v>
      </c>
      <c r="Z473" s="11" t="inlineStr">
        <is>
          <t>Priority Tier 3 (Broadband Expansion)</t>
        </is>
      </c>
    </row>
    <row r="474">
      <c r="A474" s="23" t="n">
        <v>4</v>
      </c>
      <c r="B474" s="23" t="n">
        <v>470</v>
      </c>
      <c r="C474" s="23" t="n">
        <v>3470</v>
      </c>
      <c r="D474" s="23" t="inlineStr">
        <is>
          <t>1380614086</t>
        </is>
      </c>
      <c r="E474" s="11" t="inlineStr">
        <is>
          <t>National Capital Region (NCR)</t>
        </is>
      </c>
      <c r="F474" s="11" t="inlineStr">
        <is>
          <t>First District (Not a Province)</t>
        </is>
      </c>
      <c r="G474" s="11" t="inlineStr">
        <is>
          <t>City of Manila</t>
        </is>
      </c>
      <c r="H474" s="11" t="inlineStr">
        <is>
          <t>Barangay 893</t>
        </is>
      </c>
      <c r="I474" s="24" t="n">
        <v>14.590136</v>
      </c>
      <c r="J474" s="24" t="n">
        <v>121.022938</v>
      </c>
      <c r="K474" s="23" t="inlineStr">
        <is>
          <t>U</t>
        </is>
      </c>
      <c r="L474" s="25" t="n">
        <v>674</v>
      </c>
      <c r="M474" s="26" t="n">
        <v>2.92</v>
      </c>
      <c r="N474" s="25">
        <f>ROUND(L474/M474, 0)</f>
        <v/>
      </c>
      <c r="O474" s="25">
        <f>ROUND(N474*'Methodology &amp; Assumptions'!$B$7, 0)</f>
        <v/>
      </c>
      <c r="P474" s="23" t="inlineStr">
        <is>
          <t>Single Carrier (Band n50, 100MHz TDD)</t>
        </is>
      </c>
      <c r="Q474" s="27">
        <f>ROUNDUP(O474/'Methodology &amp; Assumptions'!$B$8, 0)</f>
        <v/>
      </c>
      <c r="R474" s="27" t="n">
        <v>1</v>
      </c>
      <c r="S474" s="26" t="n">
        <v>0.91</v>
      </c>
      <c r="T474" s="26" t="n">
        <v>0.13</v>
      </c>
      <c r="U474" s="11">
        <f>IF(S474&lt;='Methodology &amp; Assumptions'!$B$10, "Direct Optical Drop (&lt;3km)", IF(S474&lt;='Methodology &amp; Assumptions'!$B$9, "Near Optical / Microwave (&lt;5km)", "Starlink Business LEO Satellite Backhaul (&gt;5km)"))</f>
        <v/>
      </c>
      <c r="V474" s="26" t="n">
        <v>48.22</v>
      </c>
      <c r="W474" s="26" t="n">
        <v>70.64</v>
      </c>
      <c r="X474" s="26">
        <f>ROUND(('Methodology &amp; Assumptions'!$B$5*V474) + ('Methodology &amp; Assumptions'!$B$6*W474), 2)</f>
        <v/>
      </c>
      <c r="Y474" s="28" t="n">
        <v>10.9</v>
      </c>
      <c r="Z474" s="11" t="inlineStr">
        <is>
          <t>Priority Tier 3 (Broadband Expansion)</t>
        </is>
      </c>
    </row>
    <row r="475">
      <c r="A475" s="23" t="n">
        <v>4</v>
      </c>
      <c r="B475" s="23" t="n">
        <v>471</v>
      </c>
      <c r="C475" s="23" t="n">
        <v>3471</v>
      </c>
      <c r="D475" s="23" t="inlineStr">
        <is>
          <t>0305413032</t>
        </is>
      </c>
      <c r="E475" s="11" t="inlineStr">
        <is>
          <t>Region III (Central Luzon)</t>
        </is>
      </c>
      <c r="F475" s="11" t="inlineStr">
        <is>
          <t>Pampanga</t>
        </is>
      </c>
      <c r="G475" s="11" t="inlineStr">
        <is>
          <t>Mexico</t>
        </is>
      </c>
      <c r="H475" s="11" t="inlineStr">
        <is>
          <t>San Lorenzo</t>
        </is>
      </c>
      <c r="I475" s="24" t="n">
        <v>15.067083</v>
      </c>
      <c r="J475" s="24" t="n">
        <v>120.732895</v>
      </c>
      <c r="K475" s="23" t="inlineStr">
        <is>
          <t>R</t>
        </is>
      </c>
      <c r="L475" s="25" t="n">
        <v>2989</v>
      </c>
      <c r="M475" s="26" t="n">
        <v>4</v>
      </c>
      <c r="N475" s="25">
        <f>ROUND(L475/M475, 0)</f>
        <v/>
      </c>
      <c r="O475" s="25">
        <f>ROUND(N475*'Methodology &amp; Assumptions'!$B$7, 0)</f>
        <v/>
      </c>
      <c r="P475" s="23" t="inlineStr">
        <is>
          <t>Single Carrier (Band n50, 100MHz TDD)</t>
        </is>
      </c>
      <c r="Q475" s="27">
        <f>ROUNDUP(O475/'Methodology &amp; Assumptions'!$B$8, 0)</f>
        <v/>
      </c>
      <c r="R475" s="27" t="n">
        <v>1</v>
      </c>
      <c r="S475" s="26" t="n">
        <v>0.25</v>
      </c>
      <c r="T475" s="26" t="n">
        <v>0.23</v>
      </c>
      <c r="U475" s="11">
        <f>IF(S475&lt;='Methodology &amp; Assumptions'!$B$10, "Direct Optical Drop (&lt;3km)", IF(S475&lt;='Methodology &amp; Assumptions'!$B$9, "Near Optical / Microwave (&lt;5km)", "Starlink Business LEO Satellite Backhaul (&gt;5km)"))</f>
        <v/>
      </c>
      <c r="V475" s="26" t="n">
        <v>83.29000000000001</v>
      </c>
      <c r="W475" s="26" t="n">
        <v>35.56</v>
      </c>
      <c r="X475" s="26">
        <f>ROUND(('Methodology &amp; Assumptions'!$B$5*V475) + ('Methodology &amp; Assumptions'!$B$6*W475), 2)</f>
        <v/>
      </c>
      <c r="Y475" s="28" t="n">
        <v>8.300000000000001</v>
      </c>
      <c r="Z475" s="11" t="inlineStr">
        <is>
          <t>Priority Tier 3 (Broadband Expansion)</t>
        </is>
      </c>
    </row>
    <row r="476">
      <c r="A476" s="23" t="n">
        <v>4</v>
      </c>
      <c r="B476" s="23" t="n">
        <v>472</v>
      </c>
      <c r="C476" s="23" t="n">
        <v>3472</v>
      </c>
      <c r="D476" s="23" t="inlineStr">
        <is>
          <t>0403411010</t>
        </is>
      </c>
      <c r="E476" s="11" t="inlineStr">
        <is>
          <t>Region IV-A (CALABARZON)</t>
        </is>
      </c>
      <c r="F476" s="11" t="inlineStr">
        <is>
          <t>Laguna</t>
        </is>
      </c>
      <c r="G476" s="11" t="inlineStr">
        <is>
          <t>Los Baños</t>
        </is>
      </c>
      <c r="H476" s="11" t="inlineStr">
        <is>
          <t>Mayondon</t>
        </is>
      </c>
      <c r="I476" s="24" t="n">
        <v>14.19115</v>
      </c>
      <c r="J476" s="24" t="n">
        <v>121.236346</v>
      </c>
      <c r="K476" s="23" t="inlineStr">
        <is>
          <t>U</t>
        </is>
      </c>
      <c r="L476" s="25" t="n">
        <v>19530</v>
      </c>
      <c r="M476" s="26" t="n">
        <v>3.3</v>
      </c>
      <c r="N476" s="25">
        <f>ROUND(L476/M476, 0)</f>
        <v/>
      </c>
      <c r="O476" s="25">
        <f>ROUND(N476*'Methodology &amp; Assumptions'!$B$7, 0)</f>
        <v/>
      </c>
      <c r="P476" s="23" t="inlineStr">
        <is>
          <t>Single Carrier (Band n50, 100MHz TDD)</t>
        </is>
      </c>
      <c r="Q476" s="27">
        <f>ROUNDUP(O476/'Methodology &amp; Assumptions'!$B$8, 0)</f>
        <v/>
      </c>
      <c r="R476" s="27" t="n">
        <v>1</v>
      </c>
      <c r="S476" s="26" t="n">
        <v>1.48</v>
      </c>
      <c r="T476" s="26" t="n">
        <v>1.13</v>
      </c>
      <c r="U476" s="11">
        <f>IF(S476&lt;='Methodology &amp; Assumptions'!$B$10, "Direct Optical Drop (&lt;3km)", IF(S476&lt;='Methodology &amp; Assumptions'!$B$9, "Near Optical / Microwave (&lt;5km)", "Starlink Business LEO Satellite Backhaul (&gt;5km)"))</f>
        <v/>
      </c>
      <c r="V476" s="26" t="n">
        <v>75.84</v>
      </c>
      <c r="W476" s="26" t="n">
        <v>43</v>
      </c>
      <c r="X476" s="26">
        <f>ROUND(('Methodology &amp; Assumptions'!$B$5*V476) + ('Methodology &amp; Assumptions'!$B$6*W476), 2)</f>
        <v/>
      </c>
      <c r="Y476" s="28" t="n">
        <v>7.2</v>
      </c>
      <c r="Z476" s="11" t="inlineStr">
        <is>
          <t>Priority Tier 3 (Broadband Expansion)</t>
        </is>
      </c>
    </row>
    <row r="477">
      <c r="A477" s="23" t="n">
        <v>4</v>
      </c>
      <c r="B477" s="23" t="n">
        <v>473</v>
      </c>
      <c r="C477" s="23" t="n">
        <v>3473</v>
      </c>
      <c r="D477" s="23" t="inlineStr">
        <is>
          <t>0301404001</t>
        </is>
      </c>
      <c r="E477" s="11" t="inlineStr">
        <is>
          <t>Region III (Central Luzon)</t>
        </is>
      </c>
      <c r="F477" s="11" t="inlineStr">
        <is>
          <t>Bulacan</t>
        </is>
      </c>
      <c r="G477" s="11" t="inlineStr">
        <is>
          <t>Bocaue</t>
        </is>
      </c>
      <c r="H477" s="11" t="inlineStr">
        <is>
          <t>Antipona</t>
        </is>
      </c>
      <c r="I477" s="24" t="n">
        <v>14.796631</v>
      </c>
      <c r="J477" s="24" t="n">
        <v>120.925714</v>
      </c>
      <c r="K477" s="23" t="inlineStr">
        <is>
          <t>R</t>
        </is>
      </c>
      <c r="L477" s="25" t="n">
        <v>1815</v>
      </c>
      <c r="M477" s="26" t="n">
        <v>3.5</v>
      </c>
      <c r="N477" s="25">
        <f>ROUND(L477/M477, 0)</f>
        <v/>
      </c>
      <c r="O477" s="25">
        <f>ROUND(N477*'Methodology &amp; Assumptions'!$B$7, 0)</f>
        <v/>
      </c>
      <c r="P477" s="23" t="inlineStr">
        <is>
          <t>Single Carrier (Band n50, 100MHz TDD)</t>
        </is>
      </c>
      <c r="Q477" s="27">
        <f>ROUNDUP(O477/'Methodology &amp; Assumptions'!$B$8, 0)</f>
        <v/>
      </c>
      <c r="R477" s="27" t="n">
        <v>1</v>
      </c>
      <c r="S477" s="26" t="n">
        <v>2.18</v>
      </c>
      <c r="T477" s="26" t="n">
        <v>0.21</v>
      </c>
      <c r="U477" s="11">
        <f>IF(S477&lt;='Methodology &amp; Assumptions'!$B$10, "Direct Optical Drop (&lt;3km)", IF(S477&lt;='Methodology &amp; Assumptions'!$B$9, "Near Optical / Microwave (&lt;5km)", "Starlink Business LEO Satellite Backhaul (&gt;5km)"))</f>
        <v/>
      </c>
      <c r="V477" s="26" t="n">
        <v>71.06</v>
      </c>
      <c r="W477" s="26" t="n">
        <v>47.77</v>
      </c>
      <c r="X477" s="26">
        <f>ROUND(('Methodology &amp; Assumptions'!$B$5*V477) + ('Methodology &amp; Assumptions'!$B$6*W477), 2)</f>
        <v/>
      </c>
      <c r="Y477" s="28" t="n">
        <v>8.300000000000001</v>
      </c>
      <c r="Z477" s="11" t="inlineStr">
        <is>
          <t>Priority Tier 3 (Broadband Expansion)</t>
        </is>
      </c>
    </row>
    <row r="478">
      <c r="A478" s="23" t="n">
        <v>4</v>
      </c>
      <c r="B478" s="23" t="n">
        <v>474</v>
      </c>
      <c r="C478" s="23" t="n">
        <v>3474</v>
      </c>
      <c r="D478" s="23" t="inlineStr">
        <is>
          <t>0405640001</t>
        </is>
      </c>
      <c r="E478" s="11" t="inlineStr">
        <is>
          <t>Region IV-A (CALABARZON)</t>
        </is>
      </c>
      <c r="F478" s="11" t="inlineStr">
        <is>
          <t>Quezon</t>
        </is>
      </c>
      <c r="G478" s="11" t="inlineStr">
        <is>
          <t>San Andres</t>
        </is>
      </c>
      <c r="H478" s="11" t="inlineStr">
        <is>
          <t>Alibihaban</t>
        </is>
      </c>
      <c r="I478" s="24" t="n">
        <v>13.325584</v>
      </c>
      <c r="J478" s="24" t="n">
        <v>122.715376</v>
      </c>
      <c r="K478" s="23" t="inlineStr">
        <is>
          <t>R</t>
        </is>
      </c>
      <c r="L478" s="25" t="n">
        <v>1552</v>
      </c>
      <c r="M478" s="26" t="n">
        <v>3.8</v>
      </c>
      <c r="N478" s="25">
        <f>ROUND(L478/M478, 0)</f>
        <v/>
      </c>
      <c r="O478" s="25">
        <f>ROUND(N478*'Methodology &amp; Assumptions'!$B$7, 0)</f>
        <v/>
      </c>
      <c r="P478" s="23" t="inlineStr">
        <is>
          <t>Single Carrier (Band n50, 100MHz TDD)</t>
        </is>
      </c>
      <c r="Q478" s="27">
        <f>ROUNDUP(O478/'Methodology &amp; Assumptions'!$B$8, 0)</f>
        <v/>
      </c>
      <c r="R478" s="27" t="n">
        <v>1</v>
      </c>
      <c r="S478" s="26" t="n">
        <v>4.12</v>
      </c>
      <c r="T478" s="26" t="n">
        <v>31.88</v>
      </c>
      <c r="U478" s="11">
        <f>IF(S478&lt;='Methodology &amp; Assumptions'!$B$10, "Direct Optical Drop (&lt;3km)", IF(S478&lt;='Methodology &amp; Assumptions'!$B$9, "Near Optical / Microwave (&lt;5km)", "Starlink Business LEO Satellite Backhaul (&gt;5km)"))</f>
        <v/>
      </c>
      <c r="V478" s="26" t="n">
        <v>58.76</v>
      </c>
      <c r="W478" s="26" t="n">
        <v>60.09</v>
      </c>
      <c r="X478" s="26">
        <f>ROUND(('Methodology &amp; Assumptions'!$B$5*V478) + ('Methodology &amp; Assumptions'!$B$6*W478), 2)</f>
        <v/>
      </c>
      <c r="Y478" s="28" t="n">
        <v>7.2</v>
      </c>
      <c r="Z478" s="11" t="inlineStr">
        <is>
          <t>Priority Tier 3 (Broadband Expansion)</t>
        </is>
      </c>
    </row>
    <row r="479">
      <c r="A479" s="23" t="n">
        <v>4</v>
      </c>
      <c r="B479" s="23" t="n">
        <v>475</v>
      </c>
      <c r="C479" s="23" t="n">
        <v>3475</v>
      </c>
      <c r="D479" s="23" t="inlineStr">
        <is>
          <t>1380610058</t>
        </is>
      </c>
      <c r="E479" s="11" t="inlineStr">
        <is>
          <t>National Capital Region (NCR)</t>
        </is>
      </c>
      <c r="F479" s="11" t="inlineStr">
        <is>
          <t>First District (Not a Province)</t>
        </is>
      </c>
      <c r="G479" s="11" t="inlineStr">
        <is>
          <t>City of Manila</t>
        </is>
      </c>
      <c r="H479" s="11" t="inlineStr">
        <is>
          <t>Barangay 744</t>
        </is>
      </c>
      <c r="I479" s="24" t="n">
        <v>14.569572</v>
      </c>
      <c r="J479" s="24" t="n">
        <v>120.994443</v>
      </c>
      <c r="K479" s="23" t="inlineStr">
        <is>
          <t>U</t>
        </is>
      </c>
      <c r="L479" s="25" t="n">
        <v>1253</v>
      </c>
      <c r="M479" s="26" t="n">
        <v>4.37</v>
      </c>
      <c r="N479" s="25">
        <f>ROUND(L479/M479, 0)</f>
        <v/>
      </c>
      <c r="O479" s="25">
        <f>ROUND(N479*'Methodology &amp; Assumptions'!$B$7, 0)</f>
        <v/>
      </c>
      <c r="P479" s="23" t="inlineStr">
        <is>
          <t>Single Carrier (Band n50, 100MHz TDD)</t>
        </is>
      </c>
      <c r="Q479" s="27">
        <f>ROUNDUP(O479/'Methodology &amp; Assumptions'!$B$8, 0)</f>
        <v/>
      </c>
      <c r="R479" s="27" t="n">
        <v>1</v>
      </c>
      <c r="S479" s="26" t="n">
        <v>0.27</v>
      </c>
      <c r="T479" s="26" t="n">
        <v>0.31</v>
      </c>
      <c r="U479" s="11">
        <f>IF(S479&lt;='Methodology &amp; Assumptions'!$B$10, "Direct Optical Drop (&lt;3km)", IF(S479&lt;='Methodology &amp; Assumptions'!$B$9, "Near Optical / Microwave (&lt;5km)", "Starlink Business LEO Satellite Backhaul (&gt;5km)"))</f>
        <v/>
      </c>
      <c r="V479" s="26" t="n">
        <v>50.3</v>
      </c>
      <c r="W479" s="26" t="n">
        <v>68.53</v>
      </c>
      <c r="X479" s="26">
        <f>ROUND(('Methodology &amp; Assumptions'!$B$5*V479) + ('Methodology &amp; Assumptions'!$B$6*W479), 2)</f>
        <v/>
      </c>
      <c r="Y479" s="28" t="n">
        <v>10.9</v>
      </c>
      <c r="Z479" s="11" t="inlineStr">
        <is>
          <t>Priority Tier 3 (Broadband Expansion)</t>
        </is>
      </c>
    </row>
    <row r="480">
      <c r="A480" s="23" t="n">
        <v>4</v>
      </c>
      <c r="B480" s="23" t="n">
        <v>476</v>
      </c>
      <c r="C480" s="23" t="n">
        <v>3476</v>
      </c>
      <c r="D480" s="23" t="inlineStr">
        <is>
          <t>1380606138</t>
        </is>
      </c>
      <c r="E480" s="11" t="inlineStr">
        <is>
          <t>National Capital Region (NCR)</t>
        </is>
      </c>
      <c r="F480" s="11" t="inlineStr">
        <is>
          <t>First District (Not a Province)</t>
        </is>
      </c>
      <c r="G480" s="11" t="inlineStr">
        <is>
          <t>City of Manila</t>
        </is>
      </c>
      <c r="H480" s="11" t="inlineStr">
        <is>
          <t>Barangay 532</t>
        </is>
      </c>
      <c r="I480" s="24" t="n">
        <v>14.612859</v>
      </c>
      <c r="J480" s="24" t="n">
        <v>121.001561</v>
      </c>
      <c r="K480" s="23" t="inlineStr">
        <is>
          <t>U</t>
        </is>
      </c>
      <c r="L480" s="25" t="n">
        <v>1085</v>
      </c>
      <c r="M480" s="26" t="n">
        <v>3.86</v>
      </c>
      <c r="N480" s="25">
        <f>ROUND(L480/M480, 0)</f>
        <v/>
      </c>
      <c r="O480" s="25">
        <f>ROUND(N480*'Methodology &amp; Assumptions'!$B$7, 0)</f>
        <v/>
      </c>
      <c r="P480" s="23" t="inlineStr">
        <is>
          <t>Single Carrier (Band n50, 100MHz TDD)</t>
        </is>
      </c>
      <c r="Q480" s="27">
        <f>ROUNDUP(O480/'Methodology &amp; Assumptions'!$B$8, 0)</f>
        <v/>
      </c>
      <c r="R480" s="27" t="n">
        <v>1</v>
      </c>
      <c r="S480" s="26" t="n">
        <v>0.32</v>
      </c>
      <c r="T480" s="26" t="n">
        <v>0.2</v>
      </c>
      <c r="U480" s="11">
        <f>IF(S480&lt;='Methodology &amp; Assumptions'!$B$10, "Direct Optical Drop (&lt;3km)", IF(S480&lt;='Methodology &amp; Assumptions'!$B$9, "Near Optical / Microwave (&lt;5km)", "Starlink Business LEO Satellite Backhaul (&gt;5km)"))</f>
        <v/>
      </c>
      <c r="V480" s="26" t="n">
        <v>50.09</v>
      </c>
      <c r="W480" s="26" t="n">
        <v>68.75</v>
      </c>
      <c r="X480" s="26">
        <f>ROUND(('Methodology &amp; Assumptions'!$B$5*V480) + ('Methodology &amp; Assumptions'!$B$6*W480), 2)</f>
        <v/>
      </c>
      <c r="Y480" s="28" t="n">
        <v>10.9</v>
      </c>
      <c r="Z480" s="11" t="inlineStr">
        <is>
          <t>Priority Tier 3 (Broadband Expansion)</t>
        </is>
      </c>
    </row>
    <row r="481">
      <c r="A481" s="23" t="n">
        <v>4</v>
      </c>
      <c r="B481" s="23" t="n">
        <v>477</v>
      </c>
      <c r="C481" s="23" t="n">
        <v>3477</v>
      </c>
      <c r="D481" s="23" t="inlineStr">
        <is>
          <t>0301420010</t>
        </is>
      </c>
      <c r="E481" s="11" t="inlineStr">
        <is>
          <t>Region III (Central Luzon)</t>
        </is>
      </c>
      <c r="F481" s="11" t="inlineStr">
        <is>
          <t>Bulacan</t>
        </is>
      </c>
      <c r="G481" s="11" t="inlineStr">
        <is>
          <t>City of San Jose Del Monte</t>
        </is>
      </c>
      <c r="H481" s="11" t="inlineStr">
        <is>
          <t>Sapang Palay</t>
        </is>
      </c>
      <c r="I481" s="24" t="n">
        <v>14.841025</v>
      </c>
      <c r="J481" s="24" t="n">
        <v>121.038433</v>
      </c>
      <c r="K481" s="23" t="inlineStr">
        <is>
          <t>U</t>
        </is>
      </c>
      <c r="L481" s="25" t="n">
        <v>6067</v>
      </c>
      <c r="M481" s="26" t="n">
        <v>3.5</v>
      </c>
      <c r="N481" s="25">
        <f>ROUND(L481/M481, 0)</f>
        <v/>
      </c>
      <c r="O481" s="25">
        <f>ROUND(N481*'Methodology &amp; Assumptions'!$B$7, 0)</f>
        <v/>
      </c>
      <c r="P481" s="23" t="inlineStr">
        <is>
          <t>Single Carrier (Band n50, 100MHz TDD)</t>
        </is>
      </c>
      <c r="Q481" s="27">
        <f>ROUNDUP(O481/'Methodology &amp; Assumptions'!$B$8, 0)</f>
        <v/>
      </c>
      <c r="R481" s="27" t="n">
        <v>1</v>
      </c>
      <c r="S481" s="26" t="n">
        <v>0.2</v>
      </c>
      <c r="T481" s="26" t="n">
        <v>1.26</v>
      </c>
      <c r="U481" s="11">
        <f>IF(S481&lt;='Methodology &amp; Assumptions'!$B$10, "Direct Optical Drop (&lt;3km)", IF(S481&lt;='Methodology &amp; Assumptions'!$B$9, "Near Optical / Microwave (&lt;5km)", "Starlink Business LEO Satellite Backhaul (&gt;5km)"))</f>
        <v/>
      </c>
      <c r="V481" s="26" t="n">
        <v>78.43000000000001</v>
      </c>
      <c r="W481" s="26" t="n">
        <v>40.38</v>
      </c>
      <c r="X481" s="26">
        <f>ROUND(('Methodology &amp; Assumptions'!$B$5*V481) + ('Methodology &amp; Assumptions'!$B$6*W481), 2)</f>
        <v/>
      </c>
      <c r="Y481" s="28" t="n">
        <v>8.300000000000001</v>
      </c>
      <c r="Z481" s="11" t="inlineStr">
        <is>
          <t>Priority Tier 3 (Broadband Expansion)</t>
        </is>
      </c>
    </row>
    <row r="482">
      <c r="A482" s="23" t="n">
        <v>4</v>
      </c>
      <c r="B482" s="23" t="n">
        <v>478</v>
      </c>
      <c r="C482" s="23" t="n">
        <v>3478</v>
      </c>
      <c r="D482" s="23" t="inlineStr">
        <is>
          <t>0501721009</t>
        </is>
      </c>
      <c r="E482" s="11" t="inlineStr">
        <is>
          <t>Region V (Bicol Region)</t>
        </is>
      </c>
      <c r="F482" s="11" t="inlineStr">
        <is>
          <t>Camarines Sur</t>
        </is>
      </c>
      <c r="G482" s="11" t="inlineStr">
        <is>
          <t>Milaor</t>
        </is>
      </c>
      <c r="H482" s="11" t="inlineStr">
        <is>
          <t>Flordeliz</t>
        </is>
      </c>
      <c r="I482" s="24" t="n">
        <v>13.587621</v>
      </c>
      <c r="J482" s="24" t="n">
        <v>123.175791</v>
      </c>
      <c r="K482" s="23" t="inlineStr">
        <is>
          <t>R</t>
        </is>
      </c>
      <c r="L482" s="25" t="n">
        <v>1523</v>
      </c>
      <c r="M482" s="26" t="n">
        <v>4.2</v>
      </c>
      <c r="N482" s="25">
        <f>ROUND(L482/M482, 0)</f>
        <v/>
      </c>
      <c r="O482" s="25">
        <f>ROUND(N482*'Methodology &amp; Assumptions'!$B$7, 0)</f>
        <v/>
      </c>
      <c r="P482" s="23" t="inlineStr">
        <is>
          <t>Single Carrier (Band n50, 100MHz TDD)</t>
        </is>
      </c>
      <c r="Q482" s="27">
        <f>ROUNDUP(O482/'Methodology &amp; Assumptions'!$B$8, 0)</f>
        <v/>
      </c>
      <c r="R482" s="27" t="n">
        <v>1</v>
      </c>
      <c r="S482" s="26" t="n">
        <v>0.97</v>
      </c>
      <c r="T482" s="26" t="n">
        <v>0.62</v>
      </c>
      <c r="U482" s="11">
        <f>IF(S482&lt;='Methodology &amp; Assumptions'!$B$10, "Direct Optical Drop (&lt;3km)", IF(S482&lt;='Methodology &amp; Assumptions'!$B$9, "Near Optical / Microwave (&lt;5km)", "Starlink Business LEO Satellite Backhaul (&gt;5km)"))</f>
        <v/>
      </c>
      <c r="V482" s="26" t="n">
        <v>72.02</v>
      </c>
      <c r="W482" s="26" t="n">
        <v>46.8</v>
      </c>
      <c r="X482" s="26">
        <f>ROUND(('Methodology &amp; Assumptions'!$B$5*V482) + ('Methodology &amp; Assumptions'!$B$6*W482), 2)</f>
        <v/>
      </c>
      <c r="Y482" s="28" t="n">
        <v>23.7</v>
      </c>
      <c r="Z482" s="11" t="inlineStr">
        <is>
          <t>Priority Tier 3 (Broadband Expansion)</t>
        </is>
      </c>
    </row>
    <row r="483">
      <c r="A483" s="23" t="n">
        <v>4</v>
      </c>
      <c r="B483" s="23" t="n">
        <v>479</v>
      </c>
      <c r="C483" s="23" t="n">
        <v>3479</v>
      </c>
      <c r="D483" s="23" t="inlineStr">
        <is>
          <t>1380606226</t>
        </is>
      </c>
      <c r="E483" s="11" t="inlineStr">
        <is>
          <t>National Capital Region (NCR)</t>
        </is>
      </c>
      <c r="F483" s="11" t="inlineStr">
        <is>
          <t>First District (Not a Province)</t>
        </is>
      </c>
      <c r="G483" s="11" t="inlineStr">
        <is>
          <t>City of Manila</t>
        </is>
      </c>
      <c r="H483" s="11" t="inlineStr">
        <is>
          <t>Barangay 619</t>
        </is>
      </c>
      <c r="I483" s="24" t="n">
        <v>14.591866</v>
      </c>
      <c r="J483" s="24" t="n">
        <v>121.0175</v>
      </c>
      <c r="K483" s="23" t="inlineStr">
        <is>
          <t>U</t>
        </is>
      </c>
      <c r="L483" s="25" t="n">
        <v>1288</v>
      </c>
      <c r="M483" s="26" t="n">
        <v>3.66</v>
      </c>
      <c r="N483" s="25">
        <f>ROUND(L483/M483, 0)</f>
        <v/>
      </c>
      <c r="O483" s="25">
        <f>ROUND(N483*'Methodology &amp; Assumptions'!$B$7, 0)</f>
        <v/>
      </c>
      <c r="P483" s="23" t="inlineStr">
        <is>
          <t>Single Carrier (Band n50, 100MHz TDD)</t>
        </is>
      </c>
      <c r="Q483" s="27">
        <f>ROUNDUP(O483/'Methodology &amp; Assumptions'!$B$8, 0)</f>
        <v/>
      </c>
      <c r="R483" s="27" t="n">
        <v>1</v>
      </c>
      <c r="S483" s="26" t="n">
        <v>1.46</v>
      </c>
      <c r="T483" s="26" t="n">
        <v>0.62</v>
      </c>
      <c r="U483" s="11">
        <f>IF(S483&lt;='Methodology &amp; Assumptions'!$B$10, "Direct Optical Drop (&lt;3km)", IF(S483&lt;='Methodology &amp; Assumptions'!$B$9, "Near Optical / Microwave (&lt;5km)", "Starlink Business LEO Satellite Backhaul (&gt;5km)"))</f>
        <v/>
      </c>
      <c r="V483" s="26" t="n">
        <v>50.11</v>
      </c>
      <c r="W483" s="26" t="n">
        <v>68.72</v>
      </c>
      <c r="X483" s="26">
        <f>ROUND(('Methodology &amp; Assumptions'!$B$5*V483) + ('Methodology &amp; Assumptions'!$B$6*W483), 2)</f>
        <v/>
      </c>
      <c r="Y483" s="28" t="n">
        <v>10.9</v>
      </c>
      <c r="Z483" s="11" t="inlineStr">
        <is>
          <t>Priority Tier 3 (Broadband Expansion)</t>
        </is>
      </c>
    </row>
    <row r="484">
      <c r="A484" s="23" t="n">
        <v>4</v>
      </c>
      <c r="B484" s="23" t="n">
        <v>480</v>
      </c>
      <c r="C484" s="23" t="n">
        <v>3480</v>
      </c>
      <c r="D484" s="23" t="inlineStr">
        <is>
          <t>0203110002</t>
        </is>
      </c>
      <c r="E484" s="11" t="inlineStr">
        <is>
          <t>Region II (Cagayan Valley)</t>
        </is>
      </c>
      <c r="F484" s="11" t="inlineStr">
        <is>
          <t>Isabela</t>
        </is>
      </c>
      <c r="G484" s="11" t="inlineStr">
        <is>
          <t>Dinapigue</t>
        </is>
      </c>
      <c r="H484" s="11" t="inlineStr">
        <is>
          <t>Bucal Sur</t>
        </is>
      </c>
      <c r="I484" s="24" t="n">
        <v>16.649867</v>
      </c>
      <c r="J484" s="24" t="n">
        <v>122.185957</v>
      </c>
      <c r="K484" s="23" t="inlineStr">
        <is>
          <t>R</t>
        </is>
      </c>
      <c r="L484" s="25" t="n">
        <v>892</v>
      </c>
      <c r="M484" s="26" t="n">
        <v>3.8</v>
      </c>
      <c r="N484" s="25">
        <f>ROUND(L484/M484, 0)</f>
        <v/>
      </c>
      <c r="O484" s="25">
        <f>ROUND(N484*'Methodology &amp; Assumptions'!$B$7, 0)</f>
        <v/>
      </c>
      <c r="P484" s="23" t="inlineStr">
        <is>
          <t>Single Carrier (Band n50, 100MHz TDD)</t>
        </is>
      </c>
      <c r="Q484" s="27">
        <f>ROUNDUP(O484/'Methodology &amp; Assumptions'!$B$8, 0)</f>
        <v/>
      </c>
      <c r="R484" s="27" t="n">
        <v>1</v>
      </c>
      <c r="S484" s="26" t="n">
        <v>16.13</v>
      </c>
      <c r="T484" s="26" t="n">
        <v>15.96</v>
      </c>
      <c r="U484" s="11">
        <f>IF(S484&lt;='Methodology &amp; Assumptions'!$B$10, "Direct Optical Drop (&lt;3km)", IF(S484&lt;='Methodology &amp; Assumptions'!$B$9, "Near Optical / Microwave (&lt;5km)", "Starlink Business LEO Satellite Backhaul (&gt;5km)"))</f>
        <v/>
      </c>
      <c r="V484" s="26" t="n">
        <v>41.36</v>
      </c>
      <c r="W484" s="26" t="n">
        <v>77.45999999999999</v>
      </c>
      <c r="X484" s="26">
        <f>ROUND(('Methodology &amp; Assumptions'!$B$5*V484) + ('Methodology &amp; Assumptions'!$B$6*W484), 2)</f>
        <v/>
      </c>
      <c r="Y484" s="28" t="n">
        <v>8.300000000000001</v>
      </c>
      <c r="Z484" s="11" t="inlineStr">
        <is>
          <t>Priority Tier 3 (Broadband Expansion)</t>
        </is>
      </c>
    </row>
    <row r="485">
      <c r="A485" s="23" t="n">
        <v>4</v>
      </c>
      <c r="B485" s="23" t="n">
        <v>481</v>
      </c>
      <c r="C485" s="23" t="n">
        <v>3481</v>
      </c>
      <c r="D485" s="23" t="inlineStr">
        <is>
          <t>0105524072</t>
        </is>
      </c>
      <c r="E485" s="11" t="inlineStr">
        <is>
          <t>Region I (Ilocos Region)</t>
        </is>
      </c>
      <c r="F485" s="11" t="inlineStr">
        <is>
          <t>Pangasinan</t>
        </is>
      </c>
      <c r="G485" s="11" t="inlineStr">
        <is>
          <t>Malasiqui</t>
        </is>
      </c>
      <c r="H485" s="11" t="inlineStr">
        <is>
          <t>Tambac</t>
        </is>
      </c>
      <c r="I485" s="24" t="n">
        <v>15.82374</v>
      </c>
      <c r="J485" s="24" t="n">
        <v>120.4569</v>
      </c>
      <c r="K485" s="23" t="inlineStr">
        <is>
          <t>R</t>
        </is>
      </c>
      <c r="L485" s="25" t="n">
        <v>3350</v>
      </c>
      <c r="M485" s="26" t="n">
        <v>3.6</v>
      </c>
      <c r="N485" s="25">
        <f>ROUND(L485/M485, 0)</f>
        <v/>
      </c>
      <c r="O485" s="25">
        <f>ROUND(N485*'Methodology &amp; Assumptions'!$B$7, 0)</f>
        <v/>
      </c>
      <c r="P485" s="23" t="inlineStr">
        <is>
          <t>Single Carrier (Band n50, 100MHz TDD)</t>
        </is>
      </c>
      <c r="Q485" s="27">
        <f>ROUNDUP(O485/'Methodology &amp; Assumptions'!$B$8, 0)</f>
        <v/>
      </c>
      <c r="R485" s="27" t="n">
        <v>1</v>
      </c>
      <c r="S485" s="26" t="n">
        <v>0.85</v>
      </c>
      <c r="T485" s="26" t="n">
        <v>0.12</v>
      </c>
      <c r="U485" s="11">
        <f>IF(S485&lt;='Methodology &amp; Assumptions'!$B$10, "Direct Optical Drop (&lt;3km)", IF(S485&lt;='Methodology &amp; Assumptions'!$B$9, "Near Optical / Microwave (&lt;5km)", "Starlink Business LEO Satellite Backhaul (&gt;5km)"))</f>
        <v/>
      </c>
      <c r="V485" s="26" t="n">
        <v>85.59999999999999</v>
      </c>
      <c r="W485" s="26" t="n">
        <v>33.2</v>
      </c>
      <c r="X485" s="26">
        <f>ROUND(('Methodology &amp; Assumptions'!$B$5*V485) + ('Methodology &amp; Assumptions'!$B$6*W485), 2)</f>
        <v/>
      </c>
      <c r="Y485" s="28" t="n">
        <v>8.300000000000001</v>
      </c>
      <c r="Z485" s="11" t="inlineStr">
        <is>
          <t>Priority Tier 3 (Broadband Expansion)</t>
        </is>
      </c>
    </row>
    <row r="486">
      <c r="A486" s="23" t="n">
        <v>4</v>
      </c>
      <c r="B486" s="23" t="n">
        <v>482</v>
      </c>
      <c r="C486" s="23" t="n">
        <v>3482</v>
      </c>
      <c r="D486" s="23" t="inlineStr">
        <is>
          <t>0105506014</t>
        </is>
      </c>
      <c r="E486" s="11" t="inlineStr">
        <is>
          <t>Region I (Ilocos Region)</t>
        </is>
      </c>
      <c r="F486" s="11" t="inlineStr">
        <is>
          <t>Pangasinan</t>
        </is>
      </c>
      <c r="G486" s="11" t="inlineStr">
        <is>
          <t>Asingan</t>
        </is>
      </c>
      <c r="H486" s="11" t="inlineStr">
        <is>
          <t>Macalong</t>
        </is>
      </c>
      <c r="I486" s="24" t="n">
        <v>16.01129</v>
      </c>
      <c r="J486" s="24" t="n">
        <v>120.6603</v>
      </c>
      <c r="K486" s="23" t="inlineStr">
        <is>
          <t>R</t>
        </is>
      </c>
      <c r="L486" s="25" t="n">
        <v>3976</v>
      </c>
      <c r="M486" s="26" t="n">
        <v>3.6</v>
      </c>
      <c r="N486" s="25">
        <f>ROUND(L486/M486, 0)</f>
        <v/>
      </c>
      <c r="O486" s="25">
        <f>ROUND(N486*'Methodology &amp; Assumptions'!$B$7, 0)</f>
        <v/>
      </c>
      <c r="P486" s="23" t="inlineStr">
        <is>
          <t>Single Carrier (Band n50, 100MHz TDD)</t>
        </is>
      </c>
      <c r="Q486" s="27">
        <f>ROUNDUP(O486/'Methodology &amp; Assumptions'!$B$8, 0)</f>
        <v/>
      </c>
      <c r="R486" s="27" t="n">
        <v>1</v>
      </c>
      <c r="S486" s="26" t="n">
        <v>1.23</v>
      </c>
      <c r="T486" s="26" t="n">
        <v>1.31</v>
      </c>
      <c r="U486" s="11">
        <f>IF(S486&lt;='Methodology &amp; Assumptions'!$B$10, "Direct Optical Drop (&lt;3km)", IF(S486&lt;='Methodology &amp; Assumptions'!$B$9, "Near Optical / Microwave (&lt;5km)", "Starlink Business LEO Satellite Backhaul (&gt;5km)"))</f>
        <v/>
      </c>
      <c r="V486" s="26" t="n">
        <v>84.15000000000001</v>
      </c>
      <c r="W486" s="26" t="n">
        <v>34.65</v>
      </c>
      <c r="X486" s="26">
        <f>ROUND(('Methodology &amp; Assumptions'!$B$5*V486) + ('Methodology &amp; Assumptions'!$B$6*W486), 2)</f>
        <v/>
      </c>
      <c r="Y486" s="28" t="n">
        <v>8.300000000000001</v>
      </c>
      <c r="Z486" s="11" t="inlineStr">
        <is>
          <t>Priority Tier 3 (Broadband Expansion)</t>
        </is>
      </c>
    </row>
    <row r="487">
      <c r="A487" s="23" t="n">
        <v>4</v>
      </c>
      <c r="B487" s="23" t="n">
        <v>483</v>
      </c>
      <c r="C487" s="23" t="n">
        <v>3483</v>
      </c>
      <c r="D487" s="23" t="inlineStr">
        <is>
          <t>1381300026</t>
        </is>
      </c>
      <c r="E487" s="11" t="inlineStr">
        <is>
          <t>National Capital Region (NCR)</t>
        </is>
      </c>
      <c r="F487" s="11" t="inlineStr">
        <is>
          <t>Second District (Not a Province)</t>
        </is>
      </c>
      <c r="G487" s="11" t="inlineStr">
        <is>
          <t>Quezon City</t>
        </is>
      </c>
      <c r="H487" s="11" t="inlineStr">
        <is>
          <t>Damar</t>
        </is>
      </c>
      <c r="I487" s="24" t="n">
        <v>14.64538</v>
      </c>
      <c r="J487" s="24" t="n">
        <v>120.99848</v>
      </c>
      <c r="K487" s="23" t="inlineStr">
        <is>
          <t>U</t>
        </is>
      </c>
      <c r="L487" s="25" t="n">
        <v>1750</v>
      </c>
      <c r="M487" s="26" t="n">
        <v>5.79</v>
      </c>
      <c r="N487" s="25">
        <f>ROUND(L487/M487, 0)</f>
        <v/>
      </c>
      <c r="O487" s="25">
        <f>ROUND(N487*'Methodology &amp; Assumptions'!$B$7, 0)</f>
        <v/>
      </c>
      <c r="P487" s="23" t="inlineStr">
        <is>
          <t>Single Carrier (Band n50, 100MHz TDD)</t>
        </is>
      </c>
      <c r="Q487" s="27">
        <f>ROUNDUP(O487/'Methodology &amp; Assumptions'!$B$8, 0)</f>
        <v/>
      </c>
      <c r="R487" s="27" t="n">
        <v>1</v>
      </c>
      <c r="S487" s="26" t="n">
        <v>0.87</v>
      </c>
      <c r="T487" s="26" t="n">
        <v>0.83</v>
      </c>
      <c r="U487" s="11">
        <f>IF(S487&lt;='Methodology &amp; Assumptions'!$B$10, "Direct Optical Drop (&lt;3km)", IF(S487&lt;='Methodology &amp; Assumptions'!$B$9, "Near Optical / Microwave (&lt;5km)", "Starlink Business LEO Satellite Backhaul (&gt;5km)"))</f>
        <v/>
      </c>
      <c r="V487" s="26" t="n">
        <v>50.73</v>
      </c>
      <c r="W487" s="26" t="n">
        <v>68.08</v>
      </c>
      <c r="X487" s="26">
        <f>ROUND(('Methodology &amp; Assumptions'!$B$5*V487) + ('Methodology &amp; Assumptions'!$B$6*W487), 2)</f>
        <v/>
      </c>
      <c r="Y487" s="28" t="n">
        <v>10.9</v>
      </c>
      <c r="Z487" s="11" t="inlineStr">
        <is>
          <t>Priority Tier 3 (Broadband Expansion)</t>
        </is>
      </c>
    </row>
    <row r="488">
      <c r="A488" s="23" t="n">
        <v>4</v>
      </c>
      <c r="B488" s="23" t="n">
        <v>484</v>
      </c>
      <c r="C488" s="23" t="n">
        <v>3484</v>
      </c>
      <c r="D488" s="23" t="inlineStr">
        <is>
          <t>1381100021</t>
        </is>
      </c>
      <c r="E488" s="11" t="inlineStr">
        <is>
          <t>National Capital Region (NCR)</t>
        </is>
      </c>
      <c r="F488" s="11" t="inlineStr">
        <is>
          <t>Fourth District (Not a Province)</t>
        </is>
      </c>
      <c r="G488" s="11" t="inlineStr">
        <is>
          <t>Pasay City</t>
        </is>
      </c>
      <c r="H488" s="11" t="inlineStr">
        <is>
          <t>Barangay 21</t>
        </is>
      </c>
      <c r="I488" s="24" t="n">
        <v>14.554301</v>
      </c>
      <c r="J488" s="24" t="n">
        <v>120.991731</v>
      </c>
      <c r="K488" s="23" t="inlineStr">
        <is>
          <t>U</t>
        </is>
      </c>
      <c r="L488" s="25" t="n">
        <v>782</v>
      </c>
      <c r="M488" s="26" t="n">
        <v>3.04</v>
      </c>
      <c r="N488" s="25">
        <f>ROUND(L488/M488, 0)</f>
        <v/>
      </c>
      <c r="O488" s="25">
        <f>ROUND(N488*'Methodology &amp; Assumptions'!$B$7, 0)</f>
        <v/>
      </c>
      <c r="P488" s="23" t="inlineStr">
        <is>
          <t>Single Carrier (Band n50, 100MHz TDD)</t>
        </is>
      </c>
      <c r="Q488" s="27">
        <f>ROUNDUP(O488/'Methodology &amp; Assumptions'!$B$8, 0)</f>
        <v/>
      </c>
      <c r="R488" s="27" t="n">
        <v>1</v>
      </c>
      <c r="S488" s="26" t="n">
        <v>0.11</v>
      </c>
      <c r="T488" s="26" t="n">
        <v>0.11</v>
      </c>
      <c r="U488" s="11">
        <f>IF(S488&lt;='Methodology &amp; Assumptions'!$B$10, "Direct Optical Drop (&lt;3km)", IF(S488&lt;='Methodology &amp; Assumptions'!$B$9, "Near Optical / Microwave (&lt;5km)", "Starlink Business LEO Satellite Backhaul (&gt;5km)"))</f>
        <v/>
      </c>
      <c r="V488" s="26" t="n">
        <v>49.34</v>
      </c>
      <c r="W488" s="26" t="n">
        <v>69.45999999999999</v>
      </c>
      <c r="X488" s="26">
        <f>ROUND(('Methodology &amp; Assumptions'!$B$5*V488) + ('Methodology &amp; Assumptions'!$B$6*W488), 2)</f>
        <v/>
      </c>
      <c r="Y488" s="28" t="n">
        <v>10.9</v>
      </c>
      <c r="Z488" s="11" t="inlineStr">
        <is>
          <t>Priority Tier 3 (Broadband Expansion)</t>
        </is>
      </c>
    </row>
    <row r="489">
      <c r="A489" s="23" t="n">
        <v>4</v>
      </c>
      <c r="B489" s="23" t="n">
        <v>485</v>
      </c>
      <c r="C489" s="23" t="n">
        <v>3485</v>
      </c>
      <c r="D489" s="23" t="inlineStr">
        <is>
          <t>0806002012</t>
        </is>
      </c>
      <c r="E489" s="11" t="inlineStr">
        <is>
          <t>Region VIII (Eastern Visayas)</t>
        </is>
      </c>
      <c r="F489" s="11" t="inlineStr">
        <is>
          <t>Samar</t>
        </is>
      </c>
      <c r="G489" s="11" t="inlineStr">
        <is>
          <t>Basey</t>
        </is>
      </c>
      <c r="H489" s="11" t="inlineStr">
        <is>
          <t>Catadman</t>
        </is>
      </c>
      <c r="I489" s="24" t="n">
        <v>11.309912</v>
      </c>
      <c r="J489" s="24" t="n">
        <v>125.212099</v>
      </c>
      <c r="K489" s="23" t="inlineStr">
        <is>
          <t>R</t>
        </is>
      </c>
      <c r="L489" s="25" t="n">
        <v>681</v>
      </c>
      <c r="M489" s="26" t="n">
        <v>4.1</v>
      </c>
      <c r="N489" s="25">
        <f>ROUND(L489/M489, 0)</f>
        <v/>
      </c>
      <c r="O489" s="25">
        <f>ROUND(N489*'Methodology &amp; Assumptions'!$B$7, 0)</f>
        <v/>
      </c>
      <c r="P489" s="23" t="inlineStr">
        <is>
          <t>Single Carrier (Band n50, 100MHz TDD)</t>
        </is>
      </c>
      <c r="Q489" s="27">
        <f>ROUNDUP(O489/'Methodology &amp; Assumptions'!$B$8, 0)</f>
        <v/>
      </c>
      <c r="R489" s="27" t="n">
        <v>1</v>
      </c>
      <c r="S489" s="26" t="n">
        <v>24.16</v>
      </c>
      <c r="T489" s="26" t="n">
        <v>23.93</v>
      </c>
      <c r="U489" s="11">
        <f>IF(S489&lt;='Methodology &amp; Assumptions'!$B$10, "Direct Optical Drop (&lt;3km)", IF(S489&lt;='Methodology &amp; Assumptions'!$B$9, "Near Optical / Microwave (&lt;5km)", "Starlink Business LEO Satellite Backhaul (&gt;5km)"))</f>
        <v/>
      </c>
      <c r="V489" s="26" t="n">
        <v>41.28</v>
      </c>
      <c r="W489" s="26" t="n">
        <v>77.52</v>
      </c>
      <c r="X489" s="26">
        <f>ROUND(('Methodology &amp; Assumptions'!$B$5*V489) + ('Methodology &amp; Assumptions'!$B$6*W489), 2)</f>
        <v/>
      </c>
      <c r="Y489" s="28" t="n">
        <v>23.7</v>
      </c>
      <c r="Z489" s="11" t="inlineStr">
        <is>
          <t>Priority Tier 3 (Broadband Expansion)</t>
        </is>
      </c>
    </row>
    <row r="490">
      <c r="A490" s="23" t="n">
        <v>4</v>
      </c>
      <c r="B490" s="23" t="n">
        <v>486</v>
      </c>
      <c r="C490" s="23" t="n">
        <v>3486</v>
      </c>
      <c r="D490" s="23" t="inlineStr">
        <is>
          <t>0702243002</t>
        </is>
      </c>
      <c r="E490" s="11" t="inlineStr">
        <is>
          <t>Region VII (Central Visayas)</t>
        </is>
      </c>
      <c r="F490" s="11" t="inlineStr">
        <is>
          <t>Cebu</t>
        </is>
      </c>
      <c r="G490" s="11" t="inlineStr">
        <is>
          <t>San Remigio</t>
        </is>
      </c>
      <c r="H490" s="11" t="inlineStr">
        <is>
          <t>Argawanon</t>
        </is>
      </c>
      <c r="I490" s="24" t="n">
        <v>11.069824</v>
      </c>
      <c r="J490" s="24" t="n">
        <v>123.957635</v>
      </c>
      <c r="K490" s="23" t="inlineStr">
        <is>
          <t>R</t>
        </is>
      </c>
      <c r="L490" s="25" t="n">
        <v>4845</v>
      </c>
      <c r="M490" s="26" t="n">
        <v>3.8</v>
      </c>
      <c r="N490" s="25">
        <f>ROUND(L490/M490, 0)</f>
        <v/>
      </c>
      <c r="O490" s="25">
        <f>ROUND(N490*'Methodology &amp; Assumptions'!$B$7, 0)</f>
        <v/>
      </c>
      <c r="P490" s="23" t="inlineStr">
        <is>
          <t>Single Carrier (Band n50, 100MHz TDD)</t>
        </is>
      </c>
      <c r="Q490" s="27">
        <f>ROUNDUP(O490/'Methodology &amp; Assumptions'!$B$8, 0)</f>
        <v/>
      </c>
      <c r="R490" s="27" t="n">
        <v>1</v>
      </c>
      <c r="S490" s="26" t="n">
        <v>2.44</v>
      </c>
      <c r="T490" s="26" t="n">
        <v>0.04</v>
      </c>
      <c r="U490" s="11">
        <f>IF(S490&lt;='Methodology &amp; Assumptions'!$B$10, "Direct Optical Drop (&lt;3km)", IF(S490&lt;='Methodology &amp; Assumptions'!$B$9, "Near Optical / Microwave (&lt;5km)", "Starlink Business LEO Satellite Backhaul (&gt;5km)"))</f>
        <v/>
      </c>
      <c r="V490" s="26" t="n">
        <v>82.36</v>
      </c>
      <c r="W490" s="26" t="n">
        <v>36.43</v>
      </c>
      <c r="X490" s="26">
        <f>ROUND(('Methodology &amp; Assumptions'!$B$5*V490) + ('Methodology &amp; Assumptions'!$B$6*W490), 2)</f>
        <v/>
      </c>
      <c r="Y490" s="28" t="n">
        <v>23.7</v>
      </c>
      <c r="Z490" s="11" t="inlineStr">
        <is>
          <t>Priority Tier 3 (Broadband Expansion)</t>
        </is>
      </c>
    </row>
    <row r="491">
      <c r="A491" s="23" t="n">
        <v>4</v>
      </c>
      <c r="B491" s="23" t="n">
        <v>487</v>
      </c>
      <c r="C491" s="23" t="n">
        <v>3487</v>
      </c>
      <c r="D491" s="23" t="inlineStr">
        <is>
          <t>1705205049</t>
        </is>
      </c>
      <c r="E491" s="11" t="inlineStr">
        <is>
          <t>MIMAROPA Region</t>
        </is>
      </c>
      <c r="F491" s="11" t="inlineStr">
        <is>
          <t>Oriental Mindoro</t>
        </is>
      </c>
      <c r="G491" s="11" t="inlineStr">
        <is>
          <t>City of Calapan</t>
        </is>
      </c>
      <c r="H491" s="11" t="inlineStr">
        <is>
          <t>San Antonio</t>
        </is>
      </c>
      <c r="I491" s="24" t="n">
        <v>13.425175</v>
      </c>
      <c r="J491" s="24" t="n">
        <v>121.195783</v>
      </c>
      <c r="K491" s="23" t="inlineStr">
        <is>
          <t>U</t>
        </is>
      </c>
      <c r="L491" s="25" t="n">
        <v>3564</v>
      </c>
      <c r="M491" s="26" t="n">
        <v>3.9</v>
      </c>
      <c r="N491" s="25">
        <f>ROUND(L491/M491, 0)</f>
        <v/>
      </c>
      <c r="O491" s="25">
        <f>ROUND(N491*'Methodology &amp; Assumptions'!$B$7, 0)</f>
        <v/>
      </c>
      <c r="P491" s="23" t="inlineStr">
        <is>
          <t>Single Carrier (Band n50, 100MHz TDD)</t>
        </is>
      </c>
      <c r="Q491" s="27">
        <f>ROUNDUP(O491/'Methodology &amp; Assumptions'!$B$8, 0)</f>
        <v/>
      </c>
      <c r="R491" s="27" t="n">
        <v>1</v>
      </c>
      <c r="S491" s="26" t="n">
        <v>0.21</v>
      </c>
      <c r="T491" s="26" t="n">
        <v>6.34</v>
      </c>
      <c r="U491" s="11">
        <f>IF(S491&lt;='Methodology &amp; Assumptions'!$B$10, "Direct Optical Drop (&lt;3km)", IF(S491&lt;='Methodology &amp; Assumptions'!$B$9, "Near Optical / Microwave (&lt;5km)", "Starlink Business LEO Satellite Backhaul (&gt;5km)"))</f>
        <v/>
      </c>
      <c r="V491" s="26" t="n">
        <v>78.59999999999999</v>
      </c>
      <c r="W491" s="26" t="n">
        <v>40.18</v>
      </c>
      <c r="X491" s="26">
        <f>ROUND(('Methodology &amp; Assumptions'!$B$5*V491) + ('Methodology &amp; Assumptions'!$B$6*W491), 2)</f>
        <v/>
      </c>
      <c r="Y491" s="28" t="n">
        <v>15</v>
      </c>
      <c r="Z491" s="11" t="inlineStr">
        <is>
          <t>Priority Tier 3 (Broadband Expansion)</t>
        </is>
      </c>
    </row>
    <row r="492">
      <c r="A492" s="23" t="n">
        <v>4</v>
      </c>
      <c r="B492" s="23" t="n">
        <v>488</v>
      </c>
      <c r="C492" s="23" t="n">
        <v>3488</v>
      </c>
      <c r="D492" s="23" t="inlineStr">
        <is>
          <t>0401031038</t>
        </is>
      </c>
      <c r="E492" s="11" t="inlineStr">
        <is>
          <t>Region IV-A (CALABARZON)</t>
        </is>
      </c>
      <c r="F492" s="11" t="inlineStr">
        <is>
          <t>Batangas</t>
        </is>
      </c>
      <c r="G492" s="11" t="inlineStr">
        <is>
          <t>City of Tanauan</t>
        </is>
      </c>
      <c r="H492" s="11" t="inlineStr">
        <is>
          <t>Poblacion Barangay 7</t>
        </is>
      </c>
      <c r="I492" s="24" t="n">
        <v>14.079601</v>
      </c>
      <c r="J492" s="24" t="n">
        <v>121.146696</v>
      </c>
      <c r="K492" s="23" t="inlineStr">
        <is>
          <t>U</t>
        </is>
      </c>
      <c r="L492" s="25" t="n">
        <v>5377</v>
      </c>
      <c r="M492" s="26" t="n">
        <v>3.6</v>
      </c>
      <c r="N492" s="25">
        <f>ROUND(L492/M492, 0)</f>
        <v/>
      </c>
      <c r="O492" s="25">
        <f>ROUND(N492*'Methodology &amp; Assumptions'!$B$7, 0)</f>
        <v/>
      </c>
      <c r="P492" s="23" t="inlineStr">
        <is>
          <t>Single Carrier (Band n50, 100MHz TDD)</t>
        </is>
      </c>
      <c r="Q492" s="27">
        <f>ROUNDUP(O492/'Methodology &amp; Assumptions'!$B$8, 0)</f>
        <v/>
      </c>
      <c r="R492" s="27" t="n">
        <v>1</v>
      </c>
      <c r="S492" s="26" t="n">
        <v>0.43</v>
      </c>
      <c r="T492" s="26" t="n">
        <v>0.42</v>
      </c>
      <c r="U492" s="11">
        <f>IF(S492&lt;='Methodology &amp; Assumptions'!$B$10, "Direct Optical Drop (&lt;3km)", IF(S492&lt;='Methodology &amp; Assumptions'!$B$9, "Near Optical / Microwave (&lt;5km)", "Starlink Business LEO Satellite Backhaul (&gt;5km)"))</f>
        <v/>
      </c>
      <c r="V492" s="26" t="n">
        <v>78.26000000000001</v>
      </c>
      <c r="W492" s="26" t="n">
        <v>40.52</v>
      </c>
      <c r="X492" s="26">
        <f>ROUND(('Methodology &amp; Assumptions'!$B$5*V492) + ('Methodology &amp; Assumptions'!$B$6*W492), 2)</f>
        <v/>
      </c>
      <c r="Y492" s="28" t="n">
        <v>7.2</v>
      </c>
      <c r="Z492" s="11" t="inlineStr">
        <is>
          <t>Priority Tier 3 (Broadband Expansion)</t>
        </is>
      </c>
    </row>
    <row r="493">
      <c r="A493" s="23" t="n">
        <v>4</v>
      </c>
      <c r="B493" s="23" t="n">
        <v>489</v>
      </c>
      <c r="C493" s="23" t="n">
        <v>3489</v>
      </c>
      <c r="D493" s="23" t="inlineStr">
        <is>
          <t>0401031015</t>
        </is>
      </c>
      <c r="E493" s="11" t="inlineStr">
        <is>
          <t>Region IV-A (CALABARZON)</t>
        </is>
      </c>
      <c r="F493" s="11" t="inlineStr">
        <is>
          <t>Batangas</t>
        </is>
      </c>
      <c r="G493" s="11" t="inlineStr">
        <is>
          <t>City of Tanauan</t>
        </is>
      </c>
      <c r="H493" s="11" t="inlineStr">
        <is>
          <t>Cale</t>
        </is>
      </c>
      <c r="I493" s="24" t="n">
        <v>14.121097</v>
      </c>
      <c r="J493" s="24" t="n">
        <v>121.099429</v>
      </c>
      <c r="K493" s="23" t="inlineStr">
        <is>
          <t>R</t>
        </is>
      </c>
      <c r="L493" s="25" t="n">
        <v>4068</v>
      </c>
      <c r="M493" s="26" t="n">
        <v>3.6</v>
      </c>
      <c r="N493" s="25">
        <f>ROUND(L493/M493, 0)</f>
        <v/>
      </c>
      <c r="O493" s="25">
        <f>ROUND(N493*'Methodology &amp; Assumptions'!$B$7, 0)</f>
        <v/>
      </c>
      <c r="P493" s="23" t="inlineStr">
        <is>
          <t>Single Carrier (Band n50, 100MHz TDD)</t>
        </is>
      </c>
      <c r="Q493" s="27">
        <f>ROUNDUP(O493/'Methodology &amp; Assumptions'!$B$8, 0)</f>
        <v/>
      </c>
      <c r="R493" s="27" t="n">
        <v>1</v>
      </c>
      <c r="S493" s="26" t="n">
        <v>2.23</v>
      </c>
      <c r="T493" s="26" t="n">
        <v>4.07</v>
      </c>
      <c r="U493" s="11">
        <f>IF(S493&lt;='Methodology &amp; Assumptions'!$B$10, "Direct Optical Drop (&lt;3km)", IF(S493&lt;='Methodology &amp; Assumptions'!$B$9, "Near Optical / Microwave (&lt;5km)", "Starlink Business LEO Satellite Backhaul (&gt;5km)"))</f>
        <v/>
      </c>
      <c r="V493" s="26" t="n">
        <v>76.93000000000001</v>
      </c>
      <c r="W493" s="26" t="n">
        <v>41.85</v>
      </c>
      <c r="X493" s="26">
        <f>ROUND(('Methodology &amp; Assumptions'!$B$5*V493) + ('Methodology &amp; Assumptions'!$B$6*W493), 2)</f>
        <v/>
      </c>
      <c r="Y493" s="28" t="n">
        <v>7.2</v>
      </c>
      <c r="Z493" s="11" t="inlineStr">
        <is>
          <t>Priority Tier 3 (Broadband Expansion)</t>
        </is>
      </c>
    </row>
    <row r="494">
      <c r="A494" s="23" t="n">
        <v>4</v>
      </c>
      <c r="B494" s="23" t="n">
        <v>490</v>
      </c>
      <c r="C494" s="23" t="n">
        <v>3490</v>
      </c>
      <c r="D494" s="23" t="inlineStr">
        <is>
          <t>1404402021</t>
        </is>
      </c>
      <c r="E494" s="11" t="inlineStr">
        <is>
          <t>Cordillera Administrative Region (CAR)</t>
        </is>
      </c>
      <c r="F494" s="11" t="inlineStr">
        <is>
          <t>Mountain Province</t>
        </is>
      </c>
      <c r="G494" s="11" t="inlineStr">
        <is>
          <t>Bauko</t>
        </is>
      </c>
      <c r="H494" s="11" t="inlineStr">
        <is>
          <t>Sadsadan</t>
        </is>
      </c>
      <c r="I494" s="24" t="n">
        <v>16.895004</v>
      </c>
      <c r="J494" s="24" t="n">
        <v>120.876973</v>
      </c>
      <c r="K494" s="23" t="inlineStr">
        <is>
          <t>R</t>
        </is>
      </c>
      <c r="L494" s="25" t="n">
        <v>2745</v>
      </c>
      <c r="M494" s="26" t="n">
        <v>3.7</v>
      </c>
      <c r="N494" s="25">
        <f>ROUND(L494/M494, 0)</f>
        <v/>
      </c>
      <c r="O494" s="25">
        <f>ROUND(N494*'Methodology &amp; Assumptions'!$B$7, 0)</f>
        <v/>
      </c>
      <c r="P494" s="23" t="inlineStr">
        <is>
          <t>Single Carrier (Band n50, 100MHz TDD)</t>
        </is>
      </c>
      <c r="Q494" s="27">
        <f>ROUNDUP(O494/'Methodology &amp; Assumptions'!$B$8, 0)</f>
        <v/>
      </c>
      <c r="R494" s="27" t="n">
        <v>1</v>
      </c>
      <c r="S494" s="26" t="n">
        <v>2.52</v>
      </c>
      <c r="T494" s="26" t="n">
        <v>0.02</v>
      </c>
      <c r="U494" s="11">
        <f>IF(S494&lt;='Methodology &amp; Assumptions'!$B$10, "Direct Optical Drop (&lt;3km)", IF(S494&lt;='Methodology &amp; Assumptions'!$B$9, "Near Optical / Microwave (&lt;5km)", "Starlink Business LEO Satellite Backhaul (&gt;5km)"))</f>
        <v/>
      </c>
      <c r="V494" s="26" t="n">
        <v>75.97</v>
      </c>
      <c r="W494" s="26" t="n">
        <v>42.81</v>
      </c>
      <c r="X494" s="26">
        <f>ROUND(('Methodology &amp; Assumptions'!$B$5*V494) + ('Methodology &amp; Assumptions'!$B$6*W494), 2)</f>
        <v/>
      </c>
      <c r="Y494" s="28" t="n">
        <v>10.9</v>
      </c>
      <c r="Z494" s="11" t="inlineStr">
        <is>
          <t>Priority Tier 3 (Broadband Expansion)</t>
        </is>
      </c>
    </row>
    <row r="495">
      <c r="A495" s="23" t="n">
        <v>4</v>
      </c>
      <c r="B495" s="23" t="n">
        <v>491</v>
      </c>
      <c r="C495" s="23" t="n">
        <v>3491</v>
      </c>
      <c r="D495" s="23" t="inlineStr">
        <is>
          <t>0401020001</t>
        </is>
      </c>
      <c r="E495" s="11" t="inlineStr">
        <is>
          <t>Region IV-A (CALABARZON)</t>
        </is>
      </c>
      <c r="F495" s="11" t="inlineStr">
        <is>
          <t>Batangas</t>
        </is>
      </c>
      <c r="G495" s="11" t="inlineStr">
        <is>
          <t>Padre Garcia</t>
        </is>
      </c>
      <c r="H495" s="11" t="inlineStr">
        <is>
          <t>Banaba</t>
        </is>
      </c>
      <c r="I495" s="24" t="n">
        <v>13.882925</v>
      </c>
      <c r="J495" s="24" t="n">
        <v>121.219725</v>
      </c>
      <c r="K495" s="23" t="inlineStr">
        <is>
          <t>R</t>
        </is>
      </c>
      <c r="L495" s="25" t="n">
        <v>3949</v>
      </c>
      <c r="M495" s="26" t="n">
        <v>3.6</v>
      </c>
      <c r="N495" s="25">
        <f>ROUND(L495/M495, 0)</f>
        <v/>
      </c>
      <c r="O495" s="25">
        <f>ROUND(N495*'Methodology &amp; Assumptions'!$B$7, 0)</f>
        <v/>
      </c>
      <c r="P495" s="23" t="inlineStr">
        <is>
          <t>Single Carrier (Band n50, 100MHz TDD)</t>
        </is>
      </c>
      <c r="Q495" s="27">
        <f>ROUNDUP(O495/'Methodology &amp; Assumptions'!$B$8, 0)</f>
        <v/>
      </c>
      <c r="R495" s="27" t="n">
        <v>1</v>
      </c>
      <c r="S495" s="26" t="n">
        <v>0.51</v>
      </c>
      <c r="T495" s="26" t="n">
        <v>0.19</v>
      </c>
      <c r="U495" s="11">
        <f>IF(S495&lt;='Methodology &amp; Assumptions'!$B$10, "Direct Optical Drop (&lt;3km)", IF(S495&lt;='Methodology &amp; Assumptions'!$B$9, "Near Optical / Microwave (&lt;5km)", "Starlink Business LEO Satellite Backhaul (&gt;5km)"))</f>
        <v/>
      </c>
      <c r="V495" s="26" t="n">
        <v>85.45999999999999</v>
      </c>
      <c r="W495" s="26" t="n">
        <v>33.31</v>
      </c>
      <c r="X495" s="26">
        <f>ROUND(('Methodology &amp; Assumptions'!$B$5*V495) + ('Methodology &amp; Assumptions'!$B$6*W495), 2)</f>
        <v/>
      </c>
      <c r="Y495" s="28" t="n">
        <v>7.2</v>
      </c>
      <c r="Z495" s="11" t="inlineStr">
        <is>
          <t>Priority Tier 3 (Broadband Expansion)</t>
        </is>
      </c>
    </row>
    <row r="496">
      <c r="A496" s="23" t="n">
        <v>4</v>
      </c>
      <c r="B496" s="23" t="n">
        <v>492</v>
      </c>
      <c r="C496" s="23" t="n">
        <v>3492</v>
      </c>
      <c r="D496" s="23" t="inlineStr">
        <is>
          <t>0704616013</t>
        </is>
      </c>
      <c r="E496" s="11" t="inlineStr">
        <is>
          <t>Region VII (Central Visayas)</t>
        </is>
      </c>
      <c r="F496" s="11" t="inlineStr">
        <is>
          <t>Negros Oriental</t>
        </is>
      </c>
      <c r="G496" s="11" t="inlineStr">
        <is>
          <t>Pamplona</t>
        </is>
      </c>
      <c r="H496" s="11" t="inlineStr">
        <is>
          <t>San Isidro</t>
        </is>
      </c>
      <c r="I496" s="24" t="n">
        <v>9.412649999999999</v>
      </c>
      <c r="J496" s="24" t="n">
        <v>123.00172</v>
      </c>
      <c r="K496" s="23" t="inlineStr">
        <is>
          <t>R</t>
        </is>
      </c>
      <c r="L496" s="25" t="n">
        <v>3350</v>
      </c>
      <c r="M496" s="26" t="n">
        <v>3.8</v>
      </c>
      <c r="N496" s="25">
        <f>ROUND(L496/M496, 0)</f>
        <v/>
      </c>
      <c r="O496" s="25">
        <f>ROUND(N496*'Methodology &amp; Assumptions'!$B$7, 0)</f>
        <v/>
      </c>
      <c r="P496" s="23" t="inlineStr">
        <is>
          <t>Single Carrier (Band n50, 100MHz TDD)</t>
        </is>
      </c>
      <c r="Q496" s="27">
        <f>ROUNDUP(O496/'Methodology &amp; Assumptions'!$B$8, 0)</f>
        <v/>
      </c>
      <c r="R496" s="27" t="n">
        <v>1</v>
      </c>
      <c r="S496" s="26" t="n">
        <v>21.6</v>
      </c>
      <c r="T496" s="26" t="n">
        <v>17.32</v>
      </c>
      <c r="U496" s="11">
        <f>IF(S496&lt;='Methodology &amp; Assumptions'!$B$10, "Direct Optical Drop (&lt;3km)", IF(S496&lt;='Methodology &amp; Assumptions'!$B$9, "Near Optical / Microwave (&lt;5km)", "Starlink Business LEO Satellite Backhaul (&gt;5km)"))</f>
        <v/>
      </c>
      <c r="V496" s="26" t="n">
        <v>62.81</v>
      </c>
      <c r="W496" s="26" t="n">
        <v>55.95</v>
      </c>
      <c r="X496" s="26">
        <f>ROUND(('Methodology &amp; Assumptions'!$B$5*V496) + ('Methodology &amp; Assumptions'!$B$6*W496), 2)</f>
        <v/>
      </c>
      <c r="Y496" s="28" t="n">
        <v>23.7</v>
      </c>
      <c r="Z496" s="11" t="inlineStr">
        <is>
          <t>Priority Tier 3 (Broadband Expansion)</t>
        </is>
      </c>
    </row>
    <row r="497">
      <c r="A497" s="23" t="n">
        <v>4</v>
      </c>
      <c r="B497" s="23" t="n">
        <v>493</v>
      </c>
      <c r="C497" s="23" t="n">
        <v>3493</v>
      </c>
      <c r="D497" s="23" t="inlineStr">
        <is>
          <t>0307105010</t>
        </is>
      </c>
      <c r="E497" s="11" t="inlineStr">
        <is>
          <t>Region III (Central Luzon)</t>
        </is>
      </c>
      <c r="F497" s="11" t="inlineStr">
        <is>
          <t>Zambales</t>
        </is>
      </c>
      <c r="G497" s="11" t="inlineStr">
        <is>
          <t>Iba</t>
        </is>
      </c>
      <c r="H497" s="11" t="inlineStr">
        <is>
          <t>Lipay-Dingin-Panibuatan</t>
        </is>
      </c>
      <c r="I497" s="24" t="n">
        <v>15.321384</v>
      </c>
      <c r="J497" s="24" t="n">
        <v>119.973228</v>
      </c>
      <c r="K497" s="23" t="inlineStr">
        <is>
          <t>R</t>
        </is>
      </c>
      <c r="L497" s="25" t="n">
        <v>3572</v>
      </c>
      <c r="M497" s="26" t="n">
        <v>3.8</v>
      </c>
      <c r="N497" s="25">
        <f>ROUND(L497/M497, 0)</f>
        <v/>
      </c>
      <c r="O497" s="25">
        <f>ROUND(N497*'Methodology &amp; Assumptions'!$B$7, 0)</f>
        <v/>
      </c>
      <c r="P497" s="23" t="inlineStr">
        <is>
          <t>Single Carrier (Band n50, 100MHz TDD)</t>
        </is>
      </c>
      <c r="Q497" s="27">
        <f>ROUNDUP(O497/'Methodology &amp; Assumptions'!$B$8, 0)</f>
        <v/>
      </c>
      <c r="R497" s="27" t="n">
        <v>1</v>
      </c>
      <c r="S497" s="26" t="n">
        <v>0.8</v>
      </c>
      <c r="T497" s="26" t="n">
        <v>0.77</v>
      </c>
      <c r="U497" s="11">
        <f>IF(S497&lt;='Methodology &amp; Assumptions'!$B$10, "Direct Optical Drop (&lt;3km)", IF(S497&lt;='Methodology &amp; Assumptions'!$B$9, "Near Optical / Microwave (&lt;5km)", "Starlink Business LEO Satellite Backhaul (&gt;5km)"))</f>
        <v/>
      </c>
      <c r="V497" s="26" t="n">
        <v>85.63</v>
      </c>
      <c r="W497" s="26" t="n">
        <v>33.11</v>
      </c>
      <c r="X497" s="26">
        <f>ROUND(('Methodology &amp; Assumptions'!$B$5*V497) + ('Methodology &amp; Assumptions'!$B$6*W497), 2)</f>
        <v/>
      </c>
      <c r="Y497" s="28" t="n">
        <v>8.300000000000001</v>
      </c>
      <c r="Z497" s="11" t="inlineStr">
        <is>
          <t>Priority Tier 3 (Broadband Expansion)</t>
        </is>
      </c>
    </row>
    <row r="498">
      <c r="A498" s="23" t="n">
        <v>4</v>
      </c>
      <c r="B498" s="23" t="n">
        <v>494</v>
      </c>
      <c r="C498" s="23" t="n">
        <v>3494</v>
      </c>
      <c r="D498" s="23" t="inlineStr">
        <is>
          <t>0203108032</t>
        </is>
      </c>
      <c r="E498" s="11" t="inlineStr">
        <is>
          <t>Region II (Cagayan Valley)</t>
        </is>
      </c>
      <c r="F498" s="11" t="inlineStr">
        <is>
          <t>Isabela</t>
        </is>
      </c>
      <c r="G498" s="11" t="inlineStr">
        <is>
          <t>City of Cauayan</t>
        </is>
      </c>
      <c r="H498" s="11" t="inlineStr">
        <is>
          <t>District II</t>
        </is>
      </c>
      <c r="I498" s="24" t="n">
        <v>16.933048</v>
      </c>
      <c r="J498" s="24" t="n">
        <v>121.760863</v>
      </c>
      <c r="K498" s="23" t="inlineStr">
        <is>
          <t>U</t>
        </is>
      </c>
      <c r="L498" s="25" t="n">
        <v>2345</v>
      </c>
      <c r="M498" s="26" t="n">
        <v>3.8</v>
      </c>
      <c r="N498" s="25">
        <f>ROUND(L498/M498, 0)</f>
        <v/>
      </c>
      <c r="O498" s="25">
        <f>ROUND(N498*'Methodology &amp; Assumptions'!$B$7, 0)</f>
        <v/>
      </c>
      <c r="P498" s="23" t="inlineStr">
        <is>
          <t>Single Carrier (Band n50, 100MHz TDD)</t>
        </is>
      </c>
      <c r="Q498" s="27">
        <f>ROUNDUP(O498/'Methodology &amp; Assumptions'!$B$8, 0)</f>
        <v/>
      </c>
      <c r="R498" s="27" t="n">
        <v>1</v>
      </c>
      <c r="S498" s="26" t="n">
        <v>0.5600000000000001</v>
      </c>
      <c r="T498" s="26" t="n">
        <v>0.48</v>
      </c>
      <c r="U498" s="11">
        <f>IF(S498&lt;='Methodology &amp; Assumptions'!$B$10, "Direct Optical Drop (&lt;3km)", IF(S498&lt;='Methodology &amp; Assumptions'!$B$9, "Near Optical / Microwave (&lt;5km)", "Starlink Business LEO Satellite Backhaul (&gt;5km)"))</f>
        <v/>
      </c>
      <c r="V498" s="26" t="n">
        <v>71.86</v>
      </c>
      <c r="W498" s="26" t="n">
        <v>46.88</v>
      </c>
      <c r="X498" s="26">
        <f>ROUND(('Methodology &amp; Assumptions'!$B$5*V498) + ('Methodology &amp; Assumptions'!$B$6*W498), 2)</f>
        <v/>
      </c>
      <c r="Y498" s="28" t="n">
        <v>8.300000000000001</v>
      </c>
      <c r="Z498" s="11" t="inlineStr">
        <is>
          <t>Priority Tier 3 (Broadband Expansion)</t>
        </is>
      </c>
    </row>
    <row r="499">
      <c r="A499" s="23" t="n">
        <v>4</v>
      </c>
      <c r="B499" s="23" t="n">
        <v>495</v>
      </c>
      <c r="C499" s="23" t="n">
        <v>3495</v>
      </c>
      <c r="D499" s="23" t="inlineStr">
        <is>
          <t>1380606108</t>
        </is>
      </c>
      <c r="E499" s="11" t="inlineStr">
        <is>
          <t>National Capital Region (NCR)</t>
        </is>
      </c>
      <c r="F499" s="11" t="inlineStr">
        <is>
          <t>First District (Not a Province)</t>
        </is>
      </c>
      <c r="G499" s="11" t="inlineStr">
        <is>
          <t>City of Manila</t>
        </is>
      </c>
      <c r="H499" s="11" t="inlineStr">
        <is>
          <t>Barangay 502</t>
        </is>
      </c>
      <c r="I499" s="24" t="n">
        <v>14.614057</v>
      </c>
      <c r="J499" s="24" t="n">
        <v>120.997921</v>
      </c>
      <c r="K499" s="23" t="inlineStr">
        <is>
          <t>U</t>
        </is>
      </c>
      <c r="L499" s="25" t="n">
        <v>920</v>
      </c>
      <c r="M499" s="26" t="n">
        <v>4.26</v>
      </c>
      <c r="N499" s="25">
        <f>ROUND(L499/M499, 0)</f>
        <v/>
      </c>
      <c r="O499" s="25">
        <f>ROUND(N499*'Methodology &amp; Assumptions'!$B$7, 0)</f>
        <v/>
      </c>
      <c r="P499" s="23" t="inlineStr">
        <is>
          <t>Single Carrier (Band n50, 100MHz TDD)</t>
        </is>
      </c>
      <c r="Q499" s="27">
        <f>ROUNDUP(O499/'Methodology &amp; Assumptions'!$B$8, 0)</f>
        <v/>
      </c>
      <c r="R499" s="27" t="n">
        <v>1</v>
      </c>
      <c r="S499" s="26" t="n">
        <v>0.72</v>
      </c>
      <c r="T499" s="26" t="n">
        <v>0.04</v>
      </c>
      <c r="U499" s="11">
        <f>IF(S499&lt;='Methodology &amp; Assumptions'!$B$10, "Direct Optical Drop (&lt;3km)", IF(S499&lt;='Methodology &amp; Assumptions'!$B$9, "Near Optical / Microwave (&lt;5km)", "Starlink Business LEO Satellite Backhaul (&gt;5km)"))</f>
        <v/>
      </c>
      <c r="V499" s="26" t="n">
        <v>48.05</v>
      </c>
      <c r="W499" s="26" t="n">
        <v>70.68000000000001</v>
      </c>
      <c r="X499" s="26">
        <f>ROUND(('Methodology &amp; Assumptions'!$B$5*V499) + ('Methodology &amp; Assumptions'!$B$6*W499), 2)</f>
        <v/>
      </c>
      <c r="Y499" s="28" t="n">
        <v>10.9</v>
      </c>
      <c r="Z499" s="11" t="inlineStr">
        <is>
          <t>Priority Tier 3 (Broadband Expansion)</t>
        </is>
      </c>
    </row>
    <row r="500">
      <c r="A500" s="23" t="n">
        <v>4</v>
      </c>
      <c r="B500" s="23" t="n">
        <v>496</v>
      </c>
      <c r="C500" s="23" t="n">
        <v>3496</v>
      </c>
      <c r="D500" s="23" t="inlineStr">
        <is>
          <t>0401029045</t>
        </is>
      </c>
      <c r="E500" s="11" t="inlineStr">
        <is>
          <t>Region IV-A (CALABARZON)</t>
        </is>
      </c>
      <c r="F500" s="11" t="inlineStr">
        <is>
          <t>Batangas</t>
        </is>
      </c>
      <c r="G500" s="11" t="inlineStr">
        <is>
          <t>Taal</t>
        </is>
      </c>
      <c r="H500" s="11" t="inlineStr">
        <is>
          <t>Laguile</t>
        </is>
      </c>
      <c r="I500" s="24" t="n">
        <v>13.907846</v>
      </c>
      <c r="J500" s="24" t="n">
        <v>120.923087</v>
      </c>
      <c r="K500" s="23" t="inlineStr">
        <is>
          <t>R</t>
        </is>
      </c>
      <c r="L500" s="25" t="n">
        <v>3320</v>
      </c>
      <c r="M500" s="26" t="n">
        <v>3.6</v>
      </c>
      <c r="N500" s="25">
        <f>ROUND(L500/M500, 0)</f>
        <v/>
      </c>
      <c r="O500" s="25">
        <f>ROUND(N500*'Methodology &amp; Assumptions'!$B$7, 0)</f>
        <v/>
      </c>
      <c r="P500" s="23" t="inlineStr">
        <is>
          <t>Single Carrier (Band n50, 100MHz TDD)</t>
        </is>
      </c>
      <c r="Q500" s="27">
        <f>ROUNDUP(O500/'Methodology &amp; Assumptions'!$B$8, 0)</f>
        <v/>
      </c>
      <c r="R500" s="27" t="n">
        <v>1</v>
      </c>
      <c r="S500" s="26" t="n">
        <v>1.17</v>
      </c>
      <c r="T500" s="26" t="n">
        <v>1.13</v>
      </c>
      <c r="U500" s="11">
        <f>IF(S500&lt;='Methodology &amp; Assumptions'!$B$10, "Direct Optical Drop (&lt;3km)", IF(S500&lt;='Methodology &amp; Assumptions'!$B$9, "Near Optical / Microwave (&lt;5km)", "Starlink Business LEO Satellite Backhaul (&gt;5km)"))</f>
        <v/>
      </c>
      <c r="V500" s="26" t="n">
        <v>84.20999999999999</v>
      </c>
      <c r="W500" s="26" t="n">
        <v>34.51</v>
      </c>
      <c r="X500" s="26">
        <f>ROUND(('Methodology &amp; Assumptions'!$B$5*V500) + ('Methodology &amp; Assumptions'!$B$6*W500), 2)</f>
        <v/>
      </c>
      <c r="Y500" s="28" t="n">
        <v>7.2</v>
      </c>
      <c r="Z500" s="11" t="inlineStr">
        <is>
          <t>Priority Tier 3 (Broadband Expansion)</t>
        </is>
      </c>
    </row>
    <row r="501">
      <c r="A501" s="23" t="n">
        <v>4</v>
      </c>
      <c r="B501" s="23" t="n">
        <v>497</v>
      </c>
      <c r="C501" s="23" t="n">
        <v>3497</v>
      </c>
      <c r="D501" s="23" t="inlineStr">
        <is>
          <t>0305413043</t>
        </is>
      </c>
      <c r="E501" s="11" t="inlineStr">
        <is>
          <t>Region III (Central Luzon)</t>
        </is>
      </c>
      <c r="F501" s="11" t="inlineStr">
        <is>
          <t>Pampanga</t>
        </is>
      </c>
      <c r="G501" s="11" t="inlineStr">
        <is>
          <t>Mexico</t>
        </is>
      </c>
      <c r="H501" s="11" t="inlineStr">
        <is>
          <t>Santo Rosario</t>
        </is>
      </c>
      <c r="I501" s="24" t="n">
        <v>15.06766</v>
      </c>
      <c r="J501" s="24" t="n">
        <v>120.7278</v>
      </c>
      <c r="K501" s="23" t="inlineStr">
        <is>
          <t>U</t>
        </is>
      </c>
      <c r="L501" s="25" t="n">
        <v>4417</v>
      </c>
      <c r="M501" s="26" t="n">
        <v>4</v>
      </c>
      <c r="N501" s="25">
        <f>ROUND(L501/M501, 0)</f>
        <v/>
      </c>
      <c r="O501" s="25">
        <f>ROUND(N501*'Methodology &amp; Assumptions'!$B$7, 0)</f>
        <v/>
      </c>
      <c r="P501" s="23" t="inlineStr">
        <is>
          <t>Single Carrier (Band n50, 100MHz TDD)</t>
        </is>
      </c>
      <c r="Q501" s="27">
        <f>ROUNDUP(O501/'Methodology &amp; Assumptions'!$B$8, 0)</f>
        <v/>
      </c>
      <c r="R501" s="27" t="n">
        <v>1</v>
      </c>
      <c r="S501" s="26" t="n">
        <v>0.58</v>
      </c>
      <c r="T501" s="26" t="n">
        <v>0.17</v>
      </c>
      <c r="U501" s="11">
        <f>IF(S501&lt;='Methodology &amp; Assumptions'!$B$10, "Direct Optical Drop (&lt;3km)", IF(S501&lt;='Methodology &amp; Assumptions'!$B$9, "Near Optical / Microwave (&lt;5km)", "Starlink Business LEO Satellite Backhaul (&gt;5km)"))</f>
        <v/>
      </c>
      <c r="V501" s="26" t="n">
        <v>78.43000000000001</v>
      </c>
      <c r="W501" s="26" t="n">
        <v>40.28</v>
      </c>
      <c r="X501" s="26">
        <f>ROUND(('Methodology &amp; Assumptions'!$B$5*V501) + ('Methodology &amp; Assumptions'!$B$6*W501), 2)</f>
        <v/>
      </c>
      <c r="Y501" s="28" t="n">
        <v>8.300000000000001</v>
      </c>
      <c r="Z501" s="11" t="inlineStr">
        <is>
          <t>Priority Tier 3 (Broadband Expansion)</t>
        </is>
      </c>
    </row>
    <row r="502">
      <c r="A502" s="23" t="n">
        <v>4</v>
      </c>
      <c r="B502" s="23" t="n">
        <v>498</v>
      </c>
      <c r="C502" s="23" t="n">
        <v>3498</v>
      </c>
      <c r="D502" s="23" t="inlineStr">
        <is>
          <t>0803734019</t>
        </is>
      </c>
      <c r="E502" s="11" t="inlineStr">
        <is>
          <t>Region VIII (Eastern Visayas)</t>
        </is>
      </c>
      <c r="F502" s="11" t="inlineStr">
        <is>
          <t>Leyte</t>
        </is>
      </c>
      <c r="G502" s="11" t="inlineStr">
        <is>
          <t>Matalom</t>
        </is>
      </c>
      <c r="H502" s="11" t="inlineStr">
        <is>
          <t>President Garcia</t>
        </is>
      </c>
      <c r="I502" s="24" t="n">
        <v>10.2455</v>
      </c>
      <c r="J502" s="24" t="n">
        <v>124.8327</v>
      </c>
      <c r="K502" s="23" t="inlineStr">
        <is>
          <t>R</t>
        </is>
      </c>
      <c r="L502" s="25" t="n">
        <v>874</v>
      </c>
      <c r="M502" s="26" t="n">
        <v>3.8</v>
      </c>
      <c r="N502" s="25">
        <f>ROUND(L502/M502, 0)</f>
        <v/>
      </c>
      <c r="O502" s="25">
        <f>ROUND(N502*'Methodology &amp; Assumptions'!$B$7, 0)</f>
        <v/>
      </c>
      <c r="P502" s="23" t="inlineStr">
        <is>
          <t>Single Carrier (Band n50, 100MHz TDD)</t>
        </is>
      </c>
      <c r="Q502" s="27">
        <f>ROUNDUP(O502/'Methodology &amp; Assumptions'!$B$8, 0)</f>
        <v/>
      </c>
      <c r="R502" s="27" t="n">
        <v>1</v>
      </c>
      <c r="S502" s="26" t="n">
        <v>12.28</v>
      </c>
      <c r="T502" s="26" t="n">
        <v>6.16</v>
      </c>
      <c r="U502" s="11">
        <f>IF(S502&lt;='Methodology &amp; Assumptions'!$B$10, "Direct Optical Drop (&lt;3km)", IF(S502&lt;='Methodology &amp; Assumptions'!$B$9, "Near Optical / Microwave (&lt;5km)", "Starlink Business LEO Satellite Backhaul (&gt;5km)"))</f>
        <v/>
      </c>
      <c r="V502" s="26" t="n">
        <v>45.5</v>
      </c>
      <c r="W502" s="26" t="n">
        <v>73.23</v>
      </c>
      <c r="X502" s="26">
        <f>ROUND(('Methodology &amp; Assumptions'!$B$5*V502) + ('Methodology &amp; Assumptions'!$B$6*W502), 2)</f>
        <v/>
      </c>
      <c r="Y502" s="28" t="n">
        <v>23.7</v>
      </c>
      <c r="Z502" s="11" t="inlineStr">
        <is>
          <t>Priority Tier 3 (Broadband Expansion)</t>
        </is>
      </c>
    </row>
    <row r="503">
      <c r="A503" s="23" t="n">
        <v>4</v>
      </c>
      <c r="B503" s="23" t="n">
        <v>499</v>
      </c>
      <c r="C503" s="23" t="n">
        <v>3499</v>
      </c>
      <c r="D503" s="23" t="inlineStr">
        <is>
          <t>1403213027</t>
        </is>
      </c>
      <c r="E503" s="11" t="inlineStr">
        <is>
          <t>Cordillera Administrative Region (CAR)</t>
        </is>
      </c>
      <c r="F503" s="11" t="inlineStr">
        <is>
          <t>Kalinga</t>
        </is>
      </c>
      <c r="G503" s="11" t="inlineStr">
        <is>
          <t>City of Tabuk</t>
        </is>
      </c>
      <c r="H503" s="11" t="inlineStr">
        <is>
          <t>Naneng</t>
        </is>
      </c>
      <c r="I503" s="24" t="n">
        <v>17.393174</v>
      </c>
      <c r="J503" s="24" t="n">
        <v>121.259775</v>
      </c>
      <c r="K503" s="23" t="inlineStr">
        <is>
          <t>R</t>
        </is>
      </c>
      <c r="L503" s="25" t="n">
        <v>734</v>
      </c>
      <c r="M503" s="26" t="n">
        <v>4.3</v>
      </c>
      <c r="N503" s="25">
        <f>ROUND(L503/M503, 0)</f>
        <v/>
      </c>
      <c r="O503" s="25">
        <f>ROUND(N503*'Methodology &amp; Assumptions'!$B$7, 0)</f>
        <v/>
      </c>
      <c r="P503" s="23" t="inlineStr">
        <is>
          <t>Single Carrier (Band n50, 100MHz TDD)</t>
        </is>
      </c>
      <c r="Q503" s="27">
        <f>ROUNDUP(O503/'Methodology &amp; Assumptions'!$B$8, 0)</f>
        <v/>
      </c>
      <c r="R503" s="27" t="n">
        <v>1</v>
      </c>
      <c r="S503" s="26" t="n">
        <v>18.59</v>
      </c>
      <c r="T503" s="26" t="n">
        <v>2.1</v>
      </c>
      <c r="U503" s="11">
        <f>IF(S503&lt;='Methodology &amp; Assumptions'!$B$10, "Direct Optical Drop (&lt;3km)", IF(S503&lt;='Methodology &amp; Assumptions'!$B$9, "Near Optical / Microwave (&lt;5km)", "Starlink Business LEO Satellite Backhaul (&gt;5km)"))</f>
        <v/>
      </c>
      <c r="V503" s="26" t="n">
        <v>38.25</v>
      </c>
      <c r="W503" s="26" t="n">
        <v>80.47</v>
      </c>
      <c r="X503" s="26">
        <f>ROUND(('Methodology &amp; Assumptions'!$B$5*V503) + ('Methodology &amp; Assumptions'!$B$6*W503), 2)</f>
        <v/>
      </c>
      <c r="Y503" s="28" t="n">
        <v>10.9</v>
      </c>
      <c r="Z503" s="11" t="inlineStr">
        <is>
          <t>Priority Tier 3 (Broadband Expansion)</t>
        </is>
      </c>
    </row>
    <row r="504">
      <c r="A504" s="23" t="n">
        <v>4</v>
      </c>
      <c r="B504" s="23" t="n">
        <v>500</v>
      </c>
      <c r="C504" s="23" t="n">
        <v>3500</v>
      </c>
      <c r="D504" s="23" t="inlineStr">
        <is>
          <t>0500517015</t>
        </is>
      </c>
      <c r="E504" s="11" t="inlineStr">
        <is>
          <t>Region V (Bicol Region)</t>
        </is>
      </c>
      <c r="F504" s="11" t="inlineStr">
        <is>
          <t>Albay</t>
        </is>
      </c>
      <c r="G504" s="11" t="inlineStr">
        <is>
          <t>City of Tabaco</t>
        </is>
      </c>
      <c r="H504" s="11" t="inlineStr">
        <is>
          <t>Cobo</t>
        </is>
      </c>
      <c r="I504" s="24" t="n">
        <v>13.350918</v>
      </c>
      <c r="J504" s="24" t="n">
        <v>123.727739</v>
      </c>
      <c r="K504" s="23" t="inlineStr">
        <is>
          <t>R</t>
        </is>
      </c>
      <c r="L504" s="25" t="n">
        <v>3451</v>
      </c>
      <c r="M504" s="26" t="n">
        <v>4.1</v>
      </c>
      <c r="N504" s="25">
        <f>ROUND(L504/M504, 0)</f>
        <v/>
      </c>
      <c r="O504" s="25">
        <f>ROUND(N504*'Methodology &amp; Assumptions'!$B$7, 0)</f>
        <v/>
      </c>
      <c r="P504" s="23" t="inlineStr">
        <is>
          <t>Single Carrier (Band n50, 100MHz TDD)</t>
        </is>
      </c>
      <c r="Q504" s="27">
        <f>ROUNDUP(O504/'Methodology &amp; Assumptions'!$B$8, 0)</f>
        <v/>
      </c>
      <c r="R504" s="27" t="n">
        <v>1</v>
      </c>
      <c r="S504" s="26" t="n">
        <v>0.44</v>
      </c>
      <c r="T504" s="26" t="n">
        <v>0.42</v>
      </c>
      <c r="U504" s="11">
        <f>IF(S504&lt;='Methodology &amp; Assumptions'!$B$10, "Direct Optical Drop (&lt;3km)", IF(S504&lt;='Methodology &amp; Assumptions'!$B$9, "Near Optical / Microwave (&lt;5km)", "Starlink Business LEO Satellite Backhaul (&gt;5km)"))</f>
        <v/>
      </c>
      <c r="V504" s="26" t="n">
        <v>87.11</v>
      </c>
      <c r="W504" s="26" t="n">
        <v>31.59</v>
      </c>
      <c r="X504" s="26">
        <f>ROUND(('Methodology &amp; Assumptions'!$B$5*V504) + ('Methodology &amp; Assumptions'!$B$6*W504), 2)</f>
        <v/>
      </c>
      <c r="Y504" s="28" t="n">
        <v>23.7</v>
      </c>
      <c r="Z504" s="11" t="inlineStr">
        <is>
          <t>Priority Tier 3 (Broadband Expansion)</t>
        </is>
      </c>
    </row>
    <row r="505">
      <c r="A505" s="23" t="n">
        <v>4</v>
      </c>
      <c r="B505" s="23" t="n">
        <v>501</v>
      </c>
      <c r="C505" s="23" t="n">
        <v>3501</v>
      </c>
      <c r="D505" s="23" t="inlineStr">
        <is>
          <t>1380605009</t>
        </is>
      </c>
      <c r="E505" s="11" t="inlineStr">
        <is>
          <t>National Capital Region (NCR)</t>
        </is>
      </c>
      <c r="F505" s="11" t="inlineStr">
        <is>
          <t>First District (Not a Province)</t>
        </is>
      </c>
      <c r="G505" s="11" t="inlineStr">
        <is>
          <t>City of Manila</t>
        </is>
      </c>
      <c r="H505" s="11" t="inlineStr">
        <is>
          <t>Barangay 305</t>
        </is>
      </c>
      <c r="I505" s="24" t="n">
        <v>14.60319</v>
      </c>
      <c r="J505" s="24" t="n">
        <v>120.9798</v>
      </c>
      <c r="K505" s="23" t="inlineStr">
        <is>
          <t>U</t>
        </is>
      </c>
      <c r="L505" s="25" t="n">
        <v>899</v>
      </c>
      <c r="M505" s="26" t="n">
        <v>3.35</v>
      </c>
      <c r="N505" s="25">
        <f>ROUND(L505/M505, 0)</f>
        <v/>
      </c>
      <c r="O505" s="25">
        <f>ROUND(N505*'Methodology &amp; Assumptions'!$B$7, 0)</f>
        <v/>
      </c>
      <c r="P505" s="23" t="inlineStr">
        <is>
          <t>Single Carrier (Band n50, 100MHz TDD)</t>
        </is>
      </c>
      <c r="Q505" s="27">
        <f>ROUNDUP(O505/'Methodology &amp; Assumptions'!$B$8, 0)</f>
        <v/>
      </c>
      <c r="R505" s="27" t="n">
        <v>1</v>
      </c>
      <c r="S505" s="26" t="n">
        <v>1.16</v>
      </c>
      <c r="T505" s="26" t="n">
        <v>0.13</v>
      </c>
      <c r="U505" s="11">
        <f>IF(S505&lt;='Methodology &amp; Assumptions'!$B$10, "Direct Optical Drop (&lt;3km)", IF(S505&lt;='Methodology &amp; Assumptions'!$B$9, "Near Optical / Microwave (&lt;5km)", "Starlink Business LEO Satellite Backhaul (&gt;5km)"))</f>
        <v/>
      </c>
      <c r="V505" s="26" t="n">
        <v>48.43</v>
      </c>
      <c r="W505" s="26" t="n">
        <v>70.26000000000001</v>
      </c>
      <c r="X505" s="26">
        <f>ROUND(('Methodology &amp; Assumptions'!$B$5*V505) + ('Methodology &amp; Assumptions'!$B$6*W505), 2)</f>
        <v/>
      </c>
      <c r="Y505" s="28" t="n">
        <v>10.9</v>
      </c>
      <c r="Z505" s="11" t="inlineStr">
        <is>
          <t>Priority Tier 3 (Broadband Expansion)</t>
        </is>
      </c>
    </row>
    <row r="506">
      <c r="A506" s="23" t="n">
        <v>4</v>
      </c>
      <c r="B506" s="23" t="n">
        <v>502</v>
      </c>
      <c r="C506" s="23" t="n">
        <v>3502</v>
      </c>
      <c r="D506" s="23" t="inlineStr">
        <is>
          <t>1380606009</t>
        </is>
      </c>
      <c r="E506" s="11" t="inlineStr">
        <is>
          <t>National Capital Region (NCR)</t>
        </is>
      </c>
      <c r="F506" s="11" t="inlineStr">
        <is>
          <t>First District (Not a Province)</t>
        </is>
      </c>
      <c r="G506" s="11" t="inlineStr">
        <is>
          <t>City of Manila</t>
        </is>
      </c>
      <c r="H506" s="11" t="inlineStr">
        <is>
          <t>Barangay 403</t>
        </is>
      </c>
      <c r="I506" s="24" t="n">
        <v>14.6028</v>
      </c>
      <c r="J506" s="24" t="n">
        <v>120.990484</v>
      </c>
      <c r="K506" s="23" t="inlineStr">
        <is>
          <t>U</t>
        </is>
      </c>
      <c r="L506" s="25" t="n">
        <v>755</v>
      </c>
      <c r="M506" s="26" t="n">
        <v>3.45</v>
      </c>
      <c r="N506" s="25">
        <f>ROUND(L506/M506, 0)</f>
        <v/>
      </c>
      <c r="O506" s="25">
        <f>ROUND(N506*'Methodology &amp; Assumptions'!$B$7, 0)</f>
        <v/>
      </c>
      <c r="P506" s="23" t="inlineStr">
        <is>
          <t>Single Carrier (Band n50, 100MHz TDD)</t>
        </is>
      </c>
      <c r="Q506" s="27">
        <f>ROUNDUP(O506/'Methodology &amp; Assumptions'!$B$8, 0)</f>
        <v/>
      </c>
      <c r="R506" s="27" t="n">
        <v>1</v>
      </c>
      <c r="S506" s="26" t="n">
        <v>0.08</v>
      </c>
      <c r="T506" s="26" t="n">
        <v>0.09</v>
      </c>
      <c r="U506" s="11">
        <f>IF(S506&lt;='Methodology &amp; Assumptions'!$B$10, "Direct Optical Drop (&lt;3km)", IF(S506&lt;='Methodology &amp; Assumptions'!$B$9, "Near Optical / Microwave (&lt;5km)", "Starlink Business LEO Satellite Backhaul (&gt;5km)"))</f>
        <v/>
      </c>
      <c r="V506" s="26" t="n">
        <v>48.16</v>
      </c>
      <c r="W506" s="26" t="n">
        <v>70.53</v>
      </c>
      <c r="X506" s="26">
        <f>ROUND(('Methodology &amp; Assumptions'!$B$5*V506) + ('Methodology &amp; Assumptions'!$B$6*W506), 2)</f>
        <v/>
      </c>
      <c r="Y506" s="28" t="n">
        <v>10.9</v>
      </c>
      <c r="Z506" s="11" t="inlineStr">
        <is>
          <t>Priority Tier 3 (Broadband Expansion)</t>
        </is>
      </c>
    </row>
    <row r="507">
      <c r="A507" s="23" t="n">
        <v>4</v>
      </c>
      <c r="B507" s="23" t="n">
        <v>503</v>
      </c>
      <c r="C507" s="23" t="n">
        <v>3503</v>
      </c>
      <c r="D507" s="23" t="inlineStr">
        <is>
          <t>0307701013</t>
        </is>
      </c>
      <c r="E507" s="11" t="inlineStr">
        <is>
          <t>Region III (Central Luzon)</t>
        </is>
      </c>
      <c r="F507" s="11" t="inlineStr">
        <is>
          <t>Aurora</t>
        </is>
      </c>
      <c r="G507" s="11" t="inlineStr">
        <is>
          <t>Baler</t>
        </is>
      </c>
      <c r="H507" s="11" t="inlineStr">
        <is>
          <t>Zabali</t>
        </is>
      </c>
      <c r="I507" s="24" t="n">
        <v>15.755472</v>
      </c>
      <c r="J507" s="24" t="n">
        <v>121.565059</v>
      </c>
      <c r="K507" s="23" t="inlineStr">
        <is>
          <t>R</t>
        </is>
      </c>
      <c r="L507" s="25" t="n">
        <v>3663</v>
      </c>
      <c r="M507" s="26" t="n">
        <v>3.8</v>
      </c>
      <c r="N507" s="25">
        <f>ROUND(L507/M507, 0)</f>
        <v/>
      </c>
      <c r="O507" s="25">
        <f>ROUND(N507*'Methodology &amp; Assumptions'!$B$7, 0)</f>
        <v/>
      </c>
      <c r="P507" s="23" t="inlineStr">
        <is>
          <t>Single Carrier (Band n50, 100MHz TDD)</t>
        </is>
      </c>
      <c r="Q507" s="27">
        <f>ROUNDUP(O507/'Methodology &amp; Assumptions'!$B$8, 0)</f>
        <v/>
      </c>
      <c r="R507" s="27" t="n">
        <v>1</v>
      </c>
      <c r="S507" s="26" t="n">
        <v>0.61</v>
      </c>
      <c r="T507" s="26" t="n">
        <v>0.47</v>
      </c>
      <c r="U507" s="11">
        <f>IF(S507&lt;='Methodology &amp; Assumptions'!$B$10, "Direct Optical Drop (&lt;3km)", IF(S507&lt;='Methodology &amp; Assumptions'!$B$9, "Near Optical / Microwave (&lt;5km)", "Starlink Business LEO Satellite Backhaul (&gt;5km)"))</f>
        <v/>
      </c>
      <c r="V507" s="26" t="n">
        <v>85.63</v>
      </c>
      <c r="W507" s="26" t="n">
        <v>33.05</v>
      </c>
      <c r="X507" s="26">
        <f>ROUND(('Methodology &amp; Assumptions'!$B$5*V507) + ('Methodology &amp; Assumptions'!$B$6*W507), 2)</f>
        <v/>
      </c>
      <c r="Y507" s="28" t="n">
        <v>8.300000000000001</v>
      </c>
      <c r="Z507" s="11" t="inlineStr">
        <is>
          <t>Priority Tier 3 (Broadband Expansion)</t>
        </is>
      </c>
    </row>
    <row r="508">
      <c r="A508" s="23" t="n">
        <v>4</v>
      </c>
      <c r="B508" s="23" t="n">
        <v>504</v>
      </c>
      <c r="C508" s="23" t="n">
        <v>3504</v>
      </c>
      <c r="D508" s="23" t="inlineStr">
        <is>
          <t>0201522004</t>
        </is>
      </c>
      <c r="E508" s="11" t="inlineStr">
        <is>
          <t>Region II (Cagayan Valley)</t>
        </is>
      </c>
      <c r="F508" s="11" t="inlineStr">
        <is>
          <t>Cagayan</t>
        </is>
      </c>
      <c r="G508" s="11" t="inlineStr">
        <is>
          <t>Sanchez-Mira</t>
        </is>
      </c>
      <c r="H508" s="11" t="inlineStr">
        <is>
          <t>Centro II</t>
        </is>
      </c>
      <c r="I508" s="24" t="n">
        <v>18.563</v>
      </c>
      <c r="J508" s="24" t="n">
        <v>121.2305</v>
      </c>
      <c r="K508" s="23" t="inlineStr">
        <is>
          <t>R</t>
        </is>
      </c>
      <c r="L508" s="25" t="n">
        <v>2744</v>
      </c>
      <c r="M508" s="26" t="n">
        <v>3.9</v>
      </c>
      <c r="N508" s="25">
        <f>ROUND(L508/M508, 0)</f>
        <v/>
      </c>
      <c r="O508" s="25">
        <f>ROUND(N508*'Methodology &amp; Assumptions'!$B$7, 0)</f>
        <v/>
      </c>
      <c r="P508" s="23" t="inlineStr">
        <is>
          <t>Single Carrier (Band n50, 100MHz TDD)</t>
        </is>
      </c>
      <c r="Q508" s="27">
        <f>ROUNDUP(O508/'Methodology &amp; Assumptions'!$B$8, 0)</f>
        <v/>
      </c>
      <c r="R508" s="27" t="n">
        <v>1</v>
      </c>
      <c r="S508" s="26" t="n">
        <v>0.79</v>
      </c>
      <c r="T508" s="26" t="n">
        <v>0.1</v>
      </c>
      <c r="U508" s="11">
        <f>IF(S508&lt;='Methodology &amp; Assumptions'!$B$10, "Direct Optical Drop (&lt;3km)", IF(S508&lt;='Methodology &amp; Assumptions'!$B$9, "Near Optical / Microwave (&lt;5km)", "Starlink Business LEO Satellite Backhaul (&gt;5km)"))</f>
        <v/>
      </c>
      <c r="V508" s="26" t="n">
        <v>81.88</v>
      </c>
      <c r="W508" s="26" t="n">
        <v>36.8</v>
      </c>
      <c r="X508" s="26">
        <f>ROUND(('Methodology &amp; Assumptions'!$B$5*V508) + ('Methodology &amp; Assumptions'!$B$6*W508), 2)</f>
        <v/>
      </c>
      <c r="Y508" s="28" t="n">
        <v>8.300000000000001</v>
      </c>
      <c r="Z508" s="11" t="inlineStr">
        <is>
          <t>Priority Tier 3 (Broadband Expansion)</t>
        </is>
      </c>
    </row>
    <row r="509">
      <c r="A509" s="23" t="n">
        <v>4</v>
      </c>
      <c r="B509" s="23" t="n">
        <v>505</v>
      </c>
      <c r="C509" s="23" t="n">
        <v>3505</v>
      </c>
      <c r="D509" s="23" t="inlineStr">
        <is>
          <t>0702218006</t>
        </is>
      </c>
      <c r="E509" s="11" t="inlineStr">
        <is>
          <t>Region VII (Central Visayas)</t>
        </is>
      </c>
      <c r="F509" s="11" t="inlineStr">
        <is>
          <t>Cebu</t>
        </is>
      </c>
      <c r="G509" s="11" t="inlineStr">
        <is>
          <t>Compostela</t>
        </is>
      </c>
      <c r="H509" s="11" t="inlineStr">
        <is>
          <t>Canamucan</t>
        </is>
      </c>
      <c r="I509" s="24" t="n">
        <v>10.466595</v>
      </c>
      <c r="J509" s="24" t="n">
        <v>124.008131</v>
      </c>
      <c r="K509" s="23" t="inlineStr">
        <is>
          <t>U</t>
        </is>
      </c>
      <c r="L509" s="25" t="n">
        <v>5088</v>
      </c>
      <c r="M509" s="26" t="n">
        <v>3.8</v>
      </c>
      <c r="N509" s="25">
        <f>ROUND(L509/M509, 0)</f>
        <v/>
      </c>
      <c r="O509" s="25">
        <f>ROUND(N509*'Methodology &amp; Assumptions'!$B$7, 0)</f>
        <v/>
      </c>
      <c r="P509" s="23" t="inlineStr">
        <is>
          <t>Single Carrier (Band n50, 100MHz TDD)</t>
        </is>
      </c>
      <c r="Q509" s="27">
        <f>ROUNDUP(O509/'Methodology &amp; Assumptions'!$B$8, 0)</f>
        <v/>
      </c>
      <c r="R509" s="27" t="n">
        <v>1</v>
      </c>
      <c r="S509" s="26" t="n">
        <v>1.61</v>
      </c>
      <c r="T509" s="26" t="n">
        <v>0.91</v>
      </c>
      <c r="U509" s="11">
        <f>IF(S509&lt;='Methodology &amp; Assumptions'!$B$10, "Direct Optical Drop (&lt;3km)", IF(S509&lt;='Methodology &amp; Assumptions'!$B$9, "Near Optical / Microwave (&lt;5km)", "Starlink Business LEO Satellite Backhaul (&gt;5km)"))</f>
        <v/>
      </c>
      <c r="V509" s="26" t="n">
        <v>77.97</v>
      </c>
      <c r="W509" s="26" t="n">
        <v>40.72</v>
      </c>
      <c r="X509" s="26">
        <f>ROUND(('Methodology &amp; Assumptions'!$B$5*V509) + ('Methodology &amp; Assumptions'!$B$6*W509), 2)</f>
        <v/>
      </c>
      <c r="Y509" s="28" t="n">
        <v>23.7</v>
      </c>
      <c r="Z509" s="11" t="inlineStr">
        <is>
          <t>Priority Tier 3 (Broadband Expansion)</t>
        </is>
      </c>
    </row>
    <row r="510">
      <c r="A510" s="23" t="n">
        <v>4</v>
      </c>
      <c r="B510" s="23" t="n">
        <v>506</v>
      </c>
      <c r="C510" s="23" t="n">
        <v>3506</v>
      </c>
      <c r="D510" s="23" t="inlineStr">
        <is>
          <t>0301411013</t>
        </is>
      </c>
      <c r="E510" s="11" t="inlineStr">
        <is>
          <t>Region III (Central Luzon)</t>
        </is>
      </c>
      <c r="F510" s="11" t="inlineStr">
        <is>
          <t>Bulacan</t>
        </is>
      </c>
      <c r="G510" s="11" t="inlineStr">
        <is>
          <t>Marilao</t>
        </is>
      </c>
      <c r="H510" s="11" t="inlineStr">
        <is>
          <t>Santa Rosa I</t>
        </is>
      </c>
      <c r="I510" s="24" t="n">
        <v>14.778631</v>
      </c>
      <c r="J510" s="24" t="n">
        <v>120.973886</v>
      </c>
      <c r="K510" s="23" t="inlineStr">
        <is>
          <t>U</t>
        </is>
      </c>
      <c r="L510" s="25" t="n">
        <v>11770</v>
      </c>
      <c r="M510" s="26" t="n">
        <v>3.5</v>
      </c>
      <c r="N510" s="25">
        <f>ROUND(L510/M510, 0)</f>
        <v/>
      </c>
      <c r="O510" s="25">
        <f>ROUND(N510*'Methodology &amp; Assumptions'!$B$7, 0)</f>
        <v/>
      </c>
      <c r="P510" s="23" t="inlineStr">
        <is>
          <t>Single Carrier (Band n50, 100MHz TDD)</t>
        </is>
      </c>
      <c r="Q510" s="27">
        <f>ROUNDUP(O510/'Methodology &amp; Assumptions'!$B$8, 0)</f>
        <v/>
      </c>
      <c r="R510" s="27" t="n">
        <v>1</v>
      </c>
      <c r="S510" s="26" t="n">
        <v>2.29</v>
      </c>
      <c r="T510" s="26" t="n">
        <v>0.36</v>
      </c>
      <c r="U510" s="11">
        <f>IF(S510&lt;='Methodology &amp; Assumptions'!$B$10, "Direct Optical Drop (&lt;3km)", IF(S510&lt;='Methodology &amp; Assumptions'!$B$9, "Near Optical / Microwave (&lt;5km)", "Starlink Business LEO Satellite Backhaul (&gt;5km)"))</f>
        <v/>
      </c>
      <c r="V510" s="26" t="n">
        <v>73.20999999999999</v>
      </c>
      <c r="W510" s="26" t="n">
        <v>45.48</v>
      </c>
      <c r="X510" s="26">
        <f>ROUND(('Methodology &amp; Assumptions'!$B$5*V510) + ('Methodology &amp; Assumptions'!$B$6*W510), 2)</f>
        <v/>
      </c>
      <c r="Y510" s="28" t="n">
        <v>8.300000000000001</v>
      </c>
      <c r="Z510" s="11" t="inlineStr">
        <is>
          <t>Priority Tier 3 (Broadband Expansion)</t>
        </is>
      </c>
    </row>
    <row r="511">
      <c r="A511" s="23" t="n">
        <v>4</v>
      </c>
      <c r="B511" s="23" t="n">
        <v>507</v>
      </c>
      <c r="C511" s="23" t="n">
        <v>3507</v>
      </c>
      <c r="D511" s="23" t="inlineStr">
        <is>
          <t>1003516019</t>
        </is>
      </c>
      <c r="E511" s="11" t="inlineStr">
        <is>
          <t>Region X (Northern Mindanao)</t>
        </is>
      </c>
      <c r="F511" s="11" t="inlineStr">
        <is>
          <t>Lanao del Norte</t>
        </is>
      </c>
      <c r="G511" s="11" t="inlineStr">
        <is>
          <t>Pantao Ragat</t>
        </is>
      </c>
      <c r="H511" s="11" t="inlineStr">
        <is>
          <t>Pansor</t>
        </is>
      </c>
      <c r="I511" s="24" t="n">
        <v>8.0345</v>
      </c>
      <c r="J511" s="24" t="n">
        <v>124.1966</v>
      </c>
      <c r="K511" s="23" t="inlineStr">
        <is>
          <t>R</t>
        </is>
      </c>
      <c r="L511" s="25" t="n">
        <v>1502</v>
      </c>
      <c r="M511" s="26" t="n">
        <v>4.2</v>
      </c>
      <c r="N511" s="25">
        <f>ROUND(L511/M511, 0)</f>
        <v/>
      </c>
      <c r="O511" s="25">
        <f>ROUND(N511*'Methodology &amp; Assumptions'!$B$7, 0)</f>
        <v/>
      </c>
      <c r="P511" s="23" t="inlineStr">
        <is>
          <t>Single Carrier (Band n50, 100MHz TDD)</t>
        </is>
      </c>
      <c r="Q511" s="27">
        <f>ROUNDUP(O511/'Methodology &amp; Assumptions'!$B$8, 0)</f>
        <v/>
      </c>
      <c r="R511" s="27" t="n">
        <v>1</v>
      </c>
      <c r="S511" s="26" t="n">
        <v>8.98</v>
      </c>
      <c r="T511" s="26" t="n">
        <v>7.35</v>
      </c>
      <c r="U511" s="11">
        <f>IF(S511&lt;='Methodology &amp; Assumptions'!$B$10, "Direct Optical Drop (&lt;3km)", IF(S511&lt;='Methodology &amp; Assumptions'!$B$9, "Near Optical / Microwave (&lt;5km)", "Starlink Business LEO Satellite Backhaul (&gt;5km)"))</f>
        <v/>
      </c>
      <c r="V511" s="26" t="n">
        <v>51.85</v>
      </c>
      <c r="W511" s="26" t="n">
        <v>66.81999999999999</v>
      </c>
      <c r="X511" s="26">
        <f>ROUND(('Methodology &amp; Assumptions'!$B$5*V511) + ('Methodology &amp; Assumptions'!$B$6*W511), 2)</f>
        <v/>
      </c>
      <c r="Y511" s="28" t="n">
        <v>17.4</v>
      </c>
      <c r="Z511" s="11" t="inlineStr">
        <is>
          <t>Priority Tier 3 (Broadband Expansion)</t>
        </is>
      </c>
    </row>
    <row r="512">
      <c r="A512" s="23" t="n">
        <v>4</v>
      </c>
      <c r="B512" s="23" t="n">
        <v>508</v>
      </c>
      <c r="C512" s="23" t="n">
        <v>3508</v>
      </c>
      <c r="D512" s="23" t="inlineStr">
        <is>
          <t>1380601221</t>
        </is>
      </c>
      <c r="E512" s="11" t="inlineStr">
        <is>
          <t>National Capital Region (NCR)</t>
        </is>
      </c>
      <c r="F512" s="11" t="inlineStr">
        <is>
          <t>First District (Not a Province)</t>
        </is>
      </c>
      <c r="G512" s="11" t="inlineStr">
        <is>
          <t>City of Manila</t>
        </is>
      </c>
      <c r="H512" s="11" t="inlineStr">
        <is>
          <t>Barangay 220</t>
        </is>
      </c>
      <c r="I512" s="24" t="n">
        <v>14.624015</v>
      </c>
      <c r="J512" s="24" t="n">
        <v>120.980203</v>
      </c>
      <c r="K512" s="23" t="inlineStr">
        <is>
          <t>U</t>
        </is>
      </c>
      <c r="L512" s="25" t="n">
        <v>1290</v>
      </c>
      <c r="M512" s="26" t="n">
        <v>4.56</v>
      </c>
      <c r="N512" s="25">
        <f>ROUND(L512/M512, 0)</f>
        <v/>
      </c>
      <c r="O512" s="25">
        <f>ROUND(N512*'Methodology &amp; Assumptions'!$B$7, 0)</f>
        <v/>
      </c>
      <c r="P512" s="23" t="inlineStr">
        <is>
          <t>Single Carrier (Band n50, 100MHz TDD)</t>
        </is>
      </c>
      <c r="Q512" s="27">
        <f>ROUNDUP(O512/'Methodology &amp; Assumptions'!$B$8, 0)</f>
        <v/>
      </c>
      <c r="R512" s="27" t="n">
        <v>1</v>
      </c>
      <c r="S512" s="26" t="n">
        <v>0.8</v>
      </c>
      <c r="T512" s="26" t="n">
        <v>0.26</v>
      </c>
      <c r="U512" s="11">
        <f>IF(S512&lt;='Methodology &amp; Assumptions'!$B$10, "Direct Optical Drop (&lt;3km)", IF(S512&lt;='Methodology &amp; Assumptions'!$B$9, "Near Optical / Microwave (&lt;5km)", "Starlink Business LEO Satellite Backhaul (&gt;5km)"))</f>
        <v/>
      </c>
      <c r="V512" s="26" t="n">
        <v>50.2</v>
      </c>
      <c r="W512" s="26" t="n">
        <v>68.48999999999999</v>
      </c>
      <c r="X512" s="26">
        <f>ROUND(('Methodology &amp; Assumptions'!$B$5*V512) + ('Methodology &amp; Assumptions'!$B$6*W512), 2)</f>
        <v/>
      </c>
      <c r="Y512" s="28" t="n">
        <v>10.9</v>
      </c>
      <c r="Z512" s="11" t="inlineStr">
        <is>
          <t>Priority Tier 3 (Broadband Expansion)</t>
        </is>
      </c>
    </row>
    <row r="513">
      <c r="A513" s="23" t="n">
        <v>4</v>
      </c>
      <c r="B513" s="23" t="n">
        <v>509</v>
      </c>
      <c r="C513" s="23" t="n">
        <v>3509</v>
      </c>
      <c r="D513" s="23" t="inlineStr">
        <is>
          <t>1380601077</t>
        </is>
      </c>
      <c r="E513" s="11" t="inlineStr">
        <is>
          <t>National Capital Region (NCR)</t>
        </is>
      </c>
      <c r="F513" s="11" t="inlineStr">
        <is>
          <t>First District (Not a Province)</t>
        </is>
      </c>
      <c r="G513" s="11" t="inlineStr">
        <is>
          <t>City of Manila</t>
        </is>
      </c>
      <c r="H513" s="11" t="inlineStr">
        <is>
          <t>Barangay 77</t>
        </is>
      </c>
      <c r="I513" s="24" t="n">
        <v>14.615733</v>
      </c>
      <c r="J513" s="24" t="n">
        <v>120.967782</v>
      </c>
      <c r="K513" s="23" t="inlineStr">
        <is>
          <t>U</t>
        </is>
      </c>
      <c r="L513" s="25" t="n">
        <v>1346</v>
      </c>
      <c r="M513" s="26" t="n">
        <v>5.06</v>
      </c>
      <c r="N513" s="25">
        <f>ROUND(L513/M513, 0)</f>
        <v/>
      </c>
      <c r="O513" s="25">
        <f>ROUND(N513*'Methodology &amp; Assumptions'!$B$7, 0)</f>
        <v/>
      </c>
      <c r="P513" s="23" t="inlineStr">
        <is>
          <t>Single Carrier (Band n50, 100MHz TDD)</t>
        </is>
      </c>
      <c r="Q513" s="27">
        <f>ROUNDUP(O513/'Methodology &amp; Assumptions'!$B$8, 0)</f>
        <v/>
      </c>
      <c r="R513" s="27" t="n">
        <v>1</v>
      </c>
      <c r="S513" s="26" t="n">
        <v>0.6</v>
      </c>
      <c r="T513" s="26" t="n">
        <v>0.33</v>
      </c>
      <c r="U513" s="11">
        <f>IF(S513&lt;='Methodology &amp; Assumptions'!$B$10, "Direct Optical Drop (&lt;3km)", IF(S513&lt;='Methodology &amp; Assumptions'!$B$9, "Near Optical / Microwave (&lt;5km)", "Starlink Business LEO Satellite Backhaul (&gt;5km)"))</f>
        <v/>
      </c>
      <c r="V513" s="26" t="n">
        <v>49.66</v>
      </c>
      <c r="W513" s="26" t="n">
        <v>69.02</v>
      </c>
      <c r="X513" s="26">
        <f>ROUND(('Methodology &amp; Assumptions'!$B$5*V513) + ('Methodology &amp; Assumptions'!$B$6*W513), 2)</f>
        <v/>
      </c>
      <c r="Y513" s="28" t="n">
        <v>10.9</v>
      </c>
      <c r="Z513" s="11" t="inlineStr">
        <is>
          <t>Priority Tier 3 (Broadband Expansion)</t>
        </is>
      </c>
    </row>
    <row r="514">
      <c r="A514" s="23" t="n">
        <v>4</v>
      </c>
      <c r="B514" s="23" t="n">
        <v>510</v>
      </c>
      <c r="C514" s="23" t="n">
        <v>3510</v>
      </c>
      <c r="D514" s="23" t="inlineStr">
        <is>
          <t>0604521004</t>
        </is>
      </c>
      <c r="E514" s="11" t="inlineStr">
        <is>
          <t>Region VI (Western Visayas)</t>
        </is>
      </c>
      <c r="F514" s="11" t="inlineStr">
        <is>
          <t>Negros Occidental</t>
        </is>
      </c>
      <c r="G514" s="11" t="inlineStr">
        <is>
          <t>Pontevedra</t>
        </is>
      </c>
      <c r="H514" s="11" t="inlineStr">
        <is>
          <t>Barangay III</t>
        </is>
      </c>
      <c r="I514" s="24" t="n">
        <v>10.37157</v>
      </c>
      <c r="J514" s="24" t="n">
        <v>122.86781</v>
      </c>
      <c r="K514" s="23" t="inlineStr">
        <is>
          <t>R</t>
        </is>
      </c>
      <c r="L514" s="25" t="n">
        <v>2844</v>
      </c>
      <c r="M514" s="26" t="n">
        <v>3.7</v>
      </c>
      <c r="N514" s="25">
        <f>ROUND(L514/M514, 0)</f>
        <v/>
      </c>
      <c r="O514" s="25">
        <f>ROUND(N514*'Methodology &amp; Assumptions'!$B$7, 0)</f>
        <v/>
      </c>
      <c r="P514" s="23" t="inlineStr">
        <is>
          <t>Single Carrier (Band n50, 100MHz TDD)</t>
        </is>
      </c>
      <c r="Q514" s="27">
        <f>ROUNDUP(O514/'Methodology &amp; Assumptions'!$B$8, 0)</f>
        <v/>
      </c>
      <c r="R514" s="27" t="n">
        <v>1</v>
      </c>
      <c r="S514" s="26" t="n">
        <v>0.14</v>
      </c>
      <c r="T514" s="26" t="n">
        <v>0.13</v>
      </c>
      <c r="U514" s="11">
        <f>IF(S514&lt;='Methodology &amp; Assumptions'!$B$10, "Direct Optical Drop (&lt;3km)", IF(S514&lt;='Methodology &amp; Assumptions'!$B$9, "Near Optical / Microwave (&lt;5km)", "Starlink Business LEO Satellite Backhaul (&gt;5km)"))</f>
        <v/>
      </c>
      <c r="V514" s="26" t="n">
        <v>84.88</v>
      </c>
      <c r="W514" s="26" t="n">
        <v>33.78</v>
      </c>
      <c r="X514" s="26">
        <f>ROUND(('Methodology &amp; Assumptions'!$B$5*V514) + ('Methodology &amp; Assumptions'!$B$6*W514), 2)</f>
        <v/>
      </c>
      <c r="Y514" s="28" t="n">
        <v>23.7</v>
      </c>
      <c r="Z514" s="11" t="inlineStr">
        <is>
          <t>Priority Tier 3 (Broadband Expansion)</t>
        </is>
      </c>
    </row>
    <row r="515">
      <c r="A515" s="23" t="n">
        <v>4</v>
      </c>
      <c r="B515" s="23" t="n">
        <v>511</v>
      </c>
      <c r="C515" s="23" t="n">
        <v>3511</v>
      </c>
      <c r="D515" s="23" t="inlineStr">
        <is>
          <t>1381400020</t>
        </is>
      </c>
      <c r="E515" s="11" t="inlineStr">
        <is>
          <t>National Capital Region (NCR)</t>
        </is>
      </c>
      <c r="F515" s="11" t="inlineStr">
        <is>
          <t>Second District (Not a Province)</t>
        </is>
      </c>
      <c r="G515" s="11" t="inlineStr">
        <is>
          <t>City of San Juan</t>
        </is>
      </c>
      <c r="H515" s="11" t="inlineStr">
        <is>
          <t>West Crame</t>
        </is>
      </c>
      <c r="I515" s="24" t="n">
        <v>14.60585</v>
      </c>
      <c r="J515" s="24" t="n">
        <v>121.0505</v>
      </c>
      <c r="K515" s="23" t="inlineStr">
        <is>
          <t>U</t>
        </is>
      </c>
      <c r="L515" s="25" t="n">
        <v>17359</v>
      </c>
      <c r="M515" s="26" t="n">
        <v>3.36</v>
      </c>
      <c r="N515" s="25">
        <f>ROUND(L515/M515, 0)</f>
        <v/>
      </c>
      <c r="O515" s="25">
        <f>ROUND(N515*'Methodology &amp; Assumptions'!$B$7, 0)</f>
        <v/>
      </c>
      <c r="P515" s="23" t="inlineStr">
        <is>
          <t>Single Carrier (Band n50, 100MHz TDD)</t>
        </is>
      </c>
      <c r="Q515" s="27">
        <f>ROUNDUP(O515/'Methodology &amp; Assumptions'!$B$8, 0)</f>
        <v/>
      </c>
      <c r="R515" s="27" t="n">
        <v>1</v>
      </c>
      <c r="S515" s="26" t="n">
        <v>1.75</v>
      </c>
      <c r="T515" s="26" t="n">
        <v>0.25</v>
      </c>
      <c r="U515" s="11">
        <f>IF(S515&lt;='Methodology &amp; Assumptions'!$B$10, "Direct Optical Drop (&lt;3km)", IF(S515&lt;='Methodology &amp; Assumptions'!$B$9, "Near Optical / Microwave (&lt;5km)", "Starlink Business LEO Satellite Backhaul (&gt;5km)"))</f>
        <v/>
      </c>
      <c r="V515" s="26" t="n">
        <v>65.19</v>
      </c>
      <c r="W515" s="26" t="n">
        <v>53.47</v>
      </c>
      <c r="X515" s="26">
        <f>ROUND(('Methodology &amp; Assumptions'!$B$5*V515) + ('Methodology &amp; Assumptions'!$B$6*W515), 2)</f>
        <v/>
      </c>
      <c r="Y515" s="28" t="n">
        <v>10.9</v>
      </c>
      <c r="Z515" s="11" t="inlineStr">
        <is>
          <t>Priority Tier 3 (Broadband Expansion)</t>
        </is>
      </c>
    </row>
    <row r="516">
      <c r="A516" s="23" t="n">
        <v>4</v>
      </c>
      <c r="B516" s="23" t="n">
        <v>512</v>
      </c>
      <c r="C516" s="23" t="n">
        <v>3512</v>
      </c>
      <c r="D516" s="23" t="inlineStr">
        <is>
          <t>0405647052</t>
        </is>
      </c>
      <c r="E516" s="11" t="inlineStr">
        <is>
          <t>Region IV-A (CALABARZON)</t>
        </is>
      </c>
      <c r="F516" s="11" t="inlineStr">
        <is>
          <t>Quezon</t>
        </is>
      </c>
      <c r="G516" s="11" t="inlineStr">
        <is>
          <t>City of Tayabas</t>
        </is>
      </c>
      <c r="H516" s="11" t="inlineStr">
        <is>
          <t>San Diego Zone IV</t>
        </is>
      </c>
      <c r="I516" s="24" t="n">
        <v>14.031245</v>
      </c>
      <c r="J516" s="24" t="n">
        <v>121.594372</v>
      </c>
      <c r="K516" s="23" t="inlineStr">
        <is>
          <t>R</t>
        </is>
      </c>
      <c r="L516" s="25" t="n">
        <v>369</v>
      </c>
      <c r="M516" s="26" t="n">
        <v>3.8</v>
      </c>
      <c r="N516" s="25">
        <f>ROUND(L516/M516, 0)</f>
        <v/>
      </c>
      <c r="O516" s="25">
        <f>ROUND(N516*'Methodology &amp; Assumptions'!$B$7, 0)</f>
        <v/>
      </c>
      <c r="P516" s="23" t="inlineStr">
        <is>
          <t>Single Carrier (Band n50, 100MHz TDD)</t>
        </is>
      </c>
      <c r="Q516" s="27">
        <f>ROUNDUP(O516/'Methodology &amp; Assumptions'!$B$8, 0)</f>
        <v/>
      </c>
      <c r="R516" s="27" t="n">
        <v>1</v>
      </c>
      <c r="S516" s="26" t="n">
        <v>0.84</v>
      </c>
      <c r="T516" s="26" t="n">
        <v>0.53</v>
      </c>
      <c r="U516" s="11">
        <f>IF(S516&lt;='Methodology &amp; Assumptions'!$B$10, "Direct Optical Drop (&lt;3km)", IF(S516&lt;='Methodology &amp; Assumptions'!$B$9, "Near Optical / Microwave (&lt;5km)", "Starlink Business LEO Satellite Backhaul (&gt;5km)"))</f>
        <v/>
      </c>
      <c r="V516" s="26" t="n">
        <v>62.01</v>
      </c>
      <c r="W516" s="26" t="n">
        <v>56.65</v>
      </c>
      <c r="X516" s="26">
        <f>ROUND(('Methodology &amp; Assumptions'!$B$5*V516) + ('Methodology &amp; Assumptions'!$B$6*W516), 2)</f>
        <v/>
      </c>
      <c r="Y516" s="28" t="n">
        <v>7.2</v>
      </c>
      <c r="Z516" s="11" t="inlineStr">
        <is>
          <t>Priority Tier 3 (Broadband Expansion)</t>
        </is>
      </c>
    </row>
    <row r="517">
      <c r="A517" s="23" t="n">
        <v>4</v>
      </c>
      <c r="B517" s="23" t="n">
        <v>513</v>
      </c>
      <c r="C517" s="23" t="n">
        <v>3513</v>
      </c>
      <c r="D517" s="23" t="inlineStr">
        <is>
          <t>1380606181</t>
        </is>
      </c>
      <c r="E517" s="11" t="inlineStr">
        <is>
          <t>National Capital Region (NCR)</t>
        </is>
      </c>
      <c r="F517" s="11" t="inlineStr">
        <is>
          <t>First District (Not a Province)</t>
        </is>
      </c>
      <c r="G517" s="11" t="inlineStr">
        <is>
          <t>City of Manila</t>
        </is>
      </c>
      <c r="H517" s="11" t="inlineStr">
        <is>
          <t>Barangay 575</t>
        </is>
      </c>
      <c r="I517" s="24" t="n">
        <v>14.607493</v>
      </c>
      <c r="J517" s="24" t="n">
        <v>121.004698</v>
      </c>
      <c r="K517" s="23" t="inlineStr">
        <is>
          <t>U</t>
        </is>
      </c>
      <c r="L517" s="25" t="n">
        <v>1078</v>
      </c>
      <c r="M517" s="26" t="n">
        <v>4.02</v>
      </c>
      <c r="N517" s="25">
        <f>ROUND(L517/M517, 0)</f>
        <v/>
      </c>
      <c r="O517" s="25">
        <f>ROUND(N517*'Methodology &amp; Assumptions'!$B$7, 0)</f>
        <v/>
      </c>
      <c r="P517" s="23" t="inlineStr">
        <is>
          <t>Single Carrier (Band n50, 100MHz TDD)</t>
        </is>
      </c>
      <c r="Q517" s="27">
        <f>ROUNDUP(O517/'Methodology &amp; Assumptions'!$B$8, 0)</f>
        <v/>
      </c>
      <c r="R517" s="27" t="n">
        <v>1</v>
      </c>
      <c r="S517" s="26" t="n">
        <v>0.4</v>
      </c>
      <c r="T517" s="26" t="n">
        <v>0.42</v>
      </c>
      <c r="U517" s="11">
        <f>IF(S517&lt;='Methodology &amp; Assumptions'!$B$10, "Direct Optical Drop (&lt;3km)", IF(S517&lt;='Methodology &amp; Assumptions'!$B$9, "Near Optical / Microwave (&lt;5km)", "Starlink Business LEO Satellite Backhaul (&gt;5km)"))</f>
        <v/>
      </c>
      <c r="V517" s="26" t="n">
        <v>49.66</v>
      </c>
      <c r="W517" s="26" t="n">
        <v>69</v>
      </c>
      <c r="X517" s="26">
        <f>ROUND(('Methodology &amp; Assumptions'!$B$5*V517) + ('Methodology &amp; Assumptions'!$B$6*W517), 2)</f>
        <v/>
      </c>
      <c r="Y517" s="28" t="n">
        <v>10.9</v>
      </c>
      <c r="Z517" s="11" t="inlineStr">
        <is>
          <t>Priority Tier 3 (Broadband Expansion)</t>
        </is>
      </c>
    </row>
    <row r="518">
      <c r="A518" s="23" t="n">
        <v>4</v>
      </c>
      <c r="B518" s="23" t="n">
        <v>514</v>
      </c>
      <c r="C518" s="23" t="n">
        <v>3514</v>
      </c>
      <c r="D518" s="23" t="inlineStr">
        <is>
          <t>1380606164</t>
        </is>
      </c>
      <c r="E518" s="11" t="inlineStr">
        <is>
          <t>National Capital Region (NCR)</t>
        </is>
      </c>
      <c r="F518" s="11" t="inlineStr">
        <is>
          <t>First District (Not a Province)</t>
        </is>
      </c>
      <c r="G518" s="11" t="inlineStr">
        <is>
          <t>City of Manila</t>
        </is>
      </c>
      <c r="H518" s="11" t="inlineStr">
        <is>
          <t>Barangay 558</t>
        </is>
      </c>
      <c r="I518" s="24" t="n">
        <v>14.610331</v>
      </c>
      <c r="J518" s="24" t="n">
        <v>121.006977</v>
      </c>
      <c r="K518" s="23" t="inlineStr">
        <is>
          <t>U</t>
        </is>
      </c>
      <c r="L518" s="25" t="n">
        <v>1198</v>
      </c>
      <c r="M518" s="26" t="n">
        <v>4.54</v>
      </c>
      <c r="N518" s="25">
        <f>ROUND(L518/M518, 0)</f>
        <v/>
      </c>
      <c r="O518" s="25">
        <f>ROUND(N518*'Methodology &amp; Assumptions'!$B$7, 0)</f>
        <v/>
      </c>
      <c r="P518" s="23" t="inlineStr">
        <is>
          <t>Single Carrier (Band n50, 100MHz TDD)</t>
        </is>
      </c>
      <c r="Q518" s="27">
        <f>ROUNDUP(O518/'Methodology &amp; Assumptions'!$B$8, 0)</f>
        <v/>
      </c>
      <c r="R518" s="27" t="n">
        <v>1</v>
      </c>
      <c r="S518" s="26" t="n">
        <v>0.35</v>
      </c>
      <c r="T518" s="26" t="n">
        <v>0.2</v>
      </c>
      <c r="U518" s="11">
        <f>IF(S518&lt;='Methodology &amp; Assumptions'!$B$10, "Direct Optical Drop (&lt;3km)", IF(S518&lt;='Methodology &amp; Assumptions'!$B$9, "Near Optical / Microwave (&lt;5km)", "Starlink Business LEO Satellite Backhaul (&gt;5km)"))</f>
        <v/>
      </c>
      <c r="V518" s="26" t="n">
        <v>49.55</v>
      </c>
      <c r="W518" s="26" t="n">
        <v>69.09999999999999</v>
      </c>
      <c r="X518" s="26">
        <f>ROUND(('Methodology &amp; Assumptions'!$B$5*V518) + ('Methodology &amp; Assumptions'!$B$6*W518), 2)</f>
        <v/>
      </c>
      <c r="Y518" s="28" t="n">
        <v>10.9</v>
      </c>
      <c r="Z518" s="11" t="inlineStr">
        <is>
          <t>Priority Tier 3 (Broadband Expansion)</t>
        </is>
      </c>
    </row>
    <row r="519">
      <c r="A519" s="23" t="n">
        <v>4</v>
      </c>
      <c r="B519" s="23" t="n">
        <v>515</v>
      </c>
      <c r="C519" s="23" t="n">
        <v>3515</v>
      </c>
      <c r="D519" s="23" t="inlineStr">
        <is>
          <t>1380606139</t>
        </is>
      </c>
      <c r="E519" s="11" t="inlineStr">
        <is>
          <t>National Capital Region (NCR)</t>
        </is>
      </c>
      <c r="F519" s="11" t="inlineStr">
        <is>
          <t>First District (Not a Province)</t>
        </is>
      </c>
      <c r="G519" s="11" t="inlineStr">
        <is>
          <t>City of Manila</t>
        </is>
      </c>
      <c r="H519" s="11" t="inlineStr">
        <is>
          <t>Barangay 533</t>
        </is>
      </c>
      <c r="I519" s="24" t="n">
        <v>14.61306</v>
      </c>
      <c r="J519" s="24" t="n">
        <v>121.002653</v>
      </c>
      <c r="K519" s="23" t="inlineStr">
        <is>
          <t>U</t>
        </is>
      </c>
      <c r="L519" s="25" t="n">
        <v>948</v>
      </c>
      <c r="M519" s="26" t="n">
        <v>3.69</v>
      </c>
      <c r="N519" s="25">
        <f>ROUND(L519/M519, 0)</f>
        <v/>
      </c>
      <c r="O519" s="25">
        <f>ROUND(N519*'Methodology &amp; Assumptions'!$B$7, 0)</f>
        <v/>
      </c>
      <c r="P519" s="23" t="inlineStr">
        <is>
          <t>Single Carrier (Band n50, 100MHz TDD)</t>
        </is>
      </c>
      <c r="Q519" s="27">
        <f>ROUNDUP(O519/'Methodology &amp; Assumptions'!$B$8, 0)</f>
        <v/>
      </c>
      <c r="R519" s="27" t="n">
        <v>1</v>
      </c>
      <c r="S519" s="26" t="n">
        <v>0.26</v>
      </c>
      <c r="T519" s="26" t="n">
        <v>0.17</v>
      </c>
      <c r="U519" s="11">
        <f>IF(S519&lt;='Methodology &amp; Assumptions'!$B$10, "Direct Optical Drop (&lt;3km)", IF(S519&lt;='Methodology &amp; Assumptions'!$B$9, "Near Optical / Microwave (&lt;5km)", "Starlink Business LEO Satellite Backhaul (&gt;5km)"))</f>
        <v/>
      </c>
      <c r="V519" s="26" t="n">
        <v>49.34</v>
      </c>
      <c r="W519" s="26" t="n">
        <v>69.31999999999999</v>
      </c>
      <c r="X519" s="26">
        <f>ROUND(('Methodology &amp; Assumptions'!$B$5*V519) + ('Methodology &amp; Assumptions'!$B$6*W519), 2)</f>
        <v/>
      </c>
      <c r="Y519" s="28" t="n">
        <v>10.9</v>
      </c>
      <c r="Z519" s="11" t="inlineStr">
        <is>
          <t>Priority Tier 3 (Broadband Expansion)</t>
        </is>
      </c>
    </row>
    <row r="520">
      <c r="A520" s="23" t="n">
        <v>4</v>
      </c>
      <c r="B520" s="23" t="n">
        <v>516</v>
      </c>
      <c r="C520" s="23" t="n">
        <v>3516</v>
      </c>
      <c r="D520" s="23" t="inlineStr">
        <is>
          <t>0702205026</t>
        </is>
      </c>
      <c r="E520" s="11" t="inlineStr">
        <is>
          <t>Region VII (Central Visayas)</t>
        </is>
      </c>
      <c r="F520" s="11" t="inlineStr">
        <is>
          <t>Cebu</t>
        </is>
      </c>
      <c r="G520" s="11" t="inlineStr">
        <is>
          <t>Argao</t>
        </is>
      </c>
      <c r="H520" s="11" t="inlineStr">
        <is>
          <t>Langtad</t>
        </is>
      </c>
      <c r="I520" s="24" t="n">
        <v>9.890691</v>
      </c>
      <c r="J520" s="24" t="n">
        <v>123.606081</v>
      </c>
      <c r="K520" s="23" t="inlineStr">
        <is>
          <t>R</t>
        </is>
      </c>
      <c r="L520" s="25" t="n">
        <v>3494</v>
      </c>
      <c r="M520" s="26" t="n">
        <v>3.8</v>
      </c>
      <c r="N520" s="25">
        <f>ROUND(L520/M520, 0)</f>
        <v/>
      </c>
      <c r="O520" s="25">
        <f>ROUND(N520*'Methodology &amp; Assumptions'!$B$7, 0)</f>
        <v/>
      </c>
      <c r="P520" s="23" t="inlineStr">
        <is>
          <t>Single Carrier (Band n50, 100MHz TDD)</t>
        </is>
      </c>
      <c r="Q520" s="27">
        <f>ROUNDUP(O520/'Methodology &amp; Assumptions'!$B$8, 0)</f>
        <v/>
      </c>
      <c r="R520" s="27" t="n">
        <v>1</v>
      </c>
      <c r="S520" s="26" t="n">
        <v>1.13</v>
      </c>
      <c r="T520" s="26" t="n">
        <v>0.17</v>
      </c>
      <c r="U520" s="11">
        <f>IF(S520&lt;='Methodology &amp; Assumptions'!$B$10, "Direct Optical Drop (&lt;3km)", IF(S520&lt;='Methodology &amp; Assumptions'!$B$9, "Near Optical / Microwave (&lt;5km)", "Starlink Business LEO Satellite Backhaul (&gt;5km)"))</f>
        <v/>
      </c>
      <c r="V520" s="26" t="n">
        <v>86.95</v>
      </c>
      <c r="W520" s="26" t="n">
        <v>31.69</v>
      </c>
      <c r="X520" s="26">
        <f>ROUND(('Methodology &amp; Assumptions'!$B$5*V520) + ('Methodology &amp; Assumptions'!$B$6*W520), 2)</f>
        <v/>
      </c>
      <c r="Y520" s="28" t="n">
        <v>23.7</v>
      </c>
      <c r="Z520" s="11" t="inlineStr">
        <is>
          <t>Priority Tier 3 (Broadband Expansion)</t>
        </is>
      </c>
    </row>
    <row r="521">
      <c r="A521" s="23" t="n">
        <v>4</v>
      </c>
      <c r="B521" s="23" t="n">
        <v>517</v>
      </c>
      <c r="C521" s="23" t="n">
        <v>3517</v>
      </c>
      <c r="D521" s="23" t="inlineStr">
        <is>
          <t>0601905014</t>
        </is>
      </c>
      <c r="E521" s="11" t="inlineStr">
        <is>
          <t>Region VI (Western Visayas)</t>
        </is>
      </c>
      <c r="F521" s="11" t="inlineStr">
        <is>
          <t>Capiz</t>
        </is>
      </c>
      <c r="G521" s="11" t="inlineStr">
        <is>
          <t>Ivisan</t>
        </is>
      </c>
      <c r="H521" s="11" t="inlineStr">
        <is>
          <t>Poblacion Sur</t>
        </is>
      </c>
      <c r="I521" s="24" t="n">
        <v>11.520278</v>
      </c>
      <c r="J521" s="24" t="n">
        <v>122.692116</v>
      </c>
      <c r="K521" s="23" t="inlineStr">
        <is>
          <t>R</t>
        </is>
      </c>
      <c r="L521" s="25" t="n">
        <v>2503</v>
      </c>
      <c r="M521" s="26" t="n">
        <v>3.8</v>
      </c>
      <c r="N521" s="25">
        <f>ROUND(L521/M521, 0)</f>
        <v/>
      </c>
      <c r="O521" s="25">
        <f>ROUND(N521*'Methodology &amp; Assumptions'!$B$7, 0)</f>
        <v/>
      </c>
      <c r="P521" s="23" t="inlineStr">
        <is>
          <t>Single Carrier (Band n50, 100MHz TDD)</t>
        </is>
      </c>
      <c r="Q521" s="27">
        <f>ROUNDUP(O521/'Methodology &amp; Assumptions'!$B$8, 0)</f>
        <v/>
      </c>
      <c r="R521" s="27" t="n">
        <v>1</v>
      </c>
      <c r="S521" s="26" t="n">
        <v>0.22</v>
      </c>
      <c r="T521" s="26" t="n">
        <v>0.02</v>
      </c>
      <c r="U521" s="11">
        <f>IF(S521&lt;='Methodology &amp; Assumptions'!$B$10, "Direct Optical Drop (&lt;3km)", IF(S521&lt;='Methodology &amp; Assumptions'!$B$9, "Near Optical / Microwave (&lt;5km)", "Starlink Business LEO Satellite Backhaul (&gt;5km)"))</f>
        <v/>
      </c>
      <c r="V521" s="26" t="n">
        <v>81.53</v>
      </c>
      <c r="W521" s="26" t="n">
        <v>37.1</v>
      </c>
      <c r="X521" s="26">
        <f>ROUND(('Methodology &amp; Assumptions'!$B$5*V521) + ('Methodology &amp; Assumptions'!$B$6*W521), 2)</f>
        <v/>
      </c>
      <c r="Y521" s="28" t="n">
        <v>23.7</v>
      </c>
      <c r="Z521" s="11" t="inlineStr">
        <is>
          <t>Priority Tier 3 (Broadband Expansion)</t>
        </is>
      </c>
    </row>
    <row r="522">
      <c r="A522" s="23" t="n">
        <v>4</v>
      </c>
      <c r="B522" s="23" t="n">
        <v>518</v>
      </c>
      <c r="C522" s="23" t="n">
        <v>3518</v>
      </c>
      <c r="D522" s="23" t="inlineStr">
        <is>
          <t>0304919010</t>
        </is>
      </c>
      <c r="E522" s="11" t="inlineStr">
        <is>
          <t>Region III (Central Luzon)</t>
        </is>
      </c>
      <c r="F522" s="11" t="inlineStr">
        <is>
          <t>Nueva Ecija</t>
        </is>
      </c>
      <c r="G522" s="11" t="inlineStr">
        <is>
          <t>City of Palayan</t>
        </is>
      </c>
      <c r="H522" s="11" t="inlineStr">
        <is>
          <t>Malate</t>
        </is>
      </c>
      <c r="I522" s="24" t="n">
        <v>15.585783</v>
      </c>
      <c r="J522" s="24" t="n">
        <v>120.924577</v>
      </c>
      <c r="K522" s="23" t="inlineStr">
        <is>
          <t>R</t>
        </is>
      </c>
      <c r="L522" s="25" t="n">
        <v>2323</v>
      </c>
      <c r="M522" s="26" t="n">
        <v>3.5</v>
      </c>
      <c r="N522" s="25">
        <f>ROUND(L522/M522, 0)</f>
        <v/>
      </c>
      <c r="O522" s="25">
        <f>ROUND(N522*'Methodology &amp; Assumptions'!$B$7, 0)</f>
        <v/>
      </c>
      <c r="P522" s="23" t="inlineStr">
        <is>
          <t>Single Carrier (Band n50, 100MHz TDD)</t>
        </is>
      </c>
      <c r="Q522" s="27">
        <f>ROUNDUP(O522/'Methodology &amp; Assumptions'!$B$8, 0)</f>
        <v/>
      </c>
      <c r="R522" s="27" t="n">
        <v>1</v>
      </c>
      <c r="S522" s="26" t="n">
        <v>0.71</v>
      </c>
      <c r="T522" s="26" t="n">
        <v>0.52</v>
      </c>
      <c r="U522" s="11">
        <f>IF(S522&lt;='Methodology &amp; Assumptions'!$B$10, "Direct Optical Drop (&lt;3km)", IF(S522&lt;='Methodology &amp; Assumptions'!$B$9, "Near Optical / Microwave (&lt;5km)", "Starlink Business LEO Satellite Backhaul (&gt;5km)"))</f>
        <v/>
      </c>
      <c r="V522" s="26" t="n">
        <v>80.58</v>
      </c>
      <c r="W522" s="26" t="n">
        <v>38.05</v>
      </c>
      <c r="X522" s="26">
        <f>ROUND(('Methodology &amp; Assumptions'!$B$5*V522) + ('Methodology &amp; Assumptions'!$B$6*W522), 2)</f>
        <v/>
      </c>
      <c r="Y522" s="28" t="n">
        <v>8.300000000000001</v>
      </c>
      <c r="Z522" s="11" t="inlineStr">
        <is>
          <t>Priority Tier 3 (Broadband Expansion)</t>
        </is>
      </c>
    </row>
    <row r="523">
      <c r="A523" s="23" t="n">
        <v>4</v>
      </c>
      <c r="B523" s="23" t="n">
        <v>519</v>
      </c>
      <c r="C523" s="23" t="n">
        <v>3519</v>
      </c>
      <c r="D523" s="23" t="inlineStr">
        <is>
          <t>0201507005</t>
        </is>
      </c>
      <c r="E523" s="11" t="inlineStr">
        <is>
          <t>Region II (Cagayan Valley)</t>
        </is>
      </c>
      <c r="F523" s="11" t="inlineStr">
        <is>
          <t>Cagayan</t>
        </is>
      </c>
      <c r="G523" s="11" t="inlineStr">
        <is>
          <t>Ballesteros</t>
        </is>
      </c>
      <c r="H523" s="11" t="inlineStr">
        <is>
          <t>Cabayu</t>
        </is>
      </c>
      <c r="I523" s="24" t="n">
        <v>18.274</v>
      </c>
      <c r="J523" s="24" t="n">
        <v>121.4756</v>
      </c>
      <c r="K523" s="23" t="inlineStr">
        <is>
          <t>R</t>
        </is>
      </c>
      <c r="L523" s="25" t="n">
        <v>942</v>
      </c>
      <c r="M523" s="26" t="n">
        <v>3.9</v>
      </c>
      <c r="N523" s="25">
        <f>ROUND(L523/M523, 0)</f>
        <v/>
      </c>
      <c r="O523" s="25">
        <f>ROUND(N523*'Methodology &amp; Assumptions'!$B$7, 0)</f>
        <v/>
      </c>
      <c r="P523" s="23" t="inlineStr">
        <is>
          <t>Single Carrier (Band n50, 100MHz TDD)</t>
        </is>
      </c>
      <c r="Q523" s="27">
        <f>ROUNDUP(O523/'Methodology &amp; Assumptions'!$B$8, 0)</f>
        <v/>
      </c>
      <c r="R523" s="27" t="n">
        <v>1</v>
      </c>
      <c r="S523" s="26" t="n">
        <v>4.57</v>
      </c>
      <c r="T523" s="26" t="n">
        <v>6.66</v>
      </c>
      <c r="U523" s="11">
        <f>IF(S523&lt;='Methodology &amp; Assumptions'!$B$10, "Direct Optical Drop (&lt;3km)", IF(S523&lt;='Methodology &amp; Assumptions'!$B$9, "Near Optical / Microwave (&lt;5km)", "Starlink Business LEO Satellite Backhaul (&gt;5km)"))</f>
        <v/>
      </c>
      <c r="V523" s="26" t="n">
        <v>52.71</v>
      </c>
      <c r="W523" s="26" t="n">
        <v>65.93000000000001</v>
      </c>
      <c r="X523" s="26">
        <f>ROUND(('Methodology &amp; Assumptions'!$B$5*V523) + ('Methodology &amp; Assumptions'!$B$6*W523), 2)</f>
        <v/>
      </c>
      <c r="Y523" s="28" t="n">
        <v>8.300000000000001</v>
      </c>
      <c r="Z523" s="11" t="inlineStr">
        <is>
          <t>Priority Tier 3 (Broadband Expansion)</t>
        </is>
      </c>
    </row>
    <row r="524">
      <c r="A524" s="23" t="n">
        <v>4</v>
      </c>
      <c r="B524" s="23" t="n">
        <v>520</v>
      </c>
      <c r="C524" s="23" t="n">
        <v>3520</v>
      </c>
      <c r="D524" s="23" t="inlineStr">
        <is>
          <t>0405622079</t>
        </is>
      </c>
      <c r="E524" s="11" t="inlineStr">
        <is>
          <t>Region IV-A (CALABARZON)</t>
        </is>
      </c>
      <c r="F524" s="11" t="inlineStr">
        <is>
          <t>Quezon</t>
        </is>
      </c>
      <c r="G524" s="11" t="inlineStr">
        <is>
          <t>Lopez</t>
        </is>
      </c>
      <c r="H524" s="11" t="inlineStr">
        <is>
          <t>Santo Niño Ilaya</t>
        </is>
      </c>
      <c r="I524" s="24" t="n">
        <v>13.834064</v>
      </c>
      <c r="J524" s="24" t="n">
        <v>122.372051</v>
      </c>
      <c r="K524" s="23" t="inlineStr">
        <is>
          <t>R</t>
        </is>
      </c>
      <c r="L524" s="25" t="n">
        <v>1087</v>
      </c>
      <c r="M524" s="26" t="n">
        <v>3.8</v>
      </c>
      <c r="N524" s="25">
        <f>ROUND(L524/M524, 0)</f>
        <v/>
      </c>
      <c r="O524" s="25">
        <f>ROUND(N524*'Methodology &amp; Assumptions'!$B$7, 0)</f>
        <v/>
      </c>
      <c r="P524" s="23" t="inlineStr">
        <is>
          <t>Single Carrier (Band n50, 100MHz TDD)</t>
        </is>
      </c>
      <c r="Q524" s="27">
        <f>ROUNDUP(O524/'Methodology &amp; Assumptions'!$B$8, 0)</f>
        <v/>
      </c>
      <c r="R524" s="27" t="n">
        <v>1</v>
      </c>
      <c r="S524" s="26" t="n">
        <v>11.36</v>
      </c>
      <c r="T524" s="26" t="n">
        <v>0.76</v>
      </c>
      <c r="U524" s="11">
        <f>IF(S524&lt;='Methodology &amp; Assumptions'!$B$10, "Direct Optical Drop (&lt;3km)", IF(S524&lt;='Methodology &amp; Assumptions'!$B$9, "Near Optical / Microwave (&lt;5km)", "Starlink Business LEO Satellite Backhaul (&gt;5km)"))</f>
        <v/>
      </c>
      <c r="V524" s="26" t="n">
        <v>49.67</v>
      </c>
      <c r="W524" s="26" t="n">
        <v>68.97</v>
      </c>
      <c r="X524" s="26">
        <f>ROUND(('Methodology &amp; Assumptions'!$B$5*V524) + ('Methodology &amp; Assumptions'!$B$6*W524), 2)</f>
        <v/>
      </c>
      <c r="Y524" s="28" t="n">
        <v>7.2</v>
      </c>
      <c r="Z524" s="11" t="inlineStr">
        <is>
          <t>Priority Tier 3 (Broadband Expansion)</t>
        </is>
      </c>
    </row>
    <row r="525">
      <c r="A525" s="23" t="n">
        <v>4</v>
      </c>
      <c r="B525" s="23" t="n">
        <v>521</v>
      </c>
      <c r="C525" s="23" t="n">
        <v>3521</v>
      </c>
      <c r="D525" s="23" t="inlineStr">
        <is>
          <t>0403406016</t>
        </is>
      </c>
      <c r="E525" s="11" t="inlineStr">
        <is>
          <t>Region IV-A (CALABARZON)</t>
        </is>
      </c>
      <c r="F525" s="11" t="inlineStr">
        <is>
          <t>Laguna</t>
        </is>
      </c>
      <c r="G525" s="11" t="inlineStr">
        <is>
          <t>Calauan</t>
        </is>
      </c>
      <c r="H525" s="11" t="inlineStr">
        <is>
          <t>San Isidro</t>
        </is>
      </c>
      <c r="I525" s="24" t="n">
        <v>14.156671</v>
      </c>
      <c r="J525" s="24" t="n">
        <v>121.315773</v>
      </c>
      <c r="K525" s="23" t="inlineStr">
        <is>
          <t>R</t>
        </is>
      </c>
      <c r="L525" s="25" t="n">
        <v>3915</v>
      </c>
      <c r="M525" s="26" t="n">
        <v>3.3</v>
      </c>
      <c r="N525" s="25">
        <f>ROUND(L525/M525, 0)</f>
        <v/>
      </c>
      <c r="O525" s="25">
        <f>ROUND(N525*'Methodology &amp; Assumptions'!$B$7, 0)</f>
        <v/>
      </c>
      <c r="P525" s="23" t="inlineStr">
        <is>
          <t>Single Carrier (Band n50, 100MHz TDD)</t>
        </is>
      </c>
      <c r="Q525" s="27">
        <f>ROUNDUP(O525/'Methodology &amp; Assumptions'!$B$8, 0)</f>
        <v/>
      </c>
      <c r="R525" s="27" t="n">
        <v>1</v>
      </c>
      <c r="S525" s="26" t="n">
        <v>1.2</v>
      </c>
      <c r="T525" s="26" t="n">
        <v>0.8</v>
      </c>
      <c r="U525" s="11">
        <f>IF(S525&lt;='Methodology &amp; Assumptions'!$B$10, "Direct Optical Drop (&lt;3km)", IF(S525&lt;='Methodology &amp; Assumptions'!$B$9, "Near Optical / Microwave (&lt;5km)", "Starlink Business LEO Satellite Backhaul (&gt;5km)"))</f>
        <v/>
      </c>
      <c r="V525" s="26" t="n">
        <v>84.06999999999999</v>
      </c>
      <c r="W525" s="26" t="n">
        <v>34.56</v>
      </c>
      <c r="X525" s="26">
        <f>ROUND(('Methodology &amp; Assumptions'!$B$5*V525) + ('Methodology &amp; Assumptions'!$B$6*W525), 2)</f>
        <v/>
      </c>
      <c r="Y525" s="28" t="n">
        <v>7.2</v>
      </c>
      <c r="Z525" s="11" t="inlineStr">
        <is>
          <t>Priority Tier 3 (Broadband Expansion)</t>
        </is>
      </c>
    </row>
    <row r="526">
      <c r="A526" s="23" t="n">
        <v>4</v>
      </c>
      <c r="B526" s="23" t="n">
        <v>522</v>
      </c>
      <c r="C526" s="23" t="n">
        <v>3522</v>
      </c>
      <c r="D526" s="23" t="inlineStr">
        <is>
          <t>1630400008</t>
        </is>
      </c>
      <c r="E526" s="11" t="inlineStr">
        <is>
          <t>Region XIII (Caraga)</t>
        </is>
      </c>
      <c r="F526" s="11" t="inlineStr">
        <is>
          <t>Agusan del Norte</t>
        </is>
      </c>
      <c r="G526" s="11" t="inlineStr">
        <is>
          <t>City of Butuan</t>
        </is>
      </c>
      <c r="H526" s="11" t="inlineStr">
        <is>
          <t>Anticala</t>
        </is>
      </c>
      <c r="I526" s="24" t="n">
        <v>9.024065999999999</v>
      </c>
      <c r="J526" s="24" t="n">
        <v>125.518508</v>
      </c>
      <c r="K526" s="23" t="inlineStr">
        <is>
          <t>R</t>
        </is>
      </c>
      <c r="L526" s="25" t="n">
        <v>5079</v>
      </c>
      <c r="M526" s="26" t="n">
        <v>4.1</v>
      </c>
      <c r="N526" s="25">
        <f>ROUND(L526/M526, 0)</f>
        <v/>
      </c>
      <c r="O526" s="25">
        <f>ROUND(N526*'Methodology &amp; Assumptions'!$B$7, 0)</f>
        <v/>
      </c>
      <c r="P526" s="23" t="inlineStr">
        <is>
          <t>Single Carrier (Band n50, 100MHz TDD)</t>
        </is>
      </c>
      <c r="Q526" s="27">
        <f>ROUNDUP(O526/'Methodology &amp; Assumptions'!$B$8, 0)</f>
        <v/>
      </c>
      <c r="R526" s="27" t="n">
        <v>1</v>
      </c>
      <c r="S526" s="26" t="n">
        <v>1.64</v>
      </c>
      <c r="T526" s="26" t="n">
        <v>7.1</v>
      </c>
      <c r="U526" s="11">
        <f>IF(S526&lt;='Methodology &amp; Assumptions'!$B$10, "Direct Optical Drop (&lt;3km)", IF(S526&lt;='Methodology &amp; Assumptions'!$B$9, "Near Optical / Microwave (&lt;5km)", "Starlink Business LEO Satellite Backhaul (&gt;5km)"))</f>
        <v/>
      </c>
      <c r="V526" s="26" t="n">
        <v>80.56999999999999</v>
      </c>
      <c r="W526" s="26" t="n">
        <v>38.05</v>
      </c>
      <c r="X526" s="26">
        <f>ROUND(('Methodology &amp; Assumptions'!$B$5*V526) + ('Methodology &amp; Assumptions'!$B$6*W526), 2)</f>
        <v/>
      </c>
      <c r="Y526" s="28" t="n">
        <v>17.4</v>
      </c>
      <c r="Z526" s="11" t="inlineStr">
        <is>
          <t>Priority Tier 3 (Broadband Expansion)</t>
        </is>
      </c>
    </row>
    <row r="527">
      <c r="A527" s="23" t="n">
        <v>4</v>
      </c>
      <c r="B527" s="23" t="n">
        <v>523</v>
      </c>
      <c r="C527" s="23" t="n">
        <v>3523</v>
      </c>
      <c r="D527" s="23" t="inlineStr">
        <is>
          <t>1630400009</t>
        </is>
      </c>
      <c r="E527" s="11" t="inlineStr">
        <is>
          <t>Region XIII (Caraga)</t>
        </is>
      </c>
      <c r="F527" s="11" t="inlineStr">
        <is>
          <t>Agusan del Norte</t>
        </is>
      </c>
      <c r="G527" s="11" t="inlineStr">
        <is>
          <t>City of Butuan</t>
        </is>
      </c>
      <c r="H527" s="11" t="inlineStr">
        <is>
          <t>Antongalon</t>
        </is>
      </c>
      <c r="I527" s="24" t="n">
        <v>9.024065999999999</v>
      </c>
      <c r="J527" s="24" t="n">
        <v>125.518508</v>
      </c>
      <c r="K527" s="23" t="inlineStr">
        <is>
          <t>R</t>
        </is>
      </c>
      <c r="L527" s="25" t="n">
        <v>4300</v>
      </c>
      <c r="M527" s="26" t="n">
        <v>4.1</v>
      </c>
      <c r="N527" s="25">
        <f>ROUND(L527/M527, 0)</f>
        <v/>
      </c>
      <c r="O527" s="25">
        <f>ROUND(N527*'Methodology &amp; Assumptions'!$B$7, 0)</f>
        <v/>
      </c>
      <c r="P527" s="23" t="inlineStr">
        <is>
          <t>Single Carrier (Band n50, 100MHz TDD)</t>
        </is>
      </c>
      <c r="Q527" s="27">
        <f>ROUNDUP(O527/'Methodology &amp; Assumptions'!$B$8, 0)</f>
        <v/>
      </c>
      <c r="R527" s="27" t="n">
        <v>1</v>
      </c>
      <c r="S527" s="26" t="n">
        <v>1.64</v>
      </c>
      <c r="T527" s="26" t="n">
        <v>7.1</v>
      </c>
      <c r="U527" s="11">
        <f>IF(S527&lt;='Methodology &amp; Assumptions'!$B$10, "Direct Optical Drop (&lt;3km)", IF(S527&lt;='Methodology &amp; Assumptions'!$B$9, "Near Optical / Microwave (&lt;5km)", "Starlink Business LEO Satellite Backhaul (&gt;5km)"))</f>
        <v/>
      </c>
      <c r="V527" s="26" t="n">
        <v>80.56999999999999</v>
      </c>
      <c r="W527" s="26" t="n">
        <v>38.05</v>
      </c>
      <c r="X527" s="26">
        <f>ROUND(('Methodology &amp; Assumptions'!$B$5*V527) + ('Methodology &amp; Assumptions'!$B$6*W527), 2)</f>
        <v/>
      </c>
      <c r="Y527" s="28" t="n">
        <v>17.4</v>
      </c>
      <c r="Z527" s="11" t="inlineStr">
        <is>
          <t>Priority Tier 3 (Broadband Expansion)</t>
        </is>
      </c>
    </row>
    <row r="528">
      <c r="A528" s="23" t="n">
        <v>4</v>
      </c>
      <c r="B528" s="23" t="n">
        <v>524</v>
      </c>
      <c r="C528" s="23" t="n">
        <v>3524</v>
      </c>
      <c r="D528" s="23" t="inlineStr">
        <is>
          <t>1630400019</t>
        </is>
      </c>
      <c r="E528" s="11" t="inlineStr">
        <is>
          <t>Region XIII (Caraga)</t>
        </is>
      </c>
      <c r="F528" s="11" t="inlineStr">
        <is>
          <t>Agusan del Norte</t>
        </is>
      </c>
      <c r="G528" s="11" t="inlineStr">
        <is>
          <t>City of Butuan</t>
        </is>
      </c>
      <c r="H528" s="11" t="inlineStr">
        <is>
          <t>Basag</t>
        </is>
      </c>
      <c r="I528" s="24" t="n">
        <v>9.024065999999999</v>
      </c>
      <c r="J528" s="24" t="n">
        <v>125.518508</v>
      </c>
      <c r="K528" s="23" t="inlineStr">
        <is>
          <t>R</t>
        </is>
      </c>
      <c r="L528" s="25" t="n">
        <v>4128</v>
      </c>
      <c r="M528" s="26" t="n">
        <v>4.1</v>
      </c>
      <c r="N528" s="25">
        <f>ROUND(L528/M528, 0)</f>
        <v/>
      </c>
      <c r="O528" s="25">
        <f>ROUND(N528*'Methodology &amp; Assumptions'!$B$7, 0)</f>
        <v/>
      </c>
      <c r="P528" s="23" t="inlineStr">
        <is>
          <t>Single Carrier (Band n50, 100MHz TDD)</t>
        </is>
      </c>
      <c r="Q528" s="27">
        <f>ROUNDUP(O528/'Methodology &amp; Assumptions'!$B$8, 0)</f>
        <v/>
      </c>
      <c r="R528" s="27" t="n">
        <v>1</v>
      </c>
      <c r="S528" s="26" t="n">
        <v>1.64</v>
      </c>
      <c r="T528" s="26" t="n">
        <v>7.1</v>
      </c>
      <c r="U528" s="11">
        <f>IF(S528&lt;='Methodology &amp; Assumptions'!$B$10, "Direct Optical Drop (&lt;3km)", IF(S528&lt;='Methodology &amp; Assumptions'!$B$9, "Near Optical / Microwave (&lt;5km)", "Starlink Business LEO Satellite Backhaul (&gt;5km)"))</f>
        <v/>
      </c>
      <c r="V528" s="26" t="n">
        <v>80.56999999999999</v>
      </c>
      <c r="W528" s="26" t="n">
        <v>38.05</v>
      </c>
      <c r="X528" s="26">
        <f>ROUND(('Methodology &amp; Assumptions'!$B$5*V528) + ('Methodology &amp; Assumptions'!$B$6*W528), 2)</f>
        <v/>
      </c>
      <c r="Y528" s="28" t="n">
        <v>17.4</v>
      </c>
      <c r="Z528" s="11" t="inlineStr">
        <is>
          <t>Priority Tier 3 (Broadband Expansion)</t>
        </is>
      </c>
    </row>
    <row r="529">
      <c r="A529" s="23" t="n">
        <v>4</v>
      </c>
      <c r="B529" s="23" t="n">
        <v>525</v>
      </c>
      <c r="C529" s="23" t="n">
        <v>3525</v>
      </c>
      <c r="D529" s="23" t="inlineStr">
        <is>
          <t>1630400049</t>
        </is>
      </c>
      <c r="E529" s="11" t="inlineStr">
        <is>
          <t>Region XIII (Caraga)</t>
        </is>
      </c>
      <c r="F529" s="11" t="inlineStr">
        <is>
          <t>Agusan del Norte</t>
        </is>
      </c>
      <c r="G529" s="11" t="inlineStr">
        <is>
          <t>City of Butuan</t>
        </is>
      </c>
      <c r="H529" s="11" t="inlineStr">
        <is>
          <t>Kinamlutan</t>
        </is>
      </c>
      <c r="I529" s="24" t="n">
        <v>9.024065999999999</v>
      </c>
      <c r="J529" s="24" t="n">
        <v>125.518508</v>
      </c>
      <c r="K529" s="23" t="inlineStr">
        <is>
          <t>R</t>
        </is>
      </c>
      <c r="L529" s="25" t="n">
        <v>3815</v>
      </c>
      <c r="M529" s="26" t="n">
        <v>4.1</v>
      </c>
      <c r="N529" s="25">
        <f>ROUND(L529/M529, 0)</f>
        <v/>
      </c>
      <c r="O529" s="25">
        <f>ROUND(N529*'Methodology &amp; Assumptions'!$B$7, 0)</f>
        <v/>
      </c>
      <c r="P529" s="23" t="inlineStr">
        <is>
          <t>Single Carrier (Band n50, 100MHz TDD)</t>
        </is>
      </c>
      <c r="Q529" s="27">
        <f>ROUNDUP(O529/'Methodology &amp; Assumptions'!$B$8, 0)</f>
        <v/>
      </c>
      <c r="R529" s="27" t="n">
        <v>1</v>
      </c>
      <c r="S529" s="26" t="n">
        <v>1.64</v>
      </c>
      <c r="T529" s="26" t="n">
        <v>7.1</v>
      </c>
      <c r="U529" s="11">
        <f>IF(S529&lt;='Methodology &amp; Assumptions'!$B$10, "Direct Optical Drop (&lt;3km)", IF(S529&lt;='Methodology &amp; Assumptions'!$B$9, "Near Optical / Microwave (&lt;5km)", "Starlink Business LEO Satellite Backhaul (&gt;5km)"))</f>
        <v/>
      </c>
      <c r="V529" s="26" t="n">
        <v>80.56999999999999</v>
      </c>
      <c r="W529" s="26" t="n">
        <v>38.05</v>
      </c>
      <c r="X529" s="26">
        <f>ROUND(('Methodology &amp; Assumptions'!$B$5*V529) + ('Methodology &amp; Assumptions'!$B$6*W529), 2)</f>
        <v/>
      </c>
      <c r="Y529" s="28" t="n">
        <v>17.4</v>
      </c>
      <c r="Z529" s="11" t="inlineStr">
        <is>
          <t>Priority Tier 3 (Broadband Expansion)</t>
        </is>
      </c>
    </row>
    <row r="530">
      <c r="A530" s="23" t="n">
        <v>4</v>
      </c>
      <c r="B530" s="23" t="n">
        <v>526</v>
      </c>
      <c r="C530" s="23" t="n">
        <v>3526</v>
      </c>
      <c r="D530" s="23" t="inlineStr">
        <is>
          <t>1630400057</t>
        </is>
      </c>
      <c r="E530" s="11" t="inlineStr">
        <is>
          <t>Region XIII (Caraga)</t>
        </is>
      </c>
      <c r="F530" s="11" t="inlineStr">
        <is>
          <t>Agusan del Norte</t>
        </is>
      </c>
      <c r="G530" s="11" t="inlineStr">
        <is>
          <t>City of Butuan</t>
        </is>
      </c>
      <c r="H530" s="11" t="inlineStr">
        <is>
          <t>Lumbocan</t>
        </is>
      </c>
      <c r="I530" s="24" t="n">
        <v>9.024065999999999</v>
      </c>
      <c r="J530" s="24" t="n">
        <v>125.518508</v>
      </c>
      <c r="K530" s="23" t="inlineStr">
        <is>
          <t>R</t>
        </is>
      </c>
      <c r="L530" s="25" t="n">
        <v>5127</v>
      </c>
      <c r="M530" s="26" t="n">
        <v>4.1</v>
      </c>
      <c r="N530" s="25">
        <f>ROUND(L530/M530, 0)</f>
        <v/>
      </c>
      <c r="O530" s="25">
        <f>ROUND(N530*'Methodology &amp; Assumptions'!$B$7, 0)</f>
        <v/>
      </c>
      <c r="P530" s="23" t="inlineStr">
        <is>
          <t>Single Carrier (Band n50, 100MHz TDD)</t>
        </is>
      </c>
      <c r="Q530" s="27">
        <f>ROUNDUP(O530/'Methodology &amp; Assumptions'!$B$8, 0)</f>
        <v/>
      </c>
      <c r="R530" s="27" t="n">
        <v>1</v>
      </c>
      <c r="S530" s="26" t="n">
        <v>1.64</v>
      </c>
      <c r="T530" s="26" t="n">
        <v>7.1</v>
      </c>
      <c r="U530" s="11">
        <f>IF(S530&lt;='Methodology &amp; Assumptions'!$B$10, "Direct Optical Drop (&lt;3km)", IF(S530&lt;='Methodology &amp; Assumptions'!$B$9, "Near Optical / Microwave (&lt;5km)", "Starlink Business LEO Satellite Backhaul (&gt;5km)"))</f>
        <v/>
      </c>
      <c r="V530" s="26" t="n">
        <v>80.56999999999999</v>
      </c>
      <c r="W530" s="26" t="n">
        <v>38.05</v>
      </c>
      <c r="X530" s="26">
        <f>ROUND(('Methodology &amp; Assumptions'!$B$5*V530) + ('Methodology &amp; Assumptions'!$B$6*W530), 2)</f>
        <v/>
      </c>
      <c r="Y530" s="28" t="n">
        <v>17.4</v>
      </c>
      <c r="Z530" s="11" t="inlineStr">
        <is>
          <t>Priority Tier 3 (Broadband Expansion)</t>
        </is>
      </c>
    </row>
    <row r="531">
      <c r="A531" s="23" t="n">
        <v>4</v>
      </c>
      <c r="B531" s="23" t="n">
        <v>527</v>
      </c>
      <c r="C531" s="23" t="n">
        <v>3527</v>
      </c>
      <c r="D531" s="23" t="inlineStr">
        <is>
          <t>1630400060</t>
        </is>
      </c>
      <c r="E531" s="11" t="inlineStr">
        <is>
          <t>Region XIII (Caraga)</t>
        </is>
      </c>
      <c r="F531" s="11" t="inlineStr">
        <is>
          <t>Agusan del Norte</t>
        </is>
      </c>
      <c r="G531" s="11" t="inlineStr">
        <is>
          <t>City of Butuan</t>
        </is>
      </c>
      <c r="H531" s="11" t="inlineStr">
        <is>
          <t>Maguinda</t>
        </is>
      </c>
      <c r="I531" s="24" t="n">
        <v>9.024065999999999</v>
      </c>
      <c r="J531" s="24" t="n">
        <v>125.518508</v>
      </c>
      <c r="K531" s="23" t="inlineStr">
        <is>
          <t>R</t>
        </is>
      </c>
      <c r="L531" s="25" t="n">
        <v>3831</v>
      </c>
      <c r="M531" s="26" t="n">
        <v>4.1</v>
      </c>
      <c r="N531" s="25">
        <f>ROUND(L531/M531, 0)</f>
        <v/>
      </c>
      <c r="O531" s="25">
        <f>ROUND(N531*'Methodology &amp; Assumptions'!$B$7, 0)</f>
        <v/>
      </c>
      <c r="P531" s="23" t="inlineStr">
        <is>
          <t>Single Carrier (Band n50, 100MHz TDD)</t>
        </is>
      </c>
      <c r="Q531" s="27">
        <f>ROUNDUP(O531/'Methodology &amp; Assumptions'!$B$8, 0)</f>
        <v/>
      </c>
      <c r="R531" s="27" t="n">
        <v>1</v>
      </c>
      <c r="S531" s="26" t="n">
        <v>1.64</v>
      </c>
      <c r="T531" s="26" t="n">
        <v>7.1</v>
      </c>
      <c r="U531" s="11">
        <f>IF(S531&lt;='Methodology &amp; Assumptions'!$B$10, "Direct Optical Drop (&lt;3km)", IF(S531&lt;='Methodology &amp; Assumptions'!$B$9, "Near Optical / Microwave (&lt;5km)", "Starlink Business LEO Satellite Backhaul (&gt;5km)"))</f>
        <v/>
      </c>
      <c r="V531" s="26" t="n">
        <v>80.56999999999999</v>
      </c>
      <c r="W531" s="26" t="n">
        <v>38.05</v>
      </c>
      <c r="X531" s="26">
        <f>ROUND(('Methodology &amp; Assumptions'!$B$5*V531) + ('Methodology &amp; Assumptions'!$B$6*W531), 2)</f>
        <v/>
      </c>
      <c r="Y531" s="28" t="n">
        <v>17.4</v>
      </c>
      <c r="Z531" s="11" t="inlineStr">
        <is>
          <t>Priority Tier 3 (Broadband Expansion)</t>
        </is>
      </c>
    </row>
    <row r="532">
      <c r="A532" s="23" t="n">
        <v>4</v>
      </c>
      <c r="B532" s="23" t="n">
        <v>528</v>
      </c>
      <c r="C532" s="23" t="n">
        <v>3528</v>
      </c>
      <c r="D532" s="23" t="inlineStr">
        <is>
          <t>1630400061</t>
        </is>
      </c>
      <c r="E532" s="11" t="inlineStr">
        <is>
          <t>Region XIII (Caraga)</t>
        </is>
      </c>
      <c r="F532" s="11" t="inlineStr">
        <is>
          <t>Agusan del Norte</t>
        </is>
      </c>
      <c r="G532" s="11" t="inlineStr">
        <is>
          <t>City of Butuan</t>
        </is>
      </c>
      <c r="H532" s="11" t="inlineStr">
        <is>
          <t>Mahay</t>
        </is>
      </c>
      <c r="I532" s="24" t="n">
        <v>9.024065999999999</v>
      </c>
      <c r="J532" s="24" t="n">
        <v>125.518508</v>
      </c>
      <c r="K532" s="23" t="inlineStr">
        <is>
          <t>R</t>
        </is>
      </c>
      <c r="L532" s="25" t="n">
        <v>5039</v>
      </c>
      <c r="M532" s="26" t="n">
        <v>4.1</v>
      </c>
      <c r="N532" s="25">
        <f>ROUND(L532/M532, 0)</f>
        <v/>
      </c>
      <c r="O532" s="25">
        <f>ROUND(N532*'Methodology &amp; Assumptions'!$B$7, 0)</f>
        <v/>
      </c>
      <c r="P532" s="23" t="inlineStr">
        <is>
          <t>Single Carrier (Band n50, 100MHz TDD)</t>
        </is>
      </c>
      <c r="Q532" s="27">
        <f>ROUNDUP(O532/'Methodology &amp; Assumptions'!$B$8, 0)</f>
        <v/>
      </c>
      <c r="R532" s="27" t="n">
        <v>1</v>
      </c>
      <c r="S532" s="26" t="n">
        <v>1.64</v>
      </c>
      <c r="T532" s="26" t="n">
        <v>7.1</v>
      </c>
      <c r="U532" s="11">
        <f>IF(S532&lt;='Methodology &amp; Assumptions'!$B$10, "Direct Optical Drop (&lt;3km)", IF(S532&lt;='Methodology &amp; Assumptions'!$B$9, "Near Optical / Microwave (&lt;5km)", "Starlink Business LEO Satellite Backhaul (&gt;5km)"))</f>
        <v/>
      </c>
      <c r="V532" s="26" t="n">
        <v>80.56999999999999</v>
      </c>
      <c r="W532" s="26" t="n">
        <v>38.05</v>
      </c>
      <c r="X532" s="26">
        <f>ROUND(('Methodology &amp; Assumptions'!$B$5*V532) + ('Methodology &amp; Assumptions'!$B$6*W532), 2)</f>
        <v/>
      </c>
      <c r="Y532" s="28" t="n">
        <v>17.4</v>
      </c>
      <c r="Z532" s="11" t="inlineStr">
        <is>
          <t>Priority Tier 3 (Broadband Expansion)</t>
        </is>
      </c>
    </row>
    <row r="533">
      <c r="A533" s="23" t="n">
        <v>4</v>
      </c>
      <c r="B533" s="23" t="n">
        <v>529</v>
      </c>
      <c r="C533" s="23" t="n">
        <v>3529</v>
      </c>
      <c r="D533" s="23" t="inlineStr">
        <is>
          <t>1630400065</t>
        </is>
      </c>
      <c r="E533" s="11" t="inlineStr">
        <is>
          <t>Region XIII (Caraga)</t>
        </is>
      </c>
      <c r="F533" s="11" t="inlineStr">
        <is>
          <t>Agusan del Norte</t>
        </is>
      </c>
      <c r="G533" s="11" t="inlineStr">
        <is>
          <t>City of Butuan</t>
        </is>
      </c>
      <c r="H533" s="11" t="inlineStr">
        <is>
          <t>Manila de Bugabus</t>
        </is>
      </c>
      <c r="I533" s="24" t="n">
        <v>9.024065999999999</v>
      </c>
      <c r="J533" s="24" t="n">
        <v>125.518508</v>
      </c>
      <c r="K533" s="23" t="inlineStr">
        <is>
          <t>R</t>
        </is>
      </c>
      <c r="L533" s="25" t="n">
        <v>3890</v>
      </c>
      <c r="M533" s="26" t="n">
        <v>4.1</v>
      </c>
      <c r="N533" s="25">
        <f>ROUND(L533/M533, 0)</f>
        <v/>
      </c>
      <c r="O533" s="25">
        <f>ROUND(N533*'Methodology &amp; Assumptions'!$B$7, 0)</f>
        <v/>
      </c>
      <c r="P533" s="23" t="inlineStr">
        <is>
          <t>Single Carrier (Band n50, 100MHz TDD)</t>
        </is>
      </c>
      <c r="Q533" s="27">
        <f>ROUNDUP(O533/'Methodology &amp; Assumptions'!$B$8, 0)</f>
        <v/>
      </c>
      <c r="R533" s="27" t="n">
        <v>1</v>
      </c>
      <c r="S533" s="26" t="n">
        <v>1.64</v>
      </c>
      <c r="T533" s="26" t="n">
        <v>7.1</v>
      </c>
      <c r="U533" s="11">
        <f>IF(S533&lt;='Methodology &amp; Assumptions'!$B$10, "Direct Optical Drop (&lt;3km)", IF(S533&lt;='Methodology &amp; Assumptions'!$B$9, "Near Optical / Microwave (&lt;5km)", "Starlink Business LEO Satellite Backhaul (&gt;5km)"))</f>
        <v/>
      </c>
      <c r="V533" s="26" t="n">
        <v>80.56999999999999</v>
      </c>
      <c r="W533" s="26" t="n">
        <v>38.05</v>
      </c>
      <c r="X533" s="26">
        <f>ROUND(('Methodology &amp; Assumptions'!$B$5*V533) + ('Methodology &amp; Assumptions'!$B$6*W533), 2)</f>
        <v/>
      </c>
      <c r="Y533" s="28" t="n">
        <v>17.4</v>
      </c>
      <c r="Z533" s="11" t="inlineStr">
        <is>
          <t>Priority Tier 3 (Broadband Expansion)</t>
        </is>
      </c>
    </row>
    <row r="534">
      <c r="A534" s="23" t="n">
        <v>4</v>
      </c>
      <c r="B534" s="23" t="n">
        <v>530</v>
      </c>
      <c r="C534" s="23" t="n">
        <v>3530</v>
      </c>
      <c r="D534" s="23" t="inlineStr">
        <is>
          <t>1630400073</t>
        </is>
      </c>
      <c r="E534" s="11" t="inlineStr">
        <is>
          <t>Region XIII (Caraga)</t>
        </is>
      </c>
      <c r="F534" s="11" t="inlineStr">
        <is>
          <t>Agusan del Norte</t>
        </is>
      </c>
      <c r="G534" s="11" t="inlineStr">
        <is>
          <t>City of Butuan</t>
        </is>
      </c>
      <c r="H534" s="11" t="inlineStr">
        <is>
          <t>Pinamanculan</t>
        </is>
      </c>
      <c r="I534" s="24" t="n">
        <v>9.024065999999999</v>
      </c>
      <c r="J534" s="24" t="n">
        <v>125.518508</v>
      </c>
      <c r="K534" s="23" t="inlineStr">
        <is>
          <t>R</t>
        </is>
      </c>
      <c r="L534" s="25" t="n">
        <v>3544</v>
      </c>
      <c r="M534" s="26" t="n">
        <v>4.1</v>
      </c>
      <c r="N534" s="25">
        <f>ROUND(L534/M534, 0)</f>
        <v/>
      </c>
      <c r="O534" s="25">
        <f>ROUND(N534*'Methodology &amp; Assumptions'!$B$7, 0)</f>
        <v/>
      </c>
      <c r="P534" s="23" t="inlineStr">
        <is>
          <t>Single Carrier (Band n50, 100MHz TDD)</t>
        </is>
      </c>
      <c r="Q534" s="27">
        <f>ROUNDUP(O534/'Methodology &amp; Assumptions'!$B$8, 0)</f>
        <v/>
      </c>
      <c r="R534" s="27" t="n">
        <v>1</v>
      </c>
      <c r="S534" s="26" t="n">
        <v>1.64</v>
      </c>
      <c r="T534" s="26" t="n">
        <v>7.1</v>
      </c>
      <c r="U534" s="11">
        <f>IF(S534&lt;='Methodology &amp; Assumptions'!$B$10, "Direct Optical Drop (&lt;3km)", IF(S534&lt;='Methodology &amp; Assumptions'!$B$9, "Near Optical / Microwave (&lt;5km)", "Starlink Business LEO Satellite Backhaul (&gt;5km)"))</f>
        <v/>
      </c>
      <c r="V534" s="26" t="n">
        <v>80.56999999999999</v>
      </c>
      <c r="W534" s="26" t="n">
        <v>38.05</v>
      </c>
      <c r="X534" s="26">
        <f>ROUND(('Methodology &amp; Assumptions'!$B$5*V534) + ('Methodology &amp; Assumptions'!$B$6*W534), 2)</f>
        <v/>
      </c>
      <c r="Y534" s="28" t="n">
        <v>17.4</v>
      </c>
      <c r="Z534" s="11" t="inlineStr">
        <is>
          <t>Priority Tier 3 (Broadband Expansion)</t>
        </is>
      </c>
    </row>
    <row r="535">
      <c r="A535" s="23" t="n">
        <v>4</v>
      </c>
      <c r="B535" s="23" t="n">
        <v>531</v>
      </c>
      <c r="C535" s="23" t="n">
        <v>3531</v>
      </c>
      <c r="D535" s="23" t="inlineStr">
        <is>
          <t>1630400076</t>
        </is>
      </c>
      <c r="E535" s="11" t="inlineStr">
        <is>
          <t>Region XIII (Caraga)</t>
        </is>
      </c>
      <c r="F535" s="11" t="inlineStr">
        <is>
          <t>Agusan del Norte</t>
        </is>
      </c>
      <c r="G535" s="11" t="inlineStr">
        <is>
          <t>City of Butuan</t>
        </is>
      </c>
      <c r="H535" s="11" t="inlineStr">
        <is>
          <t>San Mateo</t>
        </is>
      </c>
      <c r="I535" s="24" t="n">
        <v>9.024065999999999</v>
      </c>
      <c r="J535" s="24" t="n">
        <v>125.518508</v>
      </c>
      <c r="K535" s="23" t="inlineStr">
        <is>
          <t>R</t>
        </is>
      </c>
      <c r="L535" s="25" t="n">
        <v>4307</v>
      </c>
      <c r="M535" s="26" t="n">
        <v>4.1</v>
      </c>
      <c r="N535" s="25">
        <f>ROUND(L535/M535, 0)</f>
        <v/>
      </c>
      <c r="O535" s="25">
        <f>ROUND(N535*'Methodology &amp; Assumptions'!$B$7, 0)</f>
        <v/>
      </c>
      <c r="P535" s="23" t="inlineStr">
        <is>
          <t>Single Carrier (Band n50, 100MHz TDD)</t>
        </is>
      </c>
      <c r="Q535" s="27">
        <f>ROUNDUP(O535/'Methodology &amp; Assumptions'!$B$8, 0)</f>
        <v/>
      </c>
      <c r="R535" s="27" t="n">
        <v>1</v>
      </c>
      <c r="S535" s="26" t="n">
        <v>1.64</v>
      </c>
      <c r="T535" s="26" t="n">
        <v>7.1</v>
      </c>
      <c r="U535" s="11">
        <f>IF(S535&lt;='Methodology &amp; Assumptions'!$B$10, "Direct Optical Drop (&lt;3km)", IF(S535&lt;='Methodology &amp; Assumptions'!$B$9, "Near Optical / Microwave (&lt;5km)", "Starlink Business LEO Satellite Backhaul (&gt;5km)"))</f>
        <v/>
      </c>
      <c r="V535" s="26" t="n">
        <v>80.56999999999999</v>
      </c>
      <c r="W535" s="26" t="n">
        <v>38.05</v>
      </c>
      <c r="X535" s="26">
        <f>ROUND(('Methodology &amp; Assumptions'!$B$5*V535) + ('Methodology &amp; Assumptions'!$B$6*W535), 2)</f>
        <v/>
      </c>
      <c r="Y535" s="28" t="n">
        <v>17.4</v>
      </c>
      <c r="Z535" s="11" t="inlineStr">
        <is>
          <t>Priority Tier 3 (Broadband Expansion)</t>
        </is>
      </c>
    </row>
    <row r="536">
      <c r="A536" s="23" t="n">
        <v>4</v>
      </c>
      <c r="B536" s="23" t="n">
        <v>532</v>
      </c>
      <c r="C536" s="23" t="n">
        <v>3532</v>
      </c>
      <c r="D536" s="23" t="inlineStr">
        <is>
          <t>1630400080</t>
        </is>
      </c>
      <c r="E536" s="11" t="inlineStr">
        <is>
          <t>Region XIII (Caraga)</t>
        </is>
      </c>
      <c r="F536" s="11" t="inlineStr">
        <is>
          <t>Agusan del Norte</t>
        </is>
      </c>
      <c r="G536" s="11" t="inlineStr">
        <is>
          <t>City of Butuan</t>
        </is>
      </c>
      <c r="H536" s="11" t="inlineStr">
        <is>
          <t>Sumilihon</t>
        </is>
      </c>
      <c r="I536" s="24" t="n">
        <v>9.024065999999999</v>
      </c>
      <c r="J536" s="24" t="n">
        <v>125.518508</v>
      </c>
      <c r="K536" s="23" t="inlineStr">
        <is>
          <t>R</t>
        </is>
      </c>
      <c r="L536" s="25" t="n">
        <v>5102</v>
      </c>
      <c r="M536" s="26" t="n">
        <v>4.1</v>
      </c>
      <c r="N536" s="25">
        <f>ROUND(L536/M536, 0)</f>
        <v/>
      </c>
      <c r="O536" s="25">
        <f>ROUND(N536*'Methodology &amp; Assumptions'!$B$7, 0)</f>
        <v/>
      </c>
      <c r="P536" s="23" t="inlineStr">
        <is>
          <t>Single Carrier (Band n50, 100MHz TDD)</t>
        </is>
      </c>
      <c r="Q536" s="27">
        <f>ROUNDUP(O536/'Methodology &amp; Assumptions'!$B$8, 0)</f>
        <v/>
      </c>
      <c r="R536" s="27" t="n">
        <v>1</v>
      </c>
      <c r="S536" s="26" t="n">
        <v>1.64</v>
      </c>
      <c r="T536" s="26" t="n">
        <v>7.1</v>
      </c>
      <c r="U536" s="11">
        <f>IF(S536&lt;='Methodology &amp; Assumptions'!$B$10, "Direct Optical Drop (&lt;3km)", IF(S536&lt;='Methodology &amp; Assumptions'!$B$9, "Near Optical / Microwave (&lt;5km)", "Starlink Business LEO Satellite Backhaul (&gt;5km)"))</f>
        <v/>
      </c>
      <c r="V536" s="26" t="n">
        <v>80.56999999999999</v>
      </c>
      <c r="W536" s="26" t="n">
        <v>38.05</v>
      </c>
      <c r="X536" s="26">
        <f>ROUND(('Methodology &amp; Assumptions'!$B$5*V536) + ('Methodology &amp; Assumptions'!$B$6*W536), 2)</f>
        <v/>
      </c>
      <c r="Y536" s="28" t="n">
        <v>17.4</v>
      </c>
      <c r="Z536" s="11" t="inlineStr">
        <is>
          <t>Priority Tier 3 (Broadband Expansion)</t>
        </is>
      </c>
    </row>
    <row r="537">
      <c r="A537" s="23" t="n">
        <v>4</v>
      </c>
      <c r="B537" s="23" t="n">
        <v>533</v>
      </c>
      <c r="C537" s="23" t="n">
        <v>3533</v>
      </c>
      <c r="D537" s="23" t="inlineStr">
        <is>
          <t>1630400082</t>
        </is>
      </c>
      <c r="E537" s="11" t="inlineStr">
        <is>
          <t>Region XIII (Caraga)</t>
        </is>
      </c>
      <c r="F537" s="11" t="inlineStr">
        <is>
          <t>Agusan del Norte</t>
        </is>
      </c>
      <c r="G537" s="11" t="inlineStr">
        <is>
          <t>City of Butuan</t>
        </is>
      </c>
      <c r="H537" s="11" t="inlineStr">
        <is>
          <t>Tagabaca</t>
        </is>
      </c>
      <c r="I537" s="24" t="n">
        <v>9.024065999999999</v>
      </c>
      <c r="J537" s="24" t="n">
        <v>125.518508</v>
      </c>
      <c r="K537" s="23" t="inlineStr">
        <is>
          <t>R</t>
        </is>
      </c>
      <c r="L537" s="25" t="n">
        <v>3894</v>
      </c>
      <c r="M537" s="26" t="n">
        <v>4.1</v>
      </c>
      <c r="N537" s="25">
        <f>ROUND(L537/M537, 0)</f>
        <v/>
      </c>
      <c r="O537" s="25">
        <f>ROUND(N537*'Methodology &amp; Assumptions'!$B$7, 0)</f>
        <v/>
      </c>
      <c r="P537" s="23" t="inlineStr">
        <is>
          <t>Single Carrier (Band n50, 100MHz TDD)</t>
        </is>
      </c>
      <c r="Q537" s="27">
        <f>ROUNDUP(O537/'Methodology &amp; Assumptions'!$B$8, 0)</f>
        <v/>
      </c>
      <c r="R537" s="27" t="n">
        <v>1</v>
      </c>
      <c r="S537" s="26" t="n">
        <v>1.64</v>
      </c>
      <c r="T537" s="26" t="n">
        <v>7.1</v>
      </c>
      <c r="U537" s="11">
        <f>IF(S537&lt;='Methodology &amp; Assumptions'!$B$10, "Direct Optical Drop (&lt;3km)", IF(S537&lt;='Methodology &amp; Assumptions'!$B$9, "Near Optical / Microwave (&lt;5km)", "Starlink Business LEO Satellite Backhaul (&gt;5km)"))</f>
        <v/>
      </c>
      <c r="V537" s="26" t="n">
        <v>80.56999999999999</v>
      </c>
      <c r="W537" s="26" t="n">
        <v>38.05</v>
      </c>
      <c r="X537" s="26">
        <f>ROUND(('Methodology &amp; Assumptions'!$B$5*V537) + ('Methodology &amp; Assumptions'!$B$6*W537), 2)</f>
        <v/>
      </c>
      <c r="Y537" s="28" t="n">
        <v>17.4</v>
      </c>
      <c r="Z537" s="11" t="inlineStr">
        <is>
          <t>Priority Tier 3 (Broadband Expansion)</t>
        </is>
      </c>
    </row>
    <row r="538">
      <c r="A538" s="23" t="n">
        <v>4</v>
      </c>
      <c r="B538" s="23" t="n">
        <v>534</v>
      </c>
      <c r="C538" s="23" t="n">
        <v>3534</v>
      </c>
      <c r="D538" s="23" t="inlineStr">
        <is>
          <t>1630400087</t>
        </is>
      </c>
      <c r="E538" s="11" t="inlineStr">
        <is>
          <t>Region XIII (Caraga)</t>
        </is>
      </c>
      <c r="F538" s="11" t="inlineStr">
        <is>
          <t>Agusan del Norte</t>
        </is>
      </c>
      <c r="G538" s="11" t="inlineStr">
        <is>
          <t>City of Butuan</t>
        </is>
      </c>
      <c r="H538" s="11" t="inlineStr">
        <is>
          <t>Tungao</t>
        </is>
      </c>
      <c r="I538" s="24" t="n">
        <v>9.024065999999999</v>
      </c>
      <c r="J538" s="24" t="n">
        <v>125.518508</v>
      </c>
      <c r="K538" s="23" t="inlineStr">
        <is>
          <t>R</t>
        </is>
      </c>
      <c r="L538" s="25" t="n">
        <v>4763</v>
      </c>
      <c r="M538" s="26" t="n">
        <v>4.1</v>
      </c>
      <c r="N538" s="25">
        <f>ROUND(L538/M538, 0)</f>
        <v/>
      </c>
      <c r="O538" s="25">
        <f>ROUND(N538*'Methodology &amp; Assumptions'!$B$7, 0)</f>
        <v/>
      </c>
      <c r="P538" s="23" t="inlineStr">
        <is>
          <t>Single Carrier (Band n50, 100MHz TDD)</t>
        </is>
      </c>
      <c r="Q538" s="27">
        <f>ROUNDUP(O538/'Methodology &amp; Assumptions'!$B$8, 0)</f>
        <v/>
      </c>
      <c r="R538" s="27" t="n">
        <v>1</v>
      </c>
      <c r="S538" s="26" t="n">
        <v>1.64</v>
      </c>
      <c r="T538" s="26" t="n">
        <v>7.1</v>
      </c>
      <c r="U538" s="11">
        <f>IF(S538&lt;='Methodology &amp; Assumptions'!$B$10, "Direct Optical Drop (&lt;3km)", IF(S538&lt;='Methodology &amp; Assumptions'!$B$9, "Near Optical / Microwave (&lt;5km)", "Starlink Business LEO Satellite Backhaul (&gt;5km)"))</f>
        <v/>
      </c>
      <c r="V538" s="26" t="n">
        <v>80.56999999999999</v>
      </c>
      <c r="W538" s="26" t="n">
        <v>38.05</v>
      </c>
      <c r="X538" s="26">
        <f>ROUND(('Methodology &amp; Assumptions'!$B$5*V538) + ('Methodology &amp; Assumptions'!$B$6*W538), 2)</f>
        <v/>
      </c>
      <c r="Y538" s="28" t="n">
        <v>17.4</v>
      </c>
      <c r="Z538" s="11" t="inlineStr">
        <is>
          <t>Priority Tier 3 (Broadband Expansion)</t>
        </is>
      </c>
    </row>
    <row r="539">
      <c r="A539" s="23" t="n">
        <v>4</v>
      </c>
      <c r="B539" s="23" t="n">
        <v>535</v>
      </c>
      <c r="C539" s="23" t="n">
        <v>3535</v>
      </c>
      <c r="D539" s="23" t="inlineStr">
        <is>
          <t>1630400098</t>
        </is>
      </c>
      <c r="E539" s="11" t="inlineStr">
        <is>
          <t>Region XIII (Caraga)</t>
        </is>
      </c>
      <c r="F539" s="11" t="inlineStr">
        <is>
          <t>Agusan del Norte</t>
        </is>
      </c>
      <c r="G539" s="11" t="inlineStr">
        <is>
          <t>City of Butuan</t>
        </is>
      </c>
      <c r="H539" s="11" t="inlineStr">
        <is>
          <t>Pangabugan</t>
        </is>
      </c>
      <c r="I539" s="24" t="n">
        <v>9.024065999999999</v>
      </c>
      <c r="J539" s="24" t="n">
        <v>125.518508</v>
      </c>
      <c r="K539" s="23" t="inlineStr">
        <is>
          <t>R</t>
        </is>
      </c>
      <c r="L539" s="25" t="n">
        <v>4588</v>
      </c>
      <c r="M539" s="26" t="n">
        <v>4.1</v>
      </c>
      <c r="N539" s="25">
        <f>ROUND(L539/M539, 0)</f>
        <v/>
      </c>
      <c r="O539" s="25">
        <f>ROUND(N539*'Methodology &amp; Assumptions'!$B$7, 0)</f>
        <v/>
      </c>
      <c r="P539" s="23" t="inlineStr">
        <is>
          <t>Single Carrier (Band n50, 100MHz TDD)</t>
        </is>
      </c>
      <c r="Q539" s="27">
        <f>ROUNDUP(O539/'Methodology &amp; Assumptions'!$B$8, 0)</f>
        <v/>
      </c>
      <c r="R539" s="27" t="n">
        <v>1</v>
      </c>
      <c r="S539" s="26" t="n">
        <v>1.64</v>
      </c>
      <c r="T539" s="26" t="n">
        <v>7.1</v>
      </c>
      <c r="U539" s="11">
        <f>IF(S539&lt;='Methodology &amp; Assumptions'!$B$10, "Direct Optical Drop (&lt;3km)", IF(S539&lt;='Methodology &amp; Assumptions'!$B$9, "Near Optical / Microwave (&lt;5km)", "Starlink Business LEO Satellite Backhaul (&gt;5km)"))</f>
        <v/>
      </c>
      <c r="V539" s="26" t="n">
        <v>80.56999999999999</v>
      </c>
      <c r="W539" s="26" t="n">
        <v>38.05</v>
      </c>
      <c r="X539" s="26">
        <f>ROUND(('Methodology &amp; Assumptions'!$B$5*V539) + ('Methodology &amp; Assumptions'!$B$6*W539), 2)</f>
        <v/>
      </c>
      <c r="Y539" s="28" t="n">
        <v>17.4</v>
      </c>
      <c r="Z539" s="11" t="inlineStr">
        <is>
          <t>Priority Tier 3 (Broadband Expansion)</t>
        </is>
      </c>
    </row>
    <row r="540">
      <c r="A540" s="23" t="n">
        <v>4</v>
      </c>
      <c r="B540" s="23" t="n">
        <v>536</v>
      </c>
      <c r="C540" s="23" t="n">
        <v>3536</v>
      </c>
      <c r="D540" s="23" t="inlineStr">
        <is>
          <t>1380614017</t>
        </is>
      </c>
      <c r="E540" s="11" t="inlineStr">
        <is>
          <t>National Capital Region (NCR)</t>
        </is>
      </c>
      <c r="F540" s="11" t="inlineStr">
        <is>
          <t>First District (Not a Province)</t>
        </is>
      </c>
      <c r="G540" s="11" t="inlineStr">
        <is>
          <t>City of Manila</t>
        </is>
      </c>
      <c r="H540" s="11" t="inlineStr">
        <is>
          <t>Barangay 761</t>
        </is>
      </c>
      <c r="I540" s="24" t="n">
        <v>14.565619</v>
      </c>
      <c r="J540" s="24" t="n">
        <v>120.999295</v>
      </c>
      <c r="K540" s="23" t="inlineStr">
        <is>
          <t>U</t>
        </is>
      </c>
      <c r="L540" s="25" t="n">
        <v>1097</v>
      </c>
      <c r="M540" s="26" t="n">
        <v>3.72</v>
      </c>
      <c r="N540" s="25">
        <f>ROUND(L540/M540, 0)</f>
        <v/>
      </c>
      <c r="O540" s="25">
        <f>ROUND(N540*'Methodology &amp; Assumptions'!$B$7, 0)</f>
        <v/>
      </c>
      <c r="P540" s="23" t="inlineStr">
        <is>
          <t>Single Carrier (Band n50, 100MHz TDD)</t>
        </is>
      </c>
      <c r="Q540" s="27">
        <f>ROUNDUP(O540/'Methodology &amp; Assumptions'!$B$8, 0)</f>
        <v/>
      </c>
      <c r="R540" s="27" t="n">
        <v>1</v>
      </c>
      <c r="S540" s="26" t="n">
        <v>0.9</v>
      </c>
      <c r="T540" s="26" t="n">
        <v>0.44</v>
      </c>
      <c r="U540" s="11">
        <f>IF(S540&lt;='Methodology &amp; Assumptions'!$B$10, "Direct Optical Drop (&lt;3km)", IF(S540&lt;='Methodology &amp; Assumptions'!$B$9, "Near Optical / Microwave (&lt;5km)", "Starlink Business LEO Satellite Backhaul (&gt;5km)"))</f>
        <v/>
      </c>
      <c r="V540" s="26" t="n">
        <v>50.31</v>
      </c>
      <c r="W540" s="26" t="n">
        <v>68.31999999999999</v>
      </c>
      <c r="X540" s="26">
        <f>ROUND(('Methodology &amp; Assumptions'!$B$5*V540) + ('Methodology &amp; Assumptions'!$B$6*W540), 2)</f>
        <v/>
      </c>
      <c r="Y540" s="28" t="n">
        <v>10.9</v>
      </c>
      <c r="Z540" s="11" t="inlineStr">
        <is>
          <t>Priority Tier 3 (Broadband Expansion)</t>
        </is>
      </c>
    </row>
    <row r="541">
      <c r="A541" s="23" t="n">
        <v>4</v>
      </c>
      <c r="B541" s="23" t="n">
        <v>537</v>
      </c>
      <c r="C541" s="23" t="n">
        <v>3537</v>
      </c>
      <c r="D541" s="23" t="inlineStr">
        <is>
          <t>1380601174</t>
        </is>
      </c>
      <c r="E541" s="11" t="inlineStr">
        <is>
          <t>National Capital Region (NCR)</t>
        </is>
      </c>
      <c r="F541" s="11" t="inlineStr">
        <is>
          <t>First District (Not a Province)</t>
        </is>
      </c>
      <c r="G541" s="11" t="inlineStr">
        <is>
          <t>City of Manila</t>
        </is>
      </c>
      <c r="H541" s="11" t="inlineStr">
        <is>
          <t>Barangay 174</t>
        </is>
      </c>
      <c r="I541" s="24" t="n">
        <v>14.627405</v>
      </c>
      <c r="J541" s="24" t="n">
        <v>120.971928</v>
      </c>
      <c r="K541" s="23" t="inlineStr">
        <is>
          <t>U</t>
        </is>
      </c>
      <c r="L541" s="25" t="n">
        <v>751</v>
      </c>
      <c r="M541" s="26" t="n">
        <v>4.32</v>
      </c>
      <c r="N541" s="25">
        <f>ROUND(L541/M541, 0)</f>
        <v/>
      </c>
      <c r="O541" s="25">
        <f>ROUND(N541*'Methodology &amp; Assumptions'!$B$7, 0)</f>
        <v/>
      </c>
      <c r="P541" s="23" t="inlineStr">
        <is>
          <t>Single Carrier (Band n50, 100MHz TDD)</t>
        </is>
      </c>
      <c r="Q541" s="27">
        <f>ROUNDUP(O541/'Methodology &amp; Assumptions'!$B$8, 0)</f>
        <v/>
      </c>
      <c r="R541" s="27" t="n">
        <v>1</v>
      </c>
      <c r="S541" s="26" t="n">
        <v>0.16</v>
      </c>
      <c r="T541" s="26" t="n">
        <v>0.14</v>
      </c>
      <c r="U541" s="11">
        <f>IF(S541&lt;='Methodology &amp; Assumptions'!$B$10, "Direct Optical Drop (&lt;3km)", IF(S541&lt;='Methodology &amp; Assumptions'!$B$9, "Near Optical / Microwave (&lt;5km)", "Starlink Business LEO Satellite Backhaul (&gt;5km)"))</f>
        <v/>
      </c>
      <c r="V541" s="26" t="n">
        <v>46.66</v>
      </c>
      <c r="W541" s="26" t="n">
        <v>71.95999999999999</v>
      </c>
      <c r="X541" s="26">
        <f>ROUND(('Methodology &amp; Assumptions'!$B$5*V541) + ('Methodology &amp; Assumptions'!$B$6*W541), 2)</f>
        <v/>
      </c>
      <c r="Y541" s="28" t="n">
        <v>10.9</v>
      </c>
      <c r="Z541" s="11" t="inlineStr">
        <is>
          <t>Priority Tier 3 (Broadband Expansion)</t>
        </is>
      </c>
    </row>
    <row r="542">
      <c r="A542" s="23" t="n">
        <v>4</v>
      </c>
      <c r="B542" s="23" t="n">
        <v>538</v>
      </c>
      <c r="C542" s="23" t="n">
        <v>3538</v>
      </c>
      <c r="D542" s="23" t="inlineStr">
        <is>
          <t>0405645035</t>
        </is>
      </c>
      <c r="E542" s="11" t="inlineStr">
        <is>
          <t>Region IV-A (CALABARZON)</t>
        </is>
      </c>
      <c r="F542" s="11" t="inlineStr">
        <is>
          <t>Quezon</t>
        </is>
      </c>
      <c r="G542" s="11" t="inlineStr">
        <is>
          <t>Sariaya</t>
        </is>
      </c>
      <c r="H542" s="11" t="inlineStr">
        <is>
          <t>Barangay 4</t>
        </is>
      </c>
      <c r="I542" s="24" t="n">
        <v>13.963051</v>
      </c>
      <c r="J542" s="24" t="n">
        <v>121.528289</v>
      </c>
      <c r="K542" s="23" t="inlineStr">
        <is>
          <t>U</t>
        </is>
      </c>
      <c r="L542" s="25" t="n">
        <v>3165</v>
      </c>
      <c r="M542" s="26" t="n">
        <v>3.8</v>
      </c>
      <c r="N542" s="25">
        <f>ROUND(L542/M542, 0)</f>
        <v/>
      </c>
      <c r="O542" s="25">
        <f>ROUND(N542*'Methodology &amp; Assumptions'!$B$7, 0)</f>
        <v/>
      </c>
      <c r="P542" s="23" t="inlineStr">
        <is>
          <t>Single Carrier (Band n50, 100MHz TDD)</t>
        </is>
      </c>
      <c r="Q542" s="27">
        <f>ROUNDUP(O542/'Methodology &amp; Assumptions'!$B$8, 0)</f>
        <v/>
      </c>
      <c r="R542" s="27" t="n">
        <v>1</v>
      </c>
      <c r="S542" s="26" t="n">
        <v>1.19</v>
      </c>
      <c r="T542" s="26" t="n">
        <v>0.13</v>
      </c>
      <c r="U542" s="11">
        <f>IF(S542&lt;='Methodology &amp; Assumptions'!$B$10, "Direct Optical Drop (&lt;3km)", IF(S542&lt;='Methodology &amp; Assumptions'!$B$9, "Near Optical / Microwave (&lt;5km)", "Starlink Business LEO Satellite Backhaul (&gt;5km)"))</f>
        <v/>
      </c>
      <c r="V542" s="26" t="n">
        <v>76.91</v>
      </c>
      <c r="W542" s="26" t="n">
        <v>41.68</v>
      </c>
      <c r="X542" s="26">
        <f>ROUND(('Methodology &amp; Assumptions'!$B$5*V542) + ('Methodology &amp; Assumptions'!$B$6*W542), 2)</f>
        <v/>
      </c>
      <c r="Y542" s="28" t="n">
        <v>7.2</v>
      </c>
      <c r="Z542" s="11" t="inlineStr">
        <is>
          <t>Priority Tier 3 (Broadband Expansion)</t>
        </is>
      </c>
    </row>
    <row r="543">
      <c r="A543" s="23" t="n">
        <v>4</v>
      </c>
      <c r="B543" s="23" t="n">
        <v>539</v>
      </c>
      <c r="C543" s="23" t="n">
        <v>3539</v>
      </c>
      <c r="D543" s="23" t="inlineStr">
        <is>
          <t>0304928024</t>
        </is>
      </c>
      <c r="E543" s="11" t="inlineStr">
        <is>
          <t>Region III (Central Luzon)</t>
        </is>
      </c>
      <c r="F543" s="11" t="inlineStr">
        <is>
          <t>Nueva Ecija</t>
        </is>
      </c>
      <c r="G543" s="11" t="inlineStr">
        <is>
          <t>Santa Rosa</t>
        </is>
      </c>
      <c r="H543" s="11" t="inlineStr">
        <is>
          <t>Burgos</t>
        </is>
      </c>
      <c r="I543" s="24" t="n">
        <v>15.432883</v>
      </c>
      <c r="J543" s="24" t="n">
        <v>120.939367</v>
      </c>
      <c r="K543" s="23" t="inlineStr">
        <is>
          <t>R</t>
        </is>
      </c>
      <c r="L543" s="25" t="n">
        <v>1550</v>
      </c>
      <c r="M543" s="26" t="n">
        <v>3.5</v>
      </c>
      <c r="N543" s="25">
        <f>ROUND(L543/M543, 0)</f>
        <v/>
      </c>
      <c r="O543" s="25">
        <f>ROUND(N543*'Methodology &amp; Assumptions'!$B$7, 0)</f>
        <v/>
      </c>
      <c r="P543" s="23" t="inlineStr">
        <is>
          <t>Single Carrier (Band n50, 100MHz TDD)</t>
        </is>
      </c>
      <c r="Q543" s="27">
        <f>ROUNDUP(O543/'Methodology &amp; Assumptions'!$B$8, 0)</f>
        <v/>
      </c>
      <c r="R543" s="27" t="n">
        <v>1</v>
      </c>
      <c r="S543" s="26" t="n">
        <v>0.85</v>
      </c>
      <c r="T543" s="26" t="n">
        <v>0.19</v>
      </c>
      <c r="U543" s="11">
        <f>IF(S543&lt;='Methodology &amp; Assumptions'!$B$10, "Direct Optical Drop (&lt;3km)", IF(S543&lt;='Methodology &amp; Assumptions'!$B$9, "Near Optical / Microwave (&lt;5km)", "Starlink Business LEO Satellite Backhaul (&gt;5km)"))</f>
        <v/>
      </c>
      <c r="V543" s="26" t="n">
        <v>73.39</v>
      </c>
      <c r="W543" s="26" t="n">
        <v>45.2</v>
      </c>
      <c r="X543" s="26">
        <f>ROUND(('Methodology &amp; Assumptions'!$B$5*V543) + ('Methodology &amp; Assumptions'!$B$6*W543), 2)</f>
        <v/>
      </c>
      <c r="Y543" s="28" t="n">
        <v>8.300000000000001</v>
      </c>
      <c r="Z543" s="11" t="inlineStr">
        <is>
          <t>Priority Tier 3 (Broadband Expansion)</t>
        </is>
      </c>
    </row>
    <row r="544">
      <c r="A544" s="23" t="n">
        <v>4</v>
      </c>
      <c r="B544" s="23" t="n">
        <v>540</v>
      </c>
      <c r="C544" s="23" t="n">
        <v>3540</v>
      </c>
      <c r="D544" s="23" t="inlineStr">
        <is>
          <t>0702214013</t>
        </is>
      </c>
      <c r="E544" s="11" t="inlineStr">
        <is>
          <t>Region VII (Central Visayas)</t>
        </is>
      </c>
      <c r="F544" s="11" t="inlineStr">
        <is>
          <t>Cebu</t>
        </is>
      </c>
      <c r="G544" s="11" t="inlineStr">
        <is>
          <t>City of Carcar</t>
        </is>
      </c>
      <c r="H544" s="11" t="inlineStr">
        <is>
          <t>Poblacion II</t>
        </is>
      </c>
      <c r="I544" s="24" t="n">
        <v>10.100895</v>
      </c>
      <c r="J544" s="24" t="n">
        <v>123.6435</v>
      </c>
      <c r="K544" s="23" t="inlineStr">
        <is>
          <t>U</t>
        </is>
      </c>
      <c r="L544" s="25" t="n">
        <v>2370</v>
      </c>
      <c r="M544" s="26" t="n">
        <v>3.8</v>
      </c>
      <c r="N544" s="25">
        <f>ROUND(L544/M544, 0)</f>
        <v/>
      </c>
      <c r="O544" s="25">
        <f>ROUND(N544*'Methodology &amp; Assumptions'!$B$7, 0)</f>
        <v/>
      </c>
      <c r="P544" s="23" t="inlineStr">
        <is>
          <t>Single Carrier (Band n50, 100MHz TDD)</t>
        </is>
      </c>
      <c r="Q544" s="27">
        <f>ROUNDUP(O544/'Methodology &amp; Assumptions'!$B$8, 0)</f>
        <v/>
      </c>
      <c r="R544" s="27" t="n">
        <v>1</v>
      </c>
      <c r="S544" s="26" t="n">
        <v>0.45</v>
      </c>
      <c r="T544" s="26" t="n">
        <v>0.24</v>
      </c>
      <c r="U544" s="11">
        <f>IF(S544&lt;='Methodology &amp; Assumptions'!$B$10, "Direct Optical Drop (&lt;3km)", IF(S544&lt;='Methodology &amp; Assumptions'!$B$9, "Near Optical / Microwave (&lt;5km)", "Starlink Business LEO Satellite Backhaul (&gt;5km)"))</f>
        <v/>
      </c>
      <c r="V544" s="26" t="n">
        <v>73.22</v>
      </c>
      <c r="W544" s="26" t="n">
        <v>45.39</v>
      </c>
      <c r="X544" s="26">
        <f>ROUND(('Methodology &amp; Assumptions'!$B$5*V544) + ('Methodology &amp; Assumptions'!$B$6*W544), 2)</f>
        <v/>
      </c>
      <c r="Y544" s="28" t="n">
        <v>23.7</v>
      </c>
      <c r="Z544" s="11" t="inlineStr">
        <is>
          <t>Priority Tier 3 (Broadband Expansion)</t>
        </is>
      </c>
    </row>
    <row r="545">
      <c r="A545" s="23" t="n">
        <v>4</v>
      </c>
      <c r="B545" s="23" t="n">
        <v>541</v>
      </c>
      <c r="C545" s="23" t="n">
        <v>3541</v>
      </c>
      <c r="D545" s="23" t="inlineStr">
        <is>
          <t>0405801014</t>
        </is>
      </c>
      <c r="E545" s="11" t="inlineStr">
        <is>
          <t>Region IV-A (CALABARZON)</t>
        </is>
      </c>
      <c r="F545" s="11" t="inlineStr">
        <is>
          <t>Rizal</t>
        </is>
      </c>
      <c r="G545" s="11" t="inlineStr">
        <is>
          <t>Angono</t>
        </is>
      </c>
      <c r="H545" s="11" t="inlineStr">
        <is>
          <t>Mahabang Parang</t>
        </is>
      </c>
      <c r="I545" s="24" t="n">
        <v>14.54774</v>
      </c>
      <c r="J545" s="24" t="n">
        <v>121.1901</v>
      </c>
      <c r="K545" s="23" t="inlineStr">
        <is>
          <t>U</t>
        </is>
      </c>
      <c r="L545" s="25" t="n">
        <v>36264</v>
      </c>
      <c r="M545" s="26" t="n">
        <v>3.6</v>
      </c>
      <c r="N545" s="25">
        <f>ROUND(L545/M545, 0)</f>
        <v/>
      </c>
      <c r="O545" s="25">
        <f>ROUND(N545*'Methodology &amp; Assumptions'!$B$7, 0)</f>
        <v/>
      </c>
      <c r="P545" s="23" t="inlineStr">
        <is>
          <t>Single Carrier (Band n50, 100MHz TDD)</t>
        </is>
      </c>
      <c r="Q545" s="27">
        <f>ROUNDUP(O545/'Methodology &amp; Assumptions'!$B$8, 0)</f>
        <v/>
      </c>
      <c r="R545" s="27" t="n">
        <v>1</v>
      </c>
      <c r="S545" s="26" t="n">
        <v>2.05</v>
      </c>
      <c r="T545" s="26" t="n">
        <v>1.59</v>
      </c>
      <c r="U545" s="11">
        <f>IF(S545&lt;='Methodology &amp; Assumptions'!$B$10, "Direct Optical Drop (&lt;3km)", IF(S545&lt;='Methodology &amp; Assumptions'!$B$9, "Near Optical / Microwave (&lt;5km)", "Starlink Business LEO Satellite Backhaul (&gt;5km)"))</f>
        <v/>
      </c>
      <c r="V545" s="26" t="n">
        <v>73.13</v>
      </c>
      <c r="W545" s="26" t="n">
        <v>45.48</v>
      </c>
      <c r="X545" s="26">
        <f>ROUND(('Methodology &amp; Assumptions'!$B$5*V545) + ('Methodology &amp; Assumptions'!$B$6*W545), 2)</f>
        <v/>
      </c>
      <c r="Y545" s="28" t="n">
        <v>7.2</v>
      </c>
      <c r="Z545" s="11" t="inlineStr">
        <is>
          <t>Priority Tier 3 (Broadband Expansion)</t>
        </is>
      </c>
    </row>
    <row r="546">
      <c r="A546" s="23" t="n">
        <v>4</v>
      </c>
      <c r="B546" s="23" t="n">
        <v>542</v>
      </c>
      <c r="C546" s="23" t="n">
        <v>3542</v>
      </c>
      <c r="D546" s="23" t="inlineStr">
        <is>
          <t>0304930050</t>
        </is>
      </c>
      <c r="E546" s="11" t="inlineStr">
        <is>
          <t>Region III (Central Luzon)</t>
        </is>
      </c>
      <c r="F546" s="11" t="inlineStr">
        <is>
          <t>Nueva Ecija</t>
        </is>
      </c>
      <c r="G546" s="11" t="inlineStr">
        <is>
          <t>Talavera</t>
        </is>
      </c>
      <c r="H546" s="11" t="inlineStr">
        <is>
          <t>San Miguel na Munti</t>
        </is>
      </c>
      <c r="I546" s="24" t="n">
        <v>15.595982</v>
      </c>
      <c r="J546" s="24" t="n">
        <v>120.965625</v>
      </c>
      <c r="K546" s="23" t="inlineStr">
        <is>
          <t>U</t>
        </is>
      </c>
      <c r="L546" s="25" t="n">
        <v>4087</v>
      </c>
      <c r="M546" s="26" t="n">
        <v>3.5</v>
      </c>
      <c r="N546" s="25">
        <f>ROUND(L546/M546, 0)</f>
        <v/>
      </c>
      <c r="O546" s="25">
        <f>ROUND(N546*'Methodology &amp; Assumptions'!$B$7, 0)</f>
        <v/>
      </c>
      <c r="P546" s="23" t="inlineStr">
        <is>
          <t>Single Carrier (Band n50, 100MHz TDD)</t>
        </is>
      </c>
      <c r="Q546" s="27">
        <f>ROUNDUP(O546/'Methodology &amp; Assumptions'!$B$8, 0)</f>
        <v/>
      </c>
      <c r="R546" s="27" t="n">
        <v>1</v>
      </c>
      <c r="S546" s="26" t="n">
        <v>5.2</v>
      </c>
      <c r="T546" s="26" t="n">
        <v>0.85</v>
      </c>
      <c r="U546" s="11">
        <f>IF(S546&lt;='Methodology &amp; Assumptions'!$B$10, "Direct Optical Drop (&lt;3km)", IF(S546&lt;='Methodology &amp; Assumptions'!$B$9, "Near Optical / Microwave (&lt;5km)", "Starlink Business LEO Satellite Backhaul (&gt;5km)"))</f>
        <v/>
      </c>
      <c r="V546" s="26" t="n">
        <v>66.62</v>
      </c>
      <c r="W546" s="26" t="n">
        <v>51.98</v>
      </c>
      <c r="X546" s="26">
        <f>ROUND(('Methodology &amp; Assumptions'!$B$5*V546) + ('Methodology &amp; Assumptions'!$B$6*W546), 2)</f>
        <v/>
      </c>
      <c r="Y546" s="28" t="n">
        <v>8.300000000000001</v>
      </c>
      <c r="Z546" s="11" t="inlineStr">
        <is>
          <t>Priority Tier 3 (Broadband Expansion)</t>
        </is>
      </c>
    </row>
    <row r="547">
      <c r="A547" s="23" t="n">
        <v>4</v>
      </c>
      <c r="B547" s="23" t="n">
        <v>543</v>
      </c>
      <c r="C547" s="23" t="n">
        <v>3543</v>
      </c>
      <c r="D547" s="23" t="inlineStr">
        <is>
          <t>0301412013</t>
        </is>
      </c>
      <c r="E547" s="11" t="inlineStr">
        <is>
          <t>Region III (Central Luzon)</t>
        </is>
      </c>
      <c r="F547" s="11" t="inlineStr">
        <is>
          <t>Bulacan</t>
        </is>
      </c>
      <c r="G547" s="11" t="inlineStr">
        <is>
          <t>City of Meycauayan</t>
        </is>
      </c>
      <c r="H547" s="11" t="inlineStr">
        <is>
          <t>Liputan</t>
        </is>
      </c>
      <c r="I547" s="24" t="n">
        <v>14.738067</v>
      </c>
      <c r="J547" s="24" t="n">
        <v>120.927167</v>
      </c>
      <c r="K547" s="23" t="inlineStr">
        <is>
          <t>R</t>
        </is>
      </c>
      <c r="L547" s="25" t="n">
        <v>1688</v>
      </c>
      <c r="M547" s="26" t="n">
        <v>3.5</v>
      </c>
      <c r="N547" s="25">
        <f>ROUND(L547/M547, 0)</f>
        <v/>
      </c>
      <c r="O547" s="25">
        <f>ROUND(N547*'Methodology &amp; Assumptions'!$B$7, 0)</f>
        <v/>
      </c>
      <c r="P547" s="23" t="inlineStr">
        <is>
          <t>Single Carrier (Band n50, 100MHz TDD)</t>
        </is>
      </c>
      <c r="Q547" s="27">
        <f>ROUNDUP(O547/'Methodology &amp; Assumptions'!$B$8, 0)</f>
        <v/>
      </c>
      <c r="R547" s="27" t="n">
        <v>1</v>
      </c>
      <c r="S547" s="26" t="n">
        <v>3.34</v>
      </c>
      <c r="T547" s="26" t="n">
        <v>3.36</v>
      </c>
      <c r="U547" s="11">
        <f>IF(S547&lt;='Methodology &amp; Assumptions'!$B$10, "Direct Optical Drop (&lt;3km)", IF(S547&lt;='Methodology &amp; Assumptions'!$B$9, "Near Optical / Microwave (&lt;5km)", "Starlink Business LEO Satellite Backhaul (&gt;5km)"))</f>
        <v/>
      </c>
      <c r="V547" s="26" t="n">
        <v>63</v>
      </c>
      <c r="W547" s="26" t="n">
        <v>55.61</v>
      </c>
      <c r="X547" s="26">
        <f>ROUND(('Methodology &amp; Assumptions'!$B$5*V547) + ('Methodology &amp; Assumptions'!$B$6*W547), 2)</f>
        <v/>
      </c>
      <c r="Y547" s="28" t="n">
        <v>8.300000000000001</v>
      </c>
      <c r="Z547" s="11" t="inlineStr">
        <is>
          <t>Priority Tier 3 (Broadband Expansion)</t>
        </is>
      </c>
    </row>
    <row r="548">
      <c r="A548" s="23" t="n">
        <v>4</v>
      </c>
      <c r="B548" s="23" t="n">
        <v>544</v>
      </c>
      <c r="C548" s="23" t="n">
        <v>3544</v>
      </c>
      <c r="D548" s="23" t="inlineStr">
        <is>
          <t>1380605033</t>
        </is>
      </c>
      <c r="E548" s="11" t="inlineStr">
        <is>
          <t>National Capital Region (NCR)</t>
        </is>
      </c>
      <c r="F548" s="11" t="inlineStr">
        <is>
          <t>First District (Not a Province)</t>
        </is>
      </c>
      <c r="G548" s="11" t="inlineStr">
        <is>
          <t>City of Manila</t>
        </is>
      </c>
      <c r="H548" s="11" t="inlineStr">
        <is>
          <t>Barangay 331</t>
        </is>
      </c>
      <c r="I548" s="24" t="n">
        <v>14.616071</v>
      </c>
      <c r="J548" s="24" t="n">
        <v>120.9794</v>
      </c>
      <c r="K548" s="23" t="inlineStr">
        <is>
          <t>U</t>
        </is>
      </c>
      <c r="L548" s="25" t="n">
        <v>860</v>
      </c>
      <c r="M548" s="26" t="n">
        <v>3.74</v>
      </c>
      <c r="N548" s="25">
        <f>ROUND(L548/M548, 0)</f>
        <v/>
      </c>
      <c r="O548" s="25">
        <f>ROUND(N548*'Methodology &amp; Assumptions'!$B$7, 0)</f>
        <v/>
      </c>
      <c r="P548" s="23" t="inlineStr">
        <is>
          <t>Single Carrier (Band n50, 100MHz TDD)</t>
        </is>
      </c>
      <c r="Q548" s="27">
        <f>ROUNDUP(O548/'Methodology &amp; Assumptions'!$B$8, 0)</f>
        <v/>
      </c>
      <c r="R548" s="27" t="n">
        <v>1</v>
      </c>
      <c r="S548" s="26" t="n">
        <v>0.38</v>
      </c>
      <c r="T548" s="26" t="n">
        <v>0.26</v>
      </c>
      <c r="U548" s="11">
        <f>IF(S548&lt;='Methodology &amp; Assumptions'!$B$10, "Direct Optical Drop (&lt;3km)", IF(S548&lt;='Methodology &amp; Assumptions'!$B$9, "Near Optical / Microwave (&lt;5km)", "Starlink Business LEO Satellite Backhaul (&gt;5km)"))</f>
        <v/>
      </c>
      <c r="V548" s="26" t="n">
        <v>48.48</v>
      </c>
      <c r="W548" s="26" t="n">
        <v>70.12</v>
      </c>
      <c r="X548" s="26">
        <f>ROUND(('Methodology &amp; Assumptions'!$B$5*V548) + ('Methodology &amp; Assumptions'!$B$6*W548), 2)</f>
        <v/>
      </c>
      <c r="Y548" s="28" t="n">
        <v>10.9</v>
      </c>
      <c r="Z548" s="11" t="inlineStr">
        <is>
          <t>Priority Tier 3 (Broadband Expansion)</t>
        </is>
      </c>
    </row>
    <row r="549">
      <c r="A549" s="23" t="n">
        <v>4</v>
      </c>
      <c r="B549" s="23" t="n">
        <v>545</v>
      </c>
      <c r="C549" s="23" t="n">
        <v>3545</v>
      </c>
      <c r="D549" s="23" t="inlineStr">
        <is>
          <t>0105520012</t>
        </is>
      </c>
      <c r="E549" s="11" t="inlineStr">
        <is>
          <t>Region I (Ilocos Region)</t>
        </is>
      </c>
      <c r="F549" s="11" t="inlineStr">
        <is>
          <t>Pangasinan</t>
        </is>
      </c>
      <c r="G549" s="11" t="inlineStr">
        <is>
          <t>Infanta</t>
        </is>
      </c>
      <c r="H549" s="11" t="inlineStr">
        <is>
          <t>Poblacion</t>
        </is>
      </c>
      <c r="I549" s="24" t="n">
        <v>15.8254</v>
      </c>
      <c r="J549" s="24" t="n">
        <v>119.9061</v>
      </c>
      <c r="K549" s="23" t="inlineStr">
        <is>
          <t>R</t>
        </is>
      </c>
      <c r="L549" s="25" t="n">
        <v>3276</v>
      </c>
      <c r="M549" s="26" t="n">
        <v>3.6</v>
      </c>
      <c r="N549" s="25">
        <f>ROUND(L549/M549, 0)</f>
        <v/>
      </c>
      <c r="O549" s="25">
        <f>ROUND(N549*'Methodology &amp; Assumptions'!$B$7, 0)</f>
        <v/>
      </c>
      <c r="P549" s="23" t="inlineStr">
        <is>
          <t>Single Carrier (Band n50, 100MHz TDD)</t>
        </is>
      </c>
      <c r="Q549" s="27">
        <f>ROUNDUP(O549/'Methodology &amp; Assumptions'!$B$8, 0)</f>
        <v/>
      </c>
      <c r="R549" s="27" t="n">
        <v>1</v>
      </c>
      <c r="S549" s="26" t="n">
        <v>0.39</v>
      </c>
      <c r="T549" s="26" t="n">
        <v>0.44</v>
      </c>
      <c r="U549" s="11">
        <f>IF(S549&lt;='Methodology &amp; Assumptions'!$B$10, "Direct Optical Drop (&lt;3km)", IF(S549&lt;='Methodology &amp; Assumptions'!$B$9, "Near Optical / Microwave (&lt;5km)", "Starlink Business LEO Satellite Backhaul (&gt;5km)"))</f>
        <v/>
      </c>
      <c r="V549" s="26" t="n">
        <v>85.63</v>
      </c>
      <c r="W549" s="26" t="n">
        <v>32.94</v>
      </c>
      <c r="X549" s="26">
        <f>ROUND(('Methodology &amp; Assumptions'!$B$5*V549) + ('Methodology &amp; Assumptions'!$B$6*W549), 2)</f>
        <v/>
      </c>
      <c r="Y549" s="28" t="n">
        <v>8.300000000000001</v>
      </c>
      <c r="Z549" s="11" t="inlineStr">
        <is>
          <t>Priority Tier 3 (Broadband Expansion)</t>
        </is>
      </c>
    </row>
    <row r="550">
      <c r="A550" s="23" t="n">
        <v>4</v>
      </c>
      <c r="B550" s="23" t="n">
        <v>546</v>
      </c>
      <c r="C550" s="23" t="n">
        <v>3546</v>
      </c>
      <c r="D550" s="23" t="inlineStr">
        <is>
          <t>0702208023</t>
        </is>
      </c>
      <c r="E550" s="11" t="inlineStr">
        <is>
          <t>Region VII (Central Visayas)</t>
        </is>
      </c>
      <c r="F550" s="11" t="inlineStr">
        <is>
          <t>Cebu</t>
        </is>
      </c>
      <c r="G550" s="11" t="inlineStr">
        <is>
          <t>Balamban</t>
        </is>
      </c>
      <c r="H550" s="11" t="inlineStr">
        <is>
          <t>Prenza</t>
        </is>
      </c>
      <c r="I550" s="24" t="n">
        <v>10.502967</v>
      </c>
      <c r="J550" s="24" t="n">
        <v>123.732214</v>
      </c>
      <c r="K550" s="23" t="inlineStr">
        <is>
          <t>R</t>
        </is>
      </c>
      <c r="L550" s="25" t="n">
        <v>3622</v>
      </c>
      <c r="M550" s="26" t="n">
        <v>3.8</v>
      </c>
      <c r="N550" s="25">
        <f>ROUND(L550/M550, 0)</f>
        <v/>
      </c>
      <c r="O550" s="25">
        <f>ROUND(N550*'Methodology &amp; Assumptions'!$B$7, 0)</f>
        <v/>
      </c>
      <c r="P550" s="23" t="inlineStr">
        <is>
          <t>Single Carrier (Band n50, 100MHz TDD)</t>
        </is>
      </c>
      <c r="Q550" s="27">
        <f>ROUNDUP(O550/'Methodology &amp; Assumptions'!$B$8, 0)</f>
        <v/>
      </c>
      <c r="R550" s="27" t="n">
        <v>1</v>
      </c>
      <c r="S550" s="26" t="n">
        <v>2.06</v>
      </c>
      <c r="T550" s="26" t="n">
        <v>1.78</v>
      </c>
      <c r="U550" s="11">
        <f>IF(S550&lt;='Methodology &amp; Assumptions'!$B$10, "Direct Optical Drop (&lt;3km)", IF(S550&lt;='Methodology &amp; Assumptions'!$B$9, "Near Optical / Microwave (&lt;5km)", "Starlink Business LEO Satellite Backhaul (&gt;5km)"))</f>
        <v/>
      </c>
      <c r="V550" s="26" t="n">
        <v>83.59999999999999</v>
      </c>
      <c r="W550" s="26" t="n">
        <v>34.98</v>
      </c>
      <c r="X550" s="26">
        <f>ROUND(('Methodology &amp; Assumptions'!$B$5*V550) + ('Methodology &amp; Assumptions'!$B$6*W550), 2)</f>
        <v/>
      </c>
      <c r="Y550" s="28" t="n">
        <v>23.7</v>
      </c>
      <c r="Z550" s="11" t="inlineStr">
        <is>
          <t>Priority Tier 3 (Broadband Expansion)</t>
        </is>
      </c>
    </row>
    <row r="551">
      <c r="A551" s="23" t="n">
        <v>4</v>
      </c>
      <c r="B551" s="23" t="n">
        <v>547</v>
      </c>
      <c r="C551" s="23" t="n">
        <v>3547</v>
      </c>
      <c r="D551" s="23" t="inlineStr">
        <is>
          <t>1004321008</t>
        </is>
      </c>
      <c r="E551" s="11" t="inlineStr">
        <is>
          <t>Region X (Northern Mindanao)</t>
        </is>
      </c>
      <c r="F551" s="11" t="inlineStr">
        <is>
          <t>Misamis Oriental</t>
        </is>
      </c>
      <c r="G551" s="11" t="inlineStr">
        <is>
          <t>Opol</t>
        </is>
      </c>
      <c r="H551" s="11" t="inlineStr">
        <is>
          <t>Luyongbonbon</t>
        </is>
      </c>
      <c r="I551" s="24" t="n">
        <v>8.526348</v>
      </c>
      <c r="J551" s="24" t="n">
        <v>124.570376</v>
      </c>
      <c r="K551" s="23" t="inlineStr">
        <is>
          <t>U</t>
        </is>
      </c>
      <c r="L551" s="25" t="n">
        <v>3274</v>
      </c>
      <c r="M551" s="26" t="n">
        <v>3.9</v>
      </c>
      <c r="N551" s="25">
        <f>ROUND(L551/M551, 0)</f>
        <v/>
      </c>
      <c r="O551" s="25">
        <f>ROUND(N551*'Methodology &amp; Assumptions'!$B$7, 0)</f>
        <v/>
      </c>
      <c r="P551" s="23" t="inlineStr">
        <is>
          <t>Single Carrier (Band n50, 100MHz TDD)</t>
        </is>
      </c>
      <c r="Q551" s="27">
        <f>ROUNDUP(O551/'Methodology &amp; Assumptions'!$B$8, 0)</f>
        <v/>
      </c>
      <c r="R551" s="27" t="n">
        <v>1</v>
      </c>
      <c r="S551" s="26" t="n">
        <v>0.83</v>
      </c>
      <c r="T551" s="26" t="n">
        <v>0.3</v>
      </c>
      <c r="U551" s="11">
        <f>IF(S551&lt;='Methodology &amp; Assumptions'!$B$10, "Direct Optical Drop (&lt;3km)", IF(S551&lt;='Methodology &amp; Assumptions'!$B$9, "Near Optical / Microwave (&lt;5km)", "Starlink Business LEO Satellite Backhaul (&gt;5km)"))</f>
        <v/>
      </c>
      <c r="V551" s="26" t="n">
        <v>79.53</v>
      </c>
      <c r="W551" s="26" t="n">
        <v>39.05</v>
      </c>
      <c r="X551" s="26">
        <f>ROUND(('Methodology &amp; Assumptions'!$B$5*V551) + ('Methodology &amp; Assumptions'!$B$6*W551), 2)</f>
        <v/>
      </c>
      <c r="Y551" s="28" t="n">
        <v>17.4</v>
      </c>
      <c r="Z551" s="11" t="inlineStr">
        <is>
          <t>Priority Tier 3 (Broadband Expansion)</t>
        </is>
      </c>
    </row>
    <row r="552">
      <c r="A552" s="23" t="n">
        <v>4</v>
      </c>
      <c r="B552" s="23" t="n">
        <v>548</v>
      </c>
      <c r="C552" s="23" t="n">
        <v>3548</v>
      </c>
      <c r="D552" s="23" t="inlineStr">
        <is>
          <t>0301410050</t>
        </is>
      </c>
      <c r="E552" s="11" t="inlineStr">
        <is>
          <t>Region III (Central Luzon)</t>
        </is>
      </c>
      <c r="F552" s="11" t="inlineStr">
        <is>
          <t>Bulacan</t>
        </is>
      </c>
      <c r="G552" s="11" t="inlineStr">
        <is>
          <t>City of Malolos</t>
        </is>
      </c>
      <c r="H552" s="11" t="inlineStr">
        <is>
          <t>Santo Rosario</t>
        </is>
      </c>
      <c r="I552" s="24" t="n">
        <v>15.067638</v>
      </c>
      <c r="J552" s="24" t="n">
        <v>120.727853</v>
      </c>
      <c r="K552" s="23" t="inlineStr">
        <is>
          <t>U</t>
        </is>
      </c>
      <c r="L552" s="25" t="n">
        <v>7665</v>
      </c>
      <c r="M552" s="26" t="n">
        <v>3.5</v>
      </c>
      <c r="N552" s="25">
        <f>ROUND(L552/M552, 0)</f>
        <v/>
      </c>
      <c r="O552" s="25">
        <f>ROUND(N552*'Methodology &amp; Assumptions'!$B$7, 0)</f>
        <v/>
      </c>
      <c r="P552" s="23" t="inlineStr">
        <is>
          <t>Single Carrier (Band n50, 100MHz TDD)</t>
        </is>
      </c>
      <c r="Q552" s="27">
        <f>ROUNDUP(O552/'Methodology &amp; Assumptions'!$B$8, 0)</f>
        <v/>
      </c>
      <c r="R552" s="27" t="n">
        <v>1</v>
      </c>
      <c r="S552" s="26" t="n">
        <v>0.57</v>
      </c>
      <c r="T552" s="26" t="n">
        <v>0.18</v>
      </c>
      <c r="U552" s="11">
        <f>IF(S552&lt;='Methodology &amp; Assumptions'!$B$10, "Direct Optical Drop (&lt;3km)", IF(S552&lt;='Methodology &amp; Assumptions'!$B$9, "Near Optical / Microwave (&lt;5km)", "Starlink Business LEO Satellite Backhaul (&gt;5km)"))</f>
        <v/>
      </c>
      <c r="V552" s="26" t="n">
        <v>78.43000000000001</v>
      </c>
      <c r="W552" s="26" t="n">
        <v>40.14</v>
      </c>
      <c r="X552" s="26">
        <f>ROUND(('Methodology &amp; Assumptions'!$B$5*V552) + ('Methodology &amp; Assumptions'!$B$6*W552), 2)</f>
        <v/>
      </c>
      <c r="Y552" s="28" t="n">
        <v>8.300000000000001</v>
      </c>
      <c r="Z552" s="11" t="inlineStr">
        <is>
          <t>Priority Tier 3 (Broadband Expansion)</t>
        </is>
      </c>
    </row>
    <row r="553">
      <c r="A553" s="23" t="n">
        <v>4</v>
      </c>
      <c r="B553" s="23" t="n">
        <v>549</v>
      </c>
      <c r="C553" s="23" t="n">
        <v>3549</v>
      </c>
      <c r="D553" s="23" t="inlineStr">
        <is>
          <t>1380601144</t>
        </is>
      </c>
      <c r="E553" s="11" t="inlineStr">
        <is>
          <t>National Capital Region (NCR)</t>
        </is>
      </c>
      <c r="F553" s="11" t="inlineStr">
        <is>
          <t>First District (Not a Province)</t>
        </is>
      </c>
      <c r="G553" s="11" t="inlineStr">
        <is>
          <t>City of Manila</t>
        </is>
      </c>
      <c r="H553" s="11" t="inlineStr">
        <is>
          <t>Barangay 144</t>
        </is>
      </c>
      <c r="I553" s="24" t="n">
        <v>14.630955</v>
      </c>
      <c r="J553" s="24" t="n">
        <v>120.970313</v>
      </c>
      <c r="K553" s="23" t="inlineStr">
        <is>
          <t>U</t>
        </is>
      </c>
      <c r="L553" s="25" t="n">
        <v>893</v>
      </c>
      <c r="M553" s="26" t="n">
        <v>3.93</v>
      </c>
      <c r="N553" s="25">
        <f>ROUND(L553/M553, 0)</f>
        <v/>
      </c>
      <c r="O553" s="25">
        <f>ROUND(N553*'Methodology &amp; Assumptions'!$B$7, 0)</f>
        <v/>
      </c>
      <c r="P553" s="23" t="inlineStr">
        <is>
          <t>Single Carrier (Band n50, 100MHz TDD)</t>
        </is>
      </c>
      <c r="Q553" s="27">
        <f>ROUNDUP(O553/'Methodology &amp; Assumptions'!$B$8, 0)</f>
        <v/>
      </c>
      <c r="R553" s="27" t="n">
        <v>1</v>
      </c>
      <c r="S553" s="26" t="n">
        <v>0.5600000000000001</v>
      </c>
      <c r="T553" s="26" t="n">
        <v>0.55</v>
      </c>
      <c r="U553" s="11">
        <f>IF(S553&lt;='Methodology &amp; Assumptions'!$B$10, "Direct Optical Drop (&lt;3km)", IF(S553&lt;='Methodology &amp; Assumptions'!$B$9, "Near Optical / Microwave (&lt;5km)", "Starlink Business LEO Satellite Backhaul (&gt;5km)"))</f>
        <v/>
      </c>
      <c r="V553" s="26" t="n">
        <v>48.38</v>
      </c>
      <c r="W553" s="26" t="n">
        <v>70.2</v>
      </c>
      <c r="X553" s="26">
        <f>ROUND(('Methodology &amp; Assumptions'!$B$5*V553) + ('Methodology &amp; Assumptions'!$B$6*W553), 2)</f>
        <v/>
      </c>
      <c r="Y553" s="28" t="n">
        <v>10.9</v>
      </c>
      <c r="Z553" s="11" t="inlineStr">
        <is>
          <t>Priority Tier 3 (Broadband Expansion)</t>
        </is>
      </c>
    </row>
    <row r="554">
      <c r="A554" s="23" t="n">
        <v>4</v>
      </c>
      <c r="B554" s="23" t="n">
        <v>550</v>
      </c>
      <c r="C554" s="23" t="n">
        <v>3550</v>
      </c>
      <c r="D554" s="23" t="inlineStr">
        <is>
          <t>0405607024</t>
        </is>
      </c>
      <c r="E554" s="11" t="inlineStr">
        <is>
          <t>Region IV-A (CALABARZON)</t>
        </is>
      </c>
      <c r="F554" s="11" t="inlineStr">
        <is>
          <t>Quezon</t>
        </is>
      </c>
      <c r="G554" s="11" t="inlineStr">
        <is>
          <t>Calauag</t>
        </is>
      </c>
      <c r="H554" s="11" t="inlineStr">
        <is>
          <t>Dominlog</t>
        </is>
      </c>
      <c r="I554" s="24" t="n">
        <v>13.972104</v>
      </c>
      <c r="J554" s="24" t="n">
        <v>122.232613</v>
      </c>
      <c r="K554" s="23" t="inlineStr">
        <is>
          <t>R</t>
        </is>
      </c>
      <c r="L554" s="25" t="n">
        <v>466</v>
      </c>
      <c r="M554" s="26" t="n">
        <v>3.8</v>
      </c>
      <c r="N554" s="25">
        <f>ROUND(L554/M554, 0)</f>
        <v/>
      </c>
      <c r="O554" s="25">
        <f>ROUND(N554*'Methodology &amp; Assumptions'!$B$7, 0)</f>
        <v/>
      </c>
      <c r="P554" s="23" t="inlineStr">
        <is>
          <t>Single Carrier (Band n50, 100MHz TDD)</t>
        </is>
      </c>
      <c r="Q554" s="27">
        <f>ROUNDUP(O554/'Methodology &amp; Assumptions'!$B$8, 0)</f>
        <v/>
      </c>
      <c r="R554" s="27" t="n">
        <v>1</v>
      </c>
      <c r="S554" s="26" t="n">
        <v>6.1</v>
      </c>
      <c r="T554" s="26" t="n">
        <v>5.95</v>
      </c>
      <c r="U554" s="11">
        <f>IF(S554&lt;='Methodology &amp; Assumptions'!$B$10, "Direct Optical Drop (&lt;3km)", IF(S554&lt;='Methodology &amp; Assumptions'!$B$9, "Near Optical / Microwave (&lt;5km)", "Starlink Business LEO Satellite Backhaul (&gt;5km)"))</f>
        <v/>
      </c>
      <c r="V554" s="26" t="n">
        <v>46.21</v>
      </c>
      <c r="W554" s="26" t="n">
        <v>72.38</v>
      </c>
      <c r="X554" s="26">
        <f>ROUND(('Methodology &amp; Assumptions'!$B$5*V554) + ('Methodology &amp; Assumptions'!$B$6*W554), 2)</f>
        <v/>
      </c>
      <c r="Y554" s="28" t="n">
        <v>7.2</v>
      </c>
      <c r="Z554" s="11" t="inlineStr">
        <is>
          <t>Priority Tier 3 (Broadband Expansion)</t>
        </is>
      </c>
    </row>
    <row r="555">
      <c r="A555" s="23" t="n">
        <v>4</v>
      </c>
      <c r="B555" s="23" t="n">
        <v>551</v>
      </c>
      <c r="C555" s="23" t="n">
        <v>3551</v>
      </c>
      <c r="D555" s="23" t="inlineStr">
        <is>
          <t>0103313030</t>
        </is>
      </c>
      <c r="E555" s="11" t="inlineStr">
        <is>
          <t>Region I (Ilocos Region)</t>
        </is>
      </c>
      <c r="F555" s="11" t="inlineStr">
        <is>
          <t>La Union</t>
        </is>
      </c>
      <c r="G555" s="11" t="inlineStr">
        <is>
          <t>Rosario</t>
        </is>
      </c>
      <c r="H555" s="11" t="inlineStr">
        <is>
          <t>Tabtabungao</t>
        </is>
      </c>
      <c r="I555" s="24" t="n">
        <v>16.213352</v>
      </c>
      <c r="J555" s="24" t="n">
        <v>120.468609</v>
      </c>
      <c r="K555" s="23" t="inlineStr">
        <is>
          <t>R</t>
        </is>
      </c>
      <c r="L555" s="25" t="n">
        <v>3264</v>
      </c>
      <c r="M555" s="26" t="n">
        <v>3.7</v>
      </c>
      <c r="N555" s="25">
        <f>ROUND(L555/M555, 0)</f>
        <v/>
      </c>
      <c r="O555" s="25">
        <f>ROUND(N555*'Methodology &amp; Assumptions'!$B$7, 0)</f>
        <v/>
      </c>
      <c r="P555" s="23" t="inlineStr">
        <is>
          <t>Single Carrier (Band n50, 100MHz TDD)</t>
        </is>
      </c>
      <c r="Q555" s="27">
        <f>ROUNDUP(O555/'Methodology &amp; Assumptions'!$B$8, 0)</f>
        <v/>
      </c>
      <c r="R555" s="27" t="n">
        <v>1</v>
      </c>
      <c r="S555" s="26" t="n">
        <v>2.25</v>
      </c>
      <c r="T555" s="26" t="n">
        <v>1.08</v>
      </c>
      <c r="U555" s="11">
        <f>IF(S555&lt;='Methodology &amp; Assumptions'!$B$10, "Direct Optical Drop (&lt;3km)", IF(S555&lt;='Methodology &amp; Assumptions'!$B$9, "Near Optical / Microwave (&lt;5km)", "Starlink Business LEO Satellite Backhaul (&gt;5km)"))</f>
        <v/>
      </c>
      <c r="V555" s="26" t="n">
        <v>80.56</v>
      </c>
      <c r="W555" s="26" t="n">
        <v>38</v>
      </c>
      <c r="X555" s="26">
        <f>ROUND(('Methodology &amp; Assumptions'!$B$5*V555) + ('Methodology &amp; Assumptions'!$B$6*W555), 2)</f>
        <v/>
      </c>
      <c r="Y555" s="28" t="n">
        <v>8.300000000000001</v>
      </c>
      <c r="Z555" s="11" t="inlineStr">
        <is>
          <t>Priority Tier 3 (Broadband Expansion)</t>
        </is>
      </c>
    </row>
    <row r="556">
      <c r="A556" s="23" t="n">
        <v>4</v>
      </c>
      <c r="B556" s="23" t="n">
        <v>552</v>
      </c>
      <c r="C556" s="23" t="n">
        <v>3552</v>
      </c>
      <c r="D556" s="23" t="inlineStr">
        <is>
          <t>0304911062</t>
        </is>
      </c>
      <c r="E556" s="11" t="inlineStr">
        <is>
          <t>Region III (Central Luzon)</t>
        </is>
      </c>
      <c r="F556" s="11" t="inlineStr">
        <is>
          <t>Nueva Ecija</t>
        </is>
      </c>
      <c r="G556" s="11" t="inlineStr">
        <is>
          <t>Guimba</t>
        </is>
      </c>
      <c r="H556" s="11" t="inlineStr">
        <is>
          <t>Saranay District</t>
        </is>
      </c>
      <c r="I556" s="24" t="n">
        <v>15.659548</v>
      </c>
      <c r="J556" s="24" t="n">
        <v>120.776658</v>
      </c>
      <c r="K556" s="23" t="inlineStr">
        <is>
          <t>U</t>
        </is>
      </c>
      <c r="L556" s="25" t="n">
        <v>2824</v>
      </c>
      <c r="M556" s="26" t="n">
        <v>3.5</v>
      </c>
      <c r="N556" s="25">
        <f>ROUND(L556/M556, 0)</f>
        <v/>
      </c>
      <c r="O556" s="25">
        <f>ROUND(N556*'Methodology &amp; Assumptions'!$B$7, 0)</f>
        <v/>
      </c>
      <c r="P556" s="23" t="inlineStr">
        <is>
          <t>Single Carrier (Band n50, 100MHz TDD)</t>
        </is>
      </c>
      <c r="Q556" s="27">
        <f>ROUNDUP(O556/'Methodology &amp; Assumptions'!$B$8, 0)</f>
        <v/>
      </c>
      <c r="R556" s="27" t="n">
        <v>1</v>
      </c>
      <c r="S556" s="26" t="n">
        <v>1.07</v>
      </c>
      <c r="T556" s="26" t="n">
        <v>0.59</v>
      </c>
      <c r="U556" s="11">
        <f>IF(S556&lt;='Methodology &amp; Assumptions'!$B$10, "Direct Optical Drop (&lt;3km)", IF(S556&lt;='Methodology &amp; Assumptions'!$B$9, "Near Optical / Microwave (&lt;5km)", "Starlink Business LEO Satellite Backhaul (&gt;5km)"))</f>
        <v/>
      </c>
      <c r="V556" s="26" t="n">
        <v>77.14</v>
      </c>
      <c r="W556" s="26" t="n">
        <v>41.42</v>
      </c>
      <c r="X556" s="26">
        <f>ROUND(('Methodology &amp; Assumptions'!$B$5*V556) + ('Methodology &amp; Assumptions'!$B$6*W556), 2)</f>
        <v/>
      </c>
      <c r="Y556" s="28" t="n">
        <v>8.300000000000001</v>
      </c>
      <c r="Z556" s="11" t="inlineStr">
        <is>
          <t>Priority Tier 3 (Broadband Expansion)</t>
        </is>
      </c>
    </row>
    <row r="557">
      <c r="A557" s="23" t="n">
        <v>4</v>
      </c>
      <c r="B557" s="23" t="n">
        <v>553</v>
      </c>
      <c r="C557" s="23" t="n">
        <v>3553</v>
      </c>
      <c r="D557" s="23" t="inlineStr">
        <is>
          <t>0501711041</t>
        </is>
      </c>
      <c r="E557" s="11" t="inlineStr">
        <is>
          <t>Region V (Bicol Region)</t>
        </is>
      </c>
      <c r="F557" s="11" t="inlineStr">
        <is>
          <t>Camarines Sur</t>
        </is>
      </c>
      <c r="G557" s="11" t="inlineStr">
        <is>
          <t>Caramoan</t>
        </is>
      </c>
      <c r="H557" s="11" t="inlineStr">
        <is>
          <t>San Roque</t>
        </is>
      </c>
      <c r="I557" s="24" t="n">
        <v>13.7558</v>
      </c>
      <c r="J557" s="24" t="n">
        <v>123.8393</v>
      </c>
      <c r="K557" s="23" t="inlineStr">
        <is>
          <t>R</t>
        </is>
      </c>
      <c r="L557" s="25" t="n">
        <v>772</v>
      </c>
      <c r="M557" s="26" t="n">
        <v>4.2</v>
      </c>
      <c r="N557" s="25">
        <f>ROUND(L557/M557, 0)</f>
        <v/>
      </c>
      <c r="O557" s="25">
        <f>ROUND(N557*'Methodology &amp; Assumptions'!$B$7, 0)</f>
        <v/>
      </c>
      <c r="P557" s="23" t="inlineStr">
        <is>
          <t>Single Carrier (Band n50, 100MHz TDD)</t>
        </is>
      </c>
      <c r="Q557" s="27">
        <f>ROUNDUP(O557/'Methodology &amp; Assumptions'!$B$8, 0)</f>
        <v/>
      </c>
      <c r="R557" s="27" t="n">
        <v>1</v>
      </c>
      <c r="S557" s="26" t="n">
        <v>3.32</v>
      </c>
      <c r="T557" s="26" t="n">
        <v>35.7</v>
      </c>
      <c r="U557" s="11">
        <f>IF(S557&lt;='Methodology &amp; Assumptions'!$B$10, "Direct Optical Drop (&lt;3km)", IF(S557&lt;='Methodology &amp; Assumptions'!$B$9, "Near Optical / Microwave (&lt;5km)", "Starlink Business LEO Satellite Backhaul (&gt;5km)"))</f>
        <v/>
      </c>
      <c r="V557" s="26" t="n">
        <v>55.36</v>
      </c>
      <c r="W557" s="26" t="n">
        <v>63.21</v>
      </c>
      <c r="X557" s="26">
        <f>ROUND(('Methodology &amp; Assumptions'!$B$5*V557) + ('Methodology &amp; Assumptions'!$B$6*W557), 2)</f>
        <v/>
      </c>
      <c r="Y557" s="28" t="n">
        <v>23.7</v>
      </c>
      <c r="Z557" s="11" t="inlineStr">
        <is>
          <t>Priority Tier 3 (Broadband Expansion)</t>
        </is>
      </c>
    </row>
    <row r="558">
      <c r="A558" s="23" t="n">
        <v>4</v>
      </c>
      <c r="B558" s="23" t="n">
        <v>554</v>
      </c>
      <c r="C558" s="23" t="n">
        <v>3554</v>
      </c>
      <c r="D558" s="23" t="inlineStr">
        <is>
          <t>0205006018</t>
        </is>
      </c>
      <c r="E558" s="11" t="inlineStr">
        <is>
          <t>Region II (Cagayan Valley)</t>
        </is>
      </c>
      <c r="F558" s="11" t="inlineStr">
        <is>
          <t>Nueva Vizcaya</t>
        </is>
      </c>
      <c r="G558" s="11" t="inlineStr">
        <is>
          <t>Diadi</t>
        </is>
      </c>
      <c r="H558" s="11" t="inlineStr">
        <is>
          <t>Villa Aurora</t>
        </is>
      </c>
      <c r="I558" s="24" t="n">
        <v>16.633318</v>
      </c>
      <c r="J558" s="24" t="n">
        <v>121.394053</v>
      </c>
      <c r="K558" s="23" t="inlineStr">
        <is>
          <t>R</t>
        </is>
      </c>
      <c r="L558" s="25" t="n">
        <v>592</v>
      </c>
      <c r="M558" s="26" t="n">
        <v>3.8</v>
      </c>
      <c r="N558" s="25">
        <f>ROUND(L558/M558, 0)</f>
        <v/>
      </c>
      <c r="O558" s="25">
        <f>ROUND(N558*'Methodology &amp; Assumptions'!$B$7, 0)</f>
        <v/>
      </c>
      <c r="P558" s="23" t="inlineStr">
        <is>
          <t>Single Carrier (Band n50, 100MHz TDD)</t>
        </is>
      </c>
      <c r="Q558" s="27">
        <f>ROUNDUP(O558/'Methodology &amp; Assumptions'!$B$8, 0)</f>
        <v/>
      </c>
      <c r="R558" s="27" t="n">
        <v>1</v>
      </c>
      <c r="S558" s="26" t="n">
        <v>3.98</v>
      </c>
      <c r="T558" s="26" t="n">
        <v>1.82</v>
      </c>
      <c r="U558" s="11">
        <f>IF(S558&lt;='Methodology &amp; Assumptions'!$B$10, "Direct Optical Drop (&lt;3km)", IF(S558&lt;='Methodology &amp; Assumptions'!$B$9, "Near Optical / Microwave (&lt;5km)", "Starlink Business LEO Satellite Backhaul (&gt;5km)"))</f>
        <v/>
      </c>
      <c r="V558" s="26" t="n">
        <v>54.53</v>
      </c>
      <c r="W558" s="26" t="n">
        <v>64.04000000000001</v>
      </c>
      <c r="X558" s="26">
        <f>ROUND(('Methodology &amp; Assumptions'!$B$5*V558) + ('Methodology &amp; Assumptions'!$B$6*W558), 2)</f>
        <v/>
      </c>
      <c r="Y558" s="28" t="n">
        <v>8.300000000000001</v>
      </c>
      <c r="Z558" s="11" t="inlineStr">
        <is>
          <t>Priority Tier 3 (Broadband Expansion)</t>
        </is>
      </c>
    </row>
    <row r="559">
      <c r="A559" s="23" t="n">
        <v>4</v>
      </c>
      <c r="B559" s="23" t="n">
        <v>555</v>
      </c>
      <c r="C559" s="23" t="n">
        <v>3555</v>
      </c>
      <c r="D559" s="23" t="inlineStr">
        <is>
          <t>0607903006</t>
        </is>
      </c>
      <c r="E559" s="11" t="inlineStr">
        <is>
          <t>Region VI (Western Visayas)</t>
        </is>
      </c>
      <c r="F559" s="11" t="inlineStr">
        <is>
          <t>Guimaras</t>
        </is>
      </c>
      <c r="G559" s="11" t="inlineStr">
        <is>
          <t>Nueva Valencia</t>
        </is>
      </c>
      <c r="H559" s="11" t="inlineStr">
        <is>
          <t>Guiwanon</t>
        </is>
      </c>
      <c r="I559" s="24" t="n">
        <v>10.39773</v>
      </c>
      <c r="J559" s="24" t="n">
        <v>122.601009</v>
      </c>
      <c r="K559" s="23" t="inlineStr">
        <is>
          <t>R</t>
        </is>
      </c>
      <c r="L559" s="25" t="n">
        <v>1929</v>
      </c>
      <c r="M559" s="26" t="n">
        <v>3.8</v>
      </c>
      <c r="N559" s="25">
        <f>ROUND(L559/M559, 0)</f>
        <v/>
      </c>
      <c r="O559" s="25">
        <f>ROUND(N559*'Methodology &amp; Assumptions'!$B$7, 0)</f>
        <v/>
      </c>
      <c r="P559" s="23" t="inlineStr">
        <is>
          <t>Single Carrier (Band n50, 100MHz TDD)</t>
        </is>
      </c>
      <c r="Q559" s="27">
        <f>ROUNDUP(O559/'Methodology &amp; Assumptions'!$B$8, 0)</f>
        <v/>
      </c>
      <c r="R559" s="27" t="n">
        <v>1</v>
      </c>
      <c r="S559" s="26" t="n">
        <v>25.5</v>
      </c>
      <c r="T559" s="26" t="n">
        <v>25.27</v>
      </c>
      <c r="U559" s="11">
        <f>IF(S559&lt;='Methodology &amp; Assumptions'!$B$10, "Direct Optical Drop (&lt;3km)", IF(S559&lt;='Methodology &amp; Assumptions'!$B$9, "Near Optical / Microwave (&lt;5km)", "Starlink Business LEO Satellite Backhaul (&gt;5km)"))</f>
        <v/>
      </c>
      <c r="V559" s="26" t="n">
        <v>51.62</v>
      </c>
      <c r="W559" s="26" t="n">
        <v>66.95</v>
      </c>
      <c r="X559" s="26">
        <f>ROUND(('Methodology &amp; Assumptions'!$B$5*V559) + ('Methodology &amp; Assumptions'!$B$6*W559), 2)</f>
        <v/>
      </c>
      <c r="Y559" s="28" t="n">
        <v>23.7</v>
      </c>
      <c r="Z559" s="11" t="inlineStr">
        <is>
          <t>Priority Tier 3 (Broadband Expansion)</t>
        </is>
      </c>
    </row>
    <row r="560">
      <c r="A560" s="23" t="n">
        <v>4</v>
      </c>
      <c r="B560" s="23" t="n">
        <v>556</v>
      </c>
      <c r="C560" s="23" t="n">
        <v>3556</v>
      </c>
      <c r="D560" s="23" t="inlineStr">
        <is>
          <t>0907344002</t>
        </is>
      </c>
      <c r="E560" s="11" t="inlineStr">
        <is>
          <t>Region IX (Zamboanga Peninsula)</t>
        </is>
      </c>
      <c r="F560" s="11" t="inlineStr">
        <is>
          <t>Zamboanga del Sur</t>
        </is>
      </c>
      <c r="G560" s="11" t="inlineStr">
        <is>
          <t>Tigbao</t>
        </is>
      </c>
      <c r="H560" s="11" t="inlineStr">
        <is>
          <t>Busol</t>
        </is>
      </c>
      <c r="I560" s="24" t="n">
        <v>7.870079</v>
      </c>
      <c r="J560" s="24" t="n">
        <v>123.248491</v>
      </c>
      <c r="K560" s="23" t="inlineStr">
        <is>
          <t>R</t>
        </is>
      </c>
      <c r="L560" s="25" t="n">
        <v>752</v>
      </c>
      <c r="M560" s="26" t="n">
        <v>3.9</v>
      </c>
      <c r="N560" s="25">
        <f>ROUND(L560/M560, 0)</f>
        <v/>
      </c>
      <c r="O560" s="25">
        <f>ROUND(N560*'Methodology &amp; Assumptions'!$B$7, 0)</f>
        <v/>
      </c>
      <c r="P560" s="23" t="inlineStr">
        <is>
          <t>Single Carrier (Band n50, 100MHz TDD)</t>
        </is>
      </c>
      <c r="Q560" s="27">
        <f>ROUNDUP(O560/'Methodology &amp; Assumptions'!$B$8, 0)</f>
        <v/>
      </c>
      <c r="R560" s="27" t="n">
        <v>1</v>
      </c>
      <c r="S560" s="26" t="n">
        <v>21.47</v>
      </c>
      <c r="T560" s="26" t="n">
        <v>2.49</v>
      </c>
      <c r="U560" s="11">
        <f>IF(S560&lt;='Methodology &amp; Assumptions'!$B$10, "Direct Optical Drop (&lt;3km)", IF(S560&lt;='Methodology &amp; Assumptions'!$B$9, "Near Optical / Microwave (&lt;5km)", "Starlink Business LEO Satellite Backhaul (&gt;5km)"))</f>
        <v/>
      </c>
      <c r="V560" s="26" t="n">
        <v>43.04</v>
      </c>
      <c r="W560" s="26" t="n">
        <v>75.52</v>
      </c>
      <c r="X560" s="26">
        <f>ROUND(('Methodology &amp; Assumptions'!$B$5*V560) + ('Methodology &amp; Assumptions'!$B$6*W560), 2)</f>
        <v/>
      </c>
      <c r="Y560" s="28" t="n">
        <v>11</v>
      </c>
      <c r="Z560" s="11" t="inlineStr">
        <is>
          <t>Priority Tier 3 (Broadband Expansion)</t>
        </is>
      </c>
    </row>
    <row r="561">
      <c r="A561" s="23" t="n">
        <v>4</v>
      </c>
      <c r="B561" s="23" t="n">
        <v>557</v>
      </c>
      <c r="C561" s="23" t="n">
        <v>3557</v>
      </c>
      <c r="D561" s="23" t="inlineStr">
        <is>
          <t>0501727014</t>
        </is>
      </c>
      <c r="E561" s="11" t="inlineStr">
        <is>
          <t>Region V (Bicol Region)</t>
        </is>
      </c>
      <c r="F561" s="11" t="inlineStr">
        <is>
          <t>Camarines Sur</t>
        </is>
      </c>
      <c r="G561" s="11" t="inlineStr">
        <is>
          <t>Pasacao</t>
        </is>
      </c>
      <c r="H561" s="11" t="inlineStr">
        <is>
          <t>San Antonio</t>
        </is>
      </c>
      <c r="I561" s="24" t="n">
        <v>13.589025</v>
      </c>
      <c r="J561" s="24" t="n">
        <v>122.930876</v>
      </c>
      <c r="K561" s="23" t="inlineStr">
        <is>
          <t>R</t>
        </is>
      </c>
      <c r="L561" s="25" t="n">
        <v>612</v>
      </c>
      <c r="M561" s="26" t="n">
        <v>4.2</v>
      </c>
      <c r="N561" s="25">
        <f>ROUND(L561/M561, 0)</f>
        <v/>
      </c>
      <c r="O561" s="25">
        <f>ROUND(N561*'Methodology &amp; Assumptions'!$B$7, 0)</f>
        <v/>
      </c>
      <c r="P561" s="23" t="inlineStr">
        <is>
          <t>Single Carrier (Band n50, 100MHz TDD)</t>
        </is>
      </c>
      <c r="Q561" s="27">
        <f>ROUNDUP(O561/'Methodology &amp; Assumptions'!$B$8, 0)</f>
        <v/>
      </c>
      <c r="R561" s="27" t="n">
        <v>1</v>
      </c>
      <c r="S561" s="26" t="n">
        <v>12.38</v>
      </c>
      <c r="T561" s="26" t="n">
        <v>12.75</v>
      </c>
      <c r="U561" s="11">
        <f>IF(S561&lt;='Methodology &amp; Assumptions'!$B$10, "Direct Optical Drop (&lt;3km)", IF(S561&lt;='Methodology &amp; Assumptions'!$B$9, "Near Optical / Microwave (&lt;5km)", "Starlink Business LEO Satellite Backhaul (&gt;5km)"))</f>
        <v/>
      </c>
      <c r="V561" s="26" t="n">
        <v>42.86</v>
      </c>
      <c r="W561" s="26" t="n">
        <v>75.7</v>
      </c>
      <c r="X561" s="26">
        <f>ROUND(('Methodology &amp; Assumptions'!$B$5*V561) + ('Methodology &amp; Assumptions'!$B$6*W561), 2)</f>
        <v/>
      </c>
      <c r="Y561" s="28" t="n">
        <v>23.7</v>
      </c>
      <c r="Z561" s="11" t="inlineStr">
        <is>
          <t>Priority Tier 3 (Broadband Expansion)</t>
        </is>
      </c>
    </row>
    <row r="562">
      <c r="A562" s="23" t="n">
        <v>4</v>
      </c>
      <c r="B562" s="23" t="n">
        <v>558</v>
      </c>
      <c r="C562" s="23" t="n">
        <v>3558</v>
      </c>
      <c r="D562" s="23" t="inlineStr">
        <is>
          <t>1907009019</t>
        </is>
      </c>
      <c r="E562" s="11" t="inlineStr">
        <is>
          <t>Bangsamoro Autonomous Region In Muslim Mindanao (BARMM)</t>
        </is>
      </c>
      <c r="F562" s="11" t="inlineStr">
        <is>
          <t>Tawi-Tawi</t>
        </is>
      </c>
      <c r="G562" s="11" t="inlineStr">
        <is>
          <t>Languyan</t>
        </is>
      </c>
      <c r="H562" s="11" t="inlineStr">
        <is>
          <t>Kiniktal</t>
        </is>
      </c>
      <c r="I562" s="24" t="n">
        <v>5.307826</v>
      </c>
      <c r="J562" s="24" t="n">
        <v>120.179136</v>
      </c>
      <c r="K562" s="23" t="inlineStr">
        <is>
          <t>R</t>
        </is>
      </c>
      <c r="L562" s="25" t="n">
        <v>1755</v>
      </c>
      <c r="M562" s="26" t="n">
        <v>5.8</v>
      </c>
      <c r="N562" s="25">
        <f>ROUND(L562/M562, 0)</f>
        <v/>
      </c>
      <c r="O562" s="25">
        <f>ROUND(N562*'Methodology &amp; Assumptions'!$B$7, 0)</f>
        <v/>
      </c>
      <c r="P562" s="23" t="inlineStr">
        <is>
          <t>Single Carrier (Band n50, 100MHz TDD)</t>
        </is>
      </c>
      <c r="Q562" s="27">
        <f>ROUNDUP(O562/'Methodology &amp; Assumptions'!$B$8, 0)</f>
        <v/>
      </c>
      <c r="R562" s="27" t="n">
        <v>1</v>
      </c>
      <c r="S562" s="26" t="n">
        <v>999</v>
      </c>
      <c r="T562" s="26" t="n">
        <v>999</v>
      </c>
      <c r="U562" s="11">
        <f>IF(S562&lt;='Methodology &amp; Assumptions'!$B$10, "Direct Optical Drop (&lt;3km)", IF(S562&lt;='Methodology &amp; Assumptions'!$B$9, "Near Optical / Microwave (&lt;5km)", "Starlink Business LEO Satellite Backhaul (&gt;5km)"))</f>
        <v/>
      </c>
      <c r="V562" s="26" t="n">
        <v>40.8</v>
      </c>
      <c r="W562" s="26" t="n">
        <v>77.75</v>
      </c>
      <c r="X562" s="26">
        <f>ROUND(('Methodology &amp; Assumptions'!$B$5*V562) + ('Methodology &amp; Assumptions'!$B$6*W562), 2)</f>
        <v/>
      </c>
      <c r="Y562" s="28" t="n">
        <v>11</v>
      </c>
      <c r="Z562" s="11" t="inlineStr">
        <is>
          <t>Priority Tier 3 (Broadband Expansion)</t>
        </is>
      </c>
    </row>
    <row r="563">
      <c r="A563" s="23" t="n">
        <v>4</v>
      </c>
      <c r="B563" s="23" t="n">
        <v>559</v>
      </c>
      <c r="C563" s="23" t="n">
        <v>3559</v>
      </c>
      <c r="D563" s="23" t="inlineStr">
        <is>
          <t>0103301010</t>
        </is>
      </c>
      <c r="E563" s="11" t="inlineStr">
        <is>
          <t>Region I (Ilocos Region)</t>
        </is>
      </c>
      <c r="F563" s="11" t="inlineStr">
        <is>
          <t>La Union</t>
        </is>
      </c>
      <c r="G563" s="11" t="inlineStr">
        <is>
          <t>Agoo</t>
        </is>
      </c>
      <c r="H563" s="11" t="inlineStr">
        <is>
          <t>San Agustin East</t>
        </is>
      </c>
      <c r="I563" s="24" t="n">
        <v>16.332177</v>
      </c>
      <c r="J563" s="24" t="n">
        <v>120.376952</v>
      </c>
      <c r="K563" s="23" t="inlineStr">
        <is>
          <t>R</t>
        </is>
      </c>
      <c r="L563" s="25" t="n">
        <v>2487</v>
      </c>
      <c r="M563" s="26" t="n">
        <v>3.7</v>
      </c>
      <c r="N563" s="25">
        <f>ROUND(L563/M563, 0)</f>
        <v/>
      </c>
      <c r="O563" s="25">
        <f>ROUND(N563*'Methodology &amp; Assumptions'!$B$7, 0)</f>
        <v/>
      </c>
      <c r="P563" s="23" t="inlineStr">
        <is>
          <t>Single Carrier (Band n50, 100MHz TDD)</t>
        </is>
      </c>
      <c r="Q563" s="27">
        <f>ROUNDUP(O563/'Methodology &amp; Assumptions'!$B$8, 0)</f>
        <v/>
      </c>
      <c r="R563" s="27" t="n">
        <v>1</v>
      </c>
      <c r="S563" s="26" t="n">
        <v>1.32</v>
      </c>
      <c r="T563" s="26" t="n">
        <v>0.34</v>
      </c>
      <c r="U563" s="11">
        <f>IF(S563&lt;='Methodology &amp; Assumptions'!$B$10, "Direct Optical Drop (&lt;3km)", IF(S563&lt;='Methodology &amp; Assumptions'!$B$9, "Near Optical / Microwave (&lt;5km)", "Starlink Business LEO Satellite Backhaul (&gt;5km)"))</f>
        <v/>
      </c>
      <c r="V563" s="26" t="n">
        <v>79.09</v>
      </c>
      <c r="W563" s="26" t="n">
        <v>39.46</v>
      </c>
      <c r="X563" s="26">
        <f>ROUND(('Methodology &amp; Assumptions'!$B$5*V563) + ('Methodology &amp; Assumptions'!$B$6*W563), 2)</f>
        <v/>
      </c>
      <c r="Y563" s="28" t="n">
        <v>8.300000000000001</v>
      </c>
      <c r="Z563" s="11" t="inlineStr">
        <is>
          <t>Priority Tier 3 (Broadband Expansion)</t>
        </is>
      </c>
    </row>
    <row r="564">
      <c r="A564" s="23" t="n">
        <v>4</v>
      </c>
      <c r="B564" s="23" t="n">
        <v>560</v>
      </c>
      <c r="C564" s="23" t="n">
        <v>3560</v>
      </c>
      <c r="D564" s="23" t="inlineStr">
        <is>
          <t>0300801010</t>
        </is>
      </c>
      <c r="E564" s="11" t="inlineStr">
        <is>
          <t>Region III (Central Luzon)</t>
        </is>
      </c>
      <c r="F564" s="11" t="inlineStr">
        <is>
          <t>Bataan</t>
        </is>
      </c>
      <c r="G564" s="11" t="inlineStr">
        <is>
          <t>Abucay</t>
        </is>
      </c>
      <c r="H564" s="11" t="inlineStr">
        <is>
          <t>Salian</t>
        </is>
      </c>
      <c r="I564" s="24" t="n">
        <v>14.716774</v>
      </c>
      <c r="J564" s="24" t="n">
        <v>120.530805</v>
      </c>
      <c r="K564" s="23" t="inlineStr">
        <is>
          <t>R</t>
        </is>
      </c>
      <c r="L564" s="25" t="n">
        <v>4003</v>
      </c>
      <c r="M564" s="26" t="n">
        <v>3.6</v>
      </c>
      <c r="N564" s="25">
        <f>ROUND(L564/M564, 0)</f>
        <v/>
      </c>
      <c r="O564" s="25">
        <f>ROUND(N564*'Methodology &amp; Assumptions'!$B$7, 0)</f>
        <v/>
      </c>
      <c r="P564" s="23" t="inlineStr">
        <is>
          <t>Single Carrier (Band n50, 100MHz TDD)</t>
        </is>
      </c>
      <c r="Q564" s="27">
        <f>ROUNDUP(O564/'Methodology &amp; Assumptions'!$B$8, 0)</f>
        <v/>
      </c>
      <c r="R564" s="27" t="n">
        <v>1</v>
      </c>
      <c r="S564" s="26" t="n">
        <v>3.68</v>
      </c>
      <c r="T564" s="26" t="n">
        <v>0.62</v>
      </c>
      <c r="U564" s="11">
        <f>IF(S564&lt;='Methodology &amp; Assumptions'!$B$10, "Direct Optical Drop (&lt;3km)", IF(S564&lt;='Methodology &amp; Assumptions'!$B$9, "Near Optical / Microwave (&lt;5km)", "Starlink Business LEO Satellite Backhaul (&gt;5km)"))</f>
        <v/>
      </c>
      <c r="V564" s="26" t="n">
        <v>76.66</v>
      </c>
      <c r="W564" s="26" t="n">
        <v>41.89</v>
      </c>
      <c r="X564" s="26">
        <f>ROUND(('Methodology &amp; Assumptions'!$B$5*V564) + ('Methodology &amp; Assumptions'!$B$6*W564), 2)</f>
        <v/>
      </c>
      <c r="Y564" s="28" t="n">
        <v>8.300000000000001</v>
      </c>
      <c r="Z564" s="11" t="inlineStr">
        <is>
          <t>Priority Tier 3 (Broadband Expansion)</t>
        </is>
      </c>
    </row>
    <row r="565">
      <c r="A565" s="23" t="n">
        <v>4</v>
      </c>
      <c r="B565" s="23" t="n">
        <v>561</v>
      </c>
      <c r="C565" s="23" t="n">
        <v>3561</v>
      </c>
      <c r="D565" s="23" t="inlineStr">
        <is>
          <t>0305412004</t>
        </is>
      </c>
      <c r="E565" s="11" t="inlineStr">
        <is>
          <t>Region III (Central Luzon)</t>
        </is>
      </c>
      <c r="F565" s="11" t="inlineStr">
        <is>
          <t>Pampanga</t>
        </is>
      </c>
      <c r="G565" s="11" t="inlineStr">
        <is>
          <t>Masantol</t>
        </is>
      </c>
      <c r="H565" s="11" t="inlineStr">
        <is>
          <t>Balibago</t>
        </is>
      </c>
      <c r="I565" s="24" t="n">
        <v>15.166357</v>
      </c>
      <c r="J565" s="24" t="n">
        <v>120.59086</v>
      </c>
      <c r="K565" s="23" t="inlineStr">
        <is>
          <t>R</t>
        </is>
      </c>
      <c r="L565" s="25" t="n">
        <v>2005</v>
      </c>
      <c r="M565" s="26" t="n">
        <v>4</v>
      </c>
      <c r="N565" s="25">
        <f>ROUND(L565/M565, 0)</f>
        <v/>
      </c>
      <c r="O565" s="25">
        <f>ROUND(N565*'Methodology &amp; Assumptions'!$B$7, 0)</f>
        <v/>
      </c>
      <c r="P565" s="23" t="inlineStr">
        <is>
          <t>Single Carrier (Band n50, 100MHz TDD)</t>
        </is>
      </c>
      <c r="Q565" s="27">
        <f>ROUNDUP(O565/'Methodology &amp; Assumptions'!$B$8, 0)</f>
        <v/>
      </c>
      <c r="R565" s="27" t="n">
        <v>1</v>
      </c>
      <c r="S565" s="26" t="n">
        <v>0.11</v>
      </c>
      <c r="T565" s="26" t="n">
        <v>0.12</v>
      </c>
      <c r="U565" s="11">
        <f>IF(S565&lt;='Methodology &amp; Assumptions'!$B$10, "Direct Optical Drop (&lt;3km)", IF(S565&lt;='Methodology &amp; Assumptions'!$B$9, "Near Optical / Microwave (&lt;5km)", "Starlink Business LEO Satellite Backhaul (&gt;5km)"))</f>
        <v/>
      </c>
      <c r="V565" s="26" t="n">
        <v>75.27</v>
      </c>
      <c r="W565" s="26" t="n">
        <v>43.26</v>
      </c>
      <c r="X565" s="26">
        <f>ROUND(('Methodology &amp; Assumptions'!$B$5*V565) + ('Methodology &amp; Assumptions'!$B$6*W565), 2)</f>
        <v/>
      </c>
      <c r="Y565" s="28" t="n">
        <v>8.300000000000001</v>
      </c>
      <c r="Z565" s="11" t="inlineStr">
        <is>
          <t>Priority Tier 3 (Broadband Expansion)</t>
        </is>
      </c>
    </row>
    <row r="566">
      <c r="A566" s="23" t="n">
        <v>4</v>
      </c>
      <c r="B566" s="23" t="n">
        <v>562</v>
      </c>
      <c r="C566" s="23" t="n">
        <v>3562</v>
      </c>
      <c r="D566" s="23" t="inlineStr">
        <is>
          <t>1380606184</t>
        </is>
      </c>
      <c r="E566" s="11" t="inlineStr">
        <is>
          <t>National Capital Region (NCR)</t>
        </is>
      </c>
      <c r="F566" s="11" t="inlineStr">
        <is>
          <t>First District (Not a Province)</t>
        </is>
      </c>
      <c r="G566" s="11" t="inlineStr">
        <is>
          <t>City of Manila</t>
        </is>
      </c>
      <c r="H566" s="11" t="inlineStr">
        <is>
          <t>Barangay 578</t>
        </is>
      </c>
      <c r="I566" s="24" t="n">
        <v>14.603595</v>
      </c>
      <c r="J566" s="24" t="n">
        <v>121.008883</v>
      </c>
      <c r="K566" s="23" t="inlineStr">
        <is>
          <t>U</t>
        </is>
      </c>
      <c r="L566" s="25" t="n">
        <v>1186</v>
      </c>
      <c r="M566" s="26" t="n">
        <v>4.25</v>
      </c>
      <c r="N566" s="25">
        <f>ROUND(L566/M566, 0)</f>
        <v/>
      </c>
      <c r="O566" s="25">
        <f>ROUND(N566*'Methodology &amp; Assumptions'!$B$7, 0)</f>
        <v/>
      </c>
      <c r="P566" s="23" t="inlineStr">
        <is>
          <t>Single Carrier (Band n50, 100MHz TDD)</t>
        </is>
      </c>
      <c r="Q566" s="27">
        <f>ROUNDUP(O566/'Methodology &amp; Assumptions'!$B$8, 0)</f>
        <v/>
      </c>
      <c r="R566" s="27" t="n">
        <v>1</v>
      </c>
      <c r="S566" s="26" t="n">
        <v>0.5</v>
      </c>
      <c r="T566" s="26" t="n">
        <v>0.21</v>
      </c>
      <c r="U566" s="11">
        <f>IF(S566&lt;='Methodology &amp; Assumptions'!$B$10, "Direct Optical Drop (&lt;3km)", IF(S566&lt;='Methodology &amp; Assumptions'!$B$9, "Near Optical / Microwave (&lt;5km)", "Starlink Business LEO Satellite Backhaul (&gt;5km)"))</f>
        <v/>
      </c>
      <c r="V566" s="26" t="n">
        <v>50.09</v>
      </c>
      <c r="W566" s="26" t="n">
        <v>68.45</v>
      </c>
      <c r="X566" s="26">
        <f>ROUND(('Methodology &amp; Assumptions'!$B$5*V566) + ('Methodology &amp; Assumptions'!$B$6*W566), 2)</f>
        <v/>
      </c>
      <c r="Y566" s="28" t="n">
        <v>10.9</v>
      </c>
      <c r="Z566" s="11" t="inlineStr">
        <is>
          <t>Priority Tier 3 (Broadband Expansion)</t>
        </is>
      </c>
    </row>
    <row r="567">
      <c r="A567" s="23" t="n">
        <v>4</v>
      </c>
      <c r="B567" s="23" t="n">
        <v>563</v>
      </c>
      <c r="C567" s="23" t="n">
        <v>3563</v>
      </c>
      <c r="D567" s="23" t="inlineStr">
        <is>
          <t>1381100117</t>
        </is>
      </c>
      <c r="E567" s="11" t="inlineStr">
        <is>
          <t>National Capital Region (NCR)</t>
        </is>
      </c>
      <c r="F567" s="11" t="inlineStr">
        <is>
          <t>Fourth District (Not a Province)</t>
        </is>
      </c>
      <c r="G567" s="11" t="inlineStr">
        <is>
          <t>Pasay City</t>
        </is>
      </c>
      <c r="H567" s="11" t="inlineStr">
        <is>
          <t>Barangay 117</t>
        </is>
      </c>
      <c r="I567" s="24" t="n">
        <v>14.540455</v>
      </c>
      <c r="J567" s="24" t="n">
        <v>121.005087</v>
      </c>
      <c r="K567" s="23" t="inlineStr">
        <is>
          <t>U</t>
        </is>
      </c>
      <c r="L567" s="25" t="n">
        <v>916</v>
      </c>
      <c r="M567" s="26" t="n">
        <v>3.79</v>
      </c>
      <c r="N567" s="25">
        <f>ROUND(L567/M567, 0)</f>
        <v/>
      </c>
      <c r="O567" s="25">
        <f>ROUND(N567*'Methodology &amp; Assumptions'!$B$7, 0)</f>
        <v/>
      </c>
      <c r="P567" s="23" t="inlineStr">
        <is>
          <t>Single Carrier (Band n50, 100MHz TDD)</t>
        </is>
      </c>
      <c r="Q567" s="27">
        <f>ROUNDUP(O567/'Methodology &amp; Assumptions'!$B$8, 0)</f>
        <v/>
      </c>
      <c r="R567" s="27" t="n">
        <v>1</v>
      </c>
      <c r="S567" s="26" t="n">
        <v>1.23</v>
      </c>
      <c r="T567" s="26" t="n">
        <v>0.37</v>
      </c>
      <c r="U567" s="11">
        <f>IF(S567&lt;='Methodology &amp; Assumptions'!$B$10, "Direct Optical Drop (&lt;3km)", IF(S567&lt;='Methodology &amp; Assumptions'!$B$9, "Near Optical / Microwave (&lt;5km)", "Starlink Business LEO Satellite Backhaul (&gt;5km)"))</f>
        <v/>
      </c>
      <c r="V567" s="26" t="n">
        <v>47.41</v>
      </c>
      <c r="W567" s="26" t="n">
        <v>71.12</v>
      </c>
      <c r="X567" s="26">
        <f>ROUND(('Methodology &amp; Assumptions'!$B$5*V567) + ('Methodology &amp; Assumptions'!$B$6*W567), 2)</f>
        <v/>
      </c>
      <c r="Y567" s="28" t="n">
        <v>10.9</v>
      </c>
      <c r="Z567" s="11" t="inlineStr">
        <is>
          <t>Priority Tier 3 (Broadband Expansion)</t>
        </is>
      </c>
    </row>
    <row r="568">
      <c r="A568" s="23" t="n">
        <v>4</v>
      </c>
      <c r="B568" s="23" t="n">
        <v>564</v>
      </c>
      <c r="C568" s="23" t="n">
        <v>3564</v>
      </c>
      <c r="D568" s="23" t="inlineStr">
        <is>
          <t>1102503008</t>
        </is>
      </c>
      <c r="E568" s="11" t="inlineStr">
        <is>
          <t>Region XI (Davao Region)</t>
        </is>
      </c>
      <c r="F568" s="11" t="inlineStr">
        <is>
          <t>Davao Oriental</t>
        </is>
      </c>
      <c r="G568" s="11" t="inlineStr">
        <is>
          <t>Boston</t>
        </is>
      </c>
      <c r="H568" s="11" t="inlineStr">
        <is>
          <t>Simulao</t>
        </is>
      </c>
      <c r="I568" s="24" t="n">
        <v>7.959342</v>
      </c>
      <c r="J568" s="24" t="n">
        <v>126.241388</v>
      </c>
      <c r="K568" s="23" t="inlineStr">
        <is>
          <t>R</t>
        </is>
      </c>
      <c r="L568" s="25" t="n">
        <v>1194</v>
      </c>
      <c r="M568" s="26" t="n">
        <v>3.6</v>
      </c>
      <c r="N568" s="25">
        <f>ROUND(L568/M568, 0)</f>
        <v/>
      </c>
      <c r="O568" s="25">
        <f>ROUND(N568*'Methodology &amp; Assumptions'!$B$7, 0)</f>
        <v/>
      </c>
      <c r="P568" s="23" t="inlineStr">
        <is>
          <t>Single Carrier (Band n50, 100MHz TDD)</t>
        </is>
      </c>
      <c r="Q568" s="27">
        <f>ROUNDUP(O568/'Methodology &amp; Assumptions'!$B$8, 0)</f>
        <v/>
      </c>
      <c r="R568" s="27" t="n">
        <v>1</v>
      </c>
      <c r="S568" s="26" t="n">
        <v>21.85</v>
      </c>
      <c r="T568" s="26" t="n">
        <v>16.88</v>
      </c>
      <c r="U568" s="11">
        <f>IF(S568&lt;='Methodology &amp; Assumptions'!$B$10, "Direct Optical Drop (&lt;3km)", IF(S568&lt;='Methodology &amp; Assumptions'!$B$9, "Near Optical / Microwave (&lt;5km)", "Starlink Business LEO Satellite Backhaul (&gt;5km)"))</f>
        <v/>
      </c>
      <c r="V568" s="26" t="n">
        <v>45.64</v>
      </c>
      <c r="W568" s="26" t="n">
        <v>72.91</v>
      </c>
      <c r="X568" s="26">
        <f>ROUND(('Methodology &amp; Assumptions'!$B$5*V568) + ('Methodology &amp; Assumptions'!$B$6*W568), 2)</f>
        <v/>
      </c>
      <c r="Y568" s="28" t="n">
        <v>17.4</v>
      </c>
      <c r="Z568" s="11" t="inlineStr">
        <is>
          <t>Priority Tier 3 (Broadband Expansion)</t>
        </is>
      </c>
    </row>
    <row r="569">
      <c r="A569" s="23" t="n">
        <v>4</v>
      </c>
      <c r="B569" s="23" t="n">
        <v>565</v>
      </c>
      <c r="C569" s="23" t="n">
        <v>3565</v>
      </c>
      <c r="D569" s="23" t="inlineStr">
        <is>
          <t>1403213001</t>
        </is>
      </c>
      <c r="E569" s="11" t="inlineStr">
        <is>
          <t>Cordillera Administrative Region (CAR)</t>
        </is>
      </c>
      <c r="F569" s="11" t="inlineStr">
        <is>
          <t>Kalinga</t>
        </is>
      </c>
      <c r="G569" s="11" t="inlineStr">
        <is>
          <t>City of Tabuk</t>
        </is>
      </c>
      <c r="H569" s="11" t="inlineStr">
        <is>
          <t>Agbannawag</t>
        </is>
      </c>
      <c r="I569" s="24" t="n">
        <v>17.417585</v>
      </c>
      <c r="J569" s="24" t="n">
        <v>121.435336</v>
      </c>
      <c r="K569" s="23" t="inlineStr">
        <is>
          <t>U</t>
        </is>
      </c>
      <c r="L569" s="25" t="n">
        <v>5398</v>
      </c>
      <c r="M569" s="26" t="n">
        <v>4.3</v>
      </c>
      <c r="N569" s="25">
        <f>ROUND(L569/M569, 0)</f>
        <v/>
      </c>
      <c r="O569" s="25">
        <f>ROUND(N569*'Methodology &amp; Assumptions'!$B$7, 0)</f>
        <v/>
      </c>
      <c r="P569" s="23" t="inlineStr">
        <is>
          <t>Single Carrier (Band n50, 100MHz TDD)</t>
        </is>
      </c>
      <c r="Q569" s="27">
        <f>ROUNDUP(O569/'Methodology &amp; Assumptions'!$B$8, 0)</f>
        <v/>
      </c>
      <c r="R569" s="27" t="n">
        <v>1</v>
      </c>
      <c r="S569" s="26" t="n">
        <v>0.92</v>
      </c>
      <c r="T569" s="26" t="n">
        <v>0.92</v>
      </c>
      <c r="U569" s="11">
        <f>IF(S569&lt;='Methodology &amp; Assumptions'!$B$10, "Direct Optical Drop (&lt;3km)", IF(S569&lt;='Methodology &amp; Assumptions'!$B$9, "Near Optical / Microwave (&lt;5km)", "Starlink Business LEO Satellite Backhaul (&gt;5km)"))</f>
        <v/>
      </c>
      <c r="V569" s="26" t="n">
        <v>78.53</v>
      </c>
      <c r="W569" s="26" t="n">
        <v>39.99</v>
      </c>
      <c r="X569" s="26">
        <f>ROUND(('Methodology &amp; Assumptions'!$B$5*V569) + ('Methodology &amp; Assumptions'!$B$6*W569), 2)</f>
        <v/>
      </c>
      <c r="Y569" s="28" t="n">
        <v>10.9</v>
      </c>
      <c r="Z569" s="11" t="inlineStr">
        <is>
          <t>Priority Tier 3 (Broadband Expansion)</t>
        </is>
      </c>
    </row>
    <row r="570">
      <c r="A570" s="23" t="n">
        <v>4</v>
      </c>
      <c r="B570" s="23" t="n">
        <v>566</v>
      </c>
      <c r="C570" s="23" t="n">
        <v>3566</v>
      </c>
      <c r="D570" s="23" t="inlineStr">
        <is>
          <t>0401009012</t>
        </is>
      </c>
      <c r="E570" s="11" t="inlineStr">
        <is>
          <t>Region IV-A (CALABARZON)</t>
        </is>
      </c>
      <c r="F570" s="11" t="inlineStr">
        <is>
          <t>Batangas</t>
        </is>
      </c>
      <c r="G570" s="11" t="inlineStr">
        <is>
          <t>Cuenca</t>
        </is>
      </c>
      <c r="H570" s="11" t="inlineStr">
        <is>
          <t>Pinagkaisahan</t>
        </is>
      </c>
      <c r="I570" s="24" t="n">
        <v>13.916571</v>
      </c>
      <c r="J570" s="24" t="n">
        <v>121.053576</v>
      </c>
      <c r="K570" s="23" t="inlineStr">
        <is>
          <t>R</t>
        </is>
      </c>
      <c r="L570" s="25" t="n">
        <v>2020</v>
      </c>
      <c r="M570" s="26" t="n">
        <v>3.6</v>
      </c>
      <c r="N570" s="25">
        <f>ROUND(L570/M570, 0)</f>
        <v/>
      </c>
      <c r="O570" s="25">
        <f>ROUND(N570*'Methodology &amp; Assumptions'!$B$7, 0)</f>
        <v/>
      </c>
      <c r="P570" s="23" t="inlineStr">
        <is>
          <t>Single Carrier (Band n50, 100MHz TDD)</t>
        </is>
      </c>
      <c r="Q570" s="27">
        <f>ROUNDUP(O570/'Methodology &amp; Assumptions'!$B$8, 0)</f>
        <v/>
      </c>
      <c r="R570" s="27" t="n">
        <v>1</v>
      </c>
      <c r="S570" s="26" t="n">
        <v>2.09</v>
      </c>
      <c r="T570" s="26" t="n">
        <v>1.74</v>
      </c>
      <c r="U570" s="11">
        <f>IF(S570&lt;='Methodology &amp; Assumptions'!$B$10, "Direct Optical Drop (&lt;3km)", IF(S570&lt;='Methodology &amp; Assumptions'!$B$9, "Near Optical / Microwave (&lt;5km)", "Starlink Business LEO Satellite Backhaul (&gt;5km)"))</f>
        <v/>
      </c>
      <c r="V570" s="26" t="n">
        <v>72.59999999999999</v>
      </c>
      <c r="W570" s="26" t="n">
        <v>45.91</v>
      </c>
      <c r="X570" s="26">
        <f>ROUND(('Methodology &amp; Assumptions'!$B$5*V570) + ('Methodology &amp; Assumptions'!$B$6*W570), 2)</f>
        <v/>
      </c>
      <c r="Y570" s="28" t="n">
        <v>7.2</v>
      </c>
      <c r="Z570" s="11" t="inlineStr">
        <is>
          <t>Priority Tier 3 (Broadband Expansion)</t>
        </is>
      </c>
    </row>
    <row r="571">
      <c r="A571" s="23" t="n">
        <v>4</v>
      </c>
      <c r="B571" s="23" t="n">
        <v>567</v>
      </c>
      <c r="C571" s="23" t="n">
        <v>3567</v>
      </c>
      <c r="D571" s="23" t="inlineStr">
        <is>
          <t>1380606097</t>
        </is>
      </c>
      <c r="E571" s="11" t="inlineStr">
        <is>
          <t>National Capital Region (NCR)</t>
        </is>
      </c>
      <c r="F571" s="11" t="inlineStr">
        <is>
          <t>First District (Not a Province)</t>
        </is>
      </c>
      <c r="G571" s="11" t="inlineStr">
        <is>
          <t>City of Manila</t>
        </is>
      </c>
      <c r="H571" s="11" t="inlineStr">
        <is>
          <t>Barangay 491</t>
        </is>
      </c>
      <c r="I571" s="24" t="n">
        <v>14.615795</v>
      </c>
      <c r="J571" s="24" t="n">
        <v>120.989664</v>
      </c>
      <c r="K571" s="23" t="inlineStr">
        <is>
          <t>U</t>
        </is>
      </c>
      <c r="L571" s="25" t="n">
        <v>926</v>
      </c>
      <c r="M571" s="26" t="n">
        <v>4.04</v>
      </c>
      <c r="N571" s="25">
        <f>ROUND(L571/M571, 0)</f>
        <v/>
      </c>
      <c r="O571" s="25">
        <f>ROUND(N571*'Methodology &amp; Assumptions'!$B$7, 0)</f>
        <v/>
      </c>
      <c r="P571" s="23" t="inlineStr">
        <is>
          <t>Single Carrier (Band n50, 100MHz TDD)</t>
        </is>
      </c>
      <c r="Q571" s="27">
        <f>ROUNDUP(O571/'Methodology &amp; Assumptions'!$B$8, 0)</f>
        <v/>
      </c>
      <c r="R571" s="27" t="n">
        <v>1</v>
      </c>
      <c r="S571" s="26" t="n">
        <v>0.74</v>
      </c>
      <c r="T571" s="26" t="n">
        <v>0.5600000000000001</v>
      </c>
      <c r="U571" s="11">
        <f>IF(S571&lt;='Methodology &amp; Assumptions'!$B$10, "Direct Optical Drop (&lt;3km)", IF(S571&lt;='Methodology &amp; Assumptions'!$B$9, "Near Optical / Microwave (&lt;5km)", "Starlink Business LEO Satellite Backhaul (&gt;5km)"))</f>
        <v/>
      </c>
      <c r="V571" s="26" t="n">
        <v>48.48</v>
      </c>
      <c r="W571" s="26" t="n">
        <v>70.03</v>
      </c>
      <c r="X571" s="26">
        <f>ROUND(('Methodology &amp; Assumptions'!$B$5*V571) + ('Methodology &amp; Assumptions'!$B$6*W571), 2)</f>
        <v/>
      </c>
      <c r="Y571" s="28" t="n">
        <v>10.9</v>
      </c>
      <c r="Z571" s="11" t="inlineStr">
        <is>
          <t>Priority Tier 3 (Broadband Expansion)</t>
        </is>
      </c>
    </row>
    <row r="572">
      <c r="A572" s="23" t="n">
        <v>4</v>
      </c>
      <c r="B572" s="23" t="n">
        <v>568</v>
      </c>
      <c r="C572" s="23" t="n">
        <v>3568</v>
      </c>
      <c r="D572" s="23" t="inlineStr">
        <is>
          <t>1102401021</t>
        </is>
      </c>
      <c r="E572" s="11" t="inlineStr">
        <is>
          <t>Region XI (Davao Region)</t>
        </is>
      </c>
      <c r="F572" s="11" t="inlineStr">
        <is>
          <t>Davao del Sur</t>
        </is>
      </c>
      <c r="G572" s="11" t="inlineStr">
        <is>
          <t>Bansalan</t>
        </is>
      </c>
      <c r="H572" s="11" t="inlineStr">
        <is>
          <t>Sibayan</t>
        </is>
      </c>
      <c r="I572" s="24" t="n">
        <v>6.887449</v>
      </c>
      <c r="J572" s="24" t="n">
        <v>125.242318</v>
      </c>
      <c r="K572" s="23" t="inlineStr">
        <is>
          <t>R</t>
        </is>
      </c>
      <c r="L572" s="25" t="n">
        <v>733</v>
      </c>
      <c r="M572" s="26" t="n">
        <v>3.4</v>
      </c>
      <c r="N572" s="25">
        <f>ROUND(L572/M572, 0)</f>
        <v/>
      </c>
      <c r="O572" s="25">
        <f>ROUND(N572*'Methodology &amp; Assumptions'!$B$7, 0)</f>
        <v/>
      </c>
      <c r="P572" s="23" t="inlineStr">
        <is>
          <t>Single Carrier (Band n50, 100MHz TDD)</t>
        </is>
      </c>
      <c r="Q572" s="27">
        <f>ROUNDUP(O572/'Methodology &amp; Assumptions'!$B$8, 0)</f>
        <v/>
      </c>
      <c r="R572" s="27" t="n">
        <v>1</v>
      </c>
      <c r="S572" s="26" t="n">
        <v>11.63</v>
      </c>
      <c r="T572" s="26" t="n">
        <v>17.03</v>
      </c>
      <c r="U572" s="11">
        <f>IF(S572&lt;='Methodology &amp; Assumptions'!$B$10, "Direct Optical Drop (&lt;3km)", IF(S572&lt;='Methodology &amp; Assumptions'!$B$9, "Near Optical / Microwave (&lt;5km)", "Starlink Business LEO Satellite Backhaul (&gt;5km)"))</f>
        <v/>
      </c>
      <c r="V572" s="26" t="n">
        <v>44.92</v>
      </c>
      <c r="W572" s="26" t="n">
        <v>73.61</v>
      </c>
      <c r="X572" s="26">
        <f>ROUND(('Methodology &amp; Assumptions'!$B$5*V572) + ('Methodology &amp; Assumptions'!$B$6*W572), 2)</f>
        <v/>
      </c>
      <c r="Y572" s="28" t="n">
        <v>17.4</v>
      </c>
      <c r="Z572" s="11" t="inlineStr">
        <is>
          <t>Priority Tier 3 (Broadband Expansion)</t>
        </is>
      </c>
    </row>
    <row r="573">
      <c r="A573" s="23" t="n">
        <v>4</v>
      </c>
      <c r="B573" s="23" t="n">
        <v>569</v>
      </c>
      <c r="C573" s="23" t="n">
        <v>3569</v>
      </c>
      <c r="D573" s="23" t="inlineStr">
        <is>
          <t>0600410011</t>
        </is>
      </c>
      <c r="E573" s="11" t="inlineStr">
        <is>
          <t>Region VI (Western Visayas)</t>
        </is>
      </c>
      <c r="F573" s="11" t="inlineStr">
        <is>
          <t>Aklan</t>
        </is>
      </c>
      <c r="G573" s="11" t="inlineStr">
        <is>
          <t>Madalag</t>
        </is>
      </c>
      <c r="H573" s="11" t="inlineStr">
        <is>
          <t>Logohon</t>
        </is>
      </c>
      <c r="I573" s="24" t="n">
        <v>11.456726</v>
      </c>
      <c r="J573" s="24" t="n">
        <v>122.200398</v>
      </c>
      <c r="K573" s="23" t="inlineStr">
        <is>
          <t>R</t>
        </is>
      </c>
      <c r="L573" s="25" t="n">
        <v>511</v>
      </c>
      <c r="M573" s="26" t="n">
        <v>3.9</v>
      </c>
      <c r="N573" s="25">
        <f>ROUND(L573/M573, 0)</f>
        <v/>
      </c>
      <c r="O573" s="25">
        <f>ROUND(N573*'Methodology &amp; Assumptions'!$B$7, 0)</f>
        <v/>
      </c>
      <c r="P573" s="23" t="inlineStr">
        <is>
          <t>Single Carrier (Band n50, 100MHz TDD)</t>
        </is>
      </c>
      <c r="Q573" s="27">
        <f>ROUNDUP(O573/'Methodology &amp; Assumptions'!$B$8, 0)</f>
        <v/>
      </c>
      <c r="R573" s="27" t="n">
        <v>1</v>
      </c>
      <c r="S573" s="26" t="n">
        <v>21.25</v>
      </c>
      <c r="T573" s="26" t="n">
        <v>21.52</v>
      </c>
      <c r="U573" s="11">
        <f>IF(S573&lt;='Methodology &amp; Assumptions'!$B$10, "Direct Optical Drop (&lt;3km)", IF(S573&lt;='Methodology &amp; Assumptions'!$B$9, "Near Optical / Microwave (&lt;5km)", "Starlink Business LEO Satellite Backhaul (&gt;5km)"))</f>
        <v/>
      </c>
      <c r="V573" s="26" t="n">
        <v>40.16</v>
      </c>
      <c r="W573" s="26" t="n">
        <v>78.34999999999999</v>
      </c>
      <c r="X573" s="26">
        <f>ROUND(('Methodology &amp; Assumptions'!$B$5*V573) + ('Methodology &amp; Assumptions'!$B$6*W573), 2)</f>
        <v/>
      </c>
      <c r="Y573" s="28" t="n">
        <v>23.7</v>
      </c>
      <c r="Z573" s="11" t="inlineStr">
        <is>
          <t>Priority Tier 3 (Broadband Expansion)</t>
        </is>
      </c>
    </row>
    <row r="574">
      <c r="A574" s="23" t="n">
        <v>4</v>
      </c>
      <c r="B574" s="23" t="n">
        <v>570</v>
      </c>
      <c r="C574" s="23" t="n">
        <v>3570</v>
      </c>
      <c r="D574" s="23" t="inlineStr">
        <is>
          <t>0401019002</t>
        </is>
      </c>
      <c r="E574" s="11" t="inlineStr">
        <is>
          <t>Region IV-A (CALABARZON)</t>
        </is>
      </c>
      <c r="F574" s="11" t="inlineStr">
        <is>
          <t>Batangas</t>
        </is>
      </c>
      <c r="G574" s="11" t="inlineStr">
        <is>
          <t>Nasugbu</t>
        </is>
      </c>
      <c r="H574" s="11" t="inlineStr">
        <is>
          <t>Balaytigui</t>
        </is>
      </c>
      <c r="I574" s="24" t="n">
        <v>14.130131</v>
      </c>
      <c r="J574" s="24" t="n">
        <v>120.60201</v>
      </c>
      <c r="K574" s="23" t="inlineStr">
        <is>
          <t>R</t>
        </is>
      </c>
      <c r="L574" s="25" t="n">
        <v>4708</v>
      </c>
      <c r="M574" s="26" t="n">
        <v>3.6</v>
      </c>
      <c r="N574" s="25">
        <f>ROUND(L574/M574, 0)</f>
        <v/>
      </c>
      <c r="O574" s="25">
        <f>ROUND(N574*'Methodology &amp; Assumptions'!$B$7, 0)</f>
        <v/>
      </c>
      <c r="P574" s="23" t="inlineStr">
        <is>
          <t>Single Carrier (Band n50, 100MHz TDD)</t>
        </is>
      </c>
      <c r="Q574" s="27">
        <f>ROUNDUP(O574/'Methodology &amp; Assumptions'!$B$8, 0)</f>
        <v/>
      </c>
      <c r="R574" s="27" t="n">
        <v>1</v>
      </c>
      <c r="S574" s="26" t="n">
        <v>0.66</v>
      </c>
      <c r="T574" s="26" t="n">
        <v>6.17</v>
      </c>
      <c r="U574" s="11">
        <f>IF(S574&lt;='Methodology &amp; Assumptions'!$B$10, "Direct Optical Drop (&lt;3km)", IF(S574&lt;='Methodology &amp; Assumptions'!$B$9, "Near Optical / Microwave (&lt;5km)", "Starlink Business LEO Satellite Backhaul (&gt;5km)"))</f>
        <v/>
      </c>
      <c r="V574" s="26" t="n">
        <v>82.69</v>
      </c>
      <c r="W574" s="26" t="n">
        <v>35.8</v>
      </c>
      <c r="X574" s="26">
        <f>ROUND(('Methodology &amp; Assumptions'!$B$5*V574) + ('Methodology &amp; Assumptions'!$B$6*W574), 2)</f>
        <v/>
      </c>
      <c r="Y574" s="28" t="n">
        <v>7.2</v>
      </c>
      <c r="Z574" s="11" t="inlineStr">
        <is>
          <t>Priority Tier 3 (Broadband Expansion)</t>
        </is>
      </c>
    </row>
    <row r="575">
      <c r="A575" s="23" t="n">
        <v>4</v>
      </c>
      <c r="B575" s="23" t="n">
        <v>571</v>
      </c>
      <c r="C575" s="23" t="n">
        <v>3571</v>
      </c>
      <c r="D575" s="23" t="inlineStr">
        <is>
          <t>0301420046</t>
        </is>
      </c>
      <c r="E575" s="11" t="inlineStr">
        <is>
          <t>Region III (Central Luzon)</t>
        </is>
      </c>
      <c r="F575" s="11" t="inlineStr">
        <is>
          <t>Bulacan</t>
        </is>
      </c>
      <c r="G575" s="11" t="inlineStr">
        <is>
          <t>City of San Jose Del Monte</t>
        </is>
      </c>
      <c r="H575" s="11" t="inlineStr">
        <is>
          <t>San Martin II</t>
        </is>
      </c>
      <c r="I575" s="24" t="n">
        <v>14.862267</v>
      </c>
      <c r="J575" s="24" t="n">
        <v>121.055464</v>
      </c>
      <c r="K575" s="23" t="inlineStr">
        <is>
          <t>R</t>
        </is>
      </c>
      <c r="L575" s="25" t="n">
        <v>3687</v>
      </c>
      <c r="M575" s="26" t="n">
        <v>3.5</v>
      </c>
      <c r="N575" s="25">
        <f>ROUND(L575/M575, 0)</f>
        <v/>
      </c>
      <c r="O575" s="25">
        <f>ROUND(N575*'Methodology &amp; Assumptions'!$B$7, 0)</f>
        <v/>
      </c>
      <c r="P575" s="23" t="inlineStr">
        <is>
          <t>Single Carrier (Band n50, 100MHz TDD)</t>
        </is>
      </c>
      <c r="Q575" s="27">
        <f>ROUNDUP(O575/'Methodology &amp; Assumptions'!$B$8, 0)</f>
        <v/>
      </c>
      <c r="R575" s="27" t="n">
        <v>1</v>
      </c>
      <c r="S575" s="26" t="n">
        <v>3</v>
      </c>
      <c r="T575" s="26" t="n">
        <v>3.81</v>
      </c>
      <c r="U575" s="11">
        <f>IF(S575&lt;='Methodology &amp; Assumptions'!$B$10, "Direct Optical Drop (&lt;3km)", IF(S575&lt;='Methodology &amp; Assumptions'!$B$9, "Near Optical / Microwave (&lt;5km)", "Starlink Business LEO Satellite Backhaul (&gt;5km)"))</f>
        <v/>
      </c>
      <c r="V575" s="26" t="n">
        <v>74.7</v>
      </c>
      <c r="W575" s="26" t="n">
        <v>43.79</v>
      </c>
      <c r="X575" s="26">
        <f>ROUND(('Methodology &amp; Assumptions'!$B$5*V575) + ('Methodology &amp; Assumptions'!$B$6*W575), 2)</f>
        <v/>
      </c>
      <c r="Y575" s="28" t="n">
        <v>8.300000000000001</v>
      </c>
      <c r="Z575" s="11" t="inlineStr">
        <is>
          <t>Priority Tier 3 (Broadband Expansion)</t>
        </is>
      </c>
    </row>
    <row r="576">
      <c r="A576" s="23" t="n">
        <v>4</v>
      </c>
      <c r="B576" s="23" t="n">
        <v>572</v>
      </c>
      <c r="C576" s="23" t="n">
        <v>3572</v>
      </c>
      <c r="D576" s="23" t="inlineStr">
        <is>
          <t>0102929007</t>
        </is>
      </c>
      <c r="E576" s="11" t="inlineStr">
        <is>
          <t>Region I (Ilocos Region)</t>
        </is>
      </c>
      <c r="F576" s="11" t="inlineStr">
        <is>
          <t>Ilocos Sur</t>
        </is>
      </c>
      <c r="G576" s="11" t="inlineStr">
        <is>
          <t>Sigay</t>
        </is>
      </c>
      <c r="H576" s="11" t="inlineStr">
        <is>
          <t>Santo Rosario</t>
        </is>
      </c>
      <c r="I576" s="24" t="n">
        <v>16.401687</v>
      </c>
      <c r="J576" s="24" t="n">
        <v>120.587184</v>
      </c>
      <c r="K576" s="23" t="inlineStr">
        <is>
          <t>R</t>
        </is>
      </c>
      <c r="L576" s="25" t="n">
        <v>502</v>
      </c>
      <c r="M576" s="26" t="n">
        <v>3.8</v>
      </c>
      <c r="N576" s="25">
        <f>ROUND(L576/M576, 0)</f>
        <v/>
      </c>
      <c r="O576" s="25">
        <f>ROUND(N576*'Methodology &amp; Assumptions'!$B$7, 0)</f>
        <v/>
      </c>
      <c r="P576" s="23" t="inlineStr">
        <is>
          <t>Single Carrier (Band n50, 100MHz TDD)</t>
        </is>
      </c>
      <c r="Q576" s="27">
        <f>ROUNDUP(O576/'Methodology &amp; Assumptions'!$B$8, 0)</f>
        <v/>
      </c>
      <c r="R576" s="27" t="n">
        <v>1</v>
      </c>
      <c r="S576" s="26" t="n">
        <v>1.05</v>
      </c>
      <c r="T576" s="26" t="n">
        <v>0.28</v>
      </c>
      <c r="U576" s="11">
        <f>IF(S576&lt;='Methodology &amp; Assumptions'!$B$10, "Direct Optical Drop (&lt;3km)", IF(S576&lt;='Methodology &amp; Assumptions'!$B$9, "Near Optical / Microwave (&lt;5km)", "Starlink Business LEO Satellite Backhaul (&gt;5km)"))</f>
        <v/>
      </c>
      <c r="V576" s="26" t="n">
        <v>62.57</v>
      </c>
      <c r="W576" s="26" t="n">
        <v>55.94</v>
      </c>
      <c r="X576" s="26">
        <f>ROUND(('Methodology &amp; Assumptions'!$B$5*V576) + ('Methodology &amp; Assumptions'!$B$6*W576), 2)</f>
        <v/>
      </c>
      <c r="Y576" s="28" t="n">
        <v>8.300000000000001</v>
      </c>
      <c r="Z576" s="11" t="inlineStr">
        <is>
          <t>Priority Tier 3 (Broadband Expansion)</t>
        </is>
      </c>
    </row>
    <row r="577">
      <c r="A577" s="23" t="n">
        <v>4</v>
      </c>
      <c r="B577" s="23" t="n">
        <v>573</v>
      </c>
      <c r="C577" s="23" t="n">
        <v>3573</v>
      </c>
      <c r="D577" s="23" t="inlineStr">
        <is>
          <t>0205705004</t>
        </is>
      </c>
      <c r="E577" s="11" t="inlineStr">
        <is>
          <t>Region II (Cagayan Valley)</t>
        </is>
      </c>
      <c r="F577" s="11" t="inlineStr">
        <is>
          <t>Quirino</t>
        </is>
      </c>
      <c r="G577" s="11" t="inlineStr">
        <is>
          <t>Saguday</t>
        </is>
      </c>
      <c r="H577" s="11" t="inlineStr">
        <is>
          <t>Rizal</t>
        </is>
      </c>
      <c r="I577" s="24" t="n">
        <v>16.544939</v>
      </c>
      <c r="J577" s="24" t="n">
        <v>121.562689</v>
      </c>
      <c r="K577" s="23" t="inlineStr">
        <is>
          <t>R</t>
        </is>
      </c>
      <c r="L577" s="25" t="n">
        <v>2953</v>
      </c>
      <c r="M577" s="26" t="n">
        <v>3.9</v>
      </c>
      <c r="N577" s="25">
        <f>ROUND(L577/M577, 0)</f>
        <v/>
      </c>
      <c r="O577" s="25">
        <f>ROUND(N577*'Methodology &amp; Assumptions'!$B$7, 0)</f>
        <v/>
      </c>
      <c r="P577" s="23" t="inlineStr">
        <is>
          <t>Single Carrier (Band n50, 100MHz TDD)</t>
        </is>
      </c>
      <c r="Q577" s="27">
        <f>ROUNDUP(O577/'Methodology &amp; Assumptions'!$B$8, 0)</f>
        <v/>
      </c>
      <c r="R577" s="27" t="n">
        <v>1</v>
      </c>
      <c r="S577" s="26" t="n">
        <v>0.14</v>
      </c>
      <c r="T577" s="26" t="n">
        <v>0.15</v>
      </c>
      <c r="U577" s="11">
        <f>IF(S577&lt;='Methodology &amp; Assumptions'!$B$10, "Direct Optical Drop (&lt;3km)", IF(S577&lt;='Methodology &amp; Assumptions'!$B$9, "Near Optical / Microwave (&lt;5km)", "Starlink Business LEO Satellite Backhaul (&gt;5km)"))</f>
        <v/>
      </c>
      <c r="V577" s="26" t="n">
        <v>86.23999999999999</v>
      </c>
      <c r="W577" s="26" t="n">
        <v>32.25</v>
      </c>
      <c r="X577" s="26">
        <f>ROUND(('Methodology &amp; Assumptions'!$B$5*V577) + ('Methodology &amp; Assumptions'!$B$6*W577), 2)</f>
        <v/>
      </c>
      <c r="Y577" s="28" t="n">
        <v>8.300000000000001</v>
      </c>
      <c r="Z577" s="11" t="inlineStr">
        <is>
          <t>Priority Tier 3 (Broadband Expansion)</t>
        </is>
      </c>
    </row>
    <row r="578">
      <c r="A578" s="23" t="n">
        <v>4</v>
      </c>
      <c r="B578" s="23" t="n">
        <v>574</v>
      </c>
      <c r="C578" s="23" t="n">
        <v>3574</v>
      </c>
      <c r="D578" s="23" t="inlineStr">
        <is>
          <t>0203135026</t>
        </is>
      </c>
      <c r="E578" s="11" t="inlineStr">
        <is>
          <t>Region II (Cagayan Valley)</t>
        </is>
      </c>
      <c r="F578" s="11" t="inlineStr">
        <is>
          <t>Isabela</t>
        </is>
      </c>
      <c r="G578" s="11" t="inlineStr">
        <is>
          <t>City of Santiago</t>
        </is>
      </c>
      <c r="H578" s="11" t="inlineStr">
        <is>
          <t>Rosario</t>
        </is>
      </c>
      <c r="I578" s="24" t="n">
        <v>16.682313</v>
      </c>
      <c r="J578" s="24" t="n">
        <v>121.544843</v>
      </c>
      <c r="K578" s="23" t="inlineStr">
        <is>
          <t>U</t>
        </is>
      </c>
      <c r="L578" s="25" t="n">
        <v>12845</v>
      </c>
      <c r="M578" s="26" t="n">
        <v>3.8</v>
      </c>
      <c r="N578" s="25">
        <f>ROUND(L578/M578, 0)</f>
        <v/>
      </c>
      <c r="O578" s="25">
        <f>ROUND(N578*'Methodology &amp; Assumptions'!$B$7, 0)</f>
        <v/>
      </c>
      <c r="P578" s="23" t="inlineStr">
        <is>
          <t>Single Carrier (Band n50, 100MHz TDD)</t>
        </is>
      </c>
      <c r="Q578" s="27">
        <f>ROUNDUP(O578/'Methodology &amp; Assumptions'!$B$8, 0)</f>
        <v/>
      </c>
      <c r="R578" s="27" t="n">
        <v>1</v>
      </c>
      <c r="S578" s="26" t="n">
        <v>2.16</v>
      </c>
      <c r="T578" s="26" t="n">
        <v>0.68</v>
      </c>
      <c r="U578" s="11">
        <f>IF(S578&lt;='Methodology &amp; Assumptions'!$B$10, "Direct Optical Drop (&lt;3km)", IF(S578&lt;='Methodology &amp; Assumptions'!$B$9, "Near Optical / Microwave (&lt;5km)", "Starlink Business LEO Satellite Backhaul (&gt;5km)"))</f>
        <v/>
      </c>
      <c r="V578" s="26" t="n">
        <v>73.65000000000001</v>
      </c>
      <c r="W578" s="26" t="n">
        <v>44.84</v>
      </c>
      <c r="X578" s="26">
        <f>ROUND(('Methodology &amp; Assumptions'!$B$5*V578) + ('Methodology &amp; Assumptions'!$B$6*W578), 2)</f>
        <v/>
      </c>
      <c r="Y578" s="28" t="n">
        <v>8.300000000000001</v>
      </c>
      <c r="Z578" s="11" t="inlineStr">
        <is>
          <t>Priority Tier 3 (Broadband Expansion)</t>
        </is>
      </c>
    </row>
    <row r="579">
      <c r="A579" s="23" t="n">
        <v>4</v>
      </c>
      <c r="B579" s="23" t="n">
        <v>575</v>
      </c>
      <c r="C579" s="23" t="n">
        <v>3575</v>
      </c>
      <c r="D579" s="23" t="inlineStr">
        <is>
          <t>0403405061</t>
        </is>
      </c>
      <c r="E579" s="11" t="inlineStr">
        <is>
          <t>Region IV-A (CALABARZON)</t>
        </is>
      </c>
      <c r="F579" s="11" t="inlineStr">
        <is>
          <t>Laguna</t>
        </is>
      </c>
      <c r="G579" s="11" t="inlineStr">
        <is>
          <t>City of Calamba</t>
        </is>
      </c>
      <c r="H579" s="11" t="inlineStr">
        <is>
          <t>Batino</t>
        </is>
      </c>
      <c r="I579" s="24" t="n">
        <v>14.206346</v>
      </c>
      <c r="J579" s="24" t="n">
        <v>121.132908</v>
      </c>
      <c r="K579" s="23" t="inlineStr">
        <is>
          <t>U</t>
        </is>
      </c>
      <c r="L579" s="25" t="n">
        <v>1771</v>
      </c>
      <c r="M579" s="26" t="n">
        <v>3.3</v>
      </c>
      <c r="N579" s="25">
        <f>ROUND(L579/M579, 0)</f>
        <v/>
      </c>
      <c r="O579" s="25">
        <f>ROUND(N579*'Methodology &amp; Assumptions'!$B$7, 0)</f>
        <v/>
      </c>
      <c r="P579" s="23" t="inlineStr">
        <is>
          <t>Single Carrier (Band n50, 100MHz TDD)</t>
        </is>
      </c>
      <c r="Q579" s="27">
        <f>ROUNDUP(O579/'Methodology &amp; Assumptions'!$B$8, 0)</f>
        <v/>
      </c>
      <c r="R579" s="27" t="n">
        <v>1</v>
      </c>
      <c r="S579" s="26" t="n">
        <v>1.23</v>
      </c>
      <c r="T579" s="26" t="n">
        <v>0.73</v>
      </c>
      <c r="U579" s="11">
        <f>IF(S579&lt;='Methodology &amp; Assumptions'!$B$10, "Direct Optical Drop (&lt;3km)", IF(S579&lt;='Methodology &amp; Assumptions'!$B$9, "Near Optical / Microwave (&lt;5km)", "Starlink Business LEO Satellite Backhaul (&gt;5km)"))</f>
        <v/>
      </c>
      <c r="V579" s="26" t="n">
        <v>67.69</v>
      </c>
      <c r="W579" s="26" t="n">
        <v>50.78</v>
      </c>
      <c r="X579" s="26">
        <f>ROUND(('Methodology &amp; Assumptions'!$B$5*V579) + ('Methodology &amp; Assumptions'!$B$6*W579), 2)</f>
        <v/>
      </c>
      <c r="Y579" s="28" t="n">
        <v>7.2</v>
      </c>
      <c r="Z579" s="11" t="inlineStr">
        <is>
          <t>Priority Tier 3 (Broadband Expansion)</t>
        </is>
      </c>
    </row>
    <row r="580">
      <c r="A580" s="23" t="n">
        <v>4</v>
      </c>
      <c r="B580" s="23" t="n">
        <v>576</v>
      </c>
      <c r="C580" s="23" t="n">
        <v>3576</v>
      </c>
      <c r="D580" s="23" t="inlineStr">
        <is>
          <t>1102407019</t>
        </is>
      </c>
      <c r="E580" s="11" t="inlineStr">
        <is>
          <t>Region XI (Davao Region)</t>
        </is>
      </c>
      <c r="F580" s="11" t="inlineStr">
        <is>
          <t>Davao del Sur</t>
        </is>
      </c>
      <c r="G580" s="11" t="inlineStr">
        <is>
          <t>Magsaysay</t>
        </is>
      </c>
      <c r="H580" s="11" t="inlineStr">
        <is>
          <t>Tagaytay</t>
        </is>
      </c>
      <c r="I580" s="24" t="n">
        <v>6.770389</v>
      </c>
      <c r="J580" s="24" t="n">
        <v>125.132379</v>
      </c>
      <c r="K580" s="23" t="inlineStr">
        <is>
          <t>R</t>
        </is>
      </c>
      <c r="L580" s="25" t="n">
        <v>1685</v>
      </c>
      <c r="M580" s="26" t="n">
        <v>3.4</v>
      </c>
      <c r="N580" s="25">
        <f>ROUND(L580/M580, 0)</f>
        <v/>
      </c>
      <c r="O580" s="25">
        <f>ROUND(N580*'Methodology &amp; Assumptions'!$B$7, 0)</f>
        <v/>
      </c>
      <c r="P580" s="23" t="inlineStr">
        <is>
          <t>Single Carrier (Band n50, 100MHz TDD)</t>
        </is>
      </c>
      <c r="Q580" s="27">
        <f>ROUNDUP(O580/'Methodology &amp; Assumptions'!$B$8, 0)</f>
        <v/>
      </c>
      <c r="R580" s="27" t="n">
        <v>1</v>
      </c>
      <c r="S580" s="26" t="n">
        <v>2.87</v>
      </c>
      <c r="T580" s="26" t="n">
        <v>21.62</v>
      </c>
      <c r="U580" s="11">
        <f>IF(S580&lt;='Methodology &amp; Assumptions'!$B$10, "Direct Optical Drop (&lt;3km)", IF(S580&lt;='Methodology &amp; Assumptions'!$B$9, "Near Optical / Microwave (&lt;5km)", "Starlink Business LEO Satellite Backhaul (&gt;5km)"))</f>
        <v/>
      </c>
      <c r="V580" s="26" t="n">
        <v>65.44</v>
      </c>
      <c r="W580" s="26" t="n">
        <v>53.03</v>
      </c>
      <c r="X580" s="26">
        <f>ROUND(('Methodology &amp; Assumptions'!$B$5*V580) + ('Methodology &amp; Assumptions'!$B$6*W580), 2)</f>
        <v/>
      </c>
      <c r="Y580" s="28" t="n">
        <v>17.4</v>
      </c>
      <c r="Z580" s="11" t="inlineStr">
        <is>
          <t>Priority Tier 3 (Broadband Expansion)</t>
        </is>
      </c>
    </row>
    <row r="581">
      <c r="A581" s="23" t="n">
        <v>4</v>
      </c>
      <c r="B581" s="23" t="n">
        <v>577</v>
      </c>
      <c r="C581" s="23" t="n">
        <v>3577</v>
      </c>
      <c r="D581" s="23" t="inlineStr">
        <is>
          <t>1380606021</t>
        </is>
      </c>
      <c r="E581" s="11" t="inlineStr">
        <is>
          <t>National Capital Region (NCR)</t>
        </is>
      </c>
      <c r="F581" s="11" t="inlineStr">
        <is>
          <t>First District (Not a Province)</t>
        </is>
      </c>
      <c r="G581" s="11" t="inlineStr">
        <is>
          <t>City of Manila</t>
        </is>
      </c>
      <c r="H581" s="11" t="inlineStr">
        <is>
          <t>Barangay 415</t>
        </is>
      </c>
      <c r="I581" s="24" t="n">
        <v>14.602926</v>
      </c>
      <c r="J581" s="24" t="n">
        <v>120.993909</v>
      </c>
      <c r="K581" s="23" t="inlineStr">
        <is>
          <t>U</t>
        </is>
      </c>
      <c r="L581" s="25" t="n">
        <v>795</v>
      </c>
      <c r="M581" s="26" t="n">
        <v>3.15</v>
      </c>
      <c r="N581" s="25">
        <f>ROUND(L581/M581, 0)</f>
        <v/>
      </c>
      <c r="O581" s="25">
        <f>ROUND(N581*'Methodology &amp; Assumptions'!$B$7, 0)</f>
        <v/>
      </c>
      <c r="P581" s="23" t="inlineStr">
        <is>
          <t>Single Carrier (Band n50, 100MHz TDD)</t>
        </is>
      </c>
      <c r="Q581" s="27">
        <f>ROUNDUP(O581/'Methodology &amp; Assumptions'!$B$8, 0)</f>
        <v/>
      </c>
      <c r="R581" s="27" t="n">
        <v>1</v>
      </c>
      <c r="S581" s="26" t="n">
        <v>0.29</v>
      </c>
      <c r="T581" s="26" t="n">
        <v>0.19</v>
      </c>
      <c r="U581" s="11">
        <f>IF(S581&lt;='Methodology &amp; Assumptions'!$B$10, "Direct Optical Drop (&lt;3km)", IF(S581&lt;='Methodology &amp; Assumptions'!$B$9, "Near Optical / Microwave (&lt;5km)", "Starlink Business LEO Satellite Backhaul (&gt;5km)"))</f>
        <v/>
      </c>
      <c r="V581" s="26" t="n">
        <v>49.23</v>
      </c>
      <c r="W581" s="26" t="n">
        <v>69.25</v>
      </c>
      <c r="X581" s="26">
        <f>ROUND(('Methodology &amp; Assumptions'!$B$5*V581) + ('Methodology &amp; Assumptions'!$B$6*W581), 2)</f>
        <v/>
      </c>
      <c r="Y581" s="28" t="n">
        <v>10.9</v>
      </c>
      <c r="Z581" s="11" t="inlineStr">
        <is>
          <t>Priority Tier 3 (Broadband Expansion)</t>
        </is>
      </c>
    </row>
    <row r="582">
      <c r="A582" s="23" t="n">
        <v>4</v>
      </c>
      <c r="B582" s="23" t="n">
        <v>578</v>
      </c>
      <c r="C582" s="23" t="n">
        <v>3578</v>
      </c>
      <c r="D582" s="23" t="inlineStr">
        <is>
          <t>1381100150</t>
        </is>
      </c>
      <c r="E582" s="11" t="inlineStr">
        <is>
          <t>National Capital Region (NCR)</t>
        </is>
      </c>
      <c r="F582" s="11" t="inlineStr">
        <is>
          <t>Fourth District (Not a Province)</t>
        </is>
      </c>
      <c r="G582" s="11" t="inlineStr">
        <is>
          <t>Pasay City</t>
        </is>
      </c>
      <c r="H582" s="11" t="inlineStr">
        <is>
          <t>Barangay 150</t>
        </is>
      </c>
      <c r="I582" s="24" t="n">
        <v>14.536541</v>
      </c>
      <c r="J582" s="24" t="n">
        <v>121.004032</v>
      </c>
      <c r="K582" s="23" t="inlineStr">
        <is>
          <t>U</t>
        </is>
      </c>
      <c r="L582" s="25" t="n">
        <v>736</v>
      </c>
      <c r="M582" s="26" t="n">
        <v>3</v>
      </c>
      <c r="N582" s="25">
        <f>ROUND(L582/M582, 0)</f>
        <v/>
      </c>
      <c r="O582" s="25">
        <f>ROUND(N582*'Methodology &amp; Assumptions'!$B$7, 0)</f>
        <v/>
      </c>
      <c r="P582" s="23" t="inlineStr">
        <is>
          <t>Single Carrier (Band n50, 100MHz TDD)</t>
        </is>
      </c>
      <c r="Q582" s="27">
        <f>ROUNDUP(O582/'Methodology &amp; Assumptions'!$B$8, 0)</f>
        <v/>
      </c>
      <c r="R582" s="27" t="n">
        <v>1</v>
      </c>
      <c r="S582" s="26" t="n">
        <v>1.21</v>
      </c>
      <c r="T582" s="26" t="n">
        <v>0.13</v>
      </c>
      <c r="U582" s="11">
        <f>IF(S582&lt;='Methodology &amp; Assumptions'!$B$10, "Direct Optical Drop (&lt;3km)", IF(S582&lt;='Methodology &amp; Assumptions'!$B$9, "Near Optical / Microwave (&lt;5km)", "Starlink Business LEO Satellite Backhaul (&gt;5km)"))</f>
        <v/>
      </c>
      <c r="V582" s="26" t="n">
        <v>47.59</v>
      </c>
      <c r="W582" s="26" t="n">
        <v>70.89</v>
      </c>
      <c r="X582" s="26">
        <f>ROUND(('Methodology &amp; Assumptions'!$B$5*V582) + ('Methodology &amp; Assumptions'!$B$6*W582), 2)</f>
        <v/>
      </c>
      <c r="Y582" s="28" t="n">
        <v>10.9</v>
      </c>
      <c r="Z582" s="11" t="inlineStr">
        <is>
          <t>Priority Tier 3 (Broadband Expansion)</t>
        </is>
      </c>
    </row>
    <row r="583">
      <c r="A583" s="23" t="n">
        <v>4</v>
      </c>
      <c r="B583" s="23" t="n">
        <v>579</v>
      </c>
      <c r="C583" s="23" t="n">
        <v>3579</v>
      </c>
      <c r="D583" s="23" t="inlineStr">
        <is>
          <t>0802615015</t>
        </is>
      </c>
      <c r="E583" s="11" t="inlineStr">
        <is>
          <t>Region VIII (Eastern Visayas)</t>
        </is>
      </c>
      <c r="F583" s="11" t="inlineStr">
        <is>
          <t>Eastern Samar</t>
        </is>
      </c>
      <c r="G583" s="11" t="inlineStr">
        <is>
          <t>Maydolong</t>
        </is>
      </c>
      <c r="H583" s="11" t="inlineStr">
        <is>
          <t>Barangay Poblacion 3</t>
        </is>
      </c>
      <c r="I583" s="24" t="n">
        <v>11.490668</v>
      </c>
      <c r="J583" s="24" t="n">
        <v>125.46381</v>
      </c>
      <c r="K583" s="23" t="inlineStr">
        <is>
          <t>R</t>
        </is>
      </c>
      <c r="L583" s="25" t="n">
        <v>988</v>
      </c>
      <c r="M583" s="26" t="n">
        <v>3.9</v>
      </c>
      <c r="N583" s="25">
        <f>ROUND(L583/M583, 0)</f>
        <v/>
      </c>
      <c r="O583" s="25">
        <f>ROUND(N583*'Methodology &amp; Assumptions'!$B$7, 0)</f>
        <v/>
      </c>
      <c r="P583" s="23" t="inlineStr">
        <is>
          <t>Single Carrier (Band n50, 100MHz TDD)</t>
        </is>
      </c>
      <c r="Q583" s="27">
        <f>ROUNDUP(O583/'Methodology &amp; Assumptions'!$B$8, 0)</f>
        <v/>
      </c>
      <c r="R583" s="27" t="n">
        <v>1</v>
      </c>
      <c r="S583" s="26" t="n">
        <v>57.52</v>
      </c>
      <c r="T583" s="26" t="n">
        <v>57.82</v>
      </c>
      <c r="U583" s="11">
        <f>IF(S583&lt;='Methodology &amp; Assumptions'!$B$10, "Direct Optical Drop (&lt;3km)", IF(S583&lt;='Methodology &amp; Assumptions'!$B$9, "Near Optical / Microwave (&lt;5km)", "Starlink Business LEO Satellite Backhaul (&gt;5km)"))</f>
        <v/>
      </c>
      <c r="V583" s="26" t="n">
        <v>43.91</v>
      </c>
      <c r="W583" s="26" t="n">
        <v>74.56</v>
      </c>
      <c r="X583" s="26">
        <f>ROUND(('Methodology &amp; Assumptions'!$B$5*V583) + ('Methodology &amp; Assumptions'!$B$6*W583), 2)</f>
        <v/>
      </c>
      <c r="Y583" s="28" t="n">
        <v>23.7</v>
      </c>
      <c r="Z583" s="11" t="inlineStr">
        <is>
          <t>Priority Tier 3 (Broadband Expansion)</t>
        </is>
      </c>
    </row>
    <row r="584">
      <c r="A584" s="23" t="n">
        <v>4</v>
      </c>
      <c r="B584" s="23" t="n">
        <v>580</v>
      </c>
      <c r="C584" s="23" t="n">
        <v>3580</v>
      </c>
      <c r="D584" s="23" t="inlineStr">
        <is>
          <t>0301406008</t>
        </is>
      </c>
      <c r="E584" s="11" t="inlineStr">
        <is>
          <t>Region III (Central Luzon)</t>
        </is>
      </c>
      <c r="F584" s="11" t="inlineStr">
        <is>
          <t>Bulacan</t>
        </is>
      </c>
      <c r="G584" s="11" t="inlineStr">
        <is>
          <t>Bustos</t>
        </is>
      </c>
      <c r="H584" s="11" t="inlineStr">
        <is>
          <t>Malamig</t>
        </is>
      </c>
      <c r="I584" s="24" t="n">
        <v>14.942013</v>
      </c>
      <c r="J584" s="24" t="n">
        <v>120.926798</v>
      </c>
      <c r="K584" s="23" t="inlineStr">
        <is>
          <t>U</t>
        </is>
      </c>
      <c r="L584" s="25" t="n">
        <v>8005</v>
      </c>
      <c r="M584" s="26" t="n">
        <v>3.5</v>
      </c>
      <c r="N584" s="25">
        <f>ROUND(L584/M584, 0)</f>
        <v/>
      </c>
      <c r="O584" s="25">
        <f>ROUND(N584*'Methodology &amp; Assumptions'!$B$7, 0)</f>
        <v/>
      </c>
      <c r="P584" s="23" t="inlineStr">
        <is>
          <t>Single Carrier (Band n50, 100MHz TDD)</t>
        </is>
      </c>
      <c r="Q584" s="27">
        <f>ROUNDUP(O584/'Methodology &amp; Assumptions'!$B$8, 0)</f>
        <v/>
      </c>
      <c r="R584" s="27" t="n">
        <v>1</v>
      </c>
      <c r="S584" s="26" t="n">
        <v>1.51</v>
      </c>
      <c r="T584" s="26" t="n">
        <v>0.04</v>
      </c>
      <c r="U584" s="11">
        <f>IF(S584&lt;='Methodology &amp; Assumptions'!$B$10, "Direct Optical Drop (&lt;3km)", IF(S584&lt;='Methodology &amp; Assumptions'!$B$9, "Near Optical / Microwave (&lt;5km)", "Starlink Business LEO Satellite Backhaul (&gt;5km)"))</f>
        <v/>
      </c>
      <c r="V584" s="26" t="n">
        <v>75.90000000000001</v>
      </c>
      <c r="W584" s="26" t="n">
        <v>42.56</v>
      </c>
      <c r="X584" s="26">
        <f>ROUND(('Methodology &amp; Assumptions'!$B$5*V584) + ('Methodology &amp; Assumptions'!$B$6*W584), 2)</f>
        <v/>
      </c>
      <c r="Y584" s="28" t="n">
        <v>8.300000000000001</v>
      </c>
      <c r="Z584" s="11" t="inlineStr">
        <is>
          <t>Priority Tier 3 (Broadband Expansion)</t>
        </is>
      </c>
    </row>
    <row r="585">
      <c r="A585" s="23" t="n">
        <v>4</v>
      </c>
      <c r="B585" s="23" t="n">
        <v>581</v>
      </c>
      <c r="C585" s="23" t="n">
        <v>3581</v>
      </c>
      <c r="D585" s="23" t="inlineStr">
        <is>
          <t>1401110003</t>
        </is>
      </c>
      <c r="E585" s="11" t="inlineStr">
        <is>
          <t>Cordillera Administrative Region (CAR)</t>
        </is>
      </c>
      <c r="F585" s="11" t="inlineStr">
        <is>
          <t>Benguet</t>
        </is>
      </c>
      <c r="G585" s="11" t="inlineStr">
        <is>
          <t>La Trinidad</t>
        </is>
      </c>
      <c r="H585" s="11" t="inlineStr">
        <is>
          <t>Ambiong</t>
        </is>
      </c>
      <c r="I585" s="24" t="n">
        <v>16.4339</v>
      </c>
      <c r="J585" s="24" t="n">
        <v>120.60634</v>
      </c>
      <c r="K585" s="23" t="inlineStr">
        <is>
          <t>U</t>
        </is>
      </c>
      <c r="L585" s="25" t="n">
        <v>8567</v>
      </c>
      <c r="M585" s="26" t="n">
        <v>3.5</v>
      </c>
      <c r="N585" s="25">
        <f>ROUND(L585/M585, 0)</f>
        <v/>
      </c>
      <c r="O585" s="25">
        <f>ROUND(N585*'Methodology &amp; Assumptions'!$B$7, 0)</f>
        <v/>
      </c>
      <c r="P585" s="23" t="inlineStr">
        <is>
          <t>Single Carrier (Band n50, 100MHz TDD)</t>
        </is>
      </c>
      <c r="Q585" s="27">
        <f>ROUNDUP(O585/'Methodology &amp; Assumptions'!$B$8, 0)</f>
        <v/>
      </c>
      <c r="R585" s="27" t="n">
        <v>1</v>
      </c>
      <c r="S585" s="26" t="n">
        <v>1.63</v>
      </c>
      <c r="T585" s="26" t="n">
        <v>1.85</v>
      </c>
      <c r="U585" s="11">
        <f>IF(S585&lt;='Methodology &amp; Assumptions'!$B$10, "Direct Optical Drop (&lt;3km)", IF(S585&lt;='Methodology &amp; Assumptions'!$B$9, "Near Optical / Microwave (&lt;5km)", "Starlink Business LEO Satellite Backhaul (&gt;5km)"))</f>
        <v/>
      </c>
      <c r="V585" s="26" t="n">
        <v>75.88</v>
      </c>
      <c r="W585" s="26" t="n">
        <v>42.59</v>
      </c>
      <c r="X585" s="26">
        <f>ROUND(('Methodology &amp; Assumptions'!$B$5*V585) + ('Methodology &amp; Assumptions'!$B$6*W585), 2)</f>
        <v/>
      </c>
      <c r="Y585" s="28" t="n">
        <v>10.9</v>
      </c>
      <c r="Z585" s="11" t="inlineStr">
        <is>
          <t>Priority Tier 3 (Broadband Expansion)</t>
        </is>
      </c>
    </row>
    <row r="586">
      <c r="A586" s="23" t="n">
        <v>4</v>
      </c>
      <c r="B586" s="23" t="n">
        <v>582</v>
      </c>
      <c r="C586" s="23" t="n">
        <v>3582</v>
      </c>
      <c r="D586" s="23" t="inlineStr">
        <is>
          <t>0304928037</t>
        </is>
      </c>
      <c r="E586" s="11" t="inlineStr">
        <is>
          <t>Region III (Central Luzon)</t>
        </is>
      </c>
      <c r="F586" s="11" t="inlineStr">
        <is>
          <t>Nueva Ecija</t>
        </is>
      </c>
      <c r="G586" s="11" t="inlineStr">
        <is>
          <t>Santa Rosa</t>
        </is>
      </c>
      <c r="H586" s="11" t="inlineStr">
        <is>
          <t>Tramo</t>
        </is>
      </c>
      <c r="I586" s="24" t="n">
        <v>15.436597</v>
      </c>
      <c r="J586" s="24" t="n">
        <v>120.943167</v>
      </c>
      <c r="K586" s="23" t="inlineStr">
        <is>
          <t>R</t>
        </is>
      </c>
      <c r="L586" s="25" t="n">
        <v>1689</v>
      </c>
      <c r="M586" s="26" t="n">
        <v>3.5</v>
      </c>
      <c r="N586" s="25">
        <f>ROUND(L586/M586, 0)</f>
        <v/>
      </c>
      <c r="O586" s="25">
        <f>ROUND(N586*'Methodology &amp; Assumptions'!$B$7, 0)</f>
        <v/>
      </c>
      <c r="P586" s="23" t="inlineStr">
        <is>
          <t>Single Carrier (Band n50, 100MHz TDD)</t>
        </is>
      </c>
      <c r="Q586" s="27">
        <f>ROUNDUP(O586/'Methodology &amp; Assumptions'!$B$8, 0)</f>
        <v/>
      </c>
      <c r="R586" s="27" t="n">
        <v>1</v>
      </c>
      <c r="S586" s="26" t="n">
        <v>1.17</v>
      </c>
      <c r="T586" s="26" t="n">
        <v>0.26</v>
      </c>
      <c r="U586" s="11">
        <f>IF(S586&lt;='Methodology &amp; Assumptions'!$B$10, "Direct Optical Drop (&lt;3km)", IF(S586&lt;='Methodology &amp; Assumptions'!$B$9, "Near Optical / Microwave (&lt;5km)", "Starlink Business LEO Satellite Backhaul (&gt;5km)"))</f>
        <v/>
      </c>
      <c r="V586" s="26" t="n">
        <v>73.45</v>
      </c>
      <c r="W586" s="26" t="n">
        <v>45</v>
      </c>
      <c r="X586" s="26">
        <f>ROUND(('Methodology &amp; Assumptions'!$B$5*V586) + ('Methodology &amp; Assumptions'!$B$6*W586), 2)</f>
        <v/>
      </c>
      <c r="Y586" s="28" t="n">
        <v>8.300000000000001</v>
      </c>
      <c r="Z586" s="11" t="inlineStr">
        <is>
          <t>Priority Tier 3 (Broadband Expansion)</t>
        </is>
      </c>
    </row>
    <row r="587">
      <c r="A587" s="23" t="n">
        <v>4</v>
      </c>
      <c r="B587" s="23" t="n">
        <v>583</v>
      </c>
      <c r="C587" s="23" t="n">
        <v>3583</v>
      </c>
      <c r="D587" s="23" t="inlineStr">
        <is>
          <t>1204712046</t>
        </is>
      </c>
      <c r="E587" s="11" t="inlineStr">
        <is>
          <t>Region XII (SOCCSKSARGEN)</t>
        </is>
      </c>
      <c r="F587" s="11" t="inlineStr">
        <is>
          <t>Cotabato</t>
        </is>
      </c>
      <c r="G587" s="11" t="inlineStr">
        <is>
          <t>Pikit</t>
        </is>
      </c>
      <c r="H587" s="11" t="inlineStr">
        <is>
          <t>Paidu Pulangi</t>
        </is>
      </c>
      <c r="I587" s="24" t="n">
        <v>7.022619</v>
      </c>
      <c r="J587" s="24" t="n">
        <v>124.569924</v>
      </c>
      <c r="K587" s="23" t="inlineStr">
        <is>
          <t>R</t>
        </is>
      </c>
      <c r="L587" s="25" t="n">
        <v>3801</v>
      </c>
      <c r="M587" s="26" t="n">
        <v>3.8</v>
      </c>
      <c r="N587" s="25">
        <f>ROUND(L587/M587, 0)</f>
        <v/>
      </c>
      <c r="O587" s="25">
        <f>ROUND(N587*'Methodology &amp; Assumptions'!$B$7, 0)</f>
        <v/>
      </c>
      <c r="P587" s="23" t="inlineStr">
        <is>
          <t>Single Carrier (Band n50, 100MHz TDD)</t>
        </is>
      </c>
      <c r="Q587" s="27">
        <f>ROUNDUP(O587/'Methodology &amp; Assumptions'!$B$8, 0)</f>
        <v/>
      </c>
      <c r="R587" s="27" t="n">
        <v>1</v>
      </c>
      <c r="S587" s="26" t="n">
        <v>32.05</v>
      </c>
      <c r="T587" s="26" t="n">
        <v>28.09</v>
      </c>
      <c r="U587" s="11">
        <f>IF(S587&lt;='Methodology &amp; Assumptions'!$B$10, "Direct Optical Drop (&lt;3km)", IF(S587&lt;='Methodology &amp; Assumptions'!$B$9, "Near Optical / Microwave (&lt;5km)", "Starlink Business LEO Satellite Backhaul (&gt;5km)"))</f>
        <v/>
      </c>
      <c r="V587" s="26" t="n">
        <v>61.82</v>
      </c>
      <c r="W587" s="26" t="n">
        <v>56.64</v>
      </c>
      <c r="X587" s="26">
        <f>ROUND(('Methodology &amp; Assumptions'!$B$5*V587) + ('Methodology &amp; Assumptions'!$B$6*W587), 2)</f>
        <v/>
      </c>
      <c r="Y587" s="28" t="n">
        <v>17.4</v>
      </c>
      <c r="Z587" s="11" t="inlineStr">
        <is>
          <t>Priority Tier 3 (Broadband Expansion)</t>
        </is>
      </c>
    </row>
    <row r="588">
      <c r="A588" s="23" t="n">
        <v>4</v>
      </c>
      <c r="B588" s="23" t="n">
        <v>584</v>
      </c>
      <c r="C588" s="23" t="n">
        <v>3584</v>
      </c>
      <c r="D588" s="23" t="inlineStr">
        <is>
          <t>0201508023</t>
        </is>
      </c>
      <c r="E588" s="11" t="inlineStr">
        <is>
          <t>Region II (Cagayan Valley)</t>
        </is>
      </c>
      <c r="F588" s="11" t="inlineStr">
        <is>
          <t>Cagayan</t>
        </is>
      </c>
      <c r="G588" s="11" t="inlineStr">
        <is>
          <t>Buguey</t>
        </is>
      </c>
      <c r="H588" s="11" t="inlineStr">
        <is>
          <t>Tabbac</t>
        </is>
      </c>
      <c r="I588" s="24" t="n">
        <v>18.229836</v>
      </c>
      <c r="J588" s="24" t="n">
        <v>121.798743</v>
      </c>
      <c r="K588" s="23" t="inlineStr">
        <is>
          <t>R</t>
        </is>
      </c>
      <c r="L588" s="25" t="n">
        <v>1146</v>
      </c>
      <c r="M588" s="26" t="n">
        <v>3.9</v>
      </c>
      <c r="N588" s="25">
        <f>ROUND(L588/M588, 0)</f>
        <v/>
      </c>
      <c r="O588" s="25">
        <f>ROUND(N588*'Methodology &amp; Assumptions'!$B$7, 0)</f>
        <v/>
      </c>
      <c r="P588" s="23" t="inlineStr">
        <is>
          <t>Single Carrier (Band n50, 100MHz TDD)</t>
        </is>
      </c>
      <c r="Q588" s="27">
        <f>ROUNDUP(O588/'Methodology &amp; Assumptions'!$B$8, 0)</f>
        <v/>
      </c>
      <c r="R588" s="27" t="n">
        <v>1</v>
      </c>
      <c r="S588" s="26" t="n">
        <v>2.93</v>
      </c>
      <c r="T588" s="26" t="n">
        <v>2.47</v>
      </c>
      <c r="U588" s="11">
        <f>IF(S588&lt;='Methodology &amp; Assumptions'!$B$10, "Direct Optical Drop (&lt;3km)", IF(S588&lt;='Methodology &amp; Assumptions'!$B$9, "Near Optical / Microwave (&lt;5km)", "Starlink Business LEO Satellite Backhaul (&gt;5km)"))</f>
        <v/>
      </c>
      <c r="V588" s="26" t="n">
        <v>57.83</v>
      </c>
      <c r="W588" s="26" t="n">
        <v>60.63</v>
      </c>
      <c r="X588" s="26">
        <f>ROUND(('Methodology &amp; Assumptions'!$B$5*V588) + ('Methodology &amp; Assumptions'!$B$6*W588), 2)</f>
        <v/>
      </c>
      <c r="Y588" s="28" t="n">
        <v>8.300000000000001</v>
      </c>
      <c r="Z588" s="11" t="inlineStr">
        <is>
          <t>Priority Tier 3 (Broadband Expansion)</t>
        </is>
      </c>
    </row>
    <row r="589">
      <c r="A589" s="23" t="n">
        <v>4</v>
      </c>
      <c r="B589" s="23" t="n">
        <v>585</v>
      </c>
      <c r="C589" s="23" t="n">
        <v>3585</v>
      </c>
      <c r="D589" s="23" t="inlineStr">
        <is>
          <t>1380601088</t>
        </is>
      </c>
      <c r="E589" s="11" t="inlineStr">
        <is>
          <t>National Capital Region (NCR)</t>
        </is>
      </c>
      <c r="F589" s="11" t="inlineStr">
        <is>
          <t>First District (Not a Province)</t>
        </is>
      </c>
      <c r="G589" s="11" t="inlineStr">
        <is>
          <t>City of Manila</t>
        </is>
      </c>
      <c r="H589" s="11" t="inlineStr">
        <is>
          <t>Barangay 88</t>
        </is>
      </c>
      <c r="I589" s="24" t="n">
        <v>14.615325</v>
      </c>
      <c r="J589" s="24" t="n">
        <v>120.969068</v>
      </c>
      <c r="K589" s="23" t="inlineStr">
        <is>
          <t>U</t>
        </is>
      </c>
      <c r="L589" s="25" t="n">
        <v>1052</v>
      </c>
      <c r="M589" s="26" t="n">
        <v>4.85</v>
      </c>
      <c r="N589" s="25">
        <f>ROUND(L589/M589, 0)</f>
        <v/>
      </c>
      <c r="O589" s="25">
        <f>ROUND(N589*'Methodology &amp; Assumptions'!$B$7, 0)</f>
        <v/>
      </c>
      <c r="P589" s="23" t="inlineStr">
        <is>
          <t>Single Carrier (Band n50, 100MHz TDD)</t>
        </is>
      </c>
      <c r="Q589" s="27">
        <f>ROUNDUP(O589/'Methodology &amp; Assumptions'!$B$8, 0)</f>
        <v/>
      </c>
      <c r="R589" s="27" t="n">
        <v>1</v>
      </c>
      <c r="S589" s="26" t="n">
        <v>0.74</v>
      </c>
      <c r="T589" s="26" t="n">
        <v>0.26</v>
      </c>
      <c r="U589" s="11">
        <f>IF(S589&lt;='Methodology &amp; Assumptions'!$B$10, "Direct Optical Drop (&lt;3km)", IF(S589&lt;='Methodology &amp; Assumptions'!$B$9, "Near Optical / Microwave (&lt;5km)", "Starlink Business LEO Satellite Backhaul (&gt;5km)"))</f>
        <v/>
      </c>
      <c r="V589" s="26" t="n">
        <v>48.05</v>
      </c>
      <c r="W589" s="26" t="n">
        <v>70.40000000000001</v>
      </c>
      <c r="X589" s="26">
        <f>ROUND(('Methodology &amp; Assumptions'!$B$5*V589) + ('Methodology &amp; Assumptions'!$B$6*W589), 2)</f>
        <v/>
      </c>
      <c r="Y589" s="28" t="n">
        <v>10.9</v>
      </c>
      <c r="Z589" s="11" t="inlineStr">
        <is>
          <t>Priority Tier 3 (Broadband Expansion)</t>
        </is>
      </c>
    </row>
    <row r="590">
      <c r="A590" s="23" t="n">
        <v>4</v>
      </c>
      <c r="B590" s="23" t="n">
        <v>586</v>
      </c>
      <c r="C590" s="23" t="n">
        <v>3586</v>
      </c>
      <c r="D590" s="23" t="inlineStr">
        <is>
          <t>1003511014</t>
        </is>
      </c>
      <c r="E590" s="11" t="inlineStr">
        <is>
          <t>Region X (Northern Mindanao)</t>
        </is>
      </c>
      <c r="F590" s="11" t="inlineStr">
        <is>
          <t>Lanao del Norte</t>
        </is>
      </c>
      <c r="G590" s="11" t="inlineStr">
        <is>
          <t>Magsaysay</t>
        </is>
      </c>
      <c r="H590" s="11" t="inlineStr">
        <is>
          <t>Pelingkingan</t>
        </is>
      </c>
      <c r="I590" s="24" t="n">
        <v>7.9816</v>
      </c>
      <c r="J590" s="24" t="n">
        <v>123.9865</v>
      </c>
      <c r="K590" s="23" t="inlineStr">
        <is>
          <t>R</t>
        </is>
      </c>
      <c r="L590" s="25" t="n">
        <v>1040</v>
      </c>
      <c r="M590" s="26" t="n">
        <v>4.2</v>
      </c>
      <c r="N590" s="25">
        <f>ROUND(L590/M590, 0)</f>
        <v/>
      </c>
      <c r="O590" s="25">
        <f>ROUND(N590*'Methodology &amp; Assumptions'!$B$7, 0)</f>
        <v/>
      </c>
      <c r="P590" s="23" t="inlineStr">
        <is>
          <t>Single Carrier (Band n50, 100MHz TDD)</t>
        </is>
      </c>
      <c r="Q590" s="27">
        <f>ROUNDUP(O590/'Methodology &amp; Assumptions'!$B$8, 0)</f>
        <v/>
      </c>
      <c r="R590" s="27" t="n">
        <v>1</v>
      </c>
      <c r="S590" s="26" t="n">
        <v>21.73</v>
      </c>
      <c r="T590" s="26" t="n">
        <v>17.49</v>
      </c>
      <c r="U590" s="11">
        <f>IF(S590&lt;='Methodology &amp; Assumptions'!$B$10, "Direct Optical Drop (&lt;3km)", IF(S590&lt;='Methodology &amp; Assumptions'!$B$9, "Near Optical / Microwave (&lt;5km)", "Starlink Business LEO Satellite Backhaul (&gt;5km)"))</f>
        <v/>
      </c>
      <c r="V590" s="26" t="n">
        <v>42.93</v>
      </c>
      <c r="W590" s="26" t="n">
        <v>75.54000000000001</v>
      </c>
      <c r="X590" s="26">
        <f>ROUND(('Methodology &amp; Assumptions'!$B$5*V590) + ('Methodology &amp; Assumptions'!$B$6*W590), 2)</f>
        <v/>
      </c>
      <c r="Y590" s="28" t="n">
        <v>17.4</v>
      </c>
      <c r="Z590" s="11" t="inlineStr">
        <is>
          <t>Priority Tier 3 (Broadband Expansion)</t>
        </is>
      </c>
    </row>
    <row r="591">
      <c r="A591" s="23" t="n">
        <v>4</v>
      </c>
      <c r="B591" s="23" t="n">
        <v>587</v>
      </c>
      <c r="C591" s="23" t="n">
        <v>3587</v>
      </c>
      <c r="D591" s="23" t="inlineStr">
        <is>
          <t>0500503048</t>
        </is>
      </c>
      <c r="E591" s="11" t="inlineStr">
        <is>
          <t>Region V (Bicol Region)</t>
        </is>
      </c>
      <c r="F591" s="11" t="inlineStr">
        <is>
          <t>Albay</t>
        </is>
      </c>
      <c r="G591" s="11" t="inlineStr">
        <is>
          <t>Daraga</t>
        </is>
      </c>
      <c r="H591" s="11" t="inlineStr">
        <is>
          <t>San Roque</t>
        </is>
      </c>
      <c r="I591" s="24" t="n">
        <v>13.149134</v>
      </c>
      <c r="J591" s="24" t="n">
        <v>123.711515</v>
      </c>
      <c r="K591" s="23" t="inlineStr">
        <is>
          <t>U</t>
        </is>
      </c>
      <c r="L591" s="25" t="n">
        <v>4360</v>
      </c>
      <c r="M591" s="26" t="n">
        <v>4.1</v>
      </c>
      <c r="N591" s="25">
        <f>ROUND(L591/M591, 0)</f>
        <v/>
      </c>
      <c r="O591" s="25">
        <f>ROUND(N591*'Methodology &amp; Assumptions'!$B$7, 0)</f>
        <v/>
      </c>
      <c r="P591" s="23" t="inlineStr">
        <is>
          <t>Single Carrier (Band n50, 100MHz TDD)</t>
        </is>
      </c>
      <c r="Q591" s="27">
        <f>ROUNDUP(O591/'Methodology &amp; Assumptions'!$B$8, 0)</f>
        <v/>
      </c>
      <c r="R591" s="27" t="n">
        <v>1</v>
      </c>
      <c r="S591" s="26" t="n">
        <v>0.22</v>
      </c>
      <c r="T591" s="26" t="n">
        <v>0.08</v>
      </c>
      <c r="U591" s="11">
        <f>IF(S591&lt;='Methodology &amp; Assumptions'!$B$10, "Direct Optical Drop (&lt;3km)", IF(S591&lt;='Methodology &amp; Assumptions'!$B$9, "Near Optical / Microwave (&lt;5km)", "Starlink Business LEO Satellite Backhaul (&gt;5km)"))</f>
        <v/>
      </c>
      <c r="V591" s="26" t="n">
        <v>80.86</v>
      </c>
      <c r="W591" s="26" t="n">
        <v>37.58</v>
      </c>
      <c r="X591" s="26">
        <f>ROUND(('Methodology &amp; Assumptions'!$B$5*V591) + ('Methodology &amp; Assumptions'!$B$6*W591), 2)</f>
        <v/>
      </c>
      <c r="Y591" s="28" t="n">
        <v>23.7</v>
      </c>
      <c r="Z591" s="11" t="inlineStr">
        <is>
          <t>Priority Tier 3 (Broadband Expansion)</t>
        </is>
      </c>
    </row>
    <row r="592">
      <c r="A592" s="23" t="n">
        <v>4</v>
      </c>
      <c r="B592" s="23" t="n">
        <v>588</v>
      </c>
      <c r="C592" s="23" t="n">
        <v>3588</v>
      </c>
      <c r="D592" s="23" t="inlineStr">
        <is>
          <t>0405610009</t>
        </is>
      </c>
      <c r="E592" s="11" t="inlineStr">
        <is>
          <t>Region IV-A (CALABARZON)</t>
        </is>
      </c>
      <c r="F592" s="11" t="inlineStr">
        <is>
          <t>Quezon</t>
        </is>
      </c>
      <c r="G592" s="11" t="inlineStr">
        <is>
          <t>Catanauan</t>
        </is>
      </c>
      <c r="H592" s="11" t="inlineStr">
        <is>
          <t>Barangay 7</t>
        </is>
      </c>
      <c r="I592" s="24" t="n">
        <v>13.591281</v>
      </c>
      <c r="J592" s="24" t="n">
        <v>122.322838</v>
      </c>
      <c r="K592" s="23" t="inlineStr">
        <is>
          <t>R</t>
        </is>
      </c>
      <c r="L592" s="25" t="n">
        <v>2239</v>
      </c>
      <c r="M592" s="26" t="n">
        <v>3.8</v>
      </c>
      <c r="N592" s="25">
        <f>ROUND(L592/M592, 0)</f>
        <v/>
      </c>
      <c r="O592" s="25">
        <f>ROUND(N592*'Methodology &amp; Assumptions'!$B$7, 0)</f>
        <v/>
      </c>
      <c r="P592" s="23" t="inlineStr">
        <is>
          <t>Single Carrier (Band n50, 100MHz TDD)</t>
        </is>
      </c>
      <c r="Q592" s="27">
        <f>ROUNDUP(O592/'Methodology &amp; Assumptions'!$B$8, 0)</f>
        <v/>
      </c>
      <c r="R592" s="27" t="n">
        <v>1</v>
      </c>
      <c r="S592" s="26" t="n">
        <v>0.84</v>
      </c>
      <c r="T592" s="26" t="n">
        <v>0.51</v>
      </c>
      <c r="U592" s="11">
        <f>IF(S592&lt;='Methodology &amp; Assumptions'!$B$10, "Direct Optical Drop (&lt;3km)", IF(S592&lt;='Methodology &amp; Assumptions'!$B$9, "Near Optical / Microwave (&lt;5km)", "Starlink Business LEO Satellite Backhaul (&gt;5km)"))</f>
        <v/>
      </c>
      <c r="V592" s="26" t="n">
        <v>78.11</v>
      </c>
      <c r="W592" s="26" t="n">
        <v>40.33</v>
      </c>
      <c r="X592" s="26">
        <f>ROUND(('Methodology &amp; Assumptions'!$B$5*V592) + ('Methodology &amp; Assumptions'!$B$6*W592), 2)</f>
        <v/>
      </c>
      <c r="Y592" s="28" t="n">
        <v>7.2</v>
      </c>
      <c r="Z592" s="11" t="inlineStr">
        <is>
          <t>Priority Tier 3 (Broadband Expansion)</t>
        </is>
      </c>
    </row>
    <row r="593">
      <c r="A593" s="23" t="n">
        <v>4</v>
      </c>
      <c r="B593" s="23" t="n">
        <v>589</v>
      </c>
      <c r="C593" s="23" t="n">
        <v>3589</v>
      </c>
      <c r="D593" s="23" t="inlineStr">
        <is>
          <t>0103314031</t>
        </is>
      </c>
      <c r="E593" s="11" t="inlineStr">
        <is>
          <t>Region I (Ilocos Region)</t>
        </is>
      </c>
      <c r="F593" s="11" t="inlineStr">
        <is>
          <t>La Union</t>
        </is>
      </c>
      <c r="G593" s="11" t="inlineStr">
        <is>
          <t>City of San Fernando</t>
        </is>
      </c>
      <c r="H593" s="11" t="inlineStr">
        <is>
          <t>Madayegdeg</t>
        </is>
      </c>
      <c r="I593" s="24" t="n">
        <v>16.599322</v>
      </c>
      <c r="J593" s="24" t="n">
        <v>120.314907</v>
      </c>
      <c r="K593" s="23" t="inlineStr">
        <is>
          <t>U</t>
        </is>
      </c>
      <c r="L593" s="25" t="n">
        <v>1735</v>
      </c>
      <c r="M593" s="26" t="n">
        <v>3.7</v>
      </c>
      <c r="N593" s="25">
        <f>ROUND(L593/M593, 0)</f>
        <v/>
      </c>
      <c r="O593" s="25">
        <f>ROUND(N593*'Methodology &amp; Assumptions'!$B$7, 0)</f>
        <v/>
      </c>
      <c r="P593" s="23" t="inlineStr">
        <is>
          <t>Single Carrier (Band n50, 100MHz TDD)</t>
        </is>
      </c>
      <c r="Q593" s="27">
        <f>ROUNDUP(O593/'Methodology &amp; Assumptions'!$B$8, 0)</f>
        <v/>
      </c>
      <c r="R593" s="27" t="n">
        <v>1</v>
      </c>
      <c r="S593" s="26" t="n">
        <v>0.5600000000000001</v>
      </c>
      <c r="T593" s="26" t="n">
        <v>0.13</v>
      </c>
      <c r="U593" s="11">
        <f>IF(S593&lt;='Methodology &amp; Assumptions'!$B$10, "Direct Optical Drop (&lt;3km)", IF(S593&lt;='Methodology &amp; Assumptions'!$B$9, "Near Optical / Microwave (&lt;5km)", "Starlink Business LEO Satellite Backhaul (&gt;5km)"))</f>
        <v/>
      </c>
      <c r="V593" s="26" t="n">
        <v>67.09999999999999</v>
      </c>
      <c r="W593" s="26" t="n">
        <v>51.34</v>
      </c>
      <c r="X593" s="26">
        <f>ROUND(('Methodology &amp; Assumptions'!$B$5*V593) + ('Methodology &amp; Assumptions'!$B$6*W593), 2)</f>
        <v/>
      </c>
      <c r="Y593" s="28" t="n">
        <v>8.300000000000001</v>
      </c>
      <c r="Z593" s="11" t="inlineStr">
        <is>
          <t>Priority Tier 3 (Broadband Expansion)</t>
        </is>
      </c>
    </row>
    <row r="594">
      <c r="A594" s="23" t="n">
        <v>4</v>
      </c>
      <c r="B594" s="23" t="n">
        <v>590</v>
      </c>
      <c r="C594" s="23" t="n">
        <v>3590</v>
      </c>
      <c r="D594" s="23" t="inlineStr">
        <is>
          <t>1908804007</t>
        </is>
      </c>
      <c r="E594" s="11" t="inlineStr">
        <is>
          <t>Bangsamoro Autonomous Region In Muslim Mindanao (BARMM)</t>
        </is>
      </c>
      <c r="F594" s="11" t="inlineStr">
        <is>
          <t>Maguindanao del Sur</t>
        </is>
      </c>
      <c r="G594" s="11" t="inlineStr">
        <is>
          <t>Datu Anggal Midtimbang</t>
        </is>
      </c>
      <c r="H594" s="11" t="inlineStr">
        <is>
          <t>Tulunan</t>
        </is>
      </c>
      <c r="I594" s="24" t="n">
        <v>6.933333</v>
      </c>
      <c r="J594" s="24" t="n">
        <v>124.333333</v>
      </c>
      <c r="K594" s="23" t="inlineStr">
        <is>
          <t>R</t>
        </is>
      </c>
      <c r="L594" s="25" t="n">
        <v>2657</v>
      </c>
      <c r="M594" s="26" t="n">
        <v>4.7</v>
      </c>
      <c r="N594" s="25">
        <f>ROUND(L594/M594, 0)</f>
        <v/>
      </c>
      <c r="O594" s="25">
        <f>ROUND(N594*'Methodology &amp; Assumptions'!$B$7, 0)</f>
        <v/>
      </c>
      <c r="P594" s="23" t="inlineStr">
        <is>
          <t>Single Carrier (Band n50, 100MHz TDD)</t>
        </is>
      </c>
      <c r="Q594" s="27">
        <f>ROUNDUP(O594/'Methodology &amp; Assumptions'!$B$8, 0)</f>
        <v/>
      </c>
      <c r="R594" s="27" t="n">
        <v>1</v>
      </c>
      <c r="S594" s="26" t="n">
        <v>46.32</v>
      </c>
      <c r="T594" s="26" t="n">
        <v>46.25</v>
      </c>
      <c r="U594" s="11">
        <f>IF(S594&lt;='Methodology &amp; Assumptions'!$B$10, "Direct Optical Drop (&lt;3km)", IF(S594&lt;='Methodology &amp; Assumptions'!$B$9, "Near Optical / Microwave (&lt;5km)", "Starlink Business LEO Satellite Backhaul (&gt;5km)"))</f>
        <v/>
      </c>
      <c r="V594" s="26" t="n">
        <v>49.26</v>
      </c>
      <c r="W594" s="26" t="n">
        <v>69.18000000000001</v>
      </c>
      <c r="X594" s="26">
        <f>ROUND(('Methodology &amp; Assumptions'!$B$5*V594) + ('Methodology &amp; Assumptions'!$B$6*W594), 2)</f>
        <v/>
      </c>
      <c r="Y594" s="28" t="n">
        <v>11</v>
      </c>
      <c r="Z594" s="11" t="inlineStr">
        <is>
          <t>Priority Tier 3 (Broadband Expansion)</t>
        </is>
      </c>
    </row>
    <row r="595">
      <c r="A595" s="23" t="n">
        <v>4</v>
      </c>
      <c r="B595" s="23" t="n">
        <v>591</v>
      </c>
      <c r="C595" s="23" t="n">
        <v>3591</v>
      </c>
      <c r="D595" s="23" t="inlineStr">
        <is>
          <t>1380606142</t>
        </is>
      </c>
      <c r="E595" s="11" t="inlineStr">
        <is>
          <t>National Capital Region (NCR)</t>
        </is>
      </c>
      <c r="F595" s="11" t="inlineStr">
        <is>
          <t>First District (Not a Province)</t>
        </is>
      </c>
      <c r="G595" s="11" t="inlineStr">
        <is>
          <t>City of Manila</t>
        </is>
      </c>
      <c r="H595" s="11" t="inlineStr">
        <is>
          <t>Barangay 536</t>
        </is>
      </c>
      <c r="I595" s="24" t="n">
        <v>14.612906</v>
      </c>
      <c r="J595" s="24" t="n">
        <v>121.004121</v>
      </c>
      <c r="K595" s="23" t="inlineStr">
        <is>
          <t>U</t>
        </is>
      </c>
      <c r="L595" s="25" t="n">
        <v>1045</v>
      </c>
      <c r="M595" s="26" t="n">
        <v>4.32</v>
      </c>
      <c r="N595" s="25">
        <f>ROUND(L595/M595, 0)</f>
        <v/>
      </c>
      <c r="O595" s="25">
        <f>ROUND(N595*'Methodology &amp; Assumptions'!$B$7, 0)</f>
        <v/>
      </c>
      <c r="P595" s="23" t="inlineStr">
        <is>
          <t>Single Carrier (Band n50, 100MHz TDD)</t>
        </is>
      </c>
      <c r="Q595" s="27">
        <f>ROUNDUP(O595/'Methodology &amp; Assumptions'!$B$8, 0)</f>
        <v/>
      </c>
      <c r="R595" s="27" t="n">
        <v>1</v>
      </c>
      <c r="S595" s="26" t="n">
        <v>0.22</v>
      </c>
      <c r="T595" s="26" t="n">
        <v>0.16</v>
      </c>
      <c r="U595" s="11">
        <f>IF(S595&lt;='Methodology &amp; Assumptions'!$B$10, "Direct Optical Drop (&lt;3km)", IF(S595&lt;='Methodology &amp; Assumptions'!$B$9, "Near Optical / Microwave (&lt;5km)", "Starlink Business LEO Satellite Backhaul (&gt;5km)"))</f>
        <v/>
      </c>
      <c r="V595" s="26" t="n">
        <v>48.91</v>
      </c>
      <c r="W595" s="26" t="n">
        <v>69.53</v>
      </c>
      <c r="X595" s="26">
        <f>ROUND(('Methodology &amp; Assumptions'!$B$5*V595) + ('Methodology &amp; Assumptions'!$B$6*W595), 2)</f>
        <v/>
      </c>
      <c r="Y595" s="28" t="n">
        <v>10.9</v>
      </c>
      <c r="Z595" s="11" t="inlineStr">
        <is>
          <t>Priority Tier 3 (Broadband Expansion)</t>
        </is>
      </c>
    </row>
    <row r="596">
      <c r="A596" s="23" t="n">
        <v>4</v>
      </c>
      <c r="B596" s="23" t="n">
        <v>592</v>
      </c>
      <c r="C596" s="23" t="n">
        <v>3592</v>
      </c>
      <c r="D596" s="23" t="inlineStr">
        <is>
          <t>0200901005</t>
        </is>
      </c>
      <c r="E596" s="11" t="inlineStr">
        <is>
          <t>Region II (Cagayan Valley)</t>
        </is>
      </c>
      <c r="F596" s="11" t="inlineStr">
        <is>
          <t>Batanes</t>
        </is>
      </c>
      <c r="G596" s="11" t="inlineStr">
        <is>
          <t>Basco</t>
        </is>
      </c>
      <c r="H596" s="11" t="inlineStr">
        <is>
          <t>Chanarian</t>
        </is>
      </c>
      <c r="I596" s="24" t="n">
        <v>20.433422</v>
      </c>
      <c r="J596" s="24" t="n">
        <v>121.961275</v>
      </c>
      <c r="K596" s="23" t="inlineStr">
        <is>
          <t>R</t>
        </is>
      </c>
      <c r="L596" s="25" t="n">
        <v>451</v>
      </c>
      <c r="M596" s="26" t="n">
        <v>3</v>
      </c>
      <c r="N596" s="25">
        <f>ROUND(L596/M596, 0)</f>
        <v/>
      </c>
      <c r="O596" s="25">
        <f>ROUND(N596*'Methodology &amp; Assumptions'!$B$7, 0)</f>
        <v/>
      </c>
      <c r="P596" s="23" t="inlineStr">
        <is>
          <t>Single Carrier (Band n50, 100MHz TDD)</t>
        </is>
      </c>
      <c r="Q596" s="27">
        <f>ROUNDUP(O596/'Methodology &amp; Assumptions'!$B$8, 0)</f>
        <v/>
      </c>
      <c r="R596" s="27" t="n">
        <v>1</v>
      </c>
      <c r="S596" s="26" t="n">
        <v>221.91</v>
      </c>
      <c r="T596" s="26" t="n">
        <v>215.69</v>
      </c>
      <c r="U596" s="11">
        <f>IF(S596&lt;='Methodology &amp; Assumptions'!$B$10, "Direct Optical Drop (&lt;3km)", IF(S596&lt;='Methodology &amp; Assumptions'!$B$9, "Near Optical / Microwave (&lt;5km)", "Starlink Business LEO Satellite Backhaul (&gt;5km)"))</f>
        <v/>
      </c>
      <c r="V596" s="26" t="n">
        <v>41.28</v>
      </c>
      <c r="W596" s="26" t="n">
        <v>77.17</v>
      </c>
      <c r="X596" s="26">
        <f>ROUND(('Methodology &amp; Assumptions'!$B$5*V596) + ('Methodology &amp; Assumptions'!$B$6*W596), 2)</f>
        <v/>
      </c>
      <c r="Y596" s="28" t="n">
        <v>8.300000000000001</v>
      </c>
      <c r="Z596" s="11" t="inlineStr">
        <is>
          <t>Priority Tier 3 (Broadband Expansion)</t>
        </is>
      </c>
    </row>
    <row r="597">
      <c r="A597" s="23" t="n">
        <v>4</v>
      </c>
      <c r="B597" s="23" t="n">
        <v>593</v>
      </c>
      <c r="C597" s="23" t="n">
        <v>3593</v>
      </c>
      <c r="D597" s="23" t="inlineStr">
        <is>
          <t>0105526010</t>
        </is>
      </c>
      <c r="E597" s="11" t="inlineStr">
        <is>
          <t>Region I (Ilocos Region)</t>
        </is>
      </c>
      <c r="F597" s="11" t="inlineStr">
        <is>
          <t>Pangasinan</t>
        </is>
      </c>
      <c r="G597" s="11" t="inlineStr">
        <is>
          <t>Mangaldan</t>
        </is>
      </c>
      <c r="H597" s="11" t="inlineStr">
        <is>
          <t>Embarcadero</t>
        </is>
      </c>
      <c r="I597" s="24" t="n">
        <v>16.07216</v>
      </c>
      <c r="J597" s="24" t="n">
        <v>120.4165</v>
      </c>
      <c r="K597" s="23" t="inlineStr">
        <is>
          <t>R</t>
        </is>
      </c>
      <c r="L597" s="25" t="n">
        <v>2740</v>
      </c>
      <c r="M597" s="26" t="n">
        <v>3.6</v>
      </c>
      <c r="N597" s="25">
        <f>ROUND(L597/M597, 0)</f>
        <v/>
      </c>
      <c r="O597" s="25">
        <f>ROUND(N597*'Methodology &amp; Assumptions'!$B$7, 0)</f>
        <v/>
      </c>
      <c r="P597" s="23" t="inlineStr">
        <is>
          <t>Single Carrier (Band n50, 100MHz TDD)</t>
        </is>
      </c>
      <c r="Q597" s="27">
        <f>ROUNDUP(O597/'Methodology &amp; Assumptions'!$B$8, 0)</f>
        <v/>
      </c>
      <c r="R597" s="27" t="n">
        <v>1</v>
      </c>
      <c r="S597" s="26" t="n">
        <v>1.6</v>
      </c>
      <c r="T597" s="26" t="n">
        <v>1.39</v>
      </c>
      <c r="U597" s="11">
        <f>IF(S597&lt;='Methodology &amp; Assumptions'!$B$10, "Direct Optical Drop (&lt;3km)", IF(S597&lt;='Methodology &amp; Assumptions'!$B$9, "Near Optical / Microwave (&lt;5km)", "Starlink Business LEO Satellite Backhaul (&gt;5km)"))</f>
        <v/>
      </c>
      <c r="V597" s="26" t="n">
        <v>80.89</v>
      </c>
      <c r="W597" s="26" t="n">
        <v>37.53</v>
      </c>
      <c r="X597" s="26">
        <f>ROUND(('Methodology &amp; Assumptions'!$B$5*V597) + ('Methodology &amp; Assumptions'!$B$6*W597), 2)</f>
        <v/>
      </c>
      <c r="Y597" s="28" t="n">
        <v>8.300000000000001</v>
      </c>
      <c r="Z597" s="11" t="inlineStr">
        <is>
          <t>Priority Tier 3 (Broadband Expansion)</t>
        </is>
      </c>
    </row>
    <row r="598">
      <c r="A598" s="23" t="n">
        <v>4</v>
      </c>
      <c r="B598" s="23" t="n">
        <v>594</v>
      </c>
      <c r="C598" s="23" t="n">
        <v>3594</v>
      </c>
      <c r="D598" s="23" t="inlineStr">
        <is>
          <t>1380606161</t>
        </is>
      </c>
      <c r="E598" s="11" t="inlineStr">
        <is>
          <t>National Capital Region (NCR)</t>
        </is>
      </c>
      <c r="F598" s="11" t="inlineStr">
        <is>
          <t>First District (Not a Province)</t>
        </is>
      </c>
      <c r="G598" s="11" t="inlineStr">
        <is>
          <t>City of Manila</t>
        </is>
      </c>
      <c r="H598" s="11" t="inlineStr">
        <is>
          <t>Barangay 555</t>
        </is>
      </c>
      <c r="I598" s="24" t="n">
        <v>14.611491</v>
      </c>
      <c r="J598" s="24" t="n">
        <v>121.007975</v>
      </c>
      <c r="K598" s="23" t="inlineStr">
        <is>
          <t>U</t>
        </is>
      </c>
      <c r="L598" s="25" t="n">
        <v>1151</v>
      </c>
      <c r="M598" s="26" t="n">
        <v>4.46</v>
      </c>
      <c r="N598" s="25">
        <f>ROUND(L598/M598, 0)</f>
        <v/>
      </c>
      <c r="O598" s="25">
        <f>ROUND(N598*'Methodology &amp; Assumptions'!$B$7, 0)</f>
        <v/>
      </c>
      <c r="P598" s="23" t="inlineStr">
        <is>
          <t>Single Carrier (Band n50, 100MHz TDD)</t>
        </is>
      </c>
      <c r="Q598" s="27">
        <f>ROUNDUP(O598/'Methodology &amp; Assumptions'!$B$8, 0)</f>
        <v/>
      </c>
      <c r="R598" s="27" t="n">
        <v>1</v>
      </c>
      <c r="S598" s="26" t="n">
        <v>0.46</v>
      </c>
      <c r="T598" s="26" t="n">
        <v>0.2</v>
      </c>
      <c r="U598" s="11">
        <f>IF(S598&lt;='Methodology &amp; Assumptions'!$B$10, "Direct Optical Drop (&lt;3km)", IF(S598&lt;='Methodology &amp; Assumptions'!$B$9, "Near Optical / Microwave (&lt;5km)", "Starlink Business LEO Satellite Backhaul (&gt;5km)"))</f>
        <v/>
      </c>
      <c r="V598" s="26" t="n">
        <v>49.34</v>
      </c>
      <c r="W598" s="26" t="n">
        <v>69.09</v>
      </c>
      <c r="X598" s="26">
        <f>ROUND(('Methodology &amp; Assumptions'!$B$5*V598) + ('Methodology &amp; Assumptions'!$B$6*W598), 2)</f>
        <v/>
      </c>
      <c r="Y598" s="28" t="n">
        <v>10.9</v>
      </c>
      <c r="Z598" s="11" t="inlineStr">
        <is>
          <t>Priority Tier 3 (Broadband Expansion)</t>
        </is>
      </c>
    </row>
    <row r="599">
      <c r="A599" s="23" t="n">
        <v>4</v>
      </c>
      <c r="B599" s="23" t="n">
        <v>595</v>
      </c>
      <c r="C599" s="23" t="n">
        <v>3595</v>
      </c>
      <c r="D599" s="23" t="inlineStr">
        <is>
          <t>1380611040</t>
        </is>
      </c>
      <c r="E599" s="11" t="inlineStr">
        <is>
          <t>National Capital Region (NCR)</t>
        </is>
      </c>
      <c r="F599" s="11" t="inlineStr">
        <is>
          <t>First District (Not a Province)</t>
        </is>
      </c>
      <c r="G599" s="11" t="inlineStr">
        <is>
          <t>City of Manila</t>
        </is>
      </c>
      <c r="H599" s="11" t="inlineStr">
        <is>
          <t>Barangay 825</t>
        </is>
      </c>
      <c r="I599" s="24" t="n">
        <v>14.582126</v>
      </c>
      <c r="J599" s="24" t="n">
        <v>121.000358</v>
      </c>
      <c r="K599" s="23" t="inlineStr">
        <is>
          <t>U</t>
        </is>
      </c>
      <c r="L599" s="25" t="n">
        <v>463</v>
      </c>
      <c r="M599" s="26" t="n">
        <v>3.36</v>
      </c>
      <c r="N599" s="25">
        <f>ROUND(L599/M599, 0)</f>
        <v/>
      </c>
      <c r="O599" s="25">
        <f>ROUND(N599*'Methodology &amp; Assumptions'!$B$7, 0)</f>
        <v/>
      </c>
      <c r="P599" s="23" t="inlineStr">
        <is>
          <t>Single Carrier (Band n50, 100MHz TDD)</t>
        </is>
      </c>
      <c r="Q599" s="27">
        <f>ROUNDUP(O599/'Methodology &amp; Assumptions'!$B$8, 0)</f>
        <v/>
      </c>
      <c r="R599" s="27" t="n">
        <v>1</v>
      </c>
      <c r="S599" s="26" t="n">
        <v>0.36</v>
      </c>
      <c r="T599" s="26" t="n">
        <v>0.33</v>
      </c>
      <c r="U599" s="11">
        <f>IF(S599&lt;='Methodology &amp; Assumptions'!$B$10, "Direct Optical Drop (&lt;3km)", IF(S599&lt;='Methodology &amp; Assumptions'!$B$9, "Near Optical / Microwave (&lt;5km)", "Starlink Business LEO Satellite Backhaul (&gt;5km)"))</f>
        <v/>
      </c>
      <c r="V599" s="26" t="n">
        <v>45.48</v>
      </c>
      <c r="W599" s="26" t="n">
        <v>72.93000000000001</v>
      </c>
      <c r="X599" s="26">
        <f>ROUND(('Methodology &amp; Assumptions'!$B$5*V599) + ('Methodology &amp; Assumptions'!$B$6*W599), 2)</f>
        <v/>
      </c>
      <c r="Y599" s="28" t="n">
        <v>10.9</v>
      </c>
      <c r="Z599" s="11" t="inlineStr">
        <is>
          <t>Priority Tier 3 (Broadband Expansion)</t>
        </is>
      </c>
    </row>
    <row r="600">
      <c r="A600" s="23" t="n">
        <v>4</v>
      </c>
      <c r="B600" s="23" t="n">
        <v>596</v>
      </c>
      <c r="C600" s="23" t="n">
        <v>3596</v>
      </c>
      <c r="D600" s="23" t="inlineStr">
        <is>
          <t>1403214001</t>
        </is>
      </c>
      <c r="E600" s="11" t="inlineStr">
        <is>
          <t>Cordillera Administrative Region (CAR)</t>
        </is>
      </c>
      <c r="F600" s="11" t="inlineStr">
        <is>
          <t>Kalinga</t>
        </is>
      </c>
      <c r="G600" s="11" t="inlineStr">
        <is>
          <t>Tanudan</t>
        </is>
      </c>
      <c r="H600" s="11" t="inlineStr">
        <is>
          <t>Anggacan</t>
        </is>
      </c>
      <c r="I600" s="24" t="n">
        <v>17.260417</v>
      </c>
      <c r="J600" s="24" t="n">
        <v>121.246694</v>
      </c>
      <c r="K600" s="23" t="inlineStr">
        <is>
          <t>R</t>
        </is>
      </c>
      <c r="L600" s="25" t="n">
        <v>244</v>
      </c>
      <c r="M600" s="26" t="n">
        <v>4.3</v>
      </c>
      <c r="N600" s="25">
        <f>ROUND(L600/M600, 0)</f>
        <v/>
      </c>
      <c r="O600" s="25">
        <f>ROUND(N600*'Methodology &amp; Assumptions'!$B$7, 0)</f>
        <v/>
      </c>
      <c r="P600" s="23" t="inlineStr">
        <is>
          <t>Single Carrier (Band n50, 100MHz TDD)</t>
        </is>
      </c>
      <c r="Q600" s="27">
        <f>ROUNDUP(O600/'Methodology &amp; Assumptions'!$B$8, 0)</f>
        <v/>
      </c>
      <c r="R600" s="27" t="n">
        <v>1</v>
      </c>
      <c r="S600" s="26" t="n">
        <v>10.39</v>
      </c>
      <c r="T600" s="26" t="n">
        <v>9.35</v>
      </c>
      <c r="U600" s="11">
        <f>IF(S600&lt;='Methodology &amp; Assumptions'!$B$10, "Direct Optical Drop (&lt;3km)", IF(S600&lt;='Methodology &amp; Assumptions'!$B$9, "Near Optical / Microwave (&lt;5km)", "Starlink Business LEO Satellite Backhaul (&gt;5km)"))</f>
        <v/>
      </c>
      <c r="V600" s="26" t="n">
        <v>38.91</v>
      </c>
      <c r="W600" s="26" t="n">
        <v>79.51000000000001</v>
      </c>
      <c r="X600" s="26">
        <f>ROUND(('Methodology &amp; Assumptions'!$B$5*V600) + ('Methodology &amp; Assumptions'!$B$6*W600), 2)</f>
        <v/>
      </c>
      <c r="Y600" s="28" t="n">
        <v>10.9</v>
      </c>
      <c r="Z600" s="11" t="inlineStr">
        <is>
          <t>Priority Tier 3 (Broadband Expansion)</t>
        </is>
      </c>
    </row>
    <row r="601">
      <c r="A601" s="23" t="n">
        <v>4</v>
      </c>
      <c r="B601" s="23" t="n">
        <v>597</v>
      </c>
      <c r="C601" s="23" t="n">
        <v>3597</v>
      </c>
      <c r="D601" s="23" t="inlineStr">
        <is>
          <t>0405803007</t>
        </is>
      </c>
      <c r="E601" s="11" t="inlineStr">
        <is>
          <t>Region IV-A (CALABARZON)</t>
        </is>
      </c>
      <c r="F601" s="11" t="inlineStr">
        <is>
          <t>Rizal</t>
        </is>
      </c>
      <c r="G601" s="11" t="inlineStr">
        <is>
          <t>Baras</t>
        </is>
      </c>
      <c r="H601" s="11" t="inlineStr">
        <is>
          <t>San Juan</t>
        </is>
      </c>
      <c r="I601" s="24" t="n">
        <v>14.524041</v>
      </c>
      <c r="J601" s="24" t="n">
        <v>121.267679</v>
      </c>
      <c r="K601" s="23" t="inlineStr">
        <is>
          <t>R</t>
        </is>
      </c>
      <c r="L601" s="25" t="n">
        <v>4631</v>
      </c>
      <c r="M601" s="26" t="n">
        <v>3.6</v>
      </c>
      <c r="N601" s="25">
        <f>ROUND(L601/M601, 0)</f>
        <v/>
      </c>
      <c r="O601" s="25">
        <f>ROUND(N601*'Methodology &amp; Assumptions'!$B$7, 0)</f>
        <v/>
      </c>
      <c r="P601" s="23" t="inlineStr">
        <is>
          <t>Single Carrier (Band n50, 100MHz TDD)</t>
        </is>
      </c>
      <c r="Q601" s="27">
        <f>ROUNDUP(O601/'Methodology &amp; Assumptions'!$B$8, 0)</f>
        <v/>
      </c>
      <c r="R601" s="27" t="n">
        <v>1</v>
      </c>
      <c r="S601" s="26" t="n">
        <v>0.28</v>
      </c>
      <c r="T601" s="26" t="n">
        <v>0.24</v>
      </c>
      <c r="U601" s="11">
        <f>IF(S601&lt;='Methodology &amp; Assumptions'!$B$10, "Direct Optical Drop (&lt;3km)", IF(S601&lt;='Methodology &amp; Assumptions'!$B$9, "Near Optical / Microwave (&lt;5km)", "Starlink Business LEO Satellite Backhaul (&gt;5km)"))</f>
        <v/>
      </c>
      <c r="V601" s="26" t="n">
        <v>85.45999999999999</v>
      </c>
      <c r="W601" s="26" t="n">
        <v>32.94</v>
      </c>
      <c r="X601" s="26">
        <f>ROUND(('Methodology &amp; Assumptions'!$B$5*V601) + ('Methodology &amp; Assumptions'!$B$6*W601), 2)</f>
        <v/>
      </c>
      <c r="Y601" s="28" t="n">
        <v>7.2</v>
      </c>
      <c r="Z601" s="11" t="inlineStr">
        <is>
          <t>Priority Tier 3 (Broadband Expansion)</t>
        </is>
      </c>
    </row>
    <row r="602">
      <c r="A602" s="23" t="n">
        <v>4</v>
      </c>
      <c r="B602" s="23" t="n">
        <v>598</v>
      </c>
      <c r="C602" s="23" t="n">
        <v>3598</v>
      </c>
      <c r="D602" s="23" t="inlineStr">
        <is>
          <t>0401003001</t>
        </is>
      </c>
      <c r="E602" s="11" t="inlineStr">
        <is>
          <t>Region IV-A (CALABARZON)</t>
        </is>
      </c>
      <c r="F602" s="11" t="inlineStr">
        <is>
          <t>Batangas</t>
        </is>
      </c>
      <c r="G602" s="11" t="inlineStr">
        <is>
          <t>Balayan</t>
        </is>
      </c>
      <c r="H602" s="11" t="inlineStr">
        <is>
          <t>Baclaran</t>
        </is>
      </c>
      <c r="I602" s="24" t="n">
        <v>13.9316</v>
      </c>
      <c r="J602" s="24" t="n">
        <v>120.7738</v>
      </c>
      <c r="K602" s="23" t="inlineStr">
        <is>
          <t>R</t>
        </is>
      </c>
      <c r="L602" s="25" t="n">
        <v>2753</v>
      </c>
      <c r="M602" s="26" t="n">
        <v>3.6</v>
      </c>
      <c r="N602" s="25">
        <f>ROUND(L602/M602, 0)</f>
        <v/>
      </c>
      <c r="O602" s="25">
        <f>ROUND(N602*'Methodology &amp; Assumptions'!$B$7, 0)</f>
        <v/>
      </c>
      <c r="P602" s="23" t="inlineStr">
        <is>
          <t>Single Carrier (Band n50, 100MHz TDD)</t>
        </is>
      </c>
      <c r="Q602" s="27">
        <f>ROUNDUP(O602/'Methodology &amp; Assumptions'!$B$8, 0)</f>
        <v/>
      </c>
      <c r="R602" s="27" t="n">
        <v>1</v>
      </c>
      <c r="S602" s="26" t="n">
        <v>1.78</v>
      </c>
      <c r="T602" s="26" t="n">
        <v>0.91</v>
      </c>
      <c r="U602" s="11">
        <f>IF(S602&lt;='Methodology &amp; Assumptions'!$B$10, "Direct Optical Drop (&lt;3km)", IF(S602&lt;='Methodology &amp; Assumptions'!$B$9, "Near Optical / Microwave (&lt;5km)", "Starlink Business LEO Satellite Backhaul (&gt;5km)"))</f>
        <v/>
      </c>
      <c r="V602" s="26" t="n">
        <v>80.41</v>
      </c>
      <c r="W602" s="26" t="n">
        <v>37.99</v>
      </c>
      <c r="X602" s="26">
        <f>ROUND(('Methodology &amp; Assumptions'!$B$5*V602) + ('Methodology &amp; Assumptions'!$B$6*W602), 2)</f>
        <v/>
      </c>
      <c r="Y602" s="28" t="n">
        <v>7.2</v>
      </c>
      <c r="Z602" s="11" t="inlineStr">
        <is>
          <t>Priority Tier 3 (Broadband Expansion)</t>
        </is>
      </c>
    </row>
    <row r="603">
      <c r="A603" s="23" t="n">
        <v>4</v>
      </c>
      <c r="B603" s="23" t="n">
        <v>599</v>
      </c>
      <c r="C603" s="23" t="n">
        <v>3599</v>
      </c>
      <c r="D603" s="23" t="inlineStr">
        <is>
          <t>0631000004</t>
        </is>
      </c>
      <c r="E603" s="11" t="inlineStr">
        <is>
          <t>Region VI (Western Visayas)</t>
        </is>
      </c>
      <c r="F603" s="11" t="inlineStr">
        <is>
          <t>Iloilo</t>
        </is>
      </c>
      <c r="G603" s="11" t="inlineStr">
        <is>
          <t>City of Iloilo</t>
        </is>
      </c>
      <c r="H603" s="11" t="inlineStr">
        <is>
          <t>Airport</t>
        </is>
      </c>
      <c r="I603" s="24" t="n">
        <v>10.92438</v>
      </c>
      <c r="J603" s="24" t="n">
        <v>122.558213</v>
      </c>
      <c r="K603" s="23" t="inlineStr">
        <is>
          <t>U</t>
        </is>
      </c>
      <c r="L603" s="25" t="n">
        <v>5022</v>
      </c>
      <c r="M603" s="26" t="n">
        <v>4.2</v>
      </c>
      <c r="N603" s="25">
        <f>ROUND(L603/M603, 0)</f>
        <v/>
      </c>
      <c r="O603" s="25">
        <f>ROUND(N603*'Methodology &amp; Assumptions'!$B$7, 0)</f>
        <v/>
      </c>
      <c r="P603" s="23" t="inlineStr">
        <is>
          <t>Single Carrier (Band n50, 100MHz TDD)</t>
        </is>
      </c>
      <c r="Q603" s="27">
        <f>ROUNDUP(O603/'Methodology &amp; Assumptions'!$B$8, 0)</f>
        <v/>
      </c>
      <c r="R603" s="27" t="n">
        <v>1</v>
      </c>
      <c r="S603" s="26" t="n">
        <v>0.97</v>
      </c>
      <c r="T603" s="26" t="n">
        <v>0.96</v>
      </c>
      <c r="U603" s="11">
        <f>IF(S603&lt;='Methodology &amp; Assumptions'!$B$10, "Direct Optical Drop (&lt;3km)", IF(S603&lt;='Methodology &amp; Assumptions'!$B$9, "Near Optical / Microwave (&lt;5km)", "Starlink Business LEO Satellite Backhaul (&gt;5km)"))</f>
        <v/>
      </c>
      <c r="V603" s="26" t="n">
        <v>80.34</v>
      </c>
      <c r="W603" s="26" t="n">
        <v>38.05</v>
      </c>
      <c r="X603" s="26">
        <f>ROUND(('Methodology &amp; Assumptions'!$B$5*V603) + ('Methodology &amp; Assumptions'!$B$6*W603), 2)</f>
        <v/>
      </c>
      <c r="Y603" s="28" t="n">
        <v>23.7</v>
      </c>
      <c r="Z603" s="11" t="inlineStr">
        <is>
          <t>Priority Tier 3 (Broadband Expansion)</t>
        </is>
      </c>
    </row>
    <row r="604">
      <c r="A604" s="23" t="n">
        <v>4</v>
      </c>
      <c r="B604" s="23" t="n">
        <v>600</v>
      </c>
      <c r="C604" s="23" t="n">
        <v>3600</v>
      </c>
      <c r="D604" s="23" t="inlineStr">
        <is>
          <t>0631000009</t>
        </is>
      </c>
      <c r="E604" s="11" t="inlineStr">
        <is>
          <t>Region VI (Western Visayas)</t>
        </is>
      </c>
      <c r="F604" s="11" t="inlineStr">
        <is>
          <t>Iloilo</t>
        </is>
      </c>
      <c r="G604" s="11" t="inlineStr">
        <is>
          <t>City of Iloilo</t>
        </is>
      </c>
      <c r="H604" s="11" t="inlineStr">
        <is>
          <t>Bakhaw</t>
        </is>
      </c>
      <c r="I604" s="24" t="n">
        <v>10.92438</v>
      </c>
      <c r="J604" s="24" t="n">
        <v>122.558213</v>
      </c>
      <c r="K604" s="23" t="inlineStr">
        <is>
          <t>U</t>
        </is>
      </c>
      <c r="L604" s="25" t="n">
        <v>6778</v>
      </c>
      <c r="M604" s="26" t="n">
        <v>4.2</v>
      </c>
      <c r="N604" s="25">
        <f>ROUND(L604/M604, 0)</f>
        <v/>
      </c>
      <c r="O604" s="25">
        <f>ROUND(N604*'Methodology &amp; Assumptions'!$B$7, 0)</f>
        <v/>
      </c>
      <c r="P604" s="23" t="inlineStr">
        <is>
          <t>Single Carrier (Band n50, 100MHz TDD)</t>
        </is>
      </c>
      <c r="Q604" s="27">
        <f>ROUNDUP(O604/'Methodology &amp; Assumptions'!$B$8, 0)</f>
        <v/>
      </c>
      <c r="R604" s="27" t="n">
        <v>1</v>
      </c>
      <c r="S604" s="26" t="n">
        <v>0.97</v>
      </c>
      <c r="T604" s="26" t="n">
        <v>0.96</v>
      </c>
      <c r="U604" s="11">
        <f>IF(S604&lt;='Methodology &amp; Assumptions'!$B$10, "Direct Optical Drop (&lt;3km)", IF(S604&lt;='Methodology &amp; Assumptions'!$B$9, "Near Optical / Microwave (&lt;5km)", "Starlink Business LEO Satellite Backhaul (&gt;5km)"))</f>
        <v/>
      </c>
      <c r="V604" s="26" t="n">
        <v>80.34</v>
      </c>
      <c r="W604" s="26" t="n">
        <v>38.05</v>
      </c>
      <c r="X604" s="26">
        <f>ROUND(('Methodology &amp; Assumptions'!$B$5*V604) + ('Methodology &amp; Assumptions'!$B$6*W604), 2)</f>
        <v/>
      </c>
      <c r="Y604" s="28" t="n">
        <v>23.7</v>
      </c>
      <c r="Z604" s="11" t="inlineStr">
        <is>
          <t>Priority Tier 3 (Broadband Expansion)</t>
        </is>
      </c>
    </row>
    <row r="605">
      <c r="A605" s="23" t="n">
        <v>4</v>
      </c>
      <c r="B605" s="23" t="n">
        <v>601</v>
      </c>
      <c r="C605" s="23" t="n">
        <v>3601</v>
      </c>
      <c r="D605" s="23" t="inlineStr">
        <is>
          <t>0631000010</t>
        </is>
      </c>
      <c r="E605" s="11" t="inlineStr">
        <is>
          <t>Region VI (Western Visayas)</t>
        </is>
      </c>
      <c r="F605" s="11" t="inlineStr">
        <is>
          <t>Iloilo</t>
        </is>
      </c>
      <c r="G605" s="11" t="inlineStr">
        <is>
          <t>City of Iloilo</t>
        </is>
      </c>
      <c r="H605" s="11" t="inlineStr">
        <is>
          <t>Balabago</t>
        </is>
      </c>
      <c r="I605" s="24" t="n">
        <v>10.92438</v>
      </c>
      <c r="J605" s="24" t="n">
        <v>122.558213</v>
      </c>
      <c r="K605" s="23" t="inlineStr">
        <is>
          <t>U</t>
        </is>
      </c>
      <c r="L605" s="25" t="n">
        <v>10376</v>
      </c>
      <c r="M605" s="26" t="n">
        <v>4.2</v>
      </c>
      <c r="N605" s="25">
        <f>ROUND(L605/M605, 0)</f>
        <v/>
      </c>
      <c r="O605" s="25">
        <f>ROUND(N605*'Methodology &amp; Assumptions'!$B$7, 0)</f>
        <v/>
      </c>
      <c r="P605" s="23" t="inlineStr">
        <is>
          <t>Single Carrier (Band n50, 100MHz TDD)</t>
        </is>
      </c>
      <c r="Q605" s="27">
        <f>ROUNDUP(O605/'Methodology &amp; Assumptions'!$B$8, 0)</f>
        <v/>
      </c>
      <c r="R605" s="27" t="n">
        <v>1</v>
      </c>
      <c r="S605" s="26" t="n">
        <v>0.97</v>
      </c>
      <c r="T605" s="26" t="n">
        <v>0.96</v>
      </c>
      <c r="U605" s="11">
        <f>IF(S605&lt;='Methodology &amp; Assumptions'!$B$10, "Direct Optical Drop (&lt;3km)", IF(S605&lt;='Methodology &amp; Assumptions'!$B$9, "Near Optical / Microwave (&lt;5km)", "Starlink Business LEO Satellite Backhaul (&gt;5km)"))</f>
        <v/>
      </c>
      <c r="V605" s="26" t="n">
        <v>80.34</v>
      </c>
      <c r="W605" s="26" t="n">
        <v>38.05</v>
      </c>
      <c r="X605" s="26">
        <f>ROUND(('Methodology &amp; Assumptions'!$B$5*V605) + ('Methodology &amp; Assumptions'!$B$6*W605), 2)</f>
        <v/>
      </c>
      <c r="Y605" s="28" t="n">
        <v>23.7</v>
      </c>
      <c r="Z605" s="11" t="inlineStr">
        <is>
          <t>Priority Tier 3 (Broadband Expansion)</t>
        </is>
      </c>
    </row>
    <row r="606">
      <c r="A606" s="23" t="n">
        <v>4</v>
      </c>
      <c r="B606" s="23" t="n">
        <v>602</v>
      </c>
      <c r="C606" s="23" t="n">
        <v>3602</v>
      </c>
      <c r="D606" s="23" t="inlineStr">
        <is>
          <t>0631000011</t>
        </is>
      </c>
      <c r="E606" s="11" t="inlineStr">
        <is>
          <t>Region VI (Western Visayas)</t>
        </is>
      </c>
      <c r="F606" s="11" t="inlineStr">
        <is>
          <t>Iloilo</t>
        </is>
      </c>
      <c r="G606" s="11" t="inlineStr">
        <is>
          <t>City of Iloilo</t>
        </is>
      </c>
      <c r="H606" s="11" t="inlineStr">
        <is>
          <t>Balantang</t>
        </is>
      </c>
      <c r="I606" s="24" t="n">
        <v>10.92438</v>
      </c>
      <c r="J606" s="24" t="n">
        <v>122.558213</v>
      </c>
      <c r="K606" s="23" t="inlineStr">
        <is>
          <t>U</t>
        </is>
      </c>
      <c r="L606" s="25" t="n">
        <v>4930</v>
      </c>
      <c r="M606" s="26" t="n">
        <v>4.2</v>
      </c>
      <c r="N606" s="25">
        <f>ROUND(L606/M606, 0)</f>
        <v/>
      </c>
      <c r="O606" s="25">
        <f>ROUND(N606*'Methodology &amp; Assumptions'!$B$7, 0)</f>
        <v/>
      </c>
      <c r="P606" s="23" t="inlineStr">
        <is>
          <t>Single Carrier (Band n50, 100MHz TDD)</t>
        </is>
      </c>
      <c r="Q606" s="27">
        <f>ROUNDUP(O606/'Methodology &amp; Assumptions'!$B$8, 0)</f>
        <v/>
      </c>
      <c r="R606" s="27" t="n">
        <v>1</v>
      </c>
      <c r="S606" s="26" t="n">
        <v>0.97</v>
      </c>
      <c r="T606" s="26" t="n">
        <v>0.96</v>
      </c>
      <c r="U606" s="11">
        <f>IF(S606&lt;='Methodology &amp; Assumptions'!$B$10, "Direct Optical Drop (&lt;3km)", IF(S606&lt;='Methodology &amp; Assumptions'!$B$9, "Near Optical / Microwave (&lt;5km)", "Starlink Business LEO Satellite Backhaul (&gt;5km)"))</f>
        <v/>
      </c>
      <c r="V606" s="26" t="n">
        <v>80.34</v>
      </c>
      <c r="W606" s="26" t="n">
        <v>38.05</v>
      </c>
      <c r="X606" s="26">
        <f>ROUND(('Methodology &amp; Assumptions'!$B$5*V606) + ('Methodology &amp; Assumptions'!$B$6*W606), 2)</f>
        <v/>
      </c>
      <c r="Y606" s="28" t="n">
        <v>23.7</v>
      </c>
      <c r="Z606" s="11" t="inlineStr">
        <is>
          <t>Priority Tier 3 (Broadband Expansion)</t>
        </is>
      </c>
    </row>
    <row r="607">
      <c r="A607" s="23" t="n">
        <v>4</v>
      </c>
      <c r="B607" s="23" t="n">
        <v>603</v>
      </c>
      <c r="C607" s="23" t="n">
        <v>3603</v>
      </c>
      <c r="D607" s="23" t="inlineStr">
        <is>
          <t>0631000012</t>
        </is>
      </c>
      <c r="E607" s="11" t="inlineStr">
        <is>
          <t>Region VI (Western Visayas)</t>
        </is>
      </c>
      <c r="F607" s="11" t="inlineStr">
        <is>
          <t>Iloilo</t>
        </is>
      </c>
      <c r="G607" s="11" t="inlineStr">
        <is>
          <t>City of Iloilo</t>
        </is>
      </c>
      <c r="H607" s="11" t="inlineStr">
        <is>
          <t>Baldoza</t>
        </is>
      </c>
      <c r="I607" s="24" t="n">
        <v>10.92438</v>
      </c>
      <c r="J607" s="24" t="n">
        <v>122.558213</v>
      </c>
      <c r="K607" s="23" t="inlineStr">
        <is>
          <t>U</t>
        </is>
      </c>
      <c r="L607" s="25" t="n">
        <v>6365</v>
      </c>
      <c r="M607" s="26" t="n">
        <v>4.2</v>
      </c>
      <c r="N607" s="25">
        <f>ROUND(L607/M607, 0)</f>
        <v/>
      </c>
      <c r="O607" s="25">
        <f>ROUND(N607*'Methodology &amp; Assumptions'!$B$7, 0)</f>
        <v/>
      </c>
      <c r="P607" s="23" t="inlineStr">
        <is>
          <t>Single Carrier (Band n50, 100MHz TDD)</t>
        </is>
      </c>
      <c r="Q607" s="27">
        <f>ROUNDUP(O607/'Methodology &amp; Assumptions'!$B$8, 0)</f>
        <v/>
      </c>
      <c r="R607" s="27" t="n">
        <v>1</v>
      </c>
      <c r="S607" s="26" t="n">
        <v>0.97</v>
      </c>
      <c r="T607" s="26" t="n">
        <v>0.96</v>
      </c>
      <c r="U607" s="11">
        <f>IF(S607&lt;='Methodology &amp; Assumptions'!$B$10, "Direct Optical Drop (&lt;3km)", IF(S607&lt;='Methodology &amp; Assumptions'!$B$9, "Near Optical / Microwave (&lt;5km)", "Starlink Business LEO Satellite Backhaul (&gt;5km)"))</f>
        <v/>
      </c>
      <c r="V607" s="26" t="n">
        <v>80.34</v>
      </c>
      <c r="W607" s="26" t="n">
        <v>38.05</v>
      </c>
      <c r="X607" s="26">
        <f>ROUND(('Methodology &amp; Assumptions'!$B$5*V607) + ('Methodology &amp; Assumptions'!$B$6*W607), 2)</f>
        <v/>
      </c>
      <c r="Y607" s="28" t="n">
        <v>23.7</v>
      </c>
      <c r="Z607" s="11" t="inlineStr">
        <is>
          <t>Priority Tier 3 (Broadband Expansion)</t>
        </is>
      </c>
    </row>
    <row r="608">
      <c r="A608" s="23" t="n">
        <v>4</v>
      </c>
      <c r="B608" s="23" t="n">
        <v>604</v>
      </c>
      <c r="C608" s="23" t="n">
        <v>3604</v>
      </c>
      <c r="D608" s="23" t="inlineStr">
        <is>
          <t>0631000019</t>
        </is>
      </c>
      <c r="E608" s="11" t="inlineStr">
        <is>
          <t>Region VI (Western Visayas)</t>
        </is>
      </c>
      <c r="F608" s="11" t="inlineStr">
        <is>
          <t>Iloilo</t>
        </is>
      </c>
      <c r="G608" s="11" t="inlineStr">
        <is>
          <t>City of Iloilo</t>
        </is>
      </c>
      <c r="H608" s="11" t="inlineStr">
        <is>
          <t>Bito-on</t>
        </is>
      </c>
      <c r="I608" s="24" t="n">
        <v>10.92438</v>
      </c>
      <c r="J608" s="24" t="n">
        <v>122.558213</v>
      </c>
      <c r="K608" s="23" t="inlineStr">
        <is>
          <t>U</t>
        </is>
      </c>
      <c r="L608" s="25" t="n">
        <v>6985</v>
      </c>
      <c r="M608" s="26" t="n">
        <v>4.2</v>
      </c>
      <c r="N608" s="25">
        <f>ROUND(L608/M608, 0)</f>
        <v/>
      </c>
      <c r="O608" s="25">
        <f>ROUND(N608*'Methodology &amp; Assumptions'!$B$7, 0)</f>
        <v/>
      </c>
      <c r="P608" s="23" t="inlineStr">
        <is>
          <t>Single Carrier (Band n50, 100MHz TDD)</t>
        </is>
      </c>
      <c r="Q608" s="27">
        <f>ROUNDUP(O608/'Methodology &amp; Assumptions'!$B$8, 0)</f>
        <v/>
      </c>
      <c r="R608" s="27" t="n">
        <v>1</v>
      </c>
      <c r="S608" s="26" t="n">
        <v>0.97</v>
      </c>
      <c r="T608" s="26" t="n">
        <v>0.96</v>
      </c>
      <c r="U608" s="11">
        <f>IF(S608&lt;='Methodology &amp; Assumptions'!$B$10, "Direct Optical Drop (&lt;3km)", IF(S608&lt;='Methodology &amp; Assumptions'!$B$9, "Near Optical / Microwave (&lt;5km)", "Starlink Business LEO Satellite Backhaul (&gt;5km)"))</f>
        <v/>
      </c>
      <c r="V608" s="26" t="n">
        <v>80.34</v>
      </c>
      <c r="W608" s="26" t="n">
        <v>38.05</v>
      </c>
      <c r="X608" s="26">
        <f>ROUND(('Methodology &amp; Assumptions'!$B$5*V608) + ('Methodology &amp; Assumptions'!$B$6*W608), 2)</f>
        <v/>
      </c>
      <c r="Y608" s="28" t="n">
        <v>23.7</v>
      </c>
      <c r="Z608" s="11" t="inlineStr">
        <is>
          <t>Priority Tier 3 (Broadband Expansion)</t>
        </is>
      </c>
    </row>
    <row r="609">
      <c r="A609" s="23" t="n">
        <v>4</v>
      </c>
      <c r="B609" s="23" t="n">
        <v>605</v>
      </c>
      <c r="C609" s="23" t="n">
        <v>3605</v>
      </c>
      <c r="D609" s="23" t="inlineStr">
        <is>
          <t>0631000021</t>
        </is>
      </c>
      <c r="E609" s="11" t="inlineStr">
        <is>
          <t>Region VI (Western Visayas)</t>
        </is>
      </c>
      <c r="F609" s="11" t="inlineStr">
        <is>
          <t>Iloilo</t>
        </is>
      </c>
      <c r="G609" s="11" t="inlineStr">
        <is>
          <t>City of Iloilo</t>
        </is>
      </c>
      <c r="H609" s="11" t="inlineStr">
        <is>
          <t>Bolilao</t>
        </is>
      </c>
      <c r="I609" s="24" t="n">
        <v>10.92438</v>
      </c>
      <c r="J609" s="24" t="n">
        <v>122.558213</v>
      </c>
      <c r="K609" s="23" t="inlineStr">
        <is>
          <t>U</t>
        </is>
      </c>
      <c r="L609" s="25" t="n">
        <v>5520</v>
      </c>
      <c r="M609" s="26" t="n">
        <v>4.2</v>
      </c>
      <c r="N609" s="25">
        <f>ROUND(L609/M609, 0)</f>
        <v/>
      </c>
      <c r="O609" s="25">
        <f>ROUND(N609*'Methodology &amp; Assumptions'!$B$7, 0)</f>
        <v/>
      </c>
      <c r="P609" s="23" t="inlineStr">
        <is>
          <t>Single Carrier (Band n50, 100MHz TDD)</t>
        </is>
      </c>
      <c r="Q609" s="27">
        <f>ROUNDUP(O609/'Methodology &amp; Assumptions'!$B$8, 0)</f>
        <v/>
      </c>
      <c r="R609" s="27" t="n">
        <v>1</v>
      </c>
      <c r="S609" s="26" t="n">
        <v>0.97</v>
      </c>
      <c r="T609" s="26" t="n">
        <v>0.96</v>
      </c>
      <c r="U609" s="11">
        <f>IF(S609&lt;='Methodology &amp; Assumptions'!$B$10, "Direct Optical Drop (&lt;3km)", IF(S609&lt;='Methodology &amp; Assumptions'!$B$9, "Near Optical / Microwave (&lt;5km)", "Starlink Business LEO Satellite Backhaul (&gt;5km)"))</f>
        <v/>
      </c>
      <c r="V609" s="26" t="n">
        <v>80.34</v>
      </c>
      <c r="W609" s="26" t="n">
        <v>38.05</v>
      </c>
      <c r="X609" s="26">
        <f>ROUND(('Methodology &amp; Assumptions'!$B$5*V609) + ('Methodology &amp; Assumptions'!$B$6*W609), 2)</f>
        <v/>
      </c>
      <c r="Y609" s="28" t="n">
        <v>23.7</v>
      </c>
      <c r="Z609" s="11" t="inlineStr">
        <is>
          <t>Priority Tier 3 (Broadband Expansion)</t>
        </is>
      </c>
    </row>
    <row r="610">
      <c r="A610" s="23" t="n">
        <v>4</v>
      </c>
      <c r="B610" s="23" t="n">
        <v>606</v>
      </c>
      <c r="C610" s="23" t="n">
        <v>3606</v>
      </c>
      <c r="D610" s="23" t="inlineStr">
        <is>
          <t>0631000024</t>
        </is>
      </c>
      <c r="E610" s="11" t="inlineStr">
        <is>
          <t>Region VI (Western Visayas)</t>
        </is>
      </c>
      <c r="F610" s="11" t="inlineStr">
        <is>
          <t>Iloilo</t>
        </is>
      </c>
      <c r="G610" s="11" t="inlineStr">
        <is>
          <t>City of Iloilo</t>
        </is>
      </c>
      <c r="H610" s="11" t="inlineStr">
        <is>
          <t>Buhang</t>
        </is>
      </c>
      <c r="I610" s="24" t="n">
        <v>10.92438</v>
      </c>
      <c r="J610" s="24" t="n">
        <v>122.558213</v>
      </c>
      <c r="K610" s="23" t="inlineStr">
        <is>
          <t>U</t>
        </is>
      </c>
      <c r="L610" s="25" t="n">
        <v>3938</v>
      </c>
      <c r="M610" s="26" t="n">
        <v>4.2</v>
      </c>
      <c r="N610" s="25">
        <f>ROUND(L610/M610, 0)</f>
        <v/>
      </c>
      <c r="O610" s="25">
        <f>ROUND(N610*'Methodology &amp; Assumptions'!$B$7, 0)</f>
        <v/>
      </c>
      <c r="P610" s="23" t="inlineStr">
        <is>
          <t>Single Carrier (Band n50, 100MHz TDD)</t>
        </is>
      </c>
      <c r="Q610" s="27">
        <f>ROUNDUP(O610/'Methodology &amp; Assumptions'!$B$8, 0)</f>
        <v/>
      </c>
      <c r="R610" s="27" t="n">
        <v>1</v>
      </c>
      <c r="S610" s="26" t="n">
        <v>0.97</v>
      </c>
      <c r="T610" s="26" t="n">
        <v>0.96</v>
      </c>
      <c r="U610" s="11">
        <f>IF(S610&lt;='Methodology &amp; Assumptions'!$B$10, "Direct Optical Drop (&lt;3km)", IF(S610&lt;='Methodology &amp; Assumptions'!$B$9, "Near Optical / Microwave (&lt;5km)", "Starlink Business LEO Satellite Backhaul (&gt;5km)"))</f>
        <v/>
      </c>
      <c r="V610" s="26" t="n">
        <v>80.34</v>
      </c>
      <c r="W610" s="26" t="n">
        <v>38.05</v>
      </c>
      <c r="X610" s="26">
        <f>ROUND(('Methodology &amp; Assumptions'!$B$5*V610) + ('Methodology &amp; Assumptions'!$B$6*W610), 2)</f>
        <v/>
      </c>
      <c r="Y610" s="28" t="n">
        <v>23.7</v>
      </c>
      <c r="Z610" s="11" t="inlineStr">
        <is>
          <t>Priority Tier 3 (Broadband Expansion)</t>
        </is>
      </c>
    </row>
    <row r="611">
      <c r="A611" s="23" t="n">
        <v>4</v>
      </c>
      <c r="B611" s="23" t="n">
        <v>607</v>
      </c>
      <c r="C611" s="23" t="n">
        <v>3607</v>
      </c>
      <c r="D611" s="23" t="inlineStr">
        <is>
          <t>0631000026</t>
        </is>
      </c>
      <c r="E611" s="11" t="inlineStr">
        <is>
          <t>Region VI (Western Visayas)</t>
        </is>
      </c>
      <c r="F611" s="11" t="inlineStr">
        <is>
          <t>Iloilo</t>
        </is>
      </c>
      <c r="G611" s="11" t="inlineStr">
        <is>
          <t>City of Iloilo</t>
        </is>
      </c>
      <c r="H611" s="11" t="inlineStr">
        <is>
          <t>Buntatala</t>
        </is>
      </c>
      <c r="I611" s="24" t="n">
        <v>10.92438</v>
      </c>
      <c r="J611" s="24" t="n">
        <v>122.558213</v>
      </c>
      <c r="K611" s="23" t="inlineStr">
        <is>
          <t>U</t>
        </is>
      </c>
      <c r="L611" s="25" t="n">
        <v>4584</v>
      </c>
      <c r="M611" s="26" t="n">
        <v>4.2</v>
      </c>
      <c r="N611" s="25">
        <f>ROUND(L611/M611, 0)</f>
        <v/>
      </c>
      <c r="O611" s="25">
        <f>ROUND(N611*'Methodology &amp; Assumptions'!$B$7, 0)</f>
        <v/>
      </c>
      <c r="P611" s="23" t="inlineStr">
        <is>
          <t>Single Carrier (Band n50, 100MHz TDD)</t>
        </is>
      </c>
      <c r="Q611" s="27">
        <f>ROUNDUP(O611/'Methodology &amp; Assumptions'!$B$8, 0)</f>
        <v/>
      </c>
      <c r="R611" s="27" t="n">
        <v>1</v>
      </c>
      <c r="S611" s="26" t="n">
        <v>0.97</v>
      </c>
      <c r="T611" s="26" t="n">
        <v>0.96</v>
      </c>
      <c r="U611" s="11">
        <f>IF(S611&lt;='Methodology &amp; Assumptions'!$B$10, "Direct Optical Drop (&lt;3km)", IF(S611&lt;='Methodology &amp; Assumptions'!$B$9, "Near Optical / Microwave (&lt;5km)", "Starlink Business LEO Satellite Backhaul (&gt;5km)"))</f>
        <v/>
      </c>
      <c r="V611" s="26" t="n">
        <v>80.34</v>
      </c>
      <c r="W611" s="26" t="n">
        <v>38.05</v>
      </c>
      <c r="X611" s="26">
        <f>ROUND(('Methodology &amp; Assumptions'!$B$5*V611) + ('Methodology &amp; Assumptions'!$B$6*W611), 2)</f>
        <v/>
      </c>
      <c r="Y611" s="28" t="n">
        <v>23.7</v>
      </c>
      <c r="Z611" s="11" t="inlineStr">
        <is>
          <t>Priority Tier 3 (Broadband Expansion)</t>
        </is>
      </c>
    </row>
    <row r="612">
      <c r="A612" s="23" t="n">
        <v>4</v>
      </c>
      <c r="B612" s="23" t="n">
        <v>608</v>
      </c>
      <c r="C612" s="23" t="n">
        <v>3608</v>
      </c>
      <c r="D612" s="23" t="inlineStr">
        <is>
          <t>0631000030</t>
        </is>
      </c>
      <c r="E612" s="11" t="inlineStr">
        <is>
          <t>Region VI (Western Visayas)</t>
        </is>
      </c>
      <c r="F612" s="11" t="inlineStr">
        <is>
          <t>Iloilo</t>
        </is>
      </c>
      <c r="G612" s="11" t="inlineStr">
        <is>
          <t>City of Iloilo</t>
        </is>
      </c>
      <c r="H612" s="11" t="inlineStr">
        <is>
          <t>Calahunan</t>
        </is>
      </c>
      <c r="I612" s="24" t="n">
        <v>10.92438</v>
      </c>
      <c r="J612" s="24" t="n">
        <v>122.558213</v>
      </c>
      <c r="K612" s="23" t="inlineStr">
        <is>
          <t>U</t>
        </is>
      </c>
      <c r="L612" s="25" t="n">
        <v>5250</v>
      </c>
      <c r="M612" s="26" t="n">
        <v>4.2</v>
      </c>
      <c r="N612" s="25">
        <f>ROUND(L612/M612, 0)</f>
        <v/>
      </c>
      <c r="O612" s="25">
        <f>ROUND(N612*'Methodology &amp; Assumptions'!$B$7, 0)</f>
        <v/>
      </c>
      <c r="P612" s="23" t="inlineStr">
        <is>
          <t>Single Carrier (Band n50, 100MHz TDD)</t>
        </is>
      </c>
      <c r="Q612" s="27">
        <f>ROUNDUP(O612/'Methodology &amp; Assumptions'!$B$8, 0)</f>
        <v/>
      </c>
      <c r="R612" s="27" t="n">
        <v>1</v>
      </c>
      <c r="S612" s="26" t="n">
        <v>0.97</v>
      </c>
      <c r="T612" s="26" t="n">
        <v>0.96</v>
      </c>
      <c r="U612" s="11">
        <f>IF(S612&lt;='Methodology &amp; Assumptions'!$B$10, "Direct Optical Drop (&lt;3km)", IF(S612&lt;='Methodology &amp; Assumptions'!$B$9, "Near Optical / Microwave (&lt;5km)", "Starlink Business LEO Satellite Backhaul (&gt;5km)"))</f>
        <v/>
      </c>
      <c r="V612" s="26" t="n">
        <v>80.34</v>
      </c>
      <c r="W612" s="26" t="n">
        <v>38.05</v>
      </c>
      <c r="X612" s="26">
        <f>ROUND(('Methodology &amp; Assumptions'!$B$5*V612) + ('Methodology &amp; Assumptions'!$B$6*W612), 2)</f>
        <v/>
      </c>
      <c r="Y612" s="28" t="n">
        <v>23.7</v>
      </c>
      <c r="Z612" s="11" t="inlineStr">
        <is>
          <t>Priority Tier 3 (Broadband Expansion)</t>
        </is>
      </c>
    </row>
    <row r="613">
      <c r="A613" s="23" t="n">
        <v>4</v>
      </c>
      <c r="B613" s="23" t="n">
        <v>609</v>
      </c>
      <c r="C613" s="23" t="n">
        <v>3609</v>
      </c>
      <c r="D613" s="23" t="inlineStr">
        <is>
          <t>0631000031</t>
        </is>
      </c>
      <c r="E613" s="11" t="inlineStr">
        <is>
          <t>Region VI (Western Visayas)</t>
        </is>
      </c>
      <c r="F613" s="11" t="inlineStr">
        <is>
          <t>Iloilo</t>
        </is>
      </c>
      <c r="G613" s="11" t="inlineStr">
        <is>
          <t>City of Iloilo</t>
        </is>
      </c>
      <c r="H613" s="11" t="inlineStr">
        <is>
          <t>Calaparan</t>
        </is>
      </c>
      <c r="I613" s="24" t="n">
        <v>10.92438</v>
      </c>
      <c r="J613" s="24" t="n">
        <v>122.558213</v>
      </c>
      <c r="K613" s="23" t="inlineStr">
        <is>
          <t>U</t>
        </is>
      </c>
      <c r="L613" s="25" t="n">
        <v>9480</v>
      </c>
      <c r="M613" s="26" t="n">
        <v>4.2</v>
      </c>
      <c r="N613" s="25">
        <f>ROUND(L613/M613, 0)</f>
        <v/>
      </c>
      <c r="O613" s="25">
        <f>ROUND(N613*'Methodology &amp; Assumptions'!$B$7, 0)</f>
        <v/>
      </c>
      <c r="P613" s="23" t="inlineStr">
        <is>
          <t>Single Carrier (Band n50, 100MHz TDD)</t>
        </is>
      </c>
      <c r="Q613" s="27">
        <f>ROUNDUP(O613/'Methodology &amp; Assumptions'!$B$8, 0)</f>
        <v/>
      </c>
      <c r="R613" s="27" t="n">
        <v>1</v>
      </c>
      <c r="S613" s="26" t="n">
        <v>0.97</v>
      </c>
      <c r="T613" s="26" t="n">
        <v>0.96</v>
      </c>
      <c r="U613" s="11">
        <f>IF(S613&lt;='Methodology &amp; Assumptions'!$B$10, "Direct Optical Drop (&lt;3km)", IF(S613&lt;='Methodology &amp; Assumptions'!$B$9, "Near Optical / Microwave (&lt;5km)", "Starlink Business LEO Satellite Backhaul (&gt;5km)"))</f>
        <v/>
      </c>
      <c r="V613" s="26" t="n">
        <v>80.34</v>
      </c>
      <c r="W613" s="26" t="n">
        <v>38.05</v>
      </c>
      <c r="X613" s="26">
        <f>ROUND(('Methodology &amp; Assumptions'!$B$5*V613) + ('Methodology &amp; Assumptions'!$B$6*W613), 2)</f>
        <v/>
      </c>
      <c r="Y613" s="28" t="n">
        <v>23.7</v>
      </c>
      <c r="Z613" s="11" t="inlineStr">
        <is>
          <t>Priority Tier 3 (Broadband Expansion)</t>
        </is>
      </c>
    </row>
    <row r="614">
      <c r="A614" s="23" t="n">
        <v>4</v>
      </c>
      <c r="B614" s="23" t="n">
        <v>610</v>
      </c>
      <c r="C614" s="23" t="n">
        <v>3610</v>
      </c>
      <c r="D614" s="23" t="inlineStr">
        <is>
          <t>0631000032</t>
        </is>
      </c>
      <c r="E614" s="11" t="inlineStr">
        <is>
          <t>Region VI (Western Visayas)</t>
        </is>
      </c>
      <c r="F614" s="11" t="inlineStr">
        <is>
          <t>Iloilo</t>
        </is>
      </c>
      <c r="G614" s="11" t="inlineStr">
        <is>
          <t>City of Iloilo</t>
        </is>
      </c>
      <c r="H614" s="11" t="inlineStr">
        <is>
          <t>Calumpang</t>
        </is>
      </c>
      <c r="I614" s="24" t="n">
        <v>10.92438</v>
      </c>
      <c r="J614" s="24" t="n">
        <v>122.558213</v>
      </c>
      <c r="K614" s="23" t="inlineStr">
        <is>
          <t>U</t>
        </is>
      </c>
      <c r="L614" s="25" t="n">
        <v>16557</v>
      </c>
      <c r="M614" s="26" t="n">
        <v>4.2</v>
      </c>
      <c r="N614" s="25">
        <f>ROUND(L614/M614, 0)</f>
        <v/>
      </c>
      <c r="O614" s="25">
        <f>ROUND(N614*'Methodology &amp; Assumptions'!$B$7, 0)</f>
        <v/>
      </c>
      <c r="P614" s="23" t="inlineStr">
        <is>
          <t>Single Carrier (Band n50, 100MHz TDD)</t>
        </is>
      </c>
      <c r="Q614" s="27">
        <f>ROUNDUP(O614/'Methodology &amp; Assumptions'!$B$8, 0)</f>
        <v/>
      </c>
      <c r="R614" s="27" t="n">
        <v>1</v>
      </c>
      <c r="S614" s="26" t="n">
        <v>0.97</v>
      </c>
      <c r="T614" s="26" t="n">
        <v>0.96</v>
      </c>
      <c r="U614" s="11">
        <f>IF(S614&lt;='Methodology &amp; Assumptions'!$B$10, "Direct Optical Drop (&lt;3km)", IF(S614&lt;='Methodology &amp; Assumptions'!$B$9, "Near Optical / Microwave (&lt;5km)", "Starlink Business LEO Satellite Backhaul (&gt;5km)"))</f>
        <v/>
      </c>
      <c r="V614" s="26" t="n">
        <v>80.34</v>
      </c>
      <c r="W614" s="26" t="n">
        <v>38.05</v>
      </c>
      <c r="X614" s="26">
        <f>ROUND(('Methodology &amp; Assumptions'!$B$5*V614) + ('Methodology &amp; Assumptions'!$B$6*W614), 2)</f>
        <v/>
      </c>
      <c r="Y614" s="28" t="n">
        <v>23.7</v>
      </c>
      <c r="Z614" s="11" t="inlineStr">
        <is>
          <t>Priority Tier 3 (Broadband Expansion)</t>
        </is>
      </c>
    </row>
    <row r="615">
      <c r="A615" s="23" t="n">
        <v>4</v>
      </c>
      <c r="B615" s="23" t="n">
        <v>611</v>
      </c>
      <c r="C615" s="23" t="n">
        <v>3611</v>
      </c>
      <c r="D615" s="23" t="inlineStr">
        <is>
          <t>0631000041</t>
        </is>
      </c>
      <c r="E615" s="11" t="inlineStr">
        <is>
          <t>Region VI (Western Visayas)</t>
        </is>
      </c>
      <c r="F615" s="11" t="inlineStr">
        <is>
          <t>Iloilo</t>
        </is>
      </c>
      <c r="G615" s="11" t="inlineStr">
        <is>
          <t>City of Iloilo</t>
        </is>
      </c>
      <c r="H615" s="11" t="inlineStr">
        <is>
          <t>Cubay</t>
        </is>
      </c>
      <c r="I615" s="24" t="n">
        <v>10.92438</v>
      </c>
      <c r="J615" s="24" t="n">
        <v>122.558213</v>
      </c>
      <c r="K615" s="23" t="inlineStr">
        <is>
          <t>U</t>
        </is>
      </c>
      <c r="L615" s="25" t="n">
        <v>6979</v>
      </c>
      <c r="M615" s="26" t="n">
        <v>4.2</v>
      </c>
      <c r="N615" s="25">
        <f>ROUND(L615/M615, 0)</f>
        <v/>
      </c>
      <c r="O615" s="25">
        <f>ROUND(N615*'Methodology &amp; Assumptions'!$B$7, 0)</f>
        <v/>
      </c>
      <c r="P615" s="23" t="inlineStr">
        <is>
          <t>Single Carrier (Band n50, 100MHz TDD)</t>
        </is>
      </c>
      <c r="Q615" s="27">
        <f>ROUNDUP(O615/'Methodology &amp; Assumptions'!$B$8, 0)</f>
        <v/>
      </c>
      <c r="R615" s="27" t="n">
        <v>1</v>
      </c>
      <c r="S615" s="26" t="n">
        <v>0.97</v>
      </c>
      <c r="T615" s="26" t="n">
        <v>0.96</v>
      </c>
      <c r="U615" s="11">
        <f>IF(S615&lt;='Methodology &amp; Assumptions'!$B$10, "Direct Optical Drop (&lt;3km)", IF(S615&lt;='Methodology &amp; Assumptions'!$B$9, "Near Optical / Microwave (&lt;5km)", "Starlink Business LEO Satellite Backhaul (&gt;5km)"))</f>
        <v/>
      </c>
      <c r="V615" s="26" t="n">
        <v>80.34</v>
      </c>
      <c r="W615" s="26" t="n">
        <v>38.05</v>
      </c>
      <c r="X615" s="26">
        <f>ROUND(('Methodology &amp; Assumptions'!$B$5*V615) + ('Methodology &amp; Assumptions'!$B$6*W615), 2)</f>
        <v/>
      </c>
      <c r="Y615" s="28" t="n">
        <v>23.7</v>
      </c>
      <c r="Z615" s="11" t="inlineStr">
        <is>
          <t>Priority Tier 3 (Broadband Expansion)</t>
        </is>
      </c>
    </row>
    <row r="616">
      <c r="A616" s="23" t="n">
        <v>4</v>
      </c>
      <c r="B616" s="23" t="n">
        <v>612</v>
      </c>
      <c r="C616" s="23" t="n">
        <v>3612</v>
      </c>
      <c r="D616" s="23" t="inlineStr">
        <is>
          <t>0631000048</t>
        </is>
      </c>
      <c r="E616" s="11" t="inlineStr">
        <is>
          <t>Region VI (Western Visayas)</t>
        </is>
      </c>
      <c r="F616" s="11" t="inlineStr">
        <is>
          <t>Iloilo</t>
        </is>
      </c>
      <c r="G616" s="11" t="inlineStr">
        <is>
          <t>City of Iloilo</t>
        </is>
      </c>
      <c r="H616" s="11" t="inlineStr">
        <is>
          <t>Dulonan</t>
        </is>
      </c>
      <c r="I616" s="24" t="n">
        <v>10.92438</v>
      </c>
      <c r="J616" s="24" t="n">
        <v>122.558213</v>
      </c>
      <c r="K616" s="23" t="inlineStr">
        <is>
          <t>U</t>
        </is>
      </c>
      <c r="L616" s="25" t="n">
        <v>4778</v>
      </c>
      <c r="M616" s="26" t="n">
        <v>4.2</v>
      </c>
      <c r="N616" s="25">
        <f>ROUND(L616/M616, 0)</f>
        <v/>
      </c>
      <c r="O616" s="25">
        <f>ROUND(N616*'Methodology &amp; Assumptions'!$B$7, 0)</f>
        <v/>
      </c>
      <c r="P616" s="23" t="inlineStr">
        <is>
          <t>Single Carrier (Band n50, 100MHz TDD)</t>
        </is>
      </c>
      <c r="Q616" s="27">
        <f>ROUNDUP(O616/'Methodology &amp; Assumptions'!$B$8, 0)</f>
        <v/>
      </c>
      <c r="R616" s="27" t="n">
        <v>1</v>
      </c>
      <c r="S616" s="26" t="n">
        <v>0.97</v>
      </c>
      <c r="T616" s="26" t="n">
        <v>0.96</v>
      </c>
      <c r="U616" s="11">
        <f>IF(S616&lt;='Methodology &amp; Assumptions'!$B$10, "Direct Optical Drop (&lt;3km)", IF(S616&lt;='Methodology &amp; Assumptions'!$B$9, "Near Optical / Microwave (&lt;5km)", "Starlink Business LEO Satellite Backhaul (&gt;5km)"))</f>
        <v/>
      </c>
      <c r="V616" s="26" t="n">
        <v>80.34</v>
      </c>
      <c r="W616" s="26" t="n">
        <v>38.05</v>
      </c>
      <c r="X616" s="26">
        <f>ROUND(('Methodology &amp; Assumptions'!$B$5*V616) + ('Methodology &amp; Assumptions'!$B$6*W616), 2)</f>
        <v/>
      </c>
      <c r="Y616" s="28" t="n">
        <v>23.7</v>
      </c>
      <c r="Z616" s="11" t="inlineStr">
        <is>
          <t>Priority Tier 3 (Broadband Expansion)</t>
        </is>
      </c>
    </row>
    <row r="617">
      <c r="A617" s="23" t="n">
        <v>4</v>
      </c>
      <c r="B617" s="23" t="n">
        <v>613</v>
      </c>
      <c r="C617" s="23" t="n">
        <v>3613</v>
      </c>
      <c r="D617" s="23" t="inlineStr">
        <is>
          <t>0631000049</t>
        </is>
      </c>
      <c r="E617" s="11" t="inlineStr">
        <is>
          <t>Region VI (Western Visayas)</t>
        </is>
      </c>
      <c r="F617" s="11" t="inlineStr">
        <is>
          <t>Iloilo</t>
        </is>
      </c>
      <c r="G617" s="11" t="inlineStr">
        <is>
          <t>City of Iloilo</t>
        </is>
      </c>
      <c r="H617" s="11" t="inlineStr">
        <is>
          <t>Dungon</t>
        </is>
      </c>
      <c r="I617" s="24" t="n">
        <v>10.92438</v>
      </c>
      <c r="J617" s="24" t="n">
        <v>122.558213</v>
      </c>
      <c r="K617" s="23" t="inlineStr">
        <is>
          <t>U</t>
        </is>
      </c>
      <c r="L617" s="25" t="n">
        <v>3921</v>
      </c>
      <c r="M617" s="26" t="n">
        <v>4.2</v>
      </c>
      <c r="N617" s="25">
        <f>ROUND(L617/M617, 0)</f>
        <v/>
      </c>
      <c r="O617" s="25">
        <f>ROUND(N617*'Methodology &amp; Assumptions'!$B$7, 0)</f>
        <v/>
      </c>
      <c r="P617" s="23" t="inlineStr">
        <is>
          <t>Single Carrier (Band n50, 100MHz TDD)</t>
        </is>
      </c>
      <c r="Q617" s="27">
        <f>ROUNDUP(O617/'Methodology &amp; Assumptions'!$B$8, 0)</f>
        <v/>
      </c>
      <c r="R617" s="27" t="n">
        <v>1</v>
      </c>
      <c r="S617" s="26" t="n">
        <v>0.97</v>
      </c>
      <c r="T617" s="26" t="n">
        <v>0.96</v>
      </c>
      <c r="U617" s="11">
        <f>IF(S617&lt;='Methodology &amp; Assumptions'!$B$10, "Direct Optical Drop (&lt;3km)", IF(S617&lt;='Methodology &amp; Assumptions'!$B$9, "Near Optical / Microwave (&lt;5km)", "Starlink Business LEO Satellite Backhaul (&gt;5km)"))</f>
        <v/>
      </c>
      <c r="V617" s="26" t="n">
        <v>80.34</v>
      </c>
      <c r="W617" s="26" t="n">
        <v>38.05</v>
      </c>
      <c r="X617" s="26">
        <f>ROUND(('Methodology &amp; Assumptions'!$B$5*V617) + ('Methodology &amp; Assumptions'!$B$6*W617), 2)</f>
        <v/>
      </c>
      <c r="Y617" s="28" t="n">
        <v>23.7</v>
      </c>
      <c r="Z617" s="11" t="inlineStr">
        <is>
          <t>Priority Tier 3 (Broadband Expansion)</t>
        </is>
      </c>
    </row>
    <row r="618">
      <c r="A618" s="23" t="n">
        <v>4</v>
      </c>
      <c r="B618" s="23" t="n">
        <v>614</v>
      </c>
      <c r="C618" s="23" t="n">
        <v>3614</v>
      </c>
      <c r="D618" s="23" t="inlineStr">
        <is>
          <t>0631000064</t>
        </is>
      </c>
      <c r="E618" s="11" t="inlineStr">
        <is>
          <t>Region VI (Western Visayas)</t>
        </is>
      </c>
      <c r="F618" s="11" t="inlineStr">
        <is>
          <t>Iloilo</t>
        </is>
      </c>
      <c r="G618" s="11" t="inlineStr">
        <is>
          <t>City of Iloilo</t>
        </is>
      </c>
      <c r="H618" s="11" t="inlineStr">
        <is>
          <t>Guzman-Jesena</t>
        </is>
      </c>
      <c r="I618" s="24" t="n">
        <v>10.92438</v>
      </c>
      <c r="J618" s="24" t="n">
        <v>122.558213</v>
      </c>
      <c r="K618" s="23" t="inlineStr">
        <is>
          <t>U</t>
        </is>
      </c>
      <c r="L618" s="25" t="n">
        <v>5717</v>
      </c>
      <c r="M618" s="26" t="n">
        <v>4.2</v>
      </c>
      <c r="N618" s="25">
        <f>ROUND(L618/M618, 0)</f>
        <v/>
      </c>
      <c r="O618" s="25">
        <f>ROUND(N618*'Methodology &amp; Assumptions'!$B$7, 0)</f>
        <v/>
      </c>
      <c r="P618" s="23" t="inlineStr">
        <is>
          <t>Single Carrier (Band n50, 100MHz TDD)</t>
        </is>
      </c>
      <c r="Q618" s="27">
        <f>ROUNDUP(O618/'Methodology &amp; Assumptions'!$B$8, 0)</f>
        <v/>
      </c>
      <c r="R618" s="27" t="n">
        <v>1</v>
      </c>
      <c r="S618" s="26" t="n">
        <v>0.97</v>
      </c>
      <c r="T618" s="26" t="n">
        <v>0.96</v>
      </c>
      <c r="U618" s="11">
        <f>IF(S618&lt;='Methodology &amp; Assumptions'!$B$10, "Direct Optical Drop (&lt;3km)", IF(S618&lt;='Methodology &amp; Assumptions'!$B$9, "Near Optical / Microwave (&lt;5km)", "Starlink Business LEO Satellite Backhaul (&gt;5km)"))</f>
        <v/>
      </c>
      <c r="V618" s="26" t="n">
        <v>80.34</v>
      </c>
      <c r="W618" s="26" t="n">
        <v>38.05</v>
      </c>
      <c r="X618" s="26">
        <f>ROUND(('Methodology &amp; Assumptions'!$B$5*V618) + ('Methodology &amp; Assumptions'!$B$6*W618), 2)</f>
        <v/>
      </c>
      <c r="Y618" s="28" t="n">
        <v>23.7</v>
      </c>
      <c r="Z618" s="11" t="inlineStr">
        <is>
          <t>Priority Tier 3 (Broadband Expansion)</t>
        </is>
      </c>
    </row>
    <row r="619">
      <c r="A619" s="23" t="n">
        <v>4</v>
      </c>
      <c r="B619" s="23" t="n">
        <v>615</v>
      </c>
      <c r="C619" s="23" t="n">
        <v>3615</v>
      </c>
      <c r="D619" s="23" t="inlineStr">
        <is>
          <t>0631000067</t>
        </is>
      </c>
      <c r="E619" s="11" t="inlineStr">
        <is>
          <t>Region VI (Western Visayas)</t>
        </is>
      </c>
      <c r="F619" s="11" t="inlineStr">
        <is>
          <t>Iloilo</t>
        </is>
      </c>
      <c r="G619" s="11" t="inlineStr">
        <is>
          <t>City of Iloilo</t>
        </is>
      </c>
      <c r="H619" s="11" t="inlineStr">
        <is>
          <t>Hibao-an Sur</t>
        </is>
      </c>
      <c r="I619" s="24" t="n">
        <v>10.92438</v>
      </c>
      <c r="J619" s="24" t="n">
        <v>122.558213</v>
      </c>
      <c r="K619" s="23" t="inlineStr">
        <is>
          <t>U</t>
        </is>
      </c>
      <c r="L619" s="25" t="n">
        <v>4837</v>
      </c>
      <c r="M619" s="26" t="n">
        <v>4.2</v>
      </c>
      <c r="N619" s="25">
        <f>ROUND(L619/M619, 0)</f>
        <v/>
      </c>
      <c r="O619" s="25">
        <f>ROUND(N619*'Methodology &amp; Assumptions'!$B$7, 0)</f>
        <v/>
      </c>
      <c r="P619" s="23" t="inlineStr">
        <is>
          <t>Single Carrier (Band n50, 100MHz TDD)</t>
        </is>
      </c>
      <c r="Q619" s="27">
        <f>ROUNDUP(O619/'Methodology &amp; Assumptions'!$B$8, 0)</f>
        <v/>
      </c>
      <c r="R619" s="27" t="n">
        <v>1</v>
      </c>
      <c r="S619" s="26" t="n">
        <v>0.97</v>
      </c>
      <c r="T619" s="26" t="n">
        <v>0.96</v>
      </c>
      <c r="U619" s="11">
        <f>IF(S619&lt;='Methodology &amp; Assumptions'!$B$10, "Direct Optical Drop (&lt;3km)", IF(S619&lt;='Methodology &amp; Assumptions'!$B$9, "Near Optical / Microwave (&lt;5km)", "Starlink Business LEO Satellite Backhaul (&gt;5km)"))</f>
        <v/>
      </c>
      <c r="V619" s="26" t="n">
        <v>80.34</v>
      </c>
      <c r="W619" s="26" t="n">
        <v>38.05</v>
      </c>
      <c r="X619" s="26">
        <f>ROUND(('Methodology &amp; Assumptions'!$B$5*V619) + ('Methodology &amp; Assumptions'!$B$6*W619), 2)</f>
        <v/>
      </c>
      <c r="Y619" s="28" t="n">
        <v>23.7</v>
      </c>
      <c r="Z619" s="11" t="inlineStr">
        <is>
          <t>Priority Tier 3 (Broadband Expansion)</t>
        </is>
      </c>
    </row>
    <row r="620">
      <c r="A620" s="23" t="n">
        <v>4</v>
      </c>
      <c r="B620" s="23" t="n">
        <v>616</v>
      </c>
      <c r="C620" s="23" t="n">
        <v>3616</v>
      </c>
      <c r="D620" s="23" t="inlineStr">
        <is>
          <t>0631000072</t>
        </is>
      </c>
      <c r="E620" s="11" t="inlineStr">
        <is>
          <t>Region VI (Western Visayas)</t>
        </is>
      </c>
      <c r="F620" s="11" t="inlineStr">
        <is>
          <t>Iloilo</t>
        </is>
      </c>
      <c r="G620" s="11" t="inlineStr">
        <is>
          <t>City of Iloilo</t>
        </is>
      </c>
      <c r="H620" s="11" t="inlineStr">
        <is>
          <t>Ingore</t>
        </is>
      </c>
      <c r="I620" s="24" t="n">
        <v>10.92438</v>
      </c>
      <c r="J620" s="24" t="n">
        <v>122.558213</v>
      </c>
      <c r="K620" s="23" t="inlineStr">
        <is>
          <t>U</t>
        </is>
      </c>
      <c r="L620" s="25" t="n">
        <v>4395</v>
      </c>
      <c r="M620" s="26" t="n">
        <v>4.2</v>
      </c>
      <c r="N620" s="25">
        <f>ROUND(L620/M620, 0)</f>
        <v/>
      </c>
      <c r="O620" s="25">
        <f>ROUND(N620*'Methodology &amp; Assumptions'!$B$7, 0)</f>
        <v/>
      </c>
      <c r="P620" s="23" t="inlineStr">
        <is>
          <t>Single Carrier (Band n50, 100MHz TDD)</t>
        </is>
      </c>
      <c r="Q620" s="27">
        <f>ROUNDUP(O620/'Methodology &amp; Assumptions'!$B$8, 0)</f>
        <v/>
      </c>
      <c r="R620" s="27" t="n">
        <v>1</v>
      </c>
      <c r="S620" s="26" t="n">
        <v>0.97</v>
      </c>
      <c r="T620" s="26" t="n">
        <v>0.96</v>
      </c>
      <c r="U620" s="11">
        <f>IF(S620&lt;='Methodology &amp; Assumptions'!$B$10, "Direct Optical Drop (&lt;3km)", IF(S620&lt;='Methodology &amp; Assumptions'!$B$9, "Near Optical / Microwave (&lt;5km)", "Starlink Business LEO Satellite Backhaul (&gt;5km)"))</f>
        <v/>
      </c>
      <c r="V620" s="26" t="n">
        <v>80.34</v>
      </c>
      <c r="W620" s="26" t="n">
        <v>38.05</v>
      </c>
      <c r="X620" s="26">
        <f>ROUND(('Methodology &amp; Assumptions'!$B$5*V620) + ('Methodology &amp; Assumptions'!$B$6*W620), 2)</f>
        <v/>
      </c>
      <c r="Y620" s="28" t="n">
        <v>23.7</v>
      </c>
      <c r="Z620" s="11" t="inlineStr">
        <is>
          <t>Priority Tier 3 (Broadband Expansion)</t>
        </is>
      </c>
    </row>
    <row r="621">
      <c r="A621" s="23" t="n">
        <v>4</v>
      </c>
      <c r="B621" s="23" t="n">
        <v>617</v>
      </c>
      <c r="C621" s="23" t="n">
        <v>3617</v>
      </c>
      <c r="D621" s="23" t="inlineStr">
        <is>
          <t>0631000086</t>
        </is>
      </c>
      <c r="E621" s="11" t="inlineStr">
        <is>
          <t>Region VI (Western Visayas)</t>
        </is>
      </c>
      <c r="F621" s="11" t="inlineStr">
        <is>
          <t>Iloilo</t>
        </is>
      </c>
      <c r="G621" s="11" t="inlineStr">
        <is>
          <t>City of Iloilo</t>
        </is>
      </c>
      <c r="H621" s="11" t="inlineStr">
        <is>
          <t>Lanit</t>
        </is>
      </c>
      <c r="I621" s="24" t="n">
        <v>10.92438</v>
      </c>
      <c r="J621" s="24" t="n">
        <v>122.558213</v>
      </c>
      <c r="K621" s="23" t="inlineStr">
        <is>
          <t>U</t>
        </is>
      </c>
      <c r="L621" s="25" t="n">
        <v>8904</v>
      </c>
      <c r="M621" s="26" t="n">
        <v>4.2</v>
      </c>
      <c r="N621" s="25">
        <f>ROUND(L621/M621, 0)</f>
        <v/>
      </c>
      <c r="O621" s="25">
        <f>ROUND(N621*'Methodology &amp; Assumptions'!$B$7, 0)</f>
        <v/>
      </c>
      <c r="P621" s="23" t="inlineStr">
        <is>
          <t>Single Carrier (Band n50, 100MHz TDD)</t>
        </is>
      </c>
      <c r="Q621" s="27">
        <f>ROUNDUP(O621/'Methodology &amp; Assumptions'!$B$8, 0)</f>
        <v/>
      </c>
      <c r="R621" s="27" t="n">
        <v>1</v>
      </c>
      <c r="S621" s="26" t="n">
        <v>0.97</v>
      </c>
      <c r="T621" s="26" t="n">
        <v>0.96</v>
      </c>
      <c r="U621" s="11">
        <f>IF(S621&lt;='Methodology &amp; Assumptions'!$B$10, "Direct Optical Drop (&lt;3km)", IF(S621&lt;='Methodology &amp; Assumptions'!$B$9, "Near Optical / Microwave (&lt;5km)", "Starlink Business LEO Satellite Backhaul (&gt;5km)"))</f>
        <v/>
      </c>
      <c r="V621" s="26" t="n">
        <v>80.34</v>
      </c>
      <c r="W621" s="26" t="n">
        <v>38.05</v>
      </c>
      <c r="X621" s="26">
        <f>ROUND(('Methodology &amp; Assumptions'!$B$5*V621) + ('Methodology &amp; Assumptions'!$B$6*W621), 2)</f>
        <v/>
      </c>
      <c r="Y621" s="28" t="n">
        <v>23.7</v>
      </c>
      <c r="Z621" s="11" t="inlineStr">
        <is>
          <t>Priority Tier 3 (Broadband Expansion)</t>
        </is>
      </c>
    </row>
    <row r="622">
      <c r="A622" s="23" t="n">
        <v>4</v>
      </c>
      <c r="B622" s="23" t="n">
        <v>618</v>
      </c>
      <c r="C622" s="23" t="n">
        <v>3618</v>
      </c>
      <c r="D622" s="23" t="inlineStr">
        <is>
          <t>0631000098</t>
        </is>
      </c>
      <c r="E622" s="11" t="inlineStr">
        <is>
          <t>Region VI (Western Visayas)</t>
        </is>
      </c>
      <c r="F622" s="11" t="inlineStr">
        <is>
          <t>Iloilo</t>
        </is>
      </c>
      <c r="G622" s="11" t="inlineStr">
        <is>
          <t>City of Iloilo</t>
        </is>
      </c>
      <c r="H622" s="11" t="inlineStr">
        <is>
          <t>M. V. Hechanova</t>
        </is>
      </c>
      <c r="I622" s="24" t="n">
        <v>10.92438</v>
      </c>
      <c r="J622" s="24" t="n">
        <v>122.558213</v>
      </c>
      <c r="K622" s="23" t="inlineStr">
        <is>
          <t>U</t>
        </is>
      </c>
      <c r="L622" s="25" t="n">
        <v>4301</v>
      </c>
      <c r="M622" s="26" t="n">
        <v>4.2</v>
      </c>
      <c r="N622" s="25">
        <f>ROUND(L622/M622, 0)</f>
        <v/>
      </c>
      <c r="O622" s="25">
        <f>ROUND(N622*'Methodology &amp; Assumptions'!$B$7, 0)</f>
        <v/>
      </c>
      <c r="P622" s="23" t="inlineStr">
        <is>
          <t>Single Carrier (Band n50, 100MHz TDD)</t>
        </is>
      </c>
      <c r="Q622" s="27">
        <f>ROUNDUP(O622/'Methodology &amp; Assumptions'!$B$8, 0)</f>
        <v/>
      </c>
      <c r="R622" s="27" t="n">
        <v>1</v>
      </c>
      <c r="S622" s="26" t="n">
        <v>0.97</v>
      </c>
      <c r="T622" s="26" t="n">
        <v>0.96</v>
      </c>
      <c r="U622" s="11">
        <f>IF(S622&lt;='Methodology &amp; Assumptions'!$B$10, "Direct Optical Drop (&lt;3km)", IF(S622&lt;='Methodology &amp; Assumptions'!$B$9, "Near Optical / Microwave (&lt;5km)", "Starlink Business LEO Satellite Backhaul (&gt;5km)"))</f>
        <v/>
      </c>
      <c r="V622" s="26" t="n">
        <v>80.34</v>
      </c>
      <c r="W622" s="26" t="n">
        <v>38.05</v>
      </c>
      <c r="X622" s="26">
        <f>ROUND(('Methodology &amp; Assumptions'!$B$5*V622) + ('Methodology &amp; Assumptions'!$B$6*W622), 2)</f>
        <v/>
      </c>
      <c r="Y622" s="28" t="n">
        <v>23.7</v>
      </c>
      <c r="Z622" s="11" t="inlineStr">
        <is>
          <t>Priority Tier 3 (Broadband Expansion)</t>
        </is>
      </c>
    </row>
    <row r="623">
      <c r="A623" s="23" t="n">
        <v>4</v>
      </c>
      <c r="B623" s="23" t="n">
        <v>619</v>
      </c>
      <c r="C623" s="23" t="n">
        <v>3619</v>
      </c>
      <c r="D623" s="23" t="inlineStr">
        <is>
          <t>0631000106</t>
        </is>
      </c>
      <c r="E623" s="11" t="inlineStr">
        <is>
          <t>Region VI (Western Visayas)</t>
        </is>
      </c>
      <c r="F623" s="11" t="inlineStr">
        <is>
          <t>Iloilo</t>
        </is>
      </c>
      <c r="G623" s="11" t="inlineStr">
        <is>
          <t>City of Iloilo</t>
        </is>
      </c>
      <c r="H623" s="11" t="inlineStr">
        <is>
          <t>Marcelo H. del Pilar</t>
        </is>
      </c>
      <c r="I623" s="24" t="n">
        <v>10.92438</v>
      </c>
      <c r="J623" s="24" t="n">
        <v>122.558213</v>
      </c>
      <c r="K623" s="23" t="inlineStr">
        <is>
          <t>U</t>
        </is>
      </c>
      <c r="L623" s="25" t="n">
        <v>3930</v>
      </c>
      <c r="M623" s="26" t="n">
        <v>4.2</v>
      </c>
      <c r="N623" s="25">
        <f>ROUND(L623/M623, 0)</f>
        <v/>
      </c>
      <c r="O623" s="25">
        <f>ROUND(N623*'Methodology &amp; Assumptions'!$B$7, 0)</f>
        <v/>
      </c>
      <c r="P623" s="23" t="inlineStr">
        <is>
          <t>Single Carrier (Band n50, 100MHz TDD)</t>
        </is>
      </c>
      <c r="Q623" s="27">
        <f>ROUNDUP(O623/'Methodology &amp; Assumptions'!$B$8, 0)</f>
        <v/>
      </c>
      <c r="R623" s="27" t="n">
        <v>1</v>
      </c>
      <c r="S623" s="26" t="n">
        <v>0.97</v>
      </c>
      <c r="T623" s="26" t="n">
        <v>0.96</v>
      </c>
      <c r="U623" s="11">
        <f>IF(S623&lt;='Methodology &amp; Assumptions'!$B$10, "Direct Optical Drop (&lt;3km)", IF(S623&lt;='Methodology &amp; Assumptions'!$B$9, "Near Optical / Microwave (&lt;5km)", "Starlink Business LEO Satellite Backhaul (&gt;5km)"))</f>
        <v/>
      </c>
      <c r="V623" s="26" t="n">
        <v>80.34</v>
      </c>
      <c r="W623" s="26" t="n">
        <v>38.05</v>
      </c>
      <c r="X623" s="26">
        <f>ROUND(('Methodology &amp; Assumptions'!$B$5*V623) + ('Methodology &amp; Assumptions'!$B$6*W623), 2)</f>
        <v/>
      </c>
      <c r="Y623" s="28" t="n">
        <v>23.7</v>
      </c>
      <c r="Z623" s="11" t="inlineStr">
        <is>
          <t>Priority Tier 3 (Broadband Expansion)</t>
        </is>
      </c>
    </row>
    <row r="624">
      <c r="A624" s="23" t="n">
        <v>4</v>
      </c>
      <c r="B624" s="23" t="n">
        <v>620</v>
      </c>
      <c r="C624" s="23" t="n">
        <v>3620</v>
      </c>
      <c r="D624" s="23" t="inlineStr">
        <is>
          <t>0631000110</t>
        </is>
      </c>
      <c r="E624" s="11" t="inlineStr">
        <is>
          <t>Region VI (Western Visayas)</t>
        </is>
      </c>
      <c r="F624" s="11" t="inlineStr">
        <is>
          <t>Iloilo</t>
        </is>
      </c>
      <c r="G624" s="11" t="inlineStr">
        <is>
          <t>City of Iloilo</t>
        </is>
      </c>
      <c r="H624" s="11" t="inlineStr">
        <is>
          <t>Molo Boulevard</t>
        </is>
      </c>
      <c r="I624" s="24" t="n">
        <v>10.92438</v>
      </c>
      <c r="J624" s="24" t="n">
        <v>122.558213</v>
      </c>
      <c r="K624" s="23" t="inlineStr">
        <is>
          <t>U</t>
        </is>
      </c>
      <c r="L624" s="25" t="n">
        <v>8449</v>
      </c>
      <c r="M624" s="26" t="n">
        <v>4.2</v>
      </c>
      <c r="N624" s="25">
        <f>ROUND(L624/M624, 0)</f>
        <v/>
      </c>
      <c r="O624" s="25">
        <f>ROUND(N624*'Methodology &amp; Assumptions'!$B$7, 0)</f>
        <v/>
      </c>
      <c r="P624" s="23" t="inlineStr">
        <is>
          <t>Single Carrier (Band n50, 100MHz TDD)</t>
        </is>
      </c>
      <c r="Q624" s="27">
        <f>ROUNDUP(O624/'Methodology &amp; Assumptions'!$B$8, 0)</f>
        <v/>
      </c>
      <c r="R624" s="27" t="n">
        <v>1</v>
      </c>
      <c r="S624" s="26" t="n">
        <v>0.97</v>
      </c>
      <c r="T624" s="26" t="n">
        <v>0.96</v>
      </c>
      <c r="U624" s="11">
        <f>IF(S624&lt;='Methodology &amp; Assumptions'!$B$10, "Direct Optical Drop (&lt;3km)", IF(S624&lt;='Methodology &amp; Assumptions'!$B$9, "Near Optical / Microwave (&lt;5km)", "Starlink Business LEO Satellite Backhaul (&gt;5km)"))</f>
        <v/>
      </c>
      <c r="V624" s="26" t="n">
        <v>80.34</v>
      </c>
      <c r="W624" s="26" t="n">
        <v>38.05</v>
      </c>
      <c r="X624" s="26">
        <f>ROUND(('Methodology &amp; Assumptions'!$B$5*V624) + ('Methodology &amp; Assumptions'!$B$6*W624), 2)</f>
        <v/>
      </c>
      <c r="Y624" s="28" t="n">
        <v>23.7</v>
      </c>
      <c r="Z624" s="11" t="inlineStr">
        <is>
          <t>Priority Tier 3 (Broadband Expansion)</t>
        </is>
      </c>
    </row>
    <row r="625">
      <c r="A625" s="23" t="n">
        <v>4</v>
      </c>
      <c r="B625" s="23" t="n">
        <v>621</v>
      </c>
      <c r="C625" s="23" t="n">
        <v>3621</v>
      </c>
      <c r="D625" s="23" t="inlineStr">
        <is>
          <t>0631000120</t>
        </is>
      </c>
      <c r="E625" s="11" t="inlineStr">
        <is>
          <t>Region VI (Western Visayas)</t>
        </is>
      </c>
      <c r="F625" s="11" t="inlineStr">
        <is>
          <t>Iloilo</t>
        </is>
      </c>
      <c r="G625" s="11" t="inlineStr">
        <is>
          <t>City of Iloilo</t>
        </is>
      </c>
      <c r="H625" s="11" t="inlineStr">
        <is>
          <t>Oñate de Leon</t>
        </is>
      </c>
      <c r="I625" s="24" t="n">
        <v>10.92438</v>
      </c>
      <c r="J625" s="24" t="n">
        <v>122.558213</v>
      </c>
      <c r="K625" s="23" t="inlineStr">
        <is>
          <t>U</t>
        </is>
      </c>
      <c r="L625" s="25" t="n">
        <v>5044</v>
      </c>
      <c r="M625" s="26" t="n">
        <v>4.2</v>
      </c>
      <c r="N625" s="25">
        <f>ROUND(L625/M625, 0)</f>
        <v/>
      </c>
      <c r="O625" s="25">
        <f>ROUND(N625*'Methodology &amp; Assumptions'!$B$7, 0)</f>
        <v/>
      </c>
      <c r="P625" s="23" t="inlineStr">
        <is>
          <t>Single Carrier (Band n50, 100MHz TDD)</t>
        </is>
      </c>
      <c r="Q625" s="27">
        <f>ROUNDUP(O625/'Methodology &amp; Assumptions'!$B$8, 0)</f>
        <v/>
      </c>
      <c r="R625" s="27" t="n">
        <v>1</v>
      </c>
      <c r="S625" s="26" t="n">
        <v>0.97</v>
      </c>
      <c r="T625" s="26" t="n">
        <v>0.96</v>
      </c>
      <c r="U625" s="11">
        <f>IF(S625&lt;='Methodology &amp; Assumptions'!$B$10, "Direct Optical Drop (&lt;3km)", IF(S625&lt;='Methodology &amp; Assumptions'!$B$9, "Near Optical / Microwave (&lt;5km)", "Starlink Business LEO Satellite Backhaul (&gt;5km)"))</f>
        <v/>
      </c>
      <c r="V625" s="26" t="n">
        <v>80.34</v>
      </c>
      <c r="W625" s="26" t="n">
        <v>38.05</v>
      </c>
      <c r="X625" s="26">
        <f>ROUND(('Methodology &amp; Assumptions'!$B$5*V625) + ('Methodology &amp; Assumptions'!$B$6*W625), 2)</f>
        <v/>
      </c>
      <c r="Y625" s="28" t="n">
        <v>23.7</v>
      </c>
      <c r="Z625" s="11" t="inlineStr">
        <is>
          <t>Priority Tier 3 (Broadband Expansion)</t>
        </is>
      </c>
    </row>
    <row r="626">
      <c r="A626" s="23" t="n">
        <v>4</v>
      </c>
      <c r="B626" s="23" t="n">
        <v>622</v>
      </c>
      <c r="C626" s="23" t="n">
        <v>3622</v>
      </c>
      <c r="D626" s="23" t="inlineStr">
        <is>
          <t>0631000121</t>
        </is>
      </c>
      <c r="E626" s="11" t="inlineStr">
        <is>
          <t>Region VI (Western Visayas)</t>
        </is>
      </c>
      <c r="F626" s="11" t="inlineStr">
        <is>
          <t>Iloilo</t>
        </is>
      </c>
      <c r="G626" s="11" t="inlineStr">
        <is>
          <t>City of Iloilo</t>
        </is>
      </c>
      <c r="H626" s="11" t="inlineStr">
        <is>
          <t>Obrero-Lapuz</t>
        </is>
      </c>
      <c r="I626" s="24" t="n">
        <v>10.92438</v>
      </c>
      <c r="J626" s="24" t="n">
        <v>122.558213</v>
      </c>
      <c r="K626" s="23" t="inlineStr">
        <is>
          <t>U</t>
        </is>
      </c>
      <c r="L626" s="25" t="n">
        <v>6980</v>
      </c>
      <c r="M626" s="26" t="n">
        <v>4.2</v>
      </c>
      <c r="N626" s="25">
        <f>ROUND(L626/M626, 0)</f>
        <v/>
      </c>
      <c r="O626" s="25">
        <f>ROUND(N626*'Methodology &amp; Assumptions'!$B$7, 0)</f>
        <v/>
      </c>
      <c r="P626" s="23" t="inlineStr">
        <is>
          <t>Single Carrier (Band n50, 100MHz TDD)</t>
        </is>
      </c>
      <c r="Q626" s="27">
        <f>ROUNDUP(O626/'Methodology &amp; Assumptions'!$B$8, 0)</f>
        <v/>
      </c>
      <c r="R626" s="27" t="n">
        <v>1</v>
      </c>
      <c r="S626" s="26" t="n">
        <v>0.97</v>
      </c>
      <c r="T626" s="26" t="n">
        <v>0.96</v>
      </c>
      <c r="U626" s="11">
        <f>IF(S626&lt;='Methodology &amp; Assumptions'!$B$10, "Direct Optical Drop (&lt;3km)", IF(S626&lt;='Methodology &amp; Assumptions'!$B$9, "Near Optical / Microwave (&lt;5km)", "Starlink Business LEO Satellite Backhaul (&gt;5km)"))</f>
        <v/>
      </c>
      <c r="V626" s="26" t="n">
        <v>80.34</v>
      </c>
      <c r="W626" s="26" t="n">
        <v>38.05</v>
      </c>
      <c r="X626" s="26">
        <f>ROUND(('Methodology &amp; Assumptions'!$B$5*V626) + ('Methodology &amp; Assumptions'!$B$6*W626), 2)</f>
        <v/>
      </c>
      <c r="Y626" s="28" t="n">
        <v>23.7</v>
      </c>
      <c r="Z626" s="11" t="inlineStr">
        <is>
          <t>Priority Tier 3 (Broadband Expansion)</t>
        </is>
      </c>
    </row>
    <row r="627">
      <c r="A627" s="23" t="n">
        <v>4</v>
      </c>
      <c r="B627" s="23" t="n">
        <v>623</v>
      </c>
      <c r="C627" s="23" t="n">
        <v>3623</v>
      </c>
      <c r="D627" s="23" t="inlineStr">
        <is>
          <t>0631000135</t>
        </is>
      </c>
      <c r="E627" s="11" t="inlineStr">
        <is>
          <t>Region VI (Western Visayas)</t>
        </is>
      </c>
      <c r="F627" s="11" t="inlineStr">
        <is>
          <t>Iloilo</t>
        </is>
      </c>
      <c r="G627" s="11" t="inlineStr">
        <is>
          <t>City of Iloilo</t>
        </is>
      </c>
      <c r="H627" s="11" t="inlineStr">
        <is>
          <t>Quintin Salas</t>
        </is>
      </c>
      <c r="I627" s="24" t="n">
        <v>10.92438</v>
      </c>
      <c r="J627" s="24" t="n">
        <v>122.558213</v>
      </c>
      <c r="K627" s="23" t="inlineStr">
        <is>
          <t>U</t>
        </is>
      </c>
      <c r="L627" s="25" t="n">
        <v>5438</v>
      </c>
      <c r="M627" s="26" t="n">
        <v>4.2</v>
      </c>
      <c r="N627" s="25">
        <f>ROUND(L627/M627, 0)</f>
        <v/>
      </c>
      <c r="O627" s="25">
        <f>ROUND(N627*'Methodology &amp; Assumptions'!$B$7, 0)</f>
        <v/>
      </c>
      <c r="P627" s="23" t="inlineStr">
        <is>
          <t>Single Carrier (Band n50, 100MHz TDD)</t>
        </is>
      </c>
      <c r="Q627" s="27">
        <f>ROUNDUP(O627/'Methodology &amp; Assumptions'!$B$8, 0)</f>
        <v/>
      </c>
      <c r="R627" s="27" t="n">
        <v>1</v>
      </c>
      <c r="S627" s="26" t="n">
        <v>0.97</v>
      </c>
      <c r="T627" s="26" t="n">
        <v>0.96</v>
      </c>
      <c r="U627" s="11">
        <f>IF(S627&lt;='Methodology &amp; Assumptions'!$B$10, "Direct Optical Drop (&lt;3km)", IF(S627&lt;='Methodology &amp; Assumptions'!$B$9, "Near Optical / Microwave (&lt;5km)", "Starlink Business LEO Satellite Backhaul (&gt;5km)"))</f>
        <v/>
      </c>
      <c r="V627" s="26" t="n">
        <v>80.34</v>
      </c>
      <c r="W627" s="26" t="n">
        <v>38.05</v>
      </c>
      <c r="X627" s="26">
        <f>ROUND(('Methodology &amp; Assumptions'!$B$5*V627) + ('Methodology &amp; Assumptions'!$B$6*W627), 2)</f>
        <v/>
      </c>
      <c r="Y627" s="28" t="n">
        <v>23.7</v>
      </c>
      <c r="Z627" s="11" t="inlineStr">
        <is>
          <t>Priority Tier 3 (Broadband Expansion)</t>
        </is>
      </c>
    </row>
    <row r="628">
      <c r="A628" s="23" t="n">
        <v>4</v>
      </c>
      <c r="B628" s="23" t="n">
        <v>624</v>
      </c>
      <c r="C628" s="23" t="n">
        <v>3624</v>
      </c>
      <c r="D628" s="23" t="inlineStr">
        <is>
          <t>0631000144</t>
        </is>
      </c>
      <c r="E628" s="11" t="inlineStr">
        <is>
          <t>Region VI (Western Visayas)</t>
        </is>
      </c>
      <c r="F628" s="11" t="inlineStr">
        <is>
          <t>Iloilo</t>
        </is>
      </c>
      <c r="G628" s="11" t="inlineStr">
        <is>
          <t>City of Iloilo</t>
        </is>
      </c>
      <c r="H628" s="11" t="inlineStr">
        <is>
          <t>Sambag</t>
        </is>
      </c>
      <c r="I628" s="24" t="n">
        <v>10.92438</v>
      </c>
      <c r="J628" s="24" t="n">
        <v>122.558213</v>
      </c>
      <c r="K628" s="23" t="inlineStr">
        <is>
          <t>U</t>
        </is>
      </c>
      <c r="L628" s="25" t="n">
        <v>5774</v>
      </c>
      <c r="M628" s="26" t="n">
        <v>4.2</v>
      </c>
      <c r="N628" s="25">
        <f>ROUND(L628/M628, 0)</f>
        <v/>
      </c>
      <c r="O628" s="25">
        <f>ROUND(N628*'Methodology &amp; Assumptions'!$B$7, 0)</f>
        <v/>
      </c>
      <c r="P628" s="23" t="inlineStr">
        <is>
          <t>Single Carrier (Band n50, 100MHz TDD)</t>
        </is>
      </c>
      <c r="Q628" s="27">
        <f>ROUNDUP(O628/'Methodology &amp; Assumptions'!$B$8, 0)</f>
        <v/>
      </c>
      <c r="R628" s="27" t="n">
        <v>1</v>
      </c>
      <c r="S628" s="26" t="n">
        <v>0.97</v>
      </c>
      <c r="T628" s="26" t="n">
        <v>0.96</v>
      </c>
      <c r="U628" s="11">
        <f>IF(S628&lt;='Methodology &amp; Assumptions'!$B$10, "Direct Optical Drop (&lt;3km)", IF(S628&lt;='Methodology &amp; Assumptions'!$B$9, "Near Optical / Microwave (&lt;5km)", "Starlink Business LEO Satellite Backhaul (&gt;5km)"))</f>
        <v/>
      </c>
      <c r="V628" s="26" t="n">
        <v>80.34</v>
      </c>
      <c r="W628" s="26" t="n">
        <v>38.05</v>
      </c>
      <c r="X628" s="26">
        <f>ROUND(('Methodology &amp; Assumptions'!$B$5*V628) + ('Methodology &amp; Assumptions'!$B$6*W628), 2)</f>
        <v/>
      </c>
      <c r="Y628" s="28" t="n">
        <v>23.7</v>
      </c>
      <c r="Z628" s="11" t="inlineStr">
        <is>
          <t>Priority Tier 3 (Broadband Expansion)</t>
        </is>
      </c>
    </row>
    <row r="629">
      <c r="A629" s="23" t="n">
        <v>4</v>
      </c>
      <c r="B629" s="23" t="n">
        <v>625</v>
      </c>
      <c r="C629" s="23" t="n">
        <v>3625</v>
      </c>
      <c r="D629" s="23" t="inlineStr">
        <is>
          <t>0631000151</t>
        </is>
      </c>
      <c r="E629" s="11" t="inlineStr">
        <is>
          <t>Region VI (Western Visayas)</t>
        </is>
      </c>
      <c r="F629" s="11" t="inlineStr">
        <is>
          <t>Iloilo</t>
        </is>
      </c>
      <c r="G629" s="11" t="inlineStr">
        <is>
          <t>City of Iloilo</t>
        </is>
      </c>
      <c r="H629" s="11" t="inlineStr">
        <is>
          <t>San Isidro</t>
        </is>
      </c>
      <c r="I629" s="24" t="n">
        <v>10.92438</v>
      </c>
      <c r="J629" s="24" t="n">
        <v>122.558213</v>
      </c>
      <c r="K629" s="23" t="inlineStr">
        <is>
          <t>U</t>
        </is>
      </c>
      <c r="L629" s="25" t="n">
        <v>12141</v>
      </c>
      <c r="M629" s="26" t="n">
        <v>4.2</v>
      </c>
      <c r="N629" s="25">
        <f>ROUND(L629/M629, 0)</f>
        <v/>
      </c>
      <c r="O629" s="25">
        <f>ROUND(N629*'Methodology &amp; Assumptions'!$B$7, 0)</f>
        <v/>
      </c>
      <c r="P629" s="23" t="inlineStr">
        <is>
          <t>Single Carrier (Band n50, 100MHz TDD)</t>
        </is>
      </c>
      <c r="Q629" s="27">
        <f>ROUNDUP(O629/'Methodology &amp; Assumptions'!$B$8, 0)</f>
        <v/>
      </c>
      <c r="R629" s="27" t="n">
        <v>1</v>
      </c>
      <c r="S629" s="26" t="n">
        <v>0.97</v>
      </c>
      <c r="T629" s="26" t="n">
        <v>0.96</v>
      </c>
      <c r="U629" s="11">
        <f>IF(S629&lt;='Methodology &amp; Assumptions'!$B$10, "Direct Optical Drop (&lt;3km)", IF(S629&lt;='Methodology &amp; Assumptions'!$B$9, "Near Optical / Microwave (&lt;5km)", "Starlink Business LEO Satellite Backhaul (&gt;5km)"))</f>
        <v/>
      </c>
      <c r="V629" s="26" t="n">
        <v>80.34</v>
      </c>
      <c r="W629" s="26" t="n">
        <v>38.05</v>
      </c>
      <c r="X629" s="26">
        <f>ROUND(('Methodology &amp; Assumptions'!$B$5*V629) + ('Methodology &amp; Assumptions'!$B$6*W629), 2)</f>
        <v/>
      </c>
      <c r="Y629" s="28" t="n">
        <v>23.7</v>
      </c>
      <c r="Z629" s="11" t="inlineStr">
        <is>
          <t>Priority Tier 3 (Broadband Expansion)</t>
        </is>
      </c>
    </row>
    <row r="630">
      <c r="A630" s="23" t="n">
        <v>4</v>
      </c>
      <c r="B630" s="23" t="n">
        <v>626</v>
      </c>
      <c r="C630" s="23" t="n">
        <v>3626</v>
      </c>
      <c r="D630" s="23" t="inlineStr">
        <is>
          <t>0631000156</t>
        </is>
      </c>
      <c r="E630" s="11" t="inlineStr">
        <is>
          <t>Region VI (Western Visayas)</t>
        </is>
      </c>
      <c r="F630" s="11" t="inlineStr">
        <is>
          <t>Iloilo</t>
        </is>
      </c>
      <c r="G630" s="11" t="inlineStr">
        <is>
          <t>City of Iloilo</t>
        </is>
      </c>
      <c r="H630" s="11" t="inlineStr">
        <is>
          <t>San Juan</t>
        </is>
      </c>
      <c r="I630" s="24" t="n">
        <v>10.92438</v>
      </c>
      <c r="J630" s="24" t="n">
        <v>122.558213</v>
      </c>
      <c r="K630" s="23" t="inlineStr">
        <is>
          <t>U</t>
        </is>
      </c>
      <c r="L630" s="25" t="n">
        <v>11852</v>
      </c>
      <c r="M630" s="26" t="n">
        <v>4.2</v>
      </c>
      <c r="N630" s="25">
        <f>ROUND(L630/M630, 0)</f>
        <v/>
      </c>
      <c r="O630" s="25">
        <f>ROUND(N630*'Methodology &amp; Assumptions'!$B$7, 0)</f>
        <v/>
      </c>
      <c r="P630" s="23" t="inlineStr">
        <is>
          <t>Single Carrier (Band n50, 100MHz TDD)</t>
        </is>
      </c>
      <c r="Q630" s="27">
        <f>ROUNDUP(O630/'Methodology &amp; Assumptions'!$B$8, 0)</f>
        <v/>
      </c>
      <c r="R630" s="27" t="n">
        <v>1</v>
      </c>
      <c r="S630" s="26" t="n">
        <v>0.97</v>
      </c>
      <c r="T630" s="26" t="n">
        <v>0.96</v>
      </c>
      <c r="U630" s="11">
        <f>IF(S630&lt;='Methodology &amp; Assumptions'!$B$10, "Direct Optical Drop (&lt;3km)", IF(S630&lt;='Methodology &amp; Assumptions'!$B$9, "Near Optical / Microwave (&lt;5km)", "Starlink Business LEO Satellite Backhaul (&gt;5km)"))</f>
        <v/>
      </c>
      <c r="V630" s="26" t="n">
        <v>80.34</v>
      </c>
      <c r="W630" s="26" t="n">
        <v>38.05</v>
      </c>
      <c r="X630" s="26">
        <f>ROUND(('Methodology &amp; Assumptions'!$B$5*V630) + ('Methodology &amp; Assumptions'!$B$6*W630), 2)</f>
        <v/>
      </c>
      <c r="Y630" s="28" t="n">
        <v>23.7</v>
      </c>
      <c r="Z630" s="11" t="inlineStr">
        <is>
          <t>Priority Tier 3 (Broadband Expansion)</t>
        </is>
      </c>
    </row>
    <row r="631">
      <c r="A631" s="23" t="n">
        <v>4</v>
      </c>
      <c r="B631" s="23" t="n">
        <v>627</v>
      </c>
      <c r="C631" s="23" t="n">
        <v>3627</v>
      </c>
      <c r="D631" s="23" t="inlineStr">
        <is>
          <t>0631000168</t>
        </is>
      </c>
      <c r="E631" s="11" t="inlineStr">
        <is>
          <t>Region VI (Western Visayas)</t>
        </is>
      </c>
      <c r="F631" s="11" t="inlineStr">
        <is>
          <t>Iloilo</t>
        </is>
      </c>
      <c r="G631" s="11" t="inlineStr">
        <is>
          <t>City of Iloilo</t>
        </is>
      </c>
      <c r="H631" s="11" t="inlineStr">
        <is>
          <t>Santo Niño Sur</t>
        </is>
      </c>
      <c r="I631" s="24" t="n">
        <v>10.92438</v>
      </c>
      <c r="J631" s="24" t="n">
        <v>122.558213</v>
      </c>
      <c r="K631" s="23" t="inlineStr">
        <is>
          <t>U</t>
        </is>
      </c>
      <c r="L631" s="25" t="n">
        <v>9592</v>
      </c>
      <c r="M631" s="26" t="n">
        <v>4.2</v>
      </c>
      <c r="N631" s="25">
        <f>ROUND(L631/M631, 0)</f>
        <v/>
      </c>
      <c r="O631" s="25">
        <f>ROUND(N631*'Methodology &amp; Assumptions'!$B$7, 0)</f>
        <v/>
      </c>
      <c r="P631" s="23" t="inlineStr">
        <is>
          <t>Single Carrier (Band n50, 100MHz TDD)</t>
        </is>
      </c>
      <c r="Q631" s="27">
        <f>ROUNDUP(O631/'Methodology &amp; Assumptions'!$B$8, 0)</f>
        <v/>
      </c>
      <c r="R631" s="27" t="n">
        <v>1</v>
      </c>
      <c r="S631" s="26" t="n">
        <v>0.97</v>
      </c>
      <c r="T631" s="26" t="n">
        <v>0.96</v>
      </c>
      <c r="U631" s="11">
        <f>IF(S631&lt;='Methodology &amp; Assumptions'!$B$10, "Direct Optical Drop (&lt;3km)", IF(S631&lt;='Methodology &amp; Assumptions'!$B$9, "Near Optical / Microwave (&lt;5km)", "Starlink Business LEO Satellite Backhaul (&gt;5km)"))</f>
        <v/>
      </c>
      <c r="V631" s="26" t="n">
        <v>80.34</v>
      </c>
      <c r="W631" s="26" t="n">
        <v>38.05</v>
      </c>
      <c r="X631" s="26">
        <f>ROUND(('Methodology &amp; Assumptions'!$B$5*V631) + ('Methodology &amp; Assumptions'!$B$6*W631), 2)</f>
        <v/>
      </c>
      <c r="Y631" s="28" t="n">
        <v>23.7</v>
      </c>
      <c r="Z631" s="11" t="inlineStr">
        <is>
          <t>Priority Tier 3 (Broadband Expansion)</t>
        </is>
      </c>
    </row>
    <row r="632">
      <c r="A632" s="23" t="n">
        <v>4</v>
      </c>
      <c r="B632" s="23" t="n">
        <v>628</v>
      </c>
      <c r="C632" s="23" t="n">
        <v>3628</v>
      </c>
      <c r="D632" s="23" t="inlineStr">
        <is>
          <t>0631000171</t>
        </is>
      </c>
      <c r="E632" s="11" t="inlineStr">
        <is>
          <t>Region VI (Western Visayas)</t>
        </is>
      </c>
      <c r="F632" s="11" t="inlineStr">
        <is>
          <t>Iloilo</t>
        </is>
      </c>
      <c r="G632" s="11" t="inlineStr">
        <is>
          <t>City of Iloilo</t>
        </is>
      </c>
      <c r="H632" s="11" t="inlineStr">
        <is>
          <t>So-oc</t>
        </is>
      </c>
      <c r="I632" s="24" t="n">
        <v>10.92438</v>
      </c>
      <c r="J632" s="24" t="n">
        <v>122.558213</v>
      </c>
      <c r="K632" s="23" t="inlineStr">
        <is>
          <t>U</t>
        </is>
      </c>
      <c r="L632" s="25" t="n">
        <v>8869</v>
      </c>
      <c r="M632" s="26" t="n">
        <v>4.2</v>
      </c>
      <c r="N632" s="25">
        <f>ROUND(L632/M632, 0)</f>
        <v/>
      </c>
      <c r="O632" s="25">
        <f>ROUND(N632*'Methodology &amp; Assumptions'!$B$7, 0)</f>
        <v/>
      </c>
      <c r="P632" s="23" t="inlineStr">
        <is>
          <t>Single Carrier (Band n50, 100MHz TDD)</t>
        </is>
      </c>
      <c r="Q632" s="27">
        <f>ROUNDUP(O632/'Methodology &amp; Assumptions'!$B$8, 0)</f>
        <v/>
      </c>
      <c r="R632" s="27" t="n">
        <v>1</v>
      </c>
      <c r="S632" s="26" t="n">
        <v>0.97</v>
      </c>
      <c r="T632" s="26" t="n">
        <v>0.96</v>
      </c>
      <c r="U632" s="11">
        <f>IF(S632&lt;='Methodology &amp; Assumptions'!$B$10, "Direct Optical Drop (&lt;3km)", IF(S632&lt;='Methodology &amp; Assumptions'!$B$9, "Near Optical / Microwave (&lt;5km)", "Starlink Business LEO Satellite Backhaul (&gt;5km)"))</f>
        <v/>
      </c>
      <c r="V632" s="26" t="n">
        <v>80.34</v>
      </c>
      <c r="W632" s="26" t="n">
        <v>38.05</v>
      </c>
      <c r="X632" s="26">
        <f>ROUND(('Methodology &amp; Assumptions'!$B$5*V632) + ('Methodology &amp; Assumptions'!$B$6*W632), 2)</f>
        <v/>
      </c>
      <c r="Y632" s="28" t="n">
        <v>23.7</v>
      </c>
      <c r="Z632" s="11" t="inlineStr">
        <is>
          <t>Priority Tier 3 (Broadband Expansion)</t>
        </is>
      </c>
    </row>
    <row r="633">
      <c r="A633" s="23" t="n">
        <v>4</v>
      </c>
      <c r="B633" s="23" t="n">
        <v>629</v>
      </c>
      <c r="C633" s="23" t="n">
        <v>3629</v>
      </c>
      <c r="D633" s="23" t="inlineStr">
        <is>
          <t>0631000175</t>
        </is>
      </c>
      <c r="E633" s="11" t="inlineStr">
        <is>
          <t>Region VI (Western Visayas)</t>
        </is>
      </c>
      <c r="F633" s="11" t="inlineStr">
        <is>
          <t>Iloilo</t>
        </is>
      </c>
      <c r="G633" s="11" t="inlineStr">
        <is>
          <t>City of Iloilo</t>
        </is>
      </c>
      <c r="H633" s="11" t="inlineStr">
        <is>
          <t>Tabuc Suba</t>
        </is>
      </c>
      <c r="I633" s="24" t="n">
        <v>10.92438</v>
      </c>
      <c r="J633" s="24" t="n">
        <v>122.558213</v>
      </c>
      <c r="K633" s="23" t="inlineStr">
        <is>
          <t>U</t>
        </is>
      </c>
      <c r="L633" s="25" t="n">
        <v>11248</v>
      </c>
      <c r="M633" s="26" t="n">
        <v>4.2</v>
      </c>
      <c r="N633" s="25">
        <f>ROUND(L633/M633, 0)</f>
        <v/>
      </c>
      <c r="O633" s="25">
        <f>ROUND(N633*'Methodology &amp; Assumptions'!$B$7, 0)</f>
        <v/>
      </c>
      <c r="P633" s="23" t="inlineStr">
        <is>
          <t>Single Carrier (Band n50, 100MHz TDD)</t>
        </is>
      </c>
      <c r="Q633" s="27">
        <f>ROUNDUP(O633/'Methodology &amp; Assumptions'!$B$8, 0)</f>
        <v/>
      </c>
      <c r="R633" s="27" t="n">
        <v>1</v>
      </c>
      <c r="S633" s="26" t="n">
        <v>0.97</v>
      </c>
      <c r="T633" s="26" t="n">
        <v>0.96</v>
      </c>
      <c r="U633" s="11">
        <f>IF(S633&lt;='Methodology &amp; Assumptions'!$B$10, "Direct Optical Drop (&lt;3km)", IF(S633&lt;='Methodology &amp; Assumptions'!$B$9, "Near Optical / Microwave (&lt;5km)", "Starlink Business LEO Satellite Backhaul (&gt;5km)"))</f>
        <v/>
      </c>
      <c r="V633" s="26" t="n">
        <v>80.34</v>
      </c>
      <c r="W633" s="26" t="n">
        <v>38.05</v>
      </c>
      <c r="X633" s="26">
        <f>ROUND(('Methodology &amp; Assumptions'!$B$5*V633) + ('Methodology &amp; Assumptions'!$B$6*W633), 2)</f>
        <v/>
      </c>
      <c r="Y633" s="28" t="n">
        <v>23.7</v>
      </c>
      <c r="Z633" s="11" t="inlineStr">
        <is>
          <t>Priority Tier 3 (Broadband Expansion)</t>
        </is>
      </c>
    </row>
    <row r="634">
      <c r="A634" s="23" t="n">
        <v>4</v>
      </c>
      <c r="B634" s="23" t="n">
        <v>630</v>
      </c>
      <c r="C634" s="23" t="n">
        <v>3630</v>
      </c>
      <c r="D634" s="23" t="inlineStr">
        <is>
          <t>0631000177</t>
        </is>
      </c>
      <c r="E634" s="11" t="inlineStr">
        <is>
          <t>Region VI (Western Visayas)</t>
        </is>
      </c>
      <c r="F634" s="11" t="inlineStr">
        <is>
          <t>Iloilo</t>
        </is>
      </c>
      <c r="G634" s="11" t="inlineStr">
        <is>
          <t>City of Iloilo</t>
        </is>
      </c>
      <c r="H634" s="11" t="inlineStr">
        <is>
          <t>Tacas</t>
        </is>
      </c>
      <c r="I634" s="24" t="n">
        <v>10.92438</v>
      </c>
      <c r="J634" s="24" t="n">
        <v>122.558213</v>
      </c>
      <c r="K634" s="23" t="inlineStr">
        <is>
          <t>U</t>
        </is>
      </c>
      <c r="L634" s="25" t="n">
        <v>6510</v>
      </c>
      <c r="M634" s="26" t="n">
        <v>4.2</v>
      </c>
      <c r="N634" s="25">
        <f>ROUND(L634/M634, 0)</f>
        <v/>
      </c>
      <c r="O634" s="25">
        <f>ROUND(N634*'Methodology &amp; Assumptions'!$B$7, 0)</f>
        <v/>
      </c>
      <c r="P634" s="23" t="inlineStr">
        <is>
          <t>Single Carrier (Band n50, 100MHz TDD)</t>
        </is>
      </c>
      <c r="Q634" s="27">
        <f>ROUNDUP(O634/'Methodology &amp; Assumptions'!$B$8, 0)</f>
        <v/>
      </c>
      <c r="R634" s="27" t="n">
        <v>1</v>
      </c>
      <c r="S634" s="26" t="n">
        <v>0.97</v>
      </c>
      <c r="T634" s="26" t="n">
        <v>0.96</v>
      </c>
      <c r="U634" s="11">
        <f>IF(S634&lt;='Methodology &amp; Assumptions'!$B$10, "Direct Optical Drop (&lt;3km)", IF(S634&lt;='Methodology &amp; Assumptions'!$B$9, "Near Optical / Microwave (&lt;5km)", "Starlink Business LEO Satellite Backhaul (&gt;5km)"))</f>
        <v/>
      </c>
      <c r="V634" s="26" t="n">
        <v>80.34</v>
      </c>
      <c r="W634" s="26" t="n">
        <v>38.05</v>
      </c>
      <c r="X634" s="26">
        <f>ROUND(('Methodology &amp; Assumptions'!$B$5*V634) + ('Methodology &amp; Assumptions'!$B$6*W634), 2)</f>
        <v/>
      </c>
      <c r="Y634" s="28" t="n">
        <v>23.7</v>
      </c>
      <c r="Z634" s="11" t="inlineStr">
        <is>
          <t>Priority Tier 3 (Broadband Expansion)</t>
        </is>
      </c>
    </row>
    <row r="635">
      <c r="A635" s="23" t="n">
        <v>4</v>
      </c>
      <c r="B635" s="23" t="n">
        <v>631</v>
      </c>
      <c r="C635" s="23" t="n">
        <v>3631</v>
      </c>
      <c r="D635" s="23" t="inlineStr">
        <is>
          <t>0631000179</t>
        </is>
      </c>
      <c r="E635" s="11" t="inlineStr">
        <is>
          <t>Region VI (Western Visayas)</t>
        </is>
      </c>
      <c r="F635" s="11" t="inlineStr">
        <is>
          <t>Iloilo</t>
        </is>
      </c>
      <c r="G635" s="11" t="inlineStr">
        <is>
          <t>City of Iloilo</t>
        </is>
      </c>
      <c r="H635" s="11" t="inlineStr">
        <is>
          <t>Tagbac</t>
        </is>
      </c>
      <c r="I635" s="24" t="n">
        <v>10.92438</v>
      </c>
      <c r="J635" s="24" t="n">
        <v>122.558213</v>
      </c>
      <c r="K635" s="23" t="inlineStr">
        <is>
          <t>U</t>
        </is>
      </c>
      <c r="L635" s="25" t="n">
        <v>5212</v>
      </c>
      <c r="M635" s="26" t="n">
        <v>4.2</v>
      </c>
      <c r="N635" s="25">
        <f>ROUND(L635/M635, 0)</f>
        <v/>
      </c>
      <c r="O635" s="25">
        <f>ROUND(N635*'Methodology &amp; Assumptions'!$B$7, 0)</f>
        <v/>
      </c>
      <c r="P635" s="23" t="inlineStr">
        <is>
          <t>Single Carrier (Band n50, 100MHz TDD)</t>
        </is>
      </c>
      <c r="Q635" s="27">
        <f>ROUNDUP(O635/'Methodology &amp; Assumptions'!$B$8, 0)</f>
        <v/>
      </c>
      <c r="R635" s="27" t="n">
        <v>1</v>
      </c>
      <c r="S635" s="26" t="n">
        <v>0.97</v>
      </c>
      <c r="T635" s="26" t="n">
        <v>0.96</v>
      </c>
      <c r="U635" s="11">
        <f>IF(S635&lt;='Methodology &amp; Assumptions'!$B$10, "Direct Optical Drop (&lt;3km)", IF(S635&lt;='Methodology &amp; Assumptions'!$B$9, "Near Optical / Microwave (&lt;5km)", "Starlink Business LEO Satellite Backhaul (&gt;5km)"))</f>
        <v/>
      </c>
      <c r="V635" s="26" t="n">
        <v>80.34</v>
      </c>
      <c r="W635" s="26" t="n">
        <v>38.05</v>
      </c>
      <c r="X635" s="26">
        <f>ROUND(('Methodology &amp; Assumptions'!$B$5*V635) + ('Methodology &amp; Assumptions'!$B$6*W635), 2)</f>
        <v/>
      </c>
      <c r="Y635" s="28" t="n">
        <v>23.7</v>
      </c>
      <c r="Z635" s="11" t="inlineStr">
        <is>
          <t>Priority Tier 3 (Broadband Expansion)</t>
        </is>
      </c>
    </row>
    <row r="636">
      <c r="A636" s="23" t="n">
        <v>4</v>
      </c>
      <c r="B636" s="23" t="n">
        <v>632</v>
      </c>
      <c r="C636" s="23" t="n">
        <v>3632</v>
      </c>
      <c r="D636" s="23" t="inlineStr">
        <is>
          <t>0631000188</t>
        </is>
      </c>
      <c r="E636" s="11" t="inlineStr">
        <is>
          <t>Region VI (Western Visayas)</t>
        </is>
      </c>
      <c r="F636" s="11" t="inlineStr">
        <is>
          <t>Iloilo</t>
        </is>
      </c>
      <c r="G636" s="11" t="inlineStr">
        <is>
          <t>City of Iloilo</t>
        </is>
      </c>
      <c r="H636" s="11" t="inlineStr">
        <is>
          <t>Veterans Village</t>
        </is>
      </c>
      <c r="I636" s="24" t="n">
        <v>10.92438</v>
      </c>
      <c r="J636" s="24" t="n">
        <v>122.558213</v>
      </c>
      <c r="K636" s="23" t="inlineStr">
        <is>
          <t>U</t>
        </is>
      </c>
      <c r="L636" s="25" t="n">
        <v>5562</v>
      </c>
      <c r="M636" s="26" t="n">
        <v>4.2</v>
      </c>
      <c r="N636" s="25">
        <f>ROUND(L636/M636, 0)</f>
        <v/>
      </c>
      <c r="O636" s="25">
        <f>ROUND(N636*'Methodology &amp; Assumptions'!$B$7, 0)</f>
        <v/>
      </c>
      <c r="P636" s="23" t="inlineStr">
        <is>
          <t>Single Carrier (Band n50, 100MHz TDD)</t>
        </is>
      </c>
      <c r="Q636" s="27">
        <f>ROUNDUP(O636/'Methodology &amp; Assumptions'!$B$8, 0)</f>
        <v/>
      </c>
      <c r="R636" s="27" t="n">
        <v>1</v>
      </c>
      <c r="S636" s="26" t="n">
        <v>0.97</v>
      </c>
      <c r="T636" s="26" t="n">
        <v>0.96</v>
      </c>
      <c r="U636" s="11">
        <f>IF(S636&lt;='Methodology &amp; Assumptions'!$B$10, "Direct Optical Drop (&lt;3km)", IF(S636&lt;='Methodology &amp; Assumptions'!$B$9, "Near Optical / Microwave (&lt;5km)", "Starlink Business LEO Satellite Backhaul (&gt;5km)"))</f>
        <v/>
      </c>
      <c r="V636" s="26" t="n">
        <v>80.34</v>
      </c>
      <c r="W636" s="26" t="n">
        <v>38.05</v>
      </c>
      <c r="X636" s="26">
        <f>ROUND(('Methodology &amp; Assumptions'!$B$5*V636) + ('Methodology &amp; Assumptions'!$B$6*W636), 2)</f>
        <v/>
      </c>
      <c r="Y636" s="28" t="n">
        <v>23.7</v>
      </c>
      <c r="Z636" s="11" t="inlineStr">
        <is>
          <t>Priority Tier 3 (Broadband Expansion)</t>
        </is>
      </c>
    </row>
    <row r="637">
      <c r="A637" s="23" t="n">
        <v>4</v>
      </c>
      <c r="B637" s="23" t="n">
        <v>633</v>
      </c>
      <c r="C637" s="23" t="n">
        <v>3633</v>
      </c>
      <c r="D637" s="23" t="inlineStr">
        <is>
          <t>0631000201</t>
        </is>
      </c>
      <c r="E637" s="11" t="inlineStr">
        <is>
          <t>Region VI (Western Visayas)</t>
        </is>
      </c>
      <c r="F637" s="11" t="inlineStr">
        <is>
          <t>Iloilo</t>
        </is>
      </c>
      <c r="G637" s="11" t="inlineStr">
        <is>
          <t>City of Iloilo</t>
        </is>
      </c>
      <c r="H637" s="11" t="inlineStr">
        <is>
          <t>Tabuc Suba</t>
        </is>
      </c>
      <c r="I637" s="24" t="n">
        <v>10.92438</v>
      </c>
      <c r="J637" s="24" t="n">
        <v>122.558213</v>
      </c>
      <c r="K637" s="23" t="inlineStr">
        <is>
          <t>U</t>
        </is>
      </c>
      <c r="L637" s="25" t="n">
        <v>4063</v>
      </c>
      <c r="M637" s="26" t="n">
        <v>4.2</v>
      </c>
      <c r="N637" s="25">
        <f>ROUND(L637/M637, 0)</f>
        <v/>
      </c>
      <c r="O637" s="25">
        <f>ROUND(N637*'Methodology &amp; Assumptions'!$B$7, 0)</f>
        <v/>
      </c>
      <c r="P637" s="23" t="inlineStr">
        <is>
          <t>Single Carrier (Band n50, 100MHz TDD)</t>
        </is>
      </c>
      <c r="Q637" s="27">
        <f>ROUNDUP(O637/'Methodology &amp; Assumptions'!$B$8, 0)</f>
        <v/>
      </c>
      <c r="R637" s="27" t="n">
        <v>1</v>
      </c>
      <c r="S637" s="26" t="n">
        <v>0.97</v>
      </c>
      <c r="T637" s="26" t="n">
        <v>0.96</v>
      </c>
      <c r="U637" s="11">
        <f>IF(S637&lt;='Methodology &amp; Assumptions'!$B$10, "Direct Optical Drop (&lt;3km)", IF(S637&lt;='Methodology &amp; Assumptions'!$B$9, "Near Optical / Microwave (&lt;5km)", "Starlink Business LEO Satellite Backhaul (&gt;5km)"))</f>
        <v/>
      </c>
      <c r="V637" s="26" t="n">
        <v>80.34</v>
      </c>
      <c r="W637" s="26" t="n">
        <v>38.05</v>
      </c>
      <c r="X637" s="26">
        <f>ROUND(('Methodology &amp; Assumptions'!$B$5*V637) + ('Methodology &amp; Assumptions'!$B$6*W637), 2)</f>
        <v/>
      </c>
      <c r="Y637" s="28" t="n">
        <v>23.7</v>
      </c>
      <c r="Z637" s="11" t="inlineStr">
        <is>
          <t>Priority Tier 3 (Broadband Expansion)</t>
        </is>
      </c>
    </row>
    <row r="638">
      <c r="A638" s="23" t="n">
        <v>4</v>
      </c>
      <c r="B638" s="23" t="n">
        <v>634</v>
      </c>
      <c r="C638" s="23" t="n">
        <v>3634</v>
      </c>
      <c r="D638" s="23" t="inlineStr">
        <is>
          <t>0405804025</t>
        </is>
      </c>
      <c r="E638" s="11" t="inlineStr">
        <is>
          <t>Region IV-A (CALABARZON)</t>
        </is>
      </c>
      <c r="F638" s="11" t="inlineStr">
        <is>
          <t>Rizal</t>
        </is>
      </c>
      <c r="G638" s="11" t="inlineStr">
        <is>
          <t>Binangonan</t>
        </is>
      </c>
      <c r="H638" s="11" t="inlineStr">
        <is>
          <t>Mambog</t>
        </is>
      </c>
      <c r="I638" s="24" t="n">
        <v>14.481448</v>
      </c>
      <c r="J638" s="24" t="n">
        <v>121.21195</v>
      </c>
      <c r="K638" s="23" t="inlineStr">
        <is>
          <t>U</t>
        </is>
      </c>
      <c r="L638" s="25" t="n">
        <v>10886</v>
      </c>
      <c r="M638" s="26" t="n">
        <v>3.6</v>
      </c>
      <c r="N638" s="25">
        <f>ROUND(L638/M638, 0)</f>
        <v/>
      </c>
      <c r="O638" s="25">
        <f>ROUND(N638*'Methodology &amp; Assumptions'!$B$7, 0)</f>
        <v/>
      </c>
      <c r="P638" s="23" t="inlineStr">
        <is>
          <t>Single Carrier (Band n50, 100MHz TDD)</t>
        </is>
      </c>
      <c r="Q638" s="27">
        <f>ROUNDUP(O638/'Methodology &amp; Assumptions'!$B$8, 0)</f>
        <v/>
      </c>
      <c r="R638" s="27" t="n">
        <v>1</v>
      </c>
      <c r="S638" s="26" t="n">
        <v>1.4</v>
      </c>
      <c r="T638" s="26" t="n">
        <v>0.43</v>
      </c>
      <c r="U638" s="11">
        <f>IF(S638&lt;='Methodology &amp; Assumptions'!$B$10, "Direct Optical Drop (&lt;3km)", IF(S638&lt;='Methodology &amp; Assumptions'!$B$9, "Near Optical / Microwave (&lt;5km)", "Starlink Business LEO Satellite Backhaul (&gt;5km)"))</f>
        <v/>
      </c>
      <c r="V638" s="26" t="n">
        <v>76.13</v>
      </c>
      <c r="W638" s="26" t="n">
        <v>42.26</v>
      </c>
      <c r="X638" s="26">
        <f>ROUND(('Methodology &amp; Assumptions'!$B$5*V638) + ('Methodology &amp; Assumptions'!$B$6*W638), 2)</f>
        <v/>
      </c>
      <c r="Y638" s="28" t="n">
        <v>7.2</v>
      </c>
      <c r="Z638" s="11" t="inlineStr">
        <is>
          <t>Priority Tier 3 (Broadband Expansion)</t>
        </is>
      </c>
    </row>
    <row r="639">
      <c r="A639" s="23" t="n">
        <v>4</v>
      </c>
      <c r="B639" s="23" t="n">
        <v>635</v>
      </c>
      <c r="C639" s="23" t="n">
        <v>3635</v>
      </c>
      <c r="D639" s="23" t="inlineStr">
        <is>
          <t>0301414010</t>
        </is>
      </c>
      <c r="E639" s="11" t="inlineStr">
        <is>
          <t>Region III (Central Luzon)</t>
        </is>
      </c>
      <c r="F639" s="11" t="inlineStr">
        <is>
          <t>Bulacan</t>
        </is>
      </c>
      <c r="G639" s="11" t="inlineStr">
        <is>
          <t>Obando</t>
        </is>
      </c>
      <c r="H639" s="11" t="inlineStr">
        <is>
          <t>San Pascual</t>
        </is>
      </c>
      <c r="I639" s="24" t="n">
        <v>14.720647</v>
      </c>
      <c r="J639" s="24" t="n">
        <v>120.929383</v>
      </c>
      <c r="K639" s="23" t="inlineStr">
        <is>
          <t>U</t>
        </is>
      </c>
      <c r="L639" s="25" t="n">
        <v>8121</v>
      </c>
      <c r="M639" s="26" t="n">
        <v>3.5</v>
      </c>
      <c r="N639" s="25">
        <f>ROUND(L639/M639, 0)</f>
        <v/>
      </c>
      <c r="O639" s="25">
        <f>ROUND(N639*'Methodology &amp; Assumptions'!$B$7, 0)</f>
        <v/>
      </c>
      <c r="P639" s="23" t="inlineStr">
        <is>
          <t>Single Carrier (Band n50, 100MHz TDD)</t>
        </is>
      </c>
      <c r="Q639" s="27">
        <f>ROUNDUP(O639/'Methodology &amp; Assumptions'!$B$8, 0)</f>
        <v/>
      </c>
      <c r="R639" s="27" t="n">
        <v>1</v>
      </c>
      <c r="S639" s="26" t="n">
        <v>1.47</v>
      </c>
      <c r="T639" s="26" t="n">
        <v>3</v>
      </c>
      <c r="U639" s="11">
        <f>IF(S639&lt;='Methodology &amp; Assumptions'!$B$10, "Direct Optical Drop (&lt;3km)", IF(S639&lt;='Methodology &amp; Assumptions'!$B$9, "Near Optical / Microwave (&lt;5km)", "Starlink Business LEO Satellite Backhaul (&gt;5km)"))</f>
        <v/>
      </c>
      <c r="V639" s="26" t="n">
        <v>72.55</v>
      </c>
      <c r="W639" s="26" t="n">
        <v>45.85</v>
      </c>
      <c r="X639" s="26">
        <f>ROUND(('Methodology &amp; Assumptions'!$B$5*V639) + ('Methodology &amp; Assumptions'!$B$6*W639), 2)</f>
        <v/>
      </c>
      <c r="Y639" s="28" t="n">
        <v>8.300000000000001</v>
      </c>
      <c r="Z639" s="11" t="inlineStr">
        <is>
          <t>Priority Tier 3 (Broadband Expansion)</t>
        </is>
      </c>
    </row>
    <row r="640">
      <c r="A640" s="23" t="n">
        <v>4</v>
      </c>
      <c r="B640" s="23" t="n">
        <v>636</v>
      </c>
      <c r="C640" s="23" t="n">
        <v>3636</v>
      </c>
      <c r="D640" s="23" t="inlineStr">
        <is>
          <t>0304927015</t>
        </is>
      </c>
      <c r="E640" s="11" t="inlineStr">
        <is>
          <t>Region III (Central Luzon)</t>
        </is>
      </c>
      <c r="F640" s="11" t="inlineStr">
        <is>
          <t>Nueva Ecija</t>
        </is>
      </c>
      <c r="G640" s="11" t="inlineStr">
        <is>
          <t>San Leonardo</t>
        </is>
      </c>
      <c r="H640" s="11" t="inlineStr">
        <is>
          <t>Tagumpay</t>
        </is>
      </c>
      <c r="I640" s="24" t="n">
        <v>15.368606</v>
      </c>
      <c r="J640" s="24" t="n">
        <v>120.947444</v>
      </c>
      <c r="K640" s="23" t="inlineStr">
        <is>
          <t>R</t>
        </is>
      </c>
      <c r="L640" s="25" t="n">
        <v>1295</v>
      </c>
      <c r="M640" s="26" t="n">
        <v>3.5</v>
      </c>
      <c r="N640" s="25">
        <f>ROUND(L640/M640, 0)</f>
        <v/>
      </c>
      <c r="O640" s="25">
        <f>ROUND(N640*'Methodology &amp; Assumptions'!$B$7, 0)</f>
        <v/>
      </c>
      <c r="P640" s="23" t="inlineStr">
        <is>
          <t>Single Carrier (Band n50, 100MHz TDD)</t>
        </is>
      </c>
      <c r="Q640" s="27">
        <f>ROUNDUP(O640/'Methodology &amp; Assumptions'!$B$8, 0)</f>
        <v/>
      </c>
      <c r="R640" s="27" t="n">
        <v>1</v>
      </c>
      <c r="S640" s="26" t="n">
        <v>1.02</v>
      </c>
      <c r="T640" s="26" t="n">
        <v>0.79</v>
      </c>
      <c r="U640" s="11">
        <f>IF(S640&lt;='Methodology &amp; Assumptions'!$B$10, "Direct Optical Drop (&lt;3km)", IF(S640&lt;='Methodology &amp; Assumptions'!$B$9, "Near Optical / Microwave (&lt;5km)", "Starlink Business LEO Satellite Backhaul (&gt;5km)"))</f>
        <v/>
      </c>
      <c r="V640" s="26" t="n">
        <v>70.37</v>
      </c>
      <c r="W640" s="26" t="n">
        <v>48.03</v>
      </c>
      <c r="X640" s="26">
        <f>ROUND(('Methodology &amp; Assumptions'!$B$5*V640) + ('Methodology &amp; Assumptions'!$B$6*W640), 2)</f>
        <v/>
      </c>
      <c r="Y640" s="28" t="n">
        <v>8.300000000000001</v>
      </c>
      <c r="Z640" s="11" t="inlineStr">
        <is>
          <t>Priority Tier 3 (Broadband Expansion)</t>
        </is>
      </c>
    </row>
    <row r="641">
      <c r="A641" s="23" t="n">
        <v>4</v>
      </c>
      <c r="B641" s="23" t="n">
        <v>637</v>
      </c>
      <c r="C641" s="23" t="n">
        <v>3637</v>
      </c>
      <c r="D641" s="23" t="inlineStr">
        <is>
          <t>1705320022</t>
        </is>
      </c>
      <c r="E641" s="11" t="inlineStr">
        <is>
          <t>MIMAROPA Region</t>
        </is>
      </c>
      <c r="F641" s="11" t="inlineStr">
        <is>
          <t>Palawan</t>
        </is>
      </c>
      <c r="G641" s="11" t="inlineStr">
        <is>
          <t>Taytay</t>
        </is>
      </c>
      <c r="H641" s="11" t="inlineStr">
        <is>
          <t>San Jose</t>
        </is>
      </c>
      <c r="I641" s="24" t="n">
        <v>10.919385</v>
      </c>
      <c r="J641" s="24" t="n">
        <v>119.282787</v>
      </c>
      <c r="K641" s="23" t="inlineStr">
        <is>
          <t>R</t>
        </is>
      </c>
      <c r="L641" s="25" t="n">
        <v>2960</v>
      </c>
      <c r="M641" s="26" t="n">
        <v>3.9</v>
      </c>
      <c r="N641" s="25">
        <f>ROUND(L641/M641, 0)</f>
        <v/>
      </c>
      <c r="O641" s="25">
        <f>ROUND(N641*'Methodology &amp; Assumptions'!$B$7, 0)</f>
        <v/>
      </c>
      <c r="P641" s="23" t="inlineStr">
        <is>
          <t>Single Carrier (Band n50, 100MHz TDD)</t>
        </is>
      </c>
      <c r="Q641" s="27">
        <f>ROUNDUP(O641/'Methodology &amp; Assumptions'!$B$8, 0)</f>
        <v/>
      </c>
      <c r="R641" s="27" t="n">
        <v>1</v>
      </c>
      <c r="S641" s="26" t="n">
        <v>15.52</v>
      </c>
      <c r="T641" s="26" t="n">
        <v>26.18</v>
      </c>
      <c r="U641" s="11">
        <f>IF(S641&lt;='Methodology &amp; Assumptions'!$B$10, "Direct Optical Drop (&lt;3km)", IF(S641&lt;='Methodology &amp; Assumptions'!$B$9, "Near Optical / Microwave (&lt;5km)", "Starlink Business LEO Satellite Backhaul (&gt;5km)"))</f>
        <v/>
      </c>
      <c r="V641" s="26" t="n">
        <v>57.44</v>
      </c>
      <c r="W641" s="26" t="n">
        <v>60.96</v>
      </c>
      <c r="X641" s="26">
        <f>ROUND(('Methodology &amp; Assumptions'!$B$5*V641) + ('Methodology &amp; Assumptions'!$B$6*W641), 2)</f>
        <v/>
      </c>
      <c r="Y641" s="28" t="n">
        <v>15</v>
      </c>
      <c r="Z641" s="11" t="inlineStr">
        <is>
          <t>Priority Tier 3 (Broadband Expansion)</t>
        </is>
      </c>
    </row>
    <row r="642">
      <c r="A642" s="23" t="n">
        <v>4</v>
      </c>
      <c r="B642" s="23" t="n">
        <v>638</v>
      </c>
      <c r="C642" s="23" t="n">
        <v>3638</v>
      </c>
      <c r="D642" s="23" t="inlineStr">
        <is>
          <t>1380606095</t>
        </is>
      </c>
      <c r="E642" s="11" t="inlineStr">
        <is>
          <t>National Capital Region (NCR)</t>
        </is>
      </c>
      <c r="F642" s="11" t="inlineStr">
        <is>
          <t>First District (Not a Province)</t>
        </is>
      </c>
      <c r="G642" s="11" t="inlineStr">
        <is>
          <t>City of Manila</t>
        </is>
      </c>
      <c r="H642" s="11" t="inlineStr">
        <is>
          <t>Barangay 489</t>
        </is>
      </c>
      <c r="I642" s="24" t="n">
        <v>14.614618</v>
      </c>
      <c r="J642" s="24" t="n">
        <v>120.990302</v>
      </c>
      <c r="K642" s="23" t="inlineStr">
        <is>
          <t>U</t>
        </is>
      </c>
      <c r="L642" s="25" t="n">
        <v>1224</v>
      </c>
      <c r="M642" s="26" t="n">
        <v>4.5</v>
      </c>
      <c r="N642" s="25">
        <f>ROUND(L642/M642, 0)</f>
        <v/>
      </c>
      <c r="O642" s="25">
        <f>ROUND(N642*'Methodology &amp; Assumptions'!$B$7, 0)</f>
        <v/>
      </c>
      <c r="P642" s="23" t="inlineStr">
        <is>
          <t>Single Carrier (Band n50, 100MHz TDD)</t>
        </is>
      </c>
      <c r="Q642" s="27">
        <f>ROUNDUP(O642/'Methodology &amp; Assumptions'!$B$8, 0)</f>
        <v/>
      </c>
      <c r="R642" s="27" t="n">
        <v>1</v>
      </c>
      <c r="S642" s="26" t="n">
        <v>0.83</v>
      </c>
      <c r="T642" s="26" t="n">
        <v>0.53</v>
      </c>
      <c r="U642" s="11">
        <f>IF(S642&lt;='Methodology &amp; Assumptions'!$B$10, "Direct Optical Drop (&lt;3km)", IF(S642&lt;='Methodology &amp; Assumptions'!$B$9, "Near Optical / Microwave (&lt;5km)", "Starlink Business LEO Satellite Backhaul (&gt;5km)"))</f>
        <v/>
      </c>
      <c r="V642" s="26" t="n">
        <v>49.88</v>
      </c>
      <c r="W642" s="26" t="n">
        <v>68.53</v>
      </c>
      <c r="X642" s="26">
        <f>ROUND(('Methodology &amp; Assumptions'!$B$5*V642) + ('Methodology &amp; Assumptions'!$B$6*W642), 2)</f>
        <v/>
      </c>
      <c r="Y642" s="28" t="n">
        <v>10.9</v>
      </c>
      <c r="Z642" s="11" t="inlineStr">
        <is>
          <t>Priority Tier 3 (Broadband Expansion)</t>
        </is>
      </c>
    </row>
    <row r="643">
      <c r="A643" s="23" t="n">
        <v>4</v>
      </c>
      <c r="B643" s="23" t="n">
        <v>639</v>
      </c>
      <c r="C643" s="23" t="n">
        <v>3639</v>
      </c>
      <c r="D643" s="23" t="inlineStr">
        <is>
          <t>0907312010</t>
        </is>
      </c>
      <c r="E643" s="11" t="inlineStr">
        <is>
          <t>Region IX (Zamboanga Peninsula)</t>
        </is>
      </c>
      <c r="F643" s="11" t="inlineStr">
        <is>
          <t>Zamboanga del Sur</t>
        </is>
      </c>
      <c r="G643" s="11" t="inlineStr">
        <is>
          <t>Labangan</t>
        </is>
      </c>
      <c r="H643" s="11" t="inlineStr">
        <is>
          <t>Dipaya</t>
        </is>
      </c>
      <c r="I643" s="24" t="n">
        <v>7.936592</v>
      </c>
      <c r="J643" s="24" t="n">
        <v>123.432747</v>
      </c>
      <c r="K643" s="23" t="inlineStr">
        <is>
          <t>R</t>
        </is>
      </c>
      <c r="L643" s="25" t="n">
        <v>1191</v>
      </c>
      <c r="M643" s="26" t="n">
        <v>3.9</v>
      </c>
      <c r="N643" s="25">
        <f>ROUND(L643/M643, 0)</f>
        <v/>
      </c>
      <c r="O643" s="25">
        <f>ROUND(N643*'Methodology &amp; Assumptions'!$B$7, 0)</f>
        <v/>
      </c>
      <c r="P643" s="23" t="inlineStr">
        <is>
          <t>Single Carrier (Band n50, 100MHz TDD)</t>
        </is>
      </c>
      <c r="Q643" s="27">
        <f>ROUNDUP(O643/'Methodology &amp; Assumptions'!$B$8, 0)</f>
        <v/>
      </c>
      <c r="R643" s="27" t="n">
        <v>1</v>
      </c>
      <c r="S643" s="26" t="n">
        <v>11.78</v>
      </c>
      <c r="T643" s="26" t="n">
        <v>10.46</v>
      </c>
      <c r="U643" s="11">
        <f>IF(S643&lt;='Methodology &amp; Assumptions'!$B$10, "Direct Optical Drop (&lt;3km)", IF(S643&lt;='Methodology &amp; Assumptions'!$B$9, "Near Optical / Microwave (&lt;5km)", "Starlink Business LEO Satellite Backhaul (&gt;5km)"))</f>
        <v/>
      </c>
      <c r="V643" s="26" t="n">
        <v>46.83</v>
      </c>
      <c r="W643" s="26" t="n">
        <v>71.56</v>
      </c>
      <c r="X643" s="26">
        <f>ROUND(('Methodology &amp; Assumptions'!$B$5*V643) + ('Methodology &amp; Assumptions'!$B$6*W643), 2)</f>
        <v/>
      </c>
      <c r="Y643" s="28" t="n">
        <v>11</v>
      </c>
      <c r="Z643" s="11" t="inlineStr">
        <is>
          <t>Priority Tier 3 (Broadband Expansion)</t>
        </is>
      </c>
    </row>
    <row r="644">
      <c r="A644" s="23" t="n">
        <v>4</v>
      </c>
      <c r="B644" s="23" t="n">
        <v>640</v>
      </c>
      <c r="C644" s="23" t="n">
        <v>3640</v>
      </c>
      <c r="D644" s="23" t="inlineStr">
        <is>
          <t>0105526004</t>
        </is>
      </c>
      <c r="E644" s="11" t="inlineStr">
        <is>
          <t>Region I (Ilocos Region)</t>
        </is>
      </c>
      <c r="F644" s="11" t="inlineStr">
        <is>
          <t>Pangasinan</t>
        </is>
      </c>
      <c r="G644" s="11" t="inlineStr">
        <is>
          <t>Mangaldan</t>
        </is>
      </c>
      <c r="H644" s="11" t="inlineStr">
        <is>
          <t>Banaoang</t>
        </is>
      </c>
      <c r="I644" s="24" t="n">
        <v>16.060305</v>
      </c>
      <c r="J644" s="24" t="n">
        <v>120.409327</v>
      </c>
      <c r="K644" s="23" t="inlineStr">
        <is>
          <t>U</t>
        </is>
      </c>
      <c r="L644" s="25" t="n">
        <v>5904</v>
      </c>
      <c r="M644" s="26" t="n">
        <v>3.6</v>
      </c>
      <c r="N644" s="25">
        <f>ROUND(L644/M644, 0)</f>
        <v/>
      </c>
      <c r="O644" s="25">
        <f>ROUND(N644*'Methodology &amp; Assumptions'!$B$7, 0)</f>
        <v/>
      </c>
      <c r="P644" s="23" t="inlineStr">
        <is>
          <t>Single Carrier (Band n50, 100MHz TDD)</t>
        </is>
      </c>
      <c r="Q644" s="27">
        <f>ROUNDUP(O644/'Methodology &amp; Assumptions'!$B$8, 0)</f>
        <v/>
      </c>
      <c r="R644" s="27" t="n">
        <v>1</v>
      </c>
      <c r="S644" s="26" t="n">
        <v>1.12</v>
      </c>
      <c r="T644" s="26" t="n">
        <v>0.75</v>
      </c>
      <c r="U644" s="11">
        <f>IF(S644&lt;='Methodology &amp; Assumptions'!$B$10, "Direct Optical Drop (&lt;3km)", IF(S644&lt;='Methodology &amp; Assumptions'!$B$9, "Near Optical / Microwave (&lt;5km)", "Starlink Business LEO Satellite Backhaul (&gt;5km)"))</f>
        <v/>
      </c>
      <c r="V644" s="26" t="n">
        <v>77.34999999999999</v>
      </c>
      <c r="W644" s="26" t="n">
        <v>41.04</v>
      </c>
      <c r="X644" s="26">
        <f>ROUND(('Methodology &amp; Assumptions'!$B$5*V644) + ('Methodology &amp; Assumptions'!$B$6*W644), 2)</f>
        <v/>
      </c>
      <c r="Y644" s="28" t="n">
        <v>8.300000000000001</v>
      </c>
      <c r="Z644" s="11" t="inlineStr">
        <is>
          <t>Priority Tier 3 (Broadband Expansion)</t>
        </is>
      </c>
    </row>
    <row r="645">
      <c r="A645" s="23" t="n">
        <v>4</v>
      </c>
      <c r="B645" s="23" t="n">
        <v>641</v>
      </c>
      <c r="C645" s="23" t="n">
        <v>3641</v>
      </c>
      <c r="D645" s="23" t="inlineStr">
        <is>
          <t>0403413013</t>
        </is>
      </c>
      <c r="E645" s="11" t="inlineStr">
        <is>
          <t>Region IV-A (CALABARZON)</t>
        </is>
      </c>
      <c r="F645" s="11" t="inlineStr">
        <is>
          <t>Laguna</t>
        </is>
      </c>
      <c r="G645" s="11" t="inlineStr">
        <is>
          <t>Lumban</t>
        </is>
      </c>
      <c r="H645" s="11" t="inlineStr">
        <is>
          <t>Segunda Parang</t>
        </is>
      </c>
      <c r="I645" s="24" t="n">
        <v>14.302759</v>
      </c>
      <c r="J645" s="24" t="n">
        <v>121.459507</v>
      </c>
      <c r="K645" s="23" t="inlineStr">
        <is>
          <t>R</t>
        </is>
      </c>
      <c r="L645" s="25" t="n">
        <v>1314</v>
      </c>
      <c r="M645" s="26" t="n">
        <v>3.3</v>
      </c>
      <c r="N645" s="25">
        <f>ROUND(L645/M645, 0)</f>
        <v/>
      </c>
      <c r="O645" s="25">
        <f>ROUND(N645*'Methodology &amp; Assumptions'!$B$7, 0)</f>
        <v/>
      </c>
      <c r="P645" s="23" t="inlineStr">
        <is>
          <t>Single Carrier (Band n50, 100MHz TDD)</t>
        </is>
      </c>
      <c r="Q645" s="27">
        <f>ROUNDUP(O645/'Methodology &amp; Assumptions'!$B$8, 0)</f>
        <v/>
      </c>
      <c r="R645" s="27" t="n">
        <v>1</v>
      </c>
      <c r="S645" s="26" t="n">
        <v>0.8100000000000001</v>
      </c>
      <c r="T645" s="26" t="n">
        <v>0.6</v>
      </c>
      <c r="U645" s="11">
        <f>IF(S645&lt;='Methodology &amp; Assumptions'!$B$10, "Direct Optical Drop (&lt;3km)", IF(S645&lt;='Methodology &amp; Assumptions'!$B$9, "Near Optical / Microwave (&lt;5km)", "Starlink Business LEO Satellite Backhaul (&gt;5km)"))</f>
        <v/>
      </c>
      <c r="V645" s="26" t="n">
        <v>71.8</v>
      </c>
      <c r="W645" s="26" t="n">
        <v>46.57</v>
      </c>
      <c r="X645" s="26">
        <f>ROUND(('Methodology &amp; Assumptions'!$B$5*V645) + ('Methodology &amp; Assumptions'!$B$6*W645), 2)</f>
        <v/>
      </c>
      <c r="Y645" s="28" t="n">
        <v>7.2</v>
      </c>
      <c r="Z645" s="11" t="inlineStr">
        <is>
          <t>Priority Tier 3 (Broadband Expansion)</t>
        </is>
      </c>
    </row>
    <row r="646">
      <c r="A646" s="23" t="n">
        <v>4</v>
      </c>
      <c r="B646" s="23" t="n">
        <v>642</v>
      </c>
      <c r="C646" s="23" t="n">
        <v>3642</v>
      </c>
      <c r="D646" s="23" t="inlineStr">
        <is>
          <t>1380609003</t>
        </is>
      </c>
      <c r="E646" s="11" t="inlineStr">
        <is>
          <t>National Capital Region (NCR)</t>
        </is>
      </c>
      <c r="F646" s="11" t="inlineStr">
        <is>
          <t>First District (Not a Province)</t>
        </is>
      </c>
      <c r="G646" s="11" t="inlineStr">
        <is>
          <t>City of Manila</t>
        </is>
      </c>
      <c r="H646" s="11" t="inlineStr">
        <is>
          <t>Barangay 656</t>
        </is>
      </c>
      <c r="I646" s="24" t="n">
        <v>14.594065</v>
      </c>
      <c r="J646" s="24" t="n">
        <v>120.97245</v>
      </c>
      <c r="K646" s="23" t="inlineStr">
        <is>
          <t>U</t>
        </is>
      </c>
      <c r="L646" s="25" t="n">
        <v>519</v>
      </c>
      <c r="M646" s="26" t="n">
        <v>2.73</v>
      </c>
      <c r="N646" s="25">
        <f>ROUND(L646/M646, 0)</f>
        <v/>
      </c>
      <c r="O646" s="25">
        <f>ROUND(N646*'Methodology &amp; Assumptions'!$B$7, 0)</f>
        <v/>
      </c>
      <c r="P646" s="23" t="inlineStr">
        <is>
          <t>Single Carrier (Band n50, 100MHz TDD)</t>
        </is>
      </c>
      <c r="Q646" s="27">
        <f>ROUNDUP(O646/'Methodology &amp; Assumptions'!$B$8, 0)</f>
        <v/>
      </c>
      <c r="R646" s="27" t="n">
        <v>1</v>
      </c>
      <c r="S646" s="26" t="n">
        <v>1.19</v>
      </c>
      <c r="T646" s="26" t="n">
        <v>0.91</v>
      </c>
      <c r="U646" s="11">
        <f>IF(S646&lt;='Methodology &amp; Assumptions'!$B$10, "Direct Optical Drop (&lt;3km)", IF(S646&lt;='Methodology &amp; Assumptions'!$B$9, "Near Optical / Microwave (&lt;5km)", "Starlink Business LEO Satellite Backhaul (&gt;5km)"))</f>
        <v/>
      </c>
      <c r="V646" s="26" t="n">
        <v>45.85</v>
      </c>
      <c r="W646" s="26" t="n">
        <v>72.52</v>
      </c>
      <c r="X646" s="26">
        <f>ROUND(('Methodology &amp; Assumptions'!$B$5*V646) + ('Methodology &amp; Assumptions'!$B$6*W646), 2)</f>
        <v/>
      </c>
      <c r="Y646" s="28" t="n">
        <v>10.9</v>
      </c>
      <c r="Z646" s="11" t="inlineStr">
        <is>
          <t>Priority Tier 3 (Broadband Expansion)</t>
        </is>
      </c>
    </row>
    <row r="647">
      <c r="A647" s="23" t="n">
        <v>4</v>
      </c>
      <c r="B647" s="23" t="n">
        <v>643</v>
      </c>
      <c r="C647" s="23" t="n">
        <v>3643</v>
      </c>
      <c r="D647" s="23" t="inlineStr">
        <is>
          <t>1907001014</t>
        </is>
      </c>
      <c r="E647" s="11" t="inlineStr">
        <is>
          <t>Bangsamoro Autonomous Region In Muslim Mindanao (BARMM)</t>
        </is>
      </c>
      <c r="F647" s="11" t="inlineStr">
        <is>
          <t>Tawi-Tawi</t>
        </is>
      </c>
      <c r="G647" s="11" t="inlineStr">
        <is>
          <t>Panglima Sugala</t>
        </is>
      </c>
      <c r="H647" s="11" t="inlineStr">
        <is>
          <t>Liyaburan</t>
        </is>
      </c>
      <c r="I647" s="24" t="n">
        <v>4.942882</v>
      </c>
      <c r="J647" s="24" t="n">
        <v>119.971017</v>
      </c>
      <c r="K647" s="23" t="inlineStr">
        <is>
          <t>R</t>
        </is>
      </c>
      <c r="L647" s="25" t="n">
        <v>2636</v>
      </c>
      <c r="M647" s="26" t="n">
        <v>5.8</v>
      </c>
      <c r="N647" s="25">
        <f>ROUND(L647/M647, 0)</f>
        <v/>
      </c>
      <c r="O647" s="25">
        <f>ROUND(N647*'Methodology &amp; Assumptions'!$B$7, 0)</f>
        <v/>
      </c>
      <c r="P647" s="23" t="inlineStr">
        <is>
          <t>Single Carrier (Band n50, 100MHz TDD)</t>
        </is>
      </c>
      <c r="Q647" s="27">
        <f>ROUNDUP(O647/'Methodology &amp; Assumptions'!$B$8, 0)</f>
        <v/>
      </c>
      <c r="R647" s="27" t="n">
        <v>1</v>
      </c>
      <c r="S647" s="26" t="n">
        <v>999</v>
      </c>
      <c r="T647" s="26" t="n">
        <v>999</v>
      </c>
      <c r="U647" s="11">
        <f>IF(S647&lt;='Methodology &amp; Assumptions'!$B$10, "Direct Optical Drop (&lt;3km)", IF(S647&lt;='Methodology &amp; Assumptions'!$B$9, "Near Optical / Microwave (&lt;5km)", "Starlink Business LEO Satellite Backhaul (&gt;5km)"))</f>
        <v/>
      </c>
      <c r="V647" s="26" t="n">
        <v>45.62</v>
      </c>
      <c r="W647" s="26" t="n">
        <v>72.76000000000001</v>
      </c>
      <c r="X647" s="26">
        <f>ROUND(('Methodology &amp; Assumptions'!$B$5*V647) + ('Methodology &amp; Assumptions'!$B$6*W647), 2)</f>
        <v/>
      </c>
      <c r="Y647" s="28" t="n">
        <v>11</v>
      </c>
      <c r="Z647" s="11" t="inlineStr">
        <is>
          <t>Priority Tier 3 (Broadband Expansion)</t>
        </is>
      </c>
    </row>
    <row r="648">
      <c r="A648" s="23" t="n">
        <v>4</v>
      </c>
      <c r="B648" s="23" t="n">
        <v>644</v>
      </c>
      <c r="C648" s="23" t="n">
        <v>3644</v>
      </c>
      <c r="D648" s="23" t="inlineStr">
        <is>
          <t>0304927013</t>
        </is>
      </c>
      <c r="E648" s="11" t="inlineStr">
        <is>
          <t>Region III (Central Luzon)</t>
        </is>
      </c>
      <c r="F648" s="11" t="inlineStr">
        <is>
          <t>Nueva Ecija</t>
        </is>
      </c>
      <c r="G648" s="11" t="inlineStr">
        <is>
          <t>San Leonardo</t>
        </is>
      </c>
      <c r="H648" s="11" t="inlineStr">
        <is>
          <t>San Roque</t>
        </is>
      </c>
      <c r="I648" s="24" t="n">
        <v>15.3266</v>
      </c>
      <c r="J648" s="24" t="n">
        <v>120.925973</v>
      </c>
      <c r="K648" s="23" t="inlineStr">
        <is>
          <t>R</t>
        </is>
      </c>
      <c r="L648" s="25" t="n">
        <v>3588</v>
      </c>
      <c r="M648" s="26" t="n">
        <v>3.5</v>
      </c>
      <c r="N648" s="25">
        <f>ROUND(L648/M648, 0)</f>
        <v/>
      </c>
      <c r="O648" s="25">
        <f>ROUND(N648*'Methodology &amp; Assumptions'!$B$7, 0)</f>
        <v/>
      </c>
      <c r="P648" s="23" t="inlineStr">
        <is>
          <t>Single Carrier (Band n50, 100MHz TDD)</t>
        </is>
      </c>
      <c r="Q648" s="27">
        <f>ROUNDUP(O648/'Methodology &amp; Assumptions'!$B$8, 0)</f>
        <v/>
      </c>
      <c r="R648" s="27" t="n">
        <v>1</v>
      </c>
      <c r="S648" s="26" t="n">
        <v>2.23</v>
      </c>
      <c r="T648" s="26" t="n">
        <v>1.24</v>
      </c>
      <c r="U648" s="11">
        <f>IF(S648&lt;='Methodology &amp; Assumptions'!$B$10, "Direct Optical Drop (&lt;3km)", IF(S648&lt;='Methodology &amp; Assumptions'!$B$9, "Near Optical / Microwave (&lt;5km)", "Starlink Business LEO Satellite Backhaul (&gt;5km)"))</f>
        <v/>
      </c>
      <c r="V648" s="26" t="n">
        <v>80.62</v>
      </c>
      <c r="W648" s="26" t="n">
        <v>37.74</v>
      </c>
      <c r="X648" s="26">
        <f>ROUND(('Methodology &amp; Assumptions'!$B$5*V648) + ('Methodology &amp; Assumptions'!$B$6*W648), 2)</f>
        <v/>
      </c>
      <c r="Y648" s="28" t="n">
        <v>8.300000000000001</v>
      </c>
      <c r="Z648" s="11" t="inlineStr">
        <is>
          <t>Priority Tier 3 (Broadband Expansion)</t>
        </is>
      </c>
    </row>
    <row r="649">
      <c r="A649" s="23" t="n">
        <v>4</v>
      </c>
      <c r="B649" s="23" t="n">
        <v>645</v>
      </c>
      <c r="C649" s="23" t="n">
        <v>3645</v>
      </c>
      <c r="D649" s="23" t="inlineStr">
        <is>
          <t>0301409025</t>
        </is>
      </c>
      <c r="E649" s="11" t="inlineStr">
        <is>
          <t>Region III (Central Luzon)</t>
        </is>
      </c>
      <c r="F649" s="11" t="inlineStr">
        <is>
          <t>Bulacan</t>
        </is>
      </c>
      <c r="G649" s="11" t="inlineStr">
        <is>
          <t>Hagonoy</t>
        </is>
      </c>
      <c r="H649" s="11" t="inlineStr">
        <is>
          <t>Tampok</t>
        </is>
      </c>
      <c r="I649" s="24" t="n">
        <v>14.851466</v>
      </c>
      <c r="J649" s="24" t="n">
        <v>120.733386</v>
      </c>
      <c r="K649" s="23" t="inlineStr">
        <is>
          <t>R</t>
        </is>
      </c>
      <c r="L649" s="25" t="n">
        <v>3147</v>
      </c>
      <c r="M649" s="26" t="n">
        <v>3.5</v>
      </c>
      <c r="N649" s="25">
        <f>ROUND(L649/M649, 0)</f>
        <v/>
      </c>
      <c r="O649" s="25">
        <f>ROUND(N649*'Methodology &amp; Assumptions'!$B$7, 0)</f>
        <v/>
      </c>
      <c r="P649" s="23" t="inlineStr">
        <is>
          <t>Single Carrier (Band n50, 100MHz TDD)</t>
        </is>
      </c>
      <c r="Q649" s="27">
        <f>ROUNDUP(O649/'Methodology &amp; Assumptions'!$B$8, 0)</f>
        <v/>
      </c>
      <c r="R649" s="27" t="n">
        <v>1</v>
      </c>
      <c r="S649" s="26" t="n">
        <v>2.37</v>
      </c>
      <c r="T649" s="26" t="n">
        <v>1.58</v>
      </c>
      <c r="U649" s="11">
        <f>IF(S649&lt;='Methodology &amp; Assumptions'!$B$10, "Direct Optical Drop (&lt;3km)", IF(S649&lt;='Methodology &amp; Assumptions'!$B$9, "Near Optical / Microwave (&lt;5km)", "Starlink Business LEO Satellite Backhaul (&gt;5km)"))</f>
        <v/>
      </c>
      <c r="V649" s="26" t="n">
        <v>80.16</v>
      </c>
      <c r="W649" s="26" t="n">
        <v>38.2</v>
      </c>
      <c r="X649" s="26">
        <f>ROUND(('Methodology &amp; Assumptions'!$B$5*V649) + ('Methodology &amp; Assumptions'!$B$6*W649), 2)</f>
        <v/>
      </c>
      <c r="Y649" s="28" t="n">
        <v>8.300000000000001</v>
      </c>
      <c r="Z649" s="11" t="inlineStr">
        <is>
          <t>Priority Tier 3 (Broadband Expansion)</t>
        </is>
      </c>
    </row>
    <row r="650">
      <c r="A650" s="23" t="n">
        <v>4</v>
      </c>
      <c r="B650" s="23" t="n">
        <v>646</v>
      </c>
      <c r="C650" s="23" t="n">
        <v>3646</v>
      </c>
      <c r="D650" s="23" t="inlineStr">
        <is>
          <t>0405803001</t>
        </is>
      </c>
      <c r="E650" s="11" t="inlineStr">
        <is>
          <t>Region IV-A (CALABARZON)</t>
        </is>
      </c>
      <c r="F650" s="11" t="inlineStr">
        <is>
          <t>Rizal</t>
        </is>
      </c>
      <c r="G650" s="11" t="inlineStr">
        <is>
          <t>Baras</t>
        </is>
      </c>
      <c r="H650" s="11" t="inlineStr">
        <is>
          <t>Evangelista</t>
        </is>
      </c>
      <c r="I650" s="24" t="n">
        <v>14.51765</v>
      </c>
      <c r="J650" s="24" t="n">
        <v>121.276578</v>
      </c>
      <c r="K650" s="23" t="inlineStr">
        <is>
          <t>R</t>
        </is>
      </c>
      <c r="L650" s="25" t="n">
        <v>4064</v>
      </c>
      <c r="M650" s="26" t="n">
        <v>3.6</v>
      </c>
      <c r="N650" s="25">
        <f>ROUND(L650/M650, 0)</f>
        <v/>
      </c>
      <c r="O650" s="25">
        <f>ROUND(N650*'Methodology &amp; Assumptions'!$B$7, 0)</f>
        <v/>
      </c>
      <c r="P650" s="23" t="inlineStr">
        <is>
          <t>Single Carrier (Band n50, 100MHz TDD)</t>
        </is>
      </c>
      <c r="Q650" s="27">
        <f>ROUNDUP(O650/'Methodology &amp; Assumptions'!$B$8, 0)</f>
        <v/>
      </c>
      <c r="R650" s="27" t="n">
        <v>1</v>
      </c>
      <c r="S650" s="26" t="n">
        <v>0.05</v>
      </c>
      <c r="T650" s="26" t="n">
        <v>0.06</v>
      </c>
      <c r="U650" s="11">
        <f>IF(S650&lt;='Methodology &amp; Assumptions'!$B$10, "Direct Optical Drop (&lt;3km)", IF(S650&lt;='Methodology &amp; Assumptions'!$B$9, "Near Optical / Microwave (&lt;5km)", "Starlink Business LEO Satellite Backhaul (&gt;5km)"))</f>
        <v/>
      </c>
      <c r="V650" s="26" t="n">
        <v>85.45999999999999</v>
      </c>
      <c r="W650" s="26" t="n">
        <v>32.89</v>
      </c>
      <c r="X650" s="26">
        <f>ROUND(('Methodology &amp; Assumptions'!$B$5*V650) + ('Methodology &amp; Assumptions'!$B$6*W650), 2)</f>
        <v/>
      </c>
      <c r="Y650" s="28" t="n">
        <v>7.2</v>
      </c>
      <c r="Z650" s="11" t="inlineStr">
        <is>
          <t>Priority Tier 3 (Broadband Expansion)</t>
        </is>
      </c>
    </row>
    <row r="651">
      <c r="A651" s="23" t="n">
        <v>4</v>
      </c>
      <c r="B651" s="23" t="n">
        <v>647</v>
      </c>
      <c r="C651" s="23" t="n">
        <v>3647</v>
      </c>
      <c r="D651" s="23" t="inlineStr">
        <is>
          <t>0401029031</t>
        </is>
      </c>
      <c r="E651" s="11" t="inlineStr">
        <is>
          <t>Region IV-A (CALABARZON)</t>
        </is>
      </c>
      <c r="F651" s="11" t="inlineStr">
        <is>
          <t>Batangas</t>
        </is>
      </c>
      <c r="G651" s="11" t="inlineStr">
        <is>
          <t>Taal</t>
        </is>
      </c>
      <c r="H651" s="11" t="inlineStr">
        <is>
          <t>Poblacion 7</t>
        </is>
      </c>
      <c r="I651" s="24" t="n">
        <v>13.880349</v>
      </c>
      <c r="J651" s="24" t="n">
        <v>120.924163</v>
      </c>
      <c r="K651" s="23" t="inlineStr">
        <is>
          <t>R</t>
        </is>
      </c>
      <c r="L651" s="25" t="n">
        <v>171</v>
      </c>
      <c r="M651" s="26" t="n">
        <v>3.6</v>
      </c>
      <c r="N651" s="25">
        <f>ROUND(L651/M651, 0)</f>
        <v/>
      </c>
      <c r="O651" s="25">
        <f>ROUND(N651*'Methodology &amp; Assumptions'!$B$7, 0)</f>
        <v/>
      </c>
      <c r="P651" s="23" t="inlineStr">
        <is>
          <t>Single Carrier (Band n50, 100MHz TDD)</t>
        </is>
      </c>
      <c r="Q651" s="27">
        <f>ROUNDUP(O651/'Methodology &amp; Assumptions'!$B$8, 0)</f>
        <v/>
      </c>
      <c r="R651" s="27" t="n">
        <v>1</v>
      </c>
      <c r="S651" s="26" t="n">
        <v>0.93</v>
      </c>
      <c r="T651" s="26" t="n">
        <v>1.55</v>
      </c>
      <c r="U651" s="11">
        <f>IF(S651&lt;='Methodology &amp; Assumptions'!$B$10, "Direct Optical Drop (&lt;3km)", IF(S651&lt;='Methodology &amp; Assumptions'!$B$9, "Near Optical / Microwave (&lt;5km)", "Starlink Business LEO Satellite Backhaul (&gt;5km)"))</f>
        <v/>
      </c>
      <c r="V651" s="26" t="n">
        <v>60.06</v>
      </c>
      <c r="W651" s="26" t="n">
        <v>58.29</v>
      </c>
      <c r="X651" s="26">
        <f>ROUND(('Methodology &amp; Assumptions'!$B$5*V651) + ('Methodology &amp; Assumptions'!$B$6*W651), 2)</f>
        <v/>
      </c>
      <c r="Y651" s="28" t="n">
        <v>7.2</v>
      </c>
      <c r="Z651" s="11" t="inlineStr">
        <is>
          <t>Priority Tier 3 (Broadband Expansion)</t>
        </is>
      </c>
    </row>
    <row r="652">
      <c r="A652" s="23" t="n">
        <v>4</v>
      </c>
      <c r="B652" s="23" t="n">
        <v>648</v>
      </c>
      <c r="C652" s="23" t="n">
        <v>3648</v>
      </c>
      <c r="D652" s="23" t="inlineStr">
        <is>
          <t>1381100126</t>
        </is>
      </c>
      <c r="E652" s="11" t="inlineStr">
        <is>
          <t>National Capital Region (NCR)</t>
        </is>
      </c>
      <c r="F652" s="11" t="inlineStr">
        <is>
          <t>Fourth District (Not a Province)</t>
        </is>
      </c>
      <c r="G652" s="11" t="inlineStr">
        <is>
          <t>Pasay City</t>
        </is>
      </c>
      <c r="H652" s="11" t="inlineStr">
        <is>
          <t>Barangay 126</t>
        </is>
      </c>
      <c r="I652" s="24" t="n">
        <v>14.543519</v>
      </c>
      <c r="J652" s="24" t="n">
        <v>121.005278</v>
      </c>
      <c r="K652" s="23" t="inlineStr">
        <is>
          <t>U</t>
        </is>
      </c>
      <c r="L652" s="25" t="n">
        <v>805</v>
      </c>
      <c r="M652" s="26" t="n">
        <v>3.11</v>
      </c>
      <c r="N652" s="25">
        <f>ROUND(L652/M652, 0)</f>
        <v/>
      </c>
      <c r="O652" s="25">
        <f>ROUND(N652*'Methodology &amp; Assumptions'!$B$7, 0)</f>
        <v/>
      </c>
      <c r="P652" s="23" t="inlineStr">
        <is>
          <t>Single Carrier (Band n50, 100MHz TDD)</t>
        </is>
      </c>
      <c r="Q652" s="27">
        <f>ROUNDUP(O652/'Methodology &amp; Assumptions'!$B$8, 0)</f>
        <v/>
      </c>
      <c r="R652" s="27" t="n">
        <v>1</v>
      </c>
      <c r="S652" s="26" t="n">
        <v>0.96</v>
      </c>
      <c r="T652" s="26" t="n">
        <v>0.57</v>
      </c>
      <c r="U652" s="11">
        <f>IF(S652&lt;='Methodology &amp; Assumptions'!$B$10, "Direct Optical Drop (&lt;3km)", IF(S652&lt;='Methodology &amp; Assumptions'!$B$9, "Near Optical / Microwave (&lt;5km)", "Starlink Business LEO Satellite Backhaul (&gt;5km)"))</f>
        <v/>
      </c>
      <c r="V652" s="26" t="n">
        <v>49</v>
      </c>
      <c r="W652" s="26" t="n">
        <v>69.33</v>
      </c>
      <c r="X652" s="26">
        <f>ROUND(('Methodology &amp; Assumptions'!$B$5*V652) + ('Methodology &amp; Assumptions'!$B$6*W652), 2)</f>
        <v/>
      </c>
      <c r="Y652" s="28" t="n">
        <v>10.9</v>
      </c>
      <c r="Z652" s="11" t="inlineStr">
        <is>
          <t>Priority Tier 3 (Broadband Expansion)</t>
        </is>
      </c>
    </row>
    <row r="653">
      <c r="A653" s="23" t="n">
        <v>4</v>
      </c>
      <c r="B653" s="23" t="n">
        <v>649</v>
      </c>
      <c r="C653" s="23" t="n">
        <v>3649</v>
      </c>
      <c r="D653" s="23" t="inlineStr">
        <is>
          <t>1380606037</t>
        </is>
      </c>
      <c r="E653" s="11" t="inlineStr">
        <is>
          <t>National Capital Region (NCR)</t>
        </is>
      </c>
      <c r="F653" s="11" t="inlineStr">
        <is>
          <t>First District (Not a Province)</t>
        </is>
      </c>
      <c r="G653" s="11" t="inlineStr">
        <is>
          <t>City of Manila</t>
        </is>
      </c>
      <c r="H653" s="11" t="inlineStr">
        <is>
          <t>Barangay 431</t>
        </is>
      </c>
      <c r="I653" s="24" t="n">
        <v>14.606741</v>
      </c>
      <c r="J653" s="24" t="n">
        <v>120.994988</v>
      </c>
      <c r="K653" s="23" t="inlineStr">
        <is>
          <t>U</t>
        </is>
      </c>
      <c r="L653" s="25" t="n">
        <v>656</v>
      </c>
      <c r="M653" s="26" t="n">
        <v>3.08</v>
      </c>
      <c r="N653" s="25">
        <f>ROUND(L653/M653, 0)</f>
        <v/>
      </c>
      <c r="O653" s="25">
        <f>ROUND(N653*'Methodology &amp; Assumptions'!$B$7, 0)</f>
        <v/>
      </c>
      <c r="P653" s="23" t="inlineStr">
        <is>
          <t>Single Carrier (Band n50, 100MHz TDD)</t>
        </is>
      </c>
      <c r="Q653" s="27">
        <f>ROUNDUP(O653/'Methodology &amp; Assumptions'!$B$8, 0)</f>
        <v/>
      </c>
      <c r="R653" s="27" t="n">
        <v>1</v>
      </c>
      <c r="S653" s="26" t="n">
        <v>0.57</v>
      </c>
      <c r="T653" s="26" t="n">
        <v>0.32</v>
      </c>
      <c r="U653" s="11">
        <f>IF(S653&lt;='Methodology &amp; Assumptions'!$B$10, "Direct Optical Drop (&lt;3km)", IF(S653&lt;='Methodology &amp; Assumptions'!$B$9, "Near Optical / Microwave (&lt;5km)", "Starlink Business LEO Satellite Backhaul (&gt;5km)"))</f>
        <v/>
      </c>
      <c r="V653" s="26" t="n">
        <v>47.95</v>
      </c>
      <c r="W653" s="26" t="n">
        <v>70.39</v>
      </c>
      <c r="X653" s="26">
        <f>ROUND(('Methodology &amp; Assumptions'!$B$5*V653) + ('Methodology &amp; Assumptions'!$B$6*W653), 2)</f>
        <v/>
      </c>
      <c r="Y653" s="28" t="n">
        <v>10.9</v>
      </c>
      <c r="Z653" s="11" t="inlineStr">
        <is>
          <t>Priority Tier 3 (Broadband Expansion)</t>
        </is>
      </c>
    </row>
    <row r="654">
      <c r="A654" s="23" t="n">
        <v>4</v>
      </c>
      <c r="B654" s="23" t="n">
        <v>650</v>
      </c>
      <c r="C654" s="23" t="n">
        <v>3650</v>
      </c>
      <c r="D654" s="23" t="inlineStr">
        <is>
          <t>0501610012</t>
        </is>
      </c>
      <c r="E654" s="11" t="inlineStr">
        <is>
          <t>Region V (Bicol Region)</t>
        </is>
      </c>
      <c r="F654" s="11" t="inlineStr">
        <is>
          <t>Camarines Norte</t>
        </is>
      </c>
      <c r="G654" s="11" t="inlineStr">
        <is>
          <t>Santa Elena</t>
        </is>
      </c>
      <c r="H654" s="11" t="inlineStr">
        <is>
          <t>Guitol</t>
        </is>
      </c>
      <c r="I654" s="24" t="n">
        <v>14.1222</v>
      </c>
      <c r="J654" s="24" t="n">
        <v>122.4175</v>
      </c>
      <c r="K654" s="23" t="inlineStr">
        <is>
          <t>R</t>
        </is>
      </c>
      <c r="L654" s="25" t="n">
        <v>378</v>
      </c>
      <c r="M654" s="26" t="n">
        <v>4</v>
      </c>
      <c r="N654" s="25">
        <f>ROUND(L654/M654, 0)</f>
        <v/>
      </c>
      <c r="O654" s="25">
        <f>ROUND(N654*'Methodology &amp; Assumptions'!$B$7, 0)</f>
        <v/>
      </c>
      <c r="P654" s="23" t="inlineStr">
        <is>
          <t>Single Carrier (Band n50, 100MHz TDD)</t>
        </is>
      </c>
      <c r="Q654" s="27">
        <f>ROUNDUP(O654/'Methodology &amp; Assumptions'!$B$8, 0)</f>
        <v/>
      </c>
      <c r="R654" s="27" t="n">
        <v>1</v>
      </c>
      <c r="S654" s="26" t="n">
        <v>6.99</v>
      </c>
      <c r="T654" s="26" t="n">
        <v>3.84</v>
      </c>
      <c r="U654" s="11">
        <f>IF(S654&lt;='Methodology &amp; Assumptions'!$B$10, "Direct Optical Drop (&lt;3km)", IF(S654&lt;='Methodology &amp; Assumptions'!$B$9, "Near Optical / Microwave (&lt;5km)", "Starlink Business LEO Satellite Backhaul (&gt;5km)"))</f>
        <v/>
      </c>
      <c r="V654" s="26" t="n">
        <v>46.47</v>
      </c>
      <c r="W654" s="26" t="n">
        <v>71.87</v>
      </c>
      <c r="X654" s="26">
        <f>ROUND(('Methodology &amp; Assumptions'!$B$5*V654) + ('Methodology &amp; Assumptions'!$B$6*W654), 2)</f>
        <v/>
      </c>
      <c r="Y654" s="28" t="n">
        <v>23.7</v>
      </c>
      <c r="Z654" s="11" t="inlineStr">
        <is>
          <t>Priority Tier 3 (Broadband Expansion)</t>
        </is>
      </c>
    </row>
    <row r="655">
      <c r="A655" s="23" t="n">
        <v>4</v>
      </c>
      <c r="B655" s="23" t="n">
        <v>651</v>
      </c>
      <c r="C655" s="23" t="n">
        <v>3651</v>
      </c>
      <c r="D655" s="23" t="inlineStr">
        <is>
          <t>0102930024</t>
        </is>
      </c>
      <c r="E655" s="11" t="inlineStr">
        <is>
          <t>Region I (Ilocos Region)</t>
        </is>
      </c>
      <c r="F655" s="11" t="inlineStr">
        <is>
          <t>Ilocos Sur</t>
        </is>
      </c>
      <c r="G655" s="11" t="inlineStr">
        <is>
          <t>Sinait</t>
        </is>
      </c>
      <c r="H655" s="11" t="inlineStr">
        <is>
          <t>Nagcullooban</t>
        </is>
      </c>
      <c r="I655" s="24" t="n">
        <v>17.829854</v>
      </c>
      <c r="J655" s="24" t="n">
        <v>120.522217</v>
      </c>
      <c r="K655" s="23" t="inlineStr">
        <is>
          <t>R</t>
        </is>
      </c>
      <c r="L655" s="25" t="n">
        <v>446</v>
      </c>
      <c r="M655" s="26" t="n">
        <v>3.8</v>
      </c>
      <c r="N655" s="25">
        <f>ROUND(L655/M655, 0)</f>
        <v/>
      </c>
      <c r="O655" s="25">
        <f>ROUND(N655*'Methodology &amp; Assumptions'!$B$7, 0)</f>
        <v/>
      </c>
      <c r="P655" s="23" t="inlineStr">
        <is>
          <t>Single Carrier (Band n50, 100MHz TDD)</t>
        </is>
      </c>
      <c r="Q655" s="27">
        <f>ROUNDUP(O655/'Methodology &amp; Assumptions'!$B$8, 0)</f>
        <v/>
      </c>
      <c r="R655" s="27" t="n">
        <v>1</v>
      </c>
      <c r="S655" s="26" t="n">
        <v>7.9</v>
      </c>
      <c r="T655" s="26" t="n">
        <v>6.69</v>
      </c>
      <c r="U655" s="11">
        <f>IF(S655&lt;='Methodology &amp; Assumptions'!$B$10, "Direct Optical Drop (&lt;3km)", IF(S655&lt;='Methodology &amp; Assumptions'!$B$9, "Near Optical / Microwave (&lt;5km)", "Starlink Business LEO Satellite Backhaul (&gt;5km)"))</f>
        <v/>
      </c>
      <c r="V655" s="26" t="n">
        <v>44.01</v>
      </c>
      <c r="W655" s="26" t="n">
        <v>74.31999999999999</v>
      </c>
      <c r="X655" s="26">
        <f>ROUND(('Methodology &amp; Assumptions'!$B$5*V655) + ('Methodology &amp; Assumptions'!$B$6*W655), 2)</f>
        <v/>
      </c>
      <c r="Y655" s="28" t="n">
        <v>8.300000000000001</v>
      </c>
      <c r="Z655" s="11" t="inlineStr">
        <is>
          <t>Priority Tier 3 (Broadband Expansion)</t>
        </is>
      </c>
    </row>
    <row r="656">
      <c r="A656" s="23" t="n">
        <v>4</v>
      </c>
      <c r="B656" s="23" t="n">
        <v>652</v>
      </c>
      <c r="C656" s="23" t="n">
        <v>3652</v>
      </c>
      <c r="D656" s="23" t="inlineStr">
        <is>
          <t>1108205023</t>
        </is>
      </c>
      <c r="E656" s="11" t="inlineStr">
        <is>
          <t>Region XI (Davao Region)</t>
        </is>
      </c>
      <c r="F656" s="11" t="inlineStr">
        <is>
          <t>Davao de Oro</t>
        </is>
      </c>
      <c r="G656" s="11" t="inlineStr">
        <is>
          <t>Maragusan</t>
        </is>
      </c>
      <c r="H656" s="11" t="inlineStr">
        <is>
          <t>Tandik</t>
        </is>
      </c>
      <c r="I656" s="24" t="n">
        <v>7.414326</v>
      </c>
      <c r="J656" s="24" t="n">
        <v>126.116514</v>
      </c>
      <c r="K656" s="23" t="inlineStr">
        <is>
          <t>R</t>
        </is>
      </c>
      <c r="L656" s="25" t="n">
        <v>770</v>
      </c>
      <c r="M656" s="26" t="n">
        <v>3.7</v>
      </c>
      <c r="N656" s="25">
        <f>ROUND(L656/M656, 0)</f>
        <v/>
      </c>
      <c r="O656" s="25">
        <f>ROUND(N656*'Methodology &amp; Assumptions'!$B$7, 0)</f>
        <v/>
      </c>
      <c r="P656" s="23" t="inlineStr">
        <is>
          <t>Single Carrier (Band n50, 100MHz TDD)</t>
        </is>
      </c>
      <c r="Q656" s="27">
        <f>ROUNDUP(O656/'Methodology &amp; Assumptions'!$B$8, 0)</f>
        <v/>
      </c>
      <c r="R656" s="27" t="n">
        <v>1</v>
      </c>
      <c r="S656" s="26" t="n">
        <v>29.43</v>
      </c>
      <c r="T656" s="26" t="n">
        <v>24.07</v>
      </c>
      <c r="U656" s="11">
        <f>IF(S656&lt;='Methodology &amp; Assumptions'!$B$10, "Direct Optical Drop (&lt;3km)", IF(S656&lt;='Methodology &amp; Assumptions'!$B$9, "Near Optical / Microwave (&lt;5km)", "Starlink Business LEO Satellite Backhaul (&gt;5km)"))</f>
        <v/>
      </c>
      <c r="V656" s="26" t="n">
        <v>41.68</v>
      </c>
      <c r="W656" s="26" t="n">
        <v>76.66</v>
      </c>
      <c r="X656" s="26">
        <f>ROUND(('Methodology &amp; Assumptions'!$B$5*V656) + ('Methodology &amp; Assumptions'!$B$6*W656), 2)</f>
        <v/>
      </c>
      <c r="Y656" s="28" t="n">
        <v>17.4</v>
      </c>
      <c r="Z656" s="11" t="inlineStr">
        <is>
          <t>Priority Tier 3 (Broadband Expansion)</t>
        </is>
      </c>
    </row>
    <row r="657">
      <c r="A657" s="23" t="n">
        <v>4</v>
      </c>
      <c r="B657" s="23" t="n">
        <v>653</v>
      </c>
      <c r="C657" s="23" t="n">
        <v>3653</v>
      </c>
      <c r="D657" s="23" t="inlineStr">
        <is>
          <t>0307113018</t>
        </is>
      </c>
      <c r="E657" s="11" t="inlineStr">
        <is>
          <t>Region III (Central Luzon)</t>
        </is>
      </c>
      <c r="F657" s="11" t="inlineStr">
        <is>
          <t>Zambales</t>
        </is>
      </c>
      <c r="G657" s="11" t="inlineStr">
        <is>
          <t>Santa Cruz</t>
        </is>
      </c>
      <c r="H657" s="11" t="inlineStr">
        <is>
          <t>Pagatpat</t>
        </is>
      </c>
      <c r="I657" s="24" t="n">
        <v>15.78073</v>
      </c>
      <c r="J657" s="24" t="n">
        <v>119.9019</v>
      </c>
      <c r="K657" s="23" t="inlineStr">
        <is>
          <t>R</t>
        </is>
      </c>
      <c r="L657" s="25" t="n">
        <v>3733</v>
      </c>
      <c r="M657" s="26" t="n">
        <v>3.8</v>
      </c>
      <c r="N657" s="25">
        <f>ROUND(L657/M657, 0)</f>
        <v/>
      </c>
      <c r="O657" s="25">
        <f>ROUND(N657*'Methodology &amp; Assumptions'!$B$7, 0)</f>
        <v/>
      </c>
      <c r="P657" s="23" t="inlineStr">
        <is>
          <t>Single Carrier (Band n50, 100MHz TDD)</t>
        </is>
      </c>
      <c r="Q657" s="27">
        <f>ROUNDUP(O657/'Methodology &amp; Assumptions'!$B$8, 0)</f>
        <v/>
      </c>
      <c r="R657" s="27" t="n">
        <v>1</v>
      </c>
      <c r="S657" s="26" t="n">
        <v>1.65</v>
      </c>
      <c r="T657" s="26" t="n">
        <v>0.22</v>
      </c>
      <c r="U657" s="11">
        <f>IF(S657&lt;='Methodology &amp; Assumptions'!$B$10, "Direct Optical Drop (&lt;3km)", IF(S657&lt;='Methodology &amp; Assumptions'!$B$9, "Near Optical / Microwave (&lt;5km)", "Starlink Business LEO Satellite Backhaul (&gt;5km)"))</f>
        <v/>
      </c>
      <c r="V657" s="26" t="n">
        <v>82.63</v>
      </c>
      <c r="W657" s="26" t="n">
        <v>35.7</v>
      </c>
      <c r="X657" s="26">
        <f>ROUND(('Methodology &amp; Assumptions'!$B$5*V657) + ('Methodology &amp; Assumptions'!$B$6*W657), 2)</f>
        <v/>
      </c>
      <c r="Y657" s="28" t="n">
        <v>8.300000000000001</v>
      </c>
      <c r="Z657" s="11" t="inlineStr">
        <is>
          <t>Priority Tier 3 (Broadband Expansion)</t>
        </is>
      </c>
    </row>
    <row r="658">
      <c r="A658" s="23" t="n">
        <v>4</v>
      </c>
      <c r="B658" s="23" t="n">
        <v>654</v>
      </c>
      <c r="C658" s="23" t="n">
        <v>3654</v>
      </c>
      <c r="D658" s="23" t="inlineStr">
        <is>
          <t>0403415013</t>
        </is>
      </c>
      <c r="E658" s="11" t="inlineStr">
        <is>
          <t>Region IV-A (CALABARZON)</t>
        </is>
      </c>
      <c r="F658" s="11" t="inlineStr">
        <is>
          <t>Laguna</t>
        </is>
      </c>
      <c r="G658" s="11" t="inlineStr">
        <is>
          <t>Magdalena</t>
        </is>
      </c>
      <c r="H658" s="11" t="inlineStr">
        <is>
          <t>Ibabang Butnong</t>
        </is>
      </c>
      <c r="I658" s="24" t="n">
        <v>14.203032</v>
      </c>
      <c r="J658" s="24" t="n">
        <v>121.428164</v>
      </c>
      <c r="K658" s="23" t="inlineStr">
        <is>
          <t>R</t>
        </is>
      </c>
      <c r="L658" s="25" t="n">
        <v>2187</v>
      </c>
      <c r="M658" s="26" t="n">
        <v>3.3</v>
      </c>
      <c r="N658" s="25">
        <f>ROUND(L658/M658, 0)</f>
        <v/>
      </c>
      <c r="O658" s="25">
        <f>ROUND(N658*'Methodology &amp; Assumptions'!$B$7, 0)</f>
        <v/>
      </c>
      <c r="P658" s="23" t="inlineStr">
        <is>
          <t>Single Carrier (Band n50, 100MHz TDD)</t>
        </is>
      </c>
      <c r="Q658" s="27">
        <f>ROUNDUP(O658/'Methodology &amp; Assumptions'!$B$8, 0)</f>
        <v/>
      </c>
      <c r="R658" s="27" t="n">
        <v>1</v>
      </c>
      <c r="S658" s="26" t="n">
        <v>0.58</v>
      </c>
      <c r="T658" s="26" t="n">
        <v>0.16</v>
      </c>
      <c r="U658" s="11">
        <f>IF(S658&lt;='Methodology &amp; Assumptions'!$B$10, "Direct Optical Drop (&lt;3km)", IF(S658&lt;='Methodology &amp; Assumptions'!$B$9, "Near Optical / Microwave (&lt;5km)", "Starlink Business LEO Satellite Backhaul (&gt;5km)"))</f>
        <v/>
      </c>
      <c r="V658" s="26" t="n">
        <v>80.51000000000001</v>
      </c>
      <c r="W658" s="26" t="n">
        <v>37.82</v>
      </c>
      <c r="X658" s="26">
        <f>ROUND(('Methodology &amp; Assumptions'!$B$5*V658) + ('Methodology &amp; Assumptions'!$B$6*W658), 2)</f>
        <v/>
      </c>
      <c r="Y658" s="28" t="n">
        <v>7.2</v>
      </c>
      <c r="Z658" s="11" t="inlineStr">
        <is>
          <t>Priority Tier 3 (Broadband Expansion)</t>
        </is>
      </c>
    </row>
    <row r="659">
      <c r="A659" s="23" t="n">
        <v>4</v>
      </c>
      <c r="B659" s="23" t="n">
        <v>655</v>
      </c>
      <c r="C659" s="23" t="n">
        <v>3655</v>
      </c>
      <c r="D659" s="23" t="inlineStr">
        <is>
          <t>0501603015</t>
        </is>
      </c>
      <c r="E659" s="11" t="inlineStr">
        <is>
          <t>Region V (Bicol Region)</t>
        </is>
      </c>
      <c r="F659" s="11" t="inlineStr">
        <is>
          <t>Camarines Norte</t>
        </is>
      </c>
      <c r="G659" s="11" t="inlineStr">
        <is>
          <t>Daet</t>
        </is>
      </c>
      <c r="H659" s="11" t="inlineStr">
        <is>
          <t>Lag-On</t>
        </is>
      </c>
      <c r="I659" s="24" t="n">
        <v>14.118934</v>
      </c>
      <c r="J659" s="24" t="n">
        <v>122.943746</v>
      </c>
      <c r="K659" s="23" t="inlineStr">
        <is>
          <t>U</t>
        </is>
      </c>
      <c r="L659" s="25" t="n">
        <v>6015</v>
      </c>
      <c r="M659" s="26" t="n">
        <v>4</v>
      </c>
      <c r="N659" s="25">
        <f>ROUND(L659/M659, 0)</f>
        <v/>
      </c>
      <c r="O659" s="25">
        <f>ROUND(N659*'Methodology &amp; Assumptions'!$B$7, 0)</f>
        <v/>
      </c>
      <c r="P659" s="23" t="inlineStr">
        <is>
          <t>Single Carrier (Band n50, 100MHz TDD)</t>
        </is>
      </c>
      <c r="Q659" s="27">
        <f>ROUNDUP(O659/'Methodology &amp; Assumptions'!$B$8, 0)</f>
        <v/>
      </c>
      <c r="R659" s="27" t="n">
        <v>1</v>
      </c>
      <c r="S659" s="26" t="n">
        <v>1.18</v>
      </c>
      <c r="T659" s="26" t="n">
        <v>0.58</v>
      </c>
      <c r="U659" s="11">
        <f>IF(S659&lt;='Methodology &amp; Assumptions'!$B$10, "Direct Optical Drop (&lt;3km)", IF(S659&lt;='Methodology &amp; Assumptions'!$B$9, "Near Optical / Microwave (&lt;5km)", "Starlink Business LEO Satellite Backhaul (&gt;5km)"))</f>
        <v/>
      </c>
      <c r="V659" s="26" t="n">
        <v>79.56</v>
      </c>
      <c r="W659" s="26" t="n">
        <v>38.75</v>
      </c>
      <c r="X659" s="26">
        <f>ROUND(('Methodology &amp; Assumptions'!$B$5*V659) + ('Methodology &amp; Assumptions'!$B$6*W659), 2)</f>
        <v/>
      </c>
      <c r="Y659" s="28" t="n">
        <v>23.7</v>
      </c>
      <c r="Z659" s="11" t="inlineStr">
        <is>
          <t>Priority Tier 3 (Broadband Expansion)</t>
        </is>
      </c>
    </row>
    <row r="660">
      <c r="A660" s="23" t="n">
        <v>4</v>
      </c>
      <c r="B660" s="23" t="n">
        <v>656</v>
      </c>
      <c r="C660" s="23" t="n">
        <v>3656</v>
      </c>
      <c r="D660" s="23" t="inlineStr">
        <is>
          <t>0103314041</t>
        </is>
      </c>
      <c r="E660" s="11" t="inlineStr">
        <is>
          <t>Region I (Ilocos Region)</t>
        </is>
      </c>
      <c r="F660" s="11" t="inlineStr">
        <is>
          <t>La Union</t>
        </is>
      </c>
      <c r="G660" s="11" t="inlineStr">
        <is>
          <t>City of San Fernando</t>
        </is>
      </c>
      <c r="H660" s="11" t="inlineStr">
        <is>
          <t>Pagdaraoan</t>
        </is>
      </c>
      <c r="I660" s="24" t="n">
        <v>16.625766</v>
      </c>
      <c r="J660" s="24" t="n">
        <v>120.316244</v>
      </c>
      <c r="K660" s="23" t="inlineStr">
        <is>
          <t>U</t>
        </is>
      </c>
      <c r="L660" s="25" t="n">
        <v>2985</v>
      </c>
      <c r="M660" s="26" t="n">
        <v>3.7</v>
      </c>
      <c r="N660" s="25">
        <f>ROUND(L660/M660, 0)</f>
        <v/>
      </c>
      <c r="O660" s="25">
        <f>ROUND(N660*'Methodology &amp; Assumptions'!$B$7, 0)</f>
        <v/>
      </c>
      <c r="P660" s="23" t="inlineStr">
        <is>
          <t>Single Carrier (Band n50, 100MHz TDD)</t>
        </is>
      </c>
      <c r="Q660" s="27">
        <f>ROUNDUP(O660/'Methodology &amp; Assumptions'!$B$8, 0)</f>
        <v/>
      </c>
      <c r="R660" s="27" t="n">
        <v>1</v>
      </c>
      <c r="S660" s="26" t="n">
        <v>2.48</v>
      </c>
      <c r="T660" s="26" t="n">
        <v>0.05</v>
      </c>
      <c r="U660" s="11">
        <f>IF(S660&lt;='Methodology &amp; Assumptions'!$B$10, "Direct Optical Drop (&lt;3km)", IF(S660&lt;='Methodology &amp; Assumptions'!$B$9, "Near Optical / Microwave (&lt;5km)", "Starlink Business LEO Satellite Backhaul (&gt;5km)"))</f>
        <v/>
      </c>
      <c r="V660" s="26" t="n">
        <v>72.22</v>
      </c>
      <c r="W660" s="26" t="n">
        <v>46.1</v>
      </c>
      <c r="X660" s="26">
        <f>ROUND(('Methodology &amp; Assumptions'!$B$5*V660) + ('Methodology &amp; Assumptions'!$B$6*W660), 2)</f>
        <v/>
      </c>
      <c r="Y660" s="28" t="n">
        <v>8.300000000000001</v>
      </c>
      <c r="Z660" s="11" t="inlineStr">
        <is>
          <t>Priority Tier 3 (Broadband Expansion)</t>
        </is>
      </c>
    </row>
    <row r="661">
      <c r="A661" s="23" t="n">
        <v>4</v>
      </c>
      <c r="B661" s="23" t="n">
        <v>657</v>
      </c>
      <c r="C661" s="23" t="n">
        <v>3657</v>
      </c>
      <c r="D661" s="23" t="inlineStr">
        <is>
          <t>0102805001</t>
        </is>
      </c>
      <c r="E661" s="11" t="inlineStr">
        <is>
          <t>Region I (Ilocos Region)</t>
        </is>
      </c>
      <c r="F661" s="11" t="inlineStr">
        <is>
          <t>Ilocos Norte</t>
        </is>
      </c>
      <c r="G661" s="11" t="inlineStr">
        <is>
          <t>City of Batac</t>
        </is>
      </c>
      <c r="H661" s="11" t="inlineStr">
        <is>
          <t>Aglipay</t>
        </is>
      </c>
      <c r="I661" s="24" t="n">
        <v>18.049256</v>
      </c>
      <c r="J661" s="24" t="n">
        <v>120.562807</v>
      </c>
      <c r="K661" s="23" t="inlineStr">
        <is>
          <t>R</t>
        </is>
      </c>
      <c r="L661" s="25" t="n">
        <v>1075</v>
      </c>
      <c r="M661" s="26" t="n">
        <v>3.7</v>
      </c>
      <c r="N661" s="25">
        <f>ROUND(L661/M661, 0)</f>
        <v/>
      </c>
      <c r="O661" s="25">
        <f>ROUND(N661*'Methodology &amp; Assumptions'!$B$7, 0)</f>
        <v/>
      </c>
      <c r="P661" s="23" t="inlineStr">
        <is>
          <t>Single Carrier (Band n50, 100MHz TDD)</t>
        </is>
      </c>
      <c r="Q661" s="27">
        <f>ROUNDUP(O661/'Methodology &amp; Assumptions'!$B$8, 0)</f>
        <v/>
      </c>
      <c r="R661" s="27" t="n">
        <v>1</v>
      </c>
      <c r="S661" s="26" t="n">
        <v>1.38</v>
      </c>
      <c r="T661" s="26" t="n">
        <v>0.92</v>
      </c>
      <c r="U661" s="11">
        <f>IF(S661&lt;='Methodology &amp; Assumptions'!$B$10, "Direct Optical Drop (&lt;3km)", IF(S661&lt;='Methodology &amp; Assumptions'!$B$9, "Near Optical / Microwave (&lt;5km)", "Starlink Business LEO Satellite Backhaul (&gt;5km)"))</f>
        <v/>
      </c>
      <c r="V661" s="26" t="n">
        <v>66.42</v>
      </c>
      <c r="W661" s="26" t="n">
        <v>51.91</v>
      </c>
      <c r="X661" s="26">
        <f>ROUND(('Methodology &amp; Assumptions'!$B$5*V661) + ('Methodology &amp; Assumptions'!$B$6*W661), 2)</f>
        <v/>
      </c>
      <c r="Y661" s="28" t="n">
        <v>8.300000000000001</v>
      </c>
      <c r="Z661" s="11" t="inlineStr">
        <is>
          <t>Priority Tier 3 (Broadband Expansion)</t>
        </is>
      </c>
    </row>
    <row r="662">
      <c r="A662" s="23" t="n">
        <v>4</v>
      </c>
      <c r="B662" s="23" t="n">
        <v>658</v>
      </c>
      <c r="C662" s="23" t="n">
        <v>3658</v>
      </c>
      <c r="D662" s="23" t="inlineStr">
        <is>
          <t>1381000011</t>
        </is>
      </c>
      <c r="E662" s="11" t="inlineStr">
        <is>
          <t>National Capital Region (NCR)</t>
        </is>
      </c>
      <c r="F662" s="11" t="inlineStr">
        <is>
          <t>Fourth District (Not a Province)</t>
        </is>
      </c>
      <c r="G662" s="11" t="inlineStr">
        <is>
          <t>City of Parañaque</t>
        </is>
      </c>
      <c r="H662" s="11" t="inlineStr">
        <is>
          <t>Moonwalk</t>
        </is>
      </c>
      <c r="I662" s="24" t="n">
        <v>14.49536</v>
      </c>
      <c r="J662" s="24" t="n">
        <v>121.01078</v>
      </c>
      <c r="K662" s="23" t="inlineStr">
        <is>
          <t>U</t>
        </is>
      </c>
      <c r="L662" s="25" t="n">
        <v>71860</v>
      </c>
      <c r="M662" s="26" t="n">
        <v>3.26</v>
      </c>
      <c r="N662" s="25">
        <f>ROUND(L662/M662, 0)</f>
        <v/>
      </c>
      <c r="O662" s="25">
        <f>ROUND(N662*'Methodology &amp; Assumptions'!$B$7, 0)</f>
        <v/>
      </c>
      <c r="P662" s="23" t="inlineStr">
        <is>
          <t>Single Carrier (Band n50, 100MHz TDD)</t>
        </is>
      </c>
      <c r="Q662" s="27">
        <f>ROUNDUP(O662/'Methodology &amp; Assumptions'!$B$8, 0)</f>
        <v/>
      </c>
      <c r="R662" s="27" t="n">
        <v>1</v>
      </c>
      <c r="S662" s="26" t="n">
        <v>2.22</v>
      </c>
      <c r="T662" s="26" t="n">
        <v>0.33</v>
      </c>
      <c r="U662" s="11">
        <f>IF(S662&lt;='Methodology &amp; Assumptions'!$B$10, "Direct Optical Drop (&lt;3km)", IF(S662&lt;='Methodology &amp; Assumptions'!$B$9, "Near Optical / Microwave (&lt;5km)", "Starlink Business LEO Satellite Backhaul (&gt;5km)"))</f>
        <v/>
      </c>
      <c r="V662" s="26" t="n">
        <v>60.31</v>
      </c>
      <c r="W662" s="26" t="n">
        <v>58.01</v>
      </c>
      <c r="X662" s="26">
        <f>ROUND(('Methodology &amp; Assumptions'!$B$5*V662) + ('Methodology &amp; Assumptions'!$B$6*W662), 2)</f>
        <v/>
      </c>
      <c r="Y662" s="28" t="n">
        <v>10.9</v>
      </c>
      <c r="Z662" s="11" t="inlineStr">
        <is>
          <t>Priority Tier 3 (Broadband Expansion)</t>
        </is>
      </c>
    </row>
    <row r="663">
      <c r="A663" s="23" t="n">
        <v>4</v>
      </c>
      <c r="B663" s="23" t="n">
        <v>659</v>
      </c>
      <c r="C663" s="23" t="n">
        <v>3659</v>
      </c>
      <c r="D663" s="23" t="inlineStr">
        <is>
          <t>1001311009</t>
        </is>
      </c>
      <c r="E663" s="11" t="inlineStr">
        <is>
          <t>Region X (Northern Mindanao)</t>
        </is>
      </c>
      <c r="F663" s="11" t="inlineStr">
        <is>
          <t>Bukidnon</t>
        </is>
      </c>
      <c r="G663" s="11" t="inlineStr">
        <is>
          <t>Libona</t>
        </is>
      </c>
      <c r="H663" s="11" t="inlineStr">
        <is>
          <t>Palabucan</t>
        </is>
      </c>
      <c r="I663" s="24" t="n">
        <v>8.398021999999999</v>
      </c>
      <c r="J663" s="24" t="n">
        <v>124.781404</v>
      </c>
      <c r="K663" s="23" t="inlineStr">
        <is>
          <t>R</t>
        </is>
      </c>
      <c r="L663" s="25" t="n">
        <v>1829</v>
      </c>
      <c r="M663" s="26" t="n">
        <v>3.8</v>
      </c>
      <c r="N663" s="25">
        <f>ROUND(L663/M663, 0)</f>
        <v/>
      </c>
      <c r="O663" s="25">
        <f>ROUND(N663*'Methodology &amp; Assumptions'!$B$7, 0)</f>
        <v/>
      </c>
      <c r="P663" s="23" t="inlineStr">
        <is>
          <t>Single Carrier (Band n50, 100MHz TDD)</t>
        </is>
      </c>
      <c r="Q663" s="27">
        <f>ROUNDUP(O663/'Methodology &amp; Assumptions'!$B$8, 0)</f>
        <v/>
      </c>
      <c r="R663" s="27" t="n">
        <v>1</v>
      </c>
      <c r="S663" s="26" t="n">
        <v>6.08</v>
      </c>
      <c r="T663" s="26" t="n">
        <v>4.55</v>
      </c>
      <c r="U663" s="11">
        <f>IF(S663&lt;='Methodology &amp; Assumptions'!$B$10, "Direct Optical Drop (&lt;3km)", IF(S663&lt;='Methodology &amp; Assumptions'!$B$9, "Near Optical / Microwave (&lt;5km)", "Starlink Business LEO Satellite Backhaul (&gt;5km)"))</f>
        <v/>
      </c>
      <c r="V663" s="26" t="n">
        <v>58.82</v>
      </c>
      <c r="W663" s="26" t="n">
        <v>59.51</v>
      </c>
      <c r="X663" s="26">
        <f>ROUND(('Methodology &amp; Assumptions'!$B$5*V663) + ('Methodology &amp; Assumptions'!$B$6*W663), 2)</f>
        <v/>
      </c>
      <c r="Y663" s="28" t="n">
        <v>17.4</v>
      </c>
      <c r="Z663" s="11" t="inlineStr">
        <is>
          <t>Priority Tier 3 (Broadband Expansion)</t>
        </is>
      </c>
    </row>
    <row r="664">
      <c r="A664" s="23" t="n">
        <v>4</v>
      </c>
      <c r="B664" s="23" t="n">
        <v>660</v>
      </c>
      <c r="C664" s="23" t="n">
        <v>3660</v>
      </c>
      <c r="D664" s="23" t="inlineStr">
        <is>
          <t>1381100070</t>
        </is>
      </c>
      <c r="E664" s="11" t="inlineStr">
        <is>
          <t>National Capital Region (NCR)</t>
        </is>
      </c>
      <c r="F664" s="11" t="inlineStr">
        <is>
          <t>Fourth District (Not a Province)</t>
        </is>
      </c>
      <c r="G664" s="11" t="inlineStr">
        <is>
          <t>Pasay City</t>
        </is>
      </c>
      <c r="H664" s="11" t="inlineStr">
        <is>
          <t>Barangay 70</t>
        </is>
      </c>
      <c r="I664" s="24" t="n">
        <v>14.544524</v>
      </c>
      <c r="J664" s="24" t="n">
        <v>120.995957</v>
      </c>
      <c r="K664" s="23" t="inlineStr">
        <is>
          <t>U</t>
        </is>
      </c>
      <c r="L664" s="25" t="n">
        <v>2081</v>
      </c>
      <c r="M664" s="26" t="n">
        <v>8.1</v>
      </c>
      <c r="N664" s="25">
        <f>ROUND(L664/M664, 0)</f>
        <v/>
      </c>
      <c r="O664" s="25">
        <f>ROUND(N664*'Methodology &amp; Assumptions'!$B$7, 0)</f>
        <v/>
      </c>
      <c r="P664" s="23" t="inlineStr">
        <is>
          <t>Single Carrier (Band n50, 100MHz TDD)</t>
        </is>
      </c>
      <c r="Q664" s="27">
        <f>ROUNDUP(O664/'Methodology &amp; Assumptions'!$B$8, 0)</f>
        <v/>
      </c>
      <c r="R664" s="27" t="n">
        <v>1</v>
      </c>
      <c r="S664" s="26" t="n">
        <v>0.16</v>
      </c>
      <c r="T664" s="26" t="n">
        <v>0.2</v>
      </c>
      <c r="U664" s="11">
        <f>IF(S664&lt;='Methodology &amp; Assumptions'!$B$10, "Direct Optical Drop (&lt;3km)", IF(S664&lt;='Methodology &amp; Assumptions'!$B$9, "Near Optical / Microwave (&lt;5km)", "Starlink Business LEO Satellite Backhaul (&gt;5km)"))</f>
        <v/>
      </c>
      <c r="V664" s="26" t="n">
        <v>49.34</v>
      </c>
      <c r="W664" s="26" t="n">
        <v>68.98999999999999</v>
      </c>
      <c r="X664" s="26">
        <f>ROUND(('Methodology &amp; Assumptions'!$B$5*V664) + ('Methodology &amp; Assumptions'!$B$6*W664), 2)</f>
        <v/>
      </c>
      <c r="Y664" s="28" t="n">
        <v>10.9</v>
      </c>
      <c r="Z664" s="11" t="inlineStr">
        <is>
          <t>Priority Tier 3 (Broadband Expansion)</t>
        </is>
      </c>
    </row>
    <row r="665">
      <c r="A665" s="23" t="n">
        <v>4</v>
      </c>
      <c r="B665" s="23" t="n">
        <v>661</v>
      </c>
      <c r="C665" s="23" t="n">
        <v>3661</v>
      </c>
      <c r="D665" s="23" t="inlineStr">
        <is>
          <t>0403416039</t>
        </is>
      </c>
      <c r="E665" s="11" t="inlineStr">
        <is>
          <t>Region IV-A (CALABARZON)</t>
        </is>
      </c>
      <c r="F665" s="11" t="inlineStr">
        <is>
          <t>Laguna</t>
        </is>
      </c>
      <c r="G665" s="11" t="inlineStr">
        <is>
          <t>Majayjay</t>
        </is>
      </c>
      <c r="H665" s="11" t="inlineStr">
        <is>
          <t>Tanawan</t>
        </is>
      </c>
      <c r="I665" s="24" t="n">
        <v>14.185404</v>
      </c>
      <c r="J665" s="24" t="n">
        <v>121.459321</v>
      </c>
      <c r="K665" s="23" t="inlineStr">
        <is>
          <t>R</t>
        </is>
      </c>
      <c r="L665" s="25" t="n">
        <v>93</v>
      </c>
      <c r="M665" s="26" t="n">
        <v>3.3</v>
      </c>
      <c r="N665" s="25">
        <f>ROUND(L665/M665, 0)</f>
        <v/>
      </c>
      <c r="O665" s="25">
        <f>ROUND(N665*'Methodology &amp; Assumptions'!$B$7, 0)</f>
        <v/>
      </c>
      <c r="P665" s="23" t="inlineStr">
        <is>
          <t>Single Carrier (Band n50, 100MHz TDD)</t>
        </is>
      </c>
      <c r="Q665" s="27">
        <f>ROUNDUP(O665/'Methodology &amp; Assumptions'!$B$8, 0)</f>
        <v/>
      </c>
      <c r="R665" s="27" t="n">
        <v>1</v>
      </c>
      <c r="S665" s="26" t="n">
        <v>3.39</v>
      </c>
      <c r="T665" s="26" t="n">
        <v>3.17</v>
      </c>
      <c r="U665" s="11">
        <f>IF(S665&lt;='Methodology &amp; Assumptions'!$B$10, "Direct Optical Drop (&lt;3km)", IF(S665&lt;='Methodology &amp; Assumptions'!$B$9, "Near Optical / Microwave (&lt;5km)", "Starlink Business LEO Satellite Backhaul (&gt;5km)"))</f>
        <v/>
      </c>
      <c r="V665" s="26" t="n">
        <v>47.88</v>
      </c>
      <c r="W665" s="26" t="n">
        <v>70.43000000000001</v>
      </c>
      <c r="X665" s="26">
        <f>ROUND(('Methodology &amp; Assumptions'!$B$5*V665) + ('Methodology &amp; Assumptions'!$B$6*W665), 2)</f>
        <v/>
      </c>
      <c r="Y665" s="28" t="n">
        <v>7.2</v>
      </c>
      <c r="Z665" s="11" t="inlineStr">
        <is>
          <t>Priority Tier 3 (Broadband Expansion)</t>
        </is>
      </c>
    </row>
    <row r="666">
      <c r="A666" s="23" t="n">
        <v>4</v>
      </c>
      <c r="B666" s="23" t="n">
        <v>662</v>
      </c>
      <c r="C666" s="23" t="n">
        <v>3662</v>
      </c>
      <c r="D666" s="23" t="inlineStr">
        <is>
          <t>1108604023</t>
        </is>
      </c>
      <c r="E666" s="11" t="inlineStr">
        <is>
          <t>Region XI (Davao Region)</t>
        </is>
      </c>
      <c r="F666" s="11" t="inlineStr">
        <is>
          <t>Davao Occidental</t>
        </is>
      </c>
      <c r="G666" s="11" t="inlineStr">
        <is>
          <t>Santa Maria</t>
        </is>
      </c>
      <c r="H666" s="11" t="inlineStr">
        <is>
          <t>Kinilidan</t>
        </is>
      </c>
      <c r="I666" s="24" t="n">
        <v>6.421017</v>
      </c>
      <c r="J666" s="24" t="n">
        <v>125.461758</v>
      </c>
      <c r="K666" s="23" t="inlineStr">
        <is>
          <t>R</t>
        </is>
      </c>
      <c r="L666" s="25" t="n">
        <v>1329</v>
      </c>
      <c r="M666" s="26" t="n">
        <v>3.6</v>
      </c>
      <c r="N666" s="25">
        <f>ROUND(L666/M666, 0)</f>
        <v/>
      </c>
      <c r="O666" s="25">
        <f>ROUND(N666*'Methodology &amp; Assumptions'!$B$7, 0)</f>
        <v/>
      </c>
      <c r="P666" s="23" t="inlineStr">
        <is>
          <t>Single Carrier (Band n50, 100MHz TDD)</t>
        </is>
      </c>
      <c r="Q666" s="27">
        <f>ROUNDUP(O666/'Methodology &amp; Assumptions'!$B$8, 0)</f>
        <v/>
      </c>
      <c r="R666" s="27" t="n">
        <v>1</v>
      </c>
      <c r="S666" s="26" t="n">
        <v>16.77</v>
      </c>
      <c r="T666" s="26" t="n">
        <v>14.56</v>
      </c>
      <c r="U666" s="11">
        <f>IF(S666&lt;='Methodology &amp; Assumptions'!$B$10, "Direct Optical Drop (&lt;3km)", IF(S666&lt;='Methodology &amp; Assumptions'!$B$9, "Near Optical / Microwave (&lt;5km)", "Starlink Business LEO Satellite Backhaul (&gt;5km)"))</f>
        <v/>
      </c>
      <c r="V666" s="26" t="n">
        <v>46.78</v>
      </c>
      <c r="W666" s="26" t="n">
        <v>71.54000000000001</v>
      </c>
      <c r="X666" s="26">
        <f>ROUND(('Methodology &amp; Assumptions'!$B$5*V666) + ('Methodology &amp; Assumptions'!$B$6*W666), 2)</f>
        <v/>
      </c>
      <c r="Y666" s="28" t="n">
        <v>17.4</v>
      </c>
      <c r="Z666" s="11" t="inlineStr">
        <is>
          <t>Priority Tier 3 (Broadband Expansion)</t>
        </is>
      </c>
    </row>
    <row r="667">
      <c r="A667" s="23" t="n">
        <v>4</v>
      </c>
      <c r="B667" s="23" t="n">
        <v>663</v>
      </c>
      <c r="C667" s="23" t="n">
        <v>3663</v>
      </c>
      <c r="D667" s="23" t="inlineStr">
        <is>
          <t>0806411009</t>
        </is>
      </c>
      <c r="E667" s="11" t="inlineStr">
        <is>
          <t>Region VIII (Eastern Visayas)</t>
        </is>
      </c>
      <c r="F667" s="11" t="inlineStr">
        <is>
          <t>Southern Leyte</t>
        </is>
      </c>
      <c r="G667" s="11" t="inlineStr">
        <is>
          <t>Pintuyan</t>
        </is>
      </c>
      <c r="H667" s="11" t="inlineStr">
        <is>
          <t>Dan-an</t>
        </is>
      </c>
      <c r="I667" s="24" t="n">
        <v>9.992432000000001</v>
      </c>
      <c r="J667" s="24" t="n">
        <v>125.232572</v>
      </c>
      <c r="K667" s="23" t="inlineStr">
        <is>
          <t>R</t>
        </is>
      </c>
      <c r="L667" s="25" t="n">
        <v>494</v>
      </c>
      <c r="M667" s="26" t="n">
        <v>4.1</v>
      </c>
      <c r="N667" s="25">
        <f>ROUND(L667/M667, 0)</f>
        <v/>
      </c>
      <c r="O667" s="25">
        <f>ROUND(N667*'Methodology &amp; Assumptions'!$B$7, 0)</f>
        <v/>
      </c>
      <c r="P667" s="23" t="inlineStr">
        <is>
          <t>Single Carrier (Band n50, 100MHz TDD)</t>
        </is>
      </c>
      <c r="Q667" s="27">
        <f>ROUNDUP(O667/'Methodology &amp; Assumptions'!$B$8, 0)</f>
        <v/>
      </c>
      <c r="R667" s="27" t="n">
        <v>1</v>
      </c>
      <c r="S667" s="26" t="n">
        <v>36.63</v>
      </c>
      <c r="T667" s="26" t="n">
        <v>23.35</v>
      </c>
      <c r="U667" s="11">
        <f>IF(S667&lt;='Methodology &amp; Assumptions'!$B$10, "Direct Optical Drop (&lt;3km)", IF(S667&lt;='Methodology &amp; Assumptions'!$B$9, "Near Optical / Microwave (&lt;5km)", "Starlink Business LEO Satellite Backhaul (&gt;5km)"))</f>
        <v/>
      </c>
      <c r="V667" s="26" t="n">
        <v>43.61</v>
      </c>
      <c r="W667" s="26" t="n">
        <v>74.72</v>
      </c>
      <c r="X667" s="26">
        <f>ROUND(('Methodology &amp; Assumptions'!$B$5*V667) + ('Methodology &amp; Assumptions'!$B$6*W667), 2)</f>
        <v/>
      </c>
      <c r="Y667" s="28" t="n">
        <v>23.7</v>
      </c>
      <c r="Z667" s="11" t="inlineStr">
        <is>
          <t>Priority Tier 3 (Broadband Expansion)</t>
        </is>
      </c>
    </row>
    <row r="668">
      <c r="A668" s="23" t="n">
        <v>4</v>
      </c>
      <c r="B668" s="23" t="n">
        <v>664</v>
      </c>
      <c r="C668" s="23" t="n">
        <v>3664</v>
      </c>
      <c r="D668" s="23" t="inlineStr">
        <is>
          <t>0105521009</t>
        </is>
      </c>
      <c r="E668" s="11" t="inlineStr">
        <is>
          <t>Region I (Ilocos Region)</t>
        </is>
      </c>
      <c r="F668" s="11" t="inlineStr">
        <is>
          <t>Pangasinan</t>
        </is>
      </c>
      <c r="G668" s="11" t="inlineStr">
        <is>
          <t>Labrador</t>
        </is>
      </c>
      <c r="H668" s="11" t="inlineStr">
        <is>
          <t>Tobuan</t>
        </is>
      </c>
      <c r="I668" s="24" t="n">
        <v>16.05671</v>
      </c>
      <c r="J668" s="24" t="n">
        <v>120.110627</v>
      </c>
      <c r="K668" s="23" t="inlineStr">
        <is>
          <t>R</t>
        </is>
      </c>
      <c r="L668" s="25" t="n">
        <v>3257</v>
      </c>
      <c r="M668" s="26" t="n">
        <v>3.6</v>
      </c>
      <c r="N668" s="25">
        <f>ROUND(L668/M668, 0)</f>
        <v/>
      </c>
      <c r="O668" s="25">
        <f>ROUND(N668*'Methodology &amp; Assumptions'!$B$7, 0)</f>
        <v/>
      </c>
      <c r="P668" s="23" t="inlineStr">
        <is>
          <t>Single Carrier (Band n50, 100MHz TDD)</t>
        </is>
      </c>
      <c r="Q668" s="27">
        <f>ROUNDUP(O668/'Methodology &amp; Assumptions'!$B$8, 0)</f>
        <v/>
      </c>
      <c r="R668" s="27" t="n">
        <v>1</v>
      </c>
      <c r="S668" s="26" t="n">
        <v>1.37</v>
      </c>
      <c r="T668" s="26" t="n">
        <v>0.04</v>
      </c>
      <c r="U668" s="11">
        <f>IF(S668&lt;='Methodology &amp; Assumptions'!$B$10, "Direct Optical Drop (&lt;3km)", IF(S668&lt;='Methodology &amp; Assumptions'!$B$9, "Near Optical / Microwave (&lt;5km)", "Starlink Business LEO Satellite Backhaul (&gt;5km)"))</f>
        <v/>
      </c>
      <c r="V668" s="26" t="n">
        <v>83.62</v>
      </c>
      <c r="W668" s="26" t="n">
        <v>34.68</v>
      </c>
      <c r="X668" s="26">
        <f>ROUND(('Methodology &amp; Assumptions'!$B$5*V668) + ('Methodology &amp; Assumptions'!$B$6*W668), 2)</f>
        <v/>
      </c>
      <c r="Y668" s="28" t="n">
        <v>8.300000000000001</v>
      </c>
      <c r="Z668" s="11" t="inlineStr">
        <is>
          <t>Priority Tier 3 (Broadband Expansion)</t>
        </is>
      </c>
    </row>
    <row r="669">
      <c r="A669" s="23" t="n">
        <v>4</v>
      </c>
      <c r="B669" s="23" t="n">
        <v>665</v>
      </c>
      <c r="C669" s="23" t="n">
        <v>3665</v>
      </c>
      <c r="D669" s="23" t="inlineStr">
        <is>
          <t>0105540009</t>
        </is>
      </c>
      <c r="E669" s="11" t="inlineStr">
        <is>
          <t>Region I (Ilocos Region)</t>
        </is>
      </c>
      <c r="F669" s="11" t="inlineStr">
        <is>
          <t>Pangasinan</t>
        </is>
      </c>
      <c r="G669" s="11" t="inlineStr">
        <is>
          <t>Santo Tomas</t>
        </is>
      </c>
      <c r="H669" s="11" t="inlineStr">
        <is>
          <t>Santo Domingo</t>
        </is>
      </c>
      <c r="I669" s="24" t="n">
        <v>15.711944</v>
      </c>
      <c r="J669" s="24" t="n">
        <v>120.584722</v>
      </c>
      <c r="K669" s="23" t="inlineStr">
        <is>
          <t>R</t>
        </is>
      </c>
      <c r="L669" s="25" t="n">
        <v>1597</v>
      </c>
      <c r="M669" s="26" t="n">
        <v>3.6</v>
      </c>
      <c r="N669" s="25">
        <f>ROUND(L669/M669, 0)</f>
        <v/>
      </c>
      <c r="O669" s="25">
        <f>ROUND(N669*'Methodology &amp; Assumptions'!$B$7, 0)</f>
        <v/>
      </c>
      <c r="P669" s="23" t="inlineStr">
        <is>
          <t>Single Carrier (Band n50, 100MHz TDD)</t>
        </is>
      </c>
      <c r="Q669" s="27">
        <f>ROUNDUP(O669/'Methodology &amp; Assumptions'!$B$8, 0)</f>
        <v/>
      </c>
      <c r="R669" s="27" t="n">
        <v>1</v>
      </c>
      <c r="S669" s="26" t="n">
        <v>1.67</v>
      </c>
      <c r="T669" s="26" t="n">
        <v>0.67</v>
      </c>
      <c r="U669" s="11">
        <f>IF(S669&lt;='Methodology &amp; Assumptions'!$B$10, "Direct Optical Drop (&lt;3km)", IF(S669&lt;='Methodology &amp; Assumptions'!$B$9, "Near Optical / Microwave (&lt;5km)", "Starlink Business LEO Satellite Backhaul (&gt;5km)"))</f>
        <v/>
      </c>
      <c r="V669" s="26" t="n">
        <v>72.95</v>
      </c>
      <c r="W669" s="26" t="n">
        <v>45.35</v>
      </c>
      <c r="X669" s="26">
        <f>ROUND(('Methodology &amp; Assumptions'!$B$5*V669) + ('Methodology &amp; Assumptions'!$B$6*W669), 2)</f>
        <v/>
      </c>
      <c r="Y669" s="28" t="n">
        <v>8.300000000000001</v>
      </c>
      <c r="Z669" s="11" t="inlineStr">
        <is>
          <t>Priority Tier 3 (Broadband Expansion)</t>
        </is>
      </c>
    </row>
    <row r="670">
      <c r="A670" s="23" t="n">
        <v>4</v>
      </c>
      <c r="B670" s="23" t="n">
        <v>666</v>
      </c>
      <c r="C670" s="23" t="n">
        <v>3666</v>
      </c>
      <c r="D670" s="23" t="inlineStr">
        <is>
          <t>0403425006</t>
        </is>
      </c>
      <c r="E670" s="11" t="inlineStr">
        <is>
          <t>Region IV-A (CALABARZON)</t>
        </is>
      </c>
      <c r="F670" s="11" t="inlineStr">
        <is>
          <t>Laguna</t>
        </is>
      </c>
      <c r="G670" s="11" t="inlineStr">
        <is>
          <t>City of San Pedro</t>
        </is>
      </c>
      <c r="H670" s="11" t="inlineStr">
        <is>
          <t>Langgam</t>
        </is>
      </c>
      <c r="I670" s="24" t="n">
        <v>14.328713</v>
      </c>
      <c r="J670" s="24" t="n">
        <v>121.017727</v>
      </c>
      <c r="K670" s="23" t="inlineStr">
        <is>
          <t>U</t>
        </is>
      </c>
      <c r="L670" s="25" t="n">
        <v>33922</v>
      </c>
      <c r="M670" s="26" t="n">
        <v>3.3</v>
      </c>
      <c r="N670" s="25">
        <f>ROUND(L670/M670, 0)</f>
        <v/>
      </c>
      <c r="O670" s="25">
        <f>ROUND(N670*'Methodology &amp; Assumptions'!$B$7, 0)</f>
        <v/>
      </c>
      <c r="P670" s="23" t="inlineStr">
        <is>
          <t>Single Carrier (Band n50, 100MHz TDD)</t>
        </is>
      </c>
      <c r="Q670" s="27">
        <f>ROUNDUP(O670/'Methodology &amp; Assumptions'!$B$8, 0)</f>
        <v/>
      </c>
      <c r="R670" s="27" t="n">
        <v>1</v>
      </c>
      <c r="S670" s="26" t="n">
        <v>2.9</v>
      </c>
      <c r="T670" s="26" t="n">
        <v>2.58</v>
      </c>
      <c r="U670" s="11">
        <f>IF(S670&lt;='Methodology &amp; Assumptions'!$B$10, "Direct Optical Drop (&lt;3km)", IF(S670&lt;='Methodology &amp; Assumptions'!$B$9, "Near Optical / Microwave (&lt;5km)", "Starlink Business LEO Satellite Backhaul (&gt;5km)"))</f>
        <v/>
      </c>
      <c r="V670" s="26" t="n">
        <v>66.86</v>
      </c>
      <c r="W670" s="26" t="n">
        <v>51.45</v>
      </c>
      <c r="X670" s="26">
        <f>ROUND(('Methodology &amp; Assumptions'!$B$5*V670) + ('Methodology &amp; Assumptions'!$B$6*W670), 2)</f>
        <v/>
      </c>
      <c r="Y670" s="28" t="n">
        <v>7.2</v>
      </c>
      <c r="Z670" s="11" t="inlineStr">
        <is>
          <t>Priority Tier 3 (Broadband Expansion)</t>
        </is>
      </c>
    </row>
    <row r="671">
      <c r="A671" s="23" t="n">
        <v>4</v>
      </c>
      <c r="B671" s="23" t="n">
        <v>667</v>
      </c>
      <c r="C671" s="23" t="n">
        <v>3667</v>
      </c>
      <c r="D671" s="23" t="inlineStr">
        <is>
          <t>1380605028</t>
        </is>
      </c>
      <c r="E671" s="11" t="inlineStr">
        <is>
          <t>National Capital Region (NCR)</t>
        </is>
      </c>
      <c r="F671" s="11" t="inlineStr">
        <is>
          <t>First District (Not a Province)</t>
        </is>
      </c>
      <c r="G671" s="11" t="inlineStr">
        <is>
          <t>City of Manila</t>
        </is>
      </c>
      <c r="H671" s="11" t="inlineStr">
        <is>
          <t>Barangay 326</t>
        </is>
      </c>
      <c r="I671" s="24" t="n">
        <v>14.610514</v>
      </c>
      <c r="J671" s="24" t="n">
        <v>120.981</v>
      </c>
      <c r="K671" s="23" t="inlineStr">
        <is>
          <t>U</t>
        </is>
      </c>
      <c r="L671" s="25" t="n">
        <v>841</v>
      </c>
      <c r="M671" s="26" t="n">
        <v>3.25</v>
      </c>
      <c r="N671" s="25">
        <f>ROUND(L671/M671, 0)</f>
        <v/>
      </c>
      <c r="O671" s="25">
        <f>ROUND(N671*'Methodology &amp; Assumptions'!$B$7, 0)</f>
        <v/>
      </c>
      <c r="P671" s="23" t="inlineStr">
        <is>
          <t>Single Carrier (Band n50, 100MHz TDD)</t>
        </is>
      </c>
      <c r="Q671" s="27">
        <f>ROUNDUP(O671/'Methodology &amp; Assumptions'!$B$8, 0)</f>
        <v/>
      </c>
      <c r="R671" s="27" t="n">
        <v>1</v>
      </c>
      <c r="S671" s="26" t="n">
        <v>0.7</v>
      </c>
      <c r="T671" s="26" t="n">
        <v>0.23</v>
      </c>
      <c r="U671" s="11">
        <f>IF(S671&lt;='Methodology &amp; Assumptions'!$B$10, "Direct Optical Drop (&lt;3km)", IF(S671&lt;='Methodology &amp; Assumptions'!$B$9, "Near Optical / Microwave (&lt;5km)", "Starlink Business LEO Satellite Backhaul (&gt;5km)"))</f>
        <v/>
      </c>
      <c r="V671" s="26" t="n">
        <v>49.45</v>
      </c>
      <c r="W671" s="26" t="n">
        <v>68.84999999999999</v>
      </c>
      <c r="X671" s="26">
        <f>ROUND(('Methodology &amp; Assumptions'!$B$5*V671) + ('Methodology &amp; Assumptions'!$B$6*W671), 2)</f>
        <v/>
      </c>
      <c r="Y671" s="28" t="n">
        <v>10.9</v>
      </c>
      <c r="Z671" s="11" t="inlineStr">
        <is>
          <t>Priority Tier 3 (Broadband Expansion)</t>
        </is>
      </c>
    </row>
    <row r="672">
      <c r="A672" s="23" t="n">
        <v>4</v>
      </c>
      <c r="B672" s="23" t="n">
        <v>668</v>
      </c>
      <c r="C672" s="23" t="n">
        <v>3668</v>
      </c>
      <c r="D672" s="23" t="inlineStr">
        <is>
          <t>1906610014</t>
        </is>
      </c>
      <c r="E672" s="11" t="inlineStr">
        <is>
          <t>Bangsamoro Autonomous Region In Muslim Mindanao (BARMM)</t>
        </is>
      </c>
      <c r="F672" s="11" t="inlineStr">
        <is>
          <t>Sulu</t>
        </is>
      </c>
      <c r="G672" s="11" t="inlineStr">
        <is>
          <t>Pata</t>
        </is>
      </c>
      <c r="H672" s="11" t="inlineStr">
        <is>
          <t>Sangkap</t>
        </is>
      </c>
      <c r="I672" s="24" t="n">
        <v>5.807229</v>
      </c>
      <c r="J672" s="24" t="n">
        <v>121.173902</v>
      </c>
      <c r="K672" s="23" t="inlineStr">
        <is>
          <t>R</t>
        </is>
      </c>
      <c r="L672" s="25" t="n">
        <v>2444</v>
      </c>
      <c r="M672" s="26" t="n">
        <v>6</v>
      </c>
      <c r="N672" s="25">
        <f>ROUND(L672/M672, 0)</f>
        <v/>
      </c>
      <c r="O672" s="25">
        <f>ROUND(N672*'Methodology &amp; Assumptions'!$B$7, 0)</f>
        <v/>
      </c>
      <c r="P672" s="23" t="inlineStr">
        <is>
          <t>Single Carrier (Band n50, 100MHz TDD)</t>
        </is>
      </c>
      <c r="Q672" s="27">
        <f>ROUNDUP(O672/'Methodology &amp; Assumptions'!$B$8, 0)</f>
        <v/>
      </c>
      <c r="R672" s="27" t="n">
        <v>1</v>
      </c>
      <c r="S672" s="26" t="n">
        <v>157.91</v>
      </c>
      <c r="T672" s="26" t="n">
        <v>157.9</v>
      </c>
      <c r="U672" s="11">
        <f>IF(S672&lt;='Methodology &amp; Assumptions'!$B$10, "Direct Optical Drop (&lt;3km)", IF(S672&lt;='Methodology &amp; Assumptions'!$B$9, "Near Optical / Microwave (&lt;5km)", "Starlink Business LEO Satellite Backhaul (&gt;5km)"))</f>
        <v/>
      </c>
      <c r="V672" s="26" t="n">
        <v>46.75</v>
      </c>
      <c r="W672" s="26" t="n">
        <v>71.56</v>
      </c>
      <c r="X672" s="26">
        <f>ROUND(('Methodology &amp; Assumptions'!$B$5*V672) + ('Methodology &amp; Assumptions'!$B$6*W672), 2)</f>
        <v/>
      </c>
      <c r="Y672" s="28" t="n">
        <v>11</v>
      </c>
      <c r="Z672" s="11" t="inlineStr">
        <is>
          <t>Priority Tier 3 (Broadband Expansion)</t>
        </is>
      </c>
    </row>
    <row r="673">
      <c r="A673" s="23" t="n">
        <v>4</v>
      </c>
      <c r="B673" s="23" t="n">
        <v>669</v>
      </c>
      <c r="C673" s="23" t="n">
        <v>3669</v>
      </c>
      <c r="D673" s="23" t="inlineStr">
        <is>
          <t>1400127003</t>
        </is>
      </c>
      <c r="E673" s="11" t="inlineStr">
        <is>
          <t>Cordillera Administrative Region (CAR)</t>
        </is>
      </c>
      <c r="F673" s="11" t="inlineStr">
        <is>
          <t>Abra</t>
        </is>
      </c>
      <c r="G673" s="11" t="inlineStr">
        <is>
          <t>Villaviciosa</t>
        </is>
      </c>
      <c r="H673" s="11" t="inlineStr">
        <is>
          <t>Cal-lao</t>
        </is>
      </c>
      <c r="I673" s="24" t="n">
        <v>17.39532</v>
      </c>
      <c r="J673" s="24" t="n">
        <v>120.6446</v>
      </c>
      <c r="K673" s="23" t="inlineStr">
        <is>
          <t>R</t>
        </is>
      </c>
      <c r="L673" s="25" t="n">
        <v>925</v>
      </c>
      <c r="M673" s="26" t="n">
        <v>3.8</v>
      </c>
      <c r="N673" s="25">
        <f>ROUND(L673/M673, 0)</f>
        <v/>
      </c>
      <c r="O673" s="25">
        <f>ROUND(N673*'Methodology &amp; Assumptions'!$B$7, 0)</f>
        <v/>
      </c>
      <c r="P673" s="23" t="inlineStr">
        <is>
          <t>Single Carrier (Band n50, 100MHz TDD)</t>
        </is>
      </c>
      <c r="Q673" s="27">
        <f>ROUNDUP(O673/'Methodology &amp; Assumptions'!$B$8, 0)</f>
        <v/>
      </c>
      <c r="R673" s="27" t="n">
        <v>1</v>
      </c>
      <c r="S673" s="26" t="n">
        <v>13.82</v>
      </c>
      <c r="T673" s="26" t="n">
        <v>17.09</v>
      </c>
      <c r="U673" s="11">
        <f>IF(S673&lt;='Methodology &amp; Assumptions'!$B$10, "Direct Optical Drop (&lt;3km)", IF(S673&lt;='Methodology &amp; Assumptions'!$B$9, "Near Optical / Microwave (&lt;5km)", "Starlink Business LEO Satellite Backhaul (&gt;5km)"))</f>
        <v/>
      </c>
      <c r="V673" s="26" t="n">
        <v>41.58</v>
      </c>
      <c r="W673" s="26" t="n">
        <v>76.72</v>
      </c>
      <c r="X673" s="26">
        <f>ROUND(('Methodology &amp; Assumptions'!$B$5*V673) + ('Methodology &amp; Assumptions'!$B$6*W673), 2)</f>
        <v/>
      </c>
      <c r="Y673" s="28" t="n">
        <v>10.9</v>
      </c>
      <c r="Z673" s="11" t="inlineStr">
        <is>
          <t>Priority Tier 3 (Broadband Expansion)</t>
        </is>
      </c>
    </row>
    <row r="674">
      <c r="A674" s="23" t="n">
        <v>4</v>
      </c>
      <c r="B674" s="23" t="n">
        <v>670</v>
      </c>
      <c r="C674" s="23" t="n">
        <v>3670</v>
      </c>
      <c r="D674" s="23" t="inlineStr">
        <is>
          <t>0401034013</t>
        </is>
      </c>
      <c r="E674" s="11" t="inlineStr">
        <is>
          <t>Region IV-A (CALABARZON)</t>
        </is>
      </c>
      <c r="F674" s="11" t="inlineStr">
        <is>
          <t>Batangas</t>
        </is>
      </c>
      <c r="G674" s="11" t="inlineStr">
        <is>
          <t>Tuy</t>
        </is>
      </c>
      <c r="H674" s="11" t="inlineStr">
        <is>
          <t>Luna</t>
        </is>
      </c>
      <c r="I674" s="24" t="n">
        <v>14.018224</v>
      </c>
      <c r="J674" s="24" t="n">
        <v>120.730325</v>
      </c>
      <c r="K674" s="23" t="inlineStr">
        <is>
          <t>R</t>
        </is>
      </c>
      <c r="L674" s="25" t="n">
        <v>2745</v>
      </c>
      <c r="M674" s="26" t="n">
        <v>3.6</v>
      </c>
      <c r="N674" s="25">
        <f>ROUND(L674/M674, 0)</f>
        <v/>
      </c>
      <c r="O674" s="25">
        <f>ROUND(N674*'Methodology &amp; Assumptions'!$B$7, 0)</f>
        <v/>
      </c>
      <c r="P674" s="23" t="inlineStr">
        <is>
          <t>Single Carrier (Band n50, 100MHz TDD)</t>
        </is>
      </c>
      <c r="Q674" s="27">
        <f>ROUNDUP(O674/'Methodology &amp; Assumptions'!$B$8, 0)</f>
        <v/>
      </c>
      <c r="R674" s="27" t="n">
        <v>1</v>
      </c>
      <c r="S674" s="26" t="n">
        <v>0.42</v>
      </c>
      <c r="T674" s="26" t="n">
        <v>0.42</v>
      </c>
      <c r="U674" s="11">
        <f>IF(S674&lt;='Methodology &amp; Assumptions'!$B$10, "Direct Optical Drop (&lt;3km)", IF(S674&lt;='Methodology &amp; Assumptions'!$B$9, "Near Optical / Microwave (&lt;5km)", "Starlink Business LEO Satellite Backhaul (&gt;5km)"))</f>
        <v/>
      </c>
      <c r="V674" s="26" t="n">
        <v>83.77</v>
      </c>
      <c r="W674" s="26" t="n">
        <v>34.51</v>
      </c>
      <c r="X674" s="26">
        <f>ROUND(('Methodology &amp; Assumptions'!$B$5*V674) + ('Methodology &amp; Assumptions'!$B$6*W674), 2)</f>
        <v/>
      </c>
      <c r="Y674" s="28" t="n">
        <v>7.2</v>
      </c>
      <c r="Z674" s="11" t="inlineStr">
        <is>
          <t>Priority Tier 3 (Broadband Expansion)</t>
        </is>
      </c>
    </row>
    <row r="675">
      <c r="A675" s="23" t="n">
        <v>4</v>
      </c>
      <c r="B675" s="23" t="n">
        <v>671</v>
      </c>
      <c r="C675" s="23" t="n">
        <v>3671</v>
      </c>
      <c r="D675" s="23" t="inlineStr">
        <is>
          <t>0402103038</t>
        </is>
      </c>
      <c r="E675" s="11" t="inlineStr">
        <is>
          <t>Region IV-A (CALABARZON)</t>
        </is>
      </c>
      <c r="F675" s="11" t="inlineStr">
        <is>
          <t>Cavite</t>
        </is>
      </c>
      <c r="G675" s="11" t="inlineStr">
        <is>
          <t>City of Bacoor</t>
        </is>
      </c>
      <c r="H675" s="11" t="inlineStr">
        <is>
          <t>Mabolo III</t>
        </is>
      </c>
      <c r="I675" s="24" t="n">
        <v>14.436707</v>
      </c>
      <c r="J675" s="24" t="n">
        <v>120.961346</v>
      </c>
      <c r="K675" s="23" t="inlineStr">
        <is>
          <t>R</t>
        </is>
      </c>
      <c r="L675" s="25" t="n">
        <v>2458</v>
      </c>
      <c r="M675" s="26" t="n">
        <v>3.4</v>
      </c>
      <c r="N675" s="25">
        <f>ROUND(L675/M675, 0)</f>
        <v/>
      </c>
      <c r="O675" s="25">
        <f>ROUND(N675*'Methodology &amp; Assumptions'!$B$7, 0)</f>
        <v/>
      </c>
      <c r="P675" s="23" t="inlineStr">
        <is>
          <t>Single Carrier (Band n50, 100MHz TDD)</t>
        </is>
      </c>
      <c r="Q675" s="27">
        <f>ROUNDUP(O675/'Methodology &amp; Assumptions'!$B$8, 0)</f>
        <v/>
      </c>
      <c r="R675" s="27" t="n">
        <v>1</v>
      </c>
      <c r="S675" s="26" t="n">
        <v>1.43</v>
      </c>
      <c r="T675" s="26" t="n">
        <v>1.32</v>
      </c>
      <c r="U675" s="11">
        <f>IF(S675&lt;='Methodology &amp; Assumptions'!$B$10, "Direct Optical Drop (&lt;3km)", IF(S675&lt;='Methodology &amp; Assumptions'!$B$9, "Near Optical / Microwave (&lt;5km)", "Starlink Business LEO Satellite Backhaul (&gt;5km)"))</f>
        <v/>
      </c>
      <c r="V675" s="26" t="n">
        <v>80.22</v>
      </c>
      <c r="W675" s="26" t="n">
        <v>38.05</v>
      </c>
      <c r="X675" s="26">
        <f>ROUND(('Methodology &amp; Assumptions'!$B$5*V675) + ('Methodology &amp; Assumptions'!$B$6*W675), 2)</f>
        <v/>
      </c>
      <c r="Y675" s="28" t="n">
        <v>7.2</v>
      </c>
      <c r="Z675" s="11" t="inlineStr">
        <is>
          <t>Priority Tier 3 (Broadband Expansion)</t>
        </is>
      </c>
    </row>
    <row r="676">
      <c r="A676" s="23" t="n">
        <v>4</v>
      </c>
      <c r="B676" s="23" t="n">
        <v>672</v>
      </c>
      <c r="C676" s="23" t="n">
        <v>3672</v>
      </c>
      <c r="D676" s="23" t="inlineStr">
        <is>
          <t>0401001022</t>
        </is>
      </c>
      <c r="E676" s="11" t="inlineStr">
        <is>
          <t>Region IV-A (CALABARZON)</t>
        </is>
      </c>
      <c r="F676" s="11" t="inlineStr">
        <is>
          <t>Batangas</t>
        </is>
      </c>
      <c r="G676" s="11" t="inlineStr">
        <is>
          <t>Agoncillo</t>
        </is>
      </c>
      <c r="H676" s="11" t="inlineStr">
        <is>
          <t>Subic Ilaya</t>
        </is>
      </c>
      <c r="I676" s="24" t="n">
        <v>13.950718</v>
      </c>
      <c r="J676" s="24" t="n">
        <v>120.941037</v>
      </c>
      <c r="K676" s="23" t="inlineStr">
        <is>
          <t>R</t>
        </is>
      </c>
      <c r="L676" s="25" t="n">
        <v>3767</v>
      </c>
      <c r="M676" s="26" t="n">
        <v>3.6</v>
      </c>
      <c r="N676" s="25">
        <f>ROUND(L676/M676, 0)</f>
        <v/>
      </c>
      <c r="O676" s="25">
        <f>ROUND(N676*'Methodology &amp; Assumptions'!$B$7, 0)</f>
        <v/>
      </c>
      <c r="P676" s="23" t="inlineStr">
        <is>
          <t>Single Carrier (Band n50, 100MHz TDD)</t>
        </is>
      </c>
      <c r="Q676" s="27">
        <f>ROUNDUP(O676/'Methodology &amp; Assumptions'!$B$8, 0)</f>
        <v/>
      </c>
      <c r="R676" s="27" t="n">
        <v>1</v>
      </c>
      <c r="S676" s="26" t="n">
        <v>1.67</v>
      </c>
      <c r="T676" s="26" t="n">
        <v>6.25</v>
      </c>
      <c r="U676" s="11">
        <f>IF(S676&lt;='Methodology &amp; Assumptions'!$B$10, "Direct Optical Drop (&lt;3km)", IF(S676&lt;='Methodology &amp; Assumptions'!$B$9, "Near Optical / Microwave (&lt;5km)", "Starlink Business LEO Satellite Backhaul (&gt;5km)"))</f>
        <v/>
      </c>
      <c r="V676" s="26" t="n">
        <v>78.87</v>
      </c>
      <c r="W676" s="26" t="n">
        <v>39.4</v>
      </c>
      <c r="X676" s="26">
        <f>ROUND(('Methodology &amp; Assumptions'!$B$5*V676) + ('Methodology &amp; Assumptions'!$B$6*W676), 2)</f>
        <v/>
      </c>
      <c r="Y676" s="28" t="n">
        <v>7.2</v>
      </c>
      <c r="Z676" s="11" t="inlineStr">
        <is>
          <t>Priority Tier 3 (Broadband Expansion)</t>
        </is>
      </c>
    </row>
    <row r="677">
      <c r="A677" s="23" t="n">
        <v>4</v>
      </c>
      <c r="B677" s="23" t="n">
        <v>673</v>
      </c>
      <c r="C677" s="23" t="n">
        <v>3673</v>
      </c>
      <c r="D677" s="23" t="inlineStr">
        <is>
          <t>0305406003</t>
        </is>
      </c>
      <c r="E677" s="11" t="inlineStr">
        <is>
          <t>Region III (Central Luzon)</t>
        </is>
      </c>
      <c r="F677" s="11" t="inlineStr">
        <is>
          <t>Pampanga</t>
        </is>
      </c>
      <c r="G677" s="11" t="inlineStr">
        <is>
          <t>Floridablanca</t>
        </is>
      </c>
      <c r="H677" s="11" t="inlineStr">
        <is>
          <t>Basa Air Base</t>
        </is>
      </c>
      <c r="I677" s="24" t="n">
        <v>14.978958</v>
      </c>
      <c r="J677" s="24" t="n">
        <v>120.499785</v>
      </c>
      <c r="K677" s="23" t="inlineStr">
        <is>
          <t>R</t>
        </is>
      </c>
      <c r="L677" s="25" t="n">
        <v>2657</v>
      </c>
      <c r="M677" s="26" t="n">
        <v>4</v>
      </c>
      <c r="N677" s="25">
        <f>ROUND(L677/M677, 0)</f>
        <v/>
      </c>
      <c r="O677" s="25">
        <f>ROUND(N677*'Methodology &amp; Assumptions'!$B$7, 0)</f>
        <v/>
      </c>
      <c r="P677" s="23" t="inlineStr">
        <is>
          <t>Single Carrier (Band n50, 100MHz TDD)</t>
        </is>
      </c>
      <c r="Q677" s="27">
        <f>ROUNDUP(O677/'Methodology &amp; Assumptions'!$B$8, 0)</f>
        <v/>
      </c>
      <c r="R677" s="27" t="n">
        <v>1</v>
      </c>
      <c r="S677" s="26" t="n">
        <v>1.52</v>
      </c>
      <c r="T677" s="26" t="n">
        <v>0.43</v>
      </c>
      <c r="U677" s="11">
        <f>IF(S677&lt;='Methodology &amp; Assumptions'!$B$10, "Direct Optical Drop (&lt;3km)", IF(S677&lt;='Methodology &amp; Assumptions'!$B$9, "Near Optical / Microwave (&lt;5km)", "Starlink Business LEO Satellite Backhaul (&gt;5km)"))</f>
        <v/>
      </c>
      <c r="V677" s="26" t="n">
        <v>78.01000000000001</v>
      </c>
      <c r="W677" s="26" t="n">
        <v>40.27</v>
      </c>
      <c r="X677" s="26">
        <f>ROUND(('Methodology &amp; Assumptions'!$B$5*V677) + ('Methodology &amp; Assumptions'!$B$6*W677), 2)</f>
        <v/>
      </c>
      <c r="Y677" s="28" t="n">
        <v>8.300000000000001</v>
      </c>
      <c r="Z677" s="11" t="inlineStr">
        <is>
          <t>Priority Tier 3 (Broadband Expansion)</t>
        </is>
      </c>
    </row>
    <row r="678">
      <c r="A678" s="23" t="n">
        <v>4</v>
      </c>
      <c r="B678" s="23" t="n">
        <v>674</v>
      </c>
      <c r="C678" s="23" t="n">
        <v>3674</v>
      </c>
      <c r="D678" s="23" t="inlineStr">
        <is>
          <t>0604528040</t>
        </is>
      </c>
      <c r="E678" s="11" t="inlineStr">
        <is>
          <t>Region VI (Western Visayas)</t>
        </is>
      </c>
      <c r="F678" s="11" t="inlineStr">
        <is>
          <t>Negros Occidental</t>
        </is>
      </c>
      <c r="G678" s="11" t="inlineStr">
        <is>
          <t>City of Talisay</t>
        </is>
      </c>
      <c r="H678" s="11" t="inlineStr">
        <is>
          <t>Zone 1</t>
        </is>
      </c>
      <c r="I678" s="24" t="n">
        <v>10.745471</v>
      </c>
      <c r="J678" s="24" t="n">
        <v>122.97137</v>
      </c>
      <c r="K678" s="23" t="inlineStr">
        <is>
          <t>R</t>
        </is>
      </c>
      <c r="L678" s="25" t="n">
        <v>1444</v>
      </c>
      <c r="M678" s="26" t="n">
        <v>3.7</v>
      </c>
      <c r="N678" s="25">
        <f>ROUND(L678/M678, 0)</f>
        <v/>
      </c>
      <c r="O678" s="25">
        <f>ROUND(N678*'Methodology &amp; Assumptions'!$B$7, 0)</f>
        <v/>
      </c>
      <c r="P678" s="23" t="inlineStr">
        <is>
          <t>Single Carrier (Band n50, 100MHz TDD)</t>
        </is>
      </c>
      <c r="Q678" s="27">
        <f>ROUNDUP(O678/'Methodology &amp; Assumptions'!$B$8, 0)</f>
        <v/>
      </c>
      <c r="R678" s="27" t="n">
        <v>1</v>
      </c>
      <c r="S678" s="26" t="n">
        <v>0.67</v>
      </c>
      <c r="T678" s="26" t="n">
        <v>0.13</v>
      </c>
      <c r="U678" s="11">
        <f>IF(S678&lt;='Methodology &amp; Assumptions'!$B$10, "Direct Optical Drop (&lt;3km)", IF(S678&lt;='Methodology &amp; Assumptions'!$B$9, "Near Optical / Microwave (&lt;5km)", "Starlink Business LEO Satellite Backhaul (&gt;5km)"))</f>
        <v/>
      </c>
      <c r="V678" s="26" t="n">
        <v>73.31999999999999</v>
      </c>
      <c r="W678" s="26" t="n">
        <v>44.96</v>
      </c>
      <c r="X678" s="26">
        <f>ROUND(('Methodology &amp; Assumptions'!$B$5*V678) + ('Methodology &amp; Assumptions'!$B$6*W678), 2)</f>
        <v/>
      </c>
      <c r="Y678" s="28" t="n">
        <v>23.7</v>
      </c>
      <c r="Z678" s="11" t="inlineStr">
        <is>
          <t>Priority Tier 3 (Broadband Expansion)</t>
        </is>
      </c>
    </row>
    <row r="679">
      <c r="A679" s="23" t="n">
        <v>4</v>
      </c>
      <c r="B679" s="23" t="n">
        <v>675</v>
      </c>
      <c r="C679" s="23" t="n">
        <v>3675</v>
      </c>
      <c r="D679" s="23" t="inlineStr">
        <is>
          <t>1381300122</t>
        </is>
      </c>
      <c r="E679" s="11" t="inlineStr">
        <is>
          <t>National Capital Region (NCR)</t>
        </is>
      </c>
      <c r="F679" s="11" t="inlineStr">
        <is>
          <t>Second District (Not a Province)</t>
        </is>
      </c>
      <c r="G679" s="11" t="inlineStr">
        <is>
          <t>Quezon City</t>
        </is>
      </c>
      <c r="H679" s="11" t="inlineStr">
        <is>
          <t>Teachers Village East</t>
        </is>
      </c>
      <c r="I679" s="24" t="n">
        <v>14.645847</v>
      </c>
      <c r="J679" s="24" t="n">
        <v>121.06076</v>
      </c>
      <c r="K679" s="23" t="inlineStr">
        <is>
          <t>U</t>
        </is>
      </c>
      <c r="L679" s="25" t="n">
        <v>3067</v>
      </c>
      <c r="M679" s="26" t="n">
        <v>4.45</v>
      </c>
      <c r="N679" s="25">
        <f>ROUND(L679/M679, 0)</f>
        <v/>
      </c>
      <c r="O679" s="25">
        <f>ROUND(N679*'Methodology &amp; Assumptions'!$B$7, 0)</f>
        <v/>
      </c>
      <c r="P679" s="23" t="inlineStr">
        <is>
          <t>Single Carrier (Band n50, 100MHz TDD)</t>
        </is>
      </c>
      <c r="Q679" s="27">
        <f>ROUNDUP(O679/'Methodology &amp; Assumptions'!$B$8, 0)</f>
        <v/>
      </c>
      <c r="R679" s="27" t="n">
        <v>1</v>
      </c>
      <c r="S679" s="26" t="n">
        <v>0.83</v>
      </c>
      <c r="T679" s="26" t="n">
        <v>0.78</v>
      </c>
      <c r="U679" s="11">
        <f>IF(S679&lt;='Methodology &amp; Assumptions'!$B$10, "Direct Optical Drop (&lt;3km)", IF(S679&lt;='Methodology &amp; Assumptions'!$B$9, "Near Optical / Microwave (&lt;5km)", "Starlink Business LEO Satellite Backhaul (&gt;5km)"))</f>
        <v/>
      </c>
      <c r="V679" s="26" t="n">
        <v>63.26</v>
      </c>
      <c r="W679" s="26" t="n">
        <v>55.01</v>
      </c>
      <c r="X679" s="26">
        <f>ROUND(('Methodology &amp; Assumptions'!$B$5*V679) + ('Methodology &amp; Assumptions'!$B$6*W679), 2)</f>
        <v/>
      </c>
      <c r="Y679" s="28" t="n">
        <v>10.9</v>
      </c>
      <c r="Z679" s="11" t="inlineStr">
        <is>
          <t>Priority Tier 3 (Broadband Expansion)</t>
        </is>
      </c>
    </row>
    <row r="680">
      <c r="A680" s="23" t="n">
        <v>4</v>
      </c>
      <c r="B680" s="23" t="n">
        <v>676</v>
      </c>
      <c r="C680" s="23" t="n">
        <v>3676</v>
      </c>
      <c r="D680" s="23" t="inlineStr">
        <is>
          <t>1380606049</t>
        </is>
      </c>
      <c r="E680" s="11" t="inlineStr">
        <is>
          <t>National Capital Region (NCR)</t>
        </is>
      </c>
      <c r="F680" s="11" t="inlineStr">
        <is>
          <t>First District (Not a Province)</t>
        </is>
      </c>
      <c r="G680" s="11" t="inlineStr">
        <is>
          <t>City of Manila</t>
        </is>
      </c>
      <c r="H680" s="11" t="inlineStr">
        <is>
          <t>Barangay 443</t>
        </is>
      </c>
      <c r="I680" s="24" t="n">
        <v>14.609131</v>
      </c>
      <c r="J680" s="24" t="n">
        <v>120.999488</v>
      </c>
      <c r="K680" s="23" t="inlineStr">
        <is>
          <t>U</t>
        </is>
      </c>
      <c r="L680" s="25" t="n">
        <v>1084</v>
      </c>
      <c r="M680" s="26" t="n">
        <v>4.28</v>
      </c>
      <c r="N680" s="25">
        <f>ROUND(L680/M680, 0)</f>
        <v/>
      </c>
      <c r="O680" s="25">
        <f>ROUND(N680*'Methodology &amp; Assumptions'!$B$7, 0)</f>
        <v/>
      </c>
      <c r="P680" s="23" t="inlineStr">
        <is>
          <t>Single Carrier (Band n50, 100MHz TDD)</t>
        </is>
      </c>
      <c r="Q680" s="27">
        <f>ROUNDUP(O680/'Methodology &amp; Assumptions'!$B$8, 0)</f>
        <v/>
      </c>
      <c r="R680" s="27" t="n">
        <v>1</v>
      </c>
      <c r="S680" s="26" t="n">
        <v>0.5</v>
      </c>
      <c r="T680" s="26" t="n">
        <v>0.21</v>
      </c>
      <c r="U680" s="11">
        <f>IF(S680&lt;='Methodology &amp; Assumptions'!$B$10, "Direct Optical Drop (&lt;3km)", IF(S680&lt;='Methodology &amp; Assumptions'!$B$9, "Near Optical / Microwave (&lt;5km)", "Starlink Business LEO Satellite Backhaul (&gt;5km)"))</f>
        <v/>
      </c>
      <c r="V680" s="26" t="n">
        <v>49.23</v>
      </c>
      <c r="W680" s="26" t="n">
        <v>69.04000000000001</v>
      </c>
      <c r="X680" s="26">
        <f>ROUND(('Methodology &amp; Assumptions'!$B$5*V680) + ('Methodology &amp; Assumptions'!$B$6*W680), 2)</f>
        <v/>
      </c>
      <c r="Y680" s="28" t="n">
        <v>10.9</v>
      </c>
      <c r="Z680" s="11" t="inlineStr">
        <is>
          <t>Priority Tier 3 (Broadband Expansion)</t>
        </is>
      </c>
    </row>
    <row r="681">
      <c r="A681" s="23" t="n">
        <v>4</v>
      </c>
      <c r="B681" s="23" t="n">
        <v>677</v>
      </c>
      <c r="C681" s="23" t="n">
        <v>3677</v>
      </c>
      <c r="D681" s="23" t="inlineStr">
        <is>
          <t>1380606229</t>
        </is>
      </c>
      <c r="E681" s="11" t="inlineStr">
        <is>
          <t>National Capital Region (NCR)</t>
        </is>
      </c>
      <c r="F681" s="11" t="inlineStr">
        <is>
          <t>First District (Not a Province)</t>
        </is>
      </c>
      <c r="G681" s="11" t="inlineStr">
        <is>
          <t>City of Manila</t>
        </is>
      </c>
      <c r="H681" s="11" t="inlineStr">
        <is>
          <t>Barangay 622</t>
        </is>
      </c>
      <c r="I681" s="24" t="n">
        <v>14.591131</v>
      </c>
      <c r="J681" s="24" t="n">
        <v>121.018906</v>
      </c>
      <c r="K681" s="23" t="inlineStr">
        <is>
          <t>U</t>
        </is>
      </c>
      <c r="L681" s="25" t="n">
        <v>1229</v>
      </c>
      <c r="M681" s="26" t="n">
        <v>4.11</v>
      </c>
      <c r="N681" s="25">
        <f>ROUND(L681/M681, 0)</f>
        <v/>
      </c>
      <c r="O681" s="25">
        <f>ROUND(N681*'Methodology &amp; Assumptions'!$B$7, 0)</f>
        <v/>
      </c>
      <c r="P681" s="23" t="inlineStr">
        <is>
          <t>Single Carrier (Band n50, 100MHz TDD)</t>
        </is>
      </c>
      <c r="Q681" s="27">
        <f>ROUNDUP(O681/'Methodology &amp; Assumptions'!$B$8, 0)</f>
        <v/>
      </c>
      <c r="R681" s="27" t="n">
        <v>1</v>
      </c>
      <c r="S681" s="26" t="n">
        <v>1.29</v>
      </c>
      <c r="T681" s="26" t="n">
        <v>0.45</v>
      </c>
      <c r="U681" s="11">
        <f>IF(S681&lt;='Methodology &amp; Assumptions'!$B$10, "Direct Optical Drop (&lt;3km)", IF(S681&lt;='Methodology &amp; Assumptions'!$B$9, "Near Optical / Microwave (&lt;5km)", "Starlink Business LEO Satellite Backhaul (&gt;5km)"))</f>
        <v/>
      </c>
      <c r="V681" s="26" t="n">
        <v>49.02</v>
      </c>
      <c r="W681" s="26" t="n">
        <v>69.27</v>
      </c>
      <c r="X681" s="26">
        <f>ROUND(('Methodology &amp; Assumptions'!$B$5*V681) + ('Methodology &amp; Assumptions'!$B$6*W681), 2)</f>
        <v/>
      </c>
      <c r="Y681" s="28" t="n">
        <v>10.9</v>
      </c>
      <c r="Z681" s="11" t="inlineStr">
        <is>
          <t>Priority Tier 3 (Broadband Expansion)</t>
        </is>
      </c>
    </row>
    <row r="682">
      <c r="A682" s="23" t="n">
        <v>4</v>
      </c>
      <c r="B682" s="23" t="n">
        <v>678</v>
      </c>
      <c r="C682" s="23" t="n">
        <v>3678</v>
      </c>
      <c r="D682" s="23" t="inlineStr">
        <is>
          <t>1380601167</t>
        </is>
      </c>
      <c r="E682" s="11" t="inlineStr">
        <is>
          <t>National Capital Region (NCR)</t>
        </is>
      </c>
      <c r="F682" s="11" t="inlineStr">
        <is>
          <t>First District (Not a Province)</t>
        </is>
      </c>
      <c r="G682" s="11" t="inlineStr">
        <is>
          <t>City of Manila</t>
        </is>
      </c>
      <c r="H682" s="11" t="inlineStr">
        <is>
          <t>Barangay 167</t>
        </is>
      </c>
      <c r="I682" s="24" t="n">
        <v>14.624704</v>
      </c>
      <c r="J682" s="24" t="n">
        <v>120.971976</v>
      </c>
      <c r="K682" s="23" t="inlineStr">
        <is>
          <t>U</t>
        </is>
      </c>
      <c r="L682" s="25" t="n">
        <v>955</v>
      </c>
      <c r="M682" s="26" t="n">
        <v>4.57</v>
      </c>
      <c r="N682" s="25">
        <f>ROUND(L682/M682, 0)</f>
        <v/>
      </c>
      <c r="O682" s="25">
        <f>ROUND(N682*'Methodology &amp; Assumptions'!$B$7, 0)</f>
        <v/>
      </c>
      <c r="P682" s="23" t="inlineStr">
        <is>
          <t>Single Carrier (Band n50, 100MHz TDD)</t>
        </is>
      </c>
      <c r="Q682" s="27">
        <f>ROUNDUP(O682/'Methodology &amp; Assumptions'!$B$8, 0)</f>
        <v/>
      </c>
      <c r="R682" s="27" t="n">
        <v>1</v>
      </c>
      <c r="S682" s="26" t="n">
        <v>0.28</v>
      </c>
      <c r="T682" s="26" t="n">
        <v>0.19</v>
      </c>
      <c r="U682" s="11">
        <f>IF(S682&lt;='Methodology &amp; Assumptions'!$B$10, "Direct Optical Drop (&lt;3km)", IF(S682&lt;='Methodology &amp; Assumptions'!$B$9, "Near Optical / Microwave (&lt;5km)", "Starlink Business LEO Satellite Backhaul (&gt;5km)"))</f>
        <v/>
      </c>
      <c r="V682" s="26" t="n">
        <v>47.84</v>
      </c>
      <c r="W682" s="26" t="n">
        <v>70.43000000000001</v>
      </c>
      <c r="X682" s="26">
        <f>ROUND(('Methodology &amp; Assumptions'!$B$5*V682) + ('Methodology &amp; Assumptions'!$B$6*W682), 2)</f>
        <v/>
      </c>
      <c r="Y682" s="28" t="n">
        <v>10.9</v>
      </c>
      <c r="Z682" s="11" t="inlineStr">
        <is>
          <t>Priority Tier 3 (Broadband Expansion)</t>
        </is>
      </c>
    </row>
    <row r="683">
      <c r="A683" s="23" t="n">
        <v>4</v>
      </c>
      <c r="B683" s="23" t="n">
        <v>679</v>
      </c>
      <c r="C683" s="23" t="n">
        <v>3679</v>
      </c>
      <c r="D683" s="23" t="inlineStr">
        <is>
          <t>1403215006</t>
        </is>
      </c>
      <c r="E683" s="11" t="inlineStr">
        <is>
          <t>Cordillera Administrative Region (CAR)</t>
        </is>
      </c>
      <c r="F683" s="11" t="inlineStr">
        <is>
          <t>Kalinga</t>
        </is>
      </c>
      <c r="G683" s="11" t="inlineStr">
        <is>
          <t>Tinglayan</t>
        </is>
      </c>
      <c r="H683" s="11" t="inlineStr">
        <is>
          <t>Belong Manubal</t>
        </is>
      </c>
      <c r="I683" s="24" t="n">
        <v>17.289959</v>
      </c>
      <c r="J683" s="24" t="n">
        <v>121.116351</v>
      </c>
      <c r="K683" s="23" t="inlineStr">
        <is>
          <t>R</t>
        </is>
      </c>
      <c r="L683" s="25" t="n">
        <v>495</v>
      </c>
      <c r="M683" s="26" t="n">
        <v>4.3</v>
      </c>
      <c r="N683" s="25">
        <f>ROUND(L683/M683, 0)</f>
        <v/>
      </c>
      <c r="O683" s="25">
        <f>ROUND(N683*'Methodology &amp; Assumptions'!$B$7, 0)</f>
        <v/>
      </c>
      <c r="P683" s="23" t="inlineStr">
        <is>
          <t>Single Carrier (Band n50, 100MHz TDD)</t>
        </is>
      </c>
      <c r="Q683" s="27">
        <f>ROUNDUP(O683/'Methodology &amp; Assumptions'!$B$8, 0)</f>
        <v/>
      </c>
      <c r="R683" s="27" t="n">
        <v>1</v>
      </c>
      <c r="S683" s="26" t="n">
        <v>4.52</v>
      </c>
      <c r="T683" s="26" t="n">
        <v>4.24</v>
      </c>
      <c r="U683" s="11">
        <f>IF(S683&lt;='Methodology &amp; Assumptions'!$B$10, "Direct Optical Drop (&lt;3km)", IF(S683&lt;='Methodology &amp; Assumptions'!$B$9, "Near Optical / Microwave (&lt;5km)", "Starlink Business LEO Satellite Backhaul (&gt;5km)"))</f>
        <v/>
      </c>
      <c r="V683" s="26" t="n">
        <v>47.56</v>
      </c>
      <c r="W683" s="26" t="n">
        <v>70.70999999999999</v>
      </c>
      <c r="X683" s="26">
        <f>ROUND(('Methodology &amp; Assumptions'!$B$5*V683) + ('Methodology &amp; Assumptions'!$B$6*W683), 2)</f>
        <v/>
      </c>
      <c r="Y683" s="28" t="n">
        <v>10.9</v>
      </c>
      <c r="Z683" s="11" t="inlineStr">
        <is>
          <t>Priority Tier 3 (Broadband Expansion)</t>
        </is>
      </c>
    </row>
    <row r="684">
      <c r="A684" s="23" t="n">
        <v>4</v>
      </c>
      <c r="B684" s="23" t="n">
        <v>680</v>
      </c>
      <c r="C684" s="23" t="n">
        <v>3680</v>
      </c>
      <c r="D684" s="23" t="inlineStr">
        <is>
          <t>1380606242</t>
        </is>
      </c>
      <c r="E684" s="11" t="inlineStr">
        <is>
          <t>National Capital Region (NCR)</t>
        </is>
      </c>
      <c r="F684" s="11" t="inlineStr">
        <is>
          <t>First District (Not a Province)</t>
        </is>
      </c>
      <c r="G684" s="11" t="inlineStr">
        <is>
          <t>City of Manila</t>
        </is>
      </c>
      <c r="H684" s="11" t="inlineStr">
        <is>
          <t>Barangay 635</t>
        </is>
      </c>
      <c r="I684" s="24" t="n">
        <v>14.598605</v>
      </c>
      <c r="J684" s="24" t="n">
        <v>121.001583</v>
      </c>
      <c r="K684" s="23" t="inlineStr">
        <is>
          <t>U</t>
        </is>
      </c>
      <c r="L684" s="25" t="n">
        <v>723</v>
      </c>
      <c r="M684" s="26" t="n">
        <v>3.65</v>
      </c>
      <c r="N684" s="25">
        <f>ROUND(L684/M684, 0)</f>
        <v/>
      </c>
      <c r="O684" s="25">
        <f>ROUND(N684*'Methodology &amp; Assumptions'!$B$7, 0)</f>
        <v/>
      </c>
      <c r="P684" s="23" t="inlineStr">
        <is>
          <t>Single Carrier (Band n50, 100MHz TDD)</t>
        </is>
      </c>
      <c r="Q684" s="27">
        <f>ROUNDUP(O684/'Methodology &amp; Assumptions'!$B$8, 0)</f>
        <v/>
      </c>
      <c r="R684" s="27" t="n">
        <v>1</v>
      </c>
      <c r="S684" s="26" t="n">
        <v>0.5</v>
      </c>
      <c r="T684" s="26" t="n">
        <v>0.13</v>
      </c>
      <c r="U684" s="11">
        <f>IF(S684&lt;='Methodology &amp; Assumptions'!$B$10, "Direct Optical Drop (&lt;3km)", IF(S684&lt;='Methodology &amp; Assumptions'!$B$9, "Near Optical / Microwave (&lt;5km)", "Starlink Business LEO Satellite Backhaul (&gt;5km)"))</f>
        <v/>
      </c>
      <c r="V684" s="26" t="n">
        <v>47.41</v>
      </c>
      <c r="W684" s="26" t="n">
        <v>70.87</v>
      </c>
      <c r="X684" s="26">
        <f>ROUND(('Methodology &amp; Assumptions'!$B$5*V684) + ('Methodology &amp; Assumptions'!$B$6*W684), 2)</f>
        <v/>
      </c>
      <c r="Y684" s="28" t="n">
        <v>10.9</v>
      </c>
      <c r="Z684" s="11" t="inlineStr">
        <is>
          <t>Priority Tier 3 (Broadband Expansion)</t>
        </is>
      </c>
    </row>
    <row r="685">
      <c r="A685" s="23" t="n">
        <v>4</v>
      </c>
      <c r="B685" s="23" t="n">
        <v>681</v>
      </c>
      <c r="C685" s="23" t="n">
        <v>3681</v>
      </c>
      <c r="D685" s="23" t="inlineStr">
        <is>
          <t>1907004003</t>
        </is>
      </c>
      <c r="E685" s="11" t="inlineStr">
        <is>
          <t>Bangsamoro Autonomous Region In Muslim Mindanao (BARMM)</t>
        </is>
      </c>
      <c r="F685" s="11" t="inlineStr">
        <is>
          <t>Tawi-Tawi</t>
        </is>
      </c>
      <c r="G685" s="11" t="inlineStr">
        <is>
          <t>Simunul</t>
        </is>
      </c>
      <c r="H685" s="11" t="inlineStr">
        <is>
          <t>Mongkay</t>
        </is>
      </c>
      <c r="I685" s="24" t="n">
        <v>4.922549</v>
      </c>
      <c r="J685" s="24" t="n">
        <v>119.8065</v>
      </c>
      <c r="K685" s="23" t="inlineStr">
        <is>
          <t>R</t>
        </is>
      </c>
      <c r="L685" s="25" t="n">
        <v>2260</v>
      </c>
      <c r="M685" s="26" t="n">
        <v>5.8</v>
      </c>
      <c r="N685" s="25">
        <f>ROUND(L685/M685, 0)</f>
        <v/>
      </c>
      <c r="O685" s="25">
        <f>ROUND(N685*'Methodology &amp; Assumptions'!$B$7, 0)</f>
        <v/>
      </c>
      <c r="P685" s="23" t="inlineStr">
        <is>
          <t>Single Carrier (Band n50, 100MHz TDD)</t>
        </is>
      </c>
      <c r="Q685" s="27">
        <f>ROUNDUP(O685/'Methodology &amp; Assumptions'!$B$8, 0)</f>
        <v/>
      </c>
      <c r="R685" s="27" t="n">
        <v>1</v>
      </c>
      <c r="S685" s="26" t="n">
        <v>999</v>
      </c>
      <c r="T685" s="26" t="n">
        <v>999</v>
      </c>
      <c r="U685" s="11">
        <f>IF(S685&lt;='Methodology &amp; Assumptions'!$B$10, "Direct Optical Drop (&lt;3km)", IF(S685&lt;='Methodology &amp; Assumptions'!$B$9, "Near Optical / Microwave (&lt;5km)", "Starlink Business LEO Satellite Backhaul (&gt;5km)"))</f>
        <v/>
      </c>
      <c r="V685" s="26" t="n">
        <v>43.58</v>
      </c>
      <c r="W685" s="26" t="n">
        <v>74.7</v>
      </c>
      <c r="X685" s="26">
        <f>ROUND(('Methodology &amp; Assumptions'!$B$5*V685) + ('Methodology &amp; Assumptions'!$B$6*W685), 2)</f>
        <v/>
      </c>
      <c r="Y685" s="28" t="n">
        <v>11</v>
      </c>
      <c r="Z685" s="11" t="inlineStr">
        <is>
          <t>Priority Tier 3 (Broadband Expansion)</t>
        </is>
      </c>
    </row>
    <row r="686">
      <c r="A686" s="23" t="n">
        <v>4</v>
      </c>
      <c r="B686" s="23" t="n">
        <v>682</v>
      </c>
      <c r="C686" s="23" t="n">
        <v>3682</v>
      </c>
      <c r="D686" s="23" t="inlineStr">
        <is>
          <t>0306909026</t>
        </is>
      </c>
      <c r="E686" s="11" t="inlineStr">
        <is>
          <t>Region III (Central Luzon)</t>
        </is>
      </c>
      <c r="F686" s="11" t="inlineStr">
        <is>
          <t>Tarlac</t>
        </is>
      </c>
      <c r="G686" s="11" t="inlineStr">
        <is>
          <t>Moncada</t>
        </is>
      </c>
      <c r="H686" s="11" t="inlineStr">
        <is>
          <t>San Julian</t>
        </is>
      </c>
      <c r="I686" s="24" t="n">
        <v>15.718404</v>
      </c>
      <c r="J686" s="24" t="n">
        <v>120.58423</v>
      </c>
      <c r="K686" s="23" t="inlineStr">
        <is>
          <t>R</t>
        </is>
      </c>
      <c r="L686" s="25" t="n">
        <v>3103</v>
      </c>
      <c r="M686" s="26" t="n">
        <v>3.9</v>
      </c>
      <c r="N686" s="25">
        <f>ROUND(L686/M686, 0)</f>
        <v/>
      </c>
      <c r="O686" s="25">
        <f>ROUND(N686*'Methodology &amp; Assumptions'!$B$7, 0)</f>
        <v/>
      </c>
      <c r="P686" s="23" t="inlineStr">
        <is>
          <t>Single Carrier (Band n50, 100MHz TDD)</t>
        </is>
      </c>
      <c r="Q686" s="27">
        <f>ROUNDUP(O686/'Methodology &amp; Assumptions'!$B$8, 0)</f>
        <v/>
      </c>
      <c r="R686" s="27" t="n">
        <v>1</v>
      </c>
      <c r="S686" s="26" t="n">
        <v>1.23</v>
      </c>
      <c r="T686" s="26" t="n">
        <v>0.75</v>
      </c>
      <c r="U686" s="11">
        <f>IF(S686&lt;='Methodology &amp; Assumptions'!$B$10, "Direct Optical Drop (&lt;3km)", IF(S686&lt;='Methodology &amp; Assumptions'!$B$9, "Near Optical / Microwave (&lt;5km)", "Starlink Business LEO Satellite Backhaul (&gt;5km)"))</f>
        <v/>
      </c>
      <c r="V686" s="26" t="n">
        <v>83.41</v>
      </c>
      <c r="W686" s="26" t="n">
        <v>34.84</v>
      </c>
      <c r="X686" s="26">
        <f>ROUND(('Methodology &amp; Assumptions'!$B$5*V686) + ('Methodology &amp; Assumptions'!$B$6*W686), 2)</f>
        <v/>
      </c>
      <c r="Y686" s="28" t="n">
        <v>8.300000000000001</v>
      </c>
      <c r="Z686" s="11" t="inlineStr">
        <is>
          <t>Priority Tier 3 (Broadband Expansion)</t>
        </is>
      </c>
    </row>
    <row r="687">
      <c r="A687" s="23" t="n">
        <v>4</v>
      </c>
      <c r="B687" s="23" t="n">
        <v>683</v>
      </c>
      <c r="C687" s="23" t="n">
        <v>3683</v>
      </c>
      <c r="D687" s="23" t="inlineStr">
        <is>
          <t>0402111013</t>
        </is>
      </c>
      <c r="E687" s="11" t="inlineStr">
        <is>
          <t>Region IV-A (CALABARZON)</t>
        </is>
      </c>
      <c r="F687" s="11" t="inlineStr">
        <is>
          <t>Cavite</t>
        </is>
      </c>
      <c r="G687" s="11" t="inlineStr">
        <is>
          <t>Kawit</t>
        </is>
      </c>
      <c r="H687" s="11" t="inlineStr">
        <is>
          <t>Batong Dalig</t>
        </is>
      </c>
      <c r="I687" s="24" t="n">
        <v>14.434945</v>
      </c>
      <c r="J687" s="24" t="n">
        <v>120.897757</v>
      </c>
      <c r="K687" s="23" t="inlineStr">
        <is>
          <t>U</t>
        </is>
      </c>
      <c r="L687" s="25" t="n">
        <v>5412</v>
      </c>
      <c r="M687" s="26" t="n">
        <v>3.4</v>
      </c>
      <c r="N687" s="25">
        <f>ROUND(L687/M687, 0)</f>
        <v/>
      </c>
      <c r="O687" s="25">
        <f>ROUND(N687*'Methodology &amp; Assumptions'!$B$7, 0)</f>
        <v/>
      </c>
      <c r="P687" s="23" t="inlineStr">
        <is>
          <t>Single Carrier (Band n50, 100MHz TDD)</t>
        </is>
      </c>
      <c r="Q687" s="27">
        <f>ROUNDUP(O687/'Methodology &amp; Assumptions'!$B$8, 0)</f>
        <v/>
      </c>
      <c r="R687" s="27" t="n">
        <v>1</v>
      </c>
      <c r="S687" s="26" t="n">
        <v>1.7</v>
      </c>
      <c r="T687" s="26" t="n">
        <v>0.28</v>
      </c>
      <c r="U687" s="11">
        <f>IF(S687&lt;='Methodology &amp; Assumptions'!$B$10, "Direct Optical Drop (&lt;3km)", IF(S687&lt;='Methodology &amp; Assumptions'!$B$9, "Near Optical / Microwave (&lt;5km)", "Starlink Business LEO Satellite Backhaul (&gt;5km)"))</f>
        <v/>
      </c>
      <c r="V687" s="26" t="n">
        <v>75.06999999999999</v>
      </c>
      <c r="W687" s="26" t="n">
        <v>43.19</v>
      </c>
      <c r="X687" s="26">
        <f>ROUND(('Methodology &amp; Assumptions'!$B$5*V687) + ('Methodology &amp; Assumptions'!$B$6*W687), 2)</f>
        <v/>
      </c>
      <c r="Y687" s="28" t="n">
        <v>7.2</v>
      </c>
      <c r="Z687" s="11" t="inlineStr">
        <is>
          <t>Priority Tier 3 (Broadband Expansion)</t>
        </is>
      </c>
    </row>
    <row r="688">
      <c r="A688" s="23" t="n">
        <v>4</v>
      </c>
      <c r="B688" s="23" t="n">
        <v>684</v>
      </c>
      <c r="C688" s="23" t="n">
        <v>3684</v>
      </c>
      <c r="D688" s="23" t="inlineStr">
        <is>
          <t>0203101032</t>
        </is>
      </c>
      <c r="E688" s="11" t="inlineStr">
        <is>
          <t>Region II (Cagayan Valley)</t>
        </is>
      </c>
      <c r="F688" s="11" t="inlineStr">
        <is>
          <t>Isabela</t>
        </is>
      </c>
      <c r="G688" s="11" t="inlineStr">
        <is>
          <t>Alicia</t>
        </is>
      </c>
      <c r="H688" s="11" t="inlineStr">
        <is>
          <t>Santo Tomas</t>
        </is>
      </c>
      <c r="I688" s="24" t="n">
        <v>16.806905</v>
      </c>
      <c r="J688" s="24" t="n">
        <v>121.696744</v>
      </c>
      <c r="K688" s="23" t="inlineStr">
        <is>
          <t>R</t>
        </is>
      </c>
      <c r="L688" s="25" t="n">
        <v>2428</v>
      </c>
      <c r="M688" s="26" t="n">
        <v>3.8</v>
      </c>
      <c r="N688" s="25">
        <f>ROUND(L688/M688, 0)</f>
        <v/>
      </c>
      <c r="O688" s="25">
        <f>ROUND(N688*'Methodology &amp; Assumptions'!$B$7, 0)</f>
        <v/>
      </c>
      <c r="P688" s="23" t="inlineStr">
        <is>
          <t>Single Carrier (Band n50, 100MHz TDD)</t>
        </is>
      </c>
      <c r="Q688" s="27">
        <f>ROUNDUP(O688/'Methodology &amp; Assumptions'!$B$8, 0)</f>
        <v/>
      </c>
      <c r="R688" s="27" t="n">
        <v>1</v>
      </c>
      <c r="S688" s="26" t="n">
        <v>2.52</v>
      </c>
      <c r="T688" s="26" t="n">
        <v>1.99</v>
      </c>
      <c r="U688" s="11">
        <f>IF(S688&lt;='Methodology &amp; Assumptions'!$B$10, "Direct Optical Drop (&lt;3km)", IF(S688&lt;='Methodology &amp; Assumptions'!$B$9, "Near Optical / Microwave (&lt;5km)", "Starlink Business LEO Satellite Backhaul (&gt;5km)"))</f>
        <v/>
      </c>
      <c r="V688" s="26" t="n">
        <v>73.86</v>
      </c>
      <c r="W688" s="26" t="n">
        <v>44.4</v>
      </c>
      <c r="X688" s="26">
        <f>ROUND(('Methodology &amp; Assumptions'!$B$5*V688) + ('Methodology &amp; Assumptions'!$B$6*W688), 2)</f>
        <v/>
      </c>
      <c r="Y688" s="28" t="n">
        <v>8.300000000000001</v>
      </c>
      <c r="Z688" s="11" t="inlineStr">
        <is>
          <t>Priority Tier 3 (Broadband Expansion)</t>
        </is>
      </c>
    </row>
    <row r="689">
      <c r="A689" s="23" t="n">
        <v>4</v>
      </c>
      <c r="B689" s="23" t="n">
        <v>685</v>
      </c>
      <c r="C689" s="23" t="n">
        <v>3685</v>
      </c>
      <c r="D689" s="23" t="inlineStr">
        <is>
          <t>1380609005</t>
        </is>
      </c>
      <c r="E689" s="11" t="inlineStr">
        <is>
          <t>National Capital Region (NCR)</t>
        </is>
      </c>
      <c r="F689" s="11" t="inlineStr">
        <is>
          <t>First District (Not a Province)</t>
        </is>
      </c>
      <c r="G689" s="11" t="inlineStr">
        <is>
          <t>City of Manila</t>
        </is>
      </c>
      <c r="H689" s="11" t="inlineStr">
        <is>
          <t>Barangay 658</t>
        </is>
      </c>
      <c r="I689" s="24" t="n">
        <v>14.58869</v>
      </c>
      <c r="J689" s="24" t="n">
        <v>120.9767</v>
      </c>
      <c r="K689" s="23" t="inlineStr">
        <is>
          <t>U</t>
        </is>
      </c>
      <c r="L689" s="25" t="n">
        <v>2793</v>
      </c>
      <c r="M689" s="26" t="n">
        <v>5.75</v>
      </c>
      <c r="N689" s="25">
        <f>ROUND(L689/M689, 0)</f>
        <v/>
      </c>
      <c r="O689" s="25">
        <f>ROUND(N689*'Methodology &amp; Assumptions'!$B$7, 0)</f>
        <v/>
      </c>
      <c r="P689" s="23" t="inlineStr">
        <is>
          <t>Single Carrier (Band n50, 100MHz TDD)</t>
        </is>
      </c>
      <c r="Q689" s="27">
        <f>ROUNDUP(O689/'Methodology &amp; Assumptions'!$B$8, 0)</f>
        <v/>
      </c>
      <c r="R689" s="27" t="n">
        <v>1</v>
      </c>
      <c r="S689" s="26" t="n">
        <v>0.84</v>
      </c>
      <c r="T689" s="26" t="n">
        <v>0.61</v>
      </c>
      <c r="U689" s="11">
        <f>IF(S689&lt;='Methodology &amp; Assumptions'!$B$10, "Direct Optical Drop (&lt;3km)", IF(S689&lt;='Methodology &amp; Assumptions'!$B$9, "Near Optical / Microwave (&lt;5km)", "Starlink Business LEO Satellite Backhaul (&gt;5km)"))</f>
        <v/>
      </c>
      <c r="V689" s="26" t="n">
        <v>56.72</v>
      </c>
      <c r="W689" s="26" t="n">
        <v>61.54</v>
      </c>
      <c r="X689" s="26">
        <f>ROUND(('Methodology &amp; Assumptions'!$B$5*V689) + ('Methodology &amp; Assumptions'!$B$6*W689), 2)</f>
        <v/>
      </c>
      <c r="Y689" s="28" t="n">
        <v>10.9</v>
      </c>
      <c r="Z689" s="11" t="inlineStr">
        <is>
          <t>Priority Tier 3 (Broadband Expansion)</t>
        </is>
      </c>
    </row>
    <row r="690">
      <c r="A690" s="23" t="n">
        <v>4</v>
      </c>
      <c r="B690" s="23" t="n">
        <v>686</v>
      </c>
      <c r="C690" s="23" t="n">
        <v>3686</v>
      </c>
      <c r="D690" s="23" t="inlineStr">
        <is>
          <t>1380603012</t>
        </is>
      </c>
      <c r="E690" s="11" t="inlineStr">
        <is>
          <t>National Capital Region (NCR)</t>
        </is>
      </c>
      <c r="F690" s="11" t="inlineStr">
        <is>
          <t>First District (Not a Province)</t>
        </is>
      </c>
      <c r="G690" s="11" t="inlineStr">
        <is>
          <t>City of Manila</t>
        </is>
      </c>
      <c r="H690" s="11" t="inlineStr">
        <is>
          <t>Barangay 392</t>
        </is>
      </c>
      <c r="I690" s="24" t="n">
        <v>14.601434</v>
      </c>
      <c r="J690" s="24" t="n">
        <v>120.987024</v>
      </c>
      <c r="K690" s="23" t="inlineStr">
        <is>
          <t>U</t>
        </is>
      </c>
      <c r="L690" s="25" t="n">
        <v>1115</v>
      </c>
      <c r="M690" s="26" t="n">
        <v>5.33</v>
      </c>
      <c r="N690" s="25">
        <f>ROUND(L690/M690, 0)</f>
        <v/>
      </c>
      <c r="O690" s="25">
        <f>ROUND(N690*'Methodology &amp; Assumptions'!$B$7, 0)</f>
        <v/>
      </c>
      <c r="P690" s="23" t="inlineStr">
        <is>
          <t>Single Carrier (Band n50, 100MHz TDD)</t>
        </is>
      </c>
      <c r="Q690" s="27">
        <f>ROUNDUP(O690/'Methodology &amp; Assumptions'!$B$8, 0)</f>
        <v/>
      </c>
      <c r="R690" s="27" t="n">
        <v>1</v>
      </c>
      <c r="S690" s="26" t="n">
        <v>0.49</v>
      </c>
      <c r="T690" s="26" t="n">
        <v>0.09</v>
      </c>
      <c r="U690" s="11">
        <f>IF(S690&lt;='Methodology &amp; Assumptions'!$B$10, "Direct Optical Drop (&lt;3km)", IF(S690&lt;='Methodology &amp; Assumptions'!$B$9, "Near Optical / Microwave (&lt;5km)", "Starlink Business LEO Satellite Backhaul (&gt;5km)"))</f>
        <v/>
      </c>
      <c r="V690" s="26" t="n">
        <v>47.84</v>
      </c>
      <c r="W690" s="26" t="n">
        <v>70.41</v>
      </c>
      <c r="X690" s="26">
        <f>ROUND(('Methodology &amp; Assumptions'!$B$5*V690) + ('Methodology &amp; Assumptions'!$B$6*W690), 2)</f>
        <v/>
      </c>
      <c r="Y690" s="28" t="n">
        <v>10.9</v>
      </c>
      <c r="Z690" s="11" t="inlineStr">
        <is>
          <t>Priority Tier 3 (Broadband Expansion)</t>
        </is>
      </c>
    </row>
    <row r="691">
      <c r="A691" s="23" t="n">
        <v>4</v>
      </c>
      <c r="B691" s="23" t="n">
        <v>687</v>
      </c>
      <c r="C691" s="23" t="n">
        <v>3687</v>
      </c>
      <c r="D691" s="23" t="inlineStr">
        <is>
          <t>0401008019</t>
        </is>
      </c>
      <c r="E691" s="11" t="inlineStr">
        <is>
          <t>Region IV-A (CALABARZON)</t>
        </is>
      </c>
      <c r="F691" s="11" t="inlineStr">
        <is>
          <t>Batangas</t>
        </is>
      </c>
      <c r="G691" s="11" t="inlineStr">
        <is>
          <t>Calatagan</t>
        </is>
      </c>
      <c r="H691" s="11" t="inlineStr">
        <is>
          <t>Barangay 4</t>
        </is>
      </c>
      <c r="I691" s="24" t="n">
        <v>13.827672</v>
      </c>
      <c r="J691" s="24" t="n">
        <v>120.637247</v>
      </c>
      <c r="K691" s="23" t="inlineStr">
        <is>
          <t>R</t>
        </is>
      </c>
      <c r="L691" s="25" t="n">
        <v>3391</v>
      </c>
      <c r="M691" s="26" t="n">
        <v>3.6</v>
      </c>
      <c r="N691" s="25">
        <f>ROUND(L691/M691, 0)</f>
        <v/>
      </c>
      <c r="O691" s="25">
        <f>ROUND(N691*'Methodology &amp; Assumptions'!$B$7, 0)</f>
        <v/>
      </c>
      <c r="P691" s="23" t="inlineStr">
        <is>
          <t>Single Carrier (Band n50, 100MHz TDD)</t>
        </is>
      </c>
      <c r="Q691" s="27">
        <f>ROUNDUP(O691/'Methodology &amp; Assumptions'!$B$8, 0)</f>
        <v/>
      </c>
      <c r="R691" s="27" t="n">
        <v>1</v>
      </c>
      <c r="S691" s="26" t="n">
        <v>0.67</v>
      </c>
      <c r="T691" s="26" t="n">
        <v>0.71</v>
      </c>
      <c r="U691" s="11">
        <f>IF(S691&lt;='Methodology &amp; Assumptions'!$B$10, "Direct Optical Drop (&lt;3km)", IF(S691&lt;='Methodology &amp; Assumptions'!$B$9, "Near Optical / Microwave (&lt;5km)", "Starlink Business LEO Satellite Backhaul (&gt;5km)"))</f>
        <v/>
      </c>
      <c r="V691" s="26" t="n">
        <v>85.45999999999999</v>
      </c>
      <c r="W691" s="26" t="n">
        <v>32.79</v>
      </c>
      <c r="X691" s="26">
        <f>ROUND(('Methodology &amp; Assumptions'!$B$5*V691) + ('Methodology &amp; Assumptions'!$B$6*W691), 2)</f>
        <v/>
      </c>
      <c r="Y691" s="28" t="n">
        <v>7.2</v>
      </c>
      <c r="Z691" s="11" t="inlineStr">
        <is>
          <t>Priority Tier 3 (Broadband Expansion)</t>
        </is>
      </c>
    </row>
    <row r="692">
      <c r="A692" s="23" t="n">
        <v>4</v>
      </c>
      <c r="B692" s="23" t="n">
        <v>688</v>
      </c>
      <c r="C692" s="23" t="n">
        <v>3688</v>
      </c>
      <c r="D692" s="23" t="inlineStr">
        <is>
          <t>0306916025</t>
        </is>
      </c>
      <c r="E692" s="11" t="inlineStr">
        <is>
          <t>Region III (Central Luzon)</t>
        </is>
      </c>
      <c r="F692" s="11" t="inlineStr">
        <is>
          <t>Tarlac</t>
        </is>
      </c>
      <c r="G692" s="11" t="inlineStr">
        <is>
          <t>City of Tarlac</t>
        </is>
      </c>
      <c r="H692" s="11" t="inlineStr">
        <is>
          <t>Capehan</t>
        </is>
      </c>
      <c r="I692" s="24" t="n">
        <v>15.432885</v>
      </c>
      <c r="J692" s="24" t="n">
        <v>120.601372</v>
      </c>
      <c r="K692" s="23" t="inlineStr">
        <is>
          <t>R</t>
        </is>
      </c>
      <c r="L692" s="25" t="n">
        <v>2335</v>
      </c>
      <c r="M692" s="26" t="n">
        <v>3.9</v>
      </c>
      <c r="N692" s="25">
        <f>ROUND(L692/M692, 0)</f>
        <v/>
      </c>
      <c r="O692" s="25">
        <f>ROUND(N692*'Methodology &amp; Assumptions'!$B$7, 0)</f>
        <v/>
      </c>
      <c r="P692" s="23" t="inlineStr">
        <is>
          <t>Single Carrier (Band n50, 100MHz TDD)</t>
        </is>
      </c>
      <c r="Q692" s="27">
        <f>ROUNDUP(O692/'Methodology &amp; Assumptions'!$B$8, 0)</f>
        <v/>
      </c>
      <c r="R692" s="27" t="n">
        <v>1</v>
      </c>
      <c r="S692" s="26" t="n">
        <v>1.5</v>
      </c>
      <c r="T692" s="26" t="n">
        <v>0.33</v>
      </c>
      <c r="U692" s="11">
        <f>IF(S692&lt;='Methodology &amp; Assumptions'!$B$10, "Direct Optical Drop (&lt;3km)", IF(S692&lt;='Methodology &amp; Assumptions'!$B$9, "Near Optical / Microwave (&lt;5km)", "Starlink Business LEO Satellite Backhaul (&gt;5km)"))</f>
        <v/>
      </c>
      <c r="V692" s="26" t="n">
        <v>76.05</v>
      </c>
      <c r="W692" s="26" t="n">
        <v>42.2</v>
      </c>
      <c r="X692" s="26">
        <f>ROUND(('Methodology &amp; Assumptions'!$B$5*V692) + ('Methodology &amp; Assumptions'!$B$6*W692), 2)</f>
        <v/>
      </c>
      <c r="Y692" s="28" t="n">
        <v>8.300000000000001</v>
      </c>
      <c r="Z692" s="11" t="inlineStr">
        <is>
          <t>Priority Tier 3 (Broadband Expansion)</t>
        </is>
      </c>
    </row>
    <row r="693">
      <c r="A693" s="23" t="n">
        <v>4</v>
      </c>
      <c r="B693" s="23" t="n">
        <v>689</v>
      </c>
      <c r="C693" s="23" t="n">
        <v>3689</v>
      </c>
      <c r="D693" s="23" t="inlineStr">
        <is>
          <t>0300801011</t>
        </is>
      </c>
      <c r="E693" s="11" t="inlineStr">
        <is>
          <t>Region III (Central Luzon)</t>
        </is>
      </c>
      <c r="F693" s="11" t="inlineStr">
        <is>
          <t>Bataan</t>
        </is>
      </c>
      <c r="G693" s="11" t="inlineStr">
        <is>
          <t>Abucay</t>
        </is>
      </c>
      <c r="H693" s="11" t="inlineStr">
        <is>
          <t>Wawa</t>
        </is>
      </c>
      <c r="I693" s="24" t="n">
        <v>14.722035</v>
      </c>
      <c r="J693" s="24" t="n">
        <v>120.537023</v>
      </c>
      <c r="K693" s="23" t="inlineStr">
        <is>
          <t>R</t>
        </is>
      </c>
      <c r="L693" s="25" t="n">
        <v>4432</v>
      </c>
      <c r="M693" s="26" t="n">
        <v>3.6</v>
      </c>
      <c r="N693" s="25">
        <f>ROUND(L693/M693, 0)</f>
        <v/>
      </c>
      <c r="O693" s="25">
        <f>ROUND(N693*'Methodology &amp; Assumptions'!$B$7, 0)</f>
        <v/>
      </c>
      <c r="P693" s="23" t="inlineStr">
        <is>
          <t>Single Carrier (Band n50, 100MHz TDD)</t>
        </is>
      </c>
      <c r="Q693" s="27">
        <f>ROUNDUP(O693/'Methodology &amp; Assumptions'!$B$8, 0)</f>
        <v/>
      </c>
      <c r="R693" s="27" t="n">
        <v>1</v>
      </c>
      <c r="S693" s="26" t="n">
        <v>4.15</v>
      </c>
      <c r="T693" s="26" t="n">
        <v>0.16</v>
      </c>
      <c r="U693" s="11">
        <f>IF(S693&lt;='Methodology &amp; Assumptions'!$B$10, "Direct Optical Drop (&lt;3km)", IF(S693&lt;='Methodology &amp; Assumptions'!$B$9, "Near Optical / Microwave (&lt;5km)", "Starlink Business LEO Satellite Backhaul (&gt;5km)"))</f>
        <v/>
      </c>
      <c r="V693" s="26" t="n">
        <v>75.7</v>
      </c>
      <c r="W693" s="26" t="n">
        <v>42.54</v>
      </c>
      <c r="X693" s="26">
        <f>ROUND(('Methodology &amp; Assumptions'!$B$5*V693) + ('Methodology &amp; Assumptions'!$B$6*W693), 2)</f>
        <v/>
      </c>
      <c r="Y693" s="28" t="n">
        <v>8.300000000000001</v>
      </c>
      <c r="Z693" s="11" t="inlineStr">
        <is>
          <t>Priority Tier 3 (Broadband Expansion)</t>
        </is>
      </c>
    </row>
    <row r="694">
      <c r="A694" s="23" t="n">
        <v>4</v>
      </c>
      <c r="B694" s="23" t="n">
        <v>690</v>
      </c>
      <c r="C694" s="23" t="n">
        <v>3690</v>
      </c>
      <c r="D694" s="23" t="inlineStr">
        <is>
          <t>0500517026</t>
        </is>
      </c>
      <c r="E694" s="11" t="inlineStr">
        <is>
          <t>Region V (Bicol Region)</t>
        </is>
      </c>
      <c r="F694" s="11" t="inlineStr">
        <is>
          <t>Albay</t>
        </is>
      </c>
      <c r="G694" s="11" t="inlineStr">
        <is>
          <t>City of Tabaco</t>
        </is>
      </c>
      <c r="H694" s="11" t="inlineStr">
        <is>
          <t>Oson</t>
        </is>
      </c>
      <c r="I694" s="24" t="n">
        <v>13.298064</v>
      </c>
      <c r="J694" s="24" t="n">
        <v>123.676311</v>
      </c>
      <c r="K694" s="23" t="inlineStr">
        <is>
          <t>R</t>
        </is>
      </c>
      <c r="L694" s="25" t="n">
        <v>1266</v>
      </c>
      <c r="M694" s="26" t="n">
        <v>4.1</v>
      </c>
      <c r="N694" s="25">
        <f>ROUND(L694/M694, 0)</f>
        <v/>
      </c>
      <c r="O694" s="25">
        <f>ROUND(N694*'Methodology &amp; Assumptions'!$B$7, 0)</f>
        <v/>
      </c>
      <c r="P694" s="23" t="inlineStr">
        <is>
          <t>Single Carrier (Band n50, 100MHz TDD)</t>
        </is>
      </c>
      <c r="Q694" s="27">
        <f>ROUNDUP(O694/'Methodology &amp; Assumptions'!$B$8, 0)</f>
        <v/>
      </c>
      <c r="R694" s="27" t="n">
        <v>1</v>
      </c>
      <c r="S694" s="26" t="n">
        <v>5.01</v>
      </c>
      <c r="T694" s="26" t="n">
        <v>3.86</v>
      </c>
      <c r="U694" s="11">
        <f>IF(S694&lt;='Methodology &amp; Assumptions'!$B$10, "Direct Optical Drop (&lt;3km)", IF(S694&lt;='Methodology &amp; Assumptions'!$B$9, "Near Optical / Microwave (&lt;5km)", "Starlink Business LEO Satellite Backhaul (&gt;5km)"))</f>
        <v/>
      </c>
      <c r="V694" s="26" t="n">
        <v>55.89</v>
      </c>
      <c r="W694" s="26" t="n">
        <v>62.35</v>
      </c>
      <c r="X694" s="26">
        <f>ROUND(('Methodology &amp; Assumptions'!$B$5*V694) + ('Methodology &amp; Assumptions'!$B$6*W694), 2)</f>
        <v/>
      </c>
      <c r="Y694" s="28" t="n">
        <v>23.7</v>
      </c>
      <c r="Z694" s="11" t="inlineStr">
        <is>
          <t>Priority Tier 3 (Broadband Expansion)</t>
        </is>
      </c>
    </row>
    <row r="695">
      <c r="A695" s="23" t="n">
        <v>4</v>
      </c>
      <c r="B695" s="23" t="n">
        <v>691</v>
      </c>
      <c r="C695" s="23" t="n">
        <v>3691</v>
      </c>
      <c r="D695" s="23" t="inlineStr">
        <is>
          <t>1003514012</t>
        </is>
      </c>
      <c r="E695" s="11" t="inlineStr">
        <is>
          <t>Region X (Northern Mindanao)</t>
        </is>
      </c>
      <c r="F695" s="11" t="inlineStr">
        <is>
          <t>Lanao del Norte</t>
        </is>
      </c>
      <c r="G695" s="11" t="inlineStr">
        <is>
          <t>Munai</t>
        </is>
      </c>
      <c r="H695" s="11" t="inlineStr">
        <is>
          <t>Lingco-an</t>
        </is>
      </c>
      <c r="I695" s="24" t="n">
        <v>8.049899999999999</v>
      </c>
      <c r="J695" s="24" t="n">
        <v>124.0261</v>
      </c>
      <c r="K695" s="23" t="inlineStr">
        <is>
          <t>R</t>
        </is>
      </c>
      <c r="L695" s="25" t="n">
        <v>1011</v>
      </c>
      <c r="M695" s="26" t="n">
        <v>4.2</v>
      </c>
      <c r="N695" s="25">
        <f>ROUND(L695/M695, 0)</f>
        <v/>
      </c>
      <c r="O695" s="25">
        <f>ROUND(N695*'Methodology &amp; Assumptions'!$B$7, 0)</f>
        <v/>
      </c>
      <c r="P695" s="23" t="inlineStr">
        <is>
          <t>Single Carrier (Band n50, 100MHz TDD)</t>
        </is>
      </c>
      <c r="Q695" s="27">
        <f>ROUNDUP(O695/'Methodology &amp; Assumptions'!$B$8, 0)</f>
        <v/>
      </c>
      <c r="R695" s="27" t="n">
        <v>1</v>
      </c>
      <c r="S695" s="26" t="n">
        <v>25</v>
      </c>
      <c r="T695" s="26" t="n">
        <v>13.95</v>
      </c>
      <c r="U695" s="11">
        <f>IF(S695&lt;='Methodology &amp; Assumptions'!$B$10, "Direct Optical Drop (&lt;3km)", IF(S695&lt;='Methodology &amp; Assumptions'!$B$9, "Near Optical / Microwave (&lt;5km)", "Starlink Business LEO Satellite Backhaul (&gt;5km)"))</f>
        <v/>
      </c>
      <c r="V695" s="26" t="n">
        <v>42.72</v>
      </c>
      <c r="W695" s="26" t="n">
        <v>75.53</v>
      </c>
      <c r="X695" s="26">
        <f>ROUND(('Methodology &amp; Assumptions'!$B$5*V695) + ('Methodology &amp; Assumptions'!$B$6*W695), 2)</f>
        <v/>
      </c>
      <c r="Y695" s="28" t="n">
        <v>17.4</v>
      </c>
      <c r="Z695" s="11" t="inlineStr">
        <is>
          <t>Priority Tier 3 (Broadband Expansion)</t>
        </is>
      </c>
    </row>
    <row r="696">
      <c r="A696" s="23" t="n">
        <v>4</v>
      </c>
      <c r="B696" s="23" t="n">
        <v>692</v>
      </c>
      <c r="C696" s="23" t="n">
        <v>3692</v>
      </c>
      <c r="D696" s="23" t="inlineStr">
        <is>
          <t>0306905055</t>
        </is>
      </c>
      <c r="E696" s="11" t="inlineStr">
        <is>
          <t>Region III (Central Luzon)</t>
        </is>
      </c>
      <c r="F696" s="11" t="inlineStr">
        <is>
          <t>Tarlac</t>
        </is>
      </c>
      <c r="G696" s="11" t="inlineStr">
        <is>
          <t>Concepcion</t>
        </is>
      </c>
      <c r="H696" s="11" t="inlineStr">
        <is>
          <t>Green Village</t>
        </is>
      </c>
      <c r="I696" s="24" t="n">
        <v>15.325779</v>
      </c>
      <c r="J696" s="24" t="n">
        <v>120.647076</v>
      </c>
      <c r="K696" s="23" t="inlineStr">
        <is>
          <t>R</t>
        </is>
      </c>
      <c r="L696" s="25" t="n">
        <v>2985</v>
      </c>
      <c r="M696" s="26" t="n">
        <v>3.9</v>
      </c>
      <c r="N696" s="25">
        <f>ROUND(L696/M696, 0)</f>
        <v/>
      </c>
      <c r="O696" s="25">
        <f>ROUND(N696*'Methodology &amp; Assumptions'!$B$7, 0)</f>
        <v/>
      </c>
      <c r="P696" s="23" t="inlineStr">
        <is>
          <t>Single Carrier (Band n50, 100MHz TDD)</t>
        </is>
      </c>
      <c r="Q696" s="27">
        <f>ROUNDUP(O696/'Methodology &amp; Assumptions'!$B$8, 0)</f>
        <v/>
      </c>
      <c r="R696" s="27" t="n">
        <v>1</v>
      </c>
      <c r="S696" s="26" t="n">
        <v>0.65</v>
      </c>
      <c r="T696" s="26" t="n">
        <v>0.38</v>
      </c>
      <c r="U696" s="11">
        <f>IF(S696&lt;='Methodology &amp; Assumptions'!$B$10, "Direct Optical Drop (&lt;3km)", IF(S696&lt;='Methodology &amp; Assumptions'!$B$9, "Near Optical / Microwave (&lt;5km)", "Starlink Business LEO Satellite Backhaul (&gt;5km)"))</f>
        <v/>
      </c>
      <c r="V696" s="26" t="n">
        <v>83.94</v>
      </c>
      <c r="W696" s="26" t="n">
        <v>34.28</v>
      </c>
      <c r="X696" s="26">
        <f>ROUND(('Methodology &amp; Assumptions'!$B$5*V696) + ('Methodology &amp; Assumptions'!$B$6*W696), 2)</f>
        <v/>
      </c>
      <c r="Y696" s="28" t="n">
        <v>8.300000000000001</v>
      </c>
      <c r="Z696" s="11" t="inlineStr">
        <is>
          <t>Priority Tier 3 (Broadband Expansion)</t>
        </is>
      </c>
    </row>
    <row r="697">
      <c r="A697" s="23" t="n">
        <v>4</v>
      </c>
      <c r="B697" s="23" t="n">
        <v>693</v>
      </c>
      <c r="C697" s="23" t="n">
        <v>3693</v>
      </c>
      <c r="D697" s="23" t="inlineStr">
        <is>
          <t>0803739022</t>
        </is>
      </c>
      <c r="E697" s="11" t="inlineStr">
        <is>
          <t>Region VIII (Eastern Visayas)</t>
        </is>
      </c>
      <c r="F697" s="11" t="inlineStr">
        <is>
          <t>Leyte</t>
        </is>
      </c>
      <c r="G697" s="11" t="inlineStr">
        <is>
          <t>Palo</t>
        </is>
      </c>
      <c r="H697" s="11" t="inlineStr">
        <is>
          <t>Cavite West</t>
        </is>
      </c>
      <c r="I697" s="24" t="n">
        <v>11.158249</v>
      </c>
      <c r="J697" s="24" t="n">
        <v>124.988335</v>
      </c>
      <c r="K697" s="23" t="inlineStr">
        <is>
          <t>R</t>
        </is>
      </c>
      <c r="L697" s="25" t="n">
        <v>2036</v>
      </c>
      <c r="M697" s="26" t="n">
        <v>3.8</v>
      </c>
      <c r="N697" s="25">
        <f>ROUND(L697/M697, 0)</f>
        <v/>
      </c>
      <c r="O697" s="25">
        <f>ROUND(N697*'Methodology &amp; Assumptions'!$B$7, 0)</f>
        <v/>
      </c>
      <c r="P697" s="23" t="inlineStr">
        <is>
          <t>Single Carrier (Band n50, 100MHz TDD)</t>
        </is>
      </c>
      <c r="Q697" s="27">
        <f>ROUNDUP(O697/'Methodology &amp; Assumptions'!$B$8, 0)</f>
        <v/>
      </c>
      <c r="R697" s="27" t="n">
        <v>1</v>
      </c>
      <c r="S697" s="26" t="n">
        <v>1.61</v>
      </c>
      <c r="T697" s="26" t="n">
        <v>0.31</v>
      </c>
      <c r="U697" s="11">
        <f>IF(S697&lt;='Methodology &amp; Assumptions'!$B$10, "Direct Optical Drop (&lt;3km)", IF(S697&lt;='Methodology &amp; Assumptions'!$B$9, "Near Optical / Microwave (&lt;5km)", "Starlink Business LEO Satellite Backhaul (&gt;5km)"))</f>
        <v/>
      </c>
      <c r="V697" s="26" t="n">
        <v>74.91</v>
      </c>
      <c r="W697" s="26" t="n">
        <v>43.32</v>
      </c>
      <c r="X697" s="26">
        <f>ROUND(('Methodology &amp; Assumptions'!$B$5*V697) + ('Methodology &amp; Assumptions'!$B$6*W697), 2)</f>
        <v/>
      </c>
      <c r="Y697" s="28" t="n">
        <v>23.7</v>
      </c>
      <c r="Z697" s="11" t="inlineStr">
        <is>
          <t>Priority Tier 3 (Broadband Expansion)</t>
        </is>
      </c>
    </row>
    <row r="698">
      <c r="A698" s="23" t="n">
        <v>4</v>
      </c>
      <c r="B698" s="23" t="n">
        <v>694</v>
      </c>
      <c r="C698" s="23" t="n">
        <v>3694</v>
      </c>
      <c r="D698" s="23" t="inlineStr">
        <is>
          <t>0304902015</t>
        </is>
      </c>
      <c r="E698" s="11" t="inlineStr">
        <is>
          <t>Region III (Central Luzon)</t>
        </is>
      </c>
      <c r="F698" s="11" t="inlineStr">
        <is>
          <t>Nueva Ecija</t>
        </is>
      </c>
      <c r="G698" s="11" t="inlineStr">
        <is>
          <t>Bongabon</t>
        </is>
      </c>
      <c r="H698" s="11" t="inlineStr">
        <is>
          <t>Mantile</t>
        </is>
      </c>
      <c r="I698" s="24" t="n">
        <v>15.626929</v>
      </c>
      <c r="J698" s="24" t="n">
        <v>121.137368</v>
      </c>
      <c r="K698" s="23" t="inlineStr">
        <is>
          <t>R</t>
        </is>
      </c>
      <c r="L698" s="25" t="n">
        <v>1525</v>
      </c>
      <c r="M698" s="26" t="n">
        <v>3.5</v>
      </c>
      <c r="N698" s="25">
        <f>ROUND(L698/M698, 0)</f>
        <v/>
      </c>
      <c r="O698" s="25">
        <f>ROUND(N698*'Methodology &amp; Assumptions'!$B$7, 0)</f>
        <v/>
      </c>
      <c r="P698" s="23" t="inlineStr">
        <is>
          <t>Single Carrier (Band n50, 100MHz TDD)</t>
        </is>
      </c>
      <c r="Q698" s="27">
        <f>ROUNDUP(O698/'Methodology &amp; Assumptions'!$B$8, 0)</f>
        <v/>
      </c>
      <c r="R698" s="27" t="n">
        <v>1</v>
      </c>
      <c r="S698" s="26" t="n">
        <v>1.03</v>
      </c>
      <c r="T698" s="26" t="n">
        <v>1.03</v>
      </c>
      <c r="U698" s="11">
        <f>IF(S698&lt;='Methodology &amp; Assumptions'!$B$10, "Direct Optical Drop (&lt;3km)", IF(S698&lt;='Methodology &amp; Assumptions'!$B$9, "Near Optical / Microwave (&lt;5km)", "Starlink Business LEO Satellite Backhaul (&gt;5km)"))</f>
        <v/>
      </c>
      <c r="V698" s="26" t="n">
        <v>72.48</v>
      </c>
      <c r="W698" s="26" t="n">
        <v>45.75</v>
      </c>
      <c r="X698" s="26">
        <f>ROUND(('Methodology &amp; Assumptions'!$B$5*V698) + ('Methodology &amp; Assumptions'!$B$6*W698), 2)</f>
        <v/>
      </c>
      <c r="Y698" s="28" t="n">
        <v>8.300000000000001</v>
      </c>
      <c r="Z698" s="11" t="inlineStr">
        <is>
          <t>Priority Tier 3 (Broadband Expansion)</t>
        </is>
      </c>
    </row>
    <row r="699">
      <c r="A699" s="23" t="n">
        <v>4</v>
      </c>
      <c r="B699" s="23" t="n">
        <v>695</v>
      </c>
      <c r="C699" s="23" t="n">
        <v>3695</v>
      </c>
      <c r="D699" s="23" t="inlineStr">
        <is>
          <t>1380601256</t>
        </is>
      </c>
      <c r="E699" s="11" t="inlineStr">
        <is>
          <t>National Capital Region (NCR)</t>
        </is>
      </c>
      <c r="F699" s="11" t="inlineStr">
        <is>
          <t>First District (Not a Province)</t>
        </is>
      </c>
      <c r="G699" s="11" t="inlineStr">
        <is>
          <t>City of Manila</t>
        </is>
      </c>
      <c r="H699" s="11" t="inlineStr">
        <is>
          <t>Barangay 255</t>
        </is>
      </c>
      <c r="I699" s="24" t="n">
        <v>14.613596</v>
      </c>
      <c r="J699" s="24" t="n">
        <v>120.979222</v>
      </c>
      <c r="K699" s="23" t="inlineStr">
        <is>
          <t>U</t>
        </is>
      </c>
      <c r="L699" s="25" t="n">
        <v>957</v>
      </c>
      <c r="M699" s="26" t="n">
        <v>3.71</v>
      </c>
      <c r="N699" s="25">
        <f>ROUND(L699/M699, 0)</f>
        <v/>
      </c>
      <c r="O699" s="25">
        <f>ROUND(N699*'Methodology &amp; Assumptions'!$B$7, 0)</f>
        <v/>
      </c>
      <c r="P699" s="23" t="inlineStr">
        <is>
          <t>Single Carrier (Band n50, 100MHz TDD)</t>
        </is>
      </c>
      <c r="Q699" s="27">
        <f>ROUNDUP(O699/'Methodology &amp; Assumptions'!$B$8, 0)</f>
        <v/>
      </c>
      <c r="R699" s="27" t="n">
        <v>1</v>
      </c>
      <c r="S699" s="26" t="n">
        <v>0.51</v>
      </c>
      <c r="T699" s="26" t="n">
        <v>0.42</v>
      </c>
      <c r="U699" s="11">
        <f>IF(S699&lt;='Methodology &amp; Assumptions'!$B$10, "Direct Optical Drop (&lt;3km)", IF(S699&lt;='Methodology &amp; Assumptions'!$B$9, "Near Optical / Microwave (&lt;5km)", "Starlink Business LEO Satellite Backhaul (&gt;5km)"))</f>
        <v/>
      </c>
      <c r="V699" s="26" t="n">
        <v>49.34</v>
      </c>
      <c r="W699" s="26" t="n">
        <v>68.89</v>
      </c>
      <c r="X699" s="26">
        <f>ROUND(('Methodology &amp; Assumptions'!$B$5*V699) + ('Methodology &amp; Assumptions'!$B$6*W699), 2)</f>
        <v/>
      </c>
      <c r="Y699" s="28" t="n">
        <v>10.9</v>
      </c>
      <c r="Z699" s="11" t="inlineStr">
        <is>
          <t>Priority Tier 3 (Broadband Expansion)</t>
        </is>
      </c>
    </row>
    <row r="700">
      <c r="A700" s="23" t="n">
        <v>4</v>
      </c>
      <c r="B700" s="23" t="n">
        <v>696</v>
      </c>
      <c r="C700" s="23" t="n">
        <v>3696</v>
      </c>
      <c r="D700" s="23" t="inlineStr">
        <is>
          <t>1380606059</t>
        </is>
      </c>
      <c r="E700" s="11" t="inlineStr">
        <is>
          <t>National Capital Region (NCR)</t>
        </is>
      </c>
      <c r="F700" s="11" t="inlineStr">
        <is>
          <t>First District (Not a Province)</t>
        </is>
      </c>
      <c r="G700" s="11" t="inlineStr">
        <is>
          <t>City of Manila</t>
        </is>
      </c>
      <c r="H700" s="11" t="inlineStr">
        <is>
          <t>Barangay 453</t>
        </is>
      </c>
      <c r="I700" s="24" t="n">
        <v>14.611259</v>
      </c>
      <c r="J700" s="24" t="n">
        <v>120.996325</v>
      </c>
      <c r="K700" s="23" t="inlineStr">
        <is>
          <t>U</t>
        </is>
      </c>
      <c r="L700" s="25" t="n">
        <v>1066</v>
      </c>
      <c r="M700" s="26" t="n">
        <v>4.5</v>
      </c>
      <c r="N700" s="25">
        <f>ROUND(L700/M700, 0)</f>
        <v/>
      </c>
      <c r="O700" s="25">
        <f>ROUND(N700*'Methodology &amp; Assumptions'!$B$7, 0)</f>
        <v/>
      </c>
      <c r="P700" s="23" t="inlineStr">
        <is>
          <t>Single Carrier (Band n50, 100MHz TDD)</t>
        </is>
      </c>
      <c r="Q700" s="27">
        <f>ROUNDUP(O700/'Methodology &amp; Assumptions'!$B$8, 0)</f>
        <v/>
      </c>
      <c r="R700" s="27" t="n">
        <v>1</v>
      </c>
      <c r="S700" s="26" t="n">
        <v>0.8</v>
      </c>
      <c r="T700" s="26" t="n">
        <v>0.4</v>
      </c>
      <c r="U700" s="11">
        <f>IF(S700&lt;='Methodology &amp; Assumptions'!$B$10, "Direct Optical Drop (&lt;3km)", IF(S700&lt;='Methodology &amp; Assumptions'!$B$9, "Near Optical / Microwave (&lt;5km)", "Starlink Business LEO Satellite Backhaul (&gt;5km)"))</f>
        <v/>
      </c>
      <c r="V700" s="26" t="n">
        <v>48.7</v>
      </c>
      <c r="W700" s="26" t="n">
        <v>69.53</v>
      </c>
      <c r="X700" s="26">
        <f>ROUND(('Methodology &amp; Assumptions'!$B$5*V700) + ('Methodology &amp; Assumptions'!$B$6*W700), 2)</f>
        <v/>
      </c>
      <c r="Y700" s="28" t="n">
        <v>10.9</v>
      </c>
      <c r="Z700" s="11" t="inlineStr">
        <is>
          <t>Priority Tier 3 (Broadband Expansion)</t>
        </is>
      </c>
    </row>
    <row r="701">
      <c r="A701" s="23" t="n">
        <v>4</v>
      </c>
      <c r="B701" s="23" t="n">
        <v>697</v>
      </c>
      <c r="C701" s="23" t="n">
        <v>3697</v>
      </c>
      <c r="D701" s="23" t="inlineStr">
        <is>
          <t>1606718002</t>
        </is>
      </c>
      <c r="E701" s="11" t="inlineStr">
        <is>
          <t>Region XIII (Caraga)</t>
        </is>
      </c>
      <c r="F701" s="11" t="inlineStr">
        <is>
          <t>Surigao del Norte</t>
        </is>
      </c>
      <c r="G701" s="11" t="inlineStr">
        <is>
          <t>San Benito</t>
        </is>
      </c>
      <c r="H701" s="11" t="inlineStr">
        <is>
          <t>Maribojoc</t>
        </is>
      </c>
      <c r="I701" s="24" t="n">
        <v>9.934799</v>
      </c>
      <c r="J701" s="24" t="n">
        <v>125.964451</v>
      </c>
      <c r="K701" s="23" t="inlineStr">
        <is>
          <t>R</t>
        </is>
      </c>
      <c r="L701" s="25" t="n">
        <v>1241</v>
      </c>
      <c r="M701" s="26" t="n">
        <v>4.1</v>
      </c>
      <c r="N701" s="25">
        <f>ROUND(L701/M701, 0)</f>
        <v/>
      </c>
      <c r="O701" s="25">
        <f>ROUND(N701*'Methodology &amp; Assumptions'!$B$7, 0)</f>
        <v/>
      </c>
      <c r="P701" s="23" t="inlineStr">
        <is>
          <t>Single Carrier (Band n50, 100MHz TDD)</t>
        </is>
      </c>
      <c r="Q701" s="27">
        <f>ROUNDUP(O701/'Methodology &amp; Assumptions'!$B$8, 0)</f>
        <v/>
      </c>
      <c r="R701" s="27" t="n">
        <v>1</v>
      </c>
      <c r="S701" s="26" t="n">
        <v>53.97</v>
      </c>
      <c r="T701" s="26" t="n">
        <v>45.85</v>
      </c>
      <c r="U701" s="11">
        <f>IF(S701&lt;='Methodology &amp; Assumptions'!$B$10, "Direct Optical Drop (&lt;3km)", IF(S701&lt;='Methodology &amp; Assumptions'!$B$9, "Near Optical / Microwave (&lt;5km)", "Starlink Business LEO Satellite Backhaul (&gt;5km)"))</f>
        <v/>
      </c>
      <c r="V701" s="26" t="n">
        <v>48.45</v>
      </c>
      <c r="W701" s="26" t="n">
        <v>69.78</v>
      </c>
      <c r="X701" s="26">
        <f>ROUND(('Methodology &amp; Assumptions'!$B$5*V701) + ('Methodology &amp; Assumptions'!$B$6*W701), 2)</f>
        <v/>
      </c>
      <c r="Y701" s="28" t="n">
        <v>17.4</v>
      </c>
      <c r="Z701" s="11" t="inlineStr">
        <is>
          <t>Priority Tier 3 (Broadband Expansion)</t>
        </is>
      </c>
    </row>
    <row r="702">
      <c r="A702" s="23" t="n">
        <v>4</v>
      </c>
      <c r="B702" s="23" t="n">
        <v>698</v>
      </c>
      <c r="C702" s="23" t="n">
        <v>3698</v>
      </c>
      <c r="D702" s="23" t="inlineStr">
        <is>
          <t>0403409001</t>
        </is>
      </c>
      <c r="E702" s="11" t="inlineStr">
        <is>
          <t>Region IV-A (CALABARZON)</t>
        </is>
      </c>
      <c r="F702" s="11" t="inlineStr">
        <is>
          <t>Laguna</t>
        </is>
      </c>
      <c r="G702" s="11" t="inlineStr">
        <is>
          <t>Kalayaan</t>
        </is>
      </c>
      <c r="H702" s="11" t="inlineStr">
        <is>
          <t>Longos</t>
        </is>
      </c>
      <c r="I702" s="24" t="n">
        <v>14.34011</v>
      </c>
      <c r="J702" s="24" t="n">
        <v>121.480724</v>
      </c>
      <c r="K702" s="23" t="inlineStr">
        <is>
          <t>U</t>
        </is>
      </c>
      <c r="L702" s="25" t="n">
        <v>7487</v>
      </c>
      <c r="M702" s="26" t="n">
        <v>3.3</v>
      </c>
      <c r="N702" s="25">
        <f>ROUND(L702/M702, 0)</f>
        <v/>
      </c>
      <c r="O702" s="25">
        <f>ROUND(N702*'Methodology &amp; Assumptions'!$B$7, 0)</f>
        <v/>
      </c>
      <c r="P702" s="23" t="inlineStr">
        <is>
          <t>Single Carrier (Band n50, 100MHz TDD)</t>
        </is>
      </c>
      <c r="Q702" s="27">
        <f>ROUNDUP(O702/'Methodology &amp; Assumptions'!$B$8, 0)</f>
        <v/>
      </c>
      <c r="R702" s="27" t="n">
        <v>1</v>
      </c>
      <c r="S702" s="26" t="n">
        <v>1.03</v>
      </c>
      <c r="T702" s="26" t="n">
        <v>0.23</v>
      </c>
      <c r="U702" s="11">
        <f>IF(S702&lt;='Methodology &amp; Assumptions'!$B$10, "Direct Optical Drop (&lt;3km)", IF(S702&lt;='Methodology &amp; Assumptions'!$B$9, "Near Optical / Microwave (&lt;5km)", "Starlink Business LEO Satellite Backhaul (&gt;5km)"))</f>
        <v/>
      </c>
      <c r="V702" s="26" t="n">
        <v>77.55</v>
      </c>
      <c r="W702" s="26" t="n">
        <v>40.65</v>
      </c>
      <c r="X702" s="26">
        <f>ROUND(('Methodology &amp; Assumptions'!$B$5*V702) + ('Methodology &amp; Assumptions'!$B$6*W702), 2)</f>
        <v/>
      </c>
      <c r="Y702" s="28" t="n">
        <v>7.2</v>
      </c>
      <c r="Z702" s="11" t="inlineStr">
        <is>
          <t>Priority Tier 3 (Broadband Expansion)</t>
        </is>
      </c>
    </row>
    <row r="703">
      <c r="A703" s="23" t="n">
        <v>4</v>
      </c>
      <c r="B703" s="23" t="n">
        <v>699</v>
      </c>
      <c r="C703" s="23" t="n">
        <v>3699</v>
      </c>
      <c r="D703" s="23" t="inlineStr">
        <is>
          <t>0103314027</t>
        </is>
      </c>
      <c r="E703" s="11" t="inlineStr">
        <is>
          <t>Region I (Ilocos Region)</t>
        </is>
      </c>
      <c r="F703" s="11" t="inlineStr">
        <is>
          <t>La Union</t>
        </is>
      </c>
      <c r="G703" s="11" t="inlineStr">
        <is>
          <t>City of San Fernando</t>
        </is>
      </c>
      <c r="H703" s="11" t="inlineStr">
        <is>
          <t>Ilocanos Norte</t>
        </is>
      </c>
      <c r="I703" s="24" t="n">
        <v>16.621749</v>
      </c>
      <c r="J703" s="24" t="n">
        <v>120.315378</v>
      </c>
      <c r="K703" s="23" t="inlineStr">
        <is>
          <t>R</t>
        </is>
      </c>
      <c r="L703" s="25" t="n">
        <v>1151</v>
      </c>
      <c r="M703" s="26" t="n">
        <v>3.7</v>
      </c>
      <c r="N703" s="25">
        <f>ROUND(L703/M703, 0)</f>
        <v/>
      </c>
      <c r="O703" s="25">
        <f>ROUND(N703*'Methodology &amp; Assumptions'!$B$7, 0)</f>
        <v/>
      </c>
      <c r="P703" s="23" t="inlineStr">
        <is>
          <t>Single Carrier (Band n50, 100MHz TDD)</t>
        </is>
      </c>
      <c r="Q703" s="27">
        <f>ROUNDUP(O703/'Methodology &amp; Assumptions'!$B$8, 0)</f>
        <v/>
      </c>
      <c r="R703" s="27" t="n">
        <v>1</v>
      </c>
      <c r="S703" s="26" t="n">
        <v>2.04</v>
      </c>
      <c r="T703" s="26" t="n">
        <v>0.11</v>
      </c>
      <c r="U703" s="11">
        <f>IF(S703&lt;='Methodology &amp; Assumptions'!$B$10, "Direct Optical Drop (&lt;3km)", IF(S703&lt;='Methodology &amp; Assumptions'!$B$9, "Near Optical / Microwave (&lt;5km)", "Starlink Business LEO Satellite Backhaul (&gt;5km)"))</f>
        <v/>
      </c>
      <c r="V703" s="26" t="n">
        <v>64.72</v>
      </c>
      <c r="W703" s="26" t="n">
        <v>53.47</v>
      </c>
      <c r="X703" s="26">
        <f>ROUND(('Methodology &amp; Assumptions'!$B$5*V703) + ('Methodology &amp; Assumptions'!$B$6*W703), 2)</f>
        <v/>
      </c>
      <c r="Y703" s="28" t="n">
        <v>8.300000000000001</v>
      </c>
      <c r="Z703" s="11" t="inlineStr">
        <is>
          <t>Priority Tier 3 (Broadband Expansion)</t>
        </is>
      </c>
    </row>
    <row r="704">
      <c r="A704" s="23" t="n">
        <v>4</v>
      </c>
      <c r="B704" s="23" t="n">
        <v>700</v>
      </c>
      <c r="C704" s="23" t="n">
        <v>3700</v>
      </c>
      <c r="D704" s="23" t="inlineStr">
        <is>
          <t>0403404004</t>
        </is>
      </c>
      <c r="E704" s="11" t="inlineStr">
        <is>
          <t>Region IV-A (CALABARZON)</t>
        </is>
      </c>
      <c r="F704" s="11" t="inlineStr">
        <is>
          <t>Laguna</t>
        </is>
      </c>
      <c r="G704" s="11" t="inlineStr">
        <is>
          <t>City of Cabuyao</t>
        </is>
      </c>
      <c r="H704" s="11" t="inlineStr">
        <is>
          <t>Butong</t>
        </is>
      </c>
      <c r="I704" s="24" t="n">
        <v>14.286689</v>
      </c>
      <c r="J704" s="24" t="n">
        <v>121.139409</v>
      </c>
      <c r="K704" s="23" t="inlineStr">
        <is>
          <t>U</t>
        </is>
      </c>
      <c r="L704" s="25" t="n">
        <v>16184</v>
      </c>
      <c r="M704" s="26" t="n">
        <v>3.3</v>
      </c>
      <c r="N704" s="25">
        <f>ROUND(L704/M704, 0)</f>
        <v/>
      </c>
      <c r="O704" s="25">
        <f>ROUND(N704*'Methodology &amp; Assumptions'!$B$7, 0)</f>
        <v/>
      </c>
      <c r="P704" s="23" t="inlineStr">
        <is>
          <t>Single Carrier (Band n50, 100MHz TDD)</t>
        </is>
      </c>
      <c r="Q704" s="27">
        <f>ROUNDUP(O704/'Methodology &amp; Assumptions'!$B$8, 0)</f>
        <v/>
      </c>
      <c r="R704" s="27" t="n">
        <v>1</v>
      </c>
      <c r="S704" s="26" t="n">
        <v>2.19</v>
      </c>
      <c r="T704" s="26" t="n">
        <v>2.48</v>
      </c>
      <c r="U704" s="11">
        <f>IF(S704&lt;='Methodology &amp; Assumptions'!$B$10, "Direct Optical Drop (&lt;3km)", IF(S704&lt;='Methodology &amp; Assumptions'!$B$9, "Near Optical / Microwave (&lt;5km)", "Starlink Business LEO Satellite Backhaul (&gt;5km)"))</f>
        <v/>
      </c>
      <c r="V704" s="26" t="n">
        <v>69.89</v>
      </c>
      <c r="W704" s="26" t="n">
        <v>48.29</v>
      </c>
      <c r="X704" s="26">
        <f>ROUND(('Methodology &amp; Assumptions'!$B$5*V704) + ('Methodology &amp; Assumptions'!$B$6*W704), 2)</f>
        <v/>
      </c>
      <c r="Y704" s="28" t="n">
        <v>7.2</v>
      </c>
      <c r="Z704" s="11" t="inlineStr">
        <is>
          <t>Priority Tier 3 (Broadband Expansion)</t>
        </is>
      </c>
    </row>
    <row r="705">
      <c r="A705" s="23" t="n">
        <v>4</v>
      </c>
      <c r="B705" s="23" t="n">
        <v>701</v>
      </c>
      <c r="C705" s="23" t="n">
        <v>3701</v>
      </c>
      <c r="D705" s="23" t="inlineStr">
        <is>
          <t>1206316023</t>
        </is>
      </c>
      <c r="E705" s="11" t="inlineStr">
        <is>
          <t>Region XII (SOCCSKSARGEN)</t>
        </is>
      </c>
      <c r="F705" s="11" t="inlineStr">
        <is>
          <t>South Cotabato</t>
        </is>
      </c>
      <c r="G705" s="11" t="inlineStr">
        <is>
          <t>T'Boli</t>
        </is>
      </c>
      <c r="H705" s="11" t="inlineStr">
        <is>
          <t>Tudok</t>
        </is>
      </c>
      <c r="I705" s="24" t="n">
        <v>6.015681</v>
      </c>
      <c r="J705" s="24" t="n">
        <v>124.82516</v>
      </c>
      <c r="K705" s="23" t="inlineStr">
        <is>
          <t>R</t>
        </is>
      </c>
      <c r="L705" s="25" t="n">
        <v>3621</v>
      </c>
      <c r="M705" s="26" t="n">
        <v>3.6</v>
      </c>
      <c r="N705" s="25">
        <f>ROUND(L705/M705, 0)</f>
        <v/>
      </c>
      <c r="O705" s="25">
        <f>ROUND(N705*'Methodology &amp; Assumptions'!$B$7, 0)</f>
        <v/>
      </c>
      <c r="P705" s="23" t="inlineStr">
        <is>
          <t>Single Carrier (Band n50, 100MHz TDD)</t>
        </is>
      </c>
      <c r="Q705" s="27">
        <f>ROUNDUP(O705/'Methodology &amp; Assumptions'!$B$8, 0)</f>
        <v/>
      </c>
      <c r="R705" s="27" t="n">
        <v>1</v>
      </c>
      <c r="S705" s="26" t="n">
        <v>34.66</v>
      </c>
      <c r="T705" s="26" t="n">
        <v>34.52</v>
      </c>
      <c r="U705" s="11">
        <f>IF(S705&lt;='Methodology &amp; Assumptions'!$B$10, "Direct Optical Drop (&lt;3km)", IF(S705&lt;='Methodology &amp; Assumptions'!$B$9, "Near Optical / Microwave (&lt;5km)", "Starlink Business LEO Satellite Backhaul (&gt;5km)"))</f>
        <v/>
      </c>
      <c r="V705" s="26" t="n">
        <v>61.82</v>
      </c>
      <c r="W705" s="26" t="n">
        <v>56.36</v>
      </c>
      <c r="X705" s="26">
        <f>ROUND(('Methodology &amp; Assumptions'!$B$5*V705) + ('Methodology &amp; Assumptions'!$B$6*W705), 2)</f>
        <v/>
      </c>
      <c r="Y705" s="28" t="n">
        <v>17.4</v>
      </c>
      <c r="Z705" s="11" t="inlineStr">
        <is>
          <t>Priority Tier 3 (Broadband Expansion)</t>
        </is>
      </c>
    </row>
    <row r="706">
      <c r="A706" s="23" t="n">
        <v>4</v>
      </c>
      <c r="B706" s="23" t="n">
        <v>702</v>
      </c>
      <c r="C706" s="23" t="n">
        <v>3702</v>
      </c>
      <c r="D706" s="23" t="inlineStr">
        <is>
          <t>1380601193</t>
        </is>
      </c>
      <c r="E706" s="11" t="inlineStr">
        <is>
          <t>National Capital Region (NCR)</t>
        </is>
      </c>
      <c r="F706" s="11" t="inlineStr">
        <is>
          <t>First District (Not a Province)</t>
        </is>
      </c>
      <c r="G706" s="11" t="inlineStr">
        <is>
          <t>City of Manila</t>
        </is>
      </c>
      <c r="H706" s="11" t="inlineStr">
        <is>
          <t>Barangay 193</t>
        </is>
      </c>
      <c r="I706" s="24" t="n">
        <v>14.634582</v>
      </c>
      <c r="J706" s="24" t="n">
        <v>120.979959</v>
      </c>
      <c r="K706" s="23" t="inlineStr">
        <is>
          <t>U</t>
        </is>
      </c>
      <c r="L706" s="25" t="n">
        <v>928</v>
      </c>
      <c r="M706" s="26" t="n">
        <v>3.31</v>
      </c>
      <c r="N706" s="25">
        <f>ROUND(L706/M706, 0)</f>
        <v/>
      </c>
      <c r="O706" s="25">
        <f>ROUND(N706*'Methodology &amp; Assumptions'!$B$7, 0)</f>
        <v/>
      </c>
      <c r="P706" s="23" t="inlineStr">
        <is>
          <t>Single Carrier (Band n50, 100MHz TDD)</t>
        </is>
      </c>
      <c r="Q706" s="27">
        <f>ROUNDUP(O706/'Methodology &amp; Assumptions'!$B$8, 0)</f>
        <v/>
      </c>
      <c r="R706" s="27" t="n">
        <v>1</v>
      </c>
      <c r="S706" s="26" t="n">
        <v>1.12</v>
      </c>
      <c r="T706" s="26" t="n">
        <v>0.31</v>
      </c>
      <c r="U706" s="11">
        <f>IF(S706&lt;='Methodology &amp; Assumptions'!$B$10, "Direct Optical Drop (&lt;3km)", IF(S706&lt;='Methodology &amp; Assumptions'!$B$9, "Near Optical / Microwave (&lt;5km)", "Starlink Business LEO Satellite Backhaul (&gt;5km)"))</f>
        <v/>
      </c>
      <c r="V706" s="26" t="n">
        <v>49.03</v>
      </c>
      <c r="W706" s="26" t="n">
        <v>69.14</v>
      </c>
      <c r="X706" s="26">
        <f>ROUND(('Methodology &amp; Assumptions'!$B$5*V706) + ('Methodology &amp; Assumptions'!$B$6*W706), 2)</f>
        <v/>
      </c>
      <c r="Y706" s="28" t="n">
        <v>10.9</v>
      </c>
      <c r="Z706" s="11" t="inlineStr">
        <is>
          <t>Priority Tier 3 (Broadband Expansion)</t>
        </is>
      </c>
    </row>
    <row r="707">
      <c r="A707" s="23" t="n">
        <v>4</v>
      </c>
      <c r="B707" s="23" t="n">
        <v>703</v>
      </c>
      <c r="C707" s="23" t="n">
        <v>3703</v>
      </c>
      <c r="D707" s="23" t="inlineStr">
        <is>
          <t>1908709023</t>
        </is>
      </c>
      <c r="E707" s="11" t="inlineStr">
        <is>
          <t>Bangsamoro Autonomous Region In Muslim Mindanao (BARMM)</t>
        </is>
      </c>
      <c r="F707" s="11" t="inlineStr">
        <is>
          <t>Maguindanao del Norte</t>
        </is>
      </c>
      <c r="G707" s="11" t="inlineStr">
        <is>
          <t>Parang</t>
        </is>
      </c>
      <c r="H707" s="11" t="inlineStr">
        <is>
          <t>Samberen</t>
        </is>
      </c>
      <c r="I707" s="24" t="n">
        <v>7.338943</v>
      </c>
      <c r="J707" s="24" t="n">
        <v>124.311194</v>
      </c>
      <c r="K707" s="23" t="inlineStr">
        <is>
          <t>R</t>
        </is>
      </c>
      <c r="L707" s="25" t="n">
        <v>2286</v>
      </c>
      <c r="M707" s="26" t="n">
        <v>4.3</v>
      </c>
      <c r="N707" s="25">
        <f>ROUND(L707/M707, 0)</f>
        <v/>
      </c>
      <c r="O707" s="25">
        <f>ROUND(N707*'Methodology &amp; Assumptions'!$B$7, 0)</f>
        <v/>
      </c>
      <c r="P707" s="23" t="inlineStr">
        <is>
          <t>Single Carrier (Band n50, 100MHz TDD)</t>
        </is>
      </c>
      <c r="Q707" s="27">
        <f>ROUNDUP(O707/'Methodology &amp; Assumptions'!$B$8, 0)</f>
        <v/>
      </c>
      <c r="R707" s="27" t="n">
        <v>1</v>
      </c>
      <c r="S707" s="26" t="n">
        <v>55.66</v>
      </c>
      <c r="T707" s="26" t="n">
        <v>51.24</v>
      </c>
      <c r="U707" s="11">
        <f>IF(S707&lt;='Methodology &amp; Assumptions'!$B$10, "Direct Optical Drop (&lt;3km)", IF(S707&lt;='Methodology &amp; Assumptions'!$B$9, "Near Optical / Microwave (&lt;5km)", "Starlink Business LEO Satellite Backhaul (&gt;5km)"))</f>
        <v/>
      </c>
      <c r="V707" s="26" t="n">
        <v>48.19</v>
      </c>
      <c r="W707" s="26" t="n">
        <v>69.98999999999999</v>
      </c>
      <c r="X707" s="26">
        <f>ROUND(('Methodology &amp; Assumptions'!$B$5*V707) + ('Methodology &amp; Assumptions'!$B$6*W707), 2)</f>
        <v/>
      </c>
      <c r="Y707" s="28" t="n">
        <v>11</v>
      </c>
      <c r="Z707" s="11" t="inlineStr">
        <is>
          <t>Priority Tier 3 (Broadband Expansion)</t>
        </is>
      </c>
    </row>
    <row r="708">
      <c r="A708" s="23" t="n">
        <v>4</v>
      </c>
      <c r="B708" s="23" t="n">
        <v>704</v>
      </c>
      <c r="C708" s="23" t="n">
        <v>3704</v>
      </c>
      <c r="D708" s="23" t="inlineStr">
        <is>
          <t>1102501006</t>
        </is>
      </c>
      <c r="E708" s="11" t="inlineStr">
        <is>
          <t>Region XI (Davao Region)</t>
        </is>
      </c>
      <c r="F708" s="11" t="inlineStr">
        <is>
          <t>Davao Oriental</t>
        </is>
      </c>
      <c r="G708" s="11" t="inlineStr">
        <is>
          <t>Baganga</t>
        </is>
      </c>
      <c r="H708" s="11" t="inlineStr">
        <is>
          <t>Bobonao</t>
        </is>
      </c>
      <c r="I708" s="24" t="n">
        <v>7.495746</v>
      </c>
      <c r="J708" s="24" t="n">
        <v>126.447258</v>
      </c>
      <c r="K708" s="23" t="inlineStr">
        <is>
          <t>R</t>
        </is>
      </c>
      <c r="L708" s="25" t="n">
        <v>942</v>
      </c>
      <c r="M708" s="26" t="n">
        <v>3.6</v>
      </c>
      <c r="N708" s="25">
        <f>ROUND(L708/M708, 0)</f>
        <v/>
      </c>
      <c r="O708" s="25">
        <f>ROUND(N708*'Methodology &amp; Assumptions'!$B$7, 0)</f>
        <v/>
      </c>
      <c r="P708" s="23" t="inlineStr">
        <is>
          <t>Single Carrier (Band n50, 100MHz TDD)</t>
        </is>
      </c>
      <c r="Q708" s="27">
        <f>ROUNDUP(O708/'Methodology &amp; Assumptions'!$B$8, 0)</f>
        <v/>
      </c>
      <c r="R708" s="27" t="n">
        <v>1</v>
      </c>
      <c r="S708" s="26" t="n">
        <v>56.72</v>
      </c>
      <c r="T708" s="26" t="n">
        <v>53.86</v>
      </c>
      <c r="U708" s="11">
        <f>IF(S708&lt;='Methodology &amp; Assumptions'!$B$10, "Direct Optical Drop (&lt;3km)", IF(S708&lt;='Methodology &amp; Assumptions'!$B$9, "Near Optical / Microwave (&lt;5km)", "Starlink Business LEO Satellite Backhaul (&gt;5km)"))</f>
        <v/>
      </c>
      <c r="V708" s="26" t="n">
        <v>43.45</v>
      </c>
      <c r="W708" s="26" t="n">
        <v>74.73</v>
      </c>
      <c r="X708" s="26">
        <f>ROUND(('Methodology &amp; Assumptions'!$B$5*V708) + ('Methodology &amp; Assumptions'!$B$6*W708), 2)</f>
        <v/>
      </c>
      <c r="Y708" s="28" t="n">
        <v>17.4</v>
      </c>
      <c r="Z708" s="11" t="inlineStr">
        <is>
          <t>Priority Tier 3 (Broadband Expansion)</t>
        </is>
      </c>
    </row>
    <row r="709">
      <c r="A709" s="23" t="n">
        <v>4</v>
      </c>
      <c r="B709" s="23" t="n">
        <v>705</v>
      </c>
      <c r="C709" s="23" t="n">
        <v>3705</v>
      </c>
      <c r="D709" s="23" t="inlineStr">
        <is>
          <t>1600203024</t>
        </is>
      </c>
      <c r="E709" s="11" t="inlineStr">
        <is>
          <t>Region XIII (Caraga)</t>
        </is>
      </c>
      <c r="F709" s="11" t="inlineStr">
        <is>
          <t>Agusan del Norte</t>
        </is>
      </c>
      <c r="G709" s="11" t="inlineStr">
        <is>
          <t>City of Cabadbaran</t>
        </is>
      </c>
      <c r="H709" s="11" t="inlineStr">
        <is>
          <t>Poblacion 12</t>
        </is>
      </c>
      <c r="I709" s="24" t="n">
        <v>9.119717</v>
      </c>
      <c r="J709" s="24" t="n">
        <v>125.540236</v>
      </c>
      <c r="K709" s="23" t="inlineStr">
        <is>
          <t>R</t>
        </is>
      </c>
      <c r="L709" s="25" t="n">
        <v>2577</v>
      </c>
      <c r="M709" s="26" t="n">
        <v>4.1</v>
      </c>
      <c r="N709" s="25">
        <f>ROUND(L709/M709, 0)</f>
        <v/>
      </c>
      <c r="O709" s="25">
        <f>ROUND(N709*'Methodology &amp; Assumptions'!$B$7, 0)</f>
        <v/>
      </c>
      <c r="P709" s="23" t="inlineStr">
        <is>
          <t>Single Carrier (Band n50, 100MHz TDD)</t>
        </is>
      </c>
      <c r="Q709" s="27">
        <f>ROUNDUP(O709/'Methodology &amp; Assumptions'!$B$8, 0)</f>
        <v/>
      </c>
      <c r="R709" s="27" t="n">
        <v>1</v>
      </c>
      <c r="S709" s="26" t="n">
        <v>0.7</v>
      </c>
      <c r="T709" s="26" t="n">
        <v>0.18</v>
      </c>
      <c r="U709" s="11">
        <f>IF(S709&lt;='Methodology &amp; Assumptions'!$B$10, "Direct Optical Drop (&lt;3km)", IF(S709&lt;='Methodology &amp; Assumptions'!$B$9, "Near Optical / Microwave (&lt;5km)", "Starlink Business LEO Satellite Backhaul (&gt;5km)"))</f>
        <v/>
      </c>
      <c r="V709" s="26" t="n">
        <v>80.16</v>
      </c>
      <c r="W709" s="26" t="n">
        <v>38</v>
      </c>
      <c r="X709" s="26">
        <f>ROUND(('Methodology &amp; Assumptions'!$B$5*V709) + ('Methodology &amp; Assumptions'!$B$6*W709), 2)</f>
        <v/>
      </c>
      <c r="Y709" s="28" t="n">
        <v>17.4</v>
      </c>
      <c r="Z709" s="11" t="inlineStr">
        <is>
          <t>Priority Tier 3 (Broadband Expansion)</t>
        </is>
      </c>
    </row>
    <row r="710">
      <c r="A710" s="23" t="n">
        <v>4</v>
      </c>
      <c r="B710" s="23" t="n">
        <v>706</v>
      </c>
      <c r="C710" s="23" t="n">
        <v>3706</v>
      </c>
      <c r="D710" s="23" t="inlineStr">
        <is>
          <t>0631000077</t>
        </is>
      </c>
      <c r="E710" s="11" t="inlineStr">
        <is>
          <t>Region VI (Western Visayas)</t>
        </is>
      </c>
      <c r="F710" s="11" t="inlineStr">
        <is>
          <t>Iloilo</t>
        </is>
      </c>
      <c r="G710" s="11" t="inlineStr">
        <is>
          <t>City of Iloilo</t>
        </is>
      </c>
      <c r="H710" s="11" t="inlineStr">
        <is>
          <t>Jereos</t>
        </is>
      </c>
      <c r="I710" s="24" t="n">
        <v>10.92438</v>
      </c>
      <c r="J710" s="24" t="n">
        <v>122.558213</v>
      </c>
      <c r="K710" s="23" t="inlineStr">
        <is>
          <t>U</t>
        </is>
      </c>
      <c r="L710" s="25" t="n">
        <v>3635</v>
      </c>
      <c r="M710" s="26" t="n">
        <v>4.2</v>
      </c>
      <c r="N710" s="25">
        <f>ROUND(L710/M710, 0)</f>
        <v/>
      </c>
      <c r="O710" s="25">
        <f>ROUND(N710*'Methodology &amp; Assumptions'!$B$7, 0)</f>
        <v/>
      </c>
      <c r="P710" s="23" t="inlineStr">
        <is>
          <t>Single Carrier (Band n50, 100MHz TDD)</t>
        </is>
      </c>
      <c r="Q710" s="27">
        <f>ROUNDUP(O710/'Methodology &amp; Assumptions'!$B$8, 0)</f>
        <v/>
      </c>
      <c r="R710" s="27" t="n">
        <v>1</v>
      </c>
      <c r="S710" s="26" t="n">
        <v>0.97</v>
      </c>
      <c r="T710" s="26" t="n">
        <v>0.96</v>
      </c>
      <c r="U710" s="11">
        <f>IF(S710&lt;='Methodology &amp; Assumptions'!$B$10, "Direct Optical Drop (&lt;3km)", IF(S710&lt;='Methodology &amp; Assumptions'!$B$9, "Near Optical / Microwave (&lt;5km)", "Starlink Business LEO Satellite Backhaul (&gt;5km)"))</f>
        <v/>
      </c>
      <c r="V710" s="26" t="n">
        <v>80.09999999999999</v>
      </c>
      <c r="W710" s="26" t="n">
        <v>38.05</v>
      </c>
      <c r="X710" s="26">
        <f>ROUND(('Methodology &amp; Assumptions'!$B$5*V710) + ('Methodology &amp; Assumptions'!$B$6*W710), 2)</f>
        <v/>
      </c>
      <c r="Y710" s="28" t="n">
        <v>23.7</v>
      </c>
      <c r="Z710" s="11" t="inlineStr">
        <is>
          <t>Priority Tier 3 (Broadband Expansion)</t>
        </is>
      </c>
    </row>
    <row r="711">
      <c r="A711" s="23" t="n">
        <v>4</v>
      </c>
      <c r="B711" s="23" t="n">
        <v>707</v>
      </c>
      <c r="C711" s="23" t="n">
        <v>3707</v>
      </c>
      <c r="D711" s="23" t="inlineStr">
        <is>
          <t>1102303007</t>
        </is>
      </c>
      <c r="E711" s="11" t="inlineStr">
        <is>
          <t>Region XI (Davao Region)</t>
        </is>
      </c>
      <c r="F711" s="11" t="inlineStr">
        <is>
          <t>Davao del Norte</t>
        </is>
      </c>
      <c r="G711" s="11" t="inlineStr">
        <is>
          <t>Carmen</t>
        </is>
      </c>
      <c r="H711" s="11" t="inlineStr">
        <is>
          <t>Ising</t>
        </is>
      </c>
      <c r="I711" s="24" t="n">
        <v>7.35754</v>
      </c>
      <c r="J711" s="24" t="n">
        <v>125.70212</v>
      </c>
      <c r="K711" s="23" t="inlineStr">
        <is>
          <t>U</t>
        </is>
      </c>
      <c r="L711" s="25" t="n">
        <v>14442</v>
      </c>
      <c r="M711" s="26" t="n">
        <v>3.7</v>
      </c>
      <c r="N711" s="25">
        <f>ROUND(L711/M711, 0)</f>
        <v/>
      </c>
      <c r="O711" s="25">
        <f>ROUND(N711*'Methodology &amp; Assumptions'!$B$7, 0)</f>
        <v/>
      </c>
      <c r="P711" s="23" t="inlineStr">
        <is>
          <t>Single Carrier (Band n50, 100MHz TDD)</t>
        </is>
      </c>
      <c r="Q711" s="27">
        <f>ROUNDUP(O711/'Methodology &amp; Assumptions'!$B$8, 0)</f>
        <v/>
      </c>
      <c r="R711" s="27" t="n">
        <v>1</v>
      </c>
      <c r="S711" s="26" t="n">
        <v>0.8</v>
      </c>
      <c r="T711" s="26" t="n">
        <v>0.34</v>
      </c>
      <c r="U711" s="11">
        <f>IF(S711&lt;='Methodology &amp; Assumptions'!$B$10, "Direct Optical Drop (&lt;3km)", IF(S711&lt;='Methodology &amp; Assumptions'!$B$9, "Near Optical / Microwave (&lt;5km)", "Starlink Business LEO Satellite Backhaul (&gt;5km)"))</f>
        <v/>
      </c>
      <c r="V711" s="26" t="n">
        <v>79.87</v>
      </c>
      <c r="W711" s="26" t="n">
        <v>38.3</v>
      </c>
      <c r="X711" s="26">
        <f>ROUND(('Methodology &amp; Assumptions'!$B$5*V711) + ('Methodology &amp; Assumptions'!$B$6*W711), 2)</f>
        <v/>
      </c>
      <c r="Y711" s="28" t="n">
        <v>17.4</v>
      </c>
      <c r="Z711" s="11" t="inlineStr">
        <is>
          <t>Priority Tier 3 (Broadband Expansion)</t>
        </is>
      </c>
    </row>
    <row r="712">
      <c r="A712" s="23" t="n">
        <v>4</v>
      </c>
      <c r="B712" s="23" t="n">
        <v>708</v>
      </c>
      <c r="C712" s="23" t="n">
        <v>3708</v>
      </c>
      <c r="D712" s="23" t="inlineStr">
        <is>
          <t>0304930008</t>
        </is>
      </c>
      <c r="E712" s="11" t="inlineStr">
        <is>
          <t>Region III (Central Luzon)</t>
        </is>
      </c>
      <c r="F712" s="11" t="inlineStr">
        <is>
          <t>Nueva Ecija</t>
        </is>
      </c>
      <c r="G712" s="11" t="inlineStr">
        <is>
          <t>Talavera</t>
        </is>
      </c>
      <c r="H712" s="11" t="inlineStr">
        <is>
          <t>Baluga</t>
        </is>
      </c>
      <c r="I712" s="24" t="n">
        <v>15.55967</v>
      </c>
      <c r="J712" s="24" t="n">
        <v>120.915507</v>
      </c>
      <c r="K712" s="23" t="inlineStr">
        <is>
          <t>R</t>
        </is>
      </c>
      <c r="L712" s="25" t="n">
        <v>2986</v>
      </c>
      <c r="M712" s="26" t="n">
        <v>3.5</v>
      </c>
      <c r="N712" s="25">
        <f>ROUND(L712/M712, 0)</f>
        <v/>
      </c>
      <c r="O712" s="25">
        <f>ROUND(N712*'Methodology &amp; Assumptions'!$B$7, 0)</f>
        <v/>
      </c>
      <c r="P712" s="23" t="inlineStr">
        <is>
          <t>Single Carrier (Band n50, 100MHz TDD)</t>
        </is>
      </c>
      <c r="Q712" s="27">
        <f>ROUNDUP(O712/'Methodology &amp; Assumptions'!$B$8, 0)</f>
        <v/>
      </c>
      <c r="R712" s="27" t="n">
        <v>1</v>
      </c>
      <c r="S712" s="26" t="n">
        <v>2.51</v>
      </c>
      <c r="T712" s="26" t="n">
        <v>1</v>
      </c>
      <c r="U712" s="11">
        <f>IF(S712&lt;='Methodology &amp; Assumptions'!$B$10, "Direct Optical Drop (&lt;3km)", IF(S712&lt;='Methodology &amp; Assumptions'!$B$9, "Near Optical / Microwave (&lt;5km)", "Starlink Business LEO Satellite Backhaul (&gt;5km)"))</f>
        <v/>
      </c>
      <c r="V712" s="26" t="n">
        <v>79.7</v>
      </c>
      <c r="W712" s="26" t="n">
        <v>38.46</v>
      </c>
      <c r="X712" s="26">
        <f>ROUND(('Methodology &amp; Assumptions'!$B$5*V712) + ('Methodology &amp; Assumptions'!$B$6*W712), 2)</f>
        <v/>
      </c>
      <c r="Y712" s="28" t="n">
        <v>8.300000000000001</v>
      </c>
      <c r="Z712" s="11" t="inlineStr">
        <is>
          <t>Priority Tier 3 (Broadband Expansion)</t>
        </is>
      </c>
    </row>
    <row r="713">
      <c r="A713" s="23" t="n">
        <v>4</v>
      </c>
      <c r="B713" s="23" t="n">
        <v>709</v>
      </c>
      <c r="C713" s="23" t="n">
        <v>3709</v>
      </c>
      <c r="D713" s="23" t="inlineStr">
        <is>
          <t>0307114003</t>
        </is>
      </c>
      <c r="E713" s="11" t="inlineStr">
        <is>
          <t>Region III (Central Luzon)</t>
        </is>
      </c>
      <c r="F713" s="11" t="inlineStr">
        <is>
          <t>Zambales</t>
        </is>
      </c>
      <c r="G713" s="11" t="inlineStr">
        <is>
          <t>Subic</t>
        </is>
      </c>
      <c r="H713" s="11" t="inlineStr">
        <is>
          <t>Asinan Proper</t>
        </is>
      </c>
      <c r="I713" s="24" t="n">
        <v>14.882136</v>
      </c>
      <c r="J713" s="24" t="n">
        <v>120.229614</v>
      </c>
      <c r="K713" s="23" t="inlineStr">
        <is>
          <t>U</t>
        </is>
      </c>
      <c r="L713" s="25" t="n">
        <v>9489</v>
      </c>
      <c r="M713" s="26" t="n">
        <v>3.8</v>
      </c>
      <c r="N713" s="25">
        <f>ROUND(L713/M713, 0)</f>
        <v/>
      </c>
      <c r="O713" s="25">
        <f>ROUND(N713*'Methodology &amp; Assumptions'!$B$7, 0)</f>
        <v/>
      </c>
      <c r="P713" s="23" t="inlineStr">
        <is>
          <t>Single Carrier (Band n50, 100MHz TDD)</t>
        </is>
      </c>
      <c r="Q713" s="27">
        <f>ROUNDUP(O713/'Methodology &amp; Assumptions'!$B$8, 0)</f>
        <v/>
      </c>
      <c r="R713" s="27" t="n">
        <v>1</v>
      </c>
      <c r="S713" s="26" t="n">
        <v>1.17</v>
      </c>
      <c r="T713" s="26" t="n">
        <v>0.59</v>
      </c>
      <c r="U713" s="11">
        <f>IF(S713&lt;='Methodology &amp; Assumptions'!$B$10, "Direct Optical Drop (&lt;3km)", IF(S713&lt;='Methodology &amp; Assumptions'!$B$9, "Near Optical / Microwave (&lt;5km)", "Starlink Business LEO Satellite Backhaul (&gt;5km)"))</f>
        <v/>
      </c>
      <c r="V713" s="26" t="n">
        <v>77.17</v>
      </c>
      <c r="W713" s="26" t="n">
        <v>40.99</v>
      </c>
      <c r="X713" s="26">
        <f>ROUND(('Methodology &amp; Assumptions'!$B$5*V713) + ('Methodology &amp; Assumptions'!$B$6*W713), 2)</f>
        <v/>
      </c>
      <c r="Y713" s="28" t="n">
        <v>8.300000000000001</v>
      </c>
      <c r="Z713" s="11" t="inlineStr">
        <is>
          <t>Priority Tier 3 (Broadband Expansion)</t>
        </is>
      </c>
    </row>
    <row r="714">
      <c r="A714" s="23" t="n">
        <v>4</v>
      </c>
      <c r="B714" s="23" t="n">
        <v>710</v>
      </c>
      <c r="C714" s="23" t="n">
        <v>3710</v>
      </c>
      <c r="D714" s="23" t="inlineStr">
        <is>
          <t>1908804004</t>
        </is>
      </c>
      <c r="E714" s="11" t="inlineStr">
        <is>
          <t>Bangsamoro Autonomous Region In Muslim Mindanao (BARMM)</t>
        </is>
      </c>
      <c r="F714" s="11" t="inlineStr">
        <is>
          <t>Maguindanao del Sur</t>
        </is>
      </c>
      <c r="G714" s="11" t="inlineStr">
        <is>
          <t>Datu Anggal Midtimbang</t>
        </is>
      </c>
      <c r="H714" s="11" t="inlineStr">
        <is>
          <t>Midtimbang</t>
        </is>
      </c>
      <c r="I714" s="24" t="n">
        <v>6.988072</v>
      </c>
      <c r="J714" s="24" t="n">
        <v>124.333812</v>
      </c>
      <c r="K714" s="23" t="inlineStr">
        <is>
          <t>R</t>
        </is>
      </c>
      <c r="L714" s="25" t="n">
        <v>4384</v>
      </c>
      <c r="M714" s="26" t="n">
        <v>4.7</v>
      </c>
      <c r="N714" s="25">
        <f>ROUND(L714/M714, 0)</f>
        <v/>
      </c>
      <c r="O714" s="25">
        <f>ROUND(N714*'Methodology &amp; Assumptions'!$B$7, 0)</f>
        <v/>
      </c>
      <c r="P714" s="23" t="inlineStr">
        <is>
          <t>Single Carrier (Band n50, 100MHz TDD)</t>
        </is>
      </c>
      <c r="Q714" s="27">
        <f>ROUNDUP(O714/'Methodology &amp; Assumptions'!$B$8, 0)</f>
        <v/>
      </c>
      <c r="R714" s="27" t="n">
        <v>1</v>
      </c>
      <c r="S714" s="26" t="n">
        <v>50.08</v>
      </c>
      <c r="T714" s="26" t="n">
        <v>50.01</v>
      </c>
      <c r="U714" s="11">
        <f>IF(S714&lt;='Methodology &amp; Assumptions'!$B$10, "Direct Optical Drop (&lt;3km)", IF(S714&lt;='Methodology &amp; Assumptions'!$B$9, "Near Optical / Microwave (&lt;5km)", "Starlink Business LEO Satellite Backhaul (&gt;5km)"))</f>
        <v/>
      </c>
      <c r="V714" s="26" t="n">
        <v>59.06</v>
      </c>
      <c r="W714" s="26" t="n">
        <v>59.1</v>
      </c>
      <c r="X714" s="26">
        <f>ROUND(('Methodology &amp; Assumptions'!$B$5*V714) + ('Methodology &amp; Assumptions'!$B$6*W714), 2)</f>
        <v/>
      </c>
      <c r="Y714" s="28" t="n">
        <v>11</v>
      </c>
      <c r="Z714" s="11" t="inlineStr">
        <is>
          <t>Priority Tier 3 (Broadband Expansion)</t>
        </is>
      </c>
    </row>
    <row r="715">
      <c r="A715" s="23" t="n">
        <v>4</v>
      </c>
      <c r="B715" s="23" t="n">
        <v>711</v>
      </c>
      <c r="C715" s="23" t="n">
        <v>3711</v>
      </c>
      <c r="D715" s="23" t="inlineStr">
        <is>
          <t>1380606166</t>
        </is>
      </c>
      <c r="E715" s="11" t="inlineStr">
        <is>
          <t>National Capital Region (NCR)</t>
        </is>
      </c>
      <c r="F715" s="11" t="inlineStr">
        <is>
          <t>First District (Not a Province)</t>
        </is>
      </c>
      <c r="G715" s="11" t="inlineStr">
        <is>
          <t>City of Manila</t>
        </is>
      </c>
      <c r="H715" s="11" t="inlineStr">
        <is>
          <t>Barangay 560</t>
        </is>
      </c>
      <c r="I715" s="24" t="n">
        <v>14.610022</v>
      </c>
      <c r="J715" s="24" t="n">
        <v>121.009634</v>
      </c>
      <c r="K715" s="23" t="inlineStr">
        <is>
          <t>U</t>
        </is>
      </c>
      <c r="L715" s="25" t="n">
        <v>1133</v>
      </c>
      <c r="M715" s="26" t="n">
        <v>4.44</v>
      </c>
      <c r="N715" s="25">
        <f>ROUND(L715/M715, 0)</f>
        <v/>
      </c>
      <c r="O715" s="25">
        <f>ROUND(N715*'Methodology &amp; Assumptions'!$B$7, 0)</f>
        <v/>
      </c>
      <c r="P715" s="23" t="inlineStr">
        <is>
          <t>Single Carrier (Band n50, 100MHz TDD)</t>
        </is>
      </c>
      <c r="Q715" s="27">
        <f>ROUNDUP(O715/'Methodology &amp; Assumptions'!$B$8, 0)</f>
        <v/>
      </c>
      <c r="R715" s="27" t="n">
        <v>1</v>
      </c>
      <c r="S715" s="26" t="n">
        <v>0.64</v>
      </c>
      <c r="T715" s="26" t="n">
        <v>0.4</v>
      </c>
      <c r="U715" s="11">
        <f>IF(S715&lt;='Methodology &amp; Assumptions'!$B$10, "Direct Optical Drop (&lt;3km)", IF(S715&lt;='Methodology &amp; Assumptions'!$B$9, "Near Optical / Microwave (&lt;5km)", "Starlink Business LEO Satellite Backhaul (&gt;5km)"))</f>
        <v/>
      </c>
      <c r="V715" s="26" t="n">
        <v>49.23</v>
      </c>
      <c r="W715" s="26" t="n">
        <v>68.93000000000001</v>
      </c>
      <c r="X715" s="26">
        <f>ROUND(('Methodology &amp; Assumptions'!$B$5*V715) + ('Methodology &amp; Assumptions'!$B$6*W715), 2)</f>
        <v/>
      </c>
      <c r="Y715" s="28" t="n">
        <v>10.9</v>
      </c>
      <c r="Z715" s="11" t="inlineStr">
        <is>
          <t>Priority Tier 3 (Broadband Expansion)</t>
        </is>
      </c>
    </row>
    <row r="716">
      <c r="A716" s="23" t="n">
        <v>4</v>
      </c>
      <c r="B716" s="23" t="n">
        <v>712</v>
      </c>
      <c r="C716" s="23" t="n">
        <v>3712</v>
      </c>
      <c r="D716" s="23" t="inlineStr">
        <is>
          <t>1380608013</t>
        </is>
      </c>
      <c r="E716" s="11" t="inlineStr">
        <is>
          <t>National Capital Region (NCR)</t>
        </is>
      </c>
      <c r="F716" s="11" t="inlineStr">
        <is>
          <t>First District (Not a Province)</t>
        </is>
      </c>
      <c r="G716" s="11" t="inlineStr">
        <is>
          <t>City of Manila</t>
        </is>
      </c>
      <c r="H716" s="11" t="inlineStr">
        <is>
          <t>Barangay 663</t>
        </is>
      </c>
      <c r="I716" s="24" t="n">
        <v>14.58991</v>
      </c>
      <c r="J716" s="24" t="n">
        <v>120.9856</v>
      </c>
      <c r="K716" s="23" t="inlineStr">
        <is>
          <t>U</t>
        </is>
      </c>
      <c r="L716" s="25" t="n">
        <v>704</v>
      </c>
      <c r="M716" s="26" t="n">
        <v>3.5</v>
      </c>
      <c r="N716" s="25">
        <f>ROUND(L716/M716, 0)</f>
        <v/>
      </c>
      <c r="O716" s="25">
        <f>ROUND(N716*'Methodology &amp; Assumptions'!$B$7, 0)</f>
        <v/>
      </c>
      <c r="P716" s="23" t="inlineStr">
        <is>
          <t>Single Carrier (Band n50, 100MHz TDD)</t>
        </is>
      </c>
      <c r="Q716" s="27">
        <f>ROUNDUP(O716/'Methodology &amp; Assumptions'!$B$8, 0)</f>
        <v/>
      </c>
      <c r="R716" s="27" t="n">
        <v>1</v>
      </c>
      <c r="S716" s="26" t="n">
        <v>0.16</v>
      </c>
      <c r="T716" s="26" t="n">
        <v>0.05</v>
      </c>
      <c r="U716" s="11">
        <f>IF(S716&lt;='Methodology &amp; Assumptions'!$B$10, "Direct Optical Drop (&lt;3km)", IF(S716&lt;='Methodology &amp; Assumptions'!$B$9, "Near Optical / Microwave (&lt;5km)", "Starlink Business LEO Satellite Backhaul (&gt;5km)"))</f>
        <v/>
      </c>
      <c r="V716" s="26" t="n">
        <v>47.52</v>
      </c>
      <c r="W716" s="26" t="n">
        <v>70.64</v>
      </c>
      <c r="X716" s="26">
        <f>ROUND(('Methodology &amp; Assumptions'!$B$5*V716) + ('Methodology &amp; Assumptions'!$B$6*W716), 2)</f>
        <v/>
      </c>
      <c r="Y716" s="28" t="n">
        <v>10.9</v>
      </c>
      <c r="Z716" s="11" t="inlineStr">
        <is>
          <t>Priority Tier 3 (Broadband Expansion)</t>
        </is>
      </c>
    </row>
    <row r="717">
      <c r="A717" s="23" t="n">
        <v>4</v>
      </c>
      <c r="B717" s="23" t="n">
        <v>713</v>
      </c>
      <c r="C717" s="23" t="n">
        <v>3713</v>
      </c>
      <c r="D717" s="23" t="inlineStr">
        <is>
          <t>0500514031</t>
        </is>
      </c>
      <c r="E717" s="11" t="inlineStr">
        <is>
          <t>Region V (Bicol Region)</t>
        </is>
      </c>
      <c r="F717" s="11" t="inlineStr">
        <is>
          <t>Albay</t>
        </is>
      </c>
      <c r="G717" s="11" t="inlineStr">
        <is>
          <t>Polangui</t>
        </is>
      </c>
      <c r="H717" s="11" t="inlineStr">
        <is>
          <t>Magurang</t>
        </is>
      </c>
      <c r="I717" s="24" t="n">
        <v>13.291286</v>
      </c>
      <c r="J717" s="24" t="n">
        <v>123.497227</v>
      </c>
      <c r="K717" s="23" t="inlineStr">
        <is>
          <t>R</t>
        </is>
      </c>
      <c r="L717" s="25" t="n">
        <v>3793</v>
      </c>
      <c r="M717" s="26" t="n">
        <v>4.1</v>
      </c>
      <c r="N717" s="25">
        <f>ROUND(L717/M717, 0)</f>
        <v/>
      </c>
      <c r="O717" s="25">
        <f>ROUND(N717*'Methodology &amp; Assumptions'!$B$7, 0)</f>
        <v/>
      </c>
      <c r="P717" s="23" t="inlineStr">
        <is>
          <t>Single Carrier (Band n50, 100MHz TDD)</t>
        </is>
      </c>
      <c r="Q717" s="27">
        <f>ROUNDUP(O717/'Methodology &amp; Assumptions'!$B$8, 0)</f>
        <v/>
      </c>
      <c r="R717" s="27" t="n">
        <v>1</v>
      </c>
      <c r="S717" s="26" t="n">
        <v>1.52</v>
      </c>
      <c r="T717" s="26" t="n">
        <v>0.08</v>
      </c>
      <c r="U717" s="11">
        <f>IF(S717&lt;='Methodology &amp; Assumptions'!$B$10, "Direct Optical Drop (&lt;3km)", IF(S717&lt;='Methodology &amp; Assumptions'!$B$9, "Near Optical / Microwave (&lt;5km)", "Starlink Business LEO Satellite Backhaul (&gt;5km)"))</f>
        <v/>
      </c>
      <c r="V717" s="26" t="n">
        <v>85.51000000000001</v>
      </c>
      <c r="W717" s="26" t="n">
        <v>32.64</v>
      </c>
      <c r="X717" s="26">
        <f>ROUND(('Methodology &amp; Assumptions'!$B$5*V717) + ('Methodology &amp; Assumptions'!$B$6*W717), 2)</f>
        <v/>
      </c>
      <c r="Y717" s="28" t="n">
        <v>23.7</v>
      </c>
      <c r="Z717" s="11" t="inlineStr">
        <is>
          <t>Priority Tier 3 (Broadband Expansion)</t>
        </is>
      </c>
    </row>
    <row r="718">
      <c r="A718" s="23" t="n">
        <v>4</v>
      </c>
      <c r="B718" s="23" t="n">
        <v>714</v>
      </c>
      <c r="C718" s="23" t="n">
        <v>3714</v>
      </c>
      <c r="D718" s="23" t="inlineStr">
        <is>
          <t>1401110005</t>
        </is>
      </c>
      <c r="E718" s="11" t="inlineStr">
        <is>
          <t>Cordillera Administrative Region (CAR)</t>
        </is>
      </c>
      <c r="F718" s="11" t="inlineStr">
        <is>
          <t>Benguet</t>
        </is>
      </c>
      <c r="G718" s="11" t="inlineStr">
        <is>
          <t>La Trinidad</t>
        </is>
      </c>
      <c r="H718" s="11" t="inlineStr">
        <is>
          <t>Balili</t>
        </is>
      </c>
      <c r="I718" s="24" t="n">
        <v>16.45034</v>
      </c>
      <c r="J718" s="24" t="n">
        <v>120.59195</v>
      </c>
      <c r="K718" s="23" t="inlineStr">
        <is>
          <t>U</t>
        </is>
      </c>
      <c r="L718" s="25" t="n">
        <v>18238</v>
      </c>
      <c r="M718" s="26" t="n">
        <v>3.5</v>
      </c>
      <c r="N718" s="25">
        <f>ROUND(L718/M718, 0)</f>
        <v/>
      </c>
      <c r="O718" s="25">
        <f>ROUND(N718*'Methodology &amp; Assumptions'!$B$7, 0)</f>
        <v/>
      </c>
      <c r="P718" s="23" t="inlineStr">
        <is>
          <t>Single Carrier (Band n50, 100MHz TDD)</t>
        </is>
      </c>
      <c r="Q718" s="27">
        <f>ROUNDUP(O718/'Methodology &amp; Assumptions'!$B$8, 0)</f>
        <v/>
      </c>
      <c r="R718" s="27" t="n">
        <v>1</v>
      </c>
      <c r="S718" s="26" t="n">
        <v>0.52</v>
      </c>
      <c r="T718" s="26" t="n">
        <v>0.33</v>
      </c>
      <c r="U718" s="11">
        <f>IF(S718&lt;='Methodology &amp; Assumptions'!$B$10, "Direct Optical Drop (&lt;3km)", IF(S718&lt;='Methodology &amp; Assumptions'!$B$9, "Near Optical / Microwave (&lt;5km)", "Starlink Business LEO Satellite Backhaul (&gt;5km)"))</f>
        <v/>
      </c>
      <c r="V718" s="26" t="n">
        <v>78.3</v>
      </c>
      <c r="W718" s="26" t="n">
        <v>39.84</v>
      </c>
      <c r="X718" s="26">
        <f>ROUND(('Methodology &amp; Assumptions'!$B$5*V718) + ('Methodology &amp; Assumptions'!$B$6*W718), 2)</f>
        <v/>
      </c>
      <c r="Y718" s="28" t="n">
        <v>10.9</v>
      </c>
      <c r="Z718" s="11" t="inlineStr">
        <is>
          <t>Priority Tier 3 (Broadband Expansion)</t>
        </is>
      </c>
    </row>
    <row r="719">
      <c r="A719" s="23" t="n">
        <v>4</v>
      </c>
      <c r="B719" s="23" t="n">
        <v>715</v>
      </c>
      <c r="C719" s="23" t="n">
        <v>3715</v>
      </c>
      <c r="D719" s="23" t="inlineStr">
        <is>
          <t>0403403009</t>
        </is>
      </c>
      <c r="E719" s="11" t="inlineStr">
        <is>
          <t>Region IV-A (CALABARZON)</t>
        </is>
      </c>
      <c r="F719" s="11" t="inlineStr">
        <is>
          <t>Laguna</t>
        </is>
      </c>
      <c r="G719" s="11" t="inlineStr">
        <is>
          <t>City of Biñan</t>
        </is>
      </c>
      <c r="H719" s="11" t="inlineStr">
        <is>
          <t>Langkiwa</t>
        </is>
      </c>
      <c r="I719" s="24" t="n">
        <v>14.299783</v>
      </c>
      <c r="J719" s="24" t="n">
        <v>121.059181</v>
      </c>
      <c r="K719" s="23" t="inlineStr">
        <is>
          <t>U</t>
        </is>
      </c>
      <c r="L719" s="25" t="n">
        <v>43327</v>
      </c>
      <c r="M719" s="26" t="n">
        <v>3.3</v>
      </c>
      <c r="N719" s="25">
        <f>ROUND(L719/M719, 0)</f>
        <v/>
      </c>
      <c r="O719" s="25">
        <f>ROUND(N719*'Methodology &amp; Assumptions'!$B$7, 0)</f>
        <v/>
      </c>
      <c r="P719" s="23" t="inlineStr">
        <is>
          <t>Single Carrier (Band n50, 100MHz TDD)</t>
        </is>
      </c>
      <c r="Q719" s="27">
        <f>ROUNDUP(O719/'Methodology &amp; Assumptions'!$B$8, 0)</f>
        <v/>
      </c>
      <c r="R719" s="27" t="n">
        <v>1</v>
      </c>
      <c r="S719" s="26" t="n">
        <v>0.52</v>
      </c>
      <c r="T719" s="26" t="n">
        <v>1.41</v>
      </c>
      <c r="U719" s="11">
        <f>IF(S719&lt;='Methodology &amp; Assumptions'!$B$10, "Direct Optical Drop (&lt;3km)", IF(S719&lt;='Methodology &amp; Assumptions'!$B$9, "Near Optical / Microwave (&lt;5km)", "Starlink Business LEO Satellite Backhaul (&gt;5km)"))</f>
        <v/>
      </c>
      <c r="V719" s="26" t="n">
        <v>76.95</v>
      </c>
      <c r="W719" s="26" t="n">
        <v>41.18</v>
      </c>
      <c r="X719" s="26">
        <f>ROUND(('Methodology &amp; Assumptions'!$B$5*V719) + ('Methodology &amp; Assumptions'!$B$6*W719), 2)</f>
        <v/>
      </c>
      <c r="Y719" s="28" t="n">
        <v>7.2</v>
      </c>
      <c r="Z719" s="11" t="inlineStr">
        <is>
          <t>Priority Tier 3 (Broadband Expansion)</t>
        </is>
      </c>
    </row>
    <row r="720">
      <c r="A720" s="23" t="n">
        <v>4</v>
      </c>
      <c r="B720" s="23" t="n">
        <v>716</v>
      </c>
      <c r="C720" s="23" t="n">
        <v>3716</v>
      </c>
      <c r="D720" s="23" t="inlineStr">
        <is>
          <t>1380601200</t>
        </is>
      </c>
      <c r="E720" s="11" t="inlineStr">
        <is>
          <t>National Capital Region (NCR)</t>
        </is>
      </c>
      <c r="F720" s="11" t="inlineStr">
        <is>
          <t>First District (Not a Province)</t>
        </is>
      </c>
      <c r="G720" s="11" t="inlineStr">
        <is>
          <t>City of Manila</t>
        </is>
      </c>
      <c r="H720" s="11" t="inlineStr">
        <is>
          <t>Barangay 200</t>
        </is>
      </c>
      <c r="I720" s="24" t="n">
        <v>14.633952</v>
      </c>
      <c r="J720" s="24" t="n">
        <v>120.977618</v>
      </c>
      <c r="K720" s="23" t="inlineStr">
        <is>
          <t>U</t>
        </is>
      </c>
      <c r="L720" s="25" t="n">
        <v>757</v>
      </c>
      <c r="M720" s="26" t="n">
        <v>3.22</v>
      </c>
      <c r="N720" s="25">
        <f>ROUND(L720/M720, 0)</f>
        <v/>
      </c>
      <c r="O720" s="25">
        <f>ROUND(N720*'Methodology &amp; Assumptions'!$B$7, 0)</f>
        <v/>
      </c>
      <c r="P720" s="23" t="inlineStr">
        <is>
          <t>Single Carrier (Band n50, 100MHz TDD)</t>
        </is>
      </c>
      <c r="Q720" s="27">
        <f>ROUNDUP(O720/'Methodology &amp; Assumptions'!$B$8, 0)</f>
        <v/>
      </c>
      <c r="R720" s="27" t="n">
        <v>1</v>
      </c>
      <c r="S720" s="26" t="n">
        <v>0.91</v>
      </c>
      <c r="T720" s="26" t="n">
        <v>0.41</v>
      </c>
      <c r="U720" s="11">
        <f>IF(S720&lt;='Methodology &amp; Assumptions'!$B$10, "Direct Optical Drop (&lt;3km)", IF(S720&lt;='Methodology &amp; Assumptions'!$B$9, "Near Optical / Microwave (&lt;5km)", "Starlink Business LEO Satellite Backhaul (&gt;5km)"))</f>
        <v/>
      </c>
      <c r="V720" s="26" t="n">
        <v>48.31</v>
      </c>
      <c r="W720" s="26" t="n">
        <v>69.83</v>
      </c>
      <c r="X720" s="26">
        <f>ROUND(('Methodology &amp; Assumptions'!$B$5*V720) + ('Methodology &amp; Assumptions'!$B$6*W720), 2)</f>
        <v/>
      </c>
      <c r="Y720" s="28" t="n">
        <v>10.9</v>
      </c>
      <c r="Z720" s="11" t="inlineStr">
        <is>
          <t>Priority Tier 3 (Broadband Expansion)</t>
        </is>
      </c>
    </row>
    <row r="721">
      <c r="A721" s="23" t="n">
        <v>4</v>
      </c>
      <c r="B721" s="23" t="n">
        <v>717</v>
      </c>
      <c r="C721" s="23" t="n">
        <v>3717</v>
      </c>
      <c r="D721" s="23" t="inlineStr">
        <is>
          <t>0401019042</t>
        </is>
      </c>
      <c r="E721" s="11" t="inlineStr">
        <is>
          <t>Region IV-A (CALABARZON)</t>
        </is>
      </c>
      <c r="F721" s="11" t="inlineStr">
        <is>
          <t>Batangas</t>
        </is>
      </c>
      <c r="G721" s="11" t="inlineStr">
        <is>
          <t>Nasugbu</t>
        </is>
      </c>
      <c r="H721" s="11" t="inlineStr">
        <is>
          <t>Putat</t>
        </is>
      </c>
      <c r="I721" s="24" t="n">
        <v>14.084174</v>
      </c>
      <c r="J721" s="24" t="n">
        <v>120.648751</v>
      </c>
      <c r="K721" s="23" t="inlineStr">
        <is>
          <t>R</t>
        </is>
      </c>
      <c r="L721" s="25" t="n">
        <v>3688</v>
      </c>
      <c r="M721" s="26" t="n">
        <v>3.6</v>
      </c>
      <c r="N721" s="25">
        <f>ROUND(L721/M721, 0)</f>
        <v/>
      </c>
      <c r="O721" s="25">
        <f>ROUND(N721*'Methodology &amp; Assumptions'!$B$7, 0)</f>
        <v/>
      </c>
      <c r="P721" s="23" t="inlineStr">
        <is>
          <t>Single Carrier (Band n50, 100MHz TDD)</t>
        </is>
      </c>
      <c r="Q721" s="27">
        <f>ROUNDUP(O721/'Methodology &amp; Assumptions'!$B$8, 0)</f>
        <v/>
      </c>
      <c r="R721" s="27" t="n">
        <v>1</v>
      </c>
      <c r="S721" s="26" t="n">
        <v>2.18</v>
      </c>
      <c r="T721" s="26" t="n">
        <v>1.16</v>
      </c>
      <c r="U721" s="11">
        <f>IF(S721&lt;='Methodology &amp; Assumptions'!$B$10, "Direct Optical Drop (&lt;3km)", IF(S721&lt;='Methodology &amp; Assumptions'!$B$9, "Near Optical / Microwave (&lt;5km)", "Starlink Business LEO Satellite Backhaul (&gt;5km)"))</f>
        <v/>
      </c>
      <c r="V721" s="26" t="n">
        <v>80.62</v>
      </c>
      <c r="W721" s="26" t="n">
        <v>37.51</v>
      </c>
      <c r="X721" s="26">
        <f>ROUND(('Methodology &amp; Assumptions'!$B$5*V721) + ('Methodology &amp; Assumptions'!$B$6*W721), 2)</f>
        <v/>
      </c>
      <c r="Y721" s="28" t="n">
        <v>7.2</v>
      </c>
      <c r="Z721" s="11" t="inlineStr">
        <is>
          <t>Priority Tier 3 (Broadband Expansion)</t>
        </is>
      </c>
    </row>
    <row r="722">
      <c r="A722" s="23" t="n">
        <v>4</v>
      </c>
      <c r="B722" s="23" t="n">
        <v>718</v>
      </c>
      <c r="C722" s="23" t="n">
        <v>3718</v>
      </c>
      <c r="D722" s="23" t="inlineStr">
        <is>
          <t>0300806015</t>
        </is>
      </c>
      <c r="E722" s="11" t="inlineStr">
        <is>
          <t>Region III (Central Luzon)</t>
        </is>
      </c>
      <c r="F722" s="11" t="inlineStr">
        <is>
          <t>Bataan</t>
        </is>
      </c>
      <c r="G722" s="11" t="inlineStr">
        <is>
          <t>Limay</t>
        </is>
      </c>
      <c r="H722" s="11" t="inlineStr">
        <is>
          <t>St. Francis II</t>
        </is>
      </c>
      <c r="I722" s="24" t="n">
        <v>14.571899</v>
      </c>
      <c r="J722" s="24" t="n">
        <v>120.593407</v>
      </c>
      <c r="K722" s="23" t="inlineStr">
        <is>
          <t>U</t>
        </is>
      </c>
      <c r="L722" s="25" t="n">
        <v>13425</v>
      </c>
      <c r="M722" s="26" t="n">
        <v>3.6</v>
      </c>
      <c r="N722" s="25">
        <f>ROUND(L722/M722, 0)</f>
        <v/>
      </c>
      <c r="O722" s="25">
        <f>ROUND(N722*'Methodology &amp; Assumptions'!$B$7, 0)</f>
        <v/>
      </c>
      <c r="P722" s="23" t="inlineStr">
        <is>
          <t>Single Carrier (Band n50, 100MHz TDD)</t>
        </is>
      </c>
      <c r="Q722" s="27">
        <f>ROUNDUP(O722/'Methodology &amp; Assumptions'!$B$8, 0)</f>
        <v/>
      </c>
      <c r="R722" s="27" t="n">
        <v>1</v>
      </c>
      <c r="S722" s="26" t="n">
        <v>0.49</v>
      </c>
      <c r="T722" s="26" t="n">
        <v>0.02</v>
      </c>
      <c r="U722" s="11">
        <f>IF(S722&lt;='Methodology &amp; Assumptions'!$B$10, "Direct Optical Drop (&lt;3km)", IF(S722&lt;='Methodology &amp; Assumptions'!$B$9, "Near Optical / Microwave (&lt;5km)", "Starlink Business LEO Satellite Backhaul (&gt;5km)"))</f>
        <v/>
      </c>
      <c r="V722" s="26" t="n">
        <v>78.43000000000001</v>
      </c>
      <c r="W722" s="26" t="n">
        <v>39.69</v>
      </c>
      <c r="X722" s="26">
        <f>ROUND(('Methodology &amp; Assumptions'!$B$5*V722) + ('Methodology &amp; Assumptions'!$B$6*W722), 2)</f>
        <v/>
      </c>
      <c r="Y722" s="28" t="n">
        <v>8.300000000000001</v>
      </c>
      <c r="Z722" s="11" t="inlineStr">
        <is>
          <t>Priority Tier 3 (Broadband Expansion)</t>
        </is>
      </c>
    </row>
    <row r="723">
      <c r="A723" s="23" t="n">
        <v>4</v>
      </c>
      <c r="B723" s="23" t="n">
        <v>719</v>
      </c>
      <c r="C723" s="23" t="n">
        <v>3719</v>
      </c>
      <c r="D723" s="23" t="inlineStr">
        <is>
          <t>0403409003</t>
        </is>
      </c>
      <c r="E723" s="11" t="inlineStr">
        <is>
          <t>Region IV-A (CALABARZON)</t>
        </is>
      </c>
      <c r="F723" s="11" t="inlineStr">
        <is>
          <t>Laguna</t>
        </is>
      </c>
      <c r="G723" s="11" t="inlineStr">
        <is>
          <t>Kalayaan</t>
        </is>
      </c>
      <c r="H723" s="11" t="inlineStr">
        <is>
          <t>San Juan</t>
        </is>
      </c>
      <c r="I723" s="24" t="n">
        <v>14.325229</v>
      </c>
      <c r="J723" s="24" t="n">
        <v>121.477481</v>
      </c>
      <c r="K723" s="23" t="inlineStr">
        <is>
          <t>U</t>
        </is>
      </c>
      <c r="L723" s="25" t="n">
        <v>7303</v>
      </c>
      <c r="M723" s="26" t="n">
        <v>3.3</v>
      </c>
      <c r="N723" s="25">
        <f>ROUND(L723/M723, 0)</f>
        <v/>
      </c>
      <c r="O723" s="25">
        <f>ROUND(N723*'Methodology &amp; Assumptions'!$B$7, 0)</f>
        <v/>
      </c>
      <c r="P723" s="23" t="inlineStr">
        <is>
          <t>Single Carrier (Band n50, 100MHz TDD)</t>
        </is>
      </c>
      <c r="Q723" s="27">
        <f>ROUNDUP(O723/'Methodology &amp; Assumptions'!$B$8, 0)</f>
        <v/>
      </c>
      <c r="R723" s="27" t="n">
        <v>1</v>
      </c>
      <c r="S723" s="26" t="n">
        <v>0.77</v>
      </c>
      <c r="T723" s="26" t="n">
        <v>0.13</v>
      </c>
      <c r="U723" s="11">
        <f>IF(S723&lt;='Methodology &amp; Assumptions'!$B$10, "Direct Optical Drop (&lt;3km)", IF(S723&lt;='Methodology &amp; Assumptions'!$B$9, "Near Optical / Microwave (&lt;5km)", "Starlink Business LEO Satellite Backhaul (&gt;5km)"))</f>
        <v/>
      </c>
      <c r="V723" s="26" t="n">
        <v>78.26000000000001</v>
      </c>
      <c r="W723" s="26" t="n">
        <v>39.87</v>
      </c>
      <c r="X723" s="26">
        <f>ROUND(('Methodology &amp; Assumptions'!$B$5*V723) + ('Methodology &amp; Assumptions'!$B$6*W723), 2)</f>
        <v/>
      </c>
      <c r="Y723" s="28" t="n">
        <v>7.2</v>
      </c>
      <c r="Z723" s="11" t="inlineStr">
        <is>
          <t>Priority Tier 3 (Broadband Expansion)</t>
        </is>
      </c>
    </row>
    <row r="724">
      <c r="A724" s="23" t="n">
        <v>4</v>
      </c>
      <c r="B724" s="23" t="n">
        <v>720</v>
      </c>
      <c r="C724" s="23" t="n">
        <v>3720</v>
      </c>
      <c r="D724" s="23" t="inlineStr">
        <is>
          <t>1204704015</t>
        </is>
      </c>
      <c r="E724" s="11" t="inlineStr">
        <is>
          <t>Region XII (SOCCSKSARGEN)</t>
        </is>
      </c>
      <c r="F724" s="11" t="inlineStr">
        <is>
          <t>Cotabato</t>
        </is>
      </c>
      <c r="G724" s="11" t="inlineStr">
        <is>
          <t>City of Kidapawan</t>
        </is>
      </c>
      <c r="H724" s="11" t="inlineStr">
        <is>
          <t>Lanao</t>
        </is>
      </c>
      <c r="I724" s="24" t="n">
        <v>7.023658</v>
      </c>
      <c r="J724" s="24" t="n">
        <v>125.083708</v>
      </c>
      <c r="K724" s="23" t="inlineStr">
        <is>
          <t>U</t>
        </is>
      </c>
      <c r="L724" s="25" t="n">
        <v>7862</v>
      </c>
      <c r="M724" s="26" t="n">
        <v>3.8</v>
      </c>
      <c r="N724" s="25">
        <f>ROUND(L724/M724, 0)</f>
        <v/>
      </c>
      <c r="O724" s="25">
        <f>ROUND(N724*'Methodology &amp; Assumptions'!$B$7, 0)</f>
        <v/>
      </c>
      <c r="P724" s="23" t="inlineStr">
        <is>
          <t>Single Carrier (Band n50, 100MHz TDD)</t>
        </is>
      </c>
      <c r="Q724" s="27">
        <f>ROUNDUP(O724/'Methodology &amp; Assumptions'!$B$8, 0)</f>
        <v/>
      </c>
      <c r="R724" s="27" t="n">
        <v>1</v>
      </c>
      <c r="S724" s="26" t="n">
        <v>1.67</v>
      </c>
      <c r="T724" s="26" t="n">
        <v>0.23</v>
      </c>
      <c r="U724" s="11">
        <f>IF(S724&lt;='Methodology &amp; Assumptions'!$B$10, "Direct Optical Drop (&lt;3km)", IF(S724&lt;='Methodology &amp; Assumptions'!$B$9, "Near Optical / Microwave (&lt;5km)", "Starlink Business LEO Satellite Backhaul (&gt;5km)"))</f>
        <v/>
      </c>
      <c r="V724" s="26" t="n">
        <v>76.79000000000001</v>
      </c>
      <c r="W724" s="26" t="n">
        <v>41.33</v>
      </c>
      <c r="X724" s="26">
        <f>ROUND(('Methodology &amp; Assumptions'!$B$5*V724) + ('Methodology &amp; Assumptions'!$B$6*W724), 2)</f>
        <v/>
      </c>
      <c r="Y724" s="28" t="n">
        <v>17.4</v>
      </c>
      <c r="Z724" s="11" t="inlineStr">
        <is>
          <t>Priority Tier 3 (Broadband Expansion)</t>
        </is>
      </c>
    </row>
    <row r="725">
      <c r="A725" s="23" t="n">
        <v>4</v>
      </c>
      <c r="B725" s="23" t="n">
        <v>721</v>
      </c>
      <c r="C725" s="23" t="n">
        <v>3721</v>
      </c>
      <c r="D725" s="23" t="inlineStr">
        <is>
          <t>0305417009</t>
        </is>
      </c>
      <c r="E725" s="11" t="inlineStr">
        <is>
          <t>Region III (Central Luzon)</t>
        </is>
      </c>
      <c r="F725" s="11" t="inlineStr">
        <is>
          <t>Pampanga</t>
        </is>
      </c>
      <c r="G725" s="11" t="inlineStr">
        <is>
          <t>San Luis</t>
        </is>
      </c>
      <c r="H725" s="11" t="inlineStr">
        <is>
          <t>San Sebastian</t>
        </is>
      </c>
      <c r="I725" s="24" t="n">
        <v>15.045644</v>
      </c>
      <c r="J725" s="24" t="n">
        <v>120.794659</v>
      </c>
      <c r="K725" s="23" t="inlineStr">
        <is>
          <t>U</t>
        </is>
      </c>
      <c r="L725" s="25" t="n">
        <v>2783</v>
      </c>
      <c r="M725" s="26" t="n">
        <v>4</v>
      </c>
      <c r="N725" s="25">
        <f>ROUND(L725/M725, 0)</f>
        <v/>
      </c>
      <c r="O725" s="25">
        <f>ROUND(N725*'Methodology &amp; Assumptions'!$B$7, 0)</f>
        <v/>
      </c>
      <c r="P725" s="23" t="inlineStr">
        <is>
          <t>Single Carrier (Band n50, 100MHz TDD)</t>
        </is>
      </c>
      <c r="Q725" s="27">
        <f>ROUNDUP(O725/'Methodology &amp; Assumptions'!$B$8, 0)</f>
        <v/>
      </c>
      <c r="R725" s="27" t="n">
        <v>1</v>
      </c>
      <c r="S725" s="26" t="n">
        <v>0.97</v>
      </c>
      <c r="T725" s="26" t="n">
        <v>0.61</v>
      </c>
      <c r="U725" s="11">
        <f>IF(S725&lt;='Methodology &amp; Assumptions'!$B$10, "Direct Optical Drop (&lt;3km)", IF(S725&lt;='Methodology &amp; Assumptions'!$B$9, "Near Optical / Microwave (&lt;5km)", "Starlink Business LEO Satellite Backhaul (&gt;5km)"))</f>
        <v/>
      </c>
      <c r="V725" s="26" t="n">
        <v>73.95</v>
      </c>
      <c r="W725" s="26" t="n">
        <v>44.17</v>
      </c>
      <c r="X725" s="26">
        <f>ROUND(('Methodology &amp; Assumptions'!$B$5*V725) + ('Methodology &amp; Assumptions'!$B$6*W725), 2)</f>
        <v/>
      </c>
      <c r="Y725" s="28" t="n">
        <v>8.300000000000001</v>
      </c>
      <c r="Z725" s="11" t="inlineStr">
        <is>
          <t>Priority Tier 3 (Broadband Expansion)</t>
        </is>
      </c>
    </row>
    <row r="726">
      <c r="A726" s="23" t="n">
        <v>4</v>
      </c>
      <c r="B726" s="23" t="n">
        <v>722</v>
      </c>
      <c r="C726" s="23" t="n">
        <v>3722</v>
      </c>
      <c r="D726" s="23" t="inlineStr">
        <is>
          <t>0301418026</t>
        </is>
      </c>
      <c r="E726" s="11" t="inlineStr">
        <is>
          <t>Region III (Central Luzon)</t>
        </is>
      </c>
      <c r="F726" s="11" t="inlineStr">
        <is>
          <t>Bulacan</t>
        </is>
      </c>
      <c r="G726" s="11" t="inlineStr">
        <is>
          <t>Pulilan</t>
        </is>
      </c>
      <c r="H726" s="11" t="inlineStr">
        <is>
          <t>Santo Cristo</t>
        </is>
      </c>
      <c r="I726" s="24" t="n">
        <v>14.900918</v>
      </c>
      <c r="J726" s="24" t="n">
        <v>120.87644</v>
      </c>
      <c r="K726" s="23" t="inlineStr">
        <is>
          <t>U</t>
        </is>
      </c>
      <c r="L726" s="25" t="n">
        <v>8049</v>
      </c>
      <c r="M726" s="26" t="n">
        <v>3.5</v>
      </c>
      <c r="N726" s="25">
        <f>ROUND(L726/M726, 0)</f>
        <v/>
      </c>
      <c r="O726" s="25">
        <f>ROUND(N726*'Methodology &amp; Assumptions'!$B$7, 0)</f>
        <v/>
      </c>
      <c r="P726" s="23" t="inlineStr">
        <is>
          <t>Single Carrier (Band n50, 100MHz TDD)</t>
        </is>
      </c>
      <c r="Q726" s="27">
        <f>ROUNDUP(O726/'Methodology &amp; Assumptions'!$B$8, 0)</f>
        <v/>
      </c>
      <c r="R726" s="27" t="n">
        <v>1</v>
      </c>
      <c r="S726" s="26" t="n">
        <v>2.78</v>
      </c>
      <c r="T726" s="26" t="n">
        <v>0.02</v>
      </c>
      <c r="U726" s="11">
        <f>IF(S726&lt;='Methodology &amp; Assumptions'!$B$10, "Direct Optical Drop (&lt;3km)", IF(S726&lt;='Methodology &amp; Assumptions'!$B$9, "Near Optical / Microwave (&lt;5km)", "Starlink Business LEO Satellite Backhaul (&gt;5km)"))</f>
        <v/>
      </c>
      <c r="V726" s="26" t="n">
        <v>71.67</v>
      </c>
      <c r="W726" s="26" t="n">
        <v>46.45</v>
      </c>
      <c r="X726" s="26">
        <f>ROUND(('Methodology &amp; Assumptions'!$B$5*V726) + ('Methodology &amp; Assumptions'!$B$6*W726), 2)</f>
        <v/>
      </c>
      <c r="Y726" s="28" t="n">
        <v>8.300000000000001</v>
      </c>
      <c r="Z726" s="11" t="inlineStr">
        <is>
          <t>Priority Tier 3 (Broadband Expansion)</t>
        </is>
      </c>
    </row>
    <row r="727">
      <c r="A727" s="23" t="n">
        <v>4</v>
      </c>
      <c r="B727" s="23" t="n">
        <v>723</v>
      </c>
      <c r="C727" s="23" t="n">
        <v>3723</v>
      </c>
      <c r="D727" s="23" t="inlineStr">
        <is>
          <t>0501606023</t>
        </is>
      </c>
      <c r="E727" s="11" t="inlineStr">
        <is>
          <t>Region V (Bicol Region)</t>
        </is>
      </c>
      <c r="F727" s="11" t="inlineStr">
        <is>
          <t>Camarines Norte</t>
        </is>
      </c>
      <c r="G727" s="11" t="inlineStr">
        <is>
          <t>Labo</t>
        </is>
      </c>
      <c r="H727" s="11" t="inlineStr">
        <is>
          <t>Dumagmang</t>
        </is>
      </c>
      <c r="I727" s="24" t="n">
        <v>14.1076</v>
      </c>
      <c r="J727" s="24" t="n">
        <v>122.6264</v>
      </c>
      <c r="K727" s="23" t="inlineStr">
        <is>
          <t>R</t>
        </is>
      </c>
      <c r="L727" s="25" t="n">
        <v>2853</v>
      </c>
      <c r="M727" s="26" t="n">
        <v>4</v>
      </c>
      <c r="N727" s="25">
        <f>ROUND(L727/M727, 0)</f>
        <v/>
      </c>
      <c r="O727" s="25">
        <f>ROUND(N727*'Methodology &amp; Assumptions'!$B$7, 0)</f>
        <v/>
      </c>
      <c r="P727" s="23" t="inlineStr">
        <is>
          <t>Single Carrier (Band n50, 100MHz TDD)</t>
        </is>
      </c>
      <c r="Q727" s="27">
        <f>ROUNDUP(O727/'Methodology &amp; Assumptions'!$B$8, 0)</f>
        <v/>
      </c>
      <c r="R727" s="27" t="n">
        <v>1</v>
      </c>
      <c r="S727" s="26" t="n">
        <v>7.64</v>
      </c>
      <c r="T727" s="26" t="n">
        <v>6.39</v>
      </c>
      <c r="U727" s="11">
        <f>IF(S727&lt;='Methodology &amp; Assumptions'!$B$10, "Direct Optical Drop (&lt;3km)", IF(S727&lt;='Methodology &amp; Assumptions'!$B$9, "Near Optical / Microwave (&lt;5km)", "Starlink Business LEO Satellite Backhaul (&gt;5km)"))</f>
        <v/>
      </c>
      <c r="V727" s="26" t="n">
        <v>64.61</v>
      </c>
      <c r="W727" s="26" t="n">
        <v>53.52</v>
      </c>
      <c r="X727" s="26">
        <f>ROUND(('Methodology &amp; Assumptions'!$B$5*V727) + ('Methodology &amp; Assumptions'!$B$6*W727), 2)</f>
        <v/>
      </c>
      <c r="Y727" s="28" t="n">
        <v>23.7</v>
      </c>
      <c r="Z727" s="11" t="inlineStr">
        <is>
          <t>Priority Tier 3 (Broadband Expansion)</t>
        </is>
      </c>
    </row>
    <row r="728">
      <c r="A728" s="23" t="n">
        <v>4</v>
      </c>
      <c r="B728" s="23" t="n">
        <v>724</v>
      </c>
      <c r="C728" s="23" t="n">
        <v>3724</v>
      </c>
      <c r="D728" s="23" t="inlineStr">
        <is>
          <t>0504102007</t>
        </is>
      </c>
      <c r="E728" s="11" t="inlineStr">
        <is>
          <t>Region V (Bicol Region)</t>
        </is>
      </c>
      <c r="F728" s="11" t="inlineStr">
        <is>
          <t>Masbate</t>
        </is>
      </c>
      <c r="G728" s="11" t="inlineStr">
        <is>
          <t>Baleno</t>
        </is>
      </c>
      <c r="H728" s="11" t="inlineStr">
        <is>
          <t>Canjunday</t>
        </is>
      </c>
      <c r="I728" s="24" t="n">
        <v>12.38923</v>
      </c>
      <c r="J728" s="24" t="n">
        <v>123.499999</v>
      </c>
      <c r="K728" s="23" t="inlineStr">
        <is>
          <t>R</t>
        </is>
      </c>
      <c r="L728" s="25" t="n">
        <v>838</v>
      </c>
      <c r="M728" s="26" t="n">
        <v>4.1</v>
      </c>
      <c r="N728" s="25">
        <f>ROUND(L728/M728, 0)</f>
        <v/>
      </c>
      <c r="O728" s="25">
        <f>ROUND(N728*'Methodology &amp; Assumptions'!$B$7, 0)</f>
        <v/>
      </c>
      <c r="P728" s="23" t="inlineStr">
        <is>
          <t>Single Carrier (Band n50, 100MHz TDD)</t>
        </is>
      </c>
      <c r="Q728" s="27">
        <f>ROUNDUP(O728/'Methodology &amp; Assumptions'!$B$8, 0)</f>
        <v/>
      </c>
      <c r="R728" s="27" t="n">
        <v>1</v>
      </c>
      <c r="S728" s="26" t="n">
        <v>9.31</v>
      </c>
      <c r="T728" s="26" t="n">
        <v>1.97</v>
      </c>
      <c r="U728" s="11">
        <f>IF(S728&lt;='Methodology &amp; Assumptions'!$B$10, "Direct Optical Drop (&lt;3km)", IF(S728&lt;='Methodology &amp; Assumptions'!$B$9, "Near Optical / Microwave (&lt;5km)", "Starlink Business LEO Satellite Backhaul (&gt;5km)"))</f>
        <v/>
      </c>
      <c r="V728" s="26" t="n">
        <v>51.13</v>
      </c>
      <c r="W728" s="26" t="n">
        <v>66.98999999999999</v>
      </c>
      <c r="X728" s="26">
        <f>ROUND(('Methodology &amp; Assumptions'!$B$5*V728) + ('Methodology &amp; Assumptions'!$B$6*W728), 2)</f>
        <v/>
      </c>
      <c r="Y728" s="28" t="n">
        <v>23.7</v>
      </c>
      <c r="Z728" s="11" t="inlineStr">
        <is>
          <t>Priority Tier 3 (Broadband Expansion)</t>
        </is>
      </c>
    </row>
    <row r="729">
      <c r="A729" s="23" t="n">
        <v>4</v>
      </c>
      <c r="B729" s="23" t="n">
        <v>725</v>
      </c>
      <c r="C729" s="23" t="n">
        <v>3725</v>
      </c>
      <c r="D729" s="23" t="inlineStr">
        <is>
          <t>0806002052</t>
        </is>
      </c>
      <c r="E729" s="11" t="inlineStr">
        <is>
          <t>Region VIII (Eastern Visayas)</t>
        </is>
      </c>
      <c r="F729" s="11" t="inlineStr">
        <is>
          <t>Samar</t>
        </is>
      </c>
      <c r="G729" s="11" t="inlineStr">
        <is>
          <t>Basey</t>
        </is>
      </c>
      <c r="H729" s="11" t="inlineStr">
        <is>
          <t>Bulao</t>
        </is>
      </c>
      <c r="I729" s="24" t="n">
        <v>11.446196</v>
      </c>
      <c r="J729" s="24" t="n">
        <v>125.115875</v>
      </c>
      <c r="K729" s="23" t="inlineStr">
        <is>
          <t>R</t>
        </is>
      </c>
      <c r="L729" s="25" t="n">
        <v>1345</v>
      </c>
      <c r="M729" s="26" t="n">
        <v>4.1</v>
      </c>
      <c r="N729" s="25">
        <f>ROUND(L729/M729, 0)</f>
        <v/>
      </c>
      <c r="O729" s="25">
        <f>ROUND(N729*'Methodology &amp; Assumptions'!$B$7, 0)</f>
        <v/>
      </c>
      <c r="P729" s="23" t="inlineStr">
        <is>
          <t>Single Carrier (Band n50, 100MHz TDD)</t>
        </is>
      </c>
      <c r="Q729" s="27">
        <f>ROUNDUP(O729/'Methodology &amp; Assumptions'!$B$8, 0)</f>
        <v/>
      </c>
      <c r="R729" s="27" t="n">
        <v>1</v>
      </c>
      <c r="S729" s="26" t="n">
        <v>26.09</v>
      </c>
      <c r="T729" s="26" t="n">
        <v>28.47</v>
      </c>
      <c r="U729" s="11">
        <f>IF(S729&lt;='Methodology &amp; Assumptions'!$B$10, "Direct Optical Drop (&lt;3km)", IF(S729&lt;='Methodology &amp; Assumptions'!$B$9, "Near Optical / Microwave (&lt;5km)", "Starlink Business LEO Satellite Backhaul (&gt;5km)"))</f>
        <v/>
      </c>
      <c r="V729" s="26" t="n">
        <v>46.14</v>
      </c>
      <c r="W729" s="26" t="n">
        <v>71.97</v>
      </c>
      <c r="X729" s="26">
        <f>ROUND(('Methodology &amp; Assumptions'!$B$5*V729) + ('Methodology &amp; Assumptions'!$B$6*W729), 2)</f>
        <v/>
      </c>
      <c r="Y729" s="28" t="n">
        <v>23.7</v>
      </c>
      <c r="Z729" s="11" t="inlineStr">
        <is>
          <t>Priority Tier 3 (Broadband Expansion)</t>
        </is>
      </c>
    </row>
    <row r="730">
      <c r="A730" s="23" t="n">
        <v>4</v>
      </c>
      <c r="B730" s="23" t="n">
        <v>726</v>
      </c>
      <c r="C730" s="23" t="n">
        <v>3726</v>
      </c>
      <c r="D730" s="23" t="inlineStr">
        <is>
          <t>0603042010</t>
        </is>
      </c>
      <c r="E730" s="11" t="inlineStr">
        <is>
          <t>Region VI (Western Visayas)</t>
        </is>
      </c>
      <c r="F730" s="11" t="inlineStr">
        <is>
          <t>Iloilo</t>
        </is>
      </c>
      <c r="G730" s="11" t="inlineStr">
        <is>
          <t>San Rafael</t>
        </is>
      </c>
      <c r="H730" s="11" t="inlineStr">
        <is>
          <t>Poblacion</t>
        </is>
      </c>
      <c r="I730" s="24" t="n">
        <v>11.178909</v>
      </c>
      <c r="J730" s="24" t="n">
        <v>122.827502</v>
      </c>
      <c r="K730" s="23" t="inlineStr">
        <is>
          <t>R</t>
        </is>
      </c>
      <c r="L730" s="25" t="n">
        <v>4527</v>
      </c>
      <c r="M730" s="26" t="n">
        <v>3.8</v>
      </c>
      <c r="N730" s="25">
        <f>ROUND(L730/M730, 0)</f>
        <v/>
      </c>
      <c r="O730" s="25">
        <f>ROUND(N730*'Methodology &amp; Assumptions'!$B$7, 0)</f>
        <v/>
      </c>
      <c r="P730" s="23" t="inlineStr">
        <is>
          <t>Single Carrier (Band n50, 100MHz TDD)</t>
        </is>
      </c>
      <c r="Q730" s="27">
        <f>ROUNDUP(O730/'Methodology &amp; Assumptions'!$B$8, 0)</f>
        <v/>
      </c>
      <c r="R730" s="27" t="n">
        <v>1</v>
      </c>
      <c r="S730" s="26" t="n">
        <v>0.27</v>
      </c>
      <c r="T730" s="26" t="n">
        <v>0.1</v>
      </c>
      <c r="U730" s="11">
        <f>IF(S730&lt;='Methodology &amp; Assumptions'!$B$10, "Direct Optical Drop (&lt;3km)", IF(S730&lt;='Methodology &amp; Assumptions'!$B$9, "Near Optical / Microwave (&lt;5km)", "Starlink Business LEO Satellite Backhaul (&gt;5km)"))</f>
        <v/>
      </c>
      <c r="V730" s="26" t="n">
        <v>90.68000000000001</v>
      </c>
      <c r="W730" s="26" t="n">
        <v>27.41</v>
      </c>
      <c r="X730" s="26">
        <f>ROUND(('Methodology &amp; Assumptions'!$B$5*V730) + ('Methodology &amp; Assumptions'!$B$6*W730), 2)</f>
        <v/>
      </c>
      <c r="Y730" s="28" t="n">
        <v>23.7</v>
      </c>
      <c r="Z730" s="11" t="inlineStr">
        <is>
          <t>Priority Tier 3 (Broadband Expansion)</t>
        </is>
      </c>
    </row>
    <row r="731">
      <c r="A731" s="23" t="n">
        <v>4</v>
      </c>
      <c r="B731" s="23" t="n">
        <v>727</v>
      </c>
      <c r="C731" s="23" t="n">
        <v>3727</v>
      </c>
      <c r="D731" s="23" t="inlineStr">
        <is>
          <t>0306906018</t>
        </is>
      </c>
      <c r="E731" s="11" t="inlineStr">
        <is>
          <t>Region III (Central Luzon)</t>
        </is>
      </c>
      <c r="F731" s="11" t="inlineStr">
        <is>
          <t>Tarlac</t>
        </is>
      </c>
      <c r="G731" s="11" t="inlineStr">
        <is>
          <t>Gerona</t>
        </is>
      </c>
      <c r="H731" s="11" t="inlineStr">
        <is>
          <t>Magaspac</t>
        </is>
      </c>
      <c r="I731" s="24" t="n">
        <v>15.618158</v>
      </c>
      <c r="J731" s="24" t="n">
        <v>120.596078</v>
      </c>
      <c r="K731" s="23" t="inlineStr">
        <is>
          <t>R</t>
        </is>
      </c>
      <c r="L731" s="25" t="n">
        <v>5109</v>
      </c>
      <c r="M731" s="26" t="n">
        <v>3.9</v>
      </c>
      <c r="N731" s="25">
        <f>ROUND(L731/M731, 0)</f>
        <v/>
      </c>
      <c r="O731" s="25">
        <f>ROUND(N731*'Methodology &amp; Assumptions'!$B$7, 0)</f>
        <v/>
      </c>
      <c r="P731" s="23" t="inlineStr">
        <is>
          <t>Single Carrier (Band n50, 100MHz TDD)</t>
        </is>
      </c>
      <c r="Q731" s="27">
        <f>ROUNDUP(O731/'Methodology &amp; Assumptions'!$B$8, 0)</f>
        <v/>
      </c>
      <c r="R731" s="27" t="n">
        <v>1</v>
      </c>
      <c r="S731" s="26" t="n">
        <v>2.44</v>
      </c>
      <c r="T731" s="26" t="n">
        <v>0.15</v>
      </c>
      <c r="U731" s="11">
        <f>IF(S731&lt;='Methodology &amp; Assumptions'!$B$10, "Direct Optical Drop (&lt;3km)", IF(S731&lt;='Methodology &amp; Assumptions'!$B$9, "Near Optical / Microwave (&lt;5km)", "Starlink Business LEO Satellite Backhaul (&gt;5km)"))</f>
        <v/>
      </c>
      <c r="V731" s="26" t="n">
        <v>79.94</v>
      </c>
      <c r="W731" s="26" t="n">
        <v>38.16</v>
      </c>
      <c r="X731" s="26">
        <f>ROUND(('Methodology &amp; Assumptions'!$B$5*V731) + ('Methodology &amp; Assumptions'!$B$6*W731), 2)</f>
        <v/>
      </c>
      <c r="Y731" s="28" t="n">
        <v>8.300000000000001</v>
      </c>
      <c r="Z731" s="11" t="inlineStr">
        <is>
          <t>Priority Tier 3 (Broadband Expansion)</t>
        </is>
      </c>
    </row>
    <row r="732">
      <c r="A732" s="23" t="n">
        <v>4</v>
      </c>
      <c r="B732" s="23" t="n">
        <v>728</v>
      </c>
      <c r="C732" s="23" t="n">
        <v>3728</v>
      </c>
      <c r="D732" s="23" t="inlineStr">
        <is>
          <t>1705205056</t>
        </is>
      </c>
      <c r="E732" s="11" t="inlineStr">
        <is>
          <t>MIMAROPA Region</t>
        </is>
      </c>
      <c r="F732" s="11" t="inlineStr">
        <is>
          <t>Oriental Mindoro</t>
        </is>
      </c>
      <c r="G732" s="11" t="inlineStr">
        <is>
          <t>City of Calapan</t>
        </is>
      </c>
      <c r="H732" s="11" t="inlineStr">
        <is>
          <t>Sta. Isabel</t>
        </is>
      </c>
      <c r="I732" s="24" t="n">
        <v>13.36761</v>
      </c>
      <c r="J732" s="24" t="n">
        <v>121.15933</v>
      </c>
      <c r="K732" s="23" t="inlineStr">
        <is>
          <t>U</t>
        </is>
      </c>
      <c r="L732" s="25" t="n">
        <v>4790</v>
      </c>
      <c r="M732" s="26" t="n">
        <v>3.9</v>
      </c>
      <c r="N732" s="25">
        <f>ROUND(L732/M732, 0)</f>
        <v/>
      </c>
      <c r="O732" s="25">
        <f>ROUND(N732*'Methodology &amp; Assumptions'!$B$7, 0)</f>
        <v/>
      </c>
      <c r="P732" s="23" t="inlineStr">
        <is>
          <t>Single Carrier (Band n50, 100MHz TDD)</t>
        </is>
      </c>
      <c r="Q732" s="27">
        <f>ROUNDUP(O732/'Methodology &amp; Assumptions'!$B$8, 0)</f>
        <v/>
      </c>
      <c r="R732" s="27" t="n">
        <v>1</v>
      </c>
      <c r="S732" s="26" t="n">
        <v>0.64</v>
      </c>
      <c r="T732" s="26" t="n">
        <v>0.07000000000000001</v>
      </c>
      <c r="U732" s="11">
        <f>IF(S732&lt;='Methodology &amp; Assumptions'!$B$10, "Direct Optical Drop (&lt;3km)", IF(S732&lt;='Methodology &amp; Assumptions'!$B$9, "Near Optical / Microwave (&lt;5km)", "Starlink Business LEO Satellite Backhaul (&gt;5km)"))</f>
        <v/>
      </c>
      <c r="V732" s="26" t="n">
        <v>79.48999999999999</v>
      </c>
      <c r="W732" s="26" t="n">
        <v>38.62</v>
      </c>
      <c r="X732" s="26">
        <f>ROUND(('Methodology &amp; Assumptions'!$B$5*V732) + ('Methodology &amp; Assumptions'!$B$6*W732), 2)</f>
        <v/>
      </c>
      <c r="Y732" s="28" t="n">
        <v>15</v>
      </c>
      <c r="Z732" s="11" t="inlineStr">
        <is>
          <t>Priority Tier 3 (Broadband Expansion)</t>
        </is>
      </c>
    </row>
    <row r="733">
      <c r="A733" s="23" t="n">
        <v>4</v>
      </c>
      <c r="B733" s="23" t="n">
        <v>729</v>
      </c>
      <c r="C733" s="23" t="n">
        <v>3729</v>
      </c>
      <c r="D733" s="23" t="inlineStr">
        <is>
          <t>1401105007</t>
        </is>
      </c>
      <c r="E733" s="11" t="inlineStr">
        <is>
          <t>Cordillera Administrative Region (CAR)</t>
        </is>
      </c>
      <c r="F733" s="11" t="inlineStr">
        <is>
          <t>Benguet</t>
        </is>
      </c>
      <c r="G733" s="11" t="inlineStr">
        <is>
          <t>Buguias</t>
        </is>
      </c>
      <c r="H733" s="11" t="inlineStr">
        <is>
          <t>Buyacaoan</t>
        </is>
      </c>
      <c r="I733" s="24" t="n">
        <v>16.77703</v>
      </c>
      <c r="J733" s="24" t="n">
        <v>120.82927</v>
      </c>
      <c r="K733" s="23" t="inlineStr">
        <is>
          <t>R</t>
        </is>
      </c>
      <c r="L733" s="25" t="n">
        <v>3989</v>
      </c>
      <c r="M733" s="26" t="n">
        <v>3.5</v>
      </c>
      <c r="N733" s="25">
        <f>ROUND(L733/M733, 0)</f>
        <v/>
      </c>
      <c r="O733" s="25">
        <f>ROUND(N733*'Methodology &amp; Assumptions'!$B$7, 0)</f>
        <v/>
      </c>
      <c r="P733" s="23" t="inlineStr">
        <is>
          <t>Single Carrier (Band n50, 100MHz TDD)</t>
        </is>
      </c>
      <c r="Q733" s="27">
        <f>ROUNDUP(O733/'Methodology &amp; Assumptions'!$B$8, 0)</f>
        <v/>
      </c>
      <c r="R733" s="27" t="n">
        <v>1</v>
      </c>
      <c r="S733" s="26" t="n">
        <v>3.06</v>
      </c>
      <c r="T733" s="26" t="n">
        <v>0.38</v>
      </c>
      <c r="U733" s="11">
        <f>IF(S733&lt;='Methodology &amp; Assumptions'!$B$10, "Direct Optical Drop (&lt;3km)", IF(S733&lt;='Methodology &amp; Assumptions'!$B$9, "Near Optical / Microwave (&lt;5km)", "Starlink Business LEO Satellite Backhaul (&gt;5km)"))</f>
        <v/>
      </c>
      <c r="V733" s="26" t="n">
        <v>78.45999999999999</v>
      </c>
      <c r="W733" s="26" t="n">
        <v>39.64</v>
      </c>
      <c r="X733" s="26">
        <f>ROUND(('Methodology &amp; Assumptions'!$B$5*V733) + ('Methodology &amp; Assumptions'!$B$6*W733), 2)</f>
        <v/>
      </c>
      <c r="Y733" s="28" t="n">
        <v>10.9</v>
      </c>
      <c r="Z733" s="11" t="inlineStr">
        <is>
          <t>Priority Tier 3 (Broadband Expansion)</t>
        </is>
      </c>
    </row>
    <row r="734">
      <c r="A734" s="23" t="n">
        <v>4</v>
      </c>
      <c r="B734" s="23" t="n">
        <v>730</v>
      </c>
      <c r="C734" s="23" t="n">
        <v>3730</v>
      </c>
      <c r="D734" s="23" t="inlineStr">
        <is>
          <t>0301420008</t>
        </is>
      </c>
      <c r="E734" s="11" t="inlineStr">
        <is>
          <t>Region III (Central Luzon)</t>
        </is>
      </c>
      <c r="F734" s="11" t="inlineStr">
        <is>
          <t>Bulacan</t>
        </is>
      </c>
      <c r="G734" s="11" t="inlineStr">
        <is>
          <t>City of San Jose Del Monte</t>
        </is>
      </c>
      <c r="H734" s="11" t="inlineStr">
        <is>
          <t>Poblacion</t>
        </is>
      </c>
      <c r="I734" s="24" t="n">
        <v>14.814879</v>
      </c>
      <c r="J734" s="24" t="n">
        <v>121.041998</v>
      </c>
      <c r="K734" s="23" t="inlineStr">
        <is>
          <t>R</t>
        </is>
      </c>
      <c r="L734" s="25" t="n">
        <v>2376</v>
      </c>
      <c r="M734" s="26" t="n">
        <v>3.5</v>
      </c>
      <c r="N734" s="25">
        <f>ROUND(L734/M734, 0)</f>
        <v/>
      </c>
      <c r="O734" s="25">
        <f>ROUND(N734*'Methodology &amp; Assumptions'!$B$7, 0)</f>
        <v/>
      </c>
      <c r="P734" s="23" t="inlineStr">
        <is>
          <t>Single Carrier (Band n50, 100MHz TDD)</t>
        </is>
      </c>
      <c r="Q734" s="27">
        <f>ROUNDUP(O734/'Methodology &amp; Assumptions'!$B$8, 0)</f>
        <v/>
      </c>
      <c r="R734" s="27" t="n">
        <v>1</v>
      </c>
      <c r="S734" s="26" t="n">
        <v>1.6</v>
      </c>
      <c r="T734" s="26" t="n">
        <v>0.32</v>
      </c>
      <c r="U734" s="11">
        <f>IF(S734&lt;='Methodology &amp; Assumptions'!$B$10, "Direct Optical Drop (&lt;3km)", IF(S734&lt;='Methodology &amp; Assumptions'!$B$9, "Near Optical / Microwave (&lt;5km)", "Starlink Business LEO Satellite Backhaul (&gt;5km)"))</f>
        <v/>
      </c>
      <c r="V734" s="26" t="n">
        <v>78.27</v>
      </c>
      <c r="W734" s="26" t="n">
        <v>39.82</v>
      </c>
      <c r="X734" s="26">
        <f>ROUND(('Methodology &amp; Assumptions'!$B$5*V734) + ('Methodology &amp; Assumptions'!$B$6*W734), 2)</f>
        <v/>
      </c>
      <c r="Y734" s="28" t="n">
        <v>8.300000000000001</v>
      </c>
      <c r="Z734" s="11" t="inlineStr">
        <is>
          <t>Priority Tier 3 (Broadband Expansion)</t>
        </is>
      </c>
    </row>
    <row r="735">
      <c r="A735" s="23" t="n">
        <v>4</v>
      </c>
      <c r="B735" s="23" t="n">
        <v>731</v>
      </c>
      <c r="C735" s="23" t="n">
        <v>3731</v>
      </c>
      <c r="D735" s="23" t="inlineStr">
        <is>
          <t>0604532006</t>
        </is>
      </c>
      <c r="E735" s="11" t="inlineStr">
        <is>
          <t>Region VI (Western Visayas)</t>
        </is>
      </c>
      <c r="F735" s="11" t="inlineStr">
        <is>
          <t>Negros Occidental</t>
        </is>
      </c>
      <c r="G735" s="11" t="inlineStr">
        <is>
          <t>Salvador Benedicto</t>
        </is>
      </c>
      <c r="H735" s="11" t="inlineStr">
        <is>
          <t>Pandanon</t>
        </is>
      </c>
      <c r="I735" s="24" t="n">
        <v>10.580881</v>
      </c>
      <c r="J735" s="24" t="n">
        <v>123.178477</v>
      </c>
      <c r="K735" s="23" t="inlineStr">
        <is>
          <t>R</t>
        </is>
      </c>
      <c r="L735" s="25" t="n">
        <v>2908</v>
      </c>
      <c r="M735" s="26" t="n">
        <v>3.7</v>
      </c>
      <c r="N735" s="25">
        <f>ROUND(L735/M735, 0)</f>
        <v/>
      </c>
      <c r="O735" s="25">
        <f>ROUND(N735*'Methodology &amp; Assumptions'!$B$7, 0)</f>
        <v/>
      </c>
      <c r="P735" s="23" t="inlineStr">
        <is>
          <t>Single Carrier (Band n50, 100MHz TDD)</t>
        </is>
      </c>
      <c r="Q735" s="27">
        <f>ROUNDUP(O735/'Methodology &amp; Assumptions'!$B$8, 0)</f>
        <v/>
      </c>
      <c r="R735" s="27" t="n">
        <v>1</v>
      </c>
      <c r="S735" s="26" t="n">
        <v>3.1</v>
      </c>
      <c r="T735" s="26" t="n">
        <v>0.3</v>
      </c>
      <c r="U735" s="11">
        <f>IF(S735&lt;='Methodology &amp; Assumptions'!$B$10, "Direct Optical Drop (&lt;3km)", IF(S735&lt;='Methodology &amp; Assumptions'!$B$9, "Near Optical / Microwave (&lt;5km)", "Starlink Business LEO Satellite Backhaul (&gt;5km)"))</f>
        <v/>
      </c>
      <c r="V735" s="26" t="n">
        <v>77.69</v>
      </c>
      <c r="W735" s="26" t="n">
        <v>40.4</v>
      </c>
      <c r="X735" s="26">
        <f>ROUND(('Methodology &amp; Assumptions'!$B$5*V735) + ('Methodology &amp; Assumptions'!$B$6*W735), 2)</f>
        <v/>
      </c>
      <c r="Y735" s="28" t="n">
        <v>23.7</v>
      </c>
      <c r="Z735" s="11" t="inlineStr">
        <is>
          <t>Priority Tier 3 (Broadband Expansion)</t>
        </is>
      </c>
    </row>
    <row r="736">
      <c r="A736" s="23" t="n">
        <v>4</v>
      </c>
      <c r="B736" s="23" t="n">
        <v>732</v>
      </c>
      <c r="C736" s="23" t="n">
        <v>3732</v>
      </c>
      <c r="D736" s="23" t="inlineStr">
        <is>
          <t>0405802011</t>
        </is>
      </c>
      <c r="E736" s="11" t="inlineStr">
        <is>
          <t>Region IV-A (CALABARZON)</t>
        </is>
      </c>
      <c r="F736" s="11" t="inlineStr">
        <is>
          <t>Rizal</t>
        </is>
      </c>
      <c r="G736" s="11" t="inlineStr">
        <is>
          <t>City of Antipolo</t>
        </is>
      </c>
      <c r="H736" s="11" t="inlineStr">
        <is>
          <t>Bagong Nayon</t>
        </is>
      </c>
      <c r="I736" s="24" t="n">
        <v>14.625964</v>
      </c>
      <c r="J736" s="24" t="n">
        <v>121.168494</v>
      </c>
      <c r="K736" s="23" t="inlineStr">
        <is>
          <t>U</t>
        </is>
      </c>
      <c r="L736" s="25" t="n">
        <v>47008</v>
      </c>
      <c r="M736" s="26" t="n">
        <v>3.6</v>
      </c>
      <c r="N736" s="25">
        <f>ROUND(L736/M736, 0)</f>
        <v/>
      </c>
      <c r="O736" s="25">
        <f>ROUND(N736*'Methodology &amp; Assumptions'!$B$7, 0)</f>
        <v/>
      </c>
      <c r="P736" s="23" t="inlineStr">
        <is>
          <t>Single Carrier (Band n50, 100MHz TDD)</t>
        </is>
      </c>
      <c r="Q736" s="27">
        <f>ROUNDUP(O736/'Methodology &amp; Assumptions'!$B$8, 0)</f>
        <v/>
      </c>
      <c r="R736" s="27" t="n">
        <v>1</v>
      </c>
      <c r="S736" s="26" t="n">
        <v>0.59</v>
      </c>
      <c r="T736" s="26" t="n">
        <v>0.5</v>
      </c>
      <c r="U736" s="11">
        <f>IF(S736&lt;='Methodology &amp; Assumptions'!$B$10, "Direct Optical Drop (&lt;3km)", IF(S736&lt;='Methodology &amp; Assumptions'!$B$9, "Near Optical / Microwave (&lt;5km)", "Starlink Business LEO Satellite Backhaul (&gt;5km)"))</f>
        <v/>
      </c>
      <c r="V736" s="26" t="n">
        <v>76.97</v>
      </c>
      <c r="W736" s="26" t="n">
        <v>41.14</v>
      </c>
      <c r="X736" s="26">
        <f>ROUND(('Methodology &amp; Assumptions'!$B$5*V736) + ('Methodology &amp; Assumptions'!$B$6*W736), 2)</f>
        <v/>
      </c>
      <c r="Y736" s="28" t="n">
        <v>7.2</v>
      </c>
      <c r="Z736" s="11" t="inlineStr">
        <is>
          <t>Priority Tier 3 (Broadband Expansion)</t>
        </is>
      </c>
    </row>
    <row r="737">
      <c r="A737" s="23" t="n">
        <v>4</v>
      </c>
      <c r="B737" s="23" t="n">
        <v>733</v>
      </c>
      <c r="C737" s="23" t="n">
        <v>3733</v>
      </c>
      <c r="D737" s="23" t="inlineStr">
        <is>
          <t>0305417018</t>
        </is>
      </c>
      <c r="E737" s="11" t="inlineStr">
        <is>
          <t>Region III (Central Luzon)</t>
        </is>
      </c>
      <c r="F737" s="11" t="inlineStr">
        <is>
          <t>Pampanga</t>
        </is>
      </c>
      <c r="G737" s="11" t="inlineStr">
        <is>
          <t>San Luis</t>
        </is>
      </c>
      <c r="H737" s="11" t="inlineStr">
        <is>
          <t>Santo Tomas</t>
        </is>
      </c>
      <c r="I737" s="24" t="n">
        <v>15.039844</v>
      </c>
      <c r="J737" s="24" t="n">
        <v>120.787113</v>
      </c>
      <c r="K737" s="23" t="inlineStr">
        <is>
          <t>U</t>
        </is>
      </c>
      <c r="L737" s="25" t="n">
        <v>2678</v>
      </c>
      <c r="M737" s="26" t="n">
        <v>4</v>
      </c>
      <c r="N737" s="25">
        <f>ROUND(L737/M737, 0)</f>
        <v/>
      </c>
      <c r="O737" s="25">
        <f>ROUND(N737*'Methodology &amp; Assumptions'!$B$7, 0)</f>
        <v/>
      </c>
      <c r="P737" s="23" t="inlineStr">
        <is>
          <t>Single Carrier (Band n50, 100MHz TDD)</t>
        </is>
      </c>
      <c r="Q737" s="27">
        <f>ROUNDUP(O737/'Methodology &amp; Assumptions'!$B$8, 0)</f>
        <v/>
      </c>
      <c r="R737" s="27" t="n">
        <v>1</v>
      </c>
      <c r="S737" s="26" t="n">
        <v>0.13</v>
      </c>
      <c r="T737" s="26" t="n">
        <v>0.1</v>
      </c>
      <c r="U737" s="11">
        <f>IF(S737&lt;='Methodology &amp; Assumptions'!$B$10, "Direct Optical Drop (&lt;3km)", IF(S737&lt;='Methodology &amp; Assumptions'!$B$9, "Near Optical / Microwave (&lt;5km)", "Starlink Business LEO Satellite Backhaul (&gt;5km)"))</f>
        <v/>
      </c>
      <c r="V737" s="26" t="n">
        <v>73.59999999999999</v>
      </c>
      <c r="W737" s="26" t="n">
        <v>44.51</v>
      </c>
      <c r="X737" s="26">
        <f>ROUND(('Methodology &amp; Assumptions'!$B$5*V737) + ('Methodology &amp; Assumptions'!$B$6*W737), 2)</f>
        <v/>
      </c>
      <c r="Y737" s="28" t="n">
        <v>8.300000000000001</v>
      </c>
      <c r="Z737" s="11" t="inlineStr">
        <is>
          <t>Priority Tier 3 (Broadband Expansion)</t>
        </is>
      </c>
    </row>
    <row r="738">
      <c r="A738" s="23" t="n">
        <v>4</v>
      </c>
      <c r="B738" s="23" t="n">
        <v>734</v>
      </c>
      <c r="C738" s="23" t="n">
        <v>3734</v>
      </c>
      <c r="D738" s="23" t="inlineStr">
        <is>
          <t>1705309006</t>
        </is>
      </c>
      <c r="E738" s="11" t="inlineStr">
        <is>
          <t>MIMAROPA Region</t>
        </is>
      </c>
      <c r="F738" s="11" t="inlineStr">
        <is>
          <t>Palawan</t>
        </is>
      </c>
      <c r="G738" s="11" t="inlineStr">
        <is>
          <t>Coron</t>
        </is>
      </c>
      <c r="H738" s="11" t="inlineStr">
        <is>
          <t>Cabugao</t>
        </is>
      </c>
      <c r="I738" s="24" t="n">
        <v>11.924062</v>
      </c>
      <c r="J738" s="24" t="n">
        <v>120.25585</v>
      </c>
      <c r="K738" s="23" t="inlineStr">
        <is>
          <t>R</t>
        </is>
      </c>
      <c r="L738" s="25" t="n">
        <v>3173</v>
      </c>
      <c r="M738" s="26" t="n">
        <v>3.9</v>
      </c>
      <c r="N738" s="25">
        <f>ROUND(L738/M738, 0)</f>
        <v/>
      </c>
      <c r="O738" s="25">
        <f>ROUND(N738*'Methodology &amp; Assumptions'!$B$7, 0)</f>
        <v/>
      </c>
      <c r="P738" s="23" t="inlineStr">
        <is>
          <t>Single Carrier (Band n50, 100MHz TDD)</t>
        </is>
      </c>
      <c r="Q738" s="27">
        <f>ROUNDUP(O738/'Methodology &amp; Assumptions'!$B$8, 0)</f>
        <v/>
      </c>
      <c r="R738" s="27" t="n">
        <v>1</v>
      </c>
      <c r="S738" s="26" t="n">
        <v>8.91</v>
      </c>
      <c r="T738" s="26" t="n">
        <v>99.76000000000001</v>
      </c>
      <c r="U738" s="11">
        <f>IF(S738&lt;='Methodology &amp; Assumptions'!$B$10, "Direct Optical Drop (&lt;3km)", IF(S738&lt;='Methodology &amp; Assumptions'!$B$9, "Near Optical / Microwave (&lt;5km)", "Starlink Business LEO Satellite Backhaul (&gt;5km)"))</f>
        <v/>
      </c>
      <c r="V738" s="26" t="n">
        <v>64.66</v>
      </c>
      <c r="W738" s="26" t="n">
        <v>53.43</v>
      </c>
      <c r="X738" s="26">
        <f>ROUND(('Methodology &amp; Assumptions'!$B$5*V738) + ('Methodology &amp; Assumptions'!$B$6*W738), 2)</f>
        <v/>
      </c>
      <c r="Y738" s="28" t="n">
        <v>15</v>
      </c>
      <c r="Z738" s="11" t="inlineStr">
        <is>
          <t>Priority Tier 3 (Broadband Expansion)</t>
        </is>
      </c>
    </row>
    <row r="739">
      <c r="A739" s="23" t="n">
        <v>4</v>
      </c>
      <c r="B739" s="23" t="n">
        <v>735</v>
      </c>
      <c r="C739" s="23" t="n">
        <v>3735</v>
      </c>
      <c r="D739" s="23" t="inlineStr">
        <is>
          <t>1381100012</t>
        </is>
      </c>
      <c r="E739" s="11" t="inlineStr">
        <is>
          <t>National Capital Region (NCR)</t>
        </is>
      </c>
      <c r="F739" s="11" t="inlineStr">
        <is>
          <t>Fourth District (Not a Province)</t>
        </is>
      </c>
      <c r="G739" s="11" t="inlineStr">
        <is>
          <t>Pasay City</t>
        </is>
      </c>
      <c r="H739" s="11" t="inlineStr">
        <is>
          <t>Barangay 12</t>
        </is>
      </c>
      <c r="I739" s="24" t="n">
        <v>14.551187</v>
      </c>
      <c r="J739" s="24" t="n">
        <v>120.991929</v>
      </c>
      <c r="K739" s="23" t="inlineStr">
        <is>
          <t>U</t>
        </is>
      </c>
      <c r="L739" s="25" t="n">
        <v>587</v>
      </c>
      <c r="M739" s="26" t="n">
        <v>3.23</v>
      </c>
      <c r="N739" s="25">
        <f>ROUND(L739/M739, 0)</f>
        <v/>
      </c>
      <c r="O739" s="25">
        <f>ROUND(N739*'Methodology &amp; Assumptions'!$B$7, 0)</f>
        <v/>
      </c>
      <c r="P739" s="23" t="inlineStr">
        <is>
          <t>Single Carrier (Band n50, 100MHz TDD)</t>
        </is>
      </c>
      <c r="Q739" s="27">
        <f>ROUNDUP(O739/'Methodology &amp; Assumptions'!$B$8, 0)</f>
        <v/>
      </c>
      <c r="R739" s="27" t="n">
        <v>1</v>
      </c>
      <c r="S739" s="26" t="n">
        <v>0.24</v>
      </c>
      <c r="T739" s="26" t="n">
        <v>0.12</v>
      </c>
      <c r="U739" s="11">
        <f>IF(S739&lt;='Methodology &amp; Assumptions'!$B$10, "Direct Optical Drop (&lt;3km)", IF(S739&lt;='Methodology &amp; Assumptions'!$B$9, "Near Optical / Microwave (&lt;5km)", "Starlink Business LEO Satellite Backhaul (&gt;5km)"))</f>
        <v/>
      </c>
      <c r="V739" s="26" t="n">
        <v>46.98</v>
      </c>
      <c r="W739" s="26" t="n">
        <v>71.12</v>
      </c>
      <c r="X739" s="26">
        <f>ROUND(('Methodology &amp; Assumptions'!$B$5*V739) + ('Methodology &amp; Assumptions'!$B$6*W739), 2)</f>
        <v/>
      </c>
      <c r="Y739" s="28" t="n">
        <v>10.9</v>
      </c>
      <c r="Z739" s="11" t="inlineStr">
        <is>
          <t>Priority Tier 3 (Broadband Expansion)</t>
        </is>
      </c>
    </row>
    <row r="740">
      <c r="A740" s="23" t="n">
        <v>4</v>
      </c>
      <c r="B740" s="23" t="n">
        <v>736</v>
      </c>
      <c r="C740" s="23" t="n">
        <v>3736</v>
      </c>
      <c r="D740" s="23" t="inlineStr">
        <is>
          <t>1906610003</t>
        </is>
      </c>
      <c r="E740" s="11" t="inlineStr">
        <is>
          <t>Bangsamoro Autonomous Region In Muslim Mindanao (BARMM)</t>
        </is>
      </c>
      <c r="F740" s="11" t="inlineStr">
        <is>
          <t>Sulu</t>
        </is>
      </c>
      <c r="G740" s="11" t="inlineStr">
        <is>
          <t>Pata</t>
        </is>
      </c>
      <c r="H740" s="11" t="inlineStr">
        <is>
          <t>Daungdong</t>
        </is>
      </c>
      <c r="I740" s="24" t="n">
        <v>5.840231</v>
      </c>
      <c r="J740" s="24" t="n">
        <v>121.226983</v>
      </c>
      <c r="K740" s="23" t="inlineStr">
        <is>
          <t>R</t>
        </is>
      </c>
      <c r="L740" s="25" t="n">
        <v>2408</v>
      </c>
      <c r="M740" s="26" t="n">
        <v>6</v>
      </c>
      <c r="N740" s="25">
        <f>ROUND(L740/M740, 0)</f>
        <v/>
      </c>
      <c r="O740" s="25">
        <f>ROUND(N740*'Methodology &amp; Assumptions'!$B$7, 0)</f>
        <v/>
      </c>
      <c r="P740" s="23" t="inlineStr">
        <is>
          <t>Single Carrier (Band n50, 100MHz TDD)</t>
        </is>
      </c>
      <c r="Q740" s="27">
        <f>ROUNDUP(O740/'Methodology &amp; Assumptions'!$B$8, 0)</f>
        <v/>
      </c>
      <c r="R740" s="27" t="n">
        <v>1</v>
      </c>
      <c r="S740" s="26" t="n">
        <v>151.38</v>
      </c>
      <c r="T740" s="26" t="n">
        <v>151.37</v>
      </c>
      <c r="U740" s="11">
        <f>IF(S740&lt;='Methodology &amp; Assumptions'!$B$10, "Direct Optical Drop (&lt;3km)", IF(S740&lt;='Methodology &amp; Assumptions'!$B$9, "Near Optical / Microwave (&lt;5km)", "Starlink Business LEO Satellite Backhaul (&gt;5km)"))</f>
        <v/>
      </c>
      <c r="V740" s="26" t="n">
        <v>46.53</v>
      </c>
      <c r="W740" s="26" t="n">
        <v>71.56</v>
      </c>
      <c r="X740" s="26">
        <f>ROUND(('Methodology &amp; Assumptions'!$B$5*V740) + ('Methodology &amp; Assumptions'!$B$6*W740), 2)</f>
        <v/>
      </c>
      <c r="Y740" s="28" t="n">
        <v>11</v>
      </c>
      <c r="Z740" s="11" t="inlineStr">
        <is>
          <t>Priority Tier 3 (Broadband Expansion)</t>
        </is>
      </c>
    </row>
    <row r="741">
      <c r="A741" s="23" t="n">
        <v>4</v>
      </c>
      <c r="B741" s="23" t="n">
        <v>737</v>
      </c>
      <c r="C741" s="23" t="n">
        <v>3737</v>
      </c>
      <c r="D741" s="23" t="inlineStr">
        <is>
          <t>1906610015</t>
        </is>
      </c>
      <c r="E741" s="11" t="inlineStr">
        <is>
          <t>Bangsamoro Autonomous Region In Muslim Mindanao (BARMM)</t>
        </is>
      </c>
      <c r="F741" s="11" t="inlineStr">
        <is>
          <t>Sulu</t>
        </is>
      </c>
      <c r="G741" s="11" t="inlineStr">
        <is>
          <t>Pata</t>
        </is>
      </c>
      <c r="H741" s="11" t="inlineStr">
        <is>
          <t>Timuddas</t>
        </is>
      </c>
      <c r="I741" s="24" t="n">
        <v>5.801584</v>
      </c>
      <c r="J741" s="24" t="n">
        <v>121.191082</v>
      </c>
      <c r="K741" s="23" t="inlineStr">
        <is>
          <t>R</t>
        </is>
      </c>
      <c r="L741" s="25" t="n">
        <v>2397</v>
      </c>
      <c r="M741" s="26" t="n">
        <v>6</v>
      </c>
      <c r="N741" s="25">
        <f>ROUND(L741/M741, 0)</f>
        <v/>
      </c>
      <c r="O741" s="25">
        <f>ROUND(N741*'Methodology &amp; Assumptions'!$B$7, 0)</f>
        <v/>
      </c>
      <c r="P741" s="23" t="inlineStr">
        <is>
          <t>Single Carrier (Band n50, 100MHz TDD)</t>
        </is>
      </c>
      <c r="Q741" s="27">
        <f>ROUNDUP(O741/'Methodology &amp; Assumptions'!$B$8, 0)</f>
        <v/>
      </c>
      <c r="R741" s="27" t="n">
        <v>1</v>
      </c>
      <c r="S741" s="26" t="n">
        <v>157.21</v>
      </c>
      <c r="T741" s="26" t="n">
        <v>157.21</v>
      </c>
      <c r="U741" s="11">
        <f>IF(S741&lt;='Methodology &amp; Assumptions'!$B$10, "Direct Optical Drop (&lt;3km)", IF(S741&lt;='Methodology &amp; Assumptions'!$B$9, "Near Optical / Microwave (&lt;5km)", "Starlink Business LEO Satellite Backhaul (&gt;5km)"))</f>
        <v/>
      </c>
      <c r="V741" s="26" t="n">
        <v>46.53</v>
      </c>
      <c r="W741" s="26" t="n">
        <v>71.56</v>
      </c>
      <c r="X741" s="26">
        <f>ROUND(('Methodology &amp; Assumptions'!$B$5*V741) + ('Methodology &amp; Assumptions'!$B$6*W741), 2)</f>
        <v/>
      </c>
      <c r="Y741" s="28" t="n">
        <v>11</v>
      </c>
      <c r="Z741" s="11" t="inlineStr">
        <is>
          <t>Priority Tier 3 (Broadband Expansion)</t>
        </is>
      </c>
    </row>
    <row r="742">
      <c r="A742" s="23" t="n">
        <v>4</v>
      </c>
      <c r="B742" s="23" t="n">
        <v>738</v>
      </c>
      <c r="C742" s="23" t="n">
        <v>3738</v>
      </c>
      <c r="D742" s="23" t="inlineStr">
        <is>
          <t>0506209002</t>
        </is>
      </c>
      <c r="E742" s="11" t="inlineStr">
        <is>
          <t>Region V (Bicol Region)</t>
        </is>
      </c>
      <c r="F742" s="11" t="inlineStr">
        <is>
          <t>Sorsogon</t>
        </is>
      </c>
      <c r="G742" s="11" t="inlineStr">
        <is>
          <t>Irosin</t>
        </is>
      </c>
      <c r="H742" s="11" t="inlineStr">
        <is>
          <t>Bacolod</t>
        </is>
      </c>
      <c r="I742" s="24" t="n">
        <v>12.701058</v>
      </c>
      <c r="J742" s="24" t="n">
        <v>124.034325</v>
      </c>
      <c r="K742" s="23" t="inlineStr">
        <is>
          <t>R</t>
        </is>
      </c>
      <c r="L742" s="25" t="n">
        <v>4737</v>
      </c>
      <c r="M742" s="26" t="n">
        <v>4</v>
      </c>
      <c r="N742" s="25">
        <f>ROUND(L742/M742, 0)</f>
        <v/>
      </c>
      <c r="O742" s="25">
        <f>ROUND(N742*'Methodology &amp; Assumptions'!$B$7, 0)</f>
        <v/>
      </c>
      <c r="P742" s="23" t="inlineStr">
        <is>
          <t>Single Carrier (Band n50, 100MHz TDD)</t>
        </is>
      </c>
      <c r="Q742" s="27">
        <f>ROUNDUP(O742/'Methodology &amp; Assumptions'!$B$8, 0)</f>
        <v/>
      </c>
      <c r="R742" s="27" t="n">
        <v>1</v>
      </c>
      <c r="S742" s="26" t="n">
        <v>0.2</v>
      </c>
      <c r="T742" s="26" t="n">
        <v>0.29</v>
      </c>
      <c r="U742" s="11">
        <f>IF(S742&lt;='Methodology &amp; Assumptions'!$B$10, "Direct Optical Drop (&lt;3km)", IF(S742&lt;='Methodology &amp; Assumptions'!$B$9, "Near Optical / Microwave (&lt;5km)", "Starlink Business LEO Satellite Backhaul (&gt;5km)"))</f>
        <v/>
      </c>
      <c r="V742" s="26" t="n">
        <v>88.06</v>
      </c>
      <c r="W742" s="26" t="n">
        <v>30.03</v>
      </c>
      <c r="X742" s="26">
        <f>ROUND(('Methodology &amp; Assumptions'!$B$5*V742) + ('Methodology &amp; Assumptions'!$B$6*W742), 2)</f>
        <v/>
      </c>
      <c r="Y742" s="28" t="n">
        <v>23.7</v>
      </c>
      <c r="Z742" s="11" t="inlineStr">
        <is>
          <t>Priority Tier 3 (Broadband Expansion)</t>
        </is>
      </c>
    </row>
    <row r="743">
      <c r="A743" s="23" t="n">
        <v>4</v>
      </c>
      <c r="B743" s="23" t="n">
        <v>739</v>
      </c>
      <c r="C743" s="23" t="n">
        <v>3739</v>
      </c>
      <c r="D743" s="23" t="inlineStr">
        <is>
          <t>0306910027</t>
        </is>
      </c>
      <c r="E743" s="11" t="inlineStr">
        <is>
          <t>Region III (Central Luzon)</t>
        </is>
      </c>
      <c r="F743" s="11" t="inlineStr">
        <is>
          <t>Tarlac</t>
        </is>
      </c>
      <c r="G743" s="11" t="inlineStr">
        <is>
          <t>Paniqui</t>
        </is>
      </c>
      <c r="H743" s="11" t="inlineStr">
        <is>
          <t>Salumague</t>
        </is>
      </c>
      <c r="I743" s="24" t="n">
        <v>15.665986</v>
      </c>
      <c r="J743" s="24" t="n">
        <v>120.566394</v>
      </c>
      <c r="K743" s="23" t="inlineStr">
        <is>
          <t>R</t>
        </is>
      </c>
      <c r="L743" s="25" t="n">
        <v>3681</v>
      </c>
      <c r="M743" s="26" t="n">
        <v>3.9</v>
      </c>
      <c r="N743" s="25">
        <f>ROUND(L743/M743, 0)</f>
        <v/>
      </c>
      <c r="O743" s="25">
        <f>ROUND(N743*'Methodology &amp; Assumptions'!$B$7, 0)</f>
        <v/>
      </c>
      <c r="P743" s="23" t="inlineStr">
        <is>
          <t>Single Carrier (Band n50, 100MHz TDD)</t>
        </is>
      </c>
      <c r="Q743" s="27">
        <f>ROUNDUP(O743/'Methodology &amp; Assumptions'!$B$8, 0)</f>
        <v/>
      </c>
      <c r="R743" s="27" t="n">
        <v>1</v>
      </c>
      <c r="S743" s="26" t="n">
        <v>2.23</v>
      </c>
      <c r="T743" s="26" t="n">
        <v>0.13</v>
      </c>
      <c r="U743" s="11">
        <f>IF(S743&lt;='Methodology &amp; Assumptions'!$B$10, "Direct Optical Drop (&lt;3km)", IF(S743&lt;='Methodology &amp; Assumptions'!$B$9, "Near Optical / Microwave (&lt;5km)", "Starlink Business LEO Satellite Backhaul (&gt;5km)"))</f>
        <v/>
      </c>
      <c r="V743" s="26" t="n">
        <v>80.63</v>
      </c>
      <c r="W743" s="26" t="n">
        <v>37.44</v>
      </c>
      <c r="X743" s="26">
        <f>ROUND(('Methodology &amp; Assumptions'!$B$5*V743) + ('Methodology &amp; Assumptions'!$B$6*W743), 2)</f>
        <v/>
      </c>
      <c r="Y743" s="28" t="n">
        <v>8.300000000000001</v>
      </c>
      <c r="Z743" s="11" t="inlineStr">
        <is>
          <t>Priority Tier 3 (Broadband Expansion)</t>
        </is>
      </c>
    </row>
    <row r="744">
      <c r="A744" s="23" t="n">
        <v>4</v>
      </c>
      <c r="B744" s="23" t="n">
        <v>740</v>
      </c>
      <c r="C744" s="23" t="n">
        <v>3740</v>
      </c>
      <c r="D744" s="23" t="inlineStr">
        <is>
          <t>1380611027</t>
        </is>
      </c>
      <c r="E744" s="11" t="inlineStr">
        <is>
          <t>National Capital Region (NCR)</t>
        </is>
      </c>
      <c r="F744" s="11" t="inlineStr">
        <is>
          <t>First District (Not a Province)</t>
        </is>
      </c>
      <c r="G744" s="11" t="inlineStr">
        <is>
          <t>City of Manila</t>
        </is>
      </c>
      <c r="H744" s="11" t="inlineStr">
        <is>
          <t>Barangay 813</t>
        </is>
      </c>
      <c r="I744" s="24" t="n">
        <v>14.577849</v>
      </c>
      <c r="J744" s="24" t="n">
        <v>121.000833</v>
      </c>
      <c r="K744" s="23" t="inlineStr">
        <is>
          <t>U</t>
        </is>
      </c>
      <c r="L744" s="25" t="n">
        <v>967</v>
      </c>
      <c r="M744" s="26" t="n">
        <v>3.64</v>
      </c>
      <c r="N744" s="25">
        <f>ROUND(L744/M744, 0)</f>
        <v/>
      </c>
      <c r="O744" s="25">
        <f>ROUND(N744*'Methodology &amp; Assumptions'!$B$7, 0)</f>
        <v/>
      </c>
      <c r="P744" s="23" t="inlineStr">
        <is>
          <t>Single Carrier (Band n50, 100MHz TDD)</t>
        </is>
      </c>
      <c r="Q744" s="27">
        <f>ROUNDUP(O744/'Methodology &amp; Assumptions'!$B$8, 0)</f>
        <v/>
      </c>
      <c r="R744" s="27" t="n">
        <v>1</v>
      </c>
      <c r="S744" s="26" t="n">
        <v>0.76</v>
      </c>
      <c r="T744" s="26" t="n">
        <v>0.3</v>
      </c>
      <c r="U744" s="11">
        <f>IF(S744&lt;='Methodology &amp; Assumptions'!$B$10, "Direct Optical Drop (&lt;3km)", IF(S744&lt;='Methodology &amp; Assumptions'!$B$9, "Near Optical / Microwave (&lt;5km)", "Starlink Business LEO Satellite Backhaul (&gt;5km)"))</f>
        <v/>
      </c>
      <c r="V744" s="26" t="n">
        <v>49.66</v>
      </c>
      <c r="W744" s="26" t="n">
        <v>68.41</v>
      </c>
      <c r="X744" s="26">
        <f>ROUND(('Methodology &amp; Assumptions'!$B$5*V744) + ('Methodology &amp; Assumptions'!$B$6*W744), 2)</f>
        <v/>
      </c>
      <c r="Y744" s="28" t="n">
        <v>10.9</v>
      </c>
      <c r="Z744" s="11" t="inlineStr">
        <is>
          <t>Priority Tier 3 (Broadband Expansion)</t>
        </is>
      </c>
    </row>
    <row r="745">
      <c r="A745" s="23" t="n">
        <v>4</v>
      </c>
      <c r="B745" s="23" t="n">
        <v>741</v>
      </c>
      <c r="C745" s="23" t="n">
        <v>3741</v>
      </c>
      <c r="D745" s="23" t="inlineStr">
        <is>
          <t>1380614044</t>
        </is>
      </c>
      <c r="E745" s="11" t="inlineStr">
        <is>
          <t>National Capital Region (NCR)</t>
        </is>
      </c>
      <c r="F745" s="11" t="inlineStr">
        <is>
          <t>First District (Not a Province)</t>
        </is>
      </c>
      <c r="G745" s="11" t="inlineStr">
        <is>
          <t>City of Manila</t>
        </is>
      </c>
      <c r="H745" s="11" t="inlineStr">
        <is>
          <t>Barangay 788</t>
        </is>
      </c>
      <c r="I745" s="24" t="n">
        <v>14.577826</v>
      </c>
      <c r="J745" s="24" t="n">
        <v>121.003225</v>
      </c>
      <c r="K745" s="23" t="inlineStr">
        <is>
          <t>U</t>
        </is>
      </c>
      <c r="L745" s="25" t="n">
        <v>933</v>
      </c>
      <c r="M745" s="26" t="n">
        <v>3.7</v>
      </c>
      <c r="N745" s="25">
        <f>ROUND(L745/M745, 0)</f>
        <v/>
      </c>
      <c r="O745" s="25">
        <f>ROUND(N745*'Methodology &amp; Assumptions'!$B$7, 0)</f>
        <v/>
      </c>
      <c r="P745" s="23" t="inlineStr">
        <is>
          <t>Single Carrier (Band n50, 100MHz TDD)</t>
        </is>
      </c>
      <c r="Q745" s="27">
        <f>ROUNDUP(O745/'Methodology &amp; Assumptions'!$B$8, 0)</f>
        <v/>
      </c>
      <c r="R745" s="27" t="n">
        <v>1</v>
      </c>
      <c r="S745" s="26" t="n">
        <v>0.73</v>
      </c>
      <c r="T745" s="26" t="n">
        <v>0.38</v>
      </c>
      <c r="U745" s="11">
        <f>IF(S745&lt;='Methodology &amp; Assumptions'!$B$10, "Direct Optical Drop (&lt;3km)", IF(S745&lt;='Methodology &amp; Assumptions'!$B$9, "Near Optical / Microwave (&lt;5km)", "Starlink Business LEO Satellite Backhaul (&gt;5km)"))</f>
        <v/>
      </c>
      <c r="V745" s="26" t="n">
        <v>49.23</v>
      </c>
      <c r="W745" s="26" t="n">
        <v>68.84</v>
      </c>
      <c r="X745" s="26">
        <f>ROUND(('Methodology &amp; Assumptions'!$B$5*V745) + ('Methodology &amp; Assumptions'!$B$6*W745), 2)</f>
        <v/>
      </c>
      <c r="Y745" s="28" t="n">
        <v>10.9</v>
      </c>
      <c r="Z745" s="11" t="inlineStr">
        <is>
          <t>Priority Tier 3 (Broadband Expansion)</t>
        </is>
      </c>
    </row>
    <row r="746">
      <c r="A746" s="23" t="n">
        <v>4</v>
      </c>
      <c r="B746" s="23" t="n">
        <v>742</v>
      </c>
      <c r="C746" s="23" t="n">
        <v>3742</v>
      </c>
      <c r="D746" s="23" t="inlineStr">
        <is>
          <t>1380601140</t>
        </is>
      </c>
      <c r="E746" s="11" t="inlineStr">
        <is>
          <t>National Capital Region (NCR)</t>
        </is>
      </c>
      <c r="F746" s="11" t="inlineStr">
        <is>
          <t>First District (Not a Province)</t>
        </is>
      </c>
      <c r="G746" s="11" t="inlineStr">
        <is>
          <t>City of Manila</t>
        </is>
      </c>
      <c r="H746" s="11" t="inlineStr">
        <is>
          <t>Barangay 140</t>
        </is>
      </c>
      <c r="I746" s="24" t="n">
        <v>14.63103</v>
      </c>
      <c r="J746" s="24" t="n">
        <v>120.967065</v>
      </c>
      <c r="K746" s="23" t="inlineStr">
        <is>
          <t>U</t>
        </is>
      </c>
      <c r="L746" s="25" t="n">
        <v>568</v>
      </c>
      <c r="M746" s="26" t="n">
        <v>2.81</v>
      </c>
      <c r="N746" s="25">
        <f>ROUND(L746/M746, 0)</f>
        <v/>
      </c>
      <c r="O746" s="25">
        <f>ROUND(N746*'Methodology &amp; Assumptions'!$B$7, 0)</f>
        <v/>
      </c>
      <c r="P746" s="23" t="inlineStr">
        <is>
          <t>Single Carrier (Band n50, 100MHz TDD)</t>
        </is>
      </c>
      <c r="Q746" s="27">
        <f>ROUNDUP(O746/'Methodology &amp; Assumptions'!$B$8, 0)</f>
        <v/>
      </c>
      <c r="R746" s="27" t="n">
        <v>1</v>
      </c>
      <c r="S746" s="26" t="n">
        <v>0.82</v>
      </c>
      <c r="T746" s="26" t="n">
        <v>0.36</v>
      </c>
      <c r="U746" s="11">
        <f>IF(S746&lt;='Methodology &amp; Assumptions'!$B$10, "Direct Optical Drop (&lt;3km)", IF(S746&lt;='Methodology &amp; Assumptions'!$B$9, "Near Optical / Microwave (&lt;5km)", "Starlink Business LEO Satellite Backhaul (&gt;5km)"))</f>
        <v/>
      </c>
      <c r="V746" s="26" t="n">
        <v>47.63</v>
      </c>
      <c r="W746" s="26" t="n">
        <v>70.45999999999999</v>
      </c>
      <c r="X746" s="26">
        <f>ROUND(('Methodology &amp; Assumptions'!$B$5*V746) + ('Methodology &amp; Assumptions'!$B$6*W746), 2)</f>
        <v/>
      </c>
      <c r="Y746" s="28" t="n">
        <v>10.9</v>
      </c>
      <c r="Z746" s="11" t="inlineStr">
        <is>
          <t>Priority Tier 3 (Broadband Expansion)</t>
        </is>
      </c>
    </row>
    <row r="747">
      <c r="A747" s="23" t="n">
        <v>4</v>
      </c>
      <c r="B747" s="23" t="n">
        <v>743</v>
      </c>
      <c r="C747" s="23" t="n">
        <v>3743</v>
      </c>
      <c r="D747" s="23" t="inlineStr">
        <is>
          <t>0403420008</t>
        </is>
      </c>
      <c r="E747" s="11" t="inlineStr">
        <is>
          <t>Region IV-A (CALABARZON)</t>
        </is>
      </c>
      <c r="F747" s="11" t="inlineStr">
        <is>
          <t>Laguna</t>
        </is>
      </c>
      <c r="G747" s="11" t="inlineStr">
        <is>
          <t>Pakil</t>
        </is>
      </c>
      <c r="H747" s="11" t="inlineStr">
        <is>
          <t>Kabulusan</t>
        </is>
      </c>
      <c r="I747" s="24" t="n">
        <v>14.363533</v>
      </c>
      <c r="J747" s="24" t="n">
        <v>121.396664</v>
      </c>
      <c r="K747" s="23" t="inlineStr">
        <is>
          <t>R</t>
        </is>
      </c>
      <c r="L747" s="25" t="n">
        <v>4746</v>
      </c>
      <c r="M747" s="26" t="n">
        <v>3.3</v>
      </c>
      <c r="N747" s="25">
        <f>ROUND(L747/M747, 0)</f>
        <v/>
      </c>
      <c r="O747" s="25">
        <f>ROUND(N747*'Methodology &amp; Assumptions'!$B$7, 0)</f>
        <v/>
      </c>
      <c r="P747" s="23" t="inlineStr">
        <is>
          <t>Single Carrier (Band n50, 100MHz TDD)</t>
        </is>
      </c>
      <c r="Q747" s="27">
        <f>ROUNDUP(O747/'Methodology &amp; Assumptions'!$B$8, 0)</f>
        <v/>
      </c>
      <c r="R747" s="27" t="n">
        <v>1</v>
      </c>
      <c r="S747" s="26" t="n">
        <v>1.2</v>
      </c>
      <c r="T747" s="26" t="n">
        <v>8.369999999999999</v>
      </c>
      <c r="U747" s="11">
        <f>IF(S747&lt;='Methodology &amp; Assumptions'!$B$10, "Direct Optical Drop (&lt;3km)", IF(S747&lt;='Methodology &amp; Assumptions'!$B$9, "Near Optical / Microwave (&lt;5km)", "Starlink Business LEO Satellite Backhaul (&gt;5km)"))</f>
        <v/>
      </c>
      <c r="V747" s="26" t="n">
        <v>80.56999999999999</v>
      </c>
      <c r="W747" s="26" t="n">
        <v>37.48</v>
      </c>
      <c r="X747" s="26">
        <f>ROUND(('Methodology &amp; Assumptions'!$B$5*V747) + ('Methodology &amp; Assumptions'!$B$6*W747), 2)</f>
        <v/>
      </c>
      <c r="Y747" s="28" t="n">
        <v>7.2</v>
      </c>
      <c r="Z747" s="11" t="inlineStr">
        <is>
          <t>Priority Tier 3 (Broadband Expansion)</t>
        </is>
      </c>
    </row>
    <row r="748">
      <c r="A748" s="23" t="n">
        <v>4</v>
      </c>
      <c r="B748" s="23" t="n">
        <v>744</v>
      </c>
      <c r="C748" s="23" t="n">
        <v>3744</v>
      </c>
      <c r="D748" s="23" t="inlineStr">
        <is>
          <t>0304904014</t>
        </is>
      </c>
      <c r="E748" s="11" t="inlineStr">
        <is>
          <t>Region III (Central Luzon)</t>
        </is>
      </c>
      <c r="F748" s="11" t="inlineStr">
        <is>
          <t>Nueva Ecija</t>
        </is>
      </c>
      <c r="G748" s="11" t="inlineStr">
        <is>
          <t>Cabiao</t>
        </is>
      </c>
      <c r="H748" s="11" t="inlineStr">
        <is>
          <t>San Fernando Sur</t>
        </is>
      </c>
      <c r="I748" s="24" t="n">
        <v>15.263322</v>
      </c>
      <c r="J748" s="24" t="n">
        <v>120.867513</v>
      </c>
      <c r="K748" s="23" t="inlineStr">
        <is>
          <t>U</t>
        </is>
      </c>
      <c r="L748" s="25" t="n">
        <v>14187</v>
      </c>
      <c r="M748" s="26" t="n">
        <v>3.5</v>
      </c>
      <c r="N748" s="25">
        <f>ROUND(L748/M748, 0)</f>
        <v/>
      </c>
      <c r="O748" s="25">
        <f>ROUND(N748*'Methodology &amp; Assumptions'!$B$7, 0)</f>
        <v/>
      </c>
      <c r="P748" s="23" t="inlineStr">
        <is>
          <t>Single Carrier (Band n50, 100MHz TDD)</t>
        </is>
      </c>
      <c r="Q748" s="27">
        <f>ROUNDUP(O748/'Methodology &amp; Assumptions'!$B$8, 0)</f>
        <v/>
      </c>
      <c r="R748" s="27" t="n">
        <v>1</v>
      </c>
      <c r="S748" s="26" t="n">
        <v>0.11</v>
      </c>
      <c r="T748" s="26" t="n">
        <v>0.03</v>
      </c>
      <c r="U748" s="11">
        <f>IF(S748&lt;='Methodology &amp; Assumptions'!$B$10, "Direct Optical Drop (&lt;3km)", IF(S748&lt;='Methodology &amp; Assumptions'!$B$9, "Near Optical / Microwave (&lt;5km)", "Starlink Business LEO Satellite Backhaul (&gt;5km)"))</f>
        <v/>
      </c>
      <c r="V748" s="26" t="n">
        <v>78.43000000000001</v>
      </c>
      <c r="W748" s="26" t="n">
        <v>39.62</v>
      </c>
      <c r="X748" s="26">
        <f>ROUND(('Methodology &amp; Assumptions'!$B$5*V748) + ('Methodology &amp; Assumptions'!$B$6*W748), 2)</f>
        <v/>
      </c>
      <c r="Y748" s="28" t="n">
        <v>8.300000000000001</v>
      </c>
      <c r="Z748" s="11" t="inlineStr">
        <is>
          <t>Priority Tier 3 (Broadband Expansion)</t>
        </is>
      </c>
    </row>
    <row r="749">
      <c r="A749" s="23" t="n">
        <v>4</v>
      </c>
      <c r="B749" s="23" t="n">
        <v>745</v>
      </c>
      <c r="C749" s="23" t="n">
        <v>3745</v>
      </c>
      <c r="D749" s="23" t="inlineStr">
        <is>
          <t>0300806001</t>
        </is>
      </c>
      <c r="E749" s="11" t="inlineStr">
        <is>
          <t>Region III (Central Luzon)</t>
        </is>
      </c>
      <c r="F749" s="11" t="inlineStr">
        <is>
          <t>Bataan</t>
        </is>
      </c>
      <c r="G749" s="11" t="inlineStr">
        <is>
          <t>Limay</t>
        </is>
      </c>
      <c r="H749" s="11" t="inlineStr">
        <is>
          <t>Alangan</t>
        </is>
      </c>
      <c r="I749" s="24" t="n">
        <v>14.537942</v>
      </c>
      <c r="J749" s="24" t="n">
        <v>120.594448</v>
      </c>
      <c r="K749" s="23" t="inlineStr">
        <is>
          <t>U</t>
        </is>
      </c>
      <c r="L749" s="25" t="n">
        <v>7175</v>
      </c>
      <c r="M749" s="26" t="n">
        <v>3.6</v>
      </c>
      <c r="N749" s="25">
        <f>ROUND(L749/M749, 0)</f>
        <v/>
      </c>
      <c r="O749" s="25">
        <f>ROUND(N749*'Methodology &amp; Assumptions'!$B$7, 0)</f>
        <v/>
      </c>
      <c r="P749" s="23" t="inlineStr">
        <is>
          <t>Single Carrier (Band n50, 100MHz TDD)</t>
        </is>
      </c>
      <c r="Q749" s="27">
        <f>ROUNDUP(O749/'Methodology &amp; Assumptions'!$B$8, 0)</f>
        <v/>
      </c>
      <c r="R749" s="27" t="n">
        <v>1</v>
      </c>
      <c r="S749" s="26" t="n">
        <v>3.9</v>
      </c>
      <c r="T749" s="26" t="n">
        <v>0.22</v>
      </c>
      <c r="U749" s="11">
        <f>IF(S749&lt;='Methodology &amp; Assumptions'!$B$10, "Direct Optical Drop (&lt;3km)", IF(S749&lt;='Methodology &amp; Assumptions'!$B$9, "Near Optical / Microwave (&lt;5km)", "Starlink Business LEO Satellite Backhaul (&gt;5km)"))</f>
        <v/>
      </c>
      <c r="V749" s="26" t="n">
        <v>69.01000000000001</v>
      </c>
      <c r="W749" s="26" t="n">
        <v>49.05</v>
      </c>
      <c r="X749" s="26">
        <f>ROUND(('Methodology &amp; Assumptions'!$B$5*V749) + ('Methodology &amp; Assumptions'!$B$6*W749), 2)</f>
        <v/>
      </c>
      <c r="Y749" s="28" t="n">
        <v>8.300000000000001</v>
      </c>
      <c r="Z749" s="11" t="inlineStr">
        <is>
          <t>Priority Tier 3 (Broadband Expansion)</t>
        </is>
      </c>
    </row>
    <row r="750">
      <c r="A750" s="23" t="n">
        <v>4</v>
      </c>
      <c r="B750" s="23" t="n">
        <v>746</v>
      </c>
      <c r="C750" s="23" t="n">
        <v>3746</v>
      </c>
      <c r="D750" s="23" t="inlineStr">
        <is>
          <t>1908713017</t>
        </is>
      </c>
      <c r="E750" s="11" t="inlineStr">
        <is>
          <t>Bangsamoro Autonomous Region In Muslim Mindanao (BARMM)</t>
        </is>
      </c>
      <c r="F750" s="11" t="inlineStr">
        <is>
          <t>Maguindanao del Norte</t>
        </is>
      </c>
      <c r="G750" s="11" t="inlineStr">
        <is>
          <t>Upi</t>
        </is>
      </c>
      <c r="H750" s="11" t="inlineStr">
        <is>
          <t>Ranao Pilayan</t>
        </is>
      </c>
      <c r="I750" s="24" t="n">
        <v>6.90882</v>
      </c>
      <c r="J750" s="24" t="n">
        <v>124.103113</v>
      </c>
      <c r="K750" s="23" t="inlineStr">
        <is>
          <t>R</t>
        </is>
      </c>
      <c r="L750" s="25" t="n">
        <v>2384</v>
      </c>
      <c r="M750" s="26" t="n">
        <v>4.3</v>
      </c>
      <c r="N750" s="25">
        <f>ROUND(L750/M750, 0)</f>
        <v/>
      </c>
      <c r="O750" s="25">
        <f>ROUND(N750*'Methodology &amp; Assumptions'!$B$7, 0)</f>
        <v/>
      </c>
      <c r="P750" s="23" t="inlineStr">
        <is>
          <t>Single Carrier (Band n50, 100MHz TDD)</t>
        </is>
      </c>
      <c r="Q750" s="27">
        <f>ROUNDUP(O750/'Methodology &amp; Assumptions'!$B$8, 0)</f>
        <v/>
      </c>
      <c r="R750" s="27" t="n">
        <v>1</v>
      </c>
      <c r="S750" s="26" t="n">
        <v>67.53</v>
      </c>
      <c r="T750" s="26" t="n">
        <v>67.48</v>
      </c>
      <c r="U750" s="11">
        <f>IF(S750&lt;='Methodology &amp; Assumptions'!$B$10, "Direct Optical Drop (&lt;3km)", IF(S750&lt;='Methodology &amp; Assumptions'!$B$9, "Near Optical / Microwave (&lt;5km)", "Starlink Business LEO Satellite Backhaul (&gt;5km)"))</f>
        <v/>
      </c>
      <c r="V750" s="26" t="n">
        <v>48.83</v>
      </c>
      <c r="W750" s="26" t="n">
        <v>69.23</v>
      </c>
      <c r="X750" s="26">
        <f>ROUND(('Methodology &amp; Assumptions'!$B$5*V750) + ('Methodology &amp; Assumptions'!$B$6*W750), 2)</f>
        <v/>
      </c>
      <c r="Y750" s="28" t="n">
        <v>11</v>
      </c>
      <c r="Z750" s="11" t="inlineStr">
        <is>
          <t>Priority Tier 3 (Broadband Expansion)</t>
        </is>
      </c>
    </row>
    <row r="751">
      <c r="A751" s="23" t="n">
        <v>4</v>
      </c>
      <c r="B751" s="23" t="n">
        <v>747</v>
      </c>
      <c r="C751" s="23" t="n">
        <v>3747</v>
      </c>
      <c r="D751" s="23" t="inlineStr">
        <is>
          <t>0803739014</t>
        </is>
      </c>
      <c r="E751" s="11" t="inlineStr">
        <is>
          <t>Region VIII (Eastern Visayas)</t>
        </is>
      </c>
      <c r="F751" s="11" t="inlineStr">
        <is>
          <t>Leyte</t>
        </is>
      </c>
      <c r="G751" s="11" t="inlineStr">
        <is>
          <t>Palo</t>
        </is>
      </c>
      <c r="H751" s="11" t="inlineStr">
        <is>
          <t>Cogon</t>
        </is>
      </c>
      <c r="I751" s="24" t="n">
        <v>11.146792</v>
      </c>
      <c r="J751" s="24" t="n">
        <v>125.001358</v>
      </c>
      <c r="K751" s="23" t="inlineStr">
        <is>
          <t>R</t>
        </is>
      </c>
      <c r="L751" s="25" t="n">
        <v>3047</v>
      </c>
      <c r="M751" s="26" t="n">
        <v>3.8</v>
      </c>
      <c r="N751" s="25">
        <f>ROUND(L751/M751, 0)</f>
        <v/>
      </c>
      <c r="O751" s="25">
        <f>ROUND(N751*'Methodology &amp; Assumptions'!$B$7, 0)</f>
        <v/>
      </c>
      <c r="P751" s="23" t="inlineStr">
        <is>
          <t>Single Carrier (Band n50, 100MHz TDD)</t>
        </is>
      </c>
      <c r="Q751" s="27">
        <f>ROUNDUP(O751/'Methodology &amp; Assumptions'!$B$8, 0)</f>
        <v/>
      </c>
      <c r="R751" s="27" t="n">
        <v>1</v>
      </c>
      <c r="S751" s="26" t="n">
        <v>0.36</v>
      </c>
      <c r="T751" s="26" t="n">
        <v>0.41</v>
      </c>
      <c r="U751" s="11">
        <f>IF(S751&lt;='Methodology &amp; Assumptions'!$B$10, "Direct Optical Drop (&lt;3km)", IF(S751&lt;='Methodology &amp; Assumptions'!$B$9, "Near Optical / Microwave (&lt;5km)", "Starlink Business LEO Satellite Backhaul (&gt;5km)"))</f>
        <v/>
      </c>
      <c r="V751" s="26" t="n">
        <v>85.89</v>
      </c>
      <c r="W751" s="26" t="n">
        <v>32.14</v>
      </c>
      <c r="X751" s="26">
        <f>ROUND(('Methodology &amp; Assumptions'!$B$5*V751) + ('Methodology &amp; Assumptions'!$B$6*W751), 2)</f>
        <v/>
      </c>
      <c r="Y751" s="28" t="n">
        <v>23.7</v>
      </c>
      <c r="Z751" s="11" t="inlineStr">
        <is>
          <t>Priority Tier 3 (Broadband Expansion)</t>
        </is>
      </c>
    </row>
    <row r="752">
      <c r="A752" s="23" t="n">
        <v>4</v>
      </c>
      <c r="B752" s="23" t="n">
        <v>748</v>
      </c>
      <c r="C752" s="23" t="n">
        <v>3748</v>
      </c>
      <c r="D752" s="23" t="inlineStr">
        <is>
          <t>1403213034</t>
        </is>
      </c>
      <c r="E752" s="11" t="inlineStr">
        <is>
          <t>Cordillera Administrative Region (CAR)</t>
        </is>
      </c>
      <c r="F752" s="11" t="inlineStr">
        <is>
          <t>Kalinga</t>
        </is>
      </c>
      <c r="G752" s="11" t="inlineStr">
        <is>
          <t>City of Tabuk</t>
        </is>
      </c>
      <c r="H752" s="11" t="inlineStr">
        <is>
          <t>Bulo</t>
        </is>
      </c>
      <c r="I752" s="24" t="n">
        <v>17.421842</v>
      </c>
      <c r="J752" s="24" t="n">
        <v>121.445169</v>
      </c>
      <c r="K752" s="23" t="inlineStr">
        <is>
          <t>R</t>
        </is>
      </c>
      <c r="L752" s="25" t="n">
        <v>3891</v>
      </c>
      <c r="M752" s="26" t="n">
        <v>4.3</v>
      </c>
      <c r="N752" s="25">
        <f>ROUND(L752/M752, 0)</f>
        <v/>
      </c>
      <c r="O752" s="25">
        <f>ROUND(N752*'Methodology &amp; Assumptions'!$B$7, 0)</f>
        <v/>
      </c>
      <c r="P752" s="23" t="inlineStr">
        <is>
          <t>Single Carrier (Band n50, 100MHz TDD)</t>
        </is>
      </c>
      <c r="Q752" s="27">
        <f>ROUNDUP(O752/'Methodology &amp; Assumptions'!$B$8, 0)</f>
        <v/>
      </c>
      <c r="R752" s="27" t="n">
        <v>1</v>
      </c>
      <c r="S752" s="26" t="n">
        <v>1.05</v>
      </c>
      <c r="T752" s="26" t="n">
        <v>1.03</v>
      </c>
      <c r="U752" s="11">
        <f>IF(S752&lt;='Methodology &amp; Assumptions'!$B$10, "Direct Optical Drop (&lt;3km)", IF(S752&lt;='Methodology &amp; Assumptions'!$B$9, "Near Optical / Microwave (&lt;5km)", "Starlink Business LEO Satellite Backhaul (&gt;5km)"))</f>
        <v/>
      </c>
      <c r="V752" s="26" t="n">
        <v>85.25</v>
      </c>
      <c r="W752" s="26" t="n">
        <v>32.79</v>
      </c>
      <c r="X752" s="26">
        <f>ROUND(('Methodology &amp; Assumptions'!$B$5*V752) + ('Methodology &amp; Assumptions'!$B$6*W752), 2)</f>
        <v/>
      </c>
      <c r="Y752" s="28" t="n">
        <v>10.9</v>
      </c>
      <c r="Z752" s="11" t="inlineStr">
        <is>
          <t>Priority Tier 3 (Broadband Expansion)</t>
        </is>
      </c>
    </row>
    <row r="753">
      <c r="A753" s="23" t="n">
        <v>4</v>
      </c>
      <c r="B753" s="23" t="n">
        <v>749</v>
      </c>
      <c r="C753" s="23" t="n">
        <v>3749</v>
      </c>
      <c r="D753" s="23" t="inlineStr">
        <is>
          <t>1430300034</t>
        </is>
      </c>
      <c r="E753" s="11" t="inlineStr">
        <is>
          <t>Cordillera Administrative Region (CAR)</t>
        </is>
      </c>
      <c r="F753" s="11" t="inlineStr">
        <is>
          <t>Benguet</t>
        </is>
      </c>
      <c r="G753" s="11" t="inlineStr">
        <is>
          <t>City of Baguio</t>
        </is>
      </c>
      <c r="H753" s="11" t="inlineStr">
        <is>
          <t>Quirino Hill, East</t>
        </is>
      </c>
      <c r="I753" s="24" t="n">
        <v>16.498342</v>
      </c>
      <c r="J753" s="24" t="n">
        <v>120.642897</v>
      </c>
      <c r="K753" s="23" t="inlineStr">
        <is>
          <t>R</t>
        </is>
      </c>
      <c r="L753" s="25" t="n">
        <v>3517</v>
      </c>
      <c r="M753" s="26" t="n">
        <v>3.8</v>
      </c>
      <c r="N753" s="25">
        <f>ROUND(L753/M753, 0)</f>
        <v/>
      </c>
      <c r="O753" s="25">
        <f>ROUND(N753*'Methodology &amp; Assumptions'!$B$7, 0)</f>
        <v/>
      </c>
      <c r="P753" s="23" t="inlineStr">
        <is>
          <t>Single Carrier (Band n50, 100MHz TDD)</t>
        </is>
      </c>
      <c r="Q753" s="27">
        <f>ROUNDUP(O753/'Methodology &amp; Assumptions'!$B$8, 0)</f>
        <v/>
      </c>
      <c r="R753" s="27" t="n">
        <v>1</v>
      </c>
      <c r="S753" s="26" t="n">
        <v>2.55</v>
      </c>
      <c r="T753" s="26" t="n">
        <v>0.86</v>
      </c>
      <c r="U753" s="11">
        <f>IF(S753&lt;='Methodology &amp; Assumptions'!$B$10, "Direct Optical Drop (&lt;3km)", IF(S753&lt;='Methodology &amp; Assumptions'!$B$9, "Near Optical / Microwave (&lt;5km)", "Starlink Business LEO Satellite Backhaul (&gt;5km)"))</f>
        <v/>
      </c>
      <c r="V753" s="26" t="n">
        <v>79.98</v>
      </c>
      <c r="W753" s="26" t="n">
        <v>38.05</v>
      </c>
      <c r="X753" s="26">
        <f>ROUND(('Methodology &amp; Assumptions'!$B$5*V753) + ('Methodology &amp; Assumptions'!$B$6*W753), 2)</f>
        <v/>
      </c>
      <c r="Y753" s="28" t="n">
        <v>10.9</v>
      </c>
      <c r="Z753" s="11" t="inlineStr">
        <is>
          <t>Priority Tier 3 (Broadband Expansion)</t>
        </is>
      </c>
    </row>
    <row r="754">
      <c r="A754" s="23" t="n">
        <v>4</v>
      </c>
      <c r="B754" s="23" t="n">
        <v>750</v>
      </c>
      <c r="C754" s="23" t="n">
        <v>3750</v>
      </c>
      <c r="D754" s="23" t="inlineStr">
        <is>
          <t>1430300087</t>
        </is>
      </c>
      <c r="E754" s="11" t="inlineStr">
        <is>
          <t>Cordillera Administrative Region (CAR)</t>
        </is>
      </c>
      <c r="F754" s="11" t="inlineStr">
        <is>
          <t>Benguet</t>
        </is>
      </c>
      <c r="G754" s="11" t="inlineStr">
        <is>
          <t>City of Baguio</t>
        </is>
      </c>
      <c r="H754" s="11" t="inlineStr">
        <is>
          <t>Pinsao Pilot Project</t>
        </is>
      </c>
      <c r="I754" s="24" t="n">
        <v>16.498342</v>
      </c>
      <c r="J754" s="24" t="n">
        <v>120.642897</v>
      </c>
      <c r="K754" s="23" t="inlineStr">
        <is>
          <t>R</t>
        </is>
      </c>
      <c r="L754" s="25" t="n">
        <v>4790</v>
      </c>
      <c r="M754" s="26" t="n">
        <v>3.8</v>
      </c>
      <c r="N754" s="25">
        <f>ROUND(L754/M754, 0)</f>
        <v/>
      </c>
      <c r="O754" s="25">
        <f>ROUND(N754*'Methodology &amp; Assumptions'!$B$7, 0)</f>
        <v/>
      </c>
      <c r="P754" s="23" t="inlineStr">
        <is>
          <t>Single Carrier (Band n50, 100MHz TDD)</t>
        </is>
      </c>
      <c r="Q754" s="27">
        <f>ROUNDUP(O754/'Methodology &amp; Assumptions'!$B$8, 0)</f>
        <v/>
      </c>
      <c r="R754" s="27" t="n">
        <v>1</v>
      </c>
      <c r="S754" s="26" t="n">
        <v>2.55</v>
      </c>
      <c r="T754" s="26" t="n">
        <v>0.86</v>
      </c>
      <c r="U754" s="11">
        <f>IF(S754&lt;='Methodology &amp; Assumptions'!$B$10, "Direct Optical Drop (&lt;3km)", IF(S754&lt;='Methodology &amp; Assumptions'!$B$9, "Near Optical / Microwave (&lt;5km)", "Starlink Business LEO Satellite Backhaul (&gt;5km)"))</f>
        <v/>
      </c>
      <c r="V754" s="26" t="n">
        <v>79.98</v>
      </c>
      <c r="W754" s="26" t="n">
        <v>38.05</v>
      </c>
      <c r="X754" s="26">
        <f>ROUND(('Methodology &amp; Assumptions'!$B$5*V754) + ('Methodology &amp; Assumptions'!$B$6*W754), 2)</f>
        <v/>
      </c>
      <c r="Y754" s="28" t="n">
        <v>10.9</v>
      </c>
      <c r="Z754" s="11" t="inlineStr">
        <is>
          <t>Priority Tier 3 (Broadband Expansion)</t>
        </is>
      </c>
    </row>
    <row r="755">
      <c r="A755" s="23" t="n">
        <v>4</v>
      </c>
      <c r="B755" s="23" t="n">
        <v>751</v>
      </c>
      <c r="C755" s="23" t="n">
        <v>3751</v>
      </c>
      <c r="D755" s="23" t="inlineStr">
        <is>
          <t>1430300126</t>
        </is>
      </c>
      <c r="E755" s="11" t="inlineStr">
        <is>
          <t>Cordillera Administrative Region (CAR)</t>
        </is>
      </c>
      <c r="F755" s="11" t="inlineStr">
        <is>
          <t>Benguet</t>
        </is>
      </c>
      <c r="G755" s="11" t="inlineStr">
        <is>
          <t>City of Baguio</t>
        </is>
      </c>
      <c r="H755" s="11" t="inlineStr">
        <is>
          <t>Ambiong</t>
        </is>
      </c>
      <c r="I755" s="24" t="n">
        <v>16.498342</v>
      </c>
      <c r="J755" s="24" t="n">
        <v>120.642897</v>
      </c>
      <c r="K755" s="23" t="inlineStr">
        <is>
          <t>R</t>
        </is>
      </c>
      <c r="L755" s="25" t="n">
        <v>3340</v>
      </c>
      <c r="M755" s="26" t="n">
        <v>3.8</v>
      </c>
      <c r="N755" s="25">
        <f>ROUND(L755/M755, 0)</f>
        <v/>
      </c>
      <c r="O755" s="25">
        <f>ROUND(N755*'Methodology &amp; Assumptions'!$B$7, 0)</f>
        <v/>
      </c>
      <c r="P755" s="23" t="inlineStr">
        <is>
          <t>Single Carrier (Band n50, 100MHz TDD)</t>
        </is>
      </c>
      <c r="Q755" s="27">
        <f>ROUNDUP(O755/'Methodology &amp; Assumptions'!$B$8, 0)</f>
        <v/>
      </c>
      <c r="R755" s="27" t="n">
        <v>1</v>
      </c>
      <c r="S755" s="26" t="n">
        <v>2.55</v>
      </c>
      <c r="T755" s="26" t="n">
        <v>0.86</v>
      </c>
      <c r="U755" s="11">
        <f>IF(S755&lt;='Methodology &amp; Assumptions'!$B$10, "Direct Optical Drop (&lt;3km)", IF(S755&lt;='Methodology &amp; Assumptions'!$B$9, "Near Optical / Microwave (&lt;5km)", "Starlink Business LEO Satellite Backhaul (&gt;5km)"))</f>
        <v/>
      </c>
      <c r="V755" s="26" t="n">
        <v>79.98</v>
      </c>
      <c r="W755" s="26" t="n">
        <v>38.05</v>
      </c>
      <c r="X755" s="26">
        <f>ROUND(('Methodology &amp; Assumptions'!$B$5*V755) + ('Methodology &amp; Assumptions'!$B$6*W755), 2)</f>
        <v/>
      </c>
      <c r="Y755" s="28" t="n">
        <v>10.9</v>
      </c>
      <c r="Z755" s="11" t="inlineStr">
        <is>
          <t>Priority Tier 3 (Broadband Expansion)</t>
        </is>
      </c>
    </row>
    <row r="756">
      <c r="A756" s="23" t="n">
        <v>4</v>
      </c>
      <c r="B756" s="23" t="n">
        <v>752</v>
      </c>
      <c r="C756" s="23" t="n">
        <v>3752</v>
      </c>
      <c r="D756" s="23" t="inlineStr">
        <is>
          <t>1430300135</t>
        </is>
      </c>
      <c r="E756" s="11" t="inlineStr">
        <is>
          <t>Cordillera Administrative Region (CAR)</t>
        </is>
      </c>
      <c r="F756" s="11" t="inlineStr">
        <is>
          <t>Benguet</t>
        </is>
      </c>
      <c r="G756" s="11" t="inlineStr">
        <is>
          <t>City of Baguio</t>
        </is>
      </c>
      <c r="H756" s="11" t="inlineStr">
        <is>
          <t>Dominican Hill-Mirador</t>
        </is>
      </c>
      <c r="I756" s="24" t="n">
        <v>16.498342</v>
      </c>
      <c r="J756" s="24" t="n">
        <v>120.642897</v>
      </c>
      <c r="K756" s="23" t="inlineStr">
        <is>
          <t>R</t>
        </is>
      </c>
      <c r="L756" s="25" t="n">
        <v>4845</v>
      </c>
      <c r="M756" s="26" t="n">
        <v>3.8</v>
      </c>
      <c r="N756" s="25">
        <f>ROUND(L756/M756, 0)</f>
        <v/>
      </c>
      <c r="O756" s="25">
        <f>ROUND(N756*'Methodology &amp; Assumptions'!$B$7, 0)</f>
        <v/>
      </c>
      <c r="P756" s="23" t="inlineStr">
        <is>
          <t>Single Carrier (Band n50, 100MHz TDD)</t>
        </is>
      </c>
      <c r="Q756" s="27">
        <f>ROUNDUP(O756/'Methodology &amp; Assumptions'!$B$8, 0)</f>
        <v/>
      </c>
      <c r="R756" s="27" t="n">
        <v>1</v>
      </c>
      <c r="S756" s="26" t="n">
        <v>2.55</v>
      </c>
      <c r="T756" s="26" t="n">
        <v>0.86</v>
      </c>
      <c r="U756" s="11">
        <f>IF(S756&lt;='Methodology &amp; Assumptions'!$B$10, "Direct Optical Drop (&lt;3km)", IF(S756&lt;='Methodology &amp; Assumptions'!$B$9, "Near Optical / Microwave (&lt;5km)", "Starlink Business LEO Satellite Backhaul (&gt;5km)"))</f>
        <v/>
      </c>
      <c r="V756" s="26" t="n">
        <v>79.98</v>
      </c>
      <c r="W756" s="26" t="n">
        <v>38.05</v>
      </c>
      <c r="X756" s="26">
        <f>ROUND(('Methodology &amp; Assumptions'!$B$5*V756) + ('Methodology &amp; Assumptions'!$B$6*W756), 2)</f>
        <v/>
      </c>
      <c r="Y756" s="28" t="n">
        <v>10.9</v>
      </c>
      <c r="Z756" s="11" t="inlineStr">
        <is>
          <t>Priority Tier 3 (Broadband Expansion)</t>
        </is>
      </c>
    </row>
    <row r="757">
      <c r="A757" s="23" t="n">
        <v>4</v>
      </c>
      <c r="B757" s="23" t="n">
        <v>753</v>
      </c>
      <c r="C757" s="23" t="n">
        <v>3753</v>
      </c>
      <c r="D757" s="23" t="inlineStr">
        <is>
          <t>1430300141</t>
        </is>
      </c>
      <c r="E757" s="11" t="inlineStr">
        <is>
          <t>Cordillera Administrative Region (CAR)</t>
        </is>
      </c>
      <c r="F757" s="11" t="inlineStr">
        <is>
          <t>Benguet</t>
        </is>
      </c>
      <c r="G757" s="11" t="inlineStr">
        <is>
          <t>City of Baguio</t>
        </is>
      </c>
      <c r="H757" s="11" t="inlineStr">
        <is>
          <t>Honeymoon</t>
        </is>
      </c>
      <c r="I757" s="24" t="n">
        <v>16.498342</v>
      </c>
      <c r="J757" s="24" t="n">
        <v>120.642897</v>
      </c>
      <c r="K757" s="23" t="inlineStr">
        <is>
          <t>R</t>
        </is>
      </c>
      <c r="L757" s="25" t="n">
        <v>3327</v>
      </c>
      <c r="M757" s="26" t="n">
        <v>3.8</v>
      </c>
      <c r="N757" s="25">
        <f>ROUND(L757/M757, 0)</f>
        <v/>
      </c>
      <c r="O757" s="25">
        <f>ROUND(N757*'Methodology &amp; Assumptions'!$B$7, 0)</f>
        <v/>
      </c>
      <c r="P757" s="23" t="inlineStr">
        <is>
          <t>Single Carrier (Band n50, 100MHz TDD)</t>
        </is>
      </c>
      <c r="Q757" s="27">
        <f>ROUNDUP(O757/'Methodology &amp; Assumptions'!$B$8, 0)</f>
        <v/>
      </c>
      <c r="R757" s="27" t="n">
        <v>1</v>
      </c>
      <c r="S757" s="26" t="n">
        <v>2.55</v>
      </c>
      <c r="T757" s="26" t="n">
        <v>0.86</v>
      </c>
      <c r="U757" s="11">
        <f>IF(S757&lt;='Methodology &amp; Assumptions'!$B$10, "Direct Optical Drop (&lt;3km)", IF(S757&lt;='Methodology &amp; Assumptions'!$B$9, "Near Optical / Microwave (&lt;5km)", "Starlink Business LEO Satellite Backhaul (&gt;5km)"))</f>
        <v/>
      </c>
      <c r="V757" s="26" t="n">
        <v>79.98</v>
      </c>
      <c r="W757" s="26" t="n">
        <v>38.05</v>
      </c>
      <c r="X757" s="26">
        <f>ROUND(('Methodology &amp; Assumptions'!$B$5*V757) + ('Methodology &amp; Assumptions'!$B$6*W757), 2)</f>
        <v/>
      </c>
      <c r="Y757" s="28" t="n">
        <v>10.9</v>
      </c>
      <c r="Z757" s="11" t="inlineStr">
        <is>
          <t>Priority Tier 3 (Broadband Expansion)</t>
        </is>
      </c>
    </row>
    <row r="758">
      <c r="A758" s="23" t="n">
        <v>4</v>
      </c>
      <c r="B758" s="23" t="n">
        <v>754</v>
      </c>
      <c r="C758" s="23" t="n">
        <v>3754</v>
      </c>
      <c r="D758" s="23" t="inlineStr">
        <is>
          <t>1430300145</t>
        </is>
      </c>
      <c r="E758" s="11" t="inlineStr">
        <is>
          <t>Cordillera Administrative Region (CAR)</t>
        </is>
      </c>
      <c r="F758" s="11" t="inlineStr">
        <is>
          <t>Benguet</t>
        </is>
      </c>
      <c r="G758" s="11" t="inlineStr">
        <is>
          <t>City of Baguio</t>
        </is>
      </c>
      <c r="H758" s="11" t="inlineStr">
        <is>
          <t>Liwanag-Loakan</t>
        </is>
      </c>
      <c r="I758" s="24" t="n">
        <v>16.498342</v>
      </c>
      <c r="J758" s="24" t="n">
        <v>120.642897</v>
      </c>
      <c r="K758" s="23" t="inlineStr">
        <is>
          <t>R</t>
        </is>
      </c>
      <c r="L758" s="25" t="n">
        <v>4868</v>
      </c>
      <c r="M758" s="26" t="n">
        <v>3.8</v>
      </c>
      <c r="N758" s="25">
        <f>ROUND(L758/M758, 0)</f>
        <v/>
      </c>
      <c r="O758" s="25">
        <f>ROUND(N758*'Methodology &amp; Assumptions'!$B$7, 0)</f>
        <v/>
      </c>
      <c r="P758" s="23" t="inlineStr">
        <is>
          <t>Single Carrier (Band n50, 100MHz TDD)</t>
        </is>
      </c>
      <c r="Q758" s="27">
        <f>ROUNDUP(O758/'Methodology &amp; Assumptions'!$B$8, 0)</f>
        <v/>
      </c>
      <c r="R758" s="27" t="n">
        <v>1</v>
      </c>
      <c r="S758" s="26" t="n">
        <v>2.55</v>
      </c>
      <c r="T758" s="26" t="n">
        <v>0.86</v>
      </c>
      <c r="U758" s="11">
        <f>IF(S758&lt;='Methodology &amp; Assumptions'!$B$10, "Direct Optical Drop (&lt;3km)", IF(S758&lt;='Methodology &amp; Assumptions'!$B$9, "Near Optical / Microwave (&lt;5km)", "Starlink Business LEO Satellite Backhaul (&gt;5km)"))</f>
        <v/>
      </c>
      <c r="V758" s="26" t="n">
        <v>79.98</v>
      </c>
      <c r="W758" s="26" t="n">
        <v>38.05</v>
      </c>
      <c r="X758" s="26">
        <f>ROUND(('Methodology &amp; Assumptions'!$B$5*V758) + ('Methodology &amp; Assumptions'!$B$6*W758), 2)</f>
        <v/>
      </c>
      <c r="Y758" s="28" t="n">
        <v>10.9</v>
      </c>
      <c r="Z758" s="11" t="inlineStr">
        <is>
          <t>Priority Tier 3 (Broadband Expansion)</t>
        </is>
      </c>
    </row>
    <row r="759">
      <c r="A759" s="23" t="n">
        <v>4</v>
      </c>
      <c r="B759" s="23" t="n">
        <v>755</v>
      </c>
      <c r="C759" s="23" t="n">
        <v>3755</v>
      </c>
      <c r="D759" s="23" t="inlineStr">
        <is>
          <t>1430300154</t>
        </is>
      </c>
      <c r="E759" s="11" t="inlineStr">
        <is>
          <t>Cordillera Administrative Region (CAR)</t>
        </is>
      </c>
      <c r="F759" s="11" t="inlineStr">
        <is>
          <t>Benguet</t>
        </is>
      </c>
      <c r="G759" s="11" t="inlineStr">
        <is>
          <t>City of Baguio</t>
        </is>
      </c>
      <c r="H759" s="11" t="inlineStr">
        <is>
          <t>Middle Quezon Hill Subdivision</t>
        </is>
      </c>
      <c r="I759" s="24" t="n">
        <v>16.498342</v>
      </c>
      <c r="J759" s="24" t="n">
        <v>120.642897</v>
      </c>
      <c r="K759" s="23" t="inlineStr">
        <is>
          <t>R</t>
        </is>
      </c>
      <c r="L759" s="25" t="n">
        <v>3585</v>
      </c>
      <c r="M759" s="26" t="n">
        <v>3.8</v>
      </c>
      <c r="N759" s="25">
        <f>ROUND(L759/M759, 0)</f>
        <v/>
      </c>
      <c r="O759" s="25">
        <f>ROUND(N759*'Methodology &amp; Assumptions'!$B$7, 0)</f>
        <v/>
      </c>
      <c r="P759" s="23" t="inlineStr">
        <is>
          <t>Single Carrier (Band n50, 100MHz TDD)</t>
        </is>
      </c>
      <c r="Q759" s="27">
        <f>ROUNDUP(O759/'Methodology &amp; Assumptions'!$B$8, 0)</f>
        <v/>
      </c>
      <c r="R759" s="27" t="n">
        <v>1</v>
      </c>
      <c r="S759" s="26" t="n">
        <v>2.55</v>
      </c>
      <c r="T759" s="26" t="n">
        <v>0.86</v>
      </c>
      <c r="U759" s="11">
        <f>IF(S759&lt;='Methodology &amp; Assumptions'!$B$10, "Direct Optical Drop (&lt;3km)", IF(S759&lt;='Methodology &amp; Assumptions'!$B$9, "Near Optical / Microwave (&lt;5km)", "Starlink Business LEO Satellite Backhaul (&gt;5km)"))</f>
        <v/>
      </c>
      <c r="V759" s="26" t="n">
        <v>79.98</v>
      </c>
      <c r="W759" s="26" t="n">
        <v>38.05</v>
      </c>
      <c r="X759" s="26">
        <f>ROUND(('Methodology &amp; Assumptions'!$B$5*V759) + ('Methodology &amp; Assumptions'!$B$6*W759), 2)</f>
        <v/>
      </c>
      <c r="Y759" s="28" t="n">
        <v>10.9</v>
      </c>
      <c r="Z759" s="11" t="inlineStr">
        <is>
          <t>Priority Tier 3 (Broadband Expansion)</t>
        </is>
      </c>
    </row>
    <row r="760">
      <c r="A760" s="23" t="n">
        <v>4</v>
      </c>
      <c r="B760" s="23" t="n">
        <v>756</v>
      </c>
      <c r="C760" s="23" t="n">
        <v>3756</v>
      </c>
      <c r="D760" s="23" t="inlineStr">
        <is>
          <t>0305411004</t>
        </is>
      </c>
      <c r="E760" s="11" t="inlineStr">
        <is>
          <t>Region III (Central Luzon)</t>
        </is>
      </c>
      <c r="F760" s="11" t="inlineStr">
        <is>
          <t>Pampanga</t>
        </is>
      </c>
      <c r="G760" s="11" t="inlineStr">
        <is>
          <t>Magalang</t>
        </is>
      </c>
      <c r="H760" s="11" t="inlineStr">
        <is>
          <t>La Paz</t>
        </is>
      </c>
      <c r="I760" s="24" t="n">
        <v>15.226073</v>
      </c>
      <c r="J760" s="24" t="n">
        <v>120.644976</v>
      </c>
      <c r="K760" s="23" t="inlineStr">
        <is>
          <t>R</t>
        </is>
      </c>
      <c r="L760" s="25" t="n">
        <v>2623</v>
      </c>
      <c r="M760" s="26" t="n">
        <v>4</v>
      </c>
      <c r="N760" s="25">
        <f>ROUND(L760/M760, 0)</f>
        <v/>
      </c>
      <c r="O760" s="25">
        <f>ROUND(N760*'Methodology &amp; Assumptions'!$B$7, 0)</f>
        <v/>
      </c>
      <c r="P760" s="23" t="inlineStr">
        <is>
          <t>Single Carrier (Band n50, 100MHz TDD)</t>
        </is>
      </c>
      <c r="Q760" s="27">
        <f>ROUNDUP(O760/'Methodology &amp; Assumptions'!$B$8, 0)</f>
        <v/>
      </c>
      <c r="R760" s="27" t="n">
        <v>1</v>
      </c>
      <c r="S760" s="26" t="n">
        <v>0.9399999999999999</v>
      </c>
      <c r="T760" s="26" t="n">
        <v>1.69</v>
      </c>
      <c r="U760" s="11">
        <f>IF(S760&lt;='Methodology &amp; Assumptions'!$B$10, "Direct Optical Drop (&lt;3km)", IF(S760&lt;='Methodology &amp; Assumptions'!$B$9, "Near Optical / Microwave (&lt;5km)", "Starlink Business LEO Satellite Backhaul (&gt;5km)"))</f>
        <v/>
      </c>
      <c r="V760" s="26" t="n">
        <v>79.97</v>
      </c>
      <c r="W760" s="26" t="n">
        <v>38.06</v>
      </c>
      <c r="X760" s="26">
        <f>ROUND(('Methodology &amp; Assumptions'!$B$5*V760) + ('Methodology &amp; Assumptions'!$B$6*W760), 2)</f>
        <v/>
      </c>
      <c r="Y760" s="28" t="n">
        <v>8.300000000000001</v>
      </c>
      <c r="Z760" s="11" t="inlineStr">
        <is>
          <t>Priority Tier 3 (Broadband Expansion)</t>
        </is>
      </c>
    </row>
    <row r="761">
      <c r="A761" s="23" t="n">
        <v>4</v>
      </c>
      <c r="B761" s="23" t="n">
        <v>757</v>
      </c>
      <c r="C761" s="23" t="n">
        <v>3757</v>
      </c>
      <c r="D761" s="23" t="inlineStr">
        <is>
          <t>0305413018</t>
        </is>
      </c>
      <c r="E761" s="11" t="inlineStr">
        <is>
          <t>Region III (Central Luzon)</t>
        </is>
      </c>
      <c r="F761" s="11" t="inlineStr">
        <is>
          <t>Pampanga</t>
        </is>
      </c>
      <c r="G761" s="11" t="inlineStr">
        <is>
          <t>Mexico</t>
        </is>
      </c>
      <c r="H761" s="11" t="inlineStr">
        <is>
          <t>Masangsang</t>
        </is>
      </c>
      <c r="I761" s="24" t="n">
        <v>15.061923</v>
      </c>
      <c r="J761" s="24" t="n">
        <v>120.716904</v>
      </c>
      <c r="K761" s="23" t="inlineStr">
        <is>
          <t>U</t>
        </is>
      </c>
      <c r="L761" s="25" t="n">
        <v>3389</v>
      </c>
      <c r="M761" s="26" t="n">
        <v>4</v>
      </c>
      <c r="N761" s="25">
        <f>ROUND(L761/M761, 0)</f>
        <v/>
      </c>
      <c r="O761" s="25">
        <f>ROUND(N761*'Methodology &amp; Assumptions'!$B$7, 0)</f>
        <v/>
      </c>
      <c r="P761" s="23" t="inlineStr">
        <is>
          <t>Single Carrier (Band n50, 100MHz TDD)</t>
        </is>
      </c>
      <c r="Q761" s="27">
        <f>ROUNDUP(O761/'Methodology &amp; Assumptions'!$B$8, 0)</f>
        <v/>
      </c>
      <c r="R761" s="27" t="n">
        <v>1</v>
      </c>
      <c r="S761" s="26" t="n">
        <v>1.9</v>
      </c>
      <c r="T761" s="26" t="n">
        <v>0.36</v>
      </c>
      <c r="U761" s="11">
        <f>IF(S761&lt;='Methodology &amp; Assumptions'!$B$10, "Direct Optical Drop (&lt;3km)", IF(S761&lt;='Methodology &amp; Assumptions'!$B$9, "Near Optical / Microwave (&lt;5km)", "Starlink Business LEO Satellite Backhaul (&gt;5km)"))</f>
        <v/>
      </c>
      <c r="V761" s="26" t="n">
        <v>74.53</v>
      </c>
      <c r="W761" s="26" t="n">
        <v>43.52</v>
      </c>
      <c r="X761" s="26">
        <f>ROUND(('Methodology &amp; Assumptions'!$B$5*V761) + ('Methodology &amp; Assumptions'!$B$6*W761), 2)</f>
        <v/>
      </c>
      <c r="Y761" s="28" t="n">
        <v>8.300000000000001</v>
      </c>
      <c r="Z761" s="11" t="inlineStr">
        <is>
          <t>Priority Tier 3 (Broadband Expansion)</t>
        </is>
      </c>
    </row>
    <row r="762">
      <c r="A762" s="23" t="n">
        <v>4</v>
      </c>
      <c r="B762" s="23" t="n">
        <v>758</v>
      </c>
      <c r="C762" s="23" t="n">
        <v>3758</v>
      </c>
      <c r="D762" s="23" t="inlineStr">
        <is>
          <t>0704619008</t>
        </is>
      </c>
      <c r="E762" s="11" t="inlineStr">
        <is>
          <t>Region VII (Central Visayas)</t>
        </is>
      </c>
      <c r="F762" s="11" t="inlineStr">
        <is>
          <t>Negros Oriental</t>
        </is>
      </c>
      <c r="G762" s="11" t="inlineStr">
        <is>
          <t>Siaton</t>
        </is>
      </c>
      <c r="H762" s="11" t="inlineStr">
        <is>
          <t>Casala-an</t>
        </is>
      </c>
      <c r="I762" s="24" t="n">
        <v>9.150600000000001</v>
      </c>
      <c r="J762" s="24" t="n">
        <v>123.02959</v>
      </c>
      <c r="K762" s="23" t="inlineStr">
        <is>
          <t>R</t>
        </is>
      </c>
      <c r="L762" s="25" t="n">
        <v>4277</v>
      </c>
      <c r="M762" s="26" t="n">
        <v>3.8</v>
      </c>
      <c r="N762" s="25">
        <f>ROUND(L762/M762, 0)</f>
        <v/>
      </c>
      <c r="O762" s="25">
        <f>ROUND(N762*'Methodology &amp; Assumptions'!$B$7, 0)</f>
        <v/>
      </c>
      <c r="P762" s="23" t="inlineStr">
        <is>
          <t>Single Carrier (Band n50, 100MHz TDD)</t>
        </is>
      </c>
      <c r="Q762" s="27">
        <f>ROUNDUP(O762/'Methodology &amp; Assumptions'!$B$8, 0)</f>
        <v/>
      </c>
      <c r="R762" s="27" t="n">
        <v>1</v>
      </c>
      <c r="S762" s="26" t="n">
        <v>9.92</v>
      </c>
      <c r="T762" s="26" t="n">
        <v>9.91</v>
      </c>
      <c r="U762" s="11">
        <f>IF(S762&lt;='Methodology &amp; Assumptions'!$B$10, "Direct Optical Drop (&lt;3km)", IF(S762&lt;='Methodology &amp; Assumptions'!$B$9, "Near Optical / Microwave (&lt;5km)", "Starlink Business LEO Satellite Backhaul (&gt;5km)"))</f>
        <v/>
      </c>
      <c r="V762" s="26" t="n">
        <v>67.64</v>
      </c>
      <c r="W762" s="26" t="n">
        <v>50.41</v>
      </c>
      <c r="X762" s="26">
        <f>ROUND(('Methodology &amp; Assumptions'!$B$5*V762) + ('Methodology &amp; Assumptions'!$B$6*W762), 2)</f>
        <v/>
      </c>
      <c r="Y762" s="28" t="n">
        <v>23.7</v>
      </c>
      <c r="Z762" s="11" t="inlineStr">
        <is>
          <t>Priority Tier 3 (Broadband Expansion)</t>
        </is>
      </c>
    </row>
    <row r="763">
      <c r="A763" s="23" t="n">
        <v>4</v>
      </c>
      <c r="B763" s="23" t="n">
        <v>759</v>
      </c>
      <c r="C763" s="23" t="n">
        <v>3759</v>
      </c>
      <c r="D763" s="23" t="inlineStr">
        <is>
          <t>1381100198</t>
        </is>
      </c>
      <c r="E763" s="11" t="inlineStr">
        <is>
          <t>National Capital Region (NCR)</t>
        </is>
      </c>
      <c r="F763" s="11" t="inlineStr">
        <is>
          <t>Fourth District (Not a Province)</t>
        </is>
      </c>
      <c r="G763" s="11" t="inlineStr">
        <is>
          <t>Pasay City</t>
        </is>
      </c>
      <c r="H763" s="11" t="inlineStr">
        <is>
          <t>Barangay 198</t>
        </is>
      </c>
      <c r="I763" s="24" t="n">
        <v>14.510029</v>
      </c>
      <c r="J763" s="24" t="n">
        <v>121.003561</v>
      </c>
      <c r="K763" s="23" t="inlineStr">
        <is>
          <t>U</t>
        </is>
      </c>
      <c r="L763" s="25" t="n">
        <v>1645</v>
      </c>
      <c r="M763" s="26" t="n">
        <v>3.62</v>
      </c>
      <c r="N763" s="25">
        <f>ROUND(L763/M763, 0)</f>
        <v/>
      </c>
      <c r="O763" s="25">
        <f>ROUND(N763*'Methodology &amp; Assumptions'!$B$7, 0)</f>
        <v/>
      </c>
      <c r="P763" s="23" t="inlineStr">
        <is>
          <t>Single Carrier (Band n50, 100MHz TDD)</t>
        </is>
      </c>
      <c r="Q763" s="27">
        <f>ROUNDUP(O763/'Methodology &amp; Assumptions'!$B$8, 0)</f>
        <v/>
      </c>
      <c r="R763" s="27" t="n">
        <v>1</v>
      </c>
      <c r="S763" s="26" t="n">
        <v>0.86</v>
      </c>
      <c r="T763" s="26" t="n">
        <v>0.55</v>
      </c>
      <c r="U763" s="11">
        <f>IF(S763&lt;='Methodology &amp; Assumptions'!$B$10, "Direct Optical Drop (&lt;3km)", IF(S763&lt;='Methodology &amp; Assumptions'!$B$9, "Near Optical / Microwave (&lt;5km)", "Starlink Business LEO Satellite Backhaul (&gt;5km)"))</f>
        <v/>
      </c>
      <c r="V763" s="26" t="n">
        <v>55.61</v>
      </c>
      <c r="W763" s="26" t="n">
        <v>62.44</v>
      </c>
      <c r="X763" s="26">
        <f>ROUND(('Methodology &amp; Assumptions'!$B$5*V763) + ('Methodology &amp; Assumptions'!$B$6*W763), 2)</f>
        <v/>
      </c>
      <c r="Y763" s="28" t="n">
        <v>10.9</v>
      </c>
      <c r="Z763" s="11" t="inlineStr">
        <is>
          <t>Priority Tier 3 (Broadband Expansion)</t>
        </is>
      </c>
    </row>
    <row r="764">
      <c r="A764" s="23" t="n">
        <v>4</v>
      </c>
      <c r="B764" s="23" t="n">
        <v>760</v>
      </c>
      <c r="C764" s="23" t="n">
        <v>3760</v>
      </c>
      <c r="D764" s="23" t="inlineStr">
        <is>
          <t>1380614075</t>
        </is>
      </c>
      <c r="E764" s="11" t="inlineStr">
        <is>
          <t>National Capital Region (NCR)</t>
        </is>
      </c>
      <c r="F764" s="11" t="inlineStr">
        <is>
          <t>First District (Not a Province)</t>
        </is>
      </c>
      <c r="G764" s="11" t="inlineStr">
        <is>
          <t>City of Manila</t>
        </is>
      </c>
      <c r="H764" s="11" t="inlineStr">
        <is>
          <t>Barangay 882</t>
        </is>
      </c>
      <c r="I764" s="24" t="n">
        <v>14.57886</v>
      </c>
      <c r="J764" s="24" t="n">
        <v>121.0143</v>
      </c>
      <c r="K764" s="23" t="inlineStr">
        <is>
          <t>U</t>
        </is>
      </c>
      <c r="L764" s="25" t="n">
        <v>1312</v>
      </c>
      <c r="M764" s="26" t="n">
        <v>4.32</v>
      </c>
      <c r="N764" s="25">
        <f>ROUND(L764/M764, 0)</f>
        <v/>
      </c>
      <c r="O764" s="25">
        <f>ROUND(N764*'Methodology &amp; Assumptions'!$B$7, 0)</f>
        <v/>
      </c>
      <c r="P764" s="23" t="inlineStr">
        <is>
          <t>Single Carrier (Band n50, 100MHz TDD)</t>
        </is>
      </c>
      <c r="Q764" s="27">
        <f>ROUNDUP(O764/'Methodology &amp; Assumptions'!$B$8, 0)</f>
        <v/>
      </c>
      <c r="R764" s="27" t="n">
        <v>1</v>
      </c>
      <c r="S764" s="26" t="n">
        <v>1.39</v>
      </c>
      <c r="T764" s="26" t="n">
        <v>0.34</v>
      </c>
      <c r="U764" s="11">
        <f>IF(S764&lt;='Methodology &amp; Assumptions'!$B$10, "Direct Optical Drop (&lt;3km)", IF(S764&lt;='Methodology &amp; Assumptions'!$B$9, "Near Optical / Microwave (&lt;5km)", "Starlink Business LEO Satellite Backhaul (&gt;5km)"))</f>
        <v/>
      </c>
      <c r="V764" s="26" t="n">
        <v>48.77</v>
      </c>
      <c r="W764" s="26" t="n">
        <v>69.27</v>
      </c>
      <c r="X764" s="26">
        <f>ROUND(('Methodology &amp; Assumptions'!$B$5*V764) + ('Methodology &amp; Assumptions'!$B$6*W764), 2)</f>
        <v/>
      </c>
      <c r="Y764" s="28" t="n">
        <v>10.9</v>
      </c>
      <c r="Z764" s="11" t="inlineStr">
        <is>
          <t>Priority Tier 3 (Broadband Expansion)</t>
        </is>
      </c>
    </row>
    <row r="765">
      <c r="A765" s="23" t="n">
        <v>4</v>
      </c>
      <c r="B765" s="23" t="n">
        <v>761</v>
      </c>
      <c r="C765" s="23" t="n">
        <v>3761</v>
      </c>
      <c r="D765" s="23" t="inlineStr">
        <is>
          <t>0105520005</t>
        </is>
      </c>
      <c r="E765" s="11" t="inlineStr">
        <is>
          <t>Region I (Ilocos Region)</t>
        </is>
      </c>
      <c r="F765" s="11" t="inlineStr">
        <is>
          <t>Pangasinan</t>
        </is>
      </c>
      <c r="G765" s="11" t="inlineStr">
        <is>
          <t>Infanta</t>
        </is>
      </c>
      <c r="H765" s="11" t="inlineStr">
        <is>
          <t>Cato</t>
        </is>
      </c>
      <c r="I765" s="24" t="n">
        <v>15.835729</v>
      </c>
      <c r="J765" s="24" t="n">
        <v>119.91533</v>
      </c>
      <c r="K765" s="23" t="inlineStr">
        <is>
          <t>R</t>
        </is>
      </c>
      <c r="L765" s="25" t="n">
        <v>4888</v>
      </c>
      <c r="M765" s="26" t="n">
        <v>3.6</v>
      </c>
      <c r="N765" s="25">
        <f>ROUND(L765/M765, 0)</f>
        <v/>
      </c>
      <c r="O765" s="25">
        <f>ROUND(N765*'Methodology &amp; Assumptions'!$B$7, 0)</f>
        <v/>
      </c>
      <c r="P765" s="23" t="inlineStr">
        <is>
          <t>Single Carrier (Band n50, 100MHz TDD)</t>
        </is>
      </c>
      <c r="Q765" s="27">
        <f>ROUNDUP(O765/'Methodology &amp; Assumptions'!$B$8, 0)</f>
        <v/>
      </c>
      <c r="R765" s="27" t="n">
        <v>1</v>
      </c>
      <c r="S765" s="26" t="n">
        <v>1.2</v>
      </c>
      <c r="T765" s="26" t="n">
        <v>0.15</v>
      </c>
      <c r="U765" s="11">
        <f>IF(S765&lt;='Methodology &amp; Assumptions'!$B$10, "Direct Optical Drop (&lt;3km)", IF(S765&lt;='Methodology &amp; Assumptions'!$B$9, "Near Optical / Microwave (&lt;5km)", "Starlink Business LEO Satellite Backhaul (&gt;5km)"))</f>
        <v/>
      </c>
      <c r="V765" s="26" t="n">
        <v>84.25</v>
      </c>
      <c r="W765" s="26" t="n">
        <v>33.77</v>
      </c>
      <c r="X765" s="26">
        <f>ROUND(('Methodology &amp; Assumptions'!$B$5*V765) + ('Methodology &amp; Assumptions'!$B$6*W765), 2)</f>
        <v/>
      </c>
      <c r="Y765" s="28" t="n">
        <v>8.300000000000001</v>
      </c>
      <c r="Z765" s="11" t="inlineStr">
        <is>
          <t>Priority Tier 3 (Broadband Expansion)</t>
        </is>
      </c>
    </row>
    <row r="766">
      <c r="A766" s="23" t="n">
        <v>4</v>
      </c>
      <c r="B766" s="23" t="n">
        <v>762</v>
      </c>
      <c r="C766" s="23" t="n">
        <v>3762</v>
      </c>
      <c r="D766" s="23" t="inlineStr">
        <is>
          <t>0304902022</t>
        </is>
      </c>
      <c r="E766" s="11" t="inlineStr">
        <is>
          <t>Region III (Central Luzon)</t>
        </is>
      </c>
      <c r="F766" s="11" t="inlineStr">
        <is>
          <t>Nueva Ecija</t>
        </is>
      </c>
      <c r="G766" s="11" t="inlineStr">
        <is>
          <t>Bongabon</t>
        </is>
      </c>
      <c r="H766" s="11" t="inlineStr">
        <is>
          <t>San Roque</t>
        </is>
      </c>
      <c r="I766" s="24" t="n">
        <v>15.637432</v>
      </c>
      <c r="J766" s="24" t="n">
        <v>121.149903</v>
      </c>
      <c r="K766" s="23" t="inlineStr">
        <is>
          <t>R</t>
        </is>
      </c>
      <c r="L766" s="25" t="n">
        <v>3022</v>
      </c>
      <c r="M766" s="26" t="n">
        <v>3.5</v>
      </c>
      <c r="N766" s="25">
        <f>ROUND(L766/M766, 0)</f>
        <v/>
      </c>
      <c r="O766" s="25">
        <f>ROUND(N766*'Methodology &amp; Assumptions'!$B$7, 0)</f>
        <v/>
      </c>
      <c r="P766" s="23" t="inlineStr">
        <is>
          <t>Single Carrier (Band n50, 100MHz TDD)</t>
        </is>
      </c>
      <c r="Q766" s="27">
        <f>ROUNDUP(O766/'Methodology &amp; Assumptions'!$B$8, 0)</f>
        <v/>
      </c>
      <c r="R766" s="27" t="n">
        <v>1</v>
      </c>
      <c r="S766" s="26" t="n">
        <v>1.53</v>
      </c>
      <c r="T766" s="26" t="n">
        <v>0.72</v>
      </c>
      <c r="U766" s="11">
        <f>IF(S766&lt;='Methodology &amp; Assumptions'!$B$10, "Direct Optical Drop (&lt;3km)", IF(S766&lt;='Methodology &amp; Assumptions'!$B$9, "Near Optical / Microwave (&lt;5km)", "Starlink Business LEO Satellite Backhaul (&gt;5km)"))</f>
        <v/>
      </c>
      <c r="V766" s="26" t="n">
        <v>83.04000000000001</v>
      </c>
      <c r="W766" s="26" t="n">
        <v>34.99</v>
      </c>
      <c r="X766" s="26">
        <f>ROUND(('Methodology &amp; Assumptions'!$B$5*V766) + ('Methodology &amp; Assumptions'!$B$6*W766), 2)</f>
        <v/>
      </c>
      <c r="Y766" s="28" t="n">
        <v>8.300000000000001</v>
      </c>
      <c r="Z766" s="11" t="inlineStr">
        <is>
          <t>Priority Tier 3 (Broadband Expansion)</t>
        </is>
      </c>
    </row>
    <row r="767">
      <c r="A767" s="23" t="n">
        <v>4</v>
      </c>
      <c r="B767" s="23" t="n">
        <v>763</v>
      </c>
      <c r="C767" s="23" t="n">
        <v>3763</v>
      </c>
      <c r="D767" s="23" t="inlineStr">
        <is>
          <t>1401110011</t>
        </is>
      </c>
      <c r="E767" s="11" t="inlineStr">
        <is>
          <t>Cordillera Administrative Region (CAR)</t>
        </is>
      </c>
      <c r="F767" s="11" t="inlineStr">
        <is>
          <t>Benguet</t>
        </is>
      </c>
      <c r="G767" s="11" t="inlineStr">
        <is>
          <t>La Trinidad</t>
        </is>
      </c>
      <c r="H767" s="11" t="inlineStr">
        <is>
          <t>Pico</t>
        </is>
      </c>
      <c r="I767" s="24" t="n">
        <v>16.44831</v>
      </c>
      <c r="J767" s="24" t="n">
        <v>120.58954</v>
      </c>
      <c r="K767" s="23" t="inlineStr">
        <is>
          <t>U</t>
        </is>
      </c>
      <c r="L767" s="25" t="n">
        <v>26490</v>
      </c>
      <c r="M767" s="26" t="n">
        <v>3.5</v>
      </c>
      <c r="N767" s="25">
        <f>ROUND(L767/M767, 0)</f>
        <v/>
      </c>
      <c r="O767" s="25">
        <f>ROUND(N767*'Methodology &amp; Assumptions'!$B$7, 0)</f>
        <v/>
      </c>
      <c r="P767" s="23" t="inlineStr">
        <is>
          <t>Single Carrier (Band n50, 100MHz TDD)</t>
        </is>
      </c>
      <c r="Q767" s="27">
        <f>ROUNDUP(O767/'Methodology &amp; Assumptions'!$B$8, 0)</f>
        <v/>
      </c>
      <c r="R767" s="27" t="n">
        <v>1</v>
      </c>
      <c r="S767" s="26" t="n">
        <v>0.18</v>
      </c>
      <c r="T767" s="26" t="n">
        <v>0.12</v>
      </c>
      <c r="U767" s="11">
        <f>IF(S767&lt;='Methodology &amp; Assumptions'!$B$10, "Direct Optical Drop (&lt;3km)", IF(S767&lt;='Methodology &amp; Assumptions'!$B$9, "Near Optical / Microwave (&lt;5km)", "Starlink Business LEO Satellite Backhaul (&gt;5km)"))</f>
        <v/>
      </c>
      <c r="V767" s="26" t="n">
        <v>77.42</v>
      </c>
      <c r="W767" s="26" t="n">
        <v>40.61</v>
      </c>
      <c r="X767" s="26">
        <f>ROUND(('Methodology &amp; Assumptions'!$B$5*V767) + ('Methodology &amp; Assumptions'!$B$6*W767), 2)</f>
        <v/>
      </c>
      <c r="Y767" s="28" t="n">
        <v>10.9</v>
      </c>
      <c r="Z767" s="11" t="inlineStr">
        <is>
          <t>Priority Tier 3 (Broadband Expansion)</t>
        </is>
      </c>
    </row>
    <row r="768">
      <c r="A768" s="23" t="n">
        <v>4</v>
      </c>
      <c r="B768" s="23" t="n">
        <v>764</v>
      </c>
      <c r="C768" s="23" t="n">
        <v>3764</v>
      </c>
      <c r="D768" s="23" t="inlineStr">
        <is>
          <t>1102401022</t>
        </is>
      </c>
      <c r="E768" s="11" t="inlineStr">
        <is>
          <t>Region XI (Davao Region)</t>
        </is>
      </c>
      <c r="F768" s="11" t="inlineStr">
        <is>
          <t>Davao del Sur</t>
        </is>
      </c>
      <c r="G768" s="11" t="inlineStr">
        <is>
          <t>Bansalan</t>
        </is>
      </c>
      <c r="H768" s="11" t="inlineStr">
        <is>
          <t>Tinongtongan</t>
        </is>
      </c>
      <c r="I768" s="24" t="n">
        <v>6.877329</v>
      </c>
      <c r="J768" s="24" t="n">
        <v>125.228584</v>
      </c>
      <c r="K768" s="23" t="inlineStr">
        <is>
          <t>R</t>
        </is>
      </c>
      <c r="L768" s="25" t="n">
        <v>1056</v>
      </c>
      <c r="M768" s="26" t="n">
        <v>3.4</v>
      </c>
      <c r="N768" s="25">
        <f>ROUND(L768/M768, 0)</f>
        <v/>
      </c>
      <c r="O768" s="25">
        <f>ROUND(N768*'Methodology &amp; Assumptions'!$B$7, 0)</f>
        <v/>
      </c>
      <c r="P768" s="23" t="inlineStr">
        <is>
          <t>Single Carrier (Band n50, 100MHz TDD)</t>
        </is>
      </c>
      <c r="Q768" s="27">
        <f>ROUNDUP(O768/'Methodology &amp; Assumptions'!$B$8, 0)</f>
        <v/>
      </c>
      <c r="R768" s="27" t="n">
        <v>1</v>
      </c>
      <c r="S768" s="26" t="n">
        <v>10.15</v>
      </c>
      <c r="T768" s="26" t="n">
        <v>17.88</v>
      </c>
      <c r="U768" s="11">
        <f>IF(S768&lt;='Methodology &amp; Assumptions'!$B$10, "Direct Optical Drop (&lt;3km)", IF(S768&lt;='Methodology &amp; Assumptions'!$B$9, "Near Optical / Microwave (&lt;5km)", "Starlink Business LEO Satellite Backhaul (&gt;5km)"))</f>
        <v/>
      </c>
      <c r="V768" s="26" t="n">
        <v>49.5</v>
      </c>
      <c r="W768" s="26" t="n">
        <v>68.52</v>
      </c>
      <c r="X768" s="26">
        <f>ROUND(('Methodology &amp; Assumptions'!$B$5*V768) + ('Methodology &amp; Assumptions'!$B$6*W768), 2)</f>
        <v/>
      </c>
      <c r="Y768" s="28" t="n">
        <v>17.4</v>
      </c>
      <c r="Z768" s="11" t="inlineStr">
        <is>
          <t>Priority Tier 3 (Broadband Expansion)</t>
        </is>
      </c>
    </row>
    <row r="769">
      <c r="A769" s="23" t="n">
        <v>4</v>
      </c>
      <c r="B769" s="23" t="n">
        <v>765</v>
      </c>
      <c r="C769" s="23" t="n">
        <v>3765</v>
      </c>
      <c r="D769" s="23" t="inlineStr">
        <is>
          <t>1380611014</t>
        </is>
      </c>
      <c r="E769" s="11" t="inlineStr">
        <is>
          <t>National Capital Region (NCR)</t>
        </is>
      </c>
      <c r="F769" s="11" t="inlineStr">
        <is>
          <t>First District (Not a Province)</t>
        </is>
      </c>
      <c r="G769" s="11" t="inlineStr">
        <is>
          <t>City of Manila</t>
        </is>
      </c>
      <c r="H769" s="11" t="inlineStr">
        <is>
          <t>Barangay 680</t>
        </is>
      </c>
      <c r="I769" s="24" t="n">
        <v>14.581003</v>
      </c>
      <c r="J769" s="24" t="n">
        <v>120.995877</v>
      </c>
      <c r="K769" s="23" t="inlineStr">
        <is>
          <t>U</t>
        </is>
      </c>
      <c r="L769" s="25" t="n">
        <v>1085</v>
      </c>
      <c r="M769" s="26" t="n">
        <v>4.43</v>
      </c>
      <c r="N769" s="25">
        <f>ROUND(L769/M769, 0)</f>
        <v/>
      </c>
      <c r="O769" s="25">
        <f>ROUND(N769*'Methodology &amp; Assumptions'!$B$7, 0)</f>
        <v/>
      </c>
      <c r="P769" s="23" t="inlineStr">
        <is>
          <t>Single Carrier (Band n50, 100MHz TDD)</t>
        </is>
      </c>
      <c r="Q769" s="27">
        <f>ROUNDUP(O769/'Methodology &amp; Assumptions'!$B$8, 0)</f>
        <v/>
      </c>
      <c r="R769" s="27" t="n">
        <v>1</v>
      </c>
      <c r="S769" s="26" t="n">
        <v>0.83</v>
      </c>
      <c r="T769" s="26" t="n">
        <v>0.25</v>
      </c>
      <c r="U769" s="11">
        <f>IF(S769&lt;='Methodology &amp; Assumptions'!$B$10, "Direct Optical Drop (&lt;3km)", IF(S769&lt;='Methodology &amp; Assumptions'!$B$9, "Near Optical / Microwave (&lt;5km)", "Starlink Business LEO Satellite Backhaul (&gt;5km)"))</f>
        <v/>
      </c>
      <c r="V769" s="26" t="n">
        <v>49.02</v>
      </c>
      <c r="W769" s="26" t="n">
        <v>69</v>
      </c>
      <c r="X769" s="26">
        <f>ROUND(('Methodology &amp; Assumptions'!$B$5*V769) + ('Methodology &amp; Assumptions'!$B$6*W769), 2)</f>
        <v/>
      </c>
      <c r="Y769" s="28" t="n">
        <v>10.9</v>
      </c>
      <c r="Z769" s="11" t="inlineStr">
        <is>
          <t>Priority Tier 3 (Broadband Expansion)</t>
        </is>
      </c>
    </row>
    <row r="770">
      <c r="A770" s="23" t="n">
        <v>4</v>
      </c>
      <c r="B770" s="23" t="n">
        <v>766</v>
      </c>
      <c r="C770" s="23" t="n">
        <v>3766</v>
      </c>
      <c r="D770" s="23" t="inlineStr">
        <is>
          <t>1380606042</t>
        </is>
      </c>
      <c r="E770" s="11" t="inlineStr">
        <is>
          <t>National Capital Region (NCR)</t>
        </is>
      </c>
      <c r="F770" s="11" t="inlineStr">
        <is>
          <t>First District (Not a Province)</t>
        </is>
      </c>
      <c r="G770" s="11" t="inlineStr">
        <is>
          <t>City of Manila</t>
        </is>
      </c>
      <c r="H770" s="11" t="inlineStr">
        <is>
          <t>Barangay 436</t>
        </is>
      </c>
      <c r="I770" s="24" t="n">
        <v>14.605575</v>
      </c>
      <c r="J770" s="24" t="n">
        <v>120.999097</v>
      </c>
      <c r="K770" s="23" t="inlineStr">
        <is>
          <t>U</t>
        </is>
      </c>
      <c r="L770" s="25" t="n">
        <v>967</v>
      </c>
      <c r="M770" s="26" t="n">
        <v>4.88</v>
      </c>
      <c r="N770" s="25">
        <f>ROUND(L770/M770, 0)</f>
        <v/>
      </c>
      <c r="O770" s="25">
        <f>ROUND(N770*'Methodology &amp; Assumptions'!$B$7, 0)</f>
        <v/>
      </c>
      <c r="P770" s="23" t="inlineStr">
        <is>
          <t>Single Carrier (Band n50, 100MHz TDD)</t>
        </is>
      </c>
      <c r="Q770" s="27">
        <f>ROUNDUP(O770/'Methodology &amp; Assumptions'!$B$8, 0)</f>
        <v/>
      </c>
      <c r="R770" s="27" t="n">
        <v>1</v>
      </c>
      <c r="S770" s="26" t="n">
        <v>0.7</v>
      </c>
      <c r="T770" s="26" t="n">
        <v>0.19</v>
      </c>
      <c r="U770" s="11">
        <f>IF(S770&lt;='Methodology &amp; Assumptions'!$B$10, "Direct Optical Drop (&lt;3km)", IF(S770&lt;='Methodology &amp; Assumptions'!$B$9, "Near Optical / Microwave (&lt;5km)", "Starlink Business LEO Satellite Backhaul (&gt;5km)"))</f>
        <v/>
      </c>
      <c r="V770" s="26" t="n">
        <v>47.41</v>
      </c>
      <c r="W770" s="26" t="n">
        <v>70.59999999999999</v>
      </c>
      <c r="X770" s="26">
        <f>ROUND(('Methodology &amp; Assumptions'!$B$5*V770) + ('Methodology &amp; Assumptions'!$B$6*W770), 2)</f>
        <v/>
      </c>
      <c r="Y770" s="28" t="n">
        <v>10.9</v>
      </c>
      <c r="Z770" s="11" t="inlineStr">
        <is>
          <t>Priority Tier 3 (Broadband Expansion)</t>
        </is>
      </c>
    </row>
    <row r="771">
      <c r="A771" s="23" t="n">
        <v>4</v>
      </c>
      <c r="B771" s="23" t="n">
        <v>767</v>
      </c>
      <c r="C771" s="23" t="n">
        <v>3767</v>
      </c>
      <c r="D771" s="23" t="inlineStr">
        <is>
          <t>1600308015</t>
        </is>
      </c>
      <c r="E771" s="11" t="inlineStr">
        <is>
          <t>Region XIII (Caraga)</t>
        </is>
      </c>
      <c r="F771" s="11" t="inlineStr">
        <is>
          <t>Agusan del Sur</t>
        </is>
      </c>
      <c r="G771" s="11" t="inlineStr">
        <is>
          <t>San Francisco</t>
        </is>
      </c>
      <c r="H771" s="11" t="inlineStr">
        <is>
          <t>Barangay 1</t>
        </is>
      </c>
      <c r="I771" s="24" t="n">
        <v>8.512188</v>
      </c>
      <c r="J771" s="24" t="n">
        <v>125.9752</v>
      </c>
      <c r="K771" s="23" t="inlineStr">
        <is>
          <t>U</t>
        </is>
      </c>
      <c r="L771" s="25" t="n">
        <v>5588</v>
      </c>
      <c r="M771" s="26" t="n">
        <v>3.9</v>
      </c>
      <c r="N771" s="25">
        <f>ROUND(L771/M771, 0)</f>
        <v/>
      </c>
      <c r="O771" s="25">
        <f>ROUND(N771*'Methodology &amp; Assumptions'!$B$7, 0)</f>
        <v/>
      </c>
      <c r="P771" s="23" t="inlineStr">
        <is>
          <t>Single Carrier (Band n50, 100MHz TDD)</t>
        </is>
      </c>
      <c r="Q771" s="27">
        <f>ROUNDUP(O771/'Methodology &amp; Assumptions'!$B$8, 0)</f>
        <v/>
      </c>
      <c r="R771" s="27" t="n">
        <v>1</v>
      </c>
      <c r="S771" s="26" t="n">
        <v>0.39</v>
      </c>
      <c r="T771" s="26" t="n">
        <v>0.39</v>
      </c>
      <c r="U771" s="11">
        <f>IF(S771&lt;='Methodology &amp; Assumptions'!$B$10, "Direct Optical Drop (&lt;3km)", IF(S771&lt;='Methodology &amp; Assumptions'!$B$9, "Near Optical / Microwave (&lt;5km)", "Starlink Business LEO Satellite Backhaul (&gt;5km)"))</f>
        <v/>
      </c>
      <c r="V771" s="26" t="n">
        <v>79.87</v>
      </c>
      <c r="W771" s="26" t="n">
        <v>38.13</v>
      </c>
      <c r="X771" s="26">
        <f>ROUND(('Methodology &amp; Assumptions'!$B$5*V771) + ('Methodology &amp; Assumptions'!$B$6*W771), 2)</f>
        <v/>
      </c>
      <c r="Y771" s="28" t="n">
        <v>17.4</v>
      </c>
      <c r="Z771" s="11" t="inlineStr">
        <is>
          <t>Priority Tier 3 (Broadband Expansion)</t>
        </is>
      </c>
    </row>
    <row r="772">
      <c r="A772" s="23" t="n">
        <v>4</v>
      </c>
      <c r="B772" s="23" t="n">
        <v>768</v>
      </c>
      <c r="C772" s="23" t="n">
        <v>3768</v>
      </c>
      <c r="D772" s="23" t="inlineStr">
        <is>
          <t>0203130011</t>
        </is>
      </c>
      <c r="E772" s="11" t="inlineStr">
        <is>
          <t>Region II (Cagayan Valley)</t>
        </is>
      </c>
      <c r="F772" s="11" t="inlineStr">
        <is>
          <t>Isabela</t>
        </is>
      </c>
      <c r="G772" s="11" t="inlineStr">
        <is>
          <t>San Manuel</t>
        </is>
      </c>
      <c r="H772" s="11" t="inlineStr">
        <is>
          <t>District 1</t>
        </is>
      </c>
      <c r="I772" s="24" t="n">
        <v>17.008025</v>
      </c>
      <c r="J772" s="24" t="n">
        <v>121.636866</v>
      </c>
      <c r="K772" s="23" t="inlineStr">
        <is>
          <t>R</t>
        </is>
      </c>
      <c r="L772" s="25" t="n">
        <v>2932</v>
      </c>
      <c r="M772" s="26" t="n">
        <v>3.8</v>
      </c>
      <c r="N772" s="25">
        <f>ROUND(L772/M772, 0)</f>
        <v/>
      </c>
      <c r="O772" s="25">
        <f>ROUND(N772*'Methodology &amp; Assumptions'!$B$7, 0)</f>
        <v/>
      </c>
      <c r="P772" s="23" t="inlineStr">
        <is>
          <t>Single Carrier (Band n50, 100MHz TDD)</t>
        </is>
      </c>
      <c r="Q772" s="27">
        <f>ROUNDUP(O772/'Methodology &amp; Assumptions'!$B$8, 0)</f>
        <v/>
      </c>
      <c r="R772" s="27" t="n">
        <v>1</v>
      </c>
      <c r="S772" s="26" t="n">
        <v>2.9</v>
      </c>
      <c r="T772" s="26" t="n">
        <v>0.64</v>
      </c>
      <c r="U772" s="11">
        <f>IF(S772&lt;='Methodology &amp; Assumptions'!$B$10, "Direct Optical Drop (&lt;3km)", IF(S772&lt;='Methodology &amp; Assumptions'!$B$9, "Near Optical / Microwave (&lt;5km)", "Starlink Business LEO Satellite Backhaul (&gt;5km)"))</f>
        <v/>
      </c>
      <c r="V772" s="26" t="n">
        <v>77.01000000000001</v>
      </c>
      <c r="W772" s="26" t="n">
        <v>40.98</v>
      </c>
      <c r="X772" s="26">
        <f>ROUND(('Methodology &amp; Assumptions'!$B$5*V772) + ('Methodology &amp; Assumptions'!$B$6*W772), 2)</f>
        <v/>
      </c>
      <c r="Y772" s="28" t="n">
        <v>8.300000000000001</v>
      </c>
      <c r="Z772" s="11" t="inlineStr">
        <is>
          <t>Priority Tier 3 (Broadband Expansion)</t>
        </is>
      </c>
    </row>
    <row r="773">
      <c r="A773" s="23" t="n">
        <v>4</v>
      </c>
      <c r="B773" s="23" t="n">
        <v>769</v>
      </c>
      <c r="C773" s="23" t="n">
        <v>3769</v>
      </c>
      <c r="D773" s="23" t="inlineStr">
        <is>
          <t>0301410023</t>
        </is>
      </c>
      <c r="E773" s="11" t="inlineStr">
        <is>
          <t>Region III (Central Luzon)</t>
        </is>
      </c>
      <c r="F773" s="11" t="inlineStr">
        <is>
          <t>Bulacan</t>
        </is>
      </c>
      <c r="G773" s="11" t="inlineStr">
        <is>
          <t>City of Malolos</t>
        </is>
      </c>
      <c r="H773" s="11" t="inlineStr">
        <is>
          <t>Liang</t>
        </is>
      </c>
      <c r="I773" s="24" t="n">
        <v>14.845742</v>
      </c>
      <c r="J773" s="24" t="n">
        <v>120.815344</v>
      </c>
      <c r="K773" s="23" t="inlineStr">
        <is>
          <t>U</t>
        </is>
      </c>
      <c r="L773" s="25" t="n">
        <v>1399</v>
      </c>
      <c r="M773" s="26" t="n">
        <v>3.5</v>
      </c>
      <c r="N773" s="25">
        <f>ROUND(L773/M773, 0)</f>
        <v/>
      </c>
      <c r="O773" s="25">
        <f>ROUND(N773*'Methodology &amp; Assumptions'!$B$7, 0)</f>
        <v/>
      </c>
      <c r="P773" s="23" t="inlineStr">
        <is>
          <t>Single Carrier (Band n50, 100MHz TDD)</t>
        </is>
      </c>
      <c r="Q773" s="27">
        <f>ROUNDUP(O773/'Methodology &amp; Assumptions'!$B$8, 0)</f>
        <v/>
      </c>
      <c r="R773" s="27" t="n">
        <v>1</v>
      </c>
      <c r="S773" s="26" t="n">
        <v>0.6899999999999999</v>
      </c>
      <c r="T773" s="26" t="n">
        <v>0.64</v>
      </c>
      <c r="U773" s="11">
        <f>IF(S773&lt;='Methodology &amp; Assumptions'!$B$10, "Direct Optical Drop (&lt;3km)", IF(S773&lt;='Methodology &amp; Assumptions'!$B$9, "Near Optical / Microwave (&lt;5km)", "Starlink Business LEO Satellite Backhaul (&gt;5km)"))</f>
        <v/>
      </c>
      <c r="V773" s="26" t="n">
        <v>64.83</v>
      </c>
      <c r="W773" s="26" t="n">
        <v>53.17</v>
      </c>
      <c r="X773" s="26">
        <f>ROUND(('Methodology &amp; Assumptions'!$B$5*V773) + ('Methodology &amp; Assumptions'!$B$6*W773), 2)</f>
        <v/>
      </c>
      <c r="Y773" s="28" t="n">
        <v>8.300000000000001</v>
      </c>
      <c r="Z773" s="11" t="inlineStr">
        <is>
          <t>Priority Tier 3 (Broadband Expansion)</t>
        </is>
      </c>
    </row>
    <row r="774">
      <c r="A774" s="23" t="n">
        <v>4</v>
      </c>
      <c r="B774" s="23" t="n">
        <v>770</v>
      </c>
      <c r="C774" s="23" t="n">
        <v>3770</v>
      </c>
      <c r="D774" s="23" t="inlineStr">
        <is>
          <t>1900710002</t>
        </is>
      </c>
      <c r="E774" s="11" t="inlineStr">
        <is>
          <t>Bangsamoro Autonomous Region In Muslim Mindanao (BARMM)</t>
        </is>
      </c>
      <c r="F774" s="11" t="inlineStr">
        <is>
          <t>Basilan</t>
        </is>
      </c>
      <c r="G774" s="11" t="inlineStr">
        <is>
          <t>Hadji Mohammad Ajul</t>
        </is>
      </c>
      <c r="H774" s="11" t="inlineStr">
        <is>
          <t>Buton</t>
        </is>
      </c>
      <c r="I774" s="24" t="n">
        <v>6.643811</v>
      </c>
      <c r="J774" s="24" t="n">
        <v>122.299214</v>
      </c>
      <c r="K774" s="23" t="inlineStr">
        <is>
          <t>R</t>
        </is>
      </c>
      <c r="L774" s="25" t="n">
        <v>5749</v>
      </c>
      <c r="M774" s="26" t="n">
        <v>5.1</v>
      </c>
      <c r="N774" s="25">
        <f>ROUND(L774/M774, 0)</f>
        <v/>
      </c>
      <c r="O774" s="25">
        <f>ROUND(N774*'Methodology &amp; Assumptions'!$B$7, 0)</f>
        <v/>
      </c>
      <c r="P774" s="23" t="inlineStr">
        <is>
          <t>Single Carrier (Band n50, 100MHz TDD)</t>
        </is>
      </c>
      <c r="Q774" s="27">
        <f>ROUNDUP(O774/'Methodology &amp; Assumptions'!$B$8, 0)</f>
        <v/>
      </c>
      <c r="R774" s="27" t="n">
        <v>1</v>
      </c>
      <c r="S774" s="26" t="n">
        <v>38.71</v>
      </c>
      <c r="T774" s="26" t="n">
        <v>38.59</v>
      </c>
      <c r="U774" s="11">
        <f>IF(S774&lt;='Methodology &amp; Assumptions'!$B$10, "Direct Optical Drop (&lt;3km)", IF(S774&lt;='Methodology &amp; Assumptions'!$B$9, "Near Optical / Microwave (&lt;5km)", "Starlink Business LEO Satellite Backhaul (&gt;5km)"))</f>
        <v/>
      </c>
      <c r="V774" s="26" t="n">
        <v>59.06</v>
      </c>
      <c r="W774" s="26" t="n">
        <v>58.95</v>
      </c>
      <c r="X774" s="26">
        <f>ROUND(('Methodology &amp; Assumptions'!$B$5*V774) + ('Methodology &amp; Assumptions'!$B$6*W774), 2)</f>
        <v/>
      </c>
      <c r="Y774" s="28" t="n">
        <v>11</v>
      </c>
      <c r="Z774" s="11" t="inlineStr">
        <is>
          <t>Priority Tier 3 (Broadband Expansion)</t>
        </is>
      </c>
    </row>
    <row r="775">
      <c r="A775" s="23" t="n">
        <v>4</v>
      </c>
      <c r="B775" s="23" t="n">
        <v>771</v>
      </c>
      <c r="C775" s="23" t="n">
        <v>3771</v>
      </c>
      <c r="D775" s="23" t="inlineStr">
        <is>
          <t>0105526016</t>
        </is>
      </c>
      <c r="E775" s="11" t="inlineStr">
        <is>
          <t>Region I (Ilocos Region)</t>
        </is>
      </c>
      <c r="F775" s="11" t="inlineStr">
        <is>
          <t>Pangasinan</t>
        </is>
      </c>
      <c r="G775" s="11" t="inlineStr">
        <is>
          <t>Mangaldan</t>
        </is>
      </c>
      <c r="H775" s="11" t="inlineStr">
        <is>
          <t>Lanas</t>
        </is>
      </c>
      <c r="I775" s="24" t="n">
        <v>16.079168</v>
      </c>
      <c r="J775" s="24" t="n">
        <v>120.38914</v>
      </c>
      <c r="K775" s="23" t="inlineStr">
        <is>
          <t>R</t>
        </is>
      </c>
      <c r="L775" s="25" t="n">
        <v>3366</v>
      </c>
      <c r="M775" s="26" t="n">
        <v>3.6</v>
      </c>
      <c r="N775" s="25">
        <f>ROUND(L775/M775, 0)</f>
        <v/>
      </c>
      <c r="O775" s="25">
        <f>ROUND(N775*'Methodology &amp; Assumptions'!$B$7, 0)</f>
        <v/>
      </c>
      <c r="P775" s="23" t="inlineStr">
        <is>
          <t>Single Carrier (Band n50, 100MHz TDD)</t>
        </is>
      </c>
      <c r="Q775" s="27">
        <f>ROUNDUP(O775/'Methodology &amp; Assumptions'!$B$8, 0)</f>
        <v/>
      </c>
      <c r="R775" s="27" t="n">
        <v>1</v>
      </c>
      <c r="S775" s="26" t="n">
        <v>1.89</v>
      </c>
      <c r="T775" s="26" t="n">
        <v>0.83</v>
      </c>
      <c r="U775" s="11">
        <f>IF(S775&lt;='Methodology &amp; Assumptions'!$B$10, "Direct Optical Drop (&lt;3km)", IF(S775&lt;='Methodology &amp; Assumptions'!$B$9, "Near Optical / Microwave (&lt;5km)", "Starlink Business LEO Satellite Backhaul (&gt;5km)"))</f>
        <v/>
      </c>
      <c r="V775" s="26" t="n">
        <v>81.77</v>
      </c>
      <c r="W775" s="26" t="n">
        <v>36.2</v>
      </c>
      <c r="X775" s="26">
        <f>ROUND(('Methodology &amp; Assumptions'!$B$5*V775) + ('Methodology &amp; Assumptions'!$B$6*W775), 2)</f>
        <v/>
      </c>
      <c r="Y775" s="28" t="n">
        <v>8.300000000000001</v>
      </c>
      <c r="Z775" s="11" t="inlineStr">
        <is>
          <t>Priority Tier 3 (Broadband Expansion)</t>
        </is>
      </c>
    </row>
    <row r="776">
      <c r="A776" s="23" t="n">
        <v>4</v>
      </c>
      <c r="B776" s="23" t="n">
        <v>772</v>
      </c>
      <c r="C776" s="23" t="n">
        <v>3772</v>
      </c>
      <c r="D776" s="23" t="inlineStr">
        <is>
          <t>0403419014</t>
        </is>
      </c>
      <c r="E776" s="11" t="inlineStr">
        <is>
          <t>Region IV-A (CALABARZON)</t>
        </is>
      </c>
      <c r="F776" s="11" t="inlineStr">
        <is>
          <t>Laguna</t>
        </is>
      </c>
      <c r="G776" s="11" t="inlineStr">
        <is>
          <t>Pagsanjan</t>
        </is>
      </c>
      <c r="H776" s="11" t="inlineStr">
        <is>
          <t>Sabang</t>
        </is>
      </c>
      <c r="I776" s="24" t="n">
        <v>14.253944</v>
      </c>
      <c r="J776" s="24" t="n">
        <v>121.435207</v>
      </c>
      <c r="K776" s="23" t="inlineStr">
        <is>
          <t>R</t>
        </is>
      </c>
      <c r="L776" s="25" t="n">
        <v>4090</v>
      </c>
      <c r="M776" s="26" t="n">
        <v>3.3</v>
      </c>
      <c r="N776" s="25">
        <f>ROUND(L776/M776, 0)</f>
        <v/>
      </c>
      <c r="O776" s="25">
        <f>ROUND(N776*'Methodology &amp; Assumptions'!$B$7, 0)</f>
        <v/>
      </c>
      <c r="P776" s="23" t="inlineStr">
        <is>
          <t>Single Carrier (Band n50, 100MHz TDD)</t>
        </is>
      </c>
      <c r="Q776" s="27">
        <f>ROUNDUP(O776/'Methodology &amp; Assumptions'!$B$8, 0)</f>
        <v/>
      </c>
      <c r="R776" s="27" t="n">
        <v>1</v>
      </c>
      <c r="S776" s="26" t="n">
        <v>2.72</v>
      </c>
      <c r="T776" s="26" t="n">
        <v>0.01</v>
      </c>
      <c r="U776" s="11">
        <f>IF(S776&lt;='Methodology &amp; Assumptions'!$B$10, "Direct Optical Drop (&lt;3km)", IF(S776&lt;='Methodology &amp; Assumptions'!$B$9, "Near Optical / Microwave (&lt;5km)", "Starlink Business LEO Satellite Backhaul (&gt;5km)"))</f>
        <v/>
      </c>
      <c r="V776" s="26" t="n">
        <v>78.87</v>
      </c>
      <c r="W776" s="26" t="n">
        <v>39.1</v>
      </c>
      <c r="X776" s="26">
        <f>ROUND(('Methodology &amp; Assumptions'!$B$5*V776) + ('Methodology &amp; Assumptions'!$B$6*W776), 2)</f>
        <v/>
      </c>
      <c r="Y776" s="28" t="n">
        <v>7.2</v>
      </c>
      <c r="Z776" s="11" t="inlineStr">
        <is>
          <t>Priority Tier 3 (Broadband Expansion)</t>
        </is>
      </c>
    </row>
    <row r="777">
      <c r="A777" s="23" t="n">
        <v>4</v>
      </c>
      <c r="B777" s="23" t="n">
        <v>773</v>
      </c>
      <c r="C777" s="23" t="n">
        <v>3773</v>
      </c>
      <c r="D777" s="23" t="inlineStr">
        <is>
          <t>1908819002</t>
        </is>
      </c>
      <c r="E777" s="11" t="inlineStr">
        <is>
          <t>Bangsamoro Autonomous Region In Muslim Mindanao (BARMM)</t>
        </is>
      </c>
      <c r="F777" s="11" t="inlineStr">
        <is>
          <t>Maguindanao del Sur</t>
        </is>
      </c>
      <c r="G777" s="11" t="inlineStr">
        <is>
          <t>Rajah Buayan</t>
        </is>
      </c>
      <c r="H777" s="11" t="inlineStr">
        <is>
          <t>Bakat</t>
        </is>
      </c>
      <c r="I777" s="24" t="n">
        <v>6.961755</v>
      </c>
      <c r="J777" s="24" t="n">
        <v>124.569451</v>
      </c>
      <c r="K777" s="23" t="inlineStr">
        <is>
          <t>R</t>
        </is>
      </c>
      <c r="L777" s="25" t="n">
        <v>2579</v>
      </c>
      <c r="M777" s="26" t="n">
        <v>4.7</v>
      </c>
      <c r="N777" s="25">
        <f>ROUND(L777/M777, 0)</f>
        <v/>
      </c>
      <c r="O777" s="25">
        <f>ROUND(N777*'Methodology &amp; Assumptions'!$B$7, 0)</f>
        <v/>
      </c>
      <c r="P777" s="23" t="inlineStr">
        <is>
          <t>Single Carrier (Band n50, 100MHz TDD)</t>
        </is>
      </c>
      <c r="Q777" s="27">
        <f>ROUNDUP(O777/'Methodology &amp; Assumptions'!$B$8, 0)</f>
        <v/>
      </c>
      <c r="R777" s="27" t="n">
        <v>1</v>
      </c>
      <c r="S777" s="26" t="n">
        <v>32.37</v>
      </c>
      <c r="T777" s="26" t="n">
        <v>31.28</v>
      </c>
      <c r="U777" s="11">
        <f>IF(S777&lt;='Methodology &amp; Assumptions'!$B$10, "Direct Optical Drop (&lt;3km)", IF(S777&lt;='Methodology &amp; Assumptions'!$B$9, "Near Optical / Microwave (&lt;5km)", "Starlink Business LEO Satellite Backhaul (&gt;5km)"))</f>
        <v/>
      </c>
      <c r="V777" s="26" t="n">
        <v>48.72</v>
      </c>
      <c r="W777" s="26" t="n">
        <v>69.26000000000001</v>
      </c>
      <c r="X777" s="26">
        <f>ROUND(('Methodology &amp; Assumptions'!$B$5*V777) + ('Methodology &amp; Assumptions'!$B$6*W777), 2)</f>
        <v/>
      </c>
      <c r="Y777" s="28" t="n">
        <v>11</v>
      </c>
      <c r="Z777" s="11" t="inlineStr">
        <is>
          <t>Priority Tier 3 (Broadband Expansion)</t>
        </is>
      </c>
    </row>
    <row r="778">
      <c r="A778" s="23" t="n">
        <v>4</v>
      </c>
      <c r="B778" s="23" t="n">
        <v>774</v>
      </c>
      <c r="C778" s="23" t="n">
        <v>3774</v>
      </c>
      <c r="D778" s="23" t="inlineStr">
        <is>
          <t>0504113010</t>
        </is>
      </c>
      <c r="E778" s="11" t="inlineStr">
        <is>
          <t>Region V (Bicol Region)</t>
        </is>
      </c>
      <c r="F778" s="11" t="inlineStr">
        <is>
          <t>Masbate</t>
        </is>
      </c>
      <c r="G778" s="11" t="inlineStr">
        <is>
          <t>Mobo</t>
        </is>
      </c>
      <c r="H778" s="11" t="inlineStr">
        <is>
          <t>Lomocloc</t>
        </is>
      </c>
      <c r="I778" s="24" t="n">
        <v>12.254213</v>
      </c>
      <c r="J778" s="24" t="n">
        <v>123.626085</v>
      </c>
      <c r="K778" s="23" t="inlineStr">
        <is>
          <t>R</t>
        </is>
      </c>
      <c r="L778" s="25" t="n">
        <v>652</v>
      </c>
      <c r="M778" s="26" t="n">
        <v>4.1</v>
      </c>
      <c r="N778" s="25">
        <f>ROUND(L778/M778, 0)</f>
        <v/>
      </c>
      <c r="O778" s="25">
        <f>ROUND(N778*'Methodology &amp; Assumptions'!$B$7, 0)</f>
        <v/>
      </c>
      <c r="P778" s="23" t="inlineStr">
        <is>
          <t>Single Carrier (Band n50, 100MHz TDD)</t>
        </is>
      </c>
      <c r="Q778" s="27">
        <f>ROUNDUP(O778/'Methodology &amp; Assumptions'!$B$8, 0)</f>
        <v/>
      </c>
      <c r="R778" s="27" t="n">
        <v>1</v>
      </c>
      <c r="S778" s="26" t="n">
        <v>9.84</v>
      </c>
      <c r="T778" s="26" t="n">
        <v>8.949999999999999</v>
      </c>
      <c r="U778" s="11">
        <f>IF(S778&lt;='Methodology &amp; Assumptions'!$B$10, "Direct Optical Drop (&lt;3km)", IF(S778&lt;='Methodology &amp; Assumptions'!$B$9, "Near Optical / Microwave (&lt;5km)", "Starlink Business LEO Satellite Backhaul (&gt;5km)"))</f>
        <v/>
      </c>
      <c r="V778" s="26" t="n">
        <v>45.95</v>
      </c>
      <c r="W778" s="26" t="n">
        <v>72.03</v>
      </c>
      <c r="X778" s="26">
        <f>ROUND(('Methodology &amp; Assumptions'!$B$5*V778) + ('Methodology &amp; Assumptions'!$B$6*W778), 2)</f>
        <v/>
      </c>
      <c r="Y778" s="28" t="n">
        <v>23.7</v>
      </c>
      <c r="Z778" s="11" t="inlineStr">
        <is>
          <t>Priority Tier 3 (Broadband Expansion)</t>
        </is>
      </c>
    </row>
    <row r="779">
      <c r="A779" s="23" t="n">
        <v>4</v>
      </c>
      <c r="B779" s="23" t="n">
        <v>775</v>
      </c>
      <c r="C779" s="23" t="n">
        <v>3775</v>
      </c>
      <c r="D779" s="23" t="inlineStr">
        <is>
          <t>0301420059</t>
        </is>
      </c>
      <c r="E779" s="11" t="inlineStr">
        <is>
          <t>Region III (Central Luzon)</t>
        </is>
      </c>
      <c r="F779" s="11" t="inlineStr">
        <is>
          <t>Bulacan</t>
        </is>
      </c>
      <c r="G779" s="11" t="inlineStr">
        <is>
          <t>City of San Jose Del Monte</t>
        </is>
      </c>
      <c r="H779" s="11" t="inlineStr">
        <is>
          <t>San Martin de Porres</t>
        </is>
      </c>
      <c r="I779" s="24" t="n">
        <v>14.859158</v>
      </c>
      <c r="J779" s="24" t="n">
        <v>121.066186</v>
      </c>
      <c r="K779" s="23" t="inlineStr">
        <is>
          <t>R</t>
        </is>
      </c>
      <c r="L779" s="25" t="n">
        <v>2582</v>
      </c>
      <c r="M779" s="26" t="n">
        <v>3.5</v>
      </c>
      <c r="N779" s="25">
        <f>ROUND(L779/M779, 0)</f>
        <v/>
      </c>
      <c r="O779" s="25">
        <f>ROUND(N779*'Methodology &amp; Assumptions'!$B$7, 0)</f>
        <v/>
      </c>
      <c r="P779" s="23" t="inlineStr">
        <is>
          <t>Single Carrier (Band n50, 100MHz TDD)</t>
        </is>
      </c>
      <c r="Q779" s="27">
        <f>ROUNDUP(O779/'Methodology &amp; Assumptions'!$B$8, 0)</f>
        <v/>
      </c>
      <c r="R779" s="27" t="n">
        <v>1</v>
      </c>
      <c r="S779" s="26" t="n">
        <v>2</v>
      </c>
      <c r="T779" s="26" t="n">
        <v>4.09</v>
      </c>
      <c r="U779" s="11">
        <f>IF(S779&lt;='Methodology &amp; Assumptions'!$B$10, "Direct Optical Drop (&lt;3km)", IF(S779&lt;='Methodology &amp; Assumptions'!$B$9, "Near Optical / Microwave (&lt;5km)", "Starlink Business LEO Satellite Backhaul (&gt;5km)"))</f>
        <v/>
      </c>
      <c r="V779" s="26" t="n">
        <v>75.23</v>
      </c>
      <c r="W779" s="26" t="n">
        <v>42.73</v>
      </c>
      <c r="X779" s="26">
        <f>ROUND(('Methodology &amp; Assumptions'!$B$5*V779) + ('Methodology &amp; Assumptions'!$B$6*W779), 2)</f>
        <v/>
      </c>
      <c r="Y779" s="28" t="n">
        <v>8.300000000000001</v>
      </c>
      <c r="Z779" s="11" t="inlineStr">
        <is>
          <t>Priority Tier 3 (Broadband Expansion)</t>
        </is>
      </c>
    </row>
    <row r="780">
      <c r="A780" s="23" t="n">
        <v>4</v>
      </c>
      <c r="B780" s="23" t="n">
        <v>776</v>
      </c>
      <c r="C780" s="23" t="n">
        <v>3776</v>
      </c>
      <c r="D780" s="23" t="inlineStr">
        <is>
          <t>0604528012</t>
        </is>
      </c>
      <c r="E780" s="11" t="inlineStr">
        <is>
          <t>Region VI (Western Visayas)</t>
        </is>
      </c>
      <c r="F780" s="11" t="inlineStr">
        <is>
          <t>Negros Occidental</t>
        </is>
      </c>
      <c r="G780" s="11" t="inlineStr">
        <is>
          <t>City of Talisay</t>
        </is>
      </c>
      <c r="H780" s="11" t="inlineStr">
        <is>
          <t>Zone 7</t>
        </is>
      </c>
      <c r="I780" s="24" t="n">
        <v>10.735095</v>
      </c>
      <c r="J780" s="24" t="n">
        <v>122.965094</v>
      </c>
      <c r="K780" s="23" t="inlineStr">
        <is>
          <t>R</t>
        </is>
      </c>
      <c r="L780" s="25" t="n">
        <v>800</v>
      </c>
      <c r="M780" s="26" t="n">
        <v>3.7</v>
      </c>
      <c r="N780" s="25">
        <f>ROUND(L780/M780, 0)</f>
        <v/>
      </c>
      <c r="O780" s="25">
        <f>ROUND(N780*'Methodology &amp; Assumptions'!$B$7, 0)</f>
        <v/>
      </c>
      <c r="P780" s="23" t="inlineStr">
        <is>
          <t>Single Carrier (Band n50, 100MHz TDD)</t>
        </is>
      </c>
      <c r="Q780" s="27">
        <f>ROUNDUP(O780/'Methodology &amp; Assumptions'!$B$8, 0)</f>
        <v/>
      </c>
      <c r="R780" s="27" t="n">
        <v>1</v>
      </c>
      <c r="S780" s="26" t="n">
        <v>0.68</v>
      </c>
      <c r="T780" s="26" t="n">
        <v>0.14</v>
      </c>
      <c r="U780" s="11">
        <f>IF(S780&lt;='Methodology &amp; Assumptions'!$B$10, "Direct Optical Drop (&lt;3km)", IF(S780&lt;='Methodology &amp; Assumptions'!$B$9, "Near Optical / Microwave (&lt;5km)", "Starlink Business LEO Satellite Backhaul (&gt;5km)"))</f>
        <v/>
      </c>
      <c r="V780" s="26" t="n">
        <v>68.05</v>
      </c>
      <c r="W780" s="26" t="n">
        <v>49.92</v>
      </c>
      <c r="X780" s="26">
        <f>ROUND(('Methodology &amp; Assumptions'!$B$5*V780) + ('Methodology &amp; Assumptions'!$B$6*W780), 2)</f>
        <v/>
      </c>
      <c r="Y780" s="28" t="n">
        <v>23.7</v>
      </c>
      <c r="Z780" s="11" t="inlineStr">
        <is>
          <t>Priority Tier 3 (Broadband Expansion)</t>
        </is>
      </c>
    </row>
    <row r="781">
      <c r="A781" s="23" t="n">
        <v>4</v>
      </c>
      <c r="B781" s="23" t="n">
        <v>777</v>
      </c>
      <c r="C781" s="23" t="n">
        <v>3777</v>
      </c>
      <c r="D781" s="23" t="inlineStr">
        <is>
          <t>1380605018</t>
        </is>
      </c>
      <c r="E781" s="11" t="inlineStr">
        <is>
          <t>National Capital Region (NCR)</t>
        </is>
      </c>
      <c r="F781" s="11" t="inlineStr">
        <is>
          <t>First District (Not a Province)</t>
        </is>
      </c>
      <c r="G781" s="11" t="inlineStr">
        <is>
          <t>City of Manila</t>
        </is>
      </c>
      <c r="H781" s="11" t="inlineStr">
        <is>
          <t>Barangay 316</t>
        </is>
      </c>
      <c r="I781" s="24" t="n">
        <v>14.609612</v>
      </c>
      <c r="J781" s="24" t="n">
        <v>120.982826</v>
      </c>
      <c r="K781" s="23" t="inlineStr">
        <is>
          <t>U</t>
        </is>
      </c>
      <c r="L781" s="25" t="n">
        <v>856</v>
      </c>
      <c r="M781" s="26" t="n">
        <v>3.42</v>
      </c>
      <c r="N781" s="25">
        <f>ROUND(L781/M781, 0)</f>
        <v/>
      </c>
      <c r="O781" s="25">
        <f>ROUND(N781*'Methodology &amp; Assumptions'!$B$7, 0)</f>
        <v/>
      </c>
      <c r="P781" s="23" t="inlineStr">
        <is>
          <t>Single Carrier (Band n50, 100MHz TDD)</t>
        </is>
      </c>
      <c r="Q781" s="27">
        <f>ROUNDUP(O781/'Methodology &amp; Assumptions'!$B$8, 0)</f>
        <v/>
      </c>
      <c r="R781" s="27" t="n">
        <v>1</v>
      </c>
      <c r="S781" s="26" t="n">
        <v>0.77</v>
      </c>
      <c r="T781" s="26" t="n">
        <v>0.24</v>
      </c>
      <c r="U781" s="11">
        <f>IF(S781&lt;='Methodology &amp; Assumptions'!$B$10, "Direct Optical Drop (&lt;3km)", IF(S781&lt;='Methodology &amp; Assumptions'!$B$9, "Near Optical / Microwave (&lt;5km)", "Starlink Business LEO Satellite Backhaul (&gt;5km)"))</f>
        <v/>
      </c>
      <c r="V781" s="26" t="n">
        <v>49.13</v>
      </c>
      <c r="W781" s="26" t="n">
        <v>68.83</v>
      </c>
      <c r="X781" s="26">
        <f>ROUND(('Methodology &amp; Assumptions'!$B$5*V781) + ('Methodology &amp; Assumptions'!$B$6*W781), 2)</f>
        <v/>
      </c>
      <c r="Y781" s="28" t="n">
        <v>10.9</v>
      </c>
      <c r="Z781" s="11" t="inlineStr">
        <is>
          <t>Priority Tier 3 (Broadband Expansion)</t>
        </is>
      </c>
    </row>
    <row r="782">
      <c r="A782" s="23" t="n">
        <v>4</v>
      </c>
      <c r="B782" s="23" t="n">
        <v>778</v>
      </c>
      <c r="C782" s="23" t="n">
        <v>3778</v>
      </c>
      <c r="D782" s="23" t="inlineStr">
        <is>
          <t>1380610025</t>
        </is>
      </c>
      <c r="E782" s="11" t="inlineStr">
        <is>
          <t>National Capital Region (NCR)</t>
        </is>
      </c>
      <c r="F782" s="11" t="inlineStr">
        <is>
          <t>First District (Not a Province)</t>
        </is>
      </c>
      <c r="G782" s="11" t="inlineStr">
        <is>
          <t>City of Manila</t>
        </is>
      </c>
      <c r="H782" s="11" t="inlineStr">
        <is>
          <t>Barangay 710</t>
        </is>
      </c>
      <c r="I782" s="24" t="n">
        <v>14.567652</v>
      </c>
      <c r="J782" s="24" t="n">
        <v>120.990215</v>
      </c>
      <c r="K782" s="23" t="inlineStr">
        <is>
          <t>U</t>
        </is>
      </c>
      <c r="L782" s="25" t="n">
        <v>747</v>
      </c>
      <c r="M782" s="26" t="n">
        <v>4.22</v>
      </c>
      <c r="N782" s="25">
        <f>ROUND(L782/M782, 0)</f>
        <v/>
      </c>
      <c r="O782" s="25">
        <f>ROUND(N782*'Methodology &amp; Assumptions'!$B$7, 0)</f>
        <v/>
      </c>
      <c r="P782" s="23" t="inlineStr">
        <is>
          <t>Single Carrier (Band n50, 100MHz TDD)</t>
        </is>
      </c>
      <c r="Q782" s="27">
        <f>ROUNDUP(O782/'Methodology &amp; Assumptions'!$B$8, 0)</f>
        <v/>
      </c>
      <c r="R782" s="27" t="n">
        <v>1</v>
      </c>
      <c r="S782" s="26" t="n">
        <v>0.65</v>
      </c>
      <c r="T782" s="26" t="n">
        <v>0.37</v>
      </c>
      <c r="U782" s="11">
        <f>IF(S782&lt;='Methodology &amp; Assumptions'!$B$10, "Direct Optical Drop (&lt;3km)", IF(S782&lt;='Methodology &amp; Assumptions'!$B$9, "Near Optical / Microwave (&lt;5km)", "Starlink Business LEO Satellite Backhaul (&gt;5km)"))</f>
        <v/>
      </c>
      <c r="V782" s="26" t="n">
        <v>46.77</v>
      </c>
      <c r="W782" s="26" t="n">
        <v>71.2</v>
      </c>
      <c r="X782" s="26">
        <f>ROUND(('Methodology &amp; Assumptions'!$B$5*V782) + ('Methodology &amp; Assumptions'!$B$6*W782), 2)</f>
        <v/>
      </c>
      <c r="Y782" s="28" t="n">
        <v>10.9</v>
      </c>
      <c r="Z782" s="11" t="inlineStr">
        <is>
          <t>Priority Tier 3 (Broadband Expansion)</t>
        </is>
      </c>
    </row>
    <row r="783">
      <c r="A783" s="23" t="n">
        <v>4</v>
      </c>
      <c r="B783" s="23" t="n">
        <v>779</v>
      </c>
      <c r="C783" s="23" t="n">
        <v>3779</v>
      </c>
      <c r="D783" s="23" t="inlineStr">
        <is>
          <t>0402103071</t>
        </is>
      </c>
      <c r="E783" s="11" t="inlineStr">
        <is>
          <t>Region IV-A (CALABARZON)</t>
        </is>
      </c>
      <c r="F783" s="11" t="inlineStr">
        <is>
          <t>Cavite</t>
        </is>
      </c>
      <c r="G783" s="11" t="inlineStr">
        <is>
          <t>City of Bacoor</t>
        </is>
      </c>
      <c r="H783" s="11" t="inlineStr">
        <is>
          <t>Talaba VII</t>
        </is>
      </c>
      <c r="I783" s="24" t="n">
        <v>14.436707</v>
      </c>
      <c r="J783" s="24" t="n">
        <v>120.961346</v>
      </c>
      <c r="K783" s="23" t="inlineStr">
        <is>
          <t>R</t>
        </is>
      </c>
      <c r="L783" s="25" t="n">
        <v>2431</v>
      </c>
      <c r="M783" s="26" t="n">
        <v>3.4</v>
      </c>
      <c r="N783" s="25">
        <f>ROUND(L783/M783, 0)</f>
        <v/>
      </c>
      <c r="O783" s="25">
        <f>ROUND(N783*'Methodology &amp; Assumptions'!$B$7, 0)</f>
        <v/>
      </c>
      <c r="P783" s="23" t="inlineStr">
        <is>
          <t>Single Carrier (Band n50, 100MHz TDD)</t>
        </is>
      </c>
      <c r="Q783" s="27">
        <f>ROUNDUP(O783/'Methodology &amp; Assumptions'!$B$8, 0)</f>
        <v/>
      </c>
      <c r="R783" s="27" t="n">
        <v>1</v>
      </c>
      <c r="S783" s="26" t="n">
        <v>1.43</v>
      </c>
      <c r="T783" s="26" t="n">
        <v>1.32</v>
      </c>
      <c r="U783" s="11">
        <f>IF(S783&lt;='Methodology &amp; Assumptions'!$B$10, "Direct Optical Drop (&lt;3km)", IF(S783&lt;='Methodology &amp; Assumptions'!$B$9, "Near Optical / Microwave (&lt;5km)", "Starlink Business LEO Satellite Backhaul (&gt;5km)"))</f>
        <v/>
      </c>
      <c r="V783" s="26" t="n">
        <v>79.90000000000001</v>
      </c>
      <c r="W783" s="26" t="n">
        <v>38.05</v>
      </c>
      <c r="X783" s="26">
        <f>ROUND(('Methodology &amp; Assumptions'!$B$5*V783) + ('Methodology &amp; Assumptions'!$B$6*W783), 2)</f>
        <v/>
      </c>
      <c r="Y783" s="28" t="n">
        <v>7.2</v>
      </c>
      <c r="Z783" s="11" t="inlineStr">
        <is>
          <t>Priority Tier 3 (Broadband Expansion)</t>
        </is>
      </c>
    </row>
    <row r="784">
      <c r="A784" s="23" t="n">
        <v>4</v>
      </c>
      <c r="B784" s="23" t="n">
        <v>780</v>
      </c>
      <c r="C784" s="23" t="n">
        <v>3780</v>
      </c>
      <c r="D784" s="23" t="inlineStr">
        <is>
          <t>0103309002</t>
        </is>
      </c>
      <c r="E784" s="11" t="inlineStr">
        <is>
          <t>Region I (Ilocos Region)</t>
        </is>
      </c>
      <c r="F784" s="11" t="inlineStr">
        <is>
          <t>La Union</t>
        </is>
      </c>
      <c r="G784" s="11" t="inlineStr">
        <is>
          <t>Caba</t>
        </is>
      </c>
      <c r="H784" s="11" t="inlineStr">
        <is>
          <t>Gana</t>
        </is>
      </c>
      <c r="I784" s="24" t="n">
        <v>16.422742</v>
      </c>
      <c r="J784" s="24" t="n">
        <v>120.349714</v>
      </c>
      <c r="K784" s="23" t="inlineStr">
        <is>
          <t>R</t>
        </is>
      </c>
      <c r="L784" s="25" t="n">
        <v>2255</v>
      </c>
      <c r="M784" s="26" t="n">
        <v>3.7</v>
      </c>
      <c r="N784" s="25">
        <f>ROUND(L784/M784, 0)</f>
        <v/>
      </c>
      <c r="O784" s="25">
        <f>ROUND(N784*'Methodology &amp; Assumptions'!$B$7, 0)</f>
        <v/>
      </c>
      <c r="P784" s="23" t="inlineStr">
        <is>
          <t>Single Carrier (Band n50, 100MHz TDD)</t>
        </is>
      </c>
      <c r="Q784" s="27">
        <f>ROUNDUP(O784/'Methodology &amp; Assumptions'!$B$8, 0)</f>
        <v/>
      </c>
      <c r="R784" s="27" t="n">
        <v>1</v>
      </c>
      <c r="S784" s="26" t="n">
        <v>0.8</v>
      </c>
      <c r="T784" s="26" t="n">
        <v>0.09</v>
      </c>
      <c r="U784" s="11">
        <f>IF(S784&lt;='Methodology &amp; Assumptions'!$B$10, "Direct Optical Drop (&lt;3km)", IF(S784&lt;='Methodology &amp; Assumptions'!$B$9, "Near Optical / Microwave (&lt;5km)", "Starlink Business LEO Satellite Backhaul (&gt;5km)"))</f>
        <v/>
      </c>
      <c r="V784" s="26" t="n">
        <v>78.84999999999999</v>
      </c>
      <c r="W784" s="26" t="n">
        <v>39.09</v>
      </c>
      <c r="X784" s="26">
        <f>ROUND(('Methodology &amp; Assumptions'!$B$5*V784) + ('Methodology &amp; Assumptions'!$B$6*W784), 2)</f>
        <v/>
      </c>
      <c r="Y784" s="28" t="n">
        <v>8.300000000000001</v>
      </c>
      <c r="Z784" s="11" t="inlineStr">
        <is>
          <t>Priority Tier 3 (Broadband Expansion)</t>
        </is>
      </c>
    </row>
    <row r="785">
      <c r="A785" s="23" t="n">
        <v>4</v>
      </c>
      <c r="B785" s="23" t="n">
        <v>781</v>
      </c>
      <c r="C785" s="23" t="n">
        <v>3781</v>
      </c>
      <c r="D785" s="23" t="inlineStr">
        <is>
          <t>1380614016</t>
        </is>
      </c>
      <c r="E785" s="11" t="inlineStr">
        <is>
          <t>National Capital Region (NCR)</t>
        </is>
      </c>
      <c r="F785" s="11" t="inlineStr">
        <is>
          <t>First District (Not a Province)</t>
        </is>
      </c>
      <c r="G785" s="11" t="inlineStr">
        <is>
          <t>City of Manila</t>
        </is>
      </c>
      <c r="H785" s="11" t="inlineStr">
        <is>
          <t>Barangay 760</t>
        </is>
      </c>
      <c r="I785" s="24" t="n">
        <v>14.56688</v>
      </c>
      <c r="J785" s="24" t="n">
        <v>121.0001</v>
      </c>
      <c r="K785" s="23" t="inlineStr">
        <is>
          <t>U</t>
        </is>
      </c>
      <c r="L785" s="25" t="n">
        <v>966</v>
      </c>
      <c r="M785" s="26" t="n">
        <v>3.73</v>
      </c>
      <c r="N785" s="25">
        <f>ROUND(L785/M785, 0)</f>
        <v/>
      </c>
      <c r="O785" s="25">
        <f>ROUND(N785*'Methodology &amp; Assumptions'!$B$7, 0)</f>
        <v/>
      </c>
      <c r="P785" s="23" t="inlineStr">
        <is>
          <t>Single Carrier (Band n50, 100MHz TDD)</t>
        </is>
      </c>
      <c r="Q785" s="27">
        <f>ROUNDUP(O785/'Methodology &amp; Assumptions'!$B$8, 0)</f>
        <v/>
      </c>
      <c r="R785" s="27" t="n">
        <v>1</v>
      </c>
      <c r="S785" s="26" t="n">
        <v>0.85</v>
      </c>
      <c r="T785" s="26" t="n">
        <v>0.46</v>
      </c>
      <c r="U785" s="11">
        <f>IF(S785&lt;='Methodology &amp; Assumptions'!$B$10, "Direct Optical Drop (&lt;3km)", IF(S785&lt;='Methodology &amp; Assumptions'!$B$9, "Near Optical / Microwave (&lt;5km)", "Starlink Business LEO Satellite Backhaul (&gt;5km)"))</f>
        <v/>
      </c>
      <c r="V785" s="26" t="n">
        <v>49.41</v>
      </c>
      <c r="W785" s="26" t="n">
        <v>68.53</v>
      </c>
      <c r="X785" s="26">
        <f>ROUND(('Methodology &amp; Assumptions'!$B$5*V785) + ('Methodology &amp; Assumptions'!$B$6*W785), 2)</f>
        <v/>
      </c>
      <c r="Y785" s="28" t="n">
        <v>10.9</v>
      </c>
      <c r="Z785" s="11" t="inlineStr">
        <is>
          <t>Priority Tier 3 (Broadband Expansion)</t>
        </is>
      </c>
    </row>
    <row r="786">
      <c r="A786" s="23" t="n">
        <v>4</v>
      </c>
      <c r="B786" s="23" t="n">
        <v>782</v>
      </c>
      <c r="C786" s="23" t="n">
        <v>3782</v>
      </c>
      <c r="D786" s="23" t="inlineStr">
        <is>
          <t>1705303010</t>
        </is>
      </c>
      <c r="E786" s="11" t="inlineStr">
        <is>
          <t>MIMAROPA Region</t>
        </is>
      </c>
      <c r="F786" s="11" t="inlineStr">
        <is>
          <t>Palawan</t>
        </is>
      </c>
      <c r="G786" s="11" t="inlineStr">
        <is>
          <t>Araceli</t>
        </is>
      </c>
      <c r="H786" s="11" t="inlineStr">
        <is>
          <t>San Jose De Oro</t>
        </is>
      </c>
      <c r="I786" s="24" t="n">
        <v>10.598142</v>
      </c>
      <c r="J786" s="24" t="n">
        <v>119.869033</v>
      </c>
      <c r="K786" s="23" t="inlineStr">
        <is>
          <t>R</t>
        </is>
      </c>
      <c r="L786" s="25" t="n">
        <v>719</v>
      </c>
      <c r="M786" s="26" t="n">
        <v>3.9</v>
      </c>
      <c r="N786" s="25">
        <f>ROUND(L786/M786, 0)</f>
        <v/>
      </c>
      <c r="O786" s="25">
        <f>ROUND(N786*'Methodology &amp; Assumptions'!$B$7, 0)</f>
        <v/>
      </c>
      <c r="P786" s="23" t="inlineStr">
        <is>
          <t>Single Carrier (Band n50, 100MHz TDD)</t>
        </is>
      </c>
      <c r="Q786" s="27">
        <f>ROUNDUP(O786/'Methodology &amp; Assumptions'!$B$8, 0)</f>
        <v/>
      </c>
      <c r="R786" s="27" t="n">
        <v>1</v>
      </c>
      <c r="S786" s="26" t="n">
        <v>33.88</v>
      </c>
      <c r="T786" s="26" t="n">
        <v>42.72</v>
      </c>
      <c r="U786" s="11">
        <f>IF(S786&lt;='Methodology &amp; Assumptions'!$B$10, "Direct Optical Drop (&lt;3km)", IF(S786&lt;='Methodology &amp; Assumptions'!$B$9, "Near Optical / Microwave (&lt;5km)", "Starlink Business LEO Satellite Backhaul (&gt;5km)"))</f>
        <v/>
      </c>
      <c r="V786" s="26" t="n">
        <v>39.23</v>
      </c>
      <c r="W786" s="26" t="n">
        <v>78.72</v>
      </c>
      <c r="X786" s="26">
        <f>ROUND(('Methodology &amp; Assumptions'!$B$5*V786) + ('Methodology &amp; Assumptions'!$B$6*W786), 2)</f>
        <v/>
      </c>
      <c r="Y786" s="28" t="n">
        <v>15</v>
      </c>
      <c r="Z786" s="11" t="inlineStr">
        <is>
          <t>Priority Tier 3 (Broadband Expansion)</t>
        </is>
      </c>
    </row>
    <row r="787">
      <c r="A787" s="23" t="n">
        <v>4</v>
      </c>
      <c r="B787" s="23" t="n">
        <v>783</v>
      </c>
      <c r="C787" s="23" t="n">
        <v>3783</v>
      </c>
      <c r="D787" s="23" t="inlineStr">
        <is>
          <t>0304932025</t>
        </is>
      </c>
      <c r="E787" s="11" t="inlineStr">
        <is>
          <t>Region III (Central Luzon)</t>
        </is>
      </c>
      <c r="F787" s="11" t="inlineStr">
        <is>
          <t>Nueva Ecija</t>
        </is>
      </c>
      <c r="G787" s="11" t="inlineStr">
        <is>
          <t>Zaragoza</t>
        </is>
      </c>
      <c r="H787" s="11" t="inlineStr">
        <is>
          <t>Santa Lucia Young</t>
        </is>
      </c>
      <c r="I787" s="24" t="n">
        <v>15.459167</v>
      </c>
      <c r="J787" s="24" t="n">
        <v>120.796389</v>
      </c>
      <c r="K787" s="23" t="inlineStr">
        <is>
          <t>R</t>
        </is>
      </c>
      <c r="L787" s="25" t="n">
        <v>4124</v>
      </c>
      <c r="M787" s="26" t="n">
        <v>3.5</v>
      </c>
      <c r="N787" s="25">
        <f>ROUND(L787/M787, 0)</f>
        <v/>
      </c>
      <c r="O787" s="25">
        <f>ROUND(N787*'Methodology &amp; Assumptions'!$B$7, 0)</f>
        <v/>
      </c>
      <c r="P787" s="23" t="inlineStr">
        <is>
          <t>Single Carrier (Band n50, 100MHz TDD)</t>
        </is>
      </c>
      <c r="Q787" s="27">
        <f>ROUNDUP(O787/'Methodology &amp; Assumptions'!$B$8, 0)</f>
        <v/>
      </c>
      <c r="R787" s="27" t="n">
        <v>1</v>
      </c>
      <c r="S787" s="26" t="n">
        <v>1.07</v>
      </c>
      <c r="T787" s="26" t="n">
        <v>1.13</v>
      </c>
      <c r="U787" s="11">
        <f>IF(S787&lt;='Methodology &amp; Assumptions'!$B$10, "Direct Optical Drop (&lt;3km)", IF(S787&lt;='Methodology &amp; Assumptions'!$B$9, "Near Optical / Microwave (&lt;5km)", "Starlink Business LEO Satellite Backhaul (&gt;5km)"))</f>
        <v/>
      </c>
      <c r="V787" s="26" t="n">
        <v>84.75</v>
      </c>
      <c r="W787" s="26" t="n">
        <v>33.17</v>
      </c>
      <c r="X787" s="26">
        <f>ROUND(('Methodology &amp; Assumptions'!$B$5*V787) + ('Methodology &amp; Assumptions'!$B$6*W787), 2)</f>
        <v/>
      </c>
      <c r="Y787" s="28" t="n">
        <v>8.300000000000001</v>
      </c>
      <c r="Z787" s="11" t="inlineStr">
        <is>
          <t>Priority Tier 3 (Broadband Expansion)</t>
        </is>
      </c>
    </row>
    <row r="788">
      <c r="A788" s="23" t="n">
        <v>4</v>
      </c>
      <c r="B788" s="23" t="n">
        <v>784</v>
      </c>
      <c r="C788" s="23" t="n">
        <v>3784</v>
      </c>
      <c r="D788" s="23" t="inlineStr">
        <is>
          <t>0401009013</t>
        </is>
      </c>
      <c r="E788" s="11" t="inlineStr">
        <is>
          <t>Region IV-A (CALABARZON)</t>
        </is>
      </c>
      <c r="F788" s="11" t="inlineStr">
        <is>
          <t>Batangas</t>
        </is>
      </c>
      <c r="G788" s="11" t="inlineStr">
        <is>
          <t>Cuenca</t>
        </is>
      </c>
      <c r="H788" s="11" t="inlineStr">
        <is>
          <t>San Felipe</t>
        </is>
      </c>
      <c r="I788" s="24" t="n">
        <v>13.890579</v>
      </c>
      <c r="J788" s="24" t="n">
        <v>121.042217</v>
      </c>
      <c r="K788" s="23" t="inlineStr">
        <is>
          <t>R</t>
        </is>
      </c>
      <c r="L788" s="25" t="n">
        <v>4012</v>
      </c>
      <c r="M788" s="26" t="n">
        <v>3.6</v>
      </c>
      <c r="N788" s="25">
        <f>ROUND(L788/M788, 0)</f>
        <v/>
      </c>
      <c r="O788" s="25">
        <f>ROUND(N788*'Methodology &amp; Assumptions'!$B$7, 0)</f>
        <v/>
      </c>
      <c r="P788" s="23" t="inlineStr">
        <is>
          <t>Single Carrier (Band n50, 100MHz TDD)</t>
        </is>
      </c>
      <c r="Q788" s="27">
        <f>ROUNDUP(O788/'Methodology &amp; Assumptions'!$B$8, 0)</f>
        <v/>
      </c>
      <c r="R788" s="27" t="n">
        <v>1</v>
      </c>
      <c r="S788" s="26" t="n">
        <v>1.14</v>
      </c>
      <c r="T788" s="26" t="n">
        <v>0.64</v>
      </c>
      <c r="U788" s="11">
        <f>IF(S788&lt;='Methodology &amp; Assumptions'!$B$10, "Direct Optical Drop (&lt;3km)", IF(S788&lt;='Methodology &amp; Assumptions'!$B$9, "Near Optical / Microwave (&lt;5km)", "Starlink Business LEO Satellite Backhaul (&gt;5km)"))</f>
        <v/>
      </c>
      <c r="V788" s="26" t="n">
        <v>84.31</v>
      </c>
      <c r="W788" s="26" t="n">
        <v>33.6</v>
      </c>
      <c r="X788" s="26">
        <f>ROUND(('Methodology &amp; Assumptions'!$B$5*V788) + ('Methodology &amp; Assumptions'!$B$6*W788), 2)</f>
        <v/>
      </c>
      <c r="Y788" s="28" t="n">
        <v>7.2</v>
      </c>
      <c r="Z788" s="11" t="inlineStr">
        <is>
          <t>Priority Tier 3 (Broadband Expansion)</t>
        </is>
      </c>
    </row>
    <row r="789">
      <c r="A789" s="23" t="n">
        <v>4</v>
      </c>
      <c r="B789" s="23" t="n">
        <v>785</v>
      </c>
      <c r="C789" s="23" t="n">
        <v>3785</v>
      </c>
      <c r="D789" s="23" t="inlineStr">
        <is>
          <t>0201501011</t>
        </is>
      </c>
      <c r="E789" s="11" t="inlineStr">
        <is>
          <t>Region II (Cagayan Valley)</t>
        </is>
      </c>
      <c r="F789" s="11" t="inlineStr">
        <is>
          <t>Cagayan</t>
        </is>
      </c>
      <c r="G789" s="11" t="inlineStr">
        <is>
          <t>Abulug</t>
        </is>
      </c>
      <c r="H789" s="11" t="inlineStr">
        <is>
          <t>Lucban</t>
        </is>
      </c>
      <c r="I789" s="24" t="n">
        <v>18.337132</v>
      </c>
      <c r="J789" s="24" t="n">
        <v>121.431333</v>
      </c>
      <c r="K789" s="23" t="inlineStr">
        <is>
          <t>R</t>
        </is>
      </c>
      <c r="L789" s="25" t="n">
        <v>3218</v>
      </c>
      <c r="M789" s="26" t="n">
        <v>3.9</v>
      </c>
      <c r="N789" s="25">
        <f>ROUND(L789/M789, 0)</f>
        <v/>
      </c>
      <c r="O789" s="25">
        <f>ROUND(N789*'Methodology &amp; Assumptions'!$B$7, 0)</f>
        <v/>
      </c>
      <c r="P789" s="23" t="inlineStr">
        <is>
          <t>Single Carrier (Band n50, 100MHz TDD)</t>
        </is>
      </c>
      <c r="Q789" s="27">
        <f>ROUNDUP(O789/'Methodology &amp; Assumptions'!$B$8, 0)</f>
        <v/>
      </c>
      <c r="R789" s="27" t="n">
        <v>1</v>
      </c>
      <c r="S789" s="26" t="n">
        <v>1.69</v>
      </c>
      <c r="T789" s="26" t="n">
        <v>0.32</v>
      </c>
      <c r="U789" s="11">
        <f>IF(S789&lt;='Methodology &amp; Assumptions'!$B$10, "Direct Optical Drop (&lt;3km)", IF(S789&lt;='Methodology &amp; Assumptions'!$B$9, "Near Optical / Microwave (&lt;5km)", "Starlink Business LEO Satellite Backhaul (&gt;5km)"))</f>
        <v/>
      </c>
      <c r="V789" s="26" t="n">
        <v>82.48</v>
      </c>
      <c r="W789" s="26" t="n">
        <v>35.44</v>
      </c>
      <c r="X789" s="26">
        <f>ROUND(('Methodology &amp; Assumptions'!$B$5*V789) + ('Methodology &amp; Assumptions'!$B$6*W789), 2)</f>
        <v/>
      </c>
      <c r="Y789" s="28" t="n">
        <v>8.300000000000001</v>
      </c>
      <c r="Z789" s="11" t="inlineStr">
        <is>
          <t>Priority Tier 3 (Broadband Expansion)</t>
        </is>
      </c>
    </row>
    <row r="790">
      <c r="A790" s="23" t="n">
        <v>4</v>
      </c>
      <c r="B790" s="23" t="n">
        <v>786</v>
      </c>
      <c r="C790" s="23" t="n">
        <v>3786</v>
      </c>
      <c r="D790" s="23" t="inlineStr">
        <is>
          <t>0205705006</t>
        </is>
      </c>
      <c r="E790" s="11" t="inlineStr">
        <is>
          <t>Region II (Cagayan Valley)</t>
        </is>
      </c>
      <c r="F790" s="11" t="inlineStr">
        <is>
          <t>Quirino</t>
        </is>
      </c>
      <c r="G790" s="11" t="inlineStr">
        <is>
          <t>Saguday</t>
        </is>
      </c>
      <c r="H790" s="11" t="inlineStr">
        <is>
          <t>Santo Tomas</t>
        </is>
      </c>
      <c r="I790" s="24" t="n">
        <v>16.546424</v>
      </c>
      <c r="J790" s="24" t="n">
        <v>121.571288</v>
      </c>
      <c r="K790" s="23" t="inlineStr">
        <is>
          <t>R</t>
        </is>
      </c>
      <c r="L790" s="25" t="n">
        <v>1301</v>
      </c>
      <c r="M790" s="26" t="n">
        <v>3.9</v>
      </c>
      <c r="N790" s="25">
        <f>ROUND(L790/M790, 0)</f>
        <v/>
      </c>
      <c r="O790" s="25">
        <f>ROUND(N790*'Methodology &amp; Assumptions'!$B$7, 0)</f>
        <v/>
      </c>
      <c r="P790" s="23" t="inlineStr">
        <is>
          <t>Single Carrier (Band n50, 100MHz TDD)</t>
        </is>
      </c>
      <c r="Q790" s="27">
        <f>ROUNDUP(O790/'Methodology &amp; Assumptions'!$B$8, 0)</f>
        <v/>
      </c>
      <c r="R790" s="27" t="n">
        <v>1</v>
      </c>
      <c r="S790" s="26" t="n">
        <v>0.9</v>
      </c>
      <c r="T790" s="26" t="n">
        <v>0.9</v>
      </c>
      <c r="U790" s="11">
        <f>IF(S790&lt;='Methodology &amp; Assumptions'!$B$10, "Direct Optical Drop (&lt;3km)", IF(S790&lt;='Methodology &amp; Assumptions'!$B$9, "Near Optical / Microwave (&lt;5km)", "Starlink Business LEO Satellite Backhaul (&gt;5km)"))</f>
        <v/>
      </c>
      <c r="V790" s="26" t="n">
        <v>72.25</v>
      </c>
      <c r="W790" s="26" t="n">
        <v>45.67</v>
      </c>
      <c r="X790" s="26">
        <f>ROUND(('Methodology &amp; Assumptions'!$B$5*V790) + ('Methodology &amp; Assumptions'!$B$6*W790), 2)</f>
        <v/>
      </c>
      <c r="Y790" s="28" t="n">
        <v>8.300000000000001</v>
      </c>
      <c r="Z790" s="11" t="inlineStr">
        <is>
          <t>Priority Tier 3 (Broadband Expansion)</t>
        </is>
      </c>
    </row>
    <row r="791">
      <c r="A791" s="23" t="n">
        <v>4</v>
      </c>
      <c r="B791" s="23" t="n">
        <v>787</v>
      </c>
      <c r="C791" s="23" t="n">
        <v>3787</v>
      </c>
      <c r="D791" s="23" t="inlineStr">
        <is>
          <t>0301420017</t>
        </is>
      </c>
      <c r="E791" s="11" t="inlineStr">
        <is>
          <t>Region III (Central Luzon)</t>
        </is>
      </c>
      <c r="F791" s="11" t="inlineStr">
        <is>
          <t>Bulacan</t>
        </is>
      </c>
      <c r="G791" s="11" t="inlineStr">
        <is>
          <t>City of San Jose Del Monte</t>
        </is>
      </c>
      <c r="H791" s="11" t="inlineStr">
        <is>
          <t>San Rafael II</t>
        </is>
      </c>
      <c r="I791" s="24" t="n">
        <v>14.854039</v>
      </c>
      <c r="J791" s="24" t="n">
        <v>121.046065</v>
      </c>
      <c r="K791" s="23" t="inlineStr">
        <is>
          <t>U</t>
        </is>
      </c>
      <c r="L791" s="25" t="n">
        <v>8507</v>
      </c>
      <c r="M791" s="26" t="n">
        <v>3.5</v>
      </c>
      <c r="N791" s="25">
        <f>ROUND(L791/M791, 0)</f>
        <v/>
      </c>
      <c r="O791" s="25">
        <f>ROUND(N791*'Methodology &amp; Assumptions'!$B$7, 0)</f>
        <v/>
      </c>
      <c r="P791" s="23" t="inlineStr">
        <is>
          <t>Single Carrier (Band n50, 100MHz TDD)</t>
        </is>
      </c>
      <c r="Q791" s="27">
        <f>ROUNDUP(O791/'Methodology &amp; Assumptions'!$B$8, 0)</f>
        <v/>
      </c>
      <c r="R791" s="27" t="n">
        <v>1</v>
      </c>
      <c r="S791" s="26" t="n">
        <v>1.65</v>
      </c>
      <c r="T791" s="26" t="n">
        <v>2.65</v>
      </c>
      <c r="U791" s="11">
        <f>IF(S791&lt;='Methodology &amp; Assumptions'!$B$10, "Direct Optical Drop (&lt;3km)", IF(S791&lt;='Methodology &amp; Assumptions'!$B$9, "Near Optical / Microwave (&lt;5km)", "Starlink Business LEO Satellite Backhaul (&gt;5km)"))</f>
        <v/>
      </c>
      <c r="V791" s="26" t="n">
        <v>71.92</v>
      </c>
      <c r="W791" s="26" t="n">
        <v>46</v>
      </c>
      <c r="X791" s="26">
        <f>ROUND(('Methodology &amp; Assumptions'!$B$5*V791) + ('Methodology &amp; Assumptions'!$B$6*W791), 2)</f>
        <v/>
      </c>
      <c r="Y791" s="28" t="n">
        <v>8.300000000000001</v>
      </c>
      <c r="Z791" s="11" t="inlineStr">
        <is>
          <t>Priority Tier 3 (Broadband Expansion)</t>
        </is>
      </c>
    </row>
    <row r="792">
      <c r="A792" s="23" t="n">
        <v>4</v>
      </c>
      <c r="B792" s="23" t="n">
        <v>788</v>
      </c>
      <c r="C792" s="23" t="n">
        <v>3788</v>
      </c>
      <c r="D792" s="23" t="inlineStr">
        <is>
          <t>0603036018</t>
        </is>
      </c>
      <c r="E792" s="11" t="inlineStr">
        <is>
          <t>Region VI (Western Visayas)</t>
        </is>
      </c>
      <c r="F792" s="11" t="inlineStr">
        <is>
          <t>Iloilo</t>
        </is>
      </c>
      <c r="G792" s="11" t="inlineStr">
        <is>
          <t>Pavia</t>
        </is>
      </c>
      <c r="H792" s="11" t="inlineStr">
        <is>
          <t>Ungka I</t>
        </is>
      </c>
      <c r="I792" s="24" t="n">
        <v>10.766126</v>
      </c>
      <c r="J792" s="24" t="n">
        <v>122.53704</v>
      </c>
      <c r="K792" s="23" t="inlineStr">
        <is>
          <t>U</t>
        </is>
      </c>
      <c r="L792" s="25" t="n">
        <v>2552</v>
      </c>
      <c r="M792" s="26" t="n">
        <v>3.8</v>
      </c>
      <c r="N792" s="25">
        <f>ROUND(L792/M792, 0)</f>
        <v/>
      </c>
      <c r="O792" s="25">
        <f>ROUND(N792*'Methodology &amp; Assumptions'!$B$7, 0)</f>
        <v/>
      </c>
      <c r="P792" s="23" t="inlineStr">
        <is>
          <t>Single Carrier (Band n50, 100MHz TDD)</t>
        </is>
      </c>
      <c r="Q792" s="27">
        <f>ROUNDUP(O792/'Methodology &amp; Assumptions'!$B$8, 0)</f>
        <v/>
      </c>
      <c r="R792" s="27" t="n">
        <v>1</v>
      </c>
      <c r="S792" s="26" t="n">
        <v>1.16</v>
      </c>
      <c r="T792" s="26" t="n">
        <v>3.43</v>
      </c>
      <c r="U792" s="11">
        <f>IF(S792&lt;='Methodology &amp; Assumptions'!$B$10, "Direct Optical Drop (&lt;3km)", IF(S792&lt;='Methodology &amp; Assumptions'!$B$9, "Near Optical / Microwave (&lt;5km)", "Starlink Business LEO Satellite Backhaul (&gt;5km)"))</f>
        <v/>
      </c>
      <c r="V792" s="26" t="n">
        <v>70.01000000000001</v>
      </c>
      <c r="W792" s="26" t="n">
        <v>47.92</v>
      </c>
      <c r="X792" s="26">
        <f>ROUND(('Methodology &amp; Assumptions'!$B$5*V792) + ('Methodology &amp; Assumptions'!$B$6*W792), 2)</f>
        <v/>
      </c>
      <c r="Y792" s="28" t="n">
        <v>23.7</v>
      </c>
      <c r="Z792" s="11" t="inlineStr">
        <is>
          <t>Priority Tier 3 (Broadband Expansion)</t>
        </is>
      </c>
    </row>
    <row r="793">
      <c r="A793" s="23" t="n">
        <v>4</v>
      </c>
      <c r="B793" s="23" t="n">
        <v>789</v>
      </c>
      <c r="C793" s="23" t="n">
        <v>3789</v>
      </c>
      <c r="D793" s="23" t="inlineStr">
        <is>
          <t>0201529040</t>
        </is>
      </c>
      <c r="E793" s="11" t="inlineStr">
        <is>
          <t>Region II (Cagayan Valley)</t>
        </is>
      </c>
      <c r="F793" s="11" t="inlineStr">
        <is>
          <t>Cagayan</t>
        </is>
      </c>
      <c r="G793" s="11" t="inlineStr">
        <is>
          <t>Tuguegarao City</t>
        </is>
      </c>
      <c r="H793" s="11" t="inlineStr">
        <is>
          <t>Caritan Centro</t>
        </is>
      </c>
      <c r="I793" s="24" t="n">
        <v>17.6249</v>
      </c>
      <c r="J793" s="24" t="n">
        <v>121.7228</v>
      </c>
      <c r="K793" s="23" t="inlineStr">
        <is>
          <t>U</t>
        </is>
      </c>
      <c r="L793" s="25" t="n">
        <v>4242</v>
      </c>
      <c r="M793" s="26" t="n">
        <v>3.9</v>
      </c>
      <c r="N793" s="25">
        <f>ROUND(L793/M793, 0)</f>
        <v/>
      </c>
      <c r="O793" s="25">
        <f>ROUND(N793*'Methodology &amp; Assumptions'!$B$7, 0)</f>
        <v/>
      </c>
      <c r="P793" s="23" t="inlineStr">
        <is>
          <t>Single Carrier (Band n50, 100MHz TDD)</t>
        </is>
      </c>
      <c r="Q793" s="27">
        <f>ROUNDUP(O793/'Methodology &amp; Assumptions'!$B$8, 0)</f>
        <v/>
      </c>
      <c r="R793" s="27" t="n">
        <v>1</v>
      </c>
      <c r="S793" s="26" t="n">
        <v>3.92</v>
      </c>
      <c r="T793" s="26" t="n">
        <v>0.22</v>
      </c>
      <c r="U793" s="11">
        <f>IF(S793&lt;='Methodology &amp; Assumptions'!$B$10, "Direct Optical Drop (&lt;3km)", IF(S793&lt;='Methodology &amp; Assumptions'!$B$9, "Near Optical / Microwave (&lt;5km)", "Starlink Business LEO Satellite Backhaul (&gt;5km)"))</f>
        <v/>
      </c>
      <c r="V793" s="26" t="n">
        <v>68.97</v>
      </c>
      <c r="W793" s="26" t="n">
        <v>48.95</v>
      </c>
      <c r="X793" s="26">
        <f>ROUND(('Methodology &amp; Assumptions'!$B$5*V793) + ('Methodology &amp; Assumptions'!$B$6*W793), 2)</f>
        <v/>
      </c>
      <c r="Y793" s="28" t="n">
        <v>8.300000000000001</v>
      </c>
      <c r="Z793" s="11" t="inlineStr">
        <is>
          <t>Priority Tier 3 (Broadband Expansion)</t>
        </is>
      </c>
    </row>
    <row r="794">
      <c r="A794" s="23" t="n">
        <v>4</v>
      </c>
      <c r="B794" s="23" t="n">
        <v>790</v>
      </c>
      <c r="C794" s="23" t="n">
        <v>3790</v>
      </c>
      <c r="D794" s="23" t="inlineStr">
        <is>
          <t>1380606069</t>
        </is>
      </c>
      <c r="E794" s="11" t="inlineStr">
        <is>
          <t>National Capital Region (NCR)</t>
        </is>
      </c>
      <c r="F794" s="11" t="inlineStr">
        <is>
          <t>First District (Not a Province)</t>
        </is>
      </c>
      <c r="G794" s="11" t="inlineStr">
        <is>
          <t>City of Manila</t>
        </is>
      </c>
      <c r="H794" s="11" t="inlineStr">
        <is>
          <t>Barangay 463</t>
        </is>
      </c>
      <c r="I794" s="24" t="n">
        <v>14.607053</v>
      </c>
      <c r="J794" s="24" t="n">
        <v>120.986598</v>
      </c>
      <c r="K794" s="23" t="inlineStr">
        <is>
          <t>U</t>
        </is>
      </c>
      <c r="L794" s="25" t="n">
        <v>856</v>
      </c>
      <c r="M794" s="26" t="n">
        <v>4.1</v>
      </c>
      <c r="N794" s="25">
        <f>ROUND(L794/M794, 0)</f>
        <v/>
      </c>
      <c r="O794" s="25">
        <f>ROUND(N794*'Methodology &amp; Assumptions'!$B$7, 0)</f>
        <v/>
      </c>
      <c r="P794" s="23" t="inlineStr">
        <is>
          <t>Single Carrier (Band n50, 100MHz TDD)</t>
        </is>
      </c>
      <c r="Q794" s="27">
        <f>ROUNDUP(O794/'Methodology &amp; Assumptions'!$B$8, 0)</f>
        <v/>
      </c>
      <c r="R794" s="27" t="n">
        <v>1</v>
      </c>
      <c r="S794" s="26" t="n">
        <v>0.66</v>
      </c>
      <c r="T794" s="26" t="n">
        <v>0.1</v>
      </c>
      <c r="U794" s="11">
        <f>IF(S794&lt;='Methodology &amp; Assumptions'!$B$10, "Direct Optical Drop (&lt;3km)", IF(S794&lt;='Methodology &amp; Assumptions'!$B$9, "Near Optical / Microwave (&lt;5km)", "Starlink Business LEO Satellite Backhaul (&gt;5km)"))</f>
        <v/>
      </c>
      <c r="V794" s="26" t="n">
        <v>47.84</v>
      </c>
      <c r="W794" s="26" t="n">
        <v>70.06999999999999</v>
      </c>
      <c r="X794" s="26">
        <f>ROUND(('Methodology &amp; Assumptions'!$B$5*V794) + ('Methodology &amp; Assumptions'!$B$6*W794), 2)</f>
        <v/>
      </c>
      <c r="Y794" s="28" t="n">
        <v>10.9</v>
      </c>
      <c r="Z794" s="11" t="inlineStr">
        <is>
          <t>Priority Tier 3 (Broadband Expansion)</t>
        </is>
      </c>
    </row>
    <row r="795">
      <c r="A795" s="23" t="n">
        <v>4</v>
      </c>
      <c r="B795" s="23" t="n">
        <v>791</v>
      </c>
      <c r="C795" s="23" t="n">
        <v>3791</v>
      </c>
      <c r="D795" s="23" t="inlineStr">
        <is>
          <t>1380610004</t>
        </is>
      </c>
      <c r="E795" s="11" t="inlineStr">
        <is>
          <t>National Capital Region (NCR)</t>
        </is>
      </c>
      <c r="F795" s="11" t="inlineStr">
        <is>
          <t>First District (Not a Province)</t>
        </is>
      </c>
      <c r="G795" s="11" t="inlineStr">
        <is>
          <t>City of Manila</t>
        </is>
      </c>
      <c r="H795" s="11" t="inlineStr">
        <is>
          <t>Barangay 689</t>
        </is>
      </c>
      <c r="I795" s="24" t="n">
        <v>14.57385</v>
      </c>
      <c r="J795" s="24" t="n">
        <v>120.99283</v>
      </c>
      <c r="K795" s="23" t="inlineStr">
        <is>
          <t>U</t>
        </is>
      </c>
      <c r="L795" s="25" t="n">
        <v>736</v>
      </c>
      <c r="M795" s="26" t="n">
        <v>3.91</v>
      </c>
      <c r="N795" s="25">
        <f>ROUND(L795/M795, 0)</f>
        <v/>
      </c>
      <c r="O795" s="25">
        <f>ROUND(N795*'Methodology &amp; Assumptions'!$B$7, 0)</f>
        <v/>
      </c>
      <c r="P795" s="23" t="inlineStr">
        <is>
          <t>Single Carrier (Band n50, 100MHz TDD)</t>
        </is>
      </c>
      <c r="Q795" s="27">
        <f>ROUNDUP(O795/'Methodology &amp; Assumptions'!$B$8, 0)</f>
        <v/>
      </c>
      <c r="R795" s="27" t="n">
        <v>1</v>
      </c>
      <c r="S795" s="26" t="n">
        <v>0.25</v>
      </c>
      <c r="T795" s="26" t="n">
        <v>0.31</v>
      </c>
      <c r="U795" s="11">
        <f>IF(S795&lt;='Methodology &amp; Assumptions'!$B$10, "Direct Optical Drop (&lt;3km)", IF(S795&lt;='Methodology &amp; Assumptions'!$B$9, "Near Optical / Microwave (&lt;5km)", "Starlink Business LEO Satellite Backhaul (&gt;5km)"))</f>
        <v/>
      </c>
      <c r="V795" s="26" t="n">
        <v>47.09</v>
      </c>
      <c r="W795" s="26" t="n">
        <v>70.81999999999999</v>
      </c>
      <c r="X795" s="26">
        <f>ROUND(('Methodology &amp; Assumptions'!$B$5*V795) + ('Methodology &amp; Assumptions'!$B$6*W795), 2)</f>
        <v/>
      </c>
      <c r="Y795" s="28" t="n">
        <v>10.9</v>
      </c>
      <c r="Z795" s="11" t="inlineStr">
        <is>
          <t>Priority Tier 3 (Broadband Expansion)</t>
        </is>
      </c>
    </row>
    <row r="796">
      <c r="A796" s="23" t="n">
        <v>4</v>
      </c>
      <c r="B796" s="23" t="n">
        <v>792</v>
      </c>
      <c r="C796" s="23" t="n">
        <v>3792</v>
      </c>
      <c r="D796" s="23" t="inlineStr">
        <is>
          <t>1907006010</t>
        </is>
      </c>
      <c r="E796" s="11" t="inlineStr">
        <is>
          <t>Bangsamoro Autonomous Region In Muslim Mindanao (BARMM)</t>
        </is>
      </c>
      <c r="F796" s="11" t="inlineStr">
        <is>
          <t>Tawi-Tawi</t>
        </is>
      </c>
      <c r="G796" s="11" t="inlineStr">
        <is>
          <t>South Ubian</t>
        </is>
      </c>
      <c r="H796" s="11" t="inlineStr">
        <is>
          <t>Bunay Bunay Lookan</t>
        </is>
      </c>
      <c r="I796" s="24" t="n">
        <v>5.17271</v>
      </c>
      <c r="J796" s="24" t="n">
        <v>120.500561</v>
      </c>
      <c r="K796" s="23" t="inlineStr">
        <is>
          <t>R</t>
        </is>
      </c>
      <c r="L796" s="25" t="n">
        <v>1548</v>
      </c>
      <c r="M796" s="26" t="n">
        <v>5.8</v>
      </c>
      <c r="N796" s="25">
        <f>ROUND(L796/M796, 0)</f>
        <v/>
      </c>
      <c r="O796" s="25">
        <f>ROUND(N796*'Methodology &amp; Assumptions'!$B$7, 0)</f>
        <v/>
      </c>
      <c r="P796" s="23" t="inlineStr">
        <is>
          <t>Single Carrier (Band n50, 100MHz TDD)</t>
        </is>
      </c>
      <c r="Q796" s="27">
        <f>ROUNDUP(O796/'Methodology &amp; Assumptions'!$B$8, 0)</f>
        <v/>
      </c>
      <c r="R796" s="27" t="n">
        <v>1</v>
      </c>
      <c r="S796" s="26" t="n">
        <v>259.99</v>
      </c>
      <c r="T796" s="26" t="n">
        <v>259.98</v>
      </c>
      <c r="U796" s="11">
        <f>IF(S796&lt;='Methodology &amp; Assumptions'!$B$10, "Direct Optical Drop (&lt;3km)", IF(S796&lt;='Methodology &amp; Assumptions'!$B$9, "Near Optical / Microwave (&lt;5km)", "Starlink Business LEO Satellite Backhaul (&gt;5km)"))</f>
        <v/>
      </c>
      <c r="V796" s="26" t="n">
        <v>39.62</v>
      </c>
      <c r="W796" s="26" t="n">
        <v>78.3</v>
      </c>
      <c r="X796" s="26">
        <f>ROUND(('Methodology &amp; Assumptions'!$B$5*V796) + ('Methodology &amp; Assumptions'!$B$6*W796), 2)</f>
        <v/>
      </c>
      <c r="Y796" s="28" t="n">
        <v>11</v>
      </c>
      <c r="Z796" s="11" t="inlineStr">
        <is>
          <t>Priority Tier 3 (Broadband Expansion)</t>
        </is>
      </c>
    </row>
    <row r="797">
      <c r="A797" s="23" t="n">
        <v>4</v>
      </c>
      <c r="B797" s="23" t="n">
        <v>793</v>
      </c>
      <c r="C797" s="23" t="n">
        <v>3793</v>
      </c>
      <c r="D797" s="23" t="inlineStr">
        <is>
          <t>0304911009</t>
        </is>
      </c>
      <c r="E797" s="11" t="inlineStr">
        <is>
          <t>Region III (Central Luzon)</t>
        </is>
      </c>
      <c r="F797" s="11" t="inlineStr">
        <is>
          <t>Nueva Ecija</t>
        </is>
      </c>
      <c r="G797" s="11" t="inlineStr">
        <is>
          <t>Guimba</t>
        </is>
      </c>
      <c r="H797" s="11" t="inlineStr">
        <is>
          <t>Bantug</t>
        </is>
      </c>
      <c r="I797" s="24" t="n">
        <v>15.644969</v>
      </c>
      <c r="J797" s="24" t="n">
        <v>120.761072</v>
      </c>
      <c r="K797" s="23" t="inlineStr">
        <is>
          <t>R</t>
        </is>
      </c>
      <c r="L797" s="25" t="n">
        <v>4791</v>
      </c>
      <c r="M797" s="26" t="n">
        <v>3.5</v>
      </c>
      <c r="N797" s="25">
        <f>ROUND(L797/M797, 0)</f>
        <v/>
      </c>
      <c r="O797" s="25">
        <f>ROUND(N797*'Methodology &amp; Assumptions'!$B$7, 0)</f>
        <v/>
      </c>
      <c r="P797" s="23" t="inlineStr">
        <is>
          <t>Single Carrier (Band n50, 100MHz TDD)</t>
        </is>
      </c>
      <c r="Q797" s="27">
        <f>ROUNDUP(O797/'Methodology &amp; Assumptions'!$B$8, 0)</f>
        <v/>
      </c>
      <c r="R797" s="27" t="n">
        <v>1</v>
      </c>
      <c r="S797" s="26" t="n">
        <v>1.57</v>
      </c>
      <c r="T797" s="26" t="n">
        <v>0.96</v>
      </c>
      <c r="U797" s="11">
        <f>IF(S797&lt;='Methodology &amp; Assumptions'!$B$10, "Direct Optical Drop (&lt;3km)", IF(S797&lt;='Methodology &amp; Assumptions'!$B$9, "Near Optical / Microwave (&lt;5km)", "Starlink Business LEO Satellite Backhaul (&gt;5km)"))</f>
        <v/>
      </c>
      <c r="V797" s="26" t="n">
        <v>82.89</v>
      </c>
      <c r="W797" s="26" t="n">
        <v>35.01</v>
      </c>
      <c r="X797" s="26">
        <f>ROUND(('Methodology &amp; Assumptions'!$B$5*V797) + ('Methodology &amp; Assumptions'!$B$6*W797), 2)</f>
        <v/>
      </c>
      <c r="Y797" s="28" t="n">
        <v>8.300000000000001</v>
      </c>
      <c r="Z797" s="11" t="inlineStr">
        <is>
          <t>Priority Tier 3 (Broadband Expansion)</t>
        </is>
      </c>
    </row>
    <row r="798">
      <c r="A798" s="23" t="n">
        <v>4</v>
      </c>
      <c r="B798" s="23" t="n">
        <v>794</v>
      </c>
      <c r="C798" s="23" t="n">
        <v>3794</v>
      </c>
      <c r="D798" s="23" t="inlineStr">
        <is>
          <t>0305409008</t>
        </is>
      </c>
      <c r="E798" s="11" t="inlineStr">
        <is>
          <t>Region III (Central Luzon)</t>
        </is>
      </c>
      <c r="F798" s="11" t="inlineStr">
        <is>
          <t>Pampanga</t>
        </is>
      </c>
      <c r="G798" s="11" t="inlineStr">
        <is>
          <t>Mabalacat City</t>
        </is>
      </c>
      <c r="H798" s="11" t="inlineStr">
        <is>
          <t>Dau</t>
        </is>
      </c>
      <c r="I798" s="24" t="n">
        <v>15.174555</v>
      </c>
      <c r="J798" s="24" t="n">
        <v>120.58595</v>
      </c>
      <c r="K798" s="23" t="inlineStr">
        <is>
          <t>U</t>
        </is>
      </c>
      <c r="L798" s="25" t="n">
        <v>66184</v>
      </c>
      <c r="M798" s="26" t="n">
        <v>4</v>
      </c>
      <c r="N798" s="25">
        <f>ROUND(L798/M798, 0)</f>
        <v/>
      </c>
      <c r="O798" s="25">
        <f>ROUND(N798*'Methodology &amp; Assumptions'!$B$7, 0)</f>
        <v/>
      </c>
      <c r="P798" s="23" t="inlineStr">
        <is>
          <t>Single Carrier (Band n50, 100MHz TDD)</t>
        </is>
      </c>
      <c r="Q798" s="27">
        <f>ROUNDUP(O798/'Methodology &amp; Assumptions'!$B$8, 0)</f>
        <v/>
      </c>
      <c r="R798" s="27" t="n">
        <v>1</v>
      </c>
      <c r="S798" s="26" t="n">
        <v>0.23</v>
      </c>
      <c r="T798" s="26" t="n">
        <v>0.24</v>
      </c>
      <c r="U798" s="11">
        <f>IF(S798&lt;='Methodology &amp; Assumptions'!$B$10, "Direct Optical Drop (&lt;3km)", IF(S798&lt;='Methodology &amp; Assumptions'!$B$9, "Near Optical / Microwave (&lt;5km)", "Starlink Business LEO Satellite Backhaul (&gt;5km)"))</f>
        <v/>
      </c>
      <c r="V798" s="26" t="n">
        <v>76.63</v>
      </c>
      <c r="W798" s="26" t="n">
        <v>41.27</v>
      </c>
      <c r="X798" s="26">
        <f>ROUND(('Methodology &amp; Assumptions'!$B$5*V798) + ('Methodology &amp; Assumptions'!$B$6*W798), 2)</f>
        <v/>
      </c>
      <c r="Y798" s="28" t="n">
        <v>8.300000000000001</v>
      </c>
      <c r="Z798" s="11" t="inlineStr">
        <is>
          <t>Priority Tier 3 (Broadband Expansion)</t>
        </is>
      </c>
    </row>
    <row r="799">
      <c r="A799" s="23" t="n">
        <v>4</v>
      </c>
      <c r="B799" s="23" t="n">
        <v>795</v>
      </c>
      <c r="C799" s="23" t="n">
        <v>3795</v>
      </c>
      <c r="D799" s="23" t="inlineStr">
        <is>
          <t>0402118063</t>
        </is>
      </c>
      <c r="E799" s="11" t="inlineStr">
        <is>
          <t>Region IV-A (CALABARZON)</t>
        </is>
      </c>
      <c r="F799" s="11" t="inlineStr">
        <is>
          <t>Cavite</t>
        </is>
      </c>
      <c r="G799" s="11" t="inlineStr">
        <is>
          <t>Silang</t>
        </is>
      </c>
      <c r="H799" s="11" t="inlineStr">
        <is>
          <t>San Miguel II</t>
        </is>
      </c>
      <c r="I799" s="24" t="n">
        <v>14.223397</v>
      </c>
      <c r="J799" s="24" t="n">
        <v>120.969741</v>
      </c>
      <c r="K799" s="23" t="inlineStr">
        <is>
          <t>U</t>
        </is>
      </c>
      <c r="L799" s="25" t="n">
        <v>2693</v>
      </c>
      <c r="M799" s="26" t="n">
        <v>3.4</v>
      </c>
      <c r="N799" s="25">
        <f>ROUND(L799/M799, 0)</f>
        <v/>
      </c>
      <c r="O799" s="25">
        <f>ROUND(N799*'Methodology &amp; Assumptions'!$B$7, 0)</f>
        <v/>
      </c>
      <c r="P799" s="23" t="inlineStr">
        <is>
          <t>Single Carrier (Band n50, 100MHz TDD)</t>
        </is>
      </c>
      <c r="Q799" s="27">
        <f>ROUNDUP(O799/'Methodology &amp; Assumptions'!$B$8, 0)</f>
        <v/>
      </c>
      <c r="R799" s="27" t="n">
        <v>1</v>
      </c>
      <c r="S799" s="26" t="n">
        <v>6.03</v>
      </c>
      <c r="T799" s="26" t="n">
        <v>0.49</v>
      </c>
      <c r="U799" s="11">
        <f>IF(S799&lt;='Methodology &amp; Assumptions'!$B$10, "Direct Optical Drop (&lt;3km)", IF(S799&lt;='Methodology &amp; Assumptions'!$B$9, "Near Optical / Microwave (&lt;5km)", "Starlink Business LEO Satellite Backhaul (&gt;5km)"))</f>
        <v/>
      </c>
      <c r="V799" s="26" t="n">
        <v>64.47</v>
      </c>
      <c r="W799" s="26" t="n">
        <v>53.43</v>
      </c>
      <c r="X799" s="26">
        <f>ROUND(('Methodology &amp; Assumptions'!$B$5*V799) + ('Methodology &amp; Assumptions'!$B$6*W799), 2)</f>
        <v/>
      </c>
      <c r="Y799" s="28" t="n">
        <v>7.2</v>
      </c>
      <c r="Z799" s="11" t="inlineStr">
        <is>
          <t>Priority Tier 3 (Broadband Expansion)</t>
        </is>
      </c>
    </row>
    <row r="800">
      <c r="A800" s="23" t="n">
        <v>4</v>
      </c>
      <c r="B800" s="23" t="n">
        <v>796</v>
      </c>
      <c r="C800" s="23" t="n">
        <v>3796</v>
      </c>
      <c r="D800" s="23" t="inlineStr">
        <is>
          <t>0201525004</t>
        </is>
      </c>
      <c r="E800" s="11" t="inlineStr">
        <is>
          <t>Region II (Cagayan Valley)</t>
        </is>
      </c>
      <c r="F800" s="11" t="inlineStr">
        <is>
          <t>Cagayan</t>
        </is>
      </c>
      <c r="G800" s="11" t="inlineStr">
        <is>
          <t>Santa Teresita</t>
        </is>
      </c>
      <c r="H800" s="11" t="inlineStr">
        <is>
          <t>Dungeg</t>
        </is>
      </c>
      <c r="I800" s="24" t="n">
        <v>18.213546</v>
      </c>
      <c r="J800" s="24" t="n">
        <v>121.92367</v>
      </c>
      <c r="K800" s="23" t="inlineStr">
        <is>
          <t>R</t>
        </is>
      </c>
      <c r="L800" s="25" t="n">
        <v>636</v>
      </c>
      <c r="M800" s="26" t="n">
        <v>3.9</v>
      </c>
      <c r="N800" s="25">
        <f>ROUND(L800/M800, 0)</f>
        <v/>
      </c>
      <c r="O800" s="25">
        <f>ROUND(N800*'Methodology &amp; Assumptions'!$B$7, 0)</f>
        <v/>
      </c>
      <c r="P800" s="23" t="inlineStr">
        <is>
          <t>Single Carrier (Band n50, 100MHz TDD)</t>
        </is>
      </c>
      <c r="Q800" s="27">
        <f>ROUNDUP(O800/'Methodology &amp; Assumptions'!$B$8, 0)</f>
        <v/>
      </c>
      <c r="R800" s="27" t="n">
        <v>1</v>
      </c>
      <c r="S800" s="26" t="n">
        <v>4</v>
      </c>
      <c r="T800" s="26" t="n">
        <v>3.06</v>
      </c>
      <c r="U800" s="11">
        <f>IF(S800&lt;='Methodology &amp; Assumptions'!$B$10, "Direct Optical Drop (&lt;3km)", IF(S800&lt;='Methodology &amp; Assumptions'!$B$9, "Near Optical / Microwave (&lt;5km)", "Starlink Business LEO Satellite Backhaul (&gt;5km)"))</f>
        <v/>
      </c>
      <c r="V800" s="26" t="n">
        <v>51.21</v>
      </c>
      <c r="W800" s="26" t="n">
        <v>66.68000000000001</v>
      </c>
      <c r="X800" s="26">
        <f>ROUND(('Methodology &amp; Assumptions'!$B$5*V800) + ('Methodology &amp; Assumptions'!$B$6*W800), 2)</f>
        <v/>
      </c>
      <c r="Y800" s="28" t="n">
        <v>8.300000000000001</v>
      </c>
      <c r="Z800" s="11" t="inlineStr">
        <is>
          <t>Priority Tier 3 (Broadband Expansion)</t>
        </is>
      </c>
    </row>
    <row r="801">
      <c r="A801" s="23" t="n">
        <v>4</v>
      </c>
      <c r="B801" s="23" t="n">
        <v>797</v>
      </c>
      <c r="C801" s="23" t="n">
        <v>3797</v>
      </c>
      <c r="D801" s="23" t="inlineStr">
        <is>
          <t>0802615011</t>
        </is>
      </c>
      <c r="E801" s="11" t="inlineStr">
        <is>
          <t>Region VIII (Eastern Visayas)</t>
        </is>
      </c>
      <c r="F801" s="11" t="inlineStr">
        <is>
          <t>Eastern Samar</t>
        </is>
      </c>
      <c r="G801" s="11" t="inlineStr">
        <is>
          <t>Maydolong</t>
        </is>
      </c>
      <c r="H801" s="11" t="inlineStr">
        <is>
          <t>Omawas</t>
        </is>
      </c>
      <c r="I801" s="24" t="n">
        <v>11.512776</v>
      </c>
      <c r="J801" s="24" t="n">
        <v>125.474255</v>
      </c>
      <c r="K801" s="23" t="inlineStr">
        <is>
          <t>R</t>
        </is>
      </c>
      <c r="L801" s="25" t="n">
        <v>1082</v>
      </c>
      <c r="M801" s="26" t="n">
        <v>3.9</v>
      </c>
      <c r="N801" s="25">
        <f>ROUND(L801/M801, 0)</f>
        <v/>
      </c>
      <c r="O801" s="25">
        <f>ROUND(N801*'Methodology &amp; Assumptions'!$B$7, 0)</f>
        <v/>
      </c>
      <c r="P801" s="23" t="inlineStr">
        <is>
          <t>Single Carrier (Band n50, 100MHz TDD)</t>
        </is>
      </c>
      <c r="Q801" s="27">
        <f>ROUNDUP(O801/'Methodology &amp; Assumptions'!$B$8, 0)</f>
        <v/>
      </c>
      <c r="R801" s="27" t="n">
        <v>1</v>
      </c>
      <c r="S801" s="26" t="n">
        <v>59.73</v>
      </c>
      <c r="T801" s="26" t="n">
        <v>60.13</v>
      </c>
      <c r="U801" s="11">
        <f>IF(S801&lt;='Methodology &amp; Assumptions'!$B$10, "Direct Optical Drop (&lt;3km)", IF(S801&lt;='Methodology &amp; Assumptions'!$B$9, "Near Optical / Microwave (&lt;5km)", "Starlink Business LEO Satellite Backhaul (&gt;5km)"))</f>
        <v/>
      </c>
      <c r="V801" s="26" t="n">
        <v>44.62</v>
      </c>
      <c r="W801" s="26" t="n">
        <v>73.28</v>
      </c>
      <c r="X801" s="26">
        <f>ROUND(('Methodology &amp; Assumptions'!$B$5*V801) + ('Methodology &amp; Assumptions'!$B$6*W801), 2)</f>
        <v/>
      </c>
      <c r="Y801" s="28" t="n">
        <v>23.7</v>
      </c>
      <c r="Z801" s="11" t="inlineStr">
        <is>
          <t>Priority Tier 3 (Broadband Expansion)</t>
        </is>
      </c>
    </row>
    <row r="802">
      <c r="A802" s="23" t="n">
        <v>4</v>
      </c>
      <c r="B802" s="23" t="n">
        <v>798</v>
      </c>
      <c r="C802" s="23" t="n">
        <v>3798</v>
      </c>
      <c r="D802" s="23" t="inlineStr">
        <is>
          <t>0401029008</t>
        </is>
      </c>
      <c r="E802" s="11" t="inlineStr">
        <is>
          <t>Region IV-A (CALABARZON)</t>
        </is>
      </c>
      <c r="F802" s="11" t="inlineStr">
        <is>
          <t>Batangas</t>
        </is>
      </c>
      <c r="G802" s="11" t="inlineStr">
        <is>
          <t>Taal</t>
        </is>
      </c>
      <c r="H802" s="11" t="inlineStr">
        <is>
          <t>Cawit</t>
        </is>
      </c>
      <c r="I802" s="24" t="n">
        <v>13.895376</v>
      </c>
      <c r="J802" s="24" t="n">
        <v>120.920217</v>
      </c>
      <c r="K802" s="23" t="inlineStr">
        <is>
          <t>R</t>
        </is>
      </c>
      <c r="L802" s="25" t="n">
        <v>2563</v>
      </c>
      <c r="M802" s="26" t="n">
        <v>3.6</v>
      </c>
      <c r="N802" s="25">
        <f>ROUND(L802/M802, 0)</f>
        <v/>
      </c>
      <c r="O802" s="25">
        <f>ROUND(N802*'Methodology &amp; Assumptions'!$B$7, 0)</f>
        <v/>
      </c>
      <c r="P802" s="23" t="inlineStr">
        <is>
          <t>Single Carrier (Band n50, 100MHz TDD)</t>
        </is>
      </c>
      <c r="Q802" s="27">
        <f>ROUNDUP(O802/'Methodology &amp; Assumptions'!$B$8, 0)</f>
        <v/>
      </c>
      <c r="R802" s="27" t="n">
        <v>1</v>
      </c>
      <c r="S802" s="26" t="n">
        <v>0.5</v>
      </c>
      <c r="T802" s="26" t="n">
        <v>0.28</v>
      </c>
      <c r="U802" s="11">
        <f>IF(S802&lt;='Methodology &amp; Assumptions'!$B$10, "Direct Optical Drop (&lt;3km)", IF(S802&lt;='Methodology &amp; Assumptions'!$B$9, "Near Optical / Microwave (&lt;5km)", "Starlink Business LEO Satellite Backhaul (&gt;5km)"))</f>
        <v/>
      </c>
      <c r="V802" s="26" t="n">
        <v>82.14</v>
      </c>
      <c r="W802" s="26" t="n">
        <v>35.74</v>
      </c>
      <c r="X802" s="26">
        <f>ROUND(('Methodology &amp; Assumptions'!$B$5*V802) + ('Methodology &amp; Assumptions'!$B$6*W802), 2)</f>
        <v/>
      </c>
      <c r="Y802" s="28" t="n">
        <v>7.2</v>
      </c>
      <c r="Z802" s="11" t="inlineStr">
        <is>
          <t>Priority Tier 3 (Broadband Expansion)</t>
        </is>
      </c>
    </row>
    <row r="803">
      <c r="A803" s="23" t="n">
        <v>4</v>
      </c>
      <c r="B803" s="23" t="n">
        <v>799</v>
      </c>
      <c r="C803" s="23" t="n">
        <v>3799</v>
      </c>
      <c r="D803" s="23" t="inlineStr">
        <is>
          <t>0305414013</t>
        </is>
      </c>
      <c r="E803" s="11" t="inlineStr">
        <is>
          <t>Region III (Central Luzon)</t>
        </is>
      </c>
      <c r="F803" s="11" t="inlineStr">
        <is>
          <t>Pampanga</t>
        </is>
      </c>
      <c r="G803" s="11" t="inlineStr">
        <is>
          <t>Minalin</t>
        </is>
      </c>
      <c r="H803" s="11" t="inlineStr">
        <is>
          <t>Sta. Rita</t>
        </is>
      </c>
      <c r="I803" s="24" t="n">
        <v>14.979043</v>
      </c>
      <c r="J803" s="24" t="n">
        <v>120.691615</v>
      </c>
      <c r="K803" s="23" t="inlineStr">
        <is>
          <t>R</t>
        </is>
      </c>
      <c r="L803" s="25" t="n">
        <v>4792</v>
      </c>
      <c r="M803" s="26" t="n">
        <v>4</v>
      </c>
      <c r="N803" s="25">
        <f>ROUND(L803/M803, 0)</f>
        <v/>
      </c>
      <c r="O803" s="25">
        <f>ROUND(N803*'Methodology &amp; Assumptions'!$B$7, 0)</f>
        <v/>
      </c>
      <c r="P803" s="23" t="inlineStr">
        <is>
          <t>Single Carrier (Band n50, 100MHz TDD)</t>
        </is>
      </c>
      <c r="Q803" s="27">
        <f>ROUNDUP(O803/'Methodology &amp; Assumptions'!$B$8, 0)</f>
        <v/>
      </c>
      <c r="R803" s="27" t="n">
        <v>1</v>
      </c>
      <c r="S803" s="26" t="n">
        <v>0.87</v>
      </c>
      <c r="T803" s="26" t="n">
        <v>3.87</v>
      </c>
      <c r="U803" s="11">
        <f>IF(S803&lt;='Methodology &amp; Assumptions'!$B$10, "Direct Optical Drop (&lt;3km)", IF(S803&lt;='Methodology &amp; Assumptions'!$B$9, "Near Optical / Microwave (&lt;5km)", "Starlink Business LEO Satellite Backhaul (&gt;5km)"))</f>
        <v/>
      </c>
      <c r="V803" s="26" t="n">
        <v>82.01000000000001</v>
      </c>
      <c r="W803" s="26" t="n">
        <v>35.86</v>
      </c>
      <c r="X803" s="26">
        <f>ROUND(('Methodology &amp; Assumptions'!$B$5*V803) + ('Methodology &amp; Assumptions'!$B$6*W803), 2)</f>
        <v/>
      </c>
      <c r="Y803" s="28" t="n">
        <v>8.300000000000001</v>
      </c>
      <c r="Z803" s="11" t="inlineStr">
        <is>
          <t>Priority Tier 3 (Broadband Expansion)</t>
        </is>
      </c>
    </row>
    <row r="804">
      <c r="A804" s="23" t="n">
        <v>4</v>
      </c>
      <c r="B804" s="23" t="n">
        <v>800</v>
      </c>
      <c r="C804" s="23" t="n">
        <v>3800</v>
      </c>
      <c r="D804" s="23" t="inlineStr">
        <is>
          <t>1401106001</t>
        </is>
      </c>
      <c r="E804" s="11" t="inlineStr">
        <is>
          <t>Cordillera Administrative Region (CAR)</t>
        </is>
      </c>
      <c r="F804" s="11" t="inlineStr">
        <is>
          <t>Benguet</t>
        </is>
      </c>
      <c r="G804" s="11" t="inlineStr">
        <is>
          <t>Itogon</t>
        </is>
      </c>
      <c r="H804" s="11" t="inlineStr">
        <is>
          <t>Ampucao</t>
        </is>
      </c>
      <c r="I804" s="24" t="n">
        <v>16.32569</v>
      </c>
      <c r="J804" s="24" t="n">
        <v>120.65502</v>
      </c>
      <c r="K804" s="23" t="inlineStr">
        <is>
          <t>U</t>
        </is>
      </c>
      <c r="L804" s="25" t="n">
        <v>11221</v>
      </c>
      <c r="M804" s="26" t="n">
        <v>3.5</v>
      </c>
      <c r="N804" s="25">
        <f>ROUND(L804/M804, 0)</f>
        <v/>
      </c>
      <c r="O804" s="25">
        <f>ROUND(N804*'Methodology &amp; Assumptions'!$B$7, 0)</f>
        <v/>
      </c>
      <c r="P804" s="23" t="inlineStr">
        <is>
          <t>Single Carrier (Band n50, 100MHz TDD)</t>
        </is>
      </c>
      <c r="Q804" s="27">
        <f>ROUNDUP(O804/'Methodology &amp; Assumptions'!$B$8, 0)</f>
        <v/>
      </c>
      <c r="R804" s="27" t="n">
        <v>1</v>
      </c>
      <c r="S804" s="26" t="n">
        <v>0.65</v>
      </c>
      <c r="T804" s="26" t="n">
        <v>10.21</v>
      </c>
      <c r="U804" s="11">
        <f>IF(S804&lt;='Methodology &amp; Assumptions'!$B$10, "Direct Optical Drop (&lt;3km)", IF(S804&lt;='Methodology &amp; Assumptions'!$B$9, "Near Optical / Microwave (&lt;5km)", "Starlink Business LEO Satellite Backhaul (&gt;5km)"))</f>
        <v/>
      </c>
      <c r="V804" s="26" t="n">
        <v>76.09999999999999</v>
      </c>
      <c r="W804" s="26" t="n">
        <v>41.78</v>
      </c>
      <c r="X804" s="26">
        <f>ROUND(('Methodology &amp; Assumptions'!$B$5*V804) + ('Methodology &amp; Assumptions'!$B$6*W804), 2)</f>
        <v/>
      </c>
      <c r="Y804" s="28" t="n">
        <v>10.9</v>
      </c>
      <c r="Z804" s="11" t="inlineStr">
        <is>
          <t>Priority Tier 3 (Broadband Expansion)</t>
        </is>
      </c>
    </row>
    <row r="805">
      <c r="A805" s="23" t="n">
        <v>4</v>
      </c>
      <c r="B805" s="23" t="n">
        <v>801</v>
      </c>
      <c r="C805" s="23" t="n">
        <v>3801</v>
      </c>
      <c r="D805" s="23" t="inlineStr">
        <is>
          <t>1381100121</t>
        </is>
      </c>
      <c r="E805" s="11" t="inlineStr">
        <is>
          <t>National Capital Region (NCR)</t>
        </is>
      </c>
      <c r="F805" s="11" t="inlineStr">
        <is>
          <t>Fourth District (Not a Province)</t>
        </is>
      </c>
      <c r="G805" s="11" t="inlineStr">
        <is>
          <t>Pasay City</t>
        </is>
      </c>
      <c r="H805" s="11" t="inlineStr">
        <is>
          <t>Barangay 121</t>
        </is>
      </c>
      <c r="I805" s="24" t="n">
        <v>14.547388</v>
      </c>
      <c r="J805" s="24" t="n">
        <v>121.006409</v>
      </c>
      <c r="K805" s="23" t="inlineStr">
        <is>
          <t>U</t>
        </is>
      </c>
      <c r="L805" s="25" t="n">
        <v>921</v>
      </c>
      <c r="M805" s="26" t="n">
        <v>3.82</v>
      </c>
      <c r="N805" s="25">
        <f>ROUND(L805/M805, 0)</f>
        <v/>
      </c>
      <c r="O805" s="25">
        <f>ROUND(N805*'Methodology &amp; Assumptions'!$B$7, 0)</f>
        <v/>
      </c>
      <c r="P805" s="23" t="inlineStr">
        <is>
          <t>Single Carrier (Band n50, 100MHz TDD)</t>
        </is>
      </c>
      <c r="Q805" s="27">
        <f>ROUNDUP(O805/'Methodology &amp; Assumptions'!$B$8, 0)</f>
        <v/>
      </c>
      <c r="R805" s="27" t="n">
        <v>1</v>
      </c>
      <c r="S805" s="26" t="n">
        <v>0.6</v>
      </c>
      <c r="T805" s="26" t="n">
        <v>0.34</v>
      </c>
      <c r="U805" s="11">
        <f>IF(S805&lt;='Methodology &amp; Assumptions'!$B$10, "Direct Optical Drop (&lt;3km)", IF(S805&lt;='Methodology &amp; Assumptions'!$B$9, "Near Optical / Microwave (&lt;5km)", "Starlink Business LEO Satellite Backhaul (&gt;5km)"))</f>
        <v/>
      </c>
      <c r="V805" s="26" t="n">
        <v>48.8</v>
      </c>
      <c r="W805" s="26" t="n">
        <v>69.08</v>
      </c>
      <c r="X805" s="26">
        <f>ROUND(('Methodology &amp; Assumptions'!$B$5*V805) + ('Methodology &amp; Assumptions'!$B$6*W805), 2)</f>
        <v/>
      </c>
      <c r="Y805" s="28" t="n">
        <v>10.9</v>
      </c>
      <c r="Z805" s="11" t="inlineStr">
        <is>
          <t>Priority Tier 3 (Broadband Expansion)</t>
        </is>
      </c>
    </row>
    <row r="806">
      <c r="A806" s="23" t="n">
        <v>4</v>
      </c>
      <c r="B806" s="23" t="n">
        <v>802</v>
      </c>
      <c r="C806" s="23" t="n">
        <v>3802</v>
      </c>
      <c r="D806" s="23" t="inlineStr">
        <is>
          <t>1381100073</t>
        </is>
      </c>
      <c r="E806" s="11" t="inlineStr">
        <is>
          <t>National Capital Region (NCR)</t>
        </is>
      </c>
      <c r="F806" s="11" t="inlineStr">
        <is>
          <t>Fourth District (Not a Province)</t>
        </is>
      </c>
      <c r="G806" s="11" t="inlineStr">
        <is>
          <t>Pasay City</t>
        </is>
      </c>
      <c r="H806" s="11" t="inlineStr">
        <is>
          <t>Barangay 73</t>
        </is>
      </c>
      <c r="I806" s="24" t="n">
        <v>14.540364</v>
      </c>
      <c r="J806" s="24" t="n">
        <v>120.995337</v>
      </c>
      <c r="K806" s="23" t="inlineStr">
        <is>
          <t>U</t>
        </is>
      </c>
      <c r="L806" s="25" t="n">
        <v>722</v>
      </c>
      <c r="M806" s="26" t="n">
        <v>3.19</v>
      </c>
      <c r="N806" s="25">
        <f>ROUND(L806/M806, 0)</f>
        <v/>
      </c>
      <c r="O806" s="25">
        <f>ROUND(N806*'Methodology &amp; Assumptions'!$B$7, 0)</f>
        <v/>
      </c>
      <c r="P806" s="23" t="inlineStr">
        <is>
          <t>Single Carrier (Band n50, 100MHz TDD)</t>
        </is>
      </c>
      <c r="Q806" s="27">
        <f>ROUNDUP(O806/'Methodology &amp; Assumptions'!$B$8, 0)</f>
        <v/>
      </c>
      <c r="R806" s="27" t="n">
        <v>1</v>
      </c>
      <c r="S806" s="26" t="n">
        <v>0.47</v>
      </c>
      <c r="T806" s="26" t="n">
        <v>0.32</v>
      </c>
      <c r="U806" s="11">
        <f>IF(S806&lt;='Methodology &amp; Assumptions'!$B$10, "Direct Optical Drop (&lt;3km)", IF(S806&lt;='Methodology &amp; Assumptions'!$B$9, "Near Optical / Microwave (&lt;5km)", "Starlink Business LEO Satellite Backhaul (&gt;5km)"))</f>
        <v/>
      </c>
      <c r="V806" s="26" t="n">
        <v>48.38</v>
      </c>
      <c r="W806" s="26" t="n">
        <v>69.51000000000001</v>
      </c>
      <c r="X806" s="26">
        <f>ROUND(('Methodology &amp; Assumptions'!$B$5*V806) + ('Methodology &amp; Assumptions'!$B$6*W806), 2)</f>
        <v/>
      </c>
      <c r="Y806" s="28" t="n">
        <v>10.9</v>
      </c>
      <c r="Z806" s="11" t="inlineStr">
        <is>
          <t>Priority Tier 3 (Broadband Expansion)</t>
        </is>
      </c>
    </row>
    <row r="807">
      <c r="A807" s="23" t="n">
        <v>4</v>
      </c>
      <c r="B807" s="23" t="n">
        <v>803</v>
      </c>
      <c r="C807" s="23" t="n">
        <v>3803</v>
      </c>
      <c r="D807" s="23" t="inlineStr">
        <is>
          <t>1381100057</t>
        </is>
      </c>
      <c r="E807" s="11" t="inlineStr">
        <is>
          <t>National Capital Region (NCR)</t>
        </is>
      </c>
      <c r="F807" s="11" t="inlineStr">
        <is>
          <t>Fourth District (Not a Province)</t>
        </is>
      </c>
      <c r="G807" s="11" t="inlineStr">
        <is>
          <t>Pasay City</t>
        </is>
      </c>
      <c r="H807" s="11" t="inlineStr">
        <is>
          <t>Barangay 57</t>
        </is>
      </c>
      <c r="I807" s="24" t="n">
        <v>14.552028</v>
      </c>
      <c r="J807" s="24" t="n">
        <v>121.002205</v>
      </c>
      <c r="K807" s="23" t="inlineStr">
        <is>
          <t>U</t>
        </is>
      </c>
      <c r="L807" s="25" t="n">
        <v>938</v>
      </c>
      <c r="M807" s="26" t="n">
        <v>3.83</v>
      </c>
      <c r="N807" s="25">
        <f>ROUND(L807/M807, 0)</f>
        <v/>
      </c>
      <c r="O807" s="25">
        <f>ROUND(N807*'Methodology &amp; Assumptions'!$B$7, 0)</f>
        <v/>
      </c>
      <c r="P807" s="23" t="inlineStr">
        <is>
          <t>Single Carrier (Band n50, 100MHz TDD)</t>
        </is>
      </c>
      <c r="Q807" s="27">
        <f>ROUNDUP(O807/'Methodology &amp; Assumptions'!$B$8, 0)</f>
        <v/>
      </c>
      <c r="R807" s="27" t="n">
        <v>1</v>
      </c>
      <c r="S807" s="26" t="n">
        <v>1.02</v>
      </c>
      <c r="T807" s="26" t="n">
        <v>0.23</v>
      </c>
      <c r="U807" s="11">
        <f>IF(S807&lt;='Methodology &amp; Assumptions'!$B$10, "Direct Optical Drop (&lt;3km)", IF(S807&lt;='Methodology &amp; Assumptions'!$B$9, "Near Optical / Microwave (&lt;5km)", "Starlink Business LEO Satellite Backhaul (&gt;5km)"))</f>
        <v/>
      </c>
      <c r="V807" s="26" t="n">
        <v>48.32</v>
      </c>
      <c r="W807" s="26" t="n">
        <v>69.56</v>
      </c>
      <c r="X807" s="26">
        <f>ROUND(('Methodology &amp; Assumptions'!$B$5*V807) + ('Methodology &amp; Assumptions'!$B$6*W807), 2)</f>
        <v/>
      </c>
      <c r="Y807" s="28" t="n">
        <v>10.9</v>
      </c>
      <c r="Z807" s="11" t="inlineStr">
        <is>
          <t>Priority Tier 3 (Broadband Expansion)</t>
        </is>
      </c>
    </row>
    <row r="808">
      <c r="A808" s="23" t="n">
        <v>4</v>
      </c>
      <c r="B808" s="23" t="n">
        <v>804</v>
      </c>
      <c r="C808" s="23" t="n">
        <v>3804</v>
      </c>
      <c r="D808" s="23" t="inlineStr">
        <is>
          <t>1401111012</t>
        </is>
      </c>
      <c r="E808" s="11" t="inlineStr">
        <is>
          <t>Cordillera Administrative Region (CAR)</t>
        </is>
      </c>
      <c r="F808" s="11" t="inlineStr">
        <is>
          <t>Benguet</t>
        </is>
      </c>
      <c r="G808" s="11" t="inlineStr">
        <is>
          <t>Mankayan</t>
        </is>
      </c>
      <c r="H808" s="11" t="inlineStr">
        <is>
          <t>Tabio</t>
        </is>
      </c>
      <c r="I808" s="24" t="n">
        <v>16.85866</v>
      </c>
      <c r="J808" s="24" t="n">
        <v>120.79512</v>
      </c>
      <c r="K808" s="23" t="inlineStr">
        <is>
          <t>R</t>
        </is>
      </c>
      <c r="L808" s="25" t="n">
        <v>3663</v>
      </c>
      <c r="M808" s="26" t="n">
        <v>3.5</v>
      </c>
      <c r="N808" s="25">
        <f>ROUND(L808/M808, 0)</f>
        <v/>
      </c>
      <c r="O808" s="25">
        <f>ROUND(N808*'Methodology &amp; Assumptions'!$B$7, 0)</f>
        <v/>
      </c>
      <c r="P808" s="23" t="inlineStr">
        <is>
          <t>Single Carrier (Band n50, 100MHz TDD)</t>
        </is>
      </c>
      <c r="Q808" s="27">
        <f>ROUNDUP(O808/'Methodology &amp; Assumptions'!$B$8, 0)</f>
        <v/>
      </c>
      <c r="R808" s="27" t="n">
        <v>1</v>
      </c>
      <c r="S808" s="26" t="n">
        <v>0.58</v>
      </c>
      <c r="T808" s="26" t="n">
        <v>0.16</v>
      </c>
      <c r="U808" s="11">
        <f>IF(S808&lt;='Methodology &amp; Assumptions'!$B$10, "Direct Optical Drop (&lt;3km)", IF(S808&lt;='Methodology &amp; Assumptions'!$B$9, "Near Optical / Microwave (&lt;5km)", "Starlink Business LEO Satellite Backhaul (&gt;5km)"))</f>
        <v/>
      </c>
      <c r="V808" s="26" t="n">
        <v>86.04000000000001</v>
      </c>
      <c r="W808" s="26" t="n">
        <v>31.82</v>
      </c>
      <c r="X808" s="26">
        <f>ROUND(('Methodology &amp; Assumptions'!$B$5*V808) + ('Methodology &amp; Assumptions'!$B$6*W808), 2)</f>
        <v/>
      </c>
      <c r="Y808" s="28" t="n">
        <v>10.9</v>
      </c>
      <c r="Z808" s="11" t="inlineStr">
        <is>
          <t>Priority Tier 3 (Broadband Expansion)</t>
        </is>
      </c>
    </row>
    <row r="809">
      <c r="A809" s="23" t="n">
        <v>4</v>
      </c>
      <c r="B809" s="23" t="n">
        <v>805</v>
      </c>
      <c r="C809" s="23" t="n">
        <v>3805</v>
      </c>
      <c r="D809" s="23" t="inlineStr">
        <is>
          <t>0301419026</t>
        </is>
      </c>
      <c r="E809" s="11" t="inlineStr">
        <is>
          <t>Region III (Central Luzon)</t>
        </is>
      </c>
      <c r="F809" s="11" t="inlineStr">
        <is>
          <t>Bulacan</t>
        </is>
      </c>
      <c r="G809" s="11" t="inlineStr">
        <is>
          <t>San Ildefonso</t>
        </is>
      </c>
      <c r="H809" s="11" t="inlineStr">
        <is>
          <t>Poblacion</t>
        </is>
      </c>
      <c r="I809" s="24" t="n">
        <v>15.077913</v>
      </c>
      <c r="J809" s="24" t="n">
        <v>120.941136</v>
      </c>
      <c r="K809" s="23" t="inlineStr">
        <is>
          <t>U</t>
        </is>
      </c>
      <c r="L809" s="25" t="n">
        <v>5123</v>
      </c>
      <c r="M809" s="26" t="n">
        <v>3.5</v>
      </c>
      <c r="N809" s="25">
        <f>ROUND(L809/M809, 0)</f>
        <v/>
      </c>
      <c r="O809" s="25">
        <f>ROUND(N809*'Methodology &amp; Assumptions'!$B$7, 0)</f>
        <v/>
      </c>
      <c r="P809" s="23" t="inlineStr">
        <is>
          <t>Single Carrier (Band n50, 100MHz TDD)</t>
        </is>
      </c>
      <c r="Q809" s="27">
        <f>ROUNDUP(O809/'Methodology &amp; Assumptions'!$B$8, 0)</f>
        <v/>
      </c>
      <c r="R809" s="27" t="n">
        <v>1</v>
      </c>
      <c r="S809" s="26" t="n">
        <v>0.48</v>
      </c>
      <c r="T809" s="26" t="n">
        <v>0.09</v>
      </c>
      <c r="U809" s="11">
        <f>IF(S809&lt;='Methodology &amp; Assumptions'!$B$10, "Direct Optical Drop (&lt;3km)", IF(S809&lt;='Methodology &amp; Assumptions'!$B$9, "Near Optical / Microwave (&lt;5km)", "Starlink Business LEO Satellite Backhaul (&gt;5km)"))</f>
        <v/>
      </c>
      <c r="V809" s="26" t="n">
        <v>78.43000000000001</v>
      </c>
      <c r="W809" s="26" t="n">
        <v>39.42</v>
      </c>
      <c r="X809" s="26">
        <f>ROUND(('Methodology &amp; Assumptions'!$B$5*V809) + ('Methodology &amp; Assumptions'!$B$6*W809), 2)</f>
        <v/>
      </c>
      <c r="Y809" s="28" t="n">
        <v>8.300000000000001</v>
      </c>
      <c r="Z809" s="11" t="inlineStr">
        <is>
          <t>Priority Tier 3 (Broadband Expansion)</t>
        </is>
      </c>
    </row>
    <row r="810">
      <c r="A810" s="23" t="n">
        <v>4</v>
      </c>
      <c r="B810" s="23" t="n">
        <v>806</v>
      </c>
      <c r="C810" s="23" t="n">
        <v>3806</v>
      </c>
      <c r="D810" s="23" t="inlineStr">
        <is>
          <t>1401110008</t>
        </is>
      </c>
      <c r="E810" s="11" t="inlineStr">
        <is>
          <t>Cordillera Administrative Region (CAR)</t>
        </is>
      </c>
      <c r="F810" s="11" t="inlineStr">
        <is>
          <t>Benguet</t>
        </is>
      </c>
      <c r="G810" s="11" t="inlineStr">
        <is>
          <t>La Trinidad</t>
        </is>
      </c>
      <c r="H810" s="11" t="inlineStr">
        <is>
          <t>Betag</t>
        </is>
      </c>
      <c r="I810" s="24" t="n">
        <v>16.45553</v>
      </c>
      <c r="J810" s="24" t="n">
        <v>120.58394</v>
      </c>
      <c r="K810" s="23" t="inlineStr">
        <is>
          <t>U</t>
        </is>
      </c>
      <c r="L810" s="25" t="n">
        <v>9549</v>
      </c>
      <c r="M810" s="26" t="n">
        <v>3.5</v>
      </c>
      <c r="N810" s="25">
        <f>ROUND(L810/M810, 0)</f>
        <v/>
      </c>
      <c r="O810" s="25">
        <f>ROUND(N810*'Methodology &amp; Assumptions'!$B$7, 0)</f>
        <v/>
      </c>
      <c r="P810" s="23" t="inlineStr">
        <is>
          <t>Single Carrier (Band n50, 100MHz TDD)</t>
        </is>
      </c>
      <c r="Q810" s="27">
        <f>ROUNDUP(O810/'Methodology &amp; Assumptions'!$B$8, 0)</f>
        <v/>
      </c>
      <c r="R810" s="27" t="n">
        <v>1</v>
      </c>
      <c r="S810" s="26" t="n">
        <v>1.06</v>
      </c>
      <c r="T810" s="26" t="n">
        <v>0.55</v>
      </c>
      <c r="U810" s="11">
        <f>IF(S810&lt;='Methodology &amp; Assumptions'!$B$10, "Direct Optical Drop (&lt;3km)", IF(S810&lt;='Methodology &amp; Assumptions'!$B$9, "Near Optical / Microwave (&lt;5km)", "Starlink Business LEO Satellite Backhaul (&gt;5km)"))</f>
        <v/>
      </c>
      <c r="V810" s="26" t="n">
        <v>78.01000000000001</v>
      </c>
      <c r="W810" s="26" t="n">
        <v>39.84</v>
      </c>
      <c r="X810" s="26">
        <f>ROUND(('Methodology &amp; Assumptions'!$B$5*V810) + ('Methodology &amp; Assumptions'!$B$6*W810), 2)</f>
        <v/>
      </c>
      <c r="Y810" s="28" t="n">
        <v>10.9</v>
      </c>
      <c r="Z810" s="11" t="inlineStr">
        <is>
          <t>Priority Tier 3 (Broadband Expansion)</t>
        </is>
      </c>
    </row>
    <row r="811">
      <c r="A811" s="23" t="n">
        <v>4</v>
      </c>
      <c r="B811" s="23" t="n">
        <v>807</v>
      </c>
      <c r="C811" s="23" t="n">
        <v>3807</v>
      </c>
      <c r="D811" s="23" t="inlineStr">
        <is>
          <t>0403417038</t>
        </is>
      </c>
      <c r="E811" s="11" t="inlineStr">
        <is>
          <t>Region IV-A (CALABARZON)</t>
        </is>
      </c>
      <c r="F811" s="11" t="inlineStr">
        <is>
          <t>Laguna</t>
        </is>
      </c>
      <c r="G811" s="11" t="inlineStr">
        <is>
          <t>Nagcarlan</t>
        </is>
      </c>
      <c r="H811" s="11" t="inlineStr">
        <is>
          <t>Palina</t>
        </is>
      </c>
      <c r="I811" s="24" t="n">
        <v>14.137425</v>
      </c>
      <c r="J811" s="24" t="n">
        <v>121.421116</v>
      </c>
      <c r="K811" s="23" t="inlineStr">
        <is>
          <t>R</t>
        </is>
      </c>
      <c r="L811" s="25" t="n">
        <v>1685</v>
      </c>
      <c r="M811" s="26" t="n">
        <v>3.3</v>
      </c>
      <c r="N811" s="25">
        <f>ROUND(L811/M811, 0)</f>
        <v/>
      </c>
      <c r="O811" s="25">
        <f>ROUND(N811*'Methodology &amp; Assumptions'!$B$7, 0)</f>
        <v/>
      </c>
      <c r="P811" s="23" t="inlineStr">
        <is>
          <t>Single Carrier (Band n50, 100MHz TDD)</t>
        </is>
      </c>
      <c r="Q811" s="27">
        <f>ROUNDUP(O811/'Methodology &amp; Assumptions'!$B$8, 0)</f>
        <v/>
      </c>
      <c r="R811" s="27" t="n">
        <v>1</v>
      </c>
      <c r="S811" s="26" t="n">
        <v>0.62</v>
      </c>
      <c r="T811" s="26" t="n">
        <v>0.11</v>
      </c>
      <c r="U811" s="11">
        <f>IF(S811&lt;='Methodology &amp; Assumptions'!$B$10, "Direct Optical Drop (&lt;3km)", IF(S811&lt;='Methodology &amp; Assumptions'!$B$9, "Near Optical / Microwave (&lt;5km)", "Starlink Business LEO Satellite Backhaul (&gt;5km)"))</f>
        <v/>
      </c>
      <c r="V811" s="26" t="n">
        <v>75.5</v>
      </c>
      <c r="W811" s="26" t="n">
        <v>42.35</v>
      </c>
      <c r="X811" s="26">
        <f>ROUND(('Methodology &amp; Assumptions'!$B$5*V811) + ('Methodology &amp; Assumptions'!$B$6*W811), 2)</f>
        <v/>
      </c>
      <c r="Y811" s="28" t="n">
        <v>7.2</v>
      </c>
      <c r="Z811" s="11" t="inlineStr">
        <is>
          <t>Priority Tier 3 (Broadband Expansion)</t>
        </is>
      </c>
    </row>
    <row r="812">
      <c r="A812" s="23" t="n">
        <v>4</v>
      </c>
      <c r="B812" s="23" t="n">
        <v>808</v>
      </c>
      <c r="C812" s="23" t="n">
        <v>3808</v>
      </c>
      <c r="D812" s="23" t="inlineStr">
        <is>
          <t>0301423014</t>
        </is>
      </c>
      <c r="E812" s="11" t="inlineStr">
        <is>
          <t>Region III (Central Luzon)</t>
        </is>
      </c>
      <c r="F812" s="11" t="inlineStr">
        <is>
          <t>Bulacan</t>
        </is>
      </c>
      <c r="G812" s="11" t="inlineStr">
        <is>
          <t>Santa Maria</t>
        </is>
      </c>
      <c r="H812" s="11" t="inlineStr">
        <is>
          <t>Manggahan</t>
        </is>
      </c>
      <c r="I812" s="24" t="n">
        <v>14.848073</v>
      </c>
      <c r="J812" s="24" t="n">
        <v>120.956816</v>
      </c>
      <c r="K812" s="23" t="inlineStr">
        <is>
          <t>U</t>
        </is>
      </c>
      <c r="L812" s="25" t="n">
        <v>2905</v>
      </c>
      <c r="M812" s="26" t="n">
        <v>3.5</v>
      </c>
      <c r="N812" s="25">
        <f>ROUND(L812/M812, 0)</f>
        <v/>
      </c>
      <c r="O812" s="25">
        <f>ROUND(N812*'Methodology &amp; Assumptions'!$B$7, 0)</f>
        <v/>
      </c>
      <c r="P812" s="23" t="inlineStr">
        <is>
          <t>Single Carrier (Band n50, 100MHz TDD)</t>
        </is>
      </c>
      <c r="Q812" s="27">
        <f>ROUNDUP(O812/'Methodology &amp; Assumptions'!$B$8, 0)</f>
        <v/>
      </c>
      <c r="R812" s="27" t="n">
        <v>1</v>
      </c>
      <c r="S812" s="26" t="n">
        <v>1.75</v>
      </c>
      <c r="T812" s="26" t="n">
        <v>0.02</v>
      </c>
      <c r="U812" s="11">
        <f>IF(S812&lt;='Methodology &amp; Assumptions'!$B$10, "Direct Optical Drop (&lt;3km)", IF(S812&lt;='Methodology &amp; Assumptions'!$B$9, "Near Optical / Microwave (&lt;5km)", "Starlink Business LEO Satellite Backhaul (&gt;5km)"))</f>
        <v/>
      </c>
      <c r="V812" s="26" t="n">
        <v>75.06999999999999</v>
      </c>
      <c r="W812" s="26" t="n">
        <v>42.78</v>
      </c>
      <c r="X812" s="26">
        <f>ROUND(('Methodology &amp; Assumptions'!$B$5*V812) + ('Methodology &amp; Assumptions'!$B$6*W812), 2)</f>
        <v/>
      </c>
      <c r="Y812" s="28" t="n">
        <v>8.300000000000001</v>
      </c>
      <c r="Z812" s="11" t="inlineStr">
        <is>
          <t>Priority Tier 3 (Broadband Expansion)</t>
        </is>
      </c>
    </row>
    <row r="813">
      <c r="A813" s="23" t="n">
        <v>4</v>
      </c>
      <c r="B813" s="23" t="n">
        <v>809</v>
      </c>
      <c r="C813" s="23" t="n">
        <v>3809</v>
      </c>
      <c r="D813" s="23" t="inlineStr">
        <is>
          <t>0201503007</t>
        </is>
      </c>
      <c r="E813" s="11" t="inlineStr">
        <is>
          <t>Region II (Cagayan Valley)</t>
        </is>
      </c>
      <c r="F813" s="11" t="inlineStr">
        <is>
          <t>Cagayan</t>
        </is>
      </c>
      <c r="G813" s="11" t="inlineStr">
        <is>
          <t>Allacapan</t>
        </is>
      </c>
      <c r="H813" s="11" t="inlineStr">
        <is>
          <t>Capanickian Norte</t>
        </is>
      </c>
      <c r="I813" s="24" t="n">
        <v>18.189563</v>
      </c>
      <c r="J813" s="24" t="n">
        <v>121.502859</v>
      </c>
      <c r="K813" s="23" t="inlineStr">
        <is>
          <t>R</t>
        </is>
      </c>
      <c r="L813" s="25" t="n">
        <v>1222</v>
      </c>
      <c r="M813" s="26" t="n">
        <v>3.9</v>
      </c>
      <c r="N813" s="25">
        <f>ROUND(L813/M813, 0)</f>
        <v/>
      </c>
      <c r="O813" s="25">
        <f>ROUND(N813*'Methodology &amp; Assumptions'!$B$7, 0)</f>
        <v/>
      </c>
      <c r="P813" s="23" t="inlineStr">
        <is>
          <t>Single Carrier (Band n50, 100MHz TDD)</t>
        </is>
      </c>
      <c r="Q813" s="27">
        <f>ROUNDUP(O813/'Methodology &amp; Assumptions'!$B$8, 0)</f>
        <v/>
      </c>
      <c r="R813" s="27" t="n">
        <v>1</v>
      </c>
      <c r="S813" s="26" t="n">
        <v>7.16</v>
      </c>
      <c r="T813" s="26" t="n">
        <v>6.03</v>
      </c>
      <c r="U813" s="11">
        <f>IF(S813&lt;='Methodology &amp; Assumptions'!$B$10, "Direct Optical Drop (&lt;3km)", IF(S813&lt;='Methodology &amp; Assumptions'!$B$9, "Near Optical / Microwave (&lt;5km)", "Starlink Business LEO Satellite Backhaul (&gt;5km)"))</f>
        <v/>
      </c>
      <c r="V813" s="26" t="n">
        <v>51.19</v>
      </c>
      <c r="W813" s="26" t="n">
        <v>66.68000000000001</v>
      </c>
      <c r="X813" s="26">
        <f>ROUND(('Methodology &amp; Assumptions'!$B$5*V813) + ('Methodology &amp; Assumptions'!$B$6*W813), 2)</f>
        <v/>
      </c>
      <c r="Y813" s="28" t="n">
        <v>8.300000000000001</v>
      </c>
      <c r="Z813" s="11" t="inlineStr">
        <is>
          <t>Priority Tier 3 (Broadband Expansion)</t>
        </is>
      </c>
    </row>
    <row r="814">
      <c r="A814" s="23" t="n">
        <v>4</v>
      </c>
      <c r="B814" s="23" t="n">
        <v>810</v>
      </c>
      <c r="C814" s="23" t="n">
        <v>3810</v>
      </c>
      <c r="D814" s="23" t="inlineStr">
        <is>
          <t>1380606107</t>
        </is>
      </c>
      <c r="E814" s="11" t="inlineStr">
        <is>
          <t>National Capital Region (NCR)</t>
        </is>
      </c>
      <c r="F814" s="11" t="inlineStr">
        <is>
          <t>First District (Not a Province)</t>
        </is>
      </c>
      <c r="G814" s="11" t="inlineStr">
        <is>
          <t>City of Manila</t>
        </is>
      </c>
      <c r="H814" s="11" t="inlineStr">
        <is>
          <t>Barangay 501</t>
        </is>
      </c>
      <c r="I814" s="24" t="n">
        <v>14.619973</v>
      </c>
      <c r="J814" s="24" t="n">
        <v>120.991941</v>
      </c>
      <c r="K814" s="23" t="inlineStr">
        <is>
          <t>U</t>
        </is>
      </c>
      <c r="L814" s="25" t="n">
        <v>941</v>
      </c>
      <c r="M814" s="26" t="n">
        <v>3.81</v>
      </c>
      <c r="N814" s="25">
        <f>ROUND(L814/M814, 0)</f>
        <v/>
      </c>
      <c r="O814" s="25">
        <f>ROUND(N814*'Methodology &amp; Assumptions'!$B$7, 0)</f>
        <v/>
      </c>
      <c r="P814" s="23" t="inlineStr">
        <is>
          <t>Single Carrier (Band n50, 100MHz TDD)</t>
        </is>
      </c>
      <c r="Q814" s="27">
        <f>ROUNDUP(O814/'Methodology &amp; Assumptions'!$B$8, 0)</f>
        <v/>
      </c>
      <c r="R814" s="27" t="n">
        <v>1</v>
      </c>
      <c r="S814" s="26" t="n">
        <v>1.05</v>
      </c>
      <c r="T814" s="26" t="n">
        <v>0.7</v>
      </c>
      <c r="U814" s="11">
        <f>IF(S814&lt;='Methodology &amp; Assumptions'!$B$10, "Direct Optical Drop (&lt;3km)", IF(S814&lt;='Methodology &amp; Assumptions'!$B$9, "Near Optical / Microwave (&lt;5km)", "Starlink Business LEO Satellite Backhaul (&gt;5km)"))</f>
        <v/>
      </c>
      <c r="V814" s="26" t="n">
        <v>48.21</v>
      </c>
      <c r="W814" s="26" t="n">
        <v>69.64</v>
      </c>
      <c r="X814" s="26">
        <f>ROUND(('Methodology &amp; Assumptions'!$B$5*V814) + ('Methodology &amp; Assumptions'!$B$6*W814), 2)</f>
        <v/>
      </c>
      <c r="Y814" s="28" t="n">
        <v>10.9</v>
      </c>
      <c r="Z814" s="11" t="inlineStr">
        <is>
          <t>Priority Tier 3 (Broadband Expansion)</t>
        </is>
      </c>
    </row>
    <row r="815">
      <c r="A815" s="23" t="n">
        <v>4</v>
      </c>
      <c r="B815" s="23" t="n">
        <v>811</v>
      </c>
      <c r="C815" s="23" t="n">
        <v>3811</v>
      </c>
      <c r="D815" s="23" t="inlineStr">
        <is>
          <t>1381100003</t>
        </is>
      </c>
      <c r="E815" s="11" t="inlineStr">
        <is>
          <t>National Capital Region (NCR)</t>
        </is>
      </c>
      <c r="F815" s="11" t="inlineStr">
        <is>
          <t>Fourth District (Not a Province)</t>
        </is>
      </c>
      <c r="G815" s="11" t="inlineStr">
        <is>
          <t>Pasay City</t>
        </is>
      </c>
      <c r="H815" s="11" t="inlineStr">
        <is>
          <t>Barangay 3</t>
        </is>
      </c>
      <c r="I815" s="24" t="n">
        <v>14.557051</v>
      </c>
      <c r="J815" s="24" t="n">
        <v>120.989596</v>
      </c>
      <c r="K815" s="23" t="inlineStr">
        <is>
          <t>U</t>
        </is>
      </c>
      <c r="L815" s="25" t="n">
        <v>822</v>
      </c>
      <c r="M815" s="26" t="n">
        <v>3.91</v>
      </c>
      <c r="N815" s="25">
        <f>ROUND(L815/M815, 0)</f>
        <v/>
      </c>
      <c r="O815" s="25">
        <f>ROUND(N815*'Methodology &amp; Assumptions'!$B$7, 0)</f>
        <v/>
      </c>
      <c r="P815" s="23" t="inlineStr">
        <is>
          <t>Single Carrier (Band n50, 100MHz TDD)</t>
        </is>
      </c>
      <c r="Q815" s="27">
        <f>ROUNDUP(O815/'Methodology &amp; Assumptions'!$B$8, 0)</f>
        <v/>
      </c>
      <c r="R815" s="27" t="n">
        <v>1</v>
      </c>
      <c r="S815" s="26" t="n">
        <v>0.48</v>
      </c>
      <c r="T815" s="26" t="n">
        <v>0.49</v>
      </c>
      <c r="U815" s="11">
        <f>IF(S815&lt;='Methodology &amp; Assumptions'!$B$10, "Direct Optical Drop (&lt;3km)", IF(S815&lt;='Methodology &amp; Assumptions'!$B$9, "Near Optical / Microwave (&lt;5km)", "Starlink Business LEO Satellite Backhaul (&gt;5km)"))</f>
        <v/>
      </c>
      <c r="V815" s="26" t="n">
        <v>47.84</v>
      </c>
      <c r="W815" s="26" t="n">
        <v>70.02</v>
      </c>
      <c r="X815" s="26">
        <f>ROUND(('Methodology &amp; Assumptions'!$B$5*V815) + ('Methodology &amp; Assumptions'!$B$6*W815), 2)</f>
        <v/>
      </c>
      <c r="Y815" s="28" t="n">
        <v>10.9</v>
      </c>
      <c r="Z815" s="11" t="inlineStr">
        <is>
          <t>Priority Tier 3 (Broadband Expansion)</t>
        </is>
      </c>
    </row>
    <row r="816">
      <c r="A816" s="23" t="n">
        <v>4</v>
      </c>
      <c r="B816" s="23" t="n">
        <v>812</v>
      </c>
      <c r="C816" s="23" t="n">
        <v>3812</v>
      </c>
      <c r="D816" s="23" t="inlineStr">
        <is>
          <t>1380607007</t>
        </is>
      </c>
      <c r="E816" s="11" t="inlineStr">
        <is>
          <t>National Capital Region (NCR)</t>
        </is>
      </c>
      <c r="F816" s="11" t="inlineStr">
        <is>
          <t>First District (Not a Province)</t>
        </is>
      </c>
      <c r="G816" s="11" t="inlineStr">
        <is>
          <t>City of Manila</t>
        </is>
      </c>
      <c r="H816" s="11" t="inlineStr">
        <is>
          <t>Barangay 643</t>
        </is>
      </c>
      <c r="I816" s="24" t="n">
        <v>14.595882</v>
      </c>
      <c r="J816" s="24" t="n">
        <v>120.993547</v>
      </c>
      <c r="K816" s="23" t="inlineStr">
        <is>
          <t>U</t>
        </is>
      </c>
      <c r="L816" s="25" t="n">
        <v>659</v>
      </c>
      <c r="M816" s="26" t="n">
        <v>4.48</v>
      </c>
      <c r="N816" s="25">
        <f>ROUND(L816/M816, 0)</f>
        <v/>
      </c>
      <c r="O816" s="25">
        <f>ROUND(N816*'Methodology &amp; Assumptions'!$B$7, 0)</f>
        <v/>
      </c>
      <c r="P816" s="23" t="inlineStr">
        <is>
          <t>Single Carrier (Band n50, 100MHz TDD)</t>
        </is>
      </c>
      <c r="Q816" s="27">
        <f>ROUNDUP(O816/'Methodology &amp; Assumptions'!$B$8, 0)</f>
        <v/>
      </c>
      <c r="R816" s="27" t="n">
        <v>1</v>
      </c>
      <c r="S816" s="26" t="n">
        <v>0.84</v>
      </c>
      <c r="T816" s="26" t="n">
        <v>0.59</v>
      </c>
      <c r="U816" s="11">
        <f>IF(S816&lt;='Methodology &amp; Assumptions'!$B$10, "Direct Optical Drop (&lt;3km)", IF(S816&lt;='Methodology &amp; Assumptions'!$B$9, "Near Optical / Microwave (&lt;5km)", "Starlink Business LEO Satellite Backhaul (&gt;5km)"))</f>
        <v/>
      </c>
      <c r="V816" s="26" t="n">
        <v>45.8</v>
      </c>
      <c r="W816" s="26" t="n">
        <v>72.05</v>
      </c>
      <c r="X816" s="26">
        <f>ROUND(('Methodology &amp; Assumptions'!$B$5*V816) + ('Methodology &amp; Assumptions'!$B$6*W816), 2)</f>
        <v/>
      </c>
      <c r="Y816" s="28" t="n">
        <v>10.9</v>
      </c>
      <c r="Z816" s="11" t="inlineStr">
        <is>
          <t>Priority Tier 3 (Broadband Expansion)</t>
        </is>
      </c>
    </row>
    <row r="817">
      <c r="A817" s="23" t="n">
        <v>4</v>
      </c>
      <c r="B817" s="23" t="n">
        <v>813</v>
      </c>
      <c r="C817" s="23" t="n">
        <v>3813</v>
      </c>
      <c r="D817" s="23" t="inlineStr">
        <is>
          <t>0702247016</t>
        </is>
      </c>
      <c r="E817" s="11" t="inlineStr">
        <is>
          <t>Region VII (Central Visayas)</t>
        </is>
      </c>
      <c r="F817" s="11" t="inlineStr">
        <is>
          <t>Cebu</t>
        </is>
      </c>
      <c r="G817" s="11" t="inlineStr">
        <is>
          <t>Sogod</t>
        </is>
      </c>
      <c r="H817" s="11" t="inlineStr">
        <is>
          <t>Poblacion</t>
        </is>
      </c>
      <c r="I817" s="24" t="n">
        <v>10.74873</v>
      </c>
      <c r="J817" s="24" t="n">
        <v>124.00494</v>
      </c>
      <c r="K817" s="23" t="inlineStr">
        <is>
          <t>R</t>
        </is>
      </c>
      <c r="L817" s="25" t="n">
        <v>3637</v>
      </c>
      <c r="M817" s="26" t="n">
        <v>3.8</v>
      </c>
      <c r="N817" s="25">
        <f>ROUND(L817/M817, 0)</f>
        <v/>
      </c>
      <c r="O817" s="25">
        <f>ROUND(N817*'Methodology &amp; Assumptions'!$B$7, 0)</f>
        <v/>
      </c>
      <c r="P817" s="23" t="inlineStr">
        <is>
          <t>Single Carrier (Band n50, 100MHz TDD)</t>
        </is>
      </c>
      <c r="Q817" s="27">
        <f>ROUNDUP(O817/'Methodology &amp; Assumptions'!$B$8, 0)</f>
        <v/>
      </c>
      <c r="R817" s="27" t="n">
        <v>1</v>
      </c>
      <c r="S817" s="26" t="n">
        <v>0.36</v>
      </c>
      <c r="T817" s="26" t="n">
        <v>0.16</v>
      </c>
      <c r="U817" s="11">
        <f>IF(S817&lt;='Methodology &amp; Assumptions'!$B$10, "Direct Optical Drop (&lt;3km)", IF(S817&lt;='Methodology &amp; Assumptions'!$B$9, "Near Optical / Microwave (&lt;5km)", "Starlink Business LEO Satellite Backhaul (&gt;5km)"))</f>
        <v/>
      </c>
      <c r="V817" s="26" t="n">
        <v>88.06</v>
      </c>
      <c r="W817" s="26" t="n">
        <v>29.79</v>
      </c>
      <c r="X817" s="26">
        <f>ROUND(('Methodology &amp; Assumptions'!$B$5*V817) + ('Methodology &amp; Assumptions'!$B$6*W817), 2)</f>
        <v/>
      </c>
      <c r="Y817" s="28" t="n">
        <v>23.7</v>
      </c>
      <c r="Z817" s="11" t="inlineStr">
        <is>
          <t>Priority Tier 3 (Broadband Expansion)</t>
        </is>
      </c>
    </row>
    <row r="818">
      <c r="A818" s="23" t="n">
        <v>4</v>
      </c>
      <c r="B818" s="23" t="n">
        <v>814</v>
      </c>
      <c r="C818" s="23" t="n">
        <v>3814</v>
      </c>
      <c r="D818" s="23" t="inlineStr">
        <is>
          <t>0405806007</t>
        </is>
      </c>
      <c r="E818" s="11" t="inlineStr">
        <is>
          <t>Region IV-A (CALABARZON)</t>
        </is>
      </c>
      <c r="F818" s="11" t="inlineStr">
        <is>
          <t>Rizal</t>
        </is>
      </c>
      <c r="G818" s="11" t="inlineStr">
        <is>
          <t>Cardona</t>
        </is>
      </c>
      <c r="H818" s="11" t="inlineStr">
        <is>
          <t>Calahan</t>
        </is>
      </c>
      <c r="I818" s="24" t="n">
        <v>14.49053</v>
      </c>
      <c r="J818" s="24" t="n">
        <v>121.23465</v>
      </c>
      <c r="K818" s="23" t="inlineStr">
        <is>
          <t>U</t>
        </is>
      </c>
      <c r="L818" s="25" t="n">
        <v>5775</v>
      </c>
      <c r="M818" s="26" t="n">
        <v>3.6</v>
      </c>
      <c r="N818" s="25">
        <f>ROUND(L818/M818, 0)</f>
        <v/>
      </c>
      <c r="O818" s="25">
        <f>ROUND(N818*'Methodology &amp; Assumptions'!$B$7, 0)</f>
        <v/>
      </c>
      <c r="P818" s="23" t="inlineStr">
        <is>
          <t>Single Carrier (Band n50, 100MHz TDD)</t>
        </is>
      </c>
      <c r="Q818" s="27">
        <f>ROUNDUP(O818/'Methodology &amp; Assumptions'!$B$8, 0)</f>
        <v/>
      </c>
      <c r="R818" s="27" t="n">
        <v>1</v>
      </c>
      <c r="S818" s="26" t="n">
        <v>0.75</v>
      </c>
      <c r="T818" s="26" t="n">
        <v>0.07000000000000001</v>
      </c>
      <c r="U818" s="11">
        <f>IF(S818&lt;='Methodology &amp; Assumptions'!$B$10, "Direct Optical Drop (&lt;3km)", IF(S818&lt;='Methodology &amp; Assumptions'!$B$9, "Near Optical / Microwave (&lt;5km)", "Starlink Business LEO Satellite Backhaul (&gt;5km)"))</f>
        <v/>
      </c>
      <c r="V818" s="26" t="n">
        <v>78.26000000000001</v>
      </c>
      <c r="W818" s="26" t="n">
        <v>39.59</v>
      </c>
      <c r="X818" s="26">
        <f>ROUND(('Methodology &amp; Assumptions'!$B$5*V818) + ('Methodology &amp; Assumptions'!$B$6*W818), 2)</f>
        <v/>
      </c>
      <c r="Y818" s="28" t="n">
        <v>7.2</v>
      </c>
      <c r="Z818" s="11" t="inlineStr">
        <is>
          <t>Priority Tier 3 (Broadband Expansion)</t>
        </is>
      </c>
    </row>
    <row r="819">
      <c r="A819" s="23" t="n">
        <v>4</v>
      </c>
      <c r="B819" s="23" t="n">
        <v>815</v>
      </c>
      <c r="C819" s="23" t="n">
        <v>3815</v>
      </c>
      <c r="D819" s="23" t="inlineStr">
        <is>
          <t>1401110006</t>
        </is>
      </c>
      <c r="E819" s="11" t="inlineStr">
        <is>
          <t>Cordillera Administrative Region (CAR)</t>
        </is>
      </c>
      <c r="F819" s="11" t="inlineStr">
        <is>
          <t>Benguet</t>
        </is>
      </c>
      <c r="G819" s="11" t="inlineStr">
        <is>
          <t>La Trinidad</t>
        </is>
      </c>
      <c r="H819" s="11" t="inlineStr">
        <is>
          <t>Beckel</t>
        </is>
      </c>
      <c r="I819" s="24" t="n">
        <v>16.44482</v>
      </c>
      <c r="J819" s="24" t="n">
        <v>120.62573</v>
      </c>
      <c r="K819" s="23" t="inlineStr">
        <is>
          <t>U</t>
        </is>
      </c>
      <c r="L819" s="25" t="n">
        <v>4684</v>
      </c>
      <c r="M819" s="26" t="n">
        <v>3.5</v>
      </c>
      <c r="N819" s="25">
        <f>ROUND(L819/M819, 0)</f>
        <v/>
      </c>
      <c r="O819" s="25">
        <f>ROUND(N819*'Methodology &amp; Assumptions'!$B$7, 0)</f>
        <v/>
      </c>
      <c r="P819" s="23" t="inlineStr">
        <is>
          <t>Single Carrier (Band n50, 100MHz TDD)</t>
        </is>
      </c>
      <c r="Q819" s="27">
        <f>ROUNDUP(O819/'Methodology &amp; Assumptions'!$B$8, 0)</f>
        <v/>
      </c>
      <c r="R819" s="27" t="n">
        <v>1</v>
      </c>
      <c r="S819" s="26" t="n">
        <v>1.54</v>
      </c>
      <c r="T819" s="26" t="n">
        <v>1.15</v>
      </c>
      <c r="U819" s="11">
        <f>IF(S819&lt;='Methodology &amp; Assumptions'!$B$10, "Direct Optical Drop (&lt;3km)", IF(S819&lt;='Methodology &amp; Assumptions'!$B$9, "Near Optical / Microwave (&lt;5km)", "Starlink Business LEO Satellite Backhaul (&gt;5km)"))</f>
        <v/>
      </c>
      <c r="V819" s="26" t="n">
        <v>76.22</v>
      </c>
      <c r="W819" s="26" t="n">
        <v>41.62</v>
      </c>
      <c r="X819" s="26">
        <f>ROUND(('Methodology &amp; Assumptions'!$B$5*V819) + ('Methodology &amp; Assumptions'!$B$6*W819), 2)</f>
        <v/>
      </c>
      <c r="Y819" s="28" t="n">
        <v>10.9</v>
      </c>
      <c r="Z819" s="11" t="inlineStr">
        <is>
          <t>Priority Tier 3 (Broadband Expansion)</t>
        </is>
      </c>
    </row>
    <row r="820">
      <c r="A820" s="23" t="n">
        <v>4</v>
      </c>
      <c r="B820" s="23" t="n">
        <v>816</v>
      </c>
      <c r="C820" s="23" t="n">
        <v>3816</v>
      </c>
      <c r="D820" s="23" t="inlineStr">
        <is>
          <t>0401022029</t>
        </is>
      </c>
      <c r="E820" s="11" t="inlineStr">
        <is>
          <t>Region IV-A (CALABARZON)</t>
        </is>
      </c>
      <c r="F820" s="11" t="inlineStr">
        <is>
          <t>Batangas</t>
        </is>
      </c>
      <c r="G820" s="11" t="inlineStr">
        <is>
          <t>San Jose</t>
        </is>
      </c>
      <c r="H820" s="11" t="inlineStr">
        <is>
          <t>Santo Cristo</t>
        </is>
      </c>
      <c r="I820" s="24" t="n">
        <v>13.865346</v>
      </c>
      <c r="J820" s="24" t="n">
        <v>121.097996</v>
      </c>
      <c r="K820" s="23" t="inlineStr">
        <is>
          <t>U</t>
        </is>
      </c>
      <c r="L820" s="25" t="n">
        <v>3271</v>
      </c>
      <c r="M820" s="26" t="n">
        <v>3.6</v>
      </c>
      <c r="N820" s="25">
        <f>ROUND(L820/M820, 0)</f>
        <v/>
      </c>
      <c r="O820" s="25">
        <f>ROUND(N820*'Methodology &amp; Assumptions'!$B$7, 0)</f>
        <v/>
      </c>
      <c r="P820" s="23" t="inlineStr">
        <is>
          <t>Single Carrier (Band n50, 100MHz TDD)</t>
        </is>
      </c>
      <c r="Q820" s="27">
        <f>ROUNDUP(O820/'Methodology &amp; Assumptions'!$B$8, 0)</f>
        <v/>
      </c>
      <c r="R820" s="27" t="n">
        <v>1</v>
      </c>
      <c r="S820" s="26" t="n">
        <v>1.71</v>
      </c>
      <c r="T820" s="26" t="n">
        <v>0.22</v>
      </c>
      <c r="U820" s="11">
        <f>IF(S820&lt;='Methodology &amp; Assumptions'!$B$10, "Direct Optical Drop (&lt;3km)", IF(S820&lt;='Methodology &amp; Assumptions'!$B$9, "Near Optical / Microwave (&lt;5km)", "Starlink Business LEO Satellite Backhaul (&gt;5km)"))</f>
        <v/>
      </c>
      <c r="V820" s="26" t="n">
        <v>75.02</v>
      </c>
      <c r="W820" s="26" t="n">
        <v>42.82</v>
      </c>
      <c r="X820" s="26">
        <f>ROUND(('Methodology &amp; Assumptions'!$B$5*V820) + ('Methodology &amp; Assumptions'!$B$6*W820), 2)</f>
        <v/>
      </c>
      <c r="Y820" s="28" t="n">
        <v>7.2</v>
      </c>
      <c r="Z820" s="11" t="inlineStr">
        <is>
          <t>Priority Tier 3 (Broadband Expansion)</t>
        </is>
      </c>
    </row>
    <row r="821">
      <c r="A821" s="23" t="n">
        <v>4</v>
      </c>
      <c r="B821" s="23" t="n">
        <v>817</v>
      </c>
      <c r="C821" s="23" t="n">
        <v>3817</v>
      </c>
      <c r="D821" s="23" t="inlineStr">
        <is>
          <t>0702234014</t>
        </is>
      </c>
      <c r="E821" s="11" t="inlineStr">
        <is>
          <t>Region VII (Central Visayas)</t>
        </is>
      </c>
      <c r="F821" s="11" t="inlineStr">
        <is>
          <t>Cebu</t>
        </is>
      </c>
      <c r="G821" s="11" t="inlineStr">
        <is>
          <t>City of Naga</t>
        </is>
      </c>
      <c r="H821" s="11" t="inlineStr">
        <is>
          <t>Langtad</t>
        </is>
      </c>
      <c r="I821" s="24" t="n">
        <v>10.183686</v>
      </c>
      <c r="J821" s="24" t="n">
        <v>123.732697</v>
      </c>
      <c r="K821" s="23" t="inlineStr">
        <is>
          <t>U</t>
        </is>
      </c>
      <c r="L821" s="25" t="n">
        <v>7238</v>
      </c>
      <c r="M821" s="26" t="n">
        <v>3.8</v>
      </c>
      <c r="N821" s="25">
        <f>ROUND(L821/M821, 0)</f>
        <v/>
      </c>
      <c r="O821" s="25">
        <f>ROUND(N821*'Methodology &amp; Assumptions'!$B$7, 0)</f>
        <v/>
      </c>
      <c r="P821" s="23" t="inlineStr">
        <is>
          <t>Single Carrier (Band n50, 100MHz TDD)</t>
        </is>
      </c>
      <c r="Q821" s="27">
        <f>ROUNDUP(O821/'Methodology &amp; Assumptions'!$B$8, 0)</f>
        <v/>
      </c>
      <c r="R821" s="27" t="n">
        <v>1</v>
      </c>
      <c r="S821" s="26" t="n">
        <v>3.6</v>
      </c>
      <c r="T821" s="26" t="n">
        <v>0.3</v>
      </c>
      <c r="U821" s="11">
        <f>IF(S821&lt;='Methodology &amp; Assumptions'!$B$10, "Direct Optical Drop (&lt;3km)", IF(S821&lt;='Methodology &amp; Assumptions'!$B$9, "Near Optical / Microwave (&lt;5km)", "Starlink Business LEO Satellite Backhaul (&gt;5km)"))</f>
        <v/>
      </c>
      <c r="V821" s="26" t="n">
        <v>72.06</v>
      </c>
      <c r="W821" s="26" t="n">
        <v>45.77</v>
      </c>
      <c r="X821" s="26">
        <f>ROUND(('Methodology &amp; Assumptions'!$B$5*V821) + ('Methodology &amp; Assumptions'!$B$6*W821), 2)</f>
        <v/>
      </c>
      <c r="Y821" s="28" t="n">
        <v>23.7</v>
      </c>
      <c r="Z821" s="11" t="inlineStr">
        <is>
          <t>Priority Tier 3 (Broadband Expansion)</t>
        </is>
      </c>
    </row>
    <row r="822">
      <c r="A822" s="23" t="n">
        <v>4</v>
      </c>
      <c r="B822" s="23" t="n">
        <v>818</v>
      </c>
      <c r="C822" s="23" t="n">
        <v>3818</v>
      </c>
      <c r="D822" s="23" t="inlineStr">
        <is>
          <t>0103306028</t>
        </is>
      </c>
      <c r="E822" s="11" t="inlineStr">
        <is>
          <t>Region I (Ilocos Region)</t>
        </is>
      </c>
      <c r="F822" s="11" t="inlineStr">
        <is>
          <t>La Union</t>
        </is>
      </c>
      <c r="G822" s="11" t="inlineStr">
        <is>
          <t>Bangar</t>
        </is>
      </c>
      <c r="H822" s="11" t="inlineStr">
        <is>
          <t>Central West No. 2</t>
        </is>
      </c>
      <c r="I822" s="24" t="n">
        <v>16.895836</v>
      </c>
      <c r="J822" s="24" t="n">
        <v>120.420995</v>
      </c>
      <c r="K822" s="23" t="inlineStr">
        <is>
          <t>R</t>
        </is>
      </c>
      <c r="L822" s="25" t="n">
        <v>587</v>
      </c>
      <c r="M822" s="26" t="n">
        <v>3.7</v>
      </c>
      <c r="N822" s="25">
        <f>ROUND(L822/M822, 0)</f>
        <v/>
      </c>
      <c r="O822" s="25">
        <f>ROUND(N822*'Methodology &amp; Assumptions'!$B$7, 0)</f>
        <v/>
      </c>
      <c r="P822" s="23" t="inlineStr">
        <is>
          <t>Single Carrier (Band n50, 100MHz TDD)</t>
        </is>
      </c>
      <c r="Q822" s="27">
        <f>ROUNDUP(O822/'Methodology &amp; Assumptions'!$B$8, 0)</f>
        <v/>
      </c>
      <c r="R822" s="27" t="n">
        <v>1</v>
      </c>
      <c r="S822" s="26" t="n">
        <v>0.51</v>
      </c>
      <c r="T822" s="26" t="n">
        <v>0.4</v>
      </c>
      <c r="U822" s="11">
        <f>IF(S822&lt;='Methodology &amp; Assumptions'!$B$10, "Direct Optical Drop (&lt;3km)", IF(S822&lt;='Methodology &amp; Assumptions'!$B$9, "Near Optical / Microwave (&lt;5km)", "Starlink Business LEO Satellite Backhaul (&gt;5km)"))</f>
        <v/>
      </c>
      <c r="V822" s="26" t="n">
        <v>64.23</v>
      </c>
      <c r="W822" s="26" t="n">
        <v>53.61</v>
      </c>
      <c r="X822" s="26">
        <f>ROUND(('Methodology &amp; Assumptions'!$B$5*V822) + ('Methodology &amp; Assumptions'!$B$6*W822), 2)</f>
        <v/>
      </c>
      <c r="Y822" s="28" t="n">
        <v>8.300000000000001</v>
      </c>
      <c r="Z822" s="11" t="inlineStr">
        <is>
          <t>Priority Tier 3 (Broadband Expansion)</t>
        </is>
      </c>
    </row>
    <row r="823">
      <c r="A823" s="23" t="n">
        <v>4</v>
      </c>
      <c r="B823" s="23" t="n">
        <v>819</v>
      </c>
      <c r="C823" s="23" t="n">
        <v>3819</v>
      </c>
      <c r="D823" s="23" t="inlineStr">
        <is>
          <t>1380606141</t>
        </is>
      </c>
      <c r="E823" s="11" t="inlineStr">
        <is>
          <t>National Capital Region (NCR)</t>
        </is>
      </c>
      <c r="F823" s="11" t="inlineStr">
        <is>
          <t>First District (Not a Province)</t>
        </is>
      </c>
      <c r="G823" s="11" t="inlineStr">
        <is>
          <t>City of Manila</t>
        </is>
      </c>
      <c r="H823" s="11" t="inlineStr">
        <is>
          <t>Barangay 535</t>
        </is>
      </c>
      <c r="I823" s="24" t="n">
        <v>14.611852</v>
      </c>
      <c r="J823" s="24" t="n">
        <v>121.002085</v>
      </c>
      <c r="K823" s="23" t="inlineStr">
        <is>
          <t>U</t>
        </is>
      </c>
      <c r="L823" s="25" t="n">
        <v>1037</v>
      </c>
      <c r="M823" s="26" t="n">
        <v>4.45</v>
      </c>
      <c r="N823" s="25">
        <f>ROUND(L823/M823, 0)</f>
        <v/>
      </c>
      <c r="O823" s="25">
        <f>ROUND(N823*'Methodology &amp; Assumptions'!$B$7, 0)</f>
        <v/>
      </c>
      <c r="P823" s="23" t="inlineStr">
        <is>
          <t>Single Carrier (Band n50, 100MHz TDD)</t>
        </is>
      </c>
      <c r="Q823" s="27">
        <f>ROUNDUP(O823/'Methodology &amp; Assumptions'!$B$8, 0)</f>
        <v/>
      </c>
      <c r="R823" s="27" t="n">
        <v>1</v>
      </c>
      <c r="S823" s="26" t="n">
        <v>0.21</v>
      </c>
      <c r="T823" s="26" t="n">
        <v>0.1</v>
      </c>
      <c r="U823" s="11">
        <f>IF(S823&lt;='Methodology &amp; Assumptions'!$B$10, "Direct Optical Drop (&lt;3km)", IF(S823&lt;='Methodology &amp; Assumptions'!$B$9, "Near Optical / Microwave (&lt;5km)", "Starlink Business LEO Satellite Backhaul (&gt;5km)"))</f>
        <v/>
      </c>
      <c r="V823" s="26" t="n">
        <v>48.59</v>
      </c>
      <c r="W823" s="26" t="n">
        <v>69.26000000000001</v>
      </c>
      <c r="X823" s="26">
        <f>ROUND(('Methodology &amp; Assumptions'!$B$5*V823) + ('Methodology &amp; Assumptions'!$B$6*W823), 2)</f>
        <v/>
      </c>
      <c r="Y823" s="28" t="n">
        <v>10.9</v>
      </c>
      <c r="Z823" s="11" t="inlineStr">
        <is>
          <t>Priority Tier 3 (Broadband Expansion)</t>
        </is>
      </c>
    </row>
    <row r="824">
      <c r="A824" s="23" t="n">
        <v>4</v>
      </c>
      <c r="B824" s="23" t="n">
        <v>820</v>
      </c>
      <c r="C824" s="23" t="n">
        <v>3820</v>
      </c>
      <c r="D824" s="23" t="inlineStr">
        <is>
          <t>1380606099</t>
        </is>
      </c>
      <c r="E824" s="11" t="inlineStr">
        <is>
          <t>National Capital Region (NCR)</t>
        </is>
      </c>
      <c r="F824" s="11" t="inlineStr">
        <is>
          <t>First District (Not a Province)</t>
        </is>
      </c>
      <c r="G824" s="11" t="inlineStr">
        <is>
          <t>City of Manila</t>
        </is>
      </c>
      <c r="H824" s="11" t="inlineStr">
        <is>
          <t>Barangay 493</t>
        </is>
      </c>
      <c r="I824" s="24" t="n">
        <v>14.62533</v>
      </c>
      <c r="J824" s="24" t="n">
        <v>120.9896</v>
      </c>
      <c r="K824" s="23" t="inlineStr">
        <is>
          <t>U</t>
        </is>
      </c>
      <c r="L824" s="25" t="n">
        <v>858</v>
      </c>
      <c r="M824" s="26" t="n">
        <v>3.5</v>
      </c>
      <c r="N824" s="25">
        <f>ROUND(L824/M824, 0)</f>
        <v/>
      </c>
      <c r="O824" s="25">
        <f>ROUND(N824*'Methodology &amp; Assumptions'!$B$7, 0)</f>
        <v/>
      </c>
      <c r="P824" s="23" t="inlineStr">
        <is>
          <t>Single Carrier (Band n50, 100MHz TDD)</t>
        </is>
      </c>
      <c r="Q824" s="27">
        <f>ROUNDUP(O824/'Methodology &amp; Assumptions'!$B$8, 0)</f>
        <v/>
      </c>
      <c r="R824" s="27" t="n">
        <v>1</v>
      </c>
      <c r="S824" s="26" t="n">
        <v>1.22</v>
      </c>
      <c r="T824" s="26" t="n">
        <v>0.07000000000000001</v>
      </c>
      <c r="U824" s="11">
        <f>IF(S824&lt;='Methodology &amp; Assumptions'!$B$10, "Direct Optical Drop (&lt;3km)", IF(S824&lt;='Methodology &amp; Assumptions'!$B$9, "Near Optical / Microwave (&lt;5km)", "Starlink Business LEO Satellite Backhaul (&gt;5km)"))</f>
        <v/>
      </c>
      <c r="V824" s="26" t="n">
        <v>47.57</v>
      </c>
      <c r="W824" s="26" t="n">
        <v>70.27</v>
      </c>
      <c r="X824" s="26">
        <f>ROUND(('Methodology &amp; Assumptions'!$B$5*V824) + ('Methodology &amp; Assumptions'!$B$6*W824), 2)</f>
        <v/>
      </c>
      <c r="Y824" s="28" t="n">
        <v>10.9</v>
      </c>
      <c r="Z824" s="11" t="inlineStr">
        <is>
          <t>Priority Tier 3 (Broadband Expansion)</t>
        </is>
      </c>
    </row>
    <row r="825">
      <c r="A825" s="23" t="n">
        <v>4</v>
      </c>
      <c r="B825" s="23" t="n">
        <v>821</v>
      </c>
      <c r="C825" s="23" t="n">
        <v>3821</v>
      </c>
      <c r="D825" s="23" t="inlineStr">
        <is>
          <t>1408103012</t>
        </is>
      </c>
      <c r="E825" s="11" t="inlineStr">
        <is>
          <t>Cordillera Administrative Region (CAR)</t>
        </is>
      </c>
      <c r="F825" s="11" t="inlineStr">
        <is>
          <t>Apayao</t>
        </is>
      </c>
      <c r="G825" s="11" t="inlineStr">
        <is>
          <t>Flora</t>
        </is>
      </c>
      <c r="H825" s="11" t="inlineStr">
        <is>
          <t>Mallig</t>
        </is>
      </c>
      <c r="I825" s="24" t="n">
        <v>18.120731</v>
      </c>
      <c r="J825" s="24" t="n">
        <v>121.416063</v>
      </c>
      <c r="K825" s="23" t="inlineStr">
        <is>
          <t>R</t>
        </is>
      </c>
      <c r="L825" s="25" t="n">
        <v>720</v>
      </c>
      <c r="M825" s="26" t="n">
        <v>4.2</v>
      </c>
      <c r="N825" s="25">
        <f>ROUND(L825/M825, 0)</f>
        <v/>
      </c>
      <c r="O825" s="25">
        <f>ROUND(N825*'Methodology &amp; Assumptions'!$B$7, 0)</f>
        <v/>
      </c>
      <c r="P825" s="23" t="inlineStr">
        <is>
          <t>Single Carrier (Band n50, 100MHz TDD)</t>
        </is>
      </c>
      <c r="Q825" s="27">
        <f>ROUNDUP(O825/'Methodology &amp; Assumptions'!$B$8, 0)</f>
        <v/>
      </c>
      <c r="R825" s="27" t="n">
        <v>1</v>
      </c>
      <c r="S825" s="26" t="n">
        <v>7.36</v>
      </c>
      <c r="T825" s="26" t="n">
        <v>7.36</v>
      </c>
      <c r="U825" s="11">
        <f>IF(S825&lt;='Methodology &amp; Assumptions'!$B$10, "Direct Optical Drop (&lt;3km)", IF(S825&lt;='Methodology &amp; Assumptions'!$B$9, "Near Optical / Microwave (&lt;5km)", "Starlink Business LEO Satellite Backhaul (&gt;5km)"))</f>
        <v/>
      </c>
      <c r="V825" s="26" t="n">
        <v>45.26</v>
      </c>
      <c r="W825" s="26" t="n">
        <v>72.58</v>
      </c>
      <c r="X825" s="26">
        <f>ROUND(('Methodology &amp; Assumptions'!$B$5*V825) + ('Methodology &amp; Assumptions'!$B$6*W825), 2)</f>
        <v/>
      </c>
      <c r="Y825" s="28" t="n">
        <v>10.9</v>
      </c>
      <c r="Z825" s="11" t="inlineStr">
        <is>
          <t>Priority Tier 3 (Broadband Expansion)</t>
        </is>
      </c>
    </row>
    <row r="826">
      <c r="A826" s="23" t="n">
        <v>4</v>
      </c>
      <c r="B826" s="23" t="n">
        <v>822</v>
      </c>
      <c r="C826" s="23" t="n">
        <v>3822</v>
      </c>
      <c r="D826" s="23" t="inlineStr">
        <is>
          <t>0105543002</t>
        </is>
      </c>
      <c r="E826" s="11" t="inlineStr">
        <is>
          <t>Region I (Ilocos Region)</t>
        </is>
      </c>
      <c r="F826" s="11" t="inlineStr">
        <is>
          <t>Pangasinan</t>
        </is>
      </c>
      <c r="G826" s="11" t="inlineStr">
        <is>
          <t>Tayug</t>
        </is>
      </c>
      <c r="H826" s="11" t="inlineStr">
        <is>
          <t>Amistad</t>
        </is>
      </c>
      <c r="I826" s="24" t="n">
        <v>16.03211</v>
      </c>
      <c r="J826" s="24" t="n">
        <v>120.746368</v>
      </c>
      <c r="K826" s="23" t="inlineStr">
        <is>
          <t>R</t>
        </is>
      </c>
      <c r="L826" s="25" t="n">
        <v>2478</v>
      </c>
      <c r="M826" s="26" t="n">
        <v>3.6</v>
      </c>
      <c r="N826" s="25">
        <f>ROUND(L826/M826, 0)</f>
        <v/>
      </c>
      <c r="O826" s="25">
        <f>ROUND(N826*'Methodology &amp; Assumptions'!$B$7, 0)</f>
        <v/>
      </c>
      <c r="P826" s="23" t="inlineStr">
        <is>
          <t>Single Carrier (Band n50, 100MHz TDD)</t>
        </is>
      </c>
      <c r="Q826" s="27">
        <f>ROUNDUP(O826/'Methodology &amp; Assumptions'!$B$8, 0)</f>
        <v/>
      </c>
      <c r="R826" s="27" t="n">
        <v>1</v>
      </c>
      <c r="S826" s="26" t="n">
        <v>0.74</v>
      </c>
      <c r="T826" s="26" t="n">
        <v>1</v>
      </c>
      <c r="U826" s="11">
        <f>IF(S826&lt;='Methodology &amp; Assumptions'!$B$10, "Direct Optical Drop (&lt;3km)", IF(S826&lt;='Methodology &amp; Assumptions'!$B$9, "Near Optical / Microwave (&lt;5km)", "Starlink Business LEO Satellite Backhaul (&gt;5km)"))</f>
        <v/>
      </c>
      <c r="V826" s="26" t="n">
        <v>81.34</v>
      </c>
      <c r="W826" s="26" t="n">
        <v>36.48</v>
      </c>
      <c r="X826" s="26">
        <f>ROUND(('Methodology &amp; Assumptions'!$B$5*V826) + ('Methodology &amp; Assumptions'!$B$6*W826), 2)</f>
        <v/>
      </c>
      <c r="Y826" s="28" t="n">
        <v>8.300000000000001</v>
      </c>
      <c r="Z826" s="11" t="inlineStr">
        <is>
          <t>Priority Tier 3 (Broadband Expansion)</t>
        </is>
      </c>
    </row>
    <row r="827">
      <c r="A827" s="23" t="n">
        <v>4</v>
      </c>
      <c r="B827" s="23" t="n">
        <v>823</v>
      </c>
      <c r="C827" s="23" t="n">
        <v>3823</v>
      </c>
      <c r="D827" s="23" t="inlineStr">
        <is>
          <t>0304928033</t>
        </is>
      </c>
      <c r="E827" s="11" t="inlineStr">
        <is>
          <t>Region III (Central Luzon)</t>
        </is>
      </c>
      <c r="F827" s="11" t="inlineStr">
        <is>
          <t>Nueva Ecija</t>
        </is>
      </c>
      <c r="G827" s="11" t="inlineStr">
        <is>
          <t>Santa Rosa</t>
        </is>
      </c>
      <c r="H827" s="11" t="inlineStr">
        <is>
          <t>San Josep</t>
        </is>
      </c>
      <c r="I827" s="24" t="n">
        <v>15.433203</v>
      </c>
      <c r="J827" s="24" t="n">
        <v>120.920111</v>
      </c>
      <c r="K827" s="23" t="inlineStr">
        <is>
          <t>U</t>
        </is>
      </c>
      <c r="L827" s="25" t="n">
        <v>2937</v>
      </c>
      <c r="M827" s="26" t="n">
        <v>3.5</v>
      </c>
      <c r="N827" s="25">
        <f>ROUND(L827/M827, 0)</f>
        <v/>
      </c>
      <c r="O827" s="25">
        <f>ROUND(N827*'Methodology &amp; Assumptions'!$B$7, 0)</f>
        <v/>
      </c>
      <c r="P827" s="23" t="inlineStr">
        <is>
          <t>Single Carrier (Band n50, 100MHz TDD)</t>
        </is>
      </c>
      <c r="Q827" s="27">
        <f>ROUNDUP(O827/'Methodology &amp; Assumptions'!$B$8, 0)</f>
        <v/>
      </c>
      <c r="R827" s="27" t="n">
        <v>1</v>
      </c>
      <c r="S827" s="26" t="n">
        <v>0.33</v>
      </c>
      <c r="T827" s="26" t="n">
        <v>0.34</v>
      </c>
      <c r="U827" s="11">
        <f>IF(S827&lt;='Methodology &amp; Assumptions'!$B$10, "Direct Optical Drop (&lt;3km)", IF(S827&lt;='Methodology &amp; Assumptions'!$B$9, "Near Optical / Microwave (&lt;5km)", "Starlink Business LEO Satellite Backhaul (&gt;5km)"))</f>
        <v/>
      </c>
      <c r="V827" s="26" t="n">
        <v>78.43000000000001</v>
      </c>
      <c r="W827" s="26" t="n">
        <v>39.38</v>
      </c>
      <c r="X827" s="26">
        <f>ROUND(('Methodology &amp; Assumptions'!$B$5*V827) + ('Methodology &amp; Assumptions'!$B$6*W827), 2)</f>
        <v/>
      </c>
      <c r="Y827" s="28" t="n">
        <v>8.300000000000001</v>
      </c>
      <c r="Z827" s="11" t="inlineStr">
        <is>
          <t>Priority Tier 3 (Broadband Expansion)</t>
        </is>
      </c>
    </row>
    <row r="828">
      <c r="A828" s="23" t="n">
        <v>4</v>
      </c>
      <c r="B828" s="23" t="n">
        <v>824</v>
      </c>
      <c r="C828" s="23" t="n">
        <v>3824</v>
      </c>
      <c r="D828" s="23" t="inlineStr">
        <is>
          <t>0304916018</t>
        </is>
      </c>
      <c r="E828" s="11" t="inlineStr">
        <is>
          <t>Region III (Central Luzon)</t>
        </is>
      </c>
      <c r="F828" s="11" t="inlineStr">
        <is>
          <t>Nueva Ecija</t>
        </is>
      </c>
      <c r="G828" s="11" t="inlineStr">
        <is>
          <t>Lupao</t>
        </is>
      </c>
      <c r="H828" s="11" t="inlineStr">
        <is>
          <t>Parista</t>
        </is>
      </c>
      <c r="I828" s="24" t="n">
        <v>15.863286</v>
      </c>
      <c r="J828" s="24" t="n">
        <v>120.917989</v>
      </c>
      <c r="K828" s="23" t="inlineStr">
        <is>
          <t>R</t>
        </is>
      </c>
      <c r="L828" s="25" t="n">
        <v>4851</v>
      </c>
      <c r="M828" s="26" t="n">
        <v>3.5</v>
      </c>
      <c r="N828" s="25">
        <f>ROUND(L828/M828, 0)</f>
        <v/>
      </c>
      <c r="O828" s="25">
        <f>ROUND(N828*'Methodology &amp; Assumptions'!$B$7, 0)</f>
        <v/>
      </c>
      <c r="P828" s="23" t="inlineStr">
        <is>
          <t>Single Carrier (Band n50, 100MHz TDD)</t>
        </is>
      </c>
      <c r="Q828" s="27">
        <f>ROUNDUP(O828/'Methodology &amp; Assumptions'!$B$8, 0)</f>
        <v/>
      </c>
      <c r="R828" s="27" t="n">
        <v>1</v>
      </c>
      <c r="S828" s="26" t="n">
        <v>3.21</v>
      </c>
      <c r="T828" s="26" t="n">
        <v>0.57</v>
      </c>
      <c r="U828" s="11">
        <f>IF(S828&lt;='Methodology &amp; Assumptions'!$B$10, "Direct Optical Drop (&lt;3km)", IF(S828&lt;='Methodology &amp; Assumptions'!$B$9, "Near Optical / Microwave (&lt;5km)", "Starlink Business LEO Satellite Backhaul (&gt;5km)"))</f>
        <v/>
      </c>
      <c r="V828" s="26" t="n">
        <v>77.69</v>
      </c>
      <c r="W828" s="26" t="n">
        <v>40.13</v>
      </c>
      <c r="X828" s="26">
        <f>ROUND(('Methodology &amp; Assumptions'!$B$5*V828) + ('Methodology &amp; Assumptions'!$B$6*W828), 2)</f>
        <v/>
      </c>
      <c r="Y828" s="28" t="n">
        <v>8.300000000000001</v>
      </c>
      <c r="Z828" s="11" t="inlineStr">
        <is>
          <t>Priority Tier 3 (Broadband Expansion)</t>
        </is>
      </c>
    </row>
    <row r="829">
      <c r="A829" s="23" t="n">
        <v>4</v>
      </c>
      <c r="B829" s="23" t="n">
        <v>825</v>
      </c>
      <c r="C829" s="23" t="n">
        <v>3825</v>
      </c>
      <c r="D829" s="23" t="inlineStr">
        <is>
          <t>0300807016</t>
        </is>
      </c>
      <c r="E829" s="11" t="inlineStr">
        <is>
          <t>Region III (Central Luzon)</t>
        </is>
      </c>
      <c r="F829" s="11" t="inlineStr">
        <is>
          <t>Bataan</t>
        </is>
      </c>
      <c r="G829" s="11" t="inlineStr">
        <is>
          <t>Mariveles</t>
        </is>
      </c>
      <c r="H829" s="11" t="inlineStr">
        <is>
          <t>Ipag</t>
        </is>
      </c>
      <c r="I829" s="24" t="n">
        <v>14.430664</v>
      </c>
      <c r="J829" s="24" t="n">
        <v>120.481974</v>
      </c>
      <c r="K829" s="23" t="inlineStr">
        <is>
          <t>U</t>
        </is>
      </c>
      <c r="L829" s="25" t="n">
        <v>12016</v>
      </c>
      <c r="M829" s="26" t="n">
        <v>3.6</v>
      </c>
      <c r="N829" s="25">
        <f>ROUND(L829/M829, 0)</f>
        <v/>
      </c>
      <c r="O829" s="25">
        <f>ROUND(N829*'Methodology &amp; Assumptions'!$B$7, 0)</f>
        <v/>
      </c>
      <c r="P829" s="23" t="inlineStr">
        <is>
          <t>Single Carrier (Band n50, 100MHz TDD)</t>
        </is>
      </c>
      <c r="Q829" s="27">
        <f>ROUNDUP(O829/'Methodology &amp; Assumptions'!$B$8, 0)</f>
        <v/>
      </c>
      <c r="R829" s="27" t="n">
        <v>1</v>
      </c>
      <c r="S829" s="26" t="n">
        <v>1.47</v>
      </c>
      <c r="T829" s="26" t="n">
        <v>0.29</v>
      </c>
      <c r="U829" s="11">
        <f>IF(S829&lt;='Methodology &amp; Assumptions'!$B$10, "Direct Optical Drop (&lt;3km)", IF(S829&lt;='Methodology &amp; Assumptions'!$B$9, "Near Optical / Microwave (&lt;5km)", "Starlink Business LEO Satellite Backhaul (&gt;5km)"))</f>
        <v/>
      </c>
      <c r="V829" s="26" t="n">
        <v>76.05</v>
      </c>
      <c r="W829" s="26" t="n">
        <v>41.78</v>
      </c>
      <c r="X829" s="26">
        <f>ROUND(('Methodology &amp; Assumptions'!$B$5*V829) + ('Methodology &amp; Assumptions'!$B$6*W829), 2)</f>
        <v/>
      </c>
      <c r="Y829" s="28" t="n">
        <v>8.300000000000001</v>
      </c>
      <c r="Z829" s="11" t="inlineStr">
        <is>
          <t>Priority Tier 3 (Broadband Expansion)</t>
        </is>
      </c>
    </row>
    <row r="830">
      <c r="A830" s="23" t="n">
        <v>4</v>
      </c>
      <c r="B830" s="23" t="n">
        <v>826</v>
      </c>
      <c r="C830" s="23" t="n">
        <v>3826</v>
      </c>
      <c r="D830" s="23" t="inlineStr">
        <is>
          <t>1102319005</t>
        </is>
      </c>
      <c r="E830" s="11" t="inlineStr">
        <is>
          <t>Region XI (Davao Region)</t>
        </is>
      </c>
      <c r="F830" s="11" t="inlineStr">
        <is>
          <t>Davao del Norte</t>
        </is>
      </c>
      <c r="G830" s="11" t="inlineStr">
        <is>
          <t>City of Tagum</t>
        </is>
      </c>
      <c r="H830" s="11" t="inlineStr">
        <is>
          <t>Canocotan</t>
        </is>
      </c>
      <c r="I830" s="24" t="n">
        <v>7.4105</v>
      </c>
      <c r="J830" s="24" t="n">
        <v>125.767982</v>
      </c>
      <c r="K830" s="23" t="inlineStr">
        <is>
          <t>U</t>
        </is>
      </c>
      <c r="L830" s="25" t="n">
        <v>9916</v>
      </c>
      <c r="M830" s="26" t="n">
        <v>3.7</v>
      </c>
      <c r="N830" s="25">
        <f>ROUND(L830/M830, 0)</f>
        <v/>
      </c>
      <c r="O830" s="25">
        <f>ROUND(N830*'Methodology &amp; Assumptions'!$B$7, 0)</f>
        <v/>
      </c>
      <c r="P830" s="23" t="inlineStr">
        <is>
          <t>Single Carrier (Band n50, 100MHz TDD)</t>
        </is>
      </c>
      <c r="Q830" s="27">
        <f>ROUNDUP(O830/'Methodology &amp; Assumptions'!$B$8, 0)</f>
        <v/>
      </c>
      <c r="R830" s="27" t="n">
        <v>1</v>
      </c>
      <c r="S830" s="26" t="n">
        <v>2.96</v>
      </c>
      <c r="T830" s="26" t="n">
        <v>1.07</v>
      </c>
      <c r="U830" s="11">
        <f>IF(S830&lt;='Methodology &amp; Assumptions'!$B$10, "Direct Optical Drop (&lt;3km)", IF(S830&lt;='Methodology &amp; Assumptions'!$B$9, "Near Optical / Microwave (&lt;5km)", "Starlink Business LEO Satellite Backhaul (&gt;5km)"))</f>
        <v/>
      </c>
      <c r="V830" s="26" t="n">
        <v>72.53</v>
      </c>
      <c r="W830" s="26" t="n">
        <v>45.28</v>
      </c>
      <c r="X830" s="26">
        <f>ROUND(('Methodology &amp; Assumptions'!$B$5*V830) + ('Methodology &amp; Assumptions'!$B$6*W830), 2)</f>
        <v/>
      </c>
      <c r="Y830" s="28" t="n">
        <v>17.4</v>
      </c>
      <c r="Z830" s="11" t="inlineStr">
        <is>
          <t>Priority Tier 3 (Broadband Expansion)</t>
        </is>
      </c>
    </row>
    <row r="831">
      <c r="A831" s="23" t="n">
        <v>4</v>
      </c>
      <c r="B831" s="23" t="n">
        <v>827</v>
      </c>
      <c r="C831" s="23" t="n">
        <v>3827</v>
      </c>
      <c r="D831" s="23" t="inlineStr">
        <is>
          <t>0405647004</t>
        </is>
      </c>
      <c r="E831" s="11" t="inlineStr">
        <is>
          <t>Region IV-A (CALABARZON)</t>
        </is>
      </c>
      <c r="F831" s="11" t="inlineStr">
        <is>
          <t>Quezon</t>
        </is>
      </c>
      <c r="G831" s="11" t="inlineStr">
        <is>
          <t>City of Tayabas</t>
        </is>
      </c>
      <c r="H831" s="11" t="inlineStr">
        <is>
          <t>Angeles Zone II</t>
        </is>
      </c>
      <c r="I831" s="24" t="n">
        <v>14.027471</v>
      </c>
      <c r="J831" s="24" t="n">
        <v>121.592897</v>
      </c>
      <c r="K831" s="23" t="inlineStr">
        <is>
          <t>U</t>
        </is>
      </c>
      <c r="L831" s="25" t="n">
        <v>826</v>
      </c>
      <c r="M831" s="26" t="n">
        <v>3.8</v>
      </c>
      <c r="N831" s="25">
        <f>ROUND(L831/M831, 0)</f>
        <v/>
      </c>
      <c r="O831" s="25">
        <f>ROUND(N831*'Methodology &amp; Assumptions'!$B$7, 0)</f>
        <v/>
      </c>
      <c r="P831" s="23" t="inlineStr">
        <is>
          <t>Single Carrier (Band n50, 100MHz TDD)</t>
        </is>
      </c>
      <c r="Q831" s="27">
        <f>ROUNDUP(O831/'Methodology &amp; Assumptions'!$B$8, 0)</f>
        <v/>
      </c>
      <c r="R831" s="27" t="n">
        <v>1</v>
      </c>
      <c r="S831" s="26" t="n">
        <v>0.42</v>
      </c>
      <c r="T831" s="26" t="n">
        <v>0.1</v>
      </c>
      <c r="U831" s="11">
        <f>IF(S831&lt;='Methodology &amp; Assumptions'!$B$10, "Direct Optical Drop (&lt;3km)", IF(S831&lt;='Methodology &amp; Assumptions'!$B$9, "Near Optical / Microwave (&lt;5km)", "Starlink Business LEO Satellite Backhaul (&gt;5km)"))</f>
        <v/>
      </c>
      <c r="V831" s="26" t="n">
        <v>58.73</v>
      </c>
      <c r="W831" s="26" t="n">
        <v>59.1</v>
      </c>
      <c r="X831" s="26">
        <f>ROUND(('Methodology &amp; Assumptions'!$B$5*V831) + ('Methodology &amp; Assumptions'!$B$6*W831), 2)</f>
        <v/>
      </c>
      <c r="Y831" s="28" t="n">
        <v>7.2</v>
      </c>
      <c r="Z831" s="11" t="inlineStr">
        <is>
          <t>Priority Tier 3 (Broadband Expansion)</t>
        </is>
      </c>
    </row>
    <row r="832">
      <c r="A832" s="23" t="n">
        <v>4</v>
      </c>
      <c r="B832" s="23" t="n">
        <v>828</v>
      </c>
      <c r="C832" s="23" t="n">
        <v>3828</v>
      </c>
      <c r="D832" s="23" t="inlineStr">
        <is>
          <t>1108202024</t>
        </is>
      </c>
      <c r="E832" s="11" t="inlineStr">
        <is>
          <t>Region XI (Davao Region)</t>
        </is>
      </c>
      <c r="F832" s="11" t="inlineStr">
        <is>
          <t>Davao de Oro</t>
        </is>
      </c>
      <c r="G832" s="11" t="inlineStr">
        <is>
          <t>Laak</t>
        </is>
      </c>
      <c r="H832" s="11" t="inlineStr">
        <is>
          <t>Datu Ampunan</t>
        </is>
      </c>
      <c r="I832" s="24" t="n">
        <v>7.924104</v>
      </c>
      <c r="J832" s="24" t="n">
        <v>125.724307</v>
      </c>
      <c r="K832" s="23" t="inlineStr">
        <is>
          <t>R</t>
        </is>
      </c>
      <c r="L832" s="25" t="n">
        <v>1777</v>
      </c>
      <c r="M832" s="26" t="n">
        <v>3.7</v>
      </c>
      <c r="N832" s="25">
        <f>ROUND(L832/M832, 0)</f>
        <v/>
      </c>
      <c r="O832" s="25">
        <f>ROUND(N832*'Methodology &amp; Assumptions'!$B$7, 0)</f>
        <v/>
      </c>
      <c r="P832" s="23" t="inlineStr">
        <is>
          <t>Single Carrier (Band n50, 100MHz TDD)</t>
        </is>
      </c>
      <c r="Q832" s="27">
        <f>ROUNDUP(O832/'Methodology &amp; Assumptions'!$B$8, 0)</f>
        <v/>
      </c>
      <c r="R832" s="27" t="n">
        <v>1</v>
      </c>
      <c r="S832" s="26" t="n">
        <v>38.1</v>
      </c>
      <c r="T832" s="26" t="n">
        <v>34.89</v>
      </c>
      <c r="U832" s="11">
        <f>IF(S832&lt;='Methodology &amp; Assumptions'!$B$10, "Direct Optical Drop (&lt;3km)", IF(S832&lt;='Methodology &amp; Assumptions'!$B$9, "Near Optical / Microwave (&lt;5km)", "Starlink Business LEO Satellite Backhaul (&gt;5km)"))</f>
        <v/>
      </c>
      <c r="V832" s="26" t="n">
        <v>50.22</v>
      </c>
      <c r="W832" s="26" t="n">
        <v>67.59999999999999</v>
      </c>
      <c r="X832" s="26">
        <f>ROUND(('Methodology &amp; Assumptions'!$B$5*V832) + ('Methodology &amp; Assumptions'!$B$6*W832), 2)</f>
        <v/>
      </c>
      <c r="Y832" s="28" t="n">
        <v>17.4</v>
      </c>
      <c r="Z832" s="11" t="inlineStr">
        <is>
          <t>Priority Tier 3 (Broadband Expansion)</t>
        </is>
      </c>
    </row>
    <row r="833">
      <c r="A833" s="23" t="n">
        <v>4</v>
      </c>
      <c r="B833" s="23" t="n">
        <v>829</v>
      </c>
      <c r="C833" s="23" t="n">
        <v>3829</v>
      </c>
      <c r="D833" s="23" t="inlineStr">
        <is>
          <t>0501607001</t>
        </is>
      </c>
      <c r="E833" s="11" t="inlineStr">
        <is>
          <t>Region V (Bicol Region)</t>
        </is>
      </c>
      <c r="F833" s="11" t="inlineStr">
        <is>
          <t>Camarines Norte</t>
        </is>
      </c>
      <c r="G833" s="11" t="inlineStr">
        <is>
          <t>Mercedes</t>
        </is>
      </c>
      <c r="H833" s="11" t="inlineStr">
        <is>
          <t>Apuao</t>
        </is>
      </c>
      <c r="I833" s="24" t="n">
        <v>14.08792</v>
      </c>
      <c r="J833" s="24" t="n">
        <v>123.088747</v>
      </c>
      <c r="K833" s="23" t="inlineStr">
        <is>
          <t>R</t>
        </is>
      </c>
      <c r="L833" s="25" t="n">
        <v>610</v>
      </c>
      <c r="M833" s="26" t="n">
        <v>4</v>
      </c>
      <c r="N833" s="25">
        <f>ROUND(L833/M833, 0)</f>
        <v/>
      </c>
      <c r="O833" s="25">
        <f>ROUND(N833*'Methodology &amp; Assumptions'!$B$7, 0)</f>
        <v/>
      </c>
      <c r="P833" s="23" t="inlineStr">
        <is>
          <t>Single Carrier (Band n50, 100MHz TDD)</t>
        </is>
      </c>
      <c r="Q833" s="27">
        <f>ROUNDUP(O833/'Methodology &amp; Assumptions'!$B$8, 0)</f>
        <v/>
      </c>
      <c r="R833" s="27" t="n">
        <v>1</v>
      </c>
      <c r="S833" s="26" t="n">
        <v>9.07</v>
      </c>
      <c r="T833" s="26" t="n">
        <v>13.8</v>
      </c>
      <c r="U833" s="11">
        <f>IF(S833&lt;='Methodology &amp; Assumptions'!$B$10, "Direct Optical Drop (&lt;3km)", IF(S833&lt;='Methodology &amp; Assumptions'!$B$9, "Near Optical / Microwave (&lt;5km)", "Starlink Business LEO Satellite Backhaul (&gt;5km)"))</f>
        <v/>
      </c>
      <c r="V833" s="26" t="n">
        <v>46.29</v>
      </c>
      <c r="W833" s="26" t="n">
        <v>71.53</v>
      </c>
      <c r="X833" s="26">
        <f>ROUND(('Methodology &amp; Assumptions'!$B$5*V833) + ('Methodology &amp; Assumptions'!$B$6*W833), 2)</f>
        <v/>
      </c>
      <c r="Y833" s="28" t="n">
        <v>23.7</v>
      </c>
      <c r="Z833" s="11" t="inlineStr">
        <is>
          <t>Priority Tier 3 (Broadband Expansion)</t>
        </is>
      </c>
    </row>
    <row r="834">
      <c r="A834" s="23" t="n">
        <v>4</v>
      </c>
      <c r="B834" s="23" t="n">
        <v>830</v>
      </c>
      <c r="C834" s="23" t="n">
        <v>3830</v>
      </c>
      <c r="D834" s="23" t="inlineStr">
        <is>
          <t>0402108003</t>
        </is>
      </c>
      <c r="E834" s="11" t="inlineStr">
        <is>
          <t>Region IV-A (CALABARZON)</t>
        </is>
      </c>
      <c r="F834" s="11" t="inlineStr">
        <is>
          <t>Cavite</t>
        </is>
      </c>
      <c r="G834" s="11" t="inlineStr">
        <is>
          <t>City of General Trias</t>
        </is>
      </c>
      <c r="H834" s="11" t="inlineStr">
        <is>
          <t>Gov. Ferrer Pob.</t>
        </is>
      </c>
      <c r="I834" s="24" t="n">
        <v>14.384822</v>
      </c>
      <c r="J834" s="24" t="n">
        <v>120.879595</v>
      </c>
      <c r="K834" s="23" t="inlineStr">
        <is>
          <t>R</t>
        </is>
      </c>
      <c r="L834" s="25" t="n">
        <v>261</v>
      </c>
      <c r="M834" s="26" t="n">
        <v>3.4</v>
      </c>
      <c r="N834" s="25">
        <f>ROUND(L834/M834, 0)</f>
        <v/>
      </c>
      <c r="O834" s="25">
        <f>ROUND(N834*'Methodology &amp; Assumptions'!$B$7, 0)</f>
        <v/>
      </c>
      <c r="P834" s="23" t="inlineStr">
        <is>
          <t>Single Carrier (Band n50, 100MHz TDD)</t>
        </is>
      </c>
      <c r="Q834" s="27">
        <f>ROUNDUP(O834/'Methodology &amp; Assumptions'!$B$8, 0)</f>
        <v/>
      </c>
      <c r="R834" s="27" t="n">
        <v>1</v>
      </c>
      <c r="S834" s="26" t="n">
        <v>1.62</v>
      </c>
      <c r="T834" s="26" t="n">
        <v>1.85</v>
      </c>
      <c r="U834" s="11">
        <f>IF(S834&lt;='Methodology &amp; Assumptions'!$B$10, "Direct Optical Drop (&lt;3km)", IF(S834&lt;='Methodology &amp; Assumptions'!$B$9, "Near Optical / Microwave (&lt;5km)", "Starlink Business LEO Satellite Backhaul (&gt;5km)"))</f>
        <v/>
      </c>
      <c r="V834" s="26" t="n">
        <v>58.44</v>
      </c>
      <c r="W834" s="26" t="n">
        <v>59.36</v>
      </c>
      <c r="X834" s="26">
        <f>ROUND(('Methodology &amp; Assumptions'!$B$5*V834) + ('Methodology &amp; Assumptions'!$B$6*W834), 2)</f>
        <v/>
      </c>
      <c r="Y834" s="28" t="n">
        <v>7.2</v>
      </c>
      <c r="Z834" s="11" t="inlineStr">
        <is>
          <t>Priority Tier 3 (Broadband Expansion)</t>
        </is>
      </c>
    </row>
    <row r="835">
      <c r="A835" s="23" t="n">
        <v>4</v>
      </c>
      <c r="B835" s="23" t="n">
        <v>831</v>
      </c>
      <c r="C835" s="23" t="n">
        <v>3831</v>
      </c>
      <c r="D835" s="23" t="inlineStr">
        <is>
          <t>0401032005</t>
        </is>
      </c>
      <c r="E835" s="11" t="inlineStr">
        <is>
          <t>Region IV-A (CALABARZON)</t>
        </is>
      </c>
      <c r="F835" s="11" t="inlineStr">
        <is>
          <t>Batangas</t>
        </is>
      </c>
      <c r="G835" s="11" t="inlineStr">
        <is>
          <t>Taysan</t>
        </is>
      </c>
      <c r="H835" s="11" t="inlineStr">
        <is>
          <t>Guinhawa</t>
        </is>
      </c>
      <c r="I835" s="24" t="n">
        <v>13.7205</v>
      </c>
      <c r="J835" s="24" t="n">
        <v>121.248</v>
      </c>
      <c r="K835" s="23" t="inlineStr">
        <is>
          <t>R</t>
        </is>
      </c>
      <c r="L835" s="25" t="n">
        <v>1436</v>
      </c>
      <c r="M835" s="26" t="n">
        <v>3.6</v>
      </c>
      <c r="N835" s="25">
        <f>ROUND(L835/M835, 0)</f>
        <v/>
      </c>
      <c r="O835" s="25">
        <f>ROUND(N835*'Methodology &amp; Assumptions'!$B$7, 0)</f>
        <v/>
      </c>
      <c r="P835" s="23" t="inlineStr">
        <is>
          <t>Single Carrier (Band n50, 100MHz TDD)</t>
        </is>
      </c>
      <c r="Q835" s="27">
        <f>ROUNDUP(O835/'Methodology &amp; Assumptions'!$B$8, 0)</f>
        <v/>
      </c>
      <c r="R835" s="27" t="n">
        <v>1</v>
      </c>
      <c r="S835" s="26" t="n">
        <v>5.8</v>
      </c>
      <c r="T835" s="26" t="n">
        <v>12.43</v>
      </c>
      <c r="U835" s="11">
        <f>IF(S835&lt;='Methodology &amp; Assumptions'!$B$10, "Direct Optical Drop (&lt;3km)", IF(S835&lt;='Methodology &amp; Assumptions'!$B$9, "Near Optical / Microwave (&lt;5km)", "Starlink Business LEO Satellite Backhaul (&gt;5km)"))</f>
        <v/>
      </c>
      <c r="V835" s="26" t="n">
        <v>55.66</v>
      </c>
      <c r="W835" s="26" t="n">
        <v>62.14</v>
      </c>
      <c r="X835" s="26">
        <f>ROUND(('Methodology &amp; Assumptions'!$B$5*V835) + ('Methodology &amp; Assumptions'!$B$6*W835), 2)</f>
        <v/>
      </c>
      <c r="Y835" s="28" t="n">
        <v>7.2</v>
      </c>
      <c r="Z835" s="11" t="inlineStr">
        <is>
          <t>Priority Tier 3 (Broadband Expansion)</t>
        </is>
      </c>
    </row>
    <row r="836">
      <c r="A836" s="23" t="n">
        <v>4</v>
      </c>
      <c r="B836" s="23" t="n">
        <v>832</v>
      </c>
      <c r="C836" s="23" t="n">
        <v>3832</v>
      </c>
      <c r="D836" s="23" t="inlineStr">
        <is>
          <t>0102908006</t>
        </is>
      </c>
      <c r="E836" s="11" t="inlineStr">
        <is>
          <t>Region I (Ilocos Region)</t>
        </is>
      </c>
      <c r="F836" s="11" t="inlineStr">
        <is>
          <t>Ilocos Sur</t>
        </is>
      </c>
      <c r="G836" s="11" t="inlineStr">
        <is>
          <t>Cervantes</t>
        </is>
      </c>
      <c r="H836" s="11" t="inlineStr">
        <is>
          <t>Dinwede West</t>
        </is>
      </c>
      <c r="I836" s="24" t="n">
        <v>16.945121</v>
      </c>
      <c r="J836" s="24" t="n">
        <v>120.666797</v>
      </c>
      <c r="K836" s="23" t="inlineStr">
        <is>
          <t>R</t>
        </is>
      </c>
      <c r="L836" s="25" t="n">
        <v>843</v>
      </c>
      <c r="M836" s="26" t="n">
        <v>3.8</v>
      </c>
      <c r="N836" s="25">
        <f>ROUND(L836/M836, 0)</f>
        <v/>
      </c>
      <c r="O836" s="25">
        <f>ROUND(N836*'Methodology &amp; Assumptions'!$B$7, 0)</f>
        <v/>
      </c>
      <c r="P836" s="23" t="inlineStr">
        <is>
          <t>Single Carrier (Band n50, 100MHz TDD)</t>
        </is>
      </c>
      <c r="Q836" s="27">
        <f>ROUNDUP(O836/'Methodology &amp; Assumptions'!$B$8, 0)</f>
        <v/>
      </c>
      <c r="R836" s="27" t="n">
        <v>1</v>
      </c>
      <c r="S836" s="26" t="n">
        <v>7.87</v>
      </c>
      <c r="T836" s="26" t="n">
        <v>8.5</v>
      </c>
      <c r="U836" s="11">
        <f>IF(S836&lt;='Methodology &amp; Assumptions'!$B$10, "Direct Optical Drop (&lt;3km)", IF(S836&lt;='Methodology &amp; Assumptions'!$B$9, "Near Optical / Microwave (&lt;5km)", "Starlink Business LEO Satellite Backhaul (&gt;5km)"))</f>
        <v/>
      </c>
      <c r="V836" s="26" t="n">
        <v>47.51</v>
      </c>
      <c r="W836" s="26" t="n">
        <v>70.29000000000001</v>
      </c>
      <c r="X836" s="26">
        <f>ROUND(('Methodology &amp; Assumptions'!$B$5*V836) + ('Methodology &amp; Assumptions'!$B$6*W836), 2)</f>
        <v/>
      </c>
      <c r="Y836" s="28" t="n">
        <v>8.300000000000001</v>
      </c>
      <c r="Z836" s="11" t="inlineStr">
        <is>
          <t>Priority Tier 3 (Broadband Expansion)</t>
        </is>
      </c>
    </row>
    <row r="837">
      <c r="A837" s="23" t="n">
        <v>4</v>
      </c>
      <c r="B837" s="23" t="n">
        <v>833</v>
      </c>
      <c r="C837" s="23" t="n">
        <v>3833</v>
      </c>
      <c r="D837" s="23" t="inlineStr">
        <is>
          <t>1403213021</t>
        </is>
      </c>
      <c r="E837" s="11" t="inlineStr">
        <is>
          <t>Cordillera Administrative Region (CAR)</t>
        </is>
      </c>
      <c r="F837" s="11" t="inlineStr">
        <is>
          <t>Kalinga</t>
        </is>
      </c>
      <c r="G837" s="11" t="inlineStr">
        <is>
          <t>City of Tabuk</t>
        </is>
      </c>
      <c r="H837" s="11" t="inlineStr">
        <is>
          <t>Magnao</t>
        </is>
      </c>
      <c r="I837" s="24" t="n">
        <v>17.440269</v>
      </c>
      <c r="J837" s="24" t="n">
        <v>121.319176</v>
      </c>
      <c r="K837" s="23" t="inlineStr">
        <is>
          <t>R</t>
        </is>
      </c>
      <c r="L837" s="25" t="n">
        <v>1158</v>
      </c>
      <c r="M837" s="26" t="n">
        <v>4.3</v>
      </c>
      <c r="N837" s="25">
        <f>ROUND(L837/M837, 0)</f>
        <v/>
      </c>
      <c r="O837" s="25">
        <f>ROUND(N837*'Methodology &amp; Assumptions'!$B$7, 0)</f>
        <v/>
      </c>
      <c r="P837" s="23" t="inlineStr">
        <is>
          <t>Single Carrier (Band n50, 100MHz TDD)</t>
        </is>
      </c>
      <c r="Q837" s="27">
        <f>ROUNDUP(O837/'Methodology &amp; Assumptions'!$B$8, 0)</f>
        <v/>
      </c>
      <c r="R837" s="27" t="n">
        <v>1</v>
      </c>
      <c r="S837" s="26" t="n">
        <v>11.8</v>
      </c>
      <c r="T837" s="26" t="n">
        <v>3.78</v>
      </c>
      <c r="U837" s="11">
        <f>IF(S837&lt;='Methodology &amp; Assumptions'!$B$10, "Direct Optical Drop (&lt;3km)", IF(S837&lt;='Methodology &amp; Assumptions'!$B$9, "Near Optical / Microwave (&lt;5km)", "Starlink Business LEO Satellite Backhaul (&gt;5km)"))</f>
        <v/>
      </c>
      <c r="V837" s="26" t="n">
        <v>44.22</v>
      </c>
      <c r="W837" s="26" t="n">
        <v>73.58</v>
      </c>
      <c r="X837" s="26">
        <f>ROUND(('Methodology &amp; Assumptions'!$B$5*V837) + ('Methodology &amp; Assumptions'!$B$6*W837), 2)</f>
        <v/>
      </c>
      <c r="Y837" s="28" t="n">
        <v>10.9</v>
      </c>
      <c r="Z837" s="11" t="inlineStr">
        <is>
          <t>Priority Tier 3 (Broadband Expansion)</t>
        </is>
      </c>
    </row>
    <row r="838">
      <c r="A838" s="23" t="n">
        <v>4</v>
      </c>
      <c r="B838" s="23" t="n">
        <v>834</v>
      </c>
      <c r="C838" s="23" t="n">
        <v>3834</v>
      </c>
      <c r="D838" s="23" t="inlineStr">
        <is>
          <t>0306905019</t>
        </is>
      </c>
      <c r="E838" s="11" t="inlineStr">
        <is>
          <t>Region III (Central Luzon)</t>
        </is>
      </c>
      <c r="F838" s="11" t="inlineStr">
        <is>
          <t>Tarlac</t>
        </is>
      </c>
      <c r="G838" s="11" t="inlineStr">
        <is>
          <t>Concepcion</t>
        </is>
      </c>
      <c r="H838" s="11" t="inlineStr">
        <is>
          <t>Minane</t>
        </is>
      </c>
      <c r="I838" s="24" t="n">
        <v>15.318671</v>
      </c>
      <c r="J838" s="24" t="n">
        <v>120.648863</v>
      </c>
      <c r="K838" s="23" t="inlineStr">
        <is>
          <t>R</t>
        </is>
      </c>
      <c r="L838" s="25" t="n">
        <v>3879</v>
      </c>
      <c r="M838" s="26" t="n">
        <v>3.9</v>
      </c>
      <c r="N838" s="25">
        <f>ROUND(L838/M838, 0)</f>
        <v/>
      </c>
      <c r="O838" s="25">
        <f>ROUND(N838*'Methodology &amp; Assumptions'!$B$7, 0)</f>
        <v/>
      </c>
      <c r="P838" s="23" t="inlineStr">
        <is>
          <t>Single Carrier (Band n50, 100MHz TDD)</t>
        </is>
      </c>
      <c r="Q838" s="27">
        <f>ROUNDUP(O838/'Methodology &amp; Assumptions'!$B$8, 0)</f>
        <v/>
      </c>
      <c r="R838" s="27" t="n">
        <v>1</v>
      </c>
      <c r="S838" s="26" t="n">
        <v>0.8</v>
      </c>
      <c r="T838" s="26" t="n">
        <v>0.19</v>
      </c>
      <c r="U838" s="11">
        <f>IF(S838&lt;='Methodology &amp; Assumptions'!$B$10, "Direct Optical Drop (&lt;3km)", IF(S838&lt;='Methodology &amp; Assumptions'!$B$9, "Near Optical / Microwave (&lt;5km)", "Starlink Business LEO Satellite Backhaul (&gt;5km)"))</f>
        <v/>
      </c>
      <c r="V838" s="26" t="n">
        <v>85.63</v>
      </c>
      <c r="W838" s="26" t="n">
        <v>32.14</v>
      </c>
      <c r="X838" s="26">
        <f>ROUND(('Methodology &amp; Assumptions'!$B$5*V838) + ('Methodology &amp; Assumptions'!$B$6*W838), 2)</f>
        <v/>
      </c>
      <c r="Y838" s="28" t="n">
        <v>8.300000000000001</v>
      </c>
      <c r="Z838" s="11" t="inlineStr">
        <is>
          <t>Priority Tier 3 (Broadband Expansion)</t>
        </is>
      </c>
    </row>
    <row r="839">
      <c r="A839" s="23" t="n">
        <v>4</v>
      </c>
      <c r="B839" s="23" t="n">
        <v>835</v>
      </c>
      <c r="C839" s="23" t="n">
        <v>3835</v>
      </c>
      <c r="D839" s="23" t="inlineStr">
        <is>
          <t>0702215016</t>
        </is>
      </c>
      <c r="E839" s="11" t="inlineStr">
        <is>
          <t>Region VII (Central Visayas)</t>
        </is>
      </c>
      <c r="F839" s="11" t="inlineStr">
        <is>
          <t>Cebu</t>
        </is>
      </c>
      <c r="G839" s="11" t="inlineStr">
        <is>
          <t>Carmen</t>
        </is>
      </c>
      <c r="H839" s="11" t="inlineStr">
        <is>
          <t>Poblacion</t>
        </is>
      </c>
      <c r="I839" s="24" t="n">
        <v>10.585008</v>
      </c>
      <c r="J839" s="24" t="n">
        <v>124.018637</v>
      </c>
      <c r="K839" s="23" t="inlineStr">
        <is>
          <t>U</t>
        </is>
      </c>
      <c r="L839" s="25" t="n">
        <v>5569</v>
      </c>
      <c r="M839" s="26" t="n">
        <v>3.8</v>
      </c>
      <c r="N839" s="25">
        <f>ROUND(L839/M839, 0)</f>
        <v/>
      </c>
      <c r="O839" s="25">
        <f>ROUND(N839*'Methodology &amp; Assumptions'!$B$7, 0)</f>
        <v/>
      </c>
      <c r="P839" s="23" t="inlineStr">
        <is>
          <t>Single Carrier (Band n50, 100MHz TDD)</t>
        </is>
      </c>
      <c r="Q839" s="27">
        <f>ROUNDUP(O839/'Methodology &amp; Assumptions'!$B$8, 0)</f>
        <v/>
      </c>
      <c r="R839" s="27" t="n">
        <v>1</v>
      </c>
      <c r="S839" s="26" t="n">
        <v>0.92</v>
      </c>
      <c r="T839" s="26" t="n">
        <v>0.22</v>
      </c>
      <c r="U839" s="11">
        <f>IF(S839&lt;='Methodology &amp; Assumptions'!$B$10, "Direct Optical Drop (&lt;3km)", IF(S839&lt;='Methodology &amp; Assumptions'!$B$9, "Near Optical / Microwave (&lt;5km)", "Starlink Business LEO Satellite Backhaul (&gt;5km)"))</f>
        <v/>
      </c>
      <c r="V839" s="26" t="n">
        <v>80.56999999999999</v>
      </c>
      <c r="W839" s="26" t="n">
        <v>37.22</v>
      </c>
      <c r="X839" s="26">
        <f>ROUND(('Methodology &amp; Assumptions'!$B$5*V839) + ('Methodology &amp; Assumptions'!$B$6*W839), 2)</f>
        <v/>
      </c>
      <c r="Y839" s="28" t="n">
        <v>23.7</v>
      </c>
      <c r="Z839" s="11" t="inlineStr">
        <is>
          <t>Priority Tier 3 (Broadband Expansion)</t>
        </is>
      </c>
    </row>
    <row r="840">
      <c r="A840" s="23" t="n">
        <v>4</v>
      </c>
      <c r="B840" s="23" t="n">
        <v>836</v>
      </c>
      <c r="C840" s="23" t="n">
        <v>3836</v>
      </c>
      <c r="D840" s="23" t="inlineStr">
        <is>
          <t>0105546022</t>
        </is>
      </c>
      <c r="E840" s="11" t="inlineStr">
        <is>
          <t>Region I (Ilocos Region)</t>
        </is>
      </c>
      <c r="F840" s="11" t="inlineStr">
        <is>
          <t>Pangasinan</t>
        </is>
      </c>
      <c r="G840" s="11" t="inlineStr">
        <is>
          <t>City of Urdaneta</t>
        </is>
      </c>
      <c r="H840" s="11" t="inlineStr">
        <is>
          <t>Mabanogbog</t>
        </is>
      </c>
      <c r="I840" s="24" t="n">
        <v>15.976206</v>
      </c>
      <c r="J840" s="24" t="n">
        <v>120.556335</v>
      </c>
      <c r="K840" s="23" t="inlineStr">
        <is>
          <t>R</t>
        </is>
      </c>
      <c r="L840" s="25" t="n">
        <v>3498</v>
      </c>
      <c r="M840" s="26" t="n">
        <v>3.6</v>
      </c>
      <c r="N840" s="25">
        <f>ROUND(L840/M840, 0)</f>
        <v/>
      </c>
      <c r="O840" s="25">
        <f>ROUND(N840*'Methodology &amp; Assumptions'!$B$7, 0)</f>
        <v/>
      </c>
      <c r="P840" s="23" t="inlineStr">
        <is>
          <t>Single Carrier (Band n50, 100MHz TDD)</t>
        </is>
      </c>
      <c r="Q840" s="27">
        <f>ROUNDUP(O840/'Methodology &amp; Assumptions'!$B$8, 0)</f>
        <v/>
      </c>
      <c r="R840" s="27" t="n">
        <v>1</v>
      </c>
      <c r="S840" s="26" t="n">
        <v>2.64</v>
      </c>
      <c r="T840" s="26" t="n">
        <v>0.2</v>
      </c>
      <c r="U840" s="11">
        <f>IF(S840&lt;='Methodology &amp; Assumptions'!$B$10, "Direct Optical Drop (&lt;3km)", IF(S840&lt;='Methodology &amp; Assumptions'!$B$9, "Near Optical / Microwave (&lt;5km)", "Starlink Business LEO Satellite Backhaul (&gt;5km)"))</f>
        <v/>
      </c>
      <c r="V840" s="26" t="n">
        <v>79.29000000000001</v>
      </c>
      <c r="W840" s="26" t="n">
        <v>38.5</v>
      </c>
      <c r="X840" s="26">
        <f>ROUND(('Methodology &amp; Assumptions'!$B$5*V840) + ('Methodology &amp; Assumptions'!$B$6*W840), 2)</f>
        <v/>
      </c>
      <c r="Y840" s="28" t="n">
        <v>8.300000000000001</v>
      </c>
      <c r="Z840" s="11" t="inlineStr">
        <is>
          <t>Priority Tier 3 (Broadband Expansion)</t>
        </is>
      </c>
    </row>
    <row r="841">
      <c r="A841" s="23" t="n">
        <v>4</v>
      </c>
      <c r="B841" s="23" t="n">
        <v>837</v>
      </c>
      <c r="C841" s="23" t="n">
        <v>3837</v>
      </c>
      <c r="D841" s="23" t="inlineStr">
        <is>
          <t>0305402012</t>
        </is>
      </c>
      <c r="E841" s="11" t="inlineStr">
        <is>
          <t>Region III (Central Luzon)</t>
        </is>
      </c>
      <c r="F841" s="11" t="inlineStr">
        <is>
          <t>Pampanga</t>
        </is>
      </c>
      <c r="G841" s="11" t="inlineStr">
        <is>
          <t>Apalit</t>
        </is>
      </c>
      <c r="H841" s="11" t="inlineStr">
        <is>
          <t>San Vicente</t>
        </is>
      </c>
      <c r="I841" s="24" t="n">
        <v>14.945862</v>
      </c>
      <c r="J841" s="24" t="n">
        <v>120.74802</v>
      </c>
      <c r="K841" s="23" t="inlineStr">
        <is>
          <t>U</t>
        </is>
      </c>
      <c r="L841" s="25" t="n">
        <v>25131</v>
      </c>
      <c r="M841" s="26" t="n">
        <v>4</v>
      </c>
      <c r="N841" s="25">
        <f>ROUND(L841/M841, 0)</f>
        <v/>
      </c>
      <c r="O841" s="25">
        <f>ROUND(N841*'Methodology &amp; Assumptions'!$B$7, 0)</f>
        <v/>
      </c>
      <c r="P841" s="23" t="inlineStr">
        <is>
          <t>Single Carrier (Band n50, 100MHz TDD)</t>
        </is>
      </c>
      <c r="Q841" s="27">
        <f>ROUNDUP(O841/'Methodology &amp; Assumptions'!$B$8, 0)</f>
        <v/>
      </c>
      <c r="R841" s="27" t="n">
        <v>1</v>
      </c>
      <c r="S841" s="26" t="n">
        <v>1.23</v>
      </c>
      <c r="T841" s="26" t="n">
        <v>1.05</v>
      </c>
      <c r="U841" s="11">
        <f>IF(S841&lt;='Methodology &amp; Assumptions'!$B$10, "Direct Optical Drop (&lt;3km)", IF(S841&lt;='Methodology &amp; Assumptions'!$B$9, "Near Optical / Microwave (&lt;5km)", "Starlink Business LEO Satellite Backhaul (&gt;5km)"))</f>
        <v/>
      </c>
      <c r="V841" s="26" t="n">
        <v>76.94</v>
      </c>
      <c r="W841" s="26" t="n">
        <v>40.84</v>
      </c>
      <c r="X841" s="26">
        <f>ROUND(('Methodology &amp; Assumptions'!$B$5*V841) + ('Methodology &amp; Assumptions'!$B$6*W841), 2)</f>
        <v/>
      </c>
      <c r="Y841" s="28" t="n">
        <v>8.300000000000001</v>
      </c>
      <c r="Z841" s="11" t="inlineStr">
        <is>
          <t>Priority Tier 3 (Broadband Expansion)</t>
        </is>
      </c>
    </row>
    <row r="842">
      <c r="A842" s="23" t="n">
        <v>4</v>
      </c>
      <c r="B842" s="23" t="n">
        <v>838</v>
      </c>
      <c r="C842" s="23" t="n">
        <v>3838</v>
      </c>
      <c r="D842" s="23" t="inlineStr">
        <is>
          <t>0500516023</t>
        </is>
      </c>
      <c r="E842" s="11" t="inlineStr">
        <is>
          <t>Region V (Bicol Region)</t>
        </is>
      </c>
      <c r="F842" s="11" t="inlineStr">
        <is>
          <t>Albay</t>
        </is>
      </c>
      <c r="G842" s="11" t="inlineStr">
        <is>
          <t>Santo Domingo</t>
        </is>
      </c>
      <c r="H842" s="11" t="inlineStr">
        <is>
          <t>Santa Misericordia</t>
        </is>
      </c>
      <c r="I842" s="24" t="n">
        <v>13.257234</v>
      </c>
      <c r="J842" s="24" t="n">
        <v>123.748979</v>
      </c>
      <c r="K842" s="23" t="inlineStr">
        <is>
          <t>R</t>
        </is>
      </c>
      <c r="L842" s="25" t="n">
        <v>3256</v>
      </c>
      <c r="M842" s="26" t="n">
        <v>4.1</v>
      </c>
      <c r="N842" s="25">
        <f>ROUND(L842/M842, 0)</f>
        <v/>
      </c>
      <c r="O842" s="25">
        <f>ROUND(N842*'Methodology &amp; Assumptions'!$B$7, 0)</f>
        <v/>
      </c>
      <c r="P842" s="23" t="inlineStr">
        <is>
          <t>Single Carrier (Band n50, 100MHz TDD)</t>
        </is>
      </c>
      <c r="Q842" s="27">
        <f>ROUNDUP(O842/'Methodology &amp; Assumptions'!$B$8, 0)</f>
        <v/>
      </c>
      <c r="R842" s="27" t="n">
        <v>1</v>
      </c>
      <c r="S842" s="26" t="n">
        <v>3.78</v>
      </c>
      <c r="T842" s="26" t="n">
        <v>1.26</v>
      </c>
      <c r="U842" s="11">
        <f>IF(S842&lt;='Methodology &amp; Assumptions'!$B$10, "Direct Optical Drop (&lt;3km)", IF(S842&lt;='Methodology &amp; Assumptions'!$B$9, "Near Optical / Microwave (&lt;5km)", "Starlink Business LEO Satellite Backhaul (&gt;5km)"))</f>
        <v/>
      </c>
      <c r="V842" s="26" t="n">
        <v>76.40000000000001</v>
      </c>
      <c r="W842" s="26" t="n">
        <v>41.38</v>
      </c>
      <c r="X842" s="26">
        <f>ROUND(('Methodology &amp; Assumptions'!$B$5*V842) + ('Methodology &amp; Assumptions'!$B$6*W842), 2)</f>
        <v/>
      </c>
      <c r="Y842" s="28" t="n">
        <v>23.7</v>
      </c>
      <c r="Z842" s="11" t="inlineStr">
        <is>
          <t>Priority Tier 3 (Broadband Expansion)</t>
        </is>
      </c>
    </row>
    <row r="843">
      <c r="A843" s="23" t="n">
        <v>4</v>
      </c>
      <c r="B843" s="23" t="n">
        <v>839</v>
      </c>
      <c r="C843" s="23" t="n">
        <v>3839</v>
      </c>
      <c r="D843" s="23" t="inlineStr">
        <is>
          <t>1900712006</t>
        </is>
      </c>
      <c r="E843" s="11" t="inlineStr">
        <is>
          <t>Bangsamoro Autonomous Region In Muslim Mindanao (BARMM)</t>
        </is>
      </c>
      <c r="F843" s="11" t="inlineStr">
        <is>
          <t>Basilan</t>
        </is>
      </c>
      <c r="G843" s="11" t="inlineStr">
        <is>
          <t>Hadji Muhtamad</t>
        </is>
      </c>
      <c r="H843" s="11" t="inlineStr">
        <is>
          <t>Palahangan</t>
        </is>
      </c>
      <c r="I843" s="24" t="n">
        <v>6.618464</v>
      </c>
      <c r="J843" s="24" t="n">
        <v>121.552586</v>
      </c>
      <c r="K843" s="23" t="inlineStr">
        <is>
          <t>R</t>
        </is>
      </c>
      <c r="L843" s="25" t="n">
        <v>2792</v>
      </c>
      <c r="M843" s="26" t="n">
        <v>5.1</v>
      </c>
      <c r="N843" s="25">
        <f>ROUND(L843/M843, 0)</f>
        <v/>
      </c>
      <c r="O843" s="25">
        <f>ROUND(N843*'Methodology &amp; Assumptions'!$B$7, 0)</f>
        <v/>
      </c>
      <c r="P843" s="23" t="inlineStr">
        <is>
          <t>Single Carrier (Band n50, 100MHz TDD)</t>
        </is>
      </c>
      <c r="Q843" s="27">
        <f>ROUNDUP(O843/'Methodology &amp; Assumptions'!$B$8, 0)</f>
        <v/>
      </c>
      <c r="R843" s="27" t="n">
        <v>1</v>
      </c>
      <c r="S843" s="26" t="n">
        <v>66.06999999999999</v>
      </c>
      <c r="T843" s="26" t="n">
        <v>66.06999999999999</v>
      </c>
      <c r="U843" s="11">
        <f>IF(S843&lt;='Methodology &amp; Assumptions'!$B$10, "Direct Optical Drop (&lt;3km)", IF(S843&lt;='Methodology &amp; Assumptions'!$B$9, "Near Optical / Microwave (&lt;5km)", "Starlink Business LEO Satellite Backhaul (&gt;5km)"))</f>
        <v/>
      </c>
      <c r="V843" s="26" t="n">
        <v>48.62</v>
      </c>
      <c r="W843" s="26" t="n">
        <v>69.17</v>
      </c>
      <c r="X843" s="26">
        <f>ROUND(('Methodology &amp; Assumptions'!$B$5*V843) + ('Methodology &amp; Assumptions'!$B$6*W843), 2)</f>
        <v/>
      </c>
      <c r="Y843" s="28" t="n">
        <v>11</v>
      </c>
      <c r="Z843" s="11" t="inlineStr">
        <is>
          <t>Priority Tier 3 (Broadband Expansion)</t>
        </is>
      </c>
    </row>
    <row r="844">
      <c r="A844" s="23" t="n">
        <v>4</v>
      </c>
      <c r="B844" s="23" t="n">
        <v>840</v>
      </c>
      <c r="C844" s="23" t="n">
        <v>3840</v>
      </c>
      <c r="D844" s="23" t="inlineStr">
        <is>
          <t>0806017037</t>
        </is>
      </c>
      <c r="E844" s="11" t="inlineStr">
        <is>
          <t>Region VIII (Eastern Visayas)</t>
        </is>
      </c>
      <c r="F844" s="11" t="inlineStr">
        <is>
          <t>Samar</t>
        </is>
      </c>
      <c r="G844" s="11" t="inlineStr">
        <is>
          <t>Santa Rita</t>
        </is>
      </c>
      <c r="H844" s="11" t="inlineStr">
        <is>
          <t>Gumamela Pob.</t>
        </is>
      </c>
      <c r="I844" s="24" t="n">
        <v>11.482532</v>
      </c>
      <c r="J844" s="24" t="n">
        <v>124.956175</v>
      </c>
      <c r="K844" s="23" t="inlineStr">
        <is>
          <t>R</t>
        </is>
      </c>
      <c r="L844" s="25" t="n">
        <v>1315</v>
      </c>
      <c r="M844" s="26" t="n">
        <v>4.1</v>
      </c>
      <c r="N844" s="25">
        <f>ROUND(L844/M844, 0)</f>
        <v/>
      </c>
      <c r="O844" s="25">
        <f>ROUND(N844*'Methodology &amp; Assumptions'!$B$7, 0)</f>
        <v/>
      </c>
      <c r="P844" s="23" t="inlineStr">
        <is>
          <t>Single Carrier (Band n50, 100MHz TDD)</t>
        </is>
      </c>
      <c r="Q844" s="27">
        <f>ROUNDUP(O844/'Methodology &amp; Assumptions'!$B$8, 0)</f>
        <v/>
      </c>
      <c r="R844" s="27" t="n">
        <v>1</v>
      </c>
      <c r="S844" s="26" t="n">
        <v>27.48</v>
      </c>
      <c r="T844" s="26" t="n">
        <v>30.59</v>
      </c>
      <c r="U844" s="11">
        <f>IF(S844&lt;='Methodology &amp; Assumptions'!$B$10, "Direct Optical Drop (&lt;3km)", IF(S844&lt;='Methodology &amp; Assumptions'!$B$9, "Near Optical / Microwave (&lt;5km)", "Starlink Business LEO Satellite Backhaul (&gt;5km)"))</f>
        <v/>
      </c>
      <c r="V844" s="26" t="n">
        <v>45.94</v>
      </c>
      <c r="W844" s="26" t="n">
        <v>71.84</v>
      </c>
      <c r="X844" s="26">
        <f>ROUND(('Methodology &amp; Assumptions'!$B$5*V844) + ('Methodology &amp; Assumptions'!$B$6*W844), 2)</f>
        <v/>
      </c>
      <c r="Y844" s="28" t="n">
        <v>23.7</v>
      </c>
      <c r="Z844" s="11" t="inlineStr">
        <is>
          <t>Priority Tier 3 (Broadband Expansion)</t>
        </is>
      </c>
    </row>
    <row r="845">
      <c r="A845" s="23" t="n">
        <v>4</v>
      </c>
      <c r="B845" s="23" t="n">
        <v>841</v>
      </c>
      <c r="C845" s="23" t="n">
        <v>3841</v>
      </c>
      <c r="D845" s="23" t="inlineStr">
        <is>
          <t>0806411014</t>
        </is>
      </c>
      <c r="E845" s="11" t="inlineStr">
        <is>
          <t>Region VIII (Eastern Visayas)</t>
        </is>
      </c>
      <c r="F845" s="11" t="inlineStr">
        <is>
          <t>Southern Leyte</t>
        </is>
      </c>
      <c r="G845" s="11" t="inlineStr">
        <is>
          <t>Pintuyan</t>
        </is>
      </c>
      <c r="H845" s="11" t="inlineStr">
        <is>
          <t>Nueva Estrella Sur</t>
        </is>
      </c>
      <c r="I845" s="24" t="n">
        <v>9.998139</v>
      </c>
      <c r="J845" s="24" t="n">
        <v>125.223113</v>
      </c>
      <c r="K845" s="23" t="inlineStr">
        <is>
          <t>R</t>
        </is>
      </c>
      <c r="L845" s="25" t="n">
        <v>420</v>
      </c>
      <c r="M845" s="26" t="n">
        <v>4.1</v>
      </c>
      <c r="N845" s="25">
        <f>ROUND(L845/M845, 0)</f>
        <v/>
      </c>
      <c r="O845" s="25">
        <f>ROUND(N845*'Methodology &amp; Assumptions'!$B$7, 0)</f>
        <v/>
      </c>
      <c r="P845" s="23" t="inlineStr">
        <is>
          <t>Single Carrier (Band n50, 100MHz TDD)</t>
        </is>
      </c>
      <c r="Q845" s="27">
        <f>ROUNDUP(O845/'Methodology &amp; Assumptions'!$B$8, 0)</f>
        <v/>
      </c>
      <c r="R845" s="27" t="n">
        <v>1</v>
      </c>
      <c r="S845" s="26" t="n">
        <v>37.71</v>
      </c>
      <c r="T845" s="26" t="n">
        <v>22.19</v>
      </c>
      <c r="U845" s="11">
        <f>IF(S845&lt;='Methodology &amp; Assumptions'!$B$10, "Direct Optical Drop (&lt;3km)", IF(S845&lt;='Methodology &amp; Assumptions'!$B$9, "Near Optical / Microwave (&lt;5km)", "Starlink Business LEO Satellite Backhaul (&gt;5km)"))</f>
        <v/>
      </c>
      <c r="V845" s="26" t="n">
        <v>43.1</v>
      </c>
      <c r="W845" s="26" t="n">
        <v>74.68000000000001</v>
      </c>
      <c r="X845" s="26">
        <f>ROUND(('Methodology &amp; Assumptions'!$B$5*V845) + ('Methodology &amp; Assumptions'!$B$6*W845), 2)</f>
        <v/>
      </c>
      <c r="Y845" s="28" t="n">
        <v>23.7</v>
      </c>
      <c r="Z845" s="11" t="inlineStr">
        <is>
          <t>Priority Tier 3 (Broadband Expansion)</t>
        </is>
      </c>
    </row>
    <row r="846">
      <c r="A846" s="23" t="n">
        <v>4</v>
      </c>
      <c r="B846" s="23" t="n">
        <v>842</v>
      </c>
      <c r="C846" s="23" t="n">
        <v>3842</v>
      </c>
      <c r="D846" s="23" t="inlineStr">
        <is>
          <t>0205706009</t>
        </is>
      </c>
      <c r="E846" s="11" t="inlineStr">
        <is>
          <t>Region II (Cagayan Valley)</t>
        </is>
      </c>
      <c r="F846" s="11" t="inlineStr">
        <is>
          <t>Quirino</t>
        </is>
      </c>
      <c r="G846" s="11" t="inlineStr">
        <is>
          <t>Nagtipunan</t>
        </is>
      </c>
      <c r="H846" s="11" t="inlineStr">
        <is>
          <t>Old Gumiad</t>
        </is>
      </c>
      <c r="I846" s="24" t="n">
        <v>16.172206</v>
      </c>
      <c r="J846" s="24" t="n">
        <v>121.43419</v>
      </c>
      <c r="K846" s="23" t="inlineStr">
        <is>
          <t>R</t>
        </is>
      </c>
      <c r="L846" s="25" t="n">
        <v>962</v>
      </c>
      <c r="M846" s="26" t="n">
        <v>3.9</v>
      </c>
      <c r="N846" s="25">
        <f>ROUND(L846/M846, 0)</f>
        <v/>
      </c>
      <c r="O846" s="25">
        <f>ROUND(N846*'Methodology &amp; Assumptions'!$B$7, 0)</f>
        <v/>
      </c>
      <c r="P846" s="23" t="inlineStr">
        <is>
          <t>Single Carrier (Band n50, 100MHz TDD)</t>
        </is>
      </c>
      <c r="Q846" s="27">
        <f>ROUNDUP(O846/'Methodology &amp; Assumptions'!$B$8, 0)</f>
        <v/>
      </c>
      <c r="R846" s="27" t="n">
        <v>1</v>
      </c>
      <c r="S846" s="26" t="n">
        <v>18.38</v>
      </c>
      <c r="T846" s="26" t="n">
        <v>25</v>
      </c>
      <c r="U846" s="11">
        <f>IF(S846&lt;='Methodology &amp; Assumptions'!$B$10, "Direct Optical Drop (&lt;3km)", IF(S846&lt;='Methodology &amp; Assumptions'!$B$9, "Near Optical / Microwave (&lt;5km)", "Starlink Business LEO Satellite Backhaul (&gt;5km)"))</f>
        <v/>
      </c>
      <c r="V846" s="26" t="n">
        <v>41.8</v>
      </c>
      <c r="W846" s="26" t="n">
        <v>75.98999999999999</v>
      </c>
      <c r="X846" s="26">
        <f>ROUND(('Methodology &amp; Assumptions'!$B$5*V846) + ('Methodology &amp; Assumptions'!$B$6*W846), 2)</f>
        <v/>
      </c>
      <c r="Y846" s="28" t="n">
        <v>8.300000000000001</v>
      </c>
      <c r="Z846" s="11" t="inlineStr">
        <is>
          <t>Priority Tier 3 (Broadband Expansion)</t>
        </is>
      </c>
    </row>
    <row r="847">
      <c r="A847" s="23" t="n">
        <v>4</v>
      </c>
      <c r="B847" s="23" t="n">
        <v>843</v>
      </c>
      <c r="C847" s="23" t="n">
        <v>3843</v>
      </c>
      <c r="D847" s="23" t="inlineStr">
        <is>
          <t>1401106007</t>
        </is>
      </c>
      <c r="E847" s="11" t="inlineStr">
        <is>
          <t>Cordillera Administrative Region (CAR)</t>
        </is>
      </c>
      <c r="F847" s="11" t="inlineStr">
        <is>
          <t>Benguet</t>
        </is>
      </c>
      <c r="G847" s="11" t="inlineStr">
        <is>
          <t>Itogon</t>
        </is>
      </c>
      <c r="H847" s="11" t="inlineStr">
        <is>
          <t>Tuding</t>
        </is>
      </c>
      <c r="I847" s="24" t="n">
        <v>16.41205</v>
      </c>
      <c r="J847" s="24" t="n">
        <v>120.64025</v>
      </c>
      <c r="K847" s="23" t="inlineStr">
        <is>
          <t>U</t>
        </is>
      </c>
      <c r="L847" s="25" t="n">
        <v>10488</v>
      </c>
      <c r="M847" s="26" t="n">
        <v>3.5</v>
      </c>
      <c r="N847" s="25">
        <f>ROUND(L847/M847, 0)</f>
        <v/>
      </c>
      <c r="O847" s="25">
        <f>ROUND(N847*'Methodology &amp; Assumptions'!$B$7, 0)</f>
        <v/>
      </c>
      <c r="P847" s="23" t="inlineStr">
        <is>
          <t>Single Carrier (Band n50, 100MHz TDD)</t>
        </is>
      </c>
      <c r="Q847" s="27">
        <f>ROUNDUP(O847/'Methodology &amp; Assumptions'!$B$8, 0)</f>
        <v/>
      </c>
      <c r="R847" s="27" t="n">
        <v>1</v>
      </c>
      <c r="S847" s="26" t="n">
        <v>0.02</v>
      </c>
      <c r="T847" s="26" t="n">
        <v>1.94</v>
      </c>
      <c r="U847" s="11">
        <f>IF(S847&lt;='Methodology &amp; Assumptions'!$B$10, "Direct Optical Drop (&lt;3km)", IF(S847&lt;='Methodology &amp; Assumptions'!$B$9, "Near Optical / Microwave (&lt;5km)", "Starlink Business LEO Satellite Backhaul (&gt;5km)"))</f>
        <v/>
      </c>
      <c r="V847" s="26" t="n">
        <v>78.84</v>
      </c>
      <c r="W847" s="26" t="n">
        <v>38.91</v>
      </c>
      <c r="X847" s="26">
        <f>ROUND(('Methodology &amp; Assumptions'!$B$5*V847) + ('Methodology &amp; Assumptions'!$B$6*W847), 2)</f>
        <v/>
      </c>
      <c r="Y847" s="28" t="n">
        <v>10.9</v>
      </c>
      <c r="Z847" s="11" t="inlineStr">
        <is>
          <t>Priority Tier 3 (Broadband Expansion)</t>
        </is>
      </c>
    </row>
    <row r="848">
      <c r="A848" s="23" t="n">
        <v>4</v>
      </c>
      <c r="B848" s="23" t="n">
        <v>844</v>
      </c>
      <c r="C848" s="23" t="n">
        <v>3844</v>
      </c>
      <c r="D848" s="23" t="inlineStr">
        <is>
          <t>1900713012</t>
        </is>
      </c>
      <c r="E848" s="11" t="inlineStr">
        <is>
          <t>Bangsamoro Autonomous Region In Muslim Mindanao (BARMM)</t>
        </is>
      </c>
      <c r="F848" s="11" t="inlineStr">
        <is>
          <t>Basilan</t>
        </is>
      </c>
      <c r="G848" s="11" t="inlineStr">
        <is>
          <t>Tabuan-Lasa</t>
        </is>
      </c>
      <c r="H848" s="11" t="inlineStr">
        <is>
          <t>Tong-Umus</t>
        </is>
      </c>
      <c r="I848" s="24" t="n">
        <v>6.289283</v>
      </c>
      <c r="J848" s="24" t="n">
        <v>121.962103</v>
      </c>
      <c r="K848" s="23" t="inlineStr">
        <is>
          <t>R</t>
        </is>
      </c>
      <c r="L848" s="25" t="n">
        <v>3541</v>
      </c>
      <c r="M848" s="26" t="n">
        <v>5.1</v>
      </c>
      <c r="N848" s="25">
        <f>ROUND(L848/M848, 0)</f>
        <v/>
      </c>
      <c r="O848" s="25">
        <f>ROUND(N848*'Methodology &amp; Assumptions'!$B$7, 0)</f>
        <v/>
      </c>
      <c r="P848" s="23" t="inlineStr">
        <is>
          <t>Single Carrier (Band n50, 100MHz TDD)</t>
        </is>
      </c>
      <c r="Q848" s="27">
        <f>ROUNDUP(O848/'Methodology &amp; Assumptions'!$B$8, 0)</f>
        <v/>
      </c>
      <c r="R848" s="27" t="n">
        <v>1</v>
      </c>
      <c r="S848" s="26" t="n">
        <v>70.15000000000001</v>
      </c>
      <c r="T848" s="26" t="n">
        <v>70.15000000000001</v>
      </c>
      <c r="U848" s="11">
        <f>IF(S848&lt;='Methodology &amp; Assumptions'!$B$10, "Direct Optical Drop (&lt;3km)", IF(S848&lt;='Methodology &amp; Assumptions'!$B$9, "Near Optical / Microwave (&lt;5km)", "Starlink Business LEO Satellite Backhaul (&gt;5km)"))</f>
        <v/>
      </c>
      <c r="V848" s="26" t="n">
        <v>53.33</v>
      </c>
      <c r="W848" s="26" t="n">
        <v>64.43000000000001</v>
      </c>
      <c r="X848" s="26">
        <f>ROUND(('Methodology &amp; Assumptions'!$B$5*V848) + ('Methodology &amp; Assumptions'!$B$6*W848), 2)</f>
        <v/>
      </c>
      <c r="Y848" s="28" t="n">
        <v>11</v>
      </c>
      <c r="Z848" s="11" t="inlineStr">
        <is>
          <t>Priority Tier 3 (Broadband Expansion)</t>
        </is>
      </c>
    </row>
    <row r="849">
      <c r="A849" s="23" t="n">
        <v>4</v>
      </c>
      <c r="B849" s="23" t="n">
        <v>845</v>
      </c>
      <c r="C849" s="23" t="n">
        <v>3845</v>
      </c>
      <c r="D849" s="23" t="inlineStr">
        <is>
          <t>0201509011</t>
        </is>
      </c>
      <c r="E849" s="11" t="inlineStr">
        <is>
          <t>Region II (Cagayan Valley)</t>
        </is>
      </c>
      <c r="F849" s="11" t="inlineStr">
        <is>
          <t>Cagayan</t>
        </is>
      </c>
      <c r="G849" s="11" t="inlineStr">
        <is>
          <t>Calayan</t>
        </is>
      </c>
      <c r="H849" s="11" t="inlineStr">
        <is>
          <t>Dalupiri</t>
        </is>
      </c>
      <c r="I849" s="24" t="n">
        <v>19.102292</v>
      </c>
      <c r="J849" s="24" t="n">
        <v>121.245965</v>
      </c>
      <c r="K849" s="23" t="inlineStr">
        <is>
          <t>R</t>
        </is>
      </c>
      <c r="L849" s="25" t="n">
        <v>638</v>
      </c>
      <c r="M849" s="26" t="n">
        <v>3.9</v>
      </c>
      <c r="N849" s="25">
        <f>ROUND(L849/M849, 0)</f>
        <v/>
      </c>
      <c r="O849" s="25">
        <f>ROUND(N849*'Methodology &amp; Assumptions'!$B$7, 0)</f>
        <v/>
      </c>
      <c r="P849" s="23" t="inlineStr">
        <is>
          <t>Single Carrier (Band n50, 100MHz TDD)</t>
        </is>
      </c>
      <c r="Q849" s="27">
        <f>ROUNDUP(O849/'Methodology &amp; Assumptions'!$B$8, 0)</f>
        <v/>
      </c>
      <c r="R849" s="27" t="n">
        <v>1</v>
      </c>
      <c r="S849" s="26" t="n">
        <v>58.6</v>
      </c>
      <c r="T849" s="26" t="n">
        <v>54.68</v>
      </c>
      <c r="U849" s="11">
        <f>IF(S849&lt;='Methodology &amp; Assumptions'!$B$10, "Direct Optical Drop (&lt;3km)", IF(S849&lt;='Methodology &amp; Assumptions'!$B$9, "Near Optical / Microwave (&lt;5km)", "Starlink Business LEO Satellite Backhaul (&gt;5km)"))</f>
        <v/>
      </c>
      <c r="V849" s="26" t="n">
        <v>39.09</v>
      </c>
      <c r="W849" s="26" t="n">
        <v>78.67</v>
      </c>
      <c r="X849" s="26">
        <f>ROUND(('Methodology &amp; Assumptions'!$B$5*V849) + ('Methodology &amp; Assumptions'!$B$6*W849), 2)</f>
        <v/>
      </c>
      <c r="Y849" s="28" t="n">
        <v>8.300000000000001</v>
      </c>
      <c r="Z849" s="11" t="inlineStr">
        <is>
          <t>Priority Tier 3 (Broadband Expansion)</t>
        </is>
      </c>
    </row>
    <row r="850">
      <c r="A850" s="23" t="n">
        <v>4</v>
      </c>
      <c r="B850" s="23" t="n">
        <v>846</v>
      </c>
      <c r="C850" s="23" t="n">
        <v>3846</v>
      </c>
      <c r="D850" s="23" t="inlineStr">
        <is>
          <t>0201508016</t>
        </is>
      </c>
      <c r="E850" s="11" t="inlineStr">
        <is>
          <t>Region II (Cagayan Valley)</t>
        </is>
      </c>
      <c r="F850" s="11" t="inlineStr">
        <is>
          <t>Cagayan</t>
        </is>
      </c>
      <c r="G850" s="11" t="inlineStr">
        <is>
          <t>Buguey</t>
        </is>
      </c>
      <c r="H850" s="11" t="inlineStr">
        <is>
          <t>Pattao</t>
        </is>
      </c>
      <c r="I850" s="24" t="n">
        <v>18.249614</v>
      </c>
      <c r="J850" s="24" t="n">
        <v>121.814979</v>
      </c>
      <c r="K850" s="23" t="inlineStr">
        <is>
          <t>R</t>
        </is>
      </c>
      <c r="L850" s="25" t="n">
        <v>3799</v>
      </c>
      <c r="M850" s="26" t="n">
        <v>3.9</v>
      </c>
      <c r="N850" s="25">
        <f>ROUND(L850/M850, 0)</f>
        <v/>
      </c>
      <c r="O850" s="25">
        <f>ROUND(N850*'Methodology &amp; Assumptions'!$B$7, 0)</f>
        <v/>
      </c>
      <c r="P850" s="23" t="inlineStr">
        <is>
          <t>Single Carrier (Band n50, 100MHz TDD)</t>
        </is>
      </c>
      <c r="Q850" s="27">
        <f>ROUNDUP(O850/'Methodology &amp; Assumptions'!$B$8, 0)</f>
        <v/>
      </c>
      <c r="R850" s="27" t="n">
        <v>1</v>
      </c>
      <c r="S850" s="26" t="n">
        <v>0.14</v>
      </c>
      <c r="T850" s="26" t="n">
        <v>0.14</v>
      </c>
      <c r="U850" s="11">
        <f>IF(S850&lt;='Methodology &amp; Assumptions'!$B$10, "Direct Optical Drop (&lt;3km)", IF(S850&lt;='Methodology &amp; Assumptions'!$B$9, "Near Optical / Microwave (&lt;5km)", "Starlink Business LEO Satellite Backhaul (&gt;5km)"))</f>
        <v/>
      </c>
      <c r="V850" s="26" t="n">
        <v>85.63</v>
      </c>
      <c r="W850" s="26" t="n">
        <v>32.11</v>
      </c>
      <c r="X850" s="26">
        <f>ROUND(('Methodology &amp; Assumptions'!$B$5*V850) + ('Methodology &amp; Assumptions'!$B$6*W850), 2)</f>
        <v/>
      </c>
      <c r="Y850" s="28" t="n">
        <v>8.300000000000001</v>
      </c>
      <c r="Z850" s="11" t="inlineStr">
        <is>
          <t>Priority Tier 3 (Broadband Expansion)</t>
        </is>
      </c>
    </row>
    <row r="851">
      <c r="A851" s="23" t="n">
        <v>4</v>
      </c>
      <c r="B851" s="23" t="n">
        <v>847</v>
      </c>
      <c r="C851" s="23" t="n">
        <v>3847</v>
      </c>
      <c r="D851" s="23" t="inlineStr">
        <is>
          <t>0304904006</t>
        </is>
      </c>
      <c r="E851" s="11" t="inlineStr">
        <is>
          <t>Region III (Central Luzon)</t>
        </is>
      </c>
      <c r="F851" s="11" t="inlineStr">
        <is>
          <t>Nueva Ecija</t>
        </is>
      </c>
      <c r="G851" s="11" t="inlineStr">
        <is>
          <t>Cabiao</t>
        </is>
      </c>
      <c r="H851" s="11" t="inlineStr">
        <is>
          <t>Maligaya</t>
        </is>
      </c>
      <c r="I851" s="24" t="n">
        <v>15.249827</v>
      </c>
      <c r="J851" s="24" t="n">
        <v>120.859748</v>
      </c>
      <c r="K851" s="23" t="inlineStr">
        <is>
          <t>U</t>
        </is>
      </c>
      <c r="L851" s="25" t="n">
        <v>3018</v>
      </c>
      <c r="M851" s="26" t="n">
        <v>3.5</v>
      </c>
      <c r="N851" s="25">
        <f>ROUND(L851/M851, 0)</f>
        <v/>
      </c>
      <c r="O851" s="25">
        <f>ROUND(N851*'Methodology &amp; Assumptions'!$B$7, 0)</f>
        <v/>
      </c>
      <c r="P851" s="23" t="inlineStr">
        <is>
          <t>Single Carrier (Band n50, 100MHz TDD)</t>
        </is>
      </c>
      <c r="Q851" s="27">
        <f>ROUNDUP(O851/'Methodology &amp; Assumptions'!$B$8, 0)</f>
        <v/>
      </c>
      <c r="R851" s="27" t="n">
        <v>1</v>
      </c>
      <c r="S851" s="26" t="n">
        <v>1.61</v>
      </c>
      <c r="T851" s="26" t="n">
        <v>0.15</v>
      </c>
      <c r="U851" s="11">
        <f>IF(S851&lt;='Methodology &amp; Assumptions'!$B$10, "Direct Optical Drop (&lt;3km)", IF(S851&lt;='Methodology &amp; Assumptions'!$B$9, "Near Optical / Microwave (&lt;5km)", "Starlink Business LEO Satellite Backhaul (&gt;5km)"))</f>
        <v/>
      </c>
      <c r="V851" s="26" t="n">
        <v>75.55</v>
      </c>
      <c r="W851" s="26" t="n">
        <v>42.19</v>
      </c>
      <c r="X851" s="26">
        <f>ROUND(('Methodology &amp; Assumptions'!$B$5*V851) + ('Methodology &amp; Assumptions'!$B$6*W851), 2)</f>
        <v/>
      </c>
      <c r="Y851" s="28" t="n">
        <v>8.300000000000001</v>
      </c>
      <c r="Z851" s="11" t="inlineStr">
        <is>
          <t>Priority Tier 3 (Broadband Expansion)</t>
        </is>
      </c>
    </row>
    <row r="852">
      <c r="A852" s="23" t="n">
        <v>4</v>
      </c>
      <c r="B852" s="23" t="n">
        <v>848</v>
      </c>
      <c r="C852" s="23" t="n">
        <v>3848</v>
      </c>
      <c r="D852" s="23" t="inlineStr">
        <is>
          <t>0301417003</t>
        </is>
      </c>
      <c r="E852" s="11" t="inlineStr">
        <is>
          <t>Region III (Central Luzon)</t>
        </is>
      </c>
      <c r="F852" s="11" t="inlineStr">
        <is>
          <t>Bulacan</t>
        </is>
      </c>
      <c r="G852" s="11" t="inlineStr">
        <is>
          <t>Plaridel</t>
        </is>
      </c>
      <c r="H852" s="11" t="inlineStr">
        <is>
          <t>Banga I</t>
        </is>
      </c>
      <c r="I852" s="24" t="n">
        <v>14.883918</v>
      </c>
      <c r="J852" s="24" t="n">
        <v>120.865116</v>
      </c>
      <c r="K852" s="23" t="inlineStr">
        <is>
          <t>U</t>
        </is>
      </c>
      <c r="L852" s="25" t="n">
        <v>6159</v>
      </c>
      <c r="M852" s="26" t="n">
        <v>3.5</v>
      </c>
      <c r="N852" s="25">
        <f>ROUND(L852/M852, 0)</f>
        <v/>
      </c>
      <c r="O852" s="25">
        <f>ROUND(N852*'Methodology &amp; Assumptions'!$B$7, 0)</f>
        <v/>
      </c>
      <c r="P852" s="23" t="inlineStr">
        <is>
          <t>Single Carrier (Band n50, 100MHz TDD)</t>
        </is>
      </c>
      <c r="Q852" s="27">
        <f>ROUNDUP(O852/'Methodology &amp; Assumptions'!$B$8, 0)</f>
        <v/>
      </c>
      <c r="R852" s="27" t="n">
        <v>1</v>
      </c>
      <c r="S852" s="26" t="n">
        <v>2.57</v>
      </c>
      <c r="T852" s="26" t="n">
        <v>0.38</v>
      </c>
      <c r="U852" s="11">
        <f>IF(S852&lt;='Methodology &amp; Assumptions'!$B$10, "Direct Optical Drop (&lt;3km)", IF(S852&lt;='Methodology &amp; Assumptions'!$B$9, "Near Optical / Microwave (&lt;5km)", "Starlink Business LEO Satellite Backhaul (&gt;5km)"))</f>
        <v/>
      </c>
      <c r="V852" s="26" t="n">
        <v>72.33</v>
      </c>
      <c r="W852" s="26" t="n">
        <v>45.42</v>
      </c>
      <c r="X852" s="26">
        <f>ROUND(('Methodology &amp; Assumptions'!$B$5*V852) + ('Methodology &amp; Assumptions'!$B$6*W852), 2)</f>
        <v/>
      </c>
      <c r="Y852" s="28" t="n">
        <v>8.300000000000001</v>
      </c>
      <c r="Z852" s="11" t="inlineStr">
        <is>
          <t>Priority Tier 3 (Broadband Expansion)</t>
        </is>
      </c>
    </row>
    <row r="853">
      <c r="A853" s="23" t="n">
        <v>4</v>
      </c>
      <c r="B853" s="23" t="n">
        <v>849</v>
      </c>
      <c r="C853" s="23" t="n">
        <v>3849</v>
      </c>
      <c r="D853" s="23" t="inlineStr">
        <is>
          <t>0103318004</t>
        </is>
      </c>
      <c r="E853" s="11" t="inlineStr">
        <is>
          <t>Region I (Ilocos Region)</t>
        </is>
      </c>
      <c r="F853" s="11" t="inlineStr">
        <is>
          <t>La Union</t>
        </is>
      </c>
      <c r="G853" s="11" t="inlineStr">
        <is>
          <t>Santol</t>
        </is>
      </c>
      <c r="H853" s="11" t="inlineStr">
        <is>
          <t>Lettac Sur</t>
        </is>
      </c>
      <c r="I853" s="24" t="n">
        <v>16.737601</v>
      </c>
      <c r="J853" s="24" t="n">
        <v>120.454769</v>
      </c>
      <c r="K853" s="23" t="inlineStr">
        <is>
          <t>R</t>
        </is>
      </c>
      <c r="L853" s="25" t="n">
        <v>1348</v>
      </c>
      <c r="M853" s="26" t="n">
        <v>3.7</v>
      </c>
      <c r="N853" s="25">
        <f>ROUND(L853/M853, 0)</f>
        <v/>
      </c>
      <c r="O853" s="25">
        <f>ROUND(N853*'Methodology &amp; Assumptions'!$B$7, 0)</f>
        <v/>
      </c>
      <c r="P853" s="23" t="inlineStr">
        <is>
          <t>Single Carrier (Band n50, 100MHz TDD)</t>
        </is>
      </c>
      <c r="Q853" s="27">
        <f>ROUNDUP(O853/'Methodology &amp; Assumptions'!$B$8, 0)</f>
        <v/>
      </c>
      <c r="R853" s="27" t="n">
        <v>1</v>
      </c>
      <c r="S853" s="26" t="n">
        <v>9.24</v>
      </c>
      <c r="T853" s="26" t="n">
        <v>6.17</v>
      </c>
      <c r="U853" s="11">
        <f>IF(S853&lt;='Methodology &amp; Assumptions'!$B$10, "Direct Optical Drop (&lt;3km)", IF(S853&lt;='Methodology &amp; Assumptions'!$B$9, "Near Optical / Microwave (&lt;5km)", "Starlink Business LEO Satellite Backhaul (&gt;5km)"))</f>
        <v/>
      </c>
      <c r="V853" s="26" t="n">
        <v>50.87</v>
      </c>
      <c r="W853" s="26" t="n">
        <v>66.87</v>
      </c>
      <c r="X853" s="26">
        <f>ROUND(('Methodology &amp; Assumptions'!$B$5*V853) + ('Methodology &amp; Assumptions'!$B$6*W853), 2)</f>
        <v/>
      </c>
      <c r="Y853" s="28" t="n">
        <v>8.300000000000001</v>
      </c>
      <c r="Z853" s="11" t="inlineStr">
        <is>
          <t>Priority Tier 3 (Broadband Expansion)</t>
        </is>
      </c>
    </row>
    <row r="854">
      <c r="A854" s="23" t="n">
        <v>4</v>
      </c>
      <c r="B854" s="23" t="n">
        <v>850</v>
      </c>
      <c r="C854" s="23" t="n">
        <v>3850</v>
      </c>
      <c r="D854" s="23" t="inlineStr">
        <is>
          <t>1380614082</t>
        </is>
      </c>
      <c r="E854" s="11" t="inlineStr">
        <is>
          <t>National Capital Region (NCR)</t>
        </is>
      </c>
      <c r="F854" s="11" t="inlineStr">
        <is>
          <t>First District (Not a Province)</t>
        </is>
      </c>
      <c r="G854" s="11" t="inlineStr">
        <is>
          <t>City of Manila</t>
        </is>
      </c>
      <c r="H854" s="11" t="inlineStr">
        <is>
          <t>Barangay 889</t>
        </is>
      </c>
      <c r="I854" s="24" t="n">
        <v>14.583606</v>
      </c>
      <c r="J854" s="24" t="n">
        <v>121.014071</v>
      </c>
      <c r="K854" s="23" t="inlineStr">
        <is>
          <t>U</t>
        </is>
      </c>
      <c r="L854" s="25" t="n">
        <v>952</v>
      </c>
      <c r="M854" s="26" t="n">
        <v>4.12</v>
      </c>
      <c r="N854" s="25">
        <f>ROUND(L854/M854, 0)</f>
        <v/>
      </c>
      <c r="O854" s="25">
        <f>ROUND(N854*'Methodology &amp; Assumptions'!$B$7, 0)</f>
        <v/>
      </c>
      <c r="P854" s="23" t="inlineStr">
        <is>
          <t>Single Carrier (Band n50, 100MHz TDD)</t>
        </is>
      </c>
      <c r="Q854" s="27">
        <f>ROUNDUP(O854/'Methodology &amp; Assumptions'!$B$8, 0)</f>
        <v/>
      </c>
      <c r="R854" s="27" t="n">
        <v>1</v>
      </c>
      <c r="S854" s="26" t="n">
        <v>1.22</v>
      </c>
      <c r="T854" s="26" t="n">
        <v>0.23</v>
      </c>
      <c r="U854" s="11">
        <f>IF(S854&lt;='Methodology &amp; Assumptions'!$B$10, "Direct Optical Drop (&lt;3km)", IF(S854&lt;='Methodology &amp; Assumptions'!$B$9, "Near Optical / Microwave (&lt;5km)", "Starlink Business LEO Satellite Backhaul (&gt;5km)"))</f>
        <v/>
      </c>
      <c r="V854" s="26" t="n">
        <v>47.03</v>
      </c>
      <c r="W854" s="26" t="n">
        <v>70.7</v>
      </c>
      <c r="X854" s="26">
        <f>ROUND(('Methodology &amp; Assumptions'!$B$5*V854) + ('Methodology &amp; Assumptions'!$B$6*W854), 2)</f>
        <v/>
      </c>
      <c r="Y854" s="28" t="n">
        <v>10.9</v>
      </c>
      <c r="Z854" s="11" t="inlineStr">
        <is>
          <t>Priority Tier 3 (Broadband Expansion)</t>
        </is>
      </c>
    </row>
    <row r="855">
      <c r="A855" s="23" t="n">
        <v>4</v>
      </c>
      <c r="B855" s="23" t="n">
        <v>851</v>
      </c>
      <c r="C855" s="23" t="n">
        <v>3851</v>
      </c>
      <c r="D855" s="23" t="inlineStr">
        <is>
          <t>0304923008</t>
        </is>
      </c>
      <c r="E855" s="11" t="inlineStr">
        <is>
          <t>Region III (Central Luzon)</t>
        </is>
      </c>
      <c r="F855" s="11" t="inlineStr">
        <is>
          <t>Nueva Ecija</t>
        </is>
      </c>
      <c r="G855" s="11" t="inlineStr">
        <is>
          <t>Rizal</t>
        </is>
      </c>
      <c r="H855" s="11" t="inlineStr">
        <is>
          <t>Canaan East</t>
        </is>
      </c>
      <c r="I855" s="24" t="n">
        <v>13.692128</v>
      </c>
      <c r="J855" s="24" t="n">
        <v>121.42697</v>
      </c>
      <c r="K855" s="23" t="inlineStr">
        <is>
          <t>R</t>
        </is>
      </c>
      <c r="L855" s="25" t="n">
        <v>2668</v>
      </c>
      <c r="M855" s="26" t="n">
        <v>3.6</v>
      </c>
      <c r="N855" s="25">
        <f>ROUND(L855/M855, 0)</f>
        <v/>
      </c>
      <c r="O855" s="25">
        <f>ROUND(N855*'Methodology &amp; Assumptions'!$B$7, 0)</f>
        <v/>
      </c>
      <c r="P855" s="23" t="inlineStr">
        <is>
          <t>Single Carrier (Band n50, 100MHz TDD)</t>
        </is>
      </c>
      <c r="Q855" s="27">
        <f>ROUNDUP(O855/'Methodology &amp; Assumptions'!$B$8, 0)</f>
        <v/>
      </c>
      <c r="R855" s="27" t="n">
        <v>1</v>
      </c>
      <c r="S855" s="26" t="n">
        <v>0.82</v>
      </c>
      <c r="T855" s="26" t="n">
        <v>10.77</v>
      </c>
      <c r="U855" s="11">
        <f>IF(S855&lt;='Methodology &amp; Assumptions'!$B$10, "Direct Optical Drop (&lt;3km)", IF(S855&lt;='Methodology &amp; Assumptions'!$B$9, "Near Optical / Microwave (&lt;5km)", "Starlink Business LEO Satellite Backhaul (&gt;5km)"))</f>
        <v/>
      </c>
      <c r="V855" s="26" t="n">
        <v>79.68000000000001</v>
      </c>
      <c r="W855" s="26" t="n">
        <v>38.05</v>
      </c>
      <c r="X855" s="26">
        <f>ROUND(('Methodology &amp; Assumptions'!$B$5*V855) + ('Methodology &amp; Assumptions'!$B$6*W855), 2)</f>
        <v/>
      </c>
      <c r="Y855" s="28" t="n">
        <v>8.300000000000001</v>
      </c>
      <c r="Z855" s="11" t="inlineStr">
        <is>
          <t>Priority Tier 3 (Broadband Expansion)</t>
        </is>
      </c>
    </row>
    <row r="856">
      <c r="A856" s="23" t="n">
        <v>4</v>
      </c>
      <c r="B856" s="23" t="n">
        <v>852</v>
      </c>
      <c r="C856" s="23" t="n">
        <v>3852</v>
      </c>
      <c r="D856" s="23" t="inlineStr">
        <is>
          <t>0403424037</t>
        </is>
      </c>
      <c r="E856" s="11" t="inlineStr">
        <is>
          <t>Region IV-A (CALABARZON)</t>
        </is>
      </c>
      <c r="F856" s="11" t="inlineStr">
        <is>
          <t>Laguna</t>
        </is>
      </c>
      <c r="G856" s="11" t="inlineStr">
        <is>
          <t>City of San Pablo</t>
        </is>
      </c>
      <c r="H856" s="11" t="inlineStr">
        <is>
          <t>Dolores</t>
        </is>
      </c>
      <c r="I856" s="24" t="n">
        <v>14.22695</v>
      </c>
      <c r="J856" s="24" t="n">
        <v>121.342579</v>
      </c>
      <c r="K856" s="23" t="inlineStr">
        <is>
          <t>R</t>
        </is>
      </c>
      <c r="L856" s="25" t="n">
        <v>2544</v>
      </c>
      <c r="M856" s="26" t="n">
        <v>3.3</v>
      </c>
      <c r="N856" s="25">
        <f>ROUND(L856/M856, 0)</f>
        <v/>
      </c>
      <c r="O856" s="25">
        <f>ROUND(N856*'Methodology &amp; Assumptions'!$B$7, 0)</f>
        <v/>
      </c>
      <c r="P856" s="23" t="inlineStr">
        <is>
          <t>Single Carrier (Band n50, 100MHz TDD)</t>
        </is>
      </c>
      <c r="Q856" s="27">
        <f>ROUNDUP(O856/'Methodology &amp; Assumptions'!$B$8, 0)</f>
        <v/>
      </c>
      <c r="R856" s="27" t="n">
        <v>1</v>
      </c>
      <c r="S856" s="26" t="n">
        <v>2.02</v>
      </c>
      <c r="T856" s="26" t="n">
        <v>1.89</v>
      </c>
      <c r="U856" s="11">
        <f>IF(S856&lt;='Methodology &amp; Assumptions'!$B$10, "Direct Optical Drop (&lt;3km)", IF(S856&lt;='Methodology &amp; Assumptions'!$B$9, "Near Optical / Microwave (&lt;5km)", "Starlink Business LEO Satellite Backhaul (&gt;5km)"))</f>
        <v/>
      </c>
      <c r="V856" s="26" t="n">
        <v>79.66</v>
      </c>
      <c r="W856" s="26" t="n">
        <v>38.05</v>
      </c>
      <c r="X856" s="26">
        <f>ROUND(('Methodology &amp; Assumptions'!$B$5*V856) + ('Methodology &amp; Assumptions'!$B$6*W856), 2)</f>
        <v/>
      </c>
      <c r="Y856" s="28" t="n">
        <v>7.2</v>
      </c>
      <c r="Z856" s="11" t="inlineStr">
        <is>
          <t>Priority Tier 3 (Broadband Expansion)</t>
        </is>
      </c>
    </row>
    <row r="857">
      <c r="A857" s="23" t="n">
        <v>4</v>
      </c>
      <c r="B857" s="23" t="n">
        <v>853</v>
      </c>
      <c r="C857" s="23" t="n">
        <v>3853</v>
      </c>
      <c r="D857" s="23" t="inlineStr">
        <is>
          <t>0803708073</t>
        </is>
      </c>
      <c r="E857" s="11" t="inlineStr">
        <is>
          <t>Region VIII (Eastern Visayas)</t>
        </is>
      </c>
      <c r="F857" s="11" t="inlineStr">
        <is>
          <t>Leyte</t>
        </is>
      </c>
      <c r="G857" s="11" t="inlineStr">
        <is>
          <t>City of Baybay</t>
        </is>
      </c>
      <c r="H857" s="11" t="inlineStr">
        <is>
          <t>Poblacion Zone 17</t>
        </is>
      </c>
      <c r="I857" s="24" t="n">
        <v>10.670887</v>
      </c>
      <c r="J857" s="24" t="n">
        <v>124.80424</v>
      </c>
      <c r="K857" s="23" t="inlineStr">
        <is>
          <t>R</t>
        </is>
      </c>
      <c r="L857" s="25" t="n">
        <v>653</v>
      </c>
      <c r="M857" s="26" t="n">
        <v>3.8</v>
      </c>
      <c r="N857" s="25">
        <f>ROUND(L857/M857, 0)</f>
        <v/>
      </c>
      <c r="O857" s="25">
        <f>ROUND(N857*'Methodology &amp; Assumptions'!$B$7, 0)</f>
        <v/>
      </c>
      <c r="P857" s="23" t="inlineStr">
        <is>
          <t>Single Carrier (Band n50, 100MHz TDD)</t>
        </is>
      </c>
      <c r="Q857" s="27">
        <f>ROUNDUP(O857/'Methodology &amp; Assumptions'!$B$8, 0)</f>
        <v/>
      </c>
      <c r="R857" s="27" t="n">
        <v>1</v>
      </c>
      <c r="S857" s="26" t="n">
        <v>0.99</v>
      </c>
      <c r="T857" s="26" t="n">
        <v>0.19</v>
      </c>
      <c r="U857" s="11">
        <f>IF(S857&lt;='Methodology &amp; Assumptions'!$B$10, "Direct Optical Drop (&lt;3km)", IF(S857&lt;='Methodology &amp; Assumptions'!$B$9, "Near Optical / Microwave (&lt;5km)", "Starlink Business LEO Satellite Backhaul (&gt;5km)"))</f>
        <v/>
      </c>
      <c r="V857" s="26" t="n">
        <v>66.14</v>
      </c>
      <c r="W857" s="26" t="n">
        <v>51.59</v>
      </c>
      <c r="X857" s="26">
        <f>ROUND(('Methodology &amp; Assumptions'!$B$5*V857) + ('Methodology &amp; Assumptions'!$B$6*W857), 2)</f>
        <v/>
      </c>
      <c r="Y857" s="28" t="n">
        <v>23.7</v>
      </c>
      <c r="Z857" s="11" t="inlineStr">
        <is>
          <t>Priority Tier 3 (Broadband Expansion)</t>
        </is>
      </c>
    </row>
    <row r="858">
      <c r="A858" s="23" t="n">
        <v>4</v>
      </c>
      <c r="B858" s="23" t="n">
        <v>854</v>
      </c>
      <c r="C858" s="23" t="n">
        <v>3854</v>
      </c>
      <c r="D858" s="23" t="inlineStr">
        <is>
          <t>0401012036</t>
        </is>
      </c>
      <c r="E858" s="11" t="inlineStr">
        <is>
          <t>Region IV-A (CALABARZON)</t>
        </is>
      </c>
      <c r="F858" s="11" t="inlineStr">
        <is>
          <t>Batangas</t>
        </is>
      </c>
      <c r="G858" s="11" t="inlineStr">
        <is>
          <t>Lemery</t>
        </is>
      </c>
      <c r="H858" s="11" t="inlineStr">
        <is>
          <t>Rizal</t>
        </is>
      </c>
      <c r="I858" s="24" t="n">
        <v>13.8785</v>
      </c>
      <c r="J858" s="24" t="n">
        <v>120.9149</v>
      </c>
      <c r="K858" s="23" t="inlineStr">
        <is>
          <t>R</t>
        </is>
      </c>
      <c r="L858" s="25" t="n">
        <v>602</v>
      </c>
      <c r="M858" s="26" t="n">
        <v>3.6</v>
      </c>
      <c r="N858" s="25">
        <f>ROUND(L858/M858, 0)</f>
        <v/>
      </c>
      <c r="O858" s="25">
        <f>ROUND(N858*'Methodology &amp; Assumptions'!$B$7, 0)</f>
        <v/>
      </c>
      <c r="P858" s="23" t="inlineStr">
        <is>
          <t>Single Carrier (Band n50, 100MHz TDD)</t>
        </is>
      </c>
      <c r="Q858" s="27">
        <f>ROUNDUP(O858/'Methodology &amp; Assumptions'!$B$8, 0)</f>
        <v/>
      </c>
      <c r="R858" s="27" t="n">
        <v>1</v>
      </c>
      <c r="S858" s="26" t="n">
        <v>0.38</v>
      </c>
      <c r="T858" s="26" t="n">
        <v>2.01</v>
      </c>
      <c r="U858" s="11">
        <f>IF(S858&lt;='Methodology &amp; Assumptions'!$B$10, "Direct Optical Drop (&lt;3km)", IF(S858&lt;='Methodology &amp; Assumptions'!$B$9, "Near Optical / Microwave (&lt;5km)", "Starlink Business LEO Satellite Backhaul (&gt;5km)"))</f>
        <v/>
      </c>
      <c r="V858" s="26" t="n">
        <v>62.68</v>
      </c>
      <c r="W858" s="26" t="n">
        <v>55.04</v>
      </c>
      <c r="X858" s="26">
        <f>ROUND(('Methodology &amp; Assumptions'!$B$5*V858) + ('Methodology &amp; Assumptions'!$B$6*W858), 2)</f>
        <v/>
      </c>
      <c r="Y858" s="28" t="n">
        <v>7.2</v>
      </c>
      <c r="Z858" s="11" t="inlineStr">
        <is>
          <t>Priority Tier 3 (Broadband Expansion)</t>
        </is>
      </c>
    </row>
    <row r="859">
      <c r="A859" s="23" t="n">
        <v>4</v>
      </c>
      <c r="B859" s="23" t="n">
        <v>855</v>
      </c>
      <c r="C859" s="23" t="n">
        <v>3855</v>
      </c>
      <c r="D859" s="23" t="inlineStr">
        <is>
          <t>0803739025</t>
        </is>
      </c>
      <c r="E859" s="11" t="inlineStr">
        <is>
          <t>Region VIII (Eastern Visayas)</t>
        </is>
      </c>
      <c r="F859" s="11" t="inlineStr">
        <is>
          <t>Leyte</t>
        </is>
      </c>
      <c r="G859" s="11" t="inlineStr">
        <is>
          <t>Palo</t>
        </is>
      </c>
      <c r="H859" s="11" t="inlineStr">
        <is>
          <t>Salvacion</t>
        </is>
      </c>
      <c r="I859" s="24" t="n">
        <v>11.154064</v>
      </c>
      <c r="J859" s="24" t="n">
        <v>124.997994</v>
      </c>
      <c r="K859" s="23" t="inlineStr">
        <is>
          <t>R</t>
        </is>
      </c>
      <c r="L859" s="25" t="n">
        <v>2668</v>
      </c>
      <c r="M859" s="26" t="n">
        <v>3.8</v>
      </c>
      <c r="N859" s="25">
        <f>ROUND(L859/M859, 0)</f>
        <v/>
      </c>
      <c r="O859" s="25">
        <f>ROUND(N859*'Methodology &amp; Assumptions'!$B$7, 0)</f>
        <v/>
      </c>
      <c r="P859" s="23" t="inlineStr">
        <is>
          <t>Single Carrier (Band n50, 100MHz TDD)</t>
        </is>
      </c>
      <c r="Q859" s="27">
        <f>ROUNDUP(O859/'Methodology &amp; Assumptions'!$B$8, 0)</f>
        <v/>
      </c>
      <c r="R859" s="27" t="n">
        <v>1</v>
      </c>
      <c r="S859" s="26" t="n">
        <v>0.53</v>
      </c>
      <c r="T859" s="26" t="n">
        <v>0.29</v>
      </c>
      <c r="U859" s="11">
        <f>IF(S859&lt;='Methodology &amp; Assumptions'!$B$10, "Direct Optical Drop (&lt;3km)", IF(S859&lt;='Methodology &amp; Assumptions'!$B$9, "Near Optical / Microwave (&lt;5km)", "Starlink Business LEO Satellite Backhaul (&gt;5km)"))</f>
        <v/>
      </c>
      <c r="V859" s="26" t="n">
        <v>82.84999999999999</v>
      </c>
      <c r="W859" s="26" t="n">
        <v>34.85</v>
      </c>
      <c r="X859" s="26">
        <f>ROUND(('Methodology &amp; Assumptions'!$B$5*V859) + ('Methodology &amp; Assumptions'!$B$6*W859), 2)</f>
        <v/>
      </c>
      <c r="Y859" s="28" t="n">
        <v>23.7</v>
      </c>
      <c r="Z859" s="11" t="inlineStr">
        <is>
          <t>Priority Tier 3 (Broadband Expansion)</t>
        </is>
      </c>
    </row>
    <row r="860">
      <c r="A860" s="23" t="n">
        <v>4</v>
      </c>
      <c r="B860" s="23" t="n">
        <v>856</v>
      </c>
      <c r="C860" s="23" t="n">
        <v>3856</v>
      </c>
      <c r="D860" s="23" t="inlineStr">
        <is>
          <t>0304911049</t>
        </is>
      </c>
      <c r="E860" s="11" t="inlineStr">
        <is>
          <t>Region III (Central Luzon)</t>
        </is>
      </c>
      <c r="F860" s="11" t="inlineStr">
        <is>
          <t>Nueva Ecija</t>
        </is>
      </c>
      <c r="G860" s="11" t="inlineStr">
        <is>
          <t>Guimba</t>
        </is>
      </c>
      <c r="H860" s="11" t="inlineStr">
        <is>
          <t>Saint John District</t>
        </is>
      </c>
      <c r="I860" s="24" t="n">
        <v>15.660697</v>
      </c>
      <c r="J860" s="24" t="n">
        <v>120.771689</v>
      </c>
      <c r="K860" s="23" t="inlineStr">
        <is>
          <t>R</t>
        </is>
      </c>
      <c r="L860" s="25" t="n">
        <v>1937</v>
      </c>
      <c r="M860" s="26" t="n">
        <v>3.5</v>
      </c>
      <c r="N860" s="25">
        <f>ROUND(L860/M860, 0)</f>
        <v/>
      </c>
      <c r="O860" s="25">
        <f>ROUND(N860*'Methodology &amp; Assumptions'!$B$7, 0)</f>
        <v/>
      </c>
      <c r="P860" s="23" t="inlineStr">
        <is>
          <t>Single Carrier (Band n50, 100MHz TDD)</t>
        </is>
      </c>
      <c r="Q860" s="27">
        <f>ROUNDUP(O860/'Methodology &amp; Assumptions'!$B$8, 0)</f>
        <v/>
      </c>
      <c r="R860" s="27" t="n">
        <v>1</v>
      </c>
      <c r="S860" s="26" t="n">
        <v>0.61</v>
      </c>
      <c r="T860" s="26" t="n">
        <v>0.62</v>
      </c>
      <c r="U860" s="11">
        <f>IF(S860&lt;='Methodology &amp; Assumptions'!$B$10, "Direct Optical Drop (&lt;3km)", IF(S860&lt;='Methodology &amp; Assumptions'!$B$9, "Near Optical / Microwave (&lt;5km)", "Starlink Business LEO Satellite Backhaul (&gt;5km)"))</f>
        <v/>
      </c>
      <c r="V860" s="26" t="n">
        <v>77.01000000000001</v>
      </c>
      <c r="W860" s="26" t="n">
        <v>40.7</v>
      </c>
      <c r="X860" s="26">
        <f>ROUND(('Methodology &amp; Assumptions'!$B$5*V860) + ('Methodology &amp; Assumptions'!$B$6*W860), 2)</f>
        <v/>
      </c>
      <c r="Y860" s="28" t="n">
        <v>8.300000000000001</v>
      </c>
      <c r="Z860" s="11" t="inlineStr">
        <is>
          <t>Priority Tier 3 (Broadband Expansion)</t>
        </is>
      </c>
    </row>
    <row r="861">
      <c r="A861" s="23" t="n">
        <v>4</v>
      </c>
      <c r="B861" s="23" t="n">
        <v>857</v>
      </c>
      <c r="C861" s="23" t="n">
        <v>3857</v>
      </c>
      <c r="D861" s="23" t="inlineStr">
        <is>
          <t>0304926031</t>
        </is>
      </c>
      <c r="E861" s="11" t="inlineStr">
        <is>
          <t>Region III (Central Luzon)</t>
        </is>
      </c>
      <c r="F861" s="11" t="inlineStr">
        <is>
          <t>Nueva Ecija</t>
        </is>
      </c>
      <c r="G861" s="11" t="inlineStr">
        <is>
          <t>San Jose City</t>
        </is>
      </c>
      <c r="H861" s="11" t="inlineStr">
        <is>
          <t>Santo Niño 2nd</t>
        </is>
      </c>
      <c r="I861" s="24" t="n">
        <v>15.797046</v>
      </c>
      <c r="J861" s="24" t="n">
        <v>120.9741</v>
      </c>
      <c r="K861" s="23" t="inlineStr">
        <is>
          <t>U</t>
        </is>
      </c>
      <c r="L861" s="25" t="n">
        <v>6641</v>
      </c>
      <c r="M861" s="26" t="n">
        <v>3.5</v>
      </c>
      <c r="N861" s="25">
        <f>ROUND(L861/M861, 0)</f>
        <v/>
      </c>
      <c r="O861" s="25">
        <f>ROUND(N861*'Methodology &amp; Assumptions'!$B$7, 0)</f>
        <v/>
      </c>
      <c r="P861" s="23" t="inlineStr">
        <is>
          <t>Single Carrier (Band n50, 100MHz TDD)</t>
        </is>
      </c>
      <c r="Q861" s="27">
        <f>ROUNDUP(O861/'Methodology &amp; Assumptions'!$B$8, 0)</f>
        <v/>
      </c>
      <c r="R861" s="27" t="n">
        <v>1</v>
      </c>
      <c r="S861" s="26" t="n">
        <v>1.49</v>
      </c>
      <c r="T861" s="26" t="n">
        <v>0.06</v>
      </c>
      <c r="U861" s="11">
        <f>IF(S861&lt;='Methodology &amp; Assumptions'!$B$10, "Direct Optical Drop (&lt;3km)", IF(S861&lt;='Methodology &amp; Assumptions'!$B$9, "Near Optical / Microwave (&lt;5km)", "Starlink Business LEO Satellite Backhaul (&gt;5km)"))</f>
        <v/>
      </c>
      <c r="V861" s="26" t="n">
        <v>75.98999999999999</v>
      </c>
      <c r="W861" s="26" t="n">
        <v>41.71</v>
      </c>
      <c r="X861" s="26">
        <f>ROUND(('Methodology &amp; Assumptions'!$B$5*V861) + ('Methodology &amp; Assumptions'!$B$6*W861), 2)</f>
        <v/>
      </c>
      <c r="Y861" s="28" t="n">
        <v>8.300000000000001</v>
      </c>
      <c r="Z861" s="11" t="inlineStr">
        <is>
          <t>Priority Tier 3 (Broadband Expansion)</t>
        </is>
      </c>
    </row>
    <row r="862">
      <c r="A862" s="23" t="n">
        <v>4</v>
      </c>
      <c r="B862" s="23" t="n">
        <v>858</v>
      </c>
      <c r="C862" s="23" t="n">
        <v>3858</v>
      </c>
      <c r="D862" s="23" t="inlineStr">
        <is>
          <t>0102822019</t>
        </is>
      </c>
      <c r="E862" s="11" t="inlineStr">
        <is>
          <t>Region I (Ilocos Region)</t>
        </is>
      </c>
      <c r="F862" s="11" t="inlineStr">
        <is>
          <t>Ilocos Norte</t>
        </is>
      </c>
      <c r="G862" s="11" t="inlineStr">
        <is>
          <t>Solsona</t>
        </is>
      </c>
      <c r="H862" s="11" t="inlineStr">
        <is>
          <t>San Julian</t>
        </is>
      </c>
      <c r="I862" s="24" t="n">
        <v>18.059058</v>
      </c>
      <c r="J862" s="24" t="n">
        <v>120.561728</v>
      </c>
      <c r="K862" s="23" t="inlineStr">
        <is>
          <t>R</t>
        </is>
      </c>
      <c r="L862" s="25" t="n">
        <v>283</v>
      </c>
      <c r="M862" s="26" t="n">
        <v>3.7</v>
      </c>
      <c r="N862" s="25">
        <f>ROUND(L862/M862, 0)</f>
        <v/>
      </c>
      <c r="O862" s="25">
        <f>ROUND(N862*'Methodology &amp; Assumptions'!$B$7, 0)</f>
        <v/>
      </c>
      <c r="P862" s="23" t="inlineStr">
        <is>
          <t>Single Carrier (Band n50, 100MHz TDD)</t>
        </is>
      </c>
      <c r="Q862" s="27">
        <f>ROUNDUP(O862/'Methodology &amp; Assumptions'!$B$8, 0)</f>
        <v/>
      </c>
      <c r="R862" s="27" t="n">
        <v>1</v>
      </c>
      <c r="S862" s="26" t="n">
        <v>1.05</v>
      </c>
      <c r="T862" s="26" t="n">
        <v>0.39</v>
      </c>
      <c r="U862" s="11">
        <f>IF(S862&lt;='Methodology &amp; Assumptions'!$B$10, "Direct Optical Drop (&lt;3km)", IF(S862&lt;='Methodology &amp; Assumptions'!$B$9, "Near Optical / Microwave (&lt;5km)", "Starlink Business LEO Satellite Backhaul (&gt;5km)"))</f>
        <v/>
      </c>
      <c r="V862" s="26" t="n">
        <v>60.72</v>
      </c>
      <c r="W862" s="26" t="n">
        <v>56.98</v>
      </c>
      <c r="X862" s="26">
        <f>ROUND(('Methodology &amp; Assumptions'!$B$5*V862) + ('Methodology &amp; Assumptions'!$B$6*W862), 2)</f>
        <v/>
      </c>
      <c r="Y862" s="28" t="n">
        <v>8.300000000000001</v>
      </c>
      <c r="Z862" s="11" t="inlineStr">
        <is>
          <t>Priority Tier 3 (Broadband Expansion)</t>
        </is>
      </c>
    </row>
    <row r="863">
      <c r="A863" s="23" t="n">
        <v>4</v>
      </c>
      <c r="B863" s="23" t="n">
        <v>859</v>
      </c>
      <c r="C863" s="23" t="n">
        <v>3859</v>
      </c>
      <c r="D863" s="23" t="inlineStr">
        <is>
          <t>1380601166</t>
        </is>
      </c>
      <c r="E863" s="11" t="inlineStr">
        <is>
          <t>National Capital Region (NCR)</t>
        </is>
      </c>
      <c r="F863" s="11" t="inlineStr">
        <is>
          <t>First District (Not a Province)</t>
        </is>
      </c>
      <c r="G863" s="11" t="inlineStr">
        <is>
          <t>City of Manila</t>
        </is>
      </c>
      <c r="H863" s="11" t="inlineStr">
        <is>
          <t>Barangay 166</t>
        </is>
      </c>
      <c r="I863" s="24" t="n">
        <v>14.625876</v>
      </c>
      <c r="J863" s="24" t="n">
        <v>120.972216</v>
      </c>
      <c r="K863" s="23" t="inlineStr">
        <is>
          <t>U</t>
        </is>
      </c>
      <c r="L863" s="25" t="n">
        <v>860</v>
      </c>
      <c r="M863" s="26" t="n">
        <v>4.5</v>
      </c>
      <c r="N863" s="25">
        <f>ROUND(L863/M863, 0)</f>
        <v/>
      </c>
      <c r="O863" s="25">
        <f>ROUND(N863*'Methodology &amp; Assumptions'!$B$7, 0)</f>
        <v/>
      </c>
      <c r="P863" s="23" t="inlineStr">
        <is>
          <t>Single Carrier (Band n50, 100MHz TDD)</t>
        </is>
      </c>
      <c r="Q863" s="27">
        <f>ROUNDUP(O863/'Methodology &amp; Assumptions'!$B$8, 0)</f>
        <v/>
      </c>
      <c r="R863" s="27" t="n">
        <v>1</v>
      </c>
      <c r="S863" s="26" t="n">
        <v>0.16</v>
      </c>
      <c r="T863" s="26" t="n">
        <v>0.13</v>
      </c>
      <c r="U863" s="11">
        <f>IF(S863&lt;='Methodology &amp; Assumptions'!$B$10, "Direct Optical Drop (&lt;3km)", IF(S863&lt;='Methodology &amp; Assumptions'!$B$9, "Near Optical / Microwave (&lt;5km)", "Starlink Business LEO Satellite Backhaul (&gt;5km)"))</f>
        <v/>
      </c>
      <c r="V863" s="26" t="n">
        <v>47.2</v>
      </c>
      <c r="W863" s="26" t="n">
        <v>70.5</v>
      </c>
      <c r="X863" s="26">
        <f>ROUND(('Methodology &amp; Assumptions'!$B$5*V863) + ('Methodology &amp; Assumptions'!$B$6*W863), 2)</f>
        <v/>
      </c>
      <c r="Y863" s="28" t="n">
        <v>10.9</v>
      </c>
      <c r="Z863" s="11" t="inlineStr">
        <is>
          <t>Priority Tier 3 (Broadband Expansion)</t>
        </is>
      </c>
    </row>
    <row r="864">
      <c r="A864" s="23" t="n">
        <v>4</v>
      </c>
      <c r="B864" s="23" t="n">
        <v>860</v>
      </c>
      <c r="C864" s="23" t="n">
        <v>3860</v>
      </c>
      <c r="D864" s="23" t="inlineStr">
        <is>
          <t>0501710002</t>
        </is>
      </c>
      <c r="E864" s="11" t="inlineStr">
        <is>
          <t>Region V (Bicol Region)</t>
        </is>
      </c>
      <c r="F864" s="11" t="inlineStr">
        <is>
          <t>Camarines Sur</t>
        </is>
      </c>
      <c r="G864" s="11" t="inlineStr">
        <is>
          <t>Canaman</t>
        </is>
      </c>
      <c r="H864" s="11" t="inlineStr">
        <is>
          <t>Del Rosario</t>
        </is>
      </c>
      <c r="I864" s="24" t="n">
        <v>13.631967</v>
      </c>
      <c r="J864" s="24" t="n">
        <v>123.169543</v>
      </c>
      <c r="K864" s="23" t="inlineStr">
        <is>
          <t>R</t>
        </is>
      </c>
      <c r="L864" s="25" t="n">
        <v>3735</v>
      </c>
      <c r="M864" s="26" t="n">
        <v>4.2</v>
      </c>
      <c r="N864" s="25">
        <f>ROUND(L864/M864, 0)</f>
        <v/>
      </c>
      <c r="O864" s="25">
        <f>ROUND(N864*'Methodology &amp; Assumptions'!$B$7, 0)</f>
        <v/>
      </c>
      <c r="P864" s="23" t="inlineStr">
        <is>
          <t>Single Carrier (Band n50, 100MHz TDD)</t>
        </is>
      </c>
      <c r="Q864" s="27">
        <f>ROUNDUP(O864/'Methodology &amp; Assumptions'!$B$8, 0)</f>
        <v/>
      </c>
      <c r="R864" s="27" t="n">
        <v>1</v>
      </c>
      <c r="S864" s="26" t="n">
        <v>1.36</v>
      </c>
      <c r="T864" s="26" t="n">
        <v>1.83</v>
      </c>
      <c r="U864" s="11">
        <f>IF(S864&lt;='Methodology &amp; Assumptions'!$B$10, "Direct Optical Drop (&lt;3km)", IF(S864&lt;='Methodology &amp; Assumptions'!$B$9, "Near Optical / Microwave (&lt;5km)", "Starlink Business LEO Satellite Backhaul (&gt;5km)"))</f>
        <v/>
      </c>
      <c r="V864" s="26" t="n">
        <v>86.08</v>
      </c>
      <c r="W864" s="26" t="n">
        <v>31.6</v>
      </c>
      <c r="X864" s="26">
        <f>ROUND(('Methodology &amp; Assumptions'!$B$5*V864) + ('Methodology &amp; Assumptions'!$B$6*W864), 2)</f>
        <v/>
      </c>
      <c r="Y864" s="28" t="n">
        <v>23.7</v>
      </c>
      <c r="Z864" s="11" t="inlineStr">
        <is>
          <t>Priority Tier 3 (Broadband Expansion)</t>
        </is>
      </c>
    </row>
    <row r="865">
      <c r="A865" s="23" t="n">
        <v>4</v>
      </c>
      <c r="B865" s="23" t="n">
        <v>861</v>
      </c>
      <c r="C865" s="23" t="n">
        <v>3861</v>
      </c>
      <c r="D865" s="23" t="inlineStr">
        <is>
          <t>0201527003</t>
        </is>
      </c>
      <c r="E865" s="11" t="inlineStr">
        <is>
          <t>Region II (Cagayan Valley)</t>
        </is>
      </c>
      <c r="F865" s="11" t="inlineStr">
        <is>
          <t>Cagayan</t>
        </is>
      </c>
      <c r="G865" s="11" t="inlineStr">
        <is>
          <t>Solana</t>
        </is>
      </c>
      <c r="H865" s="11" t="inlineStr">
        <is>
          <t>Bangag</t>
        </is>
      </c>
      <c r="I865" s="24" t="n">
        <v>17.7083</v>
      </c>
      <c r="J865" s="24" t="n">
        <v>121.6978</v>
      </c>
      <c r="K865" s="23" t="inlineStr">
        <is>
          <t>R</t>
        </is>
      </c>
      <c r="L865" s="25" t="n">
        <v>4656</v>
      </c>
      <c r="M865" s="26" t="n">
        <v>3.9</v>
      </c>
      <c r="N865" s="25">
        <f>ROUND(L865/M865, 0)</f>
        <v/>
      </c>
      <c r="O865" s="25">
        <f>ROUND(N865*'Methodology &amp; Assumptions'!$B$7, 0)</f>
        <v/>
      </c>
      <c r="P865" s="23" t="inlineStr">
        <is>
          <t>Single Carrier (Band n50, 100MHz TDD)</t>
        </is>
      </c>
      <c r="Q865" s="27">
        <f>ROUNDUP(O865/'Methodology &amp; Assumptions'!$B$8, 0)</f>
        <v/>
      </c>
      <c r="R865" s="27" t="n">
        <v>1</v>
      </c>
      <c r="S865" s="26" t="n">
        <v>0.1</v>
      </c>
      <c r="T865" s="26" t="n">
        <v>4.58</v>
      </c>
      <c r="U865" s="11">
        <f>IF(S865&lt;='Methodology &amp; Assumptions'!$B$10, "Direct Optical Drop (&lt;3km)", IF(S865&lt;='Methodology &amp; Assumptions'!$B$9, "Near Optical / Microwave (&lt;5km)", "Starlink Business LEO Satellite Backhaul (&gt;5km)"))</f>
        <v/>
      </c>
      <c r="V865" s="26" t="n">
        <v>85.19</v>
      </c>
      <c r="W865" s="26" t="n">
        <v>32.49</v>
      </c>
      <c r="X865" s="26">
        <f>ROUND(('Methodology &amp; Assumptions'!$B$5*V865) + ('Methodology &amp; Assumptions'!$B$6*W865), 2)</f>
        <v/>
      </c>
      <c r="Y865" s="28" t="n">
        <v>8.300000000000001</v>
      </c>
      <c r="Z865" s="11" t="inlineStr">
        <is>
          <t>Priority Tier 3 (Broadband Expansion)</t>
        </is>
      </c>
    </row>
    <row r="866">
      <c r="A866" s="23" t="n">
        <v>4</v>
      </c>
      <c r="B866" s="23" t="n">
        <v>862</v>
      </c>
      <c r="C866" s="23" t="n">
        <v>3862</v>
      </c>
      <c r="D866" s="23" t="inlineStr">
        <is>
          <t>1705209006</t>
        </is>
      </c>
      <c r="E866" s="11" t="inlineStr">
        <is>
          <t>MIMAROPA Region</t>
        </is>
      </c>
      <c r="F866" s="11" t="inlineStr">
        <is>
          <t>Oriental Mindoro</t>
        </is>
      </c>
      <c r="G866" s="11" t="inlineStr">
        <is>
          <t>Pinamalayan</t>
        </is>
      </c>
      <c r="H866" s="11" t="inlineStr">
        <is>
          <t>Cacawan</t>
        </is>
      </c>
      <c r="I866" s="24" t="n">
        <v>13.0456</v>
      </c>
      <c r="J866" s="24" t="n">
        <v>121.4822</v>
      </c>
      <c r="K866" s="23" t="inlineStr">
        <is>
          <t>U</t>
        </is>
      </c>
      <c r="L866" s="25" t="n">
        <v>6819</v>
      </c>
      <c r="M866" s="26" t="n">
        <v>3.9</v>
      </c>
      <c r="N866" s="25">
        <f>ROUND(L866/M866, 0)</f>
        <v/>
      </c>
      <c r="O866" s="25">
        <f>ROUND(N866*'Methodology &amp; Assumptions'!$B$7, 0)</f>
        <v/>
      </c>
      <c r="P866" s="23" t="inlineStr">
        <is>
          <t>Single Carrier (Band n50, 100MHz TDD)</t>
        </is>
      </c>
      <c r="Q866" s="27">
        <f>ROUNDUP(O866/'Methodology &amp; Assumptions'!$B$8, 0)</f>
        <v/>
      </c>
      <c r="R866" s="27" t="n">
        <v>1</v>
      </c>
      <c r="S866" s="26" t="n">
        <v>0.84</v>
      </c>
      <c r="T866" s="26" t="n">
        <v>0.77</v>
      </c>
      <c r="U866" s="11">
        <f>IF(S866&lt;='Methodology &amp; Assumptions'!$B$10, "Direct Optical Drop (&lt;3km)", IF(S866&lt;='Methodology &amp; Assumptions'!$B$9, "Near Optical / Microwave (&lt;5km)", "Starlink Business LEO Satellite Backhaul (&gt;5km)"))</f>
        <v/>
      </c>
      <c r="V866" s="26" t="n">
        <v>79.48</v>
      </c>
      <c r="W866" s="26" t="n">
        <v>38.2</v>
      </c>
      <c r="X866" s="26">
        <f>ROUND(('Methodology &amp; Assumptions'!$B$5*V866) + ('Methodology &amp; Assumptions'!$B$6*W866), 2)</f>
        <v/>
      </c>
      <c r="Y866" s="28" t="n">
        <v>15</v>
      </c>
      <c r="Z866" s="11" t="inlineStr">
        <is>
          <t>Priority Tier 3 (Broadband Expansion)</t>
        </is>
      </c>
    </row>
    <row r="867">
      <c r="A867" s="23" t="n">
        <v>4</v>
      </c>
      <c r="B867" s="23" t="n">
        <v>863</v>
      </c>
      <c r="C867" s="23" t="n">
        <v>3863</v>
      </c>
      <c r="D867" s="23" t="inlineStr">
        <is>
          <t>0504111015</t>
        </is>
      </c>
      <c r="E867" s="11" t="inlineStr">
        <is>
          <t>Region V (Bicol Region)</t>
        </is>
      </c>
      <c r="F867" s="11" t="inlineStr">
        <is>
          <t>Masbate</t>
        </is>
      </c>
      <c r="G867" s="11" t="inlineStr">
        <is>
          <t>City of Masbate</t>
        </is>
      </c>
      <c r="H867" s="11" t="inlineStr">
        <is>
          <t>Espinosa</t>
        </is>
      </c>
      <c r="I867" s="24" t="n">
        <v>12.373119</v>
      </c>
      <c r="J867" s="24" t="n">
        <v>123.621877</v>
      </c>
      <c r="K867" s="23" t="inlineStr">
        <is>
          <t>U</t>
        </is>
      </c>
      <c r="L867" s="25" t="n">
        <v>7138</v>
      </c>
      <c r="M867" s="26" t="n">
        <v>4.1</v>
      </c>
      <c r="N867" s="25">
        <f>ROUND(L867/M867, 0)</f>
        <v/>
      </c>
      <c r="O867" s="25">
        <f>ROUND(N867*'Methodology &amp; Assumptions'!$B$7, 0)</f>
        <v/>
      </c>
      <c r="P867" s="23" t="inlineStr">
        <is>
          <t>Single Carrier (Band n50, 100MHz TDD)</t>
        </is>
      </c>
      <c r="Q867" s="27">
        <f>ROUNDUP(O867/'Methodology &amp; Assumptions'!$B$8, 0)</f>
        <v/>
      </c>
      <c r="R867" s="27" t="n">
        <v>1</v>
      </c>
      <c r="S867" s="26" t="n">
        <v>1.82</v>
      </c>
      <c r="T867" s="26" t="n">
        <v>0.38</v>
      </c>
      <c r="U867" s="11">
        <f>IF(S867&lt;='Methodology &amp; Assumptions'!$B$10, "Direct Optical Drop (&lt;3km)", IF(S867&lt;='Methodology &amp; Assumptions'!$B$9, "Near Optical / Microwave (&lt;5km)", "Starlink Business LEO Satellite Backhaul (&gt;5km)"))</f>
        <v/>
      </c>
      <c r="V867" s="26" t="n">
        <v>77.23999999999999</v>
      </c>
      <c r="W867" s="26" t="n">
        <v>40.44</v>
      </c>
      <c r="X867" s="26">
        <f>ROUND(('Methodology &amp; Assumptions'!$B$5*V867) + ('Methodology &amp; Assumptions'!$B$6*W867), 2)</f>
        <v/>
      </c>
      <c r="Y867" s="28" t="n">
        <v>23.7</v>
      </c>
      <c r="Z867" s="11" t="inlineStr">
        <is>
          <t>Priority Tier 3 (Broadband Expansion)</t>
        </is>
      </c>
    </row>
    <row r="868">
      <c r="A868" s="23" t="n">
        <v>4</v>
      </c>
      <c r="B868" s="23" t="n">
        <v>864</v>
      </c>
      <c r="C868" s="23" t="n">
        <v>3864</v>
      </c>
      <c r="D868" s="23" t="inlineStr">
        <is>
          <t>0402120011</t>
        </is>
      </c>
      <c r="E868" s="11" t="inlineStr">
        <is>
          <t>Region IV-A (CALABARZON)</t>
        </is>
      </c>
      <c r="F868" s="11" t="inlineStr">
        <is>
          <t>Cavite</t>
        </is>
      </c>
      <c r="G868" s="11" t="inlineStr">
        <is>
          <t>Tanza</t>
        </is>
      </c>
      <c r="H868" s="11" t="inlineStr">
        <is>
          <t>Julugan I</t>
        </is>
      </c>
      <c r="I868" s="24" t="n">
        <v>14.404186</v>
      </c>
      <c r="J868" s="24" t="n">
        <v>120.842644</v>
      </c>
      <c r="K868" s="23" t="inlineStr">
        <is>
          <t>U</t>
        </is>
      </c>
      <c r="L868" s="25" t="n">
        <v>5325</v>
      </c>
      <c r="M868" s="26" t="n">
        <v>3.4</v>
      </c>
      <c r="N868" s="25">
        <f>ROUND(L868/M868, 0)</f>
        <v/>
      </c>
      <c r="O868" s="25">
        <f>ROUND(N868*'Methodology &amp; Assumptions'!$B$7, 0)</f>
        <v/>
      </c>
      <c r="P868" s="23" t="inlineStr">
        <is>
          <t>Single Carrier (Band n50, 100MHz TDD)</t>
        </is>
      </c>
      <c r="Q868" s="27">
        <f>ROUNDUP(O868/'Methodology &amp; Assumptions'!$B$8, 0)</f>
        <v/>
      </c>
      <c r="R868" s="27" t="n">
        <v>1</v>
      </c>
      <c r="S868" s="26" t="n">
        <v>2.19</v>
      </c>
      <c r="T868" s="26" t="n">
        <v>1.69</v>
      </c>
      <c r="U868" s="11">
        <f>IF(S868&lt;='Methodology &amp; Assumptions'!$B$10, "Direct Optical Drop (&lt;3km)", IF(S868&lt;='Methodology &amp; Assumptions'!$B$9, "Near Optical / Microwave (&lt;5km)", "Starlink Business LEO Satellite Backhaul (&gt;5km)"))</f>
        <v/>
      </c>
      <c r="V868" s="26" t="n">
        <v>73.37</v>
      </c>
      <c r="W868" s="26" t="n">
        <v>44.32</v>
      </c>
      <c r="X868" s="26">
        <f>ROUND(('Methodology &amp; Assumptions'!$B$5*V868) + ('Methodology &amp; Assumptions'!$B$6*W868), 2)</f>
        <v/>
      </c>
      <c r="Y868" s="28" t="n">
        <v>7.2</v>
      </c>
      <c r="Z868" s="11" t="inlineStr">
        <is>
          <t>Priority Tier 3 (Broadband Expansion)</t>
        </is>
      </c>
    </row>
    <row r="869">
      <c r="A869" s="23" t="n">
        <v>4</v>
      </c>
      <c r="B869" s="23" t="n">
        <v>865</v>
      </c>
      <c r="C869" s="23" t="n">
        <v>3865</v>
      </c>
      <c r="D869" s="23" t="inlineStr">
        <is>
          <t>1380610037</t>
        </is>
      </c>
      <c r="E869" s="11" t="inlineStr">
        <is>
          <t>National Capital Region (NCR)</t>
        </is>
      </c>
      <c r="F869" s="11" t="inlineStr">
        <is>
          <t>First District (Not a Province)</t>
        </is>
      </c>
      <c r="G869" s="11" t="inlineStr">
        <is>
          <t>City of Manila</t>
        </is>
      </c>
      <c r="H869" s="11" t="inlineStr">
        <is>
          <t>Barangay 722</t>
        </is>
      </c>
      <c r="I869" s="24" t="n">
        <v>14.572076</v>
      </c>
      <c r="J869" s="24" t="n">
        <v>120.993906</v>
      </c>
      <c r="K869" s="23" t="inlineStr">
        <is>
          <t>U</t>
        </is>
      </c>
      <c r="L869" s="25" t="n">
        <v>682</v>
      </c>
      <c r="M869" s="26" t="n">
        <v>4.16</v>
      </c>
      <c r="N869" s="25">
        <f>ROUND(L869/M869, 0)</f>
        <v/>
      </c>
      <c r="O869" s="25">
        <f>ROUND(N869*'Methodology &amp; Assumptions'!$B$7, 0)</f>
        <v/>
      </c>
      <c r="P869" s="23" t="inlineStr">
        <is>
          <t>Single Carrier (Band n50, 100MHz TDD)</t>
        </is>
      </c>
      <c r="Q869" s="27">
        <f>ROUNDUP(O869/'Methodology &amp; Assumptions'!$B$8, 0)</f>
        <v/>
      </c>
      <c r="R869" s="27" t="n">
        <v>1</v>
      </c>
      <c r="S869" s="26" t="n">
        <v>0.04</v>
      </c>
      <c r="T869" s="26" t="n">
        <v>0.22</v>
      </c>
      <c r="U869" s="11">
        <f>IF(S869&lt;='Methodology &amp; Assumptions'!$B$10, "Direct Optical Drop (&lt;3km)", IF(S869&lt;='Methodology &amp; Assumptions'!$B$9, "Near Optical / Microwave (&lt;5km)", "Starlink Business LEO Satellite Backhaul (&gt;5km)"))</f>
        <v/>
      </c>
      <c r="V869" s="26" t="n">
        <v>46.34</v>
      </c>
      <c r="W869" s="26" t="n">
        <v>71.33</v>
      </c>
      <c r="X869" s="26">
        <f>ROUND(('Methodology &amp; Assumptions'!$B$5*V869) + ('Methodology &amp; Assumptions'!$B$6*W869), 2)</f>
        <v/>
      </c>
      <c r="Y869" s="28" t="n">
        <v>10.9</v>
      </c>
      <c r="Z869" s="11" t="inlineStr">
        <is>
          <t>Priority Tier 3 (Broadband Expansion)</t>
        </is>
      </c>
    </row>
    <row r="870">
      <c r="A870" s="23" t="n">
        <v>4</v>
      </c>
      <c r="B870" s="23" t="n">
        <v>866</v>
      </c>
      <c r="C870" s="23" t="n">
        <v>3866</v>
      </c>
      <c r="D870" s="23" t="inlineStr">
        <is>
          <t>1906615015</t>
        </is>
      </c>
      <c r="E870" s="11" t="inlineStr">
        <is>
          <t>Bangsamoro Autonomous Region In Muslim Mindanao (BARMM)</t>
        </is>
      </c>
      <c r="F870" s="11" t="inlineStr">
        <is>
          <t>Sulu</t>
        </is>
      </c>
      <c r="G870" s="11" t="inlineStr">
        <is>
          <t>Tongkil</t>
        </is>
      </c>
      <c r="H870" s="11" t="inlineStr">
        <is>
          <t>Tattalan</t>
        </is>
      </c>
      <c r="I870" s="24" t="n">
        <v>6.226281</v>
      </c>
      <c r="J870" s="24" t="n">
        <v>121.83356</v>
      </c>
      <c r="K870" s="23" t="inlineStr">
        <is>
          <t>R</t>
        </is>
      </c>
      <c r="L870" s="25" t="n">
        <v>2792</v>
      </c>
      <c r="M870" s="26" t="n">
        <v>6</v>
      </c>
      <c r="N870" s="25">
        <f>ROUND(L870/M870, 0)</f>
        <v/>
      </c>
      <c r="O870" s="25">
        <f>ROUND(N870*'Methodology &amp; Assumptions'!$B$7, 0)</f>
        <v/>
      </c>
      <c r="P870" s="23" t="inlineStr">
        <is>
          <t>Single Carrier (Band n50, 100MHz TDD)</t>
        </is>
      </c>
      <c r="Q870" s="27">
        <f>ROUNDUP(O870/'Methodology &amp; Assumptions'!$B$8, 0)</f>
        <v/>
      </c>
      <c r="R870" s="27" t="n">
        <v>1</v>
      </c>
      <c r="S870" s="26" t="n">
        <v>80.56</v>
      </c>
      <c r="T870" s="26" t="n">
        <v>80.55</v>
      </c>
      <c r="U870" s="11">
        <f>IF(S870&lt;='Methodology &amp; Assumptions'!$B$10, "Direct Optical Drop (&lt;3km)", IF(S870&lt;='Methodology &amp; Assumptions'!$B$9, "Near Optical / Microwave (&lt;5km)", "Starlink Business LEO Satellite Backhaul (&gt;5km)"))</f>
        <v/>
      </c>
      <c r="V870" s="26" t="n">
        <v>46.05</v>
      </c>
      <c r="W870" s="26" t="n">
        <v>71.64</v>
      </c>
      <c r="X870" s="26">
        <f>ROUND(('Methodology &amp; Assumptions'!$B$5*V870) + ('Methodology &amp; Assumptions'!$B$6*W870), 2)</f>
        <v/>
      </c>
      <c r="Y870" s="28" t="n">
        <v>11</v>
      </c>
      <c r="Z870" s="11" t="inlineStr">
        <is>
          <t>Priority Tier 3 (Broadband Expansion)</t>
        </is>
      </c>
    </row>
    <row r="871">
      <c r="A871" s="23" t="n">
        <v>4</v>
      </c>
      <c r="B871" s="23" t="n">
        <v>867</v>
      </c>
      <c r="C871" s="23" t="n">
        <v>3867</v>
      </c>
      <c r="D871" s="23" t="inlineStr">
        <is>
          <t>0806010019</t>
        </is>
      </c>
      <c r="E871" s="11" t="inlineStr">
        <is>
          <t>Region VIII (Eastern Visayas)</t>
        </is>
      </c>
      <c r="F871" s="11" t="inlineStr">
        <is>
          <t>Samar</t>
        </is>
      </c>
      <c r="G871" s="11" t="inlineStr">
        <is>
          <t>Marabut</t>
        </is>
      </c>
      <c r="H871" s="11" t="inlineStr">
        <is>
          <t>Malobago</t>
        </is>
      </c>
      <c r="I871" s="24" t="n">
        <v>11.133491</v>
      </c>
      <c r="J871" s="24" t="n">
        <v>125.234078</v>
      </c>
      <c r="K871" s="23" t="inlineStr">
        <is>
          <t>R</t>
        </is>
      </c>
      <c r="L871" s="25" t="n">
        <v>529</v>
      </c>
      <c r="M871" s="26" t="n">
        <v>4.1</v>
      </c>
      <c r="N871" s="25">
        <f>ROUND(L871/M871, 0)</f>
        <v/>
      </c>
      <c r="O871" s="25">
        <f>ROUND(N871*'Methodology &amp; Assumptions'!$B$7, 0)</f>
        <v/>
      </c>
      <c r="P871" s="23" t="inlineStr">
        <is>
          <t>Single Carrier (Band n50, 100MHz TDD)</t>
        </is>
      </c>
      <c r="Q871" s="27">
        <f>ROUNDUP(O871/'Methodology &amp; Assumptions'!$B$8, 0)</f>
        <v/>
      </c>
      <c r="R871" s="27" t="n">
        <v>1</v>
      </c>
      <c r="S871" s="26" t="n">
        <v>23.58</v>
      </c>
      <c r="T871" s="26" t="n">
        <v>22.88</v>
      </c>
      <c r="U871" s="11">
        <f>IF(S871&lt;='Methodology &amp; Assumptions'!$B$10, "Direct Optical Drop (&lt;3km)", IF(S871&lt;='Methodology &amp; Assumptions'!$B$9, "Near Optical / Microwave (&lt;5km)", "Starlink Business LEO Satellite Backhaul (&gt;5km)"))</f>
        <v/>
      </c>
      <c r="V871" s="26" t="n">
        <v>42.79</v>
      </c>
      <c r="W871" s="26" t="n">
        <v>74.90000000000001</v>
      </c>
      <c r="X871" s="26">
        <f>ROUND(('Methodology &amp; Assumptions'!$B$5*V871) + ('Methodology &amp; Assumptions'!$B$6*W871), 2)</f>
        <v/>
      </c>
      <c r="Y871" s="28" t="n">
        <v>23.7</v>
      </c>
      <c r="Z871" s="11" t="inlineStr">
        <is>
          <t>Priority Tier 3 (Broadband Expansion)</t>
        </is>
      </c>
    </row>
    <row r="872">
      <c r="A872" s="23" t="n">
        <v>4</v>
      </c>
      <c r="B872" s="23" t="n">
        <v>868</v>
      </c>
      <c r="C872" s="23" t="n">
        <v>3868</v>
      </c>
      <c r="D872" s="23" t="inlineStr">
        <is>
          <t>0500517005</t>
        </is>
      </c>
      <c r="E872" s="11" t="inlineStr">
        <is>
          <t>Region V (Bicol Region)</t>
        </is>
      </c>
      <c r="F872" s="11" t="inlineStr">
        <is>
          <t>Albay</t>
        </is>
      </c>
      <c r="G872" s="11" t="inlineStr">
        <is>
          <t>City of Tabaco</t>
        </is>
      </c>
      <c r="H872" s="11" t="inlineStr">
        <is>
          <t>Baranghawon</t>
        </is>
      </c>
      <c r="I872" s="24" t="n">
        <v>13.352977</v>
      </c>
      <c r="J872" s="24" t="n">
        <v>123.724431</v>
      </c>
      <c r="K872" s="23" t="inlineStr">
        <is>
          <t>R</t>
        </is>
      </c>
      <c r="L872" s="25" t="n">
        <v>4803</v>
      </c>
      <c r="M872" s="26" t="n">
        <v>4.1</v>
      </c>
      <c r="N872" s="25">
        <f>ROUND(L872/M872, 0)</f>
        <v/>
      </c>
      <c r="O872" s="25">
        <f>ROUND(N872*'Methodology &amp; Assumptions'!$B$7, 0)</f>
        <v/>
      </c>
      <c r="P872" s="23" t="inlineStr">
        <is>
          <t>Single Carrier (Band n50, 100MHz TDD)</t>
        </is>
      </c>
      <c r="Q872" s="27">
        <f>ROUNDUP(O872/'Methodology &amp; Assumptions'!$B$8, 0)</f>
        <v/>
      </c>
      <c r="R872" s="27" t="n">
        <v>1</v>
      </c>
      <c r="S872" s="26" t="n">
        <v>0.75</v>
      </c>
      <c r="T872" s="26" t="n">
        <v>0.41</v>
      </c>
      <c r="U872" s="11">
        <f>IF(S872&lt;='Methodology &amp; Assumptions'!$B$10, "Direct Optical Drop (&lt;3km)", IF(S872&lt;='Methodology &amp; Assumptions'!$B$9, "Near Optical / Microwave (&lt;5km)", "Starlink Business LEO Satellite Backhaul (&gt;5km)"))</f>
        <v/>
      </c>
      <c r="V872" s="26" t="n">
        <v>88.06</v>
      </c>
      <c r="W872" s="26" t="n">
        <v>29.61</v>
      </c>
      <c r="X872" s="26">
        <f>ROUND(('Methodology &amp; Assumptions'!$B$5*V872) + ('Methodology &amp; Assumptions'!$B$6*W872), 2)</f>
        <v/>
      </c>
      <c r="Y872" s="28" t="n">
        <v>23.7</v>
      </c>
      <c r="Z872" s="11" t="inlineStr">
        <is>
          <t>Priority Tier 3 (Broadband Expansion)</t>
        </is>
      </c>
    </row>
    <row r="873">
      <c r="A873" s="23" t="n">
        <v>4</v>
      </c>
      <c r="B873" s="23" t="n">
        <v>869</v>
      </c>
      <c r="C873" s="23" t="n">
        <v>3869</v>
      </c>
      <c r="D873" s="23" t="inlineStr">
        <is>
          <t>0300804026</t>
        </is>
      </c>
      <c r="E873" s="11" t="inlineStr">
        <is>
          <t>Region III (Central Luzon)</t>
        </is>
      </c>
      <c r="F873" s="11" t="inlineStr">
        <is>
          <t>Bataan</t>
        </is>
      </c>
      <c r="G873" s="11" t="inlineStr">
        <is>
          <t>Dinalupihan</t>
        </is>
      </c>
      <c r="H873" s="11" t="inlineStr">
        <is>
          <t>Pinulot</t>
        </is>
      </c>
      <c r="I873" s="24" t="n">
        <v>14.849241</v>
      </c>
      <c r="J873" s="24" t="n">
        <v>120.39208</v>
      </c>
      <c r="K873" s="23" t="inlineStr">
        <is>
          <t>R</t>
        </is>
      </c>
      <c r="L873" s="25" t="n">
        <v>4758</v>
      </c>
      <c r="M873" s="26" t="n">
        <v>3.6</v>
      </c>
      <c r="N873" s="25">
        <f>ROUND(L873/M873, 0)</f>
        <v/>
      </c>
      <c r="O873" s="25">
        <f>ROUND(N873*'Methodology &amp; Assumptions'!$B$7, 0)</f>
        <v/>
      </c>
      <c r="P873" s="23" t="inlineStr">
        <is>
          <t>Single Carrier (Band n50, 100MHz TDD)</t>
        </is>
      </c>
      <c r="Q873" s="27">
        <f>ROUNDUP(O873/'Methodology &amp; Assumptions'!$B$8, 0)</f>
        <v/>
      </c>
      <c r="R873" s="27" t="n">
        <v>1</v>
      </c>
      <c r="S873" s="26" t="n">
        <v>0.59</v>
      </c>
      <c r="T873" s="26" t="n">
        <v>0.05</v>
      </c>
      <c r="U873" s="11">
        <f>IF(S873&lt;='Methodology &amp; Assumptions'!$B$10, "Direct Optical Drop (&lt;3km)", IF(S873&lt;='Methodology &amp; Assumptions'!$B$9, "Near Optical / Microwave (&lt;5km)", "Starlink Business LEO Satellite Backhaul (&gt;5km)"))</f>
        <v/>
      </c>
      <c r="V873" s="26" t="n">
        <v>85.63</v>
      </c>
      <c r="W873" s="26" t="n">
        <v>32.03</v>
      </c>
      <c r="X873" s="26">
        <f>ROUND(('Methodology &amp; Assumptions'!$B$5*V873) + ('Methodology &amp; Assumptions'!$B$6*W873), 2)</f>
        <v/>
      </c>
      <c r="Y873" s="28" t="n">
        <v>8.300000000000001</v>
      </c>
      <c r="Z873" s="11" t="inlineStr">
        <is>
          <t>Priority Tier 3 (Broadband Expansion)</t>
        </is>
      </c>
    </row>
    <row r="874">
      <c r="A874" s="23" t="n">
        <v>4</v>
      </c>
      <c r="B874" s="23" t="n">
        <v>870</v>
      </c>
      <c r="C874" s="23" t="n">
        <v>3870</v>
      </c>
      <c r="D874" s="23" t="inlineStr">
        <is>
          <t>0403405005</t>
        </is>
      </c>
      <c r="E874" s="11" t="inlineStr">
        <is>
          <t>Region IV-A (CALABARZON)</t>
        </is>
      </c>
      <c r="F874" s="11" t="inlineStr">
        <is>
          <t>Laguna</t>
        </is>
      </c>
      <c r="G874" s="11" t="inlineStr">
        <is>
          <t>City of Calamba</t>
        </is>
      </c>
      <c r="H874" s="11" t="inlineStr">
        <is>
          <t>Bubuyan</t>
        </is>
      </c>
      <c r="I874" s="24" t="n">
        <v>14.173106</v>
      </c>
      <c r="J874" s="24" t="n">
        <v>121.106054</v>
      </c>
      <c r="K874" s="23" t="inlineStr">
        <is>
          <t>R</t>
        </is>
      </c>
      <c r="L874" s="25" t="n">
        <v>3500</v>
      </c>
      <c r="M874" s="26" t="n">
        <v>3.3</v>
      </c>
      <c r="N874" s="25">
        <f>ROUND(L874/M874, 0)</f>
        <v/>
      </c>
      <c r="O874" s="25">
        <f>ROUND(N874*'Methodology &amp; Assumptions'!$B$7, 0)</f>
        <v/>
      </c>
      <c r="P874" s="23" t="inlineStr">
        <is>
          <t>Single Carrier (Band n50, 100MHz TDD)</t>
        </is>
      </c>
      <c r="Q874" s="27">
        <f>ROUNDUP(O874/'Methodology &amp; Assumptions'!$B$8, 0)</f>
        <v/>
      </c>
      <c r="R874" s="27" t="n">
        <v>1</v>
      </c>
      <c r="S874" s="26" t="n">
        <v>0.36</v>
      </c>
      <c r="T874" s="26" t="n">
        <v>0.25</v>
      </c>
      <c r="U874" s="11">
        <f>IF(S874&lt;='Methodology &amp; Assumptions'!$B$10, "Direct Optical Drop (&lt;3km)", IF(S874&lt;='Methodology &amp; Assumptions'!$B$9, "Near Optical / Microwave (&lt;5km)", "Starlink Business LEO Satellite Backhaul (&gt;5km)"))</f>
        <v/>
      </c>
      <c r="V874" s="26" t="n">
        <v>85.45999999999999</v>
      </c>
      <c r="W874" s="26" t="n">
        <v>32.2</v>
      </c>
      <c r="X874" s="26">
        <f>ROUND(('Methodology &amp; Assumptions'!$B$5*V874) + ('Methodology &amp; Assumptions'!$B$6*W874), 2)</f>
        <v/>
      </c>
      <c r="Y874" s="28" t="n">
        <v>7.2</v>
      </c>
      <c r="Z874" s="11" t="inlineStr">
        <is>
          <t>Priority Tier 3 (Broadband Expansion)</t>
        </is>
      </c>
    </row>
    <row r="875">
      <c r="A875" s="23" t="n">
        <v>4</v>
      </c>
      <c r="B875" s="23" t="n">
        <v>871</v>
      </c>
      <c r="C875" s="23" t="n">
        <v>3871</v>
      </c>
      <c r="D875" s="23" t="inlineStr">
        <is>
          <t>0301403025</t>
        </is>
      </c>
      <c r="E875" s="11" t="inlineStr">
        <is>
          <t>Region III (Central Luzon)</t>
        </is>
      </c>
      <c r="F875" s="11" t="inlineStr">
        <is>
          <t>Bulacan</t>
        </is>
      </c>
      <c r="G875" s="11" t="inlineStr">
        <is>
          <t>Baliuag</t>
        </is>
      </c>
      <c r="H875" s="11" t="inlineStr">
        <is>
          <t>Tarcan</t>
        </is>
      </c>
      <c r="I875" s="24" t="n">
        <v>14.930564</v>
      </c>
      <c r="J875" s="24" t="n">
        <v>120.886285</v>
      </c>
      <c r="K875" s="23" t="inlineStr">
        <is>
          <t>U</t>
        </is>
      </c>
      <c r="L875" s="25" t="n">
        <v>9208</v>
      </c>
      <c r="M875" s="26" t="n">
        <v>3.5</v>
      </c>
      <c r="N875" s="25">
        <f>ROUND(L875/M875, 0)</f>
        <v/>
      </c>
      <c r="O875" s="25">
        <f>ROUND(N875*'Methodology &amp; Assumptions'!$B$7, 0)</f>
        <v/>
      </c>
      <c r="P875" s="23" t="inlineStr">
        <is>
          <t>Single Carrier (Band n50, 100MHz TDD)</t>
        </is>
      </c>
      <c r="Q875" s="27">
        <f>ROUNDUP(O875/'Methodology &amp; Assumptions'!$B$8, 0)</f>
        <v/>
      </c>
      <c r="R875" s="27" t="n">
        <v>1</v>
      </c>
      <c r="S875" s="26" t="n">
        <v>1.95</v>
      </c>
      <c r="T875" s="26" t="n">
        <v>0.13</v>
      </c>
      <c r="U875" s="11">
        <f>IF(S875&lt;='Methodology &amp; Assumptions'!$B$10, "Direct Optical Drop (&lt;3km)", IF(S875&lt;='Methodology &amp; Assumptions'!$B$9, "Near Optical / Microwave (&lt;5km)", "Starlink Business LEO Satellite Backhaul (&gt;5km)"))</f>
        <v/>
      </c>
      <c r="V875" s="26" t="n">
        <v>74.37</v>
      </c>
      <c r="W875" s="26" t="n">
        <v>43.3</v>
      </c>
      <c r="X875" s="26">
        <f>ROUND(('Methodology &amp; Assumptions'!$B$5*V875) + ('Methodology &amp; Assumptions'!$B$6*W875), 2)</f>
        <v/>
      </c>
      <c r="Y875" s="28" t="n">
        <v>8.300000000000001</v>
      </c>
      <c r="Z875" s="11" t="inlineStr">
        <is>
          <t>Priority Tier 3 (Broadband Expansion)</t>
        </is>
      </c>
    </row>
    <row r="876">
      <c r="A876" s="23" t="n">
        <v>4</v>
      </c>
      <c r="B876" s="23" t="n">
        <v>872</v>
      </c>
      <c r="C876" s="23" t="n">
        <v>3872</v>
      </c>
      <c r="D876" s="23" t="inlineStr">
        <is>
          <t>1102315002</t>
        </is>
      </c>
      <c r="E876" s="11" t="inlineStr">
        <is>
          <t>Region XI (Davao Region)</t>
        </is>
      </c>
      <c r="F876" s="11" t="inlineStr">
        <is>
          <t>Davao del Norte</t>
        </is>
      </c>
      <c r="G876" s="11" t="inlineStr">
        <is>
          <t>City of Panabo</t>
        </is>
      </c>
      <c r="H876" s="11" t="inlineStr">
        <is>
          <t>Datu Abdul Dadia</t>
        </is>
      </c>
      <c r="I876" s="24" t="n">
        <v>7.321452</v>
      </c>
      <c r="J876" s="24" t="n">
        <v>125.664285</v>
      </c>
      <c r="K876" s="23" t="inlineStr">
        <is>
          <t>U</t>
        </is>
      </c>
      <c r="L876" s="25" t="n">
        <v>7518</v>
      </c>
      <c r="M876" s="26" t="n">
        <v>3.7</v>
      </c>
      <c r="N876" s="25">
        <f>ROUND(L876/M876, 0)</f>
        <v/>
      </c>
      <c r="O876" s="25">
        <f>ROUND(N876*'Methodology &amp; Assumptions'!$B$7, 0)</f>
        <v/>
      </c>
      <c r="P876" s="23" t="inlineStr">
        <is>
          <t>Single Carrier (Band n50, 100MHz TDD)</t>
        </is>
      </c>
      <c r="Q876" s="27">
        <f>ROUNDUP(O876/'Methodology &amp; Assumptions'!$B$8, 0)</f>
        <v/>
      </c>
      <c r="R876" s="27" t="n">
        <v>1</v>
      </c>
      <c r="S876" s="26" t="n">
        <v>2.91</v>
      </c>
      <c r="T876" s="26" t="n">
        <v>2.53</v>
      </c>
      <c r="U876" s="11">
        <f>IF(S876&lt;='Methodology &amp; Assumptions'!$B$10, "Direct Optical Drop (&lt;3km)", IF(S876&lt;='Methodology &amp; Assumptions'!$B$9, "Near Optical / Microwave (&lt;5km)", "Starlink Business LEO Satellite Backhaul (&gt;5km)"))</f>
        <v/>
      </c>
      <c r="V876" s="26" t="n">
        <v>69.2</v>
      </c>
      <c r="W876" s="26" t="n">
        <v>48.47</v>
      </c>
      <c r="X876" s="26">
        <f>ROUND(('Methodology &amp; Assumptions'!$B$5*V876) + ('Methodology &amp; Assumptions'!$B$6*W876), 2)</f>
        <v/>
      </c>
      <c r="Y876" s="28" t="n">
        <v>17.4</v>
      </c>
      <c r="Z876" s="11" t="inlineStr">
        <is>
          <t>Priority Tier 3 (Broadband Expansion)</t>
        </is>
      </c>
    </row>
    <row r="877">
      <c r="A877" s="23" t="n">
        <v>4</v>
      </c>
      <c r="B877" s="23" t="n">
        <v>873</v>
      </c>
      <c r="C877" s="23" t="n">
        <v>3873</v>
      </c>
      <c r="D877" s="23" t="inlineStr">
        <is>
          <t>1380614089</t>
        </is>
      </c>
      <c r="E877" s="11" t="inlineStr">
        <is>
          <t>National Capital Region (NCR)</t>
        </is>
      </c>
      <c r="F877" s="11" t="inlineStr">
        <is>
          <t>First District (Not a Province)</t>
        </is>
      </c>
      <c r="G877" s="11" t="inlineStr">
        <is>
          <t>City of Manila</t>
        </is>
      </c>
      <c r="H877" s="11" t="inlineStr">
        <is>
          <t>Barangay 896</t>
        </is>
      </c>
      <c r="I877" s="24" t="n">
        <v>14.587445</v>
      </c>
      <c r="J877" s="24" t="n">
        <v>121.015085</v>
      </c>
      <c r="K877" s="23" t="inlineStr">
        <is>
          <t>U</t>
        </is>
      </c>
      <c r="L877" s="25" t="n">
        <v>1371</v>
      </c>
      <c r="M877" s="26" t="n">
        <v>4.5</v>
      </c>
      <c r="N877" s="25">
        <f>ROUND(L877/M877, 0)</f>
        <v/>
      </c>
      <c r="O877" s="25">
        <f>ROUND(N877*'Methodology &amp; Assumptions'!$B$7, 0)</f>
        <v/>
      </c>
      <c r="P877" s="23" t="inlineStr">
        <is>
          <t>Single Carrier (Band n50, 100MHz TDD)</t>
        </is>
      </c>
      <c r="Q877" s="27">
        <f>ROUNDUP(O877/'Methodology &amp; Assumptions'!$B$8, 0)</f>
        <v/>
      </c>
      <c r="R877" s="27" t="n">
        <v>1</v>
      </c>
      <c r="S877" s="26" t="n">
        <v>1.37</v>
      </c>
      <c r="T877" s="26" t="n">
        <v>0.43</v>
      </c>
      <c r="U877" s="11">
        <f>IF(S877&lt;='Methodology &amp; Assumptions'!$B$10, "Direct Optical Drop (&lt;3km)", IF(S877&lt;='Methodology &amp; Assumptions'!$B$9, "Near Optical / Microwave (&lt;5km)", "Starlink Business LEO Satellite Backhaul (&gt;5km)"))</f>
        <v/>
      </c>
      <c r="V877" s="26" t="n">
        <v>48.94</v>
      </c>
      <c r="W877" s="26" t="n">
        <v>68.70999999999999</v>
      </c>
      <c r="X877" s="26">
        <f>ROUND(('Methodology &amp; Assumptions'!$B$5*V877) + ('Methodology &amp; Assumptions'!$B$6*W877), 2)</f>
        <v/>
      </c>
      <c r="Y877" s="28" t="n">
        <v>10.9</v>
      </c>
      <c r="Z877" s="11" t="inlineStr">
        <is>
          <t>Priority Tier 3 (Broadband Expansion)</t>
        </is>
      </c>
    </row>
    <row r="878">
      <c r="A878" s="23" t="n">
        <v>4</v>
      </c>
      <c r="B878" s="23" t="n">
        <v>874</v>
      </c>
      <c r="C878" s="23" t="n">
        <v>3874</v>
      </c>
      <c r="D878" s="23" t="inlineStr">
        <is>
          <t>1381100006</t>
        </is>
      </c>
      <c r="E878" s="11" t="inlineStr">
        <is>
          <t>National Capital Region (NCR)</t>
        </is>
      </c>
      <c r="F878" s="11" t="inlineStr">
        <is>
          <t>Fourth District (Not a Province)</t>
        </is>
      </c>
      <c r="G878" s="11" t="inlineStr">
        <is>
          <t>Pasay City</t>
        </is>
      </c>
      <c r="H878" s="11" t="inlineStr">
        <is>
          <t>Barangay 6</t>
        </is>
      </c>
      <c r="I878" s="24" t="n">
        <v>14.554839</v>
      </c>
      <c r="J878" s="24" t="n">
        <v>120.990278</v>
      </c>
      <c r="K878" s="23" t="inlineStr">
        <is>
          <t>U</t>
        </is>
      </c>
      <c r="L878" s="25" t="n">
        <v>595</v>
      </c>
      <c r="M878" s="26" t="n">
        <v>3.02</v>
      </c>
      <c r="N878" s="25">
        <f>ROUND(L878/M878, 0)</f>
        <v/>
      </c>
      <c r="O878" s="25">
        <f>ROUND(N878*'Methodology &amp; Assumptions'!$B$7, 0)</f>
        <v/>
      </c>
      <c r="P878" s="23" t="inlineStr">
        <is>
          <t>Single Carrier (Band n50, 100MHz TDD)</t>
        </is>
      </c>
      <c r="Q878" s="27">
        <f>ROUNDUP(O878/'Methodology &amp; Assumptions'!$B$8, 0)</f>
        <v/>
      </c>
      <c r="R878" s="27" t="n">
        <v>1</v>
      </c>
      <c r="S878" s="26" t="n">
        <v>0.23</v>
      </c>
      <c r="T878" s="26" t="n">
        <v>0.25</v>
      </c>
      <c r="U878" s="11">
        <f>IF(S878&lt;='Methodology &amp; Assumptions'!$B$10, "Direct Optical Drop (&lt;3km)", IF(S878&lt;='Methodology &amp; Assumptions'!$B$9, "Near Optical / Microwave (&lt;5km)", "Starlink Business LEO Satellite Backhaul (&gt;5km)"))</f>
        <v/>
      </c>
      <c r="V878" s="26" t="n">
        <v>47.41</v>
      </c>
      <c r="W878" s="26" t="n">
        <v>70.23999999999999</v>
      </c>
      <c r="X878" s="26">
        <f>ROUND(('Methodology &amp; Assumptions'!$B$5*V878) + ('Methodology &amp; Assumptions'!$B$6*W878), 2)</f>
        <v/>
      </c>
      <c r="Y878" s="28" t="n">
        <v>10.9</v>
      </c>
      <c r="Z878" s="11" t="inlineStr">
        <is>
          <t>Priority Tier 3 (Broadband Expansion)</t>
        </is>
      </c>
    </row>
    <row r="879">
      <c r="A879" s="23" t="n">
        <v>4</v>
      </c>
      <c r="B879" s="23" t="n">
        <v>875</v>
      </c>
      <c r="C879" s="23" t="n">
        <v>3875</v>
      </c>
      <c r="D879" s="23" t="inlineStr">
        <is>
          <t>1380606088</t>
        </is>
      </c>
      <c r="E879" s="11" t="inlineStr">
        <is>
          <t>National Capital Region (NCR)</t>
        </is>
      </c>
      <c r="F879" s="11" t="inlineStr">
        <is>
          <t>First District (Not a Province)</t>
        </is>
      </c>
      <c r="G879" s="11" t="inlineStr">
        <is>
          <t>City of Manila</t>
        </is>
      </c>
      <c r="H879" s="11" t="inlineStr">
        <is>
          <t>Barangay 482</t>
        </is>
      </c>
      <c r="I879" s="24" t="n">
        <v>14.617513</v>
      </c>
      <c r="J879" s="24" t="n">
        <v>120.989476</v>
      </c>
      <c r="K879" s="23" t="inlineStr">
        <is>
          <t>U</t>
        </is>
      </c>
      <c r="L879" s="25" t="n">
        <v>864</v>
      </c>
      <c r="M879" s="26" t="n">
        <v>4.43</v>
      </c>
      <c r="N879" s="25">
        <f>ROUND(L879/M879, 0)</f>
        <v/>
      </c>
      <c r="O879" s="25">
        <f>ROUND(N879*'Methodology &amp; Assumptions'!$B$7, 0)</f>
        <v/>
      </c>
      <c r="P879" s="23" t="inlineStr">
        <is>
          <t>Single Carrier (Band n50, 100MHz TDD)</t>
        </is>
      </c>
      <c r="Q879" s="27">
        <f>ROUNDUP(O879/'Methodology &amp; Assumptions'!$B$8, 0)</f>
        <v/>
      </c>
      <c r="R879" s="27" t="n">
        <v>1</v>
      </c>
      <c r="S879" s="26" t="n">
        <v>0.72</v>
      </c>
      <c r="T879" s="26" t="n">
        <v>0.7</v>
      </c>
      <c r="U879" s="11">
        <f>IF(S879&lt;='Methodology &amp; Assumptions'!$B$10, "Direct Optical Drop (&lt;3km)", IF(S879&lt;='Methodology &amp; Assumptions'!$B$9, "Near Optical / Microwave (&lt;5km)", "Starlink Business LEO Satellite Backhaul (&gt;5km)"))</f>
        <v/>
      </c>
      <c r="V879" s="26" t="n">
        <v>47.3</v>
      </c>
      <c r="W879" s="26" t="n">
        <v>70.34999999999999</v>
      </c>
      <c r="X879" s="26">
        <f>ROUND(('Methodology &amp; Assumptions'!$B$5*V879) + ('Methodology &amp; Assumptions'!$B$6*W879), 2)</f>
        <v/>
      </c>
      <c r="Y879" s="28" t="n">
        <v>10.9</v>
      </c>
      <c r="Z879" s="11" t="inlineStr">
        <is>
          <t>Priority Tier 3 (Broadband Expansion)</t>
        </is>
      </c>
    </row>
    <row r="880">
      <c r="A880" s="23" t="n">
        <v>4</v>
      </c>
      <c r="B880" s="23" t="n">
        <v>876</v>
      </c>
      <c r="C880" s="23" t="n">
        <v>3876</v>
      </c>
      <c r="D880" s="23" t="inlineStr">
        <is>
          <t>0102908010</t>
        </is>
      </c>
      <c r="E880" s="11" t="inlineStr">
        <is>
          <t>Region I (Ilocos Region)</t>
        </is>
      </c>
      <c r="F880" s="11" t="inlineStr">
        <is>
          <t>Ilocos Sur</t>
        </is>
      </c>
      <c r="G880" s="11" t="inlineStr">
        <is>
          <t>Cervantes</t>
        </is>
      </c>
      <c r="H880" s="11" t="inlineStr">
        <is>
          <t>Pilipil</t>
        </is>
      </c>
      <c r="I880" s="24" t="n">
        <v>16.946439</v>
      </c>
      <c r="J880" s="24" t="n">
        <v>120.773848</v>
      </c>
      <c r="K880" s="23" t="inlineStr">
        <is>
          <t>R</t>
        </is>
      </c>
      <c r="L880" s="25" t="n">
        <v>502</v>
      </c>
      <c r="M880" s="26" t="n">
        <v>3.8</v>
      </c>
      <c r="N880" s="25">
        <f>ROUND(L880/M880, 0)</f>
        <v/>
      </c>
      <c r="O880" s="25">
        <f>ROUND(N880*'Methodology &amp; Assumptions'!$B$7, 0)</f>
        <v/>
      </c>
      <c r="P880" s="23" t="inlineStr">
        <is>
          <t>Single Carrier (Band n50, 100MHz TDD)</t>
        </is>
      </c>
      <c r="Q880" s="27">
        <f>ROUNDUP(O880/'Methodology &amp; Assumptions'!$B$8, 0)</f>
        <v/>
      </c>
      <c r="R880" s="27" t="n">
        <v>1</v>
      </c>
      <c r="S880" s="26" t="n">
        <v>6.77</v>
      </c>
      <c r="T880" s="26" t="n">
        <v>2.04</v>
      </c>
      <c r="U880" s="11">
        <f>IF(S880&lt;='Methodology &amp; Assumptions'!$B$10, "Direct Optical Drop (&lt;3km)", IF(S880&lt;='Methodology &amp; Assumptions'!$B$9, "Near Optical / Microwave (&lt;5km)", "Starlink Business LEO Satellite Backhaul (&gt;5km)"))</f>
        <v/>
      </c>
      <c r="V880" s="26" t="n">
        <v>45.8</v>
      </c>
      <c r="W880" s="26" t="n">
        <v>71.84999999999999</v>
      </c>
      <c r="X880" s="26">
        <f>ROUND(('Methodology &amp; Assumptions'!$B$5*V880) + ('Methodology &amp; Assumptions'!$B$6*W880), 2)</f>
        <v/>
      </c>
      <c r="Y880" s="28" t="n">
        <v>8.300000000000001</v>
      </c>
      <c r="Z880" s="11" t="inlineStr">
        <is>
          <t>Priority Tier 3 (Broadband Expansion)</t>
        </is>
      </c>
    </row>
    <row r="881">
      <c r="A881" s="23" t="n">
        <v>4</v>
      </c>
      <c r="B881" s="23" t="n">
        <v>877</v>
      </c>
      <c r="C881" s="23" t="n">
        <v>3877</v>
      </c>
      <c r="D881" s="23" t="inlineStr">
        <is>
          <t>0105517006</t>
        </is>
      </c>
      <c r="E881" s="11" t="inlineStr">
        <is>
          <t>Region I (Ilocos Region)</t>
        </is>
      </c>
      <c r="F881" s="11" t="inlineStr">
        <is>
          <t>Pangasinan</t>
        </is>
      </c>
      <c r="G881" s="11" t="inlineStr">
        <is>
          <t>Calasiao</t>
        </is>
      </c>
      <c r="H881" s="11" t="inlineStr">
        <is>
          <t>Cabilocaan</t>
        </is>
      </c>
      <c r="I881" s="24" t="n">
        <v>16.02347</v>
      </c>
      <c r="J881" s="24" t="n">
        <v>120.3781</v>
      </c>
      <c r="K881" s="23" t="inlineStr">
        <is>
          <t>R</t>
        </is>
      </c>
      <c r="L881" s="25" t="n">
        <v>3009</v>
      </c>
      <c r="M881" s="26" t="n">
        <v>3.6</v>
      </c>
      <c r="N881" s="25">
        <f>ROUND(L881/M881, 0)</f>
        <v/>
      </c>
      <c r="O881" s="25">
        <f>ROUND(N881*'Methodology &amp; Assumptions'!$B$7, 0)</f>
        <v/>
      </c>
      <c r="P881" s="23" t="inlineStr">
        <is>
          <t>Single Carrier (Band n50, 100MHz TDD)</t>
        </is>
      </c>
      <c r="Q881" s="27">
        <f>ROUNDUP(O881/'Methodology &amp; Assumptions'!$B$8, 0)</f>
        <v/>
      </c>
      <c r="R881" s="27" t="n">
        <v>1</v>
      </c>
      <c r="S881" s="26" t="n">
        <v>1.42</v>
      </c>
      <c r="T881" s="26" t="n">
        <v>0.58</v>
      </c>
      <c r="U881" s="11">
        <f>IF(S881&lt;='Methodology &amp; Assumptions'!$B$10, "Direct Optical Drop (&lt;3km)", IF(S881&lt;='Methodology &amp; Assumptions'!$B$9, "Near Optical / Microwave (&lt;5km)", "Starlink Business LEO Satellite Backhaul (&gt;5km)"))</f>
        <v/>
      </c>
      <c r="V881" s="26" t="n">
        <v>83.43000000000001</v>
      </c>
      <c r="W881" s="26" t="n">
        <v>34.21</v>
      </c>
      <c r="X881" s="26">
        <f>ROUND(('Methodology &amp; Assumptions'!$B$5*V881) + ('Methodology &amp; Assumptions'!$B$6*W881), 2)</f>
        <v/>
      </c>
      <c r="Y881" s="28" t="n">
        <v>8.300000000000001</v>
      </c>
      <c r="Z881" s="11" t="inlineStr">
        <is>
          <t>Priority Tier 3 (Broadband Expansion)</t>
        </is>
      </c>
    </row>
    <row r="882">
      <c r="A882" s="23" t="n">
        <v>4</v>
      </c>
      <c r="B882" s="23" t="n">
        <v>878</v>
      </c>
      <c r="C882" s="23" t="n">
        <v>3878</v>
      </c>
      <c r="D882" s="23" t="inlineStr">
        <is>
          <t>1102412021</t>
        </is>
      </c>
      <c r="E882" s="11" t="inlineStr">
        <is>
          <t>Region XI (Davao Region)</t>
        </is>
      </c>
      <c r="F882" s="11" t="inlineStr">
        <is>
          <t>Davao del Sur</t>
        </is>
      </c>
      <c r="G882" s="11" t="inlineStr">
        <is>
          <t>Santa Cruz</t>
        </is>
      </c>
      <c r="H882" s="11" t="inlineStr">
        <is>
          <t>Zone IV</t>
        </is>
      </c>
      <c r="I882" s="24" t="n">
        <v>6.83106</v>
      </c>
      <c r="J882" s="24" t="n">
        <v>125.404212</v>
      </c>
      <c r="K882" s="23" t="inlineStr">
        <is>
          <t>U</t>
        </is>
      </c>
      <c r="L882" s="25" t="n">
        <v>7229</v>
      </c>
      <c r="M882" s="26" t="n">
        <v>3.4</v>
      </c>
      <c r="N882" s="25">
        <f>ROUND(L882/M882, 0)</f>
        <v/>
      </c>
      <c r="O882" s="25">
        <f>ROUND(N882*'Methodology &amp; Assumptions'!$B$7, 0)</f>
        <v/>
      </c>
      <c r="P882" s="23" t="inlineStr">
        <is>
          <t>Single Carrier (Band n50, 100MHz TDD)</t>
        </is>
      </c>
      <c r="Q882" s="27">
        <f>ROUNDUP(O882/'Methodology &amp; Assumptions'!$B$8, 0)</f>
        <v/>
      </c>
      <c r="R882" s="27" t="n">
        <v>1</v>
      </c>
      <c r="S882" s="26" t="n">
        <v>1.29</v>
      </c>
      <c r="T882" s="26" t="n">
        <v>0.29</v>
      </c>
      <c r="U882" s="11">
        <f>IF(S882&lt;='Methodology &amp; Assumptions'!$B$10, "Direct Optical Drop (&lt;3km)", IF(S882&lt;='Methodology &amp; Assumptions'!$B$9, "Near Optical / Microwave (&lt;5km)", "Starlink Business LEO Satellite Backhaul (&gt;5km)"))</f>
        <v/>
      </c>
      <c r="V882" s="26" t="n">
        <v>78.17</v>
      </c>
      <c r="W882" s="26" t="n">
        <v>39.48</v>
      </c>
      <c r="X882" s="26">
        <f>ROUND(('Methodology &amp; Assumptions'!$B$5*V882) + ('Methodology &amp; Assumptions'!$B$6*W882), 2)</f>
        <v/>
      </c>
      <c r="Y882" s="28" t="n">
        <v>17.4</v>
      </c>
      <c r="Z882" s="11" t="inlineStr">
        <is>
          <t>Priority Tier 3 (Broadband Expansion)</t>
        </is>
      </c>
    </row>
    <row r="883">
      <c r="A883" s="23" t="n">
        <v>4</v>
      </c>
      <c r="B883" s="23" t="n">
        <v>879</v>
      </c>
      <c r="C883" s="23" t="n">
        <v>3879</v>
      </c>
      <c r="D883" s="23" t="inlineStr">
        <is>
          <t>0401013005</t>
        </is>
      </c>
      <c r="E883" s="11" t="inlineStr">
        <is>
          <t>Region IV-A (CALABARZON)</t>
        </is>
      </c>
      <c r="F883" s="11" t="inlineStr">
        <is>
          <t>Batangas</t>
        </is>
      </c>
      <c r="G883" s="11" t="inlineStr">
        <is>
          <t>Lian</t>
        </is>
      </c>
      <c r="H883" s="11" t="inlineStr">
        <is>
          <t>Bungahan</t>
        </is>
      </c>
      <c r="I883" s="24" t="n">
        <v>14.054779</v>
      </c>
      <c r="J883" s="24" t="n">
        <v>120.637247</v>
      </c>
      <c r="K883" s="23" t="inlineStr">
        <is>
          <t>U</t>
        </is>
      </c>
      <c r="L883" s="25" t="n">
        <v>5267</v>
      </c>
      <c r="M883" s="26" t="n">
        <v>3.6</v>
      </c>
      <c r="N883" s="25">
        <f>ROUND(L883/M883, 0)</f>
        <v/>
      </c>
      <c r="O883" s="25">
        <f>ROUND(N883*'Methodology &amp; Assumptions'!$B$7, 0)</f>
        <v/>
      </c>
      <c r="P883" s="23" t="inlineStr">
        <is>
          <t>Single Carrier (Band n50, 100MHz TDD)</t>
        </is>
      </c>
      <c r="Q883" s="27">
        <f>ROUNDUP(O883/'Methodology &amp; Assumptions'!$B$8, 0)</f>
        <v/>
      </c>
      <c r="R883" s="27" t="n">
        <v>1</v>
      </c>
      <c r="S883" s="26" t="n">
        <v>1.81</v>
      </c>
      <c r="T883" s="26" t="n">
        <v>0.34</v>
      </c>
      <c r="U883" s="11">
        <f>IF(S883&lt;='Methodology &amp; Assumptions'!$B$10, "Direct Optical Drop (&lt;3km)", IF(S883&lt;='Methodology &amp; Assumptions'!$B$9, "Near Optical / Microwave (&lt;5km)", "Starlink Business LEO Satellite Backhaul (&gt;5km)"))</f>
        <v/>
      </c>
      <c r="V883" s="26" t="n">
        <v>74.67</v>
      </c>
      <c r="W883" s="26" t="n">
        <v>42.96</v>
      </c>
      <c r="X883" s="26">
        <f>ROUND(('Methodology &amp; Assumptions'!$B$5*V883) + ('Methodology &amp; Assumptions'!$B$6*W883), 2)</f>
        <v/>
      </c>
      <c r="Y883" s="28" t="n">
        <v>7.2</v>
      </c>
      <c r="Z883" s="11" t="inlineStr">
        <is>
          <t>Priority Tier 3 (Broadband Expansion)</t>
        </is>
      </c>
    </row>
    <row r="884">
      <c r="A884" s="23" t="n">
        <v>4</v>
      </c>
      <c r="B884" s="23" t="n">
        <v>880</v>
      </c>
      <c r="C884" s="23" t="n">
        <v>3880</v>
      </c>
      <c r="D884" s="23" t="inlineStr">
        <is>
          <t>0403416018</t>
        </is>
      </c>
      <c r="E884" s="11" t="inlineStr">
        <is>
          <t>Region IV-A (CALABARZON)</t>
        </is>
      </c>
      <c r="F884" s="11" t="inlineStr">
        <is>
          <t>Laguna</t>
        </is>
      </c>
      <c r="G884" s="11" t="inlineStr">
        <is>
          <t>Majayjay</t>
        </is>
      </c>
      <c r="H884" s="11" t="inlineStr">
        <is>
          <t>Ilayang Banga</t>
        </is>
      </c>
      <c r="I884" s="24" t="n">
        <v>14.145226</v>
      </c>
      <c r="J884" s="24" t="n">
        <v>121.477591</v>
      </c>
      <c r="K884" s="23" t="inlineStr">
        <is>
          <t>R</t>
        </is>
      </c>
      <c r="L884" s="25" t="n">
        <v>1301</v>
      </c>
      <c r="M884" s="26" t="n">
        <v>3.3</v>
      </c>
      <c r="N884" s="25">
        <f>ROUND(L884/M884, 0)</f>
        <v/>
      </c>
      <c r="O884" s="25">
        <f>ROUND(N884*'Methodology &amp; Assumptions'!$B$7, 0)</f>
        <v/>
      </c>
      <c r="P884" s="23" t="inlineStr">
        <is>
          <t>Single Carrier (Band n50, 100MHz TDD)</t>
        </is>
      </c>
      <c r="Q884" s="27">
        <f>ROUNDUP(O884/'Methodology &amp; Assumptions'!$B$8, 0)</f>
        <v/>
      </c>
      <c r="R884" s="27" t="n">
        <v>1</v>
      </c>
      <c r="S884" s="26" t="n">
        <v>0.84</v>
      </c>
      <c r="T884" s="26" t="n">
        <v>0.18</v>
      </c>
      <c r="U884" s="11">
        <f>IF(S884&lt;='Methodology &amp; Assumptions'!$B$10, "Direct Optical Drop (&lt;3km)", IF(S884&lt;='Methodology &amp; Assumptions'!$B$9, "Near Optical / Microwave (&lt;5km)", "Starlink Business LEO Satellite Backhaul (&gt;5km)"))</f>
        <v/>
      </c>
      <c r="V884" s="26" t="n">
        <v>71.69</v>
      </c>
      <c r="W884" s="26" t="n">
        <v>45.95</v>
      </c>
      <c r="X884" s="26">
        <f>ROUND(('Methodology &amp; Assumptions'!$B$5*V884) + ('Methodology &amp; Assumptions'!$B$6*W884), 2)</f>
        <v/>
      </c>
      <c r="Y884" s="28" t="n">
        <v>7.2</v>
      </c>
      <c r="Z884" s="11" t="inlineStr">
        <is>
          <t>Priority Tier 3 (Broadband Expansion)</t>
        </is>
      </c>
    </row>
    <row r="885">
      <c r="A885" s="23" t="n">
        <v>4</v>
      </c>
      <c r="B885" s="23" t="n">
        <v>881</v>
      </c>
      <c r="C885" s="23" t="n">
        <v>3881</v>
      </c>
      <c r="D885" s="23" t="inlineStr">
        <is>
          <t>0806022045</t>
        </is>
      </c>
      <c r="E885" s="11" t="inlineStr">
        <is>
          <t>Region VIII (Eastern Visayas)</t>
        </is>
      </c>
      <c r="F885" s="11" t="inlineStr">
        <is>
          <t>Samar</t>
        </is>
      </c>
      <c r="G885" s="11" t="inlineStr">
        <is>
          <t>Paranas</t>
        </is>
      </c>
      <c r="H885" s="11" t="inlineStr">
        <is>
          <t>Tigbawon</t>
        </is>
      </c>
      <c r="I885" s="24" t="n">
        <v>11.887292</v>
      </c>
      <c r="J885" s="24" t="n">
        <v>125.082859</v>
      </c>
      <c r="K885" s="23" t="inlineStr">
        <is>
          <t>R</t>
        </is>
      </c>
      <c r="L885" s="25" t="n">
        <v>1078</v>
      </c>
      <c r="M885" s="26" t="n">
        <v>4.1</v>
      </c>
      <c r="N885" s="25">
        <f>ROUND(L885/M885, 0)</f>
        <v/>
      </c>
      <c r="O885" s="25">
        <f>ROUND(N885*'Methodology &amp; Assumptions'!$B$7, 0)</f>
        <v/>
      </c>
      <c r="P885" s="23" t="inlineStr">
        <is>
          <t>Single Carrier (Band n50, 100MHz TDD)</t>
        </is>
      </c>
      <c r="Q885" s="27">
        <f>ROUNDUP(O885/'Methodology &amp; Assumptions'!$B$8, 0)</f>
        <v/>
      </c>
      <c r="R885" s="27" t="n">
        <v>1</v>
      </c>
      <c r="S885" s="26" t="n">
        <v>72.55</v>
      </c>
      <c r="T885" s="26" t="n">
        <v>75.45999999999999</v>
      </c>
      <c r="U885" s="11">
        <f>IF(S885&lt;='Methodology &amp; Assumptions'!$B$10, "Direct Optical Drop (&lt;3km)", IF(S885&lt;='Methodology &amp; Assumptions'!$B$9, "Near Optical / Microwave (&lt;5km)", "Starlink Business LEO Satellite Backhaul (&gt;5km)"))</f>
        <v/>
      </c>
      <c r="V885" s="26" t="n">
        <v>44.22</v>
      </c>
      <c r="W885" s="26" t="n">
        <v>73.42</v>
      </c>
      <c r="X885" s="26">
        <f>ROUND(('Methodology &amp; Assumptions'!$B$5*V885) + ('Methodology &amp; Assumptions'!$B$6*W885), 2)</f>
        <v/>
      </c>
      <c r="Y885" s="28" t="n">
        <v>23.7</v>
      </c>
      <c r="Z885" s="11" t="inlineStr">
        <is>
          <t>Priority Tier 3 (Broadband Expansion)</t>
        </is>
      </c>
    </row>
    <row r="886">
      <c r="A886" s="23" t="n">
        <v>4</v>
      </c>
      <c r="B886" s="23" t="n">
        <v>882</v>
      </c>
      <c r="C886" s="23" t="n">
        <v>3882</v>
      </c>
      <c r="D886" s="23" t="inlineStr">
        <is>
          <t>0702223021</t>
        </is>
      </c>
      <c r="E886" s="11" t="inlineStr">
        <is>
          <t>Region VII (Central Visayas)</t>
        </is>
      </c>
      <c r="F886" s="11" t="inlineStr">
        <is>
          <t>Cebu</t>
        </is>
      </c>
      <c r="G886" s="11" t="inlineStr">
        <is>
          <t>Danao City</t>
        </is>
      </c>
      <c r="H886" s="11" t="inlineStr">
        <is>
          <t>Looc</t>
        </is>
      </c>
      <c r="I886" s="24" t="n">
        <v>10.510128</v>
      </c>
      <c r="J886" s="24" t="n">
        <v>124.02684</v>
      </c>
      <c r="K886" s="23" t="inlineStr">
        <is>
          <t>U</t>
        </is>
      </c>
      <c r="L886" s="25" t="n">
        <v>12347</v>
      </c>
      <c r="M886" s="26" t="n">
        <v>3.8</v>
      </c>
      <c r="N886" s="25">
        <f>ROUND(L886/M886, 0)</f>
        <v/>
      </c>
      <c r="O886" s="25">
        <f>ROUND(N886*'Methodology &amp; Assumptions'!$B$7, 0)</f>
        <v/>
      </c>
      <c r="P886" s="23" t="inlineStr">
        <is>
          <t>Single Carrier (Band n50, 100MHz TDD)</t>
        </is>
      </c>
      <c r="Q886" s="27">
        <f>ROUNDUP(O886/'Methodology &amp; Assumptions'!$B$8, 0)</f>
        <v/>
      </c>
      <c r="R886" s="27" t="n">
        <v>1</v>
      </c>
      <c r="S886" s="26" t="n">
        <v>1.3</v>
      </c>
      <c r="T886" s="26" t="n">
        <v>0.04</v>
      </c>
      <c r="U886" s="11">
        <f>IF(S886&lt;='Methodology &amp; Assumptions'!$B$10, "Direct Optical Drop (&lt;3km)", IF(S886&lt;='Methodology &amp; Assumptions'!$B$9, "Near Optical / Microwave (&lt;5km)", "Starlink Business LEO Satellite Backhaul (&gt;5km)"))</f>
        <v/>
      </c>
      <c r="V886" s="26" t="n">
        <v>79.09999999999999</v>
      </c>
      <c r="W886" s="26" t="n">
        <v>38.52</v>
      </c>
      <c r="X886" s="26">
        <f>ROUND(('Methodology &amp; Assumptions'!$B$5*V886) + ('Methodology &amp; Assumptions'!$B$6*W886), 2)</f>
        <v/>
      </c>
      <c r="Y886" s="28" t="n">
        <v>23.7</v>
      </c>
      <c r="Z886" s="11" t="inlineStr">
        <is>
          <t>Priority Tier 3 (Broadband Expansion)</t>
        </is>
      </c>
    </row>
    <row r="887">
      <c r="A887" s="23" t="n">
        <v>4</v>
      </c>
      <c r="B887" s="23" t="n">
        <v>883</v>
      </c>
      <c r="C887" s="23" t="n">
        <v>3883</v>
      </c>
      <c r="D887" s="23" t="inlineStr">
        <is>
          <t>1381100088</t>
        </is>
      </c>
      <c r="E887" s="11" t="inlineStr">
        <is>
          <t>National Capital Region (NCR)</t>
        </is>
      </c>
      <c r="F887" s="11" t="inlineStr">
        <is>
          <t>Fourth District (Not a Province)</t>
        </is>
      </c>
      <c r="G887" s="11" t="inlineStr">
        <is>
          <t>Pasay City</t>
        </is>
      </c>
      <c r="H887" s="11" t="inlineStr">
        <is>
          <t>Barangay 88</t>
        </is>
      </c>
      <c r="I887" s="24" t="n">
        <v>14.545702</v>
      </c>
      <c r="J887" s="24" t="n">
        <v>120.997569</v>
      </c>
      <c r="K887" s="23" t="inlineStr">
        <is>
          <t>U</t>
        </is>
      </c>
      <c r="L887" s="25" t="n">
        <v>942</v>
      </c>
      <c r="M887" s="26" t="n">
        <v>4.04</v>
      </c>
      <c r="N887" s="25">
        <f>ROUND(L887/M887, 0)</f>
        <v/>
      </c>
      <c r="O887" s="25">
        <f>ROUND(N887*'Methodology &amp; Assumptions'!$B$7, 0)</f>
        <v/>
      </c>
      <c r="P887" s="23" t="inlineStr">
        <is>
          <t>Single Carrier (Band n50, 100MHz TDD)</t>
        </is>
      </c>
      <c r="Q887" s="27">
        <f>ROUNDUP(O887/'Methodology &amp; Assumptions'!$B$8, 0)</f>
        <v/>
      </c>
      <c r="R887" s="27" t="n">
        <v>1</v>
      </c>
      <c r="S887" s="26" t="n">
        <v>0.36</v>
      </c>
      <c r="T887" s="26" t="n">
        <v>0.25</v>
      </c>
      <c r="U887" s="11">
        <f>IF(S887&lt;='Methodology &amp; Assumptions'!$B$10, "Direct Optical Drop (&lt;3km)", IF(S887&lt;='Methodology &amp; Assumptions'!$B$9, "Near Optical / Microwave (&lt;5km)", "Starlink Business LEO Satellite Backhaul (&gt;5km)"))</f>
        <v/>
      </c>
      <c r="V887" s="26" t="n">
        <v>48.59</v>
      </c>
      <c r="W887" s="26" t="n">
        <v>69.03</v>
      </c>
      <c r="X887" s="26">
        <f>ROUND(('Methodology &amp; Assumptions'!$B$5*V887) + ('Methodology &amp; Assumptions'!$B$6*W887), 2)</f>
        <v/>
      </c>
      <c r="Y887" s="28" t="n">
        <v>10.9</v>
      </c>
      <c r="Z887" s="11" t="inlineStr">
        <is>
          <t>Priority Tier 3 (Broadband Expansion)</t>
        </is>
      </c>
    </row>
    <row r="888">
      <c r="A888" s="23" t="n">
        <v>4</v>
      </c>
      <c r="B888" s="23" t="n">
        <v>884</v>
      </c>
      <c r="C888" s="23" t="n">
        <v>3884</v>
      </c>
      <c r="D888" s="23" t="inlineStr">
        <is>
          <t>0601917034</t>
        </is>
      </c>
      <c r="E888" s="11" t="inlineStr">
        <is>
          <t>Region VI (Western Visayas)</t>
        </is>
      </c>
      <c r="F888" s="11" t="inlineStr">
        <is>
          <t>Capiz</t>
        </is>
      </c>
      <c r="G888" s="11" t="inlineStr">
        <is>
          <t>Tapaz</t>
        </is>
      </c>
      <c r="H888" s="11" t="inlineStr">
        <is>
          <t>Rizal Sur</t>
        </is>
      </c>
      <c r="I888" s="24" t="n">
        <v>11.320385</v>
      </c>
      <c r="J888" s="24" t="n">
        <v>122.398023</v>
      </c>
      <c r="K888" s="23" t="inlineStr">
        <is>
          <t>R</t>
        </is>
      </c>
      <c r="L888" s="25" t="n">
        <v>443</v>
      </c>
      <c r="M888" s="26" t="n">
        <v>3.8</v>
      </c>
      <c r="N888" s="25">
        <f>ROUND(L888/M888, 0)</f>
        <v/>
      </c>
      <c r="O888" s="25">
        <f>ROUND(N888*'Methodology &amp; Assumptions'!$B$7, 0)</f>
        <v/>
      </c>
      <c r="P888" s="23" t="inlineStr">
        <is>
          <t>Single Carrier (Band n50, 100MHz TDD)</t>
        </is>
      </c>
      <c r="Q888" s="27">
        <f>ROUNDUP(O888/'Methodology &amp; Assumptions'!$B$8, 0)</f>
        <v/>
      </c>
      <c r="R888" s="27" t="n">
        <v>1</v>
      </c>
      <c r="S888" s="26" t="n">
        <v>25.66</v>
      </c>
      <c r="T888" s="26" t="n">
        <v>19.27</v>
      </c>
      <c r="U888" s="11">
        <f>IF(S888&lt;='Methodology &amp; Assumptions'!$B$10, "Direct Optical Drop (&lt;3km)", IF(S888&lt;='Methodology &amp; Assumptions'!$B$9, "Near Optical / Microwave (&lt;5km)", "Starlink Business LEO Satellite Backhaul (&gt;5km)"))</f>
        <v/>
      </c>
      <c r="V888" s="26" t="n">
        <v>39.76</v>
      </c>
      <c r="W888" s="26" t="n">
        <v>77.87</v>
      </c>
      <c r="X888" s="26">
        <f>ROUND(('Methodology &amp; Assumptions'!$B$5*V888) + ('Methodology &amp; Assumptions'!$B$6*W888), 2)</f>
        <v/>
      </c>
      <c r="Y888" s="28" t="n">
        <v>23.7</v>
      </c>
      <c r="Z888" s="11" t="inlineStr">
        <is>
          <t>Priority Tier 3 (Broadband Expansion)</t>
        </is>
      </c>
    </row>
    <row r="889">
      <c r="A889" s="23" t="n">
        <v>4</v>
      </c>
      <c r="B889" s="23" t="n">
        <v>885</v>
      </c>
      <c r="C889" s="23" t="n">
        <v>3885</v>
      </c>
      <c r="D889" s="23" t="inlineStr">
        <is>
          <t>0604527002</t>
        </is>
      </c>
      <c r="E889" s="11" t="inlineStr">
        <is>
          <t>Region VI (Western Visayas)</t>
        </is>
      </c>
      <c r="F889" s="11" t="inlineStr">
        <is>
          <t>Negros Occidental</t>
        </is>
      </c>
      <c r="G889" s="11" t="inlineStr">
        <is>
          <t>City of Sipalay</t>
        </is>
      </c>
      <c r="H889" s="11" t="inlineStr">
        <is>
          <t>Barangay 2</t>
        </is>
      </c>
      <c r="I889" s="24" t="n">
        <v>9.747058000000001</v>
      </c>
      <c r="J889" s="24" t="n">
        <v>122.400781</v>
      </c>
      <c r="K889" s="23" t="inlineStr">
        <is>
          <t>R</t>
        </is>
      </c>
      <c r="L889" s="25" t="n">
        <v>4282</v>
      </c>
      <c r="M889" s="26" t="n">
        <v>3.7</v>
      </c>
      <c r="N889" s="25">
        <f>ROUND(L889/M889, 0)</f>
        <v/>
      </c>
      <c r="O889" s="25">
        <f>ROUND(N889*'Methodology &amp; Assumptions'!$B$7, 0)</f>
        <v/>
      </c>
      <c r="P889" s="23" t="inlineStr">
        <is>
          <t>Single Carrier (Band n50, 100MHz TDD)</t>
        </is>
      </c>
      <c r="Q889" s="27">
        <f>ROUNDUP(O889/'Methodology &amp; Assumptions'!$B$8, 0)</f>
        <v/>
      </c>
      <c r="R889" s="27" t="n">
        <v>1</v>
      </c>
      <c r="S889" s="26" t="n">
        <v>0.28</v>
      </c>
      <c r="T889" s="26" t="n">
        <v>0.33</v>
      </c>
      <c r="U889" s="11">
        <f>IF(S889&lt;='Methodology &amp; Assumptions'!$B$10, "Direct Optical Drop (&lt;3km)", IF(S889&lt;='Methodology &amp; Assumptions'!$B$9, "Near Optical / Microwave (&lt;5km)", "Starlink Business LEO Satellite Backhaul (&gt;5km)"))</f>
        <v/>
      </c>
      <c r="V889" s="26" t="n">
        <v>88.06</v>
      </c>
      <c r="W889" s="26" t="n">
        <v>29.54</v>
      </c>
      <c r="X889" s="26">
        <f>ROUND(('Methodology &amp; Assumptions'!$B$5*V889) + ('Methodology &amp; Assumptions'!$B$6*W889), 2)</f>
        <v/>
      </c>
      <c r="Y889" s="28" t="n">
        <v>23.7</v>
      </c>
      <c r="Z889" s="11" t="inlineStr">
        <is>
          <t>Priority Tier 3 (Broadband Expansion)</t>
        </is>
      </c>
    </row>
    <row r="890">
      <c r="A890" s="23" t="n">
        <v>4</v>
      </c>
      <c r="B890" s="23" t="n">
        <v>886</v>
      </c>
      <c r="C890" s="23" t="n">
        <v>3886</v>
      </c>
      <c r="D890" s="23" t="inlineStr">
        <is>
          <t>0600416011</t>
        </is>
      </c>
      <c r="E890" s="11" t="inlineStr">
        <is>
          <t>Region VI (Western Visayas)</t>
        </is>
      </c>
      <c r="F890" s="11" t="inlineStr">
        <is>
          <t>Aklan</t>
        </is>
      </c>
      <c r="G890" s="11" t="inlineStr">
        <is>
          <t>Numancia</t>
        </is>
      </c>
      <c r="H890" s="11" t="inlineStr">
        <is>
          <t>Joyao-joyao</t>
        </is>
      </c>
      <c r="I890" s="24" t="n">
        <v>11.700429</v>
      </c>
      <c r="J890" s="24" t="n">
        <v>122.332717</v>
      </c>
      <c r="K890" s="23" t="inlineStr">
        <is>
          <t>R</t>
        </is>
      </c>
      <c r="L890" s="25" t="n">
        <v>2225</v>
      </c>
      <c r="M890" s="26" t="n">
        <v>3.9</v>
      </c>
      <c r="N890" s="25">
        <f>ROUND(L890/M890, 0)</f>
        <v/>
      </c>
      <c r="O890" s="25">
        <f>ROUND(N890*'Methodology &amp; Assumptions'!$B$7, 0)</f>
        <v/>
      </c>
      <c r="P890" s="23" t="inlineStr">
        <is>
          <t>Single Carrier (Band n50, 100MHz TDD)</t>
        </is>
      </c>
      <c r="Q890" s="27">
        <f>ROUNDUP(O890/'Methodology &amp; Assumptions'!$B$8, 0)</f>
        <v/>
      </c>
      <c r="R890" s="27" t="n">
        <v>1</v>
      </c>
      <c r="S890" s="26" t="n">
        <v>0.63</v>
      </c>
      <c r="T890" s="26" t="n">
        <v>0.5</v>
      </c>
      <c r="U890" s="11">
        <f>IF(S890&lt;='Methodology &amp; Assumptions'!$B$10, "Direct Optical Drop (&lt;3km)", IF(S890&lt;='Methodology &amp; Assumptions'!$B$9, "Near Optical / Microwave (&lt;5km)", "Starlink Business LEO Satellite Backhaul (&gt;5km)"))</f>
        <v/>
      </c>
      <c r="V890" s="26" t="n">
        <v>78.79000000000001</v>
      </c>
      <c r="W890" s="26" t="n">
        <v>38.8</v>
      </c>
      <c r="X890" s="26">
        <f>ROUND(('Methodology &amp; Assumptions'!$B$5*V890) + ('Methodology &amp; Assumptions'!$B$6*W890), 2)</f>
        <v/>
      </c>
      <c r="Y890" s="28" t="n">
        <v>23.7</v>
      </c>
      <c r="Z890" s="11" t="inlineStr">
        <is>
          <t>Priority Tier 3 (Broadband Expansion)</t>
        </is>
      </c>
    </row>
    <row r="891">
      <c r="A891" s="23" t="n">
        <v>4</v>
      </c>
      <c r="B891" s="23" t="n">
        <v>887</v>
      </c>
      <c r="C891" s="23" t="n">
        <v>3887</v>
      </c>
      <c r="D891" s="23" t="inlineStr">
        <is>
          <t>0105522021</t>
        </is>
      </c>
      <c r="E891" s="11" t="inlineStr">
        <is>
          <t>Region I (Ilocos Region)</t>
        </is>
      </c>
      <c r="F891" s="11" t="inlineStr">
        <is>
          <t>Pangasinan</t>
        </is>
      </c>
      <c r="G891" s="11" t="inlineStr">
        <is>
          <t>Lingayen</t>
        </is>
      </c>
      <c r="H891" s="11" t="inlineStr">
        <is>
          <t>Maniboc</t>
        </is>
      </c>
      <c r="I891" s="24" t="n">
        <v>16.029518</v>
      </c>
      <c r="J891" s="24" t="n">
        <v>120.224745</v>
      </c>
      <c r="K891" s="23" t="inlineStr">
        <is>
          <t>U</t>
        </is>
      </c>
      <c r="L891" s="25" t="n">
        <v>8214</v>
      </c>
      <c r="M891" s="26" t="n">
        <v>3.6</v>
      </c>
      <c r="N891" s="25">
        <f>ROUND(L891/M891, 0)</f>
        <v/>
      </c>
      <c r="O891" s="25">
        <f>ROUND(N891*'Methodology &amp; Assumptions'!$B$7, 0)</f>
        <v/>
      </c>
      <c r="P891" s="23" t="inlineStr">
        <is>
          <t>Single Carrier (Band n50, 100MHz TDD)</t>
        </is>
      </c>
      <c r="Q891" s="27">
        <f>ROUNDUP(O891/'Methodology &amp; Assumptions'!$B$8, 0)</f>
        <v/>
      </c>
      <c r="R891" s="27" t="n">
        <v>1</v>
      </c>
      <c r="S891" s="26" t="n">
        <v>1.12</v>
      </c>
      <c r="T891" s="26" t="n">
        <v>1.11</v>
      </c>
      <c r="U891" s="11">
        <f>IF(S891&lt;='Methodology &amp; Assumptions'!$B$10, "Direct Optical Drop (&lt;3km)", IF(S891&lt;='Methodology &amp; Assumptions'!$B$9, "Near Optical / Microwave (&lt;5km)", "Starlink Business LEO Satellite Backhaul (&gt;5km)"))</f>
        <v/>
      </c>
      <c r="V891" s="26" t="n">
        <v>77.37</v>
      </c>
      <c r="W891" s="26" t="n">
        <v>40.23</v>
      </c>
      <c r="X891" s="26">
        <f>ROUND(('Methodology &amp; Assumptions'!$B$5*V891) + ('Methodology &amp; Assumptions'!$B$6*W891), 2)</f>
        <v/>
      </c>
      <c r="Y891" s="28" t="n">
        <v>8.300000000000001</v>
      </c>
      <c r="Z891" s="11" t="inlineStr">
        <is>
          <t>Priority Tier 3 (Broadband Expansion)</t>
        </is>
      </c>
    </row>
    <row r="892">
      <c r="A892" s="23" t="n">
        <v>4</v>
      </c>
      <c r="B892" s="23" t="n">
        <v>888</v>
      </c>
      <c r="C892" s="23" t="n">
        <v>3888</v>
      </c>
      <c r="D892" s="23" t="inlineStr">
        <is>
          <t>0907344012</t>
        </is>
      </c>
      <c r="E892" s="11" t="inlineStr">
        <is>
          <t>Region IX (Zamboanga Peninsula)</t>
        </is>
      </c>
      <c r="F892" s="11" t="inlineStr">
        <is>
          <t>Zamboanga del Sur</t>
        </is>
      </c>
      <c r="G892" s="11" t="inlineStr">
        <is>
          <t>Tigbao</t>
        </is>
      </c>
      <c r="H892" s="11" t="inlineStr">
        <is>
          <t>Mate</t>
        </is>
      </c>
      <c r="I892" s="24" t="n">
        <v>7.89146</v>
      </c>
      <c r="J892" s="24" t="n">
        <v>123.230715</v>
      </c>
      <c r="K892" s="23" t="inlineStr">
        <is>
          <t>R</t>
        </is>
      </c>
      <c r="L892" s="25" t="n">
        <v>1111</v>
      </c>
      <c r="M892" s="26" t="n">
        <v>3.9</v>
      </c>
      <c r="N892" s="25">
        <f>ROUND(L892/M892, 0)</f>
        <v/>
      </c>
      <c r="O892" s="25">
        <f>ROUND(N892*'Methodology &amp; Assumptions'!$B$7, 0)</f>
        <v/>
      </c>
      <c r="P892" s="23" t="inlineStr">
        <is>
          <t>Single Carrier (Band n50, 100MHz TDD)</t>
        </is>
      </c>
      <c r="Q892" s="27">
        <f>ROUNDUP(O892/'Methodology &amp; Assumptions'!$B$8, 0)</f>
        <v/>
      </c>
      <c r="R892" s="27" t="n">
        <v>1</v>
      </c>
      <c r="S892" s="26" t="n">
        <v>23.94</v>
      </c>
      <c r="T892" s="26" t="n">
        <v>5.5</v>
      </c>
      <c r="U892" s="11">
        <f>IF(S892&lt;='Methodology &amp; Assumptions'!$B$10, "Direct Optical Drop (&lt;3km)", IF(S892&lt;='Methodology &amp; Assumptions'!$B$9, "Near Optical / Microwave (&lt;5km)", "Starlink Business LEO Satellite Backhaul (&gt;5km)"))</f>
        <v/>
      </c>
      <c r="V892" s="26" t="n">
        <v>46.04</v>
      </c>
      <c r="W892" s="26" t="n">
        <v>71.56</v>
      </c>
      <c r="X892" s="26">
        <f>ROUND(('Methodology &amp; Assumptions'!$B$5*V892) + ('Methodology &amp; Assumptions'!$B$6*W892), 2)</f>
        <v/>
      </c>
      <c r="Y892" s="28" t="n">
        <v>11</v>
      </c>
      <c r="Z892" s="11" t="inlineStr">
        <is>
          <t>Priority Tier 3 (Broadband Expansion)</t>
        </is>
      </c>
    </row>
    <row r="893">
      <c r="A893" s="23" t="n">
        <v>4</v>
      </c>
      <c r="B893" s="23" t="n">
        <v>889</v>
      </c>
      <c r="C893" s="23" t="n">
        <v>3889</v>
      </c>
      <c r="D893" s="23" t="inlineStr">
        <is>
          <t>1001312054</t>
        </is>
      </c>
      <c r="E893" s="11" t="inlineStr">
        <is>
          <t>Region X (Northern Mindanao)</t>
        </is>
      </c>
      <c r="F893" s="11" t="inlineStr">
        <is>
          <t>Bukidnon</t>
        </is>
      </c>
      <c r="G893" s="11" t="inlineStr">
        <is>
          <t>City of Malaybalay</t>
        </is>
      </c>
      <c r="H893" s="11" t="inlineStr">
        <is>
          <t>Barangay 11</t>
        </is>
      </c>
      <c r="I893" s="24" t="n">
        <v>8.150211000000001</v>
      </c>
      <c r="J893" s="24" t="n">
        <v>125.123746</v>
      </c>
      <c r="K893" s="23" t="inlineStr">
        <is>
          <t>R</t>
        </is>
      </c>
      <c r="L893" s="25" t="n">
        <v>3395</v>
      </c>
      <c r="M893" s="26" t="n">
        <v>3.8</v>
      </c>
      <c r="N893" s="25">
        <f>ROUND(L893/M893, 0)</f>
        <v/>
      </c>
      <c r="O893" s="25">
        <f>ROUND(N893*'Methodology &amp; Assumptions'!$B$7, 0)</f>
        <v/>
      </c>
      <c r="P893" s="23" t="inlineStr">
        <is>
          <t>Single Carrier (Band n50, 100MHz TDD)</t>
        </is>
      </c>
      <c r="Q893" s="27">
        <f>ROUNDUP(O893/'Methodology &amp; Assumptions'!$B$8, 0)</f>
        <v/>
      </c>
      <c r="R893" s="27" t="n">
        <v>1</v>
      </c>
      <c r="S893" s="26" t="n">
        <v>0.8100000000000001</v>
      </c>
      <c r="T893" s="26" t="n">
        <v>0.72</v>
      </c>
      <c r="U893" s="11">
        <f>IF(S893&lt;='Methodology &amp; Assumptions'!$B$10, "Direct Optical Drop (&lt;3km)", IF(S893&lt;='Methodology &amp; Assumptions'!$B$9, "Near Optical / Microwave (&lt;5km)", "Starlink Business LEO Satellite Backhaul (&gt;5km)"))</f>
        <v/>
      </c>
      <c r="V893" s="26" t="n">
        <v>87.06999999999999</v>
      </c>
      <c r="W893" s="26" t="n">
        <v>30.52</v>
      </c>
      <c r="X893" s="26">
        <f>ROUND(('Methodology &amp; Assumptions'!$B$5*V893) + ('Methodology &amp; Assumptions'!$B$6*W893), 2)</f>
        <v/>
      </c>
      <c r="Y893" s="28" t="n">
        <v>17.4</v>
      </c>
      <c r="Z893" s="11" t="inlineStr">
        <is>
          <t>Priority Tier 3 (Broadband Expansion)</t>
        </is>
      </c>
    </row>
    <row r="894">
      <c r="A894" s="23" t="n">
        <v>4</v>
      </c>
      <c r="B894" s="23" t="n">
        <v>890</v>
      </c>
      <c r="C894" s="23" t="n">
        <v>3890</v>
      </c>
      <c r="D894" s="23" t="inlineStr">
        <is>
          <t>0203106002</t>
        </is>
      </c>
      <c r="E894" s="11" t="inlineStr">
        <is>
          <t>Region II (Cagayan Valley)</t>
        </is>
      </c>
      <c r="F894" s="11" t="inlineStr">
        <is>
          <t>Isabela</t>
        </is>
      </c>
      <c r="G894" s="11" t="inlineStr">
        <is>
          <t>Cabagan</t>
        </is>
      </c>
      <c r="H894" s="11" t="inlineStr">
        <is>
          <t>Anao</t>
        </is>
      </c>
      <c r="I894" s="24" t="n">
        <v>17.423275</v>
      </c>
      <c r="J894" s="24" t="n">
        <v>121.769234</v>
      </c>
      <c r="K894" s="23" t="inlineStr">
        <is>
          <t>R</t>
        </is>
      </c>
      <c r="L894" s="25" t="n">
        <v>3727</v>
      </c>
      <c r="M894" s="26" t="n">
        <v>3.8</v>
      </c>
      <c r="N894" s="25">
        <f>ROUND(L894/M894, 0)</f>
        <v/>
      </c>
      <c r="O894" s="25">
        <f>ROUND(N894*'Methodology &amp; Assumptions'!$B$7, 0)</f>
        <v/>
      </c>
      <c r="P894" s="23" t="inlineStr">
        <is>
          <t>Single Carrier (Band n50, 100MHz TDD)</t>
        </is>
      </c>
      <c r="Q894" s="27">
        <f>ROUNDUP(O894/'Methodology &amp; Assumptions'!$B$8, 0)</f>
        <v/>
      </c>
      <c r="R894" s="27" t="n">
        <v>1</v>
      </c>
      <c r="S894" s="26" t="n">
        <v>0.84</v>
      </c>
      <c r="T894" s="26" t="n">
        <v>0.6</v>
      </c>
      <c r="U894" s="11">
        <f>IF(S894&lt;='Methodology &amp; Assumptions'!$B$10, "Direct Optical Drop (&lt;3km)", IF(S894&lt;='Methodology &amp; Assumptions'!$B$9, "Near Optical / Microwave (&lt;5km)", "Starlink Business LEO Satellite Backhaul (&gt;5km)"))</f>
        <v/>
      </c>
      <c r="V894" s="26" t="n">
        <v>85.63</v>
      </c>
      <c r="W894" s="26" t="n">
        <v>31.95</v>
      </c>
      <c r="X894" s="26">
        <f>ROUND(('Methodology &amp; Assumptions'!$B$5*V894) + ('Methodology &amp; Assumptions'!$B$6*W894), 2)</f>
        <v/>
      </c>
      <c r="Y894" s="28" t="n">
        <v>8.300000000000001</v>
      </c>
      <c r="Z894" s="11" t="inlineStr">
        <is>
          <t>Priority Tier 3 (Broadband Expansion)</t>
        </is>
      </c>
    </row>
    <row r="895">
      <c r="A895" s="23" t="n">
        <v>4</v>
      </c>
      <c r="B895" s="23" t="n">
        <v>891</v>
      </c>
      <c r="C895" s="23" t="n">
        <v>3891</v>
      </c>
      <c r="D895" s="23" t="inlineStr">
        <is>
          <t>0105533025</t>
        </is>
      </c>
      <c r="E895" s="11" t="inlineStr">
        <is>
          <t>Region I (Ilocos Region)</t>
        </is>
      </c>
      <c r="F895" s="11" t="inlineStr">
        <is>
          <t>Pangasinan</t>
        </is>
      </c>
      <c r="G895" s="11" t="inlineStr">
        <is>
          <t>San Fabian</t>
        </is>
      </c>
      <c r="H895" s="11" t="inlineStr">
        <is>
          <t>Tocok</t>
        </is>
      </c>
      <c r="I895" s="24" t="n">
        <v>16.13631</v>
      </c>
      <c r="J895" s="24" t="n">
        <v>120.4151</v>
      </c>
      <c r="K895" s="23" t="inlineStr">
        <is>
          <t>R</t>
        </is>
      </c>
      <c r="L895" s="25" t="n">
        <v>3807</v>
      </c>
      <c r="M895" s="26" t="n">
        <v>3.6</v>
      </c>
      <c r="N895" s="25">
        <f>ROUND(L895/M895, 0)</f>
        <v/>
      </c>
      <c r="O895" s="25">
        <f>ROUND(N895*'Methodology &amp; Assumptions'!$B$7, 0)</f>
        <v/>
      </c>
      <c r="P895" s="23" t="inlineStr">
        <is>
          <t>Single Carrier (Band n50, 100MHz TDD)</t>
        </is>
      </c>
      <c r="Q895" s="27">
        <f>ROUNDUP(O895/'Methodology &amp; Assumptions'!$B$8, 0)</f>
        <v/>
      </c>
      <c r="R895" s="27" t="n">
        <v>1</v>
      </c>
      <c r="S895" s="26" t="n">
        <v>2.83</v>
      </c>
      <c r="T895" s="26" t="n">
        <v>0.04</v>
      </c>
      <c r="U895" s="11">
        <f>IF(S895&lt;='Methodology &amp; Assumptions'!$B$10, "Direct Optical Drop (&lt;3km)", IF(S895&lt;='Methodology &amp; Assumptions'!$B$9, "Near Optical / Microwave (&lt;5km)", "Starlink Business LEO Satellite Backhaul (&gt;5km)"))</f>
        <v/>
      </c>
      <c r="V895" s="26" t="n">
        <v>78.69</v>
      </c>
      <c r="W895" s="26" t="n">
        <v>38.89</v>
      </c>
      <c r="X895" s="26">
        <f>ROUND(('Methodology &amp; Assumptions'!$B$5*V895) + ('Methodology &amp; Assumptions'!$B$6*W895), 2)</f>
        <v/>
      </c>
      <c r="Y895" s="28" t="n">
        <v>8.300000000000001</v>
      </c>
      <c r="Z895" s="11" t="inlineStr">
        <is>
          <t>Priority Tier 3 (Broadband Expansion)</t>
        </is>
      </c>
    </row>
    <row r="896">
      <c r="A896" s="23" t="n">
        <v>4</v>
      </c>
      <c r="B896" s="23" t="n">
        <v>892</v>
      </c>
      <c r="C896" s="23" t="n">
        <v>3892</v>
      </c>
      <c r="D896" s="23" t="inlineStr">
        <is>
          <t>0403423011</t>
        </is>
      </c>
      <c r="E896" s="11" t="inlineStr">
        <is>
          <t>Region IV-A (CALABARZON)</t>
        </is>
      </c>
      <c r="F896" s="11" t="inlineStr">
        <is>
          <t>Laguna</t>
        </is>
      </c>
      <c r="G896" s="11" t="inlineStr">
        <is>
          <t>Rizal</t>
        </is>
      </c>
      <c r="H896" s="11" t="inlineStr">
        <is>
          <t>Tuy</t>
        </is>
      </c>
      <c r="I896" s="24" t="n">
        <v>14.111317</v>
      </c>
      <c r="J896" s="24" t="n">
        <v>121.404609</v>
      </c>
      <c r="K896" s="23" t="inlineStr">
        <is>
          <t>R</t>
        </is>
      </c>
      <c r="L896" s="25" t="n">
        <v>2025</v>
      </c>
      <c r="M896" s="26" t="n">
        <v>3.6</v>
      </c>
      <c r="N896" s="25">
        <f>ROUND(L896/M896, 0)</f>
        <v/>
      </c>
      <c r="O896" s="25">
        <f>ROUND(N896*'Methodology &amp; Assumptions'!$B$7, 0)</f>
        <v/>
      </c>
      <c r="P896" s="23" t="inlineStr">
        <is>
          <t>Single Carrier (Band n50, 100MHz TDD)</t>
        </is>
      </c>
      <c r="Q896" s="27">
        <f>ROUNDUP(O896/'Methodology &amp; Assumptions'!$B$8, 0)</f>
        <v/>
      </c>
      <c r="R896" s="27" t="n">
        <v>1</v>
      </c>
      <c r="S896" s="26" t="n">
        <v>1.28</v>
      </c>
      <c r="T896" s="26" t="n">
        <v>0.18</v>
      </c>
      <c r="U896" s="11">
        <f>IF(S896&lt;='Methodology &amp; Assumptions'!$B$10, "Direct Optical Drop (&lt;3km)", IF(S896&lt;='Methodology &amp; Assumptions'!$B$9, "Near Optical / Microwave (&lt;5km)", "Starlink Business LEO Satellite Backhaul (&gt;5km)"))</f>
        <v/>
      </c>
      <c r="V896" s="26" t="n">
        <v>78.18000000000001</v>
      </c>
      <c r="W896" s="26" t="n">
        <v>39.4</v>
      </c>
      <c r="X896" s="26">
        <f>ROUND(('Methodology &amp; Assumptions'!$B$5*V896) + ('Methodology &amp; Assumptions'!$B$6*W896), 2)</f>
        <v/>
      </c>
      <c r="Y896" s="28" t="n">
        <v>7.2</v>
      </c>
      <c r="Z896" s="11" t="inlineStr">
        <is>
          <t>Priority Tier 3 (Broadband Expansion)</t>
        </is>
      </c>
    </row>
    <row r="897">
      <c r="A897" s="23" t="n">
        <v>4</v>
      </c>
      <c r="B897" s="23" t="n">
        <v>893</v>
      </c>
      <c r="C897" s="23" t="n">
        <v>3893</v>
      </c>
      <c r="D897" s="23" t="inlineStr">
        <is>
          <t>0405623004</t>
        </is>
      </c>
      <c r="E897" s="11" t="inlineStr">
        <is>
          <t>Region IV-A (CALABARZON)</t>
        </is>
      </c>
      <c r="F897" s="11" t="inlineStr">
        <is>
          <t>Quezon</t>
        </is>
      </c>
      <c r="G897" s="11" t="inlineStr">
        <is>
          <t>Lucban</t>
        </is>
      </c>
      <c r="H897" s="11" t="inlineStr">
        <is>
          <t>Ayuti</t>
        </is>
      </c>
      <c r="I897" s="24" t="n">
        <v>14.115744</v>
      </c>
      <c r="J897" s="24" t="n">
        <v>121.547059</v>
      </c>
      <c r="K897" s="23" t="inlineStr">
        <is>
          <t>U</t>
        </is>
      </c>
      <c r="L897" s="25" t="n">
        <v>10218</v>
      </c>
      <c r="M897" s="26" t="n">
        <v>3.8</v>
      </c>
      <c r="N897" s="25">
        <f>ROUND(L897/M897, 0)</f>
        <v/>
      </c>
      <c r="O897" s="25">
        <f>ROUND(N897*'Methodology &amp; Assumptions'!$B$7, 0)</f>
        <v/>
      </c>
      <c r="P897" s="23" t="inlineStr">
        <is>
          <t>Single Carrier (Band n50, 100MHz TDD)</t>
        </is>
      </c>
      <c r="Q897" s="27">
        <f>ROUNDUP(O897/'Methodology &amp; Assumptions'!$B$8, 0)</f>
        <v/>
      </c>
      <c r="R897" s="27" t="n">
        <v>1</v>
      </c>
      <c r="S897" s="26" t="n">
        <v>1.22</v>
      </c>
      <c r="T897" s="26" t="n">
        <v>0.18</v>
      </c>
      <c r="U897" s="11">
        <f>IF(S897&lt;='Methodology &amp; Assumptions'!$B$10, "Direct Optical Drop (&lt;3km)", IF(S897&lt;='Methodology &amp; Assumptions'!$B$9, "Near Optical / Microwave (&lt;5km)", "Starlink Business LEO Satellite Backhaul (&gt;5km)"))</f>
        <v/>
      </c>
      <c r="V897" s="26" t="n">
        <v>76.81999999999999</v>
      </c>
      <c r="W897" s="26" t="n">
        <v>40.76</v>
      </c>
      <c r="X897" s="26">
        <f>ROUND(('Methodology &amp; Assumptions'!$B$5*V897) + ('Methodology &amp; Assumptions'!$B$6*W897), 2)</f>
        <v/>
      </c>
      <c r="Y897" s="28" t="n">
        <v>7.2</v>
      </c>
      <c r="Z897" s="11" t="inlineStr">
        <is>
          <t>Priority Tier 3 (Broadband Expansion)</t>
        </is>
      </c>
    </row>
    <row r="898">
      <c r="A898" s="23" t="n">
        <v>4</v>
      </c>
      <c r="B898" s="23" t="n">
        <v>894</v>
      </c>
      <c r="C898" s="23" t="n">
        <v>3894</v>
      </c>
      <c r="D898" s="23" t="inlineStr">
        <is>
          <t>1380613003</t>
        </is>
      </c>
      <c r="E898" s="11" t="inlineStr">
        <is>
          <t>National Capital Region (NCR)</t>
        </is>
      </c>
      <c r="F898" s="11" t="inlineStr">
        <is>
          <t>First District (Not a Province)</t>
        </is>
      </c>
      <c r="G898" s="11" t="inlineStr">
        <is>
          <t>City of Manila</t>
        </is>
      </c>
      <c r="H898" s="11" t="inlineStr">
        <is>
          <t>Barangay 651</t>
        </is>
      </c>
      <c r="I898" s="24" t="n">
        <v>14.588074</v>
      </c>
      <c r="J898" s="24" t="n">
        <v>120.971106</v>
      </c>
      <c r="K898" s="23" t="inlineStr">
        <is>
          <t>U</t>
        </is>
      </c>
      <c r="L898" s="25" t="n">
        <v>2033</v>
      </c>
      <c r="M898" s="26" t="n">
        <v>3.45</v>
      </c>
      <c r="N898" s="25">
        <f>ROUND(L898/M898, 0)</f>
        <v/>
      </c>
      <c r="O898" s="25">
        <f>ROUND(N898*'Methodology &amp; Assumptions'!$B$7, 0)</f>
        <v/>
      </c>
      <c r="P898" s="23" t="inlineStr">
        <is>
          <t>Single Carrier (Band n50, 100MHz TDD)</t>
        </is>
      </c>
      <c r="Q898" s="27">
        <f>ROUNDUP(O898/'Methodology &amp; Assumptions'!$B$8, 0)</f>
        <v/>
      </c>
      <c r="R898" s="27" t="n">
        <v>1</v>
      </c>
      <c r="S898" s="26" t="n">
        <v>1.23</v>
      </c>
      <c r="T898" s="26" t="n">
        <v>1.21</v>
      </c>
      <c r="U898" s="11">
        <f>IF(S898&lt;='Methodology &amp; Assumptions'!$B$10, "Direct Optical Drop (&lt;3km)", IF(S898&lt;='Methodology &amp; Assumptions'!$B$9, "Near Optical / Microwave (&lt;5km)", "Starlink Business LEO Satellite Backhaul (&gt;5km)"))</f>
        <v/>
      </c>
      <c r="V898" s="26" t="n">
        <v>58.57</v>
      </c>
      <c r="W898" s="26" t="n">
        <v>59.01</v>
      </c>
      <c r="X898" s="26">
        <f>ROUND(('Methodology &amp; Assumptions'!$B$5*V898) + ('Methodology &amp; Assumptions'!$B$6*W898), 2)</f>
        <v/>
      </c>
      <c r="Y898" s="28" t="n">
        <v>10.9</v>
      </c>
      <c r="Z898" s="11" t="inlineStr">
        <is>
          <t>Priority Tier 3 (Broadband Expansion)</t>
        </is>
      </c>
    </row>
    <row r="899">
      <c r="A899" s="23" t="n">
        <v>4</v>
      </c>
      <c r="B899" s="23" t="n">
        <v>895</v>
      </c>
      <c r="C899" s="23" t="n">
        <v>3895</v>
      </c>
      <c r="D899" s="23" t="inlineStr">
        <is>
          <t>1102506009</t>
        </is>
      </c>
      <c r="E899" s="11" t="inlineStr">
        <is>
          <t>Region XI (Davao Region)</t>
        </is>
      </c>
      <c r="F899" s="11" t="inlineStr">
        <is>
          <t>Davao Oriental</t>
        </is>
      </c>
      <c r="G899" s="11" t="inlineStr">
        <is>
          <t>Governor Generoso</t>
        </is>
      </c>
      <c r="H899" s="11" t="inlineStr">
        <is>
          <t>Oregon</t>
        </is>
      </c>
      <c r="I899" s="24" t="n">
        <v>6.610427</v>
      </c>
      <c r="J899" s="24" t="n">
        <v>126.143678</v>
      </c>
      <c r="K899" s="23" t="inlineStr">
        <is>
          <t>R</t>
        </is>
      </c>
      <c r="L899" s="25" t="n">
        <v>1214</v>
      </c>
      <c r="M899" s="26" t="n">
        <v>3.6</v>
      </c>
      <c r="N899" s="25">
        <f>ROUND(L899/M899, 0)</f>
        <v/>
      </c>
      <c r="O899" s="25">
        <f>ROUND(N899*'Methodology &amp; Assumptions'!$B$7, 0)</f>
        <v/>
      </c>
      <c r="P899" s="23" t="inlineStr">
        <is>
          <t>Single Carrier (Band n50, 100MHz TDD)</t>
        </is>
      </c>
      <c r="Q899" s="27">
        <f>ROUNDUP(O899/'Methodology &amp; Assumptions'!$B$8, 0)</f>
        <v/>
      </c>
      <c r="R899" s="27" t="n">
        <v>1</v>
      </c>
      <c r="S899" s="26" t="n">
        <v>34.94</v>
      </c>
      <c r="T899" s="26" t="n">
        <v>30.02</v>
      </c>
      <c r="U899" s="11">
        <f>IF(S899&lt;='Methodology &amp; Assumptions'!$B$10, "Direct Optical Drop (&lt;3km)", IF(S899&lt;='Methodology &amp; Assumptions'!$B$9, "Near Optical / Microwave (&lt;5km)", "Starlink Business LEO Satellite Backhaul (&gt;5km)"))</f>
        <v/>
      </c>
      <c r="V899" s="26" t="n">
        <v>45.74</v>
      </c>
      <c r="W899" s="26" t="n">
        <v>71.84</v>
      </c>
      <c r="X899" s="26">
        <f>ROUND(('Methodology &amp; Assumptions'!$B$5*V899) + ('Methodology &amp; Assumptions'!$B$6*W899), 2)</f>
        <v/>
      </c>
      <c r="Y899" s="28" t="n">
        <v>17.4</v>
      </c>
      <c r="Z899" s="11" t="inlineStr">
        <is>
          <t>Priority Tier 3 (Broadband Expansion)</t>
        </is>
      </c>
    </row>
    <row r="900">
      <c r="A900" s="23" t="n">
        <v>4</v>
      </c>
      <c r="B900" s="23" t="n">
        <v>896</v>
      </c>
      <c r="C900" s="23" t="n">
        <v>3896</v>
      </c>
      <c r="D900" s="23" t="inlineStr">
        <is>
          <t>0600403013</t>
        </is>
      </c>
      <c r="E900" s="11" t="inlineStr">
        <is>
          <t>Region VI (Western Visayas)</t>
        </is>
      </c>
      <c r="F900" s="11" t="inlineStr">
        <is>
          <t>Aklan</t>
        </is>
      </c>
      <c r="G900" s="11" t="inlineStr">
        <is>
          <t>Banga</t>
        </is>
      </c>
      <c r="H900" s="11" t="inlineStr">
        <is>
          <t>Linabuan Sur</t>
        </is>
      </c>
      <c r="I900" s="24" t="n">
        <v>11.654366</v>
      </c>
      <c r="J900" s="24" t="n">
        <v>122.345728</v>
      </c>
      <c r="K900" s="23" t="inlineStr">
        <is>
          <t>R</t>
        </is>
      </c>
      <c r="L900" s="25" t="n">
        <v>4098</v>
      </c>
      <c r="M900" s="26" t="n">
        <v>3.9</v>
      </c>
      <c r="N900" s="25">
        <f>ROUND(L900/M900, 0)</f>
        <v/>
      </c>
      <c r="O900" s="25">
        <f>ROUND(N900*'Methodology &amp; Assumptions'!$B$7, 0)</f>
        <v/>
      </c>
      <c r="P900" s="23" t="inlineStr">
        <is>
          <t>Single Carrier (Band n50, 100MHz TDD)</t>
        </is>
      </c>
      <c r="Q900" s="27">
        <f>ROUNDUP(O900/'Methodology &amp; Assumptions'!$B$8, 0)</f>
        <v/>
      </c>
      <c r="R900" s="27" t="n">
        <v>1</v>
      </c>
      <c r="S900" s="26" t="n">
        <v>2.66</v>
      </c>
      <c r="T900" s="26" t="n">
        <v>0.24</v>
      </c>
      <c r="U900" s="11">
        <f>IF(S900&lt;='Methodology &amp; Assumptions'!$B$10, "Direct Optical Drop (&lt;3km)", IF(S900&lt;='Methodology &amp; Assumptions'!$B$9, "Near Optical / Microwave (&lt;5km)", "Starlink Business LEO Satellite Backhaul (&gt;5km)"))</f>
        <v/>
      </c>
      <c r="V900" s="26" t="n">
        <v>81.65000000000001</v>
      </c>
      <c r="W900" s="26" t="n">
        <v>35.91</v>
      </c>
      <c r="X900" s="26">
        <f>ROUND(('Methodology &amp; Assumptions'!$B$5*V900) + ('Methodology &amp; Assumptions'!$B$6*W900), 2)</f>
        <v/>
      </c>
      <c r="Y900" s="28" t="n">
        <v>23.7</v>
      </c>
      <c r="Z900" s="11" t="inlineStr">
        <is>
          <t>Priority Tier 3 (Broadband Expansion)</t>
        </is>
      </c>
    </row>
    <row r="901">
      <c r="A901" s="23" t="n">
        <v>4</v>
      </c>
      <c r="B901" s="23" t="n">
        <v>897</v>
      </c>
      <c r="C901" s="23" t="n">
        <v>3897</v>
      </c>
      <c r="D901" s="23" t="inlineStr">
        <is>
          <t>0305403017</t>
        </is>
      </c>
      <c r="E901" s="11" t="inlineStr">
        <is>
          <t>Region III (Central Luzon)</t>
        </is>
      </c>
      <c r="F901" s="11" t="inlineStr">
        <is>
          <t>Pampanga</t>
        </is>
      </c>
      <c r="G901" s="11" t="inlineStr">
        <is>
          <t>Arayat</t>
        </is>
      </c>
      <c r="H901" s="11" t="inlineStr">
        <is>
          <t>Plazang Luma</t>
        </is>
      </c>
      <c r="I901" s="24" t="n">
        <v>15.15171</v>
      </c>
      <c r="J901" s="24" t="n">
        <v>120.76868</v>
      </c>
      <c r="K901" s="23" t="inlineStr">
        <is>
          <t>U</t>
        </is>
      </c>
      <c r="L901" s="25" t="n">
        <v>5689</v>
      </c>
      <c r="M901" s="26" t="n">
        <v>4</v>
      </c>
      <c r="N901" s="25">
        <f>ROUND(L901/M901, 0)</f>
        <v/>
      </c>
      <c r="O901" s="25">
        <f>ROUND(N901*'Methodology &amp; Assumptions'!$B$7, 0)</f>
        <v/>
      </c>
      <c r="P901" s="23" t="inlineStr">
        <is>
          <t>Single Carrier (Band n50, 100MHz TDD)</t>
        </is>
      </c>
      <c r="Q901" s="27">
        <f>ROUNDUP(O901/'Methodology &amp; Assumptions'!$B$8, 0)</f>
        <v/>
      </c>
      <c r="R901" s="27" t="n">
        <v>1</v>
      </c>
      <c r="S901" s="26" t="n">
        <v>1.1</v>
      </c>
      <c r="T901" s="26" t="n">
        <v>0.31</v>
      </c>
      <c r="U901" s="11">
        <f>IF(S901&lt;='Methodology &amp; Assumptions'!$B$10, "Direct Optical Drop (&lt;3km)", IF(S901&lt;='Methodology &amp; Assumptions'!$B$9, "Near Optical / Microwave (&lt;5km)", "Starlink Business LEO Satellite Backhaul (&gt;5km)"))</f>
        <v/>
      </c>
      <c r="V901" s="26" t="n">
        <v>77.45</v>
      </c>
      <c r="W901" s="26" t="n">
        <v>40.11</v>
      </c>
      <c r="X901" s="26">
        <f>ROUND(('Methodology &amp; Assumptions'!$B$5*V901) + ('Methodology &amp; Assumptions'!$B$6*W901), 2)</f>
        <v/>
      </c>
      <c r="Y901" s="28" t="n">
        <v>8.300000000000001</v>
      </c>
      <c r="Z901" s="11" t="inlineStr">
        <is>
          <t>Priority Tier 3 (Broadband Expansion)</t>
        </is>
      </c>
    </row>
    <row r="902">
      <c r="A902" s="23" t="n">
        <v>4</v>
      </c>
      <c r="B902" s="23" t="n">
        <v>898</v>
      </c>
      <c r="C902" s="23" t="n">
        <v>3898</v>
      </c>
      <c r="D902" s="23" t="inlineStr">
        <is>
          <t>0403405036</t>
        </is>
      </c>
      <c r="E902" s="11" t="inlineStr">
        <is>
          <t>Region IV-A (CALABARZON)</t>
        </is>
      </c>
      <c r="F902" s="11" t="inlineStr">
        <is>
          <t>Laguna</t>
        </is>
      </c>
      <c r="G902" s="11" t="inlineStr">
        <is>
          <t>City of Calamba</t>
        </is>
      </c>
      <c r="H902" s="11" t="inlineStr">
        <is>
          <t>Pansol</t>
        </is>
      </c>
      <c r="I902" s="24" t="n">
        <v>14.179444</v>
      </c>
      <c r="J902" s="24" t="n">
        <v>121.183972</v>
      </c>
      <c r="K902" s="23" t="inlineStr">
        <is>
          <t>U</t>
        </is>
      </c>
      <c r="L902" s="25" t="n">
        <v>12741</v>
      </c>
      <c r="M902" s="26" t="n">
        <v>3.3</v>
      </c>
      <c r="N902" s="25">
        <f>ROUND(L902/M902, 0)</f>
        <v/>
      </c>
      <c r="O902" s="25">
        <f>ROUND(N902*'Methodology &amp; Assumptions'!$B$7, 0)</f>
        <v/>
      </c>
      <c r="P902" s="23" t="inlineStr">
        <is>
          <t>Single Carrier (Band n50, 100MHz TDD)</t>
        </is>
      </c>
      <c r="Q902" s="27">
        <f>ROUNDUP(O902/'Methodology &amp; Assumptions'!$B$8, 0)</f>
        <v/>
      </c>
      <c r="R902" s="27" t="n">
        <v>1</v>
      </c>
      <c r="S902" s="26" t="n">
        <v>4.53</v>
      </c>
      <c r="T902" s="26" t="n">
        <v>0.41</v>
      </c>
      <c r="U902" s="11">
        <f>IF(S902&lt;='Methodology &amp; Assumptions'!$B$10, "Direct Optical Drop (&lt;3km)", IF(S902&lt;='Methodology &amp; Assumptions'!$B$9, "Near Optical / Microwave (&lt;5km)", "Starlink Business LEO Satellite Backhaul (&gt;5km)"))</f>
        <v/>
      </c>
      <c r="V902" s="26" t="n">
        <v>67.61</v>
      </c>
      <c r="W902" s="26" t="n">
        <v>49.95</v>
      </c>
      <c r="X902" s="26">
        <f>ROUND(('Methodology &amp; Assumptions'!$B$5*V902) + ('Methodology &amp; Assumptions'!$B$6*W902), 2)</f>
        <v/>
      </c>
      <c r="Y902" s="28" t="n">
        <v>7.2</v>
      </c>
      <c r="Z902" s="11" t="inlineStr">
        <is>
          <t>Priority Tier 3 (Broadband Expansion)</t>
        </is>
      </c>
    </row>
    <row r="903">
      <c r="A903" s="23" t="n">
        <v>4</v>
      </c>
      <c r="B903" s="23" t="n">
        <v>899</v>
      </c>
      <c r="C903" s="23" t="n">
        <v>3899</v>
      </c>
      <c r="D903" s="23" t="inlineStr">
        <is>
          <t>1402703011</t>
        </is>
      </c>
      <c r="E903" s="11" t="inlineStr">
        <is>
          <t>Cordillera Administrative Region (CAR)</t>
        </is>
      </c>
      <c r="F903" s="11" t="inlineStr">
        <is>
          <t>Ifugao</t>
        </is>
      </c>
      <c r="G903" s="11" t="inlineStr">
        <is>
          <t>Kiangan</t>
        </is>
      </c>
      <c r="H903" s="11" t="inlineStr">
        <is>
          <t>Hucab</t>
        </is>
      </c>
      <c r="I903" s="24" t="n">
        <v>16.76422</v>
      </c>
      <c r="J903" s="24" t="n">
        <v>121.142067</v>
      </c>
      <c r="K903" s="23" t="inlineStr">
        <is>
          <t>R</t>
        </is>
      </c>
      <c r="L903" s="25" t="n">
        <v>1768</v>
      </c>
      <c r="M903" s="26" t="n">
        <v>3.9</v>
      </c>
      <c r="N903" s="25">
        <f>ROUND(L903/M903, 0)</f>
        <v/>
      </c>
      <c r="O903" s="25">
        <f>ROUND(N903*'Methodology &amp; Assumptions'!$B$7, 0)</f>
        <v/>
      </c>
      <c r="P903" s="23" t="inlineStr">
        <is>
          <t>Single Carrier (Band n50, 100MHz TDD)</t>
        </is>
      </c>
      <c r="Q903" s="27">
        <f>ROUNDUP(O903/'Methodology &amp; Assumptions'!$B$8, 0)</f>
        <v/>
      </c>
      <c r="R903" s="27" t="n">
        <v>1</v>
      </c>
      <c r="S903" s="26" t="n">
        <v>4.29</v>
      </c>
      <c r="T903" s="26" t="n">
        <v>0.11</v>
      </c>
      <c r="U903" s="11">
        <f>IF(S903&lt;='Methodology &amp; Assumptions'!$B$10, "Direct Optical Drop (&lt;3km)", IF(S903&lt;='Methodology &amp; Assumptions'!$B$9, "Near Optical / Microwave (&lt;5km)", "Starlink Business LEO Satellite Backhaul (&gt;5km)"))</f>
        <v/>
      </c>
      <c r="V903" s="26" t="n">
        <v>62.42</v>
      </c>
      <c r="W903" s="26" t="n">
        <v>55.14</v>
      </c>
      <c r="X903" s="26">
        <f>ROUND(('Methodology &amp; Assumptions'!$B$5*V903) + ('Methodology &amp; Assumptions'!$B$6*W903), 2)</f>
        <v/>
      </c>
      <c r="Y903" s="28" t="n">
        <v>10.9</v>
      </c>
      <c r="Z903" s="11" t="inlineStr">
        <is>
          <t>Priority Tier 3 (Broadband Expansion)</t>
        </is>
      </c>
    </row>
    <row r="904">
      <c r="A904" s="23" t="n">
        <v>4</v>
      </c>
      <c r="B904" s="23" t="n">
        <v>900</v>
      </c>
      <c r="C904" s="23" t="n">
        <v>3900</v>
      </c>
      <c r="D904" s="23" t="inlineStr">
        <is>
          <t>1380606034</t>
        </is>
      </c>
      <c r="E904" s="11" t="inlineStr">
        <is>
          <t>National Capital Region (NCR)</t>
        </is>
      </c>
      <c r="F904" s="11" t="inlineStr">
        <is>
          <t>First District (Not a Province)</t>
        </is>
      </c>
      <c r="G904" s="11" t="inlineStr">
        <is>
          <t>City of Manila</t>
        </is>
      </c>
      <c r="H904" s="11" t="inlineStr">
        <is>
          <t>Barangay 428</t>
        </is>
      </c>
      <c r="I904" s="24" t="n">
        <v>14.603012</v>
      </c>
      <c r="J904" s="24" t="n">
        <v>121.006011</v>
      </c>
      <c r="K904" s="23" t="inlineStr">
        <is>
          <t>U</t>
        </is>
      </c>
      <c r="L904" s="25" t="n">
        <v>924</v>
      </c>
      <c r="M904" s="26" t="n">
        <v>3.8</v>
      </c>
      <c r="N904" s="25">
        <f>ROUND(L904/M904, 0)</f>
        <v/>
      </c>
      <c r="O904" s="25">
        <f>ROUND(N904*'Methodology &amp; Assumptions'!$B$7, 0)</f>
        <v/>
      </c>
      <c r="P904" s="23" t="inlineStr">
        <is>
          <t>Single Carrier (Band n50, 100MHz TDD)</t>
        </is>
      </c>
      <c r="Q904" s="27">
        <f>ROUNDUP(O904/'Methodology &amp; Assumptions'!$B$8, 0)</f>
        <v/>
      </c>
      <c r="R904" s="27" t="n">
        <v>1</v>
      </c>
      <c r="S904" s="26" t="n">
        <v>0.19</v>
      </c>
      <c r="T904" s="26" t="n">
        <v>0.13</v>
      </c>
      <c r="U904" s="11">
        <f>IF(S904&lt;='Methodology &amp; Assumptions'!$B$10, "Direct Optical Drop (&lt;3km)", IF(S904&lt;='Methodology &amp; Assumptions'!$B$9, "Near Optical / Microwave (&lt;5km)", "Starlink Business LEO Satellite Backhaul (&gt;5km)"))</f>
        <v/>
      </c>
      <c r="V904" s="26" t="n">
        <v>48.91</v>
      </c>
      <c r="W904" s="26" t="n">
        <v>68.65000000000001</v>
      </c>
      <c r="X904" s="26">
        <f>ROUND(('Methodology &amp; Assumptions'!$B$5*V904) + ('Methodology &amp; Assumptions'!$B$6*W904), 2)</f>
        <v/>
      </c>
      <c r="Y904" s="28" t="n">
        <v>10.9</v>
      </c>
      <c r="Z904" s="11" t="inlineStr">
        <is>
          <t>Priority Tier 3 (Broadband Expansion)</t>
        </is>
      </c>
    </row>
    <row r="905">
      <c r="A905" s="23" t="n">
        <v>4</v>
      </c>
      <c r="B905" s="23" t="n">
        <v>901</v>
      </c>
      <c r="C905" s="23" t="n">
        <v>3901</v>
      </c>
      <c r="D905" s="23" t="inlineStr">
        <is>
          <t>1380606111</t>
        </is>
      </c>
      <c r="E905" s="11" t="inlineStr">
        <is>
          <t>National Capital Region (NCR)</t>
        </is>
      </c>
      <c r="F905" s="11" t="inlineStr">
        <is>
          <t>First District (Not a Province)</t>
        </is>
      </c>
      <c r="G905" s="11" t="inlineStr">
        <is>
          <t>City of Manila</t>
        </is>
      </c>
      <c r="H905" s="11" t="inlineStr">
        <is>
          <t>Barangay 505</t>
        </is>
      </c>
      <c r="I905" s="24" t="n">
        <v>14.614746</v>
      </c>
      <c r="J905" s="24" t="n">
        <v>120.99516</v>
      </c>
      <c r="K905" s="23" t="inlineStr">
        <is>
          <t>U</t>
        </is>
      </c>
      <c r="L905" s="25" t="n">
        <v>788</v>
      </c>
      <c r="M905" s="26" t="n">
        <v>3.1</v>
      </c>
      <c r="N905" s="25">
        <f>ROUND(L905/M905, 0)</f>
        <v/>
      </c>
      <c r="O905" s="25">
        <f>ROUND(N905*'Methodology &amp; Assumptions'!$B$7, 0)</f>
        <v/>
      </c>
      <c r="P905" s="23" t="inlineStr">
        <is>
          <t>Single Carrier (Band n50, 100MHz TDD)</t>
        </is>
      </c>
      <c r="Q905" s="27">
        <f>ROUNDUP(O905/'Methodology &amp; Assumptions'!$B$8, 0)</f>
        <v/>
      </c>
      <c r="R905" s="27" t="n">
        <v>1</v>
      </c>
      <c r="S905" s="26" t="n">
        <v>1.02</v>
      </c>
      <c r="T905" s="26" t="n">
        <v>0.32</v>
      </c>
      <c r="U905" s="11">
        <f>IF(S905&lt;='Methodology &amp; Assumptions'!$B$10, "Direct Optical Drop (&lt;3km)", IF(S905&lt;='Methodology &amp; Assumptions'!$B$9, "Near Optical / Microwave (&lt;5km)", "Starlink Business LEO Satellite Backhaul (&gt;5km)"))</f>
        <v/>
      </c>
      <c r="V905" s="26" t="n">
        <v>48.55</v>
      </c>
      <c r="W905" s="26" t="n">
        <v>69</v>
      </c>
      <c r="X905" s="26">
        <f>ROUND(('Methodology &amp; Assumptions'!$B$5*V905) + ('Methodology &amp; Assumptions'!$B$6*W905), 2)</f>
        <v/>
      </c>
      <c r="Y905" s="28" t="n">
        <v>10.9</v>
      </c>
      <c r="Z905" s="11" t="inlineStr">
        <is>
          <t>Priority Tier 3 (Broadband Expansion)</t>
        </is>
      </c>
    </row>
    <row r="906">
      <c r="A906" s="23" t="n">
        <v>4</v>
      </c>
      <c r="B906" s="23" t="n">
        <v>902</v>
      </c>
      <c r="C906" s="23" t="n">
        <v>3902</v>
      </c>
      <c r="D906" s="23" t="inlineStr">
        <is>
          <t>1381100170</t>
        </is>
      </c>
      <c r="E906" s="11" t="inlineStr">
        <is>
          <t>National Capital Region (NCR)</t>
        </is>
      </c>
      <c r="F906" s="11" t="inlineStr">
        <is>
          <t>Fourth District (Not a Province)</t>
        </is>
      </c>
      <c r="G906" s="11" t="inlineStr">
        <is>
          <t>Pasay City</t>
        </is>
      </c>
      <c r="H906" s="11" t="inlineStr">
        <is>
          <t>Barangay 170</t>
        </is>
      </c>
      <c r="I906" s="24" t="n">
        <v>14.537086</v>
      </c>
      <c r="J906" s="24" t="n">
        <v>121.011861</v>
      </c>
      <c r="K906" s="23" t="inlineStr">
        <is>
          <t>U</t>
        </is>
      </c>
      <c r="L906" s="25" t="n">
        <v>880</v>
      </c>
      <c r="M906" s="26" t="n">
        <v>3.24</v>
      </c>
      <c r="N906" s="25">
        <f>ROUND(L906/M906, 0)</f>
        <v/>
      </c>
      <c r="O906" s="25">
        <f>ROUND(N906*'Methodology &amp; Assumptions'!$B$7, 0)</f>
        <v/>
      </c>
      <c r="P906" s="23" t="inlineStr">
        <is>
          <t>Single Carrier (Band n50, 100MHz TDD)</t>
        </is>
      </c>
      <c r="Q906" s="27">
        <f>ROUNDUP(O906/'Methodology &amp; Assumptions'!$B$8, 0)</f>
        <v/>
      </c>
      <c r="R906" s="27" t="n">
        <v>1</v>
      </c>
      <c r="S906" s="26" t="n">
        <v>1.41</v>
      </c>
      <c r="T906" s="26" t="n">
        <v>0.55</v>
      </c>
      <c r="U906" s="11">
        <f>IF(S906&lt;='Methodology &amp; Assumptions'!$B$10, "Direct Optical Drop (&lt;3km)", IF(S906&lt;='Methodology &amp; Assumptions'!$B$9, "Near Optical / Microwave (&lt;5km)", "Starlink Business LEO Satellite Backhaul (&gt;5km)"))</f>
        <v/>
      </c>
      <c r="V906" s="26" t="n">
        <v>47.72</v>
      </c>
      <c r="W906" s="26" t="n">
        <v>69.84</v>
      </c>
      <c r="X906" s="26">
        <f>ROUND(('Methodology &amp; Assumptions'!$B$5*V906) + ('Methodology &amp; Assumptions'!$B$6*W906), 2)</f>
        <v/>
      </c>
      <c r="Y906" s="28" t="n">
        <v>10.9</v>
      </c>
      <c r="Z906" s="11" t="inlineStr">
        <is>
          <t>Priority Tier 3 (Broadband Expansion)</t>
        </is>
      </c>
    </row>
    <row r="907">
      <c r="A907" s="23" t="n">
        <v>4</v>
      </c>
      <c r="B907" s="23" t="n">
        <v>903</v>
      </c>
      <c r="C907" s="23" t="n">
        <v>3903</v>
      </c>
      <c r="D907" s="23" t="inlineStr">
        <is>
          <t>1380611016</t>
        </is>
      </c>
      <c r="E907" s="11" t="inlineStr">
        <is>
          <t>National Capital Region (NCR)</t>
        </is>
      </c>
      <c r="F907" s="11" t="inlineStr">
        <is>
          <t>First District (Not a Province)</t>
        </is>
      </c>
      <c r="G907" s="11" t="inlineStr">
        <is>
          <t>City of Manila</t>
        </is>
      </c>
      <c r="H907" s="11" t="inlineStr">
        <is>
          <t>Barangay 682</t>
        </is>
      </c>
      <c r="I907" s="24" t="n">
        <v>14.580689</v>
      </c>
      <c r="J907" s="24" t="n">
        <v>120.998028</v>
      </c>
      <c r="K907" s="23" t="inlineStr">
        <is>
          <t>U</t>
        </is>
      </c>
      <c r="L907" s="25" t="n">
        <v>747</v>
      </c>
      <c r="M907" s="26" t="n">
        <v>4.22</v>
      </c>
      <c r="N907" s="25">
        <f>ROUND(L907/M907, 0)</f>
        <v/>
      </c>
      <c r="O907" s="25">
        <f>ROUND(N907*'Methodology &amp; Assumptions'!$B$7, 0)</f>
        <v/>
      </c>
      <c r="P907" s="23" t="inlineStr">
        <is>
          <t>Single Carrier (Band n50, 100MHz TDD)</t>
        </is>
      </c>
      <c r="Q907" s="27">
        <f>ROUNDUP(O907/'Methodology &amp; Assumptions'!$B$8, 0)</f>
        <v/>
      </c>
      <c r="R907" s="27" t="n">
        <v>1</v>
      </c>
      <c r="S907" s="26" t="n">
        <v>0.66</v>
      </c>
      <c r="T907" s="26" t="n">
        <v>0.2</v>
      </c>
      <c r="U907" s="11">
        <f>IF(S907&lt;='Methodology &amp; Assumptions'!$B$10, "Direct Optical Drop (&lt;3km)", IF(S907&lt;='Methodology &amp; Assumptions'!$B$9, "Near Optical / Microwave (&lt;5km)", "Starlink Business LEO Satellite Backhaul (&gt;5km)"))</f>
        <v/>
      </c>
      <c r="V907" s="26" t="n">
        <v>46.77</v>
      </c>
      <c r="W907" s="26" t="n">
        <v>70.79000000000001</v>
      </c>
      <c r="X907" s="26">
        <f>ROUND(('Methodology &amp; Assumptions'!$B$5*V907) + ('Methodology &amp; Assumptions'!$B$6*W907), 2)</f>
        <v/>
      </c>
      <c r="Y907" s="28" t="n">
        <v>10.9</v>
      </c>
      <c r="Z907" s="11" t="inlineStr">
        <is>
          <t>Priority Tier 3 (Broadband Expansion)</t>
        </is>
      </c>
    </row>
    <row r="908">
      <c r="A908" s="23" t="n">
        <v>4</v>
      </c>
      <c r="B908" s="23" t="n">
        <v>904</v>
      </c>
      <c r="C908" s="23" t="n">
        <v>3904</v>
      </c>
      <c r="D908" s="23" t="inlineStr">
        <is>
          <t>0600410025</t>
        </is>
      </c>
      <c r="E908" s="11" t="inlineStr">
        <is>
          <t>Region VI (Western Visayas)</t>
        </is>
      </c>
      <c r="F908" s="11" t="inlineStr">
        <is>
          <t>Aklan</t>
        </is>
      </c>
      <c r="G908" s="11" t="inlineStr">
        <is>
          <t>Madalag</t>
        </is>
      </c>
      <c r="H908" s="11" t="inlineStr">
        <is>
          <t>Tigbawan</t>
        </is>
      </c>
      <c r="I908" s="24" t="n">
        <v>11.46623</v>
      </c>
      <c r="J908" s="24" t="n">
        <v>122.208953</v>
      </c>
      <c r="K908" s="23" t="inlineStr">
        <is>
          <t>R</t>
        </is>
      </c>
      <c r="L908" s="25" t="n">
        <v>742</v>
      </c>
      <c r="M908" s="26" t="n">
        <v>3.9</v>
      </c>
      <c r="N908" s="25">
        <f>ROUND(L908/M908, 0)</f>
        <v/>
      </c>
      <c r="O908" s="25">
        <f>ROUND(N908*'Methodology &amp; Assumptions'!$B$7, 0)</f>
        <v/>
      </c>
      <c r="P908" s="23" t="inlineStr">
        <is>
          <t>Single Carrier (Band n50, 100MHz TDD)</t>
        </is>
      </c>
      <c r="Q908" s="27">
        <f>ROUNDUP(O908/'Methodology &amp; Assumptions'!$B$8, 0)</f>
        <v/>
      </c>
      <c r="R908" s="27" t="n">
        <v>1</v>
      </c>
      <c r="S908" s="26" t="n">
        <v>19.87</v>
      </c>
      <c r="T908" s="26" t="n">
        <v>20.16</v>
      </c>
      <c r="U908" s="11">
        <f>IF(S908&lt;='Methodology &amp; Assumptions'!$B$10, "Direct Optical Drop (&lt;3km)", IF(S908&lt;='Methodology &amp; Assumptions'!$B$9, "Near Optical / Microwave (&lt;5km)", "Starlink Business LEO Satellite Backhaul (&gt;5km)"))</f>
        <v/>
      </c>
      <c r="V908" s="26" t="n">
        <v>41.99</v>
      </c>
      <c r="W908" s="26" t="n">
        <v>75.56999999999999</v>
      </c>
      <c r="X908" s="26">
        <f>ROUND(('Methodology &amp; Assumptions'!$B$5*V908) + ('Methodology &amp; Assumptions'!$B$6*W908), 2)</f>
        <v/>
      </c>
      <c r="Y908" s="28" t="n">
        <v>23.7</v>
      </c>
      <c r="Z908" s="11" t="inlineStr">
        <is>
          <t>Priority Tier 3 (Broadband Expansion)</t>
        </is>
      </c>
    </row>
    <row r="909">
      <c r="A909" s="23" t="n">
        <v>4</v>
      </c>
      <c r="B909" s="23" t="n">
        <v>905</v>
      </c>
      <c r="C909" s="23" t="n">
        <v>3905</v>
      </c>
      <c r="D909" s="23" t="inlineStr">
        <is>
          <t>0301421037</t>
        </is>
      </c>
      <c r="E909" s="11" t="inlineStr">
        <is>
          <t>Region III (Central Luzon)</t>
        </is>
      </c>
      <c r="F909" s="11" t="inlineStr">
        <is>
          <t>Bulacan</t>
        </is>
      </c>
      <c r="G909" s="11" t="inlineStr">
        <is>
          <t>San Miguel</t>
        </is>
      </c>
      <c r="H909" s="11" t="inlineStr">
        <is>
          <t>Poblacion</t>
        </is>
      </c>
      <c r="I909" s="24" t="n">
        <v>15.141941</v>
      </c>
      <c r="J909" s="24" t="n">
        <v>120.97313</v>
      </c>
      <c r="K909" s="23" t="inlineStr">
        <is>
          <t>R</t>
        </is>
      </c>
      <c r="L909" s="25" t="n">
        <v>3269</v>
      </c>
      <c r="M909" s="26" t="n">
        <v>3.5</v>
      </c>
      <c r="N909" s="25">
        <f>ROUND(L909/M909, 0)</f>
        <v/>
      </c>
      <c r="O909" s="25">
        <f>ROUND(N909*'Methodology &amp; Assumptions'!$B$7, 0)</f>
        <v/>
      </c>
      <c r="P909" s="23" t="inlineStr">
        <is>
          <t>Single Carrier (Band n50, 100MHz TDD)</t>
        </is>
      </c>
      <c r="Q909" s="27">
        <f>ROUNDUP(O909/'Methodology &amp; Assumptions'!$B$8, 0)</f>
        <v/>
      </c>
      <c r="R909" s="27" t="n">
        <v>1</v>
      </c>
      <c r="S909" s="26" t="n">
        <v>1.43</v>
      </c>
      <c r="T909" s="26" t="n">
        <v>0.23</v>
      </c>
      <c r="U909" s="11">
        <f>IF(S909&lt;='Methodology &amp; Assumptions'!$B$10, "Direct Optical Drop (&lt;3km)", IF(S909&lt;='Methodology &amp; Assumptions'!$B$9, "Near Optical / Microwave (&lt;5km)", "Starlink Business LEO Satellite Backhaul (&gt;5km)"))</f>
        <v/>
      </c>
      <c r="V909" s="26" t="n">
        <v>83.40000000000001</v>
      </c>
      <c r="W909" s="26" t="n">
        <v>34.14</v>
      </c>
      <c r="X909" s="26">
        <f>ROUND(('Methodology &amp; Assumptions'!$B$5*V909) + ('Methodology &amp; Assumptions'!$B$6*W909), 2)</f>
        <v/>
      </c>
      <c r="Y909" s="28" t="n">
        <v>8.300000000000001</v>
      </c>
      <c r="Z909" s="11" t="inlineStr">
        <is>
          <t>Priority Tier 3 (Broadband Expansion)</t>
        </is>
      </c>
    </row>
    <row r="910">
      <c r="A910" s="23" t="n">
        <v>4</v>
      </c>
      <c r="B910" s="23" t="n">
        <v>906</v>
      </c>
      <c r="C910" s="23" t="n">
        <v>3906</v>
      </c>
      <c r="D910" s="23" t="inlineStr">
        <is>
          <t>0304919016</t>
        </is>
      </c>
      <c r="E910" s="11" t="inlineStr">
        <is>
          <t>Region III (Central Luzon)</t>
        </is>
      </c>
      <c r="F910" s="11" t="inlineStr">
        <is>
          <t>Nueva Ecija</t>
        </is>
      </c>
      <c r="G910" s="11" t="inlineStr">
        <is>
          <t>City of Palayan</t>
        </is>
      </c>
      <c r="H910" s="11" t="inlineStr">
        <is>
          <t>Doña Josefa</t>
        </is>
      </c>
      <c r="I910" s="24" t="n">
        <v>15.585783</v>
      </c>
      <c r="J910" s="24" t="n">
        <v>120.924577</v>
      </c>
      <c r="K910" s="23" t="inlineStr">
        <is>
          <t>R</t>
        </is>
      </c>
      <c r="L910" s="25" t="n">
        <v>2206</v>
      </c>
      <c r="M910" s="26" t="n">
        <v>3.5</v>
      </c>
      <c r="N910" s="25">
        <f>ROUND(L910/M910, 0)</f>
        <v/>
      </c>
      <c r="O910" s="25">
        <f>ROUND(N910*'Methodology &amp; Assumptions'!$B$7, 0)</f>
        <v/>
      </c>
      <c r="P910" s="23" t="inlineStr">
        <is>
          <t>Single Carrier (Band n50, 100MHz TDD)</t>
        </is>
      </c>
      <c r="Q910" s="27">
        <f>ROUNDUP(O910/'Methodology &amp; Assumptions'!$B$8, 0)</f>
        <v/>
      </c>
      <c r="R910" s="27" t="n">
        <v>1</v>
      </c>
      <c r="S910" s="26" t="n">
        <v>0.71</v>
      </c>
      <c r="T910" s="26" t="n">
        <v>0.52</v>
      </c>
      <c r="U910" s="11">
        <f>IF(S910&lt;='Methodology &amp; Assumptions'!$B$10, "Direct Optical Drop (&lt;3km)", IF(S910&lt;='Methodology &amp; Assumptions'!$B$9, "Near Optical / Microwave (&lt;5km)", "Starlink Business LEO Satellite Backhaul (&gt;5km)"))</f>
        <v/>
      </c>
      <c r="V910" s="26" t="n">
        <v>79.5</v>
      </c>
      <c r="W910" s="26" t="n">
        <v>38.05</v>
      </c>
      <c r="X910" s="26">
        <f>ROUND(('Methodology &amp; Assumptions'!$B$5*V910) + ('Methodology &amp; Assumptions'!$B$6*W910), 2)</f>
        <v/>
      </c>
      <c r="Y910" s="28" t="n">
        <v>8.300000000000001</v>
      </c>
      <c r="Z910" s="11" t="inlineStr">
        <is>
          <t>Priority Tier 3 (Broadband Expansion)</t>
        </is>
      </c>
    </row>
    <row r="911">
      <c r="A911" s="23" t="n">
        <v>4</v>
      </c>
      <c r="B911" s="23" t="n">
        <v>907</v>
      </c>
      <c r="C911" s="23" t="n">
        <v>3907</v>
      </c>
      <c r="D911" s="23" t="inlineStr">
        <is>
          <t>1401106004</t>
        </is>
      </c>
      <c r="E911" s="11" t="inlineStr">
        <is>
          <t>Cordillera Administrative Region (CAR)</t>
        </is>
      </c>
      <c r="F911" s="11" t="inlineStr">
        <is>
          <t>Benguet</t>
        </is>
      </c>
      <c r="G911" s="11" t="inlineStr">
        <is>
          <t>Itogon</t>
        </is>
      </c>
      <c r="H911" s="11" t="inlineStr">
        <is>
          <t>Loacan</t>
        </is>
      </c>
      <c r="I911" s="24" t="n">
        <v>16.42952</v>
      </c>
      <c r="J911" s="24" t="n">
        <v>120.65267</v>
      </c>
      <c r="K911" s="23" t="inlineStr">
        <is>
          <t>U</t>
        </is>
      </c>
      <c r="L911" s="25" t="n">
        <v>8605</v>
      </c>
      <c r="M911" s="26" t="n">
        <v>3.5</v>
      </c>
      <c r="N911" s="25">
        <f>ROUND(L911/M911, 0)</f>
        <v/>
      </c>
      <c r="O911" s="25">
        <f>ROUND(N911*'Methodology &amp; Assumptions'!$B$7, 0)</f>
        <v/>
      </c>
      <c r="P911" s="23" t="inlineStr">
        <is>
          <t>Single Carrier (Band n50, 100MHz TDD)</t>
        </is>
      </c>
      <c r="Q911" s="27">
        <f>ROUNDUP(O911/'Methodology &amp; Assumptions'!$B$8, 0)</f>
        <v/>
      </c>
      <c r="R911" s="27" t="n">
        <v>1</v>
      </c>
      <c r="S911" s="26" t="n">
        <v>2.03</v>
      </c>
      <c r="T911" s="26" t="n">
        <v>0.17</v>
      </c>
      <c r="U911" s="11">
        <f>IF(S911&lt;='Methodology &amp; Assumptions'!$B$10, "Direct Optical Drop (&lt;3km)", IF(S911&lt;='Methodology &amp; Assumptions'!$B$9, "Near Optical / Microwave (&lt;5km)", "Starlink Business LEO Satellite Backhaul (&gt;5km)"))</f>
        <v/>
      </c>
      <c r="V911" s="26" t="n">
        <v>74.51000000000001</v>
      </c>
      <c r="W911" s="26" t="n">
        <v>43.02</v>
      </c>
      <c r="X911" s="26">
        <f>ROUND(('Methodology &amp; Assumptions'!$B$5*V911) + ('Methodology &amp; Assumptions'!$B$6*W911), 2)</f>
        <v/>
      </c>
      <c r="Y911" s="28" t="n">
        <v>10.9</v>
      </c>
      <c r="Z911" s="11" t="inlineStr">
        <is>
          <t>Priority Tier 3 (Broadband Expansion)</t>
        </is>
      </c>
    </row>
    <row r="912">
      <c r="A912" s="23" t="n">
        <v>4</v>
      </c>
      <c r="B912" s="23" t="n">
        <v>908</v>
      </c>
      <c r="C912" s="23" t="n">
        <v>3908</v>
      </c>
      <c r="D912" s="23" t="inlineStr">
        <is>
          <t>0201518011</t>
        </is>
      </c>
      <c r="E912" s="11" t="inlineStr">
        <is>
          <t>Region II (Cagayan Valley)</t>
        </is>
      </c>
      <c r="F912" s="11" t="inlineStr">
        <is>
          <t>Cagayan</t>
        </is>
      </c>
      <c r="G912" s="11" t="inlineStr">
        <is>
          <t>Pamplona</t>
        </is>
      </c>
      <c r="H912" s="11" t="inlineStr">
        <is>
          <t>Gattu</t>
        </is>
      </c>
      <c r="I912" s="24" t="n">
        <v>18.468227</v>
      </c>
      <c r="J912" s="24" t="n">
        <v>121.315461</v>
      </c>
      <c r="K912" s="23" t="inlineStr">
        <is>
          <t>R</t>
        </is>
      </c>
      <c r="L912" s="25" t="n">
        <v>484</v>
      </c>
      <c r="M912" s="26" t="n">
        <v>3.9</v>
      </c>
      <c r="N912" s="25">
        <f>ROUND(L912/M912, 0)</f>
        <v/>
      </c>
      <c r="O912" s="25">
        <f>ROUND(N912*'Methodology &amp; Assumptions'!$B$7, 0)</f>
        <v/>
      </c>
      <c r="P912" s="23" t="inlineStr">
        <is>
          <t>Single Carrier (Band n50, 100MHz TDD)</t>
        </is>
      </c>
      <c r="Q912" s="27">
        <f>ROUNDUP(O912/'Methodology &amp; Assumptions'!$B$8, 0)</f>
        <v/>
      </c>
      <c r="R912" s="27" t="n">
        <v>1</v>
      </c>
      <c r="S912" s="26" t="n">
        <v>2.65</v>
      </c>
      <c r="T912" s="26" t="n">
        <v>2.44</v>
      </c>
      <c r="U912" s="11">
        <f>IF(S912&lt;='Methodology &amp; Assumptions'!$B$10, "Direct Optical Drop (&lt;3km)", IF(S912&lt;='Methodology &amp; Assumptions'!$B$9, "Near Optical / Microwave (&lt;5km)", "Starlink Business LEO Satellite Backhaul (&gt;5km)"))</f>
        <v/>
      </c>
      <c r="V912" s="26" t="n">
        <v>53.16</v>
      </c>
      <c r="W912" s="26" t="n">
        <v>64.39</v>
      </c>
      <c r="X912" s="26">
        <f>ROUND(('Methodology &amp; Assumptions'!$B$5*V912) + ('Methodology &amp; Assumptions'!$B$6*W912), 2)</f>
        <v/>
      </c>
      <c r="Y912" s="28" t="n">
        <v>8.300000000000001</v>
      </c>
      <c r="Z912" s="11" t="inlineStr">
        <is>
          <t>Priority Tier 3 (Broadband Expansion)</t>
        </is>
      </c>
    </row>
    <row r="913">
      <c r="A913" s="23" t="n">
        <v>4</v>
      </c>
      <c r="B913" s="23" t="n">
        <v>909</v>
      </c>
      <c r="C913" s="23" t="n">
        <v>3909</v>
      </c>
      <c r="D913" s="23" t="inlineStr">
        <is>
          <t>0803730010</t>
        </is>
      </c>
      <c r="E913" s="11" t="inlineStr">
        <is>
          <t>Region VIII (Eastern Visayas)</t>
        </is>
      </c>
      <c r="F913" s="11" t="inlineStr">
        <is>
          <t>Leyte</t>
        </is>
      </c>
      <c r="G913" s="11" t="inlineStr">
        <is>
          <t>Macarthur</t>
        </is>
      </c>
      <c r="H913" s="11" t="inlineStr">
        <is>
          <t>Lanawan</t>
        </is>
      </c>
      <c r="I913" s="24" t="n">
        <v>10.823652</v>
      </c>
      <c r="J913" s="24" t="n">
        <v>124.863372</v>
      </c>
      <c r="K913" s="23" t="inlineStr">
        <is>
          <t>R</t>
        </is>
      </c>
      <c r="L913" s="25" t="n">
        <v>353</v>
      </c>
      <c r="M913" s="26" t="n">
        <v>3.8</v>
      </c>
      <c r="N913" s="25">
        <f>ROUND(L913/M913, 0)</f>
        <v/>
      </c>
      <c r="O913" s="25">
        <f>ROUND(N913*'Methodology &amp; Assumptions'!$B$7, 0)</f>
        <v/>
      </c>
      <c r="P913" s="23" t="inlineStr">
        <is>
          <t>Single Carrier (Band n50, 100MHz TDD)</t>
        </is>
      </c>
      <c r="Q913" s="27">
        <f>ROUNDUP(O913/'Methodology &amp; Assumptions'!$B$8, 0)</f>
        <v/>
      </c>
      <c r="R913" s="27" t="n">
        <v>1</v>
      </c>
      <c r="S913" s="26" t="n">
        <v>17.39</v>
      </c>
      <c r="T913" s="26" t="n">
        <v>10.13</v>
      </c>
      <c r="U913" s="11">
        <f>IF(S913&lt;='Methodology &amp; Assumptions'!$B$10, "Direct Optical Drop (&lt;3km)", IF(S913&lt;='Methodology &amp; Assumptions'!$B$9, "Near Optical / Microwave (&lt;5km)", "Starlink Business LEO Satellite Backhaul (&gt;5km)"))</f>
        <v/>
      </c>
      <c r="V913" s="26" t="n">
        <v>41.67</v>
      </c>
      <c r="W913" s="26" t="n">
        <v>75.87</v>
      </c>
      <c r="X913" s="26">
        <f>ROUND(('Methodology &amp; Assumptions'!$B$5*V913) + ('Methodology &amp; Assumptions'!$B$6*W913), 2)</f>
        <v/>
      </c>
      <c r="Y913" s="28" t="n">
        <v>23.7</v>
      </c>
      <c r="Z913" s="11" t="inlineStr">
        <is>
          <t>Priority Tier 3 (Broadband Expansion)</t>
        </is>
      </c>
    </row>
    <row r="914">
      <c r="A914" s="23" t="n">
        <v>4</v>
      </c>
      <c r="B914" s="23" t="n">
        <v>910</v>
      </c>
      <c r="C914" s="23" t="n">
        <v>3910</v>
      </c>
      <c r="D914" s="23" t="inlineStr">
        <is>
          <t>0405625024</t>
        </is>
      </c>
      <c r="E914" s="11" t="inlineStr">
        <is>
          <t>Region IV-A (CALABARZON)</t>
        </is>
      </c>
      <c r="F914" s="11" t="inlineStr">
        <is>
          <t>Quezon</t>
        </is>
      </c>
      <c r="G914" s="11" t="inlineStr">
        <is>
          <t>Macalelon</t>
        </is>
      </c>
      <c r="H914" s="11" t="inlineStr">
        <is>
          <t>San Jose</t>
        </is>
      </c>
      <c r="I914" s="24" t="n">
        <v>13.787157</v>
      </c>
      <c r="J914" s="24" t="n">
        <v>122.215451</v>
      </c>
      <c r="K914" s="23" t="inlineStr">
        <is>
          <t>R</t>
        </is>
      </c>
      <c r="L914" s="25" t="n">
        <v>212</v>
      </c>
      <c r="M914" s="26" t="n">
        <v>3.8</v>
      </c>
      <c r="N914" s="25">
        <f>ROUND(L914/M914, 0)</f>
        <v/>
      </c>
      <c r="O914" s="25">
        <f>ROUND(N914*'Methodology &amp; Assumptions'!$B$7, 0)</f>
        <v/>
      </c>
      <c r="P914" s="23" t="inlineStr">
        <is>
          <t>Single Carrier (Band n50, 100MHz TDD)</t>
        </is>
      </c>
      <c r="Q914" s="27">
        <f>ROUNDUP(O914/'Methodology &amp; Assumptions'!$B$8, 0)</f>
        <v/>
      </c>
      <c r="R914" s="27" t="n">
        <v>1</v>
      </c>
      <c r="S914" s="26" t="n">
        <v>9.68</v>
      </c>
      <c r="T914" s="26" t="n">
        <v>6.92</v>
      </c>
      <c r="U914" s="11">
        <f>IF(S914&lt;='Methodology &amp; Assumptions'!$B$10, "Direct Optical Drop (&lt;3km)", IF(S914&lt;='Methodology &amp; Assumptions'!$B$9, "Near Optical / Microwave (&lt;5km)", "Starlink Business LEO Satellite Backhaul (&gt;5km)"))</f>
        <v/>
      </c>
      <c r="V914" s="26" t="n">
        <v>40.44</v>
      </c>
      <c r="W914" s="26" t="n">
        <v>77.09999999999999</v>
      </c>
      <c r="X914" s="26">
        <f>ROUND(('Methodology &amp; Assumptions'!$B$5*V914) + ('Methodology &amp; Assumptions'!$B$6*W914), 2)</f>
        <v/>
      </c>
      <c r="Y914" s="28" t="n">
        <v>7.2</v>
      </c>
      <c r="Z914" s="11" t="inlineStr">
        <is>
          <t>Priority Tier 3 (Broadband Expansion)</t>
        </is>
      </c>
    </row>
    <row r="915">
      <c r="A915" s="23" t="n">
        <v>4</v>
      </c>
      <c r="B915" s="23" t="n">
        <v>911</v>
      </c>
      <c r="C915" s="23" t="n">
        <v>3911</v>
      </c>
      <c r="D915" s="23" t="inlineStr">
        <is>
          <t>0305415022</t>
        </is>
      </c>
      <c r="E915" s="11" t="inlineStr">
        <is>
          <t>Region III (Central Luzon)</t>
        </is>
      </c>
      <c r="F915" s="11" t="inlineStr">
        <is>
          <t>Pampanga</t>
        </is>
      </c>
      <c r="G915" s="11" t="inlineStr">
        <is>
          <t>Porac</t>
        </is>
      </c>
      <c r="H915" s="11" t="inlineStr">
        <is>
          <t>Palat</t>
        </is>
      </c>
      <c r="I915" s="24" t="n">
        <v>15.04258</v>
      </c>
      <c r="J915" s="24" t="n">
        <v>120.5358</v>
      </c>
      <c r="K915" s="23" t="inlineStr">
        <is>
          <t>R</t>
        </is>
      </c>
      <c r="L915" s="25" t="n">
        <v>4696</v>
      </c>
      <c r="M915" s="26" t="n">
        <v>4</v>
      </c>
      <c r="N915" s="25">
        <f>ROUND(L915/M915, 0)</f>
        <v/>
      </c>
      <c r="O915" s="25">
        <f>ROUND(N915*'Methodology &amp; Assumptions'!$B$7, 0)</f>
        <v/>
      </c>
      <c r="P915" s="23" t="inlineStr">
        <is>
          <t>Single Carrier (Band n50, 100MHz TDD)</t>
        </is>
      </c>
      <c r="Q915" s="27">
        <f>ROUNDUP(O915/'Methodology &amp; Assumptions'!$B$8, 0)</f>
        <v/>
      </c>
      <c r="R915" s="27" t="n">
        <v>1</v>
      </c>
      <c r="S915" s="26" t="n">
        <v>2.5</v>
      </c>
      <c r="T915" s="26" t="n">
        <v>0.98</v>
      </c>
      <c r="U915" s="11">
        <f>IF(S915&lt;='Methodology &amp; Assumptions'!$B$10, "Direct Optical Drop (&lt;3km)", IF(S915&lt;='Methodology &amp; Assumptions'!$B$9, "Near Optical / Microwave (&lt;5km)", "Starlink Business LEO Satellite Backhaul (&gt;5km)"))</f>
        <v/>
      </c>
      <c r="V915" s="26" t="n">
        <v>79.72</v>
      </c>
      <c r="W915" s="26" t="n">
        <v>37.79</v>
      </c>
      <c r="X915" s="26">
        <f>ROUND(('Methodology &amp; Assumptions'!$B$5*V915) + ('Methodology &amp; Assumptions'!$B$6*W915), 2)</f>
        <v/>
      </c>
      <c r="Y915" s="28" t="n">
        <v>8.300000000000001</v>
      </c>
      <c r="Z915" s="11" t="inlineStr">
        <is>
          <t>Priority Tier 3 (Broadband Expansion)</t>
        </is>
      </c>
    </row>
    <row r="916">
      <c r="A916" s="23" t="n">
        <v>4</v>
      </c>
      <c r="B916" s="23" t="n">
        <v>912</v>
      </c>
      <c r="C916" s="23" t="n">
        <v>3912</v>
      </c>
      <c r="D916" s="23" t="inlineStr">
        <is>
          <t>1380606045</t>
        </is>
      </c>
      <c r="E916" s="11" t="inlineStr">
        <is>
          <t>National Capital Region (NCR)</t>
        </is>
      </c>
      <c r="F916" s="11" t="inlineStr">
        <is>
          <t>First District (Not a Province)</t>
        </is>
      </c>
      <c r="G916" s="11" t="inlineStr">
        <is>
          <t>City of Manila</t>
        </is>
      </c>
      <c r="H916" s="11" t="inlineStr">
        <is>
          <t>Barangay 439</t>
        </is>
      </c>
      <c r="I916" s="24" t="n">
        <v>14.606328</v>
      </c>
      <c r="J916" s="24" t="n">
        <v>120.998915</v>
      </c>
      <c r="K916" s="23" t="inlineStr">
        <is>
          <t>U</t>
        </is>
      </c>
      <c r="L916" s="25" t="n">
        <v>821</v>
      </c>
      <c r="M916" s="26" t="n">
        <v>3.67</v>
      </c>
      <c r="N916" s="25">
        <f>ROUND(L916/M916, 0)</f>
        <v/>
      </c>
      <c r="O916" s="25">
        <f>ROUND(N916*'Methodology &amp; Assumptions'!$B$7, 0)</f>
        <v/>
      </c>
      <c r="P916" s="23" t="inlineStr">
        <is>
          <t>Single Carrier (Band n50, 100MHz TDD)</t>
        </is>
      </c>
      <c r="Q916" s="27">
        <f>ROUNDUP(O916/'Methodology &amp; Assumptions'!$B$8, 0)</f>
        <v/>
      </c>
      <c r="R916" s="27" t="n">
        <v>1</v>
      </c>
      <c r="S916" s="26" t="n">
        <v>0.73</v>
      </c>
      <c r="T916" s="26" t="n">
        <v>0.22</v>
      </c>
      <c r="U916" s="11">
        <f>IF(S916&lt;='Methodology &amp; Assumptions'!$B$10, "Direct Optical Drop (&lt;3km)", IF(S916&lt;='Methodology &amp; Assumptions'!$B$9, "Near Optical / Microwave (&lt;5km)", "Starlink Business LEO Satellite Backhaul (&gt;5km)"))</f>
        <v/>
      </c>
      <c r="V916" s="26" t="n">
        <v>48.27</v>
      </c>
      <c r="W916" s="26" t="n">
        <v>69.26000000000001</v>
      </c>
      <c r="X916" s="26">
        <f>ROUND(('Methodology &amp; Assumptions'!$B$5*V916) + ('Methodology &amp; Assumptions'!$B$6*W916), 2)</f>
        <v/>
      </c>
      <c r="Y916" s="28" t="n">
        <v>10.9</v>
      </c>
      <c r="Z916" s="11" t="inlineStr">
        <is>
          <t>Priority Tier 3 (Broadband Expansion)</t>
        </is>
      </c>
    </row>
    <row r="917">
      <c r="A917" s="23" t="n">
        <v>4</v>
      </c>
      <c r="B917" s="23" t="n">
        <v>913</v>
      </c>
      <c r="C917" s="23" t="n">
        <v>3913</v>
      </c>
      <c r="D917" s="23" t="inlineStr">
        <is>
          <t>1380601253</t>
        </is>
      </c>
      <c r="E917" s="11" t="inlineStr">
        <is>
          <t>National Capital Region (NCR)</t>
        </is>
      </c>
      <c r="F917" s="11" t="inlineStr">
        <is>
          <t>First District (Not a Province)</t>
        </is>
      </c>
      <c r="G917" s="11" t="inlineStr">
        <is>
          <t>City of Manila</t>
        </is>
      </c>
      <c r="H917" s="11" t="inlineStr">
        <is>
          <t>Barangay 252</t>
        </is>
      </c>
      <c r="I917" s="24" t="n">
        <v>14.614527</v>
      </c>
      <c r="J917" s="24" t="n">
        <v>120.977244</v>
      </c>
      <c r="K917" s="23" t="inlineStr">
        <is>
          <t>U</t>
        </is>
      </c>
      <c r="L917" s="25" t="n">
        <v>925</v>
      </c>
      <c r="M917" s="26" t="n">
        <v>4.53</v>
      </c>
      <c r="N917" s="25">
        <f>ROUND(L917/M917, 0)</f>
        <v/>
      </c>
      <c r="O917" s="25">
        <f>ROUND(N917*'Methodology &amp; Assumptions'!$B$7, 0)</f>
        <v/>
      </c>
      <c r="P917" s="23" t="inlineStr">
        <is>
          <t>Single Carrier (Band n50, 100MHz TDD)</t>
        </is>
      </c>
      <c r="Q917" s="27">
        <f>ROUNDUP(O917/'Methodology &amp; Assumptions'!$B$8, 0)</f>
        <v/>
      </c>
      <c r="R917" s="27" t="n">
        <v>1</v>
      </c>
      <c r="S917" s="26" t="n">
        <v>0.64</v>
      </c>
      <c r="T917" s="26" t="n">
        <v>0.26</v>
      </c>
      <c r="U917" s="11">
        <f>IF(S917&lt;='Methodology &amp; Assumptions'!$B$10, "Direct Optical Drop (&lt;3km)", IF(S917&lt;='Methodology &amp; Assumptions'!$B$9, "Near Optical / Microwave (&lt;5km)", "Starlink Business LEO Satellite Backhaul (&gt;5km)"))</f>
        <v/>
      </c>
      <c r="V917" s="26" t="n">
        <v>47.63</v>
      </c>
      <c r="W917" s="26" t="n">
        <v>69.89</v>
      </c>
      <c r="X917" s="26">
        <f>ROUND(('Methodology &amp; Assumptions'!$B$5*V917) + ('Methodology &amp; Assumptions'!$B$6*W917), 2)</f>
        <v/>
      </c>
      <c r="Y917" s="28" t="n">
        <v>10.9</v>
      </c>
      <c r="Z917" s="11" t="inlineStr">
        <is>
          <t>Priority Tier 3 (Broadband Expansion)</t>
        </is>
      </c>
    </row>
    <row r="918">
      <c r="A918" s="23" t="n">
        <v>4</v>
      </c>
      <c r="B918" s="23" t="n">
        <v>914</v>
      </c>
      <c r="C918" s="23" t="n">
        <v>3914</v>
      </c>
      <c r="D918" s="23" t="inlineStr">
        <is>
          <t>1903612039</t>
        </is>
      </c>
      <c r="E918" s="11" t="inlineStr">
        <is>
          <t>Bangsamoro Autonomous Region In Muslim Mindanao (BARMM)</t>
        </is>
      </c>
      <c r="F918" s="11" t="inlineStr">
        <is>
          <t>Lanao del Sur</t>
        </is>
      </c>
      <c r="G918" s="11" t="inlineStr">
        <is>
          <t>Lumbatan</t>
        </is>
      </c>
      <c r="H918" s="11" t="inlineStr">
        <is>
          <t>Picotaan</t>
        </is>
      </c>
      <c r="I918" s="24" t="n">
        <v>7.73552</v>
      </c>
      <c r="J918" s="24" t="n">
        <v>124.231323</v>
      </c>
      <c r="K918" s="23" t="inlineStr">
        <is>
          <t>R</t>
        </is>
      </c>
      <c r="L918" s="25" t="n">
        <v>2403</v>
      </c>
      <c r="M918" s="26" t="n">
        <v>5.7</v>
      </c>
      <c r="N918" s="25">
        <f>ROUND(L918/M918, 0)</f>
        <v/>
      </c>
      <c r="O918" s="25">
        <f>ROUND(N918*'Methodology &amp; Assumptions'!$B$7, 0)</f>
        <v/>
      </c>
      <c r="P918" s="23" t="inlineStr">
        <is>
          <t>Single Carrier (Band n50, 100MHz TDD)</t>
        </is>
      </c>
      <c r="Q918" s="27">
        <f>ROUNDUP(O918/'Methodology &amp; Assumptions'!$B$8, 0)</f>
        <v/>
      </c>
      <c r="R918" s="27" t="n">
        <v>1</v>
      </c>
      <c r="S918" s="26" t="n">
        <v>30.89</v>
      </c>
      <c r="T918" s="26" t="n">
        <v>29.09</v>
      </c>
      <c r="U918" s="11">
        <f>IF(S918&lt;='Methodology &amp; Assumptions'!$B$10, "Direct Optical Drop (&lt;3km)", IF(S918&lt;='Methodology &amp; Assumptions'!$B$9, "Near Optical / Microwave (&lt;5km)", "Starlink Business LEO Satellite Backhaul (&gt;5km)"))</f>
        <v/>
      </c>
      <c r="V918" s="26" t="n">
        <v>47.28</v>
      </c>
      <c r="W918" s="26" t="n">
        <v>70.23999999999999</v>
      </c>
      <c r="X918" s="26">
        <f>ROUND(('Methodology &amp; Assumptions'!$B$5*V918) + ('Methodology &amp; Assumptions'!$B$6*W918), 2)</f>
        <v/>
      </c>
      <c r="Y918" s="28" t="n">
        <v>11</v>
      </c>
      <c r="Z918" s="11" t="inlineStr">
        <is>
          <t>Priority Tier 3 (Broadband Expansion)</t>
        </is>
      </c>
    </row>
    <row r="919">
      <c r="A919" s="23" t="n">
        <v>4</v>
      </c>
      <c r="B919" s="23" t="n">
        <v>915</v>
      </c>
      <c r="C919" s="23" t="n">
        <v>3915</v>
      </c>
      <c r="D919" s="23" t="inlineStr">
        <is>
          <t>1380605074</t>
        </is>
      </c>
      <c r="E919" s="11" t="inlineStr">
        <is>
          <t>National Capital Region (NCR)</t>
        </is>
      </c>
      <c r="F919" s="11" t="inlineStr">
        <is>
          <t>First District (Not a Province)</t>
        </is>
      </c>
      <c r="G919" s="11" t="inlineStr">
        <is>
          <t>City of Manila</t>
        </is>
      </c>
      <c r="H919" s="11" t="inlineStr">
        <is>
          <t>Barangay 371</t>
        </is>
      </c>
      <c r="I919" s="24" t="n">
        <v>14.623457</v>
      </c>
      <c r="J919" s="24" t="n">
        <v>120.988708</v>
      </c>
      <c r="K919" s="23" t="inlineStr">
        <is>
          <t>U</t>
        </is>
      </c>
      <c r="L919" s="25" t="n">
        <v>858</v>
      </c>
      <c r="M919" s="26" t="n">
        <v>4.19</v>
      </c>
      <c r="N919" s="25">
        <f>ROUND(L919/M919, 0)</f>
        <v/>
      </c>
      <c r="O919" s="25">
        <f>ROUND(N919*'Methodology &amp; Assumptions'!$B$7, 0)</f>
        <v/>
      </c>
      <c r="P919" s="23" t="inlineStr">
        <is>
          <t>Single Carrier (Band n50, 100MHz TDD)</t>
        </is>
      </c>
      <c r="Q919" s="27">
        <f>ROUNDUP(O919/'Methodology &amp; Assumptions'!$B$8, 0)</f>
        <v/>
      </c>
      <c r="R919" s="27" t="n">
        <v>1</v>
      </c>
      <c r="S919" s="26" t="n">
        <v>1</v>
      </c>
      <c r="T919" s="26" t="n">
        <v>0.3</v>
      </c>
      <c r="U919" s="11">
        <f>IF(S919&lt;='Methodology &amp; Assumptions'!$B$10, "Direct Optical Drop (&lt;3km)", IF(S919&lt;='Methodology &amp; Assumptions'!$B$9, "Near Optical / Microwave (&lt;5km)", "Starlink Business LEO Satellite Backhaul (&gt;5km)"))</f>
        <v/>
      </c>
      <c r="V919" s="26" t="n">
        <v>47.13</v>
      </c>
      <c r="W919" s="26" t="n">
        <v>70.39</v>
      </c>
      <c r="X919" s="26">
        <f>ROUND(('Methodology &amp; Assumptions'!$B$5*V919) + ('Methodology &amp; Assumptions'!$B$6*W919), 2)</f>
        <v/>
      </c>
      <c r="Y919" s="28" t="n">
        <v>10.9</v>
      </c>
      <c r="Z919" s="11" t="inlineStr">
        <is>
          <t>Priority Tier 3 (Broadband Expansion)</t>
        </is>
      </c>
    </row>
    <row r="920">
      <c r="A920" s="23" t="n">
        <v>4</v>
      </c>
      <c r="B920" s="23" t="n">
        <v>916</v>
      </c>
      <c r="C920" s="23" t="n">
        <v>3916</v>
      </c>
      <c r="D920" s="23" t="inlineStr">
        <is>
          <t>0102901006</t>
        </is>
      </c>
      <c r="E920" s="11" t="inlineStr">
        <is>
          <t>Region I (Ilocos Region)</t>
        </is>
      </c>
      <c r="F920" s="11" t="inlineStr">
        <is>
          <t>Ilocos Sur</t>
        </is>
      </c>
      <c r="G920" s="11" t="inlineStr">
        <is>
          <t>Alilem</t>
        </is>
      </c>
      <c r="H920" s="11" t="inlineStr">
        <is>
          <t>Batbato</t>
        </is>
      </c>
      <c r="I920" s="24" t="n">
        <v>16.912573</v>
      </c>
      <c r="J920" s="24" t="n">
        <v>120.564712</v>
      </c>
      <c r="K920" s="23" t="inlineStr">
        <is>
          <t>R</t>
        </is>
      </c>
      <c r="L920" s="25" t="n">
        <v>577</v>
      </c>
      <c r="M920" s="26" t="n">
        <v>3.8</v>
      </c>
      <c r="N920" s="25">
        <f>ROUND(L920/M920, 0)</f>
        <v/>
      </c>
      <c r="O920" s="25">
        <f>ROUND(N920*'Methodology &amp; Assumptions'!$B$7, 0)</f>
        <v/>
      </c>
      <c r="P920" s="23" t="inlineStr">
        <is>
          <t>Single Carrier (Band n50, 100MHz TDD)</t>
        </is>
      </c>
      <c r="Q920" s="27">
        <f>ROUNDUP(O920/'Methodology &amp; Assumptions'!$B$8, 0)</f>
        <v/>
      </c>
      <c r="R920" s="27" t="n">
        <v>1</v>
      </c>
      <c r="S920" s="26" t="n">
        <v>8.18</v>
      </c>
      <c r="T920" s="26" t="n">
        <v>10.75</v>
      </c>
      <c r="U920" s="11">
        <f>IF(S920&lt;='Methodology &amp; Assumptions'!$B$10, "Direct Optical Drop (&lt;3km)", IF(S920&lt;='Methodology &amp; Assumptions'!$B$9, "Near Optical / Microwave (&lt;5km)", "Starlink Business LEO Satellite Backhaul (&gt;5km)"))</f>
        <v/>
      </c>
      <c r="V920" s="26" t="n">
        <v>44.93</v>
      </c>
      <c r="W920" s="26" t="n">
        <v>72.59</v>
      </c>
      <c r="X920" s="26">
        <f>ROUND(('Methodology &amp; Assumptions'!$B$5*V920) + ('Methodology &amp; Assumptions'!$B$6*W920), 2)</f>
        <v/>
      </c>
      <c r="Y920" s="28" t="n">
        <v>8.300000000000001</v>
      </c>
      <c r="Z920" s="11" t="inlineStr">
        <is>
          <t>Priority Tier 3 (Broadband Expansion)</t>
        </is>
      </c>
    </row>
    <row r="921">
      <c r="A921" s="23" t="n">
        <v>4</v>
      </c>
      <c r="B921" s="23" t="n">
        <v>917</v>
      </c>
      <c r="C921" s="23" t="n">
        <v>3917</v>
      </c>
      <c r="D921" s="23" t="inlineStr">
        <is>
          <t>1705206017</t>
        </is>
      </c>
      <c r="E921" s="11" t="inlineStr">
        <is>
          <t>MIMAROPA Region</t>
        </is>
      </c>
      <c r="F921" s="11" t="inlineStr">
        <is>
          <t>Oriental Mindoro</t>
        </is>
      </c>
      <c r="G921" s="11" t="inlineStr">
        <is>
          <t>Gloria</t>
        </is>
      </c>
      <c r="H921" s="11" t="inlineStr">
        <is>
          <t>Maligaya</t>
        </is>
      </c>
      <c r="I921" s="24" t="n">
        <v>12.97048</v>
      </c>
      <c r="J921" s="24" t="n">
        <v>121.47726</v>
      </c>
      <c r="K921" s="23" t="inlineStr">
        <is>
          <t>R</t>
        </is>
      </c>
      <c r="L921" s="25" t="n">
        <v>3305</v>
      </c>
      <c r="M921" s="26" t="n">
        <v>3.9</v>
      </c>
      <c r="N921" s="25">
        <f>ROUND(L921/M921, 0)</f>
        <v/>
      </c>
      <c r="O921" s="25">
        <f>ROUND(N921*'Methodology &amp; Assumptions'!$B$7, 0)</f>
        <v/>
      </c>
      <c r="P921" s="23" t="inlineStr">
        <is>
          <t>Single Carrier (Band n50, 100MHz TDD)</t>
        </is>
      </c>
      <c r="Q921" s="27">
        <f>ROUNDUP(O921/'Methodology &amp; Assumptions'!$B$8, 0)</f>
        <v/>
      </c>
      <c r="R921" s="27" t="n">
        <v>1</v>
      </c>
      <c r="S921" s="26" t="n">
        <v>1.24</v>
      </c>
      <c r="T921" s="26" t="n">
        <v>0.09</v>
      </c>
      <c r="U921" s="11">
        <f>IF(S921&lt;='Methodology &amp; Assumptions'!$B$10, "Direct Optical Drop (&lt;3km)", IF(S921&lt;='Methodology &amp; Assumptions'!$B$9, "Near Optical / Microwave (&lt;5km)", "Starlink Business LEO Satellite Backhaul (&gt;5km)"))</f>
        <v/>
      </c>
      <c r="V921" s="26" t="n">
        <v>83.91</v>
      </c>
      <c r="W921" s="26" t="n">
        <v>33.6</v>
      </c>
      <c r="X921" s="26">
        <f>ROUND(('Methodology &amp; Assumptions'!$B$5*V921) + ('Methodology &amp; Assumptions'!$B$6*W921), 2)</f>
        <v/>
      </c>
      <c r="Y921" s="28" t="n">
        <v>15</v>
      </c>
      <c r="Z921" s="11" t="inlineStr">
        <is>
          <t>Priority Tier 3 (Broadband Expansion)</t>
        </is>
      </c>
    </row>
    <row r="922">
      <c r="A922" s="23" t="n">
        <v>4</v>
      </c>
      <c r="B922" s="23" t="n">
        <v>918</v>
      </c>
      <c r="C922" s="23" t="n">
        <v>3918</v>
      </c>
      <c r="D922" s="23" t="inlineStr">
        <is>
          <t>0304901020</t>
        </is>
      </c>
      <c r="E922" s="11" t="inlineStr">
        <is>
          <t>Region III (Central Luzon)</t>
        </is>
      </c>
      <c r="F922" s="11" t="inlineStr">
        <is>
          <t>Nueva Ecija</t>
        </is>
      </c>
      <c r="G922" s="11" t="inlineStr">
        <is>
          <t>Aliaga</t>
        </is>
      </c>
      <c r="H922" s="11" t="inlineStr">
        <is>
          <t>Poblacion Centro</t>
        </is>
      </c>
      <c r="I922" s="24" t="n">
        <v>15.504461</v>
      </c>
      <c r="J922" s="24" t="n">
        <v>120.85133</v>
      </c>
      <c r="K922" s="23" t="inlineStr">
        <is>
          <t>R</t>
        </is>
      </c>
      <c r="L922" s="25" t="n">
        <v>2513</v>
      </c>
      <c r="M922" s="26" t="n">
        <v>3.5</v>
      </c>
      <c r="N922" s="25">
        <f>ROUND(L922/M922, 0)</f>
        <v/>
      </c>
      <c r="O922" s="25">
        <f>ROUND(N922*'Methodology &amp; Assumptions'!$B$7, 0)</f>
        <v/>
      </c>
      <c r="P922" s="23" t="inlineStr">
        <is>
          <t>Single Carrier (Band n50, 100MHz TDD)</t>
        </is>
      </c>
      <c r="Q922" s="27">
        <f>ROUNDUP(O922/'Methodology &amp; Assumptions'!$B$8, 0)</f>
        <v/>
      </c>
      <c r="R922" s="27" t="n">
        <v>1</v>
      </c>
      <c r="S922" s="26" t="n">
        <v>2.13</v>
      </c>
      <c r="T922" s="26" t="n">
        <v>0.47</v>
      </c>
      <c r="U922" s="11">
        <f>IF(S922&lt;='Methodology &amp; Assumptions'!$B$10, "Direct Optical Drop (&lt;3km)", IF(S922&lt;='Methodology &amp; Assumptions'!$B$9, "Near Optical / Microwave (&lt;5km)", "Starlink Business LEO Satellite Backhaul (&gt;5km)"))</f>
        <v/>
      </c>
      <c r="V922" s="26" t="n">
        <v>77.64</v>
      </c>
      <c r="W922" s="26" t="n">
        <v>39.86</v>
      </c>
      <c r="X922" s="26">
        <f>ROUND(('Methodology &amp; Assumptions'!$B$5*V922) + ('Methodology &amp; Assumptions'!$B$6*W922), 2)</f>
        <v/>
      </c>
      <c r="Y922" s="28" t="n">
        <v>8.300000000000001</v>
      </c>
      <c r="Z922" s="11" t="inlineStr">
        <is>
          <t>Priority Tier 3 (Broadband Expansion)</t>
        </is>
      </c>
    </row>
    <row r="923">
      <c r="A923" s="23" t="n">
        <v>4</v>
      </c>
      <c r="B923" s="23" t="n">
        <v>919</v>
      </c>
      <c r="C923" s="23" t="n">
        <v>3919</v>
      </c>
      <c r="D923" s="23" t="inlineStr">
        <is>
          <t>1408102003</t>
        </is>
      </c>
      <c r="E923" s="11" t="inlineStr">
        <is>
          <t>Cordillera Administrative Region (CAR)</t>
        </is>
      </c>
      <c r="F923" s="11" t="inlineStr">
        <is>
          <t>Apayao</t>
        </is>
      </c>
      <c r="G923" s="11" t="inlineStr">
        <is>
          <t>Conner</t>
        </is>
      </c>
      <c r="H923" s="11" t="inlineStr">
        <is>
          <t>Caglayan</t>
        </is>
      </c>
      <c r="I923" s="24" t="n">
        <v>17.79643</v>
      </c>
      <c r="J923" s="24" t="n">
        <v>121.31242</v>
      </c>
      <c r="K923" s="23" t="inlineStr">
        <is>
          <t>R</t>
        </is>
      </c>
      <c r="L923" s="25" t="n">
        <v>2435</v>
      </c>
      <c r="M923" s="26" t="n">
        <v>4.2</v>
      </c>
      <c r="N923" s="25">
        <f>ROUND(L923/M923, 0)</f>
        <v/>
      </c>
      <c r="O923" s="25">
        <f>ROUND(N923*'Methodology &amp; Assumptions'!$B$7, 0)</f>
        <v/>
      </c>
      <c r="P923" s="23" t="inlineStr">
        <is>
          <t>Single Carrier (Band n50, 100MHz TDD)</t>
        </is>
      </c>
      <c r="Q923" s="27">
        <f>ROUNDUP(O923/'Methodology &amp; Assumptions'!$B$8, 0)</f>
        <v/>
      </c>
      <c r="R923" s="27" t="n">
        <v>1</v>
      </c>
      <c r="S923" s="26" t="n">
        <v>1.25</v>
      </c>
      <c r="T923" s="26" t="n">
        <v>0.9399999999999999</v>
      </c>
      <c r="U923" s="11">
        <f>IF(S923&lt;='Methodology &amp; Assumptions'!$B$10, "Direct Optical Drop (&lt;3km)", IF(S923&lt;='Methodology &amp; Assumptions'!$B$9, "Near Optical / Microwave (&lt;5km)", "Starlink Business LEO Satellite Backhaul (&gt;5km)"))</f>
        <v/>
      </c>
      <c r="V923" s="26" t="n">
        <v>75.13</v>
      </c>
      <c r="W923" s="26" t="n">
        <v>42.37</v>
      </c>
      <c r="X923" s="26">
        <f>ROUND(('Methodology &amp; Assumptions'!$B$5*V923) + ('Methodology &amp; Assumptions'!$B$6*W923), 2)</f>
        <v/>
      </c>
      <c r="Y923" s="28" t="n">
        <v>10.9</v>
      </c>
      <c r="Z923" s="11" t="inlineStr">
        <is>
          <t>Priority Tier 3 (Broadband Expansion)</t>
        </is>
      </c>
    </row>
    <row r="924">
      <c r="A924" s="23" t="n">
        <v>4</v>
      </c>
      <c r="B924" s="23" t="n">
        <v>920</v>
      </c>
      <c r="C924" s="23" t="n">
        <v>3920</v>
      </c>
      <c r="D924" s="23" t="inlineStr">
        <is>
          <t>0501603024</t>
        </is>
      </c>
      <c r="E924" s="11" t="inlineStr">
        <is>
          <t>Region V (Bicol Region)</t>
        </is>
      </c>
      <c r="F924" s="11" t="inlineStr">
        <is>
          <t>Camarines Norte</t>
        </is>
      </c>
      <c r="G924" s="11" t="inlineStr">
        <is>
          <t>Daet</t>
        </is>
      </c>
      <c r="H924" s="11" t="inlineStr">
        <is>
          <t>Barangay I</t>
        </is>
      </c>
      <c r="I924" s="24" t="n">
        <v>14.11252</v>
      </c>
      <c r="J924" s="24" t="n">
        <v>122.956704</v>
      </c>
      <c r="K924" s="23" t="inlineStr">
        <is>
          <t>U</t>
        </is>
      </c>
      <c r="L924" s="25" t="n">
        <v>2255</v>
      </c>
      <c r="M924" s="26" t="n">
        <v>4</v>
      </c>
      <c r="N924" s="25">
        <f>ROUND(L924/M924, 0)</f>
        <v/>
      </c>
      <c r="O924" s="25">
        <f>ROUND(N924*'Methodology &amp; Assumptions'!$B$7, 0)</f>
        <v/>
      </c>
      <c r="P924" s="23" t="inlineStr">
        <is>
          <t>Single Carrier (Band n50, 100MHz TDD)</t>
        </is>
      </c>
      <c r="Q924" s="27">
        <f>ROUNDUP(O924/'Methodology &amp; Assumptions'!$B$8, 0)</f>
        <v/>
      </c>
      <c r="R924" s="27" t="n">
        <v>1</v>
      </c>
      <c r="S924" s="26" t="n">
        <v>0.39</v>
      </c>
      <c r="T924" s="26" t="n">
        <v>1.32</v>
      </c>
      <c r="U924" s="11">
        <f>IF(S924&lt;='Methodology &amp; Assumptions'!$B$10, "Direct Optical Drop (&lt;3km)", IF(S924&lt;='Methodology &amp; Assumptions'!$B$9, "Near Optical / Microwave (&lt;5km)", "Starlink Business LEO Satellite Backhaul (&gt;5km)"))</f>
        <v/>
      </c>
      <c r="V924" s="26" t="n">
        <v>71.39</v>
      </c>
      <c r="W924" s="26" t="n">
        <v>46.11</v>
      </c>
      <c r="X924" s="26">
        <f>ROUND(('Methodology &amp; Assumptions'!$B$5*V924) + ('Methodology &amp; Assumptions'!$B$6*W924), 2)</f>
        <v/>
      </c>
      <c r="Y924" s="28" t="n">
        <v>23.7</v>
      </c>
      <c r="Z924" s="11" t="inlineStr">
        <is>
          <t>Priority Tier 3 (Broadband Expansion)</t>
        </is>
      </c>
    </row>
    <row r="925">
      <c r="A925" s="23" t="n">
        <v>4</v>
      </c>
      <c r="B925" s="23" t="n">
        <v>921</v>
      </c>
      <c r="C925" s="23" t="n">
        <v>3921</v>
      </c>
      <c r="D925" s="23" t="inlineStr">
        <is>
          <t>0600411015</t>
        </is>
      </c>
      <c r="E925" s="11" t="inlineStr">
        <is>
          <t>Region VI (Western Visayas)</t>
        </is>
      </c>
      <c r="F925" s="11" t="inlineStr">
        <is>
          <t>Aklan</t>
        </is>
      </c>
      <c r="G925" s="11" t="inlineStr">
        <is>
          <t>Makato</t>
        </is>
      </c>
      <c r="H925" s="11" t="inlineStr">
        <is>
          <t>Poblacion</t>
        </is>
      </c>
      <c r="I925" s="24" t="n">
        <v>11.695021</v>
      </c>
      <c r="J925" s="24" t="n">
        <v>122.287917</v>
      </c>
      <c r="K925" s="23" t="inlineStr">
        <is>
          <t>R</t>
        </is>
      </c>
      <c r="L925" s="25" t="n">
        <v>3445</v>
      </c>
      <c r="M925" s="26" t="n">
        <v>3.9</v>
      </c>
      <c r="N925" s="25">
        <f>ROUND(L925/M925, 0)</f>
        <v/>
      </c>
      <c r="O925" s="25">
        <f>ROUND(N925*'Methodology &amp; Assumptions'!$B$7, 0)</f>
        <v/>
      </c>
      <c r="P925" s="23" t="inlineStr">
        <is>
          <t>Single Carrier (Band n50, 100MHz TDD)</t>
        </is>
      </c>
      <c r="Q925" s="27">
        <f>ROUNDUP(O925/'Methodology &amp; Assumptions'!$B$8, 0)</f>
        <v/>
      </c>
      <c r="R925" s="27" t="n">
        <v>1</v>
      </c>
      <c r="S925" s="26" t="n">
        <v>2.41</v>
      </c>
      <c r="T925" s="26" t="n">
        <v>1.9</v>
      </c>
      <c r="U925" s="11">
        <f>IF(S925&lt;='Methodology &amp; Assumptions'!$B$10, "Direct Optical Drop (&lt;3km)", IF(S925&lt;='Methodology &amp; Assumptions'!$B$9, "Near Optical / Microwave (&lt;5km)", "Starlink Business LEO Satellite Backhaul (&gt;5km)"))</f>
        <v/>
      </c>
      <c r="V925" s="26" t="n">
        <v>82.45</v>
      </c>
      <c r="W925" s="26" t="n">
        <v>35.02</v>
      </c>
      <c r="X925" s="26">
        <f>ROUND(('Methodology &amp; Assumptions'!$B$5*V925) + ('Methodology &amp; Assumptions'!$B$6*W925), 2)</f>
        <v/>
      </c>
      <c r="Y925" s="28" t="n">
        <v>23.7</v>
      </c>
      <c r="Z925" s="11" t="inlineStr">
        <is>
          <t>Priority Tier 3 (Broadband Expansion)</t>
        </is>
      </c>
    </row>
    <row r="926">
      <c r="A926" s="23" t="n">
        <v>4</v>
      </c>
      <c r="B926" s="23" t="n">
        <v>922</v>
      </c>
      <c r="C926" s="23" t="n">
        <v>3922</v>
      </c>
      <c r="D926" s="23" t="inlineStr">
        <is>
          <t>0305408012</t>
        </is>
      </c>
      <c r="E926" s="11" t="inlineStr">
        <is>
          <t>Region III (Central Luzon)</t>
        </is>
      </c>
      <c r="F926" s="11" t="inlineStr">
        <is>
          <t>Pampanga</t>
        </is>
      </c>
      <c r="G926" s="11" t="inlineStr">
        <is>
          <t>Lubao</t>
        </is>
      </c>
      <c r="H926" s="11" t="inlineStr">
        <is>
          <t>Remedios</t>
        </is>
      </c>
      <c r="I926" s="24" t="n">
        <v>14.918754</v>
      </c>
      <c r="J926" s="24" t="n">
        <v>120.578617</v>
      </c>
      <c r="K926" s="23" t="inlineStr">
        <is>
          <t>R</t>
        </is>
      </c>
      <c r="L926" s="25" t="n">
        <v>4754</v>
      </c>
      <c r="M926" s="26" t="n">
        <v>4</v>
      </c>
      <c r="N926" s="25">
        <f>ROUND(L926/M926, 0)</f>
        <v/>
      </c>
      <c r="O926" s="25">
        <f>ROUND(N926*'Methodology &amp; Assumptions'!$B$7, 0)</f>
        <v/>
      </c>
      <c r="P926" s="23" t="inlineStr">
        <is>
          <t>Single Carrier (Band n50, 100MHz TDD)</t>
        </is>
      </c>
      <c r="Q926" s="27">
        <f>ROUNDUP(O926/'Methodology &amp; Assumptions'!$B$8, 0)</f>
        <v/>
      </c>
      <c r="R926" s="27" t="n">
        <v>1</v>
      </c>
      <c r="S926" s="26" t="n">
        <v>2.8</v>
      </c>
      <c r="T926" s="26" t="n">
        <v>0.27</v>
      </c>
      <c r="U926" s="11">
        <f>IF(S926&lt;='Methodology &amp; Assumptions'!$B$10, "Direct Optical Drop (&lt;3km)", IF(S926&lt;='Methodology &amp; Assumptions'!$B$9, "Near Optical / Microwave (&lt;5km)", "Starlink Business LEO Satellite Backhaul (&gt;5km)"))</f>
        <v/>
      </c>
      <c r="V926" s="26" t="n">
        <v>78.78</v>
      </c>
      <c r="W926" s="26" t="n">
        <v>38.69</v>
      </c>
      <c r="X926" s="26">
        <f>ROUND(('Methodology &amp; Assumptions'!$B$5*V926) + ('Methodology &amp; Assumptions'!$B$6*W926), 2)</f>
        <v/>
      </c>
      <c r="Y926" s="28" t="n">
        <v>8.300000000000001</v>
      </c>
      <c r="Z926" s="11" t="inlineStr">
        <is>
          <t>Priority Tier 3 (Broadband Expansion)</t>
        </is>
      </c>
    </row>
    <row r="927">
      <c r="A927" s="23" t="n">
        <v>4</v>
      </c>
      <c r="B927" s="23" t="n">
        <v>923</v>
      </c>
      <c r="C927" s="23" t="n">
        <v>3923</v>
      </c>
      <c r="D927" s="23" t="inlineStr">
        <is>
          <t>0405620026</t>
        </is>
      </c>
      <c r="E927" s="11" t="inlineStr">
        <is>
          <t>Region IV-A (CALABARZON)</t>
        </is>
      </c>
      <c r="F927" s="11" t="inlineStr">
        <is>
          <t>Quezon</t>
        </is>
      </c>
      <c r="G927" s="11" t="inlineStr">
        <is>
          <t>Infanta</t>
        </is>
      </c>
      <c r="H927" s="11" t="inlineStr">
        <is>
          <t>Libjo</t>
        </is>
      </c>
      <c r="I927" s="24" t="n">
        <v>14.753017</v>
      </c>
      <c r="J927" s="24" t="n">
        <v>121.671086</v>
      </c>
      <c r="K927" s="23" t="inlineStr">
        <is>
          <t>R</t>
        </is>
      </c>
      <c r="L927" s="25" t="n">
        <v>2438</v>
      </c>
      <c r="M927" s="26" t="n">
        <v>3.8</v>
      </c>
      <c r="N927" s="25">
        <f>ROUND(L927/M927, 0)</f>
        <v/>
      </c>
      <c r="O927" s="25">
        <f>ROUND(N927*'Methodology &amp; Assumptions'!$B$7, 0)</f>
        <v/>
      </c>
      <c r="P927" s="23" t="inlineStr">
        <is>
          <t>Single Carrier (Band n50, 100MHz TDD)</t>
        </is>
      </c>
      <c r="Q927" s="27">
        <f>ROUNDUP(O927/'Methodology &amp; Assumptions'!$B$8, 0)</f>
        <v/>
      </c>
      <c r="R927" s="27" t="n">
        <v>1</v>
      </c>
      <c r="S927" s="26" t="n">
        <v>0.5600000000000001</v>
      </c>
      <c r="T927" s="26" t="n">
        <v>42.42</v>
      </c>
      <c r="U927" s="11">
        <f>IF(S927&lt;='Methodology &amp; Assumptions'!$B$10, "Direct Optical Drop (&lt;3km)", IF(S927&lt;='Methodology &amp; Assumptions'!$B$9, "Near Optical / Microwave (&lt;5km)", "Starlink Business LEO Satellite Backhaul (&gt;5km)"))</f>
        <v/>
      </c>
      <c r="V927" s="26" t="n">
        <v>77.47</v>
      </c>
      <c r="W927" s="26" t="n">
        <v>40.01</v>
      </c>
      <c r="X927" s="26">
        <f>ROUND(('Methodology &amp; Assumptions'!$B$5*V927) + ('Methodology &amp; Assumptions'!$B$6*W927), 2)</f>
        <v/>
      </c>
      <c r="Y927" s="28" t="n">
        <v>7.2</v>
      </c>
      <c r="Z927" s="11" t="inlineStr">
        <is>
          <t>Priority Tier 3 (Broadband Expansion)</t>
        </is>
      </c>
    </row>
    <row r="928">
      <c r="A928" s="23" t="n">
        <v>4</v>
      </c>
      <c r="B928" s="23" t="n">
        <v>924</v>
      </c>
      <c r="C928" s="23" t="n">
        <v>3924</v>
      </c>
      <c r="D928" s="23" t="inlineStr">
        <is>
          <t>0103313013</t>
        </is>
      </c>
      <c r="E928" s="11" t="inlineStr">
        <is>
          <t>Region I (Ilocos Region)</t>
        </is>
      </c>
      <c r="F928" s="11" t="inlineStr">
        <is>
          <t>La Union</t>
        </is>
      </c>
      <c r="G928" s="11" t="inlineStr">
        <is>
          <t>Rosario</t>
        </is>
      </c>
      <c r="H928" s="11" t="inlineStr">
        <is>
          <t>Cataguingtingan</t>
        </is>
      </c>
      <c r="I928" s="24" t="n">
        <v>16.217946</v>
      </c>
      <c r="J928" s="24" t="n">
        <v>120.458491</v>
      </c>
      <c r="K928" s="23" t="inlineStr">
        <is>
          <t>R</t>
        </is>
      </c>
      <c r="L928" s="25" t="n">
        <v>2859</v>
      </c>
      <c r="M928" s="26" t="n">
        <v>3.7</v>
      </c>
      <c r="N928" s="25">
        <f>ROUND(L928/M928, 0)</f>
        <v/>
      </c>
      <c r="O928" s="25">
        <f>ROUND(N928*'Methodology &amp; Assumptions'!$B$7, 0)</f>
        <v/>
      </c>
      <c r="P928" s="23" t="inlineStr">
        <is>
          <t>Single Carrier (Band n50, 100MHz TDD)</t>
        </is>
      </c>
      <c r="Q928" s="27">
        <f>ROUNDUP(O928/'Methodology &amp; Assumptions'!$B$8, 0)</f>
        <v/>
      </c>
      <c r="R928" s="27" t="n">
        <v>1</v>
      </c>
      <c r="S928" s="26" t="n">
        <v>2.83</v>
      </c>
      <c r="T928" s="26" t="n">
        <v>0.51</v>
      </c>
      <c r="U928" s="11">
        <f>IF(S928&lt;='Methodology &amp; Assumptions'!$B$10, "Direct Optical Drop (&lt;3km)", IF(S928&lt;='Methodology &amp; Assumptions'!$B$9, "Near Optical / Microwave (&lt;5km)", "Starlink Business LEO Satellite Backhaul (&gt;5km)"))</f>
        <v/>
      </c>
      <c r="V928" s="26" t="n">
        <v>77.23999999999999</v>
      </c>
      <c r="W928" s="26" t="n">
        <v>40.24</v>
      </c>
      <c r="X928" s="26">
        <f>ROUND(('Methodology &amp; Assumptions'!$B$5*V928) + ('Methodology &amp; Assumptions'!$B$6*W928), 2)</f>
        <v/>
      </c>
      <c r="Y928" s="28" t="n">
        <v>8.300000000000001</v>
      </c>
      <c r="Z928" s="11" t="inlineStr">
        <is>
          <t>Priority Tier 3 (Broadband Expansion)</t>
        </is>
      </c>
    </row>
    <row r="929">
      <c r="A929" s="23" t="n">
        <v>4</v>
      </c>
      <c r="B929" s="23" t="n">
        <v>925</v>
      </c>
      <c r="C929" s="23" t="n">
        <v>3925</v>
      </c>
      <c r="D929" s="23" t="inlineStr">
        <is>
          <t>0306910024</t>
        </is>
      </c>
      <c r="E929" s="11" t="inlineStr">
        <is>
          <t>Region III (Central Luzon)</t>
        </is>
      </c>
      <c r="F929" s="11" t="inlineStr">
        <is>
          <t>Tarlac</t>
        </is>
      </c>
      <c r="G929" s="11" t="inlineStr">
        <is>
          <t>Paniqui</t>
        </is>
      </c>
      <c r="H929" s="11" t="inlineStr">
        <is>
          <t>Poblacion Norte</t>
        </is>
      </c>
      <c r="I929" s="24" t="n">
        <v>15.674856</v>
      </c>
      <c r="J929" s="24" t="n">
        <v>120.574083</v>
      </c>
      <c r="K929" s="23" t="inlineStr">
        <is>
          <t>U</t>
        </is>
      </c>
      <c r="L929" s="25" t="n">
        <v>9205</v>
      </c>
      <c r="M929" s="26" t="n">
        <v>3.9</v>
      </c>
      <c r="N929" s="25">
        <f>ROUND(L929/M929, 0)</f>
        <v/>
      </c>
      <c r="O929" s="25">
        <f>ROUND(N929*'Methodology &amp; Assumptions'!$B$7, 0)</f>
        <v/>
      </c>
      <c r="P929" s="23" t="inlineStr">
        <is>
          <t>Single Carrier (Band n50, 100MHz TDD)</t>
        </is>
      </c>
      <c r="Q929" s="27">
        <f>ROUNDUP(O929/'Methodology &amp; Assumptions'!$B$8, 0)</f>
        <v/>
      </c>
      <c r="R929" s="27" t="n">
        <v>1</v>
      </c>
      <c r="S929" s="26" t="n">
        <v>1.58</v>
      </c>
      <c r="T929" s="26" t="n">
        <v>0.83</v>
      </c>
      <c r="U929" s="11">
        <f>IF(S929&lt;='Methodology &amp; Assumptions'!$B$10, "Direct Optical Drop (&lt;3km)", IF(S929&lt;='Methodology &amp; Assumptions'!$B$9, "Near Optical / Microwave (&lt;5km)", "Starlink Business LEO Satellite Backhaul (&gt;5km)"))</f>
        <v/>
      </c>
      <c r="V929" s="26" t="n">
        <v>75.64</v>
      </c>
      <c r="W929" s="26" t="n">
        <v>41.83</v>
      </c>
      <c r="X929" s="26">
        <f>ROUND(('Methodology &amp; Assumptions'!$B$5*V929) + ('Methodology &amp; Assumptions'!$B$6*W929), 2)</f>
        <v/>
      </c>
      <c r="Y929" s="28" t="n">
        <v>8.300000000000001</v>
      </c>
      <c r="Z929" s="11" t="inlineStr">
        <is>
          <t>Priority Tier 3 (Broadband Expansion)</t>
        </is>
      </c>
    </row>
    <row r="930">
      <c r="A930" s="23" t="n">
        <v>4</v>
      </c>
      <c r="B930" s="23" t="n">
        <v>926</v>
      </c>
      <c r="C930" s="23" t="n">
        <v>3926</v>
      </c>
      <c r="D930" s="23" t="inlineStr">
        <is>
          <t>0301423007</t>
        </is>
      </c>
      <c r="E930" s="11" t="inlineStr">
        <is>
          <t>Region III (Central Luzon)</t>
        </is>
      </c>
      <c r="F930" s="11" t="inlineStr">
        <is>
          <t>Bulacan</t>
        </is>
      </c>
      <c r="G930" s="11" t="inlineStr">
        <is>
          <t>Santa Maria</t>
        </is>
      </c>
      <c r="H930" s="11" t="inlineStr">
        <is>
          <t>Cay Pombo</t>
        </is>
      </c>
      <c r="I930" s="24" t="n">
        <v>14.851347</v>
      </c>
      <c r="J930" s="24" t="n">
        <v>120.979126</v>
      </c>
      <c r="K930" s="23" t="inlineStr">
        <is>
          <t>U</t>
        </is>
      </c>
      <c r="L930" s="25" t="n">
        <v>34153</v>
      </c>
      <c r="M930" s="26" t="n">
        <v>3.5</v>
      </c>
      <c r="N930" s="25">
        <f>ROUND(L930/M930, 0)</f>
        <v/>
      </c>
      <c r="O930" s="25">
        <f>ROUND(N930*'Methodology &amp; Assumptions'!$B$7, 0)</f>
        <v/>
      </c>
      <c r="P930" s="23" t="inlineStr">
        <is>
          <t>Single Carrier (Band n50, 100MHz TDD)</t>
        </is>
      </c>
      <c r="Q930" s="27">
        <f>ROUNDUP(O930/'Methodology &amp; Assumptions'!$B$8, 0)</f>
        <v/>
      </c>
      <c r="R930" s="27" t="n">
        <v>1</v>
      </c>
      <c r="S930" s="26" t="n">
        <v>2.27</v>
      </c>
      <c r="T930" s="26" t="n">
        <v>0.33</v>
      </c>
      <c r="U930" s="11">
        <f>IF(S930&lt;='Methodology &amp; Assumptions'!$B$10, "Direct Optical Drop (&lt;3km)", IF(S930&lt;='Methodology &amp; Assumptions'!$B$9, "Near Optical / Microwave (&lt;5km)", "Starlink Business LEO Satellite Backhaul (&gt;5km)"))</f>
        <v/>
      </c>
      <c r="V930" s="26" t="n">
        <v>72.67</v>
      </c>
      <c r="W930" s="26" t="n">
        <v>44.8</v>
      </c>
      <c r="X930" s="26">
        <f>ROUND(('Methodology &amp; Assumptions'!$B$5*V930) + ('Methodology &amp; Assumptions'!$B$6*W930), 2)</f>
        <v/>
      </c>
      <c r="Y930" s="28" t="n">
        <v>8.300000000000001</v>
      </c>
      <c r="Z930" s="11" t="inlineStr">
        <is>
          <t>Priority Tier 3 (Broadband Expansion)</t>
        </is>
      </c>
    </row>
    <row r="931">
      <c r="A931" s="23" t="n">
        <v>4</v>
      </c>
      <c r="B931" s="23" t="n">
        <v>927</v>
      </c>
      <c r="C931" s="23" t="n">
        <v>3927</v>
      </c>
      <c r="D931" s="23" t="inlineStr">
        <is>
          <t>0405814010</t>
        </is>
      </c>
      <c r="E931" s="11" t="inlineStr">
        <is>
          <t>Region IV-A (CALABARZON)</t>
        </is>
      </c>
      <c r="F931" s="11" t="inlineStr">
        <is>
          <t>Rizal</t>
        </is>
      </c>
      <c r="G931" s="11" t="inlineStr">
        <is>
          <t>Teresa</t>
        </is>
      </c>
      <c r="H931" s="11" t="inlineStr">
        <is>
          <t>Calumpang Santo Cristo</t>
        </is>
      </c>
      <c r="I931" s="24" t="n">
        <v>14.5589</v>
      </c>
      <c r="J931" s="24" t="n">
        <v>121.2063</v>
      </c>
      <c r="K931" s="23" t="inlineStr">
        <is>
          <t>R</t>
        </is>
      </c>
      <c r="L931" s="25" t="n">
        <v>1394</v>
      </c>
      <c r="M931" s="26" t="n">
        <v>3.6</v>
      </c>
      <c r="N931" s="25">
        <f>ROUND(L931/M931, 0)</f>
        <v/>
      </c>
      <c r="O931" s="25">
        <f>ROUND(N931*'Methodology &amp; Assumptions'!$B$7, 0)</f>
        <v/>
      </c>
      <c r="P931" s="23" t="inlineStr">
        <is>
          <t>Single Carrier (Band n50, 100MHz TDD)</t>
        </is>
      </c>
      <c r="Q931" s="27">
        <f>ROUNDUP(O931/'Methodology &amp; Assumptions'!$B$8, 0)</f>
        <v/>
      </c>
      <c r="R931" s="27" t="n">
        <v>1</v>
      </c>
      <c r="S931" s="26" t="n">
        <v>1.23</v>
      </c>
      <c r="T931" s="26" t="n">
        <v>0.38</v>
      </c>
      <c r="U931" s="11">
        <f>IF(S931&lt;='Methodology &amp; Assumptions'!$B$10, "Direct Optical Drop (&lt;3km)", IF(S931&lt;='Methodology &amp; Assumptions'!$B$9, "Near Optical / Microwave (&lt;5km)", "Starlink Business LEO Satellite Backhaul (&gt;5km)"))</f>
        <v/>
      </c>
      <c r="V931" s="26" t="n">
        <v>70</v>
      </c>
      <c r="W931" s="26" t="n">
        <v>47.47</v>
      </c>
      <c r="X931" s="26">
        <f>ROUND(('Methodology &amp; Assumptions'!$B$5*V931) + ('Methodology &amp; Assumptions'!$B$6*W931), 2)</f>
        <v/>
      </c>
      <c r="Y931" s="28" t="n">
        <v>7.2</v>
      </c>
      <c r="Z931" s="11" t="inlineStr">
        <is>
          <t>Priority Tier 3 (Broadband Expansion)</t>
        </is>
      </c>
    </row>
    <row r="932">
      <c r="A932" s="23" t="n">
        <v>4</v>
      </c>
      <c r="B932" s="23" t="n">
        <v>928</v>
      </c>
      <c r="C932" s="23" t="n">
        <v>3928</v>
      </c>
      <c r="D932" s="23" t="inlineStr">
        <is>
          <t>1381400021</t>
        </is>
      </c>
      <c r="E932" s="11" t="inlineStr">
        <is>
          <t>National Capital Region (NCR)</t>
        </is>
      </c>
      <c r="F932" s="11" t="inlineStr">
        <is>
          <t>Second District (Not a Province)</t>
        </is>
      </c>
      <c r="G932" s="11" t="inlineStr">
        <is>
          <t>City of San Juan</t>
        </is>
      </c>
      <c r="H932" s="11" t="inlineStr">
        <is>
          <t>Greenhills</t>
        </is>
      </c>
      <c r="I932" s="24" t="n">
        <v>14.60571</v>
      </c>
      <c r="J932" s="24" t="n">
        <v>121.0555</v>
      </c>
      <c r="K932" s="23" t="inlineStr">
        <is>
          <t>U</t>
        </is>
      </c>
      <c r="L932" s="25" t="n">
        <v>19156</v>
      </c>
      <c r="M932" s="26" t="n">
        <v>4.12</v>
      </c>
      <c r="N932" s="25">
        <f>ROUND(L932/M932, 0)</f>
        <v/>
      </c>
      <c r="O932" s="25">
        <f>ROUND(N932*'Methodology &amp; Assumptions'!$B$7, 0)</f>
        <v/>
      </c>
      <c r="P932" s="23" t="inlineStr">
        <is>
          <t>Single Carrier (Band n50, 100MHz TDD)</t>
        </is>
      </c>
      <c r="Q932" s="27">
        <f>ROUNDUP(O932/'Methodology &amp; Assumptions'!$B$8, 0)</f>
        <v/>
      </c>
      <c r="R932" s="27" t="n">
        <v>1</v>
      </c>
      <c r="S932" s="26" t="n">
        <v>1.6</v>
      </c>
      <c r="T932" s="26" t="n">
        <v>0.05</v>
      </c>
      <c r="U932" s="11">
        <f>IF(S932&lt;='Methodology &amp; Assumptions'!$B$10, "Direct Optical Drop (&lt;3km)", IF(S932&lt;='Methodology &amp; Assumptions'!$B$9, "Near Optical / Microwave (&lt;5km)", "Starlink Business LEO Satellite Backhaul (&gt;5km)"))</f>
        <v/>
      </c>
      <c r="V932" s="26" t="n">
        <v>65.97</v>
      </c>
      <c r="W932" s="26" t="n">
        <v>51.5</v>
      </c>
      <c r="X932" s="26">
        <f>ROUND(('Methodology &amp; Assumptions'!$B$5*V932) + ('Methodology &amp; Assumptions'!$B$6*W932), 2)</f>
        <v/>
      </c>
      <c r="Y932" s="28" t="n">
        <v>10.9</v>
      </c>
      <c r="Z932" s="11" t="inlineStr">
        <is>
          <t>Priority Tier 3 (Broadband Expansion)</t>
        </is>
      </c>
    </row>
    <row r="933">
      <c r="A933" s="23" t="n">
        <v>4</v>
      </c>
      <c r="B933" s="23" t="n">
        <v>929</v>
      </c>
      <c r="C933" s="23" t="n">
        <v>3929</v>
      </c>
      <c r="D933" s="23" t="inlineStr">
        <is>
          <t>1204702005</t>
        </is>
      </c>
      <c r="E933" s="11" t="inlineStr">
        <is>
          <t>Region XII (SOCCSKSARGEN)</t>
        </is>
      </c>
      <c r="F933" s="11" t="inlineStr">
        <is>
          <t>Cotabato</t>
        </is>
      </c>
      <c r="G933" s="11" t="inlineStr">
        <is>
          <t>Carmen</t>
        </is>
      </c>
      <c r="H933" s="11" t="inlineStr">
        <is>
          <t>Cadiis</t>
        </is>
      </c>
      <c r="I933" s="24" t="n">
        <v>7.4103</v>
      </c>
      <c r="J933" s="24" t="n">
        <v>124.8374</v>
      </c>
      <c r="K933" s="23" t="inlineStr">
        <is>
          <t>R</t>
        </is>
      </c>
      <c r="L933" s="25" t="n">
        <v>2932</v>
      </c>
      <c r="M933" s="26" t="n">
        <v>3.8</v>
      </c>
      <c r="N933" s="25">
        <f>ROUND(L933/M933, 0)</f>
        <v/>
      </c>
      <c r="O933" s="25">
        <f>ROUND(N933*'Methodology &amp; Assumptions'!$B$7, 0)</f>
        <v/>
      </c>
      <c r="P933" s="23" t="inlineStr">
        <is>
          <t>Single Carrier (Band n50, 100MHz TDD)</t>
        </is>
      </c>
      <c r="Q933" s="27">
        <f>ROUNDUP(O933/'Methodology &amp; Assumptions'!$B$8, 0)</f>
        <v/>
      </c>
      <c r="R933" s="27" t="n">
        <v>1</v>
      </c>
      <c r="S933" s="26" t="n">
        <v>22.76</v>
      </c>
      <c r="T933" s="26" t="n">
        <v>0.24</v>
      </c>
      <c r="U933" s="11">
        <f>IF(S933&lt;='Methodology &amp; Assumptions'!$B$10, "Direct Optical Drop (&lt;3km)", IF(S933&lt;='Methodology &amp; Assumptions'!$B$9, "Near Optical / Microwave (&lt;5km)", "Starlink Business LEO Satellite Backhaul (&gt;5km)"))</f>
        <v/>
      </c>
      <c r="V933" s="26" t="n">
        <v>62.89</v>
      </c>
      <c r="W933" s="26" t="n">
        <v>54.58</v>
      </c>
      <c r="X933" s="26">
        <f>ROUND(('Methodology &amp; Assumptions'!$B$5*V933) + ('Methodology &amp; Assumptions'!$B$6*W933), 2)</f>
        <v/>
      </c>
      <c r="Y933" s="28" t="n">
        <v>17.4</v>
      </c>
      <c r="Z933" s="11" t="inlineStr">
        <is>
          <t>Priority Tier 3 (Broadband Expansion)</t>
        </is>
      </c>
    </row>
    <row r="934">
      <c r="A934" s="23" t="n">
        <v>4</v>
      </c>
      <c r="B934" s="23" t="n">
        <v>930</v>
      </c>
      <c r="C934" s="23" t="n">
        <v>3930</v>
      </c>
      <c r="D934" s="23" t="inlineStr">
        <is>
          <t>0402108009</t>
        </is>
      </c>
      <c r="E934" s="11" t="inlineStr">
        <is>
          <t>Region IV-A (CALABARZON)</t>
        </is>
      </c>
      <c r="F934" s="11" t="inlineStr">
        <is>
          <t>Cavite</t>
        </is>
      </c>
      <c r="G934" s="11" t="inlineStr">
        <is>
          <t>City of General Trias</t>
        </is>
      </c>
      <c r="H934" s="11" t="inlineStr">
        <is>
          <t>Ninety Sixth Pob.</t>
        </is>
      </c>
      <c r="I934" s="24" t="n">
        <v>14.38477</v>
      </c>
      <c r="J934" s="24" t="n">
        <v>120.879559</v>
      </c>
      <c r="K934" s="23" t="inlineStr">
        <is>
          <t>R</t>
        </is>
      </c>
      <c r="L934" s="25" t="n">
        <v>401</v>
      </c>
      <c r="M934" s="26" t="n">
        <v>3.4</v>
      </c>
      <c r="N934" s="25">
        <f>ROUND(L934/M934, 0)</f>
        <v/>
      </c>
      <c r="O934" s="25">
        <f>ROUND(N934*'Methodology &amp; Assumptions'!$B$7, 0)</f>
        <v/>
      </c>
      <c r="P934" s="23" t="inlineStr">
        <is>
          <t>Single Carrier (Band n50, 100MHz TDD)</t>
        </is>
      </c>
      <c r="Q934" s="27">
        <f>ROUNDUP(O934/'Methodology &amp; Assumptions'!$B$8, 0)</f>
        <v/>
      </c>
      <c r="R934" s="27" t="n">
        <v>1</v>
      </c>
      <c r="S934" s="26" t="n">
        <v>1.62</v>
      </c>
      <c r="T934" s="26" t="n">
        <v>1.85</v>
      </c>
      <c r="U934" s="11">
        <f>IF(S934&lt;='Methodology &amp; Assumptions'!$B$10, "Direct Optical Drop (&lt;3km)", IF(S934&lt;='Methodology &amp; Assumptions'!$B$9, "Near Optical / Microwave (&lt;5km)", "Starlink Business LEO Satellite Backhaul (&gt;5km)"))</f>
        <v/>
      </c>
      <c r="V934" s="26" t="n">
        <v>59.76</v>
      </c>
      <c r="W934" s="26" t="n">
        <v>57.73</v>
      </c>
      <c r="X934" s="26">
        <f>ROUND(('Methodology &amp; Assumptions'!$B$5*V934) + ('Methodology &amp; Assumptions'!$B$6*W934), 2)</f>
        <v/>
      </c>
      <c r="Y934" s="28" t="n">
        <v>7.2</v>
      </c>
      <c r="Z934" s="11" t="inlineStr">
        <is>
          <t>Priority Tier 3 (Broadband Expansion)</t>
        </is>
      </c>
    </row>
    <row r="935">
      <c r="A935" s="23" t="n">
        <v>4</v>
      </c>
      <c r="B935" s="23" t="n">
        <v>931</v>
      </c>
      <c r="C935" s="23" t="n">
        <v>3931</v>
      </c>
      <c r="D935" s="23" t="inlineStr">
        <is>
          <t>1380601234</t>
        </is>
      </c>
      <c r="E935" s="11" t="inlineStr">
        <is>
          <t>National Capital Region (NCR)</t>
        </is>
      </c>
      <c r="F935" s="11" t="inlineStr">
        <is>
          <t>First District (Not a Province)</t>
        </is>
      </c>
      <c r="G935" s="11" t="inlineStr">
        <is>
          <t>City of Manila</t>
        </is>
      </c>
      <c r="H935" s="11" t="inlineStr">
        <is>
          <t>Barangay 233</t>
        </is>
      </c>
      <c r="I935" s="24" t="n">
        <v>14.618403</v>
      </c>
      <c r="J935" s="24" t="n">
        <v>120.976069</v>
      </c>
      <c r="K935" s="23" t="inlineStr">
        <is>
          <t>U</t>
        </is>
      </c>
      <c r="L935" s="25" t="n">
        <v>724</v>
      </c>
      <c r="M935" s="26" t="n">
        <v>3.91</v>
      </c>
      <c r="N935" s="25">
        <f>ROUND(L935/M935, 0)</f>
        <v/>
      </c>
      <c r="O935" s="25">
        <f>ROUND(N935*'Methodology &amp; Assumptions'!$B$7, 0)</f>
        <v/>
      </c>
      <c r="P935" s="23" t="inlineStr">
        <is>
          <t>Single Carrier (Band n50, 100MHz TDD)</t>
        </is>
      </c>
      <c r="Q935" s="27">
        <f>ROUNDUP(O935/'Methodology &amp; Assumptions'!$B$8, 0)</f>
        <v/>
      </c>
      <c r="R935" s="27" t="n">
        <v>1</v>
      </c>
      <c r="S935" s="26" t="n">
        <v>0.76</v>
      </c>
      <c r="T935" s="26" t="n">
        <v>0.21</v>
      </c>
      <c r="U935" s="11">
        <f>IF(S935&lt;='Methodology &amp; Assumptions'!$B$10, "Direct Optical Drop (&lt;3km)", IF(S935&lt;='Methodology &amp; Assumptions'!$B$9, "Near Optical / Microwave (&lt;5km)", "Starlink Business LEO Satellite Backhaul (&gt;5km)"))</f>
        <v/>
      </c>
      <c r="V935" s="26" t="n">
        <v>47.09</v>
      </c>
      <c r="W935" s="26" t="n">
        <v>70.38</v>
      </c>
      <c r="X935" s="26">
        <f>ROUND(('Methodology &amp; Assumptions'!$B$5*V935) + ('Methodology &amp; Assumptions'!$B$6*W935), 2)</f>
        <v/>
      </c>
      <c r="Y935" s="28" t="n">
        <v>10.9</v>
      </c>
      <c r="Z935" s="11" t="inlineStr">
        <is>
          <t>Priority Tier 3 (Broadband Expansion)</t>
        </is>
      </c>
    </row>
    <row r="936">
      <c r="A936" s="23" t="n">
        <v>4</v>
      </c>
      <c r="B936" s="23" t="n">
        <v>932</v>
      </c>
      <c r="C936" s="23" t="n">
        <v>3932</v>
      </c>
      <c r="D936" s="23" t="inlineStr">
        <is>
          <t>1403201007</t>
        </is>
      </c>
      <c r="E936" s="11" t="inlineStr">
        <is>
          <t>Cordillera Administrative Region (CAR)</t>
        </is>
      </c>
      <c r="F936" s="11" t="inlineStr">
        <is>
          <t>Kalinga</t>
        </is>
      </c>
      <c r="G936" s="11" t="inlineStr">
        <is>
          <t>Balbalan</t>
        </is>
      </c>
      <c r="H936" s="11" t="inlineStr">
        <is>
          <t>Gawa-an</t>
        </is>
      </c>
      <c r="I936" s="24" t="n">
        <v>17.531532</v>
      </c>
      <c r="J936" s="24" t="n">
        <v>121.205396</v>
      </c>
      <c r="K936" s="23" t="inlineStr">
        <is>
          <t>R</t>
        </is>
      </c>
      <c r="L936" s="25" t="n">
        <v>1006</v>
      </c>
      <c r="M936" s="26" t="n">
        <v>4.3</v>
      </c>
      <c r="N936" s="25">
        <f>ROUND(L936/M936, 0)</f>
        <v/>
      </c>
      <c r="O936" s="25">
        <f>ROUND(N936*'Methodology &amp; Assumptions'!$B$7, 0)</f>
        <v/>
      </c>
      <c r="P936" s="23" t="inlineStr">
        <is>
          <t>Single Carrier (Band n50, 100MHz TDD)</t>
        </is>
      </c>
      <c r="Q936" s="27">
        <f>ROUNDUP(O936/'Methodology &amp; Assumptions'!$B$8, 0)</f>
        <v/>
      </c>
      <c r="R936" s="27" t="n">
        <v>1</v>
      </c>
      <c r="S936" s="26" t="n">
        <v>14.62</v>
      </c>
      <c r="T936" s="26" t="n">
        <v>13.82</v>
      </c>
      <c r="U936" s="11">
        <f>IF(S936&lt;='Methodology &amp; Assumptions'!$B$10, "Direct Optical Drop (&lt;3km)", IF(S936&lt;='Methodology &amp; Assumptions'!$B$9, "Near Optical / Microwave (&lt;5km)", "Starlink Business LEO Satellite Backhaul (&gt;5km)"))</f>
        <v/>
      </c>
      <c r="V936" s="26" t="n">
        <v>40.67</v>
      </c>
      <c r="W936" s="26" t="n">
        <v>76.81999999999999</v>
      </c>
      <c r="X936" s="26">
        <f>ROUND(('Methodology &amp; Assumptions'!$B$5*V936) + ('Methodology &amp; Assumptions'!$B$6*W936), 2)</f>
        <v/>
      </c>
      <c r="Y936" s="28" t="n">
        <v>10.9</v>
      </c>
      <c r="Z936" s="11" t="inlineStr">
        <is>
          <t>Priority Tier 3 (Broadband Expansion)</t>
        </is>
      </c>
    </row>
    <row r="937">
      <c r="A937" s="23" t="n">
        <v>4</v>
      </c>
      <c r="B937" s="23" t="n">
        <v>933</v>
      </c>
      <c r="C937" s="23" t="n">
        <v>3933</v>
      </c>
      <c r="D937" s="23" t="inlineStr">
        <is>
          <t>0501711036</t>
        </is>
      </c>
      <c r="E937" s="11" t="inlineStr">
        <is>
          <t>Region V (Bicol Region)</t>
        </is>
      </c>
      <c r="F937" s="11" t="inlineStr">
        <is>
          <t>Camarines Sur</t>
        </is>
      </c>
      <c r="G937" s="11" t="inlineStr">
        <is>
          <t>Caramoan</t>
        </is>
      </c>
      <c r="H937" s="11" t="inlineStr">
        <is>
          <t>Patag-Belen</t>
        </is>
      </c>
      <c r="I937" s="24" t="n">
        <v>13.752302</v>
      </c>
      <c r="J937" s="24" t="n">
        <v>123.843245</v>
      </c>
      <c r="K937" s="23" t="inlineStr">
        <is>
          <t>R</t>
        </is>
      </c>
      <c r="L937" s="25" t="n">
        <v>470</v>
      </c>
      <c r="M937" s="26" t="n">
        <v>4.2</v>
      </c>
      <c r="N937" s="25">
        <f>ROUND(L937/M937, 0)</f>
        <v/>
      </c>
      <c r="O937" s="25">
        <f>ROUND(N937*'Methodology &amp; Assumptions'!$B$7, 0)</f>
        <v/>
      </c>
      <c r="P937" s="23" t="inlineStr">
        <is>
          <t>Single Carrier (Band n50, 100MHz TDD)</t>
        </is>
      </c>
      <c r="Q937" s="27">
        <f>ROUNDUP(O937/'Methodology &amp; Assumptions'!$B$8, 0)</f>
        <v/>
      </c>
      <c r="R937" s="27" t="n">
        <v>1</v>
      </c>
      <c r="S937" s="26" t="n">
        <v>3.27</v>
      </c>
      <c r="T937" s="26" t="n">
        <v>35.76</v>
      </c>
      <c r="U937" s="11">
        <f>IF(S937&lt;='Methodology &amp; Assumptions'!$B$10, "Direct Optical Drop (&lt;3km)", IF(S937&lt;='Methodology &amp; Assumptions'!$B$9, "Near Optical / Microwave (&lt;5km)", "Starlink Business LEO Satellite Backhaul (&gt;5km)"))</f>
        <v/>
      </c>
      <c r="V937" s="26" t="n">
        <v>53.33</v>
      </c>
      <c r="W937" s="26" t="n">
        <v>64.13</v>
      </c>
      <c r="X937" s="26">
        <f>ROUND(('Methodology &amp; Assumptions'!$B$5*V937) + ('Methodology &amp; Assumptions'!$B$6*W937), 2)</f>
        <v/>
      </c>
      <c r="Y937" s="28" t="n">
        <v>23.7</v>
      </c>
      <c r="Z937" s="11" t="inlineStr">
        <is>
          <t>Priority Tier 3 (Broadband Expansion)</t>
        </is>
      </c>
    </row>
    <row r="938">
      <c r="A938" s="23" t="n">
        <v>4</v>
      </c>
      <c r="B938" s="23" t="n">
        <v>934</v>
      </c>
      <c r="C938" s="23" t="n">
        <v>3934</v>
      </c>
      <c r="D938" s="23" t="inlineStr">
        <is>
          <t>0105533013</t>
        </is>
      </c>
      <c r="E938" s="11" t="inlineStr">
        <is>
          <t>Region I (Ilocos Region)</t>
        </is>
      </c>
      <c r="F938" s="11" t="inlineStr">
        <is>
          <t>Pangasinan</t>
        </is>
      </c>
      <c r="G938" s="11" t="inlineStr">
        <is>
          <t>San Fabian</t>
        </is>
      </c>
      <c r="H938" s="11" t="inlineStr">
        <is>
          <t>Lekep-Butao</t>
        </is>
      </c>
      <c r="I938" s="24" t="n">
        <v>16.11066</v>
      </c>
      <c r="J938" s="24" t="n">
        <v>120.40952</v>
      </c>
      <c r="K938" s="23" t="inlineStr">
        <is>
          <t>R</t>
        </is>
      </c>
      <c r="L938" s="25" t="n">
        <v>2783</v>
      </c>
      <c r="M938" s="26" t="n">
        <v>3.6</v>
      </c>
      <c r="N938" s="25">
        <f>ROUND(L938/M938, 0)</f>
        <v/>
      </c>
      <c r="O938" s="25">
        <f>ROUND(N938*'Methodology &amp; Assumptions'!$B$7, 0)</f>
        <v/>
      </c>
      <c r="P938" s="23" t="inlineStr">
        <is>
          <t>Single Carrier (Band n50, 100MHz TDD)</t>
        </is>
      </c>
      <c r="Q938" s="27">
        <f>ROUNDUP(O938/'Methodology &amp; Assumptions'!$B$8, 0)</f>
        <v/>
      </c>
      <c r="R938" s="27" t="n">
        <v>1</v>
      </c>
      <c r="S938" s="26" t="n">
        <v>1.25</v>
      </c>
      <c r="T938" s="26" t="n">
        <v>1.24</v>
      </c>
      <c r="U938" s="11">
        <f>IF(S938&lt;='Methodology &amp; Assumptions'!$B$10, "Direct Optical Drop (&lt;3km)", IF(S938&lt;='Methodology &amp; Assumptions'!$B$9, "Near Optical / Microwave (&lt;5km)", "Starlink Business LEO Satellite Backhaul (&gt;5km)"))</f>
        <v/>
      </c>
      <c r="V938" s="26" t="n">
        <v>82.59999999999999</v>
      </c>
      <c r="W938" s="26" t="n">
        <v>34.84</v>
      </c>
      <c r="X938" s="26">
        <f>ROUND(('Methodology &amp; Assumptions'!$B$5*V938) + ('Methodology &amp; Assumptions'!$B$6*W938), 2)</f>
        <v/>
      </c>
      <c r="Y938" s="28" t="n">
        <v>8.300000000000001</v>
      </c>
      <c r="Z938" s="11" t="inlineStr">
        <is>
          <t>Priority Tier 3 (Broadband Expansion)</t>
        </is>
      </c>
    </row>
    <row r="939">
      <c r="A939" s="23" t="n">
        <v>4</v>
      </c>
      <c r="B939" s="23" t="n">
        <v>935</v>
      </c>
      <c r="C939" s="23" t="n">
        <v>3935</v>
      </c>
      <c r="D939" s="23" t="inlineStr">
        <is>
          <t>0304903010</t>
        </is>
      </c>
      <c r="E939" s="11" t="inlineStr">
        <is>
          <t>Region III (Central Luzon)</t>
        </is>
      </c>
      <c r="F939" s="11" t="inlineStr">
        <is>
          <t>Nueva Ecija</t>
        </is>
      </c>
      <c r="G939" s="11" t="inlineStr">
        <is>
          <t>City of Cabanatuan</t>
        </is>
      </c>
      <c r="H939" s="11" t="inlineStr">
        <is>
          <t>Bantug Bulalo</t>
        </is>
      </c>
      <c r="I939" s="24" t="n">
        <v>15.585783</v>
      </c>
      <c r="J939" s="24" t="n">
        <v>120.924577</v>
      </c>
      <c r="K939" s="23" t="inlineStr">
        <is>
          <t>R</t>
        </is>
      </c>
      <c r="L939" s="25" t="n">
        <v>2190</v>
      </c>
      <c r="M939" s="26" t="n">
        <v>3.5</v>
      </c>
      <c r="N939" s="25">
        <f>ROUND(L939/M939, 0)</f>
        <v/>
      </c>
      <c r="O939" s="25">
        <f>ROUND(N939*'Methodology &amp; Assumptions'!$B$7, 0)</f>
        <v/>
      </c>
      <c r="P939" s="23" t="inlineStr">
        <is>
          <t>Single Carrier (Band n50, 100MHz TDD)</t>
        </is>
      </c>
      <c r="Q939" s="27">
        <f>ROUNDUP(O939/'Methodology &amp; Assumptions'!$B$8, 0)</f>
        <v/>
      </c>
      <c r="R939" s="27" t="n">
        <v>1</v>
      </c>
      <c r="S939" s="26" t="n">
        <v>0.71</v>
      </c>
      <c r="T939" s="26" t="n">
        <v>0.52</v>
      </c>
      <c r="U939" s="11">
        <f>IF(S939&lt;='Methodology &amp; Assumptions'!$B$10, "Direct Optical Drop (&lt;3km)", IF(S939&lt;='Methodology &amp; Assumptions'!$B$9, "Near Optical / Microwave (&lt;5km)", "Starlink Business LEO Satellite Backhaul (&gt;5km)"))</f>
        <v/>
      </c>
      <c r="V939" s="26" t="n">
        <v>79.39</v>
      </c>
      <c r="W939" s="26" t="n">
        <v>38.05</v>
      </c>
      <c r="X939" s="26">
        <f>ROUND(('Methodology &amp; Assumptions'!$B$5*V939) + ('Methodology &amp; Assumptions'!$B$6*W939), 2)</f>
        <v/>
      </c>
      <c r="Y939" s="28" t="n">
        <v>8.300000000000001</v>
      </c>
      <c r="Z939" s="11" t="inlineStr">
        <is>
          <t>Priority Tier 3 (Broadband Expansion)</t>
        </is>
      </c>
    </row>
    <row r="940">
      <c r="A940" s="23" t="n">
        <v>4</v>
      </c>
      <c r="B940" s="23" t="n">
        <v>936</v>
      </c>
      <c r="C940" s="23" t="n">
        <v>3936</v>
      </c>
      <c r="D940" s="23" t="inlineStr">
        <is>
          <t>0803708087</t>
        </is>
      </c>
      <c r="E940" s="11" t="inlineStr">
        <is>
          <t>Region VIII (Eastern Visayas)</t>
        </is>
      </c>
      <c r="F940" s="11" t="inlineStr">
        <is>
          <t>Leyte</t>
        </is>
      </c>
      <c r="G940" s="11" t="inlineStr">
        <is>
          <t>City of Baybay</t>
        </is>
      </c>
      <c r="H940" s="11" t="inlineStr">
        <is>
          <t>Santo Rosario</t>
        </is>
      </c>
      <c r="I940" s="24" t="n">
        <v>10.679631</v>
      </c>
      <c r="J940" s="24" t="n">
        <v>124.795465</v>
      </c>
      <c r="K940" s="23" t="inlineStr">
        <is>
          <t>R</t>
        </is>
      </c>
      <c r="L940" s="25" t="n">
        <v>2142</v>
      </c>
      <c r="M940" s="26" t="n">
        <v>3.8</v>
      </c>
      <c r="N940" s="25">
        <f>ROUND(L940/M940, 0)</f>
        <v/>
      </c>
      <c r="O940" s="25">
        <f>ROUND(N940*'Methodology &amp; Assumptions'!$B$7, 0)</f>
        <v/>
      </c>
      <c r="P940" s="23" t="inlineStr">
        <is>
          <t>Single Carrier (Band n50, 100MHz TDD)</t>
        </is>
      </c>
      <c r="Q940" s="27">
        <f>ROUNDUP(O940/'Methodology &amp; Assumptions'!$B$8, 0)</f>
        <v/>
      </c>
      <c r="R940" s="27" t="n">
        <v>1</v>
      </c>
      <c r="S940" s="26" t="n">
        <v>0.68</v>
      </c>
      <c r="T940" s="26" t="n">
        <v>0.39</v>
      </c>
      <c r="U940" s="11">
        <f>IF(S940&lt;='Methodology &amp; Assumptions'!$B$10, "Direct Optical Drop (&lt;3km)", IF(S940&lt;='Methodology &amp; Assumptions'!$B$9, "Near Optical / Microwave (&lt;5km)", "Starlink Business LEO Satellite Backhaul (&gt;5km)"))</f>
        <v/>
      </c>
      <c r="V940" s="26" t="n">
        <v>78.59</v>
      </c>
      <c r="W940" s="26" t="n">
        <v>38.85</v>
      </c>
      <c r="X940" s="26">
        <f>ROUND(('Methodology &amp; Assumptions'!$B$5*V940) + ('Methodology &amp; Assumptions'!$B$6*W940), 2)</f>
        <v/>
      </c>
      <c r="Y940" s="28" t="n">
        <v>23.7</v>
      </c>
      <c r="Z940" s="11" t="inlineStr">
        <is>
          <t>Priority Tier 3 (Broadband Expansion)</t>
        </is>
      </c>
    </row>
    <row r="941">
      <c r="A941" s="23" t="n">
        <v>4</v>
      </c>
      <c r="B941" s="23" t="n">
        <v>937</v>
      </c>
      <c r="C941" s="23" t="n">
        <v>3937</v>
      </c>
      <c r="D941" s="23" t="inlineStr">
        <is>
          <t>1600203030</t>
        </is>
      </c>
      <c r="E941" s="11" t="inlineStr">
        <is>
          <t>Region XIII (Caraga)</t>
        </is>
      </c>
      <c r="F941" s="11" t="inlineStr">
        <is>
          <t>Agusan del Norte</t>
        </is>
      </c>
      <c r="G941" s="11" t="inlineStr">
        <is>
          <t>City of Cabadbaran</t>
        </is>
      </c>
      <c r="H941" s="11" t="inlineStr">
        <is>
          <t>Poblacion 7</t>
        </is>
      </c>
      <c r="I941" s="24" t="n">
        <v>9.125928999999999</v>
      </c>
      <c r="J941" s="24" t="n">
        <v>125.535742</v>
      </c>
      <c r="K941" s="23" t="inlineStr">
        <is>
          <t>R</t>
        </is>
      </c>
      <c r="L941" s="25" t="n">
        <v>2372</v>
      </c>
      <c r="M941" s="26" t="n">
        <v>4.1</v>
      </c>
      <c r="N941" s="25">
        <f>ROUND(L941/M941, 0)</f>
        <v/>
      </c>
      <c r="O941" s="25">
        <f>ROUND(N941*'Methodology &amp; Assumptions'!$B$7, 0)</f>
        <v/>
      </c>
      <c r="P941" s="23" t="inlineStr">
        <is>
          <t>Single Carrier (Band n50, 100MHz TDD)</t>
        </is>
      </c>
      <c r="Q941" s="27">
        <f>ROUNDUP(O941/'Methodology &amp; Assumptions'!$B$8, 0)</f>
        <v/>
      </c>
      <c r="R941" s="27" t="n">
        <v>1</v>
      </c>
      <c r="S941" s="26" t="n">
        <v>1.53</v>
      </c>
      <c r="T941" s="26" t="n">
        <v>0.66</v>
      </c>
      <c r="U941" s="11">
        <f>IF(S941&lt;='Methodology &amp; Assumptions'!$B$10, "Direct Optical Drop (&lt;3km)", IF(S941&lt;='Methodology &amp; Assumptions'!$B$9, "Near Optical / Microwave (&lt;5km)", "Starlink Business LEO Satellite Backhaul (&gt;5km)"))</f>
        <v/>
      </c>
      <c r="V941" s="26" t="n">
        <v>75.98999999999999</v>
      </c>
      <c r="W941" s="26" t="n">
        <v>41.45</v>
      </c>
      <c r="X941" s="26">
        <f>ROUND(('Methodology &amp; Assumptions'!$B$5*V941) + ('Methodology &amp; Assumptions'!$B$6*W941), 2)</f>
        <v/>
      </c>
      <c r="Y941" s="28" t="n">
        <v>17.4</v>
      </c>
      <c r="Z941" s="11" t="inlineStr">
        <is>
          <t>Priority Tier 3 (Broadband Expansion)</t>
        </is>
      </c>
    </row>
    <row r="942">
      <c r="A942" s="23" t="n">
        <v>4</v>
      </c>
      <c r="B942" s="23" t="n">
        <v>938</v>
      </c>
      <c r="C942" s="23" t="n">
        <v>3938</v>
      </c>
      <c r="D942" s="23" t="inlineStr">
        <is>
          <t>0105517022</t>
        </is>
      </c>
      <c r="E942" s="11" t="inlineStr">
        <is>
          <t>Region I (Ilocos Region)</t>
        </is>
      </c>
      <c r="F942" s="11" t="inlineStr">
        <is>
          <t>Pangasinan</t>
        </is>
      </c>
      <c r="G942" s="11" t="inlineStr">
        <is>
          <t>Calasiao</t>
        </is>
      </c>
      <c r="H942" s="11" t="inlineStr">
        <is>
          <t>San Miguel</t>
        </is>
      </c>
      <c r="I942" s="24" t="n">
        <v>16.01454</v>
      </c>
      <c r="J942" s="24" t="n">
        <v>120.3596</v>
      </c>
      <c r="K942" s="23" t="inlineStr">
        <is>
          <t>U</t>
        </is>
      </c>
      <c r="L942" s="25" t="n">
        <v>7809</v>
      </c>
      <c r="M942" s="26" t="n">
        <v>3.6</v>
      </c>
      <c r="N942" s="25">
        <f>ROUND(L942/M942, 0)</f>
        <v/>
      </c>
      <c r="O942" s="25">
        <f>ROUND(N942*'Methodology &amp; Assumptions'!$B$7, 0)</f>
        <v/>
      </c>
      <c r="P942" s="23" t="inlineStr">
        <is>
          <t>Single Carrier (Band n50, 100MHz TDD)</t>
        </is>
      </c>
      <c r="Q942" s="27">
        <f>ROUNDUP(O942/'Methodology &amp; Assumptions'!$B$8, 0)</f>
        <v/>
      </c>
      <c r="R942" s="27" t="n">
        <v>1</v>
      </c>
      <c r="S942" s="26" t="n">
        <v>3</v>
      </c>
      <c r="T942" s="26" t="n">
        <v>0.33</v>
      </c>
      <c r="U942" s="11">
        <f>IF(S942&lt;='Methodology &amp; Assumptions'!$B$10, "Direct Optical Drop (&lt;3km)", IF(S942&lt;='Methodology &amp; Assumptions'!$B$9, "Near Optical / Microwave (&lt;5km)", "Starlink Business LEO Satellite Backhaul (&gt;5km)"))</f>
        <v/>
      </c>
      <c r="V942" s="26" t="n">
        <v>71</v>
      </c>
      <c r="W942" s="26" t="n">
        <v>46.44</v>
      </c>
      <c r="X942" s="26">
        <f>ROUND(('Methodology &amp; Assumptions'!$B$5*V942) + ('Methodology &amp; Assumptions'!$B$6*W942), 2)</f>
        <v/>
      </c>
      <c r="Y942" s="28" t="n">
        <v>8.300000000000001</v>
      </c>
      <c r="Z942" s="11" t="inlineStr">
        <is>
          <t>Priority Tier 3 (Broadband Expansion)</t>
        </is>
      </c>
    </row>
    <row r="943">
      <c r="A943" s="23" t="n">
        <v>4</v>
      </c>
      <c r="B943" s="23" t="n">
        <v>939</v>
      </c>
      <c r="C943" s="23" t="n">
        <v>3939</v>
      </c>
      <c r="D943" s="23" t="inlineStr">
        <is>
          <t>0201528029</t>
        </is>
      </c>
      <c r="E943" s="11" t="inlineStr">
        <is>
          <t>Region II (Cagayan Valley)</t>
        </is>
      </c>
      <c r="F943" s="11" t="inlineStr">
        <is>
          <t>Cagayan</t>
        </is>
      </c>
      <c r="G943" s="11" t="inlineStr">
        <is>
          <t>Tuao</t>
        </is>
      </c>
      <c r="H943" s="11" t="inlineStr">
        <is>
          <t>Taribubu</t>
        </is>
      </c>
      <c r="I943" s="24" t="n">
        <v>17.6085</v>
      </c>
      <c r="J943" s="24" t="n">
        <v>121.5082</v>
      </c>
      <c r="K943" s="23" t="inlineStr">
        <is>
          <t>R</t>
        </is>
      </c>
      <c r="L943" s="25" t="n">
        <v>1697</v>
      </c>
      <c r="M943" s="26" t="n">
        <v>3.9</v>
      </c>
      <c r="N943" s="25">
        <f>ROUND(L943/M943, 0)</f>
        <v/>
      </c>
      <c r="O943" s="25">
        <f>ROUND(N943*'Methodology &amp; Assumptions'!$B$7, 0)</f>
        <v/>
      </c>
      <c r="P943" s="23" t="inlineStr">
        <is>
          <t>Single Carrier (Band n50, 100MHz TDD)</t>
        </is>
      </c>
      <c r="Q943" s="27">
        <f>ROUNDUP(O943/'Methodology &amp; Assumptions'!$B$8, 0)</f>
        <v/>
      </c>
      <c r="R943" s="27" t="n">
        <v>1</v>
      </c>
      <c r="S943" s="26" t="n">
        <v>6.94</v>
      </c>
      <c r="T943" s="26" t="n">
        <v>8.35</v>
      </c>
      <c r="U943" s="11">
        <f>IF(S943&lt;='Methodology &amp; Assumptions'!$B$10, "Direct Optical Drop (&lt;3km)", IF(S943&lt;='Methodology &amp; Assumptions'!$B$9, "Near Optical / Microwave (&lt;5km)", "Starlink Business LEO Satellite Backhaul (&gt;5km)"))</f>
        <v/>
      </c>
      <c r="V943" s="26" t="n">
        <v>55.35</v>
      </c>
      <c r="W943" s="26" t="n">
        <v>62.1</v>
      </c>
      <c r="X943" s="26">
        <f>ROUND(('Methodology &amp; Assumptions'!$B$5*V943) + ('Methodology &amp; Assumptions'!$B$6*W943), 2)</f>
        <v/>
      </c>
      <c r="Y943" s="28" t="n">
        <v>8.300000000000001</v>
      </c>
      <c r="Z943" s="11" t="inlineStr">
        <is>
          <t>Priority Tier 3 (Broadband Expansion)</t>
        </is>
      </c>
    </row>
    <row r="944">
      <c r="A944" s="23" t="n">
        <v>4</v>
      </c>
      <c r="B944" s="23" t="n">
        <v>940</v>
      </c>
      <c r="C944" s="23" t="n">
        <v>3940</v>
      </c>
      <c r="D944" s="23" t="inlineStr">
        <is>
          <t>0600613028</t>
        </is>
      </c>
      <c r="E944" s="11" t="inlineStr">
        <is>
          <t>Region VI (Western Visayas)</t>
        </is>
      </c>
      <c r="F944" s="11" t="inlineStr">
        <is>
          <t>Antique</t>
        </is>
      </c>
      <c r="G944" s="11" t="inlineStr">
        <is>
          <t>San Jose</t>
        </is>
      </c>
      <c r="H944" s="11" t="inlineStr">
        <is>
          <t>San Fernando</t>
        </is>
      </c>
      <c r="I944" s="24" t="n">
        <v>10.775805</v>
      </c>
      <c r="J944" s="24" t="n">
        <v>121.942721</v>
      </c>
      <c r="K944" s="23" t="inlineStr">
        <is>
          <t>R</t>
        </is>
      </c>
      <c r="L944" s="25" t="n">
        <v>3396</v>
      </c>
      <c r="M944" s="26" t="n">
        <v>3.9</v>
      </c>
      <c r="N944" s="25">
        <f>ROUND(L944/M944, 0)</f>
        <v/>
      </c>
      <c r="O944" s="25">
        <f>ROUND(N944*'Methodology &amp; Assumptions'!$B$7, 0)</f>
        <v/>
      </c>
      <c r="P944" s="23" t="inlineStr">
        <is>
          <t>Single Carrier (Band n50, 100MHz TDD)</t>
        </is>
      </c>
      <c r="Q944" s="27">
        <f>ROUNDUP(O944/'Methodology &amp; Assumptions'!$B$8, 0)</f>
        <v/>
      </c>
      <c r="R944" s="27" t="n">
        <v>1</v>
      </c>
      <c r="S944" s="26" t="n">
        <v>1.59</v>
      </c>
      <c r="T944" s="26" t="n">
        <v>0.25</v>
      </c>
      <c r="U944" s="11">
        <f>IF(S944&lt;='Methodology &amp; Assumptions'!$B$10, "Direct Optical Drop (&lt;3km)", IF(S944&lt;='Methodology &amp; Assumptions'!$B$9, "Near Optical / Microwave (&lt;5km)", "Starlink Business LEO Satellite Backhaul (&gt;5km)"))</f>
        <v/>
      </c>
      <c r="V944" s="26" t="n">
        <v>85.12</v>
      </c>
      <c r="W944" s="26" t="n">
        <v>32.29</v>
      </c>
      <c r="X944" s="26">
        <f>ROUND(('Methodology &amp; Assumptions'!$B$5*V944) + ('Methodology &amp; Assumptions'!$B$6*W944), 2)</f>
        <v/>
      </c>
      <c r="Y944" s="28" t="n">
        <v>23.7</v>
      </c>
      <c r="Z944" s="11" t="inlineStr">
        <is>
          <t>Priority Tier 3 (Broadband Expansion)</t>
        </is>
      </c>
    </row>
    <row r="945">
      <c r="A945" s="23" t="n">
        <v>4</v>
      </c>
      <c r="B945" s="23" t="n">
        <v>941</v>
      </c>
      <c r="C945" s="23" t="n">
        <v>3941</v>
      </c>
      <c r="D945" s="23" t="inlineStr">
        <is>
          <t>0300807019</t>
        </is>
      </c>
      <c r="E945" s="11" t="inlineStr">
        <is>
          <t>Region III (Central Luzon)</t>
        </is>
      </c>
      <c r="F945" s="11" t="inlineStr">
        <is>
          <t>Bataan</t>
        </is>
      </c>
      <c r="G945" s="11" t="inlineStr">
        <is>
          <t>Mariveles</t>
        </is>
      </c>
      <c r="H945" s="11" t="inlineStr">
        <is>
          <t>Mt. View</t>
        </is>
      </c>
      <c r="I945" s="24" t="n">
        <v>14.453384</v>
      </c>
      <c r="J945" s="24" t="n">
        <v>120.573995</v>
      </c>
      <c r="K945" s="23" t="inlineStr">
        <is>
          <t>U</t>
        </is>
      </c>
      <c r="L945" s="25" t="n">
        <v>13666</v>
      </c>
      <c r="M945" s="26" t="n">
        <v>3.6</v>
      </c>
      <c r="N945" s="25">
        <f>ROUND(L945/M945, 0)</f>
        <v/>
      </c>
      <c r="O945" s="25">
        <f>ROUND(N945*'Methodology &amp; Assumptions'!$B$7, 0)</f>
        <v/>
      </c>
      <c r="P945" s="23" t="inlineStr">
        <is>
          <t>Single Carrier (Band n50, 100MHz TDD)</t>
        </is>
      </c>
      <c r="Q945" s="27">
        <f>ROUNDUP(O945/'Methodology &amp; Assumptions'!$B$8, 0)</f>
        <v/>
      </c>
      <c r="R945" s="27" t="n">
        <v>1</v>
      </c>
      <c r="S945" s="26" t="n">
        <v>0.24</v>
      </c>
      <c r="T945" s="26" t="n">
        <v>0.11</v>
      </c>
      <c r="U945" s="11">
        <f>IF(S945&lt;='Methodology &amp; Assumptions'!$B$10, "Direct Optical Drop (&lt;3km)", IF(S945&lt;='Methodology &amp; Assumptions'!$B$9, "Near Optical / Microwave (&lt;5km)", "Starlink Business LEO Satellite Backhaul (&gt;5km)"))</f>
        <v/>
      </c>
      <c r="V945" s="26" t="n">
        <v>78.43000000000001</v>
      </c>
      <c r="W945" s="26" t="n">
        <v>38.99</v>
      </c>
      <c r="X945" s="26">
        <f>ROUND(('Methodology &amp; Assumptions'!$B$5*V945) + ('Methodology &amp; Assumptions'!$B$6*W945), 2)</f>
        <v/>
      </c>
      <c r="Y945" s="28" t="n">
        <v>8.300000000000001</v>
      </c>
      <c r="Z945" s="11" t="inlineStr">
        <is>
          <t>Priority Tier 3 (Broadband Expansion)</t>
        </is>
      </c>
    </row>
    <row r="946">
      <c r="A946" s="23" t="n">
        <v>4</v>
      </c>
      <c r="B946" s="23" t="n">
        <v>942</v>
      </c>
      <c r="C946" s="23" t="n">
        <v>3942</v>
      </c>
      <c r="D946" s="23" t="inlineStr">
        <is>
          <t>1108202020</t>
        </is>
      </c>
      <c r="E946" s="11" t="inlineStr">
        <is>
          <t>Region XI (Davao Region)</t>
        </is>
      </c>
      <c r="F946" s="11" t="inlineStr">
        <is>
          <t>Davao de Oro</t>
        </is>
      </c>
      <c r="G946" s="11" t="inlineStr">
        <is>
          <t>Laak</t>
        </is>
      </c>
      <c r="H946" s="11" t="inlineStr">
        <is>
          <t>Bagong Silang</t>
        </is>
      </c>
      <c r="I946" s="24" t="n">
        <v>7.877119</v>
      </c>
      <c r="J946" s="24" t="n">
        <v>125.784354</v>
      </c>
      <c r="K946" s="23" t="inlineStr">
        <is>
          <t>R</t>
        </is>
      </c>
      <c r="L946" s="25" t="n">
        <v>968</v>
      </c>
      <c r="M946" s="26" t="n">
        <v>3.7</v>
      </c>
      <c r="N946" s="25">
        <f>ROUND(L946/M946, 0)</f>
        <v/>
      </c>
      <c r="O946" s="25">
        <f>ROUND(N946*'Methodology &amp; Assumptions'!$B$7, 0)</f>
        <v/>
      </c>
      <c r="P946" s="23" t="inlineStr">
        <is>
          <t>Single Carrier (Band n50, 100MHz TDD)</t>
        </is>
      </c>
      <c r="Q946" s="27">
        <f>ROUNDUP(O946/'Methodology &amp; Assumptions'!$B$8, 0)</f>
        <v/>
      </c>
      <c r="R946" s="27" t="n">
        <v>1</v>
      </c>
      <c r="S946" s="26" t="n">
        <v>30.45</v>
      </c>
      <c r="T946" s="26" t="n">
        <v>27.96</v>
      </c>
      <c r="U946" s="11">
        <f>IF(S946&lt;='Methodology &amp; Assumptions'!$B$10, "Direct Optical Drop (&lt;3km)", IF(S946&lt;='Methodology &amp; Assumptions'!$B$9, "Near Optical / Microwave (&lt;5km)", "Starlink Business LEO Satellite Backhaul (&gt;5km)"))</f>
        <v/>
      </c>
      <c r="V946" s="26" t="n">
        <v>43.45</v>
      </c>
      <c r="W946" s="26" t="n">
        <v>73.97</v>
      </c>
      <c r="X946" s="26">
        <f>ROUND(('Methodology &amp; Assumptions'!$B$5*V946) + ('Methodology &amp; Assumptions'!$B$6*W946), 2)</f>
        <v/>
      </c>
      <c r="Y946" s="28" t="n">
        <v>17.4</v>
      </c>
      <c r="Z946" s="11" t="inlineStr">
        <is>
          <t>Priority Tier 3 (Broadband Expansion)</t>
        </is>
      </c>
    </row>
    <row r="947">
      <c r="A947" s="23" t="n">
        <v>4</v>
      </c>
      <c r="B947" s="23" t="n">
        <v>943</v>
      </c>
      <c r="C947" s="23" t="n">
        <v>3943</v>
      </c>
      <c r="D947" s="23" t="inlineStr">
        <is>
          <t>0806411023</t>
        </is>
      </c>
      <c r="E947" s="11" t="inlineStr">
        <is>
          <t>Region VIII (Eastern Visayas)</t>
        </is>
      </c>
      <c r="F947" s="11" t="inlineStr">
        <is>
          <t>Southern Leyte</t>
        </is>
      </c>
      <c r="G947" s="11" t="inlineStr">
        <is>
          <t>Pintuyan</t>
        </is>
      </c>
      <c r="H947" s="11" t="inlineStr">
        <is>
          <t>Pociano D. Equipilag</t>
        </is>
      </c>
      <c r="I947" s="24" t="n">
        <v>9.940756</v>
      </c>
      <c r="J947" s="24" t="n">
        <v>125.265434</v>
      </c>
      <c r="K947" s="23" t="inlineStr">
        <is>
          <t>R</t>
        </is>
      </c>
      <c r="L947" s="25" t="n">
        <v>400</v>
      </c>
      <c r="M947" s="26" t="n">
        <v>4.1</v>
      </c>
      <c r="N947" s="25">
        <f>ROUND(L947/M947, 0)</f>
        <v/>
      </c>
      <c r="O947" s="25">
        <f>ROUND(N947*'Methodology &amp; Assumptions'!$B$7, 0)</f>
        <v/>
      </c>
      <c r="P947" s="23" t="inlineStr">
        <is>
          <t>Single Carrier (Band n50, 100MHz TDD)</t>
        </is>
      </c>
      <c r="Q947" s="27">
        <f>ROUNDUP(O947/'Methodology &amp; Assumptions'!$B$8, 0)</f>
        <v/>
      </c>
      <c r="R947" s="27" t="n">
        <v>1</v>
      </c>
      <c r="S947" s="26" t="n">
        <v>30.33</v>
      </c>
      <c r="T947" s="26" t="n">
        <v>28.63</v>
      </c>
      <c r="U947" s="11">
        <f>IF(S947&lt;='Methodology &amp; Assumptions'!$B$10, "Direct Optical Drop (&lt;3km)", IF(S947&lt;='Methodology &amp; Assumptions'!$B$9, "Near Optical / Microwave (&lt;5km)", "Starlink Business LEO Satellite Backhaul (&gt;5km)"))</f>
        <v/>
      </c>
      <c r="V947" s="26" t="n">
        <v>42.9</v>
      </c>
      <c r="W947" s="26" t="n">
        <v>74.53</v>
      </c>
      <c r="X947" s="26">
        <f>ROUND(('Methodology &amp; Assumptions'!$B$5*V947) + ('Methodology &amp; Assumptions'!$B$6*W947), 2)</f>
        <v/>
      </c>
      <c r="Y947" s="28" t="n">
        <v>23.7</v>
      </c>
      <c r="Z947" s="11" t="inlineStr">
        <is>
          <t>Priority Tier 3 (Broadband Expansion)</t>
        </is>
      </c>
    </row>
    <row r="948">
      <c r="A948" s="23" t="n">
        <v>4</v>
      </c>
      <c r="B948" s="23" t="n">
        <v>944</v>
      </c>
      <c r="C948" s="23" t="n">
        <v>3944</v>
      </c>
      <c r="D948" s="23" t="inlineStr">
        <is>
          <t>0305403020</t>
        </is>
      </c>
      <c r="E948" s="11" t="inlineStr">
        <is>
          <t>Region III (Central Luzon)</t>
        </is>
      </c>
      <c r="F948" s="11" t="inlineStr">
        <is>
          <t>Pampanga</t>
        </is>
      </c>
      <c r="G948" s="11" t="inlineStr">
        <is>
          <t>Arayat</t>
        </is>
      </c>
      <c r="H948" s="11" t="inlineStr">
        <is>
          <t>San Agustin Norte</t>
        </is>
      </c>
      <c r="I948" s="24" t="n">
        <v>15.162603</v>
      </c>
      <c r="J948" s="24" t="n">
        <v>120.77941</v>
      </c>
      <c r="K948" s="23" t="inlineStr">
        <is>
          <t>R</t>
        </is>
      </c>
      <c r="L948" s="25" t="n">
        <v>3848</v>
      </c>
      <c r="M948" s="26" t="n">
        <v>4</v>
      </c>
      <c r="N948" s="25">
        <f>ROUND(L948/M948, 0)</f>
        <v/>
      </c>
      <c r="O948" s="25">
        <f>ROUND(N948*'Methodology &amp; Assumptions'!$B$7, 0)</f>
        <v/>
      </c>
      <c r="P948" s="23" t="inlineStr">
        <is>
          <t>Single Carrier (Band n50, 100MHz TDD)</t>
        </is>
      </c>
      <c r="Q948" s="27">
        <f>ROUNDUP(O948/'Methodology &amp; Assumptions'!$B$8, 0)</f>
        <v/>
      </c>
      <c r="R948" s="27" t="n">
        <v>1</v>
      </c>
      <c r="S948" s="26" t="n">
        <v>2.41</v>
      </c>
      <c r="T948" s="26" t="n">
        <v>0.12</v>
      </c>
      <c r="U948" s="11">
        <f>IF(S948&lt;='Methodology &amp; Assumptions'!$B$10, "Direct Optical Drop (&lt;3km)", IF(S948&lt;='Methodology &amp; Assumptions'!$B$9, "Near Optical / Microwave (&lt;5km)", "Starlink Business LEO Satellite Backhaul (&gt;5km)"))</f>
        <v/>
      </c>
      <c r="V948" s="26" t="n">
        <v>80.03</v>
      </c>
      <c r="W948" s="26" t="n">
        <v>37.36</v>
      </c>
      <c r="X948" s="26">
        <f>ROUND(('Methodology &amp; Assumptions'!$B$5*V948) + ('Methodology &amp; Assumptions'!$B$6*W948), 2)</f>
        <v/>
      </c>
      <c r="Y948" s="28" t="n">
        <v>8.300000000000001</v>
      </c>
      <c r="Z948" s="11" t="inlineStr">
        <is>
          <t>Priority Tier 3 (Broadband Expansion)</t>
        </is>
      </c>
    </row>
    <row r="949">
      <c r="A949" s="23" t="n">
        <v>4</v>
      </c>
      <c r="B949" s="23" t="n">
        <v>945</v>
      </c>
      <c r="C949" s="23" t="n">
        <v>3945</v>
      </c>
      <c r="D949" s="23" t="inlineStr">
        <is>
          <t>0803739031</t>
        </is>
      </c>
      <c r="E949" s="11" t="inlineStr">
        <is>
          <t>Region VIII (Eastern Visayas)</t>
        </is>
      </c>
      <c r="F949" s="11" t="inlineStr">
        <is>
          <t>Leyte</t>
        </is>
      </c>
      <c r="G949" s="11" t="inlineStr">
        <is>
          <t>Palo</t>
        </is>
      </c>
      <c r="H949" s="11" t="inlineStr">
        <is>
          <t>San Miguel</t>
        </is>
      </c>
      <c r="I949" s="24" t="n">
        <v>11.15953</v>
      </c>
      <c r="J949" s="24" t="n">
        <v>124.994576</v>
      </c>
      <c r="K949" s="23" t="inlineStr">
        <is>
          <t>R</t>
        </is>
      </c>
      <c r="L949" s="25" t="n">
        <v>1692</v>
      </c>
      <c r="M949" s="26" t="n">
        <v>3.8</v>
      </c>
      <c r="N949" s="25">
        <f>ROUND(L949/M949, 0)</f>
        <v/>
      </c>
      <c r="O949" s="25">
        <f>ROUND(N949*'Methodology &amp; Assumptions'!$B$7, 0)</f>
        <v/>
      </c>
      <c r="P949" s="23" t="inlineStr">
        <is>
          <t>Single Carrier (Band n50, 100MHz TDD)</t>
        </is>
      </c>
      <c r="Q949" s="27">
        <f>ROUNDUP(O949/'Methodology &amp; Assumptions'!$B$8, 0)</f>
        <v/>
      </c>
      <c r="R949" s="27" t="n">
        <v>1</v>
      </c>
      <c r="S949" s="26" t="n">
        <v>1.24</v>
      </c>
      <c r="T949" s="26" t="n">
        <v>0.19</v>
      </c>
      <c r="U949" s="11">
        <f>IF(S949&lt;='Methodology &amp; Assumptions'!$B$10, "Direct Optical Drop (&lt;3km)", IF(S949&lt;='Methodology &amp; Assumptions'!$B$9, "Near Optical / Microwave (&lt;5km)", "Starlink Business LEO Satellite Backhaul (&gt;5km)"))</f>
        <v/>
      </c>
      <c r="V949" s="26" t="n">
        <v>73.51000000000001</v>
      </c>
      <c r="W949" s="26" t="n">
        <v>43.9</v>
      </c>
      <c r="X949" s="26">
        <f>ROUND(('Methodology &amp; Assumptions'!$B$5*V949) + ('Methodology &amp; Assumptions'!$B$6*W949), 2)</f>
        <v/>
      </c>
      <c r="Y949" s="28" t="n">
        <v>23.7</v>
      </c>
      <c r="Z949" s="11" t="inlineStr">
        <is>
          <t>Priority Tier 3 (Broadband Expansion)</t>
        </is>
      </c>
    </row>
    <row r="950">
      <c r="A950" s="23" t="n">
        <v>4</v>
      </c>
      <c r="B950" s="23" t="n">
        <v>946</v>
      </c>
      <c r="C950" s="23" t="n">
        <v>3946</v>
      </c>
      <c r="D950" s="23" t="inlineStr">
        <is>
          <t>0600404009</t>
        </is>
      </c>
      <c r="E950" s="11" t="inlineStr">
        <is>
          <t>Region VI (Western Visayas)</t>
        </is>
      </c>
      <c r="F950" s="11" t="inlineStr">
        <is>
          <t>Aklan</t>
        </is>
      </c>
      <c r="G950" s="11" t="inlineStr">
        <is>
          <t>Batan</t>
        </is>
      </c>
      <c r="H950" s="11" t="inlineStr">
        <is>
          <t>Lalab</t>
        </is>
      </c>
      <c r="I950" s="24" t="n">
        <v>11.569974</v>
      </c>
      <c r="J950" s="24" t="n">
        <v>122.52596</v>
      </c>
      <c r="K950" s="23" t="inlineStr">
        <is>
          <t>R</t>
        </is>
      </c>
      <c r="L950" s="25" t="n">
        <v>3272</v>
      </c>
      <c r="M950" s="26" t="n">
        <v>3.9</v>
      </c>
      <c r="N950" s="25">
        <f>ROUND(L950/M950, 0)</f>
        <v/>
      </c>
      <c r="O950" s="25">
        <f>ROUND(N950*'Methodology &amp; Assumptions'!$B$7, 0)</f>
        <v/>
      </c>
      <c r="P950" s="23" t="inlineStr">
        <is>
          <t>Single Carrier (Band n50, 100MHz TDD)</t>
        </is>
      </c>
      <c r="Q950" s="27">
        <f>ROUNDUP(O950/'Methodology &amp; Assumptions'!$B$8, 0)</f>
        <v/>
      </c>
      <c r="R950" s="27" t="n">
        <v>1</v>
      </c>
      <c r="S950" s="26" t="n">
        <v>5.85</v>
      </c>
      <c r="T950" s="26" t="n">
        <v>5.19</v>
      </c>
      <c r="U950" s="11">
        <f>IF(S950&lt;='Methodology &amp; Assumptions'!$B$10, "Direct Optical Drop (&lt;3km)", IF(S950&lt;='Methodology &amp; Assumptions'!$B$9, "Near Optical / Microwave (&lt;5km)", "Starlink Business LEO Satellite Backhaul (&gt;5km)"))</f>
        <v/>
      </c>
      <c r="V950" s="26" t="n">
        <v>70.69</v>
      </c>
      <c r="W950" s="26" t="n">
        <v>46.71</v>
      </c>
      <c r="X950" s="26">
        <f>ROUND(('Methodology &amp; Assumptions'!$B$5*V950) + ('Methodology &amp; Assumptions'!$B$6*W950), 2)</f>
        <v/>
      </c>
      <c r="Y950" s="28" t="n">
        <v>23.7</v>
      </c>
      <c r="Z950" s="11" t="inlineStr">
        <is>
          <t>Priority Tier 3 (Broadband Expansion)</t>
        </is>
      </c>
    </row>
    <row r="951">
      <c r="A951" s="23" t="n">
        <v>4</v>
      </c>
      <c r="B951" s="23" t="n">
        <v>947</v>
      </c>
      <c r="C951" s="23" t="n">
        <v>3947</v>
      </c>
      <c r="D951" s="23" t="inlineStr">
        <is>
          <t>0405601002</t>
        </is>
      </c>
      <c r="E951" s="11" t="inlineStr">
        <is>
          <t>Region IV-A (CALABARZON)</t>
        </is>
      </c>
      <c r="F951" s="11" t="inlineStr">
        <is>
          <t>Quezon</t>
        </is>
      </c>
      <c r="G951" s="11" t="inlineStr">
        <is>
          <t>Agdangan</t>
        </is>
      </c>
      <c r="H951" s="11" t="inlineStr">
        <is>
          <t>Dayap</t>
        </is>
      </c>
      <c r="I951" s="24" t="n">
        <v>13.907749</v>
      </c>
      <c r="J951" s="24" t="n">
        <v>121.935019</v>
      </c>
      <c r="K951" s="23" t="inlineStr">
        <is>
          <t>R</t>
        </is>
      </c>
      <c r="L951" s="25" t="n">
        <v>306</v>
      </c>
      <c r="M951" s="26" t="n">
        <v>3.8</v>
      </c>
      <c r="N951" s="25">
        <f>ROUND(L951/M951, 0)</f>
        <v/>
      </c>
      <c r="O951" s="25">
        <f>ROUND(N951*'Methodology &amp; Assumptions'!$B$7, 0)</f>
        <v/>
      </c>
      <c r="P951" s="23" t="inlineStr">
        <is>
          <t>Single Carrier (Band n50, 100MHz TDD)</t>
        </is>
      </c>
      <c r="Q951" s="27">
        <f>ROUNDUP(O951/'Methodology &amp; Assumptions'!$B$8, 0)</f>
        <v/>
      </c>
      <c r="R951" s="27" t="n">
        <v>1</v>
      </c>
      <c r="S951" s="26" t="n">
        <v>4.2</v>
      </c>
      <c r="T951" s="26" t="n">
        <v>3.93</v>
      </c>
      <c r="U951" s="11">
        <f>IF(S951&lt;='Methodology &amp; Assumptions'!$B$10, "Direct Optical Drop (&lt;3km)", IF(S951&lt;='Methodology &amp; Assumptions'!$B$9, "Near Optical / Microwave (&lt;5km)", "Starlink Business LEO Satellite Backhaul (&gt;5km)"))</f>
        <v/>
      </c>
      <c r="V951" s="26" t="n">
        <v>51.69</v>
      </c>
      <c r="W951" s="26" t="n">
        <v>65.70999999999999</v>
      </c>
      <c r="X951" s="26">
        <f>ROUND(('Methodology &amp; Assumptions'!$B$5*V951) + ('Methodology &amp; Assumptions'!$B$6*W951), 2)</f>
        <v/>
      </c>
      <c r="Y951" s="28" t="n">
        <v>7.2</v>
      </c>
      <c r="Z951" s="11" t="inlineStr">
        <is>
          <t>Priority Tier 3 (Broadband Expansion)</t>
        </is>
      </c>
    </row>
    <row r="952">
      <c r="A952" s="23" t="n">
        <v>4</v>
      </c>
      <c r="B952" s="23" t="n">
        <v>948</v>
      </c>
      <c r="C952" s="23" t="n">
        <v>3948</v>
      </c>
      <c r="D952" s="23" t="inlineStr">
        <is>
          <t>1380606051</t>
        </is>
      </c>
      <c r="E952" s="11" t="inlineStr">
        <is>
          <t>National Capital Region (NCR)</t>
        </is>
      </c>
      <c r="F952" s="11" t="inlineStr">
        <is>
          <t>First District (Not a Province)</t>
        </is>
      </c>
      <c r="G952" s="11" t="inlineStr">
        <is>
          <t>City of Manila</t>
        </is>
      </c>
      <c r="H952" s="11" t="inlineStr">
        <is>
          <t>Barangay 445</t>
        </is>
      </c>
      <c r="I952" s="24" t="n">
        <v>14.607156</v>
      </c>
      <c r="J952" s="24" t="n">
        <v>120.999974</v>
      </c>
      <c r="K952" s="23" t="inlineStr">
        <is>
          <t>U</t>
        </is>
      </c>
      <c r="L952" s="25" t="n">
        <v>941</v>
      </c>
      <c r="M952" s="26" t="n">
        <v>3.95</v>
      </c>
      <c r="N952" s="25">
        <f>ROUND(L952/M952, 0)</f>
        <v/>
      </c>
      <c r="O952" s="25">
        <f>ROUND(N952*'Methodology &amp; Assumptions'!$B$7, 0)</f>
        <v/>
      </c>
      <c r="P952" s="23" t="inlineStr">
        <is>
          <t>Single Carrier (Band n50, 100MHz TDD)</t>
        </is>
      </c>
      <c r="Q952" s="27">
        <f>ROUNDUP(O952/'Methodology &amp; Assumptions'!$B$8, 0)</f>
        <v/>
      </c>
      <c r="R952" s="27" t="n">
        <v>1</v>
      </c>
      <c r="S952" s="26" t="n">
        <v>0.59</v>
      </c>
      <c r="T952" s="26" t="n">
        <v>0.36</v>
      </c>
      <c r="U952" s="11">
        <f>IF(S952&lt;='Methodology &amp; Assumptions'!$B$10, "Direct Optical Drop (&lt;3km)", IF(S952&lt;='Methodology &amp; Assumptions'!$B$9, "Near Optical / Microwave (&lt;5km)", "Starlink Business LEO Satellite Backhaul (&gt;5km)"))</f>
        <v/>
      </c>
      <c r="V952" s="26" t="n">
        <v>48.7</v>
      </c>
      <c r="W952" s="26" t="n">
        <v>68.70999999999999</v>
      </c>
      <c r="X952" s="26">
        <f>ROUND(('Methodology &amp; Assumptions'!$B$5*V952) + ('Methodology &amp; Assumptions'!$B$6*W952), 2)</f>
        <v/>
      </c>
      <c r="Y952" s="28" t="n">
        <v>10.9</v>
      </c>
      <c r="Z952" s="11" t="inlineStr">
        <is>
          <t>Priority Tier 3 (Broadband Expansion)</t>
        </is>
      </c>
    </row>
    <row r="953">
      <c r="A953" s="23" t="n">
        <v>4</v>
      </c>
      <c r="B953" s="23" t="n">
        <v>949</v>
      </c>
      <c r="C953" s="23" t="n">
        <v>3949</v>
      </c>
      <c r="D953" s="23" t="inlineStr">
        <is>
          <t>1380601078</t>
        </is>
      </c>
      <c r="E953" s="11" t="inlineStr">
        <is>
          <t>National Capital Region (NCR)</t>
        </is>
      </c>
      <c r="F953" s="11" t="inlineStr">
        <is>
          <t>First District (Not a Province)</t>
        </is>
      </c>
      <c r="G953" s="11" t="inlineStr">
        <is>
          <t>City of Manila</t>
        </is>
      </c>
      <c r="H953" s="11" t="inlineStr">
        <is>
          <t>Barangay 78</t>
        </is>
      </c>
      <c r="I953" s="24" t="n">
        <v>14.65977</v>
      </c>
      <c r="J953" s="24" t="n">
        <v>120.9832</v>
      </c>
      <c r="K953" s="23" t="inlineStr">
        <is>
          <t>U</t>
        </is>
      </c>
      <c r="L953" s="25" t="n">
        <v>844</v>
      </c>
      <c r="M953" s="26" t="n">
        <v>4.56</v>
      </c>
      <c r="N953" s="25">
        <f>ROUND(L953/M953, 0)</f>
        <v/>
      </c>
      <c r="O953" s="25">
        <f>ROUND(N953*'Methodology &amp; Assumptions'!$B$7, 0)</f>
        <v/>
      </c>
      <c r="P953" s="23" t="inlineStr">
        <is>
          <t>Single Carrier (Band n50, 100MHz TDD)</t>
        </is>
      </c>
      <c r="Q953" s="27">
        <f>ROUNDUP(O953/'Methodology &amp; Assumptions'!$B$8, 0)</f>
        <v/>
      </c>
      <c r="R953" s="27" t="n">
        <v>1</v>
      </c>
      <c r="S953" s="26" t="n">
        <v>0.67</v>
      </c>
      <c r="T953" s="26" t="n">
        <v>0.27</v>
      </c>
      <c r="U953" s="11">
        <f>IF(S953&lt;='Methodology &amp; Assumptions'!$B$10, "Direct Optical Drop (&lt;3km)", IF(S953&lt;='Methodology &amp; Assumptions'!$B$9, "Near Optical / Microwave (&lt;5km)", "Starlink Business LEO Satellite Backhaul (&gt;5km)"))</f>
        <v/>
      </c>
      <c r="V953" s="26" t="n">
        <v>47.09</v>
      </c>
      <c r="W953" s="26" t="n">
        <v>70.31</v>
      </c>
      <c r="X953" s="26">
        <f>ROUND(('Methodology &amp; Assumptions'!$B$5*V953) + ('Methodology &amp; Assumptions'!$B$6*W953), 2)</f>
        <v/>
      </c>
      <c r="Y953" s="28" t="n">
        <v>10.9</v>
      </c>
      <c r="Z953" s="11" t="inlineStr">
        <is>
          <t>Priority Tier 3 (Broadband Expansion)</t>
        </is>
      </c>
    </row>
    <row r="954">
      <c r="A954" s="23" t="n">
        <v>4</v>
      </c>
      <c r="B954" s="23" t="n">
        <v>950</v>
      </c>
      <c r="C954" s="23" t="n">
        <v>3950</v>
      </c>
      <c r="D954" s="23" t="inlineStr">
        <is>
          <t>1906613021</t>
        </is>
      </c>
      <c r="E954" s="11" t="inlineStr">
        <is>
          <t>Bangsamoro Autonomous Region In Muslim Mindanao (BARMM)</t>
        </is>
      </c>
      <c r="F954" s="11" t="inlineStr">
        <is>
          <t>Sulu</t>
        </is>
      </c>
      <c r="G954" s="11" t="inlineStr">
        <is>
          <t>Talipao</t>
        </is>
      </c>
      <c r="H954" s="11" t="inlineStr">
        <is>
          <t>Kuhaw</t>
        </is>
      </c>
      <c r="I954" s="24" t="n">
        <v>5.993314</v>
      </c>
      <c r="J954" s="24" t="n">
        <v>121.145264</v>
      </c>
      <c r="K954" s="23" t="inlineStr">
        <is>
          <t>R</t>
        </is>
      </c>
      <c r="L954" s="25" t="n">
        <v>2766</v>
      </c>
      <c r="M954" s="26" t="n">
        <v>6</v>
      </c>
      <c r="N954" s="25">
        <f>ROUND(L954/M954, 0)</f>
        <v/>
      </c>
      <c r="O954" s="25">
        <f>ROUND(N954*'Methodology &amp; Assumptions'!$B$7, 0)</f>
        <v/>
      </c>
      <c r="P954" s="23" t="inlineStr">
        <is>
          <t>Single Carrier (Band n50, 100MHz TDD)</t>
        </is>
      </c>
      <c r="Q954" s="27">
        <f>ROUNDUP(O954/'Methodology &amp; Assumptions'!$B$8, 0)</f>
        <v/>
      </c>
      <c r="R954" s="27" t="n">
        <v>1</v>
      </c>
      <c r="S954" s="26" t="n">
        <v>144.65</v>
      </c>
      <c r="T954" s="26" t="n">
        <v>144.64</v>
      </c>
      <c r="U954" s="11">
        <f>IF(S954&lt;='Methodology &amp; Assumptions'!$B$10, "Direct Optical Drop (&lt;3km)", IF(S954&lt;='Methodology &amp; Assumptions'!$B$9, "Near Optical / Microwave (&lt;5km)", "Starlink Business LEO Satellite Backhaul (&gt;5km)"))</f>
        <v/>
      </c>
      <c r="V954" s="26" t="n">
        <v>45.83</v>
      </c>
      <c r="W954" s="26" t="n">
        <v>71.56</v>
      </c>
      <c r="X954" s="26">
        <f>ROUND(('Methodology &amp; Assumptions'!$B$5*V954) + ('Methodology &amp; Assumptions'!$B$6*W954), 2)</f>
        <v/>
      </c>
      <c r="Y954" s="28" t="n">
        <v>11</v>
      </c>
      <c r="Z954" s="11" t="inlineStr">
        <is>
          <t>Priority Tier 3 (Broadband Expansion)</t>
        </is>
      </c>
    </row>
    <row r="955">
      <c r="A955" s="23" t="n">
        <v>4</v>
      </c>
      <c r="B955" s="23" t="n">
        <v>951</v>
      </c>
      <c r="C955" s="23" t="n">
        <v>3951</v>
      </c>
      <c r="D955" s="23" t="inlineStr">
        <is>
          <t>1906615012</t>
        </is>
      </c>
      <c r="E955" s="11" t="inlineStr">
        <is>
          <t>Bangsamoro Autonomous Region In Muslim Mindanao (BARMM)</t>
        </is>
      </c>
      <c r="F955" s="11" t="inlineStr">
        <is>
          <t>Sulu</t>
        </is>
      </c>
      <c r="G955" s="11" t="inlineStr">
        <is>
          <t>Tongkil</t>
        </is>
      </c>
      <c r="H955" s="11" t="inlineStr">
        <is>
          <t>Tainga-Bakkao</t>
        </is>
      </c>
      <c r="I955" s="24" t="n">
        <v>6.168684</v>
      </c>
      <c r="J955" s="24" t="n">
        <v>121.805275</v>
      </c>
      <c r="K955" s="23" t="inlineStr">
        <is>
          <t>R</t>
        </is>
      </c>
      <c r="L955" s="25" t="n">
        <v>2763</v>
      </c>
      <c r="M955" s="26" t="n">
        <v>6</v>
      </c>
      <c r="N955" s="25">
        <f>ROUND(L955/M955, 0)</f>
        <v/>
      </c>
      <c r="O955" s="25">
        <f>ROUND(N955*'Methodology &amp; Assumptions'!$B$7, 0)</f>
        <v/>
      </c>
      <c r="P955" s="23" t="inlineStr">
        <is>
          <t>Single Carrier (Band n50, 100MHz TDD)</t>
        </is>
      </c>
      <c r="Q955" s="27">
        <f>ROUNDUP(O955/'Methodology &amp; Assumptions'!$B$8, 0)</f>
        <v/>
      </c>
      <c r="R955" s="27" t="n">
        <v>1</v>
      </c>
      <c r="S955" s="26" t="n">
        <v>87.64</v>
      </c>
      <c r="T955" s="26" t="n">
        <v>87.63</v>
      </c>
      <c r="U955" s="11">
        <f>IF(S955&lt;='Methodology &amp; Assumptions'!$B$10, "Direct Optical Drop (&lt;3km)", IF(S955&lt;='Methodology &amp; Assumptions'!$B$9, "Near Optical / Microwave (&lt;5km)", "Starlink Business LEO Satellite Backhaul (&gt;5km)"))</f>
        <v/>
      </c>
      <c r="V955" s="26" t="n">
        <v>45.83</v>
      </c>
      <c r="W955" s="26" t="n">
        <v>71.56</v>
      </c>
      <c r="X955" s="26">
        <f>ROUND(('Methodology &amp; Assumptions'!$B$5*V955) + ('Methodology &amp; Assumptions'!$B$6*W955), 2)</f>
        <v/>
      </c>
      <c r="Y955" s="28" t="n">
        <v>11</v>
      </c>
      <c r="Z955" s="11" t="inlineStr">
        <is>
          <t>Priority Tier 3 (Broadband Expansion)</t>
        </is>
      </c>
    </row>
    <row r="956">
      <c r="A956" s="23" t="n">
        <v>4</v>
      </c>
      <c r="B956" s="23" t="n">
        <v>952</v>
      </c>
      <c r="C956" s="23" t="n">
        <v>3952</v>
      </c>
      <c r="D956" s="23" t="inlineStr">
        <is>
          <t>0601917055</t>
        </is>
      </c>
      <c r="E956" s="11" t="inlineStr">
        <is>
          <t>Region VI (Western Visayas)</t>
        </is>
      </c>
      <c r="F956" s="11" t="inlineStr">
        <is>
          <t>Capiz</t>
        </is>
      </c>
      <c r="G956" s="11" t="inlineStr">
        <is>
          <t>Tapaz</t>
        </is>
      </c>
      <c r="H956" s="11" t="inlineStr">
        <is>
          <t>Tacayan</t>
        </is>
      </c>
      <c r="I956" s="24" t="n">
        <v>11.220462</v>
      </c>
      <c r="J956" s="24" t="n">
        <v>122.437151</v>
      </c>
      <c r="K956" s="23" t="inlineStr">
        <is>
          <t>R</t>
        </is>
      </c>
      <c r="L956" s="25" t="n">
        <v>434</v>
      </c>
      <c r="M956" s="26" t="n">
        <v>3.8</v>
      </c>
      <c r="N956" s="25">
        <f>ROUND(L956/M956, 0)</f>
        <v/>
      </c>
      <c r="O956" s="25">
        <f>ROUND(N956*'Methodology &amp; Assumptions'!$B$7, 0)</f>
        <v/>
      </c>
      <c r="P956" s="23" t="inlineStr">
        <is>
          <t>Single Carrier (Band n50, 100MHz TDD)</t>
        </is>
      </c>
      <c r="Q956" s="27">
        <f>ROUNDUP(O956/'Methodology &amp; Assumptions'!$B$8, 0)</f>
        <v/>
      </c>
      <c r="R956" s="27" t="n">
        <v>1</v>
      </c>
      <c r="S956" s="26" t="n">
        <v>26.16</v>
      </c>
      <c r="T956" s="26" t="n">
        <v>13.47</v>
      </c>
      <c r="U956" s="11">
        <f>IF(S956&lt;='Methodology &amp; Assumptions'!$B$10, "Direct Optical Drop (&lt;3km)", IF(S956&lt;='Methodology &amp; Assumptions'!$B$9, "Near Optical / Microwave (&lt;5km)", "Starlink Business LEO Satellite Backhaul (&gt;5km)"))</f>
        <v/>
      </c>
      <c r="V956" s="26" t="n">
        <v>39.65</v>
      </c>
      <c r="W956" s="26" t="n">
        <v>77.75</v>
      </c>
      <c r="X956" s="26">
        <f>ROUND(('Methodology &amp; Assumptions'!$B$5*V956) + ('Methodology &amp; Assumptions'!$B$6*W956), 2)</f>
        <v/>
      </c>
      <c r="Y956" s="28" t="n">
        <v>23.7</v>
      </c>
      <c r="Z956" s="11" t="inlineStr">
        <is>
          <t>Priority Tier 3 (Broadband Expansion)</t>
        </is>
      </c>
    </row>
    <row r="957">
      <c r="A957" s="23" t="n">
        <v>4</v>
      </c>
      <c r="B957" s="23" t="n">
        <v>953</v>
      </c>
      <c r="C957" s="23" t="n">
        <v>3953</v>
      </c>
      <c r="D957" s="23" t="inlineStr">
        <is>
          <t>0301415012</t>
        </is>
      </c>
      <c r="E957" s="11" t="inlineStr">
        <is>
          <t>Region III (Central Luzon)</t>
        </is>
      </c>
      <c r="F957" s="11" t="inlineStr">
        <is>
          <t>Bulacan</t>
        </is>
      </c>
      <c r="G957" s="11" t="inlineStr">
        <is>
          <t>Pandi</t>
        </is>
      </c>
      <c r="H957" s="11" t="inlineStr">
        <is>
          <t>Mapulang Lupa</t>
        </is>
      </c>
      <c r="I957" s="24" t="n">
        <v>14.884868</v>
      </c>
      <c r="J957" s="24" t="n">
        <v>120.965364</v>
      </c>
      <c r="K957" s="23" t="inlineStr">
        <is>
          <t>U</t>
        </is>
      </c>
      <c r="L957" s="25" t="n">
        <v>31602</v>
      </c>
      <c r="M957" s="26" t="n">
        <v>3.5</v>
      </c>
      <c r="N957" s="25">
        <f>ROUND(L957/M957, 0)</f>
        <v/>
      </c>
      <c r="O957" s="25">
        <f>ROUND(N957*'Methodology &amp; Assumptions'!$B$7, 0)</f>
        <v/>
      </c>
      <c r="P957" s="23" t="inlineStr">
        <is>
          <t>Single Carrier (Band n50, 100MHz TDD)</t>
        </is>
      </c>
      <c r="Q957" s="27">
        <f>ROUNDUP(O957/'Methodology &amp; Assumptions'!$B$8, 0)</f>
        <v/>
      </c>
      <c r="R957" s="27" t="n">
        <v>1</v>
      </c>
      <c r="S957" s="26" t="n">
        <v>0.65</v>
      </c>
      <c r="T957" s="26" t="n">
        <v>0.03</v>
      </c>
      <c r="U957" s="11">
        <f>IF(S957&lt;='Methodology &amp; Assumptions'!$B$10, "Direct Optical Drop (&lt;3km)", IF(S957&lt;='Methodology &amp; Assumptions'!$B$9, "Near Optical / Microwave (&lt;5km)", "Starlink Business LEO Satellite Backhaul (&gt;5km)"))</f>
        <v/>
      </c>
      <c r="V957" s="26" t="n">
        <v>77.98</v>
      </c>
      <c r="W957" s="26" t="n">
        <v>39.4</v>
      </c>
      <c r="X957" s="26">
        <f>ROUND(('Methodology &amp; Assumptions'!$B$5*V957) + ('Methodology &amp; Assumptions'!$B$6*W957), 2)</f>
        <v/>
      </c>
      <c r="Y957" s="28" t="n">
        <v>8.300000000000001</v>
      </c>
      <c r="Z957" s="11" t="inlineStr">
        <is>
          <t>Priority Tier 3 (Broadband Expansion)</t>
        </is>
      </c>
    </row>
    <row r="958">
      <c r="A958" s="23" t="n">
        <v>4</v>
      </c>
      <c r="B958" s="23" t="n">
        <v>954</v>
      </c>
      <c r="C958" s="23" t="n">
        <v>3954</v>
      </c>
      <c r="D958" s="23" t="inlineStr">
        <is>
          <t>0403428001</t>
        </is>
      </c>
      <c r="E958" s="11" t="inlineStr">
        <is>
          <t>Region IV-A (CALABARZON)</t>
        </is>
      </c>
      <c r="F958" s="11" t="inlineStr">
        <is>
          <t>Laguna</t>
        </is>
      </c>
      <c r="G958" s="11" t="inlineStr">
        <is>
          <t>City of Santa Rosa</t>
        </is>
      </c>
      <c r="H958" s="11" t="inlineStr">
        <is>
          <t>Aplaya</t>
        </is>
      </c>
      <c r="I958" s="24" t="n">
        <v>14.315083</v>
      </c>
      <c r="J958" s="24" t="n">
        <v>121.122685</v>
      </c>
      <c r="K958" s="23" t="inlineStr">
        <is>
          <t>U</t>
        </is>
      </c>
      <c r="L958" s="25" t="n">
        <v>17383</v>
      </c>
      <c r="M958" s="26" t="n">
        <v>3.3</v>
      </c>
      <c r="N958" s="25">
        <f>ROUND(L958/M958, 0)</f>
        <v/>
      </c>
      <c r="O958" s="25">
        <f>ROUND(N958*'Methodology &amp; Assumptions'!$B$7, 0)</f>
        <v/>
      </c>
      <c r="P958" s="23" t="inlineStr">
        <is>
          <t>Single Carrier (Band n50, 100MHz TDD)</t>
        </is>
      </c>
      <c r="Q958" s="27">
        <f>ROUNDUP(O958/'Methodology &amp; Assumptions'!$B$8, 0)</f>
        <v/>
      </c>
      <c r="R958" s="27" t="n">
        <v>1</v>
      </c>
      <c r="S958" s="26" t="n">
        <v>0.68</v>
      </c>
      <c r="T958" s="26" t="n">
        <v>2.4</v>
      </c>
      <c r="U958" s="11">
        <f>IF(S958&lt;='Methodology &amp; Assumptions'!$B$10, "Direct Optical Drop (&lt;3km)", IF(S958&lt;='Methodology &amp; Assumptions'!$B$9, "Near Optical / Microwave (&lt;5km)", "Starlink Business LEO Satellite Backhaul (&gt;5km)"))</f>
        <v/>
      </c>
      <c r="V958" s="26" t="n">
        <v>75.39</v>
      </c>
      <c r="W958" s="26" t="n">
        <v>41.99</v>
      </c>
      <c r="X958" s="26">
        <f>ROUND(('Methodology &amp; Assumptions'!$B$5*V958) + ('Methodology &amp; Assumptions'!$B$6*W958), 2)</f>
        <v/>
      </c>
      <c r="Y958" s="28" t="n">
        <v>7.2</v>
      </c>
      <c r="Z958" s="11" t="inlineStr">
        <is>
          <t>Priority Tier 3 (Broadband Expansion)</t>
        </is>
      </c>
    </row>
    <row r="959">
      <c r="A959" s="23" t="n">
        <v>4</v>
      </c>
      <c r="B959" s="23" t="n">
        <v>955</v>
      </c>
      <c r="C959" s="23" t="n">
        <v>3955</v>
      </c>
      <c r="D959" s="23" t="inlineStr">
        <is>
          <t>0403428022</t>
        </is>
      </c>
      <c r="E959" s="11" t="inlineStr">
        <is>
          <t>Region IV-A (CALABARZON)</t>
        </is>
      </c>
      <c r="F959" s="11" t="inlineStr">
        <is>
          <t>Laguna</t>
        </is>
      </c>
      <c r="G959" s="11" t="inlineStr">
        <is>
          <t>City of Santa Rosa</t>
        </is>
      </c>
      <c r="H959" s="11" t="inlineStr">
        <is>
          <t>Sinalhan</t>
        </is>
      </c>
      <c r="I959" s="24" t="n">
        <v>14.330207</v>
      </c>
      <c r="J959" s="24" t="n">
        <v>121.111627</v>
      </c>
      <c r="K959" s="23" t="inlineStr">
        <is>
          <t>U</t>
        </is>
      </c>
      <c r="L959" s="25" t="n">
        <v>28801</v>
      </c>
      <c r="M959" s="26" t="n">
        <v>3.3</v>
      </c>
      <c r="N959" s="25">
        <f>ROUND(L959/M959, 0)</f>
        <v/>
      </c>
      <c r="O959" s="25">
        <f>ROUND(N959*'Methodology &amp; Assumptions'!$B$7, 0)</f>
        <v/>
      </c>
      <c r="P959" s="23" t="inlineStr">
        <is>
          <t>Single Carrier (Band n50, 100MHz TDD)</t>
        </is>
      </c>
      <c r="Q959" s="27">
        <f>ROUNDUP(O959/'Methodology &amp; Assumptions'!$B$8, 0)</f>
        <v/>
      </c>
      <c r="R959" s="27" t="n">
        <v>1</v>
      </c>
      <c r="S959" s="26" t="n">
        <v>2.52</v>
      </c>
      <c r="T959" s="26" t="n">
        <v>1.85</v>
      </c>
      <c r="U959" s="11">
        <f>IF(S959&lt;='Methodology &amp; Assumptions'!$B$10, "Direct Optical Drop (&lt;3km)", IF(S959&lt;='Methodology &amp; Assumptions'!$B$9, "Near Optical / Microwave (&lt;5km)", "Starlink Business LEO Satellite Backhaul (&gt;5km)"))</f>
        <v/>
      </c>
      <c r="V959" s="26" t="n">
        <v>71.92</v>
      </c>
      <c r="W959" s="26" t="n">
        <v>45.46</v>
      </c>
      <c r="X959" s="26">
        <f>ROUND(('Methodology &amp; Assumptions'!$B$5*V959) + ('Methodology &amp; Assumptions'!$B$6*W959), 2)</f>
        <v/>
      </c>
      <c r="Y959" s="28" t="n">
        <v>7.2</v>
      </c>
      <c r="Z959" s="11" t="inlineStr">
        <is>
          <t>Priority Tier 3 (Broadband Expansion)</t>
        </is>
      </c>
    </row>
    <row r="960">
      <c r="A960" s="23" t="n">
        <v>4</v>
      </c>
      <c r="B960" s="23" t="n">
        <v>956</v>
      </c>
      <c r="C960" s="23" t="n">
        <v>3956</v>
      </c>
      <c r="D960" s="23" t="inlineStr">
        <is>
          <t>0403413002</t>
        </is>
      </c>
      <c r="E960" s="11" t="inlineStr">
        <is>
          <t>Region IV-A (CALABARZON)</t>
        </is>
      </c>
      <c r="F960" s="11" t="inlineStr">
        <is>
          <t>Laguna</t>
        </is>
      </c>
      <c r="G960" s="11" t="inlineStr">
        <is>
          <t>Lumban</t>
        </is>
      </c>
      <c r="H960" s="11" t="inlineStr">
        <is>
          <t>Balimbingan</t>
        </is>
      </c>
      <c r="I960" s="24" t="n">
        <v>14.299724</v>
      </c>
      <c r="J960" s="24" t="n">
        <v>121.459089</v>
      </c>
      <c r="K960" s="23" t="inlineStr">
        <is>
          <t>R</t>
        </is>
      </c>
      <c r="L960" s="25" t="n">
        <v>1153</v>
      </c>
      <c r="M960" s="26" t="n">
        <v>3.3</v>
      </c>
      <c r="N960" s="25">
        <f>ROUND(L960/M960, 0)</f>
        <v/>
      </c>
      <c r="O960" s="25">
        <f>ROUND(N960*'Methodology &amp; Assumptions'!$B$7, 0)</f>
        <v/>
      </c>
      <c r="P960" s="23" t="inlineStr">
        <is>
          <t>Single Carrier (Band n50, 100MHz TDD)</t>
        </is>
      </c>
      <c r="Q960" s="27">
        <f>ROUNDUP(O960/'Methodology &amp; Assumptions'!$B$8, 0)</f>
        <v/>
      </c>
      <c r="R960" s="27" t="n">
        <v>1</v>
      </c>
      <c r="S960" s="26" t="n">
        <v>0.5</v>
      </c>
      <c r="T960" s="26" t="n">
        <v>0.54</v>
      </c>
      <c r="U960" s="11">
        <f>IF(S960&lt;='Methodology &amp; Assumptions'!$B$10, "Direct Optical Drop (&lt;3km)", IF(S960&lt;='Methodology &amp; Assumptions'!$B$9, "Near Optical / Microwave (&lt;5km)", "Starlink Business LEO Satellite Backhaul (&gt;5km)"))</f>
        <v/>
      </c>
      <c r="V960" s="26" t="n">
        <v>70.28</v>
      </c>
      <c r="W960" s="26" t="n">
        <v>47.09</v>
      </c>
      <c r="X960" s="26">
        <f>ROUND(('Methodology &amp; Assumptions'!$B$5*V960) + ('Methodology &amp; Assumptions'!$B$6*W960), 2)</f>
        <v/>
      </c>
      <c r="Y960" s="28" t="n">
        <v>7.2</v>
      </c>
      <c r="Z960" s="11" t="inlineStr">
        <is>
          <t>Priority Tier 3 (Broadband Expansion)</t>
        </is>
      </c>
    </row>
    <row r="961">
      <c r="A961" s="23" t="n">
        <v>4</v>
      </c>
      <c r="B961" s="23" t="n">
        <v>957</v>
      </c>
      <c r="C961" s="23" t="n">
        <v>3957</v>
      </c>
      <c r="D961" s="23" t="inlineStr">
        <is>
          <t>0402106011</t>
        </is>
      </c>
      <c r="E961" s="11" t="inlineStr">
        <is>
          <t>Region IV-A (CALABARZON)</t>
        </is>
      </c>
      <c r="F961" s="11" t="inlineStr">
        <is>
          <t>Cavite</t>
        </is>
      </c>
      <c r="G961" s="11" t="inlineStr">
        <is>
          <t>City of Dasmariñas</t>
        </is>
      </c>
      <c r="H961" s="11" t="inlineStr">
        <is>
          <t>Salawag</t>
        </is>
      </c>
      <c r="I961" s="24" t="n">
        <v>14.345079</v>
      </c>
      <c r="J961" s="24" t="n">
        <v>120.981609</v>
      </c>
      <c r="K961" s="23" t="inlineStr">
        <is>
          <t>U</t>
        </is>
      </c>
      <c r="L961" s="25" t="n">
        <v>82931</v>
      </c>
      <c r="M961" s="26" t="n">
        <v>3.4</v>
      </c>
      <c r="N961" s="25">
        <f>ROUND(L961/M961, 0)</f>
        <v/>
      </c>
      <c r="O961" s="25">
        <f>ROUND(N961*'Methodology &amp; Assumptions'!$B$7, 0)</f>
        <v/>
      </c>
      <c r="P961" s="23" t="inlineStr">
        <is>
          <t>Single Carrier (Band n50, 100MHz TDD)</t>
        </is>
      </c>
      <c r="Q961" s="27">
        <f>ROUNDUP(O961/'Methodology &amp; Assumptions'!$B$8, 0)</f>
        <v/>
      </c>
      <c r="R961" s="27" t="n">
        <v>1</v>
      </c>
      <c r="S961" s="26" t="n">
        <v>2.75</v>
      </c>
      <c r="T961" s="26" t="n">
        <v>3.12</v>
      </c>
      <c r="U961" s="11">
        <f>IF(S961&lt;='Methodology &amp; Assumptions'!$B$10, "Direct Optical Drop (&lt;3km)", IF(S961&lt;='Methodology &amp; Assumptions'!$B$9, "Near Optical / Microwave (&lt;5km)", "Starlink Business LEO Satellite Backhaul (&gt;5km)"))</f>
        <v/>
      </c>
      <c r="V961" s="26" t="n">
        <v>65.43000000000001</v>
      </c>
      <c r="W961" s="26" t="n">
        <v>51.95</v>
      </c>
      <c r="X961" s="26">
        <f>ROUND(('Methodology &amp; Assumptions'!$B$5*V961) + ('Methodology &amp; Assumptions'!$B$6*W961), 2)</f>
        <v/>
      </c>
      <c r="Y961" s="28" t="n">
        <v>7.2</v>
      </c>
      <c r="Z961" s="11" t="inlineStr">
        <is>
          <t>Priority Tier 3 (Broadband Expansion)</t>
        </is>
      </c>
    </row>
    <row r="962">
      <c r="A962" s="23" t="n">
        <v>4</v>
      </c>
      <c r="B962" s="23" t="n">
        <v>958</v>
      </c>
      <c r="C962" s="23" t="n">
        <v>3958</v>
      </c>
      <c r="D962" s="23" t="inlineStr">
        <is>
          <t>1208004012</t>
        </is>
      </c>
      <c r="E962" s="11" t="inlineStr">
        <is>
          <t>Region XII (SOCCSKSARGEN)</t>
        </is>
      </c>
      <c r="F962" s="11" t="inlineStr">
        <is>
          <t>Sarangani</t>
        </is>
      </c>
      <c r="G962" s="11" t="inlineStr">
        <is>
          <t>Maasim</t>
        </is>
      </c>
      <c r="H962" s="11" t="inlineStr">
        <is>
          <t>Nomoh</t>
        </is>
      </c>
      <c r="I962" s="24" t="n">
        <v>5.902393</v>
      </c>
      <c r="J962" s="24" t="n">
        <v>124.891952</v>
      </c>
      <c r="K962" s="23" t="inlineStr">
        <is>
          <t>R</t>
        </is>
      </c>
      <c r="L962" s="25" t="n">
        <v>3223</v>
      </c>
      <c r="M962" s="26" t="n">
        <v>3.9</v>
      </c>
      <c r="N962" s="25">
        <f>ROUND(L962/M962, 0)</f>
        <v/>
      </c>
      <c r="O962" s="25">
        <f>ROUND(N962*'Methodology &amp; Assumptions'!$B$7, 0)</f>
        <v/>
      </c>
      <c r="P962" s="23" t="inlineStr">
        <is>
          <t>Single Carrier (Band n50, 100MHz TDD)</t>
        </is>
      </c>
      <c r="Q962" s="27">
        <f>ROUNDUP(O962/'Methodology &amp; Assumptions'!$B$8, 0)</f>
        <v/>
      </c>
      <c r="R962" s="27" t="n">
        <v>1</v>
      </c>
      <c r="S962" s="26" t="n">
        <v>33.38</v>
      </c>
      <c r="T962" s="26" t="n">
        <v>36.95</v>
      </c>
      <c r="U962" s="11">
        <f>IF(S962&lt;='Methodology &amp; Assumptions'!$B$10, "Direct Optical Drop (&lt;3km)", IF(S962&lt;='Methodology &amp; Assumptions'!$B$9, "Near Optical / Microwave (&lt;5km)", "Starlink Business LEO Satellite Backhaul (&gt;5km)"))</f>
        <v/>
      </c>
      <c r="V962" s="26" t="n">
        <v>61.06</v>
      </c>
      <c r="W962" s="26" t="n">
        <v>56.33</v>
      </c>
      <c r="X962" s="26">
        <f>ROUND(('Methodology &amp; Assumptions'!$B$5*V962) + ('Methodology &amp; Assumptions'!$B$6*W962), 2)</f>
        <v/>
      </c>
      <c r="Y962" s="28" t="n">
        <v>17.4</v>
      </c>
      <c r="Z962" s="11" t="inlineStr">
        <is>
          <t>Priority Tier 3 (Broadband Expansion)</t>
        </is>
      </c>
    </row>
    <row r="963">
      <c r="A963" s="23" t="n">
        <v>4</v>
      </c>
      <c r="B963" s="23" t="n">
        <v>959</v>
      </c>
      <c r="C963" s="23" t="n">
        <v>3959</v>
      </c>
      <c r="D963" s="23" t="inlineStr">
        <is>
          <t>0401029050</t>
        </is>
      </c>
      <c r="E963" s="11" t="inlineStr">
        <is>
          <t>Region IV-A (CALABARZON)</t>
        </is>
      </c>
      <c r="F963" s="11" t="inlineStr">
        <is>
          <t>Batangas</t>
        </is>
      </c>
      <c r="G963" s="11" t="inlineStr">
        <is>
          <t>Taal</t>
        </is>
      </c>
      <c r="H963" s="11" t="inlineStr">
        <is>
          <t>Poblacion 13</t>
        </is>
      </c>
      <c r="I963" s="24" t="n">
        <v>13.878962</v>
      </c>
      <c r="J963" s="24" t="n">
        <v>120.92488</v>
      </c>
      <c r="K963" s="23" t="inlineStr">
        <is>
          <t>R</t>
        </is>
      </c>
      <c r="L963" s="25" t="n">
        <v>247</v>
      </c>
      <c r="M963" s="26" t="n">
        <v>3.6</v>
      </c>
      <c r="N963" s="25">
        <f>ROUND(L963/M963, 0)</f>
        <v/>
      </c>
      <c r="O963" s="25">
        <f>ROUND(N963*'Methodology &amp; Assumptions'!$B$7, 0)</f>
        <v/>
      </c>
      <c r="P963" s="23" t="inlineStr">
        <is>
          <t>Single Carrier (Band n50, 100MHz TDD)</t>
        </is>
      </c>
      <c r="Q963" s="27">
        <f>ROUNDUP(O963/'Methodology &amp; Assumptions'!$B$8, 0)</f>
        <v/>
      </c>
      <c r="R963" s="27" t="n">
        <v>1</v>
      </c>
      <c r="S963" s="26" t="n">
        <v>0.92</v>
      </c>
      <c r="T963" s="26" t="n">
        <v>1.61</v>
      </c>
      <c r="U963" s="11">
        <f>IF(S963&lt;='Methodology &amp; Assumptions'!$B$10, "Direct Optical Drop (&lt;3km)", IF(S963&lt;='Methodology &amp; Assumptions'!$B$9, "Near Optical / Microwave (&lt;5km)", "Starlink Business LEO Satellite Backhaul (&gt;5km)"))</f>
        <v/>
      </c>
      <c r="V963" s="26" t="n">
        <v>60.83</v>
      </c>
      <c r="W963" s="26" t="n">
        <v>56.55</v>
      </c>
      <c r="X963" s="26">
        <f>ROUND(('Methodology &amp; Assumptions'!$B$5*V963) + ('Methodology &amp; Assumptions'!$B$6*W963), 2)</f>
        <v/>
      </c>
      <c r="Y963" s="28" t="n">
        <v>7.2</v>
      </c>
      <c r="Z963" s="11" t="inlineStr">
        <is>
          <t>Priority Tier 3 (Broadband Expansion)</t>
        </is>
      </c>
    </row>
    <row r="964">
      <c r="A964" s="23" t="n">
        <v>4</v>
      </c>
      <c r="B964" s="23" t="n">
        <v>960</v>
      </c>
      <c r="C964" s="23" t="n">
        <v>3960</v>
      </c>
      <c r="D964" s="23" t="inlineStr">
        <is>
          <t>0908310009</t>
        </is>
      </c>
      <c r="E964" s="11" t="inlineStr">
        <is>
          <t>Region IX (Zamboanga Peninsula)</t>
        </is>
      </c>
      <c r="F964" s="11" t="inlineStr">
        <is>
          <t>Zamboanga Sibugay</t>
        </is>
      </c>
      <c r="G964" s="11" t="inlineStr">
        <is>
          <t>Olutanga</t>
        </is>
      </c>
      <c r="H964" s="11" t="inlineStr">
        <is>
          <t>Galas</t>
        </is>
      </c>
      <c r="I964" s="24" t="n">
        <v>7.3682</v>
      </c>
      <c r="J964" s="24" t="n">
        <v>122.7943</v>
      </c>
      <c r="K964" s="23" t="inlineStr">
        <is>
          <t>R</t>
        </is>
      </c>
      <c r="L964" s="25" t="n">
        <v>1992</v>
      </c>
      <c r="M964" s="26" t="n">
        <v>4.2</v>
      </c>
      <c r="N964" s="25">
        <f>ROUND(L964/M964, 0)</f>
        <v/>
      </c>
      <c r="O964" s="25">
        <f>ROUND(N964*'Methodology &amp; Assumptions'!$B$7, 0)</f>
        <v/>
      </c>
      <c r="P964" s="23" t="inlineStr">
        <is>
          <t>Single Carrier (Band n50, 100MHz TDD)</t>
        </is>
      </c>
      <c r="Q964" s="27">
        <f>ROUNDUP(O964/'Methodology &amp; Assumptions'!$B$8, 0)</f>
        <v/>
      </c>
      <c r="R964" s="27" t="n">
        <v>1</v>
      </c>
      <c r="S964" s="26" t="n">
        <v>48.01</v>
      </c>
      <c r="T964" s="26" t="n">
        <v>34.2</v>
      </c>
      <c r="U964" s="11">
        <f>IF(S964&lt;='Methodology &amp; Assumptions'!$B$10, "Direct Optical Drop (&lt;3km)", IF(S964&lt;='Methodology &amp; Assumptions'!$B$9, "Near Optical / Microwave (&lt;5km)", "Starlink Business LEO Satellite Backhaul (&gt;5km)"))</f>
        <v/>
      </c>
      <c r="V964" s="26" t="n">
        <v>49.41</v>
      </c>
      <c r="W964" s="26" t="n">
        <v>67.97</v>
      </c>
      <c r="X964" s="26">
        <f>ROUND(('Methodology &amp; Assumptions'!$B$5*V964) + ('Methodology &amp; Assumptions'!$B$6*W964), 2)</f>
        <v/>
      </c>
      <c r="Y964" s="28" t="n">
        <v>11</v>
      </c>
      <c r="Z964" s="11" t="inlineStr">
        <is>
          <t>Priority Tier 3 (Broadband Expansion)</t>
        </is>
      </c>
    </row>
    <row r="965">
      <c r="A965" s="23" t="n">
        <v>4</v>
      </c>
      <c r="B965" s="23" t="n">
        <v>961</v>
      </c>
      <c r="C965" s="23" t="n">
        <v>3961</v>
      </c>
      <c r="D965" s="23" t="inlineStr">
        <is>
          <t>1380606151</t>
        </is>
      </c>
      <c r="E965" s="11" t="inlineStr">
        <is>
          <t>National Capital Region (NCR)</t>
        </is>
      </c>
      <c r="F965" s="11" t="inlineStr">
        <is>
          <t>First District (Not a Province)</t>
        </is>
      </c>
      <c r="G965" s="11" t="inlineStr">
        <is>
          <t>City of Manila</t>
        </is>
      </c>
      <c r="H965" s="11" t="inlineStr">
        <is>
          <t>Barangay 545</t>
        </is>
      </c>
      <c r="I965" s="24" t="n">
        <v>14.608707</v>
      </c>
      <c r="J965" s="24" t="n">
        <v>121.00215</v>
      </c>
      <c r="K965" s="23" t="inlineStr">
        <is>
          <t>U</t>
        </is>
      </c>
      <c r="L965" s="25" t="n">
        <v>934</v>
      </c>
      <c r="M965" s="26" t="n">
        <v>4.25</v>
      </c>
      <c r="N965" s="25">
        <f>ROUND(L965/M965, 0)</f>
        <v/>
      </c>
      <c r="O965" s="25">
        <f>ROUND(N965*'Methodology &amp; Assumptions'!$B$7, 0)</f>
        <v/>
      </c>
      <c r="P965" s="23" t="inlineStr">
        <is>
          <t>Single Carrier (Band n50, 100MHz TDD)</t>
        </is>
      </c>
      <c r="Q965" s="27">
        <f>ROUNDUP(O965/'Methodology &amp; Assumptions'!$B$8, 0)</f>
        <v/>
      </c>
      <c r="R965" s="27" t="n">
        <v>1</v>
      </c>
      <c r="S965" s="26" t="n">
        <v>0.31</v>
      </c>
      <c r="T965" s="26" t="n">
        <v>0.27</v>
      </c>
      <c r="U965" s="11">
        <f>IF(S965&lt;='Methodology &amp; Assumptions'!$B$10, "Direct Optical Drop (&lt;3km)", IF(S965&lt;='Methodology &amp; Assumptions'!$B$9, "Near Optical / Microwave (&lt;5km)", "Starlink Business LEO Satellite Backhaul (&gt;5km)"))</f>
        <v/>
      </c>
      <c r="V965" s="26" t="n">
        <v>48.16</v>
      </c>
      <c r="W965" s="26" t="n">
        <v>69.22</v>
      </c>
      <c r="X965" s="26">
        <f>ROUND(('Methodology &amp; Assumptions'!$B$5*V965) + ('Methodology &amp; Assumptions'!$B$6*W965), 2)</f>
        <v/>
      </c>
      <c r="Y965" s="28" t="n">
        <v>10.9</v>
      </c>
      <c r="Z965" s="11" t="inlineStr">
        <is>
          <t>Priority Tier 3 (Broadband Expansion)</t>
        </is>
      </c>
    </row>
    <row r="966">
      <c r="A966" s="23" t="n">
        <v>4</v>
      </c>
      <c r="B966" s="23" t="n">
        <v>962</v>
      </c>
      <c r="C966" s="23" t="n">
        <v>3962</v>
      </c>
      <c r="D966" s="23" t="inlineStr">
        <is>
          <t>0806403039</t>
        </is>
      </c>
      <c r="E966" s="11" t="inlineStr">
        <is>
          <t>Region VIII (Eastern Visayas)</t>
        </is>
      </c>
      <c r="F966" s="11" t="inlineStr">
        <is>
          <t>Southern Leyte</t>
        </is>
      </c>
      <c r="G966" s="11" t="inlineStr">
        <is>
          <t>Hinunangan</t>
        </is>
      </c>
      <c r="H966" s="11" t="inlineStr">
        <is>
          <t>Upper Bantawon</t>
        </is>
      </c>
      <c r="I966" s="24" t="n">
        <v>10.435565</v>
      </c>
      <c r="J966" s="24" t="n">
        <v>125.088363</v>
      </c>
      <c r="K966" s="23" t="inlineStr">
        <is>
          <t>R</t>
        </is>
      </c>
      <c r="L966" s="25" t="n">
        <v>146</v>
      </c>
      <c r="M966" s="26" t="n">
        <v>4.1</v>
      </c>
      <c r="N966" s="25">
        <f>ROUND(L966/M966, 0)</f>
        <v/>
      </c>
      <c r="O966" s="25">
        <f>ROUND(N966*'Methodology &amp; Assumptions'!$B$7, 0)</f>
        <v/>
      </c>
      <c r="P966" s="23" t="inlineStr">
        <is>
          <t>Single Carrier (Band n50, 100MHz TDD)</t>
        </is>
      </c>
      <c r="Q966" s="27">
        <f>ROUNDUP(O966/'Methodology &amp; Assumptions'!$B$8, 0)</f>
        <v/>
      </c>
      <c r="R966" s="27" t="n">
        <v>1</v>
      </c>
      <c r="S966" s="26" t="n">
        <v>12.83</v>
      </c>
      <c r="T966" s="26" t="n">
        <v>8.67</v>
      </c>
      <c r="U966" s="11">
        <f>IF(S966&lt;='Methodology &amp; Assumptions'!$B$10, "Direct Optical Drop (&lt;3km)", IF(S966&lt;='Methodology &amp; Assumptions'!$B$9, "Near Optical / Microwave (&lt;5km)", "Starlink Business LEO Satellite Backhaul (&gt;5km)"))</f>
        <v/>
      </c>
      <c r="V966" s="26" t="n">
        <v>39.11</v>
      </c>
      <c r="W966" s="26" t="n">
        <v>78.27</v>
      </c>
      <c r="X966" s="26">
        <f>ROUND(('Methodology &amp; Assumptions'!$B$5*V966) + ('Methodology &amp; Assumptions'!$B$6*W966), 2)</f>
        <v/>
      </c>
      <c r="Y966" s="28" t="n">
        <v>23.7</v>
      </c>
      <c r="Z966" s="11" t="inlineStr">
        <is>
          <t>Priority Tier 3 (Broadband Expansion)</t>
        </is>
      </c>
    </row>
    <row r="967">
      <c r="A967" s="23" t="n">
        <v>4</v>
      </c>
      <c r="B967" s="23" t="n">
        <v>963</v>
      </c>
      <c r="C967" s="23" t="n">
        <v>3963</v>
      </c>
      <c r="D967" s="23" t="inlineStr">
        <is>
          <t>0304920005</t>
        </is>
      </c>
      <c r="E967" s="11" t="inlineStr">
        <is>
          <t>Region III (Central Luzon)</t>
        </is>
      </c>
      <c r="F967" s="11" t="inlineStr">
        <is>
          <t>Nueva Ecija</t>
        </is>
      </c>
      <c r="G967" s="11" t="inlineStr">
        <is>
          <t>Pantabangan</t>
        </is>
      </c>
      <c r="H967" s="11" t="inlineStr">
        <is>
          <t>Ganduz</t>
        </is>
      </c>
      <c r="I967" s="24" t="n">
        <v>15.727999</v>
      </c>
      <c r="J967" s="24" t="n">
        <v>121.105821</v>
      </c>
      <c r="K967" s="23" t="inlineStr">
        <is>
          <t>R</t>
        </is>
      </c>
      <c r="L967" s="25" t="n">
        <v>2716</v>
      </c>
      <c r="M967" s="26" t="n">
        <v>3.5</v>
      </c>
      <c r="N967" s="25">
        <f>ROUND(L967/M967, 0)</f>
        <v/>
      </c>
      <c r="O967" s="25">
        <f>ROUND(N967*'Methodology &amp; Assumptions'!$B$7, 0)</f>
        <v/>
      </c>
      <c r="P967" s="23" t="inlineStr">
        <is>
          <t>Single Carrier (Band n50, 100MHz TDD)</t>
        </is>
      </c>
      <c r="Q967" s="27">
        <f>ROUNDUP(O967/'Methodology &amp; Assumptions'!$B$8, 0)</f>
        <v/>
      </c>
      <c r="R967" s="27" t="n">
        <v>1</v>
      </c>
      <c r="S967" s="26" t="n">
        <v>1.9</v>
      </c>
      <c r="T967" s="26" t="n">
        <v>1.67</v>
      </c>
      <c r="U967" s="11">
        <f>IF(S967&lt;='Methodology &amp; Assumptions'!$B$10, "Direct Optical Drop (&lt;3km)", IF(S967&lt;='Methodology &amp; Assumptions'!$B$9, "Near Optical / Microwave (&lt;5km)", "Starlink Business LEO Satellite Backhaul (&gt;5km)"))</f>
        <v/>
      </c>
      <c r="V967" s="26" t="n">
        <v>80.36</v>
      </c>
      <c r="W967" s="26" t="n">
        <v>37</v>
      </c>
      <c r="X967" s="26">
        <f>ROUND(('Methodology &amp; Assumptions'!$B$5*V967) + ('Methodology &amp; Assumptions'!$B$6*W967), 2)</f>
        <v/>
      </c>
      <c r="Y967" s="28" t="n">
        <v>8.300000000000001</v>
      </c>
      <c r="Z967" s="11" t="inlineStr">
        <is>
          <t>Priority Tier 3 (Broadband Expansion)</t>
        </is>
      </c>
    </row>
    <row r="968">
      <c r="A968" s="23" t="n">
        <v>4</v>
      </c>
      <c r="B968" s="23" t="n">
        <v>964</v>
      </c>
      <c r="C968" s="23" t="n">
        <v>3964</v>
      </c>
      <c r="D968" s="23" t="inlineStr">
        <is>
          <t>0501603026</t>
        </is>
      </c>
      <c r="E968" s="11" t="inlineStr">
        <is>
          <t>Region V (Bicol Region)</t>
        </is>
      </c>
      <c r="F968" s="11" t="inlineStr">
        <is>
          <t>Camarines Norte</t>
        </is>
      </c>
      <c r="G968" s="11" t="inlineStr">
        <is>
          <t>Daet</t>
        </is>
      </c>
      <c r="H968" s="11" t="inlineStr">
        <is>
          <t>Barangay III</t>
        </is>
      </c>
      <c r="I968" s="24" t="n">
        <v>14.112926</v>
      </c>
      <c r="J968" s="24" t="n">
        <v>122.953241</v>
      </c>
      <c r="K968" s="23" t="inlineStr">
        <is>
          <t>U</t>
        </is>
      </c>
      <c r="L968" s="25" t="n">
        <v>1748</v>
      </c>
      <c r="M968" s="26" t="n">
        <v>4</v>
      </c>
      <c r="N968" s="25">
        <f>ROUND(L968/M968, 0)</f>
        <v/>
      </c>
      <c r="O968" s="25">
        <f>ROUND(N968*'Methodology &amp; Assumptions'!$B$7, 0)</f>
        <v/>
      </c>
      <c r="P968" s="23" t="inlineStr">
        <is>
          <t>Single Carrier (Band n50, 100MHz TDD)</t>
        </is>
      </c>
      <c r="Q968" s="27">
        <f>ROUNDUP(O968/'Methodology &amp; Assumptions'!$B$8, 0)</f>
        <v/>
      </c>
      <c r="R968" s="27" t="n">
        <v>1</v>
      </c>
      <c r="S968" s="26" t="n">
        <v>0.19</v>
      </c>
      <c r="T968" s="26" t="n">
        <v>1.35</v>
      </c>
      <c r="U968" s="11">
        <f>IF(S968&lt;='Methodology &amp; Assumptions'!$B$10, "Direct Optical Drop (&lt;3km)", IF(S968&lt;='Methodology &amp; Assumptions'!$B$9, "Near Optical / Microwave (&lt;5km)", "Starlink Business LEO Satellite Backhaul (&gt;5km)"))</f>
        <v/>
      </c>
      <c r="V968" s="26" t="n">
        <v>67.54000000000001</v>
      </c>
      <c r="W968" s="26" t="n">
        <v>49.83</v>
      </c>
      <c r="X968" s="26">
        <f>ROUND(('Methodology &amp; Assumptions'!$B$5*V968) + ('Methodology &amp; Assumptions'!$B$6*W968), 2)</f>
        <v/>
      </c>
      <c r="Y968" s="28" t="n">
        <v>23.7</v>
      </c>
      <c r="Z968" s="11" t="inlineStr">
        <is>
          <t>Priority Tier 3 (Broadband Expansion)</t>
        </is>
      </c>
    </row>
    <row r="969">
      <c r="A969" s="23" t="n">
        <v>4</v>
      </c>
      <c r="B969" s="23" t="n">
        <v>965</v>
      </c>
      <c r="C969" s="23" t="n">
        <v>3965</v>
      </c>
      <c r="D969" s="23" t="inlineStr">
        <is>
          <t>1908710017</t>
        </is>
      </c>
      <c r="E969" s="11" t="inlineStr">
        <is>
          <t>Bangsamoro Autonomous Region In Muslim Mindanao (BARMM)</t>
        </is>
      </c>
      <c r="F969" s="11" t="inlineStr">
        <is>
          <t>Maguindanao del Norte</t>
        </is>
      </c>
      <c r="G969" s="11" t="inlineStr">
        <is>
          <t>Sultan Kudarat</t>
        </is>
      </c>
      <c r="H969" s="11" t="inlineStr">
        <is>
          <t>Katidtuan</t>
        </is>
      </c>
      <c r="I969" s="24" t="n">
        <v>7.193316</v>
      </c>
      <c r="J969" s="24" t="n">
        <v>124.310392</v>
      </c>
      <c r="K969" s="23" t="inlineStr">
        <is>
          <t>R</t>
        </is>
      </c>
      <c r="L969" s="25" t="n">
        <v>2978</v>
      </c>
      <c r="M969" s="26" t="n">
        <v>3.8</v>
      </c>
      <c r="N969" s="25">
        <f>ROUND(L969/M969, 0)</f>
        <v/>
      </c>
      <c r="O969" s="25">
        <f>ROUND(N969*'Methodology &amp; Assumptions'!$B$7, 0)</f>
        <v/>
      </c>
      <c r="P969" s="23" t="inlineStr">
        <is>
          <t>Single Carrier (Band n50, 100MHz TDD)</t>
        </is>
      </c>
      <c r="Q969" s="27">
        <f>ROUNDUP(O969/'Methodology &amp; Assumptions'!$B$8, 0)</f>
        <v/>
      </c>
      <c r="R969" s="27" t="n">
        <v>1</v>
      </c>
      <c r="S969" s="26" t="n">
        <v>53.67</v>
      </c>
      <c r="T969" s="26" t="n">
        <v>53.34</v>
      </c>
      <c r="U969" s="11">
        <f>IF(S969&lt;='Methodology &amp; Assumptions'!$B$10, "Direct Optical Drop (&lt;3km)", IF(S969&lt;='Methodology &amp; Assumptions'!$B$9, "Near Optical / Microwave (&lt;5km)", "Starlink Business LEO Satellite Backhaul (&gt;5km)"))</f>
        <v/>
      </c>
      <c r="V969" s="26" t="n">
        <v>56.22</v>
      </c>
      <c r="W969" s="26" t="n">
        <v>61.15</v>
      </c>
      <c r="X969" s="26">
        <f>ROUND(('Methodology &amp; Assumptions'!$B$5*V969) + ('Methodology &amp; Assumptions'!$B$6*W969), 2)</f>
        <v/>
      </c>
      <c r="Y969" s="28" t="n">
        <v>11</v>
      </c>
      <c r="Z969" s="11" t="inlineStr">
        <is>
          <t>Priority Tier 3 (Broadband Expansion)</t>
        </is>
      </c>
    </row>
    <row r="970">
      <c r="A970" s="23" t="n">
        <v>4</v>
      </c>
      <c r="B970" s="23" t="n">
        <v>966</v>
      </c>
      <c r="C970" s="23" t="n">
        <v>3966</v>
      </c>
      <c r="D970" s="23" t="inlineStr">
        <is>
          <t>1380614070</t>
        </is>
      </c>
      <c r="E970" s="11" t="inlineStr">
        <is>
          <t>National Capital Region (NCR)</t>
        </is>
      </c>
      <c r="F970" s="11" t="inlineStr">
        <is>
          <t>First District (Not a Province)</t>
        </is>
      </c>
      <c r="G970" s="11" t="inlineStr">
        <is>
          <t>City of Manila</t>
        </is>
      </c>
      <c r="H970" s="11" t="inlineStr">
        <is>
          <t>Barangay 877</t>
        </is>
      </c>
      <c r="I970" s="24" t="n">
        <v>14.580232</v>
      </c>
      <c r="J970" s="24" t="n">
        <v>121.009489</v>
      </c>
      <c r="K970" s="23" t="inlineStr">
        <is>
          <t>U</t>
        </is>
      </c>
      <c r="L970" s="25" t="n">
        <v>805</v>
      </c>
      <c r="M970" s="26" t="n">
        <v>4.4</v>
      </c>
      <c r="N970" s="25">
        <f>ROUND(L970/M970, 0)</f>
        <v/>
      </c>
      <c r="O970" s="25">
        <f>ROUND(N970*'Methodology &amp; Assumptions'!$B$7, 0)</f>
        <v/>
      </c>
      <c r="P970" s="23" t="inlineStr">
        <is>
          <t>Single Carrier (Band n50, 100MHz TDD)</t>
        </is>
      </c>
      <c r="Q970" s="27">
        <f>ROUNDUP(O970/'Methodology &amp; Assumptions'!$B$8, 0)</f>
        <v/>
      </c>
      <c r="R970" s="27" t="n">
        <v>1</v>
      </c>
      <c r="S970" s="26" t="n">
        <v>0.86</v>
      </c>
      <c r="T970" s="26" t="n">
        <v>0.22</v>
      </c>
      <c r="U970" s="11">
        <f>IF(S970&lt;='Methodology &amp; Assumptions'!$B$10, "Direct Optical Drop (&lt;3km)", IF(S970&lt;='Methodology &amp; Assumptions'!$B$9, "Near Optical / Microwave (&lt;5km)", "Starlink Business LEO Satellite Backhaul (&gt;5km)"))</f>
        <v/>
      </c>
      <c r="V970" s="26" t="n">
        <v>46.92</v>
      </c>
      <c r="W970" s="26" t="n">
        <v>70.44</v>
      </c>
      <c r="X970" s="26">
        <f>ROUND(('Methodology &amp; Assumptions'!$B$5*V970) + ('Methodology &amp; Assumptions'!$B$6*W970), 2)</f>
        <v/>
      </c>
      <c r="Y970" s="28" t="n">
        <v>10.9</v>
      </c>
      <c r="Z970" s="11" t="inlineStr">
        <is>
          <t>Priority Tier 3 (Broadband Expansion)</t>
        </is>
      </c>
    </row>
    <row r="971">
      <c r="A971" s="23" t="n">
        <v>4</v>
      </c>
      <c r="B971" s="23" t="n">
        <v>967</v>
      </c>
      <c r="C971" s="23" t="n">
        <v>3967</v>
      </c>
      <c r="D971" s="23" t="inlineStr">
        <is>
          <t>1108210002</t>
        </is>
      </c>
      <c r="E971" s="11" t="inlineStr">
        <is>
          <t>Region XI (Davao Region)</t>
        </is>
      </c>
      <c r="F971" s="11" t="inlineStr">
        <is>
          <t>Davao de Oro</t>
        </is>
      </c>
      <c r="G971" s="11" t="inlineStr">
        <is>
          <t>New Bataan</t>
        </is>
      </c>
      <c r="H971" s="11" t="inlineStr">
        <is>
          <t>Batinao</t>
        </is>
      </c>
      <c r="I971" s="24" t="n">
        <v>7.460393</v>
      </c>
      <c r="J971" s="24" t="n">
        <v>126.15454</v>
      </c>
      <c r="K971" s="23" t="inlineStr">
        <is>
          <t>R</t>
        </is>
      </c>
      <c r="L971" s="25" t="n">
        <v>1378</v>
      </c>
      <c r="M971" s="26" t="n">
        <v>3.7</v>
      </c>
      <c r="N971" s="25">
        <f>ROUND(L971/M971, 0)</f>
        <v/>
      </c>
      <c r="O971" s="25">
        <f>ROUND(N971*'Methodology &amp; Assumptions'!$B$7, 0)</f>
        <v/>
      </c>
      <c r="P971" s="23" t="inlineStr">
        <is>
          <t>Single Carrier (Band n50, 100MHz TDD)</t>
        </is>
      </c>
      <c r="Q971" s="27">
        <f>ROUNDUP(O971/'Methodology &amp; Assumptions'!$B$8, 0)</f>
        <v/>
      </c>
      <c r="R971" s="27" t="n">
        <v>1</v>
      </c>
      <c r="S971" s="26" t="n">
        <v>34.88</v>
      </c>
      <c r="T971" s="26" t="n">
        <v>26.37</v>
      </c>
      <c r="U971" s="11">
        <f>IF(S971&lt;='Methodology &amp; Assumptions'!$B$10, "Direct Optical Drop (&lt;3km)", IF(S971&lt;='Methodology &amp; Assumptions'!$B$9, "Near Optical / Microwave (&lt;5km)", "Starlink Business LEO Satellite Backhaul (&gt;5km)"))</f>
        <v/>
      </c>
      <c r="V971" s="26" t="n">
        <v>46.89</v>
      </c>
      <c r="W971" s="26" t="n">
        <v>70.48</v>
      </c>
      <c r="X971" s="26">
        <f>ROUND(('Methodology &amp; Assumptions'!$B$5*V971) + ('Methodology &amp; Assumptions'!$B$6*W971), 2)</f>
        <v/>
      </c>
      <c r="Y971" s="28" t="n">
        <v>17.4</v>
      </c>
      <c r="Z971" s="11" t="inlineStr">
        <is>
          <t>Priority Tier 3 (Broadband Expansion)</t>
        </is>
      </c>
    </row>
    <row r="972">
      <c r="A972" s="23" t="n">
        <v>4</v>
      </c>
      <c r="B972" s="23" t="n">
        <v>968</v>
      </c>
      <c r="C972" s="23" t="n">
        <v>3968</v>
      </c>
      <c r="D972" s="23" t="inlineStr">
        <is>
          <t>1380606058</t>
        </is>
      </c>
      <c r="E972" s="11" t="inlineStr">
        <is>
          <t>National Capital Region (NCR)</t>
        </is>
      </c>
      <c r="F972" s="11" t="inlineStr">
        <is>
          <t>First District (Not a Province)</t>
        </is>
      </c>
      <c r="G972" s="11" t="inlineStr">
        <is>
          <t>City of Manila</t>
        </is>
      </c>
      <c r="H972" s="11" t="inlineStr">
        <is>
          <t>Barangay 452</t>
        </is>
      </c>
      <c r="I972" s="24" t="n">
        <v>14.611</v>
      </c>
      <c r="J972" s="24" t="n">
        <v>120.995339</v>
      </c>
      <c r="K972" s="23" t="inlineStr">
        <is>
          <t>U</t>
        </is>
      </c>
      <c r="L972" s="25" t="n">
        <v>693</v>
      </c>
      <c r="M972" s="26" t="n">
        <v>4.2</v>
      </c>
      <c r="N972" s="25">
        <f>ROUND(L972/M972, 0)</f>
        <v/>
      </c>
      <c r="O972" s="25">
        <f>ROUND(N972*'Methodology &amp; Assumptions'!$B$7, 0)</f>
        <v/>
      </c>
      <c r="P972" s="23" t="inlineStr">
        <is>
          <t>Single Carrier (Band n50, 100MHz TDD)</t>
        </is>
      </c>
      <c r="Q972" s="27">
        <f>ROUNDUP(O972/'Methodology &amp; Assumptions'!$B$8, 0)</f>
        <v/>
      </c>
      <c r="R972" s="27" t="n">
        <v>1</v>
      </c>
      <c r="S972" s="26" t="n">
        <v>0.91</v>
      </c>
      <c r="T972" s="26" t="n">
        <v>0.29</v>
      </c>
      <c r="U972" s="11">
        <f>IF(S972&lt;='Methodology &amp; Assumptions'!$B$10, "Direct Optical Drop (&lt;3km)", IF(S972&lt;='Methodology &amp; Assumptions'!$B$9, "Near Optical / Microwave (&lt;5km)", "Starlink Business LEO Satellite Backhaul (&gt;5km)"))</f>
        <v/>
      </c>
      <c r="V972" s="26" t="n">
        <v>46.2</v>
      </c>
      <c r="W972" s="26" t="n">
        <v>71.16</v>
      </c>
      <c r="X972" s="26">
        <f>ROUND(('Methodology &amp; Assumptions'!$B$5*V972) + ('Methodology &amp; Assumptions'!$B$6*W972), 2)</f>
        <v/>
      </c>
      <c r="Y972" s="28" t="n">
        <v>10.9</v>
      </c>
      <c r="Z972" s="11" t="inlineStr">
        <is>
          <t>Priority Tier 3 (Broadband Expansion)</t>
        </is>
      </c>
    </row>
    <row r="973">
      <c r="A973" s="23" t="n">
        <v>4</v>
      </c>
      <c r="B973" s="23" t="n">
        <v>969</v>
      </c>
      <c r="C973" s="23" t="n">
        <v>3969</v>
      </c>
      <c r="D973" s="23" t="inlineStr">
        <is>
          <t>0504121028</t>
        </is>
      </c>
      <c r="E973" s="11" t="inlineStr">
        <is>
          <t>Region V (Bicol Region)</t>
        </is>
      </c>
      <c r="F973" s="11" t="inlineStr">
        <is>
          <t>Masbate</t>
        </is>
      </c>
      <c r="G973" s="11" t="inlineStr">
        <is>
          <t>Uson</t>
        </is>
      </c>
      <c r="H973" s="11" t="inlineStr">
        <is>
          <t>San Isidro</t>
        </is>
      </c>
      <c r="I973" s="24" t="n">
        <v>12.1358</v>
      </c>
      <c r="J973" s="24" t="n">
        <v>123.7516</v>
      </c>
      <c r="K973" s="23" t="inlineStr">
        <is>
          <t>R</t>
        </is>
      </c>
      <c r="L973" s="25" t="n">
        <v>854</v>
      </c>
      <c r="M973" s="26" t="n">
        <v>4.1</v>
      </c>
      <c r="N973" s="25">
        <f>ROUND(L973/M973, 0)</f>
        <v/>
      </c>
      <c r="O973" s="25">
        <f>ROUND(N973*'Methodology &amp; Assumptions'!$B$7, 0)</f>
        <v/>
      </c>
      <c r="P973" s="23" t="inlineStr">
        <is>
          <t>Single Carrier (Band n50, 100MHz TDD)</t>
        </is>
      </c>
      <c r="Q973" s="27">
        <f>ROUNDUP(O973/'Methodology &amp; Assumptions'!$B$8, 0)</f>
        <v/>
      </c>
      <c r="R973" s="27" t="n">
        <v>1</v>
      </c>
      <c r="S973" s="26" t="n">
        <v>11.32</v>
      </c>
      <c r="T973" s="26" t="n">
        <v>27.26</v>
      </c>
      <c r="U973" s="11">
        <f>IF(S973&lt;='Methodology &amp; Assumptions'!$B$10, "Direct Optical Drop (&lt;3km)", IF(S973&lt;='Methodology &amp; Assumptions'!$B$9, "Near Optical / Microwave (&lt;5km)", "Starlink Business LEO Satellite Backhaul (&gt;5km)"))</f>
        <v/>
      </c>
      <c r="V973" s="26" t="n">
        <v>45.75</v>
      </c>
      <c r="W973" s="26" t="n">
        <v>71.61</v>
      </c>
      <c r="X973" s="26">
        <f>ROUND(('Methodology &amp; Assumptions'!$B$5*V973) + ('Methodology &amp; Assumptions'!$B$6*W973), 2)</f>
        <v/>
      </c>
      <c r="Y973" s="28" t="n">
        <v>23.7</v>
      </c>
      <c r="Z973" s="11" t="inlineStr">
        <is>
          <t>Priority Tier 3 (Broadband Expansion)</t>
        </is>
      </c>
    </row>
    <row r="974">
      <c r="A974" s="23" t="n">
        <v>4</v>
      </c>
      <c r="B974" s="23" t="n">
        <v>970</v>
      </c>
      <c r="C974" s="23" t="n">
        <v>3970</v>
      </c>
      <c r="D974" s="23" t="inlineStr">
        <is>
          <t>1404406005</t>
        </is>
      </c>
      <c r="E974" s="11" t="inlineStr">
        <is>
          <t>Cordillera Administrative Region (CAR)</t>
        </is>
      </c>
      <c r="F974" s="11" t="inlineStr">
        <is>
          <t>Mountain Province</t>
        </is>
      </c>
      <c r="G974" s="11" t="inlineStr">
        <is>
          <t>Paracelis</t>
        </is>
      </c>
      <c r="H974" s="11" t="inlineStr">
        <is>
          <t>Butigue</t>
        </is>
      </c>
      <c r="I974" s="24" t="n">
        <v>17.1027</v>
      </c>
      <c r="J974" s="24" t="n">
        <v>121.461</v>
      </c>
      <c r="K974" s="23" t="inlineStr">
        <is>
          <t>R</t>
        </is>
      </c>
      <c r="L974" s="25" t="n">
        <v>3221</v>
      </c>
      <c r="M974" s="26" t="n">
        <v>3.7</v>
      </c>
      <c r="N974" s="25">
        <f>ROUND(L974/M974, 0)</f>
        <v/>
      </c>
      <c r="O974" s="25">
        <f>ROUND(N974*'Methodology &amp; Assumptions'!$B$7, 0)</f>
        <v/>
      </c>
      <c r="P974" s="23" t="inlineStr">
        <is>
          <t>Single Carrier (Band n50, 100MHz TDD)</t>
        </is>
      </c>
      <c r="Q974" s="27">
        <f>ROUNDUP(O974/'Methodology &amp; Assumptions'!$B$8, 0)</f>
        <v/>
      </c>
      <c r="R974" s="27" t="n">
        <v>1</v>
      </c>
      <c r="S974" s="26" t="n">
        <v>1.23</v>
      </c>
      <c r="T974" s="26" t="n">
        <v>16.44</v>
      </c>
      <c r="U974" s="11">
        <f>IF(S974&lt;='Methodology &amp; Assumptions'!$B$10, "Direct Optical Drop (&lt;3km)", IF(S974&lt;='Methodology &amp; Assumptions'!$B$9, "Near Optical / Microwave (&lt;5km)", "Starlink Business LEO Satellite Backhaul (&gt;5km)"))</f>
        <v/>
      </c>
      <c r="V974" s="26" t="n">
        <v>81.01000000000001</v>
      </c>
      <c r="W974" s="26" t="n">
        <v>36.33</v>
      </c>
      <c r="X974" s="26">
        <f>ROUND(('Methodology &amp; Assumptions'!$B$5*V974) + ('Methodology &amp; Assumptions'!$B$6*W974), 2)</f>
        <v/>
      </c>
      <c r="Y974" s="28" t="n">
        <v>10.9</v>
      </c>
      <c r="Z974" s="11" t="inlineStr">
        <is>
          <t>Priority Tier 3 (Broadband Expansion)</t>
        </is>
      </c>
    </row>
    <row r="975">
      <c r="A975" s="23" t="n">
        <v>4</v>
      </c>
      <c r="B975" s="23" t="n">
        <v>971</v>
      </c>
      <c r="C975" s="23" t="n">
        <v>3971</v>
      </c>
      <c r="D975" s="23" t="inlineStr">
        <is>
          <t>0304919020</t>
        </is>
      </c>
      <c r="E975" s="11" t="inlineStr">
        <is>
          <t>Region III (Central Luzon)</t>
        </is>
      </c>
      <c r="F975" s="11" t="inlineStr">
        <is>
          <t>Nueva Ecija</t>
        </is>
      </c>
      <c r="G975" s="11" t="inlineStr">
        <is>
          <t>City of Palayan</t>
        </is>
      </c>
      <c r="H975" s="11" t="inlineStr">
        <is>
          <t>Santolan</t>
        </is>
      </c>
      <c r="I975" s="24" t="n">
        <v>15.585783</v>
      </c>
      <c r="J975" s="24" t="n">
        <v>120.924577</v>
      </c>
      <c r="K975" s="23" t="inlineStr">
        <is>
          <t>R</t>
        </is>
      </c>
      <c r="L975" s="25" t="n">
        <v>2176</v>
      </c>
      <c r="M975" s="26" t="n">
        <v>3.5</v>
      </c>
      <c r="N975" s="25">
        <f>ROUND(L975/M975, 0)</f>
        <v/>
      </c>
      <c r="O975" s="25">
        <f>ROUND(N975*'Methodology &amp; Assumptions'!$B$7, 0)</f>
        <v/>
      </c>
      <c r="P975" s="23" t="inlineStr">
        <is>
          <t>Single Carrier (Band n50, 100MHz TDD)</t>
        </is>
      </c>
      <c r="Q975" s="27">
        <f>ROUNDUP(O975/'Methodology &amp; Assumptions'!$B$8, 0)</f>
        <v/>
      </c>
      <c r="R975" s="27" t="n">
        <v>1</v>
      </c>
      <c r="S975" s="26" t="n">
        <v>0.71</v>
      </c>
      <c r="T975" s="26" t="n">
        <v>0.52</v>
      </c>
      <c r="U975" s="11">
        <f>IF(S975&lt;='Methodology &amp; Assumptions'!$B$10, "Direct Optical Drop (&lt;3km)", IF(S975&lt;='Methodology &amp; Assumptions'!$B$9, "Near Optical / Microwave (&lt;5km)", "Starlink Business LEO Satellite Backhaul (&gt;5km)"))</f>
        <v/>
      </c>
      <c r="V975" s="26" t="n">
        <v>79.28</v>
      </c>
      <c r="W975" s="26" t="n">
        <v>38.05</v>
      </c>
      <c r="X975" s="26">
        <f>ROUND(('Methodology &amp; Assumptions'!$B$5*V975) + ('Methodology &amp; Assumptions'!$B$6*W975), 2)</f>
        <v/>
      </c>
      <c r="Y975" s="28" t="n">
        <v>8.300000000000001</v>
      </c>
      <c r="Z975" s="11" t="inlineStr">
        <is>
          <t>Priority Tier 3 (Broadband Expansion)</t>
        </is>
      </c>
    </row>
    <row r="976">
      <c r="A976" s="23" t="n">
        <v>4</v>
      </c>
      <c r="B976" s="23" t="n">
        <v>972</v>
      </c>
      <c r="C976" s="23" t="n">
        <v>3972</v>
      </c>
      <c r="D976" s="23" t="inlineStr">
        <is>
          <t>0102906017</t>
        </is>
      </c>
      <c r="E976" s="11" t="inlineStr">
        <is>
          <t>Region I (Ilocos Region)</t>
        </is>
      </c>
      <c r="F976" s="11" t="inlineStr">
        <is>
          <t>Ilocos Sur</t>
        </is>
      </c>
      <c r="G976" s="11" t="inlineStr">
        <is>
          <t>City of Candon</t>
        </is>
      </c>
      <c r="H976" s="11" t="inlineStr">
        <is>
          <t>Calongbuyan</t>
        </is>
      </c>
      <c r="I976" s="24" t="n">
        <v>17.171469</v>
      </c>
      <c r="J976" s="24" t="n">
        <v>120.428561</v>
      </c>
      <c r="K976" s="23" t="inlineStr">
        <is>
          <t>R</t>
        </is>
      </c>
      <c r="L976" s="25" t="n">
        <v>2944</v>
      </c>
      <c r="M976" s="26" t="n">
        <v>3.8</v>
      </c>
      <c r="N976" s="25">
        <f>ROUND(L976/M976, 0)</f>
        <v/>
      </c>
      <c r="O976" s="25">
        <f>ROUND(N976*'Methodology &amp; Assumptions'!$B$7, 0)</f>
        <v/>
      </c>
      <c r="P976" s="23" t="inlineStr">
        <is>
          <t>Single Carrier (Band n50, 100MHz TDD)</t>
        </is>
      </c>
      <c r="Q976" s="27">
        <f>ROUNDUP(O976/'Methodology &amp; Assumptions'!$B$8, 0)</f>
        <v/>
      </c>
      <c r="R976" s="27" t="n">
        <v>1</v>
      </c>
      <c r="S976" s="26" t="n">
        <v>2.97</v>
      </c>
      <c r="T976" s="26" t="n">
        <v>1.38</v>
      </c>
      <c r="U976" s="11">
        <f>IF(S976&lt;='Methodology &amp; Assumptions'!$B$10, "Direct Optical Drop (&lt;3km)", IF(S976&lt;='Methodology &amp; Assumptions'!$B$9, "Near Optical / Microwave (&lt;5km)", "Starlink Business LEO Satellite Backhaul (&gt;5km)"))</f>
        <v/>
      </c>
      <c r="V976" s="26" t="n">
        <v>76.8</v>
      </c>
      <c r="W976" s="26" t="n">
        <v>40.54</v>
      </c>
      <c r="X976" s="26">
        <f>ROUND(('Methodology &amp; Assumptions'!$B$5*V976) + ('Methodology &amp; Assumptions'!$B$6*W976), 2)</f>
        <v/>
      </c>
      <c r="Y976" s="28" t="n">
        <v>8.300000000000001</v>
      </c>
      <c r="Z976" s="11" t="inlineStr">
        <is>
          <t>Priority Tier 3 (Broadband Expansion)</t>
        </is>
      </c>
    </row>
    <row r="977">
      <c r="A977" s="23" t="n">
        <v>4</v>
      </c>
      <c r="B977" s="23" t="n">
        <v>973</v>
      </c>
      <c r="C977" s="23" t="n">
        <v>3973</v>
      </c>
      <c r="D977" s="23" t="inlineStr">
        <is>
          <t>0403422005</t>
        </is>
      </c>
      <c r="E977" s="11" t="inlineStr">
        <is>
          <t>Region IV-A (CALABARZON)</t>
        </is>
      </c>
      <c r="F977" s="11" t="inlineStr">
        <is>
          <t>Laguna</t>
        </is>
      </c>
      <c r="G977" s="11" t="inlineStr">
        <is>
          <t>Pila</t>
        </is>
      </c>
      <c r="H977" s="11" t="inlineStr">
        <is>
          <t>Bulilan Sur</t>
        </is>
      </c>
      <c r="I977" s="24" t="n">
        <v>14.226713</v>
      </c>
      <c r="J977" s="24" t="n">
        <v>121.376373</v>
      </c>
      <c r="K977" s="23" t="inlineStr">
        <is>
          <t>U</t>
        </is>
      </c>
      <c r="L977" s="25" t="n">
        <v>3816</v>
      </c>
      <c r="M977" s="26" t="n">
        <v>3.3</v>
      </c>
      <c r="N977" s="25">
        <f>ROUND(L977/M977, 0)</f>
        <v/>
      </c>
      <c r="O977" s="25">
        <f>ROUND(N977*'Methodology &amp; Assumptions'!$B$7, 0)</f>
        <v/>
      </c>
      <c r="P977" s="23" t="inlineStr">
        <is>
          <t>Single Carrier (Band n50, 100MHz TDD)</t>
        </is>
      </c>
      <c r="Q977" s="27">
        <f>ROUNDUP(O977/'Methodology &amp; Assumptions'!$B$8, 0)</f>
        <v/>
      </c>
      <c r="R977" s="27" t="n">
        <v>1</v>
      </c>
      <c r="S977" s="26" t="n">
        <v>1.62</v>
      </c>
      <c r="T977" s="26" t="n">
        <v>1.07</v>
      </c>
      <c r="U977" s="11">
        <f>IF(S977&lt;='Methodology &amp; Assumptions'!$B$10, "Direct Optical Drop (&lt;3km)", IF(S977&lt;='Methodology &amp; Assumptions'!$B$9, "Near Optical / Microwave (&lt;5km)", "Starlink Business LEO Satellite Backhaul (&gt;5km)"))</f>
        <v/>
      </c>
      <c r="V977" s="26" t="n">
        <v>75.34999999999999</v>
      </c>
      <c r="W977" s="26" t="n">
        <v>41.99</v>
      </c>
      <c r="X977" s="26">
        <f>ROUND(('Methodology &amp; Assumptions'!$B$5*V977) + ('Methodology &amp; Assumptions'!$B$6*W977), 2)</f>
        <v/>
      </c>
      <c r="Y977" s="28" t="n">
        <v>7.2</v>
      </c>
      <c r="Z977" s="11" t="inlineStr">
        <is>
          <t>Priority Tier 3 (Broadband Expansion)</t>
        </is>
      </c>
    </row>
    <row r="978">
      <c r="A978" s="23" t="n">
        <v>4</v>
      </c>
      <c r="B978" s="23" t="n">
        <v>974</v>
      </c>
      <c r="C978" s="23" t="n">
        <v>3974</v>
      </c>
      <c r="D978" s="23" t="inlineStr">
        <is>
          <t>0405802010</t>
        </is>
      </c>
      <c r="E978" s="11" t="inlineStr">
        <is>
          <t>Region IV-A (CALABARZON)</t>
        </is>
      </c>
      <c r="F978" s="11" t="inlineStr">
        <is>
          <t>Rizal</t>
        </is>
      </c>
      <c r="G978" s="11" t="inlineStr">
        <is>
          <t>City of Antipolo</t>
        </is>
      </c>
      <c r="H978" s="11" t="inlineStr">
        <is>
          <t>Mambugan</t>
        </is>
      </c>
      <c r="I978" s="24" t="n">
        <v>14.618859</v>
      </c>
      <c r="J978" s="24" t="n">
        <v>121.140651</v>
      </c>
      <c r="K978" s="23" t="inlineStr">
        <is>
          <t>U</t>
        </is>
      </c>
      <c r="L978" s="25" t="n">
        <v>52920</v>
      </c>
      <c r="M978" s="26" t="n">
        <v>3.6</v>
      </c>
      <c r="N978" s="25">
        <f>ROUND(L978/M978, 0)</f>
        <v/>
      </c>
      <c r="O978" s="25">
        <f>ROUND(N978*'Methodology &amp; Assumptions'!$B$7, 0)</f>
        <v/>
      </c>
      <c r="P978" s="23" t="inlineStr">
        <is>
          <t>Single Carrier (Band n50, 100MHz TDD)</t>
        </is>
      </c>
      <c r="Q978" s="27">
        <f>ROUNDUP(O978/'Methodology &amp; Assumptions'!$B$8, 0)</f>
        <v/>
      </c>
      <c r="R978" s="27" t="n">
        <v>1</v>
      </c>
      <c r="S978" s="26" t="n">
        <v>2.21</v>
      </c>
      <c r="T978" s="26" t="n">
        <v>0.71</v>
      </c>
      <c r="U978" s="11">
        <f>IF(S978&lt;='Methodology &amp; Assumptions'!$B$10, "Direct Optical Drop (&lt;3km)", IF(S978&lt;='Methodology &amp; Assumptions'!$B$9, "Near Optical / Microwave (&lt;5km)", "Starlink Business LEO Satellite Backhaul (&gt;5km)"))</f>
        <v/>
      </c>
      <c r="V978" s="26" t="n">
        <v>71.76000000000001</v>
      </c>
      <c r="W978" s="26" t="n">
        <v>45.58</v>
      </c>
      <c r="X978" s="26">
        <f>ROUND(('Methodology &amp; Assumptions'!$B$5*V978) + ('Methodology &amp; Assumptions'!$B$6*W978), 2)</f>
        <v/>
      </c>
      <c r="Y978" s="28" t="n">
        <v>7.2</v>
      </c>
      <c r="Z978" s="11" t="inlineStr">
        <is>
          <t>Priority Tier 3 (Broadband Expansion)</t>
        </is>
      </c>
    </row>
    <row r="979">
      <c r="A979" s="23" t="n">
        <v>4</v>
      </c>
      <c r="B979" s="23" t="n">
        <v>975</v>
      </c>
      <c r="C979" s="23" t="n">
        <v>3975</v>
      </c>
      <c r="D979" s="23" t="inlineStr">
        <is>
          <t>0603036012</t>
        </is>
      </c>
      <c r="E979" s="11" t="inlineStr">
        <is>
          <t>Region VI (Western Visayas)</t>
        </is>
      </c>
      <c r="F979" s="11" t="inlineStr">
        <is>
          <t>Iloilo</t>
        </is>
      </c>
      <c r="G979" s="11" t="inlineStr">
        <is>
          <t>Pavia</t>
        </is>
      </c>
      <c r="H979" s="11" t="inlineStr">
        <is>
          <t>Mali-ao</t>
        </is>
      </c>
      <c r="I979" s="24" t="n">
        <v>10.775521</v>
      </c>
      <c r="J979" s="24" t="n">
        <v>122.533683</v>
      </c>
      <c r="K979" s="23" t="inlineStr">
        <is>
          <t>U</t>
        </is>
      </c>
      <c r="L979" s="25" t="n">
        <v>2657</v>
      </c>
      <c r="M979" s="26" t="n">
        <v>3.8</v>
      </c>
      <c r="N979" s="25">
        <f>ROUND(L979/M979, 0)</f>
        <v/>
      </c>
      <c r="O979" s="25">
        <f>ROUND(N979*'Methodology &amp; Assumptions'!$B$7, 0)</f>
        <v/>
      </c>
      <c r="P979" s="23" t="inlineStr">
        <is>
          <t>Single Carrier (Band n50, 100MHz TDD)</t>
        </is>
      </c>
      <c r="Q979" s="27">
        <f>ROUNDUP(O979/'Methodology &amp; Assumptions'!$B$8, 0)</f>
        <v/>
      </c>
      <c r="R979" s="27" t="n">
        <v>1</v>
      </c>
      <c r="S979" s="26" t="n">
        <v>1.04</v>
      </c>
      <c r="T979" s="26" t="n">
        <v>3.87</v>
      </c>
      <c r="U979" s="11">
        <f>IF(S979&lt;='Methodology &amp; Assumptions'!$B$10, "Direct Optical Drop (&lt;3km)", IF(S979&lt;='Methodology &amp; Assumptions'!$B$9, "Near Optical / Microwave (&lt;5km)", "Starlink Business LEO Satellite Backhaul (&gt;5km)"))</f>
        <v/>
      </c>
      <c r="V979" s="26" t="n">
        <v>71.27</v>
      </c>
      <c r="W979" s="26" t="n">
        <v>46.07</v>
      </c>
      <c r="X979" s="26">
        <f>ROUND(('Methodology &amp; Assumptions'!$B$5*V979) + ('Methodology &amp; Assumptions'!$B$6*W979), 2)</f>
        <v/>
      </c>
      <c r="Y979" s="28" t="n">
        <v>23.7</v>
      </c>
      <c r="Z979" s="11" t="inlineStr">
        <is>
          <t>Priority Tier 3 (Broadband Expansion)</t>
        </is>
      </c>
    </row>
    <row r="980">
      <c r="A980" s="23" t="n">
        <v>4</v>
      </c>
      <c r="B980" s="23" t="n">
        <v>976</v>
      </c>
      <c r="C980" s="23" t="n">
        <v>3976</v>
      </c>
      <c r="D980" s="23" t="inlineStr">
        <is>
          <t>1906610006</t>
        </is>
      </c>
      <c r="E980" s="11" t="inlineStr">
        <is>
          <t>Bangsamoro Autonomous Region In Muslim Mindanao (BARMM)</t>
        </is>
      </c>
      <c r="F980" s="11" t="inlineStr">
        <is>
          <t>Sulu</t>
        </is>
      </c>
      <c r="G980" s="11" t="inlineStr">
        <is>
          <t>Pata</t>
        </is>
      </c>
      <c r="H980" s="11" t="inlineStr">
        <is>
          <t>Kayawan</t>
        </is>
      </c>
      <c r="I980" s="24" t="n">
        <v>5.832355</v>
      </c>
      <c r="J980" s="24" t="n">
        <v>121.176766</v>
      </c>
      <c r="K980" s="23" t="inlineStr">
        <is>
          <t>R</t>
        </is>
      </c>
      <c r="L980" s="25" t="n">
        <v>2268</v>
      </c>
      <c r="M980" s="26" t="n">
        <v>6</v>
      </c>
      <c r="N980" s="25">
        <f>ROUND(L980/M980, 0)</f>
        <v/>
      </c>
      <c r="O980" s="25">
        <f>ROUND(N980*'Methodology &amp; Assumptions'!$B$7, 0)</f>
        <v/>
      </c>
      <c r="P980" s="23" t="inlineStr">
        <is>
          <t>Single Carrier (Band n50, 100MHz TDD)</t>
        </is>
      </c>
      <c r="Q980" s="27">
        <f>ROUNDUP(O980/'Methodology &amp; Assumptions'!$B$8, 0)</f>
        <v/>
      </c>
      <c r="R980" s="27" t="n">
        <v>1</v>
      </c>
      <c r="S980" s="26" t="n">
        <v>155.54</v>
      </c>
      <c r="T980" s="26" t="n">
        <v>155.54</v>
      </c>
      <c r="U980" s="11">
        <f>IF(S980&lt;='Methodology &amp; Assumptions'!$B$10, "Direct Optical Drop (&lt;3km)", IF(S980&lt;='Methodology &amp; Assumptions'!$B$9, "Near Optical / Microwave (&lt;5km)", "Starlink Business LEO Satellite Backhaul (&gt;5km)"))</f>
        <v/>
      </c>
      <c r="V980" s="26" t="n">
        <v>45.78</v>
      </c>
      <c r="W980" s="26" t="n">
        <v>71.55</v>
      </c>
      <c r="X980" s="26">
        <f>ROUND(('Methodology &amp; Assumptions'!$B$5*V980) + ('Methodology &amp; Assumptions'!$B$6*W980), 2)</f>
        <v/>
      </c>
      <c r="Y980" s="28" t="n">
        <v>11</v>
      </c>
      <c r="Z980" s="11" t="inlineStr">
        <is>
          <t>Priority Tier 3 (Broadband Expansion)</t>
        </is>
      </c>
    </row>
    <row r="981">
      <c r="A981" s="23" t="n">
        <v>4</v>
      </c>
      <c r="B981" s="23" t="n">
        <v>977</v>
      </c>
      <c r="C981" s="23" t="n">
        <v>3977</v>
      </c>
      <c r="D981" s="23" t="inlineStr">
        <is>
          <t>1907006006</t>
        </is>
      </c>
      <c r="E981" s="11" t="inlineStr">
        <is>
          <t>Bangsamoro Autonomous Region In Muslim Mindanao (BARMM)</t>
        </is>
      </c>
      <c r="F981" s="11" t="inlineStr">
        <is>
          <t>Tawi-Tawi</t>
        </is>
      </c>
      <c r="G981" s="11" t="inlineStr">
        <is>
          <t>South Ubian</t>
        </is>
      </c>
      <c r="H981" s="11" t="inlineStr">
        <is>
          <t>Bintawlan</t>
        </is>
      </c>
      <c r="I981" s="24" t="n">
        <v>5.233662</v>
      </c>
      <c r="J981" s="24" t="n">
        <v>120.640295</v>
      </c>
      <c r="K981" s="23" t="inlineStr">
        <is>
          <t>R</t>
        </is>
      </c>
      <c r="L981" s="25" t="n">
        <v>1493</v>
      </c>
      <c r="M981" s="26" t="n">
        <v>5.8</v>
      </c>
      <c r="N981" s="25">
        <f>ROUND(L981/M981, 0)</f>
        <v/>
      </c>
      <c r="O981" s="25">
        <f>ROUND(N981*'Methodology &amp; Assumptions'!$B$7, 0)</f>
        <v/>
      </c>
      <c r="P981" s="23" t="inlineStr">
        <is>
          <t>Single Carrier (Band n50, 100MHz TDD)</t>
        </is>
      </c>
      <c r="Q981" s="27">
        <f>ROUNDUP(O981/'Methodology &amp; Assumptions'!$B$8, 0)</f>
        <v/>
      </c>
      <c r="R981" s="27" t="n">
        <v>1</v>
      </c>
      <c r="S981" s="26" t="n">
        <v>244.7</v>
      </c>
      <c r="T981" s="26" t="n">
        <v>244.7</v>
      </c>
      <c r="U981" s="11">
        <f>IF(S981&lt;='Methodology &amp; Assumptions'!$B$10, "Direct Optical Drop (&lt;3km)", IF(S981&lt;='Methodology &amp; Assumptions'!$B$9, "Near Optical / Microwave (&lt;5km)", "Starlink Business LEO Satellite Backhaul (&gt;5km)"))</f>
        <v/>
      </c>
      <c r="V981" s="26" t="n">
        <v>39.3</v>
      </c>
      <c r="W981" s="26" t="n">
        <v>78.03</v>
      </c>
      <c r="X981" s="26">
        <f>ROUND(('Methodology &amp; Assumptions'!$B$5*V981) + ('Methodology &amp; Assumptions'!$B$6*W981), 2)</f>
        <v/>
      </c>
      <c r="Y981" s="28" t="n">
        <v>11</v>
      </c>
      <c r="Z981" s="11" t="inlineStr">
        <is>
          <t>Priority Tier 3 (Broadband Expansion)</t>
        </is>
      </c>
    </row>
    <row r="982">
      <c r="A982" s="23" t="n">
        <v>4</v>
      </c>
      <c r="B982" s="23" t="n">
        <v>978</v>
      </c>
      <c r="C982" s="23" t="n">
        <v>3978</v>
      </c>
      <c r="D982" s="23" t="inlineStr">
        <is>
          <t>0305409011</t>
        </is>
      </c>
      <c r="E982" s="11" t="inlineStr">
        <is>
          <t>Region III (Central Luzon)</t>
        </is>
      </c>
      <c r="F982" s="11" t="inlineStr">
        <is>
          <t>Pampanga</t>
        </is>
      </c>
      <c r="G982" s="11" t="inlineStr">
        <is>
          <t>Mabalacat City</t>
        </is>
      </c>
      <c r="H982" s="11" t="inlineStr">
        <is>
          <t>Lakandula</t>
        </is>
      </c>
      <c r="I982" s="24" t="n">
        <v>15.175507</v>
      </c>
      <c r="J982" s="24" t="n">
        <v>120.583432</v>
      </c>
      <c r="K982" s="23" t="inlineStr">
        <is>
          <t>U</t>
        </is>
      </c>
      <c r="L982" s="25" t="n">
        <v>8899</v>
      </c>
      <c r="M982" s="26" t="n">
        <v>4</v>
      </c>
      <c r="N982" s="25">
        <f>ROUND(L982/M982, 0)</f>
        <v/>
      </c>
      <c r="O982" s="25">
        <f>ROUND(N982*'Methodology &amp; Assumptions'!$B$7, 0)</f>
        <v/>
      </c>
      <c r="P982" s="23" t="inlineStr">
        <is>
          <t>Single Carrier (Band n50, 100MHz TDD)</t>
        </is>
      </c>
      <c r="Q982" s="27">
        <f>ROUNDUP(O982/'Methodology &amp; Assumptions'!$B$8, 0)</f>
        <v/>
      </c>
      <c r="R982" s="27" t="n">
        <v>1</v>
      </c>
      <c r="S982" s="26" t="n">
        <v>0.5</v>
      </c>
      <c r="T982" s="26" t="n">
        <v>0.33</v>
      </c>
      <c r="U982" s="11">
        <f>IF(S982&lt;='Methodology &amp; Assumptions'!$B$10, "Direct Optical Drop (&lt;3km)", IF(S982&lt;='Methodology &amp; Assumptions'!$B$9, "Near Optical / Microwave (&lt;5km)", "Starlink Business LEO Satellite Backhaul (&gt;5km)"))</f>
        <v/>
      </c>
      <c r="V982" s="26" t="n">
        <v>78.43000000000001</v>
      </c>
      <c r="W982" s="26" t="n">
        <v>38.88</v>
      </c>
      <c r="X982" s="26">
        <f>ROUND(('Methodology &amp; Assumptions'!$B$5*V982) + ('Methodology &amp; Assumptions'!$B$6*W982), 2)</f>
        <v/>
      </c>
      <c r="Y982" s="28" t="n">
        <v>8.300000000000001</v>
      </c>
      <c r="Z982" s="11" t="inlineStr">
        <is>
          <t>Priority Tier 3 (Broadband Expansion)</t>
        </is>
      </c>
    </row>
    <row r="983">
      <c r="A983" s="23" t="n">
        <v>4</v>
      </c>
      <c r="B983" s="23" t="n">
        <v>979</v>
      </c>
      <c r="C983" s="23" t="n">
        <v>3979</v>
      </c>
      <c r="D983" s="23" t="inlineStr">
        <is>
          <t>1004321006</t>
        </is>
      </c>
      <c r="E983" s="11" t="inlineStr">
        <is>
          <t>Region X (Northern Mindanao)</t>
        </is>
      </c>
      <c r="F983" s="11" t="inlineStr">
        <is>
          <t>Misamis Oriental</t>
        </is>
      </c>
      <c r="G983" s="11" t="inlineStr">
        <is>
          <t>Opol</t>
        </is>
      </c>
      <c r="H983" s="11" t="inlineStr">
        <is>
          <t>Igpit</t>
        </is>
      </c>
      <c r="I983" s="24" t="n">
        <v>8.508565000000001</v>
      </c>
      <c r="J983" s="24" t="n">
        <v>124.588497</v>
      </c>
      <c r="K983" s="23" t="inlineStr">
        <is>
          <t>U</t>
        </is>
      </c>
      <c r="L983" s="25" t="n">
        <v>13322</v>
      </c>
      <c r="M983" s="26" t="n">
        <v>3.9</v>
      </c>
      <c r="N983" s="25">
        <f>ROUND(L983/M983, 0)</f>
        <v/>
      </c>
      <c r="O983" s="25">
        <f>ROUND(N983*'Methodology &amp; Assumptions'!$B$7, 0)</f>
        <v/>
      </c>
      <c r="P983" s="23" t="inlineStr">
        <is>
          <t>Single Carrier (Band n50, 100MHz TDD)</t>
        </is>
      </c>
      <c r="Q983" s="27">
        <f>ROUNDUP(O983/'Methodology &amp; Assumptions'!$B$8, 0)</f>
        <v/>
      </c>
      <c r="R983" s="27" t="n">
        <v>1</v>
      </c>
      <c r="S983" s="26" t="n">
        <v>1.99</v>
      </c>
      <c r="T983" s="26" t="n">
        <v>0.17</v>
      </c>
      <c r="U983" s="11">
        <f>IF(S983&lt;='Methodology &amp; Assumptions'!$B$10, "Direct Optical Drop (&lt;3km)", IF(S983&lt;='Methodology &amp; Assumptions'!$B$9, "Near Optical / Microwave (&lt;5km)", "Starlink Business LEO Satellite Backhaul (&gt;5km)"))</f>
        <v/>
      </c>
      <c r="V983" s="26" t="n">
        <v>75.65000000000001</v>
      </c>
      <c r="W983" s="26" t="n">
        <v>41.67</v>
      </c>
      <c r="X983" s="26">
        <f>ROUND(('Methodology &amp; Assumptions'!$B$5*V983) + ('Methodology &amp; Assumptions'!$B$6*W983), 2)</f>
        <v/>
      </c>
      <c r="Y983" s="28" t="n">
        <v>17.4</v>
      </c>
      <c r="Z983" s="11" t="inlineStr">
        <is>
          <t>Priority Tier 3 (Broadband Expansion)</t>
        </is>
      </c>
    </row>
    <row r="984">
      <c r="A984" s="23" t="n">
        <v>4</v>
      </c>
      <c r="B984" s="23" t="n">
        <v>980</v>
      </c>
      <c r="C984" s="23" t="n">
        <v>3980</v>
      </c>
      <c r="D984" s="23" t="inlineStr">
        <is>
          <t>1380614088</t>
        </is>
      </c>
      <c r="E984" s="11" t="inlineStr">
        <is>
          <t>National Capital Region (NCR)</t>
        </is>
      </c>
      <c r="F984" s="11" t="inlineStr">
        <is>
          <t>First District (Not a Province)</t>
        </is>
      </c>
      <c r="G984" s="11" t="inlineStr">
        <is>
          <t>City of Manila</t>
        </is>
      </c>
      <c r="H984" s="11" t="inlineStr">
        <is>
          <t>Barangay 895</t>
        </is>
      </c>
      <c r="I984" s="24" t="n">
        <v>14.587871</v>
      </c>
      <c r="J984" s="24" t="n">
        <v>121.021197</v>
      </c>
      <c r="K984" s="23" t="inlineStr">
        <is>
          <t>U</t>
        </is>
      </c>
      <c r="L984" s="25" t="n">
        <v>720</v>
      </c>
      <c r="M984" s="26" t="n">
        <v>3.73</v>
      </c>
      <c r="N984" s="25">
        <f>ROUND(L984/M984, 0)</f>
        <v/>
      </c>
      <c r="O984" s="25">
        <f>ROUND(N984*'Methodology &amp; Assumptions'!$B$7, 0)</f>
        <v/>
      </c>
      <c r="P984" s="23" t="inlineStr">
        <is>
          <t>Single Carrier (Band n50, 100MHz TDD)</t>
        </is>
      </c>
      <c r="Q984" s="27">
        <f>ROUNDUP(O984/'Methodology &amp; Assumptions'!$B$8, 0)</f>
        <v/>
      </c>
      <c r="R984" s="27" t="n">
        <v>1</v>
      </c>
      <c r="S984" s="26" t="n">
        <v>0.88</v>
      </c>
      <c r="T984" s="26" t="n">
        <v>0.19</v>
      </c>
      <c r="U984" s="11">
        <f>IF(S984&lt;='Methodology &amp; Assumptions'!$B$10, "Direct Optical Drop (&lt;3km)", IF(S984&lt;='Methodology &amp; Assumptions'!$B$9, "Near Optical / Microwave (&lt;5km)", "Starlink Business LEO Satellite Backhaul (&gt;5km)"))</f>
        <v/>
      </c>
      <c r="V984" s="26" t="n">
        <v>47.17</v>
      </c>
      <c r="W984" s="26" t="n">
        <v>70.14</v>
      </c>
      <c r="X984" s="26">
        <f>ROUND(('Methodology &amp; Assumptions'!$B$5*V984) + ('Methodology &amp; Assumptions'!$B$6*W984), 2)</f>
        <v/>
      </c>
      <c r="Y984" s="28" t="n">
        <v>10.9</v>
      </c>
      <c r="Z984" s="11" t="inlineStr">
        <is>
          <t>Priority Tier 3 (Broadband Expansion)</t>
        </is>
      </c>
    </row>
    <row r="985">
      <c r="A985" s="23" t="n">
        <v>4</v>
      </c>
      <c r="B985" s="23" t="n">
        <v>981</v>
      </c>
      <c r="C985" s="23" t="n">
        <v>3981</v>
      </c>
      <c r="D985" s="23" t="inlineStr">
        <is>
          <t>1380606240</t>
        </is>
      </c>
      <c r="E985" s="11" t="inlineStr">
        <is>
          <t>National Capital Region (NCR)</t>
        </is>
      </c>
      <c r="F985" s="11" t="inlineStr">
        <is>
          <t>First District (Not a Province)</t>
        </is>
      </c>
      <c r="G985" s="11" t="inlineStr">
        <is>
          <t>City of Manila</t>
        </is>
      </c>
      <c r="H985" s="11" t="inlineStr">
        <is>
          <t>Barangay 633</t>
        </is>
      </c>
      <c r="I985" s="24" t="n">
        <v>14.600314</v>
      </c>
      <c r="J985" s="24" t="n">
        <v>121.001878</v>
      </c>
      <c r="K985" s="23" t="inlineStr">
        <is>
          <t>U</t>
        </is>
      </c>
      <c r="L985" s="25" t="n">
        <v>548</v>
      </c>
      <c r="M985" s="26" t="n">
        <v>3.42</v>
      </c>
      <c r="N985" s="25">
        <f>ROUND(L985/M985, 0)</f>
        <v/>
      </c>
      <c r="O985" s="25">
        <f>ROUND(N985*'Methodology &amp; Assumptions'!$B$7, 0)</f>
        <v/>
      </c>
      <c r="P985" s="23" t="inlineStr">
        <is>
          <t>Single Carrier (Band n50, 100MHz TDD)</t>
        </is>
      </c>
      <c r="Q985" s="27">
        <f>ROUNDUP(O985/'Methodology &amp; Assumptions'!$B$8, 0)</f>
        <v/>
      </c>
      <c r="R985" s="27" t="n">
        <v>1</v>
      </c>
      <c r="S985" s="26" t="n">
        <v>0.34</v>
      </c>
      <c r="T985" s="26" t="n">
        <v>0.15</v>
      </c>
      <c r="U985" s="11">
        <f>IF(S985&lt;='Methodology &amp; Assumptions'!$B$10, "Direct Optical Drop (&lt;3km)", IF(S985&lt;='Methodology &amp; Assumptions'!$B$9, "Near Optical / Microwave (&lt;5km)", "Starlink Business LEO Satellite Backhaul (&gt;5km)"))</f>
        <v/>
      </c>
      <c r="V985" s="26" t="n">
        <v>46.23</v>
      </c>
      <c r="W985" s="26" t="n">
        <v>71.08</v>
      </c>
      <c r="X985" s="26">
        <f>ROUND(('Methodology &amp; Assumptions'!$B$5*V985) + ('Methodology &amp; Assumptions'!$B$6*W985), 2)</f>
        <v/>
      </c>
      <c r="Y985" s="28" t="n">
        <v>10.9</v>
      </c>
      <c r="Z985" s="11" t="inlineStr">
        <is>
          <t>Priority Tier 3 (Broadband Expansion)</t>
        </is>
      </c>
    </row>
    <row r="986">
      <c r="A986" s="23" t="n">
        <v>4</v>
      </c>
      <c r="B986" s="23" t="n">
        <v>982</v>
      </c>
      <c r="C986" s="23" t="n">
        <v>3982</v>
      </c>
      <c r="D986" s="23" t="inlineStr">
        <is>
          <t>0704607009</t>
        </is>
      </c>
      <c r="E986" s="11" t="inlineStr">
        <is>
          <t>Region VII (Central Visayas)</t>
        </is>
      </c>
      <c r="F986" s="11" t="inlineStr">
        <is>
          <t>Negros Oriental</t>
        </is>
      </c>
      <c r="G986" s="11" t="inlineStr">
        <is>
          <t>Bindoy</t>
        </is>
      </c>
      <c r="H986" s="11" t="inlineStr">
        <is>
          <t>Danawan</t>
        </is>
      </c>
      <c r="I986" s="24" t="n">
        <v>9.742139999999999</v>
      </c>
      <c r="J986" s="24" t="n">
        <v>123.07661</v>
      </c>
      <c r="K986" s="23" t="inlineStr">
        <is>
          <t>R</t>
        </is>
      </c>
      <c r="L986" s="25" t="n">
        <v>1180</v>
      </c>
      <c r="M986" s="26" t="n">
        <v>3.8</v>
      </c>
      <c r="N986" s="25">
        <f>ROUND(L986/M986, 0)</f>
        <v/>
      </c>
      <c r="O986" s="25">
        <f>ROUND(N986*'Methodology &amp; Assumptions'!$B$7, 0)</f>
        <v/>
      </c>
      <c r="P986" s="23" t="inlineStr">
        <is>
          <t>Single Carrier (Band n50, 100MHz TDD)</t>
        </is>
      </c>
      <c r="Q986" s="27">
        <f>ROUNDUP(O986/'Methodology &amp; Assumptions'!$B$8, 0)</f>
        <v/>
      </c>
      <c r="R986" s="27" t="n">
        <v>1</v>
      </c>
      <c r="S986" s="26" t="n">
        <v>16.31</v>
      </c>
      <c r="T986" s="26" t="n">
        <v>7.19</v>
      </c>
      <c r="U986" s="11">
        <f>IF(S986&lt;='Methodology &amp; Assumptions'!$B$10, "Direct Optical Drop (&lt;3km)", IF(S986&lt;='Methodology &amp; Assumptions'!$B$9, "Near Optical / Microwave (&lt;5km)", "Starlink Business LEO Satellite Backhaul (&gt;5km)"))</f>
        <v/>
      </c>
      <c r="V986" s="26" t="n">
        <v>45.64</v>
      </c>
      <c r="W986" s="26" t="n">
        <v>71.69</v>
      </c>
      <c r="X986" s="26">
        <f>ROUND(('Methodology &amp; Assumptions'!$B$5*V986) + ('Methodology &amp; Assumptions'!$B$6*W986), 2)</f>
        <v/>
      </c>
      <c r="Y986" s="28" t="n">
        <v>23.7</v>
      </c>
      <c r="Z986" s="11" t="inlineStr">
        <is>
          <t>Priority Tier 3 (Broadband Expansion)</t>
        </is>
      </c>
    </row>
    <row r="987">
      <c r="A987" s="23" t="n">
        <v>4</v>
      </c>
      <c r="B987" s="23" t="n">
        <v>983</v>
      </c>
      <c r="C987" s="23" t="n">
        <v>3983</v>
      </c>
      <c r="D987" s="23" t="inlineStr">
        <is>
          <t>0804802004</t>
        </is>
      </c>
      <c r="E987" s="11" t="inlineStr">
        <is>
          <t>Region VIII (Eastern Visayas)</t>
        </is>
      </c>
      <c r="F987" s="11" t="inlineStr">
        <is>
          <t>Northern Samar</t>
        </is>
      </c>
      <c r="G987" s="11" t="inlineStr">
        <is>
          <t>Biri</t>
        </is>
      </c>
      <c r="H987" s="11" t="inlineStr">
        <is>
          <t>Kauswagan</t>
        </is>
      </c>
      <c r="I987" s="24" t="n">
        <v>12.65191</v>
      </c>
      <c r="J987" s="24" t="n">
        <v>124.383765</v>
      </c>
      <c r="K987" s="23" t="inlineStr">
        <is>
          <t>R</t>
        </is>
      </c>
      <c r="L987" s="25" t="n">
        <v>772</v>
      </c>
      <c r="M987" s="26" t="n">
        <v>4.3</v>
      </c>
      <c r="N987" s="25">
        <f>ROUND(L987/M987, 0)</f>
        <v/>
      </c>
      <c r="O987" s="25">
        <f>ROUND(N987*'Methodology &amp; Assumptions'!$B$7, 0)</f>
        <v/>
      </c>
      <c r="P987" s="23" t="inlineStr">
        <is>
          <t>Single Carrier (Band n50, 100MHz TDD)</t>
        </is>
      </c>
      <c r="Q987" s="27">
        <f>ROUNDUP(O987/'Methodology &amp; Assumptions'!$B$8, 0)</f>
        <v/>
      </c>
      <c r="R987" s="27" t="n">
        <v>1</v>
      </c>
      <c r="S987" s="26" t="n">
        <v>29.43</v>
      </c>
      <c r="T987" s="26" t="n">
        <v>28.9</v>
      </c>
      <c r="U987" s="11">
        <f>IF(S987&lt;='Methodology &amp; Assumptions'!$B$10, "Direct Optical Drop (&lt;3km)", IF(S987&lt;='Methodology &amp; Assumptions'!$B$9, "Near Optical / Microwave (&lt;5km)", "Starlink Business LEO Satellite Backhaul (&gt;5km)"))</f>
        <v/>
      </c>
      <c r="V987" s="26" t="n">
        <v>45.43</v>
      </c>
      <c r="W987" s="26" t="n">
        <v>71.88</v>
      </c>
      <c r="X987" s="26">
        <f>ROUND(('Methodology &amp; Assumptions'!$B$5*V987) + ('Methodology &amp; Assumptions'!$B$6*W987), 2)</f>
        <v/>
      </c>
      <c r="Y987" s="28" t="n">
        <v>23.7</v>
      </c>
      <c r="Z987" s="11" t="inlineStr">
        <is>
          <t>Priority Tier 3 (Broadband Expansion)</t>
        </is>
      </c>
    </row>
    <row r="988">
      <c r="A988" s="23" t="n">
        <v>4</v>
      </c>
      <c r="B988" s="23" t="n">
        <v>984</v>
      </c>
      <c r="C988" s="23" t="n">
        <v>3984</v>
      </c>
      <c r="D988" s="23" t="inlineStr">
        <is>
          <t>1705303012</t>
        </is>
      </c>
      <c r="E988" s="11" t="inlineStr">
        <is>
          <t>MIMAROPA Region</t>
        </is>
      </c>
      <c r="F988" s="11" t="inlineStr">
        <is>
          <t>Palawan</t>
        </is>
      </c>
      <c r="G988" s="11" t="inlineStr">
        <is>
          <t>Araceli</t>
        </is>
      </c>
      <c r="H988" s="11" t="inlineStr">
        <is>
          <t>Taloto</t>
        </is>
      </c>
      <c r="I988" s="24" t="n">
        <v>10.6307</v>
      </c>
      <c r="J988" s="24" t="n">
        <v>119.87116</v>
      </c>
      <c r="K988" s="23" t="inlineStr">
        <is>
          <t>R</t>
        </is>
      </c>
      <c r="L988" s="25" t="n">
        <v>636</v>
      </c>
      <c r="M988" s="26" t="n">
        <v>3.9</v>
      </c>
      <c r="N988" s="25">
        <f>ROUND(L988/M988, 0)</f>
        <v/>
      </c>
      <c r="O988" s="25">
        <f>ROUND(N988*'Methodology &amp; Assumptions'!$B$7, 0)</f>
        <v/>
      </c>
      <c r="P988" s="23" t="inlineStr">
        <is>
          <t>Single Carrier (Band n50, 100MHz TDD)</t>
        </is>
      </c>
      <c r="Q988" s="27">
        <f>ROUNDUP(O988/'Methodology &amp; Assumptions'!$B$8, 0)</f>
        <v/>
      </c>
      <c r="R988" s="27" t="n">
        <v>1</v>
      </c>
      <c r="S988" s="26" t="n">
        <v>33.35</v>
      </c>
      <c r="T988" s="26" t="n">
        <v>42.05</v>
      </c>
      <c r="U988" s="11">
        <f>IF(S988&lt;='Methodology &amp; Assumptions'!$B$10, "Direct Optical Drop (&lt;3km)", IF(S988&lt;='Methodology &amp; Assumptions'!$B$9, "Near Optical / Microwave (&lt;5km)", "Starlink Business LEO Satellite Backhaul (&gt;5km)"))</f>
        <v/>
      </c>
      <c r="V988" s="26" t="n">
        <v>38.6</v>
      </c>
      <c r="W988" s="26" t="n">
        <v>78.72</v>
      </c>
      <c r="X988" s="26">
        <f>ROUND(('Methodology &amp; Assumptions'!$B$5*V988) + ('Methodology &amp; Assumptions'!$B$6*W988), 2)</f>
        <v/>
      </c>
      <c r="Y988" s="28" t="n">
        <v>15</v>
      </c>
      <c r="Z988" s="11" t="inlineStr">
        <is>
          <t>Priority Tier 3 (Broadband Expansion)</t>
        </is>
      </c>
    </row>
    <row r="989">
      <c r="A989" s="23" t="n">
        <v>4</v>
      </c>
      <c r="B989" s="23" t="n">
        <v>985</v>
      </c>
      <c r="C989" s="23" t="n">
        <v>3985</v>
      </c>
      <c r="D989" s="23" t="inlineStr">
        <is>
          <t>0402115028</t>
        </is>
      </c>
      <c r="E989" s="11" t="inlineStr">
        <is>
          <t>Region IV-A (CALABARZON)</t>
        </is>
      </c>
      <c r="F989" s="11" t="inlineStr">
        <is>
          <t>Cavite</t>
        </is>
      </c>
      <c r="G989" s="11" t="inlineStr">
        <is>
          <t>Naic</t>
        </is>
      </c>
      <c r="H989" s="11" t="inlineStr">
        <is>
          <t>San Roque</t>
        </is>
      </c>
      <c r="I989" s="24" t="n">
        <v>14.310762</v>
      </c>
      <c r="J989" s="24" t="n">
        <v>120.771699</v>
      </c>
      <c r="K989" s="23" t="inlineStr">
        <is>
          <t>R</t>
        </is>
      </c>
      <c r="L989" s="25" t="n">
        <v>4809</v>
      </c>
      <c r="M989" s="26" t="n">
        <v>3.4</v>
      </c>
      <c r="N989" s="25">
        <f>ROUND(L989/M989, 0)</f>
        <v/>
      </c>
      <c r="O989" s="25">
        <f>ROUND(N989*'Methodology &amp; Assumptions'!$B$7, 0)</f>
        <v/>
      </c>
      <c r="P989" s="23" t="inlineStr">
        <is>
          <t>Single Carrier (Band n50, 100MHz TDD)</t>
        </is>
      </c>
      <c r="Q989" s="27">
        <f>ROUNDUP(O989/'Methodology &amp; Assumptions'!$B$8, 0)</f>
        <v/>
      </c>
      <c r="R989" s="27" t="n">
        <v>1</v>
      </c>
      <c r="S989" s="26" t="n">
        <v>1.21</v>
      </c>
      <c r="T989" s="26" t="n">
        <v>0.06</v>
      </c>
      <c r="U989" s="11">
        <f>IF(S989&lt;='Methodology &amp; Assumptions'!$B$10, "Direct Optical Drop (&lt;3km)", IF(S989&lt;='Methodology &amp; Assumptions'!$B$9, "Near Optical / Microwave (&lt;5km)", "Starlink Business LEO Satellite Backhaul (&gt;5km)"))</f>
        <v/>
      </c>
      <c r="V989" s="26" t="n">
        <v>84.04000000000001</v>
      </c>
      <c r="W989" s="26" t="n">
        <v>33.25</v>
      </c>
      <c r="X989" s="26">
        <f>ROUND(('Methodology &amp; Assumptions'!$B$5*V989) + ('Methodology &amp; Assumptions'!$B$6*W989), 2)</f>
        <v/>
      </c>
      <c r="Y989" s="28" t="n">
        <v>7.2</v>
      </c>
      <c r="Z989" s="11" t="inlineStr">
        <is>
          <t>Priority Tier 3 (Broadband Expansion)</t>
        </is>
      </c>
    </row>
    <row r="990">
      <c r="A990" s="23" t="n">
        <v>4</v>
      </c>
      <c r="B990" s="23" t="n">
        <v>986</v>
      </c>
      <c r="C990" s="23" t="n">
        <v>3986</v>
      </c>
      <c r="D990" s="23" t="inlineStr">
        <is>
          <t>0306906027</t>
        </is>
      </c>
      <c r="E990" s="11" t="inlineStr">
        <is>
          <t>Region III (Central Luzon)</t>
        </is>
      </c>
      <c r="F990" s="11" t="inlineStr">
        <is>
          <t>Tarlac</t>
        </is>
      </c>
      <c r="G990" s="11" t="inlineStr">
        <is>
          <t>Gerona</t>
        </is>
      </c>
      <c r="H990" s="11" t="inlineStr">
        <is>
          <t>Pinasling</t>
        </is>
      </c>
      <c r="I990" s="24" t="n">
        <v>15.60298</v>
      </c>
      <c r="J990" s="24" t="n">
        <v>120.5932</v>
      </c>
      <c r="K990" s="23" t="inlineStr">
        <is>
          <t>R</t>
        </is>
      </c>
      <c r="L990" s="25" t="n">
        <v>3860</v>
      </c>
      <c r="M990" s="26" t="n">
        <v>3.9</v>
      </c>
      <c r="N990" s="25">
        <f>ROUND(L990/M990, 0)</f>
        <v/>
      </c>
      <c r="O990" s="25">
        <f>ROUND(N990*'Methodology &amp; Assumptions'!$B$7, 0)</f>
        <v/>
      </c>
      <c r="P990" s="23" t="inlineStr">
        <is>
          <t>Single Carrier (Band n50, 100MHz TDD)</t>
        </is>
      </c>
      <c r="Q990" s="27">
        <f>ROUNDUP(O990/'Methodology &amp; Assumptions'!$B$8, 0)</f>
        <v/>
      </c>
      <c r="R990" s="27" t="n">
        <v>1</v>
      </c>
      <c r="S990" s="26" t="n">
        <v>1.47</v>
      </c>
      <c r="T990" s="26" t="n">
        <v>0.66</v>
      </c>
      <c r="U990" s="11">
        <f>IF(S990&lt;='Methodology &amp; Assumptions'!$B$10, "Direct Optical Drop (&lt;3km)", IF(S990&lt;='Methodology &amp; Assumptions'!$B$9, "Near Optical / Microwave (&lt;5km)", "Starlink Business LEO Satellite Backhaul (&gt;5km)"))</f>
        <v/>
      </c>
      <c r="V990" s="26" t="n">
        <v>83.25</v>
      </c>
      <c r="W990" s="26" t="n">
        <v>34.05</v>
      </c>
      <c r="X990" s="26">
        <f>ROUND(('Methodology &amp; Assumptions'!$B$5*V990) + ('Methodology &amp; Assumptions'!$B$6*W990), 2)</f>
        <v/>
      </c>
      <c r="Y990" s="28" t="n">
        <v>8.300000000000001</v>
      </c>
      <c r="Z990" s="11" t="inlineStr">
        <is>
          <t>Priority Tier 3 (Broadband Expansion)</t>
        </is>
      </c>
    </row>
    <row r="991">
      <c r="A991" s="23" t="n">
        <v>4</v>
      </c>
      <c r="B991" s="23" t="n">
        <v>987</v>
      </c>
      <c r="C991" s="23" t="n">
        <v>3987</v>
      </c>
      <c r="D991" s="23" t="inlineStr">
        <is>
          <t>0501710012</t>
        </is>
      </c>
      <c r="E991" s="11" t="inlineStr">
        <is>
          <t>Region V (Bicol Region)</t>
        </is>
      </c>
      <c r="F991" s="11" t="inlineStr">
        <is>
          <t>Camarines Sur</t>
        </is>
      </c>
      <c r="G991" s="11" t="inlineStr">
        <is>
          <t>Canaman</t>
        </is>
      </c>
      <c r="H991" s="11" t="inlineStr">
        <is>
          <t>San Agustin</t>
        </is>
      </c>
      <c r="I991" s="24" t="n">
        <v>13.64564</v>
      </c>
      <c r="J991" s="24" t="n">
        <v>123.183152</v>
      </c>
      <c r="K991" s="23" t="inlineStr">
        <is>
          <t>R</t>
        </is>
      </c>
      <c r="L991" s="25" t="n">
        <v>3184</v>
      </c>
      <c r="M991" s="26" t="n">
        <v>4.2</v>
      </c>
      <c r="N991" s="25">
        <f>ROUND(L991/M991, 0)</f>
        <v/>
      </c>
      <c r="O991" s="25">
        <f>ROUND(N991*'Methodology &amp; Assumptions'!$B$7, 0)</f>
        <v/>
      </c>
      <c r="P991" s="23" t="inlineStr">
        <is>
          <t>Single Carrier (Band n50, 100MHz TDD)</t>
        </is>
      </c>
      <c r="Q991" s="27">
        <f>ROUNDUP(O991/'Methodology &amp; Assumptions'!$B$8, 0)</f>
        <v/>
      </c>
      <c r="R991" s="27" t="n">
        <v>1</v>
      </c>
      <c r="S991" s="26" t="n">
        <v>1.16</v>
      </c>
      <c r="T991" s="26" t="n">
        <v>0.09</v>
      </c>
      <c r="U991" s="11">
        <f>IF(S991&lt;='Methodology &amp; Assumptions'!$B$10, "Direct Optical Drop (&lt;3km)", IF(S991&lt;='Methodology &amp; Assumptions'!$B$9, "Near Optical / Microwave (&lt;5km)", "Starlink Business LEO Satellite Backhaul (&gt;5km)"))</f>
        <v/>
      </c>
      <c r="V991" s="26" t="n">
        <v>83.23999999999999</v>
      </c>
      <c r="W991" s="26" t="n">
        <v>34.07</v>
      </c>
      <c r="X991" s="26">
        <f>ROUND(('Methodology &amp; Assumptions'!$B$5*V991) + ('Methodology &amp; Assumptions'!$B$6*W991), 2)</f>
        <v/>
      </c>
      <c r="Y991" s="28" t="n">
        <v>23.7</v>
      </c>
      <c r="Z991" s="11" t="inlineStr">
        <is>
          <t>Priority Tier 3 (Broadband Expansion)</t>
        </is>
      </c>
    </row>
    <row r="992">
      <c r="A992" s="23" t="n">
        <v>4</v>
      </c>
      <c r="B992" s="23" t="n">
        <v>988</v>
      </c>
      <c r="C992" s="23" t="n">
        <v>3988</v>
      </c>
      <c r="D992" s="23" t="inlineStr">
        <is>
          <t>0300802002</t>
        </is>
      </c>
      <c r="E992" s="11" t="inlineStr">
        <is>
          <t>Region III (Central Luzon)</t>
        </is>
      </c>
      <c r="F992" s="11" t="inlineStr">
        <is>
          <t>Bataan</t>
        </is>
      </c>
      <c r="G992" s="11" t="inlineStr">
        <is>
          <t>Bagac</t>
        </is>
      </c>
      <c r="H992" s="11" t="inlineStr">
        <is>
          <t>Banawang</t>
        </is>
      </c>
      <c r="I992" s="24" t="n">
        <v>14.619843</v>
      </c>
      <c r="J992" s="24" t="n">
        <v>120.387081</v>
      </c>
      <c r="K992" s="23" t="inlineStr">
        <is>
          <t>R</t>
        </is>
      </c>
      <c r="L992" s="25" t="n">
        <v>3614</v>
      </c>
      <c r="M992" s="26" t="n">
        <v>3.6</v>
      </c>
      <c r="N992" s="25">
        <f>ROUND(L992/M992, 0)</f>
        <v/>
      </c>
      <c r="O992" s="25">
        <f>ROUND(N992*'Methodology &amp; Assumptions'!$B$7, 0)</f>
        <v/>
      </c>
      <c r="P992" s="23" t="inlineStr">
        <is>
          <t>Single Carrier (Band n50, 100MHz TDD)</t>
        </is>
      </c>
      <c r="Q992" s="27">
        <f>ROUNDUP(O992/'Methodology &amp; Assumptions'!$B$8, 0)</f>
        <v/>
      </c>
      <c r="R992" s="27" t="n">
        <v>1</v>
      </c>
      <c r="S992" s="26" t="n">
        <v>1.96</v>
      </c>
      <c r="T992" s="26" t="n">
        <v>0.59</v>
      </c>
      <c r="U992" s="11">
        <f>IF(S992&lt;='Methodology &amp; Assumptions'!$B$10, "Direct Optical Drop (&lt;3km)", IF(S992&lt;='Methodology &amp; Assumptions'!$B$9, "Near Optical / Microwave (&lt;5km)", "Starlink Business LEO Satellite Backhaul (&gt;5km)"))</f>
        <v/>
      </c>
      <c r="V992" s="26" t="n">
        <v>81.53</v>
      </c>
      <c r="W992" s="26" t="n">
        <v>35.77</v>
      </c>
      <c r="X992" s="26">
        <f>ROUND(('Methodology &amp; Assumptions'!$B$5*V992) + ('Methodology &amp; Assumptions'!$B$6*W992), 2)</f>
        <v/>
      </c>
      <c r="Y992" s="28" t="n">
        <v>8.300000000000001</v>
      </c>
      <c r="Z992" s="11" t="inlineStr">
        <is>
          <t>Priority Tier 3 (Broadband Expansion)</t>
        </is>
      </c>
    </row>
    <row r="993">
      <c r="A993" s="23" t="n">
        <v>4</v>
      </c>
      <c r="B993" s="23" t="n">
        <v>989</v>
      </c>
      <c r="C993" s="23" t="n">
        <v>3989</v>
      </c>
      <c r="D993" s="23" t="inlineStr">
        <is>
          <t>0103314007</t>
        </is>
      </c>
      <c r="E993" s="11" t="inlineStr">
        <is>
          <t>Region I (Ilocos Region)</t>
        </is>
      </c>
      <c r="F993" s="11" t="inlineStr">
        <is>
          <t>La Union</t>
        </is>
      </c>
      <c r="G993" s="11" t="inlineStr">
        <is>
          <t>City of San Fernando</t>
        </is>
      </c>
      <c r="H993" s="11" t="inlineStr">
        <is>
          <t>Barangay II</t>
        </is>
      </c>
      <c r="I993" s="24" t="n">
        <v>16.613785</v>
      </c>
      <c r="J993" s="24" t="n">
        <v>120.318278</v>
      </c>
      <c r="K993" s="23" t="inlineStr">
        <is>
          <t>U</t>
        </is>
      </c>
      <c r="L993" s="25" t="n">
        <v>443</v>
      </c>
      <c r="M993" s="26" t="n">
        <v>3.7</v>
      </c>
      <c r="N993" s="25">
        <f>ROUND(L993/M993, 0)</f>
        <v/>
      </c>
      <c r="O993" s="25">
        <f>ROUND(N993*'Methodology &amp; Assumptions'!$B$7, 0)</f>
        <v/>
      </c>
      <c r="P993" s="23" t="inlineStr">
        <is>
          <t>Single Carrier (Band n50, 100MHz TDD)</t>
        </is>
      </c>
      <c r="Q993" s="27">
        <f>ROUNDUP(O993/'Methodology &amp; Assumptions'!$B$8, 0)</f>
        <v/>
      </c>
      <c r="R993" s="27" t="n">
        <v>1</v>
      </c>
      <c r="S993" s="26" t="n">
        <v>1.14</v>
      </c>
      <c r="T993" s="26" t="n">
        <v>0.19</v>
      </c>
      <c r="U993" s="11">
        <f>IF(S993&lt;='Methodology &amp; Assumptions'!$B$10, "Direct Optical Drop (&lt;3km)", IF(S993&lt;='Methodology &amp; Assumptions'!$B$9, "Near Optical / Microwave (&lt;5km)", "Starlink Business LEO Satellite Backhaul (&gt;5km)"))</f>
        <v/>
      </c>
      <c r="V993" s="26" t="n">
        <v>54.58</v>
      </c>
      <c r="W993" s="26" t="n">
        <v>62.71</v>
      </c>
      <c r="X993" s="26">
        <f>ROUND(('Methodology &amp; Assumptions'!$B$5*V993) + ('Methodology &amp; Assumptions'!$B$6*W993), 2)</f>
        <v/>
      </c>
      <c r="Y993" s="28" t="n">
        <v>8.300000000000001</v>
      </c>
      <c r="Z993" s="11" t="inlineStr">
        <is>
          <t>Priority Tier 3 (Broadband Expansion)</t>
        </is>
      </c>
    </row>
    <row r="994">
      <c r="A994" s="23" t="n">
        <v>4</v>
      </c>
      <c r="B994" s="23" t="n">
        <v>990</v>
      </c>
      <c r="C994" s="23" t="n">
        <v>3990</v>
      </c>
      <c r="D994" s="23" t="inlineStr">
        <is>
          <t>1380606140</t>
        </is>
      </c>
      <c r="E994" s="11" t="inlineStr">
        <is>
          <t>National Capital Region (NCR)</t>
        </is>
      </c>
      <c r="F994" s="11" t="inlineStr">
        <is>
          <t>First District (Not a Province)</t>
        </is>
      </c>
      <c r="G994" s="11" t="inlineStr">
        <is>
          <t>City of Manila</t>
        </is>
      </c>
      <c r="H994" s="11" t="inlineStr">
        <is>
          <t>Barangay 534</t>
        </is>
      </c>
      <c r="I994" s="24" t="n">
        <v>14.61145</v>
      </c>
      <c r="J994" s="24" t="n">
        <v>121.003</v>
      </c>
      <c r="K994" s="23" t="inlineStr">
        <is>
          <t>U</t>
        </is>
      </c>
      <c r="L994" s="25" t="n">
        <v>1128</v>
      </c>
      <c r="M994" s="26" t="n">
        <v>4.82</v>
      </c>
      <c r="N994" s="25">
        <f>ROUND(L994/M994, 0)</f>
        <v/>
      </c>
      <c r="O994" s="25">
        <f>ROUND(N994*'Methodology &amp; Assumptions'!$B$7, 0)</f>
        <v/>
      </c>
      <c r="P994" s="23" t="inlineStr">
        <is>
          <t>Single Carrier (Band n50, 100MHz TDD)</t>
        </is>
      </c>
      <c r="Q994" s="27">
        <f>ROUNDUP(O994/'Methodology &amp; Assumptions'!$B$8, 0)</f>
        <v/>
      </c>
      <c r="R994" s="27" t="n">
        <v>1</v>
      </c>
      <c r="S994" s="26" t="n">
        <v>0.1</v>
      </c>
      <c r="T994" s="26" t="n">
        <v>0.05</v>
      </c>
      <c r="U994" s="11">
        <f>IF(S994&lt;='Methodology &amp; Assumptions'!$B$10, "Direct Optical Drop (&lt;3km)", IF(S994&lt;='Methodology &amp; Assumptions'!$B$9, "Near Optical / Microwave (&lt;5km)", "Starlink Business LEO Satellite Backhaul (&gt;5km)"))</f>
        <v/>
      </c>
      <c r="V994" s="26" t="n">
        <v>48.59</v>
      </c>
      <c r="W994" s="26" t="n">
        <v>68.70999999999999</v>
      </c>
      <c r="X994" s="26">
        <f>ROUND(('Methodology &amp; Assumptions'!$B$5*V994) + ('Methodology &amp; Assumptions'!$B$6*W994), 2)</f>
        <v/>
      </c>
      <c r="Y994" s="28" t="n">
        <v>10.9</v>
      </c>
      <c r="Z994" s="11" t="inlineStr">
        <is>
          <t>Priority Tier 3 (Broadband Expansion)</t>
        </is>
      </c>
    </row>
    <row r="995">
      <c r="A995" s="23" t="n">
        <v>4</v>
      </c>
      <c r="B995" s="23" t="n">
        <v>991</v>
      </c>
      <c r="C995" s="23" t="n">
        <v>3991</v>
      </c>
      <c r="D995" s="23" t="inlineStr">
        <is>
          <t>1900708006</t>
        </is>
      </c>
      <c r="E995" s="11" t="inlineStr">
        <is>
          <t>Bangsamoro Autonomous Region In Muslim Mindanao (BARMM)</t>
        </is>
      </c>
      <c r="F995" s="11" t="inlineStr">
        <is>
          <t>Basilan</t>
        </is>
      </c>
      <c r="G995" s="11" t="inlineStr">
        <is>
          <t>Akbar</t>
        </is>
      </c>
      <c r="H995" s="11" t="inlineStr">
        <is>
          <t>Paguengan</t>
        </is>
      </c>
      <c r="I995" s="24" t="n">
        <v>6.640494</v>
      </c>
      <c r="J995" s="24" t="n">
        <v>122.199736</v>
      </c>
      <c r="K995" s="23" t="inlineStr">
        <is>
          <t>R</t>
        </is>
      </c>
      <c r="L995" s="25" t="n">
        <v>2326</v>
      </c>
      <c r="M995" s="26" t="n">
        <v>5.1</v>
      </c>
      <c r="N995" s="25">
        <f>ROUND(L995/M995, 0)</f>
        <v/>
      </c>
      <c r="O995" s="25">
        <f>ROUND(N995*'Methodology &amp; Assumptions'!$B$7, 0)</f>
        <v/>
      </c>
      <c r="P995" s="23" t="inlineStr">
        <is>
          <t>Single Carrier (Band n50, 100MHz TDD)</t>
        </is>
      </c>
      <c r="Q995" s="27">
        <f>ROUNDUP(O995/'Methodology &amp; Assumptions'!$B$8, 0)</f>
        <v/>
      </c>
      <c r="R995" s="27" t="n">
        <v>1</v>
      </c>
      <c r="S995" s="26" t="n">
        <v>33.07</v>
      </c>
      <c r="T995" s="26" t="n">
        <v>33.07</v>
      </c>
      <c r="U995" s="11">
        <f>IF(S995&lt;='Methodology &amp; Assumptions'!$B$10, "Direct Optical Drop (&lt;3km)", IF(S995&lt;='Methodology &amp; Assumptions'!$B$9, "Near Optical / Microwave (&lt;5km)", "Starlink Business LEO Satellite Backhaul (&gt;5km)"))</f>
        <v/>
      </c>
      <c r="V995" s="26" t="n">
        <v>45.73</v>
      </c>
      <c r="W995" s="26" t="n">
        <v>71.58</v>
      </c>
      <c r="X995" s="26">
        <f>ROUND(('Methodology &amp; Assumptions'!$B$5*V995) + ('Methodology &amp; Assumptions'!$B$6*W995), 2)</f>
        <v/>
      </c>
      <c r="Y995" s="28" t="n">
        <v>11</v>
      </c>
      <c r="Z995" s="11" t="inlineStr">
        <is>
          <t>Priority Tier 3 (Broadband Expansion)</t>
        </is>
      </c>
    </row>
    <row r="996">
      <c r="A996" s="23" t="n">
        <v>4</v>
      </c>
      <c r="B996" s="23" t="n">
        <v>992</v>
      </c>
      <c r="C996" s="23" t="n">
        <v>3992</v>
      </c>
      <c r="D996" s="23" t="inlineStr">
        <is>
          <t>0304909019</t>
        </is>
      </c>
      <c r="E996" s="11" t="inlineStr">
        <is>
          <t>Region III (Central Luzon)</t>
        </is>
      </c>
      <c r="F996" s="11" t="inlineStr">
        <is>
          <t>Nueva Ecija</t>
        </is>
      </c>
      <c r="G996" s="11" t="inlineStr">
        <is>
          <t>General Mamerto Natividad</t>
        </is>
      </c>
      <c r="H996" s="11" t="inlineStr">
        <is>
          <t>Poblacion</t>
        </is>
      </c>
      <c r="I996" s="24" t="n">
        <v>15.604403</v>
      </c>
      <c r="J996" s="24" t="n">
        <v>121.050788</v>
      </c>
      <c r="K996" s="23" t="inlineStr">
        <is>
          <t>R</t>
        </is>
      </c>
      <c r="L996" s="25" t="n">
        <v>4214</v>
      </c>
      <c r="M996" s="26" t="n">
        <v>3.5</v>
      </c>
      <c r="N996" s="25">
        <f>ROUND(L996/M996, 0)</f>
        <v/>
      </c>
      <c r="O996" s="25">
        <f>ROUND(N996*'Methodology &amp; Assumptions'!$B$7, 0)</f>
        <v/>
      </c>
      <c r="P996" s="23" t="inlineStr">
        <is>
          <t>Single Carrier (Band n50, 100MHz TDD)</t>
        </is>
      </c>
      <c r="Q996" s="27">
        <f>ROUNDUP(O996/'Methodology &amp; Assumptions'!$B$8, 0)</f>
        <v/>
      </c>
      <c r="R996" s="27" t="n">
        <v>1</v>
      </c>
      <c r="S996" s="26" t="n">
        <v>1.32</v>
      </c>
      <c r="T996" s="26" t="n">
        <v>0.16</v>
      </c>
      <c r="U996" s="11">
        <f>IF(S996&lt;='Methodology &amp; Assumptions'!$B$10, "Direct Optical Drop (&lt;3km)", IF(S996&lt;='Methodology &amp; Assumptions'!$B$9, "Near Optical / Microwave (&lt;5km)", "Starlink Business LEO Satellite Backhaul (&gt;5km)"))</f>
        <v/>
      </c>
      <c r="V996" s="26" t="n">
        <v>83.81</v>
      </c>
      <c r="W996" s="26" t="n">
        <v>33.47</v>
      </c>
      <c r="X996" s="26">
        <f>ROUND(('Methodology &amp; Assumptions'!$B$5*V996) + ('Methodology &amp; Assumptions'!$B$6*W996), 2)</f>
        <v/>
      </c>
      <c r="Y996" s="28" t="n">
        <v>8.300000000000001</v>
      </c>
      <c r="Z996" s="11" t="inlineStr">
        <is>
          <t>Priority Tier 3 (Broadband Expansion)</t>
        </is>
      </c>
    </row>
    <row r="997">
      <c r="A997" s="23" t="n">
        <v>4</v>
      </c>
      <c r="B997" s="23" t="n">
        <v>993</v>
      </c>
      <c r="C997" s="23" t="n">
        <v>3993</v>
      </c>
      <c r="D997" s="23" t="inlineStr">
        <is>
          <t>0306903021</t>
        </is>
      </c>
      <c r="E997" s="11" t="inlineStr">
        <is>
          <t>Region III (Central Luzon)</t>
        </is>
      </c>
      <c r="F997" s="11" t="inlineStr">
        <is>
          <t>Tarlac</t>
        </is>
      </c>
      <c r="G997" s="11" t="inlineStr">
        <is>
          <t>Camiling</t>
        </is>
      </c>
      <c r="H997" s="11" t="inlineStr">
        <is>
          <t>Cayaoan</t>
        </is>
      </c>
      <c r="I997" s="24" t="n">
        <v>15.69677</v>
      </c>
      <c r="J997" s="24" t="n">
        <v>120.4152</v>
      </c>
      <c r="K997" s="23" t="inlineStr">
        <is>
          <t>R</t>
        </is>
      </c>
      <c r="L997" s="25" t="n">
        <v>2360</v>
      </c>
      <c r="M997" s="26" t="n">
        <v>3.9</v>
      </c>
      <c r="N997" s="25">
        <f>ROUND(L997/M997, 0)</f>
        <v/>
      </c>
      <c r="O997" s="25">
        <f>ROUND(N997*'Methodology &amp; Assumptions'!$B$7, 0)</f>
        <v/>
      </c>
      <c r="P997" s="23" t="inlineStr">
        <is>
          <t>Single Carrier (Band n50, 100MHz TDD)</t>
        </is>
      </c>
      <c r="Q997" s="27">
        <f>ROUNDUP(O997/'Methodology &amp; Assumptions'!$B$8, 0)</f>
        <v/>
      </c>
      <c r="R997" s="27" t="n">
        <v>1</v>
      </c>
      <c r="S997" s="26" t="n">
        <v>0.85</v>
      </c>
      <c r="T997" s="26" t="n">
        <v>0.86</v>
      </c>
      <c r="U997" s="11">
        <f>IF(S997&lt;='Methodology &amp; Assumptions'!$B$10, "Direct Optical Drop (&lt;3km)", IF(S997&lt;='Methodology &amp; Assumptions'!$B$9, "Near Optical / Microwave (&lt;5km)", "Starlink Business LEO Satellite Backhaul (&gt;5km)"))</f>
        <v/>
      </c>
      <c r="V997" s="26" t="n">
        <v>78.69</v>
      </c>
      <c r="W997" s="26" t="n">
        <v>38.58</v>
      </c>
      <c r="X997" s="26">
        <f>ROUND(('Methodology &amp; Assumptions'!$B$5*V997) + ('Methodology &amp; Assumptions'!$B$6*W997), 2)</f>
        <v/>
      </c>
      <c r="Y997" s="28" t="n">
        <v>8.300000000000001</v>
      </c>
      <c r="Z997" s="11" t="inlineStr">
        <is>
          <t>Priority Tier 3 (Broadband Expansion)</t>
        </is>
      </c>
    </row>
    <row r="998">
      <c r="A998" s="23" t="n">
        <v>4</v>
      </c>
      <c r="B998" s="23" t="n">
        <v>994</v>
      </c>
      <c r="C998" s="23" t="n">
        <v>3994</v>
      </c>
      <c r="D998" s="23" t="inlineStr">
        <is>
          <t>0401011011</t>
        </is>
      </c>
      <c r="E998" s="11" t="inlineStr">
        <is>
          <t>Region IV-A (CALABARZON)</t>
        </is>
      </c>
      <c r="F998" s="11" t="inlineStr">
        <is>
          <t>Batangas</t>
        </is>
      </c>
      <c r="G998" s="11" t="inlineStr">
        <is>
          <t>Laurel</t>
        </is>
      </c>
      <c r="H998" s="11" t="inlineStr">
        <is>
          <t>Gulod</t>
        </is>
      </c>
      <c r="I998" s="24" t="n">
        <v>14.0368</v>
      </c>
      <c r="J998" s="24" t="n">
        <v>120.9428</v>
      </c>
      <c r="K998" s="23" t="inlineStr">
        <is>
          <t>R</t>
        </is>
      </c>
      <c r="L998" s="25" t="n">
        <v>3182</v>
      </c>
      <c r="M998" s="26" t="n">
        <v>3.6</v>
      </c>
      <c r="N998" s="25">
        <f>ROUND(L998/M998, 0)</f>
        <v/>
      </c>
      <c r="O998" s="25">
        <f>ROUND(N998*'Methodology &amp; Assumptions'!$B$7, 0)</f>
        <v/>
      </c>
      <c r="P998" s="23" t="inlineStr">
        <is>
          <t>Single Carrier (Band n50, 100MHz TDD)</t>
        </is>
      </c>
      <c r="Q998" s="27">
        <f>ROUNDUP(O998/'Methodology &amp; Assumptions'!$B$8, 0)</f>
        <v/>
      </c>
      <c r="R998" s="27" t="n">
        <v>1</v>
      </c>
      <c r="S998" s="26" t="n">
        <v>2.08</v>
      </c>
      <c r="T998" s="26" t="n">
        <v>6.51</v>
      </c>
      <c r="U998" s="11">
        <f>IF(S998&lt;='Methodology &amp; Assumptions'!$B$10, "Direct Optical Drop (&lt;3km)", IF(S998&lt;='Methodology &amp; Assumptions'!$B$9, "Near Optical / Microwave (&lt;5km)", "Starlink Business LEO Satellite Backhaul (&gt;5km)"))</f>
        <v/>
      </c>
      <c r="V998" s="26" t="n">
        <v>77.45999999999999</v>
      </c>
      <c r="W998" s="26" t="n">
        <v>39.82</v>
      </c>
      <c r="X998" s="26">
        <f>ROUND(('Methodology &amp; Assumptions'!$B$5*V998) + ('Methodology &amp; Assumptions'!$B$6*W998), 2)</f>
        <v/>
      </c>
      <c r="Y998" s="28" t="n">
        <v>7.2</v>
      </c>
      <c r="Z998" s="11" t="inlineStr">
        <is>
          <t>Priority Tier 3 (Broadband Expansion)</t>
        </is>
      </c>
    </row>
    <row r="999">
      <c r="A999" s="23" t="n">
        <v>4</v>
      </c>
      <c r="B999" s="23" t="n">
        <v>995</v>
      </c>
      <c r="C999" s="23" t="n">
        <v>3995</v>
      </c>
      <c r="D999" s="23" t="inlineStr">
        <is>
          <t>0103307037</t>
        </is>
      </c>
      <c r="E999" s="11" t="inlineStr">
        <is>
          <t>Region I (Ilocos Region)</t>
        </is>
      </c>
      <c r="F999" s="11" t="inlineStr">
        <is>
          <t>La Union</t>
        </is>
      </c>
      <c r="G999" s="11" t="inlineStr">
        <is>
          <t>Bauang</t>
        </is>
      </c>
      <c r="H999" s="11" t="inlineStr">
        <is>
          <t>Taberna</t>
        </is>
      </c>
      <c r="I999" s="24" t="n">
        <v>16.534847</v>
      </c>
      <c r="J999" s="24" t="n">
        <v>120.32002</v>
      </c>
      <c r="K999" s="23" t="inlineStr">
        <is>
          <t>R</t>
        </is>
      </c>
      <c r="L999" s="25" t="n">
        <v>2113</v>
      </c>
      <c r="M999" s="26" t="n">
        <v>3.7</v>
      </c>
      <c r="N999" s="25">
        <f>ROUND(L999/M999, 0)</f>
        <v/>
      </c>
      <c r="O999" s="25">
        <f>ROUND(N999*'Methodology &amp; Assumptions'!$B$7, 0)</f>
        <v/>
      </c>
      <c r="P999" s="23" t="inlineStr">
        <is>
          <t>Single Carrier (Band n50, 100MHz TDD)</t>
        </is>
      </c>
      <c r="Q999" s="27">
        <f>ROUNDUP(O999/'Methodology &amp; Assumptions'!$B$8, 0)</f>
        <v/>
      </c>
      <c r="R999" s="27" t="n">
        <v>1</v>
      </c>
      <c r="S999" s="26" t="n">
        <v>0.93</v>
      </c>
      <c r="T999" s="26" t="n">
        <v>0.78</v>
      </c>
      <c r="U999" s="11">
        <f>IF(S999&lt;='Methodology &amp; Assumptions'!$B$10, "Direct Optical Drop (&lt;3km)", IF(S999&lt;='Methodology &amp; Assumptions'!$B$9, "Near Optical / Microwave (&lt;5km)", "Starlink Business LEO Satellite Backhaul (&gt;5km)"))</f>
        <v/>
      </c>
      <c r="V999" s="26" t="n">
        <v>77.20999999999999</v>
      </c>
      <c r="W999" s="26" t="n">
        <v>40.08</v>
      </c>
      <c r="X999" s="26">
        <f>ROUND(('Methodology &amp; Assumptions'!$B$5*V999) + ('Methodology &amp; Assumptions'!$B$6*W999), 2)</f>
        <v/>
      </c>
      <c r="Y999" s="28" t="n">
        <v>8.300000000000001</v>
      </c>
      <c r="Z999" s="11" t="inlineStr">
        <is>
          <t>Priority Tier 3 (Broadband Expansion)</t>
        </is>
      </c>
    </row>
    <row r="1000">
      <c r="A1000" s="23" t="n">
        <v>4</v>
      </c>
      <c r="B1000" s="23" t="n">
        <v>996</v>
      </c>
      <c r="C1000" s="23" t="n">
        <v>3996</v>
      </c>
      <c r="D1000" s="23" t="inlineStr">
        <is>
          <t>0403426008</t>
        </is>
      </c>
      <c r="E1000" s="11" t="inlineStr">
        <is>
          <t>Region IV-A (CALABARZON)</t>
        </is>
      </c>
      <c r="F1000" s="11" t="inlineStr">
        <is>
          <t>Laguna</t>
        </is>
      </c>
      <c r="G1000" s="11" t="inlineStr">
        <is>
          <t>Santa Cruz</t>
        </is>
      </c>
      <c r="H1000" s="11" t="inlineStr">
        <is>
          <t>Labuin</t>
        </is>
      </c>
      <c r="I1000" s="24" t="n">
        <v>14.25009</v>
      </c>
      <c r="J1000" s="24" t="n">
        <v>121.400722</v>
      </c>
      <c r="K1000" s="23" t="inlineStr">
        <is>
          <t>R</t>
        </is>
      </c>
      <c r="L1000" s="25" t="n">
        <v>5029</v>
      </c>
      <c r="M1000" s="26" t="n">
        <v>3.3</v>
      </c>
      <c r="N1000" s="25">
        <f>ROUND(L1000/M1000, 0)</f>
        <v/>
      </c>
      <c r="O1000" s="25">
        <f>ROUND(N1000*'Methodology &amp; Assumptions'!$B$7, 0)</f>
        <v/>
      </c>
      <c r="P1000" s="23" t="inlineStr">
        <is>
          <t>Single Carrier (Band n50, 100MHz TDD)</t>
        </is>
      </c>
      <c r="Q1000" s="27">
        <f>ROUNDUP(O1000/'Methodology &amp; Assumptions'!$B$8, 0)</f>
        <v/>
      </c>
      <c r="R1000" s="27" t="n">
        <v>1</v>
      </c>
      <c r="S1000" s="26" t="n">
        <v>3.49</v>
      </c>
      <c r="T1000" s="26" t="n">
        <v>1</v>
      </c>
      <c r="U1000" s="11">
        <f>IF(S1000&lt;='Methodology &amp; Assumptions'!$B$10, "Direct Optical Drop (&lt;3km)", IF(S1000&lt;='Methodology &amp; Assumptions'!$B$9, "Near Optical / Microwave (&lt;5km)", "Starlink Business LEO Satellite Backhaul (&gt;5km)"))</f>
        <v/>
      </c>
      <c r="V1000" s="26" t="n">
        <v>76.90000000000001</v>
      </c>
      <c r="W1000" s="26" t="n">
        <v>40.37</v>
      </c>
      <c r="X1000" s="26">
        <f>ROUND(('Methodology &amp; Assumptions'!$B$5*V1000) + ('Methodology &amp; Assumptions'!$B$6*W1000), 2)</f>
        <v/>
      </c>
      <c r="Y1000" s="28" t="n">
        <v>7.2</v>
      </c>
      <c r="Z1000" s="11" t="inlineStr">
        <is>
          <t>Priority Tier 3 (Broadband Expansion)</t>
        </is>
      </c>
    </row>
    <row r="1001">
      <c r="A1001" s="23" t="n">
        <v>4</v>
      </c>
      <c r="B1001" s="23" t="n">
        <v>997</v>
      </c>
      <c r="C1001" s="23" t="n">
        <v>3997</v>
      </c>
      <c r="D1001" s="23" t="inlineStr">
        <is>
          <t>1606808009</t>
        </is>
      </c>
      <c r="E1001" s="11" t="inlineStr">
        <is>
          <t>Region XIII (Caraga)</t>
        </is>
      </c>
      <c r="F1001" s="11" t="inlineStr">
        <is>
          <t>Surigao del Sur</t>
        </is>
      </c>
      <c r="G1001" s="11" t="inlineStr">
        <is>
          <t>Cortes</t>
        </is>
      </c>
      <c r="H1001" s="11" t="inlineStr">
        <is>
          <t>Tag-Anongan</t>
        </is>
      </c>
      <c r="I1001" s="24" t="n">
        <v>9.232113999999999</v>
      </c>
      <c r="J1001" s="24" t="n">
        <v>126.191242</v>
      </c>
      <c r="K1001" s="23" t="inlineStr">
        <is>
          <t>R</t>
        </is>
      </c>
      <c r="L1001" s="25" t="n">
        <v>916</v>
      </c>
      <c r="M1001" s="26" t="n">
        <v>4.1</v>
      </c>
      <c r="N1001" s="25">
        <f>ROUND(L1001/M1001, 0)</f>
        <v/>
      </c>
      <c r="O1001" s="25">
        <f>ROUND(N1001*'Methodology &amp; Assumptions'!$B$7, 0)</f>
        <v/>
      </c>
      <c r="P1001" s="23" t="inlineStr">
        <is>
          <t>Single Carrier (Band n50, 100MHz TDD)</t>
        </is>
      </c>
      <c r="Q1001" s="27">
        <f>ROUNDUP(O1001/'Methodology &amp; Assumptions'!$B$8, 0)</f>
        <v/>
      </c>
      <c r="R1001" s="27" t="n">
        <v>1</v>
      </c>
      <c r="S1001" s="26" t="n">
        <v>17.27</v>
      </c>
      <c r="T1001" s="26" t="n">
        <v>2.35</v>
      </c>
      <c r="U1001" s="11">
        <f>IF(S1001&lt;='Methodology &amp; Assumptions'!$B$10, "Direct Optical Drop (&lt;3km)", IF(S1001&lt;='Methodology &amp; Assumptions'!$B$9, "Near Optical / Microwave (&lt;5km)", "Starlink Business LEO Satellite Backhaul (&gt;5km)"))</f>
        <v/>
      </c>
      <c r="V1001" s="26" t="n">
        <v>44.82</v>
      </c>
      <c r="W1001" s="26" t="n">
        <v>72.45999999999999</v>
      </c>
      <c r="X1001" s="26">
        <f>ROUND(('Methodology &amp; Assumptions'!$B$5*V1001) + ('Methodology &amp; Assumptions'!$B$6*W1001), 2)</f>
        <v/>
      </c>
      <c r="Y1001" s="28" t="n">
        <v>17.4</v>
      </c>
      <c r="Z1001" s="11" t="inlineStr">
        <is>
          <t>Priority Tier 3 (Broadband Expansion)</t>
        </is>
      </c>
    </row>
    <row r="1002">
      <c r="A1002" s="23" t="n">
        <v>4</v>
      </c>
      <c r="B1002" s="23" t="n">
        <v>998</v>
      </c>
      <c r="C1002" s="23" t="n">
        <v>3998</v>
      </c>
      <c r="D1002" s="23" t="inlineStr">
        <is>
          <t>1004314006</t>
        </is>
      </c>
      <c r="E1002" s="11" t="inlineStr">
        <is>
          <t>Region X (Northern Mindanao)</t>
        </is>
      </c>
      <c r="F1002" s="11" t="inlineStr">
        <is>
          <t>Misamis Oriental</t>
        </is>
      </c>
      <c r="G1002" s="11" t="inlineStr">
        <is>
          <t>Laguindingan</t>
        </is>
      </c>
      <c r="H1002" s="11" t="inlineStr">
        <is>
          <t>Mauswagon</t>
        </is>
      </c>
      <c r="I1002" s="24" t="n">
        <v>8.599518</v>
      </c>
      <c r="J1002" s="24" t="n">
        <v>124.414648</v>
      </c>
      <c r="K1002" s="23" t="inlineStr">
        <is>
          <t>R</t>
        </is>
      </c>
      <c r="L1002" s="25" t="n">
        <v>3634</v>
      </c>
      <c r="M1002" s="26" t="n">
        <v>3.9</v>
      </c>
      <c r="N1002" s="25">
        <f>ROUND(L1002/M1002, 0)</f>
        <v/>
      </c>
      <c r="O1002" s="25">
        <f>ROUND(N1002*'Methodology &amp; Assumptions'!$B$7, 0)</f>
        <v/>
      </c>
      <c r="P1002" s="23" t="inlineStr">
        <is>
          <t>Single Carrier (Band n50, 100MHz TDD)</t>
        </is>
      </c>
      <c r="Q1002" s="27">
        <f>ROUNDUP(O1002/'Methodology &amp; Assumptions'!$B$8, 0)</f>
        <v/>
      </c>
      <c r="R1002" s="27" t="n">
        <v>1</v>
      </c>
      <c r="S1002" s="26" t="n">
        <v>1.29</v>
      </c>
      <c r="T1002" s="26" t="n">
        <v>0.34</v>
      </c>
      <c r="U1002" s="11">
        <f>IF(S1002&lt;='Methodology &amp; Assumptions'!$B$10, "Direct Optical Drop (&lt;3km)", IF(S1002&lt;='Methodology &amp; Assumptions'!$B$9, "Near Optical / Microwave (&lt;5km)", "Starlink Business LEO Satellite Backhaul (&gt;5km)"))</f>
        <v/>
      </c>
      <c r="V1002" s="26" t="n">
        <v>85.37</v>
      </c>
      <c r="W1002" s="26" t="n">
        <v>31.89</v>
      </c>
      <c r="X1002" s="26">
        <f>ROUND(('Methodology &amp; Assumptions'!$B$5*V1002) + ('Methodology &amp; Assumptions'!$B$6*W1002), 2)</f>
        <v/>
      </c>
      <c r="Y1002" s="28" t="n">
        <v>17.4</v>
      </c>
      <c r="Z1002" s="11" t="inlineStr">
        <is>
          <t>Priority Tier 3 (Broadband Expansion)</t>
        </is>
      </c>
    </row>
    <row r="1003">
      <c r="A1003" s="23" t="n">
        <v>4</v>
      </c>
      <c r="B1003" s="23" t="n">
        <v>999</v>
      </c>
      <c r="C1003" s="23" t="n">
        <v>3999</v>
      </c>
      <c r="D1003" s="23" t="inlineStr">
        <is>
          <t>0103314053</t>
        </is>
      </c>
      <c r="E1003" s="11" t="inlineStr">
        <is>
          <t>Region I (Ilocos Region)</t>
        </is>
      </c>
      <c r="F1003" s="11" t="inlineStr">
        <is>
          <t>La Union</t>
        </is>
      </c>
      <c r="G1003" s="11" t="inlineStr">
        <is>
          <t>City of San Fernando</t>
        </is>
      </c>
      <c r="H1003" s="11" t="inlineStr">
        <is>
          <t>San Vicente</t>
        </is>
      </c>
      <c r="I1003" s="24" t="n">
        <v>16.583199</v>
      </c>
      <c r="J1003" s="24" t="n">
        <v>120.310478</v>
      </c>
      <c r="K1003" s="23" t="inlineStr">
        <is>
          <t>R</t>
        </is>
      </c>
      <c r="L1003" s="25" t="n">
        <v>2787</v>
      </c>
      <c r="M1003" s="26" t="n">
        <v>3.7</v>
      </c>
      <c r="N1003" s="25">
        <f>ROUND(L1003/M1003, 0)</f>
        <v/>
      </c>
      <c r="O1003" s="25">
        <f>ROUND(N1003*'Methodology &amp; Assumptions'!$B$7, 0)</f>
        <v/>
      </c>
      <c r="P1003" s="23" t="inlineStr">
        <is>
          <t>Single Carrier (Band n50, 100MHz TDD)</t>
        </is>
      </c>
      <c r="Q1003" s="27">
        <f>ROUNDUP(O1003/'Methodology &amp; Assumptions'!$B$8, 0)</f>
        <v/>
      </c>
      <c r="R1003" s="27" t="n">
        <v>1</v>
      </c>
      <c r="S1003" s="26" t="n">
        <v>2.39</v>
      </c>
      <c r="T1003" s="26" t="n">
        <v>0.09</v>
      </c>
      <c r="U1003" s="11">
        <f>IF(S1003&lt;='Methodology &amp; Assumptions'!$B$10, "Direct Optical Drop (&lt;3km)", IF(S1003&lt;='Methodology &amp; Assumptions'!$B$9, "Near Optical / Microwave (&lt;5km)", "Starlink Business LEO Satellite Backhaul (&gt;5km)"))</f>
        <v/>
      </c>
      <c r="V1003" s="26" t="n">
        <v>77.95999999999999</v>
      </c>
      <c r="W1003" s="26" t="n">
        <v>39.3</v>
      </c>
      <c r="X1003" s="26">
        <f>ROUND(('Methodology &amp; Assumptions'!$B$5*V1003) + ('Methodology &amp; Assumptions'!$B$6*W1003), 2)</f>
        <v/>
      </c>
      <c r="Y1003" s="28" t="n">
        <v>8.300000000000001</v>
      </c>
      <c r="Z1003" s="11" t="inlineStr">
        <is>
          <t>Priority Tier 3 (Broadband Expansion)</t>
        </is>
      </c>
    </row>
    <row r="1004">
      <c r="A1004" s="23" t="n">
        <v>4</v>
      </c>
      <c r="B1004" s="23" t="n">
        <v>1000</v>
      </c>
      <c r="C1004" s="23" t="n">
        <v>4000</v>
      </c>
      <c r="D1004" s="23" t="inlineStr">
        <is>
          <t>0102905004</t>
        </is>
      </c>
      <c r="E1004" s="11" t="inlineStr">
        <is>
          <t>Region I (Ilocos Region)</t>
        </is>
      </c>
      <c r="F1004" s="11" t="inlineStr">
        <is>
          <t>Ilocos Sur</t>
        </is>
      </c>
      <c r="G1004" s="11" t="inlineStr">
        <is>
          <t>Cabugao</t>
        </is>
      </c>
      <c r="H1004" s="11" t="inlineStr">
        <is>
          <t>Baclig</t>
        </is>
      </c>
      <c r="I1004" s="24" t="n">
        <v>17.794793</v>
      </c>
      <c r="J1004" s="24" t="n">
        <v>120.454802</v>
      </c>
      <c r="K1004" s="23" t="inlineStr">
        <is>
          <t>U</t>
        </is>
      </c>
      <c r="L1004" s="25" t="n">
        <v>2493</v>
      </c>
      <c r="M1004" s="26" t="n">
        <v>3.8</v>
      </c>
      <c r="N1004" s="25">
        <f>ROUND(L1004/M1004, 0)</f>
        <v/>
      </c>
      <c r="O1004" s="25">
        <f>ROUND(N1004*'Methodology &amp; Assumptions'!$B$7, 0)</f>
        <v/>
      </c>
      <c r="P1004" s="23" t="inlineStr">
        <is>
          <t>Single Carrier (Band n50, 100MHz TDD)</t>
        </is>
      </c>
      <c r="Q1004" s="27">
        <f>ROUNDUP(O1004/'Methodology &amp; Assumptions'!$B$8, 0)</f>
        <v/>
      </c>
      <c r="R1004" s="27" t="n">
        <v>1</v>
      </c>
      <c r="S1004" s="26" t="n">
        <v>0.95</v>
      </c>
      <c r="T1004" s="26" t="n">
        <v>0.07000000000000001</v>
      </c>
      <c r="U1004" s="11">
        <f>IF(S1004&lt;='Methodology &amp; Assumptions'!$B$10, "Direct Optical Drop (&lt;3km)", IF(S1004&lt;='Methodology &amp; Assumptions'!$B$9, "Near Optical / Microwave (&lt;5km)", "Starlink Business LEO Satellite Backhaul (&gt;5km)"))</f>
        <v/>
      </c>
      <c r="V1004" s="26" t="n">
        <v>72.73</v>
      </c>
      <c r="W1004" s="26" t="n">
        <v>44.53</v>
      </c>
      <c r="X1004" s="26">
        <f>ROUND(('Methodology &amp; Assumptions'!$B$5*V1004) + ('Methodology &amp; Assumptions'!$B$6*W1004), 2)</f>
        <v/>
      </c>
      <c r="Y1004" s="28" t="n">
        <v>8.300000000000001</v>
      </c>
      <c r="Z1004" s="11" t="inlineStr">
        <is>
          <t>Priority Tier 3 (Broadband Expansion)</t>
        </is>
      </c>
    </row>
    <row r="1005">
      <c r="A1005" s="23" t="n">
        <v>5</v>
      </c>
      <c r="B1005" s="23" t="n">
        <v>1</v>
      </c>
      <c r="C1005" s="23" t="n">
        <v>4001</v>
      </c>
      <c r="D1005" s="23" t="inlineStr">
        <is>
          <t>0304904023</t>
        </is>
      </c>
      <c r="E1005" s="11" t="inlineStr">
        <is>
          <t>Region III (Central Luzon)</t>
        </is>
      </c>
      <c r="F1005" s="11" t="inlineStr">
        <is>
          <t>Nueva Ecija</t>
        </is>
      </c>
      <c r="G1005" s="11" t="inlineStr">
        <is>
          <t>Cabiao</t>
        </is>
      </c>
      <c r="H1005" s="11" t="inlineStr">
        <is>
          <t>Polilio</t>
        </is>
      </c>
      <c r="I1005" s="24" t="n">
        <v>15.249784</v>
      </c>
      <c r="J1005" s="24" t="n">
        <v>120.85331</v>
      </c>
      <c r="K1005" s="23" t="inlineStr">
        <is>
          <t>R</t>
        </is>
      </c>
      <c r="L1005" s="25" t="n">
        <v>1646</v>
      </c>
      <c r="M1005" s="26" t="n">
        <v>3.5</v>
      </c>
      <c r="N1005" s="25">
        <f>ROUND(L1005/M1005, 0)</f>
        <v/>
      </c>
      <c r="O1005" s="25">
        <f>ROUND(N1005*'Methodology &amp; Assumptions'!$B$7, 0)</f>
        <v/>
      </c>
      <c r="P1005" s="23" t="inlineStr">
        <is>
          <t>Single Carrier (Band n50, 100MHz TDD)</t>
        </is>
      </c>
      <c r="Q1005" s="27">
        <f>ROUNDUP(O1005/'Methodology &amp; Assumptions'!$B$8, 0)</f>
        <v/>
      </c>
      <c r="R1005" s="27" t="n">
        <v>1</v>
      </c>
      <c r="S1005" s="26" t="n">
        <v>2.04</v>
      </c>
      <c r="T1005" s="26" t="n">
        <v>0.5600000000000001</v>
      </c>
      <c r="U1005" s="11">
        <f>IF(S1005&lt;='Methodology &amp; Assumptions'!$B$10, "Direct Optical Drop (&lt;3km)", IF(S1005&lt;='Methodology &amp; Assumptions'!$B$9, "Near Optical / Microwave (&lt;5km)", "Starlink Business LEO Satellite Backhaul (&gt;5km)"))</f>
        <v/>
      </c>
      <c r="V1005" s="26" t="n">
        <v>69.93000000000001</v>
      </c>
      <c r="W1005" s="26" t="n">
        <v>47.33</v>
      </c>
      <c r="X1005" s="26">
        <f>ROUND(('Methodology &amp; Assumptions'!$B$5*V1005) + ('Methodology &amp; Assumptions'!$B$6*W1005), 2)</f>
        <v/>
      </c>
      <c r="Y1005" s="28" t="n">
        <v>8.300000000000001</v>
      </c>
      <c r="Z1005" s="11" t="inlineStr">
        <is>
          <t>Priority Tier 3 (Broadband Expansion)</t>
        </is>
      </c>
    </row>
    <row r="1006">
      <c r="A1006" s="23" t="n">
        <v>5</v>
      </c>
      <c r="B1006" s="23" t="n">
        <v>2</v>
      </c>
      <c r="C1006" s="23" t="n">
        <v>4002</v>
      </c>
      <c r="D1006" s="23" t="inlineStr">
        <is>
          <t>1102504008</t>
        </is>
      </c>
      <c r="E1006" s="11" t="inlineStr">
        <is>
          <t>Region XI (Davao Region)</t>
        </is>
      </c>
      <c r="F1006" s="11" t="inlineStr">
        <is>
          <t>Davao Oriental</t>
        </is>
      </c>
      <c r="G1006" s="11" t="inlineStr">
        <is>
          <t>Caraga</t>
        </is>
      </c>
      <c r="H1006" s="11" t="inlineStr">
        <is>
          <t>Palma Gil</t>
        </is>
      </c>
      <c r="I1006" s="24" t="n">
        <v>7.3668</v>
      </c>
      <c r="J1006" s="24" t="n">
        <v>126.52839</v>
      </c>
      <c r="K1006" s="23" t="inlineStr">
        <is>
          <t>R</t>
        </is>
      </c>
      <c r="L1006" s="25" t="n">
        <v>1932</v>
      </c>
      <c r="M1006" s="26" t="n">
        <v>3.6</v>
      </c>
      <c r="N1006" s="25">
        <f>ROUND(L1006/M1006, 0)</f>
        <v/>
      </c>
      <c r="O1006" s="25">
        <f>ROUND(N1006*'Methodology &amp; Assumptions'!$B$7, 0)</f>
        <v/>
      </c>
      <c r="P1006" s="23" t="inlineStr">
        <is>
          <t>Single Carrier (Band n50, 100MHz TDD)</t>
        </is>
      </c>
      <c r="Q1006" s="27">
        <f>ROUNDUP(O1006/'Methodology &amp; Assumptions'!$B$8, 0)</f>
        <v/>
      </c>
      <c r="R1006" s="27" t="n">
        <v>1</v>
      </c>
      <c r="S1006" s="26" t="n">
        <v>57.33</v>
      </c>
      <c r="T1006" s="26" t="n">
        <v>56.23</v>
      </c>
      <c r="U1006" s="11">
        <f>IF(S1006&lt;='Methodology &amp; Assumptions'!$B$10, "Direct Optical Drop (&lt;3km)", IF(S1006&lt;='Methodology &amp; Assumptions'!$B$9, "Near Optical / Microwave (&lt;5km)", "Starlink Business LEO Satellite Backhaul (&gt;5km)"))</f>
        <v/>
      </c>
      <c r="V1006" s="26" t="n">
        <v>51.99</v>
      </c>
      <c r="W1006" s="26" t="n">
        <v>65.26000000000001</v>
      </c>
      <c r="X1006" s="26">
        <f>ROUND(('Methodology &amp; Assumptions'!$B$5*V1006) + ('Methodology &amp; Assumptions'!$B$6*W1006), 2)</f>
        <v/>
      </c>
      <c r="Y1006" s="28" t="n">
        <v>17.4</v>
      </c>
      <c r="Z1006" s="11" t="inlineStr">
        <is>
          <t>Priority Tier 3 (Broadband Expansion)</t>
        </is>
      </c>
    </row>
    <row r="1007">
      <c r="A1007" s="23" t="n">
        <v>5</v>
      </c>
      <c r="B1007" s="23" t="n">
        <v>3</v>
      </c>
      <c r="C1007" s="23" t="n">
        <v>4003</v>
      </c>
      <c r="D1007" s="23" t="inlineStr">
        <is>
          <t>1704005026</t>
        </is>
      </c>
      <c r="E1007" s="11" t="inlineStr">
        <is>
          <t>MIMAROPA Region</t>
        </is>
      </c>
      <c r="F1007" s="11" t="inlineStr">
        <is>
          <t>Marinduque</t>
        </is>
      </c>
      <c r="G1007" s="11" t="inlineStr">
        <is>
          <t>Santa Cruz</t>
        </is>
      </c>
      <c r="H1007" s="11" t="inlineStr">
        <is>
          <t>Kinyaman</t>
        </is>
      </c>
      <c r="I1007" s="24" t="n">
        <v>13.459676</v>
      </c>
      <c r="J1007" s="24" t="n">
        <v>122.026872</v>
      </c>
      <c r="K1007" s="23" t="inlineStr">
        <is>
          <t>R</t>
        </is>
      </c>
      <c r="L1007" s="25" t="n">
        <v>380</v>
      </c>
      <c r="M1007" s="26" t="n">
        <v>3.8</v>
      </c>
      <c r="N1007" s="25">
        <f>ROUND(L1007/M1007, 0)</f>
        <v/>
      </c>
      <c r="O1007" s="25">
        <f>ROUND(N1007*'Methodology &amp; Assumptions'!$B$7, 0)</f>
        <v/>
      </c>
      <c r="P1007" s="23" t="inlineStr">
        <is>
          <t>Single Carrier (Band n50, 100MHz TDD)</t>
        </is>
      </c>
      <c r="Q1007" s="27">
        <f>ROUNDUP(O1007/'Methodology &amp; Assumptions'!$B$8, 0)</f>
        <v/>
      </c>
      <c r="R1007" s="27" t="n">
        <v>1</v>
      </c>
      <c r="S1007" s="26" t="n">
        <v>30.37</v>
      </c>
      <c r="T1007" s="26" t="n">
        <v>29.16</v>
      </c>
      <c r="U1007" s="11">
        <f>IF(S1007&lt;='Methodology &amp; Assumptions'!$B$10, "Direct Optical Drop (&lt;3km)", IF(S1007&lt;='Methodology &amp; Assumptions'!$B$9, "Near Optical / Microwave (&lt;5km)", "Starlink Business LEO Satellite Backhaul (&gt;5km)"))</f>
        <v/>
      </c>
      <c r="V1007" s="26" t="n">
        <v>36.6</v>
      </c>
      <c r="W1007" s="26" t="n">
        <v>80.66</v>
      </c>
      <c r="X1007" s="26">
        <f>ROUND(('Methodology &amp; Assumptions'!$B$5*V1007) + ('Methodology &amp; Assumptions'!$B$6*W1007), 2)</f>
        <v/>
      </c>
      <c r="Y1007" s="28" t="n">
        <v>15</v>
      </c>
      <c r="Z1007" s="11" t="inlineStr">
        <is>
          <t>Priority Tier 3 (Broadband Expansion)</t>
        </is>
      </c>
    </row>
    <row r="1008">
      <c r="A1008" s="23" t="n">
        <v>5</v>
      </c>
      <c r="B1008" s="23" t="n">
        <v>4</v>
      </c>
      <c r="C1008" s="23" t="n">
        <v>4004</v>
      </c>
      <c r="D1008" s="23" t="inlineStr">
        <is>
          <t>0501601025</t>
        </is>
      </c>
      <c r="E1008" s="11" t="inlineStr">
        <is>
          <t>Region V (Bicol Region)</t>
        </is>
      </c>
      <c r="F1008" s="11" t="inlineStr">
        <is>
          <t>Camarines Norte</t>
        </is>
      </c>
      <c r="G1008" s="11" t="inlineStr">
        <is>
          <t>Basud</t>
        </is>
      </c>
      <c r="H1008" s="11" t="inlineStr">
        <is>
          <t>San Felipe</t>
        </is>
      </c>
      <c r="I1008" s="24" t="n">
        <v>14.01456</v>
      </c>
      <c r="J1008" s="24" t="n">
        <v>122.930833</v>
      </c>
      <c r="K1008" s="23" t="inlineStr">
        <is>
          <t>R</t>
        </is>
      </c>
      <c r="L1008" s="25" t="n">
        <v>3833</v>
      </c>
      <c r="M1008" s="26" t="n">
        <v>4</v>
      </c>
      <c r="N1008" s="25">
        <f>ROUND(L1008/M1008, 0)</f>
        <v/>
      </c>
      <c r="O1008" s="25">
        <f>ROUND(N1008*'Methodology &amp; Assumptions'!$B$7, 0)</f>
        <v/>
      </c>
      <c r="P1008" s="23" t="inlineStr">
        <is>
          <t>Single Carrier (Band n50, 100MHz TDD)</t>
        </is>
      </c>
      <c r="Q1008" s="27">
        <f>ROUNDUP(O1008/'Methodology &amp; Assumptions'!$B$8, 0)</f>
        <v/>
      </c>
      <c r="R1008" s="27" t="n">
        <v>1</v>
      </c>
      <c r="S1008" s="26" t="n">
        <v>0.2</v>
      </c>
      <c r="T1008" s="26" t="n">
        <v>0.38</v>
      </c>
      <c r="U1008" s="11">
        <f>IF(S1008&lt;='Methodology &amp; Assumptions'!$B$10, "Direct Optical Drop (&lt;3km)", IF(S1008&lt;='Methodology &amp; Assumptions'!$B$9, "Near Optical / Microwave (&lt;5km)", "Starlink Business LEO Satellite Backhaul (&gt;5km)"))</f>
        <v/>
      </c>
      <c r="V1008" s="26" t="n">
        <v>88.06</v>
      </c>
      <c r="W1008" s="26" t="n">
        <v>29.18</v>
      </c>
      <c r="X1008" s="26">
        <f>ROUND(('Methodology &amp; Assumptions'!$B$5*V1008) + ('Methodology &amp; Assumptions'!$B$6*W1008), 2)</f>
        <v/>
      </c>
      <c r="Y1008" s="28" t="n">
        <v>23.7</v>
      </c>
      <c r="Z1008" s="11" t="inlineStr">
        <is>
          <t>Priority Tier 3 (Broadband Expansion)</t>
        </is>
      </c>
    </row>
    <row r="1009">
      <c r="A1009" s="23" t="n">
        <v>5</v>
      </c>
      <c r="B1009" s="23" t="n">
        <v>5</v>
      </c>
      <c r="C1009" s="23" t="n">
        <v>4005</v>
      </c>
      <c r="D1009" s="23" t="inlineStr">
        <is>
          <t>0631000079</t>
        </is>
      </c>
      <c r="E1009" s="11" t="inlineStr">
        <is>
          <t>Region VI (Western Visayas)</t>
        </is>
      </c>
      <c r="F1009" s="11" t="inlineStr">
        <is>
          <t>Iloilo</t>
        </is>
      </c>
      <c r="G1009" s="11" t="inlineStr">
        <is>
          <t>City of Iloilo</t>
        </is>
      </c>
      <c r="H1009" s="11" t="inlineStr">
        <is>
          <t>Kasingkasing</t>
        </is>
      </c>
      <c r="I1009" s="24" t="n">
        <v>10.92438</v>
      </c>
      <c r="J1009" s="24" t="n">
        <v>122.558213</v>
      </c>
      <c r="K1009" s="23" t="inlineStr">
        <is>
          <t>R</t>
        </is>
      </c>
      <c r="L1009" s="25" t="n">
        <v>2520</v>
      </c>
      <c r="M1009" s="26" t="n">
        <v>4.2</v>
      </c>
      <c r="N1009" s="25">
        <f>ROUND(L1009/M1009, 0)</f>
        <v/>
      </c>
      <c r="O1009" s="25">
        <f>ROUND(N1009*'Methodology &amp; Assumptions'!$B$7, 0)</f>
        <v/>
      </c>
      <c r="P1009" s="23" t="inlineStr">
        <is>
          <t>Single Carrier (Band n50, 100MHz TDD)</t>
        </is>
      </c>
      <c r="Q1009" s="27">
        <f>ROUNDUP(O1009/'Methodology &amp; Assumptions'!$B$8, 0)</f>
        <v/>
      </c>
      <c r="R1009" s="27" t="n">
        <v>1</v>
      </c>
      <c r="S1009" s="26" t="n">
        <v>0.97</v>
      </c>
      <c r="T1009" s="26" t="n">
        <v>0.96</v>
      </c>
      <c r="U1009" s="11">
        <f>IF(S1009&lt;='Methodology &amp; Assumptions'!$B$10, "Direct Optical Drop (&lt;3km)", IF(S1009&lt;='Methodology &amp; Assumptions'!$B$9, "Near Optical / Microwave (&lt;5km)", "Starlink Business LEO Satellite Backhaul (&gt;5km)"))</f>
        <v/>
      </c>
      <c r="V1009" s="26" t="n">
        <v>79.19</v>
      </c>
      <c r="W1009" s="26" t="n">
        <v>38.05</v>
      </c>
      <c r="X1009" s="26">
        <f>ROUND(('Methodology &amp; Assumptions'!$B$5*V1009) + ('Methodology &amp; Assumptions'!$B$6*W1009), 2)</f>
        <v/>
      </c>
      <c r="Y1009" s="28" t="n">
        <v>23.7</v>
      </c>
      <c r="Z1009" s="11" t="inlineStr">
        <is>
          <t>Priority Tier 3 (Broadband Expansion)</t>
        </is>
      </c>
    </row>
    <row r="1010">
      <c r="A1010" s="23" t="n">
        <v>5</v>
      </c>
      <c r="B1010" s="23" t="n">
        <v>6</v>
      </c>
      <c r="C1010" s="23" t="n">
        <v>4006</v>
      </c>
      <c r="D1010" s="23" t="inlineStr">
        <is>
          <t>1380614084</t>
        </is>
      </c>
      <c r="E1010" s="11" t="inlineStr">
        <is>
          <t>National Capital Region (NCR)</t>
        </is>
      </c>
      <c r="F1010" s="11" t="inlineStr">
        <is>
          <t>First District (Not a Province)</t>
        </is>
      </c>
      <c r="G1010" s="11" t="inlineStr">
        <is>
          <t>City of Manila</t>
        </is>
      </c>
      <c r="H1010" s="11" t="inlineStr">
        <is>
          <t>Barangay 891</t>
        </is>
      </c>
      <c r="I1010" s="24" t="n">
        <v>14.586156</v>
      </c>
      <c r="J1010" s="24" t="n">
        <v>121.0181</v>
      </c>
      <c r="K1010" s="23" t="inlineStr">
        <is>
          <t>U</t>
        </is>
      </c>
      <c r="L1010" s="25" t="n">
        <v>931</v>
      </c>
      <c r="M1010" s="26" t="n">
        <v>4.43</v>
      </c>
      <c r="N1010" s="25">
        <f>ROUND(L1010/M1010, 0)</f>
        <v/>
      </c>
      <c r="O1010" s="25">
        <f>ROUND(N1010*'Methodology &amp; Assumptions'!$B$7, 0)</f>
        <v/>
      </c>
      <c r="P1010" s="23" t="inlineStr">
        <is>
          <t>Single Carrier (Band n50, 100MHz TDD)</t>
        </is>
      </c>
      <c r="Q1010" s="27">
        <f>ROUNDUP(O1010/'Methodology &amp; Assumptions'!$B$8, 0)</f>
        <v/>
      </c>
      <c r="R1010" s="27" t="n">
        <v>1</v>
      </c>
      <c r="S1010" s="26" t="n">
        <v>1.11</v>
      </c>
      <c r="T1010" s="26" t="n">
        <v>0.15</v>
      </c>
      <c r="U1010" s="11">
        <f>IF(S1010&lt;='Methodology &amp; Assumptions'!$B$10, "Direct Optical Drop (&lt;3km)", IF(S1010&lt;='Methodology &amp; Assumptions'!$B$9, "Near Optical / Microwave (&lt;5km)", "Starlink Business LEO Satellite Backhaul (&gt;5km)"))</f>
        <v/>
      </c>
      <c r="V1010" s="26" t="n">
        <v>46.81</v>
      </c>
      <c r="W1010" s="26" t="n">
        <v>70.43000000000001</v>
      </c>
      <c r="X1010" s="26">
        <f>ROUND(('Methodology &amp; Assumptions'!$B$5*V1010) + ('Methodology &amp; Assumptions'!$B$6*W1010), 2)</f>
        <v/>
      </c>
      <c r="Y1010" s="28" t="n">
        <v>10.9</v>
      </c>
      <c r="Z1010" s="11" t="inlineStr">
        <is>
          <t>Priority Tier 3 (Broadband Expansion)</t>
        </is>
      </c>
    </row>
    <row r="1011">
      <c r="A1011" s="23" t="n">
        <v>5</v>
      </c>
      <c r="B1011" s="23" t="n">
        <v>7</v>
      </c>
      <c r="C1011" s="23" t="n">
        <v>4007</v>
      </c>
      <c r="D1011" s="23" t="inlineStr">
        <is>
          <t>0405618045</t>
        </is>
      </c>
      <c r="E1011" s="11" t="inlineStr">
        <is>
          <t>Region IV-A (CALABARZON)</t>
        </is>
      </c>
      <c r="F1011" s="11" t="inlineStr">
        <is>
          <t>Quezon</t>
        </is>
      </c>
      <c r="G1011" s="11" t="inlineStr">
        <is>
          <t>Guinayangan</t>
        </is>
      </c>
      <c r="H1011" s="11" t="inlineStr">
        <is>
          <t>San Pedro II</t>
        </is>
      </c>
      <c r="I1011" s="24" t="n">
        <v>14.083379</v>
      </c>
      <c r="J1011" s="24" t="n">
        <v>122.414697</v>
      </c>
      <c r="K1011" s="23" t="inlineStr">
        <is>
          <t>R</t>
        </is>
      </c>
      <c r="L1011" s="25" t="n">
        <v>266</v>
      </c>
      <c r="M1011" s="26" t="n">
        <v>3.8</v>
      </c>
      <c r="N1011" s="25">
        <f>ROUND(L1011/M1011, 0)</f>
        <v/>
      </c>
      <c r="O1011" s="25">
        <f>ROUND(N1011*'Methodology &amp; Assumptions'!$B$7, 0)</f>
        <v/>
      </c>
      <c r="P1011" s="23" t="inlineStr">
        <is>
          <t>Single Carrier (Band n50, 100MHz TDD)</t>
        </is>
      </c>
      <c r="Q1011" s="27">
        <f>ROUNDUP(O1011/'Methodology &amp; Assumptions'!$B$8, 0)</f>
        <v/>
      </c>
      <c r="R1011" s="27" t="n">
        <v>1</v>
      </c>
      <c r="S1011" s="26" t="n">
        <v>4.66</v>
      </c>
      <c r="T1011" s="26" t="n">
        <v>3.04</v>
      </c>
      <c r="U1011" s="11">
        <f>IF(S1011&lt;='Methodology &amp; Assumptions'!$B$10, "Direct Optical Drop (&lt;3km)", IF(S1011&lt;='Methodology &amp; Assumptions'!$B$9, "Near Optical / Microwave (&lt;5km)", "Starlink Business LEO Satellite Backhaul (&gt;5km)"))</f>
        <v/>
      </c>
      <c r="V1011" s="26" t="n">
        <v>46.75</v>
      </c>
      <c r="W1011" s="26" t="n">
        <v>70.48999999999999</v>
      </c>
      <c r="X1011" s="26">
        <f>ROUND(('Methodology &amp; Assumptions'!$B$5*V1011) + ('Methodology &amp; Assumptions'!$B$6*W1011), 2)</f>
        <v/>
      </c>
      <c r="Y1011" s="28" t="n">
        <v>7.2</v>
      </c>
      <c r="Z1011" s="11" t="inlineStr">
        <is>
          <t>Priority Tier 3 (Broadband Expansion)</t>
        </is>
      </c>
    </row>
    <row r="1012">
      <c r="A1012" s="23" t="n">
        <v>5</v>
      </c>
      <c r="B1012" s="23" t="n">
        <v>8</v>
      </c>
      <c r="C1012" s="23" t="n">
        <v>4008</v>
      </c>
      <c r="D1012" s="23" t="inlineStr">
        <is>
          <t>1380606239</t>
        </is>
      </c>
      <c r="E1012" s="11" t="inlineStr">
        <is>
          <t>National Capital Region (NCR)</t>
        </is>
      </c>
      <c r="F1012" s="11" t="inlineStr">
        <is>
          <t>First District (Not a Province)</t>
        </is>
      </c>
      <c r="G1012" s="11" t="inlineStr">
        <is>
          <t>City of Manila</t>
        </is>
      </c>
      <c r="H1012" s="11" t="inlineStr">
        <is>
          <t>Barangay 632</t>
        </is>
      </c>
      <c r="I1012" s="24" t="n">
        <v>14.600569</v>
      </c>
      <c r="J1012" s="24" t="n">
        <v>121.002509</v>
      </c>
      <c r="K1012" s="23" t="inlineStr">
        <is>
          <t>U</t>
        </is>
      </c>
      <c r="L1012" s="25" t="n">
        <v>576</v>
      </c>
      <c r="M1012" s="26" t="n">
        <v>4</v>
      </c>
      <c r="N1012" s="25">
        <f>ROUND(L1012/M1012, 0)</f>
        <v/>
      </c>
      <c r="O1012" s="25">
        <f>ROUND(N1012*'Methodology &amp; Assumptions'!$B$7, 0)</f>
        <v/>
      </c>
      <c r="P1012" s="23" t="inlineStr">
        <is>
          <t>Single Carrier (Band n50, 100MHz TDD)</t>
        </is>
      </c>
      <c r="Q1012" s="27">
        <f>ROUNDUP(O1012/'Methodology &amp; Assumptions'!$B$8, 0)</f>
        <v/>
      </c>
      <c r="R1012" s="27" t="n">
        <v>1</v>
      </c>
      <c r="S1012" s="26" t="n">
        <v>0.27</v>
      </c>
      <c r="T1012" s="26" t="n">
        <v>0.12</v>
      </c>
      <c r="U1012" s="11">
        <f>IF(S1012&lt;='Methodology &amp; Assumptions'!$B$10, "Direct Optical Drop (&lt;3km)", IF(S1012&lt;='Methodology &amp; Assumptions'!$B$9, "Near Optical / Microwave (&lt;5km)", "Starlink Business LEO Satellite Backhaul (&gt;5km)"))</f>
        <v/>
      </c>
      <c r="V1012" s="26" t="n">
        <v>45.7</v>
      </c>
      <c r="W1012" s="26" t="n">
        <v>71.54000000000001</v>
      </c>
      <c r="X1012" s="26">
        <f>ROUND(('Methodology &amp; Assumptions'!$B$5*V1012) + ('Methodology &amp; Assumptions'!$B$6*W1012), 2)</f>
        <v/>
      </c>
      <c r="Y1012" s="28" t="n">
        <v>10.9</v>
      </c>
      <c r="Z1012" s="11" t="inlineStr">
        <is>
          <t>Priority Tier 3 (Broadband Expansion)</t>
        </is>
      </c>
    </row>
    <row r="1013">
      <c r="A1013" s="23" t="n">
        <v>5</v>
      </c>
      <c r="B1013" s="23" t="n">
        <v>9</v>
      </c>
      <c r="C1013" s="23" t="n">
        <v>4009</v>
      </c>
      <c r="D1013" s="23" t="inlineStr">
        <is>
          <t>0405639018</t>
        </is>
      </c>
      <c r="E1013" s="11" t="inlineStr">
        <is>
          <t>Region IV-A (CALABARZON)</t>
        </is>
      </c>
      <c r="F1013" s="11" t="inlineStr">
        <is>
          <t>Quezon</t>
        </is>
      </c>
      <c r="G1013" s="11" t="inlineStr">
        <is>
          <t>Sampaloc</t>
        </is>
      </c>
      <c r="H1013" s="11" t="inlineStr">
        <is>
          <t>San Roque</t>
        </is>
      </c>
      <c r="I1013" s="24" t="n">
        <v>14.16235</v>
      </c>
      <c r="J1013" s="24" t="n">
        <v>121.638108</v>
      </c>
      <c r="K1013" s="23" t="inlineStr">
        <is>
          <t>R</t>
        </is>
      </c>
      <c r="L1013" s="25" t="n">
        <v>2487</v>
      </c>
      <c r="M1013" s="26" t="n">
        <v>3.8</v>
      </c>
      <c r="N1013" s="25">
        <f>ROUND(L1013/M1013, 0)</f>
        <v/>
      </c>
      <c r="O1013" s="25">
        <f>ROUND(N1013*'Methodology &amp; Assumptions'!$B$7, 0)</f>
        <v/>
      </c>
      <c r="P1013" s="23" t="inlineStr">
        <is>
          <t>Single Carrier (Band n50, 100MHz TDD)</t>
        </is>
      </c>
      <c r="Q1013" s="27">
        <f>ROUNDUP(O1013/'Methodology &amp; Assumptions'!$B$8, 0)</f>
        <v/>
      </c>
      <c r="R1013" s="27" t="n">
        <v>1</v>
      </c>
      <c r="S1013" s="26" t="n">
        <v>0.04</v>
      </c>
      <c r="T1013" s="26" t="n">
        <v>9.56</v>
      </c>
      <c r="U1013" s="11">
        <f>IF(S1013&lt;='Methodology &amp; Assumptions'!$B$10, "Direct Optical Drop (&lt;3km)", IF(S1013&lt;='Methodology &amp; Assumptions'!$B$9, "Near Optical / Microwave (&lt;5km)", "Starlink Business LEO Satellite Backhaul (&gt;5km)"))</f>
        <v/>
      </c>
      <c r="V1013" s="26" t="n">
        <v>82.65000000000001</v>
      </c>
      <c r="W1013" s="26" t="n">
        <v>34.58</v>
      </c>
      <c r="X1013" s="26">
        <f>ROUND(('Methodology &amp; Assumptions'!$B$5*V1013) + ('Methodology &amp; Assumptions'!$B$6*W1013), 2)</f>
        <v/>
      </c>
      <c r="Y1013" s="28" t="n">
        <v>7.2</v>
      </c>
      <c r="Z1013" s="11" t="inlineStr">
        <is>
          <t>Priority Tier 3 (Broadband Expansion)</t>
        </is>
      </c>
    </row>
    <row r="1014">
      <c r="A1014" s="23" t="n">
        <v>5</v>
      </c>
      <c r="B1014" s="23" t="n">
        <v>10</v>
      </c>
      <c r="C1014" s="23" t="n">
        <v>4010</v>
      </c>
      <c r="D1014" s="23" t="inlineStr">
        <is>
          <t>0403426003</t>
        </is>
      </c>
      <c r="E1014" s="11" t="inlineStr">
        <is>
          <t>Region IV-A (CALABARZON)</t>
        </is>
      </c>
      <c r="F1014" s="11" t="inlineStr">
        <is>
          <t>Laguna</t>
        </is>
      </c>
      <c r="G1014" s="11" t="inlineStr">
        <is>
          <t>Santa Cruz</t>
        </is>
      </c>
      <c r="H1014" s="11" t="inlineStr">
        <is>
          <t>Bubukal</t>
        </is>
      </c>
      <c r="I1014" s="24" t="n">
        <v>14.258624</v>
      </c>
      <c r="J1014" s="24" t="n">
        <v>121.398212</v>
      </c>
      <c r="K1014" s="23" t="inlineStr">
        <is>
          <t>U</t>
        </is>
      </c>
      <c r="L1014" s="25" t="n">
        <v>7817</v>
      </c>
      <c r="M1014" s="26" t="n">
        <v>3.3</v>
      </c>
      <c r="N1014" s="25">
        <f>ROUND(L1014/M1014, 0)</f>
        <v/>
      </c>
      <c r="O1014" s="25">
        <f>ROUND(N1014*'Methodology &amp; Assumptions'!$B$7, 0)</f>
        <v/>
      </c>
      <c r="P1014" s="23" t="inlineStr">
        <is>
          <t>Single Carrier (Band n50, 100MHz TDD)</t>
        </is>
      </c>
      <c r="Q1014" s="27">
        <f>ROUNDUP(O1014/'Methodology &amp; Assumptions'!$B$8, 0)</f>
        <v/>
      </c>
      <c r="R1014" s="27" t="n">
        <v>1</v>
      </c>
      <c r="S1014" s="26" t="n">
        <v>2.78</v>
      </c>
      <c r="T1014" s="26" t="n">
        <v>0.26</v>
      </c>
      <c r="U1014" s="11">
        <f>IF(S1014&lt;='Methodology &amp; Assumptions'!$B$10, "Direct Optical Drop (&lt;3km)", IF(S1014&lt;='Methodology &amp; Assumptions'!$B$9, "Near Optical / Microwave (&lt;5km)", "Starlink Business LEO Satellite Backhaul (&gt;5km)"))</f>
        <v/>
      </c>
      <c r="V1014" s="26" t="n">
        <v>71.47</v>
      </c>
      <c r="W1014" s="26" t="n">
        <v>45.74</v>
      </c>
      <c r="X1014" s="26">
        <f>ROUND(('Methodology &amp; Assumptions'!$B$5*V1014) + ('Methodology &amp; Assumptions'!$B$6*W1014), 2)</f>
        <v/>
      </c>
      <c r="Y1014" s="28" t="n">
        <v>7.2</v>
      </c>
      <c r="Z1014" s="11" t="inlineStr">
        <is>
          <t>Priority Tier 3 (Broadband Expansion)</t>
        </is>
      </c>
    </row>
    <row r="1015">
      <c r="A1015" s="23" t="n">
        <v>5</v>
      </c>
      <c r="B1015" s="23" t="n">
        <v>11</v>
      </c>
      <c r="C1015" s="23" t="n">
        <v>4011</v>
      </c>
      <c r="D1015" s="23" t="inlineStr">
        <is>
          <t>0300804034</t>
        </is>
      </c>
      <c r="E1015" s="11" t="inlineStr">
        <is>
          <t>Region III (Central Luzon)</t>
        </is>
      </c>
      <c r="F1015" s="11" t="inlineStr">
        <is>
          <t>Bataan</t>
        </is>
      </c>
      <c r="G1015" s="11" t="inlineStr">
        <is>
          <t>Dinalupihan</t>
        </is>
      </c>
      <c r="H1015" s="11" t="inlineStr">
        <is>
          <t>San Isidro</t>
        </is>
      </c>
      <c r="I1015" s="24" t="n">
        <v>14.871304</v>
      </c>
      <c r="J1015" s="24" t="n">
        <v>120.469128</v>
      </c>
      <c r="K1015" s="23" t="inlineStr">
        <is>
          <t>R</t>
        </is>
      </c>
      <c r="L1015" s="25" t="n">
        <v>939</v>
      </c>
      <c r="M1015" s="26" t="n">
        <v>3.6</v>
      </c>
      <c r="N1015" s="25">
        <f>ROUND(L1015/M1015, 0)</f>
        <v/>
      </c>
      <c r="O1015" s="25">
        <f>ROUND(N1015*'Methodology &amp; Assumptions'!$B$7, 0)</f>
        <v/>
      </c>
      <c r="P1015" s="23" t="inlineStr">
        <is>
          <t>Single Carrier (Band n50, 100MHz TDD)</t>
        </is>
      </c>
      <c r="Q1015" s="27">
        <f>ROUNDUP(O1015/'Methodology &amp; Assumptions'!$B$8, 0)</f>
        <v/>
      </c>
      <c r="R1015" s="27" t="n">
        <v>1</v>
      </c>
      <c r="S1015" s="26" t="n">
        <v>0.78</v>
      </c>
      <c r="T1015" s="26" t="n">
        <v>0.44</v>
      </c>
      <c r="U1015" s="11">
        <f>IF(S1015&lt;='Methodology &amp; Assumptions'!$B$10, "Direct Optical Drop (&lt;3km)", IF(S1015&lt;='Methodology &amp; Assumptions'!$B$9, "Near Optical / Microwave (&lt;5km)", "Starlink Business LEO Satellite Backhaul (&gt;5km)"))</f>
        <v/>
      </c>
      <c r="V1015" s="26" t="n">
        <v>67.48</v>
      </c>
      <c r="W1015" s="26" t="n">
        <v>49.75</v>
      </c>
      <c r="X1015" s="26">
        <f>ROUND(('Methodology &amp; Assumptions'!$B$5*V1015) + ('Methodology &amp; Assumptions'!$B$6*W1015), 2)</f>
        <v/>
      </c>
      <c r="Y1015" s="28" t="n">
        <v>8.300000000000001</v>
      </c>
      <c r="Z1015" s="11" t="inlineStr">
        <is>
          <t>Priority Tier 3 (Broadband Expansion)</t>
        </is>
      </c>
    </row>
    <row r="1016">
      <c r="A1016" s="23" t="n">
        <v>5</v>
      </c>
      <c r="B1016" s="23" t="n">
        <v>12</v>
      </c>
      <c r="C1016" s="23" t="n">
        <v>4012</v>
      </c>
      <c r="D1016" s="23" t="inlineStr">
        <is>
          <t>1606812006</t>
        </is>
      </c>
      <c r="E1016" s="11" t="inlineStr">
        <is>
          <t>Region XIII (Caraga)</t>
        </is>
      </c>
      <c r="F1016" s="11" t="inlineStr">
        <is>
          <t>Surigao del Sur</t>
        </is>
      </c>
      <c r="G1016" s="11" t="inlineStr">
        <is>
          <t>Lingig</t>
        </is>
      </c>
      <c r="H1016" s="11" t="inlineStr">
        <is>
          <t>Mahayahay</t>
        </is>
      </c>
      <c r="I1016" s="24" t="n">
        <v>8.107950000000001</v>
      </c>
      <c r="J1016" s="24" t="n">
        <v>126.401</v>
      </c>
      <c r="K1016" s="23" t="inlineStr">
        <is>
          <t>R</t>
        </is>
      </c>
      <c r="L1016" s="25" t="n">
        <v>2595</v>
      </c>
      <c r="M1016" s="26" t="n">
        <v>4.1</v>
      </c>
      <c r="N1016" s="25">
        <f>ROUND(L1016/M1016, 0)</f>
        <v/>
      </c>
      <c r="O1016" s="25">
        <f>ROUND(N1016*'Methodology &amp; Assumptions'!$B$7, 0)</f>
        <v/>
      </c>
      <c r="P1016" s="23" t="inlineStr">
        <is>
          <t>Single Carrier (Band n50, 100MHz TDD)</t>
        </is>
      </c>
      <c r="Q1016" s="27">
        <f>ROUNDUP(O1016/'Methodology &amp; Assumptions'!$B$8, 0)</f>
        <v/>
      </c>
      <c r="R1016" s="27" t="n">
        <v>1</v>
      </c>
      <c r="S1016" s="26" t="n">
        <v>37.86</v>
      </c>
      <c r="T1016" s="26" t="n">
        <v>37.32</v>
      </c>
      <c r="U1016" s="11">
        <f>IF(S1016&lt;='Methodology &amp; Assumptions'!$B$10, "Direct Optical Drop (&lt;3km)", IF(S1016&lt;='Methodology &amp; Assumptions'!$B$9, "Near Optical / Microwave (&lt;5km)", "Starlink Business LEO Satellite Backhaul (&gt;5km)"))</f>
        <v/>
      </c>
      <c r="V1016" s="26" t="n">
        <v>55.01</v>
      </c>
      <c r="W1016" s="26" t="n">
        <v>62.21</v>
      </c>
      <c r="X1016" s="26">
        <f>ROUND(('Methodology &amp; Assumptions'!$B$5*V1016) + ('Methodology &amp; Assumptions'!$B$6*W1016), 2)</f>
        <v/>
      </c>
      <c r="Y1016" s="28" t="n">
        <v>17.4</v>
      </c>
      <c r="Z1016" s="11" t="inlineStr">
        <is>
          <t>Priority Tier 3 (Broadband Expansion)</t>
        </is>
      </c>
    </row>
    <row r="1017">
      <c r="A1017" s="23" t="n">
        <v>5</v>
      </c>
      <c r="B1017" s="23" t="n">
        <v>13</v>
      </c>
      <c r="C1017" s="23" t="n">
        <v>4013</v>
      </c>
      <c r="D1017" s="23" t="inlineStr">
        <is>
          <t>0307702005</t>
        </is>
      </c>
      <c r="E1017" s="11" t="inlineStr">
        <is>
          <t>Region III (Central Luzon)</t>
        </is>
      </c>
      <c r="F1017" s="11" t="inlineStr">
        <is>
          <t>Aurora</t>
        </is>
      </c>
      <c r="G1017" s="11" t="inlineStr">
        <is>
          <t>Casiguran</t>
        </is>
      </c>
      <c r="H1017" s="11" t="inlineStr">
        <is>
          <t>Barangay 5</t>
        </is>
      </c>
      <c r="I1017" s="24" t="n">
        <v>16.227793</v>
      </c>
      <c r="J1017" s="24" t="n">
        <v>122.06332</v>
      </c>
      <c r="K1017" s="23" t="inlineStr">
        <is>
          <t>R</t>
        </is>
      </c>
      <c r="L1017" s="25" t="n">
        <v>324</v>
      </c>
      <c r="M1017" s="26" t="n">
        <v>3.8</v>
      </c>
      <c r="N1017" s="25">
        <f>ROUND(L1017/M1017, 0)</f>
        <v/>
      </c>
      <c r="O1017" s="25">
        <f>ROUND(N1017*'Methodology &amp; Assumptions'!$B$7, 0)</f>
        <v/>
      </c>
      <c r="P1017" s="23" t="inlineStr">
        <is>
          <t>Single Carrier (Band n50, 100MHz TDD)</t>
        </is>
      </c>
      <c r="Q1017" s="27">
        <f>ROUNDUP(O1017/'Methodology &amp; Assumptions'!$B$8, 0)</f>
        <v/>
      </c>
      <c r="R1017" s="27" t="n">
        <v>1</v>
      </c>
      <c r="S1017" s="26" t="n">
        <v>3.26</v>
      </c>
      <c r="T1017" s="26" t="n">
        <v>0.13</v>
      </c>
      <c r="U1017" s="11">
        <f>IF(S1017&lt;='Methodology &amp; Assumptions'!$B$10, "Direct Optical Drop (&lt;3km)", IF(S1017&lt;='Methodology &amp; Assumptions'!$B$9, "Near Optical / Microwave (&lt;5km)", "Starlink Business LEO Satellite Backhaul (&gt;5km)"))</f>
        <v/>
      </c>
      <c r="V1017" s="26" t="n">
        <v>53.8</v>
      </c>
      <c r="W1017" s="26" t="n">
        <v>63.42</v>
      </c>
      <c r="X1017" s="26">
        <f>ROUND(('Methodology &amp; Assumptions'!$B$5*V1017) + ('Methodology &amp; Assumptions'!$B$6*W1017), 2)</f>
        <v/>
      </c>
      <c r="Y1017" s="28" t="n">
        <v>8.300000000000001</v>
      </c>
      <c r="Z1017" s="11" t="inlineStr">
        <is>
          <t>Priority Tier 3 (Broadband Expansion)</t>
        </is>
      </c>
    </row>
    <row r="1018">
      <c r="A1018" s="23" t="n">
        <v>5</v>
      </c>
      <c r="B1018" s="23" t="n">
        <v>14</v>
      </c>
      <c r="C1018" s="23" t="n">
        <v>4014</v>
      </c>
      <c r="D1018" s="23" t="inlineStr">
        <is>
          <t>1381100105</t>
        </is>
      </c>
      <c r="E1018" s="11" t="inlineStr">
        <is>
          <t>National Capital Region (NCR)</t>
        </is>
      </c>
      <c r="F1018" s="11" t="inlineStr">
        <is>
          <t>Fourth District (Not a Province)</t>
        </is>
      </c>
      <c r="G1018" s="11" t="inlineStr">
        <is>
          <t>Pasay City</t>
        </is>
      </c>
      <c r="H1018" s="11" t="inlineStr">
        <is>
          <t>Barangay 105</t>
        </is>
      </c>
      <c r="I1018" s="24" t="n">
        <v>14.545765</v>
      </c>
      <c r="J1018" s="24" t="n">
        <v>121.001742</v>
      </c>
      <c r="K1018" s="23" t="inlineStr">
        <is>
          <t>U</t>
        </is>
      </c>
      <c r="L1018" s="25" t="n">
        <v>574</v>
      </c>
      <c r="M1018" s="26" t="n">
        <v>3.05</v>
      </c>
      <c r="N1018" s="25">
        <f>ROUND(L1018/M1018, 0)</f>
        <v/>
      </c>
      <c r="O1018" s="25">
        <f>ROUND(N1018*'Methodology &amp; Assumptions'!$B$7, 0)</f>
        <v/>
      </c>
      <c r="P1018" s="23" t="inlineStr">
        <is>
          <t>Single Carrier (Band n50, 100MHz TDD)</t>
        </is>
      </c>
      <c r="Q1018" s="27">
        <f>ROUNDUP(O1018/'Methodology &amp; Assumptions'!$B$8, 0)</f>
        <v/>
      </c>
      <c r="R1018" s="27" t="n">
        <v>1</v>
      </c>
      <c r="S1018" s="26" t="n">
        <v>0.8</v>
      </c>
      <c r="T1018" s="26" t="n">
        <v>0.33</v>
      </c>
      <c r="U1018" s="11">
        <f>IF(S1018&lt;='Methodology &amp; Assumptions'!$B$10, "Direct Optical Drop (&lt;3km)", IF(S1018&lt;='Methodology &amp; Assumptions'!$B$9, "Near Optical / Microwave (&lt;5km)", "Starlink Business LEO Satellite Backhaul (&gt;5km)"))</f>
        <v/>
      </c>
      <c r="V1018" s="26" t="n">
        <v>47.09</v>
      </c>
      <c r="W1018" s="26" t="n">
        <v>70.13</v>
      </c>
      <c r="X1018" s="26">
        <f>ROUND(('Methodology &amp; Assumptions'!$B$5*V1018) + ('Methodology &amp; Assumptions'!$B$6*W1018), 2)</f>
        <v/>
      </c>
      <c r="Y1018" s="28" t="n">
        <v>10.9</v>
      </c>
      <c r="Z1018" s="11" t="inlineStr">
        <is>
          <t>Priority Tier 3 (Broadband Expansion)</t>
        </is>
      </c>
    </row>
    <row r="1019">
      <c r="A1019" s="23" t="n">
        <v>5</v>
      </c>
      <c r="B1019" s="23" t="n">
        <v>15</v>
      </c>
      <c r="C1019" s="23" t="n">
        <v>4015</v>
      </c>
      <c r="D1019" s="23" t="inlineStr">
        <is>
          <t>1381100011</t>
        </is>
      </c>
      <c r="E1019" s="11" t="inlineStr">
        <is>
          <t>National Capital Region (NCR)</t>
        </is>
      </c>
      <c r="F1019" s="11" t="inlineStr">
        <is>
          <t>Fourth District (Not a Province)</t>
        </is>
      </c>
      <c r="G1019" s="11" t="inlineStr">
        <is>
          <t>Pasay City</t>
        </is>
      </c>
      <c r="H1019" s="11" t="inlineStr">
        <is>
          <t>Barangay 11</t>
        </is>
      </c>
      <c r="I1019" s="24" t="n">
        <v>14.551375</v>
      </c>
      <c r="J1019" s="24" t="n">
        <v>120.991203</v>
      </c>
      <c r="K1019" s="23" t="inlineStr">
        <is>
          <t>U</t>
        </is>
      </c>
      <c r="L1019" s="25" t="n">
        <v>444</v>
      </c>
      <c r="M1019" s="26" t="n">
        <v>3.22</v>
      </c>
      <c r="N1019" s="25">
        <f>ROUND(L1019/M1019, 0)</f>
        <v/>
      </c>
      <c r="O1019" s="25">
        <f>ROUND(N1019*'Methodology &amp; Assumptions'!$B$7, 0)</f>
        <v/>
      </c>
      <c r="P1019" s="23" t="inlineStr">
        <is>
          <t>Single Carrier (Band n50, 100MHz TDD)</t>
        </is>
      </c>
      <c r="Q1019" s="27">
        <f>ROUNDUP(O1019/'Methodology &amp; Assumptions'!$B$8, 0)</f>
        <v/>
      </c>
      <c r="R1019" s="27" t="n">
        <v>1</v>
      </c>
      <c r="S1019" s="26" t="n">
        <v>0.22</v>
      </c>
      <c r="T1019" s="26" t="n">
        <v>0.2</v>
      </c>
      <c r="U1019" s="11">
        <f>IF(S1019&lt;='Methodology &amp; Assumptions'!$B$10, "Direct Optical Drop (&lt;3km)", IF(S1019&lt;='Methodology &amp; Assumptions'!$B$9, "Near Optical / Microwave (&lt;5km)", "Starlink Business LEO Satellite Backhaul (&gt;5km)"))</f>
        <v/>
      </c>
      <c r="V1019" s="26" t="n">
        <v>45.48</v>
      </c>
      <c r="W1019" s="26" t="n">
        <v>71.73</v>
      </c>
      <c r="X1019" s="26">
        <f>ROUND(('Methodology &amp; Assumptions'!$B$5*V1019) + ('Methodology &amp; Assumptions'!$B$6*W1019), 2)</f>
        <v/>
      </c>
      <c r="Y1019" s="28" t="n">
        <v>10.9</v>
      </c>
      <c r="Z1019" s="11" t="inlineStr">
        <is>
          <t>Priority Tier 3 (Broadband Expansion)</t>
        </is>
      </c>
    </row>
    <row r="1020">
      <c r="A1020" s="23" t="n">
        <v>5</v>
      </c>
      <c r="B1020" s="23" t="n">
        <v>16</v>
      </c>
      <c r="C1020" s="23" t="n">
        <v>4016</v>
      </c>
      <c r="D1020" s="23" t="inlineStr">
        <is>
          <t>0506203019</t>
        </is>
      </c>
      <c r="E1020" s="11" t="inlineStr">
        <is>
          <t>Region V (Bicol Region)</t>
        </is>
      </c>
      <c r="F1020" s="11" t="inlineStr">
        <is>
          <t>Sorsogon</t>
        </is>
      </c>
      <c r="G1020" s="11" t="inlineStr">
        <is>
          <t>Bulan</t>
        </is>
      </c>
      <c r="H1020" s="11" t="inlineStr">
        <is>
          <t>Daganas</t>
        </is>
      </c>
      <c r="I1020" s="24" t="n">
        <v>12.700074</v>
      </c>
      <c r="J1020" s="24" t="n">
        <v>123.949353</v>
      </c>
      <c r="K1020" s="23" t="inlineStr">
        <is>
          <t>R</t>
        </is>
      </c>
      <c r="L1020" s="25" t="n">
        <v>431</v>
      </c>
      <c r="M1020" s="26" t="n">
        <v>4</v>
      </c>
      <c r="N1020" s="25">
        <f>ROUND(L1020/M1020, 0)</f>
        <v/>
      </c>
      <c r="O1020" s="25">
        <f>ROUND(N1020*'Methodology &amp; Assumptions'!$B$7, 0)</f>
        <v/>
      </c>
      <c r="P1020" s="23" t="inlineStr">
        <is>
          <t>Single Carrier (Band n50, 100MHz TDD)</t>
        </is>
      </c>
      <c r="Q1020" s="27">
        <f>ROUNDUP(O1020/'Methodology &amp; Assumptions'!$B$8, 0)</f>
        <v/>
      </c>
      <c r="R1020" s="27" t="n">
        <v>1</v>
      </c>
      <c r="S1020" s="26" t="n">
        <v>8.960000000000001</v>
      </c>
      <c r="T1020" s="26" t="n">
        <v>4.32</v>
      </c>
      <c r="U1020" s="11">
        <f>IF(S1020&lt;='Methodology &amp; Assumptions'!$B$10, "Direct Optical Drop (&lt;3km)", IF(S1020&lt;='Methodology &amp; Assumptions'!$B$9, "Near Optical / Microwave (&lt;5km)", "Starlink Business LEO Satellite Backhaul (&gt;5km)"))</f>
        <v/>
      </c>
      <c r="V1020" s="26" t="n">
        <v>44.95</v>
      </c>
      <c r="W1020" s="26" t="n">
        <v>72.26000000000001</v>
      </c>
      <c r="X1020" s="26">
        <f>ROUND(('Methodology &amp; Assumptions'!$B$5*V1020) + ('Methodology &amp; Assumptions'!$B$6*W1020), 2)</f>
        <v/>
      </c>
      <c r="Y1020" s="28" t="n">
        <v>23.7</v>
      </c>
      <c r="Z1020" s="11" t="inlineStr">
        <is>
          <t>Priority Tier 3 (Broadband Expansion)</t>
        </is>
      </c>
    </row>
    <row r="1021">
      <c r="A1021" s="23" t="n">
        <v>5</v>
      </c>
      <c r="B1021" s="23" t="n">
        <v>17</v>
      </c>
      <c r="C1021" s="23" t="n">
        <v>4017</v>
      </c>
      <c r="D1021" s="23" t="inlineStr">
        <is>
          <t>0403415021</t>
        </is>
      </c>
      <c r="E1021" s="11" t="inlineStr">
        <is>
          <t>Region IV-A (CALABARZON)</t>
        </is>
      </c>
      <c r="F1021" s="11" t="inlineStr">
        <is>
          <t>Laguna</t>
        </is>
      </c>
      <c r="G1021" s="11" t="inlineStr">
        <is>
          <t>Magdalena</t>
        </is>
      </c>
      <c r="H1021" s="11" t="inlineStr">
        <is>
          <t>Salasad</t>
        </is>
      </c>
      <c r="I1021" s="24" t="n">
        <v>14.217062</v>
      </c>
      <c r="J1021" s="24" t="n">
        <v>121.430402</v>
      </c>
      <c r="K1021" s="23" t="inlineStr">
        <is>
          <t>R</t>
        </is>
      </c>
      <c r="L1021" s="25" t="n">
        <v>3340</v>
      </c>
      <c r="M1021" s="26" t="n">
        <v>3.3</v>
      </c>
      <c r="N1021" s="25">
        <f>ROUND(L1021/M1021, 0)</f>
        <v/>
      </c>
      <c r="O1021" s="25">
        <f>ROUND(N1021*'Methodology &amp; Assumptions'!$B$7, 0)</f>
        <v/>
      </c>
      <c r="P1021" s="23" t="inlineStr">
        <is>
          <t>Single Carrier (Band n50, 100MHz TDD)</t>
        </is>
      </c>
      <c r="Q1021" s="27">
        <f>ROUNDUP(O1021/'Methodology &amp; Assumptions'!$B$8, 0)</f>
        <v/>
      </c>
      <c r="R1021" s="27" t="n">
        <v>1</v>
      </c>
      <c r="S1021" s="26" t="n">
        <v>2.06</v>
      </c>
      <c r="T1021" s="26" t="n">
        <v>0.36</v>
      </c>
      <c r="U1021" s="11">
        <f>IF(S1021&lt;='Methodology &amp; Assumptions'!$B$10, "Direct Optical Drop (&lt;3km)", IF(S1021&lt;='Methodology &amp; Assumptions'!$B$9, "Near Optical / Microwave (&lt;5km)", "Starlink Business LEO Satellite Backhaul (&gt;5km)"))</f>
        <v/>
      </c>
      <c r="V1021" s="26" t="n">
        <v>81.01000000000001</v>
      </c>
      <c r="W1021" s="26" t="n">
        <v>36.18</v>
      </c>
      <c r="X1021" s="26">
        <f>ROUND(('Methodology &amp; Assumptions'!$B$5*V1021) + ('Methodology &amp; Assumptions'!$B$6*W1021), 2)</f>
        <v/>
      </c>
      <c r="Y1021" s="28" t="n">
        <v>7.2</v>
      </c>
      <c r="Z1021" s="11" t="inlineStr">
        <is>
          <t>Priority Tier 3 (Broadband Expansion)</t>
        </is>
      </c>
    </row>
    <row r="1022">
      <c r="A1022" s="23" t="n">
        <v>5</v>
      </c>
      <c r="B1022" s="23" t="n">
        <v>18</v>
      </c>
      <c r="C1022" s="23" t="n">
        <v>4018</v>
      </c>
      <c r="D1022" s="23" t="inlineStr">
        <is>
          <t>0306903018</t>
        </is>
      </c>
      <c r="E1022" s="11" t="inlineStr">
        <is>
          <t>Region III (Central Luzon)</t>
        </is>
      </c>
      <c r="F1022" s="11" t="inlineStr">
        <is>
          <t>Tarlac</t>
        </is>
      </c>
      <c r="G1022" s="11" t="inlineStr">
        <is>
          <t>Camiling</t>
        </is>
      </c>
      <c r="H1022" s="11" t="inlineStr">
        <is>
          <t>Cacamilingan Sur</t>
        </is>
      </c>
      <c r="I1022" s="24" t="n">
        <v>15.686111</v>
      </c>
      <c r="J1022" s="24" t="n">
        <v>120.421111</v>
      </c>
      <c r="K1022" s="23" t="inlineStr">
        <is>
          <t>R</t>
        </is>
      </c>
      <c r="L1022" s="25" t="n">
        <v>2373</v>
      </c>
      <c r="M1022" s="26" t="n">
        <v>3.9</v>
      </c>
      <c r="N1022" s="25">
        <f>ROUND(L1022/M1022, 0)</f>
        <v/>
      </c>
      <c r="O1022" s="25">
        <f>ROUND(N1022*'Methodology &amp; Assumptions'!$B$7, 0)</f>
        <v/>
      </c>
      <c r="P1022" s="23" t="inlineStr">
        <is>
          <t>Single Carrier (Band n50, 100MHz TDD)</t>
        </is>
      </c>
      <c r="Q1022" s="27">
        <f>ROUNDUP(O1022/'Methodology &amp; Assumptions'!$B$8, 0)</f>
        <v/>
      </c>
      <c r="R1022" s="27" t="n">
        <v>1</v>
      </c>
      <c r="S1022" s="26" t="n">
        <v>0.72</v>
      </c>
      <c r="T1022" s="26" t="n">
        <v>0.3</v>
      </c>
      <c r="U1022" s="11">
        <f>IF(S1022&lt;='Methodology &amp; Assumptions'!$B$10, "Direct Optical Drop (&lt;3km)", IF(S1022&lt;='Methodology &amp; Assumptions'!$B$9, "Near Optical / Microwave (&lt;5km)", "Starlink Business LEO Satellite Backhaul (&gt;5km)"))</f>
        <v/>
      </c>
      <c r="V1022" s="26" t="n">
        <v>78.73999999999999</v>
      </c>
      <c r="W1022" s="26" t="n">
        <v>38.47</v>
      </c>
      <c r="X1022" s="26">
        <f>ROUND(('Methodology &amp; Assumptions'!$B$5*V1022) + ('Methodology &amp; Assumptions'!$B$6*W1022), 2)</f>
        <v/>
      </c>
      <c r="Y1022" s="28" t="n">
        <v>8.300000000000001</v>
      </c>
      <c r="Z1022" s="11" t="inlineStr">
        <is>
          <t>Priority Tier 3 (Broadband Expansion)</t>
        </is>
      </c>
    </row>
    <row r="1023">
      <c r="A1023" s="23" t="n">
        <v>5</v>
      </c>
      <c r="B1023" s="23" t="n">
        <v>19</v>
      </c>
      <c r="C1023" s="23" t="n">
        <v>4019</v>
      </c>
      <c r="D1023" s="23" t="inlineStr">
        <is>
          <t>0405812005</t>
        </is>
      </c>
      <c r="E1023" s="11" t="inlineStr">
        <is>
          <t>Region IV-A (CALABARZON)</t>
        </is>
      </c>
      <c r="F1023" s="11" t="inlineStr">
        <is>
          <t>Rizal</t>
        </is>
      </c>
      <c r="G1023" s="11" t="inlineStr">
        <is>
          <t>Tanay</t>
        </is>
      </c>
      <c r="H1023" s="11" t="inlineStr">
        <is>
          <t>Kaybuto</t>
        </is>
      </c>
      <c r="I1023" s="24" t="n">
        <v>14.49829</v>
      </c>
      <c r="J1023" s="24" t="n">
        <v>121.28174</v>
      </c>
      <c r="K1023" s="23" t="inlineStr">
        <is>
          <t>U</t>
        </is>
      </c>
      <c r="L1023" s="25" t="n">
        <v>8757</v>
      </c>
      <c r="M1023" s="26" t="n">
        <v>3.6</v>
      </c>
      <c r="N1023" s="25">
        <f>ROUND(L1023/M1023, 0)</f>
        <v/>
      </c>
      <c r="O1023" s="25">
        <f>ROUND(N1023*'Methodology &amp; Assumptions'!$B$7, 0)</f>
        <v/>
      </c>
      <c r="P1023" s="23" t="inlineStr">
        <is>
          <t>Single Carrier (Band n50, 100MHz TDD)</t>
        </is>
      </c>
      <c r="Q1023" s="27">
        <f>ROUNDUP(O1023/'Methodology &amp; Assumptions'!$B$8, 0)</f>
        <v/>
      </c>
      <c r="R1023" s="27" t="n">
        <v>1</v>
      </c>
      <c r="S1023" s="26" t="n">
        <v>0.3</v>
      </c>
      <c r="T1023" s="26" t="n">
        <v>0.3</v>
      </c>
      <c r="U1023" s="11">
        <f>IF(S1023&lt;='Methodology &amp; Assumptions'!$B$10, "Direct Optical Drop (&lt;3km)", IF(S1023&lt;='Methodology &amp; Assumptions'!$B$9, "Near Optical / Microwave (&lt;5km)", "Starlink Business LEO Satellite Backhaul (&gt;5km)"))</f>
        <v/>
      </c>
      <c r="V1023" s="26" t="n">
        <v>78.26000000000001</v>
      </c>
      <c r="W1023" s="26" t="n">
        <v>38.94</v>
      </c>
      <c r="X1023" s="26">
        <f>ROUND(('Methodology &amp; Assumptions'!$B$5*V1023) + ('Methodology &amp; Assumptions'!$B$6*W1023), 2)</f>
        <v/>
      </c>
      <c r="Y1023" s="28" t="n">
        <v>7.2</v>
      </c>
      <c r="Z1023" s="11" t="inlineStr">
        <is>
          <t>Priority Tier 3 (Broadband Expansion)</t>
        </is>
      </c>
    </row>
    <row r="1024">
      <c r="A1024" s="23" t="n">
        <v>5</v>
      </c>
      <c r="B1024" s="23" t="n">
        <v>20</v>
      </c>
      <c r="C1024" s="23" t="n">
        <v>4020</v>
      </c>
      <c r="D1024" s="23" t="inlineStr">
        <is>
          <t>0300809020</t>
        </is>
      </c>
      <c r="E1024" s="11" t="inlineStr">
        <is>
          <t>Region III (Central Luzon)</t>
        </is>
      </c>
      <c r="F1024" s="11" t="inlineStr">
        <is>
          <t>Bataan</t>
        </is>
      </c>
      <c r="G1024" s="11" t="inlineStr">
        <is>
          <t>Orani</t>
        </is>
      </c>
      <c r="H1024" s="11" t="inlineStr">
        <is>
          <t>Talimundoc</t>
        </is>
      </c>
      <c r="I1024" s="24" t="n">
        <v>14.817856</v>
      </c>
      <c r="J1024" s="24" t="n">
        <v>120.516528</v>
      </c>
      <c r="K1024" s="23" t="inlineStr">
        <is>
          <t>R</t>
        </is>
      </c>
      <c r="L1024" s="25" t="n">
        <v>2623</v>
      </c>
      <c r="M1024" s="26" t="n">
        <v>3.6</v>
      </c>
      <c r="N1024" s="25">
        <f>ROUND(L1024/M1024, 0)</f>
        <v/>
      </c>
      <c r="O1024" s="25">
        <f>ROUND(N1024*'Methodology &amp; Assumptions'!$B$7, 0)</f>
        <v/>
      </c>
      <c r="P1024" s="23" t="inlineStr">
        <is>
          <t>Single Carrier (Band n50, 100MHz TDD)</t>
        </is>
      </c>
      <c r="Q1024" s="27">
        <f>ROUNDUP(O1024/'Methodology &amp; Assumptions'!$B$8, 0)</f>
        <v/>
      </c>
      <c r="R1024" s="27" t="n">
        <v>1</v>
      </c>
      <c r="S1024" s="26" t="n">
        <v>2.76</v>
      </c>
      <c r="T1024" s="26" t="n">
        <v>0.1</v>
      </c>
      <c r="U1024" s="11">
        <f>IF(S1024&lt;='Methodology &amp; Assumptions'!$B$10, "Direct Optical Drop (&lt;3km)", IF(S1024&lt;='Methodology &amp; Assumptions'!$B$9, "Near Optical / Microwave (&lt;5km)", "Starlink Business LEO Satellite Backhaul (&gt;5km)"))</f>
        <v/>
      </c>
      <c r="V1024" s="26" t="n">
        <v>76.04000000000001</v>
      </c>
      <c r="W1024" s="26" t="n">
        <v>41.17</v>
      </c>
      <c r="X1024" s="26">
        <f>ROUND(('Methodology &amp; Assumptions'!$B$5*V1024) + ('Methodology &amp; Assumptions'!$B$6*W1024), 2)</f>
        <v/>
      </c>
      <c r="Y1024" s="28" t="n">
        <v>8.300000000000001</v>
      </c>
      <c r="Z1024" s="11" t="inlineStr">
        <is>
          <t>Priority Tier 3 (Broadband Expansion)</t>
        </is>
      </c>
    </row>
    <row r="1025">
      <c r="A1025" s="23" t="n">
        <v>5</v>
      </c>
      <c r="B1025" s="23" t="n">
        <v>21</v>
      </c>
      <c r="C1025" s="23" t="n">
        <v>4021</v>
      </c>
      <c r="D1025" s="23" t="inlineStr">
        <is>
          <t>1380606135</t>
        </is>
      </c>
      <c r="E1025" s="11" t="inlineStr">
        <is>
          <t>National Capital Region (NCR)</t>
        </is>
      </c>
      <c r="F1025" s="11" t="inlineStr">
        <is>
          <t>First District (Not a Province)</t>
        </is>
      </c>
      <c r="G1025" s="11" t="inlineStr">
        <is>
          <t>City of Manila</t>
        </is>
      </c>
      <c r="H1025" s="11" t="inlineStr">
        <is>
          <t>Barangay 529</t>
        </is>
      </c>
      <c r="I1025" s="24" t="n">
        <v>14.614541</v>
      </c>
      <c r="J1025" s="24" t="n">
        <v>121.001496</v>
      </c>
      <c r="K1025" s="23" t="inlineStr">
        <is>
          <t>U</t>
        </is>
      </c>
      <c r="L1025" s="25" t="n">
        <v>944</v>
      </c>
      <c r="M1025" s="26" t="n">
        <v>4.12</v>
      </c>
      <c r="N1025" s="25">
        <f>ROUND(L1025/M1025, 0)</f>
        <v/>
      </c>
      <c r="O1025" s="25">
        <f>ROUND(N1025*'Methodology &amp; Assumptions'!$B$7, 0)</f>
        <v/>
      </c>
      <c r="P1025" s="23" t="inlineStr">
        <is>
          <t>Single Carrier (Band n50, 100MHz TDD)</t>
        </is>
      </c>
      <c r="Q1025" s="27">
        <f>ROUNDUP(O1025/'Methodology &amp; Assumptions'!$B$8, 0)</f>
        <v/>
      </c>
      <c r="R1025" s="27" t="n">
        <v>1</v>
      </c>
      <c r="S1025" s="26" t="n">
        <v>0.47</v>
      </c>
      <c r="T1025" s="26" t="n">
        <v>0.36</v>
      </c>
      <c r="U1025" s="11">
        <f>IF(S1025&lt;='Methodology &amp; Assumptions'!$B$10, "Direct Optical Drop (&lt;3km)", IF(S1025&lt;='Methodology &amp; Assumptions'!$B$9, "Near Optical / Microwave (&lt;5km)", "Starlink Business LEO Satellite Backhaul (&gt;5km)"))</f>
        <v/>
      </c>
      <c r="V1025" s="26" t="n">
        <v>48.48</v>
      </c>
      <c r="W1025" s="26" t="n">
        <v>68.72</v>
      </c>
      <c r="X1025" s="26">
        <f>ROUND(('Methodology &amp; Assumptions'!$B$5*V1025) + ('Methodology &amp; Assumptions'!$B$6*W1025), 2)</f>
        <v/>
      </c>
      <c r="Y1025" s="28" t="n">
        <v>10.9</v>
      </c>
      <c r="Z1025" s="11" t="inlineStr">
        <is>
          <t>Priority Tier 3 (Broadband Expansion)</t>
        </is>
      </c>
    </row>
    <row r="1026">
      <c r="A1026" s="23" t="n">
        <v>5</v>
      </c>
      <c r="B1026" s="23" t="n">
        <v>22</v>
      </c>
      <c r="C1026" s="23" t="n">
        <v>4022</v>
      </c>
      <c r="D1026" s="23" t="inlineStr">
        <is>
          <t>0600410022</t>
        </is>
      </c>
      <c r="E1026" s="11" t="inlineStr">
        <is>
          <t>Region VI (Western Visayas)</t>
        </is>
      </c>
      <c r="F1026" s="11" t="inlineStr">
        <is>
          <t>Aklan</t>
        </is>
      </c>
      <c r="G1026" s="11" t="inlineStr">
        <is>
          <t>Madalag</t>
        </is>
      </c>
      <c r="H1026" s="11" t="inlineStr">
        <is>
          <t>Singay</t>
        </is>
      </c>
      <c r="I1026" s="24" t="n">
        <v>11.459248</v>
      </c>
      <c r="J1026" s="24" t="n">
        <v>122.202258</v>
      </c>
      <c r="K1026" s="23" t="inlineStr">
        <is>
          <t>R</t>
        </is>
      </c>
      <c r="L1026" s="25" t="n">
        <v>336</v>
      </c>
      <c r="M1026" s="26" t="n">
        <v>3.9</v>
      </c>
      <c r="N1026" s="25">
        <f>ROUND(L1026/M1026, 0)</f>
        <v/>
      </c>
      <c r="O1026" s="25">
        <f>ROUND(N1026*'Methodology &amp; Assumptions'!$B$7, 0)</f>
        <v/>
      </c>
      <c r="P1026" s="23" t="inlineStr">
        <is>
          <t>Single Carrier (Band n50, 100MHz TDD)</t>
        </is>
      </c>
      <c r="Q1026" s="27">
        <f>ROUNDUP(O1026/'Methodology &amp; Assumptions'!$B$8, 0)</f>
        <v/>
      </c>
      <c r="R1026" s="27" t="n">
        <v>1</v>
      </c>
      <c r="S1026" s="26" t="n">
        <v>20.91</v>
      </c>
      <c r="T1026" s="26" t="n">
        <v>21.19</v>
      </c>
      <c r="U1026" s="11">
        <f>IF(S1026&lt;='Methodology &amp; Assumptions'!$B$10, "Direct Optical Drop (&lt;3km)", IF(S1026&lt;='Methodology &amp; Assumptions'!$B$9, "Near Optical / Microwave (&lt;5km)", "Starlink Business LEO Satellite Backhaul (&gt;5km)"))</f>
        <v/>
      </c>
      <c r="V1026" s="26" t="n">
        <v>38.84</v>
      </c>
      <c r="W1026" s="26" t="n">
        <v>78.34999999999999</v>
      </c>
      <c r="X1026" s="26">
        <f>ROUND(('Methodology &amp; Assumptions'!$B$5*V1026) + ('Methodology &amp; Assumptions'!$B$6*W1026), 2)</f>
        <v/>
      </c>
      <c r="Y1026" s="28" t="n">
        <v>23.7</v>
      </c>
      <c r="Z1026" s="11" t="inlineStr">
        <is>
          <t>Priority Tier 3 (Broadband Expansion)</t>
        </is>
      </c>
    </row>
    <row r="1027">
      <c r="A1027" s="23" t="n">
        <v>5</v>
      </c>
      <c r="B1027" s="23" t="n">
        <v>23</v>
      </c>
      <c r="C1027" s="23" t="n">
        <v>4023</v>
      </c>
      <c r="D1027" s="23" t="inlineStr">
        <is>
          <t>0604531015</t>
        </is>
      </c>
      <c r="E1027" s="11" t="inlineStr">
        <is>
          <t>Region VI (Western Visayas)</t>
        </is>
      </c>
      <c r="F1027" s="11" t="inlineStr">
        <is>
          <t>Negros Occidental</t>
        </is>
      </c>
      <c r="G1027" s="11" t="inlineStr">
        <is>
          <t>City of Victorias</t>
        </is>
      </c>
      <c r="H1027" s="11" t="inlineStr">
        <is>
          <t>Barangay XII</t>
        </is>
      </c>
      <c r="I1027" s="24" t="n">
        <v>10.887748</v>
      </c>
      <c r="J1027" s="24" t="n">
        <v>123.076226</v>
      </c>
      <c r="K1027" s="23" t="inlineStr">
        <is>
          <t>R</t>
        </is>
      </c>
      <c r="L1027" s="25" t="n">
        <v>4320</v>
      </c>
      <c r="M1027" s="26" t="n">
        <v>3.7</v>
      </c>
      <c r="N1027" s="25">
        <f>ROUND(L1027/M1027, 0)</f>
        <v/>
      </c>
      <c r="O1027" s="25">
        <f>ROUND(N1027*'Methodology &amp; Assumptions'!$B$7, 0)</f>
        <v/>
      </c>
      <c r="P1027" s="23" t="inlineStr">
        <is>
          <t>Single Carrier (Band n50, 100MHz TDD)</t>
        </is>
      </c>
      <c r="Q1027" s="27">
        <f>ROUNDUP(O1027/'Methodology &amp; Assumptions'!$B$8, 0)</f>
        <v/>
      </c>
      <c r="R1027" s="27" t="n">
        <v>1</v>
      </c>
      <c r="S1027" s="26" t="n">
        <v>1.58</v>
      </c>
      <c r="T1027" s="26" t="n">
        <v>1.34</v>
      </c>
      <c r="U1027" s="11">
        <f>IF(S1027&lt;='Methodology &amp; Assumptions'!$B$10, "Direct Optical Drop (&lt;3km)", IF(S1027&lt;='Methodology &amp; Assumptions'!$B$9, "Near Optical / Microwave (&lt;5km)", "Starlink Business LEO Satellite Backhaul (&gt;5km)"))</f>
        <v/>
      </c>
      <c r="V1027" s="26" t="n">
        <v>85.3</v>
      </c>
      <c r="W1027" s="26" t="n">
        <v>31.88</v>
      </c>
      <c r="X1027" s="26">
        <f>ROUND(('Methodology &amp; Assumptions'!$B$5*V1027) + ('Methodology &amp; Assumptions'!$B$6*W1027), 2)</f>
        <v/>
      </c>
      <c r="Y1027" s="28" t="n">
        <v>23.7</v>
      </c>
      <c r="Z1027" s="11" t="inlineStr">
        <is>
          <t>Priority Tier 3 (Broadband Expansion)</t>
        </is>
      </c>
    </row>
    <row r="1028">
      <c r="A1028" s="23" t="n">
        <v>5</v>
      </c>
      <c r="B1028" s="23" t="n">
        <v>24</v>
      </c>
      <c r="C1028" s="23" t="n">
        <v>4024</v>
      </c>
      <c r="D1028" s="23" t="inlineStr">
        <is>
          <t>0300806014</t>
        </is>
      </c>
      <c r="E1028" s="11" t="inlineStr">
        <is>
          <t>Region III (Central Luzon)</t>
        </is>
      </c>
      <c r="F1028" s="11" t="inlineStr">
        <is>
          <t>Bataan</t>
        </is>
      </c>
      <c r="G1028" s="11" t="inlineStr">
        <is>
          <t>Limay</t>
        </is>
      </c>
      <c r="H1028" s="11" t="inlineStr">
        <is>
          <t>San Francisco de Asis</t>
        </is>
      </c>
      <c r="I1028" s="24" t="n">
        <v>14.568498</v>
      </c>
      <c r="J1028" s="24" t="n">
        <v>120.595701</v>
      </c>
      <c r="K1028" s="23" t="inlineStr">
        <is>
          <t>U</t>
        </is>
      </c>
      <c r="L1028" s="25" t="n">
        <v>6571</v>
      </c>
      <c r="M1028" s="26" t="n">
        <v>3.6</v>
      </c>
      <c r="N1028" s="25">
        <f>ROUND(L1028/M1028, 0)</f>
        <v/>
      </c>
      <c r="O1028" s="25">
        <f>ROUND(N1028*'Methodology &amp; Assumptions'!$B$7, 0)</f>
        <v/>
      </c>
      <c r="P1028" s="23" t="inlineStr">
        <is>
          <t>Single Carrier (Band n50, 100MHz TDD)</t>
        </is>
      </c>
      <c r="Q1028" s="27">
        <f>ROUNDUP(O1028/'Methodology &amp; Assumptions'!$B$8, 0)</f>
        <v/>
      </c>
      <c r="R1028" s="27" t="n">
        <v>1</v>
      </c>
      <c r="S1028" s="26" t="n">
        <v>0.86</v>
      </c>
      <c r="T1028" s="26" t="n">
        <v>0.17</v>
      </c>
      <c r="U1028" s="11">
        <f>IF(S1028&lt;='Methodology &amp; Assumptions'!$B$10, "Direct Optical Drop (&lt;3km)", IF(S1028&lt;='Methodology &amp; Assumptions'!$B$9, "Near Optical / Microwave (&lt;5km)", "Starlink Business LEO Satellite Backhaul (&gt;5km)"))</f>
        <v/>
      </c>
      <c r="V1028" s="26" t="n">
        <v>78.37</v>
      </c>
      <c r="W1028" s="26" t="n">
        <v>38.81</v>
      </c>
      <c r="X1028" s="26">
        <f>ROUND(('Methodology &amp; Assumptions'!$B$5*V1028) + ('Methodology &amp; Assumptions'!$B$6*W1028), 2)</f>
        <v/>
      </c>
      <c r="Y1028" s="28" t="n">
        <v>8.300000000000001</v>
      </c>
      <c r="Z1028" s="11" t="inlineStr">
        <is>
          <t>Priority Tier 3 (Broadband Expansion)</t>
        </is>
      </c>
    </row>
    <row r="1029">
      <c r="A1029" s="23" t="n">
        <v>5</v>
      </c>
      <c r="B1029" s="23" t="n">
        <v>25</v>
      </c>
      <c r="C1029" s="23" t="n">
        <v>4025</v>
      </c>
      <c r="D1029" s="23" t="inlineStr">
        <is>
          <t>0301405001</t>
        </is>
      </c>
      <c r="E1029" s="11" t="inlineStr">
        <is>
          <t>Region III (Central Luzon)</t>
        </is>
      </c>
      <c r="F1029" s="11" t="inlineStr">
        <is>
          <t>Bulacan</t>
        </is>
      </c>
      <c r="G1029" s="11" t="inlineStr">
        <is>
          <t>Bulacan</t>
        </is>
      </c>
      <c r="H1029" s="11" t="inlineStr">
        <is>
          <t>Bagumbayan</t>
        </is>
      </c>
      <c r="I1029" s="24" t="n">
        <v>14.790264</v>
      </c>
      <c r="J1029" s="24" t="n">
        <v>120.87791</v>
      </c>
      <c r="K1029" s="23" t="inlineStr">
        <is>
          <t>U</t>
        </is>
      </c>
      <c r="L1029" s="25" t="n">
        <v>4492</v>
      </c>
      <c r="M1029" s="26" t="n">
        <v>3.5</v>
      </c>
      <c r="N1029" s="25">
        <f>ROUND(L1029/M1029, 0)</f>
        <v/>
      </c>
      <c r="O1029" s="25">
        <f>ROUND(N1029*'Methodology &amp; Assumptions'!$B$7, 0)</f>
        <v/>
      </c>
      <c r="P1029" s="23" t="inlineStr">
        <is>
          <t>Single Carrier (Band n50, 100MHz TDD)</t>
        </is>
      </c>
      <c r="Q1029" s="27">
        <f>ROUNDUP(O1029/'Methodology &amp; Assumptions'!$B$8, 0)</f>
        <v/>
      </c>
      <c r="R1029" s="27" t="n">
        <v>1</v>
      </c>
      <c r="S1029" s="26" t="n">
        <v>0.65</v>
      </c>
      <c r="T1029" s="26" t="n">
        <v>4.21</v>
      </c>
      <c r="U1029" s="11">
        <f>IF(S1029&lt;='Methodology &amp; Assumptions'!$B$10, "Direct Optical Drop (&lt;3km)", IF(S1029&lt;='Methodology &amp; Assumptions'!$B$9, "Near Optical / Microwave (&lt;5km)", "Starlink Business LEO Satellite Backhaul (&gt;5km)"))</f>
        <v/>
      </c>
      <c r="V1029" s="26" t="n">
        <v>75.70999999999999</v>
      </c>
      <c r="W1029" s="26" t="n">
        <v>41.47</v>
      </c>
      <c r="X1029" s="26">
        <f>ROUND(('Methodology &amp; Assumptions'!$B$5*V1029) + ('Methodology &amp; Assumptions'!$B$6*W1029), 2)</f>
        <v/>
      </c>
      <c r="Y1029" s="28" t="n">
        <v>8.300000000000001</v>
      </c>
      <c r="Z1029" s="11" t="inlineStr">
        <is>
          <t>Priority Tier 3 (Broadband Expansion)</t>
        </is>
      </c>
    </row>
    <row r="1030">
      <c r="A1030" s="23" t="n">
        <v>5</v>
      </c>
      <c r="B1030" s="23" t="n">
        <v>26</v>
      </c>
      <c r="C1030" s="23" t="n">
        <v>4026</v>
      </c>
      <c r="D1030" s="23" t="inlineStr">
        <is>
          <t>0803738051</t>
        </is>
      </c>
      <c r="E1030" s="11" t="inlineStr">
        <is>
          <t>Region VIII (Eastern Visayas)</t>
        </is>
      </c>
      <c r="F1030" s="11" t="inlineStr">
        <is>
          <t>Leyte</t>
        </is>
      </c>
      <c r="G1030" s="11" t="inlineStr">
        <is>
          <t>Ormoc City</t>
        </is>
      </c>
      <c r="H1030" s="11" t="inlineStr">
        <is>
          <t>Don Felipe Larrazabal</t>
        </is>
      </c>
      <c r="I1030" s="24" t="n">
        <v>11.010296</v>
      </c>
      <c r="J1030" s="24" t="n">
        <v>124.606266</v>
      </c>
      <c r="K1030" s="23" t="inlineStr">
        <is>
          <t>U</t>
        </is>
      </c>
      <c r="L1030" s="25" t="n">
        <v>1669</v>
      </c>
      <c r="M1030" s="26" t="n">
        <v>3.8</v>
      </c>
      <c r="N1030" s="25">
        <f>ROUND(L1030/M1030, 0)</f>
        <v/>
      </c>
      <c r="O1030" s="25">
        <f>ROUND(N1030*'Methodology &amp; Assumptions'!$B$7, 0)</f>
        <v/>
      </c>
      <c r="P1030" s="23" t="inlineStr">
        <is>
          <t>Single Carrier (Band n50, 100MHz TDD)</t>
        </is>
      </c>
      <c r="Q1030" s="27">
        <f>ROUNDUP(O1030/'Methodology &amp; Assumptions'!$B$8, 0)</f>
        <v/>
      </c>
      <c r="R1030" s="27" t="n">
        <v>1</v>
      </c>
      <c r="S1030" s="26" t="n">
        <v>0.62</v>
      </c>
      <c r="T1030" s="26" t="n">
        <v>0.44</v>
      </c>
      <c r="U1030" s="11">
        <f>IF(S1030&lt;='Methodology &amp; Assumptions'!$B$10, "Direct Optical Drop (&lt;3km)", IF(S1030&lt;='Methodology &amp; Assumptions'!$B$9, "Near Optical / Microwave (&lt;5km)", "Starlink Business LEO Satellite Backhaul (&gt;5km)"))</f>
        <v/>
      </c>
      <c r="V1030" s="26" t="n">
        <v>67.64</v>
      </c>
      <c r="W1030" s="26" t="n">
        <v>49.54</v>
      </c>
      <c r="X1030" s="26">
        <f>ROUND(('Methodology &amp; Assumptions'!$B$5*V1030) + ('Methodology &amp; Assumptions'!$B$6*W1030), 2)</f>
        <v/>
      </c>
      <c r="Y1030" s="28" t="n">
        <v>23.7</v>
      </c>
      <c r="Z1030" s="11" t="inlineStr">
        <is>
          <t>Priority Tier 3 (Broadband Expansion)</t>
        </is>
      </c>
    </row>
    <row r="1031">
      <c r="A1031" s="23" t="n">
        <v>5</v>
      </c>
      <c r="B1031" s="23" t="n">
        <v>27</v>
      </c>
      <c r="C1031" s="23" t="n">
        <v>4027</v>
      </c>
      <c r="D1031" s="23" t="inlineStr">
        <is>
          <t>1381300044</t>
        </is>
      </c>
      <c r="E1031" s="11" t="inlineStr">
        <is>
          <t>National Capital Region (NCR)</t>
        </is>
      </c>
      <c r="F1031" s="11" t="inlineStr">
        <is>
          <t>Second District (Not a Province)</t>
        </is>
      </c>
      <c r="G1031" s="11" t="inlineStr">
        <is>
          <t>Quezon City</t>
        </is>
      </c>
      <c r="H1031" s="11" t="inlineStr">
        <is>
          <t>Horseshoe</t>
        </is>
      </c>
      <c r="I1031" s="24" t="n">
        <v>14.611835</v>
      </c>
      <c r="J1031" s="24" t="n">
        <v>121.04293</v>
      </c>
      <c r="K1031" s="23" t="inlineStr">
        <is>
          <t>U</t>
        </is>
      </c>
      <c r="L1031" s="25" t="n">
        <v>3095</v>
      </c>
      <c r="M1031" s="26" t="n">
        <v>4.21</v>
      </c>
      <c r="N1031" s="25">
        <f>ROUND(L1031/M1031, 0)</f>
        <v/>
      </c>
      <c r="O1031" s="25">
        <f>ROUND(N1031*'Methodology &amp; Assumptions'!$B$7, 0)</f>
        <v/>
      </c>
      <c r="P1031" s="23" t="inlineStr">
        <is>
          <t>Single Carrier (Band n50, 100MHz TDD)</t>
        </is>
      </c>
      <c r="Q1031" s="27">
        <f>ROUNDUP(O1031/'Methodology &amp; Assumptions'!$B$8, 0)</f>
        <v/>
      </c>
      <c r="R1031" s="27" t="n">
        <v>1</v>
      </c>
      <c r="S1031" s="26" t="n">
        <v>1.83</v>
      </c>
      <c r="T1031" s="26" t="n">
        <v>0.63</v>
      </c>
      <c r="U1031" s="11">
        <f>IF(S1031&lt;='Methodology &amp; Assumptions'!$B$10, "Direct Optical Drop (&lt;3km)", IF(S1031&lt;='Methodology &amp; Assumptions'!$B$9, "Near Optical / Microwave (&lt;5km)", "Starlink Business LEO Satellite Backhaul (&gt;5km)"))</f>
        <v/>
      </c>
      <c r="V1031" s="26" t="n">
        <v>61</v>
      </c>
      <c r="W1031" s="26" t="n">
        <v>56.17</v>
      </c>
      <c r="X1031" s="26">
        <f>ROUND(('Methodology &amp; Assumptions'!$B$5*V1031) + ('Methodology &amp; Assumptions'!$B$6*W1031), 2)</f>
        <v/>
      </c>
      <c r="Y1031" s="28" t="n">
        <v>10.9</v>
      </c>
      <c r="Z1031" s="11" t="inlineStr">
        <is>
          <t>Priority Tier 3 (Broadband Expansion)</t>
        </is>
      </c>
    </row>
    <row r="1032">
      <c r="A1032" s="23" t="n">
        <v>5</v>
      </c>
      <c r="B1032" s="23" t="n">
        <v>28</v>
      </c>
      <c r="C1032" s="23" t="n">
        <v>4028</v>
      </c>
      <c r="D1032" s="23" t="inlineStr">
        <is>
          <t>1402706027</t>
        </is>
      </c>
      <c r="E1032" s="11" t="inlineStr">
        <is>
          <t>Cordillera Administrative Region (CAR)</t>
        </is>
      </c>
      <c r="F1032" s="11" t="inlineStr">
        <is>
          <t>Ifugao</t>
        </is>
      </c>
      <c r="G1032" s="11" t="inlineStr">
        <is>
          <t>Mayoyao</t>
        </is>
      </c>
      <c r="H1032" s="11" t="inlineStr">
        <is>
          <t>Palaad</t>
        </is>
      </c>
      <c r="I1032" s="24" t="n">
        <v>16.921683</v>
      </c>
      <c r="J1032" s="24" t="n">
        <v>121.20825</v>
      </c>
      <c r="K1032" s="23" t="inlineStr">
        <is>
          <t>R</t>
        </is>
      </c>
      <c r="L1032" s="25" t="n">
        <v>314</v>
      </c>
      <c r="M1032" s="26" t="n">
        <v>3.9</v>
      </c>
      <c r="N1032" s="25">
        <f>ROUND(L1032/M1032, 0)</f>
        <v/>
      </c>
      <c r="O1032" s="25">
        <f>ROUND(N1032*'Methodology &amp; Assumptions'!$B$7, 0)</f>
        <v/>
      </c>
      <c r="P1032" s="23" t="inlineStr">
        <is>
          <t>Single Carrier (Band n50, 100MHz TDD)</t>
        </is>
      </c>
      <c r="Q1032" s="27">
        <f>ROUNDUP(O1032/'Methodology &amp; Assumptions'!$B$8, 0)</f>
        <v/>
      </c>
      <c r="R1032" s="27" t="n">
        <v>1</v>
      </c>
      <c r="S1032" s="26" t="n">
        <v>3.05</v>
      </c>
      <c r="T1032" s="26" t="n">
        <v>15.39</v>
      </c>
      <c r="U1032" s="11">
        <f>IF(S1032&lt;='Methodology &amp; Assumptions'!$B$10, "Direct Optical Drop (&lt;3km)", IF(S1032&lt;='Methodology &amp; Assumptions'!$B$9, "Near Optical / Microwave (&lt;5km)", "Starlink Business LEO Satellite Backhaul (&gt;5km)"))</f>
        <v/>
      </c>
      <c r="V1032" s="26" t="n">
        <v>49.56</v>
      </c>
      <c r="W1032" s="26" t="n">
        <v>67.63</v>
      </c>
      <c r="X1032" s="26">
        <f>ROUND(('Methodology &amp; Assumptions'!$B$5*V1032) + ('Methodology &amp; Assumptions'!$B$6*W1032), 2)</f>
        <v/>
      </c>
      <c r="Y1032" s="28" t="n">
        <v>10.9</v>
      </c>
      <c r="Z1032" s="11" t="inlineStr">
        <is>
          <t>Priority Tier 3 (Broadband Expansion)</t>
        </is>
      </c>
    </row>
    <row r="1033">
      <c r="A1033" s="23" t="n">
        <v>5</v>
      </c>
      <c r="B1033" s="23" t="n">
        <v>29</v>
      </c>
      <c r="C1033" s="23" t="n">
        <v>4029</v>
      </c>
      <c r="D1033" s="23" t="inlineStr">
        <is>
          <t>1380606114</t>
        </is>
      </c>
      <c r="E1033" s="11" t="inlineStr">
        <is>
          <t>National Capital Region (NCR)</t>
        </is>
      </c>
      <c r="F1033" s="11" t="inlineStr">
        <is>
          <t>First District (Not a Province)</t>
        </is>
      </c>
      <c r="G1033" s="11" t="inlineStr">
        <is>
          <t>City of Manila</t>
        </is>
      </c>
      <c r="H1033" s="11" t="inlineStr">
        <is>
          <t>Barangay 508</t>
        </is>
      </c>
      <c r="I1033" s="24" t="n">
        <v>14.61768</v>
      </c>
      <c r="J1033" s="24" t="n">
        <v>120.993906</v>
      </c>
      <c r="K1033" s="23" t="inlineStr">
        <is>
          <t>U</t>
        </is>
      </c>
      <c r="L1033" s="25" t="n">
        <v>1020</v>
      </c>
      <c r="M1033" s="26" t="n">
        <v>3.75</v>
      </c>
      <c r="N1033" s="25">
        <f>ROUND(L1033/M1033, 0)</f>
        <v/>
      </c>
      <c r="O1033" s="25">
        <f>ROUND(N1033*'Methodology &amp; Assumptions'!$B$7, 0)</f>
        <v/>
      </c>
      <c r="P1033" s="23" t="inlineStr">
        <is>
          <t>Single Carrier (Band n50, 100MHz TDD)</t>
        </is>
      </c>
      <c r="Q1033" s="27">
        <f>ROUNDUP(O1033/'Methodology &amp; Assumptions'!$B$8, 0)</f>
        <v/>
      </c>
      <c r="R1033" s="27" t="n">
        <v>1</v>
      </c>
      <c r="S1033" s="26" t="n">
        <v>1.2</v>
      </c>
      <c r="T1033" s="26" t="n">
        <v>0.59</v>
      </c>
      <c r="U1033" s="11">
        <f>IF(S1033&lt;='Methodology &amp; Assumptions'!$B$10, "Direct Optical Drop (&lt;3km)", IF(S1033&lt;='Methodology &amp; Assumptions'!$B$9, "Near Optical / Microwave (&lt;5km)", "Starlink Business LEO Satellite Backhaul (&gt;5km)"))</f>
        <v/>
      </c>
      <c r="V1033" s="26" t="n">
        <v>48.52</v>
      </c>
      <c r="W1033" s="26" t="n">
        <v>68.66</v>
      </c>
      <c r="X1033" s="26">
        <f>ROUND(('Methodology &amp; Assumptions'!$B$5*V1033) + ('Methodology &amp; Assumptions'!$B$6*W1033), 2)</f>
        <v/>
      </c>
      <c r="Y1033" s="28" t="n">
        <v>10.9</v>
      </c>
      <c r="Z1033" s="11" t="inlineStr">
        <is>
          <t>Priority Tier 3 (Broadband Expansion)</t>
        </is>
      </c>
    </row>
    <row r="1034">
      <c r="A1034" s="23" t="n">
        <v>5</v>
      </c>
      <c r="B1034" s="23" t="n">
        <v>30</v>
      </c>
      <c r="C1034" s="23" t="n">
        <v>4030</v>
      </c>
      <c r="D1034" s="23" t="inlineStr">
        <is>
          <t>1381100102</t>
        </is>
      </c>
      <c r="E1034" s="11" t="inlineStr">
        <is>
          <t>National Capital Region (NCR)</t>
        </is>
      </c>
      <c r="F1034" s="11" t="inlineStr">
        <is>
          <t>Fourth District (Not a Province)</t>
        </is>
      </c>
      <c r="G1034" s="11" t="inlineStr">
        <is>
          <t>Pasay City</t>
        </is>
      </c>
      <c r="H1034" s="11" t="inlineStr">
        <is>
          <t>Barangay 102</t>
        </is>
      </c>
      <c r="I1034" s="24" t="n">
        <v>14.544031</v>
      </c>
      <c r="J1034" s="24" t="n">
        <v>121.001604</v>
      </c>
      <c r="K1034" s="23" t="inlineStr">
        <is>
          <t>U</t>
        </is>
      </c>
      <c r="L1034" s="25" t="n">
        <v>801</v>
      </c>
      <c r="M1034" s="26" t="n">
        <v>3.69</v>
      </c>
      <c r="N1034" s="25">
        <f>ROUND(L1034/M1034, 0)</f>
        <v/>
      </c>
      <c r="O1034" s="25">
        <f>ROUND(N1034*'Methodology &amp; Assumptions'!$B$7, 0)</f>
        <v/>
      </c>
      <c r="P1034" s="23" t="inlineStr">
        <is>
          <t>Single Carrier (Band n50, 100MHz TDD)</t>
        </is>
      </c>
      <c r="Q1034" s="27">
        <f>ROUNDUP(O1034/'Methodology &amp; Assumptions'!$B$8, 0)</f>
        <v/>
      </c>
      <c r="R1034" s="27" t="n">
        <v>1</v>
      </c>
      <c r="S1034" s="26" t="n">
        <v>0.77</v>
      </c>
      <c r="T1034" s="26" t="n">
        <v>0.28</v>
      </c>
      <c r="U1034" s="11">
        <f>IF(S1034&lt;='Methodology &amp; Assumptions'!$B$10, "Direct Optical Drop (&lt;3km)", IF(S1034&lt;='Methodology &amp; Assumptions'!$B$9, "Near Optical / Microwave (&lt;5km)", "Starlink Business LEO Satellite Backhaul (&gt;5km)"))</f>
        <v/>
      </c>
      <c r="V1034" s="26" t="n">
        <v>48.05</v>
      </c>
      <c r="W1034" s="26" t="n">
        <v>69.12</v>
      </c>
      <c r="X1034" s="26">
        <f>ROUND(('Methodology &amp; Assumptions'!$B$5*V1034) + ('Methodology &amp; Assumptions'!$B$6*W1034), 2)</f>
        <v/>
      </c>
      <c r="Y1034" s="28" t="n">
        <v>10.9</v>
      </c>
      <c r="Z1034" s="11" t="inlineStr">
        <is>
          <t>Priority Tier 3 (Broadband Expansion)</t>
        </is>
      </c>
    </row>
    <row r="1035">
      <c r="A1035" s="23" t="n">
        <v>5</v>
      </c>
      <c r="B1035" s="23" t="n">
        <v>31</v>
      </c>
      <c r="C1035" s="23" t="n">
        <v>4031</v>
      </c>
      <c r="D1035" s="23" t="inlineStr">
        <is>
          <t>0806017004</t>
        </is>
      </c>
      <c r="E1035" s="11" t="inlineStr">
        <is>
          <t>Region VIII (Eastern Visayas)</t>
        </is>
      </c>
      <c r="F1035" s="11" t="inlineStr">
        <is>
          <t>Samar</t>
        </is>
      </c>
      <c r="G1035" s="11" t="inlineStr">
        <is>
          <t>Santa Rita</t>
        </is>
      </c>
      <c r="H1035" s="11" t="inlineStr">
        <is>
          <t>Bagolibas</t>
        </is>
      </c>
      <c r="I1035" s="24" t="n">
        <v>11.398108</v>
      </c>
      <c r="J1035" s="24" t="n">
        <v>125.025048</v>
      </c>
      <c r="K1035" s="23" t="inlineStr">
        <is>
          <t>R</t>
        </is>
      </c>
      <c r="L1035" s="25" t="n">
        <v>705</v>
      </c>
      <c r="M1035" s="26" t="n">
        <v>4.1</v>
      </c>
      <c r="N1035" s="25">
        <f>ROUND(L1035/M1035, 0)</f>
        <v/>
      </c>
      <c r="O1035" s="25">
        <f>ROUND(N1035*'Methodology &amp; Assumptions'!$B$7, 0)</f>
        <v/>
      </c>
      <c r="P1035" s="23" t="inlineStr">
        <is>
          <t>Single Carrier (Band n50, 100MHz TDD)</t>
        </is>
      </c>
      <c r="Q1035" s="27">
        <f>ROUNDUP(O1035/'Methodology &amp; Assumptions'!$B$8, 0)</f>
        <v/>
      </c>
      <c r="R1035" s="27" t="n">
        <v>1</v>
      </c>
      <c r="S1035" s="26" t="n">
        <v>17.8</v>
      </c>
      <c r="T1035" s="26" t="n">
        <v>20.71</v>
      </c>
      <c r="U1035" s="11">
        <f>IF(S1035&lt;='Methodology &amp; Assumptions'!$B$10, "Direct Optical Drop (&lt;3km)", IF(S1035&lt;='Methodology &amp; Assumptions'!$B$9, "Near Optical / Microwave (&lt;5km)", "Starlink Business LEO Satellite Backhaul (&gt;5km)"))</f>
        <v/>
      </c>
      <c r="V1035" s="26" t="n">
        <v>41.48</v>
      </c>
      <c r="W1035" s="26" t="n">
        <v>75.7</v>
      </c>
      <c r="X1035" s="26">
        <f>ROUND(('Methodology &amp; Assumptions'!$B$5*V1035) + ('Methodology &amp; Assumptions'!$B$6*W1035), 2)</f>
        <v/>
      </c>
      <c r="Y1035" s="28" t="n">
        <v>23.7</v>
      </c>
      <c r="Z1035" s="11" t="inlineStr">
        <is>
          <t>Priority Tier 3 (Broadband Expansion)</t>
        </is>
      </c>
    </row>
    <row r="1036">
      <c r="A1036" s="23" t="n">
        <v>5</v>
      </c>
      <c r="B1036" s="23" t="n">
        <v>32</v>
      </c>
      <c r="C1036" s="23" t="n">
        <v>4032</v>
      </c>
      <c r="D1036" s="23" t="inlineStr">
        <is>
          <t>0301420030</t>
        </is>
      </c>
      <c r="E1036" s="11" t="inlineStr">
        <is>
          <t>Region III (Central Luzon)</t>
        </is>
      </c>
      <c r="F1036" s="11" t="inlineStr">
        <is>
          <t>Bulacan</t>
        </is>
      </c>
      <c r="G1036" s="11" t="inlineStr">
        <is>
          <t>City of San Jose Del Monte</t>
        </is>
      </c>
      <c r="H1036" s="11" t="inlineStr">
        <is>
          <t>Francisco Homes-Yakal</t>
        </is>
      </c>
      <c r="I1036" s="24" t="n">
        <v>14.807481</v>
      </c>
      <c r="J1036" s="24" t="n">
        <v>121.054278</v>
      </c>
      <c r="K1036" s="23" t="inlineStr">
        <is>
          <t>R</t>
        </is>
      </c>
      <c r="L1036" s="25" t="n">
        <v>3889</v>
      </c>
      <c r="M1036" s="26" t="n">
        <v>3.5</v>
      </c>
      <c r="N1036" s="25">
        <f>ROUND(L1036/M1036, 0)</f>
        <v/>
      </c>
      <c r="O1036" s="25">
        <f>ROUND(N1036*'Methodology &amp; Assumptions'!$B$7, 0)</f>
        <v/>
      </c>
      <c r="P1036" s="23" t="inlineStr">
        <is>
          <t>Single Carrier (Band n50, 100MHz TDD)</t>
        </is>
      </c>
      <c r="Q1036" s="27">
        <f>ROUNDUP(O1036/'Methodology &amp; Assumptions'!$B$8, 0)</f>
        <v/>
      </c>
      <c r="R1036" s="27" t="n">
        <v>1</v>
      </c>
      <c r="S1036" s="26" t="n">
        <v>2.02</v>
      </c>
      <c r="T1036" s="26" t="n">
        <v>0.79</v>
      </c>
      <c r="U1036" s="11">
        <f>IF(S1036&lt;='Methodology &amp; Assumptions'!$B$10, "Direct Optical Drop (&lt;3km)", IF(S1036&lt;='Methodology &amp; Assumptions'!$B$9, "Near Optical / Microwave (&lt;5km)", "Starlink Business LEO Satellite Backhaul (&gt;5km)"))</f>
        <v/>
      </c>
      <c r="V1036" s="26" t="n">
        <v>81.34</v>
      </c>
      <c r="W1036" s="26" t="n">
        <v>35.83</v>
      </c>
      <c r="X1036" s="26">
        <f>ROUND(('Methodology &amp; Assumptions'!$B$5*V1036) + ('Methodology &amp; Assumptions'!$B$6*W1036), 2)</f>
        <v/>
      </c>
      <c r="Y1036" s="28" t="n">
        <v>8.300000000000001</v>
      </c>
      <c r="Z1036" s="11" t="inlineStr">
        <is>
          <t>Priority Tier 3 (Broadband Expansion)</t>
        </is>
      </c>
    </row>
    <row r="1037">
      <c r="A1037" s="23" t="n">
        <v>5</v>
      </c>
      <c r="B1037" s="23" t="n">
        <v>33</v>
      </c>
      <c r="C1037" s="23" t="n">
        <v>4033</v>
      </c>
      <c r="D1037" s="23" t="inlineStr">
        <is>
          <t>0601904030</t>
        </is>
      </c>
      <c r="E1037" s="11" t="inlineStr">
        <is>
          <t>Region VI (Western Visayas)</t>
        </is>
      </c>
      <c r="F1037" s="11" t="inlineStr">
        <is>
          <t>Capiz</t>
        </is>
      </c>
      <c r="G1037" s="11" t="inlineStr">
        <is>
          <t>Dumarao</t>
        </is>
      </c>
      <c r="H1037" s="11" t="inlineStr">
        <is>
          <t>Sagrada Familia</t>
        </is>
      </c>
      <c r="I1037" s="24" t="n">
        <v>11.209326</v>
      </c>
      <c r="J1037" s="24" t="n">
        <v>122.833294</v>
      </c>
      <c r="K1037" s="23" t="inlineStr">
        <is>
          <t>R</t>
        </is>
      </c>
      <c r="L1037" s="25" t="n">
        <v>2788</v>
      </c>
      <c r="M1037" s="26" t="n">
        <v>3.8</v>
      </c>
      <c r="N1037" s="25">
        <f>ROUND(L1037/M1037, 0)</f>
        <v/>
      </c>
      <c r="O1037" s="25">
        <f>ROUND(N1037*'Methodology &amp; Assumptions'!$B$7, 0)</f>
        <v/>
      </c>
      <c r="P1037" s="23" t="inlineStr">
        <is>
          <t>Single Carrier (Band n50, 100MHz TDD)</t>
        </is>
      </c>
      <c r="Q1037" s="27">
        <f>ROUNDUP(O1037/'Methodology &amp; Assumptions'!$B$8, 0)</f>
        <v/>
      </c>
      <c r="R1037" s="27" t="n">
        <v>1</v>
      </c>
      <c r="S1037" s="26" t="n">
        <v>3.35</v>
      </c>
      <c r="T1037" s="26" t="n">
        <v>3.26</v>
      </c>
      <c r="U1037" s="11">
        <f>IF(S1037&lt;='Methodology &amp; Assumptions'!$B$10, "Direct Optical Drop (&lt;3km)", IF(S1037&lt;='Methodology &amp; Assumptions'!$B$9, "Near Optical / Microwave (&lt;5km)", "Starlink Business LEO Satellite Backhaul (&gt;5km)"))</f>
        <v/>
      </c>
      <c r="V1037" s="26" t="n">
        <v>72.02</v>
      </c>
      <c r="W1037" s="26" t="n">
        <v>45.13</v>
      </c>
      <c r="X1037" s="26">
        <f>ROUND(('Methodology &amp; Assumptions'!$B$5*V1037) + ('Methodology &amp; Assumptions'!$B$6*W1037), 2)</f>
        <v/>
      </c>
      <c r="Y1037" s="28" t="n">
        <v>23.7</v>
      </c>
      <c r="Z1037" s="11" t="inlineStr">
        <is>
          <t>Priority Tier 3 (Broadband Expansion)</t>
        </is>
      </c>
    </row>
    <row r="1038">
      <c r="A1038" s="23" t="n">
        <v>5</v>
      </c>
      <c r="B1038" s="23" t="n">
        <v>34</v>
      </c>
      <c r="C1038" s="23" t="n">
        <v>4034</v>
      </c>
      <c r="D1038" s="23" t="inlineStr">
        <is>
          <t>1380601154</t>
        </is>
      </c>
      <c r="E1038" s="11" t="inlineStr">
        <is>
          <t>National Capital Region (NCR)</t>
        </is>
      </c>
      <c r="F1038" s="11" t="inlineStr">
        <is>
          <t>First District (Not a Province)</t>
        </is>
      </c>
      <c r="G1038" s="11" t="inlineStr">
        <is>
          <t>City of Manila</t>
        </is>
      </c>
      <c r="H1038" s="11" t="inlineStr">
        <is>
          <t>Barangay 154</t>
        </is>
      </c>
      <c r="I1038" s="24" t="n">
        <v>14.61898</v>
      </c>
      <c r="J1038" s="24" t="n">
        <v>120.9713</v>
      </c>
      <c r="K1038" s="23" t="inlineStr">
        <is>
          <t>U</t>
        </is>
      </c>
      <c r="L1038" s="25" t="n">
        <v>774</v>
      </c>
      <c r="M1038" s="26" t="n">
        <v>3.76</v>
      </c>
      <c r="N1038" s="25">
        <f>ROUND(L1038/M1038, 0)</f>
        <v/>
      </c>
      <c r="O1038" s="25">
        <f>ROUND(N1038*'Methodology &amp; Assumptions'!$B$7, 0)</f>
        <v/>
      </c>
      <c r="P1038" s="23" t="inlineStr">
        <is>
          <t>Single Carrier (Band n50, 100MHz TDD)</t>
        </is>
      </c>
      <c r="Q1038" s="27">
        <f>ROUNDUP(O1038/'Methodology &amp; Assumptions'!$B$8, 0)</f>
        <v/>
      </c>
      <c r="R1038" s="27" t="n">
        <v>1</v>
      </c>
      <c r="S1038" s="26" t="n">
        <v>0.9</v>
      </c>
      <c r="T1038" s="26" t="n">
        <v>0.12</v>
      </c>
      <c r="U1038" s="11">
        <f>IF(S1038&lt;='Methodology &amp; Assumptions'!$B$10, "Direct Optical Drop (&lt;3km)", IF(S1038&lt;='Methodology &amp; Assumptions'!$B$9, "Near Optical / Microwave (&lt;5km)", "Starlink Business LEO Satellite Backhaul (&gt;5km)"))</f>
        <v/>
      </c>
      <c r="V1038" s="26" t="n">
        <v>47.5</v>
      </c>
      <c r="W1038" s="26" t="n">
        <v>69.67</v>
      </c>
      <c r="X1038" s="26">
        <f>ROUND(('Methodology &amp; Assumptions'!$B$5*V1038) + ('Methodology &amp; Assumptions'!$B$6*W1038), 2)</f>
        <v/>
      </c>
      <c r="Y1038" s="28" t="n">
        <v>10.9</v>
      </c>
      <c r="Z1038" s="11" t="inlineStr">
        <is>
          <t>Priority Tier 3 (Broadband Expansion)</t>
        </is>
      </c>
    </row>
    <row r="1039">
      <c r="A1039" s="23" t="n">
        <v>5</v>
      </c>
      <c r="B1039" s="23" t="n">
        <v>35</v>
      </c>
      <c r="C1039" s="23" t="n">
        <v>4035</v>
      </c>
      <c r="D1039" s="23" t="inlineStr">
        <is>
          <t>1381100050</t>
        </is>
      </c>
      <c r="E1039" s="11" t="inlineStr">
        <is>
          <t>National Capital Region (NCR)</t>
        </is>
      </c>
      <c r="F1039" s="11" t="inlineStr">
        <is>
          <t>Fourth District (Not a Province)</t>
        </is>
      </c>
      <c r="G1039" s="11" t="inlineStr">
        <is>
          <t>Pasay City</t>
        </is>
      </c>
      <c r="H1039" s="11" t="inlineStr">
        <is>
          <t>Barangay 50</t>
        </is>
      </c>
      <c r="I1039" s="24" t="n">
        <v>14.554464</v>
      </c>
      <c r="J1039" s="24" t="n">
        <v>120.99946</v>
      </c>
      <c r="K1039" s="23" t="inlineStr">
        <is>
          <t>U</t>
        </is>
      </c>
      <c r="L1039" s="25" t="n">
        <v>490</v>
      </c>
      <c r="M1039" s="26" t="n">
        <v>3.14</v>
      </c>
      <c r="N1039" s="25">
        <f>ROUND(L1039/M1039, 0)</f>
        <v/>
      </c>
      <c r="O1039" s="25">
        <f>ROUND(N1039*'Methodology &amp; Assumptions'!$B$7, 0)</f>
        <v/>
      </c>
      <c r="P1039" s="23" t="inlineStr">
        <is>
          <t>Single Carrier (Band n50, 100MHz TDD)</t>
        </is>
      </c>
      <c r="Q1039" s="27">
        <f>ROUNDUP(O1039/'Methodology &amp; Assumptions'!$B$8, 0)</f>
        <v/>
      </c>
      <c r="R1039" s="27" t="n">
        <v>1</v>
      </c>
      <c r="S1039" s="26" t="n">
        <v>0.84</v>
      </c>
      <c r="T1039" s="26" t="n">
        <v>0.25</v>
      </c>
      <c r="U1039" s="11">
        <f>IF(S1039&lt;='Methodology &amp; Assumptions'!$B$10, "Direct Optical Drop (&lt;3km)", IF(S1039&lt;='Methodology &amp; Assumptions'!$B$9, "Near Optical / Microwave (&lt;5km)", "Starlink Business LEO Satellite Backhaul (&gt;5km)"))</f>
        <v/>
      </c>
      <c r="V1039" s="26" t="n">
        <v>46.12</v>
      </c>
      <c r="W1039" s="26" t="n">
        <v>71.03</v>
      </c>
      <c r="X1039" s="26">
        <f>ROUND(('Methodology &amp; Assumptions'!$B$5*V1039) + ('Methodology &amp; Assumptions'!$B$6*W1039), 2)</f>
        <v/>
      </c>
      <c r="Y1039" s="28" t="n">
        <v>10.9</v>
      </c>
      <c r="Z1039" s="11" t="inlineStr">
        <is>
          <t>Priority Tier 3 (Broadband Expansion)</t>
        </is>
      </c>
    </row>
    <row r="1040">
      <c r="A1040" s="23" t="n">
        <v>5</v>
      </c>
      <c r="B1040" s="23" t="n">
        <v>36</v>
      </c>
      <c r="C1040" s="23" t="n">
        <v>4036</v>
      </c>
      <c r="D1040" s="23" t="inlineStr">
        <is>
          <t>1903631017</t>
        </is>
      </c>
      <c r="E1040" s="11" t="inlineStr">
        <is>
          <t>Bangsamoro Autonomous Region In Muslim Mindanao (BARMM)</t>
        </is>
      </c>
      <c r="F1040" s="11" t="inlineStr">
        <is>
          <t>Lanao del Sur</t>
        </is>
      </c>
      <c r="G1040" s="11" t="inlineStr">
        <is>
          <t>Marogong</t>
        </is>
      </c>
      <c r="H1040" s="11" t="inlineStr">
        <is>
          <t>Marogong East</t>
        </is>
      </c>
      <c r="I1040" s="24" t="n">
        <v>7.665608</v>
      </c>
      <c r="J1040" s="24" t="n">
        <v>124.139739</v>
      </c>
      <c r="K1040" s="23" t="inlineStr">
        <is>
          <t>R</t>
        </is>
      </c>
      <c r="L1040" s="25" t="n">
        <v>2587</v>
      </c>
      <c r="M1040" s="26" t="n">
        <v>5.7</v>
      </c>
      <c r="N1040" s="25">
        <f>ROUND(L1040/M1040, 0)</f>
        <v/>
      </c>
      <c r="O1040" s="25">
        <f>ROUND(N1040*'Methodology &amp; Assumptions'!$B$7, 0)</f>
        <v/>
      </c>
      <c r="P1040" s="23" t="inlineStr">
        <is>
          <t>Single Carrier (Band n50, 100MHz TDD)</t>
        </is>
      </c>
      <c r="Q1040" s="27">
        <f>ROUNDUP(O1040/'Methodology &amp; Assumptions'!$B$8, 0)</f>
        <v/>
      </c>
      <c r="R1040" s="27" t="n">
        <v>1</v>
      </c>
      <c r="S1040" s="26" t="n">
        <v>41.06</v>
      </c>
      <c r="T1040" s="26" t="n">
        <v>39.09</v>
      </c>
      <c r="U1040" s="11">
        <f>IF(S1040&lt;='Methodology &amp; Assumptions'!$B$10, "Direct Optical Drop (&lt;3km)", IF(S1040&lt;='Methodology &amp; Assumptions'!$B$9, "Near Optical / Microwave (&lt;5km)", "Starlink Business LEO Satellite Backhaul (&gt;5km)"))</f>
        <v/>
      </c>
      <c r="V1040" s="26" t="n">
        <v>45.62</v>
      </c>
      <c r="W1040" s="26" t="n">
        <v>71.55</v>
      </c>
      <c r="X1040" s="26">
        <f>ROUND(('Methodology &amp; Assumptions'!$B$5*V1040) + ('Methodology &amp; Assumptions'!$B$6*W1040), 2)</f>
        <v/>
      </c>
      <c r="Y1040" s="28" t="n">
        <v>11</v>
      </c>
      <c r="Z1040" s="11" t="inlineStr">
        <is>
          <t>Priority Tier 3 (Broadband Expansion)</t>
        </is>
      </c>
    </row>
    <row r="1041">
      <c r="A1041" s="23" t="n">
        <v>5</v>
      </c>
      <c r="B1041" s="23" t="n">
        <v>37</v>
      </c>
      <c r="C1041" s="23" t="n">
        <v>4037</v>
      </c>
      <c r="D1041" s="23" t="inlineStr">
        <is>
          <t>0601917031</t>
        </is>
      </c>
      <c r="E1041" s="11" t="inlineStr">
        <is>
          <t>Region VI (Western Visayas)</t>
        </is>
      </c>
      <c r="F1041" s="11" t="inlineStr">
        <is>
          <t>Capiz</t>
        </is>
      </c>
      <c r="G1041" s="11" t="inlineStr">
        <is>
          <t>Tapaz</t>
        </is>
      </c>
      <c r="H1041" s="11" t="inlineStr">
        <is>
          <t>Nayawan</t>
        </is>
      </c>
      <c r="I1041" s="24" t="n">
        <v>11.236331</v>
      </c>
      <c r="J1041" s="24" t="n">
        <v>122.41794</v>
      </c>
      <c r="K1041" s="23" t="inlineStr">
        <is>
          <t>R</t>
        </is>
      </c>
      <c r="L1041" s="25" t="n">
        <v>416</v>
      </c>
      <c r="M1041" s="26" t="n">
        <v>3.8</v>
      </c>
      <c r="N1041" s="25">
        <f>ROUND(L1041/M1041, 0)</f>
        <v/>
      </c>
      <c r="O1041" s="25">
        <f>ROUND(N1041*'Methodology &amp; Assumptions'!$B$7, 0)</f>
        <v/>
      </c>
      <c r="P1041" s="23" t="inlineStr">
        <is>
          <t>Single Carrier (Band n50, 100MHz TDD)</t>
        </is>
      </c>
      <c r="Q1041" s="27">
        <f>ROUNDUP(O1041/'Methodology &amp; Assumptions'!$B$8, 0)</f>
        <v/>
      </c>
      <c r="R1041" s="27" t="n">
        <v>1</v>
      </c>
      <c r="S1041" s="26" t="n">
        <v>28.31</v>
      </c>
      <c r="T1041" s="26" t="n">
        <v>15.32</v>
      </c>
      <c r="U1041" s="11">
        <f>IF(S1041&lt;='Methodology &amp; Assumptions'!$B$10, "Direct Optical Drop (&lt;3km)", IF(S1041&lt;='Methodology &amp; Assumptions'!$B$9, "Near Optical / Microwave (&lt;5km)", "Starlink Business LEO Satellite Backhaul (&gt;5km)"))</f>
        <v/>
      </c>
      <c r="V1041" s="26" t="n">
        <v>39.55</v>
      </c>
      <c r="W1041" s="26" t="n">
        <v>77.61</v>
      </c>
      <c r="X1041" s="26">
        <f>ROUND(('Methodology &amp; Assumptions'!$B$5*V1041) + ('Methodology &amp; Assumptions'!$B$6*W1041), 2)</f>
        <v/>
      </c>
      <c r="Y1041" s="28" t="n">
        <v>23.7</v>
      </c>
      <c r="Z1041" s="11" t="inlineStr">
        <is>
          <t>Priority Tier 3 (Broadband Expansion)</t>
        </is>
      </c>
    </row>
    <row r="1042">
      <c r="A1042" s="23" t="n">
        <v>5</v>
      </c>
      <c r="B1042" s="23" t="n">
        <v>38</v>
      </c>
      <c r="C1042" s="23" t="n">
        <v>4038</v>
      </c>
      <c r="D1042" s="23" t="inlineStr">
        <is>
          <t>0304928007</t>
        </is>
      </c>
      <c r="E1042" s="11" t="inlineStr">
        <is>
          <t>Region III (Central Luzon)</t>
        </is>
      </c>
      <c r="F1042" s="11" t="inlineStr">
        <is>
          <t>Nueva Ecija</t>
        </is>
      </c>
      <c r="G1042" s="11" t="inlineStr">
        <is>
          <t>Santa Rosa</t>
        </is>
      </c>
      <c r="H1042" s="11" t="inlineStr">
        <is>
          <t>Mapalad</t>
        </is>
      </c>
      <c r="I1042" s="24" t="n">
        <v>15.464456</v>
      </c>
      <c r="J1042" s="24" t="n">
        <v>121.092364</v>
      </c>
      <c r="K1042" s="23" t="inlineStr">
        <is>
          <t>R</t>
        </is>
      </c>
      <c r="L1042" s="25" t="n">
        <v>4838</v>
      </c>
      <c r="M1042" s="26" t="n">
        <v>3.5</v>
      </c>
      <c r="N1042" s="25">
        <f>ROUND(L1042/M1042, 0)</f>
        <v/>
      </c>
      <c r="O1042" s="25">
        <f>ROUND(N1042*'Methodology &amp; Assumptions'!$B$7, 0)</f>
        <v/>
      </c>
      <c r="P1042" s="23" t="inlineStr">
        <is>
          <t>Single Carrier (Band n50, 100MHz TDD)</t>
        </is>
      </c>
      <c r="Q1042" s="27">
        <f>ROUNDUP(O1042/'Methodology &amp; Assumptions'!$B$8, 0)</f>
        <v/>
      </c>
      <c r="R1042" s="27" t="n">
        <v>1</v>
      </c>
      <c r="S1042" s="26" t="n">
        <v>1.76</v>
      </c>
      <c r="T1042" s="26" t="n">
        <v>1.87</v>
      </c>
      <c r="U1042" s="11">
        <f>IF(S1042&lt;='Methodology &amp; Assumptions'!$B$10, "Direct Optical Drop (&lt;3km)", IF(S1042&lt;='Methodology &amp; Assumptions'!$B$9, "Near Optical / Microwave (&lt;5km)", "Starlink Business LEO Satellite Backhaul (&gt;5km)"))</f>
        <v/>
      </c>
      <c r="V1042" s="26" t="n">
        <v>82.23</v>
      </c>
      <c r="W1042" s="26" t="n">
        <v>34.92</v>
      </c>
      <c r="X1042" s="26">
        <f>ROUND(('Methodology &amp; Assumptions'!$B$5*V1042) + ('Methodology &amp; Assumptions'!$B$6*W1042), 2)</f>
        <v/>
      </c>
      <c r="Y1042" s="28" t="n">
        <v>8.300000000000001</v>
      </c>
      <c r="Z1042" s="11" t="inlineStr">
        <is>
          <t>Priority Tier 3 (Broadband Expansion)</t>
        </is>
      </c>
    </row>
    <row r="1043">
      <c r="A1043" s="23" t="n">
        <v>5</v>
      </c>
      <c r="B1043" s="23" t="n">
        <v>39</v>
      </c>
      <c r="C1043" s="23" t="n">
        <v>4039</v>
      </c>
      <c r="D1043" s="23" t="inlineStr">
        <is>
          <t>1403201005</t>
        </is>
      </c>
      <c r="E1043" s="11" t="inlineStr">
        <is>
          <t>Cordillera Administrative Region (CAR)</t>
        </is>
      </c>
      <c r="F1043" s="11" t="inlineStr">
        <is>
          <t>Kalinga</t>
        </is>
      </c>
      <c r="G1043" s="11" t="inlineStr">
        <is>
          <t>Balbalan</t>
        </is>
      </c>
      <c r="H1043" s="11" t="inlineStr">
        <is>
          <t>Buaya</t>
        </is>
      </c>
      <c r="I1043" s="24" t="n">
        <v>17.573656</v>
      </c>
      <c r="J1043" s="24" t="n">
        <v>121.205396</v>
      </c>
      <c r="K1043" s="23" t="inlineStr">
        <is>
          <t>R</t>
        </is>
      </c>
      <c r="L1043" s="25" t="n">
        <v>981</v>
      </c>
      <c r="M1043" s="26" t="n">
        <v>4.3</v>
      </c>
      <c r="N1043" s="25">
        <f>ROUND(L1043/M1043, 0)</f>
        <v/>
      </c>
      <c r="O1043" s="25">
        <f>ROUND(N1043*'Methodology &amp; Assumptions'!$B$7, 0)</f>
        <v/>
      </c>
      <c r="P1043" s="23" t="inlineStr">
        <is>
          <t>Single Carrier (Band n50, 100MHz TDD)</t>
        </is>
      </c>
      <c r="Q1043" s="27">
        <f>ROUNDUP(O1043/'Methodology &amp; Assumptions'!$B$8, 0)</f>
        <v/>
      </c>
      <c r="R1043" s="27" t="n">
        <v>1</v>
      </c>
      <c r="S1043" s="26" t="n">
        <v>14.46</v>
      </c>
      <c r="T1043" s="26" t="n">
        <v>18.25</v>
      </c>
      <c r="U1043" s="11">
        <f>IF(S1043&lt;='Methodology &amp; Assumptions'!$B$10, "Direct Optical Drop (&lt;3km)", IF(S1043&lt;='Methodology &amp; Assumptions'!$B$9, "Near Optical / Microwave (&lt;5km)", "Starlink Business LEO Satellite Backhaul (&gt;5km)"))</f>
        <v/>
      </c>
      <c r="V1043" s="26" t="n">
        <v>40.57</v>
      </c>
      <c r="W1043" s="26" t="n">
        <v>76.58</v>
      </c>
      <c r="X1043" s="26">
        <f>ROUND(('Methodology &amp; Assumptions'!$B$5*V1043) + ('Methodology &amp; Assumptions'!$B$6*W1043), 2)</f>
        <v/>
      </c>
      <c r="Y1043" s="28" t="n">
        <v>10.9</v>
      </c>
      <c r="Z1043" s="11" t="inlineStr">
        <is>
          <t>Priority Tier 3 (Broadband Expansion)</t>
        </is>
      </c>
    </row>
    <row r="1044">
      <c r="A1044" s="23" t="n">
        <v>5</v>
      </c>
      <c r="B1044" s="23" t="n">
        <v>40</v>
      </c>
      <c r="C1044" s="23" t="n">
        <v>4040</v>
      </c>
      <c r="D1044" s="23" t="inlineStr">
        <is>
          <t>0500514019</t>
        </is>
      </c>
      <c r="E1044" s="11" t="inlineStr">
        <is>
          <t>Region V (Bicol Region)</t>
        </is>
      </c>
      <c r="F1044" s="11" t="inlineStr">
        <is>
          <t>Albay</t>
        </is>
      </c>
      <c r="G1044" s="11" t="inlineStr">
        <is>
          <t>Polangui</t>
        </is>
      </c>
      <c r="H1044" s="11" t="inlineStr">
        <is>
          <t>Gabon</t>
        </is>
      </c>
      <c r="I1044" s="24" t="n">
        <v>13.294168</v>
      </c>
      <c r="J1044" s="24" t="n">
        <v>123.494484</v>
      </c>
      <c r="K1044" s="23" t="inlineStr">
        <is>
          <t>R</t>
        </is>
      </c>
      <c r="L1044" s="25" t="n">
        <v>3116</v>
      </c>
      <c r="M1044" s="26" t="n">
        <v>4.1</v>
      </c>
      <c r="N1044" s="25">
        <f>ROUND(L1044/M1044, 0)</f>
        <v/>
      </c>
      <c r="O1044" s="25">
        <f>ROUND(N1044*'Methodology &amp; Assumptions'!$B$7, 0)</f>
        <v/>
      </c>
      <c r="P1044" s="23" t="inlineStr">
        <is>
          <t>Single Carrier (Band n50, 100MHz TDD)</t>
        </is>
      </c>
      <c r="Q1044" s="27">
        <f>ROUNDUP(O1044/'Methodology &amp; Assumptions'!$B$8, 0)</f>
        <v/>
      </c>
      <c r="R1044" s="27" t="n">
        <v>1</v>
      </c>
      <c r="S1044" s="26" t="n">
        <v>1.21</v>
      </c>
      <c r="T1044" s="26" t="n">
        <v>0.37</v>
      </c>
      <c r="U1044" s="11">
        <f>IF(S1044&lt;='Methodology &amp; Assumptions'!$B$10, "Direct Optical Drop (&lt;3km)", IF(S1044&lt;='Methodology &amp; Assumptions'!$B$9, "Near Optical / Microwave (&lt;5km)", "Starlink Business LEO Satellite Backhaul (&gt;5km)"))</f>
        <v/>
      </c>
      <c r="V1044" s="26" t="n">
        <v>83.15000000000001</v>
      </c>
      <c r="W1044" s="26" t="n">
        <v>33.96</v>
      </c>
      <c r="X1044" s="26">
        <f>ROUND(('Methodology &amp; Assumptions'!$B$5*V1044) + ('Methodology &amp; Assumptions'!$B$6*W1044), 2)</f>
        <v/>
      </c>
      <c r="Y1044" s="28" t="n">
        <v>23.7</v>
      </c>
      <c r="Z1044" s="11" t="inlineStr">
        <is>
          <t>Priority Tier 3 (Broadband Expansion)</t>
        </is>
      </c>
    </row>
    <row r="1045">
      <c r="A1045" s="23" t="n">
        <v>5</v>
      </c>
      <c r="B1045" s="23" t="n">
        <v>41</v>
      </c>
      <c r="C1045" s="23" t="n">
        <v>4041</v>
      </c>
      <c r="D1045" s="23" t="inlineStr">
        <is>
          <t>0306914012</t>
        </is>
      </c>
      <c r="E1045" s="11" t="inlineStr">
        <is>
          <t>Region III (Central Luzon)</t>
        </is>
      </c>
      <c r="F1045" s="11" t="inlineStr">
        <is>
          <t>Tarlac</t>
        </is>
      </c>
      <c r="G1045" s="11" t="inlineStr">
        <is>
          <t>San Manuel</t>
        </is>
      </c>
      <c r="H1045" s="11" t="inlineStr">
        <is>
          <t>San Miguel</t>
        </is>
      </c>
      <c r="I1045" s="24" t="n">
        <v>15.803494</v>
      </c>
      <c r="J1045" s="24" t="n">
        <v>120.607973</v>
      </c>
      <c r="K1045" s="23" t="inlineStr">
        <is>
          <t>R</t>
        </is>
      </c>
      <c r="L1045" s="25" t="n">
        <v>2552</v>
      </c>
      <c r="M1045" s="26" t="n">
        <v>3.9</v>
      </c>
      <c r="N1045" s="25">
        <f>ROUND(L1045/M1045, 0)</f>
        <v/>
      </c>
      <c r="O1045" s="25">
        <f>ROUND(N1045*'Methodology &amp; Assumptions'!$B$7, 0)</f>
        <v/>
      </c>
      <c r="P1045" s="23" t="inlineStr">
        <is>
          <t>Single Carrier (Band n50, 100MHz TDD)</t>
        </is>
      </c>
      <c r="Q1045" s="27">
        <f>ROUNDUP(O1045/'Methodology &amp; Assumptions'!$B$8, 0)</f>
        <v/>
      </c>
      <c r="R1045" s="27" t="n">
        <v>1</v>
      </c>
      <c r="S1045" s="26" t="n">
        <v>0.78</v>
      </c>
      <c r="T1045" s="26" t="n">
        <v>0.04</v>
      </c>
      <c r="U1045" s="11">
        <f>IF(S1045&lt;='Methodology &amp; Assumptions'!$B$10, "Direct Optical Drop (&lt;3km)", IF(S1045&lt;='Methodology &amp; Assumptions'!$B$9, "Near Optical / Microwave (&lt;5km)", "Starlink Business LEO Satellite Backhaul (&gt;5km)"))</f>
        <v/>
      </c>
      <c r="V1045" s="26" t="n">
        <v>80.26000000000001</v>
      </c>
      <c r="W1045" s="26" t="n">
        <v>36.87</v>
      </c>
      <c r="X1045" s="26">
        <f>ROUND(('Methodology &amp; Assumptions'!$B$5*V1045) + ('Methodology &amp; Assumptions'!$B$6*W1045), 2)</f>
        <v/>
      </c>
      <c r="Y1045" s="28" t="n">
        <v>8.300000000000001</v>
      </c>
      <c r="Z1045" s="11" t="inlineStr">
        <is>
          <t>Priority Tier 3 (Broadband Expansion)</t>
        </is>
      </c>
    </row>
    <row r="1046">
      <c r="A1046" s="23" t="n">
        <v>5</v>
      </c>
      <c r="B1046" s="23" t="n">
        <v>42</v>
      </c>
      <c r="C1046" s="23" t="n">
        <v>4042</v>
      </c>
      <c r="D1046" s="23" t="inlineStr">
        <is>
          <t>0301418018</t>
        </is>
      </c>
      <c r="E1046" s="11" t="inlineStr">
        <is>
          <t>Region III (Central Luzon)</t>
        </is>
      </c>
      <c r="F1046" s="11" t="inlineStr">
        <is>
          <t>Bulacan</t>
        </is>
      </c>
      <c r="G1046" s="11" t="inlineStr">
        <is>
          <t>Pulilan</t>
        </is>
      </c>
      <c r="H1046" s="11" t="inlineStr">
        <is>
          <t>Paltao</t>
        </is>
      </c>
      <c r="I1046" s="24" t="n">
        <v>14.901973</v>
      </c>
      <c r="J1046" s="24" t="n">
        <v>120.857649</v>
      </c>
      <c r="K1046" s="23" t="inlineStr">
        <is>
          <t>U</t>
        </is>
      </c>
      <c r="L1046" s="25" t="n">
        <v>6749</v>
      </c>
      <c r="M1046" s="26" t="n">
        <v>3.5</v>
      </c>
      <c r="N1046" s="25">
        <f>ROUND(L1046/M1046, 0)</f>
        <v/>
      </c>
      <c r="O1046" s="25">
        <f>ROUND(N1046*'Methodology &amp; Assumptions'!$B$7, 0)</f>
        <v/>
      </c>
      <c r="P1046" s="23" t="inlineStr">
        <is>
          <t>Single Carrier (Band n50, 100MHz TDD)</t>
        </is>
      </c>
      <c r="Q1046" s="27">
        <f>ROUNDUP(O1046/'Methodology &amp; Assumptions'!$B$8, 0)</f>
        <v/>
      </c>
      <c r="R1046" s="27" t="n">
        <v>1</v>
      </c>
      <c r="S1046" s="26" t="n">
        <v>0.75</v>
      </c>
      <c r="T1046" s="26" t="n">
        <v>0.2</v>
      </c>
      <c r="U1046" s="11">
        <f>IF(S1046&lt;='Methodology &amp; Assumptions'!$B$10, "Direct Optical Drop (&lt;3km)", IF(S1046&lt;='Methodology &amp; Assumptions'!$B$9, "Near Optical / Microwave (&lt;5km)", "Starlink Business LEO Satellite Backhaul (&gt;5km)"))</f>
        <v/>
      </c>
      <c r="V1046" s="26" t="n">
        <v>78.43000000000001</v>
      </c>
      <c r="W1046" s="26" t="n">
        <v>38.69</v>
      </c>
      <c r="X1046" s="26">
        <f>ROUND(('Methodology &amp; Assumptions'!$B$5*V1046) + ('Methodology &amp; Assumptions'!$B$6*W1046), 2)</f>
        <v/>
      </c>
      <c r="Y1046" s="28" t="n">
        <v>8.300000000000001</v>
      </c>
      <c r="Z1046" s="11" t="inlineStr">
        <is>
          <t>Priority Tier 3 (Broadband Expansion)</t>
        </is>
      </c>
    </row>
    <row r="1047">
      <c r="A1047" s="23" t="n">
        <v>5</v>
      </c>
      <c r="B1047" s="23" t="n">
        <v>43</v>
      </c>
      <c r="C1047" s="23" t="n">
        <v>4043</v>
      </c>
      <c r="D1047" s="23" t="inlineStr">
        <is>
          <t>0405627020</t>
        </is>
      </c>
      <c r="E1047" s="11" t="inlineStr">
        <is>
          <t>Region IV-A (CALABARZON)</t>
        </is>
      </c>
      <c r="F1047" s="11" t="inlineStr">
        <is>
          <t>Quezon</t>
        </is>
      </c>
      <c r="G1047" s="11" t="inlineStr">
        <is>
          <t>Mauban</t>
        </is>
      </c>
      <c r="H1047" s="11" t="inlineStr">
        <is>
          <t>Bagong Bayan</t>
        </is>
      </c>
      <c r="I1047" s="24" t="n">
        <v>14.186746</v>
      </c>
      <c r="J1047" s="24" t="n">
        <v>121.729603</v>
      </c>
      <c r="K1047" s="23" t="inlineStr">
        <is>
          <t>U</t>
        </is>
      </c>
      <c r="L1047" s="25" t="n">
        <v>7834</v>
      </c>
      <c r="M1047" s="26" t="n">
        <v>3.8</v>
      </c>
      <c r="N1047" s="25">
        <f>ROUND(L1047/M1047, 0)</f>
        <v/>
      </c>
      <c r="O1047" s="25">
        <f>ROUND(N1047*'Methodology &amp; Assumptions'!$B$7, 0)</f>
        <v/>
      </c>
      <c r="P1047" s="23" t="inlineStr">
        <is>
          <t>Single Carrier (Band n50, 100MHz TDD)</t>
        </is>
      </c>
      <c r="Q1047" s="27">
        <f>ROUNDUP(O1047/'Methodology &amp; Assumptions'!$B$8, 0)</f>
        <v/>
      </c>
      <c r="R1047" s="27" t="n">
        <v>1</v>
      </c>
      <c r="S1047" s="26" t="n">
        <v>1.46</v>
      </c>
      <c r="T1047" s="26" t="n">
        <v>19.1</v>
      </c>
      <c r="U1047" s="11">
        <f>IF(S1047&lt;='Methodology &amp; Assumptions'!$B$10, "Direct Optical Drop (&lt;3km)", IF(S1047&lt;='Methodology &amp; Assumptions'!$B$9, "Near Optical / Microwave (&lt;5km)", "Starlink Business LEO Satellite Backhaul (&gt;5km)"))</f>
        <v/>
      </c>
      <c r="V1047" s="26" t="n">
        <v>72.43000000000001</v>
      </c>
      <c r="W1047" s="26" t="n">
        <v>44.69</v>
      </c>
      <c r="X1047" s="26">
        <f>ROUND(('Methodology &amp; Assumptions'!$B$5*V1047) + ('Methodology &amp; Assumptions'!$B$6*W1047), 2)</f>
        <v/>
      </c>
      <c r="Y1047" s="28" t="n">
        <v>7.2</v>
      </c>
      <c r="Z1047" s="11" t="inlineStr">
        <is>
          <t>Priority Tier 3 (Broadband Expansion)</t>
        </is>
      </c>
    </row>
    <row r="1048">
      <c r="A1048" s="23" t="n">
        <v>5</v>
      </c>
      <c r="B1048" s="23" t="n">
        <v>44</v>
      </c>
      <c r="C1048" s="23" t="n">
        <v>4044</v>
      </c>
      <c r="D1048" s="23" t="inlineStr">
        <is>
          <t>0401003007</t>
        </is>
      </c>
      <c r="E1048" s="11" t="inlineStr">
        <is>
          <t>Region IV-A (CALABARZON)</t>
        </is>
      </c>
      <c r="F1048" s="11" t="inlineStr">
        <is>
          <t>Batangas</t>
        </is>
      </c>
      <c r="G1048" s="11" t="inlineStr">
        <is>
          <t>Balayan</t>
        </is>
      </c>
      <c r="H1048" s="11" t="inlineStr">
        <is>
          <t>Barangay 2</t>
        </is>
      </c>
      <c r="I1048" s="24" t="n">
        <v>13.937491</v>
      </c>
      <c r="J1048" s="24" t="n">
        <v>120.724218</v>
      </c>
      <c r="K1048" s="23" t="inlineStr">
        <is>
          <t>R</t>
        </is>
      </c>
      <c r="L1048" s="25" t="n">
        <v>1492</v>
      </c>
      <c r="M1048" s="26" t="n">
        <v>3.6</v>
      </c>
      <c r="N1048" s="25">
        <f>ROUND(L1048/M1048, 0)</f>
        <v/>
      </c>
      <c r="O1048" s="25">
        <f>ROUND(N1048*'Methodology &amp; Assumptions'!$B$7, 0)</f>
        <v/>
      </c>
      <c r="P1048" s="23" t="inlineStr">
        <is>
          <t>Single Carrier (Band n50, 100MHz TDD)</t>
        </is>
      </c>
      <c r="Q1048" s="27">
        <f>ROUNDUP(O1048/'Methodology &amp; Assumptions'!$B$8, 0)</f>
        <v/>
      </c>
      <c r="R1048" s="27" t="n">
        <v>1</v>
      </c>
      <c r="S1048" s="26" t="n">
        <v>0.79</v>
      </c>
      <c r="T1048" s="26" t="n">
        <v>0.33</v>
      </c>
      <c r="U1048" s="11">
        <f>IF(S1048&lt;='Methodology &amp; Assumptions'!$B$10, "Direct Optical Drop (&lt;3km)", IF(S1048&lt;='Methodology &amp; Assumptions'!$B$9, "Near Optical / Microwave (&lt;5km)", "Starlink Business LEO Satellite Backhaul (&gt;5km)"))</f>
        <v/>
      </c>
      <c r="V1048" s="26" t="n">
        <v>72.34999999999999</v>
      </c>
      <c r="W1048" s="26" t="n">
        <v>44.78</v>
      </c>
      <c r="X1048" s="26">
        <f>ROUND(('Methodology &amp; Assumptions'!$B$5*V1048) + ('Methodology &amp; Assumptions'!$B$6*W1048), 2)</f>
        <v/>
      </c>
      <c r="Y1048" s="28" t="n">
        <v>7.2</v>
      </c>
      <c r="Z1048" s="11" t="inlineStr">
        <is>
          <t>Priority Tier 3 (Broadband Expansion)</t>
        </is>
      </c>
    </row>
    <row r="1049">
      <c r="A1049" s="23" t="n">
        <v>5</v>
      </c>
      <c r="B1049" s="23" t="n">
        <v>45</v>
      </c>
      <c r="C1049" s="23" t="n">
        <v>4045</v>
      </c>
      <c r="D1049" s="23" t="inlineStr">
        <is>
          <t>1380606117</t>
        </is>
      </c>
      <c r="E1049" s="11" t="inlineStr">
        <is>
          <t>National Capital Region (NCR)</t>
        </is>
      </c>
      <c r="F1049" s="11" t="inlineStr">
        <is>
          <t>First District (Not a Province)</t>
        </is>
      </c>
      <c r="G1049" s="11" t="inlineStr">
        <is>
          <t>City of Manila</t>
        </is>
      </c>
      <c r="H1049" s="11" t="inlineStr">
        <is>
          <t>Barangay 511</t>
        </is>
      </c>
      <c r="I1049" s="24" t="n">
        <v>14.6181</v>
      </c>
      <c r="J1049" s="24" t="n">
        <v>120.992053</v>
      </c>
      <c r="K1049" s="23" t="inlineStr">
        <is>
          <t>U</t>
        </is>
      </c>
      <c r="L1049" s="25" t="n">
        <v>1129</v>
      </c>
      <c r="M1049" s="26" t="n">
        <v>4.61</v>
      </c>
      <c r="N1049" s="25">
        <f>ROUND(L1049/M1049, 0)</f>
        <v/>
      </c>
      <c r="O1049" s="25">
        <f>ROUND(N1049*'Methodology &amp; Assumptions'!$B$7, 0)</f>
        <v/>
      </c>
      <c r="P1049" s="23" t="inlineStr">
        <is>
          <t>Single Carrier (Band n50, 100MHz TDD)</t>
        </is>
      </c>
      <c r="Q1049" s="27">
        <f>ROUNDUP(O1049/'Methodology &amp; Assumptions'!$B$8, 0)</f>
        <v/>
      </c>
      <c r="R1049" s="27" t="n">
        <v>1</v>
      </c>
      <c r="S1049" s="26" t="n">
        <v>1</v>
      </c>
      <c r="T1049" s="26" t="n">
        <v>0.78</v>
      </c>
      <c r="U1049" s="11">
        <f>IF(S1049&lt;='Methodology &amp; Assumptions'!$B$10, "Direct Optical Drop (&lt;3km)", IF(S1049&lt;='Methodology &amp; Assumptions'!$B$9, "Near Optical / Microwave (&lt;5km)", "Starlink Business LEO Satellite Backhaul (&gt;5km)"))</f>
        <v/>
      </c>
      <c r="V1049" s="26" t="n">
        <v>48.39</v>
      </c>
      <c r="W1049" s="26" t="n">
        <v>68.73</v>
      </c>
      <c r="X1049" s="26">
        <f>ROUND(('Methodology &amp; Assumptions'!$B$5*V1049) + ('Methodology &amp; Assumptions'!$B$6*W1049), 2)</f>
        <v/>
      </c>
      <c r="Y1049" s="28" t="n">
        <v>10.9</v>
      </c>
      <c r="Z1049" s="11" t="inlineStr">
        <is>
          <t>Priority Tier 3 (Broadband Expansion)</t>
        </is>
      </c>
    </row>
    <row r="1050">
      <c r="A1050" s="23" t="n">
        <v>5</v>
      </c>
      <c r="B1050" s="23" t="n">
        <v>46</v>
      </c>
      <c r="C1050" s="23" t="n">
        <v>4046</v>
      </c>
      <c r="D1050" s="23" t="inlineStr">
        <is>
          <t>1380606144</t>
        </is>
      </c>
      <c r="E1050" s="11" t="inlineStr">
        <is>
          <t>National Capital Region (NCR)</t>
        </is>
      </c>
      <c r="F1050" s="11" t="inlineStr">
        <is>
          <t>First District (Not a Province)</t>
        </is>
      </c>
      <c r="G1050" s="11" t="inlineStr">
        <is>
          <t>City of Manila</t>
        </is>
      </c>
      <c r="H1050" s="11" t="inlineStr">
        <is>
          <t>Barangay 538</t>
        </is>
      </c>
      <c r="I1050" s="24" t="n">
        <v>14.61292</v>
      </c>
      <c r="J1050" s="24" t="n">
        <v>121.004301</v>
      </c>
      <c r="K1050" s="23" t="inlineStr">
        <is>
          <t>U</t>
        </is>
      </c>
      <c r="L1050" s="25" t="n">
        <v>971</v>
      </c>
      <c r="M1050" s="26" t="n">
        <v>4.43</v>
      </c>
      <c r="N1050" s="25">
        <f>ROUND(L1050/M1050, 0)</f>
        <v/>
      </c>
      <c r="O1050" s="25">
        <f>ROUND(N1050*'Methodology &amp; Assumptions'!$B$7, 0)</f>
        <v/>
      </c>
      <c r="P1050" s="23" t="inlineStr">
        <is>
          <t>Single Carrier (Band n50, 100MHz TDD)</t>
        </is>
      </c>
      <c r="Q1050" s="27">
        <f>ROUNDUP(O1050/'Methodology &amp; Assumptions'!$B$8, 0)</f>
        <v/>
      </c>
      <c r="R1050" s="27" t="n">
        <v>1</v>
      </c>
      <c r="S1050" s="26" t="n">
        <v>0.23</v>
      </c>
      <c r="T1050" s="26" t="n">
        <v>0.17</v>
      </c>
      <c r="U1050" s="11">
        <f>IF(S1050&lt;='Methodology &amp; Assumptions'!$B$10, "Direct Optical Drop (&lt;3km)", IF(S1050&lt;='Methodology &amp; Assumptions'!$B$9, "Near Optical / Microwave (&lt;5km)", "Starlink Business LEO Satellite Backhaul (&gt;5km)"))</f>
        <v/>
      </c>
      <c r="V1050" s="26" t="n">
        <v>48.16</v>
      </c>
      <c r="W1050" s="26" t="n">
        <v>68.95</v>
      </c>
      <c r="X1050" s="26">
        <f>ROUND(('Methodology &amp; Assumptions'!$B$5*V1050) + ('Methodology &amp; Assumptions'!$B$6*W1050), 2)</f>
        <v/>
      </c>
      <c r="Y1050" s="28" t="n">
        <v>10.9</v>
      </c>
      <c r="Z1050" s="11" t="inlineStr">
        <is>
          <t>Priority Tier 3 (Broadband Expansion)</t>
        </is>
      </c>
    </row>
    <row r="1051">
      <c r="A1051" s="23" t="n">
        <v>5</v>
      </c>
      <c r="B1051" s="23" t="n">
        <v>47</v>
      </c>
      <c r="C1051" s="23" t="n">
        <v>4047</v>
      </c>
      <c r="D1051" s="23" t="inlineStr">
        <is>
          <t>1380606154</t>
        </is>
      </c>
      <c r="E1051" s="11" t="inlineStr">
        <is>
          <t>National Capital Region (NCR)</t>
        </is>
      </c>
      <c r="F1051" s="11" t="inlineStr">
        <is>
          <t>First District (Not a Province)</t>
        </is>
      </c>
      <c r="G1051" s="11" t="inlineStr">
        <is>
          <t>City of Manila</t>
        </is>
      </c>
      <c r="H1051" s="11" t="inlineStr">
        <is>
          <t>Barangay 548</t>
        </is>
      </c>
      <c r="I1051" s="24" t="n">
        <v>14.611177</v>
      </c>
      <c r="J1051" s="24" t="n">
        <v>120.999798</v>
      </c>
      <c r="K1051" s="23" t="inlineStr">
        <is>
          <t>U</t>
        </is>
      </c>
      <c r="L1051" s="25" t="n">
        <v>771</v>
      </c>
      <c r="M1051" s="26" t="n">
        <v>3.59</v>
      </c>
      <c r="N1051" s="25">
        <f>ROUND(L1051/M1051, 0)</f>
        <v/>
      </c>
      <c r="O1051" s="25">
        <f>ROUND(N1051*'Methodology &amp; Assumptions'!$B$7, 0)</f>
        <v/>
      </c>
      <c r="P1051" s="23" t="inlineStr">
        <is>
          <t>Single Carrier (Band n50, 100MHz TDD)</t>
        </is>
      </c>
      <c r="Q1051" s="27">
        <f>ROUNDUP(O1051/'Methodology &amp; Assumptions'!$B$8, 0)</f>
        <v/>
      </c>
      <c r="R1051" s="27" t="n">
        <v>1</v>
      </c>
      <c r="S1051" s="26" t="n">
        <v>0.43</v>
      </c>
      <c r="T1051" s="26" t="n">
        <v>0.08</v>
      </c>
      <c r="U1051" s="11">
        <f>IF(S1051&lt;='Methodology &amp; Assumptions'!$B$10, "Direct Optical Drop (&lt;3km)", IF(S1051&lt;='Methodology &amp; Assumptions'!$B$9, "Near Optical / Microwave (&lt;5km)", "Starlink Business LEO Satellite Backhaul (&gt;5km)"))</f>
        <v/>
      </c>
      <c r="V1051" s="26" t="n">
        <v>47.95</v>
      </c>
      <c r="W1051" s="26" t="n">
        <v>69.18000000000001</v>
      </c>
      <c r="X1051" s="26">
        <f>ROUND(('Methodology &amp; Assumptions'!$B$5*V1051) + ('Methodology &amp; Assumptions'!$B$6*W1051), 2)</f>
        <v/>
      </c>
      <c r="Y1051" s="28" t="n">
        <v>10.9</v>
      </c>
      <c r="Z1051" s="11" t="inlineStr">
        <is>
          <t>Priority Tier 3 (Broadband Expansion)</t>
        </is>
      </c>
    </row>
    <row r="1052">
      <c r="A1052" s="23" t="n">
        <v>5</v>
      </c>
      <c r="B1052" s="23" t="n">
        <v>48</v>
      </c>
      <c r="C1052" s="23" t="n">
        <v>4048</v>
      </c>
      <c r="D1052" s="23" t="inlineStr">
        <is>
          <t>0506207004</t>
        </is>
      </c>
      <c r="E1052" s="11" t="inlineStr">
        <is>
          <t>Region V (Bicol Region)</t>
        </is>
      </c>
      <c r="F1052" s="11" t="inlineStr">
        <is>
          <t>Sorsogon</t>
        </is>
      </c>
      <c r="G1052" s="11" t="inlineStr">
        <is>
          <t>Donsol</t>
        </is>
      </c>
      <c r="H1052" s="11" t="inlineStr">
        <is>
          <t>Bandi</t>
        </is>
      </c>
      <c r="I1052" s="24" t="n">
        <v>12.975746</v>
      </c>
      <c r="J1052" s="24" t="n">
        <v>123.592248</v>
      </c>
      <c r="K1052" s="23" t="inlineStr">
        <is>
          <t>R</t>
        </is>
      </c>
      <c r="L1052" s="25" t="n">
        <v>372</v>
      </c>
      <c r="M1052" s="26" t="n">
        <v>4</v>
      </c>
      <c r="N1052" s="25">
        <f>ROUND(L1052/M1052, 0)</f>
        <v/>
      </c>
      <c r="O1052" s="25">
        <f>ROUND(N1052*'Methodology &amp; Assumptions'!$B$7, 0)</f>
        <v/>
      </c>
      <c r="P1052" s="23" t="inlineStr">
        <is>
          <t>Single Carrier (Band n50, 100MHz TDD)</t>
        </is>
      </c>
      <c r="Q1052" s="27">
        <f>ROUNDUP(O1052/'Methodology &amp; Assumptions'!$B$8, 0)</f>
        <v/>
      </c>
      <c r="R1052" s="27" t="n">
        <v>1</v>
      </c>
      <c r="S1052" s="26" t="n">
        <v>7.86</v>
      </c>
      <c r="T1052" s="26" t="n">
        <v>14.07</v>
      </c>
      <c r="U1052" s="11">
        <f>IF(S1052&lt;='Methodology &amp; Assumptions'!$B$10, "Direct Optical Drop (&lt;3km)", IF(S1052&lt;='Methodology &amp; Assumptions'!$B$9, "Near Optical / Microwave (&lt;5km)", "Starlink Business LEO Satellite Backhaul (&gt;5km)"))</f>
        <v/>
      </c>
      <c r="V1052" s="26" t="n">
        <v>45.52</v>
      </c>
      <c r="W1052" s="26" t="n">
        <v>71.59999999999999</v>
      </c>
      <c r="X1052" s="26">
        <f>ROUND(('Methodology &amp; Assumptions'!$B$5*V1052) + ('Methodology &amp; Assumptions'!$B$6*W1052), 2)</f>
        <v/>
      </c>
      <c r="Y1052" s="28" t="n">
        <v>23.7</v>
      </c>
      <c r="Z1052" s="11" t="inlineStr">
        <is>
          <t>Priority Tier 3 (Broadband Expansion)</t>
        </is>
      </c>
    </row>
    <row r="1053">
      <c r="A1053" s="23" t="n">
        <v>5</v>
      </c>
      <c r="B1053" s="23" t="n">
        <v>49</v>
      </c>
      <c r="C1053" s="23" t="n">
        <v>4049</v>
      </c>
      <c r="D1053" s="23" t="inlineStr">
        <is>
          <t>1600305014</t>
        </is>
      </c>
      <c r="E1053" s="11" t="inlineStr">
        <is>
          <t>Region XIII (Caraga)</t>
        </is>
      </c>
      <c r="F1053" s="11" t="inlineStr">
        <is>
          <t>Agusan del Sur</t>
        </is>
      </c>
      <c r="G1053" s="11" t="inlineStr">
        <is>
          <t>Loreto</t>
        </is>
      </c>
      <c r="H1053" s="11" t="inlineStr">
        <is>
          <t>Katipunan</t>
        </is>
      </c>
      <c r="I1053" s="24" t="n">
        <v>8.184275</v>
      </c>
      <c r="J1053" s="24" t="n">
        <v>125.898652</v>
      </c>
      <c r="K1053" s="23" t="inlineStr">
        <is>
          <t>R</t>
        </is>
      </c>
      <c r="L1053" s="25" t="n">
        <v>634</v>
      </c>
      <c r="M1053" s="26" t="n">
        <v>3.9</v>
      </c>
      <c r="N1053" s="25">
        <f>ROUND(L1053/M1053, 0)</f>
        <v/>
      </c>
      <c r="O1053" s="25">
        <f>ROUND(N1053*'Methodology &amp; Assumptions'!$B$7, 0)</f>
        <v/>
      </c>
      <c r="P1053" s="23" t="inlineStr">
        <is>
          <t>Single Carrier (Band n50, 100MHz TDD)</t>
        </is>
      </c>
      <c r="Q1053" s="27">
        <f>ROUNDUP(O1053/'Methodology &amp; Assumptions'!$B$8, 0)</f>
        <v/>
      </c>
      <c r="R1053" s="27" t="n">
        <v>1</v>
      </c>
      <c r="S1053" s="26" t="n">
        <v>10.29</v>
      </c>
      <c r="T1053" s="26" t="n">
        <v>10.43</v>
      </c>
      <c r="U1053" s="11">
        <f>IF(S1053&lt;='Methodology &amp; Assumptions'!$B$10, "Direct Optical Drop (&lt;3km)", IF(S1053&lt;='Methodology &amp; Assumptions'!$B$9, "Near Optical / Microwave (&lt;5km)", "Starlink Business LEO Satellite Backhaul (&gt;5km)"))</f>
        <v/>
      </c>
      <c r="V1053" s="26" t="n">
        <v>44.74</v>
      </c>
      <c r="W1053" s="26" t="n">
        <v>72.38</v>
      </c>
      <c r="X1053" s="26">
        <f>ROUND(('Methodology &amp; Assumptions'!$B$5*V1053) + ('Methodology &amp; Assumptions'!$B$6*W1053), 2)</f>
        <v/>
      </c>
      <c r="Y1053" s="28" t="n">
        <v>17.4</v>
      </c>
      <c r="Z1053" s="11" t="inlineStr">
        <is>
          <t>Priority Tier 3 (Broadband Expansion)</t>
        </is>
      </c>
    </row>
    <row r="1054">
      <c r="A1054" s="23" t="n">
        <v>5</v>
      </c>
      <c r="B1054" s="23" t="n">
        <v>50</v>
      </c>
      <c r="C1054" s="23" t="n">
        <v>4050</v>
      </c>
      <c r="D1054" s="23" t="inlineStr">
        <is>
          <t>0105536016</t>
        </is>
      </c>
      <c r="E1054" s="11" t="inlineStr">
        <is>
          <t>Region I (Ilocos Region)</t>
        </is>
      </c>
      <c r="F1054" s="11" t="inlineStr">
        <is>
          <t>Pangasinan</t>
        </is>
      </c>
      <c r="G1054" s="11" t="inlineStr">
        <is>
          <t>San Nicolas</t>
        </is>
      </c>
      <c r="H1054" s="11" t="inlineStr">
        <is>
          <t>Malico</t>
        </is>
      </c>
      <c r="I1054" s="24" t="n">
        <v>16.1573</v>
      </c>
      <c r="J1054" s="24" t="n">
        <v>120.8267</v>
      </c>
      <c r="K1054" s="23" t="inlineStr">
        <is>
          <t>R</t>
        </is>
      </c>
      <c r="L1054" s="25" t="n">
        <v>351</v>
      </c>
      <c r="M1054" s="26" t="n">
        <v>3.6</v>
      </c>
      <c r="N1054" s="25">
        <f>ROUND(L1054/M1054, 0)</f>
        <v/>
      </c>
      <c r="O1054" s="25">
        <f>ROUND(N1054*'Methodology &amp; Assumptions'!$B$7, 0)</f>
        <v/>
      </c>
      <c r="P1054" s="23" t="inlineStr">
        <is>
          <t>Single Carrier (Band n50, 100MHz TDD)</t>
        </is>
      </c>
      <c r="Q1054" s="27">
        <f>ROUNDUP(O1054/'Methodology &amp; Assumptions'!$B$8, 0)</f>
        <v/>
      </c>
      <c r="R1054" s="27" t="n">
        <v>1</v>
      </c>
      <c r="S1054" s="26" t="n">
        <v>11.83</v>
      </c>
      <c r="T1054" s="26" t="n">
        <v>11.15</v>
      </c>
      <c r="U1054" s="11">
        <f>IF(S1054&lt;='Methodology &amp; Assumptions'!$B$10, "Direct Optical Drop (&lt;3km)", IF(S1054&lt;='Methodology &amp; Assumptions'!$B$9, "Near Optical / Microwave (&lt;5km)", "Starlink Business LEO Satellite Backhaul (&gt;5km)"))</f>
        <v/>
      </c>
      <c r="V1054" s="26" t="n">
        <v>39.65</v>
      </c>
      <c r="W1054" s="26" t="n">
        <v>77.47</v>
      </c>
      <c r="X1054" s="26">
        <f>ROUND(('Methodology &amp; Assumptions'!$B$5*V1054) + ('Methodology &amp; Assumptions'!$B$6*W1054), 2)</f>
        <v/>
      </c>
      <c r="Y1054" s="28" t="n">
        <v>8.300000000000001</v>
      </c>
      <c r="Z1054" s="11" t="inlineStr">
        <is>
          <t>Priority Tier 3 (Broadband Expansion)</t>
        </is>
      </c>
    </row>
    <row r="1055">
      <c r="A1055" s="23" t="n">
        <v>5</v>
      </c>
      <c r="B1055" s="23" t="n">
        <v>51</v>
      </c>
      <c r="C1055" s="23" t="n">
        <v>4051</v>
      </c>
      <c r="D1055" s="23" t="inlineStr">
        <is>
          <t>0301404011</t>
        </is>
      </c>
      <c r="E1055" s="11" t="inlineStr">
        <is>
          <t>Region III (Central Luzon)</t>
        </is>
      </c>
      <c r="F1055" s="11" t="inlineStr">
        <is>
          <t>Bulacan</t>
        </is>
      </c>
      <c r="G1055" s="11" t="inlineStr">
        <is>
          <t>Bocaue</t>
        </is>
      </c>
      <c r="H1055" s="11" t="inlineStr">
        <is>
          <t>Duhat</t>
        </is>
      </c>
      <c r="I1055" s="24" t="n">
        <v>14.785665</v>
      </c>
      <c r="J1055" s="24" t="n">
        <v>120.953049</v>
      </c>
      <c r="K1055" s="23" t="inlineStr">
        <is>
          <t>U</t>
        </is>
      </c>
      <c r="L1055" s="25" t="n">
        <v>9308</v>
      </c>
      <c r="M1055" s="26" t="n">
        <v>3.5</v>
      </c>
      <c r="N1055" s="25">
        <f>ROUND(L1055/M1055, 0)</f>
        <v/>
      </c>
      <c r="O1055" s="25">
        <f>ROUND(N1055*'Methodology &amp; Assumptions'!$B$7, 0)</f>
        <v/>
      </c>
      <c r="P1055" s="23" t="inlineStr">
        <is>
          <t>Single Carrier (Band n50, 100MHz TDD)</t>
        </is>
      </c>
      <c r="Q1055" s="27">
        <f>ROUNDUP(O1055/'Methodology &amp; Assumptions'!$B$8, 0)</f>
        <v/>
      </c>
      <c r="R1055" s="27" t="n">
        <v>1</v>
      </c>
      <c r="S1055" s="26" t="n">
        <v>2</v>
      </c>
      <c r="T1055" s="26" t="n">
        <v>1.04</v>
      </c>
      <c r="U1055" s="11">
        <f>IF(S1055&lt;='Methodology &amp; Assumptions'!$B$10, "Direct Optical Drop (&lt;3km)", IF(S1055&lt;='Methodology &amp; Assumptions'!$B$9, "Near Optical / Microwave (&lt;5km)", "Starlink Business LEO Satellite Backhaul (&gt;5km)"))</f>
        <v/>
      </c>
      <c r="V1055" s="26" t="n">
        <v>74.18000000000001</v>
      </c>
      <c r="W1055" s="26" t="n">
        <v>42.92</v>
      </c>
      <c r="X1055" s="26">
        <f>ROUND(('Methodology &amp; Assumptions'!$B$5*V1055) + ('Methodology &amp; Assumptions'!$B$6*W1055), 2)</f>
        <v/>
      </c>
      <c r="Y1055" s="28" t="n">
        <v>8.300000000000001</v>
      </c>
      <c r="Z1055" s="11" t="inlineStr">
        <is>
          <t>Priority Tier 3 (Broadband Expansion)</t>
        </is>
      </c>
    </row>
    <row r="1056">
      <c r="A1056" s="23" t="n">
        <v>5</v>
      </c>
      <c r="B1056" s="23" t="n">
        <v>52</v>
      </c>
      <c r="C1056" s="23" t="n">
        <v>4052</v>
      </c>
      <c r="D1056" s="23" t="inlineStr">
        <is>
          <t>0103301013</t>
        </is>
      </c>
      <c r="E1056" s="11" t="inlineStr">
        <is>
          <t>Region I (Ilocos Region)</t>
        </is>
      </c>
      <c r="F1056" s="11" t="inlineStr">
        <is>
          <t>La Union</t>
        </is>
      </c>
      <c r="G1056" s="11" t="inlineStr">
        <is>
          <t>Agoo</t>
        </is>
      </c>
      <c r="H1056" s="11" t="inlineStr">
        <is>
          <t>San Antonino</t>
        </is>
      </c>
      <c r="I1056" s="24" t="n">
        <v>16.318294</v>
      </c>
      <c r="J1056" s="24" t="n">
        <v>120.364646</v>
      </c>
      <c r="K1056" s="23" t="inlineStr">
        <is>
          <t>R</t>
        </is>
      </c>
      <c r="L1056" s="25" t="n">
        <v>1129</v>
      </c>
      <c r="M1056" s="26" t="n">
        <v>3.7</v>
      </c>
      <c r="N1056" s="25">
        <f>ROUND(L1056/M1056, 0)</f>
        <v/>
      </c>
      <c r="O1056" s="25">
        <f>ROUND(N1056*'Methodology &amp; Assumptions'!$B$7, 0)</f>
        <v/>
      </c>
      <c r="P1056" s="23" t="inlineStr">
        <is>
          <t>Single Carrier (Band n50, 100MHz TDD)</t>
        </is>
      </c>
      <c r="Q1056" s="27">
        <f>ROUNDUP(O1056/'Methodology &amp; Assumptions'!$B$8, 0)</f>
        <v/>
      </c>
      <c r="R1056" s="27" t="n">
        <v>1</v>
      </c>
      <c r="S1056" s="26" t="n">
        <v>0.71</v>
      </c>
      <c r="T1056" s="26" t="n">
        <v>0.38</v>
      </c>
      <c r="U1056" s="11">
        <f>IF(S1056&lt;='Methodology &amp; Assumptions'!$B$10, "Direct Optical Drop (&lt;3km)", IF(S1056&lt;='Methodology &amp; Assumptions'!$B$9, "Near Optical / Microwave (&lt;5km)", "Starlink Business LEO Satellite Backhaul (&gt;5km)"))</f>
        <v/>
      </c>
      <c r="V1056" s="26" t="n">
        <v>68.98999999999999</v>
      </c>
      <c r="W1056" s="26" t="n">
        <v>48.1</v>
      </c>
      <c r="X1056" s="26">
        <f>ROUND(('Methodology &amp; Assumptions'!$B$5*V1056) + ('Methodology &amp; Assumptions'!$B$6*W1056), 2)</f>
        <v/>
      </c>
      <c r="Y1056" s="28" t="n">
        <v>8.300000000000001</v>
      </c>
      <c r="Z1056" s="11" t="inlineStr">
        <is>
          <t>Priority Tier 3 (Broadband Expansion)</t>
        </is>
      </c>
    </row>
    <row r="1057">
      <c r="A1057" s="23" t="n">
        <v>5</v>
      </c>
      <c r="B1057" s="23" t="n">
        <v>53</v>
      </c>
      <c r="C1057" s="23" t="n">
        <v>4053</v>
      </c>
      <c r="D1057" s="23" t="inlineStr">
        <is>
          <t>1380614068</t>
        </is>
      </c>
      <c r="E1057" s="11" t="inlineStr">
        <is>
          <t>National Capital Region (NCR)</t>
        </is>
      </c>
      <c r="F1057" s="11" t="inlineStr">
        <is>
          <t>First District (Not a Province)</t>
        </is>
      </c>
      <c r="G1057" s="11" t="inlineStr">
        <is>
          <t>City of Manila</t>
        </is>
      </c>
      <c r="H1057" s="11" t="inlineStr">
        <is>
          <t>Barangay 875</t>
        </is>
      </c>
      <c r="I1057" s="24" t="n">
        <v>14.578448</v>
      </c>
      <c r="J1057" s="24" t="n">
        <v>121.013194</v>
      </c>
      <c r="K1057" s="23" t="inlineStr">
        <is>
          <t>U</t>
        </is>
      </c>
      <c r="L1057" s="25" t="n">
        <v>1003</v>
      </c>
      <c r="M1057" s="26" t="n">
        <v>3.57</v>
      </c>
      <c r="N1057" s="25">
        <f>ROUND(L1057/M1057, 0)</f>
        <v/>
      </c>
      <c r="O1057" s="25">
        <f>ROUND(N1057*'Methodology &amp; Assumptions'!$B$7, 0)</f>
        <v/>
      </c>
      <c r="P1057" s="23" t="inlineStr">
        <is>
          <t>Single Carrier (Band n50, 100MHz TDD)</t>
        </is>
      </c>
      <c r="Q1057" s="27">
        <f>ROUNDUP(O1057/'Methodology &amp; Assumptions'!$B$8, 0)</f>
        <v/>
      </c>
      <c r="R1057" s="27" t="n">
        <v>1</v>
      </c>
      <c r="S1057" s="26" t="n">
        <v>1.3</v>
      </c>
      <c r="T1057" s="26" t="n">
        <v>0.36</v>
      </c>
      <c r="U1057" s="11">
        <f>IF(S1057&lt;='Methodology &amp; Assumptions'!$B$10, "Direct Optical Drop (&lt;3km)", IF(S1057&lt;='Methodology &amp; Assumptions'!$B$9, "Near Optical / Microwave (&lt;5km)", "Starlink Business LEO Satellite Backhaul (&gt;5km)"))</f>
        <v/>
      </c>
      <c r="V1057" s="26" t="n">
        <v>48.33</v>
      </c>
      <c r="W1057" s="26" t="n">
        <v>68.76000000000001</v>
      </c>
      <c r="X1057" s="26">
        <f>ROUND(('Methodology &amp; Assumptions'!$B$5*V1057) + ('Methodology &amp; Assumptions'!$B$6*W1057), 2)</f>
        <v/>
      </c>
      <c r="Y1057" s="28" t="n">
        <v>10.9</v>
      </c>
      <c r="Z1057" s="11" t="inlineStr">
        <is>
          <t>Priority Tier 3 (Broadband Expansion)</t>
        </is>
      </c>
    </row>
    <row r="1058">
      <c r="A1058" s="23" t="n">
        <v>5</v>
      </c>
      <c r="B1058" s="23" t="n">
        <v>54</v>
      </c>
      <c r="C1058" s="23" t="n">
        <v>4054</v>
      </c>
      <c r="D1058" s="23" t="inlineStr">
        <is>
          <t>1380606126</t>
        </is>
      </c>
      <c r="E1058" s="11" t="inlineStr">
        <is>
          <t>National Capital Region (NCR)</t>
        </is>
      </c>
      <c r="F1058" s="11" t="inlineStr">
        <is>
          <t>First District (Not a Province)</t>
        </is>
      </c>
      <c r="G1058" s="11" t="inlineStr">
        <is>
          <t>City of Manila</t>
        </is>
      </c>
      <c r="H1058" s="11" t="inlineStr">
        <is>
          <t>Barangay 520</t>
        </is>
      </c>
      <c r="I1058" s="24" t="n">
        <v>14.61757</v>
      </c>
      <c r="J1058" s="24" t="n">
        <v>120.9962</v>
      </c>
      <c r="K1058" s="23" t="inlineStr">
        <is>
          <t>U</t>
        </is>
      </c>
      <c r="L1058" s="25" t="n">
        <v>695</v>
      </c>
      <c r="M1058" s="26" t="n">
        <v>2.76</v>
      </c>
      <c r="N1058" s="25">
        <f>ROUND(L1058/M1058, 0)</f>
        <v/>
      </c>
      <c r="O1058" s="25">
        <f>ROUND(N1058*'Methodology &amp; Assumptions'!$B$7, 0)</f>
        <v/>
      </c>
      <c r="P1058" s="23" t="inlineStr">
        <is>
          <t>Single Carrier (Band n50, 100MHz TDD)</t>
        </is>
      </c>
      <c r="Q1058" s="27">
        <f>ROUNDUP(O1058/'Methodology &amp; Assumptions'!$B$8, 0)</f>
        <v/>
      </c>
      <c r="R1058" s="27" t="n">
        <v>1</v>
      </c>
      <c r="S1058" s="26" t="n">
        <v>1.1</v>
      </c>
      <c r="T1058" s="26" t="n">
        <v>0.41</v>
      </c>
      <c r="U1058" s="11">
        <f>IF(S1058&lt;='Methodology &amp; Assumptions'!$B$10, "Direct Optical Drop (&lt;3km)", IF(S1058&lt;='Methodology &amp; Assumptions'!$B$9, "Near Optical / Microwave (&lt;5km)", "Starlink Business LEO Satellite Backhaul (&gt;5km)"))</f>
        <v/>
      </c>
      <c r="V1058" s="26" t="n">
        <v>48.25</v>
      </c>
      <c r="W1058" s="26" t="n">
        <v>68.84999999999999</v>
      </c>
      <c r="X1058" s="26">
        <f>ROUND(('Methodology &amp; Assumptions'!$B$5*V1058) + ('Methodology &amp; Assumptions'!$B$6*W1058), 2)</f>
        <v/>
      </c>
      <c r="Y1058" s="28" t="n">
        <v>10.9</v>
      </c>
      <c r="Z1058" s="11" t="inlineStr">
        <is>
          <t>Priority Tier 3 (Broadband Expansion)</t>
        </is>
      </c>
    </row>
    <row r="1059">
      <c r="A1059" s="23" t="n">
        <v>5</v>
      </c>
      <c r="B1059" s="23" t="n">
        <v>55</v>
      </c>
      <c r="C1059" s="23" t="n">
        <v>4055</v>
      </c>
      <c r="D1059" s="23" t="inlineStr">
        <is>
          <t>1380606158</t>
        </is>
      </c>
      <c r="E1059" s="11" t="inlineStr">
        <is>
          <t>National Capital Region (NCR)</t>
        </is>
      </c>
      <c r="F1059" s="11" t="inlineStr">
        <is>
          <t>First District (Not a Province)</t>
        </is>
      </c>
      <c r="G1059" s="11" t="inlineStr">
        <is>
          <t>City of Manila</t>
        </is>
      </c>
      <c r="H1059" s="11" t="inlineStr">
        <is>
          <t>Barangay 552</t>
        </is>
      </c>
      <c r="I1059" s="24" t="n">
        <v>14.609984</v>
      </c>
      <c r="J1059" s="24" t="n">
        <v>121.002328</v>
      </c>
      <c r="K1059" s="23" t="inlineStr">
        <is>
          <t>U</t>
        </is>
      </c>
      <c r="L1059" s="25" t="n">
        <v>942</v>
      </c>
      <c r="M1059" s="26" t="n">
        <v>4.3</v>
      </c>
      <c r="N1059" s="25">
        <f>ROUND(L1059/M1059, 0)</f>
        <v/>
      </c>
      <c r="O1059" s="25">
        <f>ROUND(N1059*'Methodology &amp; Assumptions'!$B$7, 0)</f>
        <v/>
      </c>
      <c r="P1059" s="23" t="inlineStr">
        <is>
          <t>Single Carrier (Band n50, 100MHz TDD)</t>
        </is>
      </c>
      <c r="Q1059" s="27">
        <f>ROUNDUP(O1059/'Methodology &amp; Assumptions'!$B$8, 0)</f>
        <v/>
      </c>
      <c r="R1059" s="27" t="n">
        <v>1</v>
      </c>
      <c r="S1059" s="26" t="n">
        <v>0.19</v>
      </c>
      <c r="T1059" s="26" t="n">
        <v>0.15</v>
      </c>
      <c r="U1059" s="11">
        <f>IF(S1059&lt;='Methodology &amp; Assumptions'!$B$10, "Direct Optical Drop (&lt;3km)", IF(S1059&lt;='Methodology &amp; Assumptions'!$B$9, "Near Optical / Microwave (&lt;5km)", "Starlink Business LEO Satellite Backhaul (&gt;5km)"))</f>
        <v/>
      </c>
      <c r="V1059" s="26" t="n">
        <v>48.16</v>
      </c>
      <c r="W1059" s="26" t="n">
        <v>68.94</v>
      </c>
      <c r="X1059" s="26">
        <f>ROUND(('Methodology &amp; Assumptions'!$B$5*V1059) + ('Methodology &amp; Assumptions'!$B$6*W1059), 2)</f>
        <v/>
      </c>
      <c r="Y1059" s="28" t="n">
        <v>10.9</v>
      </c>
      <c r="Z1059" s="11" t="inlineStr">
        <is>
          <t>Priority Tier 3 (Broadband Expansion)</t>
        </is>
      </c>
    </row>
    <row r="1060">
      <c r="A1060" s="23" t="n">
        <v>5</v>
      </c>
      <c r="B1060" s="23" t="n">
        <v>56</v>
      </c>
      <c r="C1060" s="23" t="n">
        <v>4056</v>
      </c>
      <c r="D1060" s="23" t="inlineStr">
        <is>
          <t>0306906029</t>
        </is>
      </c>
      <c r="E1060" s="11" t="inlineStr">
        <is>
          <t>Region III (Central Luzon)</t>
        </is>
      </c>
      <c r="F1060" s="11" t="inlineStr">
        <is>
          <t>Tarlac</t>
        </is>
      </c>
      <c r="G1060" s="11" t="inlineStr">
        <is>
          <t>Gerona</t>
        </is>
      </c>
      <c r="H1060" s="11" t="inlineStr">
        <is>
          <t>Poblacion 1</t>
        </is>
      </c>
      <c r="I1060" s="24" t="n">
        <v>15.608703</v>
      </c>
      <c r="J1060" s="24" t="n">
        <v>120.597393</v>
      </c>
      <c r="K1060" s="23" t="inlineStr">
        <is>
          <t>R</t>
        </is>
      </c>
      <c r="L1060" s="25" t="n">
        <v>3115</v>
      </c>
      <c r="M1060" s="26" t="n">
        <v>3.9</v>
      </c>
      <c r="N1060" s="25">
        <f>ROUND(L1060/M1060, 0)</f>
        <v/>
      </c>
      <c r="O1060" s="25">
        <f>ROUND(N1060*'Methodology &amp; Assumptions'!$B$7, 0)</f>
        <v/>
      </c>
      <c r="P1060" s="23" t="inlineStr">
        <is>
          <t>Single Carrier (Band n50, 100MHz TDD)</t>
        </is>
      </c>
      <c r="Q1060" s="27">
        <f>ROUNDUP(O1060/'Methodology &amp; Assumptions'!$B$8, 0)</f>
        <v/>
      </c>
      <c r="R1060" s="27" t="n">
        <v>1</v>
      </c>
      <c r="S1060" s="26" t="n">
        <v>1.47</v>
      </c>
      <c r="T1060" s="26" t="n">
        <v>0.27</v>
      </c>
      <c r="U1060" s="11">
        <f>IF(S1060&lt;='Methodology &amp; Assumptions'!$B$10, "Direct Optical Drop (&lt;3km)", IF(S1060&lt;='Methodology &amp; Assumptions'!$B$9, "Near Optical / Microwave (&lt;5km)", "Starlink Business LEO Satellite Backhaul (&gt;5km)"))</f>
        <v/>
      </c>
      <c r="V1060" s="26" t="n">
        <v>82.64</v>
      </c>
      <c r="W1060" s="26" t="n">
        <v>34.43</v>
      </c>
      <c r="X1060" s="26">
        <f>ROUND(('Methodology &amp; Assumptions'!$B$5*V1060) + ('Methodology &amp; Assumptions'!$B$6*W1060), 2)</f>
        <v/>
      </c>
      <c r="Y1060" s="28" t="n">
        <v>8.300000000000001</v>
      </c>
      <c r="Z1060" s="11" t="inlineStr">
        <is>
          <t>Priority Tier 3 (Broadband Expansion)</t>
        </is>
      </c>
    </row>
    <row r="1061">
      <c r="A1061" s="23" t="n">
        <v>5</v>
      </c>
      <c r="B1061" s="23" t="n">
        <v>57</v>
      </c>
      <c r="C1061" s="23" t="n">
        <v>4057</v>
      </c>
      <c r="D1061" s="23" t="inlineStr">
        <is>
          <t>0403405011</t>
        </is>
      </c>
      <c r="E1061" s="11" t="inlineStr">
        <is>
          <t>Region IV-A (CALABARZON)</t>
        </is>
      </c>
      <c r="F1061" s="11" t="inlineStr">
        <is>
          <t>Laguna</t>
        </is>
      </c>
      <c r="G1061" s="11" t="inlineStr">
        <is>
          <t>City of Calamba</t>
        </is>
      </c>
      <c r="H1061" s="11" t="inlineStr">
        <is>
          <t>Canlubang</t>
        </is>
      </c>
      <c r="I1061" s="24" t="n">
        <v>14.205628</v>
      </c>
      <c r="J1061" s="24" t="n">
        <v>121.107139</v>
      </c>
      <c r="K1061" s="23" t="inlineStr">
        <is>
          <t>U</t>
        </is>
      </c>
      <c r="L1061" s="25" t="n">
        <v>66090</v>
      </c>
      <c r="M1061" s="26" t="n">
        <v>3.3</v>
      </c>
      <c r="N1061" s="25">
        <f>ROUND(L1061/M1061, 0)</f>
        <v/>
      </c>
      <c r="O1061" s="25">
        <f>ROUND(N1061*'Methodology &amp; Assumptions'!$B$7, 0)</f>
        <v/>
      </c>
      <c r="P1061" s="23" t="inlineStr">
        <is>
          <t>Single Carrier (Band n50, 100MHz TDD)</t>
        </is>
      </c>
      <c r="Q1061" s="27">
        <f>ROUNDUP(O1061/'Methodology &amp; Assumptions'!$B$8, 0)</f>
        <v/>
      </c>
      <c r="R1061" s="27" t="n">
        <v>1</v>
      </c>
      <c r="S1061" s="26" t="n">
        <v>1.79</v>
      </c>
      <c r="T1061" s="26" t="n">
        <v>0.8</v>
      </c>
      <c r="U1061" s="11">
        <f>IF(S1061&lt;='Methodology &amp; Assumptions'!$B$10, "Direct Optical Drop (&lt;3km)", IF(S1061&lt;='Methodology &amp; Assumptions'!$B$9, "Near Optical / Microwave (&lt;5km)", "Starlink Business LEO Satellite Backhaul (&gt;5km)"))</f>
        <v/>
      </c>
      <c r="V1061" s="26" t="n">
        <v>72.52</v>
      </c>
      <c r="W1061" s="26" t="n">
        <v>44.56</v>
      </c>
      <c r="X1061" s="26">
        <f>ROUND(('Methodology &amp; Assumptions'!$B$5*V1061) + ('Methodology &amp; Assumptions'!$B$6*W1061), 2)</f>
        <v/>
      </c>
      <c r="Y1061" s="28" t="n">
        <v>7.2</v>
      </c>
      <c r="Z1061" s="11" t="inlineStr">
        <is>
          <t>Priority Tier 3 (Broadband Expansion)</t>
        </is>
      </c>
    </row>
    <row r="1062">
      <c r="A1062" s="23" t="n">
        <v>5</v>
      </c>
      <c r="B1062" s="23" t="n">
        <v>58</v>
      </c>
      <c r="C1062" s="23" t="n">
        <v>4058</v>
      </c>
      <c r="D1062" s="23" t="inlineStr">
        <is>
          <t>1001304015</t>
        </is>
      </c>
      <c r="E1062" s="11" t="inlineStr">
        <is>
          <t>Region X (Northern Mindanao)</t>
        </is>
      </c>
      <c r="F1062" s="11" t="inlineStr">
        <is>
          <t>Bukidnon</t>
        </is>
      </c>
      <c r="G1062" s="11" t="inlineStr">
        <is>
          <t>Don Carlos</t>
        </is>
      </c>
      <c r="H1062" s="11" t="inlineStr">
        <is>
          <t>Maraymaray</t>
        </is>
      </c>
      <c r="I1062" s="24" t="n">
        <v>7.735054</v>
      </c>
      <c r="J1062" s="24" t="n">
        <v>124.928835</v>
      </c>
      <c r="K1062" s="23" t="inlineStr">
        <is>
          <t>R</t>
        </is>
      </c>
      <c r="L1062" s="25" t="n">
        <v>3455</v>
      </c>
      <c r="M1062" s="26" t="n">
        <v>3.8</v>
      </c>
      <c r="N1062" s="25">
        <f>ROUND(L1062/M1062, 0)</f>
        <v/>
      </c>
      <c r="O1062" s="25">
        <f>ROUND(N1062*'Methodology &amp; Assumptions'!$B$7, 0)</f>
        <v/>
      </c>
      <c r="P1062" s="23" t="inlineStr">
        <is>
          <t>Single Carrier (Band n50, 100MHz TDD)</t>
        </is>
      </c>
      <c r="Q1062" s="27">
        <f>ROUNDUP(O1062/'Methodology &amp; Assumptions'!$B$8, 0)</f>
        <v/>
      </c>
      <c r="R1062" s="27" t="n">
        <v>1</v>
      </c>
      <c r="S1062" s="26" t="n">
        <v>5.18</v>
      </c>
      <c r="T1062" s="26" t="n">
        <v>8.81</v>
      </c>
      <c r="U1062" s="11">
        <f>IF(S1062&lt;='Methodology &amp; Assumptions'!$B$10, "Direct Optical Drop (&lt;3km)", IF(S1062&lt;='Methodology &amp; Assumptions'!$B$9, "Near Optical / Microwave (&lt;5km)", "Starlink Business LEO Satellite Backhaul (&gt;5km)"))</f>
        <v/>
      </c>
      <c r="V1062" s="26" t="n">
        <v>71.79000000000001</v>
      </c>
      <c r="W1062" s="26" t="n">
        <v>45.29</v>
      </c>
      <c r="X1062" s="26">
        <f>ROUND(('Methodology &amp; Assumptions'!$B$5*V1062) + ('Methodology &amp; Assumptions'!$B$6*W1062), 2)</f>
        <v/>
      </c>
      <c r="Y1062" s="28" t="n">
        <v>17.4</v>
      </c>
      <c r="Z1062" s="11" t="inlineStr">
        <is>
          <t>Priority Tier 3 (Broadband Expansion)</t>
        </is>
      </c>
    </row>
    <row r="1063">
      <c r="A1063" s="23" t="n">
        <v>5</v>
      </c>
      <c r="B1063" s="23" t="n">
        <v>59</v>
      </c>
      <c r="C1063" s="23" t="n">
        <v>4059</v>
      </c>
      <c r="D1063" s="23" t="inlineStr">
        <is>
          <t>1900708004</t>
        </is>
      </c>
      <c r="E1063" s="11" t="inlineStr">
        <is>
          <t>Bangsamoro Autonomous Region In Muslim Mindanao (BARMM)</t>
        </is>
      </c>
      <c r="F1063" s="11" t="inlineStr">
        <is>
          <t>Basilan</t>
        </is>
      </c>
      <c r="G1063" s="11" t="inlineStr">
        <is>
          <t>Akbar</t>
        </is>
      </c>
      <c r="H1063" s="11" t="inlineStr">
        <is>
          <t>Mangalut</t>
        </is>
      </c>
      <c r="I1063" s="24" t="n">
        <v>6.635433</v>
      </c>
      <c r="J1063" s="24" t="n">
        <v>122.231806</v>
      </c>
      <c r="K1063" s="23" t="inlineStr">
        <is>
          <t>R</t>
        </is>
      </c>
      <c r="L1063" s="25" t="n">
        <v>2298</v>
      </c>
      <c r="M1063" s="26" t="n">
        <v>5.1</v>
      </c>
      <c r="N1063" s="25">
        <f>ROUND(L1063/M1063, 0)</f>
        <v/>
      </c>
      <c r="O1063" s="25">
        <f>ROUND(N1063*'Methodology &amp; Assumptions'!$B$7, 0)</f>
        <v/>
      </c>
      <c r="P1063" s="23" t="inlineStr">
        <is>
          <t>Single Carrier (Band n50, 100MHz TDD)</t>
        </is>
      </c>
      <c r="Q1063" s="27">
        <f>ROUNDUP(O1063/'Methodology &amp; Assumptions'!$B$8, 0)</f>
        <v/>
      </c>
      <c r="R1063" s="27" t="n">
        <v>1</v>
      </c>
      <c r="S1063" s="26" t="n">
        <v>35.2</v>
      </c>
      <c r="T1063" s="26" t="n">
        <v>35.19</v>
      </c>
      <c r="U1063" s="11">
        <f>IF(S1063&lt;='Methodology &amp; Assumptions'!$B$10, "Direct Optical Drop (&lt;3km)", IF(S1063&lt;='Methodology &amp; Assumptions'!$B$9, "Near Optical / Microwave (&lt;5km)", "Starlink Business LEO Satellite Backhaul (&gt;5km)"))</f>
        <v/>
      </c>
      <c r="V1063" s="26" t="n">
        <v>45.51</v>
      </c>
      <c r="W1063" s="26" t="n">
        <v>71.56</v>
      </c>
      <c r="X1063" s="26">
        <f>ROUND(('Methodology &amp; Assumptions'!$B$5*V1063) + ('Methodology &amp; Assumptions'!$B$6*W1063), 2)</f>
        <v/>
      </c>
      <c r="Y1063" s="28" t="n">
        <v>11</v>
      </c>
      <c r="Z1063" s="11" t="inlineStr">
        <is>
          <t>Priority Tier 3 (Broadband Expansion)</t>
        </is>
      </c>
    </row>
    <row r="1064">
      <c r="A1064" s="23" t="n">
        <v>5</v>
      </c>
      <c r="B1064" s="23" t="n">
        <v>60</v>
      </c>
      <c r="C1064" s="23" t="n">
        <v>4060</v>
      </c>
      <c r="D1064" s="23" t="inlineStr">
        <is>
          <t>0803708058</t>
        </is>
      </c>
      <c r="E1064" s="11" t="inlineStr">
        <is>
          <t>Region VIII (Eastern Visayas)</t>
        </is>
      </c>
      <c r="F1064" s="11" t="inlineStr">
        <is>
          <t>Leyte</t>
        </is>
      </c>
      <c r="G1064" s="11" t="inlineStr">
        <is>
          <t>City of Baybay</t>
        </is>
      </c>
      <c r="H1064" s="11" t="inlineStr">
        <is>
          <t>Poblacion Zone 2</t>
        </is>
      </c>
      <c r="I1064" s="24" t="n">
        <v>10.680129</v>
      </c>
      <c r="J1064" s="24" t="n">
        <v>124.8026</v>
      </c>
      <c r="K1064" s="23" t="inlineStr">
        <is>
          <t>R</t>
        </is>
      </c>
      <c r="L1064" s="25" t="n">
        <v>677</v>
      </c>
      <c r="M1064" s="26" t="n">
        <v>3.8</v>
      </c>
      <c r="N1064" s="25">
        <f>ROUND(L1064/M1064, 0)</f>
        <v/>
      </c>
      <c r="O1064" s="25">
        <f>ROUND(N1064*'Methodology &amp; Assumptions'!$B$7, 0)</f>
        <v/>
      </c>
      <c r="P1064" s="23" t="inlineStr">
        <is>
          <t>Single Carrier (Band n50, 100MHz TDD)</t>
        </is>
      </c>
      <c r="Q1064" s="27">
        <f>ROUNDUP(O1064/'Methodology &amp; Assumptions'!$B$8, 0)</f>
        <v/>
      </c>
      <c r="R1064" s="27" t="n">
        <v>1</v>
      </c>
      <c r="S1064" s="26" t="n">
        <v>0.12</v>
      </c>
      <c r="T1064" s="26" t="n">
        <v>0.18</v>
      </c>
      <c r="U1064" s="11">
        <f>IF(S1064&lt;='Methodology &amp; Assumptions'!$B$10, "Direct Optical Drop (&lt;3km)", IF(S1064&lt;='Methodology &amp; Assumptions'!$B$9, "Near Optical / Microwave (&lt;5km)", "Starlink Business LEO Satellite Backhaul (&gt;5km)"))</f>
        <v/>
      </c>
      <c r="V1064" s="26" t="n">
        <v>66.83</v>
      </c>
      <c r="W1064" s="26" t="n">
        <v>50.22</v>
      </c>
      <c r="X1064" s="26">
        <f>ROUND(('Methodology &amp; Assumptions'!$B$5*V1064) + ('Methodology &amp; Assumptions'!$B$6*W1064), 2)</f>
        <v/>
      </c>
      <c r="Y1064" s="28" t="n">
        <v>23.7</v>
      </c>
      <c r="Z1064" s="11" t="inlineStr">
        <is>
          <t>Priority Tier 3 (Broadband Expansion)</t>
        </is>
      </c>
    </row>
    <row r="1065">
      <c r="A1065" s="23" t="n">
        <v>5</v>
      </c>
      <c r="B1065" s="23" t="n">
        <v>61</v>
      </c>
      <c r="C1065" s="23" t="n">
        <v>4061</v>
      </c>
      <c r="D1065" s="23" t="inlineStr">
        <is>
          <t>1380606225</t>
        </is>
      </c>
      <c r="E1065" s="11" t="inlineStr">
        <is>
          <t>National Capital Region (NCR)</t>
        </is>
      </c>
      <c r="F1065" s="11" t="inlineStr">
        <is>
          <t>First District (Not a Province)</t>
        </is>
      </c>
      <c r="G1065" s="11" t="inlineStr">
        <is>
          <t>City of Manila</t>
        </is>
      </c>
      <c r="H1065" s="11" t="inlineStr">
        <is>
          <t>Barangay 618</t>
        </is>
      </c>
      <c r="I1065" s="24" t="n">
        <v>14.591252</v>
      </c>
      <c r="J1065" s="24" t="n">
        <v>121.02249</v>
      </c>
      <c r="K1065" s="23" t="inlineStr">
        <is>
          <t>U</t>
        </is>
      </c>
      <c r="L1065" s="25" t="n">
        <v>749</v>
      </c>
      <c r="M1065" s="26" t="n">
        <v>3.33</v>
      </c>
      <c r="N1065" s="25">
        <f>ROUND(L1065/M1065, 0)</f>
        <v/>
      </c>
      <c r="O1065" s="25">
        <f>ROUND(N1065*'Methodology &amp; Assumptions'!$B$7, 0)</f>
        <v/>
      </c>
      <c r="P1065" s="23" t="inlineStr">
        <is>
          <t>Single Carrier (Band n50, 100MHz TDD)</t>
        </is>
      </c>
      <c r="Q1065" s="27">
        <f>ROUNDUP(O1065/'Methodology &amp; Assumptions'!$B$8, 0)</f>
        <v/>
      </c>
      <c r="R1065" s="27" t="n">
        <v>1</v>
      </c>
      <c r="S1065" s="26" t="n">
        <v>1.04</v>
      </c>
      <c r="T1065" s="26" t="n">
        <v>0.25</v>
      </c>
      <c r="U1065" s="11">
        <f>IF(S1065&lt;='Methodology &amp; Assumptions'!$B$10, "Direct Optical Drop (&lt;3km)", IF(S1065&lt;='Methodology &amp; Assumptions'!$B$9, "Near Optical / Microwave (&lt;5km)", "Starlink Business LEO Satellite Backhaul (&gt;5km)"))</f>
        <v/>
      </c>
      <c r="V1065" s="26" t="n">
        <v>47.61</v>
      </c>
      <c r="W1065" s="26" t="n">
        <v>69.45</v>
      </c>
      <c r="X1065" s="26">
        <f>ROUND(('Methodology &amp; Assumptions'!$B$5*V1065) + ('Methodology &amp; Assumptions'!$B$6*W1065), 2)</f>
        <v/>
      </c>
      <c r="Y1065" s="28" t="n">
        <v>10.9</v>
      </c>
      <c r="Z1065" s="11" t="inlineStr">
        <is>
          <t>Priority Tier 3 (Broadband Expansion)</t>
        </is>
      </c>
    </row>
    <row r="1066">
      <c r="A1066" s="23" t="n">
        <v>5</v>
      </c>
      <c r="B1066" s="23" t="n">
        <v>62</v>
      </c>
      <c r="C1066" s="23" t="n">
        <v>4062</v>
      </c>
      <c r="D1066" s="23" t="inlineStr">
        <is>
          <t>1380610056</t>
        </is>
      </c>
      <c r="E1066" s="11" t="inlineStr">
        <is>
          <t>National Capital Region (NCR)</t>
        </is>
      </c>
      <c r="F1066" s="11" t="inlineStr">
        <is>
          <t>First District (Not a Province)</t>
        </is>
      </c>
      <c r="G1066" s="11" t="inlineStr">
        <is>
          <t>City of Manila</t>
        </is>
      </c>
      <c r="H1066" s="11" t="inlineStr">
        <is>
          <t>Barangay 742</t>
        </is>
      </c>
      <c r="I1066" s="24" t="n">
        <v>14.573894</v>
      </c>
      <c r="J1066" s="24" t="n">
        <v>120.99534</v>
      </c>
      <c r="K1066" s="23" t="inlineStr">
        <is>
          <t>U</t>
        </is>
      </c>
      <c r="L1066" s="25" t="n">
        <v>836</v>
      </c>
      <c r="M1066" s="26" t="n">
        <v>4.8</v>
      </c>
      <c r="N1066" s="25">
        <f>ROUND(L1066/M1066, 0)</f>
        <v/>
      </c>
      <c r="O1066" s="25">
        <f>ROUND(N1066*'Methodology &amp; Assumptions'!$B$7, 0)</f>
        <v/>
      </c>
      <c r="P1066" s="23" t="inlineStr">
        <is>
          <t>Single Carrier (Band n50, 100MHz TDD)</t>
        </is>
      </c>
      <c r="Q1066" s="27">
        <f>ROUNDUP(O1066/'Methodology &amp; Assumptions'!$B$8, 0)</f>
        <v/>
      </c>
      <c r="R1066" s="27" t="n">
        <v>1</v>
      </c>
      <c r="S1066" s="26" t="n">
        <v>0.24</v>
      </c>
      <c r="T1066" s="26" t="n">
        <v>0.21</v>
      </c>
      <c r="U1066" s="11">
        <f>IF(S1066&lt;='Methodology &amp; Assumptions'!$B$10, "Direct Optical Drop (&lt;3km)", IF(S1066&lt;='Methodology &amp; Assumptions'!$B$9, "Near Optical / Microwave (&lt;5km)", "Starlink Business LEO Satellite Backhaul (&gt;5km)"))</f>
        <v/>
      </c>
      <c r="V1066" s="26" t="n">
        <v>46.66</v>
      </c>
      <c r="W1066" s="26" t="n">
        <v>70.39</v>
      </c>
      <c r="X1066" s="26">
        <f>ROUND(('Methodology &amp; Assumptions'!$B$5*V1066) + ('Methodology &amp; Assumptions'!$B$6*W1066), 2)</f>
        <v/>
      </c>
      <c r="Y1066" s="28" t="n">
        <v>10.9</v>
      </c>
      <c r="Z1066" s="11" t="inlineStr">
        <is>
          <t>Priority Tier 3 (Broadband Expansion)</t>
        </is>
      </c>
    </row>
    <row r="1067">
      <c r="A1067" s="23" t="n">
        <v>5</v>
      </c>
      <c r="B1067" s="23" t="n">
        <v>63</v>
      </c>
      <c r="C1067" s="23" t="n">
        <v>4063</v>
      </c>
      <c r="D1067" s="23" t="inlineStr">
        <is>
          <t>0405622087</t>
        </is>
      </c>
      <c r="E1067" s="11" t="inlineStr">
        <is>
          <t>Region IV-A (CALABARZON)</t>
        </is>
      </c>
      <c r="F1067" s="11" t="inlineStr">
        <is>
          <t>Quezon</t>
        </is>
      </c>
      <c r="G1067" s="11" t="inlineStr">
        <is>
          <t>Lopez</t>
        </is>
      </c>
      <c r="H1067" s="11" t="inlineStr">
        <is>
          <t>Vergaña</t>
        </is>
      </c>
      <c r="I1067" s="24" t="n">
        <v>13.867634</v>
      </c>
      <c r="J1067" s="24" t="n">
        <v>122.363319</v>
      </c>
      <c r="K1067" s="23" t="inlineStr">
        <is>
          <t>R</t>
        </is>
      </c>
      <c r="L1067" s="25" t="n">
        <v>874</v>
      </c>
      <c r="M1067" s="26" t="n">
        <v>3.8</v>
      </c>
      <c r="N1067" s="25">
        <f>ROUND(L1067/M1067, 0)</f>
        <v/>
      </c>
      <c r="O1067" s="25">
        <f>ROUND(N1067*'Methodology &amp; Assumptions'!$B$7, 0)</f>
        <v/>
      </c>
      <c r="P1067" s="23" t="inlineStr">
        <is>
          <t>Single Carrier (Band n50, 100MHz TDD)</t>
        </is>
      </c>
      <c r="Q1067" s="27">
        <f>ROUNDUP(O1067/'Methodology &amp; Assumptions'!$B$8, 0)</f>
        <v/>
      </c>
      <c r="R1067" s="27" t="n">
        <v>1</v>
      </c>
      <c r="S1067" s="26" t="n">
        <v>10.13</v>
      </c>
      <c r="T1067" s="26" t="n">
        <v>3.49</v>
      </c>
      <c r="U1067" s="11">
        <f>IF(S1067&lt;='Methodology &amp; Assumptions'!$B$10, "Direct Optical Drop (&lt;3km)", IF(S1067&lt;='Methodology &amp; Assumptions'!$B$9, "Near Optical / Microwave (&lt;5km)", "Starlink Business LEO Satellite Backhaul (&gt;5km)"))</f>
        <v/>
      </c>
      <c r="V1067" s="26" t="n">
        <v>45.73</v>
      </c>
      <c r="W1067" s="26" t="n">
        <v>71.33</v>
      </c>
      <c r="X1067" s="26">
        <f>ROUND(('Methodology &amp; Assumptions'!$B$5*V1067) + ('Methodology &amp; Assumptions'!$B$6*W1067), 2)</f>
        <v/>
      </c>
      <c r="Y1067" s="28" t="n">
        <v>7.2</v>
      </c>
      <c r="Z1067" s="11" t="inlineStr">
        <is>
          <t>Priority Tier 3 (Broadband Expansion)</t>
        </is>
      </c>
    </row>
    <row r="1068">
      <c r="A1068" s="23" t="n">
        <v>5</v>
      </c>
      <c r="B1068" s="23" t="n">
        <v>64</v>
      </c>
      <c r="C1068" s="23" t="n">
        <v>4064</v>
      </c>
      <c r="D1068" s="23" t="inlineStr">
        <is>
          <t>0301419038</t>
        </is>
      </c>
      <c r="E1068" s="11" t="inlineStr">
        <is>
          <t>Region III (Central Luzon)</t>
        </is>
      </c>
      <c r="F1068" s="11" t="inlineStr">
        <is>
          <t>Bulacan</t>
        </is>
      </c>
      <c r="G1068" s="11" t="inlineStr">
        <is>
          <t>San Ildefonso</t>
        </is>
      </c>
      <c r="H1068" s="11" t="inlineStr">
        <is>
          <t>Mataas na Parang</t>
        </is>
      </c>
      <c r="I1068" s="24" t="n">
        <v>15.08522</v>
      </c>
      <c r="J1068" s="24" t="n">
        <v>120.952051</v>
      </c>
      <c r="K1068" s="23" t="inlineStr">
        <is>
          <t>R</t>
        </is>
      </c>
      <c r="L1068" s="25" t="n">
        <v>3209</v>
      </c>
      <c r="M1068" s="26" t="n">
        <v>3.5</v>
      </c>
      <c r="N1068" s="25">
        <f>ROUND(L1068/M1068, 0)</f>
        <v/>
      </c>
      <c r="O1068" s="25">
        <f>ROUND(N1068*'Methodology &amp; Assumptions'!$B$7, 0)</f>
        <v/>
      </c>
      <c r="P1068" s="23" t="inlineStr">
        <is>
          <t>Single Carrier (Band n50, 100MHz TDD)</t>
        </is>
      </c>
      <c r="Q1068" s="27">
        <f>ROUNDUP(O1068/'Methodology &amp; Assumptions'!$B$8, 0)</f>
        <v/>
      </c>
      <c r="R1068" s="27" t="n">
        <v>1</v>
      </c>
      <c r="S1068" s="26" t="n">
        <v>1.58</v>
      </c>
      <c r="T1068" s="26" t="n">
        <v>1.36</v>
      </c>
      <c r="U1068" s="11">
        <f>IF(S1068&lt;='Methodology &amp; Assumptions'!$B$10, "Direct Optical Drop (&lt;3km)", IF(S1068&lt;='Methodology &amp; Assumptions'!$B$9, "Near Optical / Microwave (&lt;5km)", "Starlink Business LEO Satellite Backhaul (&gt;5km)"))</f>
        <v/>
      </c>
      <c r="V1068" s="26" t="n">
        <v>82.84999999999999</v>
      </c>
      <c r="W1068" s="26" t="n">
        <v>34.18</v>
      </c>
      <c r="X1068" s="26">
        <f>ROUND(('Methodology &amp; Assumptions'!$B$5*V1068) + ('Methodology &amp; Assumptions'!$B$6*W1068), 2)</f>
        <v/>
      </c>
      <c r="Y1068" s="28" t="n">
        <v>8.300000000000001</v>
      </c>
      <c r="Z1068" s="11" t="inlineStr">
        <is>
          <t>Priority Tier 3 (Broadband Expansion)</t>
        </is>
      </c>
    </row>
    <row r="1069">
      <c r="A1069" s="23" t="n">
        <v>5</v>
      </c>
      <c r="B1069" s="23" t="n">
        <v>65</v>
      </c>
      <c r="C1069" s="23" t="n">
        <v>4065</v>
      </c>
      <c r="D1069" s="23" t="inlineStr">
        <is>
          <t>0105525036</t>
        </is>
      </c>
      <c r="E1069" s="11" t="inlineStr">
        <is>
          <t>Region I (Ilocos Region)</t>
        </is>
      </c>
      <c r="F1069" s="11" t="inlineStr">
        <is>
          <t>Pangasinan</t>
        </is>
      </c>
      <c r="G1069" s="11" t="inlineStr">
        <is>
          <t>Manaoag</t>
        </is>
      </c>
      <c r="H1069" s="11" t="inlineStr">
        <is>
          <t>Pantal</t>
        </is>
      </c>
      <c r="I1069" s="24" t="n">
        <v>16.037928</v>
      </c>
      <c r="J1069" s="24" t="n">
        <v>120.486803</v>
      </c>
      <c r="K1069" s="23" t="inlineStr">
        <is>
          <t>R</t>
        </is>
      </c>
      <c r="L1069" s="25" t="n">
        <v>3236</v>
      </c>
      <c r="M1069" s="26" t="n">
        <v>3.6</v>
      </c>
      <c r="N1069" s="25">
        <f>ROUND(L1069/M1069, 0)</f>
        <v/>
      </c>
      <c r="O1069" s="25">
        <f>ROUND(N1069*'Methodology &amp; Assumptions'!$B$7, 0)</f>
        <v/>
      </c>
      <c r="P1069" s="23" t="inlineStr">
        <is>
          <t>Single Carrier (Band n50, 100MHz TDD)</t>
        </is>
      </c>
      <c r="Q1069" s="27">
        <f>ROUNDUP(O1069/'Methodology &amp; Assumptions'!$B$8, 0)</f>
        <v/>
      </c>
      <c r="R1069" s="27" t="n">
        <v>1</v>
      </c>
      <c r="S1069" s="26" t="n">
        <v>0.85</v>
      </c>
      <c r="T1069" s="26" t="n">
        <v>6.66</v>
      </c>
      <c r="U1069" s="11">
        <f>IF(S1069&lt;='Methodology &amp; Assumptions'!$B$10, "Direct Optical Drop (&lt;3km)", IF(S1069&lt;='Methodology &amp; Assumptions'!$B$9, "Near Optical / Microwave (&lt;5km)", "Starlink Business LEO Satellite Backhaul (&gt;5km)"))</f>
        <v/>
      </c>
      <c r="V1069" s="26" t="n">
        <v>82.12</v>
      </c>
      <c r="W1069" s="26" t="n">
        <v>34.92</v>
      </c>
      <c r="X1069" s="26">
        <f>ROUND(('Methodology &amp; Assumptions'!$B$5*V1069) + ('Methodology &amp; Assumptions'!$B$6*W1069), 2)</f>
        <v/>
      </c>
      <c r="Y1069" s="28" t="n">
        <v>8.300000000000001</v>
      </c>
      <c r="Z1069" s="11" t="inlineStr">
        <is>
          <t>Priority Tier 3 (Broadband Expansion)</t>
        </is>
      </c>
    </row>
    <row r="1070">
      <c r="A1070" s="23" t="n">
        <v>5</v>
      </c>
      <c r="B1070" s="23" t="n">
        <v>66</v>
      </c>
      <c r="C1070" s="23" t="n">
        <v>4066</v>
      </c>
      <c r="D1070" s="23" t="inlineStr">
        <is>
          <t>0305417015</t>
        </is>
      </c>
      <c r="E1070" s="11" t="inlineStr">
        <is>
          <t>Region III (Central Luzon)</t>
        </is>
      </c>
      <c r="F1070" s="11" t="inlineStr">
        <is>
          <t>Pampanga</t>
        </is>
      </c>
      <c r="G1070" s="11" t="inlineStr">
        <is>
          <t>San Luis</t>
        </is>
      </c>
      <c r="H1070" s="11" t="inlineStr">
        <is>
          <t>Santa Rita</t>
        </is>
      </c>
      <c r="I1070" s="24" t="n">
        <v>15.034114</v>
      </c>
      <c r="J1070" s="24" t="n">
        <v>120.780554</v>
      </c>
      <c r="K1070" s="23" t="inlineStr">
        <is>
          <t>R</t>
        </is>
      </c>
      <c r="L1070" s="25" t="n">
        <v>2806</v>
      </c>
      <c r="M1070" s="26" t="n">
        <v>4</v>
      </c>
      <c r="N1070" s="25">
        <f>ROUND(L1070/M1070, 0)</f>
        <v/>
      </c>
      <c r="O1070" s="25">
        <f>ROUND(N1070*'Methodology &amp; Assumptions'!$B$7, 0)</f>
        <v/>
      </c>
      <c r="P1070" s="23" t="inlineStr">
        <is>
          <t>Single Carrier (Band n50, 100MHz TDD)</t>
        </is>
      </c>
      <c r="Q1070" s="27">
        <f>ROUNDUP(O1070/'Methodology &amp; Assumptions'!$B$8, 0)</f>
        <v/>
      </c>
      <c r="R1070" s="27" t="n">
        <v>1</v>
      </c>
      <c r="S1070" s="26" t="n">
        <v>1.02</v>
      </c>
      <c r="T1070" s="26" t="n">
        <v>0.85</v>
      </c>
      <c r="U1070" s="11">
        <f>IF(S1070&lt;='Methodology &amp; Assumptions'!$B$10, "Direct Optical Drop (&lt;3km)", IF(S1070&lt;='Methodology &amp; Assumptions'!$B$9, "Near Optical / Microwave (&lt;5km)", "Starlink Business LEO Satellite Backhaul (&gt;5km)"))</f>
        <v/>
      </c>
      <c r="V1070" s="26" t="n">
        <v>81.2</v>
      </c>
      <c r="W1070" s="26" t="n">
        <v>35.83</v>
      </c>
      <c r="X1070" s="26">
        <f>ROUND(('Methodology &amp; Assumptions'!$B$5*V1070) + ('Methodology &amp; Assumptions'!$B$6*W1070), 2)</f>
        <v/>
      </c>
      <c r="Y1070" s="28" t="n">
        <v>8.300000000000001</v>
      </c>
      <c r="Z1070" s="11" t="inlineStr">
        <is>
          <t>Priority Tier 3 (Broadband Expansion)</t>
        </is>
      </c>
    </row>
    <row r="1071">
      <c r="A1071" s="23" t="n">
        <v>5</v>
      </c>
      <c r="B1071" s="23" t="n">
        <v>67</v>
      </c>
      <c r="C1071" s="23" t="n">
        <v>4067</v>
      </c>
      <c r="D1071" s="23" t="inlineStr">
        <is>
          <t>0702234003</t>
        </is>
      </c>
      <c r="E1071" s="11" t="inlineStr">
        <is>
          <t>Region VII (Central Visayas)</t>
        </is>
      </c>
      <c r="F1071" s="11" t="inlineStr">
        <is>
          <t>Cebu</t>
        </is>
      </c>
      <c r="G1071" s="11" t="inlineStr">
        <is>
          <t>City of Naga</t>
        </is>
      </c>
      <c r="H1071" s="11" t="inlineStr">
        <is>
          <t>Balirong</t>
        </is>
      </c>
      <c r="I1071" s="24" t="n">
        <v>10.256826</v>
      </c>
      <c r="J1071" s="24" t="n">
        <v>123.710848</v>
      </c>
      <c r="K1071" s="23" t="inlineStr">
        <is>
          <t>U</t>
        </is>
      </c>
      <c r="L1071" s="25" t="n">
        <v>5268</v>
      </c>
      <c r="M1071" s="26" t="n">
        <v>3.8</v>
      </c>
      <c r="N1071" s="25">
        <f>ROUND(L1071/M1071, 0)</f>
        <v/>
      </c>
      <c r="O1071" s="25">
        <f>ROUND(N1071*'Methodology &amp; Assumptions'!$B$7, 0)</f>
        <v/>
      </c>
      <c r="P1071" s="23" t="inlineStr">
        <is>
          <t>Single Carrier (Band n50, 100MHz TDD)</t>
        </is>
      </c>
      <c r="Q1071" s="27">
        <f>ROUNDUP(O1071/'Methodology &amp; Assumptions'!$B$8, 0)</f>
        <v/>
      </c>
      <c r="R1071" s="27" t="n">
        <v>1</v>
      </c>
      <c r="S1071" s="26" t="n">
        <v>0.14</v>
      </c>
      <c r="T1071" s="26" t="n">
        <v>0.15</v>
      </c>
      <c r="U1071" s="11">
        <f>IF(S1071&lt;='Methodology &amp; Assumptions'!$B$10, "Direct Optical Drop (&lt;3km)", IF(S1071&lt;='Methodology &amp; Assumptions'!$B$9, "Near Optical / Microwave (&lt;5km)", "Starlink Business LEO Satellite Backhaul (&gt;5km)"))</f>
        <v/>
      </c>
      <c r="V1071" s="26" t="n">
        <v>80.86</v>
      </c>
      <c r="W1071" s="26" t="n">
        <v>36.18</v>
      </c>
      <c r="X1071" s="26">
        <f>ROUND(('Methodology &amp; Assumptions'!$B$5*V1071) + ('Methodology &amp; Assumptions'!$B$6*W1071), 2)</f>
        <v/>
      </c>
      <c r="Y1071" s="28" t="n">
        <v>23.7</v>
      </c>
      <c r="Z1071" s="11" t="inlineStr">
        <is>
          <t>Priority Tier 3 (Broadband Expansion)</t>
        </is>
      </c>
    </row>
    <row r="1072">
      <c r="A1072" s="23" t="n">
        <v>5</v>
      </c>
      <c r="B1072" s="23" t="n">
        <v>68</v>
      </c>
      <c r="C1072" s="23" t="n">
        <v>4068</v>
      </c>
      <c r="D1072" s="23" t="inlineStr">
        <is>
          <t>0301420019</t>
        </is>
      </c>
      <c r="E1072" s="11" t="inlineStr">
        <is>
          <t>Region III (Central Luzon)</t>
        </is>
      </c>
      <c r="F1072" s="11" t="inlineStr">
        <is>
          <t>Bulacan</t>
        </is>
      </c>
      <c r="G1072" s="11" t="inlineStr">
        <is>
          <t>City of San Jose Del Monte</t>
        </is>
      </c>
      <c r="H1072" s="11" t="inlineStr">
        <is>
          <t>Assumption</t>
        </is>
      </c>
      <c r="I1072" s="24" t="n">
        <v>14.862711</v>
      </c>
      <c r="J1072" s="24" t="n">
        <v>121.063819</v>
      </c>
      <c r="K1072" s="23" t="inlineStr">
        <is>
          <t>R</t>
        </is>
      </c>
      <c r="L1072" s="25" t="n">
        <v>4559</v>
      </c>
      <c r="M1072" s="26" t="n">
        <v>3.5</v>
      </c>
      <c r="N1072" s="25">
        <f>ROUND(L1072/M1072, 0)</f>
        <v/>
      </c>
      <c r="O1072" s="25">
        <f>ROUND(N1072*'Methodology &amp; Assumptions'!$B$7, 0)</f>
        <v/>
      </c>
      <c r="P1072" s="23" t="inlineStr">
        <is>
          <t>Single Carrier (Band n50, 100MHz TDD)</t>
        </is>
      </c>
      <c r="Q1072" s="27">
        <f>ROUNDUP(O1072/'Methodology &amp; Assumptions'!$B$8, 0)</f>
        <v/>
      </c>
      <c r="R1072" s="27" t="n">
        <v>1</v>
      </c>
      <c r="S1072" s="26" t="n">
        <v>2.45</v>
      </c>
      <c r="T1072" s="26" t="n">
        <v>4.26</v>
      </c>
      <c r="U1072" s="11">
        <f>IF(S1072&lt;='Methodology &amp; Assumptions'!$B$10, "Direct Optical Drop (&lt;3km)", IF(S1072&lt;='Methodology &amp; Assumptions'!$B$9, "Near Optical / Microwave (&lt;5km)", "Starlink Business LEO Satellite Backhaul (&gt;5km)"))</f>
        <v/>
      </c>
      <c r="V1072" s="26" t="n">
        <v>76.41</v>
      </c>
      <c r="W1072" s="26" t="n">
        <v>40.63</v>
      </c>
      <c r="X1072" s="26">
        <f>ROUND(('Methodology &amp; Assumptions'!$B$5*V1072) + ('Methodology &amp; Assumptions'!$B$6*W1072), 2)</f>
        <v/>
      </c>
      <c r="Y1072" s="28" t="n">
        <v>8.300000000000001</v>
      </c>
      <c r="Z1072" s="11" t="inlineStr">
        <is>
          <t>Priority Tier 3 (Broadband Expansion)</t>
        </is>
      </c>
    </row>
    <row r="1073">
      <c r="A1073" s="23" t="n">
        <v>5</v>
      </c>
      <c r="B1073" s="23" t="n">
        <v>69</v>
      </c>
      <c r="C1073" s="23" t="n">
        <v>4069</v>
      </c>
      <c r="D1073" s="23" t="inlineStr">
        <is>
          <t>0504117022</t>
        </is>
      </c>
      <c r="E1073" s="11" t="inlineStr">
        <is>
          <t>Region V (Bicol Region)</t>
        </is>
      </c>
      <c r="F1073" s="11" t="inlineStr">
        <is>
          <t>Masbate</t>
        </is>
      </c>
      <c r="G1073" s="11" t="inlineStr">
        <is>
          <t>Placer</t>
        </is>
      </c>
      <c r="H1073" s="11" t="inlineStr">
        <is>
          <t>Nagarao</t>
        </is>
      </c>
      <c r="I1073" s="24" t="n">
        <v>11.817757</v>
      </c>
      <c r="J1073" s="24" t="n">
        <v>123.844792</v>
      </c>
      <c r="K1073" s="23" t="inlineStr">
        <is>
          <t>R</t>
        </is>
      </c>
      <c r="L1073" s="25" t="n">
        <v>835</v>
      </c>
      <c r="M1073" s="26" t="n">
        <v>4.1</v>
      </c>
      <c r="N1073" s="25">
        <f>ROUND(L1073/M1073, 0)</f>
        <v/>
      </c>
      <c r="O1073" s="25">
        <f>ROUND(N1073*'Methodology &amp; Assumptions'!$B$7, 0)</f>
        <v/>
      </c>
      <c r="P1073" s="23" t="inlineStr">
        <is>
          <t>Single Carrier (Band n50, 100MHz TDD)</t>
        </is>
      </c>
      <c r="Q1073" s="27">
        <f>ROUNDUP(O1073/'Methodology &amp; Assumptions'!$B$8, 0)</f>
        <v/>
      </c>
      <c r="R1073" s="27" t="n">
        <v>1</v>
      </c>
      <c r="S1073" s="26" t="n">
        <v>9.17</v>
      </c>
      <c r="T1073" s="26" t="n">
        <v>31.8</v>
      </c>
      <c r="U1073" s="11">
        <f>IF(S1073&lt;='Methodology &amp; Assumptions'!$B$10, "Direct Optical Drop (&lt;3km)", IF(S1073&lt;='Methodology &amp; Assumptions'!$B$9, "Near Optical / Microwave (&lt;5km)", "Starlink Business LEO Satellite Backhaul (&gt;5km)"))</f>
        <v/>
      </c>
      <c r="V1073" s="26" t="n">
        <v>47.73</v>
      </c>
      <c r="W1073" s="26" t="n">
        <v>69.3</v>
      </c>
      <c r="X1073" s="26">
        <f>ROUND(('Methodology &amp; Assumptions'!$B$5*V1073) + ('Methodology &amp; Assumptions'!$B$6*W1073), 2)</f>
        <v/>
      </c>
      <c r="Y1073" s="28" t="n">
        <v>23.7</v>
      </c>
      <c r="Z1073" s="11" t="inlineStr">
        <is>
          <t>Priority Tier 3 (Broadband Expansion)</t>
        </is>
      </c>
    </row>
    <row r="1074">
      <c r="A1074" s="23" t="n">
        <v>5</v>
      </c>
      <c r="B1074" s="23" t="n">
        <v>70</v>
      </c>
      <c r="C1074" s="23" t="n">
        <v>4070</v>
      </c>
      <c r="D1074" s="23" t="inlineStr">
        <is>
          <t>0307104012</t>
        </is>
      </c>
      <c r="E1074" s="11" t="inlineStr">
        <is>
          <t>Region III (Central Luzon)</t>
        </is>
      </c>
      <c r="F1074" s="11" t="inlineStr">
        <is>
          <t>Zambales</t>
        </is>
      </c>
      <c r="G1074" s="11" t="inlineStr">
        <is>
          <t>Castillejos</t>
        </is>
      </c>
      <c r="H1074" s="11" t="inlineStr">
        <is>
          <t>San Nicolas</t>
        </is>
      </c>
      <c r="I1074" s="24" t="n">
        <v>14.92694</v>
      </c>
      <c r="J1074" s="24" t="n">
        <v>120.2015</v>
      </c>
      <c r="K1074" s="23" t="inlineStr">
        <is>
          <t>R</t>
        </is>
      </c>
      <c r="L1074" s="25" t="n">
        <v>4602</v>
      </c>
      <c r="M1074" s="26" t="n">
        <v>3.8</v>
      </c>
      <c r="N1074" s="25">
        <f>ROUND(L1074/M1074, 0)</f>
        <v/>
      </c>
      <c r="O1074" s="25">
        <f>ROUND(N1074*'Methodology &amp; Assumptions'!$B$7, 0)</f>
        <v/>
      </c>
      <c r="P1074" s="23" t="inlineStr">
        <is>
          <t>Single Carrier (Band n50, 100MHz TDD)</t>
        </is>
      </c>
      <c r="Q1074" s="27">
        <f>ROUNDUP(O1074/'Methodology &amp; Assumptions'!$B$8, 0)</f>
        <v/>
      </c>
      <c r="R1074" s="27" t="n">
        <v>1</v>
      </c>
      <c r="S1074" s="26" t="n">
        <v>0.32</v>
      </c>
      <c r="T1074" s="26" t="n">
        <v>0.33</v>
      </c>
      <c r="U1074" s="11">
        <f>IF(S1074&lt;='Methodology &amp; Assumptions'!$B$10, "Direct Optical Drop (&lt;3km)", IF(S1074&lt;='Methodology &amp; Assumptions'!$B$9, "Near Optical / Microwave (&lt;5km)", "Starlink Business LEO Satellite Backhaul (&gt;5km)"))</f>
        <v/>
      </c>
      <c r="V1074" s="26" t="n">
        <v>85.63</v>
      </c>
      <c r="W1074" s="26" t="n">
        <v>31.38</v>
      </c>
      <c r="X1074" s="26">
        <f>ROUND(('Methodology &amp; Assumptions'!$B$5*V1074) + ('Methodology &amp; Assumptions'!$B$6*W1074), 2)</f>
        <v/>
      </c>
      <c r="Y1074" s="28" t="n">
        <v>8.300000000000001</v>
      </c>
      <c r="Z1074" s="11" t="inlineStr">
        <is>
          <t>Priority Tier 3 (Broadband Expansion)</t>
        </is>
      </c>
    </row>
    <row r="1075">
      <c r="A1075" s="23" t="n">
        <v>5</v>
      </c>
      <c r="B1075" s="23" t="n">
        <v>71</v>
      </c>
      <c r="C1075" s="23" t="n">
        <v>4071</v>
      </c>
      <c r="D1075" s="23" t="inlineStr">
        <is>
          <t>0307701011</t>
        </is>
      </c>
      <c r="E1075" s="11" t="inlineStr">
        <is>
          <t>Region III (Central Luzon)</t>
        </is>
      </c>
      <c r="F1075" s="11" t="inlineStr">
        <is>
          <t>Aurora</t>
        </is>
      </c>
      <c r="G1075" s="11" t="inlineStr">
        <is>
          <t>Baler</t>
        </is>
      </c>
      <c r="H1075" s="11" t="inlineStr">
        <is>
          <t>Sabang</t>
        </is>
      </c>
      <c r="I1075" s="24" t="n">
        <v>15.757037</v>
      </c>
      <c r="J1075" s="24" t="n">
        <v>121.570392</v>
      </c>
      <c r="K1075" s="23" t="inlineStr">
        <is>
          <t>R</t>
        </is>
      </c>
      <c r="L1075" s="25" t="n">
        <v>3274</v>
      </c>
      <c r="M1075" s="26" t="n">
        <v>3.8</v>
      </c>
      <c r="N1075" s="25">
        <f>ROUND(L1075/M1075, 0)</f>
        <v/>
      </c>
      <c r="O1075" s="25">
        <f>ROUND(N1075*'Methodology &amp; Assumptions'!$B$7, 0)</f>
        <v/>
      </c>
      <c r="P1075" s="23" t="inlineStr">
        <is>
          <t>Single Carrier (Band n50, 100MHz TDD)</t>
        </is>
      </c>
      <c r="Q1075" s="27">
        <f>ROUNDUP(O1075/'Methodology &amp; Assumptions'!$B$8, 0)</f>
        <v/>
      </c>
      <c r="R1075" s="27" t="n">
        <v>1</v>
      </c>
      <c r="S1075" s="26" t="n">
        <v>0.85</v>
      </c>
      <c r="T1075" s="26" t="n">
        <v>0.64</v>
      </c>
      <c r="U1075" s="11">
        <f>IF(S1075&lt;='Methodology &amp; Assumptions'!$B$10, "Direct Optical Drop (&lt;3km)", IF(S1075&lt;='Methodology &amp; Assumptions'!$B$9, "Near Optical / Microwave (&lt;5km)", "Starlink Business LEO Satellite Backhaul (&gt;5km)"))</f>
        <v/>
      </c>
      <c r="V1075" s="26" t="n">
        <v>85.59</v>
      </c>
      <c r="W1075" s="26" t="n">
        <v>31.43</v>
      </c>
      <c r="X1075" s="26">
        <f>ROUND(('Methodology &amp; Assumptions'!$B$5*V1075) + ('Methodology &amp; Assumptions'!$B$6*W1075), 2)</f>
        <v/>
      </c>
      <c r="Y1075" s="28" t="n">
        <v>8.300000000000001</v>
      </c>
      <c r="Z1075" s="11" t="inlineStr">
        <is>
          <t>Priority Tier 3 (Broadband Expansion)</t>
        </is>
      </c>
    </row>
    <row r="1076">
      <c r="A1076" s="23" t="n">
        <v>5</v>
      </c>
      <c r="B1076" s="23" t="n">
        <v>72</v>
      </c>
      <c r="C1076" s="23" t="n">
        <v>4072</v>
      </c>
      <c r="D1076" s="23" t="inlineStr">
        <is>
          <t>0105526027</t>
        </is>
      </c>
      <c r="E1076" s="11" t="inlineStr">
        <is>
          <t>Region I (Ilocos Region)</t>
        </is>
      </c>
      <c r="F1076" s="11" t="inlineStr">
        <is>
          <t>Pangasinan</t>
        </is>
      </c>
      <c r="G1076" s="11" t="inlineStr">
        <is>
          <t>Mangaldan</t>
        </is>
      </c>
      <c r="H1076" s="11" t="inlineStr">
        <is>
          <t>Salaan</t>
        </is>
      </c>
      <c r="I1076" s="24" t="n">
        <v>16.085436</v>
      </c>
      <c r="J1076" s="24" t="n">
        <v>120.404604</v>
      </c>
      <c r="K1076" s="23" t="inlineStr">
        <is>
          <t>R</t>
        </is>
      </c>
      <c r="L1076" s="25" t="n">
        <v>2958</v>
      </c>
      <c r="M1076" s="26" t="n">
        <v>3.6</v>
      </c>
      <c r="N1076" s="25">
        <f>ROUND(L1076/M1076, 0)</f>
        <v/>
      </c>
      <c r="O1076" s="25">
        <f>ROUND(N1076*'Methodology &amp; Assumptions'!$B$7, 0)</f>
        <v/>
      </c>
      <c r="P1076" s="23" t="inlineStr">
        <is>
          <t>Single Carrier (Band n50, 100MHz TDD)</t>
        </is>
      </c>
      <c r="Q1076" s="27">
        <f>ROUNDUP(O1076/'Methodology &amp; Assumptions'!$B$8, 0)</f>
        <v/>
      </c>
      <c r="R1076" s="27" t="n">
        <v>1</v>
      </c>
      <c r="S1076" s="26" t="n">
        <v>1.98</v>
      </c>
      <c r="T1076" s="26" t="n">
        <v>0.96</v>
      </c>
      <c r="U1076" s="11">
        <f>IF(S1076&lt;='Methodology &amp; Assumptions'!$B$10, "Direct Optical Drop (&lt;3km)", IF(S1076&lt;='Methodology &amp; Assumptions'!$B$9, "Near Optical / Microwave (&lt;5km)", "Starlink Business LEO Satellite Backhaul (&gt;5km)"))</f>
        <v/>
      </c>
      <c r="V1076" s="26" t="n">
        <v>81.47</v>
      </c>
      <c r="W1076" s="26" t="n">
        <v>35.55</v>
      </c>
      <c r="X1076" s="26">
        <f>ROUND(('Methodology &amp; Assumptions'!$B$5*V1076) + ('Methodology &amp; Assumptions'!$B$6*W1076), 2)</f>
        <v/>
      </c>
      <c r="Y1076" s="28" t="n">
        <v>8.300000000000001</v>
      </c>
      <c r="Z1076" s="11" t="inlineStr">
        <is>
          <t>Priority Tier 3 (Broadband Expansion)</t>
        </is>
      </c>
    </row>
    <row r="1077">
      <c r="A1077" s="23" t="n">
        <v>5</v>
      </c>
      <c r="B1077" s="23" t="n">
        <v>73</v>
      </c>
      <c r="C1077" s="23" t="n">
        <v>4073</v>
      </c>
      <c r="D1077" s="23" t="inlineStr">
        <is>
          <t>0301421041</t>
        </is>
      </c>
      <c r="E1077" s="11" t="inlineStr">
        <is>
          <t>Region III (Central Luzon)</t>
        </is>
      </c>
      <c r="F1077" s="11" t="inlineStr">
        <is>
          <t>Bulacan</t>
        </is>
      </c>
      <c r="G1077" s="11" t="inlineStr">
        <is>
          <t>San Miguel</t>
        </is>
      </c>
      <c r="H1077" s="11" t="inlineStr">
        <is>
          <t>Salangan</t>
        </is>
      </c>
      <c r="I1077" s="24" t="n">
        <v>15.128474</v>
      </c>
      <c r="J1077" s="24" t="n">
        <v>120.953339</v>
      </c>
      <c r="K1077" s="23" t="inlineStr">
        <is>
          <t>U</t>
        </is>
      </c>
      <c r="L1077" s="25" t="n">
        <v>5606</v>
      </c>
      <c r="M1077" s="26" t="n">
        <v>3.5</v>
      </c>
      <c r="N1077" s="25">
        <f>ROUND(L1077/M1077, 0)</f>
        <v/>
      </c>
      <c r="O1077" s="25">
        <f>ROUND(N1077*'Methodology &amp; Assumptions'!$B$7, 0)</f>
        <v/>
      </c>
      <c r="P1077" s="23" t="inlineStr">
        <is>
          <t>Single Carrier (Band n50, 100MHz TDD)</t>
        </is>
      </c>
      <c r="Q1077" s="27">
        <f>ROUNDUP(O1077/'Methodology &amp; Assumptions'!$B$8, 0)</f>
        <v/>
      </c>
      <c r="R1077" s="27" t="n">
        <v>1</v>
      </c>
      <c r="S1077" s="26" t="n">
        <v>1.2</v>
      </c>
      <c r="T1077" s="26" t="n">
        <v>0.06</v>
      </c>
      <c r="U1077" s="11">
        <f>IF(S1077&lt;='Methodology &amp; Assumptions'!$B$10, "Direct Optical Drop (&lt;3km)", IF(S1077&lt;='Methodology &amp; Assumptions'!$B$9, "Near Optical / Microwave (&lt;5km)", "Starlink Business LEO Satellite Backhaul (&gt;5km)"))</f>
        <v/>
      </c>
      <c r="V1077" s="26" t="n">
        <v>77.04000000000001</v>
      </c>
      <c r="W1077" s="26" t="n">
        <v>39.98</v>
      </c>
      <c r="X1077" s="26">
        <f>ROUND(('Methodology &amp; Assumptions'!$B$5*V1077) + ('Methodology &amp; Assumptions'!$B$6*W1077), 2)</f>
        <v/>
      </c>
      <c r="Y1077" s="28" t="n">
        <v>8.300000000000001</v>
      </c>
      <c r="Z1077" s="11" t="inlineStr">
        <is>
          <t>Priority Tier 3 (Broadband Expansion)</t>
        </is>
      </c>
    </row>
    <row r="1078">
      <c r="A1078" s="23" t="n">
        <v>5</v>
      </c>
      <c r="B1078" s="23" t="n">
        <v>74</v>
      </c>
      <c r="C1078" s="23" t="n">
        <v>4074</v>
      </c>
      <c r="D1078" s="23" t="inlineStr">
        <is>
          <t>1381100082</t>
        </is>
      </c>
      <c r="E1078" s="11" t="inlineStr">
        <is>
          <t>National Capital Region (NCR)</t>
        </is>
      </c>
      <c r="F1078" s="11" t="inlineStr">
        <is>
          <t>Fourth District (Not a Province)</t>
        </is>
      </c>
      <c r="G1078" s="11" t="inlineStr">
        <is>
          <t>Pasay City</t>
        </is>
      </c>
      <c r="H1078" s="11" t="inlineStr">
        <is>
          <t>Barangay 82</t>
        </is>
      </c>
      <c r="I1078" s="24" t="n">
        <v>14.617016</v>
      </c>
      <c r="J1078" s="24" t="n">
        <v>120.965986</v>
      </c>
      <c r="K1078" s="23" t="inlineStr">
        <is>
          <t>U</t>
        </is>
      </c>
      <c r="L1078" s="25" t="n">
        <v>601</v>
      </c>
      <c r="M1078" s="26" t="n">
        <v>3.21</v>
      </c>
      <c r="N1078" s="25">
        <f>ROUND(L1078/M1078, 0)</f>
        <v/>
      </c>
      <c r="O1078" s="25">
        <f>ROUND(N1078*'Methodology &amp; Assumptions'!$B$7, 0)</f>
        <v/>
      </c>
      <c r="P1078" s="23" t="inlineStr">
        <is>
          <t>Single Carrier (Band n50, 100MHz TDD)</t>
        </is>
      </c>
      <c r="Q1078" s="27">
        <f>ROUNDUP(O1078/'Methodology &amp; Assumptions'!$B$8, 0)</f>
        <v/>
      </c>
      <c r="R1078" s="27" t="n">
        <v>1</v>
      </c>
      <c r="S1078" s="26" t="n">
        <v>0.37</v>
      </c>
      <c r="T1078" s="26" t="n">
        <v>0.19</v>
      </c>
      <c r="U1078" s="11">
        <f>IF(S1078&lt;='Methodology &amp; Assumptions'!$B$10, "Direct Optical Drop (&lt;3km)", IF(S1078&lt;='Methodology &amp; Assumptions'!$B$9, "Near Optical / Microwave (&lt;5km)", "Starlink Business LEO Satellite Backhaul (&gt;5km)"))</f>
        <v/>
      </c>
      <c r="V1078" s="26" t="n">
        <v>47.09</v>
      </c>
      <c r="W1078" s="26" t="n">
        <v>69.92</v>
      </c>
      <c r="X1078" s="26">
        <f>ROUND(('Methodology &amp; Assumptions'!$B$5*V1078) + ('Methodology &amp; Assumptions'!$B$6*W1078), 2)</f>
        <v/>
      </c>
      <c r="Y1078" s="28" t="n">
        <v>10.9</v>
      </c>
      <c r="Z1078" s="11" t="inlineStr">
        <is>
          <t>Priority Tier 3 (Broadband Expansion)</t>
        </is>
      </c>
    </row>
    <row r="1079">
      <c r="A1079" s="23" t="n">
        <v>5</v>
      </c>
      <c r="B1079" s="23" t="n">
        <v>75</v>
      </c>
      <c r="C1079" s="23" t="n">
        <v>4075</v>
      </c>
      <c r="D1079" s="23" t="inlineStr">
        <is>
          <t>1380610036</t>
        </is>
      </c>
      <c r="E1079" s="11" t="inlineStr">
        <is>
          <t>National Capital Region (NCR)</t>
        </is>
      </c>
      <c r="F1079" s="11" t="inlineStr">
        <is>
          <t>First District (Not a Province)</t>
        </is>
      </c>
      <c r="G1079" s="11" t="inlineStr">
        <is>
          <t>City of Manila</t>
        </is>
      </c>
      <c r="H1079" s="11" t="inlineStr">
        <is>
          <t>Barangay 721</t>
        </is>
      </c>
      <c r="I1079" s="24" t="n">
        <v>14.565721</v>
      </c>
      <c r="J1079" s="24" t="n">
        <v>120.989126</v>
      </c>
      <c r="K1079" s="23" t="inlineStr">
        <is>
          <t>U</t>
        </is>
      </c>
      <c r="L1079" s="25" t="n">
        <v>583</v>
      </c>
      <c r="M1079" s="26" t="n">
        <v>3.35</v>
      </c>
      <c r="N1079" s="25">
        <f>ROUND(L1079/M1079, 0)</f>
        <v/>
      </c>
      <c r="O1079" s="25">
        <f>ROUND(N1079*'Methodology &amp; Assumptions'!$B$7, 0)</f>
        <v/>
      </c>
      <c r="P1079" s="23" t="inlineStr">
        <is>
          <t>Single Carrier (Band n50, 100MHz TDD)</t>
        </is>
      </c>
      <c r="Q1079" s="27">
        <f>ROUNDUP(O1079/'Methodology &amp; Assumptions'!$B$8, 0)</f>
        <v/>
      </c>
      <c r="R1079" s="27" t="n">
        <v>1</v>
      </c>
      <c r="S1079" s="26" t="n">
        <v>0.89</v>
      </c>
      <c r="T1079" s="26" t="n">
        <v>0.54</v>
      </c>
      <c r="U1079" s="11">
        <f>IF(S1079&lt;='Methodology &amp; Assumptions'!$B$10, "Direct Optical Drop (&lt;3km)", IF(S1079&lt;='Methodology &amp; Assumptions'!$B$9, "Near Optical / Microwave (&lt;5km)", "Starlink Business LEO Satellite Backhaul (&gt;5km)"))</f>
        <v/>
      </c>
      <c r="V1079" s="26" t="n">
        <v>46.47</v>
      </c>
      <c r="W1079" s="26" t="n">
        <v>70.54000000000001</v>
      </c>
      <c r="X1079" s="26">
        <f>ROUND(('Methodology &amp; Assumptions'!$B$5*V1079) + ('Methodology &amp; Assumptions'!$B$6*W1079), 2)</f>
        <v/>
      </c>
      <c r="Y1079" s="28" t="n">
        <v>10.9</v>
      </c>
      <c r="Z1079" s="11" t="inlineStr">
        <is>
          <t>Priority Tier 3 (Broadband Expansion)</t>
        </is>
      </c>
    </row>
    <row r="1080">
      <c r="A1080" s="23" t="n">
        <v>5</v>
      </c>
      <c r="B1080" s="23" t="n">
        <v>76</v>
      </c>
      <c r="C1080" s="23" t="n">
        <v>4076</v>
      </c>
      <c r="D1080" s="23" t="inlineStr">
        <is>
          <t>1705206023</t>
        </is>
      </c>
      <c r="E1080" s="11" t="inlineStr">
        <is>
          <t>MIMAROPA Region</t>
        </is>
      </c>
      <c r="F1080" s="11" t="inlineStr">
        <is>
          <t>Oriental Mindoro</t>
        </is>
      </c>
      <c r="G1080" s="11" t="inlineStr">
        <is>
          <t>Gloria</t>
        </is>
      </c>
      <c r="H1080" s="11" t="inlineStr">
        <is>
          <t>Narra</t>
        </is>
      </c>
      <c r="I1080" s="24" t="n">
        <v>12.953792</v>
      </c>
      <c r="J1080" s="24" t="n">
        <v>121.477573</v>
      </c>
      <c r="K1080" s="23" t="inlineStr">
        <is>
          <t>R</t>
        </is>
      </c>
      <c r="L1080" s="25" t="n">
        <v>2934</v>
      </c>
      <c r="M1080" s="26" t="n">
        <v>3.9</v>
      </c>
      <c r="N1080" s="25">
        <f>ROUND(L1080/M1080, 0)</f>
        <v/>
      </c>
      <c r="O1080" s="25">
        <f>ROUND(N1080*'Methodology &amp; Assumptions'!$B$7, 0)</f>
        <v/>
      </c>
      <c r="P1080" s="23" t="inlineStr">
        <is>
          <t>Single Carrier (Band n50, 100MHz TDD)</t>
        </is>
      </c>
      <c r="Q1080" s="27">
        <f>ROUNDUP(O1080/'Methodology &amp; Assumptions'!$B$8, 0)</f>
        <v/>
      </c>
      <c r="R1080" s="27" t="n">
        <v>1</v>
      </c>
      <c r="S1080" s="26" t="n">
        <v>0.62</v>
      </c>
      <c r="T1080" s="26" t="n">
        <v>0.27</v>
      </c>
      <c r="U1080" s="11">
        <f>IF(S1080&lt;='Methodology &amp; Assumptions'!$B$10, "Direct Optical Drop (&lt;3km)", IF(S1080&lt;='Methodology &amp; Assumptions'!$B$9, "Near Optical / Microwave (&lt;5km)", "Starlink Business LEO Satellite Backhaul (&gt;5km)"))</f>
        <v/>
      </c>
      <c r="V1080" s="26" t="n">
        <v>82.48</v>
      </c>
      <c r="W1080" s="26" t="n">
        <v>34.51</v>
      </c>
      <c r="X1080" s="26">
        <f>ROUND(('Methodology &amp; Assumptions'!$B$5*V1080) + ('Methodology &amp; Assumptions'!$B$6*W1080), 2)</f>
        <v/>
      </c>
      <c r="Y1080" s="28" t="n">
        <v>15</v>
      </c>
      <c r="Z1080" s="11" t="inlineStr">
        <is>
          <t>Priority Tier 3 (Broadband Expansion)</t>
        </is>
      </c>
    </row>
    <row r="1081">
      <c r="A1081" s="23" t="n">
        <v>5</v>
      </c>
      <c r="B1081" s="23" t="n">
        <v>77</v>
      </c>
      <c r="C1081" s="23" t="n">
        <v>4077</v>
      </c>
      <c r="D1081" s="23" t="inlineStr">
        <is>
          <t>1705205017</t>
        </is>
      </c>
      <c r="E1081" s="11" t="inlineStr">
        <is>
          <t>MIMAROPA Region</t>
        </is>
      </c>
      <c r="F1081" s="11" t="inlineStr">
        <is>
          <t>Oriental Mindoro</t>
        </is>
      </c>
      <c r="G1081" s="11" t="inlineStr">
        <is>
          <t>City of Calapan</t>
        </is>
      </c>
      <c r="H1081" s="11" t="inlineStr">
        <is>
          <t>Canubing I</t>
        </is>
      </c>
      <c r="I1081" s="24" t="n">
        <v>13.357196</v>
      </c>
      <c r="J1081" s="24" t="n">
        <v>121.137652</v>
      </c>
      <c r="K1081" s="23" t="inlineStr">
        <is>
          <t>R</t>
        </is>
      </c>
      <c r="L1081" s="25" t="n">
        <v>3998</v>
      </c>
      <c r="M1081" s="26" t="n">
        <v>3.9</v>
      </c>
      <c r="N1081" s="25">
        <f>ROUND(L1081/M1081, 0)</f>
        <v/>
      </c>
      <c r="O1081" s="25">
        <f>ROUND(N1081*'Methodology &amp; Assumptions'!$B$7, 0)</f>
        <v/>
      </c>
      <c r="P1081" s="23" t="inlineStr">
        <is>
          <t>Single Carrier (Band n50, 100MHz TDD)</t>
        </is>
      </c>
      <c r="Q1081" s="27">
        <f>ROUNDUP(O1081/'Methodology &amp; Assumptions'!$B$8, 0)</f>
        <v/>
      </c>
      <c r="R1081" s="27" t="n">
        <v>1</v>
      </c>
      <c r="S1081" s="26" t="n">
        <v>3.18</v>
      </c>
      <c r="T1081" s="26" t="n">
        <v>0.37</v>
      </c>
      <c r="U1081" s="11">
        <f>IF(S1081&lt;='Methodology &amp; Assumptions'!$B$10, "Direct Optical Drop (&lt;3km)", IF(S1081&lt;='Methodology &amp; Assumptions'!$B$9, "Near Optical / Microwave (&lt;5km)", "Starlink Business LEO Satellite Backhaul (&gt;5km)"))</f>
        <v/>
      </c>
      <c r="V1081" s="26" t="n">
        <v>78.83</v>
      </c>
      <c r="W1081" s="26" t="n">
        <v>38.17</v>
      </c>
      <c r="X1081" s="26">
        <f>ROUND(('Methodology &amp; Assumptions'!$B$5*V1081) + ('Methodology &amp; Assumptions'!$B$6*W1081), 2)</f>
        <v/>
      </c>
      <c r="Y1081" s="28" t="n">
        <v>15</v>
      </c>
      <c r="Z1081" s="11" t="inlineStr">
        <is>
          <t>Priority Tier 3 (Broadband Expansion)</t>
        </is>
      </c>
    </row>
    <row r="1082">
      <c r="A1082" s="23" t="n">
        <v>5</v>
      </c>
      <c r="B1082" s="23" t="n">
        <v>78</v>
      </c>
      <c r="C1082" s="23" t="n">
        <v>4078</v>
      </c>
      <c r="D1082" s="23" t="inlineStr">
        <is>
          <t>0301416012</t>
        </is>
      </c>
      <c r="E1082" s="11" t="inlineStr">
        <is>
          <t>Region III (Central Luzon)</t>
        </is>
      </c>
      <c r="F1082" s="11" t="inlineStr">
        <is>
          <t>Bulacan</t>
        </is>
      </c>
      <c r="G1082" s="11" t="inlineStr">
        <is>
          <t>Paombong</t>
        </is>
      </c>
      <c r="H1082" s="11" t="inlineStr">
        <is>
          <t>San Roque</t>
        </is>
      </c>
      <c r="I1082" s="24" t="n">
        <v>14.831026</v>
      </c>
      <c r="J1082" s="24" t="n">
        <v>120.787225</v>
      </c>
      <c r="K1082" s="23" t="inlineStr">
        <is>
          <t>R</t>
        </is>
      </c>
      <c r="L1082" s="25" t="n">
        <v>5028</v>
      </c>
      <c r="M1082" s="26" t="n">
        <v>3.5</v>
      </c>
      <c r="N1082" s="25">
        <f>ROUND(L1082/M1082, 0)</f>
        <v/>
      </c>
      <c r="O1082" s="25">
        <f>ROUND(N1082*'Methodology &amp; Assumptions'!$B$7, 0)</f>
        <v/>
      </c>
      <c r="P1082" s="23" t="inlineStr">
        <is>
          <t>Single Carrier (Band n50, 100MHz TDD)</t>
        </is>
      </c>
      <c r="Q1082" s="27">
        <f>ROUNDUP(O1082/'Methodology &amp; Assumptions'!$B$8, 0)</f>
        <v/>
      </c>
      <c r="R1082" s="27" t="n">
        <v>1</v>
      </c>
      <c r="S1082" s="26" t="n">
        <v>2.89</v>
      </c>
      <c r="T1082" s="26" t="n">
        <v>3.82</v>
      </c>
      <c r="U1082" s="11">
        <f>IF(S1082&lt;='Methodology &amp; Assumptions'!$B$10, "Direct Optical Drop (&lt;3km)", IF(S1082&lt;='Methodology &amp; Assumptions'!$B$9, "Near Optical / Microwave (&lt;5km)", "Starlink Business LEO Satellite Backhaul (&gt;5km)"))</f>
        <v/>
      </c>
      <c r="V1082" s="26" t="n">
        <v>75.03</v>
      </c>
      <c r="W1082" s="26" t="n">
        <v>41.97</v>
      </c>
      <c r="X1082" s="26">
        <f>ROUND(('Methodology &amp; Assumptions'!$B$5*V1082) + ('Methodology &amp; Assumptions'!$B$6*W1082), 2)</f>
        <v/>
      </c>
      <c r="Y1082" s="28" t="n">
        <v>8.300000000000001</v>
      </c>
      <c r="Z1082" s="11" t="inlineStr">
        <is>
          <t>Priority Tier 3 (Broadband Expansion)</t>
        </is>
      </c>
    </row>
    <row r="1083">
      <c r="A1083" s="23" t="n">
        <v>5</v>
      </c>
      <c r="B1083" s="23" t="n">
        <v>79</v>
      </c>
      <c r="C1083" s="23" t="n">
        <v>4079</v>
      </c>
      <c r="D1083" s="23" t="inlineStr">
        <is>
          <t>0203135016</t>
        </is>
      </c>
      <c r="E1083" s="11" t="inlineStr">
        <is>
          <t>Region II (Cagayan Valley)</t>
        </is>
      </c>
      <c r="F1083" s="11" t="inlineStr">
        <is>
          <t>Isabela</t>
        </is>
      </c>
      <c r="G1083" s="11" t="inlineStr">
        <is>
          <t>City of Santiago</t>
        </is>
      </c>
      <c r="H1083" s="11" t="inlineStr">
        <is>
          <t>Dubinan East</t>
        </is>
      </c>
      <c r="I1083" s="24" t="n">
        <v>16.689092</v>
      </c>
      <c r="J1083" s="24" t="n">
        <v>121.542804</v>
      </c>
      <c r="K1083" s="23" t="inlineStr">
        <is>
          <t>U</t>
        </is>
      </c>
      <c r="L1083" s="25" t="n">
        <v>2387</v>
      </c>
      <c r="M1083" s="26" t="n">
        <v>3.8</v>
      </c>
      <c r="N1083" s="25">
        <f>ROUND(L1083/M1083, 0)</f>
        <v/>
      </c>
      <c r="O1083" s="25">
        <f>ROUND(N1083*'Methodology &amp; Assumptions'!$B$7, 0)</f>
        <v/>
      </c>
      <c r="P1083" s="23" t="inlineStr">
        <is>
          <t>Single Carrier (Band n50, 100MHz TDD)</t>
        </is>
      </c>
      <c r="Q1083" s="27">
        <f>ROUNDUP(O1083/'Methodology &amp; Assumptions'!$B$8, 0)</f>
        <v/>
      </c>
      <c r="R1083" s="27" t="n">
        <v>1</v>
      </c>
      <c r="S1083" s="26" t="n">
        <v>1.67</v>
      </c>
      <c r="T1083" s="26" t="n">
        <v>0.12</v>
      </c>
      <c r="U1083" s="11">
        <f>IF(S1083&lt;='Methodology &amp; Assumptions'!$B$10, "Direct Optical Drop (&lt;3km)", IF(S1083&lt;='Methodology &amp; Assumptions'!$B$9, "Near Optical / Microwave (&lt;5km)", "Starlink Business LEO Satellite Backhaul (&gt;5km)"))</f>
        <v/>
      </c>
      <c r="V1083" s="26" t="n">
        <v>69.08</v>
      </c>
      <c r="W1083" s="26" t="n">
        <v>47.92</v>
      </c>
      <c r="X1083" s="26">
        <f>ROUND(('Methodology &amp; Assumptions'!$B$5*V1083) + ('Methodology &amp; Assumptions'!$B$6*W1083), 2)</f>
        <v/>
      </c>
      <c r="Y1083" s="28" t="n">
        <v>8.300000000000001</v>
      </c>
      <c r="Z1083" s="11" t="inlineStr">
        <is>
          <t>Priority Tier 3 (Broadband Expansion)</t>
        </is>
      </c>
    </row>
    <row r="1084">
      <c r="A1084" s="23" t="n">
        <v>5</v>
      </c>
      <c r="B1084" s="23" t="n">
        <v>80</v>
      </c>
      <c r="C1084" s="23" t="n">
        <v>4080</v>
      </c>
      <c r="D1084" s="23" t="inlineStr">
        <is>
          <t>0403408003</t>
        </is>
      </c>
      <c r="E1084" s="11" t="inlineStr">
        <is>
          <t>Region IV-A (CALABARZON)</t>
        </is>
      </c>
      <c r="F1084" s="11" t="inlineStr">
        <is>
          <t>Laguna</t>
        </is>
      </c>
      <c r="G1084" s="11" t="inlineStr">
        <is>
          <t>Famy</t>
        </is>
      </c>
      <c r="H1084" s="11" t="inlineStr">
        <is>
          <t>Bagong Pag-Asa</t>
        </is>
      </c>
      <c r="I1084" s="24" t="n">
        <v>14.436689</v>
      </c>
      <c r="J1084" s="24" t="n">
        <v>121.449197</v>
      </c>
      <c r="K1084" s="23" t="inlineStr">
        <is>
          <t>R</t>
        </is>
      </c>
      <c r="L1084" s="25" t="n">
        <v>356</v>
      </c>
      <c r="M1084" s="26" t="n">
        <v>3.3</v>
      </c>
      <c r="N1084" s="25">
        <f>ROUND(L1084/M1084, 0)</f>
        <v/>
      </c>
      <c r="O1084" s="25">
        <f>ROUND(N1084*'Methodology &amp; Assumptions'!$B$7, 0)</f>
        <v/>
      </c>
      <c r="P1084" s="23" t="inlineStr">
        <is>
          <t>Single Carrier (Band n50, 100MHz TDD)</t>
        </is>
      </c>
      <c r="Q1084" s="27">
        <f>ROUNDUP(O1084/'Methodology &amp; Assumptions'!$B$8, 0)</f>
        <v/>
      </c>
      <c r="R1084" s="27" t="n">
        <v>1</v>
      </c>
      <c r="S1084" s="26" t="n">
        <v>0.16</v>
      </c>
      <c r="T1084" s="26" t="n">
        <v>0.1</v>
      </c>
      <c r="U1084" s="11">
        <f>IF(S1084&lt;='Methodology &amp; Assumptions'!$B$10, "Direct Optical Drop (&lt;3km)", IF(S1084&lt;='Methodology &amp; Assumptions'!$B$9, "Near Optical / Microwave (&lt;5km)", "Starlink Business LEO Satellite Backhaul (&gt;5km)"))</f>
        <v/>
      </c>
      <c r="V1084" s="26" t="n">
        <v>64.95999999999999</v>
      </c>
      <c r="W1084" s="26" t="n">
        <v>52.03</v>
      </c>
      <c r="X1084" s="26">
        <f>ROUND(('Methodology &amp; Assumptions'!$B$5*V1084) + ('Methodology &amp; Assumptions'!$B$6*W1084), 2)</f>
        <v/>
      </c>
      <c r="Y1084" s="28" t="n">
        <v>7.2</v>
      </c>
      <c r="Z1084" s="11" t="inlineStr">
        <is>
          <t>Priority Tier 3 (Broadband Expansion)</t>
        </is>
      </c>
    </row>
    <row r="1085">
      <c r="A1085" s="23" t="n">
        <v>5</v>
      </c>
      <c r="B1085" s="23" t="n">
        <v>81</v>
      </c>
      <c r="C1085" s="23" t="n">
        <v>4081</v>
      </c>
      <c r="D1085" s="23" t="inlineStr">
        <is>
          <t>1380606122</t>
        </is>
      </c>
      <c r="E1085" s="11" t="inlineStr">
        <is>
          <t>National Capital Region (NCR)</t>
        </is>
      </c>
      <c r="F1085" s="11" t="inlineStr">
        <is>
          <t>First District (Not a Province)</t>
        </is>
      </c>
      <c r="G1085" s="11" t="inlineStr">
        <is>
          <t>City of Manila</t>
        </is>
      </c>
      <c r="H1085" s="11" t="inlineStr">
        <is>
          <t>Barangay 516</t>
        </is>
      </c>
      <c r="I1085" s="24" t="n">
        <v>14.620883</v>
      </c>
      <c r="J1085" s="24" t="n">
        <v>120.995189</v>
      </c>
      <c r="K1085" s="23" t="inlineStr">
        <is>
          <t>U</t>
        </is>
      </c>
      <c r="L1085" s="25" t="n">
        <v>1192</v>
      </c>
      <c r="M1085" s="26" t="n">
        <v>4.17</v>
      </c>
      <c r="N1085" s="25">
        <f>ROUND(L1085/M1085, 0)</f>
        <v/>
      </c>
      <c r="O1085" s="25">
        <f>ROUND(N1085*'Methodology &amp; Assumptions'!$B$7, 0)</f>
        <v/>
      </c>
      <c r="P1085" s="23" t="inlineStr">
        <is>
          <t>Single Carrier (Band n50, 100MHz TDD)</t>
        </is>
      </c>
      <c r="Q1085" s="27">
        <f>ROUNDUP(O1085/'Methodology &amp; Assumptions'!$B$8, 0)</f>
        <v/>
      </c>
      <c r="R1085" s="27" t="n">
        <v>1</v>
      </c>
      <c r="S1085" s="26" t="n">
        <v>1.41</v>
      </c>
      <c r="T1085" s="26" t="n">
        <v>0.79</v>
      </c>
      <c r="U1085" s="11">
        <f>IF(S1085&lt;='Methodology &amp; Assumptions'!$B$10, "Direct Optical Drop (&lt;3km)", IF(S1085&lt;='Methodology &amp; Assumptions'!$B$9, "Near Optical / Microwave (&lt;5km)", "Starlink Business LEO Satellite Backhaul (&gt;5km)"))</f>
        <v/>
      </c>
      <c r="V1085" s="26" t="n">
        <v>48.14</v>
      </c>
      <c r="W1085" s="26" t="n">
        <v>68.87</v>
      </c>
      <c r="X1085" s="26">
        <f>ROUND(('Methodology &amp; Assumptions'!$B$5*V1085) + ('Methodology &amp; Assumptions'!$B$6*W1085), 2)</f>
        <v/>
      </c>
      <c r="Y1085" s="28" t="n">
        <v>10.9</v>
      </c>
      <c r="Z1085" s="11" t="inlineStr">
        <is>
          <t>Priority Tier 3 (Broadband Expansion)</t>
        </is>
      </c>
    </row>
    <row r="1086">
      <c r="A1086" s="23" t="n">
        <v>5</v>
      </c>
      <c r="B1086" s="23" t="n">
        <v>82</v>
      </c>
      <c r="C1086" s="23" t="n">
        <v>4082</v>
      </c>
      <c r="D1086" s="23" t="inlineStr">
        <is>
          <t>0105506005</t>
        </is>
      </c>
      <c r="E1086" s="11" t="inlineStr">
        <is>
          <t>Region I (Ilocos Region)</t>
        </is>
      </c>
      <c r="F1086" s="11" t="inlineStr">
        <is>
          <t>Pangasinan</t>
        </is>
      </c>
      <c r="G1086" s="11" t="inlineStr">
        <is>
          <t>Asingan</t>
        </is>
      </c>
      <c r="H1086" s="11" t="inlineStr">
        <is>
          <t>Baro</t>
        </is>
      </c>
      <c r="I1086" s="24" t="n">
        <v>15.99693</v>
      </c>
      <c r="J1086" s="24" t="n">
        <v>120.670673</v>
      </c>
      <c r="K1086" s="23" t="inlineStr">
        <is>
          <t>R</t>
        </is>
      </c>
      <c r="L1086" s="25" t="n">
        <v>2706</v>
      </c>
      <c r="M1086" s="26" t="n">
        <v>3.6</v>
      </c>
      <c r="N1086" s="25">
        <f>ROUND(L1086/M1086, 0)</f>
        <v/>
      </c>
      <c r="O1086" s="25">
        <f>ROUND(N1086*'Methodology &amp; Assumptions'!$B$7, 0)</f>
        <v/>
      </c>
      <c r="P1086" s="23" t="inlineStr">
        <is>
          <t>Single Carrier (Band n50, 100MHz TDD)</t>
        </is>
      </c>
      <c r="Q1086" s="27">
        <f>ROUNDUP(O1086/'Methodology &amp; Assumptions'!$B$8, 0)</f>
        <v/>
      </c>
      <c r="R1086" s="27" t="n">
        <v>1</v>
      </c>
      <c r="S1086" s="26" t="n">
        <v>0.91</v>
      </c>
      <c r="T1086" s="26" t="n">
        <v>0.95</v>
      </c>
      <c r="U1086" s="11">
        <f>IF(S1086&lt;='Methodology &amp; Assumptions'!$B$10, "Direct Optical Drop (&lt;3km)", IF(S1086&lt;='Methodology &amp; Assumptions'!$B$9, "Near Optical / Microwave (&lt;5km)", "Starlink Business LEO Satellite Backhaul (&gt;5km)"))</f>
        <v/>
      </c>
      <c r="V1086" s="26" t="n">
        <v>83.22</v>
      </c>
      <c r="W1086" s="26" t="n">
        <v>33.75</v>
      </c>
      <c r="X1086" s="26">
        <f>ROUND(('Methodology &amp; Assumptions'!$B$5*V1086) + ('Methodology &amp; Assumptions'!$B$6*W1086), 2)</f>
        <v/>
      </c>
      <c r="Y1086" s="28" t="n">
        <v>8.300000000000001</v>
      </c>
      <c r="Z1086" s="11" t="inlineStr">
        <is>
          <t>Priority Tier 3 (Broadband Expansion)</t>
        </is>
      </c>
    </row>
    <row r="1087">
      <c r="A1087" s="23" t="n">
        <v>5</v>
      </c>
      <c r="B1087" s="23" t="n">
        <v>83</v>
      </c>
      <c r="C1087" s="23" t="n">
        <v>4083</v>
      </c>
      <c r="D1087" s="23" t="inlineStr">
        <is>
          <t>0102804012</t>
        </is>
      </c>
      <c r="E1087" s="11" t="inlineStr">
        <is>
          <t>Region I (Ilocos Region)</t>
        </is>
      </c>
      <c r="F1087" s="11" t="inlineStr">
        <is>
          <t>Ilocos Norte</t>
        </is>
      </c>
      <c r="G1087" s="11" t="inlineStr">
        <is>
          <t>Bangui</t>
        </is>
      </c>
      <c r="H1087" s="11" t="inlineStr">
        <is>
          <t>San Lorenzo</t>
        </is>
      </c>
      <c r="I1087" s="24" t="n">
        <v>18.536698</v>
      </c>
      <c r="J1087" s="24" t="n">
        <v>120.769796</v>
      </c>
      <c r="K1087" s="23" t="inlineStr">
        <is>
          <t>R</t>
        </is>
      </c>
      <c r="L1087" s="25" t="n">
        <v>2295</v>
      </c>
      <c r="M1087" s="26" t="n">
        <v>3.7</v>
      </c>
      <c r="N1087" s="25">
        <f>ROUND(L1087/M1087, 0)</f>
        <v/>
      </c>
      <c r="O1087" s="25">
        <f>ROUND(N1087*'Methodology &amp; Assumptions'!$B$7, 0)</f>
        <v/>
      </c>
      <c r="P1087" s="23" t="inlineStr">
        <is>
          <t>Single Carrier (Band n50, 100MHz TDD)</t>
        </is>
      </c>
      <c r="Q1087" s="27">
        <f>ROUNDUP(O1087/'Methodology &amp; Assumptions'!$B$8, 0)</f>
        <v/>
      </c>
      <c r="R1087" s="27" t="n">
        <v>1</v>
      </c>
      <c r="S1087" s="26" t="n">
        <v>0.14</v>
      </c>
      <c r="T1087" s="26" t="n">
        <v>0.14</v>
      </c>
      <c r="U1087" s="11">
        <f>IF(S1087&lt;='Methodology &amp; Assumptions'!$B$10, "Direct Optical Drop (&lt;3km)", IF(S1087&lt;='Methodology &amp; Assumptions'!$B$9, "Near Optical / Microwave (&lt;5km)", "Starlink Business LEO Satellite Backhaul (&gt;5km)"))</f>
        <v/>
      </c>
      <c r="V1087" s="26" t="n">
        <v>79.17</v>
      </c>
      <c r="W1087" s="26" t="n">
        <v>37.8</v>
      </c>
      <c r="X1087" s="26">
        <f>ROUND(('Methodology &amp; Assumptions'!$B$5*V1087) + ('Methodology &amp; Assumptions'!$B$6*W1087), 2)</f>
        <v/>
      </c>
      <c r="Y1087" s="28" t="n">
        <v>8.300000000000001</v>
      </c>
      <c r="Z1087" s="11" t="inlineStr">
        <is>
          <t>Priority Tier 3 (Broadband Expansion)</t>
        </is>
      </c>
    </row>
    <row r="1088">
      <c r="A1088" s="23" t="n">
        <v>5</v>
      </c>
      <c r="B1088" s="23" t="n">
        <v>84</v>
      </c>
      <c r="C1088" s="23" t="n">
        <v>4084</v>
      </c>
      <c r="D1088" s="23" t="inlineStr">
        <is>
          <t>0300808001</t>
        </is>
      </c>
      <c r="E1088" s="11" t="inlineStr">
        <is>
          <t>Region III (Central Luzon)</t>
        </is>
      </c>
      <c r="F1088" s="11" t="inlineStr">
        <is>
          <t>Bataan</t>
        </is>
      </c>
      <c r="G1088" s="11" t="inlineStr">
        <is>
          <t>Morong</t>
        </is>
      </c>
      <c r="H1088" s="11" t="inlineStr">
        <is>
          <t>Binaritan</t>
        </is>
      </c>
      <c r="I1088" s="24" t="n">
        <v>14.680152</v>
      </c>
      <c r="J1088" s="24" t="n">
        <v>120.271649</v>
      </c>
      <c r="K1088" s="23" t="inlineStr">
        <is>
          <t>U</t>
        </is>
      </c>
      <c r="L1088" s="25" t="n">
        <v>7440</v>
      </c>
      <c r="M1088" s="26" t="n">
        <v>3.6</v>
      </c>
      <c r="N1088" s="25">
        <f>ROUND(L1088/M1088, 0)</f>
        <v/>
      </c>
      <c r="O1088" s="25">
        <f>ROUND(N1088*'Methodology &amp; Assumptions'!$B$7, 0)</f>
        <v/>
      </c>
      <c r="P1088" s="23" t="inlineStr">
        <is>
          <t>Single Carrier (Band n50, 100MHz TDD)</t>
        </is>
      </c>
      <c r="Q1088" s="27">
        <f>ROUNDUP(O1088/'Methodology &amp; Assumptions'!$B$8, 0)</f>
        <v/>
      </c>
      <c r="R1088" s="27" t="n">
        <v>1</v>
      </c>
      <c r="S1088" s="26" t="n">
        <v>0.19</v>
      </c>
      <c r="T1088" s="26" t="n">
        <v>0.19</v>
      </c>
      <c r="U1088" s="11">
        <f>IF(S1088&lt;='Methodology &amp; Assumptions'!$B$10, "Direct Optical Drop (&lt;3km)", IF(S1088&lt;='Methodology &amp; Assumptions'!$B$9, "Near Optical / Microwave (&lt;5km)", "Starlink Business LEO Satellite Backhaul (&gt;5km)"))</f>
        <v/>
      </c>
      <c r="V1088" s="26" t="n">
        <v>78.43000000000001</v>
      </c>
      <c r="W1088" s="26" t="n">
        <v>38.55</v>
      </c>
      <c r="X1088" s="26">
        <f>ROUND(('Methodology &amp; Assumptions'!$B$5*V1088) + ('Methodology &amp; Assumptions'!$B$6*W1088), 2)</f>
        <v/>
      </c>
      <c r="Y1088" s="28" t="n">
        <v>8.300000000000001</v>
      </c>
      <c r="Z1088" s="11" t="inlineStr">
        <is>
          <t>Priority Tier 3 (Broadband Expansion)</t>
        </is>
      </c>
    </row>
    <row r="1089">
      <c r="A1089" s="23" t="n">
        <v>5</v>
      </c>
      <c r="B1089" s="23" t="n">
        <v>85</v>
      </c>
      <c r="C1089" s="23" t="n">
        <v>4085</v>
      </c>
      <c r="D1089" s="23" t="inlineStr">
        <is>
          <t>0103307003</t>
        </is>
      </c>
      <c r="E1089" s="11" t="inlineStr">
        <is>
          <t>Region I (Ilocos Region)</t>
        </is>
      </c>
      <c r="F1089" s="11" t="inlineStr">
        <is>
          <t>La Union</t>
        </is>
      </c>
      <c r="G1089" s="11" t="inlineStr">
        <is>
          <t>Bauang</t>
        </is>
      </c>
      <c r="H1089" s="11" t="inlineStr">
        <is>
          <t>Baccuit Sur</t>
        </is>
      </c>
      <c r="I1089" s="24" t="n">
        <v>16.541805</v>
      </c>
      <c r="J1089" s="24" t="n">
        <v>120.320669</v>
      </c>
      <c r="K1089" s="23" t="inlineStr">
        <is>
          <t>U</t>
        </is>
      </c>
      <c r="L1089" s="25" t="n">
        <v>2784</v>
      </c>
      <c r="M1089" s="26" t="n">
        <v>3.7</v>
      </c>
      <c r="N1089" s="25">
        <f>ROUND(L1089/M1089, 0)</f>
        <v/>
      </c>
      <c r="O1089" s="25">
        <f>ROUND(N1089*'Methodology &amp; Assumptions'!$B$7, 0)</f>
        <v/>
      </c>
      <c r="P1089" s="23" t="inlineStr">
        <is>
          <t>Single Carrier (Band n50, 100MHz TDD)</t>
        </is>
      </c>
      <c r="Q1089" s="27">
        <f>ROUNDUP(O1089/'Methodology &amp; Assumptions'!$B$8, 0)</f>
        <v/>
      </c>
      <c r="R1089" s="27" t="n">
        <v>1</v>
      </c>
      <c r="S1089" s="26" t="n">
        <v>1.26</v>
      </c>
      <c r="T1089" s="26" t="n">
        <v>0.57</v>
      </c>
      <c r="U1089" s="11">
        <f>IF(S1089&lt;='Methodology &amp; Assumptions'!$B$10, "Direct Optical Drop (&lt;3km)", IF(S1089&lt;='Methodology &amp; Assumptions'!$B$9, "Near Optical / Microwave (&lt;5km)", "Starlink Business LEO Satellite Backhaul (&gt;5km)"))</f>
        <v/>
      </c>
      <c r="V1089" s="26" t="n">
        <v>74.70999999999999</v>
      </c>
      <c r="W1089" s="26" t="n">
        <v>42.27</v>
      </c>
      <c r="X1089" s="26">
        <f>ROUND(('Methodology &amp; Assumptions'!$B$5*V1089) + ('Methodology &amp; Assumptions'!$B$6*W1089), 2)</f>
        <v/>
      </c>
      <c r="Y1089" s="28" t="n">
        <v>8.300000000000001</v>
      </c>
      <c r="Z1089" s="11" t="inlineStr">
        <is>
          <t>Priority Tier 3 (Broadband Expansion)</t>
        </is>
      </c>
    </row>
    <row r="1090">
      <c r="A1090" s="23" t="n">
        <v>5</v>
      </c>
      <c r="B1090" s="23" t="n">
        <v>86</v>
      </c>
      <c r="C1090" s="23" t="n">
        <v>4086</v>
      </c>
      <c r="D1090" s="23" t="inlineStr">
        <is>
          <t>0205003007</t>
        </is>
      </c>
      <c r="E1090" s="11" t="inlineStr">
        <is>
          <t>Region II (Cagayan Valley)</t>
        </is>
      </c>
      <c r="F1090" s="11" t="inlineStr">
        <is>
          <t>Nueva Vizcaya</t>
        </is>
      </c>
      <c r="G1090" s="11" t="inlineStr">
        <is>
          <t>Bagabag</t>
        </is>
      </c>
      <c r="H1090" s="11" t="inlineStr">
        <is>
          <t>Paniki</t>
        </is>
      </c>
      <c r="I1090" s="24" t="n">
        <v>16.630491</v>
      </c>
      <c r="J1090" s="24" t="n">
        <v>121.222571</v>
      </c>
      <c r="K1090" s="23" t="inlineStr">
        <is>
          <t>R</t>
        </is>
      </c>
      <c r="L1090" s="25" t="n">
        <v>2217</v>
      </c>
      <c r="M1090" s="26" t="n">
        <v>3.8</v>
      </c>
      <c r="N1090" s="25">
        <f>ROUND(L1090/M1090, 0)</f>
        <v/>
      </c>
      <c r="O1090" s="25">
        <f>ROUND(N1090*'Methodology &amp; Assumptions'!$B$7, 0)</f>
        <v/>
      </c>
      <c r="P1090" s="23" t="inlineStr">
        <is>
          <t>Single Carrier (Band n50, 100MHz TDD)</t>
        </is>
      </c>
      <c r="Q1090" s="27">
        <f>ROUNDUP(O1090/'Methodology &amp; Assumptions'!$B$8, 0)</f>
        <v/>
      </c>
      <c r="R1090" s="27" t="n">
        <v>1</v>
      </c>
      <c r="S1090" s="26" t="n">
        <v>2.93</v>
      </c>
      <c r="T1090" s="26" t="n">
        <v>0.8</v>
      </c>
      <c r="U1090" s="11">
        <f>IF(S1090&lt;='Methodology &amp; Assumptions'!$B$10, "Direct Optical Drop (&lt;3km)", IF(S1090&lt;='Methodology &amp; Assumptions'!$B$9, "Near Optical / Microwave (&lt;5km)", "Starlink Business LEO Satellite Backhaul (&gt;5km)"))</f>
        <v/>
      </c>
      <c r="V1090" s="26" t="n">
        <v>70.73</v>
      </c>
      <c r="W1090" s="26" t="n">
        <v>46.25</v>
      </c>
      <c r="X1090" s="26">
        <f>ROUND(('Methodology &amp; Assumptions'!$B$5*V1090) + ('Methodology &amp; Assumptions'!$B$6*W1090), 2)</f>
        <v/>
      </c>
      <c r="Y1090" s="28" t="n">
        <v>8.300000000000001</v>
      </c>
      <c r="Z1090" s="11" t="inlineStr">
        <is>
          <t>Priority Tier 3 (Broadband Expansion)</t>
        </is>
      </c>
    </row>
    <row r="1091">
      <c r="A1091" s="23" t="n">
        <v>5</v>
      </c>
      <c r="B1091" s="23" t="n">
        <v>87</v>
      </c>
      <c r="C1091" s="23" t="n">
        <v>4087</v>
      </c>
      <c r="D1091" s="23" t="inlineStr">
        <is>
          <t>0306916072</t>
        </is>
      </c>
      <c r="E1091" s="11" t="inlineStr">
        <is>
          <t>Region III (Central Luzon)</t>
        </is>
      </c>
      <c r="F1091" s="11" t="inlineStr">
        <is>
          <t>Tarlac</t>
        </is>
      </c>
      <c r="G1091" s="11" t="inlineStr">
        <is>
          <t>City of Tarlac</t>
        </is>
      </c>
      <c r="H1091" s="11" t="inlineStr">
        <is>
          <t>San Rafael</t>
        </is>
      </c>
      <c r="I1091" s="24" t="n">
        <v>15.452701</v>
      </c>
      <c r="J1091" s="24" t="n">
        <v>120.599231</v>
      </c>
      <c r="K1091" s="23" t="inlineStr">
        <is>
          <t>U</t>
        </is>
      </c>
      <c r="L1091" s="25" t="n">
        <v>21903</v>
      </c>
      <c r="M1091" s="26" t="n">
        <v>3.9</v>
      </c>
      <c r="N1091" s="25">
        <f>ROUND(L1091/M1091, 0)</f>
        <v/>
      </c>
      <c r="O1091" s="25">
        <f>ROUND(N1091*'Methodology &amp; Assumptions'!$B$7, 0)</f>
        <v/>
      </c>
      <c r="P1091" s="23" t="inlineStr">
        <is>
          <t>Single Carrier (Band n50, 100MHz TDD)</t>
        </is>
      </c>
      <c r="Q1091" s="27">
        <f>ROUNDUP(O1091/'Methodology &amp; Assumptions'!$B$8, 0)</f>
        <v/>
      </c>
      <c r="R1091" s="27" t="n">
        <v>1</v>
      </c>
      <c r="S1091" s="26" t="n">
        <v>3.43</v>
      </c>
      <c r="T1091" s="26" t="n">
        <v>0.08</v>
      </c>
      <c r="U1091" s="11">
        <f>IF(S1091&lt;='Methodology &amp; Assumptions'!$B$10, "Direct Optical Drop (&lt;3km)", IF(S1091&lt;='Methodology &amp; Assumptions'!$B$9, "Near Optical / Microwave (&lt;5km)", "Starlink Business LEO Satellite Backhaul (&gt;5km)"))</f>
        <v/>
      </c>
      <c r="V1091" s="26" t="n">
        <v>70.01000000000001</v>
      </c>
      <c r="W1091" s="26" t="n">
        <v>46.97</v>
      </c>
      <c r="X1091" s="26">
        <f>ROUND(('Methodology &amp; Assumptions'!$B$5*V1091) + ('Methodology &amp; Assumptions'!$B$6*W1091), 2)</f>
        <v/>
      </c>
      <c r="Y1091" s="28" t="n">
        <v>8.300000000000001</v>
      </c>
      <c r="Z1091" s="11" t="inlineStr">
        <is>
          <t>Priority Tier 3 (Broadband Expansion)</t>
        </is>
      </c>
    </row>
    <row r="1092">
      <c r="A1092" s="23" t="n">
        <v>5</v>
      </c>
      <c r="B1092" s="23" t="n">
        <v>88</v>
      </c>
      <c r="C1092" s="23" t="n">
        <v>4088</v>
      </c>
      <c r="D1092" s="23" t="inlineStr">
        <is>
          <t>0401009018</t>
        </is>
      </c>
      <c r="E1092" s="11" t="inlineStr">
        <is>
          <t>Region IV-A (CALABARZON)</t>
        </is>
      </c>
      <c r="F1092" s="11" t="inlineStr">
        <is>
          <t>Batangas</t>
        </is>
      </c>
      <c r="G1092" s="11" t="inlineStr">
        <is>
          <t>Cuenca</t>
        </is>
      </c>
      <c r="H1092" s="11" t="inlineStr">
        <is>
          <t>Barangay 4</t>
        </is>
      </c>
      <c r="I1092" s="24" t="n">
        <v>13.90297</v>
      </c>
      <c r="J1092" s="24" t="n">
        <v>121.054293</v>
      </c>
      <c r="K1092" s="23" t="inlineStr">
        <is>
          <t>R</t>
        </is>
      </c>
      <c r="L1092" s="25" t="n">
        <v>1038</v>
      </c>
      <c r="M1092" s="26" t="n">
        <v>3.6</v>
      </c>
      <c r="N1092" s="25">
        <f>ROUND(L1092/M1092, 0)</f>
        <v/>
      </c>
      <c r="O1092" s="25">
        <f>ROUND(N1092*'Methodology &amp; Assumptions'!$B$7, 0)</f>
        <v/>
      </c>
      <c r="P1092" s="23" t="inlineStr">
        <is>
          <t>Single Carrier (Band n50, 100MHz TDD)</t>
        </is>
      </c>
      <c r="Q1092" s="27">
        <f>ROUNDUP(O1092/'Methodology &amp; Assumptions'!$B$8, 0)</f>
        <v/>
      </c>
      <c r="R1092" s="27" t="n">
        <v>1</v>
      </c>
      <c r="S1092" s="26" t="n">
        <v>0.75</v>
      </c>
      <c r="T1092" s="26" t="n">
        <v>0.43</v>
      </c>
      <c r="U1092" s="11">
        <f>IF(S1092&lt;='Methodology &amp; Assumptions'!$B$10, "Direct Optical Drop (&lt;3km)", IF(S1092&lt;='Methodology &amp; Assumptions'!$B$9, "Near Optical / Microwave (&lt;5km)", "Starlink Business LEO Satellite Backhaul (&gt;5km)"))</f>
        <v/>
      </c>
      <c r="V1092" s="26" t="n">
        <v>68.20999999999999</v>
      </c>
      <c r="W1092" s="26" t="n">
        <v>48.76</v>
      </c>
      <c r="X1092" s="26">
        <f>ROUND(('Methodology &amp; Assumptions'!$B$5*V1092) + ('Methodology &amp; Assumptions'!$B$6*W1092), 2)</f>
        <v/>
      </c>
      <c r="Y1092" s="28" t="n">
        <v>7.2</v>
      </c>
      <c r="Z1092" s="11" t="inlineStr">
        <is>
          <t>Priority Tier 3 (Broadband Expansion)</t>
        </is>
      </c>
    </row>
    <row r="1093">
      <c r="A1093" s="23" t="n">
        <v>5</v>
      </c>
      <c r="B1093" s="23" t="n">
        <v>89</v>
      </c>
      <c r="C1093" s="23" t="n">
        <v>4089</v>
      </c>
      <c r="D1093" s="23" t="inlineStr">
        <is>
          <t>0501706014</t>
        </is>
      </c>
      <c r="E1093" s="11" t="inlineStr">
        <is>
          <t>Region V (Bicol Region)</t>
        </is>
      </c>
      <c r="F1093" s="11" t="inlineStr">
        <is>
          <t>Camarines Sur</t>
        </is>
      </c>
      <c r="G1093" s="11" t="inlineStr">
        <is>
          <t>Bula</t>
        </is>
      </c>
      <c r="H1093" s="11" t="inlineStr">
        <is>
          <t>Lanipga</t>
        </is>
      </c>
      <c r="I1093" s="24" t="n">
        <v>13.52898</v>
      </c>
      <c r="J1093" s="24" t="n">
        <v>123.332665</v>
      </c>
      <c r="K1093" s="23" t="inlineStr">
        <is>
          <t>R</t>
        </is>
      </c>
      <c r="L1093" s="25" t="n">
        <v>1681</v>
      </c>
      <c r="M1093" s="26" t="n">
        <v>4.2</v>
      </c>
      <c r="N1093" s="25">
        <f>ROUND(L1093/M1093, 0)</f>
        <v/>
      </c>
      <c r="O1093" s="25">
        <f>ROUND(N1093*'Methodology &amp; Assumptions'!$B$7, 0)</f>
        <v/>
      </c>
      <c r="P1093" s="23" t="inlineStr">
        <is>
          <t>Single Carrier (Band n50, 100MHz TDD)</t>
        </is>
      </c>
      <c r="Q1093" s="27">
        <f>ROUNDUP(O1093/'Methodology &amp; Assumptions'!$B$8, 0)</f>
        <v/>
      </c>
      <c r="R1093" s="27" t="n">
        <v>1</v>
      </c>
      <c r="S1093" s="26" t="n">
        <v>3.81</v>
      </c>
      <c r="T1093" s="26" t="n">
        <v>1.75</v>
      </c>
      <c r="U1093" s="11">
        <f>IF(S1093&lt;='Methodology &amp; Assumptions'!$B$10, "Direct Optical Drop (&lt;3km)", IF(S1093&lt;='Methodology &amp; Assumptions'!$B$9, "Near Optical / Microwave (&lt;5km)", "Starlink Business LEO Satellite Backhaul (&gt;5km)"))</f>
        <v/>
      </c>
      <c r="V1093" s="26" t="n">
        <v>64.38</v>
      </c>
      <c r="W1093" s="26" t="n">
        <v>52.59</v>
      </c>
      <c r="X1093" s="26">
        <f>ROUND(('Methodology &amp; Assumptions'!$B$5*V1093) + ('Methodology &amp; Assumptions'!$B$6*W1093), 2)</f>
        <v/>
      </c>
      <c r="Y1093" s="28" t="n">
        <v>23.7</v>
      </c>
      <c r="Z1093" s="11" t="inlineStr">
        <is>
          <t>Priority Tier 3 (Broadband Expansion)</t>
        </is>
      </c>
    </row>
    <row r="1094">
      <c r="A1094" s="23" t="n">
        <v>5</v>
      </c>
      <c r="B1094" s="23" t="n">
        <v>90</v>
      </c>
      <c r="C1094" s="23" t="n">
        <v>4090</v>
      </c>
      <c r="D1094" s="23" t="inlineStr">
        <is>
          <t>1380601124</t>
        </is>
      </c>
      <c r="E1094" s="11" t="inlineStr">
        <is>
          <t>National Capital Region (NCR)</t>
        </is>
      </c>
      <c r="F1094" s="11" t="inlineStr">
        <is>
          <t>First District (Not a Province)</t>
        </is>
      </c>
      <c r="G1094" s="11" t="inlineStr">
        <is>
          <t>City of Manila</t>
        </is>
      </c>
      <c r="H1094" s="11" t="inlineStr">
        <is>
          <t>Barangay 124</t>
        </is>
      </c>
      <c r="I1094" s="24" t="n">
        <v>14.630649</v>
      </c>
      <c r="J1094" s="24" t="n">
        <v>120.963413</v>
      </c>
      <c r="K1094" s="23" t="inlineStr">
        <is>
          <t>U</t>
        </is>
      </c>
      <c r="L1094" s="25" t="n">
        <v>307</v>
      </c>
      <c r="M1094" s="26" t="n">
        <v>3.27</v>
      </c>
      <c r="N1094" s="25">
        <f>ROUND(L1094/M1094, 0)</f>
        <v/>
      </c>
      <c r="O1094" s="25">
        <f>ROUND(N1094*'Methodology &amp; Assumptions'!$B$7, 0)</f>
        <v/>
      </c>
      <c r="P1094" s="23" t="inlineStr">
        <is>
          <t>Single Carrier (Band n50, 100MHz TDD)</t>
        </is>
      </c>
      <c r="Q1094" s="27">
        <f>ROUNDUP(O1094/'Methodology &amp; Assumptions'!$B$8, 0)</f>
        <v/>
      </c>
      <c r="R1094" s="27" t="n">
        <v>1</v>
      </c>
      <c r="S1094" s="26" t="n">
        <v>1.15</v>
      </c>
      <c r="T1094" s="26" t="n">
        <v>0.1</v>
      </c>
      <c r="U1094" s="11">
        <f>IF(S1094&lt;='Methodology &amp; Assumptions'!$B$10, "Direct Optical Drop (&lt;3km)", IF(S1094&lt;='Methodology &amp; Assumptions'!$B$9, "Near Optical / Microwave (&lt;5km)", "Starlink Business LEO Satellite Backhaul (&gt;5km)"))</f>
        <v/>
      </c>
      <c r="V1094" s="26" t="n">
        <v>42.92</v>
      </c>
      <c r="W1094" s="26" t="n">
        <v>74.06</v>
      </c>
      <c r="X1094" s="26">
        <f>ROUND(('Methodology &amp; Assumptions'!$B$5*V1094) + ('Methodology &amp; Assumptions'!$B$6*W1094), 2)</f>
        <v/>
      </c>
      <c r="Y1094" s="28" t="n">
        <v>10.9</v>
      </c>
      <c r="Z1094" s="11" t="inlineStr">
        <is>
          <t>Priority Tier 3 (Broadband Expansion)</t>
        </is>
      </c>
    </row>
    <row r="1095">
      <c r="A1095" s="23" t="n">
        <v>5</v>
      </c>
      <c r="B1095" s="23" t="n">
        <v>91</v>
      </c>
      <c r="C1095" s="23" t="n">
        <v>4091</v>
      </c>
      <c r="D1095" s="23" t="inlineStr">
        <is>
          <t>0702223044</t>
        </is>
      </c>
      <c r="E1095" s="11" t="inlineStr">
        <is>
          <t>Region VII (Central Visayas)</t>
        </is>
      </c>
      <c r="F1095" s="11" t="inlineStr">
        <is>
          <t>Cebu</t>
        </is>
      </c>
      <c r="G1095" s="11" t="inlineStr">
        <is>
          <t>Danao City</t>
        </is>
      </c>
      <c r="H1095" s="11" t="inlineStr">
        <is>
          <t>Tuburan Sur</t>
        </is>
      </c>
      <c r="I1095" s="24" t="n">
        <v>10.515631</v>
      </c>
      <c r="J1095" s="24" t="n">
        <v>124.018633</v>
      </c>
      <c r="K1095" s="23" t="inlineStr">
        <is>
          <t>U</t>
        </is>
      </c>
      <c r="L1095" s="25" t="n">
        <v>8162</v>
      </c>
      <c r="M1095" s="26" t="n">
        <v>3.8</v>
      </c>
      <c r="N1095" s="25">
        <f>ROUND(L1095/M1095, 0)</f>
        <v/>
      </c>
      <c r="O1095" s="25">
        <f>ROUND(N1095*'Methodology &amp; Assumptions'!$B$7, 0)</f>
        <v/>
      </c>
      <c r="P1095" s="23" t="inlineStr">
        <is>
          <t>Single Carrier (Band n50, 100MHz TDD)</t>
        </is>
      </c>
      <c r="Q1095" s="27">
        <f>ROUNDUP(O1095/'Methodology &amp; Assumptions'!$B$8, 0)</f>
        <v/>
      </c>
      <c r="R1095" s="27" t="n">
        <v>1</v>
      </c>
      <c r="S1095" s="26" t="n">
        <v>1.09</v>
      </c>
      <c r="T1095" s="26" t="n">
        <v>0.7</v>
      </c>
      <c r="U1095" s="11">
        <f>IF(S1095&lt;='Methodology &amp; Assumptions'!$B$10, "Direct Optical Drop (&lt;3km)", IF(S1095&lt;='Methodology &amp; Assumptions'!$B$9, "Near Optical / Microwave (&lt;5km)", "Starlink Business LEO Satellite Backhaul (&gt;5km)"))</f>
        <v/>
      </c>
      <c r="V1095" s="26" t="n">
        <v>79.91</v>
      </c>
      <c r="W1095" s="26" t="n">
        <v>37.06</v>
      </c>
      <c r="X1095" s="26">
        <f>ROUND(('Methodology &amp; Assumptions'!$B$5*V1095) + ('Methodology &amp; Assumptions'!$B$6*W1095), 2)</f>
        <v/>
      </c>
      <c r="Y1095" s="28" t="n">
        <v>23.7</v>
      </c>
      <c r="Z1095" s="11" t="inlineStr">
        <is>
          <t>Priority Tier 3 (Broadband Expansion)</t>
        </is>
      </c>
    </row>
    <row r="1096">
      <c r="A1096" s="23" t="n">
        <v>5</v>
      </c>
      <c r="B1096" s="23" t="n">
        <v>92</v>
      </c>
      <c r="C1096" s="23" t="n">
        <v>4092</v>
      </c>
      <c r="D1096" s="23" t="inlineStr">
        <is>
          <t>0803740050</t>
        </is>
      </c>
      <c r="E1096" s="11" t="inlineStr">
        <is>
          <t>Region VIII (Eastern Visayas)</t>
        </is>
      </c>
      <c r="F1096" s="11" t="inlineStr">
        <is>
          <t>Leyte</t>
        </is>
      </c>
      <c r="G1096" s="11" t="inlineStr">
        <is>
          <t>Palompon</t>
        </is>
      </c>
      <c r="H1096" s="11" t="inlineStr">
        <is>
          <t>Pinagdait Pob.</t>
        </is>
      </c>
      <c r="I1096" s="24" t="n">
        <v>11.0479</v>
      </c>
      <c r="J1096" s="24" t="n">
        <v>124.388995</v>
      </c>
      <c r="K1096" s="23" t="inlineStr">
        <is>
          <t>R</t>
        </is>
      </c>
      <c r="L1096" s="25" t="n">
        <v>1731</v>
      </c>
      <c r="M1096" s="26" t="n">
        <v>3.8</v>
      </c>
      <c r="N1096" s="25">
        <f>ROUND(L1096/M1096, 0)</f>
        <v/>
      </c>
      <c r="O1096" s="25">
        <f>ROUND(N1096*'Methodology &amp; Assumptions'!$B$7, 0)</f>
        <v/>
      </c>
      <c r="P1096" s="23" t="inlineStr">
        <is>
          <t>Single Carrier (Band n50, 100MHz TDD)</t>
        </is>
      </c>
      <c r="Q1096" s="27">
        <f>ROUNDUP(O1096/'Methodology &amp; Assumptions'!$B$8, 0)</f>
        <v/>
      </c>
      <c r="R1096" s="27" t="n">
        <v>1</v>
      </c>
      <c r="S1096" s="26" t="n">
        <v>0.52</v>
      </c>
      <c r="T1096" s="26" t="n">
        <v>0.14</v>
      </c>
      <c r="U1096" s="11">
        <f>IF(S1096&lt;='Methodology &amp; Assumptions'!$B$10, "Direct Optical Drop (&lt;3km)", IF(S1096&lt;='Methodology &amp; Assumptions'!$B$9, "Near Optical / Microwave (&lt;5km)", "Starlink Business LEO Satellite Backhaul (&gt;5km)"))</f>
        <v/>
      </c>
      <c r="V1096" s="26" t="n">
        <v>75.34999999999999</v>
      </c>
      <c r="W1096" s="26" t="n">
        <v>41.61</v>
      </c>
      <c r="X1096" s="26">
        <f>ROUND(('Methodology &amp; Assumptions'!$B$5*V1096) + ('Methodology &amp; Assumptions'!$B$6*W1096), 2)</f>
        <v/>
      </c>
      <c r="Y1096" s="28" t="n">
        <v>23.7</v>
      </c>
      <c r="Z1096" s="11" t="inlineStr">
        <is>
          <t>Priority Tier 3 (Broadband Expansion)</t>
        </is>
      </c>
    </row>
    <row r="1097">
      <c r="A1097" s="23" t="n">
        <v>5</v>
      </c>
      <c r="B1097" s="23" t="n">
        <v>93</v>
      </c>
      <c r="C1097" s="23" t="n">
        <v>4093</v>
      </c>
      <c r="D1097" s="23" t="inlineStr">
        <is>
          <t>1408104007</t>
        </is>
      </c>
      <c r="E1097" s="11" t="inlineStr">
        <is>
          <t>Cordillera Administrative Region (CAR)</t>
        </is>
      </c>
      <c r="F1097" s="11" t="inlineStr">
        <is>
          <t>Apayao</t>
        </is>
      </c>
      <c r="G1097" s="11" t="inlineStr">
        <is>
          <t>Kabugao</t>
        </is>
      </c>
      <c r="H1097" s="11" t="inlineStr">
        <is>
          <t>Cabetayan</t>
        </is>
      </c>
      <c r="I1097" s="24" t="n">
        <v>18.008715</v>
      </c>
      <c r="J1097" s="24" t="n">
        <v>121.175546</v>
      </c>
      <c r="K1097" s="23" t="inlineStr">
        <is>
          <t>R</t>
        </is>
      </c>
      <c r="L1097" s="25" t="n">
        <v>608</v>
      </c>
      <c r="M1097" s="26" t="n">
        <v>4.2</v>
      </c>
      <c r="N1097" s="25">
        <f>ROUND(L1097/M1097, 0)</f>
        <v/>
      </c>
      <c r="O1097" s="25">
        <f>ROUND(N1097*'Methodology &amp; Assumptions'!$B$7, 0)</f>
        <v/>
      </c>
      <c r="P1097" s="23" t="inlineStr">
        <is>
          <t>Single Carrier (Band n50, 100MHz TDD)</t>
        </is>
      </c>
      <c r="Q1097" s="27">
        <f>ROUNDUP(O1097/'Methodology &amp; Assumptions'!$B$8, 0)</f>
        <v/>
      </c>
      <c r="R1097" s="27" t="n">
        <v>1</v>
      </c>
      <c r="S1097" s="26" t="n">
        <v>1.34</v>
      </c>
      <c r="T1097" s="26" t="n">
        <v>8.529999999999999</v>
      </c>
      <c r="U1097" s="11">
        <f>IF(S1097&lt;='Methodology &amp; Assumptions'!$B$10, "Direct Optical Drop (&lt;3km)", IF(S1097&lt;='Methodology &amp; Assumptions'!$B$9, "Near Optical / Microwave (&lt;5km)", "Starlink Business LEO Satellite Backhaul (&gt;5km)"))</f>
        <v/>
      </c>
      <c r="V1097" s="26" t="n">
        <v>57.36</v>
      </c>
      <c r="W1097" s="26" t="n">
        <v>59.61</v>
      </c>
      <c r="X1097" s="26">
        <f>ROUND(('Methodology &amp; Assumptions'!$B$5*V1097) + ('Methodology &amp; Assumptions'!$B$6*W1097), 2)</f>
        <v/>
      </c>
      <c r="Y1097" s="28" t="n">
        <v>10.9</v>
      </c>
      <c r="Z1097" s="11" t="inlineStr">
        <is>
          <t>Priority Tier 3 (Broadband Expansion)</t>
        </is>
      </c>
    </row>
    <row r="1098">
      <c r="A1098" s="23" t="n">
        <v>5</v>
      </c>
      <c r="B1098" s="23" t="n">
        <v>94</v>
      </c>
      <c r="C1098" s="23" t="n">
        <v>4094</v>
      </c>
      <c r="D1098" s="23" t="inlineStr">
        <is>
          <t>0301409006</t>
        </is>
      </c>
      <c r="E1098" s="11" t="inlineStr">
        <is>
          <t>Region III (Central Luzon)</t>
        </is>
      </c>
      <c r="F1098" s="11" t="inlineStr">
        <is>
          <t>Bulacan</t>
        </is>
      </c>
      <c r="G1098" s="11" t="inlineStr">
        <is>
          <t>Hagonoy</t>
        </is>
      </c>
      <c r="H1098" s="11" t="inlineStr">
        <is>
          <t>Pugad</t>
        </is>
      </c>
      <c r="I1098" s="24" t="n">
        <v>14.767736</v>
      </c>
      <c r="J1098" s="24" t="n">
        <v>120.74195</v>
      </c>
      <c r="K1098" s="23" t="inlineStr">
        <is>
          <t>R</t>
        </is>
      </c>
      <c r="L1098" s="25" t="n">
        <v>1710</v>
      </c>
      <c r="M1098" s="26" t="n">
        <v>3.5</v>
      </c>
      <c r="N1098" s="25">
        <f>ROUND(L1098/M1098, 0)</f>
        <v/>
      </c>
      <c r="O1098" s="25">
        <f>ROUND(N1098*'Methodology &amp; Assumptions'!$B$7, 0)</f>
        <v/>
      </c>
      <c r="P1098" s="23" t="inlineStr">
        <is>
          <t>Single Carrier (Band n50, 100MHz TDD)</t>
        </is>
      </c>
      <c r="Q1098" s="27">
        <f>ROUNDUP(O1098/'Methodology &amp; Assumptions'!$B$8, 0)</f>
        <v/>
      </c>
      <c r="R1098" s="27" t="n">
        <v>1</v>
      </c>
      <c r="S1098" s="26" t="n">
        <v>8.02</v>
      </c>
      <c r="T1098" s="26" t="n">
        <v>10.4</v>
      </c>
      <c r="U1098" s="11">
        <f>IF(S1098&lt;='Methodology &amp; Assumptions'!$B$10, "Direct Optical Drop (&lt;3km)", IF(S1098&lt;='Methodology &amp; Assumptions'!$B$9, "Near Optical / Microwave (&lt;5km)", "Starlink Business LEO Satellite Backhaul (&gt;5km)"))</f>
        <v/>
      </c>
      <c r="V1098" s="26" t="n">
        <v>56.02</v>
      </c>
      <c r="W1098" s="26" t="n">
        <v>60.94</v>
      </c>
      <c r="X1098" s="26">
        <f>ROUND(('Methodology &amp; Assumptions'!$B$5*V1098) + ('Methodology &amp; Assumptions'!$B$6*W1098), 2)</f>
        <v/>
      </c>
      <c r="Y1098" s="28" t="n">
        <v>8.300000000000001</v>
      </c>
      <c r="Z1098" s="11" t="inlineStr">
        <is>
          <t>Priority Tier 3 (Broadband Expansion)</t>
        </is>
      </c>
    </row>
    <row r="1099">
      <c r="A1099" s="23" t="n">
        <v>5</v>
      </c>
      <c r="B1099" s="23" t="n">
        <v>95</v>
      </c>
      <c r="C1099" s="23" t="n">
        <v>4095</v>
      </c>
      <c r="D1099" s="23" t="inlineStr">
        <is>
          <t>1381300030</t>
        </is>
      </c>
      <c r="E1099" s="11" t="inlineStr">
        <is>
          <t>National Capital Region (NCR)</t>
        </is>
      </c>
      <c r="F1099" s="11" t="inlineStr">
        <is>
          <t>Second District (Not a Province)</t>
        </is>
      </c>
      <c r="G1099" s="11" t="inlineStr">
        <is>
          <t>Quezon City</t>
        </is>
      </c>
      <c r="H1099" s="11" t="inlineStr">
        <is>
          <t>Dioquino Zobel</t>
        </is>
      </c>
      <c r="I1099" s="24" t="n">
        <v>14.619584</v>
      </c>
      <c r="J1099" s="24" t="n">
        <v>121.064979</v>
      </c>
      <c r="K1099" s="23" t="inlineStr">
        <is>
          <t>U</t>
        </is>
      </c>
      <c r="L1099" s="25" t="n">
        <v>1868</v>
      </c>
      <c r="M1099" s="26" t="n">
        <v>4.42</v>
      </c>
      <c r="N1099" s="25">
        <f>ROUND(L1099/M1099, 0)</f>
        <v/>
      </c>
      <c r="O1099" s="25">
        <f>ROUND(N1099*'Methodology &amp; Assumptions'!$B$7, 0)</f>
        <v/>
      </c>
      <c r="P1099" s="23" t="inlineStr">
        <is>
          <t>Single Carrier (Band n50, 100MHz TDD)</t>
        </is>
      </c>
      <c r="Q1099" s="27">
        <f>ROUNDUP(O1099/'Methodology &amp; Assumptions'!$B$8, 0)</f>
        <v/>
      </c>
      <c r="R1099" s="27" t="n">
        <v>1</v>
      </c>
      <c r="S1099" s="26" t="n">
        <v>0.78</v>
      </c>
      <c r="T1099" s="26" t="n">
        <v>0.26</v>
      </c>
      <c r="U1099" s="11">
        <f>IF(S1099&lt;='Methodology &amp; Assumptions'!$B$10, "Direct Optical Drop (&lt;3km)", IF(S1099&lt;='Methodology &amp; Assumptions'!$B$9, "Near Optical / Microwave (&lt;5km)", "Starlink Business LEO Satellite Backhaul (&gt;5km)"))</f>
        <v/>
      </c>
      <c r="V1099" s="26" t="n">
        <v>54.7</v>
      </c>
      <c r="W1099" s="26" t="n">
        <v>62.26</v>
      </c>
      <c r="X1099" s="26">
        <f>ROUND(('Methodology &amp; Assumptions'!$B$5*V1099) + ('Methodology &amp; Assumptions'!$B$6*W1099), 2)</f>
        <v/>
      </c>
      <c r="Y1099" s="28" t="n">
        <v>10.9</v>
      </c>
      <c r="Z1099" s="11" t="inlineStr">
        <is>
          <t>Priority Tier 3 (Broadband Expansion)</t>
        </is>
      </c>
    </row>
    <row r="1100">
      <c r="A1100" s="23" t="n">
        <v>5</v>
      </c>
      <c r="B1100" s="23" t="n">
        <v>96</v>
      </c>
      <c r="C1100" s="23" t="n">
        <v>4096</v>
      </c>
      <c r="D1100" s="23" t="inlineStr">
        <is>
          <t>0405804012</t>
        </is>
      </c>
      <c r="E1100" s="11" t="inlineStr">
        <is>
          <t>Region IV-A (CALABARZON)</t>
        </is>
      </c>
      <c r="F1100" s="11" t="inlineStr">
        <is>
          <t>Rizal</t>
        </is>
      </c>
      <c r="G1100" s="11" t="inlineStr">
        <is>
          <t>Binangonan</t>
        </is>
      </c>
      <c r="H1100" s="11" t="inlineStr">
        <is>
          <t>Ithan</t>
        </is>
      </c>
      <c r="I1100" s="24" t="n">
        <v>14.432278</v>
      </c>
      <c r="J1100" s="24" t="n">
        <v>121.212806</v>
      </c>
      <c r="K1100" s="23" t="inlineStr">
        <is>
          <t>R</t>
        </is>
      </c>
      <c r="L1100" s="25" t="n">
        <v>3597</v>
      </c>
      <c r="M1100" s="26" t="n">
        <v>3.6</v>
      </c>
      <c r="N1100" s="25">
        <f>ROUND(L1100/M1100, 0)</f>
        <v/>
      </c>
      <c r="O1100" s="25">
        <f>ROUND(N1100*'Methodology &amp; Assumptions'!$B$7, 0)</f>
        <v/>
      </c>
      <c r="P1100" s="23" t="inlineStr">
        <is>
          <t>Single Carrier (Band n50, 100MHz TDD)</t>
        </is>
      </c>
      <c r="Q1100" s="27">
        <f>ROUNDUP(O1100/'Methodology &amp; Assumptions'!$B$8, 0)</f>
        <v/>
      </c>
      <c r="R1100" s="27" t="n">
        <v>1</v>
      </c>
      <c r="S1100" s="26" t="n">
        <v>1.4</v>
      </c>
      <c r="T1100" s="26" t="n">
        <v>4.54</v>
      </c>
      <c r="U1100" s="11">
        <f>IF(S1100&lt;='Methodology &amp; Assumptions'!$B$10, "Direct Optical Drop (&lt;3km)", IF(S1100&lt;='Methodology &amp; Assumptions'!$B$9, "Near Optical / Microwave (&lt;5km)", "Starlink Business LEO Satellite Backhaul (&gt;5km)"))</f>
        <v/>
      </c>
      <c r="V1100" s="26" t="n">
        <v>79.84999999999999</v>
      </c>
      <c r="W1100" s="26" t="n">
        <v>37.1</v>
      </c>
      <c r="X1100" s="26">
        <f>ROUND(('Methodology &amp; Assumptions'!$B$5*V1100) + ('Methodology &amp; Assumptions'!$B$6*W1100), 2)</f>
        <v/>
      </c>
      <c r="Y1100" s="28" t="n">
        <v>7.2</v>
      </c>
      <c r="Z1100" s="11" t="inlineStr">
        <is>
          <t>Priority Tier 3 (Broadband Expansion)</t>
        </is>
      </c>
    </row>
    <row r="1101">
      <c r="A1101" s="23" t="n">
        <v>5</v>
      </c>
      <c r="B1101" s="23" t="n">
        <v>97</v>
      </c>
      <c r="C1101" s="23" t="n">
        <v>4097</v>
      </c>
      <c r="D1101" s="23" t="inlineStr">
        <is>
          <t>1004307003</t>
        </is>
      </c>
      <c r="E1101" s="11" t="inlineStr">
        <is>
          <t>Region X (Northern Mindanao)</t>
        </is>
      </c>
      <c r="F1101" s="11" t="inlineStr">
        <is>
          <t>Misamis Oriental</t>
        </is>
      </c>
      <c r="G1101" s="11" t="inlineStr">
        <is>
          <t>City of El Salvador</t>
        </is>
      </c>
      <c r="H1101" s="11" t="inlineStr">
        <is>
          <t>Bolobolo</t>
        </is>
      </c>
      <c r="I1101" s="24" t="n">
        <v>8.555837</v>
      </c>
      <c r="J1101" s="24" t="n">
        <v>124.532895</v>
      </c>
      <c r="K1101" s="23" t="inlineStr">
        <is>
          <t>U</t>
        </is>
      </c>
      <c r="L1101" s="25" t="n">
        <v>4752</v>
      </c>
      <c r="M1101" s="26" t="n">
        <v>3.9</v>
      </c>
      <c r="N1101" s="25">
        <f>ROUND(L1101/M1101, 0)</f>
        <v/>
      </c>
      <c r="O1101" s="25">
        <f>ROUND(N1101*'Methodology &amp; Assumptions'!$B$7, 0)</f>
        <v/>
      </c>
      <c r="P1101" s="23" t="inlineStr">
        <is>
          <t>Single Carrier (Band n50, 100MHz TDD)</t>
        </is>
      </c>
      <c r="Q1101" s="27">
        <f>ROUNDUP(O1101/'Methodology &amp; Assumptions'!$B$8, 0)</f>
        <v/>
      </c>
      <c r="R1101" s="27" t="n">
        <v>1</v>
      </c>
      <c r="S1101" s="26" t="n">
        <v>1.01</v>
      </c>
      <c r="T1101" s="26" t="n">
        <v>0.05</v>
      </c>
      <c r="U1101" s="11">
        <f>IF(S1101&lt;='Methodology &amp; Assumptions'!$B$10, "Direct Optical Drop (&lt;3km)", IF(S1101&lt;='Methodology &amp; Assumptions'!$B$9, "Near Optical / Microwave (&lt;5km)", "Starlink Business LEO Satellite Backhaul (&gt;5km)"))</f>
        <v/>
      </c>
      <c r="V1101" s="26" t="n">
        <v>79.22</v>
      </c>
      <c r="W1101" s="26" t="n">
        <v>37.71</v>
      </c>
      <c r="X1101" s="26">
        <f>ROUND(('Methodology &amp; Assumptions'!$B$5*V1101) + ('Methodology &amp; Assumptions'!$B$6*W1101), 2)</f>
        <v/>
      </c>
      <c r="Y1101" s="28" t="n">
        <v>17.4</v>
      </c>
      <c r="Z1101" s="11" t="inlineStr">
        <is>
          <t>Priority Tier 3 (Broadband Expansion)</t>
        </is>
      </c>
    </row>
    <row r="1102">
      <c r="A1102" s="23" t="n">
        <v>5</v>
      </c>
      <c r="B1102" s="23" t="n">
        <v>98</v>
      </c>
      <c r="C1102" s="23" t="n">
        <v>4098</v>
      </c>
      <c r="D1102" s="23" t="inlineStr">
        <is>
          <t>0300809029</t>
        </is>
      </c>
      <c r="E1102" s="11" t="inlineStr">
        <is>
          <t>Region III (Central Luzon)</t>
        </is>
      </c>
      <c r="F1102" s="11" t="inlineStr">
        <is>
          <t>Bataan</t>
        </is>
      </c>
      <c r="G1102" s="11" t="inlineStr">
        <is>
          <t>Orani</t>
        </is>
      </c>
      <c r="H1102" s="11" t="inlineStr">
        <is>
          <t>Tagumpay</t>
        </is>
      </c>
      <c r="I1102" s="24" t="n">
        <v>14.810502</v>
      </c>
      <c r="J1102" s="24" t="n">
        <v>120.520128</v>
      </c>
      <c r="K1102" s="23" t="inlineStr">
        <is>
          <t>R</t>
        </is>
      </c>
      <c r="L1102" s="25" t="n">
        <v>2665</v>
      </c>
      <c r="M1102" s="26" t="n">
        <v>3.6</v>
      </c>
      <c r="N1102" s="25">
        <f>ROUND(L1102/M1102, 0)</f>
        <v/>
      </c>
      <c r="O1102" s="25">
        <f>ROUND(N1102*'Methodology &amp; Assumptions'!$B$7, 0)</f>
        <v/>
      </c>
      <c r="P1102" s="23" t="inlineStr">
        <is>
          <t>Single Carrier (Band n50, 100MHz TDD)</t>
        </is>
      </c>
      <c r="Q1102" s="27">
        <f>ROUNDUP(O1102/'Methodology &amp; Assumptions'!$B$8, 0)</f>
        <v/>
      </c>
      <c r="R1102" s="27" t="n">
        <v>1</v>
      </c>
      <c r="S1102" s="26" t="n">
        <v>1.98</v>
      </c>
      <c r="T1102" s="26" t="n">
        <v>0.25</v>
      </c>
      <c r="U1102" s="11">
        <f>IF(S1102&lt;='Methodology &amp; Assumptions'!$B$10, "Direct Optical Drop (&lt;3km)", IF(S1102&lt;='Methodology &amp; Assumptions'!$B$9, "Near Optical / Microwave (&lt;5km)", "Starlink Business LEO Satellite Backhaul (&gt;5km)"))</f>
        <v/>
      </c>
      <c r="V1102" s="26" t="n">
        <v>78.90000000000001</v>
      </c>
      <c r="W1102" s="26" t="n">
        <v>38.03</v>
      </c>
      <c r="X1102" s="26">
        <f>ROUND(('Methodology &amp; Assumptions'!$B$5*V1102) + ('Methodology &amp; Assumptions'!$B$6*W1102), 2)</f>
        <v/>
      </c>
      <c r="Y1102" s="28" t="n">
        <v>8.300000000000001</v>
      </c>
      <c r="Z1102" s="11" t="inlineStr">
        <is>
          <t>Priority Tier 3 (Broadband Expansion)</t>
        </is>
      </c>
    </row>
    <row r="1103">
      <c r="A1103" s="23" t="n">
        <v>5</v>
      </c>
      <c r="B1103" s="23" t="n">
        <v>99</v>
      </c>
      <c r="C1103" s="23" t="n">
        <v>4099</v>
      </c>
      <c r="D1103" s="23" t="inlineStr">
        <is>
          <t>0631000183</t>
        </is>
      </c>
      <c r="E1103" s="11" t="inlineStr">
        <is>
          <t>Region VI (Western Visayas)</t>
        </is>
      </c>
      <c r="F1103" s="11" t="inlineStr">
        <is>
          <t>Iloilo</t>
        </is>
      </c>
      <c r="G1103" s="11" t="inlineStr">
        <is>
          <t>City of Iloilo</t>
        </is>
      </c>
      <c r="H1103" s="11" t="inlineStr">
        <is>
          <t>Ticud</t>
        </is>
      </c>
      <c r="I1103" s="24" t="n">
        <v>10.92438</v>
      </c>
      <c r="J1103" s="24" t="n">
        <v>122.558213</v>
      </c>
      <c r="K1103" s="23" t="inlineStr">
        <is>
          <t>U</t>
        </is>
      </c>
      <c r="L1103" s="25" t="n">
        <v>3472</v>
      </c>
      <c r="M1103" s="26" t="n">
        <v>4.2</v>
      </c>
      <c r="N1103" s="25">
        <f>ROUND(L1103/M1103, 0)</f>
        <v/>
      </c>
      <c r="O1103" s="25">
        <f>ROUND(N1103*'Methodology &amp; Assumptions'!$B$7, 0)</f>
        <v/>
      </c>
      <c r="P1103" s="23" t="inlineStr">
        <is>
          <t>Single Carrier (Band n50, 100MHz TDD)</t>
        </is>
      </c>
      <c r="Q1103" s="27">
        <f>ROUNDUP(O1103/'Methodology &amp; Assumptions'!$B$8, 0)</f>
        <v/>
      </c>
      <c r="R1103" s="27" t="n">
        <v>1</v>
      </c>
      <c r="S1103" s="26" t="n">
        <v>0.97</v>
      </c>
      <c r="T1103" s="26" t="n">
        <v>0.96</v>
      </c>
      <c r="U1103" s="11">
        <f>IF(S1103&lt;='Methodology &amp; Assumptions'!$B$10, "Direct Optical Drop (&lt;3km)", IF(S1103&lt;='Methodology &amp; Assumptions'!$B$9, "Near Optical / Microwave (&lt;5km)", "Starlink Business LEO Satellite Backhaul (&gt;5km)"))</f>
        <v/>
      </c>
      <c r="V1103" s="26" t="n">
        <v>78.89</v>
      </c>
      <c r="W1103" s="26" t="n">
        <v>38.05</v>
      </c>
      <c r="X1103" s="26">
        <f>ROUND(('Methodology &amp; Assumptions'!$B$5*V1103) + ('Methodology &amp; Assumptions'!$B$6*W1103), 2)</f>
        <v/>
      </c>
      <c r="Y1103" s="28" t="n">
        <v>23.7</v>
      </c>
      <c r="Z1103" s="11" t="inlineStr">
        <is>
          <t>Priority Tier 3 (Broadband Expansion)</t>
        </is>
      </c>
    </row>
    <row r="1104">
      <c r="A1104" s="23" t="n">
        <v>5</v>
      </c>
      <c r="B1104" s="23" t="n">
        <v>100</v>
      </c>
      <c r="C1104" s="23" t="n">
        <v>4100</v>
      </c>
      <c r="D1104" s="23" t="inlineStr">
        <is>
          <t>1705103002</t>
        </is>
      </c>
      <c r="E1104" s="11" t="inlineStr">
        <is>
          <t>MIMAROPA Region</t>
        </is>
      </c>
      <c r="F1104" s="11" t="inlineStr">
        <is>
          <t>Occidental Mindoro</t>
        </is>
      </c>
      <c r="G1104" s="11" t="inlineStr">
        <is>
          <t>Looc</t>
        </is>
      </c>
      <c r="H1104" s="11" t="inlineStr">
        <is>
          <t>Ambil</t>
        </is>
      </c>
      <c r="I1104" s="24" t="n">
        <v>13.793394</v>
      </c>
      <c r="J1104" s="24" t="n">
        <v>120.274862</v>
      </c>
      <c r="K1104" s="23" t="inlineStr">
        <is>
          <t>R</t>
        </is>
      </c>
      <c r="L1104" s="25" t="n">
        <v>1819</v>
      </c>
      <c r="M1104" s="26" t="n">
        <v>3.9</v>
      </c>
      <c r="N1104" s="25">
        <f>ROUND(L1104/M1104, 0)</f>
        <v/>
      </c>
      <c r="O1104" s="25">
        <f>ROUND(N1104*'Methodology &amp; Assumptions'!$B$7, 0)</f>
        <v/>
      </c>
      <c r="P1104" s="23" t="inlineStr">
        <is>
          <t>Single Carrier (Band n50, 100MHz TDD)</t>
        </is>
      </c>
      <c r="Q1104" s="27">
        <f>ROUNDUP(O1104/'Methodology &amp; Assumptions'!$B$8, 0)</f>
        <v/>
      </c>
      <c r="R1104" s="27" t="n">
        <v>1</v>
      </c>
      <c r="S1104" s="26" t="n">
        <v>38.55</v>
      </c>
      <c r="T1104" s="26" t="n">
        <v>38.62</v>
      </c>
      <c r="U1104" s="11">
        <f>IF(S1104&lt;='Methodology &amp; Assumptions'!$B$10, "Direct Optical Drop (&lt;3km)", IF(S1104&lt;='Methodology &amp; Assumptions'!$B$9, "Near Optical / Microwave (&lt;5km)", "Starlink Business LEO Satellite Backhaul (&gt;5km)"))</f>
        <v/>
      </c>
      <c r="V1104" s="26" t="n">
        <v>50.8</v>
      </c>
      <c r="W1104" s="26" t="n">
        <v>66.14</v>
      </c>
      <c r="X1104" s="26">
        <f>ROUND(('Methodology &amp; Assumptions'!$B$5*V1104) + ('Methodology &amp; Assumptions'!$B$6*W1104), 2)</f>
        <v/>
      </c>
      <c r="Y1104" s="28" t="n">
        <v>15</v>
      </c>
      <c r="Z1104" s="11" t="inlineStr">
        <is>
          <t>Priority Tier 3 (Broadband Expansion)</t>
        </is>
      </c>
    </row>
    <row r="1105">
      <c r="A1105" s="23" t="n">
        <v>5</v>
      </c>
      <c r="B1105" s="23" t="n">
        <v>101</v>
      </c>
      <c r="C1105" s="23" t="n">
        <v>4101</v>
      </c>
      <c r="D1105" s="23" t="inlineStr">
        <is>
          <t>1907009002</t>
        </is>
      </c>
      <c r="E1105" s="11" t="inlineStr">
        <is>
          <t>Bangsamoro Autonomous Region In Muslim Mindanao (BARMM)</t>
        </is>
      </c>
      <c r="F1105" s="11" t="inlineStr">
        <is>
          <t>Tawi-Tawi</t>
        </is>
      </c>
      <c r="G1105" s="11" t="inlineStr">
        <is>
          <t>Languyan</t>
        </is>
      </c>
      <c r="H1105" s="11" t="inlineStr">
        <is>
          <t>Bas-bas Proper</t>
        </is>
      </c>
      <c r="I1105" s="24" t="n">
        <v>5.331985</v>
      </c>
      <c r="J1105" s="24" t="n">
        <v>120.242619</v>
      </c>
      <c r="K1105" s="23" t="inlineStr">
        <is>
          <t>R</t>
        </is>
      </c>
      <c r="L1105" s="25" t="n">
        <v>1467</v>
      </c>
      <c r="M1105" s="26" t="n">
        <v>5.8</v>
      </c>
      <c r="N1105" s="25">
        <f>ROUND(L1105/M1105, 0)</f>
        <v/>
      </c>
      <c r="O1105" s="25">
        <f>ROUND(N1105*'Methodology &amp; Assumptions'!$B$7, 0)</f>
        <v/>
      </c>
      <c r="P1105" s="23" t="inlineStr">
        <is>
          <t>Single Carrier (Band n50, 100MHz TDD)</t>
        </is>
      </c>
      <c r="Q1105" s="27">
        <f>ROUNDUP(O1105/'Methodology &amp; Assumptions'!$B$8, 0)</f>
        <v/>
      </c>
      <c r="R1105" s="27" t="n">
        <v>1</v>
      </c>
      <c r="S1105" s="26" t="n">
        <v>999</v>
      </c>
      <c r="T1105" s="26" t="n">
        <v>999</v>
      </c>
      <c r="U1105" s="11">
        <f>IF(S1105&lt;='Methodology &amp; Assumptions'!$B$10, "Direct Optical Drop (&lt;3km)", IF(S1105&lt;='Methodology &amp; Assumptions'!$B$9, "Near Optical / Microwave (&lt;5km)", "Starlink Business LEO Satellite Backhaul (&gt;5km)"))</f>
        <v/>
      </c>
      <c r="V1105" s="26" t="n">
        <v>39.19</v>
      </c>
      <c r="W1105" s="26" t="n">
        <v>77.73999999999999</v>
      </c>
      <c r="X1105" s="26">
        <f>ROUND(('Methodology &amp; Assumptions'!$B$5*V1105) + ('Methodology &amp; Assumptions'!$B$6*W1105), 2)</f>
        <v/>
      </c>
      <c r="Y1105" s="28" t="n">
        <v>11</v>
      </c>
      <c r="Z1105" s="11" t="inlineStr">
        <is>
          <t>Priority Tier 3 (Broadband Expansion)</t>
        </is>
      </c>
    </row>
    <row r="1106">
      <c r="A1106" s="23" t="n">
        <v>5</v>
      </c>
      <c r="B1106" s="23" t="n">
        <v>102</v>
      </c>
      <c r="C1106" s="23" t="n">
        <v>4102</v>
      </c>
      <c r="D1106" s="23" t="inlineStr">
        <is>
          <t>1400126002</t>
        </is>
      </c>
      <c r="E1106" s="11" t="inlineStr">
        <is>
          <t>Cordillera Administrative Region (CAR)</t>
        </is>
      </c>
      <c r="F1106" s="11" t="inlineStr">
        <is>
          <t>Abra</t>
        </is>
      </c>
      <c r="G1106" s="11" t="inlineStr">
        <is>
          <t>Tubo</t>
        </is>
      </c>
      <c r="H1106" s="11" t="inlineStr">
        <is>
          <t>Amtuagan</t>
        </is>
      </c>
      <c r="I1106" s="24" t="n">
        <v>17.308828</v>
      </c>
      <c r="J1106" s="24" t="n">
        <v>120.752778</v>
      </c>
      <c r="K1106" s="23" t="inlineStr">
        <is>
          <t>R</t>
        </is>
      </c>
      <c r="L1106" s="25" t="n">
        <v>511</v>
      </c>
      <c r="M1106" s="26" t="n">
        <v>3.8</v>
      </c>
      <c r="N1106" s="25">
        <f>ROUND(L1106/M1106, 0)</f>
        <v/>
      </c>
      <c r="O1106" s="25">
        <f>ROUND(N1106*'Methodology &amp; Assumptions'!$B$7, 0)</f>
        <v/>
      </c>
      <c r="P1106" s="23" t="inlineStr">
        <is>
          <t>Single Carrier (Band n50, 100MHz TDD)</t>
        </is>
      </c>
      <c r="Q1106" s="27">
        <f>ROUNDUP(O1106/'Methodology &amp; Assumptions'!$B$8, 0)</f>
        <v/>
      </c>
      <c r="R1106" s="27" t="n">
        <v>1</v>
      </c>
      <c r="S1106" s="26" t="n">
        <v>20.66</v>
      </c>
      <c r="T1106" s="26" t="n">
        <v>15.19</v>
      </c>
      <c r="U1106" s="11">
        <f>IF(S1106&lt;='Methodology &amp; Assumptions'!$B$10, "Direct Optical Drop (&lt;3km)", IF(S1106&lt;='Methodology &amp; Assumptions'!$B$9, "Near Optical / Microwave (&lt;5km)", "Starlink Business LEO Satellite Backhaul (&gt;5km)"))</f>
        <v/>
      </c>
      <c r="V1106" s="26" t="n">
        <v>37.08</v>
      </c>
      <c r="W1106" s="26" t="n">
        <v>79.87</v>
      </c>
      <c r="X1106" s="26">
        <f>ROUND(('Methodology &amp; Assumptions'!$B$5*V1106) + ('Methodology &amp; Assumptions'!$B$6*W1106), 2)</f>
        <v/>
      </c>
      <c r="Y1106" s="28" t="n">
        <v>10.9</v>
      </c>
      <c r="Z1106" s="11" t="inlineStr">
        <is>
          <t>Priority Tier 3 (Broadband Expansion)</t>
        </is>
      </c>
    </row>
    <row r="1107">
      <c r="A1107" s="23" t="n">
        <v>5</v>
      </c>
      <c r="B1107" s="23" t="n">
        <v>103</v>
      </c>
      <c r="C1107" s="23" t="n">
        <v>4103</v>
      </c>
      <c r="D1107" s="23" t="inlineStr">
        <is>
          <t>0501603008</t>
        </is>
      </c>
      <c r="E1107" s="11" t="inlineStr">
        <is>
          <t>Region V (Bicol Region)</t>
        </is>
      </c>
      <c r="F1107" s="11" t="inlineStr">
        <is>
          <t>Camarines Norte</t>
        </is>
      </c>
      <c r="G1107" s="11" t="inlineStr">
        <is>
          <t>Daet</t>
        </is>
      </c>
      <c r="H1107" s="11" t="inlineStr">
        <is>
          <t>Cobangbang</t>
        </is>
      </c>
      <c r="I1107" s="24" t="n">
        <v>14.104064</v>
      </c>
      <c r="J1107" s="24" t="n">
        <v>122.962974</v>
      </c>
      <c r="K1107" s="23" t="inlineStr">
        <is>
          <t>R</t>
        </is>
      </c>
      <c r="L1107" s="25" t="n">
        <v>3875</v>
      </c>
      <c r="M1107" s="26" t="n">
        <v>4</v>
      </c>
      <c r="N1107" s="25">
        <f>ROUND(L1107/M1107, 0)</f>
        <v/>
      </c>
      <c r="O1107" s="25">
        <f>ROUND(N1107*'Methodology &amp; Assumptions'!$B$7, 0)</f>
        <v/>
      </c>
      <c r="P1107" s="23" t="inlineStr">
        <is>
          <t>Single Carrier (Band n50, 100MHz TDD)</t>
        </is>
      </c>
      <c r="Q1107" s="27">
        <f>ROUNDUP(O1107/'Methodology &amp; Assumptions'!$B$8, 0)</f>
        <v/>
      </c>
      <c r="R1107" s="27" t="n">
        <v>1</v>
      </c>
      <c r="S1107" s="26" t="n">
        <v>1.54</v>
      </c>
      <c r="T1107" s="26" t="n">
        <v>0.98</v>
      </c>
      <c r="U1107" s="11">
        <f>IF(S1107&lt;='Methodology &amp; Assumptions'!$B$10, "Direct Optical Drop (&lt;3km)", IF(S1107&lt;='Methodology &amp; Assumptions'!$B$9, "Near Optical / Microwave (&lt;5km)", "Starlink Business LEO Satellite Backhaul (&gt;5km)"))</f>
        <v/>
      </c>
      <c r="V1107" s="26" t="n">
        <v>85.44</v>
      </c>
      <c r="W1107" s="26" t="n">
        <v>31.48</v>
      </c>
      <c r="X1107" s="26">
        <f>ROUND(('Methodology &amp; Assumptions'!$B$5*V1107) + ('Methodology &amp; Assumptions'!$B$6*W1107), 2)</f>
        <v/>
      </c>
      <c r="Y1107" s="28" t="n">
        <v>23.7</v>
      </c>
      <c r="Z1107" s="11" t="inlineStr">
        <is>
          <t>Priority Tier 3 (Broadband Expansion)</t>
        </is>
      </c>
    </row>
    <row r="1108">
      <c r="A1108" s="23" t="n">
        <v>5</v>
      </c>
      <c r="B1108" s="23" t="n">
        <v>104</v>
      </c>
      <c r="C1108" s="23" t="n">
        <v>4104</v>
      </c>
      <c r="D1108" s="23" t="inlineStr">
        <is>
          <t>0401016022</t>
        </is>
      </c>
      <c r="E1108" s="11" t="inlineStr">
        <is>
          <t>Region IV-A (CALABARZON)</t>
        </is>
      </c>
      <c r="F1108" s="11" t="inlineStr">
        <is>
          <t>Batangas</t>
        </is>
      </c>
      <c r="G1108" s="11" t="inlineStr">
        <is>
          <t>Mabini</t>
        </is>
      </c>
      <c r="H1108" s="11" t="inlineStr">
        <is>
          <t>Pulong Niogan</t>
        </is>
      </c>
      <c r="I1108" s="24" t="n">
        <v>13.75369</v>
      </c>
      <c r="J1108" s="24" t="n">
        <v>120.940302</v>
      </c>
      <c r="K1108" s="23" t="inlineStr">
        <is>
          <t>R</t>
        </is>
      </c>
      <c r="L1108" s="25" t="n">
        <v>2496</v>
      </c>
      <c r="M1108" s="26" t="n">
        <v>3.6</v>
      </c>
      <c r="N1108" s="25">
        <f>ROUND(L1108/M1108, 0)</f>
        <v/>
      </c>
      <c r="O1108" s="25">
        <f>ROUND(N1108*'Methodology &amp; Assumptions'!$B$7, 0)</f>
        <v/>
      </c>
      <c r="P1108" s="23" t="inlineStr">
        <is>
          <t>Single Carrier (Band n50, 100MHz TDD)</t>
        </is>
      </c>
      <c r="Q1108" s="27">
        <f>ROUNDUP(O1108/'Methodology &amp; Assumptions'!$B$8, 0)</f>
        <v/>
      </c>
      <c r="R1108" s="27" t="n">
        <v>1</v>
      </c>
      <c r="S1108" s="26" t="n">
        <v>0.67</v>
      </c>
      <c r="T1108" s="26" t="n">
        <v>7.96</v>
      </c>
      <c r="U1108" s="11">
        <f>IF(S1108&lt;='Methodology &amp; Assumptions'!$B$10, "Direct Optical Drop (&lt;3km)", IF(S1108&lt;='Methodology &amp; Assumptions'!$B$9, "Near Optical / Microwave (&lt;5km)", "Starlink Business LEO Satellite Backhaul (&gt;5km)"))</f>
        <v/>
      </c>
      <c r="V1108" s="26" t="n">
        <v>78.67</v>
      </c>
      <c r="W1108" s="26" t="n">
        <v>38.25</v>
      </c>
      <c r="X1108" s="26">
        <f>ROUND(('Methodology &amp; Assumptions'!$B$5*V1108) + ('Methodology &amp; Assumptions'!$B$6*W1108), 2)</f>
        <v/>
      </c>
      <c r="Y1108" s="28" t="n">
        <v>7.2</v>
      </c>
      <c r="Z1108" s="11" t="inlineStr">
        <is>
          <t>Priority Tier 3 (Broadband Expansion)</t>
        </is>
      </c>
    </row>
    <row r="1109">
      <c r="A1109" s="23" t="n">
        <v>5</v>
      </c>
      <c r="B1109" s="23" t="n">
        <v>105</v>
      </c>
      <c r="C1109" s="23" t="n">
        <v>4105</v>
      </c>
      <c r="D1109" s="23" t="inlineStr">
        <is>
          <t>0304911056</t>
        </is>
      </c>
      <c r="E1109" s="11" t="inlineStr">
        <is>
          <t>Region III (Central Luzon)</t>
        </is>
      </c>
      <c r="F1109" s="11" t="inlineStr">
        <is>
          <t>Nueva Ecija</t>
        </is>
      </c>
      <c r="G1109" s="11" t="inlineStr">
        <is>
          <t>Guimba</t>
        </is>
      </c>
      <c r="H1109" s="11" t="inlineStr">
        <is>
          <t>San Roque</t>
        </is>
      </c>
      <c r="I1109" s="24" t="n">
        <v>15.648846</v>
      </c>
      <c r="J1109" s="24" t="n">
        <v>120.768898</v>
      </c>
      <c r="K1109" s="23" t="inlineStr">
        <is>
          <t>U</t>
        </is>
      </c>
      <c r="L1109" s="25" t="n">
        <v>6874</v>
      </c>
      <c r="M1109" s="26" t="n">
        <v>3.5</v>
      </c>
      <c r="N1109" s="25">
        <f>ROUND(L1109/M1109, 0)</f>
        <v/>
      </c>
      <c r="O1109" s="25">
        <f>ROUND(N1109*'Methodology &amp; Assumptions'!$B$7, 0)</f>
        <v/>
      </c>
      <c r="P1109" s="23" t="inlineStr">
        <is>
          <t>Single Carrier (Band n50, 100MHz TDD)</t>
        </is>
      </c>
      <c r="Q1109" s="27">
        <f>ROUNDUP(O1109/'Methodology &amp; Assumptions'!$B$8, 0)</f>
        <v/>
      </c>
      <c r="R1109" s="27" t="n">
        <v>1</v>
      </c>
      <c r="S1109" s="26" t="n">
        <v>1.04</v>
      </c>
      <c r="T1109" s="26" t="n">
        <v>0.02</v>
      </c>
      <c r="U1109" s="11">
        <f>IF(S1109&lt;='Methodology &amp; Assumptions'!$B$10, "Direct Optical Drop (&lt;3km)", IF(S1109&lt;='Methodology &amp; Assumptions'!$B$9, "Near Optical / Microwave (&lt;5km)", "Starlink Business LEO Satellite Backhaul (&gt;5km)"))</f>
        <v/>
      </c>
      <c r="V1109" s="26" t="n">
        <v>77.66</v>
      </c>
      <c r="W1109" s="26" t="n">
        <v>39.26</v>
      </c>
      <c r="X1109" s="26">
        <f>ROUND(('Methodology &amp; Assumptions'!$B$5*V1109) + ('Methodology &amp; Assumptions'!$B$6*W1109), 2)</f>
        <v/>
      </c>
      <c r="Y1109" s="28" t="n">
        <v>8.300000000000001</v>
      </c>
      <c r="Z1109" s="11" t="inlineStr">
        <is>
          <t>Priority Tier 3 (Broadband Expansion)</t>
        </is>
      </c>
    </row>
    <row r="1110">
      <c r="A1110" s="23" t="n">
        <v>5</v>
      </c>
      <c r="B1110" s="23" t="n">
        <v>106</v>
      </c>
      <c r="C1110" s="23" t="n">
        <v>4106</v>
      </c>
      <c r="D1110" s="23" t="inlineStr">
        <is>
          <t>0300803006</t>
        </is>
      </c>
      <c r="E1110" s="11" t="inlineStr">
        <is>
          <t>Region III (Central Luzon)</t>
        </is>
      </c>
      <c r="F1110" s="11" t="inlineStr">
        <is>
          <t>Bataan</t>
        </is>
      </c>
      <c r="G1110" s="11" t="inlineStr">
        <is>
          <t>City of Balanga</t>
        </is>
      </c>
      <c r="H1110" s="11" t="inlineStr">
        <is>
          <t>Central</t>
        </is>
      </c>
      <c r="I1110" s="24" t="n">
        <v>14.664682</v>
      </c>
      <c r="J1110" s="24" t="n">
        <v>120.538229</v>
      </c>
      <c r="K1110" s="23" t="inlineStr">
        <is>
          <t>U</t>
        </is>
      </c>
      <c r="L1110" s="25" t="n">
        <v>7399</v>
      </c>
      <c r="M1110" s="26" t="n">
        <v>3.6</v>
      </c>
      <c r="N1110" s="25">
        <f>ROUND(L1110/M1110, 0)</f>
        <v/>
      </c>
      <c r="O1110" s="25">
        <f>ROUND(N1110*'Methodology &amp; Assumptions'!$B$7, 0)</f>
        <v/>
      </c>
      <c r="P1110" s="23" t="inlineStr">
        <is>
          <t>Single Carrier (Band n50, 100MHz TDD)</t>
        </is>
      </c>
      <c r="Q1110" s="27">
        <f>ROUNDUP(O1110/'Methodology &amp; Assumptions'!$B$8, 0)</f>
        <v/>
      </c>
      <c r="R1110" s="27" t="n">
        <v>1</v>
      </c>
      <c r="S1110" s="26" t="n">
        <v>1.78</v>
      </c>
      <c r="T1110" s="26" t="n">
        <v>1.41</v>
      </c>
      <c r="U1110" s="11">
        <f>IF(S1110&lt;='Methodology &amp; Assumptions'!$B$10, "Direct Optical Drop (&lt;3km)", IF(S1110&lt;='Methodology &amp; Assumptions'!$B$9, "Near Optical / Microwave (&lt;5km)", "Starlink Business LEO Satellite Backhaul (&gt;5km)"))</f>
        <v/>
      </c>
      <c r="V1110" s="26" t="n">
        <v>74.95</v>
      </c>
      <c r="W1110" s="26" t="n">
        <v>41.97</v>
      </c>
      <c r="X1110" s="26">
        <f>ROUND(('Methodology &amp; Assumptions'!$B$5*V1110) + ('Methodology &amp; Assumptions'!$B$6*W1110), 2)</f>
        <v/>
      </c>
      <c r="Y1110" s="28" t="n">
        <v>8.300000000000001</v>
      </c>
      <c r="Z1110" s="11" t="inlineStr">
        <is>
          <t>Priority Tier 3 (Broadband Expansion)</t>
        </is>
      </c>
    </row>
    <row r="1111">
      <c r="A1111" s="23" t="n">
        <v>5</v>
      </c>
      <c r="B1111" s="23" t="n">
        <v>107</v>
      </c>
      <c r="C1111" s="23" t="n">
        <v>4107</v>
      </c>
      <c r="D1111" s="23" t="inlineStr">
        <is>
          <t>0304907004</t>
        </is>
      </c>
      <c r="E1111" s="11" t="inlineStr">
        <is>
          <t>Region III (Central Luzon)</t>
        </is>
      </c>
      <c r="F1111" s="11" t="inlineStr">
        <is>
          <t>Nueva Ecija</t>
        </is>
      </c>
      <c r="G1111" s="11" t="inlineStr">
        <is>
          <t>Gabaldon</t>
        </is>
      </c>
      <c r="H1111" s="11" t="inlineStr">
        <is>
          <t>Bitulok</t>
        </is>
      </c>
      <c r="I1111" s="24" t="n">
        <v>15.456801</v>
      </c>
      <c r="J1111" s="24" t="n">
        <v>121.33291</v>
      </c>
      <c r="K1111" s="23" t="inlineStr">
        <is>
          <t>R</t>
        </is>
      </c>
      <c r="L1111" s="25" t="n">
        <v>3180</v>
      </c>
      <c r="M1111" s="26" t="n">
        <v>3.5</v>
      </c>
      <c r="N1111" s="25">
        <f>ROUND(L1111/M1111, 0)</f>
        <v/>
      </c>
      <c r="O1111" s="25">
        <f>ROUND(N1111*'Methodology &amp; Assumptions'!$B$7, 0)</f>
        <v/>
      </c>
      <c r="P1111" s="23" t="inlineStr">
        <is>
          <t>Single Carrier (Band n50, 100MHz TDD)</t>
        </is>
      </c>
      <c r="Q1111" s="27">
        <f>ROUNDUP(O1111/'Methodology &amp; Assumptions'!$B$8, 0)</f>
        <v/>
      </c>
      <c r="R1111" s="27" t="n">
        <v>1</v>
      </c>
      <c r="S1111" s="26" t="n">
        <v>3</v>
      </c>
      <c r="T1111" s="26" t="n">
        <v>23.2</v>
      </c>
      <c r="U1111" s="11">
        <f>IF(S1111&lt;='Methodology &amp; Assumptions'!$B$10, "Direct Optical Drop (&lt;3km)", IF(S1111&lt;='Methodology &amp; Assumptions'!$B$9, "Near Optical / Microwave (&lt;5km)", "Starlink Business LEO Satellite Backhaul (&gt;5km)"))</f>
        <v/>
      </c>
      <c r="V1111" s="26" t="n">
        <v>74.68000000000001</v>
      </c>
      <c r="W1111" s="26" t="n">
        <v>42.24</v>
      </c>
      <c r="X1111" s="26">
        <f>ROUND(('Methodology &amp; Assumptions'!$B$5*V1111) + ('Methodology &amp; Assumptions'!$B$6*W1111), 2)</f>
        <v/>
      </c>
      <c r="Y1111" s="28" t="n">
        <v>8.300000000000001</v>
      </c>
      <c r="Z1111" s="11" t="inlineStr">
        <is>
          <t>Priority Tier 3 (Broadband Expansion)</t>
        </is>
      </c>
    </row>
    <row r="1112">
      <c r="A1112" s="23" t="n">
        <v>5</v>
      </c>
      <c r="B1112" s="23" t="n">
        <v>108</v>
      </c>
      <c r="C1112" s="23" t="n">
        <v>4108</v>
      </c>
      <c r="D1112" s="23" t="inlineStr">
        <is>
          <t>0306904019</t>
        </is>
      </c>
      <c r="E1112" s="11" t="inlineStr">
        <is>
          <t>Region III (Central Luzon)</t>
        </is>
      </c>
      <c r="F1112" s="11" t="inlineStr">
        <is>
          <t>Tarlac</t>
        </is>
      </c>
      <c r="G1112" s="11" t="inlineStr">
        <is>
          <t>Capas</t>
        </is>
      </c>
      <c r="H1112" s="11" t="inlineStr">
        <is>
          <t>Santo Domingo 1st</t>
        </is>
      </c>
      <c r="I1112" s="24" t="n">
        <v>15.337028</v>
      </c>
      <c r="J1112" s="24" t="n">
        <v>120.594722</v>
      </c>
      <c r="K1112" s="23" t="inlineStr">
        <is>
          <t>U</t>
        </is>
      </c>
      <c r="L1112" s="25" t="n">
        <v>2523</v>
      </c>
      <c r="M1112" s="26" t="n">
        <v>3.9</v>
      </c>
      <c r="N1112" s="25">
        <f>ROUND(L1112/M1112, 0)</f>
        <v/>
      </c>
      <c r="O1112" s="25">
        <f>ROUND(N1112*'Methodology &amp; Assumptions'!$B$7, 0)</f>
        <v/>
      </c>
      <c r="P1112" s="23" t="inlineStr">
        <is>
          <t>Single Carrier (Band n50, 100MHz TDD)</t>
        </is>
      </c>
      <c r="Q1112" s="27">
        <f>ROUNDUP(O1112/'Methodology &amp; Assumptions'!$B$8, 0)</f>
        <v/>
      </c>
      <c r="R1112" s="27" t="n">
        <v>1</v>
      </c>
      <c r="S1112" s="26" t="n">
        <v>1.11</v>
      </c>
      <c r="T1112" s="26" t="n">
        <v>0.3</v>
      </c>
      <c r="U1112" s="11">
        <f>IF(S1112&lt;='Methodology &amp; Assumptions'!$B$10, "Direct Optical Drop (&lt;3km)", IF(S1112&lt;='Methodology &amp; Assumptions'!$B$9, "Near Optical / Microwave (&lt;5km)", "Starlink Business LEO Satellite Backhaul (&gt;5km)"))</f>
        <v/>
      </c>
      <c r="V1112" s="26" t="n">
        <v>71.81</v>
      </c>
      <c r="W1112" s="26" t="n">
        <v>45.11</v>
      </c>
      <c r="X1112" s="26">
        <f>ROUND(('Methodology &amp; Assumptions'!$B$5*V1112) + ('Methodology &amp; Assumptions'!$B$6*W1112), 2)</f>
        <v/>
      </c>
      <c r="Y1112" s="28" t="n">
        <v>8.300000000000001</v>
      </c>
      <c r="Z1112" s="11" t="inlineStr">
        <is>
          <t>Priority Tier 3 (Broadband Expansion)</t>
        </is>
      </c>
    </row>
    <row r="1113">
      <c r="A1113" s="23" t="n">
        <v>5</v>
      </c>
      <c r="B1113" s="23" t="n">
        <v>109</v>
      </c>
      <c r="C1113" s="23" t="n">
        <v>4109</v>
      </c>
      <c r="D1113" s="23" t="inlineStr">
        <is>
          <t>0102916007</t>
        </is>
      </c>
      <c r="E1113" s="11" t="inlineStr">
        <is>
          <t>Region I (Ilocos Region)</t>
        </is>
      </c>
      <c r="F1113" s="11" t="inlineStr">
        <is>
          <t>Ilocos Sur</t>
        </is>
      </c>
      <c r="G1113" s="11" t="inlineStr">
        <is>
          <t>Salcedo</t>
        </is>
      </c>
      <c r="H1113" s="11" t="inlineStr">
        <is>
          <t>Bulala-Leguey</t>
        </is>
      </c>
      <c r="I1113" s="24" t="n">
        <v>17.134719</v>
      </c>
      <c r="J1113" s="24" t="n">
        <v>120.562447</v>
      </c>
      <c r="K1113" s="23" t="inlineStr">
        <is>
          <t>R</t>
        </is>
      </c>
      <c r="L1113" s="25" t="n">
        <v>301</v>
      </c>
      <c r="M1113" s="26" t="n">
        <v>3.8</v>
      </c>
      <c r="N1113" s="25">
        <f>ROUND(L1113/M1113, 0)</f>
        <v/>
      </c>
      <c r="O1113" s="25">
        <f>ROUND(N1113*'Methodology &amp; Assumptions'!$B$7, 0)</f>
        <v/>
      </c>
      <c r="P1113" s="23" t="inlineStr">
        <is>
          <t>Single Carrier (Band n50, 100MHz TDD)</t>
        </is>
      </c>
      <c r="Q1113" s="27">
        <f>ROUNDUP(O1113/'Methodology &amp; Assumptions'!$B$8, 0)</f>
        <v/>
      </c>
      <c r="R1113" s="27" t="n">
        <v>1</v>
      </c>
      <c r="S1113" s="26" t="n">
        <v>3.11</v>
      </c>
      <c r="T1113" s="26" t="n">
        <v>9.35</v>
      </c>
      <c r="U1113" s="11">
        <f>IF(S1113&lt;='Methodology &amp; Assumptions'!$B$10, "Direct Optical Drop (&lt;3km)", IF(S1113&lt;='Methodology &amp; Assumptions'!$B$9, "Near Optical / Microwave (&lt;5km)", "Starlink Business LEO Satellite Backhaul (&gt;5km)"))</f>
        <v/>
      </c>
      <c r="V1113" s="26" t="n">
        <v>50.42</v>
      </c>
      <c r="W1113" s="26" t="n">
        <v>66.5</v>
      </c>
      <c r="X1113" s="26">
        <f>ROUND(('Methodology &amp; Assumptions'!$B$5*V1113) + ('Methodology &amp; Assumptions'!$B$6*W1113), 2)</f>
        <v/>
      </c>
      <c r="Y1113" s="28" t="n">
        <v>8.300000000000001</v>
      </c>
      <c r="Z1113" s="11" t="inlineStr">
        <is>
          <t>Priority Tier 3 (Broadband Expansion)</t>
        </is>
      </c>
    </row>
    <row r="1114">
      <c r="A1114" s="23" t="n">
        <v>5</v>
      </c>
      <c r="B1114" s="23" t="n">
        <v>110</v>
      </c>
      <c r="C1114" s="23" t="n">
        <v>4110</v>
      </c>
      <c r="D1114" s="23" t="inlineStr">
        <is>
          <t>1380606046</t>
        </is>
      </c>
      <c r="E1114" s="11" t="inlineStr">
        <is>
          <t>National Capital Region (NCR)</t>
        </is>
      </c>
      <c r="F1114" s="11" t="inlineStr">
        <is>
          <t>First District (Not a Province)</t>
        </is>
      </c>
      <c r="G1114" s="11" t="inlineStr">
        <is>
          <t>City of Manila</t>
        </is>
      </c>
      <c r="H1114" s="11" t="inlineStr">
        <is>
          <t>Barangay 440</t>
        </is>
      </c>
      <c r="I1114" s="24" t="n">
        <v>14.60821</v>
      </c>
      <c r="J1114" s="24" t="n">
        <v>120.998924</v>
      </c>
      <c r="K1114" s="23" t="inlineStr">
        <is>
          <t>U</t>
        </is>
      </c>
      <c r="L1114" s="25" t="n">
        <v>918</v>
      </c>
      <c r="M1114" s="26" t="n">
        <v>4.21</v>
      </c>
      <c r="N1114" s="25">
        <f>ROUND(L1114/M1114, 0)</f>
        <v/>
      </c>
      <c r="O1114" s="25">
        <f>ROUND(N1114*'Methodology &amp; Assumptions'!$B$7, 0)</f>
        <v/>
      </c>
      <c r="P1114" s="23" t="inlineStr">
        <is>
          <t>Single Carrier (Band n50, 100MHz TDD)</t>
        </is>
      </c>
      <c r="Q1114" s="27">
        <f>ROUNDUP(O1114/'Methodology &amp; Assumptions'!$B$8, 0)</f>
        <v/>
      </c>
      <c r="R1114" s="27" t="n">
        <v>1</v>
      </c>
      <c r="S1114" s="26" t="n">
        <v>0.6</v>
      </c>
      <c r="T1114" s="26" t="n">
        <v>0.33</v>
      </c>
      <c r="U1114" s="11">
        <f>IF(S1114&lt;='Methodology &amp; Assumptions'!$B$10, "Direct Optical Drop (&lt;3km)", IF(S1114&lt;='Methodology &amp; Assumptions'!$B$9, "Near Optical / Microwave (&lt;5km)", "Starlink Business LEO Satellite Backhaul (&gt;5km)"))</f>
        <v/>
      </c>
      <c r="V1114" s="26" t="n">
        <v>48.05</v>
      </c>
      <c r="W1114" s="26" t="n">
        <v>68.87</v>
      </c>
      <c r="X1114" s="26">
        <f>ROUND(('Methodology &amp; Assumptions'!$B$5*V1114) + ('Methodology &amp; Assumptions'!$B$6*W1114), 2)</f>
        <v/>
      </c>
      <c r="Y1114" s="28" t="n">
        <v>10.9</v>
      </c>
      <c r="Z1114" s="11" t="inlineStr">
        <is>
          <t>Priority Tier 3 (Broadband Expansion)</t>
        </is>
      </c>
    </row>
    <row r="1115">
      <c r="A1115" s="23" t="n">
        <v>5</v>
      </c>
      <c r="B1115" s="23" t="n">
        <v>111</v>
      </c>
      <c r="C1115" s="23" t="n">
        <v>4111</v>
      </c>
      <c r="D1115" s="23" t="inlineStr">
        <is>
          <t>1380601057</t>
        </is>
      </c>
      <c r="E1115" s="11" t="inlineStr">
        <is>
          <t>National Capital Region (NCR)</t>
        </is>
      </c>
      <c r="F1115" s="11" t="inlineStr">
        <is>
          <t>First District (Not a Province)</t>
        </is>
      </c>
      <c r="G1115" s="11" t="inlineStr">
        <is>
          <t>City of Manila</t>
        </is>
      </c>
      <c r="H1115" s="11" t="inlineStr">
        <is>
          <t>Barangay 57</t>
        </is>
      </c>
      <c r="I1115" s="24" t="n">
        <v>14.61119</v>
      </c>
      <c r="J1115" s="24" t="n">
        <v>120.96886</v>
      </c>
      <c r="K1115" s="23" t="inlineStr">
        <is>
          <t>U</t>
        </is>
      </c>
      <c r="L1115" s="25" t="n">
        <v>815</v>
      </c>
      <c r="M1115" s="26" t="n">
        <v>4.5</v>
      </c>
      <c r="N1115" s="25">
        <f>ROUND(L1115/M1115, 0)</f>
        <v/>
      </c>
      <c r="O1115" s="25">
        <f>ROUND(N1115*'Methodology &amp; Assumptions'!$B$7, 0)</f>
        <v/>
      </c>
      <c r="P1115" s="23" t="inlineStr">
        <is>
          <t>Single Carrier (Band n50, 100MHz TDD)</t>
        </is>
      </c>
      <c r="Q1115" s="27">
        <f>ROUNDUP(O1115/'Methodology &amp; Assumptions'!$B$8, 0)</f>
        <v/>
      </c>
      <c r="R1115" s="27" t="n">
        <v>1</v>
      </c>
      <c r="S1115" s="26" t="n">
        <v>0.5</v>
      </c>
      <c r="T1115" s="26" t="n">
        <v>0.16</v>
      </c>
      <c r="U1115" s="11">
        <f>IF(S1115&lt;='Methodology &amp; Assumptions'!$B$10, "Direct Optical Drop (&lt;3km)", IF(S1115&lt;='Methodology &amp; Assumptions'!$B$9, "Near Optical / Microwave (&lt;5km)", "Starlink Business LEO Satellite Backhaul (&gt;5km)"))</f>
        <v/>
      </c>
      <c r="V1115" s="26" t="n">
        <v>46.88</v>
      </c>
      <c r="W1115" s="26" t="n">
        <v>70.05</v>
      </c>
      <c r="X1115" s="26">
        <f>ROUND(('Methodology &amp; Assumptions'!$B$5*V1115) + ('Methodology &amp; Assumptions'!$B$6*W1115), 2)</f>
        <v/>
      </c>
      <c r="Y1115" s="28" t="n">
        <v>10.9</v>
      </c>
      <c r="Z1115" s="11" t="inlineStr">
        <is>
          <t>Priority Tier 3 (Broadband Expansion)</t>
        </is>
      </c>
    </row>
    <row r="1116">
      <c r="A1116" s="23" t="n">
        <v>5</v>
      </c>
      <c r="B1116" s="23" t="n">
        <v>112</v>
      </c>
      <c r="C1116" s="23" t="n">
        <v>4112</v>
      </c>
      <c r="D1116" s="23" t="inlineStr">
        <is>
          <t>1380614055</t>
        </is>
      </c>
      <c r="E1116" s="11" t="inlineStr">
        <is>
          <t>National Capital Region (NCR)</t>
        </is>
      </c>
      <c r="F1116" s="11" t="inlineStr">
        <is>
          <t>First District (Not a Province)</t>
        </is>
      </c>
      <c r="G1116" s="11" t="inlineStr">
        <is>
          <t>City of Manila</t>
        </is>
      </c>
      <c r="H1116" s="11" t="inlineStr">
        <is>
          <t>Barangay 799</t>
        </is>
      </c>
      <c r="I1116" s="24" t="n">
        <v>14.574887</v>
      </c>
      <c r="J1116" s="24" t="n">
        <v>120.999545</v>
      </c>
      <c r="K1116" s="23" t="inlineStr">
        <is>
          <t>U</t>
        </is>
      </c>
      <c r="L1116" s="25" t="n">
        <v>570</v>
      </c>
      <c r="M1116" s="26" t="n">
        <v>3.26</v>
      </c>
      <c r="N1116" s="25">
        <f>ROUND(L1116/M1116, 0)</f>
        <v/>
      </c>
      <c r="O1116" s="25">
        <f>ROUND(N1116*'Methodology &amp; Assumptions'!$B$7, 0)</f>
        <v/>
      </c>
      <c r="P1116" s="23" t="inlineStr">
        <is>
          <t>Single Carrier (Band n50, 100MHz TDD)</t>
        </is>
      </c>
      <c r="Q1116" s="27">
        <f>ROUNDUP(O1116/'Methodology &amp; Assumptions'!$B$8, 0)</f>
        <v/>
      </c>
      <c r="R1116" s="27" t="n">
        <v>1</v>
      </c>
      <c r="S1116" s="26" t="n">
        <v>0.65</v>
      </c>
      <c r="T1116" s="26" t="n">
        <v>0.37</v>
      </c>
      <c r="U1116" s="11">
        <f>IF(S1116&lt;='Methodology &amp; Assumptions'!$B$10, "Direct Optical Drop (&lt;3km)", IF(S1116&lt;='Methodology &amp; Assumptions'!$B$9, "Near Optical / Microwave (&lt;5km)", "Starlink Business LEO Satellite Backhaul (&gt;5km)"))</f>
        <v/>
      </c>
      <c r="V1116" s="26" t="n">
        <v>46.66</v>
      </c>
      <c r="W1116" s="26" t="n">
        <v>70.25</v>
      </c>
      <c r="X1116" s="26">
        <f>ROUND(('Methodology &amp; Assumptions'!$B$5*V1116) + ('Methodology &amp; Assumptions'!$B$6*W1116), 2)</f>
        <v/>
      </c>
      <c r="Y1116" s="28" t="n">
        <v>10.9</v>
      </c>
      <c r="Z1116" s="11" t="inlineStr">
        <is>
          <t>Priority Tier 3 (Broadband Expansion)</t>
        </is>
      </c>
    </row>
    <row r="1117">
      <c r="A1117" s="23" t="n">
        <v>5</v>
      </c>
      <c r="B1117" s="23" t="n">
        <v>113</v>
      </c>
      <c r="C1117" s="23" t="n">
        <v>4113</v>
      </c>
      <c r="D1117" s="23" t="inlineStr">
        <is>
          <t>1380614006</t>
        </is>
      </c>
      <c r="E1117" s="11" t="inlineStr">
        <is>
          <t>National Capital Region (NCR)</t>
        </is>
      </c>
      <c r="F1117" s="11" t="inlineStr">
        <is>
          <t>First District (Not a Province)</t>
        </is>
      </c>
      <c r="G1117" s="11" t="inlineStr">
        <is>
          <t>City of Manila</t>
        </is>
      </c>
      <c r="H1117" s="11" t="inlineStr">
        <is>
          <t>Barangay 749</t>
        </is>
      </c>
      <c r="I1117" s="24" t="n">
        <v>14.568374</v>
      </c>
      <c r="J1117" s="24" t="n">
        <v>121.00137</v>
      </c>
      <c r="K1117" s="23" t="inlineStr">
        <is>
          <t>U</t>
        </is>
      </c>
      <c r="L1117" s="25" t="n">
        <v>673</v>
      </c>
      <c r="M1117" s="26" t="n">
        <v>4.01</v>
      </c>
      <c r="N1117" s="25">
        <f>ROUND(L1117/M1117, 0)</f>
        <v/>
      </c>
      <c r="O1117" s="25">
        <f>ROUND(N1117*'Methodology &amp; Assumptions'!$B$7, 0)</f>
        <v/>
      </c>
      <c r="P1117" s="23" t="inlineStr">
        <is>
          <t>Single Carrier (Band n50, 100MHz TDD)</t>
        </is>
      </c>
      <c r="Q1117" s="27">
        <f>ROUNDUP(O1117/'Methodology &amp; Assumptions'!$B$8, 0)</f>
        <v/>
      </c>
      <c r="R1117" s="27" t="n">
        <v>1</v>
      </c>
      <c r="S1117" s="26" t="n">
        <v>0.87</v>
      </c>
      <c r="T1117" s="26" t="n">
        <v>0.35</v>
      </c>
      <c r="U1117" s="11">
        <f>IF(S1117&lt;='Methodology &amp; Assumptions'!$B$10, "Direct Optical Drop (&lt;3km)", IF(S1117&lt;='Methodology &amp; Assumptions'!$B$9, "Near Optical / Microwave (&lt;5km)", "Starlink Business LEO Satellite Backhaul (&gt;5km)"))</f>
        <v/>
      </c>
      <c r="V1117" s="26" t="n">
        <v>46.35</v>
      </c>
      <c r="W1117" s="26" t="n">
        <v>70.56999999999999</v>
      </c>
      <c r="X1117" s="26">
        <f>ROUND(('Methodology &amp; Assumptions'!$B$5*V1117) + ('Methodology &amp; Assumptions'!$B$6*W1117), 2)</f>
        <v/>
      </c>
      <c r="Y1117" s="28" t="n">
        <v>10.9</v>
      </c>
      <c r="Z1117" s="11" t="inlineStr">
        <is>
          <t>Priority Tier 3 (Broadband Expansion)</t>
        </is>
      </c>
    </row>
    <row r="1118">
      <c r="A1118" s="23" t="n">
        <v>5</v>
      </c>
      <c r="B1118" s="23" t="n">
        <v>114</v>
      </c>
      <c r="C1118" s="23" t="n">
        <v>4114</v>
      </c>
      <c r="D1118" s="23" t="inlineStr">
        <is>
          <t>0907333004</t>
        </is>
      </c>
      <c r="E1118" s="11" t="inlineStr">
        <is>
          <t>Region IX (Zamboanga Peninsula)</t>
        </is>
      </c>
      <c r="F1118" s="11" t="inlineStr">
        <is>
          <t>Zamboanga del Sur</t>
        </is>
      </c>
      <c r="G1118" s="11" t="inlineStr">
        <is>
          <t>Lakewood</t>
        </is>
      </c>
      <c r="H1118" s="11" t="inlineStr">
        <is>
          <t>Bululawan</t>
        </is>
      </c>
      <c r="I1118" s="24" t="n">
        <v>7.867988</v>
      </c>
      <c r="J1118" s="24" t="n">
        <v>123.126717</v>
      </c>
      <c r="K1118" s="23" t="inlineStr">
        <is>
          <t>R</t>
        </is>
      </c>
      <c r="L1118" s="25" t="n">
        <v>1352</v>
      </c>
      <c r="M1118" s="26" t="n">
        <v>3.9</v>
      </c>
      <c r="N1118" s="25">
        <f>ROUND(L1118/M1118, 0)</f>
        <v/>
      </c>
      <c r="O1118" s="25">
        <f>ROUND(N1118*'Methodology &amp; Assumptions'!$B$7, 0)</f>
        <v/>
      </c>
      <c r="P1118" s="23" t="inlineStr">
        <is>
          <t>Single Carrier (Band n50, 100MHz TDD)</t>
        </is>
      </c>
      <c r="Q1118" s="27">
        <f>ROUNDUP(O1118/'Methodology &amp; Assumptions'!$B$8, 0)</f>
        <v/>
      </c>
      <c r="R1118" s="27" t="n">
        <v>1</v>
      </c>
      <c r="S1118" s="26" t="n">
        <v>17.28</v>
      </c>
      <c r="T1118" s="26" t="n">
        <v>9.630000000000001</v>
      </c>
      <c r="U1118" s="11">
        <f>IF(S1118&lt;='Methodology &amp; Assumptions'!$B$10, "Direct Optical Drop (&lt;3km)", IF(S1118&lt;='Methodology &amp; Assumptions'!$B$9, "Near Optical / Microwave (&lt;5km)", "Starlink Business LEO Satellite Backhaul (&gt;5km)"))</f>
        <v/>
      </c>
      <c r="V1118" s="26" t="n">
        <v>45.34</v>
      </c>
      <c r="W1118" s="26" t="n">
        <v>71.56999999999999</v>
      </c>
      <c r="X1118" s="26">
        <f>ROUND(('Methodology &amp; Assumptions'!$B$5*V1118) + ('Methodology &amp; Assumptions'!$B$6*W1118), 2)</f>
        <v/>
      </c>
      <c r="Y1118" s="28" t="n">
        <v>11</v>
      </c>
      <c r="Z1118" s="11" t="inlineStr">
        <is>
          <t>Priority Tier 3 (Broadband Expansion)</t>
        </is>
      </c>
    </row>
    <row r="1119">
      <c r="A1119" s="23" t="n">
        <v>5</v>
      </c>
      <c r="B1119" s="23" t="n">
        <v>115</v>
      </c>
      <c r="C1119" s="23" t="n">
        <v>4115</v>
      </c>
      <c r="D1119" s="23" t="inlineStr">
        <is>
          <t>0504101022</t>
        </is>
      </c>
      <c r="E1119" s="11" t="inlineStr">
        <is>
          <t>Region V (Bicol Region)</t>
        </is>
      </c>
      <c r="F1119" s="11" t="inlineStr">
        <is>
          <t>Masbate</t>
        </is>
      </c>
      <c r="G1119" s="11" t="inlineStr">
        <is>
          <t>Aroroy</t>
        </is>
      </c>
      <c r="H1119" s="11" t="inlineStr">
        <is>
          <t>Manamoc</t>
        </is>
      </c>
      <c r="I1119" s="24" t="n">
        <v>12.369756</v>
      </c>
      <c r="J1119" s="24" t="n">
        <v>123.407515</v>
      </c>
      <c r="K1119" s="23" t="inlineStr">
        <is>
          <t>R</t>
        </is>
      </c>
      <c r="L1119" s="25" t="n">
        <v>1119</v>
      </c>
      <c r="M1119" s="26" t="n">
        <v>4.1</v>
      </c>
      <c r="N1119" s="25">
        <f>ROUND(L1119/M1119, 0)</f>
        <v/>
      </c>
      <c r="O1119" s="25">
        <f>ROUND(N1119*'Methodology &amp; Assumptions'!$B$7, 0)</f>
        <v/>
      </c>
      <c r="P1119" s="23" t="inlineStr">
        <is>
          <t>Single Carrier (Band n50, 100MHz TDD)</t>
        </is>
      </c>
      <c r="Q1119" s="27">
        <f>ROUNDUP(O1119/'Methodology &amp; Assumptions'!$B$8, 0)</f>
        <v/>
      </c>
      <c r="R1119" s="27" t="n">
        <v>1</v>
      </c>
      <c r="S1119" s="26" t="n">
        <v>14.74</v>
      </c>
      <c r="T1119" s="26" t="n">
        <v>11.76</v>
      </c>
      <c r="U1119" s="11">
        <f>IF(S1119&lt;='Methodology &amp; Assumptions'!$B$10, "Direct Optical Drop (&lt;3km)", IF(S1119&lt;='Methodology &amp; Assumptions'!$B$9, "Near Optical / Microwave (&lt;5km)", "Starlink Business LEO Satellite Backhaul (&gt;5km)"))</f>
        <v/>
      </c>
      <c r="V1119" s="26" t="n">
        <v>44.81</v>
      </c>
      <c r="W1119" s="26" t="n">
        <v>72.09999999999999</v>
      </c>
      <c r="X1119" s="26">
        <f>ROUND(('Methodology &amp; Assumptions'!$B$5*V1119) + ('Methodology &amp; Assumptions'!$B$6*W1119), 2)</f>
        <v/>
      </c>
      <c r="Y1119" s="28" t="n">
        <v>23.7</v>
      </c>
      <c r="Z1119" s="11" t="inlineStr">
        <is>
          <t>Priority Tier 3 (Broadband Expansion)</t>
        </is>
      </c>
    </row>
    <row r="1120">
      <c r="A1120" s="23" t="n">
        <v>5</v>
      </c>
      <c r="B1120" s="23" t="n">
        <v>116</v>
      </c>
      <c r="C1120" s="23" t="n">
        <v>4116</v>
      </c>
      <c r="D1120" s="23" t="inlineStr">
        <is>
          <t>0401002016</t>
        </is>
      </c>
      <c r="E1120" s="11" t="inlineStr">
        <is>
          <t>Region IV-A (CALABARZON)</t>
        </is>
      </c>
      <c r="F1120" s="11" t="inlineStr">
        <is>
          <t>Batangas</t>
        </is>
      </c>
      <c r="G1120" s="11" t="inlineStr">
        <is>
          <t>Alitagtag</t>
        </is>
      </c>
      <c r="H1120" s="11" t="inlineStr">
        <is>
          <t>Poblacion West</t>
        </is>
      </c>
      <c r="I1120" s="24" t="n">
        <v>13.873459</v>
      </c>
      <c r="J1120" s="24" t="n">
        <v>121.003405</v>
      </c>
      <c r="K1120" s="23" t="inlineStr">
        <is>
          <t>R</t>
        </is>
      </c>
      <c r="L1120" s="25" t="n">
        <v>2672</v>
      </c>
      <c r="M1120" s="26" t="n">
        <v>3.6</v>
      </c>
      <c r="N1120" s="25">
        <f>ROUND(L1120/M1120, 0)</f>
        <v/>
      </c>
      <c r="O1120" s="25">
        <f>ROUND(N1120*'Methodology &amp; Assumptions'!$B$7, 0)</f>
        <v/>
      </c>
      <c r="P1120" s="23" t="inlineStr">
        <is>
          <t>Single Carrier (Band n50, 100MHz TDD)</t>
        </is>
      </c>
      <c r="Q1120" s="27">
        <f>ROUNDUP(O1120/'Methodology &amp; Assumptions'!$B$8, 0)</f>
        <v/>
      </c>
      <c r="R1120" s="27" t="n">
        <v>1</v>
      </c>
      <c r="S1120" s="26" t="n">
        <v>2.37</v>
      </c>
      <c r="T1120" s="26" t="n">
        <v>1.09</v>
      </c>
      <c r="U1120" s="11">
        <f>IF(S1120&lt;='Methodology &amp; Assumptions'!$B$10, "Direct Optical Drop (&lt;3km)", IF(S1120&lt;='Methodology &amp; Assumptions'!$B$9, "Near Optical / Microwave (&lt;5km)", "Starlink Business LEO Satellite Backhaul (&gt;5km)"))</f>
        <v/>
      </c>
      <c r="V1120" s="26" t="n">
        <v>80.25</v>
      </c>
      <c r="W1120" s="26" t="n">
        <v>36.65</v>
      </c>
      <c r="X1120" s="26">
        <f>ROUND(('Methodology &amp; Assumptions'!$B$5*V1120) + ('Methodology &amp; Assumptions'!$B$6*W1120), 2)</f>
        <v/>
      </c>
      <c r="Y1120" s="28" t="n">
        <v>7.2</v>
      </c>
      <c r="Z1120" s="11" t="inlineStr">
        <is>
          <t>Priority Tier 3 (Broadband Expansion)</t>
        </is>
      </c>
    </row>
    <row r="1121">
      <c r="A1121" s="23" t="n">
        <v>5</v>
      </c>
      <c r="B1121" s="23" t="n">
        <v>117</v>
      </c>
      <c r="C1121" s="23" t="n">
        <v>4117</v>
      </c>
      <c r="D1121" s="23" t="inlineStr">
        <is>
          <t>0403410033</t>
        </is>
      </c>
      <c r="E1121" s="11" t="inlineStr">
        <is>
          <t>Region IV-A (CALABARZON)</t>
        </is>
      </c>
      <c r="F1121" s="11" t="inlineStr">
        <is>
          <t>Laguna</t>
        </is>
      </c>
      <c r="G1121" s="11" t="inlineStr">
        <is>
          <t>Liliw</t>
        </is>
      </c>
      <c r="H1121" s="11" t="inlineStr">
        <is>
          <t>Palayan</t>
        </is>
      </c>
      <c r="I1121" s="24" t="n">
        <v>14.135643</v>
      </c>
      <c r="J1121" s="24" t="n">
        <v>121.435836</v>
      </c>
      <c r="K1121" s="23" t="inlineStr">
        <is>
          <t>R</t>
        </is>
      </c>
      <c r="L1121" s="25" t="n">
        <v>1153</v>
      </c>
      <c r="M1121" s="26" t="n">
        <v>3.3</v>
      </c>
      <c r="N1121" s="25">
        <f>ROUND(L1121/M1121, 0)</f>
        <v/>
      </c>
      <c r="O1121" s="25">
        <f>ROUND(N1121*'Methodology &amp; Assumptions'!$B$7, 0)</f>
        <v/>
      </c>
      <c r="P1121" s="23" t="inlineStr">
        <is>
          <t>Single Carrier (Band n50, 100MHz TDD)</t>
        </is>
      </c>
      <c r="Q1121" s="27">
        <f>ROUNDUP(O1121/'Methodology &amp; Assumptions'!$B$8, 0)</f>
        <v/>
      </c>
      <c r="R1121" s="27" t="n">
        <v>1</v>
      </c>
      <c r="S1121" s="26" t="n">
        <v>0.08</v>
      </c>
      <c r="T1121" s="26" t="n">
        <v>0.03</v>
      </c>
      <c r="U1121" s="11">
        <f>IF(S1121&lt;='Methodology &amp; Assumptions'!$B$10, "Direct Optical Drop (&lt;3km)", IF(S1121&lt;='Methodology &amp; Assumptions'!$B$9, "Near Optical / Microwave (&lt;5km)", "Starlink Business LEO Satellite Backhaul (&gt;5km)"))</f>
        <v/>
      </c>
      <c r="V1121" s="26" t="n">
        <v>70.28</v>
      </c>
      <c r="W1121" s="26" t="n">
        <v>46.62</v>
      </c>
      <c r="X1121" s="26">
        <f>ROUND(('Methodology &amp; Assumptions'!$B$5*V1121) + ('Methodology &amp; Assumptions'!$B$6*W1121), 2)</f>
        <v/>
      </c>
      <c r="Y1121" s="28" t="n">
        <v>7.2</v>
      </c>
      <c r="Z1121" s="11" t="inlineStr">
        <is>
          <t>Priority Tier 3 (Broadband Expansion)</t>
        </is>
      </c>
    </row>
    <row r="1122">
      <c r="A1122" s="23" t="n">
        <v>5</v>
      </c>
      <c r="B1122" s="23" t="n">
        <v>118</v>
      </c>
      <c r="C1122" s="23" t="n">
        <v>4118</v>
      </c>
      <c r="D1122" s="23" t="inlineStr">
        <is>
          <t>0201529037</t>
        </is>
      </c>
      <c r="E1122" s="11" t="inlineStr">
        <is>
          <t>Region II (Cagayan Valley)</t>
        </is>
      </c>
      <c r="F1122" s="11" t="inlineStr">
        <is>
          <t>Cagayan</t>
        </is>
      </c>
      <c r="G1122" s="11" t="inlineStr">
        <is>
          <t>Tuguegarao City</t>
        </is>
      </c>
      <c r="H1122" s="11" t="inlineStr">
        <is>
          <t>Centro 12</t>
        </is>
      </c>
      <c r="I1122" s="24" t="n">
        <v>17.6235</v>
      </c>
      <c r="J1122" s="24" t="n">
        <v>121.7299</v>
      </c>
      <c r="K1122" s="23" t="inlineStr">
        <is>
          <t>U</t>
        </is>
      </c>
      <c r="L1122" s="25" t="n">
        <v>2338</v>
      </c>
      <c r="M1122" s="26" t="n">
        <v>3.9</v>
      </c>
      <c r="N1122" s="25">
        <f>ROUND(L1122/M1122, 0)</f>
        <v/>
      </c>
      <c r="O1122" s="25">
        <f>ROUND(N1122*'Methodology &amp; Assumptions'!$B$7, 0)</f>
        <v/>
      </c>
      <c r="P1122" s="23" t="inlineStr">
        <is>
          <t>Single Carrier (Band n50, 100MHz TDD)</t>
        </is>
      </c>
      <c r="Q1122" s="27">
        <f>ROUNDUP(O1122/'Methodology &amp; Assumptions'!$B$8, 0)</f>
        <v/>
      </c>
      <c r="R1122" s="27" t="n">
        <v>1</v>
      </c>
      <c r="S1122" s="26" t="n">
        <v>3.6</v>
      </c>
      <c r="T1122" s="26" t="n">
        <v>0.23</v>
      </c>
      <c r="U1122" s="11">
        <f>IF(S1122&lt;='Methodology &amp; Assumptions'!$B$10, "Direct Optical Drop (&lt;3km)", IF(S1122&lt;='Methodology &amp; Assumptions'!$B$9, "Near Optical / Microwave (&lt;5km)", "Starlink Business LEO Satellite Backhaul (&gt;5km)"))</f>
        <v/>
      </c>
      <c r="V1122" s="26" t="n">
        <v>62.53</v>
      </c>
      <c r="W1122" s="26" t="n">
        <v>54.36</v>
      </c>
      <c r="X1122" s="26">
        <f>ROUND(('Methodology &amp; Assumptions'!$B$5*V1122) + ('Methodology &amp; Assumptions'!$B$6*W1122), 2)</f>
        <v/>
      </c>
      <c r="Y1122" s="28" t="n">
        <v>8.300000000000001</v>
      </c>
      <c r="Z1122" s="11" t="inlineStr">
        <is>
          <t>Priority Tier 3 (Broadband Expansion)</t>
        </is>
      </c>
    </row>
    <row r="1123">
      <c r="A1123" s="23" t="n">
        <v>5</v>
      </c>
      <c r="B1123" s="23" t="n">
        <v>119</v>
      </c>
      <c r="C1123" s="23" t="n">
        <v>4119</v>
      </c>
      <c r="D1123" s="23" t="inlineStr">
        <is>
          <t>1380612026</t>
        </is>
      </c>
      <c r="E1123" s="11" t="inlineStr">
        <is>
          <t>National Capital Region (NCR)</t>
        </is>
      </c>
      <c r="F1123" s="11" t="inlineStr">
        <is>
          <t>First District (Not a Province)</t>
        </is>
      </c>
      <c r="G1123" s="11" t="inlineStr">
        <is>
          <t>City of Manila</t>
        </is>
      </c>
      <c r="H1123" s="11" t="inlineStr">
        <is>
          <t>Barangay 858</t>
        </is>
      </c>
      <c r="I1123" s="24" t="n">
        <v>14.588856</v>
      </c>
      <c r="J1123" s="24" t="n">
        <v>121.003478</v>
      </c>
      <c r="K1123" s="23" t="inlineStr">
        <is>
          <t>U</t>
        </is>
      </c>
      <c r="L1123" s="25" t="n">
        <v>718</v>
      </c>
      <c r="M1123" s="26" t="n">
        <v>3.45</v>
      </c>
      <c r="N1123" s="25">
        <f>ROUND(L1123/M1123, 0)</f>
        <v/>
      </c>
      <c r="O1123" s="25">
        <f>ROUND(N1123*'Methodology &amp; Assumptions'!$B$7, 0)</f>
        <v/>
      </c>
      <c r="P1123" s="23" t="inlineStr">
        <is>
          <t>Single Carrier (Band n50, 100MHz TDD)</t>
        </is>
      </c>
      <c r="Q1123" s="27">
        <f>ROUNDUP(O1123/'Methodology &amp; Assumptions'!$B$8, 0)</f>
        <v/>
      </c>
      <c r="R1123" s="27" t="n">
        <v>1</v>
      </c>
      <c r="S1123" s="26" t="n">
        <v>0.5</v>
      </c>
      <c r="T1123" s="26" t="n">
        <v>0.22</v>
      </c>
      <c r="U1123" s="11">
        <f>IF(S1123&lt;='Methodology &amp; Assumptions'!$B$10, "Direct Optical Drop (&lt;3km)", IF(S1123&lt;='Methodology &amp; Assumptions'!$B$9, "Near Optical / Microwave (&lt;5km)", "Starlink Business LEO Satellite Backhaul (&gt;5km)"))</f>
        <v/>
      </c>
      <c r="V1123" s="26" t="n">
        <v>47.73</v>
      </c>
      <c r="W1123" s="26" t="n">
        <v>69.17</v>
      </c>
      <c r="X1123" s="26">
        <f>ROUND(('Methodology &amp; Assumptions'!$B$5*V1123) + ('Methodology &amp; Assumptions'!$B$6*W1123), 2)</f>
        <v/>
      </c>
      <c r="Y1123" s="28" t="n">
        <v>10.9</v>
      </c>
      <c r="Z1123" s="11" t="inlineStr">
        <is>
          <t>Priority Tier 3 (Broadband Expansion)</t>
        </is>
      </c>
    </row>
    <row r="1124">
      <c r="A1124" s="23" t="n">
        <v>5</v>
      </c>
      <c r="B1124" s="23" t="n">
        <v>120</v>
      </c>
      <c r="C1124" s="23" t="n">
        <v>4120</v>
      </c>
      <c r="D1124" s="23" t="inlineStr">
        <is>
          <t>1381100053</t>
        </is>
      </c>
      <c r="E1124" s="11" t="inlineStr">
        <is>
          <t>National Capital Region (NCR)</t>
        </is>
      </c>
      <c r="F1124" s="11" t="inlineStr">
        <is>
          <t>Fourth District (Not a Province)</t>
        </is>
      </c>
      <c r="G1124" s="11" t="inlineStr">
        <is>
          <t>Pasay City</t>
        </is>
      </c>
      <c r="H1124" s="11" t="inlineStr">
        <is>
          <t>Barangay 53</t>
        </is>
      </c>
      <c r="I1124" s="24" t="n">
        <v>14.552734</v>
      </c>
      <c r="J1124" s="24" t="n">
        <v>120.999996</v>
      </c>
      <c r="K1124" s="23" t="inlineStr">
        <is>
          <t>U</t>
        </is>
      </c>
      <c r="L1124" s="25" t="n">
        <v>840</v>
      </c>
      <c r="M1124" s="26" t="n">
        <v>3.98</v>
      </c>
      <c r="N1124" s="25">
        <f>ROUND(L1124/M1124, 0)</f>
        <v/>
      </c>
      <c r="O1124" s="25">
        <f>ROUND(N1124*'Methodology &amp; Assumptions'!$B$7, 0)</f>
        <v/>
      </c>
      <c r="P1124" s="23" t="inlineStr">
        <is>
          <t>Single Carrier (Band n50, 100MHz TDD)</t>
        </is>
      </c>
      <c r="Q1124" s="27">
        <f>ROUNDUP(O1124/'Methodology &amp; Assumptions'!$B$8, 0)</f>
        <v/>
      </c>
      <c r="R1124" s="27" t="n">
        <v>1</v>
      </c>
      <c r="S1124" s="26" t="n">
        <v>0.89</v>
      </c>
      <c r="T1124" s="26" t="n">
        <v>0.29</v>
      </c>
      <c r="U1124" s="11">
        <f>IF(S1124&lt;='Methodology &amp; Assumptions'!$B$10, "Direct Optical Drop (&lt;3km)", IF(S1124&lt;='Methodology &amp; Assumptions'!$B$9, "Near Optical / Microwave (&lt;5km)", "Starlink Business LEO Satellite Backhaul (&gt;5km)"))</f>
        <v/>
      </c>
      <c r="V1124" s="26" t="n">
        <v>47.64</v>
      </c>
      <c r="W1124" s="26" t="n">
        <v>69.26000000000001</v>
      </c>
      <c r="X1124" s="26">
        <f>ROUND(('Methodology &amp; Assumptions'!$B$5*V1124) + ('Methodology &amp; Assumptions'!$B$6*W1124), 2)</f>
        <v/>
      </c>
      <c r="Y1124" s="28" t="n">
        <v>10.9</v>
      </c>
      <c r="Z1124" s="11" t="inlineStr">
        <is>
          <t>Priority Tier 3 (Broadband Expansion)</t>
        </is>
      </c>
    </row>
    <row r="1125">
      <c r="A1125" s="23" t="n">
        <v>5</v>
      </c>
      <c r="B1125" s="23" t="n">
        <v>121</v>
      </c>
      <c r="C1125" s="23" t="n">
        <v>4121</v>
      </c>
      <c r="D1125" s="23" t="inlineStr">
        <is>
          <t>0806408007</t>
        </is>
      </c>
      <c r="E1125" s="11" t="inlineStr">
        <is>
          <t>Region VIII (Eastern Visayas)</t>
        </is>
      </c>
      <c r="F1125" s="11" t="inlineStr">
        <is>
          <t>Southern Leyte</t>
        </is>
      </c>
      <c r="G1125" s="11" t="inlineStr">
        <is>
          <t>Macrohon</t>
        </is>
      </c>
      <c r="H1125" s="11" t="inlineStr">
        <is>
          <t>Ichon</t>
        </is>
      </c>
      <c r="I1125" s="24" t="n">
        <v>10.10761</v>
      </c>
      <c r="J1125" s="24" t="n">
        <v>124.9009</v>
      </c>
      <c r="K1125" s="23" t="inlineStr">
        <is>
          <t>R</t>
        </is>
      </c>
      <c r="L1125" s="25" t="n">
        <v>3843</v>
      </c>
      <c r="M1125" s="26" t="n">
        <v>4.1</v>
      </c>
      <c r="N1125" s="25">
        <f>ROUND(L1125/M1125, 0)</f>
        <v/>
      </c>
      <c r="O1125" s="25">
        <f>ROUND(N1125*'Methodology &amp; Assumptions'!$B$7, 0)</f>
        <v/>
      </c>
      <c r="P1125" s="23" t="inlineStr">
        <is>
          <t>Single Carrier (Band n50, 100MHz TDD)</t>
        </is>
      </c>
      <c r="Q1125" s="27">
        <f>ROUNDUP(O1125/'Methodology &amp; Assumptions'!$B$8, 0)</f>
        <v/>
      </c>
      <c r="R1125" s="27" t="n">
        <v>1</v>
      </c>
      <c r="S1125" s="26" t="n">
        <v>0.46</v>
      </c>
      <c r="T1125" s="26" t="n">
        <v>0.05</v>
      </c>
      <c r="U1125" s="11">
        <f>IF(S1125&lt;='Methodology &amp; Assumptions'!$B$10, "Direct Optical Drop (&lt;3km)", IF(S1125&lt;='Methodology &amp; Assumptions'!$B$9, "Near Optical / Microwave (&lt;5km)", "Starlink Business LEO Satellite Backhaul (&gt;5km)"))</f>
        <v/>
      </c>
      <c r="V1125" s="26" t="n">
        <v>88.06</v>
      </c>
      <c r="W1125" s="26" t="n">
        <v>28.83</v>
      </c>
      <c r="X1125" s="26">
        <f>ROUND(('Methodology &amp; Assumptions'!$B$5*V1125) + ('Methodology &amp; Assumptions'!$B$6*W1125), 2)</f>
        <v/>
      </c>
      <c r="Y1125" s="28" t="n">
        <v>23.7</v>
      </c>
      <c r="Z1125" s="11" t="inlineStr">
        <is>
          <t>Priority Tier 3 (Broadband Expansion)</t>
        </is>
      </c>
    </row>
    <row r="1126">
      <c r="A1126" s="23" t="n">
        <v>5</v>
      </c>
      <c r="B1126" s="23" t="n">
        <v>122</v>
      </c>
      <c r="C1126" s="23" t="n">
        <v>4122</v>
      </c>
      <c r="D1126" s="23" t="inlineStr">
        <is>
          <t>1004313004</t>
        </is>
      </c>
      <c r="E1126" s="11" t="inlineStr">
        <is>
          <t>Region X (Northern Mindanao)</t>
        </is>
      </c>
      <c r="F1126" s="11" t="inlineStr">
        <is>
          <t>Misamis Oriental</t>
        </is>
      </c>
      <c r="G1126" s="11" t="inlineStr">
        <is>
          <t>Lagonglong</t>
        </is>
      </c>
      <c r="H1126" s="11" t="inlineStr">
        <is>
          <t>Kabulawan</t>
        </is>
      </c>
      <c r="I1126" s="24" t="n">
        <v>8.817799000000001</v>
      </c>
      <c r="J1126" s="24" t="n">
        <v>124.794229</v>
      </c>
      <c r="K1126" s="23" t="inlineStr">
        <is>
          <t>R</t>
        </is>
      </c>
      <c r="L1126" s="25" t="n">
        <v>3661</v>
      </c>
      <c r="M1126" s="26" t="n">
        <v>3.9</v>
      </c>
      <c r="N1126" s="25">
        <f>ROUND(L1126/M1126, 0)</f>
        <v/>
      </c>
      <c r="O1126" s="25">
        <f>ROUND(N1126*'Methodology &amp; Assumptions'!$B$7, 0)</f>
        <v/>
      </c>
      <c r="P1126" s="23" t="inlineStr">
        <is>
          <t>Single Carrier (Band n50, 100MHz TDD)</t>
        </is>
      </c>
      <c r="Q1126" s="27">
        <f>ROUNDUP(O1126/'Methodology &amp; Assumptions'!$B$8, 0)</f>
        <v/>
      </c>
      <c r="R1126" s="27" t="n">
        <v>1</v>
      </c>
      <c r="S1126" s="26" t="n">
        <v>1.49</v>
      </c>
      <c r="T1126" s="26" t="n">
        <v>0.22</v>
      </c>
      <c r="U1126" s="11">
        <f>IF(S1126&lt;='Methodology &amp; Assumptions'!$B$10, "Direct Optical Drop (&lt;3km)", IF(S1126&lt;='Methodology &amp; Assumptions'!$B$9, "Near Optical / Microwave (&lt;5km)", "Starlink Business LEO Satellite Backhaul (&gt;5km)"))</f>
        <v/>
      </c>
      <c r="V1126" s="26" t="n">
        <v>87.26000000000001</v>
      </c>
      <c r="W1126" s="26" t="n">
        <v>29.63</v>
      </c>
      <c r="X1126" s="26">
        <f>ROUND(('Methodology &amp; Assumptions'!$B$5*V1126) + ('Methodology &amp; Assumptions'!$B$6*W1126), 2)</f>
        <v/>
      </c>
      <c r="Y1126" s="28" t="n">
        <v>17.4</v>
      </c>
      <c r="Z1126" s="11" t="inlineStr">
        <is>
          <t>Priority Tier 3 (Broadband Expansion)</t>
        </is>
      </c>
    </row>
    <row r="1127">
      <c r="A1127" s="23" t="n">
        <v>5</v>
      </c>
      <c r="B1127" s="23" t="n">
        <v>123</v>
      </c>
      <c r="C1127" s="23" t="n">
        <v>4123</v>
      </c>
      <c r="D1127" s="23" t="inlineStr">
        <is>
          <t>0604528021</t>
        </is>
      </c>
      <c r="E1127" s="11" t="inlineStr">
        <is>
          <t>Region VI (Western Visayas)</t>
        </is>
      </c>
      <c r="F1127" s="11" t="inlineStr">
        <is>
          <t>Negros Occidental</t>
        </is>
      </c>
      <c r="G1127" s="11" t="inlineStr">
        <is>
          <t>City of Talisay</t>
        </is>
      </c>
      <c r="H1127" s="11" t="inlineStr">
        <is>
          <t>Zone 16</t>
        </is>
      </c>
      <c r="I1127" s="24" t="n">
        <v>10.754578</v>
      </c>
      <c r="J1127" s="24" t="n">
        <v>122.980595</v>
      </c>
      <c r="K1127" s="23" t="inlineStr">
        <is>
          <t>R</t>
        </is>
      </c>
      <c r="L1127" s="25" t="n">
        <v>5197</v>
      </c>
      <c r="M1127" s="26" t="n">
        <v>3.7</v>
      </c>
      <c r="N1127" s="25">
        <f>ROUND(L1127/M1127, 0)</f>
        <v/>
      </c>
      <c r="O1127" s="25">
        <f>ROUND(N1127*'Methodology &amp; Assumptions'!$B$7, 0)</f>
        <v/>
      </c>
      <c r="P1127" s="23" t="inlineStr">
        <is>
          <t>Single Carrier (Band n50, 100MHz TDD)</t>
        </is>
      </c>
      <c r="Q1127" s="27">
        <f>ROUNDUP(O1127/'Methodology &amp; Assumptions'!$B$8, 0)</f>
        <v/>
      </c>
      <c r="R1127" s="27" t="n">
        <v>1</v>
      </c>
      <c r="S1127" s="26" t="n">
        <v>2.1</v>
      </c>
      <c r="T1127" s="26" t="n">
        <v>0.72</v>
      </c>
      <c r="U1127" s="11">
        <f>IF(S1127&lt;='Methodology &amp; Assumptions'!$B$10, "Direct Optical Drop (&lt;3km)", IF(S1127&lt;='Methodology &amp; Assumptions'!$B$9, "Near Optical / Microwave (&lt;5km)", "Starlink Business LEO Satellite Backhaul (&gt;5km)"))</f>
        <v/>
      </c>
      <c r="V1127" s="26" t="n">
        <v>83.48999999999999</v>
      </c>
      <c r="W1127" s="26" t="n">
        <v>33.39</v>
      </c>
      <c r="X1127" s="26">
        <f>ROUND(('Methodology &amp; Assumptions'!$B$5*V1127) + ('Methodology &amp; Assumptions'!$B$6*W1127), 2)</f>
        <v/>
      </c>
      <c r="Y1127" s="28" t="n">
        <v>23.7</v>
      </c>
      <c r="Z1127" s="11" t="inlineStr">
        <is>
          <t>Priority Tier 3 (Broadband Expansion)</t>
        </is>
      </c>
    </row>
    <row r="1128">
      <c r="A1128" s="23" t="n">
        <v>5</v>
      </c>
      <c r="B1128" s="23" t="n">
        <v>124</v>
      </c>
      <c r="C1128" s="23" t="n">
        <v>4124</v>
      </c>
      <c r="D1128" s="23" t="inlineStr">
        <is>
          <t>0702232001</t>
        </is>
      </c>
      <c r="E1128" s="11" t="inlineStr">
        <is>
          <t>Region VII (Central Visayas)</t>
        </is>
      </c>
      <c r="F1128" s="11" t="inlineStr">
        <is>
          <t>Cebu</t>
        </is>
      </c>
      <c r="G1128" s="11" t="inlineStr">
        <is>
          <t>Minglanilla</t>
        </is>
      </c>
      <c r="H1128" s="11" t="inlineStr">
        <is>
          <t>Cadulawan</t>
        </is>
      </c>
      <c r="I1128" s="24" t="n">
        <v>10.256356</v>
      </c>
      <c r="J1128" s="24" t="n">
        <v>123.787689</v>
      </c>
      <c r="K1128" s="23" t="inlineStr">
        <is>
          <t>U</t>
        </is>
      </c>
      <c r="L1128" s="25" t="n">
        <v>6414</v>
      </c>
      <c r="M1128" s="26" t="n">
        <v>3.8</v>
      </c>
      <c r="N1128" s="25">
        <f>ROUND(L1128/M1128, 0)</f>
        <v/>
      </c>
      <c r="O1128" s="25">
        <f>ROUND(N1128*'Methodology &amp; Assumptions'!$B$7, 0)</f>
        <v/>
      </c>
      <c r="P1128" s="23" t="inlineStr">
        <is>
          <t>Single Carrier (Band n50, 100MHz TDD)</t>
        </is>
      </c>
      <c r="Q1128" s="27">
        <f>ROUNDUP(O1128/'Methodology &amp; Assumptions'!$B$8, 0)</f>
        <v/>
      </c>
      <c r="R1128" s="27" t="n">
        <v>1</v>
      </c>
      <c r="S1128" s="26" t="n">
        <v>1.64</v>
      </c>
      <c r="T1128" s="26" t="n">
        <v>1.42</v>
      </c>
      <c r="U1128" s="11">
        <f>IF(S1128&lt;='Methodology &amp; Assumptions'!$B$10, "Direct Optical Drop (&lt;3km)", IF(S1128&lt;='Methodology &amp; Assumptions'!$B$9, "Near Optical / Microwave (&lt;5km)", "Starlink Business LEO Satellite Backhaul (&gt;5km)"))</f>
        <v/>
      </c>
      <c r="V1128" s="26" t="n">
        <v>77.87</v>
      </c>
      <c r="W1128" s="26" t="n">
        <v>39.01</v>
      </c>
      <c r="X1128" s="26">
        <f>ROUND(('Methodology &amp; Assumptions'!$B$5*V1128) + ('Methodology &amp; Assumptions'!$B$6*W1128), 2)</f>
        <v/>
      </c>
      <c r="Y1128" s="28" t="n">
        <v>23.7</v>
      </c>
      <c r="Z1128" s="11" t="inlineStr">
        <is>
          <t>Priority Tier 3 (Broadband Expansion)</t>
        </is>
      </c>
    </row>
    <row r="1129">
      <c r="A1129" s="23" t="n">
        <v>5</v>
      </c>
      <c r="B1129" s="23" t="n">
        <v>125</v>
      </c>
      <c r="C1129" s="23" t="n">
        <v>4125</v>
      </c>
      <c r="D1129" s="23" t="inlineStr">
        <is>
          <t>0402115005</t>
        </is>
      </c>
      <c r="E1129" s="11" t="inlineStr">
        <is>
          <t>Region IV-A (CALABARZON)</t>
        </is>
      </c>
      <c r="F1129" s="11" t="inlineStr">
        <is>
          <t>Cavite</t>
        </is>
      </c>
      <c r="G1129" s="11" t="inlineStr">
        <is>
          <t>Naic</t>
        </is>
      </c>
      <c r="H1129" s="11" t="inlineStr">
        <is>
          <t>Bucana Sasahan</t>
        </is>
      </c>
      <c r="I1129" s="24" t="n">
        <v>14.323022</v>
      </c>
      <c r="J1129" s="24" t="n">
        <v>120.759982</v>
      </c>
      <c r="K1129" s="23" t="inlineStr">
        <is>
          <t>U</t>
        </is>
      </c>
      <c r="L1129" s="25" t="n">
        <v>6274</v>
      </c>
      <c r="M1129" s="26" t="n">
        <v>3.4</v>
      </c>
      <c r="N1129" s="25">
        <f>ROUND(L1129/M1129, 0)</f>
        <v/>
      </c>
      <c r="O1129" s="25">
        <f>ROUND(N1129*'Methodology &amp; Assumptions'!$B$7, 0)</f>
        <v/>
      </c>
      <c r="P1129" s="23" t="inlineStr">
        <is>
          <t>Single Carrier (Band n50, 100MHz TDD)</t>
        </is>
      </c>
      <c r="Q1129" s="27">
        <f>ROUNDUP(O1129/'Methodology &amp; Assumptions'!$B$8, 0)</f>
        <v/>
      </c>
      <c r="R1129" s="27" t="n">
        <v>1</v>
      </c>
      <c r="S1129" s="26" t="n">
        <v>1.27</v>
      </c>
      <c r="T1129" s="26" t="n">
        <v>1.26</v>
      </c>
      <c r="U1129" s="11">
        <f>IF(S1129&lt;='Methodology &amp; Assumptions'!$B$10, "Direct Optical Drop (&lt;3km)", IF(S1129&lt;='Methodology &amp; Assumptions'!$B$9, "Near Optical / Microwave (&lt;5km)", "Starlink Business LEO Satellite Backhaul (&gt;5km)"))</f>
        <v/>
      </c>
      <c r="V1129" s="26" t="n">
        <v>76.64</v>
      </c>
      <c r="W1129" s="26" t="n">
        <v>40.24</v>
      </c>
      <c r="X1129" s="26">
        <f>ROUND(('Methodology &amp; Assumptions'!$B$5*V1129) + ('Methodology &amp; Assumptions'!$B$6*W1129), 2)</f>
        <v/>
      </c>
      <c r="Y1129" s="28" t="n">
        <v>7.2</v>
      </c>
      <c r="Z1129" s="11" t="inlineStr">
        <is>
          <t>Priority Tier 3 (Broadband Expansion)</t>
        </is>
      </c>
    </row>
    <row r="1130">
      <c r="A1130" s="23" t="n">
        <v>5</v>
      </c>
      <c r="B1130" s="23" t="n">
        <v>126</v>
      </c>
      <c r="C1130" s="23" t="n">
        <v>4126</v>
      </c>
      <c r="D1130" s="23" t="inlineStr">
        <is>
          <t>1102319001</t>
        </is>
      </c>
      <c r="E1130" s="11" t="inlineStr">
        <is>
          <t>Region XI (Davao Region)</t>
        </is>
      </c>
      <c r="F1130" s="11" t="inlineStr">
        <is>
          <t>Davao del Norte</t>
        </is>
      </c>
      <c r="G1130" s="11" t="inlineStr">
        <is>
          <t>City of Tagum</t>
        </is>
      </c>
      <c r="H1130" s="11" t="inlineStr">
        <is>
          <t>Apokon</t>
        </is>
      </c>
      <c r="I1130" s="24" t="n">
        <v>7.42364</v>
      </c>
      <c r="J1130" s="24" t="n">
        <v>125.826056</v>
      </c>
      <c r="K1130" s="23" t="inlineStr">
        <is>
          <t>U</t>
        </is>
      </c>
      <c r="L1130" s="25" t="n">
        <v>38621</v>
      </c>
      <c r="M1130" s="26" t="n">
        <v>3.7</v>
      </c>
      <c r="N1130" s="25">
        <f>ROUND(L1130/M1130, 0)</f>
        <v/>
      </c>
      <c r="O1130" s="25">
        <f>ROUND(N1130*'Methodology &amp; Assumptions'!$B$7, 0)</f>
        <v/>
      </c>
      <c r="P1130" s="23" t="inlineStr">
        <is>
          <t>Single Carrier (Band n50, 100MHz TDD)</t>
        </is>
      </c>
      <c r="Q1130" s="27">
        <f>ROUNDUP(O1130/'Methodology &amp; Assumptions'!$B$8, 0)</f>
        <v/>
      </c>
      <c r="R1130" s="27" t="n">
        <v>1</v>
      </c>
      <c r="S1130" s="26" t="n">
        <v>3.71</v>
      </c>
      <c r="T1130" s="26" t="n">
        <v>0.36</v>
      </c>
      <c r="U1130" s="11">
        <f>IF(S1130&lt;='Methodology &amp; Assumptions'!$B$10, "Direct Optical Drop (&lt;3km)", IF(S1130&lt;='Methodology &amp; Assumptions'!$B$9, "Near Optical / Microwave (&lt;5km)", "Starlink Business LEO Satellite Backhaul (&gt;5km)"))</f>
        <v/>
      </c>
      <c r="V1130" s="26" t="n">
        <v>70.14</v>
      </c>
      <c r="W1130" s="26" t="n">
        <v>46.74</v>
      </c>
      <c r="X1130" s="26">
        <f>ROUND(('Methodology &amp; Assumptions'!$B$5*V1130) + ('Methodology &amp; Assumptions'!$B$6*W1130), 2)</f>
        <v/>
      </c>
      <c r="Y1130" s="28" t="n">
        <v>17.4</v>
      </c>
      <c r="Z1130" s="11" t="inlineStr">
        <is>
          <t>Priority Tier 3 (Broadband Expansion)</t>
        </is>
      </c>
    </row>
    <row r="1131">
      <c r="A1131" s="23" t="n">
        <v>5</v>
      </c>
      <c r="B1131" s="23" t="n">
        <v>127</v>
      </c>
      <c r="C1131" s="23" t="n">
        <v>4127</v>
      </c>
      <c r="D1131" s="23" t="inlineStr">
        <is>
          <t>0405808007</t>
        </is>
      </c>
      <c r="E1131" s="11" t="inlineStr">
        <is>
          <t>Region IV-A (CALABARZON)</t>
        </is>
      </c>
      <c r="F1131" s="11" t="inlineStr">
        <is>
          <t>Rizal</t>
        </is>
      </c>
      <c r="G1131" s="11" t="inlineStr">
        <is>
          <t>Rodriguez</t>
        </is>
      </c>
      <c r="H1131" s="11" t="inlineStr">
        <is>
          <t>Puray</t>
        </is>
      </c>
      <c r="I1131" s="24" t="n">
        <v>14.77194</v>
      </c>
      <c r="J1131" s="24" t="n">
        <v>121.2041</v>
      </c>
      <c r="K1131" s="23" t="inlineStr">
        <is>
          <t>R</t>
        </is>
      </c>
      <c r="L1131" s="25" t="n">
        <v>3550</v>
      </c>
      <c r="M1131" s="26" t="n">
        <v>3.6</v>
      </c>
      <c r="N1131" s="25">
        <f>ROUND(L1131/M1131, 0)</f>
        <v/>
      </c>
      <c r="O1131" s="25">
        <f>ROUND(N1131*'Methodology &amp; Assumptions'!$B$7, 0)</f>
        <v/>
      </c>
      <c r="P1131" s="23" t="inlineStr">
        <is>
          <t>Single Carrier (Band n50, 100MHz TDD)</t>
        </is>
      </c>
      <c r="Q1131" s="27">
        <f>ROUNDUP(O1131/'Methodology &amp; Assumptions'!$B$8, 0)</f>
        <v/>
      </c>
      <c r="R1131" s="27" t="n">
        <v>1</v>
      </c>
      <c r="S1131" s="26" t="n">
        <v>6.58</v>
      </c>
      <c r="T1131" s="26" t="n">
        <v>5.28</v>
      </c>
      <c r="U1131" s="11">
        <f>IF(S1131&lt;='Methodology &amp; Assumptions'!$B$10, "Direct Optical Drop (&lt;3km)", IF(S1131&lt;='Methodology &amp; Assumptions'!$B$9, "Near Optical / Microwave (&lt;5km)", "Starlink Business LEO Satellite Backhaul (&gt;5km)"))</f>
        <v/>
      </c>
      <c r="V1131" s="26" t="n">
        <v>68.14</v>
      </c>
      <c r="W1131" s="26" t="n">
        <v>48.74</v>
      </c>
      <c r="X1131" s="26">
        <f>ROUND(('Methodology &amp; Assumptions'!$B$5*V1131) + ('Methodology &amp; Assumptions'!$B$6*W1131), 2)</f>
        <v/>
      </c>
      <c r="Y1131" s="28" t="n">
        <v>7.2</v>
      </c>
      <c r="Z1131" s="11" t="inlineStr">
        <is>
          <t>Priority Tier 3 (Broadband Expansion)</t>
        </is>
      </c>
    </row>
    <row r="1132">
      <c r="A1132" s="23" t="n">
        <v>5</v>
      </c>
      <c r="B1132" s="23" t="n">
        <v>128</v>
      </c>
      <c r="C1132" s="23" t="n">
        <v>4128</v>
      </c>
      <c r="D1132" s="23" t="inlineStr">
        <is>
          <t>1380606098</t>
        </is>
      </c>
      <c r="E1132" s="11" t="inlineStr">
        <is>
          <t>National Capital Region (NCR)</t>
        </is>
      </c>
      <c r="F1132" s="11" t="inlineStr">
        <is>
          <t>First District (Not a Province)</t>
        </is>
      </c>
      <c r="G1132" s="11" t="inlineStr">
        <is>
          <t>City of Manila</t>
        </is>
      </c>
      <c r="H1132" s="11" t="inlineStr">
        <is>
          <t>Barangay 492</t>
        </is>
      </c>
      <c r="I1132" s="24" t="n">
        <v>14.62404</v>
      </c>
      <c r="J1132" s="24" t="n">
        <v>120.990284</v>
      </c>
      <c r="K1132" s="23" t="inlineStr">
        <is>
          <t>U</t>
        </is>
      </c>
      <c r="L1132" s="25" t="n">
        <v>1165</v>
      </c>
      <c r="M1132" s="26" t="n">
        <v>4.4</v>
      </c>
      <c r="N1132" s="25">
        <f>ROUND(L1132/M1132, 0)</f>
        <v/>
      </c>
      <c r="O1132" s="25">
        <f>ROUND(N1132*'Methodology &amp; Assumptions'!$B$7, 0)</f>
        <v/>
      </c>
      <c r="P1132" s="23" t="inlineStr">
        <is>
          <t>Single Carrier (Band n50, 100MHz TDD)</t>
        </is>
      </c>
      <c r="Q1132" s="27">
        <f>ROUNDUP(O1132/'Methodology &amp; Assumptions'!$B$8, 0)</f>
        <v/>
      </c>
      <c r="R1132" s="27" t="n">
        <v>1</v>
      </c>
      <c r="S1132" s="26" t="n">
        <v>1.16</v>
      </c>
      <c r="T1132" s="26" t="n">
        <v>0.22</v>
      </c>
      <c r="U1132" s="11">
        <f>IF(S1132&lt;='Methodology &amp; Assumptions'!$B$10, "Direct Optical Drop (&lt;3km)", IF(S1132&lt;='Methodology &amp; Assumptions'!$B$9, "Near Optical / Microwave (&lt;5km)", "Starlink Business LEO Satellite Backhaul (&gt;5km)"))</f>
        <v/>
      </c>
      <c r="V1132" s="26" t="n">
        <v>48.45</v>
      </c>
      <c r="W1132" s="26" t="n">
        <v>68.44</v>
      </c>
      <c r="X1132" s="26">
        <f>ROUND(('Methodology &amp; Assumptions'!$B$5*V1132) + ('Methodology &amp; Assumptions'!$B$6*W1132), 2)</f>
        <v/>
      </c>
      <c r="Y1132" s="28" t="n">
        <v>10.9</v>
      </c>
      <c r="Z1132" s="11" t="inlineStr">
        <is>
          <t>Priority Tier 3 (Broadband Expansion)</t>
        </is>
      </c>
    </row>
    <row r="1133">
      <c r="A1133" s="23" t="n">
        <v>5</v>
      </c>
      <c r="B1133" s="23" t="n">
        <v>129</v>
      </c>
      <c r="C1133" s="23" t="n">
        <v>4129</v>
      </c>
      <c r="D1133" s="23" t="inlineStr">
        <is>
          <t>1705318013</t>
        </is>
      </c>
      <c r="E1133" s="11" t="inlineStr">
        <is>
          <t>MIMAROPA Region</t>
        </is>
      </c>
      <c r="F1133" s="11" t="inlineStr">
        <is>
          <t>Palawan</t>
        </is>
      </c>
      <c r="G1133" s="11" t="inlineStr">
        <is>
          <t>Roxas</t>
        </is>
      </c>
      <c r="H1133" s="11" t="inlineStr">
        <is>
          <t>New Barbacan</t>
        </is>
      </c>
      <c r="I1133" s="24" t="n">
        <v>10.329256</v>
      </c>
      <c r="J1133" s="24" t="n">
        <v>119.349173</v>
      </c>
      <c r="K1133" s="23" t="inlineStr">
        <is>
          <t>R</t>
        </is>
      </c>
      <c r="L1133" s="25" t="n">
        <v>5417</v>
      </c>
      <c r="M1133" s="26" t="n">
        <v>3.9</v>
      </c>
      <c r="N1133" s="25">
        <f>ROUND(L1133/M1133, 0)</f>
        <v/>
      </c>
      <c r="O1133" s="25">
        <f>ROUND(N1133*'Methodology &amp; Assumptions'!$B$7, 0)</f>
        <v/>
      </c>
      <c r="P1133" s="23" t="inlineStr">
        <is>
          <t>Single Carrier (Band n50, 100MHz TDD)</t>
        </is>
      </c>
      <c r="Q1133" s="27">
        <f>ROUNDUP(O1133/'Methodology &amp; Assumptions'!$B$8, 0)</f>
        <v/>
      </c>
      <c r="R1133" s="27" t="n">
        <v>1</v>
      </c>
      <c r="S1133" s="26" t="n">
        <v>1.38</v>
      </c>
      <c r="T1133" s="26" t="n">
        <v>0.41</v>
      </c>
      <c r="U1133" s="11">
        <f>IF(S1133&lt;='Methodology &amp; Assumptions'!$B$10, "Direct Optical Drop (&lt;3km)", IF(S1133&lt;='Methodology &amp; Assumptions'!$B$9, "Near Optical / Microwave (&lt;5km)", "Starlink Business LEO Satellite Backhaul (&gt;5km)"))</f>
        <v/>
      </c>
      <c r="V1133" s="26" t="n">
        <v>84.63</v>
      </c>
      <c r="W1133" s="26" t="n">
        <v>32.24</v>
      </c>
      <c r="X1133" s="26">
        <f>ROUND(('Methodology &amp; Assumptions'!$B$5*V1133) + ('Methodology &amp; Assumptions'!$B$6*W1133), 2)</f>
        <v/>
      </c>
      <c r="Y1133" s="28" t="n">
        <v>15</v>
      </c>
      <c r="Z1133" s="11" t="inlineStr">
        <is>
          <t>Priority Tier 3 (Broadband Expansion)</t>
        </is>
      </c>
    </row>
    <row r="1134">
      <c r="A1134" s="23" t="n">
        <v>5</v>
      </c>
      <c r="B1134" s="23" t="n">
        <v>130</v>
      </c>
      <c r="C1134" s="23" t="n">
        <v>4130</v>
      </c>
      <c r="D1134" s="23" t="inlineStr">
        <is>
          <t>1401105001</t>
        </is>
      </c>
      <c r="E1134" s="11" t="inlineStr">
        <is>
          <t>Cordillera Administrative Region (CAR)</t>
        </is>
      </c>
      <c r="F1134" s="11" t="inlineStr">
        <is>
          <t>Benguet</t>
        </is>
      </c>
      <c r="G1134" s="11" t="inlineStr">
        <is>
          <t>Buguias</t>
        </is>
      </c>
      <c r="H1134" s="11" t="inlineStr">
        <is>
          <t>Abatan</t>
        </is>
      </c>
      <c r="I1134" s="24" t="n">
        <v>16.80301</v>
      </c>
      <c r="J1134" s="24" t="n">
        <v>120.82191</v>
      </c>
      <c r="K1134" s="23" t="inlineStr">
        <is>
          <t>U</t>
        </is>
      </c>
      <c r="L1134" s="25" t="n">
        <v>3644</v>
      </c>
      <c r="M1134" s="26" t="n">
        <v>3.5</v>
      </c>
      <c r="N1134" s="25">
        <f>ROUND(L1134/M1134, 0)</f>
        <v/>
      </c>
      <c r="O1134" s="25">
        <f>ROUND(N1134*'Methodology &amp; Assumptions'!$B$7, 0)</f>
        <v/>
      </c>
      <c r="P1134" s="23" t="inlineStr">
        <is>
          <t>Single Carrier (Band n50, 100MHz TDD)</t>
        </is>
      </c>
      <c r="Q1134" s="27">
        <f>ROUNDUP(O1134/'Methodology &amp; Assumptions'!$B$8, 0)</f>
        <v/>
      </c>
      <c r="R1134" s="27" t="n">
        <v>1</v>
      </c>
      <c r="S1134" s="26" t="n">
        <v>0.09</v>
      </c>
      <c r="T1134" s="26" t="n">
        <v>0.08</v>
      </c>
      <c r="U1134" s="11">
        <f>IF(S1134&lt;='Methodology &amp; Assumptions'!$B$10, "Direct Optical Drop (&lt;3km)", IF(S1134&lt;='Methodology &amp; Assumptions'!$B$9, "Near Optical / Microwave (&lt;5km)", "Starlink Business LEO Satellite Backhaul (&gt;5km)"))</f>
        <v/>
      </c>
      <c r="V1134" s="26" t="n">
        <v>78.84</v>
      </c>
      <c r="W1134" s="26" t="n">
        <v>38.01</v>
      </c>
      <c r="X1134" s="26">
        <f>ROUND(('Methodology &amp; Assumptions'!$B$5*V1134) + ('Methodology &amp; Assumptions'!$B$6*W1134), 2)</f>
        <v/>
      </c>
      <c r="Y1134" s="28" t="n">
        <v>10.9</v>
      </c>
      <c r="Z1134" s="11" t="inlineStr">
        <is>
          <t>Priority Tier 3 (Broadband Expansion)</t>
        </is>
      </c>
    </row>
    <row r="1135">
      <c r="A1135" s="23" t="n">
        <v>5</v>
      </c>
      <c r="B1135" s="23" t="n">
        <v>131</v>
      </c>
      <c r="C1135" s="23" t="n">
        <v>4131</v>
      </c>
      <c r="D1135" s="23" t="inlineStr">
        <is>
          <t>0201525011</t>
        </is>
      </c>
      <c r="E1135" s="11" t="inlineStr">
        <is>
          <t>Region II (Cagayan Valley)</t>
        </is>
      </c>
      <c r="F1135" s="11" t="inlineStr">
        <is>
          <t>Cagayan</t>
        </is>
      </c>
      <c r="G1135" s="11" t="inlineStr">
        <is>
          <t>Santa Teresita</t>
        </is>
      </c>
      <c r="H1135" s="11" t="inlineStr">
        <is>
          <t>Simpatuyo</t>
        </is>
      </c>
      <c r="I1135" s="24" t="n">
        <v>18.253</v>
      </c>
      <c r="J1135" s="24" t="n">
        <v>121.8954</v>
      </c>
      <c r="K1135" s="23" t="inlineStr">
        <is>
          <t>R</t>
        </is>
      </c>
      <c r="L1135" s="25" t="n">
        <v>2746</v>
      </c>
      <c r="M1135" s="26" t="n">
        <v>3.9</v>
      </c>
      <c r="N1135" s="25">
        <f>ROUND(L1135/M1135, 0)</f>
        <v/>
      </c>
      <c r="O1135" s="25">
        <f>ROUND(N1135*'Methodology &amp; Assumptions'!$B$7, 0)</f>
        <v/>
      </c>
      <c r="P1135" s="23" t="inlineStr">
        <is>
          <t>Single Carrier (Band n50, 100MHz TDD)</t>
        </is>
      </c>
      <c r="Q1135" s="27">
        <f>ROUNDUP(O1135/'Methodology &amp; Assumptions'!$B$8, 0)</f>
        <v/>
      </c>
      <c r="R1135" s="27" t="n">
        <v>1</v>
      </c>
      <c r="S1135" s="26" t="n">
        <v>1.77</v>
      </c>
      <c r="T1135" s="26" t="n">
        <v>0.52</v>
      </c>
      <c r="U1135" s="11">
        <f>IF(S1135&lt;='Methodology &amp; Assumptions'!$B$10, "Direct Optical Drop (&lt;3km)", IF(S1135&lt;='Methodology &amp; Assumptions'!$B$9, "Near Optical / Microwave (&lt;5km)", "Starlink Business LEO Satellite Backhaul (&gt;5km)"))</f>
        <v/>
      </c>
      <c r="V1135" s="26" t="n">
        <v>78.45</v>
      </c>
      <c r="W1135" s="26" t="n">
        <v>38.42</v>
      </c>
      <c r="X1135" s="26">
        <f>ROUND(('Methodology &amp; Assumptions'!$B$5*V1135) + ('Methodology &amp; Assumptions'!$B$6*W1135), 2)</f>
        <v/>
      </c>
      <c r="Y1135" s="28" t="n">
        <v>8.300000000000001</v>
      </c>
      <c r="Z1135" s="11" t="inlineStr">
        <is>
          <t>Priority Tier 3 (Broadband Expansion)</t>
        </is>
      </c>
    </row>
    <row r="1136">
      <c r="A1136" s="23" t="n">
        <v>5</v>
      </c>
      <c r="B1136" s="23" t="n">
        <v>132</v>
      </c>
      <c r="C1136" s="23" t="n">
        <v>4132</v>
      </c>
      <c r="D1136" s="23" t="inlineStr">
        <is>
          <t>1380608010</t>
        </is>
      </c>
      <c r="E1136" s="11" t="inlineStr">
        <is>
          <t>National Capital Region (NCR)</t>
        </is>
      </c>
      <c r="F1136" s="11" t="inlineStr">
        <is>
          <t>First District (Not a Province)</t>
        </is>
      </c>
      <c r="G1136" s="11" t="inlineStr">
        <is>
          <t>City of Manila</t>
        </is>
      </c>
      <c r="H1136" s="11" t="inlineStr">
        <is>
          <t>Barangay 668</t>
        </is>
      </c>
      <c r="I1136" s="24" t="n">
        <v>14.57584</v>
      </c>
      <c r="J1136" s="24" t="n">
        <v>120.9808</v>
      </c>
      <c r="K1136" s="23" t="inlineStr">
        <is>
          <t>U</t>
        </is>
      </c>
      <c r="L1136" s="25" t="n">
        <v>2905</v>
      </c>
      <c r="M1136" s="26" t="n">
        <v>4.51</v>
      </c>
      <c r="N1136" s="25">
        <f>ROUND(L1136/M1136, 0)</f>
        <v/>
      </c>
      <c r="O1136" s="25">
        <f>ROUND(N1136*'Methodology &amp; Assumptions'!$B$7, 0)</f>
        <v/>
      </c>
      <c r="P1136" s="23" t="inlineStr">
        <is>
          <t>Single Carrier (Band n50, 100MHz TDD)</t>
        </is>
      </c>
      <c r="Q1136" s="27">
        <f>ROUNDUP(O1136/'Methodology &amp; Assumptions'!$B$8, 0)</f>
        <v/>
      </c>
      <c r="R1136" s="27" t="n">
        <v>1</v>
      </c>
      <c r="S1136" s="26" t="n">
        <v>1.51</v>
      </c>
      <c r="T1136" s="26" t="n">
        <v>0.73</v>
      </c>
      <c r="U1136" s="11">
        <f>IF(S1136&lt;='Methodology &amp; Assumptions'!$B$10, "Direct Optical Drop (&lt;3km)", IF(S1136&lt;='Methodology &amp; Assumptions'!$B$9, "Near Optical / Microwave (&lt;5km)", "Starlink Business LEO Satellite Backhaul (&gt;5km)"))</f>
        <v/>
      </c>
      <c r="V1136" s="26" t="n">
        <v>59.26</v>
      </c>
      <c r="W1136" s="26" t="n">
        <v>57.61</v>
      </c>
      <c r="X1136" s="26">
        <f>ROUND(('Methodology &amp; Assumptions'!$B$5*V1136) + ('Methodology &amp; Assumptions'!$B$6*W1136), 2)</f>
        <v/>
      </c>
      <c r="Y1136" s="28" t="n">
        <v>10.9</v>
      </c>
      <c r="Z1136" s="11" t="inlineStr">
        <is>
          <t>Priority Tier 3 (Broadband Expansion)</t>
        </is>
      </c>
    </row>
    <row r="1137">
      <c r="A1137" s="23" t="n">
        <v>5</v>
      </c>
      <c r="B1137" s="23" t="n">
        <v>133</v>
      </c>
      <c r="C1137" s="23" t="n">
        <v>4133</v>
      </c>
      <c r="D1137" s="23" t="inlineStr">
        <is>
          <t>1908810004</t>
        </is>
      </c>
      <c r="E1137" s="11" t="inlineStr">
        <is>
          <t>Bangsamoro Autonomous Region In Muslim Mindanao (BARMM)</t>
        </is>
      </c>
      <c r="F1137" s="11" t="inlineStr">
        <is>
          <t>Maguindanao del Sur</t>
        </is>
      </c>
      <c r="G1137" s="11" t="inlineStr">
        <is>
          <t>Datu Unsay</t>
        </is>
      </c>
      <c r="H1137" s="11" t="inlineStr">
        <is>
          <t>Maitumaig</t>
        </is>
      </c>
      <c r="I1137" s="24" t="n">
        <v>6.912223</v>
      </c>
      <c r="J1137" s="24" t="n">
        <v>124.453097</v>
      </c>
      <c r="K1137" s="23" t="inlineStr">
        <is>
          <t>R</t>
        </is>
      </c>
      <c r="L1137" s="25" t="n">
        <v>2669</v>
      </c>
      <c r="M1137" s="26" t="n">
        <v>4.7</v>
      </c>
      <c r="N1137" s="25">
        <f>ROUND(L1137/M1137, 0)</f>
        <v/>
      </c>
      <c r="O1137" s="25">
        <f>ROUND(N1137*'Methodology &amp; Assumptions'!$B$7, 0)</f>
        <v/>
      </c>
      <c r="P1137" s="23" t="inlineStr">
        <is>
          <t>Single Carrier (Band n50, 100MHz TDD)</t>
        </is>
      </c>
      <c r="Q1137" s="27">
        <f>ROUNDUP(O1137/'Methodology &amp; Assumptions'!$B$8, 0)</f>
        <v/>
      </c>
      <c r="R1137" s="27" t="n">
        <v>1</v>
      </c>
      <c r="S1137" s="26" t="n">
        <v>34.71</v>
      </c>
      <c r="T1137" s="26" t="n">
        <v>34.64</v>
      </c>
      <c r="U1137" s="11">
        <f>IF(S1137&lt;='Methodology &amp; Assumptions'!$B$10, "Direct Optical Drop (&lt;3km)", IF(S1137&lt;='Methodology &amp; Assumptions'!$B$9, "Near Optical / Microwave (&lt;5km)", "Starlink Business LEO Satellite Backhaul (&gt;5km)"))</f>
        <v/>
      </c>
      <c r="V1137" s="26" t="n">
        <v>49.26</v>
      </c>
      <c r="W1137" s="26" t="n">
        <v>67.59999999999999</v>
      </c>
      <c r="X1137" s="26">
        <f>ROUND(('Methodology &amp; Assumptions'!$B$5*V1137) + ('Methodology &amp; Assumptions'!$B$6*W1137), 2)</f>
        <v/>
      </c>
      <c r="Y1137" s="28" t="n">
        <v>11</v>
      </c>
      <c r="Z1137" s="11" t="inlineStr">
        <is>
          <t>Priority Tier 3 (Broadband Expansion)</t>
        </is>
      </c>
    </row>
    <row r="1138">
      <c r="A1138" s="23" t="n">
        <v>5</v>
      </c>
      <c r="B1138" s="23" t="n">
        <v>134</v>
      </c>
      <c r="C1138" s="23" t="n">
        <v>4134</v>
      </c>
      <c r="D1138" s="23" t="inlineStr">
        <is>
          <t>1380606162</t>
        </is>
      </c>
      <c r="E1138" s="11" t="inlineStr">
        <is>
          <t>National Capital Region (NCR)</t>
        </is>
      </c>
      <c r="F1138" s="11" t="inlineStr">
        <is>
          <t>First District (Not a Province)</t>
        </is>
      </c>
      <c r="G1138" s="11" t="inlineStr">
        <is>
          <t>City of Manila</t>
        </is>
      </c>
      <c r="H1138" s="11" t="inlineStr">
        <is>
          <t>Barangay 556</t>
        </is>
      </c>
      <c r="I1138" s="24" t="n">
        <v>14.611847</v>
      </c>
      <c r="J1138" s="24" t="n">
        <v>121.006168</v>
      </c>
      <c r="K1138" s="23" t="inlineStr">
        <is>
          <t>U</t>
        </is>
      </c>
      <c r="L1138" s="25" t="n">
        <v>909</v>
      </c>
      <c r="M1138" s="26" t="n">
        <v>4.06</v>
      </c>
      <c r="N1138" s="25">
        <f>ROUND(L1138/M1138, 0)</f>
        <v/>
      </c>
      <c r="O1138" s="25">
        <f>ROUND(N1138*'Methodology &amp; Assumptions'!$B$7, 0)</f>
        <v/>
      </c>
      <c r="P1138" s="23" t="inlineStr">
        <is>
          <t>Single Carrier (Band n50, 100MHz TDD)</t>
        </is>
      </c>
      <c r="Q1138" s="27">
        <f>ROUNDUP(O1138/'Methodology &amp; Assumptions'!$B$8, 0)</f>
        <v/>
      </c>
      <c r="R1138" s="27" t="n">
        <v>1</v>
      </c>
      <c r="S1138" s="26" t="n">
        <v>0.28</v>
      </c>
      <c r="T1138" s="26" t="n">
        <v>0.12</v>
      </c>
      <c r="U1138" s="11">
        <f>IF(S1138&lt;='Methodology &amp; Assumptions'!$B$10, "Direct Optical Drop (&lt;3km)", IF(S1138&lt;='Methodology &amp; Assumptions'!$B$9, "Near Optical / Microwave (&lt;5km)", "Starlink Business LEO Satellite Backhaul (&gt;5km)"))</f>
        <v/>
      </c>
      <c r="V1138" s="26" t="n">
        <v>48.27</v>
      </c>
      <c r="W1138" s="26" t="n">
        <v>68.59999999999999</v>
      </c>
      <c r="X1138" s="26">
        <f>ROUND(('Methodology &amp; Assumptions'!$B$5*V1138) + ('Methodology &amp; Assumptions'!$B$6*W1138), 2)</f>
        <v/>
      </c>
      <c r="Y1138" s="28" t="n">
        <v>10.9</v>
      </c>
      <c r="Z1138" s="11" t="inlineStr">
        <is>
          <t>Priority Tier 3 (Broadband Expansion)</t>
        </is>
      </c>
    </row>
    <row r="1139">
      <c r="A1139" s="23" t="n">
        <v>5</v>
      </c>
      <c r="B1139" s="23" t="n">
        <v>135</v>
      </c>
      <c r="C1139" s="23" t="n">
        <v>4135</v>
      </c>
      <c r="D1139" s="23" t="inlineStr">
        <is>
          <t>1380606102</t>
        </is>
      </c>
      <c r="E1139" s="11" t="inlineStr">
        <is>
          <t>National Capital Region (NCR)</t>
        </is>
      </c>
      <c r="F1139" s="11" t="inlineStr">
        <is>
          <t>First District (Not a Province)</t>
        </is>
      </c>
      <c r="G1139" s="11" t="inlineStr">
        <is>
          <t>City of Manila</t>
        </is>
      </c>
      <c r="H1139" s="11" t="inlineStr">
        <is>
          <t>Barangay 496</t>
        </is>
      </c>
      <c r="I1139" s="24" t="n">
        <v>14.621562</v>
      </c>
      <c r="J1139" s="24" t="n">
        <v>120.993906</v>
      </c>
      <c r="K1139" s="23" t="inlineStr">
        <is>
          <t>U</t>
        </is>
      </c>
      <c r="L1139" s="25" t="n">
        <v>1085</v>
      </c>
      <c r="M1139" s="26" t="n">
        <v>4.22</v>
      </c>
      <c r="N1139" s="25">
        <f>ROUND(L1139/M1139, 0)</f>
        <v/>
      </c>
      <c r="O1139" s="25">
        <f>ROUND(N1139*'Methodology &amp; Assumptions'!$B$7, 0)</f>
        <v/>
      </c>
      <c r="P1139" s="23" t="inlineStr">
        <is>
          <t>Single Carrier (Band n50, 100MHz TDD)</t>
        </is>
      </c>
      <c r="Q1139" s="27">
        <f>ROUNDUP(O1139/'Methodology &amp; Assumptions'!$B$8, 0)</f>
        <v/>
      </c>
      <c r="R1139" s="27" t="n">
        <v>1</v>
      </c>
      <c r="S1139" s="26" t="n">
        <v>1.31</v>
      </c>
      <c r="T1139" s="26" t="n">
        <v>0.66</v>
      </c>
      <c r="U1139" s="11">
        <f>IF(S1139&lt;='Methodology &amp; Assumptions'!$B$10, "Direct Optical Drop (&lt;3km)", IF(S1139&lt;='Methodology &amp; Assumptions'!$B$9, "Near Optical / Microwave (&lt;5km)", "Starlink Business LEO Satellite Backhaul (&gt;5km)"))</f>
        <v/>
      </c>
      <c r="V1139" s="26" t="n">
        <v>47.54</v>
      </c>
      <c r="W1139" s="26" t="n">
        <v>69.33</v>
      </c>
      <c r="X1139" s="26">
        <f>ROUND(('Methodology &amp; Assumptions'!$B$5*V1139) + ('Methodology &amp; Assumptions'!$B$6*W1139), 2)</f>
        <v/>
      </c>
      <c r="Y1139" s="28" t="n">
        <v>10.9</v>
      </c>
      <c r="Z1139" s="11" t="inlineStr">
        <is>
          <t>Priority Tier 3 (Broadband Expansion)</t>
        </is>
      </c>
    </row>
    <row r="1140">
      <c r="A1140" s="23" t="n">
        <v>5</v>
      </c>
      <c r="B1140" s="23" t="n">
        <v>136</v>
      </c>
      <c r="C1140" s="23" t="n">
        <v>4136</v>
      </c>
      <c r="D1140" s="23" t="inlineStr">
        <is>
          <t>0405634040</t>
        </is>
      </c>
      <c r="E1140" s="11" t="inlineStr">
        <is>
          <t>Region IV-A (CALABARZON)</t>
        </is>
      </c>
      <c r="F1140" s="11" t="inlineStr">
        <is>
          <t>Quezon</t>
        </is>
      </c>
      <c r="G1140" s="11" t="inlineStr">
        <is>
          <t>Pitogo</t>
        </is>
      </c>
      <c r="H1140" s="11" t="inlineStr">
        <is>
          <t>Sumag Weste</t>
        </is>
      </c>
      <c r="I1140" s="24" t="n">
        <v>13.786519</v>
      </c>
      <c r="J1140" s="24" t="n">
        <v>122.045964</v>
      </c>
      <c r="K1140" s="23" t="inlineStr">
        <is>
          <t>R</t>
        </is>
      </c>
      <c r="L1140" s="25" t="n">
        <v>258</v>
      </c>
      <c r="M1140" s="26" t="n">
        <v>3.8</v>
      </c>
      <c r="N1140" s="25">
        <f>ROUND(L1140/M1140, 0)</f>
        <v/>
      </c>
      <c r="O1140" s="25">
        <f>ROUND(N1140*'Methodology &amp; Assumptions'!$B$7, 0)</f>
        <v/>
      </c>
      <c r="P1140" s="23" t="inlineStr">
        <is>
          <t>Single Carrier (Band n50, 100MHz TDD)</t>
        </is>
      </c>
      <c r="Q1140" s="27">
        <f>ROUNDUP(O1140/'Methodology &amp; Assumptions'!$B$8, 0)</f>
        <v/>
      </c>
      <c r="R1140" s="27" t="n">
        <v>1</v>
      </c>
      <c r="S1140" s="26" t="n">
        <v>6.42</v>
      </c>
      <c r="T1140" s="26" t="n">
        <v>5.5</v>
      </c>
      <c r="U1140" s="11">
        <f>IF(S1140&lt;='Methodology &amp; Assumptions'!$B$10, "Direct Optical Drop (&lt;3km)", IF(S1140&lt;='Methodology &amp; Assumptions'!$B$9, "Near Optical / Microwave (&lt;5km)", "Starlink Business LEO Satellite Backhaul (&gt;5km)"))</f>
        <v/>
      </c>
      <c r="V1140" s="26" t="n">
        <v>46.55</v>
      </c>
      <c r="W1140" s="26" t="n">
        <v>70.31</v>
      </c>
      <c r="X1140" s="26">
        <f>ROUND(('Methodology &amp; Assumptions'!$B$5*V1140) + ('Methodology &amp; Assumptions'!$B$6*W1140), 2)</f>
        <v/>
      </c>
      <c r="Y1140" s="28" t="n">
        <v>7.2</v>
      </c>
      <c r="Z1140" s="11" t="inlineStr">
        <is>
          <t>Priority Tier 3 (Broadband Expansion)</t>
        </is>
      </c>
    </row>
    <row r="1141">
      <c r="A1141" s="23" t="n">
        <v>5</v>
      </c>
      <c r="B1141" s="23" t="n">
        <v>137</v>
      </c>
      <c r="C1141" s="23" t="n">
        <v>4137</v>
      </c>
      <c r="D1141" s="23" t="inlineStr">
        <is>
          <t>1380610038</t>
        </is>
      </c>
      <c r="E1141" s="11" t="inlineStr">
        <is>
          <t>National Capital Region (NCR)</t>
        </is>
      </c>
      <c r="F1141" s="11" t="inlineStr">
        <is>
          <t>First District (Not a Province)</t>
        </is>
      </c>
      <c r="G1141" s="11" t="inlineStr">
        <is>
          <t>City of Manila</t>
        </is>
      </c>
      <c r="H1141" s="11" t="inlineStr">
        <is>
          <t>Barangay 723</t>
        </is>
      </c>
      <c r="I1141" s="24" t="n">
        <v>14.571113</v>
      </c>
      <c r="J1141" s="24" t="n">
        <v>120.992894</v>
      </c>
      <c r="K1141" s="23" t="inlineStr">
        <is>
          <t>U</t>
        </is>
      </c>
      <c r="L1141" s="25" t="n">
        <v>588</v>
      </c>
      <c r="M1141" s="26" t="n">
        <v>3.67</v>
      </c>
      <c r="N1141" s="25">
        <f>ROUND(L1141/M1141, 0)</f>
        <v/>
      </c>
      <c r="O1141" s="25">
        <f>ROUND(N1141*'Methodology &amp; Assumptions'!$B$7, 0)</f>
        <v/>
      </c>
      <c r="P1141" s="23" t="inlineStr">
        <is>
          <t>Single Carrier (Band n50, 100MHz TDD)</t>
        </is>
      </c>
      <c r="Q1141" s="27">
        <f>ROUNDUP(O1141/'Methodology &amp; Assumptions'!$B$8, 0)</f>
        <v/>
      </c>
      <c r="R1141" s="27" t="n">
        <v>1</v>
      </c>
      <c r="S1141" s="26" t="n">
        <v>0.18</v>
      </c>
      <c r="T1141" s="26" t="n">
        <v>0.09</v>
      </c>
      <c r="U1141" s="11">
        <f>IF(S1141&lt;='Methodology &amp; Assumptions'!$B$10, "Direct Optical Drop (&lt;3km)", IF(S1141&lt;='Methodology &amp; Assumptions'!$B$9, "Near Optical / Microwave (&lt;5km)", "Starlink Business LEO Satellite Backhaul (&gt;5km)"))</f>
        <v/>
      </c>
      <c r="V1141" s="26" t="n">
        <v>46.23</v>
      </c>
      <c r="W1141" s="26" t="n">
        <v>70.63</v>
      </c>
      <c r="X1141" s="26">
        <f>ROUND(('Methodology &amp; Assumptions'!$B$5*V1141) + ('Methodology &amp; Assumptions'!$B$6*W1141), 2)</f>
        <v/>
      </c>
      <c r="Y1141" s="28" t="n">
        <v>10.9</v>
      </c>
      <c r="Z1141" s="11" t="inlineStr">
        <is>
          <t>Priority Tier 3 (Broadband Expansion)</t>
        </is>
      </c>
    </row>
    <row r="1142">
      <c r="A1142" s="23" t="n">
        <v>5</v>
      </c>
      <c r="B1142" s="23" t="n">
        <v>138</v>
      </c>
      <c r="C1142" s="23" t="n">
        <v>4138</v>
      </c>
      <c r="D1142" s="23" t="inlineStr">
        <is>
          <t>1381100016</t>
        </is>
      </c>
      <c r="E1142" s="11" t="inlineStr">
        <is>
          <t>National Capital Region (NCR)</t>
        </is>
      </c>
      <c r="F1142" s="11" t="inlineStr">
        <is>
          <t>Fourth District (Not a Province)</t>
        </is>
      </c>
      <c r="G1142" s="11" t="inlineStr">
        <is>
          <t>Pasay City</t>
        </is>
      </c>
      <c r="H1142" s="11" t="inlineStr">
        <is>
          <t>Barangay 16</t>
        </is>
      </c>
      <c r="I1142" s="24" t="n">
        <v>14.557702</v>
      </c>
      <c r="J1142" s="24" t="n">
        <v>120.99141</v>
      </c>
      <c r="K1142" s="23" t="inlineStr">
        <is>
          <t>U</t>
        </is>
      </c>
      <c r="L1142" s="25" t="n">
        <v>478</v>
      </c>
      <c r="M1142" s="26" t="n">
        <v>3.68</v>
      </c>
      <c r="N1142" s="25">
        <f>ROUND(L1142/M1142, 0)</f>
        <v/>
      </c>
      <c r="O1142" s="25">
        <f>ROUND(N1142*'Methodology &amp; Assumptions'!$B$7, 0)</f>
        <v/>
      </c>
      <c r="P1142" s="23" t="inlineStr">
        <is>
          <t>Single Carrier (Band n50, 100MHz TDD)</t>
        </is>
      </c>
      <c r="Q1142" s="27">
        <f>ROUNDUP(O1142/'Methodology &amp; Assumptions'!$B$8, 0)</f>
        <v/>
      </c>
      <c r="R1142" s="27" t="n">
        <v>1</v>
      </c>
      <c r="S1142" s="26" t="n">
        <v>0.49</v>
      </c>
      <c r="T1142" s="26" t="n">
        <v>0.49</v>
      </c>
      <c r="U1142" s="11">
        <f>IF(S1142&lt;='Methodology &amp; Assumptions'!$B$10, "Direct Optical Drop (&lt;3km)", IF(S1142&lt;='Methodology &amp; Assumptions'!$B$9, "Near Optical / Microwave (&lt;5km)", "Starlink Business LEO Satellite Backhaul (&gt;5km)"))</f>
        <v/>
      </c>
      <c r="V1142" s="26" t="n">
        <v>45.27</v>
      </c>
      <c r="W1142" s="26" t="n">
        <v>71.59999999999999</v>
      </c>
      <c r="X1142" s="26">
        <f>ROUND(('Methodology &amp; Assumptions'!$B$5*V1142) + ('Methodology &amp; Assumptions'!$B$6*W1142), 2)</f>
        <v/>
      </c>
      <c r="Y1142" s="28" t="n">
        <v>10.9</v>
      </c>
      <c r="Z1142" s="11" t="inlineStr">
        <is>
          <t>Priority Tier 3 (Broadband Expansion)</t>
        </is>
      </c>
    </row>
    <row r="1143">
      <c r="A1143" s="23" t="n">
        <v>5</v>
      </c>
      <c r="B1143" s="23" t="n">
        <v>139</v>
      </c>
      <c r="C1143" s="23" t="n">
        <v>4139</v>
      </c>
      <c r="D1143" s="23" t="inlineStr">
        <is>
          <t>0600602038</t>
        </is>
      </c>
      <c r="E1143" s="11" t="inlineStr">
        <is>
          <t>Region VI (Western Visayas)</t>
        </is>
      </c>
      <c r="F1143" s="11" t="inlineStr">
        <is>
          <t>Antique</t>
        </is>
      </c>
      <c r="G1143" s="11" t="inlineStr">
        <is>
          <t>Barbaza</t>
        </is>
      </c>
      <c r="H1143" s="11" t="inlineStr">
        <is>
          <t>Tabongtabong</t>
        </is>
      </c>
      <c r="I1143" s="24" t="n">
        <v>11.207252</v>
      </c>
      <c r="J1143" s="24" t="n">
        <v>122.111157</v>
      </c>
      <c r="K1143" s="23" t="inlineStr">
        <is>
          <t>R</t>
        </is>
      </c>
      <c r="L1143" s="25" t="n">
        <v>530</v>
      </c>
      <c r="M1143" s="26" t="n">
        <v>3.9</v>
      </c>
      <c r="N1143" s="25">
        <f>ROUND(L1143/M1143, 0)</f>
        <v/>
      </c>
      <c r="O1143" s="25">
        <f>ROUND(N1143*'Methodology &amp; Assumptions'!$B$7, 0)</f>
        <v/>
      </c>
      <c r="P1143" s="23" t="inlineStr">
        <is>
          <t>Single Carrier (Band n50, 100MHz TDD)</t>
        </is>
      </c>
      <c r="Q1143" s="27">
        <f>ROUNDUP(O1143/'Methodology &amp; Assumptions'!$B$8, 0)</f>
        <v/>
      </c>
      <c r="R1143" s="27" t="n">
        <v>1</v>
      </c>
      <c r="S1143" s="26" t="n">
        <v>48.42</v>
      </c>
      <c r="T1143" s="26" t="n">
        <v>46.67</v>
      </c>
      <c r="U1143" s="11">
        <f>IF(S1143&lt;='Methodology &amp; Assumptions'!$B$10, "Direct Optical Drop (&lt;3km)", IF(S1143&lt;='Methodology &amp; Assumptions'!$B$9, "Near Optical / Microwave (&lt;5km)", "Starlink Business LEO Satellite Backhaul (&gt;5km)"))</f>
        <v/>
      </c>
      <c r="V1143" s="26" t="n">
        <v>40.36</v>
      </c>
      <c r="W1143" s="26" t="n">
        <v>76.5</v>
      </c>
      <c r="X1143" s="26">
        <f>ROUND(('Methodology &amp; Assumptions'!$B$5*V1143) + ('Methodology &amp; Assumptions'!$B$6*W1143), 2)</f>
        <v/>
      </c>
      <c r="Y1143" s="28" t="n">
        <v>23.7</v>
      </c>
      <c r="Z1143" s="11" t="inlineStr">
        <is>
          <t>Priority Tier 3 (Broadband Expansion)</t>
        </is>
      </c>
    </row>
    <row r="1144">
      <c r="A1144" s="23" t="n">
        <v>5</v>
      </c>
      <c r="B1144" s="23" t="n">
        <v>140</v>
      </c>
      <c r="C1144" s="23" t="n">
        <v>4140</v>
      </c>
      <c r="D1144" s="23" t="inlineStr">
        <is>
          <t>0105522033</t>
        </is>
      </c>
      <c r="E1144" s="11" t="inlineStr">
        <is>
          <t>Region I (Ilocos Region)</t>
        </is>
      </c>
      <c r="F1144" s="11" t="inlineStr">
        <is>
          <t>Pangasinan</t>
        </is>
      </c>
      <c r="G1144" s="11" t="inlineStr">
        <is>
          <t>Lingayen</t>
        </is>
      </c>
      <c r="H1144" s="11" t="inlineStr">
        <is>
          <t>Tonton</t>
        </is>
      </c>
      <c r="I1144" s="24" t="n">
        <v>16.026192</v>
      </c>
      <c r="J1144" s="24" t="n">
        <v>120.24928</v>
      </c>
      <c r="K1144" s="23" t="inlineStr">
        <is>
          <t>R</t>
        </is>
      </c>
      <c r="L1144" s="25" t="n">
        <v>4826</v>
      </c>
      <c r="M1144" s="26" t="n">
        <v>3.6</v>
      </c>
      <c r="N1144" s="25">
        <f>ROUND(L1144/M1144, 0)</f>
        <v/>
      </c>
      <c r="O1144" s="25">
        <f>ROUND(N1144*'Methodology &amp; Assumptions'!$B$7, 0)</f>
        <v/>
      </c>
      <c r="P1144" s="23" t="inlineStr">
        <is>
          <t>Single Carrier (Band n50, 100MHz TDD)</t>
        </is>
      </c>
      <c r="Q1144" s="27">
        <f>ROUNDUP(O1144/'Methodology &amp; Assumptions'!$B$8, 0)</f>
        <v/>
      </c>
      <c r="R1144" s="27" t="n">
        <v>1</v>
      </c>
      <c r="S1144" s="26" t="n">
        <v>1.81</v>
      </c>
      <c r="T1144" s="26" t="n">
        <v>0.17</v>
      </c>
      <c r="U1144" s="11">
        <f>IF(S1144&lt;='Methodology &amp; Assumptions'!$B$10, "Direct Optical Drop (&lt;3km)", IF(S1144&lt;='Methodology &amp; Assumptions'!$B$9, "Near Optical / Microwave (&lt;5km)", "Starlink Business LEO Satellite Backhaul (&gt;5km)"))</f>
        <v/>
      </c>
      <c r="V1144" s="26" t="n">
        <v>82.05</v>
      </c>
      <c r="W1144" s="26" t="n">
        <v>34.78</v>
      </c>
      <c r="X1144" s="26">
        <f>ROUND(('Methodology &amp; Assumptions'!$B$5*V1144) + ('Methodology &amp; Assumptions'!$B$6*W1144), 2)</f>
        <v/>
      </c>
      <c r="Y1144" s="28" t="n">
        <v>8.300000000000001</v>
      </c>
      <c r="Z1144" s="11" t="inlineStr">
        <is>
          <t>Priority Tier 3 (Broadband Expansion)</t>
        </is>
      </c>
    </row>
    <row r="1145">
      <c r="A1145" s="23" t="n">
        <v>5</v>
      </c>
      <c r="B1145" s="23" t="n">
        <v>141</v>
      </c>
      <c r="C1145" s="23" t="n">
        <v>4141</v>
      </c>
      <c r="D1145" s="23" t="inlineStr">
        <is>
          <t>1001315014</t>
        </is>
      </c>
      <c r="E1145" s="11" t="inlineStr">
        <is>
          <t>Region X (Northern Mindanao)</t>
        </is>
      </c>
      <c r="F1145" s="11" t="inlineStr">
        <is>
          <t>Bukidnon</t>
        </is>
      </c>
      <c r="G1145" s="11" t="inlineStr">
        <is>
          <t>Maramag</t>
        </is>
      </c>
      <c r="H1145" s="11" t="inlineStr">
        <is>
          <t>North Poblacion</t>
        </is>
      </c>
      <c r="I1145" s="24" t="n">
        <v>7.765514</v>
      </c>
      <c r="J1145" s="24" t="n">
        <v>125.008053</v>
      </c>
      <c r="K1145" s="23" t="inlineStr">
        <is>
          <t>U</t>
        </is>
      </c>
      <c r="L1145" s="25" t="n">
        <v>16064</v>
      </c>
      <c r="M1145" s="26" t="n">
        <v>3.8</v>
      </c>
      <c r="N1145" s="25">
        <f>ROUND(L1145/M1145, 0)</f>
        <v/>
      </c>
      <c r="O1145" s="25">
        <f>ROUND(N1145*'Methodology &amp; Assumptions'!$B$7, 0)</f>
        <v/>
      </c>
      <c r="P1145" s="23" t="inlineStr">
        <is>
          <t>Single Carrier (Band n50, 100MHz TDD)</t>
        </is>
      </c>
      <c r="Q1145" s="27">
        <f>ROUNDUP(O1145/'Methodology &amp; Assumptions'!$B$8, 0)</f>
        <v/>
      </c>
      <c r="R1145" s="27" t="n">
        <v>1</v>
      </c>
      <c r="S1145" s="26" t="n">
        <v>0.79</v>
      </c>
      <c r="T1145" s="26" t="n">
        <v>0.22</v>
      </c>
      <c r="U1145" s="11">
        <f>IF(S1145&lt;='Methodology &amp; Assumptions'!$B$10, "Direct Optical Drop (&lt;3km)", IF(S1145&lt;='Methodology &amp; Assumptions'!$B$9, "Near Optical / Microwave (&lt;5km)", "Starlink Business LEO Satellite Backhaul (&gt;5km)"))</f>
        <v/>
      </c>
      <c r="V1145" s="26" t="n">
        <v>79.87</v>
      </c>
      <c r="W1145" s="26" t="n">
        <v>36.98</v>
      </c>
      <c r="X1145" s="26">
        <f>ROUND(('Methodology &amp; Assumptions'!$B$5*V1145) + ('Methodology &amp; Assumptions'!$B$6*W1145), 2)</f>
        <v/>
      </c>
      <c r="Y1145" s="28" t="n">
        <v>17.4</v>
      </c>
      <c r="Z1145" s="11" t="inlineStr">
        <is>
          <t>Priority Tier 3 (Broadband Expansion)</t>
        </is>
      </c>
    </row>
    <row r="1146">
      <c r="A1146" s="23" t="n">
        <v>5</v>
      </c>
      <c r="B1146" s="23" t="n">
        <v>142</v>
      </c>
      <c r="C1146" s="23" t="n">
        <v>4142</v>
      </c>
      <c r="D1146" s="23" t="inlineStr">
        <is>
          <t>0403406001</t>
        </is>
      </c>
      <c r="E1146" s="11" t="inlineStr">
        <is>
          <t>Region IV-A (CALABARZON)</t>
        </is>
      </c>
      <c r="F1146" s="11" t="inlineStr">
        <is>
          <t>Laguna</t>
        </is>
      </c>
      <c r="G1146" s="11" t="inlineStr">
        <is>
          <t>Calauan</t>
        </is>
      </c>
      <c r="H1146" s="11" t="inlineStr">
        <is>
          <t>Balayhangin</t>
        </is>
      </c>
      <c r="I1146" s="24" t="n">
        <v>14.141202</v>
      </c>
      <c r="J1146" s="24" t="n">
        <v>121.310119</v>
      </c>
      <c r="K1146" s="23" t="inlineStr">
        <is>
          <t>U</t>
        </is>
      </c>
      <c r="L1146" s="25" t="n">
        <v>6106</v>
      </c>
      <c r="M1146" s="26" t="n">
        <v>3.3</v>
      </c>
      <c r="N1146" s="25">
        <f>ROUND(L1146/M1146, 0)</f>
        <v/>
      </c>
      <c r="O1146" s="25">
        <f>ROUND(N1146*'Methodology &amp; Assumptions'!$B$7, 0)</f>
        <v/>
      </c>
      <c r="P1146" s="23" t="inlineStr">
        <is>
          <t>Single Carrier (Band n50, 100MHz TDD)</t>
        </is>
      </c>
      <c r="Q1146" s="27">
        <f>ROUNDUP(O1146/'Methodology &amp; Assumptions'!$B$8, 0)</f>
        <v/>
      </c>
      <c r="R1146" s="27" t="n">
        <v>1</v>
      </c>
      <c r="S1146" s="26" t="n">
        <v>0.67</v>
      </c>
      <c r="T1146" s="26" t="n">
        <v>0.27</v>
      </c>
      <c r="U1146" s="11">
        <f>IF(S1146&lt;='Methodology &amp; Assumptions'!$B$10, "Direct Optical Drop (&lt;3km)", IF(S1146&lt;='Methodology &amp; Assumptions'!$B$9, "Near Optical / Microwave (&lt;5km)", "Starlink Business LEO Satellite Backhaul (&gt;5km)"))</f>
        <v/>
      </c>
      <c r="V1146" s="26" t="n">
        <v>78.26000000000001</v>
      </c>
      <c r="W1146" s="26" t="n">
        <v>38.59</v>
      </c>
      <c r="X1146" s="26">
        <f>ROUND(('Methodology &amp; Assumptions'!$B$5*V1146) + ('Methodology &amp; Assumptions'!$B$6*W1146), 2)</f>
        <v/>
      </c>
      <c r="Y1146" s="28" t="n">
        <v>7.2</v>
      </c>
      <c r="Z1146" s="11" t="inlineStr">
        <is>
          <t>Priority Tier 3 (Broadband Expansion)</t>
        </is>
      </c>
    </row>
    <row r="1147">
      <c r="A1147" s="23" t="n">
        <v>5</v>
      </c>
      <c r="B1147" s="23" t="n">
        <v>143</v>
      </c>
      <c r="C1147" s="23" t="n">
        <v>4143</v>
      </c>
      <c r="D1147" s="23" t="inlineStr">
        <is>
          <t>0304928026</t>
        </is>
      </c>
      <c r="E1147" s="11" t="inlineStr">
        <is>
          <t>Region III (Central Luzon)</t>
        </is>
      </c>
      <c r="F1147" s="11" t="inlineStr">
        <is>
          <t>Nueva Ecija</t>
        </is>
      </c>
      <c r="G1147" s="11" t="inlineStr">
        <is>
          <t>Santa Rosa</t>
        </is>
      </c>
      <c r="H1147" s="11" t="inlineStr">
        <is>
          <t>Gomez</t>
        </is>
      </c>
      <c r="I1147" s="24" t="n">
        <v>15.415556</v>
      </c>
      <c r="J1147" s="24" t="n">
        <v>120.93761</v>
      </c>
      <c r="K1147" s="23" t="inlineStr">
        <is>
          <t>R</t>
        </is>
      </c>
      <c r="L1147" s="25" t="n">
        <v>2023</v>
      </c>
      <c r="M1147" s="26" t="n">
        <v>3.5</v>
      </c>
      <c r="N1147" s="25">
        <f>ROUND(L1147/M1147, 0)</f>
        <v/>
      </c>
      <c r="O1147" s="25">
        <f>ROUND(N1147*'Methodology &amp; Assumptions'!$B$7, 0)</f>
        <v/>
      </c>
      <c r="P1147" s="23" t="inlineStr">
        <is>
          <t>Single Carrier (Band n50, 100MHz TDD)</t>
        </is>
      </c>
      <c r="Q1147" s="27">
        <f>ROUNDUP(O1147/'Methodology &amp; Assumptions'!$B$8, 0)</f>
        <v/>
      </c>
      <c r="R1147" s="27" t="n">
        <v>1</v>
      </c>
      <c r="S1147" s="26" t="n">
        <v>1.04</v>
      </c>
      <c r="T1147" s="26" t="n">
        <v>0.17</v>
      </c>
      <c r="U1147" s="11">
        <f>IF(S1147&lt;='Methodology &amp; Assumptions'!$B$10, "Direct Optical Drop (&lt;3km)", IF(S1147&lt;='Methodology &amp; Assumptions'!$B$9, "Near Optical / Microwave (&lt;5km)", "Starlink Business LEO Satellite Backhaul (&gt;5km)"))</f>
        <v/>
      </c>
      <c r="V1147" s="26" t="n">
        <v>76.98</v>
      </c>
      <c r="W1147" s="26" t="n">
        <v>39.86</v>
      </c>
      <c r="X1147" s="26">
        <f>ROUND(('Methodology &amp; Assumptions'!$B$5*V1147) + ('Methodology &amp; Assumptions'!$B$6*W1147), 2)</f>
        <v/>
      </c>
      <c r="Y1147" s="28" t="n">
        <v>8.300000000000001</v>
      </c>
      <c r="Z1147" s="11" t="inlineStr">
        <is>
          <t>Priority Tier 3 (Broadband Expansion)</t>
        </is>
      </c>
    </row>
    <row r="1148">
      <c r="A1148" s="23" t="n">
        <v>5</v>
      </c>
      <c r="B1148" s="23" t="n">
        <v>144</v>
      </c>
      <c r="C1148" s="23" t="n">
        <v>4144</v>
      </c>
      <c r="D1148" s="23" t="inlineStr">
        <is>
          <t>0306916097</t>
        </is>
      </c>
      <c r="E1148" s="11" t="inlineStr">
        <is>
          <t>Region III (Central Luzon)</t>
        </is>
      </c>
      <c r="F1148" s="11" t="inlineStr">
        <is>
          <t>Tarlac</t>
        </is>
      </c>
      <c r="G1148" s="11" t="inlineStr">
        <is>
          <t>City of Tarlac</t>
        </is>
      </c>
      <c r="H1148" s="11" t="inlineStr">
        <is>
          <t>Salapungan</t>
        </is>
      </c>
      <c r="I1148" s="24" t="n">
        <v>15.507472</v>
      </c>
      <c r="J1148" s="24" t="n">
        <v>120.596266</v>
      </c>
      <c r="K1148" s="23" t="inlineStr">
        <is>
          <t>R</t>
        </is>
      </c>
      <c r="L1148" s="25" t="n">
        <v>2102</v>
      </c>
      <c r="M1148" s="26" t="n">
        <v>3.9</v>
      </c>
      <c r="N1148" s="25">
        <f>ROUND(L1148/M1148, 0)</f>
        <v/>
      </c>
      <c r="O1148" s="25">
        <f>ROUND(N1148*'Methodology &amp; Assumptions'!$B$7, 0)</f>
        <v/>
      </c>
      <c r="P1148" s="23" t="inlineStr">
        <is>
          <t>Single Carrier (Band n50, 100MHz TDD)</t>
        </is>
      </c>
      <c r="Q1148" s="27">
        <f>ROUNDUP(O1148/'Methodology &amp; Assumptions'!$B$8, 0)</f>
        <v/>
      </c>
      <c r="R1148" s="27" t="n">
        <v>1</v>
      </c>
      <c r="S1148" s="26" t="n">
        <v>3.39</v>
      </c>
      <c r="T1148" s="26" t="n">
        <v>0.04</v>
      </c>
      <c r="U1148" s="11">
        <f>IF(S1148&lt;='Methodology &amp; Assumptions'!$B$10, "Direct Optical Drop (&lt;3km)", IF(S1148&lt;='Methodology &amp; Assumptions'!$B$9, "Near Optical / Microwave (&lt;5km)", "Starlink Business LEO Satellite Backhaul (&gt;5km)"))</f>
        <v/>
      </c>
      <c r="V1148" s="26" t="n">
        <v>68.23</v>
      </c>
      <c r="W1148" s="26" t="n">
        <v>48.6</v>
      </c>
      <c r="X1148" s="26">
        <f>ROUND(('Methodology &amp; Assumptions'!$B$5*V1148) + ('Methodology &amp; Assumptions'!$B$6*W1148), 2)</f>
        <v/>
      </c>
      <c r="Y1148" s="28" t="n">
        <v>8.300000000000001</v>
      </c>
      <c r="Z1148" s="11" t="inlineStr">
        <is>
          <t>Priority Tier 3 (Broadband Expansion)</t>
        </is>
      </c>
    </row>
    <row r="1149">
      <c r="A1149" s="23" t="n">
        <v>5</v>
      </c>
      <c r="B1149" s="23" t="n">
        <v>145</v>
      </c>
      <c r="C1149" s="23" t="n">
        <v>4145</v>
      </c>
      <c r="D1149" s="23" t="inlineStr">
        <is>
          <t>0307109012</t>
        </is>
      </c>
      <c r="E1149" s="11" t="inlineStr">
        <is>
          <t>Region III (Central Luzon)</t>
        </is>
      </c>
      <c r="F1149" s="11" t="inlineStr">
        <is>
          <t>Zambales</t>
        </is>
      </c>
      <c r="G1149" s="11" t="inlineStr">
        <is>
          <t>San Antonio</t>
        </is>
      </c>
      <c r="H1149" s="11" t="inlineStr">
        <is>
          <t>San Nicolas</t>
        </is>
      </c>
      <c r="I1149" s="24" t="n">
        <v>14.947926</v>
      </c>
      <c r="J1149" s="24" t="n">
        <v>120.080603</v>
      </c>
      <c r="K1149" s="23" t="inlineStr">
        <is>
          <t>R</t>
        </is>
      </c>
      <c r="L1149" s="25" t="n">
        <v>3380</v>
      </c>
      <c r="M1149" s="26" t="n">
        <v>3.8</v>
      </c>
      <c r="N1149" s="25">
        <f>ROUND(L1149/M1149, 0)</f>
        <v/>
      </c>
      <c r="O1149" s="25">
        <f>ROUND(N1149*'Methodology &amp; Assumptions'!$B$7, 0)</f>
        <v/>
      </c>
      <c r="P1149" s="23" t="inlineStr">
        <is>
          <t>Single Carrier (Band n50, 100MHz TDD)</t>
        </is>
      </c>
      <c r="Q1149" s="27">
        <f>ROUNDUP(O1149/'Methodology &amp; Assumptions'!$B$8, 0)</f>
        <v/>
      </c>
      <c r="R1149" s="27" t="n">
        <v>1</v>
      </c>
      <c r="S1149" s="26" t="n">
        <v>1.08</v>
      </c>
      <c r="T1149" s="26" t="n">
        <v>1.01</v>
      </c>
      <c r="U1149" s="11">
        <f>IF(S1149&lt;='Methodology &amp; Assumptions'!$B$10, "Direct Optical Drop (&lt;3km)", IF(S1149&lt;='Methodology &amp; Assumptions'!$B$9, "Near Optical / Microwave (&lt;5km)", "Starlink Business LEO Satellite Backhaul (&gt;5km)"))</f>
        <v/>
      </c>
      <c r="V1149" s="26" t="n">
        <v>84.70999999999999</v>
      </c>
      <c r="W1149" s="26" t="n">
        <v>32.1</v>
      </c>
      <c r="X1149" s="26">
        <f>ROUND(('Methodology &amp; Assumptions'!$B$5*V1149) + ('Methodology &amp; Assumptions'!$B$6*W1149), 2)</f>
        <v/>
      </c>
      <c r="Y1149" s="28" t="n">
        <v>8.300000000000001</v>
      </c>
      <c r="Z1149" s="11" t="inlineStr">
        <is>
          <t>Priority Tier 3 (Broadband Expansion)</t>
        </is>
      </c>
    </row>
    <row r="1150">
      <c r="A1150" s="23" t="n">
        <v>5</v>
      </c>
      <c r="B1150" s="23" t="n">
        <v>146</v>
      </c>
      <c r="C1150" s="23" t="n">
        <v>4146</v>
      </c>
      <c r="D1150" s="23" t="inlineStr">
        <is>
          <t>0105511013</t>
        </is>
      </c>
      <c r="E1150" s="11" t="inlineStr">
        <is>
          <t>Region I (Ilocos Region)</t>
        </is>
      </c>
      <c r="F1150" s="11" t="inlineStr">
        <is>
          <t>Pangasinan</t>
        </is>
      </c>
      <c r="G1150" s="11" t="inlineStr">
        <is>
          <t>Bayambang</t>
        </is>
      </c>
      <c r="H1150" s="11" t="inlineStr">
        <is>
          <t>Bani</t>
        </is>
      </c>
      <c r="I1150" s="24" t="n">
        <v>15.823318</v>
      </c>
      <c r="J1150" s="24" t="n">
        <v>120.439641</v>
      </c>
      <c r="K1150" s="23" t="inlineStr">
        <is>
          <t>R</t>
        </is>
      </c>
      <c r="L1150" s="25" t="n">
        <v>3112</v>
      </c>
      <c r="M1150" s="26" t="n">
        <v>3.6</v>
      </c>
      <c r="N1150" s="25">
        <f>ROUND(L1150/M1150, 0)</f>
        <v/>
      </c>
      <c r="O1150" s="25">
        <f>ROUND(N1150*'Methodology &amp; Assumptions'!$B$7, 0)</f>
        <v/>
      </c>
      <c r="P1150" s="23" t="inlineStr">
        <is>
          <t>Single Carrier (Band n50, 100MHz TDD)</t>
        </is>
      </c>
      <c r="Q1150" s="27">
        <f>ROUNDUP(O1150/'Methodology &amp; Assumptions'!$B$8, 0)</f>
        <v/>
      </c>
      <c r="R1150" s="27" t="n">
        <v>1</v>
      </c>
      <c r="S1150" s="26" t="n">
        <v>1.82</v>
      </c>
      <c r="T1150" s="26" t="n">
        <v>1.8</v>
      </c>
      <c r="U1150" s="11">
        <f>IF(S1150&lt;='Methodology &amp; Assumptions'!$B$10, "Direct Optical Drop (&lt;3km)", IF(S1150&lt;='Methodology &amp; Assumptions'!$B$9, "Near Optical / Microwave (&lt;5km)", "Starlink Business LEO Satellite Backhaul (&gt;5km)"))</f>
        <v/>
      </c>
      <c r="V1150" s="26" t="n">
        <v>82.02</v>
      </c>
      <c r="W1150" s="26" t="n">
        <v>34.81</v>
      </c>
      <c r="X1150" s="26">
        <f>ROUND(('Methodology &amp; Assumptions'!$B$5*V1150) + ('Methodology &amp; Assumptions'!$B$6*W1150), 2)</f>
        <v/>
      </c>
      <c r="Y1150" s="28" t="n">
        <v>8.300000000000001</v>
      </c>
      <c r="Z1150" s="11" t="inlineStr">
        <is>
          <t>Priority Tier 3 (Broadband Expansion)</t>
        </is>
      </c>
    </row>
    <row r="1151">
      <c r="A1151" s="23" t="n">
        <v>5</v>
      </c>
      <c r="B1151" s="23" t="n">
        <v>147</v>
      </c>
      <c r="C1151" s="23" t="n">
        <v>4147</v>
      </c>
      <c r="D1151" s="23" t="inlineStr">
        <is>
          <t>0701216001</t>
        </is>
      </c>
      <c r="E1151" s="11" t="inlineStr">
        <is>
          <t>Region VII (Central Visayas)</t>
        </is>
      </c>
      <c r="F1151" s="11" t="inlineStr">
        <is>
          <t>Bohol</t>
        </is>
      </c>
      <c r="G1151" s="11" t="inlineStr">
        <is>
          <t>Cortes</t>
        </is>
      </c>
      <c r="H1151" s="11" t="inlineStr">
        <is>
          <t>De la Paz</t>
        </is>
      </c>
      <c r="I1151" s="24" t="n">
        <v>9.698212</v>
      </c>
      <c r="J1151" s="24" t="n">
        <v>123.868054</v>
      </c>
      <c r="K1151" s="23" t="inlineStr">
        <is>
          <t>R</t>
        </is>
      </c>
      <c r="L1151" s="25" t="n">
        <v>2987</v>
      </c>
      <c r="M1151" s="26" t="n">
        <v>4</v>
      </c>
      <c r="N1151" s="25">
        <f>ROUND(L1151/M1151, 0)</f>
        <v/>
      </c>
      <c r="O1151" s="25">
        <f>ROUND(N1151*'Methodology &amp; Assumptions'!$B$7, 0)</f>
        <v/>
      </c>
      <c r="P1151" s="23" t="inlineStr">
        <is>
          <t>Single Carrier (Band n50, 100MHz TDD)</t>
        </is>
      </c>
      <c r="Q1151" s="27">
        <f>ROUNDUP(O1151/'Methodology &amp; Assumptions'!$B$8, 0)</f>
        <v/>
      </c>
      <c r="R1151" s="27" t="n">
        <v>1</v>
      </c>
      <c r="S1151" s="26" t="n">
        <v>2.8</v>
      </c>
      <c r="T1151" s="26" t="n">
        <v>0.26</v>
      </c>
      <c r="U1151" s="11">
        <f>IF(S1151&lt;='Methodology &amp; Assumptions'!$B$10, "Direct Optical Drop (&lt;3km)", IF(S1151&lt;='Methodology &amp; Assumptions'!$B$9, "Near Optical / Microwave (&lt;5km)", "Starlink Business LEO Satellite Backhaul (&gt;5km)"))</f>
        <v/>
      </c>
      <c r="V1151" s="26" t="n">
        <v>79.97</v>
      </c>
      <c r="W1151" s="26" t="n">
        <v>36.85</v>
      </c>
      <c r="X1151" s="26">
        <f>ROUND(('Methodology &amp; Assumptions'!$B$5*V1151) + ('Methodology &amp; Assumptions'!$B$6*W1151), 2)</f>
        <v/>
      </c>
      <c r="Y1151" s="28" t="n">
        <v>23.7</v>
      </c>
      <c r="Z1151" s="11" t="inlineStr">
        <is>
          <t>Priority Tier 3 (Broadband Expansion)</t>
        </is>
      </c>
    </row>
    <row r="1152">
      <c r="A1152" s="23" t="n">
        <v>5</v>
      </c>
      <c r="B1152" s="23" t="n">
        <v>148</v>
      </c>
      <c r="C1152" s="23" t="n">
        <v>4148</v>
      </c>
      <c r="D1152" s="23" t="inlineStr">
        <is>
          <t>0304908012</t>
        </is>
      </c>
      <c r="E1152" s="11" t="inlineStr">
        <is>
          <t>Region III (Central Luzon)</t>
        </is>
      </c>
      <c r="F1152" s="11" t="inlineStr">
        <is>
          <t>Nueva Ecija</t>
        </is>
      </c>
      <c r="G1152" s="11" t="inlineStr">
        <is>
          <t>City of Gapan</t>
        </is>
      </c>
      <c r="H1152" s="11" t="inlineStr">
        <is>
          <t>San Roque</t>
        </is>
      </c>
      <c r="I1152" s="24" t="n">
        <v>15.241647</v>
      </c>
      <c r="J1152" s="24" t="n">
        <v>120.953341</v>
      </c>
      <c r="K1152" s="23" t="inlineStr">
        <is>
          <t>U</t>
        </is>
      </c>
      <c r="L1152" s="25" t="n">
        <v>10382</v>
      </c>
      <c r="M1152" s="26" t="n">
        <v>3.5</v>
      </c>
      <c r="N1152" s="25">
        <f>ROUND(L1152/M1152, 0)</f>
        <v/>
      </c>
      <c r="O1152" s="25">
        <f>ROUND(N1152*'Methodology &amp; Assumptions'!$B$7, 0)</f>
        <v/>
      </c>
      <c r="P1152" s="23" t="inlineStr">
        <is>
          <t>Single Carrier (Band n50, 100MHz TDD)</t>
        </is>
      </c>
      <c r="Q1152" s="27">
        <f>ROUNDUP(O1152/'Methodology &amp; Assumptions'!$B$8, 0)</f>
        <v/>
      </c>
      <c r="R1152" s="27" t="n">
        <v>1</v>
      </c>
      <c r="S1152" s="26" t="n">
        <v>0.1</v>
      </c>
      <c r="T1152" s="26" t="n">
        <v>0.12</v>
      </c>
      <c r="U1152" s="11">
        <f>IF(S1152&lt;='Methodology &amp; Assumptions'!$B$10, "Direct Optical Drop (&lt;3km)", IF(S1152&lt;='Methodology &amp; Assumptions'!$B$9, "Near Optical / Microwave (&lt;5km)", "Starlink Business LEO Satellite Backhaul (&gt;5km)"))</f>
        <v/>
      </c>
      <c r="V1152" s="26" t="n">
        <v>78.43000000000001</v>
      </c>
      <c r="W1152" s="26" t="n">
        <v>38.39</v>
      </c>
      <c r="X1152" s="26">
        <f>ROUND(('Methodology &amp; Assumptions'!$B$5*V1152) + ('Methodology &amp; Assumptions'!$B$6*W1152), 2)</f>
        <v/>
      </c>
      <c r="Y1152" s="28" t="n">
        <v>8.300000000000001</v>
      </c>
      <c r="Z1152" s="11" t="inlineStr">
        <is>
          <t>Priority Tier 3 (Broadband Expansion)</t>
        </is>
      </c>
    </row>
    <row r="1153">
      <c r="A1153" s="23" t="n">
        <v>5</v>
      </c>
      <c r="B1153" s="23" t="n">
        <v>149</v>
      </c>
      <c r="C1153" s="23" t="n">
        <v>4149</v>
      </c>
      <c r="D1153" s="23" t="inlineStr">
        <is>
          <t>0403405035</t>
        </is>
      </c>
      <c r="E1153" s="11" t="inlineStr">
        <is>
          <t>Region IV-A (CALABARZON)</t>
        </is>
      </c>
      <c r="F1153" s="11" t="inlineStr">
        <is>
          <t>Laguna</t>
        </is>
      </c>
      <c r="G1153" s="11" t="inlineStr">
        <is>
          <t>City of Calamba</t>
        </is>
      </c>
      <c r="H1153" s="11" t="inlineStr">
        <is>
          <t>Palo-Alto</t>
        </is>
      </c>
      <c r="I1153" s="24" t="n">
        <v>14.184594</v>
      </c>
      <c r="J1153" s="24" t="n">
        <v>121.108612</v>
      </c>
      <c r="K1153" s="23" t="inlineStr">
        <is>
          <t>U</t>
        </is>
      </c>
      <c r="L1153" s="25" t="n">
        <v>20689</v>
      </c>
      <c r="M1153" s="26" t="n">
        <v>3.3</v>
      </c>
      <c r="N1153" s="25">
        <f>ROUND(L1153/M1153, 0)</f>
        <v/>
      </c>
      <c r="O1153" s="25">
        <f>ROUND(N1153*'Methodology &amp; Assumptions'!$B$7, 0)</f>
        <v/>
      </c>
      <c r="P1153" s="23" t="inlineStr">
        <is>
          <t>Single Carrier (Band n50, 100MHz TDD)</t>
        </is>
      </c>
      <c r="Q1153" s="27">
        <f>ROUNDUP(O1153/'Methodology &amp; Assumptions'!$B$8, 0)</f>
        <v/>
      </c>
      <c r="R1153" s="27" t="n">
        <v>1</v>
      </c>
      <c r="S1153" s="26" t="n">
        <v>1.14</v>
      </c>
      <c r="T1153" s="26" t="n">
        <v>0.26</v>
      </c>
      <c r="U1153" s="11">
        <f>IF(S1153&lt;='Methodology &amp; Assumptions'!$B$10, "Direct Optical Drop (&lt;3km)", IF(S1153&lt;='Methodology &amp; Assumptions'!$B$9, "Near Optical / Microwave (&lt;5km)", "Starlink Business LEO Satellite Backhaul (&gt;5km)"))</f>
        <v/>
      </c>
      <c r="V1153" s="26" t="n">
        <v>77.12</v>
      </c>
      <c r="W1153" s="26" t="n">
        <v>39.71</v>
      </c>
      <c r="X1153" s="26">
        <f>ROUND(('Methodology &amp; Assumptions'!$B$5*V1153) + ('Methodology &amp; Assumptions'!$B$6*W1153), 2)</f>
        <v/>
      </c>
      <c r="Y1153" s="28" t="n">
        <v>7.2</v>
      </c>
      <c r="Z1153" s="11" t="inlineStr">
        <is>
          <t>Priority Tier 3 (Broadband Expansion)</t>
        </is>
      </c>
    </row>
    <row r="1154">
      <c r="A1154" s="23" t="n">
        <v>5</v>
      </c>
      <c r="B1154" s="23" t="n">
        <v>150</v>
      </c>
      <c r="C1154" s="23" t="n">
        <v>4150</v>
      </c>
      <c r="D1154" s="23" t="inlineStr">
        <is>
          <t>0105511036</t>
        </is>
      </c>
      <c r="E1154" s="11" t="inlineStr">
        <is>
          <t>Region I (Ilocos Region)</t>
        </is>
      </c>
      <c r="F1154" s="11" t="inlineStr">
        <is>
          <t>Pangasinan</t>
        </is>
      </c>
      <c r="G1154" s="11" t="inlineStr">
        <is>
          <t>Bayambang</t>
        </is>
      </c>
      <c r="H1154" s="11" t="inlineStr">
        <is>
          <t>M. H. del Pilar</t>
        </is>
      </c>
      <c r="I1154" s="24" t="n">
        <v>15.8075</v>
      </c>
      <c r="J1154" s="24" t="n">
        <v>120.45254</v>
      </c>
      <c r="K1154" s="23" t="inlineStr">
        <is>
          <t>R</t>
        </is>
      </c>
      <c r="L1154" s="25" t="n">
        <v>1915</v>
      </c>
      <c r="M1154" s="26" t="n">
        <v>3.6</v>
      </c>
      <c r="N1154" s="25">
        <f>ROUND(L1154/M1154, 0)</f>
        <v/>
      </c>
      <c r="O1154" s="25">
        <f>ROUND(N1154*'Methodology &amp; Assumptions'!$B$7, 0)</f>
        <v/>
      </c>
      <c r="P1154" s="23" t="inlineStr">
        <is>
          <t>Single Carrier (Band n50, 100MHz TDD)</t>
        </is>
      </c>
      <c r="Q1154" s="27">
        <f>ROUNDUP(O1154/'Methodology &amp; Assumptions'!$B$8, 0)</f>
        <v/>
      </c>
      <c r="R1154" s="27" t="n">
        <v>1</v>
      </c>
      <c r="S1154" s="26" t="n">
        <v>1.01</v>
      </c>
      <c r="T1154" s="26" t="n">
        <v>0.57</v>
      </c>
      <c r="U1154" s="11">
        <f>IF(S1154&lt;='Methodology &amp; Assumptions'!$B$10, "Direct Optical Drop (&lt;3km)", IF(S1154&lt;='Methodology &amp; Assumptions'!$B$9, "Near Optical / Microwave (&lt;5km)", "Starlink Business LEO Satellite Backhaul (&gt;5km)"))</f>
        <v/>
      </c>
      <c r="V1154" s="26" t="n">
        <v>75.69</v>
      </c>
      <c r="W1154" s="26" t="n">
        <v>41.12</v>
      </c>
      <c r="X1154" s="26">
        <f>ROUND(('Methodology &amp; Assumptions'!$B$5*V1154) + ('Methodology &amp; Assumptions'!$B$6*W1154), 2)</f>
        <v/>
      </c>
      <c r="Y1154" s="28" t="n">
        <v>8.300000000000001</v>
      </c>
      <c r="Z1154" s="11" t="inlineStr">
        <is>
          <t>Priority Tier 3 (Broadband Expansion)</t>
        </is>
      </c>
    </row>
    <row r="1155">
      <c r="A1155" s="23" t="n">
        <v>5</v>
      </c>
      <c r="B1155" s="23" t="n">
        <v>151</v>
      </c>
      <c r="C1155" s="23" t="n">
        <v>4151</v>
      </c>
      <c r="D1155" s="23" t="inlineStr">
        <is>
          <t>0402106055</t>
        </is>
      </c>
      <c r="E1155" s="11" t="inlineStr">
        <is>
          <t>Region IV-A (CALABARZON)</t>
        </is>
      </c>
      <c r="F1155" s="11" t="inlineStr">
        <is>
          <t>Cavite</t>
        </is>
      </c>
      <c r="G1155" s="11" t="inlineStr">
        <is>
          <t>City of Dasmariñas</t>
        </is>
      </c>
      <c r="H1155" s="11" t="inlineStr">
        <is>
          <t>Paliparan II</t>
        </is>
      </c>
      <c r="I1155" s="24" t="n">
        <v>14.303188</v>
      </c>
      <c r="J1155" s="24" t="n">
        <v>120.993945</v>
      </c>
      <c r="K1155" s="23" t="inlineStr">
        <is>
          <t>U</t>
        </is>
      </c>
      <c r="L1155" s="25" t="n">
        <v>21901</v>
      </c>
      <c r="M1155" s="26" t="n">
        <v>3.4</v>
      </c>
      <c r="N1155" s="25">
        <f>ROUND(L1155/M1155, 0)</f>
        <v/>
      </c>
      <c r="O1155" s="25">
        <f>ROUND(N1155*'Methodology &amp; Assumptions'!$B$7, 0)</f>
        <v/>
      </c>
      <c r="P1155" s="23" t="inlineStr">
        <is>
          <t>Single Carrier (Band n50, 100MHz TDD)</t>
        </is>
      </c>
      <c r="Q1155" s="27">
        <f>ROUNDUP(O1155/'Methodology &amp; Assumptions'!$B$8, 0)</f>
        <v/>
      </c>
      <c r="R1155" s="27" t="n">
        <v>1</v>
      </c>
      <c r="S1155" s="26" t="n">
        <v>2.23</v>
      </c>
      <c r="T1155" s="26" t="n">
        <v>3.93</v>
      </c>
      <c r="U1155" s="11">
        <f>IF(S1155&lt;='Methodology &amp; Assumptions'!$B$10, "Direct Optical Drop (&lt;3km)", IF(S1155&lt;='Methodology &amp; Assumptions'!$B$9, "Near Optical / Microwave (&lt;5km)", "Starlink Business LEO Satellite Backhaul (&gt;5km)"))</f>
        <v/>
      </c>
      <c r="V1155" s="26" t="n">
        <v>69.73999999999999</v>
      </c>
      <c r="W1155" s="26" t="n">
        <v>47.07</v>
      </c>
      <c r="X1155" s="26">
        <f>ROUND(('Methodology &amp; Assumptions'!$B$5*V1155) + ('Methodology &amp; Assumptions'!$B$6*W1155), 2)</f>
        <v/>
      </c>
      <c r="Y1155" s="28" t="n">
        <v>7.2</v>
      </c>
      <c r="Z1155" s="11" t="inlineStr">
        <is>
          <t>Priority Tier 3 (Broadband Expansion)</t>
        </is>
      </c>
    </row>
    <row r="1156">
      <c r="A1156" s="23" t="n">
        <v>5</v>
      </c>
      <c r="B1156" s="23" t="n">
        <v>152</v>
      </c>
      <c r="C1156" s="23" t="n">
        <v>4152</v>
      </c>
      <c r="D1156" s="23" t="inlineStr">
        <is>
          <t>0907215005</t>
        </is>
      </c>
      <c r="E1156" s="11" t="inlineStr">
        <is>
          <t>Region IX (Zamboanga Peninsula)</t>
        </is>
      </c>
      <c r="F1156" s="11" t="inlineStr">
        <is>
          <t>Zamboanga del Norte</t>
        </is>
      </c>
      <c r="G1156" s="11" t="inlineStr">
        <is>
          <t>Siayan</t>
        </is>
      </c>
      <c r="H1156" s="11" t="inlineStr">
        <is>
          <t>Diongan</t>
        </is>
      </c>
      <c r="I1156" s="24" t="n">
        <v>8.160299999999999</v>
      </c>
      <c r="J1156" s="24" t="n">
        <v>123.1289</v>
      </c>
      <c r="K1156" s="23" t="inlineStr">
        <is>
          <t>R</t>
        </is>
      </c>
      <c r="L1156" s="25" t="n">
        <v>2712</v>
      </c>
      <c r="M1156" s="26" t="n">
        <v>3.6</v>
      </c>
      <c r="N1156" s="25">
        <f>ROUND(L1156/M1156, 0)</f>
        <v/>
      </c>
      <c r="O1156" s="25">
        <f>ROUND(N1156*'Methodology &amp; Assumptions'!$B$7, 0)</f>
        <v/>
      </c>
      <c r="P1156" s="23" t="inlineStr">
        <is>
          <t>Single Carrier (Band n50, 100MHz TDD)</t>
        </is>
      </c>
      <c r="Q1156" s="27">
        <f>ROUNDUP(O1156/'Methodology &amp; Assumptions'!$B$8, 0)</f>
        <v/>
      </c>
      <c r="R1156" s="27" t="n">
        <v>1</v>
      </c>
      <c r="S1156" s="26" t="n">
        <v>48.56</v>
      </c>
      <c r="T1156" s="26" t="n">
        <v>37.35</v>
      </c>
      <c r="U1156" s="11">
        <f>IF(S1156&lt;='Methodology &amp; Assumptions'!$B$10, "Direct Optical Drop (&lt;3km)", IF(S1156&lt;='Methodology &amp; Assumptions'!$B$9, "Near Optical / Microwave (&lt;5km)", "Starlink Business LEO Satellite Backhaul (&gt;5km)"))</f>
        <v/>
      </c>
      <c r="V1156" s="26" t="n">
        <v>58.41</v>
      </c>
      <c r="W1156" s="26" t="n">
        <v>58.41</v>
      </c>
      <c r="X1156" s="26">
        <f>ROUND(('Methodology &amp; Assumptions'!$B$5*V1156) + ('Methodology &amp; Assumptions'!$B$6*W1156), 2)</f>
        <v/>
      </c>
      <c r="Y1156" s="28" t="n">
        <v>11</v>
      </c>
      <c r="Z1156" s="11" t="inlineStr">
        <is>
          <t>Priority Tier 3 (Broadband Expansion)</t>
        </is>
      </c>
    </row>
    <row r="1157">
      <c r="A1157" s="23" t="n">
        <v>5</v>
      </c>
      <c r="B1157" s="23" t="n">
        <v>153</v>
      </c>
      <c r="C1157" s="23" t="n">
        <v>4153</v>
      </c>
      <c r="D1157" s="23" t="inlineStr">
        <is>
          <t>0102805030</t>
        </is>
      </c>
      <c r="E1157" s="11" t="inlineStr">
        <is>
          <t>Region I (Ilocos Region)</t>
        </is>
      </c>
      <c r="F1157" s="11" t="inlineStr">
        <is>
          <t>Ilocos Norte</t>
        </is>
      </c>
      <c r="G1157" s="11" t="inlineStr">
        <is>
          <t>City of Batac</t>
        </is>
      </c>
      <c r="H1157" s="11" t="inlineStr">
        <is>
          <t>Ricarte Pob.</t>
        </is>
      </c>
      <c r="I1157" s="24" t="n">
        <v>18.056336</v>
      </c>
      <c r="J1157" s="24" t="n">
        <v>120.567843</v>
      </c>
      <c r="K1157" s="23" t="inlineStr">
        <is>
          <t>U</t>
        </is>
      </c>
      <c r="L1157" s="25" t="n">
        <v>777</v>
      </c>
      <c r="M1157" s="26" t="n">
        <v>3.7</v>
      </c>
      <c r="N1157" s="25">
        <f>ROUND(L1157/M1157, 0)</f>
        <v/>
      </c>
      <c r="O1157" s="25">
        <f>ROUND(N1157*'Methodology &amp; Assumptions'!$B$7, 0)</f>
        <v/>
      </c>
      <c r="P1157" s="23" t="inlineStr">
        <is>
          <t>Single Carrier (Band n50, 100MHz TDD)</t>
        </is>
      </c>
      <c r="Q1157" s="27">
        <f>ROUNDUP(O1157/'Methodology &amp; Assumptions'!$B$8, 0)</f>
        <v/>
      </c>
      <c r="R1157" s="27" t="n">
        <v>1</v>
      </c>
      <c r="S1157" s="26" t="n">
        <v>1.66</v>
      </c>
      <c r="T1157" s="26" t="n">
        <v>1.08</v>
      </c>
      <c r="U1157" s="11">
        <f>IF(S1157&lt;='Methodology &amp; Assumptions'!$B$10, "Direct Optical Drop (&lt;3km)", IF(S1157&lt;='Methodology &amp; Assumptions'!$B$9, "Near Optical / Microwave (&lt;5km)", "Starlink Business LEO Satellite Backhaul (&gt;5km)"))</f>
        <v/>
      </c>
      <c r="V1157" s="26" t="n">
        <v>55.61</v>
      </c>
      <c r="W1157" s="26" t="n">
        <v>61.21</v>
      </c>
      <c r="X1157" s="26">
        <f>ROUND(('Methodology &amp; Assumptions'!$B$5*V1157) + ('Methodology &amp; Assumptions'!$B$6*W1157), 2)</f>
        <v/>
      </c>
      <c r="Y1157" s="28" t="n">
        <v>8.300000000000001</v>
      </c>
      <c r="Z1157" s="11" t="inlineStr">
        <is>
          <t>Priority Tier 3 (Broadband Expansion)</t>
        </is>
      </c>
    </row>
    <row r="1158">
      <c r="A1158" s="23" t="n">
        <v>5</v>
      </c>
      <c r="B1158" s="23" t="n">
        <v>154</v>
      </c>
      <c r="C1158" s="23" t="n">
        <v>4154</v>
      </c>
      <c r="D1158" s="23" t="inlineStr">
        <is>
          <t>1208002016</t>
        </is>
      </c>
      <c r="E1158" s="11" t="inlineStr">
        <is>
          <t>Region XII (SOCCSKSARGEN)</t>
        </is>
      </c>
      <c r="F1158" s="11" t="inlineStr">
        <is>
          <t>Sarangani</t>
        </is>
      </c>
      <c r="G1158" s="11" t="inlineStr">
        <is>
          <t>Glan</t>
        </is>
      </c>
      <c r="H1158" s="11" t="inlineStr">
        <is>
          <t>Kaltuad</t>
        </is>
      </c>
      <c r="I1158" s="24" t="n">
        <v>5.728973</v>
      </c>
      <c r="J1158" s="24" t="n">
        <v>125.34428</v>
      </c>
      <c r="K1158" s="23" t="inlineStr">
        <is>
          <t>R</t>
        </is>
      </c>
      <c r="L1158" s="25" t="n">
        <v>2318</v>
      </c>
      <c r="M1158" s="26" t="n">
        <v>3.9</v>
      </c>
      <c r="N1158" s="25">
        <f>ROUND(L1158/M1158, 0)</f>
        <v/>
      </c>
      <c r="O1158" s="25">
        <f>ROUND(N1158*'Methodology &amp; Assumptions'!$B$7, 0)</f>
        <v/>
      </c>
      <c r="P1158" s="23" t="inlineStr">
        <is>
          <t>Single Carrier (Band n50, 100MHz TDD)</t>
        </is>
      </c>
      <c r="Q1158" s="27">
        <f>ROUNDUP(O1158/'Methodology &amp; Assumptions'!$B$8, 0)</f>
        <v/>
      </c>
      <c r="R1158" s="27" t="n">
        <v>1</v>
      </c>
      <c r="S1158" s="26" t="n">
        <v>42.45</v>
      </c>
      <c r="T1158" s="26" t="n">
        <v>46.73</v>
      </c>
      <c r="U1158" s="11">
        <f>IF(S1158&lt;='Methodology &amp; Assumptions'!$B$10, "Direct Optical Drop (&lt;3km)", IF(S1158&lt;='Methodology &amp; Assumptions'!$B$9, "Near Optical / Microwave (&lt;5km)", "Starlink Business LEO Satellite Backhaul (&gt;5km)"))</f>
        <v/>
      </c>
      <c r="V1158" s="26" t="n">
        <v>53.76</v>
      </c>
      <c r="W1158" s="26" t="n">
        <v>63.05</v>
      </c>
      <c r="X1158" s="26">
        <f>ROUND(('Methodology &amp; Assumptions'!$B$5*V1158) + ('Methodology &amp; Assumptions'!$B$6*W1158), 2)</f>
        <v/>
      </c>
      <c r="Y1158" s="28" t="n">
        <v>17.4</v>
      </c>
      <c r="Z1158" s="11" t="inlineStr">
        <is>
          <t>Priority Tier 3 (Broadband Expansion)</t>
        </is>
      </c>
    </row>
    <row r="1159">
      <c r="A1159" s="23" t="n">
        <v>5</v>
      </c>
      <c r="B1159" s="23" t="n">
        <v>155</v>
      </c>
      <c r="C1159" s="23" t="n">
        <v>4155</v>
      </c>
      <c r="D1159" s="23" t="inlineStr">
        <is>
          <t>1380606104</t>
        </is>
      </c>
      <c r="E1159" s="11" t="inlineStr">
        <is>
          <t>National Capital Region (NCR)</t>
        </is>
      </c>
      <c r="F1159" s="11" t="inlineStr">
        <is>
          <t>First District (Not a Province)</t>
        </is>
      </c>
      <c r="G1159" s="11" t="inlineStr">
        <is>
          <t>City of Manila</t>
        </is>
      </c>
      <c r="H1159" s="11" t="inlineStr">
        <is>
          <t>Barangay 498</t>
        </is>
      </c>
      <c r="I1159" s="24" t="n">
        <v>14.620536</v>
      </c>
      <c r="J1159" s="24" t="n">
        <v>120.992797</v>
      </c>
      <c r="K1159" s="23" t="inlineStr">
        <is>
          <t>U</t>
        </is>
      </c>
      <c r="L1159" s="25" t="n">
        <v>1029</v>
      </c>
      <c r="M1159" s="26" t="n">
        <v>4.17</v>
      </c>
      <c r="N1159" s="25">
        <f>ROUND(L1159/M1159, 0)</f>
        <v/>
      </c>
      <c r="O1159" s="25">
        <f>ROUND(N1159*'Methodology &amp; Assumptions'!$B$7, 0)</f>
        <v/>
      </c>
      <c r="P1159" s="23" t="inlineStr">
        <is>
          <t>Single Carrier (Band n50, 100MHz TDD)</t>
        </is>
      </c>
      <c r="Q1159" s="27">
        <f>ROUNDUP(O1159/'Methodology &amp; Assumptions'!$B$8, 0)</f>
        <v/>
      </c>
      <c r="R1159" s="27" t="n">
        <v>1</v>
      </c>
      <c r="S1159" s="26" t="n">
        <v>1.16</v>
      </c>
      <c r="T1159" s="26" t="n">
        <v>0.68</v>
      </c>
      <c r="U1159" s="11">
        <f>IF(S1159&lt;='Methodology &amp; Assumptions'!$B$10, "Direct Optical Drop (&lt;3km)", IF(S1159&lt;='Methodology &amp; Assumptions'!$B$9, "Near Optical / Microwave (&lt;5km)", "Starlink Business LEO Satellite Backhaul (&gt;5km)"))</f>
        <v/>
      </c>
      <c r="V1159" s="26" t="n">
        <v>47.8</v>
      </c>
      <c r="W1159" s="26" t="n">
        <v>69.02</v>
      </c>
      <c r="X1159" s="26">
        <f>ROUND(('Methodology &amp; Assumptions'!$B$5*V1159) + ('Methodology &amp; Assumptions'!$B$6*W1159), 2)</f>
        <v/>
      </c>
      <c r="Y1159" s="28" t="n">
        <v>10.9</v>
      </c>
      <c r="Z1159" s="11" t="inlineStr">
        <is>
          <t>Priority Tier 3 (Broadband Expansion)</t>
        </is>
      </c>
    </row>
    <row r="1160">
      <c r="A1160" s="23" t="n">
        <v>5</v>
      </c>
      <c r="B1160" s="23" t="n">
        <v>156</v>
      </c>
      <c r="C1160" s="23" t="n">
        <v>4156</v>
      </c>
      <c r="D1160" s="23" t="inlineStr">
        <is>
          <t>1003506013</t>
        </is>
      </c>
      <c r="E1160" s="11" t="inlineStr">
        <is>
          <t>Region X (Northern Mindanao)</t>
        </is>
      </c>
      <c r="F1160" s="11" t="inlineStr">
        <is>
          <t>Lanao del Norte</t>
        </is>
      </c>
      <c r="G1160" s="11" t="inlineStr">
        <is>
          <t>Sultan Naga Dimaporo</t>
        </is>
      </c>
      <c r="H1160" s="11" t="inlineStr">
        <is>
          <t>Ditago</t>
        </is>
      </c>
      <c r="I1160" s="24" t="n">
        <v>7.751614</v>
      </c>
      <c r="J1160" s="24" t="n">
        <v>123.778605</v>
      </c>
      <c r="K1160" s="23" t="inlineStr">
        <is>
          <t>R</t>
        </is>
      </c>
      <c r="L1160" s="25" t="n">
        <v>955</v>
      </c>
      <c r="M1160" s="26" t="n">
        <v>4.2</v>
      </c>
      <c r="N1160" s="25">
        <f>ROUND(L1160/M1160, 0)</f>
        <v/>
      </c>
      <c r="O1160" s="25">
        <f>ROUND(N1160*'Methodology &amp; Assumptions'!$B$7, 0)</f>
        <v/>
      </c>
      <c r="P1160" s="23" t="inlineStr">
        <is>
          <t>Single Carrier (Band n50, 100MHz TDD)</t>
        </is>
      </c>
      <c r="Q1160" s="27">
        <f>ROUNDUP(O1160/'Methodology &amp; Assumptions'!$B$8, 0)</f>
        <v/>
      </c>
      <c r="R1160" s="27" t="n">
        <v>1</v>
      </c>
      <c r="S1160" s="26" t="n">
        <v>30.79</v>
      </c>
      <c r="T1160" s="26" t="n">
        <v>15.44</v>
      </c>
      <c r="U1160" s="11">
        <f>IF(S1160&lt;='Methodology &amp; Assumptions'!$B$10, "Direct Optical Drop (&lt;3km)", IF(S1160&lt;='Methodology &amp; Assumptions'!$B$9, "Near Optical / Microwave (&lt;5km)", "Starlink Business LEO Satellite Backhaul (&gt;5km)"))</f>
        <v/>
      </c>
      <c r="V1160" s="26" t="n">
        <v>42.3</v>
      </c>
      <c r="W1160" s="26" t="n">
        <v>74.51000000000001</v>
      </c>
      <c r="X1160" s="26">
        <f>ROUND(('Methodology &amp; Assumptions'!$B$5*V1160) + ('Methodology &amp; Assumptions'!$B$6*W1160), 2)</f>
        <v/>
      </c>
      <c r="Y1160" s="28" t="n">
        <v>17.4</v>
      </c>
      <c r="Z1160" s="11" t="inlineStr">
        <is>
          <t>Priority Tier 3 (Broadband Expansion)</t>
        </is>
      </c>
    </row>
    <row r="1161">
      <c r="A1161" s="23" t="n">
        <v>5</v>
      </c>
      <c r="B1161" s="23" t="n">
        <v>157</v>
      </c>
      <c r="C1161" s="23" t="n">
        <v>4157</v>
      </c>
      <c r="D1161" s="23" t="inlineStr">
        <is>
          <t>0704619020</t>
        </is>
      </c>
      <c r="E1161" s="11" t="inlineStr">
        <is>
          <t>Region VII (Central Visayas)</t>
        </is>
      </c>
      <c r="F1161" s="11" t="inlineStr">
        <is>
          <t>Negros Oriental</t>
        </is>
      </c>
      <c r="G1161" s="11" t="inlineStr">
        <is>
          <t>Siaton</t>
        </is>
      </c>
      <c r="H1161" s="11" t="inlineStr">
        <is>
          <t>Poblacion III</t>
        </is>
      </c>
      <c r="I1161" s="24" t="n">
        <v>9.05836</v>
      </c>
      <c r="J1161" s="24" t="n">
        <v>123.03464</v>
      </c>
      <c r="K1161" s="23" t="inlineStr">
        <is>
          <t>R</t>
        </is>
      </c>
      <c r="L1161" s="25" t="n">
        <v>3757</v>
      </c>
      <c r="M1161" s="26" t="n">
        <v>3.8</v>
      </c>
      <c r="N1161" s="25">
        <f>ROUND(L1161/M1161, 0)</f>
        <v/>
      </c>
      <c r="O1161" s="25">
        <f>ROUND(N1161*'Methodology &amp; Assumptions'!$B$7, 0)</f>
        <v/>
      </c>
      <c r="P1161" s="23" t="inlineStr">
        <is>
          <t>Single Carrier (Band n50, 100MHz TDD)</t>
        </is>
      </c>
      <c r="Q1161" s="27">
        <f>ROUNDUP(O1161/'Methodology &amp; Assumptions'!$B$8, 0)</f>
        <v/>
      </c>
      <c r="R1161" s="27" t="n">
        <v>1</v>
      </c>
      <c r="S1161" s="26" t="n">
        <v>0.48</v>
      </c>
      <c r="T1161" s="26" t="n">
        <v>0.48</v>
      </c>
      <c r="U1161" s="11">
        <f>IF(S1161&lt;='Methodology &amp; Assumptions'!$B$10, "Direct Optical Drop (&lt;3km)", IF(S1161&lt;='Methodology &amp; Assumptions'!$B$9, "Near Optical / Microwave (&lt;5km)", "Starlink Business LEO Satellite Backhaul (&gt;5km)"))</f>
        <v/>
      </c>
      <c r="V1161" s="26" t="n">
        <v>88.06</v>
      </c>
      <c r="W1161" s="26" t="n">
        <v>28.75</v>
      </c>
      <c r="X1161" s="26">
        <f>ROUND(('Methodology &amp; Assumptions'!$B$5*V1161) + ('Methodology &amp; Assumptions'!$B$6*W1161), 2)</f>
        <v/>
      </c>
      <c r="Y1161" s="28" t="n">
        <v>23.7</v>
      </c>
      <c r="Z1161" s="11" t="inlineStr">
        <is>
          <t>Priority Tier 3 (Broadband Expansion)</t>
        </is>
      </c>
    </row>
    <row r="1162">
      <c r="A1162" s="23" t="n">
        <v>5</v>
      </c>
      <c r="B1162" s="23" t="n">
        <v>158</v>
      </c>
      <c r="C1162" s="23" t="n">
        <v>4158</v>
      </c>
      <c r="D1162" s="23" t="inlineStr">
        <is>
          <t>0300802006</t>
        </is>
      </c>
      <c r="E1162" s="11" t="inlineStr">
        <is>
          <t>Region III (Central Luzon)</t>
        </is>
      </c>
      <c r="F1162" s="11" t="inlineStr">
        <is>
          <t>Bataan</t>
        </is>
      </c>
      <c r="G1162" s="11" t="inlineStr">
        <is>
          <t>Bagac</t>
        </is>
      </c>
      <c r="H1162" s="11" t="inlineStr">
        <is>
          <t>Ibaba</t>
        </is>
      </c>
      <c r="I1162" s="24" t="n">
        <v>14.596513</v>
      </c>
      <c r="J1162" s="24" t="n">
        <v>120.391943</v>
      </c>
      <c r="K1162" s="23" t="inlineStr">
        <is>
          <t>R</t>
        </is>
      </c>
      <c r="L1162" s="25" t="n">
        <v>2006</v>
      </c>
      <c r="M1162" s="26" t="n">
        <v>3.6</v>
      </c>
      <c r="N1162" s="25">
        <f>ROUND(L1162/M1162, 0)</f>
        <v/>
      </c>
      <c r="O1162" s="25">
        <f>ROUND(N1162*'Methodology &amp; Assumptions'!$B$7, 0)</f>
        <v/>
      </c>
      <c r="P1162" s="23" t="inlineStr">
        <is>
          <t>Single Carrier (Band n50, 100MHz TDD)</t>
        </is>
      </c>
      <c r="Q1162" s="27">
        <f>ROUNDUP(O1162/'Methodology &amp; Assumptions'!$B$8, 0)</f>
        <v/>
      </c>
      <c r="R1162" s="27" t="n">
        <v>1</v>
      </c>
      <c r="S1162" s="26" t="n">
        <v>1.21</v>
      </c>
      <c r="T1162" s="26" t="n">
        <v>0.44</v>
      </c>
      <c r="U1162" s="11">
        <f>IF(S1162&lt;='Methodology &amp; Assumptions'!$B$10, "Direct Optical Drop (&lt;3km)", IF(S1162&lt;='Methodology &amp; Assumptions'!$B$9, "Near Optical / Microwave (&lt;5km)", "Starlink Business LEO Satellite Backhaul (&gt;5km)"))</f>
        <v/>
      </c>
      <c r="V1162" s="26" t="n">
        <v>75.69</v>
      </c>
      <c r="W1162" s="26" t="n">
        <v>41.12</v>
      </c>
      <c r="X1162" s="26">
        <f>ROUND(('Methodology &amp; Assumptions'!$B$5*V1162) + ('Methodology &amp; Assumptions'!$B$6*W1162), 2)</f>
        <v/>
      </c>
      <c r="Y1162" s="28" t="n">
        <v>8.300000000000001</v>
      </c>
      <c r="Z1162" s="11" t="inlineStr">
        <is>
          <t>Priority Tier 3 (Broadband Expansion)</t>
        </is>
      </c>
    </row>
    <row r="1163">
      <c r="A1163" s="23" t="n">
        <v>5</v>
      </c>
      <c r="B1163" s="23" t="n">
        <v>159</v>
      </c>
      <c r="C1163" s="23" t="n">
        <v>4159</v>
      </c>
      <c r="D1163" s="23" t="inlineStr">
        <is>
          <t>0305417006</t>
        </is>
      </c>
      <c r="E1163" s="11" t="inlineStr">
        <is>
          <t>Region III (Central Luzon)</t>
        </is>
      </c>
      <c r="F1163" s="11" t="inlineStr">
        <is>
          <t>Pampanga</t>
        </is>
      </c>
      <c r="G1163" s="11" t="inlineStr">
        <is>
          <t>San Luis</t>
        </is>
      </c>
      <c r="H1163" s="11" t="inlineStr">
        <is>
          <t>San Nicolas</t>
        </is>
      </c>
      <c r="I1163" s="24" t="n">
        <v>15.04225</v>
      </c>
      <c r="J1163" s="24" t="n">
        <v>120.795</v>
      </c>
      <c r="K1163" s="23" t="inlineStr">
        <is>
          <t>R</t>
        </is>
      </c>
      <c r="L1163" s="25" t="n">
        <v>1941</v>
      </c>
      <c r="M1163" s="26" t="n">
        <v>4</v>
      </c>
      <c r="N1163" s="25">
        <f>ROUND(L1163/M1163, 0)</f>
        <v/>
      </c>
      <c r="O1163" s="25">
        <f>ROUND(N1163*'Methodology &amp; Assumptions'!$B$7, 0)</f>
        <v/>
      </c>
      <c r="P1163" s="23" t="inlineStr">
        <is>
          <t>Single Carrier (Band n50, 100MHz TDD)</t>
        </is>
      </c>
      <c r="Q1163" s="27">
        <f>ROUNDUP(O1163/'Methodology &amp; Assumptions'!$B$8, 0)</f>
        <v/>
      </c>
      <c r="R1163" s="27" t="n">
        <v>1</v>
      </c>
      <c r="S1163" s="26" t="n">
        <v>0.78</v>
      </c>
      <c r="T1163" s="26" t="n">
        <v>0.57</v>
      </c>
      <c r="U1163" s="11">
        <f>IF(S1163&lt;='Methodology &amp; Assumptions'!$B$10, "Direct Optical Drop (&lt;3km)", IF(S1163&lt;='Methodology &amp; Assumptions'!$B$9, "Near Optical / Microwave (&lt;5km)", "Starlink Business LEO Satellite Backhaul (&gt;5km)"))</f>
        <v/>
      </c>
      <c r="V1163" s="26" t="n">
        <v>74.84</v>
      </c>
      <c r="W1163" s="26" t="n">
        <v>41.95</v>
      </c>
      <c r="X1163" s="26">
        <f>ROUND(('Methodology &amp; Assumptions'!$B$5*V1163) + ('Methodology &amp; Assumptions'!$B$6*W1163), 2)</f>
        <v/>
      </c>
      <c r="Y1163" s="28" t="n">
        <v>8.300000000000001</v>
      </c>
      <c r="Z1163" s="11" t="inlineStr">
        <is>
          <t>Priority Tier 3 (Broadband Expansion)</t>
        </is>
      </c>
    </row>
    <row r="1164">
      <c r="A1164" s="23" t="n">
        <v>5</v>
      </c>
      <c r="B1164" s="23" t="n">
        <v>160</v>
      </c>
      <c r="C1164" s="23" t="n">
        <v>4160</v>
      </c>
      <c r="D1164" s="23" t="inlineStr">
        <is>
          <t>0401012020</t>
        </is>
      </c>
      <c r="E1164" s="11" t="inlineStr">
        <is>
          <t>Region IV-A (CALABARZON)</t>
        </is>
      </c>
      <c r="F1164" s="11" t="inlineStr">
        <is>
          <t>Batangas</t>
        </is>
      </c>
      <c r="G1164" s="11" t="inlineStr">
        <is>
          <t>Lemery</t>
        </is>
      </c>
      <c r="H1164" s="11" t="inlineStr">
        <is>
          <t>Maligaya</t>
        </is>
      </c>
      <c r="I1164" s="24" t="n">
        <v>13.8774</v>
      </c>
      <c r="J1164" s="24" t="n">
        <v>120.9123</v>
      </c>
      <c r="K1164" s="23" t="inlineStr">
        <is>
          <t>R</t>
        </is>
      </c>
      <c r="L1164" s="25" t="n">
        <v>1086</v>
      </c>
      <c r="M1164" s="26" t="n">
        <v>3.6</v>
      </c>
      <c r="N1164" s="25">
        <f>ROUND(L1164/M1164, 0)</f>
        <v/>
      </c>
      <c r="O1164" s="25">
        <f>ROUND(N1164*'Methodology &amp; Assumptions'!$B$7, 0)</f>
        <v/>
      </c>
      <c r="P1164" s="23" t="inlineStr">
        <is>
          <t>Single Carrier (Band n50, 100MHz TDD)</t>
        </is>
      </c>
      <c r="Q1164" s="27">
        <f>ROUNDUP(O1164/'Methodology &amp; Assumptions'!$B$8, 0)</f>
        <v/>
      </c>
      <c r="R1164" s="27" t="n">
        <v>1</v>
      </c>
      <c r="S1164" s="26" t="n">
        <v>0.54</v>
      </c>
      <c r="T1164" s="26" t="n">
        <v>2.12</v>
      </c>
      <c r="U1164" s="11">
        <f>IF(S1164&lt;='Methodology &amp; Assumptions'!$B$10, "Direct Optical Drop (&lt;3km)", IF(S1164&lt;='Methodology &amp; Assumptions'!$B$9, "Near Optical / Microwave (&lt;5km)", "Starlink Business LEO Satellite Backhaul (&gt;5km)"))</f>
        <v/>
      </c>
      <c r="V1164" s="26" t="n">
        <v>66.48</v>
      </c>
      <c r="W1164" s="26" t="n">
        <v>50.31</v>
      </c>
      <c r="X1164" s="26">
        <f>ROUND(('Methodology &amp; Assumptions'!$B$5*V1164) + ('Methodology &amp; Assumptions'!$B$6*W1164), 2)</f>
        <v/>
      </c>
      <c r="Y1164" s="28" t="n">
        <v>7.2</v>
      </c>
      <c r="Z1164" s="11" t="inlineStr">
        <is>
          <t>Priority Tier 3 (Broadband Expansion)</t>
        </is>
      </c>
    </row>
    <row r="1165">
      <c r="A1165" s="23" t="n">
        <v>5</v>
      </c>
      <c r="B1165" s="23" t="n">
        <v>161</v>
      </c>
      <c r="C1165" s="23" t="n">
        <v>4161</v>
      </c>
      <c r="D1165" s="23" t="inlineStr">
        <is>
          <t>0304903100</t>
        </is>
      </c>
      <c r="E1165" s="11" t="inlineStr">
        <is>
          <t>Region III (Central Luzon)</t>
        </is>
      </c>
      <c r="F1165" s="11" t="inlineStr">
        <is>
          <t>Nueva Ecija</t>
        </is>
      </c>
      <c r="G1165" s="11" t="inlineStr">
        <is>
          <t>City of Cabanatuan</t>
        </is>
      </c>
      <c r="H1165" s="11" t="inlineStr">
        <is>
          <t>Santo Niño</t>
        </is>
      </c>
      <c r="I1165" s="24" t="n">
        <v>15.585783</v>
      </c>
      <c r="J1165" s="24" t="n">
        <v>120.924577</v>
      </c>
      <c r="K1165" s="23" t="inlineStr">
        <is>
          <t>R</t>
        </is>
      </c>
      <c r="L1165" s="25" t="n">
        <v>2121</v>
      </c>
      <c r="M1165" s="26" t="n">
        <v>3.5</v>
      </c>
      <c r="N1165" s="25">
        <f>ROUND(L1165/M1165, 0)</f>
        <v/>
      </c>
      <c r="O1165" s="25">
        <f>ROUND(N1165*'Methodology &amp; Assumptions'!$B$7, 0)</f>
        <v/>
      </c>
      <c r="P1165" s="23" t="inlineStr">
        <is>
          <t>Single Carrier (Band n50, 100MHz TDD)</t>
        </is>
      </c>
      <c r="Q1165" s="27">
        <f>ROUNDUP(O1165/'Methodology &amp; Assumptions'!$B$8, 0)</f>
        <v/>
      </c>
      <c r="R1165" s="27" t="n">
        <v>1</v>
      </c>
      <c r="S1165" s="26" t="n">
        <v>0.71</v>
      </c>
      <c r="T1165" s="26" t="n">
        <v>0.52</v>
      </c>
      <c r="U1165" s="11">
        <f>IF(S1165&lt;='Methodology &amp; Assumptions'!$B$10, "Direct Optical Drop (&lt;3km)", IF(S1165&lt;='Methodology &amp; Assumptions'!$B$9, "Near Optical / Microwave (&lt;5km)", "Starlink Business LEO Satellite Backhaul (&gt;5km)"))</f>
        <v/>
      </c>
      <c r="V1165" s="26" t="n">
        <v>78.73999999999999</v>
      </c>
      <c r="W1165" s="26" t="n">
        <v>38.05</v>
      </c>
      <c r="X1165" s="26">
        <f>ROUND(('Methodology &amp; Assumptions'!$B$5*V1165) + ('Methodology &amp; Assumptions'!$B$6*W1165), 2)</f>
        <v/>
      </c>
      <c r="Y1165" s="28" t="n">
        <v>8.300000000000001</v>
      </c>
      <c r="Z1165" s="11" t="inlineStr">
        <is>
          <t>Priority Tier 3 (Broadband Expansion)</t>
        </is>
      </c>
    </row>
    <row r="1166">
      <c r="A1166" s="23" t="n">
        <v>5</v>
      </c>
      <c r="B1166" s="23" t="n">
        <v>162</v>
      </c>
      <c r="C1166" s="23" t="n">
        <v>4162</v>
      </c>
      <c r="D1166" s="23" t="inlineStr">
        <is>
          <t>1206318009</t>
        </is>
      </c>
      <c r="E1166" s="11" t="inlineStr">
        <is>
          <t>Region XII (SOCCSKSARGEN)</t>
        </is>
      </c>
      <c r="F1166" s="11" t="inlineStr">
        <is>
          <t>South Cotabato</t>
        </is>
      </c>
      <c r="G1166" s="11" t="inlineStr">
        <is>
          <t>Santo Niño</t>
        </is>
      </c>
      <c r="H1166" s="11" t="inlineStr">
        <is>
          <t>Teresita</t>
        </is>
      </c>
      <c r="I1166" s="24" t="n">
        <v>17.890137</v>
      </c>
      <c r="J1166" s="24" t="n">
        <v>121.565536</v>
      </c>
      <c r="K1166" s="23" t="inlineStr">
        <is>
          <t>R</t>
        </is>
      </c>
      <c r="L1166" s="25" t="n">
        <v>2487</v>
      </c>
      <c r="M1166" s="26" t="n">
        <v>3.6</v>
      </c>
      <c r="N1166" s="25">
        <f>ROUND(L1166/M1166, 0)</f>
        <v/>
      </c>
      <c r="O1166" s="25">
        <f>ROUND(N1166*'Methodology &amp; Assumptions'!$B$7, 0)</f>
        <v/>
      </c>
      <c r="P1166" s="23" t="inlineStr">
        <is>
          <t>Single Carrier (Band n50, 100MHz TDD)</t>
        </is>
      </c>
      <c r="Q1166" s="27">
        <f>ROUNDUP(O1166/'Methodology &amp; Assumptions'!$B$8, 0)</f>
        <v/>
      </c>
      <c r="R1166" s="27" t="n">
        <v>1</v>
      </c>
      <c r="S1166" s="26" t="n">
        <v>0.79</v>
      </c>
      <c r="T1166" s="26" t="n">
        <v>8.220000000000001</v>
      </c>
      <c r="U1166" s="11">
        <f>IF(S1166&lt;='Methodology &amp; Assumptions'!$B$10, "Direct Optical Drop (&lt;3km)", IF(S1166&lt;='Methodology &amp; Assumptions'!$B$9, "Near Optical / Microwave (&lt;5km)", "Starlink Business LEO Satellite Backhaul (&gt;5km)"))</f>
        <v/>
      </c>
      <c r="V1166" s="26" t="n">
        <v>78.73</v>
      </c>
      <c r="W1166" s="26" t="n">
        <v>38.05</v>
      </c>
      <c r="X1166" s="26">
        <f>ROUND(('Methodology &amp; Assumptions'!$B$5*V1166) + ('Methodology &amp; Assumptions'!$B$6*W1166), 2)</f>
        <v/>
      </c>
      <c r="Y1166" s="28" t="n">
        <v>17.4</v>
      </c>
      <c r="Z1166" s="11" t="inlineStr">
        <is>
          <t>Priority Tier 3 (Broadband Expansion)</t>
        </is>
      </c>
    </row>
    <row r="1167">
      <c r="A1167" s="23" t="n">
        <v>5</v>
      </c>
      <c r="B1167" s="23" t="n">
        <v>163</v>
      </c>
      <c r="C1167" s="23" t="n">
        <v>4163</v>
      </c>
      <c r="D1167" s="23" t="inlineStr">
        <is>
          <t>1102412011</t>
        </is>
      </c>
      <c r="E1167" s="11" t="inlineStr">
        <is>
          <t>Region XI (Davao Region)</t>
        </is>
      </c>
      <c r="F1167" s="11" t="inlineStr">
        <is>
          <t>Davao del Sur</t>
        </is>
      </c>
      <c r="G1167" s="11" t="inlineStr">
        <is>
          <t>Santa Cruz</t>
        </is>
      </c>
      <c r="H1167" s="11" t="inlineStr">
        <is>
          <t>Zone I</t>
        </is>
      </c>
      <c r="I1167" s="24" t="n">
        <v>6.86391</v>
      </c>
      <c r="J1167" s="24" t="n">
        <v>125.41792</v>
      </c>
      <c r="K1167" s="23" t="inlineStr">
        <is>
          <t>U</t>
        </is>
      </c>
      <c r="L1167" s="25" t="n">
        <v>9351</v>
      </c>
      <c r="M1167" s="26" t="n">
        <v>3.4</v>
      </c>
      <c r="N1167" s="25">
        <f>ROUND(L1167/M1167, 0)</f>
        <v/>
      </c>
      <c r="O1167" s="25">
        <f>ROUND(N1167*'Methodology &amp; Assumptions'!$B$7, 0)</f>
        <v/>
      </c>
      <c r="P1167" s="23" t="inlineStr">
        <is>
          <t>Single Carrier (Band n50, 100MHz TDD)</t>
        </is>
      </c>
      <c r="Q1167" s="27">
        <f>ROUNDUP(O1167/'Methodology &amp; Assumptions'!$B$8, 0)</f>
        <v/>
      </c>
      <c r="R1167" s="27" t="n">
        <v>1</v>
      </c>
      <c r="S1167" s="26" t="n">
        <v>2.67</v>
      </c>
      <c r="T1167" s="26" t="n">
        <v>1.43</v>
      </c>
      <c r="U1167" s="11">
        <f>IF(S1167&lt;='Methodology &amp; Assumptions'!$B$10, "Direct Optical Drop (&lt;3km)", IF(S1167&lt;='Methodology &amp; Assumptions'!$B$9, "Near Optical / Microwave (&lt;5km)", "Starlink Business LEO Satellite Backhaul (&gt;5km)"))</f>
        <v/>
      </c>
      <c r="V1167" s="26" t="n">
        <v>73.42</v>
      </c>
      <c r="W1167" s="26" t="n">
        <v>43.37</v>
      </c>
      <c r="X1167" s="26">
        <f>ROUND(('Methodology &amp; Assumptions'!$B$5*V1167) + ('Methodology &amp; Assumptions'!$B$6*W1167), 2)</f>
        <v/>
      </c>
      <c r="Y1167" s="28" t="n">
        <v>17.4</v>
      </c>
      <c r="Z1167" s="11" t="inlineStr">
        <is>
          <t>Priority Tier 3 (Broadband Expansion)</t>
        </is>
      </c>
    </row>
    <row r="1168">
      <c r="A1168" s="23" t="n">
        <v>5</v>
      </c>
      <c r="B1168" s="23" t="n">
        <v>164</v>
      </c>
      <c r="C1168" s="23" t="n">
        <v>4164</v>
      </c>
      <c r="D1168" s="23" t="inlineStr">
        <is>
          <t>0403411007</t>
        </is>
      </c>
      <c r="E1168" s="11" t="inlineStr">
        <is>
          <t>Region IV-A (CALABARZON)</t>
        </is>
      </c>
      <c r="F1168" s="11" t="inlineStr">
        <is>
          <t>Laguna</t>
        </is>
      </c>
      <c r="G1168" s="11" t="inlineStr">
        <is>
          <t>Los Baños</t>
        </is>
      </c>
      <c r="H1168" s="11" t="inlineStr">
        <is>
          <t>Lalakay</t>
        </is>
      </c>
      <c r="I1168" s="24" t="n">
        <v>14.172811</v>
      </c>
      <c r="J1168" s="24" t="n">
        <v>121.214097</v>
      </c>
      <c r="K1168" s="23" t="inlineStr">
        <is>
          <t>U</t>
        </is>
      </c>
      <c r="L1168" s="25" t="n">
        <v>4641</v>
      </c>
      <c r="M1168" s="26" t="n">
        <v>3.3</v>
      </c>
      <c r="N1168" s="25">
        <f>ROUND(L1168/M1168, 0)</f>
        <v/>
      </c>
      <c r="O1168" s="25">
        <f>ROUND(N1168*'Methodology &amp; Assumptions'!$B$7, 0)</f>
        <v/>
      </c>
      <c r="P1168" s="23" t="inlineStr">
        <is>
          <t>Single Carrier (Band n50, 100MHz TDD)</t>
        </is>
      </c>
      <c r="Q1168" s="27">
        <f>ROUNDUP(O1168/'Methodology &amp; Assumptions'!$B$8, 0)</f>
        <v/>
      </c>
      <c r="R1168" s="27" t="n">
        <v>1</v>
      </c>
      <c r="S1168" s="26" t="n">
        <v>3.13</v>
      </c>
      <c r="T1168" s="26" t="n">
        <v>0.09</v>
      </c>
      <c r="U1168" s="11">
        <f>IF(S1168&lt;='Methodology &amp; Assumptions'!$B$10, "Direct Optical Drop (&lt;3km)", IF(S1168&lt;='Methodology &amp; Assumptions'!$B$9, "Near Optical / Microwave (&lt;5km)", "Starlink Business LEO Satellite Backhaul (&gt;5km)"))</f>
        <v/>
      </c>
      <c r="V1168" s="26" t="n">
        <v>70.52</v>
      </c>
      <c r="W1168" s="26" t="n">
        <v>46.27</v>
      </c>
      <c r="X1168" s="26">
        <f>ROUND(('Methodology &amp; Assumptions'!$B$5*V1168) + ('Methodology &amp; Assumptions'!$B$6*W1168), 2)</f>
        <v/>
      </c>
      <c r="Y1168" s="28" t="n">
        <v>7.2</v>
      </c>
      <c r="Z1168" s="11" t="inlineStr">
        <is>
          <t>Priority Tier 3 (Broadband Expansion)</t>
        </is>
      </c>
    </row>
    <row r="1169">
      <c r="A1169" s="23" t="n">
        <v>5</v>
      </c>
      <c r="B1169" s="23" t="n">
        <v>165</v>
      </c>
      <c r="C1169" s="23" t="n">
        <v>4165</v>
      </c>
      <c r="D1169" s="23" t="inlineStr">
        <is>
          <t>0102903031</t>
        </is>
      </c>
      <c r="E1169" s="11" t="inlineStr">
        <is>
          <t>Region I (Ilocos Region)</t>
        </is>
      </c>
      <c r="F1169" s="11" t="inlineStr">
        <is>
          <t>Ilocos Sur</t>
        </is>
      </c>
      <c r="G1169" s="11" t="inlineStr">
        <is>
          <t>Bantay</t>
        </is>
      </c>
      <c r="H1169" s="11" t="inlineStr">
        <is>
          <t>Barangay 2</t>
        </is>
      </c>
      <c r="I1169" s="24" t="n">
        <v>17.583929</v>
      </c>
      <c r="J1169" s="24" t="n">
        <v>120.387504</v>
      </c>
      <c r="K1169" s="23" t="inlineStr">
        <is>
          <t>R</t>
        </is>
      </c>
      <c r="L1169" s="25" t="n">
        <v>518</v>
      </c>
      <c r="M1169" s="26" t="n">
        <v>3.8</v>
      </c>
      <c r="N1169" s="25">
        <f>ROUND(L1169/M1169, 0)</f>
        <v/>
      </c>
      <c r="O1169" s="25">
        <f>ROUND(N1169*'Methodology &amp; Assumptions'!$B$7, 0)</f>
        <v/>
      </c>
      <c r="P1169" s="23" t="inlineStr">
        <is>
          <t>Single Carrier (Band n50, 100MHz TDD)</t>
        </is>
      </c>
      <c r="Q1169" s="27">
        <f>ROUNDUP(O1169/'Methodology &amp; Assumptions'!$B$8, 0)</f>
        <v/>
      </c>
      <c r="R1169" s="27" t="n">
        <v>1</v>
      </c>
      <c r="S1169" s="26" t="n">
        <v>1.12</v>
      </c>
      <c r="T1169" s="26" t="n">
        <v>0.59</v>
      </c>
      <c r="U1169" s="11">
        <f>IF(S1169&lt;='Methodology &amp; Assumptions'!$B$10, "Direct Optical Drop (&lt;3km)", IF(S1169&lt;='Methodology &amp; Assumptions'!$B$9, "Near Optical / Microwave (&lt;5km)", "Starlink Business LEO Satellite Backhaul (&gt;5km)"))</f>
        <v/>
      </c>
      <c r="V1169" s="26" t="n">
        <v>62.41</v>
      </c>
      <c r="W1169" s="26" t="n">
        <v>54.38</v>
      </c>
      <c r="X1169" s="26">
        <f>ROUND(('Methodology &amp; Assumptions'!$B$5*V1169) + ('Methodology &amp; Assumptions'!$B$6*W1169), 2)</f>
        <v/>
      </c>
      <c r="Y1169" s="28" t="n">
        <v>8.300000000000001</v>
      </c>
      <c r="Z1169" s="11" t="inlineStr">
        <is>
          <t>Priority Tier 3 (Broadband Expansion)</t>
        </is>
      </c>
    </row>
    <row r="1170">
      <c r="A1170" s="23" t="n">
        <v>5</v>
      </c>
      <c r="B1170" s="23" t="n">
        <v>166</v>
      </c>
      <c r="C1170" s="23" t="n">
        <v>4166</v>
      </c>
      <c r="D1170" s="23" t="inlineStr">
        <is>
          <t>1380601248</t>
        </is>
      </c>
      <c r="E1170" s="11" t="inlineStr">
        <is>
          <t>National Capital Region (NCR)</t>
        </is>
      </c>
      <c r="F1170" s="11" t="inlineStr">
        <is>
          <t>First District (Not a Province)</t>
        </is>
      </c>
      <c r="G1170" s="11" t="inlineStr">
        <is>
          <t>City of Manila</t>
        </is>
      </c>
      <c r="H1170" s="11" t="inlineStr">
        <is>
          <t>Barangay 247</t>
        </is>
      </c>
      <c r="I1170" s="24" t="n">
        <v>14.607359</v>
      </c>
      <c r="J1170" s="24" t="n">
        <v>120.97383</v>
      </c>
      <c r="K1170" s="23" t="inlineStr">
        <is>
          <t>U</t>
        </is>
      </c>
      <c r="L1170" s="25" t="n">
        <v>876</v>
      </c>
      <c r="M1170" s="26" t="n">
        <v>4.23</v>
      </c>
      <c r="N1170" s="25">
        <f>ROUND(L1170/M1170, 0)</f>
        <v/>
      </c>
      <c r="O1170" s="25">
        <f>ROUND(N1170*'Methodology &amp; Assumptions'!$B$7, 0)</f>
        <v/>
      </c>
      <c r="P1170" s="23" t="inlineStr">
        <is>
          <t>Single Carrier (Band n50, 100MHz TDD)</t>
        </is>
      </c>
      <c r="Q1170" s="27">
        <f>ROUNDUP(O1170/'Methodology &amp; Assumptions'!$B$8, 0)</f>
        <v/>
      </c>
      <c r="R1170" s="27" t="n">
        <v>1</v>
      </c>
      <c r="S1170" s="26" t="n">
        <v>0.45</v>
      </c>
      <c r="T1170" s="26" t="n">
        <v>0.16</v>
      </c>
      <c r="U1170" s="11">
        <f>IF(S1170&lt;='Methodology &amp; Assumptions'!$B$10, "Direct Optical Drop (&lt;3km)", IF(S1170&lt;='Methodology &amp; Assumptions'!$B$9, "Near Optical / Microwave (&lt;5km)", "Starlink Business LEO Satellite Backhaul (&gt;5km)"))</f>
        <v/>
      </c>
      <c r="V1170" s="26" t="n">
        <v>47.73</v>
      </c>
      <c r="W1170" s="26" t="n">
        <v>69.05</v>
      </c>
      <c r="X1170" s="26">
        <f>ROUND(('Methodology &amp; Assumptions'!$B$5*V1170) + ('Methodology &amp; Assumptions'!$B$6*W1170), 2)</f>
        <v/>
      </c>
      <c r="Y1170" s="28" t="n">
        <v>10.9</v>
      </c>
      <c r="Z1170" s="11" t="inlineStr">
        <is>
          <t>Priority Tier 3 (Broadband Expansion)</t>
        </is>
      </c>
    </row>
    <row r="1171">
      <c r="A1171" s="23" t="n">
        <v>5</v>
      </c>
      <c r="B1171" s="23" t="n">
        <v>167</v>
      </c>
      <c r="C1171" s="23" t="n">
        <v>4167</v>
      </c>
      <c r="D1171" s="23" t="inlineStr">
        <is>
          <t>0301423021</t>
        </is>
      </c>
      <c r="E1171" s="11" t="inlineStr">
        <is>
          <t>Region III (Central Luzon)</t>
        </is>
      </c>
      <c r="F1171" s="11" t="inlineStr">
        <is>
          <t>Bulacan</t>
        </is>
      </c>
      <c r="G1171" s="11" t="inlineStr">
        <is>
          <t>Santa Maria</t>
        </is>
      </c>
      <c r="H1171" s="11" t="inlineStr">
        <is>
          <t>Sta. Clara</t>
        </is>
      </c>
      <c r="I1171" s="24" t="n">
        <v>14.825868</v>
      </c>
      <c r="J1171" s="24" t="n">
        <v>120.953032</v>
      </c>
      <c r="K1171" s="23" t="inlineStr">
        <is>
          <t>U</t>
        </is>
      </c>
      <c r="L1171" s="25" t="n">
        <v>12981</v>
      </c>
      <c r="M1171" s="26" t="n">
        <v>3.5</v>
      </c>
      <c r="N1171" s="25">
        <f>ROUND(L1171/M1171, 0)</f>
        <v/>
      </c>
      <c r="O1171" s="25">
        <f>ROUND(N1171*'Methodology &amp; Assumptions'!$B$7, 0)</f>
        <v/>
      </c>
      <c r="P1171" s="23" t="inlineStr">
        <is>
          <t>Single Carrier (Band n50, 100MHz TDD)</t>
        </is>
      </c>
      <c r="Q1171" s="27">
        <f>ROUNDUP(O1171/'Methodology &amp; Assumptions'!$B$8, 0)</f>
        <v/>
      </c>
      <c r="R1171" s="27" t="n">
        <v>1</v>
      </c>
      <c r="S1171" s="26" t="n">
        <v>1.23</v>
      </c>
      <c r="T1171" s="26" t="n">
        <v>0.11</v>
      </c>
      <c r="U1171" s="11">
        <f>IF(S1171&lt;='Methodology &amp; Assumptions'!$B$10, "Direct Optical Drop (&lt;3km)", IF(S1171&lt;='Methodology &amp; Assumptions'!$B$9, "Near Optical / Microwave (&lt;5km)", "Starlink Business LEO Satellite Backhaul (&gt;5km)"))</f>
        <v/>
      </c>
      <c r="V1171" s="26" t="n">
        <v>76.94</v>
      </c>
      <c r="W1171" s="26" t="n">
        <v>39.81</v>
      </c>
      <c r="X1171" s="26">
        <f>ROUND(('Methodology &amp; Assumptions'!$B$5*V1171) + ('Methodology &amp; Assumptions'!$B$6*W1171), 2)</f>
        <v/>
      </c>
      <c r="Y1171" s="28" t="n">
        <v>8.300000000000001</v>
      </c>
      <c r="Z1171" s="11" t="inlineStr">
        <is>
          <t>Priority Tier 3 (Broadband Expansion)</t>
        </is>
      </c>
    </row>
    <row r="1172">
      <c r="A1172" s="23" t="n">
        <v>5</v>
      </c>
      <c r="B1172" s="23" t="n">
        <v>168</v>
      </c>
      <c r="C1172" s="23" t="n">
        <v>4168</v>
      </c>
      <c r="D1172" s="23" t="inlineStr">
        <is>
          <t>0403426018</t>
        </is>
      </c>
      <c r="E1172" s="11" t="inlineStr">
        <is>
          <t>Region IV-A (CALABARZON)</t>
        </is>
      </c>
      <c r="F1172" s="11" t="inlineStr">
        <is>
          <t>Laguna</t>
        </is>
      </c>
      <c r="G1172" s="11" t="inlineStr">
        <is>
          <t>Santa Cruz</t>
        </is>
      </c>
      <c r="H1172" s="11" t="inlineStr">
        <is>
          <t>Barangay V</t>
        </is>
      </c>
      <c r="I1172" s="24" t="n">
        <v>14.28506</v>
      </c>
      <c r="J1172" s="24" t="n">
        <v>121.411406</v>
      </c>
      <c r="K1172" s="23" t="inlineStr">
        <is>
          <t>U</t>
        </is>
      </c>
      <c r="L1172" s="25" t="n">
        <v>425</v>
      </c>
      <c r="M1172" s="26" t="n">
        <v>3.3</v>
      </c>
      <c r="N1172" s="25">
        <f>ROUND(L1172/M1172, 0)</f>
        <v/>
      </c>
      <c r="O1172" s="25">
        <f>ROUND(N1172*'Methodology &amp; Assumptions'!$B$7, 0)</f>
        <v/>
      </c>
      <c r="P1172" s="23" t="inlineStr">
        <is>
          <t>Single Carrier (Band n50, 100MHz TDD)</t>
        </is>
      </c>
      <c r="Q1172" s="27">
        <f>ROUNDUP(O1172/'Methodology &amp; Assumptions'!$B$8, 0)</f>
        <v/>
      </c>
      <c r="R1172" s="27" t="n">
        <v>1</v>
      </c>
      <c r="S1172" s="26" t="n">
        <v>0.6899999999999999</v>
      </c>
      <c r="T1172" s="26" t="n">
        <v>0.62</v>
      </c>
      <c r="U1172" s="11">
        <f>IF(S1172&lt;='Methodology &amp; Assumptions'!$B$10, "Direct Optical Drop (&lt;3km)", IF(S1172&lt;='Methodology &amp; Assumptions'!$B$9, "Near Optical / Microwave (&lt;5km)", "Starlink Business LEO Satellite Backhaul (&gt;5km)"))</f>
        <v/>
      </c>
      <c r="V1172" s="26" t="n">
        <v>55.9</v>
      </c>
      <c r="W1172" s="26" t="n">
        <v>60.85</v>
      </c>
      <c r="X1172" s="26">
        <f>ROUND(('Methodology &amp; Assumptions'!$B$5*V1172) + ('Methodology &amp; Assumptions'!$B$6*W1172), 2)</f>
        <v/>
      </c>
      <c r="Y1172" s="28" t="n">
        <v>7.2</v>
      </c>
      <c r="Z1172" s="11" t="inlineStr">
        <is>
          <t>Priority Tier 3 (Broadband Expansion)</t>
        </is>
      </c>
    </row>
    <row r="1173">
      <c r="A1173" s="23" t="n">
        <v>5</v>
      </c>
      <c r="B1173" s="23" t="n">
        <v>169</v>
      </c>
      <c r="C1173" s="23" t="n">
        <v>4169</v>
      </c>
      <c r="D1173" s="23" t="inlineStr">
        <is>
          <t>0500512033</t>
        </is>
      </c>
      <c r="E1173" s="11" t="inlineStr">
        <is>
          <t>Region V (Bicol Region)</t>
        </is>
      </c>
      <c r="F1173" s="11" t="inlineStr">
        <is>
          <t>Albay</t>
        </is>
      </c>
      <c r="G1173" s="11" t="inlineStr">
        <is>
          <t>Oas</t>
        </is>
      </c>
      <c r="H1173" s="11" t="inlineStr">
        <is>
          <t>Mayag</t>
        </is>
      </c>
      <c r="I1173" s="24" t="n">
        <v>13.168999</v>
      </c>
      <c r="J1173" s="24" t="n">
        <v>123.398736</v>
      </c>
      <c r="K1173" s="23" t="inlineStr">
        <is>
          <t>R</t>
        </is>
      </c>
      <c r="L1173" s="25" t="n">
        <v>453</v>
      </c>
      <c r="M1173" s="26" t="n">
        <v>4.1</v>
      </c>
      <c r="N1173" s="25">
        <f>ROUND(L1173/M1173, 0)</f>
        <v/>
      </c>
      <c r="O1173" s="25">
        <f>ROUND(N1173*'Methodology &amp; Assumptions'!$B$7, 0)</f>
        <v/>
      </c>
      <c r="P1173" s="23" t="inlineStr">
        <is>
          <t>Single Carrier (Band n50, 100MHz TDD)</t>
        </is>
      </c>
      <c r="Q1173" s="27">
        <f>ROUNDUP(O1173/'Methodology &amp; Assumptions'!$B$8, 0)</f>
        <v/>
      </c>
      <c r="R1173" s="27" t="n">
        <v>1</v>
      </c>
      <c r="S1173" s="26" t="n">
        <v>6.64</v>
      </c>
      <c r="T1173" s="26" t="n">
        <v>14.89</v>
      </c>
      <c r="U1173" s="11">
        <f>IF(S1173&lt;='Methodology &amp; Assumptions'!$B$10, "Direct Optical Drop (&lt;3km)", IF(S1173&lt;='Methodology &amp; Assumptions'!$B$9, "Near Optical / Microwave (&lt;5km)", "Starlink Business LEO Satellite Backhaul (&gt;5km)"))</f>
        <v/>
      </c>
      <c r="V1173" s="26" t="n">
        <v>47.4</v>
      </c>
      <c r="W1173" s="26" t="n">
        <v>69.36</v>
      </c>
      <c r="X1173" s="26">
        <f>ROUND(('Methodology &amp; Assumptions'!$B$5*V1173) + ('Methodology &amp; Assumptions'!$B$6*W1173), 2)</f>
        <v/>
      </c>
      <c r="Y1173" s="28" t="n">
        <v>23.7</v>
      </c>
      <c r="Z1173" s="11" t="inlineStr">
        <is>
          <t>Priority Tier 3 (Broadband Expansion)</t>
        </is>
      </c>
    </row>
    <row r="1174">
      <c r="A1174" s="23" t="n">
        <v>5</v>
      </c>
      <c r="B1174" s="23" t="n">
        <v>170</v>
      </c>
      <c r="C1174" s="23" t="n">
        <v>4170</v>
      </c>
      <c r="D1174" s="23" t="inlineStr">
        <is>
          <t>1907011016</t>
        </is>
      </c>
      <c r="E1174" s="11" t="inlineStr">
        <is>
          <t>Bangsamoro Autonomous Region In Muslim Mindanao (BARMM)</t>
        </is>
      </c>
      <c r="F1174" s="11" t="inlineStr">
        <is>
          <t>Tawi-Tawi</t>
        </is>
      </c>
      <c r="G1174" s="11" t="inlineStr">
        <is>
          <t>Sibutu</t>
        </is>
      </c>
      <c r="H1174" s="11" t="inlineStr">
        <is>
          <t>Ungus-ungus</t>
        </is>
      </c>
      <c r="I1174" s="24" t="n">
        <v>5.05292</v>
      </c>
      <c r="J1174" s="24" t="n">
        <v>119.83499</v>
      </c>
      <c r="K1174" s="23" t="inlineStr">
        <is>
          <t>R</t>
        </is>
      </c>
      <c r="L1174" s="25" t="n">
        <v>2621</v>
      </c>
      <c r="M1174" s="26" t="n">
        <v>5.8</v>
      </c>
      <c r="N1174" s="25">
        <f>ROUND(L1174/M1174, 0)</f>
        <v/>
      </c>
      <c r="O1174" s="25">
        <f>ROUND(N1174*'Methodology &amp; Assumptions'!$B$7, 0)</f>
        <v/>
      </c>
      <c r="P1174" s="23" t="inlineStr">
        <is>
          <t>Single Carrier (Band n50, 100MHz TDD)</t>
        </is>
      </c>
      <c r="Q1174" s="27">
        <f>ROUNDUP(O1174/'Methodology &amp; Assumptions'!$B$8, 0)</f>
        <v/>
      </c>
      <c r="R1174" s="27" t="n">
        <v>1</v>
      </c>
      <c r="S1174" s="26" t="n">
        <v>999</v>
      </c>
      <c r="T1174" s="26" t="n">
        <v>999</v>
      </c>
      <c r="U1174" s="11">
        <f>IF(S1174&lt;='Methodology &amp; Assumptions'!$B$10, "Direct Optical Drop (&lt;3km)", IF(S1174&lt;='Methodology &amp; Assumptions'!$B$9, "Near Optical / Microwave (&lt;5km)", "Starlink Business LEO Satellite Backhaul (&gt;5km)"))</f>
        <v/>
      </c>
      <c r="V1174" s="26" t="n">
        <v>45.62</v>
      </c>
      <c r="W1174" s="26" t="n">
        <v>71.15000000000001</v>
      </c>
      <c r="X1174" s="26">
        <f>ROUND(('Methodology &amp; Assumptions'!$B$5*V1174) + ('Methodology &amp; Assumptions'!$B$6*W1174), 2)</f>
        <v/>
      </c>
      <c r="Y1174" s="28" t="n">
        <v>11</v>
      </c>
      <c r="Z1174" s="11" t="inlineStr">
        <is>
          <t>Priority Tier 3 (Broadband Expansion)</t>
        </is>
      </c>
    </row>
    <row r="1175">
      <c r="A1175" s="23" t="n">
        <v>5</v>
      </c>
      <c r="B1175" s="23" t="n">
        <v>171</v>
      </c>
      <c r="C1175" s="23" t="n">
        <v>4171</v>
      </c>
      <c r="D1175" s="23" t="inlineStr">
        <is>
          <t>1003511015</t>
        </is>
      </c>
      <c r="E1175" s="11" t="inlineStr">
        <is>
          <t>Region X (Northern Mindanao)</t>
        </is>
      </c>
      <c r="F1175" s="11" t="inlineStr">
        <is>
          <t>Lanao del Norte</t>
        </is>
      </c>
      <c r="G1175" s="11" t="inlineStr">
        <is>
          <t>Magsaysay</t>
        </is>
      </c>
      <c r="H1175" s="11" t="inlineStr">
        <is>
          <t>Lower Caningag</t>
        </is>
      </c>
      <c r="I1175" s="24" t="n">
        <v>8.049899999999999</v>
      </c>
      <c r="J1175" s="24" t="n">
        <v>123.8656</v>
      </c>
      <c r="K1175" s="23" t="inlineStr">
        <is>
          <t>R</t>
        </is>
      </c>
      <c r="L1175" s="25" t="n">
        <v>396</v>
      </c>
      <c r="M1175" s="26" t="n">
        <v>4.2</v>
      </c>
      <c r="N1175" s="25">
        <f>ROUND(L1175/M1175, 0)</f>
        <v/>
      </c>
      <c r="O1175" s="25">
        <f>ROUND(N1175*'Methodology &amp; Assumptions'!$B$7, 0)</f>
        <v/>
      </c>
      <c r="P1175" s="23" t="inlineStr">
        <is>
          <t>Single Carrier (Band n50, 100MHz TDD)</t>
        </is>
      </c>
      <c r="Q1175" s="27">
        <f>ROUNDUP(O1175/'Methodology &amp; Assumptions'!$B$8, 0)</f>
        <v/>
      </c>
      <c r="R1175" s="27" t="n">
        <v>1</v>
      </c>
      <c r="S1175" s="26" t="n">
        <v>7.36</v>
      </c>
      <c r="T1175" s="26" t="n">
        <v>5.1</v>
      </c>
      <c r="U1175" s="11">
        <f>IF(S1175&lt;='Methodology &amp; Assumptions'!$B$10, "Direct Optical Drop (&lt;3km)", IF(S1175&lt;='Methodology &amp; Assumptions'!$B$9, "Near Optical / Microwave (&lt;5km)", "Starlink Business LEO Satellite Backhaul (&gt;5km)"))</f>
        <v/>
      </c>
      <c r="V1175" s="26" t="n">
        <v>45.14</v>
      </c>
      <c r="W1175" s="26" t="n">
        <v>71.63</v>
      </c>
      <c r="X1175" s="26">
        <f>ROUND(('Methodology &amp; Assumptions'!$B$5*V1175) + ('Methodology &amp; Assumptions'!$B$6*W1175), 2)</f>
        <v/>
      </c>
      <c r="Y1175" s="28" t="n">
        <v>17.4</v>
      </c>
      <c r="Z1175" s="11" t="inlineStr">
        <is>
          <t>Priority Tier 3 (Broadband Expansion)</t>
        </is>
      </c>
    </row>
    <row r="1176">
      <c r="A1176" s="23" t="n">
        <v>5</v>
      </c>
      <c r="B1176" s="23" t="n">
        <v>172</v>
      </c>
      <c r="C1176" s="23" t="n">
        <v>4172</v>
      </c>
      <c r="D1176" s="23" t="inlineStr">
        <is>
          <t>0603026019</t>
        </is>
      </c>
      <c r="E1176" s="11" t="inlineStr">
        <is>
          <t>Region VI (Western Visayas)</t>
        </is>
      </c>
      <c r="F1176" s="11" t="inlineStr">
        <is>
          <t>Iloilo</t>
        </is>
      </c>
      <c r="G1176" s="11" t="inlineStr">
        <is>
          <t>Leganes</t>
        </is>
      </c>
      <c r="H1176" s="11" t="inlineStr">
        <is>
          <t>Poblacion</t>
        </is>
      </c>
      <c r="I1176" s="24" t="n">
        <v>10.785538</v>
      </c>
      <c r="J1176" s="24" t="n">
        <v>122.590618</v>
      </c>
      <c r="K1176" s="23" t="inlineStr">
        <is>
          <t>U</t>
        </is>
      </c>
      <c r="L1176" s="25" t="n">
        <v>3436</v>
      </c>
      <c r="M1176" s="26" t="n">
        <v>3.8</v>
      </c>
      <c r="N1176" s="25">
        <f>ROUND(L1176/M1176, 0)</f>
        <v/>
      </c>
      <c r="O1176" s="25">
        <f>ROUND(N1176*'Methodology &amp; Assumptions'!$B$7, 0)</f>
        <v/>
      </c>
      <c r="P1176" s="23" t="inlineStr">
        <is>
          <t>Single Carrier (Band n50, 100MHz TDD)</t>
        </is>
      </c>
      <c r="Q1176" s="27">
        <f>ROUNDUP(O1176/'Methodology &amp; Assumptions'!$B$8, 0)</f>
        <v/>
      </c>
      <c r="R1176" s="27" t="n">
        <v>1</v>
      </c>
      <c r="S1176" s="26" t="n">
        <v>0.29</v>
      </c>
      <c r="T1176" s="26" t="n">
        <v>0.08</v>
      </c>
      <c r="U1176" s="11">
        <f>IF(S1176&lt;='Methodology &amp; Assumptions'!$B$10, "Direct Optical Drop (&lt;3km)", IF(S1176&lt;='Methodology &amp; Assumptions'!$B$9, "Near Optical / Microwave (&lt;5km)", "Starlink Business LEO Satellite Backhaul (&gt;5km)"))</f>
        <v/>
      </c>
      <c r="V1176" s="26" t="n">
        <v>80.86</v>
      </c>
      <c r="W1176" s="26" t="n">
        <v>35.88</v>
      </c>
      <c r="X1176" s="26">
        <f>ROUND(('Methodology &amp; Assumptions'!$B$5*V1176) + ('Methodology &amp; Assumptions'!$B$6*W1176), 2)</f>
        <v/>
      </c>
      <c r="Y1176" s="28" t="n">
        <v>23.7</v>
      </c>
      <c r="Z1176" s="11" t="inlineStr">
        <is>
          <t>Priority Tier 3 (Broadband Expansion)</t>
        </is>
      </c>
    </row>
    <row r="1177">
      <c r="A1177" s="23" t="n">
        <v>5</v>
      </c>
      <c r="B1177" s="23" t="n">
        <v>173</v>
      </c>
      <c r="C1177" s="23" t="n">
        <v>4173</v>
      </c>
      <c r="D1177" s="23" t="inlineStr">
        <is>
          <t>0105517004</t>
        </is>
      </c>
      <c r="E1177" s="11" t="inlineStr">
        <is>
          <t>Region I (Ilocos Region)</t>
        </is>
      </c>
      <c r="F1177" s="11" t="inlineStr">
        <is>
          <t>Pangasinan</t>
        </is>
      </c>
      <c r="G1177" s="11" t="inlineStr">
        <is>
          <t>Calasiao</t>
        </is>
      </c>
      <c r="H1177" s="11" t="inlineStr">
        <is>
          <t>Bued</t>
        </is>
      </c>
      <c r="I1177" s="24" t="n">
        <v>16.01797</v>
      </c>
      <c r="J1177" s="24" t="n">
        <v>120.38</v>
      </c>
      <c r="K1177" s="23" t="inlineStr">
        <is>
          <t>U</t>
        </is>
      </c>
      <c r="L1177" s="25" t="n">
        <v>5943</v>
      </c>
      <c r="M1177" s="26" t="n">
        <v>3.6</v>
      </c>
      <c r="N1177" s="25">
        <f>ROUND(L1177/M1177, 0)</f>
        <v/>
      </c>
      <c r="O1177" s="25">
        <f>ROUND(N1177*'Methodology &amp; Assumptions'!$B$7, 0)</f>
        <v/>
      </c>
      <c r="P1177" s="23" t="inlineStr">
        <is>
          <t>Single Carrier (Band n50, 100MHz TDD)</t>
        </is>
      </c>
      <c r="Q1177" s="27">
        <f>ROUNDUP(O1177/'Methodology &amp; Assumptions'!$B$8, 0)</f>
        <v/>
      </c>
      <c r="R1177" s="27" t="n">
        <v>1</v>
      </c>
      <c r="S1177" s="26" t="n">
        <v>0.9</v>
      </c>
      <c r="T1177" s="26" t="n">
        <v>0.07000000000000001</v>
      </c>
      <c r="U1177" s="11">
        <f>IF(S1177&lt;='Methodology &amp; Assumptions'!$B$10, "Direct Optical Drop (&lt;3km)", IF(S1177&lt;='Methodology &amp; Assumptions'!$B$9, "Near Optical / Microwave (&lt;5km)", "Starlink Business LEO Satellite Backhaul (&gt;5km)"))</f>
        <v/>
      </c>
      <c r="V1177" s="26" t="n">
        <v>78.20999999999999</v>
      </c>
      <c r="W1177" s="26" t="n">
        <v>38.53</v>
      </c>
      <c r="X1177" s="26">
        <f>ROUND(('Methodology &amp; Assumptions'!$B$5*V1177) + ('Methodology &amp; Assumptions'!$B$6*W1177), 2)</f>
        <v/>
      </c>
      <c r="Y1177" s="28" t="n">
        <v>8.300000000000001</v>
      </c>
      <c r="Z1177" s="11" t="inlineStr">
        <is>
          <t>Priority Tier 3 (Broadband Expansion)</t>
        </is>
      </c>
    </row>
    <row r="1178">
      <c r="A1178" s="23" t="n">
        <v>5</v>
      </c>
      <c r="B1178" s="23" t="n">
        <v>174</v>
      </c>
      <c r="C1178" s="23" t="n">
        <v>4174</v>
      </c>
      <c r="D1178" s="23" t="inlineStr">
        <is>
          <t>0304902026</t>
        </is>
      </c>
      <c r="E1178" s="11" t="inlineStr">
        <is>
          <t>Region III (Central Luzon)</t>
        </is>
      </c>
      <c r="F1178" s="11" t="inlineStr">
        <is>
          <t>Nueva Ecija</t>
        </is>
      </c>
      <c r="G1178" s="11" t="inlineStr">
        <is>
          <t>Bongabon</t>
        </is>
      </c>
      <c r="H1178" s="11" t="inlineStr">
        <is>
          <t>Social</t>
        </is>
      </c>
      <c r="I1178" s="24" t="n">
        <v>15.626893</v>
      </c>
      <c r="J1178" s="24" t="n">
        <v>121.145846</v>
      </c>
      <c r="K1178" s="23" t="inlineStr">
        <is>
          <t>R</t>
        </is>
      </c>
      <c r="L1178" s="25" t="n">
        <v>867</v>
      </c>
      <c r="M1178" s="26" t="n">
        <v>3.5</v>
      </c>
      <c r="N1178" s="25">
        <f>ROUND(L1178/M1178, 0)</f>
        <v/>
      </c>
      <c r="O1178" s="25">
        <f>ROUND(N1178*'Methodology &amp; Assumptions'!$B$7, 0)</f>
        <v/>
      </c>
      <c r="P1178" s="23" t="inlineStr">
        <is>
          <t>Single Carrier (Band n50, 100MHz TDD)</t>
        </is>
      </c>
      <c r="Q1178" s="27">
        <f>ROUNDUP(O1178/'Methodology &amp; Assumptions'!$B$8, 0)</f>
        <v/>
      </c>
      <c r="R1178" s="27" t="n">
        <v>1</v>
      </c>
      <c r="S1178" s="26" t="n">
        <v>0.32</v>
      </c>
      <c r="T1178" s="26" t="n">
        <v>0.31</v>
      </c>
      <c r="U1178" s="11">
        <f>IF(S1178&lt;='Methodology &amp; Assumptions'!$B$10, "Direct Optical Drop (&lt;3km)", IF(S1178&lt;='Methodology &amp; Assumptions'!$B$9, "Near Optical / Microwave (&lt;5km)", "Starlink Business LEO Satellite Backhaul (&gt;5km)"))</f>
        <v/>
      </c>
      <c r="V1178" s="26" t="n">
        <v>67.05</v>
      </c>
      <c r="W1178" s="26" t="n">
        <v>49.7</v>
      </c>
      <c r="X1178" s="26">
        <f>ROUND(('Methodology &amp; Assumptions'!$B$5*V1178) + ('Methodology &amp; Assumptions'!$B$6*W1178), 2)</f>
        <v/>
      </c>
      <c r="Y1178" s="28" t="n">
        <v>8.300000000000001</v>
      </c>
      <c r="Z1178" s="11" t="inlineStr">
        <is>
          <t>Priority Tier 3 (Broadband Expansion)</t>
        </is>
      </c>
    </row>
    <row r="1179">
      <c r="A1179" s="23" t="n">
        <v>5</v>
      </c>
      <c r="B1179" s="23" t="n">
        <v>175</v>
      </c>
      <c r="C1179" s="23" t="n">
        <v>4175</v>
      </c>
      <c r="D1179" s="23" t="inlineStr">
        <is>
          <t>1381100153</t>
        </is>
      </c>
      <c r="E1179" s="11" t="inlineStr">
        <is>
          <t>National Capital Region (NCR)</t>
        </is>
      </c>
      <c r="F1179" s="11" t="inlineStr">
        <is>
          <t>Fourth District (Not a Province)</t>
        </is>
      </c>
      <c r="G1179" s="11" t="inlineStr">
        <is>
          <t>Pasay City</t>
        </is>
      </c>
      <c r="H1179" s="11" t="inlineStr">
        <is>
          <t>Barangay 153</t>
        </is>
      </c>
      <c r="I1179" s="24" t="n">
        <v>14.535944</v>
      </c>
      <c r="J1179" s="24" t="n">
        <v>121.005517</v>
      </c>
      <c r="K1179" s="23" t="inlineStr">
        <is>
          <t>U</t>
        </is>
      </c>
      <c r="L1179" s="25" t="n">
        <v>809</v>
      </c>
      <c r="M1179" s="26" t="n">
        <v>3.33</v>
      </c>
      <c r="N1179" s="25">
        <f>ROUND(L1179/M1179, 0)</f>
        <v/>
      </c>
      <c r="O1179" s="25">
        <f>ROUND(N1179*'Methodology &amp; Assumptions'!$B$7, 0)</f>
        <v/>
      </c>
      <c r="P1179" s="23" t="inlineStr">
        <is>
          <t>Single Carrier (Band n50, 100MHz TDD)</t>
        </is>
      </c>
      <c r="Q1179" s="27">
        <f>ROUNDUP(O1179/'Methodology &amp; Assumptions'!$B$8, 0)</f>
        <v/>
      </c>
      <c r="R1179" s="27" t="n">
        <v>1</v>
      </c>
      <c r="S1179" s="26" t="n">
        <v>1.27</v>
      </c>
      <c r="T1179" s="26" t="n">
        <v>0.29</v>
      </c>
      <c r="U1179" s="11">
        <f>IF(S1179&lt;='Methodology &amp; Assumptions'!$B$10, "Direct Optical Drop (&lt;3km)", IF(S1179&lt;='Methodology &amp; Assumptions'!$B$9, "Near Optical / Microwave (&lt;5km)", "Starlink Business LEO Satellite Backhaul (&gt;5km)"))</f>
        <v/>
      </c>
      <c r="V1179" s="26" t="n">
        <v>47.27</v>
      </c>
      <c r="W1179" s="26" t="n">
        <v>69.45999999999999</v>
      </c>
      <c r="X1179" s="26">
        <f>ROUND(('Methodology &amp; Assumptions'!$B$5*V1179) + ('Methodology &amp; Assumptions'!$B$6*W1179), 2)</f>
        <v/>
      </c>
      <c r="Y1179" s="28" t="n">
        <v>10.9</v>
      </c>
      <c r="Z1179" s="11" t="inlineStr">
        <is>
          <t>Priority Tier 3 (Broadband Expansion)</t>
        </is>
      </c>
    </row>
    <row r="1180">
      <c r="A1180" s="23" t="n">
        <v>5</v>
      </c>
      <c r="B1180" s="23" t="n">
        <v>176</v>
      </c>
      <c r="C1180" s="23" t="n">
        <v>4176</v>
      </c>
      <c r="D1180" s="23" t="inlineStr">
        <is>
          <t>1380610059</t>
        </is>
      </c>
      <c r="E1180" s="11" t="inlineStr">
        <is>
          <t>National Capital Region (NCR)</t>
        </is>
      </c>
      <c r="F1180" s="11" t="inlineStr">
        <is>
          <t>First District (Not a Province)</t>
        </is>
      </c>
      <c r="G1180" s="11" t="inlineStr">
        <is>
          <t>City of Manila</t>
        </is>
      </c>
      <c r="H1180" s="11" t="inlineStr">
        <is>
          <t>Barangay 688</t>
        </is>
      </c>
      <c r="I1180" s="24" t="n">
        <v>14.57485</v>
      </c>
      <c r="J1180" s="24" t="n">
        <v>120.993726</v>
      </c>
      <c r="K1180" s="23" t="inlineStr">
        <is>
          <t>U</t>
        </is>
      </c>
      <c r="L1180" s="25" t="n">
        <v>756</v>
      </c>
      <c r="M1180" s="26" t="n">
        <v>4.67</v>
      </c>
      <c r="N1180" s="25">
        <f>ROUND(L1180/M1180, 0)</f>
        <v/>
      </c>
      <c r="O1180" s="25">
        <f>ROUND(N1180*'Methodology &amp; Assumptions'!$B$7, 0)</f>
        <v/>
      </c>
      <c r="P1180" s="23" t="inlineStr">
        <is>
          <t>Single Carrier (Band n50, 100MHz TDD)</t>
        </is>
      </c>
      <c r="Q1180" s="27">
        <f>ROUNDUP(O1180/'Methodology &amp; Assumptions'!$B$8, 0)</f>
        <v/>
      </c>
      <c r="R1180" s="27" t="n">
        <v>1</v>
      </c>
      <c r="S1180" s="26" t="n">
        <v>0.32</v>
      </c>
      <c r="T1180" s="26" t="n">
        <v>0.25</v>
      </c>
      <c r="U1180" s="11">
        <f>IF(S1180&lt;='Methodology &amp; Assumptions'!$B$10, "Direct Optical Drop (&lt;3km)", IF(S1180&lt;='Methodology &amp; Assumptions'!$B$9, "Near Optical / Microwave (&lt;5km)", "Starlink Business LEO Satellite Backhaul (&gt;5km)"))</f>
        <v/>
      </c>
      <c r="V1180" s="26" t="n">
        <v>46.34</v>
      </c>
      <c r="W1180" s="26" t="n">
        <v>70.40000000000001</v>
      </c>
      <c r="X1180" s="26">
        <f>ROUND(('Methodology &amp; Assumptions'!$B$5*V1180) + ('Methodology &amp; Assumptions'!$B$6*W1180), 2)</f>
        <v/>
      </c>
      <c r="Y1180" s="28" t="n">
        <v>10.9</v>
      </c>
      <c r="Z1180" s="11" t="inlineStr">
        <is>
          <t>Priority Tier 3 (Broadband Expansion)</t>
        </is>
      </c>
    </row>
    <row r="1181">
      <c r="A1181" s="23" t="n">
        <v>5</v>
      </c>
      <c r="B1181" s="23" t="n">
        <v>177</v>
      </c>
      <c r="C1181" s="23" t="n">
        <v>4177</v>
      </c>
      <c r="D1181" s="23" t="inlineStr">
        <is>
          <t>1206312014</t>
        </is>
      </c>
      <c r="E1181" s="11" t="inlineStr">
        <is>
          <t>Region XII (SOCCSKSARGEN)</t>
        </is>
      </c>
      <c r="F1181" s="11" t="inlineStr">
        <is>
          <t>South Cotabato</t>
        </is>
      </c>
      <c r="G1181" s="11" t="inlineStr">
        <is>
          <t>Polomolok</t>
        </is>
      </c>
      <c r="H1181" s="11" t="inlineStr">
        <is>
          <t>Poblacion</t>
        </is>
      </c>
      <c r="I1181" s="24" t="n">
        <v>6.220061</v>
      </c>
      <c r="J1181" s="24" t="n">
        <v>125.068416</v>
      </c>
      <c r="K1181" s="23" t="inlineStr">
        <is>
          <t>U</t>
        </is>
      </c>
      <c r="L1181" s="25" t="n">
        <v>53313</v>
      </c>
      <c r="M1181" s="26" t="n">
        <v>3.6</v>
      </c>
      <c r="N1181" s="25">
        <f>ROUND(L1181/M1181, 0)</f>
        <v/>
      </c>
      <c r="O1181" s="25">
        <f>ROUND(N1181*'Methodology &amp; Assumptions'!$B$7, 0)</f>
        <v/>
      </c>
      <c r="P1181" s="23" t="inlineStr">
        <is>
          <t>Single Carrier (Band n50, 100MHz TDD)</t>
        </is>
      </c>
      <c r="Q1181" s="27">
        <f>ROUNDUP(O1181/'Methodology &amp; Assumptions'!$B$8, 0)</f>
        <v/>
      </c>
      <c r="R1181" s="27" t="n">
        <v>1</v>
      </c>
      <c r="S1181" s="26" t="n">
        <v>0.57</v>
      </c>
      <c r="T1181" s="26" t="n">
        <v>1.03</v>
      </c>
      <c r="U1181" s="11">
        <f>IF(S1181&lt;='Methodology &amp; Assumptions'!$B$10, "Direct Optical Drop (&lt;3km)", IF(S1181&lt;='Methodology &amp; Assumptions'!$B$9, "Near Optical / Microwave (&lt;5km)", "Starlink Business LEO Satellite Backhaul (&gt;5km)"))</f>
        <v/>
      </c>
      <c r="V1181" s="26" t="n">
        <v>78.39</v>
      </c>
      <c r="W1181" s="26" t="n">
        <v>38.34</v>
      </c>
      <c r="X1181" s="26">
        <f>ROUND(('Methodology &amp; Assumptions'!$B$5*V1181) + ('Methodology &amp; Assumptions'!$B$6*W1181), 2)</f>
        <v/>
      </c>
      <c r="Y1181" s="28" t="n">
        <v>17.4</v>
      </c>
      <c r="Z1181" s="11" t="inlineStr">
        <is>
          <t>Priority Tier 3 (Broadband Expansion)</t>
        </is>
      </c>
    </row>
    <row r="1182">
      <c r="A1182" s="23" t="n">
        <v>5</v>
      </c>
      <c r="B1182" s="23" t="n">
        <v>178</v>
      </c>
      <c r="C1182" s="23" t="n">
        <v>4178</v>
      </c>
      <c r="D1182" s="23" t="inlineStr">
        <is>
          <t>0403411013</t>
        </is>
      </c>
      <c r="E1182" s="11" t="inlineStr">
        <is>
          <t>Region IV-A (CALABARZON)</t>
        </is>
      </c>
      <c r="F1182" s="11" t="inlineStr">
        <is>
          <t>Laguna</t>
        </is>
      </c>
      <c r="G1182" s="11" t="inlineStr">
        <is>
          <t>Los Baños</t>
        </is>
      </c>
      <c r="H1182" s="11" t="inlineStr">
        <is>
          <t>Tadlak</t>
        </is>
      </c>
      <c r="I1182" s="24" t="n">
        <v>14.181607</v>
      </c>
      <c r="J1182" s="24" t="n">
        <v>121.209436</v>
      </c>
      <c r="K1182" s="23" t="inlineStr">
        <is>
          <t>R</t>
        </is>
      </c>
      <c r="L1182" s="25" t="n">
        <v>4432</v>
      </c>
      <c r="M1182" s="26" t="n">
        <v>3.3</v>
      </c>
      <c r="N1182" s="25">
        <f>ROUND(L1182/M1182, 0)</f>
        <v/>
      </c>
      <c r="O1182" s="25">
        <f>ROUND(N1182*'Methodology &amp; Assumptions'!$B$7, 0)</f>
        <v/>
      </c>
      <c r="P1182" s="23" t="inlineStr">
        <is>
          <t>Single Carrier (Band n50, 100MHz TDD)</t>
        </is>
      </c>
      <c r="Q1182" s="27">
        <f>ROUNDUP(O1182/'Methodology &amp; Assumptions'!$B$8, 0)</f>
        <v/>
      </c>
      <c r="R1182" s="27" t="n">
        <v>1</v>
      </c>
      <c r="S1182" s="26" t="n">
        <v>3.56</v>
      </c>
      <c r="T1182" s="26" t="n">
        <v>0.93</v>
      </c>
      <c r="U1182" s="11">
        <f>IF(S1182&lt;='Methodology &amp; Assumptions'!$B$10, "Direct Optical Drop (&lt;3km)", IF(S1182&lt;='Methodology &amp; Assumptions'!$B$9, "Near Optical / Microwave (&lt;5km)", "Starlink Business LEO Satellite Backhaul (&gt;5km)"))</f>
        <v/>
      </c>
      <c r="V1182" s="26" t="n">
        <v>76.75</v>
      </c>
      <c r="W1182" s="26" t="n">
        <v>39.97</v>
      </c>
      <c r="X1182" s="26">
        <f>ROUND(('Methodology &amp; Assumptions'!$B$5*V1182) + ('Methodology &amp; Assumptions'!$B$6*W1182), 2)</f>
        <v/>
      </c>
      <c r="Y1182" s="28" t="n">
        <v>7.2</v>
      </c>
      <c r="Z1182" s="11" t="inlineStr">
        <is>
          <t>Priority Tier 3 (Broadband Expansion)</t>
        </is>
      </c>
    </row>
    <row r="1183">
      <c r="A1183" s="23" t="n">
        <v>5</v>
      </c>
      <c r="B1183" s="23" t="n">
        <v>179</v>
      </c>
      <c r="C1183" s="23" t="n">
        <v>4179</v>
      </c>
      <c r="D1183" s="23" t="inlineStr">
        <is>
          <t>0403429016</t>
        </is>
      </c>
      <c r="E1183" s="11" t="inlineStr">
        <is>
          <t>Region IV-A (CALABARZON)</t>
        </is>
      </c>
      <c r="F1183" s="11" t="inlineStr">
        <is>
          <t>Laguna</t>
        </is>
      </c>
      <c r="G1183" s="11" t="inlineStr">
        <is>
          <t>Siniloan</t>
        </is>
      </c>
      <c r="H1183" s="11" t="inlineStr">
        <is>
          <t>Macatad</t>
        </is>
      </c>
      <c r="I1183" s="24" t="n">
        <v>14.453488</v>
      </c>
      <c r="J1183" s="24" t="n">
        <v>121.463546</v>
      </c>
      <c r="K1183" s="23" t="inlineStr">
        <is>
          <t>R</t>
        </is>
      </c>
      <c r="L1183" s="25" t="n">
        <v>3326</v>
      </c>
      <c r="M1183" s="26" t="n">
        <v>3.3</v>
      </c>
      <c r="N1183" s="25">
        <f>ROUND(L1183/M1183, 0)</f>
        <v/>
      </c>
      <c r="O1183" s="25">
        <f>ROUND(N1183*'Methodology &amp; Assumptions'!$B$7, 0)</f>
        <v/>
      </c>
      <c r="P1183" s="23" t="inlineStr">
        <is>
          <t>Single Carrier (Band n50, 100MHz TDD)</t>
        </is>
      </c>
      <c r="Q1183" s="27">
        <f>ROUNDUP(O1183/'Methodology &amp; Assumptions'!$B$8, 0)</f>
        <v/>
      </c>
      <c r="R1183" s="27" t="n">
        <v>1</v>
      </c>
      <c r="S1183" s="26" t="n">
        <v>2.47</v>
      </c>
      <c r="T1183" s="26" t="n">
        <v>2.48</v>
      </c>
      <c r="U1183" s="11">
        <f>IF(S1183&lt;='Methodology &amp; Assumptions'!$B$10, "Direct Optical Drop (&lt;3km)", IF(S1183&lt;='Methodology &amp; Assumptions'!$B$9, "Near Optical / Microwave (&lt;5km)", "Starlink Business LEO Satellite Backhaul (&gt;5km)"))</f>
        <v/>
      </c>
      <c r="V1183" s="26" t="n">
        <v>76.15000000000001</v>
      </c>
      <c r="W1183" s="26" t="n">
        <v>40.56</v>
      </c>
      <c r="X1183" s="26">
        <f>ROUND(('Methodology &amp; Assumptions'!$B$5*V1183) + ('Methodology &amp; Assumptions'!$B$6*W1183), 2)</f>
        <v/>
      </c>
      <c r="Y1183" s="28" t="n">
        <v>7.2</v>
      </c>
      <c r="Z1183" s="11" t="inlineStr">
        <is>
          <t>Priority Tier 3 (Broadband Expansion)</t>
        </is>
      </c>
    </row>
    <row r="1184">
      <c r="A1184" s="23" t="n">
        <v>5</v>
      </c>
      <c r="B1184" s="23" t="n">
        <v>180</v>
      </c>
      <c r="C1184" s="23" t="n">
        <v>4180</v>
      </c>
      <c r="D1184" s="23" t="inlineStr">
        <is>
          <t>0405603004</t>
        </is>
      </c>
      <c r="E1184" s="11" t="inlineStr">
        <is>
          <t>Region IV-A (CALABARZON)</t>
        </is>
      </c>
      <c r="F1184" s="11" t="inlineStr">
        <is>
          <t>Quezon</t>
        </is>
      </c>
      <c r="G1184" s="11" t="inlineStr">
        <is>
          <t>Atimonan</t>
        </is>
      </c>
      <c r="H1184" s="11" t="inlineStr">
        <is>
          <t>Barangay Zone 1</t>
        </is>
      </c>
      <c r="I1184" s="24" t="n">
        <v>13.994931</v>
      </c>
      <c r="J1184" s="24" t="n">
        <v>121.934867</v>
      </c>
      <c r="K1184" s="23" t="inlineStr">
        <is>
          <t>U</t>
        </is>
      </c>
      <c r="L1184" s="25" t="n">
        <v>2938</v>
      </c>
      <c r="M1184" s="26" t="n">
        <v>3.8</v>
      </c>
      <c r="N1184" s="25">
        <f>ROUND(L1184/M1184, 0)</f>
        <v/>
      </c>
      <c r="O1184" s="25">
        <f>ROUND(N1184*'Methodology &amp; Assumptions'!$B$7, 0)</f>
        <v/>
      </c>
      <c r="P1184" s="23" t="inlineStr">
        <is>
          <t>Single Carrier (Band n50, 100MHz TDD)</t>
        </is>
      </c>
      <c r="Q1184" s="27">
        <f>ROUNDUP(O1184/'Methodology &amp; Assumptions'!$B$8, 0)</f>
        <v/>
      </c>
      <c r="R1184" s="27" t="n">
        <v>1</v>
      </c>
      <c r="S1184" s="26" t="n">
        <v>1.22</v>
      </c>
      <c r="T1184" s="26" t="n">
        <v>0.01</v>
      </c>
      <c r="U1184" s="11">
        <f>IF(S1184&lt;='Methodology &amp; Assumptions'!$B$10, "Direct Optical Drop (&lt;3km)", IF(S1184&lt;='Methodology &amp; Assumptions'!$B$9, "Near Optical / Microwave (&lt;5km)", "Starlink Business LEO Satellite Backhaul (&gt;5km)"))</f>
        <v/>
      </c>
      <c r="V1184" s="26" t="n">
        <v>75.45</v>
      </c>
      <c r="W1184" s="26" t="n">
        <v>41.26</v>
      </c>
      <c r="X1184" s="26">
        <f>ROUND(('Methodology &amp; Assumptions'!$B$5*V1184) + ('Methodology &amp; Assumptions'!$B$6*W1184), 2)</f>
        <v/>
      </c>
      <c r="Y1184" s="28" t="n">
        <v>7.2</v>
      </c>
      <c r="Z1184" s="11" t="inlineStr">
        <is>
          <t>Priority Tier 3 (Broadband Expansion)</t>
        </is>
      </c>
    </row>
    <row r="1185">
      <c r="A1185" s="23" t="n">
        <v>5</v>
      </c>
      <c r="B1185" s="23" t="n">
        <v>181</v>
      </c>
      <c r="C1185" s="23" t="n">
        <v>4181</v>
      </c>
      <c r="D1185" s="23" t="inlineStr">
        <is>
          <t>0401005051</t>
        </is>
      </c>
      <c r="E1185" s="11" t="inlineStr">
        <is>
          <t>Region IV-A (CALABARZON)</t>
        </is>
      </c>
      <c r="F1185" s="11" t="inlineStr">
        <is>
          <t>Batangas</t>
        </is>
      </c>
      <c r="G1185" s="11" t="inlineStr">
        <is>
          <t>Batangas City</t>
        </is>
      </c>
      <c r="H1185" s="11" t="inlineStr">
        <is>
          <t>Pallocan Kanluran</t>
        </is>
      </c>
      <c r="I1185" s="24" t="n">
        <v>13.755749</v>
      </c>
      <c r="J1185" s="24" t="n">
        <v>121.070632</v>
      </c>
      <c r="K1185" s="23" t="inlineStr">
        <is>
          <t>U</t>
        </is>
      </c>
      <c r="L1185" s="25" t="n">
        <v>7057</v>
      </c>
      <c r="M1185" s="26" t="n">
        <v>3.6</v>
      </c>
      <c r="N1185" s="25">
        <f>ROUND(L1185/M1185, 0)</f>
        <v/>
      </c>
      <c r="O1185" s="25">
        <f>ROUND(N1185*'Methodology &amp; Assumptions'!$B$7, 0)</f>
        <v/>
      </c>
      <c r="P1185" s="23" t="inlineStr">
        <is>
          <t>Single Carrier (Band n50, 100MHz TDD)</t>
        </is>
      </c>
      <c r="Q1185" s="27">
        <f>ROUNDUP(O1185/'Methodology &amp; Assumptions'!$B$8, 0)</f>
        <v/>
      </c>
      <c r="R1185" s="27" t="n">
        <v>1</v>
      </c>
      <c r="S1185" s="26" t="n">
        <v>1.66</v>
      </c>
      <c r="T1185" s="26" t="n">
        <v>0.8100000000000001</v>
      </c>
      <c r="U1185" s="11">
        <f>IF(S1185&lt;='Methodology &amp; Assumptions'!$B$10, "Direct Optical Drop (&lt;3km)", IF(S1185&lt;='Methodology &amp; Assumptions'!$B$9, "Near Optical / Microwave (&lt;5km)", "Starlink Business LEO Satellite Backhaul (&gt;5km)"))</f>
        <v/>
      </c>
      <c r="V1185" s="26" t="n">
        <v>75.2</v>
      </c>
      <c r="W1185" s="26" t="n">
        <v>41.51</v>
      </c>
      <c r="X1185" s="26">
        <f>ROUND(('Methodology &amp; Assumptions'!$B$5*V1185) + ('Methodology &amp; Assumptions'!$B$6*W1185), 2)</f>
        <v/>
      </c>
      <c r="Y1185" s="28" t="n">
        <v>7.2</v>
      </c>
      <c r="Z1185" s="11" t="inlineStr">
        <is>
          <t>Priority Tier 3 (Broadband Expansion)</t>
        </is>
      </c>
    </row>
    <row r="1186">
      <c r="A1186" s="23" t="n">
        <v>5</v>
      </c>
      <c r="B1186" s="23" t="n">
        <v>182</v>
      </c>
      <c r="C1186" s="23" t="n">
        <v>4182</v>
      </c>
      <c r="D1186" s="23" t="inlineStr">
        <is>
          <t>0306904005</t>
        </is>
      </c>
      <c r="E1186" s="11" t="inlineStr">
        <is>
          <t>Region III (Central Luzon)</t>
        </is>
      </c>
      <c r="F1186" s="11" t="inlineStr">
        <is>
          <t>Tarlac</t>
        </is>
      </c>
      <c r="G1186" s="11" t="inlineStr">
        <is>
          <t>Capas</t>
        </is>
      </c>
      <c r="H1186" s="11" t="inlineStr">
        <is>
          <t>Cutcut 2nd</t>
        </is>
      </c>
      <c r="I1186" s="24" t="n">
        <v>15.331306</v>
      </c>
      <c r="J1186" s="24" t="n">
        <v>120.589284</v>
      </c>
      <c r="K1186" s="23" t="inlineStr">
        <is>
          <t>U</t>
        </is>
      </c>
      <c r="L1186" s="25" t="n">
        <v>8568</v>
      </c>
      <c r="M1186" s="26" t="n">
        <v>3.9</v>
      </c>
      <c r="N1186" s="25">
        <f>ROUND(L1186/M1186, 0)</f>
        <v/>
      </c>
      <c r="O1186" s="25">
        <f>ROUND(N1186*'Methodology &amp; Assumptions'!$B$7, 0)</f>
        <v/>
      </c>
      <c r="P1186" s="23" t="inlineStr">
        <is>
          <t>Single Carrier (Band n50, 100MHz TDD)</t>
        </is>
      </c>
      <c r="Q1186" s="27">
        <f>ROUNDUP(O1186/'Methodology &amp; Assumptions'!$B$8, 0)</f>
        <v/>
      </c>
      <c r="R1186" s="27" t="n">
        <v>1</v>
      </c>
      <c r="S1186" s="26" t="n">
        <v>1.79</v>
      </c>
      <c r="T1186" s="26" t="n">
        <v>0.15</v>
      </c>
      <c r="U1186" s="11">
        <f>IF(S1186&lt;='Methodology &amp; Assumptions'!$B$10, "Direct Optical Drop (&lt;3km)", IF(S1186&lt;='Methodology &amp; Assumptions'!$B$9, "Near Optical / Microwave (&lt;5km)", "Starlink Business LEO Satellite Backhaul (&gt;5km)"))</f>
        <v/>
      </c>
      <c r="V1186" s="26" t="n">
        <v>74.93000000000001</v>
      </c>
      <c r="W1186" s="26" t="n">
        <v>41.8</v>
      </c>
      <c r="X1186" s="26">
        <f>ROUND(('Methodology &amp; Assumptions'!$B$5*V1186) + ('Methodology &amp; Assumptions'!$B$6*W1186), 2)</f>
        <v/>
      </c>
      <c r="Y1186" s="28" t="n">
        <v>8.300000000000001</v>
      </c>
      <c r="Z1186" s="11" t="inlineStr">
        <is>
          <t>Priority Tier 3 (Broadband Expansion)</t>
        </is>
      </c>
    </row>
    <row r="1187">
      <c r="A1187" s="23" t="n">
        <v>5</v>
      </c>
      <c r="B1187" s="23" t="n">
        <v>183</v>
      </c>
      <c r="C1187" s="23" t="n">
        <v>4183</v>
      </c>
      <c r="D1187" s="23" t="inlineStr">
        <is>
          <t>1705209024</t>
        </is>
      </c>
      <c r="E1187" s="11" t="inlineStr">
        <is>
          <t>MIMAROPA Region</t>
        </is>
      </c>
      <c r="F1187" s="11" t="inlineStr">
        <is>
          <t>Oriental Mindoro</t>
        </is>
      </c>
      <c r="G1187" s="11" t="inlineStr">
        <is>
          <t>Pinamalayan</t>
        </is>
      </c>
      <c r="H1187" s="11" t="inlineStr">
        <is>
          <t>Zone II</t>
        </is>
      </c>
      <c r="I1187" s="24" t="n">
        <v>13.0319</v>
      </c>
      <c r="J1187" s="24" t="n">
        <v>121.4886</v>
      </c>
      <c r="K1187" s="23" t="inlineStr">
        <is>
          <t>U</t>
        </is>
      </c>
      <c r="L1187" s="25" t="n">
        <v>3031</v>
      </c>
      <c r="M1187" s="26" t="n">
        <v>3.9</v>
      </c>
      <c r="N1187" s="25">
        <f>ROUND(L1187/M1187, 0)</f>
        <v/>
      </c>
      <c r="O1187" s="25">
        <f>ROUND(N1187*'Methodology &amp; Assumptions'!$B$7, 0)</f>
        <v/>
      </c>
      <c r="P1187" s="23" t="inlineStr">
        <is>
          <t>Single Carrier (Band n50, 100MHz TDD)</t>
        </is>
      </c>
      <c r="Q1187" s="27">
        <f>ROUNDUP(O1187/'Methodology &amp; Assumptions'!$B$8, 0)</f>
        <v/>
      </c>
      <c r="R1187" s="27" t="n">
        <v>1</v>
      </c>
      <c r="S1187" s="26" t="n">
        <v>1.62</v>
      </c>
      <c r="T1187" s="26" t="n">
        <v>0.97</v>
      </c>
      <c r="U1187" s="11">
        <f>IF(S1187&lt;='Methodology &amp; Assumptions'!$B$10, "Direct Optical Drop (&lt;3km)", IF(S1187&lt;='Methodology &amp; Assumptions'!$B$9, "Near Optical / Microwave (&lt;5km)", "Starlink Business LEO Satellite Backhaul (&gt;5km)"))</f>
        <v/>
      </c>
      <c r="V1187" s="26" t="n">
        <v>73.09</v>
      </c>
      <c r="W1187" s="26" t="n">
        <v>43.64</v>
      </c>
      <c r="X1187" s="26">
        <f>ROUND(('Methodology &amp; Assumptions'!$B$5*V1187) + ('Methodology &amp; Assumptions'!$B$6*W1187), 2)</f>
        <v/>
      </c>
      <c r="Y1187" s="28" t="n">
        <v>15</v>
      </c>
      <c r="Z1187" s="11" t="inlineStr">
        <is>
          <t>Priority Tier 3 (Broadband Expansion)</t>
        </is>
      </c>
    </row>
    <row r="1188">
      <c r="A1188" s="23" t="n">
        <v>5</v>
      </c>
      <c r="B1188" s="23" t="n">
        <v>184</v>
      </c>
      <c r="C1188" s="23" t="n">
        <v>4184</v>
      </c>
      <c r="D1188" s="23" t="inlineStr">
        <is>
          <t>0304926019</t>
        </is>
      </c>
      <c r="E1188" s="11" t="inlineStr">
        <is>
          <t>Region III (Central Luzon)</t>
        </is>
      </c>
      <c r="F1188" s="11" t="inlineStr">
        <is>
          <t>Nueva Ecija</t>
        </is>
      </c>
      <c r="G1188" s="11" t="inlineStr">
        <is>
          <t>San Jose City</t>
        </is>
      </c>
      <c r="H1188" s="11" t="inlineStr">
        <is>
          <t>Rafael Rueda, Sr. Pob.</t>
        </is>
      </c>
      <c r="I1188" s="24" t="n">
        <v>15.800915</v>
      </c>
      <c r="J1188" s="24" t="n">
        <v>120.991934</v>
      </c>
      <c r="K1188" s="23" t="inlineStr">
        <is>
          <t>U</t>
        </is>
      </c>
      <c r="L1188" s="25" t="n">
        <v>2035</v>
      </c>
      <c r="M1188" s="26" t="n">
        <v>3.5</v>
      </c>
      <c r="N1188" s="25">
        <f>ROUND(L1188/M1188, 0)</f>
        <v/>
      </c>
      <c r="O1188" s="25">
        <f>ROUND(N1188*'Methodology &amp; Assumptions'!$B$7, 0)</f>
        <v/>
      </c>
      <c r="P1188" s="23" t="inlineStr">
        <is>
          <t>Single Carrier (Band n50, 100MHz TDD)</t>
        </is>
      </c>
      <c r="Q1188" s="27">
        <f>ROUNDUP(O1188/'Methodology &amp; Assumptions'!$B$8, 0)</f>
        <v/>
      </c>
      <c r="R1188" s="27" t="n">
        <v>1</v>
      </c>
      <c r="S1188" s="26" t="n">
        <v>0.83</v>
      </c>
      <c r="T1188" s="26" t="n">
        <v>0.59</v>
      </c>
      <c r="U1188" s="11">
        <f>IF(S1188&lt;='Methodology &amp; Assumptions'!$B$10, "Direct Optical Drop (&lt;3km)", IF(S1188&lt;='Methodology &amp; Assumptions'!$B$9, "Near Optical / Microwave (&lt;5km)", "Starlink Business LEO Satellite Backhaul (&gt;5km)"))</f>
        <v/>
      </c>
      <c r="V1188" s="26" t="n">
        <v>70.67</v>
      </c>
      <c r="W1188" s="26" t="n">
        <v>46.04</v>
      </c>
      <c r="X1188" s="26">
        <f>ROUND(('Methodology &amp; Assumptions'!$B$5*V1188) + ('Methodology &amp; Assumptions'!$B$6*W1188), 2)</f>
        <v/>
      </c>
      <c r="Y1188" s="28" t="n">
        <v>8.300000000000001</v>
      </c>
      <c r="Z1188" s="11" t="inlineStr">
        <is>
          <t>Priority Tier 3 (Broadband Expansion)</t>
        </is>
      </c>
    </row>
    <row r="1189">
      <c r="A1189" s="23" t="n">
        <v>5</v>
      </c>
      <c r="B1189" s="23" t="n">
        <v>185</v>
      </c>
      <c r="C1189" s="23" t="n">
        <v>4185</v>
      </c>
      <c r="D1189" s="23" t="inlineStr">
        <is>
          <t>1102407018</t>
        </is>
      </c>
      <c r="E1189" s="11" t="inlineStr">
        <is>
          <t>Region XI (Davao Region)</t>
        </is>
      </c>
      <c r="F1189" s="11" t="inlineStr">
        <is>
          <t>Davao del Sur</t>
        </is>
      </c>
      <c r="G1189" s="11" t="inlineStr">
        <is>
          <t>Magsaysay</t>
        </is>
      </c>
      <c r="H1189" s="11" t="inlineStr">
        <is>
          <t>Tacul</t>
        </is>
      </c>
      <c r="I1189" s="24" t="n">
        <v>6.80525</v>
      </c>
      <c r="J1189" s="24" t="n">
        <v>125.08751</v>
      </c>
      <c r="K1189" s="23" t="inlineStr">
        <is>
          <t>R</t>
        </is>
      </c>
      <c r="L1189" s="25" t="n">
        <v>3480</v>
      </c>
      <c r="M1189" s="26" t="n">
        <v>3.4</v>
      </c>
      <c r="N1189" s="25">
        <f>ROUND(L1189/M1189, 0)</f>
        <v/>
      </c>
      <c r="O1189" s="25">
        <f>ROUND(N1189*'Methodology &amp; Assumptions'!$B$7, 0)</f>
        <v/>
      </c>
      <c r="P1189" s="23" t="inlineStr">
        <is>
          <t>Single Carrier (Band n50, 100MHz TDD)</t>
        </is>
      </c>
      <c r="Q1189" s="27">
        <f>ROUNDUP(O1189/'Methodology &amp; Assumptions'!$B$8, 0)</f>
        <v/>
      </c>
      <c r="R1189" s="27" t="n">
        <v>1</v>
      </c>
      <c r="S1189" s="26" t="n">
        <v>9.16</v>
      </c>
      <c r="T1189" s="26" t="n">
        <v>16.88</v>
      </c>
      <c r="U1189" s="11">
        <f>IF(S1189&lt;='Methodology &amp; Assumptions'!$B$10, "Direct Optical Drop (&lt;3km)", IF(S1189&lt;='Methodology &amp; Assumptions'!$B$9, "Near Optical / Microwave (&lt;5km)", "Starlink Business LEO Satellite Backhaul (&gt;5km)"))</f>
        <v/>
      </c>
      <c r="V1189" s="26" t="n">
        <v>67.17</v>
      </c>
      <c r="W1189" s="26" t="n">
        <v>49.56</v>
      </c>
      <c r="X1189" s="26">
        <f>ROUND(('Methodology &amp; Assumptions'!$B$5*V1189) + ('Methodology &amp; Assumptions'!$B$6*W1189), 2)</f>
        <v/>
      </c>
      <c r="Y1189" s="28" t="n">
        <v>17.4</v>
      </c>
      <c r="Z1189" s="11" t="inlineStr">
        <is>
          <t>Priority Tier 3 (Broadband Expansion)</t>
        </is>
      </c>
    </row>
    <row r="1190">
      <c r="A1190" s="23" t="n">
        <v>5</v>
      </c>
      <c r="B1190" s="23" t="n">
        <v>186</v>
      </c>
      <c r="C1190" s="23" t="n">
        <v>4186</v>
      </c>
      <c r="D1190" s="23" t="inlineStr">
        <is>
          <t>0301414005</t>
        </is>
      </c>
      <c r="E1190" s="11" t="inlineStr">
        <is>
          <t>Region III (Central Luzon)</t>
        </is>
      </c>
      <c r="F1190" s="11" t="inlineStr">
        <is>
          <t>Bulacan</t>
        </is>
      </c>
      <c r="G1190" s="11" t="inlineStr">
        <is>
          <t>Obando</t>
        </is>
      </c>
      <c r="H1190" s="11" t="inlineStr">
        <is>
          <t>Salambao</t>
        </is>
      </c>
      <c r="I1190" s="24" t="n">
        <v>14.714105</v>
      </c>
      <c r="J1190" s="24" t="n">
        <v>120.907268</v>
      </c>
      <c r="K1190" s="23" t="inlineStr">
        <is>
          <t>R</t>
        </is>
      </c>
      <c r="L1190" s="25" t="n">
        <v>1646</v>
      </c>
      <c r="M1190" s="26" t="n">
        <v>3.5</v>
      </c>
      <c r="N1190" s="25">
        <f>ROUND(L1190/M1190, 0)</f>
        <v/>
      </c>
      <c r="O1190" s="25">
        <f>ROUND(N1190*'Methodology &amp; Assumptions'!$B$7, 0)</f>
        <v/>
      </c>
      <c r="P1190" s="23" t="inlineStr">
        <is>
          <t>Single Carrier (Band n50, 100MHz TDD)</t>
        </is>
      </c>
      <c r="Q1190" s="27">
        <f>ROUNDUP(O1190/'Methodology &amp; Assumptions'!$B$8, 0)</f>
        <v/>
      </c>
      <c r="R1190" s="27" t="n">
        <v>1</v>
      </c>
      <c r="S1190" s="26" t="n">
        <v>3.2</v>
      </c>
      <c r="T1190" s="26" t="n">
        <v>4.97</v>
      </c>
      <c r="U1190" s="11">
        <f>IF(S1190&lt;='Methodology &amp; Assumptions'!$B$10, "Direct Optical Drop (&lt;3km)", IF(S1190&lt;='Methodology &amp; Assumptions'!$B$9, "Near Optical / Microwave (&lt;5km)", "Starlink Business LEO Satellite Backhaul (&gt;5km)"))</f>
        <v/>
      </c>
      <c r="V1190" s="26" t="n">
        <v>62.88</v>
      </c>
      <c r="W1190" s="26" t="n">
        <v>53.84</v>
      </c>
      <c r="X1190" s="26">
        <f>ROUND(('Methodology &amp; Assumptions'!$B$5*V1190) + ('Methodology &amp; Assumptions'!$B$6*W1190), 2)</f>
        <v/>
      </c>
      <c r="Y1190" s="28" t="n">
        <v>8.300000000000001</v>
      </c>
      <c r="Z1190" s="11" t="inlineStr">
        <is>
          <t>Priority Tier 3 (Broadband Expansion)</t>
        </is>
      </c>
    </row>
    <row r="1191">
      <c r="A1191" s="23" t="n">
        <v>5</v>
      </c>
      <c r="B1191" s="23" t="n">
        <v>187</v>
      </c>
      <c r="C1191" s="23" t="n">
        <v>4187</v>
      </c>
      <c r="D1191" s="23" t="inlineStr">
        <is>
          <t>1380601141</t>
        </is>
      </c>
      <c r="E1191" s="11" t="inlineStr">
        <is>
          <t>National Capital Region (NCR)</t>
        </is>
      </c>
      <c r="F1191" s="11" t="inlineStr">
        <is>
          <t>First District (Not a Province)</t>
        </is>
      </c>
      <c r="G1191" s="11" t="inlineStr">
        <is>
          <t>City of Manila</t>
        </is>
      </c>
      <c r="H1191" s="11" t="inlineStr">
        <is>
          <t>Barangay 141</t>
        </is>
      </c>
      <c r="I1191" s="24" t="n">
        <v>14.631426</v>
      </c>
      <c r="J1191" s="24" t="n">
        <v>120.967685</v>
      </c>
      <c r="K1191" s="23" t="inlineStr">
        <is>
          <t>U</t>
        </is>
      </c>
      <c r="L1191" s="25" t="n">
        <v>553</v>
      </c>
      <c r="M1191" s="26" t="n">
        <v>3.98</v>
      </c>
      <c r="N1191" s="25">
        <f>ROUND(L1191/M1191, 0)</f>
        <v/>
      </c>
      <c r="O1191" s="25">
        <f>ROUND(N1191*'Methodology &amp; Assumptions'!$B$7, 0)</f>
        <v/>
      </c>
      <c r="P1191" s="23" t="inlineStr">
        <is>
          <t>Single Carrier (Band n50, 100MHz TDD)</t>
        </is>
      </c>
      <c r="Q1191" s="27">
        <f>ROUNDUP(O1191/'Methodology &amp; Assumptions'!$B$8, 0)</f>
        <v/>
      </c>
      <c r="R1191" s="27" t="n">
        <v>1</v>
      </c>
      <c r="S1191" s="26" t="n">
        <v>0.79</v>
      </c>
      <c r="T1191" s="26" t="n">
        <v>0.42</v>
      </c>
      <c r="U1191" s="11">
        <f>IF(S1191&lt;='Methodology &amp; Assumptions'!$B$10, "Direct Optical Drop (&lt;3km)", IF(S1191&lt;='Methodology &amp; Assumptions'!$B$9, "Near Optical / Microwave (&lt;5km)", "Starlink Business LEO Satellite Backhaul (&gt;5km)"))</f>
        <v/>
      </c>
      <c r="V1191" s="26" t="n">
        <v>45.59</v>
      </c>
      <c r="W1191" s="26" t="n">
        <v>71.12</v>
      </c>
      <c r="X1191" s="26">
        <f>ROUND(('Methodology &amp; Assumptions'!$B$5*V1191) + ('Methodology &amp; Assumptions'!$B$6*W1191), 2)</f>
        <v/>
      </c>
      <c r="Y1191" s="28" t="n">
        <v>10.9</v>
      </c>
      <c r="Z1191" s="11" t="inlineStr">
        <is>
          <t>Priority Tier 3 (Broadband Expansion)</t>
        </is>
      </c>
    </row>
    <row r="1192">
      <c r="A1192" s="23" t="n">
        <v>5</v>
      </c>
      <c r="B1192" s="23" t="n">
        <v>188</v>
      </c>
      <c r="C1192" s="23" t="n">
        <v>4188</v>
      </c>
      <c r="D1192" s="23" t="inlineStr">
        <is>
          <t>0603036009</t>
        </is>
      </c>
      <c r="E1192" s="11" t="inlineStr">
        <is>
          <t>Region VI (Western Visayas)</t>
        </is>
      </c>
      <c r="F1192" s="11" t="inlineStr">
        <is>
          <t>Iloilo</t>
        </is>
      </c>
      <c r="G1192" s="11" t="inlineStr">
        <is>
          <t>Pavia</t>
        </is>
      </c>
      <c r="H1192" s="11" t="inlineStr">
        <is>
          <t>Cabugao Norte</t>
        </is>
      </c>
      <c r="I1192" s="24" t="n">
        <v>10.786959</v>
      </c>
      <c r="J1192" s="24" t="n">
        <v>122.545789</v>
      </c>
      <c r="K1192" s="23" t="inlineStr">
        <is>
          <t>R</t>
        </is>
      </c>
      <c r="L1192" s="25" t="n">
        <v>2842</v>
      </c>
      <c r="M1192" s="26" t="n">
        <v>3.8</v>
      </c>
      <c r="N1192" s="25">
        <f>ROUND(L1192/M1192, 0)</f>
        <v/>
      </c>
      <c r="O1192" s="25">
        <f>ROUND(N1192*'Methodology &amp; Assumptions'!$B$7, 0)</f>
        <v/>
      </c>
      <c r="P1192" s="23" t="inlineStr">
        <is>
          <t>Single Carrier (Band n50, 100MHz TDD)</t>
        </is>
      </c>
      <c r="Q1192" s="27">
        <f>ROUNDUP(O1192/'Methodology &amp; Assumptions'!$B$8, 0)</f>
        <v/>
      </c>
      <c r="R1192" s="27" t="n">
        <v>1</v>
      </c>
      <c r="S1192" s="26" t="n">
        <v>1.4</v>
      </c>
      <c r="T1192" s="26" t="n">
        <v>4.35</v>
      </c>
      <c r="U1192" s="11">
        <f>IF(S1192&lt;='Methodology &amp; Assumptions'!$B$10, "Direct Optical Drop (&lt;3km)", IF(S1192&lt;='Methodology &amp; Assumptions'!$B$9, "Near Optical / Microwave (&lt;5km)", "Starlink Business LEO Satellite Backhaul (&gt;5km)"))</f>
        <v/>
      </c>
      <c r="V1192" s="26" t="n">
        <v>78.56</v>
      </c>
      <c r="W1192" s="26" t="n">
        <v>38.14</v>
      </c>
      <c r="X1192" s="26">
        <f>ROUND(('Methodology &amp; Assumptions'!$B$5*V1192) + ('Methodology &amp; Assumptions'!$B$6*W1192), 2)</f>
        <v/>
      </c>
      <c r="Y1192" s="28" t="n">
        <v>23.7</v>
      </c>
      <c r="Z1192" s="11" t="inlineStr">
        <is>
          <t>Priority Tier 3 (Broadband Expansion)</t>
        </is>
      </c>
    </row>
    <row r="1193">
      <c r="A1193" s="23" t="n">
        <v>5</v>
      </c>
      <c r="B1193" s="23" t="n">
        <v>189</v>
      </c>
      <c r="C1193" s="23" t="n">
        <v>4189</v>
      </c>
      <c r="D1193" s="23" t="inlineStr">
        <is>
          <t>0403417045</t>
        </is>
      </c>
      <c r="E1193" s="11" t="inlineStr">
        <is>
          <t>Region IV-A (CALABARZON)</t>
        </is>
      </c>
      <c r="F1193" s="11" t="inlineStr">
        <is>
          <t>Laguna</t>
        </is>
      </c>
      <c r="G1193" s="11" t="inlineStr">
        <is>
          <t>Nagcarlan</t>
        </is>
      </c>
      <c r="H1193" s="11" t="inlineStr">
        <is>
          <t>Santa Lucia</t>
        </is>
      </c>
      <c r="I1193" s="24" t="n">
        <v>14.17854</v>
      </c>
      <c r="J1193" s="24" t="n">
        <v>121.41138</v>
      </c>
      <c r="K1193" s="23" t="inlineStr">
        <is>
          <t>R</t>
        </is>
      </c>
      <c r="L1193" s="25" t="n">
        <v>3315</v>
      </c>
      <c r="M1193" s="26" t="n">
        <v>3.3</v>
      </c>
      <c r="N1193" s="25">
        <f>ROUND(L1193/M1193, 0)</f>
        <v/>
      </c>
      <c r="O1193" s="25">
        <f>ROUND(N1193*'Methodology &amp; Assumptions'!$B$7, 0)</f>
        <v/>
      </c>
      <c r="P1193" s="23" t="inlineStr">
        <is>
          <t>Single Carrier (Band n50, 100MHz TDD)</t>
        </is>
      </c>
      <c r="Q1193" s="27">
        <f>ROUNDUP(O1193/'Methodology &amp; Assumptions'!$B$8, 0)</f>
        <v/>
      </c>
      <c r="R1193" s="27" t="n">
        <v>1</v>
      </c>
      <c r="S1193" s="26" t="n">
        <v>3.04</v>
      </c>
      <c r="T1193" s="26" t="n">
        <v>1.84</v>
      </c>
      <c r="U1193" s="11">
        <f>IF(S1193&lt;='Methodology &amp; Assumptions'!$B$10, "Direct Optical Drop (&lt;3km)", IF(S1193&lt;='Methodology &amp; Assumptions'!$B$9, "Near Optical / Microwave (&lt;5km)", "Starlink Business LEO Satellite Backhaul (&gt;5km)"))</f>
        <v/>
      </c>
      <c r="V1193" s="26" t="n">
        <v>77.91</v>
      </c>
      <c r="W1193" s="26" t="n">
        <v>38.78</v>
      </c>
      <c r="X1193" s="26">
        <f>ROUND(('Methodology &amp; Assumptions'!$B$5*V1193) + ('Methodology &amp; Assumptions'!$B$6*W1193), 2)</f>
        <v/>
      </c>
      <c r="Y1193" s="28" t="n">
        <v>7.2</v>
      </c>
      <c r="Z1193" s="11" t="inlineStr">
        <is>
          <t>Priority Tier 3 (Broadband Expansion)</t>
        </is>
      </c>
    </row>
    <row r="1194">
      <c r="A1194" s="23" t="n">
        <v>5</v>
      </c>
      <c r="B1194" s="23" t="n">
        <v>190</v>
      </c>
      <c r="C1194" s="23" t="n">
        <v>4190</v>
      </c>
      <c r="D1194" s="23" t="inlineStr">
        <is>
          <t>0401012033</t>
        </is>
      </c>
      <c r="E1194" s="11" t="inlineStr">
        <is>
          <t>Region IV-A (CALABARZON)</t>
        </is>
      </c>
      <c r="F1194" s="11" t="inlineStr">
        <is>
          <t>Batangas</t>
        </is>
      </c>
      <c r="G1194" s="11" t="inlineStr">
        <is>
          <t>Lemery</t>
        </is>
      </c>
      <c r="H1194" s="11" t="inlineStr">
        <is>
          <t>District II</t>
        </is>
      </c>
      <c r="I1194" s="24" t="n">
        <v>13.880506</v>
      </c>
      <c r="J1194" s="24" t="n">
        <v>120.918424</v>
      </c>
      <c r="K1194" s="23" t="inlineStr">
        <is>
          <t>U</t>
        </is>
      </c>
      <c r="L1194" s="25" t="n">
        <v>624</v>
      </c>
      <c r="M1194" s="26" t="n">
        <v>3.6</v>
      </c>
      <c r="N1194" s="25">
        <f>ROUND(L1194/M1194, 0)</f>
        <v/>
      </c>
      <c r="O1194" s="25">
        <f>ROUND(N1194*'Methodology &amp; Assumptions'!$B$7, 0)</f>
        <v/>
      </c>
      <c r="P1194" s="23" t="inlineStr">
        <is>
          <t>Single Carrier (Band n50, 100MHz TDD)</t>
        </is>
      </c>
      <c r="Q1194" s="27">
        <f>ROUNDUP(O1194/'Methodology &amp; Assumptions'!$B$8, 0)</f>
        <v/>
      </c>
      <c r="R1194" s="27" t="n">
        <v>1</v>
      </c>
      <c r="S1194" s="26" t="n">
        <v>0.55</v>
      </c>
      <c r="T1194" s="26" t="n">
        <v>1.85</v>
      </c>
      <c r="U1194" s="11">
        <f>IF(S1194&lt;='Methodology &amp; Assumptions'!$B$10, "Direct Optical Drop (&lt;3km)", IF(S1194&lt;='Methodology &amp; Assumptions'!$B$9, "Near Optical / Microwave (&lt;5km)", "Starlink Business LEO Satellite Backhaul (&gt;5km)"))</f>
        <v/>
      </c>
      <c r="V1194" s="26" t="n">
        <v>57.32</v>
      </c>
      <c r="W1194" s="26" t="n">
        <v>59.38</v>
      </c>
      <c r="X1194" s="26">
        <f>ROUND(('Methodology &amp; Assumptions'!$B$5*V1194) + ('Methodology &amp; Assumptions'!$B$6*W1194), 2)</f>
        <v/>
      </c>
      <c r="Y1194" s="28" t="n">
        <v>7.2</v>
      </c>
      <c r="Z1194" s="11" t="inlineStr">
        <is>
          <t>Priority Tier 3 (Broadband Expansion)</t>
        </is>
      </c>
    </row>
    <row r="1195">
      <c r="A1195" s="23" t="n">
        <v>5</v>
      </c>
      <c r="B1195" s="23" t="n">
        <v>191</v>
      </c>
      <c r="C1195" s="23" t="n">
        <v>4191</v>
      </c>
      <c r="D1195" s="23" t="inlineStr">
        <is>
          <t>1705322009</t>
        </is>
      </c>
      <c r="E1195" s="11" t="inlineStr">
        <is>
          <t>MIMAROPA Region</t>
        </is>
      </c>
      <c r="F1195" s="11" t="inlineStr">
        <is>
          <t>Palawan</t>
        </is>
      </c>
      <c r="G1195" s="11" t="inlineStr">
        <is>
          <t>Culion</t>
        </is>
      </c>
      <c r="H1195" s="11" t="inlineStr">
        <is>
          <t>Malaking Patag</t>
        </is>
      </c>
      <c r="I1195" s="24" t="n">
        <v>11.857041</v>
      </c>
      <c r="J1195" s="24" t="n">
        <v>119.941791</v>
      </c>
      <c r="K1195" s="23" t="inlineStr">
        <is>
          <t>R</t>
        </is>
      </c>
      <c r="L1195" s="25" t="n">
        <v>2091</v>
      </c>
      <c r="M1195" s="26" t="n">
        <v>3.9</v>
      </c>
      <c r="N1195" s="25">
        <f>ROUND(L1195/M1195, 0)</f>
        <v/>
      </c>
      <c r="O1195" s="25">
        <f>ROUND(N1195*'Methodology &amp; Assumptions'!$B$7, 0)</f>
        <v/>
      </c>
      <c r="P1195" s="23" t="inlineStr">
        <is>
          <t>Single Carrier (Band n50, 100MHz TDD)</t>
        </is>
      </c>
      <c r="Q1195" s="27">
        <f>ROUNDUP(O1195/'Methodology &amp; Assumptions'!$B$8, 0)</f>
        <v/>
      </c>
      <c r="R1195" s="27" t="n">
        <v>1</v>
      </c>
      <c r="S1195" s="26" t="n">
        <v>30.31</v>
      </c>
      <c r="T1195" s="26" t="n">
        <v>124.37</v>
      </c>
      <c r="U1195" s="11">
        <f>IF(S1195&lt;='Methodology &amp; Assumptions'!$B$10, "Direct Optical Drop (&lt;3km)", IF(S1195&lt;='Methodology &amp; Assumptions'!$B$9, "Near Optical / Microwave (&lt;5km)", "Starlink Business LEO Satellite Backhaul (&gt;5km)"))</f>
        <v/>
      </c>
      <c r="V1195" s="26" t="n">
        <v>50.39</v>
      </c>
      <c r="W1195" s="26" t="n">
        <v>66.31</v>
      </c>
      <c r="X1195" s="26">
        <f>ROUND(('Methodology &amp; Assumptions'!$B$5*V1195) + ('Methodology &amp; Assumptions'!$B$6*W1195), 2)</f>
        <v/>
      </c>
      <c r="Y1195" s="28" t="n">
        <v>15</v>
      </c>
      <c r="Z1195" s="11" t="inlineStr">
        <is>
          <t>Priority Tier 3 (Broadband Expansion)</t>
        </is>
      </c>
    </row>
    <row r="1196">
      <c r="A1196" s="23" t="n">
        <v>5</v>
      </c>
      <c r="B1196" s="23" t="n">
        <v>192</v>
      </c>
      <c r="C1196" s="23" t="n">
        <v>4192</v>
      </c>
      <c r="D1196" s="23" t="inlineStr">
        <is>
          <t>0990101023</t>
        </is>
      </c>
      <c r="E1196" s="11" t="inlineStr">
        <is>
          <t>Region IX (Zamboanga Peninsula)</t>
        </is>
      </c>
      <c r="F1196" s="11" t="inlineStr">
        <is>
          <t>City of Isabela (Not a Province)</t>
        </is>
      </c>
      <c r="G1196" s="11" t="inlineStr">
        <is>
          <t>City of Isabela</t>
        </is>
      </c>
      <c r="H1196" s="11" t="inlineStr">
        <is>
          <t>Lampinigan</t>
        </is>
      </c>
      <c r="I1196" s="24" t="n">
        <v>6.687283</v>
      </c>
      <c r="J1196" s="24" t="n">
        <v>121.878236</v>
      </c>
      <c r="K1196" s="23" t="inlineStr">
        <is>
          <t>R</t>
        </is>
      </c>
      <c r="L1196" s="25" t="n">
        <v>1811</v>
      </c>
      <c r="M1196" s="26" t="n">
        <v>4.4</v>
      </c>
      <c r="N1196" s="25">
        <f>ROUND(L1196/M1196, 0)</f>
        <v/>
      </c>
      <c r="O1196" s="25">
        <f>ROUND(N1196*'Methodology &amp; Assumptions'!$B$7, 0)</f>
        <v/>
      </c>
      <c r="P1196" s="23" t="inlineStr">
        <is>
          <t>Single Carrier (Band n50, 100MHz TDD)</t>
        </is>
      </c>
      <c r="Q1196" s="27">
        <f>ROUNDUP(O1196/'Methodology &amp; Assumptions'!$B$8, 0)</f>
        <v/>
      </c>
      <c r="R1196" s="27" t="n">
        <v>1</v>
      </c>
      <c r="S1196" s="26" t="n">
        <v>32.88</v>
      </c>
      <c r="T1196" s="26" t="n">
        <v>32.88</v>
      </c>
      <c r="U1196" s="11">
        <f>IF(S1196&lt;='Methodology &amp; Assumptions'!$B$10, "Direct Optical Drop (&lt;3km)", IF(S1196&lt;='Methodology &amp; Assumptions'!$B$9, "Near Optical / Microwave (&lt;5km)", "Starlink Business LEO Satellite Backhaul (&gt;5km)"))</f>
        <v/>
      </c>
      <c r="V1196" s="26" t="n">
        <v>47.48</v>
      </c>
      <c r="W1196" s="26" t="n">
        <v>69.22</v>
      </c>
      <c r="X1196" s="26">
        <f>ROUND(('Methodology &amp; Assumptions'!$B$5*V1196) + ('Methodology &amp; Assumptions'!$B$6*W1196), 2)</f>
        <v/>
      </c>
      <c r="Y1196" s="28" t="n">
        <v>11</v>
      </c>
      <c r="Z1196" s="11" t="inlineStr">
        <is>
          <t>Priority Tier 3 (Broadband Expansion)</t>
        </is>
      </c>
    </row>
    <row r="1197">
      <c r="A1197" s="23" t="n">
        <v>5</v>
      </c>
      <c r="B1197" s="23" t="n">
        <v>193</v>
      </c>
      <c r="C1197" s="23" t="n">
        <v>4193</v>
      </c>
      <c r="D1197" s="23" t="inlineStr">
        <is>
          <t>0907313010</t>
        </is>
      </c>
      <c r="E1197" s="11" t="inlineStr">
        <is>
          <t>Region IX (Zamboanga Peninsula)</t>
        </is>
      </c>
      <c r="F1197" s="11" t="inlineStr">
        <is>
          <t>Zamboanga del Sur</t>
        </is>
      </c>
      <c r="G1197" s="11" t="inlineStr">
        <is>
          <t>Lapuyan</t>
        </is>
      </c>
      <c r="H1197" s="11" t="inlineStr">
        <is>
          <t>Linokmadalum</t>
        </is>
      </c>
      <c r="I1197" s="24" t="n">
        <v>7.672655</v>
      </c>
      <c r="J1197" s="24" t="n">
        <v>123.140776</v>
      </c>
      <c r="K1197" s="23" t="inlineStr">
        <is>
          <t>R</t>
        </is>
      </c>
      <c r="L1197" s="25" t="n">
        <v>918</v>
      </c>
      <c r="M1197" s="26" t="n">
        <v>3.9</v>
      </c>
      <c r="N1197" s="25">
        <f>ROUND(L1197/M1197, 0)</f>
        <v/>
      </c>
      <c r="O1197" s="25">
        <f>ROUND(N1197*'Methodology &amp; Assumptions'!$B$7, 0)</f>
        <v/>
      </c>
      <c r="P1197" s="23" t="inlineStr">
        <is>
          <t>Single Carrier (Band n50, 100MHz TDD)</t>
        </is>
      </c>
      <c r="Q1197" s="27">
        <f>ROUNDUP(O1197/'Methodology &amp; Assumptions'!$B$8, 0)</f>
        <v/>
      </c>
      <c r="R1197" s="27" t="n">
        <v>1</v>
      </c>
      <c r="S1197" s="26" t="n">
        <v>11.38</v>
      </c>
      <c r="T1197" s="26" t="n">
        <v>8.77</v>
      </c>
      <c r="U1197" s="11">
        <f>IF(S1197&lt;='Methodology &amp; Assumptions'!$B$10, "Direct Optical Drop (&lt;3km)", IF(S1197&lt;='Methodology &amp; Assumptions'!$B$9, "Near Optical / Microwave (&lt;5km)", "Starlink Business LEO Satellite Backhaul (&gt;5km)"))</f>
        <v/>
      </c>
      <c r="V1197" s="26" t="n">
        <v>44.89</v>
      </c>
      <c r="W1197" s="26" t="n">
        <v>71.81999999999999</v>
      </c>
      <c r="X1197" s="26">
        <f>ROUND(('Methodology &amp; Assumptions'!$B$5*V1197) + ('Methodology &amp; Assumptions'!$B$6*W1197), 2)</f>
        <v/>
      </c>
      <c r="Y1197" s="28" t="n">
        <v>11</v>
      </c>
      <c r="Z1197" s="11" t="inlineStr">
        <is>
          <t>Priority Tier 3 (Broadband Expansion)</t>
        </is>
      </c>
    </row>
    <row r="1198">
      <c r="A1198" s="23" t="n">
        <v>5</v>
      </c>
      <c r="B1198" s="23" t="n">
        <v>194</v>
      </c>
      <c r="C1198" s="23" t="n">
        <v>4194</v>
      </c>
      <c r="D1198" s="23" t="inlineStr">
        <is>
          <t>0506203064</t>
        </is>
      </c>
      <c r="E1198" s="11" t="inlineStr">
        <is>
          <t>Region V (Bicol Region)</t>
        </is>
      </c>
      <c r="F1198" s="11" t="inlineStr">
        <is>
          <t>Sorsogon</t>
        </is>
      </c>
      <c r="G1198" s="11" t="inlineStr">
        <is>
          <t>Bulan</t>
        </is>
      </c>
      <c r="H1198" s="11" t="inlineStr">
        <is>
          <t>Zone VII Pob.</t>
        </is>
      </c>
      <c r="I1198" s="24" t="n">
        <v>12.675619</v>
      </c>
      <c r="J1198" s="24" t="n">
        <v>123.871353</v>
      </c>
      <c r="K1198" s="23" t="inlineStr">
        <is>
          <t>R</t>
        </is>
      </c>
      <c r="L1198" s="25" t="n">
        <v>4189</v>
      </c>
      <c r="M1198" s="26" t="n">
        <v>4</v>
      </c>
      <c r="N1198" s="25">
        <f>ROUND(L1198/M1198, 0)</f>
        <v/>
      </c>
      <c r="O1198" s="25">
        <f>ROUND(N1198*'Methodology &amp; Assumptions'!$B$7, 0)</f>
        <v/>
      </c>
      <c r="P1198" s="23" t="inlineStr">
        <is>
          <t>Single Carrier (Band n50, 100MHz TDD)</t>
        </is>
      </c>
      <c r="Q1198" s="27">
        <f>ROUNDUP(O1198/'Methodology &amp; Assumptions'!$B$8, 0)</f>
        <v/>
      </c>
      <c r="R1198" s="27" t="n">
        <v>1</v>
      </c>
      <c r="S1198" s="26" t="n">
        <v>0.67</v>
      </c>
      <c r="T1198" s="26" t="n">
        <v>0.37</v>
      </c>
      <c r="U1198" s="11">
        <f>IF(S1198&lt;='Methodology &amp; Assumptions'!$B$10, "Direct Optical Drop (&lt;3km)", IF(S1198&lt;='Methodology &amp; Assumptions'!$B$9, "Near Optical / Microwave (&lt;5km)", "Starlink Business LEO Satellite Backhaul (&gt;5km)"))</f>
        <v/>
      </c>
      <c r="V1198" s="26" t="n">
        <v>88.06</v>
      </c>
      <c r="W1198" s="26" t="n">
        <v>28.63</v>
      </c>
      <c r="X1198" s="26">
        <f>ROUND(('Methodology &amp; Assumptions'!$B$5*V1198) + ('Methodology &amp; Assumptions'!$B$6*W1198), 2)</f>
        <v/>
      </c>
      <c r="Y1198" s="28" t="n">
        <v>23.7</v>
      </c>
      <c r="Z1198" s="11" t="inlineStr">
        <is>
          <t>Priority Tier 3 (Broadband Expansion)</t>
        </is>
      </c>
    </row>
    <row r="1199">
      <c r="A1199" s="23" t="n">
        <v>5</v>
      </c>
      <c r="B1199" s="23" t="n">
        <v>195</v>
      </c>
      <c r="C1199" s="23" t="n">
        <v>4195</v>
      </c>
      <c r="D1199" s="23" t="inlineStr">
        <is>
          <t>0600407003</t>
        </is>
      </c>
      <c r="E1199" s="11" t="inlineStr">
        <is>
          <t>Region VI (Western Visayas)</t>
        </is>
      </c>
      <c r="F1199" s="11" t="inlineStr">
        <is>
          <t>Aklan</t>
        </is>
      </c>
      <c r="G1199" s="11" t="inlineStr">
        <is>
          <t>Kalibo</t>
        </is>
      </c>
      <c r="H1199" s="11" t="inlineStr">
        <is>
          <t>Bachaw Sur</t>
        </is>
      </c>
      <c r="I1199" s="24" t="n">
        <v>11.718669</v>
      </c>
      <c r="J1199" s="24" t="n">
        <v>122.37805</v>
      </c>
      <c r="K1199" s="23" t="inlineStr">
        <is>
          <t>R</t>
        </is>
      </c>
      <c r="L1199" s="25" t="n">
        <v>3705</v>
      </c>
      <c r="M1199" s="26" t="n">
        <v>3.9</v>
      </c>
      <c r="N1199" s="25">
        <f>ROUND(L1199/M1199, 0)</f>
        <v/>
      </c>
      <c r="O1199" s="25">
        <f>ROUND(N1199*'Methodology &amp; Assumptions'!$B$7, 0)</f>
        <v/>
      </c>
      <c r="P1199" s="23" t="inlineStr">
        <is>
          <t>Single Carrier (Band n50, 100MHz TDD)</t>
        </is>
      </c>
      <c r="Q1199" s="27">
        <f>ROUNDUP(O1199/'Methodology &amp; Assumptions'!$B$8, 0)</f>
        <v/>
      </c>
      <c r="R1199" s="27" t="n">
        <v>1</v>
      </c>
      <c r="S1199" s="26" t="n">
        <v>2.64</v>
      </c>
      <c r="T1199" s="26" t="n">
        <v>1.55</v>
      </c>
      <c r="U1199" s="11">
        <f>IF(S1199&lt;='Methodology &amp; Assumptions'!$B$10, "Direct Optical Drop (&lt;3km)", IF(S1199&lt;='Methodology &amp; Assumptions'!$B$9, "Near Optical / Microwave (&lt;5km)", "Starlink Business LEO Satellite Backhaul (&gt;5km)"))</f>
        <v/>
      </c>
      <c r="V1199" s="26" t="n">
        <v>81.70999999999999</v>
      </c>
      <c r="W1199" s="26" t="n">
        <v>34.97</v>
      </c>
      <c r="X1199" s="26">
        <f>ROUND(('Methodology &amp; Assumptions'!$B$5*V1199) + ('Methodology &amp; Assumptions'!$B$6*W1199), 2)</f>
        <v/>
      </c>
      <c r="Y1199" s="28" t="n">
        <v>23.7</v>
      </c>
      <c r="Z1199" s="11" t="inlineStr">
        <is>
          <t>Priority Tier 3 (Broadband Expansion)</t>
        </is>
      </c>
    </row>
    <row r="1200">
      <c r="A1200" s="23" t="n">
        <v>5</v>
      </c>
      <c r="B1200" s="23" t="n">
        <v>196</v>
      </c>
      <c r="C1200" s="23" t="n">
        <v>4196</v>
      </c>
      <c r="D1200" s="23" t="inlineStr">
        <is>
          <t>0306905035</t>
        </is>
      </c>
      <c r="E1200" s="11" t="inlineStr">
        <is>
          <t>Region III (Central Luzon)</t>
        </is>
      </c>
      <c r="F1200" s="11" t="inlineStr">
        <is>
          <t>Tarlac</t>
        </is>
      </c>
      <c r="G1200" s="11" t="inlineStr">
        <is>
          <t>Concepcion</t>
        </is>
      </c>
      <c r="H1200" s="11" t="inlineStr">
        <is>
          <t>San Nicolas</t>
        </is>
      </c>
      <c r="I1200" s="24" t="n">
        <v>15.325418</v>
      </c>
      <c r="J1200" s="24" t="n">
        <v>120.653211</v>
      </c>
      <c r="K1200" s="23" t="inlineStr">
        <is>
          <t>U</t>
        </is>
      </c>
      <c r="L1200" s="25" t="n">
        <v>5092</v>
      </c>
      <c r="M1200" s="26" t="n">
        <v>3.9</v>
      </c>
      <c r="N1200" s="25">
        <f>ROUND(L1200/M1200, 0)</f>
        <v/>
      </c>
      <c r="O1200" s="25">
        <f>ROUND(N1200*'Methodology &amp; Assumptions'!$B$7, 0)</f>
        <v/>
      </c>
      <c r="P1200" s="23" t="inlineStr">
        <is>
          <t>Single Carrier (Band n50, 100MHz TDD)</t>
        </is>
      </c>
      <c r="Q1200" s="27">
        <f>ROUNDUP(O1200/'Methodology &amp; Assumptions'!$B$8, 0)</f>
        <v/>
      </c>
      <c r="R1200" s="27" t="n">
        <v>1</v>
      </c>
      <c r="S1200" s="26" t="n">
        <v>0.09</v>
      </c>
      <c r="T1200" s="26" t="n">
        <v>0.3</v>
      </c>
      <c r="U1200" s="11">
        <f>IF(S1200&lt;='Methodology &amp; Assumptions'!$B$10, "Direct Optical Drop (&lt;3km)", IF(S1200&lt;='Methodology &amp; Assumptions'!$B$9, "Near Optical / Microwave (&lt;5km)", "Starlink Business LEO Satellite Backhaul (&gt;5km)"))</f>
        <v/>
      </c>
      <c r="V1200" s="26" t="n">
        <v>78.43000000000001</v>
      </c>
      <c r="W1200" s="26" t="n">
        <v>38.25</v>
      </c>
      <c r="X1200" s="26">
        <f>ROUND(('Methodology &amp; Assumptions'!$B$5*V1200) + ('Methodology &amp; Assumptions'!$B$6*W1200), 2)</f>
        <v/>
      </c>
      <c r="Y1200" s="28" t="n">
        <v>8.300000000000001</v>
      </c>
      <c r="Z1200" s="11" t="inlineStr">
        <is>
          <t>Priority Tier 3 (Broadband Expansion)</t>
        </is>
      </c>
    </row>
    <row r="1201">
      <c r="A1201" s="23" t="n">
        <v>5</v>
      </c>
      <c r="B1201" s="23" t="n">
        <v>197</v>
      </c>
      <c r="C1201" s="23" t="n">
        <v>4197</v>
      </c>
      <c r="D1201" s="23" t="inlineStr">
        <is>
          <t>1404402014</t>
        </is>
      </c>
      <c r="E1201" s="11" t="inlineStr">
        <is>
          <t>Cordillera Administrative Region (CAR)</t>
        </is>
      </c>
      <c r="F1201" s="11" t="inlineStr">
        <is>
          <t>Mountain Province</t>
        </is>
      </c>
      <c r="G1201" s="11" t="inlineStr">
        <is>
          <t>Bauko</t>
        </is>
      </c>
      <c r="H1201" s="11" t="inlineStr">
        <is>
          <t>Monamon Norte</t>
        </is>
      </c>
      <c r="I1201" s="24" t="n">
        <v>16.868611</v>
      </c>
      <c r="J1201" s="24" t="n">
        <v>120.896944</v>
      </c>
      <c r="K1201" s="23" t="inlineStr">
        <is>
          <t>R</t>
        </is>
      </c>
      <c r="L1201" s="25" t="n">
        <v>2809</v>
      </c>
      <c r="M1201" s="26" t="n">
        <v>3.7</v>
      </c>
      <c r="N1201" s="25">
        <f>ROUND(L1201/M1201, 0)</f>
        <v/>
      </c>
      <c r="O1201" s="25">
        <f>ROUND(N1201*'Methodology &amp; Assumptions'!$B$7, 0)</f>
        <v/>
      </c>
      <c r="P1201" s="23" t="inlineStr">
        <is>
          <t>Single Carrier (Band n50, 100MHz TDD)</t>
        </is>
      </c>
      <c r="Q1201" s="27">
        <f>ROUNDUP(O1201/'Methodology &amp; Assumptions'!$B$8, 0)</f>
        <v/>
      </c>
      <c r="R1201" s="27" t="n">
        <v>1</v>
      </c>
      <c r="S1201" s="26" t="n">
        <v>2.34</v>
      </c>
      <c r="T1201" s="26" t="n">
        <v>1.83</v>
      </c>
      <c r="U1201" s="11">
        <f>IF(S1201&lt;='Methodology &amp; Assumptions'!$B$10, "Direct Optical Drop (&lt;3km)", IF(S1201&lt;='Methodology &amp; Assumptions'!$B$9, "Near Optical / Microwave (&lt;5km)", "Starlink Business LEO Satellite Backhaul (&gt;5km)"))</f>
        <v/>
      </c>
      <c r="V1201" s="26" t="n">
        <v>77.09</v>
      </c>
      <c r="W1201" s="26" t="n">
        <v>39.59</v>
      </c>
      <c r="X1201" s="26">
        <f>ROUND(('Methodology &amp; Assumptions'!$B$5*V1201) + ('Methodology &amp; Assumptions'!$B$6*W1201), 2)</f>
        <v/>
      </c>
      <c r="Y1201" s="28" t="n">
        <v>10.9</v>
      </c>
      <c r="Z1201" s="11" t="inlineStr">
        <is>
          <t>Priority Tier 3 (Broadband Expansion)</t>
        </is>
      </c>
    </row>
    <row r="1202">
      <c r="A1202" s="23" t="n">
        <v>5</v>
      </c>
      <c r="B1202" s="23" t="n">
        <v>198</v>
      </c>
      <c r="C1202" s="23" t="n">
        <v>4198</v>
      </c>
      <c r="D1202" s="23" t="inlineStr">
        <is>
          <t>1380614050</t>
        </is>
      </c>
      <c r="E1202" s="11" t="inlineStr">
        <is>
          <t>National Capital Region (NCR)</t>
        </is>
      </c>
      <c r="F1202" s="11" t="inlineStr">
        <is>
          <t>First District (Not a Province)</t>
        </is>
      </c>
      <c r="G1202" s="11" t="inlineStr">
        <is>
          <t>City of Manila</t>
        </is>
      </c>
      <c r="H1202" s="11" t="inlineStr">
        <is>
          <t>Barangay 794</t>
        </is>
      </c>
      <c r="I1202" s="24" t="n">
        <v>14.575532</v>
      </c>
      <c r="J1202" s="24" t="n">
        <v>121.001752</v>
      </c>
      <c r="K1202" s="23" t="inlineStr">
        <is>
          <t>U</t>
        </is>
      </c>
      <c r="L1202" s="25" t="n">
        <v>709</v>
      </c>
      <c r="M1202" s="26" t="n">
        <v>3.49</v>
      </c>
      <c r="N1202" s="25">
        <f>ROUND(L1202/M1202, 0)</f>
        <v/>
      </c>
      <c r="O1202" s="25">
        <f>ROUND(N1202*'Methodology &amp; Assumptions'!$B$7, 0)</f>
        <v/>
      </c>
      <c r="P1202" s="23" t="inlineStr">
        <is>
          <t>Single Carrier (Band n50, 100MHz TDD)</t>
        </is>
      </c>
      <c r="Q1202" s="27">
        <f>ROUNDUP(O1202/'Methodology &amp; Assumptions'!$B$8, 0)</f>
        <v/>
      </c>
      <c r="R1202" s="27" t="n">
        <v>1</v>
      </c>
      <c r="S1202" s="26" t="n">
        <v>0.9</v>
      </c>
      <c r="T1202" s="26" t="n">
        <v>0.52</v>
      </c>
      <c r="U1202" s="11">
        <f>IF(S1202&lt;='Methodology &amp; Assumptions'!$B$10, "Direct Optical Drop (&lt;3km)", IF(S1202&lt;='Methodology &amp; Assumptions'!$B$9, "Near Optical / Microwave (&lt;5km)", "Starlink Business LEO Satellite Backhaul (&gt;5km)"))</f>
        <v/>
      </c>
      <c r="V1202" s="26" t="n">
        <v>47.41</v>
      </c>
      <c r="W1202" s="26" t="n">
        <v>69.27</v>
      </c>
      <c r="X1202" s="26">
        <f>ROUND(('Methodology &amp; Assumptions'!$B$5*V1202) + ('Methodology &amp; Assumptions'!$B$6*W1202), 2)</f>
        <v/>
      </c>
      <c r="Y1202" s="28" t="n">
        <v>10.9</v>
      </c>
      <c r="Z1202" s="11" t="inlineStr">
        <is>
          <t>Priority Tier 3 (Broadband Expansion)</t>
        </is>
      </c>
    </row>
    <row r="1203">
      <c r="A1203" s="23" t="n">
        <v>5</v>
      </c>
      <c r="B1203" s="23" t="n">
        <v>199</v>
      </c>
      <c r="C1203" s="23" t="n">
        <v>4199</v>
      </c>
      <c r="D1203" s="23" t="inlineStr">
        <is>
          <t>0105538005</t>
        </is>
      </c>
      <c r="E1203" s="11" t="inlineStr">
        <is>
          <t>Region I (Ilocos Region)</t>
        </is>
      </c>
      <c r="F1203" s="11" t="inlineStr">
        <is>
          <t>Pangasinan</t>
        </is>
      </c>
      <c r="G1203" s="11" t="inlineStr">
        <is>
          <t>Santa Barbara</t>
        </is>
      </c>
      <c r="H1203" s="11" t="inlineStr">
        <is>
          <t>Botao</t>
        </is>
      </c>
      <c r="I1203" s="24" t="n">
        <v>15.974351</v>
      </c>
      <c r="J1203" s="24" t="n">
        <v>120.458649</v>
      </c>
      <c r="K1203" s="23" t="inlineStr">
        <is>
          <t>R</t>
        </is>
      </c>
      <c r="L1203" s="25" t="n">
        <v>3428</v>
      </c>
      <c r="M1203" s="26" t="n">
        <v>3.6</v>
      </c>
      <c r="N1203" s="25">
        <f>ROUND(L1203/M1203, 0)</f>
        <v/>
      </c>
      <c r="O1203" s="25">
        <f>ROUND(N1203*'Methodology &amp; Assumptions'!$B$7, 0)</f>
        <v/>
      </c>
      <c r="P1203" s="23" t="inlineStr">
        <is>
          <t>Single Carrier (Band n50, 100MHz TDD)</t>
        </is>
      </c>
      <c r="Q1203" s="27">
        <f>ROUNDUP(O1203/'Methodology &amp; Assumptions'!$B$8, 0)</f>
        <v/>
      </c>
      <c r="R1203" s="27" t="n">
        <v>1</v>
      </c>
      <c r="S1203" s="26" t="n">
        <v>1.03</v>
      </c>
      <c r="T1203" s="26" t="n">
        <v>1.03</v>
      </c>
      <c r="U1203" s="11">
        <f>IF(S1203&lt;='Methodology &amp; Assumptions'!$B$10, "Direct Optical Drop (&lt;3km)", IF(S1203&lt;='Methodology &amp; Assumptions'!$B$9, "Near Optical / Microwave (&lt;5km)", "Starlink Business LEO Satellite Backhaul (&gt;5km)"))</f>
        <v/>
      </c>
      <c r="V1203" s="26" t="n">
        <v>84.91</v>
      </c>
      <c r="W1203" s="26" t="n">
        <v>31.75</v>
      </c>
      <c r="X1203" s="26">
        <f>ROUND(('Methodology &amp; Assumptions'!$B$5*V1203) + ('Methodology &amp; Assumptions'!$B$6*W1203), 2)</f>
        <v/>
      </c>
      <c r="Y1203" s="28" t="n">
        <v>8.300000000000001</v>
      </c>
      <c r="Z1203" s="11" t="inlineStr">
        <is>
          <t>Priority Tier 3 (Broadband Expansion)</t>
        </is>
      </c>
    </row>
    <row r="1204">
      <c r="A1204" s="23" t="n">
        <v>5</v>
      </c>
      <c r="B1204" s="23" t="n">
        <v>200</v>
      </c>
      <c r="C1204" s="23" t="n">
        <v>4200</v>
      </c>
      <c r="D1204" s="23" t="inlineStr">
        <is>
          <t>1004326007</t>
        </is>
      </c>
      <c r="E1204" s="11" t="inlineStr">
        <is>
          <t>Region X (Northern Mindanao)</t>
        </is>
      </c>
      <c r="F1204" s="11" t="inlineStr">
        <is>
          <t>Misamis Oriental</t>
        </is>
      </c>
      <c r="G1204" s="11" t="inlineStr">
        <is>
          <t>Villanueva</t>
        </is>
      </c>
      <c r="H1204" s="11" t="inlineStr">
        <is>
          <t>Poblacion 1</t>
        </is>
      </c>
      <c r="I1204" s="24" t="n">
        <v>8.586188</v>
      </c>
      <c r="J1204" s="24" t="n">
        <v>124.7694</v>
      </c>
      <c r="K1204" s="23" t="inlineStr">
        <is>
          <t>U</t>
        </is>
      </c>
      <c r="L1204" s="25" t="n">
        <v>2471</v>
      </c>
      <c r="M1204" s="26" t="n">
        <v>3.9</v>
      </c>
      <c r="N1204" s="25">
        <f>ROUND(L1204/M1204, 0)</f>
        <v/>
      </c>
      <c r="O1204" s="25">
        <f>ROUND(N1204*'Methodology &amp; Assumptions'!$B$7, 0)</f>
        <v/>
      </c>
      <c r="P1204" s="23" t="inlineStr">
        <is>
          <t>Single Carrier (Band n50, 100MHz TDD)</t>
        </is>
      </c>
      <c r="Q1204" s="27">
        <f>ROUNDUP(O1204/'Methodology &amp; Assumptions'!$B$8, 0)</f>
        <v/>
      </c>
      <c r="R1204" s="27" t="n">
        <v>1</v>
      </c>
      <c r="S1204" s="26" t="n">
        <v>1.02</v>
      </c>
      <c r="T1204" s="26" t="n">
        <v>0.19</v>
      </c>
      <c r="U1204" s="11">
        <f>IF(S1204&lt;='Methodology &amp; Assumptions'!$B$10, "Direct Optical Drop (&lt;3km)", IF(S1204&lt;='Methodology &amp; Assumptions'!$B$9, "Near Optical / Microwave (&lt;5km)", "Starlink Business LEO Satellite Backhaul (&gt;5km)"))</f>
        <v/>
      </c>
      <c r="V1204" s="26" t="n">
        <v>72.37</v>
      </c>
      <c r="W1204" s="26" t="n">
        <v>44.28</v>
      </c>
      <c r="X1204" s="26">
        <f>ROUND(('Methodology &amp; Assumptions'!$B$5*V1204) + ('Methodology &amp; Assumptions'!$B$6*W1204), 2)</f>
        <v/>
      </c>
      <c r="Y1204" s="28" t="n">
        <v>17.4</v>
      </c>
      <c r="Z1204" s="11" t="inlineStr">
        <is>
          <t>Priority Tier 3 (Broadband Expansion)</t>
        </is>
      </c>
    </row>
    <row r="1205">
      <c r="A1205" s="23" t="n">
        <v>5</v>
      </c>
      <c r="B1205" s="23" t="n">
        <v>201</v>
      </c>
      <c r="C1205" s="23" t="n">
        <v>4201</v>
      </c>
      <c r="D1205" s="23" t="inlineStr">
        <is>
          <t>1906606008</t>
        </is>
      </c>
      <c r="E1205" s="11" t="inlineStr">
        <is>
          <t>Bangsamoro Autonomous Region In Muslim Mindanao (BARMM)</t>
        </is>
      </c>
      <c r="F1205" s="11" t="inlineStr">
        <is>
          <t>Sulu</t>
        </is>
      </c>
      <c r="G1205" s="11" t="inlineStr">
        <is>
          <t>Hadji Panglima Tahil</t>
        </is>
      </c>
      <c r="H1205" s="11" t="inlineStr">
        <is>
          <t>Pag-asinan</t>
        </is>
      </c>
      <c r="I1205" s="24" t="n">
        <v>6.126932</v>
      </c>
      <c r="J1205" s="24" t="n">
        <v>120.990438</v>
      </c>
      <c r="K1205" s="23" t="inlineStr">
        <is>
          <t>R</t>
        </is>
      </c>
      <c r="L1205" s="25" t="n">
        <v>1919</v>
      </c>
      <c r="M1205" s="26" t="n">
        <v>6</v>
      </c>
      <c r="N1205" s="25">
        <f>ROUND(L1205/M1205, 0)</f>
        <v/>
      </c>
      <c r="O1205" s="25">
        <f>ROUND(N1205*'Methodology &amp; Assumptions'!$B$7, 0)</f>
        <v/>
      </c>
      <c r="P1205" s="23" t="inlineStr">
        <is>
          <t>Single Carrier (Band n50, 100MHz TDD)</t>
        </is>
      </c>
      <c r="Q1205" s="27">
        <f>ROUNDUP(O1205/'Methodology &amp; Assumptions'!$B$8, 0)</f>
        <v/>
      </c>
      <c r="R1205" s="27" t="n">
        <v>1</v>
      </c>
      <c r="S1205" s="26" t="n">
        <v>148.03</v>
      </c>
      <c r="T1205" s="26" t="n">
        <v>148.02</v>
      </c>
      <c r="U1205" s="11">
        <f>IF(S1205&lt;='Methodology &amp; Assumptions'!$B$10, "Direct Optical Drop (&lt;3km)", IF(S1205&lt;='Methodology &amp; Assumptions'!$B$9, "Near Optical / Microwave (&lt;5km)", "Starlink Business LEO Satellite Backhaul (&gt;5km)"))</f>
        <v/>
      </c>
      <c r="V1205" s="26" t="n">
        <v>45.09</v>
      </c>
      <c r="W1205" s="26" t="n">
        <v>71.56999999999999</v>
      </c>
      <c r="X1205" s="26">
        <f>ROUND(('Methodology &amp; Assumptions'!$B$5*V1205) + ('Methodology &amp; Assumptions'!$B$6*W1205), 2)</f>
        <v/>
      </c>
      <c r="Y1205" s="28" t="n">
        <v>11</v>
      </c>
      <c r="Z1205" s="11" t="inlineStr">
        <is>
          <t>Priority Tier 3 (Broadband Expansion)</t>
        </is>
      </c>
    </row>
    <row r="1206">
      <c r="A1206" s="23" t="n">
        <v>5</v>
      </c>
      <c r="B1206" s="23" t="n">
        <v>202</v>
      </c>
      <c r="C1206" s="23" t="n">
        <v>4202</v>
      </c>
      <c r="D1206" s="23" t="inlineStr">
        <is>
          <t>0307111008</t>
        </is>
      </c>
      <c r="E1206" s="11" t="inlineStr">
        <is>
          <t>Region III (Central Luzon)</t>
        </is>
      </c>
      <c r="F1206" s="11" t="inlineStr">
        <is>
          <t>Zambales</t>
        </is>
      </c>
      <c r="G1206" s="11" t="inlineStr">
        <is>
          <t>San Marcelino</t>
        </is>
      </c>
      <c r="H1206" s="11" t="inlineStr">
        <is>
          <t>Linasin</t>
        </is>
      </c>
      <c r="I1206" s="24" t="n">
        <v>14.974167</v>
      </c>
      <c r="J1206" s="24" t="n">
        <v>120.149556</v>
      </c>
      <c r="K1206" s="23" t="inlineStr">
        <is>
          <t>R</t>
        </is>
      </c>
      <c r="L1206" s="25" t="n">
        <v>3215</v>
      </c>
      <c r="M1206" s="26" t="n">
        <v>3.8</v>
      </c>
      <c r="N1206" s="25">
        <f>ROUND(L1206/M1206, 0)</f>
        <v/>
      </c>
      <c r="O1206" s="25">
        <f>ROUND(N1206*'Methodology &amp; Assumptions'!$B$7, 0)</f>
        <v/>
      </c>
      <c r="P1206" s="23" t="inlineStr">
        <is>
          <t>Single Carrier (Band n50, 100MHz TDD)</t>
        </is>
      </c>
      <c r="Q1206" s="27">
        <f>ROUNDUP(O1206/'Methodology &amp; Assumptions'!$B$8, 0)</f>
        <v/>
      </c>
      <c r="R1206" s="27" t="n">
        <v>1</v>
      </c>
      <c r="S1206" s="26" t="n">
        <v>0.66</v>
      </c>
      <c r="T1206" s="26" t="n">
        <v>0.09</v>
      </c>
      <c r="U1206" s="11">
        <f>IF(S1206&lt;='Methodology &amp; Assumptions'!$B$10, "Direct Optical Drop (&lt;3km)", IF(S1206&lt;='Methodology &amp; Assumptions'!$B$9, "Near Optical / Microwave (&lt;5km)", "Starlink Business LEO Satellite Backhaul (&gt;5km)"))</f>
        <v/>
      </c>
      <c r="V1206" s="26" t="n">
        <v>85.63</v>
      </c>
      <c r="W1206" s="26" t="n">
        <v>31.01</v>
      </c>
      <c r="X1206" s="26">
        <f>ROUND(('Methodology &amp; Assumptions'!$B$5*V1206) + ('Methodology &amp; Assumptions'!$B$6*W1206), 2)</f>
        <v/>
      </c>
      <c r="Y1206" s="28" t="n">
        <v>8.300000000000001</v>
      </c>
      <c r="Z1206" s="11" t="inlineStr">
        <is>
          <t>Priority Tier 3 (Broadband Expansion)</t>
        </is>
      </c>
    </row>
    <row r="1207">
      <c r="A1207" s="23" t="n">
        <v>5</v>
      </c>
      <c r="B1207" s="23" t="n">
        <v>203</v>
      </c>
      <c r="C1207" s="23" t="n">
        <v>4203</v>
      </c>
      <c r="D1207" s="23" t="inlineStr">
        <is>
          <t>1004306015</t>
        </is>
      </c>
      <c r="E1207" s="11" t="inlineStr">
        <is>
          <t>Region X (Northern Mindanao)</t>
        </is>
      </c>
      <c r="F1207" s="11" t="inlineStr">
        <is>
          <t>Misamis Oriental</t>
        </is>
      </c>
      <c r="G1207" s="11" t="inlineStr">
        <is>
          <t>Claveria</t>
        </is>
      </c>
      <c r="H1207" s="11" t="inlineStr">
        <is>
          <t>Mat-i</t>
        </is>
      </c>
      <c r="I1207" s="24" t="n">
        <v>8.633972999999999</v>
      </c>
      <c r="J1207" s="24" t="n">
        <v>124.987331</v>
      </c>
      <c r="K1207" s="23" t="inlineStr">
        <is>
          <t>R</t>
        </is>
      </c>
      <c r="L1207" s="25" t="n">
        <v>4823</v>
      </c>
      <c r="M1207" s="26" t="n">
        <v>3.9</v>
      </c>
      <c r="N1207" s="25">
        <f>ROUND(L1207/M1207, 0)</f>
        <v/>
      </c>
      <c r="O1207" s="25">
        <f>ROUND(N1207*'Methodology &amp; Assumptions'!$B$7, 0)</f>
        <v/>
      </c>
      <c r="P1207" s="23" t="inlineStr">
        <is>
          <t>Single Carrier (Band n50, 100MHz TDD)</t>
        </is>
      </c>
      <c r="Q1207" s="27">
        <f>ROUNDUP(O1207/'Methodology &amp; Assumptions'!$B$8, 0)</f>
        <v/>
      </c>
      <c r="R1207" s="27" t="n">
        <v>1</v>
      </c>
      <c r="S1207" s="26" t="n">
        <v>0.49</v>
      </c>
      <c r="T1207" s="26" t="n">
        <v>23.77</v>
      </c>
      <c r="U1207" s="11">
        <f>IF(S1207&lt;='Methodology &amp; Assumptions'!$B$10, "Direct Optical Drop (&lt;3km)", IF(S1207&lt;='Methodology &amp; Assumptions'!$B$9, "Near Optical / Microwave (&lt;5km)", "Starlink Business LEO Satellite Backhaul (&gt;5km)"))</f>
        <v/>
      </c>
      <c r="V1207" s="26" t="n">
        <v>84.97</v>
      </c>
      <c r="W1207" s="26" t="n">
        <v>31.67</v>
      </c>
      <c r="X1207" s="26">
        <f>ROUND(('Methodology &amp; Assumptions'!$B$5*V1207) + ('Methodology &amp; Assumptions'!$B$6*W1207), 2)</f>
        <v/>
      </c>
      <c r="Y1207" s="28" t="n">
        <v>17.4</v>
      </c>
      <c r="Z1207" s="11" t="inlineStr">
        <is>
          <t>Priority Tier 3 (Broadband Expansion)</t>
        </is>
      </c>
    </row>
    <row r="1208">
      <c r="A1208" s="23" t="n">
        <v>5</v>
      </c>
      <c r="B1208" s="23" t="n">
        <v>204</v>
      </c>
      <c r="C1208" s="23" t="n">
        <v>4204</v>
      </c>
      <c r="D1208" s="23" t="inlineStr">
        <is>
          <t>0603037027</t>
        </is>
      </c>
      <c r="E1208" s="11" t="inlineStr">
        <is>
          <t>Region VI (Western Visayas)</t>
        </is>
      </c>
      <c r="F1208" s="11" t="inlineStr">
        <is>
          <t>Iloilo</t>
        </is>
      </c>
      <c r="G1208" s="11" t="inlineStr">
        <is>
          <t>Pototan</t>
        </is>
      </c>
      <c r="H1208" s="11" t="inlineStr">
        <is>
          <t>Jamabalud</t>
        </is>
      </c>
      <c r="I1208" s="24" t="n">
        <v>10.870184</v>
      </c>
      <c r="J1208" s="24" t="n">
        <v>122.622576</v>
      </c>
      <c r="K1208" s="23" t="inlineStr">
        <is>
          <t>R</t>
        </is>
      </c>
      <c r="L1208" s="25" t="n">
        <v>3095</v>
      </c>
      <c r="M1208" s="26" t="n">
        <v>3.8</v>
      </c>
      <c r="N1208" s="25">
        <f>ROUND(L1208/M1208, 0)</f>
        <v/>
      </c>
      <c r="O1208" s="25">
        <f>ROUND(N1208*'Methodology &amp; Assumptions'!$B$7, 0)</f>
        <v/>
      </c>
      <c r="P1208" s="23" t="inlineStr">
        <is>
          <t>Single Carrier (Band n50, 100MHz TDD)</t>
        </is>
      </c>
      <c r="Q1208" s="27">
        <f>ROUNDUP(O1208/'Methodology &amp; Assumptions'!$B$8, 0)</f>
        <v/>
      </c>
      <c r="R1208" s="27" t="n">
        <v>1</v>
      </c>
      <c r="S1208" s="26" t="n">
        <v>2.83</v>
      </c>
      <c r="T1208" s="26" t="n">
        <v>1.29</v>
      </c>
      <c r="U1208" s="11">
        <f>IF(S1208&lt;='Methodology &amp; Assumptions'!$B$10, "Direct Optical Drop (&lt;3km)", IF(S1208&lt;='Methodology &amp; Assumptions'!$B$9, "Near Optical / Microwave (&lt;5km)", "Starlink Business LEO Satellite Backhaul (&gt;5km)"))</f>
        <v/>
      </c>
      <c r="V1208" s="26" t="n">
        <v>79.26000000000001</v>
      </c>
      <c r="W1208" s="26" t="n">
        <v>37.37</v>
      </c>
      <c r="X1208" s="26">
        <f>ROUND(('Methodology &amp; Assumptions'!$B$5*V1208) + ('Methodology &amp; Assumptions'!$B$6*W1208), 2)</f>
        <v/>
      </c>
      <c r="Y1208" s="28" t="n">
        <v>23.7</v>
      </c>
      <c r="Z1208" s="11" t="inlineStr">
        <is>
          <t>Priority Tier 3 (Broadband Expansion)</t>
        </is>
      </c>
    </row>
    <row r="1209">
      <c r="A1209" s="23" t="n">
        <v>5</v>
      </c>
      <c r="B1209" s="23" t="n">
        <v>205</v>
      </c>
      <c r="C1209" s="23" t="n">
        <v>4205</v>
      </c>
      <c r="D1209" s="23" t="inlineStr">
        <is>
          <t>0306903027</t>
        </is>
      </c>
      <c r="E1209" s="11" t="inlineStr">
        <is>
          <t>Region III (Central Luzon)</t>
        </is>
      </c>
      <c r="F1209" s="11" t="inlineStr">
        <is>
          <t>Tarlac</t>
        </is>
      </c>
      <c r="G1209" s="11" t="inlineStr">
        <is>
          <t>Camiling</t>
        </is>
      </c>
      <c r="H1209" s="11" t="inlineStr">
        <is>
          <t>Malacampa</t>
        </is>
      </c>
      <c r="I1209" s="24" t="n">
        <v>15.64953</v>
      </c>
      <c r="J1209" s="24" t="n">
        <v>120.408694</v>
      </c>
      <c r="K1209" s="23" t="inlineStr">
        <is>
          <t>U</t>
        </is>
      </c>
      <c r="L1209" s="25" t="n">
        <v>6156</v>
      </c>
      <c r="M1209" s="26" t="n">
        <v>3.9</v>
      </c>
      <c r="N1209" s="25">
        <f>ROUND(L1209/M1209, 0)</f>
        <v/>
      </c>
      <c r="O1209" s="25">
        <f>ROUND(N1209*'Methodology &amp; Assumptions'!$B$7, 0)</f>
        <v/>
      </c>
      <c r="P1209" s="23" t="inlineStr">
        <is>
          <t>Single Carrier (Band n50, 100MHz TDD)</t>
        </is>
      </c>
      <c r="Q1209" s="27">
        <f>ROUNDUP(O1209/'Methodology &amp; Assumptions'!$B$8, 0)</f>
        <v/>
      </c>
      <c r="R1209" s="27" t="n">
        <v>1</v>
      </c>
      <c r="S1209" s="26" t="n">
        <v>0.78</v>
      </c>
      <c r="T1209" s="26" t="n">
        <v>0.18</v>
      </c>
      <c r="U1209" s="11">
        <f>IF(S1209&lt;='Methodology &amp; Assumptions'!$B$10, "Direct Optical Drop (&lt;3km)", IF(S1209&lt;='Methodology &amp; Assumptions'!$B$9, "Near Optical / Microwave (&lt;5km)", "Starlink Business LEO Satellite Backhaul (&gt;5km)"))</f>
        <v/>
      </c>
      <c r="V1209" s="26" t="n">
        <v>78.43000000000001</v>
      </c>
      <c r="W1209" s="26" t="n">
        <v>38.2</v>
      </c>
      <c r="X1209" s="26">
        <f>ROUND(('Methodology &amp; Assumptions'!$B$5*V1209) + ('Methodology &amp; Assumptions'!$B$6*W1209), 2)</f>
        <v/>
      </c>
      <c r="Y1209" s="28" t="n">
        <v>8.300000000000001</v>
      </c>
      <c r="Z1209" s="11" t="inlineStr">
        <is>
          <t>Priority Tier 3 (Broadband Expansion)</t>
        </is>
      </c>
    </row>
    <row r="1210">
      <c r="A1210" s="23" t="n">
        <v>5</v>
      </c>
      <c r="B1210" s="23" t="n">
        <v>206</v>
      </c>
      <c r="C1210" s="23" t="n">
        <v>4206</v>
      </c>
      <c r="D1210" s="23" t="inlineStr">
        <is>
          <t>0403412014</t>
        </is>
      </c>
      <c r="E1210" s="11" t="inlineStr">
        <is>
          <t>Region IV-A (CALABARZON)</t>
        </is>
      </c>
      <c r="F1210" s="11" t="inlineStr">
        <is>
          <t>Laguna</t>
        </is>
      </c>
      <c r="G1210" s="11" t="inlineStr">
        <is>
          <t>Luisiana</t>
        </is>
      </c>
      <c r="H1210" s="11" t="inlineStr">
        <is>
          <t>San Jose</t>
        </is>
      </c>
      <c r="I1210" s="24" t="n">
        <v>14.190889</v>
      </c>
      <c r="J1210" s="24" t="n">
        <v>121.510992</v>
      </c>
      <c r="K1210" s="23" t="inlineStr">
        <is>
          <t>R</t>
        </is>
      </c>
      <c r="L1210" s="25" t="n">
        <v>1024</v>
      </c>
      <c r="M1210" s="26" t="n">
        <v>3.3</v>
      </c>
      <c r="N1210" s="25">
        <f>ROUND(L1210/M1210, 0)</f>
        <v/>
      </c>
      <c r="O1210" s="25">
        <f>ROUND(N1210*'Methodology &amp; Assumptions'!$B$7, 0)</f>
        <v/>
      </c>
      <c r="P1210" s="23" t="inlineStr">
        <is>
          <t>Single Carrier (Band n50, 100MHz TDD)</t>
        </is>
      </c>
      <c r="Q1210" s="27">
        <f>ROUNDUP(O1210/'Methodology &amp; Assumptions'!$B$8, 0)</f>
        <v/>
      </c>
      <c r="R1210" s="27" t="n">
        <v>1</v>
      </c>
      <c r="S1210" s="26" t="n">
        <v>0.62</v>
      </c>
      <c r="T1210" s="26" t="n">
        <v>4.77</v>
      </c>
      <c r="U1210" s="11">
        <f>IF(S1210&lt;='Methodology &amp; Assumptions'!$B$10, "Direct Optical Drop (&lt;3km)", IF(S1210&lt;='Methodology &amp; Assumptions'!$B$9, "Near Optical / Microwave (&lt;5km)", "Starlink Business LEO Satellite Backhaul (&gt;5km)"))</f>
        <v/>
      </c>
      <c r="V1210" s="26" t="n">
        <v>68.98</v>
      </c>
      <c r="W1210" s="26" t="n">
        <v>47.65</v>
      </c>
      <c r="X1210" s="26">
        <f>ROUND(('Methodology &amp; Assumptions'!$B$5*V1210) + ('Methodology &amp; Assumptions'!$B$6*W1210), 2)</f>
        <v/>
      </c>
      <c r="Y1210" s="28" t="n">
        <v>7.2</v>
      </c>
      <c r="Z1210" s="11" t="inlineStr">
        <is>
          <t>Priority Tier 3 (Broadband Expansion)</t>
        </is>
      </c>
    </row>
    <row r="1211">
      <c r="A1211" s="23" t="n">
        <v>5</v>
      </c>
      <c r="B1211" s="23" t="n">
        <v>207</v>
      </c>
      <c r="C1211" s="23" t="n">
        <v>4207</v>
      </c>
      <c r="D1211" s="23" t="inlineStr">
        <is>
          <t>0103301030</t>
        </is>
      </c>
      <c r="E1211" s="11" t="inlineStr">
        <is>
          <t>Region I (Ilocos Region)</t>
        </is>
      </c>
      <c r="F1211" s="11" t="inlineStr">
        <is>
          <t>La Union</t>
        </is>
      </c>
      <c r="G1211" s="11" t="inlineStr">
        <is>
          <t>Agoo</t>
        </is>
      </c>
      <c r="H1211" s="11" t="inlineStr">
        <is>
          <t>San Nicolas Central</t>
        </is>
      </c>
      <c r="I1211" s="24" t="n">
        <v>16.32126</v>
      </c>
      <c r="J1211" s="24" t="n">
        <v>120.36517</v>
      </c>
      <c r="K1211" s="23" t="inlineStr">
        <is>
          <t>R</t>
        </is>
      </c>
      <c r="L1211" s="25" t="n">
        <v>854</v>
      </c>
      <c r="M1211" s="26" t="n">
        <v>3.7</v>
      </c>
      <c r="N1211" s="25">
        <f>ROUND(L1211/M1211, 0)</f>
        <v/>
      </c>
      <c r="O1211" s="25">
        <f>ROUND(N1211*'Methodology &amp; Assumptions'!$B$7, 0)</f>
        <v/>
      </c>
      <c r="P1211" s="23" t="inlineStr">
        <is>
          <t>Single Carrier (Band n50, 100MHz TDD)</t>
        </is>
      </c>
      <c r="Q1211" s="27">
        <f>ROUNDUP(O1211/'Methodology &amp; Assumptions'!$B$8, 0)</f>
        <v/>
      </c>
      <c r="R1211" s="27" t="n">
        <v>1</v>
      </c>
      <c r="S1211" s="26" t="n">
        <v>0.44</v>
      </c>
      <c r="T1211" s="26" t="n">
        <v>0.29</v>
      </c>
      <c r="U1211" s="11">
        <f>IF(S1211&lt;='Methodology &amp; Assumptions'!$B$10, "Direct Optical Drop (&lt;3km)", IF(S1211&lt;='Methodology &amp; Assumptions'!$B$9, "Near Optical / Microwave (&lt;5km)", "Starlink Business LEO Satellite Backhaul (&gt;5km)"))</f>
        <v/>
      </c>
      <c r="V1211" s="26" t="n">
        <v>66.5</v>
      </c>
      <c r="W1211" s="26" t="n">
        <v>50.14</v>
      </c>
      <c r="X1211" s="26">
        <f>ROUND(('Methodology &amp; Assumptions'!$B$5*V1211) + ('Methodology &amp; Assumptions'!$B$6*W1211), 2)</f>
        <v/>
      </c>
      <c r="Y1211" s="28" t="n">
        <v>8.300000000000001</v>
      </c>
      <c r="Z1211" s="11" t="inlineStr">
        <is>
          <t>Priority Tier 3 (Broadband Expansion)</t>
        </is>
      </c>
    </row>
    <row r="1212">
      <c r="A1212" s="23" t="n">
        <v>5</v>
      </c>
      <c r="B1212" s="23" t="n">
        <v>208</v>
      </c>
      <c r="C1212" s="23" t="n">
        <v>4208</v>
      </c>
      <c r="D1212" s="23" t="inlineStr">
        <is>
          <t>1381100196</t>
        </is>
      </c>
      <c r="E1212" s="11" t="inlineStr">
        <is>
          <t>National Capital Region (NCR)</t>
        </is>
      </c>
      <c r="F1212" s="11" t="inlineStr">
        <is>
          <t>Fourth District (Not a Province)</t>
        </is>
      </c>
      <c r="G1212" s="11" t="inlineStr">
        <is>
          <t>Pasay City</t>
        </is>
      </c>
      <c r="H1212" s="11" t="inlineStr">
        <is>
          <t>Barangay 196</t>
        </is>
      </c>
      <c r="I1212" s="24" t="n">
        <v>14.510639</v>
      </c>
      <c r="J1212" s="24" t="n">
        <v>121.003785</v>
      </c>
      <c r="K1212" s="23" t="inlineStr">
        <is>
          <t>U</t>
        </is>
      </c>
      <c r="L1212" s="25" t="n">
        <v>1570</v>
      </c>
      <c r="M1212" s="26" t="n">
        <v>3.46</v>
      </c>
      <c r="N1212" s="25">
        <f>ROUND(L1212/M1212, 0)</f>
        <v/>
      </c>
      <c r="O1212" s="25">
        <f>ROUND(N1212*'Methodology &amp; Assumptions'!$B$7, 0)</f>
        <v/>
      </c>
      <c r="P1212" s="23" t="inlineStr">
        <is>
          <t>Single Carrier (Band n50, 100MHz TDD)</t>
        </is>
      </c>
      <c r="Q1212" s="27">
        <f>ROUNDUP(O1212/'Methodology &amp; Assumptions'!$B$8, 0)</f>
        <v/>
      </c>
      <c r="R1212" s="27" t="n">
        <v>1</v>
      </c>
      <c r="S1212" s="26" t="n">
        <v>0.8100000000000001</v>
      </c>
      <c r="T1212" s="26" t="n">
        <v>0.62</v>
      </c>
      <c r="U1212" s="11">
        <f>IF(S1212&lt;='Methodology &amp; Assumptions'!$B$10, "Direct Optical Drop (&lt;3km)", IF(S1212&lt;='Methodology &amp; Assumptions'!$B$9, "Near Optical / Microwave (&lt;5km)", "Starlink Business LEO Satellite Backhaul (&gt;5km)"))</f>
        <v/>
      </c>
      <c r="V1212" s="26" t="n">
        <v>55.66</v>
      </c>
      <c r="W1212" s="26" t="n">
        <v>60.98</v>
      </c>
      <c r="X1212" s="26">
        <f>ROUND(('Methodology &amp; Assumptions'!$B$5*V1212) + ('Methodology &amp; Assumptions'!$B$6*W1212), 2)</f>
        <v/>
      </c>
      <c r="Y1212" s="28" t="n">
        <v>10.9</v>
      </c>
      <c r="Z1212" s="11" t="inlineStr">
        <is>
          <t>Priority Tier 3 (Broadband Expansion)</t>
        </is>
      </c>
    </row>
    <row r="1213">
      <c r="A1213" s="23" t="n">
        <v>5</v>
      </c>
      <c r="B1213" s="23" t="n">
        <v>209</v>
      </c>
      <c r="C1213" s="23" t="n">
        <v>4209</v>
      </c>
      <c r="D1213" s="23" t="inlineStr">
        <is>
          <t>1380606227</t>
        </is>
      </c>
      <c r="E1213" s="11" t="inlineStr">
        <is>
          <t>National Capital Region (NCR)</t>
        </is>
      </c>
      <c r="F1213" s="11" t="inlineStr">
        <is>
          <t>First District (Not a Province)</t>
        </is>
      </c>
      <c r="G1213" s="11" t="inlineStr">
        <is>
          <t>City of Manila</t>
        </is>
      </c>
      <c r="H1213" s="11" t="inlineStr">
        <is>
          <t>Barangay 620</t>
        </is>
      </c>
      <c r="I1213" s="24" t="n">
        <v>14.589857</v>
      </c>
      <c r="J1213" s="24" t="n">
        <v>121.020429</v>
      </c>
      <c r="K1213" s="23" t="inlineStr">
        <is>
          <t>U</t>
        </is>
      </c>
      <c r="L1213" s="25" t="n">
        <v>736</v>
      </c>
      <c r="M1213" s="26" t="n">
        <v>3.36</v>
      </c>
      <c r="N1213" s="25">
        <f>ROUND(L1213/M1213, 0)</f>
        <v/>
      </c>
      <c r="O1213" s="25">
        <f>ROUND(N1213*'Methodology &amp; Assumptions'!$B$7, 0)</f>
        <v/>
      </c>
      <c r="P1213" s="23" t="inlineStr">
        <is>
          <t>Single Carrier (Band n50, 100MHz TDD)</t>
        </is>
      </c>
      <c r="Q1213" s="27">
        <f>ROUNDUP(O1213/'Methodology &amp; Assumptions'!$B$8, 0)</f>
        <v/>
      </c>
      <c r="R1213" s="27" t="n">
        <v>1</v>
      </c>
      <c r="S1213" s="26" t="n">
        <v>1.07</v>
      </c>
      <c r="T1213" s="26" t="n">
        <v>0.24</v>
      </c>
      <c r="U1213" s="11">
        <f>IF(S1213&lt;='Methodology &amp; Assumptions'!$B$10, "Direct Optical Drop (&lt;3km)", IF(S1213&lt;='Methodology &amp; Assumptions'!$B$9, "Near Optical / Microwave (&lt;5km)", "Starlink Business LEO Satellite Backhaul (&gt;5km)"))</f>
        <v/>
      </c>
      <c r="V1213" s="26" t="n">
        <v>47.26</v>
      </c>
      <c r="W1213" s="26" t="n">
        <v>69.38</v>
      </c>
      <c r="X1213" s="26">
        <f>ROUND(('Methodology &amp; Assumptions'!$B$5*V1213) + ('Methodology &amp; Assumptions'!$B$6*W1213), 2)</f>
        <v/>
      </c>
      <c r="Y1213" s="28" t="n">
        <v>10.9</v>
      </c>
      <c r="Z1213" s="11" t="inlineStr">
        <is>
          <t>Priority Tier 3 (Broadband Expansion)</t>
        </is>
      </c>
    </row>
    <row r="1214">
      <c r="A1214" s="23" t="n">
        <v>5</v>
      </c>
      <c r="B1214" s="23" t="n">
        <v>210</v>
      </c>
      <c r="C1214" s="23" t="n">
        <v>4210</v>
      </c>
      <c r="D1214" s="23" t="inlineStr">
        <is>
          <t>0806412022</t>
        </is>
      </c>
      <c r="E1214" s="11" t="inlineStr">
        <is>
          <t>Region VIII (Eastern Visayas)</t>
        </is>
      </c>
      <c r="F1214" s="11" t="inlineStr">
        <is>
          <t>Southern Leyte</t>
        </is>
      </c>
      <c r="G1214" s="11" t="inlineStr">
        <is>
          <t>Saint Bernard</t>
        </is>
      </c>
      <c r="H1214" s="11" t="inlineStr">
        <is>
          <t>Malinao</t>
        </is>
      </c>
      <c r="I1214" s="24" t="n">
        <v>10.365348</v>
      </c>
      <c r="J1214" s="24" t="n">
        <v>125.093494</v>
      </c>
      <c r="K1214" s="23" t="inlineStr">
        <is>
          <t>R</t>
        </is>
      </c>
      <c r="L1214" s="25" t="n">
        <v>42</v>
      </c>
      <c r="M1214" s="26" t="n">
        <v>4.1</v>
      </c>
      <c r="N1214" s="25">
        <f>ROUND(L1214/M1214, 0)</f>
        <v/>
      </c>
      <c r="O1214" s="25">
        <f>ROUND(N1214*'Methodology &amp; Assumptions'!$B$7, 0)</f>
        <v/>
      </c>
      <c r="P1214" s="23" t="inlineStr">
        <is>
          <t>Single Carrier (Band n50, 100MHz TDD)</t>
        </is>
      </c>
      <c r="Q1214" s="27">
        <f>ROUNDUP(O1214/'Methodology &amp; Assumptions'!$B$8, 0)</f>
        <v/>
      </c>
      <c r="R1214" s="27" t="n">
        <v>1</v>
      </c>
      <c r="S1214" s="26" t="n">
        <v>12.37</v>
      </c>
      <c r="T1214" s="26" t="n">
        <v>11.31</v>
      </c>
      <c r="U1214" s="11">
        <f>IF(S1214&lt;='Methodology &amp; Assumptions'!$B$10, "Direct Optical Drop (&lt;3km)", IF(S1214&lt;='Methodology &amp; Assumptions'!$B$9, "Near Optical / Microwave (&lt;5km)", "Starlink Business LEO Satellite Backhaul (&gt;5km)"))</f>
        <v/>
      </c>
      <c r="V1214" s="26" t="n">
        <v>38.72</v>
      </c>
      <c r="W1214" s="26" t="n">
        <v>77.93000000000001</v>
      </c>
      <c r="X1214" s="26">
        <f>ROUND(('Methodology &amp; Assumptions'!$B$5*V1214) + ('Methodology &amp; Assumptions'!$B$6*W1214), 2)</f>
        <v/>
      </c>
      <c r="Y1214" s="28" t="n">
        <v>23.7</v>
      </c>
      <c r="Z1214" s="11" t="inlineStr">
        <is>
          <t>Priority Tier 3 (Broadband Expansion)</t>
        </is>
      </c>
    </row>
    <row r="1215">
      <c r="A1215" s="23" t="n">
        <v>5</v>
      </c>
      <c r="B1215" s="23" t="n">
        <v>211</v>
      </c>
      <c r="C1215" s="23" t="n">
        <v>4211</v>
      </c>
      <c r="D1215" s="23" t="inlineStr">
        <is>
          <t>0304912007</t>
        </is>
      </c>
      <c r="E1215" s="11" t="inlineStr">
        <is>
          <t>Region III (Central Luzon)</t>
        </is>
      </c>
      <c r="F1215" s="11" t="inlineStr">
        <is>
          <t>Nueva Ecija</t>
        </is>
      </c>
      <c r="G1215" s="11" t="inlineStr">
        <is>
          <t>Jaen</t>
        </is>
      </c>
      <c r="H1215" s="11" t="inlineStr">
        <is>
          <t>Langla</t>
        </is>
      </c>
      <c r="I1215" s="24" t="n">
        <v>15.326111</v>
      </c>
      <c r="J1215" s="24" t="n">
        <v>120.919246</v>
      </c>
      <c r="K1215" s="23" t="inlineStr">
        <is>
          <t>R</t>
        </is>
      </c>
      <c r="L1215" s="25" t="n">
        <v>3586</v>
      </c>
      <c r="M1215" s="26" t="n">
        <v>3.5</v>
      </c>
      <c r="N1215" s="25">
        <f>ROUND(L1215/M1215, 0)</f>
        <v/>
      </c>
      <c r="O1215" s="25">
        <f>ROUND(N1215*'Methodology &amp; Assumptions'!$B$7, 0)</f>
        <v/>
      </c>
      <c r="P1215" s="23" t="inlineStr">
        <is>
          <t>Single Carrier (Band n50, 100MHz TDD)</t>
        </is>
      </c>
      <c r="Q1215" s="27">
        <f>ROUNDUP(O1215/'Methodology &amp; Assumptions'!$B$8, 0)</f>
        <v/>
      </c>
      <c r="R1215" s="27" t="n">
        <v>1</v>
      </c>
      <c r="S1215" s="26" t="n">
        <v>1.94</v>
      </c>
      <c r="T1215" s="26" t="n">
        <v>1.96</v>
      </c>
      <c r="U1215" s="11">
        <f>IF(S1215&lt;='Methodology &amp; Assumptions'!$B$10, "Direct Optical Drop (&lt;3km)", IF(S1215&lt;='Methodology &amp; Assumptions'!$B$9, "Near Optical / Microwave (&lt;5km)", "Starlink Business LEO Satellite Backhaul (&gt;5km)"))</f>
        <v/>
      </c>
      <c r="V1215" s="26" t="n">
        <v>81.59</v>
      </c>
      <c r="W1215" s="26" t="n">
        <v>35.03</v>
      </c>
      <c r="X1215" s="26">
        <f>ROUND(('Methodology &amp; Assumptions'!$B$5*V1215) + ('Methodology &amp; Assumptions'!$B$6*W1215), 2)</f>
        <v/>
      </c>
      <c r="Y1215" s="28" t="n">
        <v>8.300000000000001</v>
      </c>
      <c r="Z1215" s="11" t="inlineStr">
        <is>
          <t>Priority Tier 3 (Broadband Expansion)</t>
        </is>
      </c>
    </row>
    <row r="1216">
      <c r="A1216" s="23" t="n">
        <v>5</v>
      </c>
      <c r="B1216" s="23" t="n">
        <v>212</v>
      </c>
      <c r="C1216" s="23" t="n">
        <v>4212</v>
      </c>
      <c r="D1216" s="23" t="inlineStr">
        <is>
          <t>0300806002</t>
        </is>
      </c>
      <c r="E1216" s="11" t="inlineStr">
        <is>
          <t>Region III (Central Luzon)</t>
        </is>
      </c>
      <c r="F1216" s="11" t="inlineStr">
        <is>
          <t>Bataan</t>
        </is>
      </c>
      <c r="G1216" s="11" t="inlineStr">
        <is>
          <t>Limay</t>
        </is>
      </c>
      <c r="H1216" s="11" t="inlineStr">
        <is>
          <t>Kitang I</t>
        </is>
      </c>
      <c r="I1216" s="24" t="n">
        <v>14.557287</v>
      </c>
      <c r="J1216" s="24" t="n">
        <v>120.598364</v>
      </c>
      <c r="K1216" s="23" t="inlineStr">
        <is>
          <t>R</t>
        </is>
      </c>
      <c r="L1216" s="25" t="n">
        <v>2182</v>
      </c>
      <c r="M1216" s="26" t="n">
        <v>3.6</v>
      </c>
      <c r="N1216" s="25">
        <f>ROUND(L1216/M1216, 0)</f>
        <v/>
      </c>
      <c r="O1216" s="25">
        <f>ROUND(N1216*'Methodology &amp; Assumptions'!$B$7, 0)</f>
        <v/>
      </c>
      <c r="P1216" s="23" t="inlineStr">
        <is>
          <t>Single Carrier (Band n50, 100MHz TDD)</t>
        </is>
      </c>
      <c r="Q1216" s="27">
        <f>ROUNDUP(O1216/'Methodology &amp; Assumptions'!$B$8, 0)</f>
        <v/>
      </c>
      <c r="R1216" s="27" t="n">
        <v>1</v>
      </c>
      <c r="S1216" s="26" t="n">
        <v>1.98</v>
      </c>
      <c r="T1216" s="26" t="n">
        <v>0.4</v>
      </c>
      <c r="U1216" s="11">
        <f>IF(S1216&lt;='Methodology &amp; Assumptions'!$B$10, "Direct Optical Drop (&lt;3km)", IF(S1216&lt;='Methodology &amp; Assumptions'!$B$9, "Near Optical / Microwave (&lt;5km)", "Starlink Business LEO Satellite Backhaul (&gt;5km)"))</f>
        <v/>
      </c>
      <c r="V1216" s="26" t="n">
        <v>74.56</v>
      </c>
      <c r="W1216" s="26" t="n">
        <v>42.07</v>
      </c>
      <c r="X1216" s="26">
        <f>ROUND(('Methodology &amp; Assumptions'!$B$5*V1216) + ('Methodology &amp; Assumptions'!$B$6*W1216), 2)</f>
        <v/>
      </c>
      <c r="Y1216" s="28" t="n">
        <v>8.300000000000001</v>
      </c>
      <c r="Z1216" s="11" t="inlineStr">
        <is>
          <t>Priority Tier 3 (Broadband Expansion)</t>
        </is>
      </c>
    </row>
    <row r="1217">
      <c r="A1217" s="23" t="n">
        <v>5</v>
      </c>
      <c r="B1217" s="23" t="n">
        <v>213</v>
      </c>
      <c r="C1217" s="23" t="n">
        <v>4213</v>
      </c>
      <c r="D1217" s="23" t="inlineStr">
        <is>
          <t>0305413013</t>
        </is>
      </c>
      <c r="E1217" s="11" t="inlineStr">
        <is>
          <t>Region III (Central Luzon)</t>
        </is>
      </c>
      <c r="F1217" s="11" t="inlineStr">
        <is>
          <t>Pampanga</t>
        </is>
      </c>
      <c r="G1217" s="11" t="inlineStr">
        <is>
          <t>Mexico</t>
        </is>
      </c>
      <c r="H1217" s="11" t="inlineStr">
        <is>
          <t>Lagundi</t>
        </is>
      </c>
      <c r="I1217" s="24" t="n">
        <v>15.05356</v>
      </c>
      <c r="J1217" s="24" t="n">
        <v>120.7109</v>
      </c>
      <c r="K1217" s="23" t="inlineStr">
        <is>
          <t>U</t>
        </is>
      </c>
      <c r="L1217" s="25" t="n">
        <v>5092</v>
      </c>
      <c r="M1217" s="26" t="n">
        <v>4</v>
      </c>
      <c r="N1217" s="25">
        <f>ROUND(L1217/M1217, 0)</f>
        <v/>
      </c>
      <c r="O1217" s="25">
        <f>ROUND(N1217*'Methodology &amp; Assumptions'!$B$7, 0)</f>
        <v/>
      </c>
      <c r="P1217" s="23" t="inlineStr">
        <is>
          <t>Single Carrier (Band n50, 100MHz TDD)</t>
        </is>
      </c>
      <c r="Q1217" s="27">
        <f>ROUNDUP(O1217/'Methodology &amp; Assumptions'!$B$8, 0)</f>
        <v/>
      </c>
      <c r="R1217" s="27" t="n">
        <v>1</v>
      </c>
      <c r="S1217" s="26" t="n">
        <v>2.94</v>
      </c>
      <c r="T1217" s="26" t="n">
        <v>0.14</v>
      </c>
      <c r="U1217" s="11">
        <f>IF(S1217&lt;='Methodology &amp; Assumptions'!$B$10, "Direct Optical Drop (&lt;3km)", IF(S1217&lt;='Methodology &amp; Assumptions'!$B$9, "Near Optical / Microwave (&lt;5km)", "Starlink Business LEO Satellite Backhaul (&gt;5km)"))</f>
        <v/>
      </c>
      <c r="V1217" s="26" t="n">
        <v>71.17</v>
      </c>
      <c r="W1217" s="26" t="n">
        <v>45.44</v>
      </c>
      <c r="X1217" s="26">
        <f>ROUND(('Methodology &amp; Assumptions'!$B$5*V1217) + ('Methodology &amp; Assumptions'!$B$6*W1217), 2)</f>
        <v/>
      </c>
      <c r="Y1217" s="28" t="n">
        <v>8.300000000000001</v>
      </c>
      <c r="Z1217" s="11" t="inlineStr">
        <is>
          <t>Priority Tier 3 (Broadband Expansion)</t>
        </is>
      </c>
    </row>
    <row r="1218">
      <c r="A1218" s="23" t="n">
        <v>5</v>
      </c>
      <c r="B1218" s="23" t="n">
        <v>214</v>
      </c>
      <c r="C1218" s="23" t="n">
        <v>4214</v>
      </c>
      <c r="D1218" s="23" t="inlineStr">
        <is>
          <t>0401011008</t>
        </is>
      </c>
      <c r="E1218" s="11" t="inlineStr">
        <is>
          <t>Region IV-A (CALABARZON)</t>
        </is>
      </c>
      <c r="F1218" s="11" t="inlineStr">
        <is>
          <t>Batangas</t>
        </is>
      </c>
      <c r="G1218" s="11" t="inlineStr">
        <is>
          <t>Laurel</t>
        </is>
      </c>
      <c r="H1218" s="11" t="inlineStr">
        <is>
          <t>Buso-buso</t>
        </is>
      </c>
      <c r="I1218" s="24" t="n">
        <v>14.0175</v>
      </c>
      <c r="J1218" s="24" t="n">
        <v>120.921652</v>
      </c>
      <c r="K1218" s="23" t="inlineStr">
        <is>
          <t>R</t>
        </is>
      </c>
      <c r="L1218" s="25" t="n">
        <v>2801</v>
      </c>
      <c r="M1218" s="26" t="n">
        <v>3.6</v>
      </c>
      <c r="N1218" s="25">
        <f>ROUND(L1218/M1218, 0)</f>
        <v/>
      </c>
      <c r="O1218" s="25">
        <f>ROUND(N1218*'Methodology &amp; Assumptions'!$B$7, 0)</f>
        <v/>
      </c>
      <c r="P1218" s="23" t="inlineStr">
        <is>
          <t>Single Carrier (Band n50, 100MHz TDD)</t>
        </is>
      </c>
      <c r="Q1218" s="27">
        <f>ROUNDUP(O1218/'Methodology &amp; Assumptions'!$B$8, 0)</f>
        <v/>
      </c>
      <c r="R1218" s="27" t="n">
        <v>1</v>
      </c>
      <c r="S1218" s="26" t="n">
        <v>4.19</v>
      </c>
      <c r="T1218" s="26" t="n">
        <v>7.99</v>
      </c>
      <c r="U1218" s="11">
        <f>IF(S1218&lt;='Methodology &amp; Assumptions'!$B$10, "Direct Optical Drop (&lt;3km)", IF(S1218&lt;='Methodology &amp; Assumptions'!$B$9, "Near Optical / Microwave (&lt;5km)", "Starlink Business LEO Satellite Backhaul (&gt;5km)"))</f>
        <v/>
      </c>
      <c r="V1218" s="26" t="n">
        <v>70.70999999999999</v>
      </c>
      <c r="W1218" s="26" t="n">
        <v>45.92</v>
      </c>
      <c r="X1218" s="26">
        <f>ROUND(('Methodology &amp; Assumptions'!$B$5*V1218) + ('Methodology &amp; Assumptions'!$B$6*W1218), 2)</f>
        <v/>
      </c>
      <c r="Y1218" s="28" t="n">
        <v>7.2</v>
      </c>
      <c r="Z1218" s="11" t="inlineStr">
        <is>
          <t>Priority Tier 3 (Broadband Expansion)</t>
        </is>
      </c>
    </row>
    <row r="1219">
      <c r="A1219" s="23" t="n">
        <v>5</v>
      </c>
      <c r="B1219" s="23" t="n">
        <v>215</v>
      </c>
      <c r="C1219" s="23" t="n">
        <v>4215</v>
      </c>
      <c r="D1219" s="23" t="inlineStr">
        <is>
          <t>0403408012</t>
        </is>
      </c>
      <c r="E1219" s="11" t="inlineStr">
        <is>
          <t>Region IV-A (CALABARZON)</t>
        </is>
      </c>
      <c r="F1219" s="11" t="inlineStr">
        <is>
          <t>Laguna</t>
        </is>
      </c>
      <c r="G1219" s="11" t="inlineStr">
        <is>
          <t>Famy</t>
        </is>
      </c>
      <c r="H1219" s="11" t="inlineStr">
        <is>
          <t>Damayan</t>
        </is>
      </c>
      <c r="I1219" s="24" t="n">
        <v>14.440935</v>
      </c>
      <c r="J1219" s="24" t="n">
        <v>121.450098</v>
      </c>
      <c r="K1219" s="23" t="inlineStr">
        <is>
          <t>R</t>
        </is>
      </c>
      <c r="L1219" s="25" t="n">
        <v>891</v>
      </c>
      <c r="M1219" s="26" t="n">
        <v>3.3</v>
      </c>
      <c r="N1219" s="25">
        <f>ROUND(L1219/M1219, 0)</f>
        <v/>
      </c>
      <c r="O1219" s="25">
        <f>ROUND(N1219*'Methodology &amp; Assumptions'!$B$7, 0)</f>
        <v/>
      </c>
      <c r="P1219" s="23" t="inlineStr">
        <is>
          <t>Single Carrier (Band n50, 100MHz TDD)</t>
        </is>
      </c>
      <c r="Q1219" s="27">
        <f>ROUNDUP(O1219/'Methodology &amp; Assumptions'!$B$8, 0)</f>
        <v/>
      </c>
      <c r="R1219" s="27" t="n">
        <v>1</v>
      </c>
      <c r="S1219" s="26" t="n">
        <v>0.6</v>
      </c>
      <c r="T1219" s="26" t="n">
        <v>0.58</v>
      </c>
      <c r="U1219" s="11">
        <f>IF(S1219&lt;='Methodology &amp; Assumptions'!$B$10, "Direct Optical Drop (&lt;3km)", IF(S1219&lt;='Methodology &amp; Assumptions'!$B$9, "Near Optical / Microwave (&lt;5km)", "Starlink Business LEO Satellite Backhaul (&gt;5km)"))</f>
        <v/>
      </c>
      <c r="V1219" s="26" t="n">
        <v>70.29000000000001</v>
      </c>
      <c r="W1219" s="26" t="n">
        <v>46.33</v>
      </c>
      <c r="X1219" s="26">
        <f>ROUND(('Methodology &amp; Assumptions'!$B$5*V1219) + ('Methodology &amp; Assumptions'!$B$6*W1219), 2)</f>
        <v/>
      </c>
      <c r="Y1219" s="28" t="n">
        <v>7.2</v>
      </c>
      <c r="Z1219" s="11" t="inlineStr">
        <is>
          <t>Priority Tier 3 (Broadband Expansion)</t>
        </is>
      </c>
    </row>
    <row r="1220">
      <c r="A1220" s="23" t="n">
        <v>5</v>
      </c>
      <c r="B1220" s="23" t="n">
        <v>216</v>
      </c>
      <c r="C1220" s="23" t="n">
        <v>4216</v>
      </c>
      <c r="D1220" s="23" t="inlineStr">
        <is>
          <t>1380601194</t>
        </is>
      </c>
      <c r="E1220" s="11" t="inlineStr">
        <is>
          <t>National Capital Region (NCR)</t>
        </is>
      </c>
      <c r="F1220" s="11" t="inlineStr">
        <is>
          <t>First District (Not a Province)</t>
        </is>
      </c>
      <c r="G1220" s="11" t="inlineStr">
        <is>
          <t>City of Manila</t>
        </is>
      </c>
      <c r="H1220" s="11" t="inlineStr">
        <is>
          <t>Barangay 194</t>
        </is>
      </c>
      <c r="I1220" s="24" t="n">
        <v>14.635095</v>
      </c>
      <c r="J1220" s="24" t="n">
        <v>120.978849</v>
      </c>
      <c r="K1220" s="23" t="inlineStr">
        <is>
          <t>U</t>
        </is>
      </c>
      <c r="L1220" s="25" t="n">
        <v>746</v>
      </c>
      <c r="M1220" s="26" t="n">
        <v>3.75</v>
      </c>
      <c r="N1220" s="25">
        <f>ROUND(L1220/M1220, 0)</f>
        <v/>
      </c>
      <c r="O1220" s="25">
        <f>ROUND(N1220*'Methodology &amp; Assumptions'!$B$7, 0)</f>
        <v/>
      </c>
      <c r="P1220" s="23" t="inlineStr">
        <is>
          <t>Single Carrier (Band n50, 100MHz TDD)</t>
        </is>
      </c>
      <c r="Q1220" s="27">
        <f>ROUNDUP(O1220/'Methodology &amp; Assumptions'!$B$8, 0)</f>
        <v/>
      </c>
      <c r="R1220" s="27" t="n">
        <v>1</v>
      </c>
      <c r="S1220" s="26" t="n">
        <v>1.09</v>
      </c>
      <c r="T1220" s="26" t="n">
        <v>0.41</v>
      </c>
      <c r="U1220" s="11">
        <f>IF(S1220&lt;='Methodology &amp; Assumptions'!$B$10, "Direct Optical Drop (&lt;3km)", IF(S1220&lt;='Methodology &amp; Assumptions'!$B$9, "Near Optical / Microwave (&lt;5km)", "Starlink Business LEO Satellite Backhaul (&gt;5km)"))</f>
        <v/>
      </c>
      <c r="V1220" s="26" t="n">
        <v>46.56</v>
      </c>
      <c r="W1220" s="26" t="n">
        <v>70.06</v>
      </c>
      <c r="X1220" s="26">
        <f>ROUND(('Methodology &amp; Assumptions'!$B$5*V1220) + ('Methodology &amp; Assumptions'!$B$6*W1220), 2)</f>
        <v/>
      </c>
      <c r="Y1220" s="28" t="n">
        <v>10.9</v>
      </c>
      <c r="Z1220" s="11" t="inlineStr">
        <is>
          <t>Priority Tier 3 (Broadband Expansion)</t>
        </is>
      </c>
    </row>
    <row r="1221">
      <c r="A1221" s="23" t="n">
        <v>5</v>
      </c>
      <c r="B1221" s="23" t="n">
        <v>217</v>
      </c>
      <c r="C1221" s="23" t="n">
        <v>4217</v>
      </c>
      <c r="D1221" s="23" t="inlineStr">
        <is>
          <t>0806009018</t>
        </is>
      </c>
      <c r="E1221" s="11" t="inlineStr">
        <is>
          <t>Region VIII (Eastern Visayas)</t>
        </is>
      </c>
      <c r="F1221" s="11" t="inlineStr">
        <is>
          <t>Samar</t>
        </is>
      </c>
      <c r="G1221" s="11" t="inlineStr">
        <is>
          <t>Jiabong</t>
        </is>
      </c>
      <c r="H1221" s="11" t="inlineStr">
        <is>
          <t>Malino</t>
        </is>
      </c>
      <c r="I1221" s="24" t="n">
        <v>11.8501</v>
      </c>
      <c r="J1221" s="24" t="n">
        <v>124.9585</v>
      </c>
      <c r="K1221" s="23" t="inlineStr">
        <is>
          <t>R</t>
        </is>
      </c>
      <c r="L1221" s="25" t="n">
        <v>870</v>
      </c>
      <c r="M1221" s="26" t="n">
        <v>4.1</v>
      </c>
      <c r="N1221" s="25">
        <f>ROUND(L1221/M1221, 0)</f>
        <v/>
      </c>
      <c r="O1221" s="25">
        <f>ROUND(N1221*'Methodology &amp; Assumptions'!$B$7, 0)</f>
        <v/>
      </c>
      <c r="P1221" s="23" t="inlineStr">
        <is>
          <t>Single Carrier (Band n50, 100MHz TDD)</t>
        </is>
      </c>
      <c r="Q1221" s="27">
        <f>ROUNDUP(O1221/'Methodology &amp; Assumptions'!$B$8, 0)</f>
        <v/>
      </c>
      <c r="R1221" s="27" t="n">
        <v>1</v>
      </c>
      <c r="S1221" s="26" t="n">
        <v>67.84999999999999</v>
      </c>
      <c r="T1221" s="26" t="n">
        <v>67.78</v>
      </c>
      <c r="U1221" s="11">
        <f>IF(S1221&lt;='Methodology &amp; Assumptions'!$B$10, "Direct Optical Drop (&lt;3km)", IF(S1221&lt;='Methodology &amp; Assumptions'!$B$9, "Near Optical / Microwave (&lt;5km)", "Starlink Business LEO Satellite Backhaul (&gt;5km)"))</f>
        <v/>
      </c>
      <c r="V1221" s="26" t="n">
        <v>45.32</v>
      </c>
      <c r="W1221" s="26" t="n">
        <v>71.3</v>
      </c>
      <c r="X1221" s="26">
        <f>ROUND(('Methodology &amp; Assumptions'!$B$5*V1221) + ('Methodology &amp; Assumptions'!$B$6*W1221), 2)</f>
        <v/>
      </c>
      <c r="Y1221" s="28" t="n">
        <v>23.7</v>
      </c>
      <c r="Z1221" s="11" t="inlineStr">
        <is>
          <t>Priority Tier 3 (Broadband Expansion)</t>
        </is>
      </c>
    </row>
    <row r="1222">
      <c r="A1222" s="23" t="n">
        <v>5</v>
      </c>
      <c r="B1222" s="23" t="n">
        <v>218</v>
      </c>
      <c r="C1222" s="23" t="n">
        <v>4218</v>
      </c>
      <c r="D1222" s="23" t="inlineStr">
        <is>
          <t>1108204002</t>
        </is>
      </c>
      <c r="E1222" s="11" t="inlineStr">
        <is>
          <t>Region XI (Davao Region)</t>
        </is>
      </c>
      <c r="F1222" s="11" t="inlineStr">
        <is>
          <t>Davao de Oro</t>
        </is>
      </c>
      <c r="G1222" s="11" t="inlineStr">
        <is>
          <t>Maco</t>
        </is>
      </c>
      <c r="H1222" s="11" t="inlineStr">
        <is>
          <t>Anislagan</t>
        </is>
      </c>
      <c r="I1222" s="24" t="n">
        <v>7.348709</v>
      </c>
      <c r="J1222" s="24" t="n">
        <v>125.862074</v>
      </c>
      <c r="K1222" s="23" t="inlineStr">
        <is>
          <t>R</t>
        </is>
      </c>
      <c r="L1222" s="25" t="n">
        <v>2787</v>
      </c>
      <c r="M1222" s="26" t="n">
        <v>3.7</v>
      </c>
      <c r="N1222" s="25">
        <f>ROUND(L1222/M1222, 0)</f>
        <v/>
      </c>
      <c r="O1222" s="25">
        <f>ROUND(N1222*'Methodology &amp; Assumptions'!$B$7, 0)</f>
        <v/>
      </c>
      <c r="P1222" s="23" t="inlineStr">
        <is>
          <t>Single Carrier (Band n50, 100MHz TDD)</t>
        </is>
      </c>
      <c r="Q1222" s="27">
        <f>ROUNDUP(O1222/'Methodology &amp; Assumptions'!$B$8, 0)</f>
        <v/>
      </c>
      <c r="R1222" s="27" t="n">
        <v>1</v>
      </c>
      <c r="S1222" s="26" t="n">
        <v>1.1</v>
      </c>
      <c r="T1222" s="26" t="n">
        <v>0.6</v>
      </c>
      <c r="U1222" s="11">
        <f>IF(S1222&lt;='Methodology &amp; Assumptions'!$B$10, "Direct Optical Drop (&lt;3km)", IF(S1222&lt;='Methodology &amp; Assumptions'!$B$9, "Near Optical / Microwave (&lt;5km)", "Starlink Business LEO Satellite Backhaul (&gt;5km)"))</f>
        <v/>
      </c>
      <c r="V1222" s="26" t="n">
        <v>83.03</v>
      </c>
      <c r="W1222" s="26" t="n">
        <v>33.57</v>
      </c>
      <c r="X1222" s="26">
        <f>ROUND(('Methodology &amp; Assumptions'!$B$5*V1222) + ('Methodology &amp; Assumptions'!$B$6*W1222), 2)</f>
        <v/>
      </c>
      <c r="Y1222" s="28" t="n">
        <v>17.4</v>
      </c>
      <c r="Z1222" s="11" t="inlineStr">
        <is>
          <t>Priority Tier 3 (Broadband Expansion)</t>
        </is>
      </c>
    </row>
    <row r="1223">
      <c r="A1223" s="23" t="n">
        <v>5</v>
      </c>
      <c r="B1223" s="23" t="n">
        <v>219</v>
      </c>
      <c r="C1223" s="23" t="n">
        <v>4219</v>
      </c>
      <c r="D1223" s="23" t="inlineStr">
        <is>
          <t>0203120019</t>
        </is>
      </c>
      <c r="E1223" s="11" t="inlineStr">
        <is>
          <t>Region II (Cagayan Valley)</t>
        </is>
      </c>
      <c r="F1223" s="11" t="inlineStr">
        <is>
          <t>Isabela</t>
        </is>
      </c>
      <c r="G1223" s="11" t="inlineStr">
        <is>
          <t>Naguilian</t>
        </is>
      </c>
      <c r="H1223" s="11" t="inlineStr">
        <is>
          <t>San Manuel</t>
        </is>
      </c>
      <c r="I1223" s="24" t="n">
        <v>17.021804</v>
      </c>
      <c r="J1223" s="24" t="n">
        <v>121.8656</v>
      </c>
      <c r="K1223" s="23" t="inlineStr">
        <is>
          <t>R</t>
        </is>
      </c>
      <c r="L1223" s="25" t="n">
        <v>2683</v>
      </c>
      <c r="M1223" s="26" t="n">
        <v>3.8</v>
      </c>
      <c r="N1223" s="25">
        <f>ROUND(L1223/M1223, 0)</f>
        <v/>
      </c>
      <c r="O1223" s="25">
        <f>ROUND(N1223*'Methodology &amp; Assumptions'!$B$7, 0)</f>
        <v/>
      </c>
      <c r="P1223" s="23" t="inlineStr">
        <is>
          <t>Single Carrier (Band n50, 100MHz TDD)</t>
        </is>
      </c>
      <c r="Q1223" s="27">
        <f>ROUNDUP(O1223/'Methodology &amp; Assumptions'!$B$8, 0)</f>
        <v/>
      </c>
      <c r="R1223" s="27" t="n">
        <v>1</v>
      </c>
      <c r="S1223" s="26" t="n">
        <v>0.62</v>
      </c>
      <c r="T1223" s="26" t="n">
        <v>0.59</v>
      </c>
      <c r="U1223" s="11">
        <f>IF(S1223&lt;='Methodology &amp; Assumptions'!$B$10, "Direct Optical Drop (&lt;3km)", IF(S1223&lt;='Methodology &amp; Assumptions'!$B$9, "Near Optical / Microwave (&lt;5km)", "Starlink Business LEO Satellite Backhaul (&gt;5km)"))</f>
        <v/>
      </c>
      <c r="V1223" s="26" t="n">
        <v>81.98999999999999</v>
      </c>
      <c r="W1223" s="26" t="n">
        <v>34.61</v>
      </c>
      <c r="X1223" s="26">
        <f>ROUND(('Methodology &amp; Assumptions'!$B$5*V1223) + ('Methodology &amp; Assumptions'!$B$6*W1223), 2)</f>
        <v/>
      </c>
      <c r="Y1223" s="28" t="n">
        <v>8.300000000000001</v>
      </c>
      <c r="Z1223" s="11" t="inlineStr">
        <is>
          <t>Priority Tier 3 (Broadband Expansion)</t>
        </is>
      </c>
    </row>
    <row r="1224">
      <c r="A1224" s="23" t="n">
        <v>5</v>
      </c>
      <c r="B1224" s="23" t="n">
        <v>220</v>
      </c>
      <c r="C1224" s="23" t="n">
        <v>4220</v>
      </c>
      <c r="D1224" s="23" t="inlineStr">
        <is>
          <t>0306917024</t>
        </is>
      </c>
      <c r="E1224" s="11" t="inlineStr">
        <is>
          <t>Region III (Central Luzon)</t>
        </is>
      </c>
      <c r="F1224" s="11" t="inlineStr">
        <is>
          <t>Tarlac</t>
        </is>
      </c>
      <c r="G1224" s="11" t="inlineStr">
        <is>
          <t>Victoria</t>
        </is>
      </c>
      <c r="H1224" s="11" t="inlineStr">
        <is>
          <t>San Nicolas</t>
        </is>
      </c>
      <c r="I1224" s="24" t="n">
        <v>15.57912</v>
      </c>
      <c r="J1224" s="24" t="n">
        <v>120.68086</v>
      </c>
      <c r="K1224" s="23" t="inlineStr">
        <is>
          <t>R</t>
        </is>
      </c>
      <c r="L1224" s="25" t="n">
        <v>2875</v>
      </c>
      <c r="M1224" s="26" t="n">
        <v>3.9</v>
      </c>
      <c r="N1224" s="25">
        <f>ROUND(L1224/M1224, 0)</f>
        <v/>
      </c>
      <c r="O1224" s="25">
        <f>ROUND(N1224*'Methodology &amp; Assumptions'!$B$7, 0)</f>
        <v/>
      </c>
      <c r="P1224" s="23" t="inlineStr">
        <is>
          <t>Single Carrier (Band n50, 100MHz TDD)</t>
        </is>
      </c>
      <c r="Q1224" s="27">
        <f>ROUNDUP(O1224/'Methodology &amp; Assumptions'!$B$8, 0)</f>
        <v/>
      </c>
      <c r="R1224" s="27" t="n">
        <v>1</v>
      </c>
      <c r="S1224" s="26" t="n">
        <v>0.54</v>
      </c>
      <c r="T1224" s="26" t="n">
        <v>5.86</v>
      </c>
      <c r="U1224" s="11">
        <f>IF(S1224&lt;='Methodology &amp; Assumptions'!$B$10, "Direct Optical Drop (&lt;3km)", IF(S1224&lt;='Methodology &amp; Assumptions'!$B$9, "Near Optical / Microwave (&lt;5km)", "Starlink Business LEO Satellite Backhaul (&gt;5km)"))</f>
        <v/>
      </c>
      <c r="V1224" s="26" t="n">
        <v>80.69</v>
      </c>
      <c r="W1224" s="26" t="n">
        <v>35.92</v>
      </c>
      <c r="X1224" s="26">
        <f>ROUND(('Methodology &amp; Assumptions'!$B$5*V1224) + ('Methodology &amp; Assumptions'!$B$6*W1224), 2)</f>
        <v/>
      </c>
      <c r="Y1224" s="28" t="n">
        <v>8.300000000000001</v>
      </c>
      <c r="Z1224" s="11" t="inlineStr">
        <is>
          <t>Priority Tier 3 (Broadband Expansion)</t>
        </is>
      </c>
    </row>
    <row r="1225">
      <c r="A1225" s="23" t="n">
        <v>5</v>
      </c>
      <c r="B1225" s="23" t="n">
        <v>221</v>
      </c>
      <c r="C1225" s="23" t="n">
        <v>4221</v>
      </c>
      <c r="D1225" s="23" t="inlineStr">
        <is>
          <t>0105510009</t>
        </is>
      </c>
      <c r="E1225" s="11" t="inlineStr">
        <is>
          <t>Region I (Ilocos Region)</t>
        </is>
      </c>
      <c r="F1225" s="11" t="inlineStr">
        <is>
          <t>Pangasinan</t>
        </is>
      </c>
      <c r="G1225" s="11" t="inlineStr">
        <is>
          <t>Bautista</t>
        </is>
      </c>
      <c r="H1225" s="11" t="inlineStr">
        <is>
          <t>Nibaliw Norte</t>
        </is>
      </c>
      <c r="I1225" s="24" t="n">
        <v>15.81284</v>
      </c>
      <c r="J1225" s="24" t="n">
        <v>120.4647</v>
      </c>
      <c r="K1225" s="23" t="inlineStr">
        <is>
          <t>R</t>
        </is>
      </c>
      <c r="L1225" s="25" t="n">
        <v>2294</v>
      </c>
      <c r="M1225" s="26" t="n">
        <v>3.6</v>
      </c>
      <c r="N1225" s="25">
        <f>ROUND(L1225/M1225, 0)</f>
        <v/>
      </c>
      <c r="O1225" s="25">
        <f>ROUND(N1225*'Methodology &amp; Assumptions'!$B$7, 0)</f>
        <v/>
      </c>
      <c r="P1225" s="23" t="inlineStr">
        <is>
          <t>Single Carrier (Band n50, 100MHz TDD)</t>
        </is>
      </c>
      <c r="Q1225" s="27">
        <f>ROUNDUP(O1225/'Methodology &amp; Assumptions'!$B$8, 0)</f>
        <v/>
      </c>
      <c r="R1225" s="27" t="n">
        <v>1</v>
      </c>
      <c r="S1225" s="26" t="n">
        <v>1.11</v>
      </c>
      <c r="T1225" s="26" t="n">
        <v>0.88</v>
      </c>
      <c r="U1225" s="11">
        <f>IF(S1225&lt;='Methodology &amp; Assumptions'!$B$10, "Direct Optical Drop (&lt;3km)", IF(S1225&lt;='Methodology &amp; Assumptions'!$B$9, "Near Optical / Microwave (&lt;5km)", "Starlink Business LEO Satellite Backhaul (&gt;5km)"))</f>
        <v/>
      </c>
      <c r="V1225" s="26" t="n">
        <v>78.69</v>
      </c>
      <c r="W1225" s="26" t="n">
        <v>37.92</v>
      </c>
      <c r="X1225" s="26">
        <f>ROUND(('Methodology &amp; Assumptions'!$B$5*V1225) + ('Methodology &amp; Assumptions'!$B$6*W1225), 2)</f>
        <v/>
      </c>
      <c r="Y1225" s="28" t="n">
        <v>8.300000000000001</v>
      </c>
      <c r="Z1225" s="11" t="inlineStr">
        <is>
          <t>Priority Tier 3 (Broadband Expansion)</t>
        </is>
      </c>
    </row>
    <row r="1226">
      <c r="A1226" s="23" t="n">
        <v>5</v>
      </c>
      <c r="B1226" s="23" t="n">
        <v>222</v>
      </c>
      <c r="C1226" s="23" t="n">
        <v>4222</v>
      </c>
      <c r="D1226" s="23" t="inlineStr">
        <is>
          <t>1630400100</t>
        </is>
      </c>
      <c r="E1226" s="11" t="inlineStr">
        <is>
          <t>Region XIII (Caraga)</t>
        </is>
      </c>
      <c r="F1226" s="11" t="inlineStr">
        <is>
          <t>Agusan del Norte</t>
        </is>
      </c>
      <c r="G1226" s="11" t="inlineStr">
        <is>
          <t>City of Butuan</t>
        </is>
      </c>
      <c r="H1226" s="11" t="inlineStr">
        <is>
          <t>Santo Niño</t>
        </is>
      </c>
      <c r="I1226" s="24" t="n">
        <v>9.024065999999999</v>
      </c>
      <c r="J1226" s="24" t="n">
        <v>125.518508</v>
      </c>
      <c r="K1226" s="23" t="inlineStr">
        <is>
          <t>R</t>
        </is>
      </c>
      <c r="L1226" s="25" t="n">
        <v>3221</v>
      </c>
      <c r="M1226" s="26" t="n">
        <v>4.1</v>
      </c>
      <c r="N1226" s="25">
        <f>ROUND(L1226/M1226, 0)</f>
        <v/>
      </c>
      <c r="O1226" s="25">
        <f>ROUND(N1226*'Methodology &amp; Assumptions'!$B$7, 0)</f>
        <v/>
      </c>
      <c r="P1226" s="23" t="inlineStr">
        <is>
          <t>Single Carrier (Band n50, 100MHz TDD)</t>
        </is>
      </c>
      <c r="Q1226" s="27">
        <f>ROUNDUP(O1226/'Methodology &amp; Assumptions'!$B$8, 0)</f>
        <v/>
      </c>
      <c r="R1226" s="27" t="n">
        <v>1</v>
      </c>
      <c r="S1226" s="26" t="n">
        <v>1.64</v>
      </c>
      <c r="T1226" s="26" t="n">
        <v>7.1</v>
      </c>
      <c r="U1226" s="11">
        <f>IF(S1226&lt;='Methodology &amp; Assumptions'!$B$10, "Direct Optical Drop (&lt;3km)", IF(S1226&lt;='Methodology &amp; Assumptions'!$B$9, "Near Optical / Microwave (&lt;5km)", "Starlink Business LEO Satellite Backhaul (&gt;5km)"))</f>
        <v/>
      </c>
      <c r="V1226" s="26" t="n">
        <v>78.56</v>
      </c>
      <c r="W1226" s="26" t="n">
        <v>38.05</v>
      </c>
      <c r="X1226" s="26">
        <f>ROUND(('Methodology &amp; Assumptions'!$B$5*V1226) + ('Methodology &amp; Assumptions'!$B$6*W1226), 2)</f>
        <v/>
      </c>
      <c r="Y1226" s="28" t="n">
        <v>17.4</v>
      </c>
      <c r="Z1226" s="11" t="inlineStr">
        <is>
          <t>Priority Tier 3 (Broadband Expansion)</t>
        </is>
      </c>
    </row>
    <row r="1227">
      <c r="A1227" s="23" t="n">
        <v>5</v>
      </c>
      <c r="B1227" s="23" t="n">
        <v>223</v>
      </c>
      <c r="C1227" s="23" t="n">
        <v>4223</v>
      </c>
      <c r="D1227" s="23" t="inlineStr">
        <is>
          <t>1381100063</t>
        </is>
      </c>
      <c r="E1227" s="11" t="inlineStr">
        <is>
          <t>National Capital Region (NCR)</t>
        </is>
      </c>
      <c r="F1227" s="11" t="inlineStr">
        <is>
          <t>Fourth District (Not a Province)</t>
        </is>
      </c>
      <c r="G1227" s="11" t="inlineStr">
        <is>
          <t>Pasay City</t>
        </is>
      </c>
      <c r="H1227" s="11" t="inlineStr">
        <is>
          <t>Barangay 63</t>
        </is>
      </c>
      <c r="I1227" s="24" t="n">
        <v>14.550382</v>
      </c>
      <c r="J1227" s="24" t="n">
        <v>121.002389</v>
      </c>
      <c r="K1227" s="23" t="inlineStr">
        <is>
          <t>U</t>
        </is>
      </c>
      <c r="L1227" s="25" t="n">
        <v>648</v>
      </c>
      <c r="M1227" s="26" t="n">
        <v>3.21</v>
      </c>
      <c r="N1227" s="25">
        <f>ROUND(L1227/M1227, 0)</f>
        <v/>
      </c>
      <c r="O1227" s="25">
        <f>ROUND(N1227*'Methodology &amp; Assumptions'!$B$7, 0)</f>
        <v/>
      </c>
      <c r="P1227" s="23" t="inlineStr">
        <is>
          <t>Single Carrier (Band n50, 100MHz TDD)</t>
        </is>
      </c>
      <c r="Q1227" s="27">
        <f>ROUNDUP(O1227/'Methodology &amp; Assumptions'!$B$8, 0)</f>
        <v/>
      </c>
      <c r="R1227" s="27" t="n">
        <v>1</v>
      </c>
      <c r="S1227" s="26" t="n">
        <v>0.97</v>
      </c>
      <c r="T1227" s="26" t="n">
        <v>0.26</v>
      </c>
      <c r="U1227" s="11">
        <f>IF(S1227&lt;='Methodology &amp; Assumptions'!$B$10, "Direct Optical Drop (&lt;3km)", IF(S1227&lt;='Methodology &amp; Assumptions'!$B$9, "Near Optical / Microwave (&lt;5km)", "Starlink Business LEO Satellite Backhaul (&gt;5km)"))</f>
        <v/>
      </c>
      <c r="V1227" s="26" t="n">
        <v>47.12</v>
      </c>
      <c r="W1227" s="26" t="n">
        <v>69.48</v>
      </c>
      <c r="X1227" s="26">
        <f>ROUND(('Methodology &amp; Assumptions'!$B$5*V1227) + ('Methodology &amp; Assumptions'!$B$6*W1227), 2)</f>
        <v/>
      </c>
      <c r="Y1227" s="28" t="n">
        <v>10.9</v>
      </c>
      <c r="Z1227" s="11" t="inlineStr">
        <is>
          <t>Priority Tier 3 (Broadband Expansion)</t>
        </is>
      </c>
    </row>
    <row r="1228">
      <c r="A1228" s="23" t="n">
        <v>5</v>
      </c>
      <c r="B1228" s="23" t="n">
        <v>224</v>
      </c>
      <c r="C1228" s="23" t="n">
        <v>4224</v>
      </c>
      <c r="D1228" s="23" t="inlineStr">
        <is>
          <t>0601917033</t>
        </is>
      </c>
      <c r="E1228" s="11" t="inlineStr">
        <is>
          <t>Region VI (Western Visayas)</t>
        </is>
      </c>
      <c r="F1228" s="11" t="inlineStr">
        <is>
          <t>Capiz</t>
        </is>
      </c>
      <c r="G1228" s="11" t="inlineStr">
        <is>
          <t>Tapaz</t>
        </is>
      </c>
      <c r="H1228" s="11" t="inlineStr">
        <is>
          <t>Rizal Norte</t>
        </is>
      </c>
      <c r="I1228" s="24" t="n">
        <v>11.325244</v>
      </c>
      <c r="J1228" s="24" t="n">
        <v>122.370174</v>
      </c>
      <c r="K1228" s="23" t="inlineStr">
        <is>
          <t>R</t>
        </is>
      </c>
      <c r="L1228" s="25" t="n">
        <v>327</v>
      </c>
      <c r="M1228" s="26" t="n">
        <v>3.8</v>
      </c>
      <c r="N1228" s="25">
        <f>ROUND(L1228/M1228, 0)</f>
        <v/>
      </c>
      <c r="O1228" s="25">
        <f>ROUND(N1228*'Methodology &amp; Assumptions'!$B$7, 0)</f>
        <v/>
      </c>
      <c r="P1228" s="23" t="inlineStr">
        <is>
          <t>Single Carrier (Band n50, 100MHz TDD)</t>
        </is>
      </c>
      <c r="Q1228" s="27">
        <f>ROUNDUP(O1228/'Methodology &amp; Assumptions'!$B$8, 0)</f>
        <v/>
      </c>
      <c r="R1228" s="27" t="n">
        <v>1</v>
      </c>
      <c r="S1228" s="26" t="n">
        <v>25.8</v>
      </c>
      <c r="T1228" s="26" t="n">
        <v>22.27</v>
      </c>
      <c r="U1228" s="11">
        <f>IF(S1228&lt;='Methodology &amp; Assumptions'!$B$10, "Direct Optical Drop (&lt;3km)", IF(S1228&lt;='Methodology &amp; Assumptions'!$B$9, "Near Optical / Microwave (&lt;5km)", "Starlink Business LEO Satellite Backhaul (&gt;5km)"))</f>
        <v/>
      </c>
      <c r="V1228" s="26" t="n">
        <v>38.84</v>
      </c>
      <c r="W1228" s="26" t="n">
        <v>77.75</v>
      </c>
      <c r="X1228" s="26">
        <f>ROUND(('Methodology &amp; Assumptions'!$B$5*V1228) + ('Methodology &amp; Assumptions'!$B$6*W1228), 2)</f>
        <v/>
      </c>
      <c r="Y1228" s="28" t="n">
        <v>23.7</v>
      </c>
      <c r="Z1228" s="11" t="inlineStr">
        <is>
          <t>Priority Tier 3 (Broadband Expansion)</t>
        </is>
      </c>
    </row>
    <row r="1229">
      <c r="A1229" s="23" t="n">
        <v>5</v>
      </c>
      <c r="B1229" s="23" t="n">
        <v>225</v>
      </c>
      <c r="C1229" s="23" t="n">
        <v>4225</v>
      </c>
      <c r="D1229" s="23" t="inlineStr">
        <is>
          <t>0301421046</t>
        </is>
      </c>
      <c r="E1229" s="11" t="inlineStr">
        <is>
          <t>Region III (Central Luzon)</t>
        </is>
      </c>
      <c r="F1229" s="11" t="inlineStr">
        <is>
          <t>Bulacan</t>
        </is>
      </c>
      <c r="G1229" s="11" t="inlineStr">
        <is>
          <t>San Miguel</t>
        </is>
      </c>
      <c r="H1229" s="11" t="inlineStr">
        <is>
          <t>San Vicente</t>
        </is>
      </c>
      <c r="I1229" s="24" t="n">
        <v>15.14003</v>
      </c>
      <c r="J1229" s="24" t="n">
        <v>120.970799</v>
      </c>
      <c r="K1229" s="23" t="inlineStr">
        <is>
          <t>R</t>
        </is>
      </c>
      <c r="L1229" s="25" t="n">
        <v>2870</v>
      </c>
      <c r="M1229" s="26" t="n">
        <v>3.5</v>
      </c>
      <c r="N1229" s="25">
        <f>ROUND(L1229/M1229, 0)</f>
        <v/>
      </c>
      <c r="O1229" s="25">
        <f>ROUND(N1229*'Methodology &amp; Assumptions'!$B$7, 0)</f>
        <v/>
      </c>
      <c r="P1229" s="23" t="inlineStr">
        <is>
          <t>Single Carrier (Band n50, 100MHz TDD)</t>
        </is>
      </c>
      <c r="Q1229" s="27">
        <f>ROUNDUP(O1229/'Methodology &amp; Assumptions'!$B$8, 0)</f>
        <v/>
      </c>
      <c r="R1229" s="27" t="n">
        <v>1</v>
      </c>
      <c r="S1229" s="26" t="n">
        <v>1.1</v>
      </c>
      <c r="T1229" s="26" t="n">
        <v>0.26</v>
      </c>
      <c r="U1229" s="11">
        <f>IF(S1229&lt;='Methodology &amp; Assumptions'!$B$10, "Direct Optical Drop (&lt;3km)", IF(S1229&lt;='Methodology &amp; Assumptions'!$B$9, "Near Optical / Microwave (&lt;5km)", "Starlink Business LEO Satellite Backhaul (&gt;5km)"))</f>
        <v/>
      </c>
      <c r="V1229" s="26" t="n">
        <v>84.62</v>
      </c>
      <c r="W1229" s="26" t="n">
        <v>31.96</v>
      </c>
      <c r="X1229" s="26">
        <f>ROUND(('Methodology &amp; Assumptions'!$B$5*V1229) + ('Methodology &amp; Assumptions'!$B$6*W1229), 2)</f>
        <v/>
      </c>
      <c r="Y1229" s="28" t="n">
        <v>8.300000000000001</v>
      </c>
      <c r="Z1229" s="11" t="inlineStr">
        <is>
          <t>Priority Tier 3 (Broadband Expansion)</t>
        </is>
      </c>
    </row>
    <row r="1230">
      <c r="A1230" s="23" t="n">
        <v>5</v>
      </c>
      <c r="B1230" s="23" t="n">
        <v>226</v>
      </c>
      <c r="C1230" s="23" t="n">
        <v>4226</v>
      </c>
      <c r="D1230" s="23" t="inlineStr">
        <is>
          <t>0603045046</t>
        </is>
      </c>
      <c r="E1230" s="11" t="inlineStr">
        <is>
          <t>Region VI (Western Visayas)</t>
        </is>
      </c>
      <c r="F1230" s="11" t="inlineStr">
        <is>
          <t>Iloilo</t>
        </is>
      </c>
      <c r="G1230" s="11" t="inlineStr">
        <is>
          <t>Tigbauan</t>
        </is>
      </c>
      <c r="H1230" s="11" t="inlineStr">
        <is>
          <t>Parara Sur</t>
        </is>
      </c>
      <c r="I1230" s="24" t="n">
        <v>10.672648</v>
      </c>
      <c r="J1230" s="24" t="n">
        <v>122.367243</v>
      </c>
      <c r="K1230" s="23" t="inlineStr">
        <is>
          <t>R</t>
        </is>
      </c>
      <c r="L1230" s="25" t="n">
        <v>2818</v>
      </c>
      <c r="M1230" s="26" t="n">
        <v>3.8</v>
      </c>
      <c r="N1230" s="25">
        <f>ROUND(L1230/M1230, 0)</f>
        <v/>
      </c>
      <c r="O1230" s="25">
        <f>ROUND(N1230*'Methodology &amp; Assumptions'!$B$7, 0)</f>
        <v/>
      </c>
      <c r="P1230" s="23" t="inlineStr">
        <is>
          <t>Single Carrier (Band n50, 100MHz TDD)</t>
        </is>
      </c>
      <c r="Q1230" s="27">
        <f>ROUNDUP(O1230/'Methodology &amp; Assumptions'!$B$8, 0)</f>
        <v/>
      </c>
      <c r="R1230" s="27" t="n">
        <v>1</v>
      </c>
      <c r="S1230" s="26" t="n">
        <v>1.69</v>
      </c>
      <c r="T1230" s="26" t="n">
        <v>0.12</v>
      </c>
      <c r="U1230" s="11">
        <f>IF(S1230&lt;='Methodology &amp; Assumptions'!$B$10, "Direct Optical Drop (&lt;3km)", IF(S1230&lt;='Methodology &amp; Assumptions'!$B$9, "Near Optical / Microwave (&lt;5km)", "Starlink Business LEO Satellite Backhaul (&gt;5km)"))</f>
        <v/>
      </c>
      <c r="V1230" s="26" t="n">
        <v>80.91</v>
      </c>
      <c r="W1230" s="26" t="n">
        <v>35.67</v>
      </c>
      <c r="X1230" s="26">
        <f>ROUND(('Methodology &amp; Assumptions'!$B$5*V1230) + ('Methodology &amp; Assumptions'!$B$6*W1230), 2)</f>
        <v/>
      </c>
      <c r="Y1230" s="28" t="n">
        <v>23.7</v>
      </c>
      <c r="Z1230" s="11" t="inlineStr">
        <is>
          <t>Priority Tier 3 (Broadband Expansion)</t>
        </is>
      </c>
    </row>
    <row r="1231">
      <c r="A1231" s="23" t="n">
        <v>5</v>
      </c>
      <c r="B1231" s="23" t="n">
        <v>227</v>
      </c>
      <c r="C1231" s="23" t="n">
        <v>4227</v>
      </c>
      <c r="D1231" s="23" t="inlineStr">
        <is>
          <t>0401005112</t>
        </is>
      </c>
      <c r="E1231" s="11" t="inlineStr">
        <is>
          <t>Region IV-A (CALABARZON)</t>
        </is>
      </c>
      <c r="F1231" s="11" t="inlineStr">
        <is>
          <t>Batangas</t>
        </is>
      </c>
      <c r="G1231" s="11" t="inlineStr">
        <is>
          <t>Batangas City</t>
        </is>
      </c>
      <c r="H1231" s="11" t="inlineStr">
        <is>
          <t>Talumpok Kanluran</t>
        </is>
      </c>
      <c r="I1231" s="24" t="n">
        <v>13.734208</v>
      </c>
      <c r="J1231" s="24" t="n">
        <v>121.145264</v>
      </c>
      <c r="K1231" s="23" t="inlineStr">
        <is>
          <t>R</t>
        </is>
      </c>
      <c r="L1231" s="25" t="n">
        <v>2986</v>
      </c>
      <c r="M1231" s="26" t="n">
        <v>3.6</v>
      </c>
      <c r="N1231" s="25">
        <f>ROUND(L1231/M1231, 0)</f>
        <v/>
      </c>
      <c r="O1231" s="25">
        <f>ROUND(N1231*'Methodology &amp; Assumptions'!$B$7, 0)</f>
        <v/>
      </c>
      <c r="P1231" s="23" t="inlineStr">
        <is>
          <t>Single Carrier (Band n50, 100MHz TDD)</t>
        </is>
      </c>
      <c r="Q1231" s="27">
        <f>ROUNDUP(O1231/'Methodology &amp; Assumptions'!$B$8, 0)</f>
        <v/>
      </c>
      <c r="R1231" s="27" t="n">
        <v>1</v>
      </c>
      <c r="S1231" s="26" t="n">
        <v>1.7</v>
      </c>
      <c r="T1231" s="26" t="n">
        <v>8.050000000000001</v>
      </c>
      <c r="U1231" s="11">
        <f>IF(S1231&lt;='Methodology &amp; Assumptions'!$B$10, "Direct Optical Drop (&lt;3km)", IF(S1231&lt;='Methodology &amp; Assumptions'!$B$9, "Near Optical / Microwave (&lt;5km)", "Starlink Business LEO Satellite Backhaul (&gt;5km)"))</f>
        <v/>
      </c>
      <c r="V1231" s="26" t="n">
        <v>78.76000000000001</v>
      </c>
      <c r="W1231" s="26" t="n">
        <v>37.82</v>
      </c>
      <c r="X1231" s="26">
        <f>ROUND(('Methodology &amp; Assumptions'!$B$5*V1231) + ('Methodology &amp; Assumptions'!$B$6*W1231), 2)</f>
        <v/>
      </c>
      <c r="Y1231" s="28" t="n">
        <v>7.2</v>
      </c>
      <c r="Z1231" s="11" t="inlineStr">
        <is>
          <t>Priority Tier 3 (Broadband Expansion)</t>
        </is>
      </c>
    </row>
    <row r="1232">
      <c r="A1232" s="23" t="n">
        <v>5</v>
      </c>
      <c r="B1232" s="23" t="n">
        <v>228</v>
      </c>
      <c r="C1232" s="23" t="n">
        <v>4228</v>
      </c>
      <c r="D1232" s="23" t="inlineStr">
        <is>
          <t>0203135024</t>
        </is>
      </c>
      <c r="E1232" s="11" t="inlineStr">
        <is>
          <t>Region II (Cagayan Valley)</t>
        </is>
      </c>
      <c r="F1232" s="11" t="inlineStr">
        <is>
          <t>Isabela</t>
        </is>
      </c>
      <c r="G1232" s="11" t="inlineStr">
        <is>
          <t>City of Santiago</t>
        </is>
      </c>
      <c r="H1232" s="11" t="inlineStr">
        <is>
          <t>Plaridel</t>
        </is>
      </c>
      <c r="I1232" s="24" t="n">
        <v>16.687568</v>
      </c>
      <c r="J1232" s="24" t="n">
        <v>121.539549</v>
      </c>
      <c r="K1232" s="23" t="inlineStr">
        <is>
          <t>U</t>
        </is>
      </c>
      <c r="L1232" s="25" t="n">
        <v>7642</v>
      </c>
      <c r="M1232" s="26" t="n">
        <v>3.8</v>
      </c>
      <c r="N1232" s="25">
        <f>ROUND(L1232/M1232, 0)</f>
        <v/>
      </c>
      <c r="O1232" s="25">
        <f>ROUND(N1232*'Methodology &amp; Assumptions'!$B$7, 0)</f>
        <v/>
      </c>
      <c r="P1232" s="23" t="inlineStr">
        <is>
          <t>Single Carrier (Band n50, 100MHz TDD)</t>
        </is>
      </c>
      <c r="Q1232" s="27">
        <f>ROUNDUP(O1232/'Methodology &amp; Assumptions'!$B$8, 0)</f>
        <v/>
      </c>
      <c r="R1232" s="27" t="n">
        <v>1</v>
      </c>
      <c r="S1232" s="26" t="n">
        <v>1.39</v>
      </c>
      <c r="T1232" s="26" t="n">
        <v>0.12</v>
      </c>
      <c r="U1232" s="11">
        <f>IF(S1232&lt;='Methodology &amp; Assumptions'!$B$10, "Direct Optical Drop (&lt;3km)", IF(S1232&lt;='Methodology &amp; Assumptions'!$B$9, "Near Optical / Microwave (&lt;5km)", "Starlink Business LEO Satellite Backhaul (&gt;5km)"))</f>
        <v/>
      </c>
      <c r="V1232" s="26" t="n">
        <v>76.34</v>
      </c>
      <c r="W1232" s="26" t="n">
        <v>40.25</v>
      </c>
      <c r="X1232" s="26">
        <f>ROUND(('Methodology &amp; Assumptions'!$B$5*V1232) + ('Methodology &amp; Assumptions'!$B$6*W1232), 2)</f>
        <v/>
      </c>
      <c r="Y1232" s="28" t="n">
        <v>8.300000000000001</v>
      </c>
      <c r="Z1232" s="11" t="inlineStr">
        <is>
          <t>Priority Tier 3 (Broadband Expansion)</t>
        </is>
      </c>
    </row>
    <row r="1233">
      <c r="A1233" s="23" t="n">
        <v>5</v>
      </c>
      <c r="B1233" s="23" t="n">
        <v>229</v>
      </c>
      <c r="C1233" s="23" t="n">
        <v>4229</v>
      </c>
      <c r="D1233" s="23" t="inlineStr">
        <is>
          <t>0403414014</t>
        </is>
      </c>
      <c r="E1233" s="11" t="inlineStr">
        <is>
          <t>Region IV-A (CALABARZON)</t>
        </is>
      </c>
      <c r="F1233" s="11" t="inlineStr">
        <is>
          <t>Laguna</t>
        </is>
      </c>
      <c r="G1233" s="11" t="inlineStr">
        <is>
          <t>Mabitac</t>
        </is>
      </c>
      <c r="H1233" s="11" t="inlineStr">
        <is>
          <t>San Antonio</t>
        </is>
      </c>
      <c r="I1233" s="24" t="n">
        <v>14.451967</v>
      </c>
      <c r="J1233" s="24" t="n">
        <v>121.403253</v>
      </c>
      <c r="K1233" s="23" t="inlineStr">
        <is>
          <t>R</t>
        </is>
      </c>
      <c r="L1233" s="25" t="n">
        <v>1697</v>
      </c>
      <c r="M1233" s="26" t="n">
        <v>3.3</v>
      </c>
      <c r="N1233" s="25">
        <f>ROUND(L1233/M1233, 0)</f>
        <v/>
      </c>
      <c r="O1233" s="25">
        <f>ROUND(N1233*'Methodology &amp; Assumptions'!$B$7, 0)</f>
        <v/>
      </c>
      <c r="P1233" s="23" t="inlineStr">
        <is>
          <t>Single Carrier (Band n50, 100MHz TDD)</t>
        </is>
      </c>
      <c r="Q1233" s="27">
        <f>ROUNDUP(O1233/'Methodology &amp; Assumptions'!$B$8, 0)</f>
        <v/>
      </c>
      <c r="R1233" s="27" t="n">
        <v>1</v>
      </c>
      <c r="S1233" s="26" t="n">
        <v>2.75</v>
      </c>
      <c r="T1233" s="26" t="n">
        <v>0.68</v>
      </c>
      <c r="U1233" s="11">
        <f>IF(S1233&lt;='Methodology &amp; Assumptions'!$B$10, "Direct Optical Drop (&lt;3km)", IF(S1233&lt;='Methodology &amp; Assumptions'!$B$9, "Near Optical / Microwave (&lt;5km)", "Starlink Business LEO Satellite Backhaul (&gt;5km)"))</f>
        <v/>
      </c>
      <c r="V1233" s="26" t="n">
        <v>71.56</v>
      </c>
      <c r="W1233" s="26" t="n">
        <v>45.02</v>
      </c>
      <c r="X1233" s="26">
        <f>ROUND(('Methodology &amp; Assumptions'!$B$5*V1233) + ('Methodology &amp; Assumptions'!$B$6*W1233), 2)</f>
        <v/>
      </c>
      <c r="Y1233" s="28" t="n">
        <v>7.2</v>
      </c>
      <c r="Z1233" s="11" t="inlineStr">
        <is>
          <t>Priority Tier 3 (Broadband Expansion)</t>
        </is>
      </c>
    </row>
    <row r="1234">
      <c r="A1234" s="23" t="n">
        <v>5</v>
      </c>
      <c r="B1234" s="23" t="n">
        <v>230</v>
      </c>
      <c r="C1234" s="23" t="n">
        <v>4230</v>
      </c>
      <c r="D1234" s="23" t="inlineStr">
        <is>
          <t>0405647053</t>
        </is>
      </c>
      <c r="E1234" s="11" t="inlineStr">
        <is>
          <t>Region IV-A (CALABARZON)</t>
        </is>
      </c>
      <c r="F1234" s="11" t="inlineStr">
        <is>
          <t>Quezon</t>
        </is>
      </c>
      <c r="G1234" s="11" t="inlineStr">
        <is>
          <t>City of Tayabas</t>
        </is>
      </c>
      <c r="H1234" s="11" t="inlineStr">
        <is>
          <t>San Isidro Zone I</t>
        </is>
      </c>
      <c r="I1234" s="24" t="n">
        <v>14.023273</v>
      </c>
      <c r="J1234" s="24" t="n">
        <v>121.588661</v>
      </c>
      <c r="K1234" s="23" t="inlineStr">
        <is>
          <t>R</t>
        </is>
      </c>
      <c r="L1234" s="25" t="n">
        <v>513</v>
      </c>
      <c r="M1234" s="26" t="n">
        <v>3.8</v>
      </c>
      <c r="N1234" s="25">
        <f>ROUND(L1234/M1234, 0)</f>
        <v/>
      </c>
      <c r="O1234" s="25">
        <f>ROUND(N1234*'Methodology &amp; Assumptions'!$B$7, 0)</f>
        <v/>
      </c>
      <c r="P1234" s="23" t="inlineStr">
        <is>
          <t>Single Carrier (Band n50, 100MHz TDD)</t>
        </is>
      </c>
      <c r="Q1234" s="27">
        <f>ROUNDUP(O1234/'Methodology &amp; Assumptions'!$B$8, 0)</f>
        <v/>
      </c>
      <c r="R1234" s="27" t="n">
        <v>1</v>
      </c>
      <c r="S1234" s="26" t="n">
        <v>0.52</v>
      </c>
      <c r="T1234" s="26" t="n">
        <v>0.52</v>
      </c>
      <c r="U1234" s="11">
        <f>IF(S1234&lt;='Methodology &amp; Assumptions'!$B$10, "Direct Optical Drop (&lt;3km)", IF(S1234&lt;='Methodology &amp; Assumptions'!$B$9, "Near Optical / Microwave (&lt;5km)", "Starlink Business LEO Satellite Backhaul (&gt;5km)"))</f>
        <v/>
      </c>
      <c r="V1234" s="26" t="n">
        <v>63.21</v>
      </c>
      <c r="W1234" s="26" t="n">
        <v>53.37</v>
      </c>
      <c r="X1234" s="26">
        <f>ROUND(('Methodology &amp; Assumptions'!$B$5*V1234) + ('Methodology &amp; Assumptions'!$B$6*W1234), 2)</f>
        <v/>
      </c>
      <c r="Y1234" s="28" t="n">
        <v>7.2</v>
      </c>
      <c r="Z1234" s="11" t="inlineStr">
        <is>
          <t>Priority Tier 3 (Broadband Expansion)</t>
        </is>
      </c>
    </row>
    <row r="1235">
      <c r="A1235" s="23" t="n">
        <v>5</v>
      </c>
      <c r="B1235" s="23" t="n">
        <v>231</v>
      </c>
      <c r="C1235" s="23" t="n">
        <v>4231</v>
      </c>
      <c r="D1235" s="23" t="inlineStr">
        <is>
          <t>1380606043</t>
        </is>
      </c>
      <c r="E1235" s="11" t="inlineStr">
        <is>
          <t>National Capital Region (NCR)</t>
        </is>
      </c>
      <c r="F1235" s="11" t="inlineStr">
        <is>
          <t>First District (Not a Province)</t>
        </is>
      </c>
      <c r="G1235" s="11" t="inlineStr">
        <is>
          <t>City of Manila</t>
        </is>
      </c>
      <c r="H1235" s="11" t="inlineStr">
        <is>
          <t>Barangay 437</t>
        </is>
      </c>
      <c r="I1235" s="24" t="n">
        <v>14.606006</v>
      </c>
      <c r="J1235" s="24" t="n">
        <v>121.000716</v>
      </c>
      <c r="K1235" s="23" t="inlineStr">
        <is>
          <t>U</t>
        </is>
      </c>
      <c r="L1235" s="25" t="n">
        <v>983</v>
      </c>
      <c r="M1235" s="26" t="n">
        <v>4.99</v>
      </c>
      <c r="N1235" s="25">
        <f>ROUND(L1235/M1235, 0)</f>
        <v/>
      </c>
      <c r="O1235" s="25">
        <f>ROUND(N1235*'Methodology &amp; Assumptions'!$B$7, 0)</f>
        <v/>
      </c>
      <c r="P1235" s="23" t="inlineStr">
        <is>
          <t>Single Carrier (Band n50, 100MHz TDD)</t>
        </is>
      </c>
      <c r="Q1235" s="27">
        <f>ROUNDUP(O1235/'Methodology &amp; Assumptions'!$B$8, 0)</f>
        <v/>
      </c>
      <c r="R1235" s="27" t="n">
        <v>1</v>
      </c>
      <c r="S1235" s="26" t="n">
        <v>0.6</v>
      </c>
      <c r="T1235" s="26" t="n">
        <v>0.37</v>
      </c>
      <c r="U1235" s="11">
        <f>IF(S1235&lt;='Methodology &amp; Assumptions'!$B$10, "Direct Optical Drop (&lt;3km)", IF(S1235&lt;='Methodology &amp; Assumptions'!$B$9, "Near Optical / Microwave (&lt;5km)", "Starlink Business LEO Satellite Backhaul (&gt;5km)"))</f>
        <v/>
      </c>
      <c r="V1235" s="26" t="n">
        <v>47.41</v>
      </c>
      <c r="W1235" s="26" t="n">
        <v>69.17</v>
      </c>
      <c r="X1235" s="26">
        <f>ROUND(('Methodology &amp; Assumptions'!$B$5*V1235) + ('Methodology &amp; Assumptions'!$B$6*W1235), 2)</f>
        <v/>
      </c>
      <c r="Y1235" s="28" t="n">
        <v>10.9</v>
      </c>
      <c r="Z1235" s="11" t="inlineStr">
        <is>
          <t>Priority Tier 3 (Broadband Expansion)</t>
        </is>
      </c>
    </row>
    <row r="1236">
      <c r="A1236" s="23" t="n">
        <v>5</v>
      </c>
      <c r="B1236" s="23" t="n">
        <v>232</v>
      </c>
      <c r="C1236" s="23" t="n">
        <v>4232</v>
      </c>
      <c r="D1236" s="23" t="inlineStr">
        <is>
          <t>1600210011</t>
        </is>
      </c>
      <c r="E1236" s="11" t="inlineStr">
        <is>
          <t>Region XIII (Caraga)</t>
        </is>
      </c>
      <c r="F1236" s="11" t="inlineStr">
        <is>
          <t>Agusan del Norte</t>
        </is>
      </c>
      <c r="G1236" s="11" t="inlineStr">
        <is>
          <t>Santiago</t>
        </is>
      </c>
      <c r="H1236" s="11" t="inlineStr">
        <is>
          <t>Poblacion II</t>
        </is>
      </c>
      <c r="I1236" s="24" t="n">
        <v>9.267310999999999</v>
      </c>
      <c r="J1236" s="24" t="n">
        <v>125.558066</v>
      </c>
      <c r="K1236" s="23" t="inlineStr">
        <is>
          <t>R</t>
        </is>
      </c>
      <c r="L1236" s="25" t="n">
        <v>4990</v>
      </c>
      <c r="M1236" s="26" t="n">
        <v>4.1</v>
      </c>
      <c r="N1236" s="25">
        <f>ROUND(L1236/M1236, 0)</f>
        <v/>
      </c>
      <c r="O1236" s="25">
        <f>ROUND(N1236*'Methodology &amp; Assumptions'!$B$7, 0)</f>
        <v/>
      </c>
      <c r="P1236" s="23" t="inlineStr">
        <is>
          <t>Single Carrier (Band n50, 100MHz TDD)</t>
        </is>
      </c>
      <c r="Q1236" s="27">
        <f>ROUNDUP(O1236/'Methodology &amp; Assumptions'!$B$8, 0)</f>
        <v/>
      </c>
      <c r="R1236" s="27" t="n">
        <v>1</v>
      </c>
      <c r="S1236" s="26" t="n">
        <v>0.16</v>
      </c>
      <c r="T1236" s="26" t="n">
        <v>0.08</v>
      </c>
      <c r="U1236" s="11">
        <f>IF(S1236&lt;='Methodology &amp; Assumptions'!$B$10, "Direct Optical Drop (&lt;3km)", IF(S1236&lt;='Methodology &amp; Assumptions'!$B$9, "Near Optical / Microwave (&lt;5km)", "Starlink Business LEO Satellite Backhaul (&gt;5km)"))</f>
        <v/>
      </c>
      <c r="V1236" s="26" t="n">
        <v>87.06999999999999</v>
      </c>
      <c r="W1236" s="26" t="n">
        <v>29.5</v>
      </c>
      <c r="X1236" s="26">
        <f>ROUND(('Methodology &amp; Assumptions'!$B$5*V1236) + ('Methodology &amp; Assumptions'!$B$6*W1236), 2)</f>
        <v/>
      </c>
      <c r="Y1236" s="28" t="n">
        <v>17.4</v>
      </c>
      <c r="Z1236" s="11" t="inlineStr">
        <is>
          <t>Priority Tier 3 (Broadband Expansion)</t>
        </is>
      </c>
    </row>
    <row r="1237">
      <c r="A1237" s="23" t="n">
        <v>5</v>
      </c>
      <c r="B1237" s="23" t="n">
        <v>233</v>
      </c>
      <c r="C1237" s="23" t="n">
        <v>4233</v>
      </c>
      <c r="D1237" s="23" t="inlineStr">
        <is>
          <t>1705208044</t>
        </is>
      </c>
      <c r="E1237" s="11" t="inlineStr">
        <is>
          <t>MIMAROPA Region</t>
        </is>
      </c>
      <c r="F1237" s="11" t="inlineStr">
        <is>
          <t>Oriental Mindoro</t>
        </is>
      </c>
      <c r="G1237" s="11" t="inlineStr">
        <is>
          <t>Naujan</t>
        </is>
      </c>
      <c r="H1237" s="11" t="inlineStr">
        <is>
          <t>Pinagsabangan II</t>
        </is>
      </c>
      <c r="I1237" s="24" t="n">
        <v>13.267792</v>
      </c>
      <c r="J1237" s="24" t="n">
        <v>121.262871</v>
      </c>
      <c r="K1237" s="23" t="inlineStr">
        <is>
          <t>R</t>
        </is>
      </c>
      <c r="L1237" s="25" t="n">
        <v>2782</v>
      </c>
      <c r="M1237" s="26" t="n">
        <v>3.9</v>
      </c>
      <c r="N1237" s="25">
        <f>ROUND(L1237/M1237, 0)</f>
        <v/>
      </c>
      <c r="O1237" s="25">
        <f>ROUND(N1237*'Methodology &amp; Assumptions'!$B$7, 0)</f>
        <v/>
      </c>
      <c r="P1237" s="23" t="inlineStr">
        <is>
          <t>Single Carrier (Band n50, 100MHz TDD)</t>
        </is>
      </c>
      <c r="Q1237" s="27">
        <f>ROUNDUP(O1237/'Methodology &amp; Assumptions'!$B$8, 0)</f>
        <v/>
      </c>
      <c r="R1237" s="27" t="n">
        <v>1</v>
      </c>
      <c r="S1237" s="26" t="n">
        <v>0.46</v>
      </c>
      <c r="T1237" s="26" t="n">
        <v>0.17</v>
      </c>
      <c r="U1237" s="11">
        <f>IF(S1237&lt;='Methodology &amp; Assumptions'!$B$10, "Direct Optical Drop (&lt;3km)", IF(S1237&lt;='Methodology &amp; Assumptions'!$B$9, "Near Optical / Microwave (&lt;5km)", "Starlink Business LEO Satellite Backhaul (&gt;5km)"))</f>
        <v/>
      </c>
      <c r="V1237" s="26" t="n">
        <v>81.22</v>
      </c>
      <c r="W1237" s="26" t="n">
        <v>35.35</v>
      </c>
      <c r="X1237" s="26">
        <f>ROUND(('Methodology &amp; Assumptions'!$B$5*V1237) + ('Methodology &amp; Assumptions'!$B$6*W1237), 2)</f>
        <v/>
      </c>
      <c r="Y1237" s="28" t="n">
        <v>15</v>
      </c>
      <c r="Z1237" s="11" t="inlineStr">
        <is>
          <t>Priority Tier 3 (Broadband Expansion)</t>
        </is>
      </c>
    </row>
    <row r="1238">
      <c r="A1238" s="23" t="n">
        <v>5</v>
      </c>
      <c r="B1238" s="23" t="n">
        <v>234</v>
      </c>
      <c r="C1238" s="23" t="n">
        <v>4234</v>
      </c>
      <c r="D1238" s="23" t="inlineStr">
        <is>
          <t>1908712004</t>
        </is>
      </c>
      <c r="E1238" s="11" t="inlineStr">
        <is>
          <t>Bangsamoro Autonomous Region In Muslim Mindanao (BARMM)</t>
        </is>
      </c>
      <c r="F1238" s="11" t="inlineStr">
        <is>
          <t>Maguindanao del Norte</t>
        </is>
      </c>
      <c r="G1238" s="11" t="inlineStr">
        <is>
          <t>Talitay</t>
        </is>
      </c>
      <c r="H1238" s="11" t="inlineStr">
        <is>
          <t>Kilalan</t>
        </is>
      </c>
      <c r="I1238" s="24" t="n">
        <v>7.045944</v>
      </c>
      <c r="J1238" s="24" t="n">
        <v>124.405957</v>
      </c>
      <c r="K1238" s="23" t="inlineStr">
        <is>
          <t>R</t>
        </is>
      </c>
      <c r="L1238" s="25" t="n">
        <v>4512</v>
      </c>
      <c r="M1238" s="26" t="n">
        <v>4.3</v>
      </c>
      <c r="N1238" s="25">
        <f>ROUND(L1238/M1238, 0)</f>
        <v/>
      </c>
      <c r="O1238" s="25">
        <f>ROUND(N1238*'Methodology &amp; Assumptions'!$B$7, 0)</f>
        <v/>
      </c>
      <c r="P1238" s="23" t="inlineStr">
        <is>
          <t>Single Carrier (Band n50, 100MHz TDD)</t>
        </is>
      </c>
      <c r="Q1238" s="27">
        <f>ROUNDUP(O1238/'Methodology &amp; Assumptions'!$B$8, 0)</f>
        <v/>
      </c>
      <c r="R1238" s="27" t="n">
        <v>1</v>
      </c>
      <c r="S1238" s="26" t="n">
        <v>46.51</v>
      </c>
      <c r="T1238" s="26" t="n">
        <v>44.82</v>
      </c>
      <c r="U1238" s="11">
        <f>IF(S1238&lt;='Methodology &amp; Assumptions'!$B$10, "Direct Optical Drop (&lt;3km)", IF(S1238&lt;='Methodology &amp; Assumptions'!$B$9, "Near Optical / Microwave (&lt;5km)", "Starlink Business LEO Satellite Backhaul (&gt;5km)"))</f>
        <v/>
      </c>
      <c r="V1238" s="26" t="n">
        <v>59.06</v>
      </c>
      <c r="W1238" s="26" t="n">
        <v>57.51</v>
      </c>
      <c r="X1238" s="26">
        <f>ROUND(('Methodology &amp; Assumptions'!$B$5*V1238) + ('Methodology &amp; Assumptions'!$B$6*W1238), 2)</f>
        <v/>
      </c>
      <c r="Y1238" s="28" t="n">
        <v>11</v>
      </c>
      <c r="Z1238" s="11" t="inlineStr">
        <is>
          <t>Priority Tier 3 (Broadband Expansion)</t>
        </is>
      </c>
    </row>
    <row r="1239">
      <c r="A1239" s="23" t="n">
        <v>5</v>
      </c>
      <c r="B1239" s="23" t="n">
        <v>235</v>
      </c>
      <c r="C1239" s="23" t="n">
        <v>4235</v>
      </c>
      <c r="D1239" s="23" t="inlineStr">
        <is>
          <t>0504101025</t>
        </is>
      </c>
      <c r="E1239" s="11" t="inlineStr">
        <is>
          <t>Region V (Bicol Region)</t>
        </is>
      </c>
      <c r="F1239" s="11" t="inlineStr">
        <is>
          <t>Masbate</t>
        </is>
      </c>
      <c r="G1239" s="11" t="inlineStr">
        <is>
          <t>Aroroy</t>
        </is>
      </c>
      <c r="H1239" s="11" t="inlineStr">
        <is>
          <t>Matalangtalang</t>
        </is>
      </c>
      <c r="I1239" s="24" t="n">
        <v>12.516332</v>
      </c>
      <c r="J1239" s="24" t="n">
        <v>123.351367</v>
      </c>
      <c r="K1239" s="23" t="inlineStr">
        <is>
          <t>R</t>
        </is>
      </c>
      <c r="L1239" s="25" t="n">
        <v>1642</v>
      </c>
      <c r="M1239" s="26" t="n">
        <v>4.1</v>
      </c>
      <c r="N1239" s="25">
        <f>ROUND(L1239/M1239, 0)</f>
        <v/>
      </c>
      <c r="O1239" s="25">
        <f>ROUND(N1239*'Methodology &amp; Assumptions'!$B$7, 0)</f>
        <v/>
      </c>
      <c r="P1239" s="23" t="inlineStr">
        <is>
          <t>Single Carrier (Band n50, 100MHz TDD)</t>
        </is>
      </c>
      <c r="Q1239" s="27">
        <f>ROUNDUP(O1239/'Methodology &amp; Assumptions'!$B$8, 0)</f>
        <v/>
      </c>
      <c r="R1239" s="27" t="n">
        <v>1</v>
      </c>
      <c r="S1239" s="26" t="n">
        <v>5.2</v>
      </c>
      <c r="T1239" s="26" t="n">
        <v>9.119999999999999</v>
      </c>
      <c r="U1239" s="11">
        <f>IF(S1239&lt;='Methodology &amp; Assumptions'!$B$10, "Direct Optical Drop (&lt;3km)", IF(S1239&lt;='Methodology &amp; Assumptions'!$B$9, "Near Optical / Microwave (&lt;5km)", "Starlink Business LEO Satellite Backhaul (&gt;5km)"))</f>
        <v/>
      </c>
      <c r="V1239" s="26" t="n">
        <v>58.32</v>
      </c>
      <c r="W1239" s="26" t="n">
        <v>58.24</v>
      </c>
      <c r="X1239" s="26">
        <f>ROUND(('Methodology &amp; Assumptions'!$B$5*V1239) + ('Methodology &amp; Assumptions'!$B$6*W1239), 2)</f>
        <v/>
      </c>
      <c r="Y1239" s="28" t="n">
        <v>23.7</v>
      </c>
      <c r="Z1239" s="11" t="inlineStr">
        <is>
          <t>Priority Tier 3 (Broadband Expansion)</t>
        </is>
      </c>
    </row>
    <row r="1240">
      <c r="A1240" s="23" t="n">
        <v>5</v>
      </c>
      <c r="B1240" s="23" t="n">
        <v>236</v>
      </c>
      <c r="C1240" s="23" t="n">
        <v>4236</v>
      </c>
      <c r="D1240" s="23" t="inlineStr">
        <is>
          <t>1380614041</t>
        </is>
      </c>
      <c r="E1240" s="11" t="inlineStr">
        <is>
          <t>National Capital Region (NCR)</t>
        </is>
      </c>
      <c r="F1240" s="11" t="inlineStr">
        <is>
          <t>First District (Not a Province)</t>
        </is>
      </c>
      <c r="G1240" s="11" t="inlineStr">
        <is>
          <t>City of Manila</t>
        </is>
      </c>
      <c r="H1240" s="11" t="inlineStr">
        <is>
          <t>Barangay 785</t>
        </is>
      </c>
      <c r="I1240" s="24" t="n">
        <v>14.575405</v>
      </c>
      <c r="J1240" s="24" t="n">
        <v>121.004301</v>
      </c>
      <c r="K1240" s="23" t="inlineStr">
        <is>
          <t>U</t>
        </is>
      </c>
      <c r="L1240" s="25" t="n">
        <v>1081</v>
      </c>
      <c r="M1240" s="26" t="n">
        <v>4.43</v>
      </c>
      <c r="N1240" s="25">
        <f>ROUND(L1240/M1240, 0)</f>
        <v/>
      </c>
      <c r="O1240" s="25">
        <f>ROUND(N1240*'Methodology &amp; Assumptions'!$B$7, 0)</f>
        <v/>
      </c>
      <c r="P1240" s="23" t="inlineStr">
        <is>
          <t>Single Carrier (Band n50, 100MHz TDD)</t>
        </is>
      </c>
      <c r="Q1240" s="27">
        <f>ROUNDUP(O1240/'Methodology &amp; Assumptions'!$B$8, 0)</f>
        <v/>
      </c>
      <c r="R1240" s="27" t="n">
        <v>1</v>
      </c>
      <c r="S1240" s="26" t="n">
        <v>1.01</v>
      </c>
      <c r="T1240" s="26" t="n">
        <v>0.53</v>
      </c>
      <c r="U1240" s="11">
        <f>IF(S1240&lt;='Methodology &amp; Assumptions'!$B$10, "Direct Optical Drop (&lt;3km)", IF(S1240&lt;='Methodology &amp; Assumptions'!$B$9, "Near Optical / Microwave (&lt;5km)", "Starlink Business LEO Satellite Backhaul (&gt;5km)"))</f>
        <v/>
      </c>
      <c r="V1240" s="26" t="n">
        <v>48.25</v>
      </c>
      <c r="W1240" s="26" t="n">
        <v>68.31</v>
      </c>
      <c r="X1240" s="26">
        <f>ROUND(('Methodology &amp; Assumptions'!$B$5*V1240) + ('Methodology &amp; Assumptions'!$B$6*W1240), 2)</f>
        <v/>
      </c>
      <c r="Y1240" s="28" t="n">
        <v>10.9</v>
      </c>
      <c r="Z1240" s="11" t="inlineStr">
        <is>
          <t>Priority Tier 3 (Broadband Expansion)</t>
        </is>
      </c>
    </row>
    <row r="1241">
      <c r="A1241" s="23" t="n">
        <v>5</v>
      </c>
      <c r="B1241" s="23" t="n">
        <v>237</v>
      </c>
      <c r="C1241" s="23" t="n">
        <v>4237</v>
      </c>
      <c r="D1241" s="23" t="inlineStr">
        <is>
          <t>1380606152</t>
        </is>
      </c>
      <c r="E1241" s="11" t="inlineStr">
        <is>
          <t>National Capital Region (NCR)</t>
        </is>
      </c>
      <c r="F1241" s="11" t="inlineStr">
        <is>
          <t>First District (Not a Province)</t>
        </is>
      </c>
      <c r="G1241" s="11" t="inlineStr">
        <is>
          <t>City of Manila</t>
        </is>
      </c>
      <c r="H1241" s="11" t="inlineStr">
        <is>
          <t>Barangay 546</t>
        </is>
      </c>
      <c r="I1241" s="24" t="n">
        <v>14.607938</v>
      </c>
      <c r="J1241" s="24" t="n">
        <v>121.003326</v>
      </c>
      <c r="K1241" s="23" t="inlineStr">
        <is>
          <t>U</t>
        </is>
      </c>
      <c r="L1241" s="25" t="n">
        <v>768</v>
      </c>
      <c r="M1241" s="26" t="n">
        <v>3.82</v>
      </c>
      <c r="N1241" s="25">
        <f>ROUND(L1241/M1241, 0)</f>
        <v/>
      </c>
      <c r="O1241" s="25">
        <f>ROUND(N1241*'Methodology &amp; Assumptions'!$B$7, 0)</f>
        <v/>
      </c>
      <c r="P1241" s="23" t="inlineStr">
        <is>
          <t>Single Carrier (Band n50, 100MHz TDD)</t>
        </is>
      </c>
      <c r="Q1241" s="27">
        <f>ROUNDUP(O1241/'Methodology &amp; Assumptions'!$B$8, 0)</f>
        <v/>
      </c>
      <c r="R1241" s="27" t="n">
        <v>1</v>
      </c>
      <c r="S1241" s="26" t="n">
        <v>0.34</v>
      </c>
      <c r="T1241" s="26" t="n">
        <v>0.4</v>
      </c>
      <c r="U1241" s="11">
        <f>IF(S1241&lt;='Methodology &amp; Assumptions'!$B$10, "Direct Optical Drop (&lt;3km)", IF(S1241&lt;='Methodology &amp; Assumptions'!$B$9, "Near Optical / Microwave (&lt;5km)", "Starlink Business LEO Satellite Backhaul (&gt;5km)"))</f>
        <v/>
      </c>
      <c r="V1241" s="26" t="n">
        <v>47.52</v>
      </c>
      <c r="W1241" s="26" t="n">
        <v>69.05</v>
      </c>
      <c r="X1241" s="26">
        <f>ROUND(('Methodology &amp; Assumptions'!$B$5*V1241) + ('Methodology &amp; Assumptions'!$B$6*W1241), 2)</f>
        <v/>
      </c>
      <c r="Y1241" s="28" t="n">
        <v>10.9</v>
      </c>
      <c r="Z1241" s="11" t="inlineStr">
        <is>
          <t>Priority Tier 3 (Broadband Expansion)</t>
        </is>
      </c>
    </row>
    <row r="1242">
      <c r="A1242" s="23" t="n">
        <v>5</v>
      </c>
      <c r="B1242" s="23" t="n">
        <v>238</v>
      </c>
      <c r="C1242" s="23" t="n">
        <v>4238</v>
      </c>
      <c r="D1242" s="23" t="inlineStr">
        <is>
          <t>1380601190</t>
        </is>
      </c>
      <c r="E1242" s="11" t="inlineStr">
        <is>
          <t>National Capital Region (NCR)</t>
        </is>
      </c>
      <c r="F1242" s="11" t="inlineStr">
        <is>
          <t>First District (Not a Province)</t>
        </is>
      </c>
      <c r="G1242" s="11" t="inlineStr">
        <is>
          <t>City of Manila</t>
        </is>
      </c>
      <c r="H1242" s="11" t="inlineStr">
        <is>
          <t>Barangay 190</t>
        </is>
      </c>
      <c r="I1242" s="24" t="n">
        <v>14.637307</v>
      </c>
      <c r="J1242" s="24" t="n">
        <v>120.98063</v>
      </c>
      <c r="K1242" s="23" t="inlineStr">
        <is>
          <t>U</t>
        </is>
      </c>
      <c r="L1242" s="25" t="n">
        <v>1282</v>
      </c>
      <c r="M1242" s="26" t="n">
        <v>5.09</v>
      </c>
      <c r="N1242" s="25">
        <f>ROUND(L1242/M1242, 0)</f>
        <v/>
      </c>
      <c r="O1242" s="25">
        <f>ROUND(N1242*'Methodology &amp; Assumptions'!$B$7, 0)</f>
        <v/>
      </c>
      <c r="P1242" s="23" t="inlineStr">
        <is>
          <t>Single Carrier (Band n50, 100MHz TDD)</t>
        </is>
      </c>
      <c r="Q1242" s="27">
        <f>ROUNDUP(O1242/'Methodology &amp; Assumptions'!$B$8, 0)</f>
        <v/>
      </c>
      <c r="R1242" s="27" t="n">
        <v>1</v>
      </c>
      <c r="S1242" s="26" t="n">
        <v>1.34</v>
      </c>
      <c r="T1242" s="26" t="n">
        <v>0.23</v>
      </c>
      <c r="U1242" s="11">
        <f>IF(S1242&lt;='Methodology &amp; Assumptions'!$B$10, "Direct Optical Drop (&lt;3km)", IF(S1242&lt;='Methodology &amp; Assumptions'!$B$9, "Near Optical / Microwave (&lt;5km)", "Starlink Business LEO Satellite Backhaul (&gt;5km)"))</f>
        <v/>
      </c>
      <c r="V1242" s="26" t="n">
        <v>47.33</v>
      </c>
      <c r="W1242" s="26" t="n">
        <v>69.22</v>
      </c>
      <c r="X1242" s="26">
        <f>ROUND(('Methodology &amp; Assumptions'!$B$5*V1242) + ('Methodology &amp; Assumptions'!$B$6*W1242), 2)</f>
        <v/>
      </c>
      <c r="Y1242" s="28" t="n">
        <v>10.9</v>
      </c>
      <c r="Z1242" s="11" t="inlineStr">
        <is>
          <t>Priority Tier 3 (Broadband Expansion)</t>
        </is>
      </c>
    </row>
    <row r="1243">
      <c r="A1243" s="23" t="n">
        <v>5</v>
      </c>
      <c r="B1243" s="23" t="n">
        <v>239</v>
      </c>
      <c r="C1243" s="23" t="n">
        <v>4239</v>
      </c>
      <c r="D1243" s="23" t="inlineStr">
        <is>
          <t>1380614069</t>
        </is>
      </c>
      <c r="E1243" s="11" t="inlineStr">
        <is>
          <t>National Capital Region (NCR)</t>
        </is>
      </c>
      <c r="F1243" s="11" t="inlineStr">
        <is>
          <t>First District (Not a Province)</t>
        </is>
      </c>
      <c r="G1243" s="11" t="inlineStr">
        <is>
          <t>City of Manila</t>
        </is>
      </c>
      <c r="H1243" s="11" t="inlineStr">
        <is>
          <t>Barangay 876</t>
        </is>
      </c>
      <c r="I1243" s="24" t="n">
        <v>14.58127</v>
      </c>
      <c r="J1243" s="24" t="n">
        <v>121.0114</v>
      </c>
      <c r="K1243" s="23" t="inlineStr">
        <is>
          <t>U</t>
        </is>
      </c>
      <c r="L1243" s="25" t="n">
        <v>601</v>
      </c>
      <c r="M1243" s="26" t="n">
        <v>3.32</v>
      </c>
      <c r="N1243" s="25">
        <f>ROUND(L1243/M1243, 0)</f>
        <v/>
      </c>
      <c r="O1243" s="25">
        <f>ROUND(N1243*'Methodology &amp; Assumptions'!$B$7, 0)</f>
        <v/>
      </c>
      <c r="P1243" s="23" t="inlineStr">
        <is>
          <t>Single Carrier (Band n50, 100MHz TDD)</t>
        </is>
      </c>
      <c r="Q1243" s="27">
        <f>ROUNDUP(O1243/'Methodology &amp; Assumptions'!$B$8, 0)</f>
        <v/>
      </c>
      <c r="R1243" s="27" t="n">
        <v>1</v>
      </c>
      <c r="S1243" s="26" t="n">
        <v>0.99</v>
      </c>
      <c r="T1243" s="26" t="n">
        <v>0.2</v>
      </c>
      <c r="U1243" s="11">
        <f>IF(S1243&lt;='Methodology &amp; Assumptions'!$B$10, "Direct Optical Drop (&lt;3km)", IF(S1243&lt;='Methodology &amp; Assumptions'!$B$9, "Near Optical / Microwave (&lt;5km)", "Starlink Business LEO Satellite Backhaul (&gt;5km)"))</f>
        <v/>
      </c>
      <c r="V1243" s="26" t="n">
        <v>46.29</v>
      </c>
      <c r="W1243" s="26" t="n">
        <v>70.27</v>
      </c>
      <c r="X1243" s="26">
        <f>ROUND(('Methodology &amp; Assumptions'!$B$5*V1243) + ('Methodology &amp; Assumptions'!$B$6*W1243), 2)</f>
        <v/>
      </c>
      <c r="Y1243" s="28" t="n">
        <v>10.9</v>
      </c>
      <c r="Z1243" s="11" t="inlineStr">
        <is>
          <t>Priority Tier 3 (Broadband Expansion)</t>
        </is>
      </c>
    </row>
    <row r="1244">
      <c r="A1244" s="23" t="n">
        <v>5</v>
      </c>
      <c r="B1244" s="23" t="n">
        <v>240</v>
      </c>
      <c r="C1244" s="23" t="n">
        <v>4240</v>
      </c>
      <c r="D1244" s="23" t="inlineStr">
        <is>
          <t>0405809005</t>
        </is>
      </c>
      <c r="E1244" s="11" t="inlineStr">
        <is>
          <t>Region IV-A (CALABARZON)</t>
        </is>
      </c>
      <c r="F1244" s="11" t="inlineStr">
        <is>
          <t>Rizal</t>
        </is>
      </c>
      <c r="G1244" s="11" t="inlineStr">
        <is>
          <t>Morong</t>
        </is>
      </c>
      <c r="H1244" s="11" t="inlineStr">
        <is>
          <t>San Guillermo</t>
        </is>
      </c>
      <c r="I1244" s="24" t="n">
        <v>14.524151</v>
      </c>
      <c r="J1244" s="24" t="n">
        <v>121.212654</v>
      </c>
      <c r="K1244" s="23" t="inlineStr">
        <is>
          <t>U</t>
        </is>
      </c>
      <c r="L1244" s="25" t="n">
        <v>12213</v>
      </c>
      <c r="M1244" s="26" t="n">
        <v>3.6</v>
      </c>
      <c r="N1244" s="25">
        <f>ROUND(L1244/M1244, 0)</f>
        <v/>
      </c>
      <c r="O1244" s="25">
        <f>ROUND(N1244*'Methodology &amp; Assumptions'!$B$7, 0)</f>
        <v/>
      </c>
      <c r="P1244" s="23" t="inlineStr">
        <is>
          <t>Single Carrier (Band n50, 100MHz TDD)</t>
        </is>
      </c>
      <c r="Q1244" s="27">
        <f>ROUNDUP(O1244/'Methodology &amp; Assumptions'!$B$8, 0)</f>
        <v/>
      </c>
      <c r="R1244" s="27" t="n">
        <v>1</v>
      </c>
      <c r="S1244" s="26" t="n">
        <v>0.92</v>
      </c>
      <c r="T1244" s="26" t="n">
        <v>1.52</v>
      </c>
      <c r="U1244" s="11">
        <f>IF(S1244&lt;='Methodology &amp; Assumptions'!$B$10, "Direct Optical Drop (&lt;3km)", IF(S1244&lt;='Methodology &amp; Assumptions'!$B$9, "Near Optical / Microwave (&lt;5km)", "Starlink Business LEO Satellite Backhaul (&gt;5km)"))</f>
        <v/>
      </c>
      <c r="V1244" s="26" t="n">
        <v>77.95</v>
      </c>
      <c r="W1244" s="26" t="n">
        <v>38.6</v>
      </c>
      <c r="X1244" s="26">
        <f>ROUND(('Methodology &amp; Assumptions'!$B$5*V1244) + ('Methodology &amp; Assumptions'!$B$6*W1244), 2)</f>
        <v/>
      </c>
      <c r="Y1244" s="28" t="n">
        <v>7.2</v>
      </c>
      <c r="Z1244" s="11" t="inlineStr">
        <is>
          <t>Priority Tier 3 (Broadband Expansion)</t>
        </is>
      </c>
    </row>
    <row r="1245">
      <c r="A1245" s="23" t="n">
        <v>5</v>
      </c>
      <c r="B1245" s="23" t="n">
        <v>241</v>
      </c>
      <c r="C1245" s="23" t="n">
        <v>4241</v>
      </c>
      <c r="D1245" s="23" t="inlineStr">
        <is>
          <t>0102908015</t>
        </is>
      </c>
      <c r="E1245" s="11" t="inlineStr">
        <is>
          <t>Region I (Ilocos Region)</t>
        </is>
      </c>
      <c r="F1245" s="11" t="inlineStr">
        <is>
          <t>Ilocos Sur</t>
        </is>
      </c>
      <c r="G1245" s="11" t="inlineStr">
        <is>
          <t>Cervantes</t>
        </is>
      </c>
      <c r="H1245" s="11" t="inlineStr">
        <is>
          <t>San Juan</t>
        </is>
      </c>
      <c r="I1245" s="24" t="n">
        <v>16.990875</v>
      </c>
      <c r="J1245" s="24" t="n">
        <v>120.719052</v>
      </c>
      <c r="K1245" s="23" t="inlineStr">
        <is>
          <t>R</t>
        </is>
      </c>
      <c r="L1245" s="25" t="n">
        <v>2189</v>
      </c>
      <c r="M1245" s="26" t="n">
        <v>3.8</v>
      </c>
      <c r="N1245" s="25">
        <f>ROUND(L1245/M1245, 0)</f>
        <v/>
      </c>
      <c r="O1245" s="25">
        <f>ROUND(N1245*'Methodology &amp; Assumptions'!$B$7, 0)</f>
        <v/>
      </c>
      <c r="P1245" s="23" t="inlineStr">
        <is>
          <t>Single Carrier (Band n50, 100MHz TDD)</t>
        </is>
      </c>
      <c r="Q1245" s="27">
        <f>ROUNDUP(O1245/'Methodology &amp; Assumptions'!$B$8, 0)</f>
        <v/>
      </c>
      <c r="R1245" s="27" t="n">
        <v>1</v>
      </c>
      <c r="S1245" s="26" t="n">
        <v>0.89</v>
      </c>
      <c r="T1245" s="26" t="n">
        <v>1.08</v>
      </c>
      <c r="U1245" s="11">
        <f>IF(S1245&lt;='Methodology &amp; Assumptions'!$B$10, "Direct Optical Drop (&lt;3km)", IF(S1245&lt;='Methodology &amp; Assumptions'!$B$9, "Near Optical / Microwave (&lt;5km)", "Starlink Business LEO Satellite Backhaul (&gt;5km)"))</f>
        <v/>
      </c>
      <c r="V1245" s="26" t="n">
        <v>77.56999999999999</v>
      </c>
      <c r="W1245" s="26" t="n">
        <v>38.96</v>
      </c>
      <c r="X1245" s="26">
        <f>ROUND(('Methodology &amp; Assumptions'!$B$5*V1245) + ('Methodology &amp; Assumptions'!$B$6*W1245), 2)</f>
        <v/>
      </c>
      <c r="Y1245" s="28" t="n">
        <v>8.300000000000001</v>
      </c>
      <c r="Z1245" s="11" t="inlineStr">
        <is>
          <t>Priority Tier 3 (Broadband Expansion)</t>
        </is>
      </c>
    </row>
    <row r="1246">
      <c r="A1246" s="23" t="n">
        <v>5</v>
      </c>
      <c r="B1246" s="23" t="n">
        <v>242</v>
      </c>
      <c r="C1246" s="23" t="n">
        <v>4242</v>
      </c>
      <c r="D1246" s="23" t="inlineStr">
        <is>
          <t>0405627006</t>
        </is>
      </c>
      <c r="E1246" s="11" t="inlineStr">
        <is>
          <t>Region IV-A (CALABARZON)</t>
        </is>
      </c>
      <c r="F1246" s="11" t="inlineStr">
        <is>
          <t>Quezon</t>
        </is>
      </c>
      <c r="G1246" s="11" t="inlineStr">
        <is>
          <t>Mauban</t>
        </is>
      </c>
      <c r="H1246" s="11" t="inlineStr">
        <is>
          <t>Cagbalete I</t>
        </is>
      </c>
      <c r="I1246" s="24" t="n">
        <v>14.258137</v>
      </c>
      <c r="J1246" s="24" t="n">
        <v>121.820624</v>
      </c>
      <c r="K1246" s="23" t="inlineStr">
        <is>
          <t>R</t>
        </is>
      </c>
      <c r="L1246" s="25" t="n">
        <v>3091</v>
      </c>
      <c r="M1246" s="26" t="n">
        <v>3.8</v>
      </c>
      <c r="N1246" s="25">
        <f>ROUND(L1246/M1246, 0)</f>
        <v/>
      </c>
      <c r="O1246" s="25">
        <f>ROUND(N1246*'Methodology &amp; Assumptions'!$B$7, 0)</f>
        <v/>
      </c>
      <c r="P1246" s="23" t="inlineStr">
        <is>
          <t>Single Carrier (Band n50, 100MHz TDD)</t>
        </is>
      </c>
      <c r="Q1246" s="27">
        <f>ROUNDUP(O1246/'Methodology &amp; Assumptions'!$B$8, 0)</f>
        <v/>
      </c>
      <c r="R1246" s="27" t="n">
        <v>1</v>
      </c>
      <c r="S1246" s="26" t="n">
        <v>14.08</v>
      </c>
      <c r="T1246" s="26" t="n">
        <v>27.4</v>
      </c>
      <c r="U1246" s="11">
        <f>IF(S1246&lt;='Methodology &amp; Assumptions'!$B$10, "Direct Optical Drop (&lt;3km)", IF(S1246&lt;='Methodology &amp; Assumptions'!$B$9, "Near Optical / Microwave (&lt;5km)", "Starlink Business LEO Satellite Backhaul (&gt;5km)"))</f>
        <v/>
      </c>
      <c r="V1246" s="26" t="n">
        <v>60.92</v>
      </c>
      <c r="W1246" s="26" t="n">
        <v>55.61</v>
      </c>
      <c r="X1246" s="26">
        <f>ROUND(('Methodology &amp; Assumptions'!$B$5*V1246) + ('Methodology &amp; Assumptions'!$B$6*W1246), 2)</f>
        <v/>
      </c>
      <c r="Y1246" s="28" t="n">
        <v>7.2</v>
      </c>
      <c r="Z1246" s="11" t="inlineStr">
        <is>
          <t>Priority Tier 3 (Broadband Expansion)</t>
        </is>
      </c>
    </row>
    <row r="1247">
      <c r="A1247" s="23" t="n">
        <v>5</v>
      </c>
      <c r="B1247" s="23" t="n">
        <v>243</v>
      </c>
      <c r="C1247" s="23" t="n">
        <v>4243</v>
      </c>
      <c r="D1247" s="23" t="inlineStr">
        <is>
          <t>1380614072</t>
        </is>
      </c>
      <c r="E1247" s="11" t="inlineStr">
        <is>
          <t>National Capital Region (NCR)</t>
        </is>
      </c>
      <c r="F1247" s="11" t="inlineStr">
        <is>
          <t>First District (Not a Province)</t>
        </is>
      </c>
      <c r="G1247" s="11" t="inlineStr">
        <is>
          <t>City of Manila</t>
        </is>
      </c>
      <c r="H1247" s="11" t="inlineStr">
        <is>
          <t>Barangay 879</t>
        </is>
      </c>
      <c r="I1247" s="24" t="n">
        <v>14.58162</v>
      </c>
      <c r="J1247" s="24" t="n">
        <v>121.0125</v>
      </c>
      <c r="K1247" s="23" t="inlineStr">
        <is>
          <t>U</t>
        </is>
      </c>
      <c r="L1247" s="25" t="n">
        <v>544</v>
      </c>
      <c r="M1247" s="26" t="n">
        <v>2.94</v>
      </c>
      <c r="N1247" s="25">
        <f>ROUND(L1247/M1247, 0)</f>
        <v/>
      </c>
      <c r="O1247" s="25">
        <f>ROUND(N1247*'Methodology &amp; Assumptions'!$B$7, 0)</f>
        <v/>
      </c>
      <c r="P1247" s="23" t="inlineStr">
        <is>
          <t>Single Carrier (Band n50, 100MHz TDD)</t>
        </is>
      </c>
      <c r="Q1247" s="27">
        <f>ROUNDUP(O1247/'Methodology &amp; Assumptions'!$B$8, 0)</f>
        <v/>
      </c>
      <c r="R1247" s="27" t="n">
        <v>1</v>
      </c>
      <c r="S1247" s="26" t="n">
        <v>1.09</v>
      </c>
      <c r="T1247" s="26" t="n">
        <v>0.08</v>
      </c>
      <c r="U1247" s="11">
        <f>IF(S1247&lt;='Methodology &amp; Assumptions'!$B$10, "Direct Optical Drop (&lt;3km)", IF(S1247&lt;='Methodology &amp; Assumptions'!$B$9, "Near Optical / Microwave (&lt;5km)", "Starlink Business LEO Satellite Backhaul (&gt;5km)"))</f>
        <v/>
      </c>
      <c r="V1247" s="26" t="n">
        <v>46.12</v>
      </c>
      <c r="W1247" s="26" t="n">
        <v>70.42</v>
      </c>
      <c r="X1247" s="26">
        <f>ROUND(('Methodology &amp; Assumptions'!$B$5*V1247) + ('Methodology &amp; Assumptions'!$B$6*W1247), 2)</f>
        <v/>
      </c>
      <c r="Y1247" s="28" t="n">
        <v>10.9</v>
      </c>
      <c r="Z1247" s="11" t="inlineStr">
        <is>
          <t>Priority Tier 3 (Broadband Expansion)</t>
        </is>
      </c>
    </row>
    <row r="1248">
      <c r="A1248" s="23" t="n">
        <v>5</v>
      </c>
      <c r="B1248" s="23" t="n">
        <v>244</v>
      </c>
      <c r="C1248" s="23" t="n">
        <v>4244</v>
      </c>
      <c r="D1248" s="23" t="inlineStr">
        <is>
          <t>1380605071</t>
        </is>
      </c>
      <c r="E1248" s="11" t="inlineStr">
        <is>
          <t>National Capital Region (NCR)</t>
        </is>
      </c>
      <c r="F1248" s="11" t="inlineStr">
        <is>
          <t>First District (Not a Province)</t>
        </is>
      </c>
      <c r="G1248" s="11" t="inlineStr">
        <is>
          <t>City of Manila</t>
        </is>
      </c>
      <c r="H1248" s="11" t="inlineStr">
        <is>
          <t>Barangay 368</t>
        </is>
      </c>
      <c r="I1248" s="24" t="n">
        <v>14.62348</v>
      </c>
      <c r="J1248" s="24" t="n">
        <v>120.987973</v>
      </c>
      <c r="K1248" s="23" t="inlineStr">
        <is>
          <t>U</t>
        </is>
      </c>
      <c r="L1248" s="25" t="n">
        <v>658</v>
      </c>
      <c r="M1248" s="26" t="n">
        <v>4.25</v>
      </c>
      <c r="N1248" s="25">
        <f>ROUND(L1248/M1248, 0)</f>
        <v/>
      </c>
      <c r="O1248" s="25">
        <f>ROUND(N1248*'Methodology &amp; Assumptions'!$B$7, 0)</f>
        <v/>
      </c>
      <c r="P1248" s="23" t="inlineStr">
        <is>
          <t>Single Carrier (Band n50, 100MHz TDD)</t>
        </is>
      </c>
      <c r="Q1248" s="27">
        <f>ROUNDUP(O1248/'Methodology &amp; Assumptions'!$B$8, 0)</f>
        <v/>
      </c>
      <c r="R1248" s="27" t="n">
        <v>1</v>
      </c>
      <c r="S1248" s="26" t="n">
        <v>0.95</v>
      </c>
      <c r="T1248" s="26" t="n">
        <v>0.34</v>
      </c>
      <c r="U1248" s="11">
        <f>IF(S1248&lt;='Methodology &amp; Assumptions'!$B$10, "Direct Optical Drop (&lt;3km)", IF(S1248&lt;='Methodology &amp; Assumptions'!$B$9, "Near Optical / Microwave (&lt;5km)", "Starlink Business LEO Satellite Backhaul (&gt;5km)"))</f>
        <v/>
      </c>
      <c r="V1248" s="26" t="n">
        <v>45.6</v>
      </c>
      <c r="W1248" s="26" t="n">
        <v>70.95</v>
      </c>
      <c r="X1248" s="26">
        <f>ROUND(('Methodology &amp; Assumptions'!$B$5*V1248) + ('Methodology &amp; Assumptions'!$B$6*W1248), 2)</f>
        <v/>
      </c>
      <c r="Y1248" s="28" t="n">
        <v>10.9</v>
      </c>
      <c r="Z1248" s="11" t="inlineStr">
        <is>
          <t>Priority Tier 3 (Broadband Expansion)</t>
        </is>
      </c>
    </row>
    <row r="1249">
      <c r="A1249" s="23" t="n">
        <v>5</v>
      </c>
      <c r="B1249" s="23" t="n">
        <v>245</v>
      </c>
      <c r="C1249" s="23" t="n">
        <v>4245</v>
      </c>
      <c r="D1249" s="23" t="inlineStr">
        <is>
          <t>0604515005</t>
        </is>
      </c>
      <c r="E1249" s="11" t="inlineStr">
        <is>
          <t>Region VI (Western Visayas)</t>
        </is>
      </c>
      <c r="F1249" s="11" t="inlineStr">
        <is>
          <t>Negros Occidental</t>
        </is>
      </c>
      <c r="G1249" s="11" t="inlineStr">
        <is>
          <t>City of Kabankalan</t>
        </is>
      </c>
      <c r="H1249" s="11" t="inlineStr">
        <is>
          <t>Camugao</t>
        </is>
      </c>
      <c r="I1249" s="24" t="n">
        <v>9.986409</v>
      </c>
      <c r="J1249" s="24" t="n">
        <v>122.810057</v>
      </c>
      <c r="K1249" s="23" t="inlineStr">
        <is>
          <t>R</t>
        </is>
      </c>
      <c r="L1249" s="25" t="n">
        <v>2860</v>
      </c>
      <c r="M1249" s="26" t="n">
        <v>3.7</v>
      </c>
      <c r="N1249" s="25">
        <f>ROUND(L1249/M1249, 0)</f>
        <v/>
      </c>
      <c r="O1249" s="25">
        <f>ROUND(N1249*'Methodology &amp; Assumptions'!$B$7, 0)</f>
        <v/>
      </c>
      <c r="P1249" s="23" t="inlineStr">
        <is>
          <t>Single Carrier (Band n50, 100MHz TDD)</t>
        </is>
      </c>
      <c r="Q1249" s="27">
        <f>ROUNDUP(O1249/'Methodology &amp; Assumptions'!$B$8, 0)</f>
        <v/>
      </c>
      <c r="R1249" s="27" t="n">
        <v>1</v>
      </c>
      <c r="S1249" s="26" t="n">
        <v>0.73</v>
      </c>
      <c r="T1249" s="26" t="n">
        <v>0.7</v>
      </c>
      <c r="U1249" s="11">
        <f>IF(S1249&lt;='Methodology &amp; Assumptions'!$B$10, "Direct Optical Drop (&lt;3km)", IF(S1249&lt;='Methodology &amp; Assumptions'!$B$9, "Near Optical / Microwave (&lt;5km)", "Starlink Business LEO Satellite Backhaul (&gt;5km)"))</f>
        <v/>
      </c>
      <c r="V1249" s="26" t="n">
        <v>84.98</v>
      </c>
      <c r="W1249" s="26" t="n">
        <v>31.55</v>
      </c>
      <c r="X1249" s="26">
        <f>ROUND(('Methodology &amp; Assumptions'!$B$5*V1249) + ('Methodology &amp; Assumptions'!$B$6*W1249), 2)</f>
        <v/>
      </c>
      <c r="Y1249" s="28" t="n">
        <v>23.7</v>
      </c>
      <c r="Z1249" s="11" t="inlineStr">
        <is>
          <t>Priority Tier 3 (Broadband Expansion)</t>
        </is>
      </c>
    </row>
    <row r="1250">
      <c r="A1250" s="23" t="n">
        <v>5</v>
      </c>
      <c r="B1250" s="23" t="n">
        <v>246</v>
      </c>
      <c r="C1250" s="23" t="n">
        <v>4246</v>
      </c>
      <c r="D1250" s="23" t="inlineStr">
        <is>
          <t>1380300030</t>
        </is>
      </c>
      <c r="E1250" s="11" t="inlineStr">
        <is>
          <t>National Capital Region (NCR)</t>
        </is>
      </c>
      <c r="F1250" s="11" t="inlineStr">
        <is>
          <t>Fourth District (Not a Province)</t>
        </is>
      </c>
      <c r="G1250" s="11" t="inlineStr">
        <is>
          <t>City of Makati</t>
        </is>
      </c>
      <c r="H1250" s="11" t="inlineStr">
        <is>
          <t>Urdaneta</t>
        </is>
      </c>
      <c r="I1250" s="24" t="n">
        <v>14.55524</v>
      </c>
      <c r="J1250" s="24" t="n">
        <v>121.03</v>
      </c>
      <c r="K1250" s="23" t="inlineStr">
        <is>
          <t>U</t>
        </is>
      </c>
      <c r="L1250" s="25" t="n">
        <v>4720</v>
      </c>
      <c r="M1250" s="26" t="n">
        <v>4.67</v>
      </c>
      <c r="N1250" s="25">
        <f>ROUND(L1250/M1250, 0)</f>
        <v/>
      </c>
      <c r="O1250" s="25">
        <f>ROUND(N1250*'Methodology &amp; Assumptions'!$B$7, 0)</f>
        <v/>
      </c>
      <c r="P1250" s="23" t="inlineStr">
        <is>
          <t>Single Carrier (Band n50, 100MHz TDD)</t>
        </is>
      </c>
      <c r="Q1250" s="27">
        <f>ROUNDUP(O1250/'Methodology &amp; Assumptions'!$B$8, 0)</f>
        <v/>
      </c>
      <c r="R1250" s="27" t="n">
        <v>1</v>
      </c>
      <c r="S1250" s="26" t="n">
        <v>0.7</v>
      </c>
      <c r="T1250" s="26" t="n">
        <v>0.43</v>
      </c>
      <c r="U1250" s="11">
        <f>IF(S1250&lt;='Methodology &amp; Assumptions'!$B$10, "Direct Optical Drop (&lt;3km)", IF(S1250&lt;='Methodology &amp; Assumptions'!$B$9, "Near Optical / Microwave (&lt;5km)", "Starlink Business LEO Satellite Backhaul (&gt;5km)"))</f>
        <v/>
      </c>
      <c r="V1250" s="26" t="n">
        <v>69.09</v>
      </c>
      <c r="W1250" s="26" t="n">
        <v>47.42</v>
      </c>
      <c r="X1250" s="26">
        <f>ROUND(('Methodology &amp; Assumptions'!$B$5*V1250) + ('Methodology &amp; Assumptions'!$B$6*W1250), 2)</f>
        <v/>
      </c>
      <c r="Y1250" s="28" t="n">
        <v>10.9</v>
      </c>
      <c r="Z1250" s="11" t="inlineStr">
        <is>
          <t>Priority Tier 3 (Broadband Expansion)</t>
        </is>
      </c>
    </row>
    <row r="1251">
      <c r="A1251" s="23" t="n">
        <v>5</v>
      </c>
      <c r="B1251" s="23" t="n">
        <v>247</v>
      </c>
      <c r="C1251" s="23" t="n">
        <v>4247</v>
      </c>
      <c r="D1251" s="23" t="inlineStr">
        <is>
          <t>1908818006</t>
        </is>
      </c>
      <c r="E1251" s="11" t="inlineStr">
        <is>
          <t>Bangsamoro Autonomous Region In Muslim Mindanao (BARMM)</t>
        </is>
      </c>
      <c r="F1251" s="11" t="inlineStr">
        <is>
          <t>Maguindanao del Sur</t>
        </is>
      </c>
      <c r="G1251" s="11" t="inlineStr">
        <is>
          <t>Pandag</t>
        </is>
      </c>
      <c r="H1251" s="11" t="inlineStr">
        <is>
          <t>Malangit</t>
        </is>
      </c>
      <c r="I1251" s="24" t="n">
        <v>6.743267</v>
      </c>
      <c r="J1251" s="24" t="n">
        <v>124.801695</v>
      </c>
      <c r="K1251" s="23" t="inlineStr">
        <is>
          <t>R</t>
        </is>
      </c>
      <c r="L1251" s="25" t="n">
        <v>5154</v>
      </c>
      <c r="M1251" s="26" t="n">
        <v>4.7</v>
      </c>
      <c r="N1251" s="25">
        <f>ROUND(L1251/M1251, 0)</f>
        <v/>
      </c>
      <c r="O1251" s="25">
        <f>ROUND(N1251*'Methodology &amp; Assumptions'!$B$7, 0)</f>
        <v/>
      </c>
      <c r="P1251" s="23" t="inlineStr">
        <is>
          <t>Single Carrier (Band n50, 100MHz TDD)</t>
        </is>
      </c>
      <c r="Q1251" s="27">
        <f>ROUNDUP(O1251/'Methodology &amp; Assumptions'!$B$8, 0)</f>
        <v/>
      </c>
      <c r="R1251" s="27" t="n">
        <v>1</v>
      </c>
      <c r="S1251" s="26" t="n">
        <v>15.36</v>
      </c>
      <c r="T1251" s="26" t="n">
        <v>2.01</v>
      </c>
      <c r="U1251" s="11">
        <f>IF(S1251&lt;='Methodology &amp; Assumptions'!$B$10, "Direct Optical Drop (&lt;3km)", IF(S1251&lt;='Methodology &amp; Assumptions'!$B$9, "Near Optical / Microwave (&lt;5km)", "Starlink Business LEO Satellite Backhaul (&gt;5km)"))</f>
        <v/>
      </c>
      <c r="V1251" s="26" t="n">
        <v>59.06</v>
      </c>
      <c r="W1251" s="26" t="n">
        <v>57.46</v>
      </c>
      <c r="X1251" s="26">
        <f>ROUND(('Methodology &amp; Assumptions'!$B$5*V1251) + ('Methodology &amp; Assumptions'!$B$6*W1251), 2)</f>
        <v/>
      </c>
      <c r="Y1251" s="28" t="n">
        <v>11</v>
      </c>
      <c r="Z1251" s="11" t="inlineStr">
        <is>
          <t>Priority Tier 3 (Broadband Expansion)</t>
        </is>
      </c>
    </row>
    <row r="1252">
      <c r="A1252" s="23" t="n">
        <v>5</v>
      </c>
      <c r="B1252" s="23" t="n">
        <v>248</v>
      </c>
      <c r="C1252" s="23" t="n">
        <v>4248</v>
      </c>
      <c r="D1252" s="23" t="inlineStr">
        <is>
          <t>0405607088</t>
        </is>
      </c>
      <c r="E1252" s="11" t="inlineStr">
        <is>
          <t>Region IV-A (CALABARZON)</t>
        </is>
      </c>
      <c r="F1252" s="11" t="inlineStr">
        <is>
          <t>Quezon</t>
        </is>
      </c>
      <c r="G1252" s="11" t="inlineStr">
        <is>
          <t>Calauag</t>
        </is>
      </c>
      <c r="H1252" s="11" t="inlineStr">
        <is>
          <t>Villa San Isidro</t>
        </is>
      </c>
      <c r="I1252" s="24" t="n">
        <v>14.185308</v>
      </c>
      <c r="J1252" s="24" t="n">
        <v>122.215735</v>
      </c>
      <c r="K1252" s="23" t="inlineStr">
        <is>
          <t>R</t>
        </is>
      </c>
      <c r="L1252" s="25" t="n">
        <v>992</v>
      </c>
      <c r="M1252" s="26" t="n">
        <v>3.8</v>
      </c>
      <c r="N1252" s="25">
        <f>ROUND(L1252/M1252, 0)</f>
        <v/>
      </c>
      <c r="O1252" s="25">
        <f>ROUND(N1252*'Methodology &amp; Assumptions'!$B$7, 0)</f>
        <v/>
      </c>
      <c r="P1252" s="23" t="inlineStr">
        <is>
          <t>Single Carrier (Band n50, 100MHz TDD)</t>
        </is>
      </c>
      <c r="Q1252" s="27">
        <f>ROUNDUP(O1252/'Methodology &amp; Assumptions'!$B$8, 0)</f>
        <v/>
      </c>
      <c r="R1252" s="27" t="n">
        <v>1</v>
      </c>
      <c r="S1252" s="26" t="n">
        <v>8.02</v>
      </c>
      <c r="T1252" s="26" t="n">
        <v>17.82</v>
      </c>
      <c r="U1252" s="11">
        <f>IF(S1252&lt;='Methodology &amp; Assumptions'!$B$10, "Direct Optical Drop (&lt;3km)", IF(S1252&lt;='Methodology &amp; Assumptions'!$B$9, "Near Optical / Microwave (&lt;5km)", "Starlink Business LEO Satellite Backhaul (&gt;5km)"))</f>
        <v/>
      </c>
      <c r="V1252" s="26" t="n">
        <v>48.41</v>
      </c>
      <c r="W1252" s="26" t="n">
        <v>68.11</v>
      </c>
      <c r="X1252" s="26">
        <f>ROUND(('Methodology &amp; Assumptions'!$B$5*V1252) + ('Methodology &amp; Assumptions'!$B$6*W1252), 2)</f>
        <v/>
      </c>
      <c r="Y1252" s="28" t="n">
        <v>7.2</v>
      </c>
      <c r="Z1252" s="11" t="inlineStr">
        <is>
          <t>Priority Tier 3 (Broadband Expansion)</t>
        </is>
      </c>
    </row>
    <row r="1253">
      <c r="A1253" s="23" t="n">
        <v>5</v>
      </c>
      <c r="B1253" s="23" t="n">
        <v>249</v>
      </c>
      <c r="C1253" s="23" t="n">
        <v>4249</v>
      </c>
      <c r="D1253" s="23" t="inlineStr">
        <is>
          <t>1380607005</t>
        </is>
      </c>
      <c r="E1253" s="11" t="inlineStr">
        <is>
          <t>National Capital Region (NCR)</t>
        </is>
      </c>
      <c r="F1253" s="11" t="inlineStr">
        <is>
          <t>First District (Not a Province)</t>
        </is>
      </c>
      <c r="G1253" s="11" t="inlineStr">
        <is>
          <t>City of Manila</t>
        </is>
      </c>
      <c r="H1253" s="11" t="inlineStr">
        <is>
          <t>Barangay 641</t>
        </is>
      </c>
      <c r="I1253" s="24" t="n">
        <v>14.598109</v>
      </c>
      <c r="J1253" s="24" t="n">
        <v>120.99199</v>
      </c>
      <c r="K1253" s="23" t="inlineStr">
        <is>
          <t>U</t>
        </is>
      </c>
      <c r="L1253" s="25" t="n">
        <v>805</v>
      </c>
      <c r="M1253" s="26" t="n">
        <v>4.4</v>
      </c>
      <c r="N1253" s="25">
        <f>ROUND(L1253/M1253, 0)</f>
        <v/>
      </c>
      <c r="O1253" s="25">
        <f>ROUND(N1253*'Methodology &amp; Assumptions'!$B$7, 0)</f>
        <v/>
      </c>
      <c r="P1253" s="23" t="inlineStr">
        <is>
          <t>Single Carrier (Band n50, 100MHz TDD)</t>
        </is>
      </c>
      <c r="Q1253" s="27">
        <f>ROUNDUP(O1253/'Methodology &amp; Assumptions'!$B$8, 0)</f>
        <v/>
      </c>
      <c r="R1253" s="27" t="n">
        <v>1</v>
      </c>
      <c r="S1253" s="26" t="n">
        <v>0.5600000000000001</v>
      </c>
      <c r="T1253" s="26" t="n">
        <v>0.29</v>
      </c>
      <c r="U1253" s="11">
        <f>IF(S1253&lt;='Methodology &amp; Assumptions'!$B$10, "Direct Optical Drop (&lt;3km)", IF(S1253&lt;='Methodology &amp; Assumptions'!$B$9, "Near Optical / Microwave (&lt;5km)", "Starlink Business LEO Satellite Backhaul (&gt;5km)"))</f>
        <v/>
      </c>
      <c r="V1253" s="26" t="n">
        <v>46.98</v>
      </c>
      <c r="W1253" s="26" t="n">
        <v>69.53</v>
      </c>
      <c r="X1253" s="26">
        <f>ROUND(('Methodology &amp; Assumptions'!$B$5*V1253) + ('Methodology &amp; Assumptions'!$B$6*W1253), 2)</f>
        <v/>
      </c>
      <c r="Y1253" s="28" t="n">
        <v>10.9</v>
      </c>
      <c r="Z1253" s="11" t="inlineStr">
        <is>
          <t>Priority Tier 3 (Broadband Expansion)</t>
        </is>
      </c>
    </row>
    <row r="1254">
      <c r="A1254" s="23" t="n">
        <v>5</v>
      </c>
      <c r="B1254" s="23" t="n">
        <v>250</v>
      </c>
      <c r="C1254" s="23" t="n">
        <v>4250</v>
      </c>
      <c r="D1254" s="23" t="inlineStr">
        <is>
          <t>1403214013</t>
        </is>
      </c>
      <c r="E1254" s="11" t="inlineStr">
        <is>
          <t>Cordillera Administrative Region (CAR)</t>
        </is>
      </c>
      <c r="F1254" s="11" t="inlineStr">
        <is>
          <t>Kalinga</t>
        </is>
      </c>
      <c r="G1254" s="11" t="inlineStr">
        <is>
          <t>Tanudan</t>
        </is>
      </c>
      <c r="H1254" s="11" t="inlineStr">
        <is>
          <t>Upper Taloctoc</t>
        </is>
      </c>
      <c r="I1254" s="24" t="n">
        <v>17.340432</v>
      </c>
      <c r="J1254" s="24" t="n">
        <v>121.245467</v>
      </c>
      <c r="K1254" s="23" t="inlineStr">
        <is>
          <t>R</t>
        </is>
      </c>
      <c r="L1254" s="25" t="n">
        <v>348</v>
      </c>
      <c r="M1254" s="26" t="n">
        <v>4.3</v>
      </c>
      <c r="N1254" s="25">
        <f>ROUND(L1254/M1254, 0)</f>
        <v/>
      </c>
      <c r="O1254" s="25">
        <f>ROUND(N1254*'Methodology &amp; Assumptions'!$B$7, 0)</f>
        <v/>
      </c>
      <c r="P1254" s="23" t="inlineStr">
        <is>
          <t>Single Carrier (Band n50, 100MHz TDD)</t>
        </is>
      </c>
      <c r="Q1254" s="27">
        <f>ROUNDUP(O1254/'Methodology &amp; Assumptions'!$B$8, 0)</f>
        <v/>
      </c>
      <c r="R1254" s="27" t="n">
        <v>1</v>
      </c>
      <c r="S1254" s="26" t="n">
        <v>13.33</v>
      </c>
      <c r="T1254" s="26" t="n">
        <v>6.05</v>
      </c>
      <c r="U1254" s="11">
        <f>IF(S1254&lt;='Methodology &amp; Assumptions'!$B$10, "Direct Optical Drop (&lt;3km)", IF(S1254&lt;='Methodology &amp; Assumptions'!$B$9, "Near Optical / Microwave (&lt;5km)", "Starlink Business LEO Satellite Backhaul (&gt;5km)"))</f>
        <v/>
      </c>
      <c r="V1254" s="26" t="n">
        <v>36.72</v>
      </c>
      <c r="W1254" s="26" t="n">
        <v>79.79000000000001</v>
      </c>
      <c r="X1254" s="26">
        <f>ROUND(('Methodology &amp; Assumptions'!$B$5*V1254) + ('Methodology &amp; Assumptions'!$B$6*W1254), 2)</f>
        <v/>
      </c>
      <c r="Y1254" s="28" t="n">
        <v>10.9</v>
      </c>
      <c r="Z1254" s="11" t="inlineStr">
        <is>
          <t>Priority Tier 3 (Broadband Expansion)</t>
        </is>
      </c>
    </row>
    <row r="1255">
      <c r="A1255" s="23" t="n">
        <v>5</v>
      </c>
      <c r="B1255" s="23" t="n">
        <v>251</v>
      </c>
      <c r="C1255" s="23" t="n">
        <v>4251</v>
      </c>
      <c r="D1255" s="23" t="inlineStr">
        <is>
          <t>0105506016</t>
        </is>
      </c>
      <c r="E1255" s="11" t="inlineStr">
        <is>
          <t>Region I (Ilocos Region)</t>
        </is>
      </c>
      <c r="F1255" s="11" t="inlineStr">
        <is>
          <t>Pangasinan</t>
        </is>
      </c>
      <c r="G1255" s="11" t="inlineStr">
        <is>
          <t>Asingan</t>
        </is>
      </c>
      <c r="H1255" s="11" t="inlineStr">
        <is>
          <t>Poblacion East</t>
        </is>
      </c>
      <c r="I1255" s="24" t="n">
        <v>16.004946</v>
      </c>
      <c r="J1255" s="24" t="n">
        <v>120.669779</v>
      </c>
      <c r="K1255" s="23" t="inlineStr">
        <is>
          <t>R</t>
        </is>
      </c>
      <c r="L1255" s="25" t="n">
        <v>2491</v>
      </c>
      <c r="M1255" s="26" t="n">
        <v>3.6</v>
      </c>
      <c r="N1255" s="25">
        <f>ROUND(L1255/M1255, 0)</f>
        <v/>
      </c>
      <c r="O1255" s="25">
        <f>ROUND(N1255*'Methodology &amp; Assumptions'!$B$7, 0)</f>
        <v/>
      </c>
      <c r="P1255" s="23" t="inlineStr">
        <is>
          <t>Single Carrier (Band n50, 100MHz TDD)</t>
        </is>
      </c>
      <c r="Q1255" s="27">
        <f>ROUNDUP(O1255/'Methodology &amp; Assumptions'!$B$8, 0)</f>
        <v/>
      </c>
      <c r="R1255" s="27" t="n">
        <v>1</v>
      </c>
      <c r="S1255" s="26" t="n">
        <v>0.02</v>
      </c>
      <c r="T1255" s="26" t="n">
        <v>0.14</v>
      </c>
      <c r="U1255" s="11">
        <f>IF(S1255&lt;='Methodology &amp; Assumptions'!$B$10, "Direct Optical Drop (&lt;3km)", IF(S1255&lt;='Methodology &amp; Assumptions'!$B$9, "Near Optical / Microwave (&lt;5km)", "Starlink Business LEO Satellite Backhaul (&gt;5km)"))</f>
        <v/>
      </c>
      <c r="V1255" s="26" t="n">
        <v>81.55</v>
      </c>
      <c r="W1255" s="26" t="n">
        <v>34.94</v>
      </c>
      <c r="X1255" s="26">
        <f>ROUND(('Methodology &amp; Assumptions'!$B$5*V1255) + ('Methodology &amp; Assumptions'!$B$6*W1255), 2)</f>
        <v/>
      </c>
      <c r="Y1255" s="28" t="n">
        <v>8.300000000000001</v>
      </c>
      <c r="Z1255" s="11" t="inlineStr">
        <is>
          <t>Priority Tier 3 (Broadband Expansion)</t>
        </is>
      </c>
    </row>
    <row r="1256">
      <c r="A1256" s="23" t="n">
        <v>5</v>
      </c>
      <c r="B1256" s="23" t="n">
        <v>252</v>
      </c>
      <c r="C1256" s="23" t="n">
        <v>4252</v>
      </c>
      <c r="D1256" s="23" t="inlineStr">
        <is>
          <t>0300812003</t>
        </is>
      </c>
      <c r="E1256" s="11" t="inlineStr">
        <is>
          <t>Region III (Central Luzon)</t>
        </is>
      </c>
      <c r="F1256" s="11" t="inlineStr">
        <is>
          <t>Bataan</t>
        </is>
      </c>
      <c r="G1256" s="11" t="inlineStr">
        <is>
          <t>Samal</t>
        </is>
      </c>
      <c r="H1256" s="11" t="inlineStr">
        <is>
          <t>Ibaba</t>
        </is>
      </c>
      <c r="I1256" s="24" t="n">
        <v>14.764061</v>
      </c>
      <c r="J1256" s="24" t="n">
        <v>120.540083</v>
      </c>
      <c r="K1256" s="23" t="inlineStr">
        <is>
          <t>R</t>
        </is>
      </c>
      <c r="L1256" s="25" t="n">
        <v>3374</v>
      </c>
      <c r="M1256" s="26" t="n">
        <v>3.6</v>
      </c>
      <c r="N1256" s="25">
        <f>ROUND(L1256/M1256, 0)</f>
        <v/>
      </c>
      <c r="O1256" s="25">
        <f>ROUND(N1256*'Methodology &amp; Assumptions'!$B$7, 0)</f>
        <v/>
      </c>
      <c r="P1256" s="23" t="inlineStr">
        <is>
          <t>Single Carrier (Band n50, 100MHz TDD)</t>
        </is>
      </c>
      <c r="Q1256" s="27">
        <f>ROUNDUP(O1256/'Methodology &amp; Assumptions'!$B$8, 0)</f>
        <v/>
      </c>
      <c r="R1256" s="27" t="n">
        <v>1</v>
      </c>
      <c r="S1256" s="26" t="n">
        <v>4.25</v>
      </c>
      <c r="T1256" s="26" t="n">
        <v>0.24</v>
      </c>
      <c r="U1256" s="11">
        <f>IF(S1256&lt;='Methodology &amp; Assumptions'!$B$10, "Direct Optical Drop (&lt;3km)", IF(S1256&lt;='Methodology &amp; Assumptions'!$B$9, "Near Optical / Microwave (&lt;5km)", "Starlink Business LEO Satellite Backhaul (&gt;5km)"))</f>
        <v/>
      </c>
      <c r="V1256" s="26" t="n">
        <v>75.51000000000001</v>
      </c>
      <c r="W1256" s="26" t="n">
        <v>40.99</v>
      </c>
      <c r="X1256" s="26">
        <f>ROUND(('Methodology &amp; Assumptions'!$B$5*V1256) + ('Methodology &amp; Assumptions'!$B$6*W1256), 2)</f>
        <v/>
      </c>
      <c r="Y1256" s="28" t="n">
        <v>8.300000000000001</v>
      </c>
      <c r="Z1256" s="11" t="inlineStr">
        <is>
          <t>Priority Tier 3 (Broadband Expansion)</t>
        </is>
      </c>
    </row>
    <row r="1257">
      <c r="A1257" s="23" t="n">
        <v>5</v>
      </c>
      <c r="B1257" s="23" t="n">
        <v>253</v>
      </c>
      <c r="C1257" s="23" t="n">
        <v>4253</v>
      </c>
      <c r="D1257" s="23" t="inlineStr">
        <is>
          <t>0201505030</t>
        </is>
      </c>
      <c r="E1257" s="11" t="inlineStr">
        <is>
          <t>Region II (Cagayan Valley)</t>
        </is>
      </c>
      <c r="F1257" s="11" t="inlineStr">
        <is>
          <t>Cagayan</t>
        </is>
      </c>
      <c r="G1257" s="11" t="inlineStr">
        <is>
          <t>Aparri</t>
        </is>
      </c>
      <c r="H1257" s="11" t="inlineStr">
        <is>
          <t>Maura</t>
        </is>
      </c>
      <c r="I1257" s="24" t="n">
        <v>18.3544</v>
      </c>
      <c r="J1257" s="24" t="n">
        <v>121.6481</v>
      </c>
      <c r="K1257" s="23" t="inlineStr">
        <is>
          <t>U</t>
        </is>
      </c>
      <c r="L1257" s="25" t="n">
        <v>8322</v>
      </c>
      <c r="M1257" s="26" t="n">
        <v>3.9</v>
      </c>
      <c r="N1257" s="25">
        <f>ROUND(L1257/M1257, 0)</f>
        <v/>
      </c>
      <c r="O1257" s="25">
        <f>ROUND(N1257*'Methodology &amp; Assumptions'!$B$7, 0)</f>
        <v/>
      </c>
      <c r="P1257" s="23" t="inlineStr">
        <is>
          <t>Single Carrier (Band n50, 100MHz TDD)</t>
        </is>
      </c>
      <c r="Q1257" s="27">
        <f>ROUNDUP(O1257/'Methodology &amp; Assumptions'!$B$8, 0)</f>
        <v/>
      </c>
      <c r="R1257" s="27" t="n">
        <v>1</v>
      </c>
      <c r="S1257" s="26" t="n">
        <v>1.28</v>
      </c>
      <c r="T1257" s="26" t="n">
        <v>11.17</v>
      </c>
      <c r="U1257" s="11">
        <f>IF(S1257&lt;='Methodology &amp; Assumptions'!$B$10, "Direct Optical Drop (&lt;3km)", IF(S1257&lt;='Methodology &amp; Assumptions'!$B$9, "Near Optical / Microwave (&lt;5km)", "Starlink Business LEO Satellite Backhaul (&gt;5km)"))</f>
        <v/>
      </c>
      <c r="V1257" s="26" t="n">
        <v>73.26000000000001</v>
      </c>
      <c r="W1257" s="26" t="n">
        <v>43.24</v>
      </c>
      <c r="X1257" s="26">
        <f>ROUND(('Methodology &amp; Assumptions'!$B$5*V1257) + ('Methodology &amp; Assumptions'!$B$6*W1257), 2)</f>
        <v/>
      </c>
      <c r="Y1257" s="28" t="n">
        <v>8.300000000000001</v>
      </c>
      <c r="Z1257" s="11" t="inlineStr">
        <is>
          <t>Priority Tier 3 (Broadband Expansion)</t>
        </is>
      </c>
    </row>
    <row r="1258">
      <c r="A1258" s="23" t="n">
        <v>5</v>
      </c>
      <c r="B1258" s="23" t="n">
        <v>254</v>
      </c>
      <c r="C1258" s="23" t="n">
        <v>4254</v>
      </c>
      <c r="D1258" s="23" t="inlineStr">
        <is>
          <t>1380607008</t>
        </is>
      </c>
      <c r="E1258" s="11" t="inlineStr">
        <is>
          <t>National Capital Region (NCR)</t>
        </is>
      </c>
      <c r="F1258" s="11" t="inlineStr">
        <is>
          <t>First District (Not a Province)</t>
        </is>
      </c>
      <c r="G1258" s="11" t="inlineStr">
        <is>
          <t>City of Manila</t>
        </is>
      </c>
      <c r="H1258" s="11" t="inlineStr">
        <is>
          <t>Barangay 644</t>
        </is>
      </c>
      <c r="I1258" s="24" t="n">
        <v>14.593599</v>
      </c>
      <c r="J1258" s="24" t="n">
        <v>120.991849</v>
      </c>
      <c r="K1258" s="23" t="inlineStr">
        <is>
          <t>U</t>
        </is>
      </c>
      <c r="L1258" s="25" t="n">
        <v>735</v>
      </c>
      <c r="M1258" s="26" t="n">
        <v>4.43</v>
      </c>
      <c r="N1258" s="25">
        <f>ROUND(L1258/M1258, 0)</f>
        <v/>
      </c>
      <c r="O1258" s="25">
        <f>ROUND(N1258*'Methodology &amp; Assumptions'!$B$7, 0)</f>
        <v/>
      </c>
      <c r="P1258" s="23" t="inlineStr">
        <is>
          <t>Single Carrier (Band n50, 100MHz TDD)</t>
        </is>
      </c>
      <c r="Q1258" s="27">
        <f>ROUNDUP(O1258/'Methodology &amp; Assumptions'!$B$8, 0)</f>
        <v/>
      </c>
      <c r="R1258" s="27" t="n">
        <v>1</v>
      </c>
      <c r="S1258" s="26" t="n">
        <v>0.88</v>
      </c>
      <c r="T1258" s="26" t="n">
        <v>0.76</v>
      </c>
      <c r="U1258" s="11">
        <f>IF(S1258&lt;='Methodology &amp; Assumptions'!$B$10, "Direct Optical Drop (&lt;3km)", IF(S1258&lt;='Methodology &amp; Assumptions'!$B$9, "Near Optical / Microwave (&lt;5km)", "Starlink Business LEO Satellite Backhaul (&gt;5km)"))</f>
        <v/>
      </c>
      <c r="V1258" s="26" t="n">
        <v>46.31</v>
      </c>
      <c r="W1258" s="26" t="n">
        <v>70.2</v>
      </c>
      <c r="X1258" s="26">
        <f>ROUND(('Methodology &amp; Assumptions'!$B$5*V1258) + ('Methodology &amp; Assumptions'!$B$6*W1258), 2)</f>
        <v/>
      </c>
      <c r="Y1258" s="28" t="n">
        <v>10.9</v>
      </c>
      <c r="Z1258" s="11" t="inlineStr">
        <is>
          <t>Priority Tier 3 (Broadband Expansion)</t>
        </is>
      </c>
    </row>
    <row r="1259">
      <c r="A1259" s="23" t="n">
        <v>5</v>
      </c>
      <c r="B1259" s="23" t="n">
        <v>255</v>
      </c>
      <c r="C1259" s="23" t="n">
        <v>4255</v>
      </c>
      <c r="D1259" s="23" t="inlineStr">
        <is>
          <t>0304903002</t>
        </is>
      </c>
      <c r="E1259" s="11" t="inlineStr">
        <is>
          <t>Region III (Central Luzon)</t>
        </is>
      </c>
      <c r="F1259" s="11" t="inlineStr">
        <is>
          <t>Nueva Ecija</t>
        </is>
      </c>
      <c r="G1259" s="11" t="inlineStr">
        <is>
          <t>City of Cabanatuan</t>
        </is>
      </c>
      <c r="H1259" s="11" t="inlineStr">
        <is>
          <t>Aduas Centro</t>
        </is>
      </c>
      <c r="I1259" s="24" t="n">
        <v>15.585783</v>
      </c>
      <c r="J1259" s="24" t="n">
        <v>120.924577</v>
      </c>
      <c r="K1259" s="23" t="inlineStr">
        <is>
          <t>U</t>
        </is>
      </c>
      <c r="L1259" s="25" t="n">
        <v>5576</v>
      </c>
      <c r="M1259" s="26" t="n">
        <v>3.5</v>
      </c>
      <c r="N1259" s="25">
        <f>ROUND(L1259/M1259, 0)</f>
        <v/>
      </c>
      <c r="O1259" s="25">
        <f>ROUND(N1259*'Methodology &amp; Assumptions'!$B$7, 0)</f>
        <v/>
      </c>
      <c r="P1259" s="23" t="inlineStr">
        <is>
          <t>Single Carrier (Band n50, 100MHz TDD)</t>
        </is>
      </c>
      <c r="Q1259" s="27">
        <f>ROUNDUP(O1259/'Methodology &amp; Assumptions'!$B$8, 0)</f>
        <v/>
      </c>
      <c r="R1259" s="27" t="n">
        <v>1</v>
      </c>
      <c r="S1259" s="26" t="n">
        <v>0.71</v>
      </c>
      <c r="T1259" s="26" t="n">
        <v>0.52</v>
      </c>
      <c r="U1259" s="11">
        <f>IF(S1259&lt;='Methodology &amp; Assumptions'!$B$10, "Direct Optical Drop (&lt;3km)", IF(S1259&lt;='Methodology &amp; Assumptions'!$B$9, "Near Optical / Microwave (&lt;5km)", "Starlink Business LEO Satellite Backhaul (&gt;5km)"))</f>
        <v/>
      </c>
      <c r="V1259" s="26" t="n">
        <v>78.43000000000001</v>
      </c>
      <c r="W1259" s="26" t="n">
        <v>38.05</v>
      </c>
      <c r="X1259" s="26">
        <f>ROUND(('Methodology &amp; Assumptions'!$B$5*V1259) + ('Methodology &amp; Assumptions'!$B$6*W1259), 2)</f>
        <v/>
      </c>
      <c r="Y1259" s="28" t="n">
        <v>8.300000000000001</v>
      </c>
      <c r="Z1259" s="11" t="inlineStr">
        <is>
          <t>Priority Tier 3 (Broadband Expansion)</t>
        </is>
      </c>
    </row>
    <row r="1260">
      <c r="A1260" s="23" t="n">
        <v>5</v>
      </c>
      <c r="B1260" s="23" t="n">
        <v>256</v>
      </c>
      <c r="C1260" s="23" t="n">
        <v>4256</v>
      </c>
      <c r="D1260" s="23" t="inlineStr">
        <is>
          <t>0304903003</t>
        </is>
      </c>
      <c r="E1260" s="11" t="inlineStr">
        <is>
          <t>Region III (Central Luzon)</t>
        </is>
      </c>
      <c r="F1260" s="11" t="inlineStr">
        <is>
          <t>Nueva Ecija</t>
        </is>
      </c>
      <c r="G1260" s="11" t="inlineStr">
        <is>
          <t>City of Cabanatuan</t>
        </is>
      </c>
      <c r="H1260" s="11" t="inlineStr">
        <is>
          <t>Bagong Sikat</t>
        </is>
      </c>
      <c r="I1260" s="24" t="n">
        <v>15.585783</v>
      </c>
      <c r="J1260" s="24" t="n">
        <v>120.924577</v>
      </c>
      <c r="K1260" s="23" t="inlineStr">
        <is>
          <t>U</t>
        </is>
      </c>
      <c r="L1260" s="25" t="n">
        <v>5746</v>
      </c>
      <c r="M1260" s="26" t="n">
        <v>3.5</v>
      </c>
      <c r="N1260" s="25">
        <f>ROUND(L1260/M1260, 0)</f>
        <v/>
      </c>
      <c r="O1260" s="25">
        <f>ROUND(N1260*'Methodology &amp; Assumptions'!$B$7, 0)</f>
        <v/>
      </c>
      <c r="P1260" s="23" t="inlineStr">
        <is>
          <t>Single Carrier (Band n50, 100MHz TDD)</t>
        </is>
      </c>
      <c r="Q1260" s="27">
        <f>ROUNDUP(O1260/'Methodology &amp; Assumptions'!$B$8, 0)</f>
        <v/>
      </c>
      <c r="R1260" s="27" t="n">
        <v>1</v>
      </c>
      <c r="S1260" s="26" t="n">
        <v>0.71</v>
      </c>
      <c r="T1260" s="26" t="n">
        <v>0.52</v>
      </c>
      <c r="U1260" s="11">
        <f>IF(S1260&lt;='Methodology &amp; Assumptions'!$B$10, "Direct Optical Drop (&lt;3km)", IF(S1260&lt;='Methodology &amp; Assumptions'!$B$9, "Near Optical / Microwave (&lt;5km)", "Starlink Business LEO Satellite Backhaul (&gt;5km)"))</f>
        <v/>
      </c>
      <c r="V1260" s="26" t="n">
        <v>78.43000000000001</v>
      </c>
      <c r="W1260" s="26" t="n">
        <v>38.05</v>
      </c>
      <c r="X1260" s="26">
        <f>ROUND(('Methodology &amp; Assumptions'!$B$5*V1260) + ('Methodology &amp; Assumptions'!$B$6*W1260), 2)</f>
        <v/>
      </c>
      <c r="Y1260" s="28" t="n">
        <v>8.300000000000001</v>
      </c>
      <c r="Z1260" s="11" t="inlineStr">
        <is>
          <t>Priority Tier 3 (Broadband Expansion)</t>
        </is>
      </c>
    </row>
    <row r="1261">
      <c r="A1261" s="23" t="n">
        <v>5</v>
      </c>
      <c r="B1261" s="23" t="n">
        <v>257</v>
      </c>
      <c r="C1261" s="23" t="n">
        <v>4257</v>
      </c>
      <c r="D1261" s="23" t="inlineStr">
        <is>
          <t>0304903007</t>
        </is>
      </c>
      <c r="E1261" s="11" t="inlineStr">
        <is>
          <t>Region III (Central Luzon)</t>
        </is>
      </c>
      <c r="F1261" s="11" t="inlineStr">
        <is>
          <t>Nueva Ecija</t>
        </is>
      </c>
      <c r="G1261" s="11" t="inlineStr">
        <is>
          <t>City of Cabanatuan</t>
        </is>
      </c>
      <c r="H1261" s="11" t="inlineStr">
        <is>
          <t>Bakod Bayan</t>
        </is>
      </c>
      <c r="I1261" s="24" t="n">
        <v>15.585783</v>
      </c>
      <c r="J1261" s="24" t="n">
        <v>120.924577</v>
      </c>
      <c r="K1261" s="23" t="inlineStr">
        <is>
          <t>U</t>
        </is>
      </c>
      <c r="L1261" s="25" t="n">
        <v>10879</v>
      </c>
      <c r="M1261" s="26" t="n">
        <v>3.5</v>
      </c>
      <c r="N1261" s="25">
        <f>ROUND(L1261/M1261, 0)</f>
        <v/>
      </c>
      <c r="O1261" s="25">
        <f>ROUND(N1261*'Methodology &amp; Assumptions'!$B$7, 0)</f>
        <v/>
      </c>
      <c r="P1261" s="23" t="inlineStr">
        <is>
          <t>Single Carrier (Band n50, 100MHz TDD)</t>
        </is>
      </c>
      <c r="Q1261" s="27">
        <f>ROUNDUP(O1261/'Methodology &amp; Assumptions'!$B$8, 0)</f>
        <v/>
      </c>
      <c r="R1261" s="27" t="n">
        <v>1</v>
      </c>
      <c r="S1261" s="26" t="n">
        <v>0.71</v>
      </c>
      <c r="T1261" s="26" t="n">
        <v>0.52</v>
      </c>
      <c r="U1261" s="11">
        <f>IF(S1261&lt;='Methodology &amp; Assumptions'!$B$10, "Direct Optical Drop (&lt;3km)", IF(S1261&lt;='Methodology &amp; Assumptions'!$B$9, "Near Optical / Microwave (&lt;5km)", "Starlink Business LEO Satellite Backhaul (&gt;5km)"))</f>
        <v/>
      </c>
      <c r="V1261" s="26" t="n">
        <v>78.43000000000001</v>
      </c>
      <c r="W1261" s="26" t="n">
        <v>38.05</v>
      </c>
      <c r="X1261" s="26">
        <f>ROUND(('Methodology &amp; Assumptions'!$B$5*V1261) + ('Methodology &amp; Assumptions'!$B$6*W1261), 2)</f>
        <v/>
      </c>
      <c r="Y1261" s="28" t="n">
        <v>8.300000000000001</v>
      </c>
      <c r="Z1261" s="11" t="inlineStr">
        <is>
          <t>Priority Tier 3 (Broadband Expansion)</t>
        </is>
      </c>
    </row>
    <row r="1262">
      <c r="A1262" s="23" t="n">
        <v>5</v>
      </c>
      <c r="B1262" s="23" t="n">
        <v>258</v>
      </c>
      <c r="C1262" s="23" t="n">
        <v>4258</v>
      </c>
      <c r="D1262" s="23" t="inlineStr">
        <is>
          <t>0304903009</t>
        </is>
      </c>
      <c r="E1262" s="11" t="inlineStr">
        <is>
          <t>Region III (Central Luzon)</t>
        </is>
      </c>
      <c r="F1262" s="11" t="inlineStr">
        <is>
          <t>Nueva Ecija</t>
        </is>
      </c>
      <c r="G1262" s="11" t="inlineStr">
        <is>
          <t>City of Cabanatuan</t>
        </is>
      </c>
      <c r="H1262" s="11" t="inlineStr">
        <is>
          <t>Bangad</t>
        </is>
      </c>
      <c r="I1262" s="24" t="n">
        <v>15.585783</v>
      </c>
      <c r="J1262" s="24" t="n">
        <v>120.924577</v>
      </c>
      <c r="K1262" s="23" t="inlineStr">
        <is>
          <t>U</t>
        </is>
      </c>
      <c r="L1262" s="25" t="n">
        <v>8380</v>
      </c>
      <c r="M1262" s="26" t="n">
        <v>3.5</v>
      </c>
      <c r="N1262" s="25">
        <f>ROUND(L1262/M1262, 0)</f>
        <v/>
      </c>
      <c r="O1262" s="25">
        <f>ROUND(N1262*'Methodology &amp; Assumptions'!$B$7, 0)</f>
        <v/>
      </c>
      <c r="P1262" s="23" t="inlineStr">
        <is>
          <t>Single Carrier (Band n50, 100MHz TDD)</t>
        </is>
      </c>
      <c r="Q1262" s="27">
        <f>ROUNDUP(O1262/'Methodology &amp; Assumptions'!$B$8, 0)</f>
        <v/>
      </c>
      <c r="R1262" s="27" t="n">
        <v>1</v>
      </c>
      <c r="S1262" s="26" t="n">
        <v>0.71</v>
      </c>
      <c r="T1262" s="26" t="n">
        <v>0.52</v>
      </c>
      <c r="U1262" s="11">
        <f>IF(S1262&lt;='Methodology &amp; Assumptions'!$B$10, "Direct Optical Drop (&lt;3km)", IF(S1262&lt;='Methodology &amp; Assumptions'!$B$9, "Near Optical / Microwave (&lt;5km)", "Starlink Business LEO Satellite Backhaul (&gt;5km)"))</f>
        <v/>
      </c>
      <c r="V1262" s="26" t="n">
        <v>78.43000000000001</v>
      </c>
      <c r="W1262" s="26" t="n">
        <v>38.05</v>
      </c>
      <c r="X1262" s="26">
        <f>ROUND(('Methodology &amp; Assumptions'!$B$5*V1262) + ('Methodology &amp; Assumptions'!$B$6*W1262), 2)</f>
        <v/>
      </c>
      <c r="Y1262" s="28" t="n">
        <v>8.300000000000001</v>
      </c>
      <c r="Z1262" s="11" t="inlineStr">
        <is>
          <t>Priority Tier 3 (Broadband Expansion)</t>
        </is>
      </c>
    </row>
    <row r="1263">
      <c r="A1263" s="23" t="n">
        <v>5</v>
      </c>
      <c r="B1263" s="23" t="n">
        <v>259</v>
      </c>
      <c r="C1263" s="23" t="n">
        <v>4259</v>
      </c>
      <c r="D1263" s="23" t="inlineStr">
        <is>
          <t>0304903011</t>
        </is>
      </c>
      <c r="E1263" s="11" t="inlineStr">
        <is>
          <t>Region III (Central Luzon)</t>
        </is>
      </c>
      <c r="F1263" s="11" t="inlineStr">
        <is>
          <t>Nueva Ecija</t>
        </is>
      </c>
      <c r="G1263" s="11" t="inlineStr">
        <is>
          <t>City of Cabanatuan</t>
        </is>
      </c>
      <c r="H1263" s="11" t="inlineStr">
        <is>
          <t>Bantug Norte</t>
        </is>
      </c>
      <c r="I1263" s="24" t="n">
        <v>15.585783</v>
      </c>
      <c r="J1263" s="24" t="n">
        <v>120.924577</v>
      </c>
      <c r="K1263" s="23" t="inlineStr">
        <is>
          <t>U</t>
        </is>
      </c>
      <c r="L1263" s="25" t="n">
        <v>9467</v>
      </c>
      <c r="M1263" s="26" t="n">
        <v>3.5</v>
      </c>
      <c r="N1263" s="25">
        <f>ROUND(L1263/M1263, 0)</f>
        <v/>
      </c>
      <c r="O1263" s="25">
        <f>ROUND(N1263*'Methodology &amp; Assumptions'!$B$7, 0)</f>
        <v/>
      </c>
      <c r="P1263" s="23" t="inlineStr">
        <is>
          <t>Single Carrier (Band n50, 100MHz TDD)</t>
        </is>
      </c>
      <c r="Q1263" s="27">
        <f>ROUNDUP(O1263/'Methodology &amp; Assumptions'!$B$8, 0)</f>
        <v/>
      </c>
      <c r="R1263" s="27" t="n">
        <v>1</v>
      </c>
      <c r="S1263" s="26" t="n">
        <v>0.71</v>
      </c>
      <c r="T1263" s="26" t="n">
        <v>0.52</v>
      </c>
      <c r="U1263" s="11">
        <f>IF(S1263&lt;='Methodology &amp; Assumptions'!$B$10, "Direct Optical Drop (&lt;3km)", IF(S1263&lt;='Methodology &amp; Assumptions'!$B$9, "Near Optical / Microwave (&lt;5km)", "Starlink Business LEO Satellite Backhaul (&gt;5km)"))</f>
        <v/>
      </c>
      <c r="V1263" s="26" t="n">
        <v>78.43000000000001</v>
      </c>
      <c r="W1263" s="26" t="n">
        <v>38.05</v>
      </c>
      <c r="X1263" s="26">
        <f>ROUND(('Methodology &amp; Assumptions'!$B$5*V1263) + ('Methodology &amp; Assumptions'!$B$6*W1263), 2)</f>
        <v/>
      </c>
      <c r="Y1263" s="28" t="n">
        <v>8.300000000000001</v>
      </c>
      <c r="Z1263" s="11" t="inlineStr">
        <is>
          <t>Priority Tier 3 (Broadband Expansion)</t>
        </is>
      </c>
    </row>
    <row r="1264">
      <c r="A1264" s="23" t="n">
        <v>5</v>
      </c>
      <c r="B1264" s="23" t="n">
        <v>260</v>
      </c>
      <c r="C1264" s="23" t="n">
        <v>4260</v>
      </c>
      <c r="D1264" s="23" t="inlineStr">
        <is>
          <t>0304903013</t>
        </is>
      </c>
      <c r="E1264" s="11" t="inlineStr">
        <is>
          <t>Region III (Central Luzon)</t>
        </is>
      </c>
      <c r="F1264" s="11" t="inlineStr">
        <is>
          <t>Nueva Ecija</t>
        </is>
      </c>
      <c r="G1264" s="11" t="inlineStr">
        <is>
          <t>City of Cabanatuan</t>
        </is>
      </c>
      <c r="H1264" s="11" t="inlineStr">
        <is>
          <t>Barrera District</t>
        </is>
      </c>
      <c r="I1264" s="24" t="n">
        <v>15.585783</v>
      </c>
      <c r="J1264" s="24" t="n">
        <v>120.924577</v>
      </c>
      <c r="K1264" s="23" t="inlineStr">
        <is>
          <t>U</t>
        </is>
      </c>
      <c r="L1264" s="25" t="n">
        <v>5766</v>
      </c>
      <c r="M1264" s="26" t="n">
        <v>3.5</v>
      </c>
      <c r="N1264" s="25">
        <f>ROUND(L1264/M1264, 0)</f>
        <v/>
      </c>
      <c r="O1264" s="25">
        <f>ROUND(N1264*'Methodology &amp; Assumptions'!$B$7, 0)</f>
        <v/>
      </c>
      <c r="P1264" s="23" t="inlineStr">
        <is>
          <t>Single Carrier (Band n50, 100MHz TDD)</t>
        </is>
      </c>
      <c r="Q1264" s="27">
        <f>ROUNDUP(O1264/'Methodology &amp; Assumptions'!$B$8, 0)</f>
        <v/>
      </c>
      <c r="R1264" s="27" t="n">
        <v>1</v>
      </c>
      <c r="S1264" s="26" t="n">
        <v>0.71</v>
      </c>
      <c r="T1264" s="26" t="n">
        <v>0.52</v>
      </c>
      <c r="U1264" s="11">
        <f>IF(S1264&lt;='Methodology &amp; Assumptions'!$B$10, "Direct Optical Drop (&lt;3km)", IF(S1264&lt;='Methodology &amp; Assumptions'!$B$9, "Near Optical / Microwave (&lt;5km)", "Starlink Business LEO Satellite Backhaul (&gt;5km)"))</f>
        <v/>
      </c>
      <c r="V1264" s="26" t="n">
        <v>78.43000000000001</v>
      </c>
      <c r="W1264" s="26" t="n">
        <v>38.05</v>
      </c>
      <c r="X1264" s="26">
        <f>ROUND(('Methodology &amp; Assumptions'!$B$5*V1264) + ('Methodology &amp; Assumptions'!$B$6*W1264), 2)</f>
        <v/>
      </c>
      <c r="Y1264" s="28" t="n">
        <v>8.300000000000001</v>
      </c>
      <c r="Z1264" s="11" t="inlineStr">
        <is>
          <t>Priority Tier 3 (Broadband Expansion)</t>
        </is>
      </c>
    </row>
    <row r="1265">
      <c r="A1265" s="23" t="n">
        <v>5</v>
      </c>
      <c r="B1265" s="23" t="n">
        <v>261</v>
      </c>
      <c r="C1265" s="23" t="n">
        <v>4261</v>
      </c>
      <c r="D1265" s="23" t="inlineStr">
        <is>
          <t>0304903016</t>
        </is>
      </c>
      <c r="E1265" s="11" t="inlineStr">
        <is>
          <t>Region III (Central Luzon)</t>
        </is>
      </c>
      <c r="F1265" s="11" t="inlineStr">
        <is>
          <t>Nueva Ecija</t>
        </is>
      </c>
      <c r="G1265" s="11" t="inlineStr">
        <is>
          <t>City of Cabanatuan</t>
        </is>
      </c>
      <c r="H1265" s="11" t="inlineStr">
        <is>
          <t>Bitas</t>
        </is>
      </c>
      <c r="I1265" s="24" t="n">
        <v>15.585783</v>
      </c>
      <c r="J1265" s="24" t="n">
        <v>120.924577</v>
      </c>
      <c r="K1265" s="23" t="inlineStr">
        <is>
          <t>U</t>
        </is>
      </c>
      <c r="L1265" s="25" t="n">
        <v>6009</v>
      </c>
      <c r="M1265" s="26" t="n">
        <v>3.5</v>
      </c>
      <c r="N1265" s="25">
        <f>ROUND(L1265/M1265, 0)</f>
        <v/>
      </c>
      <c r="O1265" s="25">
        <f>ROUND(N1265*'Methodology &amp; Assumptions'!$B$7, 0)</f>
        <v/>
      </c>
      <c r="P1265" s="23" t="inlineStr">
        <is>
          <t>Single Carrier (Band n50, 100MHz TDD)</t>
        </is>
      </c>
      <c r="Q1265" s="27">
        <f>ROUNDUP(O1265/'Methodology &amp; Assumptions'!$B$8, 0)</f>
        <v/>
      </c>
      <c r="R1265" s="27" t="n">
        <v>1</v>
      </c>
      <c r="S1265" s="26" t="n">
        <v>0.71</v>
      </c>
      <c r="T1265" s="26" t="n">
        <v>0.52</v>
      </c>
      <c r="U1265" s="11">
        <f>IF(S1265&lt;='Methodology &amp; Assumptions'!$B$10, "Direct Optical Drop (&lt;3km)", IF(S1265&lt;='Methodology &amp; Assumptions'!$B$9, "Near Optical / Microwave (&lt;5km)", "Starlink Business LEO Satellite Backhaul (&gt;5km)"))</f>
        <v/>
      </c>
      <c r="V1265" s="26" t="n">
        <v>78.43000000000001</v>
      </c>
      <c r="W1265" s="26" t="n">
        <v>38.05</v>
      </c>
      <c r="X1265" s="26">
        <f>ROUND(('Methodology &amp; Assumptions'!$B$5*V1265) + ('Methodology &amp; Assumptions'!$B$6*W1265), 2)</f>
        <v/>
      </c>
      <c r="Y1265" s="28" t="n">
        <v>8.300000000000001</v>
      </c>
      <c r="Z1265" s="11" t="inlineStr">
        <is>
          <t>Priority Tier 3 (Broadband Expansion)</t>
        </is>
      </c>
    </row>
    <row r="1266">
      <c r="A1266" s="23" t="n">
        <v>5</v>
      </c>
      <c r="B1266" s="23" t="n">
        <v>262</v>
      </c>
      <c r="C1266" s="23" t="n">
        <v>4262</v>
      </c>
      <c r="D1266" s="23" t="inlineStr">
        <is>
          <t>0304903019</t>
        </is>
      </c>
      <c r="E1266" s="11" t="inlineStr">
        <is>
          <t>Region III (Central Luzon)</t>
        </is>
      </c>
      <c r="F1266" s="11" t="inlineStr">
        <is>
          <t>Nueva Ecija</t>
        </is>
      </c>
      <c r="G1266" s="11" t="inlineStr">
        <is>
          <t>City of Cabanatuan</t>
        </is>
      </c>
      <c r="H1266" s="11" t="inlineStr">
        <is>
          <t>Caalibangbangan</t>
        </is>
      </c>
      <c r="I1266" s="24" t="n">
        <v>15.585783</v>
      </c>
      <c r="J1266" s="24" t="n">
        <v>120.924577</v>
      </c>
      <c r="K1266" s="23" t="inlineStr">
        <is>
          <t>U</t>
        </is>
      </c>
      <c r="L1266" s="25" t="n">
        <v>12103</v>
      </c>
      <c r="M1266" s="26" t="n">
        <v>3.5</v>
      </c>
      <c r="N1266" s="25">
        <f>ROUND(L1266/M1266, 0)</f>
        <v/>
      </c>
      <c r="O1266" s="25">
        <f>ROUND(N1266*'Methodology &amp; Assumptions'!$B$7, 0)</f>
        <v/>
      </c>
      <c r="P1266" s="23" t="inlineStr">
        <is>
          <t>Single Carrier (Band n50, 100MHz TDD)</t>
        </is>
      </c>
      <c r="Q1266" s="27">
        <f>ROUNDUP(O1266/'Methodology &amp; Assumptions'!$B$8, 0)</f>
        <v/>
      </c>
      <c r="R1266" s="27" t="n">
        <v>1</v>
      </c>
      <c r="S1266" s="26" t="n">
        <v>0.71</v>
      </c>
      <c r="T1266" s="26" t="n">
        <v>0.52</v>
      </c>
      <c r="U1266" s="11">
        <f>IF(S1266&lt;='Methodology &amp; Assumptions'!$B$10, "Direct Optical Drop (&lt;3km)", IF(S1266&lt;='Methodology &amp; Assumptions'!$B$9, "Near Optical / Microwave (&lt;5km)", "Starlink Business LEO Satellite Backhaul (&gt;5km)"))</f>
        <v/>
      </c>
      <c r="V1266" s="26" t="n">
        <v>78.43000000000001</v>
      </c>
      <c r="W1266" s="26" t="n">
        <v>38.05</v>
      </c>
      <c r="X1266" s="26">
        <f>ROUND(('Methodology &amp; Assumptions'!$B$5*V1266) + ('Methodology &amp; Assumptions'!$B$6*W1266), 2)</f>
        <v/>
      </c>
      <c r="Y1266" s="28" t="n">
        <v>8.300000000000001</v>
      </c>
      <c r="Z1266" s="11" t="inlineStr">
        <is>
          <t>Priority Tier 3 (Broadband Expansion)</t>
        </is>
      </c>
    </row>
    <row r="1267">
      <c r="A1267" s="23" t="n">
        <v>5</v>
      </c>
      <c r="B1267" s="23" t="n">
        <v>263</v>
      </c>
      <c r="C1267" s="23" t="n">
        <v>4263</v>
      </c>
      <c r="D1267" s="23" t="inlineStr">
        <is>
          <t>0304903020</t>
        </is>
      </c>
      <c r="E1267" s="11" t="inlineStr">
        <is>
          <t>Region III (Central Luzon)</t>
        </is>
      </c>
      <c r="F1267" s="11" t="inlineStr">
        <is>
          <t>Nueva Ecija</t>
        </is>
      </c>
      <c r="G1267" s="11" t="inlineStr">
        <is>
          <t>City of Cabanatuan</t>
        </is>
      </c>
      <c r="H1267" s="11" t="inlineStr">
        <is>
          <t>Cabu</t>
        </is>
      </c>
      <c r="I1267" s="24" t="n">
        <v>15.585783</v>
      </c>
      <c r="J1267" s="24" t="n">
        <v>120.924577</v>
      </c>
      <c r="K1267" s="23" t="inlineStr">
        <is>
          <t>U</t>
        </is>
      </c>
      <c r="L1267" s="25" t="n">
        <v>5648</v>
      </c>
      <c r="M1267" s="26" t="n">
        <v>3.5</v>
      </c>
      <c r="N1267" s="25">
        <f>ROUND(L1267/M1267, 0)</f>
        <v/>
      </c>
      <c r="O1267" s="25">
        <f>ROUND(N1267*'Methodology &amp; Assumptions'!$B$7, 0)</f>
        <v/>
      </c>
      <c r="P1267" s="23" t="inlineStr">
        <is>
          <t>Single Carrier (Band n50, 100MHz TDD)</t>
        </is>
      </c>
      <c r="Q1267" s="27">
        <f>ROUNDUP(O1267/'Methodology &amp; Assumptions'!$B$8, 0)</f>
        <v/>
      </c>
      <c r="R1267" s="27" t="n">
        <v>1</v>
      </c>
      <c r="S1267" s="26" t="n">
        <v>0.71</v>
      </c>
      <c r="T1267" s="26" t="n">
        <v>0.52</v>
      </c>
      <c r="U1267" s="11">
        <f>IF(S1267&lt;='Methodology &amp; Assumptions'!$B$10, "Direct Optical Drop (&lt;3km)", IF(S1267&lt;='Methodology &amp; Assumptions'!$B$9, "Near Optical / Microwave (&lt;5km)", "Starlink Business LEO Satellite Backhaul (&gt;5km)"))</f>
        <v/>
      </c>
      <c r="V1267" s="26" t="n">
        <v>78.43000000000001</v>
      </c>
      <c r="W1267" s="26" t="n">
        <v>38.05</v>
      </c>
      <c r="X1267" s="26">
        <f>ROUND(('Methodology &amp; Assumptions'!$B$5*V1267) + ('Methodology &amp; Assumptions'!$B$6*W1267), 2)</f>
        <v/>
      </c>
      <c r="Y1267" s="28" t="n">
        <v>8.300000000000001</v>
      </c>
      <c r="Z1267" s="11" t="inlineStr">
        <is>
          <t>Priority Tier 3 (Broadband Expansion)</t>
        </is>
      </c>
    </row>
    <row r="1268">
      <c r="A1268" s="23" t="n">
        <v>5</v>
      </c>
      <c r="B1268" s="23" t="n">
        <v>264</v>
      </c>
      <c r="C1268" s="23" t="n">
        <v>4264</v>
      </c>
      <c r="D1268" s="23" t="inlineStr">
        <is>
          <t>0304903022</t>
        </is>
      </c>
      <c r="E1268" s="11" t="inlineStr">
        <is>
          <t>Region III (Central Luzon)</t>
        </is>
      </c>
      <c r="F1268" s="11" t="inlineStr">
        <is>
          <t>Nueva Ecija</t>
        </is>
      </c>
      <c r="G1268" s="11" t="inlineStr">
        <is>
          <t>City of Cabanatuan</t>
        </is>
      </c>
      <c r="H1268" s="11" t="inlineStr">
        <is>
          <t>Campo Tinio</t>
        </is>
      </c>
      <c r="I1268" s="24" t="n">
        <v>15.585783</v>
      </c>
      <c r="J1268" s="24" t="n">
        <v>120.924577</v>
      </c>
      <c r="K1268" s="23" t="inlineStr">
        <is>
          <t>U</t>
        </is>
      </c>
      <c r="L1268" s="25" t="n">
        <v>12989</v>
      </c>
      <c r="M1268" s="26" t="n">
        <v>3.5</v>
      </c>
      <c r="N1268" s="25">
        <f>ROUND(L1268/M1268, 0)</f>
        <v/>
      </c>
      <c r="O1268" s="25">
        <f>ROUND(N1268*'Methodology &amp; Assumptions'!$B$7, 0)</f>
        <v/>
      </c>
      <c r="P1268" s="23" t="inlineStr">
        <is>
          <t>Single Carrier (Band n50, 100MHz TDD)</t>
        </is>
      </c>
      <c r="Q1268" s="27">
        <f>ROUNDUP(O1268/'Methodology &amp; Assumptions'!$B$8, 0)</f>
        <v/>
      </c>
      <c r="R1268" s="27" t="n">
        <v>1</v>
      </c>
      <c r="S1268" s="26" t="n">
        <v>0.71</v>
      </c>
      <c r="T1268" s="26" t="n">
        <v>0.52</v>
      </c>
      <c r="U1268" s="11">
        <f>IF(S1268&lt;='Methodology &amp; Assumptions'!$B$10, "Direct Optical Drop (&lt;3km)", IF(S1268&lt;='Methodology &amp; Assumptions'!$B$9, "Near Optical / Microwave (&lt;5km)", "Starlink Business LEO Satellite Backhaul (&gt;5km)"))</f>
        <v/>
      </c>
      <c r="V1268" s="26" t="n">
        <v>78.43000000000001</v>
      </c>
      <c r="W1268" s="26" t="n">
        <v>38.05</v>
      </c>
      <c r="X1268" s="26">
        <f>ROUND(('Methodology &amp; Assumptions'!$B$5*V1268) + ('Methodology &amp; Assumptions'!$B$6*W1268), 2)</f>
        <v/>
      </c>
      <c r="Y1268" s="28" t="n">
        <v>8.300000000000001</v>
      </c>
      <c r="Z1268" s="11" t="inlineStr">
        <is>
          <t>Priority Tier 3 (Broadband Expansion)</t>
        </is>
      </c>
    </row>
    <row r="1269">
      <c r="A1269" s="23" t="n">
        <v>5</v>
      </c>
      <c r="B1269" s="23" t="n">
        <v>265</v>
      </c>
      <c r="C1269" s="23" t="n">
        <v>4265</v>
      </c>
      <c r="D1269" s="23" t="inlineStr">
        <is>
          <t>0304903023</t>
        </is>
      </c>
      <c r="E1269" s="11" t="inlineStr">
        <is>
          <t>Region III (Central Luzon)</t>
        </is>
      </c>
      <c r="F1269" s="11" t="inlineStr">
        <is>
          <t>Nueva Ecija</t>
        </is>
      </c>
      <c r="G1269" s="11" t="inlineStr">
        <is>
          <t>City of Cabanatuan</t>
        </is>
      </c>
      <c r="H1269" s="11" t="inlineStr">
        <is>
          <t>Kapitan Pepe</t>
        </is>
      </c>
      <c r="I1269" s="24" t="n">
        <v>15.585783</v>
      </c>
      <c r="J1269" s="24" t="n">
        <v>120.924577</v>
      </c>
      <c r="K1269" s="23" t="inlineStr">
        <is>
          <t>U</t>
        </is>
      </c>
      <c r="L1269" s="25" t="n">
        <v>5226</v>
      </c>
      <c r="M1269" s="26" t="n">
        <v>3.5</v>
      </c>
      <c r="N1269" s="25">
        <f>ROUND(L1269/M1269, 0)</f>
        <v/>
      </c>
      <c r="O1269" s="25">
        <f>ROUND(N1269*'Methodology &amp; Assumptions'!$B$7, 0)</f>
        <v/>
      </c>
      <c r="P1269" s="23" t="inlineStr">
        <is>
          <t>Single Carrier (Band n50, 100MHz TDD)</t>
        </is>
      </c>
      <c r="Q1269" s="27">
        <f>ROUNDUP(O1269/'Methodology &amp; Assumptions'!$B$8, 0)</f>
        <v/>
      </c>
      <c r="R1269" s="27" t="n">
        <v>1</v>
      </c>
      <c r="S1269" s="26" t="n">
        <v>0.71</v>
      </c>
      <c r="T1269" s="26" t="n">
        <v>0.52</v>
      </c>
      <c r="U1269" s="11">
        <f>IF(S1269&lt;='Methodology &amp; Assumptions'!$B$10, "Direct Optical Drop (&lt;3km)", IF(S1269&lt;='Methodology &amp; Assumptions'!$B$9, "Near Optical / Microwave (&lt;5km)", "Starlink Business LEO Satellite Backhaul (&gt;5km)"))</f>
        <v/>
      </c>
      <c r="V1269" s="26" t="n">
        <v>78.43000000000001</v>
      </c>
      <c r="W1269" s="26" t="n">
        <v>38.05</v>
      </c>
      <c r="X1269" s="26">
        <f>ROUND(('Methodology &amp; Assumptions'!$B$5*V1269) + ('Methodology &amp; Assumptions'!$B$6*W1269), 2)</f>
        <v/>
      </c>
      <c r="Y1269" s="28" t="n">
        <v>8.300000000000001</v>
      </c>
      <c r="Z1269" s="11" t="inlineStr">
        <is>
          <t>Priority Tier 3 (Broadband Expansion)</t>
        </is>
      </c>
    </row>
    <row r="1270">
      <c r="A1270" s="23" t="n">
        <v>5</v>
      </c>
      <c r="B1270" s="23" t="n">
        <v>266</v>
      </c>
      <c r="C1270" s="23" t="n">
        <v>4266</v>
      </c>
      <c r="D1270" s="23" t="inlineStr">
        <is>
          <t>0304903028</t>
        </is>
      </c>
      <c r="E1270" s="11" t="inlineStr">
        <is>
          <t>Region III (Central Luzon)</t>
        </is>
      </c>
      <c r="F1270" s="11" t="inlineStr">
        <is>
          <t>Nueva Ecija</t>
        </is>
      </c>
      <c r="G1270" s="11" t="inlineStr">
        <is>
          <t>City of Cabanatuan</t>
        </is>
      </c>
      <c r="H1270" s="11" t="inlineStr">
        <is>
          <t>Cruz Roja</t>
        </is>
      </c>
      <c r="I1270" s="24" t="n">
        <v>15.585783</v>
      </c>
      <c r="J1270" s="24" t="n">
        <v>120.924577</v>
      </c>
      <c r="K1270" s="23" t="inlineStr">
        <is>
          <t>U</t>
        </is>
      </c>
      <c r="L1270" s="25" t="n">
        <v>5836</v>
      </c>
      <c r="M1270" s="26" t="n">
        <v>3.5</v>
      </c>
      <c r="N1270" s="25">
        <f>ROUND(L1270/M1270, 0)</f>
        <v/>
      </c>
      <c r="O1270" s="25">
        <f>ROUND(N1270*'Methodology &amp; Assumptions'!$B$7, 0)</f>
        <v/>
      </c>
      <c r="P1270" s="23" t="inlineStr">
        <is>
          <t>Single Carrier (Band n50, 100MHz TDD)</t>
        </is>
      </c>
      <c r="Q1270" s="27">
        <f>ROUNDUP(O1270/'Methodology &amp; Assumptions'!$B$8, 0)</f>
        <v/>
      </c>
      <c r="R1270" s="27" t="n">
        <v>1</v>
      </c>
      <c r="S1270" s="26" t="n">
        <v>0.71</v>
      </c>
      <c r="T1270" s="26" t="n">
        <v>0.52</v>
      </c>
      <c r="U1270" s="11">
        <f>IF(S1270&lt;='Methodology &amp; Assumptions'!$B$10, "Direct Optical Drop (&lt;3km)", IF(S1270&lt;='Methodology &amp; Assumptions'!$B$9, "Near Optical / Microwave (&lt;5km)", "Starlink Business LEO Satellite Backhaul (&gt;5km)"))</f>
        <v/>
      </c>
      <c r="V1270" s="26" t="n">
        <v>78.43000000000001</v>
      </c>
      <c r="W1270" s="26" t="n">
        <v>38.05</v>
      </c>
      <c r="X1270" s="26">
        <f>ROUND(('Methodology &amp; Assumptions'!$B$5*V1270) + ('Methodology &amp; Assumptions'!$B$6*W1270), 2)</f>
        <v/>
      </c>
      <c r="Y1270" s="28" t="n">
        <v>8.300000000000001</v>
      </c>
      <c r="Z1270" s="11" t="inlineStr">
        <is>
          <t>Priority Tier 3 (Broadband Expansion)</t>
        </is>
      </c>
    </row>
    <row r="1271">
      <c r="A1271" s="23" t="n">
        <v>5</v>
      </c>
      <c r="B1271" s="23" t="n">
        <v>267</v>
      </c>
      <c r="C1271" s="23" t="n">
        <v>4267</v>
      </c>
      <c r="D1271" s="23" t="inlineStr">
        <is>
          <t>0304903029</t>
        </is>
      </c>
      <c r="E1271" s="11" t="inlineStr">
        <is>
          <t>Region III (Central Luzon)</t>
        </is>
      </c>
      <c r="F1271" s="11" t="inlineStr">
        <is>
          <t>Nueva Ecija</t>
        </is>
      </c>
      <c r="G1271" s="11" t="inlineStr">
        <is>
          <t>City of Cabanatuan</t>
        </is>
      </c>
      <c r="H1271" s="11" t="inlineStr">
        <is>
          <t>Daang Sarile</t>
        </is>
      </c>
      <c r="I1271" s="24" t="n">
        <v>15.585783</v>
      </c>
      <c r="J1271" s="24" t="n">
        <v>120.924577</v>
      </c>
      <c r="K1271" s="23" t="inlineStr">
        <is>
          <t>U</t>
        </is>
      </c>
      <c r="L1271" s="25" t="n">
        <v>8752</v>
      </c>
      <c r="M1271" s="26" t="n">
        <v>3.5</v>
      </c>
      <c r="N1271" s="25">
        <f>ROUND(L1271/M1271, 0)</f>
        <v/>
      </c>
      <c r="O1271" s="25">
        <f>ROUND(N1271*'Methodology &amp; Assumptions'!$B$7, 0)</f>
        <v/>
      </c>
      <c r="P1271" s="23" t="inlineStr">
        <is>
          <t>Single Carrier (Band n50, 100MHz TDD)</t>
        </is>
      </c>
      <c r="Q1271" s="27">
        <f>ROUNDUP(O1271/'Methodology &amp; Assumptions'!$B$8, 0)</f>
        <v/>
      </c>
      <c r="R1271" s="27" t="n">
        <v>1</v>
      </c>
      <c r="S1271" s="26" t="n">
        <v>0.71</v>
      </c>
      <c r="T1271" s="26" t="n">
        <v>0.52</v>
      </c>
      <c r="U1271" s="11">
        <f>IF(S1271&lt;='Methodology &amp; Assumptions'!$B$10, "Direct Optical Drop (&lt;3km)", IF(S1271&lt;='Methodology &amp; Assumptions'!$B$9, "Near Optical / Microwave (&lt;5km)", "Starlink Business LEO Satellite Backhaul (&gt;5km)"))</f>
        <v/>
      </c>
      <c r="V1271" s="26" t="n">
        <v>78.43000000000001</v>
      </c>
      <c r="W1271" s="26" t="n">
        <v>38.05</v>
      </c>
      <c r="X1271" s="26">
        <f>ROUND(('Methodology &amp; Assumptions'!$B$5*V1271) + ('Methodology &amp; Assumptions'!$B$6*W1271), 2)</f>
        <v/>
      </c>
      <c r="Y1271" s="28" t="n">
        <v>8.300000000000001</v>
      </c>
      <c r="Z1271" s="11" t="inlineStr">
        <is>
          <t>Priority Tier 3 (Broadband Expansion)</t>
        </is>
      </c>
    </row>
    <row r="1272">
      <c r="A1272" s="23" t="n">
        <v>5</v>
      </c>
      <c r="B1272" s="23" t="n">
        <v>268</v>
      </c>
      <c r="C1272" s="23" t="n">
        <v>4268</v>
      </c>
      <c r="D1272" s="23" t="inlineStr">
        <is>
          <t>0304903031</t>
        </is>
      </c>
      <c r="E1272" s="11" t="inlineStr">
        <is>
          <t>Region III (Central Luzon)</t>
        </is>
      </c>
      <c r="F1272" s="11" t="inlineStr">
        <is>
          <t>Nueva Ecija</t>
        </is>
      </c>
      <c r="G1272" s="11" t="inlineStr">
        <is>
          <t>City of Cabanatuan</t>
        </is>
      </c>
      <c r="H1272" s="11" t="inlineStr">
        <is>
          <t>Dicarma</t>
        </is>
      </c>
      <c r="I1272" s="24" t="n">
        <v>15.585783</v>
      </c>
      <c r="J1272" s="24" t="n">
        <v>120.924577</v>
      </c>
      <c r="K1272" s="23" t="inlineStr">
        <is>
          <t>U</t>
        </is>
      </c>
      <c r="L1272" s="25" t="n">
        <v>4735</v>
      </c>
      <c r="M1272" s="26" t="n">
        <v>3.5</v>
      </c>
      <c r="N1272" s="25">
        <f>ROUND(L1272/M1272, 0)</f>
        <v/>
      </c>
      <c r="O1272" s="25">
        <f>ROUND(N1272*'Methodology &amp; Assumptions'!$B$7, 0)</f>
        <v/>
      </c>
      <c r="P1272" s="23" t="inlineStr">
        <is>
          <t>Single Carrier (Band n50, 100MHz TDD)</t>
        </is>
      </c>
      <c r="Q1272" s="27">
        <f>ROUNDUP(O1272/'Methodology &amp; Assumptions'!$B$8, 0)</f>
        <v/>
      </c>
      <c r="R1272" s="27" t="n">
        <v>1</v>
      </c>
      <c r="S1272" s="26" t="n">
        <v>0.71</v>
      </c>
      <c r="T1272" s="26" t="n">
        <v>0.52</v>
      </c>
      <c r="U1272" s="11">
        <f>IF(S1272&lt;='Methodology &amp; Assumptions'!$B$10, "Direct Optical Drop (&lt;3km)", IF(S1272&lt;='Methodology &amp; Assumptions'!$B$9, "Near Optical / Microwave (&lt;5km)", "Starlink Business LEO Satellite Backhaul (&gt;5km)"))</f>
        <v/>
      </c>
      <c r="V1272" s="26" t="n">
        <v>78.43000000000001</v>
      </c>
      <c r="W1272" s="26" t="n">
        <v>38.05</v>
      </c>
      <c r="X1272" s="26">
        <f>ROUND(('Methodology &amp; Assumptions'!$B$5*V1272) + ('Methodology &amp; Assumptions'!$B$6*W1272), 2)</f>
        <v/>
      </c>
      <c r="Y1272" s="28" t="n">
        <v>8.300000000000001</v>
      </c>
      <c r="Z1272" s="11" t="inlineStr">
        <is>
          <t>Priority Tier 3 (Broadband Expansion)</t>
        </is>
      </c>
    </row>
    <row r="1273">
      <c r="A1273" s="23" t="n">
        <v>5</v>
      </c>
      <c r="B1273" s="23" t="n">
        <v>269</v>
      </c>
      <c r="C1273" s="23" t="n">
        <v>4269</v>
      </c>
      <c r="D1273" s="23" t="inlineStr">
        <is>
          <t>0304903033</t>
        </is>
      </c>
      <c r="E1273" s="11" t="inlineStr">
        <is>
          <t>Region III (Central Luzon)</t>
        </is>
      </c>
      <c r="F1273" s="11" t="inlineStr">
        <is>
          <t>Nueva Ecija</t>
        </is>
      </c>
      <c r="G1273" s="11" t="inlineStr">
        <is>
          <t>City of Cabanatuan</t>
        </is>
      </c>
      <c r="H1273" s="11" t="inlineStr">
        <is>
          <t>Dionisio S. Garcia</t>
        </is>
      </c>
      <c r="I1273" s="24" t="n">
        <v>15.585783</v>
      </c>
      <c r="J1273" s="24" t="n">
        <v>120.924577</v>
      </c>
      <c r="K1273" s="23" t="inlineStr">
        <is>
          <t>U</t>
        </is>
      </c>
      <c r="L1273" s="25" t="n">
        <v>8071</v>
      </c>
      <c r="M1273" s="26" t="n">
        <v>3.5</v>
      </c>
      <c r="N1273" s="25">
        <f>ROUND(L1273/M1273, 0)</f>
        <v/>
      </c>
      <c r="O1273" s="25">
        <f>ROUND(N1273*'Methodology &amp; Assumptions'!$B$7, 0)</f>
        <v/>
      </c>
      <c r="P1273" s="23" t="inlineStr">
        <is>
          <t>Single Carrier (Band n50, 100MHz TDD)</t>
        </is>
      </c>
      <c r="Q1273" s="27">
        <f>ROUNDUP(O1273/'Methodology &amp; Assumptions'!$B$8, 0)</f>
        <v/>
      </c>
      <c r="R1273" s="27" t="n">
        <v>1</v>
      </c>
      <c r="S1273" s="26" t="n">
        <v>0.71</v>
      </c>
      <c r="T1273" s="26" t="n">
        <v>0.52</v>
      </c>
      <c r="U1273" s="11">
        <f>IF(S1273&lt;='Methodology &amp; Assumptions'!$B$10, "Direct Optical Drop (&lt;3km)", IF(S1273&lt;='Methodology &amp; Assumptions'!$B$9, "Near Optical / Microwave (&lt;5km)", "Starlink Business LEO Satellite Backhaul (&gt;5km)"))</f>
        <v/>
      </c>
      <c r="V1273" s="26" t="n">
        <v>78.43000000000001</v>
      </c>
      <c r="W1273" s="26" t="n">
        <v>38.05</v>
      </c>
      <c r="X1273" s="26">
        <f>ROUND(('Methodology &amp; Assumptions'!$B$5*V1273) + ('Methodology &amp; Assumptions'!$B$6*W1273), 2)</f>
        <v/>
      </c>
      <c r="Y1273" s="28" t="n">
        <v>8.300000000000001</v>
      </c>
      <c r="Z1273" s="11" t="inlineStr">
        <is>
          <t>Priority Tier 3 (Broadband Expansion)</t>
        </is>
      </c>
    </row>
    <row r="1274">
      <c r="A1274" s="23" t="n">
        <v>5</v>
      </c>
      <c r="B1274" s="23" t="n">
        <v>270</v>
      </c>
      <c r="C1274" s="23" t="n">
        <v>4270</v>
      </c>
      <c r="D1274" s="23" t="inlineStr">
        <is>
          <t>0304903038</t>
        </is>
      </c>
      <c r="E1274" s="11" t="inlineStr">
        <is>
          <t>Region III (Central Luzon)</t>
        </is>
      </c>
      <c r="F1274" s="11" t="inlineStr">
        <is>
          <t>Nueva Ecija</t>
        </is>
      </c>
      <c r="G1274" s="11" t="inlineStr">
        <is>
          <t>City of Cabanatuan</t>
        </is>
      </c>
      <c r="H1274" s="11" t="inlineStr">
        <is>
          <t>Imelda District</t>
        </is>
      </c>
      <c r="I1274" s="24" t="n">
        <v>15.585783</v>
      </c>
      <c r="J1274" s="24" t="n">
        <v>120.924577</v>
      </c>
      <c r="K1274" s="23" t="inlineStr">
        <is>
          <t>U</t>
        </is>
      </c>
      <c r="L1274" s="25" t="n">
        <v>3966</v>
      </c>
      <c r="M1274" s="26" t="n">
        <v>3.5</v>
      </c>
      <c r="N1274" s="25">
        <f>ROUND(L1274/M1274, 0)</f>
        <v/>
      </c>
      <c r="O1274" s="25">
        <f>ROUND(N1274*'Methodology &amp; Assumptions'!$B$7, 0)</f>
        <v/>
      </c>
      <c r="P1274" s="23" t="inlineStr">
        <is>
          <t>Single Carrier (Band n50, 100MHz TDD)</t>
        </is>
      </c>
      <c r="Q1274" s="27">
        <f>ROUNDUP(O1274/'Methodology &amp; Assumptions'!$B$8, 0)</f>
        <v/>
      </c>
      <c r="R1274" s="27" t="n">
        <v>1</v>
      </c>
      <c r="S1274" s="26" t="n">
        <v>0.71</v>
      </c>
      <c r="T1274" s="26" t="n">
        <v>0.52</v>
      </c>
      <c r="U1274" s="11">
        <f>IF(S1274&lt;='Methodology &amp; Assumptions'!$B$10, "Direct Optical Drop (&lt;3km)", IF(S1274&lt;='Methodology &amp; Assumptions'!$B$9, "Near Optical / Microwave (&lt;5km)", "Starlink Business LEO Satellite Backhaul (&gt;5km)"))</f>
        <v/>
      </c>
      <c r="V1274" s="26" t="n">
        <v>78.43000000000001</v>
      </c>
      <c r="W1274" s="26" t="n">
        <v>38.05</v>
      </c>
      <c r="X1274" s="26">
        <f>ROUND(('Methodology &amp; Assumptions'!$B$5*V1274) + ('Methodology &amp; Assumptions'!$B$6*W1274), 2)</f>
        <v/>
      </c>
      <c r="Y1274" s="28" t="n">
        <v>8.300000000000001</v>
      </c>
      <c r="Z1274" s="11" t="inlineStr">
        <is>
          <t>Priority Tier 3 (Broadband Expansion)</t>
        </is>
      </c>
    </row>
    <row r="1275">
      <c r="A1275" s="23" t="n">
        <v>5</v>
      </c>
      <c r="B1275" s="23" t="n">
        <v>271</v>
      </c>
      <c r="C1275" s="23" t="n">
        <v>4271</v>
      </c>
      <c r="D1275" s="23" t="inlineStr">
        <is>
          <t>0304903042</t>
        </is>
      </c>
      <c r="E1275" s="11" t="inlineStr">
        <is>
          <t>Region III (Central Luzon)</t>
        </is>
      </c>
      <c r="F1275" s="11" t="inlineStr">
        <is>
          <t>Nueva Ecija</t>
        </is>
      </c>
      <c r="G1275" s="11" t="inlineStr">
        <is>
          <t>City of Cabanatuan</t>
        </is>
      </c>
      <c r="H1275" s="11" t="inlineStr">
        <is>
          <t>Kalikid Sur</t>
        </is>
      </c>
      <c r="I1275" s="24" t="n">
        <v>15.585783</v>
      </c>
      <c r="J1275" s="24" t="n">
        <v>120.924577</v>
      </c>
      <c r="K1275" s="23" t="inlineStr">
        <is>
          <t>U</t>
        </is>
      </c>
      <c r="L1275" s="25" t="n">
        <v>6769</v>
      </c>
      <c r="M1275" s="26" t="n">
        <v>3.5</v>
      </c>
      <c r="N1275" s="25">
        <f>ROUND(L1275/M1275, 0)</f>
        <v/>
      </c>
      <c r="O1275" s="25">
        <f>ROUND(N1275*'Methodology &amp; Assumptions'!$B$7, 0)</f>
        <v/>
      </c>
      <c r="P1275" s="23" t="inlineStr">
        <is>
          <t>Single Carrier (Band n50, 100MHz TDD)</t>
        </is>
      </c>
      <c r="Q1275" s="27">
        <f>ROUNDUP(O1275/'Methodology &amp; Assumptions'!$B$8, 0)</f>
        <v/>
      </c>
      <c r="R1275" s="27" t="n">
        <v>1</v>
      </c>
      <c r="S1275" s="26" t="n">
        <v>0.71</v>
      </c>
      <c r="T1275" s="26" t="n">
        <v>0.52</v>
      </c>
      <c r="U1275" s="11">
        <f>IF(S1275&lt;='Methodology &amp; Assumptions'!$B$10, "Direct Optical Drop (&lt;3km)", IF(S1275&lt;='Methodology &amp; Assumptions'!$B$9, "Near Optical / Microwave (&lt;5km)", "Starlink Business LEO Satellite Backhaul (&gt;5km)"))</f>
        <v/>
      </c>
      <c r="V1275" s="26" t="n">
        <v>78.43000000000001</v>
      </c>
      <c r="W1275" s="26" t="n">
        <v>38.05</v>
      </c>
      <c r="X1275" s="26">
        <f>ROUND(('Methodology &amp; Assumptions'!$B$5*V1275) + ('Methodology &amp; Assumptions'!$B$6*W1275), 2)</f>
        <v/>
      </c>
      <c r="Y1275" s="28" t="n">
        <v>8.300000000000001</v>
      </c>
      <c r="Z1275" s="11" t="inlineStr">
        <is>
          <t>Priority Tier 3 (Broadband Expansion)</t>
        </is>
      </c>
    </row>
    <row r="1276">
      <c r="A1276" s="23" t="n">
        <v>5</v>
      </c>
      <c r="B1276" s="23" t="n">
        <v>272</v>
      </c>
      <c r="C1276" s="23" t="n">
        <v>4272</v>
      </c>
      <c r="D1276" s="23" t="inlineStr">
        <is>
          <t>0304903044</t>
        </is>
      </c>
      <c r="E1276" s="11" t="inlineStr">
        <is>
          <t>Region III (Central Luzon)</t>
        </is>
      </c>
      <c r="F1276" s="11" t="inlineStr">
        <is>
          <t>Nueva Ecija</t>
        </is>
      </c>
      <c r="G1276" s="11" t="inlineStr">
        <is>
          <t>City of Cabanatuan</t>
        </is>
      </c>
      <c r="H1276" s="11" t="inlineStr">
        <is>
          <t>M. S. Garcia</t>
        </is>
      </c>
      <c r="I1276" s="24" t="n">
        <v>15.585783</v>
      </c>
      <c r="J1276" s="24" t="n">
        <v>120.924577</v>
      </c>
      <c r="K1276" s="23" t="inlineStr">
        <is>
          <t>U</t>
        </is>
      </c>
      <c r="L1276" s="25" t="n">
        <v>6701</v>
      </c>
      <c r="M1276" s="26" t="n">
        <v>3.5</v>
      </c>
      <c r="N1276" s="25">
        <f>ROUND(L1276/M1276, 0)</f>
        <v/>
      </c>
      <c r="O1276" s="25">
        <f>ROUND(N1276*'Methodology &amp; Assumptions'!$B$7, 0)</f>
        <v/>
      </c>
      <c r="P1276" s="23" t="inlineStr">
        <is>
          <t>Single Carrier (Band n50, 100MHz TDD)</t>
        </is>
      </c>
      <c r="Q1276" s="27">
        <f>ROUNDUP(O1276/'Methodology &amp; Assumptions'!$B$8, 0)</f>
        <v/>
      </c>
      <c r="R1276" s="27" t="n">
        <v>1</v>
      </c>
      <c r="S1276" s="26" t="n">
        <v>0.71</v>
      </c>
      <c r="T1276" s="26" t="n">
        <v>0.52</v>
      </c>
      <c r="U1276" s="11">
        <f>IF(S1276&lt;='Methodology &amp; Assumptions'!$B$10, "Direct Optical Drop (&lt;3km)", IF(S1276&lt;='Methodology &amp; Assumptions'!$B$9, "Near Optical / Microwave (&lt;5km)", "Starlink Business LEO Satellite Backhaul (&gt;5km)"))</f>
        <v/>
      </c>
      <c r="V1276" s="26" t="n">
        <v>78.43000000000001</v>
      </c>
      <c r="W1276" s="26" t="n">
        <v>38.05</v>
      </c>
      <c r="X1276" s="26">
        <f>ROUND(('Methodology &amp; Assumptions'!$B$5*V1276) + ('Methodology &amp; Assumptions'!$B$6*W1276), 2)</f>
        <v/>
      </c>
      <c r="Y1276" s="28" t="n">
        <v>8.300000000000001</v>
      </c>
      <c r="Z1276" s="11" t="inlineStr">
        <is>
          <t>Priority Tier 3 (Broadband Expansion)</t>
        </is>
      </c>
    </row>
    <row r="1277">
      <c r="A1277" s="23" t="n">
        <v>5</v>
      </c>
      <c r="B1277" s="23" t="n">
        <v>273</v>
      </c>
      <c r="C1277" s="23" t="n">
        <v>4273</v>
      </c>
      <c r="D1277" s="23" t="inlineStr">
        <is>
          <t>0304903046</t>
        </is>
      </c>
      <c r="E1277" s="11" t="inlineStr">
        <is>
          <t>Region III (Central Luzon)</t>
        </is>
      </c>
      <c r="F1277" s="11" t="inlineStr">
        <is>
          <t>Nueva Ecija</t>
        </is>
      </c>
      <c r="G1277" s="11" t="inlineStr">
        <is>
          <t>City of Cabanatuan</t>
        </is>
      </c>
      <c r="H1277" s="11" t="inlineStr">
        <is>
          <t>Mabini Extension</t>
        </is>
      </c>
      <c r="I1277" s="24" t="n">
        <v>15.585783</v>
      </c>
      <c r="J1277" s="24" t="n">
        <v>120.924577</v>
      </c>
      <c r="K1277" s="23" t="inlineStr">
        <is>
          <t>U</t>
        </is>
      </c>
      <c r="L1277" s="25" t="n">
        <v>3497</v>
      </c>
      <c r="M1277" s="26" t="n">
        <v>3.5</v>
      </c>
      <c r="N1277" s="25">
        <f>ROUND(L1277/M1277, 0)</f>
        <v/>
      </c>
      <c r="O1277" s="25">
        <f>ROUND(N1277*'Methodology &amp; Assumptions'!$B$7, 0)</f>
        <v/>
      </c>
      <c r="P1277" s="23" t="inlineStr">
        <is>
          <t>Single Carrier (Band n50, 100MHz TDD)</t>
        </is>
      </c>
      <c r="Q1277" s="27">
        <f>ROUNDUP(O1277/'Methodology &amp; Assumptions'!$B$8, 0)</f>
        <v/>
      </c>
      <c r="R1277" s="27" t="n">
        <v>1</v>
      </c>
      <c r="S1277" s="26" t="n">
        <v>0.71</v>
      </c>
      <c r="T1277" s="26" t="n">
        <v>0.52</v>
      </c>
      <c r="U1277" s="11">
        <f>IF(S1277&lt;='Methodology &amp; Assumptions'!$B$10, "Direct Optical Drop (&lt;3km)", IF(S1277&lt;='Methodology &amp; Assumptions'!$B$9, "Near Optical / Microwave (&lt;5km)", "Starlink Business LEO Satellite Backhaul (&gt;5km)"))</f>
        <v/>
      </c>
      <c r="V1277" s="26" t="n">
        <v>78.43000000000001</v>
      </c>
      <c r="W1277" s="26" t="n">
        <v>38.05</v>
      </c>
      <c r="X1277" s="26">
        <f>ROUND(('Methodology &amp; Assumptions'!$B$5*V1277) + ('Methodology &amp; Assumptions'!$B$6*W1277), 2)</f>
        <v/>
      </c>
      <c r="Y1277" s="28" t="n">
        <v>8.300000000000001</v>
      </c>
      <c r="Z1277" s="11" t="inlineStr">
        <is>
          <t>Priority Tier 3 (Broadband Expansion)</t>
        </is>
      </c>
    </row>
    <row r="1278">
      <c r="A1278" s="23" t="n">
        <v>5</v>
      </c>
      <c r="B1278" s="23" t="n">
        <v>274</v>
      </c>
      <c r="C1278" s="23" t="n">
        <v>4274</v>
      </c>
      <c r="D1278" s="23" t="inlineStr">
        <is>
          <t>0304903047</t>
        </is>
      </c>
      <c r="E1278" s="11" t="inlineStr">
        <is>
          <t>Region III (Central Luzon)</t>
        </is>
      </c>
      <c r="F1278" s="11" t="inlineStr">
        <is>
          <t>Nueva Ecija</t>
        </is>
      </c>
      <c r="G1278" s="11" t="inlineStr">
        <is>
          <t>City of Cabanatuan</t>
        </is>
      </c>
      <c r="H1278" s="11" t="inlineStr">
        <is>
          <t>Mabini Homesite</t>
        </is>
      </c>
      <c r="I1278" s="24" t="n">
        <v>15.585783</v>
      </c>
      <c r="J1278" s="24" t="n">
        <v>120.924577</v>
      </c>
      <c r="K1278" s="23" t="inlineStr">
        <is>
          <t>U</t>
        </is>
      </c>
      <c r="L1278" s="25" t="n">
        <v>5996</v>
      </c>
      <c r="M1278" s="26" t="n">
        <v>3.5</v>
      </c>
      <c r="N1278" s="25">
        <f>ROUND(L1278/M1278, 0)</f>
        <v/>
      </c>
      <c r="O1278" s="25">
        <f>ROUND(N1278*'Methodology &amp; Assumptions'!$B$7, 0)</f>
        <v/>
      </c>
      <c r="P1278" s="23" t="inlineStr">
        <is>
          <t>Single Carrier (Band n50, 100MHz TDD)</t>
        </is>
      </c>
      <c r="Q1278" s="27">
        <f>ROUNDUP(O1278/'Methodology &amp; Assumptions'!$B$8, 0)</f>
        <v/>
      </c>
      <c r="R1278" s="27" t="n">
        <v>1</v>
      </c>
      <c r="S1278" s="26" t="n">
        <v>0.71</v>
      </c>
      <c r="T1278" s="26" t="n">
        <v>0.52</v>
      </c>
      <c r="U1278" s="11">
        <f>IF(S1278&lt;='Methodology &amp; Assumptions'!$B$10, "Direct Optical Drop (&lt;3km)", IF(S1278&lt;='Methodology &amp; Assumptions'!$B$9, "Near Optical / Microwave (&lt;5km)", "Starlink Business LEO Satellite Backhaul (&gt;5km)"))</f>
        <v/>
      </c>
      <c r="V1278" s="26" t="n">
        <v>78.43000000000001</v>
      </c>
      <c r="W1278" s="26" t="n">
        <v>38.05</v>
      </c>
      <c r="X1278" s="26">
        <f>ROUND(('Methodology &amp; Assumptions'!$B$5*V1278) + ('Methodology &amp; Assumptions'!$B$6*W1278), 2)</f>
        <v/>
      </c>
      <c r="Y1278" s="28" t="n">
        <v>8.300000000000001</v>
      </c>
      <c r="Z1278" s="11" t="inlineStr">
        <is>
          <t>Priority Tier 3 (Broadband Expansion)</t>
        </is>
      </c>
    </row>
    <row r="1279">
      <c r="A1279" s="23" t="n">
        <v>5</v>
      </c>
      <c r="B1279" s="23" t="n">
        <v>275</v>
      </c>
      <c r="C1279" s="23" t="n">
        <v>4275</v>
      </c>
      <c r="D1279" s="23" t="inlineStr">
        <is>
          <t>0304903049</t>
        </is>
      </c>
      <c r="E1279" s="11" t="inlineStr">
        <is>
          <t>Region III (Central Luzon)</t>
        </is>
      </c>
      <c r="F1279" s="11" t="inlineStr">
        <is>
          <t>Nueva Ecija</t>
        </is>
      </c>
      <c r="G1279" s="11" t="inlineStr">
        <is>
          <t>City of Cabanatuan</t>
        </is>
      </c>
      <c r="H1279" s="11" t="inlineStr">
        <is>
          <t>Magsaysay District</t>
        </is>
      </c>
      <c r="I1279" s="24" t="n">
        <v>15.585783</v>
      </c>
      <c r="J1279" s="24" t="n">
        <v>120.924577</v>
      </c>
      <c r="K1279" s="23" t="inlineStr">
        <is>
          <t>U</t>
        </is>
      </c>
      <c r="L1279" s="25" t="n">
        <v>4624</v>
      </c>
      <c r="M1279" s="26" t="n">
        <v>3.5</v>
      </c>
      <c r="N1279" s="25">
        <f>ROUND(L1279/M1279, 0)</f>
        <v/>
      </c>
      <c r="O1279" s="25">
        <f>ROUND(N1279*'Methodology &amp; Assumptions'!$B$7, 0)</f>
        <v/>
      </c>
      <c r="P1279" s="23" t="inlineStr">
        <is>
          <t>Single Carrier (Band n50, 100MHz TDD)</t>
        </is>
      </c>
      <c r="Q1279" s="27">
        <f>ROUNDUP(O1279/'Methodology &amp; Assumptions'!$B$8, 0)</f>
        <v/>
      </c>
      <c r="R1279" s="27" t="n">
        <v>1</v>
      </c>
      <c r="S1279" s="26" t="n">
        <v>0.71</v>
      </c>
      <c r="T1279" s="26" t="n">
        <v>0.52</v>
      </c>
      <c r="U1279" s="11">
        <f>IF(S1279&lt;='Methodology &amp; Assumptions'!$B$10, "Direct Optical Drop (&lt;3km)", IF(S1279&lt;='Methodology &amp; Assumptions'!$B$9, "Near Optical / Microwave (&lt;5km)", "Starlink Business LEO Satellite Backhaul (&gt;5km)"))</f>
        <v/>
      </c>
      <c r="V1279" s="26" t="n">
        <v>78.43000000000001</v>
      </c>
      <c r="W1279" s="26" t="n">
        <v>38.05</v>
      </c>
      <c r="X1279" s="26">
        <f>ROUND(('Methodology &amp; Assumptions'!$B$5*V1279) + ('Methodology &amp; Assumptions'!$B$6*W1279), 2)</f>
        <v/>
      </c>
      <c r="Y1279" s="28" t="n">
        <v>8.300000000000001</v>
      </c>
      <c r="Z1279" s="11" t="inlineStr">
        <is>
          <t>Priority Tier 3 (Broadband Expansion)</t>
        </is>
      </c>
    </row>
    <row r="1280">
      <c r="A1280" s="23" t="n">
        <v>5</v>
      </c>
      <c r="B1280" s="23" t="n">
        <v>276</v>
      </c>
      <c r="C1280" s="23" t="n">
        <v>4276</v>
      </c>
      <c r="D1280" s="23" t="inlineStr">
        <is>
          <t>0304903053</t>
        </is>
      </c>
      <c r="E1280" s="11" t="inlineStr">
        <is>
          <t>Region III (Central Luzon)</t>
        </is>
      </c>
      <c r="F1280" s="11" t="inlineStr">
        <is>
          <t>Nueva Ecija</t>
        </is>
      </c>
      <c r="G1280" s="11" t="inlineStr">
        <is>
          <t>City of Cabanatuan</t>
        </is>
      </c>
      <c r="H1280" s="11" t="inlineStr">
        <is>
          <t>Mayapyap Sur</t>
        </is>
      </c>
      <c r="I1280" s="24" t="n">
        <v>15.585783</v>
      </c>
      <c r="J1280" s="24" t="n">
        <v>120.924577</v>
      </c>
      <c r="K1280" s="23" t="inlineStr">
        <is>
          <t>U</t>
        </is>
      </c>
      <c r="L1280" s="25" t="n">
        <v>6435</v>
      </c>
      <c r="M1280" s="26" t="n">
        <v>3.5</v>
      </c>
      <c r="N1280" s="25">
        <f>ROUND(L1280/M1280, 0)</f>
        <v/>
      </c>
      <c r="O1280" s="25">
        <f>ROUND(N1280*'Methodology &amp; Assumptions'!$B$7, 0)</f>
        <v/>
      </c>
      <c r="P1280" s="23" t="inlineStr">
        <is>
          <t>Single Carrier (Band n50, 100MHz TDD)</t>
        </is>
      </c>
      <c r="Q1280" s="27">
        <f>ROUNDUP(O1280/'Methodology &amp; Assumptions'!$B$8, 0)</f>
        <v/>
      </c>
      <c r="R1280" s="27" t="n">
        <v>1</v>
      </c>
      <c r="S1280" s="26" t="n">
        <v>0.71</v>
      </c>
      <c r="T1280" s="26" t="n">
        <v>0.52</v>
      </c>
      <c r="U1280" s="11">
        <f>IF(S1280&lt;='Methodology &amp; Assumptions'!$B$10, "Direct Optical Drop (&lt;3km)", IF(S1280&lt;='Methodology &amp; Assumptions'!$B$9, "Near Optical / Microwave (&lt;5km)", "Starlink Business LEO Satellite Backhaul (&gt;5km)"))</f>
        <v/>
      </c>
      <c r="V1280" s="26" t="n">
        <v>78.43000000000001</v>
      </c>
      <c r="W1280" s="26" t="n">
        <v>38.05</v>
      </c>
      <c r="X1280" s="26">
        <f>ROUND(('Methodology &amp; Assumptions'!$B$5*V1280) + ('Methodology &amp; Assumptions'!$B$6*W1280), 2)</f>
        <v/>
      </c>
      <c r="Y1280" s="28" t="n">
        <v>8.300000000000001</v>
      </c>
      <c r="Z1280" s="11" t="inlineStr">
        <is>
          <t>Priority Tier 3 (Broadband Expansion)</t>
        </is>
      </c>
    </row>
    <row r="1281">
      <c r="A1281" s="23" t="n">
        <v>5</v>
      </c>
      <c r="B1281" s="23" t="n">
        <v>277</v>
      </c>
      <c r="C1281" s="23" t="n">
        <v>4277</v>
      </c>
      <c r="D1281" s="23" t="inlineStr">
        <is>
          <t>0304903068</t>
        </is>
      </c>
      <c r="E1281" s="11" t="inlineStr">
        <is>
          <t>Region III (Central Luzon)</t>
        </is>
      </c>
      <c r="F1281" s="11" t="inlineStr">
        <is>
          <t>Nueva Ecija</t>
        </is>
      </c>
      <c r="G1281" s="11" t="inlineStr">
        <is>
          <t>City of Cabanatuan</t>
        </is>
      </c>
      <c r="H1281" s="11" t="inlineStr">
        <is>
          <t>San Isidro</t>
        </is>
      </c>
      <c r="I1281" s="24" t="n">
        <v>15.585783</v>
      </c>
      <c r="J1281" s="24" t="n">
        <v>120.924577</v>
      </c>
      <c r="K1281" s="23" t="inlineStr">
        <is>
          <t>U</t>
        </is>
      </c>
      <c r="L1281" s="25" t="n">
        <v>6842</v>
      </c>
      <c r="M1281" s="26" t="n">
        <v>3.5</v>
      </c>
      <c r="N1281" s="25">
        <f>ROUND(L1281/M1281, 0)</f>
        <v/>
      </c>
      <c r="O1281" s="25">
        <f>ROUND(N1281*'Methodology &amp; Assumptions'!$B$7, 0)</f>
        <v/>
      </c>
      <c r="P1281" s="23" t="inlineStr">
        <is>
          <t>Single Carrier (Band n50, 100MHz TDD)</t>
        </is>
      </c>
      <c r="Q1281" s="27">
        <f>ROUNDUP(O1281/'Methodology &amp; Assumptions'!$B$8, 0)</f>
        <v/>
      </c>
      <c r="R1281" s="27" t="n">
        <v>1</v>
      </c>
      <c r="S1281" s="26" t="n">
        <v>0.71</v>
      </c>
      <c r="T1281" s="26" t="n">
        <v>0.52</v>
      </c>
      <c r="U1281" s="11">
        <f>IF(S1281&lt;='Methodology &amp; Assumptions'!$B$10, "Direct Optical Drop (&lt;3km)", IF(S1281&lt;='Methodology &amp; Assumptions'!$B$9, "Near Optical / Microwave (&lt;5km)", "Starlink Business LEO Satellite Backhaul (&gt;5km)"))</f>
        <v/>
      </c>
      <c r="V1281" s="26" t="n">
        <v>78.43000000000001</v>
      </c>
      <c r="W1281" s="26" t="n">
        <v>38.05</v>
      </c>
      <c r="X1281" s="26">
        <f>ROUND(('Methodology &amp; Assumptions'!$B$5*V1281) + ('Methodology &amp; Assumptions'!$B$6*W1281), 2)</f>
        <v/>
      </c>
      <c r="Y1281" s="28" t="n">
        <v>8.300000000000001</v>
      </c>
      <c r="Z1281" s="11" t="inlineStr">
        <is>
          <t>Priority Tier 3 (Broadband Expansion)</t>
        </is>
      </c>
    </row>
    <row r="1282">
      <c r="A1282" s="23" t="n">
        <v>5</v>
      </c>
      <c r="B1282" s="23" t="n">
        <v>278</v>
      </c>
      <c r="C1282" s="23" t="n">
        <v>4278</v>
      </c>
      <c r="D1282" s="23" t="inlineStr">
        <is>
          <t>0304903072</t>
        </is>
      </c>
      <c r="E1282" s="11" t="inlineStr">
        <is>
          <t>Region III (Central Luzon)</t>
        </is>
      </c>
      <c r="F1282" s="11" t="inlineStr">
        <is>
          <t>Nueva Ecija</t>
        </is>
      </c>
      <c r="G1282" s="11" t="inlineStr">
        <is>
          <t>City of Cabanatuan</t>
        </is>
      </c>
      <c r="H1282" s="11" t="inlineStr">
        <is>
          <t>San Josef Sur</t>
        </is>
      </c>
      <c r="I1282" s="24" t="n">
        <v>15.585783</v>
      </c>
      <c r="J1282" s="24" t="n">
        <v>120.924577</v>
      </c>
      <c r="K1282" s="23" t="inlineStr">
        <is>
          <t>U</t>
        </is>
      </c>
      <c r="L1282" s="25" t="n">
        <v>8485</v>
      </c>
      <c r="M1282" s="26" t="n">
        <v>3.5</v>
      </c>
      <c r="N1282" s="25">
        <f>ROUND(L1282/M1282, 0)</f>
        <v/>
      </c>
      <c r="O1282" s="25">
        <f>ROUND(N1282*'Methodology &amp; Assumptions'!$B$7, 0)</f>
        <v/>
      </c>
      <c r="P1282" s="23" t="inlineStr">
        <is>
          <t>Single Carrier (Band n50, 100MHz TDD)</t>
        </is>
      </c>
      <c r="Q1282" s="27">
        <f>ROUNDUP(O1282/'Methodology &amp; Assumptions'!$B$8, 0)</f>
        <v/>
      </c>
      <c r="R1282" s="27" t="n">
        <v>1</v>
      </c>
      <c r="S1282" s="26" t="n">
        <v>0.71</v>
      </c>
      <c r="T1282" s="26" t="n">
        <v>0.52</v>
      </c>
      <c r="U1282" s="11">
        <f>IF(S1282&lt;='Methodology &amp; Assumptions'!$B$10, "Direct Optical Drop (&lt;3km)", IF(S1282&lt;='Methodology &amp; Assumptions'!$B$9, "Near Optical / Microwave (&lt;5km)", "Starlink Business LEO Satellite Backhaul (&gt;5km)"))</f>
        <v/>
      </c>
      <c r="V1282" s="26" t="n">
        <v>78.43000000000001</v>
      </c>
      <c r="W1282" s="26" t="n">
        <v>38.05</v>
      </c>
      <c r="X1282" s="26">
        <f>ROUND(('Methodology &amp; Assumptions'!$B$5*V1282) + ('Methodology &amp; Assumptions'!$B$6*W1282), 2)</f>
        <v/>
      </c>
      <c r="Y1282" s="28" t="n">
        <v>8.300000000000001</v>
      </c>
      <c r="Z1282" s="11" t="inlineStr">
        <is>
          <t>Priority Tier 3 (Broadband Expansion)</t>
        </is>
      </c>
    </row>
    <row r="1283">
      <c r="A1283" s="23" t="n">
        <v>5</v>
      </c>
      <c r="B1283" s="23" t="n">
        <v>279</v>
      </c>
      <c r="C1283" s="23" t="n">
        <v>4279</v>
      </c>
      <c r="D1283" s="23" t="inlineStr">
        <is>
          <t>0304903073</t>
        </is>
      </c>
      <c r="E1283" s="11" t="inlineStr">
        <is>
          <t>Region III (Central Luzon)</t>
        </is>
      </c>
      <c r="F1283" s="11" t="inlineStr">
        <is>
          <t>Nueva Ecija</t>
        </is>
      </c>
      <c r="G1283" s="11" t="inlineStr">
        <is>
          <t>City of Cabanatuan</t>
        </is>
      </c>
      <c r="H1283" s="11" t="inlineStr">
        <is>
          <t>San Juan Pob.</t>
        </is>
      </c>
      <c r="I1283" s="24" t="n">
        <v>15.585783</v>
      </c>
      <c r="J1283" s="24" t="n">
        <v>120.924577</v>
      </c>
      <c r="K1283" s="23" t="inlineStr">
        <is>
          <t>U</t>
        </is>
      </c>
      <c r="L1283" s="25" t="n">
        <v>9561</v>
      </c>
      <c r="M1283" s="26" t="n">
        <v>3.5</v>
      </c>
      <c r="N1283" s="25">
        <f>ROUND(L1283/M1283, 0)</f>
        <v/>
      </c>
      <c r="O1283" s="25">
        <f>ROUND(N1283*'Methodology &amp; Assumptions'!$B$7, 0)</f>
        <v/>
      </c>
      <c r="P1283" s="23" t="inlineStr">
        <is>
          <t>Single Carrier (Band n50, 100MHz TDD)</t>
        </is>
      </c>
      <c r="Q1283" s="27">
        <f>ROUNDUP(O1283/'Methodology &amp; Assumptions'!$B$8, 0)</f>
        <v/>
      </c>
      <c r="R1283" s="27" t="n">
        <v>1</v>
      </c>
      <c r="S1283" s="26" t="n">
        <v>0.71</v>
      </c>
      <c r="T1283" s="26" t="n">
        <v>0.52</v>
      </c>
      <c r="U1283" s="11">
        <f>IF(S1283&lt;='Methodology &amp; Assumptions'!$B$10, "Direct Optical Drop (&lt;3km)", IF(S1283&lt;='Methodology &amp; Assumptions'!$B$9, "Near Optical / Microwave (&lt;5km)", "Starlink Business LEO Satellite Backhaul (&gt;5km)"))</f>
        <v/>
      </c>
      <c r="V1283" s="26" t="n">
        <v>78.43000000000001</v>
      </c>
      <c r="W1283" s="26" t="n">
        <v>38.05</v>
      </c>
      <c r="X1283" s="26">
        <f>ROUND(('Methodology &amp; Assumptions'!$B$5*V1283) + ('Methodology &amp; Assumptions'!$B$6*W1283), 2)</f>
        <v/>
      </c>
      <c r="Y1283" s="28" t="n">
        <v>8.300000000000001</v>
      </c>
      <c r="Z1283" s="11" t="inlineStr">
        <is>
          <t>Priority Tier 3 (Broadband Expansion)</t>
        </is>
      </c>
    </row>
    <row r="1284">
      <c r="A1284" s="23" t="n">
        <v>5</v>
      </c>
      <c r="B1284" s="23" t="n">
        <v>280</v>
      </c>
      <c r="C1284" s="23" t="n">
        <v>4280</v>
      </c>
      <c r="D1284" s="23" t="inlineStr">
        <is>
          <t>0304903078</t>
        </is>
      </c>
      <c r="E1284" s="11" t="inlineStr">
        <is>
          <t>Region III (Central Luzon)</t>
        </is>
      </c>
      <c r="F1284" s="11" t="inlineStr">
        <is>
          <t>Nueva Ecija</t>
        </is>
      </c>
      <c r="G1284" s="11" t="inlineStr">
        <is>
          <t>City of Cabanatuan</t>
        </is>
      </c>
      <c r="H1284" s="11" t="inlineStr">
        <is>
          <t>Santa Arcadia</t>
        </is>
      </c>
      <c r="I1284" s="24" t="n">
        <v>15.585783</v>
      </c>
      <c r="J1284" s="24" t="n">
        <v>120.924577</v>
      </c>
      <c r="K1284" s="23" t="inlineStr">
        <is>
          <t>U</t>
        </is>
      </c>
      <c r="L1284" s="25" t="n">
        <v>6268</v>
      </c>
      <c r="M1284" s="26" t="n">
        <v>3.5</v>
      </c>
      <c r="N1284" s="25">
        <f>ROUND(L1284/M1284, 0)</f>
        <v/>
      </c>
      <c r="O1284" s="25">
        <f>ROUND(N1284*'Methodology &amp; Assumptions'!$B$7, 0)</f>
        <v/>
      </c>
      <c r="P1284" s="23" t="inlineStr">
        <is>
          <t>Single Carrier (Band n50, 100MHz TDD)</t>
        </is>
      </c>
      <c r="Q1284" s="27">
        <f>ROUNDUP(O1284/'Methodology &amp; Assumptions'!$B$8, 0)</f>
        <v/>
      </c>
      <c r="R1284" s="27" t="n">
        <v>1</v>
      </c>
      <c r="S1284" s="26" t="n">
        <v>0.71</v>
      </c>
      <c r="T1284" s="26" t="n">
        <v>0.52</v>
      </c>
      <c r="U1284" s="11">
        <f>IF(S1284&lt;='Methodology &amp; Assumptions'!$B$10, "Direct Optical Drop (&lt;3km)", IF(S1284&lt;='Methodology &amp; Assumptions'!$B$9, "Near Optical / Microwave (&lt;5km)", "Starlink Business LEO Satellite Backhaul (&gt;5km)"))</f>
        <v/>
      </c>
      <c r="V1284" s="26" t="n">
        <v>78.43000000000001</v>
      </c>
      <c r="W1284" s="26" t="n">
        <v>38.05</v>
      </c>
      <c r="X1284" s="26">
        <f>ROUND(('Methodology &amp; Assumptions'!$B$5*V1284) + ('Methodology &amp; Assumptions'!$B$6*W1284), 2)</f>
        <v/>
      </c>
      <c r="Y1284" s="28" t="n">
        <v>8.300000000000001</v>
      </c>
      <c r="Z1284" s="11" t="inlineStr">
        <is>
          <t>Priority Tier 3 (Broadband Expansion)</t>
        </is>
      </c>
    </row>
    <row r="1285">
      <c r="A1285" s="23" t="n">
        <v>5</v>
      </c>
      <c r="B1285" s="23" t="n">
        <v>281</v>
      </c>
      <c r="C1285" s="23" t="n">
        <v>4281</v>
      </c>
      <c r="D1285" s="23" t="inlineStr">
        <is>
          <t>0304903082</t>
        </is>
      </c>
      <c r="E1285" s="11" t="inlineStr">
        <is>
          <t>Region III (Central Luzon)</t>
        </is>
      </c>
      <c r="F1285" s="11" t="inlineStr">
        <is>
          <t>Nueva Ecija</t>
        </is>
      </c>
      <c r="G1285" s="11" t="inlineStr">
        <is>
          <t>City of Cabanatuan</t>
        </is>
      </c>
      <c r="H1285" s="11" t="inlineStr">
        <is>
          <t>Valdefuente</t>
        </is>
      </c>
      <c r="I1285" s="24" t="n">
        <v>15.585783</v>
      </c>
      <c r="J1285" s="24" t="n">
        <v>120.924577</v>
      </c>
      <c r="K1285" s="23" t="inlineStr">
        <is>
          <t>U</t>
        </is>
      </c>
      <c r="L1285" s="25" t="n">
        <v>4595</v>
      </c>
      <c r="M1285" s="26" t="n">
        <v>3.5</v>
      </c>
      <c r="N1285" s="25">
        <f>ROUND(L1285/M1285, 0)</f>
        <v/>
      </c>
      <c r="O1285" s="25">
        <f>ROUND(N1285*'Methodology &amp; Assumptions'!$B$7, 0)</f>
        <v/>
      </c>
      <c r="P1285" s="23" t="inlineStr">
        <is>
          <t>Single Carrier (Band n50, 100MHz TDD)</t>
        </is>
      </c>
      <c r="Q1285" s="27">
        <f>ROUNDUP(O1285/'Methodology &amp; Assumptions'!$B$8, 0)</f>
        <v/>
      </c>
      <c r="R1285" s="27" t="n">
        <v>1</v>
      </c>
      <c r="S1285" s="26" t="n">
        <v>0.71</v>
      </c>
      <c r="T1285" s="26" t="n">
        <v>0.52</v>
      </c>
      <c r="U1285" s="11">
        <f>IF(S1285&lt;='Methodology &amp; Assumptions'!$B$10, "Direct Optical Drop (&lt;3km)", IF(S1285&lt;='Methodology &amp; Assumptions'!$B$9, "Near Optical / Microwave (&lt;5km)", "Starlink Business LEO Satellite Backhaul (&gt;5km)"))</f>
        <v/>
      </c>
      <c r="V1285" s="26" t="n">
        <v>78.43000000000001</v>
      </c>
      <c r="W1285" s="26" t="n">
        <v>38.05</v>
      </c>
      <c r="X1285" s="26">
        <f>ROUND(('Methodology &amp; Assumptions'!$B$5*V1285) + ('Methodology &amp; Assumptions'!$B$6*W1285), 2)</f>
        <v/>
      </c>
      <c r="Y1285" s="28" t="n">
        <v>8.300000000000001</v>
      </c>
      <c r="Z1285" s="11" t="inlineStr">
        <is>
          <t>Priority Tier 3 (Broadband Expansion)</t>
        </is>
      </c>
    </row>
    <row r="1286">
      <c r="A1286" s="23" t="n">
        <v>5</v>
      </c>
      <c r="B1286" s="23" t="n">
        <v>282</v>
      </c>
      <c r="C1286" s="23" t="n">
        <v>4282</v>
      </c>
      <c r="D1286" s="23" t="inlineStr">
        <is>
          <t>0304903083</t>
        </is>
      </c>
      <c r="E1286" s="11" t="inlineStr">
        <is>
          <t>Region III (Central Luzon)</t>
        </is>
      </c>
      <c r="F1286" s="11" t="inlineStr">
        <is>
          <t>Nueva Ecija</t>
        </is>
      </c>
      <c r="G1286" s="11" t="inlineStr">
        <is>
          <t>City of Cabanatuan</t>
        </is>
      </c>
      <c r="H1286" s="11" t="inlineStr">
        <is>
          <t>Valle Cruz</t>
        </is>
      </c>
      <c r="I1286" s="24" t="n">
        <v>15.585783</v>
      </c>
      <c r="J1286" s="24" t="n">
        <v>120.924577</v>
      </c>
      <c r="K1286" s="23" t="inlineStr">
        <is>
          <t>U</t>
        </is>
      </c>
      <c r="L1286" s="25" t="n">
        <v>7088</v>
      </c>
      <c r="M1286" s="26" t="n">
        <v>3.5</v>
      </c>
      <c r="N1286" s="25">
        <f>ROUND(L1286/M1286, 0)</f>
        <v/>
      </c>
      <c r="O1286" s="25">
        <f>ROUND(N1286*'Methodology &amp; Assumptions'!$B$7, 0)</f>
        <v/>
      </c>
      <c r="P1286" s="23" t="inlineStr">
        <is>
          <t>Single Carrier (Band n50, 100MHz TDD)</t>
        </is>
      </c>
      <c r="Q1286" s="27">
        <f>ROUNDUP(O1286/'Methodology &amp; Assumptions'!$B$8, 0)</f>
        <v/>
      </c>
      <c r="R1286" s="27" t="n">
        <v>1</v>
      </c>
      <c r="S1286" s="26" t="n">
        <v>0.71</v>
      </c>
      <c r="T1286" s="26" t="n">
        <v>0.52</v>
      </c>
      <c r="U1286" s="11">
        <f>IF(S1286&lt;='Methodology &amp; Assumptions'!$B$10, "Direct Optical Drop (&lt;3km)", IF(S1286&lt;='Methodology &amp; Assumptions'!$B$9, "Near Optical / Microwave (&lt;5km)", "Starlink Business LEO Satellite Backhaul (&gt;5km)"))</f>
        <v/>
      </c>
      <c r="V1286" s="26" t="n">
        <v>78.43000000000001</v>
      </c>
      <c r="W1286" s="26" t="n">
        <v>38.05</v>
      </c>
      <c r="X1286" s="26">
        <f>ROUND(('Methodology &amp; Assumptions'!$B$5*V1286) + ('Methodology &amp; Assumptions'!$B$6*W1286), 2)</f>
        <v/>
      </c>
      <c r="Y1286" s="28" t="n">
        <v>8.300000000000001</v>
      </c>
      <c r="Z1286" s="11" t="inlineStr">
        <is>
          <t>Priority Tier 3 (Broadband Expansion)</t>
        </is>
      </c>
    </row>
    <row r="1287">
      <c r="A1287" s="23" t="n">
        <v>5</v>
      </c>
      <c r="B1287" s="23" t="n">
        <v>283</v>
      </c>
      <c r="C1287" s="23" t="n">
        <v>4283</v>
      </c>
      <c r="D1287" s="23" t="inlineStr">
        <is>
          <t>0304903090</t>
        </is>
      </c>
      <c r="E1287" s="11" t="inlineStr">
        <is>
          <t>Region III (Central Luzon)</t>
        </is>
      </c>
      <c r="F1287" s="11" t="inlineStr">
        <is>
          <t>Nueva Ecija</t>
        </is>
      </c>
      <c r="G1287" s="11" t="inlineStr">
        <is>
          <t>City of Cabanatuan</t>
        </is>
      </c>
      <c r="H1287" s="11" t="inlineStr">
        <is>
          <t>Aduas Norte</t>
        </is>
      </c>
      <c r="I1287" s="24" t="n">
        <v>15.585783</v>
      </c>
      <c r="J1287" s="24" t="n">
        <v>120.924577</v>
      </c>
      <c r="K1287" s="23" t="inlineStr">
        <is>
          <t>U</t>
        </is>
      </c>
      <c r="L1287" s="25" t="n">
        <v>6273</v>
      </c>
      <c r="M1287" s="26" t="n">
        <v>3.5</v>
      </c>
      <c r="N1287" s="25">
        <f>ROUND(L1287/M1287, 0)</f>
        <v/>
      </c>
      <c r="O1287" s="25">
        <f>ROUND(N1287*'Methodology &amp; Assumptions'!$B$7, 0)</f>
        <v/>
      </c>
      <c r="P1287" s="23" t="inlineStr">
        <is>
          <t>Single Carrier (Band n50, 100MHz TDD)</t>
        </is>
      </c>
      <c r="Q1287" s="27">
        <f>ROUNDUP(O1287/'Methodology &amp; Assumptions'!$B$8, 0)</f>
        <v/>
      </c>
      <c r="R1287" s="27" t="n">
        <v>1</v>
      </c>
      <c r="S1287" s="26" t="n">
        <v>0.71</v>
      </c>
      <c r="T1287" s="26" t="n">
        <v>0.52</v>
      </c>
      <c r="U1287" s="11">
        <f>IF(S1287&lt;='Methodology &amp; Assumptions'!$B$10, "Direct Optical Drop (&lt;3km)", IF(S1287&lt;='Methodology &amp; Assumptions'!$B$9, "Near Optical / Microwave (&lt;5km)", "Starlink Business LEO Satellite Backhaul (&gt;5km)"))</f>
        <v/>
      </c>
      <c r="V1287" s="26" t="n">
        <v>78.43000000000001</v>
      </c>
      <c r="W1287" s="26" t="n">
        <v>38.05</v>
      </c>
      <c r="X1287" s="26">
        <f>ROUND(('Methodology &amp; Assumptions'!$B$5*V1287) + ('Methodology &amp; Assumptions'!$B$6*W1287), 2)</f>
        <v/>
      </c>
      <c r="Y1287" s="28" t="n">
        <v>8.300000000000001</v>
      </c>
      <c r="Z1287" s="11" t="inlineStr">
        <is>
          <t>Priority Tier 3 (Broadband Expansion)</t>
        </is>
      </c>
    </row>
    <row r="1288">
      <c r="A1288" s="23" t="n">
        <v>5</v>
      </c>
      <c r="B1288" s="23" t="n">
        <v>284</v>
      </c>
      <c r="C1288" s="23" t="n">
        <v>4284</v>
      </c>
      <c r="D1288" s="23" t="inlineStr">
        <is>
          <t>0304903091</t>
        </is>
      </c>
      <c r="E1288" s="11" t="inlineStr">
        <is>
          <t>Region III (Central Luzon)</t>
        </is>
      </c>
      <c r="F1288" s="11" t="inlineStr">
        <is>
          <t>Nueva Ecija</t>
        </is>
      </c>
      <c r="G1288" s="11" t="inlineStr">
        <is>
          <t>City of Cabanatuan</t>
        </is>
      </c>
      <c r="H1288" s="11" t="inlineStr">
        <is>
          <t>Aduas Sur</t>
        </is>
      </c>
      <c r="I1288" s="24" t="n">
        <v>15.585783</v>
      </c>
      <c r="J1288" s="24" t="n">
        <v>120.924577</v>
      </c>
      <c r="K1288" s="23" t="inlineStr">
        <is>
          <t>U</t>
        </is>
      </c>
      <c r="L1288" s="25" t="n">
        <v>8327</v>
      </c>
      <c r="M1288" s="26" t="n">
        <v>3.5</v>
      </c>
      <c r="N1288" s="25">
        <f>ROUND(L1288/M1288, 0)</f>
        <v/>
      </c>
      <c r="O1288" s="25">
        <f>ROUND(N1288*'Methodology &amp; Assumptions'!$B$7, 0)</f>
        <v/>
      </c>
      <c r="P1288" s="23" t="inlineStr">
        <is>
          <t>Single Carrier (Band n50, 100MHz TDD)</t>
        </is>
      </c>
      <c r="Q1288" s="27">
        <f>ROUNDUP(O1288/'Methodology &amp; Assumptions'!$B$8, 0)</f>
        <v/>
      </c>
      <c r="R1288" s="27" t="n">
        <v>1</v>
      </c>
      <c r="S1288" s="26" t="n">
        <v>0.71</v>
      </c>
      <c r="T1288" s="26" t="n">
        <v>0.52</v>
      </c>
      <c r="U1288" s="11">
        <f>IF(S1288&lt;='Methodology &amp; Assumptions'!$B$10, "Direct Optical Drop (&lt;3km)", IF(S1288&lt;='Methodology &amp; Assumptions'!$B$9, "Near Optical / Microwave (&lt;5km)", "Starlink Business LEO Satellite Backhaul (&gt;5km)"))</f>
        <v/>
      </c>
      <c r="V1288" s="26" t="n">
        <v>78.43000000000001</v>
      </c>
      <c r="W1288" s="26" t="n">
        <v>38.05</v>
      </c>
      <c r="X1288" s="26">
        <f>ROUND(('Methodology &amp; Assumptions'!$B$5*V1288) + ('Methodology &amp; Assumptions'!$B$6*W1288), 2)</f>
        <v/>
      </c>
      <c r="Y1288" s="28" t="n">
        <v>8.300000000000001</v>
      </c>
      <c r="Z1288" s="11" t="inlineStr">
        <is>
          <t>Priority Tier 3 (Broadband Expansion)</t>
        </is>
      </c>
    </row>
    <row r="1289">
      <c r="A1289" s="23" t="n">
        <v>5</v>
      </c>
      <c r="B1289" s="23" t="n">
        <v>285</v>
      </c>
      <c r="C1289" s="23" t="n">
        <v>4285</v>
      </c>
      <c r="D1289" s="23" t="inlineStr">
        <is>
          <t>0304903092</t>
        </is>
      </c>
      <c r="E1289" s="11" t="inlineStr">
        <is>
          <t>Region III (Central Luzon)</t>
        </is>
      </c>
      <c r="F1289" s="11" t="inlineStr">
        <is>
          <t>Nueva Ecija</t>
        </is>
      </c>
      <c r="G1289" s="11" t="inlineStr">
        <is>
          <t>City of Cabanatuan</t>
        </is>
      </c>
      <c r="H1289" s="11" t="inlineStr">
        <is>
          <t>Hermogenes C. Concepcion, Sr.</t>
        </is>
      </c>
      <c r="I1289" s="24" t="n">
        <v>15.585783</v>
      </c>
      <c r="J1289" s="24" t="n">
        <v>120.924577</v>
      </c>
      <c r="K1289" s="23" t="inlineStr">
        <is>
          <t>U</t>
        </is>
      </c>
      <c r="L1289" s="25" t="n">
        <v>5184</v>
      </c>
      <c r="M1289" s="26" t="n">
        <v>3.5</v>
      </c>
      <c r="N1289" s="25">
        <f>ROUND(L1289/M1289, 0)</f>
        <v/>
      </c>
      <c r="O1289" s="25">
        <f>ROUND(N1289*'Methodology &amp; Assumptions'!$B$7, 0)</f>
        <v/>
      </c>
      <c r="P1289" s="23" t="inlineStr">
        <is>
          <t>Single Carrier (Band n50, 100MHz TDD)</t>
        </is>
      </c>
      <c r="Q1289" s="27">
        <f>ROUNDUP(O1289/'Methodology &amp; Assumptions'!$B$8, 0)</f>
        <v/>
      </c>
      <c r="R1289" s="27" t="n">
        <v>1</v>
      </c>
      <c r="S1289" s="26" t="n">
        <v>0.71</v>
      </c>
      <c r="T1289" s="26" t="n">
        <v>0.52</v>
      </c>
      <c r="U1289" s="11">
        <f>IF(S1289&lt;='Methodology &amp; Assumptions'!$B$10, "Direct Optical Drop (&lt;3km)", IF(S1289&lt;='Methodology &amp; Assumptions'!$B$9, "Near Optical / Microwave (&lt;5km)", "Starlink Business LEO Satellite Backhaul (&gt;5km)"))</f>
        <v/>
      </c>
      <c r="V1289" s="26" t="n">
        <v>78.43000000000001</v>
      </c>
      <c r="W1289" s="26" t="n">
        <v>38.05</v>
      </c>
      <c r="X1289" s="26">
        <f>ROUND(('Methodology &amp; Assumptions'!$B$5*V1289) + ('Methodology &amp; Assumptions'!$B$6*W1289), 2)</f>
        <v/>
      </c>
      <c r="Y1289" s="28" t="n">
        <v>8.300000000000001</v>
      </c>
      <c r="Z1289" s="11" t="inlineStr">
        <is>
          <t>Priority Tier 3 (Broadband Expansion)</t>
        </is>
      </c>
    </row>
    <row r="1290">
      <c r="A1290" s="23" t="n">
        <v>5</v>
      </c>
      <c r="B1290" s="23" t="n">
        <v>286</v>
      </c>
      <c r="C1290" s="23" t="n">
        <v>4286</v>
      </c>
      <c r="D1290" s="23" t="inlineStr">
        <is>
          <t>0304903094</t>
        </is>
      </c>
      <c r="E1290" s="11" t="inlineStr">
        <is>
          <t>Region III (Central Luzon)</t>
        </is>
      </c>
      <c r="F1290" s="11" t="inlineStr">
        <is>
          <t>Nueva Ecija</t>
        </is>
      </c>
      <c r="G1290" s="11" t="inlineStr">
        <is>
          <t>City of Cabanatuan</t>
        </is>
      </c>
      <c r="H1290" s="11" t="inlineStr">
        <is>
          <t>Sumacab Este</t>
        </is>
      </c>
      <c r="I1290" s="24" t="n">
        <v>15.585783</v>
      </c>
      <c r="J1290" s="24" t="n">
        <v>120.924577</v>
      </c>
      <c r="K1290" s="23" t="inlineStr">
        <is>
          <t>U</t>
        </is>
      </c>
      <c r="L1290" s="25" t="n">
        <v>4923</v>
      </c>
      <c r="M1290" s="26" t="n">
        <v>3.5</v>
      </c>
      <c r="N1290" s="25">
        <f>ROUND(L1290/M1290, 0)</f>
        <v/>
      </c>
      <c r="O1290" s="25">
        <f>ROUND(N1290*'Methodology &amp; Assumptions'!$B$7, 0)</f>
        <v/>
      </c>
      <c r="P1290" s="23" t="inlineStr">
        <is>
          <t>Single Carrier (Band n50, 100MHz TDD)</t>
        </is>
      </c>
      <c r="Q1290" s="27">
        <f>ROUNDUP(O1290/'Methodology &amp; Assumptions'!$B$8, 0)</f>
        <v/>
      </c>
      <c r="R1290" s="27" t="n">
        <v>1</v>
      </c>
      <c r="S1290" s="26" t="n">
        <v>0.71</v>
      </c>
      <c r="T1290" s="26" t="n">
        <v>0.52</v>
      </c>
      <c r="U1290" s="11">
        <f>IF(S1290&lt;='Methodology &amp; Assumptions'!$B$10, "Direct Optical Drop (&lt;3km)", IF(S1290&lt;='Methodology &amp; Assumptions'!$B$9, "Near Optical / Microwave (&lt;5km)", "Starlink Business LEO Satellite Backhaul (&gt;5km)"))</f>
        <v/>
      </c>
      <c r="V1290" s="26" t="n">
        <v>78.43000000000001</v>
      </c>
      <c r="W1290" s="26" t="n">
        <v>38.05</v>
      </c>
      <c r="X1290" s="26">
        <f>ROUND(('Methodology &amp; Assumptions'!$B$5*V1290) + ('Methodology &amp; Assumptions'!$B$6*W1290), 2)</f>
        <v/>
      </c>
      <c r="Y1290" s="28" t="n">
        <v>8.300000000000001</v>
      </c>
      <c r="Z1290" s="11" t="inlineStr">
        <is>
          <t>Priority Tier 3 (Broadband Expansion)</t>
        </is>
      </c>
    </row>
    <row r="1291">
      <c r="A1291" s="23" t="n">
        <v>5</v>
      </c>
      <c r="B1291" s="23" t="n">
        <v>287</v>
      </c>
      <c r="C1291" s="23" t="n">
        <v>4287</v>
      </c>
      <c r="D1291" s="23" t="inlineStr">
        <is>
          <t>0304903095</t>
        </is>
      </c>
      <c r="E1291" s="11" t="inlineStr">
        <is>
          <t>Region III (Central Luzon)</t>
        </is>
      </c>
      <c r="F1291" s="11" t="inlineStr">
        <is>
          <t>Nueva Ecija</t>
        </is>
      </c>
      <c r="G1291" s="11" t="inlineStr">
        <is>
          <t>City of Cabanatuan</t>
        </is>
      </c>
      <c r="H1291" s="11" t="inlineStr">
        <is>
          <t>Sumacab South</t>
        </is>
      </c>
      <c r="I1291" s="24" t="n">
        <v>15.585783</v>
      </c>
      <c r="J1291" s="24" t="n">
        <v>120.924577</v>
      </c>
      <c r="K1291" s="23" t="inlineStr">
        <is>
          <t>U</t>
        </is>
      </c>
      <c r="L1291" s="25" t="n">
        <v>6296</v>
      </c>
      <c r="M1291" s="26" t="n">
        <v>3.5</v>
      </c>
      <c r="N1291" s="25">
        <f>ROUND(L1291/M1291, 0)</f>
        <v/>
      </c>
      <c r="O1291" s="25">
        <f>ROUND(N1291*'Methodology &amp; Assumptions'!$B$7, 0)</f>
        <v/>
      </c>
      <c r="P1291" s="23" t="inlineStr">
        <is>
          <t>Single Carrier (Band n50, 100MHz TDD)</t>
        </is>
      </c>
      <c r="Q1291" s="27">
        <f>ROUNDUP(O1291/'Methodology &amp; Assumptions'!$B$8, 0)</f>
        <v/>
      </c>
      <c r="R1291" s="27" t="n">
        <v>1</v>
      </c>
      <c r="S1291" s="26" t="n">
        <v>0.71</v>
      </c>
      <c r="T1291" s="26" t="n">
        <v>0.52</v>
      </c>
      <c r="U1291" s="11">
        <f>IF(S1291&lt;='Methodology &amp; Assumptions'!$B$10, "Direct Optical Drop (&lt;3km)", IF(S1291&lt;='Methodology &amp; Assumptions'!$B$9, "Near Optical / Microwave (&lt;5km)", "Starlink Business LEO Satellite Backhaul (&gt;5km)"))</f>
        <v/>
      </c>
      <c r="V1291" s="26" t="n">
        <v>78.43000000000001</v>
      </c>
      <c r="W1291" s="26" t="n">
        <v>38.05</v>
      </c>
      <c r="X1291" s="26">
        <f>ROUND(('Methodology &amp; Assumptions'!$B$5*V1291) + ('Methodology &amp; Assumptions'!$B$6*W1291), 2)</f>
        <v/>
      </c>
      <c r="Y1291" s="28" t="n">
        <v>8.300000000000001</v>
      </c>
      <c r="Z1291" s="11" t="inlineStr">
        <is>
          <t>Priority Tier 3 (Broadband Expansion)</t>
        </is>
      </c>
    </row>
    <row r="1292">
      <c r="A1292" s="23" t="n">
        <v>5</v>
      </c>
      <c r="B1292" s="23" t="n">
        <v>288</v>
      </c>
      <c r="C1292" s="23" t="n">
        <v>4288</v>
      </c>
      <c r="D1292" s="23" t="inlineStr">
        <is>
          <t>0304919003</t>
        </is>
      </c>
      <c r="E1292" s="11" t="inlineStr">
        <is>
          <t>Region III (Central Luzon)</t>
        </is>
      </c>
      <c r="F1292" s="11" t="inlineStr">
        <is>
          <t>Nueva Ecija</t>
        </is>
      </c>
      <c r="G1292" s="11" t="inlineStr">
        <is>
          <t>City of Palayan</t>
        </is>
      </c>
      <c r="H1292" s="11" t="inlineStr">
        <is>
          <t>Bo. Militar</t>
        </is>
      </c>
      <c r="I1292" s="24" t="n">
        <v>15.585783</v>
      </c>
      <c r="J1292" s="24" t="n">
        <v>120.924577</v>
      </c>
      <c r="K1292" s="23" t="inlineStr">
        <is>
          <t>U</t>
        </is>
      </c>
      <c r="L1292" s="25" t="n">
        <v>7495</v>
      </c>
      <c r="M1292" s="26" t="n">
        <v>3.5</v>
      </c>
      <c r="N1292" s="25">
        <f>ROUND(L1292/M1292, 0)</f>
        <v/>
      </c>
      <c r="O1292" s="25">
        <f>ROUND(N1292*'Methodology &amp; Assumptions'!$B$7, 0)</f>
        <v/>
      </c>
      <c r="P1292" s="23" t="inlineStr">
        <is>
          <t>Single Carrier (Band n50, 100MHz TDD)</t>
        </is>
      </c>
      <c r="Q1292" s="27">
        <f>ROUNDUP(O1292/'Methodology &amp; Assumptions'!$B$8, 0)</f>
        <v/>
      </c>
      <c r="R1292" s="27" t="n">
        <v>1</v>
      </c>
      <c r="S1292" s="26" t="n">
        <v>0.71</v>
      </c>
      <c r="T1292" s="26" t="n">
        <v>0.52</v>
      </c>
      <c r="U1292" s="11">
        <f>IF(S1292&lt;='Methodology &amp; Assumptions'!$B$10, "Direct Optical Drop (&lt;3km)", IF(S1292&lt;='Methodology &amp; Assumptions'!$B$9, "Near Optical / Microwave (&lt;5km)", "Starlink Business LEO Satellite Backhaul (&gt;5km)"))</f>
        <v/>
      </c>
      <c r="V1292" s="26" t="n">
        <v>78.43000000000001</v>
      </c>
      <c r="W1292" s="26" t="n">
        <v>38.05</v>
      </c>
      <c r="X1292" s="26">
        <f>ROUND(('Methodology &amp; Assumptions'!$B$5*V1292) + ('Methodology &amp; Assumptions'!$B$6*W1292), 2)</f>
        <v/>
      </c>
      <c r="Y1292" s="28" t="n">
        <v>8.300000000000001</v>
      </c>
      <c r="Z1292" s="11" t="inlineStr">
        <is>
          <t>Priority Tier 3 (Broadband Expansion)</t>
        </is>
      </c>
    </row>
    <row r="1293">
      <c r="A1293" s="23" t="n">
        <v>5</v>
      </c>
      <c r="B1293" s="23" t="n">
        <v>289</v>
      </c>
      <c r="C1293" s="23" t="n">
        <v>4289</v>
      </c>
      <c r="D1293" s="23" t="inlineStr">
        <is>
          <t>0304919008</t>
        </is>
      </c>
      <c r="E1293" s="11" t="inlineStr">
        <is>
          <t>Region III (Central Luzon)</t>
        </is>
      </c>
      <c r="F1293" s="11" t="inlineStr">
        <is>
          <t>Nueva Ecija</t>
        </is>
      </c>
      <c r="G1293" s="11" t="inlineStr">
        <is>
          <t>City of Palayan</t>
        </is>
      </c>
      <c r="H1293" s="11" t="inlineStr">
        <is>
          <t>Marcos Village</t>
        </is>
      </c>
      <c r="I1293" s="24" t="n">
        <v>15.585783</v>
      </c>
      <c r="J1293" s="24" t="n">
        <v>120.924577</v>
      </c>
      <c r="K1293" s="23" t="inlineStr">
        <is>
          <t>U</t>
        </is>
      </c>
      <c r="L1293" s="25" t="n">
        <v>2989</v>
      </c>
      <c r="M1293" s="26" t="n">
        <v>3.5</v>
      </c>
      <c r="N1293" s="25">
        <f>ROUND(L1293/M1293, 0)</f>
        <v/>
      </c>
      <c r="O1293" s="25">
        <f>ROUND(N1293*'Methodology &amp; Assumptions'!$B$7, 0)</f>
        <v/>
      </c>
      <c r="P1293" s="23" t="inlineStr">
        <is>
          <t>Single Carrier (Band n50, 100MHz TDD)</t>
        </is>
      </c>
      <c r="Q1293" s="27">
        <f>ROUNDUP(O1293/'Methodology &amp; Assumptions'!$B$8, 0)</f>
        <v/>
      </c>
      <c r="R1293" s="27" t="n">
        <v>1</v>
      </c>
      <c r="S1293" s="26" t="n">
        <v>0.71</v>
      </c>
      <c r="T1293" s="26" t="n">
        <v>0.52</v>
      </c>
      <c r="U1293" s="11">
        <f>IF(S1293&lt;='Methodology &amp; Assumptions'!$B$10, "Direct Optical Drop (&lt;3km)", IF(S1293&lt;='Methodology &amp; Assumptions'!$B$9, "Near Optical / Microwave (&lt;5km)", "Starlink Business LEO Satellite Backhaul (&gt;5km)"))</f>
        <v/>
      </c>
      <c r="V1293" s="26" t="n">
        <v>78.43000000000001</v>
      </c>
      <c r="W1293" s="26" t="n">
        <v>38.05</v>
      </c>
      <c r="X1293" s="26">
        <f>ROUND(('Methodology &amp; Assumptions'!$B$5*V1293) + ('Methodology &amp; Assumptions'!$B$6*W1293), 2)</f>
        <v/>
      </c>
      <c r="Y1293" s="28" t="n">
        <v>8.300000000000001</v>
      </c>
      <c r="Z1293" s="11" t="inlineStr">
        <is>
          <t>Priority Tier 3 (Broadband Expansion)</t>
        </is>
      </c>
    </row>
    <row r="1294">
      <c r="A1294" s="23" t="n">
        <v>5</v>
      </c>
      <c r="B1294" s="23" t="n">
        <v>290</v>
      </c>
      <c r="C1294" s="23" t="n">
        <v>4290</v>
      </c>
      <c r="D1294" s="23" t="inlineStr">
        <is>
          <t>0304932020</t>
        </is>
      </c>
      <c r="E1294" s="11" t="inlineStr">
        <is>
          <t>Region III (Central Luzon)</t>
        </is>
      </c>
      <c r="F1294" s="11" t="inlineStr">
        <is>
          <t>Nueva Ecija</t>
        </is>
      </c>
      <c r="G1294" s="11" t="inlineStr">
        <is>
          <t>Zaragoza</t>
        </is>
      </c>
      <c r="H1294" s="11" t="inlineStr">
        <is>
          <t>San Isidro</t>
        </is>
      </c>
      <c r="I1294" s="24" t="n">
        <v>15.448889</v>
      </c>
      <c r="J1294" s="24" t="n">
        <v>120.800833</v>
      </c>
      <c r="K1294" s="23" t="inlineStr">
        <is>
          <t>U</t>
        </is>
      </c>
      <c r="L1294" s="25" t="n">
        <v>6681</v>
      </c>
      <c r="M1294" s="26" t="n">
        <v>3.5</v>
      </c>
      <c r="N1294" s="25">
        <f>ROUND(L1294/M1294, 0)</f>
        <v/>
      </c>
      <c r="O1294" s="25">
        <f>ROUND(N1294*'Methodology &amp; Assumptions'!$B$7, 0)</f>
        <v/>
      </c>
      <c r="P1294" s="23" t="inlineStr">
        <is>
          <t>Single Carrier (Band n50, 100MHz TDD)</t>
        </is>
      </c>
      <c r="Q1294" s="27">
        <f>ROUNDUP(O1294/'Methodology &amp; Assumptions'!$B$8, 0)</f>
        <v/>
      </c>
      <c r="R1294" s="27" t="n">
        <v>1</v>
      </c>
      <c r="S1294" s="26" t="n">
        <v>1.2</v>
      </c>
      <c r="T1294" s="26" t="n">
        <v>0.13</v>
      </c>
      <c r="U1294" s="11">
        <f>IF(S1294&lt;='Methodology &amp; Assumptions'!$B$10, "Direct Optical Drop (&lt;3km)", IF(S1294&lt;='Methodology &amp; Assumptions'!$B$9, "Near Optical / Microwave (&lt;5km)", "Starlink Business LEO Satellite Backhaul (&gt;5km)"))</f>
        <v/>
      </c>
      <c r="V1294" s="26" t="n">
        <v>77.06999999999999</v>
      </c>
      <c r="W1294" s="26" t="n">
        <v>39.41</v>
      </c>
      <c r="X1294" s="26">
        <f>ROUND(('Methodology &amp; Assumptions'!$B$5*V1294) + ('Methodology &amp; Assumptions'!$B$6*W1294), 2)</f>
        <v/>
      </c>
      <c r="Y1294" s="28" t="n">
        <v>8.300000000000001</v>
      </c>
      <c r="Z1294" s="11" t="inlineStr">
        <is>
          <t>Priority Tier 3 (Broadband Expansion)</t>
        </is>
      </c>
    </row>
    <row r="1295">
      <c r="A1295" s="23" t="n">
        <v>5</v>
      </c>
      <c r="B1295" s="23" t="n">
        <v>291</v>
      </c>
      <c r="C1295" s="23" t="n">
        <v>4291</v>
      </c>
      <c r="D1295" s="23" t="inlineStr">
        <is>
          <t>1108603001</t>
        </is>
      </c>
      <c r="E1295" s="11" t="inlineStr">
        <is>
          <t>Region XI (Davao Region)</t>
        </is>
      </c>
      <c r="F1295" s="11" t="inlineStr">
        <is>
          <t>Davao Occidental</t>
        </is>
      </c>
      <c r="G1295" s="11" t="inlineStr">
        <is>
          <t>Malita</t>
        </is>
      </c>
      <c r="H1295" s="11" t="inlineStr">
        <is>
          <t>Bito</t>
        </is>
      </c>
      <c r="I1295" s="24" t="n">
        <v>6.340256</v>
      </c>
      <c r="J1295" s="24" t="n">
        <v>125.582199</v>
      </c>
      <c r="K1295" s="23" t="inlineStr">
        <is>
          <t>R</t>
        </is>
      </c>
      <c r="L1295" s="25" t="n">
        <v>2033</v>
      </c>
      <c r="M1295" s="26" t="n">
        <v>3.6</v>
      </c>
      <c r="N1295" s="25">
        <f>ROUND(L1295/M1295, 0)</f>
        <v/>
      </c>
      <c r="O1295" s="25">
        <f>ROUND(N1295*'Methodology &amp; Assumptions'!$B$7, 0)</f>
        <v/>
      </c>
      <c r="P1295" s="23" t="inlineStr">
        <is>
          <t>Single Carrier (Band n50, 100MHz TDD)</t>
        </is>
      </c>
      <c r="Q1295" s="27">
        <f>ROUNDUP(O1295/'Methodology &amp; Assumptions'!$B$8, 0)</f>
        <v/>
      </c>
      <c r="R1295" s="27" t="n">
        <v>1</v>
      </c>
      <c r="S1295" s="26" t="n">
        <v>32.57</v>
      </c>
      <c r="T1295" s="26" t="n">
        <v>30.6</v>
      </c>
      <c r="U1295" s="11">
        <f>IF(S1295&lt;='Methodology &amp; Assumptions'!$B$10, "Direct Optical Drop (&lt;3km)", IF(S1295&lt;='Methodology &amp; Assumptions'!$B$9, "Near Optical / Microwave (&lt;5km)", "Starlink Business LEO Satellite Backhaul (&gt;5km)"))</f>
        <v/>
      </c>
      <c r="V1295" s="26" t="n">
        <v>52.93</v>
      </c>
      <c r="W1295" s="26" t="n">
        <v>63.55</v>
      </c>
      <c r="X1295" s="26">
        <f>ROUND(('Methodology &amp; Assumptions'!$B$5*V1295) + ('Methodology &amp; Assumptions'!$B$6*W1295), 2)</f>
        <v/>
      </c>
      <c r="Y1295" s="28" t="n">
        <v>17.4</v>
      </c>
      <c r="Z1295" s="11" t="inlineStr">
        <is>
          <t>Priority Tier 3 (Broadband Expansion)</t>
        </is>
      </c>
    </row>
    <row r="1296">
      <c r="A1296" s="23" t="n">
        <v>5</v>
      </c>
      <c r="B1296" s="23" t="n">
        <v>292</v>
      </c>
      <c r="C1296" s="23" t="n">
        <v>4292</v>
      </c>
      <c r="D1296" s="23" t="inlineStr">
        <is>
          <t>1906614013</t>
        </is>
      </c>
      <c r="E1296" s="11" t="inlineStr">
        <is>
          <t>Bangsamoro Autonomous Region In Muslim Mindanao (BARMM)</t>
        </is>
      </c>
      <c r="F1296" s="11" t="inlineStr">
        <is>
          <t>Sulu</t>
        </is>
      </c>
      <c r="G1296" s="11" t="inlineStr">
        <is>
          <t>Tapul</t>
        </is>
      </c>
      <c r="H1296" s="11" t="inlineStr">
        <is>
          <t>Alu-Kabingaan</t>
        </is>
      </c>
      <c r="I1296" s="24" t="n">
        <v>5.675137</v>
      </c>
      <c r="J1296" s="24" t="n">
        <v>121.039244</v>
      </c>
      <c r="K1296" s="23" t="inlineStr">
        <is>
          <t>R</t>
        </is>
      </c>
      <c r="L1296" s="25" t="n">
        <v>2105</v>
      </c>
      <c r="M1296" s="26" t="n">
        <v>6</v>
      </c>
      <c r="N1296" s="25">
        <f>ROUND(L1296/M1296, 0)</f>
        <v/>
      </c>
      <c r="O1296" s="25">
        <f>ROUND(N1296*'Methodology &amp; Assumptions'!$B$7, 0)</f>
        <v/>
      </c>
      <c r="P1296" s="23" t="inlineStr">
        <is>
          <t>Single Carrier (Band n50, 100MHz TDD)</t>
        </is>
      </c>
      <c r="Q1296" s="27">
        <f>ROUNDUP(O1296/'Methodology &amp; Assumptions'!$B$8, 0)</f>
        <v/>
      </c>
      <c r="R1296" s="27" t="n">
        <v>1</v>
      </c>
      <c r="S1296" s="26" t="n">
        <v>178.71</v>
      </c>
      <c r="T1296" s="26" t="n">
        <v>178.71</v>
      </c>
      <c r="U1296" s="11">
        <f>IF(S1296&lt;='Methodology &amp; Assumptions'!$B$10, "Direct Optical Drop (&lt;3km)", IF(S1296&lt;='Methodology &amp; Assumptions'!$B$9, "Near Optical / Microwave (&lt;5km)", "Starlink Business LEO Satellite Backhaul (&gt;5km)"))</f>
        <v/>
      </c>
      <c r="V1296" s="26" t="n">
        <v>44.93</v>
      </c>
      <c r="W1296" s="26" t="n">
        <v>71.55</v>
      </c>
      <c r="X1296" s="26">
        <f>ROUND(('Methodology &amp; Assumptions'!$B$5*V1296) + ('Methodology &amp; Assumptions'!$B$6*W1296), 2)</f>
        <v/>
      </c>
      <c r="Y1296" s="28" t="n">
        <v>11</v>
      </c>
      <c r="Z1296" s="11" t="inlineStr">
        <is>
          <t>Priority Tier 3 (Broadband Expansion)</t>
        </is>
      </c>
    </row>
    <row r="1297">
      <c r="A1297" s="23" t="n">
        <v>5</v>
      </c>
      <c r="B1297" s="23" t="n">
        <v>293</v>
      </c>
      <c r="C1297" s="23" t="n">
        <v>4293</v>
      </c>
      <c r="D1297" s="23" t="inlineStr">
        <is>
          <t>0304903026</t>
        </is>
      </c>
      <c r="E1297" s="11" t="inlineStr">
        <is>
          <t>Region III (Central Luzon)</t>
        </is>
      </c>
      <c r="F1297" s="11" t="inlineStr">
        <is>
          <t>Nueva Ecija</t>
        </is>
      </c>
      <c r="G1297" s="11" t="inlineStr">
        <is>
          <t>City of Cabanatuan</t>
        </is>
      </c>
      <c r="H1297" s="11" t="inlineStr">
        <is>
          <t>Caudillo</t>
        </is>
      </c>
      <c r="I1297" s="24" t="n">
        <v>15.585783</v>
      </c>
      <c r="J1297" s="24" t="n">
        <v>120.924577</v>
      </c>
      <c r="K1297" s="23" t="inlineStr">
        <is>
          <t>R</t>
        </is>
      </c>
      <c r="L1297" s="25" t="n">
        <v>2093</v>
      </c>
      <c r="M1297" s="26" t="n">
        <v>3.5</v>
      </c>
      <c r="N1297" s="25">
        <f>ROUND(L1297/M1297, 0)</f>
        <v/>
      </c>
      <c r="O1297" s="25">
        <f>ROUND(N1297*'Methodology &amp; Assumptions'!$B$7, 0)</f>
        <v/>
      </c>
      <c r="P1297" s="23" t="inlineStr">
        <is>
          <t>Single Carrier (Band n50, 100MHz TDD)</t>
        </is>
      </c>
      <c r="Q1297" s="27">
        <f>ROUNDUP(O1297/'Methodology &amp; Assumptions'!$B$8, 0)</f>
        <v/>
      </c>
      <c r="R1297" s="27" t="n">
        <v>1</v>
      </c>
      <c r="S1297" s="26" t="n">
        <v>0.71</v>
      </c>
      <c r="T1297" s="26" t="n">
        <v>0.52</v>
      </c>
      <c r="U1297" s="11">
        <f>IF(S1297&lt;='Methodology &amp; Assumptions'!$B$10, "Direct Optical Drop (&lt;3km)", IF(S1297&lt;='Methodology &amp; Assumptions'!$B$9, "Near Optical / Microwave (&lt;5km)", "Starlink Business LEO Satellite Backhaul (&gt;5km)"))</f>
        <v/>
      </c>
      <c r="V1297" s="26" t="n">
        <v>78.41</v>
      </c>
      <c r="W1297" s="26" t="n">
        <v>38.05</v>
      </c>
      <c r="X1297" s="26">
        <f>ROUND(('Methodology &amp; Assumptions'!$B$5*V1297) + ('Methodology &amp; Assumptions'!$B$6*W1297), 2)</f>
        <v/>
      </c>
      <c r="Y1297" s="28" t="n">
        <v>8.300000000000001</v>
      </c>
      <c r="Z1297" s="11" t="inlineStr">
        <is>
          <t>Priority Tier 3 (Broadband Expansion)</t>
        </is>
      </c>
    </row>
    <row r="1298">
      <c r="A1298" s="23" t="n">
        <v>5</v>
      </c>
      <c r="B1298" s="23" t="n">
        <v>294</v>
      </c>
      <c r="C1298" s="23" t="n">
        <v>4294</v>
      </c>
      <c r="D1298" s="23" t="inlineStr">
        <is>
          <t>0304929031</t>
        </is>
      </c>
      <c r="E1298" s="11" t="inlineStr">
        <is>
          <t>Region III (Central Luzon)</t>
        </is>
      </c>
      <c r="F1298" s="11" t="inlineStr">
        <is>
          <t>Nueva Ecija</t>
        </is>
      </c>
      <c r="G1298" s="11" t="inlineStr">
        <is>
          <t>Santo Domingo</t>
        </is>
      </c>
      <c r="H1298" s="11" t="inlineStr">
        <is>
          <t>San Fabian</t>
        </is>
      </c>
      <c r="I1298" s="24" t="n">
        <v>15.606673</v>
      </c>
      <c r="J1298" s="24" t="n">
        <v>120.913312</v>
      </c>
      <c r="K1298" s="23" t="inlineStr">
        <is>
          <t>R</t>
        </is>
      </c>
      <c r="L1298" s="25" t="n">
        <v>2828</v>
      </c>
      <c r="M1298" s="26" t="n">
        <v>3.5</v>
      </c>
      <c r="N1298" s="25">
        <f>ROUND(L1298/M1298, 0)</f>
        <v/>
      </c>
      <c r="O1298" s="25">
        <f>ROUND(N1298*'Methodology &amp; Assumptions'!$B$7, 0)</f>
        <v/>
      </c>
      <c r="P1298" s="23" t="inlineStr">
        <is>
          <t>Single Carrier (Band n50, 100MHz TDD)</t>
        </is>
      </c>
      <c r="Q1298" s="27">
        <f>ROUNDUP(O1298/'Methodology &amp; Assumptions'!$B$8, 0)</f>
        <v/>
      </c>
      <c r="R1298" s="27" t="n">
        <v>1</v>
      </c>
      <c r="S1298" s="26" t="n">
        <v>2.82</v>
      </c>
      <c r="T1298" s="26" t="n">
        <v>0.6899999999999999</v>
      </c>
      <c r="U1298" s="11">
        <f>IF(S1298&lt;='Methodology &amp; Assumptions'!$B$10, "Direct Optical Drop (&lt;3km)", IF(S1298&lt;='Methodology &amp; Assumptions'!$B$9, "Near Optical / Microwave (&lt;5km)", "Starlink Business LEO Satellite Backhaul (&gt;5km)"))</f>
        <v/>
      </c>
      <c r="V1298" s="26" t="n">
        <v>78.34</v>
      </c>
      <c r="W1298" s="26" t="n">
        <v>38.13</v>
      </c>
      <c r="X1298" s="26">
        <f>ROUND(('Methodology &amp; Assumptions'!$B$5*V1298) + ('Methodology &amp; Assumptions'!$B$6*W1298), 2)</f>
        <v/>
      </c>
      <c r="Y1298" s="28" t="n">
        <v>8.300000000000001</v>
      </c>
      <c r="Z1298" s="11" t="inlineStr">
        <is>
          <t>Priority Tier 3 (Broadband Expansion)</t>
        </is>
      </c>
    </row>
    <row r="1299">
      <c r="A1299" s="23" t="n">
        <v>5</v>
      </c>
      <c r="B1299" s="23" t="n">
        <v>295</v>
      </c>
      <c r="C1299" s="23" t="n">
        <v>4295</v>
      </c>
      <c r="D1299" s="23" t="inlineStr">
        <is>
          <t>0403404005</t>
        </is>
      </c>
      <c r="E1299" s="11" t="inlineStr">
        <is>
          <t>Region IV-A (CALABARZON)</t>
        </is>
      </c>
      <c r="F1299" s="11" t="inlineStr">
        <is>
          <t>Laguna</t>
        </is>
      </c>
      <c r="G1299" s="11" t="inlineStr">
        <is>
          <t>City of Cabuyao</t>
        </is>
      </c>
      <c r="H1299" s="11" t="inlineStr">
        <is>
          <t>Bigaa</t>
        </is>
      </c>
      <c r="I1299" s="24" t="n">
        <v>14.290763</v>
      </c>
      <c r="J1299" s="24" t="n">
        <v>121.128754</v>
      </c>
      <c r="K1299" s="23" t="inlineStr">
        <is>
          <t>U</t>
        </is>
      </c>
      <c r="L1299" s="25" t="n">
        <v>14979</v>
      </c>
      <c r="M1299" s="26" t="n">
        <v>3.3</v>
      </c>
      <c r="N1299" s="25">
        <f>ROUND(L1299/M1299, 0)</f>
        <v/>
      </c>
      <c r="O1299" s="25">
        <f>ROUND(N1299*'Methodology &amp; Assumptions'!$B$7, 0)</f>
        <v/>
      </c>
      <c r="P1299" s="23" t="inlineStr">
        <is>
          <t>Single Carrier (Band n50, 100MHz TDD)</t>
        </is>
      </c>
      <c r="Q1299" s="27">
        <f>ROUNDUP(O1299/'Methodology &amp; Assumptions'!$B$8, 0)</f>
        <v/>
      </c>
      <c r="R1299" s="27" t="n">
        <v>1</v>
      </c>
      <c r="S1299" s="26" t="n">
        <v>1.04</v>
      </c>
      <c r="T1299" s="26" t="n">
        <v>2</v>
      </c>
      <c r="U1299" s="11">
        <f>IF(S1299&lt;='Methodology &amp; Assumptions'!$B$10, "Direct Optical Drop (&lt;3km)", IF(S1299&lt;='Methodology &amp; Assumptions'!$B$9, "Near Optical / Microwave (&lt;5km)", "Starlink Business LEO Satellite Backhaul (&gt;5km)"))</f>
        <v/>
      </c>
      <c r="V1299" s="26" t="n">
        <v>77.48</v>
      </c>
      <c r="W1299" s="26" t="n">
        <v>38.99</v>
      </c>
      <c r="X1299" s="26">
        <f>ROUND(('Methodology &amp; Assumptions'!$B$5*V1299) + ('Methodology &amp; Assumptions'!$B$6*W1299), 2)</f>
        <v/>
      </c>
      <c r="Y1299" s="28" t="n">
        <v>7.2</v>
      </c>
      <c r="Z1299" s="11" t="inlineStr">
        <is>
          <t>Priority Tier 3 (Broadband Expansion)</t>
        </is>
      </c>
    </row>
    <row r="1300">
      <c r="A1300" s="23" t="n">
        <v>5</v>
      </c>
      <c r="B1300" s="23" t="n">
        <v>296</v>
      </c>
      <c r="C1300" s="23" t="n">
        <v>4296</v>
      </c>
      <c r="D1300" s="23" t="inlineStr">
        <is>
          <t>1380605024</t>
        </is>
      </c>
      <c r="E1300" s="11" t="inlineStr">
        <is>
          <t>National Capital Region (NCR)</t>
        </is>
      </c>
      <c r="F1300" s="11" t="inlineStr">
        <is>
          <t>First District (Not a Province)</t>
        </is>
      </c>
      <c r="G1300" s="11" t="inlineStr">
        <is>
          <t>City of Manila</t>
        </is>
      </c>
      <c r="H1300" s="11" t="inlineStr">
        <is>
          <t>Barangay 322</t>
        </is>
      </c>
      <c r="I1300" s="24" t="n">
        <v>14.610225</v>
      </c>
      <c r="J1300" s="24" t="n">
        <v>120.983728</v>
      </c>
      <c r="K1300" s="23" t="inlineStr">
        <is>
          <t>U</t>
        </is>
      </c>
      <c r="L1300" s="25" t="n">
        <v>867</v>
      </c>
      <c r="M1300" s="26" t="n">
        <v>4.05</v>
      </c>
      <c r="N1300" s="25">
        <f>ROUND(L1300/M1300, 0)</f>
        <v/>
      </c>
      <c r="O1300" s="25">
        <f>ROUND(N1300*'Methodology &amp; Assumptions'!$B$7, 0)</f>
        <v/>
      </c>
      <c r="P1300" s="23" t="inlineStr">
        <is>
          <t>Single Carrier (Band n50, 100MHz TDD)</t>
        </is>
      </c>
      <c r="Q1300" s="27">
        <f>ROUNDUP(O1300/'Methodology &amp; Assumptions'!$B$8, 0)</f>
        <v/>
      </c>
      <c r="R1300" s="27" t="n">
        <v>1</v>
      </c>
      <c r="S1300" s="26" t="n">
        <v>0.7</v>
      </c>
      <c r="T1300" s="26" t="n">
        <v>0.21</v>
      </c>
      <c r="U1300" s="11">
        <f>IF(S1300&lt;='Methodology &amp; Assumptions'!$B$10, "Direct Optical Drop (&lt;3km)", IF(S1300&lt;='Methodology &amp; Assumptions'!$B$9, "Near Optical / Microwave (&lt;5km)", "Starlink Business LEO Satellite Backhaul (&gt;5km)"))</f>
        <v/>
      </c>
      <c r="V1300" s="26" t="n">
        <v>47.95</v>
      </c>
      <c r="W1300" s="26" t="n">
        <v>68.52</v>
      </c>
      <c r="X1300" s="26">
        <f>ROUND(('Methodology &amp; Assumptions'!$B$5*V1300) + ('Methodology &amp; Assumptions'!$B$6*W1300), 2)</f>
        <v/>
      </c>
      <c r="Y1300" s="28" t="n">
        <v>10.9</v>
      </c>
      <c r="Z1300" s="11" t="inlineStr">
        <is>
          <t>Priority Tier 3 (Broadband Expansion)</t>
        </is>
      </c>
    </row>
    <row r="1301">
      <c r="A1301" s="23" t="n">
        <v>5</v>
      </c>
      <c r="B1301" s="23" t="n">
        <v>297</v>
      </c>
      <c r="C1301" s="23" t="n">
        <v>4297</v>
      </c>
      <c r="D1301" s="23" t="inlineStr">
        <is>
          <t>1380606094</t>
        </is>
      </c>
      <c r="E1301" s="11" t="inlineStr">
        <is>
          <t>National Capital Region (NCR)</t>
        </is>
      </c>
      <c r="F1301" s="11" t="inlineStr">
        <is>
          <t>First District (Not a Province)</t>
        </is>
      </c>
      <c r="G1301" s="11" t="inlineStr">
        <is>
          <t>City of Manila</t>
        </is>
      </c>
      <c r="H1301" s="11" t="inlineStr">
        <is>
          <t>Barangay 488</t>
        </is>
      </c>
      <c r="I1301" s="24" t="n">
        <v>14.61546</v>
      </c>
      <c r="J1301" s="24" t="n">
        <v>120.991396</v>
      </c>
      <c r="K1301" s="23" t="inlineStr">
        <is>
          <t>U</t>
        </is>
      </c>
      <c r="L1301" s="25" t="n">
        <v>818</v>
      </c>
      <c r="M1301" s="26" t="n">
        <v>3.84</v>
      </c>
      <c r="N1301" s="25">
        <f>ROUND(L1301/M1301, 0)</f>
        <v/>
      </c>
      <c r="O1301" s="25">
        <f>ROUND(N1301*'Methodology &amp; Assumptions'!$B$7, 0)</f>
        <v/>
      </c>
      <c r="P1301" s="23" t="inlineStr">
        <is>
          <t>Single Carrier (Band n50, 100MHz TDD)</t>
        </is>
      </c>
      <c r="Q1301" s="27">
        <f>ROUNDUP(O1301/'Methodology &amp; Assumptions'!$B$8, 0)</f>
        <v/>
      </c>
      <c r="R1301" s="27" t="n">
        <v>1</v>
      </c>
      <c r="S1301" s="26" t="n">
        <v>0.92</v>
      </c>
      <c r="T1301" s="26" t="n">
        <v>0.66</v>
      </c>
      <c r="U1301" s="11">
        <f>IF(S1301&lt;='Methodology &amp; Assumptions'!$B$10, "Direct Optical Drop (&lt;3km)", IF(S1301&lt;='Methodology &amp; Assumptions'!$B$9, "Near Optical / Microwave (&lt;5km)", "Starlink Business LEO Satellite Backhaul (&gt;5km)"))</f>
        <v/>
      </c>
      <c r="V1301" s="26" t="n">
        <v>47.63</v>
      </c>
      <c r="W1301" s="26" t="n">
        <v>68.84</v>
      </c>
      <c r="X1301" s="26">
        <f>ROUND(('Methodology &amp; Assumptions'!$B$5*V1301) + ('Methodology &amp; Assumptions'!$B$6*W1301), 2)</f>
        <v/>
      </c>
      <c r="Y1301" s="28" t="n">
        <v>10.9</v>
      </c>
      <c r="Z1301" s="11" t="inlineStr">
        <is>
          <t>Priority Tier 3 (Broadband Expansion)</t>
        </is>
      </c>
    </row>
    <row r="1302">
      <c r="A1302" s="23" t="n">
        <v>5</v>
      </c>
      <c r="B1302" s="23" t="n">
        <v>298</v>
      </c>
      <c r="C1302" s="23" t="n">
        <v>4298</v>
      </c>
      <c r="D1302" s="23" t="inlineStr">
        <is>
          <t>1903621012</t>
        </is>
      </c>
      <c r="E1302" s="11" t="inlineStr">
        <is>
          <t>Bangsamoro Autonomous Region In Muslim Mindanao (BARMM)</t>
        </is>
      </c>
      <c r="F1302" s="11" t="inlineStr">
        <is>
          <t>Lanao del Sur</t>
        </is>
      </c>
      <c r="G1302" s="11" t="inlineStr">
        <is>
          <t>Piagapo</t>
        </is>
      </c>
      <c r="H1302" s="11" t="inlineStr">
        <is>
          <t>Katumbacan</t>
        </is>
      </c>
      <c r="I1302" s="24" t="n">
        <v>8.011635</v>
      </c>
      <c r="J1302" s="24" t="n">
        <v>124.194213</v>
      </c>
      <c r="K1302" s="23" t="inlineStr">
        <is>
          <t>R</t>
        </is>
      </c>
      <c r="L1302" s="25" t="n">
        <v>744</v>
      </c>
      <c r="M1302" s="26" t="n">
        <v>5.7</v>
      </c>
      <c r="N1302" s="25">
        <f>ROUND(L1302/M1302, 0)</f>
        <v/>
      </c>
      <c r="O1302" s="25">
        <f>ROUND(N1302*'Methodology &amp; Assumptions'!$B$7, 0)</f>
        <v/>
      </c>
      <c r="P1302" s="23" t="inlineStr">
        <is>
          <t>Single Carrier (Band n50, 100MHz TDD)</t>
        </is>
      </c>
      <c r="Q1302" s="27">
        <f>ROUNDUP(O1302/'Methodology &amp; Assumptions'!$B$8, 0)</f>
        <v/>
      </c>
      <c r="R1302" s="27" t="n">
        <v>1</v>
      </c>
      <c r="S1302" s="26" t="n">
        <v>8.82</v>
      </c>
      <c r="T1302" s="26" t="n">
        <v>7.8</v>
      </c>
      <c r="U1302" s="11">
        <f>IF(S1302&lt;='Methodology &amp; Assumptions'!$B$10, "Direct Optical Drop (&lt;3km)", IF(S1302&lt;='Methodology &amp; Assumptions'!$B$9, "Near Optical / Microwave (&lt;5km)", "Starlink Business LEO Satellite Backhaul (&gt;5km)"))</f>
        <v/>
      </c>
      <c r="V1302" s="26" t="n">
        <v>40.85</v>
      </c>
      <c r="W1302" s="26" t="n">
        <v>75.61</v>
      </c>
      <c r="X1302" s="26">
        <f>ROUND(('Methodology &amp; Assumptions'!$B$5*V1302) + ('Methodology &amp; Assumptions'!$B$6*W1302), 2)</f>
        <v/>
      </c>
      <c r="Y1302" s="28" t="n">
        <v>11</v>
      </c>
      <c r="Z1302" s="11" t="inlineStr">
        <is>
          <t>Priority Tier 3 (Broadband Expansion)</t>
        </is>
      </c>
    </row>
    <row r="1303">
      <c r="A1303" s="23" t="n">
        <v>5</v>
      </c>
      <c r="B1303" s="23" t="n">
        <v>299</v>
      </c>
      <c r="C1303" s="23" t="n">
        <v>4299</v>
      </c>
      <c r="D1303" s="23" t="inlineStr">
        <is>
          <t>0631000166</t>
        </is>
      </c>
      <c r="E1303" s="11" t="inlineStr">
        <is>
          <t>Region VI (Western Visayas)</t>
        </is>
      </c>
      <c r="F1303" s="11" t="inlineStr">
        <is>
          <t>Iloilo</t>
        </is>
      </c>
      <c r="G1303" s="11" t="inlineStr">
        <is>
          <t>City of Iloilo</t>
        </is>
      </c>
      <c r="H1303" s="11" t="inlineStr">
        <is>
          <t>Santo Domingo</t>
        </is>
      </c>
      <c r="I1303" s="24" t="n">
        <v>10.92438</v>
      </c>
      <c r="J1303" s="24" t="n">
        <v>122.558213</v>
      </c>
      <c r="K1303" s="23" t="inlineStr">
        <is>
          <t>R</t>
        </is>
      </c>
      <c r="L1303" s="25" t="n">
        <v>2417</v>
      </c>
      <c r="M1303" s="26" t="n">
        <v>4.2</v>
      </c>
      <c r="N1303" s="25">
        <f>ROUND(L1303/M1303, 0)</f>
        <v/>
      </c>
      <c r="O1303" s="25">
        <f>ROUND(N1303*'Methodology &amp; Assumptions'!$B$7, 0)</f>
        <v/>
      </c>
      <c r="P1303" s="23" t="inlineStr">
        <is>
          <t>Single Carrier (Band n50, 100MHz TDD)</t>
        </is>
      </c>
      <c r="Q1303" s="27">
        <f>ROUNDUP(O1303/'Methodology &amp; Assumptions'!$B$8, 0)</f>
        <v/>
      </c>
      <c r="R1303" s="27" t="n">
        <v>1</v>
      </c>
      <c r="S1303" s="26" t="n">
        <v>0.97</v>
      </c>
      <c r="T1303" s="26" t="n">
        <v>0.96</v>
      </c>
      <c r="U1303" s="11">
        <f>IF(S1303&lt;='Methodology &amp; Assumptions'!$B$10, "Direct Optical Drop (&lt;3km)", IF(S1303&lt;='Methodology &amp; Assumptions'!$B$9, "Near Optical / Microwave (&lt;5km)", "Starlink Business LEO Satellite Backhaul (&gt;5km)"))</f>
        <v/>
      </c>
      <c r="V1303" s="26" t="n">
        <v>78.38</v>
      </c>
      <c r="W1303" s="26" t="n">
        <v>38.05</v>
      </c>
      <c r="X1303" s="26">
        <f>ROUND(('Methodology &amp; Assumptions'!$B$5*V1303) + ('Methodology &amp; Assumptions'!$B$6*W1303), 2)</f>
        <v/>
      </c>
      <c r="Y1303" s="28" t="n">
        <v>23.7</v>
      </c>
      <c r="Z1303" s="11" t="inlineStr">
        <is>
          <t>Priority Tier 3 (Broadband Expansion)</t>
        </is>
      </c>
    </row>
    <row r="1304">
      <c r="A1304" s="23" t="n">
        <v>5</v>
      </c>
      <c r="B1304" s="23" t="n">
        <v>300</v>
      </c>
      <c r="C1304" s="23" t="n">
        <v>4300</v>
      </c>
      <c r="D1304" s="23" t="inlineStr">
        <is>
          <t>1380606232</t>
        </is>
      </c>
      <c r="E1304" s="11" t="inlineStr">
        <is>
          <t>National Capital Region (NCR)</t>
        </is>
      </c>
      <c r="F1304" s="11" t="inlineStr">
        <is>
          <t>First District (Not a Province)</t>
        </is>
      </c>
      <c r="G1304" s="11" t="inlineStr">
        <is>
          <t>City of Manila</t>
        </is>
      </c>
      <c r="H1304" s="11" t="inlineStr">
        <is>
          <t>Barangay 625</t>
        </is>
      </c>
      <c r="I1304" s="24" t="n">
        <v>14.589528</v>
      </c>
      <c r="J1304" s="24" t="n">
        <v>121.017363</v>
      </c>
      <c r="K1304" s="23" t="inlineStr">
        <is>
          <t>U</t>
        </is>
      </c>
      <c r="L1304" s="25" t="n">
        <v>794</v>
      </c>
      <c r="M1304" s="26" t="n">
        <v>2.91</v>
      </c>
      <c r="N1304" s="25">
        <f>ROUND(L1304/M1304, 0)</f>
        <v/>
      </c>
      <c r="O1304" s="25">
        <f>ROUND(N1304*'Methodology &amp; Assumptions'!$B$7, 0)</f>
        <v/>
      </c>
      <c r="P1304" s="23" t="inlineStr">
        <is>
          <t>Single Carrier (Band n50, 100MHz TDD)</t>
        </is>
      </c>
      <c r="Q1304" s="27">
        <f>ROUNDUP(O1304/'Methodology &amp; Assumptions'!$B$8, 0)</f>
        <v/>
      </c>
      <c r="R1304" s="27" t="n">
        <v>1</v>
      </c>
      <c r="S1304" s="26" t="n">
        <v>1.33</v>
      </c>
      <c r="T1304" s="26" t="n">
        <v>0.53</v>
      </c>
      <c r="U1304" s="11">
        <f>IF(S1304&lt;='Methodology &amp; Assumptions'!$B$10, "Direct Optical Drop (&lt;3km)", IF(S1304&lt;='Methodology &amp; Assumptions'!$B$9, "Near Optical / Microwave (&lt;5km)", "Starlink Business LEO Satellite Backhaul (&gt;5km)"))</f>
        <v/>
      </c>
      <c r="V1304" s="26" t="n">
        <v>48.03</v>
      </c>
      <c r="W1304" s="26" t="n">
        <v>68.40000000000001</v>
      </c>
      <c r="X1304" s="26">
        <f>ROUND(('Methodology &amp; Assumptions'!$B$5*V1304) + ('Methodology &amp; Assumptions'!$B$6*W1304), 2)</f>
        <v/>
      </c>
      <c r="Y1304" s="28" t="n">
        <v>10.9</v>
      </c>
      <c r="Z1304" s="11" t="inlineStr">
        <is>
          <t>Priority Tier 3 (Broadband Expansion)</t>
        </is>
      </c>
    </row>
    <row r="1305">
      <c r="A1305" s="23" t="n">
        <v>5</v>
      </c>
      <c r="B1305" s="23" t="n">
        <v>301</v>
      </c>
      <c r="C1305" s="23" t="n">
        <v>4301</v>
      </c>
      <c r="D1305" s="23" t="inlineStr">
        <is>
          <t>1907001005</t>
        </is>
      </c>
      <c r="E1305" s="11" t="inlineStr">
        <is>
          <t>Bangsamoro Autonomous Region In Muslim Mindanao (BARMM)</t>
        </is>
      </c>
      <c r="F1305" s="11" t="inlineStr">
        <is>
          <t>Tawi-Tawi</t>
        </is>
      </c>
      <c r="G1305" s="11" t="inlineStr">
        <is>
          <t>Panglima Sugala</t>
        </is>
      </c>
      <c r="H1305" s="11" t="inlineStr">
        <is>
          <t>Luuk Buntal</t>
        </is>
      </c>
      <c r="I1305" s="24" t="n">
        <v>4.971543</v>
      </c>
      <c r="J1305" s="24" t="n">
        <v>119.984187</v>
      </c>
      <c r="K1305" s="23" t="inlineStr">
        <is>
          <t>R</t>
        </is>
      </c>
      <c r="L1305" s="25" t="n">
        <v>2290</v>
      </c>
      <c r="M1305" s="26" t="n">
        <v>5.8</v>
      </c>
      <c r="N1305" s="25">
        <f>ROUND(L1305/M1305, 0)</f>
        <v/>
      </c>
      <c r="O1305" s="25">
        <f>ROUND(N1305*'Methodology &amp; Assumptions'!$B$7, 0)</f>
        <v/>
      </c>
      <c r="P1305" s="23" t="inlineStr">
        <is>
          <t>Single Carrier (Band n50, 100MHz TDD)</t>
        </is>
      </c>
      <c r="Q1305" s="27">
        <f>ROUNDUP(O1305/'Methodology &amp; Assumptions'!$B$8, 0)</f>
        <v/>
      </c>
      <c r="R1305" s="27" t="n">
        <v>1</v>
      </c>
      <c r="S1305" s="26" t="n">
        <v>999</v>
      </c>
      <c r="T1305" s="26" t="n">
        <v>999</v>
      </c>
      <c r="U1305" s="11">
        <f>IF(S1305&lt;='Methodology &amp; Assumptions'!$B$10, "Direct Optical Drop (&lt;3km)", IF(S1305&lt;='Methodology &amp; Assumptions'!$B$9, "Near Optical / Microwave (&lt;5km)", "Starlink Business LEO Satellite Backhaul (&gt;5km)"))</f>
        <v/>
      </c>
      <c r="V1305" s="26" t="n">
        <v>43.69</v>
      </c>
      <c r="W1305" s="26" t="n">
        <v>72.75</v>
      </c>
      <c r="X1305" s="26">
        <f>ROUND(('Methodology &amp; Assumptions'!$B$5*V1305) + ('Methodology &amp; Assumptions'!$B$6*W1305), 2)</f>
        <v/>
      </c>
      <c r="Y1305" s="28" t="n">
        <v>11</v>
      </c>
      <c r="Z1305" s="11" t="inlineStr">
        <is>
          <t>Priority Tier 3 (Broadband Expansion)</t>
        </is>
      </c>
    </row>
    <row r="1306">
      <c r="A1306" s="23" t="n">
        <v>5</v>
      </c>
      <c r="B1306" s="23" t="n">
        <v>302</v>
      </c>
      <c r="C1306" s="23" t="n">
        <v>4302</v>
      </c>
      <c r="D1306" s="23" t="inlineStr">
        <is>
          <t>0300804007</t>
        </is>
      </c>
      <c r="E1306" s="11" t="inlineStr">
        <is>
          <t>Region III (Central Luzon)</t>
        </is>
      </c>
      <c r="F1306" s="11" t="inlineStr">
        <is>
          <t>Bataan</t>
        </is>
      </c>
      <c r="G1306" s="11" t="inlineStr">
        <is>
          <t>Dinalupihan</t>
        </is>
      </c>
      <c r="H1306" s="11" t="inlineStr">
        <is>
          <t>Colo</t>
        </is>
      </c>
      <c r="I1306" s="24" t="n">
        <v>14.846759</v>
      </c>
      <c r="J1306" s="24" t="n">
        <v>120.411373</v>
      </c>
      <c r="K1306" s="23" t="inlineStr">
        <is>
          <t>R</t>
        </is>
      </c>
      <c r="L1306" s="25" t="n">
        <v>3814</v>
      </c>
      <c r="M1306" s="26" t="n">
        <v>3.6</v>
      </c>
      <c r="N1306" s="25">
        <f>ROUND(L1306/M1306, 0)</f>
        <v/>
      </c>
      <c r="O1306" s="25">
        <f>ROUND(N1306*'Methodology &amp; Assumptions'!$B$7, 0)</f>
        <v/>
      </c>
      <c r="P1306" s="23" t="inlineStr">
        <is>
          <t>Single Carrier (Band n50, 100MHz TDD)</t>
        </is>
      </c>
      <c r="Q1306" s="27">
        <f>ROUNDUP(O1306/'Methodology &amp; Assumptions'!$B$8, 0)</f>
        <v/>
      </c>
      <c r="R1306" s="27" t="n">
        <v>1</v>
      </c>
      <c r="S1306" s="26" t="n">
        <v>1.51</v>
      </c>
      <c r="T1306" s="26" t="n">
        <v>0.05</v>
      </c>
      <c r="U1306" s="11">
        <f>IF(S1306&lt;='Methodology &amp; Assumptions'!$B$10, "Direct Optical Drop (&lt;3km)", IF(S1306&lt;='Methodology &amp; Assumptions'!$B$9, "Near Optical / Microwave (&lt;5km)", "Starlink Business LEO Satellite Backhaul (&gt;5km)"))</f>
        <v/>
      </c>
      <c r="V1306" s="26" t="n">
        <v>83.11</v>
      </c>
      <c r="W1306" s="26" t="n">
        <v>33.31</v>
      </c>
      <c r="X1306" s="26">
        <f>ROUND(('Methodology &amp; Assumptions'!$B$5*V1306) + ('Methodology &amp; Assumptions'!$B$6*W1306), 2)</f>
        <v/>
      </c>
      <c r="Y1306" s="28" t="n">
        <v>8.300000000000001</v>
      </c>
      <c r="Z1306" s="11" t="inlineStr">
        <is>
          <t>Priority Tier 3 (Broadband Expansion)</t>
        </is>
      </c>
    </row>
    <row r="1307">
      <c r="A1307" s="23" t="n">
        <v>5</v>
      </c>
      <c r="B1307" s="23" t="n">
        <v>303</v>
      </c>
      <c r="C1307" s="23" t="n">
        <v>4303</v>
      </c>
      <c r="D1307" s="23" t="inlineStr">
        <is>
          <t>0600416002</t>
        </is>
      </c>
      <c r="E1307" s="11" t="inlineStr">
        <is>
          <t>Region VI (Western Visayas)</t>
        </is>
      </c>
      <c r="F1307" s="11" t="inlineStr">
        <is>
          <t>Aklan</t>
        </is>
      </c>
      <c r="G1307" s="11" t="inlineStr">
        <is>
          <t>Numancia</t>
        </is>
      </c>
      <c r="H1307" s="11" t="inlineStr">
        <is>
          <t>Aliputos</t>
        </is>
      </c>
      <c r="I1307" s="24" t="n">
        <v>11.69995</v>
      </c>
      <c r="J1307" s="24" t="n">
        <v>122.334302</v>
      </c>
      <c r="K1307" s="23" t="inlineStr">
        <is>
          <t>R</t>
        </is>
      </c>
      <c r="L1307" s="25" t="n">
        <v>2643</v>
      </c>
      <c r="M1307" s="26" t="n">
        <v>3.9</v>
      </c>
      <c r="N1307" s="25">
        <f>ROUND(L1307/M1307, 0)</f>
        <v/>
      </c>
      <c r="O1307" s="25">
        <f>ROUND(N1307*'Methodology &amp; Assumptions'!$B$7, 0)</f>
        <v/>
      </c>
      <c r="P1307" s="23" t="inlineStr">
        <is>
          <t>Single Carrier (Band n50, 100MHz TDD)</t>
        </is>
      </c>
      <c r="Q1307" s="27">
        <f>ROUNDUP(O1307/'Methodology &amp; Assumptions'!$B$8, 0)</f>
        <v/>
      </c>
      <c r="R1307" s="27" t="n">
        <v>1</v>
      </c>
      <c r="S1307" s="26" t="n">
        <v>0.8</v>
      </c>
      <c r="T1307" s="26" t="n">
        <v>0.55</v>
      </c>
      <c r="U1307" s="11">
        <f>IF(S1307&lt;='Methodology &amp; Assumptions'!$B$10, "Direct Optical Drop (&lt;3km)", IF(S1307&lt;='Methodology &amp; Assumptions'!$B$9, "Near Optical / Microwave (&lt;5km)", "Starlink Business LEO Satellite Backhaul (&gt;5km)"))</f>
        <v/>
      </c>
      <c r="V1307" s="26" t="n">
        <v>82.04000000000001</v>
      </c>
      <c r="W1307" s="26" t="n">
        <v>34.39</v>
      </c>
      <c r="X1307" s="26">
        <f>ROUND(('Methodology &amp; Assumptions'!$B$5*V1307) + ('Methodology &amp; Assumptions'!$B$6*W1307), 2)</f>
        <v/>
      </c>
      <c r="Y1307" s="28" t="n">
        <v>23.7</v>
      </c>
      <c r="Z1307" s="11" t="inlineStr">
        <is>
          <t>Priority Tier 3 (Broadband Expansion)</t>
        </is>
      </c>
    </row>
    <row r="1308">
      <c r="A1308" s="23" t="n">
        <v>5</v>
      </c>
      <c r="B1308" s="23" t="n">
        <v>304</v>
      </c>
      <c r="C1308" s="23" t="n">
        <v>4304</v>
      </c>
      <c r="D1308" s="23" t="inlineStr">
        <is>
          <t>1004319007</t>
        </is>
      </c>
      <c r="E1308" s="11" t="inlineStr">
        <is>
          <t>Region X (Northern Mindanao)</t>
        </is>
      </c>
      <c r="F1308" s="11" t="inlineStr">
        <is>
          <t>Misamis Oriental</t>
        </is>
      </c>
      <c r="G1308" s="11" t="inlineStr">
        <is>
          <t>Medina</t>
        </is>
      </c>
      <c r="H1308" s="11" t="inlineStr">
        <is>
          <t>Maanas</t>
        </is>
      </c>
      <c r="I1308" s="24" t="n">
        <v>8.893252</v>
      </c>
      <c r="J1308" s="24" t="n">
        <v>125.030739</v>
      </c>
      <c r="K1308" s="23" t="inlineStr">
        <is>
          <t>R</t>
        </is>
      </c>
      <c r="L1308" s="25" t="n">
        <v>4451</v>
      </c>
      <c r="M1308" s="26" t="n">
        <v>3.9</v>
      </c>
      <c r="N1308" s="25">
        <f>ROUND(L1308/M1308, 0)</f>
        <v/>
      </c>
      <c r="O1308" s="25">
        <f>ROUND(N1308*'Methodology &amp; Assumptions'!$B$7, 0)</f>
        <v/>
      </c>
      <c r="P1308" s="23" t="inlineStr">
        <is>
          <t>Single Carrier (Band n50, 100MHz TDD)</t>
        </is>
      </c>
      <c r="Q1308" s="27">
        <f>ROUNDUP(O1308/'Methodology &amp; Assumptions'!$B$8, 0)</f>
        <v/>
      </c>
      <c r="R1308" s="27" t="n">
        <v>1</v>
      </c>
      <c r="S1308" s="26" t="n">
        <v>2.25</v>
      </c>
      <c r="T1308" s="26" t="n">
        <v>0.04</v>
      </c>
      <c r="U1308" s="11">
        <f>IF(S1308&lt;='Methodology &amp; Assumptions'!$B$10, "Direct Optical Drop (&lt;3km)", IF(S1308&lt;='Methodology &amp; Assumptions'!$B$9, "Near Optical / Microwave (&lt;5km)", "Starlink Business LEO Satellite Backhaul (&gt;5km)"))</f>
        <v/>
      </c>
      <c r="V1308" s="26" t="n">
        <v>81.98999999999999</v>
      </c>
      <c r="W1308" s="26" t="n">
        <v>34.44</v>
      </c>
      <c r="X1308" s="26">
        <f>ROUND(('Methodology &amp; Assumptions'!$B$5*V1308) + ('Methodology &amp; Assumptions'!$B$6*W1308), 2)</f>
        <v/>
      </c>
      <c r="Y1308" s="28" t="n">
        <v>17.4</v>
      </c>
      <c r="Z1308" s="11" t="inlineStr">
        <is>
          <t>Priority Tier 3 (Broadband Expansion)</t>
        </is>
      </c>
    </row>
    <row r="1309">
      <c r="A1309" s="23" t="n">
        <v>5</v>
      </c>
      <c r="B1309" s="23" t="n">
        <v>305</v>
      </c>
      <c r="C1309" s="23" t="n">
        <v>4305</v>
      </c>
      <c r="D1309" s="23" t="inlineStr">
        <is>
          <t>0702208027</t>
        </is>
      </c>
      <c r="E1309" s="11" t="inlineStr">
        <is>
          <t>Region VII (Central Visayas)</t>
        </is>
      </c>
      <c r="F1309" s="11" t="inlineStr">
        <is>
          <t>Cebu</t>
        </is>
      </c>
      <c r="G1309" s="11" t="inlineStr">
        <is>
          <t>Balamban</t>
        </is>
      </c>
      <c r="H1309" s="11" t="inlineStr">
        <is>
          <t>Baliwagan</t>
        </is>
      </c>
      <c r="I1309" s="24" t="n">
        <v>10.506889</v>
      </c>
      <c r="J1309" s="24" t="n">
        <v>123.712103</v>
      </c>
      <c r="K1309" s="23" t="inlineStr">
        <is>
          <t>U</t>
        </is>
      </c>
      <c r="L1309" s="25" t="n">
        <v>6280</v>
      </c>
      <c r="M1309" s="26" t="n">
        <v>3.8</v>
      </c>
      <c r="N1309" s="25">
        <f>ROUND(L1309/M1309, 0)</f>
        <v/>
      </c>
      <c r="O1309" s="25">
        <f>ROUND(N1309*'Methodology &amp; Assumptions'!$B$7, 0)</f>
        <v/>
      </c>
      <c r="P1309" s="23" t="inlineStr">
        <is>
          <t>Single Carrier (Band n50, 100MHz TDD)</t>
        </is>
      </c>
      <c r="Q1309" s="27">
        <f>ROUNDUP(O1309/'Methodology &amp; Assumptions'!$B$8, 0)</f>
        <v/>
      </c>
      <c r="R1309" s="27" t="n">
        <v>1</v>
      </c>
      <c r="S1309" s="26" t="n">
        <v>0.35</v>
      </c>
      <c r="T1309" s="26" t="n">
        <v>0.14</v>
      </c>
      <c r="U1309" s="11">
        <f>IF(S1309&lt;='Methodology &amp; Assumptions'!$B$10, "Direct Optical Drop (&lt;3km)", IF(S1309&lt;='Methodology &amp; Assumptions'!$B$9, "Near Optical / Microwave (&lt;5km)", "Starlink Business LEO Satellite Backhaul (&gt;5km)"))</f>
        <v/>
      </c>
      <c r="V1309" s="26" t="n">
        <v>80.86</v>
      </c>
      <c r="W1309" s="26" t="n">
        <v>35.56</v>
      </c>
      <c r="X1309" s="26">
        <f>ROUND(('Methodology &amp; Assumptions'!$B$5*V1309) + ('Methodology &amp; Assumptions'!$B$6*W1309), 2)</f>
        <v/>
      </c>
      <c r="Y1309" s="28" t="n">
        <v>23.7</v>
      </c>
      <c r="Z1309" s="11" t="inlineStr">
        <is>
          <t>Priority Tier 3 (Broadband Expansion)</t>
        </is>
      </c>
    </row>
    <row r="1310">
      <c r="A1310" s="23" t="n">
        <v>5</v>
      </c>
      <c r="B1310" s="23" t="n">
        <v>306</v>
      </c>
      <c r="C1310" s="23" t="n">
        <v>4306</v>
      </c>
      <c r="D1310" s="23" t="inlineStr">
        <is>
          <t>0305407031</t>
        </is>
      </c>
      <c r="E1310" s="11" t="inlineStr">
        <is>
          <t>Region III (Central Luzon)</t>
        </is>
      </c>
      <c r="F1310" s="11" t="inlineStr">
        <is>
          <t>Pampanga</t>
        </is>
      </c>
      <c r="G1310" s="11" t="inlineStr">
        <is>
          <t>Guagua</t>
        </is>
      </c>
      <c r="H1310" s="11" t="inlineStr">
        <is>
          <t>Santo Cristo</t>
        </is>
      </c>
      <c r="I1310" s="24" t="n">
        <v>14.96505</v>
      </c>
      <c r="J1310" s="24" t="n">
        <v>120.6312</v>
      </c>
      <c r="K1310" s="23" t="inlineStr">
        <is>
          <t>U</t>
        </is>
      </c>
      <c r="L1310" s="25" t="n">
        <v>3997</v>
      </c>
      <c r="M1310" s="26" t="n">
        <v>4</v>
      </c>
      <c r="N1310" s="25">
        <f>ROUND(L1310/M1310, 0)</f>
        <v/>
      </c>
      <c r="O1310" s="25">
        <f>ROUND(N1310*'Methodology &amp; Assumptions'!$B$7, 0)</f>
        <v/>
      </c>
      <c r="P1310" s="23" t="inlineStr">
        <is>
          <t>Single Carrier (Band n50, 100MHz TDD)</t>
        </is>
      </c>
      <c r="Q1310" s="27">
        <f>ROUNDUP(O1310/'Methodology &amp; Assumptions'!$B$8, 0)</f>
        <v/>
      </c>
      <c r="R1310" s="27" t="n">
        <v>1</v>
      </c>
      <c r="S1310" s="26" t="n">
        <v>0.9</v>
      </c>
      <c r="T1310" s="26" t="n">
        <v>0.01</v>
      </c>
      <c r="U1310" s="11">
        <f>IF(S1310&lt;='Methodology &amp; Assumptions'!$B$10, "Direct Optical Drop (&lt;3km)", IF(S1310&lt;='Methodology &amp; Assumptions'!$B$9, "Near Optical / Microwave (&lt;5km)", "Starlink Business LEO Satellite Backhaul (&gt;5km)"))</f>
        <v/>
      </c>
      <c r="V1310" s="26" t="n">
        <v>78.20999999999999</v>
      </c>
      <c r="W1310" s="26" t="n">
        <v>38.22</v>
      </c>
      <c r="X1310" s="26">
        <f>ROUND(('Methodology &amp; Assumptions'!$B$5*V1310) + ('Methodology &amp; Assumptions'!$B$6*W1310), 2)</f>
        <v/>
      </c>
      <c r="Y1310" s="28" t="n">
        <v>8.300000000000001</v>
      </c>
      <c r="Z1310" s="11" t="inlineStr">
        <is>
          <t>Priority Tier 3 (Broadband Expansion)</t>
        </is>
      </c>
    </row>
    <row r="1311">
      <c r="A1311" s="23" t="n">
        <v>5</v>
      </c>
      <c r="B1311" s="23" t="n">
        <v>307</v>
      </c>
      <c r="C1311" s="23" t="n">
        <v>4307</v>
      </c>
      <c r="D1311" s="23" t="inlineStr">
        <is>
          <t>0405802014</t>
        </is>
      </c>
      <c r="E1311" s="11" t="inlineStr">
        <is>
          <t>Region IV-A (CALABARZON)</t>
        </is>
      </c>
      <c r="F1311" s="11" t="inlineStr">
        <is>
          <t>Rizal</t>
        </is>
      </c>
      <c r="G1311" s="11" t="inlineStr">
        <is>
          <t>City of Antipolo</t>
        </is>
      </c>
      <c r="H1311" s="11" t="inlineStr">
        <is>
          <t>Inarawan</t>
        </is>
      </c>
      <c r="I1311" s="24" t="n">
        <v>14.624615</v>
      </c>
      <c r="J1311" s="24" t="n">
        <v>121.180512</v>
      </c>
      <c r="K1311" s="23" t="inlineStr">
        <is>
          <t>U</t>
        </is>
      </c>
      <c r="L1311" s="25" t="n">
        <v>30554</v>
      </c>
      <c r="M1311" s="26" t="n">
        <v>3.6</v>
      </c>
      <c r="N1311" s="25">
        <f>ROUND(L1311/M1311, 0)</f>
        <v/>
      </c>
      <c r="O1311" s="25">
        <f>ROUND(N1311*'Methodology &amp; Assumptions'!$B$7, 0)</f>
        <v/>
      </c>
      <c r="P1311" s="23" t="inlineStr">
        <is>
          <t>Single Carrier (Band n50, 100MHz TDD)</t>
        </is>
      </c>
      <c r="Q1311" s="27">
        <f>ROUNDUP(O1311/'Methodology &amp; Assumptions'!$B$8, 0)</f>
        <v/>
      </c>
      <c r="R1311" s="27" t="n">
        <v>1</v>
      </c>
      <c r="S1311" s="26" t="n">
        <v>1.03</v>
      </c>
      <c r="T1311" s="26" t="n">
        <v>0.58</v>
      </c>
      <c r="U1311" s="11">
        <f>IF(S1311&lt;='Methodology &amp; Assumptions'!$B$10, "Direct Optical Drop (&lt;3km)", IF(S1311&lt;='Methodology &amp; Assumptions'!$B$9, "Near Optical / Microwave (&lt;5km)", "Starlink Business LEO Satellite Backhaul (&gt;5km)"))</f>
        <v/>
      </c>
      <c r="V1311" s="26" t="n">
        <v>77.2</v>
      </c>
      <c r="W1311" s="26" t="n">
        <v>39.22</v>
      </c>
      <c r="X1311" s="26">
        <f>ROUND(('Methodology &amp; Assumptions'!$B$5*V1311) + ('Methodology &amp; Assumptions'!$B$6*W1311), 2)</f>
        <v/>
      </c>
      <c r="Y1311" s="28" t="n">
        <v>7.2</v>
      </c>
      <c r="Z1311" s="11" t="inlineStr">
        <is>
          <t>Priority Tier 3 (Broadband Expansion)</t>
        </is>
      </c>
    </row>
    <row r="1312">
      <c r="A1312" s="23" t="n">
        <v>5</v>
      </c>
      <c r="B1312" s="23" t="n">
        <v>308</v>
      </c>
      <c r="C1312" s="23" t="n">
        <v>4308</v>
      </c>
      <c r="D1312" s="23" t="inlineStr">
        <is>
          <t>0300810028</t>
        </is>
      </c>
      <c r="E1312" s="11" t="inlineStr">
        <is>
          <t>Region III (Central Luzon)</t>
        </is>
      </c>
      <c r="F1312" s="11" t="inlineStr">
        <is>
          <t>Bataan</t>
        </is>
      </c>
      <c r="G1312" s="11" t="inlineStr">
        <is>
          <t>Orion</t>
        </is>
      </c>
      <c r="H1312" s="11" t="inlineStr">
        <is>
          <t>Wakas</t>
        </is>
      </c>
      <c r="I1312" s="24" t="n">
        <v>14.617476</v>
      </c>
      <c r="J1312" s="24" t="n">
        <v>120.578921</v>
      </c>
      <c r="K1312" s="23" t="inlineStr">
        <is>
          <t>R</t>
        </is>
      </c>
      <c r="L1312" s="25" t="n">
        <v>1021</v>
      </c>
      <c r="M1312" s="26" t="n">
        <v>3.6</v>
      </c>
      <c r="N1312" s="25">
        <f>ROUND(L1312/M1312, 0)</f>
        <v/>
      </c>
      <c r="O1312" s="25">
        <f>ROUND(N1312*'Methodology &amp; Assumptions'!$B$7, 0)</f>
        <v/>
      </c>
      <c r="P1312" s="23" t="inlineStr">
        <is>
          <t>Single Carrier (Band n50, 100MHz TDD)</t>
        </is>
      </c>
      <c r="Q1312" s="27">
        <f>ROUNDUP(O1312/'Methodology &amp; Assumptions'!$B$8, 0)</f>
        <v/>
      </c>
      <c r="R1312" s="27" t="n">
        <v>1</v>
      </c>
      <c r="S1312" s="26" t="n">
        <v>0.23</v>
      </c>
      <c r="T1312" s="26" t="n">
        <v>0.1</v>
      </c>
      <c r="U1312" s="11">
        <f>IF(S1312&lt;='Methodology &amp; Assumptions'!$B$10, "Direct Optical Drop (&lt;3km)", IF(S1312&lt;='Methodology &amp; Assumptions'!$B$9, "Near Optical / Microwave (&lt;5km)", "Starlink Business LEO Satellite Backhaul (&gt;5km)"))</f>
        <v/>
      </c>
      <c r="V1312" s="26" t="n">
        <v>68.23999999999999</v>
      </c>
      <c r="W1312" s="26" t="n">
        <v>48.18</v>
      </c>
      <c r="X1312" s="26">
        <f>ROUND(('Methodology &amp; Assumptions'!$B$5*V1312) + ('Methodology &amp; Assumptions'!$B$6*W1312), 2)</f>
        <v/>
      </c>
      <c r="Y1312" s="28" t="n">
        <v>8.300000000000001</v>
      </c>
      <c r="Z1312" s="11" t="inlineStr">
        <is>
          <t>Priority Tier 3 (Broadband Expansion)</t>
        </is>
      </c>
    </row>
    <row r="1313">
      <c r="A1313" s="23" t="n">
        <v>5</v>
      </c>
      <c r="B1313" s="23" t="n">
        <v>309</v>
      </c>
      <c r="C1313" s="23" t="n">
        <v>4309</v>
      </c>
      <c r="D1313" s="23" t="inlineStr">
        <is>
          <t>0405619043</t>
        </is>
      </c>
      <c r="E1313" s="11" t="inlineStr">
        <is>
          <t>Region IV-A (CALABARZON)</t>
        </is>
      </c>
      <c r="F1313" s="11" t="inlineStr">
        <is>
          <t>Quezon</t>
        </is>
      </c>
      <c r="G1313" s="11" t="inlineStr">
        <is>
          <t>Gumaca</t>
        </is>
      </c>
      <c r="H1313" s="11" t="inlineStr">
        <is>
          <t>San Isidro Silangan</t>
        </is>
      </c>
      <c r="I1313" s="24" t="n">
        <v>13.860686</v>
      </c>
      <c r="J1313" s="24" t="n">
        <v>122.091012</v>
      </c>
      <c r="K1313" s="23" t="inlineStr">
        <is>
          <t>R</t>
        </is>
      </c>
      <c r="L1313" s="25" t="n">
        <v>91</v>
      </c>
      <c r="M1313" s="26" t="n">
        <v>3.8</v>
      </c>
      <c r="N1313" s="25">
        <f>ROUND(L1313/M1313, 0)</f>
        <v/>
      </c>
      <c r="O1313" s="25">
        <f>ROUND(N1313*'Methodology &amp; Assumptions'!$B$7, 0)</f>
        <v/>
      </c>
      <c r="P1313" s="23" t="inlineStr">
        <is>
          <t>Single Carrier (Band n50, 100MHz TDD)</t>
        </is>
      </c>
      <c r="Q1313" s="27">
        <f>ROUNDUP(O1313/'Methodology &amp; Assumptions'!$B$8, 0)</f>
        <v/>
      </c>
      <c r="R1313" s="27" t="n">
        <v>1</v>
      </c>
      <c r="S1313" s="26" t="n">
        <v>5.3</v>
      </c>
      <c r="T1313" s="26" t="n">
        <v>1.84</v>
      </c>
      <c r="U1313" s="11">
        <f>IF(S1313&lt;='Methodology &amp; Assumptions'!$B$10, "Direct Optical Drop (&lt;3km)", IF(S1313&lt;='Methodology &amp; Assumptions'!$B$9, "Near Optical / Microwave (&lt;5km)", "Starlink Business LEO Satellite Backhaul (&gt;5km)"))</f>
        <v/>
      </c>
      <c r="V1313" s="26" t="n">
        <v>47.64</v>
      </c>
      <c r="W1313" s="26" t="n">
        <v>68.78</v>
      </c>
      <c r="X1313" s="26">
        <f>ROUND(('Methodology &amp; Assumptions'!$B$5*V1313) + ('Methodology &amp; Assumptions'!$B$6*W1313), 2)</f>
        <v/>
      </c>
      <c r="Y1313" s="28" t="n">
        <v>7.2</v>
      </c>
      <c r="Z1313" s="11" t="inlineStr">
        <is>
          <t>Priority Tier 3 (Broadband Expansion)</t>
        </is>
      </c>
    </row>
    <row r="1314">
      <c r="A1314" s="23" t="n">
        <v>5</v>
      </c>
      <c r="B1314" s="23" t="n">
        <v>310</v>
      </c>
      <c r="C1314" s="23" t="n">
        <v>4310</v>
      </c>
      <c r="D1314" s="23" t="inlineStr">
        <is>
          <t>1380606115</t>
        </is>
      </c>
      <c r="E1314" s="11" t="inlineStr">
        <is>
          <t>National Capital Region (NCR)</t>
        </is>
      </c>
      <c r="F1314" s="11" t="inlineStr">
        <is>
          <t>First District (Not a Province)</t>
        </is>
      </c>
      <c r="G1314" s="11" t="inlineStr">
        <is>
          <t>City of Manila</t>
        </is>
      </c>
      <c r="H1314" s="11" t="inlineStr">
        <is>
          <t>Barangay 509</t>
        </is>
      </c>
      <c r="I1314" s="24" t="n">
        <v>14.617002</v>
      </c>
      <c r="J1314" s="24" t="n">
        <v>120.993009</v>
      </c>
      <c r="K1314" s="23" t="inlineStr">
        <is>
          <t>U</t>
        </is>
      </c>
      <c r="L1314" s="25" t="n">
        <v>814</v>
      </c>
      <c r="M1314" s="26" t="n">
        <v>3.55</v>
      </c>
      <c r="N1314" s="25">
        <f>ROUND(L1314/M1314, 0)</f>
        <v/>
      </c>
      <c r="O1314" s="25">
        <f>ROUND(N1314*'Methodology &amp; Assumptions'!$B$7, 0)</f>
        <v/>
      </c>
      <c r="P1314" s="23" t="inlineStr">
        <is>
          <t>Single Carrier (Band n50, 100MHz TDD)</t>
        </is>
      </c>
      <c r="Q1314" s="27">
        <f>ROUNDUP(O1314/'Methodology &amp; Assumptions'!$B$8, 0)</f>
        <v/>
      </c>
      <c r="R1314" s="27" t="n">
        <v>1</v>
      </c>
      <c r="S1314" s="26" t="n">
        <v>1.09</v>
      </c>
      <c r="T1314" s="26" t="n">
        <v>0.62</v>
      </c>
      <c r="U1314" s="11">
        <f>IF(S1314&lt;='Methodology &amp; Assumptions'!$B$10, "Direct Optical Drop (&lt;3km)", IF(S1314&lt;='Methodology &amp; Assumptions'!$B$9, "Near Optical / Microwave (&lt;5km)", "Starlink Business LEO Satellite Backhaul (&gt;5km)"))</f>
        <v/>
      </c>
      <c r="V1314" s="26" t="n">
        <v>47.51</v>
      </c>
      <c r="W1314" s="26" t="n">
        <v>68.90000000000001</v>
      </c>
      <c r="X1314" s="26">
        <f>ROUND(('Methodology &amp; Assumptions'!$B$5*V1314) + ('Methodology &amp; Assumptions'!$B$6*W1314), 2)</f>
        <v/>
      </c>
      <c r="Y1314" s="28" t="n">
        <v>10.9</v>
      </c>
      <c r="Z1314" s="11" t="inlineStr">
        <is>
          <t>Priority Tier 3 (Broadband Expansion)</t>
        </is>
      </c>
    </row>
    <row r="1315">
      <c r="A1315" s="23" t="n">
        <v>5</v>
      </c>
      <c r="B1315" s="23" t="n">
        <v>311</v>
      </c>
      <c r="C1315" s="23" t="n">
        <v>4311</v>
      </c>
      <c r="D1315" s="23" t="inlineStr">
        <is>
          <t>0504101026</t>
        </is>
      </c>
      <c r="E1315" s="11" t="inlineStr">
        <is>
          <t>Region V (Bicol Region)</t>
        </is>
      </c>
      <c r="F1315" s="11" t="inlineStr">
        <is>
          <t>Masbate</t>
        </is>
      </c>
      <c r="G1315" s="11" t="inlineStr">
        <is>
          <t>Aroroy</t>
        </is>
      </c>
      <c r="H1315" s="11" t="inlineStr">
        <is>
          <t>Matongog</t>
        </is>
      </c>
      <c r="I1315" s="24" t="n">
        <v>12.570388</v>
      </c>
      <c r="J1315" s="24" t="n">
        <v>123.244212</v>
      </c>
      <c r="K1315" s="23" t="inlineStr">
        <is>
          <t>R</t>
        </is>
      </c>
      <c r="L1315" s="25" t="n">
        <v>1360</v>
      </c>
      <c r="M1315" s="26" t="n">
        <v>4.1</v>
      </c>
      <c r="N1315" s="25">
        <f>ROUND(L1315/M1315, 0)</f>
        <v/>
      </c>
      <c r="O1315" s="25">
        <f>ROUND(N1315*'Methodology &amp; Assumptions'!$B$7, 0)</f>
        <v/>
      </c>
      <c r="P1315" s="23" t="inlineStr">
        <is>
          <t>Single Carrier (Band n50, 100MHz TDD)</t>
        </is>
      </c>
      <c r="Q1315" s="27">
        <f>ROUNDUP(O1315/'Methodology &amp; Assumptions'!$B$8, 0)</f>
        <v/>
      </c>
      <c r="R1315" s="27" t="n">
        <v>1</v>
      </c>
      <c r="S1315" s="26" t="n">
        <v>18.06</v>
      </c>
      <c r="T1315" s="26" t="n">
        <v>21.59</v>
      </c>
      <c r="U1315" s="11">
        <f>IF(S1315&lt;='Methodology &amp; Assumptions'!$B$10, "Direct Optical Drop (&lt;3km)", IF(S1315&lt;='Methodology &amp; Assumptions'!$B$9, "Near Optical / Microwave (&lt;5km)", "Starlink Business LEO Satellite Backhaul (&gt;5km)"))</f>
        <v/>
      </c>
      <c r="V1315" s="26" t="n">
        <v>46.35</v>
      </c>
      <c r="W1315" s="26" t="n">
        <v>70.08</v>
      </c>
      <c r="X1315" s="26">
        <f>ROUND(('Methodology &amp; Assumptions'!$B$5*V1315) + ('Methodology &amp; Assumptions'!$B$6*W1315), 2)</f>
        <v/>
      </c>
      <c r="Y1315" s="28" t="n">
        <v>23.7</v>
      </c>
      <c r="Z1315" s="11" t="inlineStr">
        <is>
          <t>Priority Tier 3 (Broadband Expansion)</t>
        </is>
      </c>
    </row>
    <row r="1316">
      <c r="A1316" s="23" t="n">
        <v>5</v>
      </c>
      <c r="B1316" s="23" t="n">
        <v>312</v>
      </c>
      <c r="C1316" s="23" t="n">
        <v>4312</v>
      </c>
      <c r="D1316" s="23" t="inlineStr">
        <is>
          <t>0105533023</t>
        </is>
      </c>
      <c r="E1316" s="11" t="inlineStr">
        <is>
          <t>Region I (Ilocos Region)</t>
        </is>
      </c>
      <c r="F1316" s="11" t="inlineStr">
        <is>
          <t>Pangasinan</t>
        </is>
      </c>
      <c r="G1316" s="11" t="inlineStr">
        <is>
          <t>San Fabian</t>
        </is>
      </c>
      <c r="H1316" s="11" t="inlineStr">
        <is>
          <t>Sobol</t>
        </is>
      </c>
      <c r="I1316" s="24" t="n">
        <v>16.134167</v>
      </c>
      <c r="J1316" s="24" t="n">
        <v>120.405622</v>
      </c>
      <c r="K1316" s="23" t="inlineStr">
        <is>
          <t>R</t>
        </is>
      </c>
      <c r="L1316" s="25" t="n">
        <v>2885</v>
      </c>
      <c r="M1316" s="26" t="n">
        <v>3.6</v>
      </c>
      <c r="N1316" s="25">
        <f>ROUND(L1316/M1316, 0)</f>
        <v/>
      </c>
      <c r="O1316" s="25">
        <f>ROUND(N1316*'Methodology &amp; Assumptions'!$B$7, 0)</f>
        <v/>
      </c>
      <c r="P1316" s="23" t="inlineStr">
        <is>
          <t>Single Carrier (Band n50, 100MHz TDD)</t>
        </is>
      </c>
      <c r="Q1316" s="27">
        <f>ROUNDUP(O1316/'Methodology &amp; Assumptions'!$B$8, 0)</f>
        <v/>
      </c>
      <c r="R1316" s="27" t="n">
        <v>1</v>
      </c>
      <c r="S1316" s="26" t="n">
        <v>2.14</v>
      </c>
      <c r="T1316" s="26" t="n">
        <v>0.61</v>
      </c>
      <c r="U1316" s="11">
        <f>IF(S1316&lt;='Methodology &amp; Assumptions'!$B$10, "Direct Optical Drop (&lt;3km)", IF(S1316&lt;='Methodology &amp; Assumptions'!$B$9, "Near Optical / Microwave (&lt;5km)", "Starlink Business LEO Satellite Backhaul (&gt;5km)"))</f>
        <v/>
      </c>
      <c r="V1316" s="26" t="n">
        <v>80.29000000000001</v>
      </c>
      <c r="W1316" s="26" t="n">
        <v>36.1</v>
      </c>
      <c r="X1316" s="26">
        <f>ROUND(('Methodology &amp; Assumptions'!$B$5*V1316) + ('Methodology &amp; Assumptions'!$B$6*W1316), 2)</f>
        <v/>
      </c>
      <c r="Y1316" s="28" t="n">
        <v>8.300000000000001</v>
      </c>
      <c r="Z1316" s="11" t="inlineStr">
        <is>
          <t>Priority Tier 3 (Broadband Expansion)</t>
        </is>
      </c>
    </row>
    <row r="1317">
      <c r="A1317" s="23" t="n">
        <v>5</v>
      </c>
      <c r="B1317" s="23" t="n">
        <v>313</v>
      </c>
      <c r="C1317" s="23" t="n">
        <v>4313</v>
      </c>
      <c r="D1317" s="23" t="inlineStr">
        <is>
          <t>0305403012</t>
        </is>
      </c>
      <c r="E1317" s="11" t="inlineStr">
        <is>
          <t>Region III (Central Luzon)</t>
        </is>
      </c>
      <c r="F1317" s="11" t="inlineStr">
        <is>
          <t>Pampanga</t>
        </is>
      </c>
      <c r="G1317" s="11" t="inlineStr">
        <is>
          <t>Arayat</t>
        </is>
      </c>
      <c r="H1317" s="11" t="inlineStr">
        <is>
          <t>Lacquios</t>
        </is>
      </c>
      <c r="I1317" s="24" t="n">
        <v>15.16728</v>
      </c>
      <c r="J1317" s="24" t="n">
        <v>120.7737</v>
      </c>
      <c r="K1317" s="23" t="inlineStr">
        <is>
          <t>R</t>
        </is>
      </c>
      <c r="L1317" s="25" t="n">
        <v>3964</v>
      </c>
      <c r="M1317" s="26" t="n">
        <v>4</v>
      </c>
      <c r="N1317" s="25">
        <f>ROUND(L1317/M1317, 0)</f>
        <v/>
      </c>
      <c r="O1317" s="25">
        <f>ROUND(N1317*'Methodology &amp; Assumptions'!$B$7, 0)</f>
        <v/>
      </c>
      <c r="P1317" s="23" t="inlineStr">
        <is>
          <t>Single Carrier (Band n50, 100MHz TDD)</t>
        </is>
      </c>
      <c r="Q1317" s="27">
        <f>ROUNDUP(O1317/'Methodology &amp; Assumptions'!$B$8, 0)</f>
        <v/>
      </c>
      <c r="R1317" s="27" t="n">
        <v>1</v>
      </c>
      <c r="S1317" s="26" t="n">
        <v>2.79</v>
      </c>
      <c r="T1317" s="26" t="n">
        <v>0.6899999999999999</v>
      </c>
      <c r="U1317" s="11">
        <f>IF(S1317&lt;='Methodology &amp; Assumptions'!$B$10, "Direct Optical Drop (&lt;3km)", IF(S1317&lt;='Methodology &amp; Assumptions'!$B$9, "Near Optical / Microwave (&lt;5km)", "Starlink Business LEO Satellite Backhaul (&gt;5km)"))</f>
        <v/>
      </c>
      <c r="V1317" s="26" t="n">
        <v>78.83</v>
      </c>
      <c r="W1317" s="26" t="n">
        <v>37.56</v>
      </c>
      <c r="X1317" s="26">
        <f>ROUND(('Methodology &amp; Assumptions'!$B$5*V1317) + ('Methodology &amp; Assumptions'!$B$6*W1317), 2)</f>
        <v/>
      </c>
      <c r="Y1317" s="28" t="n">
        <v>8.300000000000001</v>
      </c>
      <c r="Z1317" s="11" t="inlineStr">
        <is>
          <t>Priority Tier 3 (Broadband Expansion)</t>
        </is>
      </c>
    </row>
    <row r="1318">
      <c r="A1318" s="23" t="n">
        <v>5</v>
      </c>
      <c r="B1318" s="23" t="n">
        <v>314</v>
      </c>
      <c r="C1318" s="23" t="n">
        <v>4314</v>
      </c>
      <c r="D1318" s="23" t="inlineStr">
        <is>
          <t>0301419028</t>
        </is>
      </c>
      <c r="E1318" s="11" t="inlineStr">
        <is>
          <t>Region III (Central Luzon)</t>
        </is>
      </c>
      <c r="F1318" s="11" t="inlineStr">
        <is>
          <t>Bulacan</t>
        </is>
      </c>
      <c r="G1318" s="11" t="inlineStr">
        <is>
          <t>San Ildefonso</t>
        </is>
      </c>
      <c r="H1318" s="11" t="inlineStr">
        <is>
          <t>San Juan</t>
        </is>
      </c>
      <c r="I1318" s="24" t="n">
        <v>15.081969</v>
      </c>
      <c r="J1318" s="24" t="n">
        <v>120.939365</v>
      </c>
      <c r="K1318" s="23" t="inlineStr">
        <is>
          <t>U</t>
        </is>
      </c>
      <c r="L1318" s="25" t="n">
        <v>5212</v>
      </c>
      <c r="M1318" s="26" t="n">
        <v>3.5</v>
      </c>
      <c r="N1318" s="25">
        <f>ROUND(L1318/M1318, 0)</f>
        <v/>
      </c>
      <c r="O1318" s="25">
        <f>ROUND(N1318*'Methodology &amp; Assumptions'!$B$7, 0)</f>
        <v/>
      </c>
      <c r="P1318" s="23" t="inlineStr">
        <is>
          <t>Single Carrier (Band n50, 100MHz TDD)</t>
        </is>
      </c>
      <c r="Q1318" s="27">
        <f>ROUNDUP(O1318/'Methodology &amp; Assumptions'!$B$8, 0)</f>
        <v/>
      </c>
      <c r="R1318" s="27" t="n">
        <v>1</v>
      </c>
      <c r="S1318" s="26" t="n">
        <v>0.97</v>
      </c>
      <c r="T1318" s="26" t="n">
        <v>0.1</v>
      </c>
      <c r="U1318" s="11">
        <f>IF(S1318&lt;='Methodology &amp; Assumptions'!$B$10, "Direct Optical Drop (&lt;3km)", IF(S1318&lt;='Methodology &amp; Assumptions'!$B$9, "Near Optical / Microwave (&lt;5km)", "Starlink Business LEO Satellite Backhaul (&gt;5km)"))</f>
        <v/>
      </c>
      <c r="V1318" s="26" t="n">
        <v>77.95</v>
      </c>
      <c r="W1318" s="26" t="n">
        <v>38.45</v>
      </c>
      <c r="X1318" s="26">
        <f>ROUND(('Methodology &amp; Assumptions'!$B$5*V1318) + ('Methodology &amp; Assumptions'!$B$6*W1318), 2)</f>
        <v/>
      </c>
      <c r="Y1318" s="28" t="n">
        <v>8.300000000000001</v>
      </c>
      <c r="Z1318" s="11" t="inlineStr">
        <is>
          <t>Priority Tier 3 (Broadband Expansion)</t>
        </is>
      </c>
    </row>
    <row r="1319">
      <c r="A1319" s="23" t="n">
        <v>5</v>
      </c>
      <c r="B1319" s="23" t="n">
        <v>315</v>
      </c>
      <c r="C1319" s="23" t="n">
        <v>4315</v>
      </c>
      <c r="D1319" s="23" t="inlineStr">
        <is>
          <t>0401011022</t>
        </is>
      </c>
      <c r="E1319" s="11" t="inlineStr">
        <is>
          <t>Region IV-A (CALABARZON)</t>
        </is>
      </c>
      <c r="F1319" s="11" t="inlineStr">
        <is>
          <t>Batangas</t>
        </is>
      </c>
      <c r="G1319" s="11" t="inlineStr">
        <is>
          <t>Laurel</t>
        </is>
      </c>
      <c r="H1319" s="11" t="inlineStr">
        <is>
          <t>San Gregorio</t>
        </is>
      </c>
      <c r="I1319" s="24" t="n">
        <v>14.039427</v>
      </c>
      <c r="J1319" s="24" t="n">
        <v>120.875732</v>
      </c>
      <c r="K1319" s="23" t="inlineStr">
        <is>
          <t>R</t>
        </is>
      </c>
      <c r="L1319" s="25" t="n">
        <v>3907</v>
      </c>
      <c r="M1319" s="26" t="n">
        <v>3.6</v>
      </c>
      <c r="N1319" s="25">
        <f>ROUND(L1319/M1319, 0)</f>
        <v/>
      </c>
      <c r="O1319" s="25">
        <f>ROUND(N1319*'Methodology &amp; Assumptions'!$B$7, 0)</f>
        <v/>
      </c>
      <c r="P1319" s="23" t="inlineStr">
        <is>
          <t>Single Carrier (Band n50, 100MHz TDD)</t>
        </is>
      </c>
      <c r="Q1319" s="27">
        <f>ROUNDUP(O1319/'Methodology &amp; Assumptions'!$B$8, 0)</f>
        <v/>
      </c>
      <c r="R1319" s="27" t="n">
        <v>1</v>
      </c>
      <c r="S1319" s="26" t="n">
        <v>2.83</v>
      </c>
      <c r="T1319" s="26" t="n">
        <v>3.89</v>
      </c>
      <c r="U1319" s="11">
        <f>IF(S1319&lt;='Methodology &amp; Assumptions'!$B$10, "Direct Optical Drop (&lt;3km)", IF(S1319&lt;='Methodology &amp; Assumptions'!$B$9, "Near Optical / Microwave (&lt;5km)", "Starlink Business LEO Satellite Backhaul (&gt;5km)"))</f>
        <v/>
      </c>
      <c r="V1319" s="26" t="n">
        <v>75.04000000000001</v>
      </c>
      <c r="W1319" s="26" t="n">
        <v>41.36</v>
      </c>
      <c r="X1319" s="26">
        <f>ROUND(('Methodology &amp; Assumptions'!$B$5*V1319) + ('Methodology &amp; Assumptions'!$B$6*W1319), 2)</f>
        <v/>
      </c>
      <c r="Y1319" s="28" t="n">
        <v>7.2</v>
      </c>
      <c r="Z1319" s="11" t="inlineStr">
        <is>
          <t>Priority Tier 3 (Broadband Expansion)</t>
        </is>
      </c>
    </row>
    <row r="1320">
      <c r="A1320" s="23" t="n">
        <v>5</v>
      </c>
      <c r="B1320" s="23" t="n">
        <v>316</v>
      </c>
      <c r="C1320" s="23" t="n">
        <v>4316</v>
      </c>
      <c r="D1320" s="23" t="inlineStr">
        <is>
          <t>0201505031</t>
        </is>
      </c>
      <c r="E1320" s="11" t="inlineStr">
        <is>
          <t>Region II (Cagayan Valley)</t>
        </is>
      </c>
      <c r="F1320" s="11" t="inlineStr">
        <is>
          <t>Cagayan</t>
        </is>
      </c>
      <c r="G1320" s="11" t="inlineStr">
        <is>
          <t>Aparri</t>
        </is>
      </c>
      <c r="H1320" s="11" t="inlineStr">
        <is>
          <t>Minanga</t>
        </is>
      </c>
      <c r="I1320" s="24" t="n">
        <v>18.352407</v>
      </c>
      <c r="J1320" s="24" t="n">
        <v>121.637856</v>
      </c>
      <c r="K1320" s="23" t="inlineStr">
        <is>
          <t>U</t>
        </is>
      </c>
      <c r="L1320" s="25" t="n">
        <v>1908</v>
      </c>
      <c r="M1320" s="26" t="n">
        <v>3.9</v>
      </c>
      <c r="N1320" s="25">
        <f>ROUND(L1320/M1320, 0)</f>
        <v/>
      </c>
      <c r="O1320" s="25">
        <f>ROUND(N1320*'Methodology &amp; Assumptions'!$B$7, 0)</f>
        <v/>
      </c>
      <c r="P1320" s="23" t="inlineStr">
        <is>
          <t>Single Carrier (Band n50, 100MHz TDD)</t>
        </is>
      </c>
      <c r="Q1320" s="27">
        <f>ROUNDUP(O1320/'Methodology &amp; Assumptions'!$B$8, 0)</f>
        <v/>
      </c>
      <c r="R1320" s="27" t="n">
        <v>1</v>
      </c>
      <c r="S1320" s="26" t="n">
        <v>0.46</v>
      </c>
      <c r="T1320" s="26" t="n">
        <v>10.17</v>
      </c>
      <c r="U1320" s="11">
        <f>IF(S1320&lt;='Methodology &amp; Assumptions'!$B$10, "Direct Optical Drop (&lt;3km)", IF(S1320&lt;='Methodology &amp; Assumptions'!$B$9, "Near Optical / Microwave (&lt;5km)", "Starlink Business LEO Satellite Backhaul (&gt;5km)"))</f>
        <v/>
      </c>
      <c r="V1320" s="26" t="n">
        <v>65.78</v>
      </c>
      <c r="W1320" s="26" t="n">
        <v>50.62</v>
      </c>
      <c r="X1320" s="26">
        <f>ROUND(('Methodology &amp; Assumptions'!$B$5*V1320) + ('Methodology &amp; Assumptions'!$B$6*W1320), 2)</f>
        <v/>
      </c>
      <c r="Y1320" s="28" t="n">
        <v>8.300000000000001</v>
      </c>
      <c r="Z1320" s="11" t="inlineStr">
        <is>
          <t>Priority Tier 3 (Broadband Expansion)</t>
        </is>
      </c>
    </row>
    <row r="1321">
      <c r="A1321" s="23" t="n">
        <v>5</v>
      </c>
      <c r="B1321" s="23" t="n">
        <v>317</v>
      </c>
      <c r="C1321" s="23" t="n">
        <v>4317</v>
      </c>
      <c r="D1321" s="23" t="inlineStr">
        <is>
          <t>1204716007</t>
        </is>
      </c>
      <c r="E1321" s="11" t="inlineStr">
        <is>
          <t>Region XII (SOCCSKSARGEN)</t>
        </is>
      </c>
      <c r="F1321" s="11" t="inlineStr">
        <is>
          <t>Cotabato</t>
        </is>
      </c>
      <c r="G1321" s="11" t="inlineStr">
        <is>
          <t>Banisilan</t>
        </is>
      </c>
      <c r="H1321" s="11" t="inlineStr">
        <is>
          <t>Kiaring</t>
        </is>
      </c>
      <c r="I1321" s="24" t="n">
        <v>7.223132</v>
      </c>
      <c r="J1321" s="24" t="n">
        <v>124.402102</v>
      </c>
      <c r="K1321" s="23" t="inlineStr">
        <is>
          <t>R</t>
        </is>
      </c>
      <c r="L1321" s="25" t="n">
        <v>1749</v>
      </c>
      <c r="M1321" s="26" t="n">
        <v>3.8</v>
      </c>
      <c r="N1321" s="25">
        <f>ROUND(L1321/M1321, 0)</f>
        <v/>
      </c>
      <c r="O1321" s="25">
        <f>ROUND(N1321*'Methodology &amp; Assumptions'!$B$7, 0)</f>
        <v/>
      </c>
      <c r="P1321" s="23" t="inlineStr">
        <is>
          <t>Single Carrier (Band n50, 100MHz TDD)</t>
        </is>
      </c>
      <c r="Q1321" s="27">
        <f>ROUNDUP(O1321/'Methodology &amp; Assumptions'!$B$8, 0)</f>
        <v/>
      </c>
      <c r="R1321" s="27" t="n">
        <v>1</v>
      </c>
      <c r="S1321" s="26" t="n">
        <v>43.6</v>
      </c>
      <c r="T1321" s="26" t="n">
        <v>42.87</v>
      </c>
      <c r="U1321" s="11">
        <f>IF(S1321&lt;='Methodology &amp; Assumptions'!$B$10, "Direct Optical Drop (&lt;3km)", IF(S1321&lt;='Methodology &amp; Assumptions'!$B$9, "Near Optical / Microwave (&lt;5km)", "Starlink Business LEO Satellite Backhaul (&gt;5km)"))</f>
        <v/>
      </c>
      <c r="V1321" s="26" t="n">
        <v>49.6</v>
      </c>
      <c r="W1321" s="26" t="n">
        <v>66.81</v>
      </c>
      <c r="X1321" s="26">
        <f>ROUND(('Methodology &amp; Assumptions'!$B$5*V1321) + ('Methodology &amp; Assumptions'!$B$6*W1321), 2)</f>
        <v/>
      </c>
      <c r="Y1321" s="28" t="n">
        <v>17.4</v>
      </c>
      <c r="Z1321" s="11" t="inlineStr">
        <is>
          <t>Priority Tier 3 (Broadband Expansion)</t>
        </is>
      </c>
    </row>
    <row r="1322">
      <c r="A1322" s="23" t="n">
        <v>5</v>
      </c>
      <c r="B1322" s="23" t="n">
        <v>318</v>
      </c>
      <c r="C1322" s="23" t="n">
        <v>4318</v>
      </c>
      <c r="D1322" s="23" t="inlineStr">
        <is>
          <t>0702211028</t>
        </is>
      </c>
      <c r="E1322" s="11" t="inlineStr">
        <is>
          <t>Region VII (Central Visayas)</t>
        </is>
      </c>
      <c r="F1322" s="11" t="inlineStr">
        <is>
          <t>Cebu</t>
        </is>
      </c>
      <c r="G1322" s="11" t="inlineStr">
        <is>
          <t>City of Bogo</t>
        </is>
      </c>
      <c r="H1322" s="11" t="inlineStr">
        <is>
          <t>Taytayan</t>
        </is>
      </c>
      <c r="I1322" s="24" t="n">
        <v>11.047835</v>
      </c>
      <c r="J1322" s="24" t="n">
        <v>123.991144</v>
      </c>
      <c r="K1322" s="23" t="inlineStr">
        <is>
          <t>R</t>
        </is>
      </c>
      <c r="L1322" s="25" t="n">
        <v>4892</v>
      </c>
      <c r="M1322" s="26" t="n">
        <v>3.8</v>
      </c>
      <c r="N1322" s="25">
        <f>ROUND(L1322/M1322, 0)</f>
        <v/>
      </c>
      <c r="O1322" s="25">
        <f>ROUND(N1322*'Methodology &amp; Assumptions'!$B$7, 0)</f>
        <v/>
      </c>
      <c r="P1322" s="23" t="inlineStr">
        <is>
          <t>Single Carrier (Band n50, 100MHz TDD)</t>
        </is>
      </c>
      <c r="Q1322" s="27">
        <f>ROUNDUP(O1322/'Methodology &amp; Assumptions'!$B$8, 0)</f>
        <v/>
      </c>
      <c r="R1322" s="27" t="n">
        <v>1</v>
      </c>
      <c r="S1322" s="26" t="n">
        <v>1.8</v>
      </c>
      <c r="T1322" s="26" t="n">
        <v>0.14</v>
      </c>
      <c r="U1322" s="11">
        <f>IF(S1322&lt;='Methodology &amp; Assumptions'!$B$10, "Direct Optical Drop (&lt;3km)", IF(S1322&lt;='Methodology &amp; Assumptions'!$B$9, "Near Optical / Microwave (&lt;5km)", "Starlink Business LEO Satellite Backhaul (&gt;5km)"))</f>
        <v/>
      </c>
      <c r="V1322" s="26" t="n">
        <v>84.52</v>
      </c>
      <c r="W1322" s="26" t="n">
        <v>31.86</v>
      </c>
      <c r="X1322" s="26">
        <f>ROUND(('Methodology &amp; Assumptions'!$B$5*V1322) + ('Methodology &amp; Assumptions'!$B$6*W1322), 2)</f>
        <v/>
      </c>
      <c r="Y1322" s="28" t="n">
        <v>23.7</v>
      </c>
      <c r="Z1322" s="11" t="inlineStr">
        <is>
          <t>Priority Tier 3 (Broadband Expansion)</t>
        </is>
      </c>
    </row>
    <row r="1323">
      <c r="A1323" s="23" t="n">
        <v>5</v>
      </c>
      <c r="B1323" s="23" t="n">
        <v>319</v>
      </c>
      <c r="C1323" s="23" t="n">
        <v>4319</v>
      </c>
      <c r="D1323" s="23" t="inlineStr">
        <is>
          <t>0601909037</t>
        </is>
      </c>
      <c r="E1323" s="11" t="inlineStr">
        <is>
          <t>Region VI (Western Visayas)</t>
        </is>
      </c>
      <c r="F1323" s="11" t="inlineStr">
        <is>
          <t>Capiz</t>
        </is>
      </c>
      <c r="G1323" s="11" t="inlineStr">
        <is>
          <t>Panay</t>
        </is>
      </c>
      <c r="H1323" s="11" t="inlineStr">
        <is>
          <t>Poblacion Ilaya</t>
        </is>
      </c>
      <c r="I1323" s="24" t="n">
        <v>11.555528</v>
      </c>
      <c r="J1323" s="24" t="n">
        <v>122.790896</v>
      </c>
      <c r="K1323" s="23" t="inlineStr">
        <is>
          <t>U</t>
        </is>
      </c>
      <c r="L1323" s="25" t="n">
        <v>3569</v>
      </c>
      <c r="M1323" s="26" t="n">
        <v>3.8</v>
      </c>
      <c r="N1323" s="25">
        <f>ROUND(L1323/M1323, 0)</f>
        <v/>
      </c>
      <c r="O1323" s="25">
        <f>ROUND(N1323*'Methodology &amp; Assumptions'!$B$7, 0)</f>
        <v/>
      </c>
      <c r="P1323" s="23" t="inlineStr">
        <is>
          <t>Single Carrier (Band n50, 100MHz TDD)</t>
        </is>
      </c>
      <c r="Q1323" s="27">
        <f>ROUNDUP(O1323/'Methodology &amp; Assumptions'!$B$8, 0)</f>
        <v/>
      </c>
      <c r="R1323" s="27" t="n">
        <v>1</v>
      </c>
      <c r="S1323" s="26" t="n">
        <v>0.5</v>
      </c>
      <c r="T1323" s="26" t="n">
        <v>0.15</v>
      </c>
      <c r="U1323" s="11">
        <f>IF(S1323&lt;='Methodology &amp; Assumptions'!$B$10, "Direct Optical Drop (&lt;3km)", IF(S1323&lt;='Methodology &amp; Assumptions'!$B$9, "Near Optical / Microwave (&lt;5km)", "Starlink Business LEO Satellite Backhaul (&gt;5km)"))</f>
        <v/>
      </c>
      <c r="V1323" s="26" t="n">
        <v>80.86</v>
      </c>
      <c r="W1323" s="26" t="n">
        <v>35.53</v>
      </c>
      <c r="X1323" s="26">
        <f>ROUND(('Methodology &amp; Assumptions'!$B$5*V1323) + ('Methodology &amp; Assumptions'!$B$6*W1323), 2)</f>
        <v/>
      </c>
      <c r="Y1323" s="28" t="n">
        <v>23.7</v>
      </c>
      <c r="Z1323" s="11" t="inlineStr">
        <is>
          <t>Priority Tier 3 (Broadband Expansion)</t>
        </is>
      </c>
    </row>
    <row r="1324">
      <c r="A1324" s="23" t="n">
        <v>5</v>
      </c>
      <c r="B1324" s="23" t="n">
        <v>320</v>
      </c>
      <c r="C1324" s="23" t="n">
        <v>4320</v>
      </c>
      <c r="D1324" s="23" t="inlineStr">
        <is>
          <t>1108205009</t>
        </is>
      </c>
      <c r="E1324" s="11" t="inlineStr">
        <is>
          <t>Region XI (Davao Region)</t>
        </is>
      </c>
      <c r="F1324" s="11" t="inlineStr">
        <is>
          <t>Davao de Oro</t>
        </is>
      </c>
      <c r="G1324" s="11" t="inlineStr">
        <is>
          <t>Maragusan</t>
        </is>
      </c>
      <c r="H1324" s="11" t="inlineStr">
        <is>
          <t>Katipunan</t>
        </is>
      </c>
      <c r="I1324" s="24" t="n">
        <v>7.40125</v>
      </c>
      <c r="J1324" s="24" t="n">
        <v>126.159971</v>
      </c>
      <c r="K1324" s="23" t="inlineStr">
        <is>
          <t>R</t>
        </is>
      </c>
      <c r="L1324" s="25" t="n">
        <v>1697</v>
      </c>
      <c r="M1324" s="26" t="n">
        <v>3.7</v>
      </c>
      <c r="N1324" s="25">
        <f>ROUND(L1324/M1324, 0)</f>
        <v/>
      </c>
      <c r="O1324" s="25">
        <f>ROUND(N1324*'Methodology &amp; Assumptions'!$B$7, 0)</f>
        <v/>
      </c>
      <c r="P1324" s="23" t="inlineStr">
        <is>
          <t>Single Carrier (Band n50, 100MHz TDD)</t>
        </is>
      </c>
      <c r="Q1324" s="27">
        <f>ROUNDUP(O1324/'Methodology &amp; Assumptions'!$B$8, 0)</f>
        <v/>
      </c>
      <c r="R1324" s="27" t="n">
        <v>1</v>
      </c>
      <c r="S1324" s="26" t="n">
        <v>33.88</v>
      </c>
      <c r="T1324" s="26" t="n">
        <v>29.05</v>
      </c>
      <c r="U1324" s="11">
        <f>IF(S1324&lt;='Methodology &amp; Assumptions'!$B$10, "Direct Optical Drop (&lt;3km)", IF(S1324&lt;='Methodology &amp; Assumptions'!$B$9, "Near Optical / Microwave (&lt;5km)", "Starlink Business LEO Satellite Backhaul (&gt;5km)"))</f>
        <v/>
      </c>
      <c r="V1324" s="26" t="n">
        <v>49.6</v>
      </c>
      <c r="W1324" s="26" t="n">
        <v>66.79000000000001</v>
      </c>
      <c r="X1324" s="26">
        <f>ROUND(('Methodology &amp; Assumptions'!$B$5*V1324) + ('Methodology &amp; Assumptions'!$B$6*W1324), 2)</f>
        <v/>
      </c>
      <c r="Y1324" s="28" t="n">
        <v>17.4</v>
      </c>
      <c r="Z1324" s="11" t="inlineStr">
        <is>
          <t>Priority Tier 3 (Broadband Expansion)</t>
        </is>
      </c>
    </row>
    <row r="1325">
      <c r="A1325" s="23" t="n">
        <v>5</v>
      </c>
      <c r="B1325" s="23" t="n">
        <v>321</v>
      </c>
      <c r="C1325" s="23" t="n">
        <v>4321</v>
      </c>
      <c r="D1325" s="23" t="inlineStr">
        <is>
          <t>0201528026</t>
        </is>
      </c>
      <c r="E1325" s="11" t="inlineStr">
        <is>
          <t>Region II (Cagayan Valley)</t>
        </is>
      </c>
      <c r="F1325" s="11" t="inlineStr">
        <is>
          <t>Cagayan</t>
        </is>
      </c>
      <c r="G1325" s="11" t="inlineStr">
        <is>
          <t>Tuao</t>
        </is>
      </c>
      <c r="H1325" s="11" t="inlineStr">
        <is>
          <t>San Juan</t>
        </is>
      </c>
      <c r="I1325" s="24" t="n">
        <v>17.6068</v>
      </c>
      <c r="J1325" s="24" t="n">
        <v>121.5246</v>
      </c>
      <c r="K1325" s="23" t="inlineStr">
        <is>
          <t>R</t>
        </is>
      </c>
      <c r="L1325" s="25" t="n">
        <v>1045</v>
      </c>
      <c r="M1325" s="26" t="n">
        <v>3.9</v>
      </c>
      <c r="N1325" s="25">
        <f>ROUND(L1325/M1325, 0)</f>
        <v/>
      </c>
      <c r="O1325" s="25">
        <f>ROUND(N1325*'Methodology &amp; Assumptions'!$B$7, 0)</f>
        <v/>
      </c>
      <c r="P1325" s="23" t="inlineStr">
        <is>
          <t>Single Carrier (Band n50, 100MHz TDD)</t>
        </is>
      </c>
      <c r="Q1325" s="27">
        <f>ROUNDUP(O1325/'Methodology &amp; Assumptions'!$B$8, 0)</f>
        <v/>
      </c>
      <c r="R1325" s="27" t="n">
        <v>1</v>
      </c>
      <c r="S1325" s="26" t="n">
        <v>7.24</v>
      </c>
      <c r="T1325" s="26" t="n">
        <v>10.02</v>
      </c>
      <c r="U1325" s="11">
        <f>IF(S1325&lt;='Methodology &amp; Assumptions'!$B$10, "Direct Optical Drop (&lt;3km)", IF(S1325&lt;='Methodology &amp; Assumptions'!$B$9, "Near Optical / Microwave (&lt;5km)", "Starlink Business LEO Satellite Backhaul (&gt;5km)"))</f>
        <v/>
      </c>
      <c r="V1325" s="26" t="n">
        <v>49.58</v>
      </c>
      <c r="W1325" s="26" t="n">
        <v>66.79000000000001</v>
      </c>
      <c r="X1325" s="26">
        <f>ROUND(('Methodology &amp; Assumptions'!$B$5*V1325) + ('Methodology &amp; Assumptions'!$B$6*W1325), 2)</f>
        <v/>
      </c>
      <c r="Y1325" s="28" t="n">
        <v>8.300000000000001</v>
      </c>
      <c r="Z1325" s="11" t="inlineStr">
        <is>
          <t>Priority Tier 3 (Broadband Expansion)</t>
        </is>
      </c>
    </row>
    <row r="1326">
      <c r="A1326" s="23" t="n">
        <v>5</v>
      </c>
      <c r="B1326" s="23" t="n">
        <v>322</v>
      </c>
      <c r="C1326" s="23" t="n">
        <v>4322</v>
      </c>
      <c r="D1326" s="23" t="inlineStr">
        <is>
          <t>1906614016</t>
        </is>
      </c>
      <c r="E1326" s="11" t="inlineStr">
        <is>
          <t>Bangsamoro Autonomous Region In Muslim Mindanao (BARMM)</t>
        </is>
      </c>
      <c r="F1326" s="11" t="inlineStr">
        <is>
          <t>Sulu</t>
        </is>
      </c>
      <c r="G1326" s="11" t="inlineStr">
        <is>
          <t>Tapul</t>
        </is>
      </c>
      <c r="H1326" s="11" t="inlineStr">
        <is>
          <t>Kamaunggi</t>
        </is>
      </c>
      <c r="I1326" s="24" t="n">
        <v>5.74262</v>
      </c>
      <c r="J1326" s="24" t="n">
        <v>120.887094</v>
      </c>
      <c r="K1326" s="23" t="inlineStr">
        <is>
          <t>R</t>
        </is>
      </c>
      <c r="L1326" s="25" t="n">
        <v>2069</v>
      </c>
      <c r="M1326" s="26" t="n">
        <v>6</v>
      </c>
      <c r="N1326" s="25">
        <f>ROUND(L1326/M1326, 0)</f>
        <v/>
      </c>
      <c r="O1326" s="25">
        <f>ROUND(N1326*'Methodology &amp; Assumptions'!$B$7, 0)</f>
        <v/>
      </c>
      <c r="P1326" s="23" t="inlineStr">
        <is>
          <t>Single Carrier (Band n50, 100MHz TDD)</t>
        </is>
      </c>
      <c r="Q1326" s="27">
        <f>ROUNDUP(O1326/'Methodology &amp; Assumptions'!$B$8, 0)</f>
        <v/>
      </c>
      <c r="R1326" s="27" t="n">
        <v>1</v>
      </c>
      <c r="S1326" s="26" t="n">
        <v>184.55</v>
      </c>
      <c r="T1326" s="26" t="n">
        <v>184.55</v>
      </c>
      <c r="U1326" s="11">
        <f>IF(S1326&lt;='Methodology &amp; Assumptions'!$B$10, "Direct Optical Drop (&lt;3km)", IF(S1326&lt;='Methodology &amp; Assumptions'!$B$9, "Near Optical / Microwave (&lt;5km)", "Starlink Business LEO Satellite Backhaul (&gt;5km)"))</f>
        <v/>
      </c>
      <c r="V1326" s="26" t="n">
        <v>44.82</v>
      </c>
      <c r="W1326" s="26" t="n">
        <v>71.56</v>
      </c>
      <c r="X1326" s="26">
        <f>ROUND(('Methodology &amp; Assumptions'!$B$5*V1326) + ('Methodology &amp; Assumptions'!$B$6*W1326), 2)</f>
        <v/>
      </c>
      <c r="Y1326" s="28" t="n">
        <v>11</v>
      </c>
      <c r="Z1326" s="11" t="inlineStr">
        <is>
          <t>Priority Tier 3 (Broadband Expansion)</t>
        </is>
      </c>
    </row>
    <row r="1327">
      <c r="A1327" s="23" t="n">
        <v>5</v>
      </c>
      <c r="B1327" s="23" t="n">
        <v>323</v>
      </c>
      <c r="C1327" s="23" t="n">
        <v>4323</v>
      </c>
      <c r="D1327" s="23" t="inlineStr">
        <is>
          <t>1003521010</t>
        </is>
      </c>
      <c r="E1327" s="11" t="inlineStr">
        <is>
          <t>Region X (Northern Mindanao)</t>
        </is>
      </c>
      <c r="F1327" s="11" t="inlineStr">
        <is>
          <t>Lanao del Norte</t>
        </is>
      </c>
      <c r="G1327" s="11" t="inlineStr">
        <is>
          <t>Tangcal</t>
        </is>
      </c>
      <c r="H1327" s="11" t="inlineStr">
        <is>
          <t>Lindongan</t>
        </is>
      </c>
      <c r="I1327" s="24" t="n">
        <v>8.0182</v>
      </c>
      <c r="J1327" s="24" t="n">
        <v>124.0104</v>
      </c>
      <c r="K1327" s="23" t="inlineStr">
        <is>
          <t>R</t>
        </is>
      </c>
      <c r="L1327" s="25" t="n">
        <v>411</v>
      </c>
      <c r="M1327" s="26" t="n">
        <v>4.2</v>
      </c>
      <c r="N1327" s="25">
        <f>ROUND(L1327/M1327, 0)</f>
        <v/>
      </c>
      <c r="O1327" s="25">
        <f>ROUND(N1327*'Methodology &amp; Assumptions'!$B$7, 0)</f>
        <v/>
      </c>
      <c r="P1327" s="23" t="inlineStr">
        <is>
          <t>Single Carrier (Band n50, 100MHz TDD)</t>
        </is>
      </c>
      <c r="Q1327" s="27">
        <f>ROUNDUP(O1327/'Methodology &amp; Assumptions'!$B$8, 0)</f>
        <v/>
      </c>
      <c r="R1327" s="27" t="n">
        <v>1</v>
      </c>
      <c r="S1327" s="26" t="n">
        <v>23.42</v>
      </c>
      <c r="T1327" s="26" t="n">
        <v>15.39</v>
      </c>
      <c r="U1327" s="11">
        <f>IF(S1327&lt;='Methodology &amp; Assumptions'!$B$10, "Direct Optical Drop (&lt;3km)", IF(S1327&lt;='Methodology &amp; Assumptions'!$B$9, "Near Optical / Microwave (&lt;5km)", "Starlink Business LEO Satellite Backhaul (&gt;5km)"))</f>
        <v/>
      </c>
      <c r="V1327" s="26" t="n">
        <v>40.86</v>
      </c>
      <c r="W1327" s="26" t="n">
        <v>75.52</v>
      </c>
      <c r="X1327" s="26">
        <f>ROUND(('Methodology &amp; Assumptions'!$B$5*V1327) + ('Methodology &amp; Assumptions'!$B$6*W1327), 2)</f>
        <v/>
      </c>
      <c r="Y1327" s="28" t="n">
        <v>17.4</v>
      </c>
      <c r="Z1327" s="11" t="inlineStr">
        <is>
          <t>Priority Tier 3 (Broadband Expansion)</t>
        </is>
      </c>
    </row>
    <row r="1328">
      <c r="A1328" s="23" t="n">
        <v>5</v>
      </c>
      <c r="B1328" s="23" t="n">
        <v>324</v>
      </c>
      <c r="C1328" s="23" t="n">
        <v>4324</v>
      </c>
      <c r="D1328" s="23" t="inlineStr">
        <is>
          <t>1705205062</t>
        </is>
      </c>
      <c r="E1328" s="11" t="inlineStr">
        <is>
          <t>MIMAROPA Region</t>
        </is>
      </c>
      <c r="F1328" s="11" t="inlineStr">
        <is>
          <t>Oriental Mindoro</t>
        </is>
      </c>
      <c r="G1328" s="11" t="inlineStr">
        <is>
          <t>City of Calapan</t>
        </is>
      </c>
      <c r="H1328" s="11" t="inlineStr">
        <is>
          <t>Suqui</t>
        </is>
      </c>
      <c r="I1328" s="24" t="n">
        <v>13.418121</v>
      </c>
      <c r="J1328" s="24" t="n">
        <v>121.203261</v>
      </c>
      <c r="K1328" s="23" t="inlineStr">
        <is>
          <t>R</t>
        </is>
      </c>
      <c r="L1328" s="25" t="n">
        <v>3824</v>
      </c>
      <c r="M1328" s="26" t="n">
        <v>3.9</v>
      </c>
      <c r="N1328" s="25">
        <f>ROUND(L1328/M1328, 0)</f>
        <v/>
      </c>
      <c r="O1328" s="25">
        <f>ROUND(N1328*'Methodology &amp; Assumptions'!$B$7, 0)</f>
        <v/>
      </c>
      <c r="P1328" s="23" t="inlineStr">
        <is>
          <t>Single Carrier (Band n50, 100MHz TDD)</t>
        </is>
      </c>
      <c r="Q1328" s="27">
        <f>ROUNDUP(O1328/'Methodology &amp; Assumptions'!$B$8, 0)</f>
        <v/>
      </c>
      <c r="R1328" s="27" t="n">
        <v>1</v>
      </c>
      <c r="S1328" s="26" t="n">
        <v>1.07</v>
      </c>
      <c r="T1328" s="26" t="n">
        <v>6.2</v>
      </c>
      <c r="U1328" s="11">
        <f>IF(S1328&lt;='Methodology &amp; Assumptions'!$B$10, "Direct Optical Drop (&lt;3km)", IF(S1328&lt;='Methodology &amp; Assumptions'!$B$9, "Near Optical / Microwave (&lt;5km)", "Starlink Business LEO Satellite Backhaul (&gt;5km)"))</f>
        <v/>
      </c>
      <c r="V1328" s="26" t="n">
        <v>82.3</v>
      </c>
      <c r="W1328" s="26" t="n">
        <v>34.07</v>
      </c>
      <c r="X1328" s="26">
        <f>ROUND(('Methodology &amp; Assumptions'!$B$5*V1328) + ('Methodology &amp; Assumptions'!$B$6*W1328), 2)</f>
        <v/>
      </c>
      <c r="Y1328" s="28" t="n">
        <v>15</v>
      </c>
      <c r="Z1328" s="11" t="inlineStr">
        <is>
          <t>Priority Tier 3 (Broadband Expansion)</t>
        </is>
      </c>
    </row>
    <row r="1329">
      <c r="A1329" s="23" t="n">
        <v>5</v>
      </c>
      <c r="B1329" s="23" t="n">
        <v>325</v>
      </c>
      <c r="C1329" s="23" t="n">
        <v>4325</v>
      </c>
      <c r="D1329" s="23" t="inlineStr">
        <is>
          <t>0403414004</t>
        </is>
      </c>
      <c r="E1329" s="11" t="inlineStr">
        <is>
          <t>Region IV-A (CALABARZON)</t>
        </is>
      </c>
      <c r="F1329" s="11" t="inlineStr">
        <is>
          <t>Laguna</t>
        </is>
      </c>
      <c r="G1329" s="11" t="inlineStr">
        <is>
          <t>Mabitac</t>
        </is>
      </c>
      <c r="H1329" s="11" t="inlineStr">
        <is>
          <t>Matalatala</t>
        </is>
      </c>
      <c r="I1329" s="24" t="n">
        <v>14.416372</v>
      </c>
      <c r="J1329" s="24" t="n">
        <v>121.409308</v>
      </c>
      <c r="K1329" s="23" t="inlineStr">
        <is>
          <t>R</t>
        </is>
      </c>
      <c r="L1329" s="25" t="n">
        <v>4771</v>
      </c>
      <c r="M1329" s="26" t="n">
        <v>3.3</v>
      </c>
      <c r="N1329" s="25">
        <f>ROUND(L1329/M1329, 0)</f>
        <v/>
      </c>
      <c r="O1329" s="25">
        <f>ROUND(N1329*'Methodology &amp; Assumptions'!$B$7, 0)</f>
        <v/>
      </c>
      <c r="P1329" s="23" t="inlineStr">
        <is>
          <t>Single Carrier (Band n50, 100MHz TDD)</t>
        </is>
      </c>
      <c r="Q1329" s="27">
        <f>ROUNDUP(O1329/'Methodology &amp; Assumptions'!$B$8, 0)</f>
        <v/>
      </c>
      <c r="R1329" s="27" t="n">
        <v>1</v>
      </c>
      <c r="S1329" s="26" t="n">
        <v>2.36</v>
      </c>
      <c r="T1329" s="26" t="n">
        <v>2.96</v>
      </c>
      <c r="U1329" s="11">
        <f>IF(S1329&lt;='Methodology &amp; Assumptions'!$B$10, "Direct Optical Drop (&lt;3km)", IF(S1329&lt;='Methodology &amp; Assumptions'!$B$9, "Near Optical / Microwave (&lt;5km)", "Starlink Business LEO Satellite Backhaul (&gt;5km)"))</f>
        <v/>
      </c>
      <c r="V1329" s="26" t="n">
        <v>79.14</v>
      </c>
      <c r="W1329" s="26" t="n">
        <v>37.22</v>
      </c>
      <c r="X1329" s="26">
        <f>ROUND(('Methodology &amp; Assumptions'!$B$5*V1329) + ('Methodology &amp; Assumptions'!$B$6*W1329), 2)</f>
        <v/>
      </c>
      <c r="Y1329" s="28" t="n">
        <v>7.2</v>
      </c>
      <c r="Z1329" s="11" t="inlineStr">
        <is>
          <t>Priority Tier 3 (Broadband Expansion)</t>
        </is>
      </c>
    </row>
    <row r="1330">
      <c r="A1330" s="23" t="n">
        <v>5</v>
      </c>
      <c r="B1330" s="23" t="n">
        <v>326</v>
      </c>
      <c r="C1330" s="23" t="n">
        <v>4326</v>
      </c>
      <c r="D1330" s="23" t="inlineStr">
        <is>
          <t>0304903096</t>
        </is>
      </c>
      <c r="E1330" s="11" t="inlineStr">
        <is>
          <t>Region III (Central Luzon)</t>
        </is>
      </c>
      <c r="F1330" s="11" t="inlineStr">
        <is>
          <t>Nueva Ecija</t>
        </is>
      </c>
      <c r="G1330" s="11" t="inlineStr">
        <is>
          <t>City of Cabanatuan</t>
        </is>
      </c>
      <c r="H1330" s="11" t="inlineStr">
        <is>
          <t>Caridad</t>
        </is>
      </c>
      <c r="I1330" s="24" t="n">
        <v>15.585783</v>
      </c>
      <c r="J1330" s="24" t="n">
        <v>120.924577</v>
      </c>
      <c r="K1330" s="23" t="inlineStr">
        <is>
          <t>R</t>
        </is>
      </c>
      <c r="L1330" s="25" t="n">
        <v>2076</v>
      </c>
      <c r="M1330" s="26" t="n">
        <v>3.5</v>
      </c>
      <c r="N1330" s="25">
        <f>ROUND(L1330/M1330, 0)</f>
        <v/>
      </c>
      <c r="O1330" s="25">
        <f>ROUND(N1330*'Methodology &amp; Assumptions'!$B$7, 0)</f>
        <v/>
      </c>
      <c r="P1330" s="23" t="inlineStr">
        <is>
          <t>Single Carrier (Band n50, 100MHz TDD)</t>
        </is>
      </c>
      <c r="Q1330" s="27">
        <f>ROUNDUP(O1330/'Methodology &amp; Assumptions'!$B$8, 0)</f>
        <v/>
      </c>
      <c r="R1330" s="27" t="n">
        <v>1</v>
      </c>
      <c r="S1330" s="26" t="n">
        <v>0.71</v>
      </c>
      <c r="T1330" s="26" t="n">
        <v>0.52</v>
      </c>
      <c r="U1330" s="11">
        <f>IF(S1330&lt;='Methodology &amp; Assumptions'!$B$10, "Direct Optical Drop (&lt;3km)", IF(S1330&lt;='Methodology &amp; Assumptions'!$B$9, "Near Optical / Microwave (&lt;5km)", "Starlink Business LEO Satellite Backhaul (&gt;5km)"))</f>
        <v/>
      </c>
      <c r="V1330" s="26" t="n">
        <v>78.31</v>
      </c>
      <c r="W1330" s="26" t="n">
        <v>38.05</v>
      </c>
      <c r="X1330" s="26">
        <f>ROUND(('Methodology &amp; Assumptions'!$B$5*V1330) + ('Methodology &amp; Assumptions'!$B$6*W1330), 2)</f>
        <v/>
      </c>
      <c r="Y1330" s="28" t="n">
        <v>8.300000000000001</v>
      </c>
      <c r="Z1330" s="11" t="inlineStr">
        <is>
          <t>Priority Tier 3 (Broadband Expansion)</t>
        </is>
      </c>
    </row>
    <row r="1331">
      <c r="A1331" s="23" t="n">
        <v>5</v>
      </c>
      <c r="B1331" s="23" t="n">
        <v>327</v>
      </c>
      <c r="C1331" s="23" t="n">
        <v>4327</v>
      </c>
      <c r="D1331" s="23" t="inlineStr">
        <is>
          <t>0307106008</t>
        </is>
      </c>
      <c r="E1331" s="11" t="inlineStr">
        <is>
          <t>Region III (Central Luzon)</t>
        </is>
      </c>
      <c r="F1331" s="11" t="inlineStr">
        <is>
          <t>Zambales</t>
        </is>
      </c>
      <c r="G1331" s="11" t="inlineStr">
        <is>
          <t>Masinloc</t>
        </is>
      </c>
      <c r="H1331" s="11" t="inlineStr">
        <is>
          <t>San Salvador</t>
        </is>
      </c>
      <c r="I1331" s="24" t="n">
        <v>15.52185</v>
      </c>
      <c r="J1331" s="24" t="n">
        <v>119.913336</v>
      </c>
      <c r="K1331" s="23" t="inlineStr">
        <is>
          <t>R</t>
        </is>
      </c>
      <c r="L1331" s="25" t="n">
        <v>2668</v>
      </c>
      <c r="M1331" s="26" t="n">
        <v>3.8</v>
      </c>
      <c r="N1331" s="25">
        <f>ROUND(L1331/M1331, 0)</f>
        <v/>
      </c>
      <c r="O1331" s="25">
        <f>ROUND(N1331*'Methodology &amp; Assumptions'!$B$7, 0)</f>
        <v/>
      </c>
      <c r="P1331" s="23" t="inlineStr">
        <is>
          <t>Single Carrier (Band n50, 100MHz TDD)</t>
        </is>
      </c>
      <c r="Q1331" s="27">
        <f>ROUNDUP(O1331/'Methodology &amp; Assumptions'!$B$8, 0)</f>
        <v/>
      </c>
      <c r="R1331" s="27" t="n">
        <v>1</v>
      </c>
      <c r="S1331" s="26" t="n">
        <v>4.55</v>
      </c>
      <c r="T1331" s="26" t="n">
        <v>4.57</v>
      </c>
      <c r="U1331" s="11">
        <f>IF(S1331&lt;='Methodology &amp; Assumptions'!$B$10, "Direct Optical Drop (&lt;3km)", IF(S1331&lt;='Methodology &amp; Assumptions'!$B$9, "Near Optical / Microwave (&lt;5km)", "Starlink Business LEO Satellite Backhaul (&gt;5km)"))</f>
        <v/>
      </c>
      <c r="V1331" s="26" t="n">
        <v>67.69</v>
      </c>
      <c r="W1331" s="26" t="n">
        <v>48.66</v>
      </c>
      <c r="X1331" s="26">
        <f>ROUND(('Methodology &amp; Assumptions'!$B$5*V1331) + ('Methodology &amp; Assumptions'!$B$6*W1331), 2)</f>
        <v/>
      </c>
      <c r="Y1331" s="28" t="n">
        <v>8.300000000000001</v>
      </c>
      <c r="Z1331" s="11" t="inlineStr">
        <is>
          <t>Priority Tier 3 (Broadband Expansion)</t>
        </is>
      </c>
    </row>
    <row r="1332">
      <c r="A1332" s="23" t="n">
        <v>5</v>
      </c>
      <c r="B1332" s="23" t="n">
        <v>328</v>
      </c>
      <c r="C1332" s="23" t="n">
        <v>4328</v>
      </c>
      <c r="D1332" s="23" t="inlineStr">
        <is>
          <t>1380605006</t>
        </is>
      </c>
      <c r="E1332" s="11" t="inlineStr">
        <is>
          <t>National Capital Region (NCR)</t>
        </is>
      </c>
      <c r="F1332" s="11" t="inlineStr">
        <is>
          <t>First District (Not a Province)</t>
        </is>
      </c>
      <c r="G1332" s="11" t="inlineStr">
        <is>
          <t>City of Manila</t>
        </is>
      </c>
      <c r="H1332" s="11" t="inlineStr">
        <is>
          <t>Barangay 302</t>
        </is>
      </c>
      <c r="I1332" s="24" t="n">
        <v>14.60193</v>
      </c>
      <c r="J1332" s="24" t="n">
        <v>120.978884</v>
      </c>
      <c r="K1332" s="23" t="inlineStr">
        <is>
          <t>U</t>
        </is>
      </c>
      <c r="L1332" s="25" t="n">
        <v>766</v>
      </c>
      <c r="M1332" s="26" t="n">
        <v>3.56</v>
      </c>
      <c r="N1332" s="25">
        <f>ROUND(L1332/M1332, 0)</f>
        <v/>
      </c>
      <c r="O1332" s="25">
        <f>ROUND(N1332*'Methodology &amp; Assumptions'!$B$7, 0)</f>
        <v/>
      </c>
      <c r="P1332" s="23" t="inlineStr">
        <is>
          <t>Single Carrier (Band n50, 100MHz TDD)</t>
        </is>
      </c>
      <c r="Q1332" s="27">
        <f>ROUNDUP(O1332/'Methodology &amp; Assumptions'!$B$8, 0)</f>
        <v/>
      </c>
      <c r="R1332" s="27" t="n">
        <v>1</v>
      </c>
      <c r="S1332" s="26" t="n">
        <v>1.13</v>
      </c>
      <c r="T1332" s="26" t="n">
        <v>0.3</v>
      </c>
      <c r="U1332" s="11">
        <f>IF(S1332&lt;='Methodology &amp; Assumptions'!$B$10, "Direct Optical Drop (&lt;3km)", IF(S1332&lt;='Methodology &amp; Assumptions'!$B$9, "Near Optical / Microwave (&lt;5km)", "Starlink Business LEO Satellite Backhaul (&gt;5km)"))</f>
        <v/>
      </c>
      <c r="V1332" s="26" t="n">
        <v>46.84</v>
      </c>
      <c r="W1332" s="26" t="n">
        <v>69.51000000000001</v>
      </c>
      <c r="X1332" s="26">
        <f>ROUND(('Methodology &amp; Assumptions'!$B$5*V1332) + ('Methodology &amp; Assumptions'!$B$6*W1332), 2)</f>
        <v/>
      </c>
      <c r="Y1332" s="28" t="n">
        <v>10.9</v>
      </c>
      <c r="Z1332" s="11" t="inlineStr">
        <is>
          <t>Priority Tier 3 (Broadband Expansion)</t>
        </is>
      </c>
    </row>
    <row r="1333">
      <c r="A1333" s="23" t="n">
        <v>5</v>
      </c>
      <c r="B1333" s="23" t="n">
        <v>329</v>
      </c>
      <c r="C1333" s="23" t="n">
        <v>4329</v>
      </c>
      <c r="D1333" s="23" t="inlineStr">
        <is>
          <t>0500503035</t>
        </is>
      </c>
      <c r="E1333" s="11" t="inlineStr">
        <is>
          <t>Region V (Bicol Region)</t>
        </is>
      </c>
      <c r="F1333" s="11" t="inlineStr">
        <is>
          <t>Albay</t>
        </is>
      </c>
      <c r="G1333" s="11" t="inlineStr">
        <is>
          <t>Daraga</t>
        </is>
      </c>
      <c r="H1333" s="11" t="inlineStr">
        <is>
          <t>Maroroy</t>
        </is>
      </c>
      <c r="I1333" s="24" t="n">
        <v>13.150994</v>
      </c>
      <c r="J1333" s="24" t="n">
        <v>123.720338</v>
      </c>
      <c r="K1333" s="23" t="inlineStr">
        <is>
          <t>U</t>
        </is>
      </c>
      <c r="L1333" s="25" t="n">
        <v>5443</v>
      </c>
      <c r="M1333" s="26" t="n">
        <v>4.1</v>
      </c>
      <c r="N1333" s="25">
        <f>ROUND(L1333/M1333, 0)</f>
        <v/>
      </c>
      <c r="O1333" s="25">
        <f>ROUND(N1333*'Methodology &amp; Assumptions'!$B$7, 0)</f>
        <v/>
      </c>
      <c r="P1333" s="23" t="inlineStr">
        <is>
          <t>Single Carrier (Band n50, 100MHz TDD)</t>
        </is>
      </c>
      <c r="Q1333" s="27">
        <f>ROUNDUP(O1333/'Methodology &amp; Assumptions'!$B$8, 0)</f>
        <v/>
      </c>
      <c r="R1333" s="27" t="n">
        <v>1</v>
      </c>
      <c r="S1333" s="26" t="n">
        <v>1.03</v>
      </c>
      <c r="T1333" s="26" t="n">
        <v>0.37</v>
      </c>
      <c r="U1333" s="11">
        <f>IF(S1333&lt;='Methodology &amp; Assumptions'!$B$10, "Direct Optical Drop (&lt;3km)", IF(S1333&lt;='Methodology &amp; Assumptions'!$B$9, "Near Optical / Microwave (&lt;5km)", "Starlink Business LEO Satellite Backhaul (&gt;5km)"))</f>
        <v/>
      </c>
      <c r="V1333" s="26" t="n">
        <v>80.14</v>
      </c>
      <c r="W1333" s="26" t="n">
        <v>36.2</v>
      </c>
      <c r="X1333" s="26">
        <f>ROUND(('Methodology &amp; Assumptions'!$B$5*V1333) + ('Methodology &amp; Assumptions'!$B$6*W1333), 2)</f>
        <v/>
      </c>
      <c r="Y1333" s="28" t="n">
        <v>23.7</v>
      </c>
      <c r="Z1333" s="11" t="inlineStr">
        <is>
          <t>Priority Tier 3 (Broadband Expansion)</t>
        </is>
      </c>
    </row>
    <row r="1334">
      <c r="A1334" s="23" t="n">
        <v>5</v>
      </c>
      <c r="B1334" s="23" t="n">
        <v>330</v>
      </c>
      <c r="C1334" s="23" t="n">
        <v>4330</v>
      </c>
      <c r="D1334" s="23" t="inlineStr">
        <is>
          <t>0307702004</t>
        </is>
      </c>
      <c r="E1334" s="11" t="inlineStr">
        <is>
          <t>Region III (Central Luzon)</t>
        </is>
      </c>
      <c r="F1334" s="11" t="inlineStr">
        <is>
          <t>Aurora</t>
        </is>
      </c>
      <c r="G1334" s="11" t="inlineStr">
        <is>
          <t>Casiguran</t>
        </is>
      </c>
      <c r="H1334" s="11" t="inlineStr">
        <is>
          <t>Barangay 4</t>
        </is>
      </c>
      <c r="I1334" s="24" t="n">
        <v>16.227793</v>
      </c>
      <c r="J1334" s="24" t="n">
        <v>122.06332</v>
      </c>
      <c r="K1334" s="23" t="inlineStr">
        <is>
          <t>R</t>
        </is>
      </c>
      <c r="L1334" s="25" t="n">
        <v>232</v>
      </c>
      <c r="M1334" s="26" t="n">
        <v>3.8</v>
      </c>
      <c r="N1334" s="25">
        <f>ROUND(L1334/M1334, 0)</f>
        <v/>
      </c>
      <c r="O1334" s="25">
        <f>ROUND(N1334*'Methodology &amp; Assumptions'!$B$7, 0)</f>
        <v/>
      </c>
      <c r="P1334" s="23" t="inlineStr">
        <is>
          <t>Single Carrier (Band n50, 100MHz TDD)</t>
        </is>
      </c>
      <c r="Q1334" s="27">
        <f>ROUNDUP(O1334/'Methodology &amp; Assumptions'!$B$8, 0)</f>
        <v/>
      </c>
      <c r="R1334" s="27" t="n">
        <v>1</v>
      </c>
      <c r="S1334" s="26" t="n">
        <v>3.26</v>
      </c>
      <c r="T1334" s="26" t="n">
        <v>0.13</v>
      </c>
      <c r="U1334" s="11">
        <f>IF(S1334&lt;='Methodology &amp; Assumptions'!$B$10, "Direct Optical Drop (&lt;3km)", IF(S1334&lt;='Methodology &amp; Assumptions'!$B$9, "Near Optical / Microwave (&lt;5km)", "Starlink Business LEO Satellite Backhaul (&gt;5km)"))</f>
        <v/>
      </c>
      <c r="V1334" s="26" t="n">
        <v>52.93</v>
      </c>
      <c r="W1334" s="26" t="n">
        <v>63.4</v>
      </c>
      <c r="X1334" s="26">
        <f>ROUND(('Methodology &amp; Assumptions'!$B$5*V1334) + ('Methodology &amp; Assumptions'!$B$6*W1334), 2)</f>
        <v/>
      </c>
      <c r="Y1334" s="28" t="n">
        <v>8.300000000000001</v>
      </c>
      <c r="Z1334" s="11" t="inlineStr">
        <is>
          <t>Priority Tier 3 (Broadband Expansion)</t>
        </is>
      </c>
    </row>
    <row r="1335">
      <c r="A1335" s="23" t="n">
        <v>5</v>
      </c>
      <c r="B1335" s="23" t="n">
        <v>331</v>
      </c>
      <c r="C1335" s="23" t="n">
        <v>4331</v>
      </c>
      <c r="D1335" s="23" t="inlineStr">
        <is>
          <t>0300803023</t>
        </is>
      </c>
      <c r="E1335" s="11" t="inlineStr">
        <is>
          <t>Region III (Central Luzon)</t>
        </is>
      </c>
      <c r="F1335" s="11" t="inlineStr">
        <is>
          <t>Bataan</t>
        </is>
      </c>
      <c r="G1335" s="11" t="inlineStr">
        <is>
          <t>City of Balanga</t>
        </is>
      </c>
      <c r="H1335" s="11" t="inlineStr">
        <is>
          <t>Tuyo</t>
        </is>
      </c>
      <c r="I1335" s="24" t="n">
        <v>14.695015</v>
      </c>
      <c r="J1335" s="24" t="n">
        <v>120.537602</v>
      </c>
      <c r="K1335" s="23" t="inlineStr">
        <is>
          <t>U</t>
        </is>
      </c>
      <c r="L1335" s="25" t="n">
        <v>12595</v>
      </c>
      <c r="M1335" s="26" t="n">
        <v>3.6</v>
      </c>
      <c r="N1335" s="25">
        <f>ROUND(L1335/M1335, 0)</f>
        <v/>
      </c>
      <c r="O1335" s="25">
        <f>ROUND(N1335*'Methodology &amp; Assumptions'!$B$7, 0)</f>
        <v/>
      </c>
      <c r="P1335" s="23" t="inlineStr">
        <is>
          <t>Single Carrier (Band n50, 100MHz TDD)</t>
        </is>
      </c>
      <c r="Q1335" s="27">
        <f>ROUNDUP(O1335/'Methodology &amp; Assumptions'!$B$8, 0)</f>
        <v/>
      </c>
      <c r="R1335" s="27" t="n">
        <v>1</v>
      </c>
      <c r="S1335" s="26" t="n">
        <v>1.16</v>
      </c>
      <c r="T1335" s="26" t="n">
        <v>0.27</v>
      </c>
      <c r="U1335" s="11">
        <f>IF(S1335&lt;='Methodology &amp; Assumptions'!$B$10, "Direct Optical Drop (&lt;3km)", IF(S1335&lt;='Methodology &amp; Assumptions'!$B$9, "Near Optical / Microwave (&lt;5km)", "Starlink Business LEO Satellite Backhaul (&gt;5km)"))</f>
        <v/>
      </c>
      <c r="V1335" s="26" t="n">
        <v>77.20999999999999</v>
      </c>
      <c r="W1335" s="26" t="n">
        <v>39.11</v>
      </c>
      <c r="X1335" s="26">
        <f>ROUND(('Methodology &amp; Assumptions'!$B$5*V1335) + ('Methodology &amp; Assumptions'!$B$6*W1335), 2)</f>
        <v/>
      </c>
      <c r="Y1335" s="28" t="n">
        <v>8.300000000000001</v>
      </c>
      <c r="Z1335" s="11" t="inlineStr">
        <is>
          <t>Priority Tier 3 (Broadband Expansion)</t>
        </is>
      </c>
    </row>
    <row r="1336">
      <c r="A1336" s="23" t="n">
        <v>5</v>
      </c>
      <c r="B1336" s="23" t="n">
        <v>332</v>
      </c>
      <c r="C1336" s="23" t="n">
        <v>4332</v>
      </c>
      <c r="D1336" s="23" t="inlineStr">
        <is>
          <t>0405608016</t>
        </is>
      </c>
      <c r="E1336" s="11" t="inlineStr">
        <is>
          <t>Region IV-A (CALABARZON)</t>
        </is>
      </c>
      <c r="F1336" s="11" t="inlineStr">
        <is>
          <t>Quezon</t>
        </is>
      </c>
      <c r="G1336" s="11" t="inlineStr">
        <is>
          <t>Candelaria</t>
        </is>
      </c>
      <c r="H1336" s="11" t="inlineStr">
        <is>
          <t>Masin Norte</t>
        </is>
      </c>
      <c r="I1336" s="24" t="n">
        <v>13.930815</v>
      </c>
      <c r="J1336" s="24" t="n">
        <v>121.420696</v>
      </c>
      <c r="K1336" s="23" t="inlineStr">
        <is>
          <t>U</t>
        </is>
      </c>
      <c r="L1336" s="25" t="n">
        <v>6773</v>
      </c>
      <c r="M1336" s="26" t="n">
        <v>3.8</v>
      </c>
      <c r="N1336" s="25">
        <f>ROUND(L1336/M1336, 0)</f>
        <v/>
      </c>
      <c r="O1336" s="25">
        <f>ROUND(N1336*'Methodology &amp; Assumptions'!$B$7, 0)</f>
        <v/>
      </c>
      <c r="P1336" s="23" t="inlineStr">
        <is>
          <t>Single Carrier (Band n50, 100MHz TDD)</t>
        </is>
      </c>
      <c r="Q1336" s="27">
        <f>ROUNDUP(O1336/'Methodology &amp; Assumptions'!$B$8, 0)</f>
        <v/>
      </c>
      <c r="R1336" s="27" t="n">
        <v>1</v>
      </c>
      <c r="S1336" s="26" t="n">
        <v>1.23</v>
      </c>
      <c r="T1336" s="26" t="n">
        <v>0.25</v>
      </c>
      <c r="U1336" s="11">
        <f>IF(S1336&lt;='Methodology &amp; Assumptions'!$B$10, "Direct Optical Drop (&lt;3km)", IF(S1336&lt;='Methodology &amp; Assumptions'!$B$9, "Near Optical / Microwave (&lt;5km)", "Starlink Business LEO Satellite Backhaul (&gt;5km)"))</f>
        <v/>
      </c>
      <c r="V1336" s="26" t="n">
        <v>76.78</v>
      </c>
      <c r="W1336" s="26" t="n">
        <v>39.53</v>
      </c>
      <c r="X1336" s="26">
        <f>ROUND(('Methodology &amp; Assumptions'!$B$5*V1336) + ('Methodology &amp; Assumptions'!$B$6*W1336), 2)</f>
        <v/>
      </c>
      <c r="Y1336" s="28" t="n">
        <v>7.2</v>
      </c>
      <c r="Z1336" s="11" t="inlineStr">
        <is>
          <t>Priority Tier 3 (Broadband Expansion)</t>
        </is>
      </c>
    </row>
    <row r="1337">
      <c r="A1337" s="23" t="n">
        <v>5</v>
      </c>
      <c r="B1337" s="23" t="n">
        <v>333</v>
      </c>
      <c r="C1337" s="23" t="n">
        <v>4333</v>
      </c>
      <c r="D1337" s="23" t="inlineStr">
        <is>
          <t>0301405002</t>
        </is>
      </c>
      <c r="E1337" s="11" t="inlineStr">
        <is>
          <t>Region III (Central Luzon)</t>
        </is>
      </c>
      <c r="F1337" s="11" t="inlineStr">
        <is>
          <t>Bulacan</t>
        </is>
      </c>
      <c r="G1337" s="11" t="inlineStr">
        <is>
          <t>Bulacan</t>
        </is>
      </c>
      <c r="H1337" s="11" t="inlineStr">
        <is>
          <t>Balubad</t>
        </is>
      </c>
      <c r="I1337" s="24" t="n">
        <v>14.801185</v>
      </c>
      <c r="J1337" s="24" t="n">
        <v>120.874136</v>
      </c>
      <c r="K1337" s="23" t="inlineStr">
        <is>
          <t>U</t>
        </is>
      </c>
      <c r="L1337" s="25" t="n">
        <v>3907</v>
      </c>
      <c r="M1337" s="26" t="n">
        <v>3.5</v>
      </c>
      <c r="N1337" s="25">
        <f>ROUND(L1337/M1337, 0)</f>
        <v/>
      </c>
      <c r="O1337" s="25">
        <f>ROUND(N1337*'Methodology &amp; Assumptions'!$B$7, 0)</f>
        <v/>
      </c>
      <c r="P1337" s="23" t="inlineStr">
        <is>
          <t>Single Carrier (Band n50, 100MHz TDD)</t>
        </is>
      </c>
      <c r="Q1337" s="27">
        <f>ROUNDUP(O1337/'Methodology &amp; Assumptions'!$B$8, 0)</f>
        <v/>
      </c>
      <c r="R1337" s="27" t="n">
        <v>1</v>
      </c>
      <c r="S1337" s="26" t="n">
        <v>0.7</v>
      </c>
      <c r="T1337" s="26" t="n">
        <v>3</v>
      </c>
      <c r="U1337" s="11">
        <f>IF(S1337&lt;='Methodology &amp; Assumptions'!$B$10, "Direct Optical Drop (&lt;3km)", IF(S1337&lt;='Methodology &amp; Assumptions'!$B$9, "Near Optical / Microwave (&lt;5km)", "Starlink Business LEO Satellite Backhaul (&gt;5km)"))</f>
        <v/>
      </c>
      <c r="V1337" s="26" t="n">
        <v>75.48999999999999</v>
      </c>
      <c r="W1337" s="26" t="n">
        <v>40.84</v>
      </c>
      <c r="X1337" s="26">
        <f>ROUND(('Methodology &amp; Assumptions'!$B$5*V1337) + ('Methodology &amp; Assumptions'!$B$6*W1337), 2)</f>
        <v/>
      </c>
      <c r="Y1337" s="28" t="n">
        <v>8.300000000000001</v>
      </c>
      <c r="Z1337" s="11" t="inlineStr">
        <is>
          <t>Priority Tier 3 (Broadband Expansion)</t>
        </is>
      </c>
    </row>
    <row r="1338">
      <c r="A1338" s="23" t="n">
        <v>5</v>
      </c>
      <c r="B1338" s="23" t="n">
        <v>334</v>
      </c>
      <c r="C1338" s="23" t="n">
        <v>4334</v>
      </c>
      <c r="D1338" s="23" t="inlineStr">
        <is>
          <t>0604531017</t>
        </is>
      </c>
      <c r="E1338" s="11" t="inlineStr">
        <is>
          <t>Region VI (Western Visayas)</t>
        </is>
      </c>
      <c r="F1338" s="11" t="inlineStr">
        <is>
          <t>Negros Occidental</t>
        </is>
      </c>
      <c r="G1338" s="11" t="inlineStr">
        <is>
          <t>City of Victorias</t>
        </is>
      </c>
      <c r="H1338" s="11" t="inlineStr">
        <is>
          <t>Barangay XIV</t>
        </is>
      </c>
      <c r="I1338" s="24" t="n">
        <v>10.882648</v>
      </c>
      <c r="J1338" s="24" t="n">
        <v>123.110496</v>
      </c>
      <c r="K1338" s="23" t="inlineStr">
        <is>
          <t>R</t>
        </is>
      </c>
      <c r="L1338" s="25" t="n">
        <v>4791</v>
      </c>
      <c r="M1338" s="26" t="n">
        <v>3.7</v>
      </c>
      <c r="N1338" s="25">
        <f>ROUND(L1338/M1338, 0)</f>
        <v/>
      </c>
      <c r="O1338" s="25">
        <f>ROUND(N1338*'Methodology &amp; Assumptions'!$B$7, 0)</f>
        <v/>
      </c>
      <c r="P1338" s="23" t="inlineStr">
        <is>
          <t>Single Carrier (Band n50, 100MHz TDD)</t>
        </is>
      </c>
      <c r="Q1338" s="27">
        <f>ROUNDUP(O1338/'Methodology &amp; Assumptions'!$B$8, 0)</f>
        <v/>
      </c>
      <c r="R1338" s="27" t="n">
        <v>1</v>
      </c>
      <c r="S1338" s="26" t="n">
        <v>4.59</v>
      </c>
      <c r="T1338" s="26" t="n">
        <v>3.46</v>
      </c>
      <c r="U1338" s="11">
        <f>IF(S1338&lt;='Methodology &amp; Assumptions'!$B$10, "Direct Optical Drop (&lt;3km)", IF(S1338&lt;='Methodology &amp; Assumptions'!$B$9, "Near Optical / Microwave (&lt;5km)", "Starlink Business LEO Satellite Backhaul (&gt;5km)"))</f>
        <v/>
      </c>
      <c r="V1338" s="26" t="n">
        <v>73.8</v>
      </c>
      <c r="W1338" s="26" t="n">
        <v>42.53</v>
      </c>
      <c r="X1338" s="26">
        <f>ROUND(('Methodology &amp; Assumptions'!$B$5*V1338) + ('Methodology &amp; Assumptions'!$B$6*W1338), 2)</f>
        <v/>
      </c>
      <c r="Y1338" s="28" t="n">
        <v>23.7</v>
      </c>
      <c r="Z1338" s="11" t="inlineStr">
        <is>
          <t>Priority Tier 3 (Broadband Expansion)</t>
        </is>
      </c>
    </row>
    <row r="1339">
      <c r="A1339" s="23" t="n">
        <v>5</v>
      </c>
      <c r="B1339" s="23" t="n">
        <v>335</v>
      </c>
      <c r="C1339" s="23" t="n">
        <v>4335</v>
      </c>
      <c r="D1339" s="23" t="inlineStr">
        <is>
          <t>0603036010</t>
        </is>
      </c>
      <c r="E1339" s="11" t="inlineStr">
        <is>
          <t>Region VI (Western Visayas)</t>
        </is>
      </c>
      <c r="F1339" s="11" t="inlineStr">
        <is>
          <t>Iloilo</t>
        </is>
      </c>
      <c r="G1339" s="11" t="inlineStr">
        <is>
          <t>Pavia</t>
        </is>
      </c>
      <c r="H1339" s="11" t="inlineStr">
        <is>
          <t>Cabugao Sur</t>
        </is>
      </c>
      <c r="I1339" s="24" t="n">
        <v>10.790801</v>
      </c>
      <c r="J1339" s="24" t="n">
        <v>122.536341</v>
      </c>
      <c r="K1339" s="23" t="inlineStr">
        <is>
          <t>U</t>
        </is>
      </c>
      <c r="L1339" s="25" t="n">
        <v>3044</v>
      </c>
      <c r="M1339" s="26" t="n">
        <v>3.8</v>
      </c>
      <c r="N1339" s="25">
        <f>ROUND(L1339/M1339, 0)</f>
        <v/>
      </c>
      <c r="O1339" s="25">
        <f>ROUND(N1339*'Methodology &amp; Assumptions'!$B$7, 0)</f>
        <v/>
      </c>
      <c r="P1339" s="23" t="inlineStr">
        <is>
          <t>Single Carrier (Band n50, 100MHz TDD)</t>
        </is>
      </c>
      <c r="Q1339" s="27">
        <f>ROUNDUP(O1339/'Methodology &amp; Assumptions'!$B$8, 0)</f>
        <v/>
      </c>
      <c r="R1339" s="27" t="n">
        <v>1</v>
      </c>
      <c r="S1339" s="26" t="n">
        <v>1.95</v>
      </c>
      <c r="T1339" s="26" t="n">
        <v>4.08</v>
      </c>
      <c r="U1339" s="11">
        <f>IF(S1339&lt;='Methodology &amp; Assumptions'!$B$10, "Direct Optical Drop (&lt;3km)", IF(S1339&lt;='Methodology &amp; Assumptions'!$B$9, "Near Optical / Microwave (&lt;5km)", "Starlink Business LEO Satellite Backhaul (&gt;5km)"))</f>
        <v/>
      </c>
      <c r="V1339" s="26" t="n">
        <v>71.03</v>
      </c>
      <c r="W1339" s="26" t="n">
        <v>45.29</v>
      </c>
      <c r="X1339" s="26">
        <f>ROUND(('Methodology &amp; Assumptions'!$B$5*V1339) + ('Methodology &amp; Assumptions'!$B$6*W1339), 2)</f>
        <v/>
      </c>
      <c r="Y1339" s="28" t="n">
        <v>23.7</v>
      </c>
      <c r="Z1339" s="11" t="inlineStr">
        <is>
          <t>Priority Tier 3 (Broadband Expansion)</t>
        </is>
      </c>
    </row>
    <row r="1340">
      <c r="A1340" s="23" t="n">
        <v>5</v>
      </c>
      <c r="B1340" s="23" t="n">
        <v>336</v>
      </c>
      <c r="C1340" s="23" t="n">
        <v>4336</v>
      </c>
      <c r="D1340" s="23" t="inlineStr">
        <is>
          <t>1380601262</t>
        </is>
      </c>
      <c r="E1340" s="11" t="inlineStr">
        <is>
          <t>National Capital Region (NCR)</t>
        </is>
      </c>
      <c r="F1340" s="11" t="inlineStr">
        <is>
          <t>First District (Not a Province)</t>
        </is>
      </c>
      <c r="G1340" s="11" t="inlineStr">
        <is>
          <t>City of Manila</t>
        </is>
      </c>
      <c r="H1340" s="11" t="inlineStr">
        <is>
          <t>Barangay 261</t>
        </is>
      </c>
      <c r="I1340" s="24" t="n">
        <v>14.609895</v>
      </c>
      <c r="J1340" s="24" t="n">
        <v>120.980085</v>
      </c>
      <c r="K1340" s="23" t="inlineStr">
        <is>
          <t>U</t>
        </is>
      </c>
      <c r="L1340" s="25" t="n">
        <v>800</v>
      </c>
      <c r="M1340" s="26" t="n">
        <v>3.83</v>
      </c>
      <c r="N1340" s="25">
        <f>ROUND(L1340/M1340, 0)</f>
        <v/>
      </c>
      <c r="O1340" s="25">
        <f>ROUND(N1340*'Methodology &amp; Assumptions'!$B$7, 0)</f>
        <v/>
      </c>
      <c r="P1340" s="23" t="inlineStr">
        <is>
          <t>Single Carrier (Band n50, 100MHz TDD)</t>
        </is>
      </c>
      <c r="Q1340" s="27">
        <f>ROUNDUP(O1340/'Methodology &amp; Assumptions'!$B$8, 0)</f>
        <v/>
      </c>
      <c r="R1340" s="27" t="n">
        <v>1</v>
      </c>
      <c r="S1340" s="26" t="n">
        <v>0.79</v>
      </c>
      <c r="T1340" s="26" t="n">
        <v>0.35</v>
      </c>
      <c r="U1340" s="11">
        <f>IF(S1340&lt;='Methodology &amp; Assumptions'!$B$10, "Direct Optical Drop (&lt;3km)", IF(S1340&lt;='Methodology &amp; Assumptions'!$B$9, "Near Optical / Microwave (&lt;5km)", "Starlink Business LEO Satellite Backhaul (&gt;5km)"))</f>
        <v/>
      </c>
      <c r="V1340" s="26" t="n">
        <v>47.84</v>
      </c>
      <c r="W1340" s="26" t="n">
        <v>68.47</v>
      </c>
      <c r="X1340" s="26">
        <f>ROUND(('Methodology &amp; Assumptions'!$B$5*V1340) + ('Methodology &amp; Assumptions'!$B$6*W1340), 2)</f>
        <v/>
      </c>
      <c r="Y1340" s="28" t="n">
        <v>10.9</v>
      </c>
      <c r="Z1340" s="11" t="inlineStr">
        <is>
          <t>Priority Tier 3 (Broadband Expansion)</t>
        </is>
      </c>
    </row>
    <row r="1341">
      <c r="A1341" s="23" t="n">
        <v>5</v>
      </c>
      <c r="B1341" s="23" t="n">
        <v>337</v>
      </c>
      <c r="C1341" s="23" t="n">
        <v>4337</v>
      </c>
      <c r="D1341" s="23" t="inlineStr">
        <is>
          <t>0603018019</t>
        </is>
      </c>
      <c r="E1341" s="11" t="inlineStr">
        <is>
          <t>Region VI (Western Visayas)</t>
        </is>
      </c>
      <c r="F1341" s="11" t="inlineStr">
        <is>
          <t>Iloilo</t>
        </is>
      </c>
      <c r="G1341" s="11" t="inlineStr">
        <is>
          <t>Dumangas</t>
        </is>
      </c>
      <c r="H1341" s="11" t="inlineStr">
        <is>
          <t>Ermita</t>
        </is>
      </c>
      <c r="I1341" s="24" t="n">
        <v>10.817481</v>
      </c>
      <c r="J1341" s="24" t="n">
        <v>122.693673</v>
      </c>
      <c r="K1341" s="23" t="inlineStr">
        <is>
          <t>R</t>
        </is>
      </c>
      <c r="L1341" s="25" t="n">
        <v>3428</v>
      </c>
      <c r="M1341" s="26" t="n">
        <v>3.8</v>
      </c>
      <c r="N1341" s="25">
        <f>ROUND(L1341/M1341, 0)</f>
        <v/>
      </c>
      <c r="O1341" s="25">
        <f>ROUND(N1341*'Methodology &amp; Assumptions'!$B$7, 0)</f>
        <v/>
      </c>
      <c r="P1341" s="23" t="inlineStr">
        <is>
          <t>Single Carrier (Band n50, 100MHz TDD)</t>
        </is>
      </c>
      <c r="Q1341" s="27">
        <f>ROUNDUP(O1341/'Methodology &amp; Assumptions'!$B$8, 0)</f>
        <v/>
      </c>
      <c r="R1341" s="27" t="n">
        <v>1</v>
      </c>
      <c r="S1341" s="26" t="n">
        <v>1.99</v>
      </c>
      <c r="T1341" s="26" t="n">
        <v>0.59</v>
      </c>
      <c r="U1341" s="11">
        <f>IF(S1341&lt;='Methodology &amp; Assumptions'!$B$10, "Direct Optical Drop (&lt;3km)", IF(S1341&lt;='Methodology &amp; Assumptions'!$B$9, "Near Optical / Microwave (&lt;5km)", "Starlink Business LEO Satellite Backhaul (&gt;5km)"))</f>
        <v/>
      </c>
      <c r="V1341" s="26" t="n">
        <v>83.84999999999999</v>
      </c>
      <c r="W1341" s="26" t="n">
        <v>32.44</v>
      </c>
      <c r="X1341" s="26">
        <f>ROUND(('Methodology &amp; Assumptions'!$B$5*V1341) + ('Methodology &amp; Assumptions'!$B$6*W1341), 2)</f>
        <v/>
      </c>
      <c r="Y1341" s="28" t="n">
        <v>23.7</v>
      </c>
      <c r="Z1341" s="11" t="inlineStr">
        <is>
          <t>Priority Tier 3 (Broadband Expansion)</t>
        </is>
      </c>
    </row>
    <row r="1342">
      <c r="A1342" s="23" t="n">
        <v>5</v>
      </c>
      <c r="B1342" s="23" t="n">
        <v>338</v>
      </c>
      <c r="C1342" s="23" t="n">
        <v>4338</v>
      </c>
      <c r="D1342" s="23" t="inlineStr">
        <is>
          <t>0304915015</t>
        </is>
      </c>
      <c r="E1342" s="11" t="inlineStr">
        <is>
          <t>Region III (Central Luzon)</t>
        </is>
      </c>
      <c r="F1342" s="11" t="inlineStr">
        <is>
          <t>Nueva Ecija</t>
        </is>
      </c>
      <c r="G1342" s="11" t="inlineStr">
        <is>
          <t>Llanera</t>
        </is>
      </c>
      <c r="H1342" s="11" t="inlineStr">
        <is>
          <t>Plaridel</t>
        </is>
      </c>
      <c r="I1342" s="24" t="n">
        <v>15.656944</v>
      </c>
      <c r="J1342" s="24" t="n">
        <v>121.019097</v>
      </c>
      <c r="K1342" s="23" t="inlineStr">
        <is>
          <t>R</t>
        </is>
      </c>
      <c r="L1342" s="25" t="n">
        <v>4045</v>
      </c>
      <c r="M1342" s="26" t="n">
        <v>3.5</v>
      </c>
      <c r="N1342" s="25">
        <f>ROUND(L1342/M1342, 0)</f>
        <v/>
      </c>
      <c r="O1342" s="25">
        <f>ROUND(N1342*'Methodology &amp; Assumptions'!$B$7, 0)</f>
        <v/>
      </c>
      <c r="P1342" s="23" t="inlineStr">
        <is>
          <t>Single Carrier (Band n50, 100MHz TDD)</t>
        </is>
      </c>
      <c r="Q1342" s="27">
        <f>ROUNDUP(O1342/'Methodology &amp; Assumptions'!$B$8, 0)</f>
        <v/>
      </c>
      <c r="R1342" s="27" t="n">
        <v>1</v>
      </c>
      <c r="S1342" s="26" t="n">
        <v>0.98</v>
      </c>
      <c r="T1342" s="26" t="n">
        <v>4.04</v>
      </c>
      <c r="U1342" s="11">
        <f>IF(S1342&lt;='Methodology &amp; Assumptions'!$B$10, "Direct Optical Drop (&lt;3km)", IF(S1342&lt;='Methodology &amp; Assumptions'!$B$9, "Near Optical / Microwave (&lt;5km)", "Starlink Business LEO Satellite Backhaul (&gt;5km)"))</f>
        <v/>
      </c>
      <c r="V1342" s="26" t="n">
        <v>81.59</v>
      </c>
      <c r="W1342" s="26" t="n">
        <v>34.72</v>
      </c>
      <c r="X1342" s="26">
        <f>ROUND(('Methodology &amp; Assumptions'!$B$5*V1342) + ('Methodology &amp; Assumptions'!$B$6*W1342), 2)</f>
        <v/>
      </c>
      <c r="Y1342" s="28" t="n">
        <v>8.300000000000001</v>
      </c>
      <c r="Z1342" s="11" t="inlineStr">
        <is>
          <t>Priority Tier 3 (Broadband Expansion)</t>
        </is>
      </c>
    </row>
    <row r="1343">
      <c r="A1343" s="23" t="n">
        <v>5</v>
      </c>
      <c r="B1343" s="23" t="n">
        <v>339</v>
      </c>
      <c r="C1343" s="23" t="n">
        <v>4339</v>
      </c>
      <c r="D1343" s="23" t="inlineStr">
        <is>
          <t>0702216018</t>
        </is>
      </c>
      <c r="E1343" s="11" t="inlineStr">
        <is>
          <t>Region VII (Central Visayas)</t>
        </is>
      </c>
      <c r="F1343" s="11" t="inlineStr">
        <is>
          <t>Cebu</t>
        </is>
      </c>
      <c r="G1343" s="11" t="inlineStr">
        <is>
          <t>Catmon</t>
        </is>
      </c>
      <c r="H1343" s="11" t="inlineStr">
        <is>
          <t>San Jose Pob.</t>
        </is>
      </c>
      <c r="I1343" s="24" t="n">
        <v>10.72906</v>
      </c>
      <c r="J1343" s="24" t="n">
        <v>124.013395</v>
      </c>
      <c r="K1343" s="23" t="inlineStr">
        <is>
          <t>R</t>
        </is>
      </c>
      <c r="L1343" s="25" t="n">
        <v>3846</v>
      </c>
      <c r="M1343" s="26" t="n">
        <v>3.8</v>
      </c>
      <c r="N1343" s="25">
        <f>ROUND(L1343/M1343, 0)</f>
        <v/>
      </c>
      <c r="O1343" s="25">
        <f>ROUND(N1343*'Methodology &amp; Assumptions'!$B$7, 0)</f>
        <v/>
      </c>
      <c r="P1343" s="23" t="inlineStr">
        <is>
          <t>Single Carrier (Band n50, 100MHz TDD)</t>
        </is>
      </c>
      <c r="Q1343" s="27">
        <f>ROUNDUP(O1343/'Methodology &amp; Assumptions'!$B$8, 0)</f>
        <v/>
      </c>
      <c r="R1343" s="27" t="n">
        <v>1</v>
      </c>
      <c r="S1343" s="26" t="n">
        <v>2.73</v>
      </c>
      <c r="T1343" s="26" t="n">
        <v>0.12</v>
      </c>
      <c r="U1343" s="11">
        <f>IF(S1343&lt;='Methodology &amp; Assumptions'!$B$10, "Direct Optical Drop (&lt;3km)", IF(S1343&lt;='Methodology &amp; Assumptions'!$B$9, "Near Optical / Microwave (&lt;5km)", "Starlink Business LEO Satellite Backhaul (&gt;5km)"))</f>
        <v/>
      </c>
      <c r="V1343" s="26" t="n">
        <v>81.43000000000001</v>
      </c>
      <c r="W1343" s="26" t="n">
        <v>34.87</v>
      </c>
      <c r="X1343" s="26">
        <f>ROUND(('Methodology &amp; Assumptions'!$B$5*V1343) + ('Methodology &amp; Assumptions'!$B$6*W1343), 2)</f>
        <v/>
      </c>
      <c r="Y1343" s="28" t="n">
        <v>23.7</v>
      </c>
      <c r="Z1343" s="11" t="inlineStr">
        <is>
          <t>Priority Tier 3 (Broadband Expansion)</t>
        </is>
      </c>
    </row>
    <row r="1344">
      <c r="A1344" s="23" t="n">
        <v>5</v>
      </c>
      <c r="B1344" s="23" t="n">
        <v>340</v>
      </c>
      <c r="C1344" s="23" t="n">
        <v>4340</v>
      </c>
      <c r="D1344" s="23" t="inlineStr">
        <is>
          <t>1004311007</t>
        </is>
      </c>
      <c r="E1344" s="11" t="inlineStr">
        <is>
          <t>Region X (Northern Mindanao)</t>
        </is>
      </c>
      <c r="F1344" s="11" t="inlineStr">
        <is>
          <t>Misamis Oriental</t>
        </is>
      </c>
      <c r="G1344" s="11" t="inlineStr">
        <is>
          <t>Jasaan</t>
        </is>
      </c>
      <c r="H1344" s="11" t="inlineStr">
        <is>
          <t>Lower Jasaan</t>
        </is>
      </c>
      <c r="I1344" s="24" t="n">
        <v>8.65011</v>
      </c>
      <c r="J1344" s="24" t="n">
        <v>124.753454</v>
      </c>
      <c r="K1344" s="23" t="inlineStr">
        <is>
          <t>U</t>
        </is>
      </c>
      <c r="L1344" s="25" t="n">
        <v>6140</v>
      </c>
      <c r="M1344" s="26" t="n">
        <v>3.9</v>
      </c>
      <c r="N1344" s="25">
        <f>ROUND(L1344/M1344, 0)</f>
        <v/>
      </c>
      <c r="O1344" s="25">
        <f>ROUND(N1344*'Methodology &amp; Assumptions'!$B$7, 0)</f>
        <v/>
      </c>
      <c r="P1344" s="23" t="inlineStr">
        <is>
          <t>Single Carrier (Band n50, 100MHz TDD)</t>
        </is>
      </c>
      <c r="Q1344" s="27">
        <f>ROUNDUP(O1344/'Methodology &amp; Assumptions'!$B$8, 0)</f>
        <v/>
      </c>
      <c r="R1344" s="27" t="n">
        <v>1</v>
      </c>
      <c r="S1344" s="26" t="n">
        <v>0.1</v>
      </c>
      <c r="T1344" s="26" t="n">
        <v>0.22</v>
      </c>
      <c r="U1344" s="11">
        <f>IF(S1344&lt;='Methodology &amp; Assumptions'!$B$10, "Direct Optical Drop (&lt;3km)", IF(S1344&lt;='Methodology &amp; Assumptions'!$B$9, "Near Optical / Microwave (&lt;5km)", "Starlink Business LEO Satellite Backhaul (&gt;5km)"))</f>
        <v/>
      </c>
      <c r="V1344" s="26" t="n">
        <v>79.87</v>
      </c>
      <c r="W1344" s="26" t="n">
        <v>36.43</v>
      </c>
      <c r="X1344" s="26">
        <f>ROUND(('Methodology &amp; Assumptions'!$B$5*V1344) + ('Methodology &amp; Assumptions'!$B$6*W1344), 2)</f>
        <v/>
      </c>
      <c r="Y1344" s="28" t="n">
        <v>17.4</v>
      </c>
      <c r="Z1344" s="11" t="inlineStr">
        <is>
          <t>Priority Tier 3 (Broadband Expansion)</t>
        </is>
      </c>
    </row>
    <row r="1345">
      <c r="A1345" s="23" t="n">
        <v>5</v>
      </c>
      <c r="B1345" s="23" t="n">
        <v>341</v>
      </c>
      <c r="C1345" s="23" t="n">
        <v>4341</v>
      </c>
      <c r="D1345" s="23" t="inlineStr">
        <is>
          <t>0403415007</t>
        </is>
      </c>
      <c r="E1345" s="11" t="inlineStr">
        <is>
          <t>Region IV-A (CALABARZON)</t>
        </is>
      </c>
      <c r="F1345" s="11" t="inlineStr">
        <is>
          <t>Laguna</t>
        </is>
      </c>
      <c r="G1345" s="11" t="inlineStr">
        <is>
          <t>Magdalena</t>
        </is>
      </c>
      <c r="H1345" s="11" t="inlineStr">
        <is>
          <t>Buenavista</t>
        </is>
      </c>
      <c r="I1345" s="24" t="n">
        <v>14.220683</v>
      </c>
      <c r="J1345" s="24" t="n">
        <v>121.424611</v>
      </c>
      <c r="K1345" s="23" t="inlineStr">
        <is>
          <t>R</t>
        </is>
      </c>
      <c r="L1345" s="25" t="n">
        <v>2699</v>
      </c>
      <c r="M1345" s="26" t="n">
        <v>3.3</v>
      </c>
      <c r="N1345" s="25">
        <f>ROUND(L1345/M1345, 0)</f>
        <v/>
      </c>
      <c r="O1345" s="25">
        <f>ROUND(N1345*'Methodology &amp; Assumptions'!$B$7, 0)</f>
        <v/>
      </c>
      <c r="P1345" s="23" t="inlineStr">
        <is>
          <t>Single Carrier (Band n50, 100MHz TDD)</t>
        </is>
      </c>
      <c r="Q1345" s="27">
        <f>ROUNDUP(O1345/'Methodology &amp; Assumptions'!$B$8, 0)</f>
        <v/>
      </c>
      <c r="R1345" s="27" t="n">
        <v>1</v>
      </c>
      <c r="S1345" s="26" t="n">
        <v>2.55</v>
      </c>
      <c r="T1345" s="26" t="n">
        <v>0.34</v>
      </c>
      <c r="U1345" s="11">
        <f>IF(S1345&lt;='Methodology &amp; Assumptions'!$B$10, "Direct Optical Drop (&lt;3km)", IF(S1345&lt;='Methodology &amp; Assumptions'!$B$9, "Near Optical / Microwave (&lt;5km)", "Starlink Business LEO Satellite Backhaul (&gt;5km)"))</f>
        <v/>
      </c>
      <c r="V1345" s="26" t="n">
        <v>79.40000000000001</v>
      </c>
      <c r="W1345" s="26" t="n">
        <v>36.9</v>
      </c>
      <c r="X1345" s="26">
        <f>ROUND(('Methodology &amp; Assumptions'!$B$5*V1345) + ('Methodology &amp; Assumptions'!$B$6*W1345), 2)</f>
        <v/>
      </c>
      <c r="Y1345" s="28" t="n">
        <v>7.2</v>
      </c>
      <c r="Z1345" s="11" t="inlineStr">
        <is>
          <t>Priority Tier 3 (Broadband Expansion)</t>
        </is>
      </c>
    </row>
    <row r="1346">
      <c r="A1346" s="23" t="n">
        <v>5</v>
      </c>
      <c r="B1346" s="23" t="n">
        <v>342</v>
      </c>
      <c r="C1346" s="23" t="n">
        <v>4342</v>
      </c>
      <c r="D1346" s="23" t="inlineStr">
        <is>
          <t>0103311011</t>
        </is>
      </c>
      <c r="E1346" s="11" t="inlineStr">
        <is>
          <t>Region I (Ilocos Region)</t>
        </is>
      </c>
      <c r="F1346" s="11" t="inlineStr">
        <is>
          <t>La Union</t>
        </is>
      </c>
      <c r="G1346" s="11" t="inlineStr">
        <is>
          <t>Naguilian</t>
        </is>
      </c>
      <c r="H1346" s="11" t="inlineStr">
        <is>
          <t>Bariquir</t>
        </is>
      </c>
      <c r="I1346" s="24" t="n">
        <v>16.533497</v>
      </c>
      <c r="J1346" s="24" t="n">
        <v>120.403205</v>
      </c>
      <c r="K1346" s="23" t="inlineStr">
        <is>
          <t>R</t>
        </is>
      </c>
      <c r="L1346" s="25" t="n">
        <v>2311</v>
      </c>
      <c r="M1346" s="26" t="n">
        <v>3.7</v>
      </c>
      <c r="N1346" s="25">
        <f>ROUND(L1346/M1346, 0)</f>
        <v/>
      </c>
      <c r="O1346" s="25">
        <f>ROUND(N1346*'Methodology &amp; Assumptions'!$B$7, 0)</f>
        <v/>
      </c>
      <c r="P1346" s="23" t="inlineStr">
        <is>
          <t>Single Carrier (Band n50, 100MHz TDD)</t>
        </is>
      </c>
      <c r="Q1346" s="27">
        <f>ROUNDUP(O1346/'Methodology &amp; Assumptions'!$B$8, 0)</f>
        <v/>
      </c>
      <c r="R1346" s="27" t="n">
        <v>1</v>
      </c>
      <c r="S1346" s="26" t="n">
        <v>0.68</v>
      </c>
      <c r="T1346" s="26" t="n">
        <v>0.64</v>
      </c>
      <c r="U1346" s="11">
        <f>IF(S1346&lt;='Methodology &amp; Assumptions'!$B$10, "Direct Optical Drop (&lt;3km)", IF(S1346&lt;='Methodology &amp; Assumptions'!$B$9, "Near Optical / Microwave (&lt;5km)", "Starlink Business LEO Satellite Backhaul (&gt;5km)"))</f>
        <v/>
      </c>
      <c r="V1346" s="26" t="n">
        <v>79.39</v>
      </c>
      <c r="W1346" s="26" t="n">
        <v>36.92</v>
      </c>
      <c r="X1346" s="26">
        <f>ROUND(('Methodology &amp; Assumptions'!$B$5*V1346) + ('Methodology &amp; Assumptions'!$B$6*W1346), 2)</f>
        <v/>
      </c>
      <c r="Y1346" s="28" t="n">
        <v>8.300000000000001</v>
      </c>
      <c r="Z1346" s="11" t="inlineStr">
        <is>
          <t>Priority Tier 3 (Broadband Expansion)</t>
        </is>
      </c>
    </row>
    <row r="1347">
      <c r="A1347" s="23" t="n">
        <v>5</v>
      </c>
      <c r="B1347" s="23" t="n">
        <v>343</v>
      </c>
      <c r="C1347" s="23" t="n">
        <v>4343</v>
      </c>
      <c r="D1347" s="23" t="inlineStr">
        <is>
          <t>0306910028</t>
        </is>
      </c>
      <c r="E1347" s="11" t="inlineStr">
        <is>
          <t>Region III (Central Luzon)</t>
        </is>
      </c>
      <c r="F1347" s="11" t="inlineStr">
        <is>
          <t>Tarlac</t>
        </is>
      </c>
      <c r="G1347" s="11" t="inlineStr">
        <is>
          <t>Paniqui</t>
        </is>
      </c>
      <c r="H1347" s="11" t="inlineStr">
        <is>
          <t>Samput</t>
        </is>
      </c>
      <c r="I1347" s="24" t="n">
        <v>15.655595</v>
      </c>
      <c r="J1347" s="24" t="n">
        <v>120.583327</v>
      </c>
      <c r="K1347" s="23" t="inlineStr">
        <is>
          <t>U</t>
        </is>
      </c>
      <c r="L1347" s="25" t="n">
        <v>6522</v>
      </c>
      <c r="M1347" s="26" t="n">
        <v>3.9</v>
      </c>
      <c r="N1347" s="25">
        <f>ROUND(L1347/M1347, 0)</f>
        <v/>
      </c>
      <c r="O1347" s="25">
        <f>ROUND(N1347*'Methodology &amp; Assumptions'!$B$7, 0)</f>
        <v/>
      </c>
      <c r="P1347" s="23" t="inlineStr">
        <is>
          <t>Single Carrier (Band n50, 100MHz TDD)</t>
        </is>
      </c>
      <c r="Q1347" s="27">
        <f>ROUNDUP(O1347/'Methodology &amp; Assumptions'!$B$8, 0)</f>
        <v/>
      </c>
      <c r="R1347" s="27" t="n">
        <v>1</v>
      </c>
      <c r="S1347" s="26" t="n">
        <v>1.44</v>
      </c>
      <c r="T1347" s="26" t="n">
        <v>0.17</v>
      </c>
      <c r="U1347" s="11">
        <f>IF(S1347&lt;='Methodology &amp; Assumptions'!$B$10, "Direct Optical Drop (&lt;3km)", IF(S1347&lt;='Methodology &amp; Assumptions'!$B$9, "Near Optical / Microwave (&lt;5km)", "Starlink Business LEO Satellite Backhaul (&gt;5km)"))</f>
        <v/>
      </c>
      <c r="V1347" s="26" t="n">
        <v>76.17</v>
      </c>
      <c r="W1347" s="26" t="n">
        <v>40.14</v>
      </c>
      <c r="X1347" s="26">
        <f>ROUND(('Methodology &amp; Assumptions'!$B$5*V1347) + ('Methodology &amp; Assumptions'!$B$6*W1347), 2)</f>
        <v/>
      </c>
      <c r="Y1347" s="28" t="n">
        <v>8.300000000000001</v>
      </c>
      <c r="Z1347" s="11" t="inlineStr">
        <is>
          <t>Priority Tier 3 (Broadband Expansion)</t>
        </is>
      </c>
    </row>
    <row r="1348">
      <c r="A1348" s="23" t="n">
        <v>5</v>
      </c>
      <c r="B1348" s="23" t="n">
        <v>344</v>
      </c>
      <c r="C1348" s="23" t="n">
        <v>4344</v>
      </c>
      <c r="D1348" s="23" t="inlineStr">
        <is>
          <t>0403405056</t>
        </is>
      </c>
      <c r="E1348" s="11" t="inlineStr">
        <is>
          <t>Region IV-A (CALABARZON)</t>
        </is>
      </c>
      <c r="F1348" s="11" t="inlineStr">
        <is>
          <t>Laguna</t>
        </is>
      </c>
      <c r="G1348" s="11" t="inlineStr">
        <is>
          <t>City of Calamba</t>
        </is>
      </c>
      <c r="H1348" s="11" t="inlineStr">
        <is>
          <t>Sirang Lupa</t>
        </is>
      </c>
      <c r="I1348" s="24" t="n">
        <v>14.202846</v>
      </c>
      <c r="J1348" s="24" t="n">
        <v>121.106348</v>
      </c>
      <c r="K1348" s="23" t="inlineStr">
        <is>
          <t>U</t>
        </is>
      </c>
      <c r="L1348" s="25" t="n">
        <v>14182</v>
      </c>
      <c r="M1348" s="26" t="n">
        <v>3.3</v>
      </c>
      <c r="N1348" s="25">
        <f>ROUND(L1348/M1348, 0)</f>
        <v/>
      </c>
      <c r="O1348" s="25">
        <f>ROUND(N1348*'Methodology &amp; Assumptions'!$B$7, 0)</f>
        <v/>
      </c>
      <c r="P1348" s="23" t="inlineStr">
        <is>
          <t>Single Carrier (Band n50, 100MHz TDD)</t>
        </is>
      </c>
      <c r="Q1348" s="27">
        <f>ROUNDUP(O1348/'Methodology &amp; Assumptions'!$B$8, 0)</f>
        <v/>
      </c>
      <c r="R1348" s="27" t="n">
        <v>1</v>
      </c>
      <c r="S1348" s="26" t="n">
        <v>1.99</v>
      </c>
      <c r="T1348" s="26" t="n">
        <v>0.68</v>
      </c>
      <c r="U1348" s="11">
        <f>IF(S1348&lt;='Methodology &amp; Assumptions'!$B$10, "Direct Optical Drop (&lt;3km)", IF(S1348&lt;='Methodology &amp; Assumptions'!$B$9, "Near Optical / Microwave (&lt;5km)", "Starlink Business LEO Satellite Backhaul (&gt;5km)"))</f>
        <v/>
      </c>
      <c r="V1348" s="26" t="n">
        <v>74.05</v>
      </c>
      <c r="W1348" s="26" t="n">
        <v>42.25</v>
      </c>
      <c r="X1348" s="26">
        <f>ROUND(('Methodology &amp; Assumptions'!$B$5*V1348) + ('Methodology &amp; Assumptions'!$B$6*W1348), 2)</f>
        <v/>
      </c>
      <c r="Y1348" s="28" t="n">
        <v>7.2</v>
      </c>
      <c r="Z1348" s="11" t="inlineStr">
        <is>
          <t>Priority Tier 3 (Broadband Expansion)</t>
        </is>
      </c>
    </row>
    <row r="1349">
      <c r="A1349" s="23" t="n">
        <v>5</v>
      </c>
      <c r="B1349" s="23" t="n">
        <v>345</v>
      </c>
      <c r="C1349" s="23" t="n">
        <v>4345</v>
      </c>
      <c r="D1349" s="23" t="inlineStr">
        <is>
          <t>1380606149</t>
        </is>
      </c>
      <c r="E1349" s="11" t="inlineStr">
        <is>
          <t>National Capital Region (NCR)</t>
        </is>
      </c>
      <c r="F1349" s="11" t="inlineStr">
        <is>
          <t>First District (Not a Province)</t>
        </is>
      </c>
      <c r="G1349" s="11" t="inlineStr">
        <is>
          <t>City of Manila</t>
        </is>
      </c>
      <c r="H1349" s="11" t="inlineStr">
        <is>
          <t>Barangay 543</t>
        </is>
      </c>
      <c r="I1349" s="24" t="n">
        <v>14.610447</v>
      </c>
      <c r="J1349" s="24" t="n">
        <v>120.99928</v>
      </c>
      <c r="K1349" s="23" t="inlineStr">
        <is>
          <t>U</t>
        </is>
      </c>
      <c r="L1349" s="25" t="n">
        <v>830</v>
      </c>
      <c r="M1349" s="26" t="n">
        <v>4.11</v>
      </c>
      <c r="N1349" s="25">
        <f>ROUND(L1349/M1349, 0)</f>
        <v/>
      </c>
      <c r="O1349" s="25">
        <f>ROUND(N1349*'Methodology &amp; Assumptions'!$B$7, 0)</f>
        <v/>
      </c>
      <c r="P1349" s="23" t="inlineStr">
        <is>
          <t>Single Carrier (Band n50, 100MHz TDD)</t>
        </is>
      </c>
      <c r="Q1349" s="27">
        <f>ROUNDUP(O1349/'Methodology &amp; Assumptions'!$B$8, 0)</f>
        <v/>
      </c>
      <c r="R1349" s="27" t="n">
        <v>1</v>
      </c>
      <c r="S1349" s="26" t="n">
        <v>0.49</v>
      </c>
      <c r="T1349" s="26" t="n">
        <v>0.13</v>
      </c>
      <c r="U1349" s="11">
        <f>IF(S1349&lt;='Methodology &amp; Assumptions'!$B$10, "Direct Optical Drop (&lt;3km)", IF(S1349&lt;='Methodology &amp; Assumptions'!$B$9, "Near Optical / Microwave (&lt;5km)", "Starlink Business LEO Satellite Backhaul (&gt;5km)"))</f>
        <v/>
      </c>
      <c r="V1349" s="26" t="n">
        <v>47.63</v>
      </c>
      <c r="W1349" s="26" t="n">
        <v>68.67</v>
      </c>
      <c r="X1349" s="26">
        <f>ROUND(('Methodology &amp; Assumptions'!$B$5*V1349) + ('Methodology &amp; Assumptions'!$B$6*W1349), 2)</f>
        <v/>
      </c>
      <c r="Y1349" s="28" t="n">
        <v>10.9</v>
      </c>
      <c r="Z1349" s="11" t="inlineStr">
        <is>
          <t>Priority Tier 3 (Broadband Expansion)</t>
        </is>
      </c>
    </row>
    <row r="1350">
      <c r="A1350" s="23" t="n">
        <v>5</v>
      </c>
      <c r="B1350" s="23" t="n">
        <v>346</v>
      </c>
      <c r="C1350" s="23" t="n">
        <v>4346</v>
      </c>
      <c r="D1350" s="23" t="inlineStr">
        <is>
          <t>0500508049</t>
        </is>
      </c>
      <c r="E1350" s="11" t="inlineStr">
        <is>
          <t>Region V (Bicol Region)</t>
        </is>
      </c>
      <c r="F1350" s="11" t="inlineStr">
        <is>
          <t>Albay</t>
        </is>
      </c>
      <c r="G1350" s="11" t="inlineStr">
        <is>
          <t>City of Ligao</t>
        </is>
      </c>
      <c r="H1350" s="11" t="inlineStr">
        <is>
          <t>Tinago</t>
        </is>
      </c>
      <c r="I1350" s="24" t="n">
        <v>13.242635</v>
      </c>
      <c r="J1350" s="24" t="n">
        <v>123.539948</v>
      </c>
      <c r="K1350" s="23" t="inlineStr">
        <is>
          <t>R</t>
        </is>
      </c>
      <c r="L1350" s="25" t="n">
        <v>4822</v>
      </c>
      <c r="M1350" s="26" t="n">
        <v>4.1</v>
      </c>
      <c r="N1350" s="25">
        <f>ROUND(L1350/M1350, 0)</f>
        <v/>
      </c>
      <c r="O1350" s="25">
        <f>ROUND(N1350*'Methodology &amp; Assumptions'!$B$7, 0)</f>
        <v/>
      </c>
      <c r="P1350" s="23" t="inlineStr">
        <is>
          <t>Single Carrier (Band n50, 100MHz TDD)</t>
        </is>
      </c>
      <c r="Q1350" s="27">
        <f>ROUNDUP(O1350/'Methodology &amp; Assumptions'!$B$8, 0)</f>
        <v/>
      </c>
      <c r="R1350" s="27" t="n">
        <v>1</v>
      </c>
      <c r="S1350" s="26" t="n">
        <v>0.62</v>
      </c>
      <c r="T1350" s="26" t="n">
        <v>0.29</v>
      </c>
      <c r="U1350" s="11">
        <f>IF(S1350&lt;='Methodology &amp; Assumptions'!$B$10, "Direct Optical Drop (&lt;3km)", IF(S1350&lt;='Methodology &amp; Assumptions'!$B$9, "Near Optical / Microwave (&lt;5km)", "Starlink Business LEO Satellite Backhaul (&gt;5km)"))</f>
        <v/>
      </c>
      <c r="V1350" s="26" t="n">
        <v>88.06</v>
      </c>
      <c r="W1350" s="26" t="n">
        <v>28.22</v>
      </c>
      <c r="X1350" s="26">
        <f>ROUND(('Methodology &amp; Assumptions'!$B$5*V1350) + ('Methodology &amp; Assumptions'!$B$6*W1350), 2)</f>
        <v/>
      </c>
      <c r="Y1350" s="28" t="n">
        <v>23.7</v>
      </c>
      <c r="Z1350" s="11" t="inlineStr">
        <is>
          <t>Priority Tier 3 (Broadband Expansion)</t>
        </is>
      </c>
    </row>
    <row r="1351">
      <c r="A1351" s="23" t="n">
        <v>5</v>
      </c>
      <c r="B1351" s="23" t="n">
        <v>347</v>
      </c>
      <c r="C1351" s="23" t="n">
        <v>4347</v>
      </c>
      <c r="D1351" s="23" t="inlineStr">
        <is>
          <t>0500512030</t>
        </is>
      </c>
      <c r="E1351" s="11" t="inlineStr">
        <is>
          <t>Region V (Bicol Region)</t>
        </is>
      </c>
      <c r="F1351" s="11" t="inlineStr">
        <is>
          <t>Albay</t>
        </is>
      </c>
      <c r="G1351" s="11" t="inlineStr">
        <is>
          <t>Oas</t>
        </is>
      </c>
      <c r="H1351" s="11" t="inlineStr">
        <is>
          <t>Maramba</t>
        </is>
      </c>
      <c r="I1351" s="24" t="n">
        <v>13.123889</v>
      </c>
      <c r="J1351" s="24" t="n">
        <v>123.294074</v>
      </c>
      <c r="K1351" s="23" t="inlineStr">
        <is>
          <t>R</t>
        </is>
      </c>
      <c r="L1351" s="25" t="n">
        <v>2945</v>
      </c>
      <c r="M1351" s="26" t="n">
        <v>4.1</v>
      </c>
      <c r="N1351" s="25">
        <f>ROUND(L1351/M1351, 0)</f>
        <v/>
      </c>
      <c r="O1351" s="25">
        <f>ROUND(N1351*'Methodology &amp; Assumptions'!$B$7, 0)</f>
        <v/>
      </c>
      <c r="P1351" s="23" t="inlineStr">
        <is>
          <t>Single Carrier (Band n50, 100MHz TDD)</t>
        </is>
      </c>
      <c r="Q1351" s="27">
        <f>ROUNDUP(O1351/'Methodology &amp; Assumptions'!$B$8, 0)</f>
        <v/>
      </c>
      <c r="R1351" s="27" t="n">
        <v>1</v>
      </c>
      <c r="S1351" s="26" t="n">
        <v>0.78</v>
      </c>
      <c r="T1351" s="26" t="n">
        <v>26.35</v>
      </c>
      <c r="U1351" s="11">
        <f>IF(S1351&lt;='Methodology &amp; Assumptions'!$B$10, "Direct Optical Drop (&lt;3km)", IF(S1351&lt;='Methodology &amp; Assumptions'!$B$9, "Near Optical / Microwave (&lt;5km)", "Starlink Business LEO Satellite Backhaul (&gt;5km)"))</f>
        <v/>
      </c>
      <c r="V1351" s="26" t="n">
        <v>80.01000000000001</v>
      </c>
      <c r="W1351" s="26" t="n">
        <v>36.26</v>
      </c>
      <c r="X1351" s="26">
        <f>ROUND(('Methodology &amp; Assumptions'!$B$5*V1351) + ('Methodology &amp; Assumptions'!$B$6*W1351), 2)</f>
        <v/>
      </c>
      <c r="Y1351" s="28" t="n">
        <v>23.7</v>
      </c>
      <c r="Z1351" s="11" t="inlineStr">
        <is>
          <t>Priority Tier 3 (Broadband Expansion)</t>
        </is>
      </c>
    </row>
    <row r="1352">
      <c r="A1352" s="23" t="n">
        <v>5</v>
      </c>
      <c r="B1352" s="23" t="n">
        <v>348</v>
      </c>
      <c r="C1352" s="23" t="n">
        <v>4348</v>
      </c>
      <c r="D1352" s="23" t="inlineStr">
        <is>
          <t>1380611013</t>
        </is>
      </c>
      <c r="E1352" s="11" t="inlineStr">
        <is>
          <t>National Capital Region (NCR)</t>
        </is>
      </c>
      <c r="F1352" s="11" t="inlineStr">
        <is>
          <t>First District (Not a Province)</t>
        </is>
      </c>
      <c r="G1352" s="11" t="inlineStr">
        <is>
          <t>City of Manila</t>
        </is>
      </c>
      <c r="H1352" s="11" t="inlineStr">
        <is>
          <t>Barangay 679</t>
        </is>
      </c>
      <c r="I1352" s="24" t="n">
        <v>14.579934</v>
      </c>
      <c r="J1352" s="24" t="n">
        <v>120.994459</v>
      </c>
      <c r="K1352" s="23" t="inlineStr">
        <is>
          <t>U</t>
        </is>
      </c>
      <c r="L1352" s="25" t="n">
        <v>860</v>
      </c>
      <c r="M1352" s="26" t="n">
        <v>3.96</v>
      </c>
      <c r="N1352" s="25">
        <f>ROUND(L1352/M1352, 0)</f>
        <v/>
      </c>
      <c r="O1352" s="25">
        <f>ROUND(N1352*'Methodology &amp; Assumptions'!$B$7, 0)</f>
        <v/>
      </c>
      <c r="P1352" s="23" t="inlineStr">
        <is>
          <t>Single Carrier (Band n50, 100MHz TDD)</t>
        </is>
      </c>
      <c r="Q1352" s="27">
        <f>ROUNDUP(O1352/'Methodology &amp; Assumptions'!$B$8, 0)</f>
        <v/>
      </c>
      <c r="R1352" s="27" t="n">
        <v>1</v>
      </c>
      <c r="S1352" s="26" t="n">
        <v>0.88</v>
      </c>
      <c r="T1352" s="26" t="n">
        <v>0.2</v>
      </c>
      <c r="U1352" s="11">
        <f>IF(S1352&lt;='Methodology &amp; Assumptions'!$B$10, "Direct Optical Drop (&lt;3km)", IF(S1352&lt;='Methodology &amp; Assumptions'!$B$9, "Near Optical / Microwave (&lt;5km)", "Starlink Business LEO Satellite Backhaul (&gt;5km)"))</f>
        <v/>
      </c>
      <c r="V1352" s="26" t="n">
        <v>47.91</v>
      </c>
      <c r="W1352" s="26" t="n">
        <v>68.37</v>
      </c>
      <c r="X1352" s="26">
        <f>ROUND(('Methodology &amp; Assumptions'!$B$5*V1352) + ('Methodology &amp; Assumptions'!$B$6*W1352), 2)</f>
        <v/>
      </c>
      <c r="Y1352" s="28" t="n">
        <v>10.9</v>
      </c>
      <c r="Z1352" s="11" t="inlineStr">
        <is>
          <t>Priority Tier 3 (Broadband Expansion)</t>
        </is>
      </c>
    </row>
    <row r="1353">
      <c r="A1353" s="23" t="n">
        <v>5</v>
      </c>
      <c r="B1353" s="23" t="n">
        <v>349</v>
      </c>
      <c r="C1353" s="23" t="n">
        <v>4349</v>
      </c>
      <c r="D1353" s="23" t="inlineStr">
        <is>
          <t>1381100048</t>
        </is>
      </c>
      <c r="E1353" s="11" t="inlineStr">
        <is>
          <t>National Capital Region (NCR)</t>
        </is>
      </c>
      <c r="F1353" s="11" t="inlineStr">
        <is>
          <t>Fourth District (Not a Province)</t>
        </is>
      </c>
      <c r="G1353" s="11" t="inlineStr">
        <is>
          <t>Pasay City</t>
        </is>
      </c>
      <c r="H1353" s="11" t="inlineStr">
        <is>
          <t>Barangay 48</t>
        </is>
      </c>
      <c r="I1353" s="24" t="n">
        <v>14.556032</v>
      </c>
      <c r="J1353" s="24" t="n">
        <v>120.999339</v>
      </c>
      <c r="K1353" s="23" t="inlineStr">
        <is>
          <t>U</t>
        </is>
      </c>
      <c r="L1353" s="25" t="n">
        <v>532</v>
      </c>
      <c r="M1353" s="26" t="n">
        <v>3.91</v>
      </c>
      <c r="N1353" s="25">
        <f>ROUND(L1353/M1353, 0)</f>
        <v/>
      </c>
      <c r="O1353" s="25">
        <f>ROUND(N1353*'Methodology &amp; Assumptions'!$B$7, 0)</f>
        <v/>
      </c>
      <c r="P1353" s="23" t="inlineStr">
        <is>
          <t>Single Carrier (Band n50, 100MHz TDD)</t>
        </is>
      </c>
      <c r="Q1353" s="27">
        <f>ROUNDUP(O1353/'Methodology &amp; Assumptions'!$B$8, 0)</f>
        <v/>
      </c>
      <c r="R1353" s="27" t="n">
        <v>1</v>
      </c>
      <c r="S1353" s="26" t="n">
        <v>0.88</v>
      </c>
      <c r="T1353" s="26" t="n">
        <v>0.3</v>
      </c>
      <c r="U1353" s="11">
        <f>IF(S1353&lt;='Methodology &amp; Assumptions'!$B$10, "Direct Optical Drop (&lt;3km)", IF(S1353&lt;='Methodology &amp; Assumptions'!$B$9, "Near Optical / Microwave (&lt;5km)", "Starlink Business LEO Satellite Backhaul (&gt;5km)"))</f>
        <v/>
      </c>
      <c r="V1353" s="26" t="n">
        <v>45.36</v>
      </c>
      <c r="W1353" s="26" t="n">
        <v>70.92</v>
      </c>
      <c r="X1353" s="26">
        <f>ROUND(('Methodology &amp; Assumptions'!$B$5*V1353) + ('Methodology &amp; Assumptions'!$B$6*W1353), 2)</f>
        <v/>
      </c>
      <c r="Y1353" s="28" t="n">
        <v>10.9</v>
      </c>
      <c r="Z1353" s="11" t="inlineStr">
        <is>
          <t>Priority Tier 3 (Broadband Expansion)</t>
        </is>
      </c>
    </row>
    <row r="1354">
      <c r="A1354" s="23" t="n">
        <v>5</v>
      </c>
      <c r="B1354" s="23" t="n">
        <v>350</v>
      </c>
      <c r="C1354" s="23" t="n">
        <v>4350</v>
      </c>
      <c r="D1354" s="23" t="inlineStr">
        <is>
          <t>0306905031</t>
        </is>
      </c>
      <c r="E1354" s="11" t="inlineStr">
        <is>
          <t>Region III (Central Luzon)</t>
        </is>
      </c>
      <c r="F1354" s="11" t="inlineStr">
        <is>
          <t>Tarlac</t>
        </is>
      </c>
      <c r="G1354" s="11" t="inlineStr">
        <is>
          <t>Concepcion</t>
        </is>
      </c>
      <c r="H1354" s="11" t="inlineStr">
        <is>
          <t>San Isidro</t>
        </is>
      </c>
      <c r="I1354" s="24" t="n">
        <v>15.439967</v>
      </c>
      <c r="J1354" s="24" t="n">
        <v>120.724393</v>
      </c>
      <c r="K1354" s="23" t="inlineStr">
        <is>
          <t>R</t>
        </is>
      </c>
      <c r="L1354" s="25" t="n">
        <v>3392</v>
      </c>
      <c r="M1354" s="26" t="n">
        <v>3.9</v>
      </c>
      <c r="N1354" s="25">
        <f>ROUND(L1354/M1354, 0)</f>
        <v/>
      </c>
      <c r="O1354" s="25">
        <f>ROUND(N1354*'Methodology &amp; Assumptions'!$B$7, 0)</f>
        <v/>
      </c>
      <c r="P1354" s="23" t="inlineStr">
        <is>
          <t>Single Carrier (Band n50, 100MHz TDD)</t>
        </is>
      </c>
      <c r="Q1354" s="27">
        <f>ROUNDUP(O1354/'Methodology &amp; Assumptions'!$B$8, 0)</f>
        <v/>
      </c>
      <c r="R1354" s="27" t="n">
        <v>1</v>
      </c>
      <c r="S1354" s="26" t="n">
        <v>1.08</v>
      </c>
      <c r="T1354" s="26" t="n">
        <v>0.49</v>
      </c>
      <c r="U1354" s="11">
        <f>IF(S1354&lt;='Methodology &amp; Assumptions'!$B$10, "Direct Optical Drop (&lt;3km)", IF(S1354&lt;='Methodology &amp; Assumptions'!$B$9, "Near Optical / Microwave (&lt;5km)", "Starlink Business LEO Satellite Backhaul (&gt;5km)"))</f>
        <v/>
      </c>
      <c r="V1354" s="26" t="n">
        <v>84.7</v>
      </c>
      <c r="W1354" s="26" t="n">
        <v>31.57</v>
      </c>
      <c r="X1354" s="26">
        <f>ROUND(('Methodology &amp; Assumptions'!$B$5*V1354) + ('Methodology &amp; Assumptions'!$B$6*W1354), 2)</f>
        <v/>
      </c>
      <c r="Y1354" s="28" t="n">
        <v>8.300000000000001</v>
      </c>
      <c r="Z1354" s="11" t="inlineStr">
        <is>
          <t>Priority Tier 3 (Broadband Expansion)</t>
        </is>
      </c>
    </row>
    <row r="1355">
      <c r="A1355" s="23" t="n">
        <v>5</v>
      </c>
      <c r="B1355" s="23" t="n">
        <v>351</v>
      </c>
      <c r="C1355" s="23" t="n">
        <v>4351</v>
      </c>
      <c r="D1355" s="23" t="inlineStr">
        <is>
          <t>0301421033</t>
        </is>
      </c>
      <c r="E1355" s="11" t="inlineStr">
        <is>
          <t>Region III (Central Luzon)</t>
        </is>
      </c>
      <c r="F1355" s="11" t="inlineStr">
        <is>
          <t>Bulacan</t>
        </is>
      </c>
      <c r="G1355" s="11" t="inlineStr">
        <is>
          <t>San Miguel</t>
        </is>
      </c>
      <c r="H1355" s="11" t="inlineStr">
        <is>
          <t>Paliwasan</t>
        </is>
      </c>
      <c r="I1355" s="24" t="n">
        <v>15.119632</v>
      </c>
      <c r="J1355" s="24" t="n">
        <v>120.967587</v>
      </c>
      <c r="K1355" s="23" t="inlineStr">
        <is>
          <t>R</t>
        </is>
      </c>
      <c r="L1355" s="25" t="n">
        <v>3387</v>
      </c>
      <c r="M1355" s="26" t="n">
        <v>3.5</v>
      </c>
      <c r="N1355" s="25">
        <f>ROUND(L1355/M1355, 0)</f>
        <v/>
      </c>
      <c r="O1355" s="25">
        <f>ROUND(N1355*'Methodology &amp; Assumptions'!$B$7, 0)</f>
        <v/>
      </c>
      <c r="P1355" s="23" t="inlineStr">
        <is>
          <t>Single Carrier (Band n50, 100MHz TDD)</t>
        </is>
      </c>
      <c r="Q1355" s="27">
        <f>ROUNDUP(O1355/'Methodology &amp; Assumptions'!$B$8, 0)</f>
        <v/>
      </c>
      <c r="R1355" s="27" t="n">
        <v>1</v>
      </c>
      <c r="S1355" s="26" t="n">
        <v>1.55</v>
      </c>
      <c r="T1355" s="26" t="n">
        <v>1.45</v>
      </c>
      <c r="U1355" s="11">
        <f>IF(S1355&lt;='Methodology &amp; Assumptions'!$B$10, "Direct Optical Drop (&lt;3km)", IF(S1355&lt;='Methodology &amp; Assumptions'!$B$9, "Near Optical / Microwave (&lt;5km)", "Starlink Business LEO Satellite Backhaul (&gt;5km)"))</f>
        <v/>
      </c>
      <c r="V1355" s="26" t="n">
        <v>82.95999999999999</v>
      </c>
      <c r="W1355" s="26" t="n">
        <v>33.3</v>
      </c>
      <c r="X1355" s="26">
        <f>ROUND(('Methodology &amp; Assumptions'!$B$5*V1355) + ('Methodology &amp; Assumptions'!$B$6*W1355), 2)</f>
        <v/>
      </c>
      <c r="Y1355" s="28" t="n">
        <v>8.300000000000001</v>
      </c>
      <c r="Z1355" s="11" t="inlineStr">
        <is>
          <t>Priority Tier 3 (Broadband Expansion)</t>
        </is>
      </c>
    </row>
    <row r="1356">
      <c r="A1356" s="23" t="n">
        <v>5</v>
      </c>
      <c r="B1356" s="23" t="n">
        <v>352</v>
      </c>
      <c r="C1356" s="23" t="n">
        <v>4352</v>
      </c>
      <c r="D1356" s="23" t="inlineStr">
        <is>
          <t>0105517020</t>
        </is>
      </c>
      <c r="E1356" s="11" t="inlineStr">
        <is>
          <t>Region I (Ilocos Region)</t>
        </is>
      </c>
      <c r="F1356" s="11" t="inlineStr">
        <is>
          <t>Pangasinan</t>
        </is>
      </c>
      <c r="G1356" s="11" t="inlineStr">
        <is>
          <t>Calasiao</t>
        </is>
      </c>
      <c r="H1356" s="11" t="inlineStr">
        <is>
          <t>Quesban</t>
        </is>
      </c>
      <c r="I1356" s="24" t="n">
        <v>16.01234</v>
      </c>
      <c r="J1356" s="24" t="n">
        <v>120.3729</v>
      </c>
      <c r="K1356" s="23" t="inlineStr">
        <is>
          <t>R</t>
        </is>
      </c>
      <c r="L1356" s="25" t="n">
        <v>3217</v>
      </c>
      <c r="M1356" s="26" t="n">
        <v>3.6</v>
      </c>
      <c r="N1356" s="25">
        <f>ROUND(L1356/M1356, 0)</f>
        <v/>
      </c>
      <c r="O1356" s="25">
        <f>ROUND(N1356*'Methodology &amp; Assumptions'!$B$7, 0)</f>
        <v/>
      </c>
      <c r="P1356" s="23" t="inlineStr">
        <is>
          <t>Single Carrier (Band n50, 100MHz TDD)</t>
        </is>
      </c>
      <c r="Q1356" s="27">
        <f>ROUNDUP(O1356/'Methodology &amp; Assumptions'!$B$8, 0)</f>
        <v/>
      </c>
      <c r="R1356" s="27" t="n">
        <v>1</v>
      </c>
      <c r="S1356" s="26" t="n">
        <v>1.59</v>
      </c>
      <c r="T1356" s="26" t="n">
        <v>0.65</v>
      </c>
      <c r="U1356" s="11">
        <f>IF(S1356&lt;='Methodology &amp; Assumptions'!$B$10, "Direct Optical Drop (&lt;3km)", IF(S1356&lt;='Methodology &amp; Assumptions'!$B$9, "Near Optical / Microwave (&lt;5km)", "Starlink Business LEO Satellite Backhaul (&gt;5km)"))</f>
        <v/>
      </c>
      <c r="V1356" s="26" t="n">
        <v>82.81</v>
      </c>
      <c r="W1356" s="26" t="n">
        <v>33.44</v>
      </c>
      <c r="X1356" s="26">
        <f>ROUND(('Methodology &amp; Assumptions'!$B$5*V1356) + ('Methodology &amp; Assumptions'!$B$6*W1356), 2)</f>
        <v/>
      </c>
      <c r="Y1356" s="28" t="n">
        <v>8.300000000000001</v>
      </c>
      <c r="Z1356" s="11" t="inlineStr">
        <is>
          <t>Priority Tier 3 (Broadband Expansion)</t>
        </is>
      </c>
    </row>
    <row r="1357">
      <c r="A1357" s="23" t="n">
        <v>5</v>
      </c>
      <c r="B1357" s="23" t="n">
        <v>353</v>
      </c>
      <c r="C1357" s="23" t="n">
        <v>4353</v>
      </c>
      <c r="D1357" s="23" t="inlineStr">
        <is>
          <t>0600613017</t>
        </is>
      </c>
      <c r="E1357" s="11" t="inlineStr">
        <is>
          <t>Region VI (Western Visayas)</t>
        </is>
      </c>
      <c r="F1357" s="11" t="inlineStr">
        <is>
          <t>Antique</t>
        </is>
      </c>
      <c r="G1357" s="11" t="inlineStr">
        <is>
          <t>San Jose</t>
        </is>
      </c>
      <c r="H1357" s="11" t="inlineStr">
        <is>
          <t>Funda-Dalipe</t>
        </is>
      </c>
      <c r="I1357" s="24" t="n">
        <v>10.763832</v>
      </c>
      <c r="J1357" s="24" t="n">
        <v>121.938482</v>
      </c>
      <c r="K1357" s="23" t="inlineStr">
        <is>
          <t>U</t>
        </is>
      </c>
      <c r="L1357" s="25" t="n">
        <v>7419</v>
      </c>
      <c r="M1357" s="26" t="n">
        <v>3.9</v>
      </c>
      <c r="N1357" s="25">
        <f>ROUND(L1357/M1357, 0)</f>
        <v/>
      </c>
      <c r="O1357" s="25">
        <f>ROUND(N1357*'Methodology &amp; Assumptions'!$B$7, 0)</f>
        <v/>
      </c>
      <c r="P1357" s="23" t="inlineStr">
        <is>
          <t>Single Carrier (Band n50, 100MHz TDD)</t>
        </is>
      </c>
      <c r="Q1357" s="27">
        <f>ROUNDUP(O1357/'Methodology &amp; Assumptions'!$B$8, 0)</f>
        <v/>
      </c>
      <c r="R1357" s="27" t="n">
        <v>1</v>
      </c>
      <c r="S1357" s="26" t="n">
        <v>0.18</v>
      </c>
      <c r="T1357" s="26" t="n">
        <v>0.17</v>
      </c>
      <c r="U1357" s="11">
        <f>IF(S1357&lt;='Methodology &amp; Assumptions'!$B$10, "Direct Optical Drop (&lt;3km)", IF(S1357&lt;='Methodology &amp; Assumptions'!$B$9, "Near Optical / Microwave (&lt;5km)", "Starlink Business LEO Satellite Backhaul (&gt;5km)"))</f>
        <v/>
      </c>
      <c r="V1357" s="26" t="n">
        <v>80.86</v>
      </c>
      <c r="W1357" s="26" t="n">
        <v>35.4</v>
      </c>
      <c r="X1357" s="26">
        <f>ROUND(('Methodology &amp; Assumptions'!$B$5*V1357) + ('Methodology &amp; Assumptions'!$B$6*W1357), 2)</f>
        <v/>
      </c>
      <c r="Y1357" s="28" t="n">
        <v>23.7</v>
      </c>
      <c r="Z1357" s="11" t="inlineStr">
        <is>
          <t>Priority Tier 3 (Broadband Expansion)</t>
        </is>
      </c>
    </row>
    <row r="1358">
      <c r="A1358" s="23" t="n">
        <v>5</v>
      </c>
      <c r="B1358" s="23" t="n">
        <v>354</v>
      </c>
      <c r="C1358" s="23" t="n">
        <v>4354</v>
      </c>
      <c r="D1358" s="23" t="inlineStr">
        <is>
          <t>0501709005</t>
        </is>
      </c>
      <c r="E1358" s="11" t="inlineStr">
        <is>
          <t>Region V (Bicol Region)</t>
        </is>
      </c>
      <c r="F1358" s="11" t="inlineStr">
        <is>
          <t>Camarines Sur</t>
        </is>
      </c>
      <c r="G1358" s="11" t="inlineStr">
        <is>
          <t>Camaligan</t>
        </is>
      </c>
      <c r="H1358" s="11" t="inlineStr">
        <is>
          <t>San Juan-San Ramon</t>
        </is>
      </c>
      <c r="I1358" s="24" t="n">
        <v>13.622978</v>
      </c>
      <c r="J1358" s="24" t="n">
        <v>123.169332</v>
      </c>
      <c r="K1358" s="23" t="inlineStr">
        <is>
          <t>R</t>
        </is>
      </c>
      <c r="L1358" s="25" t="n">
        <v>1064</v>
      </c>
      <c r="M1358" s="26" t="n">
        <v>4.2</v>
      </c>
      <c r="N1358" s="25">
        <f>ROUND(L1358/M1358, 0)</f>
        <v/>
      </c>
      <c r="O1358" s="25">
        <f>ROUND(N1358*'Methodology &amp; Assumptions'!$B$7, 0)</f>
        <v/>
      </c>
      <c r="P1358" s="23" t="inlineStr">
        <is>
          <t>Single Carrier (Band n50, 100MHz TDD)</t>
        </is>
      </c>
      <c r="Q1358" s="27">
        <f>ROUNDUP(O1358/'Methodology &amp; Assumptions'!$B$8, 0)</f>
        <v/>
      </c>
      <c r="R1358" s="27" t="n">
        <v>1</v>
      </c>
      <c r="S1358" s="26" t="n">
        <v>0.44</v>
      </c>
      <c r="T1358" s="26" t="n">
        <v>1.86</v>
      </c>
      <c r="U1358" s="11">
        <f>IF(S1358&lt;='Methodology &amp; Assumptions'!$B$10, "Direct Optical Drop (&lt;3km)", IF(S1358&lt;='Methodology &amp; Assumptions'!$B$9, "Near Optical / Microwave (&lt;5km)", "Starlink Business LEO Satellite Backhaul (&gt;5km)"))</f>
        <v/>
      </c>
      <c r="V1358" s="26" t="n">
        <v>71.79000000000001</v>
      </c>
      <c r="W1358" s="26" t="n">
        <v>44.48</v>
      </c>
      <c r="X1358" s="26">
        <f>ROUND(('Methodology &amp; Assumptions'!$B$5*V1358) + ('Methodology &amp; Assumptions'!$B$6*W1358), 2)</f>
        <v/>
      </c>
      <c r="Y1358" s="28" t="n">
        <v>23.7</v>
      </c>
      <c r="Z1358" s="11" t="inlineStr">
        <is>
          <t>Priority Tier 3 (Broadband Expansion)</t>
        </is>
      </c>
    </row>
    <row r="1359">
      <c r="A1359" s="23" t="n">
        <v>5</v>
      </c>
      <c r="B1359" s="23" t="n">
        <v>355</v>
      </c>
      <c r="C1359" s="23" t="n">
        <v>4355</v>
      </c>
      <c r="D1359" s="23" t="inlineStr">
        <is>
          <t>0201509003</t>
        </is>
      </c>
      <c r="E1359" s="11" t="inlineStr">
        <is>
          <t>Region II (Cagayan Valley)</t>
        </is>
      </c>
      <c r="F1359" s="11" t="inlineStr">
        <is>
          <t>Cagayan</t>
        </is>
      </c>
      <c r="G1359" s="11" t="inlineStr">
        <is>
          <t>Calayan</t>
        </is>
      </c>
      <c r="H1359" s="11" t="inlineStr">
        <is>
          <t>Dadao</t>
        </is>
      </c>
      <c r="I1359" s="24" t="n">
        <v>19.252431</v>
      </c>
      <c r="J1359" s="24" t="n">
        <v>121.504051</v>
      </c>
      <c r="K1359" s="23" t="inlineStr">
        <is>
          <t>R</t>
        </is>
      </c>
      <c r="L1359" s="25" t="n">
        <v>2099</v>
      </c>
      <c r="M1359" s="26" t="n">
        <v>3.9</v>
      </c>
      <c r="N1359" s="25">
        <f>ROUND(L1359/M1359, 0)</f>
        <v/>
      </c>
      <c r="O1359" s="25">
        <f>ROUND(N1359*'Methodology &amp; Assumptions'!$B$7, 0)</f>
        <v/>
      </c>
      <c r="P1359" s="23" t="inlineStr">
        <is>
          <t>Single Carrier (Band n50, 100MHz TDD)</t>
        </is>
      </c>
      <c r="Q1359" s="27">
        <f>ROUNDUP(O1359/'Methodology &amp; Assumptions'!$B$8, 0)</f>
        <v/>
      </c>
      <c r="R1359" s="27" t="n">
        <v>1</v>
      </c>
      <c r="S1359" s="26" t="n">
        <v>82.16</v>
      </c>
      <c r="T1359" s="26" t="n">
        <v>79.55</v>
      </c>
      <c r="U1359" s="11">
        <f>IF(S1359&lt;='Methodology &amp; Assumptions'!$B$10, "Direct Optical Drop (&lt;3km)", IF(S1359&lt;='Methodology &amp; Assumptions'!$B$9, "Near Optical / Microwave (&lt;5km)", "Starlink Business LEO Satellite Backhaul (&gt;5km)"))</f>
        <v/>
      </c>
      <c r="V1359" s="26" t="n">
        <v>51.22</v>
      </c>
      <c r="W1359" s="26" t="n">
        <v>65.05</v>
      </c>
      <c r="X1359" s="26">
        <f>ROUND(('Methodology &amp; Assumptions'!$B$5*V1359) + ('Methodology &amp; Assumptions'!$B$6*W1359), 2)</f>
        <v/>
      </c>
      <c r="Y1359" s="28" t="n">
        <v>8.300000000000001</v>
      </c>
      <c r="Z1359" s="11" t="inlineStr">
        <is>
          <t>Priority Tier 3 (Broadband Expansion)</t>
        </is>
      </c>
    </row>
    <row r="1360">
      <c r="A1360" s="23" t="n">
        <v>5</v>
      </c>
      <c r="B1360" s="23" t="n">
        <v>356</v>
      </c>
      <c r="C1360" s="23" t="n">
        <v>4356</v>
      </c>
      <c r="D1360" s="23" t="inlineStr">
        <is>
          <t>0205703026</t>
        </is>
      </c>
      <c r="E1360" s="11" t="inlineStr">
        <is>
          <t>Region II (Cagayan Valley)</t>
        </is>
      </c>
      <c r="F1360" s="11" t="inlineStr">
        <is>
          <t>Quirino</t>
        </is>
      </c>
      <c r="G1360" s="11" t="inlineStr">
        <is>
          <t>Diffun</t>
        </is>
      </c>
      <c r="H1360" s="11" t="inlineStr">
        <is>
          <t>Ricarte Sur</t>
        </is>
      </c>
      <c r="I1360" s="24" t="n">
        <v>16.532201</v>
      </c>
      <c r="J1360" s="24" t="n">
        <v>121.482751</v>
      </c>
      <c r="K1360" s="23" t="inlineStr">
        <is>
          <t>R</t>
        </is>
      </c>
      <c r="L1360" s="25" t="n">
        <v>597</v>
      </c>
      <c r="M1360" s="26" t="n">
        <v>3.9</v>
      </c>
      <c r="N1360" s="25">
        <f>ROUND(L1360/M1360, 0)</f>
        <v/>
      </c>
      <c r="O1360" s="25">
        <f>ROUND(N1360*'Methodology &amp; Assumptions'!$B$7, 0)</f>
        <v/>
      </c>
      <c r="P1360" s="23" t="inlineStr">
        <is>
          <t>Single Carrier (Band n50, 100MHz TDD)</t>
        </is>
      </c>
      <c r="Q1360" s="27">
        <f>ROUNDUP(O1360/'Methodology &amp; Assumptions'!$B$8, 0)</f>
        <v/>
      </c>
      <c r="R1360" s="27" t="n">
        <v>1</v>
      </c>
      <c r="S1360" s="26" t="n">
        <v>5.09</v>
      </c>
      <c r="T1360" s="26" t="n">
        <v>7.18</v>
      </c>
      <c r="U1360" s="11">
        <f>IF(S1360&lt;='Methodology &amp; Assumptions'!$B$10, "Direct Optical Drop (&lt;3km)", IF(S1360&lt;='Methodology &amp; Assumptions'!$B$9, "Near Optical / Microwave (&lt;5km)", "Starlink Business LEO Satellite Backhaul (&gt;5km)"))</f>
        <v/>
      </c>
      <c r="V1360" s="26" t="n">
        <v>48.89</v>
      </c>
      <c r="W1360" s="26" t="n">
        <v>67.38</v>
      </c>
      <c r="X1360" s="26">
        <f>ROUND(('Methodology &amp; Assumptions'!$B$5*V1360) + ('Methodology &amp; Assumptions'!$B$6*W1360), 2)</f>
        <v/>
      </c>
      <c r="Y1360" s="28" t="n">
        <v>8.300000000000001</v>
      </c>
      <c r="Z1360" s="11" t="inlineStr">
        <is>
          <t>Priority Tier 3 (Broadband Expansion)</t>
        </is>
      </c>
    </row>
    <row r="1361">
      <c r="A1361" s="23" t="n">
        <v>5</v>
      </c>
      <c r="B1361" s="23" t="n">
        <v>357</v>
      </c>
      <c r="C1361" s="23" t="n">
        <v>4357</v>
      </c>
      <c r="D1361" s="23" t="inlineStr">
        <is>
          <t>1380610023</t>
        </is>
      </c>
      <c r="E1361" s="11" t="inlineStr">
        <is>
          <t>National Capital Region (NCR)</t>
        </is>
      </c>
      <c r="F1361" s="11" t="inlineStr">
        <is>
          <t>First District (Not a Province)</t>
        </is>
      </c>
      <c r="G1361" s="11" t="inlineStr">
        <is>
          <t>City of Manila</t>
        </is>
      </c>
      <c r="H1361" s="11" t="inlineStr">
        <is>
          <t>Barangay 708</t>
        </is>
      </c>
      <c r="I1361" s="24" t="n">
        <v>14.566703</v>
      </c>
      <c r="J1361" s="24" t="n">
        <v>120.991461</v>
      </c>
      <c r="K1361" s="23" t="inlineStr">
        <is>
          <t>U</t>
        </is>
      </c>
      <c r="L1361" s="25" t="n">
        <v>788</v>
      </c>
      <c r="M1361" s="26" t="n">
        <v>3.94</v>
      </c>
      <c r="N1361" s="25">
        <f>ROUND(L1361/M1361, 0)</f>
        <v/>
      </c>
      <c r="O1361" s="25">
        <f>ROUND(N1361*'Methodology &amp; Assumptions'!$B$7, 0)</f>
        <v/>
      </c>
      <c r="P1361" s="23" t="inlineStr">
        <is>
          <t>Single Carrier (Band n50, 100MHz TDD)</t>
        </is>
      </c>
      <c r="Q1361" s="27">
        <f>ROUNDUP(O1361/'Methodology &amp; Assumptions'!$B$8, 0)</f>
        <v/>
      </c>
      <c r="R1361" s="27" t="n">
        <v>1</v>
      </c>
      <c r="S1361" s="26" t="n">
        <v>0.66</v>
      </c>
      <c r="T1361" s="26" t="n">
        <v>0.34</v>
      </c>
      <c r="U1361" s="11">
        <f>IF(S1361&lt;='Methodology &amp; Assumptions'!$B$10, "Direct Optical Drop (&lt;3km)", IF(S1361&lt;='Methodology &amp; Assumptions'!$B$9, "Near Optical / Microwave (&lt;5km)", "Starlink Business LEO Satellite Backhaul (&gt;5km)"))</f>
        <v/>
      </c>
      <c r="V1361" s="26" t="n">
        <v>47.52</v>
      </c>
      <c r="W1361" s="26" t="n">
        <v>68.75</v>
      </c>
      <c r="X1361" s="26">
        <f>ROUND(('Methodology &amp; Assumptions'!$B$5*V1361) + ('Methodology &amp; Assumptions'!$B$6*W1361), 2)</f>
        <v/>
      </c>
      <c r="Y1361" s="28" t="n">
        <v>10.9</v>
      </c>
      <c r="Z1361" s="11" t="inlineStr">
        <is>
          <t>Priority Tier 3 (Broadband Expansion)</t>
        </is>
      </c>
    </row>
    <row r="1362">
      <c r="A1362" s="23" t="n">
        <v>5</v>
      </c>
      <c r="B1362" s="23" t="n">
        <v>358</v>
      </c>
      <c r="C1362" s="23" t="n">
        <v>4358</v>
      </c>
      <c r="D1362" s="23" t="inlineStr">
        <is>
          <t>1403213016</t>
        </is>
      </c>
      <c r="E1362" s="11" t="inlineStr">
        <is>
          <t>Cordillera Administrative Region (CAR)</t>
        </is>
      </c>
      <c r="F1362" s="11" t="inlineStr">
        <is>
          <t>Kalinga</t>
        </is>
      </c>
      <c r="G1362" s="11" t="inlineStr">
        <is>
          <t>City of Tabuk</t>
        </is>
      </c>
      <c r="H1362" s="11" t="inlineStr">
        <is>
          <t>Guilayon</t>
        </is>
      </c>
      <c r="I1362" s="24" t="n">
        <v>17.497797</v>
      </c>
      <c r="J1362" s="24" t="n">
        <v>121.364956</v>
      </c>
      <c r="K1362" s="23" t="inlineStr">
        <is>
          <t>R</t>
        </is>
      </c>
      <c r="L1362" s="25" t="n">
        <v>901</v>
      </c>
      <c r="M1362" s="26" t="n">
        <v>4.3</v>
      </c>
      <c r="N1362" s="25">
        <f>ROUND(L1362/M1362, 0)</f>
        <v/>
      </c>
      <c r="O1362" s="25">
        <f>ROUND(N1362*'Methodology &amp; Assumptions'!$B$7, 0)</f>
        <v/>
      </c>
      <c r="P1362" s="23" t="inlineStr">
        <is>
          <t>Single Carrier (Band n50, 100MHz TDD)</t>
        </is>
      </c>
      <c r="Q1362" s="27">
        <f>ROUNDUP(O1362/'Methodology &amp; Assumptions'!$B$8, 0)</f>
        <v/>
      </c>
      <c r="R1362" s="27" t="n">
        <v>1</v>
      </c>
      <c r="S1362" s="26" t="n">
        <v>7.08</v>
      </c>
      <c r="T1362" s="26" t="n">
        <v>7.33</v>
      </c>
      <c r="U1362" s="11">
        <f>IF(S1362&lt;='Methodology &amp; Assumptions'!$B$10, "Direct Optical Drop (&lt;3km)", IF(S1362&lt;='Methodology &amp; Assumptions'!$B$9, "Near Optical / Microwave (&lt;5km)", "Starlink Business LEO Satellite Backhaul (&gt;5km)"))</f>
        <v/>
      </c>
      <c r="V1362" s="26" t="n">
        <v>46.86</v>
      </c>
      <c r="W1362" s="26" t="n">
        <v>69.40000000000001</v>
      </c>
      <c r="X1362" s="26">
        <f>ROUND(('Methodology &amp; Assumptions'!$B$5*V1362) + ('Methodology &amp; Assumptions'!$B$6*W1362), 2)</f>
        <v/>
      </c>
      <c r="Y1362" s="28" t="n">
        <v>10.9</v>
      </c>
      <c r="Z1362" s="11" t="inlineStr">
        <is>
          <t>Priority Tier 3 (Broadband Expansion)</t>
        </is>
      </c>
    </row>
    <row r="1363">
      <c r="A1363" s="23" t="n">
        <v>5</v>
      </c>
      <c r="B1363" s="23" t="n">
        <v>359</v>
      </c>
      <c r="C1363" s="23" t="n">
        <v>4359</v>
      </c>
      <c r="D1363" s="23" t="inlineStr">
        <is>
          <t>0405605040</t>
        </is>
      </c>
      <c r="E1363" s="11" t="inlineStr">
        <is>
          <t>Region IV-A (CALABARZON)</t>
        </is>
      </c>
      <c r="F1363" s="11" t="inlineStr">
        <is>
          <t>Quezon</t>
        </is>
      </c>
      <c r="G1363" s="11" t="inlineStr">
        <is>
          <t>Buenavista</t>
        </is>
      </c>
      <c r="H1363" s="11" t="inlineStr">
        <is>
          <t>Villa Magsaysay</t>
        </is>
      </c>
      <c r="I1363" s="24" t="n">
        <v>13.739968</v>
      </c>
      <c r="J1363" s="24" t="n">
        <v>122.389446</v>
      </c>
      <c r="K1363" s="23" t="inlineStr">
        <is>
          <t>R</t>
        </is>
      </c>
      <c r="L1363" s="25" t="n">
        <v>576</v>
      </c>
      <c r="M1363" s="26" t="n">
        <v>3.8</v>
      </c>
      <c r="N1363" s="25">
        <f>ROUND(L1363/M1363, 0)</f>
        <v/>
      </c>
      <c r="O1363" s="25">
        <f>ROUND(N1363*'Methodology &amp; Assumptions'!$B$7, 0)</f>
        <v/>
      </c>
      <c r="P1363" s="23" t="inlineStr">
        <is>
          <t>Single Carrier (Band n50, 100MHz TDD)</t>
        </is>
      </c>
      <c r="Q1363" s="27">
        <f>ROUNDUP(O1363/'Methodology &amp; Assumptions'!$B$8, 0)</f>
        <v/>
      </c>
      <c r="R1363" s="27" t="n">
        <v>1</v>
      </c>
      <c r="S1363" s="26" t="n">
        <v>7.47</v>
      </c>
      <c r="T1363" s="26" t="n">
        <v>5.94</v>
      </c>
      <c r="U1363" s="11">
        <f>IF(S1363&lt;='Methodology &amp; Assumptions'!$B$10, "Direct Optical Drop (&lt;3km)", IF(S1363&lt;='Methodology &amp; Assumptions'!$B$9, "Near Optical / Microwave (&lt;5km)", "Starlink Business LEO Satellite Backhaul (&gt;5km)"))</f>
        <v/>
      </c>
      <c r="V1363" s="26" t="n">
        <v>45.49</v>
      </c>
      <c r="W1363" s="26" t="n">
        <v>70.77</v>
      </c>
      <c r="X1363" s="26">
        <f>ROUND(('Methodology &amp; Assumptions'!$B$5*V1363) + ('Methodology &amp; Assumptions'!$B$6*W1363), 2)</f>
        <v/>
      </c>
      <c r="Y1363" s="28" t="n">
        <v>7.2</v>
      </c>
      <c r="Z1363" s="11" t="inlineStr">
        <is>
          <t>Priority Tier 3 (Broadband Expansion)</t>
        </is>
      </c>
    </row>
    <row r="1364">
      <c r="A1364" s="23" t="n">
        <v>5</v>
      </c>
      <c r="B1364" s="23" t="n">
        <v>360</v>
      </c>
      <c r="C1364" s="23" t="n">
        <v>4360</v>
      </c>
      <c r="D1364" s="23" t="inlineStr">
        <is>
          <t>1003515008</t>
        </is>
      </c>
      <c r="E1364" s="11" t="inlineStr">
        <is>
          <t>Region X (Northern Mindanao)</t>
        </is>
      </c>
      <c r="F1364" s="11" t="inlineStr">
        <is>
          <t>Lanao del Norte</t>
        </is>
      </c>
      <c r="G1364" s="11" t="inlineStr">
        <is>
          <t>Nunungan</t>
        </is>
      </c>
      <c r="H1364" s="11" t="inlineStr">
        <is>
          <t>Kaludan</t>
        </is>
      </c>
      <c r="I1364" s="24" t="n">
        <v>7.7606</v>
      </c>
      <c r="J1364" s="24" t="n">
        <v>123.9832</v>
      </c>
      <c r="K1364" s="23" t="inlineStr">
        <is>
          <t>R</t>
        </is>
      </c>
      <c r="L1364" s="25" t="n">
        <v>1052</v>
      </c>
      <c r="M1364" s="26" t="n">
        <v>4.2</v>
      </c>
      <c r="N1364" s="25">
        <f>ROUND(L1364/M1364, 0)</f>
        <v/>
      </c>
      <c r="O1364" s="25">
        <f>ROUND(N1364*'Methodology &amp; Assumptions'!$B$7, 0)</f>
        <v/>
      </c>
      <c r="P1364" s="23" t="inlineStr">
        <is>
          <t>Single Carrier (Band n50, 100MHz TDD)</t>
        </is>
      </c>
      <c r="Q1364" s="27">
        <f>ROUNDUP(O1364/'Methodology &amp; Assumptions'!$B$8, 0)</f>
        <v/>
      </c>
      <c r="R1364" s="27" t="n">
        <v>1</v>
      </c>
      <c r="S1364" s="26" t="n">
        <v>37.37</v>
      </c>
      <c r="T1364" s="26" t="n">
        <v>28.06</v>
      </c>
      <c r="U1364" s="11">
        <f>IF(S1364&lt;='Methodology &amp; Assumptions'!$B$10, "Direct Optical Drop (&lt;3km)", IF(S1364&lt;='Methodology &amp; Assumptions'!$B$9, "Near Optical / Microwave (&lt;5km)", "Starlink Business LEO Satellite Backhaul (&gt;5km)"))</f>
        <v/>
      </c>
      <c r="V1364" s="26" t="n">
        <v>43.03</v>
      </c>
      <c r="W1364" s="26" t="n">
        <v>73.23</v>
      </c>
      <c r="X1364" s="26">
        <f>ROUND(('Methodology &amp; Assumptions'!$B$5*V1364) + ('Methodology &amp; Assumptions'!$B$6*W1364), 2)</f>
        <v/>
      </c>
      <c r="Y1364" s="28" t="n">
        <v>17.4</v>
      </c>
      <c r="Z1364" s="11" t="inlineStr">
        <is>
          <t>Priority Tier 3 (Broadband Expansion)</t>
        </is>
      </c>
    </row>
    <row r="1365">
      <c r="A1365" s="23" t="n">
        <v>5</v>
      </c>
      <c r="B1365" s="23" t="n">
        <v>361</v>
      </c>
      <c r="C1365" s="23" t="n">
        <v>4361</v>
      </c>
      <c r="D1365" s="23" t="inlineStr">
        <is>
          <t>1003511006</t>
        </is>
      </c>
      <c r="E1365" s="11" t="inlineStr">
        <is>
          <t>Region X (Northern Mindanao)</t>
        </is>
      </c>
      <c r="F1365" s="11" t="inlineStr">
        <is>
          <t>Lanao del Norte</t>
        </is>
      </c>
      <c r="G1365" s="11" t="inlineStr">
        <is>
          <t>Magsaysay</t>
        </is>
      </c>
      <c r="H1365" s="11" t="inlineStr">
        <is>
          <t>Lamigadato</t>
        </is>
      </c>
      <c r="I1365" s="24" t="n">
        <v>7.9686</v>
      </c>
      <c r="J1365" s="24" t="n">
        <v>123.9818</v>
      </c>
      <c r="K1365" s="23" t="inlineStr">
        <is>
          <t>R</t>
        </is>
      </c>
      <c r="L1365" s="25" t="n">
        <v>689</v>
      </c>
      <c r="M1365" s="26" t="n">
        <v>4.2</v>
      </c>
      <c r="N1365" s="25">
        <f>ROUND(L1365/M1365, 0)</f>
        <v/>
      </c>
      <c r="O1365" s="25">
        <f>ROUND(N1365*'Methodology &amp; Assumptions'!$B$7, 0)</f>
        <v/>
      </c>
      <c r="P1365" s="23" t="inlineStr">
        <is>
          <t>Single Carrier (Band n50, 100MHz TDD)</t>
        </is>
      </c>
      <c r="Q1365" s="27">
        <f>ROUNDUP(O1365/'Methodology &amp; Assumptions'!$B$8, 0)</f>
        <v/>
      </c>
      <c r="R1365" s="27" t="n">
        <v>1</v>
      </c>
      <c r="S1365" s="26" t="n">
        <v>21.74</v>
      </c>
      <c r="T1365" s="26" t="n">
        <v>18.45</v>
      </c>
      <c r="U1365" s="11">
        <f>IF(S1365&lt;='Methodology &amp; Assumptions'!$B$10, "Direct Optical Drop (&lt;3km)", IF(S1365&lt;='Methodology &amp; Assumptions'!$B$9, "Near Optical / Microwave (&lt;5km)", "Starlink Business LEO Satellite Backhaul (&gt;5km)"))</f>
        <v/>
      </c>
      <c r="V1365" s="26" t="n">
        <v>40.32</v>
      </c>
      <c r="W1365" s="26" t="n">
        <v>75.93000000000001</v>
      </c>
      <c r="X1365" s="26">
        <f>ROUND(('Methodology &amp; Assumptions'!$B$5*V1365) + ('Methodology &amp; Assumptions'!$B$6*W1365), 2)</f>
        <v/>
      </c>
      <c r="Y1365" s="28" t="n">
        <v>17.4</v>
      </c>
      <c r="Z1365" s="11" t="inlineStr">
        <is>
          <t>Priority Tier 3 (Broadband Expansion)</t>
        </is>
      </c>
    </row>
    <row r="1366">
      <c r="A1366" s="23" t="n">
        <v>5</v>
      </c>
      <c r="B1366" s="23" t="n">
        <v>362</v>
      </c>
      <c r="C1366" s="23" t="n">
        <v>4362</v>
      </c>
      <c r="D1366" s="23" t="inlineStr">
        <is>
          <t>0203115007</t>
        </is>
      </c>
      <c r="E1366" s="11" t="inlineStr">
        <is>
          <t>Region II (Cagayan Valley)</t>
        </is>
      </c>
      <c r="F1366" s="11" t="inlineStr">
        <is>
          <t>Isabela</t>
        </is>
      </c>
      <c r="G1366" s="11" t="inlineStr">
        <is>
          <t>Jones</t>
        </is>
      </c>
      <c r="H1366" s="11" t="inlineStr">
        <is>
          <t>Barangay II</t>
        </is>
      </c>
      <c r="I1366" s="24" t="n">
        <v>16.551554</v>
      </c>
      <c r="J1366" s="24" t="n">
        <v>121.699836</v>
      </c>
      <c r="K1366" s="23" t="inlineStr">
        <is>
          <t>R</t>
        </is>
      </c>
      <c r="L1366" s="25" t="n">
        <v>3289</v>
      </c>
      <c r="M1366" s="26" t="n">
        <v>3.8</v>
      </c>
      <c r="N1366" s="25">
        <f>ROUND(L1366/M1366, 0)</f>
        <v/>
      </c>
      <c r="O1366" s="25">
        <f>ROUND(N1366*'Methodology &amp; Assumptions'!$B$7, 0)</f>
        <v/>
      </c>
      <c r="P1366" s="23" t="inlineStr">
        <is>
          <t>Single Carrier (Band n50, 100MHz TDD)</t>
        </is>
      </c>
      <c r="Q1366" s="27">
        <f>ROUNDUP(O1366/'Methodology &amp; Assumptions'!$B$8, 0)</f>
        <v/>
      </c>
      <c r="R1366" s="27" t="n">
        <v>1</v>
      </c>
      <c r="S1366" s="26" t="n">
        <v>0.7</v>
      </c>
      <c r="T1366" s="26" t="n">
        <v>11.36</v>
      </c>
      <c r="U1366" s="11">
        <f>IF(S1366&lt;='Methodology &amp; Assumptions'!$B$10, "Direct Optical Drop (&lt;3km)", IF(S1366&lt;='Methodology &amp; Assumptions'!$B$9, "Near Optical / Microwave (&lt;5km)", "Starlink Business LEO Satellite Backhaul (&gt;5km)"))</f>
        <v/>
      </c>
      <c r="V1366" s="26" t="n">
        <v>82.69</v>
      </c>
      <c r="W1366" s="26" t="n">
        <v>33.56</v>
      </c>
      <c r="X1366" s="26">
        <f>ROUND(('Methodology &amp; Assumptions'!$B$5*V1366) + ('Methodology &amp; Assumptions'!$B$6*W1366), 2)</f>
        <v/>
      </c>
      <c r="Y1366" s="28" t="n">
        <v>8.300000000000001</v>
      </c>
      <c r="Z1366" s="11" t="inlineStr">
        <is>
          <t>Priority Tier 3 (Broadband Expansion)</t>
        </is>
      </c>
    </row>
    <row r="1367">
      <c r="A1367" s="23" t="n">
        <v>5</v>
      </c>
      <c r="B1367" s="23" t="n">
        <v>363</v>
      </c>
      <c r="C1367" s="23" t="n">
        <v>4363</v>
      </c>
      <c r="D1367" s="23" t="inlineStr">
        <is>
          <t>1705110039</t>
        </is>
      </c>
      <c r="E1367" s="11" t="inlineStr">
        <is>
          <t>MIMAROPA Region</t>
        </is>
      </c>
      <c r="F1367" s="11" t="inlineStr">
        <is>
          <t>Occidental Mindoro</t>
        </is>
      </c>
      <c r="G1367" s="11" t="inlineStr">
        <is>
          <t>San Jose</t>
        </is>
      </c>
      <c r="H1367" s="11" t="inlineStr">
        <is>
          <t>San Roque</t>
        </is>
      </c>
      <c r="I1367" s="24" t="n">
        <v>12.357542</v>
      </c>
      <c r="J1367" s="24" t="n">
        <v>121.060597</v>
      </c>
      <c r="K1367" s="23" t="inlineStr">
        <is>
          <t>U</t>
        </is>
      </c>
      <c r="L1367" s="25" t="n">
        <v>16580</v>
      </c>
      <c r="M1367" s="26" t="n">
        <v>3.9</v>
      </c>
      <c r="N1367" s="25">
        <f>ROUND(L1367/M1367, 0)</f>
        <v/>
      </c>
      <c r="O1367" s="25">
        <f>ROUND(N1367*'Methodology &amp; Assumptions'!$B$7, 0)</f>
        <v/>
      </c>
      <c r="P1367" s="23" t="inlineStr">
        <is>
          <t>Single Carrier (Band n50, 100MHz TDD)</t>
        </is>
      </c>
      <c r="Q1367" s="27">
        <f>ROUNDUP(O1367/'Methodology &amp; Assumptions'!$B$8, 0)</f>
        <v/>
      </c>
      <c r="R1367" s="27" t="n">
        <v>1</v>
      </c>
      <c r="S1367" s="26" t="n">
        <v>0.87</v>
      </c>
      <c r="T1367" s="26" t="n">
        <v>0.17</v>
      </c>
      <c r="U1367" s="11">
        <f>IF(S1367&lt;='Methodology &amp; Assumptions'!$B$10, "Direct Optical Drop (&lt;3km)", IF(S1367&lt;='Methodology &amp; Assumptions'!$B$9, "Near Optical / Microwave (&lt;5km)", "Starlink Business LEO Satellite Backhaul (&gt;5km)"))</f>
        <v/>
      </c>
      <c r="V1367" s="26" t="n">
        <v>79.39</v>
      </c>
      <c r="W1367" s="26" t="n">
        <v>36.85</v>
      </c>
      <c r="X1367" s="26">
        <f>ROUND(('Methodology &amp; Assumptions'!$B$5*V1367) + ('Methodology &amp; Assumptions'!$B$6*W1367), 2)</f>
        <v/>
      </c>
      <c r="Y1367" s="28" t="n">
        <v>15</v>
      </c>
      <c r="Z1367" s="11" t="inlineStr">
        <is>
          <t>Priority Tier 3 (Broadband Expansion)</t>
        </is>
      </c>
    </row>
    <row r="1368">
      <c r="A1368" s="23" t="n">
        <v>5</v>
      </c>
      <c r="B1368" s="23" t="n">
        <v>364</v>
      </c>
      <c r="C1368" s="23" t="n">
        <v>4364</v>
      </c>
      <c r="D1368" s="23" t="inlineStr">
        <is>
          <t>0405802015</t>
        </is>
      </c>
      <c r="E1368" s="11" t="inlineStr">
        <is>
          <t>Region IV-A (CALABARZON)</t>
        </is>
      </c>
      <c r="F1368" s="11" t="inlineStr">
        <is>
          <t>Rizal</t>
        </is>
      </c>
      <c r="G1368" s="11" t="inlineStr">
        <is>
          <t>City of Antipolo</t>
        </is>
      </c>
      <c r="H1368" s="11" t="inlineStr">
        <is>
          <t>San Juan</t>
        </is>
      </c>
      <c r="I1368" s="24" t="n">
        <v>14.626632</v>
      </c>
      <c r="J1368" s="24" t="n">
        <v>121.176567</v>
      </c>
      <c r="K1368" s="23" t="inlineStr">
        <is>
          <t>U</t>
        </is>
      </c>
      <c r="L1368" s="25" t="n">
        <v>9632</v>
      </c>
      <c r="M1368" s="26" t="n">
        <v>3.6</v>
      </c>
      <c r="N1368" s="25">
        <f>ROUND(L1368/M1368, 0)</f>
        <v/>
      </c>
      <c r="O1368" s="25">
        <f>ROUND(N1368*'Methodology &amp; Assumptions'!$B$7, 0)</f>
        <v/>
      </c>
      <c r="P1368" s="23" t="inlineStr">
        <is>
          <t>Single Carrier (Band n50, 100MHz TDD)</t>
        </is>
      </c>
      <c r="Q1368" s="27">
        <f>ROUNDUP(O1368/'Methodology &amp; Assumptions'!$B$8, 0)</f>
        <v/>
      </c>
      <c r="R1368" s="27" t="n">
        <v>1</v>
      </c>
      <c r="S1368" s="26" t="n">
        <v>0.91</v>
      </c>
      <c r="T1368" s="26" t="n">
        <v>0.71</v>
      </c>
      <c r="U1368" s="11">
        <f>IF(S1368&lt;='Methodology &amp; Assumptions'!$B$10, "Direct Optical Drop (&lt;3km)", IF(S1368&lt;='Methodology &amp; Assumptions'!$B$9, "Near Optical / Microwave (&lt;5km)", "Starlink Business LEO Satellite Backhaul (&gt;5km)"))</f>
        <v/>
      </c>
      <c r="V1368" s="26" t="n">
        <v>77.98999999999999</v>
      </c>
      <c r="W1368" s="26" t="n">
        <v>38.26</v>
      </c>
      <c r="X1368" s="26">
        <f>ROUND(('Methodology &amp; Assumptions'!$B$5*V1368) + ('Methodology &amp; Assumptions'!$B$6*W1368), 2)</f>
        <v/>
      </c>
      <c r="Y1368" s="28" t="n">
        <v>7.2</v>
      </c>
      <c r="Z1368" s="11" t="inlineStr">
        <is>
          <t>Priority Tier 3 (Broadband Expansion)</t>
        </is>
      </c>
    </row>
    <row r="1369">
      <c r="A1369" s="23" t="n">
        <v>5</v>
      </c>
      <c r="B1369" s="23" t="n">
        <v>365</v>
      </c>
      <c r="C1369" s="23" t="n">
        <v>4365</v>
      </c>
      <c r="D1369" s="23" t="inlineStr">
        <is>
          <t>0305410016</t>
        </is>
      </c>
      <c r="E1369" s="11" t="inlineStr">
        <is>
          <t>Region III (Central Luzon)</t>
        </is>
      </c>
      <c r="F1369" s="11" t="inlineStr">
        <is>
          <t>Pampanga</t>
        </is>
      </c>
      <c r="G1369" s="11" t="inlineStr">
        <is>
          <t>Macabebe</t>
        </is>
      </c>
      <c r="H1369" s="11" t="inlineStr">
        <is>
          <t>San Vicente</t>
        </is>
      </c>
      <c r="I1369" s="24" t="n">
        <v>14.897387</v>
      </c>
      <c r="J1369" s="24" t="n">
        <v>120.725278</v>
      </c>
      <c r="K1369" s="23" t="inlineStr">
        <is>
          <t>U</t>
        </is>
      </c>
      <c r="L1369" s="25" t="n">
        <v>3481</v>
      </c>
      <c r="M1369" s="26" t="n">
        <v>4</v>
      </c>
      <c r="N1369" s="25">
        <f>ROUND(L1369/M1369, 0)</f>
        <v/>
      </c>
      <c r="O1369" s="25">
        <f>ROUND(N1369*'Methodology &amp; Assumptions'!$B$7, 0)</f>
        <v/>
      </c>
      <c r="P1369" s="23" t="inlineStr">
        <is>
          <t>Single Carrier (Band n50, 100MHz TDD)</t>
        </is>
      </c>
      <c r="Q1369" s="27">
        <f>ROUNDUP(O1369/'Methodology &amp; Assumptions'!$B$8, 0)</f>
        <v/>
      </c>
      <c r="R1369" s="27" t="n">
        <v>1</v>
      </c>
      <c r="S1369" s="26" t="n">
        <v>2.1</v>
      </c>
      <c r="T1369" s="26" t="n">
        <v>0.54</v>
      </c>
      <c r="U1369" s="11">
        <f>IF(S1369&lt;='Methodology &amp; Assumptions'!$B$10, "Direct Optical Drop (&lt;3km)", IF(S1369&lt;='Methodology &amp; Assumptions'!$B$9, "Near Optical / Microwave (&lt;5km)", "Starlink Business LEO Satellite Backhaul (&gt;5km)"))</f>
        <v/>
      </c>
      <c r="V1369" s="26" t="n">
        <v>73.86</v>
      </c>
      <c r="W1369" s="26" t="n">
        <v>42.38</v>
      </c>
      <c r="X1369" s="26">
        <f>ROUND(('Methodology &amp; Assumptions'!$B$5*V1369) + ('Methodology &amp; Assumptions'!$B$6*W1369), 2)</f>
        <v/>
      </c>
      <c r="Y1369" s="28" t="n">
        <v>8.300000000000001</v>
      </c>
      <c r="Z1369" s="11" t="inlineStr">
        <is>
          <t>Priority Tier 3 (Broadband Expansion)</t>
        </is>
      </c>
    </row>
    <row r="1370">
      <c r="A1370" s="23" t="n">
        <v>5</v>
      </c>
      <c r="B1370" s="23" t="n">
        <v>366</v>
      </c>
      <c r="C1370" s="23" t="n">
        <v>4366</v>
      </c>
      <c r="D1370" s="23" t="inlineStr">
        <is>
          <t>0203137005</t>
        </is>
      </c>
      <c r="E1370" s="11" t="inlineStr">
        <is>
          <t>Region II (Cagayan Valley)</t>
        </is>
      </c>
      <c r="F1370" s="11" t="inlineStr">
        <is>
          <t>Isabela</t>
        </is>
      </c>
      <c r="G1370" s="11" t="inlineStr">
        <is>
          <t>Tumauini</t>
        </is>
      </c>
      <c r="H1370" s="11" t="inlineStr">
        <is>
          <t>Arcon</t>
        </is>
      </c>
      <c r="I1370" s="24" t="n">
        <v>17.281988</v>
      </c>
      <c r="J1370" s="24" t="n">
        <v>121.836334</v>
      </c>
      <c r="K1370" s="23" t="inlineStr">
        <is>
          <t>R</t>
        </is>
      </c>
      <c r="L1370" s="25" t="n">
        <v>2264</v>
      </c>
      <c r="M1370" s="26" t="n">
        <v>3.8</v>
      </c>
      <c r="N1370" s="25">
        <f>ROUND(L1370/M1370, 0)</f>
        <v/>
      </c>
      <c r="O1370" s="25">
        <f>ROUND(N1370*'Methodology &amp; Assumptions'!$B$7, 0)</f>
        <v/>
      </c>
      <c r="P1370" s="23" t="inlineStr">
        <is>
          <t>Single Carrier (Band n50, 100MHz TDD)</t>
        </is>
      </c>
      <c r="Q1370" s="27">
        <f>ROUNDUP(O1370/'Methodology &amp; Assumptions'!$B$8, 0)</f>
        <v/>
      </c>
      <c r="R1370" s="27" t="n">
        <v>1</v>
      </c>
      <c r="S1370" s="26" t="n">
        <v>2.45</v>
      </c>
      <c r="T1370" s="26" t="n">
        <v>1.31</v>
      </c>
      <c r="U1370" s="11">
        <f>IF(S1370&lt;='Methodology &amp; Assumptions'!$B$10, "Direct Optical Drop (&lt;3km)", IF(S1370&lt;='Methodology &amp; Assumptions'!$B$9, "Near Optical / Microwave (&lt;5km)", "Starlink Business LEO Satellite Backhaul (&gt;5km)"))</f>
        <v/>
      </c>
      <c r="V1370" s="26" t="n">
        <v>72.67</v>
      </c>
      <c r="W1370" s="26" t="n">
        <v>43.58</v>
      </c>
      <c r="X1370" s="26">
        <f>ROUND(('Methodology &amp; Assumptions'!$B$5*V1370) + ('Methodology &amp; Assumptions'!$B$6*W1370), 2)</f>
        <v/>
      </c>
      <c r="Y1370" s="28" t="n">
        <v>8.300000000000001</v>
      </c>
      <c r="Z1370" s="11" t="inlineStr">
        <is>
          <t>Priority Tier 3 (Broadband Expansion)</t>
        </is>
      </c>
    </row>
    <row r="1371">
      <c r="A1371" s="23" t="n">
        <v>5</v>
      </c>
      <c r="B1371" s="23" t="n">
        <v>367</v>
      </c>
      <c r="C1371" s="23" t="n">
        <v>4367</v>
      </c>
      <c r="D1371" s="23" t="inlineStr">
        <is>
          <t>0102906040</t>
        </is>
      </c>
      <c r="E1371" s="11" t="inlineStr">
        <is>
          <t>Region I (Ilocos Region)</t>
        </is>
      </c>
      <c r="F1371" s="11" t="inlineStr">
        <is>
          <t>Ilocos Sur</t>
        </is>
      </c>
      <c r="G1371" s="11" t="inlineStr">
        <is>
          <t>City of Candon</t>
        </is>
      </c>
      <c r="H1371" s="11" t="inlineStr">
        <is>
          <t>San Nicolas</t>
        </is>
      </c>
      <c r="I1371" s="24" t="n">
        <v>18.147082</v>
      </c>
      <c r="J1371" s="24" t="n">
        <v>120.585467</v>
      </c>
      <c r="K1371" s="23" t="inlineStr">
        <is>
          <t>U</t>
        </is>
      </c>
      <c r="L1371" s="25" t="n">
        <v>2741</v>
      </c>
      <c r="M1371" s="26" t="n">
        <v>3.8</v>
      </c>
      <c r="N1371" s="25">
        <f>ROUND(L1371/M1371, 0)</f>
        <v/>
      </c>
      <c r="O1371" s="25">
        <f>ROUND(N1371*'Methodology &amp; Assumptions'!$B$7, 0)</f>
        <v/>
      </c>
      <c r="P1371" s="23" t="inlineStr">
        <is>
          <t>Single Carrier (Band n50, 100MHz TDD)</t>
        </is>
      </c>
      <c r="Q1371" s="27">
        <f>ROUNDUP(O1371/'Methodology &amp; Assumptions'!$B$8, 0)</f>
        <v/>
      </c>
      <c r="R1371" s="27" t="n">
        <v>1</v>
      </c>
      <c r="S1371" s="26" t="n">
        <v>2.72</v>
      </c>
      <c r="T1371" s="26" t="n">
        <v>0.24</v>
      </c>
      <c r="U1371" s="11">
        <f>IF(S1371&lt;='Methodology &amp; Assumptions'!$B$10, "Direct Optical Drop (&lt;3km)", IF(S1371&lt;='Methodology &amp; Assumptions'!$B$9, "Near Optical / Microwave (&lt;5km)", "Starlink Business LEO Satellite Backhaul (&gt;5km)"))</f>
        <v/>
      </c>
      <c r="V1371" s="26" t="n">
        <v>68.63</v>
      </c>
      <c r="W1371" s="26" t="n">
        <v>47.61</v>
      </c>
      <c r="X1371" s="26">
        <f>ROUND(('Methodology &amp; Assumptions'!$B$5*V1371) + ('Methodology &amp; Assumptions'!$B$6*W1371), 2)</f>
        <v/>
      </c>
      <c r="Y1371" s="28" t="n">
        <v>8.300000000000001</v>
      </c>
      <c r="Z1371" s="11" t="inlineStr">
        <is>
          <t>Priority Tier 3 (Broadband Expansion)</t>
        </is>
      </c>
    </row>
    <row r="1372">
      <c r="A1372" s="23" t="n">
        <v>5</v>
      </c>
      <c r="B1372" s="23" t="n">
        <v>368</v>
      </c>
      <c r="C1372" s="23" t="n">
        <v>4368</v>
      </c>
      <c r="D1372" s="23" t="inlineStr">
        <is>
          <t>1380601064</t>
        </is>
      </c>
      <c r="E1372" s="11" t="inlineStr">
        <is>
          <t>National Capital Region (NCR)</t>
        </is>
      </c>
      <c r="F1372" s="11" t="inlineStr">
        <is>
          <t>First District (Not a Province)</t>
        </is>
      </c>
      <c r="G1372" s="11" t="inlineStr">
        <is>
          <t>City of Manila</t>
        </is>
      </c>
      <c r="H1372" s="11" t="inlineStr">
        <is>
          <t>Barangay 64</t>
        </is>
      </c>
      <c r="I1372" s="24" t="n">
        <v>14.610438</v>
      </c>
      <c r="J1372" s="24" t="n">
        <v>120.967263</v>
      </c>
      <c r="K1372" s="23" t="inlineStr">
        <is>
          <t>U</t>
        </is>
      </c>
      <c r="L1372" s="25" t="n">
        <v>443</v>
      </c>
      <c r="M1372" s="26" t="n">
        <v>3.89</v>
      </c>
      <c r="N1372" s="25">
        <f>ROUND(L1372/M1372, 0)</f>
        <v/>
      </c>
      <c r="O1372" s="25">
        <f>ROUND(N1372*'Methodology &amp; Assumptions'!$B$7, 0)</f>
        <v/>
      </c>
      <c r="P1372" s="23" t="inlineStr">
        <is>
          <t>Single Carrier (Band n50, 100MHz TDD)</t>
        </is>
      </c>
      <c r="Q1372" s="27">
        <f>ROUNDUP(O1372/'Methodology &amp; Assumptions'!$B$8, 0)</f>
        <v/>
      </c>
      <c r="R1372" s="27" t="n">
        <v>1</v>
      </c>
      <c r="S1372" s="26" t="n">
        <v>0.48</v>
      </c>
      <c r="T1372" s="26" t="n">
        <v>0.2</v>
      </c>
      <c r="U1372" s="11">
        <f>IF(S1372&lt;='Methodology &amp; Assumptions'!$B$10, "Direct Optical Drop (&lt;3km)", IF(S1372&lt;='Methodology &amp; Assumptions'!$B$9, "Near Optical / Microwave (&lt;5km)", "Starlink Business LEO Satellite Backhaul (&gt;5km)"))</f>
        <v/>
      </c>
      <c r="V1372" s="26" t="n">
        <v>44.73</v>
      </c>
      <c r="W1372" s="26" t="n">
        <v>71.51000000000001</v>
      </c>
      <c r="X1372" s="26">
        <f>ROUND(('Methodology &amp; Assumptions'!$B$5*V1372) + ('Methodology &amp; Assumptions'!$B$6*W1372), 2)</f>
        <v/>
      </c>
      <c r="Y1372" s="28" t="n">
        <v>10.9</v>
      </c>
      <c r="Z1372" s="11" t="inlineStr">
        <is>
          <t>Priority Tier 3 (Broadband Expansion)</t>
        </is>
      </c>
    </row>
    <row r="1373">
      <c r="A1373" s="23" t="n">
        <v>5</v>
      </c>
      <c r="B1373" s="23" t="n">
        <v>369</v>
      </c>
      <c r="C1373" s="23" t="n">
        <v>4369</v>
      </c>
      <c r="D1373" s="23" t="inlineStr">
        <is>
          <t>0205004009</t>
        </is>
      </c>
      <c r="E1373" s="11" t="inlineStr">
        <is>
          <t>Region II (Cagayan Valley)</t>
        </is>
      </c>
      <c r="F1373" s="11" t="inlineStr">
        <is>
          <t>Nueva Vizcaya</t>
        </is>
      </c>
      <c r="G1373" s="11" t="inlineStr">
        <is>
          <t>Bambang</t>
        </is>
      </c>
      <c r="H1373" s="11" t="inlineStr">
        <is>
          <t>Buag</t>
        </is>
      </c>
      <c r="I1373" s="24" t="n">
        <v>16.385523</v>
      </c>
      <c r="J1373" s="24" t="n">
        <v>121.103061</v>
      </c>
      <c r="K1373" s="23" t="inlineStr">
        <is>
          <t>R</t>
        </is>
      </c>
      <c r="L1373" s="25" t="n">
        <v>3399</v>
      </c>
      <c r="M1373" s="26" t="n">
        <v>3.8</v>
      </c>
      <c r="N1373" s="25">
        <f>ROUND(L1373/M1373, 0)</f>
        <v/>
      </c>
      <c r="O1373" s="25">
        <f>ROUND(N1373*'Methodology &amp; Assumptions'!$B$7, 0)</f>
        <v/>
      </c>
      <c r="P1373" s="23" t="inlineStr">
        <is>
          <t>Single Carrier (Band n50, 100MHz TDD)</t>
        </is>
      </c>
      <c r="Q1373" s="27">
        <f>ROUNDUP(O1373/'Methodology &amp; Assumptions'!$B$8, 0)</f>
        <v/>
      </c>
      <c r="R1373" s="27" t="n">
        <v>1</v>
      </c>
      <c r="S1373" s="26" t="n">
        <v>1.34</v>
      </c>
      <c r="T1373" s="26" t="n">
        <v>0.51</v>
      </c>
      <c r="U1373" s="11">
        <f>IF(S1373&lt;='Methodology &amp; Assumptions'!$B$10, "Direct Optical Drop (&lt;3km)", IF(S1373&lt;='Methodology &amp; Assumptions'!$B$9, "Near Optical / Microwave (&lt;5km)", "Starlink Business LEO Satellite Backhaul (&gt;5km)"))</f>
        <v/>
      </c>
      <c r="V1373" s="26" t="n">
        <v>83.73</v>
      </c>
      <c r="W1373" s="26" t="n">
        <v>32.5</v>
      </c>
      <c r="X1373" s="26">
        <f>ROUND(('Methodology &amp; Assumptions'!$B$5*V1373) + ('Methodology &amp; Assumptions'!$B$6*W1373), 2)</f>
        <v/>
      </c>
      <c r="Y1373" s="28" t="n">
        <v>8.300000000000001</v>
      </c>
      <c r="Z1373" s="11" t="inlineStr">
        <is>
          <t>Priority Tier 3 (Broadband Expansion)</t>
        </is>
      </c>
    </row>
    <row r="1374">
      <c r="A1374" s="23" t="n">
        <v>5</v>
      </c>
      <c r="B1374" s="23" t="n">
        <v>370</v>
      </c>
      <c r="C1374" s="23" t="n">
        <v>4370</v>
      </c>
      <c r="D1374" s="23" t="inlineStr">
        <is>
          <t>0600407006</t>
        </is>
      </c>
      <c r="E1374" s="11" t="inlineStr">
        <is>
          <t>Region VI (Western Visayas)</t>
        </is>
      </c>
      <c r="F1374" s="11" t="inlineStr">
        <is>
          <t>Aklan</t>
        </is>
      </c>
      <c r="G1374" s="11" t="inlineStr">
        <is>
          <t>Kalibo</t>
        </is>
      </c>
      <c r="H1374" s="11" t="inlineStr">
        <is>
          <t>Buswang Old</t>
        </is>
      </c>
      <c r="I1374" s="24" t="n">
        <v>11.688927</v>
      </c>
      <c r="J1374" s="24" t="n">
        <v>122.366903</v>
      </c>
      <c r="K1374" s="23" t="inlineStr">
        <is>
          <t>U</t>
        </is>
      </c>
      <c r="L1374" s="25" t="n">
        <v>3796</v>
      </c>
      <c r="M1374" s="26" t="n">
        <v>3.9</v>
      </c>
      <c r="N1374" s="25">
        <f>ROUND(L1374/M1374, 0)</f>
        <v/>
      </c>
      <c r="O1374" s="25">
        <f>ROUND(N1374*'Methodology &amp; Assumptions'!$B$7, 0)</f>
        <v/>
      </c>
      <c r="P1374" s="23" t="inlineStr">
        <is>
          <t>Single Carrier (Band n50, 100MHz TDD)</t>
        </is>
      </c>
      <c r="Q1374" s="27">
        <f>ROUNDUP(O1374/'Methodology &amp; Assumptions'!$B$8, 0)</f>
        <v/>
      </c>
      <c r="R1374" s="27" t="n">
        <v>1</v>
      </c>
      <c r="S1374" s="26" t="n">
        <v>0.95</v>
      </c>
      <c r="T1374" s="26" t="n">
        <v>0.05</v>
      </c>
      <c r="U1374" s="11">
        <f>IF(S1374&lt;='Methodology &amp; Assumptions'!$B$10, "Direct Optical Drop (&lt;3km)", IF(S1374&lt;='Methodology &amp; Assumptions'!$B$9, "Near Optical / Microwave (&lt;5km)", "Starlink Business LEO Satellite Backhaul (&gt;5km)"))</f>
        <v/>
      </c>
      <c r="V1374" s="26" t="n">
        <v>80.44</v>
      </c>
      <c r="W1374" s="26" t="n">
        <v>35.78</v>
      </c>
      <c r="X1374" s="26">
        <f>ROUND(('Methodology &amp; Assumptions'!$B$5*V1374) + ('Methodology &amp; Assumptions'!$B$6*W1374), 2)</f>
        <v/>
      </c>
      <c r="Y1374" s="28" t="n">
        <v>23.7</v>
      </c>
      <c r="Z1374" s="11" t="inlineStr">
        <is>
          <t>Priority Tier 3 (Broadband Expansion)</t>
        </is>
      </c>
    </row>
    <row r="1375">
      <c r="A1375" s="23" t="n">
        <v>5</v>
      </c>
      <c r="B1375" s="23" t="n">
        <v>371</v>
      </c>
      <c r="C1375" s="23" t="n">
        <v>4371</v>
      </c>
      <c r="D1375" s="23" t="inlineStr">
        <is>
          <t>0631000036</t>
        </is>
      </c>
      <c r="E1375" s="11" t="inlineStr">
        <is>
          <t>Region VI (Western Visayas)</t>
        </is>
      </c>
      <c r="F1375" s="11" t="inlineStr">
        <is>
          <t>Iloilo</t>
        </is>
      </c>
      <c r="G1375" s="11" t="inlineStr">
        <is>
          <t>City of Iloilo</t>
        </is>
      </c>
      <c r="H1375" s="11" t="inlineStr">
        <is>
          <t>Compania</t>
        </is>
      </c>
      <c r="I1375" s="24" t="n">
        <v>10.92438</v>
      </c>
      <c r="J1375" s="24" t="n">
        <v>122.558213</v>
      </c>
      <c r="K1375" s="23" t="inlineStr">
        <is>
          <t>U</t>
        </is>
      </c>
      <c r="L1375" s="25" t="n">
        <v>3372</v>
      </c>
      <c r="M1375" s="26" t="n">
        <v>4.2</v>
      </c>
      <c r="N1375" s="25">
        <f>ROUND(L1375/M1375, 0)</f>
        <v/>
      </c>
      <c r="O1375" s="25">
        <f>ROUND(N1375*'Methodology &amp; Assumptions'!$B$7, 0)</f>
        <v/>
      </c>
      <c r="P1375" s="23" t="inlineStr">
        <is>
          <t>Single Carrier (Band n50, 100MHz TDD)</t>
        </is>
      </c>
      <c r="Q1375" s="27">
        <f>ROUNDUP(O1375/'Methodology &amp; Assumptions'!$B$8, 0)</f>
        <v/>
      </c>
      <c r="R1375" s="27" t="n">
        <v>1</v>
      </c>
      <c r="S1375" s="26" t="n">
        <v>0.97</v>
      </c>
      <c r="T1375" s="26" t="n">
        <v>0.96</v>
      </c>
      <c r="U1375" s="11">
        <f>IF(S1375&lt;='Methodology &amp; Assumptions'!$B$10, "Direct Optical Drop (&lt;3km)", IF(S1375&lt;='Methodology &amp; Assumptions'!$B$9, "Near Optical / Microwave (&lt;5km)", "Starlink Business LEO Satellite Backhaul (&gt;5km)"))</f>
        <v/>
      </c>
      <c r="V1375" s="26" t="n">
        <v>78.18000000000001</v>
      </c>
      <c r="W1375" s="26" t="n">
        <v>38.05</v>
      </c>
      <c r="X1375" s="26">
        <f>ROUND(('Methodology &amp; Assumptions'!$B$5*V1375) + ('Methodology &amp; Assumptions'!$B$6*W1375), 2)</f>
        <v/>
      </c>
      <c r="Y1375" s="28" t="n">
        <v>23.7</v>
      </c>
      <c r="Z1375" s="11" t="inlineStr">
        <is>
          <t>Priority Tier 3 (Broadband Expansion)</t>
        </is>
      </c>
    </row>
    <row r="1376">
      <c r="A1376" s="23" t="n">
        <v>5</v>
      </c>
      <c r="B1376" s="23" t="n">
        <v>372</v>
      </c>
      <c r="C1376" s="23" t="n">
        <v>4372</v>
      </c>
      <c r="D1376" s="23" t="inlineStr">
        <is>
          <t>0405647043</t>
        </is>
      </c>
      <c r="E1376" s="11" t="inlineStr">
        <is>
          <t>Region IV-A (CALABARZON)</t>
        </is>
      </c>
      <c r="F1376" s="11" t="inlineStr">
        <is>
          <t>Quezon</t>
        </is>
      </c>
      <c r="G1376" s="11" t="inlineStr">
        <is>
          <t>City of Tayabas</t>
        </is>
      </c>
      <c r="H1376" s="11" t="inlineStr">
        <is>
          <t>Mateuna</t>
        </is>
      </c>
      <c r="I1376" s="24" t="n">
        <v>14.022872</v>
      </c>
      <c r="J1376" s="24" t="n">
        <v>121.602259</v>
      </c>
      <c r="K1376" s="23" t="inlineStr">
        <is>
          <t>U</t>
        </is>
      </c>
      <c r="L1376" s="25" t="n">
        <v>5954</v>
      </c>
      <c r="M1376" s="26" t="n">
        <v>3.8</v>
      </c>
      <c r="N1376" s="25">
        <f>ROUND(L1376/M1376, 0)</f>
        <v/>
      </c>
      <c r="O1376" s="25">
        <f>ROUND(N1376*'Methodology &amp; Assumptions'!$B$7, 0)</f>
        <v/>
      </c>
      <c r="P1376" s="23" t="inlineStr">
        <is>
          <t>Single Carrier (Band n50, 100MHz TDD)</t>
        </is>
      </c>
      <c r="Q1376" s="27">
        <f>ROUNDUP(O1376/'Methodology &amp; Assumptions'!$B$8, 0)</f>
        <v/>
      </c>
      <c r="R1376" s="27" t="n">
        <v>1</v>
      </c>
      <c r="S1376" s="26" t="n">
        <v>0.95</v>
      </c>
      <c r="T1376" s="26" t="n">
        <v>0.58</v>
      </c>
      <c r="U1376" s="11">
        <f>IF(S1376&lt;='Methodology &amp; Assumptions'!$B$10, "Direct Optical Drop (&lt;3km)", IF(S1376&lt;='Methodology &amp; Assumptions'!$B$9, "Near Optical / Microwave (&lt;5km)", "Starlink Business LEO Satellite Backhaul (&gt;5km)"))</f>
        <v/>
      </c>
      <c r="V1376" s="26" t="n">
        <v>77.84</v>
      </c>
      <c r="W1376" s="26" t="n">
        <v>38.38</v>
      </c>
      <c r="X1376" s="26">
        <f>ROUND(('Methodology &amp; Assumptions'!$B$5*V1376) + ('Methodology &amp; Assumptions'!$B$6*W1376), 2)</f>
        <v/>
      </c>
      <c r="Y1376" s="28" t="n">
        <v>7.2</v>
      </c>
      <c r="Z1376" s="11" t="inlineStr">
        <is>
          <t>Priority Tier 3 (Broadband Expansion)</t>
        </is>
      </c>
    </row>
    <row r="1377">
      <c r="A1377" s="23" t="n">
        <v>5</v>
      </c>
      <c r="B1377" s="23" t="n">
        <v>373</v>
      </c>
      <c r="C1377" s="23" t="n">
        <v>4373</v>
      </c>
      <c r="D1377" s="23" t="inlineStr">
        <is>
          <t>0301423006</t>
        </is>
      </c>
      <c r="E1377" s="11" t="inlineStr">
        <is>
          <t>Region III (Central Luzon)</t>
        </is>
      </c>
      <c r="F1377" s="11" t="inlineStr">
        <is>
          <t>Bulacan</t>
        </is>
      </c>
      <c r="G1377" s="11" t="inlineStr">
        <is>
          <t>Santa Maria</t>
        </is>
      </c>
      <c r="H1377" s="11" t="inlineStr">
        <is>
          <t>Catmon</t>
        </is>
      </c>
      <c r="I1377" s="24" t="n">
        <v>14.833042</v>
      </c>
      <c r="J1377" s="24" t="n">
        <v>121.008283</v>
      </c>
      <c r="K1377" s="23" t="inlineStr">
        <is>
          <t>U</t>
        </is>
      </c>
      <c r="L1377" s="25" t="n">
        <v>16660</v>
      </c>
      <c r="M1377" s="26" t="n">
        <v>3.5</v>
      </c>
      <c r="N1377" s="25">
        <f>ROUND(L1377/M1377, 0)</f>
        <v/>
      </c>
      <c r="O1377" s="25">
        <f>ROUND(N1377*'Methodology &amp; Assumptions'!$B$7, 0)</f>
        <v/>
      </c>
      <c r="P1377" s="23" t="inlineStr">
        <is>
          <t>Single Carrier (Band n50, 100MHz TDD)</t>
        </is>
      </c>
      <c r="Q1377" s="27">
        <f>ROUNDUP(O1377/'Methodology &amp; Assumptions'!$B$8, 0)</f>
        <v/>
      </c>
      <c r="R1377" s="27" t="n">
        <v>1</v>
      </c>
      <c r="S1377" s="26" t="n">
        <v>0.27</v>
      </c>
      <c r="T1377" s="26" t="n">
        <v>2.82</v>
      </c>
      <c r="U1377" s="11">
        <f>IF(S1377&lt;='Methodology &amp; Assumptions'!$B$10, "Direct Optical Drop (&lt;3km)", IF(S1377&lt;='Methodology &amp; Assumptions'!$B$9, "Near Optical / Microwave (&lt;5km)", "Starlink Business LEO Satellite Backhaul (&gt;5km)"))</f>
        <v/>
      </c>
      <c r="V1377" s="26" t="n">
        <v>77.25</v>
      </c>
      <c r="W1377" s="26" t="n">
        <v>38.96</v>
      </c>
      <c r="X1377" s="26">
        <f>ROUND(('Methodology &amp; Assumptions'!$B$5*V1377) + ('Methodology &amp; Assumptions'!$B$6*W1377), 2)</f>
        <v/>
      </c>
      <c r="Y1377" s="28" t="n">
        <v>8.300000000000001</v>
      </c>
      <c r="Z1377" s="11" t="inlineStr">
        <is>
          <t>Priority Tier 3 (Broadband Expansion)</t>
        </is>
      </c>
    </row>
    <row r="1378">
      <c r="A1378" s="23" t="n">
        <v>5</v>
      </c>
      <c r="B1378" s="23" t="n">
        <v>374</v>
      </c>
      <c r="C1378" s="23" t="n">
        <v>4374</v>
      </c>
      <c r="D1378" s="23" t="inlineStr">
        <is>
          <t>1380606147</t>
        </is>
      </c>
      <c r="E1378" s="11" t="inlineStr">
        <is>
          <t>National Capital Region (NCR)</t>
        </is>
      </c>
      <c r="F1378" s="11" t="inlineStr">
        <is>
          <t>First District (Not a Province)</t>
        </is>
      </c>
      <c r="G1378" s="11" t="inlineStr">
        <is>
          <t>City of Manila</t>
        </is>
      </c>
      <c r="H1378" s="11" t="inlineStr">
        <is>
          <t>Barangay 541</t>
        </is>
      </c>
      <c r="I1378" s="24" t="n">
        <v>14.612283</v>
      </c>
      <c r="J1378" s="24" t="n">
        <v>121.006141</v>
      </c>
      <c r="K1378" s="23" t="inlineStr">
        <is>
          <t>U</t>
        </is>
      </c>
      <c r="L1378" s="25" t="n">
        <v>812</v>
      </c>
      <c r="M1378" s="26" t="n">
        <v>4.44</v>
      </c>
      <c r="N1378" s="25">
        <f>ROUND(L1378/M1378, 0)</f>
        <v/>
      </c>
      <c r="O1378" s="25">
        <f>ROUND(N1378*'Methodology &amp; Assumptions'!$B$7, 0)</f>
        <v/>
      </c>
      <c r="P1378" s="23" t="inlineStr">
        <is>
          <t>Single Carrier (Band n50, 100MHz TDD)</t>
        </is>
      </c>
      <c r="Q1378" s="27">
        <f>ROUNDUP(O1378/'Methodology &amp; Assumptions'!$B$8, 0)</f>
        <v/>
      </c>
      <c r="R1378" s="27" t="n">
        <v>1</v>
      </c>
      <c r="S1378" s="26" t="n">
        <v>0.29</v>
      </c>
      <c r="T1378" s="26" t="n">
        <v>0.15</v>
      </c>
      <c r="U1378" s="11">
        <f>IF(S1378&lt;='Methodology &amp; Assumptions'!$B$10, "Direct Optical Drop (&lt;3km)", IF(S1378&lt;='Methodology &amp; Assumptions'!$B$9, "Near Optical / Microwave (&lt;5km)", "Starlink Business LEO Satellite Backhaul (&gt;5km)"))</f>
        <v/>
      </c>
      <c r="V1378" s="26" t="n">
        <v>46.98</v>
      </c>
      <c r="W1378" s="26" t="n">
        <v>69.23999999999999</v>
      </c>
      <c r="X1378" s="26">
        <f>ROUND(('Methodology &amp; Assumptions'!$B$5*V1378) + ('Methodology &amp; Assumptions'!$B$6*W1378), 2)</f>
        <v/>
      </c>
      <c r="Y1378" s="28" t="n">
        <v>10.9</v>
      </c>
      <c r="Z1378" s="11" t="inlineStr">
        <is>
          <t>Priority Tier 3 (Broadband Expansion)</t>
        </is>
      </c>
    </row>
    <row r="1379">
      <c r="A1379" s="23" t="n">
        <v>5</v>
      </c>
      <c r="B1379" s="23" t="n">
        <v>375</v>
      </c>
      <c r="C1379" s="23" t="n">
        <v>4375</v>
      </c>
      <c r="D1379" s="23" t="inlineStr">
        <is>
          <t>0504106032</t>
        </is>
      </c>
      <c r="E1379" s="11" t="inlineStr">
        <is>
          <t>Region V (Bicol Region)</t>
        </is>
      </c>
      <c r="F1379" s="11" t="inlineStr">
        <is>
          <t>Masbate</t>
        </is>
      </c>
      <c r="G1379" s="11" t="inlineStr">
        <is>
          <t>Cawayan</t>
        </is>
      </c>
      <c r="H1379" s="11" t="inlineStr">
        <is>
          <t>Lague-lague</t>
        </is>
      </c>
      <c r="I1379" s="24" t="n">
        <v>12.107705</v>
      </c>
      <c r="J1379" s="24" t="n">
        <v>123.714128</v>
      </c>
      <c r="K1379" s="23" t="inlineStr">
        <is>
          <t>R</t>
        </is>
      </c>
      <c r="L1379" s="25" t="n">
        <v>1042</v>
      </c>
      <c r="M1379" s="26" t="n">
        <v>4.1</v>
      </c>
      <c r="N1379" s="25">
        <f>ROUND(L1379/M1379, 0)</f>
        <v/>
      </c>
      <c r="O1379" s="25">
        <f>ROUND(N1379*'Methodology &amp; Assumptions'!$B$7, 0)</f>
        <v/>
      </c>
      <c r="P1379" s="23" t="inlineStr">
        <is>
          <t>Single Carrier (Band n50, 100MHz TDD)</t>
        </is>
      </c>
      <c r="Q1379" s="27">
        <f>ROUNDUP(O1379/'Methodology &amp; Assumptions'!$B$8, 0)</f>
        <v/>
      </c>
      <c r="R1379" s="27" t="n">
        <v>1</v>
      </c>
      <c r="S1379" s="26" t="n">
        <v>15.16</v>
      </c>
      <c r="T1379" s="26" t="n">
        <v>25.45</v>
      </c>
      <c r="U1379" s="11">
        <f>IF(S1379&lt;='Methodology &amp; Assumptions'!$B$10, "Direct Optical Drop (&lt;3km)", IF(S1379&lt;='Methodology &amp; Assumptions'!$B$9, "Near Optical / Microwave (&lt;5km)", "Starlink Business LEO Satellite Backhaul (&gt;5km)"))</f>
        <v/>
      </c>
      <c r="V1379" s="26" t="n">
        <v>43.92</v>
      </c>
      <c r="W1379" s="26" t="n">
        <v>72.29000000000001</v>
      </c>
      <c r="X1379" s="26">
        <f>ROUND(('Methodology &amp; Assumptions'!$B$5*V1379) + ('Methodology &amp; Assumptions'!$B$6*W1379), 2)</f>
        <v/>
      </c>
      <c r="Y1379" s="28" t="n">
        <v>23.7</v>
      </c>
      <c r="Z1379" s="11" t="inlineStr">
        <is>
          <t>Priority Tier 3 (Broadband Expansion)</t>
        </is>
      </c>
    </row>
    <row r="1380">
      <c r="A1380" s="23" t="n">
        <v>5</v>
      </c>
      <c r="B1380" s="23" t="n">
        <v>376</v>
      </c>
      <c r="C1380" s="23" t="n">
        <v>4376</v>
      </c>
      <c r="D1380" s="23" t="inlineStr">
        <is>
          <t>1907001004</t>
        </is>
      </c>
      <c r="E1380" s="11" t="inlineStr">
        <is>
          <t>Bangsamoro Autonomous Region In Muslim Mindanao (BARMM)</t>
        </is>
      </c>
      <c r="F1380" s="11" t="inlineStr">
        <is>
          <t>Tawi-Tawi</t>
        </is>
      </c>
      <c r="G1380" s="11" t="inlineStr">
        <is>
          <t>Panglima Sugala</t>
        </is>
      </c>
      <c r="H1380" s="11" t="inlineStr">
        <is>
          <t>Dungon</t>
        </is>
      </c>
      <c r="I1380" s="24" t="n">
        <v>5.224553</v>
      </c>
      <c r="J1380" s="24" t="n">
        <v>120.147383</v>
      </c>
      <c r="K1380" s="23" t="inlineStr">
        <is>
          <t>R</t>
        </is>
      </c>
      <c r="L1380" s="25" t="n">
        <v>2240</v>
      </c>
      <c r="M1380" s="26" t="n">
        <v>5.8</v>
      </c>
      <c r="N1380" s="25">
        <f>ROUND(L1380/M1380, 0)</f>
        <v/>
      </c>
      <c r="O1380" s="25">
        <f>ROUND(N1380*'Methodology &amp; Assumptions'!$B$7, 0)</f>
        <v/>
      </c>
      <c r="P1380" s="23" t="inlineStr">
        <is>
          <t>Single Carrier (Band n50, 100MHz TDD)</t>
        </is>
      </c>
      <c r="Q1380" s="27">
        <f>ROUNDUP(O1380/'Methodology &amp; Assumptions'!$B$8, 0)</f>
        <v/>
      </c>
      <c r="R1380" s="27" t="n">
        <v>1</v>
      </c>
      <c r="S1380" s="26" t="n">
        <v>999</v>
      </c>
      <c r="T1380" s="26" t="n">
        <v>999</v>
      </c>
      <c r="U1380" s="11">
        <f>IF(S1380&lt;='Methodology &amp; Assumptions'!$B$10, "Direct Optical Drop (&lt;3km)", IF(S1380&lt;='Methodology &amp; Assumptions'!$B$9, "Near Optical / Microwave (&lt;5km)", "Starlink Business LEO Satellite Backhaul (&gt;5km)"))</f>
        <v/>
      </c>
      <c r="V1380" s="26" t="n">
        <v>43.48</v>
      </c>
      <c r="W1380" s="26" t="n">
        <v>72.75</v>
      </c>
      <c r="X1380" s="26">
        <f>ROUND(('Methodology &amp; Assumptions'!$B$5*V1380) + ('Methodology &amp; Assumptions'!$B$6*W1380), 2)</f>
        <v/>
      </c>
      <c r="Y1380" s="28" t="n">
        <v>11</v>
      </c>
      <c r="Z1380" s="11" t="inlineStr">
        <is>
          <t>Priority Tier 3 (Broadband Expansion)</t>
        </is>
      </c>
    </row>
    <row r="1381">
      <c r="A1381" s="23" t="n">
        <v>5</v>
      </c>
      <c r="B1381" s="23" t="n">
        <v>377</v>
      </c>
      <c r="C1381" s="23" t="n">
        <v>4377</v>
      </c>
      <c r="D1381" s="23" t="inlineStr">
        <is>
          <t>1381600025</t>
        </is>
      </c>
      <c r="E1381" s="11" t="inlineStr">
        <is>
          <t>National Capital Region (NCR)</t>
        </is>
      </c>
      <c r="F1381" s="11" t="inlineStr">
        <is>
          <t>Third District (Not a Province)</t>
        </is>
      </c>
      <c r="G1381" s="11" t="inlineStr">
        <is>
          <t>City of Valenzuela</t>
        </is>
      </c>
      <c r="H1381" s="11" t="inlineStr">
        <is>
          <t>Poblacion</t>
        </is>
      </c>
      <c r="I1381" s="24" t="n">
        <v>14.70818</v>
      </c>
      <c r="J1381" s="24" t="n">
        <v>120.9462</v>
      </c>
      <c r="K1381" s="23" t="inlineStr">
        <is>
          <t>U</t>
        </is>
      </c>
      <c r="L1381" s="25" t="n">
        <v>224</v>
      </c>
      <c r="M1381" s="26" t="n">
        <v>3.15</v>
      </c>
      <c r="N1381" s="25">
        <f>ROUND(L1381/M1381, 0)</f>
        <v/>
      </c>
      <c r="O1381" s="25">
        <f>ROUND(N1381*'Methodology &amp; Assumptions'!$B$7, 0)</f>
        <v/>
      </c>
      <c r="P1381" s="23" t="inlineStr">
        <is>
          <t>Single Carrier (Band n50, 100MHz TDD)</t>
        </is>
      </c>
      <c r="Q1381" s="27">
        <f>ROUNDUP(O1381/'Methodology &amp; Assumptions'!$B$8, 0)</f>
        <v/>
      </c>
      <c r="R1381" s="27" t="n">
        <v>1</v>
      </c>
      <c r="S1381" s="26" t="n">
        <v>1.03</v>
      </c>
      <c r="T1381" s="26" t="n">
        <v>1.43</v>
      </c>
      <c r="U1381" s="11">
        <f>IF(S1381&lt;='Methodology &amp; Assumptions'!$B$10, "Direct Optical Drop (&lt;3km)", IF(S1381&lt;='Methodology &amp; Assumptions'!$B$9, "Near Optical / Microwave (&lt;5km)", "Starlink Business LEO Satellite Backhaul (&gt;5km)"))</f>
        <v/>
      </c>
      <c r="V1381" s="26" t="n">
        <v>42.59</v>
      </c>
      <c r="W1381" s="26" t="n">
        <v>73.62</v>
      </c>
      <c r="X1381" s="26">
        <f>ROUND(('Methodology &amp; Assumptions'!$B$5*V1381) + ('Methodology &amp; Assumptions'!$B$6*W1381), 2)</f>
        <v/>
      </c>
      <c r="Y1381" s="28" t="n">
        <v>10.9</v>
      </c>
      <c r="Z1381" s="11" t="inlineStr">
        <is>
          <t>Priority Tier 3 (Broadband Expansion)</t>
        </is>
      </c>
    </row>
    <row r="1382">
      <c r="A1382" s="23" t="n">
        <v>5</v>
      </c>
      <c r="B1382" s="23" t="n">
        <v>378</v>
      </c>
      <c r="C1382" s="23" t="n">
        <v>4378</v>
      </c>
      <c r="D1382" s="23" t="inlineStr">
        <is>
          <t>1907007002</t>
        </is>
      </c>
      <c r="E1382" s="11" t="inlineStr">
        <is>
          <t>Bangsamoro Autonomous Region In Muslim Mindanao (BARMM)</t>
        </is>
      </c>
      <c r="F1382" s="11" t="inlineStr">
        <is>
          <t>Tawi-Tawi</t>
        </is>
      </c>
      <c r="G1382" s="11" t="inlineStr">
        <is>
          <t>Tandubas</t>
        </is>
      </c>
      <c r="H1382" s="11" t="inlineStr">
        <is>
          <t>Baliungan</t>
        </is>
      </c>
      <c r="I1382" s="24" t="n">
        <v>5.286825</v>
      </c>
      <c r="J1382" s="24" t="n">
        <v>120.224356</v>
      </c>
      <c r="K1382" s="23" t="inlineStr">
        <is>
          <t>R</t>
        </is>
      </c>
      <c r="L1382" s="25" t="n">
        <v>1925</v>
      </c>
      <c r="M1382" s="26" t="n">
        <v>5.8</v>
      </c>
      <c r="N1382" s="25">
        <f>ROUND(L1382/M1382, 0)</f>
        <v/>
      </c>
      <c r="O1382" s="25">
        <f>ROUND(N1382*'Methodology &amp; Assumptions'!$B$7, 0)</f>
        <v/>
      </c>
      <c r="P1382" s="23" t="inlineStr">
        <is>
          <t>Single Carrier (Band n50, 100MHz TDD)</t>
        </is>
      </c>
      <c r="Q1382" s="27">
        <f>ROUNDUP(O1382/'Methodology &amp; Assumptions'!$B$8, 0)</f>
        <v/>
      </c>
      <c r="R1382" s="27" t="n">
        <v>1</v>
      </c>
      <c r="S1382" s="26" t="n">
        <v>999</v>
      </c>
      <c r="T1382" s="26" t="n">
        <v>999</v>
      </c>
      <c r="U1382" s="11">
        <f>IF(S1382&lt;='Methodology &amp; Assumptions'!$B$10, "Direct Optical Drop (&lt;3km)", IF(S1382&lt;='Methodology &amp; Assumptions'!$B$9, "Near Optical / Microwave (&lt;5km)", "Starlink Business LEO Satellite Backhaul (&gt;5km)"))</f>
        <v/>
      </c>
      <c r="V1382" s="26" t="n">
        <v>41.76</v>
      </c>
      <c r="W1382" s="26" t="n">
        <v>74.45999999999999</v>
      </c>
      <c r="X1382" s="26">
        <f>ROUND(('Methodology &amp; Assumptions'!$B$5*V1382) + ('Methodology &amp; Assumptions'!$B$6*W1382), 2)</f>
        <v/>
      </c>
      <c r="Y1382" s="28" t="n">
        <v>11</v>
      </c>
      <c r="Z1382" s="11" t="inlineStr">
        <is>
          <t>Priority Tier 3 (Broadband Expansion)</t>
        </is>
      </c>
    </row>
    <row r="1383">
      <c r="A1383" s="23" t="n">
        <v>5</v>
      </c>
      <c r="B1383" s="23" t="n">
        <v>379</v>
      </c>
      <c r="C1383" s="23" t="n">
        <v>4379</v>
      </c>
      <c r="D1383" s="23" t="inlineStr">
        <is>
          <t>0300804020</t>
        </is>
      </c>
      <c r="E1383" s="11" t="inlineStr">
        <is>
          <t>Region III (Central Luzon)</t>
        </is>
      </c>
      <c r="F1383" s="11" t="inlineStr">
        <is>
          <t>Bataan</t>
        </is>
      </c>
      <c r="G1383" s="11" t="inlineStr">
        <is>
          <t>Dinalupihan</t>
        </is>
      </c>
      <c r="H1383" s="11" t="inlineStr">
        <is>
          <t>Naparing</t>
        </is>
      </c>
      <c r="I1383" s="24" t="n">
        <v>14.846732</v>
      </c>
      <c r="J1383" s="24" t="n">
        <v>120.407899</v>
      </c>
      <c r="K1383" s="23" t="inlineStr">
        <is>
          <t>R</t>
        </is>
      </c>
      <c r="L1383" s="25" t="n">
        <v>3244</v>
      </c>
      <c r="M1383" s="26" t="n">
        <v>3.6</v>
      </c>
      <c r="N1383" s="25">
        <f>ROUND(L1383/M1383, 0)</f>
        <v/>
      </c>
      <c r="O1383" s="25">
        <f>ROUND(N1383*'Methodology &amp; Assumptions'!$B$7, 0)</f>
        <v/>
      </c>
      <c r="P1383" s="23" t="inlineStr">
        <is>
          <t>Single Carrier (Band n50, 100MHz TDD)</t>
        </is>
      </c>
      <c r="Q1383" s="27">
        <f>ROUNDUP(O1383/'Methodology &amp; Assumptions'!$B$8, 0)</f>
        <v/>
      </c>
      <c r="R1383" s="27" t="n">
        <v>1</v>
      </c>
      <c r="S1383" s="26" t="n">
        <v>1.14</v>
      </c>
      <c r="T1383" s="26" t="n">
        <v>0.05</v>
      </c>
      <c r="U1383" s="11">
        <f>IF(S1383&lt;='Methodology &amp; Assumptions'!$B$10, "Direct Optical Drop (&lt;3km)", IF(S1383&lt;='Methodology &amp; Assumptions'!$B$9, "Near Optical / Microwave (&lt;5km)", "Starlink Business LEO Satellite Backhaul (&gt;5km)"))</f>
        <v/>
      </c>
      <c r="V1383" s="26" t="n">
        <v>84.48999999999999</v>
      </c>
      <c r="W1383" s="26" t="n">
        <v>31.72</v>
      </c>
      <c r="X1383" s="26">
        <f>ROUND(('Methodology &amp; Assumptions'!$B$5*V1383) + ('Methodology &amp; Assumptions'!$B$6*W1383), 2)</f>
        <v/>
      </c>
      <c r="Y1383" s="28" t="n">
        <v>8.300000000000001</v>
      </c>
      <c r="Z1383" s="11" t="inlineStr">
        <is>
          <t>Priority Tier 3 (Broadband Expansion)</t>
        </is>
      </c>
    </row>
    <row r="1384">
      <c r="A1384" s="23" t="n">
        <v>5</v>
      </c>
      <c r="B1384" s="23" t="n">
        <v>380</v>
      </c>
      <c r="C1384" s="23" t="n">
        <v>4380</v>
      </c>
      <c r="D1384" s="23" t="inlineStr">
        <is>
          <t>0307105018</t>
        </is>
      </c>
      <c r="E1384" s="11" t="inlineStr">
        <is>
          <t>Region III (Central Luzon)</t>
        </is>
      </c>
      <c r="F1384" s="11" t="inlineStr">
        <is>
          <t>Zambales</t>
        </is>
      </c>
      <c r="G1384" s="11" t="inlineStr">
        <is>
          <t>Iba</t>
        </is>
      </c>
      <c r="H1384" s="11" t="inlineStr">
        <is>
          <t>Santo Rosario</t>
        </is>
      </c>
      <c r="I1384" s="24" t="n">
        <v>15.335013</v>
      </c>
      <c r="J1384" s="24" t="n">
        <v>119.966091</v>
      </c>
      <c r="K1384" s="23" t="inlineStr">
        <is>
          <t>R</t>
        </is>
      </c>
      <c r="L1384" s="25" t="n">
        <v>4578</v>
      </c>
      <c r="M1384" s="26" t="n">
        <v>3.8</v>
      </c>
      <c r="N1384" s="25">
        <f>ROUND(L1384/M1384, 0)</f>
        <v/>
      </c>
      <c r="O1384" s="25">
        <f>ROUND(N1384*'Methodology &amp; Assumptions'!$B$7, 0)</f>
        <v/>
      </c>
      <c r="P1384" s="23" t="inlineStr">
        <is>
          <t>Single Carrier (Band n50, 100MHz TDD)</t>
        </is>
      </c>
      <c r="Q1384" s="27">
        <f>ROUNDUP(O1384/'Methodology &amp; Assumptions'!$B$8, 0)</f>
        <v/>
      </c>
      <c r="R1384" s="27" t="n">
        <v>1</v>
      </c>
      <c r="S1384" s="26" t="n">
        <v>1.53</v>
      </c>
      <c r="T1384" s="26" t="n">
        <v>0.22</v>
      </c>
      <c r="U1384" s="11">
        <f>IF(S1384&lt;='Methodology &amp; Assumptions'!$B$10, "Direct Optical Drop (&lt;3km)", IF(S1384&lt;='Methodology &amp; Assumptions'!$B$9, "Near Optical / Microwave (&lt;5km)", "Starlink Business LEO Satellite Backhaul (&gt;5km)"))</f>
        <v/>
      </c>
      <c r="V1384" s="26" t="n">
        <v>83.03</v>
      </c>
      <c r="W1384" s="26" t="n">
        <v>33.17</v>
      </c>
      <c r="X1384" s="26">
        <f>ROUND(('Methodology &amp; Assumptions'!$B$5*V1384) + ('Methodology &amp; Assumptions'!$B$6*W1384), 2)</f>
        <v/>
      </c>
      <c r="Y1384" s="28" t="n">
        <v>8.300000000000001</v>
      </c>
      <c r="Z1384" s="11" t="inlineStr">
        <is>
          <t>Priority Tier 3 (Broadband Expansion)</t>
        </is>
      </c>
    </row>
    <row r="1385">
      <c r="A1385" s="23" t="n">
        <v>5</v>
      </c>
      <c r="B1385" s="23" t="n">
        <v>381</v>
      </c>
      <c r="C1385" s="23" t="n">
        <v>4381</v>
      </c>
      <c r="D1385" s="23" t="inlineStr">
        <is>
          <t>0105504020</t>
        </is>
      </c>
      <c r="E1385" s="11" t="inlineStr">
        <is>
          <t>Region I (Ilocos Region)</t>
        </is>
      </c>
      <c r="F1385" s="11" t="inlineStr">
        <is>
          <t>Pangasinan</t>
        </is>
      </c>
      <c r="G1385" s="11" t="inlineStr">
        <is>
          <t>Alcala</t>
        </is>
      </c>
      <c r="H1385" s="11" t="inlineStr">
        <is>
          <t>San Pedro Ili</t>
        </is>
      </c>
      <c r="I1385" s="24" t="n">
        <v>15.84638</v>
      </c>
      <c r="J1385" s="24" t="n">
        <v>120.533868</v>
      </c>
      <c r="K1385" s="23" t="inlineStr">
        <is>
          <t>R</t>
        </is>
      </c>
      <c r="L1385" s="25" t="n">
        <v>4184</v>
      </c>
      <c r="M1385" s="26" t="n">
        <v>3.6</v>
      </c>
      <c r="N1385" s="25">
        <f>ROUND(L1385/M1385, 0)</f>
        <v/>
      </c>
      <c r="O1385" s="25">
        <f>ROUND(N1385*'Methodology &amp; Assumptions'!$B$7, 0)</f>
        <v/>
      </c>
      <c r="P1385" s="23" t="inlineStr">
        <is>
          <t>Single Carrier (Band n50, 100MHz TDD)</t>
        </is>
      </c>
      <c r="Q1385" s="27">
        <f>ROUNDUP(O1385/'Methodology &amp; Assumptions'!$B$8, 0)</f>
        <v/>
      </c>
      <c r="R1385" s="27" t="n">
        <v>1</v>
      </c>
      <c r="S1385" s="26" t="n">
        <v>0.9</v>
      </c>
      <c r="T1385" s="26" t="n">
        <v>7.53</v>
      </c>
      <c r="U1385" s="11">
        <f>IF(S1385&lt;='Methodology &amp; Assumptions'!$B$10, "Direct Optical Drop (&lt;3km)", IF(S1385&lt;='Methodology &amp; Assumptions'!$B$9, "Near Optical / Microwave (&lt;5km)", "Starlink Business LEO Satellite Backhaul (&gt;5km)"))</f>
        <v/>
      </c>
      <c r="V1385" s="26" t="n">
        <v>81.92</v>
      </c>
      <c r="W1385" s="26" t="n">
        <v>34.28</v>
      </c>
      <c r="X1385" s="26">
        <f>ROUND(('Methodology &amp; Assumptions'!$B$5*V1385) + ('Methodology &amp; Assumptions'!$B$6*W1385), 2)</f>
        <v/>
      </c>
      <c r="Y1385" s="28" t="n">
        <v>8.300000000000001</v>
      </c>
      <c r="Z1385" s="11" t="inlineStr">
        <is>
          <t>Priority Tier 3 (Broadband Expansion)</t>
        </is>
      </c>
    </row>
    <row r="1386">
      <c r="A1386" s="23" t="n">
        <v>5</v>
      </c>
      <c r="B1386" s="23" t="n">
        <v>382</v>
      </c>
      <c r="C1386" s="23" t="n">
        <v>4382</v>
      </c>
      <c r="D1386" s="23" t="inlineStr">
        <is>
          <t>0601915009</t>
        </is>
      </c>
      <c r="E1386" s="11" t="inlineStr">
        <is>
          <t>Region VI (Western Visayas)</t>
        </is>
      </c>
      <c r="F1386" s="11" t="inlineStr">
        <is>
          <t>Capiz</t>
        </is>
      </c>
      <c r="G1386" s="11" t="inlineStr">
        <is>
          <t>Sapi-An</t>
        </is>
      </c>
      <c r="H1386" s="11" t="inlineStr">
        <is>
          <t>Maninang</t>
        </is>
      </c>
      <c r="I1386" s="24" t="n">
        <v>11.485021</v>
      </c>
      <c r="J1386" s="24" t="n">
        <v>122.582946</v>
      </c>
      <c r="K1386" s="23" t="inlineStr">
        <is>
          <t>R</t>
        </is>
      </c>
      <c r="L1386" s="25" t="n">
        <v>3032</v>
      </c>
      <c r="M1386" s="26" t="n">
        <v>3.8</v>
      </c>
      <c r="N1386" s="25">
        <f>ROUND(L1386/M1386, 0)</f>
        <v/>
      </c>
      <c r="O1386" s="25">
        <f>ROUND(N1386*'Methodology &amp; Assumptions'!$B$7, 0)</f>
        <v/>
      </c>
      <c r="P1386" s="23" t="inlineStr">
        <is>
          <t>Single Carrier (Band n50, 100MHz TDD)</t>
        </is>
      </c>
      <c r="Q1386" s="27">
        <f>ROUNDUP(O1386/'Methodology &amp; Assumptions'!$B$8, 0)</f>
        <v/>
      </c>
      <c r="R1386" s="27" t="n">
        <v>1</v>
      </c>
      <c r="S1386" s="26" t="n">
        <v>2.66</v>
      </c>
      <c r="T1386" s="26" t="n">
        <v>0.22</v>
      </c>
      <c r="U1386" s="11">
        <f>IF(S1386&lt;='Methodology &amp; Assumptions'!$B$10, "Direct Optical Drop (&lt;3km)", IF(S1386&lt;='Methodology &amp; Assumptions'!$B$9, "Near Optical / Microwave (&lt;5km)", "Starlink Business LEO Satellite Backhaul (&gt;5km)"))</f>
        <v/>
      </c>
      <c r="V1386" s="26" t="n">
        <v>79.28</v>
      </c>
      <c r="W1386" s="26" t="n">
        <v>36.92</v>
      </c>
      <c r="X1386" s="26">
        <f>ROUND(('Methodology &amp; Assumptions'!$B$5*V1386) + ('Methodology &amp; Assumptions'!$B$6*W1386), 2)</f>
        <v/>
      </c>
      <c r="Y1386" s="28" t="n">
        <v>23.7</v>
      </c>
      <c r="Z1386" s="11" t="inlineStr">
        <is>
          <t>Priority Tier 3 (Broadband Expansion)</t>
        </is>
      </c>
    </row>
    <row r="1387">
      <c r="A1387" s="23" t="n">
        <v>5</v>
      </c>
      <c r="B1387" s="23" t="n">
        <v>383</v>
      </c>
      <c r="C1387" s="23" t="n">
        <v>4383</v>
      </c>
      <c r="D1387" s="23" t="inlineStr">
        <is>
          <t>0304916028</t>
        </is>
      </c>
      <c r="E1387" s="11" t="inlineStr">
        <is>
          <t>Region III (Central Luzon)</t>
        </is>
      </c>
      <c r="F1387" s="11" t="inlineStr">
        <is>
          <t>Nueva Ecija</t>
        </is>
      </c>
      <c r="G1387" s="11" t="inlineStr">
        <is>
          <t>Lupao</t>
        </is>
      </c>
      <c r="H1387" s="11" t="inlineStr">
        <is>
          <t>San Antonio Este</t>
        </is>
      </c>
      <c r="I1387" s="24" t="n">
        <v>15.870031</v>
      </c>
      <c r="J1387" s="24" t="n">
        <v>120.896297</v>
      </c>
      <c r="K1387" s="23" t="inlineStr">
        <is>
          <t>R</t>
        </is>
      </c>
      <c r="L1387" s="25" t="n">
        <v>2386</v>
      </c>
      <c r="M1387" s="26" t="n">
        <v>3.5</v>
      </c>
      <c r="N1387" s="25">
        <f>ROUND(L1387/M1387, 0)</f>
        <v/>
      </c>
      <c r="O1387" s="25">
        <f>ROUND(N1387*'Methodology &amp; Assumptions'!$B$7, 0)</f>
        <v/>
      </c>
      <c r="P1387" s="23" t="inlineStr">
        <is>
          <t>Single Carrier (Band n50, 100MHz TDD)</t>
        </is>
      </c>
      <c r="Q1387" s="27">
        <f>ROUNDUP(O1387/'Methodology &amp; Assumptions'!$B$8, 0)</f>
        <v/>
      </c>
      <c r="R1387" s="27" t="n">
        <v>1</v>
      </c>
      <c r="S1387" s="26" t="n">
        <v>1.65</v>
      </c>
      <c r="T1387" s="26" t="n">
        <v>0.59</v>
      </c>
      <c r="U1387" s="11">
        <f>IF(S1387&lt;='Methodology &amp; Assumptions'!$B$10, "Direct Optical Drop (&lt;3km)", IF(S1387&lt;='Methodology &amp; Assumptions'!$B$9, "Near Optical / Microwave (&lt;5km)", "Starlink Business LEO Satellite Backhaul (&gt;5km)"))</f>
        <v/>
      </c>
      <c r="V1387" s="26" t="n">
        <v>78.20999999999999</v>
      </c>
      <c r="W1387" s="26" t="n">
        <v>38</v>
      </c>
      <c r="X1387" s="26">
        <f>ROUND(('Methodology &amp; Assumptions'!$B$5*V1387) + ('Methodology &amp; Assumptions'!$B$6*W1387), 2)</f>
        <v/>
      </c>
      <c r="Y1387" s="28" t="n">
        <v>8.300000000000001</v>
      </c>
      <c r="Z1387" s="11" t="inlineStr">
        <is>
          <t>Priority Tier 3 (Broadband Expansion)</t>
        </is>
      </c>
    </row>
    <row r="1388">
      <c r="A1388" s="23" t="n">
        <v>5</v>
      </c>
      <c r="B1388" s="23" t="n">
        <v>384</v>
      </c>
      <c r="C1388" s="23" t="n">
        <v>4384</v>
      </c>
      <c r="D1388" s="23" t="inlineStr">
        <is>
          <t>0304928018</t>
        </is>
      </c>
      <c r="E1388" s="11" t="inlineStr">
        <is>
          <t>Region III (Central Luzon)</t>
        </is>
      </c>
      <c r="F1388" s="11" t="inlineStr">
        <is>
          <t>Nueva Ecija</t>
        </is>
      </c>
      <c r="G1388" s="11" t="inlineStr">
        <is>
          <t>Santa Rosa</t>
        </is>
      </c>
      <c r="H1388" s="11" t="inlineStr">
        <is>
          <t>Santo Rosario</t>
        </is>
      </c>
      <c r="I1388" s="24" t="n">
        <v>15.433883</v>
      </c>
      <c r="J1388" s="24" t="n">
        <v>120.892203</v>
      </c>
      <c r="K1388" s="23" t="inlineStr">
        <is>
          <t>R</t>
        </is>
      </c>
      <c r="L1388" s="25" t="n">
        <v>3179</v>
      </c>
      <c r="M1388" s="26" t="n">
        <v>3.5</v>
      </c>
      <c r="N1388" s="25">
        <f>ROUND(L1388/M1388, 0)</f>
        <v/>
      </c>
      <c r="O1388" s="25">
        <f>ROUND(N1388*'Methodology &amp; Assumptions'!$B$7, 0)</f>
        <v/>
      </c>
      <c r="P1388" s="23" t="inlineStr">
        <is>
          <t>Single Carrier (Band n50, 100MHz TDD)</t>
        </is>
      </c>
      <c r="Q1388" s="27">
        <f>ROUNDUP(O1388/'Methodology &amp; Assumptions'!$B$8, 0)</f>
        <v/>
      </c>
      <c r="R1388" s="27" t="n">
        <v>1</v>
      </c>
      <c r="S1388" s="26" t="n">
        <v>3.05</v>
      </c>
      <c r="T1388" s="26" t="n">
        <v>0.08</v>
      </c>
      <c r="U1388" s="11">
        <f>IF(S1388&lt;='Methodology &amp; Assumptions'!$B$10, "Direct Optical Drop (&lt;3km)", IF(S1388&lt;='Methodology &amp; Assumptions'!$B$9, "Near Optical / Microwave (&lt;5km)", "Starlink Business LEO Satellite Backhaul (&gt;5km)"))</f>
        <v/>
      </c>
      <c r="V1388" s="26" t="n">
        <v>78.08</v>
      </c>
      <c r="W1388" s="26" t="n">
        <v>38.13</v>
      </c>
      <c r="X1388" s="26">
        <f>ROUND(('Methodology &amp; Assumptions'!$B$5*V1388) + ('Methodology &amp; Assumptions'!$B$6*W1388), 2)</f>
        <v/>
      </c>
      <c r="Y1388" s="28" t="n">
        <v>8.300000000000001</v>
      </c>
      <c r="Z1388" s="11" t="inlineStr">
        <is>
          <t>Priority Tier 3 (Broadband Expansion)</t>
        </is>
      </c>
    </row>
    <row r="1389">
      <c r="A1389" s="23" t="n">
        <v>5</v>
      </c>
      <c r="B1389" s="23" t="n">
        <v>385</v>
      </c>
      <c r="C1389" s="23" t="n">
        <v>4385</v>
      </c>
      <c r="D1389" s="23" t="inlineStr">
        <is>
          <t>1003514020</t>
        </is>
      </c>
      <c r="E1389" s="11" t="inlineStr">
        <is>
          <t>Region X (Northern Mindanao)</t>
        </is>
      </c>
      <c r="F1389" s="11" t="inlineStr">
        <is>
          <t>Lanao del Norte</t>
        </is>
      </c>
      <c r="G1389" s="11" t="inlineStr">
        <is>
          <t>Munai</t>
        </is>
      </c>
      <c r="H1389" s="11" t="inlineStr">
        <is>
          <t>Old Poblacion</t>
        </is>
      </c>
      <c r="I1389" s="24" t="n">
        <v>8.006690000000001</v>
      </c>
      <c r="J1389" s="24" t="n">
        <v>124.0574</v>
      </c>
      <c r="K1389" s="23" t="inlineStr">
        <is>
          <t>R</t>
        </is>
      </c>
      <c r="L1389" s="25" t="n">
        <v>4145</v>
      </c>
      <c r="M1389" s="26" t="n">
        <v>4.2</v>
      </c>
      <c r="N1389" s="25">
        <f>ROUND(L1389/M1389, 0)</f>
        <v/>
      </c>
      <c r="O1389" s="25">
        <f>ROUND(N1389*'Methodology &amp; Assumptions'!$B$7, 0)</f>
        <v/>
      </c>
      <c r="P1389" s="23" t="inlineStr">
        <is>
          <t>Single Carrier (Band n50, 100MHz TDD)</t>
        </is>
      </c>
      <c r="Q1389" s="27">
        <f>ROUNDUP(O1389/'Methodology &amp; Assumptions'!$B$8, 0)</f>
        <v/>
      </c>
      <c r="R1389" s="27" t="n">
        <v>1</v>
      </c>
      <c r="S1389" s="26" t="n">
        <v>23.89</v>
      </c>
      <c r="T1389" s="26" t="n">
        <v>19.74</v>
      </c>
      <c r="U1389" s="11">
        <f>IF(S1389&lt;='Methodology &amp; Assumptions'!$B$10, "Direct Optical Drop (&lt;3km)", IF(S1389&lt;='Methodology &amp; Assumptions'!$B$9, "Near Optical / Microwave (&lt;5km)", "Starlink Business LEO Satellite Backhaul (&gt;5km)"))</f>
        <v/>
      </c>
      <c r="V1389" s="26" t="n">
        <v>61.82</v>
      </c>
      <c r="W1389" s="26" t="n">
        <v>54.39</v>
      </c>
      <c r="X1389" s="26">
        <f>ROUND(('Methodology &amp; Assumptions'!$B$5*V1389) + ('Methodology &amp; Assumptions'!$B$6*W1389), 2)</f>
        <v/>
      </c>
      <c r="Y1389" s="28" t="n">
        <v>17.4</v>
      </c>
      <c r="Z1389" s="11" t="inlineStr">
        <is>
          <t>Priority Tier 3 (Broadband Expansion)</t>
        </is>
      </c>
    </row>
    <row r="1390">
      <c r="A1390" s="23" t="n">
        <v>5</v>
      </c>
      <c r="B1390" s="23" t="n">
        <v>386</v>
      </c>
      <c r="C1390" s="23" t="n">
        <v>4386</v>
      </c>
      <c r="D1390" s="23" t="inlineStr">
        <is>
          <t>1705305012</t>
        </is>
      </c>
      <c r="E1390" s="11" t="inlineStr">
        <is>
          <t>MIMAROPA Region</t>
        </is>
      </c>
      <c r="F1390" s="11" t="inlineStr">
        <is>
          <t>Palawan</t>
        </is>
      </c>
      <c r="G1390" s="11" t="inlineStr">
        <is>
          <t>Bataraza</t>
        </is>
      </c>
      <c r="H1390" s="11" t="inlineStr">
        <is>
          <t>Puring</t>
        </is>
      </c>
      <c r="I1390" s="24" t="n">
        <v>8.384555000000001</v>
      </c>
      <c r="J1390" s="24" t="n">
        <v>117.225312</v>
      </c>
      <c r="K1390" s="23" t="inlineStr">
        <is>
          <t>R</t>
        </is>
      </c>
      <c r="L1390" s="25" t="n">
        <v>1646</v>
      </c>
      <c r="M1390" s="26" t="n">
        <v>3.9</v>
      </c>
      <c r="N1390" s="25">
        <f>ROUND(L1390/M1390, 0)</f>
        <v/>
      </c>
      <c r="O1390" s="25">
        <f>ROUND(N1390*'Methodology &amp; Assumptions'!$B$7, 0)</f>
        <v/>
      </c>
      <c r="P1390" s="23" t="inlineStr">
        <is>
          <t>Single Carrier (Band n50, 100MHz TDD)</t>
        </is>
      </c>
      <c r="Q1390" s="27">
        <f>ROUNDUP(O1390/'Methodology &amp; Assumptions'!$B$8, 0)</f>
        <v/>
      </c>
      <c r="R1390" s="27" t="n">
        <v>1</v>
      </c>
      <c r="S1390" s="26" t="n">
        <v>223.98</v>
      </c>
      <c r="T1390" s="26" t="n">
        <v>226.26</v>
      </c>
      <c r="U1390" s="11">
        <f>IF(S1390&lt;='Methodology &amp; Assumptions'!$B$10, "Direct Optical Drop (&lt;3km)", IF(S1390&lt;='Methodology &amp; Assumptions'!$B$9, "Near Optical / Microwave (&lt;5km)", "Starlink Business LEO Satellite Backhaul (&gt;5km)"))</f>
        <v/>
      </c>
      <c r="V1390" s="26" t="n">
        <v>46.81</v>
      </c>
      <c r="W1390" s="26" t="n">
        <v>69.39</v>
      </c>
      <c r="X1390" s="26">
        <f>ROUND(('Methodology &amp; Assumptions'!$B$5*V1390) + ('Methodology &amp; Assumptions'!$B$6*W1390), 2)</f>
        <v/>
      </c>
      <c r="Y1390" s="28" t="n">
        <v>15</v>
      </c>
      <c r="Z1390" s="11" t="inlineStr">
        <is>
          <t>Priority Tier 3 (Broadband Expansion)</t>
        </is>
      </c>
    </row>
    <row r="1391">
      <c r="A1391" s="23" t="n">
        <v>5</v>
      </c>
      <c r="B1391" s="23" t="n">
        <v>387</v>
      </c>
      <c r="C1391" s="23" t="n">
        <v>4387</v>
      </c>
      <c r="D1391" s="23" t="inlineStr">
        <is>
          <t>1380614009</t>
        </is>
      </c>
      <c r="E1391" s="11" t="inlineStr">
        <is>
          <t>National Capital Region (NCR)</t>
        </is>
      </c>
      <c r="F1391" s="11" t="inlineStr">
        <is>
          <t>First District (Not a Province)</t>
        </is>
      </c>
      <c r="G1391" s="11" t="inlineStr">
        <is>
          <t>City of Manila</t>
        </is>
      </c>
      <c r="H1391" s="11" t="inlineStr">
        <is>
          <t>Barangay 752</t>
        </is>
      </c>
      <c r="I1391" s="24" t="n">
        <v>14.56768</v>
      </c>
      <c r="J1391" s="24" t="n">
        <v>120.999641</v>
      </c>
      <c r="K1391" s="23" t="inlineStr">
        <is>
          <t>U</t>
        </is>
      </c>
      <c r="L1391" s="25" t="n">
        <v>782</v>
      </c>
      <c r="M1391" s="26" t="n">
        <v>3.87</v>
      </c>
      <c r="N1391" s="25">
        <f>ROUND(L1391/M1391, 0)</f>
        <v/>
      </c>
      <c r="O1391" s="25">
        <f>ROUND(N1391*'Methodology &amp; Assumptions'!$B$7, 0)</f>
        <v/>
      </c>
      <c r="P1391" s="23" t="inlineStr">
        <is>
          <t>Single Carrier (Band n50, 100MHz TDD)</t>
        </is>
      </c>
      <c r="Q1391" s="27">
        <f>ROUNDUP(O1391/'Methodology &amp; Assumptions'!$B$8, 0)</f>
        <v/>
      </c>
      <c r="R1391" s="27" t="n">
        <v>1</v>
      </c>
      <c r="S1391" s="26" t="n">
        <v>0.76</v>
      </c>
      <c r="T1391" s="26" t="n">
        <v>0.51</v>
      </c>
      <c r="U1391" s="11">
        <f>IF(S1391&lt;='Methodology &amp; Assumptions'!$B$10, "Direct Optical Drop (&lt;3km)", IF(S1391&lt;='Methodology &amp; Assumptions'!$B$9, "Near Optical / Microwave (&lt;5km)", "Starlink Business LEO Satellite Backhaul (&gt;5km)"))</f>
        <v/>
      </c>
      <c r="V1391" s="26" t="n">
        <v>47.63</v>
      </c>
      <c r="W1391" s="26" t="n">
        <v>68.56</v>
      </c>
      <c r="X1391" s="26">
        <f>ROUND(('Methodology &amp; Assumptions'!$B$5*V1391) + ('Methodology &amp; Assumptions'!$B$6*W1391), 2)</f>
        <v/>
      </c>
      <c r="Y1391" s="28" t="n">
        <v>10.9</v>
      </c>
      <c r="Z1391" s="11" t="inlineStr">
        <is>
          <t>Priority Tier 3 (Broadband Expansion)</t>
        </is>
      </c>
    </row>
    <row r="1392">
      <c r="A1392" s="23" t="n">
        <v>5</v>
      </c>
      <c r="B1392" s="23" t="n">
        <v>388</v>
      </c>
      <c r="C1392" s="23" t="n">
        <v>4388</v>
      </c>
      <c r="D1392" s="23" t="inlineStr">
        <is>
          <t>1381100112</t>
        </is>
      </c>
      <c r="E1392" s="11" t="inlineStr">
        <is>
          <t>National Capital Region (NCR)</t>
        </is>
      </c>
      <c r="F1392" s="11" t="inlineStr">
        <is>
          <t>Fourth District (Not a Province)</t>
        </is>
      </c>
      <c r="G1392" s="11" t="inlineStr">
        <is>
          <t>Pasay City</t>
        </is>
      </c>
      <c r="H1392" s="11" t="inlineStr">
        <is>
          <t>Barangay 112</t>
        </is>
      </c>
      <c r="I1392" s="24" t="n">
        <v>14.543545</v>
      </c>
      <c r="J1392" s="24" t="n">
        <v>121.003654</v>
      </c>
      <c r="K1392" s="23" t="inlineStr">
        <is>
          <t>U</t>
        </is>
      </c>
      <c r="L1392" s="25" t="n">
        <v>659</v>
      </c>
      <c r="M1392" s="26" t="n">
        <v>3.29</v>
      </c>
      <c r="N1392" s="25">
        <f>ROUND(L1392/M1392, 0)</f>
        <v/>
      </c>
      <c r="O1392" s="25">
        <f>ROUND(N1392*'Methodology &amp; Assumptions'!$B$7, 0)</f>
        <v/>
      </c>
      <c r="P1392" s="23" t="inlineStr">
        <is>
          <t>Single Carrier (Band n50, 100MHz TDD)</t>
        </is>
      </c>
      <c r="Q1392" s="27">
        <f>ROUNDUP(O1392/'Methodology &amp; Assumptions'!$B$8, 0)</f>
        <v/>
      </c>
      <c r="R1392" s="27" t="n">
        <v>1</v>
      </c>
      <c r="S1392" s="26" t="n">
        <v>1</v>
      </c>
      <c r="T1392" s="26" t="n">
        <v>0.43</v>
      </c>
      <c r="U1392" s="11">
        <f>IF(S1392&lt;='Methodology &amp; Assumptions'!$B$10, "Direct Optical Drop (&lt;3km)", IF(S1392&lt;='Methodology &amp; Assumptions'!$B$9, "Near Optical / Microwave (&lt;5km)", "Starlink Business LEO Satellite Backhaul (&gt;5km)"))</f>
        <v/>
      </c>
      <c r="V1392" s="26" t="n">
        <v>46.91</v>
      </c>
      <c r="W1392" s="26" t="n">
        <v>69.27</v>
      </c>
      <c r="X1392" s="26">
        <f>ROUND(('Methodology &amp; Assumptions'!$B$5*V1392) + ('Methodology &amp; Assumptions'!$B$6*W1392), 2)</f>
        <v/>
      </c>
      <c r="Y1392" s="28" t="n">
        <v>10.9</v>
      </c>
      <c r="Z1392" s="11" t="inlineStr">
        <is>
          <t>Priority Tier 3 (Broadband Expansion)</t>
        </is>
      </c>
    </row>
    <row r="1393">
      <c r="A1393" s="23" t="n">
        <v>5</v>
      </c>
      <c r="B1393" s="23" t="n">
        <v>389</v>
      </c>
      <c r="C1393" s="23" t="n">
        <v>4389</v>
      </c>
      <c r="D1393" s="23" t="inlineStr">
        <is>
          <t>0401020017</t>
        </is>
      </c>
      <c r="E1393" s="11" t="inlineStr">
        <is>
          <t>Region IV-A (CALABARZON)</t>
        </is>
      </c>
      <c r="F1393" s="11" t="inlineStr">
        <is>
          <t>Batangas</t>
        </is>
      </c>
      <c r="G1393" s="11" t="inlineStr">
        <is>
          <t>Padre Garcia</t>
        </is>
      </c>
      <c r="H1393" s="11" t="inlineStr">
        <is>
          <t>Cawongan</t>
        </is>
      </c>
      <c r="I1393" s="24" t="n">
        <v>13.87189</v>
      </c>
      <c r="J1393" s="24" t="n">
        <v>121.224361</v>
      </c>
      <c r="K1393" s="23" t="inlineStr">
        <is>
          <t>R</t>
        </is>
      </c>
      <c r="L1393" s="25" t="n">
        <v>4376</v>
      </c>
      <c r="M1393" s="26" t="n">
        <v>3.6</v>
      </c>
      <c r="N1393" s="25">
        <f>ROUND(L1393/M1393, 0)</f>
        <v/>
      </c>
      <c r="O1393" s="25">
        <f>ROUND(N1393*'Methodology &amp; Assumptions'!$B$7, 0)</f>
        <v/>
      </c>
      <c r="P1393" s="23" t="inlineStr">
        <is>
          <t>Single Carrier (Band n50, 100MHz TDD)</t>
        </is>
      </c>
      <c r="Q1393" s="27">
        <f>ROUNDUP(O1393/'Methodology &amp; Assumptions'!$B$8, 0)</f>
        <v/>
      </c>
      <c r="R1393" s="27" t="n">
        <v>1</v>
      </c>
      <c r="S1393" s="26" t="n">
        <v>1.64</v>
      </c>
      <c r="T1393" s="26" t="n">
        <v>1.27</v>
      </c>
      <c r="U1393" s="11">
        <f>IF(S1393&lt;='Methodology &amp; Assumptions'!$B$10, "Direct Optical Drop (&lt;3km)", IF(S1393&lt;='Methodology &amp; Assumptions'!$B$9, "Near Optical / Microwave (&lt;5km)", "Starlink Business LEO Satellite Backhaul (&gt;5km)"))</f>
        <v/>
      </c>
      <c r="V1393" s="26" t="n">
        <v>82.45999999999999</v>
      </c>
      <c r="W1393" s="26" t="n">
        <v>33.71</v>
      </c>
      <c r="X1393" s="26">
        <f>ROUND(('Methodology &amp; Assumptions'!$B$5*V1393) + ('Methodology &amp; Assumptions'!$B$6*W1393), 2)</f>
        <v/>
      </c>
      <c r="Y1393" s="28" t="n">
        <v>7.2</v>
      </c>
      <c r="Z1393" s="11" t="inlineStr">
        <is>
          <t>Priority Tier 3 (Broadband Expansion)</t>
        </is>
      </c>
    </row>
    <row r="1394">
      <c r="A1394" s="23" t="n">
        <v>5</v>
      </c>
      <c r="B1394" s="23" t="n">
        <v>390</v>
      </c>
      <c r="C1394" s="23" t="n">
        <v>4390</v>
      </c>
      <c r="D1394" s="23" t="inlineStr">
        <is>
          <t>0205005002</t>
        </is>
      </c>
      <c r="E1394" s="11" t="inlineStr">
        <is>
          <t>Region II (Cagayan Valley)</t>
        </is>
      </c>
      <c r="F1394" s="11" t="inlineStr">
        <is>
          <t>Nueva Vizcaya</t>
        </is>
      </c>
      <c r="G1394" s="11" t="inlineStr">
        <is>
          <t>Bayombong</t>
        </is>
      </c>
      <c r="H1394" s="11" t="inlineStr">
        <is>
          <t>Bonfal Proper</t>
        </is>
      </c>
      <c r="I1394" s="24" t="n">
        <v>16.49928</v>
      </c>
      <c r="J1394" s="24" t="n">
        <v>121.176844</v>
      </c>
      <c r="K1394" s="23" t="inlineStr">
        <is>
          <t>R</t>
        </is>
      </c>
      <c r="L1394" s="25" t="n">
        <v>5513</v>
      </c>
      <c r="M1394" s="26" t="n">
        <v>3.8</v>
      </c>
      <c r="N1394" s="25">
        <f>ROUND(L1394/M1394, 0)</f>
        <v/>
      </c>
      <c r="O1394" s="25">
        <f>ROUND(N1394*'Methodology &amp; Assumptions'!$B$7, 0)</f>
        <v/>
      </c>
      <c r="P1394" s="23" t="inlineStr">
        <is>
          <t>Single Carrier (Band n50, 100MHz TDD)</t>
        </is>
      </c>
      <c r="Q1394" s="27">
        <f>ROUNDUP(O1394/'Methodology &amp; Assumptions'!$B$8, 0)</f>
        <v/>
      </c>
      <c r="R1394" s="27" t="n">
        <v>1</v>
      </c>
      <c r="S1394" s="26" t="n">
        <v>1.72</v>
      </c>
      <c r="T1394" s="26" t="n">
        <v>0.63</v>
      </c>
      <c r="U1394" s="11">
        <f>IF(S1394&lt;='Methodology &amp; Assumptions'!$B$10, "Direct Optical Drop (&lt;3km)", IF(S1394&lt;='Methodology &amp; Assumptions'!$B$9, "Near Optical / Microwave (&lt;5km)", "Starlink Business LEO Satellite Backhaul (&gt;5km)"))</f>
        <v/>
      </c>
      <c r="V1394" s="26" t="n">
        <v>82.36</v>
      </c>
      <c r="W1394" s="26" t="n">
        <v>33.79</v>
      </c>
      <c r="X1394" s="26">
        <f>ROUND(('Methodology &amp; Assumptions'!$B$5*V1394) + ('Methodology &amp; Assumptions'!$B$6*W1394), 2)</f>
        <v/>
      </c>
      <c r="Y1394" s="28" t="n">
        <v>8.300000000000001</v>
      </c>
      <c r="Z1394" s="11" t="inlineStr">
        <is>
          <t>Priority Tier 3 (Broadband Expansion)</t>
        </is>
      </c>
    </row>
    <row r="1395">
      <c r="A1395" s="23" t="n">
        <v>5</v>
      </c>
      <c r="B1395" s="23" t="n">
        <v>391</v>
      </c>
      <c r="C1395" s="23" t="n">
        <v>4391</v>
      </c>
      <c r="D1395" s="23" t="inlineStr">
        <is>
          <t>0305411012</t>
        </is>
      </c>
      <c r="E1395" s="11" t="inlineStr">
        <is>
          <t>Region III (Central Luzon)</t>
        </is>
      </c>
      <c r="F1395" s="11" t="inlineStr">
        <is>
          <t>Pampanga</t>
        </is>
      </c>
      <c r="G1395" s="11" t="inlineStr">
        <is>
          <t>Magalang</t>
        </is>
      </c>
      <c r="H1395" s="11" t="inlineStr">
        <is>
          <t>San Miguel</t>
        </is>
      </c>
      <c r="I1395" s="24" t="n">
        <v>15.227052</v>
      </c>
      <c r="J1395" s="24" t="n">
        <v>120.661844</v>
      </c>
      <c r="K1395" s="23" t="inlineStr">
        <is>
          <t>R</t>
        </is>
      </c>
      <c r="L1395" s="25" t="n">
        <v>2960</v>
      </c>
      <c r="M1395" s="26" t="n">
        <v>4</v>
      </c>
      <c r="N1395" s="25">
        <f>ROUND(L1395/M1395, 0)</f>
        <v/>
      </c>
      <c r="O1395" s="25">
        <f>ROUND(N1395*'Methodology &amp; Assumptions'!$B$7, 0)</f>
        <v/>
      </c>
      <c r="P1395" s="23" t="inlineStr">
        <is>
          <t>Single Carrier (Band n50, 100MHz TDD)</t>
        </is>
      </c>
      <c r="Q1395" s="27">
        <f>ROUNDUP(O1395/'Methodology &amp; Assumptions'!$B$8, 0)</f>
        <v/>
      </c>
      <c r="R1395" s="27" t="n">
        <v>1</v>
      </c>
      <c r="S1395" s="26" t="n">
        <v>2.75</v>
      </c>
      <c r="T1395" s="26" t="n">
        <v>0.07000000000000001</v>
      </c>
      <c r="U1395" s="11">
        <f>IF(S1395&lt;='Methodology &amp; Assumptions'!$B$10, "Direct Optical Drop (&lt;3km)", IF(S1395&lt;='Methodology &amp; Assumptions'!$B$9, "Near Optical / Microwave (&lt;5km)", "Starlink Business LEO Satellite Backhaul (&gt;5km)"))</f>
        <v/>
      </c>
      <c r="V1395" s="26" t="n">
        <v>76.39</v>
      </c>
      <c r="W1395" s="26" t="n">
        <v>39.78</v>
      </c>
      <c r="X1395" s="26">
        <f>ROUND(('Methodology &amp; Assumptions'!$B$5*V1395) + ('Methodology &amp; Assumptions'!$B$6*W1395), 2)</f>
        <v/>
      </c>
      <c r="Y1395" s="28" t="n">
        <v>8.300000000000001</v>
      </c>
      <c r="Z1395" s="11" t="inlineStr">
        <is>
          <t>Priority Tier 3 (Broadband Expansion)</t>
        </is>
      </c>
    </row>
    <row r="1396">
      <c r="A1396" s="23" t="n">
        <v>5</v>
      </c>
      <c r="B1396" s="23" t="n">
        <v>392</v>
      </c>
      <c r="C1396" s="23" t="n">
        <v>4392</v>
      </c>
      <c r="D1396" s="23" t="inlineStr">
        <is>
          <t>0402120001</t>
        </is>
      </c>
      <c r="E1396" s="11" t="inlineStr">
        <is>
          <t>Region IV-A (CALABARZON)</t>
        </is>
      </c>
      <c r="F1396" s="11" t="inlineStr">
        <is>
          <t>Cavite</t>
        </is>
      </c>
      <c r="G1396" s="11" t="inlineStr">
        <is>
          <t>Tanza</t>
        </is>
      </c>
      <c r="H1396" s="11" t="inlineStr">
        <is>
          <t>Amaya I</t>
        </is>
      </c>
      <c r="I1396" s="24" t="n">
        <v>14.382779</v>
      </c>
      <c r="J1396" s="24" t="n">
        <v>120.834111</v>
      </c>
      <c r="K1396" s="23" t="inlineStr">
        <is>
          <t>U</t>
        </is>
      </c>
      <c r="L1396" s="25" t="n">
        <v>14142</v>
      </c>
      <c r="M1396" s="26" t="n">
        <v>3.4</v>
      </c>
      <c r="N1396" s="25">
        <f>ROUND(L1396/M1396, 0)</f>
        <v/>
      </c>
      <c r="O1396" s="25">
        <f>ROUND(N1396*'Methodology &amp; Assumptions'!$B$7, 0)</f>
        <v/>
      </c>
      <c r="P1396" s="23" t="inlineStr">
        <is>
          <t>Single Carrier (Band n50, 100MHz TDD)</t>
        </is>
      </c>
      <c r="Q1396" s="27">
        <f>ROUNDUP(O1396/'Methodology &amp; Assumptions'!$B$8, 0)</f>
        <v/>
      </c>
      <c r="R1396" s="27" t="n">
        <v>1</v>
      </c>
      <c r="S1396" s="26" t="n">
        <v>1.87</v>
      </c>
      <c r="T1396" s="26" t="n">
        <v>0.41</v>
      </c>
      <c r="U1396" s="11">
        <f>IF(S1396&lt;='Methodology &amp; Assumptions'!$B$10, "Direct Optical Drop (&lt;3km)", IF(S1396&lt;='Methodology &amp; Assumptions'!$B$9, "Near Optical / Microwave (&lt;5km)", "Starlink Business LEO Satellite Backhaul (&gt;5km)"))</f>
        <v/>
      </c>
      <c r="V1396" s="26" t="n">
        <v>74.48</v>
      </c>
      <c r="W1396" s="26" t="n">
        <v>41.68</v>
      </c>
      <c r="X1396" s="26">
        <f>ROUND(('Methodology &amp; Assumptions'!$B$5*V1396) + ('Methodology &amp; Assumptions'!$B$6*W1396), 2)</f>
        <v/>
      </c>
      <c r="Y1396" s="28" t="n">
        <v>7.2</v>
      </c>
      <c r="Z1396" s="11" t="inlineStr">
        <is>
          <t>Priority Tier 3 (Broadband Expansion)</t>
        </is>
      </c>
    </row>
    <row r="1397">
      <c r="A1397" s="23" t="n">
        <v>5</v>
      </c>
      <c r="B1397" s="23" t="n">
        <v>393</v>
      </c>
      <c r="C1397" s="23" t="n">
        <v>4393</v>
      </c>
      <c r="D1397" s="23" t="inlineStr">
        <is>
          <t>0401003018</t>
        </is>
      </c>
      <c r="E1397" s="11" t="inlineStr">
        <is>
          <t>Region IV-A (CALABARZON)</t>
        </is>
      </c>
      <c r="F1397" s="11" t="inlineStr">
        <is>
          <t>Batangas</t>
        </is>
      </c>
      <c r="G1397" s="11" t="inlineStr">
        <is>
          <t>Balayan</t>
        </is>
      </c>
      <c r="H1397" s="11" t="inlineStr">
        <is>
          <t>Calzada</t>
        </is>
      </c>
      <c r="I1397" s="24" t="n">
        <v>13.9486</v>
      </c>
      <c r="J1397" s="24" t="n">
        <v>120.7317</v>
      </c>
      <c r="K1397" s="23" t="inlineStr">
        <is>
          <t>U</t>
        </is>
      </c>
      <c r="L1397" s="25" t="n">
        <v>2073</v>
      </c>
      <c r="M1397" s="26" t="n">
        <v>3.6</v>
      </c>
      <c r="N1397" s="25">
        <f>ROUND(L1397/M1397, 0)</f>
        <v/>
      </c>
      <c r="O1397" s="25">
        <f>ROUND(N1397*'Methodology &amp; Assumptions'!$B$7, 0)</f>
        <v/>
      </c>
      <c r="P1397" s="23" t="inlineStr">
        <is>
          <t>Single Carrier (Band n50, 100MHz TDD)</t>
        </is>
      </c>
      <c r="Q1397" s="27">
        <f>ROUNDUP(O1397/'Methodology &amp; Assumptions'!$B$8, 0)</f>
        <v/>
      </c>
      <c r="R1397" s="27" t="n">
        <v>1</v>
      </c>
      <c r="S1397" s="26" t="n">
        <v>0.6899999999999999</v>
      </c>
      <c r="T1397" s="26" t="n">
        <v>0.16</v>
      </c>
      <c r="U1397" s="11">
        <f>IF(S1397&lt;='Methodology &amp; Assumptions'!$B$10, "Direct Optical Drop (&lt;3km)", IF(S1397&lt;='Methodology &amp; Assumptions'!$B$9, "Near Optical / Microwave (&lt;5km)", "Starlink Business LEO Satellite Backhaul (&gt;5km)"))</f>
        <v/>
      </c>
      <c r="V1397" s="26" t="n">
        <v>70.48</v>
      </c>
      <c r="W1397" s="26" t="n">
        <v>45.69</v>
      </c>
      <c r="X1397" s="26">
        <f>ROUND(('Methodology &amp; Assumptions'!$B$5*V1397) + ('Methodology &amp; Assumptions'!$B$6*W1397), 2)</f>
        <v/>
      </c>
      <c r="Y1397" s="28" t="n">
        <v>7.2</v>
      </c>
      <c r="Z1397" s="11" t="inlineStr">
        <is>
          <t>Priority Tier 3 (Broadband Expansion)</t>
        </is>
      </c>
    </row>
    <row r="1398">
      <c r="A1398" s="23" t="n">
        <v>5</v>
      </c>
      <c r="B1398" s="23" t="n">
        <v>394</v>
      </c>
      <c r="C1398" s="23" t="n">
        <v>4394</v>
      </c>
      <c r="D1398" s="23" t="inlineStr">
        <is>
          <t>1906614035</t>
        </is>
      </c>
      <c r="E1398" s="11" t="inlineStr">
        <is>
          <t>Bangsamoro Autonomous Region In Muslim Mindanao (BARMM)</t>
        </is>
      </c>
      <c r="F1398" s="11" t="inlineStr">
        <is>
          <t>Sulu</t>
        </is>
      </c>
      <c r="G1398" s="11" t="inlineStr">
        <is>
          <t>Tapul</t>
        </is>
      </c>
      <c r="H1398" s="11" t="inlineStr">
        <is>
          <t>Tulakan</t>
        </is>
      </c>
      <c r="I1398" s="24" t="n">
        <v>5.719744</v>
      </c>
      <c r="J1398" s="24" t="n">
        <v>120.934506</v>
      </c>
      <c r="K1398" s="23" t="inlineStr">
        <is>
          <t>R</t>
        </is>
      </c>
      <c r="L1398" s="25" t="n">
        <v>2038</v>
      </c>
      <c r="M1398" s="26" t="n">
        <v>6</v>
      </c>
      <c r="N1398" s="25">
        <f>ROUND(L1398/M1398, 0)</f>
        <v/>
      </c>
      <c r="O1398" s="25">
        <f>ROUND(N1398*'Methodology &amp; Assumptions'!$B$7, 0)</f>
        <v/>
      </c>
      <c r="P1398" s="23" t="inlineStr">
        <is>
          <t>Single Carrier (Band n50, 100MHz TDD)</t>
        </is>
      </c>
      <c r="Q1398" s="27">
        <f>ROUNDUP(O1398/'Methodology &amp; Assumptions'!$B$8, 0)</f>
        <v/>
      </c>
      <c r="R1398" s="27" t="n">
        <v>1</v>
      </c>
      <c r="S1398" s="26" t="n">
        <v>182.7</v>
      </c>
      <c r="T1398" s="26" t="n">
        <v>182.7</v>
      </c>
      <c r="U1398" s="11">
        <f>IF(S1398&lt;='Methodology &amp; Assumptions'!$B$10, "Direct Optical Drop (&lt;3km)", IF(S1398&lt;='Methodology &amp; Assumptions'!$B$9, "Near Optical / Microwave (&lt;5km)", "Starlink Business LEO Satellite Backhaul (&gt;5km)"))</f>
        <v/>
      </c>
      <c r="V1398" s="26" t="n">
        <v>44.6</v>
      </c>
      <c r="W1398" s="26" t="n">
        <v>71.55</v>
      </c>
      <c r="X1398" s="26">
        <f>ROUND(('Methodology &amp; Assumptions'!$B$5*V1398) + ('Methodology &amp; Assumptions'!$B$6*W1398), 2)</f>
        <v/>
      </c>
      <c r="Y1398" s="28" t="n">
        <v>11</v>
      </c>
      <c r="Z1398" s="11" t="inlineStr">
        <is>
          <t>Priority Tier 3 (Broadband Expansion)</t>
        </is>
      </c>
    </row>
    <row r="1399">
      <c r="A1399" s="23" t="n">
        <v>5</v>
      </c>
      <c r="B1399" s="23" t="n">
        <v>395</v>
      </c>
      <c r="C1399" s="23" t="n">
        <v>4395</v>
      </c>
      <c r="D1399" s="23" t="inlineStr">
        <is>
          <t>1606818017</t>
        </is>
      </c>
      <c r="E1399" s="11" t="inlineStr">
        <is>
          <t>Region XIII (Caraga)</t>
        </is>
      </c>
      <c r="F1399" s="11" t="inlineStr">
        <is>
          <t>Surigao del Sur</t>
        </is>
      </c>
      <c r="G1399" s="11" t="inlineStr">
        <is>
          <t>Tago</t>
        </is>
      </c>
      <c r="H1399" s="11" t="inlineStr">
        <is>
          <t>Mercedes</t>
        </is>
      </c>
      <c r="I1399" s="24" t="n">
        <v>9.00517</v>
      </c>
      <c r="J1399" s="24" t="n">
        <v>126.209</v>
      </c>
      <c r="K1399" s="23" t="inlineStr">
        <is>
          <t>R</t>
        </is>
      </c>
      <c r="L1399" s="25" t="n">
        <v>334</v>
      </c>
      <c r="M1399" s="26" t="n">
        <v>4.1</v>
      </c>
      <c r="N1399" s="25">
        <f>ROUND(L1399/M1399, 0)</f>
        <v/>
      </c>
      <c r="O1399" s="25">
        <f>ROUND(N1399*'Methodology &amp; Assumptions'!$B$7, 0)</f>
        <v/>
      </c>
      <c r="P1399" s="23" t="inlineStr">
        <is>
          <t>Single Carrier (Band n50, 100MHz TDD)</t>
        </is>
      </c>
      <c r="Q1399" s="27">
        <f>ROUNDUP(O1399/'Methodology &amp; Assumptions'!$B$8, 0)</f>
        <v/>
      </c>
      <c r="R1399" s="27" t="n">
        <v>1</v>
      </c>
      <c r="S1399" s="26" t="n">
        <v>8.08</v>
      </c>
      <c r="T1399" s="26" t="n">
        <v>2.51</v>
      </c>
      <c r="U1399" s="11">
        <f>IF(S1399&lt;='Methodology &amp; Assumptions'!$B$10, "Direct Optical Drop (&lt;3km)", IF(S1399&lt;='Methodology &amp; Assumptions'!$B$9, "Near Optical / Microwave (&lt;5km)", "Starlink Business LEO Satellite Backhaul (&gt;5km)"))</f>
        <v/>
      </c>
      <c r="V1399" s="26" t="n">
        <v>43.98</v>
      </c>
      <c r="W1399" s="26" t="n">
        <v>72.19</v>
      </c>
      <c r="X1399" s="26">
        <f>ROUND(('Methodology &amp; Assumptions'!$B$5*V1399) + ('Methodology &amp; Assumptions'!$B$6*W1399), 2)</f>
        <v/>
      </c>
      <c r="Y1399" s="28" t="n">
        <v>17.4</v>
      </c>
      <c r="Z1399" s="11" t="inlineStr">
        <is>
          <t>Priority Tier 3 (Broadband Expansion)</t>
        </is>
      </c>
    </row>
    <row r="1400">
      <c r="A1400" s="23" t="n">
        <v>5</v>
      </c>
      <c r="B1400" s="23" t="n">
        <v>396</v>
      </c>
      <c r="C1400" s="23" t="n">
        <v>4396</v>
      </c>
      <c r="D1400" s="23" t="inlineStr">
        <is>
          <t>0702245008</t>
        </is>
      </c>
      <c r="E1400" s="11" t="inlineStr">
        <is>
          <t>Region VII (Central Visayas)</t>
        </is>
      </c>
      <c r="F1400" s="11" t="inlineStr">
        <is>
          <t>Cebu</t>
        </is>
      </c>
      <c r="G1400" s="11" t="inlineStr">
        <is>
          <t>Santander</t>
        </is>
      </c>
      <c r="H1400" s="11" t="inlineStr">
        <is>
          <t>Poblacion</t>
        </is>
      </c>
      <c r="I1400" s="24" t="n">
        <v>9.417149999999999</v>
      </c>
      <c r="J1400" s="24" t="n">
        <v>123.33355</v>
      </c>
      <c r="K1400" s="23" t="inlineStr">
        <is>
          <t>R</t>
        </is>
      </c>
      <c r="L1400" s="25" t="n">
        <v>2968</v>
      </c>
      <c r="M1400" s="26" t="n">
        <v>3.8</v>
      </c>
      <c r="N1400" s="25">
        <f>ROUND(L1400/M1400, 0)</f>
        <v/>
      </c>
      <c r="O1400" s="25">
        <f>ROUND(N1400*'Methodology &amp; Assumptions'!$B$7, 0)</f>
        <v/>
      </c>
      <c r="P1400" s="23" t="inlineStr">
        <is>
          <t>Single Carrier (Band n50, 100MHz TDD)</t>
        </is>
      </c>
      <c r="Q1400" s="27">
        <f>ROUNDUP(O1400/'Methodology &amp; Assumptions'!$B$8, 0)</f>
        <v/>
      </c>
      <c r="R1400" s="27" t="n">
        <v>1</v>
      </c>
      <c r="S1400" s="26" t="n">
        <v>0.24</v>
      </c>
      <c r="T1400" s="26" t="n">
        <v>0.24</v>
      </c>
      <c r="U1400" s="11">
        <f>IF(S1400&lt;='Methodology &amp; Assumptions'!$B$10, "Direct Optical Drop (&lt;3km)", IF(S1400&lt;='Methodology &amp; Assumptions'!$B$9, "Near Optical / Microwave (&lt;5km)", "Starlink Business LEO Satellite Backhaul (&gt;5km)"))</f>
        <v/>
      </c>
      <c r="V1400" s="26" t="n">
        <v>87.81</v>
      </c>
      <c r="W1400" s="26" t="n">
        <v>28.34</v>
      </c>
      <c r="X1400" s="26">
        <f>ROUND(('Methodology &amp; Assumptions'!$B$5*V1400) + ('Methodology &amp; Assumptions'!$B$6*W1400), 2)</f>
        <v/>
      </c>
      <c r="Y1400" s="28" t="n">
        <v>23.7</v>
      </c>
      <c r="Z1400" s="11" t="inlineStr">
        <is>
          <t>Priority Tier 3 (Broadband Expansion)</t>
        </is>
      </c>
    </row>
    <row r="1401">
      <c r="A1401" s="23" t="n">
        <v>5</v>
      </c>
      <c r="B1401" s="23" t="n">
        <v>397</v>
      </c>
      <c r="C1401" s="23" t="n">
        <v>4397</v>
      </c>
      <c r="D1401" s="23" t="inlineStr">
        <is>
          <t>0306916082</t>
        </is>
      </c>
      <c r="E1401" s="11" t="inlineStr">
        <is>
          <t>Region III (Central Luzon)</t>
        </is>
      </c>
      <c r="F1401" s="11" t="inlineStr">
        <is>
          <t>Tarlac</t>
        </is>
      </c>
      <c r="G1401" s="11" t="inlineStr">
        <is>
          <t>City of Tarlac</t>
        </is>
      </c>
      <c r="H1401" s="11" t="inlineStr">
        <is>
          <t>Sapang Tagalog</t>
        </is>
      </c>
      <c r="I1401" s="24" t="n">
        <v>15.422013</v>
      </c>
      <c r="J1401" s="24" t="n">
        <v>120.598638</v>
      </c>
      <c r="K1401" s="23" t="inlineStr">
        <is>
          <t>U</t>
        </is>
      </c>
      <c r="L1401" s="25" t="n">
        <v>5451</v>
      </c>
      <c r="M1401" s="26" t="n">
        <v>3.9</v>
      </c>
      <c r="N1401" s="25">
        <f>ROUND(L1401/M1401, 0)</f>
        <v/>
      </c>
      <c r="O1401" s="25">
        <f>ROUND(N1401*'Methodology &amp; Assumptions'!$B$7, 0)</f>
        <v/>
      </c>
      <c r="P1401" s="23" t="inlineStr">
        <is>
          <t>Single Carrier (Band n50, 100MHz TDD)</t>
        </is>
      </c>
      <c r="Q1401" s="27">
        <f>ROUNDUP(O1401/'Methodology &amp; Assumptions'!$B$8, 0)</f>
        <v/>
      </c>
      <c r="R1401" s="27" t="n">
        <v>1</v>
      </c>
      <c r="S1401" s="26" t="n">
        <v>0.3</v>
      </c>
      <c r="T1401" s="26" t="n">
        <v>0.13</v>
      </c>
      <c r="U1401" s="11">
        <f>IF(S1401&lt;='Methodology &amp; Assumptions'!$B$10, "Direct Optical Drop (&lt;3km)", IF(S1401&lt;='Methodology &amp; Assumptions'!$B$9, "Near Optical / Microwave (&lt;5km)", "Starlink Business LEO Satellite Backhaul (&gt;5km)"))</f>
        <v/>
      </c>
      <c r="V1401" s="26" t="n">
        <v>78.43000000000001</v>
      </c>
      <c r="W1401" s="26" t="n">
        <v>37.71</v>
      </c>
      <c r="X1401" s="26">
        <f>ROUND(('Methodology &amp; Assumptions'!$B$5*V1401) + ('Methodology &amp; Assumptions'!$B$6*W1401), 2)</f>
        <v/>
      </c>
      <c r="Y1401" s="28" t="n">
        <v>8.300000000000001</v>
      </c>
      <c r="Z1401" s="11" t="inlineStr">
        <is>
          <t>Priority Tier 3 (Broadband Expansion)</t>
        </is>
      </c>
    </row>
    <row r="1402">
      <c r="A1402" s="23" t="n">
        <v>5</v>
      </c>
      <c r="B1402" s="23" t="n">
        <v>398</v>
      </c>
      <c r="C1402" s="23" t="n">
        <v>4398</v>
      </c>
      <c r="D1402" s="23" t="inlineStr">
        <is>
          <t>0203101002</t>
        </is>
      </c>
      <c r="E1402" s="11" t="inlineStr">
        <is>
          <t>Region II (Cagayan Valley)</t>
        </is>
      </c>
      <c r="F1402" s="11" t="inlineStr">
        <is>
          <t>Isabela</t>
        </is>
      </c>
      <c r="G1402" s="11" t="inlineStr">
        <is>
          <t>Alicia</t>
        </is>
      </c>
      <c r="H1402" s="11" t="inlineStr">
        <is>
          <t>Antonino</t>
        </is>
      </c>
      <c r="I1402" s="24" t="n">
        <v>16.782376</v>
      </c>
      <c r="J1402" s="24" t="n">
        <v>121.69776</v>
      </c>
      <c r="K1402" s="23" t="inlineStr">
        <is>
          <t>U</t>
        </is>
      </c>
      <c r="L1402" s="25" t="n">
        <v>4886</v>
      </c>
      <c r="M1402" s="26" t="n">
        <v>3.8</v>
      </c>
      <c r="N1402" s="25">
        <f>ROUND(L1402/M1402, 0)</f>
        <v/>
      </c>
      <c r="O1402" s="25">
        <f>ROUND(N1402*'Methodology &amp; Assumptions'!$B$7, 0)</f>
        <v/>
      </c>
      <c r="P1402" s="23" t="inlineStr">
        <is>
          <t>Single Carrier (Band n50, 100MHz TDD)</t>
        </is>
      </c>
      <c r="Q1402" s="27">
        <f>ROUNDUP(O1402/'Methodology &amp; Assumptions'!$B$8, 0)</f>
        <v/>
      </c>
      <c r="R1402" s="27" t="n">
        <v>1</v>
      </c>
      <c r="S1402" s="26" t="n">
        <v>0.57</v>
      </c>
      <c r="T1402" s="26" t="n">
        <v>0.36</v>
      </c>
      <c r="U1402" s="11">
        <f>IF(S1402&lt;='Methodology &amp; Assumptions'!$B$10, "Direct Optical Drop (&lt;3km)", IF(S1402&lt;='Methodology &amp; Assumptions'!$B$9, "Near Optical / Microwave (&lt;5km)", "Starlink Business LEO Satellite Backhaul (&gt;5km)"))</f>
        <v/>
      </c>
      <c r="V1402" s="26" t="n">
        <v>78.43000000000001</v>
      </c>
      <c r="W1402" s="26" t="n">
        <v>37.7</v>
      </c>
      <c r="X1402" s="26">
        <f>ROUND(('Methodology &amp; Assumptions'!$B$5*V1402) + ('Methodology &amp; Assumptions'!$B$6*W1402), 2)</f>
        <v/>
      </c>
      <c r="Y1402" s="28" t="n">
        <v>8.300000000000001</v>
      </c>
      <c r="Z1402" s="11" t="inlineStr">
        <is>
          <t>Priority Tier 3 (Broadband Expansion)</t>
        </is>
      </c>
    </row>
    <row r="1403">
      <c r="A1403" s="23" t="n">
        <v>5</v>
      </c>
      <c r="B1403" s="23" t="n">
        <v>399</v>
      </c>
      <c r="C1403" s="23" t="n">
        <v>4399</v>
      </c>
      <c r="D1403" s="23" t="inlineStr">
        <is>
          <t>0307114004</t>
        </is>
      </c>
      <c r="E1403" s="11" t="inlineStr">
        <is>
          <t>Region III (Central Luzon)</t>
        </is>
      </c>
      <c r="F1403" s="11" t="inlineStr">
        <is>
          <t>Zambales</t>
        </is>
      </c>
      <c r="G1403" s="11" t="inlineStr">
        <is>
          <t>Subic</t>
        </is>
      </c>
      <c r="H1403" s="11" t="inlineStr">
        <is>
          <t>Baraca-Camachile</t>
        </is>
      </c>
      <c r="I1403" s="24" t="n">
        <v>14.877061</v>
      </c>
      <c r="J1403" s="24" t="n">
        <v>120.233918</v>
      </c>
      <c r="K1403" s="23" t="inlineStr">
        <is>
          <t>U</t>
        </is>
      </c>
      <c r="L1403" s="25" t="n">
        <v>3533</v>
      </c>
      <c r="M1403" s="26" t="n">
        <v>3.8</v>
      </c>
      <c r="N1403" s="25">
        <f>ROUND(L1403/M1403, 0)</f>
        <v/>
      </c>
      <c r="O1403" s="25">
        <f>ROUND(N1403*'Methodology &amp; Assumptions'!$B$7, 0)</f>
        <v/>
      </c>
      <c r="P1403" s="23" t="inlineStr">
        <is>
          <t>Single Carrier (Band n50, 100MHz TDD)</t>
        </is>
      </c>
      <c r="Q1403" s="27">
        <f>ROUNDUP(O1403/'Methodology &amp; Assumptions'!$B$8, 0)</f>
        <v/>
      </c>
      <c r="R1403" s="27" t="n">
        <v>1</v>
      </c>
      <c r="S1403" s="26" t="n">
        <v>1.4</v>
      </c>
      <c r="T1403" s="26" t="n">
        <v>0.16</v>
      </c>
      <c r="U1403" s="11">
        <f>IF(S1403&lt;='Methodology &amp; Assumptions'!$B$10, "Direct Optical Drop (&lt;3km)", IF(S1403&lt;='Methodology &amp; Assumptions'!$B$9, "Near Optical / Microwave (&lt;5km)", "Starlink Business LEO Satellite Backhaul (&gt;5km)"))</f>
        <v/>
      </c>
      <c r="V1403" s="26" t="n">
        <v>76.33</v>
      </c>
      <c r="W1403" s="26" t="n">
        <v>39.81</v>
      </c>
      <c r="X1403" s="26">
        <f>ROUND(('Methodology &amp; Assumptions'!$B$5*V1403) + ('Methodology &amp; Assumptions'!$B$6*W1403), 2)</f>
        <v/>
      </c>
      <c r="Y1403" s="28" t="n">
        <v>8.300000000000001</v>
      </c>
      <c r="Z1403" s="11" t="inlineStr">
        <is>
          <t>Priority Tier 3 (Broadband Expansion)</t>
        </is>
      </c>
    </row>
    <row r="1404">
      <c r="A1404" s="23" t="n">
        <v>5</v>
      </c>
      <c r="B1404" s="23" t="n">
        <v>400</v>
      </c>
      <c r="C1404" s="23" t="n">
        <v>4400</v>
      </c>
      <c r="D1404" s="23" t="inlineStr">
        <is>
          <t>0300810003</t>
        </is>
      </c>
      <c r="E1404" s="11" t="inlineStr">
        <is>
          <t>Region III (Central Luzon)</t>
        </is>
      </c>
      <c r="F1404" s="11" t="inlineStr">
        <is>
          <t>Bataan</t>
        </is>
      </c>
      <c r="G1404" s="11" t="inlineStr">
        <is>
          <t>Orion</t>
        </is>
      </c>
      <c r="H1404" s="11" t="inlineStr">
        <is>
          <t>Balagtas</t>
        </is>
      </c>
      <c r="I1404" s="24" t="n">
        <v>14.626682</v>
      </c>
      <c r="J1404" s="24" t="n">
        <v>120.574949</v>
      </c>
      <c r="K1404" s="23" t="inlineStr">
        <is>
          <t>R</t>
        </is>
      </c>
      <c r="L1404" s="25" t="n">
        <v>2084</v>
      </c>
      <c r="M1404" s="26" t="n">
        <v>3.6</v>
      </c>
      <c r="N1404" s="25">
        <f>ROUND(L1404/M1404, 0)</f>
        <v/>
      </c>
      <c r="O1404" s="25">
        <f>ROUND(N1404*'Methodology &amp; Assumptions'!$B$7, 0)</f>
        <v/>
      </c>
      <c r="P1404" s="23" t="inlineStr">
        <is>
          <t>Single Carrier (Band n50, 100MHz TDD)</t>
        </is>
      </c>
      <c r="Q1404" s="27">
        <f>ROUNDUP(O1404/'Methodology &amp; Assumptions'!$B$8, 0)</f>
        <v/>
      </c>
      <c r="R1404" s="27" t="n">
        <v>1</v>
      </c>
      <c r="S1404" s="26" t="n">
        <v>1.33</v>
      </c>
      <c r="T1404" s="26" t="n">
        <v>0.09</v>
      </c>
      <c r="U1404" s="11">
        <f>IF(S1404&lt;='Methodology &amp; Assumptions'!$B$10, "Direct Optical Drop (&lt;3km)", IF(S1404&lt;='Methodology &amp; Assumptions'!$B$9, "Near Optical / Microwave (&lt;5km)", "Starlink Business LEO Satellite Backhaul (&gt;5km)"))</f>
        <v/>
      </c>
      <c r="V1404" s="26" t="n">
        <v>76.02</v>
      </c>
      <c r="W1404" s="26" t="n">
        <v>40.11</v>
      </c>
      <c r="X1404" s="26">
        <f>ROUND(('Methodology &amp; Assumptions'!$B$5*V1404) + ('Methodology &amp; Assumptions'!$B$6*W1404), 2)</f>
        <v/>
      </c>
      <c r="Y1404" s="28" t="n">
        <v>8.300000000000001</v>
      </c>
      <c r="Z1404" s="11" t="inlineStr">
        <is>
          <t>Priority Tier 3 (Broadband Expansion)</t>
        </is>
      </c>
    </row>
    <row r="1405">
      <c r="A1405" s="23" t="n">
        <v>5</v>
      </c>
      <c r="B1405" s="23" t="n">
        <v>401</v>
      </c>
      <c r="C1405" s="23" t="n">
        <v>4401</v>
      </c>
      <c r="D1405" s="23" t="inlineStr">
        <is>
          <t>1102319011</t>
        </is>
      </c>
      <c r="E1405" s="11" t="inlineStr">
        <is>
          <t>Region XI (Davao Region)</t>
        </is>
      </c>
      <c r="F1405" s="11" t="inlineStr">
        <is>
          <t>Davao del Norte</t>
        </is>
      </c>
      <c r="G1405" s="11" t="inlineStr">
        <is>
          <t>City of Tagum</t>
        </is>
      </c>
      <c r="H1405" s="11" t="inlineStr">
        <is>
          <t>Mankilam</t>
        </is>
      </c>
      <c r="I1405" s="24" t="n">
        <v>7.461087</v>
      </c>
      <c r="J1405" s="24" t="n">
        <v>125.785255</v>
      </c>
      <c r="K1405" s="23" t="inlineStr">
        <is>
          <t>U</t>
        </is>
      </c>
      <c r="L1405" s="25" t="n">
        <v>42039</v>
      </c>
      <c r="M1405" s="26" t="n">
        <v>3.7</v>
      </c>
      <c r="N1405" s="25">
        <f>ROUND(L1405/M1405, 0)</f>
        <v/>
      </c>
      <c r="O1405" s="25">
        <f>ROUND(N1405*'Methodology &amp; Assumptions'!$B$7, 0)</f>
        <v/>
      </c>
      <c r="P1405" s="23" t="inlineStr">
        <is>
          <t>Single Carrier (Band n50, 100MHz TDD)</t>
        </is>
      </c>
      <c r="Q1405" s="27">
        <f>ROUNDUP(O1405/'Methodology &amp; Assumptions'!$B$8, 0)</f>
        <v/>
      </c>
      <c r="R1405" s="27" t="n">
        <v>1</v>
      </c>
      <c r="S1405" s="26" t="n">
        <v>3.82</v>
      </c>
      <c r="T1405" s="26" t="n">
        <v>0.13</v>
      </c>
      <c r="U1405" s="11">
        <f>IF(S1405&lt;='Methodology &amp; Assumptions'!$B$10, "Direct Optical Drop (&lt;3km)", IF(S1405&lt;='Methodology &amp; Assumptions'!$B$9, "Near Optical / Microwave (&lt;5km)", "Starlink Business LEO Satellite Backhaul (&gt;5km)"))</f>
        <v/>
      </c>
      <c r="V1405" s="26" t="n">
        <v>69.70999999999999</v>
      </c>
      <c r="W1405" s="26" t="n">
        <v>46.42</v>
      </c>
      <c r="X1405" s="26">
        <f>ROUND(('Methodology &amp; Assumptions'!$B$5*V1405) + ('Methodology &amp; Assumptions'!$B$6*W1405), 2)</f>
        <v/>
      </c>
      <c r="Y1405" s="28" t="n">
        <v>17.4</v>
      </c>
      <c r="Z1405" s="11" t="inlineStr">
        <is>
          <t>Priority Tier 3 (Broadband Expansion)</t>
        </is>
      </c>
    </row>
    <row r="1406">
      <c r="A1406" s="23" t="n">
        <v>5</v>
      </c>
      <c r="B1406" s="23" t="n">
        <v>402</v>
      </c>
      <c r="C1406" s="23" t="n">
        <v>4402</v>
      </c>
      <c r="D1406" s="23" t="inlineStr">
        <is>
          <t>0402111020</t>
        </is>
      </c>
      <c r="E1406" s="11" t="inlineStr">
        <is>
          <t>Region IV-A (CALABARZON)</t>
        </is>
      </c>
      <c r="F1406" s="11" t="inlineStr">
        <is>
          <t>Cavite</t>
        </is>
      </c>
      <c r="G1406" s="11" t="inlineStr">
        <is>
          <t>Kawit</t>
        </is>
      </c>
      <c r="H1406" s="11" t="inlineStr">
        <is>
          <t>Tabon II</t>
        </is>
      </c>
      <c r="I1406" s="24" t="n">
        <v>14.442438</v>
      </c>
      <c r="J1406" s="24" t="n">
        <v>120.903698</v>
      </c>
      <c r="K1406" s="23" t="inlineStr">
        <is>
          <t>R</t>
        </is>
      </c>
      <c r="L1406" s="25" t="n">
        <v>1478</v>
      </c>
      <c r="M1406" s="26" t="n">
        <v>3.4</v>
      </c>
      <c r="N1406" s="25">
        <f>ROUND(L1406/M1406, 0)</f>
        <v/>
      </c>
      <c r="O1406" s="25">
        <f>ROUND(N1406*'Methodology &amp; Assumptions'!$B$7, 0)</f>
        <v/>
      </c>
      <c r="P1406" s="23" t="inlineStr">
        <is>
          <t>Single Carrier (Band n50, 100MHz TDD)</t>
        </is>
      </c>
      <c r="Q1406" s="27">
        <f>ROUNDUP(O1406/'Methodology &amp; Assumptions'!$B$8, 0)</f>
        <v/>
      </c>
      <c r="R1406" s="27" t="n">
        <v>1</v>
      </c>
      <c r="S1406" s="26" t="n">
        <v>2.65</v>
      </c>
      <c r="T1406" s="26" t="n">
        <v>0.67</v>
      </c>
      <c r="U1406" s="11">
        <f>IF(S1406&lt;='Methodology &amp; Assumptions'!$B$10, "Direct Optical Drop (&lt;3km)", IF(S1406&lt;='Methodology &amp; Assumptions'!$B$9, "Near Optical / Microwave (&lt;5km)", "Starlink Business LEO Satellite Backhaul (&gt;5km)"))</f>
        <v/>
      </c>
      <c r="V1406" s="26" t="n">
        <v>66.63</v>
      </c>
      <c r="W1406" s="26" t="n">
        <v>49.5</v>
      </c>
      <c r="X1406" s="26">
        <f>ROUND(('Methodology &amp; Assumptions'!$B$5*V1406) + ('Methodology &amp; Assumptions'!$B$6*W1406), 2)</f>
        <v/>
      </c>
      <c r="Y1406" s="28" t="n">
        <v>7.2</v>
      </c>
      <c r="Z1406" s="11" t="inlineStr">
        <is>
          <t>Priority Tier 3 (Broadband Expansion)</t>
        </is>
      </c>
    </row>
    <row r="1407">
      <c r="A1407" s="23" t="n">
        <v>5</v>
      </c>
      <c r="B1407" s="23" t="n">
        <v>403</v>
      </c>
      <c r="C1407" s="23" t="n">
        <v>4403</v>
      </c>
      <c r="D1407" s="23" t="inlineStr">
        <is>
          <t>0504106027</t>
        </is>
      </c>
      <c r="E1407" s="11" t="inlineStr">
        <is>
          <t>Region V (Bicol Region)</t>
        </is>
      </c>
      <c r="F1407" s="11" t="inlineStr">
        <is>
          <t>Masbate</t>
        </is>
      </c>
      <c r="G1407" s="11" t="inlineStr">
        <is>
          <t>Cawayan</t>
        </is>
      </c>
      <c r="H1407" s="11" t="inlineStr">
        <is>
          <t>Taberna</t>
        </is>
      </c>
      <c r="I1407" s="24" t="n">
        <v>12.093121</v>
      </c>
      <c r="J1407" s="24" t="n">
        <v>123.705091</v>
      </c>
      <c r="K1407" s="23" t="inlineStr">
        <is>
          <t>R</t>
        </is>
      </c>
      <c r="L1407" s="25" t="n">
        <v>1588</v>
      </c>
      <c r="M1407" s="26" t="n">
        <v>4.1</v>
      </c>
      <c r="N1407" s="25">
        <f>ROUND(L1407/M1407, 0)</f>
        <v/>
      </c>
      <c r="O1407" s="25">
        <f>ROUND(N1407*'Methodology &amp; Assumptions'!$B$7, 0)</f>
        <v/>
      </c>
      <c r="P1407" s="23" t="inlineStr">
        <is>
          <t>Single Carrier (Band n50, 100MHz TDD)</t>
        </is>
      </c>
      <c r="Q1407" s="27">
        <f>ROUNDUP(O1407/'Methodology &amp; Assumptions'!$B$8, 0)</f>
        <v/>
      </c>
      <c r="R1407" s="27" t="n">
        <v>1</v>
      </c>
      <c r="S1407" s="26" t="n">
        <v>17.01</v>
      </c>
      <c r="T1407" s="26" t="n">
        <v>25.45</v>
      </c>
      <c r="U1407" s="11">
        <f>IF(S1407&lt;='Methodology &amp; Assumptions'!$B$10, "Direct Optical Drop (&lt;3km)", IF(S1407&lt;='Methodology &amp; Assumptions'!$B$9, "Near Optical / Microwave (&lt;5km)", "Starlink Business LEO Satellite Backhaul (&gt;5km)"))</f>
        <v/>
      </c>
      <c r="V1407" s="26" t="n">
        <v>47.97</v>
      </c>
      <c r="W1407" s="26" t="n">
        <v>68.17</v>
      </c>
      <c r="X1407" s="26">
        <f>ROUND(('Methodology &amp; Assumptions'!$B$5*V1407) + ('Methodology &amp; Assumptions'!$B$6*W1407), 2)</f>
        <v/>
      </c>
      <c r="Y1407" s="28" t="n">
        <v>23.7</v>
      </c>
      <c r="Z1407" s="11" t="inlineStr">
        <is>
          <t>Priority Tier 3 (Broadband Expansion)</t>
        </is>
      </c>
    </row>
    <row r="1408">
      <c r="A1408" s="23" t="n">
        <v>5</v>
      </c>
      <c r="B1408" s="23" t="n">
        <v>404</v>
      </c>
      <c r="C1408" s="23" t="n">
        <v>4404</v>
      </c>
      <c r="D1408" s="23" t="inlineStr">
        <is>
          <t>1380614005</t>
        </is>
      </c>
      <c r="E1408" s="11" t="inlineStr">
        <is>
          <t>National Capital Region (NCR)</t>
        </is>
      </c>
      <c r="F1408" s="11" t="inlineStr">
        <is>
          <t>First District (Not a Province)</t>
        </is>
      </c>
      <c r="G1408" s="11" t="inlineStr">
        <is>
          <t>City of Manila</t>
        </is>
      </c>
      <c r="H1408" s="11" t="inlineStr">
        <is>
          <t>Barangay 748</t>
        </is>
      </c>
      <c r="I1408" s="24" t="n">
        <v>14.568792</v>
      </c>
      <c r="J1408" s="24" t="n">
        <v>121.000031</v>
      </c>
      <c r="K1408" s="23" t="inlineStr">
        <is>
          <t>U</t>
        </is>
      </c>
      <c r="L1408" s="25" t="n">
        <v>888</v>
      </c>
      <c r="M1408" s="26" t="n">
        <v>4.23</v>
      </c>
      <c r="N1408" s="25">
        <f>ROUND(L1408/M1408, 0)</f>
        <v/>
      </c>
      <c r="O1408" s="25">
        <f>ROUND(N1408*'Methodology &amp; Assumptions'!$B$7, 0)</f>
        <v/>
      </c>
      <c r="P1408" s="23" t="inlineStr">
        <is>
          <t>Single Carrier (Band n50, 100MHz TDD)</t>
        </is>
      </c>
      <c r="Q1408" s="27">
        <f>ROUNDUP(O1408/'Methodology &amp; Assumptions'!$B$8, 0)</f>
        <v/>
      </c>
      <c r="R1408" s="27" t="n">
        <v>1</v>
      </c>
      <c r="S1408" s="26" t="n">
        <v>0.72</v>
      </c>
      <c r="T1408" s="26" t="n">
        <v>0.5</v>
      </c>
      <c r="U1408" s="11">
        <f>IF(S1408&lt;='Methodology &amp; Assumptions'!$B$10, "Direct Optical Drop (&lt;3km)", IF(S1408&lt;='Methodology &amp; Assumptions'!$B$9, "Near Optical / Microwave (&lt;5km)", "Starlink Business LEO Satellite Backhaul (&gt;5km)"))</f>
        <v/>
      </c>
      <c r="V1408" s="26" t="n">
        <v>47.84</v>
      </c>
      <c r="W1408" s="26" t="n">
        <v>68.3</v>
      </c>
      <c r="X1408" s="26">
        <f>ROUND(('Methodology &amp; Assumptions'!$B$5*V1408) + ('Methodology &amp; Assumptions'!$B$6*W1408), 2)</f>
        <v/>
      </c>
      <c r="Y1408" s="28" t="n">
        <v>10.9</v>
      </c>
      <c r="Z1408" s="11" t="inlineStr">
        <is>
          <t>Priority Tier 3 (Broadband Expansion)</t>
        </is>
      </c>
    </row>
    <row r="1409">
      <c r="A1409" s="23" t="n">
        <v>5</v>
      </c>
      <c r="B1409" s="23" t="n">
        <v>405</v>
      </c>
      <c r="C1409" s="23" t="n">
        <v>4405</v>
      </c>
      <c r="D1409" s="23" t="inlineStr">
        <is>
          <t>0501606051</t>
        </is>
      </c>
      <c r="E1409" s="11" t="inlineStr">
        <is>
          <t>Region V (Bicol Region)</t>
        </is>
      </c>
      <c r="F1409" s="11" t="inlineStr">
        <is>
          <t>Camarines Norte</t>
        </is>
      </c>
      <c r="G1409" s="11" t="inlineStr">
        <is>
          <t>Labo</t>
        </is>
      </c>
      <c r="H1409" s="11" t="inlineStr">
        <is>
          <t>Talobatib</t>
        </is>
      </c>
      <c r="I1409" s="24" t="n">
        <v>14.181845</v>
      </c>
      <c r="J1409" s="24" t="n">
        <v>122.785056</v>
      </c>
      <c r="K1409" s="23" t="inlineStr">
        <is>
          <t>R</t>
        </is>
      </c>
      <c r="L1409" s="25" t="n">
        <v>3954</v>
      </c>
      <c r="M1409" s="26" t="n">
        <v>4</v>
      </c>
      <c r="N1409" s="25">
        <f>ROUND(L1409/M1409, 0)</f>
        <v/>
      </c>
      <c r="O1409" s="25">
        <f>ROUND(N1409*'Methodology &amp; Assumptions'!$B$7, 0)</f>
        <v/>
      </c>
      <c r="P1409" s="23" t="inlineStr">
        <is>
          <t>Single Carrier (Band n50, 100MHz TDD)</t>
        </is>
      </c>
      <c r="Q1409" s="27">
        <f>ROUNDUP(O1409/'Methodology &amp; Assumptions'!$B$8, 0)</f>
        <v/>
      </c>
      <c r="R1409" s="27" t="n">
        <v>1</v>
      </c>
      <c r="S1409" s="26" t="n">
        <v>0.47</v>
      </c>
      <c r="T1409" s="26" t="n">
        <v>1.63</v>
      </c>
      <c r="U1409" s="11">
        <f>IF(S1409&lt;='Methodology &amp; Assumptions'!$B$10, "Direct Optical Drop (&lt;3km)", IF(S1409&lt;='Methodology &amp; Assumptions'!$B$9, "Near Optical / Microwave (&lt;5km)", "Starlink Business LEO Satellite Backhaul (&gt;5km)"))</f>
        <v/>
      </c>
      <c r="V1409" s="26" t="n">
        <v>88.06</v>
      </c>
      <c r="W1409" s="26" t="n">
        <v>28.07</v>
      </c>
      <c r="X1409" s="26">
        <f>ROUND(('Methodology &amp; Assumptions'!$B$5*V1409) + ('Methodology &amp; Assumptions'!$B$6*W1409), 2)</f>
        <v/>
      </c>
      <c r="Y1409" s="28" t="n">
        <v>23.7</v>
      </c>
      <c r="Z1409" s="11" t="inlineStr">
        <is>
          <t>Priority Tier 3 (Broadband Expansion)</t>
        </is>
      </c>
    </row>
    <row r="1410">
      <c r="A1410" s="23" t="n">
        <v>5</v>
      </c>
      <c r="B1410" s="23" t="n">
        <v>406</v>
      </c>
      <c r="C1410" s="23" t="n">
        <v>4406</v>
      </c>
      <c r="D1410" s="23" t="inlineStr">
        <is>
          <t>1001314006</t>
        </is>
      </c>
      <c r="E1410" s="11" t="inlineStr">
        <is>
          <t>Region X (Northern Mindanao)</t>
        </is>
      </c>
      <c r="F1410" s="11" t="inlineStr">
        <is>
          <t>Bukidnon</t>
        </is>
      </c>
      <c r="G1410" s="11" t="inlineStr">
        <is>
          <t>Manolo Fortich</t>
        </is>
      </c>
      <c r="H1410" s="11" t="inlineStr">
        <is>
          <t>Diclum</t>
        </is>
      </c>
      <c r="I1410" s="24" t="n">
        <v>8.373182999999999</v>
      </c>
      <c r="J1410" s="24" t="n">
        <v>124.849698</v>
      </c>
      <c r="K1410" s="23" t="inlineStr">
        <is>
          <t>R</t>
        </is>
      </c>
      <c r="L1410" s="25" t="n">
        <v>5043</v>
      </c>
      <c r="M1410" s="26" t="n">
        <v>3.8</v>
      </c>
      <c r="N1410" s="25">
        <f>ROUND(L1410/M1410, 0)</f>
        <v/>
      </c>
      <c r="O1410" s="25">
        <f>ROUND(N1410*'Methodology &amp; Assumptions'!$B$7, 0)</f>
        <v/>
      </c>
      <c r="P1410" s="23" t="inlineStr">
        <is>
          <t>Single Carrier (Band n50, 100MHz TDD)</t>
        </is>
      </c>
      <c r="Q1410" s="27">
        <f>ROUNDUP(O1410/'Methodology &amp; Assumptions'!$B$8, 0)</f>
        <v/>
      </c>
      <c r="R1410" s="27" t="n">
        <v>1</v>
      </c>
      <c r="S1410" s="26" t="n">
        <v>0.41</v>
      </c>
      <c r="T1410" s="26" t="n">
        <v>0.14</v>
      </c>
      <c r="U1410" s="11">
        <f>IF(S1410&lt;='Methodology &amp; Assumptions'!$B$10, "Direct Optical Drop (&lt;3km)", IF(S1410&lt;='Methodology &amp; Assumptions'!$B$9, "Near Optical / Microwave (&lt;5km)", "Starlink Business LEO Satellite Backhaul (&gt;5km)"))</f>
        <v/>
      </c>
      <c r="V1410" s="26" t="n">
        <v>87.06999999999999</v>
      </c>
      <c r="W1410" s="26" t="n">
        <v>29.06</v>
      </c>
      <c r="X1410" s="26">
        <f>ROUND(('Methodology &amp; Assumptions'!$B$5*V1410) + ('Methodology &amp; Assumptions'!$B$6*W1410), 2)</f>
        <v/>
      </c>
      <c r="Y1410" s="28" t="n">
        <v>17.4</v>
      </c>
      <c r="Z1410" s="11" t="inlineStr">
        <is>
          <t>Priority Tier 3 (Broadband Expansion)</t>
        </is>
      </c>
    </row>
    <row r="1411">
      <c r="A1411" s="23" t="n">
        <v>5</v>
      </c>
      <c r="B1411" s="23" t="n">
        <v>407</v>
      </c>
      <c r="C1411" s="23" t="n">
        <v>4407</v>
      </c>
      <c r="D1411" s="23" t="inlineStr">
        <is>
          <t>0702243021</t>
        </is>
      </c>
      <c r="E1411" s="11" t="inlineStr">
        <is>
          <t>Region VII (Central Visayas)</t>
        </is>
      </c>
      <c r="F1411" s="11" t="inlineStr">
        <is>
          <t>Cebu</t>
        </is>
      </c>
      <c r="G1411" s="11" t="inlineStr">
        <is>
          <t>San Remigio</t>
        </is>
      </c>
      <c r="H1411" s="11" t="inlineStr">
        <is>
          <t>Punta</t>
        </is>
      </c>
      <c r="I1411" s="24" t="n">
        <v>11.100228</v>
      </c>
      <c r="J1411" s="24" t="n">
        <v>123.936484</v>
      </c>
      <c r="K1411" s="23" t="inlineStr">
        <is>
          <t>R</t>
        </is>
      </c>
      <c r="L1411" s="25" t="n">
        <v>3346</v>
      </c>
      <c r="M1411" s="26" t="n">
        <v>3.8</v>
      </c>
      <c r="N1411" s="25">
        <f>ROUND(L1411/M1411, 0)</f>
        <v/>
      </c>
      <c r="O1411" s="25">
        <f>ROUND(N1411*'Methodology &amp; Assumptions'!$B$7, 0)</f>
        <v/>
      </c>
      <c r="P1411" s="23" t="inlineStr">
        <is>
          <t>Single Carrier (Band n50, 100MHz TDD)</t>
        </is>
      </c>
      <c r="Q1411" s="27">
        <f>ROUNDUP(O1411/'Methodology &amp; Assumptions'!$B$8, 0)</f>
        <v/>
      </c>
      <c r="R1411" s="27" t="n">
        <v>1</v>
      </c>
      <c r="S1411" s="26" t="n">
        <v>1.99</v>
      </c>
      <c r="T1411" s="26" t="n">
        <v>1.95</v>
      </c>
      <c r="U1411" s="11">
        <f>IF(S1411&lt;='Methodology &amp; Assumptions'!$B$10, "Direct Optical Drop (&lt;3km)", IF(S1411&lt;='Methodology &amp; Assumptions'!$B$9, "Near Optical / Microwave (&lt;5km)", "Starlink Business LEO Satellite Backhaul (&gt;5km)"))</f>
        <v/>
      </c>
      <c r="V1411" s="26" t="n">
        <v>83.84999999999999</v>
      </c>
      <c r="W1411" s="26" t="n">
        <v>32.27</v>
      </c>
      <c r="X1411" s="26">
        <f>ROUND(('Methodology &amp; Assumptions'!$B$5*V1411) + ('Methodology &amp; Assumptions'!$B$6*W1411), 2)</f>
        <v/>
      </c>
      <c r="Y1411" s="28" t="n">
        <v>23.7</v>
      </c>
      <c r="Z1411" s="11" t="inlineStr">
        <is>
          <t>Priority Tier 3 (Broadband Expansion)</t>
        </is>
      </c>
    </row>
    <row r="1412">
      <c r="A1412" s="23" t="n">
        <v>5</v>
      </c>
      <c r="B1412" s="23" t="n">
        <v>408</v>
      </c>
      <c r="C1412" s="23" t="n">
        <v>4408</v>
      </c>
      <c r="D1412" s="23" t="inlineStr">
        <is>
          <t>0401004005</t>
        </is>
      </c>
      <c r="E1412" s="11" t="inlineStr">
        <is>
          <t>Region IV-A (CALABARZON)</t>
        </is>
      </c>
      <c r="F1412" s="11" t="inlineStr">
        <is>
          <t>Batangas</t>
        </is>
      </c>
      <c r="G1412" s="11" t="inlineStr">
        <is>
          <t>Balete</t>
        </is>
      </c>
      <c r="H1412" s="11" t="inlineStr">
        <is>
          <t>Makina</t>
        </is>
      </c>
      <c r="I1412" s="24" t="n">
        <v>14.021655</v>
      </c>
      <c r="J1412" s="24" t="n">
        <v>121.11089</v>
      </c>
      <c r="K1412" s="23" t="inlineStr">
        <is>
          <t>R</t>
        </is>
      </c>
      <c r="L1412" s="25" t="n">
        <v>3732</v>
      </c>
      <c r="M1412" s="26" t="n">
        <v>3.6</v>
      </c>
      <c r="N1412" s="25">
        <f>ROUND(L1412/M1412, 0)</f>
        <v/>
      </c>
      <c r="O1412" s="25">
        <f>ROUND(N1412*'Methodology &amp; Assumptions'!$B$7, 0)</f>
        <v/>
      </c>
      <c r="P1412" s="23" t="inlineStr">
        <is>
          <t>Single Carrier (Band n50, 100MHz TDD)</t>
        </is>
      </c>
      <c r="Q1412" s="27">
        <f>ROUNDUP(O1412/'Methodology &amp; Assumptions'!$B$8, 0)</f>
        <v/>
      </c>
      <c r="R1412" s="27" t="n">
        <v>1</v>
      </c>
      <c r="S1412" s="26" t="n">
        <v>1.55</v>
      </c>
      <c r="T1412" s="26" t="n">
        <v>5.49</v>
      </c>
      <c r="U1412" s="11">
        <f>IF(S1412&lt;='Methodology &amp; Assumptions'!$B$10, "Direct Optical Drop (&lt;3km)", IF(S1412&lt;='Methodology &amp; Assumptions'!$B$9, "Near Optical / Microwave (&lt;5km)", "Starlink Business LEO Satellite Backhaul (&gt;5km)"))</f>
        <v/>
      </c>
      <c r="V1412" s="26" t="n">
        <v>81.90000000000001</v>
      </c>
      <c r="W1412" s="26" t="n">
        <v>34.21</v>
      </c>
      <c r="X1412" s="26">
        <f>ROUND(('Methodology &amp; Assumptions'!$B$5*V1412) + ('Methodology &amp; Assumptions'!$B$6*W1412), 2)</f>
        <v/>
      </c>
      <c r="Y1412" s="28" t="n">
        <v>7.2</v>
      </c>
      <c r="Z1412" s="11" t="inlineStr">
        <is>
          <t>Priority Tier 3 (Broadband Expansion)</t>
        </is>
      </c>
    </row>
    <row r="1413">
      <c r="A1413" s="23" t="n">
        <v>5</v>
      </c>
      <c r="B1413" s="23" t="n">
        <v>409</v>
      </c>
      <c r="C1413" s="23" t="n">
        <v>4409</v>
      </c>
      <c r="D1413" s="23" t="inlineStr">
        <is>
          <t>0305409012</t>
        </is>
      </c>
      <c r="E1413" s="11" t="inlineStr">
        <is>
          <t>Region III (Central Luzon)</t>
        </is>
      </c>
      <c r="F1413" s="11" t="inlineStr">
        <is>
          <t>Pampanga</t>
        </is>
      </c>
      <c r="G1413" s="11" t="inlineStr">
        <is>
          <t>Mabalacat City</t>
        </is>
      </c>
      <c r="H1413" s="11" t="inlineStr">
        <is>
          <t>Mabiga</t>
        </is>
      </c>
      <c r="I1413" s="24" t="n">
        <v>15.201383</v>
      </c>
      <c r="J1413" s="24" t="n">
        <v>120.58265</v>
      </c>
      <c r="K1413" s="23" t="inlineStr">
        <is>
          <t>U</t>
        </is>
      </c>
      <c r="L1413" s="25" t="n">
        <v>25509</v>
      </c>
      <c r="M1413" s="26" t="n">
        <v>4</v>
      </c>
      <c r="N1413" s="25">
        <f>ROUND(L1413/M1413, 0)</f>
        <v/>
      </c>
      <c r="O1413" s="25">
        <f>ROUND(N1413*'Methodology &amp; Assumptions'!$B$7, 0)</f>
        <v/>
      </c>
      <c r="P1413" s="23" t="inlineStr">
        <is>
          <t>Single Carrier (Band n50, 100MHz TDD)</t>
        </is>
      </c>
      <c r="Q1413" s="27">
        <f>ROUNDUP(O1413/'Methodology &amp; Assumptions'!$B$8, 0)</f>
        <v/>
      </c>
      <c r="R1413" s="27" t="n">
        <v>1</v>
      </c>
      <c r="S1413" s="26" t="n">
        <v>0.05</v>
      </c>
      <c r="T1413" s="26" t="n">
        <v>0.16</v>
      </c>
      <c r="U1413" s="11">
        <f>IF(S1413&lt;='Methodology &amp; Assumptions'!$B$10, "Direct Optical Drop (&lt;3km)", IF(S1413&lt;='Methodology &amp; Assumptions'!$B$9, "Near Optical / Microwave (&lt;5km)", "Starlink Business LEO Satellite Backhaul (&gt;5km)"))</f>
        <v/>
      </c>
      <c r="V1413" s="26" t="n">
        <v>78.43000000000001</v>
      </c>
      <c r="W1413" s="26" t="n">
        <v>37.69</v>
      </c>
      <c r="X1413" s="26">
        <f>ROUND(('Methodology &amp; Assumptions'!$B$5*V1413) + ('Methodology &amp; Assumptions'!$B$6*W1413), 2)</f>
        <v/>
      </c>
      <c r="Y1413" s="28" t="n">
        <v>8.300000000000001</v>
      </c>
      <c r="Z1413" s="11" t="inlineStr">
        <is>
          <t>Priority Tier 3 (Broadband Expansion)</t>
        </is>
      </c>
    </row>
    <row r="1414">
      <c r="A1414" s="23" t="n">
        <v>5</v>
      </c>
      <c r="B1414" s="23" t="n">
        <v>410</v>
      </c>
      <c r="C1414" s="23" t="n">
        <v>4410</v>
      </c>
      <c r="D1414" s="23" t="inlineStr">
        <is>
          <t>0301409011</t>
        </is>
      </c>
      <c r="E1414" s="11" t="inlineStr">
        <is>
          <t>Region III (Central Luzon)</t>
        </is>
      </c>
      <c r="F1414" s="11" t="inlineStr">
        <is>
          <t>Bulacan</t>
        </is>
      </c>
      <c r="G1414" s="11" t="inlineStr">
        <is>
          <t>Hagonoy</t>
        </is>
      </c>
      <c r="H1414" s="11" t="inlineStr">
        <is>
          <t>San Jose</t>
        </is>
      </c>
      <c r="I1414" s="24" t="n">
        <v>14.830422</v>
      </c>
      <c r="J1414" s="24" t="n">
        <v>120.73039</v>
      </c>
      <c r="K1414" s="23" t="inlineStr">
        <is>
          <t>R</t>
        </is>
      </c>
      <c r="L1414" s="25" t="n">
        <v>4469</v>
      </c>
      <c r="M1414" s="26" t="n">
        <v>3.5</v>
      </c>
      <c r="N1414" s="25">
        <f>ROUND(L1414/M1414, 0)</f>
        <v/>
      </c>
      <c r="O1414" s="25">
        <f>ROUND(N1414*'Methodology &amp; Assumptions'!$B$7, 0)</f>
        <v/>
      </c>
      <c r="P1414" s="23" t="inlineStr">
        <is>
          <t>Single Carrier (Band n50, 100MHz TDD)</t>
        </is>
      </c>
      <c r="Q1414" s="27">
        <f>ROUNDUP(O1414/'Methodology &amp; Assumptions'!$B$8, 0)</f>
        <v/>
      </c>
      <c r="R1414" s="27" t="n">
        <v>1</v>
      </c>
      <c r="S1414" s="26" t="n">
        <v>2.47</v>
      </c>
      <c r="T1414" s="26" t="n">
        <v>3.73</v>
      </c>
      <c r="U1414" s="11">
        <f>IF(S1414&lt;='Methodology &amp; Assumptions'!$B$10, "Direct Optical Drop (&lt;3km)", IF(S1414&lt;='Methodology &amp; Assumptions'!$B$9, "Near Optical / Microwave (&lt;5km)", "Starlink Business LEO Satellite Backhaul (&gt;5km)"))</f>
        <v/>
      </c>
      <c r="V1414" s="26" t="n">
        <v>76.34</v>
      </c>
      <c r="W1414" s="26" t="n">
        <v>39.78</v>
      </c>
      <c r="X1414" s="26">
        <f>ROUND(('Methodology &amp; Assumptions'!$B$5*V1414) + ('Methodology &amp; Assumptions'!$B$6*W1414), 2)</f>
        <v/>
      </c>
      <c r="Y1414" s="28" t="n">
        <v>8.300000000000001</v>
      </c>
      <c r="Z1414" s="11" t="inlineStr">
        <is>
          <t>Priority Tier 3 (Broadband Expansion)</t>
        </is>
      </c>
    </row>
    <row r="1415">
      <c r="A1415" s="23" t="n">
        <v>5</v>
      </c>
      <c r="B1415" s="23" t="n">
        <v>411</v>
      </c>
      <c r="C1415" s="23" t="n">
        <v>4411</v>
      </c>
      <c r="D1415" s="23" t="inlineStr">
        <is>
          <t>0403417033</t>
        </is>
      </c>
      <c r="E1415" s="11" t="inlineStr">
        <is>
          <t>Region IV-A (CALABARZON)</t>
        </is>
      </c>
      <c r="F1415" s="11" t="inlineStr">
        <is>
          <t>Laguna</t>
        </is>
      </c>
      <c r="G1415" s="11" t="inlineStr">
        <is>
          <t>Nagcarlan</t>
        </is>
      </c>
      <c r="H1415" s="11" t="inlineStr">
        <is>
          <t>Poblacion I</t>
        </is>
      </c>
      <c r="I1415" s="24" t="n">
        <v>14.138634</v>
      </c>
      <c r="J1415" s="24" t="n">
        <v>121.41823</v>
      </c>
      <c r="K1415" s="23" t="inlineStr">
        <is>
          <t>U</t>
        </is>
      </c>
      <c r="L1415" s="25" t="n">
        <v>1694</v>
      </c>
      <c r="M1415" s="26" t="n">
        <v>3.3</v>
      </c>
      <c r="N1415" s="25">
        <f>ROUND(L1415/M1415, 0)</f>
        <v/>
      </c>
      <c r="O1415" s="25">
        <f>ROUND(N1415*'Methodology &amp; Assumptions'!$B$7, 0)</f>
        <v/>
      </c>
      <c r="P1415" s="23" t="inlineStr">
        <is>
          <t>Single Carrier (Band n50, 100MHz TDD)</t>
        </is>
      </c>
      <c r="Q1415" s="27">
        <f>ROUNDUP(O1415/'Methodology &amp; Assumptions'!$B$8, 0)</f>
        <v/>
      </c>
      <c r="R1415" s="27" t="n">
        <v>1</v>
      </c>
      <c r="S1415" s="26" t="n">
        <v>0.35</v>
      </c>
      <c r="T1415" s="26" t="n">
        <v>0.15</v>
      </c>
      <c r="U1415" s="11">
        <f>IF(S1415&lt;='Methodology &amp; Assumptions'!$B$10, "Direct Optical Drop (&lt;3km)", IF(S1415&lt;='Methodology &amp; Assumptions'!$B$9, "Near Optical / Microwave (&lt;5km)", "Starlink Business LEO Satellite Backhaul (&gt;5km)"))</f>
        <v/>
      </c>
      <c r="V1415" s="26" t="n">
        <v>68.41</v>
      </c>
      <c r="W1415" s="26" t="n">
        <v>47.7</v>
      </c>
      <c r="X1415" s="26">
        <f>ROUND(('Methodology &amp; Assumptions'!$B$5*V1415) + ('Methodology &amp; Assumptions'!$B$6*W1415), 2)</f>
        <v/>
      </c>
      <c r="Y1415" s="28" t="n">
        <v>7.2</v>
      </c>
      <c r="Z1415" s="11" t="inlineStr">
        <is>
          <t>Priority Tier 3 (Broadband Expansion)</t>
        </is>
      </c>
    </row>
    <row r="1416">
      <c r="A1416" s="23" t="n">
        <v>5</v>
      </c>
      <c r="B1416" s="23" t="n">
        <v>412</v>
      </c>
      <c r="C1416" s="23" t="n">
        <v>4412</v>
      </c>
      <c r="D1416" s="23" t="inlineStr">
        <is>
          <t>1401107004</t>
        </is>
      </c>
      <c r="E1416" s="11" t="inlineStr">
        <is>
          <t>Cordillera Administrative Region (CAR)</t>
        </is>
      </c>
      <c r="F1416" s="11" t="inlineStr">
        <is>
          <t>Benguet</t>
        </is>
      </c>
      <c r="G1416" s="11" t="inlineStr">
        <is>
          <t>Kabayan</t>
        </is>
      </c>
      <c r="H1416" s="11" t="inlineStr">
        <is>
          <t>Bashoy</t>
        </is>
      </c>
      <c r="I1416" s="24" t="n">
        <v>16.5711</v>
      </c>
      <c r="J1416" s="24" t="n">
        <v>120.84644</v>
      </c>
      <c r="K1416" s="23" t="inlineStr">
        <is>
          <t>R</t>
        </is>
      </c>
      <c r="L1416" s="25" t="n">
        <v>2224</v>
      </c>
      <c r="M1416" s="26" t="n">
        <v>3.5</v>
      </c>
      <c r="N1416" s="25">
        <f>ROUND(L1416/M1416, 0)</f>
        <v/>
      </c>
      <c r="O1416" s="25">
        <f>ROUND(N1416*'Methodology &amp; Assumptions'!$B$7, 0)</f>
        <v/>
      </c>
      <c r="P1416" s="23" t="inlineStr">
        <is>
          <t>Single Carrier (Band n50, 100MHz TDD)</t>
        </is>
      </c>
      <c r="Q1416" s="27">
        <f>ROUNDUP(O1416/'Methodology &amp; Assumptions'!$B$8, 0)</f>
        <v/>
      </c>
      <c r="R1416" s="27" t="n">
        <v>1</v>
      </c>
      <c r="S1416" s="26" t="n">
        <v>6.17</v>
      </c>
      <c r="T1416" s="26" t="n">
        <v>9.380000000000001</v>
      </c>
      <c r="U1416" s="11">
        <f>IF(S1416&lt;='Methodology &amp; Assumptions'!$B$10, "Direct Optical Drop (&lt;3km)", IF(S1416&lt;='Methodology &amp; Assumptions'!$B$9, "Near Optical / Microwave (&lt;5km)", "Starlink Business LEO Satellite Backhaul (&gt;5km)"))</f>
        <v/>
      </c>
      <c r="V1416" s="26" t="n">
        <v>61.62</v>
      </c>
      <c r="W1416" s="26" t="n">
        <v>54.5</v>
      </c>
      <c r="X1416" s="26">
        <f>ROUND(('Methodology &amp; Assumptions'!$B$5*V1416) + ('Methodology &amp; Assumptions'!$B$6*W1416), 2)</f>
        <v/>
      </c>
      <c r="Y1416" s="28" t="n">
        <v>10.9</v>
      </c>
      <c r="Z1416" s="11" t="inlineStr">
        <is>
          <t>Priority Tier 3 (Broadband Expansion)</t>
        </is>
      </c>
    </row>
    <row r="1417">
      <c r="A1417" s="23" t="n">
        <v>5</v>
      </c>
      <c r="B1417" s="23" t="n">
        <v>413</v>
      </c>
      <c r="C1417" s="23" t="n">
        <v>4413</v>
      </c>
      <c r="D1417" s="23" t="inlineStr">
        <is>
          <t>1906612048</t>
        </is>
      </c>
      <c r="E1417" s="11" t="inlineStr">
        <is>
          <t>Bangsamoro Autonomous Region In Muslim Mindanao (BARMM)</t>
        </is>
      </c>
      <c r="F1417" s="11" t="inlineStr">
        <is>
          <t>Sulu</t>
        </is>
      </c>
      <c r="G1417" s="11" t="inlineStr">
        <is>
          <t>Siasi</t>
        </is>
      </c>
      <c r="H1417" s="11" t="inlineStr">
        <is>
          <t>Ratag</t>
        </is>
      </c>
      <c r="I1417" s="24" t="n">
        <v>5.540738</v>
      </c>
      <c r="J1417" s="24" t="n">
        <v>120.864249</v>
      </c>
      <c r="K1417" s="23" t="inlineStr">
        <is>
          <t>R</t>
        </is>
      </c>
      <c r="L1417" s="25" t="n">
        <v>2525</v>
      </c>
      <c r="M1417" s="26" t="n">
        <v>6</v>
      </c>
      <c r="N1417" s="25">
        <f>ROUND(L1417/M1417, 0)</f>
        <v/>
      </c>
      <c r="O1417" s="25">
        <f>ROUND(N1417*'Methodology &amp; Assumptions'!$B$7, 0)</f>
        <v/>
      </c>
      <c r="P1417" s="23" t="inlineStr">
        <is>
          <t>Single Carrier (Band n50, 100MHz TDD)</t>
        </is>
      </c>
      <c r="Q1417" s="27">
        <f>ROUNDUP(O1417/'Methodology &amp; Assumptions'!$B$8, 0)</f>
        <v/>
      </c>
      <c r="R1417" s="27" t="n">
        <v>1</v>
      </c>
      <c r="S1417" s="26" t="n">
        <v>202.65</v>
      </c>
      <c r="T1417" s="26" t="n">
        <v>202.65</v>
      </c>
      <c r="U1417" s="11">
        <f>IF(S1417&lt;='Methodology &amp; Assumptions'!$B$10, "Direct Optical Drop (&lt;3km)", IF(S1417&lt;='Methodology &amp; Assumptions'!$B$9, "Near Optical / Microwave (&lt;5km)", "Starlink Business LEO Satellite Backhaul (&gt;5km)"))</f>
        <v/>
      </c>
      <c r="V1417" s="26" t="n">
        <v>44.55</v>
      </c>
      <c r="W1417" s="26" t="n">
        <v>71.56999999999999</v>
      </c>
      <c r="X1417" s="26">
        <f>ROUND(('Methodology &amp; Assumptions'!$B$5*V1417) + ('Methodology &amp; Assumptions'!$B$6*W1417), 2)</f>
        <v/>
      </c>
      <c r="Y1417" s="28" t="n">
        <v>11</v>
      </c>
      <c r="Z1417" s="11" t="inlineStr">
        <is>
          <t>Priority Tier 3 (Broadband Expansion)</t>
        </is>
      </c>
    </row>
    <row r="1418">
      <c r="A1418" s="23" t="n">
        <v>5</v>
      </c>
      <c r="B1418" s="23" t="n">
        <v>414</v>
      </c>
      <c r="C1418" s="23" t="n">
        <v>4414</v>
      </c>
      <c r="D1418" s="23" t="inlineStr">
        <is>
          <t>1907010013</t>
        </is>
      </c>
      <c r="E1418" s="11" t="inlineStr">
        <is>
          <t>Bangsamoro Autonomous Region In Muslim Mindanao (BARMM)</t>
        </is>
      </c>
      <c r="F1418" s="11" t="inlineStr">
        <is>
          <t>Tawi-Tawi</t>
        </is>
      </c>
      <c r="G1418" s="11" t="inlineStr">
        <is>
          <t>Sapa-Sapa</t>
        </is>
      </c>
      <c r="H1418" s="11" t="inlineStr">
        <is>
          <t>Mantabuan Tabunan</t>
        </is>
      </c>
      <c r="I1418" s="24" t="n">
        <v>5.040228</v>
      </c>
      <c r="J1418" s="24" t="n">
        <v>120.213767</v>
      </c>
      <c r="K1418" s="23" t="inlineStr">
        <is>
          <t>R</t>
        </is>
      </c>
      <c r="L1418" s="25" t="n">
        <v>1984</v>
      </c>
      <c r="M1418" s="26" t="n">
        <v>5.8</v>
      </c>
      <c r="N1418" s="25">
        <f>ROUND(L1418/M1418, 0)</f>
        <v/>
      </c>
      <c r="O1418" s="25">
        <f>ROUND(N1418*'Methodology &amp; Assumptions'!$B$7, 0)</f>
        <v/>
      </c>
      <c r="P1418" s="23" t="inlineStr">
        <is>
          <t>Single Carrier (Band n50, 100MHz TDD)</t>
        </is>
      </c>
      <c r="Q1418" s="27">
        <f>ROUNDUP(O1418/'Methodology &amp; Assumptions'!$B$8, 0)</f>
        <v/>
      </c>
      <c r="R1418" s="27" t="n">
        <v>1</v>
      </c>
      <c r="S1418" s="26" t="n">
        <v>999</v>
      </c>
      <c r="T1418" s="26" t="n">
        <v>999</v>
      </c>
      <c r="U1418" s="11">
        <f>IF(S1418&lt;='Methodology &amp; Assumptions'!$B$10, "Direct Optical Drop (&lt;3km)", IF(S1418&lt;='Methodology &amp; Assumptions'!$B$9, "Near Optical / Microwave (&lt;5km)", "Starlink Business LEO Satellite Backhaul (&gt;5km)"))</f>
        <v/>
      </c>
      <c r="V1418" s="26" t="n">
        <v>42.09</v>
      </c>
      <c r="W1418" s="26" t="n">
        <v>74.04000000000001</v>
      </c>
      <c r="X1418" s="26">
        <f>ROUND(('Methodology &amp; Assumptions'!$B$5*V1418) + ('Methodology &amp; Assumptions'!$B$6*W1418), 2)</f>
        <v/>
      </c>
      <c r="Y1418" s="28" t="n">
        <v>11</v>
      </c>
      <c r="Z1418" s="11" t="inlineStr">
        <is>
          <t>Priority Tier 3 (Broadband Expansion)</t>
        </is>
      </c>
    </row>
    <row r="1419">
      <c r="A1419" s="23" t="n">
        <v>5</v>
      </c>
      <c r="B1419" s="23" t="n">
        <v>415</v>
      </c>
      <c r="C1419" s="23" t="n">
        <v>4415</v>
      </c>
      <c r="D1419" s="23" t="inlineStr">
        <is>
          <t>1108204013</t>
        </is>
      </c>
      <c r="E1419" s="11" t="inlineStr">
        <is>
          <t>Region XI (Davao Region)</t>
        </is>
      </c>
      <c r="F1419" s="11" t="inlineStr">
        <is>
          <t>Davao de Oro</t>
        </is>
      </c>
      <c r="G1419" s="11" t="inlineStr">
        <is>
          <t>Maco</t>
        </is>
      </c>
      <c r="H1419" s="11" t="inlineStr">
        <is>
          <t>Langgam</t>
        </is>
      </c>
      <c r="I1419" s="24" t="n">
        <v>7.355532</v>
      </c>
      <c r="J1419" s="24" t="n">
        <v>125.859541</v>
      </c>
      <c r="K1419" s="23" t="inlineStr">
        <is>
          <t>R</t>
        </is>
      </c>
      <c r="L1419" s="25" t="n">
        <v>3506</v>
      </c>
      <c r="M1419" s="26" t="n">
        <v>3.7</v>
      </c>
      <c r="N1419" s="25">
        <f>ROUND(L1419/M1419, 0)</f>
        <v/>
      </c>
      <c r="O1419" s="25">
        <f>ROUND(N1419*'Methodology &amp; Assumptions'!$B$7, 0)</f>
        <v/>
      </c>
      <c r="P1419" s="23" t="inlineStr">
        <is>
          <t>Single Carrier (Band n50, 100MHz TDD)</t>
        </is>
      </c>
      <c r="Q1419" s="27">
        <f>ROUNDUP(O1419/'Methodology &amp; Assumptions'!$B$8, 0)</f>
        <v/>
      </c>
      <c r="R1419" s="27" t="n">
        <v>1</v>
      </c>
      <c r="S1419" s="26" t="n">
        <v>0.4</v>
      </c>
      <c r="T1419" s="26" t="n">
        <v>0.4</v>
      </c>
      <c r="U1419" s="11">
        <f>IF(S1419&lt;='Methodology &amp; Assumptions'!$B$10, "Direct Optical Drop (&lt;3km)", IF(S1419&lt;='Methodology &amp; Assumptions'!$B$9, "Near Optical / Microwave (&lt;5km)", "Starlink Business LEO Satellite Backhaul (&gt;5km)"))</f>
        <v/>
      </c>
      <c r="V1419" s="26" t="n">
        <v>87.06999999999999</v>
      </c>
      <c r="W1419" s="26" t="n">
        <v>29.03</v>
      </c>
      <c r="X1419" s="26">
        <f>ROUND(('Methodology &amp; Assumptions'!$B$5*V1419) + ('Methodology &amp; Assumptions'!$B$6*W1419), 2)</f>
        <v/>
      </c>
      <c r="Y1419" s="28" t="n">
        <v>17.4</v>
      </c>
      <c r="Z1419" s="11" t="inlineStr">
        <is>
          <t>Priority Tier 3 (Broadband Expansion)</t>
        </is>
      </c>
    </row>
    <row r="1420">
      <c r="A1420" s="23" t="n">
        <v>5</v>
      </c>
      <c r="B1420" s="23" t="n">
        <v>416</v>
      </c>
      <c r="C1420" s="23" t="n">
        <v>4416</v>
      </c>
      <c r="D1420" s="23" t="inlineStr">
        <is>
          <t>0402121009</t>
        </is>
      </c>
      <c r="E1420" s="11" t="inlineStr">
        <is>
          <t>Region IV-A (CALABARZON)</t>
        </is>
      </c>
      <c r="F1420" s="11" t="inlineStr">
        <is>
          <t>Cavite</t>
        </is>
      </c>
      <c r="G1420" s="11" t="inlineStr">
        <is>
          <t>Ternate</t>
        </is>
      </c>
      <c r="H1420" s="11" t="inlineStr">
        <is>
          <t>Poblacion I A</t>
        </is>
      </c>
      <c r="I1420" s="24" t="n">
        <v>14.274543</v>
      </c>
      <c r="J1420" s="24" t="n">
        <v>120.73435</v>
      </c>
      <c r="K1420" s="23" t="inlineStr">
        <is>
          <t>R</t>
        </is>
      </c>
      <c r="L1420" s="25" t="n">
        <v>2010</v>
      </c>
      <c r="M1420" s="26" t="n">
        <v>3.4</v>
      </c>
      <c r="N1420" s="25">
        <f>ROUND(L1420/M1420, 0)</f>
        <v/>
      </c>
      <c r="O1420" s="25">
        <f>ROUND(N1420*'Methodology &amp; Assumptions'!$B$7, 0)</f>
        <v/>
      </c>
      <c r="P1420" s="23" t="inlineStr">
        <is>
          <t>Single Carrier (Band n50, 100MHz TDD)</t>
        </is>
      </c>
      <c r="Q1420" s="27">
        <f>ROUNDUP(O1420/'Methodology &amp; Assumptions'!$B$8, 0)</f>
        <v/>
      </c>
      <c r="R1420" s="27" t="n">
        <v>1</v>
      </c>
      <c r="S1420" s="26" t="n">
        <v>0.34</v>
      </c>
      <c r="T1420" s="26" t="n">
        <v>0.24</v>
      </c>
      <c r="U1420" s="11">
        <f>IF(S1420&lt;='Methodology &amp; Assumptions'!$B$10, "Direct Optical Drop (&lt;3km)", IF(S1420&lt;='Methodology &amp; Assumptions'!$B$9, "Near Optical / Microwave (&lt;5km)", "Starlink Business LEO Satellite Backhaul (&gt;5km)"))</f>
        <v/>
      </c>
      <c r="V1420" s="26" t="n">
        <v>78.11</v>
      </c>
      <c r="W1420" s="26" t="n">
        <v>37.98</v>
      </c>
      <c r="X1420" s="26">
        <f>ROUND(('Methodology &amp; Assumptions'!$B$5*V1420) + ('Methodology &amp; Assumptions'!$B$6*W1420), 2)</f>
        <v/>
      </c>
      <c r="Y1420" s="28" t="n">
        <v>7.2</v>
      </c>
      <c r="Z1420" s="11" t="inlineStr">
        <is>
          <t>Priority Tier 3 (Broadband Expansion)</t>
        </is>
      </c>
    </row>
    <row r="1421">
      <c r="A1421" s="23" t="n">
        <v>5</v>
      </c>
      <c r="B1421" s="23" t="n">
        <v>417</v>
      </c>
      <c r="C1421" s="23" t="n">
        <v>4417</v>
      </c>
      <c r="D1421" s="23" t="inlineStr">
        <is>
          <t>1102502009</t>
        </is>
      </c>
      <c r="E1421" s="11" t="inlineStr">
        <is>
          <t>Region XI (Davao Region)</t>
        </is>
      </c>
      <c r="F1421" s="11" t="inlineStr">
        <is>
          <t>Davao Oriental</t>
        </is>
      </c>
      <c r="G1421" s="11" t="inlineStr">
        <is>
          <t>Banaybanay</t>
        </is>
      </c>
      <c r="H1421" s="11" t="inlineStr">
        <is>
          <t>Panikian</t>
        </is>
      </c>
      <c r="I1421" s="24" t="n">
        <v>7.00998</v>
      </c>
      <c r="J1421" s="24" t="n">
        <v>126.03045</v>
      </c>
      <c r="K1421" s="23" t="inlineStr">
        <is>
          <t>R</t>
        </is>
      </c>
      <c r="L1421" s="25" t="n">
        <v>3259</v>
      </c>
      <c r="M1421" s="26" t="n">
        <v>3.6</v>
      </c>
      <c r="N1421" s="25">
        <f>ROUND(L1421/M1421, 0)</f>
        <v/>
      </c>
      <c r="O1421" s="25">
        <f>ROUND(N1421*'Methodology &amp; Assumptions'!$B$7, 0)</f>
        <v/>
      </c>
      <c r="P1421" s="23" t="inlineStr">
        <is>
          <t>Single Carrier (Band n50, 100MHz TDD)</t>
        </is>
      </c>
      <c r="Q1421" s="27">
        <f>ROUNDUP(O1421/'Methodology &amp; Assumptions'!$B$8, 0)</f>
        <v/>
      </c>
      <c r="R1421" s="27" t="n">
        <v>1</v>
      </c>
      <c r="S1421" s="26" t="n">
        <v>5.52</v>
      </c>
      <c r="T1421" s="26" t="n">
        <v>3.06</v>
      </c>
      <c r="U1421" s="11">
        <f>IF(S1421&lt;='Methodology &amp; Assumptions'!$B$10, "Direct Optical Drop (&lt;3km)", IF(S1421&lt;='Methodology &amp; Assumptions'!$B$9, "Near Optical / Microwave (&lt;5km)", "Starlink Business LEO Satellite Backhaul (&gt;5km)"))</f>
        <v/>
      </c>
      <c r="V1421" s="26" t="n">
        <v>71.23</v>
      </c>
      <c r="W1421" s="26" t="n">
        <v>44.86</v>
      </c>
      <c r="X1421" s="26">
        <f>ROUND(('Methodology &amp; Assumptions'!$B$5*V1421) + ('Methodology &amp; Assumptions'!$B$6*W1421), 2)</f>
        <v/>
      </c>
      <c r="Y1421" s="28" t="n">
        <v>17.4</v>
      </c>
      <c r="Z1421" s="11" t="inlineStr">
        <is>
          <t>Priority Tier 3 (Broadband Expansion)</t>
        </is>
      </c>
    </row>
    <row r="1422">
      <c r="A1422" s="23" t="n">
        <v>5</v>
      </c>
      <c r="B1422" s="23" t="n">
        <v>418</v>
      </c>
      <c r="C1422" s="23" t="n">
        <v>4418</v>
      </c>
      <c r="D1422" s="23" t="inlineStr">
        <is>
          <t>0301410037</t>
        </is>
      </c>
      <c r="E1422" s="11" t="inlineStr">
        <is>
          <t>Region III (Central Luzon)</t>
        </is>
      </c>
      <c r="F1422" s="11" t="inlineStr">
        <is>
          <t>Bulacan</t>
        </is>
      </c>
      <c r="G1422" s="11" t="inlineStr">
        <is>
          <t>City of Malolos</t>
        </is>
      </c>
      <c r="H1422" s="11" t="inlineStr">
        <is>
          <t>Pamarawan</t>
        </is>
      </c>
      <c r="I1422" s="24" t="n">
        <v>14.758583</v>
      </c>
      <c r="J1422" s="24" t="n">
        <v>120.815263</v>
      </c>
      <c r="K1422" s="23" t="inlineStr">
        <is>
          <t>R</t>
        </is>
      </c>
      <c r="L1422" s="25" t="n">
        <v>3234</v>
      </c>
      <c r="M1422" s="26" t="n">
        <v>3.5</v>
      </c>
      <c r="N1422" s="25">
        <f>ROUND(L1422/M1422, 0)</f>
        <v/>
      </c>
      <c r="O1422" s="25">
        <f>ROUND(N1422*'Methodology &amp; Assumptions'!$B$7, 0)</f>
        <v/>
      </c>
      <c r="P1422" s="23" t="inlineStr">
        <is>
          <t>Single Carrier (Band n50, 100MHz TDD)</t>
        </is>
      </c>
      <c r="Q1422" s="27">
        <f>ROUNDUP(O1422/'Methodology &amp; Assumptions'!$B$8, 0)</f>
        <v/>
      </c>
      <c r="R1422" s="27" t="n">
        <v>1</v>
      </c>
      <c r="S1422" s="26" t="n">
        <v>6.73</v>
      </c>
      <c r="T1422" s="26" t="n">
        <v>9.81</v>
      </c>
      <c r="U1422" s="11">
        <f>IF(S1422&lt;='Methodology &amp; Assumptions'!$B$10, "Direct Optical Drop (&lt;3km)", IF(S1422&lt;='Methodology &amp; Assumptions'!$B$9, "Near Optical / Microwave (&lt;5km)", "Starlink Business LEO Satellite Backhaul (&gt;5km)"))</f>
        <v/>
      </c>
      <c r="V1422" s="26" t="n">
        <v>68.12</v>
      </c>
      <c r="W1422" s="26" t="n">
        <v>47.97</v>
      </c>
      <c r="X1422" s="26">
        <f>ROUND(('Methodology &amp; Assumptions'!$B$5*V1422) + ('Methodology &amp; Assumptions'!$B$6*W1422), 2)</f>
        <v/>
      </c>
      <c r="Y1422" s="28" t="n">
        <v>8.300000000000001</v>
      </c>
      <c r="Z1422" s="11" t="inlineStr">
        <is>
          <t>Priority Tier 3 (Broadband Expansion)</t>
        </is>
      </c>
    </row>
    <row r="1423">
      <c r="A1423" s="23" t="n">
        <v>5</v>
      </c>
      <c r="B1423" s="23" t="n">
        <v>419</v>
      </c>
      <c r="C1423" s="23" t="n">
        <v>4419</v>
      </c>
      <c r="D1423" s="23" t="inlineStr">
        <is>
          <t>0405647008</t>
        </is>
      </c>
      <c r="E1423" s="11" t="inlineStr">
        <is>
          <t>Region IV-A (CALABARZON)</t>
        </is>
      </c>
      <c r="F1423" s="11" t="inlineStr">
        <is>
          <t>Quezon</t>
        </is>
      </c>
      <c r="G1423" s="11" t="inlineStr">
        <is>
          <t>City of Tayabas</t>
        </is>
      </c>
      <c r="H1423" s="11" t="inlineStr">
        <is>
          <t>Angustias Zone II</t>
        </is>
      </c>
      <c r="I1423" s="24" t="n">
        <v>14.031641</v>
      </c>
      <c r="J1423" s="24" t="n">
        <v>121.588685</v>
      </c>
      <c r="K1423" s="23" t="inlineStr">
        <is>
          <t>R</t>
        </is>
      </c>
      <c r="L1423" s="25" t="n">
        <v>253</v>
      </c>
      <c r="M1423" s="26" t="n">
        <v>3.8</v>
      </c>
      <c r="N1423" s="25">
        <f>ROUND(L1423/M1423, 0)</f>
        <v/>
      </c>
      <c r="O1423" s="25">
        <f>ROUND(N1423*'Methodology &amp; Assumptions'!$B$7, 0)</f>
        <v/>
      </c>
      <c r="P1423" s="23" t="inlineStr">
        <is>
          <t>Single Carrier (Band n50, 100MHz TDD)</t>
        </is>
      </c>
      <c r="Q1423" s="27">
        <f>ROUNDUP(O1423/'Methodology &amp; Assumptions'!$B$8, 0)</f>
        <v/>
      </c>
      <c r="R1423" s="27" t="n">
        <v>1</v>
      </c>
      <c r="S1423" s="26" t="n">
        <v>1.02</v>
      </c>
      <c r="T1423" s="26" t="n">
        <v>0.07000000000000001</v>
      </c>
      <c r="U1423" s="11">
        <f>IF(S1423&lt;='Methodology &amp; Assumptions'!$B$10, "Direct Optical Drop (&lt;3km)", IF(S1423&lt;='Methodology &amp; Assumptions'!$B$9, "Near Optical / Microwave (&lt;5km)", "Starlink Business LEO Satellite Backhaul (&gt;5km)"))</f>
        <v/>
      </c>
      <c r="V1423" s="26" t="n">
        <v>60.34</v>
      </c>
      <c r="W1423" s="26" t="n">
        <v>55.75</v>
      </c>
      <c r="X1423" s="26">
        <f>ROUND(('Methodology &amp; Assumptions'!$B$5*V1423) + ('Methodology &amp; Assumptions'!$B$6*W1423), 2)</f>
        <v/>
      </c>
      <c r="Y1423" s="28" t="n">
        <v>7.2</v>
      </c>
      <c r="Z1423" s="11" t="inlineStr">
        <is>
          <t>Priority Tier 3 (Broadband Expansion)</t>
        </is>
      </c>
    </row>
    <row r="1424">
      <c r="A1424" s="23" t="n">
        <v>5</v>
      </c>
      <c r="B1424" s="23" t="n">
        <v>420</v>
      </c>
      <c r="C1424" s="23" t="n">
        <v>4420</v>
      </c>
      <c r="D1424" s="23" t="inlineStr">
        <is>
          <t>1400112008</t>
        </is>
      </c>
      <c r="E1424" s="11" t="inlineStr">
        <is>
          <t>Cordillera Administrative Region (CAR)</t>
        </is>
      </c>
      <c r="F1424" s="11" t="inlineStr">
        <is>
          <t>Abra</t>
        </is>
      </c>
      <c r="G1424" s="11" t="inlineStr">
        <is>
          <t>Langiden</t>
        </is>
      </c>
      <c r="H1424" s="11" t="inlineStr">
        <is>
          <t>Quillat</t>
        </is>
      </c>
      <c r="I1424" s="24" t="n">
        <v>17.58644</v>
      </c>
      <c r="J1424" s="24" t="n">
        <v>120.5841</v>
      </c>
      <c r="K1424" s="23" t="inlineStr">
        <is>
          <t>R</t>
        </is>
      </c>
      <c r="L1424" s="25" t="n">
        <v>866</v>
      </c>
      <c r="M1424" s="26" t="n">
        <v>3.8</v>
      </c>
      <c r="N1424" s="25">
        <f>ROUND(L1424/M1424, 0)</f>
        <v/>
      </c>
      <c r="O1424" s="25">
        <f>ROUND(N1424*'Methodology &amp; Assumptions'!$B$7, 0)</f>
        <v/>
      </c>
      <c r="P1424" s="23" t="inlineStr">
        <is>
          <t>Single Carrier (Band n50, 100MHz TDD)</t>
        </is>
      </c>
      <c r="Q1424" s="27">
        <f>ROUNDUP(O1424/'Methodology &amp; Assumptions'!$B$8, 0)</f>
        <v/>
      </c>
      <c r="R1424" s="27" t="n">
        <v>1</v>
      </c>
      <c r="S1424" s="26" t="n">
        <v>3.78</v>
      </c>
      <c r="T1424" s="26" t="n">
        <v>2.49</v>
      </c>
      <c r="U1424" s="11">
        <f>IF(S1424&lt;='Methodology &amp; Assumptions'!$B$10, "Direct Optical Drop (&lt;3km)", IF(S1424&lt;='Methodology &amp; Assumptions'!$B$9, "Near Optical / Microwave (&lt;5km)", "Starlink Business LEO Satellite Backhaul (&gt;5km)"))</f>
        <v/>
      </c>
      <c r="V1424" s="26" t="n">
        <v>55.28</v>
      </c>
      <c r="W1424" s="26" t="n">
        <v>60.81</v>
      </c>
      <c r="X1424" s="26">
        <f>ROUND(('Methodology &amp; Assumptions'!$B$5*V1424) + ('Methodology &amp; Assumptions'!$B$6*W1424), 2)</f>
        <v/>
      </c>
      <c r="Y1424" s="28" t="n">
        <v>10.9</v>
      </c>
      <c r="Z1424" s="11" t="inlineStr">
        <is>
          <t>Priority Tier 3 (Broadband Expansion)</t>
        </is>
      </c>
    </row>
    <row r="1425">
      <c r="A1425" s="23" t="n">
        <v>5</v>
      </c>
      <c r="B1425" s="23" t="n">
        <v>421</v>
      </c>
      <c r="C1425" s="23" t="n">
        <v>4421</v>
      </c>
      <c r="D1425" s="23" t="inlineStr">
        <is>
          <t>1380610008</t>
        </is>
      </c>
      <c r="E1425" s="11" t="inlineStr">
        <is>
          <t>National Capital Region (NCR)</t>
        </is>
      </c>
      <c r="F1425" s="11" t="inlineStr">
        <is>
          <t>First District (Not a Province)</t>
        </is>
      </c>
      <c r="G1425" s="11" t="inlineStr">
        <is>
          <t>City of Manila</t>
        </is>
      </c>
      <c r="H1425" s="11" t="inlineStr">
        <is>
          <t>Barangay 693</t>
        </is>
      </c>
      <c r="I1425" s="24" t="n">
        <v>14.573526</v>
      </c>
      <c r="J1425" s="24" t="n">
        <v>120.990745</v>
      </c>
      <c r="K1425" s="23" t="inlineStr">
        <is>
          <t>U</t>
        </is>
      </c>
      <c r="L1425" s="25" t="n">
        <v>557</v>
      </c>
      <c r="M1425" s="26" t="n">
        <v>3.92</v>
      </c>
      <c r="N1425" s="25">
        <f>ROUND(L1425/M1425, 0)</f>
        <v/>
      </c>
      <c r="O1425" s="25">
        <f>ROUND(N1425*'Methodology &amp; Assumptions'!$B$7, 0)</f>
        <v/>
      </c>
      <c r="P1425" s="23" t="inlineStr">
        <is>
          <t>Single Carrier (Band n50, 100MHz TDD)</t>
        </is>
      </c>
      <c r="Q1425" s="27">
        <f>ROUNDUP(O1425/'Methodology &amp; Assumptions'!$B$8, 0)</f>
        <v/>
      </c>
      <c r="R1425" s="27" t="n">
        <v>1</v>
      </c>
      <c r="S1425" s="26" t="n">
        <v>0.41</v>
      </c>
      <c r="T1425" s="26" t="n">
        <v>0.08</v>
      </c>
      <c r="U1425" s="11">
        <f>IF(S1425&lt;='Methodology &amp; Assumptions'!$B$10, "Direct Optical Drop (&lt;3km)", IF(S1425&lt;='Methodology &amp; Assumptions'!$B$9, "Near Optical / Microwave (&lt;5km)", "Starlink Business LEO Satellite Backhaul (&gt;5km)"))</f>
        <v/>
      </c>
      <c r="V1425" s="26" t="n">
        <v>45.7</v>
      </c>
      <c r="W1425" s="26" t="n">
        <v>70.40000000000001</v>
      </c>
      <c r="X1425" s="26">
        <f>ROUND(('Methodology &amp; Assumptions'!$B$5*V1425) + ('Methodology &amp; Assumptions'!$B$6*W1425), 2)</f>
        <v/>
      </c>
      <c r="Y1425" s="28" t="n">
        <v>10.9</v>
      </c>
      <c r="Z1425" s="11" t="inlineStr">
        <is>
          <t>Priority Tier 3 (Broadband Expansion)</t>
        </is>
      </c>
    </row>
    <row r="1426">
      <c r="A1426" s="23" t="n">
        <v>5</v>
      </c>
      <c r="B1426" s="23" t="n">
        <v>422</v>
      </c>
      <c r="C1426" s="23" t="n">
        <v>4422</v>
      </c>
      <c r="D1426" s="23" t="inlineStr">
        <is>
          <t>0502004018</t>
        </is>
      </c>
      <c r="E1426" s="11" t="inlineStr">
        <is>
          <t>Region V (Bicol Region)</t>
        </is>
      </c>
      <c r="F1426" s="11" t="inlineStr">
        <is>
          <t>Catanduanes</t>
        </is>
      </c>
      <c r="G1426" s="11" t="inlineStr">
        <is>
          <t>Caramoran</t>
        </is>
      </c>
      <c r="H1426" s="11" t="inlineStr">
        <is>
          <t>Maysuran</t>
        </is>
      </c>
      <c r="I1426" s="24" t="n">
        <v>13.970715</v>
      </c>
      <c r="J1426" s="24" t="n">
        <v>124.183786</v>
      </c>
      <c r="K1426" s="23" t="inlineStr">
        <is>
          <t>R</t>
        </is>
      </c>
      <c r="L1426" s="25" t="n">
        <v>1099</v>
      </c>
      <c r="M1426" s="26" t="n">
        <v>4.2</v>
      </c>
      <c r="N1426" s="25">
        <f>ROUND(L1426/M1426, 0)</f>
        <v/>
      </c>
      <c r="O1426" s="25">
        <f>ROUND(N1426*'Methodology &amp; Assumptions'!$B$7, 0)</f>
        <v/>
      </c>
      <c r="P1426" s="23" t="inlineStr">
        <is>
          <t>Single Carrier (Band n50, 100MHz TDD)</t>
        </is>
      </c>
      <c r="Q1426" s="27">
        <f>ROUNDUP(O1426/'Methodology &amp; Assumptions'!$B$8, 0)</f>
        <v/>
      </c>
      <c r="R1426" s="27" t="n">
        <v>1</v>
      </c>
      <c r="S1426" s="26" t="n">
        <v>40.9</v>
      </c>
      <c r="T1426" s="26" t="n">
        <v>78.55</v>
      </c>
      <c r="U1426" s="11">
        <f>IF(S1426&lt;='Methodology &amp; Assumptions'!$B$10, "Direct Optical Drop (&lt;3km)", IF(S1426&lt;='Methodology &amp; Assumptions'!$B$9, "Near Optical / Microwave (&lt;5km)", "Starlink Business LEO Satellite Backhaul (&gt;5km)"))</f>
        <v/>
      </c>
      <c r="V1426" s="26" t="n">
        <v>44.22</v>
      </c>
      <c r="W1426" s="26" t="n">
        <v>71.89</v>
      </c>
      <c r="X1426" s="26">
        <f>ROUND(('Methodology &amp; Assumptions'!$B$5*V1426) + ('Methodology &amp; Assumptions'!$B$6*W1426), 2)</f>
        <v/>
      </c>
      <c r="Y1426" s="28" t="n">
        <v>23.7</v>
      </c>
      <c r="Z1426" s="11" t="inlineStr">
        <is>
          <t>Priority Tier 3 (Broadband Expansion)</t>
        </is>
      </c>
    </row>
    <row r="1427">
      <c r="A1427" s="23" t="n">
        <v>5</v>
      </c>
      <c r="B1427" s="23" t="n">
        <v>423</v>
      </c>
      <c r="C1427" s="23" t="n">
        <v>4423</v>
      </c>
      <c r="D1427" s="23" t="inlineStr">
        <is>
          <t>1705313004</t>
        </is>
      </c>
      <c r="E1427" s="11" t="inlineStr">
        <is>
          <t>MIMAROPA Region</t>
        </is>
      </c>
      <c r="F1427" s="11" t="inlineStr">
        <is>
          <t>Palawan</t>
        </is>
      </c>
      <c r="G1427" s="11" t="inlineStr">
        <is>
          <t>Linapacan</t>
        </is>
      </c>
      <c r="H1427" s="11" t="inlineStr">
        <is>
          <t>Decabaitot</t>
        </is>
      </c>
      <c r="I1427" s="24" t="n">
        <v>11.64963</v>
      </c>
      <c r="J1427" s="24" t="n">
        <v>119.959645</v>
      </c>
      <c r="K1427" s="23" t="inlineStr">
        <is>
          <t>R</t>
        </is>
      </c>
      <c r="L1427" s="25" t="n">
        <v>877</v>
      </c>
      <c r="M1427" s="26" t="n">
        <v>3.9</v>
      </c>
      <c r="N1427" s="25">
        <f>ROUND(L1427/M1427, 0)</f>
        <v/>
      </c>
      <c r="O1427" s="25">
        <f>ROUND(N1427*'Methodology &amp; Assumptions'!$B$7, 0)</f>
        <v/>
      </c>
      <c r="P1427" s="23" t="inlineStr">
        <is>
          <t>Single Carrier (Band n50, 100MHz TDD)</t>
        </is>
      </c>
      <c r="Q1427" s="27">
        <f>ROUNDUP(O1427/'Methodology &amp; Assumptions'!$B$8, 0)</f>
        <v/>
      </c>
      <c r="R1427" s="27" t="n">
        <v>1</v>
      </c>
      <c r="S1427" s="26" t="n">
        <v>48.32</v>
      </c>
      <c r="T1427" s="26" t="n">
        <v>104.33</v>
      </c>
      <c r="U1427" s="11">
        <f>IF(S1427&lt;='Methodology &amp; Assumptions'!$B$10, "Direct Optical Drop (&lt;3km)", IF(S1427&lt;='Methodology &amp; Assumptions'!$B$9, "Near Optical / Microwave (&lt;5km)", "Starlink Business LEO Satellite Backhaul (&gt;5km)"))</f>
        <v/>
      </c>
      <c r="V1427" s="26" t="n">
        <v>40.6</v>
      </c>
      <c r="W1427" s="26" t="n">
        <v>75.51000000000001</v>
      </c>
      <c r="X1427" s="26">
        <f>ROUND(('Methodology &amp; Assumptions'!$B$5*V1427) + ('Methodology &amp; Assumptions'!$B$6*W1427), 2)</f>
        <v/>
      </c>
      <c r="Y1427" s="28" t="n">
        <v>15</v>
      </c>
      <c r="Z1427" s="11" t="inlineStr">
        <is>
          <t>Priority Tier 3 (Broadband Expansion)</t>
        </is>
      </c>
    </row>
    <row r="1428">
      <c r="A1428" s="23" t="n">
        <v>5</v>
      </c>
      <c r="B1428" s="23" t="n">
        <v>424</v>
      </c>
      <c r="C1428" s="23" t="n">
        <v>4424</v>
      </c>
      <c r="D1428" s="23" t="inlineStr">
        <is>
          <t>0501603032</t>
        </is>
      </c>
      <c r="E1428" s="11" t="inlineStr">
        <is>
          <t>Region V (Bicol Region)</t>
        </is>
      </c>
      <c r="F1428" s="11" t="inlineStr">
        <is>
          <t>Camarines Norte</t>
        </is>
      </c>
      <c r="G1428" s="11" t="inlineStr">
        <is>
          <t>Daet</t>
        </is>
      </c>
      <c r="H1428" s="11" t="inlineStr">
        <is>
          <t>San Isidro</t>
        </is>
      </c>
      <c r="I1428" s="24" t="n">
        <v>14.109564</v>
      </c>
      <c r="J1428" s="24" t="n">
        <v>122.966137</v>
      </c>
      <c r="K1428" s="23" t="inlineStr">
        <is>
          <t>R</t>
        </is>
      </c>
      <c r="L1428" s="25" t="n">
        <v>3341</v>
      </c>
      <c r="M1428" s="26" t="n">
        <v>4</v>
      </c>
      <c r="N1428" s="25">
        <f>ROUND(L1428/M1428, 0)</f>
        <v/>
      </c>
      <c r="O1428" s="25">
        <f>ROUND(N1428*'Methodology &amp; Assumptions'!$B$7, 0)</f>
        <v/>
      </c>
      <c r="P1428" s="23" t="inlineStr">
        <is>
          <t>Single Carrier (Band n50, 100MHz TDD)</t>
        </is>
      </c>
      <c r="Q1428" s="27">
        <f>ROUNDUP(O1428/'Methodology &amp; Assumptions'!$B$8, 0)</f>
        <v/>
      </c>
      <c r="R1428" s="27" t="n">
        <v>1</v>
      </c>
      <c r="S1428" s="26" t="n">
        <v>1.45</v>
      </c>
      <c r="T1428" s="26" t="n">
        <v>1.59</v>
      </c>
      <c r="U1428" s="11">
        <f>IF(S1428&lt;='Methodology &amp; Assumptions'!$B$10, "Direct Optical Drop (&lt;3km)", IF(S1428&lt;='Methodology &amp; Assumptions'!$B$9, "Near Optical / Microwave (&lt;5km)", "Starlink Business LEO Satellite Backhaul (&gt;5km)"))</f>
        <v/>
      </c>
      <c r="V1428" s="26" t="n">
        <v>84.5</v>
      </c>
      <c r="W1428" s="26" t="n">
        <v>31.59</v>
      </c>
      <c r="X1428" s="26">
        <f>ROUND(('Methodology &amp; Assumptions'!$B$5*V1428) + ('Methodology &amp; Assumptions'!$B$6*W1428), 2)</f>
        <v/>
      </c>
      <c r="Y1428" s="28" t="n">
        <v>23.7</v>
      </c>
      <c r="Z1428" s="11" t="inlineStr">
        <is>
          <t>Priority Tier 3 (Broadband Expansion)</t>
        </is>
      </c>
    </row>
    <row r="1429">
      <c r="A1429" s="23" t="n">
        <v>5</v>
      </c>
      <c r="B1429" s="23" t="n">
        <v>425</v>
      </c>
      <c r="C1429" s="23" t="n">
        <v>4425</v>
      </c>
      <c r="D1429" s="23" t="inlineStr">
        <is>
          <t>1102404020</t>
        </is>
      </c>
      <c r="E1429" s="11" t="inlineStr">
        <is>
          <t>Region XI (Davao Region)</t>
        </is>
      </c>
      <c r="F1429" s="11" t="inlineStr">
        <is>
          <t>Davao del Sur</t>
        </is>
      </c>
      <c r="G1429" s="11" t="inlineStr">
        <is>
          <t>Hagonoy</t>
        </is>
      </c>
      <c r="H1429" s="11" t="inlineStr">
        <is>
          <t>Paligue</t>
        </is>
      </c>
      <c r="I1429" s="24" t="n">
        <v>6.664517</v>
      </c>
      <c r="J1429" s="24" t="n">
        <v>125.360542</v>
      </c>
      <c r="K1429" s="23" t="inlineStr">
        <is>
          <t>R</t>
        </is>
      </c>
      <c r="L1429" s="25" t="n">
        <v>3353</v>
      </c>
      <c r="M1429" s="26" t="n">
        <v>3.4</v>
      </c>
      <c r="N1429" s="25">
        <f>ROUND(L1429/M1429, 0)</f>
        <v/>
      </c>
      <c r="O1429" s="25">
        <f>ROUND(N1429*'Methodology &amp; Assumptions'!$B$7, 0)</f>
        <v/>
      </c>
      <c r="P1429" s="23" t="inlineStr">
        <is>
          <t>Single Carrier (Band n50, 100MHz TDD)</t>
        </is>
      </c>
      <c r="Q1429" s="27">
        <f>ROUNDUP(O1429/'Methodology &amp; Assumptions'!$B$8, 0)</f>
        <v/>
      </c>
      <c r="R1429" s="27" t="n">
        <v>1</v>
      </c>
      <c r="S1429" s="26" t="n">
        <v>3.7</v>
      </c>
      <c r="T1429" s="26" t="n">
        <v>1.35</v>
      </c>
      <c r="U1429" s="11">
        <f>IF(S1429&lt;='Methodology &amp; Assumptions'!$B$10, "Direct Optical Drop (&lt;3km)", IF(S1429&lt;='Methodology &amp; Assumptions'!$B$9, "Near Optical / Microwave (&lt;5km)", "Starlink Business LEO Satellite Backhaul (&gt;5km)"))</f>
        <v/>
      </c>
      <c r="V1429" s="26" t="n">
        <v>78.05</v>
      </c>
      <c r="W1429" s="26" t="n">
        <v>38.04</v>
      </c>
      <c r="X1429" s="26">
        <f>ROUND(('Methodology &amp; Assumptions'!$B$5*V1429) + ('Methodology &amp; Assumptions'!$B$6*W1429), 2)</f>
        <v/>
      </c>
      <c r="Y1429" s="28" t="n">
        <v>17.4</v>
      </c>
      <c r="Z1429" s="11" t="inlineStr">
        <is>
          <t>Priority Tier 3 (Broadband Expansion)</t>
        </is>
      </c>
    </row>
    <row r="1430">
      <c r="A1430" s="23" t="n">
        <v>5</v>
      </c>
      <c r="B1430" s="23" t="n">
        <v>426</v>
      </c>
      <c r="C1430" s="23" t="n">
        <v>4426</v>
      </c>
      <c r="D1430" s="23" t="inlineStr">
        <is>
          <t>0301422027</t>
        </is>
      </c>
      <c r="E1430" s="11" t="inlineStr">
        <is>
          <t>Region III (Central Luzon)</t>
        </is>
      </c>
      <c r="F1430" s="11" t="inlineStr">
        <is>
          <t>Bulacan</t>
        </is>
      </c>
      <c r="G1430" s="11" t="inlineStr">
        <is>
          <t>San Rafael</t>
        </is>
      </c>
      <c r="H1430" s="11" t="inlineStr">
        <is>
          <t>Sampaloc</t>
        </is>
      </c>
      <c r="I1430" s="24" t="n">
        <v>14.981613</v>
      </c>
      <c r="J1430" s="24" t="n">
        <v>120.926629</v>
      </c>
      <c r="K1430" s="23" t="inlineStr">
        <is>
          <t>U</t>
        </is>
      </c>
      <c r="L1430" s="25" t="n">
        <v>4683</v>
      </c>
      <c r="M1430" s="26" t="n">
        <v>3.5</v>
      </c>
      <c r="N1430" s="25">
        <f>ROUND(L1430/M1430, 0)</f>
        <v/>
      </c>
      <c r="O1430" s="25">
        <f>ROUND(N1430*'Methodology &amp; Assumptions'!$B$7, 0)</f>
        <v/>
      </c>
      <c r="P1430" s="23" t="inlineStr">
        <is>
          <t>Single Carrier (Band n50, 100MHz TDD)</t>
        </is>
      </c>
      <c r="Q1430" s="27">
        <f>ROUNDUP(O1430/'Methodology &amp; Assumptions'!$B$8, 0)</f>
        <v/>
      </c>
      <c r="R1430" s="27" t="n">
        <v>1</v>
      </c>
      <c r="S1430" s="26" t="n">
        <v>1.84</v>
      </c>
      <c r="T1430" s="26" t="n">
        <v>0.02</v>
      </c>
      <c r="U1430" s="11">
        <f>IF(S1430&lt;='Methodology &amp; Assumptions'!$B$10, "Direct Optical Drop (&lt;3km)", IF(S1430&lt;='Methodology &amp; Assumptions'!$B$9, "Near Optical / Microwave (&lt;5km)", "Starlink Business LEO Satellite Backhaul (&gt;5km)"))</f>
        <v/>
      </c>
      <c r="V1430" s="26" t="n">
        <v>74.73</v>
      </c>
      <c r="W1430" s="26" t="n">
        <v>41.34</v>
      </c>
      <c r="X1430" s="26">
        <f>ROUND(('Methodology &amp; Assumptions'!$B$5*V1430) + ('Methodology &amp; Assumptions'!$B$6*W1430), 2)</f>
        <v/>
      </c>
      <c r="Y1430" s="28" t="n">
        <v>8.300000000000001</v>
      </c>
      <c r="Z1430" s="11" t="inlineStr">
        <is>
          <t>Priority Tier 3 (Broadband Expansion)</t>
        </is>
      </c>
    </row>
    <row r="1431">
      <c r="A1431" s="23" t="n">
        <v>5</v>
      </c>
      <c r="B1431" s="23" t="n">
        <v>427</v>
      </c>
      <c r="C1431" s="23" t="n">
        <v>4427</v>
      </c>
      <c r="D1431" s="23" t="inlineStr">
        <is>
          <t>0103306002</t>
        </is>
      </c>
      <c r="E1431" s="11" t="inlineStr">
        <is>
          <t>Region I (Ilocos Region)</t>
        </is>
      </c>
      <c r="F1431" s="11" t="inlineStr">
        <is>
          <t>La Union</t>
        </is>
      </c>
      <c r="G1431" s="11" t="inlineStr">
        <is>
          <t>Bangar</t>
        </is>
      </c>
      <c r="H1431" s="11" t="inlineStr">
        <is>
          <t>Alzate</t>
        </is>
      </c>
      <c r="I1431" s="24" t="n">
        <v>16.900591</v>
      </c>
      <c r="J1431" s="24" t="n">
        <v>120.419919</v>
      </c>
      <c r="K1431" s="23" t="inlineStr">
        <is>
          <t>R</t>
        </is>
      </c>
      <c r="L1431" s="25" t="n">
        <v>1486</v>
      </c>
      <c r="M1431" s="26" t="n">
        <v>3.7</v>
      </c>
      <c r="N1431" s="25">
        <f>ROUND(L1431/M1431, 0)</f>
        <v/>
      </c>
      <c r="O1431" s="25">
        <f>ROUND(N1431*'Methodology &amp; Assumptions'!$B$7, 0)</f>
        <v/>
      </c>
      <c r="P1431" s="23" t="inlineStr">
        <is>
          <t>Single Carrier (Band n50, 100MHz TDD)</t>
        </is>
      </c>
      <c r="Q1431" s="27">
        <f>ROUNDUP(O1431/'Methodology &amp; Assumptions'!$B$8, 0)</f>
        <v/>
      </c>
      <c r="R1431" s="27" t="n">
        <v>1</v>
      </c>
      <c r="S1431" s="26" t="n">
        <v>0.98</v>
      </c>
      <c r="T1431" s="26" t="n">
        <v>0.79</v>
      </c>
      <c r="U1431" s="11">
        <f>IF(S1431&lt;='Methodology &amp; Assumptions'!$B$10, "Direct Optical Drop (&lt;3km)", IF(S1431&lt;='Methodology &amp; Assumptions'!$B$9, "Near Optical / Microwave (&lt;5km)", "Starlink Business LEO Satellite Backhaul (&gt;5km)"))</f>
        <v/>
      </c>
      <c r="V1431" s="26" t="n">
        <v>71.61</v>
      </c>
      <c r="W1431" s="26" t="n">
        <v>44.48</v>
      </c>
      <c r="X1431" s="26">
        <f>ROUND(('Methodology &amp; Assumptions'!$B$5*V1431) + ('Methodology &amp; Assumptions'!$B$6*W1431), 2)</f>
        <v/>
      </c>
      <c r="Y1431" s="28" t="n">
        <v>8.300000000000001</v>
      </c>
      <c r="Z1431" s="11" t="inlineStr">
        <is>
          <t>Priority Tier 3 (Broadband Expansion)</t>
        </is>
      </c>
    </row>
    <row r="1432">
      <c r="A1432" s="23" t="n">
        <v>5</v>
      </c>
      <c r="B1432" s="23" t="n">
        <v>428</v>
      </c>
      <c r="C1432" s="23" t="n">
        <v>4428</v>
      </c>
      <c r="D1432" s="23" t="inlineStr">
        <is>
          <t>0402108005</t>
        </is>
      </c>
      <c r="E1432" s="11" t="inlineStr">
        <is>
          <t>Region IV-A (CALABARZON)</t>
        </is>
      </c>
      <c r="F1432" s="11" t="inlineStr">
        <is>
          <t>Cavite</t>
        </is>
      </c>
      <c r="G1432" s="11" t="inlineStr">
        <is>
          <t>City of General Trias</t>
        </is>
      </c>
      <c r="H1432" s="11" t="inlineStr">
        <is>
          <t>Dulong Bayan Pob.</t>
        </is>
      </c>
      <c r="I1432" s="24" t="n">
        <v>14.390678</v>
      </c>
      <c r="J1432" s="24" t="n">
        <v>120.883833</v>
      </c>
      <c r="K1432" s="23" t="inlineStr">
        <is>
          <t>R</t>
        </is>
      </c>
      <c r="L1432" s="25" t="n">
        <v>956</v>
      </c>
      <c r="M1432" s="26" t="n">
        <v>3.4</v>
      </c>
      <c r="N1432" s="25">
        <f>ROUND(L1432/M1432, 0)</f>
        <v/>
      </c>
      <c r="O1432" s="25">
        <f>ROUND(N1432*'Methodology &amp; Assumptions'!$B$7, 0)</f>
        <v/>
      </c>
      <c r="P1432" s="23" t="inlineStr">
        <is>
          <t>Single Carrier (Band n50, 100MHz TDD)</t>
        </is>
      </c>
      <c r="Q1432" s="27">
        <f>ROUNDUP(O1432/'Methodology &amp; Assumptions'!$B$8, 0)</f>
        <v/>
      </c>
      <c r="R1432" s="27" t="n">
        <v>1</v>
      </c>
      <c r="S1432" s="26" t="n">
        <v>1.55</v>
      </c>
      <c r="T1432" s="26" t="n">
        <v>1.61</v>
      </c>
      <c r="U1432" s="11">
        <f>IF(S1432&lt;='Methodology &amp; Assumptions'!$B$10, "Direct Optical Drop (&lt;3km)", IF(S1432&lt;='Methodology &amp; Assumptions'!$B$9, "Near Optical / Microwave (&lt;5km)", "Starlink Business LEO Satellite Backhaul (&gt;5km)"))</f>
        <v/>
      </c>
      <c r="V1432" s="26" t="n">
        <v>65.33</v>
      </c>
      <c r="W1432" s="26" t="n">
        <v>50.75</v>
      </c>
      <c r="X1432" s="26">
        <f>ROUND(('Methodology &amp; Assumptions'!$B$5*V1432) + ('Methodology &amp; Assumptions'!$B$6*W1432), 2)</f>
        <v/>
      </c>
      <c r="Y1432" s="28" t="n">
        <v>7.2</v>
      </c>
      <c r="Z1432" s="11" t="inlineStr">
        <is>
          <t>Priority Tier 3 (Broadband Expansion)</t>
        </is>
      </c>
    </row>
    <row r="1433">
      <c r="A1433" s="23" t="n">
        <v>5</v>
      </c>
      <c r="B1433" s="23" t="n">
        <v>429</v>
      </c>
      <c r="C1433" s="23" t="n">
        <v>4429</v>
      </c>
      <c r="D1433" s="23" t="inlineStr">
        <is>
          <t>0405619042</t>
        </is>
      </c>
      <c r="E1433" s="11" t="inlineStr">
        <is>
          <t>Region IV-A (CALABARZON)</t>
        </is>
      </c>
      <c r="F1433" s="11" t="inlineStr">
        <is>
          <t>Quezon</t>
        </is>
      </c>
      <c r="G1433" s="11" t="inlineStr">
        <is>
          <t>Gumaca</t>
        </is>
      </c>
      <c r="H1433" s="11" t="inlineStr">
        <is>
          <t>San Isidro Kanluran</t>
        </is>
      </c>
      <c r="I1433" s="24" t="n">
        <v>13.870714</v>
      </c>
      <c r="J1433" s="24" t="n">
        <v>122.085781</v>
      </c>
      <c r="K1433" s="23" t="inlineStr">
        <is>
          <t>R</t>
        </is>
      </c>
      <c r="L1433" s="25" t="n">
        <v>192</v>
      </c>
      <c r="M1433" s="26" t="n">
        <v>3.8</v>
      </c>
      <c r="N1433" s="25">
        <f>ROUND(L1433/M1433, 0)</f>
        <v/>
      </c>
      <c r="O1433" s="25">
        <f>ROUND(N1433*'Methodology &amp; Assumptions'!$B$7, 0)</f>
        <v/>
      </c>
      <c r="P1433" s="23" t="inlineStr">
        <is>
          <t>Single Carrier (Band n50, 100MHz TDD)</t>
        </is>
      </c>
      <c r="Q1433" s="27">
        <f>ROUNDUP(O1433/'Methodology &amp; Assumptions'!$B$8, 0)</f>
        <v/>
      </c>
      <c r="R1433" s="27" t="n">
        <v>1</v>
      </c>
      <c r="S1433" s="26" t="n">
        <v>6.26</v>
      </c>
      <c r="T1433" s="26" t="n">
        <v>1.72</v>
      </c>
      <c r="U1433" s="11">
        <f>IF(S1433&lt;='Methodology &amp; Assumptions'!$B$10, "Direct Optical Drop (&lt;3km)", IF(S1433&lt;='Methodology &amp; Assumptions'!$B$9, "Near Optical / Microwave (&lt;5km)", "Starlink Business LEO Satellite Backhaul (&gt;5km)"))</f>
        <v/>
      </c>
      <c r="V1433" s="26" t="n">
        <v>47.09</v>
      </c>
      <c r="W1433" s="26" t="n">
        <v>68.98999999999999</v>
      </c>
      <c r="X1433" s="26">
        <f>ROUND(('Methodology &amp; Assumptions'!$B$5*V1433) + ('Methodology &amp; Assumptions'!$B$6*W1433), 2)</f>
        <v/>
      </c>
      <c r="Y1433" s="28" t="n">
        <v>7.2</v>
      </c>
      <c r="Z1433" s="11" t="inlineStr">
        <is>
          <t>Priority Tier 3 (Broadband Expansion)</t>
        </is>
      </c>
    </row>
    <row r="1434">
      <c r="A1434" s="23" t="n">
        <v>5</v>
      </c>
      <c r="B1434" s="23" t="n">
        <v>430</v>
      </c>
      <c r="C1434" s="23" t="n">
        <v>4430</v>
      </c>
      <c r="D1434" s="23" t="inlineStr">
        <is>
          <t>0504111016</t>
        </is>
      </c>
      <c r="E1434" s="11" t="inlineStr">
        <is>
          <t>Region V (Bicol Region)</t>
        </is>
      </c>
      <c r="F1434" s="11" t="inlineStr">
        <is>
          <t>Masbate</t>
        </is>
      </c>
      <c r="G1434" s="11" t="inlineStr">
        <is>
          <t>City of Masbate</t>
        </is>
      </c>
      <c r="H1434" s="11" t="inlineStr">
        <is>
          <t>F. Magallanes</t>
        </is>
      </c>
      <c r="I1434" s="24" t="n">
        <v>12.364405</v>
      </c>
      <c r="J1434" s="24" t="n">
        <v>123.622475</v>
      </c>
      <c r="K1434" s="23" t="inlineStr">
        <is>
          <t>U</t>
        </is>
      </c>
      <c r="L1434" s="25" t="n">
        <v>3376</v>
      </c>
      <c r="M1434" s="26" t="n">
        <v>4.1</v>
      </c>
      <c r="N1434" s="25">
        <f>ROUND(L1434/M1434, 0)</f>
        <v/>
      </c>
      <c r="O1434" s="25">
        <f>ROUND(N1434*'Methodology &amp; Assumptions'!$B$7, 0)</f>
        <v/>
      </c>
      <c r="P1434" s="23" t="inlineStr">
        <is>
          <t>Single Carrier (Band n50, 100MHz TDD)</t>
        </is>
      </c>
      <c r="Q1434" s="27">
        <f>ROUNDUP(O1434/'Methodology &amp; Assumptions'!$B$8, 0)</f>
        <v/>
      </c>
      <c r="R1434" s="27" t="n">
        <v>1</v>
      </c>
      <c r="S1434" s="26" t="n">
        <v>0.98</v>
      </c>
      <c r="T1434" s="26" t="n">
        <v>0.28</v>
      </c>
      <c r="U1434" s="11">
        <f>IF(S1434&lt;='Methodology &amp; Assumptions'!$B$10, "Direct Optical Drop (&lt;3km)", IF(S1434&lt;='Methodology &amp; Assumptions'!$B$9, "Near Optical / Microwave (&lt;5km)", "Starlink Business LEO Satellite Backhaul (&gt;5km)"))</f>
        <v/>
      </c>
      <c r="V1434" s="26" t="n">
        <v>78.78</v>
      </c>
      <c r="W1434" s="26" t="n">
        <v>37.28</v>
      </c>
      <c r="X1434" s="26">
        <f>ROUND(('Methodology &amp; Assumptions'!$B$5*V1434) + ('Methodology &amp; Assumptions'!$B$6*W1434), 2)</f>
        <v/>
      </c>
      <c r="Y1434" s="28" t="n">
        <v>23.7</v>
      </c>
      <c r="Z1434" s="11" t="inlineStr">
        <is>
          <t>Priority Tier 3 (Broadband Expansion)</t>
        </is>
      </c>
    </row>
    <row r="1435">
      <c r="A1435" s="23" t="n">
        <v>5</v>
      </c>
      <c r="B1435" s="23" t="n">
        <v>431</v>
      </c>
      <c r="C1435" s="23" t="n">
        <v>4431</v>
      </c>
      <c r="D1435" s="23" t="inlineStr">
        <is>
          <t>1402706019</t>
        </is>
      </c>
      <c r="E1435" s="11" t="inlineStr">
        <is>
          <t>Cordillera Administrative Region (CAR)</t>
        </is>
      </c>
      <c r="F1435" s="11" t="inlineStr">
        <is>
          <t>Ifugao</t>
        </is>
      </c>
      <c r="G1435" s="11" t="inlineStr">
        <is>
          <t>Mayoyao</t>
        </is>
      </c>
      <c r="H1435" s="11" t="inlineStr">
        <is>
          <t>Liwo</t>
        </is>
      </c>
      <c r="I1435" s="24" t="n">
        <v>16.981902</v>
      </c>
      <c r="J1435" s="24" t="n">
        <v>121.262061</v>
      </c>
      <c r="K1435" s="23" t="inlineStr">
        <is>
          <t>R</t>
        </is>
      </c>
      <c r="L1435" s="25" t="n">
        <v>196</v>
      </c>
      <c r="M1435" s="26" t="n">
        <v>3.9</v>
      </c>
      <c r="N1435" s="25">
        <f>ROUND(L1435/M1435, 0)</f>
        <v/>
      </c>
      <c r="O1435" s="25">
        <f>ROUND(N1435*'Methodology &amp; Assumptions'!$B$7, 0)</f>
        <v/>
      </c>
      <c r="P1435" s="23" t="inlineStr">
        <is>
          <t>Single Carrier (Band n50, 100MHz TDD)</t>
        </is>
      </c>
      <c r="Q1435" s="27">
        <f>ROUNDUP(O1435/'Methodology &amp; Assumptions'!$B$8, 0)</f>
        <v/>
      </c>
      <c r="R1435" s="27" t="n">
        <v>1</v>
      </c>
      <c r="S1435" s="26" t="n">
        <v>4.41</v>
      </c>
      <c r="T1435" s="26" t="n">
        <v>22.24</v>
      </c>
      <c r="U1435" s="11">
        <f>IF(S1435&lt;='Methodology &amp; Assumptions'!$B$10, "Direct Optical Drop (&lt;3km)", IF(S1435&lt;='Methodology &amp; Assumptions'!$B$9, "Near Optical / Microwave (&lt;5km)", "Starlink Business LEO Satellite Backhaul (&gt;5km)"))</f>
        <v/>
      </c>
      <c r="V1435" s="26" t="n">
        <v>45.72</v>
      </c>
      <c r="W1435" s="26" t="n">
        <v>70.34999999999999</v>
      </c>
      <c r="X1435" s="26">
        <f>ROUND(('Methodology &amp; Assumptions'!$B$5*V1435) + ('Methodology &amp; Assumptions'!$B$6*W1435), 2)</f>
        <v/>
      </c>
      <c r="Y1435" s="28" t="n">
        <v>10.9</v>
      </c>
      <c r="Z1435" s="11" t="inlineStr">
        <is>
          <t>Priority Tier 3 (Broadband Expansion)</t>
        </is>
      </c>
    </row>
    <row r="1436">
      <c r="A1436" s="23" t="n">
        <v>5</v>
      </c>
      <c r="B1436" s="23" t="n">
        <v>432</v>
      </c>
      <c r="C1436" s="23" t="n">
        <v>4432</v>
      </c>
      <c r="D1436" s="23" t="inlineStr">
        <is>
          <t>0501605008</t>
        </is>
      </c>
      <c r="E1436" s="11" t="inlineStr">
        <is>
          <t>Region V (Bicol Region)</t>
        </is>
      </c>
      <c r="F1436" s="11" t="inlineStr">
        <is>
          <t>Camarines Norte</t>
        </is>
      </c>
      <c r="G1436" s="11" t="inlineStr">
        <is>
          <t>Jose Panganiban</t>
        </is>
      </c>
      <c r="H1436" s="11" t="inlineStr">
        <is>
          <t>Motherlode</t>
        </is>
      </c>
      <c r="I1436" s="24" t="n">
        <v>14.282801</v>
      </c>
      <c r="J1436" s="24" t="n">
        <v>122.697792</v>
      </c>
      <c r="K1436" s="23" t="inlineStr">
        <is>
          <t>R</t>
        </is>
      </c>
      <c r="L1436" s="25" t="n">
        <v>2963</v>
      </c>
      <c r="M1436" s="26" t="n">
        <v>4</v>
      </c>
      <c r="N1436" s="25">
        <f>ROUND(L1436/M1436, 0)</f>
        <v/>
      </c>
      <c r="O1436" s="25">
        <f>ROUND(N1436*'Methodology &amp; Assumptions'!$B$7, 0)</f>
        <v/>
      </c>
      <c r="P1436" s="23" t="inlineStr">
        <is>
          <t>Single Carrier (Band n50, 100MHz TDD)</t>
        </is>
      </c>
      <c r="Q1436" s="27">
        <f>ROUNDUP(O1436/'Methodology &amp; Assumptions'!$B$8, 0)</f>
        <v/>
      </c>
      <c r="R1436" s="27" t="n">
        <v>1</v>
      </c>
      <c r="S1436" s="26" t="n">
        <v>0.1</v>
      </c>
      <c r="T1436" s="26" t="n">
        <v>9.949999999999999</v>
      </c>
      <c r="U1436" s="11">
        <f>IF(S1436&lt;='Methodology &amp; Assumptions'!$B$10, "Direct Optical Drop (&lt;3km)", IF(S1436&lt;='Methodology &amp; Assumptions'!$B$9, "Near Optical / Microwave (&lt;5km)", "Starlink Business LEO Satellite Backhaul (&gt;5km)"))</f>
        <v/>
      </c>
      <c r="V1436" s="26" t="n">
        <v>83.53</v>
      </c>
      <c r="W1436" s="26" t="n">
        <v>32.51</v>
      </c>
      <c r="X1436" s="26">
        <f>ROUND(('Methodology &amp; Assumptions'!$B$5*V1436) + ('Methodology &amp; Assumptions'!$B$6*W1436), 2)</f>
        <v/>
      </c>
      <c r="Y1436" s="28" t="n">
        <v>23.7</v>
      </c>
      <c r="Z1436" s="11" t="inlineStr">
        <is>
          <t>Priority Tier 3 (Broadband Expansion)</t>
        </is>
      </c>
    </row>
    <row r="1437">
      <c r="A1437" s="23" t="n">
        <v>5</v>
      </c>
      <c r="B1437" s="23" t="n">
        <v>433</v>
      </c>
      <c r="C1437" s="23" t="n">
        <v>4433</v>
      </c>
      <c r="D1437" s="23" t="inlineStr">
        <is>
          <t>0403415011</t>
        </is>
      </c>
      <c r="E1437" s="11" t="inlineStr">
        <is>
          <t>Region IV-A (CALABARZON)</t>
        </is>
      </c>
      <c r="F1437" s="11" t="inlineStr">
        <is>
          <t>Laguna</t>
        </is>
      </c>
      <c r="G1437" s="11" t="inlineStr">
        <is>
          <t>Magdalena</t>
        </is>
      </c>
      <c r="H1437" s="11" t="inlineStr">
        <is>
          <t>Cigaras</t>
        </is>
      </c>
      <c r="I1437" s="24" t="n">
        <v>14.223782</v>
      </c>
      <c r="J1437" s="24" t="n">
        <v>121.43004</v>
      </c>
      <c r="K1437" s="23" t="inlineStr">
        <is>
          <t>R</t>
        </is>
      </c>
      <c r="L1437" s="25" t="n">
        <v>3939</v>
      </c>
      <c r="M1437" s="26" t="n">
        <v>3.3</v>
      </c>
      <c r="N1437" s="25">
        <f>ROUND(L1437/M1437, 0)</f>
        <v/>
      </c>
      <c r="O1437" s="25">
        <f>ROUND(N1437*'Methodology &amp; Assumptions'!$B$7, 0)</f>
        <v/>
      </c>
      <c r="P1437" s="23" t="inlineStr">
        <is>
          <t>Single Carrier (Band n50, 100MHz TDD)</t>
        </is>
      </c>
      <c r="Q1437" s="27">
        <f>ROUNDUP(O1437/'Methodology &amp; Assumptions'!$B$8, 0)</f>
        <v/>
      </c>
      <c r="R1437" s="27" t="n">
        <v>1</v>
      </c>
      <c r="S1437" s="26" t="n">
        <v>2.81</v>
      </c>
      <c r="T1437" s="26" t="n">
        <v>0.17</v>
      </c>
      <c r="U1437" s="11">
        <f>IF(S1437&lt;='Methodology &amp; Assumptions'!$B$10, "Direct Optical Drop (&lt;3km)", IF(S1437&lt;='Methodology &amp; Assumptions'!$B$9, "Near Optical / Microwave (&lt;5km)", "Starlink Business LEO Satellite Backhaul (&gt;5km)"))</f>
        <v/>
      </c>
      <c r="V1437" s="26" t="n">
        <v>78.59999999999999</v>
      </c>
      <c r="W1437" s="26" t="n">
        <v>37.44</v>
      </c>
      <c r="X1437" s="26">
        <f>ROUND(('Methodology &amp; Assumptions'!$B$5*V1437) + ('Methodology &amp; Assumptions'!$B$6*W1437), 2)</f>
        <v/>
      </c>
      <c r="Y1437" s="28" t="n">
        <v>7.2</v>
      </c>
      <c r="Z1437" s="11" t="inlineStr">
        <is>
          <t>Priority Tier 3 (Broadband Expansion)</t>
        </is>
      </c>
    </row>
    <row r="1438">
      <c r="A1438" s="23" t="n">
        <v>5</v>
      </c>
      <c r="B1438" s="23" t="n">
        <v>434</v>
      </c>
      <c r="C1438" s="23" t="n">
        <v>4434</v>
      </c>
      <c r="D1438" s="23" t="inlineStr">
        <is>
          <t>0304932003</t>
        </is>
      </c>
      <c r="E1438" s="11" t="inlineStr">
        <is>
          <t>Region III (Central Luzon)</t>
        </is>
      </c>
      <c r="F1438" s="11" t="inlineStr">
        <is>
          <t>Nueva Ecija</t>
        </is>
      </c>
      <c r="G1438" s="11" t="inlineStr">
        <is>
          <t>Zaragoza</t>
        </is>
      </c>
      <c r="H1438" s="11" t="inlineStr">
        <is>
          <t>Carmen</t>
        </is>
      </c>
      <c r="I1438" s="24" t="n">
        <v>15.445833</v>
      </c>
      <c r="J1438" s="24" t="n">
        <v>120.827222</v>
      </c>
      <c r="K1438" s="23" t="inlineStr">
        <is>
          <t>R</t>
        </is>
      </c>
      <c r="L1438" s="25" t="n">
        <v>3949</v>
      </c>
      <c r="M1438" s="26" t="n">
        <v>3.5</v>
      </c>
      <c r="N1438" s="25">
        <f>ROUND(L1438/M1438, 0)</f>
        <v/>
      </c>
      <c r="O1438" s="25">
        <f>ROUND(N1438*'Methodology &amp; Assumptions'!$B$7, 0)</f>
        <v/>
      </c>
      <c r="P1438" s="23" t="inlineStr">
        <is>
          <t>Single Carrier (Band n50, 100MHz TDD)</t>
        </is>
      </c>
      <c r="Q1438" s="27">
        <f>ROUNDUP(O1438/'Methodology &amp; Assumptions'!$B$8, 0)</f>
        <v/>
      </c>
      <c r="R1438" s="27" t="n">
        <v>1</v>
      </c>
      <c r="S1438" s="26" t="n">
        <v>4.04</v>
      </c>
      <c r="T1438" s="26" t="n">
        <v>0.03</v>
      </c>
      <c r="U1438" s="11">
        <f>IF(S1438&lt;='Methodology &amp; Assumptions'!$B$10, "Direct Optical Drop (&lt;3km)", IF(S1438&lt;='Methodology &amp; Assumptions'!$B$9, "Near Optical / Microwave (&lt;5km)", "Starlink Business LEO Satellite Backhaul (&gt;5km)"))</f>
        <v/>
      </c>
      <c r="V1438" s="26" t="n">
        <v>75.93000000000001</v>
      </c>
      <c r="W1438" s="26" t="n">
        <v>40.11</v>
      </c>
      <c r="X1438" s="26">
        <f>ROUND(('Methodology &amp; Assumptions'!$B$5*V1438) + ('Methodology &amp; Assumptions'!$B$6*W1438), 2)</f>
        <v/>
      </c>
      <c r="Y1438" s="28" t="n">
        <v>8.300000000000001</v>
      </c>
      <c r="Z1438" s="11" t="inlineStr">
        <is>
          <t>Priority Tier 3 (Broadband Expansion)</t>
        </is>
      </c>
    </row>
    <row r="1439">
      <c r="A1439" s="23" t="n">
        <v>5</v>
      </c>
      <c r="B1439" s="23" t="n">
        <v>435</v>
      </c>
      <c r="C1439" s="23" t="n">
        <v>4435</v>
      </c>
      <c r="D1439" s="23" t="inlineStr">
        <is>
          <t>0105546005</t>
        </is>
      </c>
      <c r="E1439" s="11" t="inlineStr">
        <is>
          <t>Region I (Ilocos Region)</t>
        </is>
      </c>
      <c r="F1439" s="11" t="inlineStr">
        <is>
          <t>Pangasinan</t>
        </is>
      </c>
      <c r="G1439" s="11" t="inlineStr">
        <is>
          <t>City of Urdaneta</t>
        </is>
      </c>
      <c r="H1439" s="11" t="inlineStr">
        <is>
          <t>Bayaoas</t>
        </is>
      </c>
      <c r="I1439" s="24" t="n">
        <v>15.976113</v>
      </c>
      <c r="J1439" s="24" t="n">
        <v>120.580119</v>
      </c>
      <c r="K1439" s="23" t="inlineStr">
        <is>
          <t>U</t>
        </is>
      </c>
      <c r="L1439" s="25" t="n">
        <v>5835</v>
      </c>
      <c r="M1439" s="26" t="n">
        <v>3.6</v>
      </c>
      <c r="N1439" s="25">
        <f>ROUND(L1439/M1439, 0)</f>
        <v/>
      </c>
      <c r="O1439" s="25">
        <f>ROUND(N1439*'Methodology &amp; Assumptions'!$B$7, 0)</f>
        <v/>
      </c>
      <c r="P1439" s="23" t="inlineStr">
        <is>
          <t>Single Carrier (Band n50, 100MHz TDD)</t>
        </is>
      </c>
      <c r="Q1439" s="27">
        <f>ROUNDUP(O1439/'Methodology &amp; Assumptions'!$B$8, 0)</f>
        <v/>
      </c>
      <c r="R1439" s="27" t="n">
        <v>1</v>
      </c>
      <c r="S1439" s="26" t="n">
        <v>1.9</v>
      </c>
      <c r="T1439" s="26" t="n">
        <v>1</v>
      </c>
      <c r="U1439" s="11">
        <f>IF(S1439&lt;='Methodology &amp; Assumptions'!$B$10, "Direct Optical Drop (&lt;3km)", IF(S1439&lt;='Methodology &amp; Assumptions'!$B$9, "Near Optical / Microwave (&lt;5km)", "Starlink Business LEO Satellite Backhaul (&gt;5km)"))</f>
        <v/>
      </c>
      <c r="V1439" s="26" t="n">
        <v>74.52</v>
      </c>
      <c r="W1439" s="26" t="n">
        <v>41.52</v>
      </c>
      <c r="X1439" s="26">
        <f>ROUND(('Methodology &amp; Assumptions'!$B$5*V1439) + ('Methodology &amp; Assumptions'!$B$6*W1439), 2)</f>
        <v/>
      </c>
      <c r="Y1439" s="28" t="n">
        <v>8.300000000000001</v>
      </c>
      <c r="Z1439" s="11" t="inlineStr">
        <is>
          <t>Priority Tier 3 (Broadband Expansion)</t>
        </is>
      </c>
    </row>
    <row r="1440">
      <c r="A1440" s="23" t="n">
        <v>5</v>
      </c>
      <c r="B1440" s="23" t="n">
        <v>436</v>
      </c>
      <c r="C1440" s="23" t="n">
        <v>4436</v>
      </c>
      <c r="D1440" s="23" t="inlineStr">
        <is>
          <t>0803739021</t>
        </is>
      </c>
      <c r="E1440" s="11" t="inlineStr">
        <is>
          <t>Region VIII (Eastern Visayas)</t>
        </is>
      </c>
      <c r="F1440" s="11" t="inlineStr">
        <is>
          <t>Leyte</t>
        </is>
      </c>
      <c r="G1440" s="11" t="inlineStr">
        <is>
          <t>Palo</t>
        </is>
      </c>
      <c r="H1440" s="11" t="inlineStr">
        <is>
          <t>Cavite East</t>
        </is>
      </c>
      <c r="I1440" s="24" t="n">
        <v>11.155192</v>
      </c>
      <c r="J1440" s="24" t="n">
        <v>124.986146</v>
      </c>
      <c r="K1440" s="23" t="inlineStr">
        <is>
          <t>U</t>
        </is>
      </c>
      <c r="L1440" s="25" t="n">
        <v>2869</v>
      </c>
      <c r="M1440" s="26" t="n">
        <v>3.8</v>
      </c>
      <c r="N1440" s="25">
        <f>ROUND(L1440/M1440, 0)</f>
        <v/>
      </c>
      <c r="O1440" s="25">
        <f>ROUND(N1440*'Methodology &amp; Assumptions'!$B$7, 0)</f>
        <v/>
      </c>
      <c r="P1440" s="23" t="inlineStr">
        <is>
          <t>Single Carrier (Band n50, 100MHz TDD)</t>
        </is>
      </c>
      <c r="Q1440" s="27">
        <f>ROUNDUP(O1440/'Methodology &amp; Assumptions'!$B$8, 0)</f>
        <v/>
      </c>
      <c r="R1440" s="27" t="n">
        <v>1</v>
      </c>
      <c r="S1440" s="26" t="n">
        <v>1.66</v>
      </c>
      <c r="T1440" s="26" t="n">
        <v>0.6899999999999999</v>
      </c>
      <c r="U1440" s="11">
        <f>IF(S1440&lt;='Methodology &amp; Assumptions'!$B$10, "Direct Optical Drop (&lt;3km)", IF(S1440&lt;='Methodology &amp; Assumptions'!$B$9, "Near Optical / Microwave (&lt;5km)", "Starlink Business LEO Satellite Backhaul (&gt;5km)"))</f>
        <v/>
      </c>
      <c r="V1440" s="26" t="n">
        <v>74.11</v>
      </c>
      <c r="W1440" s="26" t="n">
        <v>41.93</v>
      </c>
      <c r="X1440" s="26">
        <f>ROUND(('Methodology &amp; Assumptions'!$B$5*V1440) + ('Methodology &amp; Assumptions'!$B$6*W1440), 2)</f>
        <v/>
      </c>
      <c r="Y1440" s="28" t="n">
        <v>23.7</v>
      </c>
      <c r="Z1440" s="11" t="inlineStr">
        <is>
          <t>Priority Tier 3 (Broadband Expansion)</t>
        </is>
      </c>
    </row>
    <row r="1441">
      <c r="A1441" s="23" t="n">
        <v>5</v>
      </c>
      <c r="B1441" s="23" t="n">
        <v>437</v>
      </c>
      <c r="C1441" s="23" t="n">
        <v>4437</v>
      </c>
      <c r="D1441" s="23" t="inlineStr">
        <is>
          <t>1600304013</t>
        </is>
      </c>
      <c r="E1441" s="11" t="inlineStr">
        <is>
          <t>Region XIII (Caraga)</t>
        </is>
      </c>
      <c r="F1441" s="11" t="inlineStr">
        <is>
          <t>Agusan del Sur</t>
        </is>
      </c>
      <c r="G1441" s="11" t="inlineStr">
        <is>
          <t>La Paz</t>
        </is>
      </c>
      <c r="H1441" s="11" t="inlineStr">
        <is>
          <t>Sabang Adgawan</t>
        </is>
      </c>
      <c r="I1441" s="24" t="n">
        <v>8.316737</v>
      </c>
      <c r="J1441" s="24" t="n">
        <v>125.8835</v>
      </c>
      <c r="K1441" s="23" t="inlineStr">
        <is>
          <t>R</t>
        </is>
      </c>
      <c r="L1441" s="25" t="n">
        <v>1861</v>
      </c>
      <c r="M1441" s="26" t="n">
        <v>3.9</v>
      </c>
      <c r="N1441" s="25">
        <f>ROUND(L1441/M1441, 0)</f>
        <v/>
      </c>
      <c r="O1441" s="25">
        <f>ROUND(N1441*'Methodology &amp; Assumptions'!$B$7, 0)</f>
        <v/>
      </c>
      <c r="P1441" s="23" t="inlineStr">
        <is>
          <t>Single Carrier (Band n50, 100MHz TDD)</t>
        </is>
      </c>
      <c r="Q1441" s="27">
        <f>ROUNDUP(O1441/'Methodology &amp; Assumptions'!$B$8, 0)</f>
        <v/>
      </c>
      <c r="R1441" s="27" t="n">
        <v>1</v>
      </c>
      <c r="S1441" s="26" t="n">
        <v>13.37</v>
      </c>
      <c r="T1441" s="26" t="n">
        <v>12.39</v>
      </c>
      <c r="U1441" s="11">
        <f>IF(S1441&lt;='Methodology &amp; Assumptions'!$B$10, "Direct Optical Drop (&lt;3km)", IF(S1441&lt;='Methodology &amp; Assumptions'!$B$9, "Near Optical / Microwave (&lt;5km)", "Starlink Business LEO Satellite Backhaul (&gt;5km)"))</f>
        <v/>
      </c>
      <c r="V1441" s="26" t="n">
        <v>51.45</v>
      </c>
      <c r="W1441" s="26" t="n">
        <v>64.59</v>
      </c>
      <c r="X1441" s="26">
        <f>ROUND(('Methodology &amp; Assumptions'!$B$5*V1441) + ('Methodology &amp; Assumptions'!$B$6*W1441), 2)</f>
        <v/>
      </c>
      <c r="Y1441" s="28" t="n">
        <v>17.4</v>
      </c>
      <c r="Z1441" s="11" t="inlineStr">
        <is>
          <t>Priority Tier 3 (Broadband Expansion)</t>
        </is>
      </c>
    </row>
    <row r="1442">
      <c r="A1442" s="23" t="n">
        <v>5</v>
      </c>
      <c r="B1442" s="23" t="n">
        <v>438</v>
      </c>
      <c r="C1442" s="23" t="n">
        <v>4438</v>
      </c>
      <c r="D1442" s="23" t="inlineStr">
        <is>
          <t>1403201016</t>
        </is>
      </c>
      <c r="E1442" s="11" t="inlineStr">
        <is>
          <t>Cordillera Administrative Region (CAR)</t>
        </is>
      </c>
      <c r="F1442" s="11" t="inlineStr">
        <is>
          <t>Kalinga</t>
        </is>
      </c>
      <c r="G1442" s="11" t="inlineStr">
        <is>
          <t>Balbalan</t>
        </is>
      </c>
      <c r="H1442" s="11" t="inlineStr">
        <is>
          <t>Tawang</t>
        </is>
      </c>
      <c r="I1442" s="24" t="n">
        <v>17.535372</v>
      </c>
      <c r="J1442" s="24" t="n">
        <v>121.147224</v>
      </c>
      <c r="K1442" s="23" t="inlineStr">
        <is>
          <t>R</t>
        </is>
      </c>
      <c r="L1442" s="25" t="n">
        <v>836</v>
      </c>
      <c r="M1442" s="26" t="n">
        <v>4.3</v>
      </c>
      <c r="N1442" s="25">
        <f>ROUND(L1442/M1442, 0)</f>
        <v/>
      </c>
      <c r="O1442" s="25">
        <f>ROUND(N1442*'Methodology &amp; Assumptions'!$B$7, 0)</f>
        <v/>
      </c>
      <c r="P1442" s="23" t="inlineStr">
        <is>
          <t>Single Carrier (Band n50, 100MHz TDD)</t>
        </is>
      </c>
      <c r="Q1442" s="27">
        <f>ROUNDUP(O1442/'Methodology &amp; Assumptions'!$B$8, 0)</f>
        <v/>
      </c>
      <c r="R1442" s="27" t="n">
        <v>1</v>
      </c>
      <c r="S1442" s="26" t="n">
        <v>20.65</v>
      </c>
      <c r="T1442" s="26" t="n">
        <v>16.9</v>
      </c>
      <c r="U1442" s="11">
        <f>IF(S1442&lt;='Methodology &amp; Assumptions'!$B$10, "Direct Optical Drop (&lt;3km)", IF(S1442&lt;='Methodology &amp; Assumptions'!$B$9, "Near Optical / Microwave (&lt;5km)", "Starlink Business LEO Satellite Backhaul (&gt;5km)"))</f>
        <v/>
      </c>
      <c r="V1442" s="26" t="n">
        <v>39</v>
      </c>
      <c r="W1442" s="26" t="n">
        <v>77.03</v>
      </c>
      <c r="X1442" s="26">
        <f>ROUND(('Methodology &amp; Assumptions'!$B$5*V1442) + ('Methodology &amp; Assumptions'!$B$6*W1442), 2)</f>
        <v/>
      </c>
      <c r="Y1442" s="28" t="n">
        <v>10.9</v>
      </c>
      <c r="Z1442" s="11" t="inlineStr">
        <is>
          <t>Priority Tier 3 (Broadband Expansion)</t>
        </is>
      </c>
    </row>
    <row r="1443">
      <c r="A1443" s="23" t="n">
        <v>5</v>
      </c>
      <c r="B1443" s="23" t="n">
        <v>439</v>
      </c>
      <c r="C1443" s="23" t="n">
        <v>4439</v>
      </c>
      <c r="D1443" s="23" t="inlineStr">
        <is>
          <t>0500514045</t>
        </is>
      </c>
      <c r="E1443" s="11" t="inlineStr">
        <is>
          <t>Region V (Bicol Region)</t>
        </is>
      </c>
      <c r="F1443" s="11" t="inlineStr">
        <is>
          <t>Albay</t>
        </is>
      </c>
      <c r="G1443" s="11" t="inlineStr">
        <is>
          <t>Polangui</t>
        </is>
      </c>
      <c r="H1443" s="11" t="inlineStr">
        <is>
          <t>Sugcad</t>
        </is>
      </c>
      <c r="I1443" s="24" t="n">
        <v>13.303987</v>
      </c>
      <c r="J1443" s="24" t="n">
        <v>123.488519</v>
      </c>
      <c r="K1443" s="23" t="inlineStr">
        <is>
          <t>R</t>
        </is>
      </c>
      <c r="L1443" s="25" t="n">
        <v>4095</v>
      </c>
      <c r="M1443" s="26" t="n">
        <v>4.1</v>
      </c>
      <c r="N1443" s="25">
        <f>ROUND(L1443/M1443, 0)</f>
        <v/>
      </c>
      <c r="O1443" s="25">
        <f>ROUND(N1443*'Methodology &amp; Assumptions'!$B$7, 0)</f>
        <v/>
      </c>
      <c r="P1443" s="23" t="inlineStr">
        <is>
          <t>Single Carrier (Band n50, 100MHz TDD)</t>
        </is>
      </c>
      <c r="Q1443" s="27">
        <f>ROUNDUP(O1443/'Methodology &amp; Assumptions'!$B$8, 0)</f>
        <v/>
      </c>
      <c r="R1443" s="27" t="n">
        <v>1</v>
      </c>
      <c r="S1443" s="26" t="n">
        <v>1.33</v>
      </c>
      <c r="T1443" s="26" t="n">
        <v>0.18</v>
      </c>
      <c r="U1443" s="11">
        <f>IF(S1443&lt;='Methodology &amp; Assumptions'!$B$10, "Direct Optical Drop (&lt;3km)", IF(S1443&lt;='Methodology &amp; Assumptions'!$B$9, "Near Optical / Microwave (&lt;5km)", "Starlink Business LEO Satellite Backhaul (&gt;5km)"))</f>
        <v/>
      </c>
      <c r="V1443" s="26" t="n">
        <v>86.20999999999999</v>
      </c>
      <c r="W1443" s="26" t="n">
        <v>29.8</v>
      </c>
      <c r="X1443" s="26">
        <f>ROUND(('Methodology &amp; Assumptions'!$B$5*V1443) + ('Methodology &amp; Assumptions'!$B$6*W1443), 2)</f>
        <v/>
      </c>
      <c r="Y1443" s="28" t="n">
        <v>23.7</v>
      </c>
      <c r="Z1443" s="11" t="inlineStr">
        <is>
          <t>Priority Tier 3 (Broadband Expansion)</t>
        </is>
      </c>
    </row>
    <row r="1444">
      <c r="A1444" s="23" t="n">
        <v>5</v>
      </c>
      <c r="B1444" s="23" t="n">
        <v>440</v>
      </c>
      <c r="C1444" s="23" t="n">
        <v>4440</v>
      </c>
      <c r="D1444" s="23" t="inlineStr">
        <is>
          <t>0307104010</t>
        </is>
      </c>
      <c r="E1444" s="11" t="inlineStr">
        <is>
          <t>Region III (Central Luzon)</t>
        </is>
      </c>
      <c r="F1444" s="11" t="inlineStr">
        <is>
          <t>Zambales</t>
        </is>
      </c>
      <c r="G1444" s="11" t="inlineStr">
        <is>
          <t>Castillejos</t>
        </is>
      </c>
      <c r="H1444" s="11" t="inlineStr">
        <is>
          <t>San Jose</t>
        </is>
      </c>
      <c r="I1444" s="24" t="n">
        <v>14.937764</v>
      </c>
      <c r="J1444" s="24" t="n">
        <v>120.196449</v>
      </c>
      <c r="K1444" s="23" t="inlineStr">
        <is>
          <t>R</t>
        </is>
      </c>
      <c r="L1444" s="25" t="n">
        <v>3977</v>
      </c>
      <c r="M1444" s="26" t="n">
        <v>3.8</v>
      </c>
      <c r="N1444" s="25">
        <f>ROUND(L1444/M1444, 0)</f>
        <v/>
      </c>
      <c r="O1444" s="25">
        <f>ROUND(N1444*'Methodology &amp; Assumptions'!$B$7, 0)</f>
        <v/>
      </c>
      <c r="P1444" s="23" t="inlineStr">
        <is>
          <t>Single Carrier (Band n50, 100MHz TDD)</t>
        </is>
      </c>
      <c r="Q1444" s="27">
        <f>ROUNDUP(O1444/'Methodology &amp; Assumptions'!$B$8, 0)</f>
        <v/>
      </c>
      <c r="R1444" s="27" t="n">
        <v>1</v>
      </c>
      <c r="S1444" s="26" t="n">
        <v>0.99</v>
      </c>
      <c r="T1444" s="26" t="n">
        <v>0.13</v>
      </c>
      <c r="U1444" s="11">
        <f>IF(S1444&lt;='Methodology &amp; Assumptions'!$B$10, "Direct Optical Drop (&lt;3km)", IF(S1444&lt;='Methodology &amp; Assumptions'!$B$9, "Near Optical / Microwave (&lt;5km)", "Starlink Business LEO Satellite Backhaul (&gt;5km)"))</f>
        <v/>
      </c>
      <c r="V1444" s="26" t="n">
        <v>85.05</v>
      </c>
      <c r="W1444" s="26" t="n">
        <v>30.96</v>
      </c>
      <c r="X1444" s="26">
        <f>ROUND(('Methodology &amp; Assumptions'!$B$5*V1444) + ('Methodology &amp; Assumptions'!$B$6*W1444), 2)</f>
        <v/>
      </c>
      <c r="Y1444" s="28" t="n">
        <v>8.300000000000001</v>
      </c>
      <c r="Z1444" s="11" t="inlineStr">
        <is>
          <t>Priority Tier 3 (Broadband Expansion)</t>
        </is>
      </c>
    </row>
    <row r="1445">
      <c r="A1445" s="23" t="n">
        <v>5</v>
      </c>
      <c r="B1445" s="23" t="n">
        <v>441</v>
      </c>
      <c r="C1445" s="23" t="n">
        <v>4441</v>
      </c>
      <c r="D1445" s="23" t="inlineStr">
        <is>
          <t>0307114013</t>
        </is>
      </c>
      <c r="E1445" s="11" t="inlineStr">
        <is>
          <t>Region III (Central Luzon)</t>
        </is>
      </c>
      <c r="F1445" s="11" t="inlineStr">
        <is>
          <t>Zambales</t>
        </is>
      </c>
      <c r="G1445" s="11" t="inlineStr">
        <is>
          <t>Subic</t>
        </is>
      </c>
      <c r="H1445" s="11" t="inlineStr">
        <is>
          <t>Ilwas</t>
        </is>
      </c>
      <c r="I1445" s="24" t="n">
        <v>14.898976</v>
      </c>
      <c r="J1445" s="24" t="n">
        <v>120.223865</v>
      </c>
      <c r="K1445" s="23" t="inlineStr">
        <is>
          <t>R</t>
        </is>
      </c>
      <c r="L1445" s="25" t="n">
        <v>3097</v>
      </c>
      <c r="M1445" s="26" t="n">
        <v>3.8</v>
      </c>
      <c r="N1445" s="25">
        <f>ROUND(L1445/M1445, 0)</f>
        <v/>
      </c>
      <c r="O1445" s="25">
        <f>ROUND(N1445*'Methodology &amp; Assumptions'!$B$7, 0)</f>
        <v/>
      </c>
      <c r="P1445" s="23" t="inlineStr">
        <is>
          <t>Single Carrier (Band n50, 100MHz TDD)</t>
        </is>
      </c>
      <c r="Q1445" s="27">
        <f>ROUNDUP(O1445/'Methodology &amp; Assumptions'!$B$8, 0)</f>
        <v/>
      </c>
      <c r="R1445" s="27" t="n">
        <v>1</v>
      </c>
      <c r="S1445" s="26" t="n">
        <v>1.86</v>
      </c>
      <c r="T1445" s="26" t="n">
        <v>1.1</v>
      </c>
      <c r="U1445" s="11">
        <f>IF(S1445&lt;='Methodology &amp; Assumptions'!$B$10, "Direct Optical Drop (&lt;3km)", IF(S1445&lt;='Methodology &amp; Assumptions'!$B$9, "Near Optical / Microwave (&lt;5km)", "Starlink Business LEO Satellite Backhaul (&gt;5km)"))</f>
        <v/>
      </c>
      <c r="V1445" s="26" t="n">
        <v>81.68000000000001</v>
      </c>
      <c r="W1445" s="26" t="n">
        <v>34.33</v>
      </c>
      <c r="X1445" s="26">
        <f>ROUND(('Methodology &amp; Assumptions'!$B$5*V1445) + ('Methodology &amp; Assumptions'!$B$6*W1445), 2)</f>
        <v/>
      </c>
      <c r="Y1445" s="28" t="n">
        <v>8.300000000000001</v>
      </c>
      <c r="Z1445" s="11" t="inlineStr">
        <is>
          <t>Priority Tier 3 (Broadband Expansion)</t>
        </is>
      </c>
    </row>
    <row r="1446">
      <c r="A1446" s="23" t="n">
        <v>5</v>
      </c>
      <c r="B1446" s="23" t="n">
        <v>442</v>
      </c>
      <c r="C1446" s="23" t="n">
        <v>4442</v>
      </c>
      <c r="D1446" s="23" t="inlineStr">
        <is>
          <t>0305413034</t>
        </is>
      </c>
      <c r="E1446" s="11" t="inlineStr">
        <is>
          <t>Region III (Central Luzon)</t>
        </is>
      </c>
      <c r="F1446" s="11" t="inlineStr">
        <is>
          <t>Pampanga</t>
        </is>
      </c>
      <c r="G1446" s="11" t="inlineStr">
        <is>
          <t>Mexico</t>
        </is>
      </c>
      <c r="H1446" s="11" t="inlineStr">
        <is>
          <t>San Nicolas</t>
        </is>
      </c>
      <c r="I1446" s="24" t="n">
        <v>15.07114</v>
      </c>
      <c r="J1446" s="24" t="n">
        <v>120.744429</v>
      </c>
      <c r="K1446" s="23" t="inlineStr">
        <is>
          <t>R</t>
        </is>
      </c>
      <c r="L1446" s="25" t="n">
        <v>2880</v>
      </c>
      <c r="M1446" s="26" t="n">
        <v>4</v>
      </c>
      <c r="N1446" s="25">
        <f>ROUND(L1446/M1446, 0)</f>
        <v/>
      </c>
      <c r="O1446" s="25">
        <f>ROUND(N1446*'Methodology &amp; Assumptions'!$B$7, 0)</f>
        <v/>
      </c>
      <c r="P1446" s="23" t="inlineStr">
        <is>
          <t>Single Carrier (Band n50, 100MHz TDD)</t>
        </is>
      </c>
      <c r="Q1446" s="27">
        <f>ROUNDUP(O1446/'Methodology &amp; Assumptions'!$B$8, 0)</f>
        <v/>
      </c>
      <c r="R1446" s="27" t="n">
        <v>1</v>
      </c>
      <c r="S1446" s="26" t="n">
        <v>1.26</v>
      </c>
      <c r="T1446" s="26" t="n">
        <v>0.16</v>
      </c>
      <c r="U1446" s="11">
        <f>IF(S1446&lt;='Methodology &amp; Assumptions'!$B$10, "Direct Optical Drop (&lt;3km)", IF(S1446&lt;='Methodology &amp; Assumptions'!$B$9, "Near Optical / Microwave (&lt;5km)", "Starlink Business LEO Satellite Backhaul (&gt;5km)"))</f>
        <v/>
      </c>
      <c r="V1446" s="26" t="n">
        <v>80.84</v>
      </c>
      <c r="W1446" s="26" t="n">
        <v>35.18</v>
      </c>
      <c r="X1446" s="26">
        <f>ROUND(('Methodology &amp; Assumptions'!$B$5*V1446) + ('Methodology &amp; Assumptions'!$B$6*W1446), 2)</f>
        <v/>
      </c>
      <c r="Y1446" s="28" t="n">
        <v>8.300000000000001</v>
      </c>
      <c r="Z1446" s="11" t="inlineStr">
        <is>
          <t>Priority Tier 3 (Broadband Expansion)</t>
        </is>
      </c>
    </row>
    <row r="1447">
      <c r="A1447" s="23" t="n">
        <v>5</v>
      </c>
      <c r="B1447" s="23" t="n">
        <v>443</v>
      </c>
      <c r="C1447" s="23" t="n">
        <v>4443</v>
      </c>
      <c r="D1447" s="23" t="inlineStr">
        <is>
          <t>0405623013</t>
        </is>
      </c>
      <c r="E1447" s="11" t="inlineStr">
        <is>
          <t>Region IV-A (CALABARZON)</t>
        </is>
      </c>
      <c r="F1447" s="11" t="inlineStr">
        <is>
          <t>Quezon</t>
        </is>
      </c>
      <c r="G1447" s="11" t="inlineStr">
        <is>
          <t>Lucban</t>
        </is>
      </c>
      <c r="H1447" s="11" t="inlineStr">
        <is>
          <t>Barangay 10</t>
        </is>
      </c>
      <c r="I1447" s="24" t="n">
        <v>14.114231</v>
      </c>
      <c r="J1447" s="24" t="n">
        <v>121.559964</v>
      </c>
      <c r="K1447" s="23" t="inlineStr">
        <is>
          <t>R</t>
        </is>
      </c>
      <c r="L1447" s="25" t="n">
        <v>1369</v>
      </c>
      <c r="M1447" s="26" t="n">
        <v>3.8</v>
      </c>
      <c r="N1447" s="25">
        <f>ROUND(L1447/M1447, 0)</f>
        <v/>
      </c>
      <c r="O1447" s="25">
        <f>ROUND(N1447*'Methodology &amp; Assumptions'!$B$7, 0)</f>
        <v/>
      </c>
      <c r="P1447" s="23" t="inlineStr">
        <is>
          <t>Single Carrier (Band n50, 100MHz TDD)</t>
        </is>
      </c>
      <c r="Q1447" s="27">
        <f>ROUNDUP(O1447/'Methodology &amp; Assumptions'!$B$8, 0)</f>
        <v/>
      </c>
      <c r="R1447" s="27" t="n">
        <v>1</v>
      </c>
      <c r="S1447" s="26" t="n">
        <v>0.2</v>
      </c>
      <c r="T1447" s="26" t="n">
        <v>0.19</v>
      </c>
      <c r="U1447" s="11">
        <f>IF(S1447&lt;='Methodology &amp; Assumptions'!$B$10, "Direct Optical Drop (&lt;3km)", IF(S1447&lt;='Methodology &amp; Assumptions'!$B$9, "Near Optical / Microwave (&lt;5km)", "Starlink Business LEO Satellite Backhaul (&gt;5km)"))</f>
        <v/>
      </c>
      <c r="V1447" s="26" t="n">
        <v>70.61</v>
      </c>
      <c r="W1447" s="26" t="n">
        <v>45.41</v>
      </c>
      <c r="X1447" s="26">
        <f>ROUND(('Methodology &amp; Assumptions'!$B$5*V1447) + ('Methodology &amp; Assumptions'!$B$6*W1447), 2)</f>
        <v/>
      </c>
      <c r="Y1447" s="28" t="n">
        <v>7.2</v>
      </c>
      <c r="Z1447" s="11" t="inlineStr">
        <is>
          <t>Priority Tier 3 (Broadband Expansion)</t>
        </is>
      </c>
    </row>
    <row r="1448">
      <c r="A1448" s="23" t="n">
        <v>5</v>
      </c>
      <c r="B1448" s="23" t="n">
        <v>444</v>
      </c>
      <c r="C1448" s="23" t="n">
        <v>4444</v>
      </c>
      <c r="D1448" s="23" t="inlineStr">
        <is>
          <t>0103311003</t>
        </is>
      </c>
      <c r="E1448" s="11" t="inlineStr">
        <is>
          <t>Region I (Ilocos Region)</t>
        </is>
      </c>
      <c r="F1448" s="11" t="inlineStr">
        <is>
          <t>La Union</t>
        </is>
      </c>
      <c r="G1448" s="11" t="inlineStr">
        <is>
          <t>Naguilian</t>
        </is>
      </c>
      <c r="H1448" s="11" t="inlineStr">
        <is>
          <t>Al-alinao Sur</t>
        </is>
      </c>
      <c r="I1448" s="24" t="n">
        <v>16.480798</v>
      </c>
      <c r="J1448" s="24" t="n">
        <v>120.446271</v>
      </c>
      <c r="K1448" s="23" t="inlineStr">
        <is>
          <t>R</t>
        </is>
      </c>
      <c r="L1448" s="25" t="n">
        <v>1000</v>
      </c>
      <c r="M1448" s="26" t="n">
        <v>3.7</v>
      </c>
      <c r="N1448" s="25">
        <f>ROUND(L1448/M1448, 0)</f>
        <v/>
      </c>
      <c r="O1448" s="25">
        <f>ROUND(N1448*'Methodology &amp; Assumptions'!$B$7, 0)</f>
        <v/>
      </c>
      <c r="P1448" s="23" t="inlineStr">
        <is>
          <t>Single Carrier (Band n50, 100MHz TDD)</t>
        </is>
      </c>
      <c r="Q1448" s="27">
        <f>ROUNDUP(O1448/'Methodology &amp; Assumptions'!$B$8, 0)</f>
        <v/>
      </c>
      <c r="R1448" s="27" t="n">
        <v>1</v>
      </c>
      <c r="S1448" s="26" t="n">
        <v>4.7</v>
      </c>
      <c r="T1448" s="26" t="n">
        <v>3.53</v>
      </c>
      <c r="U1448" s="11">
        <f>IF(S1448&lt;='Methodology &amp; Assumptions'!$B$10, "Direct Optical Drop (&lt;3km)", IF(S1448&lt;='Methodology &amp; Assumptions'!$B$9, "Near Optical / Microwave (&lt;5km)", "Starlink Business LEO Satellite Backhaul (&gt;5km)"))</f>
        <v/>
      </c>
      <c r="V1448" s="26" t="n">
        <v>53.35</v>
      </c>
      <c r="W1448" s="26" t="n">
        <v>62.68</v>
      </c>
      <c r="X1448" s="26">
        <f>ROUND(('Methodology &amp; Assumptions'!$B$5*V1448) + ('Methodology &amp; Assumptions'!$B$6*W1448), 2)</f>
        <v/>
      </c>
      <c r="Y1448" s="28" t="n">
        <v>8.300000000000001</v>
      </c>
      <c r="Z1448" s="11" t="inlineStr">
        <is>
          <t>Priority Tier 3 (Broadband Expansion)</t>
        </is>
      </c>
    </row>
    <row r="1449">
      <c r="A1449" s="23" t="n">
        <v>5</v>
      </c>
      <c r="B1449" s="23" t="n">
        <v>445</v>
      </c>
      <c r="C1449" s="23" t="n">
        <v>4445</v>
      </c>
      <c r="D1449" s="23" t="inlineStr">
        <is>
          <t>1380606048</t>
        </is>
      </c>
      <c r="E1449" s="11" t="inlineStr">
        <is>
          <t>National Capital Region (NCR)</t>
        </is>
      </c>
      <c r="F1449" s="11" t="inlineStr">
        <is>
          <t>First District (Not a Province)</t>
        </is>
      </c>
      <c r="G1449" s="11" t="inlineStr">
        <is>
          <t>City of Manila</t>
        </is>
      </c>
      <c r="H1449" s="11" t="inlineStr">
        <is>
          <t>Barangay 442</t>
        </is>
      </c>
      <c r="I1449" s="24" t="n">
        <v>14.609157</v>
      </c>
      <c r="J1449" s="24" t="n">
        <v>120.999523</v>
      </c>
      <c r="K1449" s="23" t="inlineStr">
        <is>
          <t>U</t>
        </is>
      </c>
      <c r="L1449" s="25" t="n">
        <v>688</v>
      </c>
      <c r="M1449" s="26" t="n">
        <v>3.44</v>
      </c>
      <c r="N1449" s="25">
        <f>ROUND(L1449/M1449, 0)</f>
        <v/>
      </c>
      <c r="O1449" s="25">
        <f>ROUND(N1449*'Methodology &amp; Assumptions'!$B$7, 0)</f>
        <v/>
      </c>
      <c r="P1449" s="23" t="inlineStr">
        <is>
          <t>Single Carrier (Band n50, 100MHz TDD)</t>
        </is>
      </c>
      <c r="Q1449" s="27">
        <f>ROUNDUP(O1449/'Methodology &amp; Assumptions'!$B$8, 0)</f>
        <v/>
      </c>
      <c r="R1449" s="27" t="n">
        <v>1</v>
      </c>
      <c r="S1449" s="26" t="n">
        <v>0.5</v>
      </c>
      <c r="T1449" s="26" t="n">
        <v>0.21</v>
      </c>
      <c r="U1449" s="11">
        <f>IF(S1449&lt;='Methodology &amp; Assumptions'!$B$10, "Direct Optical Drop (&lt;3km)", IF(S1449&lt;='Methodology &amp; Assumptions'!$B$9, "Near Optical / Microwave (&lt;5km)", "Starlink Business LEO Satellite Backhaul (&gt;5km)"))</f>
        <v/>
      </c>
      <c r="V1449" s="26" t="n">
        <v>47.52</v>
      </c>
      <c r="W1449" s="26" t="n">
        <v>68.51000000000001</v>
      </c>
      <c r="X1449" s="26">
        <f>ROUND(('Methodology &amp; Assumptions'!$B$5*V1449) + ('Methodology &amp; Assumptions'!$B$6*W1449), 2)</f>
        <v/>
      </c>
      <c r="Y1449" s="28" t="n">
        <v>10.9</v>
      </c>
      <c r="Z1449" s="11" t="inlineStr">
        <is>
          <t>Priority Tier 3 (Broadband Expansion)</t>
        </is>
      </c>
    </row>
    <row r="1450">
      <c r="A1450" s="23" t="n">
        <v>5</v>
      </c>
      <c r="B1450" s="23" t="n">
        <v>446</v>
      </c>
      <c r="C1450" s="23" t="n">
        <v>4446</v>
      </c>
      <c r="D1450" s="23" t="inlineStr">
        <is>
          <t>0704622003</t>
        </is>
      </c>
      <c r="E1450" s="11" t="inlineStr">
        <is>
          <t>Region VII (Central Visayas)</t>
        </is>
      </c>
      <c r="F1450" s="11" t="inlineStr">
        <is>
          <t>Negros Oriental</t>
        </is>
      </c>
      <c r="G1450" s="11" t="inlineStr">
        <is>
          <t>Tayasan</t>
        </is>
      </c>
      <c r="H1450" s="11" t="inlineStr">
        <is>
          <t>Banga</t>
        </is>
      </c>
      <c r="I1450" s="24" t="n">
        <v>9.94251</v>
      </c>
      <c r="J1450" s="24" t="n">
        <v>123.13417</v>
      </c>
      <c r="K1450" s="23" t="inlineStr">
        <is>
          <t>R</t>
        </is>
      </c>
      <c r="L1450" s="25" t="n">
        <v>976</v>
      </c>
      <c r="M1450" s="26" t="n">
        <v>3.8</v>
      </c>
      <c r="N1450" s="25">
        <f>ROUND(L1450/M1450, 0)</f>
        <v/>
      </c>
      <c r="O1450" s="25">
        <f>ROUND(N1450*'Methodology &amp; Assumptions'!$B$7, 0)</f>
        <v/>
      </c>
      <c r="P1450" s="23" t="inlineStr">
        <is>
          <t>Single Carrier (Band n50, 100MHz TDD)</t>
        </is>
      </c>
      <c r="Q1450" s="27">
        <f>ROUNDUP(O1450/'Methodology &amp; Assumptions'!$B$8, 0)</f>
        <v/>
      </c>
      <c r="R1450" s="27" t="n">
        <v>1</v>
      </c>
      <c r="S1450" s="26" t="n">
        <v>24.32</v>
      </c>
      <c r="T1450" s="26" t="n">
        <v>3.74</v>
      </c>
      <c r="U1450" s="11">
        <f>IF(S1450&lt;='Methodology &amp; Assumptions'!$B$10, "Direct Optical Drop (&lt;3km)", IF(S1450&lt;='Methodology &amp; Assumptions'!$B$9, "Near Optical / Microwave (&lt;5km)", "Starlink Business LEO Satellite Backhaul (&gt;5km)"))</f>
        <v/>
      </c>
      <c r="V1450" s="26" t="n">
        <v>44.01</v>
      </c>
      <c r="W1450" s="26" t="n">
        <v>72.01000000000001</v>
      </c>
      <c r="X1450" s="26">
        <f>ROUND(('Methodology &amp; Assumptions'!$B$5*V1450) + ('Methodology &amp; Assumptions'!$B$6*W1450), 2)</f>
        <v/>
      </c>
      <c r="Y1450" s="28" t="n">
        <v>23.7</v>
      </c>
      <c r="Z1450" s="11" t="inlineStr">
        <is>
          <t>Priority Tier 3 (Broadband Expansion)</t>
        </is>
      </c>
    </row>
    <row r="1451">
      <c r="A1451" s="23" t="n">
        <v>5</v>
      </c>
      <c r="B1451" s="23" t="n">
        <v>447</v>
      </c>
      <c r="C1451" s="23" t="n">
        <v>4447</v>
      </c>
      <c r="D1451" s="23" t="inlineStr">
        <is>
          <t>0405607068</t>
        </is>
      </c>
      <c r="E1451" s="11" t="inlineStr">
        <is>
          <t>Region IV-A (CALABARZON)</t>
        </is>
      </c>
      <c r="F1451" s="11" t="inlineStr">
        <is>
          <t>Quezon</t>
        </is>
      </c>
      <c r="G1451" s="11" t="inlineStr">
        <is>
          <t>Calauag</t>
        </is>
      </c>
      <c r="H1451" s="11" t="inlineStr">
        <is>
          <t>Salvacion</t>
        </is>
      </c>
      <c r="I1451" s="24" t="n">
        <v>13.896886</v>
      </c>
      <c r="J1451" s="24" t="n">
        <v>122.368868</v>
      </c>
      <c r="K1451" s="23" t="inlineStr">
        <is>
          <t>R</t>
        </is>
      </c>
      <c r="L1451" s="25" t="n">
        <v>255</v>
      </c>
      <c r="M1451" s="26" t="n">
        <v>3.8</v>
      </c>
      <c r="N1451" s="25">
        <f>ROUND(L1451/M1451, 0)</f>
        <v/>
      </c>
      <c r="O1451" s="25">
        <f>ROUND(N1451*'Methodology &amp; Assumptions'!$B$7, 0)</f>
        <v/>
      </c>
      <c r="P1451" s="23" t="inlineStr">
        <is>
          <t>Single Carrier (Band n50, 100MHz TDD)</t>
        </is>
      </c>
      <c r="Q1451" s="27">
        <f>ROUNDUP(O1451/'Methodology &amp; Assumptions'!$B$8, 0)</f>
        <v/>
      </c>
      <c r="R1451" s="27" t="n">
        <v>1</v>
      </c>
      <c r="S1451" s="26" t="n">
        <v>8.44</v>
      </c>
      <c r="T1451" s="26" t="n">
        <v>5.84</v>
      </c>
      <c r="U1451" s="11">
        <f>IF(S1451&lt;='Methodology &amp; Assumptions'!$B$10, "Direct Optical Drop (&lt;3km)", IF(S1451&lt;='Methodology &amp; Assumptions'!$B$9, "Near Optical / Microwave (&lt;5km)", "Starlink Business LEO Satellite Backhaul (&gt;5km)"))</f>
        <v/>
      </c>
      <c r="V1451" s="26" t="n">
        <v>41.71</v>
      </c>
      <c r="W1451" s="26" t="n">
        <v>74.31</v>
      </c>
      <c r="X1451" s="26">
        <f>ROUND(('Methodology &amp; Assumptions'!$B$5*V1451) + ('Methodology &amp; Assumptions'!$B$6*W1451), 2)</f>
        <v/>
      </c>
      <c r="Y1451" s="28" t="n">
        <v>7.2</v>
      </c>
      <c r="Z1451" s="11" t="inlineStr">
        <is>
          <t>Priority Tier 3 (Broadband Expansion)</t>
        </is>
      </c>
    </row>
    <row r="1452">
      <c r="A1452" s="23" t="n">
        <v>5</v>
      </c>
      <c r="B1452" s="23" t="n">
        <v>448</v>
      </c>
      <c r="C1452" s="23" t="n">
        <v>4448</v>
      </c>
      <c r="D1452" s="23" t="inlineStr">
        <is>
          <t>1705313002</t>
        </is>
      </c>
      <c r="E1452" s="11" t="inlineStr">
        <is>
          <t>MIMAROPA Region</t>
        </is>
      </c>
      <c r="F1452" s="11" t="inlineStr">
        <is>
          <t>Palawan</t>
        </is>
      </c>
      <c r="G1452" s="11" t="inlineStr">
        <is>
          <t>Linapacan</t>
        </is>
      </c>
      <c r="H1452" s="11" t="inlineStr">
        <is>
          <t>Cabunlawan</t>
        </is>
      </c>
      <c r="I1452" s="24" t="n">
        <v>11.376384</v>
      </c>
      <c r="J1452" s="24" t="n">
        <v>120.101301</v>
      </c>
      <c r="K1452" s="23" t="inlineStr">
        <is>
          <t>R</t>
        </is>
      </c>
      <c r="L1452" s="25" t="n">
        <v>843</v>
      </c>
      <c r="M1452" s="26" t="n">
        <v>3.9</v>
      </c>
      <c r="N1452" s="25">
        <f>ROUND(L1452/M1452, 0)</f>
        <v/>
      </c>
      <c r="O1452" s="25">
        <f>ROUND(N1452*'Methodology &amp; Assumptions'!$B$7, 0)</f>
        <v/>
      </c>
      <c r="P1452" s="23" t="inlineStr">
        <is>
          <t>Single Carrier (Band n50, 100MHz TDD)</t>
        </is>
      </c>
      <c r="Q1452" s="27">
        <f>ROUNDUP(O1452/'Methodology &amp; Assumptions'!$B$8, 0)</f>
        <v/>
      </c>
      <c r="R1452" s="27" t="n">
        <v>1</v>
      </c>
      <c r="S1452" s="26" t="n">
        <v>59.92</v>
      </c>
      <c r="T1452" s="26" t="n">
        <v>89.37</v>
      </c>
      <c r="U1452" s="11">
        <f>IF(S1452&lt;='Methodology &amp; Assumptions'!$B$10, "Direct Optical Drop (&lt;3km)", IF(S1452&lt;='Methodology &amp; Assumptions'!$B$9, "Near Optical / Microwave (&lt;5km)", "Starlink Business LEO Satellite Backhaul (&gt;5km)"))</f>
        <v/>
      </c>
      <c r="V1452" s="26" t="n">
        <v>40.28</v>
      </c>
      <c r="W1452" s="26" t="n">
        <v>75.73</v>
      </c>
      <c r="X1452" s="26">
        <f>ROUND(('Methodology &amp; Assumptions'!$B$5*V1452) + ('Methodology &amp; Assumptions'!$B$6*W1452), 2)</f>
        <v/>
      </c>
      <c r="Y1452" s="28" t="n">
        <v>15</v>
      </c>
      <c r="Z1452" s="11" t="inlineStr">
        <is>
          <t>Priority Tier 3 (Broadband Expansion)</t>
        </is>
      </c>
    </row>
    <row r="1453">
      <c r="A1453" s="23" t="n">
        <v>5</v>
      </c>
      <c r="B1453" s="23" t="n">
        <v>449</v>
      </c>
      <c r="C1453" s="23" t="n">
        <v>4449</v>
      </c>
      <c r="D1453" s="23" t="inlineStr">
        <is>
          <t>0704623008</t>
        </is>
      </c>
      <c r="E1453" s="11" t="inlineStr">
        <is>
          <t>Region VII (Central Visayas)</t>
        </is>
      </c>
      <c r="F1453" s="11" t="inlineStr">
        <is>
          <t>Negros Oriental</t>
        </is>
      </c>
      <c r="G1453" s="11" t="inlineStr">
        <is>
          <t>Valencia</t>
        </is>
      </c>
      <c r="H1453" s="11" t="inlineStr">
        <is>
          <t>Bong-ao</t>
        </is>
      </c>
      <c r="I1453" s="24" t="n">
        <v>9.282071</v>
      </c>
      <c r="J1453" s="24" t="n">
        <v>123.250896</v>
      </c>
      <c r="K1453" s="23" t="inlineStr">
        <is>
          <t>R</t>
        </is>
      </c>
      <c r="L1453" s="25" t="n">
        <v>3361</v>
      </c>
      <c r="M1453" s="26" t="n">
        <v>3.8</v>
      </c>
      <c r="N1453" s="25">
        <f>ROUND(L1453/M1453, 0)</f>
        <v/>
      </c>
      <c r="O1453" s="25">
        <f>ROUND(N1453*'Methodology &amp; Assumptions'!$B$7, 0)</f>
        <v/>
      </c>
      <c r="P1453" s="23" t="inlineStr">
        <is>
          <t>Single Carrier (Band n50, 100MHz TDD)</t>
        </is>
      </c>
      <c r="Q1453" s="27">
        <f>ROUNDUP(O1453/'Methodology &amp; Assumptions'!$B$8, 0)</f>
        <v/>
      </c>
      <c r="R1453" s="27" t="n">
        <v>1</v>
      </c>
      <c r="S1453" s="26" t="n">
        <v>0.77</v>
      </c>
      <c r="T1453" s="26" t="n">
        <v>4.65</v>
      </c>
      <c r="U1453" s="11">
        <f>IF(S1453&lt;='Methodology &amp; Assumptions'!$B$10, "Direct Optical Drop (&lt;3km)", IF(S1453&lt;='Methodology &amp; Assumptions'!$B$9, "Near Optical / Microwave (&lt;5km)", "Starlink Business LEO Satellite Backhaul (&gt;5km)"))</f>
        <v/>
      </c>
      <c r="V1453" s="26" t="n">
        <v>84.84</v>
      </c>
      <c r="W1453" s="26" t="n">
        <v>31.17</v>
      </c>
      <c r="X1453" s="26">
        <f>ROUND(('Methodology &amp; Assumptions'!$B$5*V1453) + ('Methodology &amp; Assumptions'!$B$6*W1453), 2)</f>
        <v/>
      </c>
      <c r="Y1453" s="28" t="n">
        <v>23.7</v>
      </c>
      <c r="Z1453" s="11" t="inlineStr">
        <is>
          <t>Priority Tier 3 (Broadband Expansion)</t>
        </is>
      </c>
    </row>
    <row r="1454">
      <c r="A1454" s="23" t="n">
        <v>5</v>
      </c>
      <c r="B1454" s="23" t="n">
        <v>450</v>
      </c>
      <c r="C1454" s="23" t="n">
        <v>4450</v>
      </c>
      <c r="D1454" s="23" t="inlineStr">
        <is>
          <t>1102404002</t>
        </is>
      </c>
      <c r="E1454" s="11" t="inlineStr">
        <is>
          <t>Region XI (Davao Region)</t>
        </is>
      </c>
      <c r="F1454" s="11" t="inlineStr">
        <is>
          <t>Davao del Sur</t>
        </is>
      </c>
      <c r="G1454" s="11" t="inlineStr">
        <is>
          <t>Hagonoy</t>
        </is>
      </c>
      <c r="H1454" s="11" t="inlineStr">
        <is>
          <t>Balutakay</t>
        </is>
      </c>
      <c r="I1454" s="24" t="n">
        <v>6.720971</v>
      </c>
      <c r="J1454" s="24" t="n">
        <v>125.356583</v>
      </c>
      <c r="K1454" s="23" t="inlineStr">
        <is>
          <t>R</t>
        </is>
      </c>
      <c r="L1454" s="25" t="n">
        <v>3252</v>
      </c>
      <c r="M1454" s="26" t="n">
        <v>3.4</v>
      </c>
      <c r="N1454" s="25">
        <f>ROUND(L1454/M1454, 0)</f>
        <v/>
      </c>
      <c r="O1454" s="25">
        <f>ROUND(N1454*'Methodology &amp; Assumptions'!$B$7, 0)</f>
        <v/>
      </c>
      <c r="P1454" s="23" t="inlineStr">
        <is>
          <t>Single Carrier (Band n50, 100MHz TDD)</t>
        </is>
      </c>
      <c r="Q1454" s="27">
        <f>ROUNDUP(O1454/'Methodology &amp; Assumptions'!$B$8, 0)</f>
        <v/>
      </c>
      <c r="R1454" s="27" t="n">
        <v>1</v>
      </c>
      <c r="S1454" s="26" t="n">
        <v>2.09</v>
      </c>
      <c r="T1454" s="26" t="n">
        <v>0.39</v>
      </c>
      <c r="U1454" s="11">
        <f>IF(S1454&lt;='Methodology &amp; Assumptions'!$B$10, "Direct Optical Drop (&lt;3km)", IF(S1454&lt;='Methodology &amp; Assumptions'!$B$9, "Near Optical / Microwave (&lt;5km)", "Starlink Business LEO Satellite Backhaul (&gt;5km)"))</f>
        <v/>
      </c>
      <c r="V1454" s="26" t="n">
        <v>82.53</v>
      </c>
      <c r="W1454" s="26" t="n">
        <v>33.46</v>
      </c>
      <c r="X1454" s="26">
        <f>ROUND(('Methodology &amp; Assumptions'!$B$5*V1454) + ('Methodology &amp; Assumptions'!$B$6*W1454), 2)</f>
        <v/>
      </c>
      <c r="Y1454" s="28" t="n">
        <v>17.4</v>
      </c>
      <c r="Z1454" s="11" t="inlineStr">
        <is>
          <t>Priority Tier 3 (Broadband Expansion)</t>
        </is>
      </c>
    </row>
    <row r="1455">
      <c r="A1455" s="23" t="n">
        <v>5</v>
      </c>
      <c r="B1455" s="23" t="n">
        <v>451</v>
      </c>
      <c r="C1455" s="23" t="n">
        <v>4451</v>
      </c>
      <c r="D1455" s="23" t="inlineStr">
        <is>
          <t>0105503009</t>
        </is>
      </c>
      <c r="E1455" s="11" t="inlineStr">
        <is>
          <t>Region I (Ilocos Region)</t>
        </is>
      </c>
      <c r="F1455" s="11" t="inlineStr">
        <is>
          <t>Pangasinan</t>
        </is>
      </c>
      <c r="G1455" s="11" t="inlineStr">
        <is>
          <t>City of Alaminos</t>
        </is>
      </c>
      <c r="H1455" s="11" t="inlineStr">
        <is>
          <t>Bued</t>
        </is>
      </c>
      <c r="I1455" s="24" t="n">
        <v>16.163529</v>
      </c>
      <c r="J1455" s="24" t="n">
        <v>119.996806</v>
      </c>
      <c r="K1455" s="23" t="inlineStr">
        <is>
          <t>R</t>
        </is>
      </c>
      <c r="L1455" s="25" t="n">
        <v>3741</v>
      </c>
      <c r="M1455" s="26" t="n">
        <v>3.6</v>
      </c>
      <c r="N1455" s="25">
        <f>ROUND(L1455/M1455, 0)</f>
        <v/>
      </c>
      <c r="O1455" s="25">
        <f>ROUND(N1455*'Methodology &amp; Assumptions'!$B$7, 0)</f>
        <v/>
      </c>
      <c r="P1455" s="23" t="inlineStr">
        <is>
          <t>Single Carrier (Band n50, 100MHz TDD)</t>
        </is>
      </c>
      <c r="Q1455" s="27">
        <f>ROUNDUP(O1455/'Methodology &amp; Assumptions'!$B$8, 0)</f>
        <v/>
      </c>
      <c r="R1455" s="27" t="n">
        <v>1</v>
      </c>
      <c r="S1455" s="26" t="n">
        <v>1.89</v>
      </c>
      <c r="T1455" s="26" t="n">
        <v>1.88</v>
      </c>
      <c r="U1455" s="11">
        <f>IF(S1455&lt;='Methodology &amp; Assumptions'!$B$10, "Direct Optical Drop (&lt;3km)", IF(S1455&lt;='Methodology &amp; Assumptions'!$B$9, "Near Optical / Microwave (&lt;5km)", "Starlink Business LEO Satellite Backhaul (&gt;5km)"))</f>
        <v/>
      </c>
      <c r="V1455" s="26" t="n">
        <v>81.77</v>
      </c>
      <c r="W1455" s="26" t="n">
        <v>34.23</v>
      </c>
      <c r="X1455" s="26">
        <f>ROUND(('Methodology &amp; Assumptions'!$B$5*V1455) + ('Methodology &amp; Assumptions'!$B$6*W1455), 2)</f>
        <v/>
      </c>
      <c r="Y1455" s="28" t="n">
        <v>8.300000000000001</v>
      </c>
      <c r="Z1455" s="11" t="inlineStr">
        <is>
          <t>Priority Tier 3 (Broadband Expansion)</t>
        </is>
      </c>
    </row>
    <row r="1456">
      <c r="A1456" s="23" t="n">
        <v>5</v>
      </c>
      <c r="B1456" s="23" t="n">
        <v>452</v>
      </c>
      <c r="C1456" s="23" t="n">
        <v>4452</v>
      </c>
      <c r="D1456" s="23" t="inlineStr">
        <is>
          <t>0201522010</t>
        </is>
      </c>
      <c r="E1456" s="11" t="inlineStr">
        <is>
          <t>Region II (Cagayan Valley)</t>
        </is>
      </c>
      <c r="F1456" s="11" t="inlineStr">
        <is>
          <t>Cagayan</t>
        </is>
      </c>
      <c r="G1456" s="11" t="inlineStr">
        <is>
          <t>Sanchez-Mira</t>
        </is>
      </c>
      <c r="H1456" s="11" t="inlineStr">
        <is>
          <t>Langagan</t>
        </is>
      </c>
      <c r="I1456" s="24" t="n">
        <v>18.5544</v>
      </c>
      <c r="J1456" s="24" t="n">
        <v>121.2409</v>
      </c>
      <c r="K1456" s="23" t="inlineStr">
        <is>
          <t>R</t>
        </is>
      </c>
      <c r="L1456" s="25" t="n">
        <v>2505</v>
      </c>
      <c r="M1456" s="26" t="n">
        <v>3.9</v>
      </c>
      <c r="N1456" s="25">
        <f>ROUND(L1456/M1456, 0)</f>
        <v/>
      </c>
      <c r="O1456" s="25">
        <f>ROUND(N1456*'Methodology &amp; Assumptions'!$B$7, 0)</f>
        <v/>
      </c>
      <c r="P1456" s="23" t="inlineStr">
        <is>
          <t>Single Carrier (Band n50, 100MHz TDD)</t>
        </is>
      </c>
      <c r="Q1456" s="27">
        <f>ROUNDUP(O1456/'Methodology &amp; Assumptions'!$B$8, 0)</f>
        <v/>
      </c>
      <c r="R1456" s="27" t="n">
        <v>1</v>
      </c>
      <c r="S1456" s="26" t="n">
        <v>0.66</v>
      </c>
      <c r="T1456" s="26" t="n">
        <v>0.07000000000000001</v>
      </c>
      <c r="U1456" s="11">
        <f>IF(S1456&lt;='Methodology &amp; Assumptions'!$B$10, "Direct Optical Drop (&lt;3km)", IF(S1456&lt;='Methodology &amp; Assumptions'!$B$9, "Near Optical / Microwave (&lt;5km)", "Starlink Business LEO Satellite Backhaul (&gt;5km)"))</f>
        <v/>
      </c>
      <c r="V1456" s="26" t="n">
        <v>79.93000000000001</v>
      </c>
      <c r="W1456" s="26" t="n">
        <v>36.06</v>
      </c>
      <c r="X1456" s="26">
        <f>ROUND(('Methodology &amp; Assumptions'!$B$5*V1456) + ('Methodology &amp; Assumptions'!$B$6*W1456), 2)</f>
        <v/>
      </c>
      <c r="Y1456" s="28" t="n">
        <v>8.300000000000001</v>
      </c>
      <c r="Z1456" s="11" t="inlineStr">
        <is>
          <t>Priority Tier 3 (Broadband Expansion)</t>
        </is>
      </c>
    </row>
    <row r="1457">
      <c r="A1457" s="23" t="n">
        <v>5</v>
      </c>
      <c r="B1457" s="23" t="n">
        <v>453</v>
      </c>
      <c r="C1457" s="23" t="n">
        <v>4453</v>
      </c>
      <c r="D1457" s="23" t="inlineStr">
        <is>
          <t>0402106005</t>
        </is>
      </c>
      <c r="E1457" s="11" t="inlineStr">
        <is>
          <t>Region IV-A (CALABARZON)</t>
        </is>
      </c>
      <c r="F1457" s="11" t="inlineStr">
        <is>
          <t>Cavite</t>
        </is>
      </c>
      <c r="G1457" s="11" t="inlineStr">
        <is>
          <t>City of Dasmariñas</t>
        </is>
      </c>
      <c r="H1457" s="11" t="inlineStr">
        <is>
          <t>Langkaan I</t>
        </is>
      </c>
      <c r="I1457" s="24" t="n">
        <v>14.294025</v>
      </c>
      <c r="J1457" s="24" t="n">
        <v>120.938555</v>
      </c>
      <c r="K1457" s="23" t="inlineStr">
        <is>
          <t>U</t>
        </is>
      </c>
      <c r="L1457" s="25" t="n">
        <v>28359</v>
      </c>
      <c r="M1457" s="26" t="n">
        <v>3.4</v>
      </c>
      <c r="N1457" s="25">
        <f>ROUND(L1457/M1457, 0)</f>
        <v/>
      </c>
      <c r="O1457" s="25">
        <f>ROUND(N1457*'Methodology &amp; Assumptions'!$B$7, 0)</f>
        <v/>
      </c>
      <c r="P1457" s="23" t="inlineStr">
        <is>
          <t>Single Carrier (Band n50, 100MHz TDD)</t>
        </is>
      </c>
      <c r="Q1457" s="27">
        <f>ROUNDUP(O1457/'Methodology &amp; Assumptions'!$B$8, 0)</f>
        <v/>
      </c>
      <c r="R1457" s="27" t="n">
        <v>1</v>
      </c>
      <c r="S1457" s="26" t="n">
        <v>2.28</v>
      </c>
      <c r="T1457" s="26" t="n">
        <v>0.09</v>
      </c>
      <c r="U1457" s="11">
        <f>IF(S1457&lt;='Methodology &amp; Assumptions'!$B$10, "Direct Optical Drop (&lt;3km)", IF(S1457&lt;='Methodology &amp; Assumptions'!$B$9, "Near Optical / Microwave (&lt;5km)", "Starlink Business LEO Satellite Backhaul (&gt;5km)"))</f>
        <v/>
      </c>
      <c r="V1457" s="26" t="n">
        <v>72.8</v>
      </c>
      <c r="W1457" s="26" t="n">
        <v>43.19</v>
      </c>
      <c r="X1457" s="26">
        <f>ROUND(('Methodology &amp; Assumptions'!$B$5*V1457) + ('Methodology &amp; Assumptions'!$B$6*W1457), 2)</f>
        <v/>
      </c>
      <c r="Y1457" s="28" t="n">
        <v>7.2</v>
      </c>
      <c r="Z1457" s="11" t="inlineStr">
        <is>
          <t>Priority Tier 3 (Broadband Expansion)</t>
        </is>
      </c>
    </row>
    <row r="1458">
      <c r="A1458" s="23" t="n">
        <v>5</v>
      </c>
      <c r="B1458" s="23" t="n">
        <v>454</v>
      </c>
      <c r="C1458" s="23" t="n">
        <v>4454</v>
      </c>
      <c r="D1458" s="23" t="inlineStr">
        <is>
          <t>0504101034</t>
        </is>
      </c>
      <c r="E1458" s="11" t="inlineStr">
        <is>
          <t>Region V (Bicol Region)</t>
        </is>
      </c>
      <c r="F1458" s="11" t="inlineStr">
        <is>
          <t>Masbate</t>
        </is>
      </c>
      <c r="G1458" s="11" t="inlineStr">
        <is>
          <t>Aroroy</t>
        </is>
      </c>
      <c r="H1458" s="11" t="inlineStr">
        <is>
          <t>San Isidro</t>
        </is>
      </c>
      <c r="I1458" s="24" t="n">
        <v>12.428109</v>
      </c>
      <c r="J1458" s="24" t="n">
        <v>123.363262</v>
      </c>
      <c r="K1458" s="23" t="inlineStr">
        <is>
          <t>R</t>
        </is>
      </c>
      <c r="L1458" s="25" t="n">
        <v>1177</v>
      </c>
      <c r="M1458" s="26" t="n">
        <v>4.1</v>
      </c>
      <c r="N1458" s="25">
        <f>ROUND(L1458/M1458, 0)</f>
        <v/>
      </c>
      <c r="O1458" s="25">
        <f>ROUND(N1458*'Methodology &amp; Assumptions'!$B$7, 0)</f>
        <v/>
      </c>
      <c r="P1458" s="23" t="inlineStr">
        <is>
          <t>Single Carrier (Band n50, 100MHz TDD)</t>
        </is>
      </c>
      <c r="Q1458" s="27">
        <f>ROUNDUP(O1458/'Methodology &amp; Assumptions'!$B$8, 0)</f>
        <v/>
      </c>
      <c r="R1458" s="27" t="n">
        <v>1</v>
      </c>
      <c r="S1458" s="26" t="n">
        <v>9.94</v>
      </c>
      <c r="T1458" s="26" t="n">
        <v>12.59</v>
      </c>
      <c r="U1458" s="11">
        <f>IF(S1458&lt;='Methodology &amp; Assumptions'!$B$10, "Direct Optical Drop (&lt;3km)", IF(S1458&lt;='Methodology &amp; Assumptions'!$B$9, "Near Optical / Microwave (&lt;5km)", "Starlink Business LEO Satellite Backhaul (&gt;5km)"))</f>
        <v/>
      </c>
      <c r="V1458" s="26" t="n">
        <v>49.74</v>
      </c>
      <c r="W1458" s="26" t="n">
        <v>66.25</v>
      </c>
      <c r="X1458" s="26">
        <f>ROUND(('Methodology &amp; Assumptions'!$B$5*V1458) + ('Methodology &amp; Assumptions'!$B$6*W1458), 2)</f>
        <v/>
      </c>
      <c r="Y1458" s="28" t="n">
        <v>23.7</v>
      </c>
      <c r="Z1458" s="11" t="inlineStr">
        <is>
          <t>Priority Tier 3 (Broadband Expansion)</t>
        </is>
      </c>
    </row>
    <row r="1459">
      <c r="A1459" s="23" t="n">
        <v>5</v>
      </c>
      <c r="B1459" s="23" t="n">
        <v>455</v>
      </c>
      <c r="C1459" s="23" t="n">
        <v>4455</v>
      </c>
      <c r="D1459" s="23" t="inlineStr">
        <is>
          <t>1380605065</t>
        </is>
      </c>
      <c r="E1459" s="11" t="inlineStr">
        <is>
          <t>National Capital Region (NCR)</t>
        </is>
      </c>
      <c r="F1459" s="11" t="inlineStr">
        <is>
          <t>First District (Not a Province)</t>
        </is>
      </c>
      <c r="G1459" s="11" t="inlineStr">
        <is>
          <t>City of Manila</t>
        </is>
      </c>
      <c r="H1459" s="11" t="inlineStr">
        <is>
          <t>Barangay 363</t>
        </is>
      </c>
      <c r="I1459" s="24" t="n">
        <v>14.623799</v>
      </c>
      <c r="J1459" s="24" t="n">
        <v>120.983972</v>
      </c>
      <c r="K1459" s="23" t="inlineStr">
        <is>
          <t>U</t>
        </is>
      </c>
      <c r="L1459" s="25" t="n">
        <v>616</v>
      </c>
      <c r="M1459" s="26" t="n">
        <v>3.92</v>
      </c>
      <c r="N1459" s="25">
        <f>ROUND(L1459/M1459, 0)</f>
        <v/>
      </c>
      <c r="O1459" s="25">
        <f>ROUND(N1459*'Methodology &amp; Assumptions'!$B$7, 0)</f>
        <v/>
      </c>
      <c r="P1459" s="23" t="inlineStr">
        <is>
          <t>Single Carrier (Band n50, 100MHz TDD)</t>
        </is>
      </c>
      <c r="Q1459" s="27">
        <f>ROUNDUP(O1459/'Methodology &amp; Assumptions'!$B$8, 0)</f>
        <v/>
      </c>
      <c r="R1459" s="27" t="n">
        <v>1</v>
      </c>
      <c r="S1459" s="26" t="n">
        <v>0.82</v>
      </c>
      <c r="T1459" s="26" t="n">
        <v>0.12</v>
      </c>
      <c r="U1459" s="11">
        <f>IF(S1459&lt;='Methodology &amp; Assumptions'!$B$10, "Direct Optical Drop (&lt;3km)", IF(S1459&lt;='Methodology &amp; Assumptions'!$B$9, "Near Optical / Microwave (&lt;5km)", "Starlink Business LEO Satellite Backhaul (&gt;5km)"))</f>
        <v/>
      </c>
      <c r="V1459" s="26" t="n">
        <v>46.13</v>
      </c>
      <c r="W1459" s="26" t="n">
        <v>69.88</v>
      </c>
      <c r="X1459" s="26">
        <f>ROUND(('Methodology &amp; Assumptions'!$B$5*V1459) + ('Methodology &amp; Assumptions'!$B$6*W1459), 2)</f>
        <v/>
      </c>
      <c r="Y1459" s="28" t="n">
        <v>10.9</v>
      </c>
      <c r="Z1459" s="11" t="inlineStr">
        <is>
          <t>Priority Tier 3 (Broadband Expansion)</t>
        </is>
      </c>
    </row>
    <row r="1460">
      <c r="A1460" s="23" t="n">
        <v>5</v>
      </c>
      <c r="B1460" s="23" t="n">
        <v>456</v>
      </c>
      <c r="C1460" s="23" t="n">
        <v>4456</v>
      </c>
      <c r="D1460" s="23" t="inlineStr">
        <is>
          <t>1380606196</t>
        </is>
      </c>
      <c r="E1460" s="11" t="inlineStr">
        <is>
          <t>National Capital Region (NCR)</t>
        </is>
      </c>
      <c r="F1460" s="11" t="inlineStr">
        <is>
          <t>First District (Not a Province)</t>
        </is>
      </c>
      <c r="G1460" s="11" t="inlineStr">
        <is>
          <t>City of Manila</t>
        </is>
      </c>
      <c r="H1460" s="11" t="inlineStr">
        <is>
          <t>Barangay 589</t>
        </is>
      </c>
      <c r="I1460" s="24" t="n">
        <v>14.599138</v>
      </c>
      <c r="J1460" s="24" t="n">
        <v>121.016571</v>
      </c>
      <c r="K1460" s="23" t="inlineStr">
        <is>
          <t>U</t>
        </is>
      </c>
      <c r="L1460" s="25" t="n">
        <v>559</v>
      </c>
      <c r="M1460" s="26" t="n">
        <v>2.85</v>
      </c>
      <c r="N1460" s="25">
        <f>ROUND(L1460/M1460, 0)</f>
        <v/>
      </c>
      <c r="O1460" s="25">
        <f>ROUND(N1460*'Methodology &amp; Assumptions'!$B$7, 0)</f>
        <v/>
      </c>
      <c r="P1460" s="23" t="inlineStr">
        <is>
          <t>Single Carrier (Band n50, 100MHz TDD)</t>
        </is>
      </c>
      <c r="Q1460" s="27">
        <f>ROUNDUP(O1460/'Methodology &amp; Assumptions'!$B$8, 0)</f>
        <v/>
      </c>
      <c r="R1460" s="27" t="n">
        <v>1</v>
      </c>
      <c r="S1460" s="26" t="n">
        <v>1.34</v>
      </c>
      <c r="T1460" s="26" t="n">
        <v>0.43</v>
      </c>
      <c r="U1460" s="11">
        <f>IF(S1460&lt;='Methodology &amp; Assumptions'!$B$10, "Direct Optical Drop (&lt;3km)", IF(S1460&lt;='Methodology &amp; Assumptions'!$B$9, "Near Optical / Microwave (&lt;5km)", "Starlink Business LEO Satellite Backhaul (&gt;5km)"))</f>
        <v/>
      </c>
      <c r="V1460" s="26" t="n">
        <v>45.53</v>
      </c>
      <c r="W1460" s="26" t="n">
        <v>70.47</v>
      </c>
      <c r="X1460" s="26">
        <f>ROUND(('Methodology &amp; Assumptions'!$B$5*V1460) + ('Methodology &amp; Assumptions'!$B$6*W1460), 2)</f>
        <v/>
      </c>
      <c r="Y1460" s="28" t="n">
        <v>10.9</v>
      </c>
      <c r="Z1460" s="11" t="inlineStr">
        <is>
          <t>Priority Tier 3 (Broadband Expansion)</t>
        </is>
      </c>
    </row>
    <row r="1461">
      <c r="A1461" s="23" t="n">
        <v>5</v>
      </c>
      <c r="B1461" s="23" t="n">
        <v>457</v>
      </c>
      <c r="C1461" s="23" t="n">
        <v>4457</v>
      </c>
      <c r="D1461" s="23" t="inlineStr">
        <is>
          <t>0205010003</t>
        </is>
      </c>
      <c r="E1461" s="11" t="inlineStr">
        <is>
          <t>Region II (Cagayan Valley)</t>
        </is>
      </c>
      <c r="F1461" s="11" t="inlineStr">
        <is>
          <t>Nueva Vizcaya</t>
        </is>
      </c>
      <c r="G1461" s="11" t="inlineStr">
        <is>
          <t>Kayapa</t>
        </is>
      </c>
      <c r="H1461" s="11" t="inlineStr">
        <is>
          <t>Ansipsip</t>
        </is>
      </c>
      <c r="I1461" s="24" t="n">
        <v>16.313162</v>
      </c>
      <c r="J1461" s="24" t="n">
        <v>120.855637</v>
      </c>
      <c r="K1461" s="23" t="inlineStr">
        <is>
          <t>R</t>
        </is>
      </c>
      <c r="L1461" s="25" t="n">
        <v>129</v>
      </c>
      <c r="M1461" s="26" t="n">
        <v>3.8</v>
      </c>
      <c r="N1461" s="25">
        <f>ROUND(L1461/M1461, 0)</f>
        <v/>
      </c>
      <c r="O1461" s="25">
        <f>ROUND(N1461*'Methodology &amp; Assumptions'!$B$7, 0)</f>
        <v/>
      </c>
      <c r="P1461" s="23" t="inlineStr">
        <is>
          <t>Single Carrier (Band n50, 100MHz TDD)</t>
        </is>
      </c>
      <c r="Q1461" s="27">
        <f>ROUNDUP(O1461/'Methodology &amp; Assumptions'!$B$8, 0)</f>
        <v/>
      </c>
      <c r="R1461" s="27" t="n">
        <v>1</v>
      </c>
      <c r="S1461" s="26" t="n">
        <v>6.17</v>
      </c>
      <c r="T1461" s="26" t="n">
        <v>5.86</v>
      </c>
      <c r="U1461" s="11">
        <f>IF(S1461&lt;='Methodology &amp; Assumptions'!$B$10, "Direct Optical Drop (&lt;3km)", IF(S1461&lt;='Methodology &amp; Assumptions'!$B$9, "Near Optical / Microwave (&lt;5km)", "Starlink Business LEO Satellite Backhaul (&gt;5km)"))</f>
        <v/>
      </c>
      <c r="V1461" s="26" t="n">
        <v>43.34</v>
      </c>
      <c r="W1461" s="26" t="n">
        <v>72.66</v>
      </c>
      <c r="X1461" s="26">
        <f>ROUND(('Methodology &amp; Assumptions'!$B$5*V1461) + ('Methodology &amp; Assumptions'!$B$6*W1461), 2)</f>
        <v/>
      </c>
      <c r="Y1461" s="28" t="n">
        <v>8.300000000000001</v>
      </c>
      <c r="Z1461" s="11" t="inlineStr">
        <is>
          <t>Priority Tier 3 (Broadband Expansion)</t>
        </is>
      </c>
    </row>
    <row r="1462">
      <c r="A1462" s="23" t="n">
        <v>5</v>
      </c>
      <c r="B1462" s="23" t="n">
        <v>458</v>
      </c>
      <c r="C1462" s="23" t="n">
        <v>4458</v>
      </c>
      <c r="D1462" s="23" t="inlineStr">
        <is>
          <t>0205010028</t>
        </is>
      </c>
      <c r="E1462" s="11" t="inlineStr">
        <is>
          <t>Region II (Cagayan Valley)</t>
        </is>
      </c>
      <c r="F1462" s="11" t="inlineStr">
        <is>
          <t>Nueva Vizcaya</t>
        </is>
      </c>
      <c r="G1462" s="11" t="inlineStr">
        <is>
          <t>Kayapa</t>
        </is>
      </c>
      <c r="H1462" s="11" t="inlineStr">
        <is>
          <t>Latbang</t>
        </is>
      </c>
      <c r="I1462" s="24" t="n">
        <v>16.519113</v>
      </c>
      <c r="J1462" s="24" t="n">
        <v>120.97616</v>
      </c>
      <c r="K1462" s="23" t="inlineStr">
        <is>
          <t>R</t>
        </is>
      </c>
      <c r="L1462" s="25" t="n">
        <v>1027</v>
      </c>
      <c r="M1462" s="26" t="n">
        <v>3.8</v>
      </c>
      <c r="N1462" s="25">
        <f>ROUND(L1462/M1462, 0)</f>
        <v/>
      </c>
      <c r="O1462" s="25">
        <f>ROUND(N1462*'Methodology &amp; Assumptions'!$B$7, 0)</f>
        <v/>
      </c>
      <c r="P1462" s="23" t="inlineStr">
        <is>
          <t>Single Carrier (Band n50, 100MHz TDD)</t>
        </is>
      </c>
      <c r="Q1462" s="27">
        <f>ROUNDUP(O1462/'Methodology &amp; Assumptions'!$B$8, 0)</f>
        <v/>
      </c>
      <c r="R1462" s="27" t="n">
        <v>1</v>
      </c>
      <c r="S1462" s="26" t="n">
        <v>16.77</v>
      </c>
      <c r="T1462" s="26" t="n">
        <v>15.66</v>
      </c>
      <c r="U1462" s="11">
        <f>IF(S1462&lt;='Methodology &amp; Assumptions'!$B$10, "Direct Optical Drop (&lt;3km)", IF(S1462&lt;='Methodology &amp; Assumptions'!$B$9, "Near Optical / Microwave (&lt;5km)", "Starlink Business LEO Satellite Backhaul (&gt;5km)"))</f>
        <v/>
      </c>
      <c r="V1462" s="26" t="n">
        <v>42.55</v>
      </c>
      <c r="W1462" s="26" t="n">
        <v>73.45</v>
      </c>
      <c r="X1462" s="26">
        <f>ROUND(('Methodology &amp; Assumptions'!$B$5*V1462) + ('Methodology &amp; Assumptions'!$B$6*W1462), 2)</f>
        <v/>
      </c>
      <c r="Y1462" s="28" t="n">
        <v>8.300000000000001</v>
      </c>
      <c r="Z1462" s="11" t="inlineStr">
        <is>
          <t>Priority Tier 3 (Broadband Expansion)</t>
        </is>
      </c>
    </row>
    <row r="1463">
      <c r="A1463" s="23" t="n">
        <v>5</v>
      </c>
      <c r="B1463" s="23" t="n">
        <v>459</v>
      </c>
      <c r="C1463" s="23" t="n">
        <v>4459</v>
      </c>
      <c r="D1463" s="23" t="inlineStr">
        <is>
          <t>0401020014</t>
        </is>
      </c>
      <c r="E1463" s="11" t="inlineStr">
        <is>
          <t>Region IV-A (CALABARZON)</t>
        </is>
      </c>
      <c r="F1463" s="11" t="inlineStr">
        <is>
          <t>Batangas</t>
        </is>
      </c>
      <c r="G1463" s="11" t="inlineStr">
        <is>
          <t>Padre Garcia</t>
        </is>
      </c>
      <c r="H1463" s="11" t="inlineStr">
        <is>
          <t>Bawi</t>
        </is>
      </c>
      <c r="I1463" s="24" t="n">
        <v>13.886954</v>
      </c>
      <c r="J1463" s="24" t="n">
        <v>121.232674</v>
      </c>
      <c r="K1463" s="23" t="inlineStr">
        <is>
          <t>R</t>
        </is>
      </c>
      <c r="L1463" s="25" t="n">
        <v>4041</v>
      </c>
      <c r="M1463" s="26" t="n">
        <v>3.6</v>
      </c>
      <c r="N1463" s="25">
        <f>ROUND(L1463/M1463, 0)</f>
        <v/>
      </c>
      <c r="O1463" s="25">
        <f>ROUND(N1463*'Methodology &amp; Assumptions'!$B$7, 0)</f>
        <v/>
      </c>
      <c r="P1463" s="23" t="inlineStr">
        <is>
          <t>Single Carrier (Band n50, 100MHz TDD)</t>
        </is>
      </c>
      <c r="Q1463" s="27">
        <f>ROUNDUP(O1463/'Methodology &amp; Assumptions'!$B$8, 0)</f>
        <v/>
      </c>
      <c r="R1463" s="27" t="n">
        <v>1</v>
      </c>
      <c r="S1463" s="26" t="n">
        <v>1.09</v>
      </c>
      <c r="T1463" s="26" t="n">
        <v>0.04</v>
      </c>
      <c r="U1463" s="11">
        <f>IF(S1463&lt;='Methodology &amp; Assumptions'!$B$10, "Direct Optical Drop (&lt;3km)", IF(S1463&lt;='Methodology &amp; Assumptions'!$B$9, "Near Optical / Microwave (&lt;5km)", "Starlink Business LEO Satellite Backhaul (&gt;5km)"))</f>
        <v/>
      </c>
      <c r="V1463" s="26" t="n">
        <v>84.51000000000001</v>
      </c>
      <c r="W1463" s="26" t="n">
        <v>31.47</v>
      </c>
      <c r="X1463" s="26">
        <f>ROUND(('Methodology &amp; Assumptions'!$B$5*V1463) + ('Methodology &amp; Assumptions'!$B$6*W1463), 2)</f>
        <v/>
      </c>
      <c r="Y1463" s="28" t="n">
        <v>7.2</v>
      </c>
      <c r="Z1463" s="11" t="inlineStr">
        <is>
          <t>Priority Tier 3 (Broadband Expansion)</t>
        </is>
      </c>
    </row>
    <row r="1464">
      <c r="A1464" s="23" t="n">
        <v>5</v>
      </c>
      <c r="B1464" s="23" t="n">
        <v>460</v>
      </c>
      <c r="C1464" s="23" t="n">
        <v>4460</v>
      </c>
      <c r="D1464" s="23" t="inlineStr">
        <is>
          <t>0403407017</t>
        </is>
      </c>
      <c r="E1464" s="11" t="inlineStr">
        <is>
          <t>Region IV-A (CALABARZON)</t>
        </is>
      </c>
      <c r="F1464" s="11" t="inlineStr">
        <is>
          <t>Laguna</t>
        </is>
      </c>
      <c r="G1464" s="11" t="inlineStr">
        <is>
          <t>Cavinti</t>
        </is>
      </c>
      <c r="H1464" s="11" t="inlineStr">
        <is>
          <t>Silangan Talaongan</t>
        </is>
      </c>
      <c r="I1464" s="24" t="n">
        <v>14.279108</v>
      </c>
      <c r="J1464" s="24" t="n">
        <v>121.536849</v>
      </c>
      <c r="K1464" s="23" t="inlineStr">
        <is>
          <t>R</t>
        </is>
      </c>
      <c r="L1464" s="25" t="n">
        <v>2219</v>
      </c>
      <c r="M1464" s="26" t="n">
        <v>3.3</v>
      </c>
      <c r="N1464" s="25">
        <f>ROUND(L1464/M1464, 0)</f>
        <v/>
      </c>
      <c r="O1464" s="25">
        <f>ROUND(N1464*'Methodology &amp; Assumptions'!$B$7, 0)</f>
        <v/>
      </c>
      <c r="P1464" s="23" t="inlineStr">
        <is>
          <t>Single Carrier (Band n50, 100MHz TDD)</t>
        </is>
      </c>
      <c r="Q1464" s="27">
        <f>ROUNDUP(O1464/'Methodology &amp; Assumptions'!$B$8, 0)</f>
        <v/>
      </c>
      <c r="R1464" s="27" t="n">
        <v>1</v>
      </c>
      <c r="S1464" s="26" t="n">
        <v>0.13</v>
      </c>
      <c r="T1464" s="26" t="n">
        <v>7.92</v>
      </c>
      <c r="U1464" s="11">
        <f>IF(S1464&lt;='Methodology &amp; Assumptions'!$B$10, "Direct Optical Drop (&lt;3km)", IF(S1464&lt;='Methodology &amp; Assumptions'!$B$9, "Near Optical / Microwave (&lt;5km)", "Starlink Business LEO Satellite Backhaul (&gt;5km)"))</f>
        <v/>
      </c>
      <c r="V1464" s="26" t="n">
        <v>80.25</v>
      </c>
      <c r="W1464" s="26" t="n">
        <v>35.72</v>
      </c>
      <c r="X1464" s="26">
        <f>ROUND(('Methodology &amp; Assumptions'!$B$5*V1464) + ('Methodology &amp; Assumptions'!$B$6*W1464), 2)</f>
        <v/>
      </c>
      <c r="Y1464" s="28" t="n">
        <v>7.2</v>
      </c>
      <c r="Z1464" s="11" t="inlineStr">
        <is>
          <t>Priority Tier 3 (Broadband Expansion)</t>
        </is>
      </c>
    </row>
    <row r="1465">
      <c r="A1465" s="23" t="n">
        <v>5</v>
      </c>
      <c r="B1465" s="23" t="n">
        <v>461</v>
      </c>
      <c r="C1465" s="23" t="n">
        <v>4461</v>
      </c>
      <c r="D1465" s="23" t="inlineStr">
        <is>
          <t>0304928010</t>
        </is>
      </c>
      <c r="E1465" s="11" t="inlineStr">
        <is>
          <t>Region III (Central Luzon)</t>
        </is>
      </c>
      <c r="F1465" s="11" t="inlineStr">
        <is>
          <t>Nueva Ecija</t>
        </is>
      </c>
      <c r="G1465" s="11" t="inlineStr">
        <is>
          <t>Santa Rosa</t>
        </is>
      </c>
      <c r="H1465" s="11" t="inlineStr">
        <is>
          <t>Rizal</t>
        </is>
      </c>
      <c r="I1465" s="24" t="n">
        <v>15.422797</v>
      </c>
      <c r="J1465" s="24" t="n">
        <v>120.938216</v>
      </c>
      <c r="K1465" s="23" t="inlineStr">
        <is>
          <t>U</t>
        </is>
      </c>
      <c r="L1465" s="25" t="n">
        <v>2270</v>
      </c>
      <c r="M1465" s="26" t="n">
        <v>3.5</v>
      </c>
      <c r="N1465" s="25">
        <f>ROUND(L1465/M1465, 0)</f>
        <v/>
      </c>
      <c r="O1465" s="25">
        <f>ROUND(N1465*'Methodology &amp; Assumptions'!$B$7, 0)</f>
        <v/>
      </c>
      <c r="P1465" s="23" t="inlineStr">
        <is>
          <t>Single Carrier (Band n50, 100MHz TDD)</t>
        </is>
      </c>
      <c r="Q1465" s="27">
        <f>ROUNDUP(O1465/'Methodology &amp; Assumptions'!$B$8, 0)</f>
        <v/>
      </c>
      <c r="R1465" s="27" t="n">
        <v>1</v>
      </c>
      <c r="S1465" s="26" t="n">
        <v>0.24</v>
      </c>
      <c r="T1465" s="26" t="n">
        <v>0.02</v>
      </c>
      <c r="U1465" s="11">
        <f>IF(S1465&lt;='Methodology &amp; Assumptions'!$B$10, "Direct Optical Drop (&lt;3km)", IF(S1465&lt;='Methodology &amp; Assumptions'!$B$9, "Near Optical / Microwave (&lt;5km)", "Starlink Business LEO Satellite Backhaul (&gt;5km)"))</f>
        <v/>
      </c>
      <c r="V1465" s="26" t="n">
        <v>72.95</v>
      </c>
      <c r="W1465" s="26" t="n">
        <v>43.03</v>
      </c>
      <c r="X1465" s="26">
        <f>ROUND(('Methodology &amp; Assumptions'!$B$5*V1465) + ('Methodology &amp; Assumptions'!$B$6*W1465), 2)</f>
        <v/>
      </c>
      <c r="Y1465" s="28" t="n">
        <v>8.300000000000001</v>
      </c>
      <c r="Z1465" s="11" t="inlineStr">
        <is>
          <t>Priority Tier 3 (Broadband Expansion)</t>
        </is>
      </c>
    </row>
    <row r="1466">
      <c r="A1466" s="23" t="n">
        <v>5</v>
      </c>
      <c r="B1466" s="23" t="n">
        <v>462</v>
      </c>
      <c r="C1466" s="23" t="n">
        <v>4462</v>
      </c>
      <c r="D1466" s="23" t="inlineStr">
        <is>
          <t>0907219032</t>
        </is>
      </c>
      <c r="E1466" s="11" t="inlineStr">
        <is>
          <t>Region IX (Zamboanga Peninsula)</t>
        </is>
      </c>
      <c r="F1466" s="11" t="inlineStr">
        <is>
          <t>Zamboanga del Norte</t>
        </is>
      </c>
      <c r="G1466" s="11" t="inlineStr">
        <is>
          <t>Siocon</t>
        </is>
      </c>
      <c r="H1466" s="11" t="inlineStr">
        <is>
          <t>Tabayo</t>
        </is>
      </c>
      <c r="I1466" s="24" t="n">
        <v>7.7</v>
      </c>
      <c r="J1466" s="24" t="n">
        <v>122.2326</v>
      </c>
      <c r="K1466" s="23" t="inlineStr">
        <is>
          <t>R</t>
        </is>
      </c>
      <c r="L1466" s="25" t="n">
        <v>3492</v>
      </c>
      <c r="M1466" s="26" t="n">
        <v>3.6</v>
      </c>
      <c r="N1466" s="25">
        <f>ROUND(L1466/M1466, 0)</f>
        <v/>
      </c>
      <c r="O1466" s="25">
        <f>ROUND(N1466*'Methodology &amp; Assumptions'!$B$7, 0)</f>
        <v/>
      </c>
      <c r="P1466" s="23" t="inlineStr">
        <is>
          <t>Single Carrier (Band n50, 100MHz TDD)</t>
        </is>
      </c>
      <c r="Q1466" s="27">
        <f>ROUNDUP(O1466/'Methodology &amp; Assumptions'!$B$8, 0)</f>
        <v/>
      </c>
      <c r="R1466" s="27" t="n">
        <v>1</v>
      </c>
      <c r="S1466" s="26" t="n">
        <v>24.15</v>
      </c>
      <c r="T1466" s="26" t="n">
        <v>23.68</v>
      </c>
      <c r="U1466" s="11">
        <f>IF(S1466&lt;='Methodology &amp; Assumptions'!$B$10, "Direct Optical Drop (&lt;3km)", IF(S1466&lt;='Methodology &amp; Assumptions'!$B$9, "Near Optical / Microwave (&lt;5km)", "Starlink Business LEO Satellite Backhaul (&gt;5km)"))</f>
        <v/>
      </c>
      <c r="V1466" s="26" t="n">
        <v>60.81</v>
      </c>
      <c r="W1466" s="26" t="n">
        <v>55.17</v>
      </c>
      <c r="X1466" s="26">
        <f>ROUND(('Methodology &amp; Assumptions'!$B$5*V1466) + ('Methodology &amp; Assumptions'!$B$6*W1466), 2)</f>
        <v/>
      </c>
      <c r="Y1466" s="28" t="n">
        <v>11</v>
      </c>
      <c r="Z1466" s="11" t="inlineStr">
        <is>
          <t>Priority Tier 3 (Broadband Expansion)</t>
        </is>
      </c>
    </row>
    <row r="1467">
      <c r="A1467" s="23" t="n">
        <v>5</v>
      </c>
      <c r="B1467" s="23" t="n">
        <v>463</v>
      </c>
      <c r="C1467" s="23" t="n">
        <v>4463</v>
      </c>
      <c r="D1467" s="23" t="inlineStr">
        <is>
          <t>1380605020</t>
        </is>
      </c>
      <c r="E1467" s="11" t="inlineStr">
        <is>
          <t>National Capital Region (NCR)</t>
        </is>
      </c>
      <c r="F1467" s="11" t="inlineStr">
        <is>
          <t>First District (Not a Province)</t>
        </is>
      </c>
      <c r="G1467" s="11" t="inlineStr">
        <is>
          <t>City of Manila</t>
        </is>
      </c>
      <c r="H1467" s="11" t="inlineStr">
        <is>
          <t>Barangay 318</t>
        </is>
      </c>
      <c r="I1467" s="24" t="n">
        <v>14.610092</v>
      </c>
      <c r="J1467" s="24" t="n">
        <v>120.984963</v>
      </c>
      <c r="K1467" s="23" t="inlineStr">
        <is>
          <t>U</t>
        </is>
      </c>
      <c r="L1467" s="25" t="n">
        <v>781</v>
      </c>
      <c r="M1467" s="26" t="n">
        <v>4.41</v>
      </c>
      <c r="N1467" s="25">
        <f>ROUND(L1467/M1467, 0)</f>
        <v/>
      </c>
      <c r="O1467" s="25">
        <f>ROUND(N1467*'Methodology &amp; Assumptions'!$B$7, 0)</f>
        <v/>
      </c>
      <c r="P1467" s="23" t="inlineStr">
        <is>
          <t>Single Carrier (Band n50, 100MHz TDD)</t>
        </is>
      </c>
      <c r="Q1467" s="27">
        <f>ROUNDUP(O1467/'Methodology &amp; Assumptions'!$B$8, 0)</f>
        <v/>
      </c>
      <c r="R1467" s="27" t="n">
        <v>1</v>
      </c>
      <c r="S1467" s="26" t="n">
        <v>0.75</v>
      </c>
      <c r="T1467" s="26" t="n">
        <v>0.25</v>
      </c>
      <c r="U1467" s="11">
        <f>IF(S1467&lt;='Methodology &amp; Assumptions'!$B$10, "Direct Optical Drop (&lt;3km)", IF(S1467&lt;='Methodology &amp; Assumptions'!$B$9, "Near Optical / Microwave (&lt;5km)", "Starlink Business LEO Satellite Backhaul (&gt;5km)"))</f>
        <v/>
      </c>
      <c r="V1467" s="26" t="n">
        <v>46.77</v>
      </c>
      <c r="W1467" s="26" t="n">
        <v>69.22</v>
      </c>
      <c r="X1467" s="26">
        <f>ROUND(('Methodology &amp; Assumptions'!$B$5*V1467) + ('Methodology &amp; Assumptions'!$B$6*W1467), 2)</f>
        <v/>
      </c>
      <c r="Y1467" s="28" t="n">
        <v>10.9</v>
      </c>
      <c r="Z1467" s="11" t="inlineStr">
        <is>
          <t>Priority Tier 3 (Broadband Expansion)</t>
        </is>
      </c>
    </row>
    <row r="1468">
      <c r="A1468" s="23" t="n">
        <v>5</v>
      </c>
      <c r="B1468" s="23" t="n">
        <v>464</v>
      </c>
      <c r="C1468" s="23" t="n">
        <v>4464</v>
      </c>
      <c r="D1468" s="23" t="inlineStr">
        <is>
          <t>1380601162</t>
        </is>
      </c>
      <c r="E1468" s="11" t="inlineStr">
        <is>
          <t>National Capital Region (NCR)</t>
        </is>
      </c>
      <c r="F1468" s="11" t="inlineStr">
        <is>
          <t>First District (Not a Province)</t>
        </is>
      </c>
      <c r="G1468" s="11" t="inlineStr">
        <is>
          <t>City of Manila</t>
        </is>
      </c>
      <c r="H1468" s="11" t="inlineStr">
        <is>
          <t>Barangay 162</t>
        </is>
      </c>
      <c r="I1468" s="24" t="n">
        <v>14.627027</v>
      </c>
      <c r="J1468" s="24" t="n">
        <v>120.97523</v>
      </c>
      <c r="K1468" s="23" t="inlineStr">
        <is>
          <t>U</t>
        </is>
      </c>
      <c r="L1468" s="25" t="n">
        <v>586</v>
      </c>
      <c r="M1468" s="26" t="n">
        <v>4.54</v>
      </c>
      <c r="N1468" s="25">
        <f>ROUND(L1468/M1468, 0)</f>
        <v/>
      </c>
      <c r="O1468" s="25">
        <f>ROUND(N1468*'Methodology &amp; Assumptions'!$B$7, 0)</f>
        <v/>
      </c>
      <c r="P1468" s="23" t="inlineStr">
        <is>
          <t>Single Carrier (Band n50, 100MHz TDD)</t>
        </is>
      </c>
      <c r="Q1468" s="27">
        <f>ROUNDUP(O1468/'Methodology &amp; Assumptions'!$B$8, 0)</f>
        <v/>
      </c>
      <c r="R1468" s="27" t="n">
        <v>1</v>
      </c>
      <c r="S1468" s="26" t="n">
        <v>0.21</v>
      </c>
      <c r="T1468" s="26" t="n">
        <v>0.24</v>
      </c>
      <c r="U1468" s="11">
        <f>IF(S1468&lt;='Methodology &amp; Assumptions'!$B$10, "Direct Optical Drop (&lt;3km)", IF(S1468&lt;='Methodology &amp; Assumptions'!$B$9, "Near Optical / Microwave (&lt;5km)", "Starlink Business LEO Satellite Backhaul (&gt;5km)"))</f>
        <v/>
      </c>
      <c r="V1468" s="26" t="n">
        <v>45.27</v>
      </c>
      <c r="W1468" s="26" t="n">
        <v>70.70999999999999</v>
      </c>
      <c r="X1468" s="26">
        <f>ROUND(('Methodology &amp; Assumptions'!$B$5*V1468) + ('Methodology &amp; Assumptions'!$B$6*W1468), 2)</f>
        <v/>
      </c>
      <c r="Y1468" s="28" t="n">
        <v>10.9</v>
      </c>
      <c r="Z1468" s="11" t="inlineStr">
        <is>
          <t>Priority Tier 3 (Broadband Expansion)</t>
        </is>
      </c>
    </row>
    <row r="1469">
      <c r="A1469" s="23" t="n">
        <v>5</v>
      </c>
      <c r="B1469" s="23" t="n">
        <v>465</v>
      </c>
      <c r="C1469" s="23" t="n">
        <v>4465</v>
      </c>
      <c r="D1469" s="23" t="inlineStr">
        <is>
          <t>1381100140</t>
        </is>
      </c>
      <c r="E1469" s="11" t="inlineStr">
        <is>
          <t>National Capital Region (NCR)</t>
        </is>
      </c>
      <c r="F1469" s="11" t="inlineStr">
        <is>
          <t>Fourth District (Not a Province)</t>
        </is>
      </c>
      <c r="G1469" s="11" t="inlineStr">
        <is>
          <t>Pasay City</t>
        </is>
      </c>
      <c r="H1469" s="11" t="inlineStr">
        <is>
          <t>Barangay 140</t>
        </is>
      </c>
      <c r="I1469" s="24" t="n">
        <v>14.540177</v>
      </c>
      <c r="J1469" s="24" t="n">
        <v>121.006069</v>
      </c>
      <c r="K1469" s="23" t="inlineStr">
        <is>
          <t>U</t>
        </is>
      </c>
      <c r="L1469" s="25" t="n">
        <v>539</v>
      </c>
      <c r="M1469" s="26" t="n">
        <v>3.27</v>
      </c>
      <c r="N1469" s="25">
        <f>ROUND(L1469/M1469, 0)</f>
        <v/>
      </c>
      <c r="O1469" s="25">
        <f>ROUND(N1469*'Methodology &amp; Assumptions'!$B$7, 0)</f>
        <v/>
      </c>
      <c r="P1469" s="23" t="inlineStr">
        <is>
          <t>Single Carrier (Band n50, 100MHz TDD)</t>
        </is>
      </c>
      <c r="Q1469" s="27">
        <f>ROUNDUP(O1469/'Methodology &amp; Assumptions'!$B$8, 0)</f>
        <v/>
      </c>
      <c r="R1469" s="27" t="n">
        <v>1</v>
      </c>
      <c r="S1469" s="26" t="n">
        <v>1.21</v>
      </c>
      <c r="T1469" s="26" t="n">
        <v>0.41</v>
      </c>
      <c r="U1469" s="11">
        <f>IF(S1469&lt;='Methodology &amp; Assumptions'!$B$10, "Direct Optical Drop (&lt;3km)", IF(S1469&lt;='Methodology &amp; Assumptions'!$B$9, "Near Optical / Microwave (&lt;5km)", "Starlink Business LEO Satellite Backhaul (&gt;5km)"))</f>
        <v/>
      </c>
      <c r="V1469" s="26" t="n">
        <v>45.03</v>
      </c>
      <c r="W1469" s="26" t="n">
        <v>70.94</v>
      </c>
      <c r="X1469" s="26">
        <f>ROUND(('Methodology &amp; Assumptions'!$B$5*V1469) + ('Methodology &amp; Assumptions'!$B$6*W1469), 2)</f>
        <v/>
      </c>
      <c r="Y1469" s="28" t="n">
        <v>10.9</v>
      </c>
      <c r="Z1469" s="11" t="inlineStr">
        <is>
          <t>Priority Tier 3 (Broadband Expansion)</t>
        </is>
      </c>
    </row>
    <row r="1470">
      <c r="A1470" s="23" t="n">
        <v>5</v>
      </c>
      <c r="B1470" s="23" t="n">
        <v>466</v>
      </c>
      <c r="C1470" s="23" t="n">
        <v>4466</v>
      </c>
      <c r="D1470" s="23" t="inlineStr">
        <is>
          <t>1903610032</t>
        </is>
      </c>
      <c r="E1470" s="11" t="inlineStr">
        <is>
          <t>Bangsamoro Autonomous Region In Muslim Mindanao (BARMM)</t>
        </is>
      </c>
      <c r="F1470" s="11" t="inlineStr">
        <is>
          <t>Lanao del Sur</t>
        </is>
      </c>
      <c r="G1470" s="11" t="inlineStr">
        <is>
          <t>Kapai</t>
        </is>
      </c>
      <c r="H1470" s="11" t="inlineStr">
        <is>
          <t>Kining</t>
        </is>
      </c>
      <c r="I1470" s="24" t="n">
        <v>8.086966</v>
      </c>
      <c r="J1470" s="24" t="n">
        <v>124.325484</v>
      </c>
      <c r="K1470" s="23" t="inlineStr">
        <is>
          <t>R</t>
        </is>
      </c>
      <c r="L1470" s="25" t="n">
        <v>869</v>
      </c>
      <c r="M1470" s="26" t="n">
        <v>5.7</v>
      </c>
      <c r="N1470" s="25">
        <f>ROUND(L1470/M1470, 0)</f>
        <v/>
      </c>
      <c r="O1470" s="25">
        <f>ROUND(N1470*'Methodology &amp; Assumptions'!$B$7, 0)</f>
        <v/>
      </c>
      <c r="P1470" s="23" t="inlineStr">
        <is>
          <t>Single Carrier (Band n50, 100MHz TDD)</t>
        </is>
      </c>
      <c r="Q1470" s="27">
        <f>ROUNDUP(O1470/'Methodology &amp; Assumptions'!$B$8, 0)</f>
        <v/>
      </c>
      <c r="R1470" s="27" t="n">
        <v>1</v>
      </c>
      <c r="S1470" s="26" t="n">
        <v>10.25</v>
      </c>
      <c r="T1470" s="26" t="n">
        <v>7.22</v>
      </c>
      <c r="U1470" s="11">
        <f>IF(S1470&lt;='Methodology &amp; Assumptions'!$B$10, "Direct Optical Drop (&lt;3km)", IF(S1470&lt;='Methodology &amp; Assumptions'!$B$9, "Near Optical / Microwave (&lt;5km)", "Starlink Business LEO Satellite Backhaul (&gt;5km)"))</f>
        <v/>
      </c>
      <c r="V1470" s="26" t="n">
        <v>40.46</v>
      </c>
      <c r="W1470" s="26" t="n">
        <v>75.52</v>
      </c>
      <c r="X1470" s="26">
        <f>ROUND(('Methodology &amp; Assumptions'!$B$5*V1470) + ('Methodology &amp; Assumptions'!$B$6*W1470), 2)</f>
        <v/>
      </c>
      <c r="Y1470" s="28" t="n">
        <v>11</v>
      </c>
      <c r="Z1470" s="11" t="inlineStr">
        <is>
          <t>Priority Tier 3 (Broadband Expansion)</t>
        </is>
      </c>
    </row>
    <row r="1471">
      <c r="A1471" s="23" t="n">
        <v>5</v>
      </c>
      <c r="B1471" s="23" t="n">
        <v>467</v>
      </c>
      <c r="C1471" s="23" t="n">
        <v>4467</v>
      </c>
      <c r="D1471" s="23" t="inlineStr">
        <is>
          <t>1004321002</t>
        </is>
      </c>
      <c r="E1471" s="11" t="inlineStr">
        <is>
          <t>Region X (Northern Mindanao)</t>
        </is>
      </c>
      <c r="F1471" s="11" t="inlineStr">
        <is>
          <t>Misamis Oriental</t>
        </is>
      </c>
      <c r="G1471" s="11" t="inlineStr">
        <is>
          <t>Opol</t>
        </is>
      </c>
      <c r="H1471" s="11" t="inlineStr">
        <is>
          <t>Bagocboc</t>
        </is>
      </c>
      <c r="I1471" s="24" t="n">
        <v>8.420325999999999</v>
      </c>
      <c r="J1471" s="24" t="n">
        <v>124.501921</v>
      </c>
      <c r="K1471" s="23" t="inlineStr">
        <is>
          <t>R</t>
        </is>
      </c>
      <c r="L1471" s="25" t="n">
        <v>3374</v>
      </c>
      <c r="M1471" s="26" t="n">
        <v>3.9</v>
      </c>
      <c r="N1471" s="25">
        <f>ROUND(L1471/M1471, 0)</f>
        <v/>
      </c>
      <c r="O1471" s="25">
        <f>ROUND(N1471*'Methodology &amp; Assumptions'!$B$7, 0)</f>
        <v/>
      </c>
      <c r="P1471" s="23" t="inlineStr">
        <is>
          <t>Single Carrier (Band n50, 100MHz TDD)</t>
        </is>
      </c>
      <c r="Q1471" s="27">
        <f>ROUNDUP(O1471/'Methodology &amp; Assumptions'!$B$8, 0)</f>
        <v/>
      </c>
      <c r="R1471" s="27" t="n">
        <v>1</v>
      </c>
      <c r="S1471" s="26" t="n">
        <v>0.33</v>
      </c>
      <c r="T1471" s="26" t="n">
        <v>12.11</v>
      </c>
      <c r="U1471" s="11">
        <f>IF(S1471&lt;='Methodology &amp; Assumptions'!$B$10, "Direct Optical Drop (&lt;3km)", IF(S1471&lt;='Methodology &amp; Assumptions'!$B$9, "Near Optical / Microwave (&lt;5km)", "Starlink Business LEO Satellite Backhaul (&gt;5km)"))</f>
        <v/>
      </c>
      <c r="V1471" s="26" t="n">
        <v>85.64</v>
      </c>
      <c r="W1471" s="26" t="n">
        <v>30.31</v>
      </c>
      <c r="X1471" s="26">
        <f>ROUND(('Methodology &amp; Assumptions'!$B$5*V1471) + ('Methodology &amp; Assumptions'!$B$6*W1471), 2)</f>
        <v/>
      </c>
      <c r="Y1471" s="28" t="n">
        <v>17.4</v>
      </c>
      <c r="Z1471" s="11" t="inlineStr">
        <is>
          <t>Priority Tier 3 (Broadband Expansion)</t>
        </is>
      </c>
    </row>
    <row r="1472">
      <c r="A1472" s="23" t="n">
        <v>5</v>
      </c>
      <c r="B1472" s="23" t="n">
        <v>468</v>
      </c>
      <c r="C1472" s="23" t="n">
        <v>4468</v>
      </c>
      <c r="D1472" s="23" t="inlineStr">
        <is>
          <t>0405610033</t>
        </is>
      </c>
      <c r="E1472" s="11" t="inlineStr">
        <is>
          <t>Region IV-A (CALABARZON)</t>
        </is>
      </c>
      <c r="F1472" s="11" t="inlineStr">
        <is>
          <t>Quezon</t>
        </is>
      </c>
      <c r="G1472" s="11" t="inlineStr">
        <is>
          <t>Catanauan</t>
        </is>
      </c>
      <c r="H1472" s="11" t="inlineStr">
        <is>
          <t>San Isidro</t>
        </is>
      </c>
      <c r="I1472" s="24" t="n">
        <v>13.629647</v>
      </c>
      <c r="J1472" s="24" t="n">
        <v>122.243502</v>
      </c>
      <c r="K1472" s="23" t="inlineStr">
        <is>
          <t>R</t>
        </is>
      </c>
      <c r="L1472" s="25" t="n">
        <v>3291</v>
      </c>
      <c r="M1472" s="26" t="n">
        <v>3.8</v>
      </c>
      <c r="N1472" s="25">
        <f>ROUND(L1472/M1472, 0)</f>
        <v/>
      </c>
      <c r="O1472" s="25">
        <f>ROUND(N1472*'Methodology &amp; Assumptions'!$B$7, 0)</f>
        <v/>
      </c>
      <c r="P1472" s="23" t="inlineStr">
        <is>
          <t>Single Carrier (Band n50, 100MHz TDD)</t>
        </is>
      </c>
      <c r="Q1472" s="27">
        <f>ROUNDUP(O1472/'Methodology &amp; Assumptions'!$B$8, 0)</f>
        <v/>
      </c>
      <c r="R1472" s="27" t="n">
        <v>1</v>
      </c>
      <c r="S1472" s="26" t="n">
        <v>0.97</v>
      </c>
      <c r="T1472" s="26" t="n">
        <v>0.12</v>
      </c>
      <c r="U1472" s="11">
        <f>IF(S1472&lt;='Methodology &amp; Assumptions'!$B$10, "Direct Optical Drop (&lt;3km)", IF(S1472&lt;='Methodology &amp; Assumptions'!$B$9, "Near Optical / Microwave (&lt;5km)", "Starlink Business LEO Satellite Backhaul (&gt;5km)"))</f>
        <v/>
      </c>
      <c r="V1472" s="26" t="n">
        <v>84.95</v>
      </c>
      <c r="W1472" s="26" t="n">
        <v>31.02</v>
      </c>
      <c r="X1472" s="26">
        <f>ROUND(('Methodology &amp; Assumptions'!$B$5*V1472) + ('Methodology &amp; Assumptions'!$B$6*W1472), 2)</f>
        <v/>
      </c>
      <c r="Y1472" s="28" t="n">
        <v>7.2</v>
      </c>
      <c r="Z1472" s="11" t="inlineStr">
        <is>
          <t>Priority Tier 3 (Broadband Expansion)</t>
        </is>
      </c>
    </row>
    <row r="1473">
      <c r="A1473" s="23" t="n">
        <v>5</v>
      </c>
      <c r="B1473" s="23" t="n">
        <v>469</v>
      </c>
      <c r="C1473" s="23" t="n">
        <v>4469</v>
      </c>
      <c r="D1473" s="23" t="inlineStr">
        <is>
          <t>0403427002</t>
        </is>
      </c>
      <c r="E1473" s="11" t="inlineStr">
        <is>
          <t>Region IV-A (CALABARZON)</t>
        </is>
      </c>
      <c r="F1473" s="11" t="inlineStr">
        <is>
          <t>Laguna</t>
        </is>
      </c>
      <c r="G1473" s="11" t="inlineStr">
        <is>
          <t>Santa Maria</t>
        </is>
      </c>
      <c r="H1473" s="11" t="inlineStr">
        <is>
          <t>Bagong Pook</t>
        </is>
      </c>
      <c r="I1473" s="24" t="n">
        <v>14.471996</v>
      </c>
      <c r="J1473" s="24" t="n">
        <v>121.429311</v>
      </c>
      <c r="K1473" s="23" t="inlineStr">
        <is>
          <t>R</t>
        </is>
      </c>
      <c r="L1473" s="25" t="n">
        <v>2532</v>
      </c>
      <c r="M1473" s="26" t="n">
        <v>3.3</v>
      </c>
      <c r="N1473" s="25">
        <f>ROUND(L1473/M1473, 0)</f>
        <v/>
      </c>
      <c r="O1473" s="25">
        <f>ROUND(N1473*'Methodology &amp; Assumptions'!$B$7, 0)</f>
        <v/>
      </c>
      <c r="P1473" s="23" t="inlineStr">
        <is>
          <t>Single Carrier (Band n50, 100MHz TDD)</t>
        </is>
      </c>
      <c r="Q1473" s="27">
        <f>ROUNDUP(O1473/'Methodology &amp; Assumptions'!$B$8, 0)</f>
        <v/>
      </c>
      <c r="R1473" s="27" t="n">
        <v>1</v>
      </c>
      <c r="S1473" s="26" t="n">
        <v>0.99</v>
      </c>
      <c r="T1473" s="26" t="n">
        <v>3.1</v>
      </c>
      <c r="U1473" s="11">
        <f>IF(S1473&lt;='Methodology &amp; Assumptions'!$B$10, "Direct Optical Drop (&lt;3km)", IF(S1473&lt;='Methodology &amp; Assumptions'!$B$9, "Near Optical / Microwave (&lt;5km)", "Starlink Business LEO Satellite Backhaul (&gt;5km)"))</f>
        <v/>
      </c>
      <c r="V1473" s="26" t="n">
        <v>79.79000000000001</v>
      </c>
      <c r="W1473" s="26" t="n">
        <v>36.17</v>
      </c>
      <c r="X1473" s="26">
        <f>ROUND(('Methodology &amp; Assumptions'!$B$5*V1473) + ('Methodology &amp; Assumptions'!$B$6*W1473), 2)</f>
        <v/>
      </c>
      <c r="Y1473" s="28" t="n">
        <v>7.2</v>
      </c>
      <c r="Z1473" s="11" t="inlineStr">
        <is>
          <t>Priority Tier 3 (Broadband Expansion)</t>
        </is>
      </c>
    </row>
    <row r="1474">
      <c r="A1474" s="23" t="n">
        <v>5</v>
      </c>
      <c r="B1474" s="23" t="n">
        <v>470</v>
      </c>
      <c r="C1474" s="23" t="n">
        <v>4470</v>
      </c>
      <c r="D1474" s="23" t="inlineStr">
        <is>
          <t>0301423019</t>
        </is>
      </c>
      <c r="E1474" s="11" t="inlineStr">
        <is>
          <t>Region III (Central Luzon)</t>
        </is>
      </c>
      <c r="F1474" s="11" t="inlineStr">
        <is>
          <t>Bulacan</t>
        </is>
      </c>
      <c r="G1474" s="11" t="inlineStr">
        <is>
          <t>Santa Maria</t>
        </is>
      </c>
      <c r="H1474" s="11" t="inlineStr">
        <is>
          <t>San Jose Patag</t>
        </is>
      </c>
      <c r="I1474" s="24" t="n">
        <v>14.824749</v>
      </c>
      <c r="J1474" s="24" t="n">
        <v>120.980119</v>
      </c>
      <c r="K1474" s="23" t="inlineStr">
        <is>
          <t>U</t>
        </is>
      </c>
      <c r="L1474" s="25" t="n">
        <v>14618</v>
      </c>
      <c r="M1474" s="26" t="n">
        <v>3.5</v>
      </c>
      <c r="N1474" s="25">
        <f>ROUND(L1474/M1474, 0)</f>
        <v/>
      </c>
      <c r="O1474" s="25">
        <f>ROUND(N1474*'Methodology &amp; Assumptions'!$B$7, 0)</f>
        <v/>
      </c>
      <c r="P1474" s="23" t="inlineStr">
        <is>
          <t>Single Carrier (Band n50, 100MHz TDD)</t>
        </is>
      </c>
      <c r="Q1474" s="27">
        <f>ROUNDUP(O1474/'Methodology &amp; Assumptions'!$B$8, 0)</f>
        <v/>
      </c>
      <c r="R1474" s="27" t="n">
        <v>1</v>
      </c>
      <c r="S1474" s="26" t="n">
        <v>1.03</v>
      </c>
      <c r="T1474" s="26" t="n">
        <v>1.06</v>
      </c>
      <c r="U1474" s="11">
        <f>IF(S1474&lt;='Methodology &amp; Assumptions'!$B$10, "Direct Optical Drop (&lt;3km)", IF(S1474&lt;='Methodology &amp; Assumptions'!$B$9, "Near Optical / Microwave (&lt;5km)", "Starlink Business LEO Satellite Backhaul (&gt;5km)"))</f>
        <v/>
      </c>
      <c r="V1474" s="26" t="n">
        <v>77.7</v>
      </c>
      <c r="W1474" s="26" t="n">
        <v>38.26</v>
      </c>
      <c r="X1474" s="26">
        <f>ROUND(('Methodology &amp; Assumptions'!$B$5*V1474) + ('Methodology &amp; Assumptions'!$B$6*W1474), 2)</f>
        <v/>
      </c>
      <c r="Y1474" s="28" t="n">
        <v>8.300000000000001</v>
      </c>
      <c r="Z1474" s="11" t="inlineStr">
        <is>
          <t>Priority Tier 3 (Broadband Expansion)</t>
        </is>
      </c>
    </row>
    <row r="1475">
      <c r="A1475" s="23" t="n">
        <v>5</v>
      </c>
      <c r="B1475" s="23" t="n">
        <v>471</v>
      </c>
      <c r="C1475" s="23" t="n">
        <v>4471</v>
      </c>
      <c r="D1475" s="23" t="inlineStr">
        <is>
          <t>0401020023</t>
        </is>
      </c>
      <c r="E1475" s="11" t="inlineStr">
        <is>
          <t>Region IV-A (CALABARZON)</t>
        </is>
      </c>
      <c r="F1475" s="11" t="inlineStr">
        <is>
          <t>Batangas</t>
        </is>
      </c>
      <c r="G1475" s="11" t="inlineStr">
        <is>
          <t>Padre Garcia</t>
        </is>
      </c>
      <c r="H1475" s="11" t="inlineStr">
        <is>
          <t>Poblacion</t>
        </is>
      </c>
      <c r="I1475" s="24" t="n">
        <v>13.878562</v>
      </c>
      <c r="J1475" s="24" t="n">
        <v>121.213984</v>
      </c>
      <c r="K1475" s="23" t="inlineStr">
        <is>
          <t>U</t>
        </is>
      </c>
      <c r="L1475" s="25" t="n">
        <v>3461</v>
      </c>
      <c r="M1475" s="26" t="n">
        <v>3.6</v>
      </c>
      <c r="N1475" s="25">
        <f>ROUND(L1475/M1475, 0)</f>
        <v/>
      </c>
      <c r="O1475" s="25">
        <f>ROUND(N1475*'Methodology &amp; Assumptions'!$B$7, 0)</f>
        <v/>
      </c>
      <c r="P1475" s="23" t="inlineStr">
        <is>
          <t>Single Carrier (Band n50, 100MHz TDD)</t>
        </is>
      </c>
      <c r="Q1475" s="27">
        <f>ROUNDUP(O1475/'Methodology &amp; Assumptions'!$B$8, 0)</f>
        <v/>
      </c>
      <c r="R1475" s="27" t="n">
        <v>1</v>
      </c>
      <c r="S1475" s="26" t="n">
        <v>1.29</v>
      </c>
      <c r="T1475" s="26" t="n">
        <v>0.28</v>
      </c>
      <c r="U1475" s="11">
        <f>IF(S1475&lt;='Methodology &amp; Assumptions'!$B$10, "Direct Optical Drop (&lt;3km)", IF(S1475&lt;='Methodology &amp; Assumptions'!$B$9, "Near Optical / Microwave (&lt;5km)", "Starlink Business LEO Satellite Backhaul (&gt;5km)"))</f>
        <v/>
      </c>
      <c r="V1475" s="26" t="n">
        <v>76.55</v>
      </c>
      <c r="W1475" s="26" t="n">
        <v>39.4</v>
      </c>
      <c r="X1475" s="26">
        <f>ROUND(('Methodology &amp; Assumptions'!$B$5*V1475) + ('Methodology &amp; Assumptions'!$B$6*W1475), 2)</f>
        <v/>
      </c>
      <c r="Y1475" s="28" t="n">
        <v>7.2</v>
      </c>
      <c r="Z1475" s="11" t="inlineStr">
        <is>
          <t>Priority Tier 3 (Broadband Expansion)</t>
        </is>
      </c>
    </row>
    <row r="1476">
      <c r="A1476" s="23" t="n">
        <v>5</v>
      </c>
      <c r="B1476" s="23" t="n">
        <v>472</v>
      </c>
      <c r="C1476" s="23" t="n">
        <v>4472</v>
      </c>
      <c r="D1476" s="23" t="inlineStr">
        <is>
          <t>1380605083</t>
        </is>
      </c>
      <c r="E1476" s="11" t="inlineStr">
        <is>
          <t>National Capital Region (NCR)</t>
        </is>
      </c>
      <c r="F1476" s="11" t="inlineStr">
        <is>
          <t>First District (Not a Province)</t>
        </is>
      </c>
      <c r="G1476" s="11" t="inlineStr">
        <is>
          <t>City of Manila</t>
        </is>
      </c>
      <c r="H1476" s="11" t="inlineStr">
        <is>
          <t>Barangay 380</t>
        </is>
      </c>
      <c r="I1476" s="24" t="n">
        <v>14.626028</v>
      </c>
      <c r="J1476" s="24" t="n">
        <v>120.985407</v>
      </c>
      <c r="K1476" s="23" t="inlineStr">
        <is>
          <t>U</t>
        </is>
      </c>
      <c r="L1476" s="25" t="n">
        <v>957</v>
      </c>
      <c r="M1476" s="26" t="n">
        <v>4.29</v>
      </c>
      <c r="N1476" s="25">
        <f>ROUND(L1476/M1476, 0)</f>
        <v/>
      </c>
      <c r="O1476" s="25">
        <f>ROUND(N1476*'Methodology &amp; Assumptions'!$B$7, 0)</f>
        <v/>
      </c>
      <c r="P1476" s="23" t="inlineStr">
        <is>
          <t>Single Carrier (Band n50, 100MHz TDD)</t>
        </is>
      </c>
      <c r="Q1476" s="27">
        <f>ROUNDUP(O1476/'Methodology &amp; Assumptions'!$B$8, 0)</f>
        <v/>
      </c>
      <c r="R1476" s="27" t="n">
        <v>1</v>
      </c>
      <c r="S1476" s="26" t="n">
        <v>1.09</v>
      </c>
      <c r="T1476" s="26" t="n">
        <v>0.12</v>
      </c>
      <c r="U1476" s="11">
        <f>IF(S1476&lt;='Methodology &amp; Assumptions'!$B$10, "Direct Optical Drop (&lt;3km)", IF(S1476&lt;='Methodology &amp; Assumptions'!$B$9, "Near Optical / Microwave (&lt;5km)", "Starlink Business LEO Satellite Backhaul (&gt;5km)"))</f>
        <v/>
      </c>
      <c r="V1476" s="26" t="n">
        <v>47.29</v>
      </c>
      <c r="W1476" s="26" t="n">
        <v>68.66</v>
      </c>
      <c r="X1476" s="26">
        <f>ROUND(('Methodology &amp; Assumptions'!$B$5*V1476) + ('Methodology &amp; Assumptions'!$B$6*W1476), 2)</f>
        <v/>
      </c>
      <c r="Y1476" s="28" t="n">
        <v>10.9</v>
      </c>
      <c r="Z1476" s="11" t="inlineStr">
        <is>
          <t>Priority Tier 3 (Broadband Expansion)</t>
        </is>
      </c>
    </row>
    <row r="1477">
      <c r="A1477" s="23" t="n">
        <v>5</v>
      </c>
      <c r="B1477" s="23" t="n">
        <v>473</v>
      </c>
      <c r="C1477" s="23" t="n">
        <v>4473</v>
      </c>
      <c r="D1477" s="23" t="inlineStr">
        <is>
          <t>1380606047</t>
        </is>
      </c>
      <c r="E1477" s="11" t="inlineStr">
        <is>
          <t>National Capital Region (NCR)</t>
        </is>
      </c>
      <c r="F1477" s="11" t="inlineStr">
        <is>
          <t>First District (Not a Province)</t>
        </is>
      </c>
      <c r="G1477" s="11" t="inlineStr">
        <is>
          <t>City of Manila</t>
        </is>
      </c>
      <c r="H1477" s="11" t="inlineStr">
        <is>
          <t>Barangay 441</t>
        </is>
      </c>
      <c r="I1477" s="24" t="n">
        <v>14.609322</v>
      </c>
      <c r="J1477" s="24" t="n">
        <v>120.997543</v>
      </c>
      <c r="K1477" s="23" t="inlineStr">
        <is>
          <t>U</t>
        </is>
      </c>
      <c r="L1477" s="25" t="n">
        <v>666</v>
      </c>
      <c r="M1477" s="26" t="n">
        <v>3.81</v>
      </c>
      <c r="N1477" s="25">
        <f>ROUND(L1477/M1477, 0)</f>
        <v/>
      </c>
      <c r="O1477" s="25">
        <f>ROUND(N1477*'Methodology &amp; Assumptions'!$B$7, 0)</f>
        <v/>
      </c>
      <c r="P1477" s="23" t="inlineStr">
        <is>
          <t>Single Carrier (Band n50, 100MHz TDD)</t>
        </is>
      </c>
      <c r="Q1477" s="27">
        <f>ROUNDUP(O1477/'Methodology &amp; Assumptions'!$B$8, 0)</f>
        <v/>
      </c>
      <c r="R1477" s="27" t="n">
        <v>1</v>
      </c>
      <c r="S1477" s="26" t="n">
        <v>0.6899999999999999</v>
      </c>
      <c r="T1477" s="26" t="n">
        <v>0.35</v>
      </c>
      <c r="U1477" s="11">
        <f>IF(S1477&lt;='Methodology &amp; Assumptions'!$B$10, "Direct Optical Drop (&lt;3km)", IF(S1477&lt;='Methodology &amp; Assumptions'!$B$9, "Near Optical / Microwave (&lt;5km)", "Starlink Business LEO Satellite Backhaul (&gt;5km)"))</f>
        <v/>
      </c>
      <c r="V1477" s="26" t="n">
        <v>46.66</v>
      </c>
      <c r="W1477" s="26" t="n">
        <v>69.29000000000001</v>
      </c>
      <c r="X1477" s="26">
        <f>ROUND(('Methodology &amp; Assumptions'!$B$5*V1477) + ('Methodology &amp; Assumptions'!$B$6*W1477), 2)</f>
        <v/>
      </c>
      <c r="Y1477" s="28" t="n">
        <v>10.9</v>
      </c>
      <c r="Z1477" s="11" t="inlineStr">
        <is>
          <t>Priority Tier 3 (Broadband Expansion)</t>
        </is>
      </c>
    </row>
    <row r="1478">
      <c r="A1478" s="23" t="n">
        <v>5</v>
      </c>
      <c r="B1478" s="23" t="n">
        <v>474</v>
      </c>
      <c r="C1478" s="23" t="n">
        <v>4474</v>
      </c>
      <c r="D1478" s="23" t="inlineStr">
        <is>
          <t>1381100074</t>
        </is>
      </c>
      <c r="E1478" s="11" t="inlineStr">
        <is>
          <t>National Capital Region (NCR)</t>
        </is>
      </c>
      <c r="F1478" s="11" t="inlineStr">
        <is>
          <t>Fourth District (Not a Province)</t>
        </is>
      </c>
      <c r="G1478" s="11" t="inlineStr">
        <is>
          <t>Pasay City</t>
        </is>
      </c>
      <c r="H1478" s="11" t="inlineStr">
        <is>
          <t>Barangay 74</t>
        </is>
      </c>
      <c r="I1478" s="24" t="n">
        <v>14.540405</v>
      </c>
      <c r="J1478" s="24" t="n">
        <v>120.997268</v>
      </c>
      <c r="K1478" s="23" t="inlineStr">
        <is>
          <t>U</t>
        </is>
      </c>
      <c r="L1478" s="25" t="n">
        <v>429</v>
      </c>
      <c r="M1478" s="26" t="n">
        <v>2.9</v>
      </c>
      <c r="N1478" s="25">
        <f>ROUND(L1478/M1478, 0)</f>
        <v/>
      </c>
      <c r="O1478" s="25">
        <f>ROUND(N1478*'Methodology &amp; Assumptions'!$B$7, 0)</f>
        <v/>
      </c>
      <c r="P1478" s="23" t="inlineStr">
        <is>
          <t>Single Carrier (Band n50, 100MHz TDD)</t>
        </is>
      </c>
      <c r="Q1478" s="27">
        <f>ROUNDUP(O1478/'Methodology &amp; Assumptions'!$B$8, 0)</f>
        <v/>
      </c>
      <c r="R1478" s="27" t="n">
        <v>1</v>
      </c>
      <c r="S1478" s="26" t="n">
        <v>0.55</v>
      </c>
      <c r="T1478" s="26" t="n">
        <v>0.34</v>
      </c>
      <c r="U1478" s="11">
        <f>IF(S1478&lt;='Methodology &amp; Assumptions'!$B$10, "Direct Optical Drop (&lt;3km)", IF(S1478&lt;='Methodology &amp; Assumptions'!$B$9, "Near Optical / Microwave (&lt;5km)", "Starlink Business LEO Satellite Backhaul (&gt;5km)"))</f>
        <v/>
      </c>
      <c r="V1478" s="26" t="n">
        <v>45.8</v>
      </c>
      <c r="W1478" s="26" t="n">
        <v>70.16</v>
      </c>
      <c r="X1478" s="26">
        <f>ROUND(('Methodology &amp; Assumptions'!$B$5*V1478) + ('Methodology &amp; Assumptions'!$B$6*W1478), 2)</f>
        <v/>
      </c>
      <c r="Y1478" s="28" t="n">
        <v>10.9</v>
      </c>
      <c r="Z1478" s="11" t="inlineStr">
        <is>
          <t>Priority Tier 3 (Broadband Expansion)</t>
        </is>
      </c>
    </row>
    <row r="1479">
      <c r="A1479" s="23" t="n">
        <v>5</v>
      </c>
      <c r="B1479" s="23" t="n">
        <v>475</v>
      </c>
      <c r="C1479" s="23" t="n">
        <v>4475</v>
      </c>
      <c r="D1479" s="23" t="inlineStr">
        <is>
          <t>0701243024</t>
        </is>
      </c>
      <c r="E1479" s="11" t="inlineStr">
        <is>
          <t>Region VII (Central Visayas)</t>
        </is>
      </c>
      <c r="F1479" s="11" t="inlineStr">
        <is>
          <t>Bohol</t>
        </is>
      </c>
      <c r="G1479" s="11" t="inlineStr">
        <is>
          <t>Talibon</t>
        </is>
      </c>
      <c r="H1479" s="11" t="inlineStr">
        <is>
          <t>Sag</t>
        </is>
      </c>
      <c r="I1479" s="24" t="n">
        <v>10.213257</v>
      </c>
      <c r="J1479" s="24" t="n">
        <v>124.351854</v>
      </c>
      <c r="K1479" s="23" t="inlineStr">
        <is>
          <t>R</t>
        </is>
      </c>
      <c r="L1479" s="25" t="n">
        <v>930</v>
      </c>
      <c r="M1479" s="26" t="n">
        <v>4</v>
      </c>
      <c r="N1479" s="25">
        <f>ROUND(L1479/M1479, 0)</f>
        <v/>
      </c>
      <c r="O1479" s="25">
        <f>ROUND(N1479*'Methodology &amp; Assumptions'!$B$7, 0)</f>
        <v/>
      </c>
      <c r="P1479" s="23" t="inlineStr">
        <is>
          <t>Single Carrier (Band n50, 100MHz TDD)</t>
        </is>
      </c>
      <c r="Q1479" s="27">
        <f>ROUNDUP(O1479/'Methodology &amp; Assumptions'!$B$8, 0)</f>
        <v/>
      </c>
      <c r="R1479" s="27" t="n">
        <v>1</v>
      </c>
      <c r="S1479" s="26" t="n">
        <v>39.65</v>
      </c>
      <c r="T1479" s="26" t="n">
        <v>38.93</v>
      </c>
      <c r="U1479" s="11">
        <f>IF(S1479&lt;='Methodology &amp; Assumptions'!$B$10, "Direct Optical Drop (&lt;3km)", IF(S1479&lt;='Methodology &amp; Assumptions'!$B$9, "Near Optical / Microwave (&lt;5km)", "Starlink Business LEO Satellite Backhaul (&gt;5km)"))</f>
        <v/>
      </c>
      <c r="V1479" s="26" t="n">
        <v>43.3</v>
      </c>
      <c r="W1479" s="26" t="n">
        <v>72.65000000000001</v>
      </c>
      <c r="X1479" s="26">
        <f>ROUND(('Methodology &amp; Assumptions'!$B$5*V1479) + ('Methodology &amp; Assumptions'!$B$6*W1479), 2)</f>
        <v/>
      </c>
      <c r="Y1479" s="28" t="n">
        <v>23.7</v>
      </c>
      <c r="Z1479" s="11" t="inlineStr">
        <is>
          <t>Priority Tier 3 (Broadband Expansion)</t>
        </is>
      </c>
    </row>
    <row r="1480">
      <c r="A1480" s="23" t="n">
        <v>5</v>
      </c>
      <c r="B1480" s="23" t="n">
        <v>476</v>
      </c>
      <c r="C1480" s="23" t="n">
        <v>4476</v>
      </c>
      <c r="D1480" s="23" t="inlineStr">
        <is>
          <t>0603030024</t>
        </is>
      </c>
      <c r="E1480" s="11" t="inlineStr">
        <is>
          <t>Region VI (Western Visayas)</t>
        </is>
      </c>
      <c r="F1480" s="11" t="inlineStr">
        <is>
          <t>Iloilo</t>
        </is>
      </c>
      <c r="G1480" s="11" t="inlineStr">
        <is>
          <t>Miagao</t>
        </is>
      </c>
      <c r="H1480" s="11" t="inlineStr">
        <is>
          <t>Cabalaunan</t>
        </is>
      </c>
      <c r="I1480" s="24" t="n">
        <v>10.7225</v>
      </c>
      <c r="J1480" s="24" t="n">
        <v>122.1429</v>
      </c>
      <c r="K1480" s="23" t="inlineStr">
        <is>
          <t>R</t>
        </is>
      </c>
      <c r="L1480" s="25" t="n">
        <v>262</v>
      </c>
      <c r="M1480" s="26" t="n">
        <v>3.8</v>
      </c>
      <c r="N1480" s="25">
        <f>ROUND(L1480/M1480, 0)</f>
        <v/>
      </c>
      <c r="O1480" s="25">
        <f>ROUND(N1480*'Methodology &amp; Assumptions'!$B$7, 0)</f>
        <v/>
      </c>
      <c r="P1480" s="23" t="inlineStr">
        <is>
          <t>Single Carrier (Band n50, 100MHz TDD)</t>
        </is>
      </c>
      <c r="Q1480" s="27">
        <f>ROUNDUP(O1480/'Methodology &amp; Assumptions'!$B$8, 0)</f>
        <v/>
      </c>
      <c r="R1480" s="27" t="n">
        <v>1</v>
      </c>
      <c r="S1480" s="26" t="n">
        <v>22.82</v>
      </c>
      <c r="T1480" s="26" t="n">
        <v>11.53</v>
      </c>
      <c r="U1480" s="11">
        <f>IF(S1480&lt;='Methodology &amp; Assumptions'!$B$10, "Direct Optical Drop (&lt;3km)", IF(S1480&lt;='Methodology &amp; Assumptions'!$B$9, "Near Optical / Microwave (&lt;5km)", "Starlink Business LEO Satellite Backhaul (&gt;5km)"))</f>
        <v/>
      </c>
      <c r="V1480" s="26" t="n">
        <v>38.34</v>
      </c>
      <c r="W1480" s="26" t="n">
        <v>77.62</v>
      </c>
      <c r="X1480" s="26">
        <f>ROUND(('Methodology &amp; Assumptions'!$B$5*V1480) + ('Methodology &amp; Assumptions'!$B$6*W1480), 2)</f>
        <v/>
      </c>
      <c r="Y1480" s="28" t="n">
        <v>23.7</v>
      </c>
      <c r="Z1480" s="11" t="inlineStr">
        <is>
          <t>Priority Tier 3 (Broadband Expansion)</t>
        </is>
      </c>
    </row>
    <row r="1481">
      <c r="A1481" s="23" t="n">
        <v>5</v>
      </c>
      <c r="B1481" s="23" t="n">
        <v>477</v>
      </c>
      <c r="C1481" s="23" t="n">
        <v>4477</v>
      </c>
      <c r="D1481" s="23" t="inlineStr">
        <is>
          <t>0603047016</t>
        </is>
      </c>
      <c r="E1481" s="11" t="inlineStr">
        <is>
          <t>Region VI (Western Visayas)</t>
        </is>
      </c>
      <c r="F1481" s="11" t="inlineStr">
        <is>
          <t>Iloilo</t>
        </is>
      </c>
      <c r="G1481" s="11" t="inlineStr">
        <is>
          <t>Zarraga</t>
        </is>
      </c>
      <c r="H1481" s="11" t="inlineStr">
        <is>
          <t>Ilawod Poblacion</t>
        </is>
      </c>
      <c r="I1481" s="24" t="n">
        <v>10.82233</v>
      </c>
      <c r="J1481" s="24" t="n">
        <v>122.615028</v>
      </c>
      <c r="K1481" s="23" t="inlineStr">
        <is>
          <t>R</t>
        </is>
      </c>
      <c r="L1481" s="25" t="n">
        <v>2716</v>
      </c>
      <c r="M1481" s="26" t="n">
        <v>3.8</v>
      </c>
      <c r="N1481" s="25">
        <f>ROUND(L1481/M1481, 0)</f>
        <v/>
      </c>
      <c r="O1481" s="25">
        <f>ROUND(N1481*'Methodology &amp; Assumptions'!$B$7, 0)</f>
        <v/>
      </c>
      <c r="P1481" s="23" t="inlineStr">
        <is>
          <t>Single Carrier (Band n50, 100MHz TDD)</t>
        </is>
      </c>
      <c r="Q1481" s="27">
        <f>ROUNDUP(O1481/'Methodology &amp; Assumptions'!$B$8, 0)</f>
        <v/>
      </c>
      <c r="R1481" s="27" t="n">
        <v>1</v>
      </c>
      <c r="S1481" s="26" t="n">
        <v>1.04</v>
      </c>
      <c r="T1481" s="26" t="n">
        <v>0.29</v>
      </c>
      <c r="U1481" s="11">
        <f>IF(S1481&lt;='Methodology &amp; Assumptions'!$B$10, "Direct Optical Drop (&lt;3km)", IF(S1481&lt;='Methodology &amp; Assumptions'!$B$9, "Near Optical / Microwave (&lt;5km)", "Starlink Business LEO Satellite Backhaul (&gt;5km)"))</f>
        <v/>
      </c>
      <c r="V1481" s="26" t="n">
        <v>82.39</v>
      </c>
      <c r="W1481" s="26" t="n">
        <v>33.55</v>
      </c>
      <c r="X1481" s="26">
        <f>ROUND(('Methodology &amp; Assumptions'!$B$5*V1481) + ('Methodology &amp; Assumptions'!$B$6*W1481), 2)</f>
        <v/>
      </c>
      <c r="Y1481" s="28" t="n">
        <v>23.7</v>
      </c>
      <c r="Z1481" s="11" t="inlineStr">
        <is>
          <t>Priority Tier 3 (Broadband Expansion)</t>
        </is>
      </c>
    </row>
    <row r="1482">
      <c r="A1482" s="23" t="n">
        <v>5</v>
      </c>
      <c r="B1482" s="23" t="n">
        <v>478</v>
      </c>
      <c r="C1482" s="23" t="n">
        <v>4478</v>
      </c>
      <c r="D1482" s="23" t="inlineStr">
        <is>
          <t>1004307016</t>
        </is>
      </c>
      <c r="E1482" s="11" t="inlineStr">
        <is>
          <t>Region X (Northern Mindanao)</t>
        </is>
      </c>
      <c r="F1482" s="11" t="inlineStr">
        <is>
          <t>Misamis Oriental</t>
        </is>
      </c>
      <c r="G1482" s="11" t="inlineStr">
        <is>
          <t>City of El Salvador</t>
        </is>
      </c>
      <c r="H1482" s="11" t="inlineStr">
        <is>
          <t>Taytay</t>
        </is>
      </c>
      <c r="I1482" s="24" t="n">
        <v>8.539885</v>
      </c>
      <c r="J1482" s="24" t="n">
        <v>124.541124</v>
      </c>
      <c r="K1482" s="23" t="inlineStr">
        <is>
          <t>R</t>
        </is>
      </c>
      <c r="L1482" s="25" t="n">
        <v>4450</v>
      </c>
      <c r="M1482" s="26" t="n">
        <v>3.9</v>
      </c>
      <c r="N1482" s="25">
        <f>ROUND(L1482/M1482, 0)</f>
        <v/>
      </c>
      <c r="O1482" s="25">
        <f>ROUND(N1482*'Methodology &amp; Assumptions'!$B$7, 0)</f>
        <v/>
      </c>
      <c r="P1482" s="23" t="inlineStr">
        <is>
          <t>Single Carrier (Band n50, 100MHz TDD)</t>
        </is>
      </c>
      <c r="Q1482" s="27">
        <f>ROUNDUP(O1482/'Methodology &amp; Assumptions'!$B$8, 0)</f>
        <v/>
      </c>
      <c r="R1482" s="27" t="n">
        <v>1</v>
      </c>
      <c r="S1482" s="26" t="n">
        <v>2.67</v>
      </c>
      <c r="T1482" s="26" t="n">
        <v>0.16</v>
      </c>
      <c r="U1482" s="11">
        <f>IF(S1482&lt;='Methodology &amp; Assumptions'!$B$10, "Direct Optical Drop (&lt;3km)", IF(S1482&lt;='Methodology &amp; Assumptions'!$B$9, "Near Optical / Microwave (&lt;5km)", "Starlink Business LEO Satellite Backhaul (&gt;5km)"))</f>
        <v/>
      </c>
      <c r="V1482" s="26" t="n">
        <v>80.64</v>
      </c>
      <c r="W1482" s="26" t="n">
        <v>35.31</v>
      </c>
      <c r="X1482" s="26">
        <f>ROUND(('Methodology &amp; Assumptions'!$B$5*V1482) + ('Methodology &amp; Assumptions'!$B$6*W1482), 2)</f>
        <v/>
      </c>
      <c r="Y1482" s="28" t="n">
        <v>17.4</v>
      </c>
      <c r="Z1482" s="11" t="inlineStr">
        <is>
          <t>Priority Tier 3 (Broadband Expansion)</t>
        </is>
      </c>
    </row>
    <row r="1483">
      <c r="A1483" s="23" t="n">
        <v>5</v>
      </c>
      <c r="B1483" s="23" t="n">
        <v>479</v>
      </c>
      <c r="C1483" s="23" t="n">
        <v>4479</v>
      </c>
      <c r="D1483" s="23" t="inlineStr">
        <is>
          <t>1705209021</t>
        </is>
      </c>
      <c r="E1483" s="11" t="inlineStr">
        <is>
          <t>MIMAROPA Region</t>
        </is>
      </c>
      <c r="F1483" s="11" t="inlineStr">
        <is>
          <t>Oriental Mindoro</t>
        </is>
      </c>
      <c r="G1483" s="11" t="inlineStr">
        <is>
          <t>Pinamalayan</t>
        </is>
      </c>
      <c r="H1483" s="11" t="inlineStr">
        <is>
          <t>Panggulayan</t>
        </is>
      </c>
      <c r="I1483" s="24" t="n">
        <v>13.0452</v>
      </c>
      <c r="J1483" s="24" t="n">
        <v>121.4641</v>
      </c>
      <c r="K1483" s="23" t="inlineStr">
        <is>
          <t>R</t>
        </is>
      </c>
      <c r="L1483" s="25" t="n">
        <v>2823</v>
      </c>
      <c r="M1483" s="26" t="n">
        <v>3.9</v>
      </c>
      <c r="N1483" s="25">
        <f>ROUND(L1483/M1483, 0)</f>
        <v/>
      </c>
      <c r="O1483" s="25">
        <f>ROUND(N1483*'Methodology &amp; Assumptions'!$B$7, 0)</f>
        <v/>
      </c>
      <c r="P1483" s="23" t="inlineStr">
        <is>
          <t>Single Carrier (Band n50, 100MHz TDD)</t>
        </is>
      </c>
      <c r="Q1483" s="27">
        <f>ROUNDUP(O1483/'Methodology &amp; Assumptions'!$B$8, 0)</f>
        <v/>
      </c>
      <c r="R1483" s="27" t="n">
        <v>1</v>
      </c>
      <c r="S1483" s="26" t="n">
        <v>1.44</v>
      </c>
      <c r="T1483" s="26" t="n">
        <v>0.1</v>
      </c>
      <c r="U1483" s="11">
        <f>IF(S1483&lt;='Methodology &amp; Assumptions'!$B$10, "Direct Optical Drop (&lt;3km)", IF(S1483&lt;='Methodology &amp; Assumptions'!$B$9, "Near Optical / Microwave (&lt;5km)", "Starlink Business LEO Satellite Backhaul (&gt;5km)"))</f>
        <v/>
      </c>
      <c r="V1483" s="26" t="n">
        <v>79.27</v>
      </c>
      <c r="W1483" s="26" t="n">
        <v>36.66</v>
      </c>
      <c r="X1483" s="26">
        <f>ROUND(('Methodology &amp; Assumptions'!$B$5*V1483) + ('Methodology &amp; Assumptions'!$B$6*W1483), 2)</f>
        <v/>
      </c>
      <c r="Y1483" s="28" t="n">
        <v>15</v>
      </c>
      <c r="Z1483" s="11" t="inlineStr">
        <is>
          <t>Priority Tier 3 (Broadband Expansion)</t>
        </is>
      </c>
    </row>
    <row r="1484">
      <c r="A1484" s="23" t="n">
        <v>5</v>
      </c>
      <c r="B1484" s="23" t="n">
        <v>480</v>
      </c>
      <c r="C1484" s="23" t="n">
        <v>4480</v>
      </c>
      <c r="D1484" s="23" t="inlineStr">
        <is>
          <t>0405814007</t>
        </is>
      </c>
      <c r="E1484" s="11" t="inlineStr">
        <is>
          <t>Region IV-A (CALABARZON)</t>
        </is>
      </c>
      <c r="F1484" s="11" t="inlineStr">
        <is>
          <t>Rizal</t>
        </is>
      </c>
      <c r="G1484" s="11" t="inlineStr">
        <is>
          <t>Teresa</t>
        </is>
      </c>
      <c r="H1484" s="11" t="inlineStr">
        <is>
          <t>Prinza</t>
        </is>
      </c>
      <c r="I1484" s="24" t="n">
        <v>14.539235</v>
      </c>
      <c r="J1484" s="24" t="n">
        <v>121.212472</v>
      </c>
      <c r="K1484" s="23" t="inlineStr">
        <is>
          <t>U</t>
        </is>
      </c>
      <c r="L1484" s="25" t="n">
        <v>7180</v>
      </c>
      <c r="M1484" s="26" t="n">
        <v>3.6</v>
      </c>
      <c r="N1484" s="25">
        <f>ROUND(L1484/M1484, 0)</f>
        <v/>
      </c>
      <c r="O1484" s="25">
        <f>ROUND(N1484*'Methodology &amp; Assumptions'!$B$7, 0)</f>
        <v/>
      </c>
      <c r="P1484" s="23" t="inlineStr">
        <is>
          <t>Single Carrier (Band n50, 100MHz TDD)</t>
        </is>
      </c>
      <c r="Q1484" s="27">
        <f>ROUNDUP(O1484/'Methodology &amp; Assumptions'!$B$8, 0)</f>
        <v/>
      </c>
      <c r="R1484" s="27" t="n">
        <v>1</v>
      </c>
      <c r="S1484" s="26" t="n">
        <v>1.52</v>
      </c>
      <c r="T1484" s="26" t="n">
        <v>0.99</v>
      </c>
      <c r="U1484" s="11">
        <f>IF(S1484&lt;='Methodology &amp; Assumptions'!$B$10, "Direct Optical Drop (&lt;3km)", IF(S1484&lt;='Methodology &amp; Assumptions'!$B$9, "Near Optical / Microwave (&lt;5km)", "Starlink Business LEO Satellite Backhaul (&gt;5km)"))</f>
        <v/>
      </c>
      <c r="V1484" s="26" t="n">
        <v>75.72</v>
      </c>
      <c r="W1484" s="26" t="n">
        <v>40.22</v>
      </c>
      <c r="X1484" s="26">
        <f>ROUND(('Methodology &amp; Assumptions'!$B$5*V1484) + ('Methodology &amp; Assumptions'!$B$6*W1484), 2)</f>
        <v/>
      </c>
      <c r="Y1484" s="28" t="n">
        <v>7.2</v>
      </c>
      <c r="Z1484" s="11" t="inlineStr">
        <is>
          <t>Priority Tier 3 (Broadband Expansion)</t>
        </is>
      </c>
    </row>
    <row r="1485">
      <c r="A1485" s="23" t="n">
        <v>5</v>
      </c>
      <c r="B1485" s="23" t="n">
        <v>481</v>
      </c>
      <c r="C1485" s="23" t="n">
        <v>4481</v>
      </c>
      <c r="D1485" s="23" t="inlineStr">
        <is>
          <t>0300801006</t>
        </is>
      </c>
      <c r="E1485" s="11" t="inlineStr">
        <is>
          <t>Region III (Central Luzon)</t>
        </is>
      </c>
      <c r="F1485" s="11" t="inlineStr">
        <is>
          <t>Bataan</t>
        </is>
      </c>
      <c r="G1485" s="11" t="inlineStr">
        <is>
          <t>Abucay</t>
        </is>
      </c>
      <c r="H1485" s="11" t="inlineStr">
        <is>
          <t>Laon</t>
        </is>
      </c>
      <c r="I1485" s="24" t="n">
        <v>14.72262</v>
      </c>
      <c r="J1485" s="24" t="n">
        <v>120.533157</v>
      </c>
      <c r="K1485" s="23" t="inlineStr">
        <is>
          <t>R</t>
        </is>
      </c>
      <c r="L1485" s="25" t="n">
        <v>2523</v>
      </c>
      <c r="M1485" s="26" t="n">
        <v>3.6</v>
      </c>
      <c r="N1485" s="25">
        <f>ROUND(L1485/M1485, 0)</f>
        <v/>
      </c>
      <c r="O1485" s="25">
        <f>ROUND(N1485*'Methodology &amp; Assumptions'!$B$7, 0)</f>
        <v/>
      </c>
      <c r="P1485" s="23" t="inlineStr">
        <is>
          <t>Single Carrier (Band n50, 100MHz TDD)</t>
        </is>
      </c>
      <c r="Q1485" s="27">
        <f>ROUNDUP(O1485/'Methodology &amp; Assumptions'!$B$8, 0)</f>
        <v/>
      </c>
      <c r="R1485" s="27" t="n">
        <v>1</v>
      </c>
      <c r="S1485" s="26" t="n">
        <v>4.27</v>
      </c>
      <c r="T1485" s="26" t="n">
        <v>0.29</v>
      </c>
      <c r="U1485" s="11">
        <f>IF(S1485&lt;='Methodology &amp; Assumptions'!$B$10, "Direct Optical Drop (&lt;3km)", IF(S1485&lt;='Methodology &amp; Assumptions'!$B$9, "Near Optical / Microwave (&lt;5km)", "Starlink Business LEO Satellite Backhaul (&gt;5km)"))</f>
        <v/>
      </c>
      <c r="V1485" s="26" t="n">
        <v>71.62</v>
      </c>
      <c r="W1485" s="26" t="n">
        <v>44.31</v>
      </c>
      <c r="X1485" s="26">
        <f>ROUND(('Methodology &amp; Assumptions'!$B$5*V1485) + ('Methodology &amp; Assumptions'!$B$6*W1485), 2)</f>
        <v/>
      </c>
      <c r="Y1485" s="28" t="n">
        <v>8.300000000000001</v>
      </c>
      <c r="Z1485" s="11" t="inlineStr">
        <is>
          <t>Priority Tier 3 (Broadband Expansion)</t>
        </is>
      </c>
    </row>
    <row r="1486">
      <c r="A1486" s="23" t="n">
        <v>5</v>
      </c>
      <c r="B1486" s="23" t="n">
        <v>482</v>
      </c>
      <c r="C1486" s="23" t="n">
        <v>4482</v>
      </c>
      <c r="D1486" s="23" t="inlineStr">
        <is>
          <t>0102820001</t>
        </is>
      </c>
      <c r="E1486" s="11" t="inlineStr">
        <is>
          <t>Region I (Ilocos Region)</t>
        </is>
      </c>
      <c r="F1486" s="11" t="inlineStr">
        <is>
          <t>Ilocos Norte</t>
        </is>
      </c>
      <c r="G1486" s="11" t="inlineStr">
        <is>
          <t>San Nicolas</t>
        </is>
      </c>
      <c r="H1486" s="11" t="inlineStr">
        <is>
          <t>San Francisco</t>
        </is>
      </c>
      <c r="I1486" s="24" t="n">
        <v>18.178696</v>
      </c>
      <c r="J1486" s="24" t="n">
        <v>120.590502</v>
      </c>
      <c r="K1486" s="23" t="inlineStr">
        <is>
          <t>U</t>
        </is>
      </c>
      <c r="L1486" s="25" t="n">
        <v>1810</v>
      </c>
      <c r="M1486" s="26" t="n">
        <v>3.7</v>
      </c>
      <c r="N1486" s="25">
        <f>ROUND(L1486/M1486, 0)</f>
        <v/>
      </c>
      <c r="O1486" s="25">
        <f>ROUND(N1486*'Methodology &amp; Assumptions'!$B$7, 0)</f>
        <v/>
      </c>
      <c r="P1486" s="23" t="inlineStr">
        <is>
          <t>Single Carrier (Band n50, 100MHz TDD)</t>
        </is>
      </c>
      <c r="Q1486" s="27">
        <f>ROUNDUP(O1486/'Methodology &amp; Assumptions'!$B$8, 0)</f>
        <v/>
      </c>
      <c r="R1486" s="27" t="n">
        <v>1</v>
      </c>
      <c r="S1486" s="26" t="n">
        <v>0.98</v>
      </c>
      <c r="T1486" s="26" t="n">
        <v>0.18</v>
      </c>
      <c r="U1486" s="11">
        <f>IF(S1486&lt;='Methodology &amp; Assumptions'!$B$10, "Direct Optical Drop (&lt;3km)", IF(S1486&lt;='Methodology &amp; Assumptions'!$B$9, "Near Optical / Microwave (&lt;5km)", "Starlink Business LEO Satellite Backhaul (&gt;5km)"))</f>
        <v/>
      </c>
      <c r="V1486" s="26" t="n">
        <v>67.23</v>
      </c>
      <c r="W1486" s="26" t="n">
        <v>48.72</v>
      </c>
      <c r="X1486" s="26">
        <f>ROUND(('Methodology &amp; Assumptions'!$B$5*V1486) + ('Methodology &amp; Assumptions'!$B$6*W1486), 2)</f>
        <v/>
      </c>
      <c r="Y1486" s="28" t="n">
        <v>8.300000000000001</v>
      </c>
      <c r="Z1486" s="11" t="inlineStr">
        <is>
          <t>Priority Tier 3 (Broadband Expansion)</t>
        </is>
      </c>
    </row>
    <row r="1487">
      <c r="A1487" s="23" t="n">
        <v>5</v>
      </c>
      <c r="B1487" s="23" t="n">
        <v>483</v>
      </c>
      <c r="C1487" s="23" t="n">
        <v>4483</v>
      </c>
      <c r="D1487" s="23" t="inlineStr">
        <is>
          <t>1380605059</t>
        </is>
      </c>
      <c r="E1487" s="11" t="inlineStr">
        <is>
          <t>National Capital Region (NCR)</t>
        </is>
      </c>
      <c r="F1487" s="11" t="inlineStr">
        <is>
          <t>First District (Not a Province)</t>
        </is>
      </c>
      <c r="G1487" s="11" t="inlineStr">
        <is>
          <t>City of Manila</t>
        </is>
      </c>
      <c r="H1487" s="11" t="inlineStr">
        <is>
          <t>Barangay 357</t>
        </is>
      </c>
      <c r="I1487" s="24" t="n">
        <v>14.6211</v>
      </c>
      <c r="J1487" s="24" t="n">
        <v>120.981913</v>
      </c>
      <c r="K1487" s="23" t="inlineStr">
        <is>
          <t>U</t>
        </is>
      </c>
      <c r="L1487" s="25" t="n">
        <v>553</v>
      </c>
      <c r="M1487" s="26" t="n">
        <v>3.71</v>
      </c>
      <c r="N1487" s="25">
        <f>ROUND(L1487/M1487, 0)</f>
        <v/>
      </c>
      <c r="O1487" s="25">
        <f>ROUND(N1487*'Methodology &amp; Assumptions'!$B$7, 0)</f>
        <v/>
      </c>
      <c r="P1487" s="23" t="inlineStr">
        <is>
          <t>Single Carrier (Band n50, 100MHz TDD)</t>
        </is>
      </c>
      <c r="Q1487" s="27">
        <f>ROUNDUP(O1487/'Methodology &amp; Assumptions'!$B$8, 0)</f>
        <v/>
      </c>
      <c r="R1487" s="27" t="n">
        <v>1</v>
      </c>
      <c r="S1487" s="26" t="n">
        <v>0.52</v>
      </c>
      <c r="T1487" s="26" t="n">
        <v>0.12</v>
      </c>
      <c r="U1487" s="11">
        <f>IF(S1487&lt;='Methodology &amp; Assumptions'!$B$10, "Direct Optical Drop (&lt;3km)", IF(S1487&lt;='Methodology &amp; Assumptions'!$B$9, "Near Optical / Microwave (&lt;5km)", "Starlink Business LEO Satellite Backhaul (&gt;5km)"))</f>
        <v/>
      </c>
      <c r="V1487" s="26" t="n">
        <v>45.91</v>
      </c>
      <c r="W1487" s="26" t="n">
        <v>70.03</v>
      </c>
      <c r="X1487" s="26">
        <f>ROUND(('Methodology &amp; Assumptions'!$B$5*V1487) + ('Methodology &amp; Assumptions'!$B$6*W1487), 2)</f>
        <v/>
      </c>
      <c r="Y1487" s="28" t="n">
        <v>10.9</v>
      </c>
      <c r="Z1487" s="11" t="inlineStr">
        <is>
          <t>Priority Tier 3 (Broadband Expansion)</t>
        </is>
      </c>
    </row>
    <row r="1488">
      <c r="A1488" s="23" t="n">
        <v>5</v>
      </c>
      <c r="B1488" s="23" t="n">
        <v>484</v>
      </c>
      <c r="C1488" s="23" t="n">
        <v>4484</v>
      </c>
      <c r="D1488" s="23" t="inlineStr">
        <is>
          <t>1400121013</t>
        </is>
      </c>
      <c r="E1488" s="11" t="inlineStr">
        <is>
          <t>Cordillera Administrative Region (CAR)</t>
        </is>
      </c>
      <c r="F1488" s="11" t="inlineStr">
        <is>
          <t>Abra</t>
        </is>
      </c>
      <c r="G1488" s="11" t="inlineStr">
        <is>
          <t>San Isidro</t>
        </is>
      </c>
      <c r="H1488" s="11" t="inlineStr">
        <is>
          <t>Tangbao</t>
        </is>
      </c>
      <c r="I1488" s="24" t="n">
        <v>17.440488</v>
      </c>
      <c r="J1488" s="24" t="n">
        <v>120.606996</v>
      </c>
      <c r="K1488" s="23" t="inlineStr">
        <is>
          <t>R</t>
        </is>
      </c>
      <c r="L1488" s="25" t="n">
        <v>650</v>
      </c>
      <c r="M1488" s="26" t="n">
        <v>3.8</v>
      </c>
      <c r="N1488" s="25">
        <f>ROUND(L1488/M1488, 0)</f>
        <v/>
      </c>
      <c r="O1488" s="25">
        <f>ROUND(N1488*'Methodology &amp; Assumptions'!$B$7, 0)</f>
        <v/>
      </c>
      <c r="P1488" s="23" t="inlineStr">
        <is>
          <t>Single Carrier (Band n50, 100MHz TDD)</t>
        </is>
      </c>
      <c r="Q1488" s="27">
        <f>ROUNDUP(O1488/'Methodology &amp; Assumptions'!$B$8, 0)</f>
        <v/>
      </c>
      <c r="R1488" s="27" t="n">
        <v>1</v>
      </c>
      <c r="S1488" s="26" t="n">
        <v>8.640000000000001</v>
      </c>
      <c r="T1488" s="26" t="n">
        <v>11.58</v>
      </c>
      <c r="U1488" s="11">
        <f>IF(S1488&lt;='Methodology &amp; Assumptions'!$B$10, "Direct Optical Drop (&lt;3km)", IF(S1488&lt;='Methodology &amp; Assumptions'!$B$9, "Near Optical / Microwave (&lt;5km)", "Starlink Business LEO Satellite Backhaul (&gt;5km)"))</f>
        <v/>
      </c>
      <c r="V1488" s="26" t="n">
        <v>44.02</v>
      </c>
      <c r="W1488" s="26" t="n">
        <v>71.93000000000001</v>
      </c>
      <c r="X1488" s="26">
        <f>ROUND(('Methodology &amp; Assumptions'!$B$5*V1488) + ('Methodology &amp; Assumptions'!$B$6*W1488), 2)</f>
        <v/>
      </c>
      <c r="Y1488" s="28" t="n">
        <v>10.9</v>
      </c>
      <c r="Z1488" s="11" t="inlineStr">
        <is>
          <t>Priority Tier 3 (Broadband Expansion)</t>
        </is>
      </c>
    </row>
    <row r="1489">
      <c r="A1489" s="23" t="n">
        <v>5</v>
      </c>
      <c r="B1489" s="23" t="n">
        <v>485</v>
      </c>
      <c r="C1489" s="23" t="n">
        <v>4485</v>
      </c>
      <c r="D1489" s="23" t="inlineStr">
        <is>
          <t>0907333010</t>
        </is>
      </c>
      <c r="E1489" s="11" t="inlineStr">
        <is>
          <t>Region IX (Zamboanga Peninsula)</t>
        </is>
      </c>
      <c r="F1489" s="11" t="inlineStr">
        <is>
          <t>Zamboanga del Sur</t>
        </is>
      </c>
      <c r="G1489" s="11" t="inlineStr">
        <is>
          <t>Lakewood</t>
        </is>
      </c>
      <c r="H1489" s="11" t="inlineStr">
        <is>
          <t>Matalang</t>
        </is>
      </c>
      <c r="I1489" s="24" t="n">
        <v>7.94308</v>
      </c>
      <c r="J1489" s="24" t="n">
        <v>123.152022</v>
      </c>
      <c r="K1489" s="23" t="inlineStr">
        <is>
          <t>R</t>
        </is>
      </c>
      <c r="L1489" s="25" t="n">
        <v>753</v>
      </c>
      <c r="M1489" s="26" t="n">
        <v>3.9</v>
      </c>
      <c r="N1489" s="25">
        <f>ROUND(L1489/M1489, 0)</f>
        <v/>
      </c>
      <c r="O1489" s="25">
        <f>ROUND(N1489*'Methodology &amp; Assumptions'!$B$7, 0)</f>
        <v/>
      </c>
      <c r="P1489" s="23" t="inlineStr">
        <is>
          <t>Single Carrier (Band n50, 100MHz TDD)</t>
        </is>
      </c>
      <c r="Q1489" s="27">
        <f>ROUNDUP(O1489/'Methodology &amp; Assumptions'!$B$8, 0)</f>
        <v/>
      </c>
      <c r="R1489" s="27" t="n">
        <v>1</v>
      </c>
      <c r="S1489" s="26" t="n">
        <v>26.01</v>
      </c>
      <c r="T1489" s="26" t="n">
        <v>15.2</v>
      </c>
      <c r="U1489" s="11">
        <f>IF(S1489&lt;='Methodology &amp; Assumptions'!$B$10, "Direct Optical Drop (&lt;3km)", IF(S1489&lt;='Methodology &amp; Assumptions'!$B$9, "Near Optical / Microwave (&lt;5km)", "Starlink Business LEO Satellite Backhaul (&gt;5km)"))</f>
        <v/>
      </c>
      <c r="V1489" s="26" t="n">
        <v>40.42</v>
      </c>
      <c r="W1489" s="26" t="n">
        <v>75.53</v>
      </c>
      <c r="X1489" s="26">
        <f>ROUND(('Methodology &amp; Assumptions'!$B$5*V1489) + ('Methodology &amp; Assumptions'!$B$6*W1489), 2)</f>
        <v/>
      </c>
      <c r="Y1489" s="28" t="n">
        <v>11</v>
      </c>
      <c r="Z1489" s="11" t="inlineStr">
        <is>
          <t>Priority Tier 3 (Broadband Expansion)</t>
        </is>
      </c>
    </row>
    <row r="1490">
      <c r="A1490" s="23" t="n">
        <v>5</v>
      </c>
      <c r="B1490" s="23" t="n">
        <v>486</v>
      </c>
      <c r="C1490" s="23" t="n">
        <v>4486</v>
      </c>
      <c r="D1490" s="23" t="inlineStr">
        <is>
          <t>0603035024</t>
        </is>
      </c>
      <c r="E1490" s="11" t="inlineStr">
        <is>
          <t>Region VI (Western Visayas)</t>
        </is>
      </c>
      <c r="F1490" s="11" t="inlineStr">
        <is>
          <t>Iloilo</t>
        </is>
      </c>
      <c r="G1490" s="11" t="inlineStr">
        <is>
          <t>City of Passi</t>
        </is>
      </c>
      <c r="H1490" s="11" t="inlineStr">
        <is>
          <t>Imbang Grande</t>
        </is>
      </c>
      <c r="I1490" s="24" t="n">
        <v>11.104836</v>
      </c>
      <c r="J1490" s="24" t="n">
        <v>122.65652</v>
      </c>
      <c r="K1490" s="23" t="inlineStr">
        <is>
          <t>R</t>
        </is>
      </c>
      <c r="L1490" s="25" t="n">
        <v>2839</v>
      </c>
      <c r="M1490" s="26" t="n">
        <v>3.8</v>
      </c>
      <c r="N1490" s="25">
        <f>ROUND(L1490/M1490, 0)</f>
        <v/>
      </c>
      <c r="O1490" s="25">
        <f>ROUND(N1490*'Methodology &amp; Assumptions'!$B$7, 0)</f>
        <v/>
      </c>
      <c r="P1490" s="23" t="inlineStr">
        <is>
          <t>Single Carrier (Band n50, 100MHz TDD)</t>
        </is>
      </c>
      <c r="Q1490" s="27">
        <f>ROUNDUP(O1490/'Methodology &amp; Assumptions'!$B$8, 0)</f>
        <v/>
      </c>
      <c r="R1490" s="27" t="n">
        <v>1</v>
      </c>
      <c r="S1490" s="26" t="n">
        <v>1.12</v>
      </c>
      <c r="T1490" s="26" t="n">
        <v>0.21</v>
      </c>
      <c r="U1490" s="11">
        <f>IF(S1490&lt;='Methodology &amp; Assumptions'!$B$10, "Direct Optical Drop (&lt;3km)", IF(S1490&lt;='Methodology &amp; Assumptions'!$B$9, "Near Optical / Microwave (&lt;5km)", "Starlink Business LEO Satellite Backhaul (&gt;5km)"))</f>
        <v/>
      </c>
      <c r="V1490" s="26" t="n">
        <v>83.09</v>
      </c>
      <c r="W1490" s="26" t="n">
        <v>32.83</v>
      </c>
      <c r="X1490" s="26">
        <f>ROUND(('Methodology &amp; Assumptions'!$B$5*V1490) + ('Methodology &amp; Assumptions'!$B$6*W1490), 2)</f>
        <v/>
      </c>
      <c r="Y1490" s="28" t="n">
        <v>23.7</v>
      </c>
      <c r="Z1490" s="11" t="inlineStr">
        <is>
          <t>Priority Tier 3 (Broadband Expansion)</t>
        </is>
      </c>
    </row>
    <row r="1491">
      <c r="A1491" s="23" t="n">
        <v>5</v>
      </c>
      <c r="B1491" s="23" t="n">
        <v>487</v>
      </c>
      <c r="C1491" s="23" t="n">
        <v>4487</v>
      </c>
      <c r="D1491" s="23" t="inlineStr">
        <is>
          <t>0600412010</t>
        </is>
      </c>
      <c r="E1491" s="11" t="inlineStr">
        <is>
          <t>Region VI (Western Visayas)</t>
        </is>
      </c>
      <c r="F1491" s="11" t="inlineStr">
        <is>
          <t>Aklan</t>
        </is>
      </c>
      <c r="G1491" s="11" t="inlineStr">
        <is>
          <t>Malay</t>
        </is>
      </c>
      <c r="H1491" s="11" t="inlineStr">
        <is>
          <t>Manoc-Manoc</t>
        </is>
      </c>
      <c r="I1491" s="24" t="n">
        <v>11.94124</v>
      </c>
      <c r="J1491" s="24" t="n">
        <v>121.942701</v>
      </c>
      <c r="K1491" s="23" t="inlineStr">
        <is>
          <t>U</t>
        </is>
      </c>
      <c r="L1491" s="25" t="n">
        <v>21135</v>
      </c>
      <c r="M1491" s="26" t="n">
        <v>3.9</v>
      </c>
      <c r="N1491" s="25">
        <f>ROUND(L1491/M1491, 0)</f>
        <v/>
      </c>
      <c r="O1491" s="25">
        <f>ROUND(N1491*'Methodology &amp; Assumptions'!$B$7, 0)</f>
        <v/>
      </c>
      <c r="P1491" s="23" t="inlineStr">
        <is>
          <t>Single Carrier (Band n50, 100MHz TDD)</t>
        </is>
      </c>
      <c r="Q1491" s="27">
        <f>ROUNDUP(O1491/'Methodology &amp; Assumptions'!$B$8, 0)</f>
        <v/>
      </c>
      <c r="R1491" s="27" t="n">
        <v>1</v>
      </c>
      <c r="S1491" s="26" t="n">
        <v>0.86</v>
      </c>
      <c r="T1491" s="26" t="n">
        <v>1.64</v>
      </c>
      <c r="U1491" s="11">
        <f>IF(S1491&lt;='Methodology &amp; Assumptions'!$B$10, "Direct Optical Drop (&lt;3km)", IF(S1491&lt;='Methodology &amp; Assumptions'!$B$9, "Near Optical / Microwave (&lt;5km)", "Starlink Business LEO Satellite Backhaul (&gt;5km)"))</f>
        <v/>
      </c>
      <c r="V1491" s="26" t="n">
        <v>80.79000000000001</v>
      </c>
      <c r="W1491" s="26" t="n">
        <v>35.13</v>
      </c>
      <c r="X1491" s="26">
        <f>ROUND(('Methodology &amp; Assumptions'!$B$5*V1491) + ('Methodology &amp; Assumptions'!$B$6*W1491), 2)</f>
        <v/>
      </c>
      <c r="Y1491" s="28" t="n">
        <v>23.7</v>
      </c>
      <c r="Z1491" s="11" t="inlineStr">
        <is>
          <t>Priority Tier 3 (Broadband Expansion)</t>
        </is>
      </c>
    </row>
    <row r="1492">
      <c r="A1492" s="23" t="n">
        <v>5</v>
      </c>
      <c r="B1492" s="23" t="n">
        <v>488</v>
      </c>
      <c r="C1492" s="23" t="n">
        <v>4488</v>
      </c>
      <c r="D1492" s="23" t="inlineStr">
        <is>
          <t>1102319015</t>
        </is>
      </c>
      <c r="E1492" s="11" t="inlineStr">
        <is>
          <t>Region XI (Davao Region)</t>
        </is>
      </c>
      <c r="F1492" s="11" t="inlineStr">
        <is>
          <t>Davao del Norte</t>
        </is>
      </c>
      <c r="G1492" s="11" t="inlineStr">
        <is>
          <t>City of Tagum</t>
        </is>
      </c>
      <c r="H1492" s="11" t="inlineStr">
        <is>
          <t>Pandapan</t>
        </is>
      </c>
      <c r="I1492" s="24" t="n">
        <v>7.485415</v>
      </c>
      <c r="J1492" s="24" t="n">
        <v>125.863437</v>
      </c>
      <c r="K1492" s="23" t="inlineStr">
        <is>
          <t>R</t>
        </is>
      </c>
      <c r="L1492" s="25" t="n">
        <v>2546</v>
      </c>
      <c r="M1492" s="26" t="n">
        <v>3.7</v>
      </c>
      <c r="N1492" s="25">
        <f>ROUND(L1492/M1492, 0)</f>
        <v/>
      </c>
      <c r="O1492" s="25">
        <f>ROUND(N1492*'Methodology &amp; Assumptions'!$B$7, 0)</f>
        <v/>
      </c>
      <c r="P1492" s="23" t="inlineStr">
        <is>
          <t>Single Carrier (Band n50, 100MHz TDD)</t>
        </is>
      </c>
      <c r="Q1492" s="27">
        <f>ROUNDUP(O1492/'Methodology &amp; Assumptions'!$B$8, 0)</f>
        <v/>
      </c>
      <c r="R1492" s="27" t="n">
        <v>1</v>
      </c>
      <c r="S1492" s="26" t="n">
        <v>5.51</v>
      </c>
      <c r="T1492" s="26" t="n">
        <v>0.93</v>
      </c>
      <c r="U1492" s="11">
        <f>IF(S1492&lt;='Methodology &amp; Assumptions'!$B$10, "Direct Optical Drop (&lt;3km)", IF(S1492&lt;='Methodology &amp; Assumptions'!$B$9, "Near Optical / Microwave (&lt;5km)", "Starlink Business LEO Satellite Backhaul (&gt;5km)"))</f>
        <v/>
      </c>
      <c r="V1492" s="26" t="n">
        <v>69.63</v>
      </c>
      <c r="W1492" s="26" t="n">
        <v>46.3</v>
      </c>
      <c r="X1492" s="26">
        <f>ROUND(('Methodology &amp; Assumptions'!$B$5*V1492) + ('Methodology &amp; Assumptions'!$B$6*W1492), 2)</f>
        <v/>
      </c>
      <c r="Y1492" s="28" t="n">
        <v>17.4</v>
      </c>
      <c r="Z1492" s="11" t="inlineStr">
        <is>
          <t>Priority Tier 3 (Broadband Expansion)</t>
        </is>
      </c>
    </row>
    <row r="1493">
      <c r="A1493" s="23" t="n">
        <v>5</v>
      </c>
      <c r="B1493" s="23" t="n">
        <v>489</v>
      </c>
      <c r="C1493" s="23" t="n">
        <v>4489</v>
      </c>
      <c r="D1493" s="23" t="inlineStr">
        <is>
          <t>1908702007</t>
        </is>
      </c>
      <c r="E1493" s="11" t="inlineStr">
        <is>
          <t>Bangsamoro Autonomous Region In Muslim Mindanao (BARMM)</t>
        </is>
      </c>
      <c r="F1493" s="11" t="inlineStr">
        <is>
          <t>Maguindanao del Norte</t>
        </is>
      </c>
      <c r="G1493" s="11" t="inlineStr">
        <is>
          <t>Buldon</t>
        </is>
      </c>
      <c r="H1493" s="11" t="inlineStr">
        <is>
          <t>Karim</t>
        </is>
      </c>
      <c r="I1493" s="24" t="n">
        <v>7.516731</v>
      </c>
      <c r="J1493" s="24" t="n">
        <v>124.366669</v>
      </c>
      <c r="K1493" s="23" t="inlineStr">
        <is>
          <t>R</t>
        </is>
      </c>
      <c r="L1493" s="25" t="n">
        <v>8356</v>
      </c>
      <c r="M1493" s="26" t="n">
        <v>4.3</v>
      </c>
      <c r="N1493" s="25">
        <f>ROUND(L1493/M1493, 0)</f>
        <v/>
      </c>
      <c r="O1493" s="25">
        <f>ROUND(N1493*'Methodology &amp; Assumptions'!$B$7, 0)</f>
        <v/>
      </c>
      <c r="P1493" s="23" t="inlineStr">
        <is>
          <t>Single Carrier (Band n50, 100MHz TDD)</t>
        </is>
      </c>
      <c r="Q1493" s="27">
        <f>ROUNDUP(O1493/'Methodology &amp; Assumptions'!$B$8, 0)</f>
        <v/>
      </c>
      <c r="R1493" s="27" t="n">
        <v>1</v>
      </c>
      <c r="S1493" s="26" t="n">
        <v>55.79</v>
      </c>
      <c r="T1493" s="26" t="n">
        <v>49.16</v>
      </c>
      <c r="U1493" s="11">
        <f>IF(S1493&lt;='Methodology &amp; Assumptions'!$B$10, "Direct Optical Drop (&lt;3km)", IF(S1493&lt;='Methodology &amp; Assumptions'!$B$9, "Near Optical / Microwave (&lt;5km)", "Starlink Business LEO Satellite Backhaul (&gt;5km)"))</f>
        <v/>
      </c>
      <c r="V1493" s="26" t="n">
        <v>59.06</v>
      </c>
      <c r="W1493" s="26" t="n">
        <v>56.86</v>
      </c>
      <c r="X1493" s="26">
        <f>ROUND(('Methodology &amp; Assumptions'!$B$5*V1493) + ('Methodology &amp; Assumptions'!$B$6*W1493), 2)</f>
        <v/>
      </c>
      <c r="Y1493" s="28" t="n">
        <v>11</v>
      </c>
      <c r="Z1493" s="11" t="inlineStr">
        <is>
          <t>Priority Tier 3 (Broadband Expansion)</t>
        </is>
      </c>
    </row>
    <row r="1494">
      <c r="A1494" s="23" t="n">
        <v>5</v>
      </c>
      <c r="B1494" s="23" t="n">
        <v>490</v>
      </c>
      <c r="C1494" s="23" t="n">
        <v>4490</v>
      </c>
      <c r="D1494" s="23" t="inlineStr">
        <is>
          <t>1606806008</t>
        </is>
      </c>
      <c r="E1494" s="11" t="inlineStr">
        <is>
          <t>Region XIII (Caraga)</t>
        </is>
      </c>
      <c r="F1494" s="11" t="inlineStr">
        <is>
          <t>Surigao del Sur</t>
        </is>
      </c>
      <c r="G1494" s="11" t="inlineStr">
        <is>
          <t>Carmen</t>
        </is>
      </c>
      <c r="H1494" s="11" t="inlineStr">
        <is>
          <t>Hinapoyan</t>
        </is>
      </c>
      <c r="I1494" s="24" t="n">
        <v>9.2126</v>
      </c>
      <c r="J1494" s="24" t="n">
        <v>125.918</v>
      </c>
      <c r="K1494" s="23" t="inlineStr">
        <is>
          <t>R</t>
        </is>
      </c>
      <c r="L1494" s="25" t="n">
        <v>2674</v>
      </c>
      <c r="M1494" s="26" t="n">
        <v>4.1</v>
      </c>
      <c r="N1494" s="25">
        <f>ROUND(L1494/M1494, 0)</f>
        <v/>
      </c>
      <c r="O1494" s="25">
        <f>ROUND(N1494*'Methodology &amp; Assumptions'!$B$7, 0)</f>
        <v/>
      </c>
      <c r="P1494" s="23" t="inlineStr">
        <is>
          <t>Single Carrier (Band n50, 100MHz TDD)</t>
        </is>
      </c>
      <c r="Q1494" s="27">
        <f>ROUNDUP(O1494/'Methodology &amp; Assumptions'!$B$8, 0)</f>
        <v/>
      </c>
      <c r="R1494" s="27" t="n">
        <v>1</v>
      </c>
      <c r="S1494" s="26" t="n">
        <v>17.59</v>
      </c>
      <c r="T1494" s="26" t="n">
        <v>7.48</v>
      </c>
      <c r="U1494" s="11">
        <f>IF(S1494&lt;='Methodology &amp; Assumptions'!$B$10, "Direct Optical Drop (&lt;3km)", IF(S1494&lt;='Methodology &amp; Assumptions'!$B$9, "Near Optical / Microwave (&lt;5km)", "Starlink Business LEO Satellite Backhaul (&gt;5km)"))</f>
        <v/>
      </c>
      <c r="V1494" s="26" t="n">
        <v>58.26</v>
      </c>
      <c r="W1494" s="26" t="n">
        <v>57.65</v>
      </c>
      <c r="X1494" s="26">
        <f>ROUND(('Methodology &amp; Assumptions'!$B$5*V1494) + ('Methodology &amp; Assumptions'!$B$6*W1494), 2)</f>
        <v/>
      </c>
      <c r="Y1494" s="28" t="n">
        <v>17.4</v>
      </c>
      <c r="Z1494" s="11" t="inlineStr">
        <is>
          <t>Priority Tier 3 (Broadband Expansion)</t>
        </is>
      </c>
    </row>
    <row r="1495">
      <c r="A1495" s="23" t="n">
        <v>5</v>
      </c>
      <c r="B1495" s="23" t="n">
        <v>491</v>
      </c>
      <c r="C1495" s="23" t="n">
        <v>4491</v>
      </c>
      <c r="D1495" s="23" t="inlineStr">
        <is>
          <t>1381100049</t>
        </is>
      </c>
      <c r="E1495" s="11" t="inlineStr">
        <is>
          <t>National Capital Region (NCR)</t>
        </is>
      </c>
      <c r="F1495" s="11" t="inlineStr">
        <is>
          <t>Fourth District (Not a Province)</t>
        </is>
      </c>
      <c r="G1495" s="11" t="inlineStr">
        <is>
          <t>Pasay City</t>
        </is>
      </c>
      <c r="H1495" s="11" t="inlineStr">
        <is>
          <t>Barangay 49</t>
        </is>
      </c>
      <c r="I1495" s="24" t="n">
        <v>14.553411</v>
      </c>
      <c r="J1495" s="24" t="n">
        <v>120.998939</v>
      </c>
      <c r="K1495" s="23" t="inlineStr">
        <is>
          <t>U</t>
        </is>
      </c>
      <c r="L1495" s="25" t="n">
        <v>415</v>
      </c>
      <c r="M1495" s="26" t="n">
        <v>3.52</v>
      </c>
      <c r="N1495" s="25">
        <f>ROUND(L1495/M1495, 0)</f>
        <v/>
      </c>
      <c r="O1495" s="25">
        <f>ROUND(N1495*'Methodology &amp; Assumptions'!$B$7, 0)</f>
        <v/>
      </c>
      <c r="P1495" s="23" t="inlineStr">
        <is>
          <t>Single Carrier (Band n50, 100MHz TDD)</t>
        </is>
      </c>
      <c r="Q1495" s="27">
        <f>ROUNDUP(O1495/'Methodology &amp; Assumptions'!$B$8, 0)</f>
        <v/>
      </c>
      <c r="R1495" s="27" t="n">
        <v>1</v>
      </c>
      <c r="S1495" s="26" t="n">
        <v>0.78</v>
      </c>
      <c r="T1495" s="26" t="n">
        <v>0.22</v>
      </c>
      <c r="U1495" s="11">
        <f>IF(S1495&lt;='Methodology &amp; Assumptions'!$B$10, "Direct Optical Drop (&lt;3km)", IF(S1495&lt;='Methodology &amp; Assumptions'!$B$9, "Near Optical / Microwave (&lt;5km)", "Starlink Business LEO Satellite Backhaul (&gt;5km)"))</f>
        <v/>
      </c>
      <c r="V1495" s="26" t="n">
        <v>44.84</v>
      </c>
      <c r="W1495" s="26" t="n">
        <v>71.06999999999999</v>
      </c>
      <c r="X1495" s="26">
        <f>ROUND(('Methodology &amp; Assumptions'!$B$5*V1495) + ('Methodology &amp; Assumptions'!$B$6*W1495), 2)</f>
        <v/>
      </c>
      <c r="Y1495" s="28" t="n">
        <v>10.9</v>
      </c>
      <c r="Z1495" s="11" t="inlineStr">
        <is>
          <t>Priority Tier 3 (Broadband Expansion)</t>
        </is>
      </c>
    </row>
    <row r="1496">
      <c r="A1496" s="23" t="n">
        <v>5</v>
      </c>
      <c r="B1496" s="23" t="n">
        <v>492</v>
      </c>
      <c r="C1496" s="23" t="n">
        <v>4492</v>
      </c>
      <c r="D1496" s="23" t="inlineStr">
        <is>
          <t>0803730013</t>
        </is>
      </c>
      <c r="E1496" s="11" t="inlineStr">
        <is>
          <t>Region VIII (Eastern Visayas)</t>
        </is>
      </c>
      <c r="F1496" s="11" t="inlineStr">
        <is>
          <t>Leyte</t>
        </is>
      </c>
      <c r="G1496" s="11" t="inlineStr">
        <is>
          <t>Macarthur</t>
        </is>
      </c>
      <c r="H1496" s="11" t="inlineStr">
        <is>
          <t>Oguisan</t>
        </is>
      </c>
      <c r="I1496" s="24" t="n">
        <v>10.823689</v>
      </c>
      <c r="J1496" s="24" t="n">
        <v>124.863273</v>
      </c>
      <c r="K1496" s="23" t="inlineStr">
        <is>
          <t>R</t>
        </is>
      </c>
      <c r="L1496" s="25" t="n">
        <v>157</v>
      </c>
      <c r="M1496" s="26" t="n">
        <v>3.8</v>
      </c>
      <c r="N1496" s="25">
        <f>ROUND(L1496/M1496, 0)</f>
        <v/>
      </c>
      <c r="O1496" s="25">
        <f>ROUND(N1496*'Methodology &amp; Assumptions'!$B$7, 0)</f>
        <v/>
      </c>
      <c r="P1496" s="23" t="inlineStr">
        <is>
          <t>Single Carrier (Band n50, 100MHz TDD)</t>
        </is>
      </c>
      <c r="Q1496" s="27">
        <f>ROUNDUP(O1496/'Methodology &amp; Assumptions'!$B$8, 0)</f>
        <v/>
      </c>
      <c r="R1496" s="27" t="n">
        <v>1</v>
      </c>
      <c r="S1496" s="26" t="n">
        <v>17.39</v>
      </c>
      <c r="T1496" s="26" t="n">
        <v>10.12</v>
      </c>
      <c r="U1496" s="11">
        <f>IF(S1496&lt;='Methodology &amp; Assumptions'!$B$10, "Direct Optical Drop (&lt;3km)", IF(S1496&lt;='Methodology &amp; Assumptions'!$B$9, "Near Optical / Microwave (&lt;5km)", "Starlink Business LEO Satellite Backhaul (&gt;5km)"))</f>
        <v/>
      </c>
      <c r="V1496" s="26" t="n">
        <v>40.05</v>
      </c>
      <c r="W1496" s="26" t="n">
        <v>75.87</v>
      </c>
      <c r="X1496" s="26">
        <f>ROUND(('Methodology &amp; Assumptions'!$B$5*V1496) + ('Methodology &amp; Assumptions'!$B$6*W1496), 2)</f>
        <v/>
      </c>
      <c r="Y1496" s="28" t="n">
        <v>23.7</v>
      </c>
      <c r="Z1496" s="11" t="inlineStr">
        <is>
          <t>Priority Tier 3 (Broadband Expansion)</t>
        </is>
      </c>
    </row>
    <row r="1497">
      <c r="A1497" s="23" t="n">
        <v>5</v>
      </c>
      <c r="B1497" s="23" t="n">
        <v>493</v>
      </c>
      <c r="C1497" s="23" t="n">
        <v>4493</v>
      </c>
      <c r="D1497" s="23" t="inlineStr">
        <is>
          <t>0105544040</t>
        </is>
      </c>
      <c r="E1497" s="11" t="inlineStr">
        <is>
          <t>Region I (Ilocos Region)</t>
        </is>
      </c>
      <c r="F1497" s="11" t="inlineStr">
        <is>
          <t>Pangasinan</t>
        </is>
      </c>
      <c r="G1497" s="11" t="inlineStr">
        <is>
          <t>Umingan</t>
        </is>
      </c>
      <c r="H1497" s="11" t="inlineStr">
        <is>
          <t>Nancalabasaan</t>
        </is>
      </c>
      <c r="I1497" s="24" t="n">
        <v>15.93558</v>
      </c>
      <c r="J1497" s="24" t="n">
        <v>120.84203</v>
      </c>
      <c r="K1497" s="23" t="inlineStr">
        <is>
          <t>R</t>
        </is>
      </c>
      <c r="L1497" s="25" t="n">
        <v>2736</v>
      </c>
      <c r="M1497" s="26" t="n">
        <v>3.6</v>
      </c>
      <c r="N1497" s="25">
        <f>ROUND(L1497/M1497, 0)</f>
        <v/>
      </c>
      <c r="O1497" s="25">
        <f>ROUND(N1497*'Methodology &amp; Assumptions'!$B$7, 0)</f>
        <v/>
      </c>
      <c r="P1497" s="23" t="inlineStr">
        <is>
          <t>Single Carrier (Band n50, 100MHz TDD)</t>
        </is>
      </c>
      <c r="Q1497" s="27">
        <f>ROUNDUP(O1497/'Methodology &amp; Assumptions'!$B$8, 0)</f>
        <v/>
      </c>
      <c r="R1497" s="27" t="n">
        <v>1</v>
      </c>
      <c r="S1497" s="26" t="n">
        <v>0.63</v>
      </c>
      <c r="T1497" s="26" t="n">
        <v>0.62</v>
      </c>
      <c r="U1497" s="11">
        <f>IF(S1497&lt;='Methodology &amp; Assumptions'!$B$10, "Direct Optical Drop (&lt;3km)", IF(S1497&lt;='Methodology &amp; Assumptions'!$B$9, "Near Optical / Microwave (&lt;5km)", "Starlink Business LEO Satellite Backhaul (&gt;5km)"))</f>
        <v/>
      </c>
      <c r="V1497" s="26" t="n">
        <v>83.72</v>
      </c>
      <c r="W1497" s="26" t="n">
        <v>32.17</v>
      </c>
      <c r="X1497" s="26">
        <f>ROUND(('Methodology &amp; Assumptions'!$B$5*V1497) + ('Methodology &amp; Assumptions'!$B$6*W1497), 2)</f>
        <v/>
      </c>
      <c r="Y1497" s="28" t="n">
        <v>8.300000000000001</v>
      </c>
      <c r="Z1497" s="11" t="inlineStr">
        <is>
          <t>Priority Tier 3 (Broadband Expansion)</t>
        </is>
      </c>
    </row>
    <row r="1498">
      <c r="A1498" s="23" t="n">
        <v>5</v>
      </c>
      <c r="B1498" s="23" t="n">
        <v>494</v>
      </c>
      <c r="C1498" s="23" t="n">
        <v>4494</v>
      </c>
      <c r="D1498" s="23" t="inlineStr">
        <is>
          <t>0604530011</t>
        </is>
      </c>
      <c r="E1498" s="11" t="inlineStr">
        <is>
          <t>Region VI (Western Visayas)</t>
        </is>
      </c>
      <c r="F1498" s="11" t="inlineStr">
        <is>
          <t>Negros Occidental</t>
        </is>
      </c>
      <c r="G1498" s="11" t="inlineStr">
        <is>
          <t>Valladolid</t>
        </is>
      </c>
      <c r="H1498" s="11" t="inlineStr">
        <is>
          <t>Mabini</t>
        </is>
      </c>
      <c r="I1498" s="24" t="n">
        <v>10.494323</v>
      </c>
      <c r="J1498" s="24" t="n">
        <v>122.826443</v>
      </c>
      <c r="K1498" s="23" t="inlineStr">
        <is>
          <t>R</t>
        </is>
      </c>
      <c r="L1498" s="25" t="n">
        <v>4270</v>
      </c>
      <c r="M1498" s="26" t="n">
        <v>3.7</v>
      </c>
      <c r="N1498" s="25">
        <f>ROUND(L1498/M1498, 0)</f>
        <v/>
      </c>
      <c r="O1498" s="25">
        <f>ROUND(N1498*'Methodology &amp; Assumptions'!$B$7, 0)</f>
        <v/>
      </c>
      <c r="P1498" s="23" t="inlineStr">
        <is>
          <t>Single Carrier (Band n50, 100MHz TDD)</t>
        </is>
      </c>
      <c r="Q1498" s="27">
        <f>ROUNDUP(O1498/'Methodology &amp; Assumptions'!$B$8, 0)</f>
        <v/>
      </c>
      <c r="R1498" s="27" t="n">
        <v>1</v>
      </c>
      <c r="S1498" s="26" t="n">
        <v>3.16</v>
      </c>
      <c r="T1498" s="26" t="n">
        <v>0.02</v>
      </c>
      <c r="U1498" s="11">
        <f>IF(S1498&lt;='Methodology &amp; Assumptions'!$B$10, "Direct Optical Drop (&lt;3km)", IF(S1498&lt;='Methodology &amp; Assumptions'!$B$9, "Near Optical / Microwave (&lt;5km)", "Starlink Business LEO Satellite Backhaul (&gt;5km)"))</f>
        <v/>
      </c>
      <c r="V1498" s="26" t="n">
        <v>80.23999999999999</v>
      </c>
      <c r="W1498" s="26" t="n">
        <v>35.65</v>
      </c>
      <c r="X1498" s="26">
        <f>ROUND(('Methodology &amp; Assumptions'!$B$5*V1498) + ('Methodology &amp; Assumptions'!$B$6*W1498), 2)</f>
        <v/>
      </c>
      <c r="Y1498" s="28" t="n">
        <v>23.7</v>
      </c>
      <c r="Z1498" s="11" t="inlineStr">
        <is>
          <t>Priority Tier 3 (Broadband Expansion)</t>
        </is>
      </c>
    </row>
    <row r="1499">
      <c r="A1499" s="23" t="n">
        <v>5</v>
      </c>
      <c r="B1499" s="23" t="n">
        <v>495</v>
      </c>
      <c r="C1499" s="23" t="n">
        <v>4495</v>
      </c>
      <c r="D1499" s="23" t="inlineStr">
        <is>
          <t>0205005001</t>
        </is>
      </c>
      <c r="E1499" s="11" t="inlineStr">
        <is>
          <t>Region II (Cagayan Valley)</t>
        </is>
      </c>
      <c r="F1499" s="11" t="inlineStr">
        <is>
          <t>Nueva Vizcaya</t>
        </is>
      </c>
      <c r="G1499" s="11" t="inlineStr">
        <is>
          <t>Bayombong</t>
        </is>
      </c>
      <c r="H1499" s="11" t="inlineStr">
        <is>
          <t>Bonfal East</t>
        </is>
      </c>
      <c r="I1499" s="24" t="n">
        <v>16.492494</v>
      </c>
      <c r="J1499" s="24" t="n">
        <v>121.178198</v>
      </c>
      <c r="K1499" s="23" t="inlineStr">
        <is>
          <t>R</t>
        </is>
      </c>
      <c r="L1499" s="25" t="n">
        <v>3538</v>
      </c>
      <c r="M1499" s="26" t="n">
        <v>3.8</v>
      </c>
      <c r="N1499" s="25">
        <f>ROUND(L1499/M1499, 0)</f>
        <v/>
      </c>
      <c r="O1499" s="25">
        <f>ROUND(N1499*'Methodology &amp; Assumptions'!$B$7, 0)</f>
        <v/>
      </c>
      <c r="P1499" s="23" t="inlineStr">
        <is>
          <t>Single Carrier (Band n50, 100MHz TDD)</t>
        </is>
      </c>
      <c r="Q1499" s="27">
        <f>ROUNDUP(O1499/'Methodology &amp; Assumptions'!$B$8, 0)</f>
        <v/>
      </c>
      <c r="R1499" s="27" t="n">
        <v>1</v>
      </c>
      <c r="S1499" s="26" t="n">
        <v>2.36</v>
      </c>
      <c r="T1499" s="26" t="n">
        <v>1.17</v>
      </c>
      <c r="U1499" s="11">
        <f>IF(S1499&lt;='Methodology &amp; Assumptions'!$B$10, "Direct Optical Drop (&lt;3km)", IF(S1499&lt;='Methodology &amp; Assumptions'!$B$9, "Near Optical / Microwave (&lt;5km)", "Starlink Business LEO Satellite Backhaul (&gt;5km)"))</f>
        <v/>
      </c>
      <c r="V1499" s="26" t="n">
        <v>80.18000000000001</v>
      </c>
      <c r="W1499" s="26" t="n">
        <v>35.72</v>
      </c>
      <c r="X1499" s="26">
        <f>ROUND(('Methodology &amp; Assumptions'!$B$5*V1499) + ('Methodology &amp; Assumptions'!$B$6*W1499), 2)</f>
        <v/>
      </c>
      <c r="Y1499" s="28" t="n">
        <v>8.300000000000001</v>
      </c>
      <c r="Z1499" s="11" t="inlineStr">
        <is>
          <t>Priority Tier 3 (Broadband Expansion)</t>
        </is>
      </c>
    </row>
    <row r="1500">
      <c r="A1500" s="23" t="n">
        <v>5</v>
      </c>
      <c r="B1500" s="23" t="n">
        <v>496</v>
      </c>
      <c r="C1500" s="23" t="n">
        <v>4496</v>
      </c>
      <c r="D1500" s="23" t="inlineStr">
        <is>
          <t>0304908015</t>
        </is>
      </c>
      <c r="E1500" s="11" t="inlineStr">
        <is>
          <t>Region III (Central Luzon)</t>
        </is>
      </c>
      <c r="F1500" s="11" t="inlineStr">
        <is>
          <t>Nueva Ecija</t>
        </is>
      </c>
      <c r="G1500" s="11" t="inlineStr">
        <is>
          <t>City of Gapan</t>
        </is>
      </c>
      <c r="H1500" s="11" t="inlineStr">
        <is>
          <t>Santo Cristo Norte</t>
        </is>
      </c>
      <c r="I1500" s="24" t="n">
        <v>15.285588</v>
      </c>
      <c r="J1500" s="24" t="n">
        <v>120.947568</v>
      </c>
      <c r="K1500" s="23" t="inlineStr">
        <is>
          <t>U</t>
        </is>
      </c>
      <c r="L1500" s="25" t="n">
        <v>6716</v>
      </c>
      <c r="M1500" s="26" t="n">
        <v>3.5</v>
      </c>
      <c r="N1500" s="25">
        <f>ROUND(L1500/M1500, 0)</f>
        <v/>
      </c>
      <c r="O1500" s="25">
        <f>ROUND(N1500*'Methodology &amp; Assumptions'!$B$7, 0)</f>
        <v/>
      </c>
      <c r="P1500" s="23" t="inlineStr">
        <is>
          <t>Single Carrier (Band n50, 100MHz TDD)</t>
        </is>
      </c>
      <c r="Q1500" s="27">
        <f>ROUNDUP(O1500/'Methodology &amp; Assumptions'!$B$8, 0)</f>
        <v/>
      </c>
      <c r="R1500" s="27" t="n">
        <v>1</v>
      </c>
      <c r="S1500" s="26" t="n">
        <v>0.03</v>
      </c>
      <c r="T1500" s="26" t="n">
        <v>0.09</v>
      </c>
      <c r="U1500" s="11">
        <f>IF(S1500&lt;='Methodology &amp; Assumptions'!$B$10, "Direct Optical Drop (&lt;3km)", IF(S1500&lt;='Methodology &amp; Assumptions'!$B$9, "Near Optical / Microwave (&lt;5km)", "Starlink Business LEO Satellite Backhaul (&gt;5km)"))</f>
        <v/>
      </c>
      <c r="V1500" s="26" t="n">
        <v>78.43000000000001</v>
      </c>
      <c r="W1500" s="26" t="n">
        <v>37.47</v>
      </c>
      <c r="X1500" s="26">
        <f>ROUND(('Methodology &amp; Assumptions'!$B$5*V1500) + ('Methodology &amp; Assumptions'!$B$6*W1500), 2)</f>
        <v/>
      </c>
      <c r="Y1500" s="28" t="n">
        <v>8.300000000000001</v>
      </c>
      <c r="Z1500" s="11" t="inlineStr">
        <is>
          <t>Priority Tier 3 (Broadband Expansion)</t>
        </is>
      </c>
    </row>
    <row r="1501">
      <c r="A1501" s="23" t="n">
        <v>5</v>
      </c>
      <c r="B1501" s="23" t="n">
        <v>497</v>
      </c>
      <c r="C1501" s="23" t="n">
        <v>4497</v>
      </c>
      <c r="D1501" s="23" t="inlineStr">
        <is>
          <t>1401105004</t>
        </is>
      </c>
      <c r="E1501" s="11" t="inlineStr">
        <is>
          <t>Cordillera Administrative Region (CAR)</t>
        </is>
      </c>
      <c r="F1501" s="11" t="inlineStr">
        <is>
          <t>Benguet</t>
        </is>
      </c>
      <c r="G1501" s="11" t="inlineStr">
        <is>
          <t>Buguias</t>
        </is>
      </c>
      <c r="H1501" s="11" t="inlineStr">
        <is>
          <t>Baculongan Norte</t>
        </is>
      </c>
      <c r="I1501" s="24" t="n">
        <v>16.7703</v>
      </c>
      <c r="J1501" s="24" t="n">
        <v>120.83172</v>
      </c>
      <c r="K1501" s="23" t="inlineStr">
        <is>
          <t>R</t>
        </is>
      </c>
      <c r="L1501" s="25" t="n">
        <v>3055</v>
      </c>
      <c r="M1501" s="26" t="n">
        <v>3.5</v>
      </c>
      <c r="N1501" s="25">
        <f>ROUND(L1501/M1501, 0)</f>
        <v/>
      </c>
      <c r="O1501" s="25">
        <f>ROUND(N1501*'Methodology &amp; Assumptions'!$B$7, 0)</f>
        <v/>
      </c>
      <c r="P1501" s="23" t="inlineStr">
        <is>
          <t>Single Carrier (Band n50, 100MHz TDD)</t>
        </is>
      </c>
      <c r="Q1501" s="27">
        <f>ROUNDUP(O1501/'Methodology &amp; Assumptions'!$B$8, 0)</f>
        <v/>
      </c>
      <c r="R1501" s="27" t="n">
        <v>1</v>
      </c>
      <c r="S1501" s="26" t="n">
        <v>3.85</v>
      </c>
      <c r="T1501" s="26" t="n">
        <v>0.09</v>
      </c>
      <c r="U1501" s="11">
        <f>IF(S1501&lt;='Methodology &amp; Assumptions'!$B$10, "Direct Optical Drop (&lt;3km)", IF(S1501&lt;='Methodology &amp; Assumptions'!$B$9, "Near Optical / Microwave (&lt;5km)", "Starlink Business LEO Satellite Backhaul (&gt;5km)"))</f>
        <v/>
      </c>
      <c r="V1501" s="26" t="n">
        <v>76.72</v>
      </c>
      <c r="W1501" s="26" t="n">
        <v>39.18</v>
      </c>
      <c r="X1501" s="26">
        <f>ROUND(('Methodology &amp; Assumptions'!$B$5*V1501) + ('Methodology &amp; Assumptions'!$B$6*W1501), 2)</f>
        <v/>
      </c>
      <c r="Y1501" s="28" t="n">
        <v>10.9</v>
      </c>
      <c r="Z1501" s="11" t="inlineStr">
        <is>
          <t>Priority Tier 3 (Broadband Expansion)</t>
        </is>
      </c>
    </row>
    <row r="1502">
      <c r="A1502" s="23" t="n">
        <v>5</v>
      </c>
      <c r="B1502" s="23" t="n">
        <v>498</v>
      </c>
      <c r="C1502" s="23" t="n">
        <v>4498</v>
      </c>
      <c r="D1502" s="23" t="inlineStr">
        <is>
          <t>0305408013</t>
        </is>
      </c>
      <c r="E1502" s="11" t="inlineStr">
        <is>
          <t>Region III (Central Luzon)</t>
        </is>
      </c>
      <c r="F1502" s="11" t="inlineStr">
        <is>
          <t>Pampanga</t>
        </is>
      </c>
      <c r="G1502" s="11" t="inlineStr">
        <is>
          <t>Lubao</t>
        </is>
      </c>
      <c r="H1502" s="11" t="inlineStr">
        <is>
          <t>San Agustin</t>
        </is>
      </c>
      <c r="I1502" s="24" t="n">
        <v>14.928501</v>
      </c>
      <c r="J1502" s="24" t="n">
        <v>120.576579</v>
      </c>
      <c r="K1502" s="23" t="inlineStr">
        <is>
          <t>R</t>
        </is>
      </c>
      <c r="L1502" s="25" t="n">
        <v>2967</v>
      </c>
      <c r="M1502" s="26" t="n">
        <v>4</v>
      </c>
      <c r="N1502" s="25">
        <f>ROUND(L1502/M1502, 0)</f>
        <v/>
      </c>
      <c r="O1502" s="25">
        <f>ROUND(N1502*'Methodology &amp; Assumptions'!$B$7, 0)</f>
        <v/>
      </c>
      <c r="P1502" s="23" t="inlineStr">
        <is>
          <t>Single Carrier (Band n50, 100MHz TDD)</t>
        </is>
      </c>
      <c r="Q1502" s="27">
        <f>ROUNDUP(O1502/'Methodology &amp; Assumptions'!$B$8, 0)</f>
        <v/>
      </c>
      <c r="R1502" s="27" t="n">
        <v>1</v>
      </c>
      <c r="S1502" s="26" t="n">
        <v>3.13</v>
      </c>
      <c r="T1502" s="26" t="n">
        <v>0.83</v>
      </c>
      <c r="U1502" s="11">
        <f>IF(S1502&lt;='Methodology &amp; Assumptions'!$B$10, "Direct Optical Drop (&lt;3km)", IF(S1502&lt;='Methodology &amp; Assumptions'!$B$9, "Near Optical / Microwave (&lt;5km)", "Starlink Business LEO Satellite Backhaul (&gt;5km)"))</f>
        <v/>
      </c>
      <c r="V1502" s="26" t="n">
        <v>75.42</v>
      </c>
      <c r="W1502" s="26" t="n">
        <v>40.47</v>
      </c>
      <c r="X1502" s="26">
        <f>ROUND(('Methodology &amp; Assumptions'!$B$5*V1502) + ('Methodology &amp; Assumptions'!$B$6*W1502), 2)</f>
        <v/>
      </c>
      <c r="Y1502" s="28" t="n">
        <v>8.300000000000001</v>
      </c>
      <c r="Z1502" s="11" t="inlineStr">
        <is>
          <t>Priority Tier 3 (Broadband Expansion)</t>
        </is>
      </c>
    </row>
    <row r="1503">
      <c r="A1503" s="23" t="n">
        <v>5</v>
      </c>
      <c r="B1503" s="23" t="n">
        <v>499</v>
      </c>
      <c r="C1503" s="23" t="n">
        <v>4499</v>
      </c>
      <c r="D1503" s="23" t="inlineStr">
        <is>
          <t>1705307009</t>
        </is>
      </c>
      <c r="E1503" s="11" t="inlineStr">
        <is>
          <t>MIMAROPA Region</t>
        </is>
      </c>
      <c r="F1503" s="11" t="inlineStr">
        <is>
          <t>Palawan</t>
        </is>
      </c>
      <c r="G1503" s="11" t="inlineStr">
        <is>
          <t>Busuanga</t>
        </is>
      </c>
      <c r="H1503" s="11" t="inlineStr">
        <is>
          <t>Panlaitan</t>
        </is>
      </c>
      <c r="I1503" s="24" t="n">
        <v>12.121299</v>
      </c>
      <c r="J1503" s="24" t="n">
        <v>119.849249</v>
      </c>
      <c r="K1503" s="23" t="inlineStr">
        <is>
          <t>R</t>
        </is>
      </c>
      <c r="L1503" s="25" t="n">
        <v>3606</v>
      </c>
      <c r="M1503" s="26" t="n">
        <v>3.9</v>
      </c>
      <c r="N1503" s="25">
        <f>ROUND(L1503/M1503, 0)</f>
        <v/>
      </c>
      <c r="O1503" s="25">
        <f>ROUND(N1503*'Methodology &amp; Assumptions'!$B$7, 0)</f>
        <v/>
      </c>
      <c r="P1503" s="23" t="inlineStr">
        <is>
          <t>Single Carrier (Band n50, 100MHz TDD)</t>
        </is>
      </c>
      <c r="Q1503" s="27">
        <f>ROUNDUP(O1503/'Methodology &amp; Assumptions'!$B$8, 0)</f>
        <v/>
      </c>
      <c r="R1503" s="27" t="n">
        <v>1</v>
      </c>
      <c r="S1503" s="26" t="n">
        <v>9.609999999999999</v>
      </c>
      <c r="T1503" s="26" t="n">
        <v>134.06</v>
      </c>
      <c r="U1503" s="11">
        <f>IF(S1503&lt;='Methodology &amp; Assumptions'!$B$10, "Direct Optical Drop (&lt;3km)", IF(S1503&lt;='Methodology &amp; Assumptions'!$B$9, "Near Optical / Microwave (&lt;5km)", "Starlink Business LEO Satellite Backhaul (&gt;5km)"))</f>
        <v/>
      </c>
      <c r="V1503" s="26" t="n">
        <v>66.47</v>
      </c>
      <c r="W1503" s="26" t="n">
        <v>49.43</v>
      </c>
      <c r="X1503" s="26">
        <f>ROUND(('Methodology &amp; Assumptions'!$B$5*V1503) + ('Methodology &amp; Assumptions'!$B$6*W1503), 2)</f>
        <v/>
      </c>
      <c r="Y1503" s="28" t="n">
        <v>15</v>
      </c>
      <c r="Z1503" s="11" t="inlineStr">
        <is>
          <t>Priority Tier 3 (Broadband Expansion)</t>
        </is>
      </c>
    </row>
    <row r="1504">
      <c r="A1504" s="23" t="n">
        <v>5</v>
      </c>
      <c r="B1504" s="23" t="n">
        <v>500</v>
      </c>
      <c r="C1504" s="23" t="n">
        <v>4500</v>
      </c>
      <c r="D1504" s="23" t="inlineStr">
        <is>
          <t>1908823004</t>
        </is>
      </c>
      <c r="E1504" s="11" t="inlineStr">
        <is>
          <t>Bangsamoro Autonomous Region In Muslim Mindanao (BARMM)</t>
        </is>
      </c>
      <c r="F1504" s="11" t="inlineStr">
        <is>
          <t>Maguindanao del Sur</t>
        </is>
      </c>
      <c r="G1504" s="11" t="inlineStr">
        <is>
          <t>Sultan Sa Barongis</t>
        </is>
      </c>
      <c r="H1504" s="11" t="inlineStr">
        <is>
          <t>Darampua</t>
        </is>
      </c>
      <c r="I1504" s="24" t="n">
        <v>6.907653</v>
      </c>
      <c r="J1504" s="24" t="n">
        <v>124.61927</v>
      </c>
      <c r="K1504" s="23" t="inlineStr">
        <is>
          <t>R</t>
        </is>
      </c>
      <c r="L1504" s="25" t="n">
        <v>2646</v>
      </c>
      <c r="M1504" s="26" t="n">
        <v>4.7</v>
      </c>
      <c r="N1504" s="25">
        <f>ROUND(L1504/M1504, 0)</f>
        <v/>
      </c>
      <c r="O1504" s="25">
        <f>ROUND(N1504*'Methodology &amp; Assumptions'!$B$7, 0)</f>
        <v/>
      </c>
      <c r="P1504" s="23" t="inlineStr">
        <is>
          <t>Single Carrier (Band n50, 100MHz TDD)</t>
        </is>
      </c>
      <c r="Q1504" s="27">
        <f>ROUNDUP(O1504/'Methodology &amp; Assumptions'!$B$8, 0)</f>
        <v/>
      </c>
      <c r="R1504" s="27" t="n">
        <v>1</v>
      </c>
      <c r="S1504" s="26" t="n">
        <v>24.97</v>
      </c>
      <c r="T1504" s="26" t="n">
        <v>24.87</v>
      </c>
      <c r="U1504" s="11">
        <f>IF(S1504&lt;='Methodology &amp; Assumptions'!$B$10, "Direct Optical Drop (&lt;3km)", IF(S1504&lt;='Methodology &amp; Assumptions'!$B$9, "Near Optical / Microwave (&lt;5km)", "Starlink Business LEO Satellite Backhaul (&gt;5km)"))</f>
        <v/>
      </c>
      <c r="V1504" s="26" t="n">
        <v>49.15</v>
      </c>
      <c r="W1504" s="26" t="n">
        <v>66.73999999999999</v>
      </c>
      <c r="X1504" s="26">
        <f>ROUND(('Methodology &amp; Assumptions'!$B$5*V1504) + ('Methodology &amp; Assumptions'!$B$6*W1504), 2)</f>
        <v/>
      </c>
      <c r="Y1504" s="28" t="n">
        <v>11</v>
      </c>
      <c r="Z1504" s="11" t="inlineStr">
        <is>
          <t>Priority Tier 3 (Broadband Expansion)</t>
        </is>
      </c>
    </row>
    <row r="1505">
      <c r="A1505" s="23" t="n">
        <v>5</v>
      </c>
      <c r="B1505" s="23" t="n">
        <v>501</v>
      </c>
      <c r="C1505" s="23" t="n">
        <v>4501</v>
      </c>
      <c r="D1505" s="23" t="inlineStr">
        <is>
          <t>0501711019</t>
        </is>
      </c>
      <c r="E1505" s="11" t="inlineStr">
        <is>
          <t>Region V (Bicol Region)</t>
        </is>
      </c>
      <c r="F1505" s="11" t="inlineStr">
        <is>
          <t>Camarines Sur</t>
        </is>
      </c>
      <c r="G1505" s="11" t="inlineStr">
        <is>
          <t>Caramoan</t>
        </is>
      </c>
      <c r="H1505" s="11" t="inlineStr">
        <is>
          <t>Haponan</t>
        </is>
      </c>
      <c r="I1505" s="24" t="n">
        <v>13.839949</v>
      </c>
      <c r="J1505" s="24" t="n">
        <v>123.848423</v>
      </c>
      <c r="K1505" s="23" t="inlineStr">
        <is>
          <t>R</t>
        </is>
      </c>
      <c r="L1505" s="25" t="n">
        <v>781</v>
      </c>
      <c r="M1505" s="26" t="n">
        <v>4.2</v>
      </c>
      <c r="N1505" s="25">
        <f>ROUND(L1505/M1505, 0)</f>
        <v/>
      </c>
      <c r="O1505" s="25">
        <f>ROUND(N1505*'Methodology &amp; Assumptions'!$B$7, 0)</f>
        <v/>
      </c>
      <c r="P1505" s="23" t="inlineStr">
        <is>
          <t>Single Carrier (Band n50, 100MHz TDD)</t>
        </is>
      </c>
      <c r="Q1505" s="27">
        <f>ROUNDUP(O1505/'Methodology &amp; Assumptions'!$B$8, 0)</f>
        <v/>
      </c>
      <c r="R1505" s="27" t="n">
        <v>1</v>
      </c>
      <c r="S1505" s="26" t="n">
        <v>7.48</v>
      </c>
      <c r="T1505" s="26" t="n">
        <v>41.92</v>
      </c>
      <c r="U1505" s="11">
        <f>IF(S1505&lt;='Methodology &amp; Assumptions'!$B$10, "Direct Optical Drop (&lt;3km)", IF(S1505&lt;='Methodology &amp; Assumptions'!$B$9, "Near Optical / Microwave (&lt;5km)", "Starlink Business LEO Satellite Backhaul (&gt;5km)"))</f>
        <v/>
      </c>
      <c r="V1505" s="26" t="n">
        <v>48.75</v>
      </c>
      <c r="W1505" s="26" t="n">
        <v>67.15000000000001</v>
      </c>
      <c r="X1505" s="26">
        <f>ROUND(('Methodology &amp; Assumptions'!$B$5*V1505) + ('Methodology &amp; Assumptions'!$B$6*W1505), 2)</f>
        <v/>
      </c>
      <c r="Y1505" s="28" t="n">
        <v>23.7</v>
      </c>
      <c r="Z1505" s="11" t="inlineStr">
        <is>
          <t>Priority Tier 3 (Broadband Expansion)</t>
        </is>
      </c>
    </row>
    <row r="1506">
      <c r="A1506" s="23" t="n">
        <v>5</v>
      </c>
      <c r="B1506" s="23" t="n">
        <v>502</v>
      </c>
      <c r="C1506" s="23" t="n">
        <v>4502</v>
      </c>
      <c r="D1506" s="23" t="inlineStr">
        <is>
          <t>1380606157</t>
        </is>
      </c>
      <c r="E1506" s="11" t="inlineStr">
        <is>
          <t>National Capital Region (NCR)</t>
        </is>
      </c>
      <c r="F1506" s="11" t="inlineStr">
        <is>
          <t>First District (Not a Province)</t>
        </is>
      </c>
      <c r="G1506" s="11" t="inlineStr">
        <is>
          <t>City of Manila</t>
        </is>
      </c>
      <c r="H1506" s="11" t="inlineStr">
        <is>
          <t>Barangay 551</t>
        </is>
      </c>
      <c r="I1506" s="24" t="n">
        <v>14.60796</v>
      </c>
      <c r="J1506" s="24" t="n">
        <v>121.00206</v>
      </c>
      <c r="K1506" s="23" t="inlineStr">
        <is>
          <t>U</t>
        </is>
      </c>
      <c r="L1506" s="25" t="n">
        <v>591</v>
      </c>
      <c r="M1506" s="26" t="n">
        <v>3.32</v>
      </c>
      <c r="N1506" s="25">
        <f>ROUND(L1506/M1506, 0)</f>
        <v/>
      </c>
      <c r="O1506" s="25">
        <f>ROUND(N1506*'Methodology &amp; Assumptions'!$B$7, 0)</f>
        <v/>
      </c>
      <c r="P1506" s="23" t="inlineStr">
        <is>
          <t>Single Carrier (Band n50, 100MHz TDD)</t>
        </is>
      </c>
      <c r="Q1506" s="27">
        <f>ROUNDUP(O1506/'Methodology &amp; Assumptions'!$B$8, 0)</f>
        <v/>
      </c>
      <c r="R1506" s="27" t="n">
        <v>1</v>
      </c>
      <c r="S1506" s="26" t="n">
        <v>0.38</v>
      </c>
      <c r="T1506" s="26" t="n">
        <v>0.35</v>
      </c>
      <c r="U1506" s="11">
        <f>IF(S1506&lt;='Methodology &amp; Assumptions'!$B$10, "Direct Optical Drop (&lt;3km)", IF(S1506&lt;='Methodology &amp; Assumptions'!$B$9, "Near Optical / Microwave (&lt;5km)", "Starlink Business LEO Satellite Backhaul (&gt;5km)"))</f>
        <v/>
      </c>
      <c r="V1506" s="26" t="n">
        <v>46.77</v>
      </c>
      <c r="W1506" s="26" t="n">
        <v>69.13</v>
      </c>
      <c r="X1506" s="26">
        <f>ROUND(('Methodology &amp; Assumptions'!$B$5*V1506) + ('Methodology &amp; Assumptions'!$B$6*W1506), 2)</f>
        <v/>
      </c>
      <c r="Y1506" s="28" t="n">
        <v>10.9</v>
      </c>
      <c r="Z1506" s="11" t="inlineStr">
        <is>
          <t>Priority Tier 3 (Broadband Expansion)</t>
        </is>
      </c>
    </row>
    <row r="1507">
      <c r="A1507" s="23" t="n">
        <v>5</v>
      </c>
      <c r="B1507" s="23" t="n">
        <v>503</v>
      </c>
      <c r="C1507" s="23" t="n">
        <v>4503</v>
      </c>
      <c r="D1507" s="23" t="inlineStr">
        <is>
          <t>0403405046</t>
        </is>
      </c>
      <c r="E1507" s="11" t="inlineStr">
        <is>
          <t>Region IV-A (CALABARZON)</t>
        </is>
      </c>
      <c r="F1507" s="11" t="inlineStr">
        <is>
          <t>Laguna</t>
        </is>
      </c>
      <c r="G1507" s="11" t="inlineStr">
        <is>
          <t>City of Calamba</t>
        </is>
      </c>
      <c r="H1507" s="11" t="inlineStr">
        <is>
          <t>Punta</t>
        </is>
      </c>
      <c r="I1507" s="24" t="n">
        <v>14.177803</v>
      </c>
      <c r="J1507" s="24" t="n">
        <v>121.120392</v>
      </c>
      <c r="K1507" s="23" t="inlineStr">
        <is>
          <t>U</t>
        </is>
      </c>
      <c r="L1507" s="25" t="n">
        <v>8025</v>
      </c>
      <c r="M1507" s="26" t="n">
        <v>3.3</v>
      </c>
      <c r="N1507" s="25">
        <f>ROUND(L1507/M1507, 0)</f>
        <v/>
      </c>
      <c r="O1507" s="25">
        <f>ROUND(N1507*'Methodology &amp; Assumptions'!$B$7, 0)</f>
        <v/>
      </c>
      <c r="P1507" s="23" t="inlineStr">
        <is>
          <t>Single Carrier (Band n50, 100MHz TDD)</t>
        </is>
      </c>
      <c r="Q1507" s="27">
        <f>ROUNDUP(O1507/'Methodology &amp; Assumptions'!$B$8, 0)</f>
        <v/>
      </c>
      <c r="R1507" s="27" t="n">
        <v>1</v>
      </c>
      <c r="S1507" s="26" t="n">
        <v>1.28</v>
      </c>
      <c r="T1507" s="26" t="n">
        <v>0.28</v>
      </c>
      <c r="U1507" s="11">
        <f>IF(S1507&lt;='Methodology &amp; Assumptions'!$B$10, "Direct Optical Drop (&lt;3km)", IF(S1507&lt;='Methodology &amp; Assumptions'!$B$9, "Near Optical / Microwave (&lt;5km)", "Starlink Business LEO Satellite Backhaul (&gt;5km)"))</f>
        <v/>
      </c>
      <c r="V1507" s="26" t="n">
        <v>76.59999999999999</v>
      </c>
      <c r="W1507" s="26" t="n">
        <v>39.29</v>
      </c>
      <c r="X1507" s="26">
        <f>ROUND(('Methodology &amp; Assumptions'!$B$5*V1507) + ('Methodology &amp; Assumptions'!$B$6*W1507), 2)</f>
        <v/>
      </c>
      <c r="Y1507" s="28" t="n">
        <v>7.2</v>
      </c>
      <c r="Z1507" s="11" t="inlineStr">
        <is>
          <t>Priority Tier 3 (Broadband Expansion)</t>
        </is>
      </c>
    </row>
    <row r="1508">
      <c r="A1508" s="23" t="n">
        <v>5</v>
      </c>
      <c r="B1508" s="23" t="n">
        <v>504</v>
      </c>
      <c r="C1508" s="23" t="n">
        <v>4504</v>
      </c>
      <c r="D1508" s="23" t="inlineStr">
        <is>
          <t>0103314055</t>
        </is>
      </c>
      <c r="E1508" s="11" t="inlineStr">
        <is>
          <t>Region I (Ilocos Region)</t>
        </is>
      </c>
      <c r="F1508" s="11" t="inlineStr">
        <is>
          <t>La Union</t>
        </is>
      </c>
      <c r="G1508" s="11" t="inlineStr">
        <is>
          <t>City of San Fernando</t>
        </is>
      </c>
      <c r="H1508" s="11" t="inlineStr">
        <is>
          <t>Santiago Sur</t>
        </is>
      </c>
      <c r="I1508" s="24" t="n">
        <v>16.608926</v>
      </c>
      <c r="J1508" s="24" t="n">
        <v>120.329516</v>
      </c>
      <c r="K1508" s="23" t="inlineStr">
        <is>
          <t>R</t>
        </is>
      </c>
      <c r="L1508" s="25" t="n">
        <v>2186</v>
      </c>
      <c r="M1508" s="26" t="n">
        <v>3.7</v>
      </c>
      <c r="N1508" s="25">
        <f>ROUND(L1508/M1508, 0)</f>
        <v/>
      </c>
      <c r="O1508" s="25">
        <f>ROUND(N1508*'Methodology &amp; Assumptions'!$B$7, 0)</f>
        <v/>
      </c>
      <c r="P1508" s="23" t="inlineStr">
        <is>
          <t>Single Carrier (Band n50, 100MHz TDD)</t>
        </is>
      </c>
      <c r="Q1508" s="27">
        <f>ROUNDUP(O1508/'Methodology &amp; Assumptions'!$B$8, 0)</f>
        <v/>
      </c>
      <c r="R1508" s="27" t="n">
        <v>1</v>
      </c>
      <c r="S1508" s="26" t="n">
        <v>1.39</v>
      </c>
      <c r="T1508" s="26" t="n">
        <v>1.32</v>
      </c>
      <c r="U1508" s="11">
        <f>IF(S1508&lt;='Methodology &amp; Assumptions'!$B$10, "Direct Optical Drop (&lt;3km)", IF(S1508&lt;='Methodology &amp; Assumptions'!$B$9, "Near Optical / Microwave (&lt;5km)", "Starlink Business LEO Satellite Backhaul (&gt;5km)"))</f>
        <v/>
      </c>
      <c r="V1508" s="26" t="n">
        <v>76.12</v>
      </c>
      <c r="W1508" s="26" t="n">
        <v>39.76</v>
      </c>
      <c r="X1508" s="26">
        <f>ROUND(('Methodology &amp; Assumptions'!$B$5*V1508) + ('Methodology &amp; Assumptions'!$B$6*W1508), 2)</f>
        <v/>
      </c>
      <c r="Y1508" s="28" t="n">
        <v>8.300000000000001</v>
      </c>
      <c r="Z1508" s="11" t="inlineStr">
        <is>
          <t>Priority Tier 3 (Broadband Expansion)</t>
        </is>
      </c>
    </row>
    <row r="1509">
      <c r="A1509" s="23" t="n">
        <v>5</v>
      </c>
      <c r="B1509" s="23" t="n">
        <v>505</v>
      </c>
      <c r="C1509" s="23" t="n">
        <v>4505</v>
      </c>
      <c r="D1509" s="23" t="inlineStr">
        <is>
          <t>0405622005</t>
        </is>
      </c>
      <c r="E1509" s="11" t="inlineStr">
        <is>
          <t>Region IV-A (CALABARZON)</t>
        </is>
      </c>
      <c r="F1509" s="11" t="inlineStr">
        <is>
          <t>Quezon</t>
        </is>
      </c>
      <c r="G1509" s="11" t="inlineStr">
        <is>
          <t>Lopez</t>
        </is>
      </c>
      <c r="H1509" s="11" t="inlineStr">
        <is>
          <t>Burgos</t>
        </is>
      </c>
      <c r="I1509" s="24" t="n">
        <v>13.880453</v>
      </c>
      <c r="J1509" s="24" t="n">
        <v>122.260473</v>
      </c>
      <c r="K1509" s="23" t="inlineStr">
        <is>
          <t>U</t>
        </is>
      </c>
      <c r="L1509" s="25" t="n">
        <v>1841</v>
      </c>
      <c r="M1509" s="26" t="n">
        <v>3.8</v>
      </c>
      <c r="N1509" s="25">
        <f>ROUND(L1509/M1509, 0)</f>
        <v/>
      </c>
      <c r="O1509" s="25">
        <f>ROUND(N1509*'Methodology &amp; Assumptions'!$B$7, 0)</f>
        <v/>
      </c>
      <c r="P1509" s="23" t="inlineStr">
        <is>
          <t>Single Carrier (Band n50, 100MHz TDD)</t>
        </is>
      </c>
      <c r="Q1509" s="27">
        <f>ROUNDUP(O1509/'Methodology &amp; Assumptions'!$B$8, 0)</f>
        <v/>
      </c>
      <c r="R1509" s="27" t="n">
        <v>1</v>
      </c>
      <c r="S1509" s="26" t="n">
        <v>0.77</v>
      </c>
      <c r="T1509" s="26" t="n">
        <v>0.48</v>
      </c>
      <c r="U1509" s="11">
        <f>IF(S1509&lt;='Methodology &amp; Assumptions'!$B$10, "Direct Optical Drop (&lt;3km)", IF(S1509&lt;='Methodology &amp; Assumptions'!$B$9, "Near Optical / Microwave (&lt;5km)", "Starlink Business LEO Satellite Backhaul (&gt;5km)"))</f>
        <v/>
      </c>
      <c r="V1509" s="26" t="n">
        <v>67.43000000000001</v>
      </c>
      <c r="W1509" s="26" t="n">
        <v>48.45</v>
      </c>
      <c r="X1509" s="26">
        <f>ROUND(('Methodology &amp; Assumptions'!$B$5*V1509) + ('Methodology &amp; Assumptions'!$B$6*W1509), 2)</f>
        <v/>
      </c>
      <c r="Y1509" s="28" t="n">
        <v>7.2</v>
      </c>
      <c r="Z1509" s="11" t="inlineStr">
        <is>
          <t>Priority Tier 3 (Broadband Expansion)</t>
        </is>
      </c>
    </row>
    <row r="1510">
      <c r="A1510" s="23" t="n">
        <v>5</v>
      </c>
      <c r="B1510" s="23" t="n">
        <v>506</v>
      </c>
      <c r="C1510" s="23" t="n">
        <v>4506</v>
      </c>
      <c r="D1510" s="23" t="inlineStr">
        <is>
          <t>1381100201</t>
        </is>
      </c>
      <c r="E1510" s="11" t="inlineStr">
        <is>
          <t>National Capital Region (NCR)</t>
        </is>
      </c>
      <c r="F1510" s="11" t="inlineStr">
        <is>
          <t>Fourth District (Not a Province)</t>
        </is>
      </c>
      <c r="G1510" s="11" t="inlineStr">
        <is>
          <t>Pasay City</t>
        </is>
      </c>
      <c r="H1510" s="11" t="inlineStr">
        <is>
          <t>Barangay 201</t>
        </is>
      </c>
      <c r="I1510" s="24" t="n">
        <v>14.507235</v>
      </c>
      <c r="J1510" s="24" t="n">
        <v>121.029543</v>
      </c>
      <c r="K1510" s="23" t="inlineStr">
        <is>
          <t>U</t>
        </is>
      </c>
      <c r="L1510" s="25" t="n">
        <v>20673</v>
      </c>
      <c r="M1510" s="26" t="n">
        <v>3.78</v>
      </c>
      <c r="N1510" s="25">
        <f>ROUND(L1510/M1510, 0)</f>
        <v/>
      </c>
      <c r="O1510" s="25">
        <f>ROUND(N1510*'Methodology &amp; Assumptions'!$B$7, 0)</f>
        <v/>
      </c>
      <c r="P1510" s="23" t="inlineStr">
        <is>
          <t>Single Carrier (Band n50, 100MHz TDD)</t>
        </is>
      </c>
      <c r="Q1510" s="27">
        <f>ROUNDUP(O1510/'Methodology &amp; Assumptions'!$B$8, 0)</f>
        <v/>
      </c>
      <c r="R1510" s="27" t="n">
        <v>1</v>
      </c>
      <c r="S1510" s="26" t="n">
        <v>1.84</v>
      </c>
      <c r="T1510" s="26" t="n">
        <v>0.6</v>
      </c>
      <c r="U1510" s="11">
        <f>IF(S1510&lt;='Methodology &amp; Assumptions'!$B$10, "Direct Optical Drop (&lt;3km)", IF(S1510&lt;='Methodology &amp; Assumptions'!$B$9, "Near Optical / Microwave (&lt;5km)", "Starlink Business LEO Satellite Backhaul (&gt;5km)"))</f>
        <v/>
      </c>
      <c r="V1510" s="26" t="n">
        <v>64.75</v>
      </c>
      <c r="W1510" s="26" t="n">
        <v>51.14</v>
      </c>
      <c r="X1510" s="26">
        <f>ROUND(('Methodology &amp; Assumptions'!$B$5*V1510) + ('Methodology &amp; Assumptions'!$B$6*W1510), 2)</f>
        <v/>
      </c>
      <c r="Y1510" s="28" t="n">
        <v>10.9</v>
      </c>
      <c r="Z1510" s="11" t="inlineStr">
        <is>
          <t>Priority Tier 3 (Broadband Expansion)</t>
        </is>
      </c>
    </row>
    <row r="1511">
      <c r="A1511" s="23" t="n">
        <v>5</v>
      </c>
      <c r="B1511" s="23" t="n">
        <v>507</v>
      </c>
      <c r="C1511" s="23" t="n">
        <v>4507</v>
      </c>
      <c r="D1511" s="23" t="inlineStr">
        <is>
          <t>0803708059</t>
        </is>
      </c>
      <c r="E1511" s="11" t="inlineStr">
        <is>
          <t>Region VIII (Eastern Visayas)</t>
        </is>
      </c>
      <c r="F1511" s="11" t="inlineStr">
        <is>
          <t>Leyte</t>
        </is>
      </c>
      <c r="G1511" s="11" t="inlineStr">
        <is>
          <t>City of Baybay</t>
        </is>
      </c>
      <c r="H1511" s="11" t="inlineStr">
        <is>
          <t>Poblacion Zone 3</t>
        </is>
      </c>
      <c r="I1511" s="24" t="n">
        <v>10.678396</v>
      </c>
      <c r="J1511" s="24" t="n">
        <v>124.807562</v>
      </c>
      <c r="K1511" s="23" t="inlineStr">
        <is>
          <t>R</t>
        </is>
      </c>
      <c r="L1511" s="25" t="n">
        <v>340</v>
      </c>
      <c r="M1511" s="26" t="n">
        <v>3.8</v>
      </c>
      <c r="N1511" s="25">
        <f>ROUND(L1511/M1511, 0)</f>
        <v/>
      </c>
      <c r="O1511" s="25">
        <f>ROUND(N1511*'Methodology &amp; Assumptions'!$B$7, 0)</f>
        <v/>
      </c>
      <c r="P1511" s="23" t="inlineStr">
        <is>
          <t>Single Carrier (Band n50, 100MHz TDD)</t>
        </is>
      </c>
      <c r="Q1511" s="27">
        <f>ROUNDUP(O1511/'Methodology &amp; Assumptions'!$B$8, 0)</f>
        <v/>
      </c>
      <c r="R1511" s="27" t="n">
        <v>1</v>
      </c>
      <c r="S1511" s="26" t="n">
        <v>0.65</v>
      </c>
      <c r="T1511" s="26" t="n">
        <v>0.46</v>
      </c>
      <c r="U1511" s="11">
        <f>IF(S1511&lt;='Methodology &amp; Assumptions'!$B$10, "Direct Optical Drop (&lt;3km)", IF(S1511&lt;='Methodology &amp; Assumptions'!$B$9, "Near Optical / Microwave (&lt;5km)", "Starlink Business LEO Satellite Backhaul (&gt;5km)"))</f>
        <v/>
      </c>
      <c r="V1511" s="26" t="n">
        <v>64.2</v>
      </c>
      <c r="W1511" s="26" t="n">
        <v>51.68</v>
      </c>
      <c r="X1511" s="26">
        <f>ROUND(('Methodology &amp; Assumptions'!$B$5*V1511) + ('Methodology &amp; Assumptions'!$B$6*W1511), 2)</f>
        <v/>
      </c>
      <c r="Y1511" s="28" t="n">
        <v>23.7</v>
      </c>
      <c r="Z1511" s="11" t="inlineStr">
        <is>
          <t>Priority Tier 3 (Broadband Expansion)</t>
        </is>
      </c>
    </row>
    <row r="1512">
      <c r="A1512" s="23" t="n">
        <v>5</v>
      </c>
      <c r="B1512" s="23" t="n">
        <v>508</v>
      </c>
      <c r="C1512" s="23" t="n">
        <v>4508</v>
      </c>
      <c r="D1512" s="23" t="inlineStr">
        <is>
          <t>0603027010</t>
        </is>
      </c>
      <c r="E1512" s="11" t="inlineStr">
        <is>
          <t>Region VI (Western Visayas)</t>
        </is>
      </c>
      <c r="F1512" s="11" t="inlineStr">
        <is>
          <t>Iloilo</t>
        </is>
      </c>
      <c r="G1512" s="11" t="inlineStr">
        <is>
          <t>Lemery</t>
        </is>
      </c>
      <c r="H1512" s="11" t="inlineStr">
        <is>
          <t>Dapdapan</t>
        </is>
      </c>
      <c r="I1512" s="24" t="n">
        <v>11.197875</v>
      </c>
      <c r="J1512" s="24" t="n">
        <v>122.949962</v>
      </c>
      <c r="K1512" s="23" t="inlineStr">
        <is>
          <t>R</t>
        </is>
      </c>
      <c r="L1512" s="25" t="n">
        <v>588</v>
      </c>
      <c r="M1512" s="26" t="n">
        <v>3.8</v>
      </c>
      <c r="N1512" s="25">
        <f>ROUND(L1512/M1512, 0)</f>
        <v/>
      </c>
      <c r="O1512" s="25">
        <f>ROUND(N1512*'Methodology &amp; Assumptions'!$B$7, 0)</f>
        <v/>
      </c>
      <c r="P1512" s="23" t="inlineStr">
        <is>
          <t>Single Carrier (Band n50, 100MHz TDD)</t>
        </is>
      </c>
      <c r="Q1512" s="27">
        <f>ROUNDUP(O1512/'Methodology &amp; Assumptions'!$B$8, 0)</f>
        <v/>
      </c>
      <c r="R1512" s="27" t="n">
        <v>1</v>
      </c>
      <c r="S1512" s="26" t="n">
        <v>3.88</v>
      </c>
      <c r="T1512" s="26" t="n">
        <v>3.96</v>
      </c>
      <c r="U1512" s="11">
        <f>IF(S1512&lt;='Methodology &amp; Assumptions'!$B$10, "Direct Optical Drop (&lt;3km)", IF(S1512&lt;='Methodology &amp; Assumptions'!$B$9, "Near Optical / Microwave (&lt;5km)", "Starlink Business LEO Satellite Backhaul (&gt;5km)"))</f>
        <v/>
      </c>
      <c r="V1512" s="26" t="n">
        <v>53.25</v>
      </c>
      <c r="W1512" s="26" t="n">
        <v>62.64</v>
      </c>
      <c r="X1512" s="26">
        <f>ROUND(('Methodology &amp; Assumptions'!$B$5*V1512) + ('Methodology &amp; Assumptions'!$B$6*W1512), 2)</f>
        <v/>
      </c>
      <c r="Y1512" s="28" t="n">
        <v>23.7</v>
      </c>
      <c r="Z1512" s="11" t="inlineStr">
        <is>
          <t>Priority Tier 3 (Broadband Expansion)</t>
        </is>
      </c>
    </row>
    <row r="1513">
      <c r="A1513" s="23" t="n">
        <v>5</v>
      </c>
      <c r="B1513" s="23" t="n">
        <v>509</v>
      </c>
      <c r="C1513" s="23" t="n">
        <v>4509</v>
      </c>
      <c r="D1513" s="23" t="inlineStr">
        <is>
          <t>1900703027</t>
        </is>
      </c>
      <c r="E1513" s="11" t="inlineStr">
        <is>
          <t>Bangsamoro Autonomous Region In Muslim Mindanao (BARMM)</t>
        </is>
      </c>
      <c r="F1513" s="11" t="inlineStr">
        <is>
          <t>Basilan</t>
        </is>
      </c>
      <c r="G1513" s="11" t="inlineStr">
        <is>
          <t>Lantawan</t>
        </is>
      </c>
      <c r="H1513" s="11" t="inlineStr">
        <is>
          <t>Canibungan</t>
        </is>
      </c>
      <c r="I1513" s="24" t="n">
        <v>6.594685</v>
      </c>
      <c r="J1513" s="24" t="n">
        <v>121.842028</v>
      </c>
      <c r="K1513" s="23" t="inlineStr">
        <is>
          <t>R</t>
        </is>
      </c>
      <c r="L1513" s="25" t="n">
        <v>2486</v>
      </c>
      <c r="M1513" s="26" t="n">
        <v>5.1</v>
      </c>
      <c r="N1513" s="25">
        <f>ROUND(L1513/M1513, 0)</f>
        <v/>
      </c>
      <c r="O1513" s="25">
        <f>ROUND(N1513*'Methodology &amp; Assumptions'!$B$7, 0)</f>
        <v/>
      </c>
      <c r="P1513" s="23" t="inlineStr">
        <is>
          <t>Single Carrier (Band n50, 100MHz TDD)</t>
        </is>
      </c>
      <c r="Q1513" s="27">
        <f>ROUNDUP(O1513/'Methodology &amp; Assumptions'!$B$8, 0)</f>
        <v/>
      </c>
      <c r="R1513" s="27" t="n">
        <v>1</v>
      </c>
      <c r="S1513" s="26" t="n">
        <v>43.44</v>
      </c>
      <c r="T1513" s="26" t="n">
        <v>43.43</v>
      </c>
      <c r="U1513" s="11">
        <f>IF(S1513&lt;='Methodology &amp; Assumptions'!$B$10, "Direct Optical Drop (&lt;3km)", IF(S1513&lt;='Methodology &amp; Assumptions'!$B$9, "Near Optical / Microwave (&lt;5km)", "Starlink Business LEO Satellite Backhaul (&gt;5km)"))</f>
        <v/>
      </c>
      <c r="V1513" s="26" t="n">
        <v>46.69</v>
      </c>
      <c r="W1513" s="26" t="n">
        <v>69.18000000000001</v>
      </c>
      <c r="X1513" s="26">
        <f>ROUND(('Methodology &amp; Assumptions'!$B$5*V1513) + ('Methodology &amp; Assumptions'!$B$6*W1513), 2)</f>
        <v/>
      </c>
      <c r="Y1513" s="28" t="n">
        <v>11</v>
      </c>
      <c r="Z1513" s="11" t="inlineStr">
        <is>
          <t>Priority Tier 3 (Broadband Expansion)</t>
        </is>
      </c>
    </row>
    <row r="1514">
      <c r="A1514" s="23" t="n">
        <v>5</v>
      </c>
      <c r="B1514" s="23" t="n">
        <v>510</v>
      </c>
      <c r="C1514" s="23" t="n">
        <v>4510</v>
      </c>
      <c r="D1514" s="23" t="inlineStr">
        <is>
          <t>1380614071</t>
        </is>
      </c>
      <c r="E1514" s="11" t="inlineStr">
        <is>
          <t>National Capital Region (NCR)</t>
        </is>
      </c>
      <c r="F1514" s="11" t="inlineStr">
        <is>
          <t>First District (Not a Province)</t>
        </is>
      </c>
      <c r="G1514" s="11" t="inlineStr">
        <is>
          <t>City of Manila</t>
        </is>
      </c>
      <c r="H1514" s="11" t="inlineStr">
        <is>
          <t>Barangay 878</t>
        </is>
      </c>
      <c r="I1514" s="24" t="n">
        <v>14.579503</v>
      </c>
      <c r="J1514" s="24" t="n">
        <v>121.009834</v>
      </c>
      <c r="K1514" s="23" t="inlineStr">
        <is>
          <t>U</t>
        </is>
      </c>
      <c r="L1514" s="25" t="n">
        <v>504</v>
      </c>
      <c r="M1514" s="26" t="n">
        <v>3.52</v>
      </c>
      <c r="N1514" s="25">
        <f>ROUND(L1514/M1514, 0)</f>
        <v/>
      </c>
      <c r="O1514" s="25">
        <f>ROUND(N1514*'Methodology &amp; Assumptions'!$B$7, 0)</f>
        <v/>
      </c>
      <c r="P1514" s="23" t="inlineStr">
        <is>
          <t>Single Carrier (Band n50, 100MHz TDD)</t>
        </is>
      </c>
      <c r="Q1514" s="27">
        <f>ROUNDUP(O1514/'Methodology &amp; Assumptions'!$B$8, 0)</f>
        <v/>
      </c>
      <c r="R1514" s="27" t="n">
        <v>1</v>
      </c>
      <c r="S1514" s="26" t="n">
        <v>0.9399999999999999</v>
      </c>
      <c r="T1514" s="26" t="n">
        <v>0.26</v>
      </c>
      <c r="U1514" s="11">
        <f>IF(S1514&lt;='Methodology &amp; Assumptions'!$B$10, "Direct Optical Drop (&lt;3km)", IF(S1514&lt;='Methodology &amp; Assumptions'!$B$9, "Near Optical / Microwave (&lt;5km)", "Starlink Business LEO Satellite Backhaul (&gt;5km)"))</f>
        <v/>
      </c>
      <c r="V1514" s="26" t="n">
        <v>45.34</v>
      </c>
      <c r="W1514" s="26" t="n">
        <v>70.54000000000001</v>
      </c>
      <c r="X1514" s="26">
        <f>ROUND(('Methodology &amp; Assumptions'!$B$5*V1514) + ('Methodology &amp; Assumptions'!$B$6*W1514), 2)</f>
        <v/>
      </c>
      <c r="Y1514" s="28" t="n">
        <v>10.9</v>
      </c>
      <c r="Z1514" s="11" t="inlineStr">
        <is>
          <t>Priority Tier 3 (Broadband Expansion)</t>
        </is>
      </c>
    </row>
    <row r="1515">
      <c r="A1515" s="23" t="n">
        <v>5</v>
      </c>
      <c r="B1515" s="23" t="n">
        <v>511</v>
      </c>
      <c r="C1515" s="23" t="n">
        <v>4511</v>
      </c>
      <c r="D1515" s="23" t="inlineStr">
        <is>
          <t>1908706015</t>
        </is>
      </c>
      <c r="E1515" s="11" t="inlineStr">
        <is>
          <t>Bangsamoro Autonomous Region In Muslim Mindanao (BARMM)</t>
        </is>
      </c>
      <c r="F1515" s="11" t="inlineStr">
        <is>
          <t>Maguindanao del Norte</t>
        </is>
      </c>
      <c r="G1515" s="11" t="inlineStr">
        <is>
          <t>Kabuntalan</t>
        </is>
      </c>
      <c r="H1515" s="11" t="inlineStr">
        <is>
          <t>Pened</t>
        </is>
      </c>
      <c r="I1515" s="24" t="n">
        <v>7.073322</v>
      </c>
      <c r="J1515" s="24" t="n">
        <v>124.405957</v>
      </c>
      <c r="K1515" s="23" t="inlineStr">
        <is>
          <t>R</t>
        </is>
      </c>
      <c r="L1515" s="25" t="n">
        <v>1779</v>
      </c>
      <c r="M1515" s="26" t="n">
        <v>4.3</v>
      </c>
      <c r="N1515" s="25">
        <f>ROUND(L1515/M1515, 0)</f>
        <v/>
      </c>
      <c r="O1515" s="25">
        <f>ROUND(N1515*'Methodology &amp; Assumptions'!$B$7, 0)</f>
        <v/>
      </c>
      <c r="P1515" s="23" t="inlineStr">
        <is>
          <t>Single Carrier (Band n50, 100MHz TDD)</t>
        </is>
      </c>
      <c r="Q1515" s="27">
        <f>ROUNDUP(O1515/'Methodology &amp; Assumptions'!$B$8, 0)</f>
        <v/>
      </c>
      <c r="R1515" s="27" t="n">
        <v>1</v>
      </c>
      <c r="S1515" s="26" t="n">
        <v>45.46</v>
      </c>
      <c r="T1515" s="26" t="n">
        <v>44.37</v>
      </c>
      <c r="U1515" s="11">
        <f>IF(S1515&lt;='Methodology &amp; Assumptions'!$B$10, "Direct Optical Drop (&lt;3km)", IF(S1515&lt;='Methodology &amp; Assumptions'!$B$9, "Near Optical / Microwave (&lt;5km)", "Starlink Business LEO Satellite Backhaul (&gt;5km)"))</f>
        <v/>
      </c>
      <c r="V1515" s="26" t="n">
        <v>44.33</v>
      </c>
      <c r="W1515" s="26" t="n">
        <v>71.55</v>
      </c>
      <c r="X1515" s="26">
        <f>ROUND(('Methodology &amp; Assumptions'!$B$5*V1515) + ('Methodology &amp; Assumptions'!$B$6*W1515), 2)</f>
        <v/>
      </c>
      <c r="Y1515" s="28" t="n">
        <v>11</v>
      </c>
      <c r="Z1515" s="11" t="inlineStr">
        <is>
          <t>Priority Tier 3 (Broadband Expansion)</t>
        </is>
      </c>
    </row>
    <row r="1516">
      <c r="A1516" s="23" t="n">
        <v>5</v>
      </c>
      <c r="B1516" s="23" t="n">
        <v>512</v>
      </c>
      <c r="C1516" s="23" t="n">
        <v>4512</v>
      </c>
      <c r="D1516" s="23" t="inlineStr">
        <is>
          <t>0604521018</t>
        </is>
      </c>
      <c r="E1516" s="11" t="inlineStr">
        <is>
          <t>Region VI (Western Visayas)</t>
        </is>
      </c>
      <c r="F1516" s="11" t="inlineStr">
        <is>
          <t>Negros Occidental</t>
        </is>
      </c>
      <c r="G1516" s="11" t="inlineStr">
        <is>
          <t>Pontevedra</t>
        </is>
      </c>
      <c r="H1516" s="11" t="inlineStr">
        <is>
          <t>Recreo</t>
        </is>
      </c>
      <c r="I1516" s="24" t="n">
        <v>10.356976</v>
      </c>
      <c r="J1516" s="24" t="n">
        <v>122.869674</v>
      </c>
      <c r="K1516" s="23" t="inlineStr">
        <is>
          <t>R</t>
        </is>
      </c>
      <c r="L1516" s="25" t="n">
        <v>2975</v>
      </c>
      <c r="M1516" s="26" t="n">
        <v>3.7</v>
      </c>
      <c r="N1516" s="25">
        <f>ROUND(L1516/M1516, 0)</f>
        <v/>
      </c>
      <c r="O1516" s="25">
        <f>ROUND(N1516*'Methodology &amp; Assumptions'!$B$7, 0)</f>
        <v/>
      </c>
      <c r="P1516" s="23" t="inlineStr">
        <is>
          <t>Single Carrier (Band n50, 100MHz TDD)</t>
        </is>
      </c>
      <c r="Q1516" s="27">
        <f>ROUNDUP(O1516/'Methodology &amp; Assumptions'!$B$8, 0)</f>
        <v/>
      </c>
      <c r="R1516" s="27" t="n">
        <v>1</v>
      </c>
      <c r="S1516" s="26" t="n">
        <v>1.77</v>
      </c>
      <c r="T1516" s="26" t="n">
        <v>0.14</v>
      </c>
      <c r="U1516" s="11">
        <f>IF(S1516&lt;='Methodology &amp; Assumptions'!$B$10, "Direct Optical Drop (&lt;3km)", IF(S1516&lt;='Methodology &amp; Assumptions'!$B$9, "Near Optical / Microwave (&lt;5km)", "Starlink Business LEO Satellite Backhaul (&gt;5km)"))</f>
        <v/>
      </c>
      <c r="V1516" s="26" t="n">
        <v>82.45</v>
      </c>
      <c r="W1516" s="26" t="n">
        <v>33.42</v>
      </c>
      <c r="X1516" s="26">
        <f>ROUND(('Methodology &amp; Assumptions'!$B$5*V1516) + ('Methodology &amp; Assumptions'!$B$6*W1516), 2)</f>
        <v/>
      </c>
      <c r="Y1516" s="28" t="n">
        <v>23.7</v>
      </c>
      <c r="Z1516" s="11" t="inlineStr">
        <is>
          <t>Priority Tier 3 (Broadband Expansion)</t>
        </is>
      </c>
    </row>
    <row r="1517">
      <c r="A1517" s="23" t="n">
        <v>5</v>
      </c>
      <c r="B1517" s="23" t="n">
        <v>513</v>
      </c>
      <c r="C1517" s="23" t="n">
        <v>4513</v>
      </c>
      <c r="D1517" s="23" t="inlineStr">
        <is>
          <t>0105538015</t>
        </is>
      </c>
      <c r="E1517" s="11" t="inlineStr">
        <is>
          <t>Region I (Ilocos Region)</t>
        </is>
      </c>
      <c r="F1517" s="11" t="inlineStr">
        <is>
          <t>Pangasinan</t>
        </is>
      </c>
      <c r="G1517" s="11" t="inlineStr">
        <is>
          <t>Santa Barbara</t>
        </is>
      </c>
      <c r="H1517" s="11" t="inlineStr">
        <is>
          <t>Maticmatic</t>
        </is>
      </c>
      <c r="I1517" s="24" t="n">
        <v>15.987156</v>
      </c>
      <c r="J1517" s="24" t="n">
        <v>120.457996</v>
      </c>
      <c r="K1517" s="23" t="inlineStr">
        <is>
          <t>U</t>
        </is>
      </c>
      <c r="L1517" s="25" t="n">
        <v>5157</v>
      </c>
      <c r="M1517" s="26" t="n">
        <v>3.6</v>
      </c>
      <c r="N1517" s="25">
        <f>ROUND(L1517/M1517, 0)</f>
        <v/>
      </c>
      <c r="O1517" s="25">
        <f>ROUND(N1517*'Methodology &amp; Assumptions'!$B$7, 0)</f>
        <v/>
      </c>
      <c r="P1517" s="23" t="inlineStr">
        <is>
          <t>Single Carrier (Band n50, 100MHz TDD)</t>
        </is>
      </c>
      <c r="Q1517" s="27">
        <f>ROUNDUP(O1517/'Methodology &amp; Assumptions'!$B$8, 0)</f>
        <v/>
      </c>
      <c r="R1517" s="27" t="n">
        <v>1</v>
      </c>
      <c r="S1517" s="26" t="n">
        <v>0.44</v>
      </c>
      <c r="T1517" s="26" t="n">
        <v>0.33</v>
      </c>
      <c r="U1517" s="11">
        <f>IF(S1517&lt;='Methodology &amp; Assumptions'!$B$10, "Direct Optical Drop (&lt;3km)", IF(S1517&lt;='Methodology &amp; Assumptions'!$B$9, "Near Optical / Microwave (&lt;5km)", "Starlink Business LEO Satellite Backhaul (&gt;5km)"))</f>
        <v/>
      </c>
      <c r="V1517" s="26" t="n">
        <v>78.43000000000001</v>
      </c>
      <c r="W1517" s="26" t="n">
        <v>37.42</v>
      </c>
      <c r="X1517" s="26">
        <f>ROUND(('Methodology &amp; Assumptions'!$B$5*V1517) + ('Methodology &amp; Assumptions'!$B$6*W1517), 2)</f>
        <v/>
      </c>
      <c r="Y1517" s="28" t="n">
        <v>8.300000000000001</v>
      </c>
      <c r="Z1517" s="11" t="inlineStr">
        <is>
          <t>Priority Tier 3 (Broadband Expansion)</t>
        </is>
      </c>
    </row>
    <row r="1518">
      <c r="A1518" s="23" t="n">
        <v>5</v>
      </c>
      <c r="B1518" s="23" t="n">
        <v>514</v>
      </c>
      <c r="C1518" s="23" t="n">
        <v>4514</v>
      </c>
      <c r="D1518" s="23" t="inlineStr">
        <is>
          <t>0304919012</t>
        </is>
      </c>
      <c r="E1518" s="11" t="inlineStr">
        <is>
          <t>Region III (Central Luzon)</t>
        </is>
      </c>
      <c r="F1518" s="11" t="inlineStr">
        <is>
          <t>Nueva Ecija</t>
        </is>
      </c>
      <c r="G1518" s="11" t="inlineStr">
        <is>
          <t>City of Palayan</t>
        </is>
      </c>
      <c r="H1518" s="11" t="inlineStr">
        <is>
          <t>Singalat</t>
        </is>
      </c>
      <c r="I1518" s="24" t="n">
        <v>15.585783</v>
      </c>
      <c r="J1518" s="24" t="n">
        <v>120.924577</v>
      </c>
      <c r="K1518" s="23" t="inlineStr">
        <is>
          <t>U</t>
        </is>
      </c>
      <c r="L1518" s="25" t="n">
        <v>2799</v>
      </c>
      <c r="M1518" s="26" t="n">
        <v>3.5</v>
      </c>
      <c r="N1518" s="25">
        <f>ROUND(L1518/M1518, 0)</f>
        <v/>
      </c>
      <c r="O1518" s="25">
        <f>ROUND(N1518*'Methodology &amp; Assumptions'!$B$7, 0)</f>
        <v/>
      </c>
      <c r="P1518" s="23" t="inlineStr">
        <is>
          <t>Single Carrier (Band n50, 100MHz TDD)</t>
        </is>
      </c>
      <c r="Q1518" s="27">
        <f>ROUNDUP(O1518/'Methodology &amp; Assumptions'!$B$8, 0)</f>
        <v/>
      </c>
      <c r="R1518" s="27" t="n">
        <v>1</v>
      </c>
      <c r="S1518" s="26" t="n">
        <v>0.71</v>
      </c>
      <c r="T1518" s="26" t="n">
        <v>0.52</v>
      </c>
      <c r="U1518" s="11">
        <f>IF(S1518&lt;='Methodology &amp; Assumptions'!$B$10, "Direct Optical Drop (&lt;3km)", IF(S1518&lt;='Methodology &amp; Assumptions'!$B$9, "Near Optical / Microwave (&lt;5km)", "Starlink Business LEO Satellite Backhaul (&gt;5km)"))</f>
        <v/>
      </c>
      <c r="V1518" s="26" t="n">
        <v>77.81999999999999</v>
      </c>
      <c r="W1518" s="26" t="n">
        <v>38.05</v>
      </c>
      <c r="X1518" s="26">
        <f>ROUND(('Methodology &amp; Assumptions'!$B$5*V1518) + ('Methodology &amp; Assumptions'!$B$6*W1518), 2)</f>
        <v/>
      </c>
      <c r="Y1518" s="28" t="n">
        <v>8.300000000000001</v>
      </c>
      <c r="Z1518" s="11" t="inlineStr">
        <is>
          <t>Priority Tier 3 (Broadband Expansion)</t>
        </is>
      </c>
    </row>
    <row r="1519">
      <c r="A1519" s="23" t="n">
        <v>5</v>
      </c>
      <c r="B1519" s="23" t="n">
        <v>515</v>
      </c>
      <c r="C1519" s="23" t="n">
        <v>4515</v>
      </c>
      <c r="D1519" s="23" t="inlineStr">
        <is>
          <t>0304928025</t>
        </is>
      </c>
      <c r="E1519" s="11" t="inlineStr">
        <is>
          <t>Region III (Central Luzon)</t>
        </is>
      </c>
      <c r="F1519" s="11" t="inlineStr">
        <is>
          <t>Nueva Ecija</t>
        </is>
      </c>
      <c r="G1519" s="11" t="inlineStr">
        <is>
          <t>Santa Rosa</t>
        </is>
      </c>
      <c r="H1519" s="11" t="inlineStr">
        <is>
          <t>Del Pilar</t>
        </is>
      </c>
      <c r="I1519" s="24" t="n">
        <v>15.420156</v>
      </c>
      <c r="J1519" s="24" t="n">
        <v>120.937578</v>
      </c>
      <c r="K1519" s="23" t="inlineStr">
        <is>
          <t>R</t>
        </is>
      </c>
      <c r="L1519" s="25" t="n">
        <v>1481</v>
      </c>
      <c r="M1519" s="26" t="n">
        <v>3.5</v>
      </c>
      <c r="N1519" s="25">
        <f>ROUND(L1519/M1519, 0)</f>
        <v/>
      </c>
      <c r="O1519" s="25">
        <f>ROUND(N1519*'Methodology &amp; Assumptions'!$B$7, 0)</f>
        <v/>
      </c>
      <c r="P1519" s="23" t="inlineStr">
        <is>
          <t>Single Carrier (Band n50, 100MHz TDD)</t>
        </is>
      </c>
      <c r="Q1519" s="27">
        <f>ROUNDUP(O1519/'Methodology &amp; Assumptions'!$B$8, 0)</f>
        <v/>
      </c>
      <c r="R1519" s="27" t="n">
        <v>1</v>
      </c>
      <c r="S1519" s="26" t="n">
        <v>0.53</v>
      </c>
      <c r="T1519" s="26" t="n">
        <v>0.12</v>
      </c>
      <c r="U1519" s="11">
        <f>IF(S1519&lt;='Methodology &amp; Assumptions'!$B$10, "Direct Optical Drop (&lt;3km)", IF(S1519&lt;='Methodology &amp; Assumptions'!$B$9, "Near Optical / Microwave (&lt;5km)", "Starlink Business LEO Satellite Backhaul (&gt;5km)"))</f>
        <v/>
      </c>
      <c r="V1519" s="26" t="n">
        <v>72.78</v>
      </c>
      <c r="W1519" s="26" t="n">
        <v>43.07</v>
      </c>
      <c r="X1519" s="26">
        <f>ROUND(('Methodology &amp; Assumptions'!$B$5*V1519) + ('Methodology &amp; Assumptions'!$B$6*W1519), 2)</f>
        <v/>
      </c>
      <c r="Y1519" s="28" t="n">
        <v>8.300000000000001</v>
      </c>
      <c r="Z1519" s="11" t="inlineStr">
        <is>
          <t>Priority Tier 3 (Broadband Expansion)</t>
        </is>
      </c>
    </row>
    <row r="1520">
      <c r="A1520" s="23" t="n">
        <v>5</v>
      </c>
      <c r="B1520" s="23" t="n">
        <v>516</v>
      </c>
      <c r="C1520" s="23" t="n">
        <v>4516</v>
      </c>
      <c r="D1520" s="23" t="inlineStr">
        <is>
          <t>1404402012</t>
        </is>
      </c>
      <c r="E1520" s="11" t="inlineStr">
        <is>
          <t>Cordillera Administrative Region (CAR)</t>
        </is>
      </c>
      <c r="F1520" s="11" t="inlineStr">
        <is>
          <t>Mountain Province</t>
        </is>
      </c>
      <c r="G1520" s="11" t="inlineStr">
        <is>
          <t>Bauko</t>
        </is>
      </c>
      <c r="H1520" s="11" t="inlineStr">
        <is>
          <t>Mabaay</t>
        </is>
      </c>
      <c r="I1520" s="24" t="n">
        <v>16.916389</v>
      </c>
      <c r="J1520" s="24" t="n">
        <v>120.887222</v>
      </c>
      <c r="K1520" s="23" t="inlineStr">
        <is>
          <t>R</t>
        </is>
      </c>
      <c r="L1520" s="25" t="n">
        <v>1289</v>
      </c>
      <c r="M1520" s="26" t="n">
        <v>3.7</v>
      </c>
      <c r="N1520" s="25">
        <f>ROUND(L1520/M1520, 0)</f>
        <v/>
      </c>
      <c r="O1520" s="25">
        <f>ROUND(N1520*'Methodology &amp; Assumptions'!$B$7, 0)</f>
        <v/>
      </c>
      <c r="P1520" s="23" t="inlineStr">
        <is>
          <t>Single Carrier (Band n50, 100MHz TDD)</t>
        </is>
      </c>
      <c r="Q1520" s="27">
        <f>ROUNDUP(O1520/'Methodology &amp; Assumptions'!$B$8, 0)</f>
        <v/>
      </c>
      <c r="R1520" s="27" t="n">
        <v>1</v>
      </c>
      <c r="S1520" s="26" t="n">
        <v>0.11</v>
      </c>
      <c r="T1520" s="26" t="n">
        <v>0.27</v>
      </c>
      <c r="U1520" s="11">
        <f>IF(S1520&lt;='Methodology &amp; Assumptions'!$B$10, "Direct Optical Drop (&lt;3km)", IF(S1520&lt;='Methodology &amp; Assumptions'!$B$9, "Near Optical / Microwave (&lt;5km)", "Starlink Business LEO Satellite Backhaul (&gt;5km)"))</f>
        <v/>
      </c>
      <c r="V1520" s="26" t="n">
        <v>69.18000000000001</v>
      </c>
      <c r="W1520" s="26" t="n">
        <v>46.67</v>
      </c>
      <c r="X1520" s="26">
        <f>ROUND(('Methodology &amp; Assumptions'!$B$5*V1520) + ('Methodology &amp; Assumptions'!$B$6*W1520), 2)</f>
        <v/>
      </c>
      <c r="Y1520" s="28" t="n">
        <v>10.9</v>
      </c>
      <c r="Z1520" s="11" t="inlineStr">
        <is>
          <t>Priority Tier 3 (Broadband Expansion)</t>
        </is>
      </c>
    </row>
    <row r="1521">
      <c r="A1521" s="23" t="n">
        <v>5</v>
      </c>
      <c r="B1521" s="23" t="n">
        <v>517</v>
      </c>
      <c r="C1521" s="23" t="n">
        <v>4517</v>
      </c>
      <c r="D1521" s="23" t="inlineStr">
        <is>
          <t>0600410016</t>
        </is>
      </c>
      <c r="E1521" s="11" t="inlineStr">
        <is>
          <t>Region VI (Western Visayas)</t>
        </is>
      </c>
      <c r="F1521" s="11" t="inlineStr">
        <is>
          <t>Aklan</t>
        </is>
      </c>
      <c r="G1521" s="11" t="inlineStr">
        <is>
          <t>Madalag</t>
        </is>
      </c>
      <c r="H1521" s="11" t="inlineStr">
        <is>
          <t>Napnot</t>
        </is>
      </c>
      <c r="I1521" s="24" t="n">
        <v>11.445031</v>
      </c>
      <c r="J1521" s="24" t="n">
        <v>122.19758</v>
      </c>
      <c r="K1521" s="23" t="inlineStr">
        <is>
          <t>R</t>
        </is>
      </c>
      <c r="L1521" s="25" t="n">
        <v>535</v>
      </c>
      <c r="M1521" s="26" t="n">
        <v>3.9</v>
      </c>
      <c r="N1521" s="25">
        <f>ROUND(L1521/M1521, 0)</f>
        <v/>
      </c>
      <c r="O1521" s="25">
        <f>ROUND(N1521*'Methodology &amp; Assumptions'!$B$7, 0)</f>
        <v/>
      </c>
      <c r="P1521" s="23" t="inlineStr">
        <is>
          <t>Single Carrier (Band n50, 100MHz TDD)</t>
        </is>
      </c>
      <c r="Q1521" s="27">
        <f>ROUNDUP(O1521/'Methodology &amp; Assumptions'!$B$8, 0)</f>
        <v/>
      </c>
      <c r="R1521" s="27" t="n">
        <v>1</v>
      </c>
      <c r="S1521" s="26" t="n">
        <v>22.54</v>
      </c>
      <c r="T1521" s="26" t="n">
        <v>22.51</v>
      </c>
      <c r="U1521" s="11">
        <f>IF(S1521&lt;='Methodology &amp; Assumptions'!$B$10, "Direct Optical Drop (&lt;3km)", IF(S1521&lt;='Methodology &amp; Assumptions'!$B$9, "Near Optical / Microwave (&lt;5km)", "Starlink Business LEO Satellite Backhaul (&gt;5km)"))</f>
        <v/>
      </c>
      <c r="V1521" s="26" t="n">
        <v>40.36</v>
      </c>
      <c r="W1521" s="26" t="n">
        <v>75.48999999999999</v>
      </c>
      <c r="X1521" s="26">
        <f>ROUND(('Methodology &amp; Assumptions'!$B$5*V1521) + ('Methodology &amp; Assumptions'!$B$6*W1521), 2)</f>
        <v/>
      </c>
      <c r="Y1521" s="28" t="n">
        <v>23.7</v>
      </c>
      <c r="Z1521" s="11" t="inlineStr">
        <is>
          <t>Priority Tier 3 (Broadband Expansion)</t>
        </is>
      </c>
    </row>
    <row r="1522">
      <c r="A1522" s="23" t="n">
        <v>5</v>
      </c>
      <c r="B1522" s="23" t="n">
        <v>518</v>
      </c>
      <c r="C1522" s="23" t="n">
        <v>4518</v>
      </c>
      <c r="D1522" s="23" t="inlineStr">
        <is>
          <t>1403214006</t>
        </is>
      </c>
      <c r="E1522" s="11" t="inlineStr">
        <is>
          <t>Cordillera Administrative Region (CAR)</t>
        </is>
      </c>
      <c r="F1522" s="11" t="inlineStr">
        <is>
          <t>Kalinga</t>
        </is>
      </c>
      <c r="G1522" s="11" t="inlineStr">
        <is>
          <t>Tanudan</t>
        </is>
      </c>
      <c r="H1522" s="11" t="inlineStr">
        <is>
          <t>Lower Taloctoc</t>
        </is>
      </c>
      <c r="I1522" s="24" t="n">
        <v>17.362826</v>
      </c>
      <c r="J1522" s="24" t="n">
        <v>121.254809</v>
      </c>
      <c r="K1522" s="23" t="inlineStr">
        <is>
          <t>R</t>
        </is>
      </c>
      <c r="L1522" s="25" t="n">
        <v>365</v>
      </c>
      <c r="M1522" s="26" t="n">
        <v>4.3</v>
      </c>
      <c r="N1522" s="25">
        <f>ROUND(L1522/M1522, 0)</f>
        <v/>
      </c>
      <c r="O1522" s="25">
        <f>ROUND(N1522*'Methodology &amp; Assumptions'!$B$7, 0)</f>
        <v/>
      </c>
      <c r="P1522" s="23" t="inlineStr">
        <is>
          <t>Single Carrier (Band n50, 100MHz TDD)</t>
        </is>
      </c>
      <c r="Q1522" s="27">
        <f>ROUNDUP(O1522/'Methodology &amp; Assumptions'!$B$8, 0)</f>
        <v/>
      </c>
      <c r="R1522" s="27" t="n">
        <v>1</v>
      </c>
      <c r="S1522" s="26" t="n">
        <v>15.74</v>
      </c>
      <c r="T1522" s="26" t="n">
        <v>4.36</v>
      </c>
      <c r="U1522" s="11">
        <f>IF(S1522&lt;='Methodology &amp; Assumptions'!$B$10, "Direct Optical Drop (&lt;3km)", IF(S1522&lt;='Methodology &amp; Assumptions'!$B$9, "Near Optical / Microwave (&lt;5km)", "Starlink Business LEO Satellite Backhaul (&gt;5km)"))</f>
        <v/>
      </c>
      <c r="V1522" s="26" t="n">
        <v>35.58</v>
      </c>
      <c r="W1522" s="26" t="n">
        <v>80.29000000000001</v>
      </c>
      <c r="X1522" s="26">
        <f>ROUND(('Methodology &amp; Assumptions'!$B$5*V1522) + ('Methodology &amp; Assumptions'!$B$6*W1522), 2)</f>
        <v/>
      </c>
      <c r="Y1522" s="28" t="n">
        <v>10.9</v>
      </c>
      <c r="Z1522" s="11" t="inlineStr">
        <is>
          <t>Priority Tier 3 (Broadband Expansion)</t>
        </is>
      </c>
    </row>
    <row r="1523">
      <c r="A1523" s="23" t="n">
        <v>5</v>
      </c>
      <c r="B1523" s="23" t="n">
        <v>519</v>
      </c>
      <c r="C1523" s="23" t="n">
        <v>4519</v>
      </c>
      <c r="D1523" s="23" t="inlineStr">
        <is>
          <t>0603026012</t>
        </is>
      </c>
      <c r="E1523" s="11" t="inlineStr">
        <is>
          <t>Region VI (Western Visayas)</t>
        </is>
      </c>
      <c r="F1523" s="11" t="inlineStr">
        <is>
          <t>Iloilo</t>
        </is>
      </c>
      <c r="G1523" s="11" t="inlineStr">
        <is>
          <t>Leganes</t>
        </is>
      </c>
      <c r="H1523" s="11" t="inlineStr">
        <is>
          <t>Guihaman</t>
        </is>
      </c>
      <c r="I1523" s="24" t="n">
        <v>10.7799</v>
      </c>
      <c r="J1523" s="24" t="n">
        <v>122.584835</v>
      </c>
      <c r="K1523" s="23" t="inlineStr">
        <is>
          <t>R</t>
        </is>
      </c>
      <c r="L1523" s="25" t="n">
        <v>2324</v>
      </c>
      <c r="M1523" s="26" t="n">
        <v>3.8</v>
      </c>
      <c r="N1523" s="25">
        <f>ROUND(L1523/M1523, 0)</f>
        <v/>
      </c>
      <c r="O1523" s="25">
        <f>ROUND(N1523*'Methodology &amp; Assumptions'!$B$7, 0)</f>
        <v/>
      </c>
      <c r="P1523" s="23" t="inlineStr">
        <is>
          <t>Single Carrier (Band n50, 100MHz TDD)</t>
        </is>
      </c>
      <c r="Q1523" s="27">
        <f>ROUNDUP(O1523/'Methodology &amp; Assumptions'!$B$8, 0)</f>
        <v/>
      </c>
      <c r="R1523" s="27" t="n">
        <v>1</v>
      </c>
      <c r="S1523" s="26" t="n">
        <v>0.79</v>
      </c>
      <c r="T1523" s="26" t="n">
        <v>0.02</v>
      </c>
      <c r="U1523" s="11">
        <f>IF(S1523&lt;='Methodology &amp; Assumptions'!$B$10, "Direct Optical Drop (&lt;3km)", IF(S1523&lt;='Methodology &amp; Assumptions'!$B$9, "Near Optical / Microwave (&lt;5km)", "Starlink Business LEO Satellite Backhaul (&gt;5km)"))</f>
        <v/>
      </c>
      <c r="V1523" s="26" t="n">
        <v>80.11</v>
      </c>
      <c r="W1523" s="26" t="n">
        <v>35.72</v>
      </c>
      <c r="X1523" s="26">
        <f>ROUND(('Methodology &amp; Assumptions'!$B$5*V1523) + ('Methodology &amp; Assumptions'!$B$6*W1523), 2)</f>
        <v/>
      </c>
      <c r="Y1523" s="28" t="n">
        <v>23.7</v>
      </c>
      <c r="Z1523" s="11" t="inlineStr">
        <is>
          <t>Priority Tier 3 (Broadband Expansion)</t>
        </is>
      </c>
    </row>
    <row r="1524">
      <c r="A1524" s="23" t="n">
        <v>5</v>
      </c>
      <c r="B1524" s="23" t="n">
        <v>520</v>
      </c>
      <c r="C1524" s="23" t="n">
        <v>4520</v>
      </c>
      <c r="D1524" s="23" t="inlineStr">
        <is>
          <t>0301422009</t>
        </is>
      </c>
      <c r="E1524" s="11" t="inlineStr">
        <is>
          <t>Region III (Central Luzon)</t>
        </is>
      </c>
      <c r="F1524" s="11" t="inlineStr">
        <is>
          <t>Bulacan</t>
        </is>
      </c>
      <c r="G1524" s="11" t="inlineStr">
        <is>
          <t>San Rafael</t>
        </is>
      </c>
      <c r="H1524" s="11" t="inlineStr">
        <is>
          <t>Capihan</t>
        </is>
      </c>
      <c r="I1524" s="24" t="n">
        <v>14.997408</v>
      </c>
      <c r="J1524" s="24" t="n">
        <v>120.931836</v>
      </c>
      <c r="K1524" s="23" t="inlineStr">
        <is>
          <t>U</t>
        </is>
      </c>
      <c r="L1524" s="25" t="n">
        <v>6405</v>
      </c>
      <c r="M1524" s="26" t="n">
        <v>3.5</v>
      </c>
      <c r="N1524" s="25">
        <f>ROUND(L1524/M1524, 0)</f>
        <v/>
      </c>
      <c r="O1524" s="25">
        <f>ROUND(N1524*'Methodology &amp; Assumptions'!$B$7, 0)</f>
        <v/>
      </c>
      <c r="P1524" s="23" t="inlineStr">
        <is>
          <t>Single Carrier (Band n50, 100MHz TDD)</t>
        </is>
      </c>
      <c r="Q1524" s="27">
        <f>ROUNDUP(O1524/'Methodology &amp; Assumptions'!$B$8, 0)</f>
        <v/>
      </c>
      <c r="R1524" s="27" t="n">
        <v>1</v>
      </c>
      <c r="S1524" s="26" t="n">
        <v>1.13</v>
      </c>
      <c r="T1524" s="26" t="n">
        <v>0.22</v>
      </c>
      <c r="U1524" s="11">
        <f>IF(S1524&lt;='Methodology &amp; Assumptions'!$B$10, "Direct Optical Drop (&lt;3km)", IF(S1524&lt;='Methodology &amp; Assumptions'!$B$9, "Near Optical / Microwave (&lt;5km)", "Starlink Business LEO Satellite Backhaul (&gt;5km)"))</f>
        <v/>
      </c>
      <c r="V1524" s="26" t="n">
        <v>77.31</v>
      </c>
      <c r="W1524" s="26" t="n">
        <v>38.53</v>
      </c>
      <c r="X1524" s="26">
        <f>ROUND(('Methodology &amp; Assumptions'!$B$5*V1524) + ('Methodology &amp; Assumptions'!$B$6*W1524), 2)</f>
        <v/>
      </c>
      <c r="Y1524" s="28" t="n">
        <v>8.300000000000001</v>
      </c>
      <c r="Z1524" s="11" t="inlineStr">
        <is>
          <t>Priority Tier 3 (Broadband Expansion)</t>
        </is>
      </c>
    </row>
    <row r="1525">
      <c r="A1525" s="23" t="n">
        <v>5</v>
      </c>
      <c r="B1525" s="23" t="n">
        <v>521</v>
      </c>
      <c r="C1525" s="23" t="n">
        <v>4521</v>
      </c>
      <c r="D1525" s="23" t="inlineStr">
        <is>
          <t>0403406014</t>
        </is>
      </c>
      <c r="E1525" s="11" t="inlineStr">
        <is>
          <t>Region IV-A (CALABARZON)</t>
        </is>
      </c>
      <c r="F1525" s="11" t="inlineStr">
        <is>
          <t>Laguna</t>
        </is>
      </c>
      <c r="G1525" s="11" t="inlineStr">
        <is>
          <t>Calauan</t>
        </is>
      </c>
      <c r="H1525" s="11" t="inlineStr">
        <is>
          <t>Silangan</t>
        </is>
      </c>
      <c r="I1525" s="24" t="n">
        <v>14.147425</v>
      </c>
      <c r="J1525" s="24" t="n">
        <v>121.3174</v>
      </c>
      <c r="K1525" s="23" t="inlineStr">
        <is>
          <t>R</t>
        </is>
      </c>
      <c r="L1525" s="25" t="n">
        <v>1822</v>
      </c>
      <c r="M1525" s="26" t="n">
        <v>3.3</v>
      </c>
      <c r="N1525" s="25">
        <f>ROUND(L1525/M1525, 0)</f>
        <v/>
      </c>
      <c r="O1525" s="25">
        <f>ROUND(N1525*'Methodology &amp; Assumptions'!$B$7, 0)</f>
        <v/>
      </c>
      <c r="P1525" s="23" t="inlineStr">
        <is>
          <t>Single Carrier (Band n50, 100MHz TDD)</t>
        </is>
      </c>
      <c r="Q1525" s="27">
        <f>ROUNDUP(O1525/'Methodology &amp; Assumptions'!$B$8, 0)</f>
        <v/>
      </c>
      <c r="R1525" s="27" t="n">
        <v>1</v>
      </c>
      <c r="S1525" s="26" t="n">
        <v>0.41</v>
      </c>
      <c r="T1525" s="26" t="n">
        <v>0.12</v>
      </c>
      <c r="U1525" s="11">
        <f>IF(S1525&lt;='Methodology &amp; Assumptions'!$B$10, "Direct Optical Drop (&lt;3km)", IF(S1525&lt;='Methodology &amp; Assumptions'!$B$9, "Near Optical / Microwave (&lt;5km)", "Starlink Business LEO Satellite Backhaul (&gt;5km)"))</f>
        <v/>
      </c>
      <c r="V1525" s="26" t="n">
        <v>76.92</v>
      </c>
      <c r="W1525" s="26" t="n">
        <v>38.92</v>
      </c>
      <c r="X1525" s="26">
        <f>ROUND(('Methodology &amp; Assumptions'!$B$5*V1525) + ('Methodology &amp; Assumptions'!$B$6*W1525), 2)</f>
        <v/>
      </c>
      <c r="Y1525" s="28" t="n">
        <v>7.2</v>
      </c>
      <c r="Z1525" s="11" t="inlineStr">
        <is>
          <t>Priority Tier 3 (Broadband Expansion)</t>
        </is>
      </c>
    </row>
    <row r="1526">
      <c r="A1526" s="23" t="n">
        <v>5</v>
      </c>
      <c r="B1526" s="23" t="n">
        <v>522</v>
      </c>
      <c r="C1526" s="23" t="n">
        <v>4522</v>
      </c>
      <c r="D1526" s="23" t="inlineStr">
        <is>
          <t>0305402015</t>
        </is>
      </c>
      <c r="E1526" s="11" t="inlineStr">
        <is>
          <t>Region III (Central Luzon)</t>
        </is>
      </c>
      <c r="F1526" s="11" t="inlineStr">
        <is>
          <t>Pampanga</t>
        </is>
      </c>
      <c r="G1526" s="11" t="inlineStr">
        <is>
          <t>Apalit</t>
        </is>
      </c>
      <c r="H1526" s="11" t="inlineStr">
        <is>
          <t>Tabuyuc</t>
        </is>
      </c>
      <c r="I1526" s="24" t="n">
        <v>14.95151</v>
      </c>
      <c r="J1526" s="24" t="n">
        <v>120.77684</v>
      </c>
      <c r="K1526" s="23" t="inlineStr">
        <is>
          <t>U</t>
        </is>
      </c>
      <c r="L1526" s="25" t="n">
        <v>9963</v>
      </c>
      <c r="M1526" s="26" t="n">
        <v>4</v>
      </c>
      <c r="N1526" s="25">
        <f>ROUND(L1526/M1526, 0)</f>
        <v/>
      </c>
      <c r="O1526" s="25">
        <f>ROUND(N1526*'Methodology &amp; Assumptions'!$B$7, 0)</f>
        <v/>
      </c>
      <c r="P1526" s="23" t="inlineStr">
        <is>
          <t>Single Carrier (Band n50, 100MHz TDD)</t>
        </is>
      </c>
      <c r="Q1526" s="27">
        <f>ROUNDUP(O1526/'Methodology &amp; Assumptions'!$B$8, 0)</f>
        <v/>
      </c>
      <c r="R1526" s="27" t="n">
        <v>1</v>
      </c>
      <c r="S1526" s="26" t="n">
        <v>1.93</v>
      </c>
      <c r="T1526" s="26" t="n">
        <v>1.93</v>
      </c>
      <c r="U1526" s="11">
        <f>IF(S1526&lt;='Methodology &amp; Assumptions'!$B$10, "Direct Optical Drop (&lt;3km)", IF(S1526&lt;='Methodology &amp; Assumptions'!$B$9, "Near Optical / Microwave (&lt;5km)", "Starlink Business LEO Satellite Backhaul (&gt;5km)"))</f>
        <v/>
      </c>
      <c r="V1526" s="26" t="n">
        <v>74.44</v>
      </c>
      <c r="W1526" s="26" t="n">
        <v>41.41</v>
      </c>
      <c r="X1526" s="26">
        <f>ROUND(('Methodology &amp; Assumptions'!$B$5*V1526) + ('Methodology &amp; Assumptions'!$B$6*W1526), 2)</f>
        <v/>
      </c>
      <c r="Y1526" s="28" t="n">
        <v>8.300000000000001</v>
      </c>
      <c r="Z1526" s="11" t="inlineStr">
        <is>
          <t>Priority Tier 3 (Broadband Expansion)</t>
        </is>
      </c>
    </row>
    <row r="1527">
      <c r="A1527" s="23" t="n">
        <v>5</v>
      </c>
      <c r="B1527" s="23" t="n">
        <v>523</v>
      </c>
      <c r="C1527" s="23" t="n">
        <v>4523</v>
      </c>
      <c r="D1527" s="23" t="inlineStr">
        <is>
          <t>0402108018</t>
        </is>
      </c>
      <c r="E1527" s="11" t="inlineStr">
        <is>
          <t>Region IV-A (CALABARZON)</t>
        </is>
      </c>
      <c r="F1527" s="11" t="inlineStr">
        <is>
          <t>Cavite</t>
        </is>
      </c>
      <c r="G1527" s="11" t="inlineStr">
        <is>
          <t>City of General Trias</t>
        </is>
      </c>
      <c r="H1527" s="11" t="inlineStr">
        <is>
          <t>Pasong Camachile I</t>
        </is>
      </c>
      <c r="I1527" s="24" t="n">
        <v>14.362817</v>
      </c>
      <c r="J1527" s="24" t="n">
        <v>120.895326</v>
      </c>
      <c r="K1527" s="23" t="inlineStr">
        <is>
          <t>U</t>
        </is>
      </c>
      <c r="L1527" s="25" t="n">
        <v>22626</v>
      </c>
      <c r="M1527" s="26" t="n">
        <v>3.4</v>
      </c>
      <c r="N1527" s="25">
        <f>ROUND(L1527/M1527, 0)</f>
        <v/>
      </c>
      <c r="O1527" s="25">
        <f>ROUND(N1527*'Methodology &amp; Assumptions'!$B$7, 0)</f>
        <v/>
      </c>
      <c r="P1527" s="23" t="inlineStr">
        <is>
          <t>Single Carrier (Band n50, 100MHz TDD)</t>
        </is>
      </c>
      <c r="Q1527" s="27">
        <f>ROUNDUP(O1527/'Methodology &amp; Assumptions'!$B$8, 0)</f>
        <v/>
      </c>
      <c r="R1527" s="27" t="n">
        <v>1</v>
      </c>
      <c r="S1527" s="26" t="n">
        <v>2.31</v>
      </c>
      <c r="T1527" s="26" t="n">
        <v>4.8</v>
      </c>
      <c r="U1527" s="11">
        <f>IF(S1527&lt;='Methodology &amp; Assumptions'!$B$10, "Direct Optical Drop (&lt;3km)", IF(S1527&lt;='Methodology &amp; Assumptions'!$B$9, "Near Optical / Microwave (&lt;5km)", "Starlink Business LEO Satellite Backhaul (&gt;5km)"))</f>
        <v/>
      </c>
      <c r="V1527" s="26" t="n">
        <v>69.48999999999999</v>
      </c>
      <c r="W1527" s="26" t="n">
        <v>46.35</v>
      </c>
      <c r="X1527" s="26">
        <f>ROUND(('Methodology &amp; Assumptions'!$B$5*V1527) + ('Methodology &amp; Assumptions'!$B$6*W1527), 2)</f>
        <v/>
      </c>
      <c r="Y1527" s="28" t="n">
        <v>7.2</v>
      </c>
      <c r="Z1527" s="11" t="inlineStr">
        <is>
          <t>Priority Tier 3 (Broadband Expansion)</t>
        </is>
      </c>
    </row>
    <row r="1528">
      <c r="A1528" s="23" t="n">
        <v>5</v>
      </c>
      <c r="B1528" s="23" t="n">
        <v>524</v>
      </c>
      <c r="C1528" s="23" t="n">
        <v>4524</v>
      </c>
      <c r="D1528" s="23" t="inlineStr">
        <is>
          <t>0102901010</t>
        </is>
      </c>
      <c r="E1528" s="11" t="inlineStr">
        <is>
          <t>Region I (Ilocos Region)</t>
        </is>
      </c>
      <c r="F1528" s="11" t="inlineStr">
        <is>
          <t>Ilocos Sur</t>
        </is>
      </c>
      <c r="G1528" s="11" t="inlineStr">
        <is>
          <t>Alilem</t>
        </is>
      </c>
      <c r="H1528" s="11" t="inlineStr">
        <is>
          <t>Daddaay</t>
        </is>
      </c>
      <c r="I1528" s="24" t="n">
        <v>16.905183</v>
      </c>
      <c r="J1528" s="24" t="n">
        <v>120.587915</v>
      </c>
      <c r="K1528" s="23" t="inlineStr">
        <is>
          <t>R</t>
        </is>
      </c>
      <c r="L1528" s="25" t="n">
        <v>713</v>
      </c>
      <c r="M1528" s="26" t="n">
        <v>3.8</v>
      </c>
      <c r="N1528" s="25">
        <f>ROUND(L1528/M1528, 0)</f>
        <v/>
      </c>
      <c r="O1528" s="25">
        <f>ROUND(N1528*'Methodology &amp; Assumptions'!$B$7, 0)</f>
        <v/>
      </c>
      <c r="P1528" s="23" t="inlineStr">
        <is>
          <t>Single Carrier (Band n50, 100MHz TDD)</t>
        </is>
      </c>
      <c r="Q1528" s="27">
        <f>ROUNDUP(O1528/'Methodology &amp; Assumptions'!$B$8, 0)</f>
        <v/>
      </c>
      <c r="R1528" s="27" t="n">
        <v>1</v>
      </c>
      <c r="S1528" s="26" t="n">
        <v>10.28</v>
      </c>
      <c r="T1528" s="26" t="n">
        <v>13.22</v>
      </c>
      <c r="U1528" s="11">
        <f>IF(S1528&lt;='Methodology &amp; Assumptions'!$B$10, "Direct Optical Drop (&lt;3km)", IF(S1528&lt;='Methodology &amp; Assumptions'!$B$9, "Near Optical / Microwave (&lt;5km)", "Starlink Business LEO Satellite Backhaul (&gt;5km)"))</f>
        <v/>
      </c>
      <c r="V1528" s="26" t="n">
        <v>44.28</v>
      </c>
      <c r="W1528" s="26" t="n">
        <v>71.56999999999999</v>
      </c>
      <c r="X1528" s="26">
        <f>ROUND(('Methodology &amp; Assumptions'!$B$5*V1528) + ('Methodology &amp; Assumptions'!$B$6*W1528), 2)</f>
        <v/>
      </c>
      <c r="Y1528" s="28" t="n">
        <v>8.300000000000001</v>
      </c>
      <c r="Z1528" s="11" t="inlineStr">
        <is>
          <t>Priority Tier 3 (Broadband Expansion)</t>
        </is>
      </c>
    </row>
    <row r="1529">
      <c r="A1529" s="23" t="n">
        <v>5</v>
      </c>
      <c r="B1529" s="23" t="n">
        <v>525</v>
      </c>
      <c r="C1529" s="23" t="n">
        <v>4525</v>
      </c>
      <c r="D1529" s="23" t="inlineStr">
        <is>
          <t>0304917027</t>
        </is>
      </c>
      <c r="E1529" s="11" t="inlineStr">
        <is>
          <t>Region III (Central Luzon)</t>
        </is>
      </c>
      <c r="F1529" s="11" t="inlineStr">
        <is>
          <t>Nueva Ecija</t>
        </is>
      </c>
      <c r="G1529" s="11" t="inlineStr">
        <is>
          <t>Science City of Muñoz</t>
        </is>
      </c>
      <c r="H1529" s="11" t="inlineStr">
        <is>
          <t>Poblacion North</t>
        </is>
      </c>
      <c r="I1529" s="24" t="n">
        <v>15.72091</v>
      </c>
      <c r="J1529" s="24" t="n">
        <v>120.90364</v>
      </c>
      <c r="K1529" s="23" t="inlineStr">
        <is>
          <t>R</t>
        </is>
      </c>
      <c r="L1529" s="25" t="n">
        <v>2951</v>
      </c>
      <c r="M1529" s="26" t="n">
        <v>3.5</v>
      </c>
      <c r="N1529" s="25">
        <f>ROUND(L1529/M1529, 0)</f>
        <v/>
      </c>
      <c r="O1529" s="25">
        <f>ROUND(N1529*'Methodology &amp; Assumptions'!$B$7, 0)</f>
        <v/>
      </c>
      <c r="P1529" s="23" t="inlineStr">
        <is>
          <t>Single Carrier (Band n50, 100MHz TDD)</t>
        </is>
      </c>
      <c r="Q1529" s="27">
        <f>ROUNDUP(O1529/'Methodology &amp; Assumptions'!$B$8, 0)</f>
        <v/>
      </c>
      <c r="R1529" s="27" t="n">
        <v>1</v>
      </c>
      <c r="S1529" s="26" t="n">
        <v>0.59</v>
      </c>
      <c r="T1529" s="26" t="n">
        <v>0.05</v>
      </c>
      <c r="U1529" s="11">
        <f>IF(S1529&lt;='Methodology &amp; Assumptions'!$B$10, "Direct Optical Drop (&lt;3km)", IF(S1529&lt;='Methodology &amp; Assumptions'!$B$9, "Near Optical / Microwave (&lt;5km)", "Starlink Business LEO Satellite Backhaul (&gt;5km)"))</f>
        <v/>
      </c>
      <c r="V1529" s="26" t="n">
        <v>85.63</v>
      </c>
      <c r="W1529" s="26" t="n">
        <v>30.19</v>
      </c>
      <c r="X1529" s="26">
        <f>ROUND(('Methodology &amp; Assumptions'!$B$5*V1529) + ('Methodology &amp; Assumptions'!$B$6*W1529), 2)</f>
        <v/>
      </c>
      <c r="Y1529" s="28" t="n">
        <v>8.300000000000001</v>
      </c>
      <c r="Z1529" s="11" t="inlineStr">
        <is>
          <t>Priority Tier 3 (Broadband Expansion)</t>
        </is>
      </c>
    </row>
    <row r="1530">
      <c r="A1530" s="23" t="n">
        <v>5</v>
      </c>
      <c r="B1530" s="23" t="n">
        <v>526</v>
      </c>
      <c r="C1530" s="23" t="n">
        <v>4526</v>
      </c>
      <c r="D1530" s="23" t="inlineStr">
        <is>
          <t>0402108023</t>
        </is>
      </c>
      <c r="E1530" s="11" t="inlineStr">
        <is>
          <t>Region IV-A (CALABARZON)</t>
        </is>
      </c>
      <c r="F1530" s="11" t="inlineStr">
        <is>
          <t>Cavite</t>
        </is>
      </c>
      <c r="G1530" s="11" t="inlineStr">
        <is>
          <t>City of General Trias</t>
        </is>
      </c>
      <c r="H1530" s="11" t="inlineStr">
        <is>
          <t>San Francisco</t>
        </is>
      </c>
      <c r="I1530" s="24" t="n">
        <v>14.31536</v>
      </c>
      <c r="J1530" s="24" t="n">
        <v>120.915632</v>
      </c>
      <c r="K1530" s="23" t="inlineStr">
        <is>
          <t>U</t>
        </is>
      </c>
      <c r="L1530" s="25" t="n">
        <v>88038</v>
      </c>
      <c r="M1530" s="26" t="n">
        <v>3.4</v>
      </c>
      <c r="N1530" s="25">
        <f>ROUND(L1530/M1530, 0)</f>
        <v/>
      </c>
      <c r="O1530" s="25">
        <f>ROUND(N1530*'Methodology &amp; Assumptions'!$B$7, 0)</f>
        <v/>
      </c>
      <c r="P1530" s="23" t="inlineStr">
        <is>
          <t>Single Carrier (Band n50, 100MHz TDD)</t>
        </is>
      </c>
      <c r="Q1530" s="27">
        <f>ROUNDUP(O1530/'Methodology &amp; Assumptions'!$B$8, 0)</f>
        <v/>
      </c>
      <c r="R1530" s="27" t="n">
        <v>1</v>
      </c>
      <c r="S1530" s="26" t="n">
        <v>2.44</v>
      </c>
      <c r="T1530" s="26" t="n">
        <v>2.43</v>
      </c>
      <c r="U1530" s="11">
        <f>IF(S1530&lt;='Methodology &amp; Assumptions'!$B$10, "Direct Optical Drop (&lt;3km)", IF(S1530&lt;='Methodology &amp; Assumptions'!$B$9, "Near Optical / Microwave (&lt;5km)", "Starlink Business LEO Satellite Backhaul (&gt;5km)"))</f>
        <v/>
      </c>
      <c r="V1530" s="26" t="n">
        <v>66.28</v>
      </c>
      <c r="W1530" s="26" t="n">
        <v>49.53</v>
      </c>
      <c r="X1530" s="26">
        <f>ROUND(('Methodology &amp; Assumptions'!$B$5*V1530) + ('Methodology &amp; Assumptions'!$B$6*W1530), 2)</f>
        <v/>
      </c>
      <c r="Y1530" s="28" t="n">
        <v>7.2</v>
      </c>
      <c r="Z1530" s="11" t="inlineStr">
        <is>
          <t>Priority Tier 3 (Broadband Expansion)</t>
        </is>
      </c>
    </row>
    <row r="1531">
      <c r="A1531" s="23" t="n">
        <v>5</v>
      </c>
      <c r="B1531" s="23" t="n">
        <v>527</v>
      </c>
      <c r="C1531" s="23" t="n">
        <v>4527</v>
      </c>
      <c r="D1531" s="23" t="inlineStr">
        <is>
          <t>1908819011</t>
        </is>
      </c>
      <c r="E1531" s="11" t="inlineStr">
        <is>
          <t>Bangsamoro Autonomous Region In Muslim Mindanao (BARMM)</t>
        </is>
      </c>
      <c r="F1531" s="11" t="inlineStr">
        <is>
          <t>Maguindanao del Sur</t>
        </is>
      </c>
      <c r="G1531" s="11" t="inlineStr">
        <is>
          <t>Rajah Buayan</t>
        </is>
      </c>
      <c r="H1531" s="11" t="inlineStr">
        <is>
          <t>Tabungao</t>
        </is>
      </c>
      <c r="I1531" s="24" t="n">
        <v>6.941737</v>
      </c>
      <c r="J1531" s="24" t="n">
        <v>124.591597</v>
      </c>
      <c r="K1531" s="23" t="inlineStr">
        <is>
          <t>R</t>
        </is>
      </c>
      <c r="L1531" s="25" t="n">
        <v>3569</v>
      </c>
      <c r="M1531" s="26" t="n">
        <v>4.7</v>
      </c>
      <c r="N1531" s="25">
        <f>ROUND(L1531/M1531, 0)</f>
        <v/>
      </c>
      <c r="O1531" s="25">
        <f>ROUND(N1531*'Methodology &amp; Assumptions'!$B$7, 0)</f>
        <v/>
      </c>
      <c r="P1531" s="23" t="inlineStr">
        <is>
          <t>Single Carrier (Band n50, 100MHz TDD)</t>
        </is>
      </c>
      <c r="Q1531" s="27">
        <f>ROUNDUP(O1531/'Methodology &amp; Assumptions'!$B$8, 0)</f>
        <v/>
      </c>
      <c r="R1531" s="27" t="n">
        <v>1</v>
      </c>
      <c r="S1531" s="26" t="n">
        <v>29.46</v>
      </c>
      <c r="T1531" s="26" t="n">
        <v>29.36</v>
      </c>
      <c r="U1531" s="11">
        <f>IF(S1531&lt;='Methodology &amp; Assumptions'!$B$10, "Direct Optical Drop (&lt;3km)", IF(S1531&lt;='Methodology &amp; Assumptions'!$B$9, "Near Optical / Microwave (&lt;5km)", "Starlink Business LEO Satellite Backhaul (&gt;5km)"))</f>
        <v/>
      </c>
      <c r="V1531" s="26" t="n">
        <v>55.47</v>
      </c>
      <c r="W1531" s="26" t="n">
        <v>60.35</v>
      </c>
      <c r="X1531" s="26">
        <f>ROUND(('Methodology &amp; Assumptions'!$B$5*V1531) + ('Methodology &amp; Assumptions'!$B$6*W1531), 2)</f>
        <v/>
      </c>
      <c r="Y1531" s="28" t="n">
        <v>11</v>
      </c>
      <c r="Z1531" s="11" t="inlineStr">
        <is>
          <t>Priority Tier 3 (Broadband Expansion)</t>
        </is>
      </c>
    </row>
    <row r="1532">
      <c r="A1532" s="23" t="n">
        <v>5</v>
      </c>
      <c r="B1532" s="23" t="n">
        <v>528</v>
      </c>
      <c r="C1532" s="23" t="n">
        <v>4528</v>
      </c>
      <c r="D1532" s="23" t="inlineStr">
        <is>
          <t>1381100071</t>
        </is>
      </c>
      <c r="E1532" s="11" t="inlineStr">
        <is>
          <t>National Capital Region (NCR)</t>
        </is>
      </c>
      <c r="F1532" s="11" t="inlineStr">
        <is>
          <t>Fourth District (Not a Province)</t>
        </is>
      </c>
      <c r="G1532" s="11" t="inlineStr">
        <is>
          <t>Pasay City</t>
        </is>
      </c>
      <c r="H1532" s="11" t="inlineStr">
        <is>
          <t>Barangay 71</t>
        </is>
      </c>
      <c r="I1532" s="24" t="n">
        <v>14.545435</v>
      </c>
      <c r="J1532" s="24" t="n">
        <v>120.996081</v>
      </c>
      <c r="K1532" s="23" t="inlineStr">
        <is>
          <t>U</t>
        </is>
      </c>
      <c r="L1532" s="25" t="n">
        <v>680</v>
      </c>
      <c r="M1532" s="26" t="n">
        <v>3.8</v>
      </c>
      <c r="N1532" s="25">
        <f>ROUND(L1532/M1532, 0)</f>
        <v/>
      </c>
      <c r="O1532" s="25">
        <f>ROUND(N1532*'Methodology &amp; Assumptions'!$B$7, 0)</f>
        <v/>
      </c>
      <c r="P1532" s="23" t="inlineStr">
        <is>
          <t>Single Carrier (Band n50, 100MHz TDD)</t>
        </is>
      </c>
      <c r="Q1532" s="27">
        <f>ROUNDUP(O1532/'Methodology &amp; Assumptions'!$B$8, 0)</f>
        <v/>
      </c>
      <c r="R1532" s="27" t="n">
        <v>1</v>
      </c>
      <c r="S1532" s="26" t="n">
        <v>0.2</v>
      </c>
      <c r="T1532" s="26" t="n">
        <v>0.2</v>
      </c>
      <c r="U1532" s="11">
        <f>IF(S1532&lt;='Methodology &amp; Assumptions'!$B$10, "Direct Optical Drop (&lt;3km)", IF(S1532&lt;='Methodology &amp; Assumptions'!$B$9, "Near Optical / Microwave (&lt;5km)", "Starlink Business LEO Satellite Backhaul (&gt;5km)"))</f>
        <v/>
      </c>
      <c r="V1532" s="26" t="n">
        <v>46.88</v>
      </c>
      <c r="W1532" s="26" t="n">
        <v>68.95</v>
      </c>
      <c r="X1532" s="26">
        <f>ROUND(('Methodology &amp; Assumptions'!$B$5*V1532) + ('Methodology &amp; Assumptions'!$B$6*W1532), 2)</f>
        <v/>
      </c>
      <c r="Y1532" s="28" t="n">
        <v>10.9</v>
      </c>
      <c r="Z1532" s="11" t="inlineStr">
        <is>
          <t>Priority Tier 3 (Broadband Expansion)</t>
        </is>
      </c>
    </row>
    <row r="1533">
      <c r="A1533" s="23" t="n">
        <v>5</v>
      </c>
      <c r="B1533" s="23" t="n">
        <v>529</v>
      </c>
      <c r="C1533" s="23" t="n">
        <v>4529</v>
      </c>
      <c r="D1533" s="23" t="inlineStr">
        <is>
          <t>1403213002</t>
        </is>
      </c>
      <c r="E1533" s="11" t="inlineStr">
        <is>
          <t>Cordillera Administrative Region (CAR)</t>
        </is>
      </c>
      <c r="F1533" s="11" t="inlineStr">
        <is>
          <t>Kalinga</t>
        </is>
      </c>
      <c r="G1533" s="11" t="inlineStr">
        <is>
          <t>City of Tabuk</t>
        </is>
      </c>
      <c r="H1533" s="11" t="inlineStr">
        <is>
          <t>Amlao</t>
        </is>
      </c>
      <c r="I1533" s="24" t="n">
        <v>17.38311</v>
      </c>
      <c r="J1533" s="24" t="n">
        <v>121.302688</v>
      </c>
      <c r="K1533" s="23" t="inlineStr">
        <is>
          <t>R</t>
        </is>
      </c>
      <c r="L1533" s="25" t="n">
        <v>852</v>
      </c>
      <c r="M1533" s="26" t="n">
        <v>4.3</v>
      </c>
      <c r="N1533" s="25">
        <f>ROUND(L1533/M1533, 0)</f>
        <v/>
      </c>
      <c r="O1533" s="25">
        <f>ROUND(N1533*'Methodology &amp; Assumptions'!$B$7, 0)</f>
        <v/>
      </c>
      <c r="P1533" s="23" t="inlineStr">
        <is>
          <t>Single Carrier (Band n50, 100MHz TDD)</t>
        </is>
      </c>
      <c r="Q1533" s="27">
        <f>ROUNDUP(O1533/'Methodology &amp; Assumptions'!$B$8, 0)</f>
        <v/>
      </c>
      <c r="R1533" s="27" t="n">
        <v>1</v>
      </c>
      <c r="S1533" s="26" t="n">
        <v>15.19</v>
      </c>
      <c r="T1533" s="26" t="n">
        <v>2.09</v>
      </c>
      <c r="U1533" s="11">
        <f>IF(S1533&lt;='Methodology &amp; Assumptions'!$B$10, "Direct Optical Drop (&lt;3km)", IF(S1533&lt;='Methodology &amp; Assumptions'!$B$9, "Near Optical / Microwave (&lt;5km)", "Starlink Business LEO Satellite Backhaul (&gt;5km)"))</f>
        <v/>
      </c>
      <c r="V1533" s="26" t="n">
        <v>39.11</v>
      </c>
      <c r="W1533" s="26" t="n">
        <v>76.7</v>
      </c>
      <c r="X1533" s="26">
        <f>ROUND(('Methodology &amp; Assumptions'!$B$5*V1533) + ('Methodology &amp; Assumptions'!$B$6*W1533), 2)</f>
        <v/>
      </c>
      <c r="Y1533" s="28" t="n">
        <v>10.9</v>
      </c>
      <c r="Z1533" s="11" t="inlineStr">
        <is>
          <t>Priority Tier 3 (Broadband Expansion)</t>
        </is>
      </c>
    </row>
    <row r="1534">
      <c r="A1534" s="23" t="n">
        <v>5</v>
      </c>
      <c r="B1534" s="23" t="n">
        <v>530</v>
      </c>
      <c r="C1534" s="23" t="n">
        <v>4530</v>
      </c>
      <c r="D1534" s="23" t="inlineStr">
        <is>
          <t>0702221014</t>
        </is>
      </c>
      <c r="E1534" s="11" t="inlineStr">
        <is>
          <t>Region VII (Central Visayas)</t>
        </is>
      </c>
      <c r="F1534" s="11" t="inlineStr">
        <is>
          <t>Cebu</t>
        </is>
      </c>
      <c r="G1534" s="11" t="inlineStr">
        <is>
          <t>Daanbantayan</t>
        </is>
      </c>
      <c r="H1534" s="11" t="inlineStr">
        <is>
          <t>Pajo</t>
        </is>
      </c>
      <c r="I1534" s="24" t="n">
        <v>11.240805</v>
      </c>
      <c r="J1534" s="24" t="n">
        <v>124.010332</v>
      </c>
      <c r="K1534" s="23" t="inlineStr">
        <is>
          <t>R</t>
        </is>
      </c>
      <c r="L1534" s="25" t="n">
        <v>4554</v>
      </c>
      <c r="M1534" s="26" t="n">
        <v>3.8</v>
      </c>
      <c r="N1534" s="25">
        <f>ROUND(L1534/M1534, 0)</f>
        <v/>
      </c>
      <c r="O1534" s="25">
        <f>ROUND(N1534*'Methodology &amp; Assumptions'!$B$7, 0)</f>
        <v/>
      </c>
      <c r="P1534" s="23" t="inlineStr">
        <is>
          <t>Single Carrier (Band n50, 100MHz TDD)</t>
        </is>
      </c>
      <c r="Q1534" s="27">
        <f>ROUNDUP(O1534/'Methodology &amp; Assumptions'!$B$8, 0)</f>
        <v/>
      </c>
      <c r="R1534" s="27" t="n">
        <v>1</v>
      </c>
      <c r="S1534" s="26" t="n">
        <v>0.98</v>
      </c>
      <c r="T1534" s="26" t="n">
        <v>0.24</v>
      </c>
      <c r="U1534" s="11">
        <f>IF(S1534&lt;='Methodology &amp; Assumptions'!$B$10, "Direct Optical Drop (&lt;3km)", IF(S1534&lt;='Methodology &amp; Assumptions'!$B$9, "Near Optical / Microwave (&lt;5km)", "Starlink Business LEO Satellite Backhaul (&gt;5km)"))</f>
        <v/>
      </c>
      <c r="V1534" s="26" t="n">
        <v>87.52</v>
      </c>
      <c r="W1534" s="26" t="n">
        <v>28.28</v>
      </c>
      <c r="X1534" s="26">
        <f>ROUND(('Methodology &amp; Assumptions'!$B$5*V1534) + ('Methodology &amp; Assumptions'!$B$6*W1534), 2)</f>
        <v/>
      </c>
      <c r="Y1534" s="28" t="n">
        <v>23.7</v>
      </c>
      <c r="Z1534" s="11" t="inlineStr">
        <is>
          <t>Priority Tier 3 (Broadband Expansion)</t>
        </is>
      </c>
    </row>
    <row r="1535">
      <c r="A1535" s="23" t="n">
        <v>5</v>
      </c>
      <c r="B1535" s="23" t="n">
        <v>531</v>
      </c>
      <c r="C1535" s="23" t="n">
        <v>4531</v>
      </c>
      <c r="D1535" s="23" t="inlineStr">
        <is>
          <t>0405806008</t>
        </is>
      </c>
      <c r="E1535" s="11" t="inlineStr">
        <is>
          <t>Region IV-A (CALABARZON)</t>
        </is>
      </c>
      <c r="F1535" s="11" t="inlineStr">
        <is>
          <t>Rizal</t>
        </is>
      </c>
      <c r="G1535" s="11" t="inlineStr">
        <is>
          <t>Cardona</t>
        </is>
      </c>
      <c r="H1535" s="11" t="inlineStr">
        <is>
          <t>Dalig</t>
        </is>
      </c>
      <c r="I1535" s="24" t="n">
        <v>14.482132</v>
      </c>
      <c r="J1535" s="24" t="n">
        <v>121.232756</v>
      </c>
      <c r="K1535" s="23" t="inlineStr">
        <is>
          <t>U</t>
        </is>
      </c>
      <c r="L1535" s="25" t="n">
        <v>6801</v>
      </c>
      <c r="M1535" s="26" t="n">
        <v>3.6</v>
      </c>
      <c r="N1535" s="25">
        <f>ROUND(L1535/M1535, 0)</f>
        <v/>
      </c>
      <c r="O1535" s="25">
        <f>ROUND(N1535*'Methodology &amp; Assumptions'!$B$7, 0)</f>
        <v/>
      </c>
      <c r="P1535" s="23" t="inlineStr">
        <is>
          <t>Single Carrier (Band n50, 100MHz TDD)</t>
        </is>
      </c>
      <c r="Q1535" s="27">
        <f>ROUNDUP(O1535/'Methodology &amp; Assumptions'!$B$8, 0)</f>
        <v/>
      </c>
      <c r="R1535" s="27" t="n">
        <v>1</v>
      </c>
      <c r="S1535" s="26" t="n">
        <v>0.43</v>
      </c>
      <c r="T1535" s="26" t="n">
        <v>0.33</v>
      </c>
      <c r="U1535" s="11">
        <f>IF(S1535&lt;='Methodology &amp; Assumptions'!$B$10, "Direct Optical Drop (&lt;3km)", IF(S1535&lt;='Methodology &amp; Assumptions'!$B$9, "Near Optical / Microwave (&lt;5km)", "Starlink Business LEO Satellite Backhaul (&gt;5km)"))</f>
        <v/>
      </c>
      <c r="V1535" s="26" t="n">
        <v>78.26000000000001</v>
      </c>
      <c r="W1535" s="26" t="n">
        <v>37.54</v>
      </c>
      <c r="X1535" s="26">
        <f>ROUND(('Methodology &amp; Assumptions'!$B$5*V1535) + ('Methodology &amp; Assumptions'!$B$6*W1535), 2)</f>
        <v/>
      </c>
      <c r="Y1535" s="28" t="n">
        <v>7.2</v>
      </c>
      <c r="Z1535" s="11" t="inlineStr">
        <is>
          <t>Priority Tier 3 (Broadband Expansion)</t>
        </is>
      </c>
    </row>
    <row r="1536">
      <c r="A1536" s="23" t="n">
        <v>5</v>
      </c>
      <c r="B1536" s="23" t="n">
        <v>532</v>
      </c>
      <c r="C1536" s="23" t="n">
        <v>4532</v>
      </c>
      <c r="D1536" s="23" t="inlineStr">
        <is>
          <t>0304916033</t>
        </is>
      </c>
      <c r="E1536" s="11" t="inlineStr">
        <is>
          <t>Region III (Central Luzon)</t>
        </is>
      </c>
      <c r="F1536" s="11" t="inlineStr">
        <is>
          <t>Nueva Ecija</t>
        </is>
      </c>
      <c r="G1536" s="11" t="inlineStr">
        <is>
          <t>Lupao</t>
        </is>
      </c>
      <c r="H1536" s="11" t="inlineStr">
        <is>
          <t>San Roque</t>
        </is>
      </c>
      <c r="I1536" s="24" t="n">
        <v>15.897581</v>
      </c>
      <c r="J1536" s="24" t="n">
        <v>120.891889</v>
      </c>
      <c r="K1536" s="23" t="inlineStr">
        <is>
          <t>R</t>
        </is>
      </c>
      <c r="L1536" s="25" t="n">
        <v>2098</v>
      </c>
      <c r="M1536" s="26" t="n">
        <v>3.5</v>
      </c>
      <c r="N1536" s="25">
        <f>ROUND(L1536/M1536, 0)</f>
        <v/>
      </c>
      <c r="O1536" s="25">
        <f>ROUND(N1536*'Methodology &amp; Assumptions'!$B$7, 0)</f>
        <v/>
      </c>
      <c r="P1536" s="23" t="inlineStr">
        <is>
          <t>Single Carrier (Band n50, 100MHz TDD)</t>
        </is>
      </c>
      <c r="Q1536" s="27">
        <f>ROUNDUP(O1536/'Methodology &amp; Assumptions'!$B$8, 0)</f>
        <v/>
      </c>
      <c r="R1536" s="27" t="n">
        <v>1</v>
      </c>
      <c r="S1536" s="26" t="n">
        <v>1.56</v>
      </c>
      <c r="T1536" s="26" t="n">
        <v>0.47</v>
      </c>
      <c r="U1536" s="11">
        <f>IF(S1536&lt;='Methodology &amp; Assumptions'!$B$10, "Direct Optical Drop (&lt;3km)", IF(S1536&lt;='Methodology &amp; Assumptions'!$B$9, "Near Optical / Microwave (&lt;5km)", "Starlink Business LEO Satellite Backhaul (&gt;5km)"))</f>
        <v/>
      </c>
      <c r="V1536" s="26" t="n">
        <v>75.81999999999999</v>
      </c>
      <c r="W1536" s="26" t="n">
        <v>39.98</v>
      </c>
      <c r="X1536" s="26">
        <f>ROUND(('Methodology &amp; Assumptions'!$B$5*V1536) + ('Methodology &amp; Assumptions'!$B$6*W1536), 2)</f>
        <v/>
      </c>
      <c r="Y1536" s="28" t="n">
        <v>8.300000000000001</v>
      </c>
      <c r="Z1536" s="11" t="inlineStr">
        <is>
          <t>Priority Tier 3 (Broadband Expansion)</t>
        </is>
      </c>
    </row>
    <row r="1537">
      <c r="A1537" s="23" t="n">
        <v>5</v>
      </c>
      <c r="B1537" s="23" t="n">
        <v>533</v>
      </c>
      <c r="C1537" s="23" t="n">
        <v>4533</v>
      </c>
      <c r="D1537" s="23" t="inlineStr">
        <is>
          <t>0600416013</t>
        </is>
      </c>
      <c r="E1537" s="11" t="inlineStr">
        <is>
          <t>Region VI (Western Visayas)</t>
        </is>
      </c>
      <c r="F1537" s="11" t="inlineStr">
        <is>
          <t>Aklan</t>
        </is>
      </c>
      <c r="G1537" s="11" t="inlineStr">
        <is>
          <t>Numancia</t>
        </is>
      </c>
      <c r="H1537" s="11" t="inlineStr">
        <is>
          <t>Laguinbanua West</t>
        </is>
      </c>
      <c r="I1537" s="24" t="n">
        <v>11.706649</v>
      </c>
      <c r="J1537" s="24" t="n">
        <v>122.337677</v>
      </c>
      <c r="K1537" s="23" t="inlineStr">
        <is>
          <t>R</t>
        </is>
      </c>
      <c r="L1537" s="25" t="n">
        <v>1976</v>
      </c>
      <c r="M1537" s="26" t="n">
        <v>3.9</v>
      </c>
      <c r="N1537" s="25">
        <f>ROUND(L1537/M1537, 0)</f>
        <v/>
      </c>
      <c r="O1537" s="25">
        <f>ROUND(N1537*'Methodology &amp; Assumptions'!$B$7, 0)</f>
        <v/>
      </c>
      <c r="P1537" s="23" t="inlineStr">
        <is>
          <t>Single Carrier (Band n50, 100MHz TDD)</t>
        </is>
      </c>
      <c r="Q1537" s="27">
        <f>ROUNDUP(O1537/'Methodology &amp; Assumptions'!$B$8, 0)</f>
        <v/>
      </c>
      <c r="R1537" s="27" t="n">
        <v>1</v>
      </c>
      <c r="S1537" s="26" t="n">
        <v>1.13</v>
      </c>
      <c r="T1537" s="26" t="n">
        <v>0.5</v>
      </c>
      <c r="U1537" s="11">
        <f>IF(S1537&lt;='Methodology &amp; Assumptions'!$B$10, "Direct Optical Drop (&lt;3km)", IF(S1537&lt;='Methodology &amp; Assumptions'!$B$9, "Near Optical / Microwave (&lt;5km)", "Starlink Business LEO Satellite Backhaul (&gt;5km)"))</f>
        <v/>
      </c>
      <c r="V1537" s="26" t="n">
        <v>75.73999999999999</v>
      </c>
      <c r="W1537" s="26" t="n">
        <v>40.07</v>
      </c>
      <c r="X1537" s="26">
        <f>ROUND(('Methodology &amp; Assumptions'!$B$5*V1537) + ('Methodology &amp; Assumptions'!$B$6*W1537), 2)</f>
        <v/>
      </c>
      <c r="Y1537" s="28" t="n">
        <v>23.7</v>
      </c>
      <c r="Z1537" s="11" t="inlineStr">
        <is>
          <t>Priority Tier 3 (Broadband Expansion)</t>
        </is>
      </c>
    </row>
    <row r="1538">
      <c r="A1538" s="23" t="n">
        <v>5</v>
      </c>
      <c r="B1538" s="23" t="n">
        <v>534</v>
      </c>
      <c r="C1538" s="23" t="n">
        <v>4534</v>
      </c>
      <c r="D1538" s="23" t="inlineStr">
        <is>
          <t>1705204015</t>
        </is>
      </c>
      <c r="E1538" s="11" t="inlineStr">
        <is>
          <t>MIMAROPA Region</t>
        </is>
      </c>
      <c r="F1538" s="11" t="inlineStr">
        <is>
          <t>Oriental Mindoro</t>
        </is>
      </c>
      <c r="G1538" s="11" t="inlineStr">
        <is>
          <t>Bulalacao</t>
        </is>
      </c>
      <c r="H1538" s="11" t="inlineStr">
        <is>
          <t>San Juan</t>
        </is>
      </c>
      <c r="I1538" s="24" t="n">
        <v>12.356668</v>
      </c>
      <c r="J1538" s="24" t="n">
        <v>121.379323</v>
      </c>
      <c r="K1538" s="23" t="inlineStr">
        <is>
          <t>R</t>
        </is>
      </c>
      <c r="L1538" s="25" t="n">
        <v>3776</v>
      </c>
      <c r="M1538" s="26" t="n">
        <v>3.9</v>
      </c>
      <c r="N1538" s="25">
        <f>ROUND(L1538/M1538, 0)</f>
        <v/>
      </c>
      <c r="O1538" s="25">
        <f>ROUND(N1538*'Methodology &amp; Assumptions'!$B$7, 0)</f>
        <v/>
      </c>
      <c r="P1538" s="23" t="inlineStr">
        <is>
          <t>Single Carrier (Band n50, 100MHz TDD)</t>
        </is>
      </c>
      <c r="Q1538" s="27">
        <f>ROUNDUP(O1538/'Methodology &amp; Assumptions'!$B$8, 0)</f>
        <v/>
      </c>
      <c r="R1538" s="27" t="n">
        <v>1</v>
      </c>
      <c r="S1538" s="26" t="n">
        <v>4.9</v>
      </c>
      <c r="T1538" s="26" t="n">
        <v>3.25</v>
      </c>
      <c r="U1538" s="11">
        <f>IF(S1538&lt;='Methodology &amp; Assumptions'!$B$10, "Direct Optical Drop (&lt;3km)", IF(S1538&lt;='Methodology &amp; Assumptions'!$B$9, "Near Optical / Microwave (&lt;5km)", "Starlink Business LEO Satellite Backhaul (&gt;5km)"))</f>
        <v/>
      </c>
      <c r="V1538" s="26" t="n">
        <v>71.88</v>
      </c>
      <c r="W1538" s="26" t="n">
        <v>43.93</v>
      </c>
      <c r="X1538" s="26">
        <f>ROUND(('Methodology &amp; Assumptions'!$B$5*V1538) + ('Methodology &amp; Assumptions'!$B$6*W1538), 2)</f>
        <v/>
      </c>
      <c r="Y1538" s="28" t="n">
        <v>15</v>
      </c>
      <c r="Z1538" s="11" t="inlineStr">
        <is>
          <t>Priority Tier 3 (Broadband Expansion)</t>
        </is>
      </c>
    </row>
    <row r="1539">
      <c r="A1539" s="23" t="n">
        <v>5</v>
      </c>
      <c r="B1539" s="23" t="n">
        <v>535</v>
      </c>
      <c r="C1539" s="23" t="n">
        <v>4535</v>
      </c>
      <c r="D1539" s="23" t="inlineStr">
        <is>
          <t>0102803007</t>
        </is>
      </c>
      <c r="E1539" s="11" t="inlineStr">
        <is>
          <t>Region I (Ilocos Region)</t>
        </is>
      </c>
      <c r="F1539" s="11" t="inlineStr">
        <is>
          <t>Ilocos Norte</t>
        </is>
      </c>
      <c r="G1539" s="11" t="inlineStr">
        <is>
          <t>Badoc</t>
        </is>
      </c>
      <c r="H1539" s="11" t="inlineStr">
        <is>
          <t>Camanga</t>
        </is>
      </c>
      <c r="I1539" s="24" t="n">
        <v>17.912901</v>
      </c>
      <c r="J1539" s="24" t="n">
        <v>120.562897</v>
      </c>
      <c r="K1539" s="23" t="inlineStr">
        <is>
          <t>R</t>
        </is>
      </c>
      <c r="L1539" s="25" t="n">
        <v>1231</v>
      </c>
      <c r="M1539" s="26" t="n">
        <v>3.7</v>
      </c>
      <c r="N1539" s="25">
        <f>ROUND(L1539/M1539, 0)</f>
        <v/>
      </c>
      <c r="O1539" s="25">
        <f>ROUND(N1539*'Methodology &amp; Assumptions'!$B$7, 0)</f>
        <v/>
      </c>
      <c r="P1539" s="23" t="inlineStr">
        <is>
          <t>Single Carrier (Band n50, 100MHz TDD)</t>
        </is>
      </c>
      <c r="Q1539" s="27">
        <f>ROUNDUP(O1539/'Methodology &amp; Assumptions'!$B$8, 0)</f>
        <v/>
      </c>
      <c r="R1539" s="27" t="n">
        <v>1</v>
      </c>
      <c r="S1539" s="26" t="n">
        <v>5.58</v>
      </c>
      <c r="T1539" s="26" t="n">
        <v>7.52</v>
      </c>
      <c r="U1539" s="11">
        <f>IF(S1539&lt;='Methodology &amp; Assumptions'!$B$10, "Direct Optical Drop (&lt;3km)", IF(S1539&lt;='Methodology &amp; Assumptions'!$B$9, "Near Optical / Microwave (&lt;5km)", "Starlink Business LEO Satellite Backhaul (&gt;5km)"))</f>
        <v/>
      </c>
      <c r="V1539" s="26" t="n">
        <v>53.95</v>
      </c>
      <c r="W1539" s="26" t="n">
        <v>61.85</v>
      </c>
      <c r="X1539" s="26">
        <f>ROUND(('Methodology &amp; Assumptions'!$B$5*V1539) + ('Methodology &amp; Assumptions'!$B$6*W1539), 2)</f>
        <v/>
      </c>
      <c r="Y1539" s="28" t="n">
        <v>8.300000000000001</v>
      </c>
      <c r="Z1539" s="11" t="inlineStr">
        <is>
          <t>Priority Tier 3 (Broadband Expansion)</t>
        </is>
      </c>
    </row>
    <row r="1540">
      <c r="A1540" s="23" t="n">
        <v>5</v>
      </c>
      <c r="B1540" s="23" t="n">
        <v>536</v>
      </c>
      <c r="C1540" s="23" t="n">
        <v>4536</v>
      </c>
      <c r="D1540" s="23" t="inlineStr">
        <is>
          <t>1908806015</t>
        </is>
      </c>
      <c r="E1540" s="11" t="inlineStr">
        <is>
          <t>Bangsamoro Autonomous Region In Muslim Mindanao (BARMM)</t>
        </is>
      </c>
      <c r="F1540" s="11" t="inlineStr">
        <is>
          <t>Maguindanao del Sur</t>
        </is>
      </c>
      <c r="G1540" s="11" t="inlineStr">
        <is>
          <t>Datu Paglas</t>
        </is>
      </c>
      <c r="H1540" s="11" t="inlineStr">
        <is>
          <t>Mangadeg</t>
        </is>
      </c>
      <c r="I1540" s="24" t="n">
        <v>6.691872</v>
      </c>
      <c r="J1540" s="24" t="n">
        <v>124.87897</v>
      </c>
      <c r="K1540" s="23" t="inlineStr">
        <is>
          <t>R</t>
        </is>
      </c>
      <c r="L1540" s="25" t="n">
        <v>1344</v>
      </c>
      <c r="M1540" s="26" t="n">
        <v>4.7</v>
      </c>
      <c r="N1540" s="25">
        <f>ROUND(L1540/M1540, 0)</f>
        <v/>
      </c>
      <c r="O1540" s="25">
        <f>ROUND(N1540*'Methodology &amp; Assumptions'!$B$7, 0)</f>
        <v/>
      </c>
      <c r="P1540" s="23" t="inlineStr">
        <is>
          <t>Single Carrier (Band n50, 100MHz TDD)</t>
        </is>
      </c>
      <c r="Q1540" s="27">
        <f>ROUNDUP(O1540/'Methodology &amp; Assumptions'!$B$8, 0)</f>
        <v/>
      </c>
      <c r="R1540" s="27" t="n">
        <v>1</v>
      </c>
      <c r="S1540" s="26" t="n">
        <v>22.69</v>
      </c>
      <c r="T1540" s="26" t="n">
        <v>5.73</v>
      </c>
      <c r="U1540" s="11">
        <f>IF(S1540&lt;='Methodology &amp; Assumptions'!$B$10, "Direct Optical Drop (&lt;3km)", IF(S1540&lt;='Methodology &amp; Assumptions'!$B$9, "Near Optical / Microwave (&lt;5km)", "Starlink Business LEO Satellite Backhaul (&gt;5km)"))</f>
        <v/>
      </c>
      <c r="V1540" s="26" t="n">
        <v>40.27</v>
      </c>
      <c r="W1540" s="26" t="n">
        <v>75.53</v>
      </c>
      <c r="X1540" s="26">
        <f>ROUND(('Methodology &amp; Assumptions'!$B$5*V1540) + ('Methodology &amp; Assumptions'!$B$6*W1540), 2)</f>
        <v/>
      </c>
      <c r="Y1540" s="28" t="n">
        <v>11</v>
      </c>
      <c r="Z1540" s="11" t="inlineStr">
        <is>
          <t>Priority Tier 3 (Broadband Expansion)</t>
        </is>
      </c>
    </row>
    <row r="1541">
      <c r="A1541" s="23" t="n">
        <v>5</v>
      </c>
      <c r="B1541" s="23" t="n">
        <v>537</v>
      </c>
      <c r="C1541" s="23" t="n">
        <v>4537</v>
      </c>
      <c r="D1541" s="23" t="inlineStr">
        <is>
          <t>1907006033</t>
        </is>
      </c>
      <c r="E1541" s="11" t="inlineStr">
        <is>
          <t>Bangsamoro Autonomous Region In Muslim Mindanao (BARMM)</t>
        </is>
      </c>
      <c r="F1541" s="11" t="inlineStr">
        <is>
          <t>Tawi-Tawi</t>
        </is>
      </c>
      <c r="G1541" s="11" t="inlineStr">
        <is>
          <t>South Ubian</t>
        </is>
      </c>
      <c r="H1541" s="11" t="inlineStr">
        <is>
          <t>Tubig Dayang Center</t>
        </is>
      </c>
      <c r="I1541" s="24" t="n">
        <v>5.1948</v>
      </c>
      <c r="J1541" s="24" t="n">
        <v>120.514956</v>
      </c>
      <c r="K1541" s="23" t="inlineStr">
        <is>
          <t>R</t>
        </is>
      </c>
      <c r="L1541" s="25" t="n">
        <v>1198</v>
      </c>
      <c r="M1541" s="26" t="n">
        <v>5.8</v>
      </c>
      <c r="N1541" s="25">
        <f>ROUND(L1541/M1541, 0)</f>
        <v/>
      </c>
      <c r="O1541" s="25">
        <f>ROUND(N1541*'Methodology &amp; Assumptions'!$B$7, 0)</f>
        <v/>
      </c>
      <c r="P1541" s="23" t="inlineStr">
        <is>
          <t>Single Carrier (Band n50, 100MHz TDD)</t>
        </is>
      </c>
      <c r="Q1541" s="27">
        <f>ROUNDUP(O1541/'Methodology &amp; Assumptions'!$B$8, 0)</f>
        <v/>
      </c>
      <c r="R1541" s="27" t="n">
        <v>1</v>
      </c>
      <c r="S1541" s="26" t="n">
        <v>257.09</v>
      </c>
      <c r="T1541" s="26" t="n">
        <v>257.09</v>
      </c>
      <c r="U1541" s="11">
        <f>IF(S1541&lt;='Methodology &amp; Assumptions'!$B$10, "Direct Optical Drop (&lt;3km)", IF(S1541&lt;='Methodology &amp; Assumptions'!$B$9, "Near Optical / Microwave (&lt;5km)", "Starlink Business LEO Satellite Backhaul (&gt;5km)"))</f>
        <v/>
      </c>
      <c r="V1541" s="26" t="n">
        <v>37.7</v>
      </c>
      <c r="W1541" s="26" t="n">
        <v>78.09999999999999</v>
      </c>
      <c r="X1541" s="26">
        <f>ROUND(('Methodology &amp; Assumptions'!$B$5*V1541) + ('Methodology &amp; Assumptions'!$B$6*W1541), 2)</f>
        <v/>
      </c>
      <c r="Y1541" s="28" t="n">
        <v>11</v>
      </c>
      <c r="Z1541" s="11" t="inlineStr">
        <is>
          <t>Priority Tier 3 (Broadband Expansion)</t>
        </is>
      </c>
    </row>
    <row r="1542">
      <c r="A1542" s="23" t="n">
        <v>5</v>
      </c>
      <c r="B1542" s="23" t="n">
        <v>538</v>
      </c>
      <c r="C1542" s="23" t="n">
        <v>4538</v>
      </c>
      <c r="D1542" s="23" t="inlineStr">
        <is>
          <t>1401110009</t>
        </is>
      </c>
      <c r="E1542" s="11" t="inlineStr">
        <is>
          <t>Cordillera Administrative Region (CAR)</t>
        </is>
      </c>
      <c r="F1542" s="11" t="inlineStr">
        <is>
          <t>Benguet</t>
        </is>
      </c>
      <c r="G1542" s="11" t="inlineStr">
        <is>
          <t>La Trinidad</t>
        </is>
      </c>
      <c r="H1542" s="11" t="inlineStr">
        <is>
          <t>Cruz</t>
        </is>
      </c>
      <c r="I1542" s="24" t="n">
        <v>16.46407</v>
      </c>
      <c r="J1542" s="24" t="n">
        <v>120.59097</v>
      </c>
      <c r="K1542" s="23" t="inlineStr">
        <is>
          <t>R</t>
        </is>
      </c>
      <c r="L1542" s="25" t="n">
        <v>3493</v>
      </c>
      <c r="M1542" s="26" t="n">
        <v>3.5</v>
      </c>
      <c r="N1542" s="25">
        <f>ROUND(L1542/M1542, 0)</f>
        <v/>
      </c>
      <c r="O1542" s="25">
        <f>ROUND(N1542*'Methodology &amp; Assumptions'!$B$7, 0)</f>
        <v/>
      </c>
      <c r="P1542" s="23" t="inlineStr">
        <is>
          <t>Single Carrier (Band n50, 100MHz TDD)</t>
        </is>
      </c>
      <c r="Q1542" s="27">
        <f>ROUNDUP(O1542/'Methodology &amp; Assumptions'!$B$8, 0)</f>
        <v/>
      </c>
      <c r="R1542" s="27" t="n">
        <v>1</v>
      </c>
      <c r="S1542" s="26" t="n">
        <v>0.88</v>
      </c>
      <c r="T1542" s="26" t="n">
        <v>0.19</v>
      </c>
      <c r="U1542" s="11">
        <f>IF(S1542&lt;='Methodology &amp; Assumptions'!$B$10, "Direct Optical Drop (&lt;3km)", IF(S1542&lt;='Methodology &amp; Assumptions'!$B$9, "Near Optical / Microwave (&lt;5km)", "Starlink Business LEO Satellite Backhaul (&gt;5km)"))</f>
        <v/>
      </c>
      <c r="V1542" s="26" t="n">
        <v>85.91</v>
      </c>
      <c r="W1542" s="26" t="n">
        <v>29.87</v>
      </c>
      <c r="X1542" s="26">
        <f>ROUND(('Methodology &amp; Assumptions'!$B$5*V1542) + ('Methodology &amp; Assumptions'!$B$6*W1542), 2)</f>
        <v/>
      </c>
      <c r="Y1542" s="28" t="n">
        <v>10.9</v>
      </c>
      <c r="Z1542" s="11" t="inlineStr">
        <is>
          <t>Priority Tier 3 (Broadband Expansion)</t>
        </is>
      </c>
    </row>
    <row r="1543">
      <c r="A1543" s="23" t="n">
        <v>5</v>
      </c>
      <c r="B1543" s="23" t="n">
        <v>539</v>
      </c>
      <c r="C1543" s="23" t="n">
        <v>4539</v>
      </c>
      <c r="D1543" s="23" t="inlineStr">
        <is>
          <t>0702234013</t>
        </is>
      </c>
      <c r="E1543" s="11" t="inlineStr">
        <is>
          <t>Region VII (Central Visayas)</t>
        </is>
      </c>
      <c r="F1543" s="11" t="inlineStr">
        <is>
          <t>Cebu</t>
        </is>
      </c>
      <c r="G1543" s="11" t="inlineStr">
        <is>
          <t>City of Naga</t>
        </is>
      </c>
      <c r="H1543" s="11" t="inlineStr">
        <is>
          <t>Lanas</t>
        </is>
      </c>
      <c r="I1543" s="24" t="n">
        <v>10.272336</v>
      </c>
      <c r="J1543" s="24" t="n">
        <v>123.717023</v>
      </c>
      <c r="K1543" s="23" t="inlineStr">
        <is>
          <t>R</t>
        </is>
      </c>
      <c r="L1543" s="25" t="n">
        <v>3344</v>
      </c>
      <c r="M1543" s="26" t="n">
        <v>3.8</v>
      </c>
      <c r="N1543" s="25">
        <f>ROUND(L1543/M1543, 0)</f>
        <v/>
      </c>
      <c r="O1543" s="25">
        <f>ROUND(N1543*'Methodology &amp; Assumptions'!$B$7, 0)</f>
        <v/>
      </c>
      <c r="P1543" s="23" t="inlineStr">
        <is>
          <t>Single Carrier (Band n50, 100MHz TDD)</t>
        </is>
      </c>
      <c r="Q1543" s="27">
        <f>ROUNDUP(O1543/'Methodology &amp; Assumptions'!$B$8, 0)</f>
        <v/>
      </c>
      <c r="R1543" s="27" t="n">
        <v>1</v>
      </c>
      <c r="S1543" s="26" t="n">
        <v>2</v>
      </c>
      <c r="T1543" s="26" t="n">
        <v>0.45</v>
      </c>
      <c r="U1543" s="11">
        <f>IF(S1543&lt;='Methodology &amp; Assumptions'!$B$10, "Direct Optical Drop (&lt;3km)", IF(S1543&lt;='Methodology &amp; Assumptions'!$B$9, "Near Optical / Microwave (&lt;5km)", "Starlink Business LEO Satellite Backhaul (&gt;5km)"))</f>
        <v/>
      </c>
      <c r="V1543" s="26" t="n">
        <v>83.83</v>
      </c>
      <c r="W1543" s="26" t="n">
        <v>31.94</v>
      </c>
      <c r="X1543" s="26">
        <f>ROUND(('Methodology &amp; Assumptions'!$B$5*V1543) + ('Methodology &amp; Assumptions'!$B$6*W1543), 2)</f>
        <v/>
      </c>
      <c r="Y1543" s="28" t="n">
        <v>23.7</v>
      </c>
      <c r="Z1543" s="11" t="inlineStr">
        <is>
          <t>Priority Tier 3 (Broadband Expansion)</t>
        </is>
      </c>
    </row>
    <row r="1544">
      <c r="A1544" s="23" t="n">
        <v>5</v>
      </c>
      <c r="B1544" s="23" t="n">
        <v>540</v>
      </c>
      <c r="C1544" s="23" t="n">
        <v>4540</v>
      </c>
      <c r="D1544" s="23" t="inlineStr">
        <is>
          <t>1606819022</t>
        </is>
      </c>
      <c r="E1544" s="11" t="inlineStr">
        <is>
          <t>Region XIII (Caraga)</t>
        </is>
      </c>
      <c r="F1544" s="11" t="inlineStr">
        <is>
          <t>Surigao del Sur</t>
        </is>
      </c>
      <c r="G1544" s="11" t="inlineStr">
        <is>
          <t>City of Tandag</t>
        </is>
      </c>
      <c r="H1544" s="11" t="inlineStr">
        <is>
          <t>Telaje</t>
        </is>
      </c>
      <c r="I1544" s="24" t="n">
        <v>9.072471999999999</v>
      </c>
      <c r="J1544" s="24" t="n">
        <v>126.192211</v>
      </c>
      <c r="K1544" s="23" t="inlineStr">
        <is>
          <t>U</t>
        </is>
      </c>
      <c r="L1544" s="25" t="n">
        <v>7962</v>
      </c>
      <c r="M1544" s="26" t="n">
        <v>4.1</v>
      </c>
      <c r="N1544" s="25">
        <f>ROUND(L1544/M1544, 0)</f>
        <v/>
      </c>
      <c r="O1544" s="25">
        <f>ROUND(N1544*'Methodology &amp; Assumptions'!$B$7, 0)</f>
        <v/>
      </c>
      <c r="P1544" s="23" t="inlineStr">
        <is>
          <t>Single Carrier (Band n50, 100MHz TDD)</t>
        </is>
      </c>
      <c r="Q1544" s="27">
        <f>ROUNDUP(O1544/'Methodology &amp; Assumptions'!$B$8, 0)</f>
        <v/>
      </c>
      <c r="R1544" s="27" t="n">
        <v>1</v>
      </c>
      <c r="S1544" s="26" t="n">
        <v>0.75</v>
      </c>
      <c r="T1544" s="26" t="n">
        <v>0.57</v>
      </c>
      <c r="U1544" s="11">
        <f>IF(S1544&lt;='Methodology &amp; Assumptions'!$B$10, "Direct Optical Drop (&lt;3km)", IF(S1544&lt;='Methodology &amp; Assumptions'!$B$9, "Near Optical / Microwave (&lt;5km)", "Starlink Business LEO Satellite Backhaul (&gt;5km)"))</f>
        <v/>
      </c>
      <c r="V1544" s="26" t="n">
        <v>79.87</v>
      </c>
      <c r="W1544" s="26" t="n">
        <v>35.91</v>
      </c>
      <c r="X1544" s="26">
        <f>ROUND(('Methodology &amp; Assumptions'!$B$5*V1544) + ('Methodology &amp; Assumptions'!$B$6*W1544), 2)</f>
        <v/>
      </c>
      <c r="Y1544" s="28" t="n">
        <v>17.4</v>
      </c>
      <c r="Z1544" s="11" t="inlineStr">
        <is>
          <t>Priority Tier 3 (Broadband Expansion)</t>
        </is>
      </c>
    </row>
    <row r="1545">
      <c r="A1545" s="23" t="n">
        <v>5</v>
      </c>
      <c r="B1545" s="23" t="n">
        <v>541</v>
      </c>
      <c r="C1545" s="23" t="n">
        <v>4541</v>
      </c>
      <c r="D1545" s="23" t="inlineStr">
        <is>
          <t>0305411014</t>
        </is>
      </c>
      <c r="E1545" s="11" t="inlineStr">
        <is>
          <t>Region III (Central Luzon)</t>
        </is>
      </c>
      <c r="F1545" s="11" t="inlineStr">
        <is>
          <t>Pampanga</t>
        </is>
      </c>
      <c r="G1545" s="11" t="inlineStr">
        <is>
          <t>Magalang</t>
        </is>
      </c>
      <c r="H1545" s="11" t="inlineStr">
        <is>
          <t>San Nicolas 2nd</t>
        </is>
      </c>
      <c r="I1545" s="24" t="n">
        <v>15.215653</v>
      </c>
      <c r="J1545" s="24" t="n">
        <v>120.667378</v>
      </c>
      <c r="K1545" s="23" t="inlineStr">
        <is>
          <t>R</t>
        </is>
      </c>
      <c r="L1545" s="25" t="n">
        <v>4550</v>
      </c>
      <c r="M1545" s="26" t="n">
        <v>4</v>
      </c>
      <c r="N1545" s="25">
        <f>ROUND(L1545/M1545, 0)</f>
        <v/>
      </c>
      <c r="O1545" s="25">
        <f>ROUND(N1545*'Methodology &amp; Assumptions'!$B$7, 0)</f>
        <v/>
      </c>
      <c r="P1545" s="23" t="inlineStr">
        <is>
          <t>Single Carrier (Band n50, 100MHz TDD)</t>
        </is>
      </c>
      <c r="Q1545" s="27">
        <f>ROUNDUP(O1545/'Methodology &amp; Assumptions'!$B$8, 0)</f>
        <v/>
      </c>
      <c r="R1545" s="27" t="n">
        <v>1</v>
      </c>
      <c r="S1545" s="26" t="n">
        <v>3.05</v>
      </c>
      <c r="T1545" s="26" t="n">
        <v>0.61</v>
      </c>
      <c r="U1545" s="11">
        <f>IF(S1545&lt;='Methodology &amp; Assumptions'!$B$10, "Direct Optical Drop (&lt;3km)", IF(S1545&lt;='Methodology &amp; Assumptions'!$B$9, "Near Optical / Microwave (&lt;5km)", "Starlink Business LEO Satellite Backhaul (&gt;5km)"))</f>
        <v/>
      </c>
      <c r="V1545" s="26" t="n">
        <v>78.08</v>
      </c>
      <c r="W1545" s="26" t="n">
        <v>37.7</v>
      </c>
      <c r="X1545" s="26">
        <f>ROUND(('Methodology &amp; Assumptions'!$B$5*V1545) + ('Methodology &amp; Assumptions'!$B$6*W1545), 2)</f>
        <v/>
      </c>
      <c r="Y1545" s="28" t="n">
        <v>8.300000000000001</v>
      </c>
      <c r="Z1545" s="11" t="inlineStr">
        <is>
          <t>Priority Tier 3 (Broadband Expansion)</t>
        </is>
      </c>
    </row>
    <row r="1546">
      <c r="A1546" s="23" t="n">
        <v>5</v>
      </c>
      <c r="B1546" s="23" t="n">
        <v>542</v>
      </c>
      <c r="C1546" s="23" t="n">
        <v>4542</v>
      </c>
      <c r="D1546" s="23" t="inlineStr">
        <is>
          <t>0301420013</t>
        </is>
      </c>
      <c r="E1546" s="11" t="inlineStr">
        <is>
          <t>Region III (Central Luzon)</t>
        </is>
      </c>
      <c r="F1546" s="11" t="inlineStr">
        <is>
          <t>Bulacan</t>
        </is>
      </c>
      <c r="G1546" s="11" t="inlineStr">
        <is>
          <t>City of San Jose Del Monte</t>
        </is>
      </c>
      <c r="H1546" s="11" t="inlineStr">
        <is>
          <t>San Martin I</t>
        </is>
      </c>
      <c r="I1546" s="24" t="n">
        <v>14.862712</v>
      </c>
      <c r="J1546" s="24" t="n">
        <v>121.058592</v>
      </c>
      <c r="K1546" s="23" t="inlineStr">
        <is>
          <t>R</t>
        </is>
      </c>
      <c r="L1546" s="25" t="n">
        <v>4280</v>
      </c>
      <c r="M1546" s="26" t="n">
        <v>3.5</v>
      </c>
      <c r="N1546" s="25">
        <f>ROUND(L1546/M1546, 0)</f>
        <v/>
      </c>
      <c r="O1546" s="25">
        <f>ROUND(N1546*'Methodology &amp; Assumptions'!$B$7, 0)</f>
        <v/>
      </c>
      <c r="P1546" s="23" t="inlineStr">
        <is>
          <t>Single Carrier (Band n50, 100MHz TDD)</t>
        </is>
      </c>
      <c r="Q1546" s="27">
        <f>ROUNDUP(O1546/'Methodology &amp; Assumptions'!$B$8, 0)</f>
        <v/>
      </c>
      <c r="R1546" s="27" t="n">
        <v>1</v>
      </c>
      <c r="S1546" s="26" t="n">
        <v>2.89</v>
      </c>
      <c r="T1546" s="26" t="n">
        <v>3.99</v>
      </c>
      <c r="U1546" s="11">
        <f>IF(S1546&lt;='Methodology &amp; Assumptions'!$B$10, "Direct Optical Drop (&lt;3km)", IF(S1546&lt;='Methodology &amp; Assumptions'!$B$9, "Near Optical / Microwave (&lt;5km)", "Starlink Business LEO Satellite Backhaul (&gt;5km)"))</f>
        <v/>
      </c>
      <c r="V1546" s="26" t="n">
        <v>75.02</v>
      </c>
      <c r="W1546" s="26" t="n">
        <v>40.75</v>
      </c>
      <c r="X1546" s="26">
        <f>ROUND(('Methodology &amp; Assumptions'!$B$5*V1546) + ('Methodology &amp; Assumptions'!$B$6*W1546), 2)</f>
        <v/>
      </c>
      <c r="Y1546" s="28" t="n">
        <v>8.300000000000001</v>
      </c>
      <c r="Z1546" s="11" t="inlineStr">
        <is>
          <t>Priority Tier 3 (Broadband Expansion)</t>
        </is>
      </c>
    </row>
    <row r="1547">
      <c r="A1547" s="23" t="n">
        <v>5</v>
      </c>
      <c r="B1547" s="23" t="n">
        <v>543</v>
      </c>
      <c r="C1547" s="23" t="n">
        <v>4543</v>
      </c>
      <c r="D1547" s="23" t="inlineStr">
        <is>
          <t>0403426002</t>
        </is>
      </c>
      <c r="E1547" s="11" t="inlineStr">
        <is>
          <t>Region IV-A (CALABARZON)</t>
        </is>
      </c>
      <c r="F1547" s="11" t="inlineStr">
        <is>
          <t>Laguna</t>
        </is>
      </c>
      <c r="G1547" s="11" t="inlineStr">
        <is>
          <t>Santa Cruz</t>
        </is>
      </c>
      <c r="H1547" s="11" t="inlineStr">
        <is>
          <t>Bagumbayan</t>
        </is>
      </c>
      <c r="I1547" s="24" t="n">
        <v>14.267972</v>
      </c>
      <c r="J1547" s="24" t="n">
        <v>121.399268</v>
      </c>
      <c r="K1547" s="23" t="inlineStr">
        <is>
          <t>U</t>
        </is>
      </c>
      <c r="L1547" s="25" t="n">
        <v>14649</v>
      </c>
      <c r="M1547" s="26" t="n">
        <v>3.3</v>
      </c>
      <c r="N1547" s="25">
        <f>ROUND(L1547/M1547, 0)</f>
        <v/>
      </c>
      <c r="O1547" s="25">
        <f>ROUND(N1547*'Methodology &amp; Assumptions'!$B$7, 0)</f>
        <v/>
      </c>
      <c r="P1547" s="23" t="inlineStr">
        <is>
          <t>Single Carrier (Band n50, 100MHz TDD)</t>
        </is>
      </c>
      <c r="Q1547" s="27">
        <f>ROUNDUP(O1547/'Methodology &amp; Assumptions'!$B$8, 0)</f>
        <v/>
      </c>
      <c r="R1547" s="27" t="n">
        <v>1</v>
      </c>
      <c r="S1547" s="26" t="n">
        <v>1.94</v>
      </c>
      <c r="T1547" s="26" t="n">
        <v>0.73</v>
      </c>
      <c r="U1547" s="11">
        <f>IF(S1547&lt;='Methodology &amp; Assumptions'!$B$10, "Direct Optical Drop (&lt;3km)", IF(S1547&lt;='Methodology &amp; Assumptions'!$B$9, "Near Optical / Microwave (&lt;5km)", "Starlink Business LEO Satellite Backhaul (&gt;5km)"))</f>
        <v/>
      </c>
      <c r="V1547" s="26" t="n">
        <v>74.23999999999999</v>
      </c>
      <c r="W1547" s="26" t="n">
        <v>41.55</v>
      </c>
      <c r="X1547" s="26">
        <f>ROUND(('Methodology &amp; Assumptions'!$B$5*V1547) + ('Methodology &amp; Assumptions'!$B$6*W1547), 2)</f>
        <v/>
      </c>
      <c r="Y1547" s="28" t="n">
        <v>7.2</v>
      </c>
      <c r="Z1547" s="11" t="inlineStr">
        <is>
          <t>Priority Tier 3 (Broadband Expansion)</t>
        </is>
      </c>
    </row>
    <row r="1548">
      <c r="A1548" s="23" t="n">
        <v>5</v>
      </c>
      <c r="B1548" s="23" t="n">
        <v>544</v>
      </c>
      <c r="C1548" s="23" t="n">
        <v>4544</v>
      </c>
      <c r="D1548" s="23" t="inlineStr">
        <is>
          <t>1380601139</t>
        </is>
      </c>
      <c r="E1548" s="11" t="inlineStr">
        <is>
          <t>National Capital Region (NCR)</t>
        </is>
      </c>
      <c r="F1548" s="11" t="inlineStr">
        <is>
          <t>First District (Not a Province)</t>
        </is>
      </c>
      <c r="G1548" s="11" t="inlineStr">
        <is>
          <t>City of Manila</t>
        </is>
      </c>
      <c r="H1548" s="11" t="inlineStr">
        <is>
          <t>Barangay 139</t>
        </is>
      </c>
      <c r="I1548" s="24" t="n">
        <v>14.630936</v>
      </c>
      <c r="J1548" s="24" t="n">
        <v>120.968238</v>
      </c>
      <c r="K1548" s="23" t="inlineStr">
        <is>
          <t>U</t>
        </is>
      </c>
      <c r="L1548" s="25" t="n">
        <v>440</v>
      </c>
      <c r="M1548" s="26" t="n">
        <v>3.67</v>
      </c>
      <c r="N1548" s="25">
        <f>ROUND(L1548/M1548, 0)</f>
        <v/>
      </c>
      <c r="O1548" s="25">
        <f>ROUND(N1548*'Methodology &amp; Assumptions'!$B$7, 0)</f>
        <v/>
      </c>
      <c r="P1548" s="23" t="inlineStr">
        <is>
          <t>Single Carrier (Band n50, 100MHz TDD)</t>
        </is>
      </c>
      <c r="Q1548" s="27">
        <f>ROUNDUP(O1548/'Methodology &amp; Assumptions'!$B$8, 0)</f>
        <v/>
      </c>
      <c r="R1548" s="27" t="n">
        <v>1</v>
      </c>
      <c r="S1548" s="26" t="n">
        <v>0.71</v>
      </c>
      <c r="T1548" s="26" t="n">
        <v>0.48</v>
      </c>
      <c r="U1548" s="11">
        <f>IF(S1548&lt;='Methodology &amp; Assumptions'!$B$10, "Direct Optical Drop (&lt;3km)", IF(S1548&lt;='Methodology &amp; Assumptions'!$B$9, "Near Optical / Microwave (&lt;5km)", "Starlink Business LEO Satellite Backhaul (&gt;5km)"))</f>
        <v/>
      </c>
      <c r="V1548" s="26" t="n">
        <v>44.95</v>
      </c>
      <c r="W1548" s="26" t="n">
        <v>70.84</v>
      </c>
      <c r="X1548" s="26">
        <f>ROUND(('Methodology &amp; Assumptions'!$B$5*V1548) + ('Methodology &amp; Assumptions'!$B$6*W1548), 2)</f>
        <v/>
      </c>
      <c r="Y1548" s="28" t="n">
        <v>10.9</v>
      </c>
      <c r="Z1548" s="11" t="inlineStr">
        <is>
          <t>Priority Tier 3 (Broadband Expansion)</t>
        </is>
      </c>
    </row>
    <row r="1549">
      <c r="A1549" s="23" t="n">
        <v>5</v>
      </c>
      <c r="B1549" s="23" t="n">
        <v>545</v>
      </c>
      <c r="C1549" s="23" t="n">
        <v>4545</v>
      </c>
      <c r="D1549" s="23" t="inlineStr">
        <is>
          <t>1108202035</t>
        </is>
      </c>
      <c r="E1549" s="11" t="inlineStr">
        <is>
          <t>Region XI (Davao Region)</t>
        </is>
      </c>
      <c r="F1549" s="11" t="inlineStr">
        <is>
          <t>Davao de Oro</t>
        </is>
      </c>
      <c r="G1549" s="11" t="inlineStr">
        <is>
          <t>Laak</t>
        </is>
      </c>
      <c r="H1549" s="11" t="inlineStr">
        <is>
          <t>New Bethlehem</t>
        </is>
      </c>
      <c r="I1549" s="24" t="n">
        <v>7.877119</v>
      </c>
      <c r="J1549" s="24" t="n">
        <v>125.784354</v>
      </c>
      <c r="K1549" s="23" t="inlineStr">
        <is>
          <t>R</t>
        </is>
      </c>
      <c r="L1549" s="25" t="n">
        <v>787</v>
      </c>
      <c r="M1549" s="26" t="n">
        <v>3.7</v>
      </c>
      <c r="N1549" s="25">
        <f>ROUND(L1549/M1549, 0)</f>
        <v/>
      </c>
      <c r="O1549" s="25">
        <f>ROUND(N1549*'Methodology &amp; Assumptions'!$B$7, 0)</f>
        <v/>
      </c>
      <c r="P1549" s="23" t="inlineStr">
        <is>
          <t>Single Carrier (Band n50, 100MHz TDD)</t>
        </is>
      </c>
      <c r="Q1549" s="27">
        <f>ROUNDUP(O1549/'Methodology &amp; Assumptions'!$B$8, 0)</f>
        <v/>
      </c>
      <c r="R1549" s="27" t="n">
        <v>1</v>
      </c>
      <c r="S1549" s="26" t="n">
        <v>30.45</v>
      </c>
      <c r="T1549" s="26" t="n">
        <v>27.96</v>
      </c>
      <c r="U1549" s="11">
        <f>IF(S1549&lt;='Methodology &amp; Assumptions'!$B$10, "Direct Optical Drop (&lt;3km)", IF(S1549&lt;='Methodology &amp; Assumptions'!$B$9, "Near Optical / Microwave (&lt;5km)", "Starlink Business LEO Satellite Backhaul (&gt;5km)"))</f>
        <v/>
      </c>
      <c r="V1549" s="26" t="n">
        <v>41.88</v>
      </c>
      <c r="W1549" s="26" t="n">
        <v>73.89</v>
      </c>
      <c r="X1549" s="26">
        <f>ROUND(('Methodology &amp; Assumptions'!$B$5*V1549) + ('Methodology &amp; Assumptions'!$B$6*W1549), 2)</f>
        <v/>
      </c>
      <c r="Y1549" s="28" t="n">
        <v>17.4</v>
      </c>
      <c r="Z1549" s="11" t="inlineStr">
        <is>
          <t>Priority Tier 3 (Broadband Expansion)</t>
        </is>
      </c>
    </row>
    <row r="1550">
      <c r="A1550" s="23" t="n">
        <v>5</v>
      </c>
      <c r="B1550" s="23" t="n">
        <v>546</v>
      </c>
      <c r="C1550" s="23" t="n">
        <v>4546</v>
      </c>
      <c r="D1550" s="23" t="inlineStr">
        <is>
          <t>0603006024</t>
        </is>
      </c>
      <c r="E1550" s="11" t="inlineStr">
        <is>
          <t>Region VI (Western Visayas)</t>
        </is>
      </c>
      <c r="F1550" s="11" t="inlineStr">
        <is>
          <t>Iloilo</t>
        </is>
      </c>
      <c r="G1550" s="11" t="inlineStr">
        <is>
          <t>Banate</t>
        </is>
      </c>
      <c r="H1550" s="11" t="inlineStr">
        <is>
          <t>Merced</t>
        </is>
      </c>
      <c r="I1550" s="24" t="n">
        <v>11.000997</v>
      </c>
      <c r="J1550" s="24" t="n">
        <v>122.815498</v>
      </c>
      <c r="K1550" s="23" t="inlineStr">
        <is>
          <t>R</t>
        </is>
      </c>
      <c r="L1550" s="25" t="n">
        <v>2686</v>
      </c>
      <c r="M1550" s="26" t="n">
        <v>3.8</v>
      </c>
      <c r="N1550" s="25">
        <f>ROUND(L1550/M1550, 0)</f>
        <v/>
      </c>
      <c r="O1550" s="25">
        <f>ROUND(N1550*'Methodology &amp; Assumptions'!$B$7, 0)</f>
        <v/>
      </c>
      <c r="P1550" s="23" t="inlineStr">
        <is>
          <t>Single Carrier (Band n50, 100MHz TDD)</t>
        </is>
      </c>
      <c r="Q1550" s="27">
        <f>ROUNDUP(O1550/'Methodology &amp; Assumptions'!$B$8, 0)</f>
        <v/>
      </c>
      <c r="R1550" s="27" t="n">
        <v>1</v>
      </c>
      <c r="S1550" s="26" t="n">
        <v>0.06</v>
      </c>
      <c r="T1550" s="26" t="n">
        <v>0.06</v>
      </c>
      <c r="U1550" s="11">
        <f>IF(S1550&lt;='Methodology &amp; Assumptions'!$B$10, "Direct Optical Drop (&lt;3km)", IF(S1550&lt;='Methodology &amp; Assumptions'!$B$9, "Near Optical / Microwave (&lt;5km)", "Starlink Business LEO Satellite Backhaul (&gt;5km)"))</f>
        <v/>
      </c>
      <c r="V1550" s="26" t="n">
        <v>82.95</v>
      </c>
      <c r="W1550" s="26" t="n">
        <v>32.81</v>
      </c>
      <c r="X1550" s="26">
        <f>ROUND(('Methodology &amp; Assumptions'!$B$5*V1550) + ('Methodology &amp; Assumptions'!$B$6*W1550), 2)</f>
        <v/>
      </c>
      <c r="Y1550" s="28" t="n">
        <v>23.7</v>
      </c>
      <c r="Z1550" s="11" t="inlineStr">
        <is>
          <t>Priority Tier 3 (Broadband Expansion)</t>
        </is>
      </c>
    </row>
    <row r="1551">
      <c r="A1551" s="23" t="n">
        <v>5</v>
      </c>
      <c r="B1551" s="23" t="n">
        <v>547</v>
      </c>
      <c r="C1551" s="23" t="n">
        <v>4547</v>
      </c>
      <c r="D1551" s="23" t="inlineStr">
        <is>
          <t>0307113024</t>
        </is>
      </c>
      <c r="E1551" s="11" t="inlineStr">
        <is>
          <t>Region III (Central Luzon)</t>
        </is>
      </c>
      <c r="F1551" s="11" t="inlineStr">
        <is>
          <t>Zambales</t>
        </is>
      </c>
      <c r="G1551" s="11" t="inlineStr">
        <is>
          <t>Santa Cruz</t>
        </is>
      </c>
      <c r="H1551" s="11" t="inlineStr">
        <is>
          <t>Poblacion South</t>
        </is>
      </c>
      <c r="I1551" s="24" t="n">
        <v>15.760153</v>
      </c>
      <c r="J1551" s="24" t="n">
        <v>119.91066</v>
      </c>
      <c r="K1551" s="23" t="inlineStr">
        <is>
          <t>U</t>
        </is>
      </c>
      <c r="L1551" s="25" t="n">
        <v>3885</v>
      </c>
      <c r="M1551" s="26" t="n">
        <v>3.8</v>
      </c>
      <c r="N1551" s="25">
        <f>ROUND(L1551/M1551, 0)</f>
        <v/>
      </c>
      <c r="O1551" s="25">
        <f>ROUND(N1551*'Methodology &amp; Assumptions'!$B$7, 0)</f>
        <v/>
      </c>
      <c r="P1551" s="23" t="inlineStr">
        <is>
          <t>Single Carrier (Band n50, 100MHz TDD)</t>
        </is>
      </c>
      <c r="Q1551" s="27">
        <f>ROUNDUP(O1551/'Methodology &amp; Assumptions'!$B$8, 0)</f>
        <v/>
      </c>
      <c r="R1551" s="27" t="n">
        <v>1</v>
      </c>
      <c r="S1551" s="26" t="n">
        <v>0.86</v>
      </c>
      <c r="T1551" s="26" t="n">
        <v>0.2</v>
      </c>
      <c r="U1551" s="11">
        <f>IF(S1551&lt;='Methodology &amp; Assumptions'!$B$10, "Direct Optical Drop (&lt;3km)", IF(S1551&lt;='Methodology &amp; Assumptions'!$B$9, "Near Optical / Microwave (&lt;5km)", "Starlink Business LEO Satellite Backhaul (&gt;5km)"))</f>
        <v/>
      </c>
      <c r="V1551" s="26" t="n">
        <v>78.37</v>
      </c>
      <c r="W1551" s="26" t="n">
        <v>37.4</v>
      </c>
      <c r="X1551" s="26">
        <f>ROUND(('Methodology &amp; Assumptions'!$B$5*V1551) + ('Methodology &amp; Assumptions'!$B$6*W1551), 2)</f>
        <v/>
      </c>
      <c r="Y1551" s="28" t="n">
        <v>8.300000000000001</v>
      </c>
      <c r="Z1551" s="11" t="inlineStr">
        <is>
          <t>Priority Tier 3 (Broadband Expansion)</t>
        </is>
      </c>
    </row>
    <row r="1552">
      <c r="A1552" s="23" t="n">
        <v>5</v>
      </c>
      <c r="B1552" s="23" t="n">
        <v>548</v>
      </c>
      <c r="C1552" s="23" t="n">
        <v>4548</v>
      </c>
      <c r="D1552" s="23" t="inlineStr">
        <is>
          <t>0305408034</t>
        </is>
      </c>
      <c r="E1552" s="11" t="inlineStr">
        <is>
          <t>Region III (Central Luzon)</t>
        </is>
      </c>
      <c r="F1552" s="11" t="inlineStr">
        <is>
          <t>Pampanga</t>
        </is>
      </c>
      <c r="G1552" s="11" t="inlineStr">
        <is>
          <t>Lubao</t>
        </is>
      </c>
      <c r="H1552" s="11" t="inlineStr">
        <is>
          <t>Santa Cruz</t>
        </is>
      </c>
      <c r="I1552" s="24" t="n">
        <v>14.910794</v>
      </c>
      <c r="J1552" s="24" t="n">
        <v>120.565398</v>
      </c>
      <c r="K1552" s="23" t="inlineStr">
        <is>
          <t>U</t>
        </is>
      </c>
      <c r="L1552" s="25" t="n">
        <v>18780</v>
      </c>
      <c r="M1552" s="26" t="n">
        <v>4</v>
      </c>
      <c r="N1552" s="25">
        <f>ROUND(L1552/M1552, 0)</f>
        <v/>
      </c>
      <c r="O1552" s="25">
        <f>ROUND(N1552*'Methodology &amp; Assumptions'!$B$7, 0)</f>
        <v/>
      </c>
      <c r="P1552" s="23" t="inlineStr">
        <is>
          <t>Single Carrier (Band n50, 100MHz TDD)</t>
        </is>
      </c>
      <c r="Q1552" s="27">
        <f>ROUNDUP(O1552/'Methodology &amp; Assumptions'!$B$8, 0)</f>
        <v/>
      </c>
      <c r="R1552" s="27" t="n">
        <v>1</v>
      </c>
      <c r="S1552" s="26" t="n">
        <v>1.24</v>
      </c>
      <c r="T1552" s="26" t="n">
        <v>0.22</v>
      </c>
      <c r="U1552" s="11">
        <f>IF(S1552&lt;='Methodology &amp; Assumptions'!$B$10, "Direct Optical Drop (&lt;3km)", IF(S1552&lt;='Methodology &amp; Assumptions'!$B$9, "Near Optical / Microwave (&lt;5km)", "Starlink Business LEO Satellite Backhaul (&gt;5km)"))</f>
        <v/>
      </c>
      <c r="V1552" s="26" t="n">
        <v>76.90000000000001</v>
      </c>
      <c r="W1552" s="26" t="n">
        <v>38.86</v>
      </c>
      <c r="X1552" s="26">
        <f>ROUND(('Methodology &amp; Assumptions'!$B$5*V1552) + ('Methodology &amp; Assumptions'!$B$6*W1552), 2)</f>
        <v/>
      </c>
      <c r="Y1552" s="28" t="n">
        <v>8.300000000000001</v>
      </c>
      <c r="Z1552" s="11" t="inlineStr">
        <is>
          <t>Priority Tier 3 (Broadband Expansion)</t>
        </is>
      </c>
    </row>
    <row r="1553">
      <c r="A1553" s="23" t="n">
        <v>5</v>
      </c>
      <c r="B1553" s="23" t="n">
        <v>549</v>
      </c>
      <c r="C1553" s="23" t="n">
        <v>4549</v>
      </c>
      <c r="D1553" s="23" t="inlineStr">
        <is>
          <t>0405812011</t>
        </is>
      </c>
      <c r="E1553" s="11" t="inlineStr">
        <is>
          <t>Region IV-A (CALABARZON)</t>
        </is>
      </c>
      <c r="F1553" s="11" t="inlineStr">
        <is>
          <t>Rizal</t>
        </is>
      </c>
      <c r="G1553" s="11" t="inlineStr">
        <is>
          <t>Tanay</t>
        </is>
      </c>
      <c r="H1553" s="11" t="inlineStr">
        <is>
          <t>Plaza Aldea</t>
        </is>
      </c>
      <c r="I1553" s="24" t="n">
        <v>14.50893</v>
      </c>
      <c r="J1553" s="24" t="n">
        <v>121.30105</v>
      </c>
      <c r="K1553" s="23" t="inlineStr">
        <is>
          <t>U</t>
        </is>
      </c>
      <c r="L1553" s="25" t="n">
        <v>28872</v>
      </c>
      <c r="M1553" s="26" t="n">
        <v>3.6</v>
      </c>
      <c r="N1553" s="25">
        <f>ROUND(L1553/M1553, 0)</f>
        <v/>
      </c>
      <c r="O1553" s="25">
        <f>ROUND(N1553*'Methodology &amp; Assumptions'!$B$7, 0)</f>
        <v/>
      </c>
      <c r="P1553" s="23" t="inlineStr">
        <is>
          <t>Single Carrier (Band n50, 100MHz TDD)</t>
        </is>
      </c>
      <c r="Q1553" s="27">
        <f>ROUNDUP(O1553/'Methodology &amp; Assumptions'!$B$8, 0)</f>
        <v/>
      </c>
      <c r="R1553" s="27" t="n">
        <v>1</v>
      </c>
      <c r="S1553" s="26" t="n">
        <v>1.4</v>
      </c>
      <c r="T1553" s="26" t="n">
        <v>1.92</v>
      </c>
      <c r="U1553" s="11">
        <f>IF(S1553&lt;='Methodology &amp; Assumptions'!$B$10, "Direct Optical Drop (&lt;3km)", IF(S1553&lt;='Methodology &amp; Assumptions'!$B$9, "Near Optical / Microwave (&lt;5km)", "Starlink Business LEO Satellite Backhaul (&gt;5km)"))</f>
        <v/>
      </c>
      <c r="V1553" s="26" t="n">
        <v>75.94</v>
      </c>
      <c r="W1553" s="26" t="n">
        <v>39.82</v>
      </c>
      <c r="X1553" s="26">
        <f>ROUND(('Methodology &amp; Assumptions'!$B$5*V1553) + ('Methodology &amp; Assumptions'!$B$6*W1553), 2)</f>
        <v/>
      </c>
      <c r="Y1553" s="28" t="n">
        <v>7.2</v>
      </c>
      <c r="Z1553" s="11" t="inlineStr">
        <is>
          <t>Priority Tier 3 (Broadband Expansion)</t>
        </is>
      </c>
    </row>
    <row r="1554">
      <c r="A1554" s="23" t="n">
        <v>5</v>
      </c>
      <c r="B1554" s="23" t="n">
        <v>550</v>
      </c>
      <c r="C1554" s="23" t="n">
        <v>4550</v>
      </c>
      <c r="D1554" s="23" t="inlineStr">
        <is>
          <t>0301405013</t>
        </is>
      </c>
      <c r="E1554" s="11" t="inlineStr">
        <is>
          <t>Region III (Central Luzon)</t>
        </is>
      </c>
      <c r="F1554" s="11" t="inlineStr">
        <is>
          <t>Bulacan</t>
        </is>
      </c>
      <c r="G1554" s="11" t="inlineStr">
        <is>
          <t>Bulacan</t>
        </is>
      </c>
      <c r="H1554" s="11" t="inlineStr">
        <is>
          <t>Santa Ana</t>
        </is>
      </c>
      <c r="I1554" s="24" t="n">
        <v>14.787084</v>
      </c>
      <c r="J1554" s="24" t="n">
        <v>120.882494</v>
      </c>
      <c r="K1554" s="23" t="inlineStr">
        <is>
          <t>U</t>
        </is>
      </c>
      <c r="L1554" s="25" t="n">
        <v>8360</v>
      </c>
      <c r="M1554" s="26" t="n">
        <v>3.5</v>
      </c>
      <c r="N1554" s="25">
        <f>ROUND(L1554/M1554, 0)</f>
        <v/>
      </c>
      <c r="O1554" s="25">
        <f>ROUND(N1554*'Methodology &amp; Assumptions'!$B$7, 0)</f>
        <v/>
      </c>
      <c r="P1554" s="23" t="inlineStr">
        <is>
          <t>Single Carrier (Band n50, 100MHz TDD)</t>
        </is>
      </c>
      <c r="Q1554" s="27">
        <f>ROUNDUP(O1554/'Methodology &amp; Assumptions'!$B$8, 0)</f>
        <v/>
      </c>
      <c r="R1554" s="27" t="n">
        <v>1</v>
      </c>
      <c r="S1554" s="26" t="n">
        <v>1.11</v>
      </c>
      <c r="T1554" s="26" t="n">
        <v>4.28</v>
      </c>
      <c r="U1554" s="11">
        <f>IF(S1554&lt;='Methodology &amp; Assumptions'!$B$10, "Direct Optical Drop (&lt;3km)", IF(S1554&lt;='Methodology &amp; Assumptions'!$B$9, "Near Optical / Microwave (&lt;5km)", "Starlink Business LEO Satellite Backhaul (&gt;5km)"))</f>
        <v/>
      </c>
      <c r="V1554" s="26" t="n">
        <v>73.89</v>
      </c>
      <c r="W1554" s="26" t="n">
        <v>41.87</v>
      </c>
      <c r="X1554" s="26">
        <f>ROUND(('Methodology &amp; Assumptions'!$B$5*V1554) + ('Methodology &amp; Assumptions'!$B$6*W1554), 2)</f>
        <v/>
      </c>
      <c r="Y1554" s="28" t="n">
        <v>8.300000000000001</v>
      </c>
      <c r="Z1554" s="11" t="inlineStr">
        <is>
          <t>Priority Tier 3 (Broadband Expansion)</t>
        </is>
      </c>
    </row>
    <row r="1555">
      <c r="A1555" s="23" t="n">
        <v>5</v>
      </c>
      <c r="B1555" s="23" t="n">
        <v>551</v>
      </c>
      <c r="C1555" s="23" t="n">
        <v>4551</v>
      </c>
      <c r="D1555" s="23" t="inlineStr">
        <is>
          <t>0301423022</t>
        </is>
      </c>
      <c r="E1555" s="11" t="inlineStr">
        <is>
          <t>Region III (Central Luzon)</t>
        </is>
      </c>
      <c r="F1555" s="11" t="inlineStr">
        <is>
          <t>Bulacan</t>
        </is>
      </c>
      <c r="G1555" s="11" t="inlineStr">
        <is>
          <t>Santa Maria</t>
        </is>
      </c>
      <c r="H1555" s="11" t="inlineStr">
        <is>
          <t>Sta. Cruz</t>
        </is>
      </c>
      <c r="I1555" s="24" t="n">
        <v>14.837397</v>
      </c>
      <c r="J1555" s="24" t="n">
        <v>120.956478</v>
      </c>
      <c r="K1555" s="23" t="inlineStr">
        <is>
          <t>U</t>
        </is>
      </c>
      <c r="L1555" s="25" t="n">
        <v>11878</v>
      </c>
      <c r="M1555" s="26" t="n">
        <v>3.5</v>
      </c>
      <c r="N1555" s="25">
        <f>ROUND(L1555/M1555, 0)</f>
        <v/>
      </c>
      <c r="O1555" s="25">
        <f>ROUND(N1555*'Methodology &amp; Assumptions'!$B$7, 0)</f>
        <v/>
      </c>
      <c r="P1555" s="23" t="inlineStr">
        <is>
          <t>Single Carrier (Band n50, 100MHz TDD)</t>
        </is>
      </c>
      <c r="Q1555" s="27">
        <f>ROUNDUP(O1555/'Methodology &amp; Assumptions'!$B$8, 0)</f>
        <v/>
      </c>
      <c r="R1555" s="27" t="n">
        <v>1</v>
      </c>
      <c r="S1555" s="26" t="n">
        <v>2.12</v>
      </c>
      <c r="T1555" s="26" t="n">
        <v>0.08</v>
      </c>
      <c r="U1555" s="11">
        <f>IF(S1555&lt;='Methodology &amp; Assumptions'!$B$10, "Direct Optical Drop (&lt;3km)", IF(S1555&lt;='Methodology &amp; Assumptions'!$B$9, "Near Optical / Microwave (&lt;5km)", "Starlink Business LEO Satellite Backhaul (&gt;5km)"))</f>
        <v/>
      </c>
      <c r="V1555" s="26" t="n">
        <v>73.77</v>
      </c>
      <c r="W1555" s="26" t="n">
        <v>41.99</v>
      </c>
      <c r="X1555" s="26">
        <f>ROUND(('Methodology &amp; Assumptions'!$B$5*V1555) + ('Methodology &amp; Assumptions'!$B$6*W1555), 2)</f>
        <v/>
      </c>
      <c r="Y1555" s="28" t="n">
        <v>8.300000000000001</v>
      </c>
      <c r="Z1555" s="11" t="inlineStr">
        <is>
          <t>Priority Tier 3 (Broadband Expansion)</t>
        </is>
      </c>
    </row>
    <row r="1556">
      <c r="A1556" s="23" t="n">
        <v>5</v>
      </c>
      <c r="B1556" s="23" t="n">
        <v>552</v>
      </c>
      <c r="C1556" s="23" t="n">
        <v>4552</v>
      </c>
      <c r="D1556" s="23" t="inlineStr">
        <is>
          <t>0405647031</t>
        </is>
      </c>
      <c r="E1556" s="11" t="inlineStr">
        <is>
          <t>Region IV-A (CALABARZON)</t>
        </is>
      </c>
      <c r="F1556" s="11" t="inlineStr">
        <is>
          <t>Quezon</t>
        </is>
      </c>
      <c r="G1556" s="11" t="inlineStr">
        <is>
          <t>City of Tayabas</t>
        </is>
      </c>
      <c r="H1556" s="11" t="inlineStr">
        <is>
          <t>Isabang</t>
        </is>
      </c>
      <c r="I1556" s="24" t="n">
        <v>13.963006</v>
      </c>
      <c r="J1556" s="24" t="n">
        <v>121.56533</v>
      </c>
      <c r="K1556" s="23" t="inlineStr">
        <is>
          <t>U</t>
        </is>
      </c>
      <c r="L1556" s="25" t="n">
        <v>12686</v>
      </c>
      <c r="M1556" s="26" t="n">
        <v>3.8</v>
      </c>
      <c r="N1556" s="25">
        <f>ROUND(L1556/M1556, 0)</f>
        <v/>
      </c>
      <c r="O1556" s="25">
        <f>ROUND(N1556*'Methodology &amp; Assumptions'!$B$7, 0)</f>
        <v/>
      </c>
      <c r="P1556" s="23" t="inlineStr">
        <is>
          <t>Single Carrier (Band n50, 100MHz TDD)</t>
        </is>
      </c>
      <c r="Q1556" s="27">
        <f>ROUNDUP(O1556/'Methodology &amp; Assumptions'!$B$8, 0)</f>
        <v/>
      </c>
      <c r="R1556" s="27" t="n">
        <v>1</v>
      </c>
      <c r="S1556" s="26" t="n">
        <v>2.21</v>
      </c>
      <c r="T1556" s="26" t="n">
        <v>0.12</v>
      </c>
      <c r="U1556" s="11">
        <f>IF(S1556&lt;='Methodology &amp; Assumptions'!$B$10, "Direct Optical Drop (&lt;3km)", IF(S1556&lt;='Methodology &amp; Assumptions'!$B$9, "Near Optical / Microwave (&lt;5km)", "Starlink Business LEO Satellite Backhaul (&gt;5km)"))</f>
        <v/>
      </c>
      <c r="V1556" s="26" t="n">
        <v>73.33</v>
      </c>
      <c r="W1556" s="26" t="n">
        <v>42.44</v>
      </c>
      <c r="X1556" s="26">
        <f>ROUND(('Methodology &amp; Assumptions'!$B$5*V1556) + ('Methodology &amp; Assumptions'!$B$6*W1556), 2)</f>
        <v/>
      </c>
      <c r="Y1556" s="28" t="n">
        <v>7.2</v>
      </c>
      <c r="Z1556" s="11" t="inlineStr">
        <is>
          <t>Priority Tier 3 (Broadband Expansion)</t>
        </is>
      </c>
    </row>
    <row r="1557">
      <c r="A1557" s="23" t="n">
        <v>5</v>
      </c>
      <c r="B1557" s="23" t="n">
        <v>553</v>
      </c>
      <c r="C1557" s="23" t="n">
        <v>4553</v>
      </c>
      <c r="D1557" s="23" t="inlineStr">
        <is>
          <t>0403420012</t>
        </is>
      </c>
      <c r="E1557" s="11" t="inlineStr">
        <is>
          <t>Region IV-A (CALABARZON)</t>
        </is>
      </c>
      <c r="F1557" s="11" t="inlineStr">
        <is>
          <t>Laguna</t>
        </is>
      </c>
      <c r="G1557" s="11" t="inlineStr">
        <is>
          <t>Pakil</t>
        </is>
      </c>
      <c r="H1557" s="11" t="inlineStr">
        <is>
          <t>Taft</t>
        </is>
      </c>
      <c r="I1557" s="24" t="n">
        <v>14.377778</v>
      </c>
      <c r="J1557" s="24" t="n">
        <v>121.479451</v>
      </c>
      <c r="K1557" s="23" t="inlineStr">
        <is>
          <t>R</t>
        </is>
      </c>
      <c r="L1557" s="25" t="n">
        <v>1425</v>
      </c>
      <c r="M1557" s="26" t="n">
        <v>3.3</v>
      </c>
      <c r="N1557" s="25">
        <f>ROUND(L1557/M1557, 0)</f>
        <v/>
      </c>
      <c r="O1557" s="25">
        <f>ROUND(N1557*'Methodology &amp; Assumptions'!$B$7, 0)</f>
        <v/>
      </c>
      <c r="P1557" s="23" t="inlineStr">
        <is>
          <t>Single Carrier (Band n50, 100MHz TDD)</t>
        </is>
      </c>
      <c r="Q1557" s="27">
        <f>ROUNDUP(O1557/'Methodology &amp; Assumptions'!$B$8, 0)</f>
        <v/>
      </c>
      <c r="R1557" s="27" t="n">
        <v>1</v>
      </c>
      <c r="S1557" s="26" t="n">
        <v>0.29</v>
      </c>
      <c r="T1557" s="26" t="n">
        <v>0.31</v>
      </c>
      <c r="U1557" s="11">
        <f>IF(S1557&lt;='Methodology &amp; Assumptions'!$B$10, "Direct Optical Drop (&lt;3km)", IF(S1557&lt;='Methodology &amp; Assumptions'!$B$9, "Near Optical / Microwave (&lt;5km)", "Starlink Business LEO Satellite Backhaul (&gt;5km)"))</f>
        <v/>
      </c>
      <c r="V1557" s="26" t="n">
        <v>73</v>
      </c>
      <c r="W1557" s="26" t="n">
        <v>42.77</v>
      </c>
      <c r="X1557" s="26">
        <f>ROUND(('Methodology &amp; Assumptions'!$B$5*V1557) + ('Methodology &amp; Assumptions'!$B$6*W1557), 2)</f>
        <v/>
      </c>
      <c r="Y1557" s="28" t="n">
        <v>7.2</v>
      </c>
      <c r="Z1557" s="11" t="inlineStr">
        <is>
          <t>Priority Tier 3 (Broadband Expansion)</t>
        </is>
      </c>
    </row>
    <row r="1558">
      <c r="A1558" s="23" t="n">
        <v>5</v>
      </c>
      <c r="B1558" s="23" t="n">
        <v>554</v>
      </c>
      <c r="C1558" s="23" t="n">
        <v>4554</v>
      </c>
      <c r="D1558" s="23" t="inlineStr">
        <is>
          <t>0401018016</t>
        </is>
      </c>
      <c r="E1558" s="11" t="inlineStr">
        <is>
          <t>Region IV-A (CALABARZON)</t>
        </is>
      </c>
      <c r="F1558" s="11" t="inlineStr">
        <is>
          <t>Batangas</t>
        </is>
      </c>
      <c r="G1558" s="11" t="inlineStr">
        <is>
          <t>Mataasnakahoy</t>
        </is>
      </c>
      <c r="H1558" s="11" t="inlineStr">
        <is>
          <t>Santol</t>
        </is>
      </c>
      <c r="I1558" s="24" t="n">
        <v>13.969127</v>
      </c>
      <c r="J1558" s="24" t="n">
        <v>121.109457</v>
      </c>
      <c r="K1558" s="23" t="inlineStr">
        <is>
          <t>R</t>
        </is>
      </c>
      <c r="L1558" s="25" t="n">
        <v>2166</v>
      </c>
      <c r="M1558" s="26" t="n">
        <v>3.6</v>
      </c>
      <c r="N1558" s="25">
        <f>ROUND(L1558/M1558, 0)</f>
        <v/>
      </c>
      <c r="O1558" s="25">
        <f>ROUND(N1558*'Methodology &amp; Assumptions'!$B$7, 0)</f>
        <v/>
      </c>
      <c r="P1558" s="23" t="inlineStr">
        <is>
          <t>Single Carrier (Band n50, 100MHz TDD)</t>
        </is>
      </c>
      <c r="Q1558" s="27">
        <f>ROUNDUP(O1558/'Methodology &amp; Assumptions'!$B$8, 0)</f>
        <v/>
      </c>
      <c r="R1558" s="27" t="n">
        <v>1</v>
      </c>
      <c r="S1558" s="26" t="n">
        <v>1.47</v>
      </c>
      <c r="T1558" s="26" t="n">
        <v>3.46</v>
      </c>
      <c r="U1558" s="11">
        <f>IF(S1558&lt;='Methodology &amp; Assumptions'!$B$10, "Direct Optical Drop (&lt;3km)", IF(S1558&lt;='Methodology &amp; Assumptions'!$B$9, "Near Optical / Microwave (&lt;5km)", "Starlink Business LEO Satellite Backhaul (&gt;5km)"))</f>
        <v/>
      </c>
      <c r="V1558" s="26" t="n">
        <v>72.68000000000001</v>
      </c>
      <c r="W1558" s="26" t="n">
        <v>43.08</v>
      </c>
      <c r="X1558" s="26">
        <f>ROUND(('Methodology &amp; Assumptions'!$B$5*V1558) + ('Methodology &amp; Assumptions'!$B$6*W1558), 2)</f>
        <v/>
      </c>
      <c r="Y1558" s="28" t="n">
        <v>7.2</v>
      </c>
      <c r="Z1558" s="11" t="inlineStr">
        <is>
          <t>Priority Tier 3 (Broadband Expansion)</t>
        </is>
      </c>
    </row>
    <row r="1559">
      <c r="A1559" s="23" t="n">
        <v>5</v>
      </c>
      <c r="B1559" s="23" t="n">
        <v>555</v>
      </c>
      <c r="C1559" s="23" t="n">
        <v>4555</v>
      </c>
      <c r="D1559" s="23" t="inlineStr">
        <is>
          <t>0305411013</t>
        </is>
      </c>
      <c r="E1559" s="11" t="inlineStr">
        <is>
          <t>Region III (Central Luzon)</t>
        </is>
      </c>
      <c r="F1559" s="11" t="inlineStr">
        <is>
          <t>Pampanga</t>
        </is>
      </c>
      <c r="G1559" s="11" t="inlineStr">
        <is>
          <t>Magalang</t>
        </is>
      </c>
      <c r="H1559" s="11" t="inlineStr">
        <is>
          <t>San Nicolas 1st</t>
        </is>
      </c>
      <c r="I1559" s="24" t="n">
        <v>15.218077</v>
      </c>
      <c r="J1559" s="24" t="n">
        <v>120.661466</v>
      </c>
      <c r="K1559" s="23" t="inlineStr">
        <is>
          <t>U</t>
        </is>
      </c>
      <c r="L1559" s="25" t="n">
        <v>3794</v>
      </c>
      <c r="M1559" s="26" t="n">
        <v>4</v>
      </c>
      <c r="N1559" s="25">
        <f>ROUND(L1559/M1559, 0)</f>
        <v/>
      </c>
      <c r="O1559" s="25">
        <f>ROUND(N1559*'Methodology &amp; Assumptions'!$B$7, 0)</f>
        <v/>
      </c>
      <c r="P1559" s="23" t="inlineStr">
        <is>
          <t>Single Carrier (Band n50, 100MHz TDD)</t>
        </is>
      </c>
      <c r="Q1559" s="27">
        <f>ROUNDUP(O1559/'Methodology &amp; Assumptions'!$B$8, 0)</f>
        <v/>
      </c>
      <c r="R1559" s="27" t="n">
        <v>1</v>
      </c>
      <c r="S1559" s="26" t="n">
        <v>2.74</v>
      </c>
      <c r="T1559" s="26" t="n">
        <v>0.08</v>
      </c>
      <c r="U1559" s="11">
        <f>IF(S1559&lt;='Methodology &amp; Assumptions'!$B$10, "Direct Optical Drop (&lt;3km)", IF(S1559&lt;='Methodology &amp; Assumptions'!$B$9, "Near Optical / Microwave (&lt;5km)", "Starlink Business LEO Satellite Backhaul (&gt;5km)"))</f>
        <v/>
      </c>
      <c r="V1559" s="26" t="n">
        <v>71.79000000000001</v>
      </c>
      <c r="W1559" s="26" t="n">
        <v>43.97</v>
      </c>
      <c r="X1559" s="26">
        <f>ROUND(('Methodology &amp; Assumptions'!$B$5*V1559) + ('Methodology &amp; Assumptions'!$B$6*W1559), 2)</f>
        <v/>
      </c>
      <c r="Y1559" s="28" t="n">
        <v>8.300000000000001</v>
      </c>
      <c r="Z1559" s="11" t="inlineStr">
        <is>
          <t>Priority Tier 3 (Broadband Expansion)</t>
        </is>
      </c>
    </row>
    <row r="1560">
      <c r="A1560" s="23" t="n">
        <v>5</v>
      </c>
      <c r="B1560" s="23" t="n">
        <v>556</v>
      </c>
      <c r="C1560" s="23" t="n">
        <v>4556</v>
      </c>
      <c r="D1560" s="23" t="inlineStr">
        <is>
          <t>0301403007</t>
        </is>
      </c>
      <c r="E1560" s="11" t="inlineStr">
        <is>
          <t>Region III (Central Luzon)</t>
        </is>
      </c>
      <c r="F1560" s="11" t="inlineStr">
        <is>
          <t>Bulacan</t>
        </is>
      </c>
      <c r="G1560" s="11" t="inlineStr">
        <is>
          <t>Baliuag</t>
        </is>
      </c>
      <c r="H1560" s="11" t="inlineStr">
        <is>
          <t>Makinabang</t>
        </is>
      </c>
      <c r="I1560" s="24" t="n">
        <v>14.919695</v>
      </c>
      <c r="J1560" s="24" t="n">
        <v>120.886286</v>
      </c>
      <c r="K1560" s="23" t="inlineStr">
        <is>
          <t>U</t>
        </is>
      </c>
      <c r="L1560" s="25" t="n">
        <v>13209</v>
      </c>
      <c r="M1560" s="26" t="n">
        <v>3.5</v>
      </c>
      <c r="N1560" s="25">
        <f>ROUND(L1560/M1560, 0)</f>
        <v/>
      </c>
      <c r="O1560" s="25">
        <f>ROUND(N1560*'Methodology &amp; Assumptions'!$B$7, 0)</f>
        <v/>
      </c>
      <c r="P1560" s="23" t="inlineStr">
        <is>
          <t>Single Carrier (Band n50, 100MHz TDD)</t>
        </is>
      </c>
      <c r="Q1560" s="27">
        <f>ROUNDUP(O1560/'Methodology &amp; Assumptions'!$B$8, 0)</f>
        <v/>
      </c>
      <c r="R1560" s="27" t="n">
        <v>1</v>
      </c>
      <c r="S1560" s="26" t="n">
        <v>3.15</v>
      </c>
      <c r="T1560" s="26" t="n">
        <v>0.05</v>
      </c>
      <c r="U1560" s="11">
        <f>IF(S1560&lt;='Methodology &amp; Assumptions'!$B$10, "Direct Optical Drop (&lt;3km)", IF(S1560&lt;='Methodology &amp; Assumptions'!$B$9, "Near Optical / Microwave (&lt;5km)", "Starlink Business LEO Satellite Backhaul (&gt;5km)"))</f>
        <v/>
      </c>
      <c r="V1560" s="26" t="n">
        <v>70.63</v>
      </c>
      <c r="W1560" s="26" t="n">
        <v>45.14</v>
      </c>
      <c r="X1560" s="26">
        <f>ROUND(('Methodology &amp; Assumptions'!$B$5*V1560) + ('Methodology &amp; Assumptions'!$B$6*W1560), 2)</f>
        <v/>
      </c>
      <c r="Y1560" s="28" t="n">
        <v>8.300000000000001</v>
      </c>
      <c r="Z1560" s="11" t="inlineStr">
        <is>
          <t>Priority Tier 3 (Broadband Expansion)</t>
        </is>
      </c>
    </row>
    <row r="1561">
      <c r="A1561" s="23" t="n">
        <v>5</v>
      </c>
      <c r="B1561" s="23" t="n">
        <v>557</v>
      </c>
      <c r="C1561" s="23" t="n">
        <v>4557</v>
      </c>
      <c r="D1561" s="23" t="inlineStr">
        <is>
          <t>1003521016</t>
        </is>
      </c>
      <c r="E1561" s="11" t="inlineStr">
        <is>
          <t>Region X (Northern Mindanao)</t>
        </is>
      </c>
      <c r="F1561" s="11" t="inlineStr">
        <is>
          <t>Lanao del Norte</t>
        </is>
      </c>
      <c r="G1561" s="11" t="inlineStr">
        <is>
          <t>Tangcal</t>
        </is>
      </c>
      <c r="H1561" s="11" t="inlineStr">
        <is>
          <t>Pelingkingan</t>
        </is>
      </c>
      <c r="I1561" s="24" t="n">
        <v>7.990907</v>
      </c>
      <c r="J1561" s="24" t="n">
        <v>123.998888</v>
      </c>
      <c r="K1561" s="23" t="inlineStr">
        <is>
          <t>R</t>
        </is>
      </c>
      <c r="L1561" s="25" t="n">
        <v>1283</v>
      </c>
      <c r="M1561" s="26" t="n">
        <v>4.2</v>
      </c>
      <c r="N1561" s="25">
        <f>ROUND(L1561/M1561, 0)</f>
        <v/>
      </c>
      <c r="O1561" s="25">
        <f>ROUND(N1561*'Methodology &amp; Assumptions'!$B$7, 0)</f>
        <v/>
      </c>
      <c r="P1561" s="23" t="inlineStr">
        <is>
          <t>Single Carrier (Band n50, 100MHz TDD)</t>
        </is>
      </c>
      <c r="Q1561" s="27">
        <f>ROUNDUP(O1561/'Methodology &amp; Assumptions'!$B$8, 0)</f>
        <v/>
      </c>
      <c r="R1561" s="27" t="n">
        <v>1</v>
      </c>
      <c r="S1561" s="26" t="n">
        <v>22.74</v>
      </c>
      <c r="T1561" s="26" t="n">
        <v>17.36</v>
      </c>
      <c r="U1561" s="11">
        <f>IF(S1561&lt;='Methodology &amp; Assumptions'!$B$10, "Direct Optical Drop (&lt;3km)", IF(S1561&lt;='Methodology &amp; Assumptions'!$B$9, "Near Optical / Microwave (&lt;5km)", "Starlink Business LEO Satellite Backhaul (&gt;5km)"))</f>
        <v/>
      </c>
      <c r="V1561" s="26" t="n">
        <v>47.43</v>
      </c>
      <c r="W1561" s="26" t="n">
        <v>68.33</v>
      </c>
      <c r="X1561" s="26">
        <f>ROUND(('Methodology &amp; Assumptions'!$B$5*V1561) + ('Methodology &amp; Assumptions'!$B$6*W1561), 2)</f>
        <v/>
      </c>
      <c r="Y1561" s="28" t="n">
        <v>17.4</v>
      </c>
      <c r="Z1561" s="11" t="inlineStr">
        <is>
          <t>Priority Tier 3 (Broadband Expansion)</t>
        </is>
      </c>
    </row>
    <row r="1562">
      <c r="A1562" s="23" t="n">
        <v>5</v>
      </c>
      <c r="B1562" s="23" t="n">
        <v>558</v>
      </c>
      <c r="C1562" s="23" t="n">
        <v>4558</v>
      </c>
      <c r="D1562" s="23" t="inlineStr">
        <is>
          <t>1380606230</t>
        </is>
      </c>
      <c r="E1562" s="11" t="inlineStr">
        <is>
          <t>National Capital Region (NCR)</t>
        </is>
      </c>
      <c r="F1562" s="11" t="inlineStr">
        <is>
          <t>First District (Not a Province)</t>
        </is>
      </c>
      <c r="G1562" s="11" t="inlineStr">
        <is>
          <t>City of Manila</t>
        </is>
      </c>
      <c r="H1562" s="11" t="inlineStr">
        <is>
          <t>Barangay 623</t>
        </is>
      </c>
      <c r="I1562" s="24" t="n">
        <v>14.589683</v>
      </c>
      <c r="J1562" s="24" t="n">
        <v>121.019237</v>
      </c>
      <c r="K1562" s="23" t="inlineStr">
        <is>
          <t>U</t>
        </is>
      </c>
      <c r="L1562" s="25" t="n">
        <v>980</v>
      </c>
      <c r="M1562" s="26" t="n">
        <v>4.24</v>
      </c>
      <c r="N1562" s="25">
        <f>ROUND(L1562/M1562, 0)</f>
        <v/>
      </c>
      <c r="O1562" s="25">
        <f>ROUND(N1562*'Methodology &amp; Assumptions'!$B$7, 0)</f>
        <v/>
      </c>
      <c r="P1562" s="23" t="inlineStr">
        <is>
          <t>Single Carrier (Band n50, 100MHz TDD)</t>
        </is>
      </c>
      <c r="Q1562" s="27">
        <f>ROUNDUP(O1562/'Methodology &amp; Assumptions'!$B$8, 0)</f>
        <v/>
      </c>
      <c r="R1562" s="27" t="n">
        <v>1</v>
      </c>
      <c r="S1562" s="26" t="n">
        <v>1.16</v>
      </c>
      <c r="T1562" s="26" t="n">
        <v>0.36</v>
      </c>
      <c r="U1562" s="11">
        <f>IF(S1562&lt;='Methodology &amp; Assumptions'!$B$10, "Direct Optical Drop (&lt;3km)", IF(S1562&lt;='Methodology &amp; Assumptions'!$B$9, "Near Optical / Microwave (&lt;5km)", "Starlink Business LEO Satellite Backhaul (&gt;5km)"))</f>
        <v/>
      </c>
      <c r="V1562" s="26" t="n">
        <v>47.24</v>
      </c>
      <c r="W1562" s="26" t="n">
        <v>68.52</v>
      </c>
      <c r="X1562" s="26">
        <f>ROUND(('Methodology &amp; Assumptions'!$B$5*V1562) + ('Methodology &amp; Assumptions'!$B$6*W1562), 2)</f>
        <v/>
      </c>
      <c r="Y1562" s="28" t="n">
        <v>10.9</v>
      </c>
      <c r="Z1562" s="11" t="inlineStr">
        <is>
          <t>Priority Tier 3 (Broadband Expansion)</t>
        </is>
      </c>
    </row>
    <row r="1563">
      <c r="A1563" s="23" t="n">
        <v>5</v>
      </c>
      <c r="B1563" s="23" t="n">
        <v>559</v>
      </c>
      <c r="C1563" s="23" t="n">
        <v>4559</v>
      </c>
      <c r="D1563" s="23" t="inlineStr">
        <is>
          <t>1380605034</t>
        </is>
      </c>
      <c r="E1563" s="11" t="inlineStr">
        <is>
          <t>National Capital Region (NCR)</t>
        </is>
      </c>
      <c r="F1563" s="11" t="inlineStr">
        <is>
          <t>First District (Not a Province)</t>
        </is>
      </c>
      <c r="G1563" s="11" t="inlineStr">
        <is>
          <t>City of Manila</t>
        </is>
      </c>
      <c r="H1563" s="11" t="inlineStr">
        <is>
          <t>Barangay 332</t>
        </is>
      </c>
      <c r="I1563" s="24" t="n">
        <v>14.609258</v>
      </c>
      <c r="J1563" s="24" t="n">
        <v>120.981754</v>
      </c>
      <c r="K1563" s="23" t="inlineStr">
        <is>
          <t>U</t>
        </is>
      </c>
      <c r="L1563" s="25" t="n">
        <v>640</v>
      </c>
      <c r="M1563" s="26" t="n">
        <v>4.48</v>
      </c>
      <c r="N1563" s="25">
        <f>ROUND(L1563/M1563, 0)</f>
        <v/>
      </c>
      <c r="O1563" s="25">
        <f>ROUND(N1563*'Methodology &amp; Assumptions'!$B$7, 0)</f>
        <v/>
      </c>
      <c r="P1563" s="23" t="inlineStr">
        <is>
          <t>Single Carrier (Band n50, 100MHz TDD)</t>
        </is>
      </c>
      <c r="Q1563" s="27">
        <f>ROUNDUP(O1563/'Methodology &amp; Assumptions'!$B$8, 0)</f>
        <v/>
      </c>
      <c r="R1563" s="27" t="n">
        <v>1</v>
      </c>
      <c r="S1563" s="26" t="n">
        <v>0.8100000000000001</v>
      </c>
      <c r="T1563" s="26" t="n">
        <v>0.3</v>
      </c>
      <c r="U1563" s="11">
        <f>IF(S1563&lt;='Methodology &amp; Assumptions'!$B$10, "Direct Optical Drop (&lt;3km)", IF(S1563&lt;='Methodology &amp; Assumptions'!$B$9, "Near Optical / Microwave (&lt;5km)", "Starlink Business LEO Satellite Backhaul (&gt;5km)"))</f>
        <v/>
      </c>
      <c r="V1563" s="26" t="n">
        <v>45.7</v>
      </c>
      <c r="W1563" s="26" t="n">
        <v>70.06999999999999</v>
      </c>
      <c r="X1563" s="26">
        <f>ROUND(('Methodology &amp; Assumptions'!$B$5*V1563) + ('Methodology &amp; Assumptions'!$B$6*W1563), 2)</f>
        <v/>
      </c>
      <c r="Y1563" s="28" t="n">
        <v>10.9</v>
      </c>
      <c r="Z1563" s="11" t="inlineStr">
        <is>
          <t>Priority Tier 3 (Broadband Expansion)</t>
        </is>
      </c>
    </row>
    <row r="1564">
      <c r="A1564" s="23" t="n">
        <v>5</v>
      </c>
      <c r="B1564" s="23" t="n">
        <v>560</v>
      </c>
      <c r="C1564" s="23" t="n">
        <v>4560</v>
      </c>
      <c r="D1564" s="23" t="inlineStr">
        <is>
          <t>0806010022</t>
        </is>
      </c>
      <c r="E1564" s="11" t="inlineStr">
        <is>
          <t>Region VIII (Eastern Visayas)</t>
        </is>
      </c>
      <c r="F1564" s="11" t="inlineStr">
        <is>
          <t>Samar</t>
        </is>
      </c>
      <c r="G1564" s="11" t="inlineStr">
        <is>
          <t>Marabut</t>
        </is>
      </c>
      <c r="H1564" s="11" t="inlineStr">
        <is>
          <t>Roño</t>
        </is>
      </c>
      <c r="I1564" s="24" t="n">
        <v>11.186446</v>
      </c>
      <c r="J1564" s="24" t="n">
        <v>125.234078</v>
      </c>
      <c r="K1564" s="23" t="inlineStr">
        <is>
          <t>R</t>
        </is>
      </c>
      <c r="L1564" s="25" t="n">
        <v>526</v>
      </c>
      <c r="M1564" s="26" t="n">
        <v>4.1</v>
      </c>
      <c r="N1564" s="25">
        <f>ROUND(L1564/M1564, 0)</f>
        <v/>
      </c>
      <c r="O1564" s="25">
        <f>ROUND(N1564*'Methodology &amp; Assumptions'!$B$7, 0)</f>
        <v/>
      </c>
      <c r="P1564" s="23" t="inlineStr">
        <is>
          <t>Single Carrier (Band n50, 100MHz TDD)</t>
        </is>
      </c>
      <c r="Q1564" s="27">
        <f>ROUNDUP(O1564/'Methodology &amp; Assumptions'!$B$8, 0)</f>
        <v/>
      </c>
      <c r="R1564" s="27" t="n">
        <v>1</v>
      </c>
      <c r="S1564" s="26" t="n">
        <v>24.68</v>
      </c>
      <c r="T1564" s="26" t="n">
        <v>23.46</v>
      </c>
      <c r="U1564" s="11">
        <f>IF(S1564&lt;='Methodology &amp; Assumptions'!$B$10, "Direct Optical Drop (&lt;3km)", IF(S1564&lt;='Methodology &amp; Assumptions'!$B$9, "Near Optical / Microwave (&lt;5km)", "Starlink Business LEO Satellite Backhaul (&gt;5km)"))</f>
        <v/>
      </c>
      <c r="V1564" s="26" t="n">
        <v>42.69</v>
      </c>
      <c r="W1564" s="26" t="n">
        <v>73.08</v>
      </c>
      <c r="X1564" s="26">
        <f>ROUND(('Methodology &amp; Assumptions'!$B$5*V1564) + ('Methodology &amp; Assumptions'!$B$6*W1564), 2)</f>
        <v/>
      </c>
      <c r="Y1564" s="28" t="n">
        <v>23.7</v>
      </c>
      <c r="Z1564" s="11" t="inlineStr">
        <is>
          <t>Priority Tier 3 (Broadband Expansion)</t>
        </is>
      </c>
    </row>
    <row r="1565">
      <c r="A1565" s="23" t="n">
        <v>5</v>
      </c>
      <c r="B1565" s="23" t="n">
        <v>561</v>
      </c>
      <c r="C1565" s="23" t="n">
        <v>4561</v>
      </c>
      <c r="D1565" s="23" t="inlineStr">
        <is>
          <t>1705303004</t>
        </is>
      </c>
      <c r="E1565" s="11" t="inlineStr">
        <is>
          <t>MIMAROPA Region</t>
        </is>
      </c>
      <c r="F1565" s="11" t="inlineStr">
        <is>
          <t>Palawan</t>
        </is>
      </c>
      <c r="G1565" s="11" t="inlineStr">
        <is>
          <t>Araceli</t>
        </is>
      </c>
      <c r="H1565" s="11" t="inlineStr">
        <is>
          <t>Dagman</t>
        </is>
      </c>
      <c r="I1565" s="24" t="n">
        <v>10.558242</v>
      </c>
      <c r="J1565" s="24" t="n">
        <v>119.950926</v>
      </c>
      <c r="K1565" s="23" t="inlineStr">
        <is>
          <t>R</t>
        </is>
      </c>
      <c r="L1565" s="25" t="n">
        <v>937</v>
      </c>
      <c r="M1565" s="26" t="n">
        <v>3.9</v>
      </c>
      <c r="N1565" s="25">
        <f>ROUND(L1565/M1565, 0)</f>
        <v/>
      </c>
      <c r="O1565" s="25">
        <f>ROUND(N1565*'Methodology &amp; Assumptions'!$B$7, 0)</f>
        <v/>
      </c>
      <c r="P1565" s="23" t="inlineStr">
        <is>
          <t>Single Carrier (Band n50, 100MHz TDD)</t>
        </is>
      </c>
      <c r="Q1565" s="27">
        <f>ROUNDUP(O1565/'Methodology &amp; Assumptions'!$B$8, 0)</f>
        <v/>
      </c>
      <c r="R1565" s="27" t="n">
        <v>1</v>
      </c>
      <c r="S1565" s="26" t="n">
        <v>43.73</v>
      </c>
      <c r="T1565" s="26" t="n">
        <v>52.57</v>
      </c>
      <c r="U1565" s="11">
        <f>IF(S1565&lt;='Methodology &amp; Assumptions'!$B$10, "Direct Optical Drop (&lt;3km)", IF(S1565&lt;='Methodology &amp; Assumptions'!$B$9, "Near Optical / Microwave (&lt;5km)", "Starlink Business LEO Satellite Backhaul (&gt;5km)"))</f>
        <v/>
      </c>
      <c r="V1565" s="26" t="n">
        <v>41.02</v>
      </c>
      <c r="W1565" s="26" t="n">
        <v>74.75</v>
      </c>
      <c r="X1565" s="26">
        <f>ROUND(('Methodology &amp; Assumptions'!$B$5*V1565) + ('Methodology &amp; Assumptions'!$B$6*W1565), 2)</f>
        <v/>
      </c>
      <c r="Y1565" s="28" t="n">
        <v>15</v>
      </c>
      <c r="Z1565" s="11" t="inlineStr">
        <is>
          <t>Priority Tier 3 (Broadband Expansion)</t>
        </is>
      </c>
    </row>
    <row r="1566">
      <c r="A1566" s="23" t="n">
        <v>5</v>
      </c>
      <c r="B1566" s="23" t="n">
        <v>562</v>
      </c>
      <c r="C1566" s="23" t="n">
        <v>4562</v>
      </c>
      <c r="D1566" s="23" t="inlineStr">
        <is>
          <t>0600410006</t>
        </is>
      </c>
      <c r="E1566" s="11" t="inlineStr">
        <is>
          <t>Region VI (Western Visayas)</t>
        </is>
      </c>
      <c r="F1566" s="11" t="inlineStr">
        <is>
          <t>Aklan</t>
        </is>
      </c>
      <c r="G1566" s="11" t="inlineStr">
        <is>
          <t>Madalag</t>
        </is>
      </c>
      <c r="H1566" s="11" t="inlineStr">
        <is>
          <t>Cabilawan</t>
        </is>
      </c>
      <c r="I1566" s="24" t="n">
        <v>11.458238</v>
      </c>
      <c r="J1566" s="24" t="n">
        <v>122.209554</v>
      </c>
      <c r="K1566" s="23" t="inlineStr">
        <is>
          <t>R</t>
        </is>
      </c>
      <c r="L1566" s="25" t="n">
        <v>515</v>
      </c>
      <c r="M1566" s="26" t="n">
        <v>3.9</v>
      </c>
      <c r="N1566" s="25">
        <f>ROUND(L1566/M1566, 0)</f>
        <v/>
      </c>
      <c r="O1566" s="25">
        <f>ROUND(N1566*'Methodology &amp; Assumptions'!$B$7, 0)</f>
        <v/>
      </c>
      <c r="P1566" s="23" t="inlineStr">
        <is>
          <t>Single Carrier (Band n50, 100MHz TDD)</t>
        </is>
      </c>
      <c r="Q1566" s="27">
        <f>ROUNDUP(O1566/'Methodology &amp; Assumptions'!$B$8, 0)</f>
        <v/>
      </c>
      <c r="R1566" s="27" t="n">
        <v>1</v>
      </c>
      <c r="S1566" s="26" t="n">
        <v>20.63</v>
      </c>
      <c r="T1566" s="26" t="n">
        <v>20.6</v>
      </c>
      <c r="U1566" s="11">
        <f>IF(S1566&lt;='Methodology &amp; Assumptions'!$B$10, "Direct Optical Drop (&lt;3km)", IF(S1566&lt;='Methodology &amp; Assumptions'!$B$9, "Near Optical / Microwave (&lt;5km)", "Starlink Business LEO Satellite Backhaul (&gt;5km)"))</f>
        <v/>
      </c>
      <c r="V1566" s="26" t="n">
        <v>40.26</v>
      </c>
      <c r="W1566" s="26" t="n">
        <v>75.48999999999999</v>
      </c>
      <c r="X1566" s="26">
        <f>ROUND(('Methodology &amp; Assumptions'!$B$5*V1566) + ('Methodology &amp; Assumptions'!$B$6*W1566), 2)</f>
        <v/>
      </c>
      <c r="Y1566" s="28" t="n">
        <v>23.7</v>
      </c>
      <c r="Z1566" s="11" t="inlineStr">
        <is>
          <t>Priority Tier 3 (Broadband Expansion)</t>
        </is>
      </c>
    </row>
    <row r="1567">
      <c r="A1567" s="23" t="n">
        <v>5</v>
      </c>
      <c r="B1567" s="23" t="n">
        <v>563</v>
      </c>
      <c r="C1567" s="23" t="n">
        <v>4563</v>
      </c>
      <c r="D1567" s="23" t="inlineStr">
        <is>
          <t>0201529016</t>
        </is>
      </c>
      <c r="E1567" s="11" t="inlineStr">
        <is>
          <t>Region II (Cagayan Valley)</t>
        </is>
      </c>
      <c r="F1567" s="11" t="inlineStr">
        <is>
          <t>Cagayan</t>
        </is>
      </c>
      <c r="G1567" s="11" t="inlineStr">
        <is>
          <t>Tuguegarao City</t>
        </is>
      </c>
      <c r="H1567" s="11" t="inlineStr">
        <is>
          <t>Caggay</t>
        </is>
      </c>
      <c r="I1567" s="24" t="n">
        <v>17.6368</v>
      </c>
      <c r="J1567" s="24" t="n">
        <v>121.749</v>
      </c>
      <c r="K1567" s="23" t="inlineStr">
        <is>
          <t>U</t>
        </is>
      </c>
      <c r="L1567" s="25" t="n">
        <v>8739</v>
      </c>
      <c r="M1567" s="26" t="n">
        <v>3.9</v>
      </c>
      <c r="N1567" s="25">
        <f>ROUND(L1567/M1567, 0)</f>
        <v/>
      </c>
      <c r="O1567" s="25">
        <f>ROUND(N1567*'Methodology &amp; Assumptions'!$B$7, 0)</f>
        <v/>
      </c>
      <c r="P1567" s="23" t="inlineStr">
        <is>
          <t>Single Carrier (Band n50, 100MHz TDD)</t>
        </is>
      </c>
      <c r="Q1567" s="27">
        <f>ROUNDUP(O1567/'Methodology &amp; Assumptions'!$B$8, 0)</f>
        <v/>
      </c>
      <c r="R1567" s="27" t="n">
        <v>1</v>
      </c>
      <c r="S1567" s="26" t="n">
        <v>1.63</v>
      </c>
      <c r="T1567" s="26" t="n">
        <v>0.19</v>
      </c>
      <c r="U1567" s="11">
        <f>IF(S1567&lt;='Methodology &amp; Assumptions'!$B$10, "Direct Optical Drop (&lt;3km)", IF(S1567&lt;='Methodology &amp; Assumptions'!$B$9, "Near Optical / Microwave (&lt;5km)", "Starlink Business LEO Satellite Backhaul (&gt;5km)"))</f>
        <v/>
      </c>
      <c r="V1567" s="26" t="n">
        <v>75.48999999999999</v>
      </c>
      <c r="W1567" s="26" t="n">
        <v>40.24</v>
      </c>
      <c r="X1567" s="26">
        <f>ROUND(('Methodology &amp; Assumptions'!$B$5*V1567) + ('Methodology &amp; Assumptions'!$B$6*W1567), 2)</f>
        <v/>
      </c>
      <c r="Y1567" s="28" t="n">
        <v>8.300000000000001</v>
      </c>
      <c r="Z1567" s="11" t="inlineStr">
        <is>
          <t>Priority Tier 3 (Broadband Expansion)</t>
        </is>
      </c>
    </row>
    <row r="1568">
      <c r="A1568" s="23" t="n">
        <v>5</v>
      </c>
      <c r="B1568" s="23" t="n">
        <v>564</v>
      </c>
      <c r="C1568" s="23" t="n">
        <v>4564</v>
      </c>
      <c r="D1568" s="23" t="inlineStr">
        <is>
          <t>0403404010</t>
        </is>
      </c>
      <c r="E1568" s="11" t="inlineStr">
        <is>
          <t>Region IV-A (CALABARZON)</t>
        </is>
      </c>
      <c r="F1568" s="11" t="inlineStr">
        <is>
          <t>Laguna</t>
        </is>
      </c>
      <c r="G1568" s="11" t="inlineStr">
        <is>
          <t>City of Cabuyao</t>
        </is>
      </c>
      <c r="H1568" s="11" t="inlineStr">
        <is>
          <t>Marinig</t>
        </is>
      </c>
      <c r="I1568" s="24" t="n">
        <v>14.270264</v>
      </c>
      <c r="J1568" s="24" t="n">
        <v>121.157551</v>
      </c>
      <c r="K1568" s="23" t="inlineStr">
        <is>
          <t>U</t>
        </is>
      </c>
      <c r="L1568" s="25" t="n">
        <v>49703</v>
      </c>
      <c r="M1568" s="26" t="n">
        <v>3.3</v>
      </c>
      <c r="N1568" s="25">
        <f>ROUND(L1568/M1568, 0)</f>
        <v/>
      </c>
      <c r="O1568" s="25">
        <f>ROUND(N1568*'Methodology &amp; Assumptions'!$B$7, 0)</f>
        <v/>
      </c>
      <c r="P1568" s="23" t="inlineStr">
        <is>
          <t>Single Carrier (Band n50, 100MHz TDD)</t>
        </is>
      </c>
      <c r="Q1568" s="27">
        <f>ROUNDUP(O1568/'Methodology &amp; Assumptions'!$B$8, 0)</f>
        <v/>
      </c>
      <c r="R1568" s="27" t="n">
        <v>1</v>
      </c>
      <c r="S1568" s="26" t="n">
        <v>1.29</v>
      </c>
      <c r="T1568" s="26" t="n">
        <v>3.32</v>
      </c>
      <c r="U1568" s="11">
        <f>IF(S1568&lt;='Methodology &amp; Assumptions'!$B$10, "Direct Optical Drop (&lt;3km)", IF(S1568&lt;='Methodology &amp; Assumptions'!$B$9, "Near Optical / Microwave (&lt;5km)", "Starlink Business LEO Satellite Backhaul (&gt;5km)"))</f>
        <v/>
      </c>
      <c r="V1568" s="26" t="n">
        <v>71.45</v>
      </c>
      <c r="W1568" s="26" t="n">
        <v>44.3</v>
      </c>
      <c r="X1568" s="26">
        <f>ROUND(('Methodology &amp; Assumptions'!$B$5*V1568) + ('Methodology &amp; Assumptions'!$B$6*W1568), 2)</f>
        <v/>
      </c>
      <c r="Y1568" s="28" t="n">
        <v>7.2</v>
      </c>
      <c r="Z1568" s="11" t="inlineStr">
        <is>
          <t>Priority Tier 3 (Broadband Expansion)</t>
        </is>
      </c>
    </row>
    <row r="1569">
      <c r="A1569" s="23" t="n">
        <v>5</v>
      </c>
      <c r="B1569" s="23" t="n">
        <v>565</v>
      </c>
      <c r="C1569" s="23" t="n">
        <v>4565</v>
      </c>
      <c r="D1569" s="23" t="inlineStr">
        <is>
          <t>0604515016</t>
        </is>
      </c>
      <c r="E1569" s="11" t="inlineStr">
        <is>
          <t>Region VI (Western Visayas)</t>
        </is>
      </c>
      <c r="F1569" s="11" t="inlineStr">
        <is>
          <t>Negros Occidental</t>
        </is>
      </c>
      <c r="G1569" s="11" t="inlineStr">
        <is>
          <t>City of Kabankalan</t>
        </is>
      </c>
      <c r="H1569" s="11" t="inlineStr">
        <is>
          <t>Barangay 5</t>
        </is>
      </c>
      <c r="I1569" s="24" t="n">
        <v>9.99184</v>
      </c>
      <c r="J1569" s="24" t="n">
        <v>122.811226</v>
      </c>
      <c r="K1569" s="23" t="inlineStr">
        <is>
          <t>U</t>
        </is>
      </c>
      <c r="L1569" s="25" t="n">
        <v>1368</v>
      </c>
      <c r="M1569" s="26" t="n">
        <v>3.7</v>
      </c>
      <c r="N1569" s="25">
        <f>ROUND(L1569/M1569, 0)</f>
        <v/>
      </c>
      <c r="O1569" s="25">
        <f>ROUND(N1569*'Methodology &amp; Assumptions'!$B$7, 0)</f>
        <v/>
      </c>
      <c r="P1569" s="23" t="inlineStr">
        <is>
          <t>Single Carrier (Band n50, 100MHz TDD)</t>
        </is>
      </c>
      <c r="Q1569" s="27">
        <f>ROUNDUP(O1569/'Methodology &amp; Assumptions'!$B$8, 0)</f>
        <v/>
      </c>
      <c r="R1569" s="27" t="n">
        <v>1</v>
      </c>
      <c r="S1569" s="26" t="n">
        <v>0.31</v>
      </c>
      <c r="T1569" s="26" t="n">
        <v>0.28</v>
      </c>
      <c r="U1569" s="11">
        <f>IF(S1569&lt;='Methodology &amp; Assumptions'!$B$10, "Direct Optical Drop (&lt;3km)", IF(S1569&lt;='Methodology &amp; Assumptions'!$B$9, "Near Optical / Microwave (&lt;5km)", "Starlink Business LEO Satellite Backhaul (&gt;5km)"))</f>
        <v/>
      </c>
      <c r="V1569" s="26" t="n">
        <v>65.51000000000001</v>
      </c>
      <c r="W1569" s="26" t="n">
        <v>50.22</v>
      </c>
      <c r="X1569" s="26">
        <f>ROUND(('Methodology &amp; Assumptions'!$B$5*V1569) + ('Methodology &amp; Assumptions'!$B$6*W1569), 2)</f>
        <v/>
      </c>
      <c r="Y1569" s="28" t="n">
        <v>23.7</v>
      </c>
      <c r="Z1569" s="11" t="inlineStr">
        <is>
          <t>Priority Tier 3 (Broadband Expansion)</t>
        </is>
      </c>
    </row>
    <row r="1570">
      <c r="A1570" s="23" t="n">
        <v>5</v>
      </c>
      <c r="B1570" s="23" t="n">
        <v>566</v>
      </c>
      <c r="C1570" s="23" t="n">
        <v>4566</v>
      </c>
      <c r="D1570" s="23" t="inlineStr">
        <is>
          <t>1003514025</t>
        </is>
      </c>
      <c r="E1570" s="11" t="inlineStr">
        <is>
          <t>Region X (Northern Mindanao)</t>
        </is>
      </c>
      <c r="F1570" s="11" t="inlineStr">
        <is>
          <t>Lanao del Norte</t>
        </is>
      </c>
      <c r="G1570" s="11" t="inlineStr">
        <is>
          <t>Munai</t>
        </is>
      </c>
      <c r="H1570" s="11" t="inlineStr">
        <is>
          <t>Pantaon</t>
        </is>
      </c>
      <c r="I1570" s="24" t="n">
        <v>8.047599999999999</v>
      </c>
      <c r="J1570" s="24" t="n">
        <v>124.0983</v>
      </c>
      <c r="K1570" s="23" t="inlineStr">
        <is>
          <t>R</t>
        </is>
      </c>
      <c r="L1570" s="25" t="n">
        <v>675</v>
      </c>
      <c r="M1570" s="26" t="n">
        <v>4.2</v>
      </c>
      <c r="N1570" s="25">
        <f>ROUND(L1570/M1570, 0)</f>
        <v/>
      </c>
      <c r="O1570" s="25">
        <f>ROUND(N1570*'Methodology &amp; Assumptions'!$B$7, 0)</f>
        <v/>
      </c>
      <c r="P1570" s="23" t="inlineStr">
        <is>
          <t>Single Carrier (Band n50, 100MHz TDD)</t>
        </is>
      </c>
      <c r="Q1570" s="27">
        <f>ROUNDUP(O1570/'Methodology &amp; Assumptions'!$B$8, 0)</f>
        <v/>
      </c>
      <c r="R1570" s="27" t="n">
        <v>1</v>
      </c>
      <c r="S1570" s="26" t="n">
        <v>19.82</v>
      </c>
      <c r="T1570" s="26" t="n">
        <v>15.08</v>
      </c>
      <c r="U1570" s="11">
        <f>IF(S1570&lt;='Methodology &amp; Assumptions'!$B$10, "Direct Optical Drop (&lt;3km)", IF(S1570&lt;='Methodology &amp; Assumptions'!$B$9, "Near Optical / Microwave (&lt;5km)", "Starlink Business LEO Satellite Backhaul (&gt;5km)"))</f>
        <v/>
      </c>
      <c r="V1570" s="26" t="n">
        <v>40.22</v>
      </c>
      <c r="W1570" s="26" t="n">
        <v>75.52</v>
      </c>
      <c r="X1570" s="26">
        <f>ROUND(('Methodology &amp; Assumptions'!$B$5*V1570) + ('Methodology &amp; Assumptions'!$B$6*W1570), 2)</f>
        <v/>
      </c>
      <c r="Y1570" s="28" t="n">
        <v>17.4</v>
      </c>
      <c r="Z1570" s="11" t="inlineStr">
        <is>
          <t>Priority Tier 3 (Broadband Expansion)</t>
        </is>
      </c>
    </row>
    <row r="1571">
      <c r="A1571" s="23" t="n">
        <v>5</v>
      </c>
      <c r="B1571" s="23" t="n">
        <v>567</v>
      </c>
      <c r="C1571" s="23" t="n">
        <v>4567</v>
      </c>
      <c r="D1571" s="23" t="inlineStr">
        <is>
          <t>0600613023</t>
        </is>
      </c>
      <c r="E1571" s="11" t="inlineStr">
        <is>
          <t>Region VI (Western Visayas)</t>
        </is>
      </c>
      <c r="F1571" s="11" t="inlineStr">
        <is>
          <t>Antique</t>
        </is>
      </c>
      <c r="G1571" s="11" t="inlineStr">
        <is>
          <t>San Jose</t>
        </is>
      </c>
      <c r="H1571" s="11" t="inlineStr">
        <is>
          <t>Maybato Norte</t>
        </is>
      </c>
      <c r="I1571" s="24" t="n">
        <v>10.728525</v>
      </c>
      <c r="J1571" s="24" t="n">
        <v>121.955714</v>
      </c>
      <c r="K1571" s="23" t="inlineStr">
        <is>
          <t>R</t>
        </is>
      </c>
      <c r="L1571" s="25" t="n">
        <v>4778</v>
      </c>
      <c r="M1571" s="26" t="n">
        <v>3.9</v>
      </c>
      <c r="N1571" s="25">
        <f>ROUND(L1571/M1571, 0)</f>
        <v/>
      </c>
      <c r="O1571" s="25">
        <f>ROUND(N1571*'Methodology &amp; Assumptions'!$B$7, 0)</f>
        <v/>
      </c>
      <c r="P1571" s="23" t="inlineStr">
        <is>
          <t>Single Carrier (Band n50, 100MHz TDD)</t>
        </is>
      </c>
      <c r="Q1571" s="27">
        <f>ROUNDUP(O1571/'Methodology &amp; Assumptions'!$B$8, 0)</f>
        <v/>
      </c>
      <c r="R1571" s="27" t="n">
        <v>1</v>
      </c>
      <c r="S1571" s="26" t="n">
        <v>4.23</v>
      </c>
      <c r="T1571" s="26" t="n">
        <v>0.12</v>
      </c>
      <c r="U1571" s="11">
        <f>IF(S1571&lt;='Methodology &amp; Assumptions'!$B$10, "Direct Optical Drop (&lt;3km)", IF(S1571&lt;='Methodology &amp; Assumptions'!$B$9, "Near Optical / Microwave (&lt;5km)", "Starlink Business LEO Satellite Backhaul (&gt;5km)"))</f>
        <v/>
      </c>
      <c r="V1571" s="26" t="n">
        <v>77.98</v>
      </c>
      <c r="W1571" s="26" t="n">
        <v>37.73</v>
      </c>
      <c r="X1571" s="26">
        <f>ROUND(('Methodology &amp; Assumptions'!$B$5*V1571) + ('Methodology &amp; Assumptions'!$B$6*W1571), 2)</f>
        <v/>
      </c>
      <c r="Y1571" s="28" t="n">
        <v>23.7</v>
      </c>
      <c r="Z1571" s="11" t="inlineStr">
        <is>
          <t>Priority Tier 3 (Broadband Expansion)</t>
        </is>
      </c>
    </row>
    <row r="1572">
      <c r="A1572" s="23" t="n">
        <v>5</v>
      </c>
      <c r="B1572" s="23" t="n">
        <v>568</v>
      </c>
      <c r="C1572" s="23" t="n">
        <v>4568</v>
      </c>
      <c r="D1572" s="23" t="inlineStr">
        <is>
          <t>0403421001</t>
        </is>
      </c>
      <c r="E1572" s="11" t="inlineStr">
        <is>
          <t>Region IV-A (CALABARZON)</t>
        </is>
      </c>
      <c r="F1572" s="11" t="inlineStr">
        <is>
          <t>Laguna</t>
        </is>
      </c>
      <c r="G1572" s="11" t="inlineStr">
        <is>
          <t>Pangil</t>
        </is>
      </c>
      <c r="H1572" s="11" t="inlineStr">
        <is>
          <t>Balian</t>
        </is>
      </c>
      <c r="I1572" s="24" t="n">
        <v>14.39616</v>
      </c>
      <c r="J1572" s="24" t="n">
        <v>121.47345</v>
      </c>
      <c r="K1572" s="23" t="inlineStr">
        <is>
          <t>U</t>
        </is>
      </c>
      <c r="L1572" s="25" t="n">
        <v>7054</v>
      </c>
      <c r="M1572" s="26" t="n">
        <v>3.3</v>
      </c>
      <c r="N1572" s="25">
        <f>ROUND(L1572/M1572, 0)</f>
        <v/>
      </c>
      <c r="O1572" s="25">
        <f>ROUND(N1572*'Methodology &amp; Assumptions'!$B$7, 0)</f>
        <v/>
      </c>
      <c r="P1572" s="23" t="inlineStr">
        <is>
          <t>Single Carrier (Band n50, 100MHz TDD)</t>
        </is>
      </c>
      <c r="Q1572" s="27">
        <f>ROUNDUP(O1572/'Methodology &amp; Assumptions'!$B$8, 0)</f>
        <v/>
      </c>
      <c r="R1572" s="27" t="n">
        <v>1</v>
      </c>
      <c r="S1572" s="26" t="n">
        <v>1.58</v>
      </c>
      <c r="T1572" s="26" t="n">
        <v>0.31</v>
      </c>
      <c r="U1572" s="11">
        <f>IF(S1572&lt;='Methodology &amp; Assumptions'!$B$10, "Direct Optical Drop (&lt;3km)", IF(S1572&lt;='Methodology &amp; Assumptions'!$B$9, "Near Optical / Microwave (&lt;5km)", "Starlink Business LEO Satellite Backhaul (&gt;5km)"))</f>
        <v/>
      </c>
      <c r="V1572" s="26" t="n">
        <v>75.5</v>
      </c>
      <c r="W1572" s="26" t="n">
        <v>40.22</v>
      </c>
      <c r="X1572" s="26">
        <f>ROUND(('Methodology &amp; Assumptions'!$B$5*V1572) + ('Methodology &amp; Assumptions'!$B$6*W1572), 2)</f>
        <v/>
      </c>
      <c r="Y1572" s="28" t="n">
        <v>7.2</v>
      </c>
      <c r="Z1572" s="11" t="inlineStr">
        <is>
          <t>Priority Tier 3 (Broadband Expansion)</t>
        </is>
      </c>
    </row>
    <row r="1573">
      <c r="A1573" s="23" t="n">
        <v>5</v>
      </c>
      <c r="B1573" s="23" t="n">
        <v>569</v>
      </c>
      <c r="C1573" s="23" t="n">
        <v>4569</v>
      </c>
      <c r="D1573" s="23" t="inlineStr">
        <is>
          <t>0401016011</t>
        </is>
      </c>
      <c r="E1573" s="11" t="inlineStr">
        <is>
          <t>Region IV-A (CALABARZON)</t>
        </is>
      </c>
      <c r="F1573" s="11" t="inlineStr">
        <is>
          <t>Batangas</t>
        </is>
      </c>
      <c r="G1573" s="11" t="inlineStr">
        <is>
          <t>Mabini</t>
        </is>
      </c>
      <c r="H1573" s="11" t="inlineStr">
        <is>
          <t>Mainit</t>
        </is>
      </c>
      <c r="I1573" s="24" t="n">
        <v>13.694985</v>
      </c>
      <c r="J1573" s="24" t="n">
        <v>120.900129</v>
      </c>
      <c r="K1573" s="23" t="inlineStr">
        <is>
          <t>R</t>
        </is>
      </c>
      <c r="L1573" s="25" t="n">
        <v>1427</v>
      </c>
      <c r="M1573" s="26" t="n">
        <v>3.6</v>
      </c>
      <c r="N1573" s="25">
        <f>ROUND(L1573/M1573, 0)</f>
        <v/>
      </c>
      <c r="O1573" s="25">
        <f>ROUND(N1573*'Methodology &amp; Assumptions'!$B$7, 0)</f>
        <v/>
      </c>
      <c r="P1573" s="23" t="inlineStr">
        <is>
          <t>Single Carrier (Band n50, 100MHz TDD)</t>
        </is>
      </c>
      <c r="Q1573" s="27">
        <f>ROUNDUP(O1573/'Methodology &amp; Assumptions'!$B$8, 0)</f>
        <v/>
      </c>
      <c r="R1573" s="27" t="n">
        <v>1</v>
      </c>
      <c r="S1573" s="26" t="n">
        <v>0.89</v>
      </c>
      <c r="T1573" s="26" t="n">
        <v>15.56</v>
      </c>
      <c r="U1573" s="11">
        <f>IF(S1573&lt;='Methodology &amp; Assumptions'!$B$10, "Direct Optical Drop (&lt;3km)", IF(S1573&lt;='Methodology &amp; Assumptions'!$B$9, "Near Optical / Microwave (&lt;5km)", "Starlink Business LEO Satellite Backhaul (&gt;5km)"))</f>
        <v/>
      </c>
      <c r="V1573" s="26" t="n">
        <v>68.11</v>
      </c>
      <c r="W1573" s="26" t="n">
        <v>47.62</v>
      </c>
      <c r="X1573" s="26">
        <f>ROUND(('Methodology &amp; Assumptions'!$B$5*V1573) + ('Methodology &amp; Assumptions'!$B$6*W1573), 2)</f>
        <v/>
      </c>
      <c r="Y1573" s="28" t="n">
        <v>7.2</v>
      </c>
      <c r="Z1573" s="11" t="inlineStr">
        <is>
          <t>Priority Tier 3 (Broadband Expansion)</t>
        </is>
      </c>
    </row>
    <row r="1574">
      <c r="A1574" s="23" t="n">
        <v>5</v>
      </c>
      <c r="B1574" s="23" t="n">
        <v>570</v>
      </c>
      <c r="C1574" s="23" t="n">
        <v>4570</v>
      </c>
      <c r="D1574" s="23" t="inlineStr">
        <is>
          <t>0203135036</t>
        </is>
      </c>
      <c r="E1574" s="11" t="inlineStr">
        <is>
          <t>Region II (Cagayan Valley)</t>
        </is>
      </c>
      <c r="F1574" s="11" t="inlineStr">
        <is>
          <t>Isabela</t>
        </is>
      </c>
      <c r="G1574" s="11" t="inlineStr">
        <is>
          <t>City of Santiago</t>
        </is>
      </c>
      <c r="H1574" s="11" t="inlineStr">
        <is>
          <t>Victory Sur</t>
        </is>
      </c>
      <c r="I1574" s="24" t="n">
        <v>16.683238</v>
      </c>
      <c r="J1574" s="24" t="n">
        <v>121.547889</v>
      </c>
      <c r="K1574" s="23" t="inlineStr">
        <is>
          <t>U</t>
        </is>
      </c>
      <c r="L1574" s="25" t="n">
        <v>2248</v>
      </c>
      <c r="M1574" s="26" t="n">
        <v>3.8</v>
      </c>
      <c r="N1574" s="25">
        <f>ROUND(L1574/M1574, 0)</f>
        <v/>
      </c>
      <c r="O1574" s="25">
        <f>ROUND(N1574*'Methodology &amp; Assumptions'!$B$7, 0)</f>
        <v/>
      </c>
      <c r="P1574" s="23" t="inlineStr">
        <is>
          <t>Single Carrier (Band n50, 100MHz TDD)</t>
        </is>
      </c>
      <c r="Q1574" s="27">
        <f>ROUNDUP(O1574/'Methodology &amp; Assumptions'!$B$8, 0)</f>
        <v/>
      </c>
      <c r="R1574" s="27" t="n">
        <v>1</v>
      </c>
      <c r="S1574" s="26" t="n">
        <v>2.4</v>
      </c>
      <c r="T1574" s="26" t="n">
        <v>0.47</v>
      </c>
      <c r="U1574" s="11">
        <f>IF(S1574&lt;='Methodology &amp; Assumptions'!$B$10, "Direct Optical Drop (&lt;3km)", IF(S1574&lt;='Methodology &amp; Assumptions'!$B$9, "Near Optical / Microwave (&lt;5km)", "Starlink Business LEO Satellite Backhaul (&gt;5km)"))</f>
        <v/>
      </c>
      <c r="V1574" s="26" t="n">
        <v>65.53</v>
      </c>
      <c r="W1574" s="26" t="n">
        <v>50.19</v>
      </c>
      <c r="X1574" s="26">
        <f>ROUND(('Methodology &amp; Assumptions'!$B$5*V1574) + ('Methodology &amp; Assumptions'!$B$6*W1574), 2)</f>
        <v/>
      </c>
      <c r="Y1574" s="28" t="n">
        <v>8.300000000000001</v>
      </c>
      <c r="Z1574" s="11" t="inlineStr">
        <is>
          <t>Priority Tier 3 (Broadband Expansion)</t>
        </is>
      </c>
    </row>
    <row r="1575">
      <c r="A1575" s="23" t="n">
        <v>5</v>
      </c>
      <c r="B1575" s="23" t="n">
        <v>571</v>
      </c>
      <c r="C1575" s="23" t="n">
        <v>4571</v>
      </c>
      <c r="D1575" s="23" t="inlineStr">
        <is>
          <t>0402118036</t>
        </is>
      </c>
      <c r="E1575" s="11" t="inlineStr">
        <is>
          <t>Region IV-A (CALABARZON)</t>
        </is>
      </c>
      <c r="F1575" s="11" t="inlineStr">
        <is>
          <t>Cavite</t>
        </is>
      </c>
      <c r="G1575" s="11" t="inlineStr">
        <is>
          <t>Silang</t>
        </is>
      </c>
      <c r="H1575" s="11" t="inlineStr">
        <is>
          <t>Barangay V</t>
        </is>
      </c>
      <c r="I1575" s="24" t="n">
        <v>14.220102</v>
      </c>
      <c r="J1575" s="24" t="n">
        <v>120.974726</v>
      </c>
      <c r="K1575" s="23" t="inlineStr">
        <is>
          <t>U</t>
        </is>
      </c>
      <c r="L1575" s="25" t="n">
        <v>2303</v>
      </c>
      <c r="M1575" s="26" t="n">
        <v>3.4</v>
      </c>
      <c r="N1575" s="25">
        <f>ROUND(L1575/M1575, 0)</f>
        <v/>
      </c>
      <c r="O1575" s="25">
        <f>ROUND(N1575*'Methodology &amp; Assumptions'!$B$7, 0)</f>
        <v/>
      </c>
      <c r="P1575" s="23" t="inlineStr">
        <is>
          <t>Single Carrier (Band n50, 100MHz TDD)</t>
        </is>
      </c>
      <c r="Q1575" s="27">
        <f>ROUNDUP(O1575/'Methodology &amp; Assumptions'!$B$8, 0)</f>
        <v/>
      </c>
      <c r="R1575" s="27" t="n">
        <v>1</v>
      </c>
      <c r="S1575" s="26" t="n">
        <v>5.39</v>
      </c>
      <c r="T1575" s="26" t="n">
        <v>0.15</v>
      </c>
      <c r="U1575" s="11">
        <f>IF(S1575&lt;='Methodology &amp; Assumptions'!$B$10, "Direct Optical Drop (&lt;3km)", IF(S1575&lt;='Methodology &amp; Assumptions'!$B$9, "Near Optical / Microwave (&lt;5km)", "Starlink Business LEO Satellite Backhaul (&gt;5km)"))</f>
        <v/>
      </c>
      <c r="V1575" s="26" t="n">
        <v>61.62</v>
      </c>
      <c r="W1575" s="26" t="n">
        <v>54.1</v>
      </c>
      <c r="X1575" s="26">
        <f>ROUND(('Methodology &amp; Assumptions'!$B$5*V1575) + ('Methodology &amp; Assumptions'!$B$6*W1575), 2)</f>
        <v/>
      </c>
      <c r="Y1575" s="28" t="n">
        <v>7.2</v>
      </c>
      <c r="Z1575" s="11" t="inlineStr">
        <is>
          <t>Priority Tier 3 (Broadband Expansion)</t>
        </is>
      </c>
    </row>
    <row r="1576">
      <c r="A1576" s="23" t="n">
        <v>5</v>
      </c>
      <c r="B1576" s="23" t="n">
        <v>572</v>
      </c>
      <c r="C1576" s="23" t="n">
        <v>4572</v>
      </c>
      <c r="D1576" s="23" t="inlineStr">
        <is>
          <t>1381100167</t>
        </is>
      </c>
      <c r="E1576" s="11" t="inlineStr">
        <is>
          <t>National Capital Region (NCR)</t>
        </is>
      </c>
      <c r="F1576" s="11" t="inlineStr">
        <is>
          <t>Fourth District (Not a Province)</t>
        </is>
      </c>
      <c r="G1576" s="11" t="inlineStr">
        <is>
          <t>Pasay City</t>
        </is>
      </c>
      <c r="H1576" s="11" t="inlineStr">
        <is>
          <t>Barangay 167</t>
        </is>
      </c>
      <c r="I1576" s="24" t="n">
        <v>14.533007</v>
      </c>
      <c r="J1576" s="24" t="n">
        <v>121.008855</v>
      </c>
      <c r="K1576" s="23" t="inlineStr">
        <is>
          <t>U</t>
        </is>
      </c>
      <c r="L1576" s="25" t="n">
        <v>626</v>
      </c>
      <c r="M1576" s="26" t="n">
        <v>3.42</v>
      </c>
      <c r="N1576" s="25">
        <f>ROUND(L1576/M1576, 0)</f>
        <v/>
      </c>
      <c r="O1576" s="25">
        <f>ROUND(N1576*'Methodology &amp; Assumptions'!$B$7, 0)</f>
        <v/>
      </c>
      <c r="P1576" s="23" t="inlineStr">
        <is>
          <t>Single Carrier (Band n50, 100MHz TDD)</t>
        </is>
      </c>
      <c r="Q1576" s="27">
        <f>ROUNDUP(O1576/'Methodology &amp; Assumptions'!$B$8, 0)</f>
        <v/>
      </c>
      <c r="R1576" s="27" t="n">
        <v>1</v>
      </c>
      <c r="S1576" s="26" t="n">
        <v>1.38</v>
      </c>
      <c r="T1576" s="26" t="n">
        <v>0.55</v>
      </c>
      <c r="U1576" s="11">
        <f>IF(S1576&lt;='Methodology &amp; Assumptions'!$B$10, "Direct Optical Drop (&lt;3km)", IF(S1576&lt;='Methodology &amp; Assumptions'!$B$9, "Near Optical / Microwave (&lt;5km)", "Starlink Business LEO Satellite Backhaul (&gt;5km)"))</f>
        <v/>
      </c>
      <c r="V1576" s="26" t="n">
        <v>44.93</v>
      </c>
      <c r="W1576" s="26" t="n">
        <v>70.79000000000001</v>
      </c>
      <c r="X1576" s="26">
        <f>ROUND(('Methodology &amp; Assumptions'!$B$5*V1576) + ('Methodology &amp; Assumptions'!$B$6*W1576), 2)</f>
        <v/>
      </c>
      <c r="Y1576" s="28" t="n">
        <v>10.9</v>
      </c>
      <c r="Z1576" s="11" t="inlineStr">
        <is>
          <t>Priority Tier 3 (Broadband Expansion)</t>
        </is>
      </c>
    </row>
    <row r="1577">
      <c r="A1577" s="23" t="n">
        <v>5</v>
      </c>
      <c r="B1577" s="23" t="n">
        <v>573</v>
      </c>
      <c r="C1577" s="23" t="n">
        <v>4573</v>
      </c>
      <c r="D1577" s="23" t="inlineStr">
        <is>
          <t>0205008010</t>
        </is>
      </c>
      <c r="E1577" s="11" t="inlineStr">
        <is>
          <t>Region II (Cagayan Valley)</t>
        </is>
      </c>
      <c r="F1577" s="11" t="inlineStr">
        <is>
          <t>Nueva Vizcaya</t>
        </is>
      </c>
      <c r="G1577" s="11" t="inlineStr">
        <is>
          <t>Dupax del Sur</t>
        </is>
      </c>
      <c r="H1577" s="11" t="inlineStr">
        <is>
          <t>Lukidnon</t>
        </is>
      </c>
      <c r="I1577" s="24" t="n">
        <v>15.919269</v>
      </c>
      <c r="J1577" s="24" t="n">
        <v>121.222776</v>
      </c>
      <c r="K1577" s="23" t="inlineStr">
        <is>
          <t>R</t>
        </is>
      </c>
      <c r="L1577" s="25" t="n">
        <v>358</v>
      </c>
      <c r="M1577" s="26" t="n">
        <v>3.8</v>
      </c>
      <c r="N1577" s="25">
        <f>ROUND(L1577/M1577, 0)</f>
        <v/>
      </c>
      <c r="O1577" s="25">
        <f>ROUND(N1577*'Methodology &amp; Assumptions'!$B$7, 0)</f>
        <v/>
      </c>
      <c r="P1577" s="23" t="inlineStr">
        <is>
          <t>Single Carrier (Band n50, 100MHz TDD)</t>
        </is>
      </c>
      <c r="Q1577" s="27">
        <f>ROUNDUP(O1577/'Methodology &amp; Assumptions'!$B$8, 0)</f>
        <v/>
      </c>
      <c r="R1577" s="27" t="n">
        <v>1</v>
      </c>
      <c r="S1577" s="26" t="n">
        <v>15.03</v>
      </c>
      <c r="T1577" s="26" t="n">
        <v>13.92</v>
      </c>
      <c r="U1577" s="11">
        <f>IF(S1577&lt;='Methodology &amp; Assumptions'!$B$10, "Direct Optical Drop (&lt;3km)", IF(S1577&lt;='Methodology &amp; Assumptions'!$B$9, "Near Optical / Microwave (&lt;5km)", "Starlink Business LEO Satellite Backhaul (&gt;5km)"))</f>
        <v/>
      </c>
      <c r="V1577" s="26" t="n">
        <v>36.91</v>
      </c>
      <c r="W1577" s="26" t="n">
        <v>78.81</v>
      </c>
      <c r="X1577" s="26">
        <f>ROUND(('Methodology &amp; Assumptions'!$B$5*V1577) + ('Methodology &amp; Assumptions'!$B$6*W1577), 2)</f>
        <v/>
      </c>
      <c r="Y1577" s="28" t="n">
        <v>8.300000000000001</v>
      </c>
      <c r="Z1577" s="11" t="inlineStr">
        <is>
          <t>Priority Tier 3 (Broadband Expansion)</t>
        </is>
      </c>
    </row>
    <row r="1578">
      <c r="A1578" s="23" t="n">
        <v>5</v>
      </c>
      <c r="B1578" s="23" t="n">
        <v>574</v>
      </c>
      <c r="C1578" s="23" t="n">
        <v>4574</v>
      </c>
      <c r="D1578" s="23" t="inlineStr">
        <is>
          <t>0405647013</t>
        </is>
      </c>
      <c r="E1578" s="11" t="inlineStr">
        <is>
          <t>Region IV-A (CALABARZON)</t>
        </is>
      </c>
      <c r="F1578" s="11" t="inlineStr">
        <is>
          <t>Quezon</t>
        </is>
      </c>
      <c r="G1578" s="11" t="inlineStr">
        <is>
          <t>City of Tayabas</t>
        </is>
      </c>
      <c r="H1578" s="11" t="inlineStr">
        <is>
          <t>Baguio</t>
        </is>
      </c>
      <c r="I1578" s="24" t="n">
        <v>14.013405</v>
      </c>
      <c r="J1578" s="24" t="n">
        <v>121.58437</v>
      </c>
      <c r="K1578" s="23" t="inlineStr">
        <is>
          <t>R</t>
        </is>
      </c>
      <c r="L1578" s="25" t="n">
        <v>2864</v>
      </c>
      <c r="M1578" s="26" t="n">
        <v>3.8</v>
      </c>
      <c r="N1578" s="25">
        <f>ROUND(L1578/M1578, 0)</f>
        <v/>
      </c>
      <c r="O1578" s="25">
        <f>ROUND(N1578*'Methodology &amp; Assumptions'!$B$7, 0)</f>
        <v/>
      </c>
      <c r="P1578" s="23" t="inlineStr">
        <is>
          <t>Single Carrier (Band n50, 100MHz TDD)</t>
        </is>
      </c>
      <c r="Q1578" s="27">
        <f>ROUNDUP(O1578/'Methodology &amp; Assumptions'!$B$8, 0)</f>
        <v/>
      </c>
      <c r="R1578" s="27" t="n">
        <v>1</v>
      </c>
      <c r="S1578" s="26" t="n">
        <v>1.51</v>
      </c>
      <c r="T1578" s="26" t="n">
        <v>1.52</v>
      </c>
      <c r="U1578" s="11">
        <f>IF(S1578&lt;='Methodology &amp; Assumptions'!$B$10, "Direct Optical Drop (&lt;3km)", IF(S1578&lt;='Methodology &amp; Assumptions'!$B$9, "Near Optical / Microwave (&lt;5km)", "Starlink Business LEO Satellite Backhaul (&gt;5km)"))</f>
        <v/>
      </c>
      <c r="V1578" s="26" t="n">
        <v>80.91</v>
      </c>
      <c r="W1578" s="26" t="n">
        <v>34.78</v>
      </c>
      <c r="X1578" s="26">
        <f>ROUND(('Methodology &amp; Assumptions'!$B$5*V1578) + ('Methodology &amp; Assumptions'!$B$6*W1578), 2)</f>
        <v/>
      </c>
      <c r="Y1578" s="28" t="n">
        <v>7.2</v>
      </c>
      <c r="Z1578" s="11" t="inlineStr">
        <is>
          <t>Priority Tier 3 (Broadband Expansion)</t>
        </is>
      </c>
    </row>
    <row r="1579">
      <c r="A1579" s="23" t="n">
        <v>5</v>
      </c>
      <c r="B1579" s="23" t="n">
        <v>575</v>
      </c>
      <c r="C1579" s="23" t="n">
        <v>4575</v>
      </c>
      <c r="D1579" s="23" t="inlineStr">
        <is>
          <t>0304903040</t>
        </is>
      </c>
      <c r="E1579" s="11" t="inlineStr">
        <is>
          <t>Region III (Central Luzon)</t>
        </is>
      </c>
      <c r="F1579" s="11" t="inlineStr">
        <is>
          <t>Nueva Ecija</t>
        </is>
      </c>
      <c r="G1579" s="11" t="inlineStr">
        <is>
          <t>City of Cabanatuan</t>
        </is>
      </c>
      <c r="H1579" s="11" t="inlineStr">
        <is>
          <t>Calawagan</t>
        </is>
      </c>
      <c r="I1579" s="24" t="n">
        <v>15.585783</v>
      </c>
      <c r="J1579" s="24" t="n">
        <v>120.924577</v>
      </c>
      <c r="K1579" s="23" t="inlineStr">
        <is>
          <t>R</t>
        </is>
      </c>
      <c r="L1579" s="25" t="n">
        <v>2001</v>
      </c>
      <c r="M1579" s="26" t="n">
        <v>3.5</v>
      </c>
      <c r="N1579" s="25">
        <f>ROUND(L1579/M1579, 0)</f>
        <v/>
      </c>
      <c r="O1579" s="25">
        <f>ROUND(N1579*'Methodology &amp; Assumptions'!$B$7, 0)</f>
        <v/>
      </c>
      <c r="P1579" s="23" t="inlineStr">
        <is>
          <t>Single Carrier (Band n50, 100MHz TDD)</t>
        </is>
      </c>
      <c r="Q1579" s="27">
        <f>ROUNDUP(O1579/'Methodology &amp; Assumptions'!$B$8, 0)</f>
        <v/>
      </c>
      <c r="R1579" s="27" t="n">
        <v>1</v>
      </c>
      <c r="S1579" s="26" t="n">
        <v>0.71</v>
      </c>
      <c r="T1579" s="26" t="n">
        <v>0.52</v>
      </c>
      <c r="U1579" s="11">
        <f>IF(S1579&lt;='Methodology &amp; Assumptions'!$B$10, "Direct Optical Drop (&lt;3km)", IF(S1579&lt;='Methodology &amp; Assumptions'!$B$9, "Near Optical / Microwave (&lt;5km)", "Starlink Business LEO Satellite Backhaul (&gt;5km)"))</f>
        <v/>
      </c>
      <c r="V1579" s="26" t="n">
        <v>77.66</v>
      </c>
      <c r="W1579" s="26" t="n">
        <v>38.05</v>
      </c>
      <c r="X1579" s="26">
        <f>ROUND(('Methodology &amp; Assumptions'!$B$5*V1579) + ('Methodology &amp; Assumptions'!$B$6*W1579), 2)</f>
        <v/>
      </c>
      <c r="Y1579" s="28" t="n">
        <v>8.300000000000001</v>
      </c>
      <c r="Z1579" s="11" t="inlineStr">
        <is>
          <t>Priority Tier 3 (Broadband Expansion)</t>
        </is>
      </c>
    </row>
    <row r="1580">
      <c r="A1580" s="23" t="n">
        <v>5</v>
      </c>
      <c r="B1580" s="23" t="n">
        <v>576</v>
      </c>
      <c r="C1580" s="23" t="n">
        <v>4576</v>
      </c>
      <c r="D1580" s="23" t="inlineStr">
        <is>
          <t>0305411008</t>
        </is>
      </c>
      <c r="E1580" s="11" t="inlineStr">
        <is>
          <t>Region III (Central Luzon)</t>
        </is>
      </c>
      <c r="F1580" s="11" t="inlineStr">
        <is>
          <t>Pampanga</t>
        </is>
      </c>
      <c r="G1580" s="11" t="inlineStr">
        <is>
          <t>Magalang</t>
        </is>
      </c>
      <c r="H1580" s="11" t="inlineStr">
        <is>
          <t>San Franciso</t>
        </is>
      </c>
      <c r="I1580" s="24" t="n">
        <v>15.207893</v>
      </c>
      <c r="J1580" s="24" t="n">
        <v>120.64962</v>
      </c>
      <c r="K1580" s="23" t="inlineStr">
        <is>
          <t>U</t>
        </is>
      </c>
      <c r="L1580" s="25" t="n">
        <v>5250</v>
      </c>
      <c r="M1580" s="26" t="n">
        <v>4</v>
      </c>
      <c r="N1580" s="25">
        <f>ROUND(L1580/M1580, 0)</f>
        <v/>
      </c>
      <c r="O1580" s="25">
        <f>ROUND(N1580*'Methodology &amp; Assumptions'!$B$7, 0)</f>
        <v/>
      </c>
      <c r="P1580" s="23" t="inlineStr">
        <is>
          <t>Single Carrier (Band n50, 100MHz TDD)</t>
        </is>
      </c>
      <c r="Q1580" s="27">
        <f>ROUNDUP(O1580/'Methodology &amp; Assumptions'!$B$8, 0)</f>
        <v/>
      </c>
      <c r="R1580" s="27" t="n">
        <v>1</v>
      </c>
      <c r="S1580" s="26" t="n">
        <v>1.05</v>
      </c>
      <c r="T1580" s="26" t="n">
        <v>0.03</v>
      </c>
      <c r="U1580" s="11">
        <f>IF(S1580&lt;='Methodology &amp; Assumptions'!$B$10, "Direct Optical Drop (&lt;3km)", IF(S1580&lt;='Methodology &amp; Assumptions'!$B$9, "Near Optical / Microwave (&lt;5km)", "Starlink Business LEO Satellite Backhaul (&gt;5km)"))</f>
        <v/>
      </c>
      <c r="V1580" s="26" t="n">
        <v>77.62</v>
      </c>
      <c r="W1580" s="26" t="n">
        <v>38.08</v>
      </c>
      <c r="X1580" s="26">
        <f>ROUND(('Methodology &amp; Assumptions'!$B$5*V1580) + ('Methodology &amp; Assumptions'!$B$6*W1580), 2)</f>
        <v/>
      </c>
      <c r="Y1580" s="28" t="n">
        <v>8.300000000000001</v>
      </c>
      <c r="Z1580" s="11" t="inlineStr">
        <is>
          <t>Priority Tier 3 (Broadband Expansion)</t>
        </is>
      </c>
    </row>
    <row r="1581">
      <c r="A1581" s="23" t="n">
        <v>5</v>
      </c>
      <c r="B1581" s="23" t="n">
        <v>577</v>
      </c>
      <c r="C1581" s="23" t="n">
        <v>4577</v>
      </c>
      <c r="D1581" s="23" t="inlineStr">
        <is>
          <t>0402113008</t>
        </is>
      </c>
      <c r="E1581" s="11" t="inlineStr">
        <is>
          <t>Region IV-A (CALABARZON)</t>
        </is>
      </c>
      <c r="F1581" s="11" t="inlineStr">
        <is>
          <t>Cavite</t>
        </is>
      </c>
      <c r="G1581" s="11" t="inlineStr">
        <is>
          <t>Maragondon</t>
        </is>
      </c>
      <c r="H1581" s="11" t="inlineStr">
        <is>
          <t>Garita I A</t>
        </is>
      </c>
      <c r="I1581" s="24" t="n">
        <v>14.276028</v>
      </c>
      <c r="J1581" s="24" t="n">
        <v>120.735778</v>
      </c>
      <c r="K1581" s="23" t="inlineStr">
        <is>
          <t>R</t>
        </is>
      </c>
      <c r="L1581" s="25" t="n">
        <v>1877</v>
      </c>
      <c r="M1581" s="26" t="n">
        <v>3.4</v>
      </c>
      <c r="N1581" s="25">
        <f>ROUND(L1581/M1581, 0)</f>
        <v/>
      </c>
      <c r="O1581" s="25">
        <f>ROUND(N1581*'Methodology &amp; Assumptions'!$B$7, 0)</f>
        <v/>
      </c>
      <c r="P1581" s="23" t="inlineStr">
        <is>
          <t>Single Carrier (Band n50, 100MHz TDD)</t>
        </is>
      </c>
      <c r="Q1581" s="27">
        <f>ROUNDUP(O1581/'Methodology &amp; Assumptions'!$B$8, 0)</f>
        <v/>
      </c>
      <c r="R1581" s="27" t="n">
        <v>1</v>
      </c>
      <c r="S1581" s="26" t="n">
        <v>0.16</v>
      </c>
      <c r="T1581" s="26" t="n">
        <v>0.14</v>
      </c>
      <c r="U1581" s="11">
        <f>IF(S1581&lt;='Methodology &amp; Assumptions'!$B$10, "Direct Optical Drop (&lt;3km)", IF(S1581&lt;='Methodology &amp; Assumptions'!$B$9, "Near Optical / Microwave (&lt;5km)", "Starlink Business LEO Satellite Backhaul (&gt;5km)"))</f>
        <v/>
      </c>
      <c r="V1581" s="26" t="n">
        <v>76.92</v>
      </c>
      <c r="W1581" s="26" t="n">
        <v>38.79</v>
      </c>
      <c r="X1581" s="26">
        <f>ROUND(('Methodology &amp; Assumptions'!$B$5*V1581) + ('Methodology &amp; Assumptions'!$B$6*W1581), 2)</f>
        <v/>
      </c>
      <c r="Y1581" s="28" t="n">
        <v>7.2</v>
      </c>
      <c r="Z1581" s="11" t="inlineStr">
        <is>
          <t>Priority Tier 3 (Broadband Expansion)</t>
        </is>
      </c>
    </row>
    <row r="1582">
      <c r="A1582" s="23" t="n">
        <v>5</v>
      </c>
      <c r="B1582" s="23" t="n">
        <v>578</v>
      </c>
      <c r="C1582" s="23" t="n">
        <v>4578</v>
      </c>
      <c r="D1582" s="23" t="inlineStr">
        <is>
          <t>0103302010</t>
        </is>
      </c>
      <c r="E1582" s="11" t="inlineStr">
        <is>
          <t>Region I (Ilocos Region)</t>
        </is>
      </c>
      <c r="F1582" s="11" t="inlineStr">
        <is>
          <t>La Union</t>
        </is>
      </c>
      <c r="G1582" s="11" t="inlineStr">
        <is>
          <t>Aringay</t>
        </is>
      </c>
      <c r="H1582" s="11" t="inlineStr">
        <is>
          <t>Poblacion</t>
        </is>
      </c>
      <c r="I1582" s="24" t="n">
        <v>16.392069</v>
      </c>
      <c r="J1582" s="24" t="n">
        <v>120.354766</v>
      </c>
      <c r="K1582" s="23" t="inlineStr">
        <is>
          <t>R</t>
        </is>
      </c>
      <c r="L1582" s="25" t="n">
        <v>3517</v>
      </c>
      <c r="M1582" s="26" t="n">
        <v>3.7</v>
      </c>
      <c r="N1582" s="25">
        <f>ROUND(L1582/M1582, 0)</f>
        <v/>
      </c>
      <c r="O1582" s="25">
        <f>ROUND(N1582*'Methodology &amp; Assumptions'!$B$7, 0)</f>
        <v/>
      </c>
      <c r="P1582" s="23" t="inlineStr">
        <is>
          <t>Single Carrier (Band n50, 100MHz TDD)</t>
        </is>
      </c>
      <c r="Q1582" s="27">
        <f>ROUNDUP(O1582/'Methodology &amp; Assumptions'!$B$8, 0)</f>
        <v/>
      </c>
      <c r="R1582" s="27" t="n">
        <v>1</v>
      </c>
      <c r="S1582" s="26" t="n">
        <v>4.24</v>
      </c>
      <c r="T1582" s="26" t="n">
        <v>0.17</v>
      </c>
      <c r="U1582" s="11">
        <f>IF(S1582&lt;='Methodology &amp; Assumptions'!$B$10, "Direct Optical Drop (&lt;3km)", IF(S1582&lt;='Methodology &amp; Assumptions'!$B$9, "Near Optical / Microwave (&lt;5km)", "Starlink Business LEO Satellite Backhaul (&gt;5km)"))</f>
        <v/>
      </c>
      <c r="V1582" s="26" t="n">
        <v>75.53</v>
      </c>
      <c r="W1582" s="26" t="n">
        <v>40.17</v>
      </c>
      <c r="X1582" s="26">
        <f>ROUND(('Methodology &amp; Assumptions'!$B$5*V1582) + ('Methodology &amp; Assumptions'!$B$6*W1582), 2)</f>
        <v/>
      </c>
      <c r="Y1582" s="28" t="n">
        <v>8.300000000000001</v>
      </c>
      <c r="Z1582" s="11" t="inlineStr">
        <is>
          <t>Priority Tier 3 (Broadband Expansion)</t>
        </is>
      </c>
    </row>
    <row r="1583">
      <c r="A1583" s="23" t="n">
        <v>5</v>
      </c>
      <c r="B1583" s="23" t="n">
        <v>579</v>
      </c>
      <c r="C1583" s="23" t="n">
        <v>4579</v>
      </c>
      <c r="D1583" s="23" t="inlineStr">
        <is>
          <t>0301414004</t>
        </is>
      </c>
      <c r="E1583" s="11" t="inlineStr">
        <is>
          <t>Region III (Central Luzon)</t>
        </is>
      </c>
      <c r="F1583" s="11" t="inlineStr">
        <is>
          <t>Bulacan</t>
        </is>
      </c>
      <c r="G1583" s="11" t="inlineStr">
        <is>
          <t>Obando</t>
        </is>
      </c>
      <c r="H1583" s="11" t="inlineStr">
        <is>
          <t>Lawa</t>
        </is>
      </c>
      <c r="I1583" s="24" t="n">
        <v>14.725852</v>
      </c>
      <c r="J1583" s="24" t="n">
        <v>120.92577</v>
      </c>
      <c r="K1583" s="23" t="inlineStr">
        <is>
          <t>U</t>
        </is>
      </c>
      <c r="L1583" s="25" t="n">
        <v>9287</v>
      </c>
      <c r="M1583" s="26" t="n">
        <v>3.5</v>
      </c>
      <c r="N1583" s="25">
        <f>ROUND(L1583/M1583, 0)</f>
        <v/>
      </c>
      <c r="O1583" s="25">
        <f>ROUND(N1583*'Methodology &amp; Assumptions'!$B$7, 0)</f>
        <v/>
      </c>
      <c r="P1583" s="23" t="inlineStr">
        <is>
          <t>Single Carrier (Band n50, 100MHz TDD)</t>
        </is>
      </c>
      <c r="Q1583" s="27">
        <f>ROUNDUP(O1583/'Methodology &amp; Assumptions'!$B$8, 0)</f>
        <v/>
      </c>
      <c r="R1583" s="27" t="n">
        <v>1</v>
      </c>
      <c r="S1583" s="26" t="n">
        <v>2.17</v>
      </c>
      <c r="T1583" s="26" t="n">
        <v>3.49</v>
      </c>
      <c r="U1583" s="11">
        <f>IF(S1583&lt;='Methodology &amp; Assumptions'!$B$10, "Direct Optical Drop (&lt;3km)", IF(S1583&lt;='Methodology &amp; Assumptions'!$B$9, "Near Optical / Microwave (&lt;5km)", "Starlink Business LEO Satellite Backhaul (&gt;5km)"))</f>
        <v/>
      </c>
      <c r="V1583" s="26" t="n">
        <v>70.12</v>
      </c>
      <c r="W1583" s="26" t="n">
        <v>45.58</v>
      </c>
      <c r="X1583" s="26">
        <f>ROUND(('Methodology &amp; Assumptions'!$B$5*V1583) + ('Methodology &amp; Assumptions'!$B$6*W1583), 2)</f>
        <v/>
      </c>
      <c r="Y1583" s="28" t="n">
        <v>8.300000000000001</v>
      </c>
      <c r="Z1583" s="11" t="inlineStr">
        <is>
          <t>Priority Tier 3 (Broadband Expansion)</t>
        </is>
      </c>
    </row>
    <row r="1584">
      <c r="A1584" s="23" t="n">
        <v>5</v>
      </c>
      <c r="B1584" s="23" t="n">
        <v>580</v>
      </c>
      <c r="C1584" s="23" t="n">
        <v>4580</v>
      </c>
      <c r="D1584" s="23" t="inlineStr">
        <is>
          <t>0102906038</t>
        </is>
      </c>
      <c r="E1584" s="11" t="inlineStr">
        <is>
          <t>Region I (Ilocos Region)</t>
        </is>
      </c>
      <c r="F1584" s="11" t="inlineStr">
        <is>
          <t>Ilocos Sur</t>
        </is>
      </c>
      <c r="G1584" s="11" t="inlineStr">
        <is>
          <t>City of Candon</t>
        </is>
      </c>
      <c r="H1584" s="11" t="inlineStr">
        <is>
          <t>San Jose</t>
        </is>
      </c>
      <c r="I1584" s="24" t="n">
        <v>17.187404</v>
      </c>
      <c r="J1584" s="24" t="n">
        <v>120.446718</v>
      </c>
      <c r="K1584" s="23" t="inlineStr">
        <is>
          <t>U</t>
        </is>
      </c>
      <c r="L1584" s="25" t="n">
        <v>1846</v>
      </c>
      <c r="M1584" s="26" t="n">
        <v>3.8</v>
      </c>
      <c r="N1584" s="25">
        <f>ROUND(L1584/M1584, 0)</f>
        <v/>
      </c>
      <c r="O1584" s="25">
        <f>ROUND(N1584*'Methodology &amp; Assumptions'!$B$7, 0)</f>
        <v/>
      </c>
      <c r="P1584" s="23" t="inlineStr">
        <is>
          <t>Single Carrier (Band n50, 100MHz TDD)</t>
        </is>
      </c>
      <c r="Q1584" s="27">
        <f>ROUNDUP(O1584/'Methodology &amp; Assumptions'!$B$8, 0)</f>
        <v/>
      </c>
      <c r="R1584" s="27" t="n">
        <v>1</v>
      </c>
      <c r="S1584" s="26" t="n">
        <v>0.49</v>
      </c>
      <c r="T1584" s="26" t="n">
        <v>0.01</v>
      </c>
      <c r="U1584" s="11">
        <f>IF(S1584&lt;='Methodology &amp; Assumptions'!$B$10, "Direct Optical Drop (&lt;3km)", IF(S1584&lt;='Methodology &amp; Assumptions'!$B$9, "Near Optical / Microwave (&lt;5km)", "Starlink Business LEO Satellite Backhaul (&gt;5km)"))</f>
        <v/>
      </c>
      <c r="V1584" s="26" t="n">
        <v>67.64</v>
      </c>
      <c r="W1584" s="26" t="n">
        <v>48.06</v>
      </c>
      <c r="X1584" s="26">
        <f>ROUND(('Methodology &amp; Assumptions'!$B$5*V1584) + ('Methodology &amp; Assumptions'!$B$6*W1584), 2)</f>
        <v/>
      </c>
      <c r="Y1584" s="28" t="n">
        <v>8.300000000000001</v>
      </c>
      <c r="Z1584" s="11" t="inlineStr">
        <is>
          <t>Priority Tier 3 (Broadband Expansion)</t>
        </is>
      </c>
    </row>
    <row r="1585">
      <c r="A1585" s="23" t="n">
        <v>5</v>
      </c>
      <c r="B1585" s="23" t="n">
        <v>581</v>
      </c>
      <c r="C1585" s="23" t="n">
        <v>4581</v>
      </c>
      <c r="D1585" s="23" t="inlineStr">
        <is>
          <t>0402106056</t>
        </is>
      </c>
      <c r="E1585" s="11" t="inlineStr">
        <is>
          <t>Region IV-A (CALABARZON)</t>
        </is>
      </c>
      <c r="F1585" s="11" t="inlineStr">
        <is>
          <t>Cavite</t>
        </is>
      </c>
      <c r="G1585" s="11" t="inlineStr">
        <is>
          <t>City of Dasmariñas</t>
        </is>
      </c>
      <c r="H1585" s="11" t="inlineStr">
        <is>
          <t>Paliparan III</t>
        </is>
      </c>
      <c r="I1585" s="24" t="n">
        <v>14.328622</v>
      </c>
      <c r="J1585" s="24" t="n">
        <v>120.940229</v>
      </c>
      <c r="K1585" s="23" t="inlineStr">
        <is>
          <t>U</t>
        </is>
      </c>
      <c r="L1585" s="25" t="n">
        <v>76791</v>
      </c>
      <c r="M1585" s="26" t="n">
        <v>3.4</v>
      </c>
      <c r="N1585" s="25">
        <f>ROUND(L1585/M1585, 0)</f>
        <v/>
      </c>
      <c r="O1585" s="25">
        <f>ROUND(N1585*'Methodology &amp; Assumptions'!$B$7, 0)</f>
        <v/>
      </c>
      <c r="P1585" s="23" t="inlineStr">
        <is>
          <t>Single Carrier (Band n50, 100MHz TDD)</t>
        </is>
      </c>
      <c r="Q1585" s="27">
        <f>ROUNDUP(O1585/'Methodology &amp; Assumptions'!$B$8, 0)</f>
        <v/>
      </c>
      <c r="R1585" s="27" t="n">
        <v>1</v>
      </c>
      <c r="S1585" s="26" t="n">
        <v>2.44</v>
      </c>
      <c r="T1585" s="26" t="n">
        <v>3.32</v>
      </c>
      <c r="U1585" s="11">
        <f>IF(S1585&lt;='Methodology &amp; Assumptions'!$B$10, "Direct Optical Drop (&lt;3km)", IF(S1585&lt;='Methodology &amp; Assumptions'!$B$9, "Near Optical / Microwave (&lt;5km)", "Starlink Business LEO Satellite Backhaul (&gt;5km)"))</f>
        <v/>
      </c>
      <c r="V1585" s="26" t="n">
        <v>66.58</v>
      </c>
      <c r="W1585" s="26" t="n">
        <v>49.12</v>
      </c>
      <c r="X1585" s="26">
        <f>ROUND(('Methodology &amp; Assumptions'!$B$5*V1585) + ('Methodology &amp; Assumptions'!$B$6*W1585), 2)</f>
        <v/>
      </c>
      <c r="Y1585" s="28" t="n">
        <v>7.2</v>
      </c>
      <c r="Z1585" s="11" t="inlineStr">
        <is>
          <t>Priority Tier 3 (Broadband Expansion)</t>
        </is>
      </c>
    </row>
    <row r="1586">
      <c r="A1586" s="23" t="n">
        <v>5</v>
      </c>
      <c r="B1586" s="23" t="n">
        <v>582</v>
      </c>
      <c r="C1586" s="23" t="n">
        <v>4582</v>
      </c>
      <c r="D1586" s="23" t="inlineStr">
        <is>
          <t>0601917051</t>
        </is>
      </c>
      <c r="E1586" s="11" t="inlineStr">
        <is>
          <t>Region VI (Western Visayas)</t>
        </is>
      </c>
      <c r="F1586" s="11" t="inlineStr">
        <is>
          <t>Capiz</t>
        </is>
      </c>
      <c r="G1586" s="11" t="inlineStr">
        <is>
          <t>Tapaz</t>
        </is>
      </c>
      <c r="H1586" s="11" t="inlineStr">
        <is>
          <t>Senonod</t>
        </is>
      </c>
      <c r="I1586" s="24" t="n">
        <v>11.25107</v>
      </c>
      <c r="J1586" s="24" t="n">
        <v>122.400728</v>
      </c>
      <c r="K1586" s="23" t="inlineStr">
        <is>
          <t>R</t>
        </is>
      </c>
      <c r="L1586" s="25" t="n">
        <v>230</v>
      </c>
      <c r="M1586" s="26" t="n">
        <v>3.8</v>
      </c>
      <c r="N1586" s="25">
        <f>ROUND(L1586/M1586, 0)</f>
        <v/>
      </c>
      <c r="O1586" s="25">
        <f>ROUND(N1586*'Methodology &amp; Assumptions'!$B$7, 0)</f>
        <v/>
      </c>
      <c r="P1586" s="23" t="inlineStr">
        <is>
          <t>Single Carrier (Band n50, 100MHz TDD)</t>
        </is>
      </c>
      <c r="Q1586" s="27">
        <f>ROUNDUP(O1586/'Methodology &amp; Assumptions'!$B$8, 0)</f>
        <v/>
      </c>
      <c r="R1586" s="27" t="n">
        <v>1</v>
      </c>
      <c r="S1586" s="26" t="n">
        <v>30.1</v>
      </c>
      <c r="T1586" s="26" t="n">
        <v>17.19</v>
      </c>
      <c r="U1586" s="11">
        <f>IF(S1586&lt;='Methodology &amp; Assumptions'!$B$10, "Direct Optical Drop (&lt;3km)", IF(S1586&lt;='Methodology &amp; Assumptions'!$B$9, "Near Optical / Microwave (&lt;5km)", "Starlink Business LEO Satellite Backhaul (&gt;5km)"))</f>
        <v/>
      </c>
      <c r="V1586" s="26" t="n">
        <v>38.03</v>
      </c>
      <c r="W1586" s="26" t="n">
        <v>77.66</v>
      </c>
      <c r="X1586" s="26">
        <f>ROUND(('Methodology &amp; Assumptions'!$B$5*V1586) + ('Methodology &amp; Assumptions'!$B$6*W1586), 2)</f>
        <v/>
      </c>
      <c r="Y1586" s="28" t="n">
        <v>23.7</v>
      </c>
      <c r="Z1586" s="11" t="inlineStr">
        <is>
          <t>Priority Tier 3 (Broadband Expansion)</t>
        </is>
      </c>
    </row>
    <row r="1587">
      <c r="A1587" s="23" t="n">
        <v>5</v>
      </c>
      <c r="B1587" s="23" t="n">
        <v>583</v>
      </c>
      <c r="C1587" s="23" t="n">
        <v>4583</v>
      </c>
      <c r="D1587" s="23" t="inlineStr">
        <is>
          <t>1705201029</t>
        </is>
      </c>
      <c r="E1587" s="11" t="inlineStr">
        <is>
          <t>MIMAROPA Region</t>
        </is>
      </c>
      <c r="F1587" s="11" t="inlineStr">
        <is>
          <t>Oriental Mindoro</t>
        </is>
      </c>
      <c r="G1587" s="11" t="inlineStr">
        <is>
          <t>Baco</t>
        </is>
      </c>
      <c r="H1587" s="11" t="inlineStr">
        <is>
          <t>Poblacion</t>
        </is>
      </c>
      <c r="I1587" s="24" t="n">
        <v>13.359728</v>
      </c>
      <c r="J1587" s="24" t="n">
        <v>121.096317</v>
      </c>
      <c r="K1587" s="23" t="inlineStr">
        <is>
          <t>R</t>
        </is>
      </c>
      <c r="L1587" s="25" t="n">
        <v>2895</v>
      </c>
      <c r="M1587" s="26" t="n">
        <v>3.9</v>
      </c>
      <c r="N1587" s="25">
        <f>ROUND(L1587/M1587, 0)</f>
        <v/>
      </c>
      <c r="O1587" s="25">
        <f>ROUND(N1587*'Methodology &amp; Assumptions'!$B$7, 0)</f>
        <v/>
      </c>
      <c r="P1587" s="23" t="inlineStr">
        <is>
          <t>Single Carrier (Band n50, 100MHz TDD)</t>
        </is>
      </c>
      <c r="Q1587" s="27">
        <f>ROUNDUP(O1587/'Methodology &amp; Assumptions'!$B$8, 0)</f>
        <v/>
      </c>
      <c r="R1587" s="27" t="n">
        <v>1</v>
      </c>
      <c r="S1587" s="26" t="n">
        <v>0.05</v>
      </c>
      <c r="T1587" s="26" t="n">
        <v>0.23</v>
      </c>
      <c r="U1587" s="11">
        <f>IF(S1587&lt;='Methodology &amp; Assumptions'!$B$10, "Direct Optical Drop (&lt;3km)", IF(S1587&lt;='Methodology &amp; Assumptions'!$B$9, "Near Optical / Microwave (&lt;5km)", "Starlink Business LEO Satellite Backhaul (&gt;5km)"))</f>
        <v/>
      </c>
      <c r="V1587" s="26" t="n">
        <v>82.16</v>
      </c>
      <c r="W1587" s="26" t="n">
        <v>33.51</v>
      </c>
      <c r="X1587" s="26">
        <f>ROUND(('Methodology &amp; Assumptions'!$B$5*V1587) + ('Methodology &amp; Assumptions'!$B$6*W1587), 2)</f>
        <v/>
      </c>
      <c r="Y1587" s="28" t="n">
        <v>15</v>
      </c>
      <c r="Z1587" s="11" t="inlineStr">
        <is>
          <t>Priority Tier 3 (Broadband Expansion)</t>
        </is>
      </c>
    </row>
    <row r="1588">
      <c r="A1588" s="23" t="n">
        <v>5</v>
      </c>
      <c r="B1588" s="23" t="n">
        <v>584</v>
      </c>
      <c r="C1588" s="23" t="n">
        <v>4584</v>
      </c>
      <c r="D1588" s="23" t="inlineStr">
        <is>
          <t>0504101007</t>
        </is>
      </c>
      <c r="E1588" s="11" t="inlineStr">
        <is>
          <t>Region V (Bicol Region)</t>
        </is>
      </c>
      <c r="F1588" s="11" t="inlineStr">
        <is>
          <t>Masbate</t>
        </is>
      </c>
      <c r="G1588" s="11" t="inlineStr">
        <is>
          <t>Aroroy</t>
        </is>
      </c>
      <c r="H1588" s="11" t="inlineStr">
        <is>
          <t>Bangon</t>
        </is>
      </c>
      <c r="I1588" s="24" t="n">
        <v>12.492675</v>
      </c>
      <c r="J1588" s="24" t="n">
        <v>123.399103</v>
      </c>
      <c r="K1588" s="23" t="inlineStr">
        <is>
          <t>R</t>
        </is>
      </c>
      <c r="L1588" s="25" t="n">
        <v>2921</v>
      </c>
      <c r="M1588" s="26" t="n">
        <v>4.1</v>
      </c>
      <c r="N1588" s="25">
        <f>ROUND(L1588/M1588, 0)</f>
        <v/>
      </c>
      <c r="O1588" s="25">
        <f>ROUND(N1588*'Methodology &amp; Assumptions'!$B$7, 0)</f>
        <v/>
      </c>
      <c r="P1588" s="23" t="inlineStr">
        <is>
          <t>Single Carrier (Band n50, 100MHz TDD)</t>
        </is>
      </c>
      <c r="Q1588" s="27">
        <f>ROUNDUP(O1588/'Methodology &amp; Assumptions'!$B$8, 0)</f>
        <v/>
      </c>
      <c r="R1588" s="27" t="n">
        <v>1</v>
      </c>
      <c r="S1588" s="26" t="n">
        <v>1.98</v>
      </c>
      <c r="T1588" s="26" t="n">
        <v>4.76</v>
      </c>
      <c r="U1588" s="11">
        <f>IF(S1588&lt;='Methodology &amp; Assumptions'!$B$10, "Direct Optical Drop (&lt;3km)", IF(S1588&lt;='Methodology &amp; Assumptions'!$B$9, "Near Optical / Microwave (&lt;5km)", "Starlink Business LEO Satellite Backhaul (&gt;5km)"))</f>
        <v/>
      </c>
      <c r="V1588" s="26" t="n">
        <v>75.5</v>
      </c>
      <c r="W1588" s="26" t="n">
        <v>40.18</v>
      </c>
      <c r="X1588" s="26">
        <f>ROUND(('Methodology &amp; Assumptions'!$B$5*V1588) + ('Methodology &amp; Assumptions'!$B$6*W1588), 2)</f>
        <v/>
      </c>
      <c r="Y1588" s="28" t="n">
        <v>23.7</v>
      </c>
      <c r="Z1588" s="11" t="inlineStr">
        <is>
          <t>Priority Tier 3 (Broadband Expansion)</t>
        </is>
      </c>
    </row>
    <row r="1589">
      <c r="A1589" s="23" t="n">
        <v>5</v>
      </c>
      <c r="B1589" s="23" t="n">
        <v>585</v>
      </c>
      <c r="C1589" s="23" t="n">
        <v>4585</v>
      </c>
      <c r="D1589" s="23" t="inlineStr">
        <is>
          <t>0501709008</t>
        </is>
      </c>
      <c r="E1589" s="11" t="inlineStr">
        <is>
          <t>Region V (Bicol Region)</t>
        </is>
      </c>
      <c r="F1589" s="11" t="inlineStr">
        <is>
          <t>Camarines Sur</t>
        </is>
      </c>
      <c r="G1589" s="11" t="inlineStr">
        <is>
          <t>Camaligan</t>
        </is>
      </c>
      <c r="H1589" s="11" t="inlineStr">
        <is>
          <t>San Marcos</t>
        </is>
      </c>
      <c r="I1589" s="24" t="n">
        <v>13.619603</v>
      </c>
      <c r="J1589" s="24" t="n">
        <v>123.170677</v>
      </c>
      <c r="K1589" s="23" t="inlineStr">
        <is>
          <t>R</t>
        </is>
      </c>
      <c r="L1589" s="25" t="n">
        <v>1491</v>
      </c>
      <c r="M1589" s="26" t="n">
        <v>4.2</v>
      </c>
      <c r="N1589" s="25">
        <f>ROUND(L1589/M1589, 0)</f>
        <v/>
      </c>
      <c r="O1589" s="25">
        <f>ROUND(N1589*'Methodology &amp; Assumptions'!$B$7, 0)</f>
        <v/>
      </c>
      <c r="P1589" s="23" t="inlineStr">
        <is>
          <t>Single Carrier (Band n50, 100MHz TDD)</t>
        </is>
      </c>
      <c r="Q1589" s="27">
        <f>ROUNDUP(O1589/'Methodology &amp; Assumptions'!$B$8, 0)</f>
        <v/>
      </c>
      <c r="R1589" s="27" t="n">
        <v>1</v>
      </c>
      <c r="S1589" s="26" t="n">
        <v>0.15</v>
      </c>
      <c r="T1589" s="26" t="n">
        <v>1.58</v>
      </c>
      <c r="U1589" s="11">
        <f>IF(S1589&lt;='Methodology &amp; Assumptions'!$B$10, "Direct Optical Drop (&lt;3km)", IF(S1589&lt;='Methodology &amp; Assumptions'!$B$9, "Near Optical / Microwave (&lt;5km)", "Starlink Business LEO Satellite Backhaul (&gt;5km)"))</f>
        <v/>
      </c>
      <c r="V1589" s="26" t="n">
        <v>74.83</v>
      </c>
      <c r="W1589" s="26" t="n">
        <v>40.85</v>
      </c>
      <c r="X1589" s="26">
        <f>ROUND(('Methodology &amp; Assumptions'!$B$5*V1589) + ('Methodology &amp; Assumptions'!$B$6*W1589), 2)</f>
        <v/>
      </c>
      <c r="Y1589" s="28" t="n">
        <v>23.7</v>
      </c>
      <c r="Z1589" s="11" t="inlineStr">
        <is>
          <t>Priority Tier 3 (Broadband Expansion)</t>
        </is>
      </c>
    </row>
    <row r="1590">
      <c r="A1590" s="23" t="n">
        <v>5</v>
      </c>
      <c r="B1590" s="23" t="n">
        <v>586</v>
      </c>
      <c r="C1590" s="23" t="n">
        <v>4586</v>
      </c>
      <c r="D1590" s="23" t="inlineStr">
        <is>
          <t>0306903046</t>
        </is>
      </c>
      <c r="E1590" s="11" t="inlineStr">
        <is>
          <t>Region III (Central Luzon)</t>
        </is>
      </c>
      <c r="F1590" s="11" t="inlineStr">
        <is>
          <t>Tarlac</t>
        </is>
      </c>
      <c r="G1590" s="11" t="inlineStr">
        <is>
          <t>Camiling</t>
        </is>
      </c>
      <c r="H1590" s="11" t="inlineStr">
        <is>
          <t>Poblacion D</t>
        </is>
      </c>
      <c r="I1590" s="24" t="n">
        <v>15.6825</v>
      </c>
      <c r="J1590" s="24" t="n">
        <v>120.408333</v>
      </c>
      <c r="K1590" s="23" t="inlineStr">
        <is>
          <t>R</t>
        </is>
      </c>
      <c r="L1590" s="25" t="n">
        <v>1126</v>
      </c>
      <c r="M1590" s="26" t="n">
        <v>3.9</v>
      </c>
      <c r="N1590" s="25">
        <f>ROUND(L1590/M1590, 0)</f>
        <v/>
      </c>
      <c r="O1590" s="25">
        <f>ROUND(N1590*'Methodology &amp; Assumptions'!$B$7, 0)</f>
        <v/>
      </c>
      <c r="P1590" s="23" t="inlineStr">
        <is>
          <t>Single Carrier (Band n50, 100MHz TDD)</t>
        </is>
      </c>
      <c r="Q1590" s="27">
        <f>ROUNDUP(O1590/'Methodology &amp; Assumptions'!$B$8, 0)</f>
        <v/>
      </c>
      <c r="R1590" s="27" t="n">
        <v>1</v>
      </c>
      <c r="S1590" s="26" t="n">
        <v>1.03</v>
      </c>
      <c r="T1590" s="26" t="n">
        <v>1.03</v>
      </c>
      <c r="U1590" s="11">
        <f>IF(S1590&lt;='Methodology &amp; Assumptions'!$B$10, "Direct Optical Drop (&lt;3km)", IF(S1590&lt;='Methodology &amp; Assumptions'!$B$9, "Near Optical / Microwave (&lt;5km)", "Starlink Business LEO Satellite Backhaul (&gt;5km)"))</f>
        <v/>
      </c>
      <c r="V1590" s="26" t="n">
        <v>67.73</v>
      </c>
      <c r="W1590" s="26" t="n">
        <v>47.96</v>
      </c>
      <c r="X1590" s="26">
        <f>ROUND(('Methodology &amp; Assumptions'!$B$5*V1590) + ('Methodology &amp; Assumptions'!$B$6*W1590), 2)</f>
        <v/>
      </c>
      <c r="Y1590" s="28" t="n">
        <v>8.300000000000001</v>
      </c>
      <c r="Z1590" s="11" t="inlineStr">
        <is>
          <t>Priority Tier 3 (Broadband Expansion)</t>
        </is>
      </c>
    </row>
    <row r="1591">
      <c r="A1591" s="23" t="n">
        <v>5</v>
      </c>
      <c r="B1591" s="23" t="n">
        <v>587</v>
      </c>
      <c r="C1591" s="23" t="n">
        <v>4587</v>
      </c>
      <c r="D1591" s="23" t="inlineStr">
        <is>
          <t>1908709001</t>
        </is>
      </c>
      <c r="E1591" s="11" t="inlineStr">
        <is>
          <t>Bangsamoro Autonomous Region In Muslim Mindanao (BARMM)</t>
        </is>
      </c>
      <c r="F1591" s="11" t="inlineStr">
        <is>
          <t>Maguindanao del Norte</t>
        </is>
      </c>
      <c r="G1591" s="11" t="inlineStr">
        <is>
          <t>Parang</t>
        </is>
      </c>
      <c r="H1591" s="11" t="inlineStr">
        <is>
          <t>Bongo Island</t>
        </is>
      </c>
      <c r="I1591" s="24" t="n">
        <v>7.347778</v>
      </c>
      <c r="J1591" s="24" t="n">
        <v>124.051111</v>
      </c>
      <c r="K1591" s="23" t="inlineStr">
        <is>
          <t>R</t>
        </is>
      </c>
      <c r="L1591" s="25" t="n">
        <v>8765</v>
      </c>
      <c r="M1591" s="26" t="n">
        <v>4.3</v>
      </c>
      <c r="N1591" s="25">
        <f>ROUND(L1591/M1591, 0)</f>
        <v/>
      </c>
      <c r="O1591" s="25">
        <f>ROUND(N1591*'Methodology &amp; Assumptions'!$B$7, 0)</f>
        <v/>
      </c>
      <c r="P1591" s="23" t="inlineStr">
        <is>
          <t>Single Carrier (Band n50, 100MHz TDD)</t>
        </is>
      </c>
      <c r="Q1591" s="27">
        <f>ROUNDUP(O1591/'Methodology &amp; Assumptions'!$B$8, 0)</f>
        <v/>
      </c>
      <c r="R1591" s="27" t="n">
        <v>1</v>
      </c>
      <c r="S1591" s="26" t="n">
        <v>77.63</v>
      </c>
      <c r="T1591" s="26" t="n">
        <v>68.09999999999999</v>
      </c>
      <c r="U1591" s="11">
        <f>IF(S1591&lt;='Methodology &amp; Assumptions'!$B$10, "Direct Optical Drop (&lt;3km)", IF(S1591&lt;='Methodology &amp; Assumptions'!$B$9, "Near Optical / Microwave (&lt;5km)", "Starlink Business LEO Satellite Backhaul (&gt;5km)"))</f>
        <v/>
      </c>
      <c r="V1591" s="26" t="n">
        <v>59.06</v>
      </c>
      <c r="W1591" s="26" t="n">
        <v>56.63</v>
      </c>
      <c r="X1591" s="26">
        <f>ROUND(('Methodology &amp; Assumptions'!$B$5*V1591) + ('Methodology &amp; Assumptions'!$B$6*W1591), 2)</f>
        <v/>
      </c>
      <c r="Y1591" s="28" t="n">
        <v>11</v>
      </c>
      <c r="Z1591" s="11" t="inlineStr">
        <is>
          <t>Priority Tier 3 (Broadband Expansion)</t>
        </is>
      </c>
    </row>
    <row r="1592">
      <c r="A1592" s="23" t="n">
        <v>5</v>
      </c>
      <c r="B1592" s="23" t="n">
        <v>588</v>
      </c>
      <c r="C1592" s="23" t="n">
        <v>4588</v>
      </c>
      <c r="D1592" s="23" t="inlineStr">
        <is>
          <t>1380605085</t>
        </is>
      </c>
      <c r="E1592" s="11" t="inlineStr">
        <is>
          <t>National Capital Region (NCR)</t>
        </is>
      </c>
      <c r="F1592" s="11" t="inlineStr">
        <is>
          <t>First District (Not a Province)</t>
        </is>
      </c>
      <c r="G1592" s="11" t="inlineStr">
        <is>
          <t>City of Manila</t>
        </is>
      </c>
      <c r="H1592" s="11" t="inlineStr">
        <is>
          <t>Barangay 382</t>
        </is>
      </c>
      <c r="I1592" s="24" t="n">
        <v>14.627373</v>
      </c>
      <c r="J1592" s="24" t="n">
        <v>120.984057</v>
      </c>
      <c r="K1592" s="23" t="inlineStr">
        <is>
          <t>U</t>
        </is>
      </c>
      <c r="L1592" s="25" t="n">
        <v>804</v>
      </c>
      <c r="M1592" s="26" t="n">
        <v>4.37</v>
      </c>
      <c r="N1592" s="25">
        <f>ROUND(L1592/M1592, 0)</f>
        <v/>
      </c>
      <c r="O1592" s="25">
        <f>ROUND(N1592*'Methodology &amp; Assumptions'!$B$7, 0)</f>
        <v/>
      </c>
      <c r="P1592" s="23" t="inlineStr">
        <is>
          <t>Single Carrier (Band n50, 100MHz TDD)</t>
        </is>
      </c>
      <c r="Q1592" s="27">
        <f>ROUNDUP(O1592/'Methodology &amp; Assumptions'!$B$8, 0)</f>
        <v/>
      </c>
      <c r="R1592" s="27" t="n">
        <v>1</v>
      </c>
      <c r="S1592" s="26" t="n">
        <v>1.16</v>
      </c>
      <c r="T1592" s="26" t="n">
        <v>0.13</v>
      </c>
      <c r="U1592" s="11">
        <f>IF(S1592&lt;='Methodology &amp; Assumptions'!$B$10, "Direct Optical Drop (&lt;3km)", IF(S1592&lt;='Methodology &amp; Assumptions'!$B$9, "Near Optical / Microwave (&lt;5km)", "Starlink Business LEO Satellite Backhaul (&gt;5km)"))</f>
        <v/>
      </c>
      <c r="V1592" s="26" t="n">
        <v>45.78</v>
      </c>
      <c r="W1592" s="26" t="n">
        <v>69.91</v>
      </c>
      <c r="X1592" s="26">
        <f>ROUND(('Methodology &amp; Assumptions'!$B$5*V1592) + ('Methodology &amp; Assumptions'!$B$6*W1592), 2)</f>
        <v/>
      </c>
      <c r="Y1592" s="28" t="n">
        <v>10.9</v>
      </c>
      <c r="Z1592" s="11" t="inlineStr">
        <is>
          <t>Priority Tier 3 (Broadband Expansion)</t>
        </is>
      </c>
    </row>
    <row r="1593">
      <c r="A1593" s="23" t="n">
        <v>5</v>
      </c>
      <c r="B1593" s="23" t="n">
        <v>589</v>
      </c>
      <c r="C1593" s="23" t="n">
        <v>4589</v>
      </c>
      <c r="D1593" s="23" t="inlineStr">
        <is>
          <t>0500504048</t>
        </is>
      </c>
      <c r="E1593" s="11" t="inlineStr">
        <is>
          <t>Region V (Bicol Region)</t>
        </is>
      </c>
      <c r="F1593" s="11" t="inlineStr">
        <is>
          <t>Albay</t>
        </is>
      </c>
      <c r="G1593" s="11" t="inlineStr">
        <is>
          <t>Guinobatan</t>
        </is>
      </c>
      <c r="H1593" s="11" t="inlineStr">
        <is>
          <t>Travesia</t>
        </is>
      </c>
      <c r="I1593" s="24" t="n">
        <v>13.187784</v>
      </c>
      <c r="J1593" s="24" t="n">
        <v>123.612805</v>
      </c>
      <c r="K1593" s="23" t="inlineStr">
        <is>
          <t>R</t>
        </is>
      </c>
      <c r="L1593" s="25" t="n">
        <v>3871</v>
      </c>
      <c r="M1593" s="26" t="n">
        <v>4.1</v>
      </c>
      <c r="N1593" s="25">
        <f>ROUND(L1593/M1593, 0)</f>
        <v/>
      </c>
      <c r="O1593" s="25">
        <f>ROUND(N1593*'Methodology &amp; Assumptions'!$B$7, 0)</f>
        <v/>
      </c>
      <c r="P1593" s="23" t="inlineStr">
        <is>
          <t>Single Carrier (Band n50, 100MHz TDD)</t>
        </is>
      </c>
      <c r="Q1593" s="27">
        <f>ROUNDUP(O1593/'Methodology &amp; Assumptions'!$B$8, 0)</f>
        <v/>
      </c>
      <c r="R1593" s="27" t="n">
        <v>1</v>
      </c>
      <c r="S1593" s="26" t="n">
        <v>0.98</v>
      </c>
      <c r="T1593" s="26" t="n">
        <v>0.2</v>
      </c>
      <c r="U1593" s="11">
        <f>IF(S1593&lt;='Methodology &amp; Assumptions'!$B$10, "Direct Optical Drop (&lt;3km)", IF(S1593&lt;='Methodology &amp; Assumptions'!$B$9, "Near Optical / Microwave (&lt;5km)", "Starlink Business LEO Satellite Backhaul (&gt;5km)"))</f>
        <v/>
      </c>
      <c r="V1593" s="26" t="n">
        <v>87.54000000000001</v>
      </c>
      <c r="W1593" s="26" t="n">
        <v>28.13</v>
      </c>
      <c r="X1593" s="26">
        <f>ROUND(('Methodology &amp; Assumptions'!$B$5*V1593) + ('Methodology &amp; Assumptions'!$B$6*W1593), 2)</f>
        <v/>
      </c>
      <c r="Y1593" s="28" t="n">
        <v>23.7</v>
      </c>
      <c r="Z1593" s="11" t="inlineStr">
        <is>
          <t>Priority Tier 3 (Broadband Expansion)</t>
        </is>
      </c>
    </row>
    <row r="1594">
      <c r="A1594" s="23" t="n">
        <v>5</v>
      </c>
      <c r="B1594" s="23" t="n">
        <v>590</v>
      </c>
      <c r="C1594" s="23" t="n">
        <v>4590</v>
      </c>
      <c r="D1594" s="23" t="inlineStr">
        <is>
          <t>0604531009</t>
        </is>
      </c>
      <c r="E1594" s="11" t="inlineStr">
        <is>
          <t>Region VI (Western Visayas)</t>
        </is>
      </c>
      <c r="F1594" s="11" t="inlineStr">
        <is>
          <t>Negros Occidental</t>
        </is>
      </c>
      <c r="G1594" s="11" t="inlineStr">
        <is>
          <t>City of Victorias</t>
        </is>
      </c>
      <c r="H1594" s="11" t="inlineStr">
        <is>
          <t>Barangay VI</t>
        </is>
      </c>
      <c r="I1594" s="24" t="n">
        <v>10.911162</v>
      </c>
      <c r="J1594" s="24" t="n">
        <v>123.062719</v>
      </c>
      <c r="K1594" s="23" t="inlineStr">
        <is>
          <t>U</t>
        </is>
      </c>
      <c r="L1594" s="25" t="n">
        <v>5874</v>
      </c>
      <c r="M1594" s="26" t="n">
        <v>3.7</v>
      </c>
      <c r="N1594" s="25">
        <f>ROUND(L1594/M1594, 0)</f>
        <v/>
      </c>
      <c r="O1594" s="25">
        <f>ROUND(N1594*'Methodology &amp; Assumptions'!$B$7, 0)</f>
        <v/>
      </c>
      <c r="P1594" s="23" t="inlineStr">
        <is>
          <t>Single Carrier (Band n50, 100MHz TDD)</t>
        </is>
      </c>
      <c r="Q1594" s="27">
        <f>ROUNDUP(O1594/'Methodology &amp; Assumptions'!$B$8, 0)</f>
        <v/>
      </c>
      <c r="R1594" s="27" t="n">
        <v>1</v>
      </c>
      <c r="S1594" s="26" t="n">
        <v>1.56</v>
      </c>
      <c r="T1594" s="26" t="n">
        <v>1.43</v>
      </c>
      <c r="U1594" s="11">
        <f>IF(S1594&lt;='Methodology &amp; Assumptions'!$B$10, "Direct Optical Drop (&lt;3km)", IF(S1594&lt;='Methodology &amp; Assumptions'!$B$9, "Near Optical / Microwave (&lt;5km)", "Starlink Business LEO Satellite Backhaul (&gt;5km)"))</f>
        <v/>
      </c>
      <c r="V1594" s="26" t="n">
        <v>78.16</v>
      </c>
      <c r="W1594" s="26" t="n">
        <v>37.49</v>
      </c>
      <c r="X1594" s="26">
        <f>ROUND(('Methodology &amp; Assumptions'!$B$5*V1594) + ('Methodology &amp; Assumptions'!$B$6*W1594), 2)</f>
        <v/>
      </c>
      <c r="Y1594" s="28" t="n">
        <v>23.7</v>
      </c>
      <c r="Z1594" s="11" t="inlineStr">
        <is>
          <t>Priority Tier 3 (Broadband Expansion)</t>
        </is>
      </c>
    </row>
    <row r="1595">
      <c r="A1595" s="23" t="n">
        <v>5</v>
      </c>
      <c r="B1595" s="23" t="n">
        <v>591</v>
      </c>
      <c r="C1595" s="23" t="n">
        <v>4591</v>
      </c>
      <c r="D1595" s="23" t="inlineStr">
        <is>
          <t>0402103006</t>
        </is>
      </c>
      <c r="E1595" s="11" t="inlineStr">
        <is>
          <t>Region IV-A (CALABARZON)</t>
        </is>
      </c>
      <c r="F1595" s="11" t="inlineStr">
        <is>
          <t>Cavite</t>
        </is>
      </c>
      <c r="G1595" s="11" t="inlineStr">
        <is>
          <t>City of Bacoor</t>
        </is>
      </c>
      <c r="H1595" s="11" t="inlineStr">
        <is>
          <t>Digman</t>
        </is>
      </c>
      <c r="I1595" s="24" t="n">
        <v>14.436707</v>
      </c>
      <c r="J1595" s="24" t="n">
        <v>120.961346</v>
      </c>
      <c r="K1595" s="23" t="inlineStr">
        <is>
          <t>R</t>
        </is>
      </c>
      <c r="L1595" s="25" t="n">
        <v>2188</v>
      </c>
      <c r="M1595" s="26" t="n">
        <v>3.4</v>
      </c>
      <c r="N1595" s="25">
        <f>ROUND(L1595/M1595, 0)</f>
        <v/>
      </c>
      <c r="O1595" s="25">
        <f>ROUND(N1595*'Methodology &amp; Assumptions'!$B$7, 0)</f>
        <v/>
      </c>
      <c r="P1595" s="23" t="inlineStr">
        <is>
          <t>Single Carrier (Band n50, 100MHz TDD)</t>
        </is>
      </c>
      <c r="Q1595" s="27">
        <f>ROUNDUP(O1595/'Methodology &amp; Assumptions'!$B$8, 0)</f>
        <v/>
      </c>
      <c r="R1595" s="27" t="n">
        <v>1</v>
      </c>
      <c r="S1595" s="26" t="n">
        <v>1.43</v>
      </c>
      <c r="T1595" s="26" t="n">
        <v>1.32</v>
      </c>
      <c r="U1595" s="11">
        <f>IF(S1595&lt;='Methodology &amp; Assumptions'!$B$10, "Direct Optical Drop (&lt;3km)", IF(S1595&lt;='Methodology &amp; Assumptions'!$B$9, "Near Optical / Microwave (&lt;5km)", "Starlink Business LEO Satellite Backhaul (&gt;5km)"))</f>
        <v/>
      </c>
      <c r="V1595" s="26" t="n">
        <v>77.61</v>
      </c>
      <c r="W1595" s="26" t="n">
        <v>38.05</v>
      </c>
      <c r="X1595" s="26">
        <f>ROUND(('Methodology &amp; Assumptions'!$B$5*V1595) + ('Methodology &amp; Assumptions'!$B$6*W1595), 2)</f>
        <v/>
      </c>
      <c r="Y1595" s="28" t="n">
        <v>7.2</v>
      </c>
      <c r="Z1595" s="11" t="inlineStr">
        <is>
          <t>Priority Tier 3 (Broadband Expansion)</t>
        </is>
      </c>
    </row>
    <row r="1596">
      <c r="A1596" s="23" t="n">
        <v>5</v>
      </c>
      <c r="B1596" s="23" t="n">
        <v>592</v>
      </c>
      <c r="C1596" s="23" t="n">
        <v>4592</v>
      </c>
      <c r="D1596" s="23" t="inlineStr">
        <is>
          <t>0401009021</t>
        </is>
      </c>
      <c r="E1596" s="11" t="inlineStr">
        <is>
          <t>Region IV-A (CALABARZON)</t>
        </is>
      </c>
      <c r="F1596" s="11" t="inlineStr">
        <is>
          <t>Batangas</t>
        </is>
      </c>
      <c r="G1596" s="11" t="inlineStr">
        <is>
          <t>Cuenca</t>
        </is>
      </c>
      <c r="H1596" s="11" t="inlineStr">
        <is>
          <t>Barangay 7</t>
        </is>
      </c>
      <c r="I1596" s="24" t="n">
        <v>13.90393</v>
      </c>
      <c r="J1596" s="24" t="n">
        <v>121.050889</v>
      </c>
      <c r="K1596" s="23" t="inlineStr">
        <is>
          <t>U</t>
        </is>
      </c>
      <c r="L1596" s="25" t="n">
        <v>2231</v>
      </c>
      <c r="M1596" s="26" t="n">
        <v>3.6</v>
      </c>
      <c r="N1596" s="25">
        <f>ROUND(L1596/M1596, 0)</f>
        <v/>
      </c>
      <c r="O1596" s="25">
        <f>ROUND(N1596*'Methodology &amp; Assumptions'!$B$7, 0)</f>
        <v/>
      </c>
      <c r="P1596" s="23" t="inlineStr">
        <is>
          <t>Single Carrier (Band n50, 100MHz TDD)</t>
        </is>
      </c>
      <c r="Q1596" s="27">
        <f>ROUNDUP(O1596/'Methodology &amp; Assumptions'!$B$8, 0)</f>
        <v/>
      </c>
      <c r="R1596" s="27" t="n">
        <v>1</v>
      </c>
      <c r="S1596" s="26" t="n">
        <v>0.65</v>
      </c>
      <c r="T1596" s="26" t="n">
        <v>0.65</v>
      </c>
      <c r="U1596" s="11">
        <f>IF(S1596&lt;='Methodology &amp; Assumptions'!$B$10, "Direct Optical Drop (&lt;3km)", IF(S1596&lt;='Methodology &amp; Assumptions'!$B$9, "Near Optical / Microwave (&lt;5km)", "Starlink Business LEO Satellite Backhaul (&gt;5km)"))</f>
        <v/>
      </c>
      <c r="V1596" s="26" t="n">
        <v>71.89</v>
      </c>
      <c r="W1596" s="26" t="n">
        <v>43.76</v>
      </c>
      <c r="X1596" s="26">
        <f>ROUND(('Methodology &amp; Assumptions'!$B$5*V1596) + ('Methodology &amp; Assumptions'!$B$6*W1596), 2)</f>
        <v/>
      </c>
      <c r="Y1596" s="28" t="n">
        <v>7.2</v>
      </c>
      <c r="Z1596" s="11" t="inlineStr">
        <is>
          <t>Priority Tier 3 (Broadband Expansion)</t>
        </is>
      </c>
    </row>
    <row r="1597">
      <c r="A1597" s="23" t="n">
        <v>5</v>
      </c>
      <c r="B1597" s="23" t="n">
        <v>593</v>
      </c>
      <c r="C1597" s="23" t="n">
        <v>4593</v>
      </c>
      <c r="D1597" s="23" t="inlineStr">
        <is>
          <t>1208007002</t>
        </is>
      </c>
      <c r="E1597" s="11" t="inlineStr">
        <is>
          <t>Region XII (SOCCSKSARGEN)</t>
        </is>
      </c>
      <c r="F1597" s="11" t="inlineStr">
        <is>
          <t>Sarangani</t>
        </is>
      </c>
      <c r="G1597" s="11" t="inlineStr">
        <is>
          <t>Malungon</t>
        </is>
      </c>
      <c r="H1597" s="11" t="inlineStr">
        <is>
          <t>Ampon</t>
        </is>
      </c>
      <c r="I1597" s="24" t="n">
        <v>6.333166</v>
      </c>
      <c r="J1597" s="24" t="n">
        <v>125.295847</v>
      </c>
      <c r="K1597" s="23" t="inlineStr">
        <is>
          <t>R</t>
        </is>
      </c>
      <c r="L1597" s="25" t="n">
        <v>2053</v>
      </c>
      <c r="M1597" s="26" t="n">
        <v>3.9</v>
      </c>
      <c r="N1597" s="25">
        <f>ROUND(L1597/M1597, 0)</f>
        <v/>
      </c>
      <c r="O1597" s="25">
        <f>ROUND(N1597*'Methodology &amp; Assumptions'!$B$7, 0)</f>
        <v/>
      </c>
      <c r="P1597" s="23" t="inlineStr">
        <is>
          <t>Single Carrier (Band n50, 100MHz TDD)</t>
        </is>
      </c>
      <c r="Q1597" s="27">
        <f>ROUNDUP(O1597/'Methodology &amp; Assumptions'!$B$8, 0)</f>
        <v/>
      </c>
      <c r="R1597" s="27" t="n">
        <v>1</v>
      </c>
      <c r="S1597" s="26" t="n">
        <v>5.56</v>
      </c>
      <c r="T1597" s="26" t="n">
        <v>3.4</v>
      </c>
      <c r="U1597" s="11">
        <f>IF(S1597&lt;='Methodology &amp; Assumptions'!$B$10, "Direct Optical Drop (&lt;3km)", IF(S1597&lt;='Methodology &amp; Assumptions'!$B$9, "Near Optical / Microwave (&lt;5km)", "Starlink Business LEO Satellite Backhaul (&gt;5km)"))</f>
        <v/>
      </c>
      <c r="V1597" s="26" t="n">
        <v>61.05</v>
      </c>
      <c r="W1597" s="26" t="n">
        <v>54.61</v>
      </c>
      <c r="X1597" s="26">
        <f>ROUND(('Methodology &amp; Assumptions'!$B$5*V1597) + ('Methodology &amp; Assumptions'!$B$6*W1597), 2)</f>
        <v/>
      </c>
      <c r="Y1597" s="28" t="n">
        <v>17.4</v>
      </c>
      <c r="Z1597" s="11" t="inlineStr">
        <is>
          <t>Priority Tier 3 (Broadband Expansion)</t>
        </is>
      </c>
    </row>
    <row r="1598">
      <c r="A1598" s="23" t="n">
        <v>5</v>
      </c>
      <c r="B1598" s="23" t="n">
        <v>594</v>
      </c>
      <c r="C1598" s="23" t="n">
        <v>4594</v>
      </c>
      <c r="D1598" s="23" t="inlineStr">
        <is>
          <t>1400108006</t>
        </is>
      </c>
      <c r="E1598" s="11" t="inlineStr">
        <is>
          <t>Cordillera Administrative Region (CAR)</t>
        </is>
      </c>
      <c r="F1598" s="11" t="inlineStr">
        <is>
          <t>Abra</t>
        </is>
      </c>
      <c r="G1598" s="11" t="inlineStr">
        <is>
          <t>La Paz</t>
        </is>
      </c>
      <c r="H1598" s="11" t="inlineStr">
        <is>
          <t>Liguis</t>
        </is>
      </c>
      <c r="I1598" s="24" t="n">
        <v>17.65789</v>
      </c>
      <c r="J1598" s="24" t="n">
        <v>120.6351</v>
      </c>
      <c r="K1598" s="23" t="inlineStr">
        <is>
          <t>R</t>
        </is>
      </c>
      <c r="L1598" s="25" t="n">
        <v>1012</v>
      </c>
      <c r="M1598" s="26" t="n">
        <v>3.8</v>
      </c>
      <c r="N1598" s="25">
        <f>ROUND(L1598/M1598, 0)</f>
        <v/>
      </c>
      <c r="O1598" s="25">
        <f>ROUND(N1598*'Methodology &amp; Assumptions'!$B$7, 0)</f>
        <v/>
      </c>
      <c r="P1598" s="23" t="inlineStr">
        <is>
          <t>Single Carrier (Band n50, 100MHz TDD)</t>
        </is>
      </c>
      <c r="Q1598" s="27">
        <f>ROUNDUP(O1598/'Methodology &amp; Assumptions'!$B$8, 0)</f>
        <v/>
      </c>
      <c r="R1598" s="27" t="n">
        <v>1</v>
      </c>
      <c r="S1598" s="26" t="n">
        <v>3.35</v>
      </c>
      <c r="T1598" s="26" t="n">
        <v>1.35</v>
      </c>
      <c r="U1598" s="11">
        <f>IF(S1598&lt;='Methodology &amp; Assumptions'!$B$10, "Direct Optical Drop (&lt;3km)", IF(S1598&lt;='Methodology &amp; Assumptions'!$B$9, "Near Optical / Microwave (&lt;5km)", "Starlink Business LEO Satellite Backhaul (&gt;5km)"))</f>
        <v/>
      </c>
      <c r="V1598" s="26" t="n">
        <v>60.98</v>
      </c>
      <c r="W1598" s="26" t="n">
        <v>54.68</v>
      </c>
      <c r="X1598" s="26">
        <f>ROUND(('Methodology &amp; Assumptions'!$B$5*V1598) + ('Methodology &amp; Assumptions'!$B$6*W1598), 2)</f>
        <v/>
      </c>
      <c r="Y1598" s="28" t="n">
        <v>10.9</v>
      </c>
      <c r="Z1598" s="11" t="inlineStr">
        <is>
          <t>Priority Tier 3 (Broadband Expansion)</t>
        </is>
      </c>
    </row>
    <row r="1599">
      <c r="A1599" s="23" t="n">
        <v>5</v>
      </c>
      <c r="B1599" s="23" t="n">
        <v>595</v>
      </c>
      <c r="C1599" s="23" t="n">
        <v>4595</v>
      </c>
      <c r="D1599" s="23" t="inlineStr">
        <is>
          <t>1380606112</t>
        </is>
      </c>
      <c r="E1599" s="11" t="inlineStr">
        <is>
          <t>National Capital Region (NCR)</t>
        </is>
      </c>
      <c r="F1599" s="11" t="inlineStr">
        <is>
          <t>First District (Not a Province)</t>
        </is>
      </c>
      <c r="G1599" s="11" t="inlineStr">
        <is>
          <t>City of Manila</t>
        </is>
      </c>
      <c r="H1599" s="11" t="inlineStr">
        <is>
          <t>Barangay 506</t>
        </is>
      </c>
      <c r="I1599" s="24" t="n">
        <v>14.616875</v>
      </c>
      <c r="J1599" s="24" t="n">
        <v>120.994981</v>
      </c>
      <c r="K1599" s="23" t="inlineStr">
        <is>
          <t>U</t>
        </is>
      </c>
      <c r="L1599" s="25" t="n">
        <v>816</v>
      </c>
      <c r="M1599" s="26" t="n">
        <v>3.87</v>
      </c>
      <c r="N1599" s="25">
        <f>ROUND(L1599/M1599, 0)</f>
        <v/>
      </c>
      <c r="O1599" s="25">
        <f>ROUND(N1599*'Methodology &amp; Assumptions'!$B$7, 0)</f>
        <v/>
      </c>
      <c r="P1599" s="23" t="inlineStr">
        <is>
          <t>Single Carrier (Band n50, 100MHz TDD)</t>
        </is>
      </c>
      <c r="Q1599" s="27">
        <f>ROUNDUP(O1599/'Methodology &amp; Assumptions'!$B$8, 0)</f>
        <v/>
      </c>
      <c r="R1599" s="27" t="n">
        <v>1</v>
      </c>
      <c r="S1599" s="26" t="n">
        <v>1.15</v>
      </c>
      <c r="T1599" s="26" t="n">
        <v>0.44</v>
      </c>
      <c r="U1599" s="11">
        <f>IF(S1599&lt;='Methodology &amp; Assumptions'!$B$10, "Direct Optical Drop (&lt;3km)", IF(S1599&lt;='Methodology &amp; Assumptions'!$B$9, "Near Optical / Microwave (&lt;5km)", "Starlink Business LEO Satellite Backhaul (&gt;5km)"))</f>
        <v/>
      </c>
      <c r="V1599" s="26" t="n">
        <v>46.65</v>
      </c>
      <c r="W1599" s="26" t="n">
        <v>69.01000000000001</v>
      </c>
      <c r="X1599" s="26">
        <f>ROUND(('Methodology &amp; Assumptions'!$B$5*V1599) + ('Methodology &amp; Assumptions'!$B$6*W1599), 2)</f>
        <v/>
      </c>
      <c r="Y1599" s="28" t="n">
        <v>10.9</v>
      </c>
      <c r="Z1599" s="11" t="inlineStr">
        <is>
          <t>Priority Tier 3 (Broadband Expansion)</t>
        </is>
      </c>
    </row>
    <row r="1600">
      <c r="A1600" s="23" t="n">
        <v>5</v>
      </c>
      <c r="B1600" s="23" t="n">
        <v>596</v>
      </c>
      <c r="C1600" s="23" t="n">
        <v>4596</v>
      </c>
      <c r="D1600" s="23" t="inlineStr">
        <is>
          <t>1380606116</t>
        </is>
      </c>
      <c r="E1600" s="11" t="inlineStr">
        <is>
          <t>National Capital Region (NCR)</t>
        </is>
      </c>
      <c r="F1600" s="11" t="inlineStr">
        <is>
          <t>First District (Not a Province)</t>
        </is>
      </c>
      <c r="G1600" s="11" t="inlineStr">
        <is>
          <t>City of Manila</t>
        </is>
      </c>
      <c r="H1600" s="11" t="inlineStr">
        <is>
          <t>Barangay 510</t>
        </is>
      </c>
      <c r="I1600" s="24" t="n">
        <v>14.618874</v>
      </c>
      <c r="J1600" s="24" t="n">
        <v>120.993069</v>
      </c>
      <c r="K1600" s="23" t="inlineStr">
        <is>
          <t>U</t>
        </is>
      </c>
      <c r="L1600" s="25" t="n">
        <v>1010</v>
      </c>
      <c r="M1600" s="26" t="n">
        <v>4.93</v>
      </c>
      <c r="N1600" s="25">
        <f>ROUND(L1600/M1600, 0)</f>
        <v/>
      </c>
      <c r="O1600" s="25">
        <f>ROUND(N1600*'Methodology &amp; Assumptions'!$B$7, 0)</f>
        <v/>
      </c>
      <c r="P1600" s="23" t="inlineStr">
        <is>
          <t>Single Carrier (Band n50, 100MHz TDD)</t>
        </is>
      </c>
      <c r="Q1600" s="27">
        <f>ROUNDUP(O1600/'Methodology &amp; Assumptions'!$B$8, 0)</f>
        <v/>
      </c>
      <c r="R1600" s="27" t="n">
        <v>1</v>
      </c>
      <c r="S1600" s="26" t="n">
        <v>1.13</v>
      </c>
      <c r="T1600" s="26" t="n">
        <v>0.74</v>
      </c>
      <c r="U1600" s="11">
        <f>IF(S1600&lt;='Methodology &amp; Assumptions'!$B$10, "Direct Optical Drop (&lt;3km)", IF(S1600&lt;='Methodology &amp; Assumptions'!$B$9, "Near Optical / Microwave (&lt;5km)", "Starlink Business LEO Satellite Backhaul (&gt;5km)"))</f>
        <v/>
      </c>
      <c r="V1600" s="26" t="n">
        <v>46.63</v>
      </c>
      <c r="W1600" s="26" t="n">
        <v>69.04000000000001</v>
      </c>
      <c r="X1600" s="26">
        <f>ROUND(('Methodology &amp; Assumptions'!$B$5*V1600) + ('Methodology &amp; Assumptions'!$B$6*W1600), 2)</f>
        <v/>
      </c>
      <c r="Y1600" s="28" t="n">
        <v>10.9</v>
      </c>
      <c r="Z1600" s="11" t="inlineStr">
        <is>
          <t>Priority Tier 3 (Broadband Expansion)</t>
        </is>
      </c>
    </row>
    <row r="1601">
      <c r="A1601" s="23" t="n">
        <v>5</v>
      </c>
      <c r="B1601" s="23" t="n">
        <v>597</v>
      </c>
      <c r="C1601" s="23" t="n">
        <v>4597</v>
      </c>
      <c r="D1601" s="23" t="inlineStr">
        <is>
          <t>0200901004</t>
        </is>
      </c>
      <c r="E1601" s="11" t="inlineStr">
        <is>
          <t>Region II (Cagayan Valley)</t>
        </is>
      </c>
      <c r="F1601" s="11" t="inlineStr">
        <is>
          <t>Batanes</t>
        </is>
      </c>
      <c r="G1601" s="11" t="inlineStr">
        <is>
          <t>Basco</t>
        </is>
      </c>
      <c r="H1601" s="11" t="inlineStr">
        <is>
          <t>San Joaquin</t>
        </is>
      </c>
      <c r="I1601" s="24" t="n">
        <v>20.442972</v>
      </c>
      <c r="J1601" s="24" t="n">
        <v>121.989085</v>
      </c>
      <c r="K1601" s="23" t="inlineStr">
        <is>
          <t>R</t>
        </is>
      </c>
      <c r="L1601" s="25" t="n">
        <v>543</v>
      </c>
      <c r="M1601" s="26" t="n">
        <v>3</v>
      </c>
      <c r="N1601" s="25">
        <f>ROUND(L1601/M1601, 0)</f>
        <v/>
      </c>
      <c r="O1601" s="25">
        <f>ROUND(N1601*'Methodology &amp; Assumptions'!$B$7, 0)</f>
        <v/>
      </c>
      <c r="P1601" s="23" t="inlineStr">
        <is>
          <t>Single Carrier (Band n50, 100MHz TDD)</t>
        </is>
      </c>
      <c r="Q1601" s="27">
        <f>ROUNDUP(O1601/'Methodology &amp; Assumptions'!$B$8, 0)</f>
        <v/>
      </c>
      <c r="R1601" s="27" t="n">
        <v>1</v>
      </c>
      <c r="S1601" s="26" t="n">
        <v>223.92</v>
      </c>
      <c r="T1601" s="26" t="n">
        <v>216.5</v>
      </c>
      <c r="U1601" s="11">
        <f>IF(S1601&lt;='Methodology &amp; Assumptions'!$B$10, "Direct Optical Drop (&lt;3km)", IF(S1601&lt;='Methodology &amp; Assumptions'!$B$9, "Near Optical / Microwave (&lt;5km)", "Starlink Business LEO Satellite Backhaul (&gt;5km)"))</f>
        <v/>
      </c>
      <c r="V1601" s="26" t="n">
        <v>42.25</v>
      </c>
      <c r="W1601" s="26" t="n">
        <v>73.40000000000001</v>
      </c>
      <c r="X1601" s="26">
        <f>ROUND(('Methodology &amp; Assumptions'!$B$5*V1601) + ('Methodology &amp; Assumptions'!$B$6*W1601), 2)</f>
        <v/>
      </c>
      <c r="Y1601" s="28" t="n">
        <v>8.300000000000001</v>
      </c>
      <c r="Z1601" s="11" t="inlineStr">
        <is>
          <t>Priority Tier 3 (Broadband Expansion)</t>
        </is>
      </c>
    </row>
    <row r="1602">
      <c r="A1602" s="23" t="n">
        <v>5</v>
      </c>
      <c r="B1602" s="23" t="n">
        <v>598</v>
      </c>
      <c r="C1602" s="23" t="n">
        <v>4598</v>
      </c>
      <c r="D1602" s="23" t="inlineStr">
        <is>
          <t>0702224019</t>
        </is>
      </c>
      <c r="E1602" s="11" t="inlineStr">
        <is>
          <t>Region VII (Central Visayas)</t>
        </is>
      </c>
      <c r="F1602" s="11" t="inlineStr">
        <is>
          <t>Cebu</t>
        </is>
      </c>
      <c r="G1602" s="11" t="inlineStr">
        <is>
          <t>Dumanjug</t>
        </is>
      </c>
      <c r="H1602" s="11" t="inlineStr">
        <is>
          <t>Cogon</t>
        </is>
      </c>
      <c r="I1602" s="24" t="n">
        <v>10.047776</v>
      </c>
      <c r="J1602" s="24" t="n">
        <v>123.442685</v>
      </c>
      <c r="K1602" s="23" t="inlineStr">
        <is>
          <t>R</t>
        </is>
      </c>
      <c r="L1602" s="25" t="n">
        <v>3479</v>
      </c>
      <c r="M1602" s="26" t="n">
        <v>3.8</v>
      </c>
      <c r="N1602" s="25">
        <f>ROUND(L1602/M1602, 0)</f>
        <v/>
      </c>
      <c r="O1602" s="25">
        <f>ROUND(N1602*'Methodology &amp; Assumptions'!$B$7, 0)</f>
        <v/>
      </c>
      <c r="P1602" s="23" t="inlineStr">
        <is>
          <t>Single Carrier (Band n50, 100MHz TDD)</t>
        </is>
      </c>
      <c r="Q1602" s="27">
        <f>ROUNDUP(O1602/'Methodology &amp; Assumptions'!$B$8, 0)</f>
        <v/>
      </c>
      <c r="R1602" s="27" t="n">
        <v>1</v>
      </c>
      <c r="S1602" s="26" t="n">
        <v>1.2</v>
      </c>
      <c r="T1602" s="26" t="n">
        <v>1.11</v>
      </c>
      <c r="U1602" s="11">
        <f>IF(S1602&lt;='Methodology &amp; Assumptions'!$B$10, "Direct Optical Drop (&lt;3km)", IF(S1602&lt;='Methodology &amp; Assumptions'!$B$9, "Near Optical / Microwave (&lt;5km)", "Starlink Business LEO Satellite Backhaul (&gt;5km)"))</f>
        <v/>
      </c>
      <c r="V1602" s="26" t="n">
        <v>86.7</v>
      </c>
      <c r="W1602" s="26" t="n">
        <v>28.93</v>
      </c>
      <c r="X1602" s="26">
        <f>ROUND(('Methodology &amp; Assumptions'!$B$5*V1602) + ('Methodology &amp; Assumptions'!$B$6*W1602), 2)</f>
        <v/>
      </c>
      <c r="Y1602" s="28" t="n">
        <v>23.7</v>
      </c>
      <c r="Z1602" s="11" t="inlineStr">
        <is>
          <t>Priority Tier 3 (Broadband Expansion)</t>
        </is>
      </c>
    </row>
    <row r="1603">
      <c r="A1603" s="23" t="n">
        <v>5</v>
      </c>
      <c r="B1603" s="23" t="n">
        <v>599</v>
      </c>
      <c r="C1603" s="23" t="n">
        <v>4599</v>
      </c>
      <c r="D1603" s="23" t="inlineStr">
        <is>
          <t>1705206028</t>
        </is>
      </c>
      <c r="E1603" s="11" t="inlineStr">
        <is>
          <t>MIMAROPA Region</t>
        </is>
      </c>
      <c r="F1603" s="11" t="inlineStr">
        <is>
          <t>Oriental Mindoro</t>
        </is>
      </c>
      <c r="G1603" s="11" t="inlineStr">
        <is>
          <t>Gloria</t>
        </is>
      </c>
      <c r="H1603" s="11" t="inlineStr">
        <is>
          <t>Tambong</t>
        </is>
      </c>
      <c r="I1603" s="24" t="n">
        <v>12.968276</v>
      </c>
      <c r="J1603" s="24" t="n">
        <v>121.486991</v>
      </c>
      <c r="K1603" s="23" t="inlineStr">
        <is>
          <t>R</t>
        </is>
      </c>
      <c r="L1603" s="25" t="n">
        <v>3548</v>
      </c>
      <c r="M1603" s="26" t="n">
        <v>3.9</v>
      </c>
      <c r="N1603" s="25">
        <f>ROUND(L1603/M1603, 0)</f>
        <v/>
      </c>
      <c r="O1603" s="25">
        <f>ROUND(N1603*'Methodology &amp; Assumptions'!$B$7, 0)</f>
        <v/>
      </c>
      <c r="P1603" s="23" t="inlineStr">
        <is>
          <t>Single Carrier (Band n50, 100MHz TDD)</t>
        </is>
      </c>
      <c r="Q1603" s="27">
        <f>ROUNDUP(O1603/'Methodology &amp; Assumptions'!$B$8, 0)</f>
        <v/>
      </c>
      <c r="R1603" s="27" t="n">
        <v>1</v>
      </c>
      <c r="S1603" s="26" t="n">
        <v>1.43</v>
      </c>
      <c r="T1603" s="26" t="n">
        <v>1.05</v>
      </c>
      <c r="U1603" s="11">
        <f>IF(S1603&lt;='Methodology &amp; Assumptions'!$B$10, "Direct Optical Drop (&lt;3km)", IF(S1603&lt;='Methodology &amp; Assumptions'!$B$9, "Near Optical / Microwave (&lt;5km)", "Starlink Business LEO Satellite Backhaul (&gt;5km)"))</f>
        <v/>
      </c>
      <c r="V1603" s="26" t="n">
        <v>84.47</v>
      </c>
      <c r="W1603" s="26" t="n">
        <v>31.18</v>
      </c>
      <c r="X1603" s="26">
        <f>ROUND(('Methodology &amp; Assumptions'!$B$5*V1603) + ('Methodology &amp; Assumptions'!$B$6*W1603), 2)</f>
        <v/>
      </c>
      <c r="Y1603" s="28" t="n">
        <v>15</v>
      </c>
      <c r="Z1603" s="11" t="inlineStr">
        <is>
          <t>Priority Tier 3 (Broadband Expansion)</t>
        </is>
      </c>
    </row>
    <row r="1604">
      <c r="A1604" s="23" t="n">
        <v>5</v>
      </c>
      <c r="B1604" s="23" t="n">
        <v>600</v>
      </c>
      <c r="C1604" s="23" t="n">
        <v>4600</v>
      </c>
      <c r="D1604" s="23" t="inlineStr">
        <is>
          <t>0506216035</t>
        </is>
      </c>
      <c r="E1604" s="11" t="inlineStr">
        <is>
          <t>Region V (Bicol Region)</t>
        </is>
      </c>
      <c r="F1604" s="11" t="inlineStr">
        <is>
          <t>Sorsogon</t>
        </is>
      </c>
      <c r="G1604" s="11" t="inlineStr">
        <is>
          <t>City of Sorsogon</t>
        </is>
      </c>
      <c r="H1604" s="11" t="inlineStr">
        <is>
          <t>Talisay</t>
        </is>
      </c>
      <c r="I1604" s="24" t="n">
        <v>12.969114</v>
      </c>
      <c r="J1604" s="24" t="n">
        <v>124.002967</v>
      </c>
      <c r="K1604" s="23" t="inlineStr">
        <is>
          <t>U</t>
        </is>
      </c>
      <c r="L1604" s="25" t="n">
        <v>2686</v>
      </c>
      <c r="M1604" s="26" t="n">
        <v>4</v>
      </c>
      <c r="N1604" s="25">
        <f>ROUND(L1604/M1604, 0)</f>
        <v/>
      </c>
      <c r="O1604" s="25">
        <f>ROUND(N1604*'Methodology &amp; Assumptions'!$B$7, 0)</f>
        <v/>
      </c>
      <c r="P1604" s="23" t="inlineStr">
        <is>
          <t>Single Carrier (Band n50, 100MHz TDD)</t>
        </is>
      </c>
      <c r="Q1604" s="27">
        <f>ROUNDUP(O1604/'Methodology &amp; Assumptions'!$B$8, 0)</f>
        <v/>
      </c>
      <c r="R1604" s="27" t="n">
        <v>1</v>
      </c>
      <c r="S1604" s="26" t="n">
        <v>0.1</v>
      </c>
      <c r="T1604" s="26" t="n">
        <v>0.09</v>
      </c>
      <c r="U1604" s="11">
        <f>IF(S1604&lt;='Methodology &amp; Assumptions'!$B$10, "Direct Optical Drop (&lt;3km)", IF(S1604&lt;='Methodology &amp; Assumptions'!$B$9, "Near Optical / Microwave (&lt;5km)", "Starlink Business LEO Satellite Backhaul (&gt;5km)"))</f>
        <v/>
      </c>
      <c r="V1604" s="26" t="n">
        <v>74.73999999999999</v>
      </c>
      <c r="W1604" s="26" t="n">
        <v>40.91</v>
      </c>
      <c r="X1604" s="26">
        <f>ROUND(('Methodology &amp; Assumptions'!$B$5*V1604) + ('Methodology &amp; Assumptions'!$B$6*W1604), 2)</f>
        <v/>
      </c>
      <c r="Y1604" s="28" t="n">
        <v>23.7</v>
      </c>
      <c r="Z1604" s="11" t="inlineStr">
        <is>
          <t>Priority Tier 3 (Broadband Expansion)</t>
        </is>
      </c>
    </row>
    <row r="1605">
      <c r="A1605" s="23" t="n">
        <v>5</v>
      </c>
      <c r="B1605" s="23" t="n">
        <v>601</v>
      </c>
      <c r="C1605" s="23" t="n">
        <v>4601</v>
      </c>
      <c r="D1605" s="23" t="inlineStr">
        <is>
          <t>0301423004</t>
        </is>
      </c>
      <c r="E1605" s="11" t="inlineStr">
        <is>
          <t>Region III (Central Luzon)</t>
        </is>
      </c>
      <c r="F1605" s="11" t="inlineStr">
        <is>
          <t>Bulacan</t>
        </is>
      </c>
      <c r="G1605" s="11" t="inlineStr">
        <is>
          <t>Santa Maria</t>
        </is>
      </c>
      <c r="H1605" s="11" t="inlineStr">
        <is>
          <t>Bulac</t>
        </is>
      </c>
      <c r="I1605" s="24" t="n">
        <v>14.835509</v>
      </c>
      <c r="J1605" s="24" t="n">
        <v>121.016459</v>
      </c>
      <c r="K1605" s="23" t="inlineStr">
        <is>
          <t>U</t>
        </is>
      </c>
      <c r="L1605" s="25" t="n">
        <v>10468</v>
      </c>
      <c r="M1605" s="26" t="n">
        <v>3.5</v>
      </c>
      <c r="N1605" s="25">
        <f>ROUND(L1605/M1605, 0)</f>
        <v/>
      </c>
      <c r="O1605" s="25">
        <f>ROUND(N1605*'Methodology &amp; Assumptions'!$B$7, 0)</f>
        <v/>
      </c>
      <c r="P1605" s="23" t="inlineStr">
        <is>
          <t>Single Carrier (Band n50, 100MHz TDD)</t>
        </is>
      </c>
      <c r="Q1605" s="27">
        <f>ROUNDUP(O1605/'Methodology &amp; Assumptions'!$B$8, 0)</f>
        <v/>
      </c>
      <c r="R1605" s="27" t="n">
        <v>1</v>
      </c>
      <c r="S1605" s="26" t="n">
        <v>1.15</v>
      </c>
      <c r="T1605" s="26" t="n">
        <v>2.85</v>
      </c>
      <c r="U1605" s="11">
        <f>IF(S1605&lt;='Methodology &amp; Assumptions'!$B$10, "Direct Optical Drop (&lt;3km)", IF(S1605&lt;='Methodology &amp; Assumptions'!$B$9, "Near Optical / Microwave (&lt;5km)", "Starlink Business LEO Satellite Backhaul (&gt;5km)"))</f>
        <v/>
      </c>
      <c r="V1605" s="26" t="n">
        <v>73.75</v>
      </c>
      <c r="W1605" s="26" t="n">
        <v>41.89</v>
      </c>
      <c r="X1605" s="26">
        <f>ROUND(('Methodology &amp; Assumptions'!$B$5*V1605) + ('Methodology &amp; Assumptions'!$B$6*W1605), 2)</f>
        <v/>
      </c>
      <c r="Y1605" s="28" t="n">
        <v>8.300000000000001</v>
      </c>
      <c r="Z1605" s="11" t="inlineStr">
        <is>
          <t>Priority Tier 3 (Broadband Expansion)</t>
        </is>
      </c>
    </row>
    <row r="1606">
      <c r="A1606" s="23" t="n">
        <v>5</v>
      </c>
      <c r="B1606" s="23" t="n">
        <v>602</v>
      </c>
      <c r="C1606" s="23" t="n">
        <v>4602</v>
      </c>
      <c r="D1606" s="23" t="inlineStr">
        <is>
          <t>0405622033</t>
        </is>
      </c>
      <c r="E1606" s="11" t="inlineStr">
        <is>
          <t>Region IV-A (CALABARZON)</t>
        </is>
      </c>
      <c r="F1606" s="11" t="inlineStr">
        <is>
          <t>Quezon</t>
        </is>
      </c>
      <c r="G1606" s="11" t="inlineStr">
        <is>
          <t>Lopez</t>
        </is>
      </c>
      <c r="H1606" s="11" t="inlineStr">
        <is>
          <t>Guihay</t>
        </is>
      </c>
      <c r="I1606" s="24" t="n">
        <v>13.896968</v>
      </c>
      <c r="J1606" s="24" t="n">
        <v>122.256149</v>
      </c>
      <c r="K1606" s="23" t="inlineStr">
        <is>
          <t>R</t>
        </is>
      </c>
      <c r="L1606" s="25" t="n">
        <v>1462</v>
      </c>
      <c r="M1606" s="26" t="n">
        <v>3.8</v>
      </c>
      <c r="N1606" s="25">
        <f>ROUND(L1606/M1606, 0)</f>
        <v/>
      </c>
      <c r="O1606" s="25">
        <f>ROUND(N1606*'Methodology &amp; Assumptions'!$B$7, 0)</f>
        <v/>
      </c>
      <c r="P1606" s="23" t="inlineStr">
        <is>
          <t>Single Carrier (Band n50, 100MHz TDD)</t>
        </is>
      </c>
      <c r="Q1606" s="27">
        <f>ROUNDUP(O1606/'Methodology &amp; Assumptions'!$B$8, 0)</f>
        <v/>
      </c>
      <c r="R1606" s="27" t="n">
        <v>1</v>
      </c>
      <c r="S1606" s="26" t="n">
        <v>1.27</v>
      </c>
      <c r="T1606" s="26" t="n">
        <v>1.24</v>
      </c>
      <c r="U1606" s="11">
        <f>IF(S1606&lt;='Methodology &amp; Assumptions'!$B$10, "Direct Optical Drop (&lt;3km)", IF(S1606&lt;='Methodology &amp; Assumptions'!$B$9, "Near Optical / Microwave (&lt;5km)", "Starlink Business LEO Satellite Backhaul (&gt;5km)"))</f>
        <v/>
      </c>
      <c r="V1606" s="26" t="n">
        <v>69.84999999999999</v>
      </c>
      <c r="W1606" s="26" t="n">
        <v>45.78</v>
      </c>
      <c r="X1606" s="26">
        <f>ROUND(('Methodology &amp; Assumptions'!$B$5*V1606) + ('Methodology &amp; Assumptions'!$B$6*W1606), 2)</f>
        <v/>
      </c>
      <c r="Y1606" s="28" t="n">
        <v>7.2</v>
      </c>
      <c r="Z1606" s="11" t="inlineStr">
        <is>
          <t>Priority Tier 3 (Broadband Expansion)</t>
        </is>
      </c>
    </row>
    <row r="1607">
      <c r="A1607" s="23" t="n">
        <v>5</v>
      </c>
      <c r="B1607" s="23" t="n">
        <v>603</v>
      </c>
      <c r="C1607" s="23" t="n">
        <v>4603</v>
      </c>
      <c r="D1607" s="23" t="inlineStr">
        <is>
          <t>1705205031</t>
        </is>
      </c>
      <c r="E1607" s="11" t="inlineStr">
        <is>
          <t>MIMAROPA Region</t>
        </is>
      </c>
      <c r="F1607" s="11" t="inlineStr">
        <is>
          <t>Oriental Mindoro</t>
        </is>
      </c>
      <c r="G1607" s="11" t="inlineStr">
        <is>
          <t>City of Calapan</t>
        </is>
      </c>
      <c r="H1607" s="11" t="inlineStr">
        <is>
          <t>Lumangbayan</t>
        </is>
      </c>
      <c r="I1607" s="24" t="n">
        <v>13.402055</v>
      </c>
      <c r="J1607" s="24" t="n">
        <v>121.180636</v>
      </c>
      <c r="K1607" s="23" t="inlineStr">
        <is>
          <t>U</t>
        </is>
      </c>
      <c r="L1607" s="25" t="n">
        <v>5295</v>
      </c>
      <c r="M1607" s="26" t="n">
        <v>3.9</v>
      </c>
      <c r="N1607" s="25">
        <f>ROUND(L1607/M1607, 0)</f>
        <v/>
      </c>
      <c r="O1607" s="25">
        <f>ROUND(N1607*'Methodology &amp; Assumptions'!$B$7, 0)</f>
        <v/>
      </c>
      <c r="P1607" s="23" t="inlineStr">
        <is>
          <t>Single Carrier (Band n50, 100MHz TDD)</t>
        </is>
      </c>
      <c r="Q1607" s="27">
        <f>ROUNDUP(O1607/'Methodology &amp; Assumptions'!$B$8, 0)</f>
        <v/>
      </c>
      <c r="R1607" s="27" t="n">
        <v>1</v>
      </c>
      <c r="S1607" s="26" t="n">
        <v>2.85</v>
      </c>
      <c r="T1607" s="26" t="n">
        <v>3.29</v>
      </c>
      <c r="U1607" s="11">
        <f>IF(S1607&lt;='Methodology &amp; Assumptions'!$B$10, "Direct Optical Drop (&lt;3km)", IF(S1607&lt;='Methodology &amp; Assumptions'!$B$9, "Near Optical / Microwave (&lt;5km)", "Starlink Business LEO Satellite Backhaul (&gt;5km)"))</f>
        <v/>
      </c>
      <c r="V1607" s="26" t="n">
        <v>69.01000000000001</v>
      </c>
      <c r="W1607" s="26" t="n">
        <v>46.63</v>
      </c>
      <c r="X1607" s="26">
        <f>ROUND(('Methodology &amp; Assumptions'!$B$5*V1607) + ('Methodology &amp; Assumptions'!$B$6*W1607), 2)</f>
        <v/>
      </c>
      <c r="Y1607" s="28" t="n">
        <v>15</v>
      </c>
      <c r="Z1607" s="11" t="inlineStr">
        <is>
          <t>Priority Tier 3 (Broadband Expansion)</t>
        </is>
      </c>
    </row>
    <row r="1608">
      <c r="A1608" s="23" t="n">
        <v>5</v>
      </c>
      <c r="B1608" s="23" t="n">
        <v>604</v>
      </c>
      <c r="C1608" s="23" t="n">
        <v>4604</v>
      </c>
      <c r="D1608" s="23" t="inlineStr">
        <is>
          <t>0403412009</t>
        </is>
      </c>
      <c r="E1608" s="11" t="inlineStr">
        <is>
          <t>Region IV-A (CALABARZON)</t>
        </is>
      </c>
      <c r="F1608" s="11" t="inlineStr">
        <is>
          <t>Laguna</t>
        </is>
      </c>
      <c r="G1608" s="11" t="inlineStr">
        <is>
          <t>Luisiana</t>
        </is>
      </c>
      <c r="H1608" s="11" t="inlineStr">
        <is>
          <t>Barangay Zone VIII</t>
        </is>
      </c>
      <c r="I1608" s="24" t="n">
        <v>14.185128</v>
      </c>
      <c r="J1608" s="24" t="n">
        <v>121.510503</v>
      </c>
      <c r="K1608" s="23" t="inlineStr">
        <is>
          <t>R</t>
        </is>
      </c>
      <c r="L1608" s="25" t="n">
        <v>328</v>
      </c>
      <c r="M1608" s="26" t="n">
        <v>3.3</v>
      </c>
      <c r="N1608" s="25">
        <f>ROUND(L1608/M1608, 0)</f>
        <v/>
      </c>
      <c r="O1608" s="25">
        <f>ROUND(N1608*'Methodology &amp; Assumptions'!$B$7, 0)</f>
        <v/>
      </c>
      <c r="P1608" s="23" t="inlineStr">
        <is>
          <t>Single Carrier (Band n50, 100MHz TDD)</t>
        </is>
      </c>
      <c r="Q1608" s="27">
        <f>ROUNDUP(O1608/'Methodology &amp; Assumptions'!$B$8, 0)</f>
        <v/>
      </c>
      <c r="R1608" s="27" t="n">
        <v>1</v>
      </c>
      <c r="S1608" s="26" t="n">
        <v>0.53</v>
      </c>
      <c r="T1608" s="26" t="n">
        <v>4.18</v>
      </c>
      <c r="U1608" s="11">
        <f>IF(S1608&lt;='Methodology &amp; Assumptions'!$B$10, "Direct Optical Drop (&lt;3km)", IF(S1608&lt;='Methodology &amp; Assumptions'!$B$9, "Near Optical / Microwave (&lt;5km)", "Starlink Business LEO Satellite Backhaul (&gt;5km)"))</f>
        <v/>
      </c>
      <c r="V1608" s="26" t="n">
        <v>62.52</v>
      </c>
      <c r="W1608" s="26" t="n">
        <v>53.11</v>
      </c>
      <c r="X1608" s="26">
        <f>ROUND(('Methodology &amp; Assumptions'!$B$5*V1608) + ('Methodology &amp; Assumptions'!$B$6*W1608), 2)</f>
        <v/>
      </c>
      <c r="Y1608" s="28" t="n">
        <v>7.2</v>
      </c>
      <c r="Z1608" s="11" t="inlineStr">
        <is>
          <t>Priority Tier 3 (Broadband Expansion)</t>
        </is>
      </c>
    </row>
    <row r="1609">
      <c r="A1609" s="23" t="n">
        <v>5</v>
      </c>
      <c r="B1609" s="23" t="n">
        <v>605</v>
      </c>
      <c r="C1609" s="23" t="n">
        <v>4605</v>
      </c>
      <c r="D1609" s="23" t="inlineStr">
        <is>
          <t>1380601187</t>
        </is>
      </c>
      <c r="E1609" s="11" t="inlineStr">
        <is>
          <t>National Capital Region (NCR)</t>
        </is>
      </c>
      <c r="F1609" s="11" t="inlineStr">
        <is>
          <t>First District (Not a Province)</t>
        </is>
      </c>
      <c r="G1609" s="11" t="inlineStr">
        <is>
          <t>City of Manila</t>
        </is>
      </c>
      <c r="H1609" s="11" t="inlineStr">
        <is>
          <t>Barangay 187</t>
        </is>
      </c>
      <c r="I1609" s="24" t="n">
        <v>14.63599</v>
      </c>
      <c r="J1609" s="24" t="n">
        <v>120.981455</v>
      </c>
      <c r="K1609" s="23" t="inlineStr">
        <is>
          <t>U</t>
        </is>
      </c>
      <c r="L1609" s="25" t="n">
        <v>717</v>
      </c>
      <c r="M1609" s="26" t="n">
        <v>3.83</v>
      </c>
      <c r="N1609" s="25">
        <f>ROUND(L1609/M1609, 0)</f>
        <v/>
      </c>
      <c r="O1609" s="25">
        <f>ROUND(N1609*'Methodology &amp; Assumptions'!$B$7, 0)</f>
        <v/>
      </c>
      <c r="P1609" s="23" t="inlineStr">
        <is>
          <t>Single Carrier (Band n50, 100MHz TDD)</t>
        </is>
      </c>
      <c r="Q1609" s="27">
        <f>ROUNDUP(O1609/'Methodology &amp; Assumptions'!$B$8, 0)</f>
        <v/>
      </c>
      <c r="R1609" s="27" t="n">
        <v>1</v>
      </c>
      <c r="S1609" s="26" t="n">
        <v>1.34</v>
      </c>
      <c r="T1609" s="26" t="n">
        <v>0.14</v>
      </c>
      <c r="U1609" s="11">
        <f>IF(S1609&lt;='Methodology &amp; Assumptions'!$B$10, "Direct Optical Drop (&lt;3km)", IF(S1609&lt;='Methodology &amp; Assumptions'!$B$9, "Near Optical / Microwave (&lt;5km)", "Starlink Business LEO Satellite Backhaul (&gt;5km)"))</f>
        <v/>
      </c>
      <c r="V1609" s="26" t="n">
        <v>45.19</v>
      </c>
      <c r="W1609" s="26" t="n">
        <v>70.45</v>
      </c>
      <c r="X1609" s="26">
        <f>ROUND(('Methodology &amp; Assumptions'!$B$5*V1609) + ('Methodology &amp; Assumptions'!$B$6*W1609), 2)</f>
        <v/>
      </c>
      <c r="Y1609" s="28" t="n">
        <v>10.9</v>
      </c>
      <c r="Z1609" s="11" t="inlineStr">
        <is>
          <t>Priority Tier 3 (Broadband Expansion)</t>
        </is>
      </c>
    </row>
    <row r="1610">
      <c r="A1610" s="23" t="n">
        <v>5</v>
      </c>
      <c r="B1610" s="23" t="n">
        <v>606</v>
      </c>
      <c r="C1610" s="23" t="n">
        <v>4606</v>
      </c>
      <c r="D1610" s="23" t="inlineStr">
        <is>
          <t>1003511008</t>
        </is>
      </c>
      <c r="E1610" s="11" t="inlineStr">
        <is>
          <t>Region X (Northern Mindanao)</t>
        </is>
      </c>
      <c r="F1610" s="11" t="inlineStr">
        <is>
          <t>Lanao del Norte</t>
        </is>
      </c>
      <c r="G1610" s="11" t="inlineStr">
        <is>
          <t>Magsaysay</t>
        </is>
      </c>
      <c r="H1610" s="11" t="inlineStr">
        <is>
          <t>Lubo</t>
        </is>
      </c>
      <c r="I1610" s="24" t="n">
        <v>8.001200000000001</v>
      </c>
      <c r="J1610" s="24" t="n">
        <v>123.9658</v>
      </c>
      <c r="K1610" s="23" t="inlineStr">
        <is>
          <t>R</t>
        </is>
      </c>
      <c r="L1610" s="25" t="n">
        <v>1184</v>
      </c>
      <c r="M1610" s="26" t="n">
        <v>4.2</v>
      </c>
      <c r="N1610" s="25">
        <f>ROUND(L1610/M1610, 0)</f>
        <v/>
      </c>
      <c r="O1610" s="25">
        <f>ROUND(N1610*'Methodology &amp; Assumptions'!$B$7, 0)</f>
        <v/>
      </c>
      <c r="P1610" s="23" t="inlineStr">
        <is>
          <t>Single Carrier (Band n50, 100MHz TDD)</t>
        </is>
      </c>
      <c r="Q1610" s="27">
        <f>ROUNDUP(O1610/'Methodology &amp; Assumptions'!$B$8, 0)</f>
        <v/>
      </c>
      <c r="R1610" s="27" t="n">
        <v>1</v>
      </c>
      <c r="S1610" s="26" t="n">
        <v>18.93</v>
      </c>
      <c r="T1610" s="26" t="n">
        <v>14.43</v>
      </c>
      <c r="U1610" s="11">
        <f>IF(S1610&lt;='Methodology &amp; Assumptions'!$B$10, "Direct Optical Drop (&lt;3km)", IF(S1610&lt;='Methodology &amp; Assumptions'!$B$9, "Near Optical / Microwave (&lt;5km)", "Starlink Business LEO Satellite Backhaul (&gt;5km)"))</f>
        <v/>
      </c>
      <c r="V1610" s="26" t="n">
        <v>44.07</v>
      </c>
      <c r="W1610" s="26" t="n">
        <v>71.56</v>
      </c>
      <c r="X1610" s="26">
        <f>ROUND(('Methodology &amp; Assumptions'!$B$5*V1610) + ('Methodology &amp; Assumptions'!$B$6*W1610), 2)</f>
        <v/>
      </c>
      <c r="Y1610" s="28" t="n">
        <v>17.4</v>
      </c>
      <c r="Z1610" s="11" t="inlineStr">
        <is>
          <t>Priority Tier 3 (Broadband Expansion)</t>
        </is>
      </c>
    </row>
    <row r="1611">
      <c r="A1611" s="23" t="n">
        <v>5</v>
      </c>
      <c r="B1611" s="23" t="n">
        <v>607</v>
      </c>
      <c r="C1611" s="23" t="n">
        <v>4607</v>
      </c>
      <c r="D1611" s="23" t="inlineStr">
        <is>
          <t>1381100009</t>
        </is>
      </c>
      <c r="E1611" s="11" t="inlineStr">
        <is>
          <t>National Capital Region (NCR)</t>
        </is>
      </c>
      <c r="F1611" s="11" t="inlineStr">
        <is>
          <t>Fourth District (Not a Province)</t>
        </is>
      </c>
      <c r="G1611" s="11" t="inlineStr">
        <is>
          <t>Pasay City</t>
        </is>
      </c>
      <c r="H1611" s="11" t="inlineStr">
        <is>
          <t>Barangay 9</t>
        </is>
      </c>
      <c r="I1611" s="24" t="n">
        <v>14.54062</v>
      </c>
      <c r="J1611" s="24" t="n">
        <v>121.002279</v>
      </c>
      <c r="K1611" s="23" t="inlineStr">
        <is>
          <t>U</t>
        </is>
      </c>
      <c r="L1611" s="25" t="n">
        <v>263</v>
      </c>
      <c r="M1611" s="26" t="n">
        <v>2.58</v>
      </c>
      <c r="N1611" s="25">
        <f>ROUND(L1611/M1611, 0)</f>
        <v/>
      </c>
      <c r="O1611" s="25">
        <f>ROUND(N1611*'Methodology &amp; Assumptions'!$B$7, 0)</f>
        <v/>
      </c>
      <c r="P1611" s="23" t="inlineStr">
        <is>
          <t>Single Carrier (Band n50, 100MHz TDD)</t>
        </is>
      </c>
      <c r="Q1611" s="27">
        <f>ROUNDUP(O1611/'Methodology &amp; Assumptions'!$B$8, 0)</f>
        <v/>
      </c>
      <c r="R1611" s="27" t="n">
        <v>1</v>
      </c>
      <c r="S1611" s="26" t="n">
        <v>0.95</v>
      </c>
      <c r="T1611" s="26" t="n">
        <v>0.25</v>
      </c>
      <c r="U1611" s="11">
        <f>IF(S1611&lt;='Methodology &amp; Assumptions'!$B$10, "Direct Optical Drop (&lt;3km)", IF(S1611&lt;='Methodology &amp; Assumptions'!$B$9, "Near Optical / Microwave (&lt;5km)", "Starlink Business LEO Satellite Backhaul (&gt;5km)"))</f>
        <v/>
      </c>
      <c r="V1611" s="26" t="n">
        <v>43.99</v>
      </c>
      <c r="W1611" s="26" t="n">
        <v>71.64</v>
      </c>
      <c r="X1611" s="26">
        <f>ROUND(('Methodology &amp; Assumptions'!$B$5*V1611) + ('Methodology &amp; Assumptions'!$B$6*W1611), 2)</f>
        <v/>
      </c>
      <c r="Y1611" s="28" t="n">
        <v>10.9</v>
      </c>
      <c r="Z1611" s="11" t="inlineStr">
        <is>
          <t>Priority Tier 3 (Broadband Expansion)</t>
        </is>
      </c>
    </row>
    <row r="1612">
      <c r="A1612" s="23" t="n">
        <v>5</v>
      </c>
      <c r="B1612" s="23" t="n">
        <v>608</v>
      </c>
      <c r="C1612" s="23" t="n">
        <v>4608</v>
      </c>
      <c r="D1612" s="23" t="inlineStr">
        <is>
          <t>1108205012</t>
        </is>
      </c>
      <c r="E1612" s="11" t="inlineStr">
        <is>
          <t>Region XI (Davao Region)</t>
        </is>
      </c>
      <c r="F1612" s="11" t="inlineStr">
        <is>
          <t>Davao de Oro</t>
        </is>
      </c>
      <c r="G1612" s="11" t="inlineStr">
        <is>
          <t>Maragusan</t>
        </is>
      </c>
      <c r="H1612" s="11" t="inlineStr">
        <is>
          <t>Mabugnao</t>
        </is>
      </c>
      <c r="I1612" s="24" t="n">
        <v>7.339705</v>
      </c>
      <c r="J1612" s="24" t="n">
        <v>126.070314</v>
      </c>
      <c r="K1612" s="23" t="inlineStr">
        <is>
          <t>R</t>
        </is>
      </c>
      <c r="L1612" s="25" t="n">
        <v>415</v>
      </c>
      <c r="M1612" s="26" t="n">
        <v>3.7</v>
      </c>
      <c r="N1612" s="25">
        <f>ROUND(L1612/M1612, 0)</f>
        <v/>
      </c>
      <c r="O1612" s="25">
        <f>ROUND(N1612*'Methodology &amp; Assumptions'!$B$7, 0)</f>
        <v/>
      </c>
      <c r="P1612" s="23" t="inlineStr">
        <is>
          <t>Single Carrier (Band n50, 100MHz TDD)</t>
        </is>
      </c>
      <c r="Q1612" s="27">
        <f>ROUNDUP(O1612/'Methodology &amp; Assumptions'!$B$8, 0)</f>
        <v/>
      </c>
      <c r="R1612" s="27" t="n">
        <v>1</v>
      </c>
      <c r="S1612" s="26" t="n">
        <v>23.7</v>
      </c>
      <c r="T1612" s="26" t="n">
        <v>23.32</v>
      </c>
      <c r="U1612" s="11">
        <f>IF(S1612&lt;='Methodology &amp; Assumptions'!$B$10, "Direct Optical Drop (&lt;3km)", IF(S1612&lt;='Methodology &amp; Assumptions'!$B$9, "Near Optical / Microwave (&lt;5km)", "Starlink Business LEO Satellite Backhaul (&gt;5km)"))</f>
        <v/>
      </c>
      <c r="V1612" s="26" t="n">
        <v>38.76</v>
      </c>
      <c r="W1612" s="26" t="n">
        <v>76.89</v>
      </c>
      <c r="X1612" s="26">
        <f>ROUND(('Methodology &amp; Assumptions'!$B$5*V1612) + ('Methodology &amp; Assumptions'!$B$6*W1612), 2)</f>
        <v/>
      </c>
      <c r="Y1612" s="28" t="n">
        <v>17.4</v>
      </c>
      <c r="Z1612" s="11" t="inlineStr">
        <is>
          <t>Priority Tier 3 (Broadband Expansion)</t>
        </is>
      </c>
    </row>
    <row r="1613">
      <c r="A1613" s="23" t="n">
        <v>5</v>
      </c>
      <c r="B1613" s="23" t="n">
        <v>609</v>
      </c>
      <c r="C1613" s="23" t="n">
        <v>4609</v>
      </c>
      <c r="D1613" s="23" t="inlineStr">
        <is>
          <t>0506209007</t>
        </is>
      </c>
      <c r="E1613" s="11" t="inlineStr">
        <is>
          <t>Region V (Bicol Region)</t>
        </is>
      </c>
      <c r="F1613" s="11" t="inlineStr">
        <is>
          <t>Sorsogon</t>
        </is>
      </c>
      <c r="G1613" s="11" t="inlineStr">
        <is>
          <t>Irosin</t>
        </is>
      </c>
      <c r="H1613" s="11" t="inlineStr">
        <is>
          <t>Carriedo</t>
        </is>
      </c>
      <c r="I1613" s="24" t="n">
        <v>12.694338</v>
      </c>
      <c r="J1613" s="24" t="n">
        <v>124.03382</v>
      </c>
      <c r="K1613" s="23" t="inlineStr">
        <is>
          <t>R</t>
        </is>
      </c>
      <c r="L1613" s="25" t="n">
        <v>3748</v>
      </c>
      <c r="M1613" s="26" t="n">
        <v>4</v>
      </c>
      <c r="N1613" s="25">
        <f>ROUND(L1613/M1613, 0)</f>
        <v/>
      </c>
      <c r="O1613" s="25">
        <f>ROUND(N1613*'Methodology &amp; Assumptions'!$B$7, 0)</f>
        <v/>
      </c>
      <c r="P1613" s="23" t="inlineStr">
        <is>
          <t>Single Carrier (Band n50, 100MHz TDD)</t>
        </is>
      </c>
      <c r="Q1613" s="27">
        <f>ROUNDUP(O1613/'Methodology &amp; Assumptions'!$B$8, 0)</f>
        <v/>
      </c>
      <c r="R1613" s="27" t="n">
        <v>1</v>
      </c>
      <c r="S1613" s="26" t="n">
        <v>0.91</v>
      </c>
      <c r="T1613" s="26" t="n">
        <v>0.92</v>
      </c>
      <c r="U1613" s="11">
        <f>IF(S1613&lt;='Methodology &amp; Assumptions'!$B$10, "Direct Optical Drop (&lt;3km)", IF(S1613&lt;='Methodology &amp; Assumptions'!$B$9, "Near Optical / Microwave (&lt;5km)", "Starlink Business LEO Satellite Backhaul (&gt;5km)"))</f>
        <v/>
      </c>
      <c r="V1613" s="26" t="n">
        <v>87.81</v>
      </c>
      <c r="W1613" s="26" t="n">
        <v>27.81</v>
      </c>
      <c r="X1613" s="26">
        <f>ROUND(('Methodology &amp; Assumptions'!$B$5*V1613) + ('Methodology &amp; Assumptions'!$B$6*W1613), 2)</f>
        <v/>
      </c>
      <c r="Y1613" s="28" t="n">
        <v>23.7</v>
      </c>
      <c r="Z1613" s="11" t="inlineStr">
        <is>
          <t>Priority Tier 3 (Broadband Expansion)</t>
        </is>
      </c>
    </row>
    <row r="1614">
      <c r="A1614" s="23" t="n">
        <v>5</v>
      </c>
      <c r="B1614" s="23" t="n">
        <v>610</v>
      </c>
      <c r="C1614" s="23" t="n">
        <v>4610</v>
      </c>
      <c r="D1614" s="23" t="inlineStr">
        <is>
          <t>0500508013</t>
        </is>
      </c>
      <c r="E1614" s="11" t="inlineStr">
        <is>
          <t>Region V (Bicol Region)</t>
        </is>
      </c>
      <c r="F1614" s="11" t="inlineStr">
        <is>
          <t>Albay</t>
        </is>
      </c>
      <c r="G1614" s="11" t="inlineStr">
        <is>
          <t>City of Ligao</t>
        </is>
      </c>
      <c r="H1614" s="11" t="inlineStr">
        <is>
          <t>Binatagan</t>
        </is>
      </c>
      <c r="I1614" s="24" t="n">
        <v>13.242988</v>
      </c>
      <c r="J1614" s="24" t="n">
        <v>123.527635</v>
      </c>
      <c r="K1614" s="23" t="inlineStr">
        <is>
          <t>R</t>
        </is>
      </c>
      <c r="L1614" s="25" t="n">
        <v>4002</v>
      </c>
      <c r="M1614" s="26" t="n">
        <v>4.1</v>
      </c>
      <c r="N1614" s="25">
        <f>ROUND(L1614/M1614, 0)</f>
        <v/>
      </c>
      <c r="O1614" s="25">
        <f>ROUND(N1614*'Methodology &amp; Assumptions'!$B$7, 0)</f>
        <v/>
      </c>
      <c r="P1614" s="23" t="inlineStr">
        <is>
          <t>Single Carrier (Band n50, 100MHz TDD)</t>
        </is>
      </c>
      <c r="Q1614" s="27">
        <f>ROUNDUP(O1614/'Methodology &amp; Assumptions'!$B$8, 0)</f>
        <v/>
      </c>
      <c r="R1614" s="27" t="n">
        <v>1</v>
      </c>
      <c r="S1614" s="26" t="n">
        <v>0.92</v>
      </c>
      <c r="T1614" s="26" t="n">
        <v>0.21</v>
      </c>
      <c r="U1614" s="11">
        <f>IF(S1614&lt;='Methodology &amp; Assumptions'!$B$10, "Direct Optical Drop (&lt;3km)", IF(S1614&lt;='Methodology &amp; Assumptions'!$B$9, "Near Optical / Microwave (&lt;5km)", "Starlink Business LEO Satellite Backhaul (&gt;5km)"))</f>
        <v/>
      </c>
      <c r="V1614" s="26" t="n">
        <v>87.75</v>
      </c>
      <c r="W1614" s="26" t="n">
        <v>27.87</v>
      </c>
      <c r="X1614" s="26">
        <f>ROUND(('Methodology &amp; Assumptions'!$B$5*V1614) + ('Methodology &amp; Assumptions'!$B$6*W1614), 2)</f>
        <v/>
      </c>
      <c r="Y1614" s="28" t="n">
        <v>23.7</v>
      </c>
      <c r="Z1614" s="11" t="inlineStr">
        <is>
          <t>Priority Tier 3 (Broadband Expansion)</t>
        </is>
      </c>
    </row>
    <row r="1615">
      <c r="A1615" s="23" t="n">
        <v>5</v>
      </c>
      <c r="B1615" s="23" t="n">
        <v>611</v>
      </c>
      <c r="C1615" s="23" t="n">
        <v>4611</v>
      </c>
      <c r="D1615" s="23" t="inlineStr">
        <is>
          <t>0306916015</t>
        </is>
      </c>
      <c r="E1615" s="11" t="inlineStr">
        <is>
          <t>Region III (Central Luzon)</t>
        </is>
      </c>
      <c r="F1615" s="11" t="inlineStr">
        <is>
          <t>Tarlac</t>
        </is>
      </c>
      <c r="G1615" s="11" t="inlineStr">
        <is>
          <t>City of Tarlac</t>
        </is>
      </c>
      <c r="H1615" s="11" t="inlineStr">
        <is>
          <t>Baras-baras</t>
        </is>
      </c>
      <c r="I1615" s="24" t="n">
        <v>15.518053</v>
      </c>
      <c r="J1615" s="24" t="n">
        <v>120.565023</v>
      </c>
      <c r="K1615" s="23" t="inlineStr">
        <is>
          <t>U</t>
        </is>
      </c>
      <c r="L1615" s="25" t="n">
        <v>5396</v>
      </c>
      <c r="M1615" s="26" t="n">
        <v>3.9</v>
      </c>
      <c r="N1615" s="25">
        <f>ROUND(L1615/M1615, 0)</f>
        <v/>
      </c>
      <c r="O1615" s="25">
        <f>ROUND(N1615*'Methodology &amp; Assumptions'!$B$7, 0)</f>
        <v/>
      </c>
      <c r="P1615" s="23" t="inlineStr">
        <is>
          <t>Single Carrier (Band n50, 100MHz TDD)</t>
        </is>
      </c>
      <c r="Q1615" s="27">
        <f>ROUNDUP(O1615/'Methodology &amp; Assumptions'!$B$8, 0)</f>
        <v/>
      </c>
      <c r="R1615" s="27" t="n">
        <v>1</v>
      </c>
      <c r="S1615" s="26" t="n">
        <v>0.14</v>
      </c>
      <c r="T1615" s="26" t="n">
        <v>0.25</v>
      </c>
      <c r="U1615" s="11">
        <f>IF(S1615&lt;='Methodology &amp; Assumptions'!$B$10, "Direct Optical Drop (&lt;3km)", IF(S1615&lt;='Methodology &amp; Assumptions'!$B$9, "Near Optical / Microwave (&lt;5km)", "Starlink Business LEO Satellite Backhaul (&gt;5km)"))</f>
        <v/>
      </c>
      <c r="V1615" s="26" t="n">
        <v>78.43000000000001</v>
      </c>
      <c r="W1615" s="26" t="n">
        <v>37.19</v>
      </c>
      <c r="X1615" s="26">
        <f>ROUND(('Methodology &amp; Assumptions'!$B$5*V1615) + ('Methodology &amp; Assumptions'!$B$6*W1615), 2)</f>
        <v/>
      </c>
      <c r="Y1615" s="28" t="n">
        <v>8.300000000000001</v>
      </c>
      <c r="Z1615" s="11" t="inlineStr">
        <is>
          <t>Priority Tier 3 (Broadband Expansion)</t>
        </is>
      </c>
    </row>
    <row r="1616">
      <c r="A1616" s="23" t="n">
        <v>5</v>
      </c>
      <c r="B1616" s="23" t="n">
        <v>612</v>
      </c>
      <c r="C1616" s="23" t="n">
        <v>4612</v>
      </c>
      <c r="D1616" s="23" t="inlineStr">
        <is>
          <t>0631000170</t>
        </is>
      </c>
      <c r="E1616" s="11" t="inlineStr">
        <is>
          <t>Region VI (Western Visayas)</t>
        </is>
      </c>
      <c r="F1616" s="11" t="inlineStr">
        <is>
          <t>Iloilo</t>
        </is>
      </c>
      <c r="G1616" s="11" t="inlineStr">
        <is>
          <t>City of Iloilo</t>
        </is>
      </c>
      <c r="H1616" s="11" t="inlineStr">
        <is>
          <t>Simon Ledesma</t>
        </is>
      </c>
      <c r="I1616" s="24" t="n">
        <v>10.92438</v>
      </c>
      <c r="J1616" s="24" t="n">
        <v>122.558213</v>
      </c>
      <c r="K1616" s="23" t="inlineStr">
        <is>
          <t>R</t>
        </is>
      </c>
      <c r="L1616" s="25" t="n">
        <v>2298</v>
      </c>
      <c r="M1616" s="26" t="n">
        <v>4.2</v>
      </c>
      <c r="N1616" s="25">
        <f>ROUND(L1616/M1616, 0)</f>
        <v/>
      </c>
      <c r="O1616" s="25">
        <f>ROUND(N1616*'Methodology &amp; Assumptions'!$B$7, 0)</f>
        <v/>
      </c>
      <c r="P1616" s="23" t="inlineStr">
        <is>
          <t>Single Carrier (Band n50, 100MHz TDD)</t>
        </is>
      </c>
      <c r="Q1616" s="27">
        <f>ROUNDUP(O1616/'Methodology &amp; Assumptions'!$B$8, 0)</f>
        <v/>
      </c>
      <c r="R1616" s="27" t="n">
        <v>1</v>
      </c>
      <c r="S1616" s="26" t="n">
        <v>0.97</v>
      </c>
      <c r="T1616" s="26" t="n">
        <v>0.96</v>
      </c>
      <c r="U1616" s="11">
        <f>IF(S1616&lt;='Methodology &amp; Assumptions'!$B$10, "Direct Optical Drop (&lt;3km)", IF(S1616&lt;='Methodology &amp; Assumptions'!$B$9, "Near Optical / Microwave (&lt;5km)", "Starlink Business LEO Satellite Backhaul (&gt;5km)"))</f>
        <v/>
      </c>
      <c r="V1616" s="26" t="n">
        <v>77.56999999999999</v>
      </c>
      <c r="W1616" s="26" t="n">
        <v>38.05</v>
      </c>
      <c r="X1616" s="26">
        <f>ROUND(('Methodology &amp; Assumptions'!$B$5*V1616) + ('Methodology &amp; Assumptions'!$B$6*W1616), 2)</f>
        <v/>
      </c>
      <c r="Y1616" s="28" t="n">
        <v>23.7</v>
      </c>
      <c r="Z1616" s="11" t="inlineStr">
        <is>
          <t>Priority Tier 3 (Broadband Expansion)</t>
        </is>
      </c>
    </row>
    <row r="1617">
      <c r="A1617" s="23" t="n">
        <v>5</v>
      </c>
      <c r="B1617" s="23" t="n">
        <v>613</v>
      </c>
      <c r="C1617" s="23" t="n">
        <v>4613</v>
      </c>
      <c r="D1617" s="23" t="inlineStr">
        <is>
          <t>1705205048</t>
        </is>
      </c>
      <c r="E1617" s="11" t="inlineStr">
        <is>
          <t>MIMAROPA Region</t>
        </is>
      </c>
      <c r="F1617" s="11" t="inlineStr">
        <is>
          <t>Oriental Mindoro</t>
        </is>
      </c>
      <c r="G1617" s="11" t="inlineStr">
        <is>
          <t>City of Calapan</t>
        </is>
      </c>
      <c r="H1617" s="11" t="inlineStr">
        <is>
          <t>Salong</t>
        </is>
      </c>
      <c r="I1617" s="24" t="n">
        <v>13.420621</v>
      </c>
      <c r="J1617" s="24" t="n">
        <v>121.190494</v>
      </c>
      <c r="K1617" s="23" t="inlineStr">
        <is>
          <t>U</t>
        </is>
      </c>
      <c r="L1617" s="25" t="n">
        <v>3831</v>
      </c>
      <c r="M1617" s="26" t="n">
        <v>3.9</v>
      </c>
      <c r="N1617" s="25">
        <f>ROUND(L1617/M1617, 0)</f>
        <v/>
      </c>
      <c r="O1617" s="25">
        <f>ROUND(N1617*'Methodology &amp; Assumptions'!$B$7, 0)</f>
        <v/>
      </c>
      <c r="P1617" s="23" t="inlineStr">
        <is>
          <t>Single Carrier (Band n50, 100MHz TDD)</t>
        </is>
      </c>
      <c r="Q1617" s="27">
        <f>ROUNDUP(O1617/'Methodology &amp; Assumptions'!$B$8, 0)</f>
        <v/>
      </c>
      <c r="R1617" s="27" t="n">
        <v>1</v>
      </c>
      <c r="S1617" s="26" t="n">
        <v>0.58</v>
      </c>
      <c r="T1617" s="26" t="n">
        <v>5.61</v>
      </c>
      <c r="U1617" s="11">
        <f>IF(S1617&lt;='Methodology &amp; Assumptions'!$B$10, "Direct Optical Drop (&lt;3km)", IF(S1617&lt;='Methodology &amp; Assumptions'!$B$9, "Near Optical / Microwave (&lt;5km)", "Starlink Business LEO Satellite Backhaul (&gt;5km)"))</f>
        <v/>
      </c>
      <c r="V1617" s="26" t="n">
        <v>77.02</v>
      </c>
      <c r="W1617" s="26" t="n">
        <v>38.6</v>
      </c>
      <c r="X1617" s="26">
        <f>ROUND(('Methodology &amp; Assumptions'!$B$5*V1617) + ('Methodology &amp; Assumptions'!$B$6*W1617), 2)</f>
        <v/>
      </c>
      <c r="Y1617" s="28" t="n">
        <v>15</v>
      </c>
      <c r="Z1617" s="11" t="inlineStr">
        <is>
          <t>Priority Tier 3 (Broadband Expansion)</t>
        </is>
      </c>
    </row>
    <row r="1618">
      <c r="A1618" s="23" t="n">
        <v>5</v>
      </c>
      <c r="B1618" s="23" t="n">
        <v>614</v>
      </c>
      <c r="C1618" s="23" t="n">
        <v>4614</v>
      </c>
      <c r="D1618" s="23" t="inlineStr">
        <is>
          <t>0301422014</t>
        </is>
      </c>
      <c r="E1618" s="11" t="inlineStr">
        <is>
          <t>Region III (Central Luzon)</t>
        </is>
      </c>
      <c r="F1618" s="11" t="inlineStr">
        <is>
          <t>Bulacan</t>
        </is>
      </c>
      <c r="G1618" s="11" t="inlineStr">
        <is>
          <t>San Rafael</t>
        </is>
      </c>
      <c r="H1618" s="11" t="inlineStr">
        <is>
          <t>Maguinao</t>
        </is>
      </c>
      <c r="I1618" s="24" t="n">
        <v>15.02408</v>
      </c>
      <c r="J1618" s="24" t="n">
        <v>120.934097</v>
      </c>
      <c r="K1618" s="23" t="inlineStr">
        <is>
          <t>U</t>
        </is>
      </c>
      <c r="L1618" s="25" t="n">
        <v>5164</v>
      </c>
      <c r="M1618" s="26" t="n">
        <v>3.5</v>
      </c>
      <c r="N1618" s="25">
        <f>ROUND(L1618/M1618, 0)</f>
        <v/>
      </c>
      <c r="O1618" s="25">
        <f>ROUND(N1618*'Methodology &amp; Assumptions'!$B$7, 0)</f>
        <v/>
      </c>
      <c r="P1618" s="23" t="inlineStr">
        <is>
          <t>Single Carrier (Band n50, 100MHz TDD)</t>
        </is>
      </c>
      <c r="Q1618" s="27">
        <f>ROUNDUP(O1618/'Methodology &amp; Assumptions'!$B$8, 0)</f>
        <v/>
      </c>
      <c r="R1618" s="27" t="n">
        <v>1</v>
      </c>
      <c r="S1618" s="26" t="n">
        <v>1.84</v>
      </c>
      <c r="T1618" s="26" t="n">
        <v>0.1</v>
      </c>
      <c r="U1618" s="11">
        <f>IF(S1618&lt;='Methodology &amp; Assumptions'!$B$10, "Direct Optical Drop (&lt;3km)", IF(S1618&lt;='Methodology &amp; Assumptions'!$B$9, "Near Optical / Microwave (&lt;5km)", "Starlink Business LEO Satellite Backhaul (&gt;5km)"))</f>
        <v/>
      </c>
      <c r="V1618" s="26" t="n">
        <v>74.73</v>
      </c>
      <c r="W1618" s="26" t="n">
        <v>40.9</v>
      </c>
      <c r="X1618" s="26">
        <f>ROUND(('Methodology &amp; Assumptions'!$B$5*V1618) + ('Methodology &amp; Assumptions'!$B$6*W1618), 2)</f>
        <v/>
      </c>
      <c r="Y1618" s="28" t="n">
        <v>8.300000000000001</v>
      </c>
      <c r="Z1618" s="11" t="inlineStr">
        <is>
          <t>Priority Tier 3 (Broadband Expansion)</t>
        </is>
      </c>
    </row>
    <row r="1619">
      <c r="A1619" s="23" t="n">
        <v>5</v>
      </c>
      <c r="B1619" s="23" t="n">
        <v>615</v>
      </c>
      <c r="C1619" s="23" t="n">
        <v>4615</v>
      </c>
      <c r="D1619" s="23" t="inlineStr">
        <is>
          <t>1600308016</t>
        </is>
      </c>
      <c r="E1619" s="11" t="inlineStr">
        <is>
          <t>Region XIII (Caraga)</t>
        </is>
      </c>
      <c r="F1619" s="11" t="inlineStr">
        <is>
          <t>Agusan del Sur</t>
        </is>
      </c>
      <c r="G1619" s="11" t="inlineStr">
        <is>
          <t>San Francisco</t>
        </is>
      </c>
      <c r="H1619" s="11" t="inlineStr">
        <is>
          <t>Barangay 2</t>
        </is>
      </c>
      <c r="I1619" s="24" t="n">
        <v>8.508623</v>
      </c>
      <c r="J1619" s="24" t="n">
        <v>125.980789</v>
      </c>
      <c r="K1619" s="23" t="inlineStr">
        <is>
          <t>U</t>
        </is>
      </c>
      <c r="L1619" s="25" t="n">
        <v>2496</v>
      </c>
      <c r="M1619" s="26" t="n">
        <v>3.9</v>
      </c>
      <c r="N1619" s="25">
        <f>ROUND(L1619/M1619, 0)</f>
        <v/>
      </c>
      <c r="O1619" s="25">
        <f>ROUND(N1619*'Methodology &amp; Assumptions'!$B$7, 0)</f>
        <v/>
      </c>
      <c r="P1619" s="23" t="inlineStr">
        <is>
          <t>Single Carrier (Band n50, 100MHz TDD)</t>
        </is>
      </c>
      <c r="Q1619" s="27">
        <f>ROUNDUP(O1619/'Methodology &amp; Assumptions'!$B$8, 0)</f>
        <v/>
      </c>
      <c r="R1619" s="27" t="n">
        <v>1</v>
      </c>
      <c r="S1619" s="26" t="n">
        <v>0.5600000000000001</v>
      </c>
      <c r="T1619" s="26" t="n">
        <v>0.5600000000000001</v>
      </c>
      <c r="U1619" s="11">
        <f>IF(S1619&lt;='Methodology &amp; Assumptions'!$B$10, "Direct Optical Drop (&lt;3km)", IF(S1619&lt;='Methodology &amp; Assumptions'!$B$9, "Near Optical / Microwave (&lt;5km)", "Starlink Business LEO Satellite Backhaul (&gt;5km)"))</f>
        <v/>
      </c>
      <c r="V1619" s="26" t="n">
        <v>73.27</v>
      </c>
      <c r="W1619" s="26" t="n">
        <v>42.34</v>
      </c>
      <c r="X1619" s="26">
        <f>ROUND(('Methodology &amp; Assumptions'!$B$5*V1619) + ('Methodology &amp; Assumptions'!$B$6*W1619), 2)</f>
        <v/>
      </c>
      <c r="Y1619" s="28" t="n">
        <v>17.4</v>
      </c>
      <c r="Z1619" s="11" t="inlineStr">
        <is>
          <t>Priority Tier 3 (Broadband Expansion)</t>
        </is>
      </c>
    </row>
    <row r="1620">
      <c r="A1620" s="23" t="n">
        <v>5</v>
      </c>
      <c r="B1620" s="23" t="n">
        <v>616</v>
      </c>
      <c r="C1620" s="23" t="n">
        <v>4616</v>
      </c>
      <c r="D1620" s="23" t="inlineStr">
        <is>
          <t>0405605023</t>
        </is>
      </c>
      <c r="E1620" s="11" t="inlineStr">
        <is>
          <t>Region IV-A (CALABARZON)</t>
        </is>
      </c>
      <c r="F1620" s="11" t="inlineStr">
        <is>
          <t>Quezon</t>
        </is>
      </c>
      <c r="G1620" s="11" t="inlineStr">
        <is>
          <t>Buenavista</t>
        </is>
      </c>
      <c r="H1620" s="11" t="inlineStr">
        <is>
          <t>Maligaya</t>
        </is>
      </c>
      <c r="I1620" s="24" t="n">
        <v>13.750826</v>
      </c>
      <c r="J1620" s="24" t="n">
        <v>122.421242</v>
      </c>
      <c r="K1620" s="23" t="inlineStr">
        <is>
          <t>R</t>
        </is>
      </c>
      <c r="L1620" s="25" t="n">
        <v>876</v>
      </c>
      <c r="M1620" s="26" t="n">
        <v>3.8</v>
      </c>
      <c r="N1620" s="25">
        <f>ROUND(L1620/M1620, 0)</f>
        <v/>
      </c>
      <c r="O1620" s="25">
        <f>ROUND(N1620*'Methodology &amp; Assumptions'!$B$7, 0)</f>
        <v/>
      </c>
      <c r="P1620" s="23" t="inlineStr">
        <is>
          <t>Single Carrier (Band n50, 100MHz TDD)</t>
        </is>
      </c>
      <c r="Q1620" s="27">
        <f>ROUNDUP(O1620/'Methodology &amp; Assumptions'!$B$8, 0)</f>
        <v/>
      </c>
      <c r="R1620" s="27" t="n">
        <v>1</v>
      </c>
      <c r="S1620" s="26" t="n">
        <v>4.09</v>
      </c>
      <c r="T1620" s="26" t="n">
        <v>2.85</v>
      </c>
      <c r="U1620" s="11">
        <f>IF(S1620&lt;='Methodology &amp; Assumptions'!$B$10, "Direct Optical Drop (&lt;3km)", IF(S1620&lt;='Methodology &amp; Assumptions'!$B$9, "Near Optical / Microwave (&lt;5km)", "Starlink Business LEO Satellite Backhaul (&gt;5km)"))</f>
        <v/>
      </c>
      <c r="V1620" s="26" t="n">
        <v>53.06</v>
      </c>
      <c r="W1620" s="26" t="n">
        <v>62.55</v>
      </c>
      <c r="X1620" s="26">
        <f>ROUND(('Methodology &amp; Assumptions'!$B$5*V1620) + ('Methodology &amp; Assumptions'!$B$6*W1620), 2)</f>
        <v/>
      </c>
      <c r="Y1620" s="28" t="n">
        <v>7.2</v>
      </c>
      <c r="Z1620" s="11" t="inlineStr">
        <is>
          <t>Priority Tier 3 (Broadband Expansion)</t>
        </is>
      </c>
    </row>
    <row r="1621">
      <c r="A1621" s="23" t="n">
        <v>5</v>
      </c>
      <c r="B1621" s="23" t="n">
        <v>617</v>
      </c>
      <c r="C1621" s="23" t="n">
        <v>4617</v>
      </c>
      <c r="D1621" s="23" t="inlineStr">
        <is>
          <t>1380612021</t>
        </is>
      </c>
      <c r="E1621" s="11" t="inlineStr">
        <is>
          <t>National Capital Region (NCR)</t>
        </is>
      </c>
      <c r="F1621" s="11" t="inlineStr">
        <is>
          <t>First District (Not a Province)</t>
        </is>
      </c>
      <c r="G1621" s="11" t="inlineStr">
        <is>
          <t>City of Manila</t>
        </is>
      </c>
      <c r="H1621" s="11" t="inlineStr">
        <is>
          <t>Barangay 853</t>
        </is>
      </c>
      <c r="I1621" s="24" t="n">
        <v>14.583315</v>
      </c>
      <c r="J1621" s="24" t="n">
        <v>121.001075</v>
      </c>
      <c r="K1621" s="23" t="inlineStr">
        <is>
          <t>U</t>
        </is>
      </c>
      <c r="L1621" s="25" t="n">
        <v>291</v>
      </c>
      <c r="M1621" s="26" t="n">
        <v>3.68</v>
      </c>
      <c r="N1621" s="25">
        <f>ROUND(L1621/M1621, 0)</f>
        <v/>
      </c>
      <c r="O1621" s="25">
        <f>ROUND(N1621*'Methodology &amp; Assumptions'!$B$7, 0)</f>
        <v/>
      </c>
      <c r="P1621" s="23" t="inlineStr">
        <is>
          <t>Single Carrier (Band n50, 100MHz TDD)</t>
        </is>
      </c>
      <c r="Q1621" s="27">
        <f>ROUNDUP(O1621/'Methodology &amp; Assumptions'!$B$8, 0)</f>
        <v/>
      </c>
      <c r="R1621" s="27" t="n">
        <v>1</v>
      </c>
      <c r="S1621" s="26" t="n">
        <v>0.22</v>
      </c>
      <c r="T1621" s="26" t="n">
        <v>0.23</v>
      </c>
      <c r="U1621" s="11">
        <f>IF(S1621&lt;='Methodology &amp; Assumptions'!$B$10, "Direct Optical Drop (&lt;3km)", IF(S1621&lt;='Methodology &amp; Assumptions'!$B$9, "Near Optical / Microwave (&lt;5km)", "Starlink Business LEO Satellite Backhaul (&gt;5km)"))</f>
        <v/>
      </c>
      <c r="V1621" s="26" t="n">
        <v>43.66</v>
      </c>
      <c r="W1621" s="26" t="n">
        <v>71.95999999999999</v>
      </c>
      <c r="X1621" s="26">
        <f>ROUND(('Methodology &amp; Assumptions'!$B$5*V1621) + ('Methodology &amp; Assumptions'!$B$6*W1621), 2)</f>
        <v/>
      </c>
      <c r="Y1621" s="28" t="n">
        <v>10.9</v>
      </c>
      <c r="Z1621" s="11" t="inlineStr">
        <is>
          <t>Priority Tier 3 (Broadband Expansion)</t>
        </is>
      </c>
    </row>
    <row r="1622">
      <c r="A1622" s="23" t="n">
        <v>5</v>
      </c>
      <c r="B1622" s="23" t="n">
        <v>618</v>
      </c>
      <c r="C1622" s="23" t="n">
        <v>4618</v>
      </c>
      <c r="D1622" s="23" t="inlineStr">
        <is>
          <t>0804807010</t>
        </is>
      </c>
      <c r="E1622" s="11" t="inlineStr">
        <is>
          <t>Region VIII (Eastern Visayas)</t>
        </is>
      </c>
      <c r="F1622" s="11" t="inlineStr">
        <is>
          <t>Northern Samar</t>
        </is>
      </c>
      <c r="G1622" s="11" t="inlineStr">
        <is>
          <t>Gamay</t>
        </is>
      </c>
      <c r="H1622" s="11" t="inlineStr">
        <is>
          <t>Dao</t>
        </is>
      </c>
      <c r="I1622" s="24" t="n">
        <v>12.401627</v>
      </c>
      <c r="J1622" s="24" t="n">
        <v>125.322332</v>
      </c>
      <c r="K1622" s="23" t="inlineStr">
        <is>
          <t>R</t>
        </is>
      </c>
      <c r="L1622" s="25" t="n">
        <v>1026</v>
      </c>
      <c r="M1622" s="26" t="n">
        <v>4.3</v>
      </c>
      <c r="N1622" s="25">
        <f>ROUND(L1622/M1622, 0)</f>
        <v/>
      </c>
      <c r="O1622" s="25">
        <f>ROUND(N1622*'Methodology &amp; Assumptions'!$B$7, 0)</f>
        <v/>
      </c>
      <c r="P1622" s="23" t="inlineStr">
        <is>
          <t>Single Carrier (Band n50, 100MHz TDD)</t>
        </is>
      </c>
      <c r="Q1622" s="27">
        <f>ROUNDUP(O1622/'Methodology &amp; Assumptions'!$B$8, 0)</f>
        <v/>
      </c>
      <c r="R1622" s="27" t="n">
        <v>1</v>
      </c>
      <c r="S1622" s="26" t="n">
        <v>133.82</v>
      </c>
      <c r="T1622" s="26" t="n">
        <v>133.95</v>
      </c>
      <c r="U1622" s="11">
        <f>IF(S1622&lt;='Methodology &amp; Assumptions'!$B$10, "Direct Optical Drop (&lt;3km)", IF(S1622&lt;='Methodology &amp; Assumptions'!$B$9, "Near Optical / Microwave (&lt;5km)", "Starlink Business LEO Satellite Backhaul (&gt;5km)"))</f>
        <v/>
      </c>
      <c r="V1622" s="26" t="n">
        <v>43.51</v>
      </c>
      <c r="W1622" s="26" t="n">
        <v>72.11</v>
      </c>
      <c r="X1622" s="26">
        <f>ROUND(('Methodology &amp; Assumptions'!$B$5*V1622) + ('Methodology &amp; Assumptions'!$B$6*W1622), 2)</f>
        <v/>
      </c>
      <c r="Y1622" s="28" t="n">
        <v>23.7</v>
      </c>
      <c r="Z1622" s="11" t="inlineStr">
        <is>
          <t>Priority Tier 3 (Broadband Expansion)</t>
        </is>
      </c>
    </row>
    <row r="1623">
      <c r="A1623" s="23" t="n">
        <v>5</v>
      </c>
      <c r="B1623" s="23" t="n">
        <v>619</v>
      </c>
      <c r="C1623" s="23" t="n">
        <v>4619</v>
      </c>
      <c r="D1623" s="23" t="inlineStr">
        <is>
          <t>0306907003</t>
        </is>
      </c>
      <c r="E1623" s="11" t="inlineStr">
        <is>
          <t>Region III (Central Luzon)</t>
        </is>
      </c>
      <c r="F1623" s="11" t="inlineStr">
        <is>
          <t>Tarlac</t>
        </is>
      </c>
      <c r="G1623" s="11" t="inlineStr">
        <is>
          <t>La Paz</t>
        </is>
      </c>
      <c r="H1623" s="11" t="inlineStr">
        <is>
          <t>Caramutan</t>
        </is>
      </c>
      <c r="I1623" s="24" t="n">
        <v>15.448047</v>
      </c>
      <c r="J1623" s="24" t="n">
        <v>120.716194</v>
      </c>
      <c r="K1623" s="23" t="inlineStr">
        <is>
          <t>U</t>
        </is>
      </c>
      <c r="L1623" s="25" t="n">
        <v>4566</v>
      </c>
      <c r="M1623" s="26" t="n">
        <v>3.9</v>
      </c>
      <c r="N1623" s="25">
        <f>ROUND(L1623/M1623, 0)</f>
        <v/>
      </c>
      <c r="O1623" s="25">
        <f>ROUND(N1623*'Methodology &amp; Assumptions'!$B$7, 0)</f>
        <v/>
      </c>
      <c r="P1623" s="23" t="inlineStr">
        <is>
          <t>Single Carrier (Band n50, 100MHz TDD)</t>
        </is>
      </c>
      <c r="Q1623" s="27">
        <f>ROUNDUP(O1623/'Methodology &amp; Assumptions'!$B$8, 0)</f>
        <v/>
      </c>
      <c r="R1623" s="27" t="n">
        <v>1</v>
      </c>
      <c r="S1623" s="26" t="n">
        <v>0.17</v>
      </c>
      <c r="T1623" s="26" t="n">
        <v>0.18</v>
      </c>
      <c r="U1623" s="11">
        <f>IF(S1623&lt;='Methodology &amp; Assumptions'!$B$10, "Direct Optical Drop (&lt;3km)", IF(S1623&lt;='Methodology &amp; Assumptions'!$B$9, "Near Optical / Microwave (&lt;5km)", "Starlink Business LEO Satellite Backhaul (&gt;5km)"))</f>
        <v/>
      </c>
      <c r="V1623" s="26" t="n">
        <v>78.43000000000001</v>
      </c>
      <c r="W1623" s="26" t="n">
        <v>37.16</v>
      </c>
      <c r="X1623" s="26">
        <f>ROUND(('Methodology &amp; Assumptions'!$B$5*V1623) + ('Methodology &amp; Assumptions'!$B$6*W1623), 2)</f>
        <v/>
      </c>
      <c r="Y1623" s="28" t="n">
        <v>8.300000000000001</v>
      </c>
      <c r="Z1623" s="11" t="inlineStr">
        <is>
          <t>Priority Tier 3 (Broadband Expansion)</t>
        </is>
      </c>
    </row>
    <row r="1624">
      <c r="A1624" s="23" t="n">
        <v>5</v>
      </c>
      <c r="B1624" s="23" t="n">
        <v>620</v>
      </c>
      <c r="C1624" s="23" t="n">
        <v>4620</v>
      </c>
      <c r="D1624" s="23" t="inlineStr">
        <is>
          <t>0405647037</t>
        </is>
      </c>
      <c r="E1624" s="11" t="inlineStr">
        <is>
          <t>Region IV-A (CALABARZON)</t>
        </is>
      </c>
      <c r="F1624" s="11" t="inlineStr">
        <is>
          <t>Quezon</t>
        </is>
      </c>
      <c r="G1624" s="11" t="inlineStr">
        <is>
          <t>City of Tayabas</t>
        </is>
      </c>
      <c r="H1624" s="11" t="inlineStr">
        <is>
          <t>Lalo</t>
        </is>
      </c>
      <c r="I1624" s="24" t="n">
        <v>14.041276</v>
      </c>
      <c r="J1624" s="24" t="n">
        <v>121.570859</v>
      </c>
      <c r="K1624" s="23" t="inlineStr">
        <is>
          <t>R</t>
        </is>
      </c>
      <c r="L1624" s="25" t="n">
        <v>4149</v>
      </c>
      <c r="M1624" s="26" t="n">
        <v>3.8</v>
      </c>
      <c r="N1624" s="25">
        <f>ROUND(L1624/M1624, 0)</f>
        <v/>
      </c>
      <c r="O1624" s="25">
        <f>ROUND(N1624*'Methodology &amp; Assumptions'!$B$7, 0)</f>
        <v/>
      </c>
      <c r="P1624" s="23" t="inlineStr">
        <is>
          <t>Single Carrier (Band n50, 100MHz TDD)</t>
        </is>
      </c>
      <c r="Q1624" s="27">
        <f>ROUNDUP(O1624/'Methodology &amp; Assumptions'!$B$8, 0)</f>
        <v/>
      </c>
      <c r="R1624" s="27" t="n">
        <v>1</v>
      </c>
      <c r="S1624" s="26" t="n">
        <v>3.12</v>
      </c>
      <c r="T1624" s="26" t="n">
        <v>0.53</v>
      </c>
      <c r="U1624" s="11">
        <f>IF(S1624&lt;='Methodology &amp; Assumptions'!$B$10, "Direct Optical Drop (&lt;3km)", IF(S1624&lt;='Methodology &amp; Assumptions'!$B$9, "Near Optical / Microwave (&lt;5km)", "Starlink Business LEO Satellite Backhaul (&gt;5km)"))</f>
        <v/>
      </c>
      <c r="V1624" s="26" t="n">
        <v>77.72</v>
      </c>
      <c r="W1624" s="26" t="n">
        <v>37.88</v>
      </c>
      <c r="X1624" s="26">
        <f>ROUND(('Methodology &amp; Assumptions'!$B$5*V1624) + ('Methodology &amp; Assumptions'!$B$6*W1624), 2)</f>
        <v/>
      </c>
      <c r="Y1624" s="28" t="n">
        <v>7.2</v>
      </c>
      <c r="Z1624" s="11" t="inlineStr">
        <is>
          <t>Priority Tier 3 (Broadband Expansion)</t>
        </is>
      </c>
    </row>
    <row r="1625">
      <c r="A1625" s="23" t="n">
        <v>5</v>
      </c>
      <c r="B1625" s="23" t="n">
        <v>621</v>
      </c>
      <c r="C1625" s="23" t="n">
        <v>4621</v>
      </c>
      <c r="D1625" s="23" t="inlineStr">
        <is>
          <t>0501716010</t>
        </is>
      </c>
      <c r="E1625" s="11" t="inlineStr">
        <is>
          <t>Region V (Bicol Region)</t>
        </is>
      </c>
      <c r="F1625" s="11" t="inlineStr">
        <is>
          <t>Camarines Sur</t>
        </is>
      </c>
      <c r="G1625" s="11" t="inlineStr">
        <is>
          <t>City of Iriga</t>
        </is>
      </c>
      <c r="H1625" s="11" t="inlineStr">
        <is>
          <t>Perpetual Help</t>
        </is>
      </c>
      <c r="I1625" s="24" t="n">
        <v>13.654718</v>
      </c>
      <c r="J1625" s="24" t="n">
        <v>123.264539</v>
      </c>
      <c r="K1625" s="23" t="inlineStr">
        <is>
          <t>R</t>
        </is>
      </c>
      <c r="L1625" s="25" t="n">
        <v>4380</v>
      </c>
      <c r="M1625" s="26" t="n">
        <v>4.2</v>
      </c>
      <c r="N1625" s="25">
        <f>ROUND(L1625/M1625, 0)</f>
        <v/>
      </c>
      <c r="O1625" s="25">
        <f>ROUND(N1625*'Methodology &amp; Assumptions'!$B$7, 0)</f>
        <v/>
      </c>
      <c r="P1625" s="23" t="inlineStr">
        <is>
          <t>Single Carrier (Band n50, 100MHz TDD)</t>
        </is>
      </c>
      <c r="Q1625" s="27">
        <f>ROUNDUP(O1625/'Methodology &amp; Assumptions'!$B$8, 0)</f>
        <v/>
      </c>
      <c r="R1625" s="27" t="n">
        <v>1</v>
      </c>
      <c r="S1625" s="26" t="n">
        <v>2.86</v>
      </c>
      <c r="T1625" s="26" t="n">
        <v>4.83</v>
      </c>
      <c r="U1625" s="11">
        <f>IF(S1625&lt;='Methodology &amp; Assumptions'!$B$10, "Direct Optical Drop (&lt;3km)", IF(S1625&lt;='Methodology &amp; Assumptions'!$B$9, "Near Optical / Microwave (&lt;5km)", "Starlink Business LEO Satellite Backhaul (&gt;5km)"))</f>
        <v/>
      </c>
      <c r="V1625" s="26" t="n">
        <v>77.55</v>
      </c>
      <c r="W1625" s="26" t="n">
        <v>38.05</v>
      </c>
      <c r="X1625" s="26">
        <f>ROUND(('Methodology &amp; Assumptions'!$B$5*V1625) + ('Methodology &amp; Assumptions'!$B$6*W1625), 2)</f>
        <v/>
      </c>
      <c r="Y1625" s="28" t="n">
        <v>23.7</v>
      </c>
      <c r="Z1625" s="11" t="inlineStr">
        <is>
          <t>Priority Tier 3 (Broadband Expansion)</t>
        </is>
      </c>
    </row>
    <row r="1626">
      <c r="A1626" s="23" t="n">
        <v>5</v>
      </c>
      <c r="B1626" s="23" t="n">
        <v>622</v>
      </c>
      <c r="C1626" s="23" t="n">
        <v>4622</v>
      </c>
      <c r="D1626" s="23" t="inlineStr">
        <is>
          <t>0501716015</t>
        </is>
      </c>
      <c r="E1626" s="11" t="inlineStr">
        <is>
          <t>Region V (Bicol Region)</t>
        </is>
      </c>
      <c r="F1626" s="11" t="inlineStr">
        <is>
          <t>Camarines Sur</t>
        </is>
      </c>
      <c r="G1626" s="11" t="inlineStr">
        <is>
          <t>City of Iriga</t>
        </is>
      </c>
      <c r="H1626" s="11" t="inlineStr">
        <is>
          <t>San Antonio</t>
        </is>
      </c>
      <c r="I1626" s="24" t="n">
        <v>13.654718</v>
      </c>
      <c r="J1626" s="24" t="n">
        <v>123.264539</v>
      </c>
      <c r="K1626" s="23" t="inlineStr">
        <is>
          <t>R</t>
        </is>
      </c>
      <c r="L1626" s="25" t="n">
        <v>4064</v>
      </c>
      <c r="M1626" s="26" t="n">
        <v>4.2</v>
      </c>
      <c r="N1626" s="25">
        <f>ROUND(L1626/M1626, 0)</f>
        <v/>
      </c>
      <c r="O1626" s="25">
        <f>ROUND(N1626*'Methodology &amp; Assumptions'!$B$7, 0)</f>
        <v/>
      </c>
      <c r="P1626" s="23" t="inlineStr">
        <is>
          <t>Single Carrier (Band n50, 100MHz TDD)</t>
        </is>
      </c>
      <c r="Q1626" s="27">
        <f>ROUNDUP(O1626/'Methodology &amp; Assumptions'!$B$8, 0)</f>
        <v/>
      </c>
      <c r="R1626" s="27" t="n">
        <v>1</v>
      </c>
      <c r="S1626" s="26" t="n">
        <v>2.86</v>
      </c>
      <c r="T1626" s="26" t="n">
        <v>4.83</v>
      </c>
      <c r="U1626" s="11">
        <f>IF(S1626&lt;='Methodology &amp; Assumptions'!$B$10, "Direct Optical Drop (&lt;3km)", IF(S1626&lt;='Methodology &amp; Assumptions'!$B$9, "Near Optical / Microwave (&lt;5km)", "Starlink Business LEO Satellite Backhaul (&gt;5km)"))</f>
        <v/>
      </c>
      <c r="V1626" s="26" t="n">
        <v>77.55</v>
      </c>
      <c r="W1626" s="26" t="n">
        <v>38.05</v>
      </c>
      <c r="X1626" s="26">
        <f>ROUND(('Methodology &amp; Assumptions'!$B$5*V1626) + ('Methodology &amp; Assumptions'!$B$6*W1626), 2)</f>
        <v/>
      </c>
      <c r="Y1626" s="28" t="n">
        <v>23.7</v>
      </c>
      <c r="Z1626" s="11" t="inlineStr">
        <is>
          <t>Priority Tier 3 (Broadband Expansion)</t>
        </is>
      </c>
    </row>
    <row r="1627">
      <c r="A1627" s="23" t="n">
        <v>5</v>
      </c>
      <c r="B1627" s="23" t="n">
        <v>623</v>
      </c>
      <c r="C1627" s="23" t="n">
        <v>4623</v>
      </c>
      <c r="D1627" s="23" t="inlineStr">
        <is>
          <t>0501716019</t>
        </is>
      </c>
      <c r="E1627" s="11" t="inlineStr">
        <is>
          <t>Region V (Bicol Region)</t>
        </is>
      </c>
      <c r="F1627" s="11" t="inlineStr">
        <is>
          <t>Camarines Sur</t>
        </is>
      </c>
      <c r="G1627" s="11" t="inlineStr">
        <is>
          <t>City of Iriga</t>
        </is>
      </c>
      <c r="H1627" s="11" t="inlineStr">
        <is>
          <t>San Juan</t>
        </is>
      </c>
      <c r="I1627" s="24" t="n">
        <v>13.654718</v>
      </c>
      <c r="J1627" s="24" t="n">
        <v>123.264539</v>
      </c>
      <c r="K1627" s="23" t="inlineStr">
        <is>
          <t>R</t>
        </is>
      </c>
      <c r="L1627" s="25" t="n">
        <v>4462</v>
      </c>
      <c r="M1627" s="26" t="n">
        <v>4.2</v>
      </c>
      <c r="N1627" s="25">
        <f>ROUND(L1627/M1627, 0)</f>
        <v/>
      </c>
      <c r="O1627" s="25">
        <f>ROUND(N1627*'Methodology &amp; Assumptions'!$B$7, 0)</f>
        <v/>
      </c>
      <c r="P1627" s="23" t="inlineStr">
        <is>
          <t>Single Carrier (Band n50, 100MHz TDD)</t>
        </is>
      </c>
      <c r="Q1627" s="27">
        <f>ROUNDUP(O1627/'Methodology &amp; Assumptions'!$B$8, 0)</f>
        <v/>
      </c>
      <c r="R1627" s="27" t="n">
        <v>1</v>
      </c>
      <c r="S1627" s="26" t="n">
        <v>2.86</v>
      </c>
      <c r="T1627" s="26" t="n">
        <v>4.83</v>
      </c>
      <c r="U1627" s="11">
        <f>IF(S1627&lt;='Methodology &amp; Assumptions'!$B$10, "Direct Optical Drop (&lt;3km)", IF(S1627&lt;='Methodology &amp; Assumptions'!$B$9, "Near Optical / Microwave (&lt;5km)", "Starlink Business LEO Satellite Backhaul (&gt;5km)"))</f>
        <v/>
      </c>
      <c r="V1627" s="26" t="n">
        <v>77.55</v>
      </c>
      <c r="W1627" s="26" t="n">
        <v>38.05</v>
      </c>
      <c r="X1627" s="26">
        <f>ROUND(('Methodology &amp; Assumptions'!$B$5*V1627) + ('Methodology &amp; Assumptions'!$B$6*W1627), 2)</f>
        <v/>
      </c>
      <c r="Y1627" s="28" t="n">
        <v>23.7</v>
      </c>
      <c r="Z1627" s="11" t="inlineStr">
        <is>
          <t>Priority Tier 3 (Broadband Expansion)</t>
        </is>
      </c>
    </row>
    <row r="1628">
      <c r="A1628" s="23" t="n">
        <v>5</v>
      </c>
      <c r="B1628" s="23" t="n">
        <v>624</v>
      </c>
      <c r="C1628" s="23" t="n">
        <v>4624</v>
      </c>
      <c r="D1628" s="23" t="inlineStr">
        <is>
          <t>0300810027</t>
        </is>
      </c>
      <c r="E1628" s="11" t="inlineStr">
        <is>
          <t>Region III (Central Luzon)</t>
        </is>
      </c>
      <c r="F1628" s="11" t="inlineStr">
        <is>
          <t>Bataan</t>
        </is>
      </c>
      <c r="G1628" s="11" t="inlineStr">
        <is>
          <t>Orion</t>
        </is>
      </c>
      <c r="H1628" s="11" t="inlineStr">
        <is>
          <t>Villa Angeles</t>
        </is>
      </c>
      <c r="I1628" s="24" t="n">
        <v>14.618481</v>
      </c>
      <c r="J1628" s="24" t="n">
        <v>120.581223</v>
      </c>
      <c r="K1628" s="23" t="inlineStr">
        <is>
          <t>R</t>
        </is>
      </c>
      <c r="L1628" s="25" t="n">
        <v>1328</v>
      </c>
      <c r="M1628" s="26" t="n">
        <v>3.6</v>
      </c>
      <c r="N1628" s="25">
        <f>ROUND(L1628/M1628, 0)</f>
        <v/>
      </c>
      <c r="O1628" s="25">
        <f>ROUND(N1628*'Methodology &amp; Assumptions'!$B$7, 0)</f>
        <v/>
      </c>
      <c r="P1628" s="23" t="inlineStr">
        <is>
          <t>Single Carrier (Band n50, 100MHz TDD)</t>
        </is>
      </c>
      <c r="Q1628" s="27">
        <f>ROUNDUP(O1628/'Methodology &amp; Assumptions'!$B$8, 0)</f>
        <v/>
      </c>
      <c r="R1628" s="27" t="n">
        <v>1</v>
      </c>
      <c r="S1628" s="26" t="n">
        <v>0.41</v>
      </c>
      <c r="T1628" s="26" t="n">
        <v>0.32</v>
      </c>
      <c r="U1628" s="11">
        <f>IF(S1628&lt;='Methodology &amp; Assumptions'!$B$10, "Direct Optical Drop (&lt;3km)", IF(S1628&lt;='Methodology &amp; Assumptions'!$B$9, "Near Optical / Microwave (&lt;5km)", "Starlink Business LEO Satellite Backhaul (&gt;5km)"))</f>
        <v/>
      </c>
      <c r="V1628" s="26" t="n">
        <v>71.05</v>
      </c>
      <c r="W1628" s="26" t="n">
        <v>44.55</v>
      </c>
      <c r="X1628" s="26">
        <f>ROUND(('Methodology &amp; Assumptions'!$B$5*V1628) + ('Methodology &amp; Assumptions'!$B$6*W1628), 2)</f>
        <v/>
      </c>
      <c r="Y1628" s="28" t="n">
        <v>8.300000000000001</v>
      </c>
      <c r="Z1628" s="11" t="inlineStr">
        <is>
          <t>Priority Tier 3 (Broadband Expansion)</t>
        </is>
      </c>
    </row>
    <row r="1629">
      <c r="A1629" s="23" t="n">
        <v>5</v>
      </c>
      <c r="B1629" s="23" t="n">
        <v>625</v>
      </c>
      <c r="C1629" s="23" t="n">
        <v>4625</v>
      </c>
      <c r="D1629" s="23" t="inlineStr">
        <is>
          <t>1380601188</t>
        </is>
      </c>
      <c r="E1629" s="11" t="inlineStr">
        <is>
          <t>National Capital Region (NCR)</t>
        </is>
      </c>
      <c r="F1629" s="11" t="inlineStr">
        <is>
          <t>First District (Not a Province)</t>
        </is>
      </c>
      <c r="G1629" s="11" t="inlineStr">
        <is>
          <t>City of Manila</t>
        </is>
      </c>
      <c r="H1629" s="11" t="inlineStr">
        <is>
          <t>Barangay 188</t>
        </is>
      </c>
      <c r="I1629" s="24" t="n">
        <v>14.63593</v>
      </c>
      <c r="J1629" s="24" t="n">
        <v>120.980533</v>
      </c>
      <c r="K1629" s="23" t="inlineStr">
        <is>
          <t>U</t>
        </is>
      </c>
      <c r="L1629" s="25" t="n">
        <v>872</v>
      </c>
      <c r="M1629" s="26" t="n">
        <v>3.98</v>
      </c>
      <c r="N1629" s="25">
        <f>ROUND(L1629/M1629, 0)</f>
        <v/>
      </c>
      <c r="O1629" s="25">
        <f>ROUND(N1629*'Methodology &amp; Assumptions'!$B$7, 0)</f>
        <v/>
      </c>
      <c r="P1629" s="23" t="inlineStr">
        <is>
          <t>Single Carrier (Band n50, 100MHz TDD)</t>
        </is>
      </c>
      <c r="Q1629" s="27">
        <f>ROUNDUP(O1629/'Methodology &amp; Assumptions'!$B$8, 0)</f>
        <v/>
      </c>
      <c r="R1629" s="27" t="n">
        <v>1</v>
      </c>
      <c r="S1629" s="26" t="n">
        <v>1.27</v>
      </c>
      <c r="T1629" s="26" t="n">
        <v>0.24</v>
      </c>
      <c r="U1629" s="11">
        <f>IF(S1629&lt;='Methodology &amp; Assumptions'!$B$10, "Direct Optical Drop (&lt;3km)", IF(S1629&lt;='Methodology &amp; Assumptions'!$B$9, "Near Optical / Microwave (&lt;5km)", "Starlink Business LEO Satellite Backhaul (&gt;5km)"))</f>
        <v/>
      </c>
      <c r="V1629" s="26" t="n">
        <v>46.52</v>
      </c>
      <c r="W1629" s="26" t="n">
        <v>69.08</v>
      </c>
      <c r="X1629" s="26">
        <f>ROUND(('Methodology &amp; Assumptions'!$B$5*V1629) + ('Methodology &amp; Assumptions'!$B$6*W1629), 2)</f>
        <v/>
      </c>
      <c r="Y1629" s="28" t="n">
        <v>10.9</v>
      </c>
      <c r="Z1629" s="11" t="inlineStr">
        <is>
          <t>Priority Tier 3 (Broadband Expansion)</t>
        </is>
      </c>
    </row>
    <row r="1630">
      <c r="A1630" s="23" t="n">
        <v>5</v>
      </c>
      <c r="B1630" s="23" t="n">
        <v>626</v>
      </c>
      <c r="C1630" s="23" t="n">
        <v>4626</v>
      </c>
      <c r="D1630" s="23" t="inlineStr">
        <is>
          <t>1380606136</t>
        </is>
      </c>
      <c r="E1630" s="11" t="inlineStr">
        <is>
          <t>National Capital Region (NCR)</t>
        </is>
      </c>
      <c r="F1630" s="11" t="inlineStr">
        <is>
          <t>First District (Not a Province)</t>
        </is>
      </c>
      <c r="G1630" s="11" t="inlineStr">
        <is>
          <t>City of Manila</t>
        </is>
      </c>
      <c r="H1630" s="11" t="inlineStr">
        <is>
          <t>Barangay 530</t>
        </is>
      </c>
      <c r="I1630" s="24" t="n">
        <v>14.616406</v>
      </c>
      <c r="J1630" s="24" t="n">
        <v>121.001614</v>
      </c>
      <c r="K1630" s="23" t="inlineStr">
        <is>
          <t>U</t>
        </is>
      </c>
      <c r="L1630" s="25" t="n">
        <v>503</v>
      </c>
      <c r="M1630" s="26" t="n">
        <v>3.93</v>
      </c>
      <c r="N1630" s="25">
        <f>ROUND(L1630/M1630, 0)</f>
        <v/>
      </c>
      <c r="O1630" s="25">
        <f>ROUND(N1630*'Methodology &amp; Assumptions'!$B$7, 0)</f>
        <v/>
      </c>
      <c r="P1630" s="23" t="inlineStr">
        <is>
          <t>Single Carrier (Band n50, 100MHz TDD)</t>
        </is>
      </c>
      <c r="Q1630" s="27">
        <f>ROUNDUP(O1630/'Methodology &amp; Assumptions'!$B$8, 0)</f>
        <v/>
      </c>
      <c r="R1630" s="27" t="n">
        <v>1</v>
      </c>
      <c r="S1630" s="26" t="n">
        <v>0.65</v>
      </c>
      <c r="T1630" s="26" t="n">
        <v>0.44</v>
      </c>
      <c r="U1630" s="11">
        <f>IF(S1630&lt;='Methodology &amp; Assumptions'!$B$10, "Direct Optical Drop (&lt;3km)", IF(S1630&lt;='Methodology &amp; Assumptions'!$B$9, "Near Optical / Microwave (&lt;5km)", "Starlink Business LEO Satellite Backhaul (&gt;5km)"))</f>
        <v/>
      </c>
      <c r="V1630" s="26" t="n">
        <v>45.16</v>
      </c>
      <c r="W1630" s="26" t="n">
        <v>70.44</v>
      </c>
      <c r="X1630" s="26">
        <f>ROUND(('Methodology &amp; Assumptions'!$B$5*V1630) + ('Methodology &amp; Assumptions'!$B$6*W1630), 2)</f>
        <v/>
      </c>
      <c r="Y1630" s="28" t="n">
        <v>10.9</v>
      </c>
      <c r="Z1630" s="11" t="inlineStr">
        <is>
          <t>Priority Tier 3 (Broadband Expansion)</t>
        </is>
      </c>
    </row>
    <row r="1631">
      <c r="A1631" s="23" t="n">
        <v>5</v>
      </c>
      <c r="B1631" s="23" t="n">
        <v>627</v>
      </c>
      <c r="C1631" s="23" t="n">
        <v>4627</v>
      </c>
      <c r="D1631" s="23" t="inlineStr">
        <is>
          <t>0604520018</t>
        </is>
      </c>
      <c r="E1631" s="11" t="inlineStr">
        <is>
          <t>Region VI (Western Visayas)</t>
        </is>
      </c>
      <c r="F1631" s="11" t="inlineStr">
        <is>
          <t>Negros Occidental</t>
        </is>
      </c>
      <c r="G1631" s="11" t="inlineStr">
        <is>
          <t>Murcia</t>
        </is>
      </c>
      <c r="H1631" s="11" t="inlineStr">
        <is>
          <t>Lopez Jaena</t>
        </is>
      </c>
      <c r="I1631" s="24" t="n">
        <v>10.572258</v>
      </c>
      <c r="J1631" s="24" t="n">
        <v>123.075767</v>
      </c>
      <c r="K1631" s="23" t="inlineStr">
        <is>
          <t>R</t>
        </is>
      </c>
      <c r="L1631" s="25" t="n">
        <v>4614</v>
      </c>
      <c r="M1631" s="26" t="n">
        <v>3.7</v>
      </c>
      <c r="N1631" s="25">
        <f>ROUND(L1631/M1631, 0)</f>
        <v/>
      </c>
      <c r="O1631" s="25">
        <f>ROUND(N1631*'Methodology &amp; Assumptions'!$B$7, 0)</f>
        <v/>
      </c>
      <c r="P1631" s="23" t="inlineStr">
        <is>
          <t>Single Carrier (Band n50, 100MHz TDD)</t>
        </is>
      </c>
      <c r="Q1631" s="27">
        <f>ROUNDUP(O1631/'Methodology &amp; Assumptions'!$B$8, 0)</f>
        <v/>
      </c>
      <c r="R1631" s="27" t="n">
        <v>1</v>
      </c>
      <c r="S1631" s="26" t="n">
        <v>0.7</v>
      </c>
      <c r="T1631" s="26" t="n">
        <v>0.21</v>
      </c>
      <c r="U1631" s="11">
        <f>IF(S1631&lt;='Methodology &amp; Assumptions'!$B$10, "Direct Optical Drop (&lt;3km)", IF(S1631&lt;='Methodology &amp; Assumptions'!$B$9, "Near Optical / Microwave (&lt;5km)", "Starlink Business LEO Satellite Backhaul (&gt;5km)"))</f>
        <v/>
      </c>
      <c r="V1631" s="26" t="n">
        <v>88.06</v>
      </c>
      <c r="W1631" s="26" t="n">
        <v>27.53</v>
      </c>
      <c r="X1631" s="26">
        <f>ROUND(('Methodology &amp; Assumptions'!$B$5*V1631) + ('Methodology &amp; Assumptions'!$B$6*W1631), 2)</f>
        <v/>
      </c>
      <c r="Y1631" s="28" t="n">
        <v>23.7</v>
      </c>
      <c r="Z1631" s="11" t="inlineStr">
        <is>
          <t>Priority Tier 3 (Broadband Expansion)</t>
        </is>
      </c>
    </row>
    <row r="1632">
      <c r="A1632" s="23" t="n">
        <v>5</v>
      </c>
      <c r="B1632" s="23" t="n">
        <v>628</v>
      </c>
      <c r="C1632" s="23" t="n">
        <v>4628</v>
      </c>
      <c r="D1632" s="23" t="inlineStr">
        <is>
          <t>0401018001</t>
        </is>
      </c>
      <c r="E1632" s="11" t="inlineStr">
        <is>
          <t>Region IV-A (CALABARZON)</t>
        </is>
      </c>
      <c r="F1632" s="11" t="inlineStr">
        <is>
          <t>Batangas</t>
        </is>
      </c>
      <c r="G1632" s="11" t="inlineStr">
        <is>
          <t>Mataasnakahoy</t>
        </is>
      </c>
      <c r="H1632" s="11" t="inlineStr">
        <is>
          <t>District I</t>
        </is>
      </c>
      <c r="I1632" s="24" t="n">
        <v>13.955252</v>
      </c>
      <c r="J1632" s="24" t="n">
        <v>121.110175</v>
      </c>
      <c r="K1632" s="23" t="inlineStr">
        <is>
          <t>R</t>
        </is>
      </c>
      <c r="L1632" s="25" t="n">
        <v>2421</v>
      </c>
      <c r="M1632" s="26" t="n">
        <v>3.6</v>
      </c>
      <c r="N1632" s="25">
        <f>ROUND(L1632/M1632, 0)</f>
        <v/>
      </c>
      <c r="O1632" s="25">
        <f>ROUND(N1632*'Methodology &amp; Assumptions'!$B$7, 0)</f>
        <v/>
      </c>
      <c r="P1632" s="23" t="inlineStr">
        <is>
          <t>Single Carrier (Band n50, 100MHz TDD)</t>
        </is>
      </c>
      <c r="Q1632" s="27">
        <f>ROUNDUP(O1632/'Methodology &amp; Assumptions'!$B$8, 0)</f>
        <v/>
      </c>
      <c r="R1632" s="27" t="n">
        <v>1</v>
      </c>
      <c r="S1632" s="26" t="n">
        <v>0.58</v>
      </c>
      <c r="T1632" s="26" t="n">
        <v>2.25</v>
      </c>
      <c r="U1632" s="11">
        <f>IF(S1632&lt;='Methodology &amp; Assumptions'!$B$10, "Direct Optical Drop (&lt;3km)", IF(S1632&lt;='Methodology &amp; Assumptions'!$B$9, "Near Optical / Microwave (&lt;5km)", "Starlink Business LEO Satellite Backhaul (&gt;5km)"))</f>
        <v/>
      </c>
      <c r="V1632" s="26" t="n">
        <v>78.40000000000001</v>
      </c>
      <c r="W1632" s="26" t="n">
        <v>37.18</v>
      </c>
      <c r="X1632" s="26">
        <f>ROUND(('Methodology &amp; Assumptions'!$B$5*V1632) + ('Methodology &amp; Assumptions'!$B$6*W1632), 2)</f>
        <v/>
      </c>
      <c r="Y1632" s="28" t="n">
        <v>7.2</v>
      </c>
      <c r="Z1632" s="11" t="inlineStr">
        <is>
          <t>Priority Tier 3 (Broadband Expansion)</t>
        </is>
      </c>
    </row>
    <row r="1633">
      <c r="A1633" s="23" t="n">
        <v>5</v>
      </c>
      <c r="B1633" s="23" t="n">
        <v>629</v>
      </c>
      <c r="C1633" s="23" t="n">
        <v>4629</v>
      </c>
      <c r="D1633" s="23" t="inlineStr">
        <is>
          <t>0305402010</t>
        </is>
      </c>
      <c r="E1633" s="11" t="inlineStr">
        <is>
          <t>Region III (Central Luzon)</t>
        </is>
      </c>
      <c r="F1633" s="11" t="inlineStr">
        <is>
          <t>Pampanga</t>
        </is>
      </c>
      <c r="G1633" s="11" t="inlineStr">
        <is>
          <t>Apalit</t>
        </is>
      </c>
      <c r="H1633" s="11" t="inlineStr">
        <is>
          <t>Sampaloc</t>
        </is>
      </c>
      <c r="I1633" s="24" t="n">
        <v>14.959673</v>
      </c>
      <c r="J1633" s="24" t="n">
        <v>120.75763</v>
      </c>
      <c r="K1633" s="23" t="inlineStr">
        <is>
          <t>U</t>
        </is>
      </c>
      <c r="L1633" s="25" t="n">
        <v>14226</v>
      </c>
      <c r="M1633" s="26" t="n">
        <v>4</v>
      </c>
      <c r="N1633" s="25">
        <f>ROUND(L1633/M1633, 0)</f>
        <v/>
      </c>
      <c r="O1633" s="25">
        <f>ROUND(N1633*'Methodology &amp; Assumptions'!$B$7, 0)</f>
        <v/>
      </c>
      <c r="P1633" s="23" t="inlineStr">
        <is>
          <t>Single Carrier (Band n50, 100MHz TDD)</t>
        </is>
      </c>
      <c r="Q1633" s="27">
        <f>ROUNDUP(O1633/'Methodology &amp; Assumptions'!$B$8, 0)</f>
        <v/>
      </c>
      <c r="R1633" s="27" t="n">
        <v>1</v>
      </c>
      <c r="S1633" s="26" t="n">
        <v>1.27</v>
      </c>
      <c r="T1633" s="26" t="n">
        <v>0.09</v>
      </c>
      <c r="U1633" s="11">
        <f>IF(S1633&lt;='Methodology &amp; Assumptions'!$B$10, "Direct Optical Drop (&lt;3km)", IF(S1633&lt;='Methodology &amp; Assumptions'!$B$9, "Near Optical / Microwave (&lt;5km)", "Starlink Business LEO Satellite Backhaul (&gt;5km)"))</f>
        <v/>
      </c>
      <c r="V1633" s="26" t="n">
        <v>76.78</v>
      </c>
      <c r="W1633" s="26" t="n">
        <v>38.8</v>
      </c>
      <c r="X1633" s="26">
        <f>ROUND(('Methodology &amp; Assumptions'!$B$5*V1633) + ('Methodology &amp; Assumptions'!$B$6*W1633), 2)</f>
        <v/>
      </c>
      <c r="Y1633" s="28" t="n">
        <v>8.300000000000001</v>
      </c>
      <c r="Z1633" s="11" t="inlineStr">
        <is>
          <t>Priority Tier 3 (Broadband Expansion)</t>
        </is>
      </c>
    </row>
    <row r="1634">
      <c r="A1634" s="23" t="n">
        <v>5</v>
      </c>
      <c r="B1634" s="23" t="n">
        <v>630</v>
      </c>
      <c r="C1634" s="23" t="n">
        <v>4630</v>
      </c>
      <c r="D1634" s="23" t="inlineStr">
        <is>
          <t>0102820019</t>
        </is>
      </c>
      <c r="E1634" s="11" t="inlineStr">
        <is>
          <t>Region I (Ilocos Region)</t>
        </is>
      </c>
      <c r="F1634" s="11" t="inlineStr">
        <is>
          <t>Ilocos Norte</t>
        </is>
      </c>
      <c r="G1634" s="11" t="inlineStr">
        <is>
          <t>San Nicolas</t>
        </is>
      </c>
      <c r="H1634" s="11" t="inlineStr">
        <is>
          <t>San Pedro</t>
        </is>
      </c>
      <c r="I1634" s="24" t="n">
        <v>18.147082</v>
      </c>
      <c r="J1634" s="24" t="n">
        <v>120.585467</v>
      </c>
      <c r="K1634" s="23" t="inlineStr">
        <is>
          <t>R</t>
        </is>
      </c>
      <c r="L1634" s="25" t="n">
        <v>1999</v>
      </c>
      <c r="M1634" s="26" t="n">
        <v>3.7</v>
      </c>
      <c r="N1634" s="25">
        <f>ROUND(L1634/M1634, 0)</f>
        <v/>
      </c>
      <c r="O1634" s="25">
        <f>ROUND(N1634*'Methodology &amp; Assumptions'!$B$7, 0)</f>
        <v/>
      </c>
      <c r="P1634" s="23" t="inlineStr">
        <is>
          <t>Single Carrier (Band n50, 100MHz TDD)</t>
        </is>
      </c>
      <c r="Q1634" s="27">
        <f>ROUNDUP(O1634/'Methodology &amp; Assumptions'!$B$8, 0)</f>
        <v/>
      </c>
      <c r="R1634" s="27" t="n">
        <v>1</v>
      </c>
      <c r="S1634" s="26" t="n">
        <v>2.72</v>
      </c>
      <c r="T1634" s="26" t="n">
        <v>0.24</v>
      </c>
      <c r="U1634" s="11">
        <f>IF(S1634&lt;='Methodology &amp; Assumptions'!$B$10, "Direct Optical Drop (&lt;3km)", IF(S1634&lt;='Methodology &amp; Assumptions'!$B$9, "Near Optical / Microwave (&lt;5km)", "Starlink Business LEO Satellite Backhaul (&gt;5km)"))</f>
        <v/>
      </c>
      <c r="V1634" s="26" t="n">
        <v>69.98999999999999</v>
      </c>
      <c r="W1634" s="26" t="n">
        <v>45.59</v>
      </c>
      <c r="X1634" s="26">
        <f>ROUND(('Methodology &amp; Assumptions'!$B$5*V1634) + ('Methodology &amp; Assumptions'!$B$6*W1634), 2)</f>
        <v/>
      </c>
      <c r="Y1634" s="28" t="n">
        <v>8.300000000000001</v>
      </c>
      <c r="Z1634" s="11" t="inlineStr">
        <is>
          <t>Priority Tier 3 (Broadband Expansion)</t>
        </is>
      </c>
    </row>
    <row r="1635">
      <c r="A1635" s="23" t="n">
        <v>5</v>
      </c>
      <c r="B1635" s="23" t="n">
        <v>631</v>
      </c>
      <c r="C1635" s="23" t="n">
        <v>4631</v>
      </c>
      <c r="D1635" s="23" t="inlineStr">
        <is>
          <t>1208007004</t>
        </is>
      </c>
      <c r="E1635" s="11" t="inlineStr">
        <is>
          <t>Region XII (SOCCSKSARGEN)</t>
        </is>
      </c>
      <c r="F1635" s="11" t="inlineStr">
        <is>
          <t>Sarangani</t>
        </is>
      </c>
      <c r="G1635" s="11" t="inlineStr">
        <is>
          <t>Malungon</t>
        </is>
      </c>
      <c r="H1635" s="11" t="inlineStr">
        <is>
          <t>Banahaw</t>
        </is>
      </c>
      <c r="I1635" s="24" t="n">
        <v>6.302262</v>
      </c>
      <c r="J1635" s="24" t="n">
        <v>125.280182</v>
      </c>
      <c r="K1635" s="23" t="inlineStr">
        <is>
          <t>R</t>
        </is>
      </c>
      <c r="L1635" s="25" t="n">
        <v>2087</v>
      </c>
      <c r="M1635" s="26" t="n">
        <v>3.9</v>
      </c>
      <c r="N1635" s="25">
        <f>ROUND(L1635/M1635, 0)</f>
        <v/>
      </c>
      <c r="O1635" s="25">
        <f>ROUND(N1635*'Methodology &amp; Assumptions'!$B$7, 0)</f>
        <v/>
      </c>
      <c r="P1635" s="23" t="inlineStr">
        <is>
          <t>Single Carrier (Band n50, 100MHz TDD)</t>
        </is>
      </c>
      <c r="Q1635" s="27">
        <f>ROUNDUP(O1635/'Methodology &amp; Assumptions'!$B$8, 0)</f>
        <v/>
      </c>
      <c r="R1635" s="27" t="n">
        <v>1</v>
      </c>
      <c r="S1635" s="26" t="n">
        <v>3.06</v>
      </c>
      <c r="T1635" s="26" t="n">
        <v>2.89</v>
      </c>
      <c r="U1635" s="11">
        <f>IF(S1635&lt;='Methodology &amp; Assumptions'!$B$10, "Direct Optical Drop (&lt;3km)", IF(S1635&lt;='Methodology &amp; Assumptions'!$B$9, "Near Optical / Microwave (&lt;5km)", "Starlink Business LEO Satellite Backhaul (&gt;5km)"))</f>
        <v/>
      </c>
      <c r="V1635" s="26" t="n">
        <v>66.05</v>
      </c>
      <c r="W1635" s="26" t="n">
        <v>49.53</v>
      </c>
      <c r="X1635" s="26">
        <f>ROUND(('Methodology &amp; Assumptions'!$B$5*V1635) + ('Methodology &amp; Assumptions'!$B$6*W1635), 2)</f>
        <v/>
      </c>
      <c r="Y1635" s="28" t="n">
        <v>17.4</v>
      </c>
      <c r="Z1635" s="11" t="inlineStr">
        <is>
          <t>Priority Tier 3 (Broadband Expansion)</t>
        </is>
      </c>
    </row>
    <row r="1636">
      <c r="A1636" s="23" t="n">
        <v>5</v>
      </c>
      <c r="B1636" s="23" t="n">
        <v>632</v>
      </c>
      <c r="C1636" s="23" t="n">
        <v>4632</v>
      </c>
      <c r="D1636" s="23" t="inlineStr">
        <is>
          <t>1380606092</t>
        </is>
      </c>
      <c r="E1636" s="11" t="inlineStr">
        <is>
          <t>National Capital Region (NCR)</t>
        </is>
      </c>
      <c r="F1636" s="11" t="inlineStr">
        <is>
          <t>First District (Not a Province)</t>
        </is>
      </c>
      <c r="G1636" s="11" t="inlineStr">
        <is>
          <t>City of Manila</t>
        </is>
      </c>
      <c r="H1636" s="11" t="inlineStr">
        <is>
          <t>Barangay 486</t>
        </is>
      </c>
      <c r="I1636" s="24" t="n">
        <v>14.616588</v>
      </c>
      <c r="J1636" s="24" t="n">
        <v>120.990321</v>
      </c>
      <c r="K1636" s="23" t="inlineStr">
        <is>
          <t>U</t>
        </is>
      </c>
      <c r="L1636" s="25" t="n">
        <v>687</v>
      </c>
      <c r="M1636" s="26" t="n">
        <v>3.97</v>
      </c>
      <c r="N1636" s="25">
        <f>ROUND(L1636/M1636, 0)</f>
        <v/>
      </c>
      <c r="O1636" s="25">
        <f>ROUND(N1636*'Methodology &amp; Assumptions'!$B$7, 0)</f>
        <v/>
      </c>
      <c r="P1636" s="23" t="inlineStr">
        <is>
          <t>Single Carrier (Band n50, 100MHz TDD)</t>
        </is>
      </c>
      <c r="Q1636" s="27">
        <f>ROUNDUP(O1636/'Methodology &amp; Assumptions'!$B$8, 0)</f>
        <v/>
      </c>
      <c r="R1636" s="27" t="n">
        <v>1</v>
      </c>
      <c r="S1636" s="26" t="n">
        <v>0.8</v>
      </c>
      <c r="T1636" s="26" t="n">
        <v>0.67</v>
      </c>
      <c r="U1636" s="11">
        <f>IF(S1636&lt;='Methodology &amp; Assumptions'!$B$10, "Direct Optical Drop (&lt;3km)", IF(S1636&lt;='Methodology &amp; Assumptions'!$B$9, "Near Optical / Microwave (&lt;5km)", "Starlink Business LEO Satellite Backhaul (&gt;5km)"))</f>
        <v/>
      </c>
      <c r="V1636" s="26" t="n">
        <v>46.66</v>
      </c>
      <c r="W1636" s="26" t="n">
        <v>68.92</v>
      </c>
      <c r="X1636" s="26">
        <f>ROUND(('Methodology &amp; Assumptions'!$B$5*V1636) + ('Methodology &amp; Assumptions'!$B$6*W1636), 2)</f>
        <v/>
      </c>
      <c r="Y1636" s="28" t="n">
        <v>10.9</v>
      </c>
      <c r="Z1636" s="11" t="inlineStr">
        <is>
          <t>Priority Tier 3 (Broadband Expansion)</t>
        </is>
      </c>
    </row>
    <row r="1637">
      <c r="A1637" s="23" t="n">
        <v>5</v>
      </c>
      <c r="B1637" s="23" t="n">
        <v>633</v>
      </c>
      <c r="C1637" s="23" t="n">
        <v>4633</v>
      </c>
      <c r="D1637" s="23" t="inlineStr">
        <is>
          <t>1380606179</t>
        </is>
      </c>
      <c r="E1637" s="11" t="inlineStr">
        <is>
          <t>National Capital Region (NCR)</t>
        </is>
      </c>
      <c r="F1637" s="11" t="inlineStr">
        <is>
          <t>First District (Not a Province)</t>
        </is>
      </c>
      <c r="G1637" s="11" t="inlineStr">
        <is>
          <t>City of Manila</t>
        </is>
      </c>
      <c r="H1637" s="11" t="inlineStr">
        <is>
          <t>Barangay 573</t>
        </is>
      </c>
      <c r="I1637" s="24" t="n">
        <v>14.60688</v>
      </c>
      <c r="J1637" s="24" t="n">
        <v>121.00403</v>
      </c>
      <c r="K1637" s="23" t="inlineStr">
        <is>
          <t>U</t>
        </is>
      </c>
      <c r="L1637" s="25" t="n">
        <v>716</v>
      </c>
      <c r="M1637" s="26" t="n">
        <v>4.19</v>
      </c>
      <c r="N1637" s="25">
        <f>ROUND(L1637/M1637, 0)</f>
        <v/>
      </c>
      <c r="O1637" s="25">
        <f>ROUND(N1637*'Methodology &amp; Assumptions'!$B$7, 0)</f>
        <v/>
      </c>
      <c r="P1637" s="23" t="inlineStr">
        <is>
          <t>Single Carrier (Band n50, 100MHz TDD)</t>
        </is>
      </c>
      <c r="Q1637" s="27">
        <f>ROUNDUP(O1637/'Methodology &amp; Assumptions'!$B$8, 0)</f>
        <v/>
      </c>
      <c r="R1637" s="27" t="n">
        <v>1</v>
      </c>
      <c r="S1637" s="26" t="n">
        <v>0.45</v>
      </c>
      <c r="T1637" s="26" t="n">
        <v>0.35</v>
      </c>
      <c r="U1637" s="11">
        <f>IF(S1637&lt;='Methodology &amp; Assumptions'!$B$10, "Direct Optical Drop (&lt;3km)", IF(S1637&lt;='Methodology &amp; Assumptions'!$B$9, "Near Optical / Microwave (&lt;5km)", "Starlink Business LEO Satellite Backhaul (&gt;5km)"))</f>
        <v/>
      </c>
      <c r="V1637" s="26" t="n">
        <v>46.55</v>
      </c>
      <c r="W1637" s="26" t="n">
        <v>69.02</v>
      </c>
      <c r="X1637" s="26">
        <f>ROUND(('Methodology &amp; Assumptions'!$B$5*V1637) + ('Methodology &amp; Assumptions'!$B$6*W1637), 2)</f>
        <v/>
      </c>
      <c r="Y1637" s="28" t="n">
        <v>10.9</v>
      </c>
      <c r="Z1637" s="11" t="inlineStr">
        <is>
          <t>Priority Tier 3 (Broadband Expansion)</t>
        </is>
      </c>
    </row>
    <row r="1638">
      <c r="A1638" s="23" t="n">
        <v>5</v>
      </c>
      <c r="B1638" s="23" t="n">
        <v>634</v>
      </c>
      <c r="C1638" s="23" t="n">
        <v>4634</v>
      </c>
      <c r="D1638" s="23" t="inlineStr">
        <is>
          <t>1380605027</t>
        </is>
      </c>
      <c r="E1638" s="11" t="inlineStr">
        <is>
          <t>National Capital Region (NCR)</t>
        </is>
      </c>
      <c r="F1638" s="11" t="inlineStr">
        <is>
          <t>First District (Not a Province)</t>
        </is>
      </c>
      <c r="G1638" s="11" t="inlineStr">
        <is>
          <t>City of Manila</t>
        </is>
      </c>
      <c r="H1638" s="11" t="inlineStr">
        <is>
          <t>Barangay 325</t>
        </is>
      </c>
      <c r="I1638" s="24" t="n">
        <v>14.612563</v>
      </c>
      <c r="J1638" s="24" t="n">
        <v>120.983009</v>
      </c>
      <c r="K1638" s="23" t="inlineStr">
        <is>
          <t>U</t>
        </is>
      </c>
      <c r="L1638" s="25" t="n">
        <v>526</v>
      </c>
      <c r="M1638" s="26" t="n">
        <v>4.17</v>
      </c>
      <c r="N1638" s="25">
        <f>ROUND(L1638/M1638, 0)</f>
        <v/>
      </c>
      <c r="O1638" s="25">
        <f>ROUND(N1638*'Methodology &amp; Assumptions'!$B$7, 0)</f>
        <v/>
      </c>
      <c r="P1638" s="23" t="inlineStr">
        <is>
          <t>Single Carrier (Band n50, 100MHz TDD)</t>
        </is>
      </c>
      <c r="Q1638" s="27">
        <f>ROUNDUP(O1638/'Methodology &amp; Assumptions'!$B$8, 0)</f>
        <v/>
      </c>
      <c r="R1638" s="27" t="n">
        <v>1</v>
      </c>
      <c r="S1638" s="26" t="n">
        <v>0.44</v>
      </c>
      <c r="T1638" s="26" t="n">
        <v>0.09</v>
      </c>
      <c r="U1638" s="11">
        <f>IF(S1638&lt;='Methodology &amp; Assumptions'!$B$10, "Direct Optical Drop (&lt;3km)", IF(S1638&lt;='Methodology &amp; Assumptions'!$B$9, "Near Optical / Microwave (&lt;5km)", "Starlink Business LEO Satellite Backhaul (&gt;5km)"))</f>
        <v/>
      </c>
      <c r="V1638" s="26" t="n">
        <v>45.16</v>
      </c>
      <c r="W1638" s="26" t="n">
        <v>70.41</v>
      </c>
      <c r="X1638" s="26">
        <f>ROUND(('Methodology &amp; Assumptions'!$B$5*V1638) + ('Methodology &amp; Assumptions'!$B$6*W1638), 2)</f>
        <v/>
      </c>
      <c r="Y1638" s="28" t="n">
        <v>10.9</v>
      </c>
      <c r="Z1638" s="11" t="inlineStr">
        <is>
          <t>Priority Tier 3 (Broadband Expansion)</t>
        </is>
      </c>
    </row>
    <row r="1639">
      <c r="A1639" s="23" t="n">
        <v>5</v>
      </c>
      <c r="B1639" s="23" t="n">
        <v>635</v>
      </c>
      <c r="C1639" s="23" t="n">
        <v>4635</v>
      </c>
      <c r="D1639" s="23" t="inlineStr">
        <is>
          <t>1906612057</t>
        </is>
      </c>
      <c r="E1639" s="11" t="inlineStr">
        <is>
          <t>Bangsamoro Autonomous Region In Muslim Mindanao (BARMM)</t>
        </is>
      </c>
      <c r="F1639" s="11" t="inlineStr">
        <is>
          <t>Sulu</t>
        </is>
      </c>
      <c r="G1639" s="11" t="inlineStr">
        <is>
          <t>Siasi</t>
        </is>
      </c>
      <c r="H1639" s="11" t="inlineStr">
        <is>
          <t>Siolakan</t>
        </is>
      </c>
      <c r="I1639" s="24" t="n">
        <v>5.526665</v>
      </c>
      <c r="J1639" s="24" t="n">
        <v>120.858301</v>
      </c>
      <c r="K1639" s="23" t="inlineStr">
        <is>
          <t>R</t>
        </is>
      </c>
      <c r="L1639" s="25" t="n">
        <v>2422</v>
      </c>
      <c r="M1639" s="26" t="n">
        <v>6</v>
      </c>
      <c r="N1639" s="25">
        <f>ROUND(L1639/M1639, 0)</f>
        <v/>
      </c>
      <c r="O1639" s="25">
        <f>ROUND(N1639*'Methodology &amp; Assumptions'!$B$7, 0)</f>
        <v/>
      </c>
      <c r="P1639" s="23" t="inlineStr">
        <is>
          <t>Single Carrier (Band n50, 100MHz TDD)</t>
        </is>
      </c>
      <c r="Q1639" s="27">
        <f>ROUNDUP(O1639/'Methodology &amp; Assumptions'!$B$8, 0)</f>
        <v/>
      </c>
      <c r="R1639" s="27" t="n">
        <v>1</v>
      </c>
      <c r="S1639" s="26" t="n">
        <v>204.26</v>
      </c>
      <c r="T1639" s="26" t="n">
        <v>204.26</v>
      </c>
      <c r="U1639" s="11">
        <f>IF(S1639&lt;='Methodology &amp; Assumptions'!$B$10, "Direct Optical Drop (&lt;3km)", IF(S1639&lt;='Methodology &amp; Assumptions'!$B$9, "Near Optical / Microwave (&lt;5km)", "Starlink Business LEO Satellite Backhaul (&gt;5km)"))</f>
        <v/>
      </c>
      <c r="V1639" s="26" t="n">
        <v>44.01</v>
      </c>
      <c r="W1639" s="26" t="n">
        <v>71.56999999999999</v>
      </c>
      <c r="X1639" s="26">
        <f>ROUND(('Methodology &amp; Assumptions'!$B$5*V1639) + ('Methodology &amp; Assumptions'!$B$6*W1639), 2)</f>
        <v/>
      </c>
      <c r="Y1639" s="28" t="n">
        <v>11</v>
      </c>
      <c r="Z1639" s="11" t="inlineStr">
        <is>
          <t>Priority Tier 3 (Broadband Expansion)</t>
        </is>
      </c>
    </row>
    <row r="1640">
      <c r="A1640" s="23" t="n">
        <v>5</v>
      </c>
      <c r="B1640" s="23" t="n">
        <v>636</v>
      </c>
      <c r="C1640" s="23" t="n">
        <v>4636</v>
      </c>
      <c r="D1640" s="23" t="inlineStr">
        <is>
          <t>0405632001</t>
        </is>
      </c>
      <c r="E1640" s="11" t="inlineStr">
        <is>
          <t>Region IV-A (CALABARZON)</t>
        </is>
      </c>
      <c r="F1640" s="11" t="inlineStr">
        <is>
          <t>Quezon</t>
        </is>
      </c>
      <c r="G1640" s="11" t="inlineStr">
        <is>
          <t>Patnanungan</t>
        </is>
      </c>
      <c r="H1640" s="11" t="inlineStr">
        <is>
          <t>Amaga</t>
        </is>
      </c>
      <c r="I1640" s="24" t="n">
        <v>14.82821</v>
      </c>
      <c r="J1640" s="24" t="n">
        <v>122.142361</v>
      </c>
      <c r="K1640" s="23" t="inlineStr">
        <is>
          <t>R</t>
        </is>
      </c>
      <c r="L1640" s="25" t="n">
        <v>555</v>
      </c>
      <c r="M1640" s="26" t="n">
        <v>3.8</v>
      </c>
      <c r="N1640" s="25">
        <f>ROUND(L1640/M1640, 0)</f>
        <v/>
      </c>
      <c r="O1640" s="25">
        <f>ROUND(N1640*'Methodology &amp; Assumptions'!$B$7, 0)</f>
        <v/>
      </c>
      <c r="P1640" s="23" t="inlineStr">
        <is>
          <t>Single Carrier (Band n50, 100MHz TDD)</t>
        </is>
      </c>
      <c r="Q1640" s="27">
        <f>ROUNDUP(O1640/'Methodology &amp; Assumptions'!$B$8, 0)</f>
        <v/>
      </c>
      <c r="R1640" s="27" t="n">
        <v>1</v>
      </c>
      <c r="S1640" s="26" t="n">
        <v>51.9</v>
      </c>
      <c r="T1640" s="26" t="n">
        <v>75.37</v>
      </c>
      <c r="U1640" s="11">
        <f>IF(S1640&lt;='Methodology &amp; Assumptions'!$B$10, "Direct Optical Drop (&lt;3km)", IF(S1640&lt;='Methodology &amp; Assumptions'!$B$9, "Near Optical / Microwave (&lt;5km)", "Starlink Business LEO Satellite Backhaul (&gt;5km)"))</f>
        <v/>
      </c>
      <c r="V1640" s="26" t="n">
        <v>41.02</v>
      </c>
      <c r="W1640" s="26" t="n">
        <v>74.56</v>
      </c>
      <c r="X1640" s="26">
        <f>ROUND(('Methodology &amp; Assumptions'!$B$5*V1640) + ('Methodology &amp; Assumptions'!$B$6*W1640), 2)</f>
        <v/>
      </c>
      <c r="Y1640" s="28" t="n">
        <v>7.2</v>
      </c>
      <c r="Z1640" s="11" t="inlineStr">
        <is>
          <t>Priority Tier 3 (Broadband Expansion)</t>
        </is>
      </c>
    </row>
    <row r="1641">
      <c r="A1641" s="23" t="n">
        <v>5</v>
      </c>
      <c r="B1641" s="23" t="n">
        <v>637</v>
      </c>
      <c r="C1641" s="23" t="n">
        <v>4637</v>
      </c>
      <c r="D1641" s="23" t="inlineStr">
        <is>
          <t>0603030086</t>
        </is>
      </c>
      <c r="E1641" s="11" t="inlineStr">
        <is>
          <t>Region VI (Western Visayas)</t>
        </is>
      </c>
      <c r="F1641" s="11" t="inlineStr">
        <is>
          <t>Iloilo</t>
        </is>
      </c>
      <c r="G1641" s="11" t="inlineStr">
        <is>
          <t>Miagao</t>
        </is>
      </c>
      <c r="H1641" s="11" t="inlineStr">
        <is>
          <t>Ongyod</t>
        </is>
      </c>
      <c r="I1641" s="24" t="n">
        <v>10.737</v>
      </c>
      <c r="J1641" s="24" t="n">
        <v>122.1757</v>
      </c>
      <c r="K1641" s="23" t="inlineStr">
        <is>
          <t>R</t>
        </is>
      </c>
      <c r="L1641" s="25" t="n">
        <v>211</v>
      </c>
      <c r="M1641" s="26" t="n">
        <v>3.8</v>
      </c>
      <c r="N1641" s="25">
        <f>ROUND(L1641/M1641, 0)</f>
        <v/>
      </c>
      <c r="O1641" s="25">
        <f>ROUND(N1641*'Methodology &amp; Assumptions'!$B$7, 0)</f>
        <v/>
      </c>
      <c r="P1641" s="23" t="inlineStr">
        <is>
          <t>Single Carrier (Band n50, 100MHz TDD)</t>
        </is>
      </c>
      <c r="Q1641" s="27">
        <f>ROUNDUP(O1641/'Methodology &amp; Assumptions'!$B$8, 0)</f>
        <v/>
      </c>
      <c r="R1641" s="27" t="n">
        <v>1</v>
      </c>
      <c r="S1641" s="26" t="n">
        <v>23.35</v>
      </c>
      <c r="T1641" s="26" t="n">
        <v>11.41</v>
      </c>
      <c r="U1641" s="11">
        <f>IF(S1641&lt;='Methodology &amp; Assumptions'!$B$10, "Direct Optical Drop (&lt;3km)", IF(S1641&lt;='Methodology &amp; Assumptions'!$B$9, "Near Optical / Microwave (&lt;5km)", "Starlink Business LEO Satellite Backhaul (&gt;5km)"))</f>
        <v/>
      </c>
      <c r="V1641" s="26" t="n">
        <v>37.93</v>
      </c>
      <c r="W1641" s="26" t="n">
        <v>77.65000000000001</v>
      </c>
      <c r="X1641" s="26">
        <f>ROUND(('Methodology &amp; Assumptions'!$B$5*V1641) + ('Methodology &amp; Assumptions'!$B$6*W1641), 2)</f>
        <v/>
      </c>
      <c r="Y1641" s="28" t="n">
        <v>23.7</v>
      </c>
      <c r="Z1641" s="11" t="inlineStr">
        <is>
          <t>Priority Tier 3 (Broadband Expansion)</t>
        </is>
      </c>
    </row>
    <row r="1642">
      <c r="A1642" s="23" t="n">
        <v>5</v>
      </c>
      <c r="B1642" s="23" t="n">
        <v>638</v>
      </c>
      <c r="C1642" s="23" t="n">
        <v>4638</v>
      </c>
      <c r="D1642" s="23" t="inlineStr">
        <is>
          <t>0702224035</t>
        </is>
      </c>
      <c r="E1642" s="11" t="inlineStr">
        <is>
          <t>Region VII (Central Visayas)</t>
        </is>
      </c>
      <c r="F1642" s="11" t="inlineStr">
        <is>
          <t>Cebu</t>
        </is>
      </c>
      <c r="G1642" s="11" t="inlineStr">
        <is>
          <t>Dumanjug</t>
        </is>
      </c>
      <c r="H1642" s="11" t="inlineStr">
        <is>
          <t>Tapon</t>
        </is>
      </c>
      <c r="I1642" s="24" t="n">
        <v>10.063358</v>
      </c>
      <c r="J1642" s="24" t="n">
        <v>123.445559</v>
      </c>
      <c r="K1642" s="23" t="inlineStr">
        <is>
          <t>R</t>
        </is>
      </c>
      <c r="L1642" s="25" t="n">
        <v>4211</v>
      </c>
      <c r="M1642" s="26" t="n">
        <v>3.8</v>
      </c>
      <c r="N1642" s="25">
        <f>ROUND(L1642/M1642, 0)</f>
        <v/>
      </c>
      <c r="O1642" s="25">
        <f>ROUND(N1642*'Methodology &amp; Assumptions'!$B$7, 0)</f>
        <v/>
      </c>
      <c r="P1642" s="23" t="inlineStr">
        <is>
          <t>Single Carrier (Band n50, 100MHz TDD)</t>
        </is>
      </c>
      <c r="Q1642" s="27">
        <f>ROUNDUP(O1642/'Methodology &amp; Assumptions'!$B$8, 0)</f>
        <v/>
      </c>
      <c r="R1642" s="27" t="n">
        <v>1</v>
      </c>
      <c r="S1642" s="26" t="n">
        <v>1.29</v>
      </c>
      <c r="T1642" s="26" t="n">
        <v>0.19</v>
      </c>
      <c r="U1642" s="11">
        <f>IF(S1642&lt;='Methodology &amp; Assumptions'!$B$10, "Direct Optical Drop (&lt;3km)", IF(S1642&lt;='Methodology &amp; Assumptions'!$B$9, "Near Optical / Microwave (&lt;5km)", "Starlink Business LEO Satellite Backhaul (&gt;5km)"))</f>
        <v/>
      </c>
      <c r="V1642" s="26" t="n">
        <v>86.33</v>
      </c>
      <c r="W1642" s="26" t="n">
        <v>29.23</v>
      </c>
      <c r="X1642" s="26">
        <f>ROUND(('Methodology &amp; Assumptions'!$B$5*V1642) + ('Methodology &amp; Assumptions'!$B$6*W1642), 2)</f>
        <v/>
      </c>
      <c r="Y1642" s="28" t="n">
        <v>23.7</v>
      </c>
      <c r="Z1642" s="11" t="inlineStr">
        <is>
          <t>Priority Tier 3 (Broadband Expansion)</t>
        </is>
      </c>
    </row>
    <row r="1643">
      <c r="A1643" s="23" t="n">
        <v>5</v>
      </c>
      <c r="B1643" s="23" t="n">
        <v>639</v>
      </c>
      <c r="C1643" s="23" t="n">
        <v>4639</v>
      </c>
      <c r="D1643" s="23" t="inlineStr">
        <is>
          <t>0603007025</t>
        </is>
      </c>
      <c r="E1643" s="11" t="inlineStr">
        <is>
          <t>Region VI (Western Visayas)</t>
        </is>
      </c>
      <c r="F1643" s="11" t="inlineStr">
        <is>
          <t>Iloilo</t>
        </is>
      </c>
      <c r="G1643" s="11" t="inlineStr">
        <is>
          <t>Barotac Nuevo</t>
        </is>
      </c>
      <c r="H1643" s="11" t="inlineStr">
        <is>
          <t>Tabucan</t>
        </is>
      </c>
      <c r="I1643" s="24" t="n">
        <v>10.902276</v>
      </c>
      <c r="J1643" s="24" t="n">
        <v>122.692001</v>
      </c>
      <c r="K1643" s="23" t="inlineStr">
        <is>
          <t>R</t>
        </is>
      </c>
      <c r="L1643" s="25" t="n">
        <v>3802</v>
      </c>
      <c r="M1643" s="26" t="n">
        <v>3.8</v>
      </c>
      <c r="N1643" s="25">
        <f>ROUND(L1643/M1643, 0)</f>
        <v/>
      </c>
      <c r="O1643" s="25">
        <f>ROUND(N1643*'Methodology &amp; Assumptions'!$B$7, 0)</f>
        <v/>
      </c>
      <c r="P1643" s="23" t="inlineStr">
        <is>
          <t>Single Carrier (Band n50, 100MHz TDD)</t>
        </is>
      </c>
      <c r="Q1643" s="27">
        <f>ROUNDUP(O1643/'Methodology &amp; Assumptions'!$B$8, 0)</f>
        <v/>
      </c>
      <c r="R1643" s="27" t="n">
        <v>1</v>
      </c>
      <c r="S1643" s="26" t="n">
        <v>1.54</v>
      </c>
      <c r="T1643" s="26" t="n">
        <v>0.31</v>
      </c>
      <c r="U1643" s="11">
        <f>IF(S1643&lt;='Methodology &amp; Assumptions'!$B$10, "Direct Optical Drop (&lt;3km)", IF(S1643&lt;='Methodology &amp; Assumptions'!$B$9, "Near Optical / Microwave (&lt;5km)", "Starlink Business LEO Satellite Backhaul (&gt;5km)"))</f>
        <v/>
      </c>
      <c r="V1643" s="26" t="n">
        <v>85.43000000000001</v>
      </c>
      <c r="W1643" s="26" t="n">
        <v>30.13</v>
      </c>
      <c r="X1643" s="26">
        <f>ROUND(('Methodology &amp; Assumptions'!$B$5*V1643) + ('Methodology &amp; Assumptions'!$B$6*W1643), 2)</f>
        <v/>
      </c>
      <c r="Y1643" s="28" t="n">
        <v>23.7</v>
      </c>
      <c r="Z1643" s="11" t="inlineStr">
        <is>
          <t>Priority Tier 3 (Broadband Expansion)</t>
        </is>
      </c>
    </row>
    <row r="1644">
      <c r="A1644" s="23" t="n">
        <v>5</v>
      </c>
      <c r="B1644" s="23" t="n">
        <v>640</v>
      </c>
      <c r="C1644" s="23" t="n">
        <v>4640</v>
      </c>
      <c r="D1644" s="23" t="inlineStr">
        <is>
          <t>0105531026</t>
        </is>
      </c>
      <c r="E1644" s="11" t="inlineStr">
        <is>
          <t>Region I (Ilocos Region)</t>
        </is>
      </c>
      <c r="F1644" s="11" t="inlineStr">
        <is>
          <t>Pangasinan</t>
        </is>
      </c>
      <c r="G1644" s="11" t="inlineStr">
        <is>
          <t>Rosales</t>
        </is>
      </c>
      <c r="H1644" s="11" t="inlineStr">
        <is>
          <t>San Pedro West</t>
        </is>
      </c>
      <c r="I1644" s="24" t="n">
        <v>15.89788</v>
      </c>
      <c r="J1644" s="24" t="n">
        <v>120.6421</v>
      </c>
      <c r="K1644" s="23" t="inlineStr">
        <is>
          <t>R</t>
        </is>
      </c>
      <c r="L1644" s="25" t="n">
        <v>4369</v>
      </c>
      <c r="M1644" s="26" t="n">
        <v>3.6</v>
      </c>
      <c r="N1644" s="25">
        <f>ROUND(L1644/M1644, 0)</f>
        <v/>
      </c>
      <c r="O1644" s="25">
        <f>ROUND(N1644*'Methodology &amp; Assumptions'!$B$7, 0)</f>
        <v/>
      </c>
      <c r="P1644" s="23" t="inlineStr">
        <is>
          <t>Single Carrier (Band n50, 100MHz TDD)</t>
        </is>
      </c>
      <c r="Q1644" s="27">
        <f>ROUNDUP(O1644/'Methodology &amp; Assumptions'!$B$8, 0)</f>
        <v/>
      </c>
      <c r="R1644" s="27" t="n">
        <v>1</v>
      </c>
      <c r="S1644" s="26" t="n">
        <v>1.3</v>
      </c>
      <c r="T1644" s="26" t="n">
        <v>1.34</v>
      </c>
      <c r="U1644" s="11">
        <f>IF(S1644&lt;='Methodology &amp; Assumptions'!$B$10, "Direct Optical Drop (&lt;3km)", IF(S1644&lt;='Methodology &amp; Assumptions'!$B$9, "Near Optical / Microwave (&lt;5km)", "Starlink Business LEO Satellite Backhaul (&gt;5km)"))</f>
        <v/>
      </c>
      <c r="V1644" s="26" t="n">
        <v>83.89</v>
      </c>
      <c r="W1644" s="26" t="n">
        <v>31.68</v>
      </c>
      <c r="X1644" s="26">
        <f>ROUND(('Methodology &amp; Assumptions'!$B$5*V1644) + ('Methodology &amp; Assumptions'!$B$6*W1644), 2)</f>
        <v/>
      </c>
      <c r="Y1644" s="28" t="n">
        <v>8.300000000000001</v>
      </c>
      <c r="Z1644" s="11" t="inlineStr">
        <is>
          <t>Priority Tier 3 (Broadband Expansion)</t>
        </is>
      </c>
    </row>
    <row r="1645">
      <c r="A1645" s="23" t="n">
        <v>5</v>
      </c>
      <c r="B1645" s="23" t="n">
        <v>641</v>
      </c>
      <c r="C1645" s="23" t="n">
        <v>4641</v>
      </c>
      <c r="D1645" s="23" t="inlineStr">
        <is>
          <t>0405810003</t>
        </is>
      </c>
      <c r="E1645" s="11" t="inlineStr">
        <is>
          <t>Region IV-A (CALABARZON)</t>
        </is>
      </c>
      <c r="F1645" s="11" t="inlineStr">
        <is>
          <t>Rizal</t>
        </is>
      </c>
      <c r="G1645" s="11" t="inlineStr">
        <is>
          <t>Pililla</t>
        </is>
      </c>
      <c r="H1645" s="11" t="inlineStr">
        <is>
          <t>Halayhayin</t>
        </is>
      </c>
      <c r="I1645" s="24" t="n">
        <v>14.46345</v>
      </c>
      <c r="J1645" s="24" t="n">
        <v>121.3263</v>
      </c>
      <c r="K1645" s="23" t="inlineStr">
        <is>
          <t>U</t>
        </is>
      </c>
      <c r="L1645" s="25" t="n">
        <v>8817</v>
      </c>
      <c r="M1645" s="26" t="n">
        <v>3.6</v>
      </c>
      <c r="N1645" s="25">
        <f>ROUND(L1645/M1645, 0)</f>
        <v/>
      </c>
      <c r="O1645" s="25">
        <f>ROUND(N1645*'Methodology &amp; Assumptions'!$B$7, 0)</f>
        <v/>
      </c>
      <c r="P1645" s="23" t="inlineStr">
        <is>
          <t>Single Carrier (Band n50, 100MHz TDD)</t>
        </is>
      </c>
      <c r="Q1645" s="27">
        <f>ROUNDUP(O1645/'Methodology &amp; Assumptions'!$B$8, 0)</f>
        <v/>
      </c>
      <c r="R1645" s="27" t="n">
        <v>1</v>
      </c>
      <c r="S1645" s="26" t="n">
        <v>0.16</v>
      </c>
      <c r="T1645" s="26" t="n">
        <v>0.02</v>
      </c>
      <c r="U1645" s="11">
        <f>IF(S1645&lt;='Methodology &amp; Assumptions'!$B$10, "Direct Optical Drop (&lt;3km)", IF(S1645&lt;='Methodology &amp; Assumptions'!$B$9, "Near Optical / Microwave (&lt;5km)", "Starlink Business LEO Satellite Backhaul (&gt;5km)"))</f>
        <v/>
      </c>
      <c r="V1645" s="26" t="n">
        <v>78.26000000000001</v>
      </c>
      <c r="W1645" s="26" t="n">
        <v>37.3</v>
      </c>
      <c r="X1645" s="26">
        <f>ROUND(('Methodology &amp; Assumptions'!$B$5*V1645) + ('Methodology &amp; Assumptions'!$B$6*W1645), 2)</f>
        <v/>
      </c>
      <c r="Y1645" s="28" t="n">
        <v>7.2</v>
      </c>
      <c r="Z1645" s="11" t="inlineStr">
        <is>
          <t>Priority Tier 3 (Broadband Expansion)</t>
        </is>
      </c>
    </row>
    <row r="1646">
      <c r="A1646" s="23" t="n">
        <v>5</v>
      </c>
      <c r="B1646" s="23" t="n">
        <v>642</v>
      </c>
      <c r="C1646" s="23" t="n">
        <v>4642</v>
      </c>
      <c r="D1646" s="23" t="inlineStr">
        <is>
          <t>0702218009</t>
        </is>
      </c>
      <c r="E1646" s="11" t="inlineStr">
        <is>
          <t>Region VII (Central Visayas)</t>
        </is>
      </c>
      <c r="F1646" s="11" t="inlineStr">
        <is>
          <t>Cebu</t>
        </is>
      </c>
      <c r="G1646" s="11" t="inlineStr">
        <is>
          <t>Compostela</t>
        </is>
      </c>
      <c r="H1646" s="11" t="inlineStr">
        <is>
          <t>Estaca</t>
        </is>
      </c>
      <c r="I1646" s="24" t="n">
        <v>10.437047</v>
      </c>
      <c r="J1646" s="24" t="n">
        <v>124.008457</v>
      </c>
      <c r="K1646" s="23" t="inlineStr">
        <is>
          <t>U</t>
        </is>
      </c>
      <c r="L1646" s="25" t="n">
        <v>7394</v>
      </c>
      <c r="M1646" s="26" t="n">
        <v>3.8</v>
      </c>
      <c r="N1646" s="25">
        <f>ROUND(L1646/M1646, 0)</f>
        <v/>
      </c>
      <c r="O1646" s="25">
        <f>ROUND(N1646*'Methodology &amp; Assumptions'!$B$7, 0)</f>
        <v/>
      </c>
      <c r="P1646" s="23" t="inlineStr">
        <is>
          <t>Single Carrier (Band n50, 100MHz TDD)</t>
        </is>
      </c>
      <c r="Q1646" s="27">
        <f>ROUNDUP(O1646/'Methodology &amp; Assumptions'!$B$8, 0)</f>
        <v/>
      </c>
      <c r="R1646" s="27" t="n">
        <v>1</v>
      </c>
      <c r="S1646" s="26" t="n">
        <v>1.74</v>
      </c>
      <c r="T1646" s="26" t="n">
        <v>0.04</v>
      </c>
      <c r="U1646" s="11">
        <f>IF(S1646&lt;='Methodology &amp; Assumptions'!$B$10, "Direct Optical Drop (&lt;3km)", IF(S1646&lt;='Methodology &amp; Assumptions'!$B$9, "Near Optical / Microwave (&lt;5km)", "Starlink Business LEO Satellite Backhaul (&gt;5km)"))</f>
        <v/>
      </c>
      <c r="V1646" s="26" t="n">
        <v>77.53</v>
      </c>
      <c r="W1646" s="26" t="n">
        <v>38.03</v>
      </c>
      <c r="X1646" s="26">
        <f>ROUND(('Methodology &amp; Assumptions'!$B$5*V1646) + ('Methodology &amp; Assumptions'!$B$6*W1646), 2)</f>
        <v/>
      </c>
      <c r="Y1646" s="28" t="n">
        <v>23.7</v>
      </c>
      <c r="Z1646" s="11" t="inlineStr">
        <is>
          <t>Priority Tier 3 (Broadband Expansion)</t>
        </is>
      </c>
    </row>
    <row r="1647">
      <c r="A1647" s="23" t="n">
        <v>5</v>
      </c>
      <c r="B1647" s="23" t="n">
        <v>643</v>
      </c>
      <c r="C1647" s="23" t="n">
        <v>4643</v>
      </c>
      <c r="D1647" s="23" t="inlineStr">
        <is>
          <t>1630400068</t>
        </is>
      </c>
      <c r="E1647" s="11" t="inlineStr">
        <is>
          <t>Region XIII (Caraga)</t>
        </is>
      </c>
      <c r="F1647" s="11" t="inlineStr">
        <is>
          <t>Agusan del Norte</t>
        </is>
      </c>
      <c r="G1647" s="11" t="inlineStr">
        <is>
          <t>City of Butuan</t>
        </is>
      </c>
      <c r="H1647" s="11" t="inlineStr">
        <is>
          <t>Maug</t>
        </is>
      </c>
      <c r="I1647" s="24" t="n">
        <v>9.024065999999999</v>
      </c>
      <c r="J1647" s="24" t="n">
        <v>125.518508</v>
      </c>
      <c r="K1647" s="23" t="inlineStr">
        <is>
          <t>R</t>
        </is>
      </c>
      <c r="L1647" s="25" t="n">
        <v>3085</v>
      </c>
      <c r="M1647" s="26" t="n">
        <v>4.1</v>
      </c>
      <c r="N1647" s="25">
        <f>ROUND(L1647/M1647, 0)</f>
        <v/>
      </c>
      <c r="O1647" s="25">
        <f>ROUND(N1647*'Methodology &amp; Assumptions'!$B$7, 0)</f>
        <v/>
      </c>
      <c r="P1647" s="23" t="inlineStr">
        <is>
          <t>Single Carrier (Band n50, 100MHz TDD)</t>
        </is>
      </c>
      <c r="Q1647" s="27">
        <f>ROUNDUP(O1647/'Methodology &amp; Assumptions'!$B$8, 0)</f>
        <v/>
      </c>
      <c r="R1647" s="27" t="n">
        <v>1</v>
      </c>
      <c r="S1647" s="26" t="n">
        <v>1.64</v>
      </c>
      <c r="T1647" s="26" t="n">
        <v>7.1</v>
      </c>
      <c r="U1647" s="11">
        <f>IF(S1647&lt;='Methodology &amp; Assumptions'!$B$10, "Direct Optical Drop (&lt;3km)", IF(S1647&lt;='Methodology &amp; Assumptions'!$B$9, "Near Optical / Microwave (&lt;5km)", "Starlink Business LEO Satellite Backhaul (&gt;5km)"))</f>
        <v/>
      </c>
      <c r="V1647" s="26" t="n">
        <v>77.52</v>
      </c>
      <c r="W1647" s="26" t="n">
        <v>38.05</v>
      </c>
      <c r="X1647" s="26">
        <f>ROUND(('Methodology &amp; Assumptions'!$B$5*V1647) + ('Methodology &amp; Assumptions'!$B$6*W1647), 2)</f>
        <v/>
      </c>
      <c r="Y1647" s="28" t="n">
        <v>17.4</v>
      </c>
      <c r="Z1647" s="11" t="inlineStr">
        <is>
          <t>Priority Tier 3 (Broadband Expansion)</t>
        </is>
      </c>
    </row>
    <row r="1648">
      <c r="A1648" s="23" t="n">
        <v>5</v>
      </c>
      <c r="B1648" s="23" t="n">
        <v>644</v>
      </c>
      <c r="C1648" s="23" t="n">
        <v>4644</v>
      </c>
      <c r="D1648" s="23" t="inlineStr">
        <is>
          <t>0501716036</t>
        </is>
      </c>
      <c r="E1648" s="11" t="inlineStr">
        <is>
          <t>Region V (Bicol Region)</t>
        </is>
      </c>
      <c r="F1648" s="11" t="inlineStr">
        <is>
          <t>Camarines Sur</t>
        </is>
      </c>
      <c r="G1648" s="11" t="inlineStr">
        <is>
          <t>City of Iriga</t>
        </is>
      </c>
      <c r="H1648" s="11" t="inlineStr">
        <is>
          <t>Santo Niño</t>
        </is>
      </c>
      <c r="I1648" s="24" t="n">
        <v>13.654718</v>
      </c>
      <c r="J1648" s="24" t="n">
        <v>123.264539</v>
      </c>
      <c r="K1648" s="23" t="inlineStr">
        <is>
          <t>R</t>
        </is>
      </c>
      <c r="L1648" s="25" t="n">
        <v>3676</v>
      </c>
      <c r="M1648" s="26" t="n">
        <v>4.2</v>
      </c>
      <c r="N1648" s="25">
        <f>ROUND(L1648/M1648, 0)</f>
        <v/>
      </c>
      <c r="O1648" s="25">
        <f>ROUND(N1648*'Methodology &amp; Assumptions'!$B$7, 0)</f>
        <v/>
      </c>
      <c r="P1648" s="23" t="inlineStr">
        <is>
          <t>Single Carrier (Band n50, 100MHz TDD)</t>
        </is>
      </c>
      <c r="Q1648" s="27">
        <f>ROUNDUP(O1648/'Methodology &amp; Assumptions'!$B$8, 0)</f>
        <v/>
      </c>
      <c r="R1648" s="27" t="n">
        <v>1</v>
      </c>
      <c r="S1648" s="26" t="n">
        <v>2.86</v>
      </c>
      <c r="T1648" s="26" t="n">
        <v>4.83</v>
      </c>
      <c r="U1648" s="11">
        <f>IF(S1648&lt;='Methodology &amp; Assumptions'!$B$10, "Direct Optical Drop (&lt;3km)", IF(S1648&lt;='Methodology &amp; Assumptions'!$B$9, "Near Optical / Microwave (&lt;5km)", "Starlink Business LEO Satellite Backhaul (&gt;5km)"))</f>
        <v/>
      </c>
      <c r="V1648" s="26" t="n">
        <v>77.51000000000001</v>
      </c>
      <c r="W1648" s="26" t="n">
        <v>38.05</v>
      </c>
      <c r="X1648" s="26">
        <f>ROUND(('Methodology &amp; Assumptions'!$B$5*V1648) + ('Methodology &amp; Assumptions'!$B$6*W1648), 2)</f>
        <v/>
      </c>
      <c r="Y1648" s="28" t="n">
        <v>23.7</v>
      </c>
      <c r="Z1648" s="11" t="inlineStr">
        <is>
          <t>Priority Tier 3 (Broadband Expansion)</t>
        </is>
      </c>
    </row>
    <row r="1649">
      <c r="A1649" s="23" t="n">
        <v>5</v>
      </c>
      <c r="B1649" s="23" t="n">
        <v>645</v>
      </c>
      <c r="C1649" s="23" t="n">
        <v>4645</v>
      </c>
      <c r="D1649" s="23" t="inlineStr">
        <is>
          <t>0201505018</t>
        </is>
      </c>
      <c r="E1649" s="11" t="inlineStr">
        <is>
          <t>Region II (Cagayan Valley)</t>
        </is>
      </c>
      <c r="F1649" s="11" t="inlineStr">
        <is>
          <t>Cagayan</t>
        </is>
      </c>
      <c r="G1649" s="11" t="inlineStr">
        <is>
          <t>Aparri</t>
        </is>
      </c>
      <c r="H1649" s="11" t="inlineStr">
        <is>
          <t>Centro 14</t>
        </is>
      </c>
      <c r="I1649" s="24" t="n">
        <v>18.352957</v>
      </c>
      <c r="J1649" s="24" t="n">
        <v>121.643283</v>
      </c>
      <c r="K1649" s="23" t="inlineStr">
        <is>
          <t>R</t>
        </is>
      </c>
      <c r="L1649" s="25" t="n">
        <v>261</v>
      </c>
      <c r="M1649" s="26" t="n">
        <v>3.9</v>
      </c>
      <c r="N1649" s="25">
        <f>ROUND(L1649/M1649, 0)</f>
        <v/>
      </c>
      <c r="O1649" s="25">
        <f>ROUND(N1649*'Methodology &amp; Assumptions'!$B$7, 0)</f>
        <v/>
      </c>
      <c r="P1649" s="23" t="inlineStr">
        <is>
          <t>Single Carrier (Band n50, 100MHz TDD)</t>
        </is>
      </c>
      <c r="Q1649" s="27">
        <f>ROUNDUP(O1649/'Methodology &amp; Assumptions'!$B$8, 0)</f>
        <v/>
      </c>
      <c r="R1649" s="27" t="n">
        <v>1</v>
      </c>
      <c r="S1649" s="26" t="n">
        <v>0.84</v>
      </c>
      <c r="T1649" s="26" t="n">
        <v>10.66</v>
      </c>
      <c r="U1649" s="11">
        <f>IF(S1649&lt;='Methodology &amp; Assumptions'!$B$10, "Direct Optical Drop (&lt;3km)", IF(S1649&lt;='Methodology &amp; Assumptions'!$B$9, "Near Optical / Microwave (&lt;5km)", "Starlink Business LEO Satellite Backhaul (&gt;5km)"))</f>
        <v/>
      </c>
      <c r="V1649" s="26" t="n">
        <v>57.71</v>
      </c>
      <c r="W1649" s="26" t="n">
        <v>57.85</v>
      </c>
      <c r="X1649" s="26">
        <f>ROUND(('Methodology &amp; Assumptions'!$B$5*V1649) + ('Methodology &amp; Assumptions'!$B$6*W1649), 2)</f>
        <v/>
      </c>
      <c r="Y1649" s="28" t="n">
        <v>8.300000000000001</v>
      </c>
      <c r="Z1649" s="11" t="inlineStr">
        <is>
          <t>Priority Tier 3 (Broadband Expansion)</t>
        </is>
      </c>
    </row>
    <row r="1650">
      <c r="A1650" s="23" t="n">
        <v>5</v>
      </c>
      <c r="B1650" s="23" t="n">
        <v>646</v>
      </c>
      <c r="C1650" s="23" t="n">
        <v>4646</v>
      </c>
      <c r="D1650" s="23" t="inlineStr">
        <is>
          <t>1402708010</t>
        </is>
      </c>
      <c r="E1650" s="11" t="inlineStr">
        <is>
          <t>Cordillera Administrative Region (CAR)</t>
        </is>
      </c>
      <c r="F1650" s="11" t="inlineStr">
        <is>
          <t>Ifugao</t>
        </is>
      </c>
      <c r="G1650" s="11" t="inlineStr">
        <is>
          <t>Aguinaldo</t>
        </is>
      </c>
      <c r="H1650" s="11" t="inlineStr">
        <is>
          <t>Majlong</t>
        </is>
      </c>
      <c r="I1650" s="24" t="n">
        <v>16.964313</v>
      </c>
      <c r="J1650" s="24" t="n">
        <v>121.316998</v>
      </c>
      <c r="K1650" s="23" t="inlineStr">
        <is>
          <t>R</t>
        </is>
      </c>
      <c r="L1650" s="25" t="n">
        <v>532</v>
      </c>
      <c r="M1650" s="26" t="n">
        <v>3.9</v>
      </c>
      <c r="N1650" s="25">
        <f>ROUND(L1650/M1650, 0)</f>
        <v/>
      </c>
      <c r="O1650" s="25">
        <f>ROUND(N1650*'Methodology &amp; Assumptions'!$B$7, 0)</f>
        <v/>
      </c>
      <c r="P1650" s="23" t="inlineStr">
        <is>
          <t>Single Carrier (Band n50, 100MHz TDD)</t>
        </is>
      </c>
      <c r="Q1650" s="27">
        <f>ROUNDUP(O1650/'Methodology &amp; Assumptions'!$B$8, 0)</f>
        <v/>
      </c>
      <c r="R1650" s="27" t="n">
        <v>1</v>
      </c>
      <c r="S1650" s="26" t="n">
        <v>2.06</v>
      </c>
      <c r="T1650" s="26" t="n">
        <v>27.63</v>
      </c>
      <c r="U1650" s="11">
        <f>IF(S1650&lt;='Methodology &amp; Assumptions'!$B$10, "Direct Optical Drop (&lt;3km)", IF(S1650&lt;='Methodology &amp; Assumptions'!$B$9, "Near Optical / Microwave (&lt;5km)", "Starlink Business LEO Satellite Backhaul (&gt;5km)"))</f>
        <v/>
      </c>
      <c r="V1650" s="26" t="n">
        <v>54.48</v>
      </c>
      <c r="W1650" s="26" t="n">
        <v>61.07</v>
      </c>
      <c r="X1650" s="26">
        <f>ROUND(('Methodology &amp; Assumptions'!$B$5*V1650) + ('Methodology &amp; Assumptions'!$B$6*W1650), 2)</f>
        <v/>
      </c>
      <c r="Y1650" s="28" t="n">
        <v>10.9</v>
      </c>
      <c r="Z1650" s="11" t="inlineStr">
        <is>
          <t>Priority Tier 3 (Broadband Expansion)</t>
        </is>
      </c>
    </row>
    <row r="1651">
      <c r="A1651" s="23" t="n">
        <v>5</v>
      </c>
      <c r="B1651" s="23" t="n">
        <v>647</v>
      </c>
      <c r="C1651" s="23" t="n">
        <v>4647</v>
      </c>
      <c r="D1651" s="23" t="inlineStr">
        <is>
          <t>1380614057</t>
        </is>
      </c>
      <c r="E1651" s="11" t="inlineStr">
        <is>
          <t>National Capital Region (NCR)</t>
        </is>
      </c>
      <c r="F1651" s="11" t="inlineStr">
        <is>
          <t>First District (Not a Province)</t>
        </is>
      </c>
      <c r="G1651" s="11" t="inlineStr">
        <is>
          <t>City of Manila</t>
        </is>
      </c>
      <c r="H1651" s="11" t="inlineStr">
        <is>
          <t>Barangay 801</t>
        </is>
      </c>
      <c r="I1651" s="24" t="n">
        <v>14.573984</v>
      </c>
      <c r="J1651" s="24" t="n">
        <v>121.002701</v>
      </c>
      <c r="K1651" s="23" t="inlineStr">
        <is>
          <t>U</t>
        </is>
      </c>
      <c r="L1651" s="25" t="n">
        <v>832</v>
      </c>
      <c r="M1651" s="26" t="n">
        <v>4.24</v>
      </c>
      <c r="N1651" s="25">
        <f>ROUND(L1651/M1651, 0)</f>
        <v/>
      </c>
      <c r="O1651" s="25">
        <f>ROUND(N1651*'Methodology &amp; Assumptions'!$B$7, 0)</f>
        <v/>
      </c>
      <c r="P1651" s="23" t="inlineStr">
        <is>
          <t>Single Carrier (Band n50, 100MHz TDD)</t>
        </is>
      </c>
      <c r="Q1651" s="27">
        <f>ROUNDUP(O1651/'Methodology &amp; Assumptions'!$B$8, 0)</f>
        <v/>
      </c>
      <c r="R1651" s="27" t="n">
        <v>1</v>
      </c>
      <c r="S1651" s="26" t="n">
        <v>0.9399999999999999</v>
      </c>
      <c r="T1651" s="26" t="n">
        <v>0.68</v>
      </c>
      <c r="U1651" s="11">
        <f>IF(S1651&lt;='Methodology &amp; Assumptions'!$B$10, "Direct Optical Drop (&lt;3km)", IF(S1651&lt;='Methodology &amp; Assumptions'!$B$9, "Near Optical / Microwave (&lt;5km)", "Starlink Business LEO Satellite Backhaul (&gt;5km)"))</f>
        <v/>
      </c>
      <c r="V1651" s="26" t="n">
        <v>47.04</v>
      </c>
      <c r="W1651" s="26" t="n">
        <v>68.52</v>
      </c>
      <c r="X1651" s="26">
        <f>ROUND(('Methodology &amp; Assumptions'!$B$5*V1651) + ('Methodology &amp; Assumptions'!$B$6*W1651), 2)</f>
        <v/>
      </c>
      <c r="Y1651" s="28" t="n">
        <v>10.9</v>
      </c>
      <c r="Z1651" s="11" t="inlineStr">
        <is>
          <t>Priority Tier 3 (Broadband Expansion)</t>
        </is>
      </c>
    </row>
    <row r="1652">
      <c r="A1652" s="23" t="n">
        <v>5</v>
      </c>
      <c r="B1652" s="23" t="n">
        <v>648</v>
      </c>
      <c r="C1652" s="23" t="n">
        <v>4648</v>
      </c>
      <c r="D1652" s="23" t="inlineStr">
        <is>
          <t>1380606183</t>
        </is>
      </c>
      <c r="E1652" s="11" t="inlineStr">
        <is>
          <t>National Capital Region (NCR)</t>
        </is>
      </c>
      <c r="F1652" s="11" t="inlineStr">
        <is>
          <t>First District (Not a Province)</t>
        </is>
      </c>
      <c r="G1652" s="11" t="inlineStr">
        <is>
          <t>City of Manila</t>
        </is>
      </c>
      <c r="H1652" s="11" t="inlineStr">
        <is>
          <t>Barangay 577</t>
        </is>
      </c>
      <c r="I1652" s="24" t="n">
        <v>14.607901</v>
      </c>
      <c r="J1652" s="24" t="n">
        <v>121.004273</v>
      </c>
      <c r="K1652" s="23" t="inlineStr">
        <is>
          <t>U</t>
        </is>
      </c>
      <c r="L1652" s="25" t="n">
        <v>801</v>
      </c>
      <c r="M1652" s="26" t="n">
        <v>4.45</v>
      </c>
      <c r="N1652" s="25">
        <f>ROUND(L1652/M1652, 0)</f>
        <v/>
      </c>
      <c r="O1652" s="25">
        <f>ROUND(N1652*'Methodology &amp; Assumptions'!$B$7, 0)</f>
        <v/>
      </c>
      <c r="P1652" s="23" t="inlineStr">
        <is>
          <t>Single Carrier (Band n50, 100MHz TDD)</t>
        </is>
      </c>
      <c r="Q1652" s="27">
        <f>ROUNDUP(O1652/'Methodology &amp; Assumptions'!$B$8, 0)</f>
        <v/>
      </c>
      <c r="R1652" s="27" t="n">
        <v>1</v>
      </c>
      <c r="S1652" s="26" t="n">
        <v>0.34</v>
      </c>
      <c r="T1652" s="26" t="n">
        <v>0.38</v>
      </c>
      <c r="U1652" s="11">
        <f>IF(S1652&lt;='Methodology &amp; Assumptions'!$B$10, "Direct Optical Drop (&lt;3km)", IF(S1652&lt;='Methodology &amp; Assumptions'!$B$9, "Near Optical / Microwave (&lt;5km)", "Starlink Business LEO Satellite Backhaul (&gt;5km)"))</f>
        <v/>
      </c>
      <c r="V1652" s="26" t="n">
        <v>46.88</v>
      </c>
      <c r="W1652" s="26" t="n">
        <v>68.68000000000001</v>
      </c>
      <c r="X1652" s="26">
        <f>ROUND(('Methodology &amp; Assumptions'!$B$5*V1652) + ('Methodology &amp; Assumptions'!$B$6*W1652), 2)</f>
        <v/>
      </c>
      <c r="Y1652" s="28" t="n">
        <v>10.9</v>
      </c>
      <c r="Z1652" s="11" t="inlineStr">
        <is>
          <t>Priority Tier 3 (Broadband Expansion)</t>
        </is>
      </c>
    </row>
    <row r="1653">
      <c r="A1653" s="23" t="n">
        <v>5</v>
      </c>
      <c r="B1653" s="23" t="n">
        <v>649</v>
      </c>
      <c r="C1653" s="23" t="n">
        <v>4649</v>
      </c>
      <c r="D1653" s="23" t="inlineStr">
        <is>
          <t>1380606216</t>
        </is>
      </c>
      <c r="E1653" s="11" t="inlineStr">
        <is>
          <t>National Capital Region (NCR)</t>
        </is>
      </c>
      <c r="F1653" s="11" t="inlineStr">
        <is>
          <t>First District (Not a Province)</t>
        </is>
      </c>
      <c r="G1653" s="11" t="inlineStr">
        <is>
          <t>City of Manila</t>
        </is>
      </c>
      <c r="H1653" s="11" t="inlineStr">
        <is>
          <t>Barangay 609</t>
        </is>
      </c>
      <c r="I1653" s="24" t="n">
        <v>14.591556</v>
      </c>
      <c r="J1653" s="24" t="n">
        <v>121.020967</v>
      </c>
      <c r="K1653" s="23" t="inlineStr">
        <is>
          <t>U</t>
        </is>
      </c>
      <c r="L1653" s="25" t="n">
        <v>859</v>
      </c>
      <c r="M1653" s="26" t="n">
        <v>4.11</v>
      </c>
      <c r="N1653" s="25">
        <f>ROUND(L1653/M1653, 0)</f>
        <v/>
      </c>
      <c r="O1653" s="25">
        <f>ROUND(N1653*'Methodology &amp; Assumptions'!$B$7, 0)</f>
        <v/>
      </c>
      <c r="P1653" s="23" t="inlineStr">
        <is>
          <t>Single Carrier (Band n50, 100MHz TDD)</t>
        </is>
      </c>
      <c r="Q1653" s="27">
        <f>ROUNDUP(O1653/'Methodology &amp; Assumptions'!$B$8, 0)</f>
        <v/>
      </c>
      <c r="R1653" s="27" t="n">
        <v>1</v>
      </c>
      <c r="S1653" s="26" t="n">
        <v>1.17</v>
      </c>
      <c r="T1653" s="26" t="n">
        <v>0.32</v>
      </c>
      <c r="U1653" s="11">
        <f>IF(S1653&lt;='Methodology &amp; Assumptions'!$B$10, "Direct Optical Drop (&lt;3km)", IF(S1653&lt;='Methodology &amp; Assumptions'!$B$9, "Near Optical / Microwave (&lt;5km)", "Starlink Business LEO Satellite Backhaul (&gt;5km)"))</f>
        <v/>
      </c>
      <c r="V1653" s="26" t="n">
        <v>46.59</v>
      </c>
      <c r="W1653" s="26" t="n">
        <v>68.95999999999999</v>
      </c>
      <c r="X1653" s="26">
        <f>ROUND(('Methodology &amp; Assumptions'!$B$5*V1653) + ('Methodology &amp; Assumptions'!$B$6*W1653), 2)</f>
        <v/>
      </c>
      <c r="Y1653" s="28" t="n">
        <v>10.9</v>
      </c>
      <c r="Z1653" s="11" t="inlineStr">
        <is>
          <t>Priority Tier 3 (Broadband Expansion)</t>
        </is>
      </c>
    </row>
    <row r="1654">
      <c r="A1654" s="23" t="n">
        <v>5</v>
      </c>
      <c r="B1654" s="23" t="n">
        <v>650</v>
      </c>
      <c r="C1654" s="23" t="n">
        <v>4650</v>
      </c>
      <c r="D1654" s="23" t="inlineStr">
        <is>
          <t>1908812003</t>
        </is>
      </c>
      <c r="E1654" s="11" t="inlineStr">
        <is>
          <t>Bangsamoro Autonomous Region In Muslim Mindanao (BARMM)</t>
        </is>
      </c>
      <c r="F1654" s="11" t="inlineStr">
        <is>
          <t>Maguindanao del Sur</t>
        </is>
      </c>
      <c r="G1654" s="11" t="inlineStr">
        <is>
          <t>Guindulungan</t>
        </is>
      </c>
      <c r="H1654" s="11" t="inlineStr">
        <is>
          <t>Datalpandan</t>
        </is>
      </c>
      <c r="I1654" s="24" t="n">
        <v>7.029952</v>
      </c>
      <c r="J1654" s="24" t="n">
        <v>124.433689</v>
      </c>
      <c r="K1654" s="23" t="inlineStr">
        <is>
          <t>R</t>
        </is>
      </c>
      <c r="L1654" s="25" t="n">
        <v>2245</v>
      </c>
      <c r="M1654" s="26" t="n">
        <v>4.7</v>
      </c>
      <c r="N1654" s="25">
        <f>ROUND(L1654/M1654, 0)</f>
        <v/>
      </c>
      <c r="O1654" s="25">
        <f>ROUND(N1654*'Methodology &amp; Assumptions'!$B$7, 0)</f>
        <v/>
      </c>
      <c r="P1654" s="23" t="inlineStr">
        <is>
          <t>Single Carrier (Band n50, 100MHz TDD)</t>
        </is>
      </c>
      <c r="Q1654" s="27">
        <f>ROUNDUP(O1654/'Methodology &amp; Assumptions'!$B$8, 0)</f>
        <v/>
      </c>
      <c r="R1654" s="27" t="n">
        <v>1</v>
      </c>
      <c r="S1654" s="26" t="n">
        <v>44.43</v>
      </c>
      <c r="T1654" s="26" t="n">
        <v>42.19</v>
      </c>
      <c r="U1654" s="11">
        <f>IF(S1654&lt;='Methodology &amp; Assumptions'!$B$10, "Direct Optical Drop (&lt;3km)", IF(S1654&lt;='Methodology &amp; Assumptions'!$B$9, "Near Optical / Microwave (&lt;5km)", "Starlink Business LEO Satellite Backhaul (&gt;5km)"))</f>
        <v/>
      </c>
      <c r="V1654" s="26" t="n">
        <v>46.37</v>
      </c>
      <c r="W1654" s="26" t="n">
        <v>69.2</v>
      </c>
      <c r="X1654" s="26">
        <f>ROUND(('Methodology &amp; Assumptions'!$B$5*V1654) + ('Methodology &amp; Assumptions'!$B$6*W1654), 2)</f>
        <v/>
      </c>
      <c r="Y1654" s="28" t="n">
        <v>11</v>
      </c>
      <c r="Z1654" s="11" t="inlineStr">
        <is>
          <t>Priority Tier 3 (Broadband Expansion)</t>
        </is>
      </c>
    </row>
    <row r="1655">
      <c r="A1655" s="23" t="n">
        <v>5</v>
      </c>
      <c r="B1655" s="23" t="n">
        <v>651</v>
      </c>
      <c r="C1655" s="23" t="n">
        <v>4651</v>
      </c>
      <c r="D1655" s="23" t="inlineStr">
        <is>
          <t>1380614004</t>
        </is>
      </c>
      <c r="E1655" s="11" t="inlineStr">
        <is>
          <t>National Capital Region (NCR)</t>
        </is>
      </c>
      <c r="F1655" s="11" t="inlineStr">
        <is>
          <t>First District (Not a Province)</t>
        </is>
      </c>
      <c r="G1655" s="11" t="inlineStr">
        <is>
          <t>City of Manila</t>
        </is>
      </c>
      <c r="H1655" s="11" t="inlineStr">
        <is>
          <t>Barangay 747</t>
        </is>
      </c>
      <c r="I1655" s="24" t="n">
        <v>14.569841</v>
      </c>
      <c r="J1655" s="24" t="n">
        <v>121.000384</v>
      </c>
      <c r="K1655" s="23" t="inlineStr">
        <is>
          <t>U</t>
        </is>
      </c>
      <c r="L1655" s="25" t="n">
        <v>381</v>
      </c>
      <c r="M1655" s="26" t="n">
        <v>3.02</v>
      </c>
      <c r="N1655" s="25">
        <f>ROUND(L1655/M1655, 0)</f>
        <v/>
      </c>
      <c r="O1655" s="25">
        <f>ROUND(N1655*'Methodology &amp; Assumptions'!$B$7, 0)</f>
        <v/>
      </c>
      <c r="P1655" s="23" t="inlineStr">
        <is>
          <t>Single Carrier (Band n50, 100MHz TDD)</t>
        </is>
      </c>
      <c r="Q1655" s="27">
        <f>ROUNDUP(O1655/'Methodology &amp; Assumptions'!$B$8, 0)</f>
        <v/>
      </c>
      <c r="R1655" s="27" t="n">
        <v>1</v>
      </c>
      <c r="S1655" s="26" t="n">
        <v>0.71</v>
      </c>
      <c r="T1655" s="26" t="n">
        <v>0.5</v>
      </c>
      <c r="U1655" s="11">
        <f>IF(S1655&lt;='Methodology &amp; Assumptions'!$B$10, "Direct Optical Drop (&lt;3km)", IF(S1655&lt;='Methodology &amp; Assumptions'!$B$9, "Near Optical / Microwave (&lt;5km)", "Starlink Business LEO Satellite Backhaul (&gt;5km)"))</f>
        <v/>
      </c>
      <c r="V1655" s="26" t="n">
        <v>45.16</v>
      </c>
      <c r="W1655" s="26" t="n">
        <v>70.39</v>
      </c>
      <c r="X1655" s="26">
        <f>ROUND(('Methodology &amp; Assumptions'!$B$5*V1655) + ('Methodology &amp; Assumptions'!$B$6*W1655), 2)</f>
        <v/>
      </c>
      <c r="Y1655" s="28" t="n">
        <v>10.9</v>
      </c>
      <c r="Z1655" s="11" t="inlineStr">
        <is>
          <t>Priority Tier 3 (Broadband Expansion)</t>
        </is>
      </c>
    </row>
    <row r="1656">
      <c r="A1656" s="23" t="n">
        <v>5</v>
      </c>
      <c r="B1656" s="23" t="n">
        <v>652</v>
      </c>
      <c r="C1656" s="23" t="n">
        <v>4652</v>
      </c>
      <c r="D1656" s="23" t="inlineStr">
        <is>
          <t>1380601006</t>
        </is>
      </c>
      <c r="E1656" s="11" t="inlineStr">
        <is>
          <t>National Capital Region (NCR)</t>
        </is>
      </c>
      <c r="F1656" s="11" t="inlineStr">
        <is>
          <t>First District (Not a Province)</t>
        </is>
      </c>
      <c r="G1656" s="11" t="inlineStr">
        <is>
          <t>City of Manila</t>
        </is>
      </c>
      <c r="H1656" s="11" t="inlineStr">
        <is>
          <t>Barangay 6</t>
        </is>
      </c>
      <c r="I1656" s="24" t="n">
        <v>14.609379</v>
      </c>
      <c r="J1656" s="24" t="n">
        <v>120.967692</v>
      </c>
      <c r="K1656" s="23" t="inlineStr">
        <is>
          <t>U</t>
        </is>
      </c>
      <c r="L1656" s="25" t="n">
        <v>506</v>
      </c>
      <c r="M1656" s="26" t="n">
        <v>4.11</v>
      </c>
      <c r="N1656" s="25">
        <f>ROUND(L1656/M1656, 0)</f>
        <v/>
      </c>
      <c r="O1656" s="25">
        <f>ROUND(N1656*'Methodology &amp; Assumptions'!$B$7, 0)</f>
        <v/>
      </c>
      <c r="P1656" s="23" t="inlineStr">
        <is>
          <t>Single Carrier (Band n50, 100MHz TDD)</t>
        </is>
      </c>
      <c r="Q1656" s="27">
        <f>ROUNDUP(O1656/'Methodology &amp; Assumptions'!$B$8, 0)</f>
        <v/>
      </c>
      <c r="R1656" s="27" t="n">
        <v>1</v>
      </c>
      <c r="S1656" s="26" t="n">
        <v>0.36</v>
      </c>
      <c r="T1656" s="26" t="n">
        <v>0.15</v>
      </c>
      <c r="U1656" s="11">
        <f>IF(S1656&lt;='Methodology &amp; Assumptions'!$B$10, "Direct Optical Drop (&lt;3km)", IF(S1656&lt;='Methodology &amp; Assumptions'!$B$9, "Near Optical / Microwave (&lt;5km)", "Starlink Business LEO Satellite Backhaul (&gt;5km)"))</f>
        <v/>
      </c>
      <c r="V1656" s="26" t="n">
        <v>45.06</v>
      </c>
      <c r="W1656" s="26" t="n">
        <v>70.5</v>
      </c>
      <c r="X1656" s="26">
        <f>ROUND(('Methodology &amp; Assumptions'!$B$5*V1656) + ('Methodology &amp; Assumptions'!$B$6*W1656), 2)</f>
        <v/>
      </c>
      <c r="Y1656" s="28" t="n">
        <v>10.9</v>
      </c>
      <c r="Z1656" s="11" t="inlineStr">
        <is>
          <t>Priority Tier 3 (Broadband Expansion)</t>
        </is>
      </c>
    </row>
    <row r="1657">
      <c r="A1657" s="23" t="n">
        <v>5</v>
      </c>
      <c r="B1657" s="23" t="n">
        <v>653</v>
      </c>
      <c r="C1657" s="23" t="n">
        <v>4653</v>
      </c>
      <c r="D1657" s="23" t="inlineStr">
        <is>
          <t>0907216006</t>
        </is>
      </c>
      <c r="E1657" s="11" t="inlineStr">
        <is>
          <t>Region IX (Zamboanga Peninsula)</t>
        </is>
      </c>
      <c r="F1657" s="11" t="inlineStr">
        <is>
          <t>Zamboanga del Norte</t>
        </is>
      </c>
      <c r="G1657" s="11" t="inlineStr">
        <is>
          <t>Sibuco</t>
        </is>
      </c>
      <c r="H1657" s="11" t="inlineStr">
        <is>
          <t>Lakiki</t>
        </is>
      </c>
      <c r="I1657" s="24" t="n">
        <v>7.2518</v>
      </c>
      <c r="J1657" s="24" t="n">
        <v>122.0942</v>
      </c>
      <c r="K1657" s="23" t="inlineStr">
        <is>
          <t>R</t>
        </is>
      </c>
      <c r="L1657" s="25" t="n">
        <v>648</v>
      </c>
      <c r="M1657" s="26" t="n">
        <v>3.6</v>
      </c>
      <c r="N1657" s="25">
        <f>ROUND(L1657/M1657, 0)</f>
        <v/>
      </c>
      <c r="O1657" s="25">
        <f>ROUND(N1657*'Methodology &amp; Assumptions'!$B$7, 0)</f>
        <v/>
      </c>
      <c r="P1657" s="23" t="inlineStr">
        <is>
          <t>Single Carrier (Band n50, 100MHz TDD)</t>
        </is>
      </c>
      <c r="Q1657" s="27">
        <f>ROUNDUP(O1657/'Methodology &amp; Assumptions'!$B$8, 0)</f>
        <v/>
      </c>
      <c r="R1657" s="27" t="n">
        <v>1</v>
      </c>
      <c r="S1657" s="26" t="n">
        <v>18.4</v>
      </c>
      <c r="T1657" s="26" t="n">
        <v>15.55</v>
      </c>
      <c r="U1657" s="11">
        <f>IF(S1657&lt;='Methodology &amp; Assumptions'!$B$10, "Direct Optical Drop (&lt;3km)", IF(S1657&lt;='Methodology &amp; Assumptions'!$B$9, "Near Optical / Microwave (&lt;5km)", "Starlink Business LEO Satellite Backhaul (&gt;5km)"))</f>
        <v/>
      </c>
      <c r="V1657" s="26" t="n">
        <v>39.99</v>
      </c>
      <c r="W1657" s="26" t="n">
        <v>75.58</v>
      </c>
      <c r="X1657" s="26">
        <f>ROUND(('Methodology &amp; Assumptions'!$B$5*V1657) + ('Methodology &amp; Assumptions'!$B$6*W1657), 2)</f>
        <v/>
      </c>
      <c r="Y1657" s="28" t="n">
        <v>11</v>
      </c>
      <c r="Z1657" s="11" t="inlineStr">
        <is>
          <t>Priority Tier 3 (Broadband Expansion)</t>
        </is>
      </c>
    </row>
    <row r="1658">
      <c r="A1658" s="23" t="n">
        <v>5</v>
      </c>
      <c r="B1658" s="23" t="n">
        <v>654</v>
      </c>
      <c r="C1658" s="23" t="n">
        <v>4654</v>
      </c>
      <c r="D1658" s="23" t="inlineStr">
        <is>
          <t>0305408005</t>
        </is>
      </c>
      <c r="E1658" s="11" t="inlineStr">
        <is>
          <t>Region III (Central Luzon)</t>
        </is>
      </c>
      <c r="F1658" s="11" t="inlineStr">
        <is>
          <t>Pampanga</t>
        </is>
      </c>
      <c r="G1658" s="11" t="inlineStr">
        <is>
          <t>Lubao</t>
        </is>
      </c>
      <c r="H1658" s="11" t="inlineStr">
        <is>
          <t>Calangain</t>
        </is>
      </c>
      <c r="I1658" s="24" t="n">
        <v>14.891514</v>
      </c>
      <c r="J1658" s="24" t="n">
        <v>120.554585</v>
      </c>
      <c r="K1658" s="23" t="inlineStr">
        <is>
          <t>R</t>
        </is>
      </c>
      <c r="L1658" s="25" t="n">
        <v>3157</v>
      </c>
      <c r="M1658" s="26" t="n">
        <v>4</v>
      </c>
      <c r="N1658" s="25">
        <f>ROUND(L1658/M1658, 0)</f>
        <v/>
      </c>
      <c r="O1658" s="25">
        <f>ROUND(N1658*'Methodology &amp; Assumptions'!$B$7, 0)</f>
        <v/>
      </c>
      <c r="P1658" s="23" t="inlineStr">
        <is>
          <t>Single Carrier (Band n50, 100MHz TDD)</t>
        </is>
      </c>
      <c r="Q1658" s="27">
        <f>ROUNDUP(O1658/'Methodology &amp; Assumptions'!$B$8, 0)</f>
        <v/>
      </c>
      <c r="R1658" s="27" t="n">
        <v>1</v>
      </c>
      <c r="S1658" s="26" t="n">
        <v>2.15</v>
      </c>
      <c r="T1658" s="26" t="n">
        <v>1.28</v>
      </c>
      <c r="U1658" s="11">
        <f>IF(S1658&lt;='Methodology &amp; Assumptions'!$B$10, "Direct Optical Drop (&lt;3km)", IF(S1658&lt;='Methodology &amp; Assumptions'!$B$9, "Near Optical / Microwave (&lt;5km)", "Starlink Business LEO Satellite Backhaul (&gt;5km)"))</f>
        <v/>
      </c>
      <c r="V1658" s="26" t="n">
        <v>79.94</v>
      </c>
      <c r="W1658" s="26" t="n">
        <v>35.6</v>
      </c>
      <c r="X1658" s="26">
        <f>ROUND(('Methodology &amp; Assumptions'!$B$5*V1658) + ('Methodology &amp; Assumptions'!$B$6*W1658), 2)</f>
        <v/>
      </c>
      <c r="Y1658" s="28" t="n">
        <v>8.300000000000001</v>
      </c>
      <c r="Z1658" s="11" t="inlineStr">
        <is>
          <t>Priority Tier 3 (Broadband Expansion)</t>
        </is>
      </c>
    </row>
    <row r="1659">
      <c r="A1659" s="23" t="n">
        <v>5</v>
      </c>
      <c r="B1659" s="23" t="n">
        <v>655</v>
      </c>
      <c r="C1659" s="23" t="n">
        <v>4655</v>
      </c>
      <c r="D1659" s="23" t="inlineStr">
        <is>
          <t>0105538003</t>
        </is>
      </c>
      <c r="E1659" s="11" t="inlineStr">
        <is>
          <t>Region I (Ilocos Region)</t>
        </is>
      </c>
      <c r="F1659" s="11" t="inlineStr">
        <is>
          <t>Pangasinan</t>
        </is>
      </c>
      <c r="G1659" s="11" t="inlineStr">
        <is>
          <t>Santa Barbara</t>
        </is>
      </c>
      <c r="H1659" s="11" t="inlineStr">
        <is>
          <t>Banaoang</t>
        </is>
      </c>
      <c r="I1659" s="24" t="n">
        <v>15.99056</v>
      </c>
      <c r="J1659" s="24" t="n">
        <v>120.436606</v>
      </c>
      <c r="K1659" s="23" t="inlineStr">
        <is>
          <t>R</t>
        </is>
      </c>
      <c r="L1659" s="25" t="n">
        <v>4513</v>
      </c>
      <c r="M1659" s="26" t="n">
        <v>3.6</v>
      </c>
      <c r="N1659" s="25">
        <f>ROUND(L1659/M1659, 0)</f>
        <v/>
      </c>
      <c r="O1659" s="25">
        <f>ROUND(N1659*'Methodology &amp; Assumptions'!$B$7, 0)</f>
        <v/>
      </c>
      <c r="P1659" s="23" t="inlineStr">
        <is>
          <t>Single Carrier (Band n50, 100MHz TDD)</t>
        </is>
      </c>
      <c r="Q1659" s="27">
        <f>ROUNDUP(O1659/'Methodology &amp; Assumptions'!$B$8, 0)</f>
        <v/>
      </c>
      <c r="R1659" s="27" t="n">
        <v>1</v>
      </c>
      <c r="S1659" s="26" t="n">
        <v>2.59</v>
      </c>
      <c r="T1659" s="26" t="n">
        <v>0.1</v>
      </c>
      <c r="U1659" s="11">
        <f>IF(S1659&lt;='Methodology &amp; Assumptions'!$B$10, "Direct Optical Drop (&lt;3km)", IF(S1659&lt;='Methodology &amp; Assumptions'!$B$9, "Near Optical / Microwave (&lt;5km)", "Starlink Business LEO Satellite Backhaul (&gt;5km)"))</f>
        <v/>
      </c>
      <c r="V1659" s="26" t="n">
        <v>79.44</v>
      </c>
      <c r="W1659" s="26" t="n">
        <v>36.11</v>
      </c>
      <c r="X1659" s="26">
        <f>ROUND(('Methodology &amp; Assumptions'!$B$5*V1659) + ('Methodology &amp; Assumptions'!$B$6*W1659), 2)</f>
        <v/>
      </c>
      <c r="Y1659" s="28" t="n">
        <v>8.300000000000001</v>
      </c>
      <c r="Z1659" s="11" t="inlineStr">
        <is>
          <t>Priority Tier 3 (Broadband Expansion)</t>
        </is>
      </c>
    </row>
    <row r="1660">
      <c r="A1660" s="23" t="n">
        <v>5</v>
      </c>
      <c r="B1660" s="23" t="n">
        <v>656</v>
      </c>
      <c r="C1660" s="23" t="n">
        <v>4656</v>
      </c>
      <c r="D1660" s="23" t="inlineStr">
        <is>
          <t>0603043018</t>
        </is>
      </c>
      <c r="E1660" s="11" t="inlineStr">
        <is>
          <t>Region VI (Western Visayas)</t>
        </is>
      </c>
      <c r="F1660" s="11" t="inlineStr">
        <is>
          <t>Iloilo</t>
        </is>
      </c>
      <c r="G1660" s="11" t="inlineStr">
        <is>
          <t>Santa Barbara</t>
        </is>
      </c>
      <c r="H1660" s="11" t="inlineStr">
        <is>
          <t>Bolong Este</t>
        </is>
      </c>
      <c r="I1660" s="24" t="n">
        <v>10.810217</v>
      </c>
      <c r="J1660" s="24" t="n">
        <v>122.531554</v>
      </c>
      <c r="K1660" s="23" t="inlineStr">
        <is>
          <t>R</t>
        </is>
      </c>
      <c r="L1660" s="25" t="n">
        <v>2025</v>
      </c>
      <c r="M1660" s="26" t="n">
        <v>3.8</v>
      </c>
      <c r="N1660" s="25">
        <f>ROUND(L1660/M1660, 0)</f>
        <v/>
      </c>
      <c r="O1660" s="25">
        <f>ROUND(N1660*'Methodology &amp; Assumptions'!$B$7, 0)</f>
        <v/>
      </c>
      <c r="P1660" s="23" t="inlineStr">
        <is>
          <t>Single Carrier (Band n50, 100MHz TDD)</t>
        </is>
      </c>
      <c r="Q1660" s="27">
        <f>ROUNDUP(O1660/'Methodology &amp; Assumptions'!$B$8, 0)</f>
        <v/>
      </c>
      <c r="R1660" s="27" t="n">
        <v>1</v>
      </c>
      <c r="S1660" s="26" t="n">
        <v>1.93</v>
      </c>
      <c r="T1660" s="26" t="n">
        <v>1.94</v>
      </c>
      <c r="U1660" s="11">
        <f>IF(S1660&lt;='Methodology &amp; Assumptions'!$B$10, "Direct Optical Drop (&lt;3km)", IF(S1660&lt;='Methodology &amp; Assumptions'!$B$9, "Near Optical / Microwave (&lt;5km)", "Starlink Business LEO Satellite Backhaul (&gt;5km)"))</f>
        <v/>
      </c>
      <c r="V1660" s="26" t="n">
        <v>73.67</v>
      </c>
      <c r="W1660" s="26" t="n">
        <v>41.87</v>
      </c>
      <c r="X1660" s="26">
        <f>ROUND(('Methodology &amp; Assumptions'!$B$5*V1660) + ('Methodology &amp; Assumptions'!$B$6*W1660), 2)</f>
        <v/>
      </c>
      <c r="Y1660" s="28" t="n">
        <v>23.7</v>
      </c>
      <c r="Z1660" s="11" t="inlineStr">
        <is>
          <t>Priority Tier 3 (Broadband Expansion)</t>
        </is>
      </c>
    </row>
    <row r="1661">
      <c r="A1661" s="23" t="n">
        <v>5</v>
      </c>
      <c r="B1661" s="23" t="n">
        <v>657</v>
      </c>
      <c r="C1661" s="23" t="n">
        <v>4657</v>
      </c>
      <c r="D1661" s="23" t="inlineStr">
        <is>
          <t>0103306019</t>
        </is>
      </c>
      <c r="E1661" s="11" t="inlineStr">
        <is>
          <t>Region I (Ilocos Region)</t>
        </is>
      </c>
      <c r="F1661" s="11" t="inlineStr">
        <is>
          <t>La Union</t>
        </is>
      </c>
      <c r="G1661" s="11" t="inlineStr">
        <is>
          <t>Bangar</t>
        </is>
      </c>
      <c r="H1661" s="11" t="inlineStr">
        <is>
          <t>Maria Cristina West</t>
        </is>
      </c>
      <c r="I1661" s="24" t="n">
        <v>16.897088</v>
      </c>
      <c r="J1661" s="24" t="n">
        <v>120.430008</v>
      </c>
      <c r="K1661" s="23" t="inlineStr">
        <is>
          <t>R</t>
        </is>
      </c>
      <c r="L1661" s="25" t="n">
        <v>1075</v>
      </c>
      <c r="M1661" s="26" t="n">
        <v>3.7</v>
      </c>
      <c r="N1661" s="25">
        <f>ROUND(L1661/M1661, 0)</f>
        <v/>
      </c>
      <c r="O1661" s="25">
        <f>ROUND(N1661*'Methodology &amp; Assumptions'!$B$7, 0)</f>
        <v/>
      </c>
      <c r="P1661" s="23" t="inlineStr">
        <is>
          <t>Single Carrier (Band n50, 100MHz TDD)</t>
        </is>
      </c>
      <c r="Q1661" s="27">
        <f>ROUNDUP(O1661/'Methodology &amp; Assumptions'!$B$8, 0)</f>
        <v/>
      </c>
      <c r="R1661" s="27" t="n">
        <v>1</v>
      </c>
      <c r="S1661" s="26" t="n">
        <v>0.6899999999999999</v>
      </c>
      <c r="T1661" s="26" t="n">
        <v>0.17</v>
      </c>
      <c r="U1661" s="11">
        <f>IF(S1661&lt;='Methodology &amp; Assumptions'!$B$10, "Direct Optical Drop (&lt;3km)", IF(S1661&lt;='Methodology &amp; Assumptions'!$B$9, "Near Optical / Microwave (&lt;5km)", "Starlink Business LEO Satellite Backhaul (&gt;5km)"))</f>
        <v/>
      </c>
      <c r="V1661" s="26" t="n">
        <v>68.45</v>
      </c>
      <c r="W1661" s="26" t="n">
        <v>47.09</v>
      </c>
      <c r="X1661" s="26">
        <f>ROUND(('Methodology &amp; Assumptions'!$B$5*V1661) + ('Methodology &amp; Assumptions'!$B$6*W1661), 2)</f>
        <v/>
      </c>
      <c r="Y1661" s="28" t="n">
        <v>8.300000000000001</v>
      </c>
      <c r="Z1661" s="11" t="inlineStr">
        <is>
          <t>Priority Tier 3 (Broadband Expansion)</t>
        </is>
      </c>
    </row>
    <row r="1662">
      <c r="A1662" s="23" t="n">
        <v>5</v>
      </c>
      <c r="B1662" s="23" t="n">
        <v>658</v>
      </c>
      <c r="C1662" s="23" t="n">
        <v>4658</v>
      </c>
      <c r="D1662" s="23" t="inlineStr">
        <is>
          <t>1404408002</t>
        </is>
      </c>
      <c r="E1662" s="11" t="inlineStr">
        <is>
          <t>Cordillera Administrative Region (CAR)</t>
        </is>
      </c>
      <c r="F1662" s="11" t="inlineStr">
        <is>
          <t>Mountain Province</t>
        </is>
      </c>
      <c r="G1662" s="11" t="inlineStr">
        <is>
          <t>Sadanga</t>
        </is>
      </c>
      <c r="H1662" s="11" t="inlineStr">
        <is>
          <t>Belwang</t>
        </is>
      </c>
      <c r="I1662" s="24" t="n">
        <v>17.180178</v>
      </c>
      <c r="J1662" s="24" t="n">
        <v>121.009856</v>
      </c>
      <c r="K1662" s="23" t="inlineStr">
        <is>
          <t>R</t>
        </is>
      </c>
      <c r="L1662" s="25" t="n">
        <v>870</v>
      </c>
      <c r="M1662" s="26" t="n">
        <v>3.7</v>
      </c>
      <c r="N1662" s="25">
        <f>ROUND(L1662/M1662, 0)</f>
        <v/>
      </c>
      <c r="O1662" s="25">
        <f>ROUND(N1662*'Methodology &amp; Assumptions'!$B$7, 0)</f>
        <v/>
      </c>
      <c r="P1662" s="23" t="inlineStr">
        <is>
          <t>Single Carrier (Band n50, 100MHz TDD)</t>
        </is>
      </c>
      <c r="Q1662" s="27">
        <f>ROUNDUP(O1662/'Methodology &amp; Assumptions'!$B$8, 0)</f>
        <v/>
      </c>
      <c r="R1662" s="27" t="n">
        <v>1</v>
      </c>
      <c r="S1662" s="26" t="n">
        <v>3.96</v>
      </c>
      <c r="T1662" s="26" t="n">
        <v>4.11</v>
      </c>
      <c r="U1662" s="11">
        <f>IF(S1662&lt;='Methodology &amp; Assumptions'!$B$10, "Direct Optical Drop (&lt;3km)", IF(S1662&lt;='Methodology &amp; Assumptions'!$B$9, "Near Optical / Microwave (&lt;5km)", "Starlink Business LEO Satellite Backhaul (&gt;5km)"))</f>
        <v/>
      </c>
      <c r="V1662" s="26" t="n">
        <v>56.24</v>
      </c>
      <c r="W1662" s="26" t="n">
        <v>59.29</v>
      </c>
      <c r="X1662" s="26">
        <f>ROUND(('Methodology &amp; Assumptions'!$B$5*V1662) + ('Methodology &amp; Assumptions'!$B$6*W1662), 2)</f>
        <v/>
      </c>
      <c r="Y1662" s="28" t="n">
        <v>10.9</v>
      </c>
      <c r="Z1662" s="11" t="inlineStr">
        <is>
          <t>Priority Tier 3 (Broadband Expansion)</t>
        </is>
      </c>
    </row>
    <row r="1663">
      <c r="A1663" s="23" t="n">
        <v>5</v>
      </c>
      <c r="B1663" s="23" t="n">
        <v>659</v>
      </c>
      <c r="C1663" s="23" t="n">
        <v>4659</v>
      </c>
      <c r="D1663" s="23" t="inlineStr">
        <is>
          <t>1705319005</t>
        </is>
      </c>
      <c r="E1663" s="11" t="inlineStr">
        <is>
          <t>MIMAROPA Region</t>
        </is>
      </c>
      <c r="F1663" s="11" t="inlineStr">
        <is>
          <t>Palawan</t>
        </is>
      </c>
      <c r="G1663" s="11" t="inlineStr">
        <is>
          <t>San Vicente</t>
        </is>
      </c>
      <c r="H1663" s="11" t="inlineStr">
        <is>
          <t>New Agutaya</t>
        </is>
      </c>
      <c r="I1663" s="24" t="n">
        <v>10.54019</v>
      </c>
      <c r="J1663" s="24" t="n">
        <v>119.2788</v>
      </c>
      <c r="K1663" s="23" t="inlineStr">
        <is>
          <t>R</t>
        </is>
      </c>
      <c r="L1663" s="25" t="n">
        <v>5179</v>
      </c>
      <c r="M1663" s="26" t="n">
        <v>3.9</v>
      </c>
      <c r="N1663" s="25">
        <f>ROUND(L1663/M1663, 0)</f>
        <v/>
      </c>
      <c r="O1663" s="25">
        <f>ROUND(N1663*'Methodology &amp; Assumptions'!$B$7, 0)</f>
        <v/>
      </c>
      <c r="P1663" s="23" t="inlineStr">
        <is>
          <t>Single Carrier (Band n50, 100MHz TDD)</t>
        </is>
      </c>
      <c r="Q1663" s="27">
        <f>ROUNDUP(O1663/'Methodology &amp; Assumptions'!$B$8, 0)</f>
        <v/>
      </c>
      <c r="R1663" s="27" t="n">
        <v>1</v>
      </c>
      <c r="S1663" s="26" t="n">
        <v>0.21</v>
      </c>
      <c r="T1663" s="26" t="n">
        <v>9.08</v>
      </c>
      <c r="U1663" s="11">
        <f>IF(S1663&lt;='Methodology &amp; Assumptions'!$B$10, "Direct Optical Drop (&lt;3km)", IF(S1663&lt;='Methodology &amp; Assumptions'!$B$9, "Near Optical / Microwave (&lt;5km)", "Starlink Business LEO Satellite Backhaul (&gt;5km)"))</f>
        <v/>
      </c>
      <c r="V1663" s="26" t="n">
        <v>85.78</v>
      </c>
      <c r="W1663" s="26" t="n">
        <v>29.75</v>
      </c>
      <c r="X1663" s="26">
        <f>ROUND(('Methodology &amp; Assumptions'!$B$5*V1663) + ('Methodology &amp; Assumptions'!$B$6*W1663), 2)</f>
        <v/>
      </c>
      <c r="Y1663" s="28" t="n">
        <v>15</v>
      </c>
      <c r="Z1663" s="11" t="inlineStr">
        <is>
          <t>Priority Tier 3 (Broadband Expansion)</t>
        </is>
      </c>
    </row>
    <row r="1664">
      <c r="A1664" s="23" t="n">
        <v>5</v>
      </c>
      <c r="B1664" s="23" t="n">
        <v>660</v>
      </c>
      <c r="C1664" s="23" t="n">
        <v>4660</v>
      </c>
      <c r="D1664" s="23" t="inlineStr">
        <is>
          <t>0301403002</t>
        </is>
      </c>
      <c r="E1664" s="11" t="inlineStr">
        <is>
          <t>Region III (Central Luzon)</t>
        </is>
      </c>
      <c r="F1664" s="11" t="inlineStr">
        <is>
          <t>Bulacan</t>
        </is>
      </c>
      <c r="G1664" s="11" t="inlineStr">
        <is>
          <t>Baliuag</t>
        </is>
      </c>
      <c r="H1664" s="11" t="inlineStr">
        <is>
          <t>Barangca</t>
        </is>
      </c>
      <c r="I1664" s="24" t="n">
        <v>14.987934</v>
      </c>
      <c r="J1664" s="24" t="n">
        <v>120.896289</v>
      </c>
      <c r="K1664" s="23" t="inlineStr">
        <is>
          <t>R</t>
        </is>
      </c>
      <c r="L1664" s="25" t="n">
        <v>3538</v>
      </c>
      <c r="M1664" s="26" t="n">
        <v>3.5</v>
      </c>
      <c r="N1664" s="25">
        <f>ROUND(L1664/M1664, 0)</f>
        <v/>
      </c>
      <c r="O1664" s="25">
        <f>ROUND(N1664*'Methodology &amp; Assumptions'!$B$7, 0)</f>
        <v/>
      </c>
      <c r="P1664" s="23" t="inlineStr">
        <is>
          <t>Single Carrier (Band n50, 100MHz TDD)</t>
        </is>
      </c>
      <c r="Q1664" s="27">
        <f>ROUNDUP(O1664/'Methodology &amp; Assumptions'!$B$8, 0)</f>
        <v/>
      </c>
      <c r="R1664" s="27" t="n">
        <v>1</v>
      </c>
      <c r="S1664" s="26" t="n">
        <v>2.41</v>
      </c>
      <c r="T1664" s="26" t="n">
        <v>0.42</v>
      </c>
      <c r="U1664" s="11">
        <f>IF(S1664&lt;='Methodology &amp; Assumptions'!$B$10, "Direct Optical Drop (&lt;3km)", IF(S1664&lt;='Methodology &amp; Assumptions'!$B$9, "Near Optical / Microwave (&lt;5km)", "Starlink Business LEO Satellite Backhaul (&gt;5km)"))</f>
        <v/>
      </c>
      <c r="V1664" s="26" t="n">
        <v>80.03</v>
      </c>
      <c r="W1664" s="26" t="n">
        <v>35.5</v>
      </c>
      <c r="X1664" s="26">
        <f>ROUND(('Methodology &amp; Assumptions'!$B$5*V1664) + ('Methodology &amp; Assumptions'!$B$6*W1664), 2)</f>
        <v/>
      </c>
      <c r="Y1664" s="28" t="n">
        <v>8.300000000000001</v>
      </c>
      <c r="Z1664" s="11" t="inlineStr">
        <is>
          <t>Priority Tier 3 (Broadband Expansion)</t>
        </is>
      </c>
    </row>
    <row r="1665">
      <c r="A1665" s="23" t="n">
        <v>5</v>
      </c>
      <c r="B1665" s="23" t="n">
        <v>661</v>
      </c>
      <c r="C1665" s="23" t="n">
        <v>4661</v>
      </c>
      <c r="D1665" s="23" t="inlineStr">
        <is>
          <t>0304928021</t>
        </is>
      </c>
      <c r="E1665" s="11" t="inlineStr">
        <is>
          <t>Region III (Central Luzon)</t>
        </is>
      </c>
      <c r="F1665" s="11" t="inlineStr">
        <is>
          <t>Nueva Ecija</t>
        </is>
      </c>
      <c r="G1665" s="11" t="inlineStr">
        <is>
          <t>Santa Rosa</t>
        </is>
      </c>
      <c r="H1665" s="11" t="inlineStr">
        <is>
          <t>Zamora</t>
        </is>
      </c>
      <c r="I1665" s="24" t="n">
        <v>15.421133</v>
      </c>
      <c r="J1665" s="24" t="n">
        <v>120.936825</v>
      </c>
      <c r="K1665" s="23" t="inlineStr">
        <is>
          <t>R</t>
        </is>
      </c>
      <c r="L1665" s="25" t="n">
        <v>1423</v>
      </c>
      <c r="M1665" s="26" t="n">
        <v>3.5</v>
      </c>
      <c r="N1665" s="25">
        <f>ROUND(L1665/M1665, 0)</f>
        <v/>
      </c>
      <c r="O1665" s="25">
        <f>ROUND(N1665*'Methodology &amp; Assumptions'!$B$7, 0)</f>
        <v/>
      </c>
      <c r="P1665" s="23" t="inlineStr">
        <is>
          <t>Single Carrier (Band n50, 100MHz TDD)</t>
        </is>
      </c>
      <c r="Q1665" s="27">
        <f>ROUNDUP(O1665/'Methodology &amp; Assumptions'!$B$8, 0)</f>
        <v/>
      </c>
      <c r="R1665" s="27" t="n">
        <v>1</v>
      </c>
      <c r="S1665" s="26" t="n">
        <v>0.42</v>
      </c>
      <c r="T1665" s="26" t="n">
        <v>0.05</v>
      </c>
      <c r="U1665" s="11">
        <f>IF(S1665&lt;='Methodology &amp; Assumptions'!$B$10, "Direct Optical Drop (&lt;3km)", IF(S1665&lt;='Methodology &amp; Assumptions'!$B$9, "Near Optical / Microwave (&lt;5km)", "Starlink Business LEO Satellite Backhaul (&gt;5km)"))</f>
        <v/>
      </c>
      <c r="V1665" s="26" t="n">
        <v>72.23999999999999</v>
      </c>
      <c r="W1665" s="26" t="n">
        <v>43.27</v>
      </c>
      <c r="X1665" s="26">
        <f>ROUND(('Methodology &amp; Assumptions'!$B$5*V1665) + ('Methodology &amp; Assumptions'!$B$6*W1665), 2)</f>
        <v/>
      </c>
      <c r="Y1665" s="28" t="n">
        <v>8.300000000000001</v>
      </c>
      <c r="Z1665" s="11" t="inlineStr">
        <is>
          <t>Priority Tier 3 (Broadband Expansion)</t>
        </is>
      </c>
    </row>
    <row r="1666">
      <c r="A1666" s="23" t="n">
        <v>5</v>
      </c>
      <c r="B1666" s="23" t="n">
        <v>662</v>
      </c>
      <c r="C1666" s="23" t="n">
        <v>4662</v>
      </c>
      <c r="D1666" s="23" t="inlineStr">
        <is>
          <t>1381100019</t>
        </is>
      </c>
      <c r="E1666" s="11" t="inlineStr">
        <is>
          <t>National Capital Region (NCR)</t>
        </is>
      </c>
      <c r="F1666" s="11" t="inlineStr">
        <is>
          <t>Fourth District (Not a Province)</t>
        </is>
      </c>
      <c r="G1666" s="11" t="inlineStr">
        <is>
          <t>Pasay City</t>
        </is>
      </c>
      <c r="H1666" s="11" t="inlineStr">
        <is>
          <t>Barangay 19</t>
        </is>
      </c>
      <c r="I1666" s="24" t="n">
        <v>14.557223</v>
      </c>
      <c r="J1666" s="24" t="n">
        <v>120.993097</v>
      </c>
      <c r="K1666" s="23" t="inlineStr">
        <is>
          <t>U</t>
        </is>
      </c>
      <c r="L1666" s="25" t="n">
        <v>411</v>
      </c>
      <c r="M1666" s="26" t="n">
        <v>3.14</v>
      </c>
      <c r="N1666" s="25">
        <f>ROUND(L1666/M1666, 0)</f>
        <v/>
      </c>
      <c r="O1666" s="25">
        <f>ROUND(N1666*'Methodology &amp; Assumptions'!$B$7, 0)</f>
        <v/>
      </c>
      <c r="P1666" s="23" t="inlineStr">
        <is>
          <t>Single Carrier (Band n50, 100MHz TDD)</t>
        </is>
      </c>
      <c r="Q1666" s="27">
        <f>ROUNDUP(O1666/'Methodology &amp; Assumptions'!$B$8, 0)</f>
        <v/>
      </c>
      <c r="R1666" s="27" t="n">
        <v>1</v>
      </c>
      <c r="S1666" s="26" t="n">
        <v>0.46</v>
      </c>
      <c r="T1666" s="26" t="n">
        <v>0.38</v>
      </c>
      <c r="U1666" s="11">
        <f>IF(S1666&lt;='Methodology &amp; Assumptions'!$B$10, "Direct Optical Drop (&lt;3km)", IF(S1666&lt;='Methodology &amp; Assumptions'!$B$9, "Near Optical / Microwave (&lt;5km)", "Starlink Business LEO Satellite Backhaul (&gt;5km)"))</f>
        <v/>
      </c>
      <c r="V1666" s="26" t="n">
        <v>45.27</v>
      </c>
      <c r="W1666" s="26" t="n">
        <v>70.25</v>
      </c>
      <c r="X1666" s="26">
        <f>ROUND(('Methodology &amp; Assumptions'!$B$5*V1666) + ('Methodology &amp; Assumptions'!$B$6*W1666), 2)</f>
        <v/>
      </c>
      <c r="Y1666" s="28" t="n">
        <v>10.9</v>
      </c>
      <c r="Z1666" s="11" t="inlineStr">
        <is>
          <t>Priority Tier 3 (Broadband Expansion)</t>
        </is>
      </c>
    </row>
    <row r="1667">
      <c r="A1667" s="23" t="n">
        <v>5</v>
      </c>
      <c r="B1667" s="23" t="n">
        <v>663</v>
      </c>
      <c r="C1667" s="23" t="n">
        <v>4663</v>
      </c>
      <c r="D1667" s="23" t="inlineStr">
        <is>
          <t>1906610007</t>
        </is>
      </c>
      <c r="E1667" s="11" t="inlineStr">
        <is>
          <t>Bangsamoro Autonomous Region In Muslim Mindanao (BARMM)</t>
        </is>
      </c>
      <c r="F1667" s="11" t="inlineStr">
        <is>
          <t>Sulu</t>
        </is>
      </c>
      <c r="G1667" s="11" t="inlineStr">
        <is>
          <t>Pata</t>
        </is>
      </c>
      <c r="H1667" s="11" t="inlineStr">
        <is>
          <t>Kiput</t>
        </is>
      </c>
      <c r="I1667" s="24" t="n">
        <v>5.804372</v>
      </c>
      <c r="J1667" s="24" t="n">
        <v>121.145264</v>
      </c>
      <c r="K1667" s="23" t="inlineStr">
        <is>
          <t>R</t>
        </is>
      </c>
      <c r="L1667" s="25" t="n">
        <v>1916</v>
      </c>
      <c r="M1667" s="26" t="n">
        <v>6</v>
      </c>
      <c r="N1667" s="25">
        <f>ROUND(L1667/M1667, 0)</f>
        <v/>
      </c>
      <c r="O1667" s="25">
        <f>ROUND(N1667*'Methodology &amp; Assumptions'!$B$7, 0)</f>
        <v/>
      </c>
      <c r="P1667" s="23" t="inlineStr">
        <is>
          <t>Single Carrier (Band n50, 100MHz TDD)</t>
        </is>
      </c>
      <c r="Q1667" s="27">
        <f>ROUNDUP(O1667/'Methodology &amp; Assumptions'!$B$8, 0)</f>
        <v/>
      </c>
      <c r="R1667" s="27" t="n">
        <v>1</v>
      </c>
      <c r="S1667" s="26" t="n">
        <v>160.16</v>
      </c>
      <c r="T1667" s="26" t="n">
        <v>160.16</v>
      </c>
      <c r="U1667" s="11">
        <f>IF(S1667&lt;='Methodology &amp; Assumptions'!$B$10, "Direct Optical Drop (&lt;3km)", IF(S1667&lt;='Methodology &amp; Assumptions'!$B$9, "Near Optical / Microwave (&lt;5km)", "Starlink Business LEO Satellite Backhaul (&gt;5km)"))</f>
        <v/>
      </c>
      <c r="V1667" s="26" t="n">
        <v>43.96</v>
      </c>
      <c r="W1667" s="26" t="n">
        <v>71.55</v>
      </c>
      <c r="X1667" s="26">
        <f>ROUND(('Methodology &amp; Assumptions'!$B$5*V1667) + ('Methodology &amp; Assumptions'!$B$6*W1667), 2)</f>
        <v/>
      </c>
      <c r="Y1667" s="28" t="n">
        <v>11</v>
      </c>
      <c r="Z1667" s="11" t="inlineStr">
        <is>
          <t>Priority Tier 3 (Broadband Expansion)</t>
        </is>
      </c>
    </row>
    <row r="1668">
      <c r="A1668" s="23" t="n">
        <v>5</v>
      </c>
      <c r="B1668" s="23" t="n">
        <v>664</v>
      </c>
      <c r="C1668" s="23" t="n">
        <v>4664</v>
      </c>
      <c r="D1668" s="23" t="inlineStr">
        <is>
          <t>1408104009</t>
        </is>
      </c>
      <c r="E1668" s="11" t="inlineStr">
        <is>
          <t>Cordillera Administrative Region (CAR)</t>
        </is>
      </c>
      <c r="F1668" s="11" t="inlineStr">
        <is>
          <t>Apayao</t>
        </is>
      </c>
      <c r="G1668" s="11" t="inlineStr">
        <is>
          <t>Kabugao</t>
        </is>
      </c>
      <c r="H1668" s="11" t="inlineStr">
        <is>
          <t>Kumao</t>
        </is>
      </c>
      <c r="I1668" s="24" t="n">
        <v>18.091111</v>
      </c>
      <c r="J1668" s="24" t="n">
        <v>121.166389</v>
      </c>
      <c r="K1668" s="23" t="inlineStr">
        <is>
          <t>R</t>
        </is>
      </c>
      <c r="L1668" s="25" t="n">
        <v>585</v>
      </c>
      <c r="M1668" s="26" t="n">
        <v>4.2</v>
      </c>
      <c r="N1668" s="25">
        <f>ROUND(L1668/M1668, 0)</f>
        <v/>
      </c>
      <c r="O1668" s="25">
        <f>ROUND(N1668*'Methodology &amp; Assumptions'!$B$7, 0)</f>
        <v/>
      </c>
      <c r="P1668" s="23" t="inlineStr">
        <is>
          <t>Single Carrier (Band n50, 100MHz TDD)</t>
        </is>
      </c>
      <c r="Q1668" s="27">
        <f>ROUNDUP(O1668/'Methodology &amp; Assumptions'!$B$8, 0)</f>
        <v/>
      </c>
      <c r="R1668" s="27" t="n">
        <v>1</v>
      </c>
      <c r="S1668" s="26" t="n">
        <v>8.109999999999999</v>
      </c>
      <c r="T1668" s="26" t="n">
        <v>15.63</v>
      </c>
      <c r="U1668" s="11">
        <f>IF(S1668&lt;='Methodology &amp; Assumptions'!$B$10, "Direct Optical Drop (&lt;3km)", IF(S1668&lt;='Methodology &amp; Assumptions'!$B$9, "Near Optical / Microwave (&lt;5km)", "Starlink Business LEO Satellite Backhaul (&gt;5km)"))</f>
        <v/>
      </c>
      <c r="V1668" s="26" t="n">
        <v>43.53</v>
      </c>
      <c r="W1668" s="26" t="n">
        <v>71.98999999999999</v>
      </c>
      <c r="X1668" s="26">
        <f>ROUND(('Methodology &amp; Assumptions'!$B$5*V1668) + ('Methodology &amp; Assumptions'!$B$6*W1668), 2)</f>
        <v/>
      </c>
      <c r="Y1668" s="28" t="n">
        <v>10.9</v>
      </c>
      <c r="Z1668" s="11" t="inlineStr">
        <is>
          <t>Priority Tier 3 (Broadband Expansion)</t>
        </is>
      </c>
    </row>
    <row r="1669">
      <c r="A1669" s="23" t="n">
        <v>5</v>
      </c>
      <c r="B1669" s="23" t="n">
        <v>665</v>
      </c>
      <c r="C1669" s="23" t="n">
        <v>4665</v>
      </c>
      <c r="D1669" s="23" t="inlineStr">
        <is>
          <t>0702208012</t>
        </is>
      </c>
      <c r="E1669" s="11" t="inlineStr">
        <is>
          <t>Region VII (Central Visayas)</t>
        </is>
      </c>
      <c r="F1669" s="11" t="inlineStr">
        <is>
          <t>Cebu</t>
        </is>
      </c>
      <c r="G1669" s="11" t="inlineStr">
        <is>
          <t>Balamban</t>
        </is>
      </c>
      <c r="H1669" s="11" t="inlineStr">
        <is>
          <t>Cantuod</t>
        </is>
      </c>
      <c r="I1669" s="24" t="n">
        <v>10.525928</v>
      </c>
      <c r="J1669" s="24" t="n">
        <v>123.719799</v>
      </c>
      <c r="K1669" s="23" t="inlineStr">
        <is>
          <t>R</t>
        </is>
      </c>
      <c r="L1669" s="25" t="n">
        <v>5099</v>
      </c>
      <c r="M1669" s="26" t="n">
        <v>3.8</v>
      </c>
      <c r="N1669" s="25">
        <f>ROUND(L1669/M1669, 0)</f>
        <v/>
      </c>
      <c r="O1669" s="25">
        <f>ROUND(N1669*'Methodology &amp; Assumptions'!$B$7, 0)</f>
        <v/>
      </c>
      <c r="P1669" s="23" t="inlineStr">
        <is>
          <t>Single Carrier (Band n50, 100MHz TDD)</t>
        </is>
      </c>
      <c r="Q1669" s="27">
        <f>ROUNDUP(O1669/'Methodology &amp; Assumptions'!$B$8, 0)</f>
        <v/>
      </c>
      <c r="R1669" s="27" t="n">
        <v>1</v>
      </c>
      <c r="S1669" s="26" t="n">
        <v>1.97</v>
      </c>
      <c r="T1669" s="26" t="n">
        <v>0.21</v>
      </c>
      <c r="U1669" s="11">
        <f>IF(S1669&lt;='Methodology &amp; Assumptions'!$B$10, "Direct Optical Drop (&lt;3km)", IF(S1669&lt;='Methodology &amp; Assumptions'!$B$9, "Near Optical / Microwave (&lt;5km)", "Starlink Business LEO Satellite Backhaul (&gt;5km)"))</f>
        <v/>
      </c>
      <c r="V1669" s="26" t="n">
        <v>83.93000000000001</v>
      </c>
      <c r="W1669" s="26" t="n">
        <v>31.56</v>
      </c>
      <c r="X1669" s="26">
        <f>ROUND(('Methodology &amp; Assumptions'!$B$5*V1669) + ('Methodology &amp; Assumptions'!$B$6*W1669), 2)</f>
        <v/>
      </c>
      <c r="Y1669" s="28" t="n">
        <v>23.7</v>
      </c>
      <c r="Z1669" s="11" t="inlineStr">
        <is>
          <t>Priority Tier 3 (Broadband Expansion)</t>
        </is>
      </c>
    </row>
    <row r="1670">
      <c r="A1670" s="23" t="n">
        <v>5</v>
      </c>
      <c r="B1670" s="23" t="n">
        <v>666</v>
      </c>
      <c r="C1670" s="23" t="n">
        <v>4666</v>
      </c>
      <c r="D1670" s="23" t="inlineStr">
        <is>
          <t>0401003038</t>
        </is>
      </c>
      <c r="E1670" s="11" t="inlineStr">
        <is>
          <t>Region IV-A (CALABARZON)</t>
        </is>
      </c>
      <c r="F1670" s="11" t="inlineStr">
        <is>
          <t>Batangas</t>
        </is>
      </c>
      <c r="G1670" s="11" t="inlineStr">
        <is>
          <t>Balayan</t>
        </is>
      </c>
      <c r="H1670" s="11" t="inlineStr">
        <is>
          <t>Navotas</t>
        </is>
      </c>
      <c r="I1670" s="24" t="n">
        <v>13.9302</v>
      </c>
      <c r="J1670" s="24" t="n">
        <v>120.7187</v>
      </c>
      <c r="K1670" s="23" t="inlineStr">
        <is>
          <t>R</t>
        </is>
      </c>
      <c r="L1670" s="25" t="n">
        <v>4235</v>
      </c>
      <c r="M1670" s="26" t="n">
        <v>3.6</v>
      </c>
      <c r="N1670" s="25">
        <f>ROUND(L1670/M1670, 0)</f>
        <v/>
      </c>
      <c r="O1670" s="25">
        <f>ROUND(N1670*'Methodology &amp; Assumptions'!$B$7, 0)</f>
        <v/>
      </c>
      <c r="P1670" s="23" t="inlineStr">
        <is>
          <t>Single Carrier (Band n50, 100MHz TDD)</t>
        </is>
      </c>
      <c r="Q1670" s="27">
        <f>ROUNDUP(O1670/'Methodology &amp; Assumptions'!$B$8, 0)</f>
        <v/>
      </c>
      <c r="R1670" s="27" t="n">
        <v>1</v>
      </c>
      <c r="S1670" s="26" t="n">
        <v>1.79</v>
      </c>
      <c r="T1670" s="26" t="n">
        <v>1.26</v>
      </c>
      <c r="U1670" s="11">
        <f>IF(S1670&lt;='Methodology &amp; Assumptions'!$B$10, "Direct Optical Drop (&lt;3km)", IF(S1670&lt;='Methodology &amp; Assumptions'!$B$9, "Near Optical / Microwave (&lt;5km)", "Starlink Business LEO Satellite Backhaul (&gt;5km)"))</f>
        <v/>
      </c>
      <c r="V1670" s="26" t="n">
        <v>81.93000000000001</v>
      </c>
      <c r="W1670" s="26" t="n">
        <v>33.57</v>
      </c>
      <c r="X1670" s="26">
        <f>ROUND(('Methodology &amp; Assumptions'!$B$5*V1670) + ('Methodology &amp; Assumptions'!$B$6*W1670), 2)</f>
        <v/>
      </c>
      <c r="Y1670" s="28" t="n">
        <v>7.2</v>
      </c>
      <c r="Z1670" s="11" t="inlineStr">
        <is>
          <t>Priority Tier 3 (Broadband Expansion)</t>
        </is>
      </c>
    </row>
    <row r="1671">
      <c r="A1671" s="23" t="n">
        <v>5</v>
      </c>
      <c r="B1671" s="23" t="n">
        <v>667</v>
      </c>
      <c r="C1671" s="23" t="n">
        <v>4667</v>
      </c>
      <c r="D1671" s="23" t="inlineStr">
        <is>
          <t>0301420027</t>
        </is>
      </c>
      <c r="E1671" s="11" t="inlineStr">
        <is>
          <t>Region III (Central Luzon)</t>
        </is>
      </c>
      <c r="F1671" s="11" t="inlineStr">
        <is>
          <t>Bulacan</t>
        </is>
      </c>
      <c r="G1671" s="11" t="inlineStr">
        <is>
          <t>City of San Jose Del Monte</t>
        </is>
      </c>
      <c r="H1671" s="11" t="inlineStr">
        <is>
          <t>Francisco Homes-Guijo</t>
        </is>
      </c>
      <c r="I1671" s="24" t="n">
        <v>14.814306</v>
      </c>
      <c r="J1671" s="24" t="n">
        <v>121.059647</v>
      </c>
      <c r="K1671" s="23" t="inlineStr">
        <is>
          <t>U</t>
        </is>
      </c>
      <c r="L1671" s="25" t="n">
        <v>7288</v>
      </c>
      <c r="M1671" s="26" t="n">
        <v>3.5</v>
      </c>
      <c r="N1671" s="25">
        <f>ROUND(L1671/M1671, 0)</f>
        <v/>
      </c>
      <c r="O1671" s="25">
        <f>ROUND(N1671*'Methodology &amp; Assumptions'!$B$7, 0)</f>
        <v/>
      </c>
      <c r="P1671" s="23" t="inlineStr">
        <is>
          <t>Single Carrier (Band n50, 100MHz TDD)</t>
        </is>
      </c>
      <c r="Q1671" s="27">
        <f>ROUNDUP(O1671/'Methodology &amp; Assumptions'!$B$8, 0)</f>
        <v/>
      </c>
      <c r="R1671" s="27" t="n">
        <v>1</v>
      </c>
      <c r="S1671" s="26" t="n">
        <v>1.32</v>
      </c>
      <c r="T1671" s="26" t="n">
        <v>1.35</v>
      </c>
      <c r="U1671" s="11">
        <f>IF(S1671&lt;='Methodology &amp; Assumptions'!$B$10, "Direct Optical Drop (&lt;3km)", IF(S1671&lt;='Methodology &amp; Assumptions'!$B$9, "Near Optical / Microwave (&lt;5km)", "Starlink Business LEO Satellite Backhaul (&gt;5km)"))</f>
        <v/>
      </c>
      <c r="V1671" s="26" t="n">
        <v>76.59</v>
      </c>
      <c r="W1671" s="26" t="n">
        <v>38.9</v>
      </c>
      <c r="X1671" s="26">
        <f>ROUND(('Methodology &amp; Assumptions'!$B$5*V1671) + ('Methodology &amp; Assumptions'!$B$6*W1671), 2)</f>
        <v/>
      </c>
      <c r="Y1671" s="28" t="n">
        <v>8.300000000000001</v>
      </c>
      <c r="Z1671" s="11" t="inlineStr">
        <is>
          <t>Priority Tier 3 (Broadband Expansion)</t>
        </is>
      </c>
    </row>
    <row r="1672">
      <c r="A1672" s="23" t="n">
        <v>5</v>
      </c>
      <c r="B1672" s="23" t="n">
        <v>668</v>
      </c>
      <c r="C1672" s="23" t="n">
        <v>4668</v>
      </c>
      <c r="D1672" s="23" t="inlineStr">
        <is>
          <t>0600407005</t>
        </is>
      </c>
      <c r="E1672" s="11" t="inlineStr">
        <is>
          <t>Region VI (Western Visayas)</t>
        </is>
      </c>
      <c r="F1672" s="11" t="inlineStr">
        <is>
          <t>Aklan</t>
        </is>
      </c>
      <c r="G1672" s="11" t="inlineStr">
        <is>
          <t>Kalibo</t>
        </is>
      </c>
      <c r="H1672" s="11" t="inlineStr">
        <is>
          <t>Buswang New</t>
        </is>
      </c>
      <c r="I1672" s="24" t="n">
        <v>11.71205</v>
      </c>
      <c r="J1672" s="24" t="n">
        <v>122.380764</v>
      </c>
      <c r="K1672" s="23" t="inlineStr">
        <is>
          <t>U</t>
        </is>
      </c>
      <c r="L1672" s="25" t="n">
        <v>11732</v>
      </c>
      <c r="M1672" s="26" t="n">
        <v>3.9</v>
      </c>
      <c r="N1672" s="25">
        <f>ROUND(L1672/M1672, 0)</f>
        <v/>
      </c>
      <c r="O1672" s="25">
        <f>ROUND(N1672*'Methodology &amp; Assumptions'!$B$7, 0)</f>
        <v/>
      </c>
      <c r="P1672" s="23" t="inlineStr">
        <is>
          <t>Single Carrier (Band n50, 100MHz TDD)</t>
        </is>
      </c>
      <c r="Q1672" s="27">
        <f>ROUNDUP(O1672/'Methodology &amp; Assumptions'!$B$8, 0)</f>
        <v/>
      </c>
      <c r="R1672" s="27" t="n">
        <v>1</v>
      </c>
      <c r="S1672" s="26" t="n">
        <v>2.2</v>
      </c>
      <c r="T1672" s="26" t="n">
        <v>1.5</v>
      </c>
      <c r="U1672" s="11">
        <f>IF(S1672&lt;='Methodology &amp; Assumptions'!$B$10, "Direct Optical Drop (&lt;3km)", IF(S1672&lt;='Methodology &amp; Assumptions'!$B$9, "Near Optical / Microwave (&lt;5km)", "Starlink Business LEO Satellite Backhaul (&gt;5km)"))</f>
        <v/>
      </c>
      <c r="V1672" s="26" t="n">
        <v>75.93000000000001</v>
      </c>
      <c r="W1672" s="26" t="n">
        <v>39.58</v>
      </c>
      <c r="X1672" s="26">
        <f>ROUND(('Methodology &amp; Assumptions'!$B$5*V1672) + ('Methodology &amp; Assumptions'!$B$6*W1672), 2)</f>
        <v/>
      </c>
      <c r="Y1672" s="28" t="n">
        <v>23.7</v>
      </c>
      <c r="Z1672" s="11" t="inlineStr">
        <is>
          <t>Priority Tier 3 (Broadband Expansion)</t>
        </is>
      </c>
    </row>
    <row r="1673">
      <c r="A1673" s="23" t="n">
        <v>5</v>
      </c>
      <c r="B1673" s="23" t="n">
        <v>669</v>
      </c>
      <c r="C1673" s="23" t="n">
        <v>4669</v>
      </c>
      <c r="D1673" s="23" t="inlineStr">
        <is>
          <t>1004311008</t>
        </is>
      </c>
      <c r="E1673" s="11" t="inlineStr">
        <is>
          <t>Region X (Northern Mindanao)</t>
        </is>
      </c>
      <c r="F1673" s="11" t="inlineStr">
        <is>
          <t>Misamis Oriental</t>
        </is>
      </c>
      <c r="G1673" s="11" t="inlineStr">
        <is>
          <t>Jasaan</t>
        </is>
      </c>
      <c r="H1673" s="11" t="inlineStr">
        <is>
          <t>Luz Banzon</t>
        </is>
      </c>
      <c r="I1673" s="24" t="n">
        <v>8.636227</v>
      </c>
      <c r="J1673" s="24" t="n">
        <v>124.765308</v>
      </c>
      <c r="K1673" s="23" t="inlineStr">
        <is>
          <t>U</t>
        </is>
      </c>
      <c r="L1673" s="25" t="n">
        <v>3798</v>
      </c>
      <c r="M1673" s="26" t="n">
        <v>3.9</v>
      </c>
      <c r="N1673" s="25">
        <f>ROUND(L1673/M1673, 0)</f>
        <v/>
      </c>
      <c r="O1673" s="25">
        <f>ROUND(N1673*'Methodology &amp; Assumptions'!$B$7, 0)</f>
        <v/>
      </c>
      <c r="P1673" s="23" t="inlineStr">
        <is>
          <t>Single Carrier (Band n50, 100MHz TDD)</t>
        </is>
      </c>
      <c r="Q1673" s="27">
        <f>ROUNDUP(O1673/'Methodology &amp; Assumptions'!$B$8, 0)</f>
        <v/>
      </c>
      <c r="R1673" s="27" t="n">
        <v>1</v>
      </c>
      <c r="S1673" s="26" t="n">
        <v>1.93</v>
      </c>
      <c r="T1673" s="26" t="n">
        <v>0.13</v>
      </c>
      <c r="U1673" s="11">
        <f>IF(S1673&lt;='Methodology &amp; Assumptions'!$B$10, "Direct Optical Drop (&lt;3km)", IF(S1673&lt;='Methodology &amp; Assumptions'!$B$9, "Near Optical / Microwave (&lt;5km)", "Starlink Business LEO Satellite Backhaul (&gt;5km)"))</f>
        <v/>
      </c>
      <c r="V1673" s="26" t="n">
        <v>75.86</v>
      </c>
      <c r="W1673" s="26" t="n">
        <v>39.64</v>
      </c>
      <c r="X1673" s="26">
        <f>ROUND(('Methodology &amp; Assumptions'!$B$5*V1673) + ('Methodology &amp; Assumptions'!$B$6*W1673), 2)</f>
        <v/>
      </c>
      <c r="Y1673" s="28" t="n">
        <v>17.4</v>
      </c>
      <c r="Z1673" s="11" t="inlineStr">
        <is>
          <t>Priority Tier 3 (Broadband Expansion)</t>
        </is>
      </c>
    </row>
    <row r="1674">
      <c r="A1674" s="23" t="n">
        <v>5</v>
      </c>
      <c r="B1674" s="23" t="n">
        <v>670</v>
      </c>
      <c r="C1674" s="23" t="n">
        <v>4670</v>
      </c>
      <c r="D1674" s="23" t="inlineStr">
        <is>
          <t>0103306006</t>
        </is>
      </c>
      <c r="E1674" s="11" t="inlineStr">
        <is>
          <t>Region I (Ilocos Region)</t>
        </is>
      </c>
      <c r="F1674" s="11" t="inlineStr">
        <is>
          <t>La Union</t>
        </is>
      </c>
      <c r="G1674" s="11" t="inlineStr">
        <is>
          <t>Bangar</t>
        </is>
      </c>
      <c r="H1674" s="11" t="inlineStr">
        <is>
          <t>Barraca</t>
        </is>
      </c>
      <c r="I1674" s="24" t="n">
        <v>16.898992</v>
      </c>
      <c r="J1674" s="24" t="n">
        <v>120.417435</v>
      </c>
      <c r="K1674" s="23" t="inlineStr">
        <is>
          <t>R</t>
        </is>
      </c>
      <c r="L1674" s="25" t="n">
        <v>1358</v>
      </c>
      <c r="M1674" s="26" t="n">
        <v>3.7</v>
      </c>
      <c r="N1674" s="25">
        <f>ROUND(L1674/M1674, 0)</f>
        <v/>
      </c>
      <c r="O1674" s="25">
        <f>ROUND(N1674*'Methodology &amp; Assumptions'!$B$7, 0)</f>
        <v/>
      </c>
      <c r="P1674" s="23" t="inlineStr">
        <is>
          <t>Single Carrier (Band n50, 100MHz TDD)</t>
        </is>
      </c>
      <c r="Q1674" s="27">
        <f>ROUNDUP(O1674/'Methodology &amp; Assumptions'!$B$8, 0)</f>
        <v/>
      </c>
      <c r="R1674" s="27" t="n">
        <v>1</v>
      </c>
      <c r="S1674" s="26" t="n">
        <v>1.02</v>
      </c>
      <c r="T1674" s="26" t="n">
        <v>0.91</v>
      </c>
      <c r="U1674" s="11">
        <f>IF(S1674&lt;='Methodology &amp; Assumptions'!$B$10, "Direct Optical Drop (&lt;3km)", IF(S1674&lt;='Methodology &amp; Assumptions'!$B$9, "Near Optical / Microwave (&lt;5km)", "Starlink Business LEO Satellite Backhaul (&gt;5km)"))</f>
        <v/>
      </c>
      <c r="V1674" s="26" t="n">
        <v>70.23999999999999</v>
      </c>
      <c r="W1674" s="26" t="n">
        <v>45.25</v>
      </c>
      <c r="X1674" s="26">
        <f>ROUND(('Methodology &amp; Assumptions'!$B$5*V1674) + ('Methodology &amp; Assumptions'!$B$6*W1674), 2)</f>
        <v/>
      </c>
      <c r="Y1674" s="28" t="n">
        <v>8.300000000000001</v>
      </c>
      <c r="Z1674" s="11" t="inlineStr">
        <is>
          <t>Priority Tier 3 (Broadband Expansion)</t>
        </is>
      </c>
    </row>
    <row r="1675">
      <c r="A1675" s="23" t="n">
        <v>5</v>
      </c>
      <c r="B1675" s="23" t="n">
        <v>671</v>
      </c>
      <c r="C1675" s="23" t="n">
        <v>4671</v>
      </c>
      <c r="D1675" s="23" t="inlineStr">
        <is>
          <t>1380606052</t>
        </is>
      </c>
      <c r="E1675" s="11" t="inlineStr">
        <is>
          <t>National Capital Region (NCR)</t>
        </is>
      </c>
      <c r="F1675" s="11" t="inlineStr">
        <is>
          <t>First District (Not a Province)</t>
        </is>
      </c>
      <c r="G1675" s="11" t="inlineStr">
        <is>
          <t>City of Manila</t>
        </is>
      </c>
      <c r="H1675" s="11" t="inlineStr">
        <is>
          <t>Barangay 446</t>
        </is>
      </c>
      <c r="I1675" s="24" t="n">
        <v>14.606659</v>
      </c>
      <c r="J1675" s="24" t="n">
        <v>121.001471</v>
      </c>
      <c r="K1675" s="23" t="inlineStr">
        <is>
          <t>U</t>
        </is>
      </c>
      <c r="L1675" s="25" t="n">
        <v>769</v>
      </c>
      <c r="M1675" s="26" t="n">
        <v>4.18</v>
      </c>
      <c r="N1675" s="25">
        <f>ROUND(L1675/M1675, 0)</f>
        <v/>
      </c>
      <c r="O1675" s="25">
        <f>ROUND(N1675*'Methodology &amp; Assumptions'!$B$7, 0)</f>
        <v/>
      </c>
      <c r="P1675" s="23" t="inlineStr">
        <is>
          <t>Single Carrier (Band n50, 100MHz TDD)</t>
        </is>
      </c>
      <c r="Q1675" s="27">
        <f>ROUNDUP(O1675/'Methodology &amp; Assumptions'!$B$8, 0)</f>
        <v/>
      </c>
      <c r="R1675" s="27" t="n">
        <v>1</v>
      </c>
      <c r="S1675" s="26" t="n">
        <v>0.54</v>
      </c>
      <c r="T1675" s="26" t="n">
        <v>0.41</v>
      </c>
      <c r="U1675" s="11">
        <f>IF(S1675&lt;='Methodology &amp; Assumptions'!$B$10, "Direct Optical Drop (&lt;3km)", IF(S1675&lt;='Methodology &amp; Assumptions'!$B$9, "Near Optical / Microwave (&lt;5km)", "Starlink Business LEO Satellite Backhaul (&gt;5km)"))</f>
        <v/>
      </c>
      <c r="V1675" s="26" t="n">
        <v>46.98</v>
      </c>
      <c r="W1675" s="26" t="n">
        <v>68.52</v>
      </c>
      <c r="X1675" s="26">
        <f>ROUND(('Methodology &amp; Assumptions'!$B$5*V1675) + ('Methodology &amp; Assumptions'!$B$6*W1675), 2)</f>
        <v/>
      </c>
      <c r="Y1675" s="28" t="n">
        <v>10.9</v>
      </c>
      <c r="Z1675" s="11" t="inlineStr">
        <is>
          <t>Priority Tier 3 (Broadband Expansion)</t>
        </is>
      </c>
    </row>
    <row r="1676">
      <c r="A1676" s="23" t="n">
        <v>5</v>
      </c>
      <c r="B1676" s="23" t="n">
        <v>672</v>
      </c>
      <c r="C1676" s="23" t="n">
        <v>4672</v>
      </c>
      <c r="D1676" s="23" t="inlineStr">
        <is>
          <t>1380606215</t>
        </is>
      </c>
      <c r="E1676" s="11" t="inlineStr">
        <is>
          <t>National Capital Region (NCR)</t>
        </is>
      </c>
      <c r="F1676" s="11" t="inlineStr">
        <is>
          <t>First District (Not a Province)</t>
        </is>
      </c>
      <c r="G1676" s="11" t="inlineStr">
        <is>
          <t>City of Manila</t>
        </is>
      </c>
      <c r="H1676" s="11" t="inlineStr">
        <is>
          <t>Barangay 608</t>
        </is>
      </c>
      <c r="I1676" s="24" t="n">
        <v>14.591555</v>
      </c>
      <c r="J1676" s="24" t="n">
        <v>121.022806</v>
      </c>
      <c r="K1676" s="23" t="inlineStr">
        <is>
          <t>U</t>
        </is>
      </c>
      <c r="L1676" s="25" t="n">
        <v>821</v>
      </c>
      <c r="M1676" s="26" t="n">
        <v>4</v>
      </c>
      <c r="N1676" s="25">
        <f>ROUND(L1676/M1676, 0)</f>
        <v/>
      </c>
      <c r="O1676" s="25">
        <f>ROUND(N1676*'Methodology &amp; Assumptions'!$B$7, 0)</f>
        <v/>
      </c>
      <c r="P1676" s="23" t="inlineStr">
        <is>
          <t>Single Carrier (Band n50, 100MHz TDD)</t>
        </is>
      </c>
      <c r="Q1676" s="27">
        <f>ROUNDUP(O1676/'Methodology &amp; Assumptions'!$B$8, 0)</f>
        <v/>
      </c>
      <c r="R1676" s="27" t="n">
        <v>1</v>
      </c>
      <c r="S1676" s="26" t="n">
        <v>1.05</v>
      </c>
      <c r="T1676" s="26" t="n">
        <v>0.28</v>
      </c>
      <c r="U1676" s="11">
        <f>IF(S1676&lt;='Methodology &amp; Assumptions'!$B$10, "Direct Optical Drop (&lt;3km)", IF(S1676&lt;='Methodology &amp; Assumptions'!$B$9, "Near Optical / Microwave (&lt;5km)", "Starlink Business LEO Satellite Backhaul (&gt;5km)"))</f>
        <v/>
      </c>
      <c r="V1676" s="26" t="n">
        <v>46.94</v>
      </c>
      <c r="W1676" s="26" t="n">
        <v>68.56</v>
      </c>
      <c r="X1676" s="26">
        <f>ROUND(('Methodology &amp; Assumptions'!$B$5*V1676) + ('Methodology &amp; Assumptions'!$B$6*W1676), 2)</f>
        <v/>
      </c>
      <c r="Y1676" s="28" t="n">
        <v>10.9</v>
      </c>
      <c r="Z1676" s="11" t="inlineStr">
        <is>
          <t>Priority Tier 3 (Broadband Expansion)</t>
        </is>
      </c>
    </row>
    <row r="1677">
      <c r="A1677" s="23" t="n">
        <v>5</v>
      </c>
      <c r="B1677" s="23" t="n">
        <v>673</v>
      </c>
      <c r="C1677" s="23" t="n">
        <v>4673</v>
      </c>
      <c r="D1677" s="23" t="inlineStr">
        <is>
          <t>0806023014</t>
        </is>
      </c>
      <c r="E1677" s="11" t="inlineStr">
        <is>
          <t>Region VIII (Eastern Visayas)</t>
        </is>
      </c>
      <c r="F1677" s="11" t="inlineStr">
        <is>
          <t>Samar</t>
        </is>
      </c>
      <c r="G1677" s="11" t="inlineStr">
        <is>
          <t>Zumarraga</t>
        </is>
      </c>
      <c r="H1677" s="11" t="inlineStr">
        <is>
          <t>Monbon</t>
        </is>
      </c>
      <c r="I1677" s="24" t="n">
        <v>11.660373</v>
      </c>
      <c r="J1677" s="24" t="n">
        <v>124.836201</v>
      </c>
      <c r="K1677" s="23" t="inlineStr">
        <is>
          <t>R</t>
        </is>
      </c>
      <c r="L1677" s="25" t="n">
        <v>684</v>
      </c>
      <c r="M1677" s="26" t="n">
        <v>4.1</v>
      </c>
      <c r="N1677" s="25">
        <f>ROUND(L1677/M1677, 0)</f>
        <v/>
      </c>
      <c r="O1677" s="25">
        <f>ROUND(N1677*'Methodology &amp; Assumptions'!$B$7, 0)</f>
        <v/>
      </c>
      <c r="P1677" s="23" t="inlineStr">
        <is>
          <t>Single Carrier (Band n50, 100MHz TDD)</t>
        </is>
      </c>
      <c r="Q1677" s="27">
        <f>ROUNDUP(O1677/'Methodology &amp; Assumptions'!$B$8, 0)</f>
        <v/>
      </c>
      <c r="R1677" s="27" t="n">
        <v>1</v>
      </c>
      <c r="S1677" s="26" t="n">
        <v>43.17</v>
      </c>
      <c r="T1677" s="26" t="n">
        <v>43.1</v>
      </c>
      <c r="U1677" s="11">
        <f>IF(S1677&lt;='Methodology &amp; Assumptions'!$B$10, "Direct Optical Drop (&lt;3km)", IF(S1677&lt;='Methodology &amp; Assumptions'!$B$9, "Near Optical / Microwave (&lt;5km)", "Starlink Business LEO Satellite Backhaul (&gt;5km)"))</f>
        <v/>
      </c>
      <c r="V1677" s="26" t="n">
        <v>43.9</v>
      </c>
      <c r="W1677" s="26" t="n">
        <v>71.59999999999999</v>
      </c>
      <c r="X1677" s="26">
        <f>ROUND(('Methodology &amp; Assumptions'!$B$5*V1677) + ('Methodology &amp; Assumptions'!$B$6*W1677), 2)</f>
        <v/>
      </c>
      <c r="Y1677" s="28" t="n">
        <v>23.7</v>
      </c>
      <c r="Z1677" s="11" t="inlineStr">
        <is>
          <t>Priority Tier 3 (Broadband Expansion)</t>
        </is>
      </c>
    </row>
    <row r="1678">
      <c r="A1678" s="23" t="n">
        <v>5</v>
      </c>
      <c r="B1678" s="23" t="n">
        <v>674</v>
      </c>
      <c r="C1678" s="23" t="n">
        <v>4674</v>
      </c>
      <c r="D1678" s="23" t="inlineStr">
        <is>
          <t>1403214011</t>
        </is>
      </c>
      <c r="E1678" s="11" t="inlineStr">
        <is>
          <t>Cordillera Administrative Region (CAR)</t>
        </is>
      </c>
      <c r="F1678" s="11" t="inlineStr">
        <is>
          <t>Kalinga</t>
        </is>
      </c>
      <c r="G1678" s="11" t="inlineStr">
        <is>
          <t>Tanudan</t>
        </is>
      </c>
      <c r="H1678" s="11" t="inlineStr">
        <is>
          <t>Poblacion</t>
        </is>
      </c>
      <c r="I1678" s="24" t="n">
        <v>17.2859</v>
      </c>
      <c r="J1678" s="24" t="n">
        <v>121.313964</v>
      </c>
      <c r="K1678" s="23" t="inlineStr">
        <is>
          <t>R</t>
        </is>
      </c>
      <c r="L1678" s="25" t="n">
        <v>295</v>
      </c>
      <c r="M1678" s="26" t="n">
        <v>4.3</v>
      </c>
      <c r="N1678" s="25">
        <f>ROUND(L1678/M1678, 0)</f>
        <v/>
      </c>
      <c r="O1678" s="25">
        <f>ROUND(N1678*'Methodology &amp; Assumptions'!$B$7, 0)</f>
        <v/>
      </c>
      <c r="P1678" s="23" t="inlineStr">
        <is>
          <t>Single Carrier (Band n50, 100MHz TDD)</t>
        </is>
      </c>
      <c r="Q1678" s="27">
        <f>ROUNDUP(O1678/'Methodology &amp; Assumptions'!$B$8, 0)</f>
        <v/>
      </c>
      <c r="R1678" s="27" t="n">
        <v>1</v>
      </c>
      <c r="S1678" s="26" t="n">
        <v>15.66</v>
      </c>
      <c r="T1678" s="26" t="n">
        <v>12.93</v>
      </c>
      <c r="U1678" s="11">
        <f>IF(S1678&lt;='Methodology &amp; Assumptions'!$B$10, "Direct Optical Drop (&lt;3km)", IF(S1678&lt;='Methodology &amp; Assumptions'!$B$9, "Near Optical / Microwave (&lt;5km)", "Starlink Business LEO Satellite Backhaul (&gt;5km)"))</f>
        <v/>
      </c>
      <c r="V1678" s="26" t="n">
        <v>35.04</v>
      </c>
      <c r="W1678" s="26" t="n">
        <v>80.45</v>
      </c>
      <c r="X1678" s="26">
        <f>ROUND(('Methodology &amp; Assumptions'!$B$5*V1678) + ('Methodology &amp; Assumptions'!$B$6*W1678), 2)</f>
        <v/>
      </c>
      <c r="Y1678" s="28" t="n">
        <v>10.9</v>
      </c>
      <c r="Z1678" s="11" t="inlineStr">
        <is>
          <t>Priority Tier 3 (Broadband Expansion)</t>
        </is>
      </c>
    </row>
    <row r="1679">
      <c r="A1679" s="23" t="n">
        <v>5</v>
      </c>
      <c r="B1679" s="23" t="n">
        <v>675</v>
      </c>
      <c r="C1679" s="23" t="n">
        <v>4675</v>
      </c>
      <c r="D1679" s="23" t="inlineStr">
        <is>
          <t>1102403003</t>
        </is>
      </c>
      <c r="E1679" s="11" t="inlineStr">
        <is>
          <t>Region XI (Davao Region)</t>
        </is>
      </c>
      <c r="F1679" s="11" t="inlineStr">
        <is>
          <t>Davao del Sur</t>
        </is>
      </c>
      <c r="G1679" s="11" t="inlineStr">
        <is>
          <t>City of Digos</t>
        </is>
      </c>
      <c r="H1679" s="11" t="inlineStr">
        <is>
          <t>San Jose</t>
        </is>
      </c>
      <c r="I1679" s="24" t="n">
        <v>6.733199</v>
      </c>
      <c r="J1679" s="24" t="n">
        <v>125.354715</v>
      </c>
      <c r="K1679" s="23" t="inlineStr">
        <is>
          <t>U</t>
        </is>
      </c>
      <c r="L1679" s="25" t="n">
        <v>7263</v>
      </c>
      <c r="M1679" s="26" t="n">
        <v>3.4</v>
      </c>
      <c r="N1679" s="25">
        <f>ROUND(L1679/M1679, 0)</f>
        <v/>
      </c>
      <c r="O1679" s="25">
        <f>ROUND(N1679*'Methodology &amp; Assumptions'!$B$7, 0)</f>
        <v/>
      </c>
      <c r="P1679" s="23" t="inlineStr">
        <is>
          <t>Single Carrier (Band n50, 100MHz TDD)</t>
        </is>
      </c>
      <c r="Q1679" s="27">
        <f>ROUNDUP(O1679/'Methodology &amp; Assumptions'!$B$8, 0)</f>
        <v/>
      </c>
      <c r="R1679" s="27" t="n">
        <v>1</v>
      </c>
      <c r="S1679" s="26" t="n">
        <v>1.19</v>
      </c>
      <c r="T1679" s="26" t="n">
        <v>0.05</v>
      </c>
      <c r="U1679" s="11">
        <f>IF(S1679&lt;='Methodology &amp; Assumptions'!$B$10, "Direct Optical Drop (&lt;3km)", IF(S1679&lt;='Methodology &amp; Assumptions'!$B$9, "Near Optical / Microwave (&lt;5km)", "Starlink Business LEO Satellite Backhaul (&gt;5km)"))</f>
        <v/>
      </c>
      <c r="V1679" s="26" t="n">
        <v>78.51000000000001</v>
      </c>
      <c r="W1679" s="26" t="n">
        <v>36.96</v>
      </c>
      <c r="X1679" s="26">
        <f>ROUND(('Methodology &amp; Assumptions'!$B$5*V1679) + ('Methodology &amp; Assumptions'!$B$6*W1679), 2)</f>
        <v/>
      </c>
      <c r="Y1679" s="28" t="n">
        <v>17.4</v>
      </c>
      <c r="Z1679" s="11" t="inlineStr">
        <is>
          <t>Priority Tier 3 (Broadband Expansion)</t>
        </is>
      </c>
    </row>
    <row r="1680">
      <c r="A1680" s="23" t="n">
        <v>5</v>
      </c>
      <c r="B1680" s="23" t="n">
        <v>676</v>
      </c>
      <c r="C1680" s="23" t="n">
        <v>4676</v>
      </c>
      <c r="D1680" s="23" t="inlineStr">
        <is>
          <t>1907007050</t>
        </is>
      </c>
      <c r="E1680" s="11" t="inlineStr">
        <is>
          <t>Bangsamoro Autonomous Region In Muslim Mindanao (BARMM)</t>
        </is>
      </c>
      <c r="F1680" s="11" t="inlineStr">
        <is>
          <t>Tawi-Tawi</t>
        </is>
      </c>
      <c r="G1680" s="11" t="inlineStr">
        <is>
          <t>Tandubas</t>
        </is>
      </c>
      <c r="H1680" s="11" t="inlineStr">
        <is>
          <t>Tandubato</t>
        </is>
      </c>
      <c r="I1680" s="24" t="n">
        <v>5.207469</v>
      </c>
      <c r="J1680" s="24" t="n">
        <v>120.29742</v>
      </c>
      <c r="K1680" s="23" t="inlineStr">
        <is>
          <t>R</t>
        </is>
      </c>
      <c r="L1680" s="25" t="n">
        <v>1801</v>
      </c>
      <c r="M1680" s="26" t="n">
        <v>5.8</v>
      </c>
      <c r="N1680" s="25">
        <f>ROUND(L1680/M1680, 0)</f>
        <v/>
      </c>
      <c r="O1680" s="25">
        <f>ROUND(N1680*'Methodology &amp; Assumptions'!$B$7, 0)</f>
        <v/>
      </c>
      <c r="P1680" s="23" t="inlineStr">
        <is>
          <t>Single Carrier (Band n50, 100MHz TDD)</t>
        </is>
      </c>
      <c r="Q1680" s="27">
        <f>ROUNDUP(O1680/'Methodology &amp; Assumptions'!$B$8, 0)</f>
        <v/>
      </c>
      <c r="R1680" s="27" t="n">
        <v>1</v>
      </c>
      <c r="S1680" s="26" t="n">
        <v>272.82</v>
      </c>
      <c r="T1680" s="26" t="n">
        <v>272.82</v>
      </c>
      <c r="U1680" s="11">
        <f>IF(S1680&lt;='Methodology &amp; Assumptions'!$B$10, "Direct Optical Drop (&lt;3km)", IF(S1680&lt;='Methodology &amp; Assumptions'!$B$9, "Near Optical / Microwave (&lt;5km)", "Starlink Business LEO Satellite Backhaul (&gt;5km)"))</f>
        <v/>
      </c>
      <c r="V1680" s="26" t="n">
        <v>41.02</v>
      </c>
      <c r="W1680" s="26" t="n">
        <v>74.45999999999999</v>
      </c>
      <c r="X1680" s="26">
        <f>ROUND(('Methodology &amp; Assumptions'!$B$5*V1680) + ('Methodology &amp; Assumptions'!$B$6*W1680), 2)</f>
        <v/>
      </c>
      <c r="Y1680" s="28" t="n">
        <v>11</v>
      </c>
      <c r="Z1680" s="11" t="inlineStr">
        <is>
          <t>Priority Tier 3 (Broadband Expansion)</t>
        </is>
      </c>
    </row>
    <row r="1681">
      <c r="A1681" s="23" t="n">
        <v>5</v>
      </c>
      <c r="B1681" s="23" t="n">
        <v>677</v>
      </c>
      <c r="C1681" s="23" t="n">
        <v>4677</v>
      </c>
      <c r="D1681" s="23" t="inlineStr">
        <is>
          <t>0600410007</t>
        </is>
      </c>
      <c r="E1681" s="11" t="inlineStr">
        <is>
          <t>Region VI (Western Visayas)</t>
        </is>
      </c>
      <c r="F1681" s="11" t="inlineStr">
        <is>
          <t>Aklan</t>
        </is>
      </c>
      <c r="G1681" s="11" t="inlineStr">
        <is>
          <t>Madalag</t>
        </is>
      </c>
      <c r="H1681" s="11" t="inlineStr">
        <is>
          <t>Catabana</t>
        </is>
      </c>
      <c r="I1681" s="24" t="n">
        <v>11.461014</v>
      </c>
      <c r="J1681" s="24" t="n">
        <v>122.173548</v>
      </c>
      <c r="K1681" s="23" t="inlineStr">
        <is>
          <t>R</t>
        </is>
      </c>
      <c r="L1681" s="25" t="n">
        <v>465</v>
      </c>
      <c r="M1681" s="26" t="n">
        <v>3.9</v>
      </c>
      <c r="N1681" s="25">
        <f>ROUND(L1681/M1681, 0)</f>
        <v/>
      </c>
      <c r="O1681" s="25">
        <f>ROUND(N1681*'Methodology &amp; Assumptions'!$B$7, 0)</f>
        <v/>
      </c>
      <c r="P1681" s="23" t="inlineStr">
        <is>
          <t>Single Carrier (Band n50, 100MHz TDD)</t>
        </is>
      </c>
      <c r="Q1681" s="27">
        <f>ROUNDUP(O1681/'Methodology &amp; Assumptions'!$B$8, 0)</f>
        <v/>
      </c>
      <c r="R1681" s="27" t="n">
        <v>1</v>
      </c>
      <c r="S1681" s="26" t="n">
        <v>22.45</v>
      </c>
      <c r="T1681" s="26" t="n">
        <v>23.77</v>
      </c>
      <c r="U1681" s="11">
        <f>IF(S1681&lt;='Methodology &amp; Assumptions'!$B$10, "Direct Optical Drop (&lt;3km)", IF(S1681&lt;='Methodology &amp; Assumptions'!$B$9, "Near Optical / Microwave (&lt;5km)", "Starlink Business LEO Satellite Backhaul (&gt;5km)"))</f>
        <v/>
      </c>
      <c r="V1681" s="26" t="n">
        <v>39.86</v>
      </c>
      <c r="W1681" s="26" t="n">
        <v>75.63</v>
      </c>
      <c r="X1681" s="26">
        <f>ROUND(('Methodology &amp; Assumptions'!$B$5*V1681) + ('Methodology &amp; Assumptions'!$B$6*W1681), 2)</f>
        <v/>
      </c>
      <c r="Y1681" s="28" t="n">
        <v>23.7</v>
      </c>
      <c r="Z1681" s="11" t="inlineStr">
        <is>
          <t>Priority Tier 3 (Broadband Expansion)</t>
        </is>
      </c>
    </row>
    <row r="1682">
      <c r="A1682" s="23" t="n">
        <v>5</v>
      </c>
      <c r="B1682" s="23" t="n">
        <v>678</v>
      </c>
      <c r="C1682" s="23" t="n">
        <v>4678</v>
      </c>
      <c r="D1682" s="23" t="inlineStr">
        <is>
          <t>0806412017</t>
        </is>
      </c>
      <c r="E1682" s="11" t="inlineStr">
        <is>
          <t>Region VIII (Eastern Visayas)</t>
        </is>
      </c>
      <c r="F1682" s="11" t="inlineStr">
        <is>
          <t>Southern Leyte</t>
        </is>
      </c>
      <c r="G1682" s="11" t="inlineStr">
        <is>
          <t>Saint Bernard</t>
        </is>
      </c>
      <c r="H1682" s="11" t="inlineStr">
        <is>
          <t>Magatas</t>
        </is>
      </c>
      <c r="I1682" s="24" t="n">
        <v>10.337216</v>
      </c>
      <c r="J1682" s="24" t="n">
        <v>125.101746</v>
      </c>
      <c r="K1682" s="23" t="inlineStr">
        <is>
          <t>R</t>
        </is>
      </c>
      <c r="L1682" s="25" t="n">
        <v>89</v>
      </c>
      <c r="M1682" s="26" t="n">
        <v>4.1</v>
      </c>
      <c r="N1682" s="25">
        <f>ROUND(L1682/M1682, 0)</f>
        <v/>
      </c>
      <c r="O1682" s="25">
        <f>ROUND(N1682*'Methodology &amp; Assumptions'!$B$7, 0)</f>
        <v/>
      </c>
      <c r="P1682" s="23" t="inlineStr">
        <is>
          <t>Single Carrier (Band n50, 100MHz TDD)</t>
        </is>
      </c>
      <c r="Q1682" s="27">
        <f>ROUNDUP(O1682/'Methodology &amp; Assumptions'!$B$8, 0)</f>
        <v/>
      </c>
      <c r="R1682" s="27" t="n">
        <v>1</v>
      </c>
      <c r="S1682" s="26" t="n">
        <v>14.14</v>
      </c>
      <c r="T1682" s="26" t="n">
        <v>13.57</v>
      </c>
      <c r="U1682" s="11">
        <f>IF(S1682&lt;='Methodology &amp; Assumptions'!$B$10, "Direct Optical Drop (&lt;3km)", IF(S1682&lt;='Methodology &amp; Assumptions'!$B$9, "Near Optical / Microwave (&lt;5km)", "Starlink Business LEO Satellite Backhaul (&gt;5km)"))</f>
        <v/>
      </c>
      <c r="V1682" s="26" t="n">
        <v>37.64</v>
      </c>
      <c r="W1682" s="26" t="n">
        <v>77.84</v>
      </c>
      <c r="X1682" s="26">
        <f>ROUND(('Methodology &amp; Assumptions'!$B$5*V1682) + ('Methodology &amp; Assumptions'!$B$6*W1682), 2)</f>
        <v/>
      </c>
      <c r="Y1682" s="28" t="n">
        <v>23.7</v>
      </c>
      <c r="Z1682" s="11" t="inlineStr">
        <is>
          <t>Priority Tier 3 (Broadband Expansion)</t>
        </is>
      </c>
    </row>
    <row r="1683">
      <c r="A1683" s="23" t="n">
        <v>5</v>
      </c>
      <c r="B1683" s="23" t="n">
        <v>679</v>
      </c>
      <c r="C1683" s="23" t="n">
        <v>4679</v>
      </c>
      <c r="D1683" s="23" t="inlineStr">
        <is>
          <t>0203111013</t>
        </is>
      </c>
      <c r="E1683" s="11" t="inlineStr">
        <is>
          <t>Region II (Cagayan Valley)</t>
        </is>
      </c>
      <c r="F1683" s="11" t="inlineStr">
        <is>
          <t>Isabela</t>
        </is>
      </c>
      <c r="G1683" s="11" t="inlineStr">
        <is>
          <t>Divilacan</t>
        </is>
      </c>
      <c r="H1683" s="11" t="inlineStr">
        <is>
          <t>Ditarum</t>
        </is>
      </c>
      <c r="I1683" s="24" t="n">
        <v>17.266126</v>
      </c>
      <c r="J1683" s="24" t="n">
        <v>122.117826</v>
      </c>
      <c r="K1683" s="23" t="inlineStr">
        <is>
          <t>R</t>
        </is>
      </c>
      <c r="L1683" s="25" t="n">
        <v>351</v>
      </c>
      <c r="M1683" s="26" t="n">
        <v>3.8</v>
      </c>
      <c r="N1683" s="25">
        <f>ROUND(L1683/M1683, 0)</f>
        <v/>
      </c>
      <c r="O1683" s="25">
        <f>ROUND(N1683*'Methodology &amp; Assumptions'!$B$7, 0)</f>
        <v/>
      </c>
      <c r="P1683" s="23" t="inlineStr">
        <is>
          <t>Single Carrier (Band n50, 100MHz TDD)</t>
        </is>
      </c>
      <c r="Q1683" s="27">
        <f>ROUNDUP(O1683/'Methodology &amp; Assumptions'!$B$8, 0)</f>
        <v/>
      </c>
      <c r="R1683" s="27" t="n">
        <v>1</v>
      </c>
      <c r="S1683" s="26" t="n">
        <v>22.78</v>
      </c>
      <c r="T1683" s="26" t="n">
        <v>23.81</v>
      </c>
      <c r="U1683" s="11">
        <f>IF(S1683&lt;='Methodology &amp; Assumptions'!$B$10, "Direct Optical Drop (&lt;3km)", IF(S1683&lt;='Methodology &amp; Assumptions'!$B$9, "Near Optical / Microwave (&lt;5km)", "Starlink Business LEO Satellite Backhaul (&gt;5km)"))</f>
        <v/>
      </c>
      <c r="V1683" s="26" t="n">
        <v>36.81</v>
      </c>
      <c r="W1683" s="26" t="n">
        <v>78.67</v>
      </c>
      <c r="X1683" s="26">
        <f>ROUND(('Methodology &amp; Assumptions'!$B$5*V1683) + ('Methodology &amp; Assumptions'!$B$6*W1683), 2)</f>
        <v/>
      </c>
      <c r="Y1683" s="28" t="n">
        <v>8.300000000000001</v>
      </c>
      <c r="Z1683" s="11" t="inlineStr">
        <is>
          <t>Priority Tier 3 (Broadband Expansion)</t>
        </is>
      </c>
    </row>
    <row r="1684">
      <c r="A1684" s="23" t="n">
        <v>5</v>
      </c>
      <c r="B1684" s="23" t="n">
        <v>680</v>
      </c>
      <c r="C1684" s="23" t="n">
        <v>4680</v>
      </c>
      <c r="D1684" s="23" t="inlineStr">
        <is>
          <t>0405645017</t>
        </is>
      </c>
      <c r="E1684" s="11" t="inlineStr">
        <is>
          <t>Region IV-A (CALABARZON)</t>
        </is>
      </c>
      <c r="F1684" s="11" t="inlineStr">
        <is>
          <t>Quezon</t>
        </is>
      </c>
      <c r="G1684" s="11" t="inlineStr">
        <is>
          <t>Sariaya</t>
        </is>
      </c>
      <c r="H1684" s="11" t="inlineStr">
        <is>
          <t>Guisguis-Talon</t>
        </is>
      </c>
      <c r="I1684" s="24" t="n">
        <v>13.868597</v>
      </c>
      <c r="J1684" s="24" t="n">
        <v>121.504411</v>
      </c>
      <c r="K1684" s="23" t="inlineStr">
        <is>
          <t>R</t>
        </is>
      </c>
      <c r="L1684" s="25" t="n">
        <v>3907</v>
      </c>
      <c r="M1684" s="26" t="n">
        <v>3.8</v>
      </c>
      <c r="N1684" s="25">
        <f>ROUND(L1684/M1684, 0)</f>
        <v/>
      </c>
      <c r="O1684" s="25">
        <f>ROUND(N1684*'Methodology &amp; Assumptions'!$B$7, 0)</f>
        <v/>
      </c>
      <c r="P1684" s="23" t="inlineStr">
        <is>
          <t>Single Carrier (Band n50, 100MHz TDD)</t>
        </is>
      </c>
      <c r="Q1684" s="27">
        <f>ROUNDUP(O1684/'Methodology &amp; Assumptions'!$B$8, 0)</f>
        <v/>
      </c>
      <c r="R1684" s="27" t="n">
        <v>1</v>
      </c>
      <c r="S1684" s="26" t="n">
        <v>0.91</v>
      </c>
      <c r="T1684" s="26" t="n">
        <v>0.98</v>
      </c>
      <c r="U1684" s="11">
        <f>IF(S1684&lt;='Methodology &amp; Assumptions'!$B$10, "Direct Optical Drop (&lt;3km)", IF(S1684&lt;='Methodology &amp; Assumptions'!$B$9, "Near Optical / Microwave (&lt;5km)", "Starlink Business LEO Satellite Backhaul (&gt;5km)"))</f>
        <v/>
      </c>
      <c r="V1684" s="26" t="n">
        <v>85.20999999999999</v>
      </c>
      <c r="W1684" s="26" t="n">
        <v>30.26</v>
      </c>
      <c r="X1684" s="26">
        <f>ROUND(('Methodology &amp; Assumptions'!$B$5*V1684) + ('Methodology &amp; Assumptions'!$B$6*W1684), 2)</f>
        <v/>
      </c>
      <c r="Y1684" s="28" t="n">
        <v>7.2</v>
      </c>
      <c r="Z1684" s="11" t="inlineStr">
        <is>
          <t>Priority Tier 3 (Broadband Expansion)</t>
        </is>
      </c>
    </row>
    <row r="1685">
      <c r="A1685" s="23" t="n">
        <v>5</v>
      </c>
      <c r="B1685" s="23" t="n">
        <v>681</v>
      </c>
      <c r="C1685" s="23" t="n">
        <v>4681</v>
      </c>
      <c r="D1685" s="23" t="inlineStr">
        <is>
          <t>0401029002</t>
        </is>
      </c>
      <c r="E1685" s="11" t="inlineStr">
        <is>
          <t>Region IV-A (CALABARZON)</t>
        </is>
      </c>
      <c r="F1685" s="11" t="inlineStr">
        <is>
          <t>Batangas</t>
        </is>
      </c>
      <c r="G1685" s="11" t="inlineStr">
        <is>
          <t>Taal</t>
        </is>
      </c>
      <c r="H1685" s="11" t="inlineStr">
        <is>
          <t>Balisong</t>
        </is>
      </c>
      <c r="I1685" s="24" t="n">
        <v>13.88101</v>
      </c>
      <c r="J1685" s="24" t="n">
        <v>120.935543</v>
      </c>
      <c r="K1685" s="23" t="inlineStr">
        <is>
          <t>R</t>
        </is>
      </c>
      <c r="L1685" s="25" t="n">
        <v>3638</v>
      </c>
      <c r="M1685" s="26" t="n">
        <v>3.6</v>
      </c>
      <c r="N1685" s="25">
        <f>ROUND(L1685/M1685, 0)</f>
        <v/>
      </c>
      <c r="O1685" s="25">
        <f>ROUND(N1685*'Methodology &amp; Assumptions'!$B$7, 0)</f>
        <v/>
      </c>
      <c r="P1685" s="23" t="inlineStr">
        <is>
          <t>Single Carrier (Band n50, 100MHz TDD)</t>
        </is>
      </c>
      <c r="Q1685" s="27">
        <f>ROUNDUP(O1685/'Methodology &amp; Assumptions'!$B$8, 0)</f>
        <v/>
      </c>
      <c r="R1685" s="27" t="n">
        <v>1</v>
      </c>
      <c r="S1685" s="26" t="n">
        <v>2.09</v>
      </c>
      <c r="T1685" s="26" t="n">
        <v>0.75</v>
      </c>
      <c r="U1685" s="11">
        <f>IF(S1685&lt;='Methodology &amp; Assumptions'!$B$10, "Direct Optical Drop (&lt;3km)", IF(S1685&lt;='Methodology &amp; Assumptions'!$B$9, "Near Optical / Microwave (&lt;5km)", "Starlink Business LEO Satellite Backhaul (&gt;5km)"))</f>
        <v/>
      </c>
      <c r="V1685" s="26" t="n">
        <v>80.93000000000001</v>
      </c>
      <c r="W1685" s="26" t="n">
        <v>34.53</v>
      </c>
      <c r="X1685" s="26">
        <f>ROUND(('Methodology &amp; Assumptions'!$B$5*V1685) + ('Methodology &amp; Assumptions'!$B$6*W1685), 2)</f>
        <v/>
      </c>
      <c r="Y1685" s="28" t="n">
        <v>7.2</v>
      </c>
      <c r="Z1685" s="11" t="inlineStr">
        <is>
          <t>Priority Tier 3 (Broadband Expansion)</t>
        </is>
      </c>
    </row>
    <row r="1686">
      <c r="A1686" s="23" t="n">
        <v>5</v>
      </c>
      <c r="B1686" s="23" t="n">
        <v>682</v>
      </c>
      <c r="C1686" s="23" t="n">
        <v>4682</v>
      </c>
      <c r="D1686" s="23" t="inlineStr">
        <is>
          <t>0500517044</t>
        </is>
      </c>
      <c r="E1686" s="11" t="inlineStr">
        <is>
          <t>Region V (Bicol Region)</t>
        </is>
      </c>
      <c r="F1686" s="11" t="inlineStr">
        <is>
          <t>Albay</t>
        </is>
      </c>
      <c r="G1686" s="11" t="inlineStr">
        <is>
          <t>City of Tabaco</t>
        </is>
      </c>
      <c r="H1686" s="11" t="inlineStr">
        <is>
          <t>Santo Cristo</t>
        </is>
      </c>
      <c r="I1686" s="24" t="n">
        <v>13.35753</v>
      </c>
      <c r="J1686" s="24" t="n">
        <v>123.73431</v>
      </c>
      <c r="K1686" s="23" t="inlineStr">
        <is>
          <t>U</t>
        </is>
      </c>
      <c r="L1686" s="25" t="n">
        <v>5563</v>
      </c>
      <c r="M1686" s="26" t="n">
        <v>4.1</v>
      </c>
      <c r="N1686" s="25">
        <f>ROUND(L1686/M1686, 0)</f>
        <v/>
      </c>
      <c r="O1686" s="25">
        <f>ROUND(N1686*'Methodology &amp; Assumptions'!$B$7, 0)</f>
        <v/>
      </c>
      <c r="P1686" s="23" t="inlineStr">
        <is>
          <t>Single Carrier (Band n50, 100MHz TDD)</t>
        </is>
      </c>
      <c r="Q1686" s="27">
        <f>ROUNDUP(O1686/'Methodology &amp; Assumptions'!$B$8, 0)</f>
        <v/>
      </c>
      <c r="R1686" s="27" t="n">
        <v>1</v>
      </c>
      <c r="S1686" s="26" t="n">
        <v>0.62</v>
      </c>
      <c r="T1686" s="26" t="n">
        <v>0.45</v>
      </c>
      <c r="U1686" s="11">
        <f>IF(S1686&lt;='Methodology &amp; Assumptions'!$B$10, "Direct Optical Drop (&lt;3km)", IF(S1686&lt;='Methodology &amp; Assumptions'!$B$9, "Near Optical / Microwave (&lt;5km)", "Starlink Business LEO Satellite Backhaul (&gt;5km)"))</f>
        <v/>
      </c>
      <c r="V1686" s="26" t="n">
        <v>80.86</v>
      </c>
      <c r="W1686" s="26" t="n">
        <v>34.61</v>
      </c>
      <c r="X1686" s="26">
        <f>ROUND(('Methodology &amp; Assumptions'!$B$5*V1686) + ('Methodology &amp; Assumptions'!$B$6*W1686), 2)</f>
        <v/>
      </c>
      <c r="Y1686" s="28" t="n">
        <v>23.7</v>
      </c>
      <c r="Z1686" s="11" t="inlineStr">
        <is>
          <t>Priority Tier 3 (Broadband Expansion)</t>
        </is>
      </c>
    </row>
    <row r="1687">
      <c r="A1687" s="23" t="n">
        <v>5</v>
      </c>
      <c r="B1687" s="23" t="n">
        <v>683</v>
      </c>
      <c r="C1687" s="23" t="n">
        <v>4683</v>
      </c>
      <c r="D1687" s="23" t="inlineStr">
        <is>
          <t>0405622089</t>
        </is>
      </c>
      <c r="E1687" s="11" t="inlineStr">
        <is>
          <t>Region IV-A (CALABARZON)</t>
        </is>
      </c>
      <c r="F1687" s="11" t="inlineStr">
        <is>
          <t>Quezon</t>
        </is>
      </c>
      <c r="G1687" s="11" t="inlineStr">
        <is>
          <t>Lopez</t>
        </is>
      </c>
      <c r="H1687" s="11" t="inlineStr">
        <is>
          <t>Villa Aurora</t>
        </is>
      </c>
      <c r="I1687" s="24" t="n">
        <v>13.855756</v>
      </c>
      <c r="J1687" s="24" t="n">
        <v>122.375848</v>
      </c>
      <c r="K1687" s="23" t="inlineStr">
        <is>
          <t>R</t>
        </is>
      </c>
      <c r="L1687" s="25" t="n">
        <v>820</v>
      </c>
      <c r="M1687" s="26" t="n">
        <v>3.8</v>
      </c>
      <c r="N1687" s="25">
        <f>ROUND(L1687/M1687, 0)</f>
        <v/>
      </c>
      <c r="O1687" s="25">
        <f>ROUND(N1687*'Methodology &amp; Assumptions'!$B$7, 0)</f>
        <v/>
      </c>
      <c r="P1687" s="23" t="inlineStr">
        <is>
          <t>Single Carrier (Band n50, 100MHz TDD)</t>
        </is>
      </c>
      <c r="Q1687" s="27">
        <f>ROUNDUP(O1687/'Methodology &amp; Assumptions'!$B$8, 0)</f>
        <v/>
      </c>
      <c r="R1687" s="27" t="n">
        <v>1</v>
      </c>
      <c r="S1687" s="26" t="n">
        <v>9.56</v>
      </c>
      <c r="T1687" s="26" t="n">
        <v>2.8</v>
      </c>
      <c r="U1687" s="11">
        <f>IF(S1687&lt;='Methodology &amp; Assumptions'!$B$10, "Direct Optical Drop (&lt;3km)", IF(S1687&lt;='Methodology &amp; Assumptions'!$B$9, "Near Optical / Microwave (&lt;5km)", "Starlink Business LEO Satellite Backhaul (&gt;5km)"))</f>
        <v/>
      </c>
      <c r="V1687" s="26" t="n">
        <v>45.74</v>
      </c>
      <c r="W1687" s="26" t="n">
        <v>69.70999999999999</v>
      </c>
      <c r="X1687" s="26">
        <f>ROUND(('Methodology &amp; Assumptions'!$B$5*V1687) + ('Methodology &amp; Assumptions'!$B$6*W1687), 2)</f>
        <v/>
      </c>
      <c r="Y1687" s="28" t="n">
        <v>7.2</v>
      </c>
      <c r="Z1687" s="11" t="inlineStr">
        <is>
          <t>Priority Tier 3 (Broadband Expansion)</t>
        </is>
      </c>
    </row>
    <row r="1688">
      <c r="A1688" s="23" t="n">
        <v>5</v>
      </c>
      <c r="B1688" s="23" t="n">
        <v>684</v>
      </c>
      <c r="C1688" s="23" t="n">
        <v>4684</v>
      </c>
      <c r="D1688" s="23" t="inlineStr">
        <is>
          <t>1380608005</t>
        </is>
      </c>
      <c r="E1688" s="11" t="inlineStr">
        <is>
          <t>National Capital Region (NCR)</t>
        </is>
      </c>
      <c r="F1688" s="11" t="inlineStr">
        <is>
          <t>First District (Not a Province)</t>
        </is>
      </c>
      <c r="G1688" s="11" t="inlineStr">
        <is>
          <t>City of Manila</t>
        </is>
      </c>
      <c r="H1688" s="11" t="inlineStr">
        <is>
          <t>Barangay 661</t>
        </is>
      </c>
      <c r="I1688" s="24" t="n">
        <v>14.587979</v>
      </c>
      <c r="J1688" s="24" t="n">
        <v>120.987991</v>
      </c>
      <c r="K1688" s="23" t="inlineStr">
        <is>
          <t>U</t>
        </is>
      </c>
      <c r="L1688" s="25" t="n">
        <v>486</v>
      </c>
      <c r="M1688" s="26" t="n">
        <v>4.23</v>
      </c>
      <c r="N1688" s="25">
        <f>ROUND(L1688/M1688, 0)</f>
        <v/>
      </c>
      <c r="O1688" s="25">
        <f>ROUND(N1688*'Methodology &amp; Assumptions'!$B$7, 0)</f>
        <v/>
      </c>
      <c r="P1688" s="23" t="inlineStr">
        <is>
          <t>Single Carrier (Band n50, 100MHz TDD)</t>
        </is>
      </c>
      <c r="Q1688" s="27">
        <f>ROUNDUP(O1688/'Methodology &amp; Assumptions'!$B$8, 0)</f>
        <v/>
      </c>
      <c r="R1688" s="27" t="n">
        <v>1</v>
      </c>
      <c r="S1688" s="26" t="n">
        <v>0.49</v>
      </c>
      <c r="T1688" s="26" t="n">
        <v>0.13</v>
      </c>
      <c r="U1688" s="11">
        <f>IF(S1688&lt;='Methodology &amp; Assumptions'!$B$10, "Direct Optical Drop (&lt;3km)", IF(S1688&lt;='Methodology &amp; Assumptions'!$B$9, "Near Optical / Microwave (&lt;5km)", "Starlink Business LEO Satellite Backhaul (&gt;5km)"))</f>
        <v/>
      </c>
      <c r="V1688" s="26" t="n">
        <v>44.73</v>
      </c>
      <c r="W1688" s="26" t="n">
        <v>70.72</v>
      </c>
      <c r="X1688" s="26">
        <f>ROUND(('Methodology &amp; Assumptions'!$B$5*V1688) + ('Methodology &amp; Assumptions'!$B$6*W1688), 2)</f>
        <v/>
      </c>
      <c r="Y1688" s="28" t="n">
        <v>10.9</v>
      </c>
      <c r="Z1688" s="11" t="inlineStr">
        <is>
          <t>Priority Tier 3 (Broadband Expansion)</t>
        </is>
      </c>
    </row>
    <row r="1689">
      <c r="A1689" s="23" t="n">
        <v>5</v>
      </c>
      <c r="B1689" s="23" t="n">
        <v>685</v>
      </c>
      <c r="C1689" s="23" t="n">
        <v>4685</v>
      </c>
      <c r="D1689" s="23" t="inlineStr">
        <is>
          <t>0806008010</t>
        </is>
      </c>
      <c r="E1689" s="11" t="inlineStr">
        <is>
          <t>Region VIII (Eastern Visayas)</t>
        </is>
      </c>
      <c r="F1689" s="11" t="inlineStr">
        <is>
          <t>Samar</t>
        </is>
      </c>
      <c r="G1689" s="11" t="inlineStr">
        <is>
          <t>Hinabangan</t>
        </is>
      </c>
      <c r="H1689" s="11" t="inlineStr">
        <is>
          <t>Osmeña</t>
        </is>
      </c>
      <c r="I1689" s="24" t="n">
        <v>11.705246</v>
      </c>
      <c r="J1689" s="24" t="n">
        <v>125.047076</v>
      </c>
      <c r="K1689" s="23" t="inlineStr">
        <is>
          <t>R</t>
        </is>
      </c>
      <c r="L1689" s="25" t="n">
        <v>494</v>
      </c>
      <c r="M1689" s="26" t="n">
        <v>4.1</v>
      </c>
      <c r="N1689" s="25">
        <f>ROUND(L1689/M1689, 0)</f>
        <v/>
      </c>
      <c r="O1689" s="25">
        <f>ROUND(N1689*'Methodology &amp; Assumptions'!$B$7, 0)</f>
        <v/>
      </c>
      <c r="P1689" s="23" t="inlineStr">
        <is>
          <t>Single Carrier (Band n50, 100MHz TDD)</t>
        </is>
      </c>
      <c r="Q1689" s="27">
        <f>ROUNDUP(O1689/'Methodology &amp; Assumptions'!$B$8, 0)</f>
        <v/>
      </c>
      <c r="R1689" s="27" t="n">
        <v>1</v>
      </c>
      <c r="S1689" s="26" t="n">
        <v>52</v>
      </c>
      <c r="T1689" s="26" t="n">
        <v>54.95</v>
      </c>
      <c r="U1689" s="11">
        <f>IF(S1689&lt;='Methodology &amp; Assumptions'!$B$10, "Direct Optical Drop (&lt;3km)", IF(S1689&lt;='Methodology &amp; Assumptions'!$B$9, "Near Optical / Microwave (&lt;5km)", "Starlink Business LEO Satellite Backhaul (&gt;5km)"))</f>
        <v/>
      </c>
      <c r="V1689" s="26" t="n">
        <v>39.86</v>
      </c>
      <c r="W1689" s="26" t="n">
        <v>75.61</v>
      </c>
      <c r="X1689" s="26">
        <f>ROUND(('Methodology &amp; Assumptions'!$B$5*V1689) + ('Methodology &amp; Assumptions'!$B$6*W1689), 2)</f>
        <v/>
      </c>
      <c r="Y1689" s="28" t="n">
        <v>23.7</v>
      </c>
      <c r="Z1689" s="11" t="inlineStr">
        <is>
          <t>Priority Tier 3 (Broadband Expansion)</t>
        </is>
      </c>
    </row>
    <row r="1690">
      <c r="A1690" s="23" t="n">
        <v>5</v>
      </c>
      <c r="B1690" s="23" t="n">
        <v>686</v>
      </c>
      <c r="C1690" s="23" t="n">
        <v>4686</v>
      </c>
      <c r="D1690" s="23" t="inlineStr">
        <is>
          <t>0506209025</t>
        </is>
      </c>
      <c r="E1690" s="11" t="inlineStr">
        <is>
          <t>Region V (Bicol Region)</t>
        </is>
      </c>
      <c r="F1690" s="11" t="inlineStr">
        <is>
          <t>Sorsogon</t>
        </is>
      </c>
      <c r="G1690" s="11" t="inlineStr">
        <is>
          <t>Irosin</t>
        </is>
      </c>
      <c r="H1690" s="11" t="inlineStr">
        <is>
          <t>San Pedro</t>
        </is>
      </c>
      <c r="I1690" s="24" t="n">
        <v>12.704589</v>
      </c>
      <c r="J1690" s="24" t="n">
        <v>124.029986</v>
      </c>
      <c r="K1690" s="23" t="inlineStr">
        <is>
          <t>R</t>
        </is>
      </c>
      <c r="L1690" s="25" t="n">
        <v>3332</v>
      </c>
      <c r="M1690" s="26" t="n">
        <v>4</v>
      </c>
      <c r="N1690" s="25">
        <f>ROUND(L1690/M1690, 0)</f>
        <v/>
      </c>
      <c r="O1690" s="25">
        <f>ROUND(N1690*'Methodology &amp; Assumptions'!$B$7, 0)</f>
        <v/>
      </c>
      <c r="P1690" s="23" t="inlineStr">
        <is>
          <t>Single Carrier (Band n50, 100MHz TDD)</t>
        </is>
      </c>
      <c r="Q1690" s="27">
        <f>ROUNDUP(O1690/'Methodology &amp; Assumptions'!$B$8, 0)</f>
        <v/>
      </c>
      <c r="R1690" s="27" t="n">
        <v>1</v>
      </c>
      <c r="S1690" s="26" t="n">
        <v>0.66</v>
      </c>
      <c r="T1690" s="26" t="n">
        <v>0.02</v>
      </c>
      <c r="U1690" s="11">
        <f>IF(S1690&lt;='Methodology &amp; Assumptions'!$B$10, "Direct Optical Drop (&lt;3km)", IF(S1690&lt;='Methodology &amp; Assumptions'!$B$9, "Near Optical / Microwave (&lt;5km)", "Starlink Business LEO Satellite Backhaul (&gt;5km)"))</f>
        <v/>
      </c>
      <c r="V1690" s="26" t="n">
        <v>86.8</v>
      </c>
      <c r="W1690" s="26" t="n">
        <v>28.63</v>
      </c>
      <c r="X1690" s="26">
        <f>ROUND(('Methodology &amp; Assumptions'!$B$5*V1690) + ('Methodology &amp; Assumptions'!$B$6*W1690), 2)</f>
        <v/>
      </c>
      <c r="Y1690" s="28" t="n">
        <v>23.7</v>
      </c>
      <c r="Z1690" s="11" t="inlineStr">
        <is>
          <t>Priority Tier 3 (Broadband Expansion)</t>
        </is>
      </c>
    </row>
    <row r="1691">
      <c r="A1691" s="23" t="n">
        <v>5</v>
      </c>
      <c r="B1691" s="23" t="n">
        <v>687</v>
      </c>
      <c r="C1691" s="23" t="n">
        <v>4687</v>
      </c>
      <c r="D1691" s="23" t="inlineStr">
        <is>
          <t>0701233001</t>
        </is>
      </c>
      <c r="E1691" s="11" t="inlineStr">
        <is>
          <t>Region VII (Central Visayas)</t>
        </is>
      </c>
      <c r="F1691" s="11" t="inlineStr">
        <is>
          <t>Bohol</t>
        </is>
      </c>
      <c r="G1691" s="11" t="inlineStr">
        <is>
          <t>Panglao</t>
        </is>
      </c>
      <c r="H1691" s="11" t="inlineStr">
        <is>
          <t>Bil-isan</t>
        </is>
      </c>
      <c r="I1691" s="24" t="n">
        <v>9.598637999999999</v>
      </c>
      <c r="J1691" s="24" t="n">
        <v>123.761346</v>
      </c>
      <c r="K1691" s="23" t="inlineStr">
        <is>
          <t>R</t>
        </is>
      </c>
      <c r="L1691" s="25" t="n">
        <v>4041</v>
      </c>
      <c r="M1691" s="26" t="n">
        <v>4</v>
      </c>
      <c r="N1691" s="25">
        <f>ROUND(L1691/M1691, 0)</f>
        <v/>
      </c>
      <c r="O1691" s="25">
        <f>ROUND(N1691*'Methodology &amp; Assumptions'!$B$7, 0)</f>
        <v/>
      </c>
      <c r="P1691" s="23" t="inlineStr">
        <is>
          <t>Single Carrier (Band n50, 100MHz TDD)</t>
        </is>
      </c>
      <c r="Q1691" s="27">
        <f>ROUNDUP(O1691/'Methodology &amp; Assumptions'!$B$8, 0)</f>
        <v/>
      </c>
      <c r="R1691" s="27" t="n">
        <v>1</v>
      </c>
      <c r="S1691" s="26" t="n">
        <v>1.51</v>
      </c>
      <c r="T1691" s="26" t="n">
        <v>10.53</v>
      </c>
      <c r="U1691" s="11">
        <f>IF(S1691&lt;='Methodology &amp; Assumptions'!$B$10, "Direct Optical Drop (&lt;3km)", IF(S1691&lt;='Methodology &amp; Assumptions'!$B$9, "Near Optical / Microwave (&lt;5km)", "Starlink Business LEO Satellite Backhaul (&gt;5km)"))</f>
        <v/>
      </c>
      <c r="V1691" s="26" t="n">
        <v>82.04000000000001</v>
      </c>
      <c r="W1691" s="26" t="n">
        <v>33.39</v>
      </c>
      <c r="X1691" s="26">
        <f>ROUND(('Methodology &amp; Assumptions'!$B$5*V1691) + ('Methodology &amp; Assumptions'!$B$6*W1691), 2)</f>
        <v/>
      </c>
      <c r="Y1691" s="28" t="n">
        <v>23.7</v>
      </c>
      <c r="Z1691" s="11" t="inlineStr">
        <is>
          <t>Priority Tier 3 (Broadband Expansion)</t>
        </is>
      </c>
    </row>
    <row r="1692">
      <c r="A1692" s="23" t="n">
        <v>5</v>
      </c>
      <c r="B1692" s="23" t="n">
        <v>688</v>
      </c>
      <c r="C1692" s="23" t="n">
        <v>4688</v>
      </c>
      <c r="D1692" s="23" t="inlineStr">
        <is>
          <t>0403422018</t>
        </is>
      </c>
      <c r="E1692" s="11" t="inlineStr">
        <is>
          <t>Region IV-A (CALABARZON)</t>
        </is>
      </c>
      <c r="F1692" s="11" t="inlineStr">
        <is>
          <t>Laguna</t>
        </is>
      </c>
      <c r="G1692" s="11" t="inlineStr">
        <is>
          <t>Pila</t>
        </is>
      </c>
      <c r="H1692" s="11" t="inlineStr">
        <is>
          <t>Tubuan</t>
        </is>
      </c>
      <c r="I1692" s="24" t="n">
        <v>14.232298</v>
      </c>
      <c r="J1692" s="24" t="n">
        <v>121.34941</v>
      </c>
      <c r="K1692" s="23" t="inlineStr">
        <is>
          <t>R</t>
        </is>
      </c>
      <c r="L1692" s="25" t="n">
        <v>2530</v>
      </c>
      <c r="M1692" s="26" t="n">
        <v>3.3</v>
      </c>
      <c r="N1692" s="25">
        <f>ROUND(L1692/M1692, 0)</f>
        <v/>
      </c>
      <c r="O1692" s="25">
        <f>ROUND(N1692*'Methodology &amp; Assumptions'!$B$7, 0)</f>
        <v/>
      </c>
      <c r="P1692" s="23" t="inlineStr">
        <is>
          <t>Single Carrier (Band n50, 100MHz TDD)</t>
        </is>
      </c>
      <c r="Q1692" s="27">
        <f>ROUNDUP(O1692/'Methodology &amp; Assumptions'!$B$8, 0)</f>
        <v/>
      </c>
      <c r="R1692" s="27" t="n">
        <v>1</v>
      </c>
      <c r="S1692" s="26" t="n">
        <v>1.85</v>
      </c>
      <c r="T1692" s="26" t="n">
        <v>1.54</v>
      </c>
      <c r="U1692" s="11">
        <f>IF(S1692&lt;='Methodology &amp; Assumptions'!$B$10, "Direct Optical Drop (&lt;3km)", IF(S1692&lt;='Methodology &amp; Assumptions'!$B$9, "Near Optical / Microwave (&lt;5km)", "Starlink Business LEO Satellite Backhaul (&gt;5km)"))</f>
        <v/>
      </c>
      <c r="V1692" s="26" t="n">
        <v>80.16</v>
      </c>
      <c r="W1692" s="26" t="n">
        <v>35.29</v>
      </c>
      <c r="X1692" s="26">
        <f>ROUND(('Methodology &amp; Assumptions'!$B$5*V1692) + ('Methodology &amp; Assumptions'!$B$6*W1692), 2)</f>
        <v/>
      </c>
      <c r="Y1692" s="28" t="n">
        <v>7.2</v>
      </c>
      <c r="Z1692" s="11" t="inlineStr">
        <is>
          <t>Priority Tier 3 (Broadband Expansion)</t>
        </is>
      </c>
    </row>
    <row r="1693">
      <c r="A1693" s="23" t="n">
        <v>5</v>
      </c>
      <c r="B1693" s="23" t="n">
        <v>689</v>
      </c>
      <c r="C1693" s="23" t="n">
        <v>4689</v>
      </c>
      <c r="D1693" s="23" t="inlineStr">
        <is>
          <t>0301415016</t>
        </is>
      </c>
      <c r="E1693" s="11" t="inlineStr">
        <is>
          <t>Region III (Central Luzon)</t>
        </is>
      </c>
      <c r="F1693" s="11" t="inlineStr">
        <is>
          <t>Bulacan</t>
        </is>
      </c>
      <c r="G1693" s="11" t="inlineStr">
        <is>
          <t>Pandi</t>
        </is>
      </c>
      <c r="H1693" s="11" t="inlineStr">
        <is>
          <t>Poblacion</t>
        </is>
      </c>
      <c r="I1693" s="24" t="n">
        <v>14.867465</v>
      </c>
      <c r="J1693" s="24" t="n">
        <v>120.957206</v>
      </c>
      <c r="K1693" s="23" t="inlineStr">
        <is>
          <t>U</t>
        </is>
      </c>
      <c r="L1693" s="25" t="n">
        <v>9072</v>
      </c>
      <c r="M1693" s="26" t="n">
        <v>3.5</v>
      </c>
      <c r="N1693" s="25">
        <f>ROUND(L1693/M1693, 0)</f>
        <v/>
      </c>
      <c r="O1693" s="25">
        <f>ROUND(N1693*'Methodology &amp; Assumptions'!$B$7, 0)</f>
        <v/>
      </c>
      <c r="P1693" s="23" t="inlineStr">
        <is>
          <t>Single Carrier (Band n50, 100MHz TDD)</t>
        </is>
      </c>
      <c r="Q1693" s="27">
        <f>ROUNDUP(O1693/'Methodology &amp; Assumptions'!$B$8, 0)</f>
        <v/>
      </c>
      <c r="R1693" s="27" t="n">
        <v>1</v>
      </c>
      <c r="S1693" s="26" t="n">
        <v>0.42</v>
      </c>
      <c r="T1693" s="26" t="n">
        <v>0.02</v>
      </c>
      <c r="U1693" s="11">
        <f>IF(S1693&lt;='Methodology &amp; Assumptions'!$B$10, "Direct Optical Drop (&lt;3km)", IF(S1693&lt;='Methodology &amp; Assumptions'!$B$9, "Near Optical / Microwave (&lt;5km)", "Starlink Business LEO Satellite Backhaul (&gt;5km)"))</f>
        <v/>
      </c>
      <c r="V1693" s="26" t="n">
        <v>78.43000000000001</v>
      </c>
      <c r="W1693" s="26" t="n">
        <v>37.01</v>
      </c>
      <c r="X1693" s="26">
        <f>ROUND(('Methodology &amp; Assumptions'!$B$5*V1693) + ('Methodology &amp; Assumptions'!$B$6*W1693), 2)</f>
        <v/>
      </c>
      <c r="Y1693" s="28" t="n">
        <v>8.300000000000001</v>
      </c>
      <c r="Z1693" s="11" t="inlineStr">
        <is>
          <t>Priority Tier 3 (Broadband Expansion)</t>
        </is>
      </c>
    </row>
    <row r="1694">
      <c r="A1694" s="23" t="n">
        <v>5</v>
      </c>
      <c r="B1694" s="23" t="n">
        <v>690</v>
      </c>
      <c r="C1694" s="23" t="n">
        <v>4690</v>
      </c>
      <c r="D1694" s="23" t="inlineStr">
        <is>
          <t>0500503034</t>
        </is>
      </c>
      <c r="E1694" s="11" t="inlineStr">
        <is>
          <t>Region V (Bicol Region)</t>
        </is>
      </c>
      <c r="F1694" s="11" t="inlineStr">
        <is>
          <t>Albay</t>
        </is>
      </c>
      <c r="G1694" s="11" t="inlineStr">
        <is>
          <t>Daraga</t>
        </is>
      </c>
      <c r="H1694" s="11" t="inlineStr">
        <is>
          <t>Market Area Pob.</t>
        </is>
      </c>
      <c r="I1694" s="24" t="n">
        <v>13.150778</v>
      </c>
      <c r="J1694" s="24" t="n">
        <v>123.713351</v>
      </c>
      <c r="K1694" s="23" t="inlineStr">
        <is>
          <t>U</t>
        </is>
      </c>
      <c r="L1694" s="25" t="n">
        <v>3181</v>
      </c>
      <c r="M1694" s="26" t="n">
        <v>4.1</v>
      </c>
      <c r="N1694" s="25">
        <f>ROUND(L1694/M1694, 0)</f>
        <v/>
      </c>
      <c r="O1694" s="25">
        <f>ROUND(N1694*'Methodology &amp; Assumptions'!$B$7, 0)</f>
        <v/>
      </c>
      <c r="P1694" s="23" t="inlineStr">
        <is>
          <t>Single Carrier (Band n50, 100MHz TDD)</t>
        </is>
      </c>
      <c r="Q1694" s="27">
        <f>ROUNDUP(O1694/'Methodology &amp; Assumptions'!$B$8, 0)</f>
        <v/>
      </c>
      <c r="R1694" s="27" t="n">
        <v>1</v>
      </c>
      <c r="S1694" s="26" t="n">
        <v>0.44</v>
      </c>
      <c r="T1694" s="26" t="n">
        <v>0.25</v>
      </c>
      <c r="U1694" s="11">
        <f>IF(S1694&lt;='Methodology &amp; Assumptions'!$B$10, "Direct Optical Drop (&lt;3km)", IF(S1694&lt;='Methodology &amp; Assumptions'!$B$9, "Near Optical / Microwave (&lt;5km)", "Starlink Business LEO Satellite Backhaul (&gt;5km)"))</f>
        <v/>
      </c>
      <c r="V1694" s="26" t="n">
        <v>77.88</v>
      </c>
      <c r="W1694" s="26" t="n">
        <v>37.57</v>
      </c>
      <c r="X1694" s="26">
        <f>ROUND(('Methodology &amp; Assumptions'!$B$5*V1694) + ('Methodology &amp; Assumptions'!$B$6*W1694), 2)</f>
        <v/>
      </c>
      <c r="Y1694" s="28" t="n">
        <v>23.7</v>
      </c>
      <c r="Z1694" s="11" t="inlineStr">
        <is>
          <t>Priority Tier 3 (Broadband Expansion)</t>
        </is>
      </c>
    </row>
    <row r="1695">
      <c r="A1695" s="23" t="n">
        <v>5</v>
      </c>
      <c r="B1695" s="23" t="n">
        <v>691</v>
      </c>
      <c r="C1695" s="23" t="n">
        <v>4691</v>
      </c>
      <c r="D1695" s="23" t="inlineStr">
        <is>
          <t>0305409013</t>
        </is>
      </c>
      <c r="E1695" s="11" t="inlineStr">
        <is>
          <t>Region III (Central Luzon)</t>
        </is>
      </c>
      <c r="F1695" s="11" t="inlineStr">
        <is>
          <t>Pampanga</t>
        </is>
      </c>
      <c r="G1695" s="11" t="inlineStr">
        <is>
          <t>Mabalacat City</t>
        </is>
      </c>
      <c r="H1695" s="11" t="inlineStr">
        <is>
          <t>Macapagal Village</t>
        </is>
      </c>
      <c r="I1695" s="24" t="n">
        <v>15.211114</v>
      </c>
      <c r="J1695" s="24" t="n">
        <v>120.53762</v>
      </c>
      <c r="K1695" s="23" t="inlineStr">
        <is>
          <t>R</t>
        </is>
      </c>
      <c r="L1695" s="25" t="n">
        <v>4458</v>
      </c>
      <c r="M1695" s="26" t="n">
        <v>4</v>
      </c>
      <c r="N1695" s="25">
        <f>ROUND(L1695/M1695, 0)</f>
        <v/>
      </c>
      <c r="O1695" s="25">
        <f>ROUND(N1695*'Methodology &amp; Assumptions'!$B$7, 0)</f>
        <v/>
      </c>
      <c r="P1695" s="23" t="inlineStr">
        <is>
          <t>Single Carrier (Band n50, 100MHz TDD)</t>
        </is>
      </c>
      <c r="Q1695" s="27">
        <f>ROUNDUP(O1695/'Methodology &amp; Assumptions'!$B$8, 0)</f>
        <v/>
      </c>
      <c r="R1695" s="27" t="n">
        <v>1</v>
      </c>
      <c r="S1695" s="26" t="n">
        <v>3.23</v>
      </c>
      <c r="T1695" s="26" t="n">
        <v>0.24</v>
      </c>
      <c r="U1695" s="11">
        <f>IF(S1695&lt;='Methodology &amp; Assumptions'!$B$10, "Direct Optical Drop (&lt;3km)", IF(S1695&lt;='Methodology &amp; Assumptions'!$B$9, "Near Optical / Microwave (&lt;5km)", "Starlink Business LEO Satellite Backhaul (&gt;5km)"))</f>
        <v/>
      </c>
      <c r="V1695" s="26" t="n">
        <v>77.66</v>
      </c>
      <c r="W1695" s="26" t="n">
        <v>37.79</v>
      </c>
      <c r="X1695" s="26">
        <f>ROUND(('Methodology &amp; Assumptions'!$B$5*V1695) + ('Methodology &amp; Assumptions'!$B$6*W1695), 2)</f>
        <v/>
      </c>
      <c r="Y1695" s="28" t="n">
        <v>8.300000000000001</v>
      </c>
      <c r="Z1695" s="11" t="inlineStr">
        <is>
          <t>Priority Tier 3 (Broadband Expansion)</t>
        </is>
      </c>
    </row>
    <row r="1696">
      <c r="A1696" s="23" t="n">
        <v>5</v>
      </c>
      <c r="B1696" s="23" t="n">
        <v>692</v>
      </c>
      <c r="C1696" s="23" t="n">
        <v>4692</v>
      </c>
      <c r="D1696" s="23" t="inlineStr">
        <is>
          <t>0402103074</t>
        </is>
      </c>
      <c r="E1696" s="11" t="inlineStr">
        <is>
          <t>Region IV-A (CALABARZON)</t>
        </is>
      </c>
      <c r="F1696" s="11" t="inlineStr">
        <is>
          <t>Cavite</t>
        </is>
      </c>
      <c r="G1696" s="11" t="inlineStr">
        <is>
          <t>City of Bacoor</t>
        </is>
      </c>
      <c r="H1696" s="11" t="inlineStr">
        <is>
          <t>Zapote IV</t>
        </is>
      </c>
      <c r="I1696" s="24" t="n">
        <v>14.436707</v>
      </c>
      <c r="J1696" s="24" t="n">
        <v>120.961346</v>
      </c>
      <c r="K1696" s="23" t="inlineStr">
        <is>
          <t>R</t>
        </is>
      </c>
      <c r="L1696" s="25" t="n">
        <v>2162</v>
      </c>
      <c r="M1696" s="26" t="n">
        <v>3.4</v>
      </c>
      <c r="N1696" s="25">
        <f>ROUND(L1696/M1696, 0)</f>
        <v/>
      </c>
      <c r="O1696" s="25">
        <f>ROUND(N1696*'Methodology &amp; Assumptions'!$B$7, 0)</f>
        <v/>
      </c>
      <c r="P1696" s="23" t="inlineStr">
        <is>
          <t>Single Carrier (Band n50, 100MHz TDD)</t>
        </is>
      </c>
      <c r="Q1696" s="27">
        <f>ROUNDUP(O1696/'Methodology &amp; Assumptions'!$B$8, 0)</f>
        <v/>
      </c>
      <c r="R1696" s="27" t="n">
        <v>1</v>
      </c>
      <c r="S1696" s="26" t="n">
        <v>1.43</v>
      </c>
      <c r="T1696" s="26" t="n">
        <v>1.32</v>
      </c>
      <c r="U1696" s="11">
        <f>IF(S1696&lt;='Methodology &amp; Assumptions'!$B$10, "Direct Optical Drop (&lt;3km)", IF(S1696&lt;='Methodology &amp; Assumptions'!$B$9, "Near Optical / Microwave (&lt;5km)", "Starlink Business LEO Satellite Backhaul (&gt;5km)"))</f>
        <v/>
      </c>
      <c r="V1696" s="26" t="n">
        <v>77.39</v>
      </c>
      <c r="W1696" s="26" t="n">
        <v>38.05</v>
      </c>
      <c r="X1696" s="26">
        <f>ROUND(('Methodology &amp; Assumptions'!$B$5*V1696) + ('Methodology &amp; Assumptions'!$B$6*W1696), 2)</f>
        <v/>
      </c>
      <c r="Y1696" s="28" t="n">
        <v>7.2</v>
      </c>
      <c r="Z1696" s="11" t="inlineStr">
        <is>
          <t>Priority Tier 3 (Broadband Expansion)</t>
        </is>
      </c>
    </row>
    <row r="1697">
      <c r="A1697" s="23" t="n">
        <v>5</v>
      </c>
      <c r="B1697" s="23" t="n">
        <v>693</v>
      </c>
      <c r="C1697" s="23" t="n">
        <v>4693</v>
      </c>
      <c r="D1697" s="23" t="inlineStr">
        <is>
          <t>0201529044</t>
        </is>
      </c>
      <c r="E1697" s="11" t="inlineStr">
        <is>
          <t>Region II (Cagayan Valley)</t>
        </is>
      </c>
      <c r="F1697" s="11" t="inlineStr">
        <is>
          <t>Cagayan</t>
        </is>
      </c>
      <c r="G1697" s="11" t="inlineStr">
        <is>
          <t>Tuguegarao City</t>
        </is>
      </c>
      <c r="H1697" s="11" t="inlineStr">
        <is>
          <t>Leonarda</t>
        </is>
      </c>
      <c r="I1697" s="24" t="n">
        <v>17.642848</v>
      </c>
      <c r="J1697" s="24" t="n">
        <v>121.740206</v>
      </c>
      <c r="K1697" s="23" t="inlineStr">
        <is>
          <t>U</t>
        </is>
      </c>
      <c r="L1697" s="25" t="n">
        <v>3353</v>
      </c>
      <c r="M1697" s="26" t="n">
        <v>3.9</v>
      </c>
      <c r="N1697" s="25">
        <f>ROUND(L1697/M1697, 0)</f>
        <v/>
      </c>
      <c r="O1697" s="25">
        <f>ROUND(N1697*'Methodology &amp; Assumptions'!$B$7, 0)</f>
        <v/>
      </c>
      <c r="P1697" s="23" t="inlineStr">
        <is>
          <t>Single Carrier (Band n50, 100MHz TDD)</t>
        </is>
      </c>
      <c r="Q1697" s="27">
        <f>ROUNDUP(O1697/'Methodology &amp; Assumptions'!$B$8, 0)</f>
        <v/>
      </c>
      <c r="R1697" s="27" t="n">
        <v>1</v>
      </c>
      <c r="S1697" s="26" t="n">
        <v>1.2</v>
      </c>
      <c r="T1697" s="26" t="n">
        <v>0.1</v>
      </c>
      <c r="U1697" s="11">
        <f>IF(S1697&lt;='Methodology &amp; Assumptions'!$B$10, "Direct Optical Drop (&lt;3km)", IF(S1697&lt;='Methodology &amp; Assumptions'!$B$9, "Near Optical / Microwave (&lt;5km)", "Starlink Business LEO Satellite Backhaul (&gt;5km)"))</f>
        <v/>
      </c>
      <c r="V1697" s="26" t="n">
        <v>77.05</v>
      </c>
      <c r="W1697" s="26" t="n">
        <v>38.38</v>
      </c>
      <c r="X1697" s="26">
        <f>ROUND(('Methodology &amp; Assumptions'!$B$5*V1697) + ('Methodology &amp; Assumptions'!$B$6*W1697), 2)</f>
        <v/>
      </c>
      <c r="Y1697" s="28" t="n">
        <v>8.300000000000001</v>
      </c>
      <c r="Z1697" s="11" t="inlineStr">
        <is>
          <t>Priority Tier 3 (Broadband Expansion)</t>
        </is>
      </c>
    </row>
    <row r="1698">
      <c r="A1698" s="23" t="n">
        <v>5</v>
      </c>
      <c r="B1698" s="23" t="n">
        <v>694</v>
      </c>
      <c r="C1698" s="23" t="n">
        <v>4694</v>
      </c>
      <c r="D1698" s="23" t="inlineStr">
        <is>
          <t>0307103016</t>
        </is>
      </c>
      <c r="E1698" s="11" t="inlineStr">
        <is>
          <t>Region III (Central Luzon)</t>
        </is>
      </c>
      <c r="F1698" s="11" t="inlineStr">
        <is>
          <t>Zambales</t>
        </is>
      </c>
      <c r="G1698" s="11" t="inlineStr">
        <is>
          <t>Candelaria</t>
        </is>
      </c>
      <c r="H1698" s="11" t="inlineStr">
        <is>
          <t>Sinabacan</t>
        </is>
      </c>
      <c r="I1698" s="24" t="n">
        <v>15.660313</v>
      </c>
      <c r="J1698" s="24" t="n">
        <v>119.935792</v>
      </c>
      <c r="K1698" s="23" t="inlineStr">
        <is>
          <t>R</t>
        </is>
      </c>
      <c r="L1698" s="25" t="n">
        <v>4096</v>
      </c>
      <c r="M1698" s="26" t="n">
        <v>3.8</v>
      </c>
      <c r="N1698" s="25">
        <f>ROUND(L1698/M1698, 0)</f>
        <v/>
      </c>
      <c r="O1698" s="25">
        <f>ROUND(N1698*'Methodology &amp; Assumptions'!$B$7, 0)</f>
        <v/>
      </c>
      <c r="P1698" s="23" t="inlineStr">
        <is>
          <t>Single Carrier (Band n50, 100MHz TDD)</t>
        </is>
      </c>
      <c r="Q1698" s="27">
        <f>ROUNDUP(O1698/'Methodology &amp; Assumptions'!$B$8, 0)</f>
        <v/>
      </c>
      <c r="R1698" s="27" t="n">
        <v>1</v>
      </c>
      <c r="S1698" s="26" t="n">
        <v>4.09</v>
      </c>
      <c r="T1698" s="26" t="n">
        <v>0.03</v>
      </c>
      <c r="U1698" s="11">
        <f>IF(S1698&lt;='Methodology &amp; Assumptions'!$B$10, "Direct Optical Drop (&lt;3km)", IF(S1698&lt;='Methodology &amp; Assumptions'!$B$9, "Near Optical / Microwave (&lt;5km)", "Starlink Business LEO Satellite Backhaul (&gt;5km)"))</f>
        <v/>
      </c>
      <c r="V1698" s="26" t="n">
        <v>75.81</v>
      </c>
      <c r="W1698" s="26" t="n">
        <v>39.63</v>
      </c>
      <c r="X1698" s="26">
        <f>ROUND(('Methodology &amp; Assumptions'!$B$5*V1698) + ('Methodology &amp; Assumptions'!$B$6*W1698), 2)</f>
        <v/>
      </c>
      <c r="Y1698" s="28" t="n">
        <v>8.300000000000001</v>
      </c>
      <c r="Z1698" s="11" t="inlineStr">
        <is>
          <t>Priority Tier 3 (Broadband Expansion)</t>
        </is>
      </c>
    </row>
    <row r="1699">
      <c r="A1699" s="23" t="n">
        <v>5</v>
      </c>
      <c r="B1699" s="23" t="n">
        <v>695</v>
      </c>
      <c r="C1699" s="23" t="n">
        <v>4695</v>
      </c>
      <c r="D1699" s="23" t="inlineStr">
        <is>
          <t>0300812010</t>
        </is>
      </c>
      <c r="E1699" s="11" t="inlineStr">
        <is>
          <t>Region III (Central Luzon)</t>
        </is>
      </c>
      <c r="F1699" s="11" t="inlineStr">
        <is>
          <t>Bataan</t>
        </is>
      </c>
      <c r="G1699" s="11" t="inlineStr">
        <is>
          <t>Samal</t>
        </is>
      </c>
      <c r="H1699" s="11" t="inlineStr">
        <is>
          <t>Santa Lucia</t>
        </is>
      </c>
      <c r="I1699" s="24" t="n">
        <v>14.762386</v>
      </c>
      <c r="J1699" s="24" t="n">
        <v>120.540638</v>
      </c>
      <c r="K1699" s="23" t="inlineStr">
        <is>
          <t>R</t>
        </is>
      </c>
      <c r="L1699" s="25" t="n">
        <v>2669</v>
      </c>
      <c r="M1699" s="26" t="n">
        <v>3.6</v>
      </c>
      <c r="N1699" s="25">
        <f>ROUND(L1699/M1699, 0)</f>
        <v/>
      </c>
      <c r="O1699" s="25">
        <f>ROUND(N1699*'Methodology &amp; Assumptions'!$B$7, 0)</f>
        <v/>
      </c>
      <c r="P1699" s="23" t="inlineStr">
        <is>
          <t>Single Carrier (Band n50, 100MHz TDD)</t>
        </is>
      </c>
      <c r="Q1699" s="27">
        <f>ROUNDUP(O1699/'Methodology &amp; Assumptions'!$B$8, 0)</f>
        <v/>
      </c>
      <c r="R1699" s="27" t="n">
        <v>1</v>
      </c>
      <c r="S1699" s="26" t="n">
        <v>4.44</v>
      </c>
      <c r="T1699" s="26" t="n">
        <v>0.32</v>
      </c>
      <c r="U1699" s="11">
        <f>IF(S1699&lt;='Methodology &amp; Assumptions'!$B$10, "Direct Optical Drop (&lt;3km)", IF(S1699&lt;='Methodology &amp; Assumptions'!$B$9, "Near Optical / Microwave (&lt;5km)", "Starlink Business LEO Satellite Backhaul (&gt;5km)"))</f>
        <v/>
      </c>
      <c r="V1699" s="26" t="n">
        <v>72.59</v>
      </c>
      <c r="W1699" s="26" t="n">
        <v>42.86</v>
      </c>
      <c r="X1699" s="26">
        <f>ROUND(('Methodology &amp; Assumptions'!$B$5*V1699) + ('Methodology &amp; Assumptions'!$B$6*W1699), 2)</f>
        <v/>
      </c>
      <c r="Y1699" s="28" t="n">
        <v>8.300000000000001</v>
      </c>
      <c r="Z1699" s="11" t="inlineStr">
        <is>
          <t>Priority Tier 3 (Broadband Expansion)</t>
        </is>
      </c>
    </row>
    <row r="1700">
      <c r="A1700" s="23" t="n">
        <v>5</v>
      </c>
      <c r="B1700" s="23" t="n">
        <v>696</v>
      </c>
      <c r="C1700" s="23" t="n">
        <v>4696</v>
      </c>
      <c r="D1700" s="23" t="inlineStr">
        <is>
          <t>1380605026</t>
        </is>
      </c>
      <c r="E1700" s="11" t="inlineStr">
        <is>
          <t>National Capital Region (NCR)</t>
        </is>
      </c>
      <c r="F1700" s="11" t="inlineStr">
        <is>
          <t>First District (Not a Province)</t>
        </is>
      </c>
      <c r="G1700" s="11" t="inlineStr">
        <is>
          <t>City of Manila</t>
        </is>
      </c>
      <c r="H1700" s="11" t="inlineStr">
        <is>
          <t>Barangay 324</t>
        </is>
      </c>
      <c r="I1700" s="24" t="n">
        <v>14.612502</v>
      </c>
      <c r="J1700" s="24" t="n">
        <v>120.983905</v>
      </c>
      <c r="K1700" s="23" t="inlineStr">
        <is>
          <t>U</t>
        </is>
      </c>
      <c r="L1700" s="25" t="n">
        <v>643</v>
      </c>
      <c r="M1700" s="26" t="n">
        <v>3.65</v>
      </c>
      <c r="N1700" s="25">
        <f>ROUND(L1700/M1700, 0)</f>
        <v/>
      </c>
      <c r="O1700" s="25">
        <f>ROUND(N1700*'Methodology &amp; Assumptions'!$B$7, 0)</f>
        <v/>
      </c>
      <c r="P1700" s="23" t="inlineStr">
        <is>
          <t>Single Carrier (Band n50, 100MHz TDD)</t>
        </is>
      </c>
      <c r="Q1700" s="27">
        <f>ROUNDUP(O1700/'Methodology &amp; Assumptions'!$B$8, 0)</f>
        <v/>
      </c>
      <c r="R1700" s="27" t="n">
        <v>1</v>
      </c>
      <c r="S1700" s="26" t="n">
        <v>0.46</v>
      </c>
      <c r="T1700" s="26" t="n">
        <v>0.16</v>
      </c>
      <c r="U1700" s="11">
        <f>IF(S1700&lt;='Methodology &amp; Assumptions'!$B$10, "Direct Optical Drop (&lt;3km)", IF(S1700&lt;='Methodology &amp; Assumptions'!$B$9, "Near Optical / Microwave (&lt;5km)", "Starlink Business LEO Satellite Backhaul (&gt;5km)"))</f>
        <v/>
      </c>
      <c r="V1700" s="26" t="n">
        <v>46.77</v>
      </c>
      <c r="W1700" s="26" t="n">
        <v>68.68000000000001</v>
      </c>
      <c r="X1700" s="26">
        <f>ROUND(('Methodology &amp; Assumptions'!$B$5*V1700) + ('Methodology &amp; Assumptions'!$B$6*W1700), 2)</f>
        <v/>
      </c>
      <c r="Y1700" s="28" t="n">
        <v>10.9</v>
      </c>
      <c r="Z1700" s="11" t="inlineStr">
        <is>
          <t>Priority Tier 3 (Broadband Expansion)</t>
        </is>
      </c>
    </row>
    <row r="1701">
      <c r="A1701" s="23" t="n">
        <v>5</v>
      </c>
      <c r="B1701" s="23" t="n">
        <v>697</v>
      </c>
      <c r="C1701" s="23" t="n">
        <v>4697</v>
      </c>
      <c r="D1701" s="23" t="inlineStr">
        <is>
          <t>0806023005</t>
        </is>
      </c>
      <c r="E1701" s="11" t="inlineStr">
        <is>
          <t>Region VIII (Eastern Visayas)</t>
        </is>
      </c>
      <c r="F1701" s="11" t="inlineStr">
        <is>
          <t>Samar</t>
        </is>
      </c>
      <c r="G1701" s="11" t="inlineStr">
        <is>
          <t>Zumarraga</t>
        </is>
      </c>
      <c r="H1701" s="11" t="inlineStr">
        <is>
          <t>Botaera</t>
        </is>
      </c>
      <c r="I1701" s="24" t="n">
        <v>11.6675</v>
      </c>
      <c r="J1701" s="24" t="n">
        <v>124.8407</v>
      </c>
      <c r="K1701" s="23" t="inlineStr">
        <is>
          <t>R</t>
        </is>
      </c>
      <c r="L1701" s="25" t="n">
        <v>662</v>
      </c>
      <c r="M1701" s="26" t="n">
        <v>4.1</v>
      </c>
      <c r="N1701" s="25">
        <f>ROUND(L1701/M1701, 0)</f>
        <v/>
      </c>
      <c r="O1701" s="25">
        <f>ROUND(N1701*'Methodology &amp; Assumptions'!$B$7, 0)</f>
        <v/>
      </c>
      <c r="P1701" s="23" t="inlineStr">
        <is>
          <t>Single Carrier (Band n50, 100MHz TDD)</t>
        </is>
      </c>
      <c r="Q1701" s="27">
        <f>ROUNDUP(O1701/'Methodology &amp; Assumptions'!$B$8, 0)</f>
        <v/>
      </c>
      <c r="R1701" s="27" t="n">
        <v>1</v>
      </c>
      <c r="S1701" s="26" t="n">
        <v>44.09</v>
      </c>
      <c r="T1701" s="26" t="n">
        <v>44.02</v>
      </c>
      <c r="U1701" s="11">
        <f>IF(S1701&lt;='Methodology &amp; Assumptions'!$B$10, "Direct Optical Drop (&lt;3km)", IF(S1701&lt;='Methodology &amp; Assumptions'!$B$9, "Near Optical / Microwave (&lt;5km)", "Starlink Business LEO Satellite Backhaul (&gt;5km)"))</f>
        <v/>
      </c>
      <c r="V1701" s="26" t="n">
        <v>43.7</v>
      </c>
      <c r="W1701" s="26" t="n">
        <v>71.73999999999999</v>
      </c>
      <c r="X1701" s="26">
        <f>ROUND(('Methodology &amp; Assumptions'!$B$5*V1701) + ('Methodology &amp; Assumptions'!$B$6*W1701), 2)</f>
        <v/>
      </c>
      <c r="Y1701" s="28" t="n">
        <v>23.7</v>
      </c>
      <c r="Z1701" s="11" t="inlineStr">
        <is>
          <t>Priority Tier 3 (Broadband Expansion)</t>
        </is>
      </c>
    </row>
    <row r="1702">
      <c r="A1702" s="23" t="n">
        <v>5</v>
      </c>
      <c r="B1702" s="23" t="n">
        <v>698</v>
      </c>
      <c r="C1702" s="23" t="n">
        <v>4698</v>
      </c>
      <c r="D1702" s="23" t="inlineStr">
        <is>
          <t>0201516023</t>
        </is>
      </c>
      <c r="E1702" s="11" t="inlineStr">
        <is>
          <t>Region II (Cagayan Valley)</t>
        </is>
      </c>
      <c r="F1702" s="11" t="inlineStr">
        <is>
          <t>Cagayan</t>
        </is>
      </c>
      <c r="G1702" s="11" t="inlineStr">
        <is>
          <t>Lal-Lo</t>
        </is>
      </c>
      <c r="H1702" s="11" t="inlineStr">
        <is>
          <t>Magapit</t>
        </is>
      </c>
      <c r="I1702" s="24" t="n">
        <v>18.129334</v>
      </c>
      <c r="J1702" s="24" t="n">
        <v>121.684464</v>
      </c>
      <c r="K1702" s="23" t="inlineStr">
        <is>
          <t>U</t>
        </is>
      </c>
      <c r="L1702" s="25" t="n">
        <v>4128</v>
      </c>
      <c r="M1702" s="26" t="n">
        <v>3.9</v>
      </c>
      <c r="N1702" s="25">
        <f>ROUND(L1702/M1702, 0)</f>
        <v/>
      </c>
      <c r="O1702" s="25">
        <f>ROUND(N1702*'Methodology &amp; Assumptions'!$B$7, 0)</f>
        <v/>
      </c>
      <c r="P1702" s="23" t="inlineStr">
        <is>
          <t>Single Carrier (Band n50, 100MHz TDD)</t>
        </is>
      </c>
      <c r="Q1702" s="27">
        <f>ROUNDUP(O1702/'Methodology &amp; Assumptions'!$B$8, 0)</f>
        <v/>
      </c>
      <c r="R1702" s="27" t="n">
        <v>1</v>
      </c>
      <c r="S1702" s="26" t="n">
        <v>0.88</v>
      </c>
      <c r="T1702" s="26" t="n">
        <v>0.23</v>
      </c>
      <c r="U1702" s="11">
        <f>IF(S1702&lt;='Methodology &amp; Assumptions'!$B$10, "Direct Optical Drop (&lt;3km)", IF(S1702&lt;='Methodology &amp; Assumptions'!$B$9, "Near Optical / Microwave (&lt;5km)", "Starlink Business LEO Satellite Backhaul (&gt;5km)"))</f>
        <v/>
      </c>
      <c r="V1702" s="26" t="n">
        <v>78.27</v>
      </c>
      <c r="W1702" s="26" t="n">
        <v>37.14</v>
      </c>
      <c r="X1702" s="26">
        <f>ROUND(('Methodology &amp; Assumptions'!$B$5*V1702) + ('Methodology &amp; Assumptions'!$B$6*W1702), 2)</f>
        <v/>
      </c>
      <c r="Y1702" s="28" t="n">
        <v>8.300000000000001</v>
      </c>
      <c r="Z1702" s="11" t="inlineStr">
        <is>
          <t>Priority Tier 3 (Broadband Expansion)</t>
        </is>
      </c>
    </row>
    <row r="1703">
      <c r="A1703" s="23" t="n">
        <v>5</v>
      </c>
      <c r="B1703" s="23" t="n">
        <v>699</v>
      </c>
      <c r="C1703" s="23" t="n">
        <v>4699</v>
      </c>
      <c r="D1703" s="23" t="inlineStr">
        <is>
          <t>0304907001</t>
        </is>
      </c>
      <c r="E1703" s="11" t="inlineStr">
        <is>
          <t>Region III (Central Luzon)</t>
        </is>
      </c>
      <c r="F1703" s="11" t="inlineStr">
        <is>
          <t>Nueva Ecija</t>
        </is>
      </c>
      <c r="G1703" s="11" t="inlineStr">
        <is>
          <t>Gabaldon</t>
        </is>
      </c>
      <c r="H1703" s="11" t="inlineStr">
        <is>
          <t>Bagong Sikat</t>
        </is>
      </c>
      <c r="I1703" s="24" t="n">
        <v>15.481261</v>
      </c>
      <c r="J1703" s="24" t="n">
        <v>121.30721</v>
      </c>
      <c r="K1703" s="23" t="inlineStr">
        <is>
          <t>R</t>
        </is>
      </c>
      <c r="L1703" s="25" t="n">
        <v>3203</v>
      </c>
      <c r="M1703" s="26" t="n">
        <v>3.5</v>
      </c>
      <c r="N1703" s="25">
        <f>ROUND(L1703/M1703, 0)</f>
        <v/>
      </c>
      <c r="O1703" s="25">
        <f>ROUND(N1703*'Methodology &amp; Assumptions'!$B$7, 0)</f>
        <v/>
      </c>
      <c r="P1703" s="23" t="inlineStr">
        <is>
          <t>Single Carrier (Band n50, 100MHz TDD)</t>
        </is>
      </c>
      <c r="Q1703" s="27">
        <f>ROUNDUP(O1703/'Methodology &amp; Assumptions'!$B$8, 0)</f>
        <v/>
      </c>
      <c r="R1703" s="27" t="n">
        <v>1</v>
      </c>
      <c r="S1703" s="26" t="n">
        <v>2.77</v>
      </c>
      <c r="T1703" s="26" t="n">
        <v>20.5</v>
      </c>
      <c r="U1703" s="11">
        <f>IF(S1703&lt;='Methodology &amp; Assumptions'!$B$10, "Direct Optical Drop (&lt;3km)", IF(S1703&lt;='Methodology &amp; Assumptions'!$B$9, "Near Optical / Microwave (&lt;5km)", "Starlink Business LEO Satellite Backhaul (&gt;5km)"))</f>
        <v/>
      </c>
      <c r="V1703" s="26" t="n">
        <v>75.39</v>
      </c>
      <c r="W1703" s="26" t="n">
        <v>40.02</v>
      </c>
      <c r="X1703" s="26">
        <f>ROUND(('Methodology &amp; Assumptions'!$B$5*V1703) + ('Methodology &amp; Assumptions'!$B$6*W1703), 2)</f>
        <v/>
      </c>
      <c r="Y1703" s="28" t="n">
        <v>8.300000000000001</v>
      </c>
      <c r="Z1703" s="11" t="inlineStr">
        <is>
          <t>Priority Tier 3 (Broadband Expansion)</t>
        </is>
      </c>
    </row>
    <row r="1704">
      <c r="A1704" s="23" t="n">
        <v>5</v>
      </c>
      <c r="B1704" s="23" t="n">
        <v>700</v>
      </c>
      <c r="C1704" s="23" t="n">
        <v>4700</v>
      </c>
      <c r="D1704" s="23" t="inlineStr">
        <is>
          <t>0301401019</t>
        </is>
      </c>
      <c r="E1704" s="11" t="inlineStr">
        <is>
          <t>Region III (Central Luzon)</t>
        </is>
      </c>
      <c r="F1704" s="11" t="inlineStr">
        <is>
          <t>Bulacan</t>
        </is>
      </c>
      <c r="G1704" s="11" t="inlineStr">
        <is>
          <t>Angat</t>
        </is>
      </c>
      <c r="H1704" s="11" t="inlineStr">
        <is>
          <t>Taboc</t>
        </is>
      </c>
      <c r="I1704" s="24" t="n">
        <v>14.934031</v>
      </c>
      <c r="J1704" s="24" t="n">
        <v>120.984764</v>
      </c>
      <c r="K1704" s="23" t="inlineStr">
        <is>
          <t>R</t>
        </is>
      </c>
      <c r="L1704" s="25" t="n">
        <v>4133</v>
      </c>
      <c r="M1704" s="26" t="n">
        <v>3.5</v>
      </c>
      <c r="N1704" s="25">
        <f>ROUND(L1704/M1704, 0)</f>
        <v/>
      </c>
      <c r="O1704" s="25">
        <f>ROUND(N1704*'Methodology &amp; Assumptions'!$B$7, 0)</f>
        <v/>
      </c>
      <c r="P1704" s="23" t="inlineStr">
        <is>
          <t>Single Carrier (Band n50, 100MHz TDD)</t>
        </is>
      </c>
      <c r="Q1704" s="27">
        <f>ROUNDUP(O1704/'Methodology &amp; Assumptions'!$B$8, 0)</f>
        <v/>
      </c>
      <c r="R1704" s="27" t="n">
        <v>1</v>
      </c>
      <c r="S1704" s="26" t="n">
        <v>3.71</v>
      </c>
      <c r="T1704" s="26" t="n">
        <v>4.88</v>
      </c>
      <c r="U1704" s="11">
        <f>IF(S1704&lt;='Methodology &amp; Assumptions'!$B$10, "Direct Optical Drop (&lt;3km)", IF(S1704&lt;='Methodology &amp; Assumptions'!$B$9, "Near Optical / Microwave (&lt;5km)", "Starlink Business LEO Satellite Backhaul (&gt;5km)"))</f>
        <v/>
      </c>
      <c r="V1704" s="26" t="n">
        <v>73.09</v>
      </c>
      <c r="W1704" s="26" t="n">
        <v>42.33</v>
      </c>
      <c r="X1704" s="26">
        <f>ROUND(('Methodology &amp; Assumptions'!$B$5*V1704) + ('Methodology &amp; Assumptions'!$B$6*W1704), 2)</f>
        <v/>
      </c>
      <c r="Y1704" s="28" t="n">
        <v>8.300000000000001</v>
      </c>
      <c r="Z1704" s="11" t="inlineStr">
        <is>
          <t>Priority Tier 3 (Broadband Expansion)</t>
        </is>
      </c>
    </row>
    <row r="1705">
      <c r="A1705" s="23" t="n">
        <v>5</v>
      </c>
      <c r="B1705" s="23" t="n">
        <v>701</v>
      </c>
      <c r="C1705" s="23" t="n">
        <v>4701</v>
      </c>
      <c r="D1705" s="23" t="inlineStr">
        <is>
          <t>0603036007</t>
        </is>
      </c>
      <c r="E1705" s="11" t="inlineStr">
        <is>
          <t>Region VI (Western Visayas)</t>
        </is>
      </c>
      <c r="F1705" s="11" t="inlineStr">
        <is>
          <t>Iloilo</t>
        </is>
      </c>
      <c r="G1705" s="11" t="inlineStr">
        <is>
          <t>Pavia</t>
        </is>
      </c>
      <c r="H1705" s="11" t="inlineStr">
        <is>
          <t>Purok III</t>
        </is>
      </c>
      <c r="I1705" s="24" t="n">
        <v>10.773556</v>
      </c>
      <c r="J1705" s="24" t="n">
        <v>122.543841</v>
      </c>
      <c r="K1705" s="23" t="inlineStr">
        <is>
          <t>R</t>
        </is>
      </c>
      <c r="L1705" s="25" t="n">
        <v>1156</v>
      </c>
      <c r="M1705" s="26" t="n">
        <v>3.8</v>
      </c>
      <c r="N1705" s="25">
        <f>ROUND(L1705/M1705, 0)</f>
        <v/>
      </c>
      <c r="O1705" s="25">
        <f>ROUND(N1705*'Methodology &amp; Assumptions'!$B$7, 0)</f>
        <v/>
      </c>
      <c r="P1705" s="23" t="inlineStr">
        <is>
          <t>Single Carrier (Band n50, 100MHz TDD)</t>
        </is>
      </c>
      <c r="Q1705" s="27">
        <f>ROUNDUP(O1705/'Methodology &amp; Assumptions'!$B$8, 0)</f>
        <v/>
      </c>
      <c r="R1705" s="27" t="n">
        <v>1</v>
      </c>
      <c r="S1705" s="26" t="n">
        <v>0.14</v>
      </c>
      <c r="T1705" s="26" t="n">
        <v>3.82</v>
      </c>
      <c r="U1705" s="11">
        <f>IF(S1705&lt;='Methodology &amp; Assumptions'!$B$10, "Direct Optical Drop (&lt;3km)", IF(S1705&lt;='Methodology &amp; Assumptions'!$B$9, "Near Optical / Microwave (&lt;5km)", "Starlink Business LEO Satellite Backhaul (&gt;5km)"))</f>
        <v/>
      </c>
      <c r="V1705" s="26" t="n">
        <v>70.06999999999999</v>
      </c>
      <c r="W1705" s="26" t="n">
        <v>45.35</v>
      </c>
      <c r="X1705" s="26">
        <f>ROUND(('Methodology &amp; Assumptions'!$B$5*V1705) + ('Methodology &amp; Assumptions'!$B$6*W1705), 2)</f>
        <v/>
      </c>
      <c r="Y1705" s="28" t="n">
        <v>23.7</v>
      </c>
      <c r="Z1705" s="11" t="inlineStr">
        <is>
          <t>Priority Tier 3 (Broadband Expansion)</t>
        </is>
      </c>
    </row>
    <row r="1706">
      <c r="A1706" s="23" t="n">
        <v>5</v>
      </c>
      <c r="B1706" s="23" t="n">
        <v>702</v>
      </c>
      <c r="C1706" s="23" t="n">
        <v>4702</v>
      </c>
      <c r="D1706" s="23" t="inlineStr">
        <is>
          <t>1907010003</t>
        </is>
      </c>
      <c r="E1706" s="11" t="inlineStr">
        <is>
          <t>Bangsamoro Autonomous Region In Muslim Mindanao (BARMM)</t>
        </is>
      </c>
      <c r="F1706" s="11" t="inlineStr">
        <is>
          <t>Tawi-Tawi</t>
        </is>
      </c>
      <c r="G1706" s="11" t="inlineStr">
        <is>
          <t>Sapa-Sapa</t>
        </is>
      </c>
      <c r="H1706" s="11" t="inlineStr">
        <is>
          <t>Tonggusong Banaran</t>
        </is>
      </c>
      <c r="I1706" s="24" t="n">
        <v>5.018786</v>
      </c>
      <c r="J1706" s="24" t="n">
        <v>120.133607</v>
      </c>
      <c r="K1706" s="23" t="inlineStr">
        <is>
          <t>U</t>
        </is>
      </c>
      <c r="L1706" s="25" t="n">
        <v>6606</v>
      </c>
      <c r="M1706" s="26" t="n">
        <v>5.8</v>
      </c>
      <c r="N1706" s="25">
        <f>ROUND(L1706/M1706, 0)</f>
        <v/>
      </c>
      <c r="O1706" s="25">
        <f>ROUND(N1706*'Methodology &amp; Assumptions'!$B$7, 0)</f>
        <v/>
      </c>
      <c r="P1706" s="23" t="inlineStr">
        <is>
          <t>Single Carrier (Band n50, 100MHz TDD)</t>
        </is>
      </c>
      <c r="Q1706" s="27">
        <f>ROUNDUP(O1706/'Methodology &amp; Assumptions'!$B$8, 0)</f>
        <v/>
      </c>
      <c r="R1706" s="27" t="n">
        <v>1</v>
      </c>
      <c r="S1706" s="26" t="n">
        <v>999</v>
      </c>
      <c r="T1706" s="26" t="n">
        <v>999</v>
      </c>
      <c r="U1706" s="11">
        <f>IF(S1706&lt;='Methodology &amp; Assumptions'!$B$10, "Direct Optical Drop (&lt;3km)", IF(S1706&lt;='Methodology &amp; Assumptions'!$B$9, "Near Optical / Microwave (&lt;5km)", "Starlink Business LEO Satellite Backhaul (&gt;5km)"))</f>
        <v/>
      </c>
      <c r="V1706" s="26" t="n">
        <v>51.86</v>
      </c>
      <c r="W1706" s="26" t="n">
        <v>63.56</v>
      </c>
      <c r="X1706" s="26">
        <f>ROUND(('Methodology &amp; Assumptions'!$B$5*V1706) + ('Methodology &amp; Assumptions'!$B$6*W1706), 2)</f>
        <v/>
      </c>
      <c r="Y1706" s="28" t="n">
        <v>11</v>
      </c>
      <c r="Z1706" s="11" t="inlineStr">
        <is>
          <t>Priority Tier 3 (Broadband Expansion)</t>
        </is>
      </c>
    </row>
    <row r="1707">
      <c r="A1707" s="23" t="n">
        <v>5</v>
      </c>
      <c r="B1707" s="23" t="n">
        <v>703</v>
      </c>
      <c r="C1707" s="23" t="n">
        <v>4703</v>
      </c>
      <c r="D1707" s="23" t="inlineStr">
        <is>
          <t>0500501010</t>
        </is>
      </c>
      <c r="E1707" s="11" t="inlineStr">
        <is>
          <t>Region V (Bicol Region)</t>
        </is>
      </c>
      <c r="F1707" s="11" t="inlineStr">
        <is>
          <t>Albay</t>
        </is>
      </c>
      <c r="G1707" s="11" t="inlineStr">
        <is>
          <t>Bacacay</t>
        </is>
      </c>
      <c r="H1707" s="11" t="inlineStr">
        <is>
          <t>Cagbulacao</t>
        </is>
      </c>
      <c r="I1707" s="24" t="n">
        <v>13.277969</v>
      </c>
      <c r="J1707" s="24" t="n">
        <v>123.877405</v>
      </c>
      <c r="K1707" s="23" t="inlineStr">
        <is>
          <t>R</t>
        </is>
      </c>
      <c r="L1707" s="25" t="n">
        <v>896</v>
      </c>
      <c r="M1707" s="26" t="n">
        <v>4.1</v>
      </c>
      <c r="N1707" s="25">
        <f>ROUND(L1707/M1707, 0)</f>
        <v/>
      </c>
      <c r="O1707" s="25">
        <f>ROUND(N1707*'Methodology &amp; Assumptions'!$B$7, 0)</f>
        <v/>
      </c>
      <c r="P1707" s="23" t="inlineStr">
        <is>
          <t>Single Carrier (Band n50, 100MHz TDD)</t>
        </is>
      </c>
      <c r="Q1707" s="27">
        <f>ROUNDUP(O1707/'Methodology &amp; Assumptions'!$B$8, 0)</f>
        <v/>
      </c>
      <c r="R1707" s="27" t="n">
        <v>1</v>
      </c>
      <c r="S1707" s="26" t="n">
        <v>10.73</v>
      </c>
      <c r="T1707" s="26" t="n">
        <v>11.77</v>
      </c>
      <c r="U1707" s="11">
        <f>IF(S1707&lt;='Methodology &amp; Assumptions'!$B$10, "Direct Optical Drop (&lt;3km)", IF(S1707&lt;='Methodology &amp; Assumptions'!$B$9, "Near Optical / Microwave (&lt;5km)", "Starlink Business LEO Satellite Backhaul (&gt;5km)"))</f>
        <v/>
      </c>
      <c r="V1707" s="26" t="n">
        <v>46.8</v>
      </c>
      <c r="W1707" s="26" t="n">
        <v>68.61</v>
      </c>
      <c r="X1707" s="26">
        <f>ROUND(('Methodology &amp; Assumptions'!$B$5*V1707) + ('Methodology &amp; Assumptions'!$B$6*W1707), 2)</f>
        <v/>
      </c>
      <c r="Y1707" s="28" t="n">
        <v>23.7</v>
      </c>
      <c r="Z1707" s="11" t="inlineStr">
        <is>
          <t>Priority Tier 3 (Broadband Expansion)</t>
        </is>
      </c>
    </row>
    <row r="1708">
      <c r="A1708" s="23" t="n">
        <v>5</v>
      </c>
      <c r="B1708" s="23" t="n">
        <v>704</v>
      </c>
      <c r="C1708" s="23" t="n">
        <v>4704</v>
      </c>
      <c r="D1708" s="23" t="inlineStr">
        <is>
          <t>0203118017</t>
        </is>
      </c>
      <c r="E1708" s="11" t="inlineStr">
        <is>
          <t>Region II (Cagayan Valley)</t>
        </is>
      </c>
      <c r="F1708" s="11" t="inlineStr">
        <is>
          <t>Isabela</t>
        </is>
      </c>
      <c r="G1708" s="11" t="inlineStr">
        <is>
          <t>Delfin Albano</t>
        </is>
      </c>
      <c r="H1708" s="11" t="inlineStr">
        <is>
          <t>San Antonio</t>
        </is>
      </c>
      <c r="I1708" s="24" t="n">
        <v>17.27388</v>
      </c>
      <c r="J1708" s="24" t="n">
        <v>121.79345</v>
      </c>
      <c r="K1708" s="23" t="inlineStr">
        <is>
          <t>R</t>
        </is>
      </c>
      <c r="L1708" s="25" t="n">
        <v>3331</v>
      </c>
      <c r="M1708" s="26" t="n">
        <v>3.8</v>
      </c>
      <c r="N1708" s="25">
        <f>ROUND(L1708/M1708, 0)</f>
        <v/>
      </c>
      <c r="O1708" s="25">
        <f>ROUND(N1708*'Methodology &amp; Assumptions'!$B$7, 0)</f>
        <v/>
      </c>
      <c r="P1708" s="23" t="inlineStr">
        <is>
          <t>Single Carrier (Band n50, 100MHz TDD)</t>
        </is>
      </c>
      <c r="Q1708" s="27">
        <f>ROUNDUP(O1708/'Methodology &amp; Assumptions'!$B$8, 0)</f>
        <v/>
      </c>
      <c r="R1708" s="27" t="n">
        <v>1</v>
      </c>
      <c r="S1708" s="26" t="n">
        <v>0.89</v>
      </c>
      <c r="T1708" s="26" t="n">
        <v>0.82</v>
      </c>
      <c r="U1708" s="11">
        <f>IF(S1708&lt;='Methodology &amp; Assumptions'!$B$10, "Direct Optical Drop (&lt;3km)", IF(S1708&lt;='Methodology &amp; Assumptions'!$B$9, "Near Optical / Microwave (&lt;5km)", "Starlink Business LEO Satellite Backhaul (&gt;5km)"))</f>
        <v/>
      </c>
      <c r="V1708" s="26" t="n">
        <v>85.45</v>
      </c>
      <c r="W1708" s="26" t="n">
        <v>29.96</v>
      </c>
      <c r="X1708" s="26">
        <f>ROUND(('Methodology &amp; Assumptions'!$B$5*V1708) + ('Methodology &amp; Assumptions'!$B$6*W1708), 2)</f>
        <v/>
      </c>
      <c r="Y1708" s="28" t="n">
        <v>8.300000000000001</v>
      </c>
      <c r="Z1708" s="11" t="inlineStr">
        <is>
          <t>Priority Tier 3 (Broadband Expansion)</t>
        </is>
      </c>
    </row>
    <row r="1709">
      <c r="A1709" s="23" t="n">
        <v>5</v>
      </c>
      <c r="B1709" s="23" t="n">
        <v>705</v>
      </c>
      <c r="C1709" s="23" t="n">
        <v>4705</v>
      </c>
      <c r="D1709" s="23" t="inlineStr">
        <is>
          <t>0803739029</t>
        </is>
      </c>
      <c r="E1709" s="11" t="inlineStr">
        <is>
          <t>Region VIII (Eastern Visayas)</t>
        </is>
      </c>
      <c r="F1709" s="11" t="inlineStr">
        <is>
          <t>Leyte</t>
        </is>
      </c>
      <c r="G1709" s="11" t="inlineStr">
        <is>
          <t>Palo</t>
        </is>
      </c>
      <c r="H1709" s="11" t="inlineStr">
        <is>
          <t>San Joaquin</t>
        </is>
      </c>
      <c r="I1709" s="24" t="n">
        <v>11.142094</v>
      </c>
      <c r="J1709" s="24" t="n">
        <v>125.006213</v>
      </c>
      <c r="K1709" s="23" t="inlineStr">
        <is>
          <t>R</t>
        </is>
      </c>
      <c r="L1709" s="25" t="n">
        <v>2919</v>
      </c>
      <c r="M1709" s="26" t="n">
        <v>3.8</v>
      </c>
      <c r="N1709" s="25">
        <f>ROUND(L1709/M1709, 0)</f>
        <v/>
      </c>
      <c r="O1709" s="25">
        <f>ROUND(N1709*'Methodology &amp; Assumptions'!$B$7, 0)</f>
        <v/>
      </c>
      <c r="P1709" s="23" t="inlineStr">
        <is>
          <t>Single Carrier (Band n50, 100MHz TDD)</t>
        </is>
      </c>
      <c r="Q1709" s="27">
        <f>ROUNDUP(O1709/'Methodology &amp; Assumptions'!$B$8, 0)</f>
        <v/>
      </c>
      <c r="R1709" s="27" t="n">
        <v>1</v>
      </c>
      <c r="S1709" s="26" t="n">
        <v>1.08</v>
      </c>
      <c r="T1709" s="26" t="n">
        <v>0.35</v>
      </c>
      <c r="U1709" s="11">
        <f>IF(S1709&lt;='Methodology &amp; Assumptions'!$B$10, "Direct Optical Drop (&lt;3km)", IF(S1709&lt;='Methodology &amp; Assumptions'!$B$9, "Near Optical / Microwave (&lt;5km)", "Starlink Business LEO Satellite Backhaul (&gt;5km)"))</f>
        <v/>
      </c>
      <c r="V1709" s="26" t="n">
        <v>83.86</v>
      </c>
      <c r="W1709" s="26" t="n">
        <v>31.54</v>
      </c>
      <c r="X1709" s="26">
        <f>ROUND(('Methodology &amp; Assumptions'!$B$5*V1709) + ('Methodology &amp; Assumptions'!$B$6*W1709), 2)</f>
        <v/>
      </c>
      <c r="Y1709" s="28" t="n">
        <v>23.7</v>
      </c>
      <c r="Z1709" s="11" t="inlineStr">
        <is>
          <t>Priority Tier 3 (Broadband Expansion)</t>
        </is>
      </c>
    </row>
    <row r="1710">
      <c r="A1710" s="23" t="n">
        <v>5</v>
      </c>
      <c r="B1710" s="23" t="n">
        <v>706</v>
      </c>
      <c r="C1710" s="23" t="n">
        <v>4706</v>
      </c>
      <c r="D1710" s="23" t="inlineStr">
        <is>
          <t>1102414018</t>
        </is>
      </c>
      <c r="E1710" s="11" t="inlineStr">
        <is>
          <t>Region XI (Davao Region)</t>
        </is>
      </c>
      <c r="F1710" s="11" t="inlineStr">
        <is>
          <t>Davao del Sur</t>
        </is>
      </c>
      <c r="G1710" s="11" t="inlineStr">
        <is>
          <t>Sulop</t>
        </is>
      </c>
      <c r="H1710" s="11" t="inlineStr">
        <is>
          <t>Poblacion</t>
        </is>
      </c>
      <c r="I1710" s="24" t="n">
        <v>6.60228</v>
      </c>
      <c r="J1710" s="24" t="n">
        <v>125.344081</v>
      </c>
      <c r="K1710" s="23" t="inlineStr">
        <is>
          <t>U</t>
        </is>
      </c>
      <c r="L1710" s="25" t="n">
        <v>8316</v>
      </c>
      <c r="M1710" s="26" t="n">
        <v>3.4</v>
      </c>
      <c r="N1710" s="25">
        <f>ROUND(L1710/M1710, 0)</f>
        <v/>
      </c>
      <c r="O1710" s="25">
        <f>ROUND(N1710*'Methodology &amp; Assumptions'!$B$7, 0)</f>
        <v/>
      </c>
      <c r="P1710" s="23" t="inlineStr">
        <is>
          <t>Single Carrier (Band n50, 100MHz TDD)</t>
        </is>
      </c>
      <c r="Q1710" s="27">
        <f>ROUNDUP(O1710/'Methodology &amp; Assumptions'!$B$8, 0)</f>
        <v/>
      </c>
      <c r="R1710" s="27" t="n">
        <v>1</v>
      </c>
      <c r="S1710" s="26" t="n">
        <v>0.38</v>
      </c>
      <c r="T1710" s="26" t="n">
        <v>0.52</v>
      </c>
      <c r="U1710" s="11">
        <f>IF(S1710&lt;='Methodology &amp; Assumptions'!$B$10, "Direct Optical Drop (&lt;3km)", IF(S1710&lt;='Methodology &amp; Assumptions'!$B$9, "Near Optical / Microwave (&lt;5km)", "Starlink Business LEO Satellite Backhaul (&gt;5km)"))</f>
        <v/>
      </c>
      <c r="V1710" s="26" t="n">
        <v>79.87</v>
      </c>
      <c r="W1710" s="26" t="n">
        <v>35.54</v>
      </c>
      <c r="X1710" s="26">
        <f>ROUND(('Methodology &amp; Assumptions'!$B$5*V1710) + ('Methodology &amp; Assumptions'!$B$6*W1710), 2)</f>
        <v/>
      </c>
      <c r="Y1710" s="28" t="n">
        <v>17.4</v>
      </c>
      <c r="Z1710" s="11" t="inlineStr">
        <is>
          <t>Priority Tier 3 (Broadband Expansion)</t>
        </is>
      </c>
    </row>
    <row r="1711">
      <c r="A1711" s="23" t="n">
        <v>5</v>
      </c>
      <c r="B1711" s="23" t="n">
        <v>707</v>
      </c>
      <c r="C1711" s="23" t="n">
        <v>4707</v>
      </c>
      <c r="D1711" s="23" t="inlineStr">
        <is>
          <t>0301407015</t>
        </is>
      </c>
      <c r="E1711" s="11" t="inlineStr">
        <is>
          <t>Region III (Central Luzon)</t>
        </is>
      </c>
      <c r="F1711" s="11" t="inlineStr">
        <is>
          <t>Bulacan</t>
        </is>
      </c>
      <c r="G1711" s="11" t="inlineStr">
        <is>
          <t>Calumpit</t>
        </is>
      </c>
      <c r="H1711" s="11" t="inlineStr">
        <is>
          <t>Longos</t>
        </is>
      </c>
      <c r="I1711" s="24" t="n">
        <v>14.876182</v>
      </c>
      <c r="J1711" s="24" t="n">
        <v>120.784218</v>
      </c>
      <c r="K1711" s="23" t="inlineStr">
        <is>
          <t>R</t>
        </is>
      </c>
      <c r="L1711" s="25" t="n">
        <v>4458</v>
      </c>
      <c r="M1711" s="26" t="n">
        <v>3.5</v>
      </c>
      <c r="N1711" s="25">
        <f>ROUND(L1711/M1711, 0)</f>
        <v/>
      </c>
      <c r="O1711" s="25">
        <f>ROUND(N1711*'Methodology &amp; Assumptions'!$B$7, 0)</f>
        <v/>
      </c>
      <c r="P1711" s="23" t="inlineStr">
        <is>
          <t>Single Carrier (Band n50, 100MHz TDD)</t>
        </is>
      </c>
      <c r="Q1711" s="27">
        <f>ROUNDUP(O1711/'Methodology &amp; Assumptions'!$B$8, 0)</f>
        <v/>
      </c>
      <c r="R1711" s="27" t="n">
        <v>1</v>
      </c>
      <c r="S1711" s="26" t="n">
        <v>3.79</v>
      </c>
      <c r="T1711" s="26" t="n">
        <v>0.89</v>
      </c>
      <c r="U1711" s="11">
        <f>IF(S1711&lt;='Methodology &amp; Assumptions'!$B$10, "Direct Optical Drop (&lt;3km)", IF(S1711&lt;='Methodology &amp; Assumptions'!$B$9, "Near Optical / Microwave (&lt;5km)", "Starlink Business LEO Satellite Backhaul (&gt;5km)"))</f>
        <v/>
      </c>
      <c r="V1711" s="26" t="n">
        <v>76.43000000000001</v>
      </c>
      <c r="W1711" s="26" t="n">
        <v>38.97</v>
      </c>
      <c r="X1711" s="26">
        <f>ROUND(('Methodology &amp; Assumptions'!$B$5*V1711) + ('Methodology &amp; Assumptions'!$B$6*W1711), 2)</f>
        <v/>
      </c>
      <c r="Y1711" s="28" t="n">
        <v>8.300000000000001</v>
      </c>
      <c r="Z1711" s="11" t="inlineStr">
        <is>
          <t>Priority Tier 3 (Broadband Expansion)</t>
        </is>
      </c>
    </row>
    <row r="1712">
      <c r="A1712" s="23" t="n">
        <v>5</v>
      </c>
      <c r="B1712" s="23" t="n">
        <v>708</v>
      </c>
      <c r="C1712" s="23" t="n">
        <v>4708</v>
      </c>
      <c r="D1712" s="23" t="inlineStr">
        <is>
          <t>0304927004</t>
        </is>
      </c>
      <c r="E1712" s="11" t="inlineStr">
        <is>
          <t>Region III (Central Luzon)</t>
        </is>
      </c>
      <c r="F1712" s="11" t="inlineStr">
        <is>
          <t>Nueva Ecija</t>
        </is>
      </c>
      <c r="G1712" s="11" t="inlineStr">
        <is>
          <t>San Leonardo</t>
        </is>
      </c>
      <c r="H1712" s="11" t="inlineStr">
        <is>
          <t>Castellano</t>
        </is>
      </c>
      <c r="I1712" s="24" t="n">
        <v>15.319508</v>
      </c>
      <c r="J1712" s="24" t="n">
        <v>120.934547</v>
      </c>
      <c r="K1712" s="23" t="inlineStr">
        <is>
          <t>U</t>
        </is>
      </c>
      <c r="L1712" s="25" t="n">
        <v>6047</v>
      </c>
      <c r="M1712" s="26" t="n">
        <v>3.5</v>
      </c>
      <c r="N1712" s="25">
        <f>ROUND(L1712/M1712, 0)</f>
        <v/>
      </c>
      <c r="O1712" s="25">
        <f>ROUND(N1712*'Methodology &amp; Assumptions'!$B$7, 0)</f>
        <v/>
      </c>
      <c r="P1712" s="23" t="inlineStr">
        <is>
          <t>Single Carrier (Band n50, 100MHz TDD)</t>
        </is>
      </c>
      <c r="Q1712" s="27">
        <f>ROUNDUP(O1712/'Methodology &amp; Assumptions'!$B$8, 0)</f>
        <v/>
      </c>
      <c r="R1712" s="27" t="n">
        <v>1</v>
      </c>
      <c r="S1712" s="26" t="n">
        <v>1.64</v>
      </c>
      <c r="T1712" s="26" t="n">
        <v>0.27</v>
      </c>
      <c r="U1712" s="11">
        <f>IF(S1712&lt;='Methodology &amp; Assumptions'!$B$10, "Direct Optical Drop (&lt;3km)", IF(S1712&lt;='Methodology &amp; Assumptions'!$B$9, "Near Optical / Microwave (&lt;5km)", "Starlink Business LEO Satellite Backhaul (&gt;5km)"))</f>
        <v/>
      </c>
      <c r="V1712" s="26" t="n">
        <v>75.44</v>
      </c>
      <c r="W1712" s="26" t="n">
        <v>39.96</v>
      </c>
      <c r="X1712" s="26">
        <f>ROUND(('Methodology &amp; Assumptions'!$B$5*V1712) + ('Methodology &amp; Assumptions'!$B$6*W1712), 2)</f>
        <v/>
      </c>
      <c r="Y1712" s="28" t="n">
        <v>8.300000000000001</v>
      </c>
      <c r="Z1712" s="11" t="inlineStr">
        <is>
          <t>Priority Tier 3 (Broadband Expansion)</t>
        </is>
      </c>
    </row>
    <row r="1713">
      <c r="A1713" s="23" t="n">
        <v>5</v>
      </c>
      <c r="B1713" s="23" t="n">
        <v>709</v>
      </c>
      <c r="C1713" s="23" t="n">
        <v>4709</v>
      </c>
      <c r="D1713" s="23" t="inlineStr">
        <is>
          <t>0604511009</t>
        </is>
      </c>
      <c r="E1713" s="11" t="inlineStr">
        <is>
          <t>Region VI (Western Visayas)</t>
        </is>
      </c>
      <c r="F1713" s="11" t="inlineStr">
        <is>
          <t>Negros Occidental</t>
        </is>
      </c>
      <c r="G1713" s="11" t="inlineStr">
        <is>
          <t>Hinigaran</t>
        </is>
      </c>
      <c r="H1713" s="11" t="inlineStr">
        <is>
          <t>Calapi</t>
        </is>
      </c>
      <c r="I1713" s="24" t="n">
        <v>10.277911</v>
      </c>
      <c r="J1713" s="24" t="n">
        <v>122.969107</v>
      </c>
      <c r="K1713" s="23" t="inlineStr">
        <is>
          <t>R</t>
        </is>
      </c>
      <c r="L1713" s="25" t="n">
        <v>3892</v>
      </c>
      <c r="M1713" s="26" t="n">
        <v>3.7</v>
      </c>
      <c r="N1713" s="25">
        <f>ROUND(L1713/M1713, 0)</f>
        <v/>
      </c>
      <c r="O1713" s="25">
        <f>ROUND(N1713*'Methodology &amp; Assumptions'!$B$7, 0)</f>
        <v/>
      </c>
      <c r="P1713" s="23" t="inlineStr">
        <is>
          <t>Single Carrier (Band n50, 100MHz TDD)</t>
        </is>
      </c>
      <c r="Q1713" s="27">
        <f>ROUNDUP(O1713/'Methodology &amp; Assumptions'!$B$8, 0)</f>
        <v/>
      </c>
      <c r="R1713" s="27" t="n">
        <v>1</v>
      </c>
      <c r="S1713" s="26" t="n">
        <v>7.33</v>
      </c>
      <c r="T1713" s="26" t="n">
        <v>4.94</v>
      </c>
      <c r="U1713" s="11">
        <f>IF(S1713&lt;='Methodology &amp; Assumptions'!$B$10, "Direct Optical Drop (&lt;3km)", IF(S1713&lt;='Methodology &amp; Assumptions'!$B$9, "Near Optical / Microwave (&lt;5km)", "Starlink Business LEO Satellite Backhaul (&gt;5km)"))</f>
        <v/>
      </c>
      <c r="V1713" s="26" t="n">
        <v>69.84</v>
      </c>
      <c r="W1713" s="26" t="n">
        <v>45.56</v>
      </c>
      <c r="X1713" s="26">
        <f>ROUND(('Methodology &amp; Assumptions'!$B$5*V1713) + ('Methodology &amp; Assumptions'!$B$6*W1713), 2)</f>
        <v/>
      </c>
      <c r="Y1713" s="28" t="n">
        <v>23.7</v>
      </c>
      <c r="Z1713" s="11" t="inlineStr">
        <is>
          <t>Priority Tier 3 (Broadband Expansion)</t>
        </is>
      </c>
    </row>
    <row r="1714">
      <c r="A1714" s="23" t="n">
        <v>5</v>
      </c>
      <c r="B1714" s="23" t="n">
        <v>710</v>
      </c>
      <c r="C1714" s="23" t="n">
        <v>4710</v>
      </c>
      <c r="D1714" s="23" t="inlineStr">
        <is>
          <t>1705301020</t>
        </is>
      </c>
      <c r="E1714" s="11" t="inlineStr">
        <is>
          <t>MIMAROPA Region</t>
        </is>
      </c>
      <c r="F1714" s="11" t="inlineStr">
        <is>
          <t>Palawan</t>
        </is>
      </c>
      <c r="G1714" s="11" t="inlineStr">
        <is>
          <t>Aborlan</t>
        </is>
      </c>
      <c r="H1714" s="11" t="inlineStr">
        <is>
          <t>Culandanum</t>
        </is>
      </c>
      <c r="I1714" s="24" t="n">
        <v>9.553443</v>
      </c>
      <c r="J1714" s="24" t="n">
        <v>118.300065</v>
      </c>
      <c r="K1714" s="23" t="inlineStr">
        <is>
          <t>R</t>
        </is>
      </c>
      <c r="L1714" s="25" t="n">
        <v>1789</v>
      </c>
      <c r="M1714" s="26" t="n">
        <v>3.9</v>
      </c>
      <c r="N1714" s="25">
        <f>ROUND(L1714/M1714, 0)</f>
        <v/>
      </c>
      <c r="O1714" s="25">
        <f>ROUND(N1714*'Methodology &amp; Assumptions'!$B$7, 0)</f>
        <v/>
      </c>
      <c r="P1714" s="23" t="inlineStr">
        <is>
          <t>Single Carrier (Band n50, 100MHz TDD)</t>
        </is>
      </c>
      <c r="Q1714" s="27">
        <f>ROUNDUP(O1714/'Methodology &amp; Assumptions'!$B$8, 0)</f>
        <v/>
      </c>
      <c r="R1714" s="27" t="n">
        <v>1</v>
      </c>
      <c r="S1714" s="26" t="n">
        <v>51.88</v>
      </c>
      <c r="T1714" s="26" t="n">
        <v>53.84</v>
      </c>
      <c r="U1714" s="11">
        <f>IF(S1714&lt;='Methodology &amp; Assumptions'!$B$10, "Direct Optical Drop (&lt;3km)", IF(S1714&lt;='Methodology &amp; Assumptions'!$B$9, "Near Optical / Microwave (&lt;5km)", "Starlink Business LEO Satellite Backhaul (&gt;5km)"))</f>
        <v/>
      </c>
      <c r="V1714" s="26" t="n">
        <v>47.97</v>
      </c>
      <c r="W1714" s="26" t="n">
        <v>67.43000000000001</v>
      </c>
      <c r="X1714" s="26">
        <f>ROUND(('Methodology &amp; Assumptions'!$B$5*V1714) + ('Methodology &amp; Assumptions'!$B$6*W1714), 2)</f>
        <v/>
      </c>
      <c r="Y1714" s="28" t="n">
        <v>15</v>
      </c>
      <c r="Z1714" s="11" t="inlineStr">
        <is>
          <t>Priority Tier 3 (Broadband Expansion)</t>
        </is>
      </c>
    </row>
    <row r="1715">
      <c r="A1715" s="23" t="n">
        <v>5</v>
      </c>
      <c r="B1715" s="23" t="n">
        <v>711</v>
      </c>
      <c r="C1715" s="23" t="n">
        <v>4711</v>
      </c>
      <c r="D1715" s="23" t="inlineStr">
        <is>
          <t>1380601089</t>
        </is>
      </c>
      <c r="E1715" s="11" t="inlineStr">
        <is>
          <t>National Capital Region (NCR)</t>
        </is>
      </c>
      <c r="F1715" s="11" t="inlineStr">
        <is>
          <t>First District (Not a Province)</t>
        </is>
      </c>
      <c r="G1715" s="11" t="inlineStr">
        <is>
          <t>City of Manila</t>
        </is>
      </c>
      <c r="H1715" s="11" t="inlineStr">
        <is>
          <t>Barangay 89</t>
        </is>
      </c>
      <c r="I1715" s="24" t="n">
        <v>14.616288</v>
      </c>
      <c r="J1715" s="24" t="n">
        <v>120.968093</v>
      </c>
      <c r="K1715" s="23" t="inlineStr">
        <is>
          <t>U</t>
        </is>
      </c>
      <c r="L1715" s="25" t="n">
        <v>728</v>
      </c>
      <c r="M1715" s="26" t="n">
        <v>4.36</v>
      </c>
      <c r="N1715" s="25">
        <f>ROUND(L1715/M1715, 0)</f>
        <v/>
      </c>
      <c r="O1715" s="25">
        <f>ROUND(N1715*'Methodology &amp; Assumptions'!$B$7, 0)</f>
        <v/>
      </c>
      <c r="P1715" s="23" t="inlineStr">
        <is>
          <t>Single Carrier (Band n50, 100MHz TDD)</t>
        </is>
      </c>
      <c r="Q1715" s="27">
        <f>ROUNDUP(O1715/'Methodology &amp; Assumptions'!$B$8, 0)</f>
        <v/>
      </c>
      <c r="R1715" s="27" t="n">
        <v>1</v>
      </c>
      <c r="S1715" s="26" t="n">
        <v>0.61</v>
      </c>
      <c r="T1715" s="26" t="n">
        <v>0.28</v>
      </c>
      <c r="U1715" s="11">
        <f>IF(S1715&lt;='Methodology &amp; Assumptions'!$B$10, "Direct Optical Drop (&lt;3km)", IF(S1715&lt;='Methodology &amp; Assumptions'!$B$9, "Near Optical / Microwave (&lt;5km)", "Starlink Business LEO Satellite Backhaul (&gt;5km)"))</f>
        <v/>
      </c>
      <c r="V1715" s="26" t="n">
        <v>46.45</v>
      </c>
      <c r="W1715" s="26" t="n">
        <v>68.95999999999999</v>
      </c>
      <c r="X1715" s="26">
        <f>ROUND(('Methodology &amp; Assumptions'!$B$5*V1715) + ('Methodology &amp; Assumptions'!$B$6*W1715), 2)</f>
        <v/>
      </c>
      <c r="Y1715" s="28" t="n">
        <v>10.9</v>
      </c>
      <c r="Z1715" s="11" t="inlineStr">
        <is>
          <t>Priority Tier 3 (Broadband Expansion)</t>
        </is>
      </c>
    </row>
    <row r="1716">
      <c r="A1716" s="23" t="n">
        <v>5</v>
      </c>
      <c r="B1716" s="23" t="n">
        <v>712</v>
      </c>
      <c r="C1716" s="23" t="n">
        <v>4712</v>
      </c>
      <c r="D1716" s="23" t="inlineStr">
        <is>
          <t>1380605046</t>
        </is>
      </c>
      <c r="E1716" s="11" t="inlineStr">
        <is>
          <t>National Capital Region (NCR)</t>
        </is>
      </c>
      <c r="F1716" s="11" t="inlineStr">
        <is>
          <t>First District (Not a Province)</t>
        </is>
      </c>
      <c r="G1716" s="11" t="inlineStr">
        <is>
          <t>City of Manila</t>
        </is>
      </c>
      <c r="H1716" s="11" t="inlineStr">
        <is>
          <t>Barangay 344</t>
        </is>
      </c>
      <c r="I1716" s="24" t="n">
        <v>14.626058</v>
      </c>
      <c r="J1716" s="24" t="n">
        <v>120.984885</v>
      </c>
      <c r="K1716" s="23" t="inlineStr">
        <is>
          <t>U</t>
        </is>
      </c>
      <c r="L1716" s="25" t="n">
        <v>644</v>
      </c>
      <c r="M1716" s="26" t="n">
        <v>4.24</v>
      </c>
      <c r="N1716" s="25">
        <f>ROUND(L1716/M1716, 0)</f>
        <v/>
      </c>
      <c r="O1716" s="25">
        <f>ROUND(N1716*'Methodology &amp; Assumptions'!$B$7, 0)</f>
        <v/>
      </c>
      <c r="P1716" s="23" t="inlineStr">
        <is>
          <t>Single Carrier (Band n50, 100MHz TDD)</t>
        </is>
      </c>
      <c r="Q1716" s="27">
        <f>ROUNDUP(O1716/'Methodology &amp; Assumptions'!$B$8, 0)</f>
        <v/>
      </c>
      <c r="R1716" s="27" t="n">
        <v>1</v>
      </c>
      <c r="S1716" s="26" t="n">
        <v>1.08</v>
      </c>
      <c r="T1716" s="26" t="n">
        <v>0.12</v>
      </c>
      <c r="U1716" s="11">
        <f>IF(S1716&lt;='Methodology &amp; Assumptions'!$B$10, "Direct Optical Drop (&lt;3km)", IF(S1716&lt;='Methodology &amp; Assumptions'!$B$9, "Near Optical / Microwave (&lt;5km)", "Starlink Business LEO Satellite Backhaul (&gt;5km)"))</f>
        <v/>
      </c>
      <c r="V1716" s="26" t="n">
        <v>45.08</v>
      </c>
      <c r="W1716" s="26" t="n">
        <v>70.31999999999999</v>
      </c>
      <c r="X1716" s="26">
        <f>ROUND(('Methodology &amp; Assumptions'!$B$5*V1716) + ('Methodology &amp; Assumptions'!$B$6*W1716), 2)</f>
        <v/>
      </c>
      <c r="Y1716" s="28" t="n">
        <v>10.9</v>
      </c>
      <c r="Z1716" s="11" t="inlineStr">
        <is>
          <t>Priority Tier 3 (Broadband Expansion)</t>
        </is>
      </c>
    </row>
    <row r="1717">
      <c r="A1717" s="23" t="n">
        <v>5</v>
      </c>
      <c r="B1717" s="23" t="n">
        <v>713</v>
      </c>
      <c r="C1717" s="23" t="n">
        <v>4713</v>
      </c>
      <c r="D1717" s="23" t="inlineStr">
        <is>
          <t>0205006010</t>
        </is>
      </c>
      <c r="E1717" s="11" t="inlineStr">
        <is>
          <t>Region II (Cagayan Valley)</t>
        </is>
      </c>
      <c r="F1717" s="11" t="inlineStr">
        <is>
          <t>Nueva Vizcaya</t>
        </is>
      </c>
      <c r="G1717" s="11" t="inlineStr">
        <is>
          <t>Diadi</t>
        </is>
      </c>
      <c r="H1717" s="11" t="inlineStr">
        <is>
          <t>Poblacion</t>
        </is>
      </c>
      <c r="I1717" s="24" t="n">
        <v>16.661144</v>
      </c>
      <c r="J1717" s="24" t="n">
        <v>121.365003</v>
      </c>
      <c r="K1717" s="23" t="inlineStr">
        <is>
          <t>R</t>
        </is>
      </c>
      <c r="L1717" s="25" t="n">
        <v>3966</v>
      </c>
      <c r="M1717" s="26" t="n">
        <v>3.8</v>
      </c>
      <c r="N1717" s="25">
        <f>ROUND(L1717/M1717, 0)</f>
        <v/>
      </c>
      <c r="O1717" s="25">
        <f>ROUND(N1717*'Methodology &amp; Assumptions'!$B$7, 0)</f>
        <v/>
      </c>
      <c r="P1717" s="23" t="inlineStr">
        <is>
          <t>Single Carrier (Band n50, 100MHz TDD)</t>
        </is>
      </c>
      <c r="Q1717" s="27">
        <f>ROUNDUP(O1717/'Methodology &amp; Assumptions'!$B$8, 0)</f>
        <v/>
      </c>
      <c r="R1717" s="27" t="n">
        <v>1</v>
      </c>
      <c r="S1717" s="26" t="n">
        <v>0.43</v>
      </c>
      <c r="T1717" s="26" t="n">
        <v>0.02</v>
      </c>
      <c r="U1717" s="11">
        <f>IF(S1717&lt;='Methodology &amp; Assumptions'!$B$10, "Direct Optical Drop (&lt;3km)", IF(S1717&lt;='Methodology &amp; Assumptions'!$B$9, "Near Optical / Microwave (&lt;5km)", "Starlink Business LEO Satellite Backhaul (&gt;5km)"))</f>
        <v/>
      </c>
      <c r="V1717" s="26" t="n">
        <v>85.63</v>
      </c>
      <c r="W1717" s="26" t="n">
        <v>29.74</v>
      </c>
      <c r="X1717" s="26">
        <f>ROUND(('Methodology &amp; Assumptions'!$B$5*V1717) + ('Methodology &amp; Assumptions'!$B$6*W1717), 2)</f>
        <v/>
      </c>
      <c r="Y1717" s="28" t="n">
        <v>8.300000000000001</v>
      </c>
      <c r="Z1717" s="11" t="inlineStr">
        <is>
          <t>Priority Tier 3 (Broadband Expansion)</t>
        </is>
      </c>
    </row>
    <row r="1718">
      <c r="A1718" s="23" t="n">
        <v>5</v>
      </c>
      <c r="B1718" s="23" t="n">
        <v>714</v>
      </c>
      <c r="C1718" s="23" t="n">
        <v>4714</v>
      </c>
      <c r="D1718" s="23" t="inlineStr">
        <is>
          <t>0501721008</t>
        </is>
      </c>
      <c r="E1718" s="11" t="inlineStr">
        <is>
          <t>Region V (Bicol Region)</t>
        </is>
      </c>
      <c r="F1718" s="11" t="inlineStr">
        <is>
          <t>Camarines Sur</t>
        </is>
      </c>
      <c r="G1718" s="11" t="inlineStr">
        <is>
          <t>Milaor</t>
        </is>
      </c>
      <c r="H1718" s="11" t="inlineStr">
        <is>
          <t>Del Rosario</t>
        </is>
      </c>
      <c r="I1718" s="24" t="n">
        <v>13.594562</v>
      </c>
      <c r="J1718" s="24" t="n">
        <v>123.179323</v>
      </c>
      <c r="K1718" s="23" t="inlineStr">
        <is>
          <t>R</t>
        </is>
      </c>
      <c r="L1718" s="25" t="n">
        <v>2557</v>
      </c>
      <c r="M1718" s="26" t="n">
        <v>4.2</v>
      </c>
      <c r="N1718" s="25">
        <f>ROUND(L1718/M1718, 0)</f>
        <v/>
      </c>
      <c r="O1718" s="25">
        <f>ROUND(N1718*'Methodology &amp; Assumptions'!$B$7, 0)</f>
        <v/>
      </c>
      <c r="P1718" s="23" t="inlineStr">
        <is>
          <t>Single Carrier (Band n50, 100MHz TDD)</t>
        </is>
      </c>
      <c r="Q1718" s="27">
        <f>ROUNDUP(O1718/'Methodology &amp; Assumptions'!$B$8, 0)</f>
        <v/>
      </c>
      <c r="R1718" s="27" t="n">
        <v>1</v>
      </c>
      <c r="S1718" s="26" t="n">
        <v>0.36</v>
      </c>
      <c r="T1718" s="26" t="n">
        <v>0.22</v>
      </c>
      <c r="U1718" s="11">
        <f>IF(S1718&lt;='Methodology &amp; Assumptions'!$B$10, "Direct Optical Drop (&lt;3km)", IF(S1718&lt;='Methodology &amp; Assumptions'!$B$9, "Near Optical / Microwave (&lt;5km)", "Starlink Business LEO Satellite Backhaul (&gt;5km)"))</f>
        <v/>
      </c>
      <c r="V1718" s="26" t="n">
        <v>80.01000000000001</v>
      </c>
      <c r="W1718" s="26" t="n">
        <v>35.37</v>
      </c>
      <c r="X1718" s="26">
        <f>ROUND(('Methodology &amp; Assumptions'!$B$5*V1718) + ('Methodology &amp; Assumptions'!$B$6*W1718), 2)</f>
        <v/>
      </c>
      <c r="Y1718" s="28" t="n">
        <v>23.7</v>
      </c>
      <c r="Z1718" s="11" t="inlineStr">
        <is>
          <t>Priority Tier 3 (Broadband Expansion)</t>
        </is>
      </c>
    </row>
    <row r="1719">
      <c r="A1719" s="23" t="n">
        <v>5</v>
      </c>
      <c r="B1719" s="23" t="n">
        <v>715</v>
      </c>
      <c r="C1719" s="23" t="n">
        <v>4715</v>
      </c>
      <c r="D1719" s="23" t="inlineStr">
        <is>
          <t>0401022013</t>
        </is>
      </c>
      <c r="E1719" s="11" t="inlineStr">
        <is>
          <t>Region IV-A (CALABARZON)</t>
        </is>
      </c>
      <c r="F1719" s="11" t="inlineStr">
        <is>
          <t>Batangas</t>
        </is>
      </c>
      <c r="G1719" s="11" t="inlineStr">
        <is>
          <t>San Jose</t>
        </is>
      </c>
      <c r="H1719" s="11" t="inlineStr">
        <is>
          <t>Don Luis</t>
        </is>
      </c>
      <c r="I1719" s="24" t="n">
        <v>13.874308</v>
      </c>
      <c r="J1719" s="24" t="n">
        <v>121.103812</v>
      </c>
      <c r="K1719" s="23" t="inlineStr">
        <is>
          <t>R</t>
        </is>
      </c>
      <c r="L1719" s="25" t="n">
        <v>2162</v>
      </c>
      <c r="M1719" s="26" t="n">
        <v>3.6</v>
      </c>
      <c r="N1719" s="25">
        <f>ROUND(L1719/M1719, 0)</f>
        <v/>
      </c>
      <c r="O1719" s="25">
        <f>ROUND(N1719*'Methodology &amp; Assumptions'!$B$7, 0)</f>
        <v/>
      </c>
      <c r="P1719" s="23" t="inlineStr">
        <is>
          <t>Single Carrier (Band n50, 100MHz TDD)</t>
        </is>
      </c>
      <c r="Q1719" s="27">
        <f>ROUNDUP(O1719/'Methodology &amp; Assumptions'!$B$8, 0)</f>
        <v/>
      </c>
      <c r="R1719" s="27" t="n">
        <v>1</v>
      </c>
      <c r="S1719" s="26" t="n">
        <v>0.55</v>
      </c>
      <c r="T1719" s="26" t="n">
        <v>0.48</v>
      </c>
      <c r="U1719" s="11">
        <f>IF(S1719&lt;='Methodology &amp; Assumptions'!$B$10, "Direct Optical Drop (&lt;3km)", IF(S1719&lt;='Methodology &amp; Assumptions'!$B$9, "Near Optical / Microwave (&lt;5km)", "Starlink Business LEO Satellite Backhaul (&gt;5km)"))</f>
        <v/>
      </c>
      <c r="V1719" s="26" t="n">
        <v>78.44</v>
      </c>
      <c r="W1719" s="26" t="n">
        <v>36.94</v>
      </c>
      <c r="X1719" s="26">
        <f>ROUND(('Methodology &amp; Assumptions'!$B$5*V1719) + ('Methodology &amp; Assumptions'!$B$6*W1719), 2)</f>
        <v/>
      </c>
      <c r="Y1719" s="28" t="n">
        <v>7.2</v>
      </c>
      <c r="Z1719" s="11" t="inlineStr">
        <is>
          <t>Priority Tier 3 (Broadband Expansion)</t>
        </is>
      </c>
    </row>
    <row r="1720">
      <c r="A1720" s="23" t="n">
        <v>5</v>
      </c>
      <c r="B1720" s="23" t="n">
        <v>716</v>
      </c>
      <c r="C1720" s="23" t="n">
        <v>4716</v>
      </c>
      <c r="D1720" s="23" t="inlineStr">
        <is>
          <t>0304903067</t>
        </is>
      </c>
      <c r="E1720" s="11" t="inlineStr">
        <is>
          <t>Region III (Central Luzon)</t>
        </is>
      </c>
      <c r="F1720" s="11" t="inlineStr">
        <is>
          <t>Nueva Ecija</t>
        </is>
      </c>
      <c r="G1720" s="11" t="inlineStr">
        <is>
          <t>City of Cabanatuan</t>
        </is>
      </c>
      <c r="H1720" s="11" t="inlineStr">
        <is>
          <t>Samon</t>
        </is>
      </c>
      <c r="I1720" s="24" t="n">
        <v>15.585783</v>
      </c>
      <c r="J1720" s="24" t="n">
        <v>120.924577</v>
      </c>
      <c r="K1720" s="23" t="inlineStr">
        <is>
          <t>R</t>
        </is>
      </c>
      <c r="L1720" s="25" t="n">
        <v>1968</v>
      </c>
      <c r="M1720" s="26" t="n">
        <v>3.5</v>
      </c>
      <c r="N1720" s="25">
        <f>ROUND(L1720/M1720, 0)</f>
        <v/>
      </c>
      <c r="O1720" s="25">
        <f>ROUND(N1720*'Methodology &amp; Assumptions'!$B$7, 0)</f>
        <v/>
      </c>
      <c r="P1720" s="23" t="inlineStr">
        <is>
          <t>Single Carrier (Band n50, 100MHz TDD)</t>
        </is>
      </c>
      <c r="Q1720" s="27">
        <f>ROUNDUP(O1720/'Methodology &amp; Assumptions'!$B$8, 0)</f>
        <v/>
      </c>
      <c r="R1720" s="27" t="n">
        <v>1</v>
      </c>
      <c r="S1720" s="26" t="n">
        <v>0.71</v>
      </c>
      <c r="T1720" s="26" t="n">
        <v>0.52</v>
      </c>
      <c r="U1720" s="11">
        <f>IF(S1720&lt;='Methodology &amp; Assumptions'!$B$10, "Direct Optical Drop (&lt;3km)", IF(S1720&lt;='Methodology &amp; Assumptions'!$B$9, "Near Optical / Microwave (&lt;5km)", "Starlink Business LEO Satellite Backhaul (&gt;5km)"))</f>
        <v/>
      </c>
      <c r="V1720" s="26" t="n">
        <v>77.33</v>
      </c>
      <c r="W1720" s="26" t="n">
        <v>38.05</v>
      </c>
      <c r="X1720" s="26">
        <f>ROUND(('Methodology &amp; Assumptions'!$B$5*V1720) + ('Methodology &amp; Assumptions'!$B$6*W1720), 2)</f>
        <v/>
      </c>
      <c r="Y1720" s="28" t="n">
        <v>8.300000000000001</v>
      </c>
      <c r="Z1720" s="11" t="inlineStr">
        <is>
          <t>Priority Tier 3 (Broadband Expansion)</t>
        </is>
      </c>
    </row>
    <row r="1721">
      <c r="A1721" s="23" t="n">
        <v>5</v>
      </c>
      <c r="B1721" s="23" t="n">
        <v>717</v>
      </c>
      <c r="C1721" s="23" t="n">
        <v>4717</v>
      </c>
      <c r="D1721" s="23" t="inlineStr">
        <is>
          <t>0102905024</t>
        </is>
      </c>
      <c r="E1721" s="11" t="inlineStr">
        <is>
          <t>Region I (Ilocos Region)</t>
        </is>
      </c>
      <c r="F1721" s="11" t="inlineStr">
        <is>
          <t>Ilocos Sur</t>
        </is>
      </c>
      <c r="G1721" s="11" t="inlineStr">
        <is>
          <t>Cabugao</t>
        </is>
      </c>
      <c r="H1721" s="11" t="inlineStr">
        <is>
          <t>Quezon</t>
        </is>
      </c>
      <c r="I1721" s="24" t="n">
        <v>17.795267</v>
      </c>
      <c r="J1721" s="24" t="n">
        <v>120.458886</v>
      </c>
      <c r="K1721" s="23" t="inlineStr">
        <is>
          <t>R</t>
        </is>
      </c>
      <c r="L1721" s="25" t="n">
        <v>2070</v>
      </c>
      <c r="M1721" s="26" t="n">
        <v>3.8</v>
      </c>
      <c r="N1721" s="25">
        <f>ROUND(L1721/M1721, 0)</f>
        <v/>
      </c>
      <c r="O1721" s="25">
        <f>ROUND(N1721*'Methodology &amp; Assumptions'!$B$7, 0)</f>
        <v/>
      </c>
      <c r="P1721" s="23" t="inlineStr">
        <is>
          <t>Single Carrier (Band n50, 100MHz TDD)</t>
        </is>
      </c>
      <c r="Q1721" s="27">
        <f>ROUNDUP(O1721/'Methodology &amp; Assumptions'!$B$8, 0)</f>
        <v/>
      </c>
      <c r="R1721" s="27" t="n">
        <v>1</v>
      </c>
      <c r="S1721" s="26" t="n">
        <v>0.9</v>
      </c>
      <c r="T1721" s="26" t="n">
        <v>0.39</v>
      </c>
      <c r="U1721" s="11">
        <f>IF(S1721&lt;='Methodology &amp; Assumptions'!$B$10, "Direct Optical Drop (&lt;3km)", IF(S1721&lt;='Methodology &amp; Assumptions'!$B$9, "Near Optical / Microwave (&lt;5km)", "Starlink Business LEO Satellite Backhaul (&gt;5km)"))</f>
        <v/>
      </c>
      <c r="V1721" s="26" t="n">
        <v>76.55</v>
      </c>
      <c r="W1721" s="26" t="n">
        <v>38.83</v>
      </c>
      <c r="X1721" s="26">
        <f>ROUND(('Methodology &amp; Assumptions'!$B$5*V1721) + ('Methodology &amp; Assumptions'!$B$6*W1721), 2)</f>
        <v/>
      </c>
      <c r="Y1721" s="28" t="n">
        <v>8.300000000000001</v>
      </c>
      <c r="Z1721" s="11" t="inlineStr">
        <is>
          <t>Priority Tier 3 (Broadband Expansion)</t>
        </is>
      </c>
    </row>
    <row r="1722">
      <c r="A1722" s="23" t="n">
        <v>5</v>
      </c>
      <c r="B1722" s="23" t="n">
        <v>718</v>
      </c>
      <c r="C1722" s="23" t="n">
        <v>4718</v>
      </c>
      <c r="D1722" s="23" t="inlineStr">
        <is>
          <t>1705209033</t>
        </is>
      </c>
      <c r="E1722" s="11" t="inlineStr">
        <is>
          <t>MIMAROPA Region</t>
        </is>
      </c>
      <c r="F1722" s="11" t="inlineStr">
        <is>
          <t>Oriental Mindoro</t>
        </is>
      </c>
      <c r="G1722" s="11" t="inlineStr">
        <is>
          <t>Pinamalayan</t>
        </is>
      </c>
      <c r="H1722" s="11" t="inlineStr">
        <is>
          <t>Sta. Rita</t>
        </is>
      </c>
      <c r="I1722" s="24" t="n">
        <v>13.0426</v>
      </c>
      <c r="J1722" s="24" t="n">
        <v>121.4698</v>
      </c>
      <c r="K1722" s="23" t="inlineStr">
        <is>
          <t>U</t>
        </is>
      </c>
      <c r="L1722" s="25" t="n">
        <v>3065</v>
      </c>
      <c r="M1722" s="26" t="n">
        <v>3.9</v>
      </c>
      <c r="N1722" s="25">
        <f>ROUND(L1722/M1722, 0)</f>
        <v/>
      </c>
      <c r="O1722" s="25">
        <f>ROUND(N1722*'Methodology &amp; Assumptions'!$B$7, 0)</f>
        <v/>
      </c>
      <c r="P1722" s="23" t="inlineStr">
        <is>
          <t>Single Carrier (Band n50, 100MHz TDD)</t>
        </is>
      </c>
      <c r="Q1722" s="27">
        <f>ROUNDUP(O1722/'Methodology &amp; Assumptions'!$B$8, 0)</f>
        <v/>
      </c>
      <c r="R1722" s="27" t="n">
        <v>1</v>
      </c>
      <c r="S1722" s="26" t="n">
        <v>0.76</v>
      </c>
      <c r="T1722" s="26" t="n">
        <v>0.12</v>
      </c>
      <c r="U1722" s="11">
        <f>IF(S1722&lt;='Methodology &amp; Assumptions'!$B$10, "Direct Optical Drop (&lt;3km)", IF(S1722&lt;='Methodology &amp; Assumptions'!$B$9, "Near Optical / Microwave (&lt;5km)", "Starlink Business LEO Satellite Backhaul (&gt;5km)"))</f>
        <v/>
      </c>
      <c r="V1722" s="26" t="n">
        <v>76.33</v>
      </c>
      <c r="W1722" s="26" t="n">
        <v>39.04</v>
      </c>
      <c r="X1722" s="26">
        <f>ROUND(('Methodology &amp; Assumptions'!$B$5*V1722) + ('Methodology &amp; Assumptions'!$B$6*W1722), 2)</f>
        <v/>
      </c>
      <c r="Y1722" s="28" t="n">
        <v>15</v>
      </c>
      <c r="Z1722" s="11" t="inlineStr">
        <is>
          <t>Priority Tier 3 (Broadband Expansion)</t>
        </is>
      </c>
    </row>
    <row r="1723">
      <c r="A1723" s="23" t="n">
        <v>5</v>
      </c>
      <c r="B1723" s="23" t="n">
        <v>719</v>
      </c>
      <c r="C1723" s="23" t="n">
        <v>4719</v>
      </c>
      <c r="D1723" s="23" t="inlineStr">
        <is>
          <t>0402106079</t>
        </is>
      </c>
      <c r="E1723" s="11" t="inlineStr">
        <is>
          <t>Region IV-A (CALABARZON)</t>
        </is>
      </c>
      <c r="F1723" s="11" t="inlineStr">
        <is>
          <t>Cavite</t>
        </is>
      </c>
      <c r="G1723" s="11" t="inlineStr">
        <is>
          <t>City of Dasmariñas</t>
        </is>
      </c>
      <c r="H1723" s="11" t="inlineStr">
        <is>
          <t>Zone I-B</t>
        </is>
      </c>
      <c r="I1723" s="24" t="n">
        <v>14.333874</v>
      </c>
      <c r="J1723" s="24" t="n">
        <v>120.937433</v>
      </c>
      <c r="K1723" s="23" t="inlineStr">
        <is>
          <t>U</t>
        </is>
      </c>
      <c r="L1723" s="25" t="n">
        <v>5890</v>
      </c>
      <c r="M1723" s="26" t="n">
        <v>3.4</v>
      </c>
      <c r="N1723" s="25">
        <f>ROUND(L1723/M1723, 0)</f>
        <v/>
      </c>
      <c r="O1723" s="25">
        <f>ROUND(N1723*'Methodology &amp; Assumptions'!$B$7, 0)</f>
        <v/>
      </c>
      <c r="P1723" s="23" t="inlineStr">
        <is>
          <t>Single Carrier (Band n50, 100MHz TDD)</t>
        </is>
      </c>
      <c r="Q1723" s="27">
        <f>ROUNDUP(O1723/'Methodology &amp; Assumptions'!$B$8, 0)</f>
        <v/>
      </c>
      <c r="R1723" s="27" t="n">
        <v>1</v>
      </c>
      <c r="S1723" s="26" t="n">
        <v>1.87</v>
      </c>
      <c r="T1723" s="26" t="n">
        <v>3.97</v>
      </c>
      <c r="U1723" s="11">
        <f>IF(S1723&lt;='Methodology &amp; Assumptions'!$B$10, "Direct Optical Drop (&lt;3km)", IF(S1723&lt;='Methodology &amp; Assumptions'!$B$9, "Near Optical / Microwave (&lt;5km)", "Starlink Business LEO Satellite Backhaul (&gt;5km)"))</f>
        <v/>
      </c>
      <c r="V1723" s="26" t="n">
        <v>70.97</v>
      </c>
      <c r="W1723" s="26" t="n">
        <v>44.4</v>
      </c>
      <c r="X1723" s="26">
        <f>ROUND(('Methodology &amp; Assumptions'!$B$5*V1723) + ('Methodology &amp; Assumptions'!$B$6*W1723), 2)</f>
        <v/>
      </c>
      <c r="Y1723" s="28" t="n">
        <v>7.2</v>
      </c>
      <c r="Z1723" s="11" t="inlineStr">
        <is>
          <t>Priority Tier 3 (Broadband Expansion)</t>
        </is>
      </c>
    </row>
    <row r="1724">
      <c r="A1724" s="23" t="n">
        <v>5</v>
      </c>
      <c r="B1724" s="23" t="n">
        <v>720</v>
      </c>
      <c r="C1724" s="23" t="n">
        <v>4720</v>
      </c>
      <c r="D1724" s="23" t="inlineStr">
        <is>
          <t>0600401008</t>
        </is>
      </c>
      <c r="E1724" s="11" t="inlineStr">
        <is>
          <t>Region VI (Western Visayas)</t>
        </is>
      </c>
      <c r="F1724" s="11" t="inlineStr">
        <is>
          <t>Aklan</t>
        </is>
      </c>
      <c r="G1724" s="11" t="inlineStr">
        <is>
          <t>Altavas</t>
        </is>
      </c>
      <c r="H1724" s="11" t="inlineStr">
        <is>
          <t>Lupo</t>
        </is>
      </c>
      <c r="I1724" s="24" t="n">
        <v>11.51398</v>
      </c>
      <c r="J1724" s="24" t="n">
        <v>122.477859</v>
      </c>
      <c r="K1724" s="23" t="inlineStr">
        <is>
          <t>R</t>
        </is>
      </c>
      <c r="L1724" s="25" t="n">
        <v>2284</v>
      </c>
      <c r="M1724" s="26" t="n">
        <v>3.9</v>
      </c>
      <c r="N1724" s="25">
        <f>ROUND(L1724/M1724, 0)</f>
        <v/>
      </c>
      <c r="O1724" s="25">
        <f>ROUND(N1724*'Methodology &amp; Assumptions'!$B$7, 0)</f>
        <v/>
      </c>
      <c r="P1724" s="23" t="inlineStr">
        <is>
          <t>Single Carrier (Band n50, 100MHz TDD)</t>
        </is>
      </c>
      <c r="Q1724" s="27">
        <f>ROUNDUP(O1724/'Methodology &amp; Assumptions'!$B$8, 0)</f>
        <v/>
      </c>
      <c r="R1724" s="27" t="n">
        <v>1</v>
      </c>
      <c r="S1724" s="26" t="n">
        <v>2.44</v>
      </c>
      <c r="T1724" s="26" t="n">
        <v>2.56</v>
      </c>
      <c r="U1724" s="11">
        <f>IF(S1724&lt;='Methodology &amp; Assumptions'!$B$10, "Direct Optical Drop (&lt;3km)", IF(S1724&lt;='Methodology &amp; Assumptions'!$B$9, "Near Optical / Microwave (&lt;5km)", "Starlink Business LEO Satellite Backhaul (&gt;5km)"))</f>
        <v/>
      </c>
      <c r="V1724" s="26" t="n">
        <v>70.09999999999999</v>
      </c>
      <c r="W1724" s="26" t="n">
        <v>45.28</v>
      </c>
      <c r="X1724" s="26">
        <f>ROUND(('Methodology &amp; Assumptions'!$B$5*V1724) + ('Methodology &amp; Assumptions'!$B$6*W1724), 2)</f>
        <v/>
      </c>
      <c r="Y1724" s="28" t="n">
        <v>23.7</v>
      </c>
      <c r="Z1724" s="11" t="inlineStr">
        <is>
          <t>Priority Tier 3 (Broadband Expansion)</t>
        </is>
      </c>
    </row>
    <row r="1725">
      <c r="A1725" s="23" t="n">
        <v>5</v>
      </c>
      <c r="B1725" s="23" t="n">
        <v>721</v>
      </c>
      <c r="C1725" s="23" t="n">
        <v>4721</v>
      </c>
      <c r="D1725" s="23" t="inlineStr">
        <is>
          <t>1001308007</t>
        </is>
      </c>
      <c r="E1725" s="11" t="inlineStr">
        <is>
          <t>Region X (Northern Mindanao)</t>
        </is>
      </c>
      <c r="F1725" s="11" t="inlineStr">
        <is>
          <t>Bukidnon</t>
        </is>
      </c>
      <c r="G1725" s="11" t="inlineStr">
        <is>
          <t>Kibawe</t>
        </is>
      </c>
      <c r="H1725" s="11" t="inlineStr">
        <is>
          <t>East Kibawe</t>
        </is>
      </c>
      <c r="I1725" s="24" t="n">
        <v>7.5653</v>
      </c>
      <c r="J1725" s="24" t="n">
        <v>124.9886</v>
      </c>
      <c r="K1725" s="23" t="inlineStr">
        <is>
          <t>R</t>
        </is>
      </c>
      <c r="L1725" s="25" t="n">
        <v>3525</v>
      </c>
      <c r="M1725" s="26" t="n">
        <v>3.8</v>
      </c>
      <c r="N1725" s="25">
        <f>ROUND(L1725/M1725, 0)</f>
        <v/>
      </c>
      <c r="O1725" s="25">
        <f>ROUND(N1725*'Methodology &amp; Assumptions'!$B$7, 0)</f>
        <v/>
      </c>
      <c r="P1725" s="23" t="inlineStr">
        <is>
          <t>Single Carrier (Band n50, 100MHz TDD)</t>
        </is>
      </c>
      <c r="Q1725" s="27">
        <f>ROUNDUP(O1725/'Methodology &amp; Assumptions'!$B$8, 0)</f>
        <v/>
      </c>
      <c r="R1725" s="27" t="n">
        <v>1</v>
      </c>
      <c r="S1725" s="26" t="n">
        <v>0.63</v>
      </c>
      <c r="T1725" s="26" t="n">
        <v>0.4</v>
      </c>
      <c r="U1725" s="11">
        <f>IF(S1725&lt;='Methodology &amp; Assumptions'!$B$10, "Direct Optical Drop (&lt;3km)", IF(S1725&lt;='Methodology &amp; Assumptions'!$B$9, "Near Optical / Microwave (&lt;5km)", "Starlink Business LEO Satellite Backhaul (&gt;5km)"))</f>
        <v/>
      </c>
      <c r="V1725" s="26" t="n">
        <v>87.06999999999999</v>
      </c>
      <c r="W1725" s="26" t="n">
        <v>28.3</v>
      </c>
      <c r="X1725" s="26">
        <f>ROUND(('Methodology &amp; Assumptions'!$B$5*V1725) + ('Methodology &amp; Assumptions'!$B$6*W1725), 2)</f>
        <v/>
      </c>
      <c r="Y1725" s="28" t="n">
        <v>17.4</v>
      </c>
      <c r="Z1725" s="11" t="inlineStr">
        <is>
          <t>Priority Tier 3 (Broadband Expansion)</t>
        </is>
      </c>
    </row>
    <row r="1726">
      <c r="A1726" s="23" t="n">
        <v>5</v>
      </c>
      <c r="B1726" s="23" t="n">
        <v>722</v>
      </c>
      <c r="C1726" s="23" t="n">
        <v>4722</v>
      </c>
      <c r="D1726" s="23" t="inlineStr">
        <is>
          <t>1630400022</t>
        </is>
      </c>
      <c r="E1726" s="11" t="inlineStr">
        <is>
          <t>Region XIII (Caraga)</t>
        </is>
      </c>
      <c r="F1726" s="11" t="inlineStr">
        <is>
          <t>Agusan del Norte</t>
        </is>
      </c>
      <c r="G1726" s="11" t="inlineStr">
        <is>
          <t>City of Butuan</t>
        </is>
      </c>
      <c r="H1726" s="11" t="inlineStr">
        <is>
          <t>Bit-os</t>
        </is>
      </c>
      <c r="I1726" s="24" t="n">
        <v>9.024065999999999</v>
      </c>
      <c r="J1726" s="24" t="n">
        <v>125.518508</v>
      </c>
      <c r="K1726" s="23" t="inlineStr">
        <is>
          <t>R</t>
        </is>
      </c>
      <c r="L1726" s="25" t="n">
        <v>3055</v>
      </c>
      <c r="M1726" s="26" t="n">
        <v>4.1</v>
      </c>
      <c r="N1726" s="25">
        <f>ROUND(L1726/M1726, 0)</f>
        <v/>
      </c>
      <c r="O1726" s="25">
        <f>ROUND(N1726*'Methodology &amp; Assumptions'!$B$7, 0)</f>
        <v/>
      </c>
      <c r="P1726" s="23" t="inlineStr">
        <is>
          <t>Single Carrier (Band n50, 100MHz TDD)</t>
        </is>
      </c>
      <c r="Q1726" s="27">
        <f>ROUNDUP(O1726/'Methodology &amp; Assumptions'!$B$8, 0)</f>
        <v/>
      </c>
      <c r="R1726" s="27" t="n">
        <v>1</v>
      </c>
      <c r="S1726" s="26" t="n">
        <v>1.64</v>
      </c>
      <c r="T1726" s="26" t="n">
        <v>7.1</v>
      </c>
      <c r="U1726" s="11">
        <f>IF(S1726&lt;='Methodology &amp; Assumptions'!$B$10, "Direct Optical Drop (&lt;3km)", IF(S1726&lt;='Methodology &amp; Assumptions'!$B$9, "Near Optical / Microwave (&lt;5km)", "Starlink Business LEO Satellite Backhaul (&gt;5km)"))</f>
        <v/>
      </c>
      <c r="V1726" s="26" t="n">
        <v>77.31</v>
      </c>
      <c r="W1726" s="26" t="n">
        <v>38.05</v>
      </c>
      <c r="X1726" s="26">
        <f>ROUND(('Methodology &amp; Assumptions'!$B$5*V1726) + ('Methodology &amp; Assumptions'!$B$6*W1726), 2)</f>
        <v/>
      </c>
      <c r="Y1726" s="28" t="n">
        <v>17.4</v>
      </c>
      <c r="Z1726" s="11" t="inlineStr">
        <is>
          <t>Priority Tier 3 (Broadband Expansion)</t>
        </is>
      </c>
    </row>
    <row r="1727">
      <c r="A1727" s="23" t="n">
        <v>5</v>
      </c>
      <c r="B1727" s="23" t="n">
        <v>723</v>
      </c>
      <c r="C1727" s="23" t="n">
        <v>4723</v>
      </c>
      <c r="D1727" s="23" t="inlineStr">
        <is>
          <t>0102903006</t>
        </is>
      </c>
      <c r="E1727" s="11" t="inlineStr">
        <is>
          <t>Region I (Ilocos Region)</t>
        </is>
      </c>
      <c r="F1727" s="11" t="inlineStr">
        <is>
          <t>Ilocos Sur</t>
        </is>
      </c>
      <c r="G1727" s="11" t="inlineStr">
        <is>
          <t>Bantay</t>
        </is>
      </c>
      <c r="H1727" s="11" t="inlineStr">
        <is>
          <t>Buquig</t>
        </is>
      </c>
      <c r="I1727" s="24" t="n">
        <v>17.58399</v>
      </c>
      <c r="J1727" s="24" t="n">
        <v>120.39394</v>
      </c>
      <c r="K1727" s="23" t="inlineStr">
        <is>
          <t>R</t>
        </is>
      </c>
      <c r="L1727" s="25" t="n">
        <v>941</v>
      </c>
      <c r="M1727" s="26" t="n">
        <v>3.8</v>
      </c>
      <c r="N1727" s="25">
        <f>ROUND(L1727/M1727, 0)</f>
        <v/>
      </c>
      <c r="O1727" s="25">
        <f>ROUND(N1727*'Methodology &amp; Assumptions'!$B$7, 0)</f>
        <v/>
      </c>
      <c r="P1727" s="23" t="inlineStr">
        <is>
          <t>Single Carrier (Band n50, 100MHz TDD)</t>
        </is>
      </c>
      <c r="Q1727" s="27">
        <f>ROUNDUP(O1727/'Methodology &amp; Assumptions'!$B$8, 0)</f>
        <v/>
      </c>
      <c r="R1727" s="27" t="n">
        <v>1</v>
      </c>
      <c r="S1727" s="26" t="n">
        <v>1.13</v>
      </c>
      <c r="T1727" s="26" t="n">
        <v>0.48</v>
      </c>
      <c r="U1727" s="11">
        <f>IF(S1727&lt;='Methodology &amp; Assumptions'!$B$10, "Direct Optical Drop (&lt;3km)", IF(S1727&lt;='Methodology &amp; Assumptions'!$B$9, "Near Optical / Microwave (&lt;5km)", "Starlink Business LEO Satellite Backhaul (&gt;5km)"))</f>
        <v/>
      </c>
      <c r="V1727" s="26" t="n">
        <v>65.92</v>
      </c>
      <c r="W1727" s="26" t="n">
        <v>49.43</v>
      </c>
      <c r="X1727" s="26">
        <f>ROUND(('Methodology &amp; Assumptions'!$B$5*V1727) + ('Methodology &amp; Assumptions'!$B$6*W1727), 2)</f>
        <v/>
      </c>
      <c r="Y1727" s="28" t="n">
        <v>8.300000000000001</v>
      </c>
      <c r="Z1727" s="11" t="inlineStr">
        <is>
          <t>Priority Tier 3 (Broadband Expansion)</t>
        </is>
      </c>
    </row>
    <row r="1728">
      <c r="A1728" s="23" t="n">
        <v>5</v>
      </c>
      <c r="B1728" s="23" t="n">
        <v>724</v>
      </c>
      <c r="C1728" s="23" t="n">
        <v>4724</v>
      </c>
      <c r="D1728" s="23" t="inlineStr">
        <is>
          <t>1705320010</t>
        </is>
      </c>
      <c r="E1728" s="11" t="inlineStr">
        <is>
          <t>MIMAROPA Region</t>
        </is>
      </c>
      <c r="F1728" s="11" t="inlineStr">
        <is>
          <t>Palawan</t>
        </is>
      </c>
      <c r="G1728" s="11" t="inlineStr">
        <is>
          <t>Taytay</t>
        </is>
      </c>
      <c r="H1728" s="11" t="inlineStr">
        <is>
          <t>Cataban</t>
        </is>
      </c>
      <c r="I1728" s="24" t="n">
        <v>10.988001</v>
      </c>
      <c r="J1728" s="24" t="n">
        <v>119.396739</v>
      </c>
      <c r="K1728" s="23" t="inlineStr">
        <is>
          <t>R</t>
        </is>
      </c>
      <c r="L1728" s="25" t="n">
        <v>1486</v>
      </c>
      <c r="M1728" s="26" t="n">
        <v>3.9</v>
      </c>
      <c r="N1728" s="25">
        <f>ROUND(L1728/M1728, 0)</f>
        <v/>
      </c>
      <c r="O1728" s="25">
        <f>ROUND(N1728*'Methodology &amp; Assumptions'!$B$7, 0)</f>
        <v/>
      </c>
      <c r="P1728" s="23" t="inlineStr">
        <is>
          <t>Single Carrier (Band n50, 100MHz TDD)</t>
        </is>
      </c>
      <c r="Q1728" s="27">
        <f>ROUNDUP(O1728/'Methodology &amp; Assumptions'!$B$8, 0)</f>
        <v/>
      </c>
      <c r="R1728" s="27" t="n">
        <v>1</v>
      </c>
      <c r="S1728" s="26" t="n">
        <v>9.470000000000001</v>
      </c>
      <c r="T1728" s="26" t="n">
        <v>21.99</v>
      </c>
      <c r="U1728" s="11">
        <f>IF(S1728&lt;='Methodology &amp; Assumptions'!$B$10, "Direct Optical Drop (&lt;3km)", IF(S1728&lt;='Methodology &amp; Assumptions'!$B$9, "Near Optical / Microwave (&lt;5km)", "Starlink Business LEO Satellite Backhaul (&gt;5km)"))</f>
        <v/>
      </c>
      <c r="V1728" s="26" t="n">
        <v>50.56</v>
      </c>
      <c r="W1728" s="26" t="n">
        <v>64.8</v>
      </c>
      <c r="X1728" s="26">
        <f>ROUND(('Methodology &amp; Assumptions'!$B$5*V1728) + ('Methodology &amp; Assumptions'!$B$6*W1728), 2)</f>
        <v/>
      </c>
      <c r="Y1728" s="28" t="n">
        <v>15</v>
      </c>
      <c r="Z1728" s="11" t="inlineStr">
        <is>
          <t>Priority Tier 3 (Broadband Expansion)</t>
        </is>
      </c>
    </row>
    <row r="1729">
      <c r="A1729" s="23" t="n">
        <v>5</v>
      </c>
      <c r="B1729" s="23" t="n">
        <v>725</v>
      </c>
      <c r="C1729" s="23" t="n">
        <v>4725</v>
      </c>
      <c r="D1729" s="23" t="inlineStr">
        <is>
          <t>0802615016</t>
        </is>
      </c>
      <c r="E1729" s="11" t="inlineStr">
        <is>
          <t>Region VIII (Eastern Visayas)</t>
        </is>
      </c>
      <c r="F1729" s="11" t="inlineStr">
        <is>
          <t>Eastern Samar</t>
        </is>
      </c>
      <c r="G1729" s="11" t="inlineStr">
        <is>
          <t>Maydolong</t>
        </is>
      </c>
      <c r="H1729" s="11" t="inlineStr">
        <is>
          <t>Barangay Poblacion 4</t>
        </is>
      </c>
      <c r="I1729" s="24" t="n">
        <v>11.496697</v>
      </c>
      <c r="J1729" s="24" t="n">
        <v>125.471997</v>
      </c>
      <c r="K1729" s="23" t="inlineStr">
        <is>
          <t>R</t>
        </is>
      </c>
      <c r="L1729" s="25" t="n">
        <v>1706</v>
      </c>
      <c r="M1729" s="26" t="n">
        <v>3.9</v>
      </c>
      <c r="N1729" s="25">
        <f>ROUND(L1729/M1729, 0)</f>
        <v/>
      </c>
      <c r="O1729" s="25">
        <f>ROUND(N1729*'Methodology &amp; Assumptions'!$B$7, 0)</f>
        <v/>
      </c>
      <c r="P1729" s="23" t="inlineStr">
        <is>
          <t>Single Carrier (Band n50, 100MHz TDD)</t>
        </is>
      </c>
      <c r="Q1729" s="27">
        <f>ROUNDUP(O1729/'Methodology &amp; Assumptions'!$B$8, 0)</f>
        <v/>
      </c>
      <c r="R1729" s="27" t="n">
        <v>1</v>
      </c>
      <c r="S1729" s="26" t="n">
        <v>58.63</v>
      </c>
      <c r="T1729" s="26" t="n">
        <v>58.93</v>
      </c>
      <c r="U1729" s="11">
        <f>IF(S1729&lt;='Methodology &amp; Assumptions'!$B$10, "Direct Optical Drop (&lt;3km)", IF(S1729&lt;='Methodology &amp; Assumptions'!$B$9, "Near Optical / Microwave (&lt;5km)", "Starlink Business LEO Satellite Backhaul (&gt;5km)"))</f>
        <v/>
      </c>
      <c r="V1729" s="26" t="n">
        <v>49.49</v>
      </c>
      <c r="W1729" s="26" t="n">
        <v>65.87</v>
      </c>
      <c r="X1729" s="26">
        <f>ROUND(('Methodology &amp; Assumptions'!$B$5*V1729) + ('Methodology &amp; Assumptions'!$B$6*W1729), 2)</f>
        <v/>
      </c>
      <c r="Y1729" s="28" t="n">
        <v>23.7</v>
      </c>
      <c r="Z1729" s="11" t="inlineStr">
        <is>
          <t>Priority Tier 3 (Broadband Expansion)</t>
        </is>
      </c>
    </row>
    <row r="1730">
      <c r="A1730" s="23" t="n">
        <v>5</v>
      </c>
      <c r="B1730" s="23" t="n">
        <v>726</v>
      </c>
      <c r="C1730" s="23" t="n">
        <v>4726</v>
      </c>
      <c r="D1730" s="23" t="inlineStr">
        <is>
          <t>1380610006</t>
        </is>
      </c>
      <c r="E1730" s="11" t="inlineStr">
        <is>
          <t>National Capital Region (NCR)</t>
        </is>
      </c>
      <c r="F1730" s="11" t="inlineStr">
        <is>
          <t>First District (Not a Province)</t>
        </is>
      </c>
      <c r="G1730" s="11" t="inlineStr">
        <is>
          <t>City of Manila</t>
        </is>
      </c>
      <c r="H1730" s="11" t="inlineStr">
        <is>
          <t>Barangay 691</t>
        </is>
      </c>
      <c r="I1730" s="24" t="n">
        <v>14.572609</v>
      </c>
      <c r="J1730" s="24" t="n">
        <v>120.992472</v>
      </c>
      <c r="K1730" s="23" t="inlineStr">
        <is>
          <t>U</t>
        </is>
      </c>
      <c r="L1730" s="25" t="n">
        <v>434</v>
      </c>
      <c r="M1730" s="26" t="n">
        <v>3.88</v>
      </c>
      <c r="N1730" s="25">
        <f>ROUND(L1730/M1730, 0)</f>
        <v/>
      </c>
      <c r="O1730" s="25">
        <f>ROUND(N1730*'Methodology &amp; Assumptions'!$B$7, 0)</f>
        <v/>
      </c>
      <c r="P1730" s="23" t="inlineStr">
        <is>
          <t>Single Carrier (Band n50, 100MHz TDD)</t>
        </is>
      </c>
      <c r="Q1730" s="27">
        <f>ROUNDUP(O1730/'Methodology &amp; Assumptions'!$B$8, 0)</f>
        <v/>
      </c>
      <c r="R1730" s="27" t="n">
        <v>1</v>
      </c>
      <c r="S1730" s="26" t="n">
        <v>0.2</v>
      </c>
      <c r="T1730" s="26" t="n">
        <v>0.17</v>
      </c>
      <c r="U1730" s="11">
        <f>IF(S1730&lt;='Methodology &amp; Assumptions'!$B$10, "Direct Optical Drop (&lt;3km)", IF(S1730&lt;='Methodology &amp; Assumptions'!$B$9, "Near Optical / Microwave (&lt;5km)", "Starlink Business LEO Satellite Backhaul (&gt;5km)"))</f>
        <v/>
      </c>
      <c r="V1730" s="26" t="n">
        <v>44.73</v>
      </c>
      <c r="W1730" s="26" t="n">
        <v>70.62</v>
      </c>
      <c r="X1730" s="26">
        <f>ROUND(('Methodology &amp; Assumptions'!$B$5*V1730) + ('Methodology &amp; Assumptions'!$B$6*W1730), 2)</f>
        <v/>
      </c>
      <c r="Y1730" s="28" t="n">
        <v>10.9</v>
      </c>
      <c r="Z1730" s="11" t="inlineStr">
        <is>
          <t>Priority Tier 3 (Broadband Expansion)</t>
        </is>
      </c>
    </row>
    <row r="1731">
      <c r="A1731" s="23" t="n">
        <v>5</v>
      </c>
      <c r="B1731" s="23" t="n">
        <v>727</v>
      </c>
      <c r="C1731" s="23" t="n">
        <v>4727</v>
      </c>
      <c r="D1731" s="23" t="inlineStr">
        <is>
          <t>1903621007</t>
        </is>
      </c>
      <c r="E1731" s="11" t="inlineStr">
        <is>
          <t>Bangsamoro Autonomous Region In Muslim Mindanao (BARMM)</t>
        </is>
      </c>
      <c r="F1731" s="11" t="inlineStr">
        <is>
          <t>Lanao del Sur</t>
        </is>
      </c>
      <c r="G1731" s="11" t="inlineStr">
        <is>
          <t>Piagapo</t>
        </is>
      </c>
      <c r="H1731" s="11" t="inlineStr">
        <is>
          <t>Bubong Tawa-an</t>
        </is>
      </c>
      <c r="I1731" s="24" t="n">
        <v>8.005565000000001</v>
      </c>
      <c r="J1731" s="24" t="n">
        <v>124.196993</v>
      </c>
      <c r="K1731" s="23" t="inlineStr">
        <is>
          <t>R</t>
        </is>
      </c>
      <c r="L1731" s="25" t="n">
        <v>811</v>
      </c>
      <c r="M1731" s="26" t="n">
        <v>5.7</v>
      </c>
      <c r="N1731" s="25">
        <f>ROUND(L1731/M1731, 0)</f>
        <v/>
      </c>
      <c r="O1731" s="25">
        <f>ROUND(N1731*'Methodology &amp; Assumptions'!$B$7, 0)</f>
        <v/>
      </c>
      <c r="P1731" s="23" t="inlineStr">
        <is>
          <t>Single Carrier (Band n50, 100MHz TDD)</t>
        </is>
      </c>
      <c r="Q1731" s="27">
        <f>ROUNDUP(O1731/'Methodology &amp; Assumptions'!$B$8, 0)</f>
        <v/>
      </c>
      <c r="R1731" s="27" t="n">
        <v>1</v>
      </c>
      <c r="S1731" s="26" t="n">
        <v>8.529999999999999</v>
      </c>
      <c r="T1731" s="26" t="n">
        <v>7.36</v>
      </c>
      <c r="U1731" s="11">
        <f>IF(S1731&lt;='Methodology &amp; Assumptions'!$B$10, "Direct Optical Drop (&lt;3km)", IF(S1731&lt;='Methodology &amp; Assumptions'!$B$9, "Near Optical / Microwave (&lt;5km)", "Starlink Business LEO Satellite Backhaul (&gt;5km)"))</f>
        <v/>
      </c>
      <c r="V1731" s="26" t="n">
        <v>41.52</v>
      </c>
      <c r="W1731" s="26" t="n">
        <v>73.84999999999999</v>
      </c>
      <c r="X1731" s="26">
        <f>ROUND(('Methodology &amp; Assumptions'!$B$5*V1731) + ('Methodology &amp; Assumptions'!$B$6*W1731), 2)</f>
        <v/>
      </c>
      <c r="Y1731" s="28" t="n">
        <v>11</v>
      </c>
      <c r="Z1731" s="11" t="inlineStr">
        <is>
          <t>Priority Tier 3 (Broadband Expansion)</t>
        </is>
      </c>
    </row>
    <row r="1732">
      <c r="A1732" s="23" t="n">
        <v>5</v>
      </c>
      <c r="B1732" s="23" t="n">
        <v>728</v>
      </c>
      <c r="C1732" s="23" t="n">
        <v>4728</v>
      </c>
      <c r="D1732" s="23" t="inlineStr">
        <is>
          <t>0301419036</t>
        </is>
      </c>
      <c r="E1732" s="11" t="inlineStr">
        <is>
          <t>Region III (Central Luzon)</t>
        </is>
      </c>
      <c r="F1732" s="11" t="inlineStr">
        <is>
          <t>Bulacan</t>
        </is>
      </c>
      <c r="G1732" s="11" t="inlineStr">
        <is>
          <t>San Ildefonso</t>
        </is>
      </c>
      <c r="H1732" s="11" t="inlineStr">
        <is>
          <t>Upig</t>
        </is>
      </c>
      <c r="I1732" s="24" t="n">
        <v>15.025204</v>
      </c>
      <c r="J1732" s="24" t="n">
        <v>120.991917</v>
      </c>
      <c r="K1732" s="23" t="inlineStr">
        <is>
          <t>R</t>
        </is>
      </c>
      <c r="L1732" s="25" t="n">
        <v>2853</v>
      </c>
      <c r="M1732" s="26" t="n">
        <v>3.5</v>
      </c>
      <c r="N1732" s="25">
        <f>ROUND(L1732/M1732, 0)</f>
        <v/>
      </c>
      <c r="O1732" s="25">
        <f>ROUND(N1732*'Methodology &amp; Assumptions'!$B$7, 0)</f>
        <v/>
      </c>
      <c r="P1732" s="23" t="inlineStr">
        <is>
          <t>Single Carrier (Band n50, 100MHz TDD)</t>
        </is>
      </c>
      <c r="Q1732" s="27">
        <f>ROUNDUP(O1732/'Methodology &amp; Assumptions'!$B$8, 0)</f>
        <v/>
      </c>
      <c r="R1732" s="27" t="n">
        <v>1</v>
      </c>
      <c r="S1732" s="26" t="n">
        <v>0.37</v>
      </c>
      <c r="T1732" s="26" t="n">
        <v>6.02</v>
      </c>
      <c r="U1732" s="11">
        <f>IF(S1732&lt;='Methodology &amp; Assumptions'!$B$10, "Direct Optical Drop (&lt;3km)", IF(S1732&lt;='Methodology &amp; Assumptions'!$B$9, "Near Optical / Microwave (&lt;5km)", "Starlink Business LEO Satellite Backhaul (&gt;5km)"))</f>
        <v/>
      </c>
      <c r="V1732" s="26" t="n">
        <v>83.86</v>
      </c>
      <c r="W1732" s="26" t="n">
        <v>31.48</v>
      </c>
      <c r="X1732" s="26">
        <f>ROUND(('Methodology &amp; Assumptions'!$B$5*V1732) + ('Methodology &amp; Assumptions'!$B$6*W1732), 2)</f>
        <v/>
      </c>
      <c r="Y1732" s="28" t="n">
        <v>8.300000000000001</v>
      </c>
      <c r="Z1732" s="11" t="inlineStr">
        <is>
          <t>Priority Tier 3 (Broadband Expansion)</t>
        </is>
      </c>
    </row>
    <row r="1733">
      <c r="A1733" s="23" t="n">
        <v>5</v>
      </c>
      <c r="B1733" s="23" t="n">
        <v>729</v>
      </c>
      <c r="C1733" s="23" t="n">
        <v>4729</v>
      </c>
      <c r="D1733" s="23" t="inlineStr">
        <is>
          <t>0304923016</t>
        </is>
      </c>
      <c r="E1733" s="11" t="inlineStr">
        <is>
          <t>Region III (Central Luzon)</t>
        </is>
      </c>
      <c r="F1733" s="11" t="inlineStr">
        <is>
          <t>Nueva Ecija</t>
        </is>
      </c>
      <c r="G1733" s="11" t="inlineStr">
        <is>
          <t>Rizal</t>
        </is>
      </c>
      <c r="H1733" s="11" t="inlineStr">
        <is>
          <t>General Luna</t>
        </is>
      </c>
      <c r="I1733" s="24" t="n">
        <v>13.692128</v>
      </c>
      <c r="J1733" s="24" t="n">
        <v>121.42697</v>
      </c>
      <c r="K1733" s="23" t="inlineStr">
        <is>
          <t>R</t>
        </is>
      </c>
      <c r="L1733" s="25" t="n">
        <v>2404</v>
      </c>
      <c r="M1733" s="26" t="n">
        <v>3.6</v>
      </c>
      <c r="N1733" s="25">
        <f>ROUND(L1733/M1733, 0)</f>
        <v/>
      </c>
      <c r="O1733" s="25">
        <f>ROUND(N1733*'Methodology &amp; Assumptions'!$B$7, 0)</f>
        <v/>
      </c>
      <c r="P1733" s="23" t="inlineStr">
        <is>
          <t>Single Carrier (Band n50, 100MHz TDD)</t>
        </is>
      </c>
      <c r="Q1733" s="27">
        <f>ROUNDUP(O1733/'Methodology &amp; Assumptions'!$B$8, 0)</f>
        <v/>
      </c>
      <c r="R1733" s="27" t="n">
        <v>1</v>
      </c>
      <c r="S1733" s="26" t="n">
        <v>0.82</v>
      </c>
      <c r="T1733" s="26" t="n">
        <v>10.77</v>
      </c>
      <c r="U1733" s="11">
        <f>IF(S1733&lt;='Methodology &amp; Assumptions'!$B$10, "Direct Optical Drop (&lt;3km)", IF(S1733&lt;='Methodology &amp; Assumptions'!$B$9, "Near Optical / Microwave (&lt;5km)", "Starlink Business LEO Satellite Backhaul (&gt;5km)"))</f>
        <v/>
      </c>
      <c r="V1733" s="26" t="n">
        <v>77.3</v>
      </c>
      <c r="W1733" s="26" t="n">
        <v>38.05</v>
      </c>
      <c r="X1733" s="26">
        <f>ROUND(('Methodology &amp; Assumptions'!$B$5*V1733) + ('Methodology &amp; Assumptions'!$B$6*W1733), 2)</f>
        <v/>
      </c>
      <c r="Y1733" s="28" t="n">
        <v>8.300000000000001</v>
      </c>
      <c r="Z1733" s="11" t="inlineStr">
        <is>
          <t>Priority Tier 3 (Broadband Expansion)</t>
        </is>
      </c>
    </row>
    <row r="1734">
      <c r="A1734" s="23" t="n">
        <v>5</v>
      </c>
      <c r="B1734" s="23" t="n">
        <v>730</v>
      </c>
      <c r="C1734" s="23" t="n">
        <v>4730</v>
      </c>
      <c r="D1734" s="23" t="inlineStr">
        <is>
          <t>0405809008</t>
        </is>
      </c>
      <c r="E1734" s="11" t="inlineStr">
        <is>
          <t>Region IV-A (CALABARZON)</t>
        </is>
      </c>
      <c r="F1734" s="11" t="inlineStr">
        <is>
          <t>Rizal</t>
        </is>
      </c>
      <c r="G1734" s="11" t="inlineStr">
        <is>
          <t>Morong</t>
        </is>
      </c>
      <c r="H1734" s="11" t="inlineStr">
        <is>
          <t>San Pedro</t>
        </is>
      </c>
      <c r="I1734" s="24" t="n">
        <v>14.508496</v>
      </c>
      <c r="J1734" s="24" t="n">
        <v>121.236882</v>
      </c>
      <c r="K1734" s="23" t="inlineStr">
        <is>
          <t>U</t>
        </is>
      </c>
      <c r="L1734" s="25" t="n">
        <v>5797</v>
      </c>
      <c r="M1734" s="26" t="n">
        <v>3.6</v>
      </c>
      <c r="N1734" s="25">
        <f>ROUND(L1734/M1734, 0)</f>
        <v/>
      </c>
      <c r="O1734" s="25">
        <f>ROUND(N1734*'Methodology &amp; Assumptions'!$B$7, 0)</f>
        <v/>
      </c>
      <c r="P1734" s="23" t="inlineStr">
        <is>
          <t>Single Carrier (Band n50, 100MHz TDD)</t>
        </is>
      </c>
      <c r="Q1734" s="27">
        <f>ROUNDUP(O1734/'Methodology &amp; Assumptions'!$B$8, 0)</f>
        <v/>
      </c>
      <c r="R1734" s="27" t="n">
        <v>1</v>
      </c>
      <c r="S1734" s="26" t="n">
        <v>1.47</v>
      </c>
      <c r="T1734" s="26" t="n">
        <v>0.21</v>
      </c>
      <c r="U1734" s="11">
        <f>IF(S1734&lt;='Methodology &amp; Assumptions'!$B$10, "Direct Optical Drop (&lt;3km)", IF(S1734&lt;='Methodology &amp; Assumptions'!$B$9, "Near Optical / Microwave (&lt;5km)", "Starlink Business LEO Satellite Backhaul (&gt;5km)"))</f>
        <v/>
      </c>
      <c r="V1734" s="26" t="n">
        <v>75.88</v>
      </c>
      <c r="W1734" s="26" t="n">
        <v>39.45</v>
      </c>
      <c r="X1734" s="26">
        <f>ROUND(('Methodology &amp; Assumptions'!$B$5*V1734) + ('Methodology &amp; Assumptions'!$B$6*W1734), 2)</f>
        <v/>
      </c>
      <c r="Y1734" s="28" t="n">
        <v>7.2</v>
      </c>
      <c r="Z1734" s="11" t="inlineStr">
        <is>
          <t>Priority Tier 3 (Broadband Expansion)</t>
        </is>
      </c>
    </row>
    <row r="1735">
      <c r="A1735" s="23" t="n">
        <v>5</v>
      </c>
      <c r="B1735" s="23" t="n">
        <v>731</v>
      </c>
      <c r="C1735" s="23" t="n">
        <v>4731</v>
      </c>
      <c r="D1735" s="23" t="inlineStr">
        <is>
          <t>0306903063</t>
        </is>
      </c>
      <c r="E1735" s="11" t="inlineStr">
        <is>
          <t>Region III (Central Luzon)</t>
        </is>
      </c>
      <c r="F1735" s="11" t="inlineStr">
        <is>
          <t>Tarlac</t>
        </is>
      </c>
      <c r="G1735" s="11" t="inlineStr">
        <is>
          <t>Camiling</t>
        </is>
      </c>
      <c r="H1735" s="11" t="inlineStr">
        <is>
          <t>Surgui 1st</t>
        </is>
      </c>
      <c r="I1735" s="24" t="n">
        <v>15.681389</v>
      </c>
      <c r="J1735" s="24" t="n">
        <v>120.411667</v>
      </c>
      <c r="K1735" s="23" t="inlineStr">
        <is>
          <t>R</t>
        </is>
      </c>
      <c r="L1735" s="25" t="n">
        <v>1172</v>
      </c>
      <c r="M1735" s="26" t="n">
        <v>3.9</v>
      </c>
      <c r="N1735" s="25">
        <f>ROUND(L1735/M1735, 0)</f>
        <v/>
      </c>
      <c r="O1735" s="25">
        <f>ROUND(N1735*'Methodology &amp; Assumptions'!$B$7, 0)</f>
        <v/>
      </c>
      <c r="P1735" s="23" t="inlineStr">
        <is>
          <t>Single Carrier (Band n50, 100MHz TDD)</t>
        </is>
      </c>
      <c r="Q1735" s="27">
        <f>ROUNDUP(O1735/'Methodology &amp; Assumptions'!$B$8, 0)</f>
        <v/>
      </c>
      <c r="R1735" s="27" t="n">
        <v>1</v>
      </c>
      <c r="S1735" s="26" t="n">
        <v>0.65</v>
      </c>
      <c r="T1735" s="26" t="n">
        <v>0.65</v>
      </c>
      <c r="U1735" s="11">
        <f>IF(S1735&lt;='Methodology &amp; Assumptions'!$B$10, "Direct Optical Drop (&lt;3km)", IF(S1735&lt;='Methodology &amp; Assumptions'!$B$9, "Near Optical / Microwave (&lt;5km)", "Starlink Business LEO Satellite Backhaul (&gt;5km)"))</f>
        <v/>
      </c>
      <c r="V1735" s="26" t="n">
        <v>68.78</v>
      </c>
      <c r="W1735" s="26" t="n">
        <v>46.57</v>
      </c>
      <c r="X1735" s="26">
        <f>ROUND(('Methodology &amp; Assumptions'!$B$5*V1735) + ('Methodology &amp; Assumptions'!$B$6*W1735), 2)</f>
        <v/>
      </c>
      <c r="Y1735" s="28" t="n">
        <v>8.300000000000001</v>
      </c>
      <c r="Z1735" s="11" t="inlineStr">
        <is>
          <t>Priority Tier 3 (Broadband Expansion)</t>
        </is>
      </c>
    </row>
    <row r="1736">
      <c r="A1736" s="23" t="n">
        <v>5</v>
      </c>
      <c r="B1736" s="23" t="n">
        <v>732</v>
      </c>
      <c r="C1736" s="23" t="n">
        <v>4732</v>
      </c>
      <c r="D1736" s="23" t="inlineStr">
        <is>
          <t>0702239012</t>
        </is>
      </c>
      <c r="E1736" s="11" t="inlineStr">
        <is>
          <t>Region VII (Central Visayas)</t>
        </is>
      </c>
      <c r="F1736" s="11" t="inlineStr">
        <is>
          <t>Cebu</t>
        </is>
      </c>
      <c r="G1736" s="11" t="inlineStr">
        <is>
          <t>Ronda</t>
        </is>
      </c>
      <c r="H1736" s="11" t="inlineStr">
        <is>
          <t>Santa Cruz</t>
        </is>
      </c>
      <c r="I1736" s="24" t="n">
        <v>10.016937</v>
      </c>
      <c r="J1736" s="24" t="n">
        <v>123.415021</v>
      </c>
      <c r="K1736" s="23" t="inlineStr">
        <is>
          <t>R</t>
        </is>
      </c>
      <c r="L1736" s="25" t="n">
        <v>3654</v>
      </c>
      <c r="M1736" s="26" t="n">
        <v>3.8</v>
      </c>
      <c r="N1736" s="25">
        <f>ROUND(L1736/M1736, 0)</f>
        <v/>
      </c>
      <c r="O1736" s="25">
        <f>ROUND(N1736*'Methodology &amp; Assumptions'!$B$7, 0)</f>
        <v/>
      </c>
      <c r="P1736" s="23" t="inlineStr">
        <is>
          <t>Single Carrier (Band n50, 100MHz TDD)</t>
        </is>
      </c>
      <c r="Q1736" s="27">
        <f>ROUNDUP(O1736/'Methodology &amp; Assumptions'!$B$8, 0)</f>
        <v/>
      </c>
      <c r="R1736" s="27" t="n">
        <v>1</v>
      </c>
      <c r="S1736" s="26" t="n">
        <v>2.04</v>
      </c>
      <c r="T1736" s="26" t="n">
        <v>0.37</v>
      </c>
      <c r="U1736" s="11">
        <f>IF(S1736&lt;='Methodology &amp; Assumptions'!$B$10, "Direct Optical Drop (&lt;3km)", IF(S1736&lt;='Methodology &amp; Assumptions'!$B$9, "Near Optical / Microwave (&lt;5km)", "Starlink Business LEO Satellite Backhaul (&gt;5km)"))</f>
        <v/>
      </c>
      <c r="V1736" s="26" t="n">
        <v>86.31</v>
      </c>
      <c r="W1736" s="26" t="n">
        <v>29.01</v>
      </c>
      <c r="X1736" s="26">
        <f>ROUND(('Methodology &amp; Assumptions'!$B$5*V1736) + ('Methodology &amp; Assumptions'!$B$6*W1736), 2)</f>
        <v/>
      </c>
      <c r="Y1736" s="28" t="n">
        <v>23.7</v>
      </c>
      <c r="Z1736" s="11" t="inlineStr">
        <is>
          <t>Priority Tier 3 (Broadband Expansion)</t>
        </is>
      </c>
    </row>
    <row r="1737">
      <c r="A1737" s="23" t="n">
        <v>5</v>
      </c>
      <c r="B1737" s="23" t="n">
        <v>733</v>
      </c>
      <c r="C1737" s="23" t="n">
        <v>4733</v>
      </c>
      <c r="D1737" s="23" t="inlineStr">
        <is>
          <t>0306916093</t>
        </is>
      </c>
      <c r="E1737" s="11" t="inlineStr">
        <is>
          <t>Region III (Central Luzon)</t>
        </is>
      </c>
      <c r="F1737" s="11" t="inlineStr">
        <is>
          <t>Tarlac</t>
        </is>
      </c>
      <c r="G1737" s="11" t="inlineStr">
        <is>
          <t>City of Tarlac</t>
        </is>
      </c>
      <c r="H1737" s="11" t="inlineStr">
        <is>
          <t>Ungot</t>
        </is>
      </c>
      <c r="I1737" s="24" t="n">
        <v>15.460115</v>
      </c>
      <c r="J1737" s="24" t="n">
        <v>120.614059</v>
      </c>
      <c r="K1737" s="23" t="inlineStr">
        <is>
          <t>R</t>
        </is>
      </c>
      <c r="L1737" s="25" t="n">
        <v>4178</v>
      </c>
      <c r="M1737" s="26" t="n">
        <v>3.9</v>
      </c>
      <c r="N1737" s="25">
        <f>ROUND(L1737/M1737, 0)</f>
        <v/>
      </c>
      <c r="O1737" s="25">
        <f>ROUND(N1737*'Methodology &amp; Assumptions'!$B$7, 0)</f>
        <v/>
      </c>
      <c r="P1737" s="23" t="inlineStr">
        <is>
          <t>Single Carrier (Band n50, 100MHz TDD)</t>
        </is>
      </c>
      <c r="Q1737" s="27">
        <f>ROUNDUP(O1737/'Methodology &amp; Assumptions'!$B$8, 0)</f>
        <v/>
      </c>
      <c r="R1737" s="27" t="n">
        <v>1</v>
      </c>
      <c r="S1737" s="26" t="n">
        <v>2.33</v>
      </c>
      <c r="T1737" s="26" t="n">
        <v>1.59</v>
      </c>
      <c r="U1737" s="11">
        <f>IF(S1737&lt;='Methodology &amp; Assumptions'!$B$10, "Direct Optical Drop (&lt;3km)", IF(S1737&lt;='Methodology &amp; Assumptions'!$B$9, "Near Optical / Microwave (&lt;5km)", "Starlink Business LEO Satellite Backhaul (&gt;5km)"))</f>
        <v/>
      </c>
      <c r="V1737" s="26" t="n">
        <v>80.29000000000001</v>
      </c>
      <c r="W1737" s="26" t="n">
        <v>35.04</v>
      </c>
      <c r="X1737" s="26">
        <f>ROUND(('Methodology &amp; Assumptions'!$B$5*V1737) + ('Methodology &amp; Assumptions'!$B$6*W1737), 2)</f>
        <v/>
      </c>
      <c r="Y1737" s="28" t="n">
        <v>8.300000000000001</v>
      </c>
      <c r="Z1737" s="11" t="inlineStr">
        <is>
          <t>Priority Tier 3 (Broadband Expansion)</t>
        </is>
      </c>
    </row>
    <row r="1738">
      <c r="A1738" s="23" t="n">
        <v>5</v>
      </c>
      <c r="B1738" s="23" t="n">
        <v>734</v>
      </c>
      <c r="C1738" s="23" t="n">
        <v>4734</v>
      </c>
      <c r="D1738" s="23" t="inlineStr">
        <is>
          <t>0300812012</t>
        </is>
      </c>
      <c r="E1738" s="11" t="inlineStr">
        <is>
          <t>Region III (Central Luzon)</t>
        </is>
      </c>
      <c r="F1738" s="11" t="inlineStr">
        <is>
          <t>Bataan</t>
        </is>
      </c>
      <c r="G1738" s="11" t="inlineStr">
        <is>
          <t>Samal</t>
        </is>
      </c>
      <c r="H1738" s="11" t="inlineStr">
        <is>
          <t>Tabing Ilog</t>
        </is>
      </c>
      <c r="I1738" s="24" t="n">
        <v>14.77088</v>
      </c>
      <c r="J1738" s="24" t="n">
        <v>120.543261</v>
      </c>
      <c r="K1738" s="23" t="inlineStr">
        <is>
          <t>R</t>
        </is>
      </c>
      <c r="L1738" s="25" t="n">
        <v>2391</v>
      </c>
      <c r="M1738" s="26" t="n">
        <v>3.6</v>
      </c>
      <c r="N1738" s="25">
        <f>ROUND(L1738/M1738, 0)</f>
        <v/>
      </c>
      <c r="O1738" s="25">
        <f>ROUND(N1738*'Methodology &amp; Assumptions'!$B$7, 0)</f>
        <v/>
      </c>
      <c r="P1738" s="23" t="inlineStr">
        <is>
          <t>Single Carrier (Band n50, 100MHz TDD)</t>
        </is>
      </c>
      <c r="Q1738" s="27">
        <f>ROUNDUP(O1738/'Methodology &amp; Assumptions'!$B$8, 0)</f>
        <v/>
      </c>
      <c r="R1738" s="27" t="n">
        <v>1</v>
      </c>
      <c r="S1738" s="26" t="n">
        <v>3.55</v>
      </c>
      <c r="T1738" s="26" t="n">
        <v>0.16</v>
      </c>
      <c r="U1738" s="11">
        <f>IF(S1738&lt;='Methodology &amp; Assumptions'!$B$10, "Direct Optical Drop (&lt;3km)", IF(S1738&lt;='Methodology &amp; Assumptions'!$B$9, "Near Optical / Microwave (&lt;5km)", "Starlink Business LEO Satellite Backhaul (&gt;5km)"))</f>
        <v/>
      </c>
      <c r="V1738" s="26" t="n">
        <v>71.89</v>
      </c>
      <c r="W1738" s="26" t="n">
        <v>43.43</v>
      </c>
      <c r="X1738" s="26">
        <f>ROUND(('Methodology &amp; Assumptions'!$B$5*V1738) + ('Methodology &amp; Assumptions'!$B$6*W1738), 2)</f>
        <v/>
      </c>
      <c r="Y1738" s="28" t="n">
        <v>8.300000000000001</v>
      </c>
      <c r="Z1738" s="11" t="inlineStr">
        <is>
          <t>Priority Tier 3 (Broadband Expansion)</t>
        </is>
      </c>
    </row>
    <row r="1739">
      <c r="A1739" s="23" t="n">
        <v>5</v>
      </c>
      <c r="B1739" s="23" t="n">
        <v>735</v>
      </c>
      <c r="C1739" s="23" t="n">
        <v>4735</v>
      </c>
      <c r="D1739" s="23" t="inlineStr">
        <is>
          <t>1908702014</t>
        </is>
      </c>
      <c r="E1739" s="11" t="inlineStr">
        <is>
          <t>Bangsamoro Autonomous Region In Muslim Mindanao (BARMM)</t>
        </is>
      </c>
      <c r="F1739" s="11" t="inlineStr">
        <is>
          <t>Maguindanao del Norte</t>
        </is>
      </c>
      <c r="G1739" s="11" t="inlineStr">
        <is>
          <t>Buldon</t>
        </is>
      </c>
      <c r="H1739" s="11" t="inlineStr">
        <is>
          <t>Piers</t>
        </is>
      </c>
      <c r="I1739" s="24" t="n">
        <v>7.53277</v>
      </c>
      <c r="J1739" s="24" t="n">
        <v>124.379961</v>
      </c>
      <c r="K1739" s="23" t="inlineStr">
        <is>
          <t>R</t>
        </is>
      </c>
      <c r="L1739" s="25" t="n">
        <v>3123</v>
      </c>
      <c r="M1739" s="26" t="n">
        <v>4.3</v>
      </c>
      <c r="N1739" s="25">
        <f>ROUND(L1739/M1739, 0)</f>
        <v/>
      </c>
      <c r="O1739" s="25">
        <f>ROUND(N1739*'Methodology &amp; Assumptions'!$B$7, 0)</f>
        <v/>
      </c>
      <c r="P1739" s="23" t="inlineStr">
        <is>
          <t>Single Carrier (Band n50, 100MHz TDD)</t>
        </is>
      </c>
      <c r="Q1739" s="27">
        <f>ROUNDUP(O1739/'Methodology &amp; Assumptions'!$B$8, 0)</f>
        <v/>
      </c>
      <c r="R1739" s="27" t="n">
        <v>1</v>
      </c>
      <c r="S1739" s="26" t="n">
        <v>54.33</v>
      </c>
      <c r="T1739" s="26" t="n">
        <v>48.55</v>
      </c>
      <c r="U1739" s="11">
        <f>IF(S1739&lt;='Methodology &amp; Assumptions'!$B$10, "Direct Optical Drop (&lt;3km)", IF(S1739&lt;='Methodology &amp; Assumptions'!$B$9, "Near Optical / Microwave (&lt;5km)", "Starlink Business LEO Satellite Backhaul (&gt;5km)"))</f>
        <v/>
      </c>
      <c r="V1739" s="26" t="n">
        <v>54.4</v>
      </c>
      <c r="W1739" s="26" t="n">
        <v>60.93</v>
      </c>
      <c r="X1739" s="26">
        <f>ROUND(('Methodology &amp; Assumptions'!$B$5*V1739) + ('Methodology &amp; Assumptions'!$B$6*W1739), 2)</f>
        <v/>
      </c>
      <c r="Y1739" s="28" t="n">
        <v>11</v>
      </c>
      <c r="Z1739" s="11" t="inlineStr">
        <is>
          <t>Priority Tier 3 (Broadband Expansion)</t>
        </is>
      </c>
    </row>
    <row r="1740">
      <c r="A1740" s="23" t="n">
        <v>5</v>
      </c>
      <c r="B1740" s="23" t="n">
        <v>736</v>
      </c>
      <c r="C1740" s="23" t="n">
        <v>4736</v>
      </c>
      <c r="D1740" s="23" t="inlineStr">
        <is>
          <t>0105526023</t>
        </is>
      </c>
      <c r="E1740" s="11" t="inlineStr">
        <is>
          <t>Region I (Ilocos Region)</t>
        </is>
      </c>
      <c r="F1740" s="11" t="inlineStr">
        <is>
          <t>Pangasinan</t>
        </is>
      </c>
      <c r="G1740" s="11" t="inlineStr">
        <is>
          <t>Mangaldan</t>
        </is>
      </c>
      <c r="H1740" s="11" t="inlineStr">
        <is>
          <t>Osiem</t>
        </is>
      </c>
      <c r="I1740" s="24" t="n">
        <v>16.060801</v>
      </c>
      <c r="J1740" s="24" t="n">
        <v>120.422368</v>
      </c>
      <c r="K1740" s="23" t="inlineStr">
        <is>
          <t>R</t>
        </is>
      </c>
      <c r="L1740" s="25" t="n">
        <v>3375</v>
      </c>
      <c r="M1740" s="26" t="n">
        <v>3.6</v>
      </c>
      <c r="N1740" s="25">
        <f>ROUND(L1740/M1740, 0)</f>
        <v/>
      </c>
      <c r="O1740" s="25">
        <f>ROUND(N1740*'Methodology &amp; Assumptions'!$B$7, 0)</f>
        <v/>
      </c>
      <c r="P1740" s="23" t="inlineStr">
        <is>
          <t>Single Carrier (Band n50, 100MHz TDD)</t>
        </is>
      </c>
      <c r="Q1740" s="27">
        <f>ROUNDUP(O1740/'Methodology &amp; Assumptions'!$B$8, 0)</f>
        <v/>
      </c>
      <c r="R1740" s="27" t="n">
        <v>1</v>
      </c>
      <c r="S1740" s="26" t="n">
        <v>2.28</v>
      </c>
      <c r="T1740" s="26" t="n">
        <v>1.95</v>
      </c>
      <c r="U1740" s="11">
        <f>IF(S1740&lt;='Methodology &amp; Assumptions'!$B$10, "Direct Optical Drop (&lt;3km)", IF(S1740&lt;='Methodology &amp; Assumptions'!$B$9, "Near Optical / Microwave (&lt;5km)", "Starlink Business LEO Satellite Backhaul (&gt;5km)"))</f>
        <v/>
      </c>
      <c r="V1740" s="26" t="n">
        <v>80.44</v>
      </c>
      <c r="W1740" s="26" t="n">
        <v>34.87</v>
      </c>
      <c r="X1740" s="26">
        <f>ROUND(('Methodology &amp; Assumptions'!$B$5*V1740) + ('Methodology &amp; Assumptions'!$B$6*W1740), 2)</f>
        <v/>
      </c>
      <c r="Y1740" s="28" t="n">
        <v>8.300000000000001</v>
      </c>
      <c r="Z1740" s="11" t="inlineStr">
        <is>
          <t>Priority Tier 3 (Broadband Expansion)</t>
        </is>
      </c>
    </row>
    <row r="1741">
      <c r="A1741" s="23" t="n">
        <v>5</v>
      </c>
      <c r="B1741" s="23" t="n">
        <v>737</v>
      </c>
      <c r="C1741" s="23" t="n">
        <v>4737</v>
      </c>
      <c r="D1741" s="23" t="inlineStr">
        <is>
          <t>0402108002</t>
        </is>
      </c>
      <c r="E1741" s="11" t="inlineStr">
        <is>
          <t>Region IV-A (CALABARZON)</t>
        </is>
      </c>
      <c r="F1741" s="11" t="inlineStr">
        <is>
          <t>Cavite</t>
        </is>
      </c>
      <c r="G1741" s="11" t="inlineStr">
        <is>
          <t>City of General Trias</t>
        </is>
      </c>
      <c r="H1741" s="11" t="inlineStr">
        <is>
          <t>Bacao I</t>
        </is>
      </c>
      <c r="I1741" s="24" t="n">
        <v>14.397874</v>
      </c>
      <c r="J1741" s="24" t="n">
        <v>120.887262</v>
      </c>
      <c r="K1741" s="23" t="inlineStr">
        <is>
          <t>U</t>
        </is>
      </c>
      <c r="L1741" s="25" t="n">
        <v>16731</v>
      </c>
      <c r="M1741" s="26" t="n">
        <v>3.4</v>
      </c>
      <c r="N1741" s="25">
        <f>ROUND(L1741/M1741, 0)</f>
        <v/>
      </c>
      <c r="O1741" s="25">
        <f>ROUND(N1741*'Methodology &amp; Assumptions'!$B$7, 0)</f>
        <v/>
      </c>
      <c r="P1741" s="23" t="inlineStr">
        <is>
          <t>Single Carrier (Band n50, 100MHz TDD)</t>
        </is>
      </c>
      <c r="Q1741" s="27">
        <f>ROUNDUP(O1741/'Methodology &amp; Assumptions'!$B$8, 0)</f>
        <v/>
      </c>
      <c r="R1741" s="27" t="n">
        <v>1</v>
      </c>
      <c r="S1741" s="26" t="n">
        <v>1.86</v>
      </c>
      <c r="T1741" s="26" t="n">
        <v>1.23</v>
      </c>
      <c r="U1741" s="11">
        <f>IF(S1741&lt;='Methodology &amp; Assumptions'!$B$10, "Direct Optical Drop (&lt;3km)", IF(S1741&lt;='Methodology &amp; Assumptions'!$B$9, "Near Optical / Microwave (&lt;5km)", "Starlink Business LEO Satellite Backhaul (&gt;5km)"))</f>
        <v/>
      </c>
      <c r="V1741" s="26" t="n">
        <v>74.48999999999999</v>
      </c>
      <c r="W1741" s="26" t="n">
        <v>40.8</v>
      </c>
      <c r="X1741" s="26">
        <f>ROUND(('Methodology &amp; Assumptions'!$B$5*V1741) + ('Methodology &amp; Assumptions'!$B$6*W1741), 2)</f>
        <v/>
      </c>
      <c r="Y1741" s="28" t="n">
        <v>7.2</v>
      </c>
      <c r="Z1741" s="11" t="inlineStr">
        <is>
          <t>Priority Tier 3 (Broadband Expansion)</t>
        </is>
      </c>
    </row>
    <row r="1742">
      <c r="A1742" s="23" t="n">
        <v>5</v>
      </c>
      <c r="B1742" s="23" t="n">
        <v>738</v>
      </c>
      <c r="C1742" s="23" t="n">
        <v>4738</v>
      </c>
      <c r="D1742" s="23" t="inlineStr">
        <is>
          <t>0403408005</t>
        </is>
      </c>
      <c r="E1742" s="11" t="inlineStr">
        <is>
          <t>Region IV-A (CALABARZON)</t>
        </is>
      </c>
      <c r="F1742" s="11" t="inlineStr">
        <is>
          <t>Laguna</t>
        </is>
      </c>
      <c r="G1742" s="11" t="inlineStr">
        <is>
          <t>Famy</t>
        </is>
      </c>
      <c r="H1742" s="11" t="inlineStr">
        <is>
          <t>Banaba</t>
        </is>
      </c>
      <c r="I1742" s="24" t="n">
        <v>14.440604</v>
      </c>
      <c r="J1742" s="24" t="n">
        <v>121.449739</v>
      </c>
      <c r="K1742" s="23" t="inlineStr">
        <is>
          <t>R</t>
        </is>
      </c>
      <c r="L1742" s="25" t="n">
        <v>708</v>
      </c>
      <c r="M1742" s="26" t="n">
        <v>3.3</v>
      </c>
      <c r="N1742" s="25">
        <f>ROUND(L1742/M1742, 0)</f>
        <v/>
      </c>
      <c r="O1742" s="25">
        <f>ROUND(N1742*'Methodology &amp; Assumptions'!$B$7, 0)</f>
        <v/>
      </c>
      <c r="P1742" s="23" t="inlineStr">
        <is>
          <t>Single Carrier (Band n50, 100MHz TDD)</t>
        </is>
      </c>
      <c r="Q1742" s="27">
        <f>ROUNDUP(O1742/'Methodology &amp; Assumptions'!$B$8, 0)</f>
        <v/>
      </c>
      <c r="R1742" s="27" t="n">
        <v>1</v>
      </c>
      <c r="S1742" s="26" t="n">
        <v>0.57</v>
      </c>
      <c r="T1742" s="26" t="n">
        <v>0.54</v>
      </c>
      <c r="U1742" s="11">
        <f>IF(S1742&lt;='Methodology &amp; Assumptions'!$B$10, "Direct Optical Drop (&lt;3km)", IF(S1742&lt;='Methodology &amp; Assumptions'!$B$9, "Near Optical / Microwave (&lt;5km)", "Starlink Business LEO Satellite Backhaul (&gt;5km)"))</f>
        <v/>
      </c>
      <c r="V1742" s="26" t="n">
        <v>68.45</v>
      </c>
      <c r="W1742" s="26" t="n">
        <v>46.86</v>
      </c>
      <c r="X1742" s="26">
        <f>ROUND(('Methodology &amp; Assumptions'!$B$5*V1742) + ('Methodology &amp; Assumptions'!$B$6*W1742), 2)</f>
        <v/>
      </c>
      <c r="Y1742" s="28" t="n">
        <v>7.2</v>
      </c>
      <c r="Z1742" s="11" t="inlineStr">
        <is>
          <t>Priority Tier 3 (Broadband Expansion)</t>
        </is>
      </c>
    </row>
    <row r="1743">
      <c r="A1743" s="23" t="n">
        <v>5</v>
      </c>
      <c r="B1743" s="23" t="n">
        <v>739</v>
      </c>
      <c r="C1743" s="23" t="n">
        <v>4739</v>
      </c>
      <c r="D1743" s="23" t="inlineStr">
        <is>
          <t>1380608015</t>
        </is>
      </c>
      <c r="E1743" s="11" t="inlineStr">
        <is>
          <t>National Capital Region (NCR)</t>
        </is>
      </c>
      <c r="F1743" s="11" t="inlineStr">
        <is>
          <t>First District (Not a Province)</t>
        </is>
      </c>
      <c r="G1743" s="11" t="inlineStr">
        <is>
          <t>City of Manila</t>
        </is>
      </c>
      <c r="H1743" s="11" t="inlineStr">
        <is>
          <t>Barangay 664</t>
        </is>
      </c>
      <c r="I1743" s="24" t="n">
        <v>14.585577</v>
      </c>
      <c r="J1743" s="24" t="n">
        <v>120.987566</v>
      </c>
      <c r="K1743" s="23" t="inlineStr">
        <is>
          <t>U</t>
        </is>
      </c>
      <c r="L1743" s="25" t="n">
        <v>555</v>
      </c>
      <c r="M1743" s="26" t="n">
        <v>3.28</v>
      </c>
      <c r="N1743" s="25">
        <f>ROUND(L1743/M1743, 0)</f>
        <v/>
      </c>
      <c r="O1743" s="25">
        <f>ROUND(N1743*'Methodology &amp; Assumptions'!$B$7, 0)</f>
        <v/>
      </c>
      <c r="P1743" s="23" t="inlineStr">
        <is>
          <t>Single Carrier (Band n50, 100MHz TDD)</t>
        </is>
      </c>
      <c r="Q1743" s="27">
        <f>ROUNDUP(O1743/'Methodology &amp; Assumptions'!$B$8, 0)</f>
        <v/>
      </c>
      <c r="R1743" s="27" t="n">
        <v>1</v>
      </c>
      <c r="S1743" s="26" t="n">
        <v>0.66</v>
      </c>
      <c r="T1743" s="26" t="n">
        <v>0.04</v>
      </c>
      <c r="U1743" s="11">
        <f>IF(S1743&lt;='Methodology &amp; Assumptions'!$B$10, "Direct Optical Drop (&lt;3km)", IF(S1743&lt;='Methodology &amp; Assumptions'!$B$9, "Near Optical / Microwave (&lt;5km)", "Starlink Business LEO Satellite Backhaul (&gt;5km)"))</f>
        <v/>
      </c>
      <c r="V1743" s="26" t="n">
        <v>46.55</v>
      </c>
      <c r="W1743" s="26" t="n">
        <v>68.73999999999999</v>
      </c>
      <c r="X1743" s="26">
        <f>ROUND(('Methodology &amp; Assumptions'!$B$5*V1743) + ('Methodology &amp; Assumptions'!$B$6*W1743), 2)</f>
        <v/>
      </c>
      <c r="Y1743" s="28" t="n">
        <v>10.9</v>
      </c>
      <c r="Z1743" s="11" t="inlineStr">
        <is>
          <t>Priority Tier 3 (Broadband Expansion)</t>
        </is>
      </c>
    </row>
    <row r="1744">
      <c r="A1744" s="23" t="n">
        <v>5</v>
      </c>
      <c r="B1744" s="23" t="n">
        <v>740</v>
      </c>
      <c r="C1744" s="23" t="n">
        <v>4740</v>
      </c>
      <c r="D1744" s="23" t="inlineStr">
        <is>
          <t>1906614033</t>
        </is>
      </c>
      <c r="E1744" s="11" t="inlineStr">
        <is>
          <t>Bangsamoro Autonomous Region In Muslim Mindanao (BARMM)</t>
        </is>
      </c>
      <c r="F1744" s="11" t="inlineStr">
        <is>
          <t>Sulu</t>
        </is>
      </c>
      <c r="G1744" s="11" t="inlineStr">
        <is>
          <t>Tapul</t>
        </is>
      </c>
      <c r="H1744" s="11" t="inlineStr">
        <is>
          <t>Tangkapaan</t>
        </is>
      </c>
      <c r="I1744" s="24" t="n">
        <v>5.729868</v>
      </c>
      <c r="J1744" s="24" t="n">
        <v>121.007706</v>
      </c>
      <c r="K1744" s="23" t="inlineStr">
        <is>
          <t>R</t>
        </is>
      </c>
      <c r="L1744" s="25" t="n">
        <v>1871</v>
      </c>
      <c r="M1744" s="26" t="n">
        <v>6</v>
      </c>
      <c r="N1744" s="25">
        <f>ROUND(L1744/M1744, 0)</f>
        <v/>
      </c>
      <c r="O1744" s="25">
        <f>ROUND(N1744*'Methodology &amp; Assumptions'!$B$7, 0)</f>
        <v/>
      </c>
      <c r="P1744" s="23" t="inlineStr">
        <is>
          <t>Single Carrier (Band n50, 100MHz TDD)</t>
        </is>
      </c>
      <c r="Q1744" s="27">
        <f>ROUNDUP(O1744/'Methodology &amp; Assumptions'!$B$8, 0)</f>
        <v/>
      </c>
      <c r="R1744" s="27" t="n">
        <v>1</v>
      </c>
      <c r="S1744" s="26" t="n">
        <v>176.38</v>
      </c>
      <c r="T1744" s="26" t="n">
        <v>176.38</v>
      </c>
      <c r="U1744" s="11">
        <f>IF(S1744&lt;='Methodology &amp; Assumptions'!$B$10, "Direct Optical Drop (&lt;3km)", IF(S1744&lt;='Methodology &amp; Assumptions'!$B$9, "Near Optical / Microwave (&lt;5km)", "Starlink Business LEO Satellite Backhaul (&gt;5km)"))</f>
        <v/>
      </c>
      <c r="V1744" s="26" t="n">
        <v>43.75</v>
      </c>
      <c r="W1744" s="26" t="n">
        <v>71.55</v>
      </c>
      <c r="X1744" s="26">
        <f>ROUND(('Methodology &amp; Assumptions'!$B$5*V1744) + ('Methodology &amp; Assumptions'!$B$6*W1744), 2)</f>
        <v/>
      </c>
      <c r="Y1744" s="28" t="n">
        <v>11</v>
      </c>
      <c r="Z1744" s="11" t="inlineStr">
        <is>
          <t>Priority Tier 3 (Broadband Expansion)</t>
        </is>
      </c>
    </row>
    <row r="1745">
      <c r="A1745" s="23" t="n">
        <v>5</v>
      </c>
      <c r="B1745" s="23" t="n">
        <v>741</v>
      </c>
      <c r="C1745" s="23" t="n">
        <v>4741</v>
      </c>
      <c r="D1745" s="23" t="inlineStr">
        <is>
          <t>1907009016</t>
        </is>
      </c>
      <c r="E1745" s="11" t="inlineStr">
        <is>
          <t>Bangsamoro Autonomous Region In Muslim Mindanao (BARMM)</t>
        </is>
      </c>
      <c r="F1745" s="11" t="inlineStr">
        <is>
          <t>Tawi-Tawi</t>
        </is>
      </c>
      <c r="G1745" s="11" t="inlineStr">
        <is>
          <t>Languyan</t>
        </is>
      </c>
      <c r="H1745" s="11" t="inlineStr">
        <is>
          <t>BasLikud</t>
        </is>
      </c>
      <c r="I1745" s="24" t="n">
        <v>5.350994</v>
      </c>
      <c r="J1745" s="24" t="n">
        <v>120.231078</v>
      </c>
      <c r="K1745" s="23" t="inlineStr">
        <is>
          <t>R</t>
        </is>
      </c>
      <c r="L1745" s="25" t="n">
        <v>1901</v>
      </c>
      <c r="M1745" s="26" t="n">
        <v>5.8</v>
      </c>
      <c r="N1745" s="25">
        <f>ROUND(L1745/M1745, 0)</f>
        <v/>
      </c>
      <c r="O1745" s="25">
        <f>ROUND(N1745*'Methodology &amp; Assumptions'!$B$7, 0)</f>
        <v/>
      </c>
      <c r="P1745" s="23" t="inlineStr">
        <is>
          <t>Single Carrier (Band n50, 100MHz TDD)</t>
        </is>
      </c>
      <c r="Q1745" s="27">
        <f>ROUNDUP(O1745/'Methodology &amp; Assumptions'!$B$8, 0)</f>
        <v/>
      </c>
      <c r="R1745" s="27" t="n">
        <v>1</v>
      </c>
      <c r="S1745" s="26" t="n">
        <v>999</v>
      </c>
      <c r="T1745" s="26" t="n">
        <v>999</v>
      </c>
      <c r="U1745" s="11">
        <f>IF(S1745&lt;='Methodology &amp; Assumptions'!$B$10, "Direct Optical Drop (&lt;3km)", IF(S1745&lt;='Methodology &amp; Assumptions'!$B$9, "Near Optical / Microwave (&lt;5km)", "Starlink Business LEO Satellite Backhaul (&gt;5km)"))</f>
        <v/>
      </c>
      <c r="V1745" s="26" t="n">
        <v>41.55</v>
      </c>
      <c r="W1745" s="26" t="n">
        <v>73.75</v>
      </c>
      <c r="X1745" s="26">
        <f>ROUND(('Methodology &amp; Assumptions'!$B$5*V1745) + ('Methodology &amp; Assumptions'!$B$6*W1745), 2)</f>
        <v/>
      </c>
      <c r="Y1745" s="28" t="n">
        <v>11</v>
      </c>
      <c r="Z1745" s="11" t="inlineStr">
        <is>
          <t>Priority Tier 3 (Broadband Expansion)</t>
        </is>
      </c>
    </row>
    <row r="1746">
      <c r="A1746" s="23" t="n">
        <v>5</v>
      </c>
      <c r="B1746" s="23" t="n">
        <v>742</v>
      </c>
      <c r="C1746" s="23" t="n">
        <v>4742</v>
      </c>
      <c r="D1746" s="23" t="inlineStr">
        <is>
          <t>0500502010</t>
        </is>
      </c>
      <c r="E1746" s="11" t="inlineStr">
        <is>
          <t>Region V (Bicol Region)</t>
        </is>
      </c>
      <c r="F1746" s="11" t="inlineStr">
        <is>
          <t>Albay</t>
        </is>
      </c>
      <c r="G1746" s="11" t="inlineStr">
        <is>
          <t>Camalig</t>
        </is>
      </c>
      <c r="H1746" s="11" t="inlineStr">
        <is>
          <t>Cabagñan</t>
        </is>
      </c>
      <c r="I1746" s="24" t="n">
        <v>13.181819</v>
      </c>
      <c r="J1746" s="24" t="n">
        <v>123.672486</v>
      </c>
      <c r="K1746" s="23" t="inlineStr">
        <is>
          <t>R</t>
        </is>
      </c>
      <c r="L1746" s="25" t="n">
        <v>2899</v>
      </c>
      <c r="M1746" s="26" t="n">
        <v>4.1</v>
      </c>
      <c r="N1746" s="25">
        <f>ROUND(L1746/M1746, 0)</f>
        <v/>
      </c>
      <c r="O1746" s="25">
        <f>ROUND(N1746*'Methodology &amp; Assumptions'!$B$7, 0)</f>
        <v/>
      </c>
      <c r="P1746" s="23" t="inlineStr">
        <is>
          <t>Single Carrier (Band n50, 100MHz TDD)</t>
        </is>
      </c>
      <c r="Q1746" s="27">
        <f>ROUNDUP(O1746/'Methodology &amp; Assumptions'!$B$8, 0)</f>
        <v/>
      </c>
      <c r="R1746" s="27" t="n">
        <v>1</v>
      </c>
      <c r="S1746" s="26" t="n">
        <v>0.22</v>
      </c>
      <c r="T1746" s="26" t="n">
        <v>0.08</v>
      </c>
      <c r="U1746" s="11">
        <f>IF(S1746&lt;='Methodology &amp; Assumptions'!$B$10, "Direct Optical Drop (&lt;3km)", IF(S1746&lt;='Methodology &amp; Assumptions'!$B$9, "Near Optical / Microwave (&lt;5km)", "Starlink Business LEO Satellite Backhaul (&gt;5km)"))</f>
        <v/>
      </c>
      <c r="V1746" s="26" t="n">
        <v>82.95</v>
      </c>
      <c r="W1746" s="26" t="n">
        <v>32.32</v>
      </c>
      <c r="X1746" s="26">
        <f>ROUND(('Methodology &amp; Assumptions'!$B$5*V1746) + ('Methodology &amp; Assumptions'!$B$6*W1746), 2)</f>
        <v/>
      </c>
      <c r="Y1746" s="28" t="n">
        <v>23.7</v>
      </c>
      <c r="Z1746" s="11" t="inlineStr">
        <is>
          <t>Priority Tier 3 (Broadband Expansion)</t>
        </is>
      </c>
    </row>
    <row r="1747">
      <c r="A1747" s="23" t="n">
        <v>5</v>
      </c>
      <c r="B1747" s="23" t="n">
        <v>743</v>
      </c>
      <c r="C1747" s="23" t="n">
        <v>4743</v>
      </c>
      <c r="D1747" s="23" t="inlineStr">
        <is>
          <t>0402113001</t>
        </is>
      </c>
      <c r="E1747" s="11" t="inlineStr">
        <is>
          <t>Region IV-A (CALABARZON)</t>
        </is>
      </c>
      <c r="F1747" s="11" t="inlineStr">
        <is>
          <t>Cavite</t>
        </is>
      </c>
      <c r="G1747" s="11" t="inlineStr">
        <is>
          <t>Maragondon</t>
        </is>
      </c>
      <c r="H1747" s="11" t="inlineStr">
        <is>
          <t>Caingin Pob.</t>
        </is>
      </c>
      <c r="I1747" s="24" t="n">
        <v>14.270452</v>
      </c>
      <c r="J1747" s="24" t="n">
        <v>120.73714</v>
      </c>
      <c r="K1747" s="23" t="inlineStr">
        <is>
          <t>R</t>
        </is>
      </c>
      <c r="L1747" s="25" t="n">
        <v>2328</v>
      </c>
      <c r="M1747" s="26" t="n">
        <v>3.4</v>
      </c>
      <c r="N1747" s="25">
        <f>ROUND(L1747/M1747, 0)</f>
        <v/>
      </c>
      <c r="O1747" s="25">
        <f>ROUND(N1747*'Methodology &amp; Assumptions'!$B$7, 0)</f>
        <v/>
      </c>
      <c r="P1747" s="23" t="inlineStr">
        <is>
          <t>Single Carrier (Band n50, 100MHz TDD)</t>
        </is>
      </c>
      <c r="Q1747" s="27">
        <f>ROUNDUP(O1747/'Methodology &amp; Assumptions'!$B$8, 0)</f>
        <v/>
      </c>
      <c r="R1747" s="27" t="n">
        <v>1</v>
      </c>
      <c r="S1747" s="26" t="n">
        <v>0.59</v>
      </c>
      <c r="T1747" s="26" t="n">
        <v>0.49</v>
      </c>
      <c r="U1747" s="11">
        <f>IF(S1747&lt;='Methodology &amp; Assumptions'!$B$10, "Direct Optical Drop (&lt;3km)", IF(S1747&lt;='Methodology &amp; Assumptions'!$B$9, "Near Optical / Microwave (&lt;5km)", "Starlink Business LEO Satellite Backhaul (&gt;5km)"))</f>
        <v/>
      </c>
      <c r="V1747" s="26" t="n">
        <v>81.27</v>
      </c>
      <c r="W1747" s="26" t="n">
        <v>34.02</v>
      </c>
      <c r="X1747" s="26">
        <f>ROUND(('Methodology &amp; Assumptions'!$B$5*V1747) + ('Methodology &amp; Assumptions'!$B$6*W1747), 2)</f>
        <v/>
      </c>
      <c r="Y1747" s="28" t="n">
        <v>7.2</v>
      </c>
      <c r="Z1747" s="11" t="inlineStr">
        <is>
          <t>Priority Tier 3 (Broadband Expansion)</t>
        </is>
      </c>
    </row>
    <row r="1748">
      <c r="A1748" s="23" t="n">
        <v>5</v>
      </c>
      <c r="B1748" s="23" t="n">
        <v>744</v>
      </c>
      <c r="C1748" s="23" t="n">
        <v>4744</v>
      </c>
      <c r="D1748" s="23" t="inlineStr">
        <is>
          <t>0500503044</t>
        </is>
      </c>
      <c r="E1748" s="11" t="inlineStr">
        <is>
          <t>Region V (Bicol Region)</t>
        </is>
      </c>
      <c r="F1748" s="11" t="inlineStr">
        <is>
          <t>Albay</t>
        </is>
      </c>
      <c r="G1748" s="11" t="inlineStr">
        <is>
          <t>Daraga</t>
        </is>
      </c>
      <c r="H1748" s="11" t="inlineStr">
        <is>
          <t>Sagpon</t>
        </is>
      </c>
      <c r="I1748" s="24" t="n">
        <v>13.146014</v>
      </c>
      <c r="J1748" s="24" t="n">
        <v>123.718975</v>
      </c>
      <c r="K1748" s="23" t="inlineStr">
        <is>
          <t>U</t>
        </is>
      </c>
      <c r="L1748" s="25" t="n">
        <v>5321</v>
      </c>
      <c r="M1748" s="26" t="n">
        <v>4.1</v>
      </c>
      <c r="N1748" s="25">
        <f>ROUND(L1748/M1748, 0)</f>
        <v/>
      </c>
      <c r="O1748" s="25">
        <f>ROUND(N1748*'Methodology &amp; Assumptions'!$B$7, 0)</f>
        <v/>
      </c>
      <c r="P1748" s="23" t="inlineStr">
        <is>
          <t>Single Carrier (Band n50, 100MHz TDD)</t>
        </is>
      </c>
      <c r="Q1748" s="27">
        <f>ROUNDUP(O1748/'Methodology &amp; Assumptions'!$B$8, 0)</f>
        <v/>
      </c>
      <c r="R1748" s="27" t="n">
        <v>1</v>
      </c>
      <c r="S1748" s="26" t="n">
        <v>0.8</v>
      </c>
      <c r="T1748" s="26" t="n">
        <v>0.32</v>
      </c>
      <c r="U1748" s="11">
        <f>IF(S1748&lt;='Methodology &amp; Assumptions'!$B$10, "Direct Optical Drop (&lt;3km)", IF(S1748&lt;='Methodology &amp; Assumptions'!$B$9, "Near Optical / Microwave (&lt;5km)", "Starlink Business LEO Satellite Backhaul (&gt;5km)"))</f>
        <v/>
      </c>
      <c r="V1748" s="26" t="n">
        <v>80.86</v>
      </c>
      <c r="W1748" s="26" t="n">
        <v>34.42</v>
      </c>
      <c r="X1748" s="26">
        <f>ROUND(('Methodology &amp; Assumptions'!$B$5*V1748) + ('Methodology &amp; Assumptions'!$B$6*W1748), 2)</f>
        <v/>
      </c>
      <c r="Y1748" s="28" t="n">
        <v>23.7</v>
      </c>
      <c r="Z1748" s="11" t="inlineStr">
        <is>
          <t>Priority Tier 3 (Broadband Expansion)</t>
        </is>
      </c>
    </row>
    <row r="1749">
      <c r="A1749" s="23" t="n">
        <v>5</v>
      </c>
      <c r="B1749" s="23" t="n">
        <v>745</v>
      </c>
      <c r="C1749" s="23" t="n">
        <v>4745</v>
      </c>
      <c r="D1749" s="23" t="inlineStr">
        <is>
          <t>0105506013</t>
        </is>
      </c>
      <c r="E1749" s="11" t="inlineStr">
        <is>
          <t>Region I (Ilocos Region)</t>
        </is>
      </c>
      <c r="F1749" s="11" t="inlineStr">
        <is>
          <t>Pangasinan</t>
        </is>
      </c>
      <c r="G1749" s="11" t="inlineStr">
        <is>
          <t>Asingan</t>
        </is>
      </c>
      <c r="H1749" s="11" t="inlineStr">
        <is>
          <t>Dupac</t>
        </is>
      </c>
      <c r="I1749" s="24" t="n">
        <v>16.013698</v>
      </c>
      <c r="J1749" s="24" t="n">
        <v>120.668001</v>
      </c>
      <c r="K1749" s="23" t="inlineStr">
        <is>
          <t>R</t>
        </is>
      </c>
      <c r="L1749" s="25" t="n">
        <v>2391</v>
      </c>
      <c r="M1749" s="26" t="n">
        <v>3.6</v>
      </c>
      <c r="N1749" s="25">
        <f>ROUND(L1749/M1749, 0)</f>
        <v/>
      </c>
      <c r="O1749" s="25">
        <f>ROUND(N1749*'Methodology &amp; Assumptions'!$B$7, 0)</f>
        <v/>
      </c>
      <c r="P1749" s="23" t="inlineStr">
        <is>
          <t>Single Carrier (Band n50, 100MHz TDD)</t>
        </is>
      </c>
      <c r="Q1749" s="27">
        <f>ROUNDUP(O1749/'Methodology &amp; Assumptions'!$B$8, 0)</f>
        <v/>
      </c>
      <c r="R1749" s="27" t="n">
        <v>1</v>
      </c>
      <c r="S1749" s="26" t="n">
        <v>0.97</v>
      </c>
      <c r="T1749" s="26" t="n">
        <v>0.97</v>
      </c>
      <c r="U1749" s="11">
        <f>IF(S1749&lt;='Methodology &amp; Assumptions'!$B$10, "Direct Optical Drop (&lt;3km)", IF(S1749&lt;='Methodology &amp; Assumptions'!$B$9, "Near Optical / Microwave (&lt;5km)", "Starlink Business LEO Satellite Backhaul (&gt;5km)"))</f>
        <v/>
      </c>
      <c r="V1749" s="26" t="n">
        <v>80.06999999999999</v>
      </c>
      <c r="W1749" s="26" t="n">
        <v>35.21</v>
      </c>
      <c r="X1749" s="26">
        <f>ROUND(('Methodology &amp; Assumptions'!$B$5*V1749) + ('Methodology &amp; Assumptions'!$B$6*W1749), 2)</f>
        <v/>
      </c>
      <c r="Y1749" s="28" t="n">
        <v>8.300000000000001</v>
      </c>
      <c r="Z1749" s="11" t="inlineStr">
        <is>
          <t>Priority Tier 3 (Broadband Expansion)</t>
        </is>
      </c>
    </row>
    <row r="1750">
      <c r="A1750" s="23" t="n">
        <v>5</v>
      </c>
      <c r="B1750" s="23" t="n">
        <v>746</v>
      </c>
      <c r="C1750" s="23" t="n">
        <v>4746</v>
      </c>
      <c r="D1750" s="23" t="inlineStr">
        <is>
          <t>0305415002</t>
        </is>
      </c>
      <c r="E1750" s="11" t="inlineStr">
        <is>
          <t>Region III (Central Luzon)</t>
        </is>
      </c>
      <c r="F1750" s="11" t="inlineStr">
        <is>
          <t>Pampanga</t>
        </is>
      </c>
      <c r="G1750" s="11" t="inlineStr">
        <is>
          <t>Porac</t>
        </is>
      </c>
      <c r="H1750" s="11" t="inlineStr">
        <is>
          <t>Babo Sacan</t>
        </is>
      </c>
      <c r="I1750" s="24" t="n">
        <v>15.068755</v>
      </c>
      <c r="J1750" s="24" t="n">
        <v>120.544994</v>
      </c>
      <c r="K1750" s="23" t="inlineStr">
        <is>
          <t>U</t>
        </is>
      </c>
      <c r="L1750" s="25" t="n">
        <v>6277</v>
      </c>
      <c r="M1750" s="26" t="n">
        <v>4</v>
      </c>
      <c r="N1750" s="25">
        <f>ROUND(L1750/M1750, 0)</f>
        <v/>
      </c>
      <c r="O1750" s="25">
        <f>ROUND(N1750*'Methodology &amp; Assumptions'!$B$7, 0)</f>
        <v/>
      </c>
      <c r="P1750" s="23" t="inlineStr">
        <is>
          <t>Single Carrier (Band n50, 100MHz TDD)</t>
        </is>
      </c>
      <c r="Q1750" s="27">
        <f>ROUNDUP(O1750/'Methodology &amp; Assumptions'!$B$8, 0)</f>
        <v/>
      </c>
      <c r="R1750" s="27" t="n">
        <v>1</v>
      </c>
      <c r="S1750" s="26" t="n">
        <v>0.57</v>
      </c>
      <c r="T1750" s="26" t="n">
        <v>0.23</v>
      </c>
      <c r="U1750" s="11">
        <f>IF(S1750&lt;='Methodology &amp; Assumptions'!$B$10, "Direct Optical Drop (&lt;3km)", IF(S1750&lt;='Methodology &amp; Assumptions'!$B$9, "Near Optical / Microwave (&lt;5km)", "Starlink Business LEO Satellite Backhaul (&gt;5km)"))</f>
        <v/>
      </c>
      <c r="V1750" s="26" t="n">
        <v>78.43000000000001</v>
      </c>
      <c r="W1750" s="26" t="n">
        <v>36.85</v>
      </c>
      <c r="X1750" s="26">
        <f>ROUND(('Methodology &amp; Assumptions'!$B$5*V1750) + ('Methodology &amp; Assumptions'!$B$6*W1750), 2)</f>
        <v/>
      </c>
      <c r="Y1750" s="28" t="n">
        <v>8.300000000000001</v>
      </c>
      <c r="Z1750" s="11" t="inlineStr">
        <is>
          <t>Priority Tier 3 (Broadband Expansion)</t>
        </is>
      </c>
    </row>
    <row r="1751">
      <c r="A1751" s="23" t="n">
        <v>5</v>
      </c>
      <c r="B1751" s="23" t="n">
        <v>747</v>
      </c>
      <c r="C1751" s="23" t="n">
        <v>4747</v>
      </c>
      <c r="D1751" s="23" t="inlineStr">
        <is>
          <t>1380601008</t>
        </is>
      </c>
      <c r="E1751" s="11" t="inlineStr">
        <is>
          <t>National Capital Region (NCR)</t>
        </is>
      </c>
      <c r="F1751" s="11" t="inlineStr">
        <is>
          <t>First District (Not a Province)</t>
        </is>
      </c>
      <c r="G1751" s="11" t="inlineStr">
        <is>
          <t>City of Manila</t>
        </is>
      </c>
      <c r="H1751" s="11" t="inlineStr">
        <is>
          <t>Barangay 8</t>
        </is>
      </c>
      <c r="I1751" s="24" t="n">
        <v>14.609465</v>
      </c>
      <c r="J1751" s="24" t="n">
        <v>120.970035</v>
      </c>
      <c r="K1751" s="23" t="inlineStr">
        <is>
          <t>U</t>
        </is>
      </c>
      <c r="L1751" s="25" t="n">
        <v>301</v>
      </c>
      <c r="M1751" s="26" t="n">
        <v>2.39</v>
      </c>
      <c r="N1751" s="25">
        <f>ROUND(L1751/M1751, 0)</f>
        <v/>
      </c>
      <c r="O1751" s="25">
        <f>ROUND(N1751*'Methodology &amp; Assumptions'!$B$7, 0)</f>
        <v/>
      </c>
      <c r="P1751" s="23" t="inlineStr">
        <is>
          <t>Single Carrier (Band n50, 100MHz TDD)</t>
        </is>
      </c>
      <c r="Q1751" s="27">
        <f>ROUNDUP(O1751/'Methodology &amp; Assumptions'!$B$8, 0)</f>
        <v/>
      </c>
      <c r="R1751" s="27" t="n">
        <v>1</v>
      </c>
      <c r="S1751" s="26" t="n">
        <v>0.3</v>
      </c>
      <c r="T1751" s="26" t="n">
        <v>0.11</v>
      </c>
      <c r="U1751" s="11">
        <f>IF(S1751&lt;='Methodology &amp; Assumptions'!$B$10, "Direct Optical Drop (&lt;3km)", IF(S1751&lt;='Methodology &amp; Assumptions'!$B$9, "Near Optical / Microwave (&lt;5km)", "Starlink Business LEO Satellite Backhaul (&gt;5km)"))</f>
        <v/>
      </c>
      <c r="V1751" s="26" t="n">
        <v>45.16</v>
      </c>
      <c r="W1751" s="26" t="n">
        <v>70.11</v>
      </c>
      <c r="X1751" s="26">
        <f>ROUND(('Methodology &amp; Assumptions'!$B$5*V1751) + ('Methodology &amp; Assumptions'!$B$6*W1751), 2)</f>
        <v/>
      </c>
      <c r="Y1751" s="28" t="n">
        <v>10.9</v>
      </c>
      <c r="Z1751" s="11" t="inlineStr">
        <is>
          <t>Priority Tier 3 (Broadband Expansion)</t>
        </is>
      </c>
    </row>
    <row r="1752">
      <c r="A1752" s="23" t="n">
        <v>5</v>
      </c>
      <c r="B1752" s="23" t="n">
        <v>748</v>
      </c>
      <c r="C1752" s="23" t="n">
        <v>4748</v>
      </c>
      <c r="D1752" s="23" t="inlineStr">
        <is>
          <t>0105503022</t>
        </is>
      </c>
      <c r="E1752" s="11" t="inlineStr">
        <is>
          <t>Region I (Ilocos Region)</t>
        </is>
      </c>
      <c r="F1752" s="11" t="inlineStr">
        <is>
          <t>Pangasinan</t>
        </is>
      </c>
      <c r="G1752" s="11" t="inlineStr">
        <is>
          <t>City of Alaminos</t>
        </is>
      </c>
      <c r="H1752" s="11" t="inlineStr">
        <is>
          <t>Pocalpocal</t>
        </is>
      </c>
      <c r="I1752" s="24" t="n">
        <v>16.147363</v>
      </c>
      <c r="J1752" s="24" t="n">
        <v>119.995822</v>
      </c>
      <c r="K1752" s="23" t="inlineStr">
        <is>
          <t>R</t>
        </is>
      </c>
      <c r="L1752" s="25" t="n">
        <v>2800</v>
      </c>
      <c r="M1752" s="26" t="n">
        <v>3.6</v>
      </c>
      <c r="N1752" s="25">
        <f>ROUND(L1752/M1752, 0)</f>
        <v/>
      </c>
      <c r="O1752" s="25">
        <f>ROUND(N1752*'Methodology &amp; Assumptions'!$B$7, 0)</f>
        <v/>
      </c>
      <c r="P1752" s="23" t="inlineStr">
        <is>
          <t>Single Carrier (Band n50, 100MHz TDD)</t>
        </is>
      </c>
      <c r="Q1752" s="27">
        <f>ROUNDUP(O1752/'Methodology &amp; Assumptions'!$B$8, 0)</f>
        <v/>
      </c>
      <c r="R1752" s="27" t="n">
        <v>1</v>
      </c>
      <c r="S1752" s="26" t="n">
        <v>1.3</v>
      </c>
      <c r="T1752" s="26" t="n">
        <v>0.73</v>
      </c>
      <c r="U1752" s="11">
        <f>IF(S1752&lt;='Methodology &amp; Assumptions'!$B$10, "Direct Optical Drop (&lt;3km)", IF(S1752&lt;='Methodology &amp; Assumptions'!$B$9, "Near Optical / Microwave (&lt;5km)", "Starlink Business LEO Satellite Backhaul (&gt;5km)"))</f>
        <v/>
      </c>
      <c r="V1752" s="26" t="n">
        <v>82.53</v>
      </c>
      <c r="W1752" s="26" t="n">
        <v>32.73</v>
      </c>
      <c r="X1752" s="26">
        <f>ROUND(('Methodology &amp; Assumptions'!$B$5*V1752) + ('Methodology &amp; Assumptions'!$B$6*W1752), 2)</f>
        <v/>
      </c>
      <c r="Y1752" s="28" t="n">
        <v>8.300000000000001</v>
      </c>
      <c r="Z1752" s="11" t="inlineStr">
        <is>
          <t>Priority Tier 3 (Broadband Expansion)</t>
        </is>
      </c>
    </row>
    <row r="1753">
      <c r="A1753" s="23" t="n">
        <v>5</v>
      </c>
      <c r="B1753" s="23" t="n">
        <v>749</v>
      </c>
      <c r="C1753" s="23" t="n">
        <v>4749</v>
      </c>
      <c r="D1753" s="23" t="inlineStr">
        <is>
          <t>0305412023</t>
        </is>
      </c>
      <c r="E1753" s="11" t="inlineStr">
        <is>
          <t>Region III (Central Luzon)</t>
        </is>
      </c>
      <c r="F1753" s="11" t="inlineStr">
        <is>
          <t>Pampanga</t>
        </is>
      </c>
      <c r="G1753" s="11" t="inlineStr">
        <is>
          <t>Masantol</t>
        </is>
      </c>
      <c r="H1753" s="11" t="inlineStr">
        <is>
          <t>Sta. Lucia Matua</t>
        </is>
      </c>
      <c r="I1753" s="24" t="n">
        <v>14.888815</v>
      </c>
      <c r="J1753" s="24" t="n">
        <v>120.7038</v>
      </c>
      <c r="K1753" s="23" t="inlineStr">
        <is>
          <t>U</t>
        </is>
      </c>
      <c r="L1753" s="25" t="n">
        <v>3461</v>
      </c>
      <c r="M1753" s="26" t="n">
        <v>4</v>
      </c>
      <c r="N1753" s="25">
        <f>ROUND(L1753/M1753, 0)</f>
        <v/>
      </c>
      <c r="O1753" s="25">
        <f>ROUND(N1753*'Methodology &amp; Assumptions'!$B$7, 0)</f>
        <v/>
      </c>
      <c r="P1753" s="23" t="inlineStr">
        <is>
          <t>Single Carrier (Band n50, 100MHz TDD)</t>
        </is>
      </c>
      <c r="Q1753" s="27">
        <f>ROUNDUP(O1753/'Methodology &amp; Assumptions'!$B$8, 0)</f>
        <v/>
      </c>
      <c r="R1753" s="27" t="n">
        <v>1</v>
      </c>
      <c r="S1753" s="26" t="n">
        <v>0.43</v>
      </c>
      <c r="T1753" s="26" t="n">
        <v>1.86</v>
      </c>
      <c r="U1753" s="11">
        <f>IF(S1753&lt;='Methodology &amp; Assumptions'!$B$10, "Direct Optical Drop (&lt;3km)", IF(S1753&lt;='Methodology &amp; Assumptions'!$B$9, "Near Optical / Microwave (&lt;5km)", "Starlink Business LEO Satellite Backhaul (&gt;5km)"))</f>
        <v/>
      </c>
      <c r="V1753" s="26" t="n">
        <v>78.43000000000001</v>
      </c>
      <c r="W1753" s="26" t="n">
        <v>36.82</v>
      </c>
      <c r="X1753" s="26">
        <f>ROUND(('Methodology &amp; Assumptions'!$B$5*V1753) + ('Methodology &amp; Assumptions'!$B$6*W1753), 2)</f>
        <v/>
      </c>
      <c r="Y1753" s="28" t="n">
        <v>8.300000000000001</v>
      </c>
      <c r="Z1753" s="11" t="inlineStr">
        <is>
          <t>Priority Tier 3 (Broadband Expansion)</t>
        </is>
      </c>
    </row>
    <row r="1754">
      <c r="A1754" s="23" t="n">
        <v>5</v>
      </c>
      <c r="B1754" s="23" t="n">
        <v>750</v>
      </c>
      <c r="C1754" s="23" t="n">
        <v>4750</v>
      </c>
      <c r="D1754" s="23" t="inlineStr">
        <is>
          <t>0301416015</t>
        </is>
      </c>
      <c r="E1754" s="11" t="inlineStr">
        <is>
          <t>Region III (Central Luzon)</t>
        </is>
      </c>
      <c r="F1754" s="11" t="inlineStr">
        <is>
          <t>Bulacan</t>
        </is>
      </c>
      <c r="G1754" s="11" t="inlineStr">
        <is>
          <t>Paombong</t>
        </is>
      </c>
      <c r="H1754" s="11" t="inlineStr">
        <is>
          <t>Santo Niño</t>
        </is>
      </c>
      <c r="I1754" s="24" t="n">
        <v>14.83969</v>
      </c>
      <c r="J1754" s="24" t="n">
        <v>120.793904</v>
      </c>
      <c r="K1754" s="23" t="inlineStr">
        <is>
          <t>R</t>
        </is>
      </c>
      <c r="L1754" s="25" t="n">
        <v>3736</v>
      </c>
      <c r="M1754" s="26" t="n">
        <v>3.5</v>
      </c>
      <c r="N1754" s="25">
        <f>ROUND(L1754/M1754, 0)</f>
        <v/>
      </c>
      <c r="O1754" s="25">
        <f>ROUND(N1754*'Methodology &amp; Assumptions'!$B$7, 0)</f>
        <v/>
      </c>
      <c r="P1754" s="23" t="inlineStr">
        <is>
          <t>Single Carrier (Band n50, 100MHz TDD)</t>
        </is>
      </c>
      <c r="Q1754" s="27">
        <f>ROUNDUP(O1754/'Methodology &amp; Assumptions'!$B$8, 0)</f>
        <v/>
      </c>
      <c r="R1754" s="27" t="n">
        <v>1</v>
      </c>
      <c r="S1754" s="26" t="n">
        <v>1.98</v>
      </c>
      <c r="T1754" s="26" t="n">
        <v>2.65</v>
      </c>
      <c r="U1754" s="11">
        <f>IF(S1754&lt;='Methodology &amp; Assumptions'!$B$10, "Direct Optical Drop (&lt;3km)", IF(S1754&lt;='Methodology &amp; Assumptions'!$B$9, "Near Optical / Microwave (&lt;5km)", "Starlink Business LEO Satellite Backhaul (&gt;5km)"))</f>
        <v/>
      </c>
      <c r="V1754" s="26" t="n">
        <v>77.95999999999999</v>
      </c>
      <c r="W1754" s="26" t="n">
        <v>37.3</v>
      </c>
      <c r="X1754" s="26">
        <f>ROUND(('Methodology &amp; Assumptions'!$B$5*V1754) + ('Methodology &amp; Assumptions'!$B$6*W1754), 2)</f>
        <v/>
      </c>
      <c r="Y1754" s="28" t="n">
        <v>8.300000000000001</v>
      </c>
      <c r="Z1754" s="11" t="inlineStr">
        <is>
          <t>Priority Tier 3 (Broadband Expansion)</t>
        </is>
      </c>
    </row>
    <row r="1755">
      <c r="A1755" s="23" t="n">
        <v>5</v>
      </c>
      <c r="B1755" s="23" t="n">
        <v>751</v>
      </c>
      <c r="C1755" s="23" t="n">
        <v>4751</v>
      </c>
      <c r="D1755" s="23" t="inlineStr">
        <is>
          <t>0300810021</t>
        </is>
      </c>
      <c r="E1755" s="11" t="inlineStr">
        <is>
          <t>Region III (Central Luzon)</t>
        </is>
      </c>
      <c r="F1755" s="11" t="inlineStr">
        <is>
          <t>Bataan</t>
        </is>
      </c>
      <c r="G1755" s="11" t="inlineStr">
        <is>
          <t>Orion</t>
        </is>
      </c>
      <c r="H1755" s="11" t="inlineStr">
        <is>
          <t>Sabatan</t>
        </is>
      </c>
      <c r="I1755" s="24" t="n">
        <v>14.615123</v>
      </c>
      <c r="J1755" s="24" t="n">
        <v>120.567813</v>
      </c>
      <c r="K1755" s="23" t="inlineStr">
        <is>
          <t>U</t>
        </is>
      </c>
      <c r="L1755" s="25" t="n">
        <v>3931</v>
      </c>
      <c r="M1755" s="26" t="n">
        <v>3.6</v>
      </c>
      <c r="N1755" s="25">
        <f>ROUND(L1755/M1755, 0)</f>
        <v/>
      </c>
      <c r="O1755" s="25">
        <f>ROUND(N1755*'Methodology &amp; Assumptions'!$B$7, 0)</f>
        <v/>
      </c>
      <c r="P1755" s="23" t="inlineStr">
        <is>
          <t>Single Carrier (Band n50, 100MHz TDD)</t>
        </is>
      </c>
      <c r="Q1755" s="27">
        <f>ROUNDUP(O1755/'Methodology &amp; Assumptions'!$B$8, 0)</f>
        <v/>
      </c>
      <c r="R1755" s="27" t="n">
        <v>1</v>
      </c>
      <c r="S1755" s="26" t="n">
        <v>1.22</v>
      </c>
      <c r="T1755" s="26" t="n">
        <v>1.18</v>
      </c>
      <c r="U1755" s="11">
        <f>IF(S1755&lt;='Methodology &amp; Assumptions'!$B$10, "Direct Optical Drop (&lt;3km)", IF(S1755&lt;='Methodology &amp; Assumptions'!$B$9, "Near Optical / Microwave (&lt;5km)", "Starlink Business LEO Satellite Backhaul (&gt;5km)"))</f>
        <v/>
      </c>
      <c r="V1755" s="26" t="n">
        <v>77</v>
      </c>
      <c r="W1755" s="26" t="n">
        <v>38.25</v>
      </c>
      <c r="X1755" s="26">
        <f>ROUND(('Methodology &amp; Assumptions'!$B$5*V1755) + ('Methodology &amp; Assumptions'!$B$6*W1755), 2)</f>
        <v/>
      </c>
      <c r="Y1755" s="28" t="n">
        <v>8.300000000000001</v>
      </c>
      <c r="Z1755" s="11" t="inlineStr">
        <is>
          <t>Priority Tier 3 (Broadband Expansion)</t>
        </is>
      </c>
    </row>
    <row r="1756">
      <c r="A1756" s="23" t="n">
        <v>5</v>
      </c>
      <c r="B1756" s="23" t="n">
        <v>752</v>
      </c>
      <c r="C1756" s="23" t="n">
        <v>4752</v>
      </c>
      <c r="D1756" s="23" t="inlineStr">
        <is>
          <t>0403406002</t>
        </is>
      </c>
      <c r="E1756" s="11" t="inlineStr">
        <is>
          <t>Region IV-A (CALABARZON)</t>
        </is>
      </c>
      <c r="F1756" s="11" t="inlineStr">
        <is>
          <t>Laguna</t>
        </is>
      </c>
      <c r="G1756" s="11" t="inlineStr">
        <is>
          <t>Calauan</t>
        </is>
      </c>
      <c r="H1756" s="11" t="inlineStr">
        <is>
          <t>Bangyas</t>
        </is>
      </c>
      <c r="I1756" s="24" t="n">
        <v>14.177616</v>
      </c>
      <c r="J1756" s="24" t="n">
        <v>121.316809</v>
      </c>
      <c r="K1756" s="23" t="inlineStr">
        <is>
          <t>R</t>
        </is>
      </c>
      <c r="L1756" s="25" t="n">
        <v>3213</v>
      </c>
      <c r="M1756" s="26" t="n">
        <v>3.3</v>
      </c>
      <c r="N1756" s="25">
        <f>ROUND(L1756/M1756, 0)</f>
        <v/>
      </c>
      <c r="O1756" s="25">
        <f>ROUND(N1756*'Methodology &amp; Assumptions'!$B$7, 0)</f>
        <v/>
      </c>
      <c r="P1756" s="23" t="inlineStr">
        <is>
          <t>Single Carrier (Band n50, 100MHz TDD)</t>
        </is>
      </c>
      <c r="Q1756" s="27">
        <f>ROUNDUP(O1756/'Methodology &amp; Assumptions'!$B$8, 0)</f>
        <v/>
      </c>
      <c r="R1756" s="27" t="n">
        <v>1</v>
      </c>
      <c r="S1756" s="26" t="n">
        <v>3.53</v>
      </c>
      <c r="T1756" s="26" t="n">
        <v>0.1</v>
      </c>
      <c r="U1756" s="11">
        <f>IF(S1756&lt;='Methodology &amp; Assumptions'!$B$10, "Direct Optical Drop (&lt;3km)", IF(S1756&lt;='Methodology &amp; Assumptions'!$B$9, "Near Optical / Microwave (&lt;5km)", "Starlink Business LEO Satellite Backhaul (&gt;5km)"))</f>
        <v/>
      </c>
      <c r="V1756" s="26" t="n">
        <v>76.81</v>
      </c>
      <c r="W1756" s="26" t="n">
        <v>38.45</v>
      </c>
      <c r="X1756" s="26">
        <f>ROUND(('Methodology &amp; Assumptions'!$B$5*V1756) + ('Methodology &amp; Assumptions'!$B$6*W1756), 2)</f>
        <v/>
      </c>
      <c r="Y1756" s="28" t="n">
        <v>7.2</v>
      </c>
      <c r="Z1756" s="11" t="inlineStr">
        <is>
          <t>Priority Tier 3 (Broadband Expansion)</t>
        </is>
      </c>
    </row>
    <row r="1757">
      <c r="A1757" s="23" t="n">
        <v>5</v>
      </c>
      <c r="B1757" s="23" t="n">
        <v>753</v>
      </c>
      <c r="C1757" s="23" t="n">
        <v>4753</v>
      </c>
      <c r="D1757" s="23" t="inlineStr">
        <is>
          <t>0402108028</t>
        </is>
      </c>
      <c r="E1757" s="11" t="inlineStr">
        <is>
          <t>Region IV-A (CALABARZON)</t>
        </is>
      </c>
      <c r="F1757" s="11" t="inlineStr">
        <is>
          <t>Cavite</t>
        </is>
      </c>
      <c r="G1757" s="11" t="inlineStr">
        <is>
          <t>City of General Trias</t>
        </is>
      </c>
      <c r="H1757" s="11" t="inlineStr">
        <is>
          <t>Tapia</t>
        </is>
      </c>
      <c r="I1757" s="24" t="n">
        <v>14.361074</v>
      </c>
      <c r="J1757" s="24" t="n">
        <v>120.880846</v>
      </c>
      <c r="K1757" s="23" t="inlineStr">
        <is>
          <t>R</t>
        </is>
      </c>
      <c r="L1757" s="25" t="n">
        <v>5173</v>
      </c>
      <c r="M1757" s="26" t="n">
        <v>3.4</v>
      </c>
      <c r="N1757" s="25">
        <f>ROUND(L1757/M1757, 0)</f>
        <v/>
      </c>
      <c r="O1757" s="25">
        <f>ROUND(N1757*'Methodology &amp; Assumptions'!$B$7, 0)</f>
        <v/>
      </c>
      <c r="P1757" s="23" t="inlineStr">
        <is>
          <t>Single Carrier (Band n50, 100MHz TDD)</t>
        </is>
      </c>
      <c r="Q1757" s="27">
        <f>ROUNDUP(O1757/'Methodology &amp; Assumptions'!$B$8, 0)</f>
        <v/>
      </c>
      <c r="R1757" s="27" t="n">
        <v>1</v>
      </c>
      <c r="S1757" s="26" t="n">
        <v>2.97</v>
      </c>
      <c r="T1757" s="26" t="n">
        <v>3.61</v>
      </c>
      <c r="U1757" s="11">
        <f>IF(S1757&lt;='Methodology &amp; Assumptions'!$B$10, "Direct Optical Drop (&lt;3km)", IF(S1757&lt;='Methodology &amp; Assumptions'!$B$9, "Near Optical / Microwave (&lt;5km)", "Starlink Business LEO Satellite Backhaul (&gt;5km)"))</f>
        <v/>
      </c>
      <c r="V1757" s="26" t="n">
        <v>74.62</v>
      </c>
      <c r="W1757" s="26" t="n">
        <v>40.65</v>
      </c>
      <c r="X1757" s="26">
        <f>ROUND(('Methodology &amp; Assumptions'!$B$5*V1757) + ('Methodology &amp; Assumptions'!$B$6*W1757), 2)</f>
        <v/>
      </c>
      <c r="Y1757" s="28" t="n">
        <v>7.2</v>
      </c>
      <c r="Z1757" s="11" t="inlineStr">
        <is>
          <t>Priority Tier 3 (Broadband Expansion)</t>
        </is>
      </c>
    </row>
    <row r="1758">
      <c r="A1758" s="23" t="n">
        <v>5</v>
      </c>
      <c r="B1758" s="23" t="n">
        <v>754</v>
      </c>
      <c r="C1758" s="23" t="n">
        <v>4754</v>
      </c>
      <c r="D1758" s="23" t="inlineStr">
        <is>
          <t>0402106019</t>
        </is>
      </c>
      <c r="E1758" s="11" t="inlineStr">
        <is>
          <t>Region IV-A (CALABARZON)</t>
        </is>
      </c>
      <c r="F1758" s="11" t="inlineStr">
        <is>
          <t>Cavite</t>
        </is>
      </c>
      <c r="G1758" s="11" t="inlineStr">
        <is>
          <t>City of Dasmariñas</t>
        </is>
      </c>
      <c r="H1758" s="11" t="inlineStr">
        <is>
          <t>Zone IV</t>
        </is>
      </c>
      <c r="I1758" s="24" t="n">
        <v>14.328235</v>
      </c>
      <c r="J1758" s="24" t="n">
        <v>120.937258</v>
      </c>
      <c r="K1758" s="23" t="inlineStr">
        <is>
          <t>U</t>
        </is>
      </c>
      <c r="L1758" s="25" t="n">
        <v>3969</v>
      </c>
      <c r="M1758" s="26" t="n">
        <v>3.4</v>
      </c>
      <c r="N1758" s="25">
        <f>ROUND(L1758/M1758, 0)</f>
        <v/>
      </c>
      <c r="O1758" s="25">
        <f>ROUND(N1758*'Methodology &amp; Assumptions'!$B$7, 0)</f>
        <v/>
      </c>
      <c r="P1758" s="23" t="inlineStr">
        <is>
          <t>Single Carrier (Band n50, 100MHz TDD)</t>
        </is>
      </c>
      <c r="Q1758" s="27">
        <f>ROUNDUP(O1758/'Methodology &amp; Assumptions'!$B$8, 0)</f>
        <v/>
      </c>
      <c r="R1758" s="27" t="n">
        <v>1</v>
      </c>
      <c r="S1758" s="26" t="n">
        <v>2.49</v>
      </c>
      <c r="T1758" s="26" t="n">
        <v>3.43</v>
      </c>
      <c r="U1758" s="11">
        <f>IF(S1758&lt;='Methodology &amp; Assumptions'!$B$10, "Direct Optical Drop (&lt;3km)", IF(S1758&lt;='Methodology &amp; Assumptions'!$B$9, "Near Optical / Microwave (&lt;5km)", "Starlink Business LEO Satellite Backhaul (&gt;5km)"))</f>
        <v/>
      </c>
      <c r="V1758" s="26" t="n">
        <v>68.89</v>
      </c>
      <c r="W1758" s="26" t="n">
        <v>46.37</v>
      </c>
      <c r="X1758" s="26">
        <f>ROUND(('Methodology &amp; Assumptions'!$B$5*V1758) + ('Methodology &amp; Assumptions'!$B$6*W1758), 2)</f>
        <v/>
      </c>
      <c r="Y1758" s="28" t="n">
        <v>7.2</v>
      </c>
      <c r="Z1758" s="11" t="inlineStr">
        <is>
          <t>Priority Tier 3 (Broadband Expansion)</t>
        </is>
      </c>
    </row>
    <row r="1759">
      <c r="A1759" s="23" t="n">
        <v>5</v>
      </c>
      <c r="B1759" s="23" t="n">
        <v>755</v>
      </c>
      <c r="C1759" s="23" t="n">
        <v>4755</v>
      </c>
      <c r="D1759" s="23" t="inlineStr">
        <is>
          <t>1705110040</t>
        </is>
      </c>
      <c r="E1759" s="11" t="inlineStr">
        <is>
          <t>MIMAROPA Region</t>
        </is>
      </c>
      <c r="F1759" s="11" t="inlineStr">
        <is>
          <t>Occidental Mindoro</t>
        </is>
      </c>
      <c r="G1759" s="11" t="inlineStr">
        <is>
          <t>San Jose</t>
        </is>
      </c>
      <c r="H1759" s="11" t="inlineStr">
        <is>
          <t>Naibuan</t>
        </is>
      </c>
      <c r="I1759" s="24" t="n">
        <v>12.490623</v>
      </c>
      <c r="J1759" s="24" t="n">
        <v>121.179346</v>
      </c>
      <c r="K1759" s="23" t="inlineStr">
        <is>
          <t>R</t>
        </is>
      </c>
      <c r="L1759" s="25" t="n">
        <v>3607</v>
      </c>
      <c r="M1759" s="26" t="n">
        <v>3.9</v>
      </c>
      <c r="N1759" s="25">
        <f>ROUND(L1759/M1759, 0)</f>
        <v/>
      </c>
      <c r="O1759" s="25">
        <f>ROUND(N1759*'Methodology &amp; Assumptions'!$B$7, 0)</f>
        <v/>
      </c>
      <c r="P1759" s="23" t="inlineStr">
        <is>
          <t>Single Carrier (Band n50, 100MHz TDD)</t>
        </is>
      </c>
      <c r="Q1759" s="27">
        <f>ROUNDUP(O1759/'Methodology &amp; Assumptions'!$B$8, 0)</f>
        <v/>
      </c>
      <c r="R1759" s="27" t="n">
        <v>1</v>
      </c>
      <c r="S1759" s="26" t="n">
        <v>19.92</v>
      </c>
      <c r="T1759" s="26" t="n">
        <v>15.75</v>
      </c>
      <c r="U1759" s="11">
        <f>IF(S1759&lt;='Methodology &amp; Assumptions'!$B$10, "Direct Optical Drop (&lt;3km)", IF(S1759&lt;='Methodology &amp; Assumptions'!$B$9, "Near Optical / Microwave (&lt;5km)", "Starlink Business LEO Satellite Backhaul (&gt;5km)"))</f>
        <v/>
      </c>
      <c r="V1759" s="26" t="n">
        <v>61.44</v>
      </c>
      <c r="W1759" s="26" t="n">
        <v>53.83</v>
      </c>
      <c r="X1759" s="26">
        <f>ROUND(('Methodology &amp; Assumptions'!$B$5*V1759) + ('Methodology &amp; Assumptions'!$B$6*W1759), 2)</f>
        <v/>
      </c>
      <c r="Y1759" s="28" t="n">
        <v>15</v>
      </c>
      <c r="Z1759" s="11" t="inlineStr">
        <is>
          <t>Priority Tier 3 (Broadband Expansion)</t>
        </is>
      </c>
    </row>
    <row r="1760">
      <c r="A1760" s="23" t="n">
        <v>5</v>
      </c>
      <c r="B1760" s="23" t="n">
        <v>756</v>
      </c>
      <c r="C1760" s="23" t="n">
        <v>4756</v>
      </c>
      <c r="D1760" s="23" t="inlineStr">
        <is>
          <t>1380614052</t>
        </is>
      </c>
      <c r="E1760" s="11" t="inlineStr">
        <is>
          <t>National Capital Region (NCR)</t>
        </is>
      </c>
      <c r="F1760" s="11" t="inlineStr">
        <is>
          <t>First District (Not a Province)</t>
        </is>
      </c>
      <c r="G1760" s="11" t="inlineStr">
        <is>
          <t>City of Manila</t>
        </is>
      </c>
      <c r="H1760" s="11" t="inlineStr">
        <is>
          <t>Barangay 796</t>
        </is>
      </c>
      <c r="I1760" s="24" t="n">
        <v>14.575324</v>
      </c>
      <c r="J1760" s="24" t="n">
        <v>121.000985</v>
      </c>
      <c r="K1760" s="23" t="inlineStr">
        <is>
          <t>U</t>
        </is>
      </c>
      <c r="L1760" s="25" t="n">
        <v>672</v>
      </c>
      <c r="M1760" s="26" t="n">
        <v>4.39</v>
      </c>
      <c r="N1760" s="25">
        <f>ROUND(L1760/M1760, 0)</f>
        <v/>
      </c>
      <c r="O1760" s="25">
        <f>ROUND(N1760*'Methodology &amp; Assumptions'!$B$7, 0)</f>
        <v/>
      </c>
      <c r="P1760" s="23" t="inlineStr">
        <is>
          <t>Single Carrier (Band n50, 100MHz TDD)</t>
        </is>
      </c>
      <c r="Q1760" s="27">
        <f>ROUNDUP(O1760/'Methodology &amp; Assumptions'!$B$8, 0)</f>
        <v/>
      </c>
      <c r="R1760" s="27" t="n">
        <v>1</v>
      </c>
      <c r="S1760" s="26" t="n">
        <v>0.8100000000000001</v>
      </c>
      <c r="T1760" s="26" t="n">
        <v>0.47</v>
      </c>
      <c r="U1760" s="11">
        <f>IF(S1760&lt;='Methodology &amp; Assumptions'!$B$10, "Direct Optical Drop (&lt;3km)", IF(S1760&lt;='Methodology &amp; Assumptions'!$B$9, "Near Optical / Microwave (&lt;5km)", "Starlink Business LEO Satellite Backhaul (&gt;5km)"))</f>
        <v/>
      </c>
      <c r="V1760" s="26" t="n">
        <v>46.02</v>
      </c>
      <c r="W1760" s="26" t="n">
        <v>69.25</v>
      </c>
      <c r="X1760" s="26">
        <f>ROUND(('Methodology &amp; Assumptions'!$B$5*V1760) + ('Methodology &amp; Assumptions'!$B$6*W1760), 2)</f>
        <v/>
      </c>
      <c r="Y1760" s="28" t="n">
        <v>10.9</v>
      </c>
      <c r="Z1760" s="11" t="inlineStr">
        <is>
          <t>Priority Tier 3 (Broadband Expansion)</t>
        </is>
      </c>
    </row>
    <row r="1761">
      <c r="A1761" s="23" t="n">
        <v>5</v>
      </c>
      <c r="B1761" s="23" t="n">
        <v>757</v>
      </c>
      <c r="C1761" s="23" t="n">
        <v>4757</v>
      </c>
      <c r="D1761" s="23" t="inlineStr">
        <is>
          <t>0804814021</t>
        </is>
      </c>
      <c r="E1761" s="11" t="inlineStr">
        <is>
          <t>Region VIII (Eastern Visayas)</t>
        </is>
      </c>
      <c r="F1761" s="11" t="inlineStr">
        <is>
          <t>Northern Samar</t>
        </is>
      </c>
      <c r="G1761" s="11" t="inlineStr">
        <is>
          <t>Palapag</t>
        </is>
      </c>
      <c r="H1761" s="11" t="inlineStr">
        <is>
          <t>Nipa</t>
        </is>
      </c>
      <c r="I1761" s="24" t="n">
        <v>12.550889</v>
      </c>
      <c r="J1761" s="24" t="n">
        <v>125.173621</v>
      </c>
      <c r="K1761" s="23" t="inlineStr">
        <is>
          <t>R</t>
        </is>
      </c>
      <c r="L1761" s="25" t="n">
        <v>1295</v>
      </c>
      <c r="M1761" s="26" t="n">
        <v>4.3</v>
      </c>
      <c r="N1761" s="25">
        <f>ROUND(L1761/M1761, 0)</f>
        <v/>
      </c>
      <c r="O1761" s="25">
        <f>ROUND(N1761*'Methodology &amp; Assumptions'!$B$7, 0)</f>
        <v/>
      </c>
      <c r="P1761" s="23" t="inlineStr">
        <is>
          <t>Single Carrier (Band n50, 100MHz TDD)</t>
        </is>
      </c>
      <c r="Q1761" s="27">
        <f>ROUNDUP(O1761/'Methodology &amp; Assumptions'!$B$8, 0)</f>
        <v/>
      </c>
      <c r="R1761" s="27" t="n">
        <v>1</v>
      </c>
      <c r="S1761" s="26" t="n">
        <v>115.01</v>
      </c>
      <c r="T1761" s="26" t="n">
        <v>113.96</v>
      </c>
      <c r="U1761" s="11">
        <f>IF(S1761&lt;='Methodology &amp; Assumptions'!$B$10, "Direct Optical Drop (&lt;3km)", IF(S1761&lt;='Methodology &amp; Assumptions'!$B$9, "Near Optical / Microwave (&lt;5km)", "Starlink Business LEO Satellite Backhaul (&gt;5km)"))</f>
        <v/>
      </c>
      <c r="V1761" s="26" t="n">
        <v>45.33</v>
      </c>
      <c r="W1761" s="26" t="n">
        <v>69.92</v>
      </c>
      <c r="X1761" s="26">
        <f>ROUND(('Methodology &amp; Assumptions'!$B$5*V1761) + ('Methodology &amp; Assumptions'!$B$6*W1761), 2)</f>
        <v/>
      </c>
      <c r="Y1761" s="28" t="n">
        <v>23.7</v>
      </c>
      <c r="Z1761" s="11" t="inlineStr">
        <is>
          <t>Priority Tier 3 (Broadband Expansion)</t>
        </is>
      </c>
    </row>
    <row r="1762">
      <c r="A1762" s="23" t="n">
        <v>5</v>
      </c>
      <c r="B1762" s="23" t="n">
        <v>758</v>
      </c>
      <c r="C1762" s="23" t="n">
        <v>4758</v>
      </c>
      <c r="D1762" s="23" t="inlineStr">
        <is>
          <t>0203110001</t>
        </is>
      </c>
      <c r="E1762" s="11" t="inlineStr">
        <is>
          <t>Region II (Cagayan Valley)</t>
        </is>
      </c>
      <c r="F1762" s="11" t="inlineStr">
        <is>
          <t>Isabela</t>
        </is>
      </c>
      <c r="G1762" s="11" t="inlineStr">
        <is>
          <t>Dinapigue</t>
        </is>
      </c>
      <c r="H1762" s="11" t="inlineStr">
        <is>
          <t>Ayod</t>
        </is>
      </c>
      <c r="I1762" s="24" t="n">
        <v>16.754412</v>
      </c>
      <c r="J1762" s="24" t="n">
        <v>122.2427</v>
      </c>
      <c r="K1762" s="23" t="inlineStr">
        <is>
          <t>R</t>
        </is>
      </c>
      <c r="L1762" s="25" t="n">
        <v>324</v>
      </c>
      <c r="M1762" s="26" t="n">
        <v>3.8</v>
      </c>
      <c r="N1762" s="25">
        <f>ROUND(L1762/M1762, 0)</f>
        <v/>
      </c>
      <c r="O1762" s="25">
        <f>ROUND(N1762*'Methodology &amp; Assumptions'!$B$7, 0)</f>
        <v/>
      </c>
      <c r="P1762" s="23" t="inlineStr">
        <is>
          <t>Single Carrier (Band n50, 100MHz TDD)</t>
        </is>
      </c>
      <c r="Q1762" s="27">
        <f>ROUNDUP(O1762/'Methodology &amp; Assumptions'!$B$8, 0)</f>
        <v/>
      </c>
      <c r="R1762" s="27" t="n">
        <v>1</v>
      </c>
      <c r="S1762" s="26" t="n">
        <v>25.55</v>
      </c>
      <c r="T1762" s="26" t="n">
        <v>25.68</v>
      </c>
      <c r="U1762" s="11">
        <f>IF(S1762&lt;='Methodology &amp; Assumptions'!$B$10, "Direct Optical Drop (&lt;3km)", IF(S1762&lt;='Methodology &amp; Assumptions'!$B$9, "Near Optical / Microwave (&lt;5km)", "Starlink Business LEO Satellite Backhaul (&gt;5km)"))</f>
        <v/>
      </c>
      <c r="V1762" s="26" t="n">
        <v>36.6</v>
      </c>
      <c r="W1762" s="26" t="n">
        <v>78.67</v>
      </c>
      <c r="X1762" s="26">
        <f>ROUND(('Methodology &amp; Assumptions'!$B$5*V1762) + ('Methodology &amp; Assumptions'!$B$6*W1762), 2)</f>
        <v/>
      </c>
      <c r="Y1762" s="28" t="n">
        <v>8.300000000000001</v>
      </c>
      <c r="Z1762" s="11" t="inlineStr">
        <is>
          <t>Priority Tier 3 (Broadband Expansion)</t>
        </is>
      </c>
    </row>
    <row r="1763">
      <c r="A1763" s="23" t="n">
        <v>5</v>
      </c>
      <c r="B1763" s="23" t="n">
        <v>759</v>
      </c>
      <c r="C1763" s="23" t="n">
        <v>4759</v>
      </c>
      <c r="D1763" s="23" t="inlineStr">
        <is>
          <t>0806407066</t>
        </is>
      </c>
      <c r="E1763" s="11" t="inlineStr">
        <is>
          <t>Region VIII (Eastern Visayas)</t>
        </is>
      </c>
      <c r="F1763" s="11" t="inlineStr">
        <is>
          <t>Southern Leyte</t>
        </is>
      </c>
      <c r="G1763" s="11" t="inlineStr">
        <is>
          <t>City of Maasin</t>
        </is>
      </c>
      <c r="H1763" s="11" t="inlineStr">
        <is>
          <t>Combado</t>
        </is>
      </c>
      <c r="I1763" s="24" t="n">
        <v>10.132905</v>
      </c>
      <c r="J1763" s="24" t="n">
        <v>124.832842</v>
      </c>
      <c r="K1763" s="23" t="inlineStr">
        <is>
          <t>U</t>
        </is>
      </c>
      <c r="L1763" s="25" t="n">
        <v>5919</v>
      </c>
      <c r="M1763" s="26" t="n">
        <v>4.1</v>
      </c>
      <c r="N1763" s="25">
        <f>ROUND(L1763/M1763, 0)</f>
        <v/>
      </c>
      <c r="O1763" s="25">
        <f>ROUND(N1763*'Methodology &amp; Assumptions'!$B$7, 0)</f>
        <v/>
      </c>
      <c r="P1763" s="23" t="inlineStr">
        <is>
          <t>Single Carrier (Band n50, 100MHz TDD)</t>
        </is>
      </c>
      <c r="Q1763" s="27">
        <f>ROUNDUP(O1763/'Methodology &amp; Assumptions'!$B$8, 0)</f>
        <v/>
      </c>
      <c r="R1763" s="27" t="n">
        <v>1</v>
      </c>
      <c r="S1763" s="26" t="n">
        <v>0.39</v>
      </c>
      <c r="T1763" s="26" t="n">
        <v>0.24</v>
      </c>
      <c r="U1763" s="11">
        <f>IF(S1763&lt;='Methodology &amp; Assumptions'!$B$10, "Direct Optical Drop (&lt;3km)", IF(S1763&lt;='Methodology &amp; Assumptions'!$B$9, "Near Optical / Microwave (&lt;5km)", "Starlink Business LEO Satellite Backhaul (&gt;5km)"))</f>
        <v/>
      </c>
      <c r="V1763" s="26" t="n">
        <v>80.86</v>
      </c>
      <c r="W1763" s="26" t="n">
        <v>34.38</v>
      </c>
      <c r="X1763" s="26">
        <f>ROUND(('Methodology &amp; Assumptions'!$B$5*V1763) + ('Methodology &amp; Assumptions'!$B$6*W1763), 2)</f>
        <v/>
      </c>
      <c r="Y1763" s="28" t="n">
        <v>23.7</v>
      </c>
      <c r="Z1763" s="11" t="inlineStr">
        <is>
          <t>Priority Tier 3 (Broadband Expansion)</t>
        </is>
      </c>
    </row>
    <row r="1764">
      <c r="A1764" s="23" t="n">
        <v>5</v>
      </c>
      <c r="B1764" s="23" t="n">
        <v>760</v>
      </c>
      <c r="C1764" s="23" t="n">
        <v>4760</v>
      </c>
      <c r="D1764" s="23" t="inlineStr">
        <is>
          <t>1004311013</t>
        </is>
      </c>
      <c r="E1764" s="11" t="inlineStr">
        <is>
          <t>Region X (Northern Mindanao)</t>
        </is>
      </c>
      <c r="F1764" s="11" t="inlineStr">
        <is>
          <t>Misamis Oriental</t>
        </is>
      </c>
      <c r="G1764" s="11" t="inlineStr">
        <is>
          <t>Jasaan</t>
        </is>
      </c>
      <c r="H1764" s="11" t="inlineStr">
        <is>
          <t>Solana</t>
        </is>
      </c>
      <c r="I1764" s="24" t="n">
        <v>8.625225</v>
      </c>
      <c r="J1764" s="24" t="n">
        <v>124.765335</v>
      </c>
      <c r="K1764" s="23" t="inlineStr">
        <is>
          <t>R</t>
        </is>
      </c>
      <c r="L1764" s="25" t="n">
        <v>4715</v>
      </c>
      <c r="M1764" s="26" t="n">
        <v>3.9</v>
      </c>
      <c r="N1764" s="25">
        <f>ROUND(L1764/M1764, 0)</f>
        <v/>
      </c>
      <c r="O1764" s="25">
        <f>ROUND(N1764*'Methodology &amp; Assumptions'!$B$7, 0)</f>
        <v/>
      </c>
      <c r="P1764" s="23" t="inlineStr">
        <is>
          <t>Single Carrier (Band n50, 100MHz TDD)</t>
        </is>
      </c>
      <c r="Q1764" s="27">
        <f>ROUNDUP(O1764/'Methodology &amp; Assumptions'!$B$8, 0)</f>
        <v/>
      </c>
      <c r="R1764" s="27" t="n">
        <v>1</v>
      </c>
      <c r="S1764" s="26" t="n">
        <v>2.99</v>
      </c>
      <c r="T1764" s="26" t="n">
        <v>0.21</v>
      </c>
      <c r="U1764" s="11">
        <f>IF(S1764&lt;='Methodology &amp; Assumptions'!$B$10, "Direct Optical Drop (&lt;3km)", IF(S1764&lt;='Methodology &amp; Assumptions'!$B$9, "Near Optical / Microwave (&lt;5km)", "Starlink Business LEO Satellite Backhaul (&gt;5km)"))</f>
        <v/>
      </c>
      <c r="V1764" s="26" t="n">
        <v>79.66</v>
      </c>
      <c r="W1764" s="26" t="n">
        <v>35.59</v>
      </c>
      <c r="X1764" s="26">
        <f>ROUND(('Methodology &amp; Assumptions'!$B$5*V1764) + ('Methodology &amp; Assumptions'!$B$6*W1764), 2)</f>
        <v/>
      </c>
      <c r="Y1764" s="28" t="n">
        <v>17.4</v>
      </c>
      <c r="Z1764" s="11" t="inlineStr">
        <is>
          <t>Priority Tier 3 (Broadband Expansion)</t>
        </is>
      </c>
    </row>
    <row r="1765">
      <c r="A1765" s="23" t="n">
        <v>5</v>
      </c>
      <c r="B1765" s="23" t="n">
        <v>761</v>
      </c>
      <c r="C1765" s="23" t="n">
        <v>4761</v>
      </c>
      <c r="D1765" s="23" t="inlineStr">
        <is>
          <t>0301420051</t>
        </is>
      </c>
      <c r="E1765" s="11" t="inlineStr">
        <is>
          <t>Region III (Central Luzon)</t>
        </is>
      </c>
      <c r="F1765" s="11" t="inlineStr">
        <is>
          <t>Bulacan</t>
        </is>
      </c>
      <c r="G1765" s="11" t="inlineStr">
        <is>
          <t>City of San Jose Del Monte</t>
        </is>
      </c>
      <c r="H1765" s="11" t="inlineStr">
        <is>
          <t>San Rafael IV</t>
        </is>
      </c>
      <c r="I1765" s="24" t="n">
        <v>14.854353</v>
      </c>
      <c r="J1765" s="24" t="n">
        <v>121.044417</v>
      </c>
      <c r="K1765" s="23" t="inlineStr">
        <is>
          <t>U</t>
        </is>
      </c>
      <c r="L1765" s="25" t="n">
        <v>6739</v>
      </c>
      <c r="M1765" s="26" t="n">
        <v>3.5</v>
      </c>
      <c r="N1765" s="25">
        <f>ROUND(L1765/M1765, 0)</f>
        <v/>
      </c>
      <c r="O1765" s="25">
        <f>ROUND(N1765*'Methodology &amp; Assumptions'!$B$7, 0)</f>
        <v/>
      </c>
      <c r="P1765" s="23" t="inlineStr">
        <is>
          <t>Single Carrier (Band n50, 100MHz TDD)</t>
        </is>
      </c>
      <c r="Q1765" s="27">
        <f>ROUNDUP(O1765/'Methodology &amp; Assumptions'!$B$8, 0)</f>
        <v/>
      </c>
      <c r="R1765" s="27" t="n">
        <v>1</v>
      </c>
      <c r="S1765" s="26" t="n">
        <v>1.58</v>
      </c>
      <c r="T1765" s="26" t="n">
        <v>2.67</v>
      </c>
      <c r="U1765" s="11">
        <f>IF(S1765&lt;='Methodology &amp; Assumptions'!$B$10, "Direct Optical Drop (&lt;3km)", IF(S1765&lt;='Methodology &amp; Assumptions'!$B$9, "Near Optical / Microwave (&lt;5km)", "Starlink Business LEO Satellite Backhaul (&gt;5km)"))</f>
        <v/>
      </c>
      <c r="V1765" s="26" t="n">
        <v>72.16</v>
      </c>
      <c r="W1765" s="26" t="n">
        <v>43.08</v>
      </c>
      <c r="X1765" s="26">
        <f>ROUND(('Methodology &amp; Assumptions'!$B$5*V1765) + ('Methodology &amp; Assumptions'!$B$6*W1765), 2)</f>
        <v/>
      </c>
      <c r="Y1765" s="28" t="n">
        <v>8.300000000000001</v>
      </c>
      <c r="Z1765" s="11" t="inlineStr">
        <is>
          <t>Priority Tier 3 (Broadband Expansion)</t>
        </is>
      </c>
    </row>
    <row r="1766">
      <c r="A1766" s="23" t="n">
        <v>5</v>
      </c>
      <c r="B1766" s="23" t="n">
        <v>762</v>
      </c>
      <c r="C1766" s="23" t="n">
        <v>4762</v>
      </c>
      <c r="D1766" s="23" t="inlineStr">
        <is>
          <t>0301420012</t>
        </is>
      </c>
      <c r="E1766" s="11" t="inlineStr">
        <is>
          <t>Region III (Central Luzon)</t>
        </is>
      </c>
      <c r="F1766" s="11" t="inlineStr">
        <is>
          <t>Bulacan</t>
        </is>
      </c>
      <c r="G1766" s="11" t="inlineStr">
        <is>
          <t>City of San Jose Del Monte</t>
        </is>
      </c>
      <c r="H1766" s="11" t="inlineStr">
        <is>
          <t>Citrus</t>
        </is>
      </c>
      <c r="I1766" s="24" t="n">
        <v>14.849094</v>
      </c>
      <c r="J1766" s="24" t="n">
        <v>121.064878</v>
      </c>
      <c r="K1766" s="23" t="inlineStr">
        <is>
          <t>U</t>
        </is>
      </c>
      <c r="L1766" s="25" t="n">
        <v>23929</v>
      </c>
      <c r="M1766" s="26" t="n">
        <v>3.5</v>
      </c>
      <c r="N1766" s="25">
        <f>ROUND(L1766/M1766, 0)</f>
        <v/>
      </c>
      <c r="O1766" s="25">
        <f>ROUND(N1766*'Methodology &amp; Assumptions'!$B$7, 0)</f>
        <v/>
      </c>
      <c r="P1766" s="23" t="inlineStr">
        <is>
          <t>Single Carrier (Band n50, 100MHz TDD)</t>
        </is>
      </c>
      <c r="Q1766" s="27">
        <f>ROUNDUP(O1766/'Methodology &amp; Assumptions'!$B$8, 0)</f>
        <v/>
      </c>
      <c r="R1766" s="27" t="n">
        <v>1</v>
      </c>
      <c r="S1766" s="26" t="n">
        <v>1.71</v>
      </c>
      <c r="T1766" s="26" t="n">
        <v>3.18</v>
      </c>
      <c r="U1766" s="11">
        <f>IF(S1766&lt;='Methodology &amp; Assumptions'!$B$10, "Direct Optical Drop (&lt;3km)", IF(S1766&lt;='Methodology &amp; Assumptions'!$B$9, "Near Optical / Microwave (&lt;5km)", "Starlink Business LEO Satellite Backhaul (&gt;5km)"))</f>
        <v/>
      </c>
      <c r="V1766" s="26" t="n">
        <v>71.7</v>
      </c>
      <c r="W1766" s="26" t="n">
        <v>43.55</v>
      </c>
      <c r="X1766" s="26">
        <f>ROUND(('Methodology &amp; Assumptions'!$B$5*V1766) + ('Methodology &amp; Assumptions'!$B$6*W1766), 2)</f>
        <v/>
      </c>
      <c r="Y1766" s="28" t="n">
        <v>8.300000000000001</v>
      </c>
      <c r="Z1766" s="11" t="inlineStr">
        <is>
          <t>Priority Tier 3 (Broadband Expansion)</t>
        </is>
      </c>
    </row>
    <row r="1767">
      <c r="A1767" s="23" t="n">
        <v>5</v>
      </c>
      <c r="B1767" s="23" t="n">
        <v>763</v>
      </c>
      <c r="C1767" s="23" t="n">
        <v>4763</v>
      </c>
      <c r="D1767" s="23" t="inlineStr">
        <is>
          <t>0201505005</t>
        </is>
      </c>
      <c r="E1767" s="11" t="inlineStr">
        <is>
          <t>Region II (Cagayan Valley)</t>
        </is>
      </c>
      <c r="F1767" s="11" t="inlineStr">
        <is>
          <t>Cagayan</t>
        </is>
      </c>
      <c r="G1767" s="11" t="inlineStr">
        <is>
          <t>Aparri</t>
        </is>
      </c>
      <c r="H1767" s="11" t="inlineStr">
        <is>
          <t>Centro 1</t>
        </is>
      </c>
      <c r="I1767" s="24" t="n">
        <v>18.3567</v>
      </c>
      <c r="J1767" s="24" t="n">
        <v>121.6369</v>
      </c>
      <c r="K1767" s="23" t="inlineStr">
        <is>
          <t>R</t>
        </is>
      </c>
      <c r="L1767" s="25" t="n">
        <v>900</v>
      </c>
      <c r="M1767" s="26" t="n">
        <v>3.9</v>
      </c>
      <c r="N1767" s="25">
        <f>ROUND(L1767/M1767, 0)</f>
        <v/>
      </c>
      <c r="O1767" s="25">
        <f>ROUND(N1767*'Methodology &amp; Assumptions'!$B$7, 0)</f>
        <v/>
      </c>
      <c r="P1767" s="23" t="inlineStr">
        <is>
          <t>Single Carrier (Band n50, 100MHz TDD)</t>
        </is>
      </c>
      <c r="Q1767" s="27">
        <f>ROUNDUP(O1767/'Methodology &amp; Assumptions'!$B$8, 0)</f>
        <v/>
      </c>
      <c r="R1767" s="27" t="n">
        <v>1</v>
      </c>
      <c r="S1767" s="26" t="n">
        <v>0.1</v>
      </c>
      <c r="T1767" s="26" t="n">
        <v>10.4</v>
      </c>
      <c r="U1767" s="11">
        <f>IF(S1767&lt;='Methodology &amp; Assumptions'!$B$10, "Direct Optical Drop (&lt;3km)", IF(S1767&lt;='Methodology &amp; Assumptions'!$B$9, "Near Optical / Microwave (&lt;5km)", "Starlink Business LEO Satellite Backhaul (&gt;5km)"))</f>
        <v/>
      </c>
      <c r="V1767" s="26" t="n">
        <v>66.08</v>
      </c>
      <c r="W1767" s="26" t="n">
        <v>49.15</v>
      </c>
      <c r="X1767" s="26">
        <f>ROUND(('Methodology &amp; Assumptions'!$B$5*V1767) + ('Methodology &amp; Assumptions'!$B$6*W1767), 2)</f>
        <v/>
      </c>
      <c r="Y1767" s="28" t="n">
        <v>8.300000000000001</v>
      </c>
      <c r="Z1767" s="11" t="inlineStr">
        <is>
          <t>Priority Tier 3 (Broadband Expansion)</t>
        </is>
      </c>
    </row>
    <row r="1768">
      <c r="A1768" s="23" t="n">
        <v>5</v>
      </c>
      <c r="B1768" s="23" t="n">
        <v>764</v>
      </c>
      <c r="C1768" s="23" t="n">
        <v>4764</v>
      </c>
      <c r="D1768" s="23" t="inlineStr">
        <is>
          <t>0401029026</t>
        </is>
      </c>
      <c r="E1768" s="11" t="inlineStr">
        <is>
          <t>Region IV-A (CALABARZON)</t>
        </is>
      </c>
      <c r="F1768" s="11" t="inlineStr">
        <is>
          <t>Batangas</t>
        </is>
      </c>
      <c r="G1768" s="11" t="inlineStr">
        <is>
          <t>Taal</t>
        </is>
      </c>
      <c r="H1768" s="11" t="inlineStr">
        <is>
          <t>Poblacion 2</t>
        </is>
      </c>
      <c r="I1768" s="24" t="n">
        <v>13.8795</v>
      </c>
      <c r="J1768" s="24" t="n">
        <v>120.9212</v>
      </c>
      <c r="K1768" s="23" t="inlineStr">
        <is>
          <t>U</t>
        </is>
      </c>
      <c r="L1768" s="25" t="n">
        <v>389</v>
      </c>
      <c r="M1768" s="26" t="n">
        <v>3.6</v>
      </c>
      <c r="N1768" s="25">
        <f>ROUND(L1768/M1768, 0)</f>
        <v/>
      </c>
      <c r="O1768" s="25">
        <f>ROUND(N1768*'Methodology &amp; Assumptions'!$B$7, 0)</f>
        <v/>
      </c>
      <c r="P1768" s="23" t="inlineStr">
        <is>
          <t>Single Carrier (Band n50, 100MHz TDD)</t>
        </is>
      </c>
      <c r="Q1768" s="27">
        <f>ROUNDUP(O1768/'Methodology &amp; Assumptions'!$B$8, 0)</f>
        <v/>
      </c>
      <c r="R1768" s="27" t="n">
        <v>1</v>
      </c>
      <c r="S1768" s="26" t="n">
        <v>0.61</v>
      </c>
      <c r="T1768" s="26" t="n">
        <v>1.83</v>
      </c>
      <c r="U1768" s="11">
        <f>IF(S1768&lt;='Methodology &amp; Assumptions'!$B$10, "Direct Optical Drop (&lt;3km)", IF(S1768&lt;='Methodology &amp; Assumptions'!$B$9, "Near Optical / Microwave (&lt;5km)", "Starlink Business LEO Satellite Backhaul (&gt;5km)"))</f>
        <v/>
      </c>
      <c r="V1768" s="26" t="n">
        <v>55.14</v>
      </c>
      <c r="W1768" s="26" t="n">
        <v>60.11</v>
      </c>
      <c r="X1768" s="26">
        <f>ROUND(('Methodology &amp; Assumptions'!$B$5*V1768) + ('Methodology &amp; Assumptions'!$B$6*W1768), 2)</f>
        <v/>
      </c>
      <c r="Y1768" s="28" t="n">
        <v>7.2</v>
      </c>
      <c r="Z1768" s="11" t="inlineStr">
        <is>
          <t>Priority Tier 3 (Broadband Expansion)</t>
        </is>
      </c>
    </row>
    <row r="1769">
      <c r="A1769" s="23" t="n">
        <v>5</v>
      </c>
      <c r="B1769" s="23" t="n">
        <v>765</v>
      </c>
      <c r="C1769" s="23" t="n">
        <v>4765</v>
      </c>
      <c r="D1769" s="23" t="inlineStr">
        <is>
          <t>0502002025</t>
        </is>
      </c>
      <c r="E1769" s="11" t="inlineStr">
        <is>
          <t>Region V (Bicol Region)</t>
        </is>
      </c>
      <c r="F1769" s="11" t="inlineStr">
        <is>
          <t>Catanduanes</t>
        </is>
      </c>
      <c r="G1769" s="11" t="inlineStr">
        <is>
          <t>Baras</t>
        </is>
      </c>
      <c r="H1769" s="11" t="inlineStr">
        <is>
          <t>San Lorenzo</t>
        </is>
      </c>
      <c r="I1769" s="24" t="n">
        <v>13.699667</v>
      </c>
      <c r="J1769" s="24" t="n">
        <v>124.364342</v>
      </c>
      <c r="K1769" s="23" t="inlineStr">
        <is>
          <t>R</t>
        </is>
      </c>
      <c r="L1769" s="25" t="n">
        <v>157</v>
      </c>
      <c r="M1769" s="26" t="n">
        <v>4.2</v>
      </c>
      <c r="N1769" s="25">
        <f>ROUND(L1769/M1769, 0)</f>
        <v/>
      </c>
      <c r="O1769" s="25">
        <f>ROUND(N1769*'Methodology &amp; Assumptions'!$B$7, 0)</f>
        <v/>
      </c>
      <c r="P1769" s="23" t="inlineStr">
        <is>
          <t>Single Carrier (Band n50, 100MHz TDD)</t>
        </is>
      </c>
      <c r="Q1769" s="27">
        <f>ROUNDUP(O1769/'Methodology &amp; Assumptions'!$B$8, 0)</f>
        <v/>
      </c>
      <c r="R1769" s="27" t="n">
        <v>1</v>
      </c>
      <c r="S1769" s="26" t="n">
        <v>54.74</v>
      </c>
      <c r="T1769" s="26" t="n">
        <v>78.18000000000001</v>
      </c>
      <c r="U1769" s="11">
        <f>IF(S1769&lt;='Methodology &amp; Assumptions'!$B$10, "Direct Optical Drop (&lt;3km)", IF(S1769&lt;='Methodology &amp; Assumptions'!$B$9, "Near Optical / Microwave (&lt;5km)", "Starlink Business LEO Satellite Backhaul (&gt;5km)"))</f>
        <v/>
      </c>
      <c r="V1769" s="26" t="n">
        <v>39.95</v>
      </c>
      <c r="W1769" s="26" t="n">
        <v>75.29000000000001</v>
      </c>
      <c r="X1769" s="26">
        <f>ROUND(('Methodology &amp; Assumptions'!$B$5*V1769) + ('Methodology &amp; Assumptions'!$B$6*W1769), 2)</f>
        <v/>
      </c>
      <c r="Y1769" s="28" t="n">
        <v>23.7</v>
      </c>
      <c r="Z1769" s="11" t="inlineStr">
        <is>
          <t>Priority Tier 3 (Broadband Expansion)</t>
        </is>
      </c>
    </row>
    <row r="1770">
      <c r="A1770" s="23" t="n">
        <v>5</v>
      </c>
      <c r="B1770" s="23" t="n">
        <v>766</v>
      </c>
      <c r="C1770" s="23" t="n">
        <v>4766</v>
      </c>
      <c r="D1770" s="23" t="inlineStr">
        <is>
          <t>0600602029</t>
        </is>
      </c>
      <c r="E1770" s="11" t="inlineStr">
        <is>
          <t>Region VI (Western Visayas)</t>
        </is>
      </c>
      <c r="F1770" s="11" t="inlineStr">
        <is>
          <t>Antique</t>
        </is>
      </c>
      <c r="G1770" s="11" t="inlineStr">
        <is>
          <t>Barbaza</t>
        </is>
      </c>
      <c r="H1770" s="11" t="inlineStr">
        <is>
          <t>Mayabay</t>
        </is>
      </c>
      <c r="I1770" s="24" t="n">
        <v>11.274623</v>
      </c>
      <c r="J1770" s="24" t="n">
        <v>122.134662</v>
      </c>
      <c r="K1770" s="23" t="inlineStr">
        <is>
          <t>R</t>
        </is>
      </c>
      <c r="L1770" s="25" t="n">
        <v>272</v>
      </c>
      <c r="M1770" s="26" t="n">
        <v>3.9</v>
      </c>
      <c r="N1770" s="25">
        <f>ROUND(L1770/M1770, 0)</f>
        <v/>
      </c>
      <c r="O1770" s="25">
        <f>ROUND(N1770*'Methodology &amp; Assumptions'!$B$7, 0)</f>
        <v/>
      </c>
      <c r="P1770" s="23" t="inlineStr">
        <is>
          <t>Single Carrier (Band n50, 100MHz TDD)</t>
        </is>
      </c>
      <c r="Q1770" s="27">
        <f>ROUNDUP(O1770/'Methodology &amp; Assumptions'!$B$8, 0)</f>
        <v/>
      </c>
      <c r="R1770" s="27" t="n">
        <v>1</v>
      </c>
      <c r="S1770" s="26" t="n">
        <v>40.94</v>
      </c>
      <c r="T1770" s="26" t="n">
        <v>40.81</v>
      </c>
      <c r="U1770" s="11">
        <f>IF(S1770&lt;='Methodology &amp; Assumptions'!$B$10, "Direct Optical Drop (&lt;3km)", IF(S1770&lt;='Methodology &amp; Assumptions'!$B$9, "Near Optical / Microwave (&lt;5km)", "Starlink Business LEO Satellite Backhaul (&gt;5km)"))</f>
        <v/>
      </c>
      <c r="V1770" s="26" t="n">
        <v>38.34</v>
      </c>
      <c r="W1770" s="26" t="n">
        <v>76.91</v>
      </c>
      <c r="X1770" s="26">
        <f>ROUND(('Methodology &amp; Assumptions'!$B$5*V1770) + ('Methodology &amp; Assumptions'!$B$6*W1770), 2)</f>
        <v/>
      </c>
      <c r="Y1770" s="28" t="n">
        <v>23.7</v>
      </c>
      <c r="Z1770" s="11" t="inlineStr">
        <is>
          <t>Priority Tier 3 (Broadband Expansion)</t>
        </is>
      </c>
    </row>
    <row r="1771">
      <c r="A1771" s="23" t="n">
        <v>5</v>
      </c>
      <c r="B1771" s="23" t="n">
        <v>767</v>
      </c>
      <c r="C1771" s="23" t="n">
        <v>4767</v>
      </c>
      <c r="D1771" s="23" t="inlineStr">
        <is>
          <t>0500503051</t>
        </is>
      </c>
      <c r="E1771" s="11" t="inlineStr">
        <is>
          <t>Region V (Bicol Region)</t>
        </is>
      </c>
      <c r="F1771" s="11" t="inlineStr">
        <is>
          <t>Albay</t>
        </is>
      </c>
      <c r="G1771" s="11" t="inlineStr">
        <is>
          <t>Daraga</t>
        </is>
      </c>
      <c r="H1771" s="11" t="inlineStr">
        <is>
          <t>Sipi</t>
        </is>
      </c>
      <c r="I1771" s="24" t="n">
        <v>13.141385</v>
      </c>
      <c r="J1771" s="24" t="n">
        <v>123.71488</v>
      </c>
      <c r="K1771" s="23" t="inlineStr">
        <is>
          <t>R</t>
        </is>
      </c>
      <c r="L1771" s="25" t="n">
        <v>3498</v>
      </c>
      <c r="M1771" s="26" t="n">
        <v>4.1</v>
      </c>
      <c r="N1771" s="25">
        <f>ROUND(L1771/M1771, 0)</f>
        <v/>
      </c>
      <c r="O1771" s="25">
        <f>ROUND(N1771*'Methodology &amp; Assumptions'!$B$7, 0)</f>
        <v/>
      </c>
      <c r="P1771" s="23" t="inlineStr">
        <is>
          <t>Single Carrier (Band n50, 100MHz TDD)</t>
        </is>
      </c>
      <c r="Q1771" s="27">
        <f>ROUNDUP(O1771/'Methodology &amp; Assumptions'!$B$8, 0)</f>
        <v/>
      </c>
      <c r="R1771" s="27" t="n">
        <v>1</v>
      </c>
      <c r="S1771" s="26" t="n">
        <v>0.73</v>
      </c>
      <c r="T1771" s="26" t="n">
        <v>0.33</v>
      </c>
      <c r="U1771" s="11">
        <f>IF(S1771&lt;='Methodology &amp; Assumptions'!$B$10, "Direct Optical Drop (&lt;3km)", IF(S1771&lt;='Methodology &amp; Assumptions'!$B$9, "Near Optical / Microwave (&lt;5km)", "Starlink Business LEO Satellite Backhaul (&gt;5km)"))</f>
        <v/>
      </c>
      <c r="V1771" s="26" t="n">
        <v>87.41</v>
      </c>
      <c r="W1771" s="26" t="n">
        <v>27.8</v>
      </c>
      <c r="X1771" s="26">
        <f>ROUND(('Methodology &amp; Assumptions'!$B$5*V1771) + ('Methodology &amp; Assumptions'!$B$6*W1771), 2)</f>
        <v/>
      </c>
      <c r="Y1771" s="28" t="n">
        <v>23.7</v>
      </c>
      <c r="Z1771" s="11" t="inlineStr">
        <is>
          <t>Priority Tier 3 (Broadband Expansion)</t>
        </is>
      </c>
    </row>
    <row r="1772">
      <c r="A1772" s="23" t="n">
        <v>5</v>
      </c>
      <c r="B1772" s="23" t="n">
        <v>768</v>
      </c>
      <c r="C1772" s="23" t="n">
        <v>4768</v>
      </c>
      <c r="D1772" s="23" t="inlineStr">
        <is>
          <t>0405803009</t>
        </is>
      </c>
      <c r="E1772" s="11" t="inlineStr">
        <is>
          <t>Region IV-A (CALABARZON)</t>
        </is>
      </c>
      <c r="F1772" s="11" t="inlineStr">
        <is>
          <t>Rizal</t>
        </is>
      </c>
      <c r="G1772" s="11" t="inlineStr">
        <is>
          <t>Baras</t>
        </is>
      </c>
      <c r="H1772" s="11" t="inlineStr">
        <is>
          <t>Mabini</t>
        </is>
      </c>
      <c r="I1772" s="24" t="n">
        <v>14.52034</v>
      </c>
      <c r="J1772" s="24" t="n">
        <v>121.267748</v>
      </c>
      <c r="K1772" s="23" t="inlineStr">
        <is>
          <t>R</t>
        </is>
      </c>
      <c r="L1772" s="25" t="n">
        <v>2735</v>
      </c>
      <c r="M1772" s="26" t="n">
        <v>3.6</v>
      </c>
      <c r="N1772" s="25">
        <f>ROUND(L1772/M1772, 0)</f>
        <v/>
      </c>
      <c r="O1772" s="25">
        <f>ROUND(N1772*'Methodology &amp; Assumptions'!$B$7, 0)</f>
        <v/>
      </c>
      <c r="P1772" s="23" t="inlineStr">
        <is>
          <t>Single Carrier (Band n50, 100MHz TDD)</t>
        </is>
      </c>
      <c r="Q1772" s="27">
        <f>ROUNDUP(O1772/'Methodology &amp; Assumptions'!$B$8, 0)</f>
        <v/>
      </c>
      <c r="R1772" s="27" t="n">
        <v>1</v>
      </c>
      <c r="S1772" s="26" t="n">
        <v>0.68</v>
      </c>
      <c r="T1772" s="26" t="n">
        <v>0.12</v>
      </c>
      <c r="U1772" s="11">
        <f>IF(S1772&lt;='Methodology &amp; Assumptions'!$B$10, "Direct Optical Drop (&lt;3km)", IF(S1772&lt;='Methodology &amp; Assumptions'!$B$9, "Near Optical / Microwave (&lt;5km)", "Starlink Business LEO Satellite Backhaul (&gt;5km)"))</f>
        <v/>
      </c>
      <c r="V1772" s="26" t="n">
        <v>83.66</v>
      </c>
      <c r="W1772" s="26" t="n">
        <v>31.57</v>
      </c>
      <c r="X1772" s="26">
        <f>ROUND(('Methodology &amp; Assumptions'!$B$5*V1772) + ('Methodology &amp; Assumptions'!$B$6*W1772), 2)</f>
        <v/>
      </c>
      <c r="Y1772" s="28" t="n">
        <v>7.2</v>
      </c>
      <c r="Z1772" s="11" t="inlineStr">
        <is>
          <t>Priority Tier 3 (Broadband Expansion)</t>
        </is>
      </c>
    </row>
    <row r="1773">
      <c r="A1773" s="23" t="n">
        <v>5</v>
      </c>
      <c r="B1773" s="23" t="n">
        <v>769</v>
      </c>
      <c r="C1773" s="23" t="n">
        <v>4769</v>
      </c>
      <c r="D1773" s="23" t="inlineStr">
        <is>
          <t>0600414021</t>
        </is>
      </c>
      <c r="E1773" s="11" t="inlineStr">
        <is>
          <t>Region VI (Western Visayas)</t>
        </is>
      </c>
      <c r="F1773" s="11" t="inlineStr">
        <is>
          <t>Aklan</t>
        </is>
      </c>
      <c r="G1773" s="11" t="inlineStr">
        <is>
          <t>Nabas</t>
        </is>
      </c>
      <c r="H1773" s="11" t="inlineStr">
        <is>
          <t>Union</t>
        </is>
      </c>
      <c r="I1773" s="24" t="n">
        <v>11.932823</v>
      </c>
      <c r="J1773" s="24" t="n">
        <v>121.96186</v>
      </c>
      <c r="K1773" s="23" t="inlineStr">
        <is>
          <t>R</t>
        </is>
      </c>
      <c r="L1773" s="25" t="n">
        <v>3744</v>
      </c>
      <c r="M1773" s="26" t="n">
        <v>3.9</v>
      </c>
      <c r="N1773" s="25">
        <f>ROUND(L1773/M1773, 0)</f>
        <v/>
      </c>
      <c r="O1773" s="25">
        <f>ROUND(N1773*'Methodology &amp; Assumptions'!$B$7, 0)</f>
        <v/>
      </c>
      <c r="P1773" s="23" t="inlineStr">
        <is>
          <t>Single Carrier (Band n50, 100MHz TDD)</t>
        </is>
      </c>
      <c r="Q1773" s="27">
        <f>ROUNDUP(O1773/'Methodology &amp; Assumptions'!$B$8, 0)</f>
        <v/>
      </c>
      <c r="R1773" s="27" t="n">
        <v>1</v>
      </c>
      <c r="S1773" s="26" t="n">
        <v>2.45</v>
      </c>
      <c r="T1773" s="26" t="n">
        <v>0.25</v>
      </c>
      <c r="U1773" s="11">
        <f>IF(S1773&lt;='Methodology &amp; Assumptions'!$B$10, "Direct Optical Drop (&lt;3km)", IF(S1773&lt;='Methodology &amp; Assumptions'!$B$9, "Near Optical / Microwave (&lt;5km)", "Starlink Business LEO Satellite Backhaul (&gt;5km)"))</f>
        <v/>
      </c>
      <c r="V1773" s="26" t="n">
        <v>82.31999999999999</v>
      </c>
      <c r="W1773" s="26" t="n">
        <v>32.91</v>
      </c>
      <c r="X1773" s="26">
        <f>ROUND(('Methodology &amp; Assumptions'!$B$5*V1773) + ('Methodology &amp; Assumptions'!$B$6*W1773), 2)</f>
        <v/>
      </c>
      <c r="Y1773" s="28" t="n">
        <v>23.7</v>
      </c>
      <c r="Z1773" s="11" t="inlineStr">
        <is>
          <t>Priority Tier 3 (Broadband Expansion)</t>
        </is>
      </c>
    </row>
    <row r="1774">
      <c r="A1774" s="23" t="n">
        <v>5</v>
      </c>
      <c r="B1774" s="23" t="n">
        <v>770</v>
      </c>
      <c r="C1774" s="23" t="n">
        <v>4770</v>
      </c>
      <c r="D1774" s="23" t="inlineStr">
        <is>
          <t>0203137031</t>
        </is>
      </c>
      <c r="E1774" s="11" t="inlineStr">
        <is>
          <t>Region II (Cagayan Valley)</t>
        </is>
      </c>
      <c r="F1774" s="11" t="inlineStr">
        <is>
          <t>Isabela</t>
        </is>
      </c>
      <c r="G1774" s="11" t="inlineStr">
        <is>
          <t>Tumauini</t>
        </is>
      </c>
      <c r="H1774" s="11" t="inlineStr">
        <is>
          <t>Maligaya</t>
        </is>
      </c>
      <c r="I1774" s="24" t="n">
        <v>17.275087</v>
      </c>
      <c r="J1774" s="24" t="n">
        <v>121.823522</v>
      </c>
      <c r="K1774" s="23" t="inlineStr">
        <is>
          <t>R</t>
        </is>
      </c>
      <c r="L1774" s="25" t="n">
        <v>2496</v>
      </c>
      <c r="M1774" s="26" t="n">
        <v>3.8</v>
      </c>
      <c r="N1774" s="25">
        <f>ROUND(L1774/M1774, 0)</f>
        <v/>
      </c>
      <c r="O1774" s="25">
        <f>ROUND(N1774*'Methodology &amp; Assumptions'!$B$7, 0)</f>
        <v/>
      </c>
      <c r="P1774" s="23" t="inlineStr">
        <is>
          <t>Single Carrier (Band n50, 100MHz TDD)</t>
        </is>
      </c>
      <c r="Q1774" s="27">
        <f>ROUNDUP(O1774/'Methodology &amp; Assumptions'!$B$8, 0)</f>
        <v/>
      </c>
      <c r="R1774" s="27" t="n">
        <v>1</v>
      </c>
      <c r="S1774" s="26" t="n">
        <v>0.91</v>
      </c>
      <c r="T1774" s="26" t="n">
        <v>0.24</v>
      </c>
      <c r="U1774" s="11">
        <f>IF(S1774&lt;='Methodology &amp; Assumptions'!$B$10, "Direct Optical Drop (&lt;3km)", IF(S1774&lt;='Methodology &amp; Assumptions'!$B$9, "Near Optical / Microwave (&lt;5km)", "Starlink Business LEO Satellite Backhaul (&gt;5km)"))</f>
        <v/>
      </c>
      <c r="V1774" s="26" t="n">
        <v>80.09999999999999</v>
      </c>
      <c r="W1774" s="26" t="n">
        <v>35.13</v>
      </c>
      <c r="X1774" s="26">
        <f>ROUND(('Methodology &amp; Assumptions'!$B$5*V1774) + ('Methodology &amp; Assumptions'!$B$6*W1774), 2)</f>
        <v/>
      </c>
      <c r="Y1774" s="28" t="n">
        <v>8.300000000000001</v>
      </c>
      <c r="Z1774" s="11" t="inlineStr">
        <is>
          <t>Priority Tier 3 (Broadband Expansion)</t>
        </is>
      </c>
    </row>
    <row r="1775">
      <c r="A1775" s="23" t="n">
        <v>5</v>
      </c>
      <c r="B1775" s="23" t="n">
        <v>771</v>
      </c>
      <c r="C1775" s="23" t="n">
        <v>4771</v>
      </c>
      <c r="D1775" s="23" t="inlineStr">
        <is>
          <t>0501709002</t>
        </is>
      </c>
      <c r="E1775" s="11" t="inlineStr">
        <is>
          <t>Region V (Bicol Region)</t>
        </is>
      </c>
      <c r="F1775" s="11" t="inlineStr">
        <is>
          <t>Camarines Sur</t>
        </is>
      </c>
      <c r="G1775" s="11" t="inlineStr">
        <is>
          <t>Camaligan</t>
        </is>
      </c>
      <c r="H1775" s="11" t="inlineStr">
        <is>
          <t>Marupit</t>
        </is>
      </c>
      <c r="I1775" s="24" t="n">
        <v>13.62774</v>
      </c>
      <c r="J1775" s="24" t="n">
        <v>123.16658</v>
      </c>
      <c r="K1775" s="23" t="inlineStr">
        <is>
          <t>U</t>
        </is>
      </c>
      <c r="L1775" s="25" t="n">
        <v>5025</v>
      </c>
      <c r="M1775" s="26" t="n">
        <v>4.2</v>
      </c>
      <c r="N1775" s="25">
        <f>ROUND(L1775/M1775, 0)</f>
        <v/>
      </c>
      <c r="O1775" s="25">
        <f>ROUND(N1775*'Methodology &amp; Assumptions'!$B$7, 0)</f>
        <v/>
      </c>
      <c r="P1775" s="23" t="inlineStr">
        <is>
          <t>Single Carrier (Band n50, 100MHz TDD)</t>
        </is>
      </c>
      <c r="Q1775" s="27">
        <f>ROUNDUP(O1775/'Methodology &amp; Assumptions'!$B$8, 0)</f>
        <v/>
      </c>
      <c r="R1775" s="27" t="n">
        <v>1</v>
      </c>
      <c r="S1775" s="26" t="n">
        <v>1.05</v>
      </c>
      <c r="T1775" s="26" t="n">
        <v>2.32</v>
      </c>
      <c r="U1775" s="11">
        <f>IF(S1775&lt;='Methodology &amp; Assumptions'!$B$10, "Direct Optical Drop (&lt;3km)", IF(S1775&lt;='Methodology &amp; Assumptions'!$B$9, "Near Optical / Microwave (&lt;5km)", "Starlink Business LEO Satellite Backhaul (&gt;5km)"))</f>
        <v/>
      </c>
      <c r="V1775" s="26" t="n">
        <v>79.19</v>
      </c>
      <c r="W1775" s="26" t="n">
        <v>36.02</v>
      </c>
      <c r="X1775" s="26">
        <f>ROUND(('Methodology &amp; Assumptions'!$B$5*V1775) + ('Methodology &amp; Assumptions'!$B$6*W1775), 2)</f>
        <v/>
      </c>
      <c r="Y1775" s="28" t="n">
        <v>23.7</v>
      </c>
      <c r="Z1775" s="11" t="inlineStr">
        <is>
          <t>Priority Tier 3 (Broadband Expansion)</t>
        </is>
      </c>
    </row>
    <row r="1776">
      <c r="A1776" s="23" t="n">
        <v>5</v>
      </c>
      <c r="B1776" s="23" t="n">
        <v>772</v>
      </c>
      <c r="C1776" s="23" t="n">
        <v>4772</v>
      </c>
      <c r="D1776" s="23" t="inlineStr">
        <is>
          <t>0301409012</t>
        </is>
      </c>
      <c r="E1776" s="11" t="inlineStr">
        <is>
          <t>Region III (Central Luzon)</t>
        </is>
      </c>
      <c r="F1776" s="11" t="inlineStr">
        <is>
          <t>Bulacan</t>
        </is>
      </c>
      <c r="G1776" s="11" t="inlineStr">
        <is>
          <t>Hagonoy</t>
        </is>
      </c>
      <c r="H1776" s="11" t="inlineStr">
        <is>
          <t>San Juan</t>
        </is>
      </c>
      <c r="I1776" s="24" t="n">
        <v>14.865534</v>
      </c>
      <c r="J1776" s="24" t="n">
        <v>120.741624</v>
      </c>
      <c r="K1776" s="23" t="inlineStr">
        <is>
          <t>R</t>
        </is>
      </c>
      <c r="L1776" s="25" t="n">
        <v>3868</v>
      </c>
      <c r="M1776" s="26" t="n">
        <v>3.5</v>
      </c>
      <c r="N1776" s="25">
        <f>ROUND(L1776/M1776, 0)</f>
        <v/>
      </c>
      <c r="O1776" s="25">
        <f>ROUND(N1776*'Methodology &amp; Assumptions'!$B$7, 0)</f>
        <v/>
      </c>
      <c r="P1776" s="23" t="inlineStr">
        <is>
          <t>Single Carrier (Band n50, 100MHz TDD)</t>
        </is>
      </c>
      <c r="Q1776" s="27">
        <f>ROUNDUP(O1776/'Methodology &amp; Assumptions'!$B$8, 0)</f>
        <v/>
      </c>
      <c r="R1776" s="27" t="n">
        <v>1</v>
      </c>
      <c r="S1776" s="26" t="n">
        <v>3.11</v>
      </c>
      <c r="T1776" s="26" t="n">
        <v>0.07000000000000001</v>
      </c>
      <c r="U1776" s="11">
        <f>IF(S1776&lt;='Methodology &amp; Assumptions'!$B$10, "Direct Optical Drop (&lt;3km)", IF(S1776&lt;='Methodology &amp; Assumptions'!$B$9, "Near Optical / Microwave (&lt;5km)", "Starlink Business LEO Satellite Backhaul (&gt;5km)"))</f>
        <v/>
      </c>
      <c r="V1776" s="26" t="n">
        <v>77.94</v>
      </c>
      <c r="W1776" s="26" t="n">
        <v>37.28</v>
      </c>
      <c r="X1776" s="26">
        <f>ROUND(('Methodology &amp; Assumptions'!$B$5*V1776) + ('Methodology &amp; Assumptions'!$B$6*W1776), 2)</f>
        <v/>
      </c>
      <c r="Y1776" s="28" t="n">
        <v>8.300000000000001</v>
      </c>
      <c r="Z1776" s="11" t="inlineStr">
        <is>
          <t>Priority Tier 3 (Broadband Expansion)</t>
        </is>
      </c>
    </row>
    <row r="1777">
      <c r="A1777" s="23" t="n">
        <v>5</v>
      </c>
      <c r="B1777" s="23" t="n">
        <v>773</v>
      </c>
      <c r="C1777" s="23" t="n">
        <v>4773</v>
      </c>
      <c r="D1777" s="23" t="inlineStr">
        <is>
          <t>0103306029</t>
        </is>
      </c>
      <c r="E1777" s="11" t="inlineStr">
        <is>
          <t>Region I (Ilocos Region)</t>
        </is>
      </c>
      <c r="F1777" s="11" t="inlineStr">
        <is>
          <t>La Union</t>
        </is>
      </c>
      <c r="G1777" s="11" t="inlineStr">
        <is>
          <t>Bangar</t>
        </is>
      </c>
      <c r="H1777" s="11" t="inlineStr">
        <is>
          <t>Central West No. 3</t>
        </is>
      </c>
      <c r="I1777" s="24" t="n">
        <v>16.896407</v>
      </c>
      <c r="J1777" s="24" t="n">
        <v>120.424584</v>
      </c>
      <c r="K1777" s="23" t="inlineStr">
        <is>
          <t>R</t>
        </is>
      </c>
      <c r="L1777" s="25" t="n">
        <v>540</v>
      </c>
      <c r="M1777" s="26" t="n">
        <v>3.7</v>
      </c>
      <c r="N1777" s="25">
        <f>ROUND(L1777/M1777, 0)</f>
        <v/>
      </c>
      <c r="O1777" s="25">
        <f>ROUND(N1777*'Methodology &amp; Assumptions'!$B$7, 0)</f>
        <v/>
      </c>
      <c r="P1777" s="23" t="inlineStr">
        <is>
          <t>Single Carrier (Band n50, 100MHz TDD)</t>
        </is>
      </c>
      <c r="Q1777" s="27">
        <f>ROUNDUP(O1777/'Methodology &amp; Assumptions'!$B$8, 0)</f>
        <v/>
      </c>
      <c r="R1777" s="27" t="n">
        <v>1</v>
      </c>
      <c r="S1777" s="26" t="n">
        <v>0.36</v>
      </c>
      <c r="T1777" s="26" t="n">
        <v>0.13</v>
      </c>
      <c r="U1777" s="11">
        <f>IF(S1777&lt;='Methodology &amp; Assumptions'!$B$10, "Direct Optical Drop (&lt;3km)", IF(S1777&lt;='Methodology &amp; Assumptions'!$B$9, "Near Optical / Microwave (&lt;5km)", "Starlink Business LEO Satellite Backhaul (&gt;5km)"))</f>
        <v/>
      </c>
      <c r="V1777" s="26" t="n">
        <v>63.8</v>
      </c>
      <c r="W1777" s="26" t="n">
        <v>51.42</v>
      </c>
      <c r="X1777" s="26">
        <f>ROUND(('Methodology &amp; Assumptions'!$B$5*V1777) + ('Methodology &amp; Assumptions'!$B$6*W1777), 2)</f>
        <v/>
      </c>
      <c r="Y1777" s="28" t="n">
        <v>8.300000000000001</v>
      </c>
      <c r="Z1777" s="11" t="inlineStr">
        <is>
          <t>Priority Tier 3 (Broadband Expansion)</t>
        </is>
      </c>
    </row>
    <row r="1778">
      <c r="A1778" s="23" t="n">
        <v>5</v>
      </c>
      <c r="B1778" s="23" t="n">
        <v>774</v>
      </c>
      <c r="C1778" s="23" t="n">
        <v>4774</v>
      </c>
      <c r="D1778" s="23" t="inlineStr">
        <is>
          <t>1380605062</t>
        </is>
      </c>
      <c r="E1778" s="11" t="inlineStr">
        <is>
          <t>National Capital Region (NCR)</t>
        </is>
      </c>
      <c r="F1778" s="11" t="inlineStr">
        <is>
          <t>First District (Not a Province)</t>
        </is>
      </c>
      <c r="G1778" s="11" t="inlineStr">
        <is>
          <t>City of Manila</t>
        </is>
      </c>
      <c r="H1778" s="11" t="inlineStr">
        <is>
          <t>Barangay 360</t>
        </is>
      </c>
      <c r="I1778" s="24" t="n">
        <v>14.621322</v>
      </c>
      <c r="J1778" s="24" t="n">
        <v>120.980085</v>
      </c>
      <c r="K1778" s="23" t="inlineStr">
        <is>
          <t>U</t>
        </is>
      </c>
      <c r="L1778" s="25" t="n">
        <v>796</v>
      </c>
      <c r="M1778" s="26" t="n">
        <v>4.42</v>
      </c>
      <c r="N1778" s="25">
        <f>ROUND(L1778/M1778, 0)</f>
        <v/>
      </c>
      <c r="O1778" s="25">
        <f>ROUND(N1778*'Methodology &amp; Assumptions'!$B$7, 0)</f>
        <v/>
      </c>
      <c r="P1778" s="23" t="inlineStr">
        <is>
          <t>Single Carrier (Band n50, 100MHz TDD)</t>
        </is>
      </c>
      <c r="Q1778" s="27">
        <f>ROUNDUP(O1778/'Methodology &amp; Assumptions'!$B$8, 0)</f>
        <v/>
      </c>
      <c r="R1778" s="27" t="n">
        <v>1</v>
      </c>
      <c r="S1778" s="26" t="n">
        <v>0.61</v>
      </c>
      <c r="T1778" s="26" t="n">
        <v>0.2</v>
      </c>
      <c r="U1778" s="11">
        <f>IF(S1778&lt;='Methodology &amp; Assumptions'!$B$10, "Direct Optical Drop (&lt;3km)", IF(S1778&lt;='Methodology &amp; Assumptions'!$B$9, "Near Optical / Microwave (&lt;5km)", "Starlink Business LEO Satellite Backhaul (&gt;5km)"))</f>
        <v/>
      </c>
      <c r="V1778" s="26" t="n">
        <v>46.88</v>
      </c>
      <c r="W1778" s="26" t="n">
        <v>68.34999999999999</v>
      </c>
      <c r="X1778" s="26">
        <f>ROUND(('Methodology &amp; Assumptions'!$B$5*V1778) + ('Methodology &amp; Assumptions'!$B$6*W1778), 2)</f>
        <v/>
      </c>
      <c r="Y1778" s="28" t="n">
        <v>10.9</v>
      </c>
      <c r="Z1778" s="11" t="inlineStr">
        <is>
          <t>Priority Tier 3 (Broadband Expansion)</t>
        </is>
      </c>
    </row>
    <row r="1779">
      <c r="A1779" s="23" t="n">
        <v>5</v>
      </c>
      <c r="B1779" s="23" t="n">
        <v>775</v>
      </c>
      <c r="C1779" s="23" t="n">
        <v>4775</v>
      </c>
      <c r="D1779" s="23" t="inlineStr">
        <is>
          <t>1906604029</t>
        </is>
      </c>
      <c r="E1779" s="11" t="inlineStr">
        <is>
          <t>Bangsamoro Autonomous Region In Muslim Mindanao (BARMM)</t>
        </is>
      </c>
      <c r="F1779" s="11" t="inlineStr">
        <is>
          <t>Sulu</t>
        </is>
      </c>
      <c r="G1779" s="11" t="inlineStr">
        <is>
          <t>Luuk</t>
        </is>
      </c>
      <c r="H1779" s="11" t="inlineStr">
        <is>
          <t>Guimbaun</t>
        </is>
      </c>
      <c r="I1779" s="24" t="n">
        <v>5.905299</v>
      </c>
      <c r="J1779" s="24" t="n">
        <v>121.3398</v>
      </c>
      <c r="K1779" s="23" t="inlineStr">
        <is>
          <t>R</t>
        </is>
      </c>
      <c r="L1779" s="25" t="n">
        <v>2065</v>
      </c>
      <c r="M1779" s="26" t="n">
        <v>6</v>
      </c>
      <c r="N1779" s="25">
        <f>ROUND(L1779/M1779, 0)</f>
        <v/>
      </c>
      <c r="O1779" s="25">
        <f>ROUND(N1779*'Methodology &amp; Assumptions'!$B$7, 0)</f>
        <v/>
      </c>
      <c r="P1779" s="23" t="inlineStr">
        <is>
          <t>Single Carrier (Band n50, 100MHz TDD)</t>
        </is>
      </c>
      <c r="Q1779" s="27">
        <f>ROUNDUP(O1779/'Methodology &amp; Assumptions'!$B$8, 0)</f>
        <v/>
      </c>
      <c r="R1779" s="27" t="n">
        <v>1</v>
      </c>
      <c r="S1779" s="26" t="n">
        <v>138.08</v>
      </c>
      <c r="T1779" s="26" t="n">
        <v>138.08</v>
      </c>
      <c r="U1779" s="11">
        <f>IF(S1779&lt;='Methodology &amp; Assumptions'!$B$10, "Direct Optical Drop (&lt;3km)", IF(S1779&lt;='Methodology &amp; Assumptions'!$B$9, "Near Optical / Microwave (&lt;5km)", "Starlink Business LEO Satellite Backhaul (&gt;5km)"))</f>
        <v/>
      </c>
      <c r="V1779" s="26" t="n">
        <v>42.09</v>
      </c>
      <c r="W1779" s="26" t="n">
        <v>73.14</v>
      </c>
      <c r="X1779" s="26">
        <f>ROUND(('Methodology &amp; Assumptions'!$B$5*V1779) + ('Methodology &amp; Assumptions'!$B$6*W1779), 2)</f>
        <v/>
      </c>
      <c r="Y1779" s="28" t="n">
        <v>11</v>
      </c>
      <c r="Z1779" s="11" t="inlineStr">
        <is>
          <t>Priority Tier 3 (Broadband Expansion)</t>
        </is>
      </c>
    </row>
    <row r="1780">
      <c r="A1780" s="23" t="n">
        <v>5</v>
      </c>
      <c r="B1780" s="23" t="n">
        <v>776</v>
      </c>
      <c r="C1780" s="23" t="n">
        <v>4776</v>
      </c>
      <c r="D1780" s="23" t="inlineStr">
        <is>
          <t>0401010006</t>
        </is>
      </c>
      <c r="E1780" s="11" t="inlineStr">
        <is>
          <t>Region IV-A (CALABARZON)</t>
        </is>
      </c>
      <c r="F1780" s="11" t="inlineStr">
        <is>
          <t>Batangas</t>
        </is>
      </c>
      <c r="G1780" s="11" t="inlineStr">
        <is>
          <t>Ibaan</t>
        </is>
      </c>
      <c r="H1780" s="11" t="inlineStr">
        <is>
          <t>Coliat</t>
        </is>
      </c>
      <c r="I1780" s="24" t="n">
        <v>13.8153</v>
      </c>
      <c r="J1780" s="24" t="n">
        <v>121.1276</v>
      </c>
      <c r="K1780" s="23" t="inlineStr">
        <is>
          <t>R</t>
        </is>
      </c>
      <c r="L1780" s="25" t="n">
        <v>4448</v>
      </c>
      <c r="M1780" s="26" t="n">
        <v>3.6</v>
      </c>
      <c r="N1780" s="25">
        <f>ROUND(L1780/M1780, 0)</f>
        <v/>
      </c>
      <c r="O1780" s="25">
        <f>ROUND(N1780*'Methodology &amp; Assumptions'!$B$7, 0)</f>
        <v/>
      </c>
      <c r="P1780" s="23" t="inlineStr">
        <is>
          <t>Single Carrier (Band n50, 100MHz TDD)</t>
        </is>
      </c>
      <c r="Q1780" s="27">
        <f>ROUNDUP(O1780/'Methodology &amp; Assumptions'!$B$8, 0)</f>
        <v/>
      </c>
      <c r="R1780" s="27" t="n">
        <v>1</v>
      </c>
      <c r="S1780" s="26" t="n">
        <v>0.1</v>
      </c>
      <c r="T1780" s="26" t="n">
        <v>0.07000000000000001</v>
      </c>
      <c r="U1780" s="11">
        <f>IF(S1780&lt;='Methodology &amp; Assumptions'!$B$10, "Direct Optical Drop (&lt;3km)", IF(S1780&lt;='Methodology &amp; Assumptions'!$B$9, "Near Optical / Microwave (&lt;5km)", "Starlink Business LEO Satellite Backhaul (&gt;5km)"))</f>
        <v/>
      </c>
      <c r="V1780" s="26" t="n">
        <v>85.45999999999999</v>
      </c>
      <c r="W1780" s="26" t="n">
        <v>29.75</v>
      </c>
      <c r="X1780" s="26">
        <f>ROUND(('Methodology &amp; Assumptions'!$B$5*V1780) + ('Methodology &amp; Assumptions'!$B$6*W1780), 2)</f>
        <v/>
      </c>
      <c r="Y1780" s="28" t="n">
        <v>7.2</v>
      </c>
      <c r="Z1780" s="11" t="inlineStr">
        <is>
          <t>Priority Tier 3 (Broadband Expansion)</t>
        </is>
      </c>
    </row>
    <row r="1781">
      <c r="A1781" s="23" t="n">
        <v>5</v>
      </c>
      <c r="B1781" s="23" t="n">
        <v>777</v>
      </c>
      <c r="C1781" s="23" t="n">
        <v>4777</v>
      </c>
      <c r="D1781" s="23" t="inlineStr">
        <is>
          <t>0702201006</t>
        </is>
      </c>
      <c r="E1781" s="11" t="inlineStr">
        <is>
          <t>Region VII (Central Visayas)</t>
        </is>
      </c>
      <c r="F1781" s="11" t="inlineStr">
        <is>
          <t>Cebu</t>
        </is>
      </c>
      <c r="G1781" s="11" t="inlineStr">
        <is>
          <t>Alcantara</t>
        </is>
      </c>
      <c r="H1781" s="11" t="inlineStr">
        <is>
          <t>Palanas</t>
        </is>
      </c>
      <c r="I1781" s="24" t="n">
        <v>9.977455000000001</v>
      </c>
      <c r="J1781" s="24" t="n">
        <v>123.403723</v>
      </c>
      <c r="K1781" s="23" t="inlineStr">
        <is>
          <t>R</t>
        </is>
      </c>
      <c r="L1781" s="25" t="n">
        <v>3312</v>
      </c>
      <c r="M1781" s="26" t="n">
        <v>3.8</v>
      </c>
      <c r="N1781" s="25">
        <f>ROUND(L1781/M1781, 0)</f>
        <v/>
      </c>
      <c r="O1781" s="25">
        <f>ROUND(N1781*'Methodology &amp; Assumptions'!$B$7, 0)</f>
        <v/>
      </c>
      <c r="P1781" s="23" t="inlineStr">
        <is>
          <t>Single Carrier (Band n50, 100MHz TDD)</t>
        </is>
      </c>
      <c r="Q1781" s="27">
        <f>ROUNDUP(O1781/'Methodology &amp; Assumptions'!$B$8, 0)</f>
        <v/>
      </c>
      <c r="R1781" s="27" t="n">
        <v>1</v>
      </c>
      <c r="S1781" s="26" t="n">
        <v>2.55</v>
      </c>
      <c r="T1781" s="26" t="n">
        <v>0.31</v>
      </c>
      <c r="U1781" s="11">
        <f>IF(S1781&lt;='Methodology &amp; Assumptions'!$B$10, "Direct Optical Drop (&lt;3km)", IF(S1781&lt;='Methodology &amp; Assumptions'!$B$9, "Near Optical / Microwave (&lt;5km)", "Starlink Business LEO Satellite Backhaul (&gt;5km)"))</f>
        <v/>
      </c>
      <c r="V1781" s="26" t="n">
        <v>84.59999999999999</v>
      </c>
      <c r="W1781" s="26" t="n">
        <v>30.6</v>
      </c>
      <c r="X1781" s="26">
        <f>ROUND(('Methodology &amp; Assumptions'!$B$5*V1781) + ('Methodology &amp; Assumptions'!$B$6*W1781), 2)</f>
        <v/>
      </c>
      <c r="Y1781" s="28" t="n">
        <v>23.7</v>
      </c>
      <c r="Z1781" s="11" t="inlineStr">
        <is>
          <t>Priority Tier 3 (Broadband Expansion)</t>
        </is>
      </c>
    </row>
    <row r="1782">
      <c r="A1782" s="23" t="n">
        <v>5</v>
      </c>
      <c r="B1782" s="23" t="n">
        <v>778</v>
      </c>
      <c r="C1782" s="23" t="n">
        <v>4778</v>
      </c>
      <c r="D1782" s="23" t="inlineStr">
        <is>
          <t>1004320002</t>
        </is>
      </c>
      <c r="E1782" s="11" t="inlineStr">
        <is>
          <t>Region X (Northern Mindanao)</t>
        </is>
      </c>
      <c r="F1782" s="11" t="inlineStr">
        <is>
          <t>Misamis Oriental</t>
        </is>
      </c>
      <c r="G1782" s="11" t="inlineStr">
        <is>
          <t>Naawan</t>
        </is>
      </c>
      <c r="H1782" s="11" t="inlineStr">
        <is>
          <t>Linangkayan</t>
        </is>
      </c>
      <c r="I1782" s="24" t="n">
        <v>8.411386</v>
      </c>
      <c r="J1782" s="24" t="n">
        <v>124.291108</v>
      </c>
      <c r="K1782" s="23" t="inlineStr">
        <is>
          <t>R</t>
        </is>
      </c>
      <c r="L1782" s="25" t="n">
        <v>3118</v>
      </c>
      <c r="M1782" s="26" t="n">
        <v>3.9</v>
      </c>
      <c r="N1782" s="25">
        <f>ROUND(L1782/M1782, 0)</f>
        <v/>
      </c>
      <c r="O1782" s="25">
        <f>ROUND(N1782*'Methodology &amp; Assumptions'!$B$7, 0)</f>
        <v/>
      </c>
      <c r="P1782" s="23" t="inlineStr">
        <is>
          <t>Single Carrier (Band n50, 100MHz TDD)</t>
        </is>
      </c>
      <c r="Q1782" s="27">
        <f>ROUNDUP(O1782/'Methodology &amp; Assumptions'!$B$8, 0)</f>
        <v/>
      </c>
      <c r="R1782" s="27" t="n">
        <v>1</v>
      </c>
      <c r="S1782" s="26" t="n">
        <v>1.33</v>
      </c>
      <c r="T1782" s="26" t="n">
        <v>0.16</v>
      </c>
      <c r="U1782" s="11">
        <f>IF(S1782&lt;='Methodology &amp; Assumptions'!$B$10, "Direct Optical Drop (&lt;3km)", IF(S1782&lt;='Methodology &amp; Assumptions'!$B$9, "Near Optical / Microwave (&lt;5km)", "Starlink Business LEO Satellite Backhaul (&gt;5km)"))</f>
        <v/>
      </c>
      <c r="V1782" s="26" t="n">
        <v>83.63</v>
      </c>
      <c r="W1782" s="26" t="n">
        <v>31.58</v>
      </c>
      <c r="X1782" s="26">
        <f>ROUND(('Methodology &amp; Assumptions'!$B$5*V1782) + ('Methodology &amp; Assumptions'!$B$6*W1782), 2)</f>
        <v/>
      </c>
      <c r="Y1782" s="28" t="n">
        <v>17.4</v>
      </c>
      <c r="Z1782" s="11" t="inlineStr">
        <is>
          <t>Priority Tier 3 (Broadband Expansion)</t>
        </is>
      </c>
    </row>
    <row r="1783">
      <c r="A1783" s="23" t="n">
        <v>5</v>
      </c>
      <c r="B1783" s="23" t="n">
        <v>779</v>
      </c>
      <c r="C1783" s="23" t="n">
        <v>4779</v>
      </c>
      <c r="D1783" s="23" t="inlineStr">
        <is>
          <t>0702234015</t>
        </is>
      </c>
      <c r="E1783" s="11" t="inlineStr">
        <is>
          <t>Region VII (Central Visayas)</t>
        </is>
      </c>
      <c r="F1783" s="11" t="inlineStr">
        <is>
          <t>Cebu</t>
        </is>
      </c>
      <c r="G1783" s="11" t="inlineStr">
        <is>
          <t>City of Naga</t>
        </is>
      </c>
      <c r="H1783" s="11" t="inlineStr">
        <is>
          <t>Lutac</t>
        </is>
      </c>
      <c r="I1783" s="24" t="n">
        <v>10.249039</v>
      </c>
      <c r="J1783" s="24" t="n">
        <v>123.726173</v>
      </c>
      <c r="K1783" s="23" t="inlineStr">
        <is>
          <t>U</t>
        </is>
      </c>
      <c r="L1783" s="25" t="n">
        <v>5622</v>
      </c>
      <c r="M1783" s="26" t="n">
        <v>3.8</v>
      </c>
      <c r="N1783" s="25">
        <f>ROUND(L1783/M1783, 0)</f>
        <v/>
      </c>
      <c r="O1783" s="25">
        <f>ROUND(N1783*'Methodology &amp; Assumptions'!$B$7, 0)</f>
        <v/>
      </c>
      <c r="P1783" s="23" t="inlineStr">
        <is>
          <t>Single Carrier (Band n50, 100MHz TDD)</t>
        </is>
      </c>
      <c r="Q1783" s="27">
        <f>ROUNDUP(O1783/'Methodology &amp; Assumptions'!$B$8, 0)</f>
        <v/>
      </c>
      <c r="R1783" s="27" t="n">
        <v>1</v>
      </c>
      <c r="S1783" s="26" t="n">
        <v>1.86</v>
      </c>
      <c r="T1783" s="26" t="n">
        <v>0.12</v>
      </c>
      <c r="U1783" s="11">
        <f>IF(S1783&lt;='Methodology &amp; Assumptions'!$B$10, "Direct Optical Drop (&lt;3km)", IF(S1783&lt;='Methodology &amp; Assumptions'!$B$9, "Near Optical / Microwave (&lt;5km)", "Starlink Business LEO Satellite Backhaul (&gt;5km)"))</f>
        <v/>
      </c>
      <c r="V1783" s="26" t="n">
        <v>77.09999999999999</v>
      </c>
      <c r="W1783" s="26" t="n">
        <v>38.1</v>
      </c>
      <c r="X1783" s="26">
        <f>ROUND(('Methodology &amp; Assumptions'!$B$5*V1783) + ('Methodology &amp; Assumptions'!$B$6*W1783), 2)</f>
        <v/>
      </c>
      <c r="Y1783" s="28" t="n">
        <v>23.7</v>
      </c>
      <c r="Z1783" s="11" t="inlineStr">
        <is>
          <t>Priority Tier 3 (Broadband Expansion)</t>
        </is>
      </c>
    </row>
    <row r="1784">
      <c r="A1784" s="23" t="n">
        <v>5</v>
      </c>
      <c r="B1784" s="23" t="n">
        <v>780</v>
      </c>
      <c r="C1784" s="23" t="n">
        <v>4780</v>
      </c>
      <c r="D1784" s="23" t="inlineStr">
        <is>
          <t>0403404016</t>
        </is>
      </c>
      <c r="E1784" s="11" t="inlineStr">
        <is>
          <t>Region IV-A (CALABARZON)</t>
        </is>
      </c>
      <c r="F1784" s="11" t="inlineStr">
        <is>
          <t>Laguna</t>
        </is>
      </c>
      <c r="G1784" s="11" t="inlineStr">
        <is>
          <t>City of Cabuyao</t>
        </is>
      </c>
      <c r="H1784" s="11" t="inlineStr">
        <is>
          <t>Diezmo</t>
        </is>
      </c>
      <c r="I1784" s="24" t="n">
        <v>14.244931</v>
      </c>
      <c r="J1784" s="24" t="n">
        <v>121.105164</v>
      </c>
      <c r="K1784" s="23" t="inlineStr">
        <is>
          <t>U</t>
        </is>
      </c>
      <c r="L1784" s="25" t="n">
        <v>7259</v>
      </c>
      <c r="M1784" s="26" t="n">
        <v>3.3</v>
      </c>
      <c r="N1784" s="25">
        <f>ROUND(L1784/M1784, 0)</f>
        <v/>
      </c>
      <c r="O1784" s="25">
        <f>ROUND(N1784*'Methodology &amp; Assumptions'!$B$7, 0)</f>
        <v/>
      </c>
      <c r="P1784" s="23" t="inlineStr">
        <is>
          <t>Single Carrier (Band n50, 100MHz TDD)</t>
        </is>
      </c>
      <c r="Q1784" s="27">
        <f>ROUNDUP(O1784/'Methodology &amp; Assumptions'!$B$8, 0)</f>
        <v/>
      </c>
      <c r="R1784" s="27" t="n">
        <v>1</v>
      </c>
      <c r="S1784" s="26" t="n">
        <v>2.63</v>
      </c>
      <c r="T1784" s="26" t="n">
        <v>2.58</v>
      </c>
      <c r="U1784" s="11">
        <f>IF(S1784&lt;='Methodology &amp; Assumptions'!$B$10, "Direct Optical Drop (&lt;3km)", IF(S1784&lt;='Methodology &amp; Assumptions'!$B$9, "Near Optical / Microwave (&lt;5km)", "Starlink Business LEO Satellite Backhaul (&gt;5km)"))</f>
        <v/>
      </c>
      <c r="V1784" s="26" t="n">
        <v>68.47</v>
      </c>
      <c r="W1784" s="26" t="n">
        <v>46.74</v>
      </c>
      <c r="X1784" s="26">
        <f>ROUND(('Methodology &amp; Assumptions'!$B$5*V1784) + ('Methodology &amp; Assumptions'!$B$6*W1784), 2)</f>
        <v/>
      </c>
      <c r="Y1784" s="28" t="n">
        <v>7.2</v>
      </c>
      <c r="Z1784" s="11" t="inlineStr">
        <is>
          <t>Priority Tier 3 (Broadband Expansion)</t>
        </is>
      </c>
    </row>
    <row r="1785">
      <c r="A1785" s="23" t="n">
        <v>5</v>
      </c>
      <c r="B1785" s="23" t="n">
        <v>781</v>
      </c>
      <c r="C1785" s="23" t="n">
        <v>4781</v>
      </c>
      <c r="D1785" s="23" t="inlineStr">
        <is>
          <t>0803708061</t>
        </is>
      </c>
      <c r="E1785" s="11" t="inlineStr">
        <is>
          <t>Region VIII (Eastern Visayas)</t>
        </is>
      </c>
      <c r="F1785" s="11" t="inlineStr">
        <is>
          <t>Leyte</t>
        </is>
      </c>
      <c r="G1785" s="11" t="inlineStr">
        <is>
          <t>City of Baybay</t>
        </is>
      </c>
      <c r="H1785" s="11" t="inlineStr">
        <is>
          <t>Poblacion Zone 5</t>
        </is>
      </c>
      <c r="I1785" s="24" t="n">
        <v>10.681831</v>
      </c>
      <c r="J1785" s="24" t="n">
        <v>124.804063</v>
      </c>
      <c r="K1785" s="23" t="inlineStr">
        <is>
          <t>R</t>
        </is>
      </c>
      <c r="L1785" s="25" t="n">
        <v>780</v>
      </c>
      <c r="M1785" s="26" t="n">
        <v>3.8</v>
      </c>
      <c r="N1785" s="25">
        <f>ROUND(L1785/M1785, 0)</f>
        <v/>
      </c>
      <c r="O1785" s="25">
        <f>ROUND(N1785*'Methodology &amp; Assumptions'!$B$7, 0)</f>
        <v/>
      </c>
      <c r="P1785" s="23" t="inlineStr">
        <is>
          <t>Single Carrier (Band n50, 100MHz TDD)</t>
        </is>
      </c>
      <c r="Q1785" s="27">
        <f>ROUNDUP(O1785/'Methodology &amp; Assumptions'!$B$8, 0)</f>
        <v/>
      </c>
      <c r="R1785" s="27" t="n">
        <v>1</v>
      </c>
      <c r="S1785" s="26" t="n">
        <v>0.37</v>
      </c>
      <c r="T1785" s="26" t="n">
        <v>0.09</v>
      </c>
      <c r="U1785" s="11">
        <f>IF(S1785&lt;='Methodology &amp; Assumptions'!$B$10, "Direct Optical Drop (&lt;3km)", IF(S1785&lt;='Methodology &amp; Assumptions'!$B$9, "Near Optical / Microwave (&lt;5km)", "Starlink Business LEO Satellite Backhaul (&gt;5km)"))</f>
        <v/>
      </c>
      <c r="V1785" s="26" t="n">
        <v>67.73999999999999</v>
      </c>
      <c r="W1785" s="26" t="n">
        <v>47.45</v>
      </c>
      <c r="X1785" s="26">
        <f>ROUND(('Methodology &amp; Assumptions'!$B$5*V1785) + ('Methodology &amp; Assumptions'!$B$6*W1785), 2)</f>
        <v/>
      </c>
      <c r="Y1785" s="28" t="n">
        <v>23.7</v>
      </c>
      <c r="Z1785" s="11" t="inlineStr">
        <is>
          <t>Priority Tier 3 (Broadband Expansion)</t>
        </is>
      </c>
    </row>
    <row r="1786">
      <c r="A1786" s="23" t="n">
        <v>5</v>
      </c>
      <c r="B1786" s="23" t="n">
        <v>782</v>
      </c>
      <c r="C1786" s="23" t="n">
        <v>4782</v>
      </c>
      <c r="D1786" s="23" t="inlineStr">
        <is>
          <t>0205706012</t>
        </is>
      </c>
      <c r="E1786" s="11" t="inlineStr">
        <is>
          <t>Region II (Cagayan Valley)</t>
        </is>
      </c>
      <c r="F1786" s="11" t="inlineStr">
        <is>
          <t>Quirino</t>
        </is>
      </c>
      <c r="G1786" s="11" t="inlineStr">
        <is>
          <t>Nagtipunan</t>
        </is>
      </c>
      <c r="H1786" s="11" t="inlineStr">
        <is>
          <t>San Pugo</t>
        </is>
      </c>
      <c r="I1786" s="24" t="n">
        <v>16.098454</v>
      </c>
      <c r="J1786" s="24" t="n">
        <v>121.50274</v>
      </c>
      <c r="K1786" s="23" t="inlineStr">
        <is>
          <t>R</t>
        </is>
      </c>
      <c r="L1786" s="25" t="n">
        <v>503</v>
      </c>
      <c r="M1786" s="26" t="n">
        <v>3.9</v>
      </c>
      <c r="N1786" s="25">
        <f>ROUND(L1786/M1786, 0)</f>
        <v/>
      </c>
      <c r="O1786" s="25">
        <f>ROUND(N1786*'Methodology &amp; Assumptions'!$B$7, 0)</f>
        <v/>
      </c>
      <c r="P1786" s="23" t="inlineStr">
        <is>
          <t>Single Carrier (Band n50, 100MHz TDD)</t>
        </is>
      </c>
      <c r="Q1786" s="27">
        <f>ROUNDUP(O1786/'Methodology &amp; Assumptions'!$B$8, 0)</f>
        <v/>
      </c>
      <c r="R1786" s="27" t="n">
        <v>1</v>
      </c>
      <c r="S1786" s="26" t="n">
        <v>16.67</v>
      </c>
      <c r="T1786" s="26" t="n">
        <v>18.3</v>
      </c>
      <c r="U1786" s="11">
        <f>IF(S1786&lt;='Methodology &amp; Assumptions'!$B$10, "Direct Optical Drop (&lt;3km)", IF(S1786&lt;='Methodology &amp; Assumptions'!$B$9, "Near Optical / Microwave (&lt;5km)", "Starlink Business LEO Satellite Backhaul (&gt;5km)"))</f>
        <v/>
      </c>
      <c r="V1786" s="26" t="n">
        <v>38.01</v>
      </c>
      <c r="W1786" s="26" t="n">
        <v>77.2</v>
      </c>
      <c r="X1786" s="26">
        <f>ROUND(('Methodology &amp; Assumptions'!$B$5*V1786) + ('Methodology &amp; Assumptions'!$B$6*W1786), 2)</f>
        <v/>
      </c>
      <c r="Y1786" s="28" t="n">
        <v>8.300000000000001</v>
      </c>
      <c r="Z1786" s="11" t="inlineStr">
        <is>
          <t>Priority Tier 3 (Broadband Expansion)</t>
        </is>
      </c>
    </row>
    <row r="1787">
      <c r="A1787" s="23" t="n">
        <v>5</v>
      </c>
      <c r="B1787" s="23" t="n">
        <v>783</v>
      </c>
      <c r="C1787" s="23" t="n">
        <v>4783</v>
      </c>
      <c r="D1787" s="23" t="inlineStr">
        <is>
          <t>0401002018</t>
        </is>
      </c>
      <c r="E1787" s="11" t="inlineStr">
        <is>
          <t>Region IV-A (CALABARZON)</t>
        </is>
      </c>
      <c r="F1787" s="11" t="inlineStr">
        <is>
          <t>Batangas</t>
        </is>
      </c>
      <c r="G1787" s="11" t="inlineStr">
        <is>
          <t>Alitagtag</t>
        </is>
      </c>
      <c r="H1787" s="11" t="inlineStr">
        <is>
          <t>San Jose</t>
        </is>
      </c>
      <c r="I1787" s="24" t="n">
        <v>13.864216</v>
      </c>
      <c r="J1787" s="24" t="n">
        <v>120.997172</v>
      </c>
      <c r="K1787" s="23" t="inlineStr">
        <is>
          <t>R</t>
        </is>
      </c>
      <c r="L1787" s="25" t="n">
        <v>2513</v>
      </c>
      <c r="M1787" s="26" t="n">
        <v>3.6</v>
      </c>
      <c r="N1787" s="25">
        <f>ROUND(L1787/M1787, 0)</f>
        <v/>
      </c>
      <c r="O1787" s="25">
        <f>ROUND(N1787*'Methodology &amp; Assumptions'!$B$7, 0)</f>
        <v/>
      </c>
      <c r="P1787" s="23" t="inlineStr">
        <is>
          <t>Single Carrier (Band n50, 100MHz TDD)</t>
        </is>
      </c>
      <c r="Q1787" s="27">
        <f>ROUNDUP(O1787/'Methodology &amp; Assumptions'!$B$8, 0)</f>
        <v/>
      </c>
      <c r="R1787" s="27" t="n">
        <v>1</v>
      </c>
      <c r="S1787" s="26" t="n">
        <v>1.24</v>
      </c>
      <c r="T1787" s="26" t="n">
        <v>0.47</v>
      </c>
      <c r="U1787" s="11">
        <f>IF(S1787&lt;='Methodology &amp; Assumptions'!$B$10, "Direct Optical Drop (&lt;3km)", IF(S1787&lt;='Methodology &amp; Assumptions'!$B$9, "Near Optical / Microwave (&lt;5km)", "Starlink Business LEO Satellite Backhaul (&gt;5km)"))</f>
        <v/>
      </c>
      <c r="V1787" s="26" t="n">
        <v>82.70999999999999</v>
      </c>
      <c r="W1787" s="26" t="n">
        <v>32.47</v>
      </c>
      <c r="X1787" s="26">
        <f>ROUND(('Methodology &amp; Assumptions'!$B$5*V1787) + ('Methodology &amp; Assumptions'!$B$6*W1787), 2)</f>
        <v/>
      </c>
      <c r="Y1787" s="28" t="n">
        <v>7.2</v>
      </c>
      <c r="Z1787" s="11" t="inlineStr">
        <is>
          <t>Priority Tier 3 (Broadband Expansion)</t>
        </is>
      </c>
    </row>
    <row r="1788">
      <c r="A1788" s="23" t="n">
        <v>5</v>
      </c>
      <c r="B1788" s="23" t="n">
        <v>784</v>
      </c>
      <c r="C1788" s="23" t="n">
        <v>4784</v>
      </c>
      <c r="D1788" s="23" t="inlineStr">
        <is>
          <t>0305409006</t>
        </is>
      </c>
      <c r="E1788" s="11" t="inlineStr">
        <is>
          <t>Region III (Central Luzon)</t>
        </is>
      </c>
      <c r="F1788" s="11" t="inlineStr">
        <is>
          <t>Pampanga</t>
        </is>
      </c>
      <c r="G1788" s="11" t="inlineStr">
        <is>
          <t>Mabalacat City</t>
        </is>
      </c>
      <c r="H1788" s="11" t="inlineStr">
        <is>
          <t>Camachiles</t>
        </is>
      </c>
      <c r="I1788" s="24" t="n">
        <v>15.192248</v>
      </c>
      <c r="J1788" s="24" t="n">
        <v>120.58608</v>
      </c>
      <c r="K1788" s="23" t="inlineStr">
        <is>
          <t>U</t>
        </is>
      </c>
      <c r="L1788" s="25" t="n">
        <v>13860</v>
      </c>
      <c r="M1788" s="26" t="n">
        <v>4</v>
      </c>
      <c r="N1788" s="25">
        <f>ROUND(L1788/M1788, 0)</f>
        <v/>
      </c>
      <c r="O1788" s="25">
        <f>ROUND(N1788*'Methodology &amp; Assumptions'!$B$7, 0)</f>
        <v/>
      </c>
      <c r="P1788" s="23" t="inlineStr">
        <is>
          <t>Single Carrier (Band n50, 100MHz TDD)</t>
        </is>
      </c>
      <c r="Q1788" s="27">
        <f>ROUNDUP(O1788/'Methodology &amp; Assumptions'!$B$8, 0)</f>
        <v/>
      </c>
      <c r="R1788" s="27" t="n">
        <v>1</v>
      </c>
      <c r="S1788" s="26" t="n">
        <v>1.04</v>
      </c>
      <c r="T1788" s="26" t="n">
        <v>0.25</v>
      </c>
      <c r="U1788" s="11">
        <f>IF(S1788&lt;='Methodology &amp; Assumptions'!$B$10, "Direct Optical Drop (&lt;3km)", IF(S1788&lt;='Methodology &amp; Assumptions'!$B$9, "Near Optical / Microwave (&lt;5km)", "Starlink Business LEO Satellite Backhaul (&gt;5km)"))</f>
        <v/>
      </c>
      <c r="V1788" s="26" t="n">
        <v>77.68000000000001</v>
      </c>
      <c r="W1788" s="26" t="n">
        <v>37.5</v>
      </c>
      <c r="X1788" s="26">
        <f>ROUND(('Methodology &amp; Assumptions'!$B$5*V1788) + ('Methodology &amp; Assumptions'!$B$6*W1788), 2)</f>
        <v/>
      </c>
      <c r="Y1788" s="28" t="n">
        <v>8.300000000000001</v>
      </c>
      <c r="Z1788" s="11" t="inlineStr">
        <is>
          <t>Priority Tier 3 (Broadband Expansion)</t>
        </is>
      </c>
    </row>
    <row r="1789">
      <c r="A1789" s="23" t="n">
        <v>5</v>
      </c>
      <c r="B1789" s="23" t="n">
        <v>785</v>
      </c>
      <c r="C1789" s="23" t="n">
        <v>4785</v>
      </c>
      <c r="D1789" s="23" t="inlineStr">
        <is>
          <t>1380606036</t>
        </is>
      </c>
      <c r="E1789" s="11" t="inlineStr">
        <is>
          <t>National Capital Region (NCR)</t>
        </is>
      </c>
      <c r="F1789" s="11" t="inlineStr">
        <is>
          <t>First District (Not a Province)</t>
        </is>
      </c>
      <c r="G1789" s="11" t="inlineStr">
        <is>
          <t>City of Manila</t>
        </is>
      </c>
      <c r="H1789" s="11" t="inlineStr">
        <is>
          <t>Barangay 430</t>
        </is>
      </c>
      <c r="I1789" s="24" t="n">
        <v>14.606058</v>
      </c>
      <c r="J1789" s="24" t="n">
        <v>120.993698</v>
      </c>
      <c r="K1789" s="23" t="inlineStr">
        <is>
          <t>U</t>
        </is>
      </c>
      <c r="L1789" s="25" t="n">
        <v>463</v>
      </c>
      <c r="M1789" s="26" t="n">
        <v>2.77</v>
      </c>
      <c r="N1789" s="25">
        <f>ROUND(L1789/M1789, 0)</f>
        <v/>
      </c>
      <c r="O1789" s="25">
        <f>ROUND(N1789*'Methodology &amp; Assumptions'!$B$7, 0)</f>
        <v/>
      </c>
      <c r="P1789" s="23" t="inlineStr">
        <is>
          <t>Single Carrier (Band n50, 100MHz TDD)</t>
        </is>
      </c>
      <c r="Q1789" s="27">
        <f>ROUNDUP(O1789/'Methodology &amp; Assumptions'!$B$8, 0)</f>
        <v/>
      </c>
      <c r="R1789" s="27" t="n">
        <v>1</v>
      </c>
      <c r="S1789" s="26" t="n">
        <v>0.42</v>
      </c>
      <c r="T1789" s="26" t="n">
        <v>0.37</v>
      </c>
      <c r="U1789" s="11">
        <f>IF(S1789&lt;='Methodology &amp; Assumptions'!$B$10, "Direct Optical Drop (&lt;3km)", IF(S1789&lt;='Methodology &amp; Assumptions'!$B$9, "Near Optical / Microwave (&lt;5km)", "Starlink Business LEO Satellite Backhaul (&gt;5km)"))</f>
        <v/>
      </c>
      <c r="V1789" s="26" t="n">
        <v>46.45</v>
      </c>
      <c r="W1789" s="26" t="n">
        <v>68.73999999999999</v>
      </c>
      <c r="X1789" s="26">
        <f>ROUND(('Methodology &amp; Assumptions'!$B$5*V1789) + ('Methodology &amp; Assumptions'!$B$6*W1789), 2)</f>
        <v/>
      </c>
      <c r="Y1789" s="28" t="n">
        <v>10.9</v>
      </c>
      <c r="Z1789" s="11" t="inlineStr">
        <is>
          <t>Priority Tier 3 (Broadband Expansion)</t>
        </is>
      </c>
    </row>
    <row r="1790">
      <c r="A1790" s="23" t="n">
        <v>5</v>
      </c>
      <c r="B1790" s="23" t="n">
        <v>786</v>
      </c>
      <c r="C1790" s="23" t="n">
        <v>4786</v>
      </c>
      <c r="D1790" s="23" t="inlineStr">
        <is>
          <t>0506216001</t>
        </is>
      </c>
      <c r="E1790" s="11" t="inlineStr">
        <is>
          <t>Region V (Bicol Region)</t>
        </is>
      </c>
      <c r="F1790" s="11" t="inlineStr">
        <is>
          <t>Sorsogon</t>
        </is>
      </c>
      <c r="G1790" s="11" t="inlineStr">
        <is>
          <t>City of Sorsogon</t>
        </is>
      </c>
      <c r="H1790" s="11" t="inlineStr">
        <is>
          <t>Abuyog</t>
        </is>
      </c>
      <c r="I1790" s="24" t="n">
        <v>12.946119</v>
      </c>
      <c r="J1790" s="24" t="n">
        <v>124.052233</v>
      </c>
      <c r="K1790" s="23" t="inlineStr">
        <is>
          <t>R</t>
        </is>
      </c>
      <c r="L1790" s="25" t="n">
        <v>4670</v>
      </c>
      <c r="M1790" s="26" t="n">
        <v>4</v>
      </c>
      <c r="N1790" s="25">
        <f>ROUND(L1790/M1790, 0)</f>
        <v/>
      </c>
      <c r="O1790" s="25">
        <f>ROUND(N1790*'Methodology &amp; Assumptions'!$B$7, 0)</f>
        <v/>
      </c>
      <c r="P1790" s="23" t="inlineStr">
        <is>
          <t>Single Carrier (Band n50, 100MHz TDD)</t>
        </is>
      </c>
      <c r="Q1790" s="27">
        <f>ROUNDUP(O1790/'Methodology &amp; Assumptions'!$B$8, 0)</f>
        <v/>
      </c>
      <c r="R1790" s="27" t="n">
        <v>1</v>
      </c>
      <c r="S1790" s="26" t="n">
        <v>0.09</v>
      </c>
      <c r="T1790" s="26" t="n">
        <v>0.31</v>
      </c>
      <c r="U1790" s="11">
        <f>IF(S1790&lt;='Methodology &amp; Assumptions'!$B$10, "Direct Optical Drop (&lt;3km)", IF(S1790&lt;='Methodology &amp; Assumptions'!$B$9, "Near Optical / Microwave (&lt;5km)", "Starlink Business LEO Satellite Backhaul (&gt;5km)"))</f>
        <v/>
      </c>
      <c r="V1790" s="26" t="n">
        <v>88.06</v>
      </c>
      <c r="W1790" s="26" t="n">
        <v>27.11</v>
      </c>
      <c r="X1790" s="26">
        <f>ROUND(('Methodology &amp; Assumptions'!$B$5*V1790) + ('Methodology &amp; Assumptions'!$B$6*W1790), 2)</f>
        <v/>
      </c>
      <c r="Y1790" s="28" t="n">
        <v>23.7</v>
      </c>
      <c r="Z1790" s="11" t="inlineStr">
        <is>
          <t>Priority Tier 3 (Broadband Expansion)</t>
        </is>
      </c>
    </row>
    <row r="1791">
      <c r="A1791" s="23" t="n">
        <v>5</v>
      </c>
      <c r="B1791" s="23" t="n">
        <v>787</v>
      </c>
      <c r="C1791" s="23" t="n">
        <v>4787</v>
      </c>
      <c r="D1791" s="23" t="inlineStr">
        <is>
          <t>1102404021</t>
        </is>
      </c>
      <c r="E1791" s="11" t="inlineStr">
        <is>
          <t>Region XI (Davao Region)</t>
        </is>
      </c>
      <c r="F1791" s="11" t="inlineStr">
        <is>
          <t>Davao del Sur</t>
        </is>
      </c>
      <c r="G1791" s="11" t="inlineStr">
        <is>
          <t>Hagonoy</t>
        </is>
      </c>
      <c r="H1791" s="11" t="inlineStr">
        <is>
          <t>Poblacion</t>
        </is>
      </c>
      <c r="I1791" s="24" t="n">
        <v>6.683969</v>
      </c>
      <c r="J1791" s="24" t="n">
        <v>125.303239</v>
      </c>
      <c r="K1791" s="23" t="inlineStr">
        <is>
          <t>R</t>
        </is>
      </c>
      <c r="L1791" s="25" t="n">
        <v>4650</v>
      </c>
      <c r="M1791" s="26" t="n">
        <v>3.4</v>
      </c>
      <c r="N1791" s="25">
        <f>ROUND(L1791/M1791, 0)</f>
        <v/>
      </c>
      <c r="O1791" s="25">
        <f>ROUND(N1791*'Methodology &amp; Assumptions'!$B$7, 0)</f>
        <v/>
      </c>
      <c r="P1791" s="23" t="inlineStr">
        <is>
          <t>Single Carrier (Band n50, 100MHz TDD)</t>
        </is>
      </c>
      <c r="Q1791" s="27">
        <f>ROUNDUP(O1791/'Methodology &amp; Assumptions'!$B$8, 0)</f>
        <v/>
      </c>
      <c r="R1791" s="27" t="n">
        <v>1</v>
      </c>
      <c r="S1791" s="26" t="n">
        <v>0.77</v>
      </c>
      <c r="T1791" s="26" t="n">
        <v>4.35</v>
      </c>
      <c r="U1791" s="11">
        <f>IF(S1791&lt;='Methodology &amp; Assumptions'!$B$10, "Direct Optical Drop (&lt;3km)", IF(S1791&lt;='Methodology &amp; Assumptions'!$B$9, "Near Optical / Microwave (&lt;5km)", "Starlink Business LEO Satellite Backhaul (&gt;5km)"))</f>
        <v/>
      </c>
      <c r="V1791" s="26" t="n">
        <v>83.83</v>
      </c>
      <c r="W1791" s="26" t="n">
        <v>31.33</v>
      </c>
      <c r="X1791" s="26">
        <f>ROUND(('Methodology &amp; Assumptions'!$B$5*V1791) + ('Methodology &amp; Assumptions'!$B$6*W1791), 2)</f>
        <v/>
      </c>
      <c r="Y1791" s="28" t="n">
        <v>17.4</v>
      </c>
      <c r="Z1791" s="11" t="inlineStr">
        <is>
          <t>Priority Tier 3 (Broadband Expansion)</t>
        </is>
      </c>
    </row>
    <row r="1792">
      <c r="A1792" s="23" t="n">
        <v>5</v>
      </c>
      <c r="B1792" s="23" t="n">
        <v>788</v>
      </c>
      <c r="C1792" s="23" t="n">
        <v>4788</v>
      </c>
      <c r="D1792" s="23" t="inlineStr">
        <is>
          <t>0304903027</t>
        </is>
      </c>
      <c r="E1792" s="11" t="inlineStr">
        <is>
          <t>Region III (Central Luzon)</t>
        </is>
      </c>
      <c r="F1792" s="11" t="inlineStr">
        <is>
          <t>Nueva Ecija</t>
        </is>
      </c>
      <c r="G1792" s="11" t="inlineStr">
        <is>
          <t>City of Cabanatuan</t>
        </is>
      </c>
      <c r="H1792" s="11" t="inlineStr">
        <is>
          <t>Communal</t>
        </is>
      </c>
      <c r="I1792" s="24" t="n">
        <v>15.585783</v>
      </c>
      <c r="J1792" s="24" t="n">
        <v>120.924577</v>
      </c>
      <c r="K1792" s="23" t="inlineStr">
        <is>
          <t>R</t>
        </is>
      </c>
      <c r="L1792" s="25" t="n">
        <v>1952</v>
      </c>
      <c r="M1792" s="26" t="n">
        <v>3.5</v>
      </c>
      <c r="N1792" s="25">
        <f>ROUND(L1792/M1792, 0)</f>
        <v/>
      </c>
      <c r="O1792" s="25">
        <f>ROUND(N1792*'Methodology &amp; Assumptions'!$B$7, 0)</f>
        <v/>
      </c>
      <c r="P1792" s="23" t="inlineStr">
        <is>
          <t>Single Carrier (Band n50, 100MHz TDD)</t>
        </is>
      </c>
      <c r="Q1792" s="27">
        <f>ROUNDUP(O1792/'Methodology &amp; Assumptions'!$B$8, 0)</f>
        <v/>
      </c>
      <c r="R1792" s="27" t="n">
        <v>1</v>
      </c>
      <c r="S1792" s="26" t="n">
        <v>0.71</v>
      </c>
      <c r="T1792" s="26" t="n">
        <v>0.52</v>
      </c>
      <c r="U1792" s="11">
        <f>IF(S1792&lt;='Methodology &amp; Assumptions'!$B$10, "Direct Optical Drop (&lt;3km)", IF(S1792&lt;='Methodology &amp; Assumptions'!$B$9, "Near Optical / Microwave (&lt;5km)", "Starlink Business LEO Satellite Backhaul (&gt;5km)"))</f>
        <v/>
      </c>
      <c r="V1792" s="26" t="n">
        <v>77.12</v>
      </c>
      <c r="W1792" s="26" t="n">
        <v>38.05</v>
      </c>
      <c r="X1792" s="26">
        <f>ROUND(('Methodology &amp; Assumptions'!$B$5*V1792) + ('Methodology &amp; Assumptions'!$B$6*W1792), 2)</f>
        <v/>
      </c>
      <c r="Y1792" s="28" t="n">
        <v>8.300000000000001</v>
      </c>
      <c r="Z1792" s="11" t="inlineStr">
        <is>
          <t>Priority Tier 3 (Broadband Expansion)</t>
        </is>
      </c>
    </row>
    <row r="1793">
      <c r="A1793" s="23" t="n">
        <v>5</v>
      </c>
      <c r="B1793" s="23" t="n">
        <v>789</v>
      </c>
      <c r="C1793" s="23" t="n">
        <v>4789</v>
      </c>
      <c r="D1793" s="23" t="inlineStr">
        <is>
          <t>0205003012</t>
        </is>
      </c>
      <c r="E1793" s="11" t="inlineStr">
        <is>
          <t>Region II (Cagayan Valley)</t>
        </is>
      </c>
      <c r="F1793" s="11" t="inlineStr">
        <is>
          <t>Nueva Vizcaya</t>
        </is>
      </c>
      <c r="G1793" s="11" t="inlineStr">
        <is>
          <t>Bagabag</t>
        </is>
      </c>
      <c r="H1793" s="11" t="inlineStr">
        <is>
          <t>Sta. Lucia</t>
        </is>
      </c>
      <c r="I1793" s="24" t="n">
        <v>16.604751</v>
      </c>
      <c r="J1793" s="24" t="n">
        <v>121.243036</v>
      </c>
      <c r="K1793" s="23" t="inlineStr">
        <is>
          <t>R</t>
        </is>
      </c>
      <c r="L1793" s="25" t="n">
        <v>3283</v>
      </c>
      <c r="M1793" s="26" t="n">
        <v>3.8</v>
      </c>
      <c r="N1793" s="25">
        <f>ROUND(L1793/M1793, 0)</f>
        <v/>
      </c>
      <c r="O1793" s="25">
        <f>ROUND(N1793*'Methodology &amp; Assumptions'!$B$7, 0)</f>
        <v/>
      </c>
      <c r="P1793" s="23" t="inlineStr">
        <is>
          <t>Single Carrier (Band n50, 100MHz TDD)</t>
        </is>
      </c>
      <c r="Q1793" s="27">
        <f>ROUNDUP(O1793/'Methodology &amp; Assumptions'!$B$8, 0)</f>
        <v/>
      </c>
      <c r="R1793" s="27" t="n">
        <v>1</v>
      </c>
      <c r="S1793" s="26" t="n">
        <v>3.48</v>
      </c>
      <c r="T1793" s="26" t="n">
        <v>0.17</v>
      </c>
      <c r="U1793" s="11">
        <f>IF(S1793&lt;='Methodology &amp; Assumptions'!$B$10, "Direct Optical Drop (&lt;3km)", IF(S1793&lt;='Methodology &amp; Assumptions'!$B$9, "Near Optical / Microwave (&lt;5km)", "Starlink Business LEO Satellite Backhaul (&gt;5km)"))</f>
        <v/>
      </c>
      <c r="V1793" s="26" t="n">
        <v>77.09999999999999</v>
      </c>
      <c r="W1793" s="26" t="n">
        <v>38.05</v>
      </c>
      <c r="X1793" s="26">
        <f>ROUND(('Methodology &amp; Assumptions'!$B$5*V1793) + ('Methodology &amp; Assumptions'!$B$6*W1793), 2)</f>
        <v/>
      </c>
      <c r="Y1793" s="28" t="n">
        <v>8.300000000000001</v>
      </c>
      <c r="Z1793" s="11" t="inlineStr">
        <is>
          <t>Priority Tier 3 (Broadband Expansion)</t>
        </is>
      </c>
    </row>
    <row r="1794">
      <c r="A1794" s="23" t="n">
        <v>5</v>
      </c>
      <c r="B1794" s="23" t="n">
        <v>790</v>
      </c>
      <c r="C1794" s="23" t="n">
        <v>4790</v>
      </c>
      <c r="D1794" s="23" t="inlineStr">
        <is>
          <t>0501716012</t>
        </is>
      </c>
      <c r="E1794" s="11" t="inlineStr">
        <is>
          <t>Region V (Bicol Region)</t>
        </is>
      </c>
      <c r="F1794" s="11" t="inlineStr">
        <is>
          <t>Camarines Sur</t>
        </is>
      </c>
      <c r="G1794" s="11" t="inlineStr">
        <is>
          <t>City of Iriga</t>
        </is>
      </c>
      <c r="H1794" s="11" t="inlineStr">
        <is>
          <t>Salvacion</t>
        </is>
      </c>
      <c r="I1794" s="24" t="n">
        <v>13.654718</v>
      </c>
      <c r="J1794" s="24" t="n">
        <v>123.264539</v>
      </c>
      <c r="K1794" s="23" t="inlineStr">
        <is>
          <t>R</t>
        </is>
      </c>
      <c r="L1794" s="25" t="n">
        <v>3615</v>
      </c>
      <c r="M1794" s="26" t="n">
        <v>4.2</v>
      </c>
      <c r="N1794" s="25">
        <f>ROUND(L1794/M1794, 0)</f>
        <v/>
      </c>
      <c r="O1794" s="25">
        <f>ROUND(N1794*'Methodology &amp; Assumptions'!$B$7, 0)</f>
        <v/>
      </c>
      <c r="P1794" s="23" t="inlineStr">
        <is>
          <t>Single Carrier (Band n50, 100MHz TDD)</t>
        </is>
      </c>
      <c r="Q1794" s="27">
        <f>ROUNDUP(O1794/'Methodology &amp; Assumptions'!$B$8, 0)</f>
        <v/>
      </c>
      <c r="R1794" s="27" t="n">
        <v>1</v>
      </c>
      <c r="S1794" s="26" t="n">
        <v>2.86</v>
      </c>
      <c r="T1794" s="26" t="n">
        <v>4.83</v>
      </c>
      <c r="U1794" s="11">
        <f>IF(S1794&lt;='Methodology &amp; Assumptions'!$B$10, "Direct Optical Drop (&lt;3km)", IF(S1794&lt;='Methodology &amp; Assumptions'!$B$9, "Near Optical / Microwave (&lt;5km)", "Starlink Business LEO Satellite Backhaul (&gt;5km)"))</f>
        <v/>
      </c>
      <c r="V1794" s="26" t="n">
        <v>77.09999999999999</v>
      </c>
      <c r="W1794" s="26" t="n">
        <v>38.05</v>
      </c>
      <c r="X1794" s="26">
        <f>ROUND(('Methodology &amp; Assumptions'!$B$5*V1794) + ('Methodology &amp; Assumptions'!$B$6*W1794), 2)</f>
        <v/>
      </c>
      <c r="Y1794" s="28" t="n">
        <v>23.7</v>
      </c>
      <c r="Z1794" s="11" t="inlineStr">
        <is>
          <t>Priority Tier 3 (Broadband Expansion)</t>
        </is>
      </c>
    </row>
    <row r="1795">
      <c r="A1795" s="23" t="n">
        <v>5</v>
      </c>
      <c r="B1795" s="23" t="n">
        <v>791</v>
      </c>
      <c r="C1795" s="23" t="n">
        <v>4791</v>
      </c>
      <c r="D1795" s="23" t="inlineStr">
        <is>
          <t>0103311030</t>
        </is>
      </c>
      <c r="E1795" s="11" t="inlineStr">
        <is>
          <t>Region I (Ilocos Region)</t>
        </is>
      </c>
      <c r="F1795" s="11" t="inlineStr">
        <is>
          <t>La Union</t>
        </is>
      </c>
      <c r="G1795" s="11" t="inlineStr">
        <is>
          <t>Naguilian</t>
        </is>
      </c>
      <c r="H1795" s="11" t="inlineStr">
        <is>
          <t>Ortiz</t>
        </is>
      </c>
      <c r="I1795" s="24" t="n">
        <v>16.533857</v>
      </c>
      <c r="J1795" s="24" t="n">
        <v>120.39331</v>
      </c>
      <c r="K1795" s="23" t="inlineStr">
        <is>
          <t>U</t>
        </is>
      </c>
      <c r="L1795" s="25" t="n">
        <v>2793</v>
      </c>
      <c r="M1795" s="26" t="n">
        <v>3.7</v>
      </c>
      <c r="N1795" s="25">
        <f>ROUND(L1795/M1795, 0)</f>
        <v/>
      </c>
      <c r="O1795" s="25">
        <f>ROUND(N1795*'Methodology &amp; Assumptions'!$B$7, 0)</f>
        <v/>
      </c>
      <c r="P1795" s="23" t="inlineStr">
        <is>
          <t>Single Carrier (Band n50, 100MHz TDD)</t>
        </is>
      </c>
      <c r="Q1795" s="27">
        <f>ROUNDUP(O1795/'Methodology &amp; Assumptions'!$B$8, 0)</f>
        <v/>
      </c>
      <c r="R1795" s="27" t="n">
        <v>1</v>
      </c>
      <c r="S1795" s="26" t="n">
        <v>0.86</v>
      </c>
      <c r="T1795" s="26" t="n">
        <v>0.31</v>
      </c>
      <c r="U1795" s="11">
        <f>IF(S1795&lt;='Methodology &amp; Assumptions'!$B$10, "Direct Optical Drop (&lt;3km)", IF(S1795&lt;='Methodology &amp; Assumptions'!$B$9, "Near Optical / Microwave (&lt;5km)", "Starlink Business LEO Satellite Backhaul (&gt;5km)"))</f>
        <v/>
      </c>
      <c r="V1795" s="26" t="n">
        <v>76.22</v>
      </c>
      <c r="W1795" s="26" t="n">
        <v>38.94</v>
      </c>
      <c r="X1795" s="26">
        <f>ROUND(('Methodology &amp; Assumptions'!$B$5*V1795) + ('Methodology &amp; Assumptions'!$B$6*W1795), 2)</f>
        <v/>
      </c>
      <c r="Y1795" s="28" t="n">
        <v>8.300000000000001</v>
      </c>
      <c r="Z1795" s="11" t="inlineStr">
        <is>
          <t>Priority Tier 3 (Broadband Expansion)</t>
        </is>
      </c>
    </row>
    <row r="1796">
      <c r="A1796" s="23" t="n">
        <v>5</v>
      </c>
      <c r="B1796" s="23" t="n">
        <v>792</v>
      </c>
      <c r="C1796" s="23" t="n">
        <v>4792</v>
      </c>
      <c r="D1796" s="23" t="inlineStr">
        <is>
          <t>0304906023</t>
        </is>
      </c>
      <c r="E1796" s="11" t="inlineStr">
        <is>
          <t>Region III (Central Luzon)</t>
        </is>
      </c>
      <c r="F1796" s="11" t="inlineStr">
        <is>
          <t>Nueva Ecija</t>
        </is>
      </c>
      <c r="G1796" s="11" t="inlineStr">
        <is>
          <t>Cuyapo</t>
        </is>
      </c>
      <c r="H1796" s="11" t="inlineStr">
        <is>
          <t>District VI</t>
        </is>
      </c>
      <c r="I1796" s="24" t="n">
        <v>15.776836</v>
      </c>
      <c r="J1796" s="24" t="n">
        <v>120.666631</v>
      </c>
      <c r="K1796" s="23" t="inlineStr">
        <is>
          <t>R</t>
        </is>
      </c>
      <c r="L1796" s="25" t="n">
        <v>1936</v>
      </c>
      <c r="M1796" s="26" t="n">
        <v>3.5</v>
      </c>
      <c r="N1796" s="25">
        <f>ROUND(L1796/M1796, 0)</f>
        <v/>
      </c>
      <c r="O1796" s="25">
        <f>ROUND(N1796*'Methodology &amp; Assumptions'!$B$7, 0)</f>
        <v/>
      </c>
      <c r="P1796" s="23" t="inlineStr">
        <is>
          <t>Single Carrier (Band n50, 100MHz TDD)</t>
        </is>
      </c>
      <c r="Q1796" s="27">
        <f>ROUNDUP(O1796/'Methodology &amp; Assumptions'!$B$8, 0)</f>
        <v/>
      </c>
      <c r="R1796" s="27" t="n">
        <v>1</v>
      </c>
      <c r="S1796" s="26" t="n">
        <v>0.39</v>
      </c>
      <c r="T1796" s="26" t="n">
        <v>6.63</v>
      </c>
      <c r="U1796" s="11">
        <f>IF(S1796&lt;='Methodology &amp; Assumptions'!$B$10, "Direct Optical Drop (&lt;3km)", IF(S1796&lt;='Methodology &amp; Assumptions'!$B$9, "Near Optical / Microwave (&lt;5km)", "Starlink Business LEO Satellite Backhaul (&gt;5km)"))</f>
        <v/>
      </c>
      <c r="V1796" s="26" t="n">
        <v>75.36</v>
      </c>
      <c r="W1796" s="26" t="n">
        <v>39.81</v>
      </c>
      <c r="X1796" s="26">
        <f>ROUND(('Methodology &amp; Assumptions'!$B$5*V1796) + ('Methodology &amp; Assumptions'!$B$6*W1796), 2)</f>
        <v/>
      </c>
      <c r="Y1796" s="28" t="n">
        <v>8.300000000000001</v>
      </c>
      <c r="Z1796" s="11" t="inlineStr">
        <is>
          <t>Priority Tier 3 (Broadband Expansion)</t>
        </is>
      </c>
    </row>
    <row r="1797">
      <c r="A1797" s="23" t="n">
        <v>5</v>
      </c>
      <c r="B1797" s="23" t="n">
        <v>793</v>
      </c>
      <c r="C1797" s="23" t="n">
        <v>4793</v>
      </c>
      <c r="D1797" s="23" t="inlineStr">
        <is>
          <t>0603020021</t>
        </is>
      </c>
      <c r="E1797" s="11" t="inlineStr">
        <is>
          <t>Region VI (Western Visayas)</t>
        </is>
      </c>
      <c r="F1797" s="11" t="inlineStr">
        <is>
          <t>Iloilo</t>
        </is>
      </c>
      <c r="G1797" s="11" t="inlineStr">
        <is>
          <t>Guimbal</t>
        </is>
      </c>
      <c r="H1797" s="11" t="inlineStr">
        <is>
          <t>Igcocolo</t>
        </is>
      </c>
      <c r="I1797" s="24" t="n">
        <v>10.66463</v>
      </c>
      <c r="J1797" s="24" t="n">
        <v>122.321288</v>
      </c>
      <c r="K1797" s="23" t="inlineStr">
        <is>
          <t>R</t>
        </is>
      </c>
      <c r="L1797" s="25" t="n">
        <v>3287</v>
      </c>
      <c r="M1797" s="26" t="n">
        <v>3.8</v>
      </c>
      <c r="N1797" s="25">
        <f>ROUND(L1797/M1797, 0)</f>
        <v/>
      </c>
      <c r="O1797" s="25">
        <f>ROUND(N1797*'Methodology &amp; Assumptions'!$B$7, 0)</f>
        <v/>
      </c>
      <c r="P1797" s="23" t="inlineStr">
        <is>
          <t>Single Carrier (Band n50, 100MHz TDD)</t>
        </is>
      </c>
      <c r="Q1797" s="27">
        <f>ROUNDUP(O1797/'Methodology &amp; Assumptions'!$B$8, 0)</f>
        <v/>
      </c>
      <c r="R1797" s="27" t="n">
        <v>1</v>
      </c>
      <c r="S1797" s="26" t="n">
        <v>6.74</v>
      </c>
      <c r="T1797" s="26" t="n">
        <v>0.16</v>
      </c>
      <c r="U1797" s="11">
        <f>IF(S1797&lt;='Methodology &amp; Assumptions'!$B$10, "Direct Optical Drop (&lt;3km)", IF(S1797&lt;='Methodology &amp; Assumptions'!$B$9, "Near Optical / Microwave (&lt;5km)", "Starlink Business LEO Satellite Backhaul (&gt;5km)"))</f>
        <v/>
      </c>
      <c r="V1797" s="26" t="n">
        <v>73.79000000000001</v>
      </c>
      <c r="W1797" s="26" t="n">
        <v>41.37</v>
      </c>
      <c r="X1797" s="26">
        <f>ROUND(('Methodology &amp; Assumptions'!$B$5*V1797) + ('Methodology &amp; Assumptions'!$B$6*W1797), 2)</f>
        <v/>
      </c>
      <c r="Y1797" s="28" t="n">
        <v>23.7</v>
      </c>
      <c r="Z1797" s="11" t="inlineStr">
        <is>
          <t>Priority Tier 3 (Broadband Expansion)</t>
        </is>
      </c>
    </row>
    <row r="1798">
      <c r="A1798" s="23" t="n">
        <v>5</v>
      </c>
      <c r="B1798" s="23" t="n">
        <v>794</v>
      </c>
      <c r="C1798" s="23" t="n">
        <v>4794</v>
      </c>
      <c r="D1798" s="23" t="inlineStr">
        <is>
          <t>1206502016</t>
        </is>
      </c>
      <c r="E1798" s="11" t="inlineStr">
        <is>
          <t>Region XII (SOCCSKSARGEN)</t>
        </is>
      </c>
      <c r="F1798" s="11" t="inlineStr">
        <is>
          <t>Sultan Kudarat</t>
        </is>
      </c>
      <c r="G1798" s="11" t="inlineStr">
        <is>
          <t>Columbio</t>
        </is>
      </c>
      <c r="H1798" s="11" t="inlineStr">
        <is>
          <t>Lomoyon</t>
        </is>
      </c>
      <c r="I1798" s="24" t="n">
        <v>6.674167</v>
      </c>
      <c r="J1798" s="24" t="n">
        <v>124.935278</v>
      </c>
      <c r="K1798" s="23" t="inlineStr">
        <is>
          <t>R</t>
        </is>
      </c>
      <c r="L1798" s="25" t="n">
        <v>1861</v>
      </c>
      <c r="M1798" s="26" t="n">
        <v>3.8</v>
      </c>
      <c r="N1798" s="25">
        <f>ROUND(L1798/M1798, 0)</f>
        <v/>
      </c>
      <c r="O1798" s="25">
        <f>ROUND(N1798*'Methodology &amp; Assumptions'!$B$7, 0)</f>
        <v/>
      </c>
      <c r="P1798" s="23" t="inlineStr">
        <is>
          <t>Single Carrier (Band n50, 100MHz TDD)</t>
        </is>
      </c>
      <c r="Q1798" s="27">
        <f>ROUNDUP(O1798/'Methodology &amp; Assumptions'!$B$8, 0)</f>
        <v/>
      </c>
      <c r="R1798" s="27" t="n">
        <v>1</v>
      </c>
      <c r="S1798" s="26" t="n">
        <v>25.49</v>
      </c>
      <c r="T1798" s="26" t="n">
        <v>10.85</v>
      </c>
      <c r="U1798" s="11">
        <f>IF(S1798&lt;='Methodology &amp; Assumptions'!$B$10, "Direct Optical Drop (&lt;3km)", IF(S1798&lt;='Methodology &amp; Assumptions'!$B$9, "Near Optical / Microwave (&lt;5km)", "Starlink Business LEO Satellite Backhaul (&gt;5km)"))</f>
        <v/>
      </c>
      <c r="V1798" s="26" t="n">
        <v>50.53</v>
      </c>
      <c r="W1798" s="26" t="n">
        <v>64.63</v>
      </c>
      <c r="X1798" s="26">
        <f>ROUND(('Methodology &amp; Assumptions'!$B$5*V1798) + ('Methodology &amp; Assumptions'!$B$6*W1798), 2)</f>
        <v/>
      </c>
      <c r="Y1798" s="28" t="n">
        <v>17.4</v>
      </c>
      <c r="Z1798" s="11" t="inlineStr">
        <is>
          <t>Priority Tier 3 (Broadband Expansion)</t>
        </is>
      </c>
    </row>
    <row r="1799">
      <c r="A1799" s="23" t="n">
        <v>5</v>
      </c>
      <c r="B1799" s="23" t="n">
        <v>795</v>
      </c>
      <c r="C1799" s="23" t="n">
        <v>4795</v>
      </c>
      <c r="D1799" s="23" t="inlineStr">
        <is>
          <t>1380614012</t>
        </is>
      </c>
      <c r="E1799" s="11" t="inlineStr">
        <is>
          <t>National Capital Region (NCR)</t>
        </is>
      </c>
      <c r="F1799" s="11" t="inlineStr">
        <is>
          <t>First District (Not a Province)</t>
        </is>
      </c>
      <c r="G1799" s="11" t="inlineStr">
        <is>
          <t>City of Manila</t>
        </is>
      </c>
      <c r="H1799" s="11" t="inlineStr">
        <is>
          <t>Barangay 756</t>
        </is>
      </c>
      <c r="I1799" s="24" t="n">
        <v>14.563991</v>
      </c>
      <c r="J1799" s="24" t="n">
        <v>121.000112</v>
      </c>
      <c r="K1799" s="23" t="inlineStr">
        <is>
          <t>U</t>
        </is>
      </c>
      <c r="L1799" s="25" t="n">
        <v>736</v>
      </c>
      <c r="M1799" s="26" t="n">
        <v>3.57</v>
      </c>
      <c r="N1799" s="25">
        <f>ROUND(L1799/M1799, 0)</f>
        <v/>
      </c>
      <c r="O1799" s="25">
        <f>ROUND(N1799*'Methodology &amp; Assumptions'!$B$7, 0)</f>
        <v/>
      </c>
      <c r="P1799" s="23" t="inlineStr">
        <is>
          <t>Single Carrier (Band n50, 100MHz TDD)</t>
        </is>
      </c>
      <c r="Q1799" s="27">
        <f>ROUNDUP(O1799/'Methodology &amp; Assumptions'!$B$8, 0)</f>
        <v/>
      </c>
      <c r="R1799" s="27" t="n">
        <v>1</v>
      </c>
      <c r="S1799" s="26" t="n">
        <v>1.09</v>
      </c>
      <c r="T1799" s="26" t="n">
        <v>0.44</v>
      </c>
      <c r="U1799" s="11">
        <f>IF(S1799&lt;='Methodology &amp; Assumptions'!$B$10, "Direct Optical Drop (&lt;3km)", IF(S1799&lt;='Methodology &amp; Assumptions'!$B$9, "Near Optical / Microwave (&lt;5km)", "Starlink Business LEO Satellite Backhaul (&gt;5km)"))</f>
        <v/>
      </c>
      <c r="V1799" s="26" t="n">
        <v>46.76</v>
      </c>
      <c r="W1799" s="26" t="n">
        <v>68.41</v>
      </c>
      <c r="X1799" s="26">
        <f>ROUND(('Methodology &amp; Assumptions'!$B$5*V1799) + ('Methodology &amp; Assumptions'!$B$6*W1799), 2)</f>
        <v/>
      </c>
      <c r="Y1799" s="28" t="n">
        <v>10.9</v>
      </c>
      <c r="Z1799" s="11" t="inlineStr">
        <is>
          <t>Priority Tier 3 (Broadband Expansion)</t>
        </is>
      </c>
    </row>
    <row r="1800">
      <c r="A1800" s="23" t="n">
        <v>5</v>
      </c>
      <c r="B1800" s="23" t="n">
        <v>796</v>
      </c>
      <c r="C1800" s="23" t="n">
        <v>4796</v>
      </c>
      <c r="D1800" s="23" t="inlineStr">
        <is>
          <t>1907010001</t>
        </is>
      </c>
      <c r="E1800" s="11" t="inlineStr">
        <is>
          <t>Bangsamoro Autonomous Region In Muslim Mindanao (BARMM)</t>
        </is>
      </c>
      <c r="F1800" s="11" t="inlineStr">
        <is>
          <t>Tawi-Tawi</t>
        </is>
      </c>
      <c r="G1800" s="11" t="inlineStr">
        <is>
          <t>Sapa-Sapa</t>
        </is>
      </c>
      <c r="H1800" s="11" t="inlineStr">
        <is>
          <t>Baldatal Islam</t>
        </is>
      </c>
      <c r="I1800" s="24" t="n">
        <v>5.138085</v>
      </c>
      <c r="J1800" s="24" t="n">
        <v>120.189843</v>
      </c>
      <c r="K1800" s="23" t="inlineStr">
        <is>
          <t>R</t>
        </is>
      </c>
      <c r="L1800" s="25" t="n">
        <v>1818</v>
      </c>
      <c r="M1800" s="26" t="n">
        <v>5.8</v>
      </c>
      <c r="N1800" s="25">
        <f>ROUND(L1800/M1800, 0)</f>
        <v/>
      </c>
      <c r="O1800" s="25">
        <f>ROUND(N1800*'Methodology &amp; Assumptions'!$B$7, 0)</f>
        <v/>
      </c>
      <c r="P1800" s="23" t="inlineStr">
        <is>
          <t>Single Carrier (Band n50, 100MHz TDD)</t>
        </is>
      </c>
      <c r="Q1800" s="27">
        <f>ROUNDUP(O1800/'Methodology &amp; Assumptions'!$B$8, 0)</f>
        <v/>
      </c>
      <c r="R1800" s="27" t="n">
        <v>1</v>
      </c>
      <c r="S1800" s="26" t="n">
        <v>999</v>
      </c>
      <c r="T1800" s="26" t="n">
        <v>999</v>
      </c>
      <c r="U1800" s="11">
        <f>IF(S1800&lt;='Methodology &amp; Assumptions'!$B$10, "Direct Optical Drop (&lt;3km)", IF(S1800&lt;='Methodology &amp; Assumptions'!$B$9, "Near Optical / Microwave (&lt;5km)", "Starlink Business LEO Satellite Backhaul (&gt;5km)"))</f>
        <v/>
      </c>
      <c r="V1800" s="26" t="n">
        <v>41.12</v>
      </c>
      <c r="W1800" s="26" t="n">
        <v>74.03</v>
      </c>
      <c r="X1800" s="26">
        <f>ROUND(('Methodology &amp; Assumptions'!$B$5*V1800) + ('Methodology &amp; Assumptions'!$B$6*W1800), 2)</f>
        <v/>
      </c>
      <c r="Y1800" s="28" t="n">
        <v>11</v>
      </c>
      <c r="Z1800" s="11" t="inlineStr">
        <is>
          <t>Priority Tier 3 (Broadband Expansion)</t>
        </is>
      </c>
    </row>
    <row r="1801">
      <c r="A1801" s="23" t="n">
        <v>5</v>
      </c>
      <c r="B1801" s="23" t="n">
        <v>797</v>
      </c>
      <c r="C1801" s="23" t="n">
        <v>4797</v>
      </c>
      <c r="D1801" s="23" t="inlineStr">
        <is>
          <t>0205003018</t>
        </is>
      </c>
      <c r="E1801" s="11" t="inlineStr">
        <is>
          <t>Region II (Cagayan Valley)</t>
        </is>
      </c>
      <c r="F1801" s="11" t="inlineStr">
        <is>
          <t>Nueva Vizcaya</t>
        </is>
      </c>
      <c r="G1801" s="11" t="inlineStr">
        <is>
          <t>Bagabag</t>
        </is>
      </c>
      <c r="H1801" s="11" t="inlineStr">
        <is>
          <t>Tuao South</t>
        </is>
      </c>
      <c r="I1801" s="24" t="n">
        <v>16.567861</v>
      </c>
      <c r="J1801" s="24" t="n">
        <v>121.248518</v>
      </c>
      <c r="K1801" s="23" t="inlineStr">
        <is>
          <t>R</t>
        </is>
      </c>
      <c r="L1801" s="25" t="n">
        <v>2968</v>
      </c>
      <c r="M1801" s="26" t="n">
        <v>3.8</v>
      </c>
      <c r="N1801" s="25">
        <f>ROUND(L1801/M1801, 0)</f>
        <v/>
      </c>
      <c r="O1801" s="25">
        <f>ROUND(N1801*'Methodology &amp; Assumptions'!$B$7, 0)</f>
        <v/>
      </c>
      <c r="P1801" s="23" t="inlineStr">
        <is>
          <t>Single Carrier (Band n50, 100MHz TDD)</t>
        </is>
      </c>
      <c r="Q1801" s="27">
        <f>ROUNDUP(O1801/'Methodology &amp; Assumptions'!$B$8, 0)</f>
        <v/>
      </c>
      <c r="R1801" s="27" t="n">
        <v>1</v>
      </c>
      <c r="S1801" s="26" t="n">
        <v>0.6899999999999999</v>
      </c>
      <c r="T1801" s="26" t="n">
        <v>0.1</v>
      </c>
      <c r="U1801" s="11">
        <f>IF(S1801&lt;='Methodology &amp; Assumptions'!$B$10, "Direct Optical Drop (&lt;3km)", IF(S1801&lt;='Methodology &amp; Assumptions'!$B$9, "Near Optical / Microwave (&lt;5km)", "Starlink Business LEO Satellite Backhaul (&gt;5km)"))</f>
        <v/>
      </c>
      <c r="V1801" s="26" t="n">
        <v>84.37</v>
      </c>
      <c r="W1801" s="26" t="n">
        <v>30.77</v>
      </c>
      <c r="X1801" s="26">
        <f>ROUND(('Methodology &amp; Assumptions'!$B$5*V1801) + ('Methodology &amp; Assumptions'!$B$6*W1801), 2)</f>
        <v/>
      </c>
      <c r="Y1801" s="28" t="n">
        <v>8.300000000000001</v>
      </c>
      <c r="Z1801" s="11" t="inlineStr">
        <is>
          <t>Priority Tier 3 (Broadband Expansion)</t>
        </is>
      </c>
    </row>
    <row r="1802">
      <c r="A1802" s="23" t="n">
        <v>5</v>
      </c>
      <c r="B1802" s="23" t="n">
        <v>798</v>
      </c>
      <c r="C1802" s="23" t="n">
        <v>4798</v>
      </c>
      <c r="D1802" s="23" t="inlineStr">
        <is>
          <t>0307111005</t>
        </is>
      </c>
      <c r="E1802" s="11" t="inlineStr">
        <is>
          <t>Region III (Central Luzon)</t>
        </is>
      </c>
      <c r="F1802" s="11" t="inlineStr">
        <is>
          <t>Zambales</t>
        </is>
      </c>
      <c r="G1802" s="11" t="inlineStr">
        <is>
          <t>San Marcelino</t>
        </is>
      </c>
      <c r="H1802" s="11" t="inlineStr">
        <is>
          <t>Consuelo Sur</t>
        </is>
      </c>
      <c r="I1802" s="24" t="n">
        <v>14.975185</v>
      </c>
      <c r="J1802" s="24" t="n">
        <v>120.154183</v>
      </c>
      <c r="K1802" s="23" t="inlineStr">
        <is>
          <t>R</t>
        </is>
      </c>
      <c r="L1802" s="25" t="n">
        <v>2153</v>
      </c>
      <c r="M1802" s="26" t="n">
        <v>3.8</v>
      </c>
      <c r="N1802" s="25">
        <f>ROUND(L1802/M1802, 0)</f>
        <v/>
      </c>
      <c r="O1802" s="25">
        <f>ROUND(N1802*'Methodology &amp; Assumptions'!$B$7, 0)</f>
        <v/>
      </c>
      <c r="P1802" s="23" t="inlineStr">
        <is>
          <t>Single Carrier (Band n50, 100MHz TDD)</t>
        </is>
      </c>
      <c r="Q1802" s="27">
        <f>ROUNDUP(O1802/'Methodology &amp; Assumptions'!$B$8, 0)</f>
        <v/>
      </c>
      <c r="R1802" s="27" t="n">
        <v>1</v>
      </c>
      <c r="S1802" s="26" t="n">
        <v>0.5</v>
      </c>
      <c r="T1802" s="26" t="n">
        <v>0.14</v>
      </c>
      <c r="U1802" s="11">
        <f>IF(S1802&lt;='Methodology &amp; Assumptions'!$B$10, "Direct Optical Drop (&lt;3km)", IF(S1802&lt;='Methodology &amp; Assumptions'!$B$9, "Near Optical / Microwave (&lt;5km)", "Starlink Business LEO Satellite Backhaul (&gt;5km)"))</f>
        <v/>
      </c>
      <c r="V1802" s="26" t="n">
        <v>77.44</v>
      </c>
      <c r="W1802" s="26" t="n">
        <v>37.7</v>
      </c>
      <c r="X1802" s="26">
        <f>ROUND(('Methodology &amp; Assumptions'!$B$5*V1802) + ('Methodology &amp; Assumptions'!$B$6*W1802), 2)</f>
        <v/>
      </c>
      <c r="Y1802" s="28" t="n">
        <v>8.300000000000001</v>
      </c>
      <c r="Z1802" s="11" t="inlineStr">
        <is>
          <t>Priority Tier 3 (Broadband Expansion)</t>
        </is>
      </c>
    </row>
    <row r="1803">
      <c r="A1803" s="23" t="n">
        <v>5</v>
      </c>
      <c r="B1803" s="23" t="n">
        <v>799</v>
      </c>
      <c r="C1803" s="23" t="n">
        <v>4799</v>
      </c>
      <c r="D1803" s="23" t="inlineStr">
        <is>
          <t>1630400040</t>
        </is>
      </c>
      <c r="E1803" s="11" t="inlineStr">
        <is>
          <t>Region XIII (Caraga)</t>
        </is>
      </c>
      <c r="F1803" s="11" t="inlineStr">
        <is>
          <t>Agusan del Norte</t>
        </is>
      </c>
      <c r="G1803" s="11" t="inlineStr">
        <is>
          <t>City of Butuan</t>
        </is>
      </c>
      <c r="H1803" s="11" t="inlineStr">
        <is>
          <t>Dumalagan</t>
        </is>
      </c>
      <c r="I1803" s="24" t="n">
        <v>9.024065999999999</v>
      </c>
      <c r="J1803" s="24" t="n">
        <v>125.518508</v>
      </c>
      <c r="K1803" s="23" t="inlineStr">
        <is>
          <t>R</t>
        </is>
      </c>
      <c r="L1803" s="25" t="n">
        <v>3031</v>
      </c>
      <c r="M1803" s="26" t="n">
        <v>4.1</v>
      </c>
      <c r="N1803" s="25">
        <f>ROUND(L1803/M1803, 0)</f>
        <v/>
      </c>
      <c r="O1803" s="25">
        <f>ROUND(N1803*'Methodology &amp; Assumptions'!$B$7, 0)</f>
        <v/>
      </c>
      <c r="P1803" s="23" t="inlineStr">
        <is>
          <t>Single Carrier (Band n50, 100MHz TDD)</t>
        </is>
      </c>
      <c r="Q1803" s="27">
        <f>ROUNDUP(O1803/'Methodology &amp; Assumptions'!$B$8, 0)</f>
        <v/>
      </c>
      <c r="R1803" s="27" t="n">
        <v>1</v>
      </c>
      <c r="S1803" s="26" t="n">
        <v>1.64</v>
      </c>
      <c r="T1803" s="26" t="n">
        <v>7.1</v>
      </c>
      <c r="U1803" s="11">
        <f>IF(S1803&lt;='Methodology &amp; Assumptions'!$B$10, "Direct Optical Drop (&lt;3km)", IF(S1803&lt;='Methodology &amp; Assumptions'!$B$9, "Near Optical / Microwave (&lt;5km)", "Starlink Business LEO Satellite Backhaul (&gt;5km)"))</f>
        <v/>
      </c>
      <c r="V1803" s="26" t="n">
        <v>77.09999999999999</v>
      </c>
      <c r="W1803" s="26" t="n">
        <v>38.05</v>
      </c>
      <c r="X1803" s="26">
        <f>ROUND(('Methodology &amp; Assumptions'!$B$5*V1803) + ('Methodology &amp; Assumptions'!$B$6*W1803), 2)</f>
        <v/>
      </c>
      <c r="Y1803" s="28" t="n">
        <v>17.4</v>
      </c>
      <c r="Z1803" s="11" t="inlineStr">
        <is>
          <t>Priority Tier 3 (Broadband Expansion)</t>
        </is>
      </c>
    </row>
    <row r="1804">
      <c r="A1804" s="23" t="n">
        <v>5</v>
      </c>
      <c r="B1804" s="23" t="n">
        <v>800</v>
      </c>
      <c r="C1804" s="23" t="n">
        <v>4800</v>
      </c>
      <c r="D1804" s="23" t="inlineStr">
        <is>
          <t>0604515023</t>
        </is>
      </c>
      <c r="E1804" s="11" t="inlineStr">
        <is>
          <t>Region VI (Western Visayas)</t>
        </is>
      </c>
      <c r="F1804" s="11" t="inlineStr">
        <is>
          <t>Negros Occidental</t>
        </is>
      </c>
      <c r="G1804" s="11" t="inlineStr">
        <is>
          <t>City of Kabankalan</t>
        </is>
      </c>
      <c r="H1804" s="11" t="inlineStr">
        <is>
          <t>Barangay 2</t>
        </is>
      </c>
      <c r="I1804" s="24" t="n">
        <v>9.995623</v>
      </c>
      <c r="J1804" s="24" t="n">
        <v>122.81101</v>
      </c>
      <c r="K1804" s="23" t="inlineStr">
        <is>
          <t>U</t>
        </is>
      </c>
      <c r="L1804" s="25" t="n">
        <v>1675</v>
      </c>
      <c r="M1804" s="26" t="n">
        <v>3.7</v>
      </c>
      <c r="N1804" s="25">
        <f>ROUND(L1804/M1804, 0)</f>
        <v/>
      </c>
      <c r="O1804" s="25">
        <f>ROUND(N1804*'Methodology &amp; Assumptions'!$B$7, 0)</f>
        <v/>
      </c>
      <c r="P1804" s="23" t="inlineStr">
        <is>
          <t>Single Carrier (Band n50, 100MHz TDD)</t>
        </is>
      </c>
      <c r="Q1804" s="27">
        <f>ROUNDUP(O1804/'Methodology &amp; Assumptions'!$B$8, 0)</f>
        <v/>
      </c>
      <c r="R1804" s="27" t="n">
        <v>1</v>
      </c>
      <c r="S1804" s="26" t="n">
        <v>0.54</v>
      </c>
      <c r="T1804" s="26" t="n">
        <v>0.48</v>
      </c>
      <c r="U1804" s="11">
        <f>IF(S1804&lt;='Methodology &amp; Assumptions'!$B$10, "Direct Optical Drop (&lt;3km)", IF(S1804&lt;='Methodology &amp; Assumptions'!$B$9, "Near Optical / Microwave (&lt;5km)", "Starlink Business LEO Satellite Backhaul (&gt;5km)"))</f>
        <v/>
      </c>
      <c r="V1804" s="26" t="n">
        <v>68.05</v>
      </c>
      <c r="W1804" s="26" t="n">
        <v>47.09</v>
      </c>
      <c r="X1804" s="26">
        <f>ROUND(('Methodology &amp; Assumptions'!$B$5*V1804) + ('Methodology &amp; Assumptions'!$B$6*W1804), 2)</f>
        <v/>
      </c>
      <c r="Y1804" s="28" t="n">
        <v>23.7</v>
      </c>
      <c r="Z1804" s="11" t="inlineStr">
        <is>
          <t>Priority Tier 3 (Broadband Expansion)</t>
        </is>
      </c>
    </row>
    <row r="1805">
      <c r="A1805" s="23" t="n">
        <v>5</v>
      </c>
      <c r="B1805" s="23" t="n">
        <v>801</v>
      </c>
      <c r="C1805" s="23" t="n">
        <v>4801</v>
      </c>
      <c r="D1805" s="23" t="inlineStr">
        <is>
          <t>0102906037</t>
        </is>
      </c>
      <c r="E1805" s="11" t="inlineStr">
        <is>
          <t>Region I (Ilocos Region)</t>
        </is>
      </c>
      <c r="F1805" s="11" t="inlineStr">
        <is>
          <t>Ilocos Sur</t>
        </is>
      </c>
      <c r="G1805" s="11" t="inlineStr">
        <is>
          <t>City of Candon</t>
        </is>
      </c>
      <c r="H1805" s="11" t="inlineStr">
        <is>
          <t>San Isidro</t>
        </is>
      </c>
      <c r="I1805" s="24" t="n">
        <v>17.18897</v>
      </c>
      <c r="J1805" s="24" t="n">
        <v>120.446565</v>
      </c>
      <c r="K1805" s="23" t="inlineStr">
        <is>
          <t>U</t>
        </is>
      </c>
      <c r="L1805" s="25" t="n">
        <v>1868</v>
      </c>
      <c r="M1805" s="26" t="n">
        <v>3.8</v>
      </c>
      <c r="N1805" s="25">
        <f>ROUND(L1805/M1805, 0)</f>
        <v/>
      </c>
      <c r="O1805" s="25">
        <f>ROUND(N1805*'Methodology &amp; Assumptions'!$B$7, 0)</f>
        <v/>
      </c>
      <c r="P1805" s="23" t="inlineStr">
        <is>
          <t>Single Carrier (Band n50, 100MHz TDD)</t>
        </is>
      </c>
      <c r="Q1805" s="27">
        <f>ROUNDUP(O1805/'Methodology &amp; Assumptions'!$B$8, 0)</f>
        <v/>
      </c>
      <c r="R1805" s="27" t="n">
        <v>1</v>
      </c>
      <c r="S1805" s="26" t="n">
        <v>0.32</v>
      </c>
      <c r="T1805" s="26" t="n">
        <v>0.14</v>
      </c>
      <c r="U1805" s="11">
        <f>IF(S1805&lt;='Methodology &amp; Assumptions'!$B$10, "Direct Optical Drop (&lt;3km)", IF(S1805&lt;='Methodology &amp; Assumptions'!$B$9, "Near Optical / Microwave (&lt;5km)", "Starlink Business LEO Satellite Backhaul (&gt;5km)"))</f>
        <v/>
      </c>
      <c r="V1805" s="26" t="n">
        <v>67.86</v>
      </c>
      <c r="W1805" s="26" t="n">
        <v>47.29</v>
      </c>
      <c r="X1805" s="26">
        <f>ROUND(('Methodology &amp; Assumptions'!$B$5*V1805) + ('Methodology &amp; Assumptions'!$B$6*W1805), 2)</f>
        <v/>
      </c>
      <c r="Y1805" s="28" t="n">
        <v>8.300000000000001</v>
      </c>
      <c r="Z1805" s="11" t="inlineStr">
        <is>
          <t>Priority Tier 3 (Broadband Expansion)</t>
        </is>
      </c>
    </row>
    <row r="1806">
      <c r="A1806" s="23" t="n">
        <v>5</v>
      </c>
      <c r="B1806" s="23" t="n">
        <v>802</v>
      </c>
      <c r="C1806" s="23" t="n">
        <v>4802</v>
      </c>
      <c r="D1806" s="23" t="inlineStr">
        <is>
          <t>1401111009</t>
        </is>
      </c>
      <c r="E1806" s="11" t="inlineStr">
        <is>
          <t>Cordillera Administrative Region (CAR)</t>
        </is>
      </c>
      <c r="F1806" s="11" t="inlineStr">
        <is>
          <t>Benguet</t>
        </is>
      </c>
      <c r="G1806" s="11" t="inlineStr">
        <is>
          <t>Mankayan</t>
        </is>
      </c>
      <c r="H1806" s="11" t="inlineStr">
        <is>
          <t>Palasaan</t>
        </is>
      </c>
      <c r="I1806" s="24" t="n">
        <v>16.8216</v>
      </c>
      <c r="J1806" s="24" t="n">
        <v>120.80375</v>
      </c>
      <c r="K1806" s="23" t="inlineStr">
        <is>
          <t>R</t>
        </is>
      </c>
      <c r="L1806" s="25" t="n">
        <v>3052</v>
      </c>
      <c r="M1806" s="26" t="n">
        <v>3.5</v>
      </c>
      <c r="N1806" s="25">
        <f>ROUND(L1806/M1806, 0)</f>
        <v/>
      </c>
      <c r="O1806" s="25">
        <f>ROUND(N1806*'Methodology &amp; Assumptions'!$B$7, 0)</f>
        <v/>
      </c>
      <c r="P1806" s="23" t="inlineStr">
        <is>
          <t>Single Carrier (Band n50, 100MHz TDD)</t>
        </is>
      </c>
      <c r="Q1806" s="27">
        <f>ROUNDUP(O1806/'Methodology &amp; Assumptions'!$B$8, 0)</f>
        <v/>
      </c>
      <c r="R1806" s="27" t="n">
        <v>1</v>
      </c>
      <c r="S1806" s="26" t="n">
        <v>2.74</v>
      </c>
      <c r="T1806" s="26" t="n">
        <v>1.39</v>
      </c>
      <c r="U1806" s="11">
        <f>IF(S1806&lt;='Methodology &amp; Assumptions'!$B$10, "Direct Optical Drop (&lt;3km)", IF(S1806&lt;='Methodology &amp; Assumptions'!$B$9, "Near Optical / Microwave (&lt;5km)", "Starlink Business LEO Satellite Backhaul (&gt;5km)"))</f>
        <v/>
      </c>
      <c r="V1806" s="26" t="n">
        <v>79.38</v>
      </c>
      <c r="W1806" s="26" t="n">
        <v>35.73</v>
      </c>
      <c r="X1806" s="26">
        <f>ROUND(('Methodology &amp; Assumptions'!$B$5*V1806) + ('Methodology &amp; Assumptions'!$B$6*W1806), 2)</f>
        <v/>
      </c>
      <c r="Y1806" s="28" t="n">
        <v>10.9</v>
      </c>
      <c r="Z1806" s="11" t="inlineStr">
        <is>
          <t>Priority Tier 3 (Broadband Expansion)</t>
        </is>
      </c>
    </row>
    <row r="1807">
      <c r="A1807" s="23" t="n">
        <v>5</v>
      </c>
      <c r="B1807" s="23" t="n">
        <v>803</v>
      </c>
      <c r="C1807" s="23" t="n">
        <v>4803</v>
      </c>
      <c r="D1807" s="23" t="inlineStr">
        <is>
          <t>0306906001</t>
        </is>
      </c>
      <c r="E1807" s="11" t="inlineStr">
        <is>
          <t>Region III (Central Luzon)</t>
        </is>
      </c>
      <c r="F1807" s="11" t="inlineStr">
        <is>
          <t>Tarlac</t>
        </is>
      </c>
      <c r="G1807" s="11" t="inlineStr">
        <is>
          <t>Gerona</t>
        </is>
      </c>
      <c r="H1807" s="11" t="inlineStr">
        <is>
          <t>Abagon</t>
        </is>
      </c>
      <c r="I1807" s="24" t="n">
        <v>15.609722</v>
      </c>
      <c r="J1807" s="24" t="n">
        <v>120.607778</v>
      </c>
      <c r="K1807" s="23" t="inlineStr">
        <is>
          <t>U</t>
        </is>
      </c>
      <c r="L1807" s="25" t="n">
        <v>4879</v>
      </c>
      <c r="M1807" s="26" t="n">
        <v>3.9</v>
      </c>
      <c r="N1807" s="25">
        <f>ROUND(L1807/M1807, 0)</f>
        <v/>
      </c>
      <c r="O1807" s="25">
        <f>ROUND(N1807*'Methodology &amp; Assumptions'!$B$7, 0)</f>
        <v/>
      </c>
      <c r="P1807" s="23" t="inlineStr">
        <is>
          <t>Single Carrier (Band n50, 100MHz TDD)</t>
        </is>
      </c>
      <c r="Q1807" s="27">
        <f>ROUNDUP(O1807/'Methodology &amp; Assumptions'!$B$8, 0)</f>
        <v/>
      </c>
      <c r="R1807" s="27" t="n">
        <v>1</v>
      </c>
      <c r="S1807" s="26" t="n">
        <v>1.26</v>
      </c>
      <c r="T1807" s="26" t="n">
        <v>0.28</v>
      </c>
      <c r="U1807" s="11">
        <f>IF(S1807&lt;='Methodology &amp; Assumptions'!$B$10, "Direct Optical Drop (&lt;3km)", IF(S1807&lt;='Methodology &amp; Assumptions'!$B$9, "Near Optical / Microwave (&lt;5km)", "Starlink Business LEO Satellite Backhaul (&gt;5km)"))</f>
        <v/>
      </c>
      <c r="V1807" s="26" t="n">
        <v>76.81999999999999</v>
      </c>
      <c r="W1807" s="26" t="n">
        <v>38.29</v>
      </c>
      <c r="X1807" s="26">
        <f>ROUND(('Methodology &amp; Assumptions'!$B$5*V1807) + ('Methodology &amp; Assumptions'!$B$6*W1807), 2)</f>
        <v/>
      </c>
      <c r="Y1807" s="28" t="n">
        <v>8.300000000000001</v>
      </c>
      <c r="Z1807" s="11" t="inlineStr">
        <is>
          <t>Priority Tier 3 (Broadband Expansion)</t>
        </is>
      </c>
    </row>
    <row r="1808">
      <c r="A1808" s="23" t="n">
        <v>5</v>
      </c>
      <c r="B1808" s="23" t="n">
        <v>804</v>
      </c>
      <c r="C1808" s="23" t="n">
        <v>4804</v>
      </c>
      <c r="D1808" s="23" t="inlineStr">
        <is>
          <t>0301405012</t>
        </is>
      </c>
      <c r="E1808" s="11" t="inlineStr">
        <is>
          <t>Region III (Central Luzon)</t>
        </is>
      </c>
      <c r="F1808" s="11" t="inlineStr">
        <is>
          <t>Bulacan</t>
        </is>
      </c>
      <c r="G1808" s="11" t="inlineStr">
        <is>
          <t>Bulacan</t>
        </is>
      </c>
      <c r="H1808" s="11" t="inlineStr">
        <is>
          <t>San Nicolas</t>
        </is>
      </c>
      <c r="I1808" s="24" t="n">
        <v>14.797933</v>
      </c>
      <c r="J1808" s="24" t="n">
        <v>120.866864</v>
      </c>
      <c r="K1808" s="23" t="inlineStr">
        <is>
          <t>U</t>
        </is>
      </c>
      <c r="L1808" s="25" t="n">
        <v>6563</v>
      </c>
      <c r="M1808" s="26" t="n">
        <v>3.5</v>
      </c>
      <c r="N1808" s="25">
        <f>ROUND(L1808/M1808, 0)</f>
        <v/>
      </c>
      <c r="O1808" s="25">
        <f>ROUND(N1808*'Methodology &amp; Assumptions'!$B$7, 0)</f>
        <v/>
      </c>
      <c r="P1808" s="23" t="inlineStr">
        <is>
          <t>Single Carrier (Band n50, 100MHz TDD)</t>
        </is>
      </c>
      <c r="Q1808" s="27">
        <f>ROUNDUP(O1808/'Methodology &amp; Assumptions'!$B$8, 0)</f>
        <v/>
      </c>
      <c r="R1808" s="27" t="n">
        <v>1</v>
      </c>
      <c r="S1808" s="26" t="n">
        <v>1.22</v>
      </c>
      <c r="T1808" s="26" t="n">
        <v>3.48</v>
      </c>
      <c r="U1808" s="11">
        <f>IF(S1808&lt;='Methodology &amp; Assumptions'!$B$10, "Direct Optical Drop (&lt;3km)", IF(S1808&lt;='Methodology &amp; Assumptions'!$B$9, "Near Optical / Microwave (&lt;5km)", "Starlink Business LEO Satellite Backhaul (&gt;5km)"))</f>
        <v/>
      </c>
      <c r="V1808" s="26" t="n">
        <v>73.48999999999999</v>
      </c>
      <c r="W1808" s="26" t="n">
        <v>41.62</v>
      </c>
      <c r="X1808" s="26">
        <f>ROUND(('Methodology &amp; Assumptions'!$B$5*V1808) + ('Methodology &amp; Assumptions'!$B$6*W1808), 2)</f>
        <v/>
      </c>
      <c r="Y1808" s="28" t="n">
        <v>8.300000000000001</v>
      </c>
      <c r="Z1808" s="11" t="inlineStr">
        <is>
          <t>Priority Tier 3 (Broadband Expansion)</t>
        </is>
      </c>
    </row>
    <row r="1809">
      <c r="A1809" s="23" t="n">
        <v>5</v>
      </c>
      <c r="B1809" s="23" t="n">
        <v>805</v>
      </c>
      <c r="C1809" s="23" t="n">
        <v>4805</v>
      </c>
      <c r="D1809" s="23" t="inlineStr">
        <is>
          <t>0307110008</t>
        </is>
      </c>
      <c r="E1809" s="11" t="inlineStr">
        <is>
          <t>Region III (Central Luzon)</t>
        </is>
      </c>
      <c r="F1809" s="11" t="inlineStr">
        <is>
          <t>Zambales</t>
        </is>
      </c>
      <c r="G1809" s="11" t="inlineStr">
        <is>
          <t>San Felipe</t>
        </is>
      </c>
      <c r="H1809" s="11" t="inlineStr">
        <is>
          <t>Rosete</t>
        </is>
      </c>
      <c r="I1809" s="24" t="n">
        <v>15.066211</v>
      </c>
      <c r="J1809" s="24" t="n">
        <v>120.079522</v>
      </c>
      <c r="K1809" s="23" t="inlineStr">
        <is>
          <t>R</t>
        </is>
      </c>
      <c r="L1809" s="25" t="n">
        <v>1582</v>
      </c>
      <c r="M1809" s="26" t="n">
        <v>3.8</v>
      </c>
      <c r="N1809" s="25">
        <f>ROUND(L1809/M1809, 0)</f>
        <v/>
      </c>
      <c r="O1809" s="25">
        <f>ROUND(N1809*'Methodology &amp; Assumptions'!$B$7, 0)</f>
        <v/>
      </c>
      <c r="P1809" s="23" t="inlineStr">
        <is>
          <t>Single Carrier (Band n50, 100MHz TDD)</t>
        </is>
      </c>
      <c r="Q1809" s="27">
        <f>ROUNDUP(O1809/'Methodology &amp; Assumptions'!$B$8, 0)</f>
        <v/>
      </c>
      <c r="R1809" s="27" t="n">
        <v>1</v>
      </c>
      <c r="S1809" s="26" t="n">
        <v>1.22</v>
      </c>
      <c r="T1809" s="26" t="n">
        <v>1.23</v>
      </c>
      <c r="U1809" s="11">
        <f>IF(S1809&lt;='Methodology &amp; Assumptions'!$B$10, "Direct Optical Drop (&lt;3km)", IF(S1809&lt;='Methodology &amp; Assumptions'!$B$9, "Near Optical / Microwave (&lt;5km)", "Starlink Business LEO Satellite Backhaul (&gt;5km)"))</f>
        <v/>
      </c>
      <c r="V1809" s="26" t="n">
        <v>71.11</v>
      </c>
      <c r="W1809" s="26" t="n">
        <v>44.01</v>
      </c>
      <c r="X1809" s="26">
        <f>ROUND(('Methodology &amp; Assumptions'!$B$5*V1809) + ('Methodology &amp; Assumptions'!$B$6*W1809), 2)</f>
        <v/>
      </c>
      <c r="Y1809" s="28" t="n">
        <v>8.300000000000001</v>
      </c>
      <c r="Z1809" s="11" t="inlineStr">
        <is>
          <t>Priority Tier 3 (Broadband Expansion)</t>
        </is>
      </c>
    </row>
    <row r="1810">
      <c r="A1810" s="23" t="n">
        <v>5</v>
      </c>
      <c r="B1810" s="23" t="n">
        <v>806</v>
      </c>
      <c r="C1810" s="23" t="n">
        <v>4806</v>
      </c>
      <c r="D1810" s="23" t="inlineStr">
        <is>
          <t>1907011013</t>
        </is>
      </c>
      <c r="E1810" s="11" t="inlineStr">
        <is>
          <t>Bangsamoro Autonomous Region In Muslim Mindanao (BARMM)</t>
        </is>
      </c>
      <c r="F1810" s="11" t="inlineStr">
        <is>
          <t>Tawi-Tawi</t>
        </is>
      </c>
      <c r="G1810" s="11" t="inlineStr">
        <is>
          <t>Sibutu</t>
        </is>
      </c>
      <c r="H1810" s="11" t="inlineStr">
        <is>
          <t>Taungoh</t>
        </is>
      </c>
      <c r="I1810" s="24" t="n">
        <v>4.708893</v>
      </c>
      <c r="J1810" s="24" t="n">
        <v>119.493479</v>
      </c>
      <c r="K1810" s="23" t="inlineStr">
        <is>
          <t>R</t>
        </is>
      </c>
      <c r="L1810" s="25" t="n">
        <v>3655</v>
      </c>
      <c r="M1810" s="26" t="n">
        <v>5.8</v>
      </c>
      <c r="N1810" s="25">
        <f>ROUND(L1810/M1810, 0)</f>
        <v/>
      </c>
      <c r="O1810" s="25">
        <f>ROUND(N1810*'Methodology &amp; Assumptions'!$B$7, 0)</f>
        <v/>
      </c>
      <c r="P1810" s="23" t="inlineStr">
        <is>
          <t>Single Carrier (Band n50, 100MHz TDD)</t>
        </is>
      </c>
      <c r="Q1810" s="27">
        <f>ROUNDUP(O1810/'Methodology &amp; Assumptions'!$B$8, 0)</f>
        <v/>
      </c>
      <c r="R1810" s="27" t="n">
        <v>1</v>
      </c>
      <c r="S1810" s="26" t="n">
        <v>999</v>
      </c>
      <c r="T1810" s="26" t="n">
        <v>999</v>
      </c>
      <c r="U1810" s="11">
        <f>IF(S1810&lt;='Methodology &amp; Assumptions'!$B$10, "Direct Optical Drop (&lt;3km)", IF(S1810&lt;='Methodology &amp; Assumptions'!$B$9, "Near Optical / Microwave (&lt;5km)", "Starlink Business LEO Satellite Backhaul (&gt;5km)"))</f>
        <v/>
      </c>
      <c r="V1810" s="26" t="n">
        <v>51.29</v>
      </c>
      <c r="W1810" s="26" t="n">
        <v>63.82</v>
      </c>
      <c r="X1810" s="26">
        <f>ROUND(('Methodology &amp; Assumptions'!$B$5*V1810) + ('Methodology &amp; Assumptions'!$B$6*W1810), 2)</f>
        <v/>
      </c>
      <c r="Y1810" s="28" t="n">
        <v>11</v>
      </c>
      <c r="Z1810" s="11" t="inlineStr">
        <is>
          <t>Priority Tier 3 (Broadband Expansion)</t>
        </is>
      </c>
    </row>
    <row r="1811">
      <c r="A1811" s="23" t="n">
        <v>5</v>
      </c>
      <c r="B1811" s="23" t="n">
        <v>807</v>
      </c>
      <c r="C1811" s="23" t="n">
        <v>4807</v>
      </c>
      <c r="D1811" s="23" t="inlineStr">
        <is>
          <t>0803738082</t>
        </is>
      </c>
      <c r="E1811" s="11" t="inlineStr">
        <is>
          <t>Region VIII (Eastern Visayas)</t>
        </is>
      </c>
      <c r="F1811" s="11" t="inlineStr">
        <is>
          <t>Leyte</t>
        </is>
      </c>
      <c r="G1811" s="11" t="inlineStr">
        <is>
          <t>Ormoc City</t>
        </is>
      </c>
      <c r="H1811" s="11" t="inlineStr">
        <is>
          <t>San Isidro</t>
        </is>
      </c>
      <c r="I1811" s="24" t="n">
        <v>11.058576</v>
      </c>
      <c r="J1811" s="24" t="n">
        <v>124.38352</v>
      </c>
      <c r="K1811" s="23" t="inlineStr">
        <is>
          <t>U</t>
        </is>
      </c>
      <c r="L1811" s="25" t="n">
        <v>6373</v>
      </c>
      <c r="M1811" s="26" t="n">
        <v>3.8</v>
      </c>
      <c r="N1811" s="25">
        <f>ROUND(L1811/M1811, 0)</f>
        <v/>
      </c>
      <c r="O1811" s="25">
        <f>ROUND(N1811*'Methodology &amp; Assumptions'!$B$7, 0)</f>
        <v/>
      </c>
      <c r="P1811" s="23" t="inlineStr">
        <is>
          <t>Single Carrier (Band n50, 100MHz TDD)</t>
        </is>
      </c>
      <c r="Q1811" s="27">
        <f>ROUNDUP(O1811/'Methodology &amp; Assumptions'!$B$8, 0)</f>
        <v/>
      </c>
      <c r="R1811" s="27" t="n">
        <v>1</v>
      </c>
      <c r="S1811" s="26" t="n">
        <v>0.82</v>
      </c>
      <c r="T1811" s="26" t="n">
        <v>0.98</v>
      </c>
      <c r="U1811" s="11">
        <f>IF(S1811&lt;='Methodology &amp; Assumptions'!$B$10, "Direct Optical Drop (&lt;3km)", IF(S1811&lt;='Methodology &amp; Assumptions'!$B$9, "Near Optical / Microwave (&lt;5km)", "Starlink Business LEO Satellite Backhaul (&gt;5km)"))</f>
        <v/>
      </c>
      <c r="V1811" s="26" t="n">
        <v>80.86</v>
      </c>
      <c r="W1811" s="26" t="n">
        <v>34.24</v>
      </c>
      <c r="X1811" s="26">
        <f>ROUND(('Methodology &amp; Assumptions'!$B$5*V1811) + ('Methodology &amp; Assumptions'!$B$6*W1811), 2)</f>
        <v/>
      </c>
      <c r="Y1811" s="28" t="n">
        <v>23.7</v>
      </c>
      <c r="Z1811" s="11" t="inlineStr">
        <is>
          <t>Priority Tier 3 (Broadband Expansion)</t>
        </is>
      </c>
    </row>
    <row r="1812">
      <c r="A1812" s="23" t="n">
        <v>5</v>
      </c>
      <c r="B1812" s="23" t="n">
        <v>808</v>
      </c>
      <c r="C1812" s="23" t="n">
        <v>4808</v>
      </c>
      <c r="D1812" s="23" t="inlineStr">
        <is>
          <t>0604528011</t>
        </is>
      </c>
      <c r="E1812" s="11" t="inlineStr">
        <is>
          <t>Region VI (Western Visayas)</t>
        </is>
      </c>
      <c r="F1812" s="11" t="inlineStr">
        <is>
          <t>Negros Occidental</t>
        </is>
      </c>
      <c r="G1812" s="11" t="inlineStr">
        <is>
          <t>City of Talisay</t>
        </is>
      </c>
      <c r="H1812" s="11" t="inlineStr">
        <is>
          <t>Efigenio Lizares</t>
        </is>
      </c>
      <c r="I1812" s="24" t="n">
        <v>10.742149</v>
      </c>
      <c r="J1812" s="24" t="n">
        <v>122.998388</v>
      </c>
      <c r="K1812" s="23" t="inlineStr">
        <is>
          <t>R</t>
        </is>
      </c>
      <c r="L1812" s="25" t="n">
        <v>4695</v>
      </c>
      <c r="M1812" s="26" t="n">
        <v>3.7</v>
      </c>
      <c r="N1812" s="25">
        <f>ROUND(L1812/M1812, 0)</f>
        <v/>
      </c>
      <c r="O1812" s="25">
        <f>ROUND(N1812*'Methodology &amp; Assumptions'!$B$7, 0)</f>
        <v/>
      </c>
      <c r="P1812" s="23" t="inlineStr">
        <is>
          <t>Single Carrier (Band n50, 100MHz TDD)</t>
        </is>
      </c>
      <c r="Q1812" s="27">
        <f>ROUNDUP(O1812/'Methodology &amp; Assumptions'!$B$8, 0)</f>
        <v/>
      </c>
      <c r="R1812" s="27" t="n">
        <v>1</v>
      </c>
      <c r="S1812" s="26" t="n">
        <v>3.36</v>
      </c>
      <c r="T1812" s="26" t="n">
        <v>0.12</v>
      </c>
      <c r="U1812" s="11">
        <f>IF(S1812&lt;='Methodology &amp; Assumptions'!$B$10, "Direct Optical Drop (&lt;3km)", IF(S1812&lt;='Methodology &amp; Assumptions'!$B$9, "Near Optical / Microwave (&lt;5km)", "Starlink Business LEO Satellite Backhaul (&gt;5km)"))</f>
        <v/>
      </c>
      <c r="V1812" s="26" t="n">
        <v>79.79000000000001</v>
      </c>
      <c r="W1812" s="26" t="n">
        <v>35.3</v>
      </c>
      <c r="X1812" s="26">
        <f>ROUND(('Methodology &amp; Assumptions'!$B$5*V1812) + ('Methodology &amp; Assumptions'!$B$6*W1812), 2)</f>
        <v/>
      </c>
      <c r="Y1812" s="28" t="n">
        <v>23.7</v>
      </c>
      <c r="Z1812" s="11" t="inlineStr">
        <is>
          <t>Priority Tier 3 (Broadband Expansion)</t>
        </is>
      </c>
    </row>
    <row r="1813">
      <c r="A1813" s="23" t="n">
        <v>5</v>
      </c>
      <c r="B1813" s="23" t="n">
        <v>809</v>
      </c>
      <c r="C1813" s="23" t="n">
        <v>4809</v>
      </c>
      <c r="D1813" s="23" t="inlineStr">
        <is>
          <t>0401001021</t>
        </is>
      </c>
      <c r="E1813" s="11" t="inlineStr">
        <is>
          <t>Region IV-A (CALABARZON)</t>
        </is>
      </c>
      <c r="F1813" s="11" t="inlineStr">
        <is>
          <t>Batangas</t>
        </is>
      </c>
      <c r="G1813" s="11" t="inlineStr">
        <is>
          <t>Agoncillo</t>
        </is>
      </c>
      <c r="H1813" s="11" t="inlineStr">
        <is>
          <t>Subic Ibaba</t>
        </is>
      </c>
      <c r="I1813" s="24" t="n">
        <v>13.948796</v>
      </c>
      <c r="J1813" s="24" t="n">
        <v>120.944329</v>
      </c>
      <c r="K1813" s="23" t="inlineStr">
        <is>
          <t>R</t>
        </is>
      </c>
      <c r="L1813" s="25" t="n">
        <v>3755</v>
      </c>
      <c r="M1813" s="26" t="n">
        <v>3.6</v>
      </c>
      <c r="N1813" s="25">
        <f>ROUND(L1813/M1813, 0)</f>
        <v/>
      </c>
      <c r="O1813" s="25">
        <f>ROUND(N1813*'Methodology &amp; Assumptions'!$B$7, 0)</f>
        <v/>
      </c>
      <c r="P1813" s="23" t="inlineStr">
        <is>
          <t>Single Carrier (Band n50, 100MHz TDD)</t>
        </is>
      </c>
      <c r="Q1813" s="27">
        <f>ROUNDUP(O1813/'Methodology &amp; Assumptions'!$B$8, 0)</f>
        <v/>
      </c>
      <c r="R1813" s="27" t="n">
        <v>1</v>
      </c>
      <c r="S1813" s="26" t="n">
        <v>1.65</v>
      </c>
      <c r="T1813" s="26" t="n">
        <v>6.16</v>
      </c>
      <c r="U1813" s="11">
        <f>IF(S1813&lt;='Methodology &amp; Assumptions'!$B$10, "Direct Optical Drop (&lt;3km)", IF(S1813&lt;='Methodology &amp; Assumptions'!$B$9, "Near Optical / Microwave (&lt;5km)", "Starlink Business LEO Satellite Backhaul (&gt;5km)"))</f>
        <v/>
      </c>
      <c r="V1813" s="26" t="n">
        <v>78.95</v>
      </c>
      <c r="W1813" s="26" t="n">
        <v>36.16</v>
      </c>
      <c r="X1813" s="26">
        <f>ROUND(('Methodology &amp; Assumptions'!$B$5*V1813) + ('Methodology &amp; Assumptions'!$B$6*W1813), 2)</f>
        <v/>
      </c>
      <c r="Y1813" s="28" t="n">
        <v>7.2</v>
      </c>
      <c r="Z1813" s="11" t="inlineStr">
        <is>
          <t>Priority Tier 3 (Broadband Expansion)</t>
        </is>
      </c>
    </row>
    <row r="1814">
      <c r="A1814" s="23" t="n">
        <v>5</v>
      </c>
      <c r="B1814" s="23" t="n">
        <v>810</v>
      </c>
      <c r="C1814" s="23" t="n">
        <v>4810</v>
      </c>
      <c r="D1814" s="23" t="inlineStr">
        <is>
          <t>0306916023</t>
        </is>
      </c>
      <c r="E1814" s="11" t="inlineStr">
        <is>
          <t>Region III (Central Luzon)</t>
        </is>
      </c>
      <c r="F1814" s="11" t="inlineStr">
        <is>
          <t>Tarlac</t>
        </is>
      </c>
      <c r="G1814" s="11" t="inlineStr">
        <is>
          <t>City of Tarlac</t>
        </is>
      </c>
      <c r="H1814" s="11" t="inlineStr">
        <is>
          <t>Burot</t>
        </is>
      </c>
      <c r="I1814" s="24" t="n">
        <v>15.413731</v>
      </c>
      <c r="J1814" s="24" t="n">
        <v>120.600099</v>
      </c>
      <c r="K1814" s="23" t="inlineStr">
        <is>
          <t>U</t>
        </is>
      </c>
      <c r="L1814" s="25" t="n">
        <v>8013</v>
      </c>
      <c r="M1814" s="26" t="n">
        <v>3.9</v>
      </c>
      <c r="N1814" s="25">
        <f>ROUND(L1814/M1814, 0)</f>
        <v/>
      </c>
      <c r="O1814" s="25">
        <f>ROUND(N1814*'Methodology &amp; Assumptions'!$B$7, 0)</f>
        <v/>
      </c>
      <c r="P1814" s="23" t="inlineStr">
        <is>
          <t>Single Carrier (Band n50, 100MHz TDD)</t>
        </is>
      </c>
      <c r="Q1814" s="27">
        <f>ROUNDUP(O1814/'Methodology &amp; Assumptions'!$B$8, 0)</f>
        <v/>
      </c>
      <c r="R1814" s="27" t="n">
        <v>1</v>
      </c>
      <c r="S1814" s="26" t="n">
        <v>0.15</v>
      </c>
      <c r="T1814" s="26" t="n">
        <v>0.12</v>
      </c>
      <c r="U1814" s="11">
        <f>IF(S1814&lt;='Methodology &amp; Assumptions'!$B$10, "Direct Optical Drop (&lt;3km)", IF(S1814&lt;='Methodology &amp; Assumptions'!$B$9, "Near Optical / Microwave (&lt;5km)", "Starlink Business LEO Satellite Backhaul (&gt;5km)"))</f>
        <v/>
      </c>
      <c r="V1814" s="26" t="n">
        <v>78.43000000000001</v>
      </c>
      <c r="W1814" s="26" t="n">
        <v>36.66</v>
      </c>
      <c r="X1814" s="26">
        <f>ROUND(('Methodology &amp; Assumptions'!$B$5*V1814) + ('Methodology &amp; Assumptions'!$B$6*W1814), 2)</f>
        <v/>
      </c>
      <c r="Y1814" s="28" t="n">
        <v>8.300000000000001</v>
      </c>
      <c r="Z1814" s="11" t="inlineStr">
        <is>
          <t>Priority Tier 3 (Broadband Expansion)</t>
        </is>
      </c>
    </row>
    <row r="1815">
      <c r="A1815" s="23" t="n">
        <v>5</v>
      </c>
      <c r="B1815" s="23" t="n">
        <v>811</v>
      </c>
      <c r="C1815" s="23" t="n">
        <v>4811</v>
      </c>
      <c r="D1815" s="23" t="inlineStr">
        <is>
          <t>0604521003</t>
        </is>
      </c>
      <c r="E1815" s="11" t="inlineStr">
        <is>
          <t>Region VI (Western Visayas)</t>
        </is>
      </c>
      <c r="F1815" s="11" t="inlineStr">
        <is>
          <t>Negros Occidental</t>
        </is>
      </c>
      <c r="G1815" s="11" t="inlineStr">
        <is>
          <t>Pontevedra</t>
        </is>
      </c>
      <c r="H1815" s="11" t="inlineStr">
        <is>
          <t>Barangay II</t>
        </is>
      </c>
      <c r="I1815" s="24" t="n">
        <v>10.373136</v>
      </c>
      <c r="J1815" s="24" t="n">
        <v>122.869904</v>
      </c>
      <c r="K1815" s="23" t="inlineStr">
        <is>
          <t>R</t>
        </is>
      </c>
      <c r="L1815" s="25" t="n">
        <v>2056</v>
      </c>
      <c r="M1815" s="26" t="n">
        <v>3.7</v>
      </c>
      <c r="N1815" s="25">
        <f>ROUND(L1815/M1815, 0)</f>
        <v/>
      </c>
      <c r="O1815" s="25">
        <f>ROUND(N1815*'Methodology &amp; Assumptions'!$B$7, 0)</f>
        <v/>
      </c>
      <c r="P1815" s="23" t="inlineStr">
        <is>
          <t>Single Carrier (Band n50, 100MHz TDD)</t>
        </is>
      </c>
      <c r="Q1815" s="27">
        <f>ROUNDUP(O1815/'Methodology &amp; Assumptions'!$B$8, 0)</f>
        <v/>
      </c>
      <c r="R1815" s="27" t="n">
        <v>1</v>
      </c>
      <c r="S1815" s="26" t="n">
        <v>0.2</v>
      </c>
      <c r="T1815" s="26" t="n">
        <v>0.21</v>
      </c>
      <c r="U1815" s="11">
        <f>IF(S1815&lt;='Methodology &amp; Assumptions'!$B$10, "Direct Optical Drop (&lt;3km)", IF(S1815&lt;='Methodology &amp; Assumptions'!$B$9, "Near Optical / Microwave (&lt;5km)", "Starlink Business LEO Satellite Backhaul (&gt;5km)"))</f>
        <v/>
      </c>
      <c r="V1815" s="26" t="n">
        <v>78.39</v>
      </c>
      <c r="W1815" s="26" t="n">
        <v>36.71</v>
      </c>
      <c r="X1815" s="26">
        <f>ROUND(('Methodology &amp; Assumptions'!$B$5*V1815) + ('Methodology &amp; Assumptions'!$B$6*W1815), 2)</f>
        <v/>
      </c>
      <c r="Y1815" s="28" t="n">
        <v>23.7</v>
      </c>
      <c r="Z1815" s="11" t="inlineStr">
        <is>
          <t>Priority Tier 3 (Broadband Expansion)</t>
        </is>
      </c>
    </row>
    <row r="1816">
      <c r="A1816" s="23" t="n">
        <v>5</v>
      </c>
      <c r="B1816" s="23" t="n">
        <v>812</v>
      </c>
      <c r="C1816" s="23" t="n">
        <v>4812</v>
      </c>
      <c r="D1816" s="23" t="inlineStr">
        <is>
          <t>1907010023</t>
        </is>
      </c>
      <c r="E1816" s="11" t="inlineStr">
        <is>
          <t>Bangsamoro Autonomous Region In Muslim Mindanao (BARMM)</t>
        </is>
      </c>
      <c r="F1816" s="11" t="inlineStr">
        <is>
          <t>Tawi-Tawi</t>
        </is>
      </c>
      <c r="G1816" s="11" t="inlineStr">
        <is>
          <t>Sapa-Sapa</t>
        </is>
      </c>
      <c r="H1816" s="11" t="inlineStr">
        <is>
          <t>Tup-tup Banaran</t>
        </is>
      </c>
      <c r="I1816" s="24" t="n">
        <v>5.02693</v>
      </c>
      <c r="J1816" s="24" t="n">
        <v>120.115623</v>
      </c>
      <c r="K1816" s="23" t="inlineStr">
        <is>
          <t>R</t>
        </is>
      </c>
      <c r="L1816" s="25" t="n">
        <v>1649</v>
      </c>
      <c r="M1816" s="26" t="n">
        <v>5.8</v>
      </c>
      <c r="N1816" s="25">
        <f>ROUND(L1816/M1816, 0)</f>
        <v/>
      </c>
      <c r="O1816" s="25">
        <f>ROUND(N1816*'Methodology &amp; Assumptions'!$B$7, 0)</f>
        <v/>
      </c>
      <c r="P1816" s="23" t="inlineStr">
        <is>
          <t>Single Carrier (Band n50, 100MHz TDD)</t>
        </is>
      </c>
      <c r="Q1816" s="27">
        <f>ROUNDUP(O1816/'Methodology &amp; Assumptions'!$B$8, 0)</f>
        <v/>
      </c>
      <c r="R1816" s="27" t="n">
        <v>1</v>
      </c>
      <c r="S1816" s="26" t="n">
        <v>999</v>
      </c>
      <c r="T1816" s="26" t="n">
        <v>999</v>
      </c>
      <c r="U1816" s="11">
        <f>IF(S1816&lt;='Methodology &amp; Assumptions'!$B$10, "Direct Optical Drop (&lt;3km)", IF(S1816&lt;='Methodology &amp; Assumptions'!$B$9, "Near Optical / Microwave (&lt;5km)", "Starlink Business LEO Satellite Backhaul (&gt;5km)"))</f>
        <v/>
      </c>
      <c r="V1816" s="26" t="n">
        <v>40.16</v>
      </c>
      <c r="W1816" s="26" t="n">
        <v>74.95</v>
      </c>
      <c r="X1816" s="26">
        <f>ROUND(('Methodology &amp; Assumptions'!$B$5*V1816) + ('Methodology &amp; Assumptions'!$B$6*W1816), 2)</f>
        <v/>
      </c>
      <c r="Y1816" s="28" t="n">
        <v>11</v>
      </c>
      <c r="Z1816" s="11" t="inlineStr">
        <is>
          <t>Priority Tier 3 (Broadband Expansion)</t>
        </is>
      </c>
    </row>
    <row r="1817">
      <c r="A1817" s="23" t="n">
        <v>5</v>
      </c>
      <c r="B1817" s="23" t="n">
        <v>813</v>
      </c>
      <c r="C1817" s="23" t="n">
        <v>4813</v>
      </c>
      <c r="D1817" s="23" t="inlineStr">
        <is>
          <t>0501703032</t>
        </is>
      </c>
      <c r="E1817" s="11" t="inlineStr">
        <is>
          <t>Region V (Bicol Region)</t>
        </is>
      </c>
      <c r="F1817" s="11" t="inlineStr">
        <is>
          <t>Camarines Sur</t>
        </is>
      </c>
      <c r="G1817" s="11" t="inlineStr">
        <is>
          <t>Bato</t>
        </is>
      </c>
      <c r="H1817" s="11" t="inlineStr">
        <is>
          <t>Santiago</t>
        </is>
      </c>
      <c r="I1817" s="24" t="n">
        <v>13.351166</v>
      </c>
      <c r="J1817" s="24" t="n">
        <v>123.37129</v>
      </c>
      <c r="K1817" s="23" t="inlineStr">
        <is>
          <t>R</t>
        </is>
      </c>
      <c r="L1817" s="25" t="n">
        <v>3579</v>
      </c>
      <c r="M1817" s="26" t="n">
        <v>4.2</v>
      </c>
      <c r="N1817" s="25">
        <f>ROUND(L1817/M1817, 0)</f>
        <v/>
      </c>
      <c r="O1817" s="25">
        <f>ROUND(N1817*'Methodology &amp; Assumptions'!$B$7, 0)</f>
        <v/>
      </c>
      <c r="P1817" s="23" t="inlineStr">
        <is>
          <t>Single Carrier (Band n50, 100MHz TDD)</t>
        </is>
      </c>
      <c r="Q1817" s="27">
        <f>ROUNDUP(O1817/'Methodology &amp; Assumptions'!$B$8, 0)</f>
        <v/>
      </c>
      <c r="R1817" s="27" t="n">
        <v>1</v>
      </c>
      <c r="S1817" s="26" t="n">
        <v>1.01</v>
      </c>
      <c r="T1817" s="26" t="n">
        <v>0.12</v>
      </c>
      <c r="U1817" s="11">
        <f>IF(S1817&lt;='Methodology &amp; Assumptions'!$B$10, "Direct Optical Drop (&lt;3km)", IF(S1817&lt;='Methodology &amp; Assumptions'!$B$9, "Near Optical / Microwave (&lt;5km)", "Starlink Business LEO Satellite Backhaul (&gt;5km)"))</f>
        <v/>
      </c>
      <c r="V1817" s="26" t="n">
        <v>86.76000000000001</v>
      </c>
      <c r="W1817" s="26" t="n">
        <v>28.31</v>
      </c>
      <c r="X1817" s="26">
        <f>ROUND(('Methodology &amp; Assumptions'!$B$5*V1817) + ('Methodology &amp; Assumptions'!$B$6*W1817), 2)</f>
        <v/>
      </c>
      <c r="Y1817" s="28" t="n">
        <v>23.7</v>
      </c>
      <c r="Z1817" s="11" t="inlineStr">
        <is>
          <t>Priority Tier 3 (Broadband Expansion)</t>
        </is>
      </c>
    </row>
    <row r="1818">
      <c r="A1818" s="23" t="n">
        <v>5</v>
      </c>
      <c r="B1818" s="23" t="n">
        <v>814</v>
      </c>
      <c r="C1818" s="23" t="n">
        <v>4814</v>
      </c>
      <c r="D1818" s="23" t="inlineStr">
        <is>
          <t>0702233015</t>
        </is>
      </c>
      <c r="E1818" s="11" t="inlineStr">
        <is>
          <t>Region VII (Central Visayas)</t>
        </is>
      </c>
      <c r="F1818" s="11" t="inlineStr">
        <is>
          <t>Cebu</t>
        </is>
      </c>
      <c r="G1818" s="11" t="inlineStr">
        <is>
          <t>Moalboal</t>
        </is>
      </c>
      <c r="H1818" s="11" t="inlineStr">
        <is>
          <t>Tunga</t>
        </is>
      </c>
      <c r="I1818" s="24" t="n">
        <v>9.952368999999999</v>
      </c>
      <c r="J1818" s="24" t="n">
        <v>123.400735</v>
      </c>
      <c r="K1818" s="23" t="inlineStr">
        <is>
          <t>R</t>
        </is>
      </c>
      <c r="L1818" s="25" t="n">
        <v>2927</v>
      </c>
      <c r="M1818" s="26" t="n">
        <v>3.8</v>
      </c>
      <c r="N1818" s="25">
        <f>ROUND(L1818/M1818, 0)</f>
        <v/>
      </c>
      <c r="O1818" s="25">
        <f>ROUND(N1818*'Methodology &amp; Assumptions'!$B$7, 0)</f>
        <v/>
      </c>
      <c r="P1818" s="23" t="inlineStr">
        <is>
          <t>Single Carrier (Band n50, 100MHz TDD)</t>
        </is>
      </c>
      <c r="Q1818" s="27">
        <f>ROUNDUP(O1818/'Methodology &amp; Assumptions'!$B$8, 0)</f>
        <v/>
      </c>
      <c r="R1818" s="27" t="n">
        <v>1</v>
      </c>
      <c r="S1818" s="26" t="n">
        <v>1.66</v>
      </c>
      <c r="T1818" s="26" t="n">
        <v>0.06</v>
      </c>
      <c r="U1818" s="11">
        <f>IF(S1818&lt;='Methodology &amp; Assumptions'!$B$10, "Direct Optical Drop (&lt;3km)", IF(S1818&lt;='Methodology &amp; Assumptions'!$B$9, "Near Optical / Microwave (&lt;5km)", "Starlink Business LEO Satellite Backhaul (&gt;5km)"))</f>
        <v/>
      </c>
      <c r="V1818" s="26" t="n">
        <v>81.83</v>
      </c>
      <c r="W1818" s="26" t="n">
        <v>33.24</v>
      </c>
      <c r="X1818" s="26">
        <f>ROUND(('Methodology &amp; Assumptions'!$B$5*V1818) + ('Methodology &amp; Assumptions'!$B$6*W1818), 2)</f>
        <v/>
      </c>
      <c r="Y1818" s="28" t="n">
        <v>23.7</v>
      </c>
      <c r="Z1818" s="11" t="inlineStr">
        <is>
          <t>Priority Tier 3 (Broadband Expansion)</t>
        </is>
      </c>
    </row>
    <row r="1819">
      <c r="A1819" s="23" t="n">
        <v>5</v>
      </c>
      <c r="B1819" s="23" t="n">
        <v>815</v>
      </c>
      <c r="C1819" s="23" t="n">
        <v>4815</v>
      </c>
      <c r="D1819" s="23" t="inlineStr">
        <is>
          <t>0103315019</t>
        </is>
      </c>
      <c r="E1819" s="11" t="inlineStr">
        <is>
          <t>Region I (Ilocos Region)</t>
        </is>
      </c>
      <c r="F1819" s="11" t="inlineStr">
        <is>
          <t>La Union</t>
        </is>
      </c>
      <c r="G1819" s="11" t="inlineStr">
        <is>
          <t>San Gabriel</t>
        </is>
      </c>
      <c r="H1819" s="11" t="inlineStr">
        <is>
          <t>Poblacion</t>
        </is>
      </c>
      <c r="I1819" s="24" t="n">
        <v>16.672704</v>
      </c>
      <c r="J1819" s="24" t="n">
        <v>120.402358</v>
      </c>
      <c r="K1819" s="23" t="inlineStr">
        <is>
          <t>R</t>
        </is>
      </c>
      <c r="L1819" s="25" t="n">
        <v>2834</v>
      </c>
      <c r="M1819" s="26" t="n">
        <v>3.7</v>
      </c>
      <c r="N1819" s="25">
        <f>ROUND(L1819/M1819, 0)</f>
        <v/>
      </c>
      <c r="O1819" s="25">
        <f>ROUND(N1819*'Methodology &amp; Assumptions'!$B$7, 0)</f>
        <v/>
      </c>
      <c r="P1819" s="23" t="inlineStr">
        <is>
          <t>Single Carrier (Band n50, 100MHz TDD)</t>
        </is>
      </c>
      <c r="Q1819" s="27">
        <f>ROUNDUP(O1819/'Methodology &amp; Assumptions'!$B$8, 0)</f>
        <v/>
      </c>
      <c r="R1819" s="27" t="n">
        <v>1</v>
      </c>
      <c r="S1819" s="26" t="n">
        <v>0.9399999999999999</v>
      </c>
      <c r="T1819" s="26" t="n">
        <v>6.66</v>
      </c>
      <c r="U1819" s="11">
        <f>IF(S1819&lt;='Methodology &amp; Assumptions'!$B$10, "Direct Optical Drop (&lt;3km)", IF(S1819&lt;='Methodology &amp; Assumptions'!$B$9, "Near Optical / Microwave (&lt;5km)", "Starlink Business LEO Satellite Backhaul (&gt;5km)"))</f>
        <v/>
      </c>
      <c r="V1819" s="26" t="n">
        <v>80.06</v>
      </c>
      <c r="W1819" s="26" t="n">
        <v>35.02</v>
      </c>
      <c r="X1819" s="26">
        <f>ROUND(('Methodology &amp; Assumptions'!$B$5*V1819) + ('Methodology &amp; Assumptions'!$B$6*W1819), 2)</f>
        <v/>
      </c>
      <c r="Y1819" s="28" t="n">
        <v>8.300000000000001</v>
      </c>
      <c r="Z1819" s="11" t="inlineStr">
        <is>
          <t>Priority Tier 3 (Broadband Expansion)</t>
        </is>
      </c>
    </row>
    <row r="1820">
      <c r="A1820" s="23" t="n">
        <v>5</v>
      </c>
      <c r="B1820" s="23" t="n">
        <v>816</v>
      </c>
      <c r="C1820" s="23" t="n">
        <v>4816</v>
      </c>
      <c r="D1820" s="23" t="inlineStr">
        <is>
          <t>0604530003</t>
        </is>
      </c>
      <c r="E1820" s="11" t="inlineStr">
        <is>
          <t>Region VI (Western Visayas)</t>
        </is>
      </c>
      <c r="F1820" s="11" t="inlineStr">
        <is>
          <t>Negros Occidental</t>
        </is>
      </c>
      <c r="G1820" s="11" t="inlineStr">
        <is>
          <t>Valladolid</t>
        </is>
      </c>
      <c r="H1820" s="11" t="inlineStr">
        <is>
          <t>Bagumbayan</t>
        </is>
      </c>
      <c r="I1820" s="24" t="n">
        <v>10.433827</v>
      </c>
      <c r="J1820" s="24" t="n">
        <v>122.829018</v>
      </c>
      <c r="K1820" s="23" t="inlineStr">
        <is>
          <t>R</t>
        </is>
      </c>
      <c r="L1820" s="25" t="n">
        <v>3767</v>
      </c>
      <c r="M1820" s="26" t="n">
        <v>3.7</v>
      </c>
      <c r="N1820" s="25">
        <f>ROUND(L1820/M1820, 0)</f>
        <v/>
      </c>
      <c r="O1820" s="25">
        <f>ROUND(N1820*'Methodology &amp; Assumptions'!$B$7, 0)</f>
        <v/>
      </c>
      <c r="P1820" s="23" t="inlineStr">
        <is>
          <t>Single Carrier (Band n50, 100MHz TDD)</t>
        </is>
      </c>
      <c r="Q1820" s="27">
        <f>ROUNDUP(O1820/'Methodology &amp; Assumptions'!$B$8, 0)</f>
        <v/>
      </c>
      <c r="R1820" s="27" t="n">
        <v>1</v>
      </c>
      <c r="S1820" s="26" t="n">
        <v>3.63</v>
      </c>
      <c r="T1820" s="26" t="n">
        <v>0.9</v>
      </c>
      <c r="U1820" s="11">
        <f>IF(S1820&lt;='Methodology &amp; Assumptions'!$B$10, "Direct Optical Drop (&lt;3km)", IF(S1820&lt;='Methodology &amp; Assumptions'!$B$9, "Near Optical / Microwave (&lt;5km)", "Starlink Business LEO Satellite Backhaul (&gt;5km)"))</f>
        <v/>
      </c>
      <c r="V1820" s="26" t="n">
        <v>79.19</v>
      </c>
      <c r="W1820" s="26" t="n">
        <v>35.88</v>
      </c>
      <c r="X1820" s="26">
        <f>ROUND(('Methodology &amp; Assumptions'!$B$5*V1820) + ('Methodology &amp; Assumptions'!$B$6*W1820), 2)</f>
        <v/>
      </c>
      <c r="Y1820" s="28" t="n">
        <v>23.7</v>
      </c>
      <c r="Z1820" s="11" t="inlineStr">
        <is>
          <t>Priority Tier 3 (Broadband Expansion)</t>
        </is>
      </c>
    </row>
    <row r="1821">
      <c r="A1821" s="23" t="n">
        <v>5</v>
      </c>
      <c r="B1821" s="23" t="n">
        <v>817</v>
      </c>
      <c r="C1821" s="23" t="n">
        <v>4817</v>
      </c>
      <c r="D1821" s="23" t="inlineStr">
        <is>
          <t>0601906002</t>
        </is>
      </c>
      <c r="E1821" s="11" t="inlineStr">
        <is>
          <t>Region VI (Western Visayas)</t>
        </is>
      </c>
      <c r="F1821" s="11" t="inlineStr">
        <is>
          <t>Capiz</t>
        </is>
      </c>
      <c r="G1821" s="11" t="inlineStr">
        <is>
          <t>Jamindan</t>
        </is>
      </c>
      <c r="H1821" s="11" t="inlineStr">
        <is>
          <t>Agbun-od</t>
        </is>
      </c>
      <c r="I1821" s="24" t="n">
        <v>11.47156</v>
      </c>
      <c r="J1821" s="24" t="n">
        <v>122.42736</v>
      </c>
      <c r="K1821" s="23" t="inlineStr">
        <is>
          <t>R</t>
        </is>
      </c>
      <c r="L1821" s="25" t="n">
        <v>988</v>
      </c>
      <c r="M1821" s="26" t="n">
        <v>3.8</v>
      </c>
      <c r="N1821" s="25">
        <f>ROUND(L1821/M1821, 0)</f>
        <v/>
      </c>
      <c r="O1821" s="25">
        <f>ROUND(N1821*'Methodology &amp; Assumptions'!$B$7, 0)</f>
        <v/>
      </c>
      <c r="P1821" s="23" t="inlineStr">
        <is>
          <t>Single Carrier (Band n50, 100MHz TDD)</t>
        </is>
      </c>
      <c r="Q1821" s="27">
        <f>ROUNDUP(O1821/'Methodology &amp; Assumptions'!$B$8, 0)</f>
        <v/>
      </c>
      <c r="R1821" s="27" t="n">
        <v>1</v>
      </c>
      <c r="S1821" s="26" t="n">
        <v>9.5</v>
      </c>
      <c r="T1821" s="26" t="n">
        <v>7.36</v>
      </c>
      <c r="U1821" s="11">
        <f>IF(S1821&lt;='Methodology &amp; Assumptions'!$B$10, "Direct Optical Drop (&lt;3km)", IF(S1821&lt;='Methodology &amp; Assumptions'!$B$9, "Near Optical / Microwave (&lt;5km)", "Starlink Business LEO Satellite Backhaul (&gt;5km)"))</f>
        <v/>
      </c>
      <c r="V1821" s="26" t="n">
        <v>49.22</v>
      </c>
      <c r="W1821" s="26" t="n">
        <v>65.86</v>
      </c>
      <c r="X1821" s="26">
        <f>ROUND(('Methodology &amp; Assumptions'!$B$5*V1821) + ('Methodology &amp; Assumptions'!$B$6*W1821), 2)</f>
        <v/>
      </c>
      <c r="Y1821" s="28" t="n">
        <v>23.7</v>
      </c>
      <c r="Z1821" s="11" t="inlineStr">
        <is>
          <t>Priority Tier 3 (Broadband Expansion)</t>
        </is>
      </c>
    </row>
    <row r="1822">
      <c r="A1822" s="23" t="n">
        <v>5</v>
      </c>
      <c r="B1822" s="23" t="n">
        <v>818</v>
      </c>
      <c r="C1822" s="23" t="n">
        <v>4818</v>
      </c>
      <c r="D1822" s="23" t="inlineStr">
        <is>
          <t>1380614018</t>
        </is>
      </c>
      <c r="E1822" s="11" t="inlineStr">
        <is>
          <t>National Capital Region (NCR)</t>
        </is>
      </c>
      <c r="F1822" s="11" t="inlineStr">
        <is>
          <t>First District (Not a Province)</t>
        </is>
      </c>
      <c r="G1822" s="11" t="inlineStr">
        <is>
          <t>City of Manila</t>
        </is>
      </c>
      <c r="H1822" s="11" t="inlineStr">
        <is>
          <t>Barangay 762</t>
        </is>
      </c>
      <c r="I1822" s="24" t="n">
        <v>14.565167</v>
      </c>
      <c r="J1822" s="24" t="n">
        <v>120.998028</v>
      </c>
      <c r="K1822" s="23" t="inlineStr">
        <is>
          <t>U</t>
        </is>
      </c>
      <c r="L1822" s="25" t="n">
        <v>391</v>
      </c>
      <c r="M1822" s="26" t="n">
        <v>2.21</v>
      </c>
      <c r="N1822" s="25">
        <f>ROUND(L1822/M1822, 0)</f>
        <v/>
      </c>
      <c r="O1822" s="25">
        <f>ROUND(N1822*'Methodology &amp; Assumptions'!$B$7, 0)</f>
        <v/>
      </c>
      <c r="P1822" s="23" t="inlineStr">
        <is>
          <t>Single Carrier (Band n50, 100MHz TDD)</t>
        </is>
      </c>
      <c r="Q1822" s="27">
        <f>ROUNDUP(O1822/'Methodology &amp; Assumptions'!$B$8, 0)</f>
        <v/>
      </c>
      <c r="R1822" s="27" t="n">
        <v>1</v>
      </c>
      <c r="S1822" s="26" t="n">
        <v>0.87</v>
      </c>
      <c r="T1822" s="26" t="n">
        <v>0.31</v>
      </c>
      <c r="U1822" s="11">
        <f>IF(S1822&lt;='Methodology &amp; Assumptions'!$B$10, "Direct Optical Drop (&lt;3km)", IF(S1822&lt;='Methodology &amp; Assumptions'!$B$9, "Near Optical / Microwave (&lt;5km)", "Starlink Business LEO Satellite Backhaul (&gt;5km)"))</f>
        <v/>
      </c>
      <c r="V1822" s="26" t="n">
        <v>46.68</v>
      </c>
      <c r="W1822" s="26" t="n">
        <v>68.39</v>
      </c>
      <c r="X1822" s="26">
        <f>ROUND(('Methodology &amp; Assumptions'!$B$5*V1822) + ('Methodology &amp; Assumptions'!$B$6*W1822), 2)</f>
        <v/>
      </c>
      <c r="Y1822" s="28" t="n">
        <v>10.9</v>
      </c>
      <c r="Z1822" s="11" t="inlineStr">
        <is>
          <t>Priority Tier 3 (Broadband Expansion)</t>
        </is>
      </c>
    </row>
    <row r="1823">
      <c r="A1823" s="23" t="n">
        <v>5</v>
      </c>
      <c r="B1823" s="23" t="n">
        <v>819</v>
      </c>
      <c r="C1823" s="23" t="n">
        <v>4819</v>
      </c>
      <c r="D1823" s="23" t="inlineStr">
        <is>
          <t>1004322003</t>
        </is>
      </c>
      <c r="E1823" s="11" t="inlineStr">
        <is>
          <t>Region X (Northern Mindanao)</t>
        </is>
      </c>
      <c r="F1823" s="11" t="inlineStr">
        <is>
          <t>Misamis Oriental</t>
        </is>
      </c>
      <c r="G1823" s="11" t="inlineStr">
        <is>
          <t>Salay</t>
        </is>
      </c>
      <c r="H1823" s="11" t="inlineStr">
        <is>
          <t>Bunal</t>
        </is>
      </c>
      <c r="I1823" s="24" t="n">
        <v>8.835900000000001</v>
      </c>
      <c r="J1823" s="24" t="n">
        <v>124.8551</v>
      </c>
      <c r="K1823" s="23" t="inlineStr">
        <is>
          <t>R</t>
        </is>
      </c>
      <c r="L1823" s="25" t="n">
        <v>497</v>
      </c>
      <c r="M1823" s="26" t="n">
        <v>3.9</v>
      </c>
      <c r="N1823" s="25">
        <f>ROUND(L1823/M1823, 0)</f>
        <v/>
      </c>
      <c r="O1823" s="25">
        <f>ROUND(N1823*'Methodology &amp; Assumptions'!$B$7, 0)</f>
        <v/>
      </c>
      <c r="P1823" s="23" t="inlineStr">
        <is>
          <t>Single Carrier (Band n50, 100MHz TDD)</t>
        </is>
      </c>
      <c r="Q1823" s="27">
        <f>ROUNDUP(O1823/'Methodology &amp; Assumptions'!$B$8, 0)</f>
        <v/>
      </c>
      <c r="R1823" s="27" t="n">
        <v>1</v>
      </c>
      <c r="S1823" s="26" t="n">
        <v>7.77</v>
      </c>
      <c r="T1823" s="26" t="n">
        <v>6.92</v>
      </c>
      <c r="U1823" s="11">
        <f>IF(S1823&lt;='Methodology &amp; Assumptions'!$B$10, "Direct Optical Drop (&lt;3km)", IF(S1823&lt;='Methodology &amp; Assumptions'!$B$9, "Near Optical / Microwave (&lt;5km)", "Starlink Business LEO Satellite Backhaul (&gt;5km)"))</f>
        <v/>
      </c>
      <c r="V1823" s="26" t="n">
        <v>45.75</v>
      </c>
      <c r="W1823" s="26" t="n">
        <v>69.33</v>
      </c>
      <c r="X1823" s="26">
        <f>ROUND(('Methodology &amp; Assumptions'!$B$5*V1823) + ('Methodology &amp; Assumptions'!$B$6*W1823), 2)</f>
        <v/>
      </c>
      <c r="Y1823" s="28" t="n">
        <v>17.4</v>
      </c>
      <c r="Z1823" s="11" t="inlineStr">
        <is>
          <t>Priority Tier 3 (Broadband Expansion)</t>
        </is>
      </c>
    </row>
    <row r="1824">
      <c r="A1824" s="23" t="n">
        <v>5</v>
      </c>
      <c r="B1824" s="23" t="n">
        <v>820</v>
      </c>
      <c r="C1824" s="23" t="n">
        <v>4820</v>
      </c>
      <c r="D1824" s="23" t="inlineStr">
        <is>
          <t>1907006009</t>
        </is>
      </c>
      <c r="E1824" s="11" t="inlineStr">
        <is>
          <t>Bangsamoro Autonomous Region In Muslim Mindanao (BARMM)</t>
        </is>
      </c>
      <c r="F1824" s="11" t="inlineStr">
        <is>
          <t>Tawi-Tawi</t>
        </is>
      </c>
      <c r="G1824" s="11" t="inlineStr">
        <is>
          <t>South Ubian</t>
        </is>
      </c>
      <c r="H1824" s="11" t="inlineStr">
        <is>
          <t>Bunay Bunay Tong</t>
        </is>
      </c>
      <c r="I1824" s="24" t="n">
        <v>5.163723</v>
      </c>
      <c r="J1824" s="24" t="n">
        <v>120.497681</v>
      </c>
      <c r="K1824" s="23" t="inlineStr">
        <is>
          <t>R</t>
        </is>
      </c>
      <c r="L1824" s="25" t="n">
        <v>1072</v>
      </c>
      <c r="M1824" s="26" t="n">
        <v>5.8</v>
      </c>
      <c r="N1824" s="25">
        <f>ROUND(L1824/M1824, 0)</f>
        <v/>
      </c>
      <c r="O1824" s="25">
        <f>ROUND(N1824*'Methodology &amp; Assumptions'!$B$7, 0)</f>
        <v/>
      </c>
      <c r="P1824" s="23" t="inlineStr">
        <is>
          <t>Single Carrier (Band n50, 100MHz TDD)</t>
        </is>
      </c>
      <c r="Q1824" s="27">
        <f>ROUNDUP(O1824/'Methodology &amp; Assumptions'!$B$8, 0)</f>
        <v/>
      </c>
      <c r="R1824" s="27" t="n">
        <v>1</v>
      </c>
      <c r="S1824" s="26" t="n">
        <v>260.94</v>
      </c>
      <c r="T1824" s="26" t="n">
        <v>260.94</v>
      </c>
      <c r="U1824" s="11">
        <f>IF(S1824&lt;='Methodology &amp; Assumptions'!$B$10, "Direct Optical Drop (&lt;3km)", IF(S1824&lt;='Methodology &amp; Assumptions'!$B$9, "Near Optical / Microwave (&lt;5km)", "Starlink Business LEO Satellite Backhaul (&gt;5km)"))</f>
        <v/>
      </c>
      <c r="V1824" s="26" t="n">
        <v>37.05</v>
      </c>
      <c r="W1824" s="26" t="n">
        <v>78.02</v>
      </c>
      <c r="X1824" s="26">
        <f>ROUND(('Methodology &amp; Assumptions'!$B$5*V1824) + ('Methodology &amp; Assumptions'!$B$6*W1824), 2)</f>
        <v/>
      </c>
      <c r="Y1824" s="28" t="n">
        <v>11</v>
      </c>
      <c r="Z1824" s="11" t="inlineStr">
        <is>
          <t>Priority Tier 3 (Broadband Expansion)</t>
        </is>
      </c>
    </row>
    <row r="1825">
      <c r="A1825" s="23" t="n">
        <v>5</v>
      </c>
      <c r="B1825" s="23" t="n">
        <v>821</v>
      </c>
      <c r="C1825" s="23" t="n">
        <v>4821</v>
      </c>
      <c r="D1825" s="23" t="inlineStr">
        <is>
          <t>0304912006</t>
        </is>
      </c>
      <c r="E1825" s="11" t="inlineStr">
        <is>
          <t>Region III (Central Luzon)</t>
        </is>
      </c>
      <c r="F1825" s="11" t="inlineStr">
        <is>
          <t>Nueva Ecija</t>
        </is>
      </c>
      <c r="G1825" s="11" t="inlineStr">
        <is>
          <t>Jaen</t>
        </is>
      </c>
      <c r="H1825" s="11" t="inlineStr">
        <is>
          <t>Lambakin</t>
        </is>
      </c>
      <c r="I1825" s="24" t="n">
        <v>15.371132</v>
      </c>
      <c r="J1825" s="24" t="n">
        <v>120.863135</v>
      </c>
      <c r="K1825" s="23" t="inlineStr">
        <is>
          <t>R</t>
        </is>
      </c>
      <c r="L1825" s="25" t="n">
        <v>4381</v>
      </c>
      <c r="M1825" s="26" t="n">
        <v>3.5</v>
      </c>
      <c r="N1825" s="25">
        <f>ROUND(L1825/M1825, 0)</f>
        <v/>
      </c>
      <c r="O1825" s="25">
        <f>ROUND(N1825*'Methodology &amp; Assumptions'!$B$7, 0)</f>
        <v/>
      </c>
      <c r="P1825" s="23" t="inlineStr">
        <is>
          <t>Single Carrier (Band n50, 100MHz TDD)</t>
        </is>
      </c>
      <c r="Q1825" s="27">
        <f>ROUNDUP(O1825/'Methodology &amp; Assumptions'!$B$8, 0)</f>
        <v/>
      </c>
      <c r="R1825" s="27" t="n">
        <v>1</v>
      </c>
      <c r="S1825" s="26" t="n">
        <v>0.63</v>
      </c>
      <c r="T1825" s="26" t="n">
        <v>7.31</v>
      </c>
      <c r="U1825" s="11">
        <f>IF(S1825&lt;='Methodology &amp; Assumptions'!$B$10, "Direct Optical Drop (&lt;3km)", IF(S1825&lt;='Methodology &amp; Assumptions'!$B$9, "Near Optical / Microwave (&lt;5km)", "Starlink Business LEO Satellite Backhaul (&gt;5km)"))</f>
        <v/>
      </c>
      <c r="V1825" s="26" t="n">
        <v>82.98</v>
      </c>
      <c r="W1825" s="26" t="n">
        <v>32.08</v>
      </c>
      <c r="X1825" s="26">
        <f>ROUND(('Methodology &amp; Assumptions'!$B$5*V1825) + ('Methodology &amp; Assumptions'!$B$6*W1825), 2)</f>
        <v/>
      </c>
      <c r="Y1825" s="28" t="n">
        <v>8.300000000000001</v>
      </c>
      <c r="Z1825" s="11" t="inlineStr">
        <is>
          <t>Priority Tier 3 (Broadband Expansion)</t>
        </is>
      </c>
    </row>
    <row r="1826">
      <c r="A1826" s="23" t="n">
        <v>5</v>
      </c>
      <c r="B1826" s="23" t="n">
        <v>822</v>
      </c>
      <c r="C1826" s="23" t="n">
        <v>4822</v>
      </c>
      <c r="D1826" s="23" t="inlineStr">
        <is>
          <t>0702233013</t>
        </is>
      </c>
      <c r="E1826" s="11" t="inlineStr">
        <is>
          <t>Region VII (Central Visayas)</t>
        </is>
      </c>
      <c r="F1826" s="11" t="inlineStr">
        <is>
          <t>Cebu</t>
        </is>
      </c>
      <c r="G1826" s="11" t="inlineStr">
        <is>
          <t>Moalboal</t>
        </is>
      </c>
      <c r="H1826" s="11" t="inlineStr">
        <is>
          <t>Tomonoy</t>
        </is>
      </c>
      <c r="I1826" s="24" t="n">
        <v>9.931884999999999</v>
      </c>
      <c r="J1826" s="24" t="n">
        <v>123.3997</v>
      </c>
      <c r="K1826" s="23" t="inlineStr">
        <is>
          <t>R</t>
        </is>
      </c>
      <c r="L1826" s="25" t="n">
        <v>2694</v>
      </c>
      <c r="M1826" s="26" t="n">
        <v>3.8</v>
      </c>
      <c r="N1826" s="25">
        <f>ROUND(L1826/M1826, 0)</f>
        <v/>
      </c>
      <c r="O1826" s="25">
        <f>ROUND(N1826*'Methodology &amp; Assumptions'!$B$7, 0)</f>
        <v/>
      </c>
      <c r="P1826" s="23" t="inlineStr">
        <is>
          <t>Single Carrier (Band n50, 100MHz TDD)</t>
        </is>
      </c>
      <c r="Q1826" s="27">
        <f>ROUNDUP(O1826/'Methodology &amp; Assumptions'!$B$8, 0)</f>
        <v/>
      </c>
      <c r="R1826" s="27" t="n">
        <v>1</v>
      </c>
      <c r="S1826" s="26" t="n">
        <v>0.92</v>
      </c>
      <c r="T1826" s="26" t="n">
        <v>0.07000000000000001</v>
      </c>
      <c r="U1826" s="11">
        <f>IF(S1826&lt;='Methodology &amp; Assumptions'!$B$10, "Direct Optical Drop (&lt;3km)", IF(S1826&lt;='Methodology &amp; Assumptions'!$B$9, "Near Optical / Microwave (&lt;5km)", "Starlink Business LEO Satellite Backhaul (&gt;5km)"))</f>
        <v/>
      </c>
      <c r="V1826" s="26" t="n">
        <v>82.73999999999999</v>
      </c>
      <c r="W1826" s="26" t="n">
        <v>32.33</v>
      </c>
      <c r="X1826" s="26">
        <f>ROUND(('Methodology &amp; Assumptions'!$B$5*V1826) + ('Methodology &amp; Assumptions'!$B$6*W1826), 2)</f>
        <v/>
      </c>
      <c r="Y1826" s="28" t="n">
        <v>23.7</v>
      </c>
      <c r="Z1826" s="11" t="inlineStr">
        <is>
          <t>Priority Tier 3 (Broadband Expansion)</t>
        </is>
      </c>
    </row>
    <row r="1827">
      <c r="A1827" s="23" t="n">
        <v>5</v>
      </c>
      <c r="B1827" s="23" t="n">
        <v>823</v>
      </c>
      <c r="C1827" s="23" t="n">
        <v>4823</v>
      </c>
      <c r="D1827" s="23" t="inlineStr">
        <is>
          <t>0305405027</t>
        </is>
      </c>
      <c r="E1827" s="11" t="inlineStr">
        <is>
          <t>Region III (Central Luzon)</t>
        </is>
      </c>
      <c r="F1827" s="11" t="inlineStr">
        <is>
          <t>Pampanga</t>
        </is>
      </c>
      <c r="G1827" s="11" t="inlineStr">
        <is>
          <t>Candaba</t>
        </is>
      </c>
      <c r="H1827" s="11" t="inlineStr">
        <is>
          <t>Pulong Palazan</t>
        </is>
      </c>
      <c r="I1827" s="24" t="n">
        <v>15.019464</v>
      </c>
      <c r="J1827" s="24" t="n">
        <v>120.88684</v>
      </c>
      <c r="K1827" s="23" t="inlineStr">
        <is>
          <t>R</t>
        </is>
      </c>
      <c r="L1827" s="25" t="n">
        <v>4100</v>
      </c>
      <c r="M1827" s="26" t="n">
        <v>4</v>
      </c>
      <c r="N1827" s="25">
        <f>ROUND(L1827/M1827, 0)</f>
        <v/>
      </c>
      <c r="O1827" s="25">
        <f>ROUND(N1827*'Methodology &amp; Assumptions'!$B$7, 0)</f>
        <v/>
      </c>
      <c r="P1827" s="23" t="inlineStr">
        <is>
          <t>Single Carrier (Band n50, 100MHz TDD)</t>
        </is>
      </c>
      <c r="Q1827" s="27">
        <f>ROUNDUP(O1827/'Methodology &amp; Assumptions'!$B$8, 0)</f>
        <v/>
      </c>
      <c r="R1827" s="27" t="n">
        <v>1</v>
      </c>
      <c r="S1827" s="26" t="n">
        <v>1.7</v>
      </c>
      <c r="T1827" s="26" t="n">
        <v>0.01</v>
      </c>
      <c r="U1827" s="11">
        <f>IF(S1827&lt;='Methodology &amp; Assumptions'!$B$10, "Direct Optical Drop (&lt;3km)", IF(S1827&lt;='Methodology &amp; Assumptions'!$B$9, "Near Optical / Microwave (&lt;5km)", "Starlink Business LEO Satellite Backhaul (&gt;5km)"))</f>
        <v/>
      </c>
      <c r="V1827" s="26" t="n">
        <v>82.44</v>
      </c>
      <c r="W1827" s="26" t="n">
        <v>32.62</v>
      </c>
      <c r="X1827" s="26">
        <f>ROUND(('Methodology &amp; Assumptions'!$B$5*V1827) + ('Methodology &amp; Assumptions'!$B$6*W1827), 2)</f>
        <v/>
      </c>
      <c r="Y1827" s="28" t="n">
        <v>8.300000000000001</v>
      </c>
      <c r="Z1827" s="11" t="inlineStr">
        <is>
          <t>Priority Tier 3 (Broadband Expansion)</t>
        </is>
      </c>
    </row>
    <row r="1828">
      <c r="A1828" s="23" t="n">
        <v>5</v>
      </c>
      <c r="B1828" s="23" t="n">
        <v>824</v>
      </c>
      <c r="C1828" s="23" t="n">
        <v>4824</v>
      </c>
      <c r="D1828" s="23" t="inlineStr">
        <is>
          <t>0401008016</t>
        </is>
      </c>
      <c r="E1828" s="11" t="inlineStr">
        <is>
          <t>Region IV-A (CALABARZON)</t>
        </is>
      </c>
      <c r="F1828" s="11" t="inlineStr">
        <is>
          <t>Batangas</t>
        </is>
      </c>
      <c r="G1828" s="11" t="inlineStr">
        <is>
          <t>Calatagan</t>
        </is>
      </c>
      <c r="H1828" s="11" t="inlineStr">
        <is>
          <t>Barangay 1</t>
        </is>
      </c>
      <c r="I1828" s="24" t="n">
        <v>13.846909</v>
      </c>
      <c r="J1828" s="24" t="n">
        <v>120.628619</v>
      </c>
      <c r="K1828" s="23" t="inlineStr">
        <is>
          <t>R</t>
        </is>
      </c>
      <c r="L1828" s="25" t="n">
        <v>4186</v>
      </c>
      <c r="M1828" s="26" t="n">
        <v>3.6</v>
      </c>
      <c r="N1828" s="25">
        <f>ROUND(L1828/M1828, 0)</f>
        <v/>
      </c>
      <c r="O1828" s="25">
        <f>ROUND(N1828*'Methodology &amp; Assumptions'!$B$7, 0)</f>
        <v/>
      </c>
      <c r="P1828" s="23" t="inlineStr">
        <is>
          <t>Single Carrier (Band n50, 100MHz TDD)</t>
        </is>
      </c>
      <c r="Q1828" s="27">
        <f>ROUNDUP(O1828/'Methodology &amp; Assumptions'!$B$8, 0)</f>
        <v/>
      </c>
      <c r="R1828" s="27" t="n">
        <v>1</v>
      </c>
      <c r="S1828" s="26" t="n">
        <v>1.88</v>
      </c>
      <c r="T1828" s="26" t="n">
        <v>0.61</v>
      </c>
      <c r="U1828" s="11">
        <f>IF(S1828&lt;='Methodology &amp; Assumptions'!$B$10, "Direct Optical Drop (&lt;3km)", IF(S1828&lt;='Methodology &amp; Assumptions'!$B$9, "Near Optical / Microwave (&lt;5km)", "Starlink Business LEO Satellite Backhaul (&gt;5km)"))</f>
        <v/>
      </c>
      <c r="V1828" s="26" t="n">
        <v>81.64</v>
      </c>
      <c r="W1828" s="26" t="n">
        <v>33.41</v>
      </c>
      <c r="X1828" s="26">
        <f>ROUND(('Methodology &amp; Assumptions'!$B$5*V1828) + ('Methodology &amp; Assumptions'!$B$6*W1828), 2)</f>
        <v/>
      </c>
      <c r="Y1828" s="28" t="n">
        <v>7.2</v>
      </c>
      <c r="Z1828" s="11" t="inlineStr">
        <is>
          <t>Priority Tier 3 (Broadband Expansion)</t>
        </is>
      </c>
    </row>
    <row r="1829">
      <c r="A1829" s="23" t="n">
        <v>5</v>
      </c>
      <c r="B1829" s="23" t="n">
        <v>825</v>
      </c>
      <c r="C1829" s="23" t="n">
        <v>4825</v>
      </c>
      <c r="D1829" s="23" t="inlineStr">
        <is>
          <t>0105543010</t>
        </is>
      </c>
      <c r="E1829" s="11" t="inlineStr">
        <is>
          <t>Region I (Ilocos Region)</t>
        </is>
      </c>
      <c r="F1829" s="11" t="inlineStr">
        <is>
          <t>Pangasinan</t>
        </is>
      </c>
      <c r="G1829" s="11" t="inlineStr">
        <is>
          <t>Tayug</t>
        </is>
      </c>
      <c r="H1829" s="11" t="inlineStr">
        <is>
          <t>Libertad</t>
        </is>
      </c>
      <c r="I1829" s="24" t="n">
        <v>16.01854</v>
      </c>
      <c r="J1829" s="24" t="n">
        <v>120.7583</v>
      </c>
      <c r="K1829" s="23" t="inlineStr">
        <is>
          <t>R</t>
        </is>
      </c>
      <c r="L1829" s="25" t="n">
        <v>2635</v>
      </c>
      <c r="M1829" s="26" t="n">
        <v>3.6</v>
      </c>
      <c r="N1829" s="25">
        <f>ROUND(L1829/M1829, 0)</f>
        <v/>
      </c>
      <c r="O1829" s="25">
        <f>ROUND(N1829*'Methodology &amp; Assumptions'!$B$7, 0)</f>
        <v/>
      </c>
      <c r="P1829" s="23" t="inlineStr">
        <is>
          <t>Single Carrier (Band n50, 100MHz TDD)</t>
        </is>
      </c>
      <c r="Q1829" s="27">
        <f>ROUNDUP(O1829/'Methodology &amp; Assumptions'!$B$8, 0)</f>
        <v/>
      </c>
      <c r="R1829" s="27" t="n">
        <v>1</v>
      </c>
      <c r="S1829" s="26" t="n">
        <v>1.51</v>
      </c>
      <c r="T1829" s="26" t="n">
        <v>1.34</v>
      </c>
      <c r="U1829" s="11">
        <f>IF(S1829&lt;='Methodology &amp; Assumptions'!$B$10, "Direct Optical Drop (&lt;3km)", IF(S1829&lt;='Methodology &amp; Assumptions'!$B$9, "Near Optical / Microwave (&lt;5km)", "Starlink Business LEO Satellite Backhaul (&gt;5km)"))</f>
        <v/>
      </c>
      <c r="V1829" s="26" t="n">
        <v>80.31999999999999</v>
      </c>
      <c r="W1829" s="26" t="n">
        <v>34.74</v>
      </c>
      <c r="X1829" s="26">
        <f>ROUND(('Methodology &amp; Assumptions'!$B$5*V1829) + ('Methodology &amp; Assumptions'!$B$6*W1829), 2)</f>
        <v/>
      </c>
      <c r="Y1829" s="28" t="n">
        <v>8.300000000000001</v>
      </c>
      <c r="Z1829" s="11" t="inlineStr">
        <is>
          <t>Priority Tier 3 (Broadband Expansion)</t>
        </is>
      </c>
    </row>
    <row r="1830">
      <c r="A1830" s="23" t="n">
        <v>5</v>
      </c>
      <c r="B1830" s="23" t="n">
        <v>826</v>
      </c>
      <c r="C1830" s="23" t="n">
        <v>4826</v>
      </c>
      <c r="D1830" s="23" t="inlineStr">
        <is>
          <t>0603037031</t>
        </is>
      </c>
      <c r="E1830" s="11" t="inlineStr">
        <is>
          <t>Region VI (Western Visayas)</t>
        </is>
      </c>
      <c r="F1830" s="11" t="inlineStr">
        <is>
          <t>Iloilo</t>
        </is>
      </c>
      <c r="G1830" s="11" t="inlineStr">
        <is>
          <t>Pototan</t>
        </is>
      </c>
      <c r="H1830" s="11" t="inlineStr">
        <is>
          <t>Primitivo Ledesma Ward</t>
        </is>
      </c>
      <c r="I1830" s="24" t="n">
        <v>10.941267</v>
      </c>
      <c r="J1830" s="24" t="n">
        <v>122.633914</v>
      </c>
      <c r="K1830" s="23" t="inlineStr">
        <is>
          <t>R</t>
        </is>
      </c>
      <c r="L1830" s="25" t="n">
        <v>2236</v>
      </c>
      <c r="M1830" s="26" t="n">
        <v>3.8</v>
      </c>
      <c r="N1830" s="25">
        <f>ROUND(L1830/M1830, 0)</f>
        <v/>
      </c>
      <c r="O1830" s="25">
        <f>ROUND(N1830*'Methodology &amp; Assumptions'!$B$7, 0)</f>
        <v/>
      </c>
      <c r="P1830" s="23" t="inlineStr">
        <is>
          <t>Single Carrier (Band n50, 100MHz TDD)</t>
        </is>
      </c>
      <c r="Q1830" s="27">
        <f>ROUNDUP(O1830/'Methodology &amp; Assumptions'!$B$8, 0)</f>
        <v/>
      </c>
      <c r="R1830" s="27" t="n">
        <v>1</v>
      </c>
      <c r="S1830" s="26" t="n">
        <v>0.97</v>
      </c>
      <c r="T1830" s="26" t="n">
        <v>0.41</v>
      </c>
      <c r="U1830" s="11">
        <f>IF(S1830&lt;='Methodology &amp; Assumptions'!$B$10, "Direct Optical Drop (&lt;3km)", IF(S1830&lt;='Methodology &amp; Assumptions'!$B$9, "Near Optical / Microwave (&lt;5km)", "Starlink Business LEO Satellite Backhaul (&gt;5km)"))</f>
        <v/>
      </c>
      <c r="V1830" s="26" t="n">
        <v>78.81</v>
      </c>
      <c r="W1830" s="26" t="n">
        <v>36.26</v>
      </c>
      <c r="X1830" s="26">
        <f>ROUND(('Methodology &amp; Assumptions'!$B$5*V1830) + ('Methodology &amp; Assumptions'!$B$6*W1830), 2)</f>
        <v/>
      </c>
      <c r="Y1830" s="28" t="n">
        <v>23.7</v>
      </c>
      <c r="Z1830" s="11" t="inlineStr">
        <is>
          <t>Priority Tier 3 (Broadband Expansion)</t>
        </is>
      </c>
    </row>
    <row r="1831">
      <c r="A1831" s="23" t="n">
        <v>5</v>
      </c>
      <c r="B1831" s="23" t="n">
        <v>827</v>
      </c>
      <c r="C1831" s="23" t="n">
        <v>4827</v>
      </c>
      <c r="D1831" s="23" t="inlineStr">
        <is>
          <t>0301405014</t>
        </is>
      </c>
      <c r="E1831" s="11" t="inlineStr">
        <is>
          <t>Region III (Central Luzon)</t>
        </is>
      </c>
      <c r="F1831" s="11" t="inlineStr">
        <is>
          <t>Bulacan</t>
        </is>
      </c>
      <c r="G1831" s="11" t="inlineStr">
        <is>
          <t>Bulacan</t>
        </is>
      </c>
      <c r="H1831" s="11" t="inlineStr">
        <is>
          <t>Santa Ines</t>
        </is>
      </c>
      <c r="I1831" s="24" t="n">
        <v>14.786035</v>
      </c>
      <c r="J1831" s="24" t="n">
        <v>120.881715</v>
      </c>
      <c r="K1831" s="23" t="inlineStr">
        <is>
          <t>R</t>
        </is>
      </c>
      <c r="L1831" s="25" t="n">
        <v>2508</v>
      </c>
      <c r="M1831" s="26" t="n">
        <v>3.5</v>
      </c>
      <c r="N1831" s="25">
        <f>ROUND(L1831/M1831, 0)</f>
        <v/>
      </c>
      <c r="O1831" s="25">
        <f>ROUND(N1831*'Methodology &amp; Assumptions'!$B$7, 0)</f>
        <v/>
      </c>
      <c r="P1831" s="23" t="inlineStr">
        <is>
          <t>Single Carrier (Band n50, 100MHz TDD)</t>
        </is>
      </c>
      <c r="Q1831" s="27">
        <f>ROUNDUP(O1831/'Methodology &amp; Assumptions'!$B$8, 0)</f>
        <v/>
      </c>
      <c r="R1831" s="27" t="n">
        <v>1</v>
      </c>
      <c r="S1831" s="26" t="n">
        <v>1.19</v>
      </c>
      <c r="T1831" s="26" t="n">
        <v>4.42</v>
      </c>
      <c r="U1831" s="11">
        <f>IF(S1831&lt;='Methodology &amp; Assumptions'!$B$10, "Direct Optical Drop (&lt;3km)", IF(S1831&lt;='Methodology &amp; Assumptions'!$B$9, "Near Optical / Microwave (&lt;5km)", "Starlink Business LEO Satellite Backhaul (&gt;5km)"))</f>
        <v/>
      </c>
      <c r="V1831" s="26" t="n">
        <v>77.48999999999999</v>
      </c>
      <c r="W1831" s="26" t="n">
        <v>37.57</v>
      </c>
      <c r="X1831" s="26">
        <f>ROUND(('Methodology &amp; Assumptions'!$B$5*V1831) + ('Methodology &amp; Assumptions'!$B$6*W1831), 2)</f>
        <v/>
      </c>
      <c r="Y1831" s="28" t="n">
        <v>8.300000000000001</v>
      </c>
      <c r="Z1831" s="11" t="inlineStr">
        <is>
          <t>Priority Tier 3 (Broadband Expansion)</t>
        </is>
      </c>
    </row>
    <row r="1832">
      <c r="A1832" s="23" t="n">
        <v>5</v>
      </c>
      <c r="B1832" s="23" t="n">
        <v>828</v>
      </c>
      <c r="C1832" s="23" t="n">
        <v>4828</v>
      </c>
      <c r="D1832" s="23" t="inlineStr">
        <is>
          <t>0301410051</t>
        </is>
      </c>
      <c r="E1832" s="11" t="inlineStr">
        <is>
          <t>Region III (Central Luzon)</t>
        </is>
      </c>
      <c r="F1832" s="11" t="inlineStr">
        <is>
          <t>Bulacan</t>
        </is>
      </c>
      <c r="G1832" s="11" t="inlineStr">
        <is>
          <t>City of Malolos</t>
        </is>
      </c>
      <c r="H1832" s="11" t="inlineStr">
        <is>
          <t>Santor</t>
        </is>
      </c>
      <c r="I1832" s="24" t="n">
        <v>14.832291</v>
      </c>
      <c r="J1832" s="24" t="n">
        <v>120.855243</v>
      </c>
      <c r="K1832" s="23" t="inlineStr">
        <is>
          <t>U</t>
        </is>
      </c>
      <c r="L1832" s="25" t="n">
        <v>8937</v>
      </c>
      <c r="M1832" s="26" t="n">
        <v>3.5</v>
      </c>
      <c r="N1832" s="25">
        <f>ROUND(L1832/M1832, 0)</f>
        <v/>
      </c>
      <c r="O1832" s="25">
        <f>ROUND(N1832*'Methodology &amp; Assumptions'!$B$7, 0)</f>
        <v/>
      </c>
      <c r="P1832" s="23" t="inlineStr">
        <is>
          <t>Single Carrier (Band n50, 100MHz TDD)</t>
        </is>
      </c>
      <c r="Q1832" s="27">
        <f>ROUNDUP(O1832/'Methodology &amp; Assumptions'!$B$8, 0)</f>
        <v/>
      </c>
      <c r="R1832" s="27" t="n">
        <v>1</v>
      </c>
      <c r="S1832" s="26" t="n">
        <v>1.93</v>
      </c>
      <c r="T1832" s="26" t="n">
        <v>0.78</v>
      </c>
      <c r="U1832" s="11">
        <f>IF(S1832&lt;='Methodology &amp; Assumptions'!$B$10, "Direct Optical Drop (&lt;3km)", IF(S1832&lt;='Methodology &amp; Assumptions'!$B$9, "Near Optical / Microwave (&lt;5km)", "Starlink Business LEO Satellite Backhaul (&gt;5km)"))</f>
        <v/>
      </c>
      <c r="V1832" s="26" t="n">
        <v>74.43000000000001</v>
      </c>
      <c r="W1832" s="26" t="n">
        <v>40.64</v>
      </c>
      <c r="X1832" s="26">
        <f>ROUND(('Methodology &amp; Assumptions'!$B$5*V1832) + ('Methodology &amp; Assumptions'!$B$6*W1832), 2)</f>
        <v/>
      </c>
      <c r="Y1832" s="28" t="n">
        <v>8.300000000000001</v>
      </c>
      <c r="Z1832" s="11" t="inlineStr">
        <is>
          <t>Priority Tier 3 (Broadband Expansion)</t>
        </is>
      </c>
    </row>
    <row r="1833">
      <c r="A1833" s="23" t="n">
        <v>5</v>
      </c>
      <c r="B1833" s="23" t="n">
        <v>829</v>
      </c>
      <c r="C1833" s="23" t="n">
        <v>4829</v>
      </c>
      <c r="D1833" s="23" t="inlineStr">
        <is>
          <t>0403425023</t>
        </is>
      </c>
      <c r="E1833" s="11" t="inlineStr">
        <is>
          <t>Region IV-A (CALABARZON)</t>
        </is>
      </c>
      <c r="F1833" s="11" t="inlineStr">
        <is>
          <t>Laguna</t>
        </is>
      </c>
      <c r="G1833" s="11" t="inlineStr">
        <is>
          <t>City of San Pedro</t>
        </is>
      </c>
      <c r="H1833" s="11" t="inlineStr">
        <is>
          <t>Chrysanthemum</t>
        </is>
      </c>
      <c r="I1833" s="24" t="n">
        <v>14.324733</v>
      </c>
      <c r="J1833" s="24" t="n">
        <v>121.010912</v>
      </c>
      <c r="K1833" s="23" t="inlineStr">
        <is>
          <t>U</t>
        </is>
      </c>
      <c r="L1833" s="25" t="n">
        <v>13629</v>
      </c>
      <c r="M1833" s="26" t="n">
        <v>3.3</v>
      </c>
      <c r="N1833" s="25">
        <f>ROUND(L1833/M1833, 0)</f>
        <v/>
      </c>
      <c r="O1833" s="25">
        <f>ROUND(N1833*'Methodology &amp; Assumptions'!$B$7, 0)</f>
        <v/>
      </c>
      <c r="P1833" s="23" t="inlineStr">
        <is>
          <t>Single Carrier (Band n50, 100MHz TDD)</t>
        </is>
      </c>
      <c r="Q1833" s="27">
        <f>ROUNDUP(O1833/'Methodology &amp; Assumptions'!$B$8, 0)</f>
        <v/>
      </c>
      <c r="R1833" s="27" t="n">
        <v>1</v>
      </c>
      <c r="S1833" s="26" t="n">
        <v>3.01</v>
      </c>
      <c r="T1833" s="26" t="n">
        <v>3.03</v>
      </c>
      <c r="U1833" s="11">
        <f>IF(S1833&lt;='Methodology &amp; Assumptions'!$B$10, "Direct Optical Drop (&lt;3km)", IF(S1833&lt;='Methodology &amp; Assumptions'!$B$9, "Near Optical / Microwave (&lt;5km)", "Starlink Business LEO Satellite Backhaul (&gt;5km)"))</f>
        <v/>
      </c>
      <c r="V1833" s="26" t="n">
        <v>67.3</v>
      </c>
      <c r="W1833" s="26" t="n">
        <v>47.76</v>
      </c>
      <c r="X1833" s="26">
        <f>ROUND(('Methodology &amp; Assumptions'!$B$5*V1833) + ('Methodology &amp; Assumptions'!$B$6*W1833), 2)</f>
        <v/>
      </c>
      <c r="Y1833" s="28" t="n">
        <v>7.2</v>
      </c>
      <c r="Z1833" s="11" t="inlineStr">
        <is>
          <t>Priority Tier 3 (Broadband Expansion)</t>
        </is>
      </c>
    </row>
    <row r="1834">
      <c r="A1834" s="23" t="n">
        <v>5</v>
      </c>
      <c r="B1834" s="23" t="n">
        <v>830</v>
      </c>
      <c r="C1834" s="23" t="n">
        <v>4830</v>
      </c>
      <c r="D1834" s="23" t="inlineStr">
        <is>
          <t>1380605063</t>
        </is>
      </c>
      <c r="E1834" s="11" t="inlineStr">
        <is>
          <t>National Capital Region (NCR)</t>
        </is>
      </c>
      <c r="F1834" s="11" t="inlineStr">
        <is>
          <t>First District (Not a Province)</t>
        </is>
      </c>
      <c r="G1834" s="11" t="inlineStr">
        <is>
          <t>City of Manila</t>
        </is>
      </c>
      <c r="H1834" s="11" t="inlineStr">
        <is>
          <t>Barangay 361</t>
        </is>
      </c>
      <c r="I1834" s="24" t="n">
        <v>14.620047</v>
      </c>
      <c r="J1834" s="24" t="n">
        <v>120.980952</v>
      </c>
      <c r="K1834" s="23" t="inlineStr">
        <is>
          <t>U</t>
        </is>
      </c>
      <c r="L1834" s="25" t="n">
        <v>726</v>
      </c>
      <c r="M1834" s="26" t="n">
        <v>4.3</v>
      </c>
      <c r="N1834" s="25">
        <f>ROUND(L1834/M1834, 0)</f>
        <v/>
      </c>
      <c r="O1834" s="25">
        <f>ROUND(N1834*'Methodology &amp; Assumptions'!$B$7, 0)</f>
        <v/>
      </c>
      <c r="P1834" s="23" t="inlineStr">
        <is>
          <t>Single Carrier (Band n50, 100MHz TDD)</t>
        </is>
      </c>
      <c r="Q1834" s="27">
        <f>ROUNDUP(O1834/'Methodology &amp; Assumptions'!$B$8, 0)</f>
        <v/>
      </c>
      <c r="R1834" s="27" t="n">
        <v>1</v>
      </c>
      <c r="S1834" s="26" t="n">
        <v>0.45</v>
      </c>
      <c r="T1834" s="26" t="n">
        <v>0.2</v>
      </c>
      <c r="U1834" s="11">
        <f>IF(S1834&lt;='Methodology &amp; Assumptions'!$B$10, "Direct Optical Drop (&lt;3km)", IF(S1834&lt;='Methodology &amp; Assumptions'!$B$9, "Near Optical / Microwave (&lt;5km)", "Starlink Business LEO Satellite Backhaul (&gt;5km)"))</f>
        <v/>
      </c>
      <c r="V1834" s="26" t="n">
        <v>46.55</v>
      </c>
      <c r="W1834" s="26" t="n">
        <v>68.51000000000001</v>
      </c>
      <c r="X1834" s="26">
        <f>ROUND(('Methodology &amp; Assumptions'!$B$5*V1834) + ('Methodology &amp; Assumptions'!$B$6*W1834), 2)</f>
        <v/>
      </c>
      <c r="Y1834" s="28" t="n">
        <v>10.9</v>
      </c>
      <c r="Z1834" s="11" t="inlineStr">
        <is>
          <t>Priority Tier 3 (Broadband Expansion)</t>
        </is>
      </c>
    </row>
    <row r="1835">
      <c r="A1835" s="23" t="n">
        <v>5</v>
      </c>
      <c r="B1835" s="23" t="n">
        <v>831</v>
      </c>
      <c r="C1835" s="23" t="n">
        <v>4831</v>
      </c>
      <c r="D1835" s="23" t="inlineStr">
        <is>
          <t>1380601259</t>
        </is>
      </c>
      <c r="E1835" s="11" t="inlineStr">
        <is>
          <t>National Capital Region (NCR)</t>
        </is>
      </c>
      <c r="F1835" s="11" t="inlineStr">
        <is>
          <t>First District (Not a Province)</t>
        </is>
      </c>
      <c r="G1835" s="11" t="inlineStr">
        <is>
          <t>City of Manila</t>
        </is>
      </c>
      <c r="H1835" s="11" t="inlineStr">
        <is>
          <t>Barangay 258</t>
        </is>
      </c>
      <c r="I1835" s="24" t="n">
        <v>14.613205</v>
      </c>
      <c r="J1835" s="24" t="n">
        <v>120.978752</v>
      </c>
      <c r="K1835" s="23" t="inlineStr">
        <is>
          <t>U</t>
        </is>
      </c>
      <c r="L1835" s="25" t="n">
        <v>708</v>
      </c>
      <c r="M1835" s="26" t="n">
        <v>4.29</v>
      </c>
      <c r="N1835" s="25">
        <f>ROUND(L1835/M1835, 0)</f>
        <v/>
      </c>
      <c r="O1835" s="25">
        <f>ROUND(N1835*'Methodology &amp; Assumptions'!$B$7, 0)</f>
        <v/>
      </c>
      <c r="P1835" s="23" t="inlineStr">
        <is>
          <t>Single Carrier (Band n50, 100MHz TDD)</t>
        </is>
      </c>
      <c r="Q1835" s="27">
        <f>ROUNDUP(O1835/'Methodology &amp; Assumptions'!$B$8, 0)</f>
        <v/>
      </c>
      <c r="R1835" s="27" t="n">
        <v>1</v>
      </c>
      <c r="S1835" s="26" t="n">
        <v>0.57</v>
      </c>
      <c r="T1835" s="26" t="n">
        <v>0.44</v>
      </c>
      <c r="U1835" s="11">
        <f>IF(S1835&lt;='Methodology &amp; Assumptions'!$B$10, "Direct Optical Drop (&lt;3km)", IF(S1835&lt;='Methodology &amp; Assumptions'!$B$9, "Near Optical / Microwave (&lt;5km)", "Starlink Business LEO Satellite Backhaul (&gt;5km)"))</f>
        <v/>
      </c>
      <c r="V1835" s="26" t="n">
        <v>46.45</v>
      </c>
      <c r="W1835" s="26" t="n">
        <v>68.61</v>
      </c>
      <c r="X1835" s="26">
        <f>ROUND(('Methodology &amp; Assumptions'!$B$5*V1835) + ('Methodology &amp; Assumptions'!$B$6*W1835), 2)</f>
        <v/>
      </c>
      <c r="Y1835" s="28" t="n">
        <v>10.9</v>
      </c>
      <c r="Z1835" s="11" t="inlineStr">
        <is>
          <t>Priority Tier 3 (Broadband Expansion)</t>
        </is>
      </c>
    </row>
    <row r="1836">
      <c r="A1836" s="23" t="n">
        <v>5</v>
      </c>
      <c r="B1836" s="23" t="n">
        <v>832</v>
      </c>
      <c r="C1836" s="23" t="n">
        <v>4832</v>
      </c>
      <c r="D1836" s="23" t="inlineStr">
        <is>
          <t>1380601127</t>
        </is>
      </c>
      <c r="E1836" s="11" t="inlineStr">
        <is>
          <t>National Capital Region (NCR)</t>
        </is>
      </c>
      <c r="F1836" s="11" t="inlineStr">
        <is>
          <t>First District (Not a Province)</t>
        </is>
      </c>
      <c r="G1836" s="11" t="inlineStr">
        <is>
          <t>City of Manila</t>
        </is>
      </c>
      <c r="H1836" s="11" t="inlineStr">
        <is>
          <t>Barangay 127</t>
        </is>
      </c>
      <c r="I1836" s="24" t="n">
        <v>14.63437</v>
      </c>
      <c r="J1836" s="24" t="n">
        <v>120.9657</v>
      </c>
      <c r="K1836" s="23" t="inlineStr">
        <is>
          <t>U</t>
        </is>
      </c>
      <c r="L1836" s="25" t="n">
        <v>574</v>
      </c>
      <c r="M1836" s="26" t="n">
        <v>4.42</v>
      </c>
      <c r="N1836" s="25">
        <f>ROUND(L1836/M1836, 0)</f>
        <v/>
      </c>
      <c r="O1836" s="25">
        <f>ROUND(N1836*'Methodology &amp; Assumptions'!$B$7, 0)</f>
        <v/>
      </c>
      <c r="P1836" s="23" t="inlineStr">
        <is>
          <t>Single Carrier (Band n50, 100MHz TDD)</t>
        </is>
      </c>
      <c r="Q1836" s="27">
        <f>ROUNDUP(O1836/'Methodology &amp; Assumptions'!$B$8, 0)</f>
        <v/>
      </c>
      <c r="R1836" s="27" t="n">
        <v>1</v>
      </c>
      <c r="S1836" s="26" t="n">
        <v>1.17</v>
      </c>
      <c r="T1836" s="26" t="n">
        <v>0.38</v>
      </c>
      <c r="U1836" s="11">
        <f>IF(S1836&lt;='Methodology &amp; Assumptions'!$B$10, "Direct Optical Drop (&lt;3km)", IF(S1836&lt;='Methodology &amp; Assumptions'!$B$9, "Near Optical / Microwave (&lt;5km)", "Starlink Business LEO Satellite Backhaul (&gt;5km)"))</f>
        <v/>
      </c>
      <c r="V1836" s="26" t="n">
        <v>44</v>
      </c>
      <c r="W1836" s="26" t="n">
        <v>71.06</v>
      </c>
      <c r="X1836" s="26">
        <f>ROUND(('Methodology &amp; Assumptions'!$B$5*V1836) + ('Methodology &amp; Assumptions'!$B$6*W1836), 2)</f>
        <v/>
      </c>
      <c r="Y1836" s="28" t="n">
        <v>10.9</v>
      </c>
      <c r="Z1836" s="11" t="inlineStr">
        <is>
          <t>Priority Tier 3 (Broadband Expansion)</t>
        </is>
      </c>
    </row>
    <row r="1837">
      <c r="A1837" s="23" t="n">
        <v>5</v>
      </c>
      <c r="B1837" s="23" t="n">
        <v>833</v>
      </c>
      <c r="C1837" s="23" t="n">
        <v>4833</v>
      </c>
      <c r="D1837" s="23" t="inlineStr">
        <is>
          <t>0506207029</t>
        </is>
      </c>
      <c r="E1837" s="11" t="inlineStr">
        <is>
          <t>Region V (Bicol Region)</t>
        </is>
      </c>
      <c r="F1837" s="11" t="inlineStr">
        <is>
          <t>Sorsogon</t>
        </is>
      </c>
      <c r="G1837" s="11" t="inlineStr">
        <is>
          <t>Donsol</t>
        </is>
      </c>
      <c r="H1837" s="11" t="inlineStr">
        <is>
          <t>Parina</t>
        </is>
      </c>
      <c r="I1837" s="24" t="n">
        <v>12.982444</v>
      </c>
      <c r="J1837" s="24" t="n">
        <v>123.571551</v>
      </c>
      <c r="K1837" s="23" t="inlineStr">
        <is>
          <t>R</t>
        </is>
      </c>
      <c r="L1837" s="25" t="n">
        <v>231</v>
      </c>
      <c r="M1837" s="26" t="n">
        <v>4</v>
      </c>
      <c r="N1837" s="25">
        <f>ROUND(L1837/M1837, 0)</f>
        <v/>
      </c>
      <c r="O1837" s="25">
        <f>ROUND(N1837*'Methodology &amp; Assumptions'!$B$7, 0)</f>
        <v/>
      </c>
      <c r="P1837" s="23" t="inlineStr">
        <is>
          <t>Single Carrier (Band n50, 100MHz TDD)</t>
        </is>
      </c>
      <c r="Q1837" s="27">
        <f>ROUNDUP(O1837/'Methodology &amp; Assumptions'!$B$8, 0)</f>
        <v/>
      </c>
      <c r="R1837" s="27" t="n">
        <v>1</v>
      </c>
      <c r="S1837" s="26" t="n">
        <v>8.93</v>
      </c>
      <c r="T1837" s="26" t="n">
        <v>16.01</v>
      </c>
      <c r="U1837" s="11">
        <f>IF(S1837&lt;='Methodology &amp; Assumptions'!$B$10, "Direct Optical Drop (&lt;3km)", IF(S1837&lt;='Methodology &amp; Assumptions'!$B$9, "Near Optical / Microwave (&lt;5km)", "Starlink Business LEO Satellite Backhaul (&gt;5km)"))</f>
        <v/>
      </c>
      <c r="V1837" s="26" t="n">
        <v>43.45</v>
      </c>
      <c r="W1837" s="26" t="n">
        <v>71.59999999999999</v>
      </c>
      <c r="X1837" s="26">
        <f>ROUND(('Methodology &amp; Assumptions'!$B$5*V1837) + ('Methodology &amp; Assumptions'!$B$6*W1837), 2)</f>
        <v/>
      </c>
      <c r="Y1837" s="28" t="n">
        <v>23.7</v>
      </c>
      <c r="Z1837" s="11" t="inlineStr">
        <is>
          <t>Priority Tier 3 (Broadband Expansion)</t>
        </is>
      </c>
    </row>
    <row r="1838">
      <c r="A1838" s="23" t="n">
        <v>5</v>
      </c>
      <c r="B1838" s="23" t="n">
        <v>834</v>
      </c>
      <c r="C1838" s="23" t="n">
        <v>4834</v>
      </c>
      <c r="D1838" s="23" t="inlineStr">
        <is>
          <t>0305408044</t>
        </is>
      </c>
      <c r="E1838" s="11" t="inlineStr">
        <is>
          <t>Region III (Central Luzon)</t>
        </is>
      </c>
      <c r="F1838" s="11" t="inlineStr">
        <is>
          <t>Pampanga</t>
        </is>
      </c>
      <c r="G1838" s="11" t="inlineStr">
        <is>
          <t>Lubao</t>
        </is>
      </c>
      <c r="H1838" s="11" t="inlineStr">
        <is>
          <t>Santo Niño</t>
        </is>
      </c>
      <c r="I1838" s="24" t="n">
        <v>14.87184</v>
      </c>
      <c r="J1838" s="24" t="n">
        <v>120.5024</v>
      </c>
      <c r="K1838" s="23" t="inlineStr">
        <is>
          <t>R</t>
        </is>
      </c>
      <c r="L1838" s="25" t="n">
        <v>4087</v>
      </c>
      <c r="M1838" s="26" t="n">
        <v>4</v>
      </c>
      <c r="N1838" s="25">
        <f>ROUND(L1838/M1838, 0)</f>
        <v/>
      </c>
      <c r="O1838" s="25">
        <f>ROUND(N1838*'Methodology &amp; Assumptions'!$B$7, 0)</f>
        <v/>
      </c>
      <c r="P1838" s="23" t="inlineStr">
        <is>
          <t>Single Carrier (Band n50, 100MHz TDD)</t>
        </is>
      </c>
      <c r="Q1838" s="27">
        <f>ROUNDUP(O1838/'Methodology &amp; Assumptions'!$B$8, 0)</f>
        <v/>
      </c>
      <c r="R1838" s="27" t="n">
        <v>1</v>
      </c>
      <c r="S1838" s="26" t="n">
        <v>3.66</v>
      </c>
      <c r="T1838" s="26" t="n">
        <v>0.22</v>
      </c>
      <c r="U1838" s="11">
        <f>IF(S1838&lt;='Methodology &amp; Assumptions'!$B$10, "Direct Optical Drop (&lt;3km)", IF(S1838&lt;='Methodology &amp; Assumptions'!$B$9, "Near Optical / Microwave (&lt;5km)", "Starlink Business LEO Satellite Backhaul (&gt;5km)"))</f>
        <v/>
      </c>
      <c r="V1838" s="26" t="n">
        <v>76.7</v>
      </c>
      <c r="W1838" s="26" t="n">
        <v>38.33</v>
      </c>
      <c r="X1838" s="26">
        <f>ROUND(('Methodology &amp; Assumptions'!$B$5*V1838) + ('Methodology &amp; Assumptions'!$B$6*W1838), 2)</f>
        <v/>
      </c>
      <c r="Y1838" s="28" t="n">
        <v>8.300000000000001</v>
      </c>
      <c r="Z1838" s="11" t="inlineStr">
        <is>
          <t>Priority Tier 3 (Broadband Expansion)</t>
        </is>
      </c>
    </row>
    <row r="1839">
      <c r="A1839" s="23" t="n">
        <v>5</v>
      </c>
      <c r="B1839" s="23" t="n">
        <v>835</v>
      </c>
      <c r="C1839" s="23" t="n">
        <v>4835</v>
      </c>
      <c r="D1839" s="23" t="inlineStr">
        <is>
          <t>0305403028</t>
        </is>
      </c>
      <c r="E1839" s="11" t="inlineStr">
        <is>
          <t>Region III (Central Luzon)</t>
        </is>
      </c>
      <c r="F1839" s="11" t="inlineStr">
        <is>
          <t>Pampanga</t>
        </is>
      </c>
      <c r="G1839" s="11" t="inlineStr">
        <is>
          <t>Arayat</t>
        </is>
      </c>
      <c r="H1839" s="11" t="inlineStr">
        <is>
          <t>San Nicolas</t>
        </is>
      </c>
      <c r="I1839" s="24" t="n">
        <v>15.12833</v>
      </c>
      <c r="J1839" s="24" t="n">
        <v>120.7757</v>
      </c>
      <c r="K1839" s="23" t="inlineStr">
        <is>
          <t>U</t>
        </is>
      </c>
      <c r="L1839" s="25" t="n">
        <v>9371</v>
      </c>
      <c r="M1839" s="26" t="n">
        <v>4</v>
      </c>
      <c r="N1839" s="25">
        <f>ROUND(L1839/M1839, 0)</f>
        <v/>
      </c>
      <c r="O1839" s="25">
        <f>ROUND(N1839*'Methodology &amp; Assumptions'!$B$7, 0)</f>
        <v/>
      </c>
      <c r="P1839" s="23" t="inlineStr">
        <is>
          <t>Single Carrier (Band n50, 100MHz TDD)</t>
        </is>
      </c>
      <c r="Q1839" s="27">
        <f>ROUNDUP(O1839/'Methodology &amp; Assumptions'!$B$8, 0)</f>
        <v/>
      </c>
      <c r="R1839" s="27" t="n">
        <v>1</v>
      </c>
      <c r="S1839" s="26" t="n">
        <v>1.61</v>
      </c>
      <c r="T1839" s="26" t="n">
        <v>0.08</v>
      </c>
      <c r="U1839" s="11">
        <f>IF(S1839&lt;='Methodology &amp; Assumptions'!$B$10, "Direct Optical Drop (&lt;3km)", IF(S1839&lt;='Methodology &amp; Assumptions'!$B$9, "Near Optical / Microwave (&lt;5km)", "Starlink Business LEO Satellite Backhaul (&gt;5km)"))</f>
        <v/>
      </c>
      <c r="V1839" s="26" t="n">
        <v>75.55</v>
      </c>
      <c r="W1839" s="26" t="n">
        <v>39.49</v>
      </c>
      <c r="X1839" s="26">
        <f>ROUND(('Methodology &amp; Assumptions'!$B$5*V1839) + ('Methodology &amp; Assumptions'!$B$6*W1839), 2)</f>
        <v/>
      </c>
      <c r="Y1839" s="28" t="n">
        <v>8.300000000000001</v>
      </c>
      <c r="Z1839" s="11" t="inlineStr">
        <is>
          <t>Priority Tier 3 (Broadband Expansion)</t>
        </is>
      </c>
    </row>
    <row r="1840">
      <c r="A1840" s="23" t="n">
        <v>5</v>
      </c>
      <c r="B1840" s="23" t="n">
        <v>836</v>
      </c>
      <c r="C1840" s="23" t="n">
        <v>4836</v>
      </c>
      <c r="D1840" s="23" t="inlineStr">
        <is>
          <t>0301404016</t>
        </is>
      </c>
      <c r="E1840" s="11" t="inlineStr">
        <is>
          <t>Region III (Central Luzon)</t>
        </is>
      </c>
      <c r="F1840" s="11" t="inlineStr">
        <is>
          <t>Bulacan</t>
        </is>
      </c>
      <c r="G1840" s="11" t="inlineStr">
        <is>
          <t>Bocaue</t>
        </is>
      </c>
      <c r="H1840" s="11" t="inlineStr">
        <is>
          <t>Taal</t>
        </is>
      </c>
      <c r="I1840" s="24" t="n">
        <v>14.812747</v>
      </c>
      <c r="J1840" s="24" t="n">
        <v>120.932825</v>
      </c>
      <c r="K1840" s="23" t="inlineStr">
        <is>
          <t>U</t>
        </is>
      </c>
      <c r="L1840" s="25" t="n">
        <v>9493</v>
      </c>
      <c r="M1840" s="26" t="n">
        <v>3.5</v>
      </c>
      <c r="N1840" s="25">
        <f>ROUND(L1840/M1840, 0)</f>
        <v/>
      </c>
      <c r="O1840" s="25">
        <f>ROUND(N1840*'Methodology &amp; Assumptions'!$B$7, 0)</f>
        <v/>
      </c>
      <c r="P1840" s="23" t="inlineStr">
        <is>
          <t>Single Carrier (Band n50, 100MHz TDD)</t>
        </is>
      </c>
      <c r="Q1840" s="27">
        <f>ROUNDUP(O1840/'Methodology &amp; Assumptions'!$B$8, 0)</f>
        <v/>
      </c>
      <c r="R1840" s="27" t="n">
        <v>1</v>
      </c>
      <c r="S1840" s="26" t="n">
        <v>2.66</v>
      </c>
      <c r="T1840" s="26" t="n">
        <v>1.42</v>
      </c>
      <c r="U1840" s="11">
        <f>IF(S1840&lt;='Methodology &amp; Assumptions'!$B$10, "Direct Optical Drop (&lt;3km)", IF(S1840&lt;='Methodology &amp; Assumptions'!$B$9, "Near Optical / Microwave (&lt;5km)", "Starlink Business LEO Satellite Backhaul (&gt;5km)"))</f>
        <v/>
      </c>
      <c r="V1840" s="26" t="n">
        <v>72.05</v>
      </c>
      <c r="W1840" s="26" t="n">
        <v>43</v>
      </c>
      <c r="X1840" s="26">
        <f>ROUND(('Methodology &amp; Assumptions'!$B$5*V1840) + ('Methodology &amp; Assumptions'!$B$6*W1840), 2)</f>
        <v/>
      </c>
      <c r="Y1840" s="28" t="n">
        <v>8.300000000000001</v>
      </c>
      <c r="Z1840" s="11" t="inlineStr">
        <is>
          <t>Priority Tier 3 (Broadband Expansion)</t>
        </is>
      </c>
    </row>
    <row r="1841">
      <c r="A1841" s="23" t="n">
        <v>5</v>
      </c>
      <c r="B1841" s="23" t="n">
        <v>837</v>
      </c>
      <c r="C1841" s="23" t="n">
        <v>4837</v>
      </c>
      <c r="D1841" s="23" t="inlineStr">
        <is>
          <t>0405814006</t>
        </is>
      </c>
      <c r="E1841" s="11" t="inlineStr">
        <is>
          <t>Region IV-A (CALABARZON)</t>
        </is>
      </c>
      <c r="F1841" s="11" t="inlineStr">
        <is>
          <t>Rizal</t>
        </is>
      </c>
      <c r="G1841" s="11" t="inlineStr">
        <is>
          <t>Teresa</t>
        </is>
      </c>
      <c r="H1841" s="11" t="inlineStr">
        <is>
          <t>Poblacion</t>
        </is>
      </c>
      <c r="I1841" s="24" t="n">
        <v>14.560078</v>
      </c>
      <c r="J1841" s="24" t="n">
        <v>121.212313</v>
      </c>
      <c r="K1841" s="23" t="inlineStr">
        <is>
          <t>U</t>
        </is>
      </c>
      <c r="L1841" s="25" t="n">
        <v>1491</v>
      </c>
      <c r="M1841" s="26" t="n">
        <v>3.6</v>
      </c>
      <c r="N1841" s="25">
        <f>ROUND(L1841/M1841, 0)</f>
        <v/>
      </c>
      <c r="O1841" s="25">
        <f>ROUND(N1841*'Methodology &amp; Assumptions'!$B$7, 0)</f>
        <v/>
      </c>
      <c r="P1841" s="23" t="inlineStr">
        <is>
          <t>Single Carrier (Band n50, 100MHz TDD)</t>
        </is>
      </c>
      <c r="Q1841" s="27">
        <f>ROUNDUP(O1841/'Methodology &amp; Assumptions'!$B$8, 0)</f>
        <v/>
      </c>
      <c r="R1841" s="27" t="n">
        <v>1</v>
      </c>
      <c r="S1841" s="26" t="n">
        <v>0.91</v>
      </c>
      <c r="T1841" s="26" t="n">
        <v>0.21</v>
      </c>
      <c r="U1841" s="11">
        <f>IF(S1841&lt;='Methodology &amp; Assumptions'!$B$10, "Direct Optical Drop (&lt;3km)", IF(S1841&lt;='Methodology &amp; Assumptions'!$B$9, "Near Optical / Microwave (&lt;5km)", "Starlink Business LEO Satellite Backhaul (&gt;5km)"))</f>
        <v/>
      </c>
      <c r="V1841" s="26" t="n">
        <v>64.88</v>
      </c>
      <c r="W1841" s="26" t="n">
        <v>50.17</v>
      </c>
      <c r="X1841" s="26">
        <f>ROUND(('Methodology &amp; Assumptions'!$B$5*V1841) + ('Methodology &amp; Assumptions'!$B$6*W1841), 2)</f>
        <v/>
      </c>
      <c r="Y1841" s="28" t="n">
        <v>7.2</v>
      </c>
      <c r="Z1841" s="11" t="inlineStr">
        <is>
          <t>Priority Tier 3 (Broadband Expansion)</t>
        </is>
      </c>
    </row>
    <row r="1842">
      <c r="A1842" s="23" t="n">
        <v>5</v>
      </c>
      <c r="B1842" s="23" t="n">
        <v>838</v>
      </c>
      <c r="C1842" s="23" t="n">
        <v>4838</v>
      </c>
      <c r="D1842" s="23" t="inlineStr">
        <is>
          <t>1381600013</t>
        </is>
      </c>
      <c r="E1842" s="11" t="inlineStr">
        <is>
          <t>National Capital Region (NCR)</t>
        </is>
      </c>
      <c r="F1842" s="11" t="inlineStr">
        <is>
          <t>Third District (Not a Province)</t>
        </is>
      </c>
      <c r="G1842" s="11" t="inlineStr">
        <is>
          <t>City of Valenzuela</t>
        </is>
      </c>
      <c r="H1842" s="11" t="inlineStr">
        <is>
          <t>Lawang Bato</t>
        </is>
      </c>
      <c r="I1842" s="24" t="n">
        <v>14.730506</v>
      </c>
      <c r="J1842" s="24" t="n">
        <v>120.993921</v>
      </c>
      <c r="K1842" s="23" t="inlineStr">
        <is>
          <t>U</t>
        </is>
      </c>
      <c r="L1842" s="25" t="n">
        <v>23880</v>
      </c>
      <c r="M1842" s="26" t="n">
        <v>3.03</v>
      </c>
      <c r="N1842" s="25">
        <f>ROUND(L1842/M1842, 0)</f>
        <v/>
      </c>
      <c r="O1842" s="25">
        <f>ROUND(N1842*'Methodology &amp; Assumptions'!$B$7, 0)</f>
        <v/>
      </c>
      <c r="P1842" s="23" t="inlineStr">
        <is>
          <t>Single Carrier (Band n50, 100MHz TDD)</t>
        </is>
      </c>
      <c r="Q1842" s="27">
        <f>ROUNDUP(O1842/'Methodology &amp; Assumptions'!$B$8, 0)</f>
        <v/>
      </c>
      <c r="R1842" s="27" t="n">
        <v>1</v>
      </c>
      <c r="S1842" s="26" t="n">
        <v>2.84</v>
      </c>
      <c r="T1842" s="26" t="n">
        <v>0.09</v>
      </c>
      <c r="U1842" s="11">
        <f>IF(S1842&lt;='Methodology &amp; Assumptions'!$B$10, "Direct Optical Drop (&lt;3km)", IF(S1842&lt;='Methodology &amp; Assumptions'!$B$9, "Near Optical / Microwave (&lt;5km)", "Starlink Business LEO Satellite Backhaul (&gt;5km)"))</f>
        <v/>
      </c>
      <c r="V1842" s="26" t="n">
        <v>60.6</v>
      </c>
      <c r="W1842" s="26" t="n">
        <v>54.44</v>
      </c>
      <c r="X1842" s="26">
        <f>ROUND(('Methodology &amp; Assumptions'!$B$5*V1842) + ('Methodology &amp; Assumptions'!$B$6*W1842), 2)</f>
        <v/>
      </c>
      <c r="Y1842" s="28" t="n">
        <v>10.9</v>
      </c>
      <c r="Z1842" s="11" t="inlineStr">
        <is>
          <t>Priority Tier 3 (Broadband Expansion)</t>
        </is>
      </c>
    </row>
    <row r="1843">
      <c r="A1843" s="23" t="n">
        <v>5</v>
      </c>
      <c r="B1843" s="23" t="n">
        <v>839</v>
      </c>
      <c r="C1843" s="23" t="n">
        <v>4839</v>
      </c>
      <c r="D1843" s="23" t="inlineStr">
        <is>
          <t>1380601245</t>
        </is>
      </c>
      <c r="E1843" s="11" t="inlineStr">
        <is>
          <t>National Capital Region (NCR)</t>
        </is>
      </c>
      <c r="F1843" s="11" t="inlineStr">
        <is>
          <t>First District (Not a Province)</t>
        </is>
      </c>
      <c r="G1843" s="11" t="inlineStr">
        <is>
          <t>City of Manila</t>
        </is>
      </c>
      <c r="H1843" s="11" t="inlineStr">
        <is>
          <t>Barangay 244</t>
        </is>
      </c>
      <c r="I1843" s="24" t="n">
        <v>14.612681</v>
      </c>
      <c r="J1843" s="24" t="n">
        <v>120.97556</v>
      </c>
      <c r="K1843" s="23" t="inlineStr">
        <is>
          <t>U</t>
        </is>
      </c>
      <c r="L1843" s="25" t="n">
        <v>659</v>
      </c>
      <c r="M1843" s="26" t="n">
        <v>4.28</v>
      </c>
      <c r="N1843" s="25">
        <f>ROUND(L1843/M1843, 0)</f>
        <v/>
      </c>
      <c r="O1843" s="25">
        <f>ROUND(N1843*'Methodology &amp; Assumptions'!$B$7, 0)</f>
        <v/>
      </c>
      <c r="P1843" s="23" t="inlineStr">
        <is>
          <t>Single Carrier (Band n50, 100MHz TDD)</t>
        </is>
      </c>
      <c r="Q1843" s="27">
        <f>ROUNDUP(O1843/'Methodology &amp; Assumptions'!$B$8, 0)</f>
        <v/>
      </c>
      <c r="R1843" s="27" t="n">
        <v>1</v>
      </c>
      <c r="S1843" s="26" t="n">
        <v>0.89</v>
      </c>
      <c r="T1843" s="26" t="n">
        <v>0.49</v>
      </c>
      <c r="U1843" s="11">
        <f>IF(S1843&lt;='Methodology &amp; Assumptions'!$B$10, "Direct Optical Drop (&lt;3km)", IF(S1843&lt;='Methodology &amp; Assumptions'!$B$9, "Near Optical / Microwave (&lt;5km)", "Starlink Business LEO Satellite Backhaul (&gt;5km)"))</f>
        <v/>
      </c>
      <c r="V1843" s="26" t="n">
        <v>45.82</v>
      </c>
      <c r="W1843" s="26" t="n">
        <v>69.20999999999999</v>
      </c>
      <c r="X1843" s="26">
        <f>ROUND(('Methodology &amp; Assumptions'!$B$5*V1843) + ('Methodology &amp; Assumptions'!$B$6*W1843), 2)</f>
        <v/>
      </c>
      <c r="Y1843" s="28" t="n">
        <v>10.9</v>
      </c>
      <c r="Z1843" s="11" t="inlineStr">
        <is>
          <t>Priority Tier 3 (Broadband Expansion)</t>
        </is>
      </c>
    </row>
    <row r="1844">
      <c r="A1844" s="23" t="n">
        <v>5</v>
      </c>
      <c r="B1844" s="23" t="n">
        <v>840</v>
      </c>
      <c r="C1844" s="23" t="n">
        <v>4840</v>
      </c>
      <c r="D1844" s="23" t="inlineStr">
        <is>
          <t>1380605058</t>
        </is>
      </c>
      <c r="E1844" s="11" t="inlineStr">
        <is>
          <t>National Capital Region (NCR)</t>
        </is>
      </c>
      <c r="F1844" s="11" t="inlineStr">
        <is>
          <t>First District (Not a Province)</t>
        </is>
      </c>
      <c r="G1844" s="11" t="inlineStr">
        <is>
          <t>City of Manila</t>
        </is>
      </c>
      <c r="H1844" s="11" t="inlineStr">
        <is>
          <t>Barangay 356</t>
        </is>
      </c>
      <c r="I1844" s="24" t="n">
        <v>14.622203</v>
      </c>
      <c r="J1844" s="24" t="n">
        <v>120.981892</v>
      </c>
      <c r="K1844" s="23" t="inlineStr">
        <is>
          <t>U</t>
        </is>
      </c>
      <c r="L1844" s="25" t="n">
        <v>443</v>
      </c>
      <c r="M1844" s="26" t="n">
        <v>3.66</v>
      </c>
      <c r="N1844" s="25">
        <f>ROUND(L1844/M1844, 0)</f>
        <v/>
      </c>
      <c r="O1844" s="25">
        <f>ROUND(N1844*'Methodology &amp; Assumptions'!$B$7, 0)</f>
        <v/>
      </c>
      <c r="P1844" s="23" t="inlineStr">
        <is>
          <t>Single Carrier (Band n50, 100MHz TDD)</t>
        </is>
      </c>
      <c r="Q1844" s="27">
        <f>ROUNDUP(O1844/'Methodology &amp; Assumptions'!$B$8, 0)</f>
        <v/>
      </c>
      <c r="R1844" s="27" t="n">
        <v>1</v>
      </c>
      <c r="S1844" s="26" t="n">
        <v>0.64</v>
      </c>
      <c r="T1844" s="26" t="n">
        <v>0.14</v>
      </c>
      <c r="U1844" s="11">
        <f>IF(S1844&lt;='Methodology &amp; Assumptions'!$B$10, "Direct Optical Drop (&lt;3km)", IF(S1844&lt;='Methodology &amp; Assumptions'!$B$9, "Near Optical / Microwave (&lt;5km)", "Starlink Business LEO Satellite Backhaul (&gt;5km)"))</f>
        <v/>
      </c>
      <c r="V1844" s="26" t="n">
        <v>44.95</v>
      </c>
      <c r="W1844" s="26" t="n">
        <v>70.09</v>
      </c>
      <c r="X1844" s="26">
        <f>ROUND(('Methodology &amp; Assumptions'!$B$5*V1844) + ('Methodology &amp; Assumptions'!$B$6*W1844), 2)</f>
        <v/>
      </c>
      <c r="Y1844" s="28" t="n">
        <v>10.9</v>
      </c>
      <c r="Z1844" s="11" t="inlineStr">
        <is>
          <t>Priority Tier 3 (Broadband Expansion)</t>
        </is>
      </c>
    </row>
    <row r="1845">
      <c r="A1845" s="23" t="n">
        <v>5</v>
      </c>
      <c r="B1845" s="23" t="n">
        <v>841</v>
      </c>
      <c r="C1845" s="23" t="n">
        <v>4841</v>
      </c>
      <c r="D1845" s="23" t="inlineStr">
        <is>
          <t>0405632004</t>
        </is>
      </c>
      <c r="E1845" s="11" t="inlineStr">
        <is>
          <t>Region IV-A (CALABARZON)</t>
        </is>
      </c>
      <c r="F1845" s="11" t="inlineStr">
        <is>
          <t>Quezon</t>
        </is>
      </c>
      <c r="G1845" s="11" t="inlineStr">
        <is>
          <t>Patnanungan</t>
        </is>
      </c>
      <c r="H1845" s="11" t="inlineStr">
        <is>
          <t>Luod</t>
        </is>
      </c>
      <c r="I1845" s="24" t="n">
        <v>14.820941</v>
      </c>
      <c r="J1845" s="24" t="n">
        <v>122.124109</v>
      </c>
      <c r="K1845" s="23" t="inlineStr">
        <is>
          <t>R</t>
        </is>
      </c>
      <c r="L1845" s="25" t="n">
        <v>1004</v>
      </c>
      <c r="M1845" s="26" t="n">
        <v>3.8</v>
      </c>
      <c r="N1845" s="25">
        <f>ROUND(L1845/M1845, 0)</f>
        <v/>
      </c>
      <c r="O1845" s="25">
        <f>ROUND(N1845*'Methodology &amp; Assumptions'!$B$7, 0)</f>
        <v/>
      </c>
      <c r="P1845" s="23" t="inlineStr">
        <is>
          <t>Single Carrier (Band n50, 100MHz TDD)</t>
        </is>
      </c>
      <c r="Q1845" s="27">
        <f>ROUNDUP(O1845/'Methodology &amp; Assumptions'!$B$8, 0)</f>
        <v/>
      </c>
      <c r="R1845" s="27" t="n">
        <v>1</v>
      </c>
      <c r="S1845" s="26" t="n">
        <v>49.84</v>
      </c>
      <c r="T1845" s="26" t="n">
        <v>75.37</v>
      </c>
      <c r="U1845" s="11">
        <f>IF(S1845&lt;='Methodology &amp; Assumptions'!$B$10, "Direct Optical Drop (&lt;3km)", IF(S1845&lt;='Methodology &amp; Assumptions'!$B$9, "Near Optical / Microwave (&lt;5km)", "Starlink Business LEO Satellite Backhaul (&gt;5km)"))</f>
        <v/>
      </c>
      <c r="V1845" s="26" t="n">
        <v>44.83</v>
      </c>
      <c r="W1845" s="26" t="n">
        <v>70.20999999999999</v>
      </c>
      <c r="X1845" s="26">
        <f>ROUND(('Methodology &amp; Assumptions'!$B$5*V1845) + ('Methodology &amp; Assumptions'!$B$6*W1845), 2)</f>
        <v/>
      </c>
      <c r="Y1845" s="28" t="n">
        <v>7.2</v>
      </c>
      <c r="Z1845" s="11" t="inlineStr">
        <is>
          <t>Priority Tier 3 (Broadband Expansion)</t>
        </is>
      </c>
    </row>
    <row r="1846">
      <c r="A1846" s="23" t="n">
        <v>5</v>
      </c>
      <c r="B1846" s="23" t="n">
        <v>842</v>
      </c>
      <c r="C1846" s="23" t="n">
        <v>4842</v>
      </c>
      <c r="D1846" s="23" t="inlineStr">
        <is>
          <t>1381100149</t>
        </is>
      </c>
      <c r="E1846" s="11" t="inlineStr">
        <is>
          <t>National Capital Region (NCR)</t>
        </is>
      </c>
      <c r="F1846" s="11" t="inlineStr">
        <is>
          <t>Fourth District (Not a Province)</t>
        </is>
      </c>
      <c r="G1846" s="11" t="inlineStr">
        <is>
          <t>Pasay City</t>
        </is>
      </c>
      <c r="H1846" s="11" t="inlineStr">
        <is>
          <t>Barangay 149</t>
        </is>
      </c>
      <c r="I1846" s="24" t="n">
        <v>14.535143</v>
      </c>
      <c r="J1846" s="24" t="n">
        <v>121.003706</v>
      </c>
      <c r="K1846" s="23" t="inlineStr">
        <is>
          <t>U</t>
        </is>
      </c>
      <c r="L1846" s="25" t="n">
        <v>365</v>
      </c>
      <c r="M1846" s="26" t="n">
        <v>3.29</v>
      </c>
      <c r="N1846" s="25">
        <f>ROUND(L1846/M1846, 0)</f>
        <v/>
      </c>
      <c r="O1846" s="25">
        <f>ROUND(N1846*'Methodology &amp; Assumptions'!$B$7, 0)</f>
        <v/>
      </c>
      <c r="P1846" s="23" t="inlineStr">
        <is>
          <t>Single Carrier (Band n50, 100MHz TDD)</t>
        </is>
      </c>
      <c r="Q1846" s="27">
        <f>ROUNDUP(O1846/'Methodology &amp; Assumptions'!$B$8, 0)</f>
        <v/>
      </c>
      <c r="R1846" s="27" t="n">
        <v>1</v>
      </c>
      <c r="S1846" s="26" t="n">
        <v>1.07</v>
      </c>
      <c r="T1846" s="26" t="n">
        <v>0.2</v>
      </c>
      <c r="U1846" s="11">
        <f>IF(S1846&lt;='Methodology &amp; Assumptions'!$B$10, "Direct Optical Drop (&lt;3km)", IF(S1846&lt;='Methodology &amp; Assumptions'!$B$9, "Near Optical / Microwave (&lt;5km)", "Starlink Business LEO Satellite Backhaul (&gt;5km)"))</f>
        <v/>
      </c>
      <c r="V1846" s="26" t="n">
        <v>43.74</v>
      </c>
      <c r="W1846" s="26" t="n">
        <v>71.3</v>
      </c>
      <c r="X1846" s="26">
        <f>ROUND(('Methodology &amp; Assumptions'!$B$5*V1846) + ('Methodology &amp; Assumptions'!$B$6*W1846), 2)</f>
        <v/>
      </c>
      <c r="Y1846" s="28" t="n">
        <v>10.9</v>
      </c>
      <c r="Z1846" s="11" t="inlineStr">
        <is>
          <t>Priority Tier 3 (Broadband Expansion)</t>
        </is>
      </c>
    </row>
    <row r="1847">
      <c r="A1847" s="23" t="n">
        <v>5</v>
      </c>
      <c r="B1847" s="23" t="n">
        <v>843</v>
      </c>
      <c r="C1847" s="23" t="n">
        <v>4843</v>
      </c>
      <c r="D1847" s="23" t="inlineStr">
        <is>
          <t>0502004010</t>
        </is>
      </c>
      <c r="E1847" s="11" t="inlineStr">
        <is>
          <t>Region V (Bicol Region)</t>
        </is>
      </c>
      <c r="F1847" s="11" t="inlineStr">
        <is>
          <t>Catanduanes</t>
        </is>
      </c>
      <c r="G1847" s="11" t="inlineStr">
        <is>
          <t>Caramoran</t>
        </is>
      </c>
      <c r="H1847" s="11" t="inlineStr">
        <is>
          <t>Guiamlong</t>
        </is>
      </c>
      <c r="I1847" s="24" t="n">
        <v>13.806951</v>
      </c>
      <c r="J1847" s="24" t="n">
        <v>124.158758</v>
      </c>
      <c r="K1847" s="23" t="inlineStr">
        <is>
          <t>R</t>
        </is>
      </c>
      <c r="L1847" s="25" t="n">
        <v>757</v>
      </c>
      <c r="M1847" s="26" t="n">
        <v>4.2</v>
      </c>
      <c r="N1847" s="25">
        <f>ROUND(L1847/M1847, 0)</f>
        <v/>
      </c>
      <c r="O1847" s="25">
        <f>ROUND(N1847*'Methodology &amp; Assumptions'!$B$7, 0)</f>
        <v/>
      </c>
      <c r="P1847" s="23" t="inlineStr">
        <is>
          <t>Single Carrier (Band n50, 100MHz TDD)</t>
        </is>
      </c>
      <c r="Q1847" s="27">
        <f>ROUNDUP(O1847/'Methodology &amp; Assumptions'!$B$8, 0)</f>
        <v/>
      </c>
      <c r="R1847" s="27" t="n">
        <v>1</v>
      </c>
      <c r="S1847" s="26" t="n">
        <v>32.1</v>
      </c>
      <c r="T1847" s="26" t="n">
        <v>64.38</v>
      </c>
      <c r="U1847" s="11">
        <f>IF(S1847&lt;='Methodology &amp; Assumptions'!$B$10, "Direct Optical Drop (&lt;3km)", IF(S1847&lt;='Methodology &amp; Assumptions'!$B$9, "Near Optical / Microwave (&lt;5km)", "Starlink Business LEO Satellite Backhaul (&gt;5km)"))</f>
        <v/>
      </c>
      <c r="V1847" s="26" t="n">
        <v>41.68</v>
      </c>
      <c r="W1847" s="26" t="n">
        <v>73.36</v>
      </c>
      <c r="X1847" s="26">
        <f>ROUND(('Methodology &amp; Assumptions'!$B$5*V1847) + ('Methodology &amp; Assumptions'!$B$6*W1847), 2)</f>
        <v/>
      </c>
      <c r="Y1847" s="28" t="n">
        <v>23.7</v>
      </c>
      <c r="Z1847" s="11" t="inlineStr">
        <is>
          <t>Priority Tier 3 (Broadband Expansion)</t>
        </is>
      </c>
    </row>
    <row r="1848">
      <c r="A1848" s="23" t="n">
        <v>5</v>
      </c>
      <c r="B1848" s="23" t="n">
        <v>844</v>
      </c>
      <c r="C1848" s="23" t="n">
        <v>4844</v>
      </c>
      <c r="D1848" s="23" t="inlineStr">
        <is>
          <t>0600602015</t>
        </is>
      </c>
      <c r="E1848" s="11" t="inlineStr">
        <is>
          <t>Region VI (Western Visayas)</t>
        </is>
      </c>
      <c r="F1848" s="11" t="inlineStr">
        <is>
          <t>Antique</t>
        </is>
      </c>
      <c r="G1848" s="11" t="inlineStr">
        <is>
          <t>Barbaza</t>
        </is>
      </c>
      <c r="H1848" s="11" t="inlineStr">
        <is>
          <t>Idao</t>
        </is>
      </c>
      <c r="I1848" s="24" t="n">
        <v>11.271682</v>
      </c>
      <c r="J1848" s="24" t="n">
        <v>122.097155</v>
      </c>
      <c r="K1848" s="23" t="inlineStr">
        <is>
          <t>R</t>
        </is>
      </c>
      <c r="L1848" s="25" t="n">
        <v>255</v>
      </c>
      <c r="M1848" s="26" t="n">
        <v>3.9</v>
      </c>
      <c r="N1848" s="25">
        <f>ROUND(L1848/M1848, 0)</f>
        <v/>
      </c>
      <c r="O1848" s="25">
        <f>ROUND(N1848*'Methodology &amp; Assumptions'!$B$7, 0)</f>
        <v/>
      </c>
      <c r="P1848" s="23" t="inlineStr">
        <is>
          <t>Single Carrier (Band n50, 100MHz TDD)</t>
        </is>
      </c>
      <c r="Q1848" s="27">
        <f>ROUNDUP(O1848/'Methodology &amp; Assumptions'!$B$8, 0)</f>
        <v/>
      </c>
      <c r="R1848" s="27" t="n">
        <v>1</v>
      </c>
      <c r="S1848" s="26" t="n">
        <v>43.91</v>
      </c>
      <c r="T1848" s="26" t="n">
        <v>43.68</v>
      </c>
      <c r="U1848" s="11">
        <f>IF(S1848&lt;='Methodology &amp; Assumptions'!$B$10, "Direct Optical Drop (&lt;3km)", IF(S1848&lt;='Methodology &amp; Assumptions'!$B$9, "Near Optical / Microwave (&lt;5km)", "Starlink Business LEO Satellite Backhaul (&gt;5km)"))</f>
        <v/>
      </c>
      <c r="V1848" s="26" t="n">
        <v>38.24</v>
      </c>
      <c r="W1848" s="26" t="n">
        <v>76.81</v>
      </c>
      <c r="X1848" s="26">
        <f>ROUND(('Methodology &amp; Assumptions'!$B$5*V1848) + ('Methodology &amp; Assumptions'!$B$6*W1848), 2)</f>
        <v/>
      </c>
      <c r="Y1848" s="28" t="n">
        <v>23.7</v>
      </c>
      <c r="Z1848" s="11" t="inlineStr">
        <is>
          <t>Priority Tier 3 (Broadband Expansion)</t>
        </is>
      </c>
    </row>
    <row r="1849">
      <c r="A1849" s="23" t="n">
        <v>5</v>
      </c>
      <c r="B1849" s="23" t="n">
        <v>845</v>
      </c>
      <c r="C1849" s="23" t="n">
        <v>4845</v>
      </c>
      <c r="D1849" s="23" t="inlineStr">
        <is>
          <t>0604521010</t>
        </is>
      </c>
      <c r="E1849" s="11" t="inlineStr">
        <is>
          <t>Region VI (Western Visayas)</t>
        </is>
      </c>
      <c r="F1849" s="11" t="inlineStr">
        <is>
          <t>Negros Occidental</t>
        </is>
      </c>
      <c r="G1849" s="11" t="inlineStr">
        <is>
          <t>Pontevedra</t>
        </is>
      </c>
      <c r="H1849" s="11" t="inlineStr">
        <is>
          <t>Canroma</t>
        </is>
      </c>
      <c r="I1849" s="24" t="n">
        <v>10.360125</v>
      </c>
      <c r="J1849" s="24" t="n">
        <v>122.879885</v>
      </c>
      <c r="K1849" s="23" t="inlineStr">
        <is>
          <t>R</t>
        </is>
      </c>
      <c r="L1849" s="25" t="n">
        <v>3451</v>
      </c>
      <c r="M1849" s="26" t="n">
        <v>3.7</v>
      </c>
      <c r="N1849" s="25">
        <f>ROUND(L1849/M1849, 0)</f>
        <v/>
      </c>
      <c r="O1849" s="25">
        <f>ROUND(N1849*'Methodology &amp; Assumptions'!$B$7, 0)</f>
        <v/>
      </c>
      <c r="P1849" s="23" t="inlineStr">
        <is>
          <t>Single Carrier (Band n50, 100MHz TDD)</t>
        </is>
      </c>
      <c r="Q1849" s="27">
        <f>ROUNDUP(O1849/'Methodology &amp; Assumptions'!$B$8, 0)</f>
        <v/>
      </c>
      <c r="R1849" s="27" t="n">
        <v>1</v>
      </c>
      <c r="S1849" s="26" t="n">
        <v>1.91</v>
      </c>
      <c r="T1849" s="26" t="n">
        <v>1.11</v>
      </c>
      <c r="U1849" s="11">
        <f>IF(S1849&lt;='Methodology &amp; Assumptions'!$B$10, "Direct Optical Drop (&lt;3km)", IF(S1849&lt;='Methodology &amp; Assumptions'!$B$9, "Near Optical / Microwave (&lt;5km)", "Starlink Business LEO Satellite Backhaul (&gt;5km)"))</f>
        <v/>
      </c>
      <c r="V1849" s="26" t="n">
        <v>84.13</v>
      </c>
      <c r="W1849" s="26" t="n">
        <v>30.9</v>
      </c>
      <c r="X1849" s="26">
        <f>ROUND(('Methodology &amp; Assumptions'!$B$5*V1849) + ('Methodology &amp; Assumptions'!$B$6*W1849), 2)</f>
        <v/>
      </c>
      <c r="Y1849" s="28" t="n">
        <v>23.7</v>
      </c>
      <c r="Z1849" s="11" t="inlineStr">
        <is>
          <t>Priority Tier 3 (Broadband Expansion)</t>
        </is>
      </c>
    </row>
    <row r="1850">
      <c r="A1850" s="23" t="n">
        <v>5</v>
      </c>
      <c r="B1850" s="23" t="n">
        <v>846</v>
      </c>
      <c r="C1850" s="23" t="n">
        <v>4846</v>
      </c>
      <c r="D1850" s="23" t="inlineStr">
        <is>
          <t>0304913022</t>
        </is>
      </c>
      <c r="E1850" s="11" t="inlineStr">
        <is>
          <t>Region III (Central Luzon)</t>
        </is>
      </c>
      <c r="F1850" s="11" t="inlineStr">
        <is>
          <t>Nueva Ecija</t>
        </is>
      </c>
      <c r="G1850" s="11" t="inlineStr">
        <is>
          <t>Laur</t>
        </is>
      </c>
      <c r="H1850" s="11" t="inlineStr">
        <is>
          <t>Siclong</t>
        </is>
      </c>
      <c r="I1850" s="24" t="n">
        <v>15.580529</v>
      </c>
      <c r="J1850" s="24" t="n">
        <v>121.222566</v>
      </c>
      <c r="K1850" s="23" t="inlineStr">
        <is>
          <t>R</t>
        </is>
      </c>
      <c r="L1850" s="25" t="n">
        <v>3705</v>
      </c>
      <c r="M1850" s="26" t="n">
        <v>3.5</v>
      </c>
      <c r="N1850" s="25">
        <f>ROUND(L1850/M1850, 0)</f>
        <v/>
      </c>
      <c r="O1850" s="25">
        <f>ROUND(N1850*'Methodology &amp; Assumptions'!$B$7, 0)</f>
        <v/>
      </c>
      <c r="P1850" s="23" t="inlineStr">
        <is>
          <t>Single Carrier (Band n50, 100MHz TDD)</t>
        </is>
      </c>
      <c r="Q1850" s="27">
        <f>ROUNDUP(O1850/'Methodology &amp; Assumptions'!$B$8, 0)</f>
        <v/>
      </c>
      <c r="R1850" s="27" t="n">
        <v>1</v>
      </c>
      <c r="S1850" s="26" t="n">
        <v>2.38</v>
      </c>
      <c r="T1850" s="26" t="n">
        <v>8.880000000000001</v>
      </c>
      <c r="U1850" s="11">
        <f>IF(S1850&lt;='Methodology &amp; Assumptions'!$B$10, "Direct Optical Drop (&lt;3km)", IF(S1850&lt;='Methodology &amp; Assumptions'!$B$9, "Near Optical / Microwave (&lt;5km)", "Starlink Business LEO Satellite Backhaul (&gt;5km)"))</f>
        <v/>
      </c>
      <c r="V1850" s="26" t="n">
        <v>76.62</v>
      </c>
      <c r="W1850" s="26" t="n">
        <v>38.4</v>
      </c>
      <c r="X1850" s="26">
        <f>ROUND(('Methodology &amp; Assumptions'!$B$5*V1850) + ('Methodology &amp; Assumptions'!$B$6*W1850), 2)</f>
        <v/>
      </c>
      <c r="Y1850" s="28" t="n">
        <v>8.300000000000001</v>
      </c>
      <c r="Z1850" s="11" t="inlineStr">
        <is>
          <t>Priority Tier 3 (Broadband Expansion)</t>
        </is>
      </c>
    </row>
    <row r="1851">
      <c r="A1851" s="23" t="n">
        <v>5</v>
      </c>
      <c r="B1851" s="23" t="n">
        <v>847</v>
      </c>
      <c r="C1851" s="23" t="n">
        <v>4847</v>
      </c>
      <c r="D1851" s="23" t="inlineStr">
        <is>
          <t>0506213050</t>
        </is>
      </c>
      <c r="E1851" s="11" t="inlineStr">
        <is>
          <t>Region V (Bicol Region)</t>
        </is>
      </c>
      <c r="F1851" s="11" t="inlineStr">
        <is>
          <t>Sorsogon</t>
        </is>
      </c>
      <c r="G1851" s="11" t="inlineStr">
        <is>
          <t>Pilar</t>
        </is>
      </c>
      <c r="H1851" s="11" t="inlineStr">
        <is>
          <t>San Rafael</t>
        </is>
      </c>
      <c r="I1851" s="24" t="n">
        <v>12.901301</v>
      </c>
      <c r="J1851" s="24" t="n">
        <v>123.692873</v>
      </c>
      <c r="K1851" s="23" t="inlineStr">
        <is>
          <t>R</t>
        </is>
      </c>
      <c r="L1851" s="25" t="n">
        <v>3378</v>
      </c>
      <c r="M1851" s="26" t="n">
        <v>4</v>
      </c>
      <c r="N1851" s="25">
        <f>ROUND(L1851/M1851, 0)</f>
        <v/>
      </c>
      <c r="O1851" s="25">
        <f>ROUND(N1851*'Methodology &amp; Assumptions'!$B$7, 0)</f>
        <v/>
      </c>
      <c r="P1851" s="23" t="inlineStr">
        <is>
          <t>Single Carrier (Band n50, 100MHz TDD)</t>
        </is>
      </c>
      <c r="Q1851" s="27">
        <f>ROUNDUP(O1851/'Methodology &amp; Assumptions'!$B$8, 0)</f>
        <v/>
      </c>
      <c r="R1851" s="27" t="n">
        <v>1</v>
      </c>
      <c r="S1851" s="26" t="n">
        <v>4.53</v>
      </c>
      <c r="T1851" s="26" t="n">
        <v>11.4</v>
      </c>
      <c r="U1851" s="11">
        <f>IF(S1851&lt;='Methodology &amp; Assumptions'!$B$10, "Direct Optical Drop (&lt;3km)", IF(S1851&lt;='Methodology &amp; Assumptions'!$B$9, "Near Optical / Microwave (&lt;5km)", "Starlink Business LEO Satellite Backhaul (&gt;5km)"))</f>
        <v/>
      </c>
      <c r="V1851" s="26" t="n">
        <v>72.95999999999999</v>
      </c>
      <c r="W1851" s="26" t="n">
        <v>42.06</v>
      </c>
      <c r="X1851" s="26">
        <f>ROUND(('Methodology &amp; Assumptions'!$B$5*V1851) + ('Methodology &amp; Assumptions'!$B$6*W1851), 2)</f>
        <v/>
      </c>
      <c r="Y1851" s="28" t="n">
        <v>23.7</v>
      </c>
      <c r="Z1851" s="11" t="inlineStr">
        <is>
          <t>Priority Tier 3 (Broadband Expansion)</t>
        </is>
      </c>
    </row>
    <row r="1852">
      <c r="A1852" s="23" t="n">
        <v>5</v>
      </c>
      <c r="B1852" s="23" t="n">
        <v>848</v>
      </c>
      <c r="C1852" s="23" t="n">
        <v>4848</v>
      </c>
      <c r="D1852" s="23" t="inlineStr">
        <is>
          <t>0401033011</t>
        </is>
      </c>
      <c r="E1852" s="11" t="inlineStr">
        <is>
          <t>Region IV-A (CALABARZON)</t>
        </is>
      </c>
      <c r="F1852" s="11" t="inlineStr">
        <is>
          <t>Batangas</t>
        </is>
      </c>
      <c r="G1852" s="11" t="inlineStr">
        <is>
          <t>Tingloy</t>
        </is>
      </c>
      <c r="H1852" s="11" t="inlineStr">
        <is>
          <t>San Isidro</t>
        </is>
      </c>
      <c r="I1852" s="24" t="n">
        <v>13.6354</v>
      </c>
      <c r="J1852" s="24" t="n">
        <v>120.9097</v>
      </c>
      <c r="K1852" s="23" t="inlineStr">
        <is>
          <t>R</t>
        </is>
      </c>
      <c r="L1852" s="25" t="n">
        <v>1661</v>
      </c>
      <c r="M1852" s="26" t="n">
        <v>3.6</v>
      </c>
      <c r="N1852" s="25">
        <f>ROUND(L1852/M1852, 0)</f>
        <v/>
      </c>
      <c r="O1852" s="25">
        <f>ROUND(N1852*'Methodology &amp; Assumptions'!$B$7, 0)</f>
        <v/>
      </c>
      <c r="P1852" s="23" t="inlineStr">
        <is>
          <t>Single Carrier (Band n50, 100MHz TDD)</t>
        </is>
      </c>
      <c r="Q1852" s="27">
        <f>ROUNDUP(O1852/'Methodology &amp; Assumptions'!$B$8, 0)</f>
        <v/>
      </c>
      <c r="R1852" s="27" t="n">
        <v>1</v>
      </c>
      <c r="S1852" s="26" t="n">
        <v>6.19</v>
      </c>
      <c r="T1852" s="26" t="n">
        <v>14.34</v>
      </c>
      <c r="U1852" s="11">
        <f>IF(S1852&lt;='Methodology &amp; Assumptions'!$B$10, "Direct Optical Drop (&lt;3km)", IF(S1852&lt;='Methodology &amp; Assumptions'!$B$9, "Near Optical / Microwave (&lt;5km)", "Starlink Business LEO Satellite Backhaul (&gt;5km)"))</f>
        <v/>
      </c>
      <c r="V1852" s="26" t="n">
        <v>59.68</v>
      </c>
      <c r="W1852" s="26" t="n">
        <v>55.34</v>
      </c>
      <c r="X1852" s="26">
        <f>ROUND(('Methodology &amp; Assumptions'!$B$5*V1852) + ('Methodology &amp; Assumptions'!$B$6*W1852), 2)</f>
        <v/>
      </c>
      <c r="Y1852" s="28" t="n">
        <v>7.2</v>
      </c>
      <c r="Z1852" s="11" t="inlineStr">
        <is>
          <t>Priority Tier 3 (Broadband Expansion)</t>
        </is>
      </c>
    </row>
    <row r="1853">
      <c r="A1853" s="23" t="n">
        <v>5</v>
      </c>
      <c r="B1853" s="23" t="n">
        <v>849</v>
      </c>
      <c r="C1853" s="23" t="n">
        <v>4849</v>
      </c>
      <c r="D1853" s="23" t="inlineStr">
        <is>
          <t>0603002030</t>
        </is>
      </c>
      <c r="E1853" s="11" t="inlineStr">
        <is>
          <t>Region VI (Western Visayas)</t>
        </is>
      </c>
      <c r="F1853" s="11" t="inlineStr">
        <is>
          <t>Iloilo</t>
        </is>
      </c>
      <c r="G1853" s="11" t="inlineStr">
        <is>
          <t>Alimodian</t>
        </is>
      </c>
      <c r="H1853" s="11" t="inlineStr">
        <is>
          <t>Lico</t>
        </is>
      </c>
      <c r="I1853" s="24" t="n">
        <v>10.920451</v>
      </c>
      <c r="J1853" s="24" t="n">
        <v>122.310579</v>
      </c>
      <c r="K1853" s="23" t="inlineStr">
        <is>
          <t>R</t>
        </is>
      </c>
      <c r="L1853" s="25" t="n">
        <v>331</v>
      </c>
      <c r="M1853" s="26" t="n">
        <v>3.8</v>
      </c>
      <c r="N1853" s="25">
        <f>ROUND(L1853/M1853, 0)</f>
        <v/>
      </c>
      <c r="O1853" s="25">
        <f>ROUND(N1853*'Methodology &amp; Assumptions'!$B$7, 0)</f>
        <v/>
      </c>
      <c r="P1853" s="23" t="inlineStr">
        <is>
          <t>Single Carrier (Band n50, 100MHz TDD)</t>
        </is>
      </c>
      <c r="Q1853" s="27">
        <f>ROUNDUP(O1853/'Methodology &amp; Assumptions'!$B$8, 0)</f>
        <v/>
      </c>
      <c r="R1853" s="27" t="n">
        <v>1</v>
      </c>
      <c r="S1853" s="26" t="n">
        <v>22.25</v>
      </c>
      <c r="T1853" s="26" t="n">
        <v>17.56</v>
      </c>
      <c r="U1853" s="11">
        <f>IF(S1853&lt;='Methodology &amp; Assumptions'!$B$10, "Direct Optical Drop (&lt;3km)", IF(S1853&lt;='Methodology &amp; Assumptions'!$B$9, "Near Optical / Microwave (&lt;5km)", "Starlink Business LEO Satellite Backhaul (&gt;5km)"))</f>
        <v/>
      </c>
      <c r="V1853" s="26" t="n">
        <v>38.84</v>
      </c>
      <c r="W1853" s="26" t="n">
        <v>76.17</v>
      </c>
      <c r="X1853" s="26">
        <f>ROUND(('Methodology &amp; Assumptions'!$B$5*V1853) + ('Methodology &amp; Assumptions'!$B$6*W1853), 2)</f>
        <v/>
      </c>
      <c r="Y1853" s="28" t="n">
        <v>23.7</v>
      </c>
      <c r="Z1853" s="11" t="inlineStr">
        <is>
          <t>Priority Tier 3 (Broadband Expansion)</t>
        </is>
      </c>
    </row>
    <row r="1854">
      <c r="A1854" s="23" t="n">
        <v>5</v>
      </c>
      <c r="B1854" s="23" t="n">
        <v>850</v>
      </c>
      <c r="C1854" s="23" t="n">
        <v>4850</v>
      </c>
      <c r="D1854" s="23" t="inlineStr">
        <is>
          <t>0600611025</t>
        </is>
      </c>
      <c r="E1854" s="11" t="inlineStr">
        <is>
          <t>Region VI (Western Visayas)</t>
        </is>
      </c>
      <c r="F1854" s="11" t="inlineStr">
        <is>
          <t>Antique</t>
        </is>
      </c>
      <c r="G1854" s="11" t="inlineStr">
        <is>
          <t>Pandan</t>
        </is>
      </c>
      <c r="H1854" s="11" t="inlineStr">
        <is>
          <t>Perfecta</t>
        </is>
      </c>
      <c r="I1854" s="24" t="n">
        <v>11.722554</v>
      </c>
      <c r="J1854" s="24" t="n">
        <v>122.139808</v>
      </c>
      <c r="K1854" s="23" t="inlineStr">
        <is>
          <t>R</t>
        </is>
      </c>
      <c r="L1854" s="25" t="n">
        <v>214</v>
      </c>
      <c r="M1854" s="26" t="n">
        <v>3.9</v>
      </c>
      <c r="N1854" s="25">
        <f>ROUND(L1854/M1854, 0)</f>
        <v/>
      </c>
      <c r="O1854" s="25">
        <f>ROUND(N1854*'Methodology &amp; Assumptions'!$B$7, 0)</f>
        <v/>
      </c>
      <c r="P1854" s="23" t="inlineStr">
        <is>
          <t>Single Carrier (Band n50, 100MHz TDD)</t>
        </is>
      </c>
      <c r="Q1854" s="27">
        <f>ROUNDUP(O1854/'Methodology &amp; Assumptions'!$B$8, 0)</f>
        <v/>
      </c>
      <c r="R1854" s="27" t="n">
        <v>1</v>
      </c>
      <c r="S1854" s="26" t="n">
        <v>16.74</v>
      </c>
      <c r="T1854" s="26" t="n">
        <v>9.01</v>
      </c>
      <c r="U1854" s="11">
        <f>IF(S1854&lt;='Methodology &amp; Assumptions'!$B$10, "Direct Optical Drop (&lt;3km)", IF(S1854&lt;='Methodology &amp; Assumptions'!$B$9, "Near Optical / Microwave (&lt;5km)", "Starlink Business LEO Satellite Backhaul (&gt;5km)"))</f>
        <v/>
      </c>
      <c r="V1854" s="26" t="n">
        <v>37.83</v>
      </c>
      <c r="W1854" s="26" t="n">
        <v>77.19</v>
      </c>
      <c r="X1854" s="26">
        <f>ROUND(('Methodology &amp; Assumptions'!$B$5*V1854) + ('Methodology &amp; Assumptions'!$B$6*W1854), 2)</f>
        <v/>
      </c>
      <c r="Y1854" s="28" t="n">
        <v>23.7</v>
      </c>
      <c r="Z1854" s="11" t="inlineStr">
        <is>
          <t>Priority Tier 3 (Broadband Expansion)</t>
        </is>
      </c>
    </row>
    <row r="1855">
      <c r="A1855" s="23" t="n">
        <v>5</v>
      </c>
      <c r="B1855" s="23" t="n">
        <v>851</v>
      </c>
      <c r="C1855" s="23" t="n">
        <v>4851</v>
      </c>
      <c r="D1855" s="23" t="inlineStr">
        <is>
          <t>1004317008</t>
        </is>
      </c>
      <c r="E1855" s="11" t="inlineStr">
        <is>
          <t>Region X (Northern Mindanao)</t>
        </is>
      </c>
      <c r="F1855" s="11" t="inlineStr">
        <is>
          <t>Misamis Oriental</t>
        </is>
      </c>
      <c r="G1855" s="11" t="inlineStr">
        <is>
          <t>Magsaysay</t>
        </is>
      </c>
      <c r="H1855" s="11" t="inlineStr">
        <is>
          <t>Consuelo</t>
        </is>
      </c>
      <c r="I1855" s="24" t="n">
        <v>8.912383</v>
      </c>
      <c r="J1855" s="24" t="n">
        <v>125.1866</v>
      </c>
      <c r="K1855" s="23" t="inlineStr">
        <is>
          <t>R</t>
        </is>
      </c>
      <c r="L1855" s="25" t="n">
        <v>4051</v>
      </c>
      <c r="M1855" s="26" t="n">
        <v>3.9</v>
      </c>
      <c r="N1855" s="25">
        <f>ROUND(L1855/M1855, 0)</f>
        <v/>
      </c>
      <c r="O1855" s="25">
        <f>ROUND(N1855*'Methodology &amp; Assumptions'!$B$7, 0)</f>
        <v/>
      </c>
      <c r="P1855" s="23" t="inlineStr">
        <is>
          <t>Single Carrier (Band n50, 100MHz TDD)</t>
        </is>
      </c>
      <c r="Q1855" s="27">
        <f>ROUNDUP(O1855/'Methodology &amp; Assumptions'!$B$8, 0)</f>
        <v/>
      </c>
      <c r="R1855" s="27" t="n">
        <v>1</v>
      </c>
      <c r="S1855" s="26" t="n">
        <v>0.05</v>
      </c>
      <c r="T1855" s="26" t="n">
        <v>0.15</v>
      </c>
      <c r="U1855" s="11">
        <f>IF(S1855&lt;='Methodology &amp; Assumptions'!$B$10, "Direct Optical Drop (&lt;3km)", IF(S1855&lt;='Methodology &amp; Assumptions'!$B$9, "Near Optical / Microwave (&lt;5km)", "Starlink Business LEO Satellite Backhaul (&gt;5km)"))</f>
        <v/>
      </c>
      <c r="V1855" s="26" t="n">
        <v>87.06999999999999</v>
      </c>
      <c r="W1855" s="26" t="n">
        <v>27.94</v>
      </c>
      <c r="X1855" s="26">
        <f>ROUND(('Methodology &amp; Assumptions'!$B$5*V1855) + ('Methodology &amp; Assumptions'!$B$6*W1855), 2)</f>
        <v/>
      </c>
      <c r="Y1855" s="28" t="n">
        <v>17.4</v>
      </c>
      <c r="Z1855" s="11" t="inlineStr">
        <is>
          <t>Priority Tier 3 (Broadband Expansion)</t>
        </is>
      </c>
    </row>
    <row r="1856">
      <c r="A1856" s="23" t="n">
        <v>5</v>
      </c>
      <c r="B1856" s="23" t="n">
        <v>852</v>
      </c>
      <c r="C1856" s="23" t="n">
        <v>4852</v>
      </c>
      <c r="D1856" s="23" t="inlineStr">
        <is>
          <t>0806407059</t>
        </is>
      </c>
      <c r="E1856" s="11" t="inlineStr">
        <is>
          <t>Region VIII (Eastern Visayas)</t>
        </is>
      </c>
      <c r="F1856" s="11" t="inlineStr">
        <is>
          <t>Southern Leyte</t>
        </is>
      </c>
      <c r="G1856" s="11" t="inlineStr">
        <is>
          <t>City of Maasin</t>
        </is>
      </c>
      <c r="H1856" s="11" t="inlineStr">
        <is>
          <t>Tagnipa</t>
        </is>
      </c>
      <c r="I1856" s="24" t="n">
        <v>10.135863</v>
      </c>
      <c r="J1856" s="24" t="n">
        <v>124.83528</v>
      </c>
      <c r="K1856" s="23" t="inlineStr">
        <is>
          <t>U</t>
        </is>
      </c>
      <c r="L1856" s="25" t="n">
        <v>3302</v>
      </c>
      <c r="M1856" s="26" t="n">
        <v>4.1</v>
      </c>
      <c r="N1856" s="25">
        <f>ROUND(L1856/M1856, 0)</f>
        <v/>
      </c>
      <c r="O1856" s="25">
        <f>ROUND(N1856*'Methodology &amp; Assumptions'!$B$7, 0)</f>
        <v/>
      </c>
      <c r="P1856" s="23" t="inlineStr">
        <is>
          <t>Single Carrier (Band n50, 100MHz TDD)</t>
        </is>
      </c>
      <c r="Q1856" s="27">
        <f>ROUNDUP(O1856/'Methodology &amp; Assumptions'!$B$8, 0)</f>
        <v/>
      </c>
      <c r="R1856" s="27" t="n">
        <v>1</v>
      </c>
      <c r="S1856" s="26" t="n">
        <v>0.17</v>
      </c>
      <c r="T1856" s="26" t="n">
        <v>0.17</v>
      </c>
      <c r="U1856" s="11">
        <f>IF(S1856&lt;='Methodology &amp; Assumptions'!$B$10, "Direct Optical Drop (&lt;3km)", IF(S1856&lt;='Methodology &amp; Assumptions'!$B$9, "Near Optical / Microwave (&lt;5km)", "Starlink Business LEO Satellite Backhaul (&gt;5km)"))</f>
        <v/>
      </c>
      <c r="V1856" s="26" t="n">
        <v>78.79000000000001</v>
      </c>
      <c r="W1856" s="26" t="n">
        <v>36.2</v>
      </c>
      <c r="X1856" s="26">
        <f>ROUND(('Methodology &amp; Assumptions'!$B$5*V1856) + ('Methodology &amp; Assumptions'!$B$6*W1856), 2)</f>
        <v/>
      </c>
      <c r="Y1856" s="28" t="n">
        <v>23.7</v>
      </c>
      <c r="Z1856" s="11" t="inlineStr">
        <is>
          <t>Priority Tier 3 (Broadband Expansion)</t>
        </is>
      </c>
    </row>
    <row r="1857">
      <c r="A1857" s="23" t="n">
        <v>5</v>
      </c>
      <c r="B1857" s="23" t="n">
        <v>853</v>
      </c>
      <c r="C1857" s="23" t="n">
        <v>4853</v>
      </c>
      <c r="D1857" s="23" t="inlineStr">
        <is>
          <t>0403429006</t>
        </is>
      </c>
      <c r="E1857" s="11" t="inlineStr">
        <is>
          <t>Region IV-A (CALABARZON)</t>
        </is>
      </c>
      <c r="F1857" s="11" t="inlineStr">
        <is>
          <t>Laguna</t>
        </is>
      </c>
      <c r="G1857" s="11" t="inlineStr">
        <is>
          <t>Siniloan</t>
        </is>
      </c>
      <c r="H1857" s="11" t="inlineStr">
        <is>
          <t>Gen. Luna</t>
        </is>
      </c>
      <c r="I1857" s="24" t="n">
        <v>14.418736</v>
      </c>
      <c r="J1857" s="24" t="n">
        <v>121.447122</v>
      </c>
      <c r="K1857" s="23" t="inlineStr">
        <is>
          <t>R</t>
        </is>
      </c>
      <c r="L1857" s="25" t="n">
        <v>1418</v>
      </c>
      <c r="M1857" s="26" t="n">
        <v>3.3</v>
      </c>
      <c r="N1857" s="25">
        <f>ROUND(L1857/M1857, 0)</f>
        <v/>
      </c>
      <c r="O1857" s="25">
        <f>ROUND(N1857*'Methodology &amp; Assumptions'!$B$7, 0)</f>
        <v/>
      </c>
      <c r="P1857" s="23" t="inlineStr">
        <is>
          <t>Single Carrier (Band n50, 100MHz TDD)</t>
        </is>
      </c>
      <c r="Q1857" s="27">
        <f>ROUNDUP(O1857/'Methodology &amp; Assumptions'!$B$8, 0)</f>
        <v/>
      </c>
      <c r="R1857" s="27" t="n">
        <v>1</v>
      </c>
      <c r="S1857" s="26" t="n">
        <v>1.89</v>
      </c>
      <c r="T1857" s="26" t="n">
        <v>1.71</v>
      </c>
      <c r="U1857" s="11">
        <f>IF(S1857&lt;='Methodology &amp; Assumptions'!$B$10, "Direct Optical Drop (&lt;3km)", IF(S1857&lt;='Methodology &amp; Assumptions'!$B$9, "Near Optical / Microwave (&lt;5km)", "Starlink Business LEO Satellite Backhaul (&gt;5km)"))</f>
        <v/>
      </c>
      <c r="V1857" s="26" t="n">
        <v>69.02</v>
      </c>
      <c r="W1857" s="26" t="n">
        <v>45.98</v>
      </c>
      <c r="X1857" s="26">
        <f>ROUND(('Methodology &amp; Assumptions'!$B$5*V1857) + ('Methodology &amp; Assumptions'!$B$6*W1857), 2)</f>
        <v/>
      </c>
      <c r="Y1857" s="28" t="n">
        <v>7.2</v>
      </c>
      <c r="Z1857" s="11" t="inlineStr">
        <is>
          <t>Priority Tier 3 (Broadband Expansion)</t>
        </is>
      </c>
    </row>
    <row r="1858">
      <c r="A1858" s="23" t="n">
        <v>5</v>
      </c>
      <c r="B1858" s="23" t="n">
        <v>854</v>
      </c>
      <c r="C1858" s="23" t="n">
        <v>4854</v>
      </c>
      <c r="D1858" s="23" t="inlineStr">
        <is>
          <t>0604528013</t>
        </is>
      </c>
      <c r="E1858" s="11" t="inlineStr">
        <is>
          <t>Region VI (Western Visayas)</t>
        </is>
      </c>
      <c r="F1858" s="11" t="inlineStr">
        <is>
          <t>Negros Occidental</t>
        </is>
      </c>
      <c r="G1858" s="11" t="inlineStr">
        <is>
          <t>City of Talisay</t>
        </is>
      </c>
      <c r="H1858" s="11" t="inlineStr">
        <is>
          <t>Zone 14-B</t>
        </is>
      </c>
      <c r="I1858" s="24" t="n">
        <v>10.730218</v>
      </c>
      <c r="J1858" s="24" t="n">
        <v>122.969918</v>
      </c>
      <c r="K1858" s="23" t="inlineStr">
        <is>
          <t>R</t>
        </is>
      </c>
      <c r="L1858" s="25" t="n">
        <v>652</v>
      </c>
      <c r="M1858" s="26" t="n">
        <v>3.7</v>
      </c>
      <c r="N1858" s="25">
        <f>ROUND(L1858/M1858, 0)</f>
        <v/>
      </c>
      <c r="O1858" s="25">
        <f>ROUND(N1858*'Methodology &amp; Assumptions'!$B$7, 0)</f>
        <v/>
      </c>
      <c r="P1858" s="23" t="inlineStr">
        <is>
          <t>Single Carrier (Band n50, 100MHz TDD)</t>
        </is>
      </c>
      <c r="Q1858" s="27">
        <f>ROUNDUP(O1858/'Methodology &amp; Assumptions'!$B$8, 0)</f>
        <v/>
      </c>
      <c r="R1858" s="27" t="n">
        <v>1</v>
      </c>
      <c r="S1858" s="26" t="n">
        <v>1.18</v>
      </c>
      <c r="T1858" s="26" t="n">
        <v>0.59</v>
      </c>
      <c r="U1858" s="11">
        <f>IF(S1858&lt;='Methodology &amp; Assumptions'!$B$10, "Direct Optical Drop (&lt;3km)", IF(S1858&lt;='Methodology &amp; Assumptions'!$B$9, "Near Optical / Microwave (&lt;5km)", "Starlink Business LEO Satellite Backhaul (&gt;5km)"))</f>
        <v/>
      </c>
      <c r="V1858" s="26" t="n">
        <v>65.52</v>
      </c>
      <c r="W1858" s="26" t="n">
        <v>49.48</v>
      </c>
      <c r="X1858" s="26">
        <f>ROUND(('Methodology &amp; Assumptions'!$B$5*V1858) + ('Methodology &amp; Assumptions'!$B$6*W1858), 2)</f>
        <v/>
      </c>
      <c r="Y1858" s="28" t="n">
        <v>23.7</v>
      </c>
      <c r="Z1858" s="11" t="inlineStr">
        <is>
          <t>Priority Tier 3 (Broadband Expansion)</t>
        </is>
      </c>
    </row>
    <row r="1859">
      <c r="A1859" s="23" t="n">
        <v>5</v>
      </c>
      <c r="B1859" s="23" t="n">
        <v>855</v>
      </c>
      <c r="C1859" s="23" t="n">
        <v>4855</v>
      </c>
      <c r="D1859" s="23" t="inlineStr">
        <is>
          <t>1380601090</t>
        </is>
      </c>
      <c r="E1859" s="11" t="inlineStr">
        <is>
          <t>National Capital Region (NCR)</t>
        </is>
      </c>
      <c r="F1859" s="11" t="inlineStr">
        <is>
          <t>First District (Not a Province)</t>
        </is>
      </c>
      <c r="G1859" s="11" t="inlineStr">
        <is>
          <t>City of Manila</t>
        </is>
      </c>
      <c r="H1859" s="11" t="inlineStr">
        <is>
          <t>Barangay 90</t>
        </is>
      </c>
      <c r="I1859" s="24" t="n">
        <v>14.615996</v>
      </c>
      <c r="J1859" s="24" t="n">
        <v>120.969296</v>
      </c>
      <c r="K1859" s="23" t="inlineStr">
        <is>
          <t>U</t>
        </is>
      </c>
      <c r="L1859" s="25" t="n">
        <v>645</v>
      </c>
      <c r="M1859" s="26" t="n">
        <v>5.42</v>
      </c>
      <c r="N1859" s="25">
        <f>ROUND(L1859/M1859, 0)</f>
        <v/>
      </c>
      <c r="O1859" s="25">
        <f>ROUND(N1859*'Methodology &amp; Assumptions'!$B$7, 0)</f>
        <v/>
      </c>
      <c r="P1859" s="23" t="inlineStr">
        <is>
          <t>Single Carrier (Band n50, 100MHz TDD)</t>
        </is>
      </c>
      <c r="Q1859" s="27">
        <f>ROUNDUP(O1859/'Methodology &amp; Assumptions'!$B$8, 0)</f>
        <v/>
      </c>
      <c r="R1859" s="27" t="n">
        <v>1</v>
      </c>
      <c r="S1859" s="26" t="n">
        <v>0.74</v>
      </c>
      <c r="T1859" s="26" t="n">
        <v>0.19</v>
      </c>
      <c r="U1859" s="11">
        <f>IF(S1859&lt;='Methodology &amp; Assumptions'!$B$10, "Direct Optical Drop (&lt;3km)", IF(S1859&lt;='Methodology &amp; Assumptions'!$B$9, "Near Optical / Microwave (&lt;5km)", "Starlink Business LEO Satellite Backhaul (&gt;5km)"))</f>
        <v/>
      </c>
      <c r="V1859" s="26" t="n">
        <v>44.95</v>
      </c>
      <c r="W1859" s="26" t="n">
        <v>70.06</v>
      </c>
      <c r="X1859" s="26">
        <f>ROUND(('Methodology &amp; Assumptions'!$B$5*V1859) + ('Methodology &amp; Assumptions'!$B$6*W1859), 2)</f>
        <v/>
      </c>
      <c r="Y1859" s="28" t="n">
        <v>10.9</v>
      </c>
      <c r="Z1859" s="11" t="inlineStr">
        <is>
          <t>Priority Tier 3 (Broadband Expansion)</t>
        </is>
      </c>
    </row>
    <row r="1860">
      <c r="A1860" s="23" t="n">
        <v>5</v>
      </c>
      <c r="B1860" s="23" t="n">
        <v>856</v>
      </c>
      <c r="C1860" s="23" t="n">
        <v>4856</v>
      </c>
      <c r="D1860" s="23" t="inlineStr">
        <is>
          <t>0205010029</t>
        </is>
      </c>
      <c r="E1860" s="11" t="inlineStr">
        <is>
          <t>Region II (Cagayan Valley)</t>
        </is>
      </c>
      <c r="F1860" s="11" t="inlineStr">
        <is>
          <t>Nueva Vizcaya</t>
        </is>
      </c>
      <c r="G1860" s="11" t="inlineStr">
        <is>
          <t>Kayapa</t>
        </is>
      </c>
      <c r="H1860" s="11" t="inlineStr">
        <is>
          <t>Lawigan</t>
        </is>
      </c>
      <c r="I1860" s="24" t="n">
        <v>16.208424</v>
      </c>
      <c r="J1860" s="24" t="n">
        <v>120.777034</v>
      </c>
      <c r="K1860" s="23" t="inlineStr">
        <is>
          <t>R</t>
        </is>
      </c>
      <c r="L1860" s="25" t="n">
        <v>905</v>
      </c>
      <c r="M1860" s="26" t="n">
        <v>3.8</v>
      </c>
      <c r="N1860" s="25">
        <f>ROUND(L1860/M1860, 0)</f>
        <v/>
      </c>
      <c r="O1860" s="25">
        <f>ROUND(N1860*'Methodology &amp; Assumptions'!$B$7, 0)</f>
        <v/>
      </c>
      <c r="P1860" s="23" t="inlineStr">
        <is>
          <t>Single Carrier (Band n50, 100MHz TDD)</t>
        </is>
      </c>
      <c r="Q1860" s="27">
        <f>ROUNDUP(O1860/'Methodology &amp; Assumptions'!$B$8, 0)</f>
        <v/>
      </c>
      <c r="R1860" s="27" t="n">
        <v>1</v>
      </c>
      <c r="S1860" s="26" t="n">
        <v>18.04</v>
      </c>
      <c r="T1860" s="26" t="n">
        <v>17.78</v>
      </c>
      <c r="U1860" s="11">
        <f>IF(S1860&lt;='Methodology &amp; Assumptions'!$B$10, "Direct Optical Drop (&lt;3km)", IF(S1860&lt;='Methodology &amp; Assumptions'!$B$9, "Near Optical / Microwave (&lt;5km)", "Starlink Business LEO Satellite Backhaul (&gt;5km)"))</f>
        <v/>
      </c>
      <c r="V1860" s="26" t="n">
        <v>41.47</v>
      </c>
      <c r="W1860" s="26" t="n">
        <v>73.52</v>
      </c>
      <c r="X1860" s="26">
        <f>ROUND(('Methodology &amp; Assumptions'!$B$5*V1860) + ('Methodology &amp; Assumptions'!$B$6*W1860), 2)</f>
        <v/>
      </c>
      <c r="Y1860" s="28" t="n">
        <v>8.300000000000001</v>
      </c>
      <c r="Z1860" s="11" t="inlineStr">
        <is>
          <t>Priority Tier 3 (Broadband Expansion)</t>
        </is>
      </c>
    </row>
    <row r="1861">
      <c r="A1861" s="23" t="n">
        <v>5</v>
      </c>
      <c r="B1861" s="23" t="n">
        <v>857</v>
      </c>
      <c r="C1861" s="23" t="n">
        <v>4857</v>
      </c>
      <c r="D1861" s="23" t="inlineStr">
        <is>
          <t>0405617007</t>
        </is>
      </c>
      <c r="E1861" s="11" t="inlineStr">
        <is>
          <t>Region IV-A (CALABARZON)</t>
        </is>
      </c>
      <c r="F1861" s="11" t="inlineStr">
        <is>
          <t>Quezon</t>
        </is>
      </c>
      <c r="G1861" s="11" t="inlineStr">
        <is>
          <t>General Nakar</t>
        </is>
      </c>
      <c r="H1861" s="11" t="inlineStr">
        <is>
          <t>Mahabang Lalim</t>
        </is>
      </c>
      <c r="I1861" s="24" t="n">
        <v>14.731457</v>
      </c>
      <c r="J1861" s="24" t="n">
        <v>121.380409</v>
      </c>
      <c r="K1861" s="23" t="inlineStr">
        <is>
          <t>R</t>
        </is>
      </c>
      <c r="L1861" s="25" t="n">
        <v>701</v>
      </c>
      <c r="M1861" s="26" t="n">
        <v>3.8</v>
      </c>
      <c r="N1861" s="25">
        <f>ROUND(L1861/M1861, 0)</f>
        <v/>
      </c>
      <c r="O1861" s="25">
        <f>ROUND(N1861*'Methodology &amp; Assumptions'!$B$7, 0)</f>
        <v/>
      </c>
      <c r="P1861" s="23" t="inlineStr">
        <is>
          <t>Single Carrier (Band n50, 100MHz TDD)</t>
        </is>
      </c>
      <c r="Q1861" s="27">
        <f>ROUNDUP(O1861/'Methodology &amp; Assumptions'!$B$8, 0)</f>
        <v/>
      </c>
      <c r="R1861" s="27" t="n">
        <v>1</v>
      </c>
      <c r="S1861" s="26" t="n">
        <v>16.91</v>
      </c>
      <c r="T1861" s="26" t="n">
        <v>23.55</v>
      </c>
      <c r="U1861" s="11">
        <f>IF(S1861&lt;='Methodology &amp; Assumptions'!$B$10, "Direct Optical Drop (&lt;3km)", IF(S1861&lt;='Methodology &amp; Assumptions'!$B$9, "Near Optical / Microwave (&lt;5km)", "Starlink Business LEO Satellite Backhaul (&gt;5km)"))</f>
        <v/>
      </c>
      <c r="V1861" s="26" t="n">
        <v>39.59</v>
      </c>
      <c r="W1861" s="26" t="n">
        <v>75.41</v>
      </c>
      <c r="X1861" s="26">
        <f>ROUND(('Methodology &amp; Assumptions'!$B$5*V1861) + ('Methodology &amp; Assumptions'!$B$6*W1861), 2)</f>
        <v/>
      </c>
      <c r="Y1861" s="28" t="n">
        <v>7.2</v>
      </c>
      <c r="Z1861" s="11" t="inlineStr">
        <is>
          <t>Priority Tier 3 (Broadband Expansion)</t>
        </is>
      </c>
    </row>
    <row r="1862">
      <c r="A1862" s="23" t="n">
        <v>5</v>
      </c>
      <c r="B1862" s="23" t="n">
        <v>858</v>
      </c>
      <c r="C1862" s="23" t="n">
        <v>4858</v>
      </c>
      <c r="D1862" s="23" t="inlineStr">
        <is>
          <t>0307104008</t>
        </is>
      </c>
      <c r="E1862" s="11" t="inlineStr">
        <is>
          <t>Region III (Central Luzon)</t>
        </is>
      </c>
      <c r="F1862" s="11" t="inlineStr">
        <is>
          <t>Zambales</t>
        </is>
      </c>
      <c r="G1862" s="11" t="inlineStr">
        <is>
          <t>Castillejos</t>
        </is>
      </c>
      <c r="H1862" s="11" t="inlineStr">
        <is>
          <t>San Agustin</t>
        </is>
      </c>
      <c r="I1862" s="24" t="n">
        <v>14.935431</v>
      </c>
      <c r="J1862" s="24" t="n">
        <v>120.190822</v>
      </c>
      <c r="K1862" s="23" t="inlineStr">
        <is>
          <t>R</t>
        </is>
      </c>
      <c r="L1862" s="25" t="n">
        <v>5062</v>
      </c>
      <c r="M1862" s="26" t="n">
        <v>3.8</v>
      </c>
      <c r="N1862" s="25">
        <f>ROUND(L1862/M1862, 0)</f>
        <v/>
      </c>
      <c r="O1862" s="25">
        <f>ROUND(N1862*'Methodology &amp; Assumptions'!$B$7, 0)</f>
        <v/>
      </c>
      <c r="P1862" s="23" t="inlineStr">
        <is>
          <t>Single Carrier (Band n50, 100MHz TDD)</t>
        </is>
      </c>
      <c r="Q1862" s="27">
        <f>ROUNDUP(O1862/'Methodology &amp; Assumptions'!$B$8, 0)</f>
        <v/>
      </c>
      <c r="R1862" s="27" t="n">
        <v>1</v>
      </c>
      <c r="S1862" s="26" t="n">
        <v>1.24</v>
      </c>
      <c r="T1862" s="26" t="n">
        <v>0.64</v>
      </c>
      <c r="U1862" s="11">
        <f>IF(S1862&lt;='Methodology &amp; Assumptions'!$B$10, "Direct Optical Drop (&lt;3km)", IF(S1862&lt;='Methodology &amp; Assumptions'!$B$9, "Near Optical / Microwave (&lt;5km)", "Starlink Business LEO Satellite Backhaul (&gt;5km)"))</f>
        <v/>
      </c>
      <c r="V1862" s="26" t="n">
        <v>84.12</v>
      </c>
      <c r="W1862" s="26" t="n">
        <v>30.85</v>
      </c>
      <c r="X1862" s="26">
        <f>ROUND(('Methodology &amp; Assumptions'!$B$5*V1862) + ('Methodology &amp; Assumptions'!$B$6*W1862), 2)</f>
        <v/>
      </c>
      <c r="Y1862" s="28" t="n">
        <v>8.300000000000001</v>
      </c>
      <c r="Z1862" s="11" t="inlineStr">
        <is>
          <t>Priority Tier 3 (Broadband Expansion)</t>
        </is>
      </c>
    </row>
    <row r="1863">
      <c r="A1863" s="23" t="n">
        <v>5</v>
      </c>
      <c r="B1863" s="23" t="n">
        <v>859</v>
      </c>
      <c r="C1863" s="23" t="n">
        <v>4859</v>
      </c>
      <c r="D1863" s="23" t="inlineStr">
        <is>
          <t>0803702005</t>
        </is>
      </c>
      <c r="E1863" s="11" t="inlineStr">
        <is>
          <t>Region VIII (Eastern Visayas)</t>
        </is>
      </c>
      <c r="F1863" s="11" t="inlineStr">
        <is>
          <t>Leyte</t>
        </is>
      </c>
      <c r="G1863" s="11" t="inlineStr">
        <is>
          <t>Alangalang</t>
        </is>
      </c>
      <c r="H1863" s="11" t="inlineStr">
        <is>
          <t>Binongto-an</t>
        </is>
      </c>
      <c r="I1863" s="24" t="n">
        <v>11.216047</v>
      </c>
      <c r="J1863" s="24" t="n">
        <v>124.840249</v>
      </c>
      <c r="K1863" s="23" t="inlineStr">
        <is>
          <t>R</t>
        </is>
      </c>
      <c r="L1863" s="25" t="n">
        <v>2525</v>
      </c>
      <c r="M1863" s="26" t="n">
        <v>3.8</v>
      </c>
      <c r="N1863" s="25">
        <f>ROUND(L1863/M1863, 0)</f>
        <v/>
      </c>
      <c r="O1863" s="25">
        <f>ROUND(N1863*'Methodology &amp; Assumptions'!$B$7, 0)</f>
        <v/>
      </c>
      <c r="P1863" s="23" t="inlineStr">
        <is>
          <t>Single Carrier (Band n50, 100MHz TDD)</t>
        </is>
      </c>
      <c r="Q1863" s="27">
        <f>ROUNDUP(O1863/'Methodology &amp; Assumptions'!$B$8, 0)</f>
        <v/>
      </c>
      <c r="R1863" s="27" t="n">
        <v>1</v>
      </c>
      <c r="S1863" s="26" t="n">
        <v>0.78</v>
      </c>
      <c r="T1863" s="26" t="n">
        <v>0.76</v>
      </c>
      <c r="U1863" s="11">
        <f>IF(S1863&lt;='Methodology &amp; Assumptions'!$B$10, "Direct Optical Drop (&lt;3km)", IF(S1863&lt;='Methodology &amp; Assumptions'!$B$9, "Near Optical / Microwave (&lt;5km)", "Starlink Business LEO Satellite Backhaul (&gt;5km)"))</f>
        <v/>
      </c>
      <c r="V1863" s="26" t="n">
        <v>81.63</v>
      </c>
      <c r="W1863" s="26" t="n">
        <v>33.35</v>
      </c>
      <c r="X1863" s="26">
        <f>ROUND(('Methodology &amp; Assumptions'!$B$5*V1863) + ('Methodology &amp; Assumptions'!$B$6*W1863), 2)</f>
        <v/>
      </c>
      <c r="Y1863" s="28" t="n">
        <v>23.7</v>
      </c>
      <c r="Z1863" s="11" t="inlineStr">
        <is>
          <t>Priority Tier 3 (Broadband Expansion)</t>
        </is>
      </c>
    </row>
    <row r="1864">
      <c r="A1864" s="23" t="n">
        <v>5</v>
      </c>
      <c r="B1864" s="23" t="n">
        <v>860</v>
      </c>
      <c r="C1864" s="23" t="n">
        <v>4860</v>
      </c>
      <c r="D1864" s="23" t="inlineStr">
        <is>
          <t>1102412020</t>
        </is>
      </c>
      <c r="E1864" s="11" t="inlineStr">
        <is>
          <t>Region XI (Davao Region)</t>
        </is>
      </c>
      <c r="F1864" s="11" t="inlineStr">
        <is>
          <t>Davao del Sur</t>
        </is>
      </c>
      <c r="G1864" s="11" t="inlineStr">
        <is>
          <t>Santa Cruz</t>
        </is>
      </c>
      <c r="H1864" s="11" t="inlineStr">
        <is>
          <t>Zone III</t>
        </is>
      </c>
      <c r="I1864" s="24" t="n">
        <v>6.84022</v>
      </c>
      <c r="J1864" s="24" t="n">
        <v>125.41199</v>
      </c>
      <c r="K1864" s="23" t="inlineStr">
        <is>
          <t>U</t>
        </is>
      </c>
      <c r="L1864" s="25" t="n">
        <v>12562</v>
      </c>
      <c r="M1864" s="26" t="n">
        <v>3.4</v>
      </c>
      <c r="N1864" s="25">
        <f>ROUND(L1864/M1864, 0)</f>
        <v/>
      </c>
      <c r="O1864" s="25">
        <f>ROUND(N1864*'Methodology &amp; Assumptions'!$B$7, 0)</f>
        <v/>
      </c>
      <c r="P1864" s="23" t="inlineStr">
        <is>
          <t>Single Carrier (Band n50, 100MHz TDD)</t>
        </is>
      </c>
      <c r="Q1864" s="27">
        <f>ROUNDUP(O1864/'Methodology &amp; Assumptions'!$B$8, 0)</f>
        <v/>
      </c>
      <c r="R1864" s="27" t="n">
        <v>1</v>
      </c>
      <c r="S1864" s="26" t="n">
        <v>0.3</v>
      </c>
      <c r="T1864" s="26" t="n">
        <v>0.28</v>
      </c>
      <c r="U1864" s="11">
        <f>IF(S1864&lt;='Methodology &amp; Assumptions'!$B$10, "Direct Optical Drop (&lt;3km)", IF(S1864&lt;='Methodology &amp; Assumptions'!$B$9, "Near Optical / Microwave (&lt;5km)", "Starlink Business LEO Satellite Backhaul (&gt;5km)"))</f>
        <v/>
      </c>
      <c r="V1864" s="26" t="n">
        <v>79.87</v>
      </c>
      <c r="W1864" s="26" t="n">
        <v>35.11</v>
      </c>
      <c r="X1864" s="26">
        <f>ROUND(('Methodology &amp; Assumptions'!$B$5*V1864) + ('Methodology &amp; Assumptions'!$B$6*W1864), 2)</f>
        <v/>
      </c>
      <c r="Y1864" s="28" t="n">
        <v>17.4</v>
      </c>
      <c r="Z1864" s="11" t="inlineStr">
        <is>
          <t>Priority Tier 3 (Broadband Expansion)</t>
        </is>
      </c>
    </row>
    <row r="1865">
      <c r="A1865" s="23" t="n">
        <v>5</v>
      </c>
      <c r="B1865" s="23" t="n">
        <v>861</v>
      </c>
      <c r="C1865" s="23" t="n">
        <v>4861</v>
      </c>
      <c r="D1865" s="23" t="inlineStr">
        <is>
          <t>0402106060</t>
        </is>
      </c>
      <c r="E1865" s="11" t="inlineStr">
        <is>
          <t>Region IV-A (CALABARZON)</t>
        </is>
      </c>
      <c r="F1865" s="11" t="inlineStr">
        <is>
          <t>Cavite</t>
        </is>
      </c>
      <c r="G1865" s="11" t="inlineStr">
        <is>
          <t>City of Dasmariñas</t>
        </is>
      </c>
      <c r="H1865" s="11" t="inlineStr">
        <is>
          <t>Salitran IV</t>
        </is>
      </c>
      <c r="I1865" s="24" t="n">
        <v>14.349952</v>
      </c>
      <c r="J1865" s="24" t="n">
        <v>120.956126</v>
      </c>
      <c r="K1865" s="23" t="inlineStr">
        <is>
          <t>U</t>
        </is>
      </c>
      <c r="L1865" s="25" t="n">
        <v>12442</v>
      </c>
      <c r="M1865" s="26" t="n">
        <v>3.4</v>
      </c>
      <c r="N1865" s="25">
        <f>ROUND(L1865/M1865, 0)</f>
        <v/>
      </c>
      <c r="O1865" s="25">
        <f>ROUND(N1865*'Methodology &amp; Assumptions'!$B$7, 0)</f>
        <v/>
      </c>
      <c r="P1865" s="23" t="inlineStr">
        <is>
          <t>Single Carrier (Band n50, 100MHz TDD)</t>
        </is>
      </c>
      <c r="Q1865" s="27">
        <f>ROUNDUP(O1865/'Methodology &amp; Assumptions'!$B$8, 0)</f>
        <v/>
      </c>
      <c r="R1865" s="27" t="n">
        <v>1</v>
      </c>
      <c r="S1865" s="26" t="n">
        <v>1.78</v>
      </c>
      <c r="T1865" s="26" t="n">
        <v>5.37</v>
      </c>
      <c r="U1865" s="11">
        <f>IF(S1865&lt;='Methodology &amp; Assumptions'!$B$10, "Direct Optical Drop (&lt;3km)", IF(S1865&lt;='Methodology &amp; Assumptions'!$B$9, "Near Optical / Microwave (&lt;5km)", "Starlink Business LEO Satellite Backhaul (&gt;5km)"))</f>
        <v/>
      </c>
      <c r="V1865" s="26" t="n">
        <v>71.28</v>
      </c>
      <c r="W1865" s="26" t="n">
        <v>43.71</v>
      </c>
      <c r="X1865" s="26">
        <f>ROUND(('Methodology &amp; Assumptions'!$B$5*V1865) + ('Methodology &amp; Assumptions'!$B$6*W1865), 2)</f>
        <v/>
      </c>
      <c r="Y1865" s="28" t="n">
        <v>7.2</v>
      </c>
      <c r="Z1865" s="11" t="inlineStr">
        <is>
          <t>Priority Tier 3 (Broadband Expansion)</t>
        </is>
      </c>
    </row>
    <row r="1866">
      <c r="A1866" s="23" t="n">
        <v>5</v>
      </c>
      <c r="B1866" s="23" t="n">
        <v>862</v>
      </c>
      <c r="C1866" s="23" t="n">
        <v>4862</v>
      </c>
      <c r="D1866" s="23" t="inlineStr">
        <is>
          <t>1380606041</t>
        </is>
      </c>
      <c r="E1866" s="11" t="inlineStr">
        <is>
          <t>National Capital Region (NCR)</t>
        </is>
      </c>
      <c r="F1866" s="11" t="inlineStr">
        <is>
          <t>First District (Not a Province)</t>
        </is>
      </c>
      <c r="G1866" s="11" t="inlineStr">
        <is>
          <t>City of Manila</t>
        </is>
      </c>
      <c r="H1866" s="11" t="inlineStr">
        <is>
          <t>Barangay 435</t>
        </is>
      </c>
      <c r="I1866" s="24" t="n">
        <v>14.604412</v>
      </c>
      <c r="J1866" s="24" t="n">
        <v>120.997001</v>
      </c>
      <c r="K1866" s="23" t="inlineStr">
        <is>
          <t>U</t>
        </is>
      </c>
      <c r="L1866" s="25" t="n">
        <v>471</v>
      </c>
      <c r="M1866" s="26" t="n">
        <v>4.71</v>
      </c>
      <c r="N1866" s="25">
        <f>ROUND(L1866/M1866, 0)</f>
        <v/>
      </c>
      <c r="O1866" s="25">
        <f>ROUND(N1866*'Methodology &amp; Assumptions'!$B$7, 0)</f>
        <v/>
      </c>
      <c r="P1866" s="23" t="inlineStr">
        <is>
          <t>Single Carrier (Band n50, 100MHz TDD)</t>
        </is>
      </c>
      <c r="Q1866" s="27">
        <f>ROUNDUP(O1866/'Methodology &amp; Assumptions'!$B$8, 0)</f>
        <v/>
      </c>
      <c r="R1866" s="27" t="n">
        <v>1</v>
      </c>
      <c r="S1866" s="26" t="n">
        <v>0.64</v>
      </c>
      <c r="T1866" s="26" t="n">
        <v>0.08</v>
      </c>
      <c r="U1866" s="11">
        <f>IF(S1866&lt;='Methodology &amp; Assumptions'!$B$10, "Direct Optical Drop (&lt;3km)", IF(S1866&lt;='Methodology &amp; Assumptions'!$B$9, "Near Optical / Microwave (&lt;5km)", "Starlink Business LEO Satellite Backhaul (&gt;5km)"))</f>
        <v/>
      </c>
      <c r="V1866" s="26" t="n">
        <v>44.31</v>
      </c>
      <c r="W1866" s="26" t="n">
        <v>70.67</v>
      </c>
      <c r="X1866" s="26">
        <f>ROUND(('Methodology &amp; Assumptions'!$B$5*V1866) + ('Methodology &amp; Assumptions'!$B$6*W1866), 2)</f>
        <v/>
      </c>
      <c r="Y1866" s="28" t="n">
        <v>10.9</v>
      </c>
      <c r="Z1866" s="11" t="inlineStr">
        <is>
          <t>Priority Tier 3 (Broadband Expansion)</t>
        </is>
      </c>
    </row>
    <row r="1867">
      <c r="A1867" s="23" t="n">
        <v>5</v>
      </c>
      <c r="B1867" s="23" t="n">
        <v>863</v>
      </c>
      <c r="C1867" s="23" t="n">
        <v>4863</v>
      </c>
      <c r="D1867" s="23" t="inlineStr">
        <is>
          <t>1907006034</t>
        </is>
      </c>
      <c r="E1867" s="11" t="inlineStr">
        <is>
          <t>Bangsamoro Autonomous Region In Muslim Mindanao (BARMM)</t>
        </is>
      </c>
      <c r="F1867" s="11" t="inlineStr">
        <is>
          <t>Tawi-Tawi</t>
        </is>
      </c>
      <c r="G1867" s="11" t="inlineStr">
        <is>
          <t>South Ubian</t>
        </is>
      </c>
      <c r="H1867" s="11" t="inlineStr">
        <is>
          <t>Tubig Dayang Riverside</t>
        </is>
      </c>
      <c r="I1867" s="24" t="n">
        <v>5.175452</v>
      </c>
      <c r="J1867" s="24" t="n">
        <v>120.508118</v>
      </c>
      <c r="K1867" s="23" t="inlineStr">
        <is>
          <t>R</t>
        </is>
      </c>
      <c r="L1867" s="25" t="n">
        <v>1070</v>
      </c>
      <c r="M1867" s="26" t="n">
        <v>5.8</v>
      </c>
      <c r="N1867" s="25">
        <f>ROUND(L1867/M1867, 0)</f>
        <v/>
      </c>
      <c r="O1867" s="25">
        <f>ROUND(N1867*'Methodology &amp; Assumptions'!$B$7, 0)</f>
        <v/>
      </c>
      <c r="P1867" s="23" t="inlineStr">
        <is>
          <t>Single Carrier (Band n50, 100MHz TDD)</t>
        </is>
      </c>
      <c r="Q1867" s="27">
        <f>ROUNDUP(O1867/'Methodology &amp; Assumptions'!$B$8, 0)</f>
        <v/>
      </c>
      <c r="R1867" s="27" t="n">
        <v>1</v>
      </c>
      <c r="S1867" s="26" t="n">
        <v>259.2</v>
      </c>
      <c r="T1867" s="26" t="n">
        <v>259.19</v>
      </c>
      <c r="U1867" s="11">
        <f>IF(S1867&lt;='Methodology &amp; Assumptions'!$B$10, "Direct Optical Drop (&lt;3km)", IF(S1867&lt;='Methodology &amp; Assumptions'!$B$9, "Near Optical / Microwave (&lt;5km)", "Starlink Business LEO Satellite Backhaul (&gt;5km)"))</f>
        <v/>
      </c>
      <c r="V1867" s="26" t="n">
        <v>36.95</v>
      </c>
      <c r="W1867" s="26" t="n">
        <v>78.03</v>
      </c>
      <c r="X1867" s="26">
        <f>ROUND(('Methodology &amp; Assumptions'!$B$5*V1867) + ('Methodology &amp; Assumptions'!$B$6*W1867), 2)</f>
        <v/>
      </c>
      <c r="Y1867" s="28" t="n">
        <v>11</v>
      </c>
      <c r="Z1867" s="11" t="inlineStr">
        <is>
          <t>Priority Tier 3 (Broadband Expansion)</t>
        </is>
      </c>
    </row>
    <row r="1868">
      <c r="A1868" s="23" t="n">
        <v>5</v>
      </c>
      <c r="B1868" s="23" t="n">
        <v>864</v>
      </c>
      <c r="C1868" s="23" t="n">
        <v>4864</v>
      </c>
      <c r="D1868" s="23" t="inlineStr">
        <is>
          <t>1004310013</t>
        </is>
      </c>
      <c r="E1868" s="11" t="inlineStr">
        <is>
          <t>Region X (Northern Mindanao)</t>
        </is>
      </c>
      <c r="F1868" s="11" t="inlineStr">
        <is>
          <t>Misamis Oriental</t>
        </is>
      </c>
      <c r="G1868" s="11" t="inlineStr">
        <is>
          <t>Initao</t>
        </is>
      </c>
      <c r="H1868" s="11" t="inlineStr">
        <is>
          <t>San Pedro</t>
        </is>
      </c>
      <c r="I1868" s="24" t="n">
        <v>8.489535</v>
      </c>
      <c r="J1868" s="24" t="n">
        <v>124.298634</v>
      </c>
      <c r="K1868" s="23" t="inlineStr">
        <is>
          <t>R</t>
        </is>
      </c>
      <c r="L1868" s="25" t="n">
        <v>3162</v>
      </c>
      <c r="M1868" s="26" t="n">
        <v>3.9</v>
      </c>
      <c r="N1868" s="25">
        <f>ROUND(L1868/M1868, 0)</f>
        <v/>
      </c>
      <c r="O1868" s="25">
        <f>ROUND(N1868*'Methodology &amp; Assumptions'!$B$7, 0)</f>
        <v/>
      </c>
      <c r="P1868" s="23" t="inlineStr">
        <is>
          <t>Single Carrier (Band n50, 100MHz TDD)</t>
        </is>
      </c>
      <c r="Q1868" s="27">
        <f>ROUNDUP(O1868/'Methodology &amp; Assumptions'!$B$8, 0)</f>
        <v/>
      </c>
      <c r="R1868" s="27" t="n">
        <v>1</v>
      </c>
      <c r="S1868" s="26" t="n">
        <v>1.6</v>
      </c>
      <c r="T1868" s="26" t="n">
        <v>0.29</v>
      </c>
      <c r="U1868" s="11">
        <f>IF(S1868&lt;='Methodology &amp; Assumptions'!$B$10, "Direct Optical Drop (&lt;3km)", IF(S1868&lt;='Methodology &amp; Assumptions'!$B$9, "Near Optical / Microwave (&lt;5km)", "Starlink Business LEO Satellite Backhaul (&gt;5km)"))</f>
        <v/>
      </c>
      <c r="V1868" s="26" t="n">
        <v>82.95</v>
      </c>
      <c r="W1868" s="26" t="n">
        <v>32.01</v>
      </c>
      <c r="X1868" s="26">
        <f>ROUND(('Methodology &amp; Assumptions'!$B$5*V1868) + ('Methodology &amp; Assumptions'!$B$6*W1868), 2)</f>
        <v/>
      </c>
      <c r="Y1868" s="28" t="n">
        <v>17.4</v>
      </c>
      <c r="Z1868" s="11" t="inlineStr">
        <is>
          <t>Priority Tier 3 (Broadband Expansion)</t>
        </is>
      </c>
    </row>
    <row r="1869">
      <c r="A1869" s="23" t="n">
        <v>5</v>
      </c>
      <c r="B1869" s="23" t="n">
        <v>865</v>
      </c>
      <c r="C1869" s="23" t="n">
        <v>4865</v>
      </c>
      <c r="D1869" s="23" t="inlineStr">
        <is>
          <t>0908305023</t>
        </is>
      </c>
      <c r="E1869" s="11" t="inlineStr">
        <is>
          <t>Region IX (Zamboanga Peninsula)</t>
        </is>
      </c>
      <c r="F1869" s="11" t="inlineStr">
        <is>
          <t>Zamboanga Sibugay</t>
        </is>
      </c>
      <c r="G1869" s="11" t="inlineStr">
        <is>
          <t>Ipil</t>
        </is>
      </c>
      <c r="H1869" s="11" t="inlineStr">
        <is>
          <t>Poblacion</t>
        </is>
      </c>
      <c r="I1869" s="24" t="n">
        <v>7.784714</v>
      </c>
      <c r="J1869" s="24" t="n">
        <v>122.587414</v>
      </c>
      <c r="K1869" s="23" t="inlineStr">
        <is>
          <t>U</t>
        </is>
      </c>
      <c r="L1869" s="25" t="n">
        <v>4596</v>
      </c>
      <c r="M1869" s="26" t="n">
        <v>4.2</v>
      </c>
      <c r="N1869" s="25">
        <f>ROUND(L1869/M1869, 0)</f>
        <v/>
      </c>
      <c r="O1869" s="25">
        <f>ROUND(N1869*'Methodology &amp; Assumptions'!$B$7, 0)</f>
        <v/>
      </c>
      <c r="P1869" s="23" t="inlineStr">
        <is>
          <t>Single Carrier (Band n50, 100MHz TDD)</t>
        </is>
      </c>
      <c r="Q1869" s="27">
        <f>ROUNDUP(O1869/'Methodology &amp; Assumptions'!$B$8, 0)</f>
        <v/>
      </c>
      <c r="R1869" s="27" t="n">
        <v>1</v>
      </c>
      <c r="S1869" s="26" t="n">
        <v>0.66</v>
      </c>
      <c r="T1869" s="26" t="n">
        <v>0.28</v>
      </c>
      <c r="U1869" s="11">
        <f>IF(S1869&lt;='Methodology &amp; Assumptions'!$B$10, "Direct Optical Drop (&lt;3km)", IF(S1869&lt;='Methodology &amp; Assumptions'!$B$9, "Near Optical / Microwave (&lt;5km)", "Starlink Business LEO Satellite Backhaul (&gt;5km)"))</f>
        <v/>
      </c>
      <c r="V1869" s="26" t="n">
        <v>78.86</v>
      </c>
      <c r="W1869" s="26" t="n">
        <v>36.1</v>
      </c>
      <c r="X1869" s="26">
        <f>ROUND(('Methodology &amp; Assumptions'!$B$5*V1869) + ('Methodology &amp; Assumptions'!$B$6*W1869), 2)</f>
        <v/>
      </c>
      <c r="Y1869" s="28" t="n">
        <v>11</v>
      </c>
      <c r="Z1869" s="11" t="inlineStr">
        <is>
          <t>Priority Tier 3 (Broadband Expansion)</t>
        </is>
      </c>
    </row>
    <row r="1870">
      <c r="A1870" s="23" t="n">
        <v>5</v>
      </c>
      <c r="B1870" s="23" t="n">
        <v>866</v>
      </c>
      <c r="C1870" s="23" t="n">
        <v>4866</v>
      </c>
      <c r="D1870" s="23" t="inlineStr">
        <is>
          <t>0601916020</t>
        </is>
      </c>
      <c r="E1870" s="11" t="inlineStr">
        <is>
          <t>Region VI (Western Visayas)</t>
        </is>
      </c>
      <c r="F1870" s="11" t="inlineStr">
        <is>
          <t>Capiz</t>
        </is>
      </c>
      <c r="G1870" s="11" t="inlineStr">
        <is>
          <t>Sigma</t>
        </is>
      </c>
      <c r="H1870" s="11" t="inlineStr">
        <is>
          <t>Poblacion Sur</t>
        </is>
      </c>
      <c r="I1870" s="24" t="n">
        <v>11.420313</v>
      </c>
      <c r="J1870" s="24" t="n">
        <v>122.665974</v>
      </c>
      <c r="K1870" s="23" t="inlineStr">
        <is>
          <t>R</t>
        </is>
      </c>
      <c r="L1870" s="25" t="n">
        <v>1889</v>
      </c>
      <c r="M1870" s="26" t="n">
        <v>3.8</v>
      </c>
      <c r="N1870" s="25">
        <f>ROUND(L1870/M1870, 0)</f>
        <v/>
      </c>
      <c r="O1870" s="25">
        <f>ROUND(N1870*'Methodology &amp; Assumptions'!$B$7, 0)</f>
        <v/>
      </c>
      <c r="P1870" s="23" t="inlineStr">
        <is>
          <t>Single Carrier (Band n50, 100MHz TDD)</t>
        </is>
      </c>
      <c r="Q1870" s="27">
        <f>ROUNDUP(O1870/'Methodology &amp; Assumptions'!$B$8, 0)</f>
        <v/>
      </c>
      <c r="R1870" s="27" t="n">
        <v>1</v>
      </c>
      <c r="S1870" s="26" t="n">
        <v>0.28</v>
      </c>
      <c r="T1870" s="26" t="n">
        <v>0.03</v>
      </c>
      <c r="U1870" s="11">
        <f>IF(S1870&lt;='Methodology &amp; Assumptions'!$B$10, "Direct Optical Drop (&lt;3km)", IF(S1870&lt;='Methodology &amp; Assumptions'!$B$9, "Near Optical / Microwave (&lt;5km)", "Starlink Business LEO Satellite Backhaul (&gt;5km)"))</f>
        <v/>
      </c>
      <c r="V1870" s="26" t="n">
        <v>76.56</v>
      </c>
      <c r="W1870" s="26" t="n">
        <v>38.4</v>
      </c>
      <c r="X1870" s="26">
        <f>ROUND(('Methodology &amp; Assumptions'!$B$5*V1870) + ('Methodology &amp; Assumptions'!$B$6*W1870), 2)</f>
        <v/>
      </c>
      <c r="Y1870" s="28" t="n">
        <v>23.7</v>
      </c>
      <c r="Z1870" s="11" t="inlineStr">
        <is>
          <t>Priority Tier 3 (Broadband Expansion)</t>
        </is>
      </c>
    </row>
    <row r="1871">
      <c r="A1871" s="23" t="n">
        <v>5</v>
      </c>
      <c r="B1871" s="23" t="n">
        <v>867</v>
      </c>
      <c r="C1871" s="23" t="n">
        <v>4867</v>
      </c>
      <c r="D1871" s="23" t="inlineStr">
        <is>
          <t>0103317022</t>
        </is>
      </c>
      <c r="E1871" s="11" t="inlineStr">
        <is>
          <t>Region I (Ilocos Region)</t>
        </is>
      </c>
      <c r="F1871" s="11" t="inlineStr">
        <is>
          <t>La Union</t>
        </is>
      </c>
      <c r="G1871" s="11" t="inlineStr">
        <is>
          <t>Santo Tomas</t>
        </is>
      </c>
      <c r="H1871" s="11" t="inlineStr">
        <is>
          <t>Tubod</t>
        </is>
      </c>
      <c r="I1871" s="24" t="n">
        <v>16.248873</v>
      </c>
      <c r="J1871" s="24" t="n">
        <v>120.402894</v>
      </c>
      <c r="K1871" s="23" t="inlineStr">
        <is>
          <t>R</t>
        </is>
      </c>
      <c r="L1871" s="25" t="n">
        <v>3216</v>
      </c>
      <c r="M1871" s="26" t="n">
        <v>3.7</v>
      </c>
      <c r="N1871" s="25">
        <f>ROUND(L1871/M1871, 0)</f>
        <v/>
      </c>
      <c r="O1871" s="25">
        <f>ROUND(N1871*'Methodology &amp; Assumptions'!$B$7, 0)</f>
        <v/>
      </c>
      <c r="P1871" s="23" t="inlineStr">
        <is>
          <t>Single Carrier (Band n50, 100MHz TDD)</t>
        </is>
      </c>
      <c r="Q1871" s="27">
        <f>ROUNDUP(O1871/'Methodology &amp; Assumptions'!$B$8, 0)</f>
        <v/>
      </c>
      <c r="R1871" s="27" t="n">
        <v>1</v>
      </c>
      <c r="S1871" s="26" t="n">
        <v>5.03</v>
      </c>
      <c r="T1871" s="26" t="n">
        <v>0.2</v>
      </c>
      <c r="U1871" s="11">
        <f>IF(S1871&lt;='Methodology &amp; Assumptions'!$B$10, "Direct Optical Drop (&lt;3km)", IF(S1871&lt;='Methodology &amp; Assumptions'!$B$9, "Near Optical / Microwave (&lt;5km)", "Starlink Business LEO Satellite Backhaul (&gt;5km)"))</f>
        <v/>
      </c>
      <c r="V1871" s="26" t="n">
        <v>74.09999999999999</v>
      </c>
      <c r="W1871" s="26" t="n">
        <v>40.86</v>
      </c>
      <c r="X1871" s="26">
        <f>ROUND(('Methodology &amp; Assumptions'!$B$5*V1871) + ('Methodology &amp; Assumptions'!$B$6*W1871), 2)</f>
        <v/>
      </c>
      <c r="Y1871" s="28" t="n">
        <v>8.300000000000001</v>
      </c>
      <c r="Z1871" s="11" t="inlineStr">
        <is>
          <t>Priority Tier 3 (Broadband Expansion)</t>
        </is>
      </c>
    </row>
    <row r="1872">
      <c r="A1872" s="23" t="n">
        <v>5</v>
      </c>
      <c r="B1872" s="23" t="n">
        <v>868</v>
      </c>
      <c r="C1872" s="23" t="n">
        <v>4868</v>
      </c>
      <c r="D1872" s="23" t="inlineStr">
        <is>
          <t>0702227010</t>
        </is>
      </c>
      <c r="E1872" s="11" t="inlineStr">
        <is>
          <t>Region VII (Central Visayas)</t>
        </is>
      </c>
      <c r="F1872" s="11" t="inlineStr">
        <is>
          <t>Cebu</t>
        </is>
      </c>
      <c r="G1872" s="11" t="inlineStr">
        <is>
          <t>Liloan</t>
        </is>
      </c>
      <c r="H1872" s="11" t="inlineStr">
        <is>
          <t>San Vicente</t>
        </is>
      </c>
      <c r="I1872" s="24" t="n">
        <v>10.399033</v>
      </c>
      <c r="J1872" s="24" t="n">
        <v>123.973408</v>
      </c>
      <c r="K1872" s="23" t="inlineStr">
        <is>
          <t>U</t>
        </is>
      </c>
      <c r="L1872" s="25" t="n">
        <v>13364</v>
      </c>
      <c r="M1872" s="26" t="n">
        <v>3.8</v>
      </c>
      <c r="N1872" s="25">
        <f>ROUND(L1872/M1872, 0)</f>
        <v/>
      </c>
      <c r="O1872" s="25">
        <f>ROUND(N1872*'Methodology &amp; Assumptions'!$B$7, 0)</f>
        <v/>
      </c>
      <c r="P1872" s="23" t="inlineStr">
        <is>
          <t>Single Carrier (Band n50, 100MHz TDD)</t>
        </is>
      </c>
      <c r="Q1872" s="27">
        <f>ROUNDUP(O1872/'Methodology &amp; Assumptions'!$B$8, 0)</f>
        <v/>
      </c>
      <c r="R1872" s="27" t="n">
        <v>1</v>
      </c>
      <c r="S1872" s="26" t="n">
        <v>2.84</v>
      </c>
      <c r="T1872" s="26" t="n">
        <v>1.32</v>
      </c>
      <c r="U1872" s="11">
        <f>IF(S1872&lt;='Methodology &amp; Assumptions'!$B$10, "Direct Optical Drop (&lt;3km)", IF(S1872&lt;='Methodology &amp; Assumptions'!$B$9, "Near Optical / Microwave (&lt;5km)", "Starlink Business LEO Satellite Backhaul (&gt;5km)"))</f>
        <v/>
      </c>
      <c r="V1872" s="26" t="n">
        <v>73.91</v>
      </c>
      <c r="W1872" s="26" t="n">
        <v>41.06</v>
      </c>
      <c r="X1872" s="26">
        <f>ROUND(('Methodology &amp; Assumptions'!$B$5*V1872) + ('Methodology &amp; Assumptions'!$B$6*W1872), 2)</f>
        <v/>
      </c>
      <c r="Y1872" s="28" t="n">
        <v>23.7</v>
      </c>
      <c r="Z1872" s="11" t="inlineStr">
        <is>
          <t>Priority Tier 3 (Broadband Expansion)</t>
        </is>
      </c>
    </row>
    <row r="1873">
      <c r="A1873" s="23" t="n">
        <v>5</v>
      </c>
      <c r="B1873" s="23" t="n">
        <v>869</v>
      </c>
      <c r="C1873" s="23" t="n">
        <v>4869</v>
      </c>
      <c r="D1873" s="23" t="inlineStr">
        <is>
          <t>1001313010</t>
        </is>
      </c>
      <c r="E1873" s="11" t="inlineStr">
        <is>
          <t>Region X (Northern Mindanao)</t>
        </is>
      </c>
      <c r="F1873" s="11" t="inlineStr">
        <is>
          <t>Bukidnon</t>
        </is>
      </c>
      <c r="G1873" s="11" t="inlineStr">
        <is>
          <t>Malitbog</t>
        </is>
      </c>
      <c r="H1873" s="11" t="inlineStr">
        <is>
          <t>Silo-o</t>
        </is>
      </c>
      <c r="I1873" s="24" t="n">
        <v>8.496104000000001</v>
      </c>
      <c r="J1873" s="24" t="n">
        <v>124.93732</v>
      </c>
      <c r="K1873" s="23" t="inlineStr">
        <is>
          <t>R</t>
        </is>
      </c>
      <c r="L1873" s="25" t="n">
        <v>2870</v>
      </c>
      <c r="M1873" s="26" t="n">
        <v>3.8</v>
      </c>
      <c r="N1873" s="25">
        <f>ROUND(L1873/M1873, 0)</f>
        <v/>
      </c>
      <c r="O1873" s="25">
        <f>ROUND(N1873*'Methodology &amp; Assumptions'!$B$7, 0)</f>
        <v/>
      </c>
      <c r="P1873" s="23" t="inlineStr">
        <is>
          <t>Single Carrier (Band n50, 100MHz TDD)</t>
        </is>
      </c>
      <c r="Q1873" s="27">
        <f>ROUNDUP(O1873/'Methodology &amp; Assumptions'!$B$8, 0)</f>
        <v/>
      </c>
      <c r="R1873" s="27" t="n">
        <v>1</v>
      </c>
      <c r="S1873" s="26" t="n">
        <v>13.89</v>
      </c>
      <c r="T1873" s="26" t="n">
        <v>12.45</v>
      </c>
      <c r="U1873" s="11">
        <f>IF(S1873&lt;='Methodology &amp; Assumptions'!$B$10, "Direct Optical Drop (&lt;3km)", IF(S1873&lt;='Methodology &amp; Assumptions'!$B$9, "Near Optical / Microwave (&lt;5km)", "Starlink Business LEO Satellite Backhaul (&gt;5km)"))</f>
        <v/>
      </c>
      <c r="V1873" s="26" t="n">
        <v>59.68</v>
      </c>
      <c r="W1873" s="26" t="n">
        <v>55.28</v>
      </c>
      <c r="X1873" s="26">
        <f>ROUND(('Methodology &amp; Assumptions'!$B$5*V1873) + ('Methodology &amp; Assumptions'!$B$6*W1873), 2)</f>
        <v/>
      </c>
      <c r="Y1873" s="28" t="n">
        <v>17.4</v>
      </c>
      <c r="Z1873" s="11" t="inlineStr">
        <is>
          <t>Priority Tier 3 (Broadband Expansion)</t>
        </is>
      </c>
    </row>
    <row r="1874">
      <c r="A1874" s="23" t="n">
        <v>5</v>
      </c>
      <c r="B1874" s="23" t="n">
        <v>870</v>
      </c>
      <c r="C1874" s="23" t="n">
        <v>4870</v>
      </c>
      <c r="D1874" s="23" t="inlineStr">
        <is>
          <t>1380610010</t>
        </is>
      </c>
      <c r="E1874" s="11" t="inlineStr">
        <is>
          <t>National Capital Region (NCR)</t>
        </is>
      </c>
      <c r="F1874" s="11" t="inlineStr">
        <is>
          <t>First District (Not a Province)</t>
        </is>
      </c>
      <c r="G1874" s="11" t="inlineStr">
        <is>
          <t>City of Manila</t>
        </is>
      </c>
      <c r="H1874" s="11" t="inlineStr">
        <is>
          <t>Barangay 695</t>
        </is>
      </c>
      <c r="I1874" s="24" t="n">
        <v>14.575914</v>
      </c>
      <c r="J1874" s="24" t="n">
        <v>120.993004</v>
      </c>
      <c r="K1874" s="23" t="inlineStr">
        <is>
          <t>U</t>
        </is>
      </c>
      <c r="L1874" s="25" t="n">
        <v>722</v>
      </c>
      <c r="M1874" s="26" t="n">
        <v>4.4</v>
      </c>
      <c r="N1874" s="25">
        <f>ROUND(L1874/M1874, 0)</f>
        <v/>
      </c>
      <c r="O1874" s="25">
        <f>ROUND(N1874*'Methodology &amp; Assumptions'!$B$7, 0)</f>
        <v/>
      </c>
      <c r="P1874" s="23" t="inlineStr">
        <is>
          <t>Single Carrier (Band n50, 100MHz TDD)</t>
        </is>
      </c>
      <c r="Q1874" s="27">
        <f>ROUNDUP(O1874/'Methodology &amp; Assumptions'!$B$8, 0)</f>
        <v/>
      </c>
      <c r="R1874" s="27" t="n">
        <v>1</v>
      </c>
      <c r="S1874" s="26" t="n">
        <v>0.45</v>
      </c>
      <c r="T1874" s="26" t="n">
        <v>0.27</v>
      </c>
      <c r="U1874" s="11">
        <f>IF(S1874&lt;='Methodology &amp; Assumptions'!$B$10, "Direct Optical Drop (&lt;3km)", IF(S1874&lt;='Methodology &amp; Assumptions'!$B$9, "Near Optical / Microwave (&lt;5km)", "Starlink Business LEO Satellite Backhaul (&gt;5km)"))</f>
        <v/>
      </c>
      <c r="V1874" s="26" t="n">
        <v>46.34</v>
      </c>
      <c r="W1874" s="26" t="n">
        <v>68.61</v>
      </c>
      <c r="X1874" s="26">
        <f>ROUND(('Methodology &amp; Assumptions'!$B$5*V1874) + ('Methodology &amp; Assumptions'!$B$6*W1874), 2)</f>
        <v/>
      </c>
      <c r="Y1874" s="28" t="n">
        <v>10.9</v>
      </c>
      <c r="Z1874" s="11" t="inlineStr">
        <is>
          <t>Priority Tier 3 (Broadband Expansion)</t>
        </is>
      </c>
    </row>
    <row r="1875">
      <c r="A1875" s="23" t="n">
        <v>5</v>
      </c>
      <c r="B1875" s="23" t="n">
        <v>871</v>
      </c>
      <c r="C1875" s="23" t="n">
        <v>4871</v>
      </c>
      <c r="D1875" s="23" t="inlineStr">
        <is>
          <t>1381100092</t>
        </is>
      </c>
      <c r="E1875" s="11" t="inlineStr">
        <is>
          <t>National Capital Region (NCR)</t>
        </is>
      </c>
      <c r="F1875" s="11" t="inlineStr">
        <is>
          <t>Fourth District (Not a Province)</t>
        </is>
      </c>
      <c r="G1875" s="11" t="inlineStr">
        <is>
          <t>Pasay City</t>
        </is>
      </c>
      <c r="H1875" s="11" t="inlineStr">
        <is>
          <t>Barangay 92</t>
        </is>
      </c>
      <c r="I1875" s="24" t="n">
        <v>14.546559</v>
      </c>
      <c r="J1875" s="24" t="n">
        <v>120.997575</v>
      </c>
      <c r="K1875" s="23" t="inlineStr">
        <is>
          <t>U</t>
        </is>
      </c>
      <c r="L1875" s="25" t="n">
        <v>300</v>
      </c>
      <c r="M1875" s="26" t="n">
        <v>3.23</v>
      </c>
      <c r="N1875" s="25">
        <f>ROUND(L1875/M1875, 0)</f>
        <v/>
      </c>
      <c r="O1875" s="25">
        <f>ROUND(N1875*'Methodology &amp; Assumptions'!$B$7, 0)</f>
        <v/>
      </c>
      <c r="P1875" s="23" t="inlineStr">
        <is>
          <t>Single Carrier (Band n50, 100MHz TDD)</t>
        </is>
      </c>
      <c r="Q1875" s="27">
        <f>ROUNDUP(O1875/'Methodology &amp; Assumptions'!$B$8, 0)</f>
        <v/>
      </c>
      <c r="R1875" s="27" t="n">
        <v>1</v>
      </c>
      <c r="S1875" s="26" t="n">
        <v>0.41</v>
      </c>
      <c r="T1875" s="26" t="n">
        <v>0.18</v>
      </c>
      <c r="U1875" s="11">
        <f>IF(S1875&lt;='Methodology &amp; Assumptions'!$B$10, "Direct Optical Drop (&lt;3km)", IF(S1875&lt;='Methodology &amp; Assumptions'!$B$9, "Near Optical / Microwave (&lt;5km)", "Starlink Business LEO Satellite Backhaul (&gt;5km)"))</f>
        <v/>
      </c>
      <c r="V1875" s="26" t="n">
        <v>44.09</v>
      </c>
      <c r="W1875" s="26" t="n">
        <v>70.86</v>
      </c>
      <c r="X1875" s="26">
        <f>ROUND(('Methodology &amp; Assumptions'!$B$5*V1875) + ('Methodology &amp; Assumptions'!$B$6*W1875), 2)</f>
        <v/>
      </c>
      <c r="Y1875" s="28" t="n">
        <v>10.9</v>
      </c>
      <c r="Z1875" s="11" t="inlineStr">
        <is>
          <t>Priority Tier 3 (Broadband Expansion)</t>
        </is>
      </c>
    </row>
    <row r="1876">
      <c r="A1876" s="23" t="n">
        <v>5</v>
      </c>
      <c r="B1876" s="23" t="n">
        <v>872</v>
      </c>
      <c r="C1876" s="23" t="n">
        <v>4872</v>
      </c>
      <c r="D1876" s="23" t="inlineStr">
        <is>
          <t>0806023012</t>
        </is>
      </c>
      <c r="E1876" s="11" t="inlineStr">
        <is>
          <t>Region VIII (Eastern Visayas)</t>
        </is>
      </c>
      <c r="F1876" s="11" t="inlineStr">
        <is>
          <t>Samar</t>
        </is>
      </c>
      <c r="G1876" s="11" t="inlineStr">
        <is>
          <t>Zumarraga</t>
        </is>
      </c>
      <c r="H1876" s="11" t="inlineStr">
        <is>
          <t>Maga-an</t>
        </is>
      </c>
      <c r="I1876" s="24" t="n">
        <v>11.666802</v>
      </c>
      <c r="J1876" s="24" t="n">
        <v>124.893106</v>
      </c>
      <c r="K1876" s="23" t="inlineStr">
        <is>
          <t>R</t>
        </is>
      </c>
      <c r="L1876" s="25" t="n">
        <v>608</v>
      </c>
      <c r="M1876" s="26" t="n">
        <v>4.1</v>
      </c>
      <c r="N1876" s="25">
        <f>ROUND(L1876/M1876, 0)</f>
        <v/>
      </c>
      <c r="O1876" s="25">
        <f>ROUND(N1876*'Methodology &amp; Assumptions'!$B$7, 0)</f>
        <v/>
      </c>
      <c r="P1876" s="23" t="inlineStr">
        <is>
          <t>Single Carrier (Band n50, 100MHz TDD)</t>
        </is>
      </c>
      <c r="Q1876" s="27">
        <f>ROUNDUP(O1876/'Methodology &amp; Assumptions'!$B$8, 0)</f>
        <v/>
      </c>
      <c r="R1876" s="27" t="n">
        <v>1</v>
      </c>
      <c r="S1876" s="26" t="n">
        <v>46.46</v>
      </c>
      <c r="T1876" s="26" t="n">
        <v>46.34</v>
      </c>
      <c r="U1876" s="11">
        <f>IF(S1876&lt;='Methodology &amp; Assumptions'!$B$10, "Direct Optical Drop (&lt;3km)", IF(S1876&lt;='Methodology &amp; Assumptions'!$B$9, "Near Optical / Microwave (&lt;5km)", "Starlink Business LEO Satellite Backhaul (&gt;5km)"))</f>
        <v/>
      </c>
      <c r="V1876" s="26" t="n">
        <v>43.29</v>
      </c>
      <c r="W1876" s="26" t="n">
        <v>71.67</v>
      </c>
      <c r="X1876" s="26">
        <f>ROUND(('Methodology &amp; Assumptions'!$B$5*V1876) + ('Methodology &amp; Assumptions'!$B$6*W1876), 2)</f>
        <v/>
      </c>
      <c r="Y1876" s="28" t="n">
        <v>23.7</v>
      </c>
      <c r="Z1876" s="11" t="inlineStr">
        <is>
          <t>Priority Tier 3 (Broadband Expansion)</t>
        </is>
      </c>
    </row>
    <row r="1877">
      <c r="A1877" s="23" t="n">
        <v>5</v>
      </c>
      <c r="B1877" s="23" t="n">
        <v>873</v>
      </c>
      <c r="C1877" s="23" t="n">
        <v>4873</v>
      </c>
      <c r="D1877" s="23" t="inlineStr">
        <is>
          <t>0500503031</t>
        </is>
      </c>
      <c r="E1877" s="11" t="inlineStr">
        <is>
          <t>Region V (Bicol Region)</t>
        </is>
      </c>
      <c r="F1877" s="11" t="inlineStr">
        <is>
          <t>Albay</t>
        </is>
      </c>
      <c r="G1877" s="11" t="inlineStr">
        <is>
          <t>Daraga</t>
        </is>
      </c>
      <c r="H1877" s="11" t="inlineStr">
        <is>
          <t>Malabog</t>
        </is>
      </c>
      <c r="I1877" s="24" t="n">
        <v>13.170826</v>
      </c>
      <c r="J1877" s="24" t="n">
        <v>123.683301</v>
      </c>
      <c r="K1877" s="23" t="inlineStr">
        <is>
          <t>R</t>
        </is>
      </c>
      <c r="L1877" s="25" t="n">
        <v>4458</v>
      </c>
      <c r="M1877" s="26" t="n">
        <v>4.1</v>
      </c>
      <c r="N1877" s="25">
        <f>ROUND(L1877/M1877, 0)</f>
        <v/>
      </c>
      <c r="O1877" s="25">
        <f>ROUND(N1877*'Methodology &amp; Assumptions'!$B$7, 0)</f>
        <v/>
      </c>
      <c r="P1877" s="23" t="inlineStr">
        <is>
          <t>Single Carrier (Band n50, 100MHz TDD)</t>
        </is>
      </c>
      <c r="Q1877" s="27">
        <f>ROUNDUP(O1877/'Methodology &amp; Assumptions'!$B$8, 0)</f>
        <v/>
      </c>
      <c r="R1877" s="27" t="n">
        <v>1</v>
      </c>
      <c r="S1877" s="26" t="n">
        <v>1.92</v>
      </c>
      <c r="T1877" s="26" t="n">
        <v>0.27</v>
      </c>
      <c r="U1877" s="11">
        <f>IF(S1877&lt;='Methodology &amp; Assumptions'!$B$10, "Direct Optical Drop (&lt;3km)", IF(S1877&lt;='Methodology &amp; Assumptions'!$B$9, "Near Optical / Microwave (&lt;5km)", "Starlink Business LEO Satellite Backhaul (&gt;5km)"))</f>
        <v/>
      </c>
      <c r="V1877" s="26" t="n">
        <v>84.09999999999999</v>
      </c>
      <c r="W1877" s="26" t="n">
        <v>30.84</v>
      </c>
      <c r="X1877" s="26">
        <f>ROUND(('Methodology &amp; Assumptions'!$B$5*V1877) + ('Methodology &amp; Assumptions'!$B$6*W1877), 2)</f>
        <v/>
      </c>
      <c r="Y1877" s="28" t="n">
        <v>23.7</v>
      </c>
      <c r="Z1877" s="11" t="inlineStr">
        <is>
          <t>Priority Tier 3 (Broadband Expansion)</t>
        </is>
      </c>
    </row>
    <row r="1878">
      <c r="A1878" s="23" t="n">
        <v>5</v>
      </c>
      <c r="B1878" s="23" t="n">
        <v>874</v>
      </c>
      <c r="C1878" s="23" t="n">
        <v>4874</v>
      </c>
      <c r="D1878" s="23" t="inlineStr">
        <is>
          <t>0301410006</t>
        </is>
      </c>
      <c r="E1878" s="11" t="inlineStr">
        <is>
          <t>Region III (Central Luzon)</t>
        </is>
      </c>
      <c r="F1878" s="11" t="inlineStr">
        <is>
          <t>Bulacan</t>
        </is>
      </c>
      <c r="G1878" s="11" t="inlineStr">
        <is>
          <t>City of Malolos</t>
        </is>
      </c>
      <c r="H1878" s="11" t="inlineStr">
        <is>
          <t>Balayong</t>
        </is>
      </c>
      <c r="I1878" s="24" t="n">
        <v>14.830591</v>
      </c>
      <c r="J1878" s="24" t="n">
        <v>120.828248</v>
      </c>
      <c r="K1878" s="23" t="inlineStr">
        <is>
          <t>R</t>
        </is>
      </c>
      <c r="L1878" s="25" t="n">
        <v>3710</v>
      </c>
      <c r="M1878" s="26" t="n">
        <v>3.5</v>
      </c>
      <c r="N1878" s="25">
        <f>ROUND(L1878/M1878, 0)</f>
        <v/>
      </c>
      <c r="O1878" s="25">
        <f>ROUND(N1878*'Methodology &amp; Assumptions'!$B$7, 0)</f>
        <v/>
      </c>
      <c r="P1878" s="23" t="inlineStr">
        <is>
          <t>Single Carrier (Band n50, 100MHz TDD)</t>
        </is>
      </c>
      <c r="Q1878" s="27">
        <f>ROUNDUP(O1878/'Methodology &amp; Assumptions'!$B$8, 0)</f>
        <v/>
      </c>
      <c r="R1878" s="27" t="n">
        <v>1</v>
      </c>
      <c r="S1878" s="26" t="n">
        <v>1.73</v>
      </c>
      <c r="T1878" s="26" t="n">
        <v>1.81</v>
      </c>
      <c r="U1878" s="11">
        <f>IF(S1878&lt;='Methodology &amp; Assumptions'!$B$10, "Direct Optical Drop (&lt;3km)", IF(S1878&lt;='Methodology &amp; Assumptions'!$B$9, "Near Optical / Microwave (&lt;5km)", "Starlink Business LEO Satellite Backhaul (&gt;5km)"))</f>
        <v/>
      </c>
      <c r="V1878" s="26" t="n">
        <v>82.31999999999999</v>
      </c>
      <c r="W1878" s="26" t="n">
        <v>32.62</v>
      </c>
      <c r="X1878" s="26">
        <f>ROUND(('Methodology &amp; Assumptions'!$B$5*V1878) + ('Methodology &amp; Assumptions'!$B$6*W1878), 2)</f>
        <v/>
      </c>
      <c r="Y1878" s="28" t="n">
        <v>8.300000000000001</v>
      </c>
      <c r="Z1878" s="11" t="inlineStr">
        <is>
          <t>Priority Tier 3 (Broadband Expansion)</t>
        </is>
      </c>
    </row>
    <row r="1879">
      <c r="A1879" s="23" t="n">
        <v>5</v>
      </c>
      <c r="B1879" s="23" t="n">
        <v>875</v>
      </c>
      <c r="C1879" s="23" t="n">
        <v>4875</v>
      </c>
      <c r="D1879" s="23" t="inlineStr">
        <is>
          <t>0704601001</t>
        </is>
      </c>
      <c r="E1879" s="11" t="inlineStr">
        <is>
          <t>Region VII (Central Visayas)</t>
        </is>
      </c>
      <c r="F1879" s="11" t="inlineStr">
        <is>
          <t>Negros Oriental</t>
        </is>
      </c>
      <c r="G1879" s="11" t="inlineStr">
        <is>
          <t>Amlan</t>
        </is>
      </c>
      <c r="H1879" s="11" t="inlineStr">
        <is>
          <t>Bio-os</t>
        </is>
      </c>
      <c r="I1879" s="24" t="n">
        <v>9.471913000000001</v>
      </c>
      <c r="J1879" s="24" t="n">
        <v>123.1956</v>
      </c>
      <c r="K1879" s="23" t="inlineStr">
        <is>
          <t>R</t>
        </is>
      </c>
      <c r="L1879" s="25" t="n">
        <v>4275</v>
      </c>
      <c r="M1879" s="26" t="n">
        <v>3.8</v>
      </c>
      <c r="N1879" s="25">
        <f>ROUND(L1879/M1879, 0)</f>
        <v/>
      </c>
      <c r="O1879" s="25">
        <f>ROUND(N1879*'Methodology &amp; Assumptions'!$B$7, 0)</f>
        <v/>
      </c>
      <c r="P1879" s="23" t="inlineStr">
        <is>
          <t>Single Carrier (Band n50, 100MHz TDD)</t>
        </is>
      </c>
      <c r="Q1879" s="27">
        <f>ROUNDUP(O1879/'Methodology &amp; Assumptions'!$B$8, 0)</f>
        <v/>
      </c>
      <c r="R1879" s="27" t="n">
        <v>1</v>
      </c>
      <c r="S1879" s="26" t="n">
        <v>3.09</v>
      </c>
      <c r="T1879" s="26" t="n">
        <v>0.1</v>
      </c>
      <c r="U1879" s="11">
        <f>IF(S1879&lt;='Methodology &amp; Assumptions'!$B$10, "Direct Optical Drop (&lt;3km)", IF(S1879&lt;='Methodology &amp; Assumptions'!$B$9, "Near Optical / Microwave (&lt;5km)", "Starlink Business LEO Satellite Backhaul (&gt;5km)"))</f>
        <v/>
      </c>
      <c r="V1879" s="26" t="n">
        <v>80.39</v>
      </c>
      <c r="W1879" s="26" t="n">
        <v>34.55</v>
      </c>
      <c r="X1879" s="26">
        <f>ROUND(('Methodology &amp; Assumptions'!$B$5*V1879) + ('Methodology &amp; Assumptions'!$B$6*W1879), 2)</f>
        <v/>
      </c>
      <c r="Y1879" s="28" t="n">
        <v>23.7</v>
      </c>
      <c r="Z1879" s="11" t="inlineStr">
        <is>
          <t>Priority Tier 3 (Broadband Expansion)</t>
        </is>
      </c>
    </row>
    <row r="1880">
      <c r="A1880" s="23" t="n">
        <v>5</v>
      </c>
      <c r="B1880" s="23" t="n">
        <v>876</v>
      </c>
      <c r="C1880" s="23" t="n">
        <v>4876</v>
      </c>
      <c r="D1880" s="23" t="inlineStr">
        <is>
          <t>0405812020</t>
        </is>
      </c>
      <c r="E1880" s="11" t="inlineStr">
        <is>
          <t>Region IV-A (CALABARZON)</t>
        </is>
      </c>
      <c r="F1880" s="11" t="inlineStr">
        <is>
          <t>Rizal</t>
        </is>
      </c>
      <c r="G1880" s="11" t="inlineStr">
        <is>
          <t>Tanay</t>
        </is>
      </c>
      <c r="H1880" s="11" t="inlineStr">
        <is>
          <t>Wawa</t>
        </is>
      </c>
      <c r="I1880" s="24" t="n">
        <v>14.491816</v>
      </c>
      <c r="J1880" s="24" t="n">
        <v>121.284464</v>
      </c>
      <c r="K1880" s="23" t="inlineStr">
        <is>
          <t>U</t>
        </is>
      </c>
      <c r="L1880" s="25" t="n">
        <v>8036</v>
      </c>
      <c r="M1880" s="26" t="n">
        <v>3.6</v>
      </c>
      <c r="N1880" s="25">
        <f>ROUND(L1880/M1880, 0)</f>
        <v/>
      </c>
      <c r="O1880" s="25">
        <f>ROUND(N1880*'Methodology &amp; Assumptions'!$B$7, 0)</f>
        <v/>
      </c>
      <c r="P1880" s="23" t="inlineStr">
        <is>
          <t>Single Carrier (Band n50, 100MHz TDD)</t>
        </is>
      </c>
      <c r="Q1880" s="27">
        <f>ROUNDUP(O1880/'Methodology &amp; Assumptions'!$B$8, 0)</f>
        <v/>
      </c>
      <c r="R1880" s="27" t="n">
        <v>1</v>
      </c>
      <c r="S1880" s="26" t="n">
        <v>0.6</v>
      </c>
      <c r="T1880" s="26" t="n">
        <v>0.63</v>
      </c>
      <c r="U1880" s="11">
        <f>IF(S1880&lt;='Methodology &amp; Assumptions'!$B$10, "Direct Optical Drop (&lt;3km)", IF(S1880&lt;='Methodology &amp; Assumptions'!$B$9, "Near Optical / Microwave (&lt;5km)", "Starlink Business LEO Satellite Backhaul (&gt;5km)"))</f>
        <v/>
      </c>
      <c r="V1880" s="26" t="n">
        <v>78.26000000000001</v>
      </c>
      <c r="W1880" s="26" t="n">
        <v>36.68</v>
      </c>
      <c r="X1880" s="26">
        <f>ROUND(('Methodology &amp; Assumptions'!$B$5*V1880) + ('Methodology &amp; Assumptions'!$B$6*W1880), 2)</f>
        <v/>
      </c>
      <c r="Y1880" s="28" t="n">
        <v>7.2</v>
      </c>
      <c r="Z1880" s="11" t="inlineStr">
        <is>
          <t>Priority Tier 3 (Broadband Expansion)</t>
        </is>
      </c>
    </row>
    <row r="1881">
      <c r="A1881" s="23" t="n">
        <v>5</v>
      </c>
      <c r="B1881" s="23" t="n">
        <v>877</v>
      </c>
      <c r="C1881" s="23" t="n">
        <v>4877</v>
      </c>
      <c r="D1881" s="23" t="inlineStr">
        <is>
          <t>0304931026</t>
        </is>
      </c>
      <c r="E1881" s="11" t="inlineStr">
        <is>
          <t>Region III (Central Luzon)</t>
        </is>
      </c>
      <c r="F1881" s="11" t="inlineStr">
        <is>
          <t>Nueva Ecija</t>
        </is>
      </c>
      <c r="G1881" s="11" t="inlineStr">
        <is>
          <t>Talugtug</t>
        </is>
      </c>
      <c r="H1881" s="11" t="inlineStr">
        <is>
          <t>Saverona</t>
        </is>
      </c>
      <c r="I1881" s="24" t="n">
        <v>15.585783</v>
      </c>
      <c r="J1881" s="24" t="n">
        <v>120.924577</v>
      </c>
      <c r="K1881" s="23" t="inlineStr">
        <is>
          <t>R</t>
        </is>
      </c>
      <c r="L1881" s="25" t="n">
        <v>1920</v>
      </c>
      <c r="M1881" s="26" t="n">
        <v>3.5</v>
      </c>
      <c r="N1881" s="25">
        <f>ROUND(L1881/M1881, 0)</f>
        <v/>
      </c>
      <c r="O1881" s="25">
        <f>ROUND(N1881*'Methodology &amp; Assumptions'!$B$7, 0)</f>
        <v/>
      </c>
      <c r="P1881" s="23" t="inlineStr">
        <is>
          <t>Single Carrier (Band n50, 100MHz TDD)</t>
        </is>
      </c>
      <c r="Q1881" s="27">
        <f>ROUNDUP(O1881/'Methodology &amp; Assumptions'!$B$8, 0)</f>
        <v/>
      </c>
      <c r="R1881" s="27" t="n">
        <v>1</v>
      </c>
      <c r="S1881" s="26" t="n">
        <v>0.71</v>
      </c>
      <c r="T1881" s="26" t="n">
        <v>0.52</v>
      </c>
      <c r="U1881" s="11">
        <f>IF(S1881&lt;='Methodology &amp; Assumptions'!$B$10, "Direct Optical Drop (&lt;3km)", IF(S1881&lt;='Methodology &amp; Assumptions'!$B$9, "Near Optical / Microwave (&lt;5km)", "Starlink Business LEO Satellite Backhaul (&gt;5km)"))</f>
        <v/>
      </c>
      <c r="V1881" s="26" t="n">
        <v>76.90000000000001</v>
      </c>
      <c r="W1881" s="26" t="n">
        <v>38.05</v>
      </c>
      <c r="X1881" s="26">
        <f>ROUND(('Methodology &amp; Assumptions'!$B$5*V1881) + ('Methodology &amp; Assumptions'!$B$6*W1881), 2)</f>
        <v/>
      </c>
      <c r="Y1881" s="28" t="n">
        <v>8.300000000000001</v>
      </c>
      <c r="Z1881" s="11" t="inlineStr">
        <is>
          <t>Priority Tier 3 (Broadband Expansion)</t>
        </is>
      </c>
    </row>
    <row r="1882">
      <c r="A1882" s="23" t="n">
        <v>5</v>
      </c>
      <c r="B1882" s="23" t="n">
        <v>878</v>
      </c>
      <c r="C1882" s="23" t="n">
        <v>4878</v>
      </c>
      <c r="D1882" s="23" t="inlineStr">
        <is>
          <t>0304907016</t>
        </is>
      </c>
      <c r="E1882" s="11" t="inlineStr">
        <is>
          <t>Region III (Central Luzon)</t>
        </is>
      </c>
      <c r="F1882" s="11" t="inlineStr">
        <is>
          <t>Nueva Ecija</t>
        </is>
      </c>
      <c r="G1882" s="11" t="inlineStr">
        <is>
          <t>Gabaldon</t>
        </is>
      </c>
      <c r="H1882" s="11" t="inlineStr">
        <is>
          <t>Tagumpay</t>
        </is>
      </c>
      <c r="I1882" s="24" t="n">
        <v>15.457091</v>
      </c>
      <c r="J1882" s="24" t="n">
        <v>121.332841</v>
      </c>
      <c r="K1882" s="23" t="inlineStr">
        <is>
          <t>R</t>
        </is>
      </c>
      <c r="L1882" s="25" t="n">
        <v>2801</v>
      </c>
      <c r="M1882" s="26" t="n">
        <v>3.5</v>
      </c>
      <c r="N1882" s="25">
        <f>ROUND(L1882/M1882, 0)</f>
        <v/>
      </c>
      <c r="O1882" s="25">
        <f>ROUND(N1882*'Methodology &amp; Assumptions'!$B$7, 0)</f>
        <v/>
      </c>
      <c r="P1882" s="23" t="inlineStr">
        <is>
          <t>Single Carrier (Band n50, 100MHz TDD)</t>
        </is>
      </c>
      <c r="Q1882" s="27">
        <f>ROUNDUP(O1882/'Methodology &amp; Assumptions'!$B$8, 0)</f>
        <v/>
      </c>
      <c r="R1882" s="27" t="n">
        <v>1</v>
      </c>
      <c r="S1882" s="26" t="n">
        <v>2.97</v>
      </c>
      <c r="T1882" s="26" t="n">
        <v>23.19</v>
      </c>
      <c r="U1882" s="11">
        <f>IF(S1882&lt;='Methodology &amp; Assumptions'!$B$10, "Direct Optical Drop (&lt;3km)", IF(S1882&lt;='Methodology &amp; Assumptions'!$B$9, "Near Optical / Microwave (&lt;5km)", "Starlink Business LEO Satellite Backhaul (&gt;5km)"))</f>
        <v/>
      </c>
      <c r="V1882" s="26" t="n">
        <v>74.16</v>
      </c>
      <c r="W1882" s="26" t="n">
        <v>40.77</v>
      </c>
      <c r="X1882" s="26">
        <f>ROUND(('Methodology &amp; Assumptions'!$B$5*V1882) + ('Methodology &amp; Assumptions'!$B$6*W1882), 2)</f>
        <v/>
      </c>
      <c r="Y1882" s="28" t="n">
        <v>8.300000000000001</v>
      </c>
      <c r="Z1882" s="11" t="inlineStr">
        <is>
          <t>Priority Tier 3 (Broadband Expansion)</t>
        </is>
      </c>
    </row>
    <row r="1883">
      <c r="A1883" s="23" t="n">
        <v>5</v>
      </c>
      <c r="B1883" s="23" t="n">
        <v>879</v>
      </c>
      <c r="C1883" s="23" t="n">
        <v>4879</v>
      </c>
      <c r="D1883" s="23" t="inlineStr">
        <is>
          <t>1380606217</t>
        </is>
      </c>
      <c r="E1883" s="11" t="inlineStr">
        <is>
          <t>National Capital Region (NCR)</t>
        </is>
      </c>
      <c r="F1883" s="11" t="inlineStr">
        <is>
          <t>First District (Not a Province)</t>
        </is>
      </c>
      <c r="G1883" s="11" t="inlineStr">
        <is>
          <t>City of Manila</t>
        </is>
      </c>
      <c r="H1883" s="11" t="inlineStr">
        <is>
          <t>Barangay 610</t>
        </is>
      </c>
      <c r="I1883" s="24" t="n">
        <v>14.593237</v>
      </c>
      <c r="J1883" s="24" t="n">
        <v>121.018552</v>
      </c>
      <c r="K1883" s="23" t="inlineStr">
        <is>
          <t>U</t>
        </is>
      </c>
      <c r="L1883" s="25" t="n">
        <v>991</v>
      </c>
      <c r="M1883" s="26" t="n">
        <v>4.16</v>
      </c>
      <c r="N1883" s="25">
        <f>ROUND(L1883/M1883, 0)</f>
        <v/>
      </c>
      <c r="O1883" s="25">
        <f>ROUND(N1883*'Methodology &amp; Assumptions'!$B$7, 0)</f>
        <v/>
      </c>
      <c r="P1883" s="23" t="inlineStr">
        <is>
          <t>Single Carrier (Band n50, 100MHz TDD)</t>
        </is>
      </c>
      <c r="Q1883" s="27">
        <f>ROUNDUP(O1883/'Methodology &amp; Assumptions'!$B$8, 0)</f>
        <v/>
      </c>
      <c r="R1883" s="27" t="n">
        <v>1</v>
      </c>
      <c r="S1883" s="26" t="n">
        <v>1.48</v>
      </c>
      <c r="T1883" s="26" t="n">
        <v>0.63</v>
      </c>
      <c r="U1883" s="11">
        <f>IF(S1883&lt;='Methodology &amp; Assumptions'!$B$10, "Direct Optical Drop (&lt;3km)", IF(S1883&lt;='Methodology &amp; Assumptions'!$B$9, "Near Optical / Microwave (&lt;5km)", "Starlink Business LEO Satellite Backhaul (&gt;5km)"))</f>
        <v/>
      </c>
      <c r="V1883" s="26" t="n">
        <v>46.29</v>
      </c>
      <c r="W1883" s="26" t="n">
        <v>68.66</v>
      </c>
      <c r="X1883" s="26">
        <f>ROUND(('Methodology &amp; Assumptions'!$B$5*V1883) + ('Methodology &amp; Assumptions'!$B$6*W1883), 2)</f>
        <v/>
      </c>
      <c r="Y1883" s="28" t="n">
        <v>10.9</v>
      </c>
      <c r="Z1883" s="11" t="inlineStr">
        <is>
          <t>Priority Tier 3 (Broadband Expansion)</t>
        </is>
      </c>
    </row>
    <row r="1884">
      <c r="A1884" s="23" t="n">
        <v>5</v>
      </c>
      <c r="B1884" s="23" t="n">
        <v>880</v>
      </c>
      <c r="C1884" s="23" t="n">
        <v>4880</v>
      </c>
      <c r="D1884" s="23" t="inlineStr">
        <is>
          <t>1380606156</t>
        </is>
      </c>
      <c r="E1884" s="11" t="inlineStr">
        <is>
          <t>National Capital Region (NCR)</t>
        </is>
      </c>
      <c r="F1884" s="11" t="inlineStr">
        <is>
          <t>First District (Not a Province)</t>
        </is>
      </c>
      <c r="G1884" s="11" t="inlineStr">
        <is>
          <t>City of Manila</t>
        </is>
      </c>
      <c r="H1884" s="11" t="inlineStr">
        <is>
          <t>Barangay 550</t>
        </is>
      </c>
      <c r="I1884" s="24" t="n">
        <v>14.608679</v>
      </c>
      <c r="J1884" s="24" t="n">
        <v>121.000656</v>
      </c>
      <c r="K1884" s="23" t="inlineStr">
        <is>
          <t>U</t>
        </is>
      </c>
      <c r="L1884" s="25" t="n">
        <v>657</v>
      </c>
      <c r="M1884" s="26" t="n">
        <v>4.08</v>
      </c>
      <c r="N1884" s="25">
        <f>ROUND(L1884/M1884, 0)</f>
        <v/>
      </c>
      <c r="O1884" s="25">
        <f>ROUND(N1884*'Methodology &amp; Assumptions'!$B$7, 0)</f>
        <v/>
      </c>
      <c r="P1884" s="23" t="inlineStr">
        <is>
          <t>Single Carrier (Band n50, 100MHz TDD)</t>
        </is>
      </c>
      <c r="Q1884" s="27">
        <f>ROUNDUP(O1884/'Methodology &amp; Assumptions'!$B$8, 0)</f>
        <v/>
      </c>
      <c r="R1884" s="27" t="n">
        <v>1</v>
      </c>
      <c r="S1884" s="26" t="n">
        <v>0.42</v>
      </c>
      <c r="T1884" s="26" t="n">
        <v>0.24</v>
      </c>
      <c r="U1884" s="11">
        <f>IF(S1884&lt;='Methodology &amp; Assumptions'!$B$10, "Direct Optical Drop (&lt;3km)", IF(S1884&lt;='Methodology &amp; Assumptions'!$B$9, "Near Optical / Microwave (&lt;5km)", "Starlink Business LEO Satellite Backhaul (&gt;5km)"))</f>
        <v/>
      </c>
      <c r="V1884" s="26" t="n">
        <v>46.23</v>
      </c>
      <c r="W1884" s="26" t="n">
        <v>68.7</v>
      </c>
      <c r="X1884" s="26">
        <f>ROUND(('Methodology &amp; Assumptions'!$B$5*V1884) + ('Methodology &amp; Assumptions'!$B$6*W1884), 2)</f>
        <v/>
      </c>
      <c r="Y1884" s="28" t="n">
        <v>10.9</v>
      </c>
      <c r="Z1884" s="11" t="inlineStr">
        <is>
          <t>Priority Tier 3 (Broadband Expansion)</t>
        </is>
      </c>
    </row>
    <row r="1885">
      <c r="A1885" s="23" t="n">
        <v>5</v>
      </c>
      <c r="B1885" s="23" t="n">
        <v>881</v>
      </c>
      <c r="C1885" s="23" t="n">
        <v>4881</v>
      </c>
      <c r="D1885" s="23" t="inlineStr">
        <is>
          <t>1380605082</t>
        </is>
      </c>
      <c r="E1885" s="11" t="inlineStr">
        <is>
          <t>National Capital Region (NCR)</t>
        </is>
      </c>
      <c r="F1885" s="11" t="inlineStr">
        <is>
          <t>First District (Not a Province)</t>
        </is>
      </c>
      <c r="G1885" s="11" t="inlineStr">
        <is>
          <t>City of Manila</t>
        </is>
      </c>
      <c r="H1885" s="11" t="inlineStr">
        <is>
          <t>Barangay 379</t>
        </is>
      </c>
      <c r="I1885" s="24" t="n">
        <v>14.625764</v>
      </c>
      <c r="J1885" s="24" t="n">
        <v>120.986268</v>
      </c>
      <c r="K1885" s="23" t="inlineStr">
        <is>
          <t>U</t>
        </is>
      </c>
      <c r="L1885" s="25" t="n">
        <v>729</v>
      </c>
      <c r="M1885" s="26" t="n">
        <v>4.03</v>
      </c>
      <c r="N1885" s="25">
        <f>ROUND(L1885/M1885, 0)</f>
        <v/>
      </c>
      <c r="O1885" s="25">
        <f>ROUND(N1885*'Methodology &amp; Assumptions'!$B$7, 0)</f>
        <v/>
      </c>
      <c r="P1885" s="23" t="inlineStr">
        <is>
          <t>Single Carrier (Band n50, 100MHz TDD)</t>
        </is>
      </c>
      <c r="Q1885" s="27">
        <f>ROUNDUP(O1885/'Methodology &amp; Assumptions'!$B$8, 0)</f>
        <v/>
      </c>
      <c r="R1885" s="27" t="n">
        <v>1</v>
      </c>
      <c r="S1885" s="26" t="n">
        <v>1.09</v>
      </c>
      <c r="T1885" s="26" t="n">
        <v>0.19</v>
      </c>
      <c r="U1885" s="11">
        <f>IF(S1885&lt;='Methodology &amp; Assumptions'!$B$10, "Direct Optical Drop (&lt;3km)", IF(S1885&lt;='Methodology &amp; Assumptions'!$B$9, "Near Optical / Microwave (&lt;5km)", "Starlink Business LEO Satellite Backhaul (&gt;5km)"))</f>
        <v/>
      </c>
      <c r="V1885" s="26" t="n">
        <v>45.9</v>
      </c>
      <c r="W1885" s="26" t="n">
        <v>69.04000000000001</v>
      </c>
      <c r="X1885" s="26">
        <f>ROUND(('Methodology &amp; Assumptions'!$B$5*V1885) + ('Methodology &amp; Assumptions'!$B$6*W1885), 2)</f>
        <v/>
      </c>
      <c r="Y1885" s="28" t="n">
        <v>10.9</v>
      </c>
      <c r="Z1885" s="11" t="inlineStr">
        <is>
          <t>Priority Tier 3 (Broadband Expansion)</t>
        </is>
      </c>
    </row>
    <row r="1886">
      <c r="A1886" s="23" t="n">
        <v>5</v>
      </c>
      <c r="B1886" s="23" t="n">
        <v>882</v>
      </c>
      <c r="C1886" s="23" t="n">
        <v>4882</v>
      </c>
      <c r="D1886" s="23" t="inlineStr">
        <is>
          <t>0401004009</t>
        </is>
      </c>
      <c r="E1886" s="11" t="inlineStr">
        <is>
          <t>Region IV-A (CALABARZON)</t>
        </is>
      </c>
      <c r="F1886" s="11" t="inlineStr">
        <is>
          <t>Batangas</t>
        </is>
      </c>
      <c r="G1886" s="11" t="inlineStr">
        <is>
          <t>Balete</t>
        </is>
      </c>
      <c r="H1886" s="11" t="inlineStr">
        <is>
          <t>Poblacion</t>
        </is>
      </c>
      <c r="I1886" s="24" t="n">
        <v>14.018468</v>
      </c>
      <c r="J1886" s="24" t="n">
        <v>121.095266</v>
      </c>
      <c r="K1886" s="23" t="inlineStr">
        <is>
          <t>R</t>
        </is>
      </c>
      <c r="L1886" s="25" t="n">
        <v>2357</v>
      </c>
      <c r="M1886" s="26" t="n">
        <v>3.6</v>
      </c>
      <c r="N1886" s="25">
        <f>ROUND(L1886/M1886, 0)</f>
        <v/>
      </c>
      <c r="O1886" s="25">
        <f>ROUND(N1886*'Methodology &amp; Assumptions'!$B$7, 0)</f>
        <v/>
      </c>
      <c r="P1886" s="23" t="inlineStr">
        <is>
          <t>Single Carrier (Band n50, 100MHz TDD)</t>
        </is>
      </c>
      <c r="Q1886" s="27">
        <f>ROUNDUP(O1886/'Methodology &amp; Assumptions'!$B$8, 0)</f>
        <v/>
      </c>
      <c r="R1886" s="27" t="n">
        <v>1</v>
      </c>
      <c r="S1886" s="26" t="n">
        <v>0.08</v>
      </c>
      <c r="T1886" s="26" t="n">
        <v>7.19</v>
      </c>
      <c r="U1886" s="11">
        <f>IF(S1886&lt;='Methodology &amp; Assumptions'!$B$10, "Direct Optical Drop (&lt;3km)", IF(S1886&lt;='Methodology &amp; Assumptions'!$B$9, "Near Optical / Microwave (&lt;5km)", "Starlink Business LEO Satellite Backhaul (&gt;5km)"))</f>
        <v/>
      </c>
      <c r="V1886" s="26" t="n">
        <v>82.47</v>
      </c>
      <c r="W1886" s="26" t="n">
        <v>32.45</v>
      </c>
      <c r="X1886" s="26">
        <f>ROUND(('Methodology &amp; Assumptions'!$B$5*V1886) + ('Methodology &amp; Assumptions'!$B$6*W1886), 2)</f>
        <v/>
      </c>
      <c r="Y1886" s="28" t="n">
        <v>7.2</v>
      </c>
      <c r="Z1886" s="11" t="inlineStr">
        <is>
          <t>Priority Tier 3 (Broadband Expansion)</t>
        </is>
      </c>
    </row>
    <row r="1887">
      <c r="A1887" s="23" t="n">
        <v>5</v>
      </c>
      <c r="B1887" s="23" t="n">
        <v>883</v>
      </c>
      <c r="C1887" s="23" t="n">
        <v>4883</v>
      </c>
      <c r="D1887" s="23" t="inlineStr">
        <is>
          <t>0403422011</t>
        </is>
      </c>
      <c r="E1887" s="11" t="inlineStr">
        <is>
          <t>Region IV-A (CALABARZON)</t>
        </is>
      </c>
      <c r="F1887" s="11" t="inlineStr">
        <is>
          <t>Laguna</t>
        </is>
      </c>
      <c r="G1887" s="11" t="inlineStr">
        <is>
          <t>Pila</t>
        </is>
      </c>
      <c r="H1887" s="11" t="inlineStr">
        <is>
          <t>Pansol</t>
        </is>
      </c>
      <c r="I1887" s="24" t="n">
        <v>14.215303</v>
      </c>
      <c r="J1887" s="24" t="n">
        <v>121.374208</v>
      </c>
      <c r="K1887" s="23" t="inlineStr">
        <is>
          <t>R</t>
        </is>
      </c>
      <c r="L1887" s="25" t="n">
        <v>2733</v>
      </c>
      <c r="M1887" s="26" t="n">
        <v>3.3</v>
      </c>
      <c r="N1887" s="25">
        <f>ROUND(L1887/M1887, 0)</f>
        <v/>
      </c>
      <c r="O1887" s="25">
        <f>ROUND(N1887*'Methodology &amp; Assumptions'!$B$7, 0)</f>
        <v/>
      </c>
      <c r="P1887" s="23" t="inlineStr">
        <is>
          <t>Single Carrier (Band n50, 100MHz TDD)</t>
        </is>
      </c>
      <c r="Q1887" s="27">
        <f>ROUNDUP(O1887/'Methodology &amp; Assumptions'!$B$8, 0)</f>
        <v/>
      </c>
      <c r="R1887" s="27" t="n">
        <v>1</v>
      </c>
      <c r="S1887" s="26" t="n">
        <v>2.58</v>
      </c>
      <c r="T1887" s="26" t="n">
        <v>1.59</v>
      </c>
      <c r="U1887" s="11">
        <f>IF(S1887&lt;='Methodology &amp; Assumptions'!$B$10, "Direct Optical Drop (&lt;3km)", IF(S1887&lt;='Methodology &amp; Assumptions'!$B$9, "Near Optical / Microwave (&lt;5km)", "Starlink Business LEO Satellite Backhaul (&gt;5km)"))</f>
        <v/>
      </c>
      <c r="V1887" s="26" t="n">
        <v>79.3</v>
      </c>
      <c r="W1887" s="26" t="n">
        <v>35.61</v>
      </c>
      <c r="X1887" s="26">
        <f>ROUND(('Methodology &amp; Assumptions'!$B$5*V1887) + ('Methodology &amp; Assumptions'!$B$6*W1887), 2)</f>
        <v/>
      </c>
      <c r="Y1887" s="28" t="n">
        <v>7.2</v>
      </c>
      <c r="Z1887" s="11" t="inlineStr">
        <is>
          <t>Priority Tier 3 (Broadband Expansion)</t>
        </is>
      </c>
    </row>
    <row r="1888">
      <c r="A1888" s="23" t="n">
        <v>5</v>
      </c>
      <c r="B1888" s="23" t="n">
        <v>884</v>
      </c>
      <c r="C1888" s="23" t="n">
        <v>4884</v>
      </c>
      <c r="D1888" s="23" t="inlineStr">
        <is>
          <t>0305407020</t>
        </is>
      </c>
      <c r="E1888" s="11" t="inlineStr">
        <is>
          <t>Region III (Central Luzon)</t>
        </is>
      </c>
      <c r="F1888" s="11" t="inlineStr">
        <is>
          <t>Pampanga</t>
        </is>
      </c>
      <c r="G1888" s="11" t="inlineStr">
        <is>
          <t>Guagua</t>
        </is>
      </c>
      <c r="H1888" s="11" t="inlineStr">
        <is>
          <t>San Nicolas 1st</t>
        </is>
      </c>
      <c r="I1888" s="24" t="n">
        <v>14.9702</v>
      </c>
      <c r="J1888" s="24" t="n">
        <v>120.633416</v>
      </c>
      <c r="K1888" s="23" t="inlineStr">
        <is>
          <t>R</t>
        </is>
      </c>
      <c r="L1888" s="25" t="n">
        <v>1933</v>
      </c>
      <c r="M1888" s="26" t="n">
        <v>4</v>
      </c>
      <c r="N1888" s="25">
        <f>ROUND(L1888/M1888, 0)</f>
        <v/>
      </c>
      <c r="O1888" s="25">
        <f>ROUND(N1888*'Methodology &amp; Assumptions'!$B$7, 0)</f>
        <v/>
      </c>
      <c r="P1888" s="23" t="inlineStr">
        <is>
          <t>Single Carrier (Band n50, 100MHz TDD)</t>
        </is>
      </c>
      <c r="Q1888" s="27">
        <f>ROUNDUP(O1888/'Methodology &amp; Assumptions'!$B$8, 0)</f>
        <v/>
      </c>
      <c r="R1888" s="27" t="n">
        <v>1</v>
      </c>
      <c r="S1888" s="26" t="n">
        <v>0.52</v>
      </c>
      <c r="T1888" s="26" t="n">
        <v>0.05</v>
      </c>
      <c r="U1888" s="11">
        <f>IF(S1888&lt;='Methodology &amp; Assumptions'!$B$10, "Direct Optical Drop (&lt;3km)", IF(S1888&lt;='Methodology &amp; Assumptions'!$B$9, "Near Optical / Microwave (&lt;5km)", "Starlink Business LEO Satellite Backhaul (&gt;5km)"))</f>
        <v/>
      </c>
      <c r="V1888" s="26" t="n">
        <v>74.73</v>
      </c>
      <c r="W1888" s="26" t="n">
        <v>40.19</v>
      </c>
      <c r="X1888" s="26">
        <f>ROUND(('Methodology &amp; Assumptions'!$B$5*V1888) + ('Methodology &amp; Assumptions'!$B$6*W1888), 2)</f>
        <v/>
      </c>
      <c r="Y1888" s="28" t="n">
        <v>8.300000000000001</v>
      </c>
      <c r="Z1888" s="11" t="inlineStr">
        <is>
          <t>Priority Tier 3 (Broadband Expansion)</t>
        </is>
      </c>
    </row>
    <row r="1889">
      <c r="A1889" s="23" t="n">
        <v>5</v>
      </c>
      <c r="B1889" s="23" t="n">
        <v>885</v>
      </c>
      <c r="C1889" s="23" t="n">
        <v>4885</v>
      </c>
      <c r="D1889" s="23" t="inlineStr">
        <is>
          <t>0306902005</t>
        </is>
      </c>
      <c r="E1889" s="11" t="inlineStr">
        <is>
          <t>Region III (Central Luzon)</t>
        </is>
      </c>
      <c r="F1889" s="11" t="inlineStr">
        <is>
          <t>Tarlac</t>
        </is>
      </c>
      <c r="G1889" s="11" t="inlineStr">
        <is>
          <t>Bamban</t>
        </is>
      </c>
      <c r="H1889" s="11" t="inlineStr">
        <is>
          <t>Dela Cruz</t>
        </is>
      </c>
      <c r="I1889" s="24" t="n">
        <v>15.27944</v>
      </c>
      <c r="J1889" s="24" t="n">
        <v>120.570136</v>
      </c>
      <c r="K1889" s="23" t="inlineStr">
        <is>
          <t>U</t>
        </is>
      </c>
      <c r="L1889" s="25" t="n">
        <v>2483</v>
      </c>
      <c r="M1889" s="26" t="n">
        <v>3.9</v>
      </c>
      <c r="N1889" s="25">
        <f>ROUND(L1889/M1889, 0)</f>
        <v/>
      </c>
      <c r="O1889" s="25">
        <f>ROUND(N1889*'Methodology &amp; Assumptions'!$B$7, 0)</f>
        <v/>
      </c>
      <c r="P1889" s="23" t="inlineStr">
        <is>
          <t>Single Carrier (Band n50, 100MHz TDD)</t>
        </is>
      </c>
      <c r="Q1889" s="27">
        <f>ROUNDUP(O1889/'Methodology &amp; Assumptions'!$B$8, 0)</f>
        <v/>
      </c>
      <c r="R1889" s="27" t="n">
        <v>1</v>
      </c>
      <c r="S1889" s="26" t="n">
        <v>0.53</v>
      </c>
      <c r="T1889" s="26" t="n">
        <v>0.41</v>
      </c>
      <c r="U1889" s="11">
        <f>IF(S1889&lt;='Methodology &amp; Assumptions'!$B$10, "Direct Optical Drop (&lt;3km)", IF(S1889&lt;='Methodology &amp; Assumptions'!$B$9, "Near Optical / Microwave (&lt;5km)", "Starlink Business LEO Satellite Backhaul (&gt;5km)"))</f>
        <v/>
      </c>
      <c r="V1889" s="26" t="n">
        <v>72.51000000000001</v>
      </c>
      <c r="W1889" s="26" t="n">
        <v>42.41</v>
      </c>
      <c r="X1889" s="26">
        <f>ROUND(('Methodology &amp; Assumptions'!$B$5*V1889) + ('Methodology &amp; Assumptions'!$B$6*W1889), 2)</f>
        <v/>
      </c>
      <c r="Y1889" s="28" t="n">
        <v>8.300000000000001</v>
      </c>
      <c r="Z1889" s="11" t="inlineStr">
        <is>
          <t>Priority Tier 3 (Broadband Expansion)</t>
        </is>
      </c>
    </row>
    <row r="1890">
      <c r="A1890" s="23" t="n">
        <v>5</v>
      </c>
      <c r="B1890" s="23" t="n">
        <v>886</v>
      </c>
      <c r="C1890" s="23" t="n">
        <v>4886</v>
      </c>
      <c r="D1890" s="23" t="inlineStr">
        <is>
          <t>0704602009</t>
        </is>
      </c>
      <c r="E1890" s="11" t="inlineStr">
        <is>
          <t>Region VII (Central Visayas)</t>
        </is>
      </c>
      <c r="F1890" s="11" t="inlineStr">
        <is>
          <t>Negros Oriental</t>
        </is>
      </c>
      <c r="G1890" s="11" t="inlineStr">
        <is>
          <t>Ayungon</t>
        </is>
      </c>
      <c r="H1890" s="11" t="inlineStr">
        <is>
          <t>Carol-an</t>
        </is>
      </c>
      <c r="I1890" s="24" t="n">
        <v>9.858076000000001</v>
      </c>
      <c r="J1890" s="24" t="n">
        <v>122.980286</v>
      </c>
      <c r="K1890" s="23" t="inlineStr">
        <is>
          <t>R</t>
        </is>
      </c>
      <c r="L1890" s="25" t="n">
        <v>3514</v>
      </c>
      <c r="M1890" s="26" t="n">
        <v>3.8</v>
      </c>
      <c r="N1890" s="25">
        <f>ROUND(L1890/M1890, 0)</f>
        <v/>
      </c>
      <c r="O1890" s="25">
        <f>ROUND(N1890*'Methodology &amp; Assumptions'!$B$7, 0)</f>
        <v/>
      </c>
      <c r="P1890" s="23" t="inlineStr">
        <is>
          <t>Single Carrier (Band n50, 100MHz TDD)</t>
        </is>
      </c>
      <c r="Q1890" s="27">
        <f>ROUNDUP(O1890/'Methodology &amp; Assumptions'!$B$8, 0)</f>
        <v/>
      </c>
      <c r="R1890" s="27" t="n">
        <v>1</v>
      </c>
      <c r="S1890" s="26" t="n">
        <v>15.51</v>
      </c>
      <c r="T1890" s="26" t="n">
        <v>8.15</v>
      </c>
      <c r="U1890" s="11">
        <f>IF(S1890&lt;='Methodology &amp; Assumptions'!$B$10, "Direct Optical Drop (&lt;3km)", IF(S1890&lt;='Methodology &amp; Assumptions'!$B$9, "Near Optical / Microwave (&lt;5km)", "Starlink Business LEO Satellite Backhaul (&gt;5km)"))</f>
        <v/>
      </c>
      <c r="V1890" s="26" t="n">
        <v>62.81</v>
      </c>
      <c r="W1890" s="26" t="n">
        <v>52.11</v>
      </c>
      <c r="X1890" s="26">
        <f>ROUND(('Methodology &amp; Assumptions'!$B$5*V1890) + ('Methodology &amp; Assumptions'!$B$6*W1890), 2)</f>
        <v/>
      </c>
      <c r="Y1890" s="28" t="n">
        <v>23.7</v>
      </c>
      <c r="Z1890" s="11" t="inlineStr">
        <is>
          <t>Priority Tier 3 (Broadband Expansion)</t>
        </is>
      </c>
    </row>
    <row r="1891">
      <c r="A1891" s="23" t="n">
        <v>5</v>
      </c>
      <c r="B1891" s="23" t="n">
        <v>887</v>
      </c>
      <c r="C1891" s="23" t="n">
        <v>4887</v>
      </c>
      <c r="D1891" s="23" t="inlineStr">
        <is>
          <t>1381100142</t>
        </is>
      </c>
      <c r="E1891" s="11" t="inlineStr">
        <is>
          <t>National Capital Region (NCR)</t>
        </is>
      </c>
      <c r="F1891" s="11" t="inlineStr">
        <is>
          <t>Fourth District (Not a Province)</t>
        </is>
      </c>
      <c r="G1891" s="11" t="inlineStr">
        <is>
          <t>Pasay City</t>
        </is>
      </c>
      <c r="H1891" s="11" t="inlineStr">
        <is>
          <t>Barangay 142</t>
        </is>
      </c>
      <c r="I1891" s="24" t="n">
        <v>14.538501</v>
      </c>
      <c r="J1891" s="24" t="n">
        <v>121.005482</v>
      </c>
      <c r="K1891" s="23" t="inlineStr">
        <is>
          <t>U</t>
        </is>
      </c>
      <c r="L1891" s="25" t="n">
        <v>377</v>
      </c>
      <c r="M1891" s="26" t="n">
        <v>3.28</v>
      </c>
      <c r="N1891" s="25">
        <f>ROUND(L1891/M1891, 0)</f>
        <v/>
      </c>
      <c r="O1891" s="25">
        <f>ROUND(N1891*'Methodology &amp; Assumptions'!$B$7, 0)</f>
        <v/>
      </c>
      <c r="P1891" s="23" t="inlineStr">
        <is>
          <t>Single Carrier (Band n50, 100MHz TDD)</t>
        </is>
      </c>
      <c r="Q1891" s="27">
        <f>ROUNDUP(O1891/'Methodology &amp; Assumptions'!$B$8, 0)</f>
        <v/>
      </c>
      <c r="R1891" s="27" t="n">
        <v>1</v>
      </c>
      <c r="S1891" s="26" t="n">
        <v>1.37</v>
      </c>
      <c r="T1891" s="26" t="n">
        <v>0.25</v>
      </c>
      <c r="U1891" s="11">
        <f>IF(S1891&lt;='Methodology &amp; Assumptions'!$B$10, "Direct Optical Drop (&lt;3km)", IF(S1891&lt;='Methodology &amp; Assumptions'!$B$9, "Near Optical / Microwave (&lt;5km)", "Starlink Business LEO Satellite Backhaul (&gt;5km)"))</f>
        <v/>
      </c>
      <c r="V1891" s="26" t="n">
        <v>42.74</v>
      </c>
      <c r="W1891" s="26" t="n">
        <v>72.17</v>
      </c>
      <c r="X1891" s="26">
        <f>ROUND(('Methodology &amp; Assumptions'!$B$5*V1891) + ('Methodology &amp; Assumptions'!$B$6*W1891), 2)</f>
        <v/>
      </c>
      <c r="Y1891" s="28" t="n">
        <v>10.9</v>
      </c>
      <c r="Z1891" s="11" t="inlineStr">
        <is>
          <t>Priority Tier 3 (Broadband Expansion)</t>
        </is>
      </c>
    </row>
    <row r="1892">
      <c r="A1892" s="23" t="n">
        <v>5</v>
      </c>
      <c r="B1892" s="23" t="n">
        <v>888</v>
      </c>
      <c r="C1892" s="23" t="n">
        <v>4888</v>
      </c>
      <c r="D1892" s="23" t="inlineStr">
        <is>
          <t>0501709001</t>
        </is>
      </c>
      <c r="E1892" s="11" t="inlineStr">
        <is>
          <t>Region V (Bicol Region)</t>
        </is>
      </c>
      <c r="F1892" s="11" t="inlineStr">
        <is>
          <t>Camarines Sur</t>
        </is>
      </c>
      <c r="G1892" s="11" t="inlineStr">
        <is>
          <t>Camaligan</t>
        </is>
      </c>
      <c r="H1892" s="11" t="inlineStr">
        <is>
          <t>Dugcal</t>
        </is>
      </c>
      <c r="I1892" s="24" t="n">
        <v>13.627381</v>
      </c>
      <c r="J1892" s="24" t="n">
        <v>123.160321</v>
      </c>
      <c r="K1892" s="23" t="inlineStr">
        <is>
          <t>R</t>
        </is>
      </c>
      <c r="L1892" s="25" t="n">
        <v>4830</v>
      </c>
      <c r="M1892" s="26" t="n">
        <v>4.2</v>
      </c>
      <c r="N1892" s="25">
        <f>ROUND(L1892/M1892, 0)</f>
        <v/>
      </c>
      <c r="O1892" s="25">
        <f>ROUND(N1892*'Methodology &amp; Assumptions'!$B$7, 0)</f>
        <v/>
      </c>
      <c r="P1892" s="23" t="inlineStr">
        <is>
          <t>Single Carrier (Band n50, 100MHz TDD)</t>
        </is>
      </c>
      <c r="Q1892" s="27">
        <f>ROUNDUP(O1892/'Methodology &amp; Assumptions'!$B$8, 0)</f>
        <v/>
      </c>
      <c r="R1892" s="27" t="n">
        <v>1</v>
      </c>
      <c r="S1892" s="26" t="n">
        <v>1.51</v>
      </c>
      <c r="T1892" s="26" t="n">
        <v>2.94</v>
      </c>
      <c r="U1892" s="11">
        <f>IF(S1892&lt;='Methodology &amp; Assumptions'!$B$10, "Direct Optical Drop (&lt;3km)", IF(S1892&lt;='Methodology &amp; Assumptions'!$B$9, "Near Optical / Microwave (&lt;5km)", "Starlink Business LEO Satellite Backhaul (&gt;5km)"))</f>
        <v/>
      </c>
      <c r="V1892" s="26" t="n">
        <v>84.66</v>
      </c>
      <c r="W1892" s="26" t="n">
        <v>30.23</v>
      </c>
      <c r="X1892" s="26">
        <f>ROUND(('Methodology &amp; Assumptions'!$B$5*V1892) + ('Methodology &amp; Assumptions'!$B$6*W1892), 2)</f>
        <v/>
      </c>
      <c r="Y1892" s="28" t="n">
        <v>23.7</v>
      </c>
      <c r="Z1892" s="11" t="inlineStr">
        <is>
          <t>Priority Tier 3 (Broadband Expansion)</t>
        </is>
      </c>
    </row>
    <row r="1893">
      <c r="A1893" s="23" t="n">
        <v>5</v>
      </c>
      <c r="B1893" s="23" t="n">
        <v>889</v>
      </c>
      <c r="C1893" s="23" t="n">
        <v>4889</v>
      </c>
      <c r="D1893" s="23" t="inlineStr">
        <is>
          <t>0306914002</t>
        </is>
      </c>
      <c r="E1893" s="11" t="inlineStr">
        <is>
          <t>Region III (Central Luzon)</t>
        </is>
      </c>
      <c r="F1893" s="11" t="inlineStr">
        <is>
          <t>Tarlac</t>
        </is>
      </c>
      <c r="G1893" s="11" t="inlineStr">
        <is>
          <t>San Manuel</t>
        </is>
      </c>
      <c r="H1893" s="11" t="inlineStr">
        <is>
          <t>Lanat</t>
        </is>
      </c>
      <c r="I1893" s="24" t="n">
        <v>15.795173</v>
      </c>
      <c r="J1893" s="24" t="n">
        <v>120.607858</v>
      </c>
      <c r="K1893" s="23" t="inlineStr">
        <is>
          <t>R</t>
        </is>
      </c>
      <c r="L1893" s="25" t="n">
        <v>2429</v>
      </c>
      <c r="M1893" s="26" t="n">
        <v>3.9</v>
      </c>
      <c r="N1893" s="25">
        <f>ROUND(L1893/M1893, 0)</f>
        <v/>
      </c>
      <c r="O1893" s="25">
        <f>ROUND(N1893*'Methodology &amp; Assumptions'!$B$7, 0)</f>
        <v/>
      </c>
      <c r="P1893" s="23" t="inlineStr">
        <is>
          <t>Single Carrier (Band n50, 100MHz TDD)</t>
        </is>
      </c>
      <c r="Q1893" s="27">
        <f>ROUNDUP(O1893/'Methodology &amp; Assumptions'!$B$8, 0)</f>
        <v/>
      </c>
      <c r="R1893" s="27" t="n">
        <v>1</v>
      </c>
      <c r="S1893" s="26" t="n">
        <v>0.14</v>
      </c>
      <c r="T1893" s="26" t="n">
        <v>0.09</v>
      </c>
      <c r="U1893" s="11">
        <f>IF(S1893&lt;='Methodology &amp; Assumptions'!$B$10, "Direct Optical Drop (&lt;3km)", IF(S1893&lt;='Methodology &amp; Assumptions'!$B$9, "Near Optical / Microwave (&lt;5km)", "Starlink Business LEO Satellite Backhaul (&gt;5km)"))</f>
        <v/>
      </c>
      <c r="V1893" s="26" t="n">
        <v>79.28</v>
      </c>
      <c r="W1893" s="26" t="n">
        <v>35.62</v>
      </c>
      <c r="X1893" s="26">
        <f>ROUND(('Methodology &amp; Assumptions'!$B$5*V1893) + ('Methodology &amp; Assumptions'!$B$6*W1893), 2)</f>
        <v/>
      </c>
      <c r="Y1893" s="28" t="n">
        <v>8.300000000000001</v>
      </c>
      <c r="Z1893" s="11" t="inlineStr">
        <is>
          <t>Priority Tier 3 (Broadband Expansion)</t>
        </is>
      </c>
    </row>
    <row r="1894">
      <c r="A1894" s="23" t="n">
        <v>5</v>
      </c>
      <c r="B1894" s="23" t="n">
        <v>890</v>
      </c>
      <c r="C1894" s="23" t="n">
        <v>4890</v>
      </c>
      <c r="D1894" s="23" t="inlineStr">
        <is>
          <t>0601905012</t>
        </is>
      </c>
      <c r="E1894" s="11" t="inlineStr">
        <is>
          <t>Region VI (Western Visayas)</t>
        </is>
      </c>
      <c r="F1894" s="11" t="inlineStr">
        <is>
          <t>Capiz</t>
        </is>
      </c>
      <c r="G1894" s="11" t="inlineStr">
        <is>
          <t>Ivisan</t>
        </is>
      </c>
      <c r="H1894" s="11" t="inlineStr">
        <is>
          <t>Ondoy</t>
        </is>
      </c>
      <c r="I1894" s="24" t="n">
        <v>11.510066</v>
      </c>
      <c r="J1894" s="24" t="n">
        <v>122.696755</v>
      </c>
      <c r="K1894" s="23" t="inlineStr">
        <is>
          <t>R</t>
        </is>
      </c>
      <c r="L1894" s="25" t="n">
        <v>2302</v>
      </c>
      <c r="M1894" s="26" t="n">
        <v>3.8</v>
      </c>
      <c r="N1894" s="25">
        <f>ROUND(L1894/M1894, 0)</f>
        <v/>
      </c>
      <c r="O1894" s="25">
        <f>ROUND(N1894*'Methodology &amp; Assumptions'!$B$7, 0)</f>
        <v/>
      </c>
      <c r="P1894" s="23" t="inlineStr">
        <is>
          <t>Single Carrier (Band n50, 100MHz TDD)</t>
        </is>
      </c>
      <c r="Q1894" s="27">
        <f>ROUNDUP(O1894/'Methodology &amp; Assumptions'!$B$8, 0)</f>
        <v/>
      </c>
      <c r="R1894" s="27" t="n">
        <v>1</v>
      </c>
      <c r="S1894" s="26" t="n">
        <v>1.25</v>
      </c>
      <c r="T1894" s="26" t="n">
        <v>0.17</v>
      </c>
      <c r="U1894" s="11">
        <f>IF(S1894&lt;='Methodology &amp; Assumptions'!$B$10, "Direct Optical Drop (&lt;3km)", IF(S1894&lt;='Methodology &amp; Assumptions'!$B$9, "Near Optical / Microwave (&lt;5km)", "Starlink Business LEO Satellite Backhaul (&gt;5km)"))</f>
        <v/>
      </c>
      <c r="V1894" s="26" t="n">
        <v>78.34</v>
      </c>
      <c r="W1894" s="26" t="n">
        <v>36.56</v>
      </c>
      <c r="X1894" s="26">
        <f>ROUND(('Methodology &amp; Assumptions'!$B$5*V1894) + ('Methodology &amp; Assumptions'!$B$6*W1894), 2)</f>
        <v/>
      </c>
      <c r="Y1894" s="28" t="n">
        <v>23.7</v>
      </c>
      <c r="Z1894" s="11" t="inlineStr">
        <is>
          <t>Priority Tier 3 (Broadband Expansion)</t>
        </is>
      </c>
    </row>
    <row r="1895">
      <c r="A1895" s="23" t="n">
        <v>5</v>
      </c>
      <c r="B1895" s="23" t="n">
        <v>891</v>
      </c>
      <c r="C1895" s="23" t="n">
        <v>4891</v>
      </c>
      <c r="D1895" s="23" t="inlineStr">
        <is>
          <t>0305409017</t>
        </is>
      </c>
      <c r="E1895" s="11" t="inlineStr">
        <is>
          <t>Region III (Central Luzon)</t>
        </is>
      </c>
      <c r="F1895" s="11" t="inlineStr">
        <is>
          <t>Pampanga</t>
        </is>
      </c>
      <c r="G1895" s="11" t="inlineStr">
        <is>
          <t>Mabalacat City</t>
        </is>
      </c>
      <c r="H1895" s="11" t="inlineStr">
        <is>
          <t>Marcos Village</t>
        </is>
      </c>
      <c r="I1895" s="24" t="n">
        <v>15.209464</v>
      </c>
      <c r="J1895" s="24" t="n">
        <v>120.530072</v>
      </c>
      <c r="K1895" s="23" t="inlineStr">
        <is>
          <t>R</t>
        </is>
      </c>
      <c r="L1895" s="25" t="n">
        <v>5259</v>
      </c>
      <c r="M1895" s="26" t="n">
        <v>4</v>
      </c>
      <c r="N1895" s="25">
        <f>ROUND(L1895/M1895, 0)</f>
        <v/>
      </c>
      <c r="O1895" s="25">
        <f>ROUND(N1895*'Methodology &amp; Assumptions'!$B$7, 0)</f>
        <v/>
      </c>
      <c r="P1895" s="23" t="inlineStr">
        <is>
          <t>Single Carrier (Band n50, 100MHz TDD)</t>
        </is>
      </c>
      <c r="Q1895" s="27">
        <f>ROUNDUP(O1895/'Methodology &amp; Assumptions'!$B$8, 0)</f>
        <v/>
      </c>
      <c r="R1895" s="27" t="n">
        <v>1</v>
      </c>
      <c r="S1895" s="26" t="n">
        <v>3.05</v>
      </c>
      <c r="T1895" s="26" t="n">
        <v>0.18</v>
      </c>
      <c r="U1895" s="11">
        <f>IF(S1895&lt;='Methodology &amp; Assumptions'!$B$10, "Direct Optical Drop (&lt;3km)", IF(S1895&lt;='Methodology &amp; Assumptions'!$B$9, "Near Optical / Microwave (&lt;5km)", "Starlink Business LEO Satellite Backhaul (&gt;5km)"))</f>
        <v/>
      </c>
      <c r="V1895" s="26" t="n">
        <v>78.06999999999999</v>
      </c>
      <c r="W1895" s="26" t="n">
        <v>36.83</v>
      </c>
      <c r="X1895" s="26">
        <f>ROUND(('Methodology &amp; Assumptions'!$B$5*V1895) + ('Methodology &amp; Assumptions'!$B$6*W1895), 2)</f>
        <v/>
      </c>
      <c r="Y1895" s="28" t="n">
        <v>8.300000000000001</v>
      </c>
      <c r="Z1895" s="11" t="inlineStr">
        <is>
          <t>Priority Tier 3 (Broadband Expansion)</t>
        </is>
      </c>
    </row>
    <row r="1896">
      <c r="A1896" s="23" t="n">
        <v>5</v>
      </c>
      <c r="B1896" s="23" t="n">
        <v>892</v>
      </c>
      <c r="C1896" s="23" t="n">
        <v>4892</v>
      </c>
      <c r="D1896" s="23" t="inlineStr">
        <is>
          <t>0403426016</t>
        </is>
      </c>
      <c r="E1896" s="11" t="inlineStr">
        <is>
          <t>Region IV-A (CALABARZON)</t>
        </is>
      </c>
      <c r="F1896" s="11" t="inlineStr">
        <is>
          <t>Laguna</t>
        </is>
      </c>
      <c r="G1896" s="11" t="inlineStr">
        <is>
          <t>Santa Cruz</t>
        </is>
      </c>
      <c r="H1896" s="11" t="inlineStr">
        <is>
          <t>Barangay III</t>
        </is>
      </c>
      <c r="I1896" s="24" t="n">
        <v>14.282314</v>
      </c>
      <c r="J1896" s="24" t="n">
        <v>121.416196</v>
      </c>
      <c r="K1896" s="23" t="inlineStr">
        <is>
          <t>U</t>
        </is>
      </c>
      <c r="L1896" s="25" t="n">
        <v>476</v>
      </c>
      <c r="M1896" s="26" t="n">
        <v>3.3</v>
      </c>
      <c r="N1896" s="25">
        <f>ROUND(L1896/M1896, 0)</f>
        <v/>
      </c>
      <c r="O1896" s="25">
        <f>ROUND(N1896*'Methodology &amp; Assumptions'!$B$7, 0)</f>
        <v/>
      </c>
      <c r="P1896" s="23" t="inlineStr">
        <is>
          <t>Single Carrier (Band n50, 100MHz TDD)</t>
        </is>
      </c>
      <c r="Q1896" s="27">
        <f>ROUNDUP(O1896/'Methodology &amp; Assumptions'!$B$8, 0)</f>
        <v/>
      </c>
      <c r="R1896" s="27" t="n">
        <v>1</v>
      </c>
      <c r="S1896" s="26" t="n">
        <v>0.49</v>
      </c>
      <c r="T1896" s="26" t="n">
        <v>0.19</v>
      </c>
      <c r="U1896" s="11">
        <f>IF(S1896&lt;='Methodology &amp; Assumptions'!$B$10, "Direct Optical Drop (&lt;3km)", IF(S1896&lt;='Methodology &amp; Assumptions'!$B$9, "Near Optical / Microwave (&lt;5km)", "Starlink Business LEO Satellite Backhaul (&gt;5km)"))</f>
        <v/>
      </c>
      <c r="V1896" s="26" t="n">
        <v>56.34</v>
      </c>
      <c r="W1896" s="26" t="n">
        <v>58.56</v>
      </c>
      <c r="X1896" s="26">
        <f>ROUND(('Methodology &amp; Assumptions'!$B$5*V1896) + ('Methodology &amp; Assumptions'!$B$6*W1896), 2)</f>
        <v/>
      </c>
      <c r="Y1896" s="28" t="n">
        <v>7.2</v>
      </c>
      <c r="Z1896" s="11" t="inlineStr">
        <is>
          <t>Priority Tier 3 (Broadband Expansion)</t>
        </is>
      </c>
    </row>
    <row r="1897">
      <c r="A1897" s="23" t="n">
        <v>5</v>
      </c>
      <c r="B1897" s="23" t="n">
        <v>893</v>
      </c>
      <c r="C1897" s="23" t="n">
        <v>4893</v>
      </c>
      <c r="D1897" s="23" t="inlineStr">
        <is>
          <t>1907004001</t>
        </is>
      </c>
      <c r="E1897" s="11" t="inlineStr">
        <is>
          <t>Bangsamoro Autonomous Region In Muslim Mindanao (BARMM)</t>
        </is>
      </c>
      <c r="F1897" s="11" t="inlineStr">
        <is>
          <t>Tawi-Tawi</t>
        </is>
      </c>
      <c r="G1897" s="11" t="inlineStr">
        <is>
          <t>Simunul</t>
        </is>
      </c>
      <c r="H1897" s="11" t="inlineStr">
        <is>
          <t>Bakong</t>
        </is>
      </c>
      <c r="I1897" s="24" t="n">
        <v>4.890924</v>
      </c>
      <c r="J1897" s="24" t="n">
        <v>119.802646</v>
      </c>
      <c r="K1897" s="23" t="inlineStr">
        <is>
          <t>R</t>
        </is>
      </c>
      <c r="L1897" s="25" t="n">
        <v>3352</v>
      </c>
      <c r="M1897" s="26" t="n">
        <v>5.8</v>
      </c>
      <c r="N1897" s="25">
        <f>ROUND(L1897/M1897, 0)</f>
        <v/>
      </c>
      <c r="O1897" s="25">
        <f>ROUND(N1897*'Methodology &amp; Assumptions'!$B$7, 0)</f>
        <v/>
      </c>
      <c r="P1897" s="23" t="inlineStr">
        <is>
          <t>Single Carrier (Band n50, 100MHz TDD)</t>
        </is>
      </c>
      <c r="Q1897" s="27">
        <f>ROUNDUP(O1897/'Methodology &amp; Assumptions'!$B$8, 0)</f>
        <v/>
      </c>
      <c r="R1897" s="27" t="n">
        <v>1</v>
      </c>
      <c r="S1897" s="26" t="n">
        <v>999</v>
      </c>
      <c r="T1897" s="26" t="n">
        <v>999</v>
      </c>
      <c r="U1897" s="11">
        <f>IF(S1897&lt;='Methodology &amp; Assumptions'!$B$10, "Direct Optical Drop (&lt;3km)", IF(S1897&lt;='Methodology &amp; Assumptions'!$B$9, "Near Optical / Microwave (&lt;5km)", "Starlink Business LEO Satellite Backhaul (&gt;5km)"))</f>
        <v/>
      </c>
      <c r="V1897" s="26" t="n">
        <v>49.58</v>
      </c>
      <c r="W1897" s="26" t="n">
        <v>65.31</v>
      </c>
      <c r="X1897" s="26">
        <f>ROUND(('Methodology &amp; Assumptions'!$B$5*V1897) + ('Methodology &amp; Assumptions'!$B$6*W1897), 2)</f>
        <v/>
      </c>
      <c r="Y1897" s="28" t="n">
        <v>11</v>
      </c>
      <c r="Z1897" s="11" t="inlineStr">
        <is>
          <t>Priority Tier 3 (Broadband Expansion)</t>
        </is>
      </c>
    </row>
    <row r="1898">
      <c r="A1898" s="23" t="n">
        <v>5</v>
      </c>
      <c r="B1898" s="23" t="n">
        <v>894</v>
      </c>
      <c r="C1898" s="23" t="n">
        <v>4894</v>
      </c>
      <c r="D1898" s="23" t="inlineStr">
        <is>
          <t>0102931002</t>
        </is>
      </c>
      <c r="E1898" s="11" t="inlineStr">
        <is>
          <t>Region I (Ilocos Region)</t>
        </is>
      </c>
      <c r="F1898" s="11" t="inlineStr">
        <is>
          <t>Ilocos Sur</t>
        </is>
      </c>
      <c r="G1898" s="11" t="inlineStr">
        <is>
          <t>Sugpon</t>
        </is>
      </c>
      <c r="H1898" s="11" t="inlineStr">
        <is>
          <t>Caoayan</t>
        </is>
      </c>
      <c r="I1898" s="24" t="n">
        <v>16.806542</v>
      </c>
      <c r="J1898" s="24" t="n">
        <v>120.541767</v>
      </c>
      <c r="K1898" s="23" t="inlineStr">
        <is>
          <t>R</t>
        </is>
      </c>
      <c r="L1898" s="25" t="n">
        <v>748</v>
      </c>
      <c r="M1898" s="26" t="n">
        <v>3.8</v>
      </c>
      <c r="N1898" s="25">
        <f>ROUND(L1898/M1898, 0)</f>
        <v/>
      </c>
      <c r="O1898" s="25">
        <f>ROUND(N1898*'Methodology &amp; Assumptions'!$B$7, 0)</f>
        <v/>
      </c>
      <c r="P1898" s="23" t="inlineStr">
        <is>
          <t>Single Carrier (Band n50, 100MHz TDD)</t>
        </is>
      </c>
      <c r="Q1898" s="27">
        <f>ROUNDUP(O1898/'Methodology &amp; Assumptions'!$B$8, 0)</f>
        <v/>
      </c>
      <c r="R1898" s="27" t="n">
        <v>1</v>
      </c>
      <c r="S1898" s="26" t="n">
        <v>14.68</v>
      </c>
      <c r="T1898" s="26" t="n">
        <v>13.27</v>
      </c>
      <c r="U1898" s="11">
        <f>IF(S1898&lt;='Methodology &amp; Assumptions'!$B$10, "Direct Optical Drop (&lt;3km)", IF(S1898&lt;='Methodology &amp; Assumptions'!$B$9, "Near Optical / Microwave (&lt;5km)", "Starlink Business LEO Satellite Backhaul (&gt;5km)"))</f>
        <v/>
      </c>
      <c r="V1898" s="26" t="n">
        <v>40.51</v>
      </c>
      <c r="W1898" s="26" t="n">
        <v>74.40000000000001</v>
      </c>
      <c r="X1898" s="26">
        <f>ROUND(('Methodology &amp; Assumptions'!$B$5*V1898) + ('Methodology &amp; Assumptions'!$B$6*W1898), 2)</f>
        <v/>
      </c>
      <c r="Y1898" s="28" t="n">
        <v>8.300000000000001</v>
      </c>
      <c r="Z1898" s="11" t="inlineStr">
        <is>
          <t>Priority Tier 3 (Broadband Expansion)</t>
        </is>
      </c>
    </row>
    <row r="1899">
      <c r="A1899" s="23" t="n">
        <v>5</v>
      </c>
      <c r="B1899" s="23" t="n">
        <v>895</v>
      </c>
      <c r="C1899" s="23" t="n">
        <v>4895</v>
      </c>
      <c r="D1899" s="23" t="inlineStr">
        <is>
          <t>1907002005</t>
        </is>
      </c>
      <c r="E1899" s="11" t="inlineStr">
        <is>
          <t>Bangsamoro Autonomous Region In Muslim Mindanao (BARMM)</t>
        </is>
      </c>
      <c r="F1899" s="11" t="inlineStr">
        <is>
          <t>Tawi-Tawi</t>
        </is>
      </c>
      <c r="G1899" s="11" t="inlineStr">
        <is>
          <t>Bongao</t>
        </is>
      </c>
      <c r="H1899" s="11" t="inlineStr">
        <is>
          <t>Ipil</t>
        </is>
      </c>
      <c r="I1899" s="24" t="n">
        <v>5.066239</v>
      </c>
      <c r="J1899" s="24" t="n">
        <v>119.853569</v>
      </c>
      <c r="K1899" s="23" t="inlineStr">
        <is>
          <t>R</t>
        </is>
      </c>
      <c r="L1899" s="25" t="n">
        <v>1713</v>
      </c>
      <c r="M1899" s="26" t="n">
        <v>5.8</v>
      </c>
      <c r="N1899" s="25">
        <f>ROUND(L1899/M1899, 0)</f>
        <v/>
      </c>
      <c r="O1899" s="25">
        <f>ROUND(N1899*'Methodology &amp; Assumptions'!$B$7, 0)</f>
        <v/>
      </c>
      <c r="P1899" s="23" t="inlineStr">
        <is>
          <t>Single Carrier (Band n50, 100MHz TDD)</t>
        </is>
      </c>
      <c r="Q1899" s="27">
        <f>ROUNDUP(O1899/'Methodology &amp; Assumptions'!$B$8, 0)</f>
        <v/>
      </c>
      <c r="R1899" s="27" t="n">
        <v>1</v>
      </c>
      <c r="S1899" s="26" t="n">
        <v>999</v>
      </c>
      <c r="T1899" s="26" t="n">
        <v>999</v>
      </c>
      <c r="U1899" s="11">
        <f>IF(S1899&lt;='Methodology &amp; Assumptions'!$B$10, "Direct Optical Drop (&lt;3km)", IF(S1899&lt;='Methodology &amp; Assumptions'!$B$9, "Near Optical / Microwave (&lt;5km)", "Starlink Business LEO Satellite Backhaul (&gt;5km)"))</f>
        <v/>
      </c>
      <c r="V1899" s="26" t="n">
        <v>40.48</v>
      </c>
      <c r="W1899" s="26" t="n">
        <v>74.42</v>
      </c>
      <c r="X1899" s="26">
        <f>ROUND(('Methodology &amp; Assumptions'!$B$5*V1899) + ('Methodology &amp; Assumptions'!$B$6*W1899), 2)</f>
        <v/>
      </c>
      <c r="Y1899" s="28" t="n">
        <v>11</v>
      </c>
      <c r="Z1899" s="11" t="inlineStr">
        <is>
          <t>Priority Tier 3 (Broadband Expansion)</t>
        </is>
      </c>
    </row>
    <row r="1900">
      <c r="A1900" s="23" t="n">
        <v>5</v>
      </c>
      <c r="B1900" s="23" t="n">
        <v>896</v>
      </c>
      <c r="C1900" s="23" t="n">
        <v>4896</v>
      </c>
      <c r="D1900" s="23" t="inlineStr">
        <is>
          <t>0401003043</t>
        </is>
      </c>
      <c r="E1900" s="11" t="inlineStr">
        <is>
          <t>Region IV-A (CALABARZON)</t>
        </is>
      </c>
      <c r="F1900" s="11" t="inlineStr">
        <is>
          <t>Batangas</t>
        </is>
      </c>
      <c r="G1900" s="11" t="inlineStr">
        <is>
          <t>Balayan</t>
        </is>
      </c>
      <c r="H1900" s="11" t="inlineStr">
        <is>
          <t>Sambat</t>
        </is>
      </c>
      <c r="I1900" s="24" t="n">
        <v>13.949998</v>
      </c>
      <c r="J1900" s="24" t="n">
        <v>120.706435</v>
      </c>
      <c r="K1900" s="23" t="inlineStr">
        <is>
          <t>R</t>
        </is>
      </c>
      <c r="L1900" s="25" t="n">
        <v>3169</v>
      </c>
      <c r="M1900" s="26" t="n">
        <v>3.6</v>
      </c>
      <c r="N1900" s="25">
        <f>ROUND(L1900/M1900, 0)</f>
        <v/>
      </c>
      <c r="O1900" s="25">
        <f>ROUND(N1900*'Methodology &amp; Assumptions'!$B$7, 0)</f>
        <v/>
      </c>
      <c r="P1900" s="23" t="inlineStr">
        <is>
          <t>Single Carrier (Band n50, 100MHz TDD)</t>
        </is>
      </c>
      <c r="Q1900" s="27">
        <f>ROUNDUP(O1900/'Methodology &amp; Assumptions'!$B$8, 0)</f>
        <v/>
      </c>
      <c r="R1900" s="27" t="n">
        <v>1</v>
      </c>
      <c r="S1900" s="26" t="n">
        <v>2.45</v>
      </c>
      <c r="T1900" s="26" t="n">
        <v>0.1</v>
      </c>
      <c r="U1900" s="11">
        <f>IF(S1900&lt;='Methodology &amp; Assumptions'!$B$10, "Direct Optical Drop (&lt;3km)", IF(S1900&lt;='Methodology &amp; Assumptions'!$B$9, "Near Optical / Microwave (&lt;5km)", "Starlink Business LEO Satellite Backhaul (&gt;5km)"))</f>
        <v/>
      </c>
      <c r="V1900" s="26" t="n">
        <v>79.73999999999999</v>
      </c>
      <c r="W1900" s="26" t="n">
        <v>35.14</v>
      </c>
      <c r="X1900" s="26">
        <f>ROUND(('Methodology &amp; Assumptions'!$B$5*V1900) + ('Methodology &amp; Assumptions'!$B$6*W1900), 2)</f>
        <v/>
      </c>
      <c r="Y1900" s="28" t="n">
        <v>7.2</v>
      </c>
      <c r="Z1900" s="11" t="inlineStr">
        <is>
          <t>Priority Tier 3 (Broadband Expansion)</t>
        </is>
      </c>
    </row>
    <row r="1901">
      <c r="A1901" s="23" t="n">
        <v>5</v>
      </c>
      <c r="B1901" s="23" t="n">
        <v>897</v>
      </c>
      <c r="C1901" s="23" t="n">
        <v>4897</v>
      </c>
      <c r="D1901" s="23" t="inlineStr">
        <is>
          <t>0103317002</t>
        </is>
      </c>
      <c r="E1901" s="11" t="inlineStr">
        <is>
          <t>Region I (Ilocos Region)</t>
        </is>
      </c>
      <c r="F1901" s="11" t="inlineStr">
        <is>
          <t>La Union</t>
        </is>
      </c>
      <c r="G1901" s="11" t="inlineStr">
        <is>
          <t>Santo Tomas</t>
        </is>
      </c>
      <c r="H1901" s="11" t="inlineStr">
        <is>
          <t>Bail</t>
        </is>
      </c>
      <c r="I1901" s="24" t="n">
        <v>16.297654</v>
      </c>
      <c r="J1901" s="24" t="n">
        <v>120.396703</v>
      </c>
      <c r="K1901" s="23" t="inlineStr">
        <is>
          <t>R</t>
        </is>
      </c>
      <c r="L1901" s="25" t="n">
        <v>2470</v>
      </c>
      <c r="M1901" s="26" t="n">
        <v>3.7</v>
      </c>
      <c r="N1901" s="25">
        <f>ROUND(L1901/M1901, 0)</f>
        <v/>
      </c>
      <c r="O1901" s="25">
        <f>ROUND(N1901*'Methodology &amp; Assumptions'!$B$7, 0)</f>
        <v/>
      </c>
      <c r="P1901" s="23" t="inlineStr">
        <is>
          <t>Single Carrier (Band n50, 100MHz TDD)</t>
        </is>
      </c>
      <c r="Q1901" s="27">
        <f>ROUNDUP(O1901/'Methodology &amp; Assumptions'!$B$8, 0)</f>
        <v/>
      </c>
      <c r="R1901" s="27" t="n">
        <v>1</v>
      </c>
      <c r="S1901" s="26" t="n">
        <v>1.41</v>
      </c>
      <c r="T1901" s="26" t="n">
        <v>1.41</v>
      </c>
      <c r="U1901" s="11">
        <f>IF(S1901&lt;='Methodology &amp; Assumptions'!$B$10, "Direct Optical Drop (&lt;3km)", IF(S1901&lt;='Methodology &amp; Assumptions'!$B$9, "Near Optical / Microwave (&lt;5km)", "Starlink Business LEO Satellite Backhaul (&gt;5km)"))</f>
        <v/>
      </c>
      <c r="V1901" s="26" t="n">
        <v>78.53</v>
      </c>
      <c r="W1901" s="26" t="n">
        <v>36.35</v>
      </c>
      <c r="X1901" s="26">
        <f>ROUND(('Methodology &amp; Assumptions'!$B$5*V1901) + ('Methodology &amp; Assumptions'!$B$6*W1901), 2)</f>
        <v/>
      </c>
      <c r="Y1901" s="28" t="n">
        <v>8.300000000000001</v>
      </c>
      <c r="Z1901" s="11" t="inlineStr">
        <is>
          <t>Priority Tier 3 (Broadband Expansion)</t>
        </is>
      </c>
    </row>
    <row r="1902">
      <c r="A1902" s="23" t="n">
        <v>5</v>
      </c>
      <c r="B1902" s="23" t="n">
        <v>898</v>
      </c>
      <c r="C1902" s="23" t="n">
        <v>4898</v>
      </c>
      <c r="D1902" s="23" t="inlineStr">
        <is>
          <t>0304921013</t>
        </is>
      </c>
      <c r="E1902" s="11" t="inlineStr">
        <is>
          <t>Region III (Central Luzon)</t>
        </is>
      </c>
      <c r="F1902" s="11" t="inlineStr">
        <is>
          <t>Nueva Ecija</t>
        </is>
      </c>
      <c r="G1902" s="11" t="inlineStr">
        <is>
          <t>Peñaranda</t>
        </is>
      </c>
      <c r="H1902" s="11" t="inlineStr">
        <is>
          <t>Sinasajan</t>
        </is>
      </c>
      <c r="I1902" s="24" t="n">
        <v>15.353449</v>
      </c>
      <c r="J1902" s="24" t="n">
        <v>121.017</v>
      </c>
      <c r="K1902" s="23" t="inlineStr">
        <is>
          <t>U</t>
        </is>
      </c>
      <c r="L1902" s="25" t="n">
        <v>5591</v>
      </c>
      <c r="M1902" s="26" t="n">
        <v>3.5</v>
      </c>
      <c r="N1902" s="25">
        <f>ROUND(L1902/M1902, 0)</f>
        <v/>
      </c>
      <c r="O1902" s="25">
        <f>ROUND(N1902*'Methodology &amp; Assumptions'!$B$7, 0)</f>
        <v/>
      </c>
      <c r="P1902" s="23" t="inlineStr">
        <is>
          <t>Single Carrier (Band n50, 100MHz TDD)</t>
        </is>
      </c>
      <c r="Q1902" s="27">
        <f>ROUNDUP(O1902/'Methodology &amp; Assumptions'!$B$8, 0)</f>
        <v/>
      </c>
      <c r="R1902" s="27" t="n">
        <v>1</v>
      </c>
      <c r="S1902" s="26" t="n">
        <v>0.02</v>
      </c>
      <c r="T1902" s="26" t="n">
        <v>7.76</v>
      </c>
      <c r="U1902" s="11">
        <f>IF(S1902&lt;='Methodology &amp; Assumptions'!$B$10, "Direct Optical Drop (&lt;3km)", IF(S1902&lt;='Methodology &amp; Assumptions'!$B$9, "Near Optical / Microwave (&lt;5km)", "Starlink Business LEO Satellite Backhaul (&gt;5km)"))</f>
        <v/>
      </c>
      <c r="V1902" s="26" t="n">
        <v>78.34</v>
      </c>
      <c r="W1902" s="26" t="n">
        <v>36.53</v>
      </c>
      <c r="X1902" s="26">
        <f>ROUND(('Methodology &amp; Assumptions'!$B$5*V1902) + ('Methodology &amp; Assumptions'!$B$6*W1902), 2)</f>
        <v/>
      </c>
      <c r="Y1902" s="28" t="n">
        <v>8.300000000000001</v>
      </c>
      <c r="Z1902" s="11" t="inlineStr">
        <is>
          <t>Priority Tier 3 (Broadband Expansion)</t>
        </is>
      </c>
    </row>
    <row r="1903">
      <c r="A1903" s="23" t="n">
        <v>5</v>
      </c>
      <c r="B1903" s="23" t="n">
        <v>899</v>
      </c>
      <c r="C1903" s="23" t="n">
        <v>4899</v>
      </c>
      <c r="D1903" s="23" t="inlineStr">
        <is>
          <t>1430300046</t>
        </is>
      </c>
      <c r="E1903" s="11" t="inlineStr">
        <is>
          <t>Cordillera Administrative Region (CAR)</t>
        </is>
      </c>
      <c r="F1903" s="11" t="inlineStr">
        <is>
          <t>Benguet</t>
        </is>
      </c>
      <c r="G1903" s="11" t="inlineStr">
        <is>
          <t>City of Baguio</t>
        </is>
      </c>
      <c r="H1903" s="11" t="inlineStr">
        <is>
          <t>Holy Ghost Extension</t>
        </is>
      </c>
      <c r="I1903" s="24" t="n">
        <v>16.498342</v>
      </c>
      <c r="J1903" s="24" t="n">
        <v>120.642897</v>
      </c>
      <c r="K1903" s="23" t="inlineStr">
        <is>
          <t>R</t>
        </is>
      </c>
      <c r="L1903" s="25" t="n">
        <v>2945</v>
      </c>
      <c r="M1903" s="26" t="n">
        <v>3.8</v>
      </c>
      <c r="N1903" s="25">
        <f>ROUND(L1903/M1903, 0)</f>
        <v/>
      </c>
      <c r="O1903" s="25">
        <f>ROUND(N1903*'Methodology &amp; Assumptions'!$B$7, 0)</f>
        <v/>
      </c>
      <c r="P1903" s="23" t="inlineStr">
        <is>
          <t>Single Carrier (Band n50, 100MHz TDD)</t>
        </is>
      </c>
      <c r="Q1903" s="27">
        <f>ROUNDUP(O1903/'Methodology &amp; Assumptions'!$B$8, 0)</f>
        <v/>
      </c>
      <c r="R1903" s="27" t="n">
        <v>1</v>
      </c>
      <c r="S1903" s="26" t="n">
        <v>2.55</v>
      </c>
      <c r="T1903" s="26" t="n">
        <v>0.86</v>
      </c>
      <c r="U1903" s="11">
        <f>IF(S1903&lt;='Methodology &amp; Assumptions'!$B$10, "Direct Optical Drop (&lt;3km)", IF(S1903&lt;='Methodology &amp; Assumptions'!$B$9, "Near Optical / Microwave (&lt;5km)", "Starlink Business LEO Satellite Backhaul (&gt;5km)"))</f>
        <v/>
      </c>
      <c r="V1903" s="26" t="n">
        <v>76.84</v>
      </c>
      <c r="W1903" s="26" t="n">
        <v>38.05</v>
      </c>
      <c r="X1903" s="26">
        <f>ROUND(('Methodology &amp; Assumptions'!$B$5*V1903) + ('Methodology &amp; Assumptions'!$B$6*W1903), 2)</f>
        <v/>
      </c>
      <c r="Y1903" s="28" t="n">
        <v>10.9</v>
      </c>
      <c r="Z1903" s="11" t="inlineStr">
        <is>
          <t>Priority Tier 3 (Broadband Expansion)</t>
        </is>
      </c>
    </row>
    <row r="1904">
      <c r="A1904" s="23" t="n">
        <v>5</v>
      </c>
      <c r="B1904" s="23" t="n">
        <v>900</v>
      </c>
      <c r="C1904" s="23" t="n">
        <v>4900</v>
      </c>
      <c r="D1904" s="23" t="inlineStr">
        <is>
          <t>1380606012</t>
        </is>
      </c>
      <c r="E1904" s="11" t="inlineStr">
        <is>
          <t>National Capital Region (NCR)</t>
        </is>
      </c>
      <c r="F1904" s="11" t="inlineStr">
        <is>
          <t>First District (Not a Province)</t>
        </is>
      </c>
      <c r="G1904" s="11" t="inlineStr">
        <is>
          <t>City of Manila</t>
        </is>
      </c>
      <c r="H1904" s="11" t="inlineStr">
        <is>
          <t>Barangay 406</t>
        </is>
      </c>
      <c r="I1904" s="24" t="n">
        <v>14.605754</v>
      </c>
      <c r="J1904" s="24" t="n">
        <v>120.993926</v>
      </c>
      <c r="K1904" s="23" t="inlineStr">
        <is>
          <t>U</t>
        </is>
      </c>
      <c r="L1904" s="25" t="n">
        <v>651</v>
      </c>
      <c r="M1904" s="26" t="n">
        <v>4.07</v>
      </c>
      <c r="N1904" s="25">
        <f>ROUND(L1904/M1904, 0)</f>
        <v/>
      </c>
      <c r="O1904" s="25">
        <f>ROUND(N1904*'Methodology &amp; Assumptions'!$B$7, 0)</f>
        <v/>
      </c>
      <c r="P1904" s="23" t="inlineStr">
        <is>
          <t>Single Carrier (Band n50, 100MHz TDD)</t>
        </is>
      </c>
      <c r="Q1904" s="27">
        <f>ROUNDUP(O1904/'Methodology &amp; Assumptions'!$B$8, 0)</f>
        <v/>
      </c>
      <c r="R1904" s="27" t="n">
        <v>1</v>
      </c>
      <c r="S1904" s="26" t="n">
        <v>0.41</v>
      </c>
      <c r="T1904" s="26" t="n">
        <v>0.38</v>
      </c>
      <c r="U1904" s="11">
        <f>IF(S1904&lt;='Methodology &amp; Assumptions'!$B$10, "Direct Optical Drop (&lt;3km)", IF(S1904&lt;='Methodology &amp; Assumptions'!$B$9, "Near Optical / Microwave (&lt;5km)", "Starlink Business LEO Satellite Backhaul (&gt;5km)"))</f>
        <v/>
      </c>
      <c r="V1904" s="26" t="n">
        <v>46.23</v>
      </c>
      <c r="W1904" s="26" t="n">
        <v>68.65000000000001</v>
      </c>
      <c r="X1904" s="26">
        <f>ROUND(('Methodology &amp; Assumptions'!$B$5*V1904) + ('Methodology &amp; Assumptions'!$B$6*W1904), 2)</f>
        <v/>
      </c>
      <c r="Y1904" s="28" t="n">
        <v>10.9</v>
      </c>
      <c r="Z1904" s="11" t="inlineStr">
        <is>
          <t>Priority Tier 3 (Broadband Expansion)</t>
        </is>
      </c>
    </row>
    <row r="1905">
      <c r="A1905" s="23" t="n">
        <v>5</v>
      </c>
      <c r="B1905" s="23" t="n">
        <v>901</v>
      </c>
      <c r="C1905" s="23" t="n">
        <v>4901</v>
      </c>
      <c r="D1905" s="23" t="inlineStr">
        <is>
          <t>1380601074</t>
        </is>
      </c>
      <c r="E1905" s="11" t="inlineStr">
        <is>
          <t>National Capital Region (NCR)</t>
        </is>
      </c>
      <c r="F1905" s="11" t="inlineStr">
        <is>
          <t>First District (Not a Province)</t>
        </is>
      </c>
      <c r="G1905" s="11" t="inlineStr">
        <is>
          <t>City of Manila</t>
        </is>
      </c>
      <c r="H1905" s="11" t="inlineStr">
        <is>
          <t>Barangay 74</t>
        </is>
      </c>
      <c r="I1905" s="24" t="n">
        <v>14.613581</v>
      </c>
      <c r="J1905" s="24" t="n">
        <v>120.966353</v>
      </c>
      <c r="K1905" s="23" t="inlineStr">
        <is>
          <t>U</t>
        </is>
      </c>
      <c r="L1905" s="25" t="n">
        <v>711</v>
      </c>
      <c r="M1905" s="26" t="n">
        <v>4.84</v>
      </c>
      <c r="N1905" s="25">
        <f>ROUND(L1905/M1905, 0)</f>
        <v/>
      </c>
      <c r="O1905" s="25">
        <f>ROUND(N1905*'Methodology &amp; Assumptions'!$B$7, 0)</f>
        <v/>
      </c>
      <c r="P1905" s="23" t="inlineStr">
        <is>
          <t>Single Carrier (Band n50, 100MHz TDD)</t>
        </is>
      </c>
      <c r="Q1905" s="27">
        <f>ROUNDUP(O1905/'Methodology &amp; Assumptions'!$B$8, 0)</f>
        <v/>
      </c>
      <c r="R1905" s="27" t="n">
        <v>1</v>
      </c>
      <c r="S1905" s="26" t="n">
        <v>0.62</v>
      </c>
      <c r="T1905" s="26" t="n">
        <v>0.51</v>
      </c>
      <c r="U1905" s="11">
        <f>IF(S1905&lt;='Methodology &amp; Assumptions'!$B$10, "Direct Optical Drop (&lt;3km)", IF(S1905&lt;='Methodology &amp; Assumptions'!$B$9, "Near Optical / Microwave (&lt;5km)", "Starlink Business LEO Satellite Backhaul (&gt;5km)"))</f>
        <v/>
      </c>
      <c r="V1905" s="26" t="n">
        <v>45.8</v>
      </c>
      <c r="W1905" s="26" t="n">
        <v>69.08</v>
      </c>
      <c r="X1905" s="26">
        <f>ROUND(('Methodology &amp; Assumptions'!$B$5*V1905) + ('Methodology &amp; Assumptions'!$B$6*W1905), 2)</f>
        <v/>
      </c>
      <c r="Y1905" s="28" t="n">
        <v>10.9</v>
      </c>
      <c r="Z1905" s="11" t="inlineStr">
        <is>
          <t>Priority Tier 3 (Broadband Expansion)</t>
        </is>
      </c>
    </row>
    <row r="1906">
      <c r="A1906" s="23" t="n">
        <v>5</v>
      </c>
      <c r="B1906" s="23" t="n">
        <v>902</v>
      </c>
      <c r="C1906" s="23" t="n">
        <v>4902</v>
      </c>
      <c r="D1906" s="23" t="inlineStr">
        <is>
          <t>0702211006</t>
        </is>
      </c>
      <c r="E1906" s="11" t="inlineStr">
        <is>
          <t>Region VII (Central Visayas)</t>
        </is>
      </c>
      <c r="F1906" s="11" t="inlineStr">
        <is>
          <t>Cebu</t>
        </is>
      </c>
      <c r="G1906" s="11" t="inlineStr">
        <is>
          <t>City of Bogo</t>
        </is>
      </c>
      <c r="H1906" s="11" t="inlineStr">
        <is>
          <t>Bungtod</t>
        </is>
      </c>
      <c r="I1906" s="24" t="n">
        <v>11.040579</v>
      </c>
      <c r="J1906" s="24" t="n">
        <v>124.007047</v>
      </c>
      <c r="K1906" s="23" t="inlineStr">
        <is>
          <t>R</t>
        </is>
      </c>
      <c r="L1906" s="25" t="n">
        <v>2798</v>
      </c>
      <c r="M1906" s="26" t="n">
        <v>3.8</v>
      </c>
      <c r="N1906" s="25">
        <f>ROUND(L1906/M1906, 0)</f>
        <v/>
      </c>
      <c r="O1906" s="25">
        <f>ROUND(N1906*'Methodology &amp; Assumptions'!$B$7, 0)</f>
        <v/>
      </c>
      <c r="P1906" s="23" t="inlineStr">
        <is>
          <t>Single Carrier (Band n50, 100MHz TDD)</t>
        </is>
      </c>
      <c r="Q1906" s="27">
        <f>ROUNDUP(O1906/'Methodology &amp; Assumptions'!$B$8, 0)</f>
        <v/>
      </c>
      <c r="R1906" s="27" t="n">
        <v>1</v>
      </c>
      <c r="S1906" s="26" t="n">
        <v>0.72</v>
      </c>
      <c r="T1906" s="26" t="n">
        <v>0.42</v>
      </c>
      <c r="U1906" s="11">
        <f>IF(S1906&lt;='Methodology &amp; Assumptions'!$B$10, "Direct Optical Drop (&lt;3km)", IF(S1906&lt;='Methodology &amp; Assumptions'!$B$9, "Near Optical / Microwave (&lt;5km)", "Starlink Business LEO Satellite Backhaul (&gt;5km)"))</f>
        <v/>
      </c>
      <c r="V1906" s="26" t="n">
        <v>83.86</v>
      </c>
      <c r="W1906" s="26" t="n">
        <v>31</v>
      </c>
      <c r="X1906" s="26">
        <f>ROUND(('Methodology &amp; Assumptions'!$B$5*V1906) + ('Methodology &amp; Assumptions'!$B$6*W1906), 2)</f>
        <v/>
      </c>
      <c r="Y1906" s="28" t="n">
        <v>23.7</v>
      </c>
      <c r="Z1906" s="11" t="inlineStr">
        <is>
          <t>Priority Tier 3 (Broadband Expansion)</t>
        </is>
      </c>
    </row>
    <row r="1907">
      <c r="A1907" s="23" t="n">
        <v>5</v>
      </c>
      <c r="B1907" s="23" t="n">
        <v>903</v>
      </c>
      <c r="C1907" s="23" t="n">
        <v>4903</v>
      </c>
      <c r="D1907" s="23" t="inlineStr">
        <is>
          <t>0304909005</t>
        </is>
      </c>
      <c r="E1907" s="11" t="inlineStr">
        <is>
          <t>Region III (Central Luzon)</t>
        </is>
      </c>
      <c r="F1907" s="11" t="inlineStr">
        <is>
          <t>Nueva Ecija</t>
        </is>
      </c>
      <c r="G1907" s="11" t="inlineStr">
        <is>
          <t>General Mamerto Natividad</t>
        </is>
      </c>
      <c r="H1907" s="11" t="inlineStr">
        <is>
          <t>Belen</t>
        </is>
      </c>
      <c r="I1907" s="24" t="n">
        <v>15.581701</v>
      </c>
      <c r="J1907" s="24" t="n">
        <v>121.049351</v>
      </c>
      <c r="K1907" s="23" t="inlineStr">
        <is>
          <t>R</t>
        </is>
      </c>
      <c r="L1907" s="25" t="n">
        <v>2552</v>
      </c>
      <c r="M1907" s="26" t="n">
        <v>3.5</v>
      </c>
      <c r="N1907" s="25">
        <f>ROUND(L1907/M1907, 0)</f>
        <v/>
      </c>
      <c r="O1907" s="25">
        <f>ROUND(N1907*'Methodology &amp; Assumptions'!$B$7, 0)</f>
        <v/>
      </c>
      <c r="P1907" s="23" t="inlineStr">
        <is>
          <t>Single Carrier (Band n50, 100MHz TDD)</t>
        </is>
      </c>
      <c r="Q1907" s="27">
        <f>ROUNDUP(O1907/'Methodology &amp; Assumptions'!$B$8, 0)</f>
        <v/>
      </c>
      <c r="R1907" s="27" t="n">
        <v>1</v>
      </c>
      <c r="S1907" s="26" t="n">
        <v>1.23</v>
      </c>
      <c r="T1907" s="26" t="n">
        <v>1.91</v>
      </c>
      <c r="U1907" s="11">
        <f>IF(S1907&lt;='Methodology &amp; Assumptions'!$B$10, "Direct Optical Drop (&lt;3km)", IF(S1907&lt;='Methodology &amp; Assumptions'!$B$9, "Near Optical / Microwave (&lt;5km)", "Starlink Business LEO Satellite Backhaul (&gt;5km)"))</f>
        <v/>
      </c>
      <c r="V1907" s="26" t="n">
        <v>81.25</v>
      </c>
      <c r="W1907" s="26" t="n">
        <v>33.62</v>
      </c>
      <c r="X1907" s="26">
        <f>ROUND(('Methodology &amp; Assumptions'!$B$5*V1907) + ('Methodology &amp; Assumptions'!$B$6*W1907), 2)</f>
        <v/>
      </c>
      <c r="Y1907" s="28" t="n">
        <v>8.300000000000001</v>
      </c>
      <c r="Z1907" s="11" t="inlineStr">
        <is>
          <t>Priority Tier 3 (Broadband Expansion)</t>
        </is>
      </c>
    </row>
    <row r="1908">
      <c r="A1908" s="23" t="n">
        <v>5</v>
      </c>
      <c r="B1908" s="23" t="n">
        <v>904</v>
      </c>
      <c r="C1908" s="23" t="n">
        <v>4904</v>
      </c>
      <c r="D1908" s="23" t="inlineStr">
        <is>
          <t>0506216008</t>
        </is>
      </c>
      <c r="E1908" s="11" t="inlineStr">
        <is>
          <t>Region V (Bicol Region)</t>
        </is>
      </c>
      <c r="F1908" s="11" t="inlineStr">
        <is>
          <t>Sorsogon</t>
        </is>
      </c>
      <c r="G1908" s="11" t="inlineStr">
        <is>
          <t>City of Sorsogon</t>
        </is>
      </c>
      <c r="H1908" s="11" t="inlineStr">
        <is>
          <t>Bitan-o/Dalipay</t>
        </is>
      </c>
      <c r="I1908" s="24" t="n">
        <v>12.968744</v>
      </c>
      <c r="J1908" s="24" t="n">
        <v>123.996933</v>
      </c>
      <c r="K1908" s="23" t="inlineStr">
        <is>
          <t>U</t>
        </is>
      </c>
      <c r="L1908" s="25" t="n">
        <v>3374</v>
      </c>
      <c r="M1908" s="26" t="n">
        <v>4</v>
      </c>
      <c r="N1908" s="25">
        <f>ROUND(L1908/M1908, 0)</f>
        <v/>
      </c>
      <c r="O1908" s="25">
        <f>ROUND(N1908*'Methodology &amp; Assumptions'!$B$7, 0)</f>
        <v/>
      </c>
      <c r="P1908" s="23" t="inlineStr">
        <is>
          <t>Single Carrier (Band n50, 100MHz TDD)</t>
        </is>
      </c>
      <c r="Q1908" s="27">
        <f>ROUNDUP(O1908/'Methodology &amp; Assumptions'!$B$8, 0)</f>
        <v/>
      </c>
      <c r="R1908" s="27" t="n">
        <v>1</v>
      </c>
      <c r="S1908" s="26" t="n">
        <v>0.71</v>
      </c>
      <c r="T1908" s="26" t="n">
        <v>0.38</v>
      </c>
      <c r="U1908" s="11">
        <f>IF(S1908&lt;='Methodology &amp; Assumptions'!$B$10, "Direct Optical Drop (&lt;3km)", IF(S1908&lt;='Methodology &amp; Assumptions'!$B$9, "Near Optical / Microwave (&lt;5km)", "Starlink Business LEO Satellite Backhaul (&gt;5km)"))</f>
        <v/>
      </c>
      <c r="V1908" s="26" t="n">
        <v>79.91</v>
      </c>
      <c r="W1908" s="26" t="n">
        <v>34.95</v>
      </c>
      <c r="X1908" s="26">
        <f>ROUND(('Methodology &amp; Assumptions'!$B$5*V1908) + ('Methodology &amp; Assumptions'!$B$6*W1908), 2)</f>
        <v/>
      </c>
      <c r="Y1908" s="28" t="n">
        <v>23.7</v>
      </c>
      <c r="Z1908" s="11" t="inlineStr">
        <is>
          <t>Priority Tier 3 (Broadband Expansion)</t>
        </is>
      </c>
    </row>
    <row r="1909">
      <c r="A1909" s="23" t="n">
        <v>5</v>
      </c>
      <c r="B1909" s="23" t="n">
        <v>905</v>
      </c>
      <c r="C1909" s="23" t="n">
        <v>4905</v>
      </c>
      <c r="D1909" s="23" t="inlineStr">
        <is>
          <t>0601916017</t>
        </is>
      </c>
      <c r="E1909" s="11" t="inlineStr">
        <is>
          <t>Region VI (Western Visayas)</t>
        </is>
      </c>
      <c r="F1909" s="11" t="inlineStr">
        <is>
          <t>Capiz</t>
        </is>
      </c>
      <c r="G1909" s="11" t="inlineStr">
        <is>
          <t>Sigma</t>
        </is>
      </c>
      <c r="H1909" s="11" t="inlineStr">
        <is>
          <t>Parian</t>
        </is>
      </c>
      <c r="I1909" s="24" t="n">
        <v>11.483398</v>
      </c>
      <c r="J1909" s="24" t="n">
        <v>122.695893</v>
      </c>
      <c r="K1909" s="23" t="inlineStr">
        <is>
          <t>R</t>
        </is>
      </c>
      <c r="L1909" s="25" t="n">
        <v>3447</v>
      </c>
      <c r="M1909" s="26" t="n">
        <v>3.8</v>
      </c>
      <c r="N1909" s="25">
        <f>ROUND(L1909/M1909, 0)</f>
        <v/>
      </c>
      <c r="O1909" s="25">
        <f>ROUND(N1909*'Methodology &amp; Assumptions'!$B$7, 0)</f>
        <v/>
      </c>
      <c r="P1909" s="23" t="inlineStr">
        <is>
          <t>Single Carrier (Band n50, 100MHz TDD)</t>
        </is>
      </c>
      <c r="Q1909" s="27">
        <f>ROUNDUP(O1909/'Methodology &amp; Assumptions'!$B$8, 0)</f>
        <v/>
      </c>
      <c r="R1909" s="27" t="n">
        <v>1</v>
      </c>
      <c r="S1909" s="26" t="n">
        <v>4.19</v>
      </c>
      <c r="T1909" s="26" t="n">
        <v>0.19</v>
      </c>
      <c r="U1909" s="11">
        <f>IF(S1909&lt;='Methodology &amp; Assumptions'!$B$10, "Direct Optical Drop (&lt;3km)", IF(S1909&lt;='Methodology &amp; Assumptions'!$B$9, "Near Optical / Microwave (&lt;5km)", "Starlink Business LEO Satellite Backhaul (&gt;5km)"))</f>
        <v/>
      </c>
      <c r="V1909" s="26" t="n">
        <v>78.06</v>
      </c>
      <c r="W1909" s="26" t="n">
        <v>36.8</v>
      </c>
      <c r="X1909" s="26">
        <f>ROUND(('Methodology &amp; Assumptions'!$B$5*V1909) + ('Methodology &amp; Assumptions'!$B$6*W1909), 2)</f>
        <v/>
      </c>
      <c r="Y1909" s="28" t="n">
        <v>23.7</v>
      </c>
      <c r="Z1909" s="11" t="inlineStr">
        <is>
          <t>Priority Tier 3 (Broadband Expansion)</t>
        </is>
      </c>
    </row>
    <row r="1910">
      <c r="A1910" s="23" t="n">
        <v>5</v>
      </c>
      <c r="B1910" s="23" t="n">
        <v>906</v>
      </c>
      <c r="C1910" s="23" t="n">
        <v>4906</v>
      </c>
      <c r="D1910" s="23" t="inlineStr">
        <is>
          <t>0307114009</t>
        </is>
      </c>
      <c r="E1910" s="11" t="inlineStr">
        <is>
          <t>Region III (Central Luzon)</t>
        </is>
      </c>
      <c r="F1910" s="11" t="inlineStr">
        <is>
          <t>Zambales</t>
        </is>
      </c>
      <c r="G1910" s="11" t="inlineStr">
        <is>
          <t>Subic</t>
        </is>
      </c>
      <c r="H1910" s="11" t="inlineStr">
        <is>
          <t>Calapandayan</t>
        </is>
      </c>
      <c r="I1910" s="24" t="n">
        <v>14.873487</v>
      </c>
      <c r="J1910" s="24" t="n">
        <v>120.235333</v>
      </c>
      <c r="K1910" s="23" t="inlineStr">
        <is>
          <t>U</t>
        </is>
      </c>
      <c r="L1910" s="25" t="n">
        <v>10846</v>
      </c>
      <c r="M1910" s="26" t="n">
        <v>3.8</v>
      </c>
      <c r="N1910" s="25">
        <f>ROUND(L1910/M1910, 0)</f>
        <v/>
      </c>
      <c r="O1910" s="25">
        <f>ROUND(N1910*'Methodology &amp; Assumptions'!$B$7, 0)</f>
        <v/>
      </c>
      <c r="P1910" s="23" t="inlineStr">
        <is>
          <t>Single Carrier (Band n50, 100MHz TDD)</t>
        </is>
      </c>
      <c r="Q1910" s="27">
        <f>ROUNDUP(O1910/'Methodology &amp; Assumptions'!$B$8, 0)</f>
        <v/>
      </c>
      <c r="R1910" s="27" t="n">
        <v>1</v>
      </c>
      <c r="S1910" s="26" t="n">
        <v>1.75</v>
      </c>
      <c r="T1910" s="26" t="n">
        <v>0.19</v>
      </c>
      <c r="U1910" s="11">
        <f>IF(S1910&lt;='Methodology &amp; Assumptions'!$B$10, "Direct Optical Drop (&lt;3km)", IF(S1910&lt;='Methodology &amp; Assumptions'!$B$9, "Near Optical / Microwave (&lt;5km)", "Starlink Business LEO Satellite Backhaul (&gt;5km)"))</f>
        <v/>
      </c>
      <c r="V1910" s="26" t="n">
        <v>75.06</v>
      </c>
      <c r="W1910" s="26" t="n">
        <v>39.8</v>
      </c>
      <c r="X1910" s="26">
        <f>ROUND(('Methodology &amp; Assumptions'!$B$5*V1910) + ('Methodology &amp; Assumptions'!$B$6*W1910), 2)</f>
        <v/>
      </c>
      <c r="Y1910" s="28" t="n">
        <v>8.300000000000001</v>
      </c>
      <c r="Z1910" s="11" t="inlineStr">
        <is>
          <t>Priority Tier 3 (Broadband Expansion)</t>
        </is>
      </c>
    </row>
    <row r="1911">
      <c r="A1911" s="23" t="n">
        <v>5</v>
      </c>
      <c r="B1911" s="23" t="n">
        <v>907</v>
      </c>
      <c r="C1911" s="23" t="n">
        <v>4907</v>
      </c>
      <c r="D1911" s="23" t="inlineStr">
        <is>
          <t>0301405003</t>
        </is>
      </c>
      <c r="E1911" s="11" t="inlineStr">
        <is>
          <t>Region III (Central Luzon)</t>
        </is>
      </c>
      <c r="F1911" s="11" t="inlineStr">
        <is>
          <t>Bulacan</t>
        </is>
      </c>
      <c r="G1911" s="11" t="inlineStr">
        <is>
          <t>Bulacan</t>
        </is>
      </c>
      <c r="H1911" s="11" t="inlineStr">
        <is>
          <t>Bambang</t>
        </is>
      </c>
      <c r="I1911" s="24" t="n">
        <v>14.783107</v>
      </c>
      <c r="J1911" s="24" t="n">
        <v>120.879312</v>
      </c>
      <c r="K1911" s="23" t="inlineStr">
        <is>
          <t>U</t>
        </is>
      </c>
      <c r="L1911" s="25" t="n">
        <v>14902</v>
      </c>
      <c r="M1911" s="26" t="n">
        <v>3.5</v>
      </c>
      <c r="N1911" s="25">
        <f>ROUND(L1911/M1911, 0)</f>
        <v/>
      </c>
      <c r="O1911" s="25">
        <f>ROUND(N1911*'Methodology &amp; Assumptions'!$B$7, 0)</f>
        <v/>
      </c>
      <c r="P1911" s="23" t="inlineStr">
        <is>
          <t>Single Carrier (Band n50, 100MHz TDD)</t>
        </is>
      </c>
      <c r="Q1911" s="27">
        <f>ROUNDUP(O1911/'Methodology &amp; Assumptions'!$B$8, 0)</f>
        <v/>
      </c>
      <c r="R1911" s="27" t="n">
        <v>1</v>
      </c>
      <c r="S1911" s="26" t="n">
        <v>1.45</v>
      </c>
      <c r="T1911" s="26" t="n">
        <v>4.84</v>
      </c>
      <c r="U1911" s="11">
        <f>IF(S1911&lt;='Methodology &amp; Assumptions'!$B$10, "Direct Optical Drop (&lt;3km)", IF(S1911&lt;='Methodology &amp; Assumptions'!$B$9, "Near Optical / Microwave (&lt;5km)", "Starlink Business LEO Satellite Backhaul (&gt;5km)"))</f>
        <v/>
      </c>
      <c r="V1911" s="26" t="n">
        <v>72.63</v>
      </c>
      <c r="W1911" s="26" t="n">
        <v>42.24</v>
      </c>
      <c r="X1911" s="26">
        <f>ROUND(('Methodology &amp; Assumptions'!$B$5*V1911) + ('Methodology &amp; Assumptions'!$B$6*W1911), 2)</f>
        <v/>
      </c>
      <c r="Y1911" s="28" t="n">
        <v>8.300000000000001</v>
      </c>
      <c r="Z1911" s="11" t="inlineStr">
        <is>
          <t>Priority Tier 3 (Broadband Expansion)</t>
        </is>
      </c>
    </row>
    <row r="1912">
      <c r="A1912" s="23" t="n">
        <v>5</v>
      </c>
      <c r="B1912" s="23" t="n">
        <v>908</v>
      </c>
      <c r="C1912" s="23" t="n">
        <v>4908</v>
      </c>
      <c r="D1912" s="23" t="inlineStr">
        <is>
          <t>0401033006</t>
        </is>
      </c>
      <c r="E1912" s="11" t="inlineStr">
        <is>
          <t>Region IV-A (CALABARZON)</t>
        </is>
      </c>
      <c r="F1912" s="11" t="inlineStr">
        <is>
          <t>Batangas</t>
        </is>
      </c>
      <c r="G1912" s="11" t="inlineStr">
        <is>
          <t>Tingloy</t>
        </is>
      </c>
      <c r="H1912" s="11" t="inlineStr">
        <is>
          <t>Papaya</t>
        </is>
      </c>
      <c r="I1912" s="24" t="n">
        <v>13.6353</v>
      </c>
      <c r="J1912" s="24" t="n">
        <v>120.8934</v>
      </c>
      <c r="K1912" s="23" t="inlineStr">
        <is>
          <t>R</t>
        </is>
      </c>
      <c r="L1912" s="25" t="n">
        <v>1983</v>
      </c>
      <c r="M1912" s="26" t="n">
        <v>3.6</v>
      </c>
      <c r="N1912" s="25">
        <f>ROUND(L1912/M1912, 0)</f>
        <v/>
      </c>
      <c r="O1912" s="25">
        <f>ROUND(N1912*'Methodology &amp; Assumptions'!$B$7, 0)</f>
        <v/>
      </c>
      <c r="P1912" s="23" t="inlineStr">
        <is>
          <t>Single Carrier (Band n50, 100MHz TDD)</t>
        </is>
      </c>
      <c r="Q1912" s="27">
        <f>ROUNDUP(O1912/'Methodology &amp; Assumptions'!$B$8, 0)</f>
        <v/>
      </c>
      <c r="R1912" s="27" t="n">
        <v>1</v>
      </c>
      <c r="S1912" s="26" t="n">
        <v>5.98</v>
      </c>
      <c r="T1912" s="26" t="n">
        <v>14.44</v>
      </c>
      <c r="U1912" s="11">
        <f>IF(S1912&lt;='Methodology &amp; Assumptions'!$B$10, "Direct Optical Drop (&lt;3km)", IF(S1912&lt;='Methodology &amp; Assumptions'!$B$9, "Near Optical / Microwave (&lt;5km)", "Starlink Business LEO Satellite Backhaul (&gt;5km)"))</f>
        <v/>
      </c>
      <c r="V1912" s="26" t="n">
        <v>62.91</v>
      </c>
      <c r="W1912" s="26" t="n">
        <v>51.94</v>
      </c>
      <c r="X1912" s="26">
        <f>ROUND(('Methodology &amp; Assumptions'!$B$5*V1912) + ('Methodology &amp; Assumptions'!$B$6*W1912), 2)</f>
        <v/>
      </c>
      <c r="Y1912" s="28" t="n">
        <v>7.2</v>
      </c>
      <c r="Z1912" s="11" t="inlineStr">
        <is>
          <t>Priority Tier 3 (Broadband Expansion)</t>
        </is>
      </c>
    </row>
    <row r="1913">
      <c r="A1913" s="23" t="n">
        <v>5</v>
      </c>
      <c r="B1913" s="23" t="n">
        <v>909</v>
      </c>
      <c r="C1913" s="23" t="n">
        <v>4909</v>
      </c>
      <c r="D1913" s="23" t="inlineStr">
        <is>
          <t>1381100025</t>
        </is>
      </c>
      <c r="E1913" s="11" t="inlineStr">
        <is>
          <t>National Capital Region (NCR)</t>
        </is>
      </c>
      <c r="F1913" s="11" t="inlineStr">
        <is>
          <t>Fourth District (Not a Province)</t>
        </is>
      </c>
      <c r="G1913" s="11" t="inlineStr">
        <is>
          <t>Pasay City</t>
        </is>
      </c>
      <c r="H1913" s="11" t="inlineStr">
        <is>
          <t>Barangay 25</t>
        </is>
      </c>
      <c r="I1913" s="24" t="n">
        <v>14.551267</v>
      </c>
      <c r="J1913" s="24" t="n">
        <v>120.992713</v>
      </c>
      <c r="K1913" s="23" t="inlineStr">
        <is>
          <t>U</t>
        </is>
      </c>
      <c r="L1913" s="25" t="n">
        <v>498</v>
      </c>
      <c r="M1913" s="26" t="n">
        <v>3.25</v>
      </c>
      <c r="N1913" s="25">
        <f>ROUND(L1913/M1913, 0)</f>
        <v/>
      </c>
      <c r="O1913" s="25">
        <f>ROUND(N1913*'Methodology &amp; Assumptions'!$B$7, 0)</f>
        <v/>
      </c>
      <c r="P1913" s="23" t="inlineStr">
        <is>
          <t>Single Carrier (Band n50, 100MHz TDD)</t>
        </is>
      </c>
      <c r="Q1913" s="27">
        <f>ROUNDUP(O1913/'Methodology &amp; Assumptions'!$B$8, 0)</f>
        <v/>
      </c>
      <c r="R1913" s="27" t="n">
        <v>1</v>
      </c>
      <c r="S1913" s="26" t="n">
        <v>0.25</v>
      </c>
      <c r="T1913" s="26" t="n">
        <v>0.09</v>
      </c>
      <c r="U1913" s="11">
        <f>IF(S1913&lt;='Methodology &amp; Assumptions'!$B$10, "Direct Optical Drop (&lt;3km)", IF(S1913&lt;='Methodology &amp; Assumptions'!$B$9, "Near Optical / Microwave (&lt;5km)", "Starlink Business LEO Satellite Backhaul (&gt;5km)"))</f>
        <v/>
      </c>
      <c r="V1913" s="26" t="n">
        <v>46.02</v>
      </c>
      <c r="W1913" s="26" t="n">
        <v>68.84</v>
      </c>
      <c r="X1913" s="26">
        <f>ROUND(('Methodology &amp; Assumptions'!$B$5*V1913) + ('Methodology &amp; Assumptions'!$B$6*W1913), 2)</f>
        <v/>
      </c>
      <c r="Y1913" s="28" t="n">
        <v>10.9</v>
      </c>
      <c r="Z1913" s="11" t="inlineStr">
        <is>
          <t>Priority Tier 3 (Broadband Expansion)</t>
        </is>
      </c>
    </row>
    <row r="1914">
      <c r="A1914" s="23" t="n">
        <v>5</v>
      </c>
      <c r="B1914" s="23" t="n">
        <v>910</v>
      </c>
      <c r="C1914" s="23" t="n">
        <v>4910</v>
      </c>
      <c r="D1914" s="23" t="inlineStr">
        <is>
          <t>1906610005</t>
        </is>
      </c>
      <c r="E1914" s="11" t="inlineStr">
        <is>
          <t>Bangsamoro Autonomous Region In Muslim Mindanao (BARMM)</t>
        </is>
      </c>
      <c r="F1914" s="11" t="inlineStr">
        <is>
          <t>Sulu</t>
        </is>
      </c>
      <c r="G1914" s="11" t="inlineStr">
        <is>
          <t>Pata</t>
        </is>
      </c>
      <c r="H1914" s="11" t="inlineStr">
        <is>
          <t>Kanjarang</t>
        </is>
      </c>
      <c r="I1914" s="24" t="n">
        <v>5.794129</v>
      </c>
      <c r="J1914" s="24" t="n">
        <v>121.162448</v>
      </c>
      <c r="K1914" s="23" t="inlineStr">
        <is>
          <t>R</t>
        </is>
      </c>
      <c r="L1914" s="25" t="n">
        <v>1808</v>
      </c>
      <c r="M1914" s="26" t="n">
        <v>6</v>
      </c>
      <c r="N1914" s="25">
        <f>ROUND(L1914/M1914, 0)</f>
        <v/>
      </c>
      <c r="O1914" s="25">
        <f>ROUND(N1914*'Methodology &amp; Assumptions'!$B$7, 0)</f>
        <v/>
      </c>
      <c r="P1914" s="23" t="inlineStr">
        <is>
          <t>Single Carrier (Band n50, 100MHz TDD)</t>
        </is>
      </c>
      <c r="Q1914" s="27">
        <f>ROUNDUP(O1914/'Methodology &amp; Assumptions'!$B$8, 0)</f>
        <v/>
      </c>
      <c r="R1914" s="27" t="n">
        <v>1</v>
      </c>
      <c r="S1914" s="26" t="n">
        <v>159.84</v>
      </c>
      <c r="T1914" s="26" t="n">
        <v>159.83</v>
      </c>
      <c r="U1914" s="11">
        <f>IF(S1914&lt;='Methodology &amp; Assumptions'!$B$10, "Direct Optical Drop (&lt;3km)", IF(S1914&lt;='Methodology &amp; Assumptions'!$B$9, "Near Optical / Microwave (&lt;5km)", "Starlink Business LEO Satellite Backhaul (&gt;5km)"))</f>
        <v/>
      </c>
      <c r="V1914" s="26" t="n">
        <v>43.32</v>
      </c>
      <c r="W1914" s="26" t="n">
        <v>71.55</v>
      </c>
      <c r="X1914" s="26">
        <f>ROUND(('Methodology &amp; Assumptions'!$B$5*V1914) + ('Methodology &amp; Assumptions'!$B$6*W1914), 2)</f>
        <v/>
      </c>
      <c r="Y1914" s="28" t="n">
        <v>11</v>
      </c>
      <c r="Z1914" s="11" t="inlineStr">
        <is>
          <t>Priority Tier 3 (Broadband Expansion)</t>
        </is>
      </c>
    </row>
    <row r="1915">
      <c r="A1915" s="23" t="n">
        <v>5</v>
      </c>
      <c r="B1915" s="23" t="n">
        <v>911</v>
      </c>
      <c r="C1915" s="23" t="n">
        <v>4911</v>
      </c>
      <c r="D1915" s="23" t="inlineStr">
        <is>
          <t>1102510015</t>
        </is>
      </c>
      <c r="E1915" s="11" t="inlineStr">
        <is>
          <t>Region XI (Davao Region)</t>
        </is>
      </c>
      <c r="F1915" s="11" t="inlineStr">
        <is>
          <t>Davao Oriental</t>
        </is>
      </c>
      <c r="G1915" s="11" t="inlineStr">
        <is>
          <t>San Isidro</t>
        </is>
      </c>
      <c r="H1915" s="11" t="inlineStr">
        <is>
          <t>Santo Rosario</t>
        </is>
      </c>
      <c r="I1915" s="24" t="n">
        <v>6.82087</v>
      </c>
      <c r="J1915" s="24" t="n">
        <v>126.14861</v>
      </c>
      <c r="K1915" s="23" t="inlineStr">
        <is>
          <t>R</t>
        </is>
      </c>
      <c r="L1915" s="25" t="n">
        <v>930</v>
      </c>
      <c r="M1915" s="26" t="n">
        <v>3.6</v>
      </c>
      <c r="N1915" s="25">
        <f>ROUND(L1915/M1915, 0)</f>
        <v/>
      </c>
      <c r="O1915" s="25">
        <f>ROUND(N1915*'Methodology &amp; Assumptions'!$B$7, 0)</f>
        <v/>
      </c>
      <c r="P1915" s="23" t="inlineStr">
        <is>
          <t>Single Carrier (Band n50, 100MHz TDD)</t>
        </is>
      </c>
      <c r="Q1915" s="27">
        <f>ROUNDUP(O1915/'Methodology &amp; Assumptions'!$B$8, 0)</f>
        <v/>
      </c>
      <c r="R1915" s="27" t="n">
        <v>1</v>
      </c>
      <c r="S1915" s="26" t="n">
        <v>16.83</v>
      </c>
      <c r="T1915" s="26" t="n">
        <v>7.6</v>
      </c>
      <c r="U1915" s="11">
        <f>IF(S1915&lt;='Methodology &amp; Assumptions'!$B$10, "Direct Optical Drop (&lt;3km)", IF(S1915&lt;='Methodology &amp; Assumptions'!$B$9, "Near Optical / Microwave (&lt;5km)", "Starlink Business LEO Satellite Backhaul (&gt;5km)"))</f>
        <v/>
      </c>
      <c r="V1915" s="26" t="n">
        <v>43.24</v>
      </c>
      <c r="W1915" s="26" t="n">
        <v>71.62</v>
      </c>
      <c r="X1915" s="26">
        <f>ROUND(('Methodology &amp; Assumptions'!$B$5*V1915) + ('Methodology &amp; Assumptions'!$B$6*W1915), 2)</f>
        <v/>
      </c>
      <c r="Y1915" s="28" t="n">
        <v>17.4</v>
      </c>
      <c r="Z1915" s="11" t="inlineStr">
        <is>
          <t>Priority Tier 3 (Broadband Expansion)</t>
        </is>
      </c>
    </row>
    <row r="1916">
      <c r="A1916" s="23" t="n">
        <v>5</v>
      </c>
      <c r="B1916" s="23" t="n">
        <v>912</v>
      </c>
      <c r="C1916" s="23" t="n">
        <v>4912</v>
      </c>
      <c r="D1916" s="23" t="inlineStr">
        <is>
          <t>0205706007</t>
        </is>
      </c>
      <c r="E1916" s="11" t="inlineStr">
        <is>
          <t>Region II (Cagayan Valley)</t>
        </is>
      </c>
      <c r="F1916" s="11" t="inlineStr">
        <is>
          <t>Quirino</t>
        </is>
      </c>
      <c r="G1916" s="11" t="inlineStr">
        <is>
          <t>Nagtipunan</t>
        </is>
      </c>
      <c r="H1916" s="11" t="inlineStr">
        <is>
          <t>Mataddi</t>
        </is>
      </c>
      <c r="I1916" s="24" t="n">
        <v>16.267988</v>
      </c>
      <c r="J1916" s="24" t="n">
        <v>121.422761</v>
      </c>
      <c r="K1916" s="23" t="inlineStr">
        <is>
          <t>R</t>
        </is>
      </c>
      <c r="L1916" s="25" t="n">
        <v>556</v>
      </c>
      <c r="M1916" s="26" t="n">
        <v>3.9</v>
      </c>
      <c r="N1916" s="25">
        <f>ROUND(L1916/M1916, 0)</f>
        <v/>
      </c>
      <c r="O1916" s="25">
        <f>ROUND(N1916*'Methodology &amp; Assumptions'!$B$7, 0)</f>
        <v/>
      </c>
      <c r="P1916" s="23" t="inlineStr">
        <is>
          <t>Single Carrier (Band n50, 100MHz TDD)</t>
        </is>
      </c>
      <c r="Q1916" s="27">
        <f>ROUNDUP(O1916/'Methodology &amp; Assumptions'!$B$8, 0)</f>
        <v/>
      </c>
      <c r="R1916" s="27" t="n">
        <v>1</v>
      </c>
      <c r="S1916" s="26" t="n">
        <v>14.74</v>
      </c>
      <c r="T1916" s="26" t="n">
        <v>24.09</v>
      </c>
      <c r="U1916" s="11">
        <f>IF(S1916&lt;='Methodology &amp; Assumptions'!$B$10, "Direct Optical Drop (&lt;3km)", IF(S1916&lt;='Methodology &amp; Assumptions'!$B$9, "Near Optical / Microwave (&lt;5km)", "Starlink Business LEO Satellite Backhaul (&gt;5km)"))</f>
        <v/>
      </c>
      <c r="V1916" s="26" t="n">
        <v>38.73</v>
      </c>
      <c r="W1916" s="26" t="n">
        <v>76.13</v>
      </c>
      <c r="X1916" s="26">
        <f>ROUND(('Methodology &amp; Assumptions'!$B$5*V1916) + ('Methodology &amp; Assumptions'!$B$6*W1916), 2)</f>
        <v/>
      </c>
      <c r="Y1916" s="28" t="n">
        <v>8.300000000000001</v>
      </c>
      <c r="Z1916" s="11" t="inlineStr">
        <is>
          <t>Priority Tier 3 (Broadband Expansion)</t>
        </is>
      </c>
    </row>
    <row r="1917">
      <c r="A1917" s="23" t="n">
        <v>5</v>
      </c>
      <c r="B1917" s="23" t="n">
        <v>913</v>
      </c>
      <c r="C1917" s="23" t="n">
        <v>4913</v>
      </c>
      <c r="D1917" s="23" t="inlineStr">
        <is>
          <t>0105512002</t>
        </is>
      </c>
      <c r="E1917" s="11" t="inlineStr">
        <is>
          <t>Region I (Ilocos Region)</t>
        </is>
      </c>
      <c r="F1917" s="11" t="inlineStr">
        <is>
          <t>Pangasinan</t>
        </is>
      </c>
      <c r="G1917" s="11" t="inlineStr">
        <is>
          <t>Binalonan</t>
        </is>
      </c>
      <c r="H1917" s="11" t="inlineStr">
        <is>
          <t>Bued</t>
        </is>
      </c>
      <c r="I1917" s="24" t="n">
        <v>16.040429</v>
      </c>
      <c r="J1917" s="24" t="n">
        <v>120.589993</v>
      </c>
      <c r="K1917" s="23" t="inlineStr">
        <is>
          <t>U</t>
        </is>
      </c>
      <c r="L1917" s="25" t="n">
        <v>2858</v>
      </c>
      <c r="M1917" s="26" t="n">
        <v>3.6</v>
      </c>
      <c r="N1917" s="25">
        <f>ROUND(L1917/M1917, 0)</f>
        <v/>
      </c>
      <c r="O1917" s="25">
        <f>ROUND(N1917*'Methodology &amp; Assumptions'!$B$7, 0)</f>
        <v/>
      </c>
      <c r="P1917" s="23" t="inlineStr">
        <is>
          <t>Single Carrier (Band n50, 100MHz TDD)</t>
        </is>
      </c>
      <c r="Q1917" s="27">
        <f>ROUNDUP(O1917/'Methodology &amp; Assumptions'!$B$8, 0)</f>
        <v/>
      </c>
      <c r="R1917" s="27" t="n">
        <v>1</v>
      </c>
      <c r="S1917" s="26" t="n">
        <v>0.66</v>
      </c>
      <c r="T1917" s="26" t="n">
        <v>0.54</v>
      </c>
      <c r="U1917" s="11">
        <f>IF(S1917&lt;='Methodology &amp; Assumptions'!$B$10, "Direct Optical Drop (&lt;3km)", IF(S1917&lt;='Methodology &amp; Assumptions'!$B$9, "Near Optical / Microwave (&lt;5km)", "Starlink Business LEO Satellite Backhaul (&gt;5km)"))</f>
        <v/>
      </c>
      <c r="V1917" s="26" t="n">
        <v>77.59999999999999</v>
      </c>
      <c r="W1917" s="26" t="n">
        <v>37.24</v>
      </c>
      <c r="X1917" s="26">
        <f>ROUND(('Methodology &amp; Assumptions'!$B$5*V1917) + ('Methodology &amp; Assumptions'!$B$6*W1917), 2)</f>
        <v/>
      </c>
      <c r="Y1917" s="28" t="n">
        <v>8.300000000000001</v>
      </c>
      <c r="Z1917" s="11" t="inlineStr">
        <is>
          <t>Priority Tier 3 (Broadband Expansion)</t>
        </is>
      </c>
    </row>
    <row r="1918">
      <c r="A1918" s="23" t="n">
        <v>5</v>
      </c>
      <c r="B1918" s="23" t="n">
        <v>914</v>
      </c>
      <c r="C1918" s="23" t="n">
        <v>4914</v>
      </c>
      <c r="D1918" s="23" t="inlineStr">
        <is>
          <t>0702232006</t>
        </is>
      </c>
      <c r="E1918" s="11" t="inlineStr">
        <is>
          <t>Region VII (Central Visayas)</t>
        </is>
      </c>
      <c r="F1918" s="11" t="inlineStr">
        <is>
          <t>Cebu</t>
        </is>
      </c>
      <c r="G1918" s="11" t="inlineStr">
        <is>
          <t>Minglanilla</t>
        </is>
      </c>
      <c r="H1918" s="11" t="inlineStr">
        <is>
          <t>Guindaruhan</t>
        </is>
      </c>
      <c r="I1918" s="24" t="n">
        <v>10.261207</v>
      </c>
      <c r="J1918" s="24" t="n">
        <v>123.763555</v>
      </c>
      <c r="K1918" s="23" t="inlineStr">
        <is>
          <t>R</t>
        </is>
      </c>
      <c r="L1918" s="25" t="n">
        <v>3969</v>
      </c>
      <c r="M1918" s="26" t="n">
        <v>3.8</v>
      </c>
      <c r="N1918" s="25">
        <f>ROUND(L1918/M1918, 0)</f>
        <v/>
      </c>
      <c r="O1918" s="25">
        <f>ROUND(N1918*'Methodology &amp; Assumptions'!$B$7, 0)</f>
        <v/>
      </c>
      <c r="P1918" s="23" t="inlineStr">
        <is>
          <t>Single Carrier (Band n50, 100MHz TDD)</t>
        </is>
      </c>
      <c r="Q1918" s="27">
        <f>ROUNDUP(O1918/'Methodology &amp; Assumptions'!$B$8, 0)</f>
        <v/>
      </c>
      <c r="R1918" s="27" t="n">
        <v>1</v>
      </c>
      <c r="S1918" s="26" t="n">
        <v>2.93</v>
      </c>
      <c r="T1918" s="26" t="n">
        <v>2.97</v>
      </c>
      <c r="U1918" s="11">
        <f>IF(S1918&lt;='Methodology &amp; Assumptions'!$B$10, "Direct Optical Drop (&lt;3km)", IF(S1918&lt;='Methodology &amp; Assumptions'!$B$9, "Near Optical / Microwave (&lt;5km)", "Starlink Business LEO Satellite Backhaul (&gt;5km)"))</f>
        <v/>
      </c>
      <c r="V1918" s="26" t="n">
        <v>77.31999999999999</v>
      </c>
      <c r="W1918" s="26" t="n">
        <v>37.52</v>
      </c>
      <c r="X1918" s="26">
        <f>ROUND(('Methodology &amp; Assumptions'!$B$5*V1918) + ('Methodology &amp; Assumptions'!$B$6*W1918), 2)</f>
        <v/>
      </c>
      <c r="Y1918" s="28" t="n">
        <v>23.7</v>
      </c>
      <c r="Z1918" s="11" t="inlineStr">
        <is>
          <t>Priority Tier 3 (Broadband Expansion)</t>
        </is>
      </c>
    </row>
    <row r="1919">
      <c r="A1919" s="23" t="n">
        <v>5</v>
      </c>
      <c r="B1919" s="23" t="n">
        <v>915</v>
      </c>
      <c r="C1919" s="23" t="n">
        <v>4915</v>
      </c>
      <c r="D1919" s="23" t="inlineStr">
        <is>
          <t>0105526028</t>
        </is>
      </c>
      <c r="E1919" s="11" t="inlineStr">
        <is>
          <t>Region I (Ilocos Region)</t>
        </is>
      </c>
      <c r="F1919" s="11" t="inlineStr">
        <is>
          <t>Pangasinan</t>
        </is>
      </c>
      <c r="G1919" s="11" t="inlineStr">
        <is>
          <t>Mangaldan</t>
        </is>
      </c>
      <c r="H1919" s="11" t="inlineStr">
        <is>
          <t>Salay</t>
        </is>
      </c>
      <c r="I1919" s="24" t="n">
        <v>16.07964</v>
      </c>
      <c r="J1919" s="24" t="n">
        <v>120.3977</v>
      </c>
      <c r="K1919" s="23" t="inlineStr">
        <is>
          <t>U</t>
        </is>
      </c>
      <c r="L1919" s="25" t="n">
        <v>5931</v>
      </c>
      <c r="M1919" s="26" t="n">
        <v>3.6</v>
      </c>
      <c r="N1919" s="25">
        <f>ROUND(L1919/M1919, 0)</f>
        <v/>
      </c>
      <c r="O1919" s="25">
        <f>ROUND(N1919*'Methodology &amp; Assumptions'!$B$7, 0)</f>
        <v/>
      </c>
      <c r="P1919" s="23" t="inlineStr">
        <is>
          <t>Single Carrier (Band n50, 100MHz TDD)</t>
        </is>
      </c>
      <c r="Q1919" s="27">
        <f>ROUNDUP(O1919/'Methodology &amp; Assumptions'!$B$8, 0)</f>
        <v/>
      </c>
      <c r="R1919" s="27" t="n">
        <v>1</v>
      </c>
      <c r="S1919" s="26" t="n">
        <v>1.4</v>
      </c>
      <c r="T1919" s="26" t="n">
        <v>0.22</v>
      </c>
      <c r="U1919" s="11">
        <f>IF(S1919&lt;='Methodology &amp; Assumptions'!$B$10, "Direct Optical Drop (&lt;3km)", IF(S1919&lt;='Methodology &amp; Assumptions'!$B$9, "Near Optical / Microwave (&lt;5km)", "Starlink Business LEO Satellite Backhaul (&gt;5km)"))</f>
        <v/>
      </c>
      <c r="V1919" s="26" t="n">
        <v>76.3</v>
      </c>
      <c r="W1919" s="26" t="n">
        <v>38.55</v>
      </c>
      <c r="X1919" s="26">
        <f>ROUND(('Methodology &amp; Assumptions'!$B$5*V1919) + ('Methodology &amp; Assumptions'!$B$6*W1919), 2)</f>
        <v/>
      </c>
      <c r="Y1919" s="28" t="n">
        <v>8.300000000000001</v>
      </c>
      <c r="Z1919" s="11" t="inlineStr">
        <is>
          <t>Priority Tier 3 (Broadband Expansion)</t>
        </is>
      </c>
    </row>
    <row r="1920">
      <c r="A1920" s="23" t="n">
        <v>5</v>
      </c>
      <c r="B1920" s="23" t="n">
        <v>916</v>
      </c>
      <c r="C1920" s="23" t="n">
        <v>4916</v>
      </c>
      <c r="D1920" s="23" t="inlineStr">
        <is>
          <t>0300812001</t>
        </is>
      </c>
      <c r="E1920" s="11" t="inlineStr">
        <is>
          <t>Region III (Central Luzon)</t>
        </is>
      </c>
      <c r="F1920" s="11" t="inlineStr">
        <is>
          <t>Bataan</t>
        </is>
      </c>
      <c r="G1920" s="11" t="inlineStr">
        <is>
          <t>Samal</t>
        </is>
      </c>
      <c r="H1920" s="11" t="inlineStr">
        <is>
          <t>East Calaguiman</t>
        </is>
      </c>
      <c r="I1920" s="24" t="n">
        <v>14.751811</v>
      </c>
      <c r="J1920" s="24" t="n">
        <v>120.541969</v>
      </c>
      <c r="K1920" s="23" t="inlineStr">
        <is>
          <t>R</t>
        </is>
      </c>
      <c r="L1920" s="25" t="n">
        <v>2913</v>
      </c>
      <c r="M1920" s="26" t="n">
        <v>3.6</v>
      </c>
      <c r="N1920" s="25">
        <f>ROUND(L1920/M1920, 0)</f>
        <v/>
      </c>
      <c r="O1920" s="25">
        <f>ROUND(N1920*'Methodology &amp; Assumptions'!$B$7, 0)</f>
        <v/>
      </c>
      <c r="P1920" s="23" t="inlineStr">
        <is>
          <t>Single Carrier (Band n50, 100MHz TDD)</t>
        </is>
      </c>
      <c r="Q1920" s="27">
        <f>ROUNDUP(O1920/'Methodology &amp; Assumptions'!$B$8, 0)</f>
        <v/>
      </c>
      <c r="R1920" s="27" t="n">
        <v>1</v>
      </c>
      <c r="S1920" s="26" t="n">
        <v>5.63</v>
      </c>
      <c r="T1920" s="26" t="n">
        <v>0.23</v>
      </c>
      <c r="U1920" s="11">
        <f>IF(S1920&lt;='Methodology &amp; Assumptions'!$B$10, "Direct Optical Drop (&lt;3km)", IF(S1920&lt;='Methodology &amp; Assumptions'!$B$9, "Near Optical / Microwave (&lt;5km)", "Starlink Business LEO Satellite Backhaul (&gt;5km)"))</f>
        <v/>
      </c>
      <c r="V1920" s="26" t="n">
        <v>72.86</v>
      </c>
      <c r="W1920" s="26" t="n">
        <v>41.99</v>
      </c>
      <c r="X1920" s="26">
        <f>ROUND(('Methodology &amp; Assumptions'!$B$5*V1920) + ('Methodology &amp; Assumptions'!$B$6*W1920), 2)</f>
        <v/>
      </c>
      <c r="Y1920" s="28" t="n">
        <v>8.300000000000001</v>
      </c>
      <c r="Z1920" s="11" t="inlineStr">
        <is>
          <t>Priority Tier 3 (Broadband Expansion)</t>
        </is>
      </c>
    </row>
    <row r="1921">
      <c r="A1921" s="23" t="n">
        <v>5</v>
      </c>
      <c r="B1921" s="23" t="n">
        <v>917</v>
      </c>
      <c r="C1921" s="23" t="n">
        <v>4917</v>
      </c>
      <c r="D1921" s="23" t="inlineStr">
        <is>
          <t>0803705004</t>
        </is>
      </c>
      <c r="E1921" s="11" t="inlineStr">
        <is>
          <t>Region VIII (Eastern Visayas)</t>
        </is>
      </c>
      <c r="F1921" s="11" t="inlineStr">
        <is>
          <t>Leyte</t>
        </is>
      </c>
      <c r="G1921" s="11" t="inlineStr">
        <is>
          <t>Babatngon</t>
        </is>
      </c>
      <c r="H1921" s="11" t="inlineStr">
        <is>
          <t>Malibago</t>
        </is>
      </c>
      <c r="I1921" s="24" t="n">
        <v>11.398521</v>
      </c>
      <c r="J1921" s="24" t="n">
        <v>124.914824</v>
      </c>
      <c r="K1921" s="23" t="inlineStr">
        <is>
          <t>R</t>
        </is>
      </c>
      <c r="L1921" s="25" t="n">
        <v>870</v>
      </c>
      <c r="M1921" s="26" t="n">
        <v>3.8</v>
      </c>
      <c r="N1921" s="25">
        <f>ROUND(L1921/M1921, 0)</f>
        <v/>
      </c>
      <c r="O1921" s="25">
        <f>ROUND(N1921*'Methodology &amp; Assumptions'!$B$7, 0)</f>
        <v/>
      </c>
      <c r="P1921" s="23" t="inlineStr">
        <is>
          <t>Single Carrier (Band n50, 100MHz TDD)</t>
        </is>
      </c>
      <c r="Q1921" s="27">
        <f>ROUNDUP(O1921/'Methodology &amp; Assumptions'!$B$8, 0)</f>
        <v/>
      </c>
      <c r="R1921" s="27" t="n">
        <v>1</v>
      </c>
      <c r="S1921" s="26" t="n">
        <v>20.09</v>
      </c>
      <c r="T1921" s="26" t="n">
        <v>22.38</v>
      </c>
      <c r="U1921" s="11">
        <f>IF(S1921&lt;='Methodology &amp; Assumptions'!$B$10, "Direct Optical Drop (&lt;3km)", IF(S1921&lt;='Methodology &amp; Assumptions'!$B$9, "Near Optical / Microwave (&lt;5km)", "Starlink Business LEO Satellite Backhaul (&gt;5km)"))</f>
        <v/>
      </c>
      <c r="V1921" s="26" t="n">
        <v>43.2</v>
      </c>
      <c r="W1921" s="26" t="n">
        <v>71.64</v>
      </c>
      <c r="X1921" s="26">
        <f>ROUND(('Methodology &amp; Assumptions'!$B$5*V1921) + ('Methodology &amp; Assumptions'!$B$6*W1921), 2)</f>
        <v/>
      </c>
      <c r="Y1921" s="28" t="n">
        <v>23.7</v>
      </c>
      <c r="Z1921" s="11" t="inlineStr">
        <is>
          <t>Priority Tier 3 (Broadband Expansion)</t>
        </is>
      </c>
    </row>
    <row r="1922">
      <c r="A1922" s="23" t="n">
        <v>5</v>
      </c>
      <c r="B1922" s="23" t="n">
        <v>918</v>
      </c>
      <c r="C1922" s="23" t="n">
        <v>4918</v>
      </c>
      <c r="D1922" s="23" t="inlineStr">
        <is>
          <t>0403402013</t>
        </is>
      </c>
      <c r="E1922" s="11" t="inlineStr">
        <is>
          <t>Region IV-A (CALABARZON)</t>
        </is>
      </c>
      <c r="F1922" s="11" t="inlineStr">
        <is>
          <t>Laguna</t>
        </is>
      </c>
      <c r="G1922" s="11" t="inlineStr">
        <is>
          <t>Bay</t>
        </is>
      </c>
      <c r="H1922" s="11" t="inlineStr">
        <is>
          <t>Santo Domingo</t>
        </is>
      </c>
      <c r="I1922" s="24" t="n">
        <v>14.176296</v>
      </c>
      <c r="J1922" s="24" t="n">
        <v>121.266063</v>
      </c>
      <c r="K1922" s="23" t="inlineStr">
        <is>
          <t>U</t>
        </is>
      </c>
      <c r="L1922" s="25" t="n">
        <v>10856</v>
      </c>
      <c r="M1922" s="26" t="n">
        <v>3.3</v>
      </c>
      <c r="N1922" s="25">
        <f>ROUND(L1922/M1922, 0)</f>
        <v/>
      </c>
      <c r="O1922" s="25">
        <f>ROUND(N1922*'Methodology &amp; Assumptions'!$B$7, 0)</f>
        <v/>
      </c>
      <c r="P1922" s="23" t="inlineStr">
        <is>
          <t>Single Carrier (Band n50, 100MHz TDD)</t>
        </is>
      </c>
      <c r="Q1922" s="27">
        <f>ROUNDUP(O1922/'Methodology &amp; Assumptions'!$B$8, 0)</f>
        <v/>
      </c>
      <c r="R1922" s="27" t="n">
        <v>1</v>
      </c>
      <c r="S1922" s="26" t="n">
        <v>0.89</v>
      </c>
      <c r="T1922" s="26" t="n">
        <v>0.05</v>
      </c>
      <c r="U1922" s="11">
        <f>IF(S1922&lt;='Methodology &amp; Assumptions'!$B$10, "Direct Optical Drop (&lt;3km)", IF(S1922&lt;='Methodology &amp; Assumptions'!$B$9, "Near Optical / Microwave (&lt;5km)", "Starlink Business LEO Satellite Backhaul (&gt;5km)"))</f>
        <v/>
      </c>
      <c r="V1922" s="26" t="n">
        <v>78.09</v>
      </c>
      <c r="W1922" s="26" t="n">
        <v>36.73</v>
      </c>
      <c r="X1922" s="26">
        <f>ROUND(('Methodology &amp; Assumptions'!$B$5*V1922) + ('Methodology &amp; Assumptions'!$B$6*W1922), 2)</f>
        <v/>
      </c>
      <c r="Y1922" s="28" t="n">
        <v>7.2</v>
      </c>
      <c r="Z1922" s="11" t="inlineStr">
        <is>
          <t>Priority Tier 3 (Broadband Expansion)</t>
        </is>
      </c>
    </row>
    <row r="1923">
      <c r="A1923" s="23" t="n">
        <v>5</v>
      </c>
      <c r="B1923" s="23" t="n">
        <v>919</v>
      </c>
      <c r="C1923" s="23" t="n">
        <v>4919</v>
      </c>
      <c r="D1923" s="23" t="inlineStr">
        <is>
          <t>0403430009</t>
        </is>
      </c>
      <c r="E1923" s="11" t="inlineStr">
        <is>
          <t>Region IV-A (CALABARZON)</t>
        </is>
      </c>
      <c r="F1923" s="11" t="inlineStr">
        <is>
          <t>Laguna</t>
        </is>
      </c>
      <c r="G1923" s="11" t="inlineStr">
        <is>
          <t>Victoria</t>
        </is>
      </c>
      <c r="H1923" s="11" t="inlineStr">
        <is>
          <t>San Francisco</t>
        </is>
      </c>
      <c r="I1923" s="24" t="n">
        <v>14.215442</v>
      </c>
      <c r="J1923" s="24" t="n">
        <v>121.339604</v>
      </c>
      <c r="K1923" s="23" t="inlineStr">
        <is>
          <t>U</t>
        </is>
      </c>
      <c r="L1923" s="25" t="n">
        <v>7217</v>
      </c>
      <c r="M1923" s="26" t="n">
        <v>3.3</v>
      </c>
      <c r="N1923" s="25">
        <f>ROUND(L1923/M1923, 0)</f>
        <v/>
      </c>
      <c r="O1923" s="25">
        <f>ROUND(N1923*'Methodology &amp; Assumptions'!$B$7, 0)</f>
        <v/>
      </c>
      <c r="P1923" s="23" t="inlineStr">
        <is>
          <t>Single Carrier (Band n50, 100MHz TDD)</t>
        </is>
      </c>
      <c r="Q1923" s="27">
        <f>ROUNDUP(O1923/'Methodology &amp; Assumptions'!$B$8, 0)</f>
        <v/>
      </c>
      <c r="R1923" s="27" t="n">
        <v>1</v>
      </c>
      <c r="S1923" s="26" t="n">
        <v>1.26</v>
      </c>
      <c r="T1923" s="26" t="n">
        <v>1.42</v>
      </c>
      <c r="U1923" s="11">
        <f>IF(S1923&lt;='Methodology &amp; Assumptions'!$B$10, "Direct Optical Drop (&lt;3km)", IF(S1923&lt;='Methodology &amp; Assumptions'!$B$9, "Near Optical / Microwave (&lt;5km)", "Starlink Business LEO Satellite Backhaul (&gt;5km)"))</f>
        <v/>
      </c>
      <c r="V1923" s="26" t="n">
        <v>76.68000000000001</v>
      </c>
      <c r="W1923" s="26" t="n">
        <v>38.15</v>
      </c>
      <c r="X1923" s="26">
        <f>ROUND(('Methodology &amp; Assumptions'!$B$5*V1923) + ('Methodology &amp; Assumptions'!$B$6*W1923), 2)</f>
        <v/>
      </c>
      <c r="Y1923" s="28" t="n">
        <v>7.2</v>
      </c>
      <c r="Z1923" s="11" t="inlineStr">
        <is>
          <t>Priority Tier 3 (Broadband Expansion)</t>
        </is>
      </c>
    </row>
    <row r="1924">
      <c r="A1924" s="23" t="n">
        <v>5</v>
      </c>
      <c r="B1924" s="23" t="n">
        <v>920</v>
      </c>
      <c r="C1924" s="23" t="n">
        <v>4920</v>
      </c>
      <c r="D1924" s="23" t="inlineStr">
        <is>
          <t>0105533035</t>
        </is>
      </c>
      <c r="E1924" s="11" t="inlineStr">
        <is>
          <t>Region I (Ilocos Region)</t>
        </is>
      </c>
      <c r="F1924" s="11" t="inlineStr">
        <is>
          <t>Pangasinan</t>
        </is>
      </c>
      <c r="G1924" s="11" t="inlineStr">
        <is>
          <t>San Fabian</t>
        </is>
      </c>
      <c r="H1924" s="11" t="inlineStr">
        <is>
          <t>Longos Proper</t>
        </is>
      </c>
      <c r="I1924" s="24" t="n">
        <v>16.098015</v>
      </c>
      <c r="J1924" s="24" t="n">
        <v>120.390082</v>
      </c>
      <c r="K1924" s="23" t="inlineStr">
        <is>
          <t>R</t>
        </is>
      </c>
      <c r="L1924" s="25" t="n">
        <v>2450</v>
      </c>
      <c r="M1924" s="26" t="n">
        <v>3.6</v>
      </c>
      <c r="N1924" s="25">
        <f>ROUND(L1924/M1924, 0)</f>
        <v/>
      </c>
      <c r="O1924" s="25">
        <f>ROUND(N1924*'Methodology &amp; Assumptions'!$B$7, 0)</f>
        <v/>
      </c>
      <c r="P1924" s="23" t="inlineStr">
        <is>
          <t>Single Carrier (Band n50, 100MHz TDD)</t>
        </is>
      </c>
      <c r="Q1924" s="27">
        <f>ROUNDUP(O1924/'Methodology &amp; Assumptions'!$B$8, 0)</f>
        <v/>
      </c>
      <c r="R1924" s="27" t="n">
        <v>1</v>
      </c>
      <c r="S1924" s="26" t="n">
        <v>2.21</v>
      </c>
      <c r="T1924" s="26" t="n">
        <v>0.38</v>
      </c>
      <c r="U1924" s="11">
        <f>IF(S1924&lt;='Methodology &amp; Assumptions'!$B$10, "Direct Optical Drop (&lt;3km)", IF(S1924&lt;='Methodology &amp; Assumptions'!$B$9, "Near Optical / Microwave (&lt;5km)", "Starlink Business LEO Satellite Backhaul (&gt;5km)"))</f>
        <v/>
      </c>
      <c r="V1924" s="26" t="n">
        <v>76.16</v>
      </c>
      <c r="W1924" s="26" t="n">
        <v>38.67</v>
      </c>
      <c r="X1924" s="26">
        <f>ROUND(('Methodology &amp; Assumptions'!$B$5*V1924) + ('Methodology &amp; Assumptions'!$B$6*W1924), 2)</f>
        <v/>
      </c>
      <c r="Y1924" s="28" t="n">
        <v>8.300000000000001</v>
      </c>
      <c r="Z1924" s="11" t="inlineStr">
        <is>
          <t>Priority Tier 3 (Broadband Expansion)</t>
        </is>
      </c>
    </row>
    <row r="1925">
      <c r="A1925" s="23" t="n">
        <v>5</v>
      </c>
      <c r="B1925" s="23" t="n">
        <v>921</v>
      </c>
      <c r="C1925" s="23" t="n">
        <v>4921</v>
      </c>
      <c r="D1925" s="23" t="inlineStr">
        <is>
          <t>0103315003</t>
        </is>
      </c>
      <c r="E1925" s="11" t="inlineStr">
        <is>
          <t>Region I (Ilocos Region)</t>
        </is>
      </c>
      <c r="F1925" s="11" t="inlineStr">
        <is>
          <t>La Union</t>
        </is>
      </c>
      <c r="G1925" s="11" t="inlineStr">
        <is>
          <t>San Gabriel</t>
        </is>
      </c>
      <c r="H1925" s="11" t="inlineStr">
        <is>
          <t>Apayao</t>
        </is>
      </c>
      <c r="I1925" s="24" t="n">
        <v>16.668979</v>
      </c>
      <c r="J1925" s="24" t="n">
        <v>120.48833</v>
      </c>
      <c r="K1925" s="23" t="inlineStr">
        <is>
          <t>R</t>
        </is>
      </c>
      <c r="L1925" s="25" t="n">
        <v>988</v>
      </c>
      <c r="M1925" s="26" t="n">
        <v>3.7</v>
      </c>
      <c r="N1925" s="25">
        <f>ROUND(L1925/M1925, 0)</f>
        <v/>
      </c>
      <c r="O1925" s="25">
        <f>ROUND(N1925*'Methodology &amp; Assumptions'!$B$7, 0)</f>
        <v/>
      </c>
      <c r="P1925" s="23" t="inlineStr">
        <is>
          <t>Single Carrier (Band n50, 100MHz TDD)</t>
        </is>
      </c>
      <c r="Q1925" s="27">
        <f>ROUNDUP(O1925/'Methodology &amp; Assumptions'!$B$8, 0)</f>
        <v/>
      </c>
      <c r="R1925" s="27" t="n">
        <v>1</v>
      </c>
      <c r="S1925" s="26" t="n">
        <v>9.99</v>
      </c>
      <c r="T1925" s="26" t="n">
        <v>13.8</v>
      </c>
      <c r="U1925" s="11">
        <f>IF(S1925&lt;='Methodology &amp; Assumptions'!$B$10, "Direct Optical Drop (&lt;3km)", IF(S1925&lt;='Methodology &amp; Assumptions'!$B$9, "Near Optical / Microwave (&lt;5km)", "Starlink Business LEO Satellite Backhaul (&gt;5km)"))</f>
        <v/>
      </c>
      <c r="V1925" s="26" t="n">
        <v>47.23</v>
      </c>
      <c r="W1925" s="26" t="n">
        <v>67.59</v>
      </c>
      <c r="X1925" s="26">
        <f>ROUND(('Methodology &amp; Assumptions'!$B$5*V1925) + ('Methodology &amp; Assumptions'!$B$6*W1925), 2)</f>
        <v/>
      </c>
      <c r="Y1925" s="28" t="n">
        <v>8.300000000000001</v>
      </c>
      <c r="Z1925" s="11" t="inlineStr">
        <is>
          <t>Priority Tier 3 (Broadband Expansion)</t>
        </is>
      </c>
    </row>
    <row r="1926">
      <c r="A1926" s="23" t="n">
        <v>5</v>
      </c>
      <c r="B1926" s="23" t="n">
        <v>922</v>
      </c>
      <c r="C1926" s="23" t="n">
        <v>4922</v>
      </c>
      <c r="D1926" s="23" t="inlineStr">
        <is>
          <t>1381100120</t>
        </is>
      </c>
      <c r="E1926" s="11" t="inlineStr">
        <is>
          <t>National Capital Region (NCR)</t>
        </is>
      </c>
      <c r="F1926" s="11" t="inlineStr">
        <is>
          <t>Fourth District (Not a Province)</t>
        </is>
      </c>
      <c r="G1926" s="11" t="inlineStr">
        <is>
          <t>Pasay City</t>
        </is>
      </c>
      <c r="H1926" s="11" t="inlineStr">
        <is>
          <t>Barangay 120</t>
        </is>
      </c>
      <c r="I1926" s="24" t="n">
        <v>14.549794</v>
      </c>
      <c r="J1926" s="24" t="n">
        <v>121.004577</v>
      </c>
      <c r="K1926" s="23" t="inlineStr">
        <is>
          <t>U</t>
        </is>
      </c>
      <c r="L1926" s="25" t="n">
        <v>359</v>
      </c>
      <c r="M1926" s="26" t="n">
        <v>3.09</v>
      </c>
      <c r="N1926" s="25">
        <f>ROUND(L1926/M1926, 0)</f>
        <v/>
      </c>
      <c r="O1926" s="25">
        <f>ROUND(N1926*'Methodology &amp; Assumptions'!$B$7, 0)</f>
        <v/>
      </c>
      <c r="P1926" s="23" t="inlineStr">
        <is>
          <t>Single Carrier (Band n50, 100MHz TDD)</t>
        </is>
      </c>
      <c r="Q1926" s="27">
        <f>ROUNDUP(O1926/'Methodology &amp; Assumptions'!$B$8, 0)</f>
        <v/>
      </c>
      <c r="R1926" s="27" t="n">
        <v>1</v>
      </c>
      <c r="S1926" s="26" t="n">
        <v>0.73</v>
      </c>
      <c r="T1926" s="26" t="n">
        <v>0.21</v>
      </c>
      <c r="U1926" s="11">
        <f>IF(S1926&lt;='Methodology &amp; Assumptions'!$B$10, "Direct Optical Drop (&lt;3km)", IF(S1926&lt;='Methodology &amp; Assumptions'!$B$9, "Near Optical / Microwave (&lt;5km)", "Starlink Business LEO Satellite Backhaul (&gt;5km)"))</f>
        <v/>
      </c>
      <c r="V1926" s="26" t="n">
        <v>44.84</v>
      </c>
      <c r="W1926" s="26" t="n">
        <v>69.97</v>
      </c>
      <c r="X1926" s="26">
        <f>ROUND(('Methodology &amp; Assumptions'!$B$5*V1926) + ('Methodology &amp; Assumptions'!$B$6*W1926), 2)</f>
        <v/>
      </c>
      <c r="Y1926" s="28" t="n">
        <v>10.9</v>
      </c>
      <c r="Z1926" s="11" t="inlineStr">
        <is>
          <t>Priority Tier 3 (Broadband Expansion)</t>
        </is>
      </c>
    </row>
    <row r="1927">
      <c r="A1927" s="23" t="n">
        <v>5</v>
      </c>
      <c r="B1927" s="23" t="n">
        <v>923</v>
      </c>
      <c r="C1927" s="23" t="n">
        <v>4923</v>
      </c>
      <c r="D1927" s="23" t="inlineStr">
        <is>
          <t>0201526028</t>
        </is>
      </c>
      <c r="E1927" s="11" t="inlineStr">
        <is>
          <t>Region II (Cagayan Valley)</t>
        </is>
      </c>
      <c r="F1927" s="11" t="inlineStr">
        <is>
          <t>Cagayan</t>
        </is>
      </c>
      <c r="G1927" s="11" t="inlineStr">
        <is>
          <t>Santo Niño</t>
        </is>
      </c>
      <c r="H1927" s="11" t="inlineStr">
        <is>
          <t>Santa Felicitas</t>
        </is>
      </c>
      <c r="I1927" s="24" t="n">
        <v>17.925889</v>
      </c>
      <c r="J1927" s="24" t="n">
        <v>121.474144</v>
      </c>
      <c r="K1927" s="23" t="inlineStr">
        <is>
          <t>R</t>
        </is>
      </c>
      <c r="L1927" s="25" t="n">
        <v>410</v>
      </c>
      <c r="M1927" s="26" t="n">
        <v>3.9</v>
      </c>
      <c r="N1927" s="25">
        <f>ROUND(L1927/M1927, 0)</f>
        <v/>
      </c>
      <c r="O1927" s="25">
        <f>ROUND(N1927*'Methodology &amp; Assumptions'!$B$7, 0)</f>
        <v/>
      </c>
      <c r="P1927" s="23" t="inlineStr">
        <is>
          <t>Single Carrier (Band n50, 100MHz TDD)</t>
        </is>
      </c>
      <c r="Q1927" s="27">
        <f>ROUNDUP(O1927/'Methodology &amp; Assumptions'!$B$8, 0)</f>
        <v/>
      </c>
      <c r="R1927" s="27" t="n">
        <v>1</v>
      </c>
      <c r="S1927" s="26" t="n">
        <v>11.08</v>
      </c>
      <c r="T1927" s="26" t="n">
        <v>15.57</v>
      </c>
      <c r="U1927" s="11">
        <f>IF(S1927&lt;='Methodology &amp; Assumptions'!$B$10, "Direct Optical Drop (&lt;3km)", IF(S1927&lt;='Methodology &amp; Assumptions'!$B$9, "Near Optical / Microwave (&lt;5km)", "Starlink Business LEO Satellite Backhaul (&gt;5km)"))</f>
        <v/>
      </c>
      <c r="V1927" s="26" t="n">
        <v>40.76</v>
      </c>
      <c r="W1927" s="26" t="n">
        <v>74.06</v>
      </c>
      <c r="X1927" s="26">
        <f>ROUND(('Methodology &amp; Assumptions'!$B$5*V1927) + ('Methodology &amp; Assumptions'!$B$6*W1927), 2)</f>
        <v/>
      </c>
      <c r="Y1927" s="28" t="n">
        <v>8.300000000000001</v>
      </c>
      <c r="Z1927" s="11" t="inlineStr">
        <is>
          <t>Priority Tier 3 (Broadband Expansion)</t>
        </is>
      </c>
    </row>
    <row r="1928">
      <c r="A1928" s="23" t="n">
        <v>5</v>
      </c>
      <c r="B1928" s="23" t="n">
        <v>924</v>
      </c>
      <c r="C1928" s="23" t="n">
        <v>4924</v>
      </c>
      <c r="D1928" s="23" t="inlineStr">
        <is>
          <t>0600609018</t>
        </is>
      </c>
      <c r="E1928" s="11" t="inlineStr">
        <is>
          <t>Region VI (Western Visayas)</t>
        </is>
      </c>
      <c r="F1928" s="11" t="inlineStr">
        <is>
          <t>Antique</t>
        </is>
      </c>
      <c r="G1928" s="11" t="inlineStr">
        <is>
          <t>Laua-An</t>
        </is>
      </c>
      <c r="H1928" s="11" t="inlineStr">
        <is>
          <t>Laua-an</t>
        </is>
      </c>
      <c r="I1928" s="24" t="n">
        <v>11.157034</v>
      </c>
      <c r="J1928" s="24" t="n">
        <v>122.056034</v>
      </c>
      <c r="K1928" s="23" t="inlineStr">
        <is>
          <t>R</t>
        </is>
      </c>
      <c r="L1928" s="25" t="n">
        <v>399</v>
      </c>
      <c r="M1928" s="26" t="n">
        <v>3.9</v>
      </c>
      <c r="N1928" s="25">
        <f>ROUND(L1928/M1928, 0)</f>
        <v/>
      </c>
      <c r="O1928" s="25">
        <f>ROUND(N1928*'Methodology &amp; Assumptions'!$B$7, 0)</f>
        <v/>
      </c>
      <c r="P1928" s="23" t="inlineStr">
        <is>
          <t>Single Carrier (Band n50, 100MHz TDD)</t>
        </is>
      </c>
      <c r="Q1928" s="27">
        <f>ROUNDUP(O1928/'Methodology &amp; Assumptions'!$B$8, 0)</f>
        <v/>
      </c>
      <c r="R1928" s="27" t="n">
        <v>1</v>
      </c>
      <c r="S1928" s="26" t="n">
        <v>45.74</v>
      </c>
      <c r="T1928" s="26" t="n">
        <v>39.82</v>
      </c>
      <c r="U1928" s="11">
        <f>IF(S1928&lt;='Methodology &amp; Assumptions'!$B$10, "Direct Optical Drop (&lt;3km)", IF(S1928&lt;='Methodology &amp; Assumptions'!$B$9, "Near Optical / Microwave (&lt;5km)", "Starlink Business LEO Satellite Backhaul (&gt;5km)"))</f>
        <v/>
      </c>
      <c r="V1928" s="26" t="n">
        <v>39.35</v>
      </c>
      <c r="W1928" s="26" t="n">
        <v>75.45999999999999</v>
      </c>
      <c r="X1928" s="26">
        <f>ROUND(('Methodology &amp; Assumptions'!$B$5*V1928) + ('Methodology &amp; Assumptions'!$B$6*W1928), 2)</f>
        <v/>
      </c>
      <c r="Y1928" s="28" t="n">
        <v>23.7</v>
      </c>
      <c r="Z1928" s="11" t="inlineStr">
        <is>
          <t>Priority Tier 3 (Broadband Expansion)</t>
        </is>
      </c>
    </row>
    <row r="1929">
      <c r="A1929" s="23" t="n">
        <v>5</v>
      </c>
      <c r="B1929" s="23" t="n">
        <v>925</v>
      </c>
      <c r="C1929" s="23" t="n">
        <v>4925</v>
      </c>
      <c r="D1929" s="23" t="inlineStr">
        <is>
          <t>0405807005</t>
        </is>
      </c>
      <c r="E1929" s="11" t="inlineStr">
        <is>
          <t>Region IV-A (CALABARZON)</t>
        </is>
      </c>
      <c r="F1929" s="11" t="inlineStr">
        <is>
          <t>Rizal</t>
        </is>
      </c>
      <c r="G1929" s="11" t="inlineStr">
        <is>
          <t>Jala-Jala</t>
        </is>
      </c>
      <c r="H1929" s="11" t="inlineStr">
        <is>
          <t>Third District</t>
        </is>
      </c>
      <c r="I1929" s="24" t="n">
        <v>14.347812</v>
      </c>
      <c r="J1929" s="24" t="n">
        <v>121.322454</v>
      </c>
      <c r="K1929" s="23" t="inlineStr">
        <is>
          <t>R</t>
        </is>
      </c>
      <c r="L1929" s="25" t="n">
        <v>2982</v>
      </c>
      <c r="M1929" s="26" t="n">
        <v>3.6</v>
      </c>
      <c r="N1929" s="25">
        <f>ROUND(L1929/M1929, 0)</f>
        <v/>
      </c>
      <c r="O1929" s="25">
        <f>ROUND(N1929*'Methodology &amp; Assumptions'!$B$7, 0)</f>
        <v/>
      </c>
      <c r="P1929" s="23" t="inlineStr">
        <is>
          <t>Single Carrier (Band n50, 100MHz TDD)</t>
        </is>
      </c>
      <c r="Q1929" s="27">
        <f>ROUNDUP(O1929/'Methodology &amp; Assumptions'!$B$8, 0)</f>
        <v/>
      </c>
      <c r="R1929" s="27" t="n">
        <v>1</v>
      </c>
      <c r="S1929" s="26" t="n">
        <v>1.06</v>
      </c>
      <c r="T1929" s="26" t="n">
        <v>12.33</v>
      </c>
      <c r="U1929" s="11">
        <f>IF(S1929&lt;='Methodology &amp; Assumptions'!$B$10, "Direct Optical Drop (&lt;3km)", IF(S1929&lt;='Methodology &amp; Assumptions'!$B$9, "Near Optical / Microwave (&lt;5km)", "Starlink Business LEO Satellite Backhaul (&gt;5km)"))</f>
        <v/>
      </c>
      <c r="V1929" s="26" t="n">
        <v>81.13</v>
      </c>
      <c r="W1929" s="26" t="n">
        <v>33.66</v>
      </c>
      <c r="X1929" s="26">
        <f>ROUND(('Methodology &amp; Assumptions'!$B$5*V1929) + ('Methodology &amp; Assumptions'!$B$6*W1929), 2)</f>
        <v/>
      </c>
      <c r="Y1929" s="28" t="n">
        <v>7.2</v>
      </c>
      <c r="Z1929" s="11" t="inlineStr">
        <is>
          <t>Priority Tier 3 (Broadband Expansion)</t>
        </is>
      </c>
    </row>
    <row r="1930">
      <c r="A1930" s="23" t="n">
        <v>5</v>
      </c>
      <c r="B1930" s="23" t="n">
        <v>926</v>
      </c>
      <c r="C1930" s="23" t="n">
        <v>4926</v>
      </c>
      <c r="D1930" s="23" t="inlineStr">
        <is>
          <t>1102411001</t>
        </is>
      </c>
      <c r="E1930" s="11" t="inlineStr">
        <is>
          <t>Region XI (Davao Region)</t>
        </is>
      </c>
      <c r="F1930" s="11" t="inlineStr">
        <is>
          <t>Davao del Sur</t>
        </is>
      </c>
      <c r="G1930" s="11" t="inlineStr">
        <is>
          <t>Padada</t>
        </is>
      </c>
      <c r="H1930" s="11" t="inlineStr">
        <is>
          <t>Almendras</t>
        </is>
      </c>
      <c r="I1930" s="24" t="n">
        <v>6.64119</v>
      </c>
      <c r="J1930" s="24" t="n">
        <v>125.34037</v>
      </c>
      <c r="K1930" s="23" t="inlineStr">
        <is>
          <t>U</t>
        </is>
      </c>
      <c r="L1930" s="25" t="n">
        <v>3910</v>
      </c>
      <c r="M1930" s="26" t="n">
        <v>3.4</v>
      </c>
      <c r="N1930" s="25">
        <f>ROUND(L1930/M1930, 0)</f>
        <v/>
      </c>
      <c r="O1930" s="25">
        <f>ROUND(N1930*'Methodology &amp; Assumptions'!$B$7, 0)</f>
        <v/>
      </c>
      <c r="P1930" s="23" t="inlineStr">
        <is>
          <t>Single Carrier (Band n50, 100MHz TDD)</t>
        </is>
      </c>
      <c r="Q1930" s="27">
        <f>ROUNDUP(O1930/'Methodology &amp; Assumptions'!$B$8, 0)</f>
        <v/>
      </c>
      <c r="R1930" s="27" t="n">
        <v>1</v>
      </c>
      <c r="S1930" s="26" t="n">
        <v>0.75</v>
      </c>
      <c r="T1930" s="26" t="n">
        <v>0.27</v>
      </c>
      <c r="U1930" s="11">
        <f>IF(S1930&lt;='Methodology &amp; Assumptions'!$B$10, "Direct Optical Drop (&lt;3km)", IF(S1930&lt;='Methodology &amp; Assumptions'!$B$9, "Near Optical / Microwave (&lt;5km)", "Starlink Business LEO Satellite Backhaul (&gt;5km)"))</f>
        <v/>
      </c>
      <c r="V1930" s="26" t="n">
        <v>79.87</v>
      </c>
      <c r="W1930" s="26" t="n">
        <v>34.93</v>
      </c>
      <c r="X1930" s="26">
        <f>ROUND(('Methodology &amp; Assumptions'!$B$5*V1930) + ('Methodology &amp; Assumptions'!$B$6*W1930), 2)</f>
        <v/>
      </c>
      <c r="Y1930" s="28" t="n">
        <v>17.4</v>
      </c>
      <c r="Z1930" s="11" t="inlineStr">
        <is>
          <t>Priority Tier 3 (Broadband Expansion)</t>
        </is>
      </c>
    </row>
    <row r="1931">
      <c r="A1931" s="23" t="n">
        <v>5</v>
      </c>
      <c r="B1931" s="23" t="n">
        <v>927</v>
      </c>
      <c r="C1931" s="23" t="n">
        <v>4927</v>
      </c>
      <c r="D1931" s="23" t="inlineStr">
        <is>
          <t>0501724028</t>
        </is>
      </c>
      <c r="E1931" s="11" t="inlineStr">
        <is>
          <t>Region V (Bicol Region)</t>
        </is>
      </c>
      <c r="F1931" s="11" t="inlineStr">
        <is>
          <t>Camarines Sur</t>
        </is>
      </c>
      <c r="G1931" s="11" t="inlineStr">
        <is>
          <t>City of Naga</t>
        </is>
      </c>
      <c r="H1931" s="11" t="inlineStr">
        <is>
          <t>San Isidro</t>
        </is>
      </c>
      <c r="I1931" s="24" t="n">
        <v>10.228817</v>
      </c>
      <c r="J1931" s="24" t="n">
        <v>123.733728</v>
      </c>
      <c r="K1931" s="23" t="inlineStr">
        <is>
          <t>R</t>
        </is>
      </c>
      <c r="L1931" s="25" t="n">
        <v>3424</v>
      </c>
      <c r="M1931" s="26" t="n">
        <v>4.2</v>
      </c>
      <c r="N1931" s="25">
        <f>ROUND(L1931/M1931, 0)</f>
        <v/>
      </c>
      <c r="O1931" s="25">
        <f>ROUND(N1931*'Methodology &amp; Assumptions'!$B$7, 0)</f>
        <v/>
      </c>
      <c r="P1931" s="23" t="inlineStr">
        <is>
          <t>Single Carrier (Band n50, 100MHz TDD)</t>
        </is>
      </c>
      <c r="Q1931" s="27">
        <f>ROUNDUP(O1931/'Methodology &amp; Assumptions'!$B$8, 0)</f>
        <v/>
      </c>
      <c r="R1931" s="27" t="n">
        <v>1</v>
      </c>
      <c r="S1931" s="26" t="n">
        <v>3.91</v>
      </c>
      <c r="T1931" s="26" t="n">
        <v>0.19</v>
      </c>
      <c r="U1931" s="11">
        <f>IF(S1931&lt;='Methodology &amp; Assumptions'!$B$10, "Direct Optical Drop (&lt;3km)", IF(S1931&lt;='Methodology &amp; Assumptions'!$B$9, "Near Optical / Microwave (&lt;5km)", "Starlink Business LEO Satellite Backhaul (&gt;5km)"))</f>
        <v/>
      </c>
      <c r="V1931" s="26" t="n">
        <v>76.75</v>
      </c>
      <c r="W1931" s="26" t="n">
        <v>38.05</v>
      </c>
      <c r="X1931" s="26">
        <f>ROUND(('Methodology &amp; Assumptions'!$B$5*V1931) + ('Methodology &amp; Assumptions'!$B$6*W1931), 2)</f>
        <v/>
      </c>
      <c r="Y1931" s="28" t="n">
        <v>23.7</v>
      </c>
      <c r="Z1931" s="11" t="inlineStr">
        <is>
          <t>Priority Tier 3 (Broadband Expansion)</t>
        </is>
      </c>
    </row>
    <row r="1932">
      <c r="A1932" s="23" t="n">
        <v>5</v>
      </c>
      <c r="B1932" s="23" t="n">
        <v>928</v>
      </c>
      <c r="C1932" s="23" t="n">
        <v>4928</v>
      </c>
      <c r="D1932" s="23" t="inlineStr">
        <is>
          <t>0401031026</t>
        </is>
      </c>
      <c r="E1932" s="11" t="inlineStr">
        <is>
          <t>Region IV-A (CALABARZON)</t>
        </is>
      </c>
      <c r="F1932" s="11" t="inlineStr">
        <is>
          <t>Batangas</t>
        </is>
      </c>
      <c r="G1932" s="11" t="inlineStr">
        <is>
          <t>City of Tanauan</t>
        </is>
      </c>
      <c r="H1932" s="11" t="inlineStr">
        <is>
          <t>Maria Paz</t>
        </is>
      </c>
      <c r="I1932" s="24" t="n">
        <v>14.037638</v>
      </c>
      <c r="J1932" s="24" t="n">
        <v>121.070773</v>
      </c>
      <c r="K1932" s="23" t="inlineStr">
        <is>
          <t>R</t>
        </is>
      </c>
      <c r="L1932" s="25" t="n">
        <v>3082</v>
      </c>
      <c r="M1932" s="26" t="n">
        <v>3.6</v>
      </c>
      <c r="N1932" s="25">
        <f>ROUND(L1932/M1932, 0)</f>
        <v/>
      </c>
      <c r="O1932" s="25">
        <f>ROUND(N1932*'Methodology &amp; Assumptions'!$B$7, 0)</f>
        <v/>
      </c>
      <c r="P1932" s="23" t="inlineStr">
        <is>
          <t>Single Carrier (Band n50, 100MHz TDD)</t>
        </is>
      </c>
      <c r="Q1932" s="27">
        <f>ROUNDUP(O1932/'Methodology &amp; Assumptions'!$B$8, 0)</f>
        <v/>
      </c>
      <c r="R1932" s="27" t="n">
        <v>1</v>
      </c>
      <c r="S1932" s="26" t="n">
        <v>3.43</v>
      </c>
      <c r="T1932" s="26" t="n">
        <v>9.279999999999999</v>
      </c>
      <c r="U1932" s="11">
        <f>IF(S1932&lt;='Methodology &amp; Assumptions'!$B$10, "Direct Optical Drop (&lt;3km)", IF(S1932&lt;='Methodology &amp; Assumptions'!$B$9, "Near Optical / Microwave (&lt;5km)", "Starlink Business LEO Satellite Backhaul (&gt;5km)"))</f>
        <v/>
      </c>
      <c r="V1932" s="26" t="n">
        <v>73.53</v>
      </c>
      <c r="W1932" s="26" t="n">
        <v>41.27</v>
      </c>
      <c r="X1932" s="26">
        <f>ROUND(('Methodology &amp; Assumptions'!$B$5*V1932) + ('Methodology &amp; Assumptions'!$B$6*W1932), 2)</f>
        <v/>
      </c>
      <c r="Y1932" s="28" t="n">
        <v>7.2</v>
      </c>
      <c r="Z1932" s="11" t="inlineStr">
        <is>
          <t>Priority Tier 3 (Broadband Expansion)</t>
        </is>
      </c>
    </row>
    <row r="1933">
      <c r="A1933" s="23" t="n">
        <v>5</v>
      </c>
      <c r="B1933" s="23" t="n">
        <v>929</v>
      </c>
      <c r="C1933" s="23" t="n">
        <v>4929</v>
      </c>
      <c r="D1933" s="23" t="inlineStr">
        <is>
          <t>1380604001</t>
        </is>
      </c>
      <c r="E1933" s="11" t="inlineStr">
        <is>
          <t>National Capital Region (NCR)</t>
        </is>
      </c>
      <c r="F1933" s="11" t="inlineStr">
        <is>
          <t>First District (Not a Province)</t>
        </is>
      </c>
      <c r="G1933" s="11" t="inlineStr">
        <is>
          <t>City of Manila</t>
        </is>
      </c>
      <c r="H1933" s="11" t="inlineStr">
        <is>
          <t>Barangay 268</t>
        </is>
      </c>
      <c r="I1933" s="24" t="n">
        <v>14.604222</v>
      </c>
      <c r="J1933" s="24" t="n">
        <v>120.97125</v>
      </c>
      <c r="K1933" s="23" t="inlineStr">
        <is>
          <t>U</t>
        </is>
      </c>
      <c r="L1933" s="25" t="n">
        <v>609</v>
      </c>
      <c r="M1933" s="26" t="n">
        <v>4.09</v>
      </c>
      <c r="N1933" s="25">
        <f>ROUND(L1933/M1933, 0)</f>
        <v/>
      </c>
      <c r="O1933" s="25">
        <f>ROUND(N1933*'Methodology &amp; Assumptions'!$B$7, 0)</f>
        <v/>
      </c>
      <c r="P1933" s="23" t="inlineStr">
        <is>
          <t>Single Carrier (Band n50, 100MHz TDD)</t>
        </is>
      </c>
      <c r="Q1933" s="27">
        <f>ROUNDUP(O1933/'Methodology &amp; Assumptions'!$B$8, 0)</f>
        <v/>
      </c>
      <c r="R1933" s="27" t="n">
        <v>1</v>
      </c>
      <c r="S1933" s="26" t="n">
        <v>0.33</v>
      </c>
      <c r="T1933" s="26" t="n">
        <v>0.32</v>
      </c>
      <c r="U1933" s="11">
        <f>IF(S1933&lt;='Methodology &amp; Assumptions'!$B$10, "Direct Optical Drop (&lt;3km)", IF(S1933&lt;='Methodology &amp; Assumptions'!$B$9, "Near Optical / Microwave (&lt;5km)", "Starlink Business LEO Satellite Backhaul (&gt;5km)"))</f>
        <v/>
      </c>
      <c r="V1933" s="26" t="n">
        <v>45.91</v>
      </c>
      <c r="W1933" s="26" t="n">
        <v>68.89</v>
      </c>
      <c r="X1933" s="26">
        <f>ROUND(('Methodology &amp; Assumptions'!$B$5*V1933) + ('Methodology &amp; Assumptions'!$B$6*W1933), 2)</f>
        <v/>
      </c>
      <c r="Y1933" s="28" t="n">
        <v>10.9</v>
      </c>
      <c r="Z1933" s="11" t="inlineStr">
        <is>
          <t>Priority Tier 3 (Broadband Expansion)</t>
        </is>
      </c>
    </row>
    <row r="1934">
      <c r="A1934" s="23" t="n">
        <v>5</v>
      </c>
      <c r="B1934" s="23" t="n">
        <v>930</v>
      </c>
      <c r="C1934" s="23" t="n">
        <v>4930</v>
      </c>
      <c r="D1934" s="23" t="inlineStr">
        <is>
          <t>0504106011</t>
        </is>
      </c>
      <c r="E1934" s="11" t="inlineStr">
        <is>
          <t>Region V (Bicol Region)</t>
        </is>
      </c>
      <c r="F1934" s="11" t="inlineStr">
        <is>
          <t>Masbate</t>
        </is>
      </c>
      <c r="G1934" s="11" t="inlineStr">
        <is>
          <t>Cawayan</t>
        </is>
      </c>
      <c r="H1934" s="11" t="inlineStr">
        <is>
          <t>Itombato</t>
        </is>
      </c>
      <c r="I1934" s="24" t="n">
        <v>12.00247</v>
      </c>
      <c r="J1934" s="24" t="n">
        <v>123.776913</v>
      </c>
      <c r="K1934" s="23" t="inlineStr">
        <is>
          <t>R</t>
        </is>
      </c>
      <c r="L1934" s="25" t="n">
        <v>1160</v>
      </c>
      <c r="M1934" s="26" t="n">
        <v>4.1</v>
      </c>
      <c r="N1934" s="25">
        <f>ROUND(L1934/M1934, 0)</f>
        <v/>
      </c>
      <c r="O1934" s="25">
        <f>ROUND(N1934*'Methodology &amp; Assumptions'!$B$7, 0)</f>
        <v/>
      </c>
      <c r="P1934" s="23" t="inlineStr">
        <is>
          <t>Single Carrier (Band n50, 100MHz TDD)</t>
        </is>
      </c>
      <c r="Q1934" s="27">
        <f>ROUNDUP(O1934/'Methodology &amp; Assumptions'!$B$8, 0)</f>
        <v/>
      </c>
      <c r="R1934" s="27" t="n">
        <v>1</v>
      </c>
      <c r="S1934" s="26" t="n">
        <v>20.63</v>
      </c>
      <c r="T1934" s="26" t="n">
        <v>37.75</v>
      </c>
      <c r="U1934" s="11">
        <f>IF(S1934&lt;='Methodology &amp; Assumptions'!$B$10, "Direct Optical Drop (&lt;3km)", IF(S1934&lt;='Methodology &amp; Assumptions'!$B$9, "Near Optical / Microwave (&lt;5km)", "Starlink Business LEO Satellite Backhaul (&gt;5km)"))</f>
        <v/>
      </c>
      <c r="V1934" s="26" t="n">
        <v>44.83</v>
      </c>
      <c r="W1934" s="26" t="n">
        <v>69.98</v>
      </c>
      <c r="X1934" s="26">
        <f>ROUND(('Methodology &amp; Assumptions'!$B$5*V1934) + ('Methodology &amp; Assumptions'!$B$6*W1934), 2)</f>
        <v/>
      </c>
      <c r="Y1934" s="28" t="n">
        <v>23.7</v>
      </c>
      <c r="Z1934" s="11" t="inlineStr">
        <is>
          <t>Priority Tier 3 (Broadband Expansion)</t>
        </is>
      </c>
    </row>
    <row r="1935">
      <c r="A1935" s="23" t="n">
        <v>5</v>
      </c>
      <c r="B1935" s="23" t="n">
        <v>931</v>
      </c>
      <c r="C1935" s="23" t="n">
        <v>4931</v>
      </c>
      <c r="D1935" s="23" t="inlineStr">
        <is>
          <t>0802615014</t>
        </is>
      </c>
      <c r="E1935" s="11" t="inlineStr">
        <is>
          <t>Region VIII (Eastern Visayas)</t>
        </is>
      </c>
      <c r="F1935" s="11" t="inlineStr">
        <is>
          <t>Eastern Samar</t>
        </is>
      </c>
      <c r="G1935" s="11" t="inlineStr">
        <is>
          <t>Maydolong</t>
        </is>
      </c>
      <c r="H1935" s="11" t="inlineStr">
        <is>
          <t>Barangay Poblacion 2</t>
        </is>
      </c>
      <c r="I1935" s="24" t="n">
        <v>11.446515</v>
      </c>
      <c r="J1935" s="24" t="n">
        <v>125.324677</v>
      </c>
      <c r="K1935" s="23" t="inlineStr">
        <is>
          <t>R</t>
        </is>
      </c>
      <c r="L1935" s="25" t="n">
        <v>552</v>
      </c>
      <c r="M1935" s="26" t="n">
        <v>3.9</v>
      </c>
      <c r="N1935" s="25">
        <f>ROUND(L1935/M1935, 0)</f>
        <v/>
      </c>
      <c r="O1935" s="25">
        <f>ROUND(N1935*'Methodology &amp; Assumptions'!$B$7, 0)</f>
        <v/>
      </c>
      <c r="P1935" s="23" t="inlineStr">
        <is>
          <t>Single Carrier (Band n50, 100MHz TDD)</t>
        </is>
      </c>
      <c r="Q1935" s="27">
        <f>ROUNDUP(O1935/'Methodology &amp; Assumptions'!$B$8, 0)</f>
        <v/>
      </c>
      <c r="R1935" s="27" t="n">
        <v>1</v>
      </c>
      <c r="S1935" s="26" t="n">
        <v>42</v>
      </c>
      <c r="T1935" s="26" t="n">
        <v>42.65</v>
      </c>
      <c r="U1935" s="11">
        <f>IF(S1935&lt;='Methodology &amp; Assumptions'!$B$10, "Direct Optical Drop (&lt;3km)", IF(S1935&lt;='Methodology &amp; Assumptions'!$B$9, "Near Optical / Microwave (&lt;5km)", "Starlink Business LEO Satellite Backhaul (&gt;5km)"))</f>
        <v/>
      </c>
      <c r="V1935" s="26" t="n">
        <v>40.57</v>
      </c>
      <c r="W1935" s="26" t="n">
        <v>74.23999999999999</v>
      </c>
      <c r="X1935" s="26">
        <f>ROUND(('Methodology &amp; Assumptions'!$B$5*V1935) + ('Methodology &amp; Assumptions'!$B$6*W1935), 2)</f>
        <v/>
      </c>
      <c r="Y1935" s="28" t="n">
        <v>23.7</v>
      </c>
      <c r="Z1935" s="11" t="inlineStr">
        <is>
          <t>Priority Tier 3 (Broadband Expansion)</t>
        </is>
      </c>
    </row>
    <row r="1936">
      <c r="A1936" s="23" t="n">
        <v>5</v>
      </c>
      <c r="B1936" s="23" t="n">
        <v>932</v>
      </c>
      <c r="C1936" s="23" t="n">
        <v>4932</v>
      </c>
      <c r="D1936" s="23" t="inlineStr">
        <is>
          <t>0803738057</t>
        </is>
      </c>
      <c r="E1936" s="11" t="inlineStr">
        <is>
          <t>Region VIII (Eastern Visayas)</t>
        </is>
      </c>
      <c r="F1936" s="11" t="inlineStr">
        <is>
          <t>Leyte</t>
        </is>
      </c>
      <c r="G1936" s="11" t="inlineStr">
        <is>
          <t>Ormoc City</t>
        </is>
      </c>
      <c r="H1936" s="11" t="inlineStr">
        <is>
          <t>Lao</t>
        </is>
      </c>
      <c r="I1936" s="24" t="n">
        <v>11.015169</v>
      </c>
      <c r="J1936" s="24" t="n">
        <v>124.591781</v>
      </c>
      <c r="K1936" s="23" t="inlineStr">
        <is>
          <t>R</t>
        </is>
      </c>
      <c r="L1936" s="25" t="n">
        <v>4489</v>
      </c>
      <c r="M1936" s="26" t="n">
        <v>3.8</v>
      </c>
      <c r="N1936" s="25">
        <f>ROUND(L1936/M1936, 0)</f>
        <v/>
      </c>
      <c r="O1936" s="25">
        <f>ROUND(N1936*'Methodology &amp; Assumptions'!$B$7, 0)</f>
        <v/>
      </c>
      <c r="P1936" s="23" t="inlineStr">
        <is>
          <t>Single Carrier (Band n50, 100MHz TDD)</t>
        </is>
      </c>
      <c r="Q1936" s="27">
        <f>ROUNDUP(O1936/'Methodology &amp; Assumptions'!$B$8, 0)</f>
        <v/>
      </c>
      <c r="R1936" s="27" t="n">
        <v>1</v>
      </c>
      <c r="S1936" s="26" t="n">
        <v>1.05</v>
      </c>
      <c r="T1936" s="26" t="n">
        <v>0.79</v>
      </c>
      <c r="U1936" s="11">
        <f>IF(S1936&lt;='Methodology &amp; Assumptions'!$B$10, "Direct Optical Drop (&lt;3km)", IF(S1936&lt;='Methodology &amp; Assumptions'!$B$9, "Near Optical / Microwave (&lt;5km)", "Starlink Business LEO Satellite Backhaul (&gt;5km)"))</f>
        <v/>
      </c>
      <c r="V1936" s="26" t="n">
        <v>87.23999999999999</v>
      </c>
      <c r="W1936" s="26" t="n">
        <v>27.53</v>
      </c>
      <c r="X1936" s="26">
        <f>ROUND(('Methodology &amp; Assumptions'!$B$5*V1936) + ('Methodology &amp; Assumptions'!$B$6*W1936), 2)</f>
        <v/>
      </c>
      <c r="Y1936" s="28" t="n">
        <v>23.7</v>
      </c>
      <c r="Z1936" s="11" t="inlineStr">
        <is>
          <t>Priority Tier 3 (Broadband Expansion)</t>
        </is>
      </c>
    </row>
    <row r="1937">
      <c r="A1937" s="23" t="n">
        <v>5</v>
      </c>
      <c r="B1937" s="23" t="n">
        <v>933</v>
      </c>
      <c r="C1937" s="23" t="n">
        <v>4933</v>
      </c>
      <c r="D1937" s="23" t="inlineStr">
        <is>
          <t>0300812011</t>
        </is>
      </c>
      <c r="E1937" s="11" t="inlineStr">
        <is>
          <t>Region III (Central Luzon)</t>
        </is>
      </c>
      <c r="F1937" s="11" t="inlineStr">
        <is>
          <t>Bataan</t>
        </is>
      </c>
      <c r="G1937" s="11" t="inlineStr">
        <is>
          <t>Samal</t>
        </is>
      </c>
      <c r="H1937" s="11" t="inlineStr">
        <is>
          <t>Sapa</t>
        </is>
      </c>
      <c r="I1937" s="24" t="n">
        <v>14.754357</v>
      </c>
      <c r="J1937" s="24" t="n">
        <v>120.543207</v>
      </c>
      <c r="K1937" s="23" t="inlineStr">
        <is>
          <t>R</t>
        </is>
      </c>
      <c r="L1937" s="25" t="n">
        <v>4845</v>
      </c>
      <c r="M1937" s="26" t="n">
        <v>3.6</v>
      </c>
      <c r="N1937" s="25">
        <f>ROUND(L1937/M1937, 0)</f>
        <v/>
      </c>
      <c r="O1937" s="25">
        <f>ROUND(N1937*'Methodology &amp; Assumptions'!$B$7, 0)</f>
        <v/>
      </c>
      <c r="P1937" s="23" t="inlineStr">
        <is>
          <t>Single Carrier (Band n50, 100MHz TDD)</t>
        </is>
      </c>
      <c r="Q1937" s="27">
        <f>ROUNDUP(O1937/'Methodology &amp; Assumptions'!$B$8, 0)</f>
        <v/>
      </c>
      <c r="R1937" s="27" t="n">
        <v>1</v>
      </c>
      <c r="S1937" s="26" t="n">
        <v>5.36</v>
      </c>
      <c r="T1937" s="26" t="n">
        <v>0.05</v>
      </c>
      <c r="U1937" s="11">
        <f>IF(S1937&lt;='Methodology &amp; Assumptions'!$B$10, "Direct Optical Drop (&lt;3km)", IF(S1937&lt;='Methodology &amp; Assumptions'!$B$9, "Near Optical / Microwave (&lt;5km)", "Starlink Business LEO Satellite Backhaul (&gt;5km)"))</f>
        <v/>
      </c>
      <c r="V1937" s="26" t="n">
        <v>73.56</v>
      </c>
      <c r="W1937" s="26" t="n">
        <v>41.23</v>
      </c>
      <c r="X1937" s="26">
        <f>ROUND(('Methodology &amp; Assumptions'!$B$5*V1937) + ('Methodology &amp; Assumptions'!$B$6*W1937), 2)</f>
        <v/>
      </c>
      <c r="Y1937" s="28" t="n">
        <v>8.300000000000001</v>
      </c>
      <c r="Z1937" s="11" t="inlineStr">
        <is>
          <t>Priority Tier 3 (Broadband Expansion)</t>
        </is>
      </c>
    </row>
    <row r="1938">
      <c r="A1938" s="23" t="n">
        <v>5</v>
      </c>
      <c r="B1938" s="23" t="n">
        <v>934</v>
      </c>
      <c r="C1938" s="23" t="n">
        <v>4934</v>
      </c>
      <c r="D1938" s="23" t="inlineStr">
        <is>
          <t>0305411020</t>
        </is>
      </c>
      <c r="E1938" s="11" t="inlineStr">
        <is>
          <t>Region III (Central Luzon)</t>
        </is>
      </c>
      <c r="F1938" s="11" t="inlineStr">
        <is>
          <t>Pampanga</t>
        </is>
      </c>
      <c r="G1938" s="11" t="inlineStr">
        <is>
          <t>Magalang</t>
        </is>
      </c>
      <c r="H1938" s="11" t="inlineStr">
        <is>
          <t>Santa Cruz</t>
        </is>
      </c>
      <c r="I1938" s="24" t="n">
        <v>15.211347</v>
      </c>
      <c r="J1938" s="24" t="n">
        <v>120.662483</v>
      </c>
      <c r="K1938" s="23" t="inlineStr">
        <is>
          <t>U</t>
        </is>
      </c>
      <c r="L1938" s="25" t="n">
        <v>7765</v>
      </c>
      <c r="M1938" s="26" t="n">
        <v>4</v>
      </c>
      <c r="N1938" s="25">
        <f>ROUND(L1938/M1938, 0)</f>
        <v/>
      </c>
      <c r="O1938" s="25">
        <f>ROUND(N1938*'Methodology &amp; Assumptions'!$B$7, 0)</f>
        <v/>
      </c>
      <c r="P1938" s="23" t="inlineStr">
        <is>
          <t>Single Carrier (Band n50, 100MHz TDD)</t>
        </is>
      </c>
      <c r="Q1938" s="27">
        <f>ROUNDUP(O1938/'Methodology &amp; Assumptions'!$B$8, 0)</f>
        <v/>
      </c>
      <c r="R1938" s="27" t="n">
        <v>1</v>
      </c>
      <c r="S1938" s="26" t="n">
        <v>2.34</v>
      </c>
      <c r="T1938" s="26" t="n">
        <v>0.2</v>
      </c>
      <c r="U1938" s="11">
        <f>IF(S1938&lt;='Methodology &amp; Assumptions'!$B$10, "Direct Optical Drop (&lt;3km)", IF(S1938&lt;='Methodology &amp; Assumptions'!$B$9, "Near Optical / Microwave (&lt;5km)", "Starlink Business LEO Satellite Backhaul (&gt;5km)"))</f>
        <v/>
      </c>
      <c r="V1938" s="26" t="n">
        <v>73.04000000000001</v>
      </c>
      <c r="W1938" s="26" t="n">
        <v>41.73</v>
      </c>
      <c r="X1938" s="26">
        <f>ROUND(('Methodology &amp; Assumptions'!$B$5*V1938) + ('Methodology &amp; Assumptions'!$B$6*W1938), 2)</f>
        <v/>
      </c>
      <c r="Y1938" s="28" t="n">
        <v>8.300000000000001</v>
      </c>
      <c r="Z1938" s="11" t="inlineStr">
        <is>
          <t>Priority Tier 3 (Broadband Expansion)</t>
        </is>
      </c>
    </row>
    <row r="1939">
      <c r="A1939" s="23" t="n">
        <v>5</v>
      </c>
      <c r="B1939" s="23" t="n">
        <v>935</v>
      </c>
      <c r="C1939" s="23" t="n">
        <v>4935</v>
      </c>
      <c r="D1939" s="23" t="inlineStr">
        <is>
          <t>1381100101</t>
        </is>
      </c>
      <c r="E1939" s="11" t="inlineStr">
        <is>
          <t>National Capital Region (NCR)</t>
        </is>
      </c>
      <c r="F1939" s="11" t="inlineStr">
        <is>
          <t>Fourth District (Not a Province)</t>
        </is>
      </c>
      <c r="G1939" s="11" t="inlineStr">
        <is>
          <t>Pasay City</t>
        </is>
      </c>
      <c r="H1939" s="11" t="inlineStr">
        <is>
          <t>Barangay 101</t>
        </is>
      </c>
      <c r="I1939" s="24" t="n">
        <v>14.542101</v>
      </c>
      <c r="J1939" s="24" t="n">
        <v>121.002189</v>
      </c>
      <c r="K1939" s="23" t="inlineStr">
        <is>
          <t>U</t>
        </is>
      </c>
      <c r="L1939" s="25" t="n">
        <v>558</v>
      </c>
      <c r="M1939" s="26" t="n">
        <v>3.36</v>
      </c>
      <c r="N1939" s="25">
        <f>ROUND(L1939/M1939, 0)</f>
        <v/>
      </c>
      <c r="O1939" s="25">
        <f>ROUND(N1939*'Methodology &amp; Assumptions'!$B$7, 0)</f>
        <v/>
      </c>
      <c r="P1939" s="23" t="inlineStr">
        <is>
          <t>Single Carrier (Band n50, 100MHz TDD)</t>
        </is>
      </c>
      <c r="Q1939" s="27">
        <f>ROUNDUP(O1939/'Methodology &amp; Assumptions'!$B$8, 0)</f>
        <v/>
      </c>
      <c r="R1939" s="27" t="n">
        <v>1</v>
      </c>
      <c r="S1939" s="26" t="n">
        <v>0.88</v>
      </c>
      <c r="T1939" s="26" t="n">
        <v>0.23</v>
      </c>
      <c r="U1939" s="11">
        <f>IF(S1939&lt;='Methodology &amp; Assumptions'!$B$10, "Direct Optical Drop (&lt;3km)", IF(S1939&lt;='Methodology &amp; Assumptions'!$B$9, "Near Optical / Microwave (&lt;5km)", "Starlink Business LEO Satellite Backhaul (&gt;5km)"))</f>
        <v/>
      </c>
      <c r="V1939" s="26" t="n">
        <v>46.31</v>
      </c>
      <c r="W1939" s="26" t="n">
        <v>68.47</v>
      </c>
      <c r="X1939" s="26">
        <f>ROUND(('Methodology &amp; Assumptions'!$B$5*V1939) + ('Methodology &amp; Assumptions'!$B$6*W1939), 2)</f>
        <v/>
      </c>
      <c r="Y1939" s="28" t="n">
        <v>10.9</v>
      </c>
      <c r="Z1939" s="11" t="inlineStr">
        <is>
          <t>Priority Tier 3 (Broadband Expansion)</t>
        </is>
      </c>
    </row>
    <row r="1940">
      <c r="A1940" s="23" t="n">
        <v>5</v>
      </c>
      <c r="B1940" s="23" t="n">
        <v>936</v>
      </c>
      <c r="C1940" s="23" t="n">
        <v>4936</v>
      </c>
      <c r="D1940" s="23" t="inlineStr">
        <is>
          <t>0603027021</t>
        </is>
      </c>
      <c r="E1940" s="11" t="inlineStr">
        <is>
          <t>Region VI (Western Visayas)</t>
        </is>
      </c>
      <c r="F1940" s="11" t="inlineStr">
        <is>
          <t>Iloilo</t>
        </is>
      </c>
      <c r="G1940" s="11" t="inlineStr">
        <is>
          <t>Lemery</t>
        </is>
      </c>
      <c r="H1940" s="11" t="inlineStr">
        <is>
          <t>Poblacion SE Zone</t>
        </is>
      </c>
      <c r="I1940" s="24" t="n">
        <v>11.224881</v>
      </c>
      <c r="J1940" s="24" t="n">
        <v>122.929917</v>
      </c>
      <c r="K1940" s="23" t="inlineStr">
        <is>
          <t>R</t>
        </is>
      </c>
      <c r="L1940" s="25" t="n">
        <v>2853</v>
      </c>
      <c r="M1940" s="26" t="n">
        <v>3.8</v>
      </c>
      <c r="N1940" s="25">
        <f>ROUND(L1940/M1940, 0)</f>
        <v/>
      </c>
      <c r="O1940" s="25">
        <f>ROUND(N1940*'Methodology &amp; Assumptions'!$B$7, 0)</f>
        <v/>
      </c>
      <c r="P1940" s="23" t="inlineStr">
        <is>
          <t>Single Carrier (Band n50, 100MHz TDD)</t>
        </is>
      </c>
      <c r="Q1940" s="27">
        <f>ROUNDUP(O1940/'Methodology &amp; Assumptions'!$B$8, 0)</f>
        <v/>
      </c>
      <c r="R1940" s="27" t="n">
        <v>1</v>
      </c>
      <c r="S1940" s="26" t="n">
        <v>0.18</v>
      </c>
      <c r="T1940" s="26" t="n">
        <v>0.34</v>
      </c>
      <c r="U1940" s="11">
        <f>IF(S1940&lt;='Methodology &amp; Assumptions'!$B$10, "Direct Optical Drop (&lt;3km)", IF(S1940&lt;='Methodology &amp; Assumptions'!$B$9, "Near Optical / Microwave (&lt;5km)", "Starlink Business LEO Satellite Backhaul (&gt;5km)"))</f>
        <v/>
      </c>
      <c r="V1940" s="26" t="n">
        <v>84.27</v>
      </c>
      <c r="W1940" s="26" t="n">
        <v>30.49</v>
      </c>
      <c r="X1940" s="26">
        <f>ROUND(('Methodology &amp; Assumptions'!$B$5*V1940) + ('Methodology &amp; Assumptions'!$B$6*W1940), 2)</f>
        <v/>
      </c>
      <c r="Y1940" s="28" t="n">
        <v>23.7</v>
      </c>
      <c r="Z1940" s="11" t="inlineStr">
        <is>
          <t>Priority Tier 3 (Broadband Expansion)</t>
        </is>
      </c>
    </row>
    <row r="1941">
      <c r="A1941" s="23" t="n">
        <v>5</v>
      </c>
      <c r="B1941" s="23" t="n">
        <v>937</v>
      </c>
      <c r="C1941" s="23" t="n">
        <v>4937</v>
      </c>
      <c r="D1941" s="23" t="inlineStr">
        <is>
          <t>0301407005</t>
        </is>
      </c>
      <c r="E1941" s="11" t="inlineStr">
        <is>
          <t>Region III (Central Luzon)</t>
        </is>
      </c>
      <c r="F1941" s="11" t="inlineStr">
        <is>
          <t>Bulacan</t>
        </is>
      </c>
      <c r="G1941" s="11" t="inlineStr">
        <is>
          <t>Calumpit</t>
        </is>
      </c>
      <c r="H1941" s="11" t="inlineStr">
        <is>
          <t>Bulusan</t>
        </is>
      </c>
      <c r="I1941" s="24" t="n">
        <v>14.908719</v>
      </c>
      <c r="J1941" s="24" t="n">
        <v>120.742176</v>
      </c>
      <c r="K1941" s="23" t="inlineStr">
        <is>
          <t>R</t>
        </is>
      </c>
      <c r="L1941" s="25" t="n">
        <v>2721</v>
      </c>
      <c r="M1941" s="26" t="n">
        <v>3.5</v>
      </c>
      <c r="N1941" s="25">
        <f>ROUND(L1941/M1941, 0)</f>
        <v/>
      </c>
      <c r="O1941" s="25">
        <f>ROUND(N1941*'Methodology &amp; Assumptions'!$B$7, 0)</f>
        <v/>
      </c>
      <c r="P1941" s="23" t="inlineStr">
        <is>
          <t>Single Carrier (Band n50, 100MHz TDD)</t>
        </is>
      </c>
      <c r="Q1941" s="27">
        <f>ROUNDUP(O1941/'Methodology &amp; Assumptions'!$B$8, 0)</f>
        <v/>
      </c>
      <c r="R1941" s="27" t="n">
        <v>1</v>
      </c>
      <c r="S1941" s="26" t="n">
        <v>2.77</v>
      </c>
      <c r="T1941" s="26" t="n">
        <v>0.41</v>
      </c>
      <c r="U1941" s="11">
        <f>IF(S1941&lt;='Methodology &amp; Assumptions'!$B$10, "Direct Optical Drop (&lt;3km)", IF(S1941&lt;='Methodology &amp; Assumptions'!$B$9, "Near Optical / Microwave (&lt;5km)", "Starlink Business LEO Satellite Backhaul (&gt;5km)"))</f>
        <v/>
      </c>
      <c r="V1941" s="26" t="n">
        <v>77.53</v>
      </c>
      <c r="W1941" s="26" t="n">
        <v>37.23</v>
      </c>
      <c r="X1941" s="26">
        <f>ROUND(('Methodology &amp; Assumptions'!$B$5*V1941) + ('Methodology &amp; Assumptions'!$B$6*W1941), 2)</f>
        <v/>
      </c>
      <c r="Y1941" s="28" t="n">
        <v>8.300000000000001</v>
      </c>
      <c r="Z1941" s="11" t="inlineStr">
        <is>
          <t>Priority Tier 3 (Broadband Expansion)</t>
        </is>
      </c>
    </row>
    <row r="1942">
      <c r="A1942" s="23" t="n">
        <v>5</v>
      </c>
      <c r="B1942" s="23" t="n">
        <v>938</v>
      </c>
      <c r="C1942" s="23" t="n">
        <v>4938</v>
      </c>
      <c r="D1942" s="23" t="inlineStr">
        <is>
          <t>0103320001</t>
        </is>
      </c>
      <c r="E1942" s="11" t="inlineStr">
        <is>
          <t>Region I (Ilocos Region)</t>
        </is>
      </c>
      <c r="F1942" s="11" t="inlineStr">
        <is>
          <t>La Union</t>
        </is>
      </c>
      <c r="G1942" s="11" t="inlineStr">
        <is>
          <t>Tubao</t>
        </is>
      </c>
      <c r="H1942" s="11" t="inlineStr">
        <is>
          <t>Amallapay</t>
        </is>
      </c>
      <c r="I1942" s="24" t="n">
        <v>16.3278</v>
      </c>
      <c r="J1942" s="24" t="n">
        <v>120.4083</v>
      </c>
      <c r="K1942" s="23" t="inlineStr">
        <is>
          <t>R</t>
        </is>
      </c>
      <c r="L1942" s="25" t="n">
        <v>2032</v>
      </c>
      <c r="M1942" s="26" t="n">
        <v>3.7</v>
      </c>
      <c r="N1942" s="25">
        <f>ROUND(L1942/M1942, 0)</f>
        <v/>
      </c>
      <c r="O1942" s="25">
        <f>ROUND(N1942*'Methodology &amp; Assumptions'!$B$7, 0)</f>
        <v/>
      </c>
      <c r="P1942" s="23" t="inlineStr">
        <is>
          <t>Single Carrier (Band n50, 100MHz TDD)</t>
        </is>
      </c>
      <c r="Q1942" s="27">
        <f>ROUNDUP(O1942/'Methodology &amp; Assumptions'!$B$8, 0)</f>
        <v/>
      </c>
      <c r="R1942" s="27" t="n">
        <v>1</v>
      </c>
      <c r="S1942" s="26" t="n">
        <v>0.54</v>
      </c>
      <c r="T1942" s="26" t="n">
        <v>0.67</v>
      </c>
      <c r="U1942" s="11">
        <f>IF(S1942&lt;='Methodology &amp; Assumptions'!$B$10, "Direct Optical Drop (&lt;3km)", IF(S1942&lt;='Methodology &amp; Assumptions'!$B$9, "Near Optical / Microwave (&lt;5km)", "Starlink Business LEO Satellite Backhaul (&gt;5km)"))</f>
        <v/>
      </c>
      <c r="V1942" s="26" t="n">
        <v>76.90000000000001</v>
      </c>
      <c r="W1942" s="26" t="n">
        <v>37.87</v>
      </c>
      <c r="X1942" s="26">
        <f>ROUND(('Methodology &amp; Assumptions'!$B$5*V1942) + ('Methodology &amp; Assumptions'!$B$6*W1942), 2)</f>
        <v/>
      </c>
      <c r="Y1942" s="28" t="n">
        <v>8.300000000000001</v>
      </c>
      <c r="Z1942" s="11" t="inlineStr">
        <is>
          <t>Priority Tier 3 (Broadband Expansion)</t>
        </is>
      </c>
    </row>
    <row r="1943">
      <c r="A1943" s="23" t="n">
        <v>5</v>
      </c>
      <c r="B1943" s="23" t="n">
        <v>939</v>
      </c>
      <c r="C1943" s="23" t="n">
        <v>4939</v>
      </c>
      <c r="D1943" s="23" t="inlineStr">
        <is>
          <t>1908819010</t>
        </is>
      </c>
      <c r="E1943" s="11" t="inlineStr">
        <is>
          <t>Bangsamoro Autonomous Region In Muslim Mindanao (BARMM)</t>
        </is>
      </c>
      <c r="F1943" s="11" t="inlineStr">
        <is>
          <t>Maguindanao del Sur</t>
        </is>
      </c>
      <c r="G1943" s="11" t="inlineStr">
        <is>
          <t>Rajah Buayan</t>
        </is>
      </c>
      <c r="H1943" s="11" t="inlineStr">
        <is>
          <t>Sapakan</t>
        </is>
      </c>
      <c r="I1943" s="24" t="n">
        <v>6.917212</v>
      </c>
      <c r="J1943" s="24" t="n">
        <v>124.558377</v>
      </c>
      <c r="K1943" s="23" t="inlineStr">
        <is>
          <t>R</t>
        </is>
      </c>
      <c r="L1943" s="25" t="n">
        <v>3419</v>
      </c>
      <c r="M1943" s="26" t="n">
        <v>4.7</v>
      </c>
      <c r="N1943" s="25">
        <f>ROUND(L1943/M1943, 0)</f>
        <v/>
      </c>
      <c r="O1943" s="25">
        <f>ROUND(N1943*'Methodology &amp; Assumptions'!$B$7, 0)</f>
        <v/>
      </c>
      <c r="P1943" s="23" t="inlineStr">
        <is>
          <t>Single Carrier (Band n50, 100MHz TDD)</t>
        </is>
      </c>
      <c r="Q1943" s="27">
        <f>ROUNDUP(O1943/'Methodology &amp; Assumptions'!$B$8, 0)</f>
        <v/>
      </c>
      <c r="R1943" s="27" t="n">
        <v>1</v>
      </c>
      <c r="S1943" s="26" t="n">
        <v>28.32</v>
      </c>
      <c r="T1943" s="26" t="n">
        <v>28.24</v>
      </c>
      <c r="U1943" s="11">
        <f>IF(S1943&lt;='Methodology &amp; Assumptions'!$B$10, "Direct Optical Drop (&lt;3km)", IF(S1943&lt;='Methodology &amp; Assumptions'!$B$9, "Near Optical / Microwave (&lt;5km)", "Starlink Business LEO Satellite Backhaul (&gt;5km)"))</f>
        <v/>
      </c>
      <c r="V1943" s="26" t="n">
        <v>54.4</v>
      </c>
      <c r="W1943" s="26" t="n">
        <v>60.36</v>
      </c>
      <c r="X1943" s="26">
        <f>ROUND(('Methodology &amp; Assumptions'!$B$5*V1943) + ('Methodology &amp; Assumptions'!$B$6*W1943), 2)</f>
        <v/>
      </c>
      <c r="Y1943" s="28" t="n">
        <v>11</v>
      </c>
      <c r="Z1943" s="11" t="inlineStr">
        <is>
          <t>Priority Tier 3 (Broadband Expansion)</t>
        </is>
      </c>
    </row>
    <row r="1944">
      <c r="A1944" s="23" t="n">
        <v>5</v>
      </c>
      <c r="B1944" s="23" t="n">
        <v>940</v>
      </c>
      <c r="C1944" s="23" t="n">
        <v>4940</v>
      </c>
      <c r="D1944" s="23" t="inlineStr">
        <is>
          <t>0603045004</t>
        </is>
      </c>
      <c r="E1944" s="11" t="inlineStr">
        <is>
          <t>Region VI (Western Visayas)</t>
        </is>
      </c>
      <c r="F1944" s="11" t="inlineStr">
        <is>
          <t>Iloilo</t>
        </is>
      </c>
      <c r="G1944" s="11" t="inlineStr">
        <is>
          <t>Tigbauan</t>
        </is>
      </c>
      <c r="H1944" s="11" t="inlineStr">
        <is>
          <t>Baguingin</t>
        </is>
      </c>
      <c r="I1944" s="24" t="n">
        <v>10.676844</v>
      </c>
      <c r="J1944" s="24" t="n">
        <v>122.404017</v>
      </c>
      <c r="K1944" s="23" t="inlineStr">
        <is>
          <t>R</t>
        </is>
      </c>
      <c r="L1944" s="25" t="n">
        <v>3569</v>
      </c>
      <c r="M1944" s="26" t="n">
        <v>3.8</v>
      </c>
      <c r="N1944" s="25">
        <f>ROUND(L1944/M1944, 0)</f>
        <v/>
      </c>
      <c r="O1944" s="25">
        <f>ROUND(N1944*'Methodology &amp; Assumptions'!$B$7, 0)</f>
        <v/>
      </c>
      <c r="P1944" s="23" t="inlineStr">
        <is>
          <t>Single Carrier (Band n50, 100MHz TDD)</t>
        </is>
      </c>
      <c r="Q1944" s="27">
        <f>ROUNDUP(O1944/'Methodology &amp; Assumptions'!$B$8, 0)</f>
        <v/>
      </c>
      <c r="R1944" s="27" t="n">
        <v>1</v>
      </c>
      <c r="S1944" s="26" t="n">
        <v>2.51</v>
      </c>
      <c r="T1944" s="26" t="n">
        <v>0.1</v>
      </c>
      <c r="U1944" s="11">
        <f>IF(S1944&lt;='Methodology &amp; Assumptions'!$B$10, "Direct Optical Drop (&lt;3km)", IF(S1944&lt;='Methodology &amp; Assumptions'!$B$9, "Near Optical / Microwave (&lt;5km)", "Starlink Business LEO Satellite Backhaul (&gt;5km)"))</f>
        <v/>
      </c>
      <c r="V1944" s="26" t="n">
        <v>82.12</v>
      </c>
      <c r="W1944" s="26" t="n">
        <v>32.62</v>
      </c>
      <c r="X1944" s="26">
        <f>ROUND(('Methodology &amp; Assumptions'!$B$5*V1944) + ('Methodology &amp; Assumptions'!$B$6*W1944), 2)</f>
        <v/>
      </c>
      <c r="Y1944" s="28" t="n">
        <v>23.7</v>
      </c>
      <c r="Z1944" s="11" t="inlineStr">
        <is>
          <t>Priority Tier 3 (Broadband Expansion)</t>
        </is>
      </c>
    </row>
    <row r="1945">
      <c r="A1945" s="23" t="n">
        <v>5</v>
      </c>
      <c r="B1945" s="23" t="n">
        <v>941</v>
      </c>
      <c r="C1945" s="23" t="n">
        <v>4941</v>
      </c>
      <c r="D1945" s="23" t="inlineStr">
        <is>
          <t>1705211010</t>
        </is>
      </c>
      <c r="E1945" s="11" t="inlineStr">
        <is>
          <t>MIMAROPA Region</t>
        </is>
      </c>
      <c r="F1945" s="11" t="inlineStr">
        <is>
          <t>Oriental Mindoro</t>
        </is>
      </c>
      <c r="G1945" s="11" t="inlineStr">
        <is>
          <t>Puerto Galera</t>
        </is>
      </c>
      <c r="H1945" s="11" t="inlineStr">
        <is>
          <t>Tabinay</t>
        </is>
      </c>
      <c r="I1945" s="24" t="n">
        <v>13.48009</v>
      </c>
      <c r="J1945" s="24" t="n">
        <v>120.9598</v>
      </c>
      <c r="K1945" s="23" t="inlineStr">
        <is>
          <t>R</t>
        </is>
      </c>
      <c r="L1945" s="25" t="n">
        <v>4439</v>
      </c>
      <c r="M1945" s="26" t="n">
        <v>3.9</v>
      </c>
      <c r="N1945" s="25">
        <f>ROUND(L1945/M1945, 0)</f>
        <v/>
      </c>
      <c r="O1945" s="25">
        <f>ROUND(N1945*'Methodology &amp; Assumptions'!$B$7, 0)</f>
        <v/>
      </c>
      <c r="P1945" s="23" t="inlineStr">
        <is>
          <t>Single Carrier (Band n50, 100MHz TDD)</t>
        </is>
      </c>
      <c r="Q1945" s="27">
        <f>ROUNDUP(O1945/'Methodology &amp; Assumptions'!$B$8, 0)</f>
        <v/>
      </c>
      <c r="R1945" s="27" t="n">
        <v>1</v>
      </c>
      <c r="S1945" s="26" t="n">
        <v>2.19</v>
      </c>
      <c r="T1945" s="26" t="n">
        <v>0.04</v>
      </c>
      <c r="U1945" s="11">
        <f>IF(S1945&lt;='Methodology &amp; Assumptions'!$B$10, "Direct Optical Drop (&lt;3km)", IF(S1945&lt;='Methodology &amp; Assumptions'!$B$9, "Near Optical / Microwave (&lt;5km)", "Starlink Business LEO Satellite Backhaul (&gt;5km)"))</f>
        <v/>
      </c>
      <c r="V1945" s="26" t="n">
        <v>81.81</v>
      </c>
      <c r="W1945" s="26" t="n">
        <v>32.93</v>
      </c>
      <c r="X1945" s="26">
        <f>ROUND(('Methodology &amp; Assumptions'!$B$5*V1945) + ('Methodology &amp; Assumptions'!$B$6*W1945), 2)</f>
        <v/>
      </c>
      <c r="Y1945" s="28" t="n">
        <v>15</v>
      </c>
      <c r="Z1945" s="11" t="inlineStr">
        <is>
          <t>Priority Tier 3 (Broadband Expansion)</t>
        </is>
      </c>
    </row>
    <row r="1946">
      <c r="A1946" s="23" t="n">
        <v>5</v>
      </c>
      <c r="B1946" s="23" t="n">
        <v>942</v>
      </c>
      <c r="C1946" s="23" t="n">
        <v>4942</v>
      </c>
      <c r="D1946" s="23" t="inlineStr">
        <is>
          <t>0704601004</t>
        </is>
      </c>
      <c r="E1946" s="11" t="inlineStr">
        <is>
          <t>Region VII (Central Visayas)</t>
        </is>
      </c>
      <c r="F1946" s="11" t="inlineStr">
        <is>
          <t>Negros Oriental</t>
        </is>
      </c>
      <c r="G1946" s="11" t="inlineStr">
        <is>
          <t>Amlan</t>
        </is>
      </c>
      <c r="H1946" s="11" t="inlineStr">
        <is>
          <t>Mag-abo</t>
        </is>
      </c>
      <c r="I1946" s="24" t="n">
        <v>9.467015999999999</v>
      </c>
      <c r="J1946" s="24" t="n">
        <v>123.216379</v>
      </c>
      <c r="K1946" s="23" t="inlineStr">
        <is>
          <t>R</t>
        </is>
      </c>
      <c r="L1946" s="25" t="n">
        <v>2265</v>
      </c>
      <c r="M1946" s="26" t="n">
        <v>3.8</v>
      </c>
      <c r="N1946" s="25">
        <f>ROUND(L1946/M1946, 0)</f>
        <v/>
      </c>
      <c r="O1946" s="25">
        <f>ROUND(N1946*'Methodology &amp; Assumptions'!$B$7, 0)</f>
        <v/>
      </c>
      <c r="P1946" s="23" t="inlineStr">
        <is>
          <t>Single Carrier (Band n50, 100MHz TDD)</t>
        </is>
      </c>
      <c r="Q1946" s="27">
        <f>ROUNDUP(O1946/'Methodology &amp; Assumptions'!$B$8, 0)</f>
        <v/>
      </c>
      <c r="R1946" s="27" t="n">
        <v>1</v>
      </c>
      <c r="S1946" s="26" t="n">
        <v>0.86</v>
      </c>
      <c r="T1946" s="26" t="n">
        <v>0.11</v>
      </c>
      <c r="U1946" s="11">
        <f>IF(S1946&lt;='Methodology &amp; Assumptions'!$B$10, "Direct Optical Drop (&lt;3km)", IF(S1946&lt;='Methodology &amp; Assumptions'!$B$9, "Near Optical / Microwave (&lt;5km)", "Starlink Business LEO Satellite Backhaul (&gt;5km)"))</f>
        <v/>
      </c>
      <c r="V1946" s="26" t="n">
        <v>79.54000000000001</v>
      </c>
      <c r="W1946" s="26" t="n">
        <v>35.2</v>
      </c>
      <c r="X1946" s="26">
        <f>ROUND(('Methodology &amp; Assumptions'!$B$5*V1946) + ('Methodology &amp; Assumptions'!$B$6*W1946), 2)</f>
        <v/>
      </c>
      <c r="Y1946" s="28" t="n">
        <v>23.7</v>
      </c>
      <c r="Z1946" s="11" t="inlineStr">
        <is>
          <t>Priority Tier 3 (Broadband Expansion)</t>
        </is>
      </c>
    </row>
    <row r="1947">
      <c r="A1947" s="23" t="n">
        <v>5</v>
      </c>
      <c r="B1947" s="23" t="n">
        <v>943</v>
      </c>
      <c r="C1947" s="23" t="n">
        <v>4943</v>
      </c>
      <c r="D1947" s="23" t="inlineStr">
        <is>
          <t>0403402003</t>
        </is>
      </c>
      <c r="E1947" s="11" t="inlineStr">
        <is>
          <t>Region IV-A (CALABARZON)</t>
        </is>
      </c>
      <c r="F1947" s="11" t="inlineStr">
        <is>
          <t>Laguna</t>
        </is>
      </c>
      <c r="G1947" s="11" t="inlineStr">
        <is>
          <t>Bay</t>
        </is>
      </c>
      <c r="H1947" s="11" t="inlineStr">
        <is>
          <t>Dila</t>
        </is>
      </c>
      <c r="I1947" s="24" t="n">
        <v>14.180476</v>
      </c>
      <c r="J1947" s="24" t="n">
        <v>121.286633</v>
      </c>
      <c r="K1947" s="23" t="inlineStr">
        <is>
          <t>U</t>
        </is>
      </c>
      <c r="L1947" s="25" t="n">
        <v>7412</v>
      </c>
      <c r="M1947" s="26" t="n">
        <v>3.3</v>
      </c>
      <c r="N1947" s="25">
        <f>ROUND(L1947/M1947, 0)</f>
        <v/>
      </c>
      <c r="O1947" s="25">
        <f>ROUND(N1947*'Methodology &amp; Assumptions'!$B$7, 0)</f>
        <v/>
      </c>
      <c r="P1947" s="23" t="inlineStr">
        <is>
          <t>Single Carrier (Band n50, 100MHz TDD)</t>
        </is>
      </c>
      <c r="Q1947" s="27">
        <f>ROUNDUP(O1947/'Methodology &amp; Assumptions'!$B$8, 0)</f>
        <v/>
      </c>
      <c r="R1947" s="27" t="n">
        <v>1</v>
      </c>
      <c r="S1947" s="26" t="n">
        <v>0.67</v>
      </c>
      <c r="T1947" s="26" t="n">
        <v>0.14</v>
      </c>
      <c r="U1947" s="11">
        <f>IF(S1947&lt;='Methodology &amp; Assumptions'!$B$10, "Direct Optical Drop (&lt;3km)", IF(S1947&lt;='Methodology &amp; Assumptions'!$B$9, "Near Optical / Microwave (&lt;5km)", "Starlink Business LEO Satellite Backhaul (&gt;5km)"))</f>
        <v/>
      </c>
      <c r="V1947" s="26" t="n">
        <v>78.26000000000001</v>
      </c>
      <c r="W1947" s="26" t="n">
        <v>36.48</v>
      </c>
      <c r="X1947" s="26">
        <f>ROUND(('Methodology &amp; Assumptions'!$B$5*V1947) + ('Methodology &amp; Assumptions'!$B$6*W1947), 2)</f>
        <v/>
      </c>
      <c r="Y1947" s="28" t="n">
        <v>7.2</v>
      </c>
      <c r="Z1947" s="11" t="inlineStr">
        <is>
          <t>Priority Tier 3 (Broadband Expansion)</t>
        </is>
      </c>
    </row>
    <row r="1948">
      <c r="A1948" s="23" t="n">
        <v>5</v>
      </c>
      <c r="B1948" s="23" t="n">
        <v>944</v>
      </c>
      <c r="C1948" s="23" t="n">
        <v>4944</v>
      </c>
      <c r="D1948" s="23" t="inlineStr">
        <is>
          <t>0601915006</t>
        </is>
      </c>
      <c r="E1948" s="11" t="inlineStr">
        <is>
          <t>Region VI (Western Visayas)</t>
        </is>
      </c>
      <c r="F1948" s="11" t="inlineStr">
        <is>
          <t>Capiz</t>
        </is>
      </c>
      <c r="G1948" s="11" t="inlineStr">
        <is>
          <t>Sapi-An</t>
        </is>
      </c>
      <c r="H1948" s="11" t="inlineStr">
        <is>
          <t>Dapdapan</t>
        </is>
      </c>
      <c r="I1948" s="24" t="n">
        <v>11.495072</v>
      </c>
      <c r="J1948" s="24" t="n">
        <v>122.633331</v>
      </c>
      <c r="K1948" s="23" t="inlineStr">
        <is>
          <t>R</t>
        </is>
      </c>
      <c r="L1948" s="25" t="n">
        <v>2954</v>
      </c>
      <c r="M1948" s="26" t="n">
        <v>3.8</v>
      </c>
      <c r="N1948" s="25">
        <f>ROUND(L1948/M1948, 0)</f>
        <v/>
      </c>
      <c r="O1948" s="25">
        <f>ROUND(N1948*'Methodology &amp; Assumptions'!$B$7, 0)</f>
        <v/>
      </c>
      <c r="P1948" s="23" t="inlineStr">
        <is>
          <t>Single Carrier (Band n50, 100MHz TDD)</t>
        </is>
      </c>
      <c r="Q1948" s="27">
        <f>ROUNDUP(O1948/'Methodology &amp; Assumptions'!$B$8, 0)</f>
        <v/>
      </c>
      <c r="R1948" s="27" t="n">
        <v>1</v>
      </c>
      <c r="S1948" s="26" t="n">
        <v>3.03</v>
      </c>
      <c r="T1948" s="26" t="n">
        <v>0.21</v>
      </c>
      <c r="U1948" s="11">
        <f>IF(S1948&lt;='Methodology &amp; Assumptions'!$B$10, "Direct Optical Drop (&lt;3km)", IF(S1948&lt;='Methodology &amp; Assumptions'!$B$9, "Near Optical / Microwave (&lt;5km)", "Starlink Business LEO Satellite Backhaul (&gt;5km)"))</f>
        <v/>
      </c>
      <c r="V1948" s="26" t="n">
        <v>77.56999999999999</v>
      </c>
      <c r="W1948" s="26" t="n">
        <v>37.16</v>
      </c>
      <c r="X1948" s="26">
        <f>ROUND(('Methodology &amp; Assumptions'!$B$5*V1948) + ('Methodology &amp; Assumptions'!$B$6*W1948), 2)</f>
        <v/>
      </c>
      <c r="Y1948" s="28" t="n">
        <v>23.7</v>
      </c>
      <c r="Z1948" s="11" t="inlineStr">
        <is>
          <t>Priority Tier 3 (Broadband Expansion)</t>
        </is>
      </c>
    </row>
    <row r="1949">
      <c r="A1949" s="23" t="n">
        <v>5</v>
      </c>
      <c r="B1949" s="23" t="n">
        <v>945</v>
      </c>
      <c r="C1949" s="23" t="n">
        <v>4945</v>
      </c>
      <c r="D1949" s="23" t="inlineStr">
        <is>
          <t>0405603005</t>
        </is>
      </c>
      <c r="E1949" s="11" t="inlineStr">
        <is>
          <t>Region IV-A (CALABARZON)</t>
        </is>
      </c>
      <c r="F1949" s="11" t="inlineStr">
        <is>
          <t>Quezon</t>
        </is>
      </c>
      <c r="G1949" s="11" t="inlineStr">
        <is>
          <t>Atimonan</t>
        </is>
      </c>
      <c r="H1949" s="11" t="inlineStr">
        <is>
          <t>Barangay Zone 2</t>
        </is>
      </c>
      <c r="I1949" s="24" t="n">
        <v>13.999898</v>
      </c>
      <c r="J1949" s="24" t="n">
        <v>121.922957</v>
      </c>
      <c r="K1949" s="23" t="inlineStr">
        <is>
          <t>U</t>
        </is>
      </c>
      <c r="L1949" s="25" t="n">
        <v>2700</v>
      </c>
      <c r="M1949" s="26" t="n">
        <v>3.8</v>
      </c>
      <c r="N1949" s="25">
        <f>ROUND(L1949/M1949, 0)</f>
        <v/>
      </c>
      <c r="O1949" s="25">
        <f>ROUND(N1949*'Methodology &amp; Assumptions'!$B$7, 0)</f>
        <v/>
      </c>
      <c r="P1949" s="23" t="inlineStr">
        <is>
          <t>Single Carrier (Band n50, 100MHz TDD)</t>
        </is>
      </c>
      <c r="Q1949" s="27">
        <f>ROUNDUP(O1949/'Methodology &amp; Assumptions'!$B$8, 0)</f>
        <v/>
      </c>
      <c r="R1949" s="27" t="n">
        <v>1</v>
      </c>
      <c r="S1949" s="26" t="n">
        <v>0.27</v>
      </c>
      <c r="T1949" s="26" t="n">
        <v>0.04</v>
      </c>
      <c r="U1949" s="11">
        <f>IF(S1949&lt;='Methodology &amp; Assumptions'!$B$10, "Direct Optical Drop (&lt;3km)", IF(S1949&lt;='Methodology &amp; Assumptions'!$B$9, "Near Optical / Microwave (&lt;5km)", "Starlink Business LEO Satellite Backhaul (&gt;5km)"))</f>
        <v/>
      </c>
      <c r="V1949" s="26" t="n">
        <v>74.83</v>
      </c>
      <c r="W1949" s="26" t="n">
        <v>39.91</v>
      </c>
      <c r="X1949" s="26">
        <f>ROUND(('Methodology &amp; Assumptions'!$B$5*V1949) + ('Methodology &amp; Assumptions'!$B$6*W1949), 2)</f>
        <v/>
      </c>
      <c r="Y1949" s="28" t="n">
        <v>7.2</v>
      </c>
      <c r="Z1949" s="11" t="inlineStr">
        <is>
          <t>Priority Tier 3 (Broadband Expansion)</t>
        </is>
      </c>
    </row>
    <row r="1950">
      <c r="A1950" s="23" t="n">
        <v>5</v>
      </c>
      <c r="B1950" s="23" t="n">
        <v>946</v>
      </c>
      <c r="C1950" s="23" t="n">
        <v>4946</v>
      </c>
      <c r="D1950" s="23" t="inlineStr">
        <is>
          <t>0305412025</t>
        </is>
      </c>
      <c r="E1950" s="11" t="inlineStr">
        <is>
          <t>Region III (Central Luzon)</t>
        </is>
      </c>
      <c r="F1950" s="11" t="inlineStr">
        <is>
          <t>Pampanga</t>
        </is>
      </c>
      <c r="G1950" s="11" t="inlineStr">
        <is>
          <t>Masantol</t>
        </is>
      </c>
      <c r="H1950" s="11" t="inlineStr">
        <is>
          <t>Sta. Lucia Wakas</t>
        </is>
      </c>
      <c r="I1950" s="24" t="n">
        <v>14.885009</v>
      </c>
      <c r="J1950" s="24" t="n">
        <v>120.698349</v>
      </c>
      <c r="K1950" s="23" t="inlineStr">
        <is>
          <t>R</t>
        </is>
      </c>
      <c r="L1950" s="25" t="n">
        <v>2050</v>
      </c>
      <c r="M1950" s="26" t="n">
        <v>4</v>
      </c>
      <c r="N1950" s="25">
        <f>ROUND(L1950/M1950, 0)</f>
        <v/>
      </c>
      <c r="O1950" s="25">
        <f>ROUND(N1950*'Methodology &amp; Assumptions'!$B$7, 0)</f>
        <v/>
      </c>
      <c r="P1950" s="23" t="inlineStr">
        <is>
          <t>Single Carrier (Band n50, 100MHz TDD)</t>
        </is>
      </c>
      <c r="Q1950" s="27">
        <f>ROUNDUP(O1950/'Methodology &amp; Assumptions'!$B$8, 0)</f>
        <v/>
      </c>
      <c r="R1950" s="27" t="n">
        <v>1</v>
      </c>
      <c r="S1950" s="26" t="n">
        <v>1.15</v>
      </c>
      <c r="T1950" s="26" t="n">
        <v>2.45</v>
      </c>
      <c r="U1950" s="11">
        <f>IF(S1950&lt;='Methodology &amp; Assumptions'!$B$10, "Direct Optical Drop (&lt;3km)", IF(S1950&lt;='Methodology &amp; Assumptions'!$B$9, "Near Optical / Microwave (&lt;5km)", "Starlink Business LEO Satellite Backhaul (&gt;5km)"))</f>
        <v/>
      </c>
      <c r="V1950" s="26" t="n">
        <v>71.01000000000001</v>
      </c>
      <c r="W1950" s="26" t="n">
        <v>43.73</v>
      </c>
      <c r="X1950" s="26">
        <f>ROUND(('Methodology &amp; Assumptions'!$B$5*V1950) + ('Methodology &amp; Assumptions'!$B$6*W1950), 2)</f>
        <v/>
      </c>
      <c r="Y1950" s="28" t="n">
        <v>8.300000000000001</v>
      </c>
      <c r="Z1950" s="11" t="inlineStr">
        <is>
          <t>Priority Tier 3 (Broadband Expansion)</t>
        </is>
      </c>
    </row>
    <row r="1951">
      <c r="A1951" s="23" t="n">
        <v>5</v>
      </c>
      <c r="B1951" s="23" t="n">
        <v>947</v>
      </c>
      <c r="C1951" s="23" t="n">
        <v>4947</v>
      </c>
      <c r="D1951" s="23" t="inlineStr">
        <is>
          <t>0300804029</t>
        </is>
      </c>
      <c r="E1951" s="11" t="inlineStr">
        <is>
          <t>Region III (Central Luzon)</t>
        </is>
      </c>
      <c r="F1951" s="11" t="inlineStr">
        <is>
          <t>Bataan</t>
        </is>
      </c>
      <c r="G1951" s="11" t="inlineStr">
        <is>
          <t>Dinalupihan</t>
        </is>
      </c>
      <c r="H1951" s="11" t="inlineStr">
        <is>
          <t>Rizal</t>
        </is>
      </c>
      <c r="I1951" s="24" t="n">
        <v>14.866531</v>
      </c>
      <c r="J1951" s="24" t="n">
        <v>120.468507</v>
      </c>
      <c r="K1951" s="23" t="inlineStr">
        <is>
          <t>R</t>
        </is>
      </c>
      <c r="L1951" s="25" t="n">
        <v>220</v>
      </c>
      <c r="M1951" s="26" t="n">
        <v>3.6</v>
      </c>
      <c r="N1951" s="25">
        <f>ROUND(L1951/M1951, 0)</f>
        <v/>
      </c>
      <c r="O1951" s="25">
        <f>ROUND(N1951*'Methodology &amp; Assumptions'!$B$7, 0)</f>
        <v/>
      </c>
      <c r="P1951" s="23" t="inlineStr">
        <is>
          <t>Single Carrier (Band n50, 100MHz TDD)</t>
        </is>
      </c>
      <c r="Q1951" s="27">
        <f>ROUNDUP(O1951/'Methodology &amp; Assumptions'!$B$8, 0)</f>
        <v/>
      </c>
      <c r="R1951" s="27" t="n">
        <v>1</v>
      </c>
      <c r="S1951" s="26" t="n">
        <v>0.27</v>
      </c>
      <c r="T1951" s="26" t="n">
        <v>0.19</v>
      </c>
      <c r="U1951" s="11">
        <f>IF(S1951&lt;='Methodology &amp; Assumptions'!$B$10, "Direct Optical Drop (&lt;3km)", IF(S1951&lt;='Methodology &amp; Assumptions'!$B$9, "Near Optical / Microwave (&lt;5km)", "Starlink Business LEO Satellite Backhaul (&gt;5km)"))</f>
        <v/>
      </c>
      <c r="V1951" s="26" t="n">
        <v>60.98</v>
      </c>
      <c r="W1951" s="26" t="n">
        <v>53.75</v>
      </c>
      <c r="X1951" s="26">
        <f>ROUND(('Methodology &amp; Assumptions'!$B$5*V1951) + ('Methodology &amp; Assumptions'!$B$6*W1951), 2)</f>
        <v/>
      </c>
      <c r="Y1951" s="28" t="n">
        <v>8.300000000000001</v>
      </c>
      <c r="Z1951" s="11" t="inlineStr">
        <is>
          <t>Priority Tier 3 (Broadband Expansion)</t>
        </is>
      </c>
    </row>
    <row r="1952">
      <c r="A1952" s="23" t="n">
        <v>5</v>
      </c>
      <c r="B1952" s="23" t="n">
        <v>948</v>
      </c>
      <c r="C1952" s="23" t="n">
        <v>4948</v>
      </c>
      <c r="D1952" s="23" t="inlineStr">
        <is>
          <t>0103314009</t>
        </is>
      </c>
      <c r="E1952" s="11" t="inlineStr">
        <is>
          <t>Region I (Ilocos Region)</t>
        </is>
      </c>
      <c r="F1952" s="11" t="inlineStr">
        <is>
          <t>La Union</t>
        </is>
      </c>
      <c r="G1952" s="11" t="inlineStr">
        <is>
          <t>City of San Fernando</t>
        </is>
      </c>
      <c r="H1952" s="11" t="inlineStr">
        <is>
          <t>Barangay IV</t>
        </is>
      </c>
      <c r="I1952" s="24" t="n">
        <v>16.615223</v>
      </c>
      <c r="J1952" s="24" t="n">
        <v>120.314051</v>
      </c>
      <c r="K1952" s="23" t="inlineStr">
        <is>
          <t>U</t>
        </is>
      </c>
      <c r="L1952" s="25" t="n">
        <v>613</v>
      </c>
      <c r="M1952" s="26" t="n">
        <v>3.7</v>
      </c>
      <c r="N1952" s="25">
        <f>ROUND(L1952/M1952, 0)</f>
        <v/>
      </c>
      <c r="O1952" s="25">
        <f>ROUND(N1952*'Methodology &amp; Assumptions'!$B$7, 0)</f>
        <v/>
      </c>
      <c r="P1952" s="23" t="inlineStr">
        <is>
          <t>Single Carrier (Band n50, 100MHz TDD)</t>
        </is>
      </c>
      <c r="Q1952" s="27">
        <f>ROUNDUP(O1952/'Methodology &amp; Assumptions'!$B$8, 0)</f>
        <v/>
      </c>
      <c r="R1952" s="27" t="n">
        <v>1</v>
      </c>
      <c r="S1952" s="26" t="n">
        <v>1.36</v>
      </c>
      <c r="T1952" s="26" t="n">
        <v>0.27</v>
      </c>
      <c r="U1952" s="11">
        <f>IF(S1952&lt;='Methodology &amp; Assumptions'!$B$10, "Direct Optical Drop (&lt;3km)", IF(S1952&lt;='Methodology &amp; Assumptions'!$B$9, "Near Optical / Microwave (&lt;5km)", "Starlink Business LEO Satellite Backhaul (&gt;5km)"))</f>
        <v/>
      </c>
      <c r="V1952" s="26" t="n">
        <v>55.28</v>
      </c>
      <c r="W1952" s="26" t="n">
        <v>59.45</v>
      </c>
      <c r="X1952" s="26">
        <f>ROUND(('Methodology &amp; Assumptions'!$B$5*V1952) + ('Methodology &amp; Assumptions'!$B$6*W1952), 2)</f>
        <v/>
      </c>
      <c r="Y1952" s="28" t="n">
        <v>8.300000000000001</v>
      </c>
      <c r="Z1952" s="11" t="inlineStr">
        <is>
          <t>Priority Tier 3 (Broadband Expansion)</t>
        </is>
      </c>
    </row>
    <row r="1953">
      <c r="A1953" s="23" t="n">
        <v>5</v>
      </c>
      <c r="B1953" s="23" t="n">
        <v>949</v>
      </c>
      <c r="C1953" s="23" t="n">
        <v>4949</v>
      </c>
      <c r="D1953" s="23" t="inlineStr">
        <is>
          <t>1401103007</t>
        </is>
      </c>
      <c r="E1953" s="11" t="inlineStr">
        <is>
          <t>Cordillera Administrative Region (CAR)</t>
        </is>
      </c>
      <c r="F1953" s="11" t="inlineStr">
        <is>
          <t>Benguet</t>
        </is>
      </c>
      <c r="G1953" s="11" t="inlineStr">
        <is>
          <t>Bakun</t>
        </is>
      </c>
      <c r="H1953" s="11" t="inlineStr">
        <is>
          <t>Kayapa</t>
        </is>
      </c>
      <c r="I1953" s="24" t="n">
        <v>16.80847</v>
      </c>
      <c r="J1953" s="24" t="n">
        <v>120.58587</v>
      </c>
      <c r="K1953" s="23" t="inlineStr">
        <is>
          <t>R</t>
        </is>
      </c>
      <c r="L1953" s="25" t="n">
        <v>1508</v>
      </c>
      <c r="M1953" s="26" t="n">
        <v>3.5</v>
      </c>
      <c r="N1953" s="25">
        <f>ROUND(L1953/M1953, 0)</f>
        <v/>
      </c>
      <c r="O1953" s="25">
        <f>ROUND(N1953*'Methodology &amp; Assumptions'!$B$7, 0)</f>
        <v/>
      </c>
      <c r="P1953" s="23" t="inlineStr">
        <is>
          <t>Single Carrier (Band n50, 100MHz TDD)</t>
        </is>
      </c>
      <c r="Q1953" s="27">
        <f>ROUNDUP(O1953/'Methodology &amp; Assumptions'!$B$8, 0)</f>
        <v/>
      </c>
      <c r="R1953" s="27" t="n">
        <v>1</v>
      </c>
      <c r="S1953" s="26" t="n">
        <v>14</v>
      </c>
      <c r="T1953" s="26" t="n">
        <v>16.96</v>
      </c>
      <c r="U1953" s="11">
        <f>IF(S1953&lt;='Methodology &amp; Assumptions'!$B$10, "Direct Optical Drop (&lt;3km)", IF(S1953&lt;='Methodology &amp; Assumptions'!$B$9, "Near Optical / Microwave (&lt;5km)", "Starlink Business LEO Satellite Backhaul (&gt;5km)"))</f>
        <v/>
      </c>
      <c r="V1953" s="26" t="n">
        <v>47.44</v>
      </c>
      <c r="W1953" s="26" t="n">
        <v>67.29000000000001</v>
      </c>
      <c r="X1953" s="26">
        <f>ROUND(('Methodology &amp; Assumptions'!$B$5*V1953) + ('Methodology &amp; Assumptions'!$B$6*W1953), 2)</f>
        <v/>
      </c>
      <c r="Y1953" s="28" t="n">
        <v>10.9</v>
      </c>
      <c r="Z1953" s="11" t="inlineStr">
        <is>
          <t>Priority Tier 3 (Broadband Expansion)</t>
        </is>
      </c>
    </row>
    <row r="1954">
      <c r="A1954" s="23" t="n">
        <v>5</v>
      </c>
      <c r="B1954" s="23" t="n">
        <v>950</v>
      </c>
      <c r="C1954" s="23" t="n">
        <v>4950</v>
      </c>
      <c r="D1954" s="23" t="inlineStr">
        <is>
          <t>1380601237</t>
        </is>
      </c>
      <c r="E1954" s="11" t="inlineStr">
        <is>
          <t>National Capital Region (NCR)</t>
        </is>
      </c>
      <c r="F1954" s="11" t="inlineStr">
        <is>
          <t>First District (Not a Province)</t>
        </is>
      </c>
      <c r="G1954" s="11" t="inlineStr">
        <is>
          <t>City of Manila</t>
        </is>
      </c>
      <c r="H1954" s="11" t="inlineStr">
        <is>
          <t>Barangay 236</t>
        </is>
      </c>
      <c r="I1954" s="24" t="n">
        <v>14.615598</v>
      </c>
      <c r="J1954" s="24" t="n">
        <v>120.975755</v>
      </c>
      <c r="K1954" s="23" t="inlineStr">
        <is>
          <t>U</t>
        </is>
      </c>
      <c r="L1954" s="25" t="n">
        <v>603</v>
      </c>
      <c r="M1954" s="26" t="n">
        <v>3.63</v>
      </c>
      <c r="N1954" s="25">
        <f>ROUND(L1954/M1954, 0)</f>
        <v/>
      </c>
      <c r="O1954" s="25">
        <f>ROUND(N1954*'Methodology &amp; Assumptions'!$B$7, 0)</f>
        <v/>
      </c>
      <c r="P1954" s="23" t="inlineStr">
        <is>
          <t>Single Carrier (Band n50, 100MHz TDD)</t>
        </is>
      </c>
      <c r="Q1954" s="27">
        <f>ROUNDUP(O1954/'Methodology &amp; Assumptions'!$B$8, 0)</f>
        <v/>
      </c>
      <c r="R1954" s="27" t="n">
        <v>1</v>
      </c>
      <c r="S1954" s="26" t="n">
        <v>0.77</v>
      </c>
      <c r="T1954" s="26" t="n">
        <v>0.21</v>
      </c>
      <c r="U1954" s="11">
        <f>IF(S1954&lt;='Methodology &amp; Assumptions'!$B$10, "Direct Optical Drop (&lt;3km)", IF(S1954&lt;='Methodology &amp; Assumptions'!$B$9, "Near Optical / Microwave (&lt;5km)", "Starlink Business LEO Satellite Backhaul (&gt;5km)"))</f>
        <v/>
      </c>
      <c r="V1954" s="26" t="n">
        <v>46.45</v>
      </c>
      <c r="W1954" s="26" t="n">
        <v>68.3</v>
      </c>
      <c r="X1954" s="26">
        <f>ROUND(('Methodology &amp; Assumptions'!$B$5*V1954) + ('Methodology &amp; Assumptions'!$B$6*W1954), 2)</f>
        <v/>
      </c>
      <c r="Y1954" s="28" t="n">
        <v>10.9</v>
      </c>
      <c r="Z1954" s="11" t="inlineStr">
        <is>
          <t>Priority Tier 3 (Broadband Expansion)</t>
        </is>
      </c>
    </row>
    <row r="1955">
      <c r="A1955" s="23" t="n">
        <v>5</v>
      </c>
      <c r="B1955" s="23" t="n">
        <v>951</v>
      </c>
      <c r="C1955" s="23" t="n">
        <v>4951</v>
      </c>
      <c r="D1955" s="23" t="inlineStr">
        <is>
          <t>1380606033</t>
        </is>
      </c>
      <c r="E1955" s="11" t="inlineStr">
        <is>
          <t>National Capital Region (NCR)</t>
        </is>
      </c>
      <c r="F1955" s="11" t="inlineStr">
        <is>
          <t>First District (Not a Province)</t>
        </is>
      </c>
      <c r="G1955" s="11" t="inlineStr">
        <is>
          <t>City of Manila</t>
        </is>
      </c>
      <c r="H1955" s="11" t="inlineStr">
        <is>
          <t>Barangay 427</t>
        </is>
      </c>
      <c r="I1955" s="24" t="n">
        <v>14.602763</v>
      </c>
      <c r="J1955" s="24" t="n">
        <v>121.004549</v>
      </c>
      <c r="K1955" s="23" t="inlineStr">
        <is>
          <t>U</t>
        </is>
      </c>
      <c r="L1955" s="25" t="n">
        <v>395</v>
      </c>
      <c r="M1955" s="26" t="n">
        <v>3.46</v>
      </c>
      <c r="N1955" s="25">
        <f>ROUND(L1955/M1955, 0)</f>
        <v/>
      </c>
      <c r="O1955" s="25">
        <f>ROUND(N1955*'Methodology &amp; Assumptions'!$B$7, 0)</f>
        <v/>
      </c>
      <c r="P1955" s="23" t="inlineStr">
        <is>
          <t>Single Carrier (Band n50, 100MHz TDD)</t>
        </is>
      </c>
      <c r="Q1955" s="27">
        <f>ROUNDUP(O1955/'Methodology &amp; Assumptions'!$B$8, 0)</f>
        <v/>
      </c>
      <c r="R1955" s="27" t="n">
        <v>1</v>
      </c>
      <c r="S1955" s="26" t="n">
        <v>0.08</v>
      </c>
      <c r="T1955" s="26" t="n">
        <v>0.09</v>
      </c>
      <c r="U1955" s="11">
        <f>IF(S1955&lt;='Methodology &amp; Assumptions'!$B$10, "Direct Optical Drop (&lt;3km)", IF(S1955&lt;='Methodology &amp; Assumptions'!$B$9, "Near Optical / Microwave (&lt;5km)", "Starlink Business LEO Satellite Backhaul (&gt;5km)"))</f>
        <v/>
      </c>
      <c r="V1955" s="26" t="n">
        <v>44.73</v>
      </c>
      <c r="W1955" s="26" t="n">
        <v>70.01000000000001</v>
      </c>
      <c r="X1955" s="26">
        <f>ROUND(('Methodology &amp; Assumptions'!$B$5*V1955) + ('Methodology &amp; Assumptions'!$B$6*W1955), 2)</f>
        <v/>
      </c>
      <c r="Y1955" s="28" t="n">
        <v>10.9</v>
      </c>
      <c r="Z1955" s="11" t="inlineStr">
        <is>
          <t>Priority Tier 3 (Broadband Expansion)</t>
        </is>
      </c>
    </row>
    <row r="1956">
      <c r="A1956" s="23" t="n">
        <v>5</v>
      </c>
      <c r="B1956" s="23" t="n">
        <v>952</v>
      </c>
      <c r="C1956" s="23" t="n">
        <v>4952</v>
      </c>
      <c r="D1956" s="23" t="inlineStr">
        <is>
          <t>1380601009</t>
        </is>
      </c>
      <c r="E1956" s="11" t="inlineStr">
        <is>
          <t>National Capital Region (NCR)</t>
        </is>
      </c>
      <c r="F1956" s="11" t="inlineStr">
        <is>
          <t>First District (Not a Province)</t>
        </is>
      </c>
      <c r="G1956" s="11" t="inlineStr">
        <is>
          <t>City of Manila</t>
        </is>
      </c>
      <c r="H1956" s="11" t="inlineStr">
        <is>
          <t>Barangay 9</t>
        </is>
      </c>
      <c r="I1956" s="24" t="n">
        <v>14.607797</v>
      </c>
      <c r="J1956" s="24" t="n">
        <v>120.969393</v>
      </c>
      <c r="K1956" s="23" t="inlineStr">
        <is>
          <t>U</t>
        </is>
      </c>
      <c r="L1956" s="25" t="n">
        <v>453</v>
      </c>
      <c r="M1956" s="26" t="n">
        <v>4.53</v>
      </c>
      <c r="N1956" s="25">
        <f>ROUND(L1956/M1956, 0)</f>
        <v/>
      </c>
      <c r="O1956" s="25">
        <f>ROUND(N1956*'Methodology &amp; Assumptions'!$B$7, 0)</f>
        <v/>
      </c>
      <c r="P1956" s="23" t="inlineStr">
        <is>
          <t>Single Carrier (Band n50, 100MHz TDD)</t>
        </is>
      </c>
      <c r="Q1956" s="27">
        <f>ROUNDUP(O1956/'Methodology &amp; Assumptions'!$B$8, 0)</f>
        <v/>
      </c>
      <c r="R1956" s="27" t="n">
        <v>1</v>
      </c>
      <c r="S1956" s="26" t="n">
        <v>0.12</v>
      </c>
      <c r="T1956" s="26" t="n">
        <v>0.11</v>
      </c>
      <c r="U1956" s="11">
        <f>IF(S1956&lt;='Methodology &amp; Assumptions'!$B$10, "Direct Optical Drop (&lt;3km)", IF(S1956&lt;='Methodology &amp; Assumptions'!$B$9, "Near Optical / Microwave (&lt;5km)", "Starlink Business LEO Satellite Backhaul (&gt;5km)"))</f>
        <v/>
      </c>
      <c r="V1956" s="26" t="n">
        <v>44.31</v>
      </c>
      <c r="W1956" s="26" t="n">
        <v>70.44</v>
      </c>
      <c r="X1956" s="26">
        <f>ROUND(('Methodology &amp; Assumptions'!$B$5*V1956) + ('Methodology &amp; Assumptions'!$B$6*W1956), 2)</f>
        <v/>
      </c>
      <c r="Y1956" s="28" t="n">
        <v>10.9</v>
      </c>
      <c r="Z1956" s="11" t="inlineStr">
        <is>
          <t>Priority Tier 3 (Broadband Expansion)</t>
        </is>
      </c>
    </row>
    <row r="1957">
      <c r="A1957" s="23" t="n">
        <v>5</v>
      </c>
      <c r="B1957" s="23" t="n">
        <v>953</v>
      </c>
      <c r="C1957" s="23" t="n">
        <v>4953</v>
      </c>
      <c r="D1957" s="23" t="inlineStr">
        <is>
          <t>0806022011</t>
        </is>
      </c>
      <c r="E1957" s="11" t="inlineStr">
        <is>
          <t>Region VIII (Eastern Visayas)</t>
        </is>
      </c>
      <c r="F1957" s="11" t="inlineStr">
        <is>
          <t>Samar</t>
        </is>
      </c>
      <c r="G1957" s="11" t="inlineStr">
        <is>
          <t>Paranas</t>
        </is>
      </c>
      <c r="H1957" s="11" t="inlineStr">
        <is>
          <t>Casandig I</t>
        </is>
      </c>
      <c r="I1957" s="24" t="n">
        <v>11.836542</v>
      </c>
      <c r="J1957" s="24" t="n">
        <v>125.132379</v>
      </c>
      <c r="K1957" s="23" t="inlineStr">
        <is>
          <t>R</t>
        </is>
      </c>
      <c r="L1957" s="25" t="n">
        <v>684</v>
      </c>
      <c r="M1957" s="26" t="n">
        <v>4.1</v>
      </c>
      <c r="N1957" s="25">
        <f>ROUND(L1957/M1957, 0)</f>
        <v/>
      </c>
      <c r="O1957" s="25">
        <f>ROUND(N1957*'Methodology &amp; Assumptions'!$B$7, 0)</f>
        <v/>
      </c>
      <c r="P1957" s="23" t="inlineStr">
        <is>
          <t>Single Carrier (Band n50, 100MHz TDD)</t>
        </is>
      </c>
      <c r="Q1957" s="27">
        <f>ROUNDUP(O1957/'Methodology &amp; Assumptions'!$B$8, 0)</f>
        <v/>
      </c>
      <c r="R1957" s="27" t="n">
        <v>1</v>
      </c>
      <c r="S1957" s="26" t="n">
        <v>67.87</v>
      </c>
      <c r="T1957" s="26" t="n">
        <v>70.68000000000001</v>
      </c>
      <c r="U1957" s="11">
        <f>IF(S1957&lt;='Methodology &amp; Assumptions'!$B$10, "Direct Optical Drop (&lt;3km)", IF(S1957&lt;='Methodology &amp; Assumptions'!$B$9, "Near Optical / Microwave (&lt;5km)", "Starlink Business LEO Satellite Backhaul (&gt;5km)"))</f>
        <v/>
      </c>
      <c r="V1957" s="26" t="n">
        <v>41.28</v>
      </c>
      <c r="W1957" s="26" t="n">
        <v>73.47</v>
      </c>
      <c r="X1957" s="26">
        <f>ROUND(('Methodology &amp; Assumptions'!$B$5*V1957) + ('Methodology &amp; Assumptions'!$B$6*W1957), 2)</f>
        <v/>
      </c>
      <c r="Y1957" s="28" t="n">
        <v>23.7</v>
      </c>
      <c r="Z1957" s="11" t="inlineStr">
        <is>
          <t>Priority Tier 3 (Broadband Expansion)</t>
        </is>
      </c>
    </row>
    <row r="1958">
      <c r="A1958" s="23" t="n">
        <v>5</v>
      </c>
      <c r="B1958" s="23" t="n">
        <v>954</v>
      </c>
      <c r="C1958" s="23" t="n">
        <v>4954</v>
      </c>
      <c r="D1958" s="23" t="inlineStr">
        <is>
          <t>0600410009</t>
        </is>
      </c>
      <c r="E1958" s="11" t="inlineStr">
        <is>
          <t>Region VI (Western Visayas)</t>
        </is>
      </c>
      <c r="F1958" s="11" t="inlineStr">
        <is>
          <t>Aklan</t>
        </is>
      </c>
      <c r="G1958" s="11" t="inlineStr">
        <is>
          <t>Madalag</t>
        </is>
      </c>
      <c r="H1958" s="11" t="inlineStr">
        <is>
          <t>Galicia</t>
        </is>
      </c>
      <c r="I1958" s="24" t="n">
        <v>11.516667</v>
      </c>
      <c r="J1958" s="24" t="n">
        <v>122.166667</v>
      </c>
      <c r="K1958" s="23" t="inlineStr">
        <is>
          <t>R</t>
        </is>
      </c>
      <c r="L1958" s="25" t="n">
        <v>386</v>
      </c>
      <c r="M1958" s="26" t="n">
        <v>3.9</v>
      </c>
      <c r="N1958" s="25">
        <f>ROUND(L1958/M1958, 0)</f>
        <v/>
      </c>
      <c r="O1958" s="25">
        <f>ROUND(N1958*'Methodology &amp; Assumptions'!$B$7, 0)</f>
        <v/>
      </c>
      <c r="P1958" s="23" t="inlineStr">
        <is>
          <t>Single Carrier (Band n50, 100MHz TDD)</t>
        </is>
      </c>
      <c r="Q1958" s="27">
        <f>ROUNDUP(O1958/'Methodology &amp; Assumptions'!$B$8, 0)</f>
        <v/>
      </c>
      <c r="R1958" s="27" t="n">
        <v>1</v>
      </c>
      <c r="S1958" s="26" t="n">
        <v>18.45</v>
      </c>
      <c r="T1958" s="26" t="n">
        <v>22.02</v>
      </c>
      <c r="U1958" s="11">
        <f>IF(S1958&lt;='Methodology &amp; Assumptions'!$B$10, "Direct Optical Drop (&lt;3km)", IF(S1958&lt;='Methodology &amp; Assumptions'!$B$9, "Near Optical / Microwave (&lt;5km)", "Starlink Business LEO Satellite Backhaul (&gt;5km)"))</f>
        <v/>
      </c>
      <c r="V1958" s="26" t="n">
        <v>39.25</v>
      </c>
      <c r="W1958" s="26" t="n">
        <v>75.48999999999999</v>
      </c>
      <c r="X1958" s="26">
        <f>ROUND(('Methodology &amp; Assumptions'!$B$5*V1958) + ('Methodology &amp; Assumptions'!$B$6*W1958), 2)</f>
        <v/>
      </c>
      <c r="Y1958" s="28" t="n">
        <v>23.7</v>
      </c>
      <c r="Z1958" s="11" t="inlineStr">
        <is>
          <t>Priority Tier 3 (Broadband Expansion)</t>
        </is>
      </c>
    </row>
    <row r="1959">
      <c r="A1959" s="23" t="n">
        <v>5</v>
      </c>
      <c r="B1959" s="23" t="n">
        <v>955</v>
      </c>
      <c r="C1959" s="23" t="n">
        <v>4955</v>
      </c>
      <c r="D1959" s="23" t="inlineStr">
        <is>
          <t>0701219010</t>
        </is>
      </c>
      <c r="E1959" s="11" t="inlineStr">
        <is>
          <t>Region VII (Central Visayas)</t>
        </is>
      </c>
      <c r="F1959" s="11" t="inlineStr">
        <is>
          <t>Bohol</t>
        </is>
      </c>
      <c r="G1959" s="11" t="inlineStr">
        <is>
          <t>Dauis</t>
        </is>
      </c>
      <c r="H1959" s="11" t="inlineStr">
        <is>
          <t>Tinago</t>
        </is>
      </c>
      <c r="I1959" s="24" t="n">
        <v>9.609145</v>
      </c>
      <c r="J1959" s="24" t="n">
        <v>123.826672</v>
      </c>
      <c r="K1959" s="23" t="inlineStr">
        <is>
          <t>R</t>
        </is>
      </c>
      <c r="L1959" s="25" t="n">
        <v>3369</v>
      </c>
      <c r="M1959" s="26" t="n">
        <v>4</v>
      </c>
      <c r="N1959" s="25">
        <f>ROUND(L1959/M1959, 0)</f>
        <v/>
      </c>
      <c r="O1959" s="25">
        <f>ROUND(N1959*'Methodology &amp; Assumptions'!$B$7, 0)</f>
        <v/>
      </c>
      <c r="P1959" s="23" t="inlineStr">
        <is>
          <t>Single Carrier (Band n50, 100MHz TDD)</t>
        </is>
      </c>
      <c r="Q1959" s="27">
        <f>ROUNDUP(O1959/'Methodology &amp; Assumptions'!$B$8, 0)</f>
        <v/>
      </c>
      <c r="R1959" s="27" t="n">
        <v>1</v>
      </c>
      <c r="S1959" s="26" t="n">
        <v>1.59</v>
      </c>
      <c r="T1959" s="26" t="n">
        <v>4.81</v>
      </c>
      <c r="U1959" s="11">
        <f>IF(S1959&lt;='Methodology &amp; Assumptions'!$B$10, "Direct Optical Drop (&lt;3km)", IF(S1959&lt;='Methodology &amp; Assumptions'!$B$9, "Near Optical / Microwave (&lt;5km)", "Starlink Business LEO Satellite Backhaul (&gt;5km)"))</f>
        <v/>
      </c>
      <c r="V1959" s="26" t="n">
        <v>80.81999999999999</v>
      </c>
      <c r="W1959" s="26" t="n">
        <v>33.9</v>
      </c>
      <c r="X1959" s="26">
        <f>ROUND(('Methodology &amp; Assumptions'!$B$5*V1959) + ('Methodology &amp; Assumptions'!$B$6*W1959), 2)</f>
        <v/>
      </c>
      <c r="Y1959" s="28" t="n">
        <v>23.7</v>
      </c>
      <c r="Z1959" s="11" t="inlineStr">
        <is>
          <t>Priority Tier 3 (Broadband Expansion)</t>
        </is>
      </c>
    </row>
    <row r="1960">
      <c r="A1960" s="23" t="n">
        <v>5</v>
      </c>
      <c r="B1960" s="23" t="n">
        <v>956</v>
      </c>
      <c r="C1960" s="23" t="n">
        <v>4956</v>
      </c>
      <c r="D1960" s="23" t="inlineStr">
        <is>
          <t>0305407018</t>
        </is>
      </c>
      <c r="E1960" s="11" t="inlineStr">
        <is>
          <t>Region III (Central Luzon)</t>
        </is>
      </c>
      <c r="F1960" s="11" t="inlineStr">
        <is>
          <t>Pampanga</t>
        </is>
      </c>
      <c r="G1960" s="11" t="inlineStr">
        <is>
          <t>Guagua</t>
        </is>
      </c>
      <c r="H1960" s="11" t="inlineStr">
        <is>
          <t>San Matias</t>
        </is>
      </c>
      <c r="I1960" s="24" t="n">
        <v>14.97816</v>
      </c>
      <c r="J1960" s="24" t="n">
        <v>120.6216</v>
      </c>
      <c r="K1960" s="23" t="inlineStr">
        <is>
          <t>U</t>
        </is>
      </c>
      <c r="L1960" s="25" t="n">
        <v>4499</v>
      </c>
      <c r="M1960" s="26" t="n">
        <v>4</v>
      </c>
      <c r="N1960" s="25">
        <f>ROUND(L1960/M1960, 0)</f>
        <v/>
      </c>
      <c r="O1960" s="25">
        <f>ROUND(N1960*'Methodology &amp; Assumptions'!$B$7, 0)</f>
        <v/>
      </c>
      <c r="P1960" s="23" t="inlineStr">
        <is>
          <t>Single Carrier (Band n50, 100MHz TDD)</t>
        </is>
      </c>
      <c r="Q1960" s="27">
        <f>ROUNDUP(O1960/'Methodology &amp; Assumptions'!$B$8, 0)</f>
        <v/>
      </c>
      <c r="R1960" s="27" t="n">
        <v>1</v>
      </c>
      <c r="S1960" s="26" t="n">
        <v>1.02</v>
      </c>
      <c r="T1960" s="26" t="n">
        <v>0.44</v>
      </c>
      <c r="U1960" s="11">
        <f>IF(S1960&lt;='Methodology &amp; Assumptions'!$B$10, "Direct Optical Drop (&lt;3km)", IF(S1960&lt;='Methodology &amp; Assumptions'!$B$9, "Near Optical / Microwave (&lt;5km)", "Starlink Business LEO Satellite Backhaul (&gt;5km)"))</f>
        <v/>
      </c>
      <c r="V1960" s="26" t="n">
        <v>77.73999999999999</v>
      </c>
      <c r="W1960" s="26" t="n">
        <v>36.98</v>
      </c>
      <c r="X1960" s="26">
        <f>ROUND(('Methodology &amp; Assumptions'!$B$5*V1960) + ('Methodology &amp; Assumptions'!$B$6*W1960), 2)</f>
        <v/>
      </c>
      <c r="Y1960" s="28" t="n">
        <v>8.300000000000001</v>
      </c>
      <c r="Z1960" s="11" t="inlineStr">
        <is>
          <t>Priority Tier 3 (Broadband Expansion)</t>
        </is>
      </c>
    </row>
    <row r="1961">
      <c r="A1961" s="23" t="n">
        <v>5</v>
      </c>
      <c r="B1961" s="23" t="n">
        <v>957</v>
      </c>
      <c r="C1961" s="23" t="n">
        <v>4957</v>
      </c>
      <c r="D1961" s="23" t="inlineStr">
        <is>
          <t>0305410015</t>
        </is>
      </c>
      <c r="E1961" s="11" t="inlineStr">
        <is>
          <t>Region III (Central Luzon)</t>
        </is>
      </c>
      <c r="F1961" s="11" t="inlineStr">
        <is>
          <t>Pampanga</t>
        </is>
      </c>
      <c r="G1961" s="11" t="inlineStr">
        <is>
          <t>Macabebe</t>
        </is>
      </c>
      <c r="H1961" s="11" t="inlineStr">
        <is>
          <t>San Roque</t>
        </is>
      </c>
      <c r="I1961" s="24" t="n">
        <v>14.909192</v>
      </c>
      <c r="J1961" s="24" t="n">
        <v>120.714785</v>
      </c>
      <c r="K1961" s="23" t="inlineStr">
        <is>
          <t>R</t>
        </is>
      </c>
      <c r="L1961" s="25" t="n">
        <v>4379</v>
      </c>
      <c r="M1961" s="26" t="n">
        <v>4</v>
      </c>
      <c r="N1961" s="25">
        <f>ROUND(L1961/M1961, 0)</f>
        <v/>
      </c>
      <c r="O1961" s="25">
        <f>ROUND(N1961*'Methodology &amp; Assumptions'!$B$7, 0)</f>
        <v/>
      </c>
      <c r="P1961" s="23" t="inlineStr">
        <is>
          <t>Single Carrier (Band n50, 100MHz TDD)</t>
        </is>
      </c>
      <c r="Q1961" s="27">
        <f>ROUNDUP(O1961/'Methodology &amp; Assumptions'!$B$8, 0)</f>
        <v/>
      </c>
      <c r="R1961" s="27" t="n">
        <v>1</v>
      </c>
      <c r="S1961" s="26" t="n">
        <v>2.16</v>
      </c>
      <c r="T1961" s="26" t="n">
        <v>2.13</v>
      </c>
      <c r="U1961" s="11">
        <f>IF(S1961&lt;='Methodology &amp; Assumptions'!$B$10, "Direct Optical Drop (&lt;3km)", IF(S1961&lt;='Methodology &amp; Assumptions'!$B$9, "Near Optical / Microwave (&lt;5km)", "Starlink Business LEO Satellite Backhaul (&gt;5km)"))</f>
        <v/>
      </c>
      <c r="V1961" s="26" t="n">
        <v>77.36</v>
      </c>
      <c r="W1961" s="26" t="n">
        <v>37.36</v>
      </c>
      <c r="X1961" s="26">
        <f>ROUND(('Methodology &amp; Assumptions'!$B$5*V1961) + ('Methodology &amp; Assumptions'!$B$6*W1961), 2)</f>
        <v/>
      </c>
      <c r="Y1961" s="28" t="n">
        <v>8.300000000000001</v>
      </c>
      <c r="Z1961" s="11" t="inlineStr">
        <is>
          <t>Priority Tier 3 (Broadband Expansion)</t>
        </is>
      </c>
    </row>
    <row r="1962">
      <c r="A1962" s="23" t="n">
        <v>5</v>
      </c>
      <c r="B1962" s="23" t="n">
        <v>958</v>
      </c>
      <c r="C1962" s="23" t="n">
        <v>4958</v>
      </c>
      <c r="D1962" s="23" t="inlineStr">
        <is>
          <t>0305403013</t>
        </is>
      </c>
      <c r="E1962" s="11" t="inlineStr">
        <is>
          <t>Region III (Central Luzon)</t>
        </is>
      </c>
      <c r="F1962" s="11" t="inlineStr">
        <is>
          <t>Pampanga</t>
        </is>
      </c>
      <c r="G1962" s="11" t="inlineStr">
        <is>
          <t>Arayat</t>
        </is>
      </c>
      <c r="H1962" s="11" t="inlineStr">
        <is>
          <t>Mangga-Cacutud</t>
        </is>
      </c>
      <c r="I1962" s="24" t="n">
        <v>15.148032</v>
      </c>
      <c r="J1962" s="24" t="n">
        <v>120.7622</v>
      </c>
      <c r="K1962" s="23" t="inlineStr">
        <is>
          <t>U</t>
        </is>
      </c>
      <c r="L1962" s="25" t="n">
        <v>11667</v>
      </c>
      <c r="M1962" s="26" t="n">
        <v>4</v>
      </c>
      <c r="N1962" s="25">
        <f>ROUND(L1962/M1962, 0)</f>
        <v/>
      </c>
      <c r="O1962" s="25">
        <f>ROUND(N1962*'Methodology &amp; Assumptions'!$B$7, 0)</f>
        <v/>
      </c>
      <c r="P1962" s="23" t="inlineStr">
        <is>
          <t>Single Carrier (Band n50, 100MHz TDD)</t>
        </is>
      </c>
      <c r="Q1962" s="27">
        <f>ROUNDUP(O1962/'Methodology &amp; Assumptions'!$B$8, 0)</f>
        <v/>
      </c>
      <c r="R1962" s="27" t="n">
        <v>1</v>
      </c>
      <c r="S1962" s="26" t="n">
        <v>1.2</v>
      </c>
      <c r="T1962" s="26" t="n">
        <v>0.08</v>
      </c>
      <c r="U1962" s="11">
        <f>IF(S1962&lt;='Methodology &amp; Assumptions'!$B$10, "Direct Optical Drop (&lt;3km)", IF(S1962&lt;='Methodology &amp; Assumptions'!$B$9, "Near Optical / Microwave (&lt;5km)", "Starlink Business LEO Satellite Backhaul (&gt;5km)"))</f>
        <v/>
      </c>
      <c r="V1962" s="26" t="n">
        <v>77.06999999999999</v>
      </c>
      <c r="W1962" s="26" t="n">
        <v>37.66</v>
      </c>
      <c r="X1962" s="26">
        <f>ROUND(('Methodology &amp; Assumptions'!$B$5*V1962) + ('Methodology &amp; Assumptions'!$B$6*W1962), 2)</f>
        <v/>
      </c>
      <c r="Y1962" s="28" t="n">
        <v>8.300000000000001</v>
      </c>
      <c r="Z1962" s="11" t="inlineStr">
        <is>
          <t>Priority Tier 3 (Broadband Expansion)</t>
        </is>
      </c>
    </row>
    <row r="1963">
      <c r="A1963" s="23" t="n">
        <v>5</v>
      </c>
      <c r="B1963" s="23" t="n">
        <v>959</v>
      </c>
      <c r="C1963" s="23" t="n">
        <v>4959</v>
      </c>
      <c r="D1963" s="23" t="inlineStr">
        <is>
          <t>1401105012</t>
        </is>
      </c>
      <c r="E1963" s="11" t="inlineStr">
        <is>
          <t>Cordillera Administrative Region (CAR)</t>
        </is>
      </c>
      <c r="F1963" s="11" t="inlineStr">
        <is>
          <t>Benguet</t>
        </is>
      </c>
      <c r="G1963" s="11" t="inlineStr">
        <is>
          <t>Buguias</t>
        </is>
      </c>
      <c r="H1963" s="11" t="inlineStr">
        <is>
          <t>Natubleng</t>
        </is>
      </c>
      <c r="I1963" s="24" t="n">
        <v>16.69768</v>
      </c>
      <c r="J1963" s="24" t="n">
        <v>120.77711</v>
      </c>
      <c r="K1963" s="23" t="inlineStr">
        <is>
          <t>R</t>
        </is>
      </c>
      <c r="L1963" s="25" t="n">
        <v>2821</v>
      </c>
      <c r="M1963" s="26" t="n">
        <v>3.5</v>
      </c>
      <c r="N1963" s="25">
        <f>ROUND(L1963/M1963, 0)</f>
        <v/>
      </c>
      <c r="O1963" s="25">
        <f>ROUND(N1963*'Methodology &amp; Assumptions'!$B$7, 0)</f>
        <v/>
      </c>
      <c r="P1963" s="23" t="inlineStr">
        <is>
          <t>Single Carrier (Band n50, 100MHz TDD)</t>
        </is>
      </c>
      <c r="Q1963" s="27">
        <f>ROUNDUP(O1963/'Methodology &amp; Assumptions'!$B$8, 0)</f>
        <v/>
      </c>
      <c r="R1963" s="27" t="n">
        <v>1</v>
      </c>
      <c r="S1963" s="26" t="n">
        <v>2.84</v>
      </c>
      <c r="T1963" s="26" t="n">
        <v>0.25</v>
      </c>
      <c r="U1963" s="11">
        <f>IF(S1963&lt;='Methodology &amp; Assumptions'!$B$10, "Direct Optical Drop (&lt;3km)", IF(S1963&lt;='Methodology &amp; Assumptions'!$B$9, "Near Optical / Microwave (&lt;5km)", "Starlink Business LEO Satellite Backhaul (&gt;5km)"))</f>
        <v/>
      </c>
      <c r="V1963" s="26" t="n">
        <v>77.01000000000001</v>
      </c>
      <c r="W1963" s="26" t="n">
        <v>37.71</v>
      </c>
      <c r="X1963" s="26">
        <f>ROUND(('Methodology &amp; Assumptions'!$B$5*V1963) + ('Methodology &amp; Assumptions'!$B$6*W1963), 2)</f>
        <v/>
      </c>
      <c r="Y1963" s="28" t="n">
        <v>10.9</v>
      </c>
      <c r="Z1963" s="11" t="inlineStr">
        <is>
          <t>Priority Tier 3 (Broadband Expansion)</t>
        </is>
      </c>
    </row>
    <row r="1964">
      <c r="A1964" s="23" t="n">
        <v>5</v>
      </c>
      <c r="B1964" s="23" t="n">
        <v>960</v>
      </c>
      <c r="C1964" s="23" t="n">
        <v>4960</v>
      </c>
      <c r="D1964" s="23" t="inlineStr">
        <is>
          <t>0403405029</t>
        </is>
      </c>
      <c r="E1964" s="11" t="inlineStr">
        <is>
          <t>Region IV-A (CALABARZON)</t>
        </is>
      </c>
      <c r="F1964" s="11" t="inlineStr">
        <is>
          <t>Laguna</t>
        </is>
      </c>
      <c r="G1964" s="11" t="inlineStr">
        <is>
          <t>City of Calamba</t>
        </is>
      </c>
      <c r="H1964" s="11" t="inlineStr">
        <is>
          <t>Masili</t>
        </is>
      </c>
      <c r="I1964" s="24" t="n">
        <v>14.185206</v>
      </c>
      <c r="J1964" s="24" t="n">
        <v>121.203011</v>
      </c>
      <c r="K1964" s="23" t="inlineStr">
        <is>
          <t>R</t>
        </is>
      </c>
      <c r="L1964" s="25" t="n">
        <v>4195</v>
      </c>
      <c r="M1964" s="26" t="n">
        <v>3.3</v>
      </c>
      <c r="N1964" s="25">
        <f>ROUND(L1964/M1964, 0)</f>
        <v/>
      </c>
      <c r="O1964" s="25">
        <f>ROUND(N1964*'Methodology &amp; Assumptions'!$B$7, 0)</f>
        <v/>
      </c>
      <c r="P1964" s="23" t="inlineStr">
        <is>
          <t>Single Carrier (Band n50, 100MHz TDD)</t>
        </is>
      </c>
      <c r="Q1964" s="27">
        <f>ROUNDUP(O1964/'Methodology &amp; Assumptions'!$B$8, 0)</f>
        <v/>
      </c>
      <c r="R1964" s="27" t="n">
        <v>1</v>
      </c>
      <c r="S1964" s="26" t="n">
        <v>4.29</v>
      </c>
      <c r="T1964" s="26" t="n">
        <v>1.37</v>
      </c>
      <c r="U1964" s="11">
        <f>IF(S1964&lt;='Methodology &amp; Assumptions'!$B$10, "Direct Optical Drop (&lt;3km)", IF(S1964&lt;='Methodology &amp; Assumptions'!$B$9, "Near Optical / Microwave (&lt;5km)", "Starlink Business LEO Satellite Backhaul (&gt;5km)"))</f>
        <v/>
      </c>
      <c r="V1964" s="26" t="n">
        <v>75.25</v>
      </c>
      <c r="W1964" s="26" t="n">
        <v>39.47</v>
      </c>
      <c r="X1964" s="26">
        <f>ROUND(('Methodology &amp; Assumptions'!$B$5*V1964) + ('Methodology &amp; Assumptions'!$B$6*W1964), 2)</f>
        <v/>
      </c>
      <c r="Y1964" s="28" t="n">
        <v>7.2</v>
      </c>
      <c r="Z1964" s="11" t="inlineStr">
        <is>
          <t>Priority Tier 3 (Broadband Expansion)</t>
        </is>
      </c>
    </row>
    <row r="1965">
      <c r="A1965" s="23" t="n">
        <v>5</v>
      </c>
      <c r="B1965" s="23" t="n">
        <v>961</v>
      </c>
      <c r="C1965" s="23" t="n">
        <v>4961</v>
      </c>
      <c r="D1965" s="23" t="inlineStr">
        <is>
          <t>0301419033</t>
        </is>
      </c>
      <c r="E1965" s="11" t="inlineStr">
        <is>
          <t>Region III (Central Luzon)</t>
        </is>
      </c>
      <c r="F1965" s="11" t="inlineStr">
        <is>
          <t>Bulacan</t>
        </is>
      </c>
      <c r="G1965" s="11" t="inlineStr">
        <is>
          <t>San Ildefonso</t>
        </is>
      </c>
      <c r="H1965" s="11" t="inlineStr">
        <is>
          <t>Sapang Putol</t>
        </is>
      </c>
      <c r="I1965" s="24" t="n">
        <v>15.074394</v>
      </c>
      <c r="J1965" s="24" t="n">
        <v>120.944098</v>
      </c>
      <c r="K1965" s="23" t="inlineStr">
        <is>
          <t>U</t>
        </is>
      </c>
      <c r="L1965" s="25" t="n">
        <v>2491</v>
      </c>
      <c r="M1965" s="26" t="n">
        <v>3.5</v>
      </c>
      <c r="N1965" s="25">
        <f>ROUND(L1965/M1965, 0)</f>
        <v/>
      </c>
      <c r="O1965" s="25">
        <f>ROUND(N1965*'Methodology &amp; Assumptions'!$B$7, 0)</f>
        <v/>
      </c>
      <c r="P1965" s="23" t="inlineStr">
        <is>
          <t>Single Carrier (Band n50, 100MHz TDD)</t>
        </is>
      </c>
      <c r="Q1965" s="27">
        <f>ROUNDUP(O1965/'Methodology &amp; Assumptions'!$B$8, 0)</f>
        <v/>
      </c>
      <c r="R1965" s="27" t="n">
        <v>1</v>
      </c>
      <c r="S1965" s="26" t="n">
        <v>0.13</v>
      </c>
      <c r="T1965" s="26" t="n">
        <v>0.16</v>
      </c>
      <c r="U1965" s="11">
        <f>IF(S1965&lt;='Methodology &amp; Assumptions'!$B$10, "Direct Optical Drop (&lt;3km)", IF(S1965&lt;='Methodology &amp; Assumptions'!$B$9, "Near Optical / Microwave (&lt;5km)", "Starlink Business LEO Satellite Backhaul (&gt;5km)"))</f>
        <v/>
      </c>
      <c r="V1965" s="26" t="n">
        <v>75</v>
      </c>
      <c r="W1965" s="26" t="n">
        <v>39.71</v>
      </c>
      <c r="X1965" s="26">
        <f>ROUND(('Methodology &amp; Assumptions'!$B$5*V1965) + ('Methodology &amp; Assumptions'!$B$6*W1965), 2)</f>
        <v/>
      </c>
      <c r="Y1965" s="28" t="n">
        <v>8.300000000000001</v>
      </c>
      <c r="Z1965" s="11" t="inlineStr">
        <is>
          <t>Priority Tier 3 (Broadband Expansion)</t>
        </is>
      </c>
    </row>
    <row r="1966">
      <c r="A1966" s="23" t="n">
        <v>5</v>
      </c>
      <c r="B1966" s="23" t="n">
        <v>962</v>
      </c>
      <c r="C1966" s="23" t="n">
        <v>4962</v>
      </c>
      <c r="D1966" s="23" t="inlineStr">
        <is>
          <t>0405603001</t>
        </is>
      </c>
      <c r="E1966" s="11" t="inlineStr">
        <is>
          <t>Region IV-A (CALABARZON)</t>
        </is>
      </c>
      <c r="F1966" s="11" t="inlineStr">
        <is>
          <t>Quezon</t>
        </is>
      </c>
      <c r="G1966" s="11" t="inlineStr">
        <is>
          <t>Atimonan</t>
        </is>
      </c>
      <c r="H1966" s="11" t="inlineStr">
        <is>
          <t>Angeles</t>
        </is>
      </c>
      <c r="I1966" s="24" t="n">
        <v>13.99339</v>
      </c>
      <c r="J1966" s="24" t="n">
        <v>121.938045</v>
      </c>
      <c r="K1966" s="23" t="inlineStr">
        <is>
          <t>R</t>
        </is>
      </c>
      <c r="L1966" s="25" t="n">
        <v>2158</v>
      </c>
      <c r="M1966" s="26" t="n">
        <v>3.8</v>
      </c>
      <c r="N1966" s="25">
        <f>ROUND(L1966/M1966, 0)</f>
        <v/>
      </c>
      <c r="O1966" s="25">
        <f>ROUND(N1966*'Methodology &amp; Assumptions'!$B$7, 0)</f>
        <v/>
      </c>
      <c r="P1966" s="23" t="inlineStr">
        <is>
          <t>Single Carrier (Band n50, 100MHz TDD)</t>
        </is>
      </c>
      <c r="Q1966" s="27">
        <f>ROUNDUP(O1966/'Methodology &amp; Assumptions'!$B$8, 0)</f>
        <v/>
      </c>
      <c r="R1966" s="27" t="n">
        <v>1</v>
      </c>
      <c r="S1966" s="26" t="n">
        <v>1.6</v>
      </c>
      <c r="T1966" s="26" t="n">
        <v>0.15</v>
      </c>
      <c r="U1966" s="11">
        <f>IF(S1966&lt;='Methodology &amp; Assumptions'!$B$10, "Direct Optical Drop (&lt;3km)", IF(S1966&lt;='Methodology &amp; Assumptions'!$B$9, "Near Optical / Microwave (&lt;5km)", "Starlink Business LEO Satellite Backhaul (&gt;5km)"))</f>
        <v/>
      </c>
      <c r="V1966" s="26" t="n">
        <v>74.51000000000001</v>
      </c>
      <c r="W1966" s="26" t="n">
        <v>40.22</v>
      </c>
      <c r="X1966" s="26">
        <f>ROUND(('Methodology &amp; Assumptions'!$B$5*V1966) + ('Methodology &amp; Assumptions'!$B$6*W1966), 2)</f>
        <v/>
      </c>
      <c r="Y1966" s="28" t="n">
        <v>7.2</v>
      </c>
      <c r="Z1966" s="11" t="inlineStr">
        <is>
          <t>Priority Tier 3 (Broadband Expansion)</t>
        </is>
      </c>
    </row>
    <row r="1967">
      <c r="A1967" s="23" t="n">
        <v>5</v>
      </c>
      <c r="B1967" s="23" t="n">
        <v>963</v>
      </c>
      <c r="C1967" s="23" t="n">
        <v>4963</v>
      </c>
      <c r="D1967" s="23" t="inlineStr">
        <is>
          <t>0604517013</t>
        </is>
      </c>
      <c r="E1967" s="11" t="inlineStr">
        <is>
          <t>Region VI (Western Visayas)</t>
        </is>
      </c>
      <c r="F1967" s="11" t="inlineStr">
        <is>
          <t>Negros Occidental</t>
        </is>
      </c>
      <c r="G1967" s="11" t="inlineStr">
        <is>
          <t>La Castellana</t>
        </is>
      </c>
      <c r="H1967" s="11" t="inlineStr">
        <is>
          <t>Sag-Ang</t>
        </is>
      </c>
      <c r="I1967" s="24" t="n">
        <v>10.370088</v>
      </c>
      <c r="J1967" s="24" t="n">
        <v>123.082436</v>
      </c>
      <c r="K1967" s="23" t="inlineStr">
        <is>
          <t>U</t>
        </is>
      </c>
      <c r="L1967" s="25" t="n">
        <v>14107</v>
      </c>
      <c r="M1967" s="26" t="n">
        <v>3.7</v>
      </c>
      <c r="N1967" s="25">
        <f>ROUND(L1967/M1967, 0)</f>
        <v/>
      </c>
      <c r="O1967" s="25">
        <f>ROUND(N1967*'Methodology &amp; Assumptions'!$B$7, 0)</f>
        <v/>
      </c>
      <c r="P1967" s="23" t="inlineStr">
        <is>
          <t>Single Carrier (Band n50, 100MHz TDD)</t>
        </is>
      </c>
      <c r="Q1967" s="27">
        <f>ROUNDUP(O1967/'Methodology &amp; Assumptions'!$B$8, 0)</f>
        <v/>
      </c>
      <c r="R1967" s="27" t="n">
        <v>1</v>
      </c>
      <c r="S1967" s="26" t="n">
        <v>8.76</v>
      </c>
      <c r="T1967" s="26" t="n">
        <v>6.16</v>
      </c>
      <c r="U1967" s="11">
        <f>IF(S1967&lt;='Methodology &amp; Assumptions'!$B$10, "Direct Optical Drop (&lt;3km)", IF(S1967&lt;='Methodology &amp; Assumptions'!$B$9, "Near Optical / Microwave (&lt;5km)", "Starlink Business LEO Satellite Backhaul (&gt;5km)"))</f>
        <v/>
      </c>
      <c r="V1967" s="26" t="n">
        <v>61.27</v>
      </c>
      <c r="W1967" s="26" t="n">
        <v>53.45</v>
      </c>
      <c r="X1967" s="26">
        <f>ROUND(('Methodology &amp; Assumptions'!$B$5*V1967) + ('Methodology &amp; Assumptions'!$B$6*W1967), 2)</f>
        <v/>
      </c>
      <c r="Y1967" s="28" t="n">
        <v>23.7</v>
      </c>
      <c r="Z1967" s="11" t="inlineStr">
        <is>
          <t>Priority Tier 3 (Broadband Expansion)</t>
        </is>
      </c>
    </row>
    <row r="1968">
      <c r="A1968" s="23" t="n">
        <v>5</v>
      </c>
      <c r="B1968" s="23" t="n">
        <v>964</v>
      </c>
      <c r="C1968" s="23" t="n">
        <v>4964</v>
      </c>
      <c r="D1968" s="23" t="inlineStr">
        <is>
          <t>1204712004</t>
        </is>
      </c>
      <c r="E1968" s="11" t="inlineStr">
        <is>
          <t>Region XII (SOCCSKSARGEN)</t>
        </is>
      </c>
      <c r="F1968" s="11" t="inlineStr">
        <is>
          <t>Cotabato</t>
        </is>
      </c>
      <c r="G1968" s="11" t="inlineStr">
        <is>
          <t>Pikit</t>
        </is>
      </c>
      <c r="H1968" s="11" t="inlineStr">
        <is>
          <t>Balatican</t>
        </is>
      </c>
      <c r="I1968" s="24" t="n">
        <v>7.097147</v>
      </c>
      <c r="J1968" s="24" t="n">
        <v>124.69118</v>
      </c>
      <c r="K1968" s="23" t="inlineStr">
        <is>
          <t>R</t>
        </is>
      </c>
      <c r="L1968" s="25" t="n">
        <v>2019</v>
      </c>
      <c r="M1968" s="26" t="n">
        <v>3.8</v>
      </c>
      <c r="N1968" s="25">
        <f>ROUND(L1968/M1968, 0)</f>
        <v/>
      </c>
      <c r="O1968" s="25">
        <f>ROUND(N1968*'Methodology &amp; Assumptions'!$B$7, 0)</f>
        <v/>
      </c>
      <c r="P1968" s="23" t="inlineStr">
        <is>
          <t>Single Carrier (Band n50, 100MHz TDD)</t>
        </is>
      </c>
      <c r="Q1968" s="27">
        <f>ROUNDUP(O1968/'Methodology &amp; Assumptions'!$B$8, 0)</f>
        <v/>
      </c>
      <c r="R1968" s="27" t="n">
        <v>1</v>
      </c>
      <c r="S1968" s="26" t="n">
        <v>16.54</v>
      </c>
      <c r="T1968" s="26" t="n">
        <v>12.83</v>
      </c>
      <c r="U1968" s="11">
        <f>IF(S1968&lt;='Methodology &amp; Assumptions'!$B$10, "Direct Optical Drop (&lt;3km)", IF(S1968&lt;='Methodology &amp; Assumptions'!$B$9, "Near Optical / Microwave (&lt;5km)", "Starlink Business LEO Satellite Backhaul (&gt;5km)"))</f>
        <v/>
      </c>
      <c r="V1968" s="26" t="n">
        <v>51.78</v>
      </c>
      <c r="W1968" s="26" t="n">
        <v>62.93</v>
      </c>
      <c r="X1968" s="26">
        <f>ROUND(('Methodology &amp; Assumptions'!$B$5*V1968) + ('Methodology &amp; Assumptions'!$B$6*W1968), 2)</f>
        <v/>
      </c>
      <c r="Y1968" s="28" t="n">
        <v>17.4</v>
      </c>
      <c r="Z1968" s="11" t="inlineStr">
        <is>
          <t>Priority Tier 3 (Broadband Expansion)</t>
        </is>
      </c>
    </row>
    <row r="1969">
      <c r="A1969" s="23" t="n">
        <v>5</v>
      </c>
      <c r="B1969" s="23" t="n">
        <v>965</v>
      </c>
      <c r="C1969" s="23" t="n">
        <v>4965</v>
      </c>
      <c r="D1969" s="23" t="inlineStr">
        <is>
          <t>1408101002</t>
        </is>
      </c>
      <c r="E1969" s="11" t="inlineStr">
        <is>
          <t>Cordillera Administrative Region (CAR)</t>
        </is>
      </c>
      <c r="F1969" s="11" t="inlineStr">
        <is>
          <t>Apayao</t>
        </is>
      </c>
      <c r="G1969" s="11" t="inlineStr">
        <is>
          <t>Calanasan</t>
        </is>
      </c>
      <c r="H1969" s="11" t="inlineStr">
        <is>
          <t>Cadaclan</t>
        </is>
      </c>
      <c r="I1969" s="24" t="n">
        <v>18.337641</v>
      </c>
      <c r="J1969" s="24" t="n">
        <v>121.113689</v>
      </c>
      <c r="K1969" s="23" t="inlineStr">
        <is>
          <t>R</t>
        </is>
      </c>
      <c r="L1969" s="25" t="n">
        <v>957</v>
      </c>
      <c r="M1969" s="26" t="n">
        <v>4.2</v>
      </c>
      <c r="N1969" s="25">
        <f>ROUND(L1969/M1969, 0)</f>
        <v/>
      </c>
      <c r="O1969" s="25">
        <f>ROUND(N1969*'Methodology &amp; Assumptions'!$B$7, 0)</f>
        <v/>
      </c>
      <c r="P1969" s="23" t="inlineStr">
        <is>
          <t>Single Carrier (Band n50, 100MHz TDD)</t>
        </is>
      </c>
      <c r="Q1969" s="27">
        <f>ROUNDUP(O1969/'Methodology &amp; Assumptions'!$B$8, 0)</f>
        <v/>
      </c>
      <c r="R1969" s="27" t="n">
        <v>1</v>
      </c>
      <c r="S1969" s="26" t="n">
        <v>27.74</v>
      </c>
      <c r="T1969" s="26" t="n">
        <v>25.34</v>
      </c>
      <c r="U1969" s="11">
        <f>IF(S1969&lt;='Methodology &amp; Assumptions'!$B$10, "Direct Optical Drop (&lt;3km)", IF(S1969&lt;='Methodology &amp; Assumptions'!$B$9, "Near Optical / Microwave (&lt;5km)", "Starlink Business LEO Satellite Backhaul (&gt;5km)"))</f>
        <v/>
      </c>
      <c r="V1969" s="26" t="n">
        <v>40.08</v>
      </c>
      <c r="W1969" s="26" t="n">
        <v>74.64</v>
      </c>
      <c r="X1969" s="26">
        <f>ROUND(('Methodology &amp; Assumptions'!$B$5*V1969) + ('Methodology &amp; Assumptions'!$B$6*W1969), 2)</f>
        <v/>
      </c>
      <c r="Y1969" s="28" t="n">
        <v>10.9</v>
      </c>
      <c r="Z1969" s="11" t="inlineStr">
        <is>
          <t>Priority Tier 3 (Broadband Expansion)</t>
        </is>
      </c>
    </row>
    <row r="1970">
      <c r="A1970" s="23" t="n">
        <v>5</v>
      </c>
      <c r="B1970" s="23" t="n">
        <v>966</v>
      </c>
      <c r="C1970" s="23" t="n">
        <v>4966</v>
      </c>
      <c r="D1970" s="23" t="inlineStr">
        <is>
          <t>0401034011</t>
        </is>
      </c>
      <c r="E1970" s="11" t="inlineStr">
        <is>
          <t>Region IV-A (CALABARZON)</t>
        </is>
      </c>
      <c r="F1970" s="11" t="inlineStr">
        <is>
          <t>Batangas</t>
        </is>
      </c>
      <c r="G1970" s="11" t="inlineStr">
        <is>
          <t>Tuy</t>
        </is>
      </c>
      <c r="H1970" s="11" t="inlineStr">
        <is>
          <t>Mataywanac</t>
        </is>
      </c>
      <c r="I1970" s="24" t="n">
        <v>14.03378</v>
      </c>
      <c r="J1970" s="24" t="n">
        <v>120.732121</v>
      </c>
      <c r="K1970" s="23" t="inlineStr">
        <is>
          <t>R</t>
        </is>
      </c>
      <c r="L1970" s="25" t="n">
        <v>2541</v>
      </c>
      <c r="M1970" s="26" t="n">
        <v>3.6</v>
      </c>
      <c r="N1970" s="25">
        <f>ROUND(L1970/M1970, 0)</f>
        <v/>
      </c>
      <c r="O1970" s="25">
        <f>ROUND(N1970*'Methodology &amp; Assumptions'!$B$7, 0)</f>
        <v/>
      </c>
      <c r="P1970" s="23" t="inlineStr">
        <is>
          <t>Single Carrier (Band n50, 100MHz TDD)</t>
        </is>
      </c>
      <c r="Q1970" s="27">
        <f>ROUNDUP(O1970/'Methodology &amp; Assumptions'!$B$8, 0)</f>
        <v/>
      </c>
      <c r="R1970" s="27" t="n">
        <v>1</v>
      </c>
      <c r="S1970" s="26" t="n">
        <v>1.42</v>
      </c>
      <c r="T1970" s="26" t="n">
        <v>1.32</v>
      </c>
      <c r="U1970" s="11">
        <f>IF(S1970&lt;='Methodology &amp; Assumptions'!$B$10, "Direct Optical Drop (&lt;3km)", IF(S1970&lt;='Methodology &amp; Assumptions'!$B$9, "Near Optical / Microwave (&lt;5km)", "Starlink Business LEO Satellite Backhaul (&gt;5km)"))</f>
        <v/>
      </c>
      <c r="V1970" s="26" t="n">
        <v>79.73</v>
      </c>
      <c r="W1970" s="26" t="n">
        <v>34.97</v>
      </c>
      <c r="X1970" s="26">
        <f>ROUND(('Methodology &amp; Assumptions'!$B$5*V1970) + ('Methodology &amp; Assumptions'!$B$6*W1970), 2)</f>
        <v/>
      </c>
      <c r="Y1970" s="28" t="n">
        <v>7.2</v>
      </c>
      <c r="Z1970" s="11" t="inlineStr">
        <is>
          <t>Priority Tier 3 (Broadband Expansion)</t>
        </is>
      </c>
    </row>
    <row r="1971">
      <c r="A1971" s="23" t="n">
        <v>5</v>
      </c>
      <c r="B1971" s="23" t="n">
        <v>967</v>
      </c>
      <c r="C1971" s="23" t="n">
        <v>4967</v>
      </c>
      <c r="D1971" s="23" t="inlineStr">
        <is>
          <t>1102403007</t>
        </is>
      </c>
      <c r="E1971" s="11" t="inlineStr">
        <is>
          <t>Region XI (Davao Region)</t>
        </is>
      </c>
      <c r="F1971" s="11" t="inlineStr">
        <is>
          <t>Davao del Sur</t>
        </is>
      </c>
      <c r="G1971" s="11" t="inlineStr">
        <is>
          <t>City of Digos</t>
        </is>
      </c>
      <c r="H1971" s="11" t="inlineStr">
        <is>
          <t>Dawis</t>
        </is>
      </c>
      <c r="I1971" s="24" t="n">
        <v>6.730513</v>
      </c>
      <c r="J1971" s="24" t="n">
        <v>125.3699</v>
      </c>
      <c r="K1971" s="23" t="inlineStr">
        <is>
          <t>U</t>
        </is>
      </c>
      <c r="L1971" s="25" t="n">
        <v>6025</v>
      </c>
      <c r="M1971" s="26" t="n">
        <v>3.4</v>
      </c>
      <c r="N1971" s="25">
        <f>ROUND(L1971/M1971, 0)</f>
        <v/>
      </c>
      <c r="O1971" s="25">
        <f>ROUND(N1971*'Methodology &amp; Assumptions'!$B$7, 0)</f>
        <v/>
      </c>
      <c r="P1971" s="23" t="inlineStr">
        <is>
          <t>Single Carrier (Band n50, 100MHz TDD)</t>
        </is>
      </c>
      <c r="Q1971" s="27">
        <f>ROUNDUP(O1971/'Methodology &amp; Assumptions'!$B$8, 0)</f>
        <v/>
      </c>
      <c r="R1971" s="27" t="n">
        <v>1</v>
      </c>
      <c r="S1971" s="26" t="n">
        <v>1.04</v>
      </c>
      <c r="T1971" s="26" t="n">
        <v>0.77</v>
      </c>
      <c r="U1971" s="11">
        <f>IF(S1971&lt;='Methodology &amp; Assumptions'!$B$10, "Direct Optical Drop (&lt;3km)", IF(S1971&lt;='Methodology &amp; Assumptions'!$B$9, "Near Optical / Microwave (&lt;5km)", "Starlink Business LEO Satellite Backhaul (&gt;5km)"))</f>
        <v/>
      </c>
      <c r="V1971" s="26" t="n">
        <v>79.09999999999999</v>
      </c>
      <c r="W1971" s="26" t="n">
        <v>35.61</v>
      </c>
      <c r="X1971" s="26">
        <f>ROUND(('Methodology &amp; Assumptions'!$B$5*V1971) + ('Methodology &amp; Assumptions'!$B$6*W1971), 2)</f>
        <v/>
      </c>
      <c r="Y1971" s="28" t="n">
        <v>17.4</v>
      </c>
      <c r="Z1971" s="11" t="inlineStr">
        <is>
          <t>Priority Tier 3 (Broadband Expansion)</t>
        </is>
      </c>
    </row>
    <row r="1972">
      <c r="A1972" s="23" t="n">
        <v>5</v>
      </c>
      <c r="B1972" s="23" t="n">
        <v>968</v>
      </c>
      <c r="C1972" s="23" t="n">
        <v>4968</v>
      </c>
      <c r="D1972" s="23" t="inlineStr">
        <is>
          <t>0403422012</t>
        </is>
      </c>
      <c r="E1972" s="11" t="inlineStr">
        <is>
          <t>Region IV-A (CALABARZON)</t>
        </is>
      </c>
      <c r="F1972" s="11" t="inlineStr">
        <is>
          <t>Laguna</t>
        </is>
      </c>
      <c r="G1972" s="11" t="inlineStr">
        <is>
          <t>Pila</t>
        </is>
      </c>
      <c r="H1972" s="11" t="inlineStr">
        <is>
          <t>Pinagbayanan</t>
        </is>
      </c>
      <c r="I1972" s="24" t="n">
        <v>14.249833</v>
      </c>
      <c r="J1972" s="24" t="n">
        <v>121.359838</v>
      </c>
      <c r="K1972" s="23" t="inlineStr">
        <is>
          <t>U</t>
        </is>
      </c>
      <c r="L1972" s="25" t="n">
        <v>6680</v>
      </c>
      <c r="M1972" s="26" t="n">
        <v>3.3</v>
      </c>
      <c r="N1972" s="25">
        <f>ROUND(L1972/M1972, 0)</f>
        <v/>
      </c>
      <c r="O1972" s="25">
        <f>ROUND(N1972*'Methodology &amp; Assumptions'!$B$7, 0)</f>
        <v/>
      </c>
      <c r="P1972" s="23" t="inlineStr">
        <is>
          <t>Single Carrier (Band n50, 100MHz TDD)</t>
        </is>
      </c>
      <c r="Q1972" s="27">
        <f>ROUNDUP(O1972/'Methodology &amp; Assumptions'!$B$8, 0)</f>
        <v/>
      </c>
      <c r="R1972" s="27" t="n">
        <v>1</v>
      </c>
      <c r="S1972" s="26" t="n">
        <v>1.56</v>
      </c>
      <c r="T1972" s="26" t="n">
        <v>1.17</v>
      </c>
      <c r="U1972" s="11">
        <f>IF(S1972&lt;='Methodology &amp; Assumptions'!$B$10, "Direct Optical Drop (&lt;3km)", IF(S1972&lt;='Methodology &amp; Assumptions'!$B$9, "Near Optical / Microwave (&lt;5km)", "Starlink Business LEO Satellite Backhaul (&gt;5km)"))</f>
        <v/>
      </c>
      <c r="V1972" s="26" t="n">
        <v>75.56</v>
      </c>
      <c r="W1972" s="26" t="n">
        <v>39.13</v>
      </c>
      <c r="X1972" s="26">
        <f>ROUND(('Methodology &amp; Assumptions'!$B$5*V1972) + ('Methodology &amp; Assumptions'!$B$6*W1972), 2)</f>
        <v/>
      </c>
      <c r="Y1972" s="28" t="n">
        <v>7.2</v>
      </c>
      <c r="Z1972" s="11" t="inlineStr">
        <is>
          <t>Priority Tier 3 (Broadband Expansion)</t>
        </is>
      </c>
    </row>
    <row r="1973">
      <c r="A1973" s="23" t="n">
        <v>5</v>
      </c>
      <c r="B1973" s="23" t="n">
        <v>969</v>
      </c>
      <c r="C1973" s="23" t="n">
        <v>4969</v>
      </c>
      <c r="D1973" s="23" t="inlineStr">
        <is>
          <t>0305419006</t>
        </is>
      </c>
      <c r="E1973" s="11" t="inlineStr">
        <is>
          <t>Region III (Central Luzon)</t>
        </is>
      </c>
      <c r="F1973" s="11" t="inlineStr">
        <is>
          <t>Pampanga</t>
        </is>
      </c>
      <c r="G1973" s="11" t="inlineStr">
        <is>
          <t>Santa Ana</t>
        </is>
      </c>
      <c r="H1973" s="11" t="inlineStr">
        <is>
          <t>San Juan</t>
        </is>
      </c>
      <c r="I1973" s="24" t="n">
        <v>15.086734</v>
      </c>
      <c r="J1973" s="24" t="n">
        <v>120.769112</v>
      </c>
      <c r="K1973" s="23" t="inlineStr">
        <is>
          <t>R</t>
        </is>
      </c>
      <c r="L1973" s="25" t="n">
        <v>2995</v>
      </c>
      <c r="M1973" s="26" t="n">
        <v>4</v>
      </c>
      <c r="N1973" s="25">
        <f>ROUND(L1973/M1973, 0)</f>
        <v/>
      </c>
      <c r="O1973" s="25">
        <f>ROUND(N1973*'Methodology &amp; Assumptions'!$B$7, 0)</f>
        <v/>
      </c>
      <c r="P1973" s="23" t="inlineStr">
        <is>
          <t>Single Carrier (Band n50, 100MHz TDD)</t>
        </is>
      </c>
      <c r="Q1973" s="27">
        <f>ROUNDUP(O1973/'Methodology &amp; Assumptions'!$B$8, 0)</f>
        <v/>
      </c>
      <c r="R1973" s="27" t="n">
        <v>1</v>
      </c>
      <c r="S1973" s="26" t="n">
        <v>4.35</v>
      </c>
      <c r="T1973" s="26" t="n">
        <v>0.39</v>
      </c>
      <c r="U1973" s="11">
        <f>IF(S1973&lt;='Methodology &amp; Assumptions'!$B$10, "Direct Optical Drop (&lt;3km)", IF(S1973&lt;='Methodology &amp; Assumptions'!$B$9, "Near Optical / Microwave (&lt;5km)", "Starlink Business LEO Satellite Backhaul (&gt;5km)"))</f>
        <v/>
      </c>
      <c r="V1973" s="26" t="n">
        <v>73.09</v>
      </c>
      <c r="W1973" s="26" t="n">
        <v>41.6</v>
      </c>
      <c r="X1973" s="26">
        <f>ROUND(('Methodology &amp; Assumptions'!$B$5*V1973) + ('Methodology &amp; Assumptions'!$B$6*W1973), 2)</f>
        <v/>
      </c>
      <c r="Y1973" s="28" t="n">
        <v>8.300000000000001</v>
      </c>
      <c r="Z1973" s="11" t="inlineStr">
        <is>
          <t>Priority Tier 3 (Broadband Expansion)</t>
        </is>
      </c>
    </row>
    <row r="1974">
      <c r="A1974" s="23" t="n">
        <v>5</v>
      </c>
      <c r="B1974" s="23" t="n">
        <v>970</v>
      </c>
      <c r="C1974" s="23" t="n">
        <v>4970</v>
      </c>
      <c r="D1974" s="23" t="inlineStr">
        <is>
          <t>0103301002</t>
        </is>
      </c>
      <c r="E1974" s="11" t="inlineStr">
        <is>
          <t>Region I (Ilocos Region)</t>
        </is>
      </c>
      <c r="F1974" s="11" t="inlineStr">
        <is>
          <t>La Union</t>
        </is>
      </c>
      <c r="G1974" s="11" t="inlineStr">
        <is>
          <t>Agoo</t>
        </is>
      </c>
      <c r="H1974" s="11" t="inlineStr">
        <is>
          <t>Balawarte</t>
        </is>
      </c>
      <c r="I1974" s="24" t="n">
        <v>16.334809</v>
      </c>
      <c r="J1974" s="24" t="n">
        <v>120.34319</v>
      </c>
      <c r="K1974" s="23" t="inlineStr">
        <is>
          <t>R</t>
        </is>
      </c>
      <c r="L1974" s="25" t="n">
        <v>1922</v>
      </c>
      <c r="M1974" s="26" t="n">
        <v>3.7</v>
      </c>
      <c r="N1974" s="25">
        <f>ROUND(L1974/M1974, 0)</f>
        <v/>
      </c>
      <c r="O1974" s="25">
        <f>ROUND(N1974*'Methodology &amp; Assumptions'!$B$7, 0)</f>
        <v/>
      </c>
      <c r="P1974" s="23" t="inlineStr">
        <is>
          <t>Single Carrier (Band n50, 100MHz TDD)</t>
        </is>
      </c>
      <c r="Q1974" s="27">
        <f>ROUNDUP(O1974/'Methodology &amp; Assumptions'!$B$8, 0)</f>
        <v/>
      </c>
      <c r="R1974" s="27" t="n">
        <v>1</v>
      </c>
      <c r="S1974" s="26" t="n">
        <v>2.98</v>
      </c>
      <c r="T1974" s="26" t="n">
        <v>2.09</v>
      </c>
      <c r="U1974" s="11">
        <f>IF(S1974&lt;='Methodology &amp; Assumptions'!$B$10, "Direct Optical Drop (&lt;3km)", IF(S1974&lt;='Methodology &amp; Assumptions'!$B$9, "Near Optical / Microwave (&lt;5km)", "Starlink Business LEO Satellite Backhaul (&gt;5km)"))</f>
        <v/>
      </c>
      <c r="V1974" s="26" t="n">
        <v>65.05</v>
      </c>
      <c r="W1974" s="26" t="n">
        <v>49.64</v>
      </c>
      <c r="X1974" s="26">
        <f>ROUND(('Methodology &amp; Assumptions'!$B$5*V1974) + ('Methodology &amp; Assumptions'!$B$6*W1974), 2)</f>
        <v/>
      </c>
      <c r="Y1974" s="28" t="n">
        <v>8.300000000000001</v>
      </c>
      <c r="Z1974" s="11" t="inlineStr">
        <is>
          <t>Priority Tier 3 (Broadband Expansion)</t>
        </is>
      </c>
    </row>
    <row r="1975">
      <c r="A1975" s="23" t="n">
        <v>5</v>
      </c>
      <c r="B1975" s="23" t="n">
        <v>971</v>
      </c>
      <c r="C1975" s="23" t="n">
        <v>4971</v>
      </c>
      <c r="D1975" s="23" t="inlineStr">
        <is>
          <t>0506207026</t>
        </is>
      </c>
      <c r="E1975" s="11" t="inlineStr">
        <is>
          <t>Region V (Bicol Region)</t>
        </is>
      </c>
      <c r="F1975" s="11" t="inlineStr">
        <is>
          <t>Sorsogon</t>
        </is>
      </c>
      <c r="G1975" s="11" t="inlineStr">
        <is>
          <t>Donsol</t>
        </is>
      </c>
      <c r="H1975" s="11" t="inlineStr">
        <is>
          <t>Old Maguisa</t>
        </is>
      </c>
      <c r="I1975" s="24" t="n">
        <v>12.988168</v>
      </c>
      <c r="J1975" s="24" t="n">
        <v>123.575448</v>
      </c>
      <c r="K1975" s="23" t="inlineStr">
        <is>
          <t>R</t>
        </is>
      </c>
      <c r="L1975" s="25" t="n">
        <v>235</v>
      </c>
      <c r="M1975" s="26" t="n">
        <v>4</v>
      </c>
      <c r="N1975" s="25">
        <f>ROUND(L1975/M1975, 0)</f>
        <v/>
      </c>
      <c r="O1975" s="25">
        <f>ROUND(N1975*'Methodology &amp; Assumptions'!$B$7, 0)</f>
        <v/>
      </c>
      <c r="P1975" s="23" t="inlineStr">
        <is>
          <t>Single Carrier (Band n50, 100MHz TDD)</t>
        </is>
      </c>
      <c r="Q1975" s="27">
        <f>ROUNDUP(O1975/'Methodology &amp; Assumptions'!$B$8, 0)</f>
        <v/>
      </c>
      <c r="R1975" s="27" t="n">
        <v>1</v>
      </c>
      <c r="S1975" s="26" t="n">
        <v>9.449999999999999</v>
      </c>
      <c r="T1975" s="26" t="n">
        <v>15.46</v>
      </c>
      <c r="U1975" s="11">
        <f>IF(S1975&lt;='Methodology &amp; Assumptions'!$B$10, "Direct Optical Drop (&lt;3km)", IF(S1975&lt;='Methodology &amp; Assumptions'!$B$9, "Near Optical / Microwave (&lt;5km)", "Starlink Business LEO Satellite Backhaul (&gt;5km)"))</f>
        <v/>
      </c>
      <c r="V1975" s="26" t="n">
        <v>43.17</v>
      </c>
      <c r="W1975" s="26" t="n">
        <v>71.53</v>
      </c>
      <c r="X1975" s="26">
        <f>ROUND(('Methodology &amp; Assumptions'!$B$5*V1975) + ('Methodology &amp; Assumptions'!$B$6*W1975), 2)</f>
        <v/>
      </c>
      <c r="Y1975" s="28" t="n">
        <v>23.7</v>
      </c>
      <c r="Z1975" s="11" t="inlineStr">
        <is>
          <t>Priority Tier 3 (Broadband Expansion)</t>
        </is>
      </c>
    </row>
    <row r="1976">
      <c r="A1976" s="23" t="n">
        <v>5</v>
      </c>
      <c r="B1976" s="23" t="n">
        <v>972</v>
      </c>
      <c r="C1976" s="23" t="n">
        <v>4972</v>
      </c>
      <c r="D1976" s="23" t="inlineStr">
        <is>
          <t>1003511013</t>
        </is>
      </c>
      <c r="E1976" s="11" t="inlineStr">
        <is>
          <t>Region X (Northern Mindanao)</t>
        </is>
      </c>
      <c r="F1976" s="11" t="inlineStr">
        <is>
          <t>Lanao del Norte</t>
        </is>
      </c>
      <c r="G1976" s="11" t="inlineStr">
        <is>
          <t>Magsaysay</t>
        </is>
      </c>
      <c r="H1976" s="11" t="inlineStr">
        <is>
          <t>Pangao</t>
        </is>
      </c>
      <c r="I1976" s="24" t="n">
        <v>8.0124</v>
      </c>
      <c r="J1976" s="24" t="n">
        <v>123.962</v>
      </c>
      <c r="K1976" s="23" t="inlineStr">
        <is>
          <t>R</t>
        </is>
      </c>
      <c r="L1976" s="25" t="n">
        <v>1060</v>
      </c>
      <c r="M1976" s="26" t="n">
        <v>4.2</v>
      </c>
      <c r="N1976" s="25">
        <f>ROUND(L1976/M1976, 0)</f>
        <v/>
      </c>
      <c r="O1976" s="25">
        <f>ROUND(N1976*'Methodology &amp; Assumptions'!$B$7, 0)</f>
        <v/>
      </c>
      <c r="P1976" s="23" t="inlineStr">
        <is>
          <t>Single Carrier (Band n50, 100MHz TDD)</t>
        </is>
      </c>
      <c r="Q1976" s="27">
        <f>ROUNDUP(O1976/'Methodology &amp; Assumptions'!$B$8, 0)</f>
        <v/>
      </c>
      <c r="R1976" s="27" t="n">
        <v>1</v>
      </c>
      <c r="S1976" s="26" t="n">
        <v>18.25</v>
      </c>
      <c r="T1976" s="26" t="n">
        <v>13.15</v>
      </c>
      <c r="U1976" s="11">
        <f>IF(S1976&lt;='Methodology &amp; Assumptions'!$B$10, "Direct Optical Drop (&lt;3km)", IF(S1976&lt;='Methodology &amp; Assumptions'!$B$9, "Near Optical / Microwave (&lt;5km)", "Starlink Business LEO Satellite Backhaul (&gt;5km)"))</f>
        <v/>
      </c>
      <c r="V1976" s="26" t="n">
        <v>43.14</v>
      </c>
      <c r="W1976" s="26" t="n">
        <v>71.56</v>
      </c>
      <c r="X1976" s="26">
        <f>ROUND(('Methodology &amp; Assumptions'!$B$5*V1976) + ('Methodology &amp; Assumptions'!$B$6*W1976), 2)</f>
        <v/>
      </c>
      <c r="Y1976" s="28" t="n">
        <v>17.4</v>
      </c>
      <c r="Z1976" s="11" t="inlineStr">
        <is>
          <t>Priority Tier 3 (Broadband Expansion)</t>
        </is>
      </c>
    </row>
    <row r="1977">
      <c r="A1977" s="23" t="n">
        <v>5</v>
      </c>
      <c r="B1977" s="23" t="n">
        <v>973</v>
      </c>
      <c r="C1977" s="23" t="n">
        <v>4973</v>
      </c>
      <c r="D1977" s="23" t="inlineStr">
        <is>
          <t>1908806016</t>
        </is>
      </c>
      <c r="E1977" s="11" t="inlineStr">
        <is>
          <t>Bangsamoro Autonomous Region In Muslim Mindanao (BARMM)</t>
        </is>
      </c>
      <c r="F1977" s="11" t="inlineStr">
        <is>
          <t>Maguindanao del Sur</t>
        </is>
      </c>
      <c r="G1977" s="11" t="inlineStr">
        <is>
          <t>Datu Paglas</t>
        </is>
      </c>
      <c r="H1977" s="11" t="inlineStr">
        <is>
          <t>Manindolo</t>
        </is>
      </c>
      <c r="I1977" s="24" t="n">
        <v>6.714676</v>
      </c>
      <c r="J1977" s="24" t="n">
        <v>124.903793</v>
      </c>
      <c r="K1977" s="23" t="inlineStr">
        <is>
          <t>R</t>
        </is>
      </c>
      <c r="L1977" s="25" t="n">
        <v>1527</v>
      </c>
      <c r="M1977" s="26" t="n">
        <v>4.7</v>
      </c>
      <c r="N1977" s="25">
        <f>ROUND(L1977/M1977, 0)</f>
        <v/>
      </c>
      <c r="O1977" s="25">
        <f>ROUND(N1977*'Methodology &amp; Assumptions'!$B$7, 0)</f>
        <v/>
      </c>
      <c r="P1977" s="23" t="inlineStr">
        <is>
          <t>Single Carrier (Band n50, 100MHz TDD)</t>
        </is>
      </c>
      <c r="Q1977" s="27">
        <f>ROUNDUP(O1977/'Methodology &amp; Assumptions'!$B$8, 0)</f>
        <v/>
      </c>
      <c r="R1977" s="27" t="n">
        <v>1</v>
      </c>
      <c r="S1977" s="26" t="n">
        <v>25.58</v>
      </c>
      <c r="T1977" s="26" t="n">
        <v>5.23</v>
      </c>
      <c r="U1977" s="11">
        <f>IF(S1977&lt;='Methodology &amp; Assumptions'!$B$10, "Direct Optical Drop (&lt;3km)", IF(S1977&lt;='Methodology &amp; Assumptions'!$B$9, "Near Optical / Microwave (&lt;5km)", "Starlink Business LEO Satellite Backhaul (&gt;5km)"))</f>
        <v/>
      </c>
      <c r="V1977" s="26" t="n">
        <v>41.55</v>
      </c>
      <c r="W1977" s="26" t="n">
        <v>73.14</v>
      </c>
      <c r="X1977" s="26">
        <f>ROUND(('Methodology &amp; Assumptions'!$B$5*V1977) + ('Methodology &amp; Assumptions'!$B$6*W1977), 2)</f>
        <v/>
      </c>
      <c r="Y1977" s="28" t="n">
        <v>11</v>
      </c>
      <c r="Z1977" s="11" t="inlineStr">
        <is>
          <t>Priority Tier 3 (Broadband Expansion)</t>
        </is>
      </c>
    </row>
    <row r="1978">
      <c r="A1978" s="23" t="n">
        <v>5</v>
      </c>
      <c r="B1978" s="23" t="n">
        <v>974</v>
      </c>
      <c r="C1978" s="23" t="n">
        <v>4974</v>
      </c>
      <c r="D1978" s="23" t="inlineStr">
        <is>
          <t>0105508015</t>
        </is>
      </c>
      <c r="E1978" s="11" t="inlineStr">
        <is>
          <t>Region I (Ilocos Region)</t>
        </is>
      </c>
      <c r="F1978" s="11" t="inlineStr">
        <is>
          <t>Pangasinan</t>
        </is>
      </c>
      <c r="G1978" s="11" t="inlineStr">
        <is>
          <t>Bani</t>
        </is>
      </c>
      <c r="H1978" s="11" t="inlineStr">
        <is>
          <t>Poblacion</t>
        </is>
      </c>
      <c r="I1978" s="24" t="n">
        <v>16.18442</v>
      </c>
      <c r="J1978" s="24" t="n">
        <v>119.860577</v>
      </c>
      <c r="K1978" s="23" t="inlineStr">
        <is>
          <t>U</t>
        </is>
      </c>
      <c r="L1978" s="25" t="n">
        <v>4855</v>
      </c>
      <c r="M1978" s="26" t="n">
        <v>3.6</v>
      </c>
      <c r="N1978" s="25">
        <f>ROUND(L1978/M1978, 0)</f>
        <v/>
      </c>
      <c r="O1978" s="25">
        <f>ROUND(N1978*'Methodology &amp; Assumptions'!$B$7, 0)</f>
        <v/>
      </c>
      <c r="P1978" s="23" t="inlineStr">
        <is>
          <t>Single Carrier (Band n50, 100MHz TDD)</t>
        </is>
      </c>
      <c r="Q1978" s="27">
        <f>ROUNDUP(O1978/'Methodology &amp; Assumptions'!$B$8, 0)</f>
        <v/>
      </c>
      <c r="R1978" s="27" t="n">
        <v>1</v>
      </c>
      <c r="S1978" s="26" t="n">
        <v>0.13</v>
      </c>
      <c r="T1978" s="26" t="n">
        <v>0.29</v>
      </c>
      <c r="U1978" s="11">
        <f>IF(S1978&lt;='Methodology &amp; Assumptions'!$B$10, "Direct Optical Drop (&lt;3km)", IF(S1978&lt;='Methodology &amp; Assumptions'!$B$9, "Near Optical / Microwave (&lt;5km)", "Starlink Business LEO Satellite Backhaul (&gt;5km)"))</f>
        <v/>
      </c>
      <c r="V1978" s="26" t="n">
        <v>78.43000000000001</v>
      </c>
      <c r="W1978" s="26" t="n">
        <v>36.25</v>
      </c>
      <c r="X1978" s="26">
        <f>ROUND(('Methodology &amp; Assumptions'!$B$5*V1978) + ('Methodology &amp; Assumptions'!$B$6*W1978), 2)</f>
        <v/>
      </c>
      <c r="Y1978" s="28" t="n">
        <v>8.300000000000001</v>
      </c>
      <c r="Z1978" s="11" t="inlineStr">
        <is>
          <t>Priority Tier 3 (Broadband Expansion)</t>
        </is>
      </c>
    </row>
    <row r="1979">
      <c r="A1979" s="23" t="n">
        <v>5</v>
      </c>
      <c r="B1979" s="23" t="n">
        <v>975</v>
      </c>
      <c r="C1979" s="23" t="n">
        <v>4975</v>
      </c>
      <c r="D1979" s="23" t="inlineStr">
        <is>
          <t>0105513006</t>
        </is>
      </c>
      <c r="E1979" s="11" t="inlineStr">
        <is>
          <t>Region I (Ilocos Region)</t>
        </is>
      </c>
      <c r="F1979" s="11" t="inlineStr">
        <is>
          <t>Pangasinan</t>
        </is>
      </c>
      <c r="G1979" s="11" t="inlineStr">
        <is>
          <t>Binmaley</t>
        </is>
      </c>
      <c r="H1979" s="11" t="inlineStr">
        <is>
          <t>Baybay Polong</t>
        </is>
      </c>
      <c r="I1979" s="24" t="n">
        <v>16.03051</v>
      </c>
      <c r="J1979" s="24" t="n">
        <v>120.262599</v>
      </c>
      <c r="K1979" s="23" t="inlineStr">
        <is>
          <t>R</t>
        </is>
      </c>
      <c r="L1979" s="25" t="n">
        <v>3059</v>
      </c>
      <c r="M1979" s="26" t="n">
        <v>3.6</v>
      </c>
      <c r="N1979" s="25">
        <f>ROUND(L1979/M1979, 0)</f>
        <v/>
      </c>
      <c r="O1979" s="25">
        <f>ROUND(N1979*'Methodology &amp; Assumptions'!$B$7, 0)</f>
        <v/>
      </c>
      <c r="P1979" s="23" t="inlineStr">
        <is>
          <t>Single Carrier (Band n50, 100MHz TDD)</t>
        </is>
      </c>
      <c r="Q1979" s="27">
        <f>ROUNDUP(O1979/'Methodology &amp; Assumptions'!$B$8, 0)</f>
        <v/>
      </c>
      <c r="R1979" s="27" t="n">
        <v>1</v>
      </c>
      <c r="S1979" s="26" t="n">
        <v>3.3</v>
      </c>
      <c r="T1979" s="26" t="n">
        <v>0.3</v>
      </c>
      <c r="U1979" s="11">
        <f>IF(S1979&lt;='Methodology &amp; Assumptions'!$B$10, "Direct Optical Drop (&lt;3km)", IF(S1979&lt;='Methodology &amp; Assumptions'!$B$9, "Near Optical / Microwave (&lt;5km)", "Starlink Business LEO Satellite Backhaul (&gt;5km)"))</f>
        <v/>
      </c>
      <c r="V1979" s="26" t="n">
        <v>77.48999999999999</v>
      </c>
      <c r="W1979" s="26" t="n">
        <v>37.2</v>
      </c>
      <c r="X1979" s="26">
        <f>ROUND(('Methodology &amp; Assumptions'!$B$5*V1979) + ('Methodology &amp; Assumptions'!$B$6*W1979), 2)</f>
        <v/>
      </c>
      <c r="Y1979" s="28" t="n">
        <v>8.300000000000001</v>
      </c>
      <c r="Z1979" s="11" t="inlineStr">
        <is>
          <t>Priority Tier 3 (Broadband Expansion)</t>
        </is>
      </c>
    </row>
    <row r="1980">
      <c r="A1980" s="23" t="n">
        <v>5</v>
      </c>
      <c r="B1980" s="23" t="n">
        <v>976</v>
      </c>
      <c r="C1980" s="23" t="n">
        <v>4976</v>
      </c>
      <c r="D1980" s="23" t="inlineStr">
        <is>
          <t>0301420006</t>
        </is>
      </c>
      <c r="E1980" s="11" t="inlineStr">
        <is>
          <t>Region III (Central Luzon)</t>
        </is>
      </c>
      <c r="F1980" s="11" t="inlineStr">
        <is>
          <t>Bulacan</t>
        </is>
      </c>
      <c r="G1980" s="11" t="inlineStr">
        <is>
          <t>City of San Jose Del Monte</t>
        </is>
      </c>
      <c r="H1980" s="11" t="inlineStr">
        <is>
          <t>Minuyan I</t>
        </is>
      </c>
      <c r="I1980" s="24" t="n">
        <v>14.870197</v>
      </c>
      <c r="J1980" s="24" t="n">
        <v>121.079344</v>
      </c>
      <c r="K1980" s="23" t="inlineStr">
        <is>
          <t>R</t>
        </is>
      </c>
      <c r="L1980" s="25" t="n">
        <v>3484</v>
      </c>
      <c r="M1980" s="26" t="n">
        <v>3.5</v>
      </c>
      <c r="N1980" s="25">
        <f>ROUND(L1980/M1980, 0)</f>
        <v/>
      </c>
      <c r="O1980" s="25">
        <f>ROUND(N1980*'Methodology &amp; Assumptions'!$B$7, 0)</f>
        <v/>
      </c>
      <c r="P1980" s="23" t="inlineStr">
        <is>
          <t>Single Carrier (Band n50, 100MHz TDD)</t>
        </is>
      </c>
      <c r="Q1980" s="27">
        <f>ROUNDUP(O1980/'Methodology &amp; Assumptions'!$B$8, 0)</f>
        <v/>
      </c>
      <c r="R1980" s="27" t="n">
        <v>1</v>
      </c>
      <c r="S1980" s="26" t="n">
        <v>2.48</v>
      </c>
      <c r="T1980" s="26" t="n">
        <v>5.94</v>
      </c>
      <c r="U1980" s="11">
        <f>IF(S1980&lt;='Methodology &amp; Assumptions'!$B$10, "Direct Optical Drop (&lt;3km)", IF(S1980&lt;='Methodology &amp; Assumptions'!$B$9, "Near Optical / Microwave (&lt;5km)", "Starlink Business LEO Satellite Backhaul (&gt;5km)"))</f>
        <v/>
      </c>
      <c r="V1980" s="26" t="n">
        <v>76.31999999999999</v>
      </c>
      <c r="W1980" s="26" t="n">
        <v>38.37</v>
      </c>
      <c r="X1980" s="26">
        <f>ROUND(('Methodology &amp; Assumptions'!$B$5*V1980) + ('Methodology &amp; Assumptions'!$B$6*W1980), 2)</f>
        <v/>
      </c>
      <c r="Y1980" s="28" t="n">
        <v>8.300000000000001</v>
      </c>
      <c r="Z1980" s="11" t="inlineStr">
        <is>
          <t>Priority Tier 3 (Broadband Expansion)</t>
        </is>
      </c>
    </row>
    <row r="1981">
      <c r="A1981" s="23" t="n">
        <v>5</v>
      </c>
      <c r="B1981" s="23" t="n">
        <v>977</v>
      </c>
      <c r="C1981" s="23" t="n">
        <v>4977</v>
      </c>
      <c r="D1981" s="23" t="inlineStr">
        <is>
          <t>1102319009</t>
        </is>
      </c>
      <c r="E1981" s="11" t="inlineStr">
        <is>
          <t>Region XI (Davao Region)</t>
        </is>
      </c>
      <c r="F1981" s="11" t="inlineStr">
        <is>
          <t>Davao del Norte</t>
        </is>
      </c>
      <c r="G1981" s="11" t="inlineStr">
        <is>
          <t>City of Tagum</t>
        </is>
      </c>
      <c r="H1981" s="11" t="inlineStr">
        <is>
          <t>Madaum</t>
        </is>
      </c>
      <c r="I1981" s="24" t="n">
        <v>7.3924</v>
      </c>
      <c r="J1981" s="24" t="n">
        <v>125.817088</v>
      </c>
      <c r="K1981" s="23" t="inlineStr">
        <is>
          <t>U</t>
        </is>
      </c>
      <c r="L1981" s="25" t="n">
        <v>14663</v>
      </c>
      <c r="M1981" s="26" t="n">
        <v>3.7</v>
      </c>
      <c r="N1981" s="25">
        <f>ROUND(L1981/M1981, 0)</f>
        <v/>
      </c>
      <c r="O1981" s="25">
        <f>ROUND(N1981*'Methodology &amp; Assumptions'!$B$7, 0)</f>
        <v/>
      </c>
      <c r="P1981" s="23" t="inlineStr">
        <is>
          <t>Single Carrier (Band n50, 100MHz TDD)</t>
        </is>
      </c>
      <c r="Q1981" s="27">
        <f>ROUNDUP(O1981/'Methodology &amp; Assumptions'!$B$8, 0)</f>
        <v/>
      </c>
      <c r="R1981" s="27" t="n">
        <v>1</v>
      </c>
      <c r="S1981" s="26" t="n">
        <v>4.21</v>
      </c>
      <c r="T1981" s="26" t="n">
        <v>2.19</v>
      </c>
      <c r="U1981" s="11">
        <f>IF(S1981&lt;='Methodology &amp; Assumptions'!$B$10, "Direct Optical Drop (&lt;3km)", IF(S1981&lt;='Methodology &amp; Assumptions'!$B$9, "Near Optical / Microwave (&lt;5km)", "Starlink Business LEO Satellite Backhaul (&gt;5km)"))</f>
        <v/>
      </c>
      <c r="V1981" s="26" t="n">
        <v>66.31999999999999</v>
      </c>
      <c r="W1981" s="26" t="n">
        <v>48.35</v>
      </c>
      <c r="X1981" s="26">
        <f>ROUND(('Methodology &amp; Assumptions'!$B$5*V1981) + ('Methodology &amp; Assumptions'!$B$6*W1981), 2)</f>
        <v/>
      </c>
      <c r="Y1981" s="28" t="n">
        <v>17.4</v>
      </c>
      <c r="Z1981" s="11" t="inlineStr">
        <is>
          <t>Priority Tier 3 (Broadband Expansion)</t>
        </is>
      </c>
    </row>
    <row r="1982">
      <c r="A1982" s="23" t="n">
        <v>5</v>
      </c>
      <c r="B1982" s="23" t="n">
        <v>978</v>
      </c>
      <c r="C1982" s="23" t="n">
        <v>4978</v>
      </c>
      <c r="D1982" s="23" t="inlineStr">
        <is>
          <t>0304926022</t>
        </is>
      </c>
      <c r="E1982" s="11" t="inlineStr">
        <is>
          <t>Region III (Central Luzon)</t>
        </is>
      </c>
      <c r="F1982" s="11" t="inlineStr">
        <is>
          <t>Nueva Ecija</t>
        </is>
      </c>
      <c r="G1982" s="11" t="inlineStr">
        <is>
          <t>San Jose City</t>
        </is>
      </c>
      <c r="H1982" s="11" t="inlineStr">
        <is>
          <t>Raymundo Eugenio Pob.</t>
        </is>
      </c>
      <c r="I1982" s="24" t="n">
        <v>15.790787</v>
      </c>
      <c r="J1982" s="24" t="n">
        <v>120.994085</v>
      </c>
      <c r="K1982" s="23" t="inlineStr">
        <is>
          <t>U</t>
        </is>
      </c>
      <c r="L1982" s="25" t="n">
        <v>1328</v>
      </c>
      <c r="M1982" s="26" t="n">
        <v>3.5</v>
      </c>
      <c r="N1982" s="25">
        <f>ROUND(L1982/M1982, 0)</f>
        <v/>
      </c>
      <c r="O1982" s="25">
        <f>ROUND(N1982*'Methodology &amp; Assumptions'!$B$7, 0)</f>
        <v/>
      </c>
      <c r="P1982" s="23" t="inlineStr">
        <is>
          <t>Single Carrier (Band n50, 100MHz TDD)</t>
        </is>
      </c>
      <c r="Q1982" s="27">
        <f>ROUNDUP(O1982/'Methodology &amp; Assumptions'!$B$8, 0)</f>
        <v/>
      </c>
      <c r="R1982" s="27" t="n">
        <v>1</v>
      </c>
      <c r="S1982" s="26" t="n">
        <v>0.8</v>
      </c>
      <c r="T1982" s="26" t="n">
        <v>0.43</v>
      </c>
      <c r="U1982" s="11">
        <f>IF(S1982&lt;='Methodology &amp; Assumptions'!$B$10, "Direct Optical Drop (&lt;3km)", IF(S1982&lt;='Methodology &amp; Assumptions'!$B$9, "Near Optical / Microwave (&lt;5km)", "Starlink Business LEO Satellite Backhaul (&gt;5km)"))</f>
        <v/>
      </c>
      <c r="V1982" s="26" t="n">
        <v>64.18000000000001</v>
      </c>
      <c r="W1982" s="26" t="n">
        <v>50.5</v>
      </c>
      <c r="X1982" s="26">
        <f>ROUND(('Methodology &amp; Assumptions'!$B$5*V1982) + ('Methodology &amp; Assumptions'!$B$6*W1982), 2)</f>
        <v/>
      </c>
      <c r="Y1982" s="28" t="n">
        <v>8.300000000000001</v>
      </c>
      <c r="Z1982" s="11" t="inlineStr">
        <is>
          <t>Priority Tier 3 (Broadband Expansion)</t>
        </is>
      </c>
    </row>
    <row r="1983">
      <c r="A1983" s="23" t="n">
        <v>5</v>
      </c>
      <c r="B1983" s="23" t="n">
        <v>979</v>
      </c>
      <c r="C1983" s="23" t="n">
        <v>4979</v>
      </c>
      <c r="D1983" s="23" t="inlineStr">
        <is>
          <t>1900710010</t>
        </is>
      </c>
      <c r="E1983" s="11" t="inlineStr">
        <is>
          <t>Bangsamoro Autonomous Region In Muslim Mindanao (BARMM)</t>
        </is>
      </c>
      <c r="F1983" s="11" t="inlineStr">
        <is>
          <t>Basilan</t>
        </is>
      </c>
      <c r="G1983" s="11" t="inlineStr">
        <is>
          <t>Hadji Mohammad Ajul</t>
        </is>
      </c>
      <c r="H1983" s="11" t="inlineStr">
        <is>
          <t>Sulutan Matangal</t>
        </is>
      </c>
      <c r="I1983" s="24" t="n">
        <v>6.631711</v>
      </c>
      <c r="J1983" s="24" t="n">
        <v>122.3235</v>
      </c>
      <c r="K1983" s="23" t="inlineStr">
        <is>
          <t>R</t>
        </is>
      </c>
      <c r="L1983" s="25" t="n">
        <v>2295</v>
      </c>
      <c r="M1983" s="26" t="n">
        <v>5.1</v>
      </c>
      <c r="N1983" s="25">
        <f>ROUND(L1983/M1983, 0)</f>
        <v/>
      </c>
      <c r="O1983" s="25">
        <f>ROUND(N1983*'Methodology &amp; Assumptions'!$B$7, 0)</f>
        <v/>
      </c>
      <c r="P1983" s="23" t="inlineStr">
        <is>
          <t>Single Carrier (Band n50, 100MHz TDD)</t>
        </is>
      </c>
      <c r="Q1983" s="27">
        <f>ROUNDUP(O1983/'Methodology &amp; Assumptions'!$B$8, 0)</f>
        <v/>
      </c>
      <c r="R1983" s="27" t="n">
        <v>1</v>
      </c>
      <c r="S1983" s="26" t="n">
        <v>41.48</v>
      </c>
      <c r="T1983" s="26" t="n">
        <v>41.34</v>
      </c>
      <c r="U1983" s="11">
        <f>IF(S1983&lt;='Methodology &amp; Assumptions'!$B$10, "Direct Optical Drop (&lt;3km)", IF(S1983&lt;='Methodology &amp; Assumptions'!$B$9, "Near Optical / Microwave (&lt;5km)", "Starlink Business LEO Satellite Backhaul (&gt;5km)"))</f>
        <v/>
      </c>
      <c r="V1983" s="26" t="n">
        <v>45.51</v>
      </c>
      <c r="W1983" s="26" t="n">
        <v>69.17</v>
      </c>
      <c r="X1983" s="26">
        <f>ROUND(('Methodology &amp; Assumptions'!$B$5*V1983) + ('Methodology &amp; Assumptions'!$B$6*W1983), 2)</f>
        <v/>
      </c>
      <c r="Y1983" s="28" t="n">
        <v>11</v>
      </c>
      <c r="Z1983" s="11" t="inlineStr">
        <is>
          <t>Priority Tier 3 (Broadband Expansion)</t>
        </is>
      </c>
    </row>
    <row r="1984">
      <c r="A1984" s="23" t="n">
        <v>5</v>
      </c>
      <c r="B1984" s="23" t="n">
        <v>980</v>
      </c>
      <c r="C1984" s="23" t="n">
        <v>4980</v>
      </c>
      <c r="D1984" s="23" t="inlineStr">
        <is>
          <t>0401018009</t>
        </is>
      </c>
      <c r="E1984" s="11" t="inlineStr">
        <is>
          <t>Region IV-A (CALABARZON)</t>
        </is>
      </c>
      <c r="F1984" s="11" t="inlineStr">
        <is>
          <t>Batangas</t>
        </is>
      </c>
      <c r="G1984" s="11" t="inlineStr">
        <is>
          <t>Mataasnakahoy</t>
        </is>
      </c>
      <c r="H1984" s="11" t="inlineStr">
        <is>
          <t>Calingatan</t>
        </is>
      </c>
      <c r="I1984" s="24" t="n">
        <v>13.96145</v>
      </c>
      <c r="J1984" s="24" t="n">
        <v>121.120842</v>
      </c>
      <c r="K1984" s="23" t="inlineStr">
        <is>
          <t>R</t>
        </is>
      </c>
      <c r="L1984" s="25" t="n">
        <v>3220</v>
      </c>
      <c r="M1984" s="26" t="n">
        <v>3.6</v>
      </c>
      <c r="N1984" s="25">
        <f>ROUND(L1984/M1984, 0)</f>
        <v/>
      </c>
      <c r="O1984" s="25">
        <f>ROUND(N1984*'Methodology &amp; Assumptions'!$B$7, 0)</f>
        <v/>
      </c>
      <c r="P1984" s="23" t="inlineStr">
        <is>
          <t>Single Carrier (Band n50, 100MHz TDD)</t>
        </is>
      </c>
      <c r="Q1984" s="27">
        <f>ROUNDUP(O1984/'Methodology &amp; Assumptions'!$B$8, 0)</f>
        <v/>
      </c>
      <c r="R1984" s="27" t="n">
        <v>1</v>
      </c>
      <c r="S1984" s="26" t="n">
        <v>0.78</v>
      </c>
      <c r="T1984" s="26" t="n">
        <v>2.07</v>
      </c>
      <c r="U1984" s="11">
        <f>IF(S1984&lt;='Methodology &amp; Assumptions'!$B$10, "Direct Optical Drop (&lt;3km)", IF(S1984&lt;='Methodology &amp; Assumptions'!$B$9, "Near Optical / Microwave (&lt;5km)", "Starlink Business LEO Satellite Backhaul (&gt;5km)"))</f>
        <v/>
      </c>
      <c r="V1984" s="26" t="n">
        <v>82.20999999999999</v>
      </c>
      <c r="W1984" s="26" t="n">
        <v>32.45</v>
      </c>
      <c r="X1984" s="26">
        <f>ROUND(('Methodology &amp; Assumptions'!$B$5*V1984) + ('Methodology &amp; Assumptions'!$B$6*W1984), 2)</f>
        <v/>
      </c>
      <c r="Y1984" s="28" t="n">
        <v>7.2</v>
      </c>
      <c r="Z1984" s="11" t="inlineStr">
        <is>
          <t>Priority Tier 3 (Broadband Expansion)</t>
        </is>
      </c>
    </row>
    <row r="1985">
      <c r="A1985" s="23" t="n">
        <v>5</v>
      </c>
      <c r="B1985" s="23" t="n">
        <v>981</v>
      </c>
      <c r="C1985" s="23" t="n">
        <v>4981</v>
      </c>
      <c r="D1985" s="23" t="inlineStr">
        <is>
          <t>0403407012</t>
        </is>
      </c>
      <c r="E1985" s="11" t="inlineStr">
        <is>
          <t>Region IV-A (CALABARZON)</t>
        </is>
      </c>
      <c r="F1985" s="11" t="inlineStr">
        <is>
          <t>Laguna</t>
        </is>
      </c>
      <c r="G1985" s="11" t="inlineStr">
        <is>
          <t>Cavinti</t>
        </is>
      </c>
      <c r="H1985" s="11" t="inlineStr">
        <is>
          <t>Mahipon</t>
        </is>
      </c>
      <c r="I1985" s="24" t="n">
        <v>14.268187</v>
      </c>
      <c r="J1985" s="24" t="n">
        <v>121.545426</v>
      </c>
      <c r="K1985" s="23" t="inlineStr">
        <is>
          <t>R</t>
        </is>
      </c>
      <c r="L1985" s="25" t="n">
        <v>2713</v>
      </c>
      <c r="M1985" s="26" t="n">
        <v>3.3</v>
      </c>
      <c r="N1985" s="25">
        <f>ROUND(L1985/M1985, 0)</f>
        <v/>
      </c>
      <c r="O1985" s="25">
        <f>ROUND(N1985*'Methodology &amp; Assumptions'!$B$7, 0)</f>
        <v/>
      </c>
      <c r="P1985" s="23" t="inlineStr">
        <is>
          <t>Single Carrier (Band n50, 100MHz TDD)</t>
        </is>
      </c>
      <c r="Q1985" s="27">
        <f>ROUNDUP(O1985/'Methodology &amp; Assumptions'!$B$8, 0)</f>
        <v/>
      </c>
      <c r="R1985" s="27" t="n">
        <v>1</v>
      </c>
      <c r="S1985" s="26" t="n">
        <v>1.45</v>
      </c>
      <c r="T1985" s="26" t="n">
        <v>9.35</v>
      </c>
      <c r="U1985" s="11">
        <f>IF(S1985&lt;='Methodology &amp; Assumptions'!$B$10, "Direct Optical Drop (&lt;3km)", IF(S1985&lt;='Methodology &amp; Assumptions'!$B$9, "Near Optical / Microwave (&lt;5km)", "Starlink Business LEO Satellite Backhaul (&gt;5km)"))</f>
        <v/>
      </c>
      <c r="V1985" s="26" t="n">
        <v>79.65000000000001</v>
      </c>
      <c r="W1985" s="26" t="n">
        <v>35.02</v>
      </c>
      <c r="X1985" s="26">
        <f>ROUND(('Methodology &amp; Assumptions'!$B$5*V1985) + ('Methodology &amp; Assumptions'!$B$6*W1985), 2)</f>
        <v/>
      </c>
      <c r="Y1985" s="28" t="n">
        <v>7.2</v>
      </c>
      <c r="Z1985" s="11" t="inlineStr">
        <is>
          <t>Priority Tier 3 (Broadband Expansion)</t>
        </is>
      </c>
    </row>
    <row r="1986">
      <c r="A1986" s="23" t="n">
        <v>5</v>
      </c>
      <c r="B1986" s="23" t="n">
        <v>982</v>
      </c>
      <c r="C1986" s="23" t="n">
        <v>4982</v>
      </c>
      <c r="D1986" s="23" t="inlineStr">
        <is>
          <t>0306910019</t>
        </is>
      </c>
      <c r="E1986" s="11" t="inlineStr">
        <is>
          <t>Region III (Central Luzon)</t>
        </is>
      </c>
      <c r="F1986" s="11" t="inlineStr">
        <is>
          <t>Tarlac</t>
        </is>
      </c>
      <c r="G1986" s="11" t="inlineStr">
        <is>
          <t>Paniqui</t>
        </is>
      </c>
      <c r="H1986" s="11" t="inlineStr">
        <is>
          <t>Matalapitap</t>
        </is>
      </c>
      <c r="I1986" s="24" t="n">
        <v>15.677778</v>
      </c>
      <c r="J1986" s="24" t="n">
        <v>120.589167</v>
      </c>
      <c r="K1986" s="23" t="inlineStr">
        <is>
          <t>R</t>
        </is>
      </c>
      <c r="L1986" s="25" t="n">
        <v>2326</v>
      </c>
      <c r="M1986" s="26" t="n">
        <v>3.9</v>
      </c>
      <c r="N1986" s="25">
        <f>ROUND(L1986/M1986, 0)</f>
        <v/>
      </c>
      <c r="O1986" s="25">
        <f>ROUND(N1986*'Methodology &amp; Assumptions'!$B$7, 0)</f>
        <v/>
      </c>
      <c r="P1986" s="23" t="inlineStr">
        <is>
          <t>Single Carrier (Band n50, 100MHz TDD)</t>
        </is>
      </c>
      <c r="Q1986" s="27">
        <f>ROUNDUP(O1986/'Methodology &amp; Assumptions'!$B$8, 0)</f>
        <v/>
      </c>
      <c r="R1986" s="27" t="n">
        <v>1</v>
      </c>
      <c r="S1986" s="26" t="n">
        <v>1.11</v>
      </c>
      <c r="T1986" s="26" t="n">
        <v>0.45</v>
      </c>
      <c r="U1986" s="11">
        <f>IF(S1986&lt;='Methodology &amp; Assumptions'!$B$10, "Direct Optical Drop (&lt;3km)", IF(S1986&lt;='Methodology &amp; Assumptions'!$B$9, "Near Optical / Microwave (&lt;5km)", "Starlink Business LEO Satellite Backhaul (&gt;5km)"))</f>
        <v/>
      </c>
      <c r="V1986" s="26" t="n">
        <v>77.39</v>
      </c>
      <c r="W1986" s="26" t="n">
        <v>37.26</v>
      </c>
      <c r="X1986" s="26">
        <f>ROUND(('Methodology &amp; Assumptions'!$B$5*V1986) + ('Methodology &amp; Assumptions'!$B$6*W1986), 2)</f>
        <v/>
      </c>
      <c r="Y1986" s="28" t="n">
        <v>8.300000000000001</v>
      </c>
      <c r="Z1986" s="11" t="inlineStr">
        <is>
          <t>Priority Tier 3 (Broadband Expansion)</t>
        </is>
      </c>
    </row>
    <row r="1987">
      <c r="A1987" s="23" t="n">
        <v>5</v>
      </c>
      <c r="B1987" s="23" t="n">
        <v>983</v>
      </c>
      <c r="C1987" s="23" t="n">
        <v>4983</v>
      </c>
      <c r="D1987" s="23" t="inlineStr">
        <is>
          <t>0301422032</t>
        </is>
      </c>
      <c r="E1987" s="11" t="inlineStr">
        <is>
          <t>Region III (Central Luzon)</t>
        </is>
      </c>
      <c r="F1987" s="11" t="inlineStr">
        <is>
          <t>Bulacan</t>
        </is>
      </c>
      <c r="G1987" s="11" t="inlineStr">
        <is>
          <t>San Rafael</t>
        </is>
      </c>
      <c r="H1987" s="11" t="inlineStr">
        <is>
          <t>Tambubong</t>
        </is>
      </c>
      <c r="I1987" s="24" t="n">
        <v>14.969101</v>
      </c>
      <c r="J1987" s="24" t="n">
        <v>120.92709</v>
      </c>
      <c r="K1987" s="23" t="inlineStr">
        <is>
          <t>U</t>
        </is>
      </c>
      <c r="L1987" s="25" t="n">
        <v>8068</v>
      </c>
      <c r="M1987" s="26" t="n">
        <v>3.5</v>
      </c>
      <c r="N1987" s="25">
        <f>ROUND(L1987/M1987, 0)</f>
        <v/>
      </c>
      <c r="O1987" s="25">
        <f>ROUND(N1987*'Methodology &amp; Assumptions'!$B$7, 0)</f>
        <v/>
      </c>
      <c r="P1987" s="23" t="inlineStr">
        <is>
          <t>Single Carrier (Band n50, 100MHz TDD)</t>
        </is>
      </c>
      <c r="Q1987" s="27">
        <f>ROUNDUP(O1987/'Methodology &amp; Assumptions'!$B$8, 0)</f>
        <v/>
      </c>
      <c r="R1987" s="27" t="n">
        <v>1</v>
      </c>
      <c r="S1987" s="26" t="n">
        <v>1.65</v>
      </c>
      <c r="T1987" s="26" t="n">
        <v>1.17</v>
      </c>
      <c r="U1987" s="11">
        <f>IF(S1987&lt;='Methodology &amp; Assumptions'!$B$10, "Direct Optical Drop (&lt;3km)", IF(S1987&lt;='Methodology &amp; Assumptions'!$B$9, "Near Optical / Microwave (&lt;5km)", "Starlink Business LEO Satellite Backhaul (&gt;5km)"))</f>
        <v/>
      </c>
      <c r="V1987" s="26" t="n">
        <v>75.42</v>
      </c>
      <c r="W1987" s="26" t="n">
        <v>39.24</v>
      </c>
      <c r="X1987" s="26">
        <f>ROUND(('Methodology &amp; Assumptions'!$B$5*V1987) + ('Methodology &amp; Assumptions'!$B$6*W1987), 2)</f>
        <v/>
      </c>
      <c r="Y1987" s="28" t="n">
        <v>8.300000000000001</v>
      </c>
      <c r="Z1987" s="11" t="inlineStr">
        <is>
          <t>Priority Tier 3 (Broadband Expansion)</t>
        </is>
      </c>
    </row>
    <row r="1988">
      <c r="A1988" s="23" t="n">
        <v>5</v>
      </c>
      <c r="B1988" s="23" t="n">
        <v>984</v>
      </c>
      <c r="C1988" s="23" t="n">
        <v>4984</v>
      </c>
      <c r="D1988" s="23" t="inlineStr">
        <is>
          <t>0205010019</t>
        </is>
      </c>
      <c r="E1988" s="11" t="inlineStr">
        <is>
          <t>Region II (Cagayan Valley)</t>
        </is>
      </c>
      <c r="F1988" s="11" t="inlineStr">
        <is>
          <t>Nueva Vizcaya</t>
        </is>
      </c>
      <c r="G1988" s="11" t="inlineStr">
        <is>
          <t>Kayapa</t>
        </is>
      </c>
      <c r="H1988" s="11" t="inlineStr">
        <is>
          <t>Pingkian</t>
        </is>
      </c>
      <c r="I1988" s="24" t="n">
        <v>16.309776</v>
      </c>
      <c r="J1988" s="24" t="n">
        <v>120.956898</v>
      </c>
      <c r="K1988" s="23" t="inlineStr">
        <is>
          <t>R</t>
        </is>
      </c>
      <c r="L1988" s="25" t="n">
        <v>1850</v>
      </c>
      <c r="M1988" s="26" t="n">
        <v>3.8</v>
      </c>
      <c r="N1988" s="25">
        <f>ROUND(L1988/M1988, 0)</f>
        <v/>
      </c>
      <c r="O1988" s="25">
        <f>ROUND(N1988*'Methodology &amp; Assumptions'!$B$7, 0)</f>
        <v/>
      </c>
      <c r="P1988" s="23" t="inlineStr">
        <is>
          <t>Single Carrier (Band n50, 100MHz TDD)</t>
        </is>
      </c>
      <c r="Q1988" s="27">
        <f>ROUNDUP(O1988/'Methodology &amp; Assumptions'!$B$8, 0)</f>
        <v/>
      </c>
      <c r="R1988" s="27" t="n">
        <v>1</v>
      </c>
      <c r="S1988" s="26" t="n">
        <v>0.38</v>
      </c>
      <c r="T1988" s="26" t="n">
        <v>0.07000000000000001</v>
      </c>
      <c r="U1988" s="11">
        <f>IF(S1988&lt;='Methodology &amp; Assumptions'!$B$10, "Direct Optical Drop (&lt;3km)", IF(S1988&lt;='Methodology &amp; Assumptions'!$B$9, "Near Optical / Microwave (&lt;5km)", "Starlink Business LEO Satellite Backhaul (&gt;5km)"))</f>
        <v/>
      </c>
      <c r="V1988" s="26" t="n">
        <v>74.84</v>
      </c>
      <c r="W1988" s="26" t="n">
        <v>39.81</v>
      </c>
      <c r="X1988" s="26">
        <f>ROUND(('Methodology &amp; Assumptions'!$B$5*V1988) + ('Methodology &amp; Assumptions'!$B$6*W1988), 2)</f>
        <v/>
      </c>
      <c r="Y1988" s="28" t="n">
        <v>8.300000000000001</v>
      </c>
      <c r="Z1988" s="11" t="inlineStr">
        <is>
          <t>Priority Tier 3 (Broadband Expansion)</t>
        </is>
      </c>
    </row>
    <row r="1989">
      <c r="A1989" s="23" t="n">
        <v>5</v>
      </c>
      <c r="B1989" s="23" t="n">
        <v>985</v>
      </c>
      <c r="C1989" s="23" t="n">
        <v>4985</v>
      </c>
      <c r="D1989" s="23" t="inlineStr">
        <is>
          <t>0102813009</t>
        </is>
      </c>
      <c r="E1989" s="11" t="inlineStr">
        <is>
          <t>Region I (Ilocos Region)</t>
        </is>
      </c>
      <c r="F1989" s="11" t="inlineStr">
        <is>
          <t>Ilocos Norte</t>
        </is>
      </c>
      <c r="G1989" s="11" t="inlineStr">
        <is>
          <t>Marcos</t>
        </is>
      </c>
      <c r="H1989" s="11" t="inlineStr">
        <is>
          <t>Lydia</t>
        </is>
      </c>
      <c r="I1989" s="24" t="n">
        <v>18.054677</v>
      </c>
      <c r="J1989" s="24" t="n">
        <v>120.681818</v>
      </c>
      <c r="K1989" s="23" t="inlineStr">
        <is>
          <t>R</t>
        </is>
      </c>
      <c r="L1989" s="25" t="n">
        <v>2298</v>
      </c>
      <c r="M1989" s="26" t="n">
        <v>3.7</v>
      </c>
      <c r="N1989" s="25">
        <f>ROUND(L1989/M1989, 0)</f>
        <v/>
      </c>
      <c r="O1989" s="25">
        <f>ROUND(N1989*'Methodology &amp; Assumptions'!$B$7, 0)</f>
        <v/>
      </c>
      <c r="P1989" s="23" t="inlineStr">
        <is>
          <t>Single Carrier (Band n50, 100MHz TDD)</t>
        </is>
      </c>
      <c r="Q1989" s="27">
        <f>ROUNDUP(O1989/'Methodology &amp; Assumptions'!$B$8, 0)</f>
        <v/>
      </c>
      <c r="R1989" s="27" t="n">
        <v>1</v>
      </c>
      <c r="S1989" s="26" t="n">
        <v>2.11</v>
      </c>
      <c r="T1989" s="26" t="n">
        <v>0.85</v>
      </c>
      <c r="U1989" s="11">
        <f>IF(S1989&lt;='Methodology &amp; Assumptions'!$B$10, "Direct Optical Drop (&lt;3km)", IF(S1989&lt;='Methodology &amp; Assumptions'!$B$9, "Near Optical / Microwave (&lt;5km)", "Starlink Business LEO Satellite Backhaul (&gt;5km)"))</f>
        <v/>
      </c>
      <c r="V1989" s="26" t="n">
        <v>74.56</v>
      </c>
      <c r="W1989" s="26" t="n">
        <v>40.09</v>
      </c>
      <c r="X1989" s="26">
        <f>ROUND(('Methodology &amp; Assumptions'!$B$5*V1989) + ('Methodology &amp; Assumptions'!$B$6*W1989), 2)</f>
        <v/>
      </c>
      <c r="Y1989" s="28" t="n">
        <v>8.300000000000001</v>
      </c>
      <c r="Z1989" s="11" t="inlineStr">
        <is>
          <t>Priority Tier 3 (Broadband Expansion)</t>
        </is>
      </c>
    </row>
    <row r="1990">
      <c r="A1990" s="23" t="n">
        <v>5</v>
      </c>
      <c r="B1990" s="23" t="n">
        <v>986</v>
      </c>
      <c r="C1990" s="23" t="n">
        <v>4986</v>
      </c>
      <c r="D1990" s="23" t="inlineStr">
        <is>
          <t>0203131024</t>
        </is>
      </c>
      <c r="E1990" s="11" t="inlineStr">
        <is>
          <t>Region II (Cagayan Valley)</t>
        </is>
      </c>
      <c r="F1990" s="11" t="inlineStr">
        <is>
          <t>Isabela</t>
        </is>
      </c>
      <c r="G1990" s="11" t="inlineStr">
        <is>
          <t>San Mariano</t>
        </is>
      </c>
      <c r="H1990" s="11" t="inlineStr">
        <is>
          <t>Old San Mariano</t>
        </is>
      </c>
      <c r="I1990" s="24" t="n">
        <v>17.002252</v>
      </c>
      <c r="J1990" s="24" t="n">
        <v>122.001336</v>
      </c>
      <c r="K1990" s="23" t="inlineStr">
        <is>
          <t>R</t>
        </is>
      </c>
      <c r="L1990" s="25" t="n">
        <v>2356</v>
      </c>
      <c r="M1990" s="26" t="n">
        <v>3.8</v>
      </c>
      <c r="N1990" s="25">
        <f>ROUND(L1990/M1990, 0)</f>
        <v/>
      </c>
      <c r="O1990" s="25">
        <f>ROUND(N1990*'Methodology &amp; Assumptions'!$B$7, 0)</f>
        <v/>
      </c>
      <c r="P1990" s="23" t="inlineStr">
        <is>
          <t>Single Carrier (Band n50, 100MHz TDD)</t>
        </is>
      </c>
      <c r="Q1990" s="27">
        <f>ROUNDUP(O1990/'Methodology &amp; Assumptions'!$B$8, 0)</f>
        <v/>
      </c>
      <c r="R1990" s="27" t="n">
        <v>1</v>
      </c>
      <c r="S1990" s="26" t="n">
        <v>2.26</v>
      </c>
      <c r="T1990" s="26" t="n">
        <v>15.14</v>
      </c>
      <c r="U1990" s="11">
        <f>IF(S1990&lt;='Methodology &amp; Assumptions'!$B$10, "Direct Optical Drop (&lt;3km)", IF(S1990&lt;='Methodology &amp; Assumptions'!$B$9, "Near Optical / Microwave (&lt;5km)", "Starlink Business LEO Satellite Backhaul (&gt;5km)"))</f>
        <v/>
      </c>
      <c r="V1990" s="26" t="n">
        <v>70.55</v>
      </c>
      <c r="W1990" s="26" t="n">
        <v>44.11</v>
      </c>
      <c r="X1990" s="26">
        <f>ROUND(('Methodology &amp; Assumptions'!$B$5*V1990) + ('Methodology &amp; Assumptions'!$B$6*W1990), 2)</f>
        <v/>
      </c>
      <c r="Y1990" s="28" t="n">
        <v>8.300000000000001</v>
      </c>
      <c r="Z1990" s="11" t="inlineStr">
        <is>
          <t>Priority Tier 3 (Broadband Expansion)</t>
        </is>
      </c>
    </row>
    <row r="1991">
      <c r="A1991" s="23" t="n">
        <v>5</v>
      </c>
      <c r="B1991" s="23" t="n">
        <v>987</v>
      </c>
      <c r="C1991" s="23" t="n">
        <v>4987</v>
      </c>
      <c r="D1991" s="23" t="inlineStr">
        <is>
          <t>1408104004</t>
        </is>
      </c>
      <c r="E1991" s="11" t="inlineStr">
        <is>
          <t>Cordillera Administrative Region (CAR)</t>
        </is>
      </c>
      <c r="F1991" s="11" t="inlineStr">
        <is>
          <t>Apayao</t>
        </is>
      </c>
      <c r="G1991" s="11" t="inlineStr">
        <is>
          <t>Kabugao</t>
        </is>
      </c>
      <c r="H1991" s="11" t="inlineStr">
        <is>
          <t>Bulu</t>
        </is>
      </c>
      <c r="I1991" s="24" t="n">
        <v>18.049648</v>
      </c>
      <c r="J1991" s="24" t="n">
        <v>121.208254</v>
      </c>
      <c r="K1991" s="23" t="inlineStr">
        <is>
          <t>R</t>
        </is>
      </c>
      <c r="L1991" s="25" t="n">
        <v>408</v>
      </c>
      <c r="M1991" s="26" t="n">
        <v>4.2</v>
      </c>
      <c r="N1991" s="25">
        <f>ROUND(L1991/M1991, 0)</f>
        <v/>
      </c>
      <c r="O1991" s="25">
        <f>ROUND(N1991*'Methodology &amp; Assumptions'!$B$7, 0)</f>
        <v/>
      </c>
      <c r="P1991" s="23" t="inlineStr">
        <is>
          <t>Single Carrier (Band n50, 100MHz TDD)</t>
        </is>
      </c>
      <c r="Q1991" s="27">
        <f>ROUNDUP(O1991/'Methodology &amp; Assumptions'!$B$8, 0)</f>
        <v/>
      </c>
      <c r="R1991" s="27" t="n">
        <v>1</v>
      </c>
      <c r="S1991" s="26" t="n">
        <v>4.41</v>
      </c>
      <c r="T1991" s="26" t="n">
        <v>10.46</v>
      </c>
      <c r="U1991" s="11">
        <f>IF(S1991&lt;='Methodology &amp; Assumptions'!$B$10, "Direct Optical Drop (&lt;3km)", IF(S1991&lt;='Methodology &amp; Assumptions'!$B$9, "Near Optical / Microwave (&lt;5km)", "Starlink Business LEO Satellite Backhaul (&gt;5km)"))</f>
        <v/>
      </c>
      <c r="V1991" s="26" t="n">
        <v>47.22</v>
      </c>
      <c r="W1991" s="26" t="n">
        <v>67.44</v>
      </c>
      <c r="X1991" s="26">
        <f>ROUND(('Methodology &amp; Assumptions'!$B$5*V1991) + ('Methodology &amp; Assumptions'!$B$6*W1991), 2)</f>
        <v/>
      </c>
      <c r="Y1991" s="28" t="n">
        <v>10.9</v>
      </c>
      <c r="Z1991" s="11" t="inlineStr">
        <is>
          <t>Priority Tier 3 (Broadband Expansion)</t>
        </is>
      </c>
    </row>
    <row r="1992">
      <c r="A1992" s="23" t="n">
        <v>5</v>
      </c>
      <c r="B1992" s="23" t="n">
        <v>988</v>
      </c>
      <c r="C1992" s="23" t="n">
        <v>4988</v>
      </c>
      <c r="D1992" s="23" t="inlineStr">
        <is>
          <t>0205009012</t>
        </is>
      </c>
      <c r="E1992" s="11" t="inlineStr">
        <is>
          <t>Region II (Cagayan Valley)</t>
        </is>
      </c>
      <c r="F1992" s="11" t="inlineStr">
        <is>
          <t>Nueva Vizcaya</t>
        </is>
      </c>
      <c r="G1992" s="11" t="inlineStr">
        <is>
          <t>Kasibu</t>
        </is>
      </c>
      <c r="H1992" s="11" t="inlineStr">
        <is>
          <t>Kakiduguen</t>
        </is>
      </c>
      <c r="I1992" s="24" t="n">
        <v>16.335593</v>
      </c>
      <c r="J1992" s="24" t="n">
        <v>121.408473</v>
      </c>
      <c r="K1992" s="23" t="inlineStr">
        <is>
          <t>R</t>
        </is>
      </c>
      <c r="L1992" s="25" t="n">
        <v>1165</v>
      </c>
      <c r="M1992" s="26" t="n">
        <v>3.8</v>
      </c>
      <c r="N1992" s="25">
        <f>ROUND(L1992/M1992, 0)</f>
        <v/>
      </c>
      <c r="O1992" s="25">
        <f>ROUND(N1992*'Methodology &amp; Assumptions'!$B$7, 0)</f>
        <v/>
      </c>
      <c r="P1992" s="23" t="inlineStr">
        <is>
          <t>Single Carrier (Band n50, 100MHz TDD)</t>
        </is>
      </c>
      <c r="Q1992" s="27">
        <f>ROUNDUP(O1992/'Methodology &amp; Assumptions'!$B$8, 0)</f>
        <v/>
      </c>
      <c r="R1992" s="27" t="n">
        <v>1</v>
      </c>
      <c r="S1992" s="26" t="n">
        <v>12.37</v>
      </c>
      <c r="T1992" s="26" t="n">
        <v>24.97</v>
      </c>
      <c r="U1992" s="11">
        <f>IF(S1992&lt;='Methodology &amp; Assumptions'!$B$10, "Direct Optical Drop (&lt;3km)", IF(S1992&lt;='Methodology &amp; Assumptions'!$B$9, "Near Optical / Microwave (&lt;5km)", "Starlink Business LEO Satellite Backhaul (&gt;5km)"))</f>
        <v/>
      </c>
      <c r="V1992" s="26" t="n">
        <v>45.95</v>
      </c>
      <c r="W1992" s="26" t="n">
        <v>68.7</v>
      </c>
      <c r="X1992" s="26">
        <f>ROUND(('Methodology &amp; Assumptions'!$B$5*V1992) + ('Methodology &amp; Assumptions'!$B$6*W1992), 2)</f>
        <v/>
      </c>
      <c r="Y1992" s="28" t="n">
        <v>8.300000000000001</v>
      </c>
      <c r="Z1992" s="11" t="inlineStr">
        <is>
          <t>Priority Tier 3 (Broadband Expansion)</t>
        </is>
      </c>
    </row>
    <row r="1993">
      <c r="A1993" s="23" t="n">
        <v>5</v>
      </c>
      <c r="B1993" s="23" t="n">
        <v>989</v>
      </c>
      <c r="C1993" s="23" t="n">
        <v>4989</v>
      </c>
      <c r="D1993" s="23" t="inlineStr">
        <is>
          <t>1380601010</t>
        </is>
      </c>
      <c r="E1993" s="11" t="inlineStr">
        <is>
          <t>National Capital Region (NCR)</t>
        </is>
      </c>
      <c r="F1993" s="11" t="inlineStr">
        <is>
          <t>First District (Not a Province)</t>
        </is>
      </c>
      <c r="G1993" s="11" t="inlineStr">
        <is>
          <t>City of Manila</t>
        </is>
      </c>
      <c r="H1993" s="11" t="inlineStr">
        <is>
          <t>Barangay 10</t>
        </is>
      </c>
      <c r="I1993" s="24" t="n">
        <v>14.60659</v>
      </c>
      <c r="J1993" s="24" t="n">
        <v>120.970244</v>
      </c>
      <c r="K1993" s="23" t="inlineStr">
        <is>
          <t>U</t>
        </is>
      </c>
      <c r="L1993" s="25" t="n">
        <v>161</v>
      </c>
      <c r="M1993" s="26" t="n">
        <v>3.16</v>
      </c>
      <c r="N1993" s="25">
        <f>ROUND(L1993/M1993, 0)</f>
        <v/>
      </c>
      <c r="O1993" s="25">
        <f>ROUND(N1993*'Methodology &amp; Assumptions'!$B$7, 0)</f>
        <v/>
      </c>
      <c r="P1993" s="23" t="inlineStr">
        <is>
          <t>Single Carrier (Band n50, 100MHz TDD)</t>
        </is>
      </c>
      <c r="Q1993" s="27">
        <f>ROUNDUP(O1993/'Methodology &amp; Assumptions'!$B$8, 0)</f>
        <v/>
      </c>
      <c r="R1993" s="27" t="n">
        <v>1</v>
      </c>
      <c r="S1993" s="26" t="n">
        <v>0.07000000000000001</v>
      </c>
      <c r="T1993" s="26" t="n">
        <v>0.06</v>
      </c>
      <c r="U1993" s="11">
        <f>IF(S1993&lt;='Methodology &amp; Assumptions'!$B$10, "Direct Optical Drop (&lt;3km)", IF(S1993&lt;='Methodology &amp; Assumptions'!$B$9, "Near Optical / Microwave (&lt;5km)", "Starlink Business LEO Satellite Backhaul (&gt;5km)"))</f>
        <v/>
      </c>
      <c r="V1993" s="26" t="n">
        <v>42.7</v>
      </c>
      <c r="W1993" s="26" t="n">
        <v>71.95999999999999</v>
      </c>
      <c r="X1993" s="26">
        <f>ROUND(('Methodology &amp; Assumptions'!$B$5*V1993) + ('Methodology &amp; Assumptions'!$B$6*W1993), 2)</f>
        <v/>
      </c>
      <c r="Y1993" s="28" t="n">
        <v>10.9</v>
      </c>
      <c r="Z1993" s="11" t="inlineStr">
        <is>
          <t>Priority Tier 3 (Broadband Expansion)</t>
        </is>
      </c>
    </row>
    <row r="1994">
      <c r="A1994" s="23" t="n">
        <v>5</v>
      </c>
      <c r="B1994" s="23" t="n">
        <v>990</v>
      </c>
      <c r="C1994" s="23" t="n">
        <v>4990</v>
      </c>
      <c r="D1994" s="23" t="inlineStr">
        <is>
          <t>0603018034</t>
        </is>
      </c>
      <c r="E1994" s="11" t="inlineStr">
        <is>
          <t>Region VI (Western Visayas)</t>
        </is>
      </c>
      <c r="F1994" s="11" t="inlineStr">
        <is>
          <t>Iloilo</t>
        </is>
      </c>
      <c r="G1994" s="11" t="inlineStr">
        <is>
          <t>Dumangas</t>
        </is>
      </c>
      <c r="H1994" s="11" t="inlineStr">
        <is>
          <t>Paloc Sool</t>
        </is>
      </c>
      <c r="I1994" s="24" t="n">
        <v>10.827135</v>
      </c>
      <c r="J1994" s="24" t="n">
        <v>122.727586</v>
      </c>
      <c r="K1994" s="23" t="inlineStr">
        <is>
          <t>R</t>
        </is>
      </c>
      <c r="L1994" s="25" t="n">
        <v>3595</v>
      </c>
      <c r="M1994" s="26" t="n">
        <v>3.8</v>
      </c>
      <c r="N1994" s="25">
        <f>ROUND(L1994/M1994, 0)</f>
        <v/>
      </c>
      <c r="O1994" s="25">
        <f>ROUND(N1994*'Methodology &amp; Assumptions'!$B$7, 0)</f>
        <v/>
      </c>
      <c r="P1994" s="23" t="inlineStr">
        <is>
          <t>Single Carrier (Band n50, 100MHz TDD)</t>
        </is>
      </c>
      <c r="Q1994" s="27">
        <f>ROUNDUP(O1994/'Methodology &amp; Assumptions'!$B$8, 0)</f>
        <v/>
      </c>
      <c r="R1994" s="27" t="n">
        <v>1</v>
      </c>
      <c r="S1994" s="26" t="n">
        <v>1.96</v>
      </c>
      <c r="T1994" s="26" t="n">
        <v>1.64</v>
      </c>
      <c r="U1994" s="11">
        <f>IF(S1994&lt;='Methodology &amp; Assumptions'!$B$10, "Direct Optical Drop (&lt;3km)", IF(S1994&lt;='Methodology &amp; Assumptions'!$B$9, "Near Optical / Microwave (&lt;5km)", "Starlink Business LEO Satellite Backhaul (&gt;5km)"))</f>
        <v/>
      </c>
      <c r="V1994" s="26" t="n">
        <v>83.97</v>
      </c>
      <c r="W1994" s="26" t="n">
        <v>30.67</v>
      </c>
      <c r="X1994" s="26">
        <f>ROUND(('Methodology &amp; Assumptions'!$B$5*V1994) + ('Methodology &amp; Assumptions'!$B$6*W1994), 2)</f>
        <v/>
      </c>
      <c r="Y1994" s="28" t="n">
        <v>23.7</v>
      </c>
      <c r="Z1994" s="11" t="inlineStr">
        <is>
          <t>Priority Tier 3 (Broadband Expansion)</t>
        </is>
      </c>
    </row>
    <row r="1995">
      <c r="A1995" s="23" t="n">
        <v>5</v>
      </c>
      <c r="B1995" s="23" t="n">
        <v>991</v>
      </c>
      <c r="C1995" s="23" t="n">
        <v>4991</v>
      </c>
      <c r="D1995" s="23" t="inlineStr">
        <is>
          <t>0201512003</t>
        </is>
      </c>
      <c r="E1995" s="11" t="inlineStr">
        <is>
          <t>Region II (Cagayan Valley)</t>
        </is>
      </c>
      <c r="F1995" s="11" t="inlineStr">
        <is>
          <t>Cagayan</t>
        </is>
      </c>
      <c r="G1995" s="11" t="inlineStr">
        <is>
          <t>Enrile</t>
        </is>
      </c>
      <c r="H1995" s="11" t="inlineStr">
        <is>
          <t>Barangay II</t>
        </is>
      </c>
      <c r="I1995" s="24" t="n">
        <v>17.5623</v>
      </c>
      <c r="J1995" s="24" t="n">
        <v>121.6945</v>
      </c>
      <c r="K1995" s="23" t="inlineStr">
        <is>
          <t>R</t>
        </is>
      </c>
      <c r="L1995" s="25" t="n">
        <v>2746</v>
      </c>
      <c r="M1995" s="26" t="n">
        <v>3.9</v>
      </c>
      <c r="N1995" s="25">
        <f>ROUND(L1995/M1995, 0)</f>
        <v/>
      </c>
      <c r="O1995" s="25">
        <f>ROUND(N1995*'Methodology &amp; Assumptions'!$B$7, 0)</f>
        <v/>
      </c>
      <c r="P1995" s="23" t="inlineStr">
        <is>
          <t>Single Carrier (Band n50, 100MHz TDD)</t>
        </is>
      </c>
      <c r="Q1995" s="27">
        <f>ROUNDUP(O1995/'Methodology &amp; Assumptions'!$B$8, 0)</f>
        <v/>
      </c>
      <c r="R1995" s="27" t="n">
        <v>1</v>
      </c>
      <c r="S1995" s="26" t="n">
        <v>0.16</v>
      </c>
      <c r="T1995" s="26" t="n">
        <v>1.05</v>
      </c>
      <c r="U1995" s="11">
        <f>IF(S1995&lt;='Methodology &amp; Assumptions'!$B$10, "Direct Optical Drop (&lt;3km)", IF(S1995&lt;='Methodology &amp; Assumptions'!$B$9, "Near Optical / Microwave (&lt;5km)", "Starlink Business LEO Satellite Backhaul (&gt;5km)"))</f>
        <v/>
      </c>
      <c r="V1995" s="26" t="n">
        <v>81.88</v>
      </c>
      <c r="W1995" s="26" t="n">
        <v>32.76</v>
      </c>
      <c r="X1995" s="26">
        <f>ROUND(('Methodology &amp; Assumptions'!$B$5*V1995) + ('Methodology &amp; Assumptions'!$B$6*W1995), 2)</f>
        <v/>
      </c>
      <c r="Y1995" s="28" t="n">
        <v>8.300000000000001</v>
      </c>
      <c r="Z1995" s="11" t="inlineStr">
        <is>
          <t>Priority Tier 3 (Broadband Expansion)</t>
        </is>
      </c>
    </row>
    <row r="1996">
      <c r="A1996" s="23" t="n">
        <v>5</v>
      </c>
      <c r="B1996" s="23" t="n">
        <v>992</v>
      </c>
      <c r="C1996" s="23" t="n">
        <v>4992</v>
      </c>
      <c r="D1996" s="23" t="inlineStr">
        <is>
          <t>0105503017</t>
        </is>
      </c>
      <c r="E1996" s="11" t="inlineStr">
        <is>
          <t>Region I (Ilocos Region)</t>
        </is>
      </c>
      <c r="F1996" s="11" t="inlineStr">
        <is>
          <t>Pangasinan</t>
        </is>
      </c>
      <c r="G1996" s="11" t="inlineStr">
        <is>
          <t>City of Alaminos</t>
        </is>
      </c>
      <c r="H1996" s="11" t="inlineStr">
        <is>
          <t>Magsaysay</t>
        </is>
      </c>
      <c r="I1996" s="24" t="n">
        <v>16.170244</v>
      </c>
      <c r="J1996" s="24" t="n">
        <v>119.987048</v>
      </c>
      <c r="K1996" s="23" t="inlineStr">
        <is>
          <t>R</t>
        </is>
      </c>
      <c r="L1996" s="25" t="n">
        <v>4016</v>
      </c>
      <c r="M1996" s="26" t="n">
        <v>3.6</v>
      </c>
      <c r="N1996" s="25">
        <f>ROUND(L1996/M1996, 0)</f>
        <v/>
      </c>
      <c r="O1996" s="25">
        <f>ROUND(N1996*'Methodology &amp; Assumptions'!$B$7, 0)</f>
        <v/>
      </c>
      <c r="P1996" s="23" t="inlineStr">
        <is>
          <t>Single Carrier (Band n50, 100MHz TDD)</t>
        </is>
      </c>
      <c r="Q1996" s="27">
        <f>ROUNDUP(O1996/'Methodology &amp; Assumptions'!$B$8, 0)</f>
        <v/>
      </c>
      <c r="R1996" s="27" t="n">
        <v>1</v>
      </c>
      <c r="S1996" s="26" t="n">
        <v>2.11</v>
      </c>
      <c r="T1996" s="26" t="n">
        <v>1.75</v>
      </c>
      <c r="U1996" s="11">
        <f>IF(S1996&lt;='Methodology &amp; Assumptions'!$B$10, "Direct Optical Drop (&lt;3km)", IF(S1996&lt;='Methodology &amp; Assumptions'!$B$9, "Near Optical / Microwave (&lt;5km)", "Starlink Business LEO Satellite Backhaul (&gt;5km)"))</f>
        <v/>
      </c>
      <c r="V1996" s="26" t="n">
        <v>81</v>
      </c>
      <c r="W1996" s="26" t="n">
        <v>33.64</v>
      </c>
      <c r="X1996" s="26">
        <f>ROUND(('Methodology &amp; Assumptions'!$B$5*V1996) + ('Methodology &amp; Assumptions'!$B$6*W1996), 2)</f>
        <v/>
      </c>
      <c r="Y1996" s="28" t="n">
        <v>8.300000000000001</v>
      </c>
      <c r="Z1996" s="11" t="inlineStr">
        <is>
          <t>Priority Tier 3 (Broadband Expansion)</t>
        </is>
      </c>
    </row>
    <row r="1997">
      <c r="A1997" s="23" t="n">
        <v>5</v>
      </c>
      <c r="B1997" s="23" t="n">
        <v>993</v>
      </c>
      <c r="C1997" s="23" t="n">
        <v>4993</v>
      </c>
      <c r="D1997" s="23" t="inlineStr">
        <is>
          <t>1705209023</t>
        </is>
      </c>
      <c r="E1997" s="11" t="inlineStr">
        <is>
          <t>MIMAROPA Region</t>
        </is>
      </c>
      <c r="F1997" s="11" t="inlineStr">
        <is>
          <t>Oriental Mindoro</t>
        </is>
      </c>
      <c r="G1997" s="11" t="inlineStr">
        <is>
          <t>Pinamalayan</t>
        </is>
      </c>
      <c r="H1997" s="11" t="inlineStr">
        <is>
          <t>Pili</t>
        </is>
      </c>
      <c r="I1997" s="24" t="n">
        <v>13.0693</v>
      </c>
      <c r="J1997" s="24" t="n">
        <v>121.5197</v>
      </c>
      <c r="K1997" s="23" t="inlineStr">
        <is>
          <t>R</t>
        </is>
      </c>
      <c r="L1997" s="25" t="n">
        <v>3985</v>
      </c>
      <c r="M1997" s="26" t="n">
        <v>3.9</v>
      </c>
      <c r="N1997" s="25">
        <f>ROUND(L1997/M1997, 0)</f>
        <v/>
      </c>
      <c r="O1997" s="25">
        <f>ROUND(N1997*'Methodology &amp; Assumptions'!$B$7, 0)</f>
        <v/>
      </c>
      <c r="P1997" s="23" t="inlineStr">
        <is>
          <t>Single Carrier (Band n50, 100MHz TDD)</t>
        </is>
      </c>
      <c r="Q1997" s="27">
        <f>ROUNDUP(O1997/'Methodology &amp; Assumptions'!$B$8, 0)</f>
        <v/>
      </c>
      <c r="R1997" s="27" t="n">
        <v>1</v>
      </c>
      <c r="S1997" s="26" t="n">
        <v>1.52</v>
      </c>
      <c r="T1997" s="26" t="n">
        <v>5.49</v>
      </c>
      <c r="U1997" s="11">
        <f>IF(S1997&lt;='Methodology &amp; Assumptions'!$B$10, "Direct Optical Drop (&lt;3km)", IF(S1997&lt;='Methodology &amp; Assumptions'!$B$9, "Near Optical / Microwave (&lt;5km)", "Starlink Business LEO Satellite Backhaul (&gt;5km)"))</f>
        <v/>
      </c>
      <c r="V1997" s="26" t="n">
        <v>80.65000000000001</v>
      </c>
      <c r="W1997" s="26" t="n">
        <v>33.99</v>
      </c>
      <c r="X1997" s="26">
        <f>ROUND(('Methodology &amp; Assumptions'!$B$5*V1997) + ('Methodology &amp; Assumptions'!$B$6*W1997), 2)</f>
        <v/>
      </c>
      <c r="Y1997" s="28" t="n">
        <v>15</v>
      </c>
      <c r="Z1997" s="11" t="inlineStr">
        <is>
          <t>Priority Tier 3 (Broadband Expansion)</t>
        </is>
      </c>
    </row>
    <row r="1998">
      <c r="A1998" s="23" t="n">
        <v>5</v>
      </c>
      <c r="B1998" s="23" t="n">
        <v>994</v>
      </c>
      <c r="C1998" s="23" t="n">
        <v>4994</v>
      </c>
      <c r="D1998" s="23" t="inlineStr">
        <is>
          <t>1705309022</t>
        </is>
      </c>
      <c r="E1998" s="11" t="inlineStr">
        <is>
          <t>MIMAROPA Region</t>
        </is>
      </c>
      <c r="F1998" s="11" t="inlineStr">
        <is>
          <t>Palawan</t>
        </is>
      </c>
      <c r="G1998" s="11" t="inlineStr">
        <is>
          <t>Coron</t>
        </is>
      </c>
      <c r="H1998" s="11" t="inlineStr">
        <is>
          <t>San Jose</t>
        </is>
      </c>
      <c r="I1998" s="24" t="n">
        <v>12.181037</v>
      </c>
      <c r="J1998" s="24" t="n">
        <v>120.079096</v>
      </c>
      <c r="K1998" s="23" t="inlineStr">
        <is>
          <t>R</t>
        </is>
      </c>
      <c r="L1998" s="25" t="n">
        <v>1916</v>
      </c>
      <c r="M1998" s="26" t="n">
        <v>3.9</v>
      </c>
      <c r="N1998" s="25">
        <f>ROUND(L1998/M1998, 0)</f>
        <v/>
      </c>
      <c r="O1998" s="25">
        <f>ROUND(N1998*'Methodology &amp; Assumptions'!$B$7, 0)</f>
        <v/>
      </c>
      <c r="P1998" s="23" t="inlineStr">
        <is>
          <t>Single Carrier (Band n50, 100MHz TDD)</t>
        </is>
      </c>
      <c r="Q1998" s="27">
        <f>ROUNDUP(O1998/'Methodology &amp; Assumptions'!$B$8, 0)</f>
        <v/>
      </c>
      <c r="R1998" s="27" t="n">
        <v>1</v>
      </c>
      <c r="S1998" s="26" t="n">
        <v>16.4</v>
      </c>
      <c r="T1998" s="26" t="n">
        <v>108.26</v>
      </c>
      <c r="U1998" s="11">
        <f>IF(S1998&lt;='Methodology &amp; Assumptions'!$B$10, "Direct Optical Drop (&lt;3km)", IF(S1998&lt;='Methodology &amp; Assumptions'!$B$9, "Near Optical / Microwave (&lt;5km)", "Starlink Business LEO Satellite Backhaul (&gt;5km)"))</f>
        <v/>
      </c>
      <c r="V1998" s="26" t="n">
        <v>48.91</v>
      </c>
      <c r="W1998" s="26" t="n">
        <v>65.73</v>
      </c>
      <c r="X1998" s="26">
        <f>ROUND(('Methodology &amp; Assumptions'!$B$5*V1998) + ('Methodology &amp; Assumptions'!$B$6*W1998), 2)</f>
        <v/>
      </c>
      <c r="Y1998" s="28" t="n">
        <v>15</v>
      </c>
      <c r="Z1998" s="11" t="inlineStr">
        <is>
          <t>Priority Tier 3 (Broadband Expansion)</t>
        </is>
      </c>
    </row>
    <row r="1999">
      <c r="A1999" s="23" t="n">
        <v>5</v>
      </c>
      <c r="B1999" s="23" t="n">
        <v>995</v>
      </c>
      <c r="C1999" s="23" t="n">
        <v>4995</v>
      </c>
      <c r="D1999" s="23" t="inlineStr">
        <is>
          <t>1380606050</t>
        </is>
      </c>
      <c r="E1999" s="11" t="inlineStr">
        <is>
          <t>National Capital Region (NCR)</t>
        </is>
      </c>
      <c r="F1999" s="11" t="inlineStr">
        <is>
          <t>First District (Not a Province)</t>
        </is>
      </c>
      <c r="G1999" s="11" t="inlineStr">
        <is>
          <t>City of Manila</t>
        </is>
      </c>
      <c r="H1999" s="11" t="inlineStr">
        <is>
          <t>Barangay 444</t>
        </is>
      </c>
      <c r="I1999" s="24" t="n">
        <v>14.607675</v>
      </c>
      <c r="J1999" s="24" t="n">
        <v>121.000509</v>
      </c>
      <c r="K1999" s="23" t="inlineStr">
        <is>
          <t>U</t>
        </is>
      </c>
      <c r="L1999" s="25" t="n">
        <v>582</v>
      </c>
      <c r="M1999" s="26" t="n">
        <v>3.85</v>
      </c>
      <c r="N1999" s="25">
        <f>ROUND(L1999/M1999, 0)</f>
        <v/>
      </c>
      <c r="O1999" s="25">
        <f>ROUND(N1999*'Methodology &amp; Assumptions'!$B$7, 0)</f>
        <v/>
      </c>
      <c r="P1999" s="23" t="inlineStr">
        <is>
          <t>Single Carrier (Band n50, 100MHz TDD)</t>
        </is>
      </c>
      <c r="Q1999" s="27">
        <f>ROUNDUP(O1999/'Methodology &amp; Assumptions'!$B$8, 0)</f>
        <v/>
      </c>
      <c r="R1999" s="27" t="n">
        <v>1</v>
      </c>
      <c r="S1999" s="26" t="n">
        <v>0.51</v>
      </c>
      <c r="T1999" s="26" t="n">
        <v>0.35</v>
      </c>
      <c r="U1999" s="11">
        <f>IF(S1999&lt;='Methodology &amp; Assumptions'!$B$10, "Direct Optical Drop (&lt;3km)", IF(S1999&lt;='Methodology &amp; Assumptions'!$B$9, "Near Optical / Microwave (&lt;5km)", "Starlink Business LEO Satellite Backhaul (&gt;5km)"))</f>
        <v/>
      </c>
      <c r="V1999" s="26" t="n">
        <v>45.91</v>
      </c>
      <c r="W1999" s="26" t="n">
        <v>68.73</v>
      </c>
      <c r="X1999" s="26">
        <f>ROUND(('Methodology &amp; Assumptions'!$B$5*V1999) + ('Methodology &amp; Assumptions'!$B$6*W1999), 2)</f>
        <v/>
      </c>
      <c r="Y1999" s="28" t="n">
        <v>10.9</v>
      </c>
      <c r="Z1999" s="11" t="inlineStr">
        <is>
          <t>Priority Tier 3 (Broadband Expansion)</t>
        </is>
      </c>
    </row>
    <row r="2000">
      <c r="A2000" s="23" t="n">
        <v>5</v>
      </c>
      <c r="B2000" s="23" t="n">
        <v>996</v>
      </c>
      <c r="C2000" s="23" t="n">
        <v>4996</v>
      </c>
      <c r="D2000" s="23" t="inlineStr">
        <is>
          <t>1380601239</t>
        </is>
      </c>
      <c r="E2000" s="11" t="inlineStr">
        <is>
          <t>National Capital Region (NCR)</t>
        </is>
      </c>
      <c r="F2000" s="11" t="inlineStr">
        <is>
          <t>First District (Not a Province)</t>
        </is>
      </c>
      <c r="G2000" s="11" t="inlineStr">
        <is>
          <t>City of Manila</t>
        </is>
      </c>
      <c r="H2000" s="11" t="inlineStr">
        <is>
          <t>Barangay 238</t>
        </is>
      </c>
      <c r="I2000" s="24" t="n">
        <v>14.608314</v>
      </c>
      <c r="J2000" s="24" t="n">
        <v>120.975304</v>
      </c>
      <c r="K2000" s="23" t="inlineStr">
        <is>
          <t>U</t>
        </is>
      </c>
      <c r="L2000" s="25" t="n">
        <v>390</v>
      </c>
      <c r="M2000" s="26" t="n">
        <v>3.9</v>
      </c>
      <c r="N2000" s="25">
        <f>ROUND(L2000/M2000, 0)</f>
        <v/>
      </c>
      <c r="O2000" s="25">
        <f>ROUND(N2000*'Methodology &amp; Assumptions'!$B$7, 0)</f>
        <v/>
      </c>
      <c r="P2000" s="23" t="inlineStr">
        <is>
          <t>Single Carrier (Band n50, 100MHz TDD)</t>
        </is>
      </c>
      <c r="Q2000" s="27">
        <f>ROUNDUP(O2000/'Methodology &amp; Assumptions'!$B$8, 0)</f>
        <v/>
      </c>
      <c r="R2000" s="27" t="n">
        <v>1</v>
      </c>
      <c r="S2000" s="26" t="n">
        <v>0.63</v>
      </c>
      <c r="T2000" s="26" t="n">
        <v>0.04</v>
      </c>
      <c r="U2000" s="11">
        <f>IF(S2000&lt;='Methodology &amp; Assumptions'!$B$10, "Direct Optical Drop (&lt;3km)", IF(S2000&lt;='Methodology &amp; Assumptions'!$B$9, "Near Optical / Microwave (&lt;5km)", "Starlink Business LEO Satellite Backhaul (&gt;5km)"))</f>
        <v/>
      </c>
      <c r="V2000" s="26" t="n">
        <v>44.31</v>
      </c>
      <c r="W2000" s="26" t="n">
        <v>70.33</v>
      </c>
      <c r="X2000" s="26">
        <f>ROUND(('Methodology &amp; Assumptions'!$B$5*V2000) + ('Methodology &amp; Assumptions'!$B$6*W2000), 2)</f>
        <v/>
      </c>
      <c r="Y2000" s="28" t="n">
        <v>10.9</v>
      </c>
      <c r="Z2000" s="11" t="inlineStr">
        <is>
          <t>Priority Tier 3 (Broadband Expansion)</t>
        </is>
      </c>
    </row>
    <row r="2001">
      <c r="A2001" s="23" t="n">
        <v>5</v>
      </c>
      <c r="B2001" s="23" t="n">
        <v>997</v>
      </c>
      <c r="C2001" s="23" t="n">
        <v>4997</v>
      </c>
      <c r="D2001" s="23" t="inlineStr">
        <is>
          <t>0908301014</t>
        </is>
      </c>
      <c r="E2001" s="11" t="inlineStr">
        <is>
          <t>Region IX (Zamboanga Peninsula)</t>
        </is>
      </c>
      <c r="F2001" s="11" t="inlineStr">
        <is>
          <t>Zamboanga Sibugay</t>
        </is>
      </c>
      <c r="G2001" s="11" t="inlineStr">
        <is>
          <t>Alicia</t>
        </is>
      </c>
      <c r="H2001" s="11" t="inlineStr">
        <is>
          <t>Litayon</t>
        </is>
      </c>
      <c r="I2001" s="24" t="n">
        <v>7.46128</v>
      </c>
      <c r="J2001" s="24" t="n">
        <v>122.96574</v>
      </c>
      <c r="K2001" s="23" t="inlineStr">
        <is>
          <t>R</t>
        </is>
      </c>
      <c r="L2001" s="25" t="n">
        <v>1165</v>
      </c>
      <c r="M2001" s="26" t="n">
        <v>4.2</v>
      </c>
      <c r="N2001" s="25">
        <f>ROUND(L2001/M2001, 0)</f>
        <v/>
      </c>
      <c r="O2001" s="25">
        <f>ROUND(N2001*'Methodology &amp; Assumptions'!$B$7, 0)</f>
        <v/>
      </c>
      <c r="P2001" s="23" t="inlineStr">
        <is>
          <t>Single Carrier (Band n50, 100MHz TDD)</t>
        </is>
      </c>
      <c r="Q2001" s="27">
        <f>ROUNDUP(O2001/'Methodology &amp; Assumptions'!$B$8, 0)</f>
        <v/>
      </c>
      <c r="R2001" s="27" t="n">
        <v>1</v>
      </c>
      <c r="S2001" s="26" t="n">
        <v>31.44</v>
      </c>
      <c r="T2001" s="26" t="n">
        <v>20.37</v>
      </c>
      <c r="U2001" s="11">
        <f>IF(S2001&lt;='Methodology &amp; Assumptions'!$B$10, "Direct Optical Drop (&lt;3km)", IF(S2001&lt;='Methodology &amp; Assumptions'!$B$9, "Near Optical / Microwave (&lt;5km)", "Starlink Business LEO Satellite Backhaul (&gt;5km)"))</f>
        <v/>
      </c>
      <c r="V2001" s="26" t="n">
        <v>43.09</v>
      </c>
      <c r="W2001" s="26" t="n">
        <v>71.55</v>
      </c>
      <c r="X2001" s="26">
        <f>ROUND(('Methodology &amp; Assumptions'!$B$5*V2001) + ('Methodology &amp; Assumptions'!$B$6*W2001), 2)</f>
        <v/>
      </c>
      <c r="Y2001" s="28" t="n">
        <v>11</v>
      </c>
      <c r="Z2001" s="11" t="inlineStr">
        <is>
          <t>Priority Tier 3 (Broadband Expansion)</t>
        </is>
      </c>
    </row>
    <row r="2002">
      <c r="A2002" s="23" t="n">
        <v>5</v>
      </c>
      <c r="B2002" s="23" t="n">
        <v>998</v>
      </c>
      <c r="C2002" s="23" t="n">
        <v>4998</v>
      </c>
      <c r="D2002" s="23" t="inlineStr">
        <is>
          <t>0806008020</t>
        </is>
      </c>
      <c r="E2002" s="11" t="inlineStr">
        <is>
          <t>Region VIII (Eastern Visayas)</t>
        </is>
      </c>
      <c r="F2002" s="11" t="inlineStr">
        <is>
          <t>Samar</t>
        </is>
      </c>
      <c r="G2002" s="11" t="inlineStr">
        <is>
          <t>Hinabangan</t>
        </is>
      </c>
      <c r="H2002" s="11" t="inlineStr">
        <is>
          <t>San Jose</t>
        </is>
      </c>
      <c r="I2002" s="24" t="n">
        <v>11.735799</v>
      </c>
      <c r="J2002" s="24" t="n">
        <v>125.192863</v>
      </c>
      <c r="K2002" s="23" t="inlineStr">
        <is>
          <t>R</t>
        </is>
      </c>
      <c r="L2002" s="25" t="n">
        <v>802</v>
      </c>
      <c r="M2002" s="26" t="n">
        <v>4.1</v>
      </c>
      <c r="N2002" s="25">
        <f>ROUND(L2002/M2002, 0)</f>
        <v/>
      </c>
      <c r="O2002" s="25">
        <f>ROUND(N2002*'Methodology &amp; Assumptions'!$B$7, 0)</f>
        <v/>
      </c>
      <c r="P2002" s="23" t="inlineStr">
        <is>
          <t>Single Carrier (Band n50, 100MHz TDD)</t>
        </is>
      </c>
      <c r="Q2002" s="27">
        <f>ROUNDUP(O2002/'Methodology &amp; Assumptions'!$B$8, 0)</f>
        <v/>
      </c>
      <c r="R2002" s="27" t="n">
        <v>1</v>
      </c>
      <c r="S2002" s="26" t="n">
        <v>58.95</v>
      </c>
      <c r="T2002" s="26" t="n">
        <v>61.53</v>
      </c>
      <c r="U2002" s="11">
        <f>IF(S2002&lt;='Methodology &amp; Assumptions'!$B$10, "Direct Optical Drop (&lt;3km)", IF(S2002&lt;='Methodology &amp; Assumptions'!$B$9, "Near Optical / Microwave (&lt;5km)", "Starlink Business LEO Satellite Backhaul (&gt;5km)"))</f>
        <v/>
      </c>
      <c r="V2002" s="26" t="n">
        <v>42.19</v>
      </c>
      <c r="W2002" s="26" t="n">
        <v>72.45</v>
      </c>
      <c r="X2002" s="26">
        <f>ROUND(('Methodology &amp; Assumptions'!$B$5*V2002) + ('Methodology &amp; Assumptions'!$B$6*W2002), 2)</f>
        <v/>
      </c>
      <c r="Y2002" s="28" t="n">
        <v>23.7</v>
      </c>
      <c r="Z2002" s="11" t="inlineStr">
        <is>
          <t>Priority Tier 3 (Broadband Expansion)</t>
        </is>
      </c>
    </row>
    <row r="2003">
      <c r="A2003" s="23" t="n">
        <v>5</v>
      </c>
      <c r="B2003" s="23" t="n">
        <v>999</v>
      </c>
      <c r="C2003" s="23" t="n">
        <v>4999</v>
      </c>
      <c r="D2003" s="23" t="inlineStr">
        <is>
          <t>0601910013</t>
        </is>
      </c>
      <c r="E2003" s="11" t="inlineStr">
        <is>
          <t>Region VI (Western Visayas)</t>
        </is>
      </c>
      <c r="F2003" s="11" t="inlineStr">
        <is>
          <t>Capiz</t>
        </is>
      </c>
      <c r="G2003" s="11" t="inlineStr">
        <is>
          <t>Panitan</t>
        </is>
      </c>
      <c r="H2003" s="11" t="inlineStr">
        <is>
          <t>Cogon</t>
        </is>
      </c>
      <c r="I2003" s="24" t="n">
        <v>11.458097</v>
      </c>
      <c r="J2003" s="24" t="n">
        <v>122.815847</v>
      </c>
      <c r="K2003" s="23" t="inlineStr">
        <is>
          <t>R</t>
        </is>
      </c>
      <c r="L2003" s="25" t="n">
        <v>3953</v>
      </c>
      <c r="M2003" s="26" t="n">
        <v>3.8</v>
      </c>
      <c r="N2003" s="25">
        <f>ROUND(L2003/M2003, 0)</f>
        <v/>
      </c>
      <c r="O2003" s="25">
        <f>ROUND(N2003*'Methodology &amp; Assumptions'!$B$7, 0)</f>
        <v/>
      </c>
      <c r="P2003" s="23" t="inlineStr">
        <is>
          <t>Single Carrier (Band n50, 100MHz TDD)</t>
        </is>
      </c>
      <c r="Q2003" s="27">
        <f>ROUNDUP(O2003/'Methodology &amp; Assumptions'!$B$8, 0)</f>
        <v/>
      </c>
      <c r="R2003" s="27" t="n">
        <v>1</v>
      </c>
      <c r="S2003" s="26" t="n">
        <v>2.96</v>
      </c>
      <c r="T2003" s="26" t="n">
        <v>0.04</v>
      </c>
      <c r="U2003" s="11">
        <f>IF(S2003&lt;='Methodology &amp; Assumptions'!$B$10, "Direct Optical Drop (&lt;3km)", IF(S2003&lt;='Methodology &amp; Assumptions'!$B$9, "Near Optical / Microwave (&lt;5km)", "Starlink Business LEO Satellite Backhaul (&gt;5km)"))</f>
        <v/>
      </c>
      <c r="V2003" s="26" t="n">
        <v>80.75</v>
      </c>
      <c r="W2003" s="26" t="n">
        <v>33.87</v>
      </c>
      <c r="X2003" s="26">
        <f>ROUND(('Methodology &amp; Assumptions'!$B$5*V2003) + ('Methodology &amp; Assumptions'!$B$6*W2003), 2)</f>
        <v/>
      </c>
      <c r="Y2003" s="28" t="n">
        <v>23.7</v>
      </c>
      <c r="Z2003" s="11" t="inlineStr">
        <is>
          <t>Priority Tier 3 (Broadband Expansion)</t>
        </is>
      </c>
    </row>
    <row r="2004">
      <c r="A2004" s="23" t="n">
        <v>5</v>
      </c>
      <c r="B2004" s="23" t="n">
        <v>1000</v>
      </c>
      <c r="C2004" s="23" t="n">
        <v>5000</v>
      </c>
      <c r="D2004" s="23" t="inlineStr">
        <is>
          <t>1206318006</t>
        </is>
      </c>
      <c r="E2004" s="11" t="inlineStr">
        <is>
          <t>Region XII (SOCCSKSARGEN)</t>
        </is>
      </c>
      <c r="F2004" s="11" t="inlineStr">
        <is>
          <t>South Cotabato</t>
        </is>
      </c>
      <c r="G2004" s="11" t="inlineStr">
        <is>
          <t>Santo Niño</t>
        </is>
      </c>
      <c r="H2004" s="11" t="inlineStr">
        <is>
          <t>Poblacion</t>
        </is>
      </c>
      <c r="I2004" s="24" t="n">
        <v>17.890137</v>
      </c>
      <c r="J2004" s="24" t="n">
        <v>121.565536</v>
      </c>
      <c r="K2004" s="23" t="inlineStr">
        <is>
          <t>U</t>
        </is>
      </c>
      <c r="L2004" s="25" t="n">
        <v>11066</v>
      </c>
      <c r="M2004" s="26" t="n">
        <v>3.6</v>
      </c>
      <c r="N2004" s="25">
        <f>ROUND(L2004/M2004, 0)</f>
        <v/>
      </c>
      <c r="O2004" s="25">
        <f>ROUND(N2004*'Methodology &amp; Assumptions'!$B$7, 0)</f>
        <v/>
      </c>
      <c r="P2004" s="23" t="inlineStr">
        <is>
          <t>Single Carrier (Band n50, 100MHz TDD)</t>
        </is>
      </c>
      <c r="Q2004" s="27">
        <f>ROUNDUP(O2004/'Methodology &amp; Assumptions'!$B$8, 0)</f>
        <v/>
      </c>
      <c r="R2004" s="27" t="n">
        <v>1</v>
      </c>
      <c r="S2004" s="26" t="n">
        <v>0.79</v>
      </c>
      <c r="T2004" s="26" t="n">
        <v>8.220000000000001</v>
      </c>
      <c r="U2004" s="11">
        <f>IF(S2004&lt;='Methodology &amp; Assumptions'!$B$10, "Direct Optical Drop (&lt;3km)", IF(S2004&lt;='Methodology &amp; Assumptions'!$B$9, "Near Optical / Microwave (&lt;5km)", "Starlink Business LEO Satellite Backhaul (&gt;5km)"))</f>
        <v/>
      </c>
      <c r="V2004" s="26" t="n">
        <v>76.56</v>
      </c>
      <c r="W2004" s="26" t="n">
        <v>38.05</v>
      </c>
      <c r="X2004" s="26">
        <f>ROUND(('Methodology &amp; Assumptions'!$B$5*V2004) + ('Methodology &amp; Assumptions'!$B$6*W2004), 2)</f>
        <v/>
      </c>
      <c r="Y2004" s="28" t="n">
        <v>17.4</v>
      </c>
      <c r="Z2004" s="11" t="inlineStr">
        <is>
          <t>Priority Tier 3 (Broadband Expansion)</t>
        </is>
      </c>
    </row>
    <row r="2005">
      <c r="A2005" s="14" t="inlineStr">
        <is>
          <t>BATCH TOTAL / AVERAGE</t>
        </is>
      </c>
      <c r="B2005" s="14" t="n"/>
      <c r="C2005" s="14" t="n"/>
      <c r="D2005" s="14" t="n"/>
      <c r="E2005" s="14" t="n"/>
      <c r="F2005" s="14" t="n"/>
      <c r="G2005" s="14" t="n"/>
      <c r="H2005" s="14" t="n"/>
      <c r="I2005" s="14" t="n"/>
      <c r="J2005" s="14" t="n"/>
      <c r="K2005" s="14" t="n"/>
      <c r="L2005" s="29">
        <f>SUM(L5:L2004)</f>
        <v/>
      </c>
      <c r="M2005" s="14" t="n"/>
      <c r="N2005" s="29">
        <f>SUM(N5:N2004)</f>
        <v/>
      </c>
      <c r="O2005" s="29">
        <f>SUM(O5:O2004)</f>
        <v/>
      </c>
      <c r="P2005" s="14" t="n"/>
      <c r="Q2005" s="29">
        <f>SUM(Q5:Q2004)</f>
        <v/>
      </c>
      <c r="R2005" s="29">
        <f>SUM(R5:R2004)</f>
        <v/>
      </c>
      <c r="S2005" s="30">
        <f>AVERAGE(S5:S2004)</f>
        <v/>
      </c>
      <c r="T2005" s="14" t="n"/>
      <c r="U2005" s="14" t="n"/>
      <c r="V2005" s="30">
        <f>AVERAGE(V5:V2004)</f>
        <v/>
      </c>
      <c r="W2005" s="30">
        <f>AVERAGE(W5:W2004)</f>
        <v/>
      </c>
      <c r="X2005" s="30">
        <f>AVERAGE(X5:X2004)</f>
        <v/>
      </c>
      <c r="Y2005" s="14" t="n"/>
      <c r="Z2005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5G FWA Combined Hybrid Siting - Provincial Aggregation Summary</t>
        </is>
      </c>
    </row>
    <row r="2">
      <c r="A2" s="2" t="inlineStr">
        <is>
          <t>Distribution of 5,000 Prioritized Hybrid Sites across Provinces</t>
        </is>
      </c>
    </row>
    <row r="4">
      <c r="A4" s="10" t="inlineStr">
        <is>
          <t>Region</t>
        </is>
      </c>
      <c r="B4" s="10" t="inlineStr">
        <is>
          <t>Province</t>
        </is>
      </c>
      <c r="C4" s="10" t="inlineStr">
        <is>
          <t>Hybrid Sites</t>
        </is>
      </c>
      <c r="D4" s="10" t="inlineStr">
        <is>
          <t>2024 Population</t>
        </is>
      </c>
      <c r="E4" s="10" t="inlineStr">
        <is>
          <t>2024 Households</t>
        </is>
      </c>
      <c r="F4" s="10" t="inlineStr">
        <is>
          <t>Target Subs</t>
        </is>
      </c>
      <c r="G4" s="10" t="inlineStr">
        <is>
          <t>Day 1 BTS</t>
        </is>
      </c>
      <c r="H4" s="10" t="inlineStr">
        <is>
          <t>Peak BTS</t>
        </is>
      </c>
      <c r="I4" s="10" t="inlineStr">
        <is>
          <t>Avg Combined Score</t>
        </is>
      </c>
      <c r="J4" s="10" t="inlineStr">
        <is>
          <t>Direct Fiber (&lt;3km)</t>
        </is>
      </c>
      <c r="K4" s="10" t="inlineStr">
        <is>
          <t>Near Fiber (3-5km)</t>
        </is>
      </c>
      <c r="L4" s="10" t="inlineStr">
        <is>
          <t>Starlink LEO (&gt;5km)</t>
        </is>
      </c>
    </row>
    <row r="5">
      <c r="A5" s="11" t="inlineStr">
        <is>
          <t>National Capital Region (NCR)</t>
        </is>
      </c>
      <c r="B5" s="11" t="inlineStr">
        <is>
          <t>First District (Not a Province)</t>
        </is>
      </c>
      <c r="C5" s="12" t="n">
        <v>839</v>
      </c>
      <c r="D5" s="12" t="n">
        <v>1872178</v>
      </c>
      <c r="E5" s="12" t="n">
        <v>471215</v>
      </c>
      <c r="F5" s="12" t="n">
        <v>141360</v>
      </c>
      <c r="G5" s="12" t="n">
        <v>839</v>
      </c>
      <c r="H5" s="12" t="n">
        <v>854</v>
      </c>
      <c r="I5" s="13" t="n">
        <v>62.91210965435042</v>
      </c>
      <c r="J5" s="12" t="n">
        <v>839</v>
      </c>
      <c r="K5" s="12" t="n">
        <v>0</v>
      </c>
      <c r="L5" s="12" t="n">
        <v>0</v>
      </c>
    </row>
    <row r="6">
      <c r="A6" s="11" t="inlineStr">
        <is>
          <t>Region IV-A (CALABARZON)</t>
        </is>
      </c>
      <c r="B6" s="11" t="inlineStr">
        <is>
          <t>Laguna</t>
        </is>
      </c>
      <c r="C6" s="12" t="n">
        <v>303</v>
      </c>
      <c r="D6" s="12" t="n">
        <v>2757471</v>
      </c>
      <c r="E6" s="12" t="n">
        <v>835294</v>
      </c>
      <c r="F6" s="12" t="n">
        <v>250588</v>
      </c>
      <c r="G6" s="12" t="n">
        <v>303</v>
      </c>
      <c r="H6" s="12" t="n">
        <v>439</v>
      </c>
      <c r="I6" s="13" t="n">
        <v>63.27719471947195</v>
      </c>
      <c r="J6" s="12" t="n">
        <v>276</v>
      </c>
      <c r="K6" s="12" t="n">
        <v>25</v>
      </c>
      <c r="L6" s="12" t="n">
        <v>2</v>
      </c>
    </row>
    <row r="7">
      <c r="A7" s="11" t="inlineStr">
        <is>
          <t>National Capital Region (NCR)</t>
        </is>
      </c>
      <c r="B7" s="11" t="inlineStr">
        <is>
          <t>Fourth District (Not a Province)</t>
        </is>
      </c>
      <c r="C7" s="12" t="n">
        <v>269</v>
      </c>
      <c r="D7" s="12" t="n">
        <v>2655715</v>
      </c>
      <c r="E7" s="12" t="n">
        <v>743791</v>
      </c>
      <c r="F7" s="12" t="n">
        <v>223138</v>
      </c>
      <c r="G7" s="12" t="n">
        <v>269</v>
      </c>
      <c r="H7" s="12" t="n">
        <v>426</v>
      </c>
      <c r="I7" s="13" t="n">
        <v>63.35171003717473</v>
      </c>
      <c r="J7" s="12" t="n">
        <v>269</v>
      </c>
      <c r="K7" s="12" t="n">
        <v>0</v>
      </c>
      <c r="L7" s="12" t="n">
        <v>0</v>
      </c>
    </row>
    <row r="8">
      <c r="A8" s="11" t="inlineStr">
        <is>
          <t>Region IV-A (CALABARZON)</t>
        </is>
      </c>
      <c r="B8" s="11" t="inlineStr">
        <is>
          <t>Cavite</t>
        </is>
      </c>
      <c r="C8" s="12" t="n">
        <v>251</v>
      </c>
      <c r="D8" s="12" t="n">
        <v>2076954</v>
      </c>
      <c r="E8" s="12" t="n">
        <v>610867</v>
      </c>
      <c r="F8" s="12" t="n">
        <v>183261</v>
      </c>
      <c r="G8" s="12" t="n">
        <v>251</v>
      </c>
      <c r="H8" s="12" t="n">
        <v>337</v>
      </c>
      <c r="I8" s="13" t="n">
        <v>66.07127490039841</v>
      </c>
      <c r="J8" s="12" t="n">
        <v>238</v>
      </c>
      <c r="K8" s="12" t="n">
        <v>12</v>
      </c>
      <c r="L8" s="12" t="n">
        <v>1</v>
      </c>
    </row>
    <row r="9">
      <c r="A9" s="11" t="inlineStr">
        <is>
          <t>Region III (Central Luzon)</t>
        </is>
      </c>
      <c r="B9" s="11" t="inlineStr">
        <is>
          <t>Bulacan</t>
        </is>
      </c>
      <c r="C9" s="12" t="n">
        <v>244</v>
      </c>
      <c r="D9" s="12" t="n">
        <v>1868302</v>
      </c>
      <c r="E9" s="12" t="n">
        <v>533803</v>
      </c>
      <c r="F9" s="12" t="n">
        <v>160141</v>
      </c>
      <c r="G9" s="12" t="n">
        <v>244</v>
      </c>
      <c r="H9" s="12" t="n">
        <v>305</v>
      </c>
      <c r="I9" s="13" t="n">
        <v>61.88135245901639</v>
      </c>
      <c r="J9" s="12" t="n">
        <v>224</v>
      </c>
      <c r="K9" s="12" t="n">
        <v>14</v>
      </c>
      <c r="L9" s="12" t="n">
        <v>6</v>
      </c>
    </row>
    <row r="10">
      <c r="A10" s="11" t="inlineStr">
        <is>
          <t>National Capital Region (NCR)</t>
        </is>
      </c>
      <c r="B10" s="11" t="inlineStr">
        <is>
          <t>Second District (Not a Province)</t>
        </is>
      </c>
      <c r="C10" s="12" t="n">
        <v>226</v>
      </c>
      <c r="D10" s="12" t="n">
        <v>4842433</v>
      </c>
      <c r="E10" s="12" t="n">
        <v>1310940</v>
      </c>
      <c r="F10" s="12" t="n">
        <v>393275</v>
      </c>
      <c r="G10" s="12" t="n">
        <v>226</v>
      </c>
      <c r="H10" s="12" t="n">
        <v>512</v>
      </c>
      <c r="I10" s="13" t="n">
        <v>65.0246017699115</v>
      </c>
      <c r="J10" s="12" t="n">
        <v>226</v>
      </c>
      <c r="K10" s="12" t="n">
        <v>0</v>
      </c>
      <c r="L10" s="12" t="n">
        <v>0</v>
      </c>
    </row>
    <row r="11">
      <c r="A11" s="11" t="inlineStr">
        <is>
          <t>Region III (Central Luzon)</t>
        </is>
      </c>
      <c r="B11" s="11" t="inlineStr">
        <is>
          <t>Nueva Ecija</t>
        </is>
      </c>
      <c r="C11" s="12" t="n">
        <v>202</v>
      </c>
      <c r="D11" s="12" t="n">
        <v>862952</v>
      </c>
      <c r="E11" s="12" t="n">
        <v>246233</v>
      </c>
      <c r="F11" s="12" t="n">
        <v>73873</v>
      </c>
      <c r="G11" s="12" t="n">
        <v>202</v>
      </c>
      <c r="H11" s="12" t="n">
        <v>207</v>
      </c>
      <c r="I11" s="13" t="n">
        <v>59.94821782178218</v>
      </c>
      <c r="J11" s="12" t="n">
        <v>192</v>
      </c>
      <c r="K11" s="12" t="n">
        <v>5</v>
      </c>
      <c r="L11" s="12" t="n">
        <v>5</v>
      </c>
    </row>
    <row r="12">
      <c r="A12" s="11" t="inlineStr">
        <is>
          <t>Region IV-A (CALABARZON)</t>
        </is>
      </c>
      <c r="B12" s="11" t="inlineStr">
        <is>
          <t>Batangas</t>
        </is>
      </c>
      <c r="C12" s="12" t="n">
        <v>186</v>
      </c>
      <c r="D12" s="12" t="n">
        <v>565139</v>
      </c>
      <c r="E12" s="12" t="n">
        <v>156983</v>
      </c>
      <c r="F12" s="12" t="n">
        <v>47095</v>
      </c>
      <c r="G12" s="12" t="n">
        <v>186</v>
      </c>
      <c r="H12" s="12" t="n">
        <v>191</v>
      </c>
      <c r="I12" s="13" t="n">
        <v>61.99677419354838</v>
      </c>
      <c r="J12" s="12" t="n">
        <v>167</v>
      </c>
      <c r="K12" s="12" t="n">
        <v>9</v>
      </c>
      <c r="L12" s="12" t="n">
        <v>10</v>
      </c>
    </row>
    <row r="13">
      <c r="A13" s="11" t="inlineStr">
        <is>
          <t>Region IV-A (CALABARZON)</t>
        </is>
      </c>
      <c r="B13" s="11" t="inlineStr">
        <is>
          <t>Rizal</t>
        </is>
      </c>
      <c r="C13" s="12" t="n">
        <v>118</v>
      </c>
      <c r="D13" s="12" t="n">
        <v>2774462</v>
      </c>
      <c r="E13" s="12" t="n">
        <v>770685</v>
      </c>
      <c r="F13" s="12" t="n">
        <v>231208</v>
      </c>
      <c r="G13" s="12" t="n">
        <v>118</v>
      </c>
      <c r="H13" s="12" t="n">
        <v>301</v>
      </c>
      <c r="I13" s="13" t="n">
        <v>64.3521186440678</v>
      </c>
      <c r="J13" s="12" t="n">
        <v>115</v>
      </c>
      <c r="K13" s="12" t="n">
        <v>1</v>
      </c>
      <c r="L13" s="12" t="n">
        <v>2</v>
      </c>
    </row>
    <row r="14">
      <c r="A14" s="11" t="inlineStr">
        <is>
          <t>Region IV-A (CALABARZON)</t>
        </is>
      </c>
      <c r="B14" s="11" t="inlineStr">
        <is>
          <t>Quezon</t>
        </is>
      </c>
      <c r="C14" s="12" t="n">
        <v>118</v>
      </c>
      <c r="D14" s="12" t="n">
        <v>265584</v>
      </c>
      <c r="E14" s="12" t="n">
        <v>69887</v>
      </c>
      <c r="F14" s="12" t="n">
        <v>20966</v>
      </c>
      <c r="G14" s="12" t="n">
        <v>118</v>
      </c>
      <c r="H14" s="12" t="n">
        <v>119</v>
      </c>
      <c r="I14" s="13" t="n">
        <v>60.85906779661017</v>
      </c>
      <c r="J14" s="12" t="n">
        <v>76</v>
      </c>
      <c r="K14" s="12" t="n">
        <v>15</v>
      </c>
      <c r="L14" s="12" t="n">
        <v>27</v>
      </c>
    </row>
    <row r="15">
      <c r="A15" s="11" t="inlineStr">
        <is>
          <t>Region III (Central Luzon)</t>
        </is>
      </c>
      <c r="B15" s="11" t="inlineStr">
        <is>
          <t>Bataan</t>
        </is>
      </c>
      <c r="C15" s="12" t="n">
        <v>112</v>
      </c>
      <c r="D15" s="12" t="n">
        <v>479879</v>
      </c>
      <c r="E15" s="12" t="n">
        <v>133297</v>
      </c>
      <c r="F15" s="12" t="n">
        <v>39989</v>
      </c>
      <c r="G15" s="12" t="n">
        <v>112</v>
      </c>
      <c r="H15" s="12" t="n">
        <v>119</v>
      </c>
      <c r="I15" s="13" t="n">
        <v>62.99571428571429</v>
      </c>
      <c r="J15" s="12" t="n">
        <v>99</v>
      </c>
      <c r="K15" s="12" t="n">
        <v>12</v>
      </c>
      <c r="L15" s="12" t="n">
        <v>1</v>
      </c>
    </row>
    <row r="16">
      <c r="A16" s="11" t="inlineStr">
        <is>
          <t>Region VI (Western Visayas)</t>
        </is>
      </c>
      <c r="B16" s="11" t="inlineStr">
        <is>
          <t>Iloilo</t>
        </is>
      </c>
      <c r="C16" s="12" t="n">
        <v>110</v>
      </c>
      <c r="D16" s="12" t="n">
        <v>467344</v>
      </c>
      <c r="E16" s="12" t="n">
        <v>115098</v>
      </c>
      <c r="F16" s="12" t="n">
        <v>34528</v>
      </c>
      <c r="G16" s="12" t="n">
        <v>110</v>
      </c>
      <c r="H16" s="12" t="n">
        <v>111</v>
      </c>
      <c r="I16" s="13" t="n">
        <v>59.94254545454546</v>
      </c>
      <c r="J16" s="12" t="n">
        <v>95</v>
      </c>
      <c r="K16" s="12" t="n">
        <v>2</v>
      </c>
      <c r="L16" s="12" t="n">
        <v>13</v>
      </c>
    </row>
    <row r="17">
      <c r="A17" s="11" t="inlineStr">
        <is>
          <t>Region VII (Central Visayas)</t>
        </is>
      </c>
      <c r="B17" s="11" t="inlineStr">
        <is>
          <t>Cebu</t>
        </is>
      </c>
      <c r="C17" s="12" t="n">
        <v>93</v>
      </c>
      <c r="D17" s="12" t="n">
        <v>669691</v>
      </c>
      <c r="E17" s="12" t="n">
        <v>176239</v>
      </c>
      <c r="F17" s="12" t="n">
        <v>52875</v>
      </c>
      <c r="G17" s="12" t="n">
        <v>93</v>
      </c>
      <c r="H17" s="12" t="n">
        <v>111</v>
      </c>
      <c r="I17" s="13" t="n">
        <v>62.0658064516129</v>
      </c>
      <c r="J17" s="12" t="n">
        <v>87</v>
      </c>
      <c r="K17" s="12" t="n">
        <v>5</v>
      </c>
      <c r="L17" s="12" t="n">
        <v>1</v>
      </c>
    </row>
    <row r="18">
      <c r="A18" s="11" t="inlineStr">
        <is>
          <t>Region I (Ilocos Region)</t>
        </is>
      </c>
      <c r="B18" s="11" t="inlineStr">
        <is>
          <t>Pangasinan</t>
        </is>
      </c>
      <c r="C18" s="12" t="n">
        <v>85</v>
      </c>
      <c r="D18" s="12" t="n">
        <v>328699</v>
      </c>
      <c r="E18" s="12" t="n">
        <v>91311</v>
      </c>
      <c r="F18" s="12" t="n">
        <v>27394</v>
      </c>
      <c r="G18" s="12" t="n">
        <v>85</v>
      </c>
      <c r="H18" s="12" t="n">
        <v>86</v>
      </c>
      <c r="I18" s="13" t="n">
        <v>59.70129411764705</v>
      </c>
      <c r="J18" s="12" t="n">
        <v>78</v>
      </c>
      <c r="K18" s="12" t="n">
        <v>1</v>
      </c>
      <c r="L18" s="12" t="n">
        <v>6</v>
      </c>
    </row>
    <row r="19">
      <c r="A19" s="11" t="inlineStr">
        <is>
          <t>Region III (Central Luzon)</t>
        </is>
      </c>
      <c r="B19" s="11" t="inlineStr">
        <is>
          <t>Pampanga</t>
        </is>
      </c>
      <c r="C19" s="12" t="n">
        <v>80</v>
      </c>
      <c r="D19" s="12" t="n">
        <v>543175</v>
      </c>
      <c r="E19" s="12" t="n">
        <v>135792</v>
      </c>
      <c r="F19" s="12" t="n">
        <v>40740</v>
      </c>
      <c r="G19" s="12" t="n">
        <v>80</v>
      </c>
      <c r="H19" s="12" t="n">
        <v>93</v>
      </c>
      <c r="I19" s="13" t="n">
        <v>59.747375</v>
      </c>
      <c r="J19" s="12" t="n">
        <v>72</v>
      </c>
      <c r="K19" s="12" t="n">
        <v>6</v>
      </c>
      <c r="L19" s="12" t="n">
        <v>2</v>
      </c>
    </row>
    <row r="20">
      <c r="A20" s="11" t="inlineStr">
        <is>
          <t>Region II (Cagayan Valley)</t>
        </is>
      </c>
      <c r="B20" s="11" t="inlineStr">
        <is>
          <t>Cagayan</t>
        </is>
      </c>
      <c r="C20" s="12" t="n">
        <v>74</v>
      </c>
      <c r="D20" s="12" t="n">
        <v>181514</v>
      </c>
      <c r="E20" s="12" t="n">
        <v>46559</v>
      </c>
      <c r="F20" s="12" t="n">
        <v>13969</v>
      </c>
      <c r="G20" s="12" t="n">
        <v>74</v>
      </c>
      <c r="H20" s="12" t="n">
        <v>74</v>
      </c>
      <c r="I20" s="13" t="n">
        <v>62.40837837837838</v>
      </c>
      <c r="J20" s="12" t="n">
        <v>23</v>
      </c>
      <c r="K20" s="12" t="n">
        <v>19</v>
      </c>
      <c r="L20" s="12" t="n">
        <v>32</v>
      </c>
    </row>
    <row r="21">
      <c r="A21" s="11" t="inlineStr">
        <is>
          <t>Region I (Ilocos Region)</t>
        </is>
      </c>
      <c r="B21" s="11" t="inlineStr">
        <is>
          <t>La Union</t>
        </is>
      </c>
      <c r="C21" s="12" t="n">
        <v>74</v>
      </c>
      <c r="D21" s="12" t="n">
        <v>183471</v>
      </c>
      <c r="E21" s="12" t="n">
        <v>49590</v>
      </c>
      <c r="F21" s="12" t="n">
        <v>14877</v>
      </c>
      <c r="G21" s="12" t="n">
        <v>74</v>
      </c>
      <c r="H21" s="12" t="n">
        <v>74</v>
      </c>
      <c r="I21" s="13" t="n">
        <v>60.465</v>
      </c>
      <c r="J21" s="12" t="n">
        <v>61</v>
      </c>
      <c r="K21" s="12" t="n">
        <v>6</v>
      </c>
      <c r="L21" s="12" t="n">
        <v>7</v>
      </c>
    </row>
    <row r="22">
      <c r="A22" s="11" t="inlineStr">
        <is>
          <t>Region III (Central Luzon)</t>
        </is>
      </c>
      <c r="B22" s="11" t="inlineStr">
        <is>
          <t>Tarlac</t>
        </is>
      </c>
      <c r="C22" s="12" t="n">
        <v>69</v>
      </c>
      <c r="D22" s="12" t="n">
        <v>406674</v>
      </c>
      <c r="E22" s="12" t="n">
        <v>104277</v>
      </c>
      <c r="F22" s="12" t="n">
        <v>31284</v>
      </c>
      <c r="G22" s="12" t="n">
        <v>69</v>
      </c>
      <c r="H22" s="12" t="n">
        <v>77</v>
      </c>
      <c r="I22" s="13" t="n">
        <v>60.57840579710145</v>
      </c>
      <c r="J22" s="12" t="n">
        <v>65</v>
      </c>
      <c r="K22" s="12" t="n">
        <v>3</v>
      </c>
      <c r="L22" s="12" t="n">
        <v>1</v>
      </c>
    </row>
    <row r="23">
      <c r="A23" s="11" t="inlineStr">
        <is>
          <t>National Capital Region (NCR)</t>
        </is>
      </c>
      <c r="B23" s="11" t="inlineStr">
        <is>
          <t>Third District (Not a Province)</t>
        </is>
      </c>
      <c r="C23" s="12" t="n">
        <v>67</v>
      </c>
      <c r="D23" s="12" t="n">
        <v>1279158</v>
      </c>
      <c r="E23" s="12" t="n">
        <v>362875</v>
      </c>
      <c r="F23" s="12" t="n">
        <v>108862</v>
      </c>
      <c r="G23" s="12" t="n">
        <v>67</v>
      </c>
      <c r="H23" s="12" t="n">
        <v>147</v>
      </c>
      <c r="I23" s="13" t="n">
        <v>66.95358208955224</v>
      </c>
      <c r="J23" s="12" t="n">
        <v>67</v>
      </c>
      <c r="K23" s="12" t="n">
        <v>0</v>
      </c>
      <c r="L23" s="12" t="n">
        <v>0</v>
      </c>
    </row>
    <row r="24">
      <c r="A24" s="11" t="inlineStr">
        <is>
          <t>Bangsamoro Autonomous Region In Muslim Mindanao (BARMM)</t>
        </is>
      </c>
      <c r="B24" s="11" t="inlineStr">
        <is>
          <t>Maguindanao del Norte</t>
        </is>
      </c>
      <c r="C24" s="12" t="n">
        <v>67</v>
      </c>
      <c r="D24" s="12" t="n">
        <v>329265</v>
      </c>
      <c r="E24" s="12" t="n">
        <v>76660</v>
      </c>
      <c r="F24" s="12" t="n">
        <v>23001</v>
      </c>
      <c r="G24" s="12" t="n">
        <v>67</v>
      </c>
      <c r="H24" s="12" t="n">
        <v>67</v>
      </c>
      <c r="I24" s="13" t="n">
        <v>62.79835820895522</v>
      </c>
      <c r="J24" s="12" t="n">
        <v>0</v>
      </c>
      <c r="K24" s="12" t="n">
        <v>0</v>
      </c>
      <c r="L24" s="12" t="n">
        <v>67</v>
      </c>
    </row>
    <row r="25">
      <c r="A25" s="11" t="inlineStr">
        <is>
          <t>Region VI (Western Visayas)</t>
        </is>
      </c>
      <c r="B25" s="11" t="inlineStr">
        <is>
          <t>Aklan</t>
        </is>
      </c>
      <c r="C25" s="12" t="n">
        <v>61</v>
      </c>
      <c r="D25" s="12" t="n">
        <v>175257</v>
      </c>
      <c r="E25" s="12" t="n">
        <v>44936</v>
      </c>
      <c r="F25" s="12" t="n">
        <v>13483</v>
      </c>
      <c r="G25" s="12" t="n">
        <v>61</v>
      </c>
      <c r="H25" s="12" t="n">
        <v>63</v>
      </c>
      <c r="I25" s="13" t="n">
        <v>61.9516393442623</v>
      </c>
      <c r="J25" s="12" t="n">
        <v>17</v>
      </c>
      <c r="K25" s="12" t="n">
        <v>7</v>
      </c>
      <c r="L25" s="12" t="n">
        <v>37</v>
      </c>
    </row>
    <row r="26">
      <c r="A26" s="11" t="inlineStr">
        <is>
          <t>Region I (Ilocos Region)</t>
        </is>
      </c>
      <c r="B26" s="11" t="inlineStr">
        <is>
          <t>Ilocos Norte</t>
        </is>
      </c>
      <c r="C26" s="12" t="n">
        <v>60</v>
      </c>
      <c r="D26" s="12" t="n">
        <v>81106</v>
      </c>
      <c r="E26" s="12" t="n">
        <v>21918</v>
      </c>
      <c r="F26" s="12" t="n">
        <v>6574</v>
      </c>
      <c r="G26" s="12" t="n">
        <v>60</v>
      </c>
      <c r="H26" s="12" t="n">
        <v>60</v>
      </c>
      <c r="I26" s="13" t="n">
        <v>64.56416666666667</v>
      </c>
      <c r="J26" s="12" t="n">
        <v>31</v>
      </c>
      <c r="K26" s="12" t="n">
        <v>10</v>
      </c>
      <c r="L26" s="12" t="n">
        <v>19</v>
      </c>
    </row>
    <row r="27">
      <c r="A27" s="11" t="inlineStr">
        <is>
          <t>Region I (Ilocos Region)</t>
        </is>
      </c>
      <c r="B27" s="11" t="inlineStr">
        <is>
          <t>Ilocos Sur</t>
        </is>
      </c>
      <c r="C27" s="12" t="n">
        <v>60</v>
      </c>
      <c r="D27" s="12" t="n">
        <v>75173</v>
      </c>
      <c r="E27" s="12" t="n">
        <v>19773</v>
      </c>
      <c r="F27" s="12" t="n">
        <v>5932</v>
      </c>
      <c r="G27" s="12" t="n">
        <v>60</v>
      </c>
      <c r="H27" s="12" t="n">
        <v>60</v>
      </c>
      <c r="I27" s="13" t="n">
        <v>62.65466666666667</v>
      </c>
      <c r="J27" s="12" t="n">
        <v>39</v>
      </c>
      <c r="K27" s="12" t="n">
        <v>9</v>
      </c>
      <c r="L27" s="12" t="n">
        <v>12</v>
      </c>
    </row>
    <row r="28">
      <c r="A28" s="11" t="inlineStr">
        <is>
          <t>Region VI (Western Visayas)</t>
        </is>
      </c>
      <c r="B28" s="11" t="inlineStr">
        <is>
          <t>Negros Occidental</t>
        </is>
      </c>
      <c r="C28" s="12" t="n">
        <v>59</v>
      </c>
      <c r="D28" s="12" t="n">
        <v>212159</v>
      </c>
      <c r="E28" s="12" t="n">
        <v>57344</v>
      </c>
      <c r="F28" s="12" t="n">
        <v>17204</v>
      </c>
      <c r="G28" s="12" t="n">
        <v>59</v>
      </c>
      <c r="H28" s="12" t="n">
        <v>61</v>
      </c>
      <c r="I28" s="13" t="n">
        <v>60.82576271186441</v>
      </c>
      <c r="J28" s="12" t="n">
        <v>46</v>
      </c>
      <c r="K28" s="12" t="n">
        <v>6</v>
      </c>
      <c r="L28" s="12" t="n">
        <v>7</v>
      </c>
    </row>
    <row r="29">
      <c r="A29" s="11" t="inlineStr">
        <is>
          <t>Region II (Cagayan Valley)</t>
        </is>
      </c>
      <c r="B29" s="11" t="inlineStr">
        <is>
          <t>Nueva Vizcaya</t>
        </is>
      </c>
      <c r="C29" s="12" t="n">
        <v>53</v>
      </c>
      <c r="D29" s="12" t="n">
        <v>94890</v>
      </c>
      <c r="E29" s="12" t="n">
        <v>24972</v>
      </c>
      <c r="F29" s="12" t="n">
        <v>7490</v>
      </c>
      <c r="G29" s="12" t="n">
        <v>53</v>
      </c>
      <c r="H29" s="12" t="n">
        <v>53</v>
      </c>
      <c r="I29" s="13" t="n">
        <v>61.69547169811321</v>
      </c>
      <c r="J29" s="12" t="n">
        <v>15</v>
      </c>
      <c r="K29" s="12" t="n">
        <v>5</v>
      </c>
      <c r="L29" s="12" t="n">
        <v>33</v>
      </c>
    </row>
    <row r="30">
      <c r="A30" s="11" t="inlineStr">
        <is>
          <t>Cordillera Administrative Region (CAR)</t>
        </is>
      </c>
      <c r="B30" s="11" t="inlineStr">
        <is>
          <t>Benguet</t>
        </is>
      </c>
      <c r="C30" s="12" t="n">
        <v>51</v>
      </c>
      <c r="D30" s="12" t="n">
        <v>221160</v>
      </c>
      <c r="E30" s="12" t="n">
        <v>62488</v>
      </c>
      <c r="F30" s="12" t="n">
        <v>18747</v>
      </c>
      <c r="G30" s="12" t="n">
        <v>51</v>
      </c>
      <c r="H30" s="12" t="n">
        <v>54</v>
      </c>
      <c r="I30" s="13" t="n">
        <v>62.01666666666667</v>
      </c>
      <c r="J30" s="12" t="n">
        <v>31</v>
      </c>
      <c r="K30" s="12" t="n">
        <v>9</v>
      </c>
      <c r="L30" s="12" t="n">
        <v>11</v>
      </c>
    </row>
    <row r="31">
      <c r="A31" s="11" t="inlineStr">
        <is>
          <t>MIMAROPA Region</t>
        </is>
      </c>
      <c r="B31" s="11" t="inlineStr">
        <is>
          <t>Palawan</t>
        </is>
      </c>
      <c r="C31" s="12" t="n">
        <v>51</v>
      </c>
      <c r="D31" s="12" t="n">
        <v>138584</v>
      </c>
      <c r="E31" s="12" t="n">
        <v>35864</v>
      </c>
      <c r="F31" s="12" t="n">
        <v>10759</v>
      </c>
      <c r="G31" s="12" t="n">
        <v>51</v>
      </c>
      <c r="H31" s="12" t="n">
        <v>51</v>
      </c>
      <c r="I31" s="13" t="n">
        <v>61.77156862745098</v>
      </c>
      <c r="J31" s="12" t="n">
        <v>7</v>
      </c>
      <c r="K31" s="12" t="n">
        <v>1</v>
      </c>
      <c r="L31" s="12" t="n">
        <v>43</v>
      </c>
    </row>
    <row r="32">
      <c r="A32" s="11" t="inlineStr">
        <is>
          <t>Region X (Northern Mindanao)</t>
        </is>
      </c>
      <c r="B32" s="11" t="inlineStr">
        <is>
          <t>Misamis Oriental</t>
        </is>
      </c>
      <c r="C32" s="12" t="n">
        <v>46</v>
      </c>
      <c r="D32" s="12" t="n">
        <v>196298</v>
      </c>
      <c r="E32" s="12" t="n">
        <v>50333</v>
      </c>
      <c r="F32" s="12" t="n">
        <v>15101</v>
      </c>
      <c r="G32" s="12" t="n">
        <v>46</v>
      </c>
      <c r="H32" s="12" t="n">
        <v>48</v>
      </c>
      <c r="I32" s="13" t="n">
        <v>60.88021739130434</v>
      </c>
      <c r="J32" s="12" t="n">
        <v>38</v>
      </c>
      <c r="K32" s="12" t="n">
        <v>1</v>
      </c>
      <c r="L32" s="12" t="n">
        <v>7</v>
      </c>
    </row>
    <row r="33">
      <c r="A33" s="11" t="inlineStr">
        <is>
          <t>Region II (Cagayan Valley)</t>
        </is>
      </c>
      <c r="B33" s="11" t="inlineStr">
        <is>
          <t>Isabela</t>
        </is>
      </c>
      <c r="C33" s="12" t="n">
        <v>42</v>
      </c>
      <c r="D33" s="12" t="n">
        <v>152762</v>
      </c>
      <c r="E33" s="12" t="n">
        <v>40202</v>
      </c>
      <c r="F33" s="12" t="n">
        <v>12060</v>
      </c>
      <c r="G33" s="12" t="n">
        <v>42</v>
      </c>
      <c r="H33" s="12" t="n">
        <v>43</v>
      </c>
      <c r="I33" s="13" t="n">
        <v>61.29666666666667</v>
      </c>
      <c r="J33" s="12" t="n">
        <v>25</v>
      </c>
      <c r="K33" s="12" t="n">
        <v>7</v>
      </c>
      <c r="L33" s="12" t="n">
        <v>10</v>
      </c>
    </row>
    <row r="34">
      <c r="A34" s="11" t="inlineStr">
        <is>
          <t>Bangsamoro Autonomous Region In Muslim Mindanao (BARMM)</t>
        </is>
      </c>
      <c r="B34" s="11" t="inlineStr">
        <is>
          <t>Tawi-Tawi</t>
        </is>
      </c>
      <c r="C34" s="12" t="n">
        <v>42</v>
      </c>
      <c r="D34" s="12" t="n">
        <v>126305</v>
      </c>
      <c r="E34" s="12" t="n">
        <v>21777</v>
      </c>
      <c r="F34" s="12" t="n">
        <v>6533</v>
      </c>
      <c r="G34" s="12" t="n">
        <v>42</v>
      </c>
      <c r="H34" s="12" t="n">
        <v>42</v>
      </c>
      <c r="I34" s="13" t="n">
        <v>59.98857142857143</v>
      </c>
      <c r="J34" s="12" t="n">
        <v>0</v>
      </c>
      <c r="K34" s="12" t="n">
        <v>0</v>
      </c>
      <c r="L34" s="12" t="n">
        <v>42</v>
      </c>
    </row>
    <row r="35">
      <c r="A35" s="11" t="inlineStr">
        <is>
          <t>Cordillera Administrative Region (CAR)</t>
        </is>
      </c>
      <c r="B35" s="11" t="inlineStr">
        <is>
          <t>Kalinga</t>
        </is>
      </c>
      <c r="C35" s="12" t="n">
        <v>41</v>
      </c>
      <c r="D35" s="12" t="n">
        <v>68956</v>
      </c>
      <c r="E35" s="12" t="n">
        <v>16222</v>
      </c>
      <c r="F35" s="12" t="n">
        <v>4864</v>
      </c>
      <c r="G35" s="12" t="n">
        <v>41</v>
      </c>
      <c r="H35" s="12" t="n">
        <v>42</v>
      </c>
      <c r="I35" s="13" t="n">
        <v>62.94243902439024</v>
      </c>
      <c r="J35" s="12" t="n">
        <v>7</v>
      </c>
      <c r="K35" s="12" t="n">
        <v>11</v>
      </c>
      <c r="L35" s="12" t="n">
        <v>23</v>
      </c>
    </row>
    <row r="36">
      <c r="A36" s="11" t="inlineStr">
        <is>
          <t>Region VI (Western Visayas)</t>
        </is>
      </c>
      <c r="B36" s="11" t="inlineStr">
        <is>
          <t>Capiz</t>
        </is>
      </c>
      <c r="C36" s="12" t="n">
        <v>39</v>
      </c>
      <c r="D36" s="12" t="n">
        <v>75939</v>
      </c>
      <c r="E36" s="12" t="n">
        <v>19984</v>
      </c>
      <c r="F36" s="12" t="n">
        <v>5995</v>
      </c>
      <c r="G36" s="12" t="n">
        <v>39</v>
      </c>
      <c r="H36" s="12" t="n">
        <v>39</v>
      </c>
      <c r="I36" s="13" t="n">
        <v>60.09948717948718</v>
      </c>
      <c r="J36" s="12" t="n">
        <v>14</v>
      </c>
      <c r="K36" s="12" t="n">
        <v>4</v>
      </c>
      <c r="L36" s="12" t="n">
        <v>21</v>
      </c>
    </row>
    <row r="37">
      <c r="A37" s="11" t="inlineStr">
        <is>
          <t>Region V (Bicol Region)</t>
        </is>
      </c>
      <c r="B37" s="11" t="inlineStr">
        <is>
          <t>Albay</t>
        </is>
      </c>
      <c r="C37" s="12" t="n">
        <v>38</v>
      </c>
      <c r="D37" s="12" t="n">
        <v>106761</v>
      </c>
      <c r="E37" s="12" t="n">
        <v>26040</v>
      </c>
      <c r="F37" s="12" t="n">
        <v>7812</v>
      </c>
      <c r="G37" s="12" t="n">
        <v>38</v>
      </c>
      <c r="H37" s="12" t="n">
        <v>38</v>
      </c>
      <c r="I37" s="13" t="n">
        <v>61.24605263157895</v>
      </c>
      <c r="J37" s="12" t="n">
        <v>19</v>
      </c>
      <c r="K37" s="12" t="n">
        <v>9</v>
      </c>
      <c r="L37" s="12" t="n">
        <v>10</v>
      </c>
    </row>
    <row r="38">
      <c r="A38" s="11" t="inlineStr">
        <is>
          <t>Region VIII (Eastern Visayas)</t>
        </is>
      </c>
      <c r="B38" s="11" t="inlineStr">
        <is>
          <t>Leyte</t>
        </is>
      </c>
      <c r="C38" s="12" t="n">
        <v>38</v>
      </c>
      <c r="D38" s="12" t="n">
        <v>88119</v>
      </c>
      <c r="E38" s="12" t="n">
        <v>23190</v>
      </c>
      <c r="F38" s="12" t="n">
        <v>6959</v>
      </c>
      <c r="G38" s="12" t="n">
        <v>38</v>
      </c>
      <c r="H38" s="12" t="n">
        <v>38</v>
      </c>
      <c r="I38" s="13" t="n">
        <v>60.13342105263158</v>
      </c>
      <c r="J38" s="12" t="n">
        <v>30</v>
      </c>
      <c r="K38" s="12" t="n">
        <v>0</v>
      </c>
      <c r="L38" s="12" t="n">
        <v>8</v>
      </c>
    </row>
    <row r="39">
      <c r="A39" s="11" t="inlineStr">
        <is>
          <t>Region V (Bicol Region)</t>
        </is>
      </c>
      <c r="B39" s="11" t="inlineStr">
        <is>
          <t>Camarines Sur</t>
        </is>
      </c>
      <c r="C39" s="12" t="n">
        <v>36</v>
      </c>
      <c r="D39" s="12" t="n">
        <v>83401</v>
      </c>
      <c r="E39" s="12" t="n">
        <v>19856</v>
      </c>
      <c r="F39" s="12" t="n">
        <v>5958</v>
      </c>
      <c r="G39" s="12" t="n">
        <v>36</v>
      </c>
      <c r="H39" s="12" t="n">
        <v>36</v>
      </c>
      <c r="I39" s="13" t="n">
        <v>59.95166666666668</v>
      </c>
      <c r="J39" s="12" t="n">
        <v>20</v>
      </c>
      <c r="K39" s="12" t="n">
        <v>9</v>
      </c>
      <c r="L39" s="12" t="n">
        <v>7</v>
      </c>
    </row>
    <row r="40">
      <c r="A40" s="11" t="inlineStr">
        <is>
          <t>Bangsamoro Autonomous Region In Muslim Mindanao (BARMM)</t>
        </is>
      </c>
      <c r="B40" s="11" t="inlineStr">
        <is>
          <t>Maguindanao del Sur</t>
        </is>
      </c>
      <c r="C40" s="12" t="n">
        <v>36</v>
      </c>
      <c r="D40" s="12" t="n">
        <v>134104</v>
      </c>
      <c r="E40" s="12" t="n">
        <v>28534</v>
      </c>
      <c r="F40" s="12" t="n">
        <v>8558</v>
      </c>
      <c r="G40" s="12" t="n">
        <v>36</v>
      </c>
      <c r="H40" s="12" t="n">
        <v>36</v>
      </c>
      <c r="I40" s="13" t="n">
        <v>61.17638888888889</v>
      </c>
      <c r="J40" s="12" t="n">
        <v>0</v>
      </c>
      <c r="K40" s="12" t="n">
        <v>0</v>
      </c>
      <c r="L40" s="12" t="n">
        <v>36</v>
      </c>
    </row>
    <row r="41">
      <c r="A41" s="11" t="inlineStr">
        <is>
          <t>Region VIII (Eastern Visayas)</t>
        </is>
      </c>
      <c r="B41" s="11" t="inlineStr">
        <is>
          <t>Samar</t>
        </is>
      </c>
      <c r="C41" s="12" t="n">
        <v>32</v>
      </c>
      <c r="D41" s="12" t="n">
        <v>36121</v>
      </c>
      <c r="E41" s="12" t="n">
        <v>8810</v>
      </c>
      <c r="F41" s="12" t="n">
        <v>2644</v>
      </c>
      <c r="G41" s="12" t="n">
        <v>32</v>
      </c>
      <c r="H41" s="12" t="n">
        <v>32</v>
      </c>
      <c r="I41" s="13" t="n">
        <v>60.3678125</v>
      </c>
      <c r="J41" s="12" t="n">
        <v>0</v>
      </c>
      <c r="K41" s="12" t="n">
        <v>0</v>
      </c>
      <c r="L41" s="12" t="n">
        <v>32</v>
      </c>
    </row>
    <row r="42">
      <c r="A42" s="11" t="inlineStr">
        <is>
          <t>Region V (Bicol Region)</t>
        </is>
      </c>
      <c r="B42" s="11" t="inlineStr">
        <is>
          <t>Sorsogon</t>
        </is>
      </c>
      <c r="C42" s="12" t="n">
        <v>31</v>
      </c>
      <c r="D42" s="12" t="n">
        <v>61400</v>
      </c>
      <c r="E42" s="12" t="n">
        <v>15350</v>
      </c>
      <c r="F42" s="12" t="n">
        <v>4605</v>
      </c>
      <c r="G42" s="12" t="n">
        <v>31</v>
      </c>
      <c r="H42" s="12" t="n">
        <v>31</v>
      </c>
      <c r="I42" s="13" t="n">
        <v>61.03064516129032</v>
      </c>
      <c r="J42" s="12" t="n">
        <v>13</v>
      </c>
      <c r="K42" s="12" t="n">
        <v>10</v>
      </c>
      <c r="L42" s="12" t="n">
        <v>8</v>
      </c>
    </row>
    <row r="43">
      <c r="A43" s="11" t="inlineStr">
        <is>
          <t>Region XI (Davao Region)</t>
        </is>
      </c>
      <c r="B43" s="11" t="inlineStr">
        <is>
          <t>Davao Occidental</t>
        </is>
      </c>
      <c r="C43" s="12" t="n">
        <v>30</v>
      </c>
      <c r="D43" s="12" t="n">
        <v>87533</v>
      </c>
      <c r="E43" s="12" t="n">
        <v>24096</v>
      </c>
      <c r="F43" s="12" t="n">
        <v>7231</v>
      </c>
      <c r="G43" s="12" t="n">
        <v>30</v>
      </c>
      <c r="H43" s="12" t="n">
        <v>30</v>
      </c>
      <c r="I43" s="13" t="n">
        <v>63.78766666666666</v>
      </c>
      <c r="J43" s="12" t="n">
        <v>0</v>
      </c>
      <c r="K43" s="12" t="n">
        <v>0</v>
      </c>
      <c r="L43" s="12" t="n">
        <v>30</v>
      </c>
    </row>
    <row r="44">
      <c r="A44" s="11" t="inlineStr">
        <is>
          <t>Region XI (Davao Region)</t>
        </is>
      </c>
      <c r="B44" s="11" t="inlineStr">
        <is>
          <t>Davao del Norte</t>
        </is>
      </c>
      <c r="C44" s="12" t="n">
        <v>29</v>
      </c>
      <c r="D44" s="12" t="n">
        <v>357597</v>
      </c>
      <c r="E44" s="12" t="n">
        <v>96648</v>
      </c>
      <c r="F44" s="12" t="n">
        <v>28997</v>
      </c>
      <c r="G44" s="12" t="n">
        <v>29</v>
      </c>
      <c r="H44" s="12" t="n">
        <v>47</v>
      </c>
      <c r="I44" s="13" t="n">
        <v>63.45137931034483</v>
      </c>
      <c r="J44" s="12" t="n">
        <v>21</v>
      </c>
      <c r="K44" s="12" t="n">
        <v>6</v>
      </c>
      <c r="L44" s="12" t="n">
        <v>2</v>
      </c>
    </row>
    <row r="45">
      <c r="A45" s="11" t="inlineStr">
        <is>
          <t>Region XI (Davao Region)</t>
        </is>
      </c>
      <c r="B45" s="11" t="inlineStr">
        <is>
          <t>Davao de Oro</t>
        </is>
      </c>
      <c r="C45" s="12" t="n">
        <v>29</v>
      </c>
      <c r="D45" s="12" t="n">
        <v>70823</v>
      </c>
      <c r="E45" s="12" t="n">
        <v>19143</v>
      </c>
      <c r="F45" s="12" t="n">
        <v>5743</v>
      </c>
      <c r="G45" s="12" t="n">
        <v>29</v>
      </c>
      <c r="H45" s="12" t="n">
        <v>29</v>
      </c>
      <c r="I45" s="13" t="n">
        <v>62.43586206896552</v>
      </c>
      <c r="J45" s="12" t="n">
        <v>2</v>
      </c>
      <c r="K45" s="12" t="n">
        <v>0</v>
      </c>
      <c r="L45" s="12" t="n">
        <v>27</v>
      </c>
    </row>
    <row r="46">
      <c r="A46" s="11" t="inlineStr">
        <is>
          <t>Region X (Northern Mindanao)</t>
        </is>
      </c>
      <c r="B46" s="11" t="inlineStr">
        <is>
          <t>Lanao del Norte</t>
        </is>
      </c>
      <c r="C46" s="12" t="n">
        <v>29</v>
      </c>
      <c r="D46" s="12" t="n">
        <v>39898</v>
      </c>
      <c r="E46" s="12" t="n">
        <v>9500</v>
      </c>
      <c r="F46" s="12" t="n">
        <v>2849</v>
      </c>
      <c r="G46" s="12" t="n">
        <v>29</v>
      </c>
      <c r="H46" s="12" t="n">
        <v>29</v>
      </c>
      <c r="I46" s="13" t="n">
        <v>60.13931034482759</v>
      </c>
      <c r="J46" s="12" t="n">
        <v>0</v>
      </c>
      <c r="K46" s="12" t="n">
        <v>1</v>
      </c>
      <c r="L46" s="12" t="n">
        <v>28</v>
      </c>
    </row>
    <row r="47">
      <c r="A47" s="11" t="inlineStr">
        <is>
          <t>MIMAROPA Region</t>
        </is>
      </c>
      <c r="B47" s="11" t="inlineStr">
        <is>
          <t>Oriental Mindoro</t>
        </is>
      </c>
      <c r="C47" s="12" t="n">
        <v>28</v>
      </c>
      <c r="D47" s="12" t="n">
        <v>105878</v>
      </c>
      <c r="E47" s="12" t="n">
        <v>27148</v>
      </c>
      <c r="F47" s="12" t="n">
        <v>8144</v>
      </c>
      <c r="G47" s="12" t="n">
        <v>28</v>
      </c>
      <c r="H47" s="12" t="n">
        <v>28</v>
      </c>
      <c r="I47" s="13" t="n">
        <v>59.72964285714286</v>
      </c>
      <c r="J47" s="12" t="n">
        <v>24</v>
      </c>
      <c r="K47" s="12" t="n">
        <v>4</v>
      </c>
      <c r="L47" s="12" t="n">
        <v>0</v>
      </c>
    </row>
    <row r="48">
      <c r="A48" s="11" t="inlineStr">
        <is>
          <t>Region XI (Davao Region)</t>
        </is>
      </c>
      <c r="B48" s="11" t="inlineStr">
        <is>
          <t>Davao Oriental</t>
        </is>
      </c>
      <c r="C48" s="12" t="n">
        <v>28</v>
      </c>
      <c r="D48" s="12" t="n">
        <v>72837</v>
      </c>
      <c r="E48" s="12" t="n">
        <v>20233</v>
      </c>
      <c r="F48" s="12" t="n">
        <v>6070</v>
      </c>
      <c r="G48" s="12" t="n">
        <v>28</v>
      </c>
      <c r="H48" s="12" t="n">
        <v>28</v>
      </c>
      <c r="I48" s="13" t="n">
        <v>62.63071428571429</v>
      </c>
      <c r="J48" s="12" t="n">
        <v>0</v>
      </c>
      <c r="K48" s="12" t="n">
        <v>0</v>
      </c>
      <c r="L48" s="12" t="n">
        <v>28</v>
      </c>
    </row>
    <row r="49">
      <c r="A49" s="11" t="inlineStr">
        <is>
          <t>Bangsamoro Autonomous Region In Muslim Mindanao (BARMM)</t>
        </is>
      </c>
      <c r="B49" s="11" t="inlineStr">
        <is>
          <t>Sulu</t>
        </is>
      </c>
      <c r="C49" s="12" t="n">
        <v>26</v>
      </c>
      <c r="D49" s="12" t="n">
        <v>76891</v>
      </c>
      <c r="E49" s="12" t="n">
        <v>13425</v>
      </c>
      <c r="F49" s="12" t="n">
        <v>4027</v>
      </c>
      <c r="G49" s="12" t="n">
        <v>26</v>
      </c>
      <c r="H49" s="12" t="n">
        <v>26</v>
      </c>
      <c r="I49" s="13" t="n">
        <v>59.40153846153846</v>
      </c>
      <c r="J49" s="12" t="n">
        <v>0</v>
      </c>
      <c r="K49" s="12" t="n">
        <v>0</v>
      </c>
      <c r="L49" s="12" t="n">
        <v>26</v>
      </c>
    </row>
    <row r="50">
      <c r="A50" s="11" t="inlineStr">
        <is>
          <t>Region XIII (Caraga)</t>
        </is>
      </c>
      <c r="B50" s="11" t="inlineStr">
        <is>
          <t>Agusan del Norte</t>
        </is>
      </c>
      <c r="C50" s="12" t="n">
        <v>25</v>
      </c>
      <c r="D50" s="12" t="n">
        <v>99554</v>
      </c>
      <c r="E50" s="12" t="n">
        <v>24281</v>
      </c>
      <c r="F50" s="12" t="n">
        <v>7287</v>
      </c>
      <c r="G50" s="12" t="n">
        <v>25</v>
      </c>
      <c r="H50" s="12" t="n">
        <v>25</v>
      </c>
      <c r="I50" s="13" t="n">
        <v>59.1152</v>
      </c>
      <c r="J50" s="12" t="n">
        <v>25</v>
      </c>
      <c r="K50" s="12" t="n">
        <v>0</v>
      </c>
      <c r="L50" s="12" t="n">
        <v>0</v>
      </c>
    </row>
    <row r="51">
      <c r="A51" s="11" t="inlineStr">
        <is>
          <t>Region V (Bicol Region)</t>
        </is>
      </c>
      <c r="B51" s="11" t="inlineStr">
        <is>
          <t>Masbate</t>
        </is>
      </c>
      <c r="C51" s="12" t="n">
        <v>24</v>
      </c>
      <c r="D51" s="12" t="n">
        <v>65217</v>
      </c>
      <c r="E51" s="12" t="n">
        <v>15904</v>
      </c>
      <c r="F51" s="12" t="n">
        <v>4771</v>
      </c>
      <c r="G51" s="12" t="n">
        <v>24</v>
      </c>
      <c r="H51" s="12" t="n">
        <v>24</v>
      </c>
      <c r="I51" s="13" t="n">
        <v>59.96583333333334</v>
      </c>
      <c r="J51" s="12" t="n">
        <v>7</v>
      </c>
      <c r="K51" s="12" t="n">
        <v>3</v>
      </c>
      <c r="L51" s="12" t="n">
        <v>14</v>
      </c>
    </row>
    <row r="52">
      <c r="A52" s="11" t="inlineStr">
        <is>
          <t>Region III (Central Luzon)</t>
        </is>
      </c>
      <c r="B52" s="11" t="inlineStr">
        <is>
          <t>Zambales</t>
        </is>
      </c>
      <c r="C52" s="12" t="n">
        <v>23</v>
      </c>
      <c r="D52" s="12" t="n">
        <v>94765</v>
      </c>
      <c r="E52" s="12" t="n">
        <v>24938</v>
      </c>
      <c r="F52" s="12" t="n">
        <v>7483</v>
      </c>
      <c r="G52" s="12" t="n">
        <v>23</v>
      </c>
      <c r="H52" s="12" t="n">
        <v>23</v>
      </c>
      <c r="I52" s="13" t="n">
        <v>59.88565217391304</v>
      </c>
      <c r="J52" s="12" t="n">
        <v>17</v>
      </c>
      <c r="K52" s="12" t="n">
        <v>3</v>
      </c>
      <c r="L52" s="12" t="n">
        <v>3</v>
      </c>
    </row>
    <row r="53">
      <c r="A53" s="11" t="inlineStr">
        <is>
          <t>Region XI (Davao Region)</t>
        </is>
      </c>
      <c r="B53" s="11" t="inlineStr">
        <is>
          <t>Davao del Sur</t>
        </is>
      </c>
      <c r="C53" s="12" t="n">
        <v>23</v>
      </c>
      <c r="D53" s="12" t="n">
        <v>136458</v>
      </c>
      <c r="E53" s="12" t="n">
        <v>40137</v>
      </c>
      <c r="F53" s="12" t="n">
        <v>12043</v>
      </c>
      <c r="G53" s="12" t="n">
        <v>23</v>
      </c>
      <c r="H53" s="12" t="n">
        <v>26</v>
      </c>
      <c r="I53" s="13" t="n">
        <v>59.72739130434783</v>
      </c>
      <c r="J53" s="12" t="n">
        <v>14</v>
      </c>
      <c r="K53" s="12" t="n">
        <v>4</v>
      </c>
      <c r="L53" s="12" t="n">
        <v>5</v>
      </c>
    </row>
    <row r="54">
      <c r="A54" s="11" t="inlineStr">
        <is>
          <t>Region V (Bicol Region)</t>
        </is>
      </c>
      <c r="B54" s="11" t="inlineStr">
        <is>
          <t>Camarines Norte</t>
        </is>
      </c>
      <c r="C54" s="12" t="n">
        <v>22</v>
      </c>
      <c r="D54" s="12" t="n">
        <v>70124</v>
      </c>
      <c r="E54" s="12" t="n">
        <v>17530</v>
      </c>
      <c r="F54" s="12" t="n">
        <v>5259</v>
      </c>
      <c r="G54" s="12" t="n">
        <v>22</v>
      </c>
      <c r="H54" s="12" t="n">
        <v>22</v>
      </c>
      <c r="I54" s="13" t="n">
        <v>60.52409090909091</v>
      </c>
      <c r="J54" s="12" t="n">
        <v>13</v>
      </c>
      <c r="K54" s="12" t="n">
        <v>3</v>
      </c>
      <c r="L54" s="12" t="n">
        <v>6</v>
      </c>
    </row>
    <row r="55">
      <c r="A55" s="11" t="inlineStr">
        <is>
          <t>Region II (Cagayan Valley)</t>
        </is>
      </c>
      <c r="B55" s="11" t="inlineStr">
        <is>
          <t>Quirino</t>
        </is>
      </c>
      <c r="C55" s="12" t="n">
        <v>22</v>
      </c>
      <c r="D55" s="12" t="n">
        <v>29102</v>
      </c>
      <c r="E55" s="12" t="n">
        <v>7465</v>
      </c>
      <c r="F55" s="12" t="n">
        <v>2239</v>
      </c>
      <c r="G55" s="12" t="n">
        <v>22</v>
      </c>
      <c r="H55" s="12" t="n">
        <v>22</v>
      </c>
      <c r="I55" s="13" t="n">
        <v>61.56863636363637</v>
      </c>
      <c r="J55" s="12" t="n">
        <v>5</v>
      </c>
      <c r="K55" s="12" t="n">
        <v>2</v>
      </c>
      <c r="L55" s="12" t="n">
        <v>15</v>
      </c>
    </row>
    <row r="56">
      <c r="A56" s="11" t="inlineStr">
        <is>
          <t>Region III (Central Luzon)</t>
        </is>
      </c>
      <c r="B56" s="11" t="inlineStr">
        <is>
          <t>Aurora</t>
        </is>
      </c>
      <c r="C56" s="12" t="n">
        <v>20</v>
      </c>
      <c r="D56" s="12" t="n">
        <v>26696</v>
      </c>
      <c r="E56" s="12" t="n">
        <v>7025</v>
      </c>
      <c r="F56" s="12" t="n">
        <v>2108</v>
      </c>
      <c r="G56" s="12" t="n">
        <v>20</v>
      </c>
      <c r="H56" s="12" t="n">
        <v>20</v>
      </c>
      <c r="I56" s="13" t="n">
        <v>62.826</v>
      </c>
      <c r="J56" s="12" t="n">
        <v>5</v>
      </c>
      <c r="K56" s="12" t="n">
        <v>5</v>
      </c>
      <c r="L56" s="12" t="n">
        <v>10</v>
      </c>
    </row>
    <row r="57">
      <c r="A57" s="11" t="inlineStr">
        <is>
          <t>Cordillera Administrative Region (CAR)</t>
        </is>
      </c>
      <c r="B57" s="11" t="inlineStr">
        <is>
          <t>Ifugao</t>
        </is>
      </c>
      <c r="C57" s="12" t="n">
        <v>18</v>
      </c>
      <c r="D57" s="12" t="n">
        <v>17110</v>
      </c>
      <c r="E57" s="12" t="n">
        <v>4387</v>
      </c>
      <c r="F57" s="12" t="n">
        <v>1317</v>
      </c>
      <c r="G57" s="12" t="n">
        <v>18</v>
      </c>
      <c r="H57" s="12" t="n">
        <v>18</v>
      </c>
      <c r="I57" s="13" t="n">
        <v>61.49777777777778</v>
      </c>
      <c r="J57" s="12" t="n">
        <v>5</v>
      </c>
      <c r="K57" s="12" t="n">
        <v>7</v>
      </c>
      <c r="L57" s="12" t="n">
        <v>6</v>
      </c>
    </row>
    <row r="58">
      <c r="A58" s="11" t="inlineStr">
        <is>
          <t>Cordillera Administrative Region (CAR)</t>
        </is>
      </c>
      <c r="B58" s="11" t="inlineStr">
        <is>
          <t>Mountain Province</t>
        </is>
      </c>
      <c r="C58" s="12" t="n">
        <v>16</v>
      </c>
      <c r="D58" s="12" t="n">
        <v>26783</v>
      </c>
      <c r="E58" s="12" t="n">
        <v>7239</v>
      </c>
      <c r="F58" s="12" t="n">
        <v>2171</v>
      </c>
      <c r="G58" s="12" t="n">
        <v>16</v>
      </c>
      <c r="H58" s="12" t="n">
        <v>16</v>
      </c>
      <c r="I58" s="13" t="n">
        <v>63.1025</v>
      </c>
      <c r="J58" s="12" t="n">
        <v>6</v>
      </c>
      <c r="K58" s="12" t="n">
        <v>4</v>
      </c>
      <c r="L58" s="12" t="n">
        <v>6</v>
      </c>
    </row>
    <row r="59">
      <c r="A59" s="11" t="inlineStr">
        <is>
          <t>Cordillera Administrative Region (CAR)</t>
        </is>
      </c>
      <c r="B59" s="11" t="inlineStr">
        <is>
          <t>Apayao</t>
        </is>
      </c>
      <c r="C59" s="12" t="n">
        <v>16</v>
      </c>
      <c r="D59" s="12" t="n">
        <v>15933</v>
      </c>
      <c r="E59" s="12" t="n">
        <v>3794</v>
      </c>
      <c r="F59" s="12" t="n">
        <v>1137</v>
      </c>
      <c r="G59" s="12" t="n">
        <v>16</v>
      </c>
      <c r="H59" s="12" t="n">
        <v>16</v>
      </c>
      <c r="I59" s="13" t="n">
        <v>60.050625</v>
      </c>
      <c r="J59" s="12" t="n">
        <v>6</v>
      </c>
      <c r="K59" s="12" t="n">
        <v>2</v>
      </c>
      <c r="L59" s="12" t="n">
        <v>8</v>
      </c>
    </row>
    <row r="60">
      <c r="A60" s="11" t="inlineStr">
        <is>
          <t>Region VIII (Eastern Visayas)</t>
        </is>
      </c>
      <c r="B60" s="11" t="inlineStr">
        <is>
          <t>Southern Leyte</t>
        </is>
      </c>
      <c r="C60" s="12" t="n">
        <v>16</v>
      </c>
      <c r="D60" s="12" t="n">
        <v>20786</v>
      </c>
      <c r="E60" s="12" t="n">
        <v>5071</v>
      </c>
      <c r="F60" s="12" t="n">
        <v>1521</v>
      </c>
      <c r="G60" s="12" t="n">
        <v>16</v>
      </c>
      <c r="H60" s="12" t="n">
        <v>16</v>
      </c>
      <c r="I60" s="13" t="n">
        <v>59.385</v>
      </c>
      <c r="J60" s="12" t="n">
        <v>4</v>
      </c>
      <c r="K60" s="12" t="n">
        <v>2</v>
      </c>
      <c r="L60" s="12" t="n">
        <v>10</v>
      </c>
    </row>
    <row r="61">
      <c r="A61" s="11" t="inlineStr">
        <is>
          <t>Region VII (Central Visayas)</t>
        </is>
      </c>
      <c r="B61" s="11" t="inlineStr">
        <is>
          <t>Negros Oriental</t>
        </is>
      </c>
      <c r="C61" s="12" t="n">
        <v>16</v>
      </c>
      <c r="D61" s="12" t="n">
        <v>51795</v>
      </c>
      <c r="E61" s="12" t="n">
        <v>13632</v>
      </c>
      <c r="F61" s="12" t="n">
        <v>4092</v>
      </c>
      <c r="G61" s="12" t="n">
        <v>16</v>
      </c>
      <c r="H61" s="12" t="n">
        <v>16</v>
      </c>
      <c r="I61" s="13" t="n">
        <v>59.325625</v>
      </c>
      <c r="J61" s="12" t="n">
        <v>8</v>
      </c>
      <c r="K61" s="12" t="n">
        <v>2</v>
      </c>
      <c r="L61" s="12" t="n">
        <v>6</v>
      </c>
    </row>
    <row r="62">
      <c r="A62" s="11" t="inlineStr">
        <is>
          <t>Region XII (SOCCSKSARGEN)</t>
        </is>
      </c>
      <c r="B62" s="11" t="inlineStr">
        <is>
          <t>Sarangani</t>
        </is>
      </c>
      <c r="C62" s="12" t="n">
        <v>15</v>
      </c>
      <c r="D62" s="12" t="n">
        <v>61621</v>
      </c>
      <c r="E62" s="12" t="n">
        <v>15800</v>
      </c>
      <c r="F62" s="12" t="n">
        <v>4740</v>
      </c>
      <c r="G62" s="12" t="n">
        <v>15</v>
      </c>
      <c r="H62" s="12" t="n">
        <v>15</v>
      </c>
      <c r="I62" s="13" t="n">
        <v>62.13866666666667</v>
      </c>
      <c r="J62" s="12" t="n">
        <v>0</v>
      </c>
      <c r="K62" s="12" t="n">
        <v>1</v>
      </c>
      <c r="L62" s="12" t="n">
        <v>14</v>
      </c>
    </row>
    <row r="63">
      <c r="A63" s="11" t="inlineStr">
        <is>
          <t>Region VI (Western Visayas)</t>
        </is>
      </c>
      <c r="B63" s="11" t="inlineStr">
        <is>
          <t>Antique</t>
        </is>
      </c>
      <c r="C63" s="12" t="n">
        <v>13</v>
      </c>
      <c r="D63" s="12" t="n">
        <v>35976</v>
      </c>
      <c r="E63" s="12" t="n">
        <v>9224</v>
      </c>
      <c r="F63" s="12" t="n">
        <v>2769</v>
      </c>
      <c r="G63" s="12" t="n">
        <v>13</v>
      </c>
      <c r="H63" s="12" t="n">
        <v>13</v>
      </c>
      <c r="I63" s="13" t="n">
        <v>58.94307692307692</v>
      </c>
      <c r="J63" s="12" t="n">
        <v>7</v>
      </c>
      <c r="K63" s="12" t="n">
        <v>1</v>
      </c>
      <c r="L63" s="12" t="n">
        <v>5</v>
      </c>
    </row>
    <row r="64">
      <c r="A64" s="11" t="inlineStr">
        <is>
          <t>Region XII (SOCCSKSARGEN)</t>
        </is>
      </c>
      <c r="B64" s="11" t="inlineStr">
        <is>
          <t>South Cotabato</t>
        </is>
      </c>
      <c r="C64" s="12" t="n">
        <v>12</v>
      </c>
      <c r="D64" s="12" t="n">
        <v>99152</v>
      </c>
      <c r="E64" s="12" t="n">
        <v>27544</v>
      </c>
      <c r="F64" s="12" t="n">
        <v>8265</v>
      </c>
      <c r="G64" s="12" t="n">
        <v>12</v>
      </c>
      <c r="H64" s="12" t="n">
        <v>16</v>
      </c>
      <c r="I64" s="13" t="n">
        <v>60.21166666666667</v>
      </c>
      <c r="J64" s="12" t="n">
        <v>10</v>
      </c>
      <c r="K64" s="12" t="n">
        <v>0</v>
      </c>
      <c r="L64" s="12" t="n">
        <v>2</v>
      </c>
    </row>
    <row r="65">
      <c r="A65" s="11" t="inlineStr">
        <is>
          <t>Region X (Northern Mindanao)</t>
        </is>
      </c>
      <c r="B65" s="11" t="inlineStr">
        <is>
          <t>Bukidnon</t>
        </is>
      </c>
      <c r="C65" s="12" t="n">
        <v>12</v>
      </c>
      <c r="D65" s="12" t="n">
        <v>50824</v>
      </c>
      <c r="E65" s="12" t="n">
        <v>13374</v>
      </c>
      <c r="F65" s="12" t="n">
        <v>4011</v>
      </c>
      <c r="G65" s="12" t="n">
        <v>12</v>
      </c>
      <c r="H65" s="12" t="n">
        <v>13</v>
      </c>
      <c r="I65" s="13" t="n">
        <v>59.4175</v>
      </c>
      <c r="J65" s="12" t="n">
        <v>4</v>
      </c>
      <c r="K65" s="12" t="n">
        <v>1</v>
      </c>
      <c r="L65" s="12" t="n">
        <v>7</v>
      </c>
    </row>
    <row r="66">
      <c r="A66" s="11" t="inlineStr">
        <is>
          <t>Cordillera Administrative Region (CAR)</t>
        </is>
      </c>
      <c r="B66" s="11" t="inlineStr">
        <is>
          <t>Abra</t>
        </is>
      </c>
      <c r="C66" s="12" t="n">
        <v>10</v>
      </c>
      <c r="D66" s="12" t="n">
        <v>8499</v>
      </c>
      <c r="E66" s="12" t="n">
        <v>2235</v>
      </c>
      <c r="F66" s="12" t="n">
        <v>670</v>
      </c>
      <c r="G66" s="12" t="n">
        <v>10</v>
      </c>
      <c r="H66" s="12" t="n">
        <v>10</v>
      </c>
      <c r="I66" s="13" t="n">
        <v>61.54</v>
      </c>
      <c r="J66" s="12" t="n">
        <v>1</v>
      </c>
      <c r="K66" s="12" t="n">
        <v>3</v>
      </c>
      <c r="L66" s="12" t="n">
        <v>6</v>
      </c>
    </row>
    <row r="67">
      <c r="A67" s="11" t="inlineStr">
        <is>
          <t>Bangsamoro Autonomous Region In Muslim Mindanao (BARMM)</t>
        </is>
      </c>
      <c r="B67" s="11" t="inlineStr">
        <is>
          <t>Basilan</t>
        </is>
      </c>
      <c r="C67" s="12" t="n">
        <v>10</v>
      </c>
      <c r="D67" s="12" t="n">
        <v>31783</v>
      </c>
      <c r="E67" s="12" t="n">
        <v>6231</v>
      </c>
      <c r="F67" s="12" t="n">
        <v>1869</v>
      </c>
      <c r="G67" s="12" t="n">
        <v>10</v>
      </c>
      <c r="H67" s="12" t="n">
        <v>10</v>
      </c>
      <c r="I67" s="13" t="n">
        <v>59.492</v>
      </c>
      <c r="J67" s="12" t="n">
        <v>0</v>
      </c>
      <c r="K67" s="12" t="n">
        <v>0</v>
      </c>
      <c r="L67" s="12" t="n">
        <v>10</v>
      </c>
    </row>
    <row r="68">
      <c r="A68" s="11" t="inlineStr">
        <is>
          <t>Region XIII (Caraga)</t>
        </is>
      </c>
      <c r="B68" s="11" t="inlineStr">
        <is>
          <t>Surigao del Sur</t>
        </is>
      </c>
      <c r="C68" s="12" t="n">
        <v>9</v>
      </c>
      <c r="D68" s="12" t="n">
        <v>29554</v>
      </c>
      <c r="E68" s="12" t="n">
        <v>7207</v>
      </c>
      <c r="F68" s="12" t="n">
        <v>2163</v>
      </c>
      <c r="G68" s="12" t="n">
        <v>9</v>
      </c>
      <c r="H68" s="12" t="n">
        <v>9</v>
      </c>
      <c r="I68" s="13" t="n">
        <v>59.75666666666666</v>
      </c>
      <c r="J68" s="12" t="n">
        <v>3</v>
      </c>
      <c r="K68" s="12" t="n">
        <v>0</v>
      </c>
      <c r="L68" s="12" t="n">
        <v>6</v>
      </c>
    </row>
    <row r="69">
      <c r="A69" s="11" t="inlineStr">
        <is>
          <t>Region IX (Zamboanga Peninsula)</t>
        </is>
      </c>
      <c r="B69" s="11" t="inlineStr">
        <is>
          <t>Zamboanga del Sur</t>
        </is>
      </c>
      <c r="C69" s="12" t="n">
        <v>9</v>
      </c>
      <c r="D69" s="12" t="n">
        <v>9826</v>
      </c>
      <c r="E69" s="12" t="n">
        <v>2519</v>
      </c>
      <c r="F69" s="12" t="n">
        <v>756</v>
      </c>
      <c r="G69" s="12" t="n">
        <v>9</v>
      </c>
      <c r="H69" s="12" t="n">
        <v>9</v>
      </c>
      <c r="I69" s="13" t="n">
        <v>59.20333333333334</v>
      </c>
      <c r="J69" s="12" t="n">
        <v>0</v>
      </c>
      <c r="K69" s="12" t="n">
        <v>1</v>
      </c>
      <c r="L69" s="12" t="n">
        <v>8</v>
      </c>
    </row>
    <row r="70">
      <c r="A70" s="11" t="inlineStr">
        <is>
          <t>Region XII (SOCCSKSARGEN)</t>
        </is>
      </c>
      <c r="B70" s="11" t="inlineStr">
        <is>
          <t>Cotabato</t>
        </is>
      </c>
      <c r="C70" s="12" t="n">
        <v>7</v>
      </c>
      <c r="D70" s="12" t="n">
        <v>45157</v>
      </c>
      <c r="E70" s="12" t="n">
        <v>11883</v>
      </c>
      <c r="F70" s="12" t="n">
        <v>3565</v>
      </c>
      <c r="G70" s="12" t="n">
        <v>7</v>
      </c>
      <c r="H70" s="12" t="n">
        <v>8</v>
      </c>
      <c r="I70" s="13" t="n">
        <v>60.15142857142857</v>
      </c>
      <c r="J70" s="12" t="n">
        <v>2</v>
      </c>
      <c r="K70" s="12" t="n">
        <v>1</v>
      </c>
      <c r="L70" s="12" t="n">
        <v>4</v>
      </c>
    </row>
    <row r="71">
      <c r="A71" s="11" t="inlineStr">
        <is>
          <t>Region XIII (Caraga)</t>
        </is>
      </c>
      <c r="B71" s="11" t="inlineStr">
        <is>
          <t>Agusan del Sur</t>
        </is>
      </c>
      <c r="C71" s="12" t="n">
        <v>7</v>
      </c>
      <c r="D71" s="12" t="n">
        <v>23619</v>
      </c>
      <c r="E71" s="12" t="n">
        <v>6057</v>
      </c>
      <c r="F71" s="12" t="n">
        <v>1817</v>
      </c>
      <c r="G71" s="12" t="n">
        <v>7</v>
      </c>
      <c r="H71" s="12" t="n">
        <v>7</v>
      </c>
      <c r="I71" s="13" t="n">
        <v>59.99285714285714</v>
      </c>
      <c r="J71" s="12" t="n">
        <v>5</v>
      </c>
      <c r="K71" s="12" t="n">
        <v>0</v>
      </c>
      <c r="L71" s="12" t="n">
        <v>2</v>
      </c>
    </row>
    <row r="72">
      <c r="A72" s="11" t="inlineStr">
        <is>
          <t>Region II (Cagayan Valley)</t>
        </is>
      </c>
      <c r="B72" s="11" t="inlineStr">
        <is>
          <t>Batanes</t>
        </is>
      </c>
      <c r="C72" s="12" t="n">
        <v>6</v>
      </c>
      <c r="D72" s="12" t="n">
        <v>9572</v>
      </c>
      <c r="E72" s="12" t="n">
        <v>3190</v>
      </c>
      <c r="F72" s="12" t="n">
        <v>957</v>
      </c>
      <c r="G72" s="12" t="n">
        <v>6</v>
      </c>
      <c r="H72" s="12" t="n">
        <v>6</v>
      </c>
      <c r="I72" s="13" t="n">
        <v>63.6</v>
      </c>
      <c r="J72" s="12" t="n">
        <v>0</v>
      </c>
      <c r="K72" s="12" t="n">
        <v>0</v>
      </c>
      <c r="L72" s="12" t="n">
        <v>6</v>
      </c>
    </row>
    <row r="73">
      <c r="A73" s="11" t="inlineStr">
        <is>
          <t>Region VIII (Eastern Visayas)</t>
        </is>
      </c>
      <c r="B73" s="11" t="inlineStr">
        <is>
          <t>Eastern Samar</t>
        </is>
      </c>
      <c r="C73" s="12" t="n">
        <v>6</v>
      </c>
      <c r="D73" s="12" t="n">
        <v>5422</v>
      </c>
      <c r="E73" s="12" t="n">
        <v>1390</v>
      </c>
      <c r="F73" s="12" t="n">
        <v>417</v>
      </c>
      <c r="G73" s="12" t="n">
        <v>6</v>
      </c>
      <c r="H73" s="12" t="n">
        <v>6</v>
      </c>
      <c r="I73" s="13" t="n">
        <v>59.89333333333334</v>
      </c>
      <c r="J73" s="12" t="n">
        <v>1</v>
      </c>
      <c r="K73" s="12" t="n">
        <v>0</v>
      </c>
      <c r="L73" s="12" t="n">
        <v>5</v>
      </c>
    </row>
    <row r="74">
      <c r="A74" s="11" t="inlineStr">
        <is>
          <t>Region V (Bicol Region)</t>
        </is>
      </c>
      <c r="B74" s="11" t="inlineStr">
        <is>
          <t>Catanduanes</t>
        </is>
      </c>
      <c r="C74" s="12" t="n">
        <v>6</v>
      </c>
      <c r="D74" s="12" t="n">
        <v>4821</v>
      </c>
      <c r="E74" s="12" t="n">
        <v>1148</v>
      </c>
      <c r="F74" s="12" t="n">
        <v>345</v>
      </c>
      <c r="G74" s="12" t="n">
        <v>6</v>
      </c>
      <c r="H74" s="12" t="n">
        <v>6</v>
      </c>
      <c r="I74" s="13" t="n">
        <v>59.19833333333333</v>
      </c>
      <c r="J74" s="12" t="n">
        <v>0</v>
      </c>
      <c r="K74" s="12" t="n">
        <v>0</v>
      </c>
      <c r="L74" s="12" t="n">
        <v>6</v>
      </c>
    </row>
    <row r="75">
      <c r="A75" s="11" t="inlineStr">
        <is>
          <t>Region VII (Central Visayas)</t>
        </is>
      </c>
      <c r="B75" s="11" t="inlineStr">
        <is>
          <t>Bohol</t>
        </is>
      </c>
      <c r="C75" s="12" t="n">
        <v>5</v>
      </c>
      <c r="D75" s="12" t="n">
        <v>11647</v>
      </c>
      <c r="E75" s="12" t="n">
        <v>2911</v>
      </c>
      <c r="F75" s="12" t="n">
        <v>874</v>
      </c>
      <c r="G75" s="12" t="n">
        <v>5</v>
      </c>
      <c r="H75" s="12" t="n">
        <v>5</v>
      </c>
      <c r="I75" s="13" t="n">
        <v>59.33199999999999</v>
      </c>
      <c r="J75" s="12" t="n">
        <v>3</v>
      </c>
      <c r="K75" s="12" t="n">
        <v>1</v>
      </c>
      <c r="L75" s="12" t="n">
        <v>1</v>
      </c>
    </row>
    <row r="76">
      <c r="A76" s="11" t="inlineStr">
        <is>
          <t>MIMAROPA Region</t>
        </is>
      </c>
      <c r="B76" s="11" t="inlineStr">
        <is>
          <t>Occidental Mindoro</t>
        </is>
      </c>
      <c r="C76" s="12" t="n">
        <v>5</v>
      </c>
      <c r="D76" s="12" t="n">
        <v>28657</v>
      </c>
      <c r="E76" s="12" t="n">
        <v>7348</v>
      </c>
      <c r="F76" s="12" t="n">
        <v>2205</v>
      </c>
      <c r="G76" s="12" t="n">
        <v>5</v>
      </c>
      <c r="H76" s="12" t="n">
        <v>6</v>
      </c>
      <c r="I76" s="13" t="n">
        <v>60.068</v>
      </c>
      <c r="J76" s="12" t="n">
        <v>1</v>
      </c>
      <c r="K76" s="12" t="n">
        <v>0</v>
      </c>
      <c r="L76" s="12" t="n">
        <v>4</v>
      </c>
    </row>
    <row r="77">
      <c r="A77" s="11" t="inlineStr">
        <is>
          <t>Bangsamoro Autonomous Region In Muslim Mindanao (BARMM)</t>
        </is>
      </c>
      <c r="B77" s="11" t="inlineStr">
        <is>
          <t>Lanao del Sur</t>
        </is>
      </c>
      <c r="C77" s="12" t="n">
        <v>5</v>
      </c>
      <c r="D77" s="12" t="n">
        <v>7414</v>
      </c>
      <c r="E77" s="12" t="n">
        <v>1301</v>
      </c>
      <c r="F77" s="12" t="n">
        <v>391</v>
      </c>
      <c r="G77" s="12" t="n">
        <v>5</v>
      </c>
      <c r="H77" s="12" t="n">
        <v>5</v>
      </c>
      <c r="I77" s="13" t="n">
        <v>58.248</v>
      </c>
      <c r="J77" s="12" t="n">
        <v>0</v>
      </c>
      <c r="K77" s="12" t="n">
        <v>0</v>
      </c>
      <c r="L77" s="12" t="n">
        <v>5</v>
      </c>
    </row>
    <row r="78">
      <c r="A78" s="11" t="inlineStr">
        <is>
          <t>Region IX (Zamboanga Peninsula)</t>
        </is>
      </c>
      <c r="B78" s="11" t="inlineStr">
        <is>
          <t>Zamboanga del Norte</t>
        </is>
      </c>
      <c r="C78" s="12" t="n">
        <v>4</v>
      </c>
      <c r="D78" s="12" t="n">
        <v>9129</v>
      </c>
      <c r="E78" s="12" t="n">
        <v>2535</v>
      </c>
      <c r="F78" s="12" t="n">
        <v>761</v>
      </c>
      <c r="G78" s="12" t="n">
        <v>4</v>
      </c>
      <c r="H78" s="12" t="n">
        <v>4</v>
      </c>
      <c r="I78" s="13" t="n">
        <v>59.825</v>
      </c>
      <c r="J78" s="12" t="n">
        <v>0</v>
      </c>
      <c r="K78" s="12" t="n">
        <v>0</v>
      </c>
      <c r="L78" s="12" t="n">
        <v>4</v>
      </c>
    </row>
    <row r="79">
      <c r="A79" s="11" t="inlineStr">
        <is>
          <t>Region XII (SOCCSKSARGEN)</t>
        </is>
      </c>
      <c r="B79" s="11" t="inlineStr">
        <is>
          <t>Sultan Kudarat</t>
        </is>
      </c>
      <c r="C79" s="12" t="n">
        <v>4</v>
      </c>
      <c r="D79" s="12" t="n">
        <v>10704</v>
      </c>
      <c r="E79" s="12" t="n">
        <v>2817</v>
      </c>
      <c r="F79" s="12" t="n">
        <v>844</v>
      </c>
      <c r="G79" s="12" t="n">
        <v>4</v>
      </c>
      <c r="H79" s="12" t="n">
        <v>4</v>
      </c>
      <c r="I79" s="13" t="n">
        <v>61.6425</v>
      </c>
      <c r="J79" s="12" t="n">
        <v>0</v>
      </c>
      <c r="K79" s="12" t="n">
        <v>0</v>
      </c>
      <c r="L79" s="12" t="n">
        <v>4</v>
      </c>
    </row>
    <row r="80">
      <c r="A80" s="11" t="inlineStr">
        <is>
          <t>Region VIII (Eastern Visayas)</t>
        </is>
      </c>
      <c r="B80" s="11" t="inlineStr">
        <is>
          <t>Northern Samar</t>
        </is>
      </c>
      <c r="C80" s="12" t="n">
        <v>4</v>
      </c>
      <c r="D80" s="12" t="n">
        <v>4148</v>
      </c>
      <c r="E80" s="12" t="n">
        <v>965</v>
      </c>
      <c r="F80" s="12" t="n">
        <v>290</v>
      </c>
      <c r="G80" s="12" t="n">
        <v>4</v>
      </c>
      <c r="H80" s="12" t="n">
        <v>4</v>
      </c>
      <c r="I80" s="13" t="n">
        <v>58.395</v>
      </c>
      <c r="J80" s="12" t="n">
        <v>0</v>
      </c>
      <c r="K80" s="12" t="n">
        <v>0</v>
      </c>
      <c r="L80" s="12" t="n">
        <v>4</v>
      </c>
    </row>
    <row r="81">
      <c r="A81" s="11" t="inlineStr">
        <is>
          <t>Region IX (Zamboanga Peninsula)</t>
        </is>
      </c>
      <c r="B81" s="11" t="inlineStr">
        <is>
          <t>Zamboanga Sibugay</t>
        </is>
      </c>
      <c r="C81" s="12" t="n">
        <v>3</v>
      </c>
      <c r="D81" s="12" t="n">
        <v>7753</v>
      </c>
      <c r="E81" s="12" t="n">
        <v>1845</v>
      </c>
      <c r="F81" s="12" t="n">
        <v>553</v>
      </c>
      <c r="G81" s="12" t="n">
        <v>3</v>
      </c>
      <c r="H81" s="12" t="n">
        <v>3</v>
      </c>
      <c r="I81" s="13" t="n">
        <v>57.83000000000001</v>
      </c>
      <c r="J81" s="12" t="n">
        <v>1</v>
      </c>
      <c r="K81" s="12" t="n">
        <v>0</v>
      </c>
      <c r="L81" s="12" t="n">
        <v>2</v>
      </c>
    </row>
    <row r="82">
      <c r="A82" s="11" t="inlineStr">
        <is>
          <t>MIMAROPA Region</t>
        </is>
      </c>
      <c r="B82" s="11" t="inlineStr">
        <is>
          <t>Marinduque</t>
        </is>
      </c>
      <c r="C82" s="12" t="n">
        <v>2</v>
      </c>
      <c r="D82" s="12" t="n">
        <v>1464</v>
      </c>
      <c r="E82" s="12" t="n">
        <v>385</v>
      </c>
      <c r="F82" s="12" t="n">
        <v>116</v>
      </c>
      <c r="G82" s="12" t="n">
        <v>2</v>
      </c>
      <c r="H82" s="12" t="n">
        <v>2</v>
      </c>
      <c r="I82" s="13" t="n">
        <v>59.45</v>
      </c>
      <c r="J82" s="12" t="n">
        <v>0</v>
      </c>
      <c r="K82" s="12" t="n">
        <v>0</v>
      </c>
      <c r="L82" s="12" t="n">
        <v>2</v>
      </c>
    </row>
    <row r="83">
      <c r="A83" s="11" t="inlineStr">
        <is>
          <t>Region VI (Western Visayas)</t>
        </is>
      </c>
      <c r="B83" s="11" t="inlineStr">
        <is>
          <t>Guimaras</t>
        </is>
      </c>
      <c r="C83" s="12" t="n">
        <v>1</v>
      </c>
      <c r="D83" s="12" t="n">
        <v>1929</v>
      </c>
      <c r="E83" s="12" t="n">
        <v>508</v>
      </c>
      <c r="F83" s="12" t="n">
        <v>152</v>
      </c>
      <c r="G83" s="12" t="n">
        <v>1</v>
      </c>
      <c r="H83" s="12" t="n">
        <v>1</v>
      </c>
      <c r="I83" s="13" t="n">
        <v>59.28</v>
      </c>
      <c r="J83" s="12" t="n">
        <v>0</v>
      </c>
      <c r="K83" s="12" t="n">
        <v>0</v>
      </c>
      <c r="L83" s="12" t="n">
        <v>1</v>
      </c>
    </row>
    <row r="84">
      <c r="A84" s="11" t="inlineStr">
        <is>
          <t>Region XIII (Caraga)</t>
        </is>
      </c>
      <c r="B84" s="11" t="inlineStr">
        <is>
          <t>Surigao del Norte</t>
        </is>
      </c>
      <c r="C84" s="12" t="n">
        <v>1</v>
      </c>
      <c r="D84" s="12" t="n">
        <v>1241</v>
      </c>
      <c r="E84" s="12" t="n">
        <v>303</v>
      </c>
      <c r="F84" s="12" t="n">
        <v>91</v>
      </c>
      <c r="G84" s="12" t="n">
        <v>1</v>
      </c>
      <c r="H84" s="12" t="n">
        <v>1</v>
      </c>
      <c r="I84" s="13" t="n">
        <v>59.11</v>
      </c>
      <c r="J84" s="12" t="n">
        <v>0</v>
      </c>
      <c r="K84" s="12" t="n">
        <v>0</v>
      </c>
      <c r="L84" s="12" t="n">
        <v>1</v>
      </c>
    </row>
    <row r="85">
      <c r="A85" s="11" t="inlineStr">
        <is>
          <t>Region IX (Zamboanga Peninsula)</t>
        </is>
      </c>
      <c r="B85" s="11" t="inlineStr">
        <is>
          <t>City of Isabela (Not a Province)</t>
        </is>
      </c>
      <c r="C85" s="12" t="n">
        <v>1</v>
      </c>
      <c r="D85" s="12" t="n">
        <v>1811</v>
      </c>
      <c r="E85" s="12" t="n">
        <v>412</v>
      </c>
      <c r="F85" s="12" t="n">
        <v>124</v>
      </c>
      <c r="G85" s="12" t="n">
        <v>1</v>
      </c>
      <c r="H85" s="12" t="n">
        <v>1</v>
      </c>
      <c r="I85" s="13" t="n">
        <v>58.35</v>
      </c>
      <c r="J85" s="12" t="n">
        <v>0</v>
      </c>
      <c r="K85" s="12" t="n">
        <v>0</v>
      </c>
      <c r="L85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2026-09-23T08:19:17Z</dcterms:created>
  <dcterms:modified xmlns:dcterms="http://purl.org/dc/terms/" xmlns:xsi="http://www.w3.org/2001/XMLSchema-instance" xsi:type="dcterms:W3CDTF">2026-09-23T08:19:21Z</dcterms:modified>
</cp:coreProperties>
</file>